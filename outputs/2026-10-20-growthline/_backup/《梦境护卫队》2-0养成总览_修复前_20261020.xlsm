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7945" windowHeight="11925" activeTab="7"/>
  </bookViews>
  <sheets>
    <sheet name="版本日志" sheetId="1" r:id="rId1"/>
    <sheet name="设计思路" sheetId="2" r:id="rId2"/>
    <sheet name="Temp_Chart_Data" sheetId="28" state="veryHidden" r:id="rId3"/>
    <sheet name="产出预期" sheetId="25" r:id="rId4"/>
    <sheet name="练度预期" sheetId="27" r:id="rId5"/>
    <sheet name="Temp_Custom_Chart" sheetId="34" state="veryHidden" r:id="rId6"/>
    <sheet name="强度预期" sheetId="31" r:id="rId7"/>
    <sheet name="玩家等级" sheetId="29" r:id="rId8"/>
    <sheet name="装备养成" sheetId="24" r:id="rId9"/>
    <sheet name="梦灵养成" sheetId="30" r:id="rId10"/>
    <sheet name="符文养成" sheetId="32" r:id="rId11"/>
    <sheet name="秘宝养成" sheetId="33" r:id="rId12"/>
    <sheet name="价值表" sheetId="17" r:id="rId13"/>
    <sheet name="关卡预期" sheetId="35" r:id="rId14"/>
    <sheet name="问题分析" sheetId="36" r:id="rId15"/>
    <sheet name="Sheet1" sheetId="37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<sst xmlns="http://schemas.openxmlformats.org/spreadsheetml/2006/main" count="1066" uniqueCount="312">
  <si>
    <t>版本号</t>
  </si>
  <si>
    <t xml:space="preserve">  修改内容</t>
  </si>
  <si>
    <t>负责人</t>
  </si>
  <si>
    <t>日期</t>
  </si>
  <si>
    <t>创建文档</t>
  </si>
  <si>
    <t>刁子文</t>
  </si>
  <si>
    <t>商业化数值</t>
  </si>
  <si>
    <t>说明</t>
  </si>
  <si>
    <t>设计思路</t>
  </si>
  <si>
    <t>本页结束</t>
  </si>
  <si>
    <t>Day</t>
  </si>
  <si>
    <t>主线挑战/扫荡</t>
  </si>
  <si>
    <t>组队产出</t>
  </si>
  <si>
    <t>主线宝箱</t>
  </si>
  <si>
    <t>体力花费</t>
  </si>
  <si>
    <t>默认值</t>
  </si>
  <si>
    <t>类型</t>
  </si>
  <si>
    <t>非R</t>
  </si>
  <si>
    <t>小R</t>
  </si>
  <si>
    <t>中R</t>
  </si>
  <si>
    <t>大R</t>
  </si>
  <si>
    <t>主线推图</t>
  </si>
  <si>
    <t>扫荡产出</t>
  </si>
  <si>
    <t>活动产出</t>
  </si>
  <si>
    <t>挂机产出</t>
  </si>
  <si>
    <t>金币本首通</t>
  </si>
  <si>
    <t>竞技场产出</t>
  </si>
  <si>
    <t>主线任务</t>
  </si>
  <si>
    <t>公会产出</t>
  </si>
  <si>
    <t>竞技场日结算</t>
  </si>
  <si>
    <t>章节礼包</t>
  </si>
  <si>
    <t>竞技场周结算</t>
  </si>
  <si>
    <t>任务产出</t>
  </si>
  <si>
    <t>金币本扫荡</t>
  </si>
  <si>
    <t>商城购买</t>
  </si>
  <si>
    <t>基因协助</t>
  </si>
  <si>
    <t>星星宝箱</t>
  </si>
  <si>
    <t>协力宝箱</t>
  </si>
  <si>
    <t>竞技场商店</t>
  </si>
  <si>
    <t>主线进度</t>
  </si>
  <si>
    <t>天数</t>
  </si>
  <si>
    <t>钻石</t>
  </si>
  <si>
    <t>体力</t>
  </si>
  <si>
    <t>金币</t>
  </si>
  <si>
    <t>能量特饮</t>
  </si>
  <si>
    <t>能量特饮2</t>
  </si>
  <si>
    <t>梦境招募券</t>
  </si>
  <si>
    <t>梦愿水晶</t>
  </si>
  <si>
    <t>转运石</t>
  </si>
  <si>
    <t>装备强化书</t>
  </si>
  <si>
    <t>锻造晶石</t>
  </si>
  <si>
    <t>随机普通装备</t>
  </si>
  <si>
    <t>随机优秀装备</t>
  </si>
  <si>
    <t>随机稀有装备</t>
  </si>
  <si>
    <t>随机史诗装备</t>
  </si>
  <si>
    <t>随机传说装备</t>
  </si>
  <si>
    <t>随机神话装备</t>
  </si>
  <si>
    <t>随机创世装备</t>
  </si>
  <si>
    <t>随机彩虹装备</t>
  </si>
  <si>
    <t>初愿摇杆</t>
  </si>
  <si>
    <t>秘藏摇杆</t>
  </si>
  <si>
    <t>符引结晶</t>
  </si>
  <si>
    <t>幻梦晶核</t>
  </si>
  <si>
    <t>普通符文</t>
  </si>
  <si>
    <t>优秀符文</t>
  </si>
  <si>
    <t>稀有符文</t>
  </si>
  <si>
    <t>史诗符文</t>
  </si>
  <si>
    <t>传说符文</t>
  </si>
  <si>
    <t>神话符文</t>
  </si>
  <si>
    <t>创世符文</t>
  </si>
  <si>
    <t>织梦微尘</t>
  </si>
  <si>
    <t>潜能棱晶</t>
  </si>
  <si>
    <t>加速沙漏</t>
  </si>
  <si>
    <t>玩家等级</t>
  </si>
  <si>
    <t>装备等级</t>
  </si>
  <si>
    <t>装备品质</t>
  </si>
  <si>
    <t>装备件数</t>
  </si>
  <si>
    <t>梦灵释放</t>
  </si>
  <si>
    <t>梦灵付费</t>
  </si>
  <si>
    <t>稀有梦灵</t>
  </si>
  <si>
    <t>史诗梦灵</t>
  </si>
  <si>
    <t>传说梦灵</t>
  </si>
  <si>
    <t>神话梦灵</t>
  </si>
  <si>
    <t>符文数</t>
  </si>
  <si>
    <t>符文品质</t>
  </si>
  <si>
    <t>秘宝等级</t>
  </si>
  <si>
    <t>强化等级2</t>
  </si>
  <si>
    <t>装备品质2</t>
  </si>
  <si>
    <t>符文攻击2</t>
  </si>
  <si>
    <t>强度贡献</t>
  </si>
  <si>
    <t>强化等级</t>
  </si>
  <si>
    <t>符文攻击</t>
  </si>
  <si>
    <t>强化洗练</t>
  </si>
  <si>
    <t>符文系数</t>
  </si>
  <si>
    <t>秘宝系数</t>
  </si>
  <si>
    <t>强度预期</t>
  </si>
  <si>
    <t>关卡数</t>
  </si>
  <si>
    <t>装备洗练</t>
  </si>
  <si>
    <t>梦灵释放2</t>
  </si>
  <si>
    <t>符文系数2</t>
  </si>
  <si>
    <t>秘宝系数2</t>
  </si>
  <si>
    <t>预期升级天数</t>
  </si>
  <si>
    <t>升下1级经验</t>
  </si>
  <si>
    <t>累计经验</t>
  </si>
  <si>
    <t>生命</t>
  </si>
  <si>
    <t>攻击</t>
  </si>
  <si>
    <t>图纸消耗</t>
  </si>
  <si>
    <t>金币消耗</t>
  </si>
  <si>
    <t>图纸合计</t>
  </si>
  <si>
    <t>金币合计</t>
  </si>
  <si>
    <t>ID</t>
  </si>
  <si>
    <t>装备类型</t>
  </si>
  <si>
    <t>品质参数</t>
  </si>
  <si>
    <t>品质</t>
  </si>
  <si>
    <t>属性</t>
  </si>
  <si>
    <t>头盔</t>
  </si>
  <si>
    <t>白</t>
  </si>
  <si>
    <t>绿</t>
  </si>
  <si>
    <t>蓝</t>
  </si>
  <si>
    <t>紫</t>
  </si>
  <si>
    <t>橙</t>
  </si>
  <si>
    <t>红</t>
  </si>
  <si>
    <t>粉</t>
  </si>
  <si>
    <t>彩</t>
  </si>
  <si>
    <t>参数</t>
  </si>
  <si>
    <t>钻石抽卡比</t>
  </si>
  <si>
    <t>每周兑换个数</t>
  </si>
  <si>
    <t>#当没有满图鉴基本概率低，满图鉴后产的多</t>
  </si>
  <si>
    <t>来源</t>
  </si>
  <si>
    <t>阶段节点</t>
  </si>
  <si>
    <t>核心奖励</t>
  </si>
  <si>
    <t>梦灵品质</t>
  </si>
  <si>
    <t>梦灵倍率</t>
  </si>
  <si>
    <t>梦灵系数</t>
  </si>
  <si>
    <t>升阶系数</t>
  </si>
  <si>
    <t>主C</t>
  </si>
  <si>
    <t>招募等级</t>
  </si>
  <si>
    <t>蓝卡</t>
  </si>
  <si>
    <t>紫卡</t>
  </si>
  <si>
    <t>橙卡</t>
  </si>
  <si>
    <t>红卡</t>
  </si>
  <si>
    <t>升级经验</t>
  </si>
  <si>
    <t>升级经验2</t>
  </si>
  <si>
    <t>列1</t>
  </si>
  <si>
    <t>星铸</t>
  </si>
  <si>
    <t>寒冰射手</t>
  </si>
  <si>
    <t>炽焰巫师</t>
  </si>
  <si>
    <t>吟游诗人</t>
  </si>
  <si>
    <t>摇滚巨石</t>
  </si>
  <si>
    <t>泥巴少女</t>
  </si>
  <si>
    <t>雷震子</t>
  </si>
  <si>
    <t>忍者鲨手</t>
  </si>
  <si>
    <t>甜心护士</t>
  </si>
  <si>
    <t>路飞</t>
  </si>
  <si>
    <t>镭射眼</t>
  </si>
  <si>
    <t>轮巡</t>
  </si>
  <si>
    <t>东方不败</t>
  </si>
  <si>
    <t>亚瑟</t>
  </si>
  <si>
    <t>蜘蛛女王</t>
  </si>
  <si>
    <t>唐小僧</t>
  </si>
  <si>
    <t>神灯王子</t>
  </si>
  <si>
    <t>关羽</t>
  </si>
  <si>
    <t>后羿</t>
  </si>
  <si>
    <t>诸葛</t>
  </si>
  <si>
    <t>我爱沙</t>
  </si>
  <si>
    <t>海拉</t>
  </si>
  <si>
    <t>妲己</t>
  </si>
  <si>
    <t>白蛇</t>
  </si>
  <si>
    <t>关卡</t>
  </si>
  <si>
    <t>抽数</t>
  </si>
  <si>
    <t>招募/星铸</t>
  </si>
  <si>
    <t>卡池1</t>
  </si>
  <si>
    <t>卡池2</t>
  </si>
  <si>
    <t>卡池3</t>
  </si>
  <si>
    <t>卡池4</t>
  </si>
  <si>
    <t>卡池5</t>
  </si>
  <si>
    <t>卡池6</t>
  </si>
  <si>
    <t>卡池7</t>
  </si>
  <si>
    <t>梦灵等级</t>
  </si>
  <si>
    <t>档次收益</t>
  </si>
  <si>
    <t>#把控前期付费体验</t>
  </si>
  <si>
    <t>#把控前期付费边界</t>
  </si>
  <si>
    <t>#把控惊喜体验</t>
  </si>
  <si>
    <t>等级</t>
  </si>
  <si>
    <t>3（非稀释）</t>
  </si>
  <si>
    <t>3（稀释）</t>
  </si>
  <si>
    <t>3（怪物类）</t>
  </si>
  <si>
    <t>符文产出</t>
  </si>
  <si>
    <t>符文个数</t>
  </si>
  <si>
    <t>品质系数</t>
  </si>
  <si>
    <t>1~2档符文</t>
  </si>
  <si>
    <t>3档符文</t>
  </si>
  <si>
    <t>4档符文</t>
  </si>
  <si>
    <t>5档符文</t>
  </si>
  <si>
    <t>6档符文</t>
  </si>
  <si>
    <t>基础符文强度</t>
  </si>
  <si>
    <t>总倍率</t>
  </si>
  <si>
    <t>合成</t>
  </si>
  <si>
    <t>档次</t>
  </si>
  <si>
    <t>数量</t>
  </si>
  <si>
    <t>披风消耗</t>
  </si>
  <si>
    <t>技能升级消耗</t>
  </si>
  <si>
    <t>预期强度</t>
  </si>
  <si>
    <t>主要投放途径</t>
  </si>
  <si>
    <t>序号</t>
  </si>
  <si>
    <t>道具ID</t>
  </si>
  <si>
    <t>道具名称</t>
  </si>
  <si>
    <t>类别</t>
  </si>
  <si>
    <t>钻石价值</t>
  </si>
  <si>
    <t>RMB售价</t>
  </si>
  <si>
    <t>途径1</t>
  </si>
  <si>
    <t>途径2</t>
  </si>
  <si>
    <t>标准折扣</t>
  </si>
  <si>
    <t>系统</t>
  </si>
  <si>
    <t>备注</t>
  </si>
  <si>
    <t>整体思路</t>
  </si>
  <si>
    <t>货币类</t>
  </si>
  <si>
    <t>任务/成就/主线三星</t>
  </si>
  <si>
    <t>充值</t>
  </si>
  <si>
    <t>做各阶层的能力阶梯</t>
  </si>
  <si>
    <t>快捷购买</t>
  </si>
  <si>
    <t>日周月商店</t>
  </si>
  <si>
    <t>装备系统</t>
  </si>
  <si>
    <t>星珀</t>
  </si>
  <si>
    <t>每日特惠</t>
  </si>
  <si>
    <t>排行冲刺</t>
  </si>
  <si>
    <t>做中R的付费质感（前期中R）</t>
  </si>
  <si>
    <t>战令宝箱</t>
  </si>
  <si>
    <t>每日特惠宝箱</t>
  </si>
  <si>
    <t>咩菲特的雕像</t>
  </si>
  <si>
    <t>织梦宝箱</t>
  </si>
  <si>
    <t>筑梦快递箱</t>
  </si>
  <si>
    <t>筑梦典藏箱</t>
  </si>
  <si>
    <t>巡航门票</t>
  </si>
  <si>
    <t>梦灵系统</t>
  </si>
  <si>
    <t>梦灵类</t>
  </si>
  <si>
    <t>体力产出</t>
  </si>
  <si>
    <t>做非R的基础体验</t>
  </si>
  <si>
    <t>情绪净化/主线任务</t>
  </si>
  <si>
    <t>商店购买</t>
  </si>
  <si>
    <t>做各阶层的能力阶梯（前期质变）</t>
  </si>
  <si>
    <t>招募累计</t>
  </si>
  <si>
    <t>心愿招募</t>
  </si>
  <si>
    <t>神灯</t>
  </si>
  <si>
    <t>限定招募</t>
  </si>
  <si>
    <t>做大R的付费边界（后期质变）</t>
  </si>
  <si>
    <t>英雄招募</t>
  </si>
  <si>
    <t>彩虹梦灵</t>
  </si>
  <si>
    <t>稀有梦灵碎片</t>
  </si>
  <si>
    <t>史诗梦灵碎片</t>
  </si>
  <si>
    <t>传说梦灵碎片</t>
  </si>
  <si>
    <t>神话梦灵碎片</t>
  </si>
  <si>
    <t>彩虹梦灵碎片</t>
  </si>
  <si>
    <t>公会贡献</t>
  </si>
  <si>
    <t>友情值</t>
  </si>
  <si>
    <t>装备类</t>
  </si>
  <si>
    <t>做非R长线活跃养成</t>
  </si>
  <si>
    <t>主线装备箱</t>
  </si>
  <si>
    <t>队长大箱子</t>
  </si>
  <si>
    <t>队长小箱子</t>
  </si>
  <si>
    <t>宝石类</t>
  </si>
  <si>
    <t>符文系统</t>
  </si>
  <si>
    <t>宝石低抽</t>
  </si>
  <si>
    <t>宝石高抽</t>
  </si>
  <si>
    <t>低级洗练石</t>
  </si>
  <si>
    <t>高级洗练石</t>
  </si>
  <si>
    <t>做中R的付费质感</t>
  </si>
  <si>
    <t>白宝石</t>
  </si>
  <si>
    <t>绿宝石</t>
  </si>
  <si>
    <t>蓝宝石</t>
  </si>
  <si>
    <t>紫宝石</t>
  </si>
  <si>
    <t>橙宝石</t>
  </si>
  <si>
    <t>红宝石</t>
  </si>
  <si>
    <t>做大R的付费质感</t>
  </si>
  <si>
    <t>彩宝石</t>
  </si>
  <si>
    <t>做大R的付费边界</t>
  </si>
  <si>
    <t>符文宝箱</t>
  </si>
  <si>
    <t>基因类</t>
  </si>
  <si>
    <t>基因系统</t>
  </si>
  <si>
    <t>基因低级材料</t>
  </si>
  <si>
    <t>主线三星</t>
  </si>
  <si>
    <t>基因高级材料</t>
  </si>
  <si>
    <t>通过SS类活动做分层</t>
  </si>
  <si>
    <t>晶石</t>
  </si>
  <si>
    <t>秘宝类</t>
  </si>
  <si>
    <t>公会活动</t>
  </si>
  <si>
    <t>秘宝系统</t>
  </si>
  <si>
    <t>抽奖道具</t>
  </si>
  <si>
    <t>运营活动</t>
  </si>
  <si>
    <t>史诗梦灵皮肤</t>
  </si>
  <si>
    <t>传说梦灵皮肤</t>
  </si>
  <si>
    <t>神话梦灵皮肤</t>
  </si>
  <si>
    <t>传说武器皮肤</t>
  </si>
  <si>
    <t>神话武器皮肤</t>
  </si>
  <si>
    <t>传说时装皮肤</t>
  </si>
  <si>
    <t>做中小R的钻销体系+大R的付费隔绝</t>
  </si>
  <si>
    <t>神话时装皮肤</t>
  </si>
  <si>
    <t>传说船体皮肤</t>
  </si>
  <si>
    <t>神话船体皮肤</t>
  </si>
  <si>
    <t>#关卡血量=属性值*伤害系数</t>
  </si>
  <si>
    <t>怪物等级</t>
  </si>
  <si>
    <t>关卡期望血量</t>
  </si>
  <si>
    <t>#主要关注长线补偿反馈</t>
  </si>
  <si>
    <t>所属模块</t>
  </si>
  <si>
    <t>玩法名</t>
  </si>
  <si>
    <t>产出途径</t>
  </si>
  <si>
    <t>玩法次数</t>
  </si>
  <si>
    <t>装备</t>
  </si>
  <si>
    <t>资源剧本</t>
  </si>
  <si>
    <t>150*关卡</t>
  </si>
  <si>
    <t>竞技日结算</t>
  </si>
  <si>
    <t>竞技周结算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</si>
</sst>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0.00_ "/>
    <numFmt numFmtId="178" formatCode="0.0%"/>
    <numFmt numFmtId="179" formatCode="[=0]&quot;&quot;;General"/>
    <numFmt numFmtId="180" formatCode="0.0_);[Red]\(0.0\)"/>
    <numFmt numFmtId="181" formatCode="0.0_ "/>
    <numFmt numFmtId="182" formatCode="yyyy/m/d;@"/>
  </numFmts>
  <fonts count="48">
    <font>
      <sz val="11"/>
      <color theme="1"/>
      <name val="宋体"/>
      <charset val="134"/>
      <scheme val="minor"/>
    </font>
    <font>
      <b/>
      <sz val="10"/>
      <color rgb="FFFFFFFF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b/>
      <sz val="11"/>
      <color theme="4"/>
      <name val="微软雅黑"/>
      <charset val="134"/>
    </font>
    <font>
      <sz val="11"/>
      <name val="微软雅黑"/>
      <charset val="134"/>
    </font>
    <font>
      <b/>
      <sz val="10"/>
      <color rgb="FFFF0000"/>
      <name val="微软雅黑"/>
      <charset val="134"/>
    </font>
    <font>
      <sz val="10"/>
      <name val="微软雅黑"/>
      <charset val="134"/>
    </font>
    <font>
      <b/>
      <sz val="10"/>
      <color theme="0"/>
      <name val="微软雅黑"/>
      <charset val="134"/>
    </font>
    <font>
      <b/>
      <sz val="10"/>
      <color theme="1"/>
      <name val="微软雅黑"/>
      <charset val="134"/>
    </font>
    <font>
      <sz val="10"/>
      <color rgb="FF000000"/>
      <name val="宋体"/>
      <charset val="134"/>
      <scheme val="minor"/>
    </font>
    <font>
      <sz val="10"/>
      <color rgb="FF000000"/>
      <name val="等线"/>
      <charset val="134"/>
    </font>
    <font>
      <b/>
      <sz val="12"/>
      <color rgb="FFFFFFFF"/>
      <name val="宋体"/>
      <charset val="134"/>
      <scheme val="minor"/>
    </font>
    <font>
      <sz val="12"/>
      <color rgb="FF000000"/>
      <name val="宋体"/>
      <charset val="134"/>
      <scheme val="minor"/>
    </font>
    <font>
      <b/>
      <sz val="12"/>
      <color rgb="FFDE3C36"/>
      <name val="宋体"/>
      <charset val="134"/>
      <scheme val="minor"/>
    </font>
    <font>
      <b/>
      <sz val="10"/>
      <color theme="4"/>
      <name val="微软雅黑"/>
      <charset val="134"/>
    </font>
    <font>
      <b/>
      <sz val="12"/>
      <color rgb="FFFFFFFF"/>
      <name val="微软雅黑"/>
      <charset val="134"/>
    </font>
    <font>
      <sz val="12"/>
      <color theme="0"/>
      <name val="微软雅黑"/>
      <charset val="134"/>
    </font>
    <font>
      <b/>
      <sz val="12"/>
      <color theme="0"/>
      <name val="微软雅黑"/>
      <charset val="134"/>
    </font>
    <font>
      <sz val="12"/>
      <name val="微软雅黑"/>
      <charset val="134"/>
    </font>
    <font>
      <b/>
      <sz val="12"/>
      <name val="微软雅黑"/>
      <charset val="134"/>
    </font>
    <font>
      <sz val="12"/>
      <name val="宋体"/>
      <charset val="134"/>
      <scheme val="minor"/>
    </font>
    <font>
      <sz val="10"/>
      <color theme="1"/>
      <name val="宋体"/>
      <charset val="134"/>
      <scheme val="minor"/>
    </font>
    <font>
      <sz val="12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0"/>
      <color rgb="FFFFFFFF"/>
      <name val="宋体"/>
      <charset val="134"/>
      <scheme val="minor"/>
    </font>
    <font>
      <b/>
      <sz val="12"/>
      <color theme="1"/>
      <name val="微软雅黑"/>
      <charset val="134"/>
    </font>
    <font>
      <sz val="12"/>
      <color rgb="FFFFFFFF"/>
      <name val="微软雅黑"/>
      <charset val="134"/>
    </font>
    <font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ED7D31"/>
        <bgColor indexed="64"/>
      </patternFill>
    </fill>
    <fill>
      <patternFill patternType="solid">
        <fgColor rgb="FFEAFA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2"/>
        <bgColor indexed="64"/>
      </patternFill>
    </fill>
    <fill>
      <patternFill patternType="solid">
        <fgColor theme="4" tint="0.599994"/>
        <bgColor indexed="64"/>
      </patternFill>
    </fill>
    <fill>
      <patternFill patternType="solid">
        <fgColor theme="4" tint="0.39997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2"/>
        <bgColor indexed="64"/>
      </patternFill>
    </fill>
    <fill>
      <patternFill patternType="solid">
        <fgColor theme="5" tint="0.599994"/>
        <bgColor indexed="64"/>
      </patternFill>
    </fill>
    <fill>
      <patternFill patternType="solid">
        <fgColor theme="5" tint="0.39997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2"/>
        <bgColor indexed="64"/>
      </patternFill>
    </fill>
    <fill>
      <patternFill patternType="solid">
        <fgColor theme="6" tint="0.599994"/>
        <bgColor indexed="64"/>
      </patternFill>
    </fill>
    <fill>
      <patternFill patternType="solid">
        <fgColor theme="6" tint="0.39997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2"/>
        <bgColor indexed="64"/>
      </patternFill>
    </fill>
    <fill>
      <patternFill patternType="solid">
        <fgColor theme="7" tint="0.599994"/>
        <bgColor indexed="64"/>
      </patternFill>
    </fill>
    <fill>
      <patternFill patternType="solid">
        <fgColor theme="7" tint="0.39997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2"/>
        <bgColor indexed="64"/>
      </patternFill>
    </fill>
    <fill>
      <patternFill patternType="solid">
        <fgColor theme="8" tint="0.599994"/>
        <bgColor indexed="64"/>
      </patternFill>
    </fill>
    <fill>
      <patternFill patternType="solid">
        <fgColor theme="8" tint="0.39997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2"/>
        <bgColor indexed="64"/>
      </patternFill>
    </fill>
    <fill>
      <patternFill patternType="solid">
        <fgColor theme="9" tint="0.599994"/>
        <bgColor indexed="64"/>
      </patternFill>
    </fill>
    <fill>
      <patternFill patternType="solid">
        <fgColor theme="9" tint="0.399976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 tint="0.399975585192419"/>
      </top>
      <bottom style="thin">
        <color theme="4"/>
      </bottom>
      <diagonal/>
    </border>
    <border>
      <left/>
      <right/>
      <top style="thin">
        <color theme="4" tint="0.399975585192419"/>
      </top>
      <bottom style="thin">
        <color theme="4"/>
      </bottom>
      <diagonal/>
    </border>
    <border>
      <left style="thin">
        <color rgb="FFED7D31"/>
      </left>
      <right/>
      <top style="thin">
        <color rgb="FFED7D31"/>
      </top>
      <bottom style="thin">
        <color rgb="FFED7D31"/>
      </bottom>
      <diagonal/>
    </border>
    <border>
      <left/>
      <right style="thin">
        <color rgb="FFED7D31"/>
      </right>
      <top style="thin">
        <color rgb="FFED7D31"/>
      </top>
      <bottom style="thin">
        <color rgb="FFED7D3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8" borderId="24" applyNumberFormat="0" applyFon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5" applyNumberFormat="0" applyFill="0" applyAlignment="0" applyProtection="0">
      <alignment vertical="center"/>
    </xf>
    <xf numFmtId="0" fontId="35" fillId="0" borderId="25" applyNumberFormat="0" applyFill="0" applyAlignment="0" applyProtection="0">
      <alignment vertical="center"/>
    </xf>
    <xf numFmtId="0" fontId="36" fillId="0" borderId="26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19" borderId="27" applyNumberFormat="0" applyAlignment="0" applyProtection="0">
      <alignment vertical="center"/>
    </xf>
    <xf numFmtId="0" fontId="38" fillId="20" borderId="28" applyNumberFormat="0" applyAlignment="0" applyProtection="0">
      <alignment vertical="center"/>
    </xf>
    <xf numFmtId="0" fontId="39" fillId="20" borderId="27" applyNumberFormat="0" applyAlignment="0" applyProtection="0">
      <alignment vertical="center"/>
    </xf>
    <xf numFmtId="0" fontId="40" fillId="21" borderId="29" applyNumberFormat="0" applyAlignment="0" applyProtection="0">
      <alignment vertical="center"/>
    </xf>
    <xf numFmtId="0" fontId="41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47" fillId="26" borderId="0" applyNumberFormat="0" applyBorder="0" applyAlignment="0" applyProtection="0">
      <alignment vertical="center"/>
    </xf>
    <xf numFmtId="0" fontId="47" fillId="27" borderId="0" applyNumberFormat="0" applyBorder="0" applyAlignment="0" applyProtection="0">
      <alignment vertical="center"/>
    </xf>
    <xf numFmtId="0" fontId="46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46" fillId="32" borderId="0" applyNumberFormat="0" applyBorder="0" applyAlignment="0" applyProtection="0">
      <alignment vertical="center"/>
    </xf>
    <xf numFmtId="0" fontId="46" fillId="33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6" fillId="36" borderId="0" applyNumberFormat="0" applyBorder="0" applyAlignment="0" applyProtection="0">
      <alignment vertical="center"/>
    </xf>
    <xf numFmtId="0" fontId="46" fillId="37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46" fillId="41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6" fillId="44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7" fillId="46" borderId="0" applyNumberFormat="0" applyBorder="0" applyAlignment="0" applyProtection="0">
      <alignment vertical="center"/>
    </xf>
    <xf numFmtId="0" fontId="47" fillId="47" borderId="0" applyNumberFormat="0" applyBorder="0" applyAlignment="0" applyProtection="0">
      <alignment vertical="center"/>
    </xf>
    <xf numFmtId="0" fontId="46" fillId="48" borderId="0" applyNumberFormat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3" borderId="3" xfId="0" applyNumberFormat="1" applyFont="1" applyFill="1" applyBorder="1" applyAlignment="1">
      <alignment horizontal="center" vertical="center"/>
    </xf>
    <xf numFmtId="0" fontId="4" fillId="3" borderId="4" xfId="0" applyNumberFormat="1" applyFont="1" applyFill="1" applyBorder="1" applyAlignment="1">
      <alignment horizontal="center"/>
    </xf>
    <xf numFmtId="0" fontId="4" fillId="4" borderId="3" xfId="0" applyNumberFormat="1" applyFont="1" applyFill="1" applyBorder="1" applyAlignment="1">
      <alignment vertical="center"/>
    </xf>
    <xf numFmtId="0" fontId="4" fillId="3" borderId="4" xfId="0" applyNumberFormat="1" applyFont="1" applyFill="1" applyBorder="1" applyAlignment="1">
      <alignment horizontal="center" vertical="center"/>
    </xf>
    <xf numFmtId="0" fontId="4" fillId="3" borderId="5" xfId="0" applyNumberFormat="1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0" fontId="1" fillId="6" borderId="6" xfId="0" applyFont="1" applyFill="1" applyBorder="1" applyAlignment="1">
      <alignment horizontal="center" vertical="center"/>
    </xf>
    <xf numFmtId="0" fontId="6" fillId="7" borderId="0" xfId="0" applyFont="1" applyFill="1">
      <alignment vertical="center"/>
    </xf>
    <xf numFmtId="0" fontId="1" fillId="6" borderId="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9" fillId="8" borderId="8" xfId="0" applyFont="1" applyFill="1" applyBorder="1" applyAlignment="1">
      <alignment horizontal="left" vertical="center"/>
    </xf>
    <xf numFmtId="0" fontId="9" fillId="8" borderId="9" xfId="0" applyFont="1" applyFill="1" applyBorder="1" applyAlignment="1">
      <alignment horizontal="left" vertical="center"/>
    </xf>
    <xf numFmtId="0" fontId="10" fillId="0" borderId="10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horizontal="left" vertical="center"/>
    </xf>
    <xf numFmtId="177" fontId="3" fillId="0" borderId="11" xfId="3" applyNumberFormat="1" applyFont="1" applyBorder="1" applyAlignment="1">
      <alignment horizontal="left" vertical="center"/>
    </xf>
    <xf numFmtId="0" fontId="10" fillId="0" borderId="12" xfId="0" applyFont="1" applyFill="1" applyBorder="1" applyAlignment="1">
      <alignment horizontal="left" vertical="center"/>
    </xf>
    <xf numFmtId="0" fontId="3" fillId="0" borderId="13" xfId="0" applyFont="1" applyFill="1" applyBorder="1" applyAlignment="1">
      <alignment horizontal="left" vertical="center"/>
    </xf>
    <xf numFmtId="177" fontId="3" fillId="0" borderId="13" xfId="3" applyNumberFormat="1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3" fillId="9" borderId="14" xfId="0" applyFont="1" applyFill="1" applyBorder="1" applyAlignment="1">
      <alignment horizontal="center"/>
    </xf>
    <xf numFmtId="0" fontId="13" fillId="9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9" fontId="3" fillId="0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4" fillId="0" borderId="14" xfId="0" applyFont="1" applyBorder="1" applyAlignment="1">
      <alignment horizontal="center"/>
    </xf>
    <xf numFmtId="9" fontId="14" fillId="10" borderId="14" xfId="0" applyNumberFormat="1" applyFont="1" applyFill="1" applyBorder="1" applyAlignment="1">
      <alignment horizontal="center"/>
    </xf>
    <xf numFmtId="9" fontId="14" fillId="0" borderId="14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 vertical="center"/>
    </xf>
    <xf numFmtId="9" fontId="2" fillId="0" borderId="2" xfId="3" applyFont="1" applyBorder="1" applyAlignment="1">
      <alignment horizontal="center" vertical="center"/>
    </xf>
    <xf numFmtId="177" fontId="2" fillId="0" borderId="2" xfId="0" applyNumberFormat="1" applyFont="1" applyBorder="1" applyAlignment="1">
      <alignment horizontal="center" vertical="center"/>
    </xf>
    <xf numFmtId="9" fontId="2" fillId="0" borderId="2" xfId="3" applyNumberFormat="1" applyFont="1" applyBorder="1" applyAlignment="1">
      <alignment horizontal="center" vertical="center"/>
    </xf>
    <xf numFmtId="178" fontId="0" fillId="0" borderId="0" xfId="3" applyNumberFormat="1" applyAlignment="1">
      <alignment horizontal="center" vertical="center"/>
    </xf>
    <xf numFmtId="9" fontId="15" fillId="0" borderId="14" xfId="0" applyNumberFormat="1" applyFont="1" applyBorder="1" applyAlignment="1">
      <alignment horizont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9" fontId="16" fillId="0" borderId="11" xfId="3" applyNumberFormat="1" applyFont="1" applyBorder="1" applyAlignment="1">
      <alignment horizontal="center" vertical="center"/>
    </xf>
    <xf numFmtId="0" fontId="16" fillId="0" borderId="11" xfId="3" applyNumberFormat="1" applyFont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1" fontId="3" fillId="12" borderId="3" xfId="0" applyNumberFormat="1" applyFont="1" applyFill="1" applyBorder="1" applyAlignment="1">
      <alignment horizontal="center" vertical="center"/>
    </xf>
    <xf numFmtId="9" fontId="3" fillId="12" borderId="3" xfId="3" applyFont="1" applyFill="1" applyBorder="1" applyAlignment="1">
      <alignment horizontal="center" vertical="center"/>
    </xf>
    <xf numFmtId="9" fontId="3" fillId="12" borderId="3" xfId="3" applyNumberFormat="1" applyFont="1" applyFill="1" applyBorder="1" applyAlignment="1">
      <alignment horizontal="center" vertical="center"/>
    </xf>
    <xf numFmtId="0" fontId="3" fillId="12" borderId="3" xfId="3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9" fontId="16" fillId="0" borderId="11" xfId="3" applyFont="1" applyFill="1" applyBorder="1" applyAlignment="1">
      <alignment horizontal="center" vertical="center"/>
    </xf>
    <xf numFmtId="178" fontId="16" fillId="0" borderId="11" xfId="3" applyNumberFormat="1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1" fontId="3" fillId="13" borderId="3" xfId="0" applyNumberFormat="1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9" fontId="3" fillId="13" borderId="3" xfId="3" applyFont="1" applyFill="1" applyBorder="1" applyAlignment="1">
      <alignment horizontal="center" vertical="center"/>
    </xf>
    <xf numFmtId="9" fontId="3" fillId="0" borderId="10" xfId="3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9" fontId="3" fillId="0" borderId="10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1" fontId="3" fillId="1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0" borderId="10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0" fontId="17" fillId="11" borderId="1" xfId="0" applyFont="1" applyFill="1" applyBorder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9" fillId="14" borderId="8" xfId="0" applyFont="1" applyFill="1" applyBorder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180" fontId="20" fillId="0" borderId="11" xfId="0" applyNumberFormat="1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0" fillId="0" borderId="0" xfId="0" applyNumberFormat="1" applyFont="1" applyFill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0" fontId="20" fillId="0" borderId="11" xfId="0" applyNumberFormat="1" applyFont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/>
    </xf>
    <xf numFmtId="0" fontId="23" fillId="0" borderId="16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/>
    </xf>
    <xf numFmtId="0" fontId="23" fillId="0" borderId="1" xfId="0" applyFont="1" applyFill="1" applyBorder="1" applyAlignment="1">
      <alignment horizontal="center" vertical="center"/>
    </xf>
    <xf numFmtId="0" fontId="24" fillId="13" borderId="18" xfId="0" applyFont="1" applyFill="1" applyBorder="1" applyAlignment="1">
      <alignment horizont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176" fontId="2" fillId="0" borderId="2" xfId="3" applyNumberFormat="1" applyFont="1" applyBorder="1" applyAlignment="1">
      <alignment horizontal="center" vertical="center"/>
    </xf>
    <xf numFmtId="9" fontId="0" fillId="0" borderId="0" xfId="3" applyAlignment="1">
      <alignment horizontal="center" vertical="center"/>
    </xf>
    <xf numFmtId="0" fontId="25" fillId="0" borderId="0" xfId="6" applyFont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8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vertical="center"/>
    </xf>
    <xf numFmtId="0" fontId="23" fillId="0" borderId="0" xfId="0" applyNumberFormat="1" applyFont="1" applyFill="1" applyBorder="1" applyAlignment="1">
      <alignment vertical="center"/>
    </xf>
    <xf numFmtId="0" fontId="17" fillId="15" borderId="0" xfId="0" applyFont="1" applyFill="1">
      <alignment vertical="center"/>
    </xf>
    <xf numFmtId="0" fontId="17" fillId="15" borderId="0" xfId="0" applyFont="1" applyFill="1" applyAlignment="1">
      <alignment horizontal="left" vertical="center"/>
    </xf>
    <xf numFmtId="0" fontId="1" fillId="15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left" vertical="center"/>
    </xf>
    <xf numFmtId="0" fontId="8" fillId="0" borderId="0" xfId="0" applyFont="1">
      <alignment vertical="center"/>
    </xf>
    <xf numFmtId="0" fontId="17" fillId="16" borderId="0" xfId="0" applyFont="1" applyFill="1">
      <alignment vertical="center"/>
    </xf>
    <xf numFmtId="0" fontId="17" fillId="16" borderId="0" xfId="0" applyFont="1" applyFill="1" applyAlignment="1">
      <alignment horizontal="left" vertical="center"/>
    </xf>
    <xf numFmtId="0" fontId="1" fillId="16" borderId="0" xfId="0" applyFont="1" applyFill="1">
      <alignment vertical="center"/>
    </xf>
    <xf numFmtId="0" fontId="21" fillId="11" borderId="0" xfId="0" applyFont="1" applyFill="1" applyAlignment="1">
      <alignment horizontal="left" vertical="center"/>
    </xf>
    <xf numFmtId="0" fontId="8" fillId="0" borderId="0" xfId="0" applyNumberFormat="1" applyFont="1">
      <alignment vertical="center"/>
    </xf>
    <xf numFmtId="0" fontId="17" fillId="17" borderId="20" xfId="0" applyFont="1" applyFill="1" applyBorder="1" applyAlignment="1">
      <alignment horizontal="justify" vertical="center" wrapText="1"/>
    </xf>
    <xf numFmtId="0" fontId="17" fillId="17" borderId="21" xfId="0" applyFont="1" applyFill="1" applyBorder="1" applyAlignment="1">
      <alignment horizontal="justify" vertical="center" wrapText="1"/>
    </xf>
    <xf numFmtId="0" fontId="28" fillId="17" borderId="21" xfId="0" applyFont="1" applyFill="1" applyBorder="1" applyAlignment="1">
      <alignment horizontal="justify" vertical="center" wrapText="1"/>
    </xf>
    <xf numFmtId="0" fontId="27" fillId="0" borderId="22" xfId="0" applyFont="1" applyBorder="1" applyAlignment="1">
      <alignment horizontal="justify" vertical="center" wrapText="1"/>
    </xf>
    <xf numFmtId="0" fontId="29" fillId="0" borderId="23" xfId="0" applyFont="1" applyBorder="1" applyAlignment="1">
      <alignment horizontal="justify" vertical="center" wrapText="1"/>
    </xf>
    <xf numFmtId="182" fontId="29" fillId="0" borderId="23" xfId="0" applyNumberFormat="1" applyFont="1" applyBorder="1" applyAlignment="1">
      <alignment horizontal="justify" vertical="center" wrapText="1"/>
    </xf>
    <xf numFmtId="14" fontId="29" fillId="0" borderId="23" xfId="0" applyNumberFormat="1" applyFont="1" applyBorder="1" applyAlignment="1">
      <alignment horizontal="justify" vertical="center" wrapText="1"/>
    </xf>
    <xf numFmtId="0" fontId="29" fillId="0" borderId="22" xfId="0" applyFont="1" applyBorder="1" applyAlignment="1">
      <alignment horizontal="justify" vertical="center" wrapText="1"/>
    </xf>
    <xf numFmtId="0" fontId="0" fillId="0" borderId="0" xfId="0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9"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font>
        <name val="微软雅黑"/>
        <scheme val="none"/>
      </font>
      <alignment horizont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numFmt numFmtId="0" formatCode="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9" formatCode="0%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176" formatCode="0_ 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numFmt numFmtId="176" formatCode="0_ 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9" formatCode="0%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numFmt numFmtId="9" formatCode="0%"/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rgb="FF000000"/>
      </font>
      <alignment horizontal="center" vertical="center"/>
      <border>
        <left style="thin">
          <color theme="4" tint="0.399975585192419"/>
        </left>
        <right/>
        <top style="thin">
          <color theme="4" tint="0.399975585192419"/>
        </top>
        <bottom style="thin">
          <color theme="4" tint="0.399975585192419"/>
        </bottom>
      </border>
    </dxf>
    <dxf>
      <numFmt numFmtId="0" formatCode="General"/>
    </dxf>
    <dxf>
      <numFmt numFmtId="0" formatCode="General"/>
    </dxf>
    <dxf>
      <numFmt numFmtId="0" formatCode="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0" formatCode="General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76" formatCode="0_ "/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none"/>
      </fill>
      <alignment horizontal="center" vertical="center"/>
      <border>
        <left style="thin">
          <color theme="4"/>
        </left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numFmt numFmtId="178" formatCode="0.0%"/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1"/>
        <i val="0"/>
        <strike val="0"/>
        <u val="none"/>
        <sz val="10"/>
        <color theme="4"/>
      </font>
      <numFmt numFmtId="178" formatCode="0.0%"/>
      <fill>
        <patternFill patternType="none"/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1" formatCode="0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9" formatCode="0%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0" formatCode="General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numFmt numFmtId="9" formatCode="0%"/>
      <fill>
        <patternFill patternType="solid">
          <bgColor theme="0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numFmt numFmtId="179" formatCode="[=0]&quot;&quot;;General"/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name val="微软雅黑"/>
        <scheme val="none"/>
        <charset val="134"/>
        <family val="0"/>
        <b val="0"/>
        <i val="0"/>
        <strike val="0"/>
        <u val="none"/>
        <sz val="10"/>
        <color theme="1"/>
      </font>
      <alignment horizontal="center" vertical="center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</dxfs>
  <tableStyles count="1" defaultTableStyle="TableStyleMedium2" defaultPivotStyle="PivotStyleLight16">
    <tableStyle name="TableStylePreset3_Accent1" pivot="0" count="7" xr9:uid="{59DB682C-5494-4EDE-A608-00C9E5F0F923}">
      <tableStyleElement type="wholeTable" dxfId="148"/>
      <tableStyleElement type="headerRow" dxfId="147"/>
      <tableStyleElement type="totalRow" dxfId="146"/>
      <tableStyleElement type="firstColumn" dxfId="145"/>
      <tableStyleElement type="lastColumn" dxfId="144"/>
      <tableStyleElement type="firstRowStripe" dxfId="143"/>
      <tableStyleElement type="firstColumnStripe" dxfId="14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0" Type="http://schemas.microsoft.com/office/2006/relationships/vbaProject" Target="vbaProject.bin"/><Relationship Id="rId2" Type="http://schemas.openxmlformats.org/officeDocument/2006/relationships/worksheet" Target="worksheets/sheet2.xml"/><Relationship Id="rId19" Type="http://schemas.openxmlformats.org/officeDocument/2006/relationships/sheetMetadata" Target="metadata.xml"/><Relationship Id="rId18" Type="http://schemas.openxmlformats.org/officeDocument/2006/relationships/sharedStrings" Target="sharedStrings.xml"/><Relationship Id="rId17" Type="http://schemas.openxmlformats.org/officeDocument/2006/relationships/theme" Target="theme/theme1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200" b="0" i="0" u="none" strike="noStrike" kern="1200" spc="0" baseline="0">
                <a:solidFill>
                  <a:srgbClr val="505050"/>
                </a:solidFill>
                <a:latin typeface="+mn-lt"/>
                <a:ea typeface="+mn-ea"/>
                <a:cs typeface="+mn-cs"/>
              </a:defRPr>
            </a:pPr>
            <a:r>
              <a:t>织梦微尘非R 每日产出 (1-60天)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"主线挑战/扫荡"</c:f>
              <c:strCache>
                <c:ptCount val="1"/>
                <c:pt idx="0">
                  <c:v>主线挑战/扫荡</c:v>
                </c:pt>
              </c:strCache>
            </c:strRef>
          </c:tx>
          <c:spPr>
            <a:ln w="19050" cap="rnd">
              <a:solidFill>
                <a:schemeClr val="accent1">
                  <a:alpha val="90000"/>
                </a:schemeClr>
              </a:solidFill>
              <a:round/>
            </a:ln>
            <a:effectLst/>
            <a:sp3d contourW="19050"/>
          </c:spPr>
          <c:marker>
            <c:symbol val="circle"/>
            <c:size val="5"/>
            <c:spPr>
              <a:solidFill>
                <a:schemeClr val="accent1"/>
              </a:solidFill>
              <a:ln w="19050">
                <a:solidFill>
                  <a:schemeClr val="accent1">
                    <a:alpha val="9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Temp_Chart_Data!$A$2:$A$61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Temp_Chart_Data!$B$2:$B$61</c:f>
              <c:numCache>
                <c:formatCode>General</c:formatCode>
                <c:ptCount val="6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"组队产出"</c:f>
              <c:strCache>
                <c:ptCount val="1"/>
                <c:pt idx="0">
                  <c:v>组队产出</c:v>
                </c:pt>
              </c:strCache>
            </c:strRef>
          </c:tx>
          <c:spPr>
            <a:ln w="19050" cap="rnd">
              <a:solidFill>
                <a:schemeClr val="accent2">
                  <a:alpha val="90000"/>
                </a:schemeClr>
              </a:solidFill>
              <a:round/>
            </a:ln>
            <a:effectLst/>
            <a:sp3d contourW="19050"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>
                    <a:alpha val="9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Temp_Chart_Data!$A$2:$A$61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Temp_Chart_Data!$C$2:$C$61</c:f>
              <c:numCache>
                <c:formatCode>General</c:formatCode>
                <c:ptCount val="6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"主线宝箱"</c:f>
              <c:strCache>
                <c:ptCount val="1"/>
                <c:pt idx="0">
                  <c:v>主线宝箱</c:v>
                </c:pt>
              </c:strCache>
            </c:strRef>
          </c:tx>
          <c:spPr>
            <a:ln w="19050" cap="rnd">
              <a:solidFill>
                <a:schemeClr val="accent3">
                  <a:alpha val="90000"/>
                </a:schemeClr>
              </a:solidFill>
              <a:round/>
            </a:ln>
            <a:effectLst/>
            <a:sp3d contourW="19050"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>
                    <a:alpha val="90000"/>
                  </a:schemeClr>
                </a:solidFill>
              </a:ln>
              <a:effectLst/>
            </c:spPr>
          </c:marker>
          <c:dLbls>
            <c:delete val="1"/>
          </c:dLbls>
          <c:cat>
            <c:numRef>
              <c:f>Temp_Chart_Data!$A$2:$A$61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Temp_Chart_Data!$D$2:$D$61</c:f>
              <c:numCache>
                <c:formatCode>General</c:formatCode>
                <c:ptCount val="60"/>
                <c:pt idx="0">
                  <c:v>180</c:v>
                </c:pt>
                <c:pt idx="1">
                  <c:v>150</c:v>
                </c:pt>
                <c:pt idx="2">
                  <c:v>120</c:v>
                </c:pt>
                <c:pt idx="3">
                  <c:v>90</c:v>
                </c:pt>
                <c:pt idx="4">
                  <c:v>60</c:v>
                </c:pt>
                <c:pt idx="5">
                  <c:v>90</c:v>
                </c:pt>
                <c:pt idx="6">
                  <c:v>60</c:v>
                </c:pt>
                <c:pt idx="7">
                  <c:v>90</c:v>
                </c:pt>
                <c:pt idx="8">
                  <c:v>30</c:v>
                </c:pt>
                <c:pt idx="9">
                  <c:v>60</c:v>
                </c:pt>
                <c:pt idx="10">
                  <c:v>30</c:v>
                </c:pt>
                <c:pt idx="11">
                  <c:v>60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60</c:v>
                </c:pt>
                <c:pt idx="16">
                  <c:v>30</c:v>
                </c:pt>
                <c:pt idx="17">
                  <c:v>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0</c:v>
                </c:pt>
                <c:pt idx="38">
                  <c:v>30</c:v>
                </c:pt>
                <c:pt idx="39">
                  <c:v>30</c:v>
                </c:pt>
                <c:pt idx="40">
                  <c:v>0</c:v>
                </c:pt>
                <c:pt idx="41">
                  <c:v>30</c:v>
                </c:pt>
                <c:pt idx="42">
                  <c:v>0</c:v>
                </c:pt>
                <c:pt idx="43">
                  <c:v>30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30</c:v>
                </c:pt>
                <c:pt idx="48">
                  <c:v>0</c:v>
                </c:pt>
                <c:pt idx="49">
                  <c:v>30</c:v>
                </c:pt>
                <c:pt idx="50">
                  <c:v>0</c:v>
                </c:pt>
                <c:pt idx="51">
                  <c:v>30</c:v>
                </c:pt>
                <c:pt idx="52">
                  <c:v>0</c:v>
                </c:pt>
                <c:pt idx="53">
                  <c:v>30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30</c:v>
                </c:pt>
                <c:pt idx="58">
                  <c:v>0</c:v>
                </c:pt>
                <c:pt idx="59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67128"/>
        <c:axId val="682066890"/>
      </c:lineChart>
      <c:catAx>
        <c:axId val="865671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2066890"/>
        <c:crosses val="autoZero"/>
        <c:auto val="1"/>
        <c:lblAlgn val="ctr"/>
        <c:lblOffset val="100"/>
        <c:noMultiLvlLbl val="0"/>
      </c:catAx>
      <c:valAx>
        <c:axId val="68206689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567128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d79208b-a8e3-43e9-9199-a0961ea1e31f}"/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数据趋势 (1 - 30)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"强化等级2"</c:f>
              <c:strCache>
                <c:ptCount val="1"/>
                <c:pt idx="0">
                  <c:v>强化等级2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sp3d contourW="19050"/>
          </c:spPr>
          <c:marker>
            <c:spPr>
              <a:ln w="19050" cap="flat" cmpd="sng" algn="ctr">
                <a:solidFill>
                  <a:schemeClr val="accent1"/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Temp_Custom_Chart!$A$2:$A$31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Temp_Custom_Chart!$B$2:$B$31</c:f>
              <c:numCache>
                <c:formatCode>General</c:formatCode>
                <c:ptCount val="30"/>
                <c:pt idx="0">
                  <c:v>0.264356905552919</c:v>
                </c:pt>
                <c:pt idx="1">
                  <c:v>0.248941480108089</c:v>
                </c:pt>
                <c:pt idx="2">
                  <c:v>0.222695299235372</c:v>
                </c:pt>
                <c:pt idx="3">
                  <c:v>0.213484506179626</c:v>
                </c:pt>
                <c:pt idx="4">
                  <c:v>0.217018032896625</c:v>
                </c:pt>
                <c:pt idx="5">
                  <c:v>0.220609387276161</c:v>
                </c:pt>
                <c:pt idx="6">
                  <c:v>0.216859795741826</c:v>
                </c:pt>
                <c:pt idx="7">
                  <c:v>0.217177491991729</c:v>
                </c:pt>
                <c:pt idx="8">
                  <c:v>0.21643119662393</c:v>
                </c:pt>
                <c:pt idx="9">
                  <c:v>0.222113927245472</c:v>
                </c:pt>
                <c:pt idx="10">
                  <c:v>0.225706228099726</c:v>
                </c:pt>
                <c:pt idx="11">
                  <c:v>0.21870783678564</c:v>
                </c:pt>
                <c:pt idx="12">
                  <c:v>0.215285096002927</c:v>
                </c:pt>
                <c:pt idx="13">
                  <c:v>0.206570935095515</c:v>
                </c:pt>
                <c:pt idx="14">
                  <c:v>0.206022698417478</c:v>
                </c:pt>
                <c:pt idx="15">
                  <c:v>0.207231238033253</c:v>
                </c:pt>
                <c:pt idx="16">
                  <c:v>0.208455882352941</c:v>
                </c:pt>
                <c:pt idx="17">
                  <c:v>0.212152236519217</c:v>
                </c:pt>
                <c:pt idx="18">
                  <c:v>0.210225069845453</c:v>
                </c:pt>
                <c:pt idx="19">
                  <c:v>0.204635209841151</c:v>
                </c:pt>
                <c:pt idx="20">
                  <c:v>0.207783858849127</c:v>
                </c:pt>
                <c:pt idx="21">
                  <c:v>0.203439854115278</c:v>
                </c:pt>
                <c:pt idx="22">
                  <c:v>0.207520508120811</c:v>
                </c:pt>
                <c:pt idx="23">
                  <c:v>0.21020292555929</c:v>
                </c:pt>
                <c:pt idx="24">
                  <c:v>0.212789928923332</c:v>
                </c:pt>
                <c:pt idx="25">
                  <c:v>0.224633312475498</c:v>
                </c:pt>
                <c:pt idx="26">
                  <c:v>0.222279621510365</c:v>
                </c:pt>
                <c:pt idx="27">
                  <c:v>0.22085578379048</c:v>
                </c:pt>
                <c:pt idx="28">
                  <c:v>0.211986159027677</c:v>
                </c:pt>
                <c:pt idx="29">
                  <c:v>0.210850438589433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"装备品质2"</c:f>
              <c:strCache>
                <c:ptCount val="1"/>
                <c:pt idx="0">
                  <c:v>装备品质2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sp3d contourW="19050"/>
          </c:spPr>
          <c:marker>
            <c:spPr>
              <a:ln w="19050" cap="flat" cmpd="sng" algn="ctr">
                <a:solidFill>
                  <a:schemeClr val="accent2"/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Temp_Custom_Chart!$A$2:$A$31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Temp_Custom_Chart!$C$2:$C$31</c:f>
              <c:numCache>
                <c:formatCode>General</c:formatCode>
                <c:ptCount val="30"/>
                <c:pt idx="0">
                  <c:v>0.30761530827976</c:v>
                </c:pt>
                <c:pt idx="1">
                  <c:v>0.235111397879862</c:v>
                </c:pt>
                <c:pt idx="2">
                  <c:v>0.205630525347604</c:v>
                </c:pt>
                <c:pt idx="3">
                  <c:v>0.173020122655383</c:v>
                </c:pt>
                <c:pt idx="4">
                  <c:v>0.163845523411982</c:v>
                </c:pt>
                <c:pt idx="5">
                  <c:v>0.159232497377807</c:v>
                </c:pt>
                <c:pt idx="6">
                  <c:v>0.167226391786831</c:v>
                </c:pt>
                <c:pt idx="7">
                  <c:v>0.159827591509065</c:v>
                </c:pt>
                <c:pt idx="8">
                  <c:v>0.158490761694399</c:v>
                </c:pt>
                <c:pt idx="9">
                  <c:v>0.151304351602294</c:v>
                </c:pt>
                <c:pt idx="10">
                  <c:v>0.142178744044899</c:v>
                </c:pt>
                <c:pt idx="11">
                  <c:v>0.15200194656602</c:v>
                </c:pt>
                <c:pt idx="12">
                  <c:v>0.158083741992488</c:v>
                </c:pt>
                <c:pt idx="13">
                  <c:v>0.146723281002422</c:v>
                </c:pt>
                <c:pt idx="14">
                  <c:v>0.149095373854753</c:v>
                </c:pt>
                <c:pt idx="15">
                  <c:v>0.144886246930028</c:v>
                </c:pt>
                <c:pt idx="16">
                  <c:v>0.147242647058824</c:v>
                </c:pt>
                <c:pt idx="17">
                  <c:v>0.144133962215346</c:v>
                </c:pt>
                <c:pt idx="18">
                  <c:v>0.147621280663535</c:v>
                </c:pt>
                <c:pt idx="19">
                  <c:v>0.154177212894018</c:v>
                </c:pt>
                <c:pt idx="20">
                  <c:v>0.151365724989431</c:v>
                </c:pt>
                <c:pt idx="21">
                  <c:v>0.153231941400931</c:v>
                </c:pt>
                <c:pt idx="22">
                  <c:v>0.146889516290333</c:v>
                </c:pt>
                <c:pt idx="23">
                  <c:v>0.144437682767348</c:v>
                </c:pt>
                <c:pt idx="24">
                  <c:v>0.142061458230066</c:v>
                </c:pt>
                <c:pt idx="25">
                  <c:v>0.145825492905365</c:v>
                </c:pt>
                <c:pt idx="26">
                  <c:v>0.149381466068794</c:v>
                </c:pt>
                <c:pt idx="27">
                  <c:v>0.14453912551733</c:v>
                </c:pt>
                <c:pt idx="28">
                  <c:v>0.135195254481937</c:v>
                </c:pt>
                <c:pt idx="29">
                  <c:v>0.13112589464517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"符文攻击2"</c:f>
              <c:strCache>
                <c:ptCount val="1"/>
                <c:pt idx="0">
                  <c:v>符文攻击2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sp3d contourW="19050"/>
          </c:spPr>
          <c:marker>
            <c:spPr>
              <a:ln w="19050" cap="flat" cmpd="sng" algn="ctr">
                <a:solidFill>
                  <a:schemeClr val="accent3"/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Temp_Custom_Chart!$A$2:$A$31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Temp_Custom_Chart!$D$2:$D$31</c:f>
              <c:numCache>
                <c:formatCode>General</c:formatCode>
                <c:ptCount val="30"/>
                <c:pt idx="0">
                  <c:v>0.07690382706994</c:v>
                </c:pt>
                <c:pt idx="1">
                  <c:v>0.117555698939931</c:v>
                </c:pt>
                <c:pt idx="2">
                  <c:v>0.102388643326608</c:v>
                </c:pt>
                <c:pt idx="3">
                  <c:v>0.0920913556068973</c:v>
                </c:pt>
                <c:pt idx="4">
                  <c:v>0.085323329173032</c:v>
                </c:pt>
                <c:pt idx="5">
                  <c:v>0.0833799258996515</c:v>
                </c:pt>
                <c:pt idx="6">
                  <c:v>0.0763590830076852</c:v>
                </c:pt>
                <c:pt idx="7">
                  <c:v>0.0733326596335708</c:v>
                </c:pt>
                <c:pt idx="8">
                  <c:v>0.0730455288605765</c:v>
                </c:pt>
                <c:pt idx="9">
                  <c:v>0.0723161623589911</c:v>
                </c:pt>
                <c:pt idx="10">
                  <c:v>0.0703815119880866</c:v>
                </c:pt>
                <c:pt idx="11">
                  <c:v>0.065612351035692</c:v>
                </c:pt>
                <c:pt idx="12">
                  <c:v>0.0624014771022978</c:v>
                </c:pt>
                <c:pt idx="13">
                  <c:v>0.0772227794749591</c:v>
                </c:pt>
                <c:pt idx="14">
                  <c:v>0.0722886661113956</c:v>
                </c:pt>
                <c:pt idx="15">
                  <c:v>0.0702478772994078</c:v>
                </c:pt>
                <c:pt idx="16">
                  <c:v>0.0661764705882353</c:v>
                </c:pt>
                <c:pt idx="17">
                  <c:v>0.0647793088608296</c:v>
                </c:pt>
                <c:pt idx="18">
                  <c:v>0.0618309028957216</c:v>
                </c:pt>
                <c:pt idx="19">
                  <c:v>0.0560644410523702</c:v>
                </c:pt>
                <c:pt idx="20">
                  <c:v>0.0550420818143384</c:v>
                </c:pt>
                <c:pt idx="21">
                  <c:v>0.0521640651577637</c:v>
                </c:pt>
                <c:pt idx="22">
                  <c:v>0.050004941715858</c:v>
                </c:pt>
                <c:pt idx="23">
                  <c:v>0.0491702749846293</c:v>
                </c:pt>
                <c:pt idx="24">
                  <c:v>0.0483613474825755</c:v>
                </c:pt>
                <c:pt idx="25">
                  <c:v>0.0496427209890603</c:v>
                </c:pt>
                <c:pt idx="26">
                  <c:v>0.047802069142014</c:v>
                </c:pt>
                <c:pt idx="27">
                  <c:v>0.0462525201655455</c:v>
                </c:pt>
                <c:pt idx="28">
                  <c:v>0.0432624814342198</c:v>
                </c:pt>
                <c:pt idx="29">
                  <c:v>0.0419602862864543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391943"/>
        <c:axId val="719157492"/>
      </c:lineChart>
      <c:catAx>
        <c:axId val="832391943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19157492"/>
        <c:crosses val="autoZero"/>
        <c:auto val="1"/>
        <c:lblAlgn val="ctr"/>
        <c:lblOffset val="100"/>
        <c:noMultiLvlLbl val="0"/>
      </c:catAx>
      <c:valAx>
        <c:axId val="7191574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32391943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4dba400b-9c5d-4fcc-8a36-9bcc91d17209}"/>
      </c:ext>
    </c:extLst>
  </c:chart>
  <c:spPr>
    <a:solidFill>
      <a:srgbClr val="FFFFFF"/>
    </a:solidFill>
    <a:ln w="12700" cap="flat" cmpd="sng" algn="ctr">
      <a:noFill/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altLang="en-US"/>
              <a:t>战力贡献对数版本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强度预期!$O$2</c:f>
              <c:strCache>
                <c:ptCount val="1"/>
                <c:pt idx="0">
                  <c:v>装备洗练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强度预期!$O$3:$O$302</c:f>
              <c:numCache>
                <c:formatCode>0%</c:formatCode>
                <c:ptCount val="300"/>
                <c:pt idx="0">
                  <c:v>0.0275284605356143</c:v>
                </c:pt>
                <c:pt idx="1">
                  <c:v>0.0521444884951048</c:v>
                </c:pt>
                <c:pt idx="2">
                  <c:v>0.0541627370775905</c:v>
                </c:pt>
                <c:pt idx="3">
                  <c:v>0.0623345712344031</c:v>
                </c:pt>
                <c:pt idx="4">
                  <c:v>0.0750191509960361</c:v>
                </c:pt>
                <c:pt idx="5">
                  <c:v>0.0759836377626633</c:v>
                </c:pt>
                <c:pt idx="6">
                  <c:v>0.0729340581837208</c:v>
                </c:pt>
                <c:pt idx="7">
                  <c:v>0.0862573098021521</c:v>
                </c:pt>
                <c:pt idx="8">
                  <c:v>0.0991846302402406</c:v>
                </c:pt>
                <c:pt idx="9">
                  <c:v>0.0967471549123522</c:v>
                </c:pt>
                <c:pt idx="10">
                  <c:v>0.095389921607481</c:v>
                </c:pt>
                <c:pt idx="11">
                  <c:v>0.0946124446281521</c:v>
                </c:pt>
                <c:pt idx="12">
                  <c:v>0.0909068939686139</c:v>
                </c:pt>
                <c:pt idx="13">
                  <c:v>0.0939839087731351</c:v>
                </c:pt>
                <c:pt idx="14">
                  <c:v>0.0955216275184918</c:v>
                </c:pt>
                <c:pt idx="15">
                  <c:v>0.0937375465139966</c:v>
                </c:pt>
                <c:pt idx="16">
                  <c:v>0.0936641641241355</c:v>
                </c:pt>
                <c:pt idx="17">
                  <c:v>0.093216093043311</c:v>
                </c:pt>
                <c:pt idx="18">
                  <c:v>0.0899345438274823</c:v>
                </c:pt>
                <c:pt idx="19">
                  <c:v>0.0977713198217986</c:v>
                </c:pt>
                <c:pt idx="20">
                  <c:v>0.0888284840124522</c:v>
                </c:pt>
                <c:pt idx="21">
                  <c:v>0.092365737723767</c:v>
                </c:pt>
                <c:pt idx="22">
                  <c:v>0.091972427374656</c:v>
                </c:pt>
                <c:pt idx="23">
                  <c:v>0.0894326750165793</c:v>
                </c:pt>
                <c:pt idx="24">
                  <c:v>0.0917356192709943</c:v>
                </c:pt>
                <c:pt idx="25">
                  <c:v>0.0914182232257265</c:v>
                </c:pt>
                <c:pt idx="26">
                  <c:v>0.0910961061750985</c:v>
                </c:pt>
                <c:pt idx="27">
                  <c:v>0.0892842851737131</c:v>
                </c:pt>
                <c:pt idx="28">
                  <c:v>0.0888525187747779</c:v>
                </c:pt>
                <c:pt idx="29">
                  <c:v>0.0885614409048589</c:v>
                </c:pt>
                <c:pt idx="30">
                  <c:v>0.0891503412040462</c:v>
                </c:pt>
                <c:pt idx="31">
                  <c:v>0.0922711922900256</c:v>
                </c:pt>
                <c:pt idx="32">
                  <c:v>0.0906307893855203</c:v>
                </c:pt>
                <c:pt idx="33">
                  <c:v>0.0903066206558184</c:v>
                </c:pt>
                <c:pt idx="34">
                  <c:v>0.0900279003971137</c:v>
                </c:pt>
                <c:pt idx="35">
                  <c:v>0.0905795747227052</c:v>
                </c:pt>
                <c:pt idx="36">
                  <c:v>0.0903045183662235</c:v>
                </c:pt>
                <c:pt idx="37">
                  <c:v>0.089977404406904</c:v>
                </c:pt>
                <c:pt idx="38">
                  <c:v>0.0778074941357181</c:v>
                </c:pt>
                <c:pt idx="39">
                  <c:v>0.0776015982589766</c:v>
                </c:pt>
                <c:pt idx="40">
                  <c:v>0.0757996050566144</c:v>
                </c:pt>
                <c:pt idx="41">
                  <c:v>0.0763124719281374</c:v>
                </c:pt>
                <c:pt idx="42">
                  <c:v>0.0761209149756874</c:v>
                </c:pt>
                <c:pt idx="43">
                  <c:v>0.0786190384822703</c:v>
                </c:pt>
                <c:pt idx="44">
                  <c:v>0.0783956466506665</c:v>
                </c:pt>
                <c:pt idx="45">
                  <c:v>0.0773942902866271</c:v>
                </c:pt>
                <c:pt idx="46">
                  <c:v>0.0778743616383261</c:v>
                </c:pt>
                <c:pt idx="47">
                  <c:v>0.0776920840174721</c:v>
                </c:pt>
                <c:pt idx="48">
                  <c:v>0.0774832547838034</c:v>
                </c:pt>
                <c:pt idx="49">
                  <c:v>0.077299648501079</c:v>
                </c:pt>
                <c:pt idx="50">
                  <c:v>0.0770942573308421</c:v>
                </c:pt>
                <c:pt idx="51">
                  <c:v>0.0761765561216557</c:v>
                </c:pt>
                <c:pt idx="52">
                  <c:v>0.0759782338654843</c:v>
                </c:pt>
                <c:pt idx="53">
                  <c:v>0.0758039961597268</c:v>
                </c:pt>
                <c:pt idx="54">
                  <c:v>0.0756088393609489</c:v>
                </c:pt>
                <c:pt idx="55">
                  <c:v>0.0754071674190615</c:v>
                </c:pt>
                <c:pt idx="56">
                  <c:v>0.075911531448962</c:v>
                </c:pt>
                <c:pt idx="57">
                  <c:v>0.0774811038598749</c:v>
                </c:pt>
                <c:pt idx="58">
                  <c:v>0.0773108428071193</c:v>
                </c:pt>
                <c:pt idx="59">
                  <c:v>0.0771198428092413</c:v>
                </c:pt>
                <c:pt idx="60">
                  <c:v>0.0769522629214932</c:v>
                </c:pt>
                <c:pt idx="61">
                  <c:v>0.0745835768048552</c:v>
                </c:pt>
                <c:pt idx="62">
                  <c:v>0.0713682511900097</c:v>
                </c:pt>
                <c:pt idx="63">
                  <c:v>0.0712074134293848</c:v>
                </c:pt>
                <c:pt idx="64">
                  <c:v>0.0710882498141956</c:v>
                </c:pt>
                <c:pt idx="65">
                  <c:v>0.0709229504445333</c:v>
                </c:pt>
                <c:pt idx="66">
                  <c:v>0.0707654853752945</c:v>
                </c:pt>
                <c:pt idx="67">
                  <c:v>0.0706274497717277</c:v>
                </c:pt>
                <c:pt idx="68">
                  <c:v>0.0658984513662613</c:v>
                </c:pt>
                <c:pt idx="69">
                  <c:v>0.0657499432137245</c:v>
                </c:pt>
                <c:pt idx="70">
                  <c:v>0.0655962456205439</c:v>
                </c:pt>
                <c:pt idx="71">
                  <c:v>0.0654524353700893</c:v>
                </c:pt>
                <c:pt idx="72">
                  <c:v>0.0652805594172028</c:v>
                </c:pt>
                <c:pt idx="73">
                  <c:v>0.0667798643426548</c:v>
                </c:pt>
                <c:pt idx="74">
                  <c:v>0.0666072426253868</c:v>
                </c:pt>
                <c:pt idx="75">
                  <c:v>0.0660566041352833</c:v>
                </c:pt>
                <c:pt idx="76">
                  <c:v>0.0659046306116681</c:v>
                </c:pt>
                <c:pt idx="77">
                  <c:v>0.0657652000939927</c:v>
                </c:pt>
                <c:pt idx="78">
                  <c:v>0.065601461658163</c:v>
                </c:pt>
                <c:pt idx="79">
                  <c:v>0.0654358441668069</c:v>
                </c:pt>
                <c:pt idx="80">
                  <c:v>0.0652960084695828</c:v>
                </c:pt>
                <c:pt idx="81">
                  <c:v>0.0636076403387268</c:v>
                </c:pt>
                <c:pt idx="82">
                  <c:v>0.0634937945832814</c:v>
                </c:pt>
                <c:pt idx="83">
                  <c:v>0.0605461029061832</c:v>
                </c:pt>
                <c:pt idx="84">
                  <c:v>0.0604294072335049</c:v>
                </c:pt>
                <c:pt idx="85">
                  <c:v>0.0602898766334192</c:v>
                </c:pt>
                <c:pt idx="86">
                  <c:v>0.0601744615251847</c:v>
                </c:pt>
                <c:pt idx="87">
                  <c:v>0.0600388803561518</c:v>
                </c:pt>
                <c:pt idx="88">
                  <c:v>0.0599223122957595</c:v>
                </c:pt>
                <c:pt idx="89">
                  <c:v>0.0595046362528578</c:v>
                </c:pt>
                <c:pt idx="90">
                  <c:v>0.0593702171483434</c:v>
                </c:pt>
                <c:pt idx="91">
                  <c:v>0.0592590271836135</c:v>
                </c:pt>
                <c:pt idx="92">
                  <c:v>0.0591260758809897</c:v>
                </c:pt>
                <c:pt idx="93">
                  <c:v>0.059016100014711</c:v>
                </c:pt>
                <c:pt idx="94">
                  <c:v>0.0604025792420753</c:v>
                </c:pt>
                <c:pt idx="95">
                  <c:v>0.0603349707670031</c:v>
                </c:pt>
                <c:pt idx="96">
                  <c:v>0.0602562153760348</c:v>
                </c:pt>
                <c:pt idx="97">
                  <c:v>0.0601883961675524</c:v>
                </c:pt>
                <c:pt idx="98">
                  <c:v>0.0598380020383146</c:v>
                </c:pt>
                <c:pt idx="99">
                  <c:v>0.0597713214974711</c:v>
                </c:pt>
                <c:pt idx="100">
                  <c:v>0.0596944936850793</c:v>
                </c:pt>
                <c:pt idx="101">
                  <c:v>0.0596256409821598</c:v>
                </c:pt>
                <c:pt idx="102">
                  <c:v>0.0595597339100093</c:v>
                </c:pt>
                <c:pt idx="103">
                  <c:v>0.0592253466527244</c:v>
                </c:pt>
                <c:pt idx="104">
                  <c:v>0.0591605251831984</c:v>
                </c:pt>
                <c:pt idx="105">
                  <c:v>0.0590858412401638</c:v>
                </c:pt>
                <c:pt idx="106">
                  <c:v>0.0590215307714615</c:v>
                </c:pt>
                <c:pt idx="107">
                  <c:v>0.0589548470622911</c:v>
                </c:pt>
                <c:pt idx="108">
                  <c:v>0.0588910182843712</c:v>
                </c:pt>
                <c:pt idx="109">
                  <c:v>0.0554272028485843</c:v>
                </c:pt>
                <c:pt idx="110">
                  <c:v>0.0553709671682685</c:v>
                </c:pt>
                <c:pt idx="111">
                  <c:v>0.0553050127973109</c:v>
                </c:pt>
                <c:pt idx="112">
                  <c:v>0.0552503680309931</c:v>
                </c:pt>
                <c:pt idx="113">
                  <c:v>0.0551720715164682</c:v>
                </c:pt>
                <c:pt idx="114">
                  <c:v>0.0551145000311161</c:v>
                </c:pt>
                <c:pt idx="115">
                  <c:v>0.0548506777156973</c:v>
                </c:pt>
                <c:pt idx="116">
                  <c:v>0.0547876606781259</c:v>
                </c:pt>
                <c:pt idx="117">
                  <c:v>0.0554584079440776</c:v>
                </c:pt>
                <c:pt idx="118">
                  <c:v>0.055393970328898</c:v>
                </c:pt>
                <c:pt idx="119">
                  <c:v>0.0569341249364008</c:v>
                </c:pt>
                <c:pt idx="120">
                  <c:v>0.0568749152631274</c:v>
                </c:pt>
                <c:pt idx="121">
                  <c:v>0.0568204949452942</c:v>
                </c:pt>
                <c:pt idx="122">
                  <c:v>0.0567553250280497</c:v>
                </c:pt>
                <c:pt idx="123">
                  <c:v>0.0567013359204495</c:v>
                </c:pt>
                <c:pt idx="124">
                  <c:v>0.0566378180427104</c:v>
                </c:pt>
                <c:pt idx="125">
                  <c:v>0.0565723143737771</c:v>
                </c:pt>
                <c:pt idx="126">
                  <c:v>0.0572260592935725</c:v>
                </c:pt>
                <c:pt idx="127">
                  <c:v>0.0571614345845903</c:v>
                </c:pt>
                <c:pt idx="128">
                  <c:v>0.0571079004751476</c:v>
                </c:pt>
                <c:pt idx="129">
                  <c:v>0.057043797446966</c:v>
                </c:pt>
                <c:pt idx="130">
                  <c:v>0.0576837312641564</c:v>
                </c:pt>
                <c:pt idx="131">
                  <c:v>0.0576194232960561</c:v>
                </c:pt>
                <c:pt idx="132">
                  <c:v>0.0575724488784432</c:v>
                </c:pt>
                <c:pt idx="133">
                  <c:v>0.057509758067855</c:v>
                </c:pt>
                <c:pt idx="134">
                  <c:v>0.0574557839459515</c:v>
                </c:pt>
                <c:pt idx="135">
                  <c:v>0.0573936096178286</c:v>
                </c:pt>
                <c:pt idx="136">
                  <c:v>0.0573306070821437</c:v>
                </c:pt>
                <c:pt idx="137">
                  <c:v>0.0572784236100282</c:v>
                </c:pt>
                <c:pt idx="138">
                  <c:v>0.0572159462528348</c:v>
                </c:pt>
                <c:pt idx="139">
                  <c:v>0.0578526416542488</c:v>
                </c:pt>
                <c:pt idx="140">
                  <c:v>0.0577899666496021</c:v>
                </c:pt>
                <c:pt idx="141">
                  <c:v>0.057736962866068</c:v>
                </c:pt>
                <c:pt idx="142">
                  <c:v>0.0576759133588002</c:v>
                </c:pt>
                <c:pt idx="143">
                  <c:v>0.0576233601718089</c:v>
                </c:pt>
                <c:pt idx="144">
                  <c:v>0.057562831888364</c:v>
                </c:pt>
                <c:pt idx="145">
                  <c:v>0.0575167577258585</c:v>
                </c:pt>
                <c:pt idx="146">
                  <c:v>0.0574567227543891</c:v>
                </c:pt>
                <c:pt idx="147">
                  <c:v>0.0574061142286172</c:v>
                </c:pt>
                <c:pt idx="148">
                  <c:v>0.0573455333417886</c:v>
                </c:pt>
                <c:pt idx="149">
                  <c:v>0.0594389361055198</c:v>
                </c:pt>
                <c:pt idx="150">
                  <c:v>0.0593861580766601</c:v>
                </c:pt>
                <c:pt idx="151">
                  <c:v>0.0593314564015419</c:v>
                </c:pt>
                <c:pt idx="152">
                  <c:v>0.0592791202952814</c:v>
                </c:pt>
                <c:pt idx="153">
                  <c:v>0.0592188528152016</c:v>
                </c:pt>
                <c:pt idx="154">
                  <c:v>0.0591669842502764</c:v>
                </c:pt>
                <c:pt idx="155">
                  <c:v>0.0591061918613527</c:v>
                </c:pt>
                <c:pt idx="156">
                  <c:v>0.0590558575606861</c:v>
                </c:pt>
                <c:pt idx="157">
                  <c:v>0.059001533753996</c:v>
                </c:pt>
                <c:pt idx="158">
                  <c:v>0.0589516339993239</c:v>
                </c:pt>
                <c:pt idx="159">
                  <c:v>0.0588919162221585</c:v>
                </c:pt>
                <c:pt idx="160">
                  <c:v>0.0588511403160575</c:v>
                </c:pt>
                <c:pt idx="161">
                  <c:v>0.0588377209100682</c:v>
                </c:pt>
                <c:pt idx="162">
                  <c:v>0.058822207272845</c:v>
                </c:pt>
                <c:pt idx="163">
                  <c:v>0.0588106336779303</c:v>
                </c:pt>
                <c:pt idx="164">
                  <c:v>0.0587948591991589</c:v>
                </c:pt>
                <c:pt idx="165">
                  <c:v>0.0594311398707699</c:v>
                </c:pt>
                <c:pt idx="166">
                  <c:v>0.0594152200783243</c:v>
                </c:pt>
                <c:pt idx="167">
                  <c:v>0.0594019863590841</c:v>
                </c:pt>
                <c:pt idx="168">
                  <c:v>0.0593860844841243</c:v>
                </c:pt>
                <c:pt idx="169">
                  <c:v>0.0593728656567057</c:v>
                </c:pt>
                <c:pt idx="170">
                  <c:v>0.0593585449068253</c:v>
                </c:pt>
                <c:pt idx="171">
                  <c:v>0.0593426697193029</c:v>
                </c:pt>
                <c:pt idx="172">
                  <c:v>0.0593294730727227</c:v>
                </c:pt>
                <c:pt idx="173">
                  <c:v>0.0593104947975603</c:v>
                </c:pt>
                <c:pt idx="174">
                  <c:v>0.0592973145821006</c:v>
                </c:pt>
                <c:pt idx="175">
                  <c:v>0.0592814769873921</c:v>
                </c:pt>
                <c:pt idx="176">
                  <c:v>0.0592698694587459</c:v>
                </c:pt>
                <c:pt idx="177">
                  <c:v>0.0592540487055086</c:v>
                </c:pt>
                <c:pt idx="178">
                  <c:v>0.0592408973011796</c:v>
                </c:pt>
                <c:pt idx="179">
                  <c:v>0.0592253720392166</c:v>
                </c:pt>
                <c:pt idx="180">
                  <c:v>0.0592119576878771</c:v>
                </c:pt>
                <c:pt idx="181">
                  <c:v>0.0591964498608702</c:v>
                </c:pt>
                <c:pt idx="182">
                  <c:v>0.059184603295327</c:v>
                </c:pt>
                <c:pt idx="183">
                  <c:v>0.0605966561484788</c:v>
                </c:pt>
                <c:pt idx="184">
                  <c:v>0.060580541451297</c:v>
                </c:pt>
                <c:pt idx="185">
                  <c:v>0.0605668626303004</c:v>
                </c:pt>
                <c:pt idx="186">
                  <c:v>0.0605510490407985</c:v>
                </c:pt>
                <c:pt idx="187">
                  <c:v>0.0605373855456837</c:v>
                </c:pt>
                <c:pt idx="188">
                  <c:v>0.0605231720606977</c:v>
                </c:pt>
                <c:pt idx="189">
                  <c:v>0.0605095230473393</c:v>
                </c:pt>
                <c:pt idx="190">
                  <c:v>0.0604937439116825</c:v>
                </c:pt>
                <c:pt idx="191">
                  <c:v>0.0604801101809902</c:v>
                </c:pt>
                <c:pt idx="192">
                  <c:v>0.0604643487101708</c:v>
                </c:pt>
                <c:pt idx="193">
                  <c:v>0.0604510120408974</c:v>
                </c:pt>
                <c:pt idx="194">
                  <c:v>0.0604349864084646</c:v>
                </c:pt>
                <c:pt idx="195">
                  <c:v>0.0604208282569012</c:v>
                </c:pt>
                <c:pt idx="196">
                  <c:v>0.0604072323712224</c:v>
                </c:pt>
                <c:pt idx="197">
                  <c:v>0.0603915146445188</c:v>
                </c:pt>
                <c:pt idx="198">
                  <c:v>0.0603779339646562</c:v>
                </c:pt>
                <c:pt idx="199">
                  <c:v>0.0603622338139984</c:v>
                </c:pt>
                <c:pt idx="200">
                  <c:v>0.0603483876162178</c:v>
                </c:pt>
                <c:pt idx="201">
                  <c:v>0.0603342762107605</c:v>
                </c:pt>
                <c:pt idx="202">
                  <c:v>0.0603210056127585</c:v>
                </c:pt>
                <c:pt idx="203">
                  <c:v>0.0603050593600986</c:v>
                </c:pt>
                <c:pt idx="204">
                  <c:v>0.060291803589881</c:v>
                </c:pt>
                <c:pt idx="205">
                  <c:v>0.0602758751517431</c:v>
                </c:pt>
                <c:pt idx="206">
                  <c:v>0.0602602361813138</c:v>
                </c:pt>
                <c:pt idx="207">
                  <c:v>0.0602482894000356</c:v>
                </c:pt>
                <c:pt idx="208">
                  <c:v>0.0602326669543133</c:v>
                </c:pt>
                <c:pt idx="209">
                  <c:v>0.0602194479031715</c:v>
                </c:pt>
                <c:pt idx="210">
                  <c:v>0.0602035635804227</c:v>
                </c:pt>
                <c:pt idx="211">
                  <c:v>0.0601903592829068</c:v>
                </c:pt>
                <c:pt idx="212">
                  <c:v>0.0601744926856216</c:v>
                </c:pt>
                <c:pt idx="213">
                  <c:v>0.0601628638555893</c:v>
                </c:pt>
                <c:pt idx="214">
                  <c:v>0.0601470140077234</c:v>
                </c:pt>
                <c:pt idx="215">
                  <c:v>0.0601335599651581</c:v>
                </c:pt>
                <c:pt idx="216">
                  <c:v>0.0601180061919982</c:v>
                </c:pt>
                <c:pt idx="217">
                  <c:v>0.0601045671511835</c:v>
                </c:pt>
                <c:pt idx="218">
                  <c:v>0.0600890307182944</c:v>
                </c:pt>
                <c:pt idx="219">
                  <c:v>0.0600732258224355</c:v>
                </c:pt>
                <c:pt idx="220">
                  <c:v>0.0600616422073637</c:v>
                </c:pt>
                <c:pt idx="221">
                  <c:v>0.0600458539772787</c:v>
                </c:pt>
                <c:pt idx="222">
                  <c:v>0.061426440410309</c:v>
                </c:pt>
                <c:pt idx="223">
                  <c:v>0.0614106107242234</c:v>
                </c:pt>
                <c:pt idx="224">
                  <c:v>0.0613969332661757</c:v>
                </c:pt>
                <c:pt idx="225">
                  <c:v>0.0613811211859944</c:v>
                </c:pt>
                <c:pt idx="226">
                  <c:v>0.0613690421371068</c:v>
                </c:pt>
                <c:pt idx="227">
                  <c:v>0.0613532466935367</c:v>
                </c:pt>
                <c:pt idx="228">
                  <c:v>0.0613395988177134</c:v>
                </c:pt>
                <c:pt idx="229">
                  <c:v>0.0613238209312731</c:v>
                </c:pt>
                <c:pt idx="230">
                  <c:v>0.0613074883135525</c:v>
                </c:pt>
                <c:pt idx="231">
                  <c:v>0.0612941459439713</c:v>
                </c:pt>
                <c:pt idx="232">
                  <c:v>0.0612799730276012</c:v>
                </c:pt>
                <c:pt idx="233">
                  <c:v>0.0612632088778823</c:v>
                </c:pt>
                <c:pt idx="234">
                  <c:v>0.0612474765174812</c:v>
                </c:pt>
                <c:pt idx="235">
                  <c:v>0.0612338831395126</c:v>
                </c:pt>
                <c:pt idx="236">
                  <c:v>0.0612181682466016</c:v>
                </c:pt>
                <c:pt idx="237">
                  <c:v>0.0612045899589036</c:v>
                </c:pt>
                <c:pt idx="238">
                  <c:v>0.0611904650424412</c:v>
                </c:pt>
                <c:pt idx="239">
                  <c:v>0.0611771816892667</c:v>
                </c:pt>
                <c:pt idx="240">
                  <c:v>0.0611612200466686</c:v>
                </c:pt>
                <c:pt idx="241">
                  <c:v>0.0611455484113822</c:v>
                </c:pt>
                <c:pt idx="242">
                  <c:v>0.0611320074942486</c:v>
                </c:pt>
                <c:pt idx="243">
                  <c:v>0.0611163532404281</c:v>
                </c:pt>
                <c:pt idx="244">
                  <c:v>0.0611028273392804</c:v>
                </c:pt>
                <c:pt idx="245">
                  <c:v>0.0610884771771507</c:v>
                </c:pt>
                <c:pt idx="246">
                  <c:v>0.0610752451987395</c:v>
                </c:pt>
                <c:pt idx="247">
                  <c:v>0.0610593452800648</c:v>
                </c:pt>
                <c:pt idx="248">
                  <c:v>0.0610461279663391</c:v>
                </c:pt>
                <c:pt idx="249">
                  <c:v>0.0610302456664936</c:v>
                </c:pt>
                <c:pt idx="250">
                  <c:v>0.0610170429967641</c:v>
                </c:pt>
                <c:pt idx="251">
                  <c:v>0.0610027396341482</c:v>
                </c:pt>
                <c:pt idx="252">
                  <c:v>0.060989550802397</c:v>
                </c:pt>
                <c:pt idx="253">
                  <c:v>0.0609737027221402</c:v>
                </c:pt>
                <c:pt idx="254">
                  <c:v>0.0609581425676316</c:v>
                </c:pt>
                <c:pt idx="255">
                  <c:v>0.0609449761637851</c:v>
                </c:pt>
                <c:pt idx="256">
                  <c:v>0.0609291550295007</c:v>
                </c:pt>
                <c:pt idx="257">
                  <c:v>0.0609175594707474</c:v>
                </c:pt>
                <c:pt idx="258">
                  <c:v>0.0609017549040624</c:v>
                </c:pt>
                <c:pt idx="259">
                  <c:v>0.0608886168428269</c:v>
                </c:pt>
                <c:pt idx="260">
                  <c:v>0.0608728297607668</c:v>
                </c:pt>
                <c:pt idx="261">
                  <c:v>0.0608597062320317</c:v>
                </c:pt>
                <c:pt idx="262">
                  <c:v>0.0608442137436722</c:v>
                </c:pt>
                <c:pt idx="263">
                  <c:v>0.0608323788001749</c:v>
                </c:pt>
                <c:pt idx="264">
                  <c:v>0.0608169025210696</c:v>
                </c:pt>
                <c:pt idx="265">
                  <c:v>0.0608011587401758</c:v>
                </c:pt>
                <c:pt idx="266">
                  <c:v>0.0621476631647026</c:v>
                </c:pt>
                <c:pt idx="267">
                  <c:v>0.062131608313906</c:v>
                </c:pt>
                <c:pt idx="268">
                  <c:v>0.0621182621768846</c:v>
                </c:pt>
                <c:pt idx="269">
                  <c:v>0.0621025068771111</c:v>
                </c:pt>
                <c:pt idx="270">
                  <c:v>0.0620904711537739</c:v>
                </c:pt>
                <c:pt idx="271">
                  <c:v>0.0620747323009211</c:v>
                </c:pt>
                <c:pt idx="272">
                  <c:v>0.0620611332624672</c:v>
                </c:pt>
                <c:pt idx="273">
                  <c:v>0.0620454117670563</c:v>
                </c:pt>
                <c:pt idx="274">
                  <c:v>0.0620318277239896</c:v>
                </c:pt>
                <c:pt idx="275">
                  <c:v>0.0620161235618398</c:v>
                </c:pt>
                <c:pt idx="276">
                  <c:v>0.0620017201939352</c:v>
                </c:pt>
                <c:pt idx="277">
                  <c:v>0.0619884391153316</c:v>
                </c:pt>
                <c:pt idx="278">
                  <c:v>0.061972760606892</c:v>
                </c:pt>
                <c:pt idx="279">
                  <c:v>0.0619592137010363</c:v>
                </c:pt>
                <c:pt idx="280">
                  <c:v>0.0619435524660659</c:v>
                </c:pt>
                <c:pt idx="281">
                  <c:v>0.0619300204830845</c:v>
                </c:pt>
                <c:pt idx="282">
                  <c:v>0.0619159436785824</c:v>
                </c:pt>
                <c:pt idx="283">
                  <c:v>0.0619024257974026</c:v>
                </c:pt>
                <c:pt idx="284">
                  <c:v>0.0559608671207786</c:v>
                </c:pt>
                <c:pt idx="285">
                  <c:v>0.0559468662995049</c:v>
                </c:pt>
                <c:pt idx="286">
                  <c:v>0.0559301873692106</c:v>
                </c:pt>
                <c:pt idx="287">
                  <c:v>0.0559162112264744</c:v>
                </c:pt>
                <c:pt idx="288">
                  <c:v>0.0559013378026076</c:v>
                </c:pt>
                <c:pt idx="289">
                  <c:v>0.055885017858306</c:v>
                </c:pt>
                <c:pt idx="290">
                  <c:v>0.0558707607630844</c:v>
                </c:pt>
                <c:pt idx="291">
                  <c:v>0.0558544686532372</c:v>
                </c:pt>
                <c:pt idx="292">
                  <c:v>0.0558405526556859</c:v>
                </c:pt>
                <c:pt idx="293">
                  <c:v>0.0558239722896111</c:v>
                </c:pt>
                <c:pt idx="294">
                  <c:v>0.0558100806395698</c:v>
                </c:pt>
                <c:pt idx="295">
                  <c:v>0.0557952925696592</c:v>
                </c:pt>
                <c:pt idx="296">
                  <c:v>0.0557814234572911</c:v>
                </c:pt>
                <c:pt idx="297">
                  <c:v>0.055764897602956</c:v>
                </c:pt>
                <c:pt idx="298">
                  <c:v>0.0557510526595772</c:v>
                </c:pt>
                <c:pt idx="299">
                  <c:v>0.0557345549019522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强度预期!$P$2</c:f>
              <c:strCache>
                <c:ptCount val="1"/>
                <c:pt idx="0">
                  <c:v>梦灵释放2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强度预期!$P$3:$P$302</c:f>
              <c:numCache>
                <c:formatCode>0%</c:formatCode>
                <c:ptCount val="300"/>
                <c:pt idx="0">
                  <c:v>0.559012460813204</c:v>
                </c:pt>
                <c:pt idx="1">
                  <c:v>0.51304911441022</c:v>
                </c:pt>
                <c:pt idx="2">
                  <c:v>0.428078514917763</c:v>
                </c:pt>
                <c:pt idx="3">
                  <c:v>0.370863699956939</c:v>
                </c:pt>
                <c:pt idx="4">
                  <c:v>0.344916240998078</c:v>
                </c:pt>
                <c:pt idx="5">
                  <c:v>0.433699616090346</c:v>
                </c:pt>
                <c:pt idx="6">
                  <c:v>0.416293217402835</c:v>
                </c:pt>
                <c:pt idx="7">
                  <c:v>0.40522304666665</c:v>
                </c:pt>
                <c:pt idx="8">
                  <c:v>0.392583007980319</c:v>
                </c:pt>
                <c:pt idx="9">
                  <c:v>0.400785831196951</c:v>
                </c:pt>
                <c:pt idx="10">
                  <c:v>0.395163341536001</c:v>
                </c:pt>
                <c:pt idx="11">
                  <c:v>0.39194255682477</c:v>
                </c:pt>
                <c:pt idx="12">
                  <c:v>0.375335567294404</c:v>
                </c:pt>
                <c:pt idx="13">
                  <c:v>0.371834521349191</c:v>
                </c:pt>
                <c:pt idx="14">
                  <c:v>0.357563144887383</c:v>
                </c:pt>
                <c:pt idx="15">
                  <c:v>0.36463326870217</c:v>
                </c:pt>
                <c:pt idx="16">
                  <c:v>0.350843521161259</c:v>
                </c:pt>
                <c:pt idx="17">
                  <c:v>0.349165154229818</c:v>
                </c:pt>
                <c:pt idx="18">
                  <c:v>0.336873256976356</c:v>
                </c:pt>
                <c:pt idx="19">
                  <c:v>0.296328246249464</c:v>
                </c:pt>
                <c:pt idx="20">
                  <c:v>0.324886952422151</c:v>
                </c:pt>
                <c:pt idx="21">
                  <c:v>0.322278922284888</c:v>
                </c:pt>
                <c:pt idx="22">
                  <c:v>0.320906599185883</c:v>
                </c:pt>
                <c:pt idx="23">
                  <c:v>0.33017126951325</c:v>
                </c:pt>
                <c:pt idx="24">
                  <c:v>0.327885949973066</c:v>
                </c:pt>
                <c:pt idx="25">
                  <c:v>0.326751497459992</c:v>
                </c:pt>
                <c:pt idx="26">
                  <c:v>0.325600170897998</c:v>
                </c:pt>
                <c:pt idx="27">
                  <c:v>0.335581592932557</c:v>
                </c:pt>
                <c:pt idx="28">
                  <c:v>0.333958766971106</c:v>
                </c:pt>
                <c:pt idx="29">
                  <c:v>0.332864729257025</c:v>
                </c:pt>
                <c:pt idx="30">
                  <c:v>0.331258080262048</c:v>
                </c:pt>
                <c:pt idx="31">
                  <c:v>0.328783680975258</c:v>
                </c:pt>
                <c:pt idx="32">
                  <c:v>0.33787034004094</c:v>
                </c:pt>
                <c:pt idx="33">
                  <c:v>0.336661843461824</c:v>
                </c:pt>
                <c:pt idx="34">
                  <c:v>0.335622778159366</c:v>
                </c:pt>
                <c:pt idx="35">
                  <c:v>0.334092039917483</c:v>
                </c:pt>
                <c:pt idx="36">
                  <c:v>0.333077527103634</c:v>
                </c:pt>
                <c:pt idx="37">
                  <c:v>0.331871005983512</c:v>
                </c:pt>
                <c:pt idx="38">
                  <c:v>0.424907832907458</c:v>
                </c:pt>
                <c:pt idx="39">
                  <c:v>0.423783432594061</c:v>
                </c:pt>
                <c:pt idx="40">
                  <c:v>0.413942722068232</c:v>
                </c:pt>
                <c:pt idx="41">
                  <c:v>0.412439851589751</c:v>
                </c:pt>
                <c:pt idx="42">
                  <c:v>0.411404559205121</c:v>
                </c:pt>
                <c:pt idx="43">
                  <c:v>0.409045561369883</c:v>
                </c:pt>
                <c:pt idx="44">
                  <c:v>0.407883280083723</c:v>
                </c:pt>
                <c:pt idx="45">
                  <c:v>0.413346311982145</c:v>
                </c:pt>
                <c:pt idx="46">
                  <c:v>0.411886782550546</c:v>
                </c:pt>
                <c:pt idx="47">
                  <c:v>0.410922694483498</c:v>
                </c:pt>
                <c:pt idx="48">
                  <c:v>0.409818171770904</c:v>
                </c:pt>
                <c:pt idx="49">
                  <c:v>0.408847056252826</c:v>
                </c:pt>
                <c:pt idx="50">
                  <c:v>0.407760717867593</c:v>
                </c:pt>
                <c:pt idx="51">
                  <c:v>0.412802611942734</c:v>
                </c:pt>
                <c:pt idx="52">
                  <c:v>0.411727898808903</c:v>
                </c:pt>
                <c:pt idx="53">
                  <c:v>0.410783700440041</c:v>
                </c:pt>
                <c:pt idx="54">
                  <c:v>0.40972614099688</c:v>
                </c:pt>
                <c:pt idx="55">
                  <c:v>0.408633275834615</c:v>
                </c:pt>
                <c:pt idx="56">
                  <c:v>0.407439167281083</c:v>
                </c:pt>
                <c:pt idx="57">
                  <c:v>0.410646174951744</c:v>
                </c:pt>
                <c:pt idx="58">
                  <c:v>0.409743799448889</c:v>
                </c:pt>
                <c:pt idx="59">
                  <c:v>0.408731508520687</c:v>
                </c:pt>
                <c:pt idx="60">
                  <c:v>0.407843343065184</c:v>
                </c:pt>
                <c:pt idx="61">
                  <c:v>0.403729804999218</c:v>
                </c:pt>
                <c:pt idx="62">
                  <c:v>0.427432976967704</c:v>
                </c:pt>
                <c:pt idx="63">
                  <c:v>0.426469700417047</c:v>
                </c:pt>
                <c:pt idx="64">
                  <c:v>0.425756015298843</c:v>
                </c:pt>
                <c:pt idx="65">
                  <c:v>0.424766017638994</c:v>
                </c:pt>
                <c:pt idx="66">
                  <c:v>0.423822940539711</c:v>
                </c:pt>
                <c:pt idx="67">
                  <c:v>0.422996228830004</c:v>
                </c:pt>
                <c:pt idx="68">
                  <c:v>0.401522257182653</c:v>
                </c:pt>
                <c:pt idx="69">
                  <c:v>0.40061739026423</c:v>
                </c:pt>
                <c:pt idx="70">
                  <c:v>0.399680903848268</c:v>
                </c:pt>
                <c:pt idx="71">
                  <c:v>0.398804661460605</c:v>
                </c:pt>
                <c:pt idx="72">
                  <c:v>0.397757413473321</c:v>
                </c:pt>
                <c:pt idx="73">
                  <c:v>0.399905073232503</c:v>
                </c:pt>
                <c:pt idx="74">
                  <c:v>0.398871343961485</c:v>
                </c:pt>
                <c:pt idx="75">
                  <c:v>0.401711087931403</c:v>
                </c:pt>
                <c:pt idx="76">
                  <c:v>0.400786888900777</c:v>
                </c:pt>
                <c:pt idx="77">
                  <c:v>0.399938967853678</c:v>
                </c:pt>
                <c:pt idx="78">
                  <c:v>0.398943222673398</c:v>
                </c:pt>
                <c:pt idx="79">
                  <c:v>0.397936050362559</c:v>
                </c:pt>
                <c:pt idx="80">
                  <c:v>0.397085665290561</c:v>
                </c:pt>
                <c:pt idx="81">
                  <c:v>0.392512883326912</c:v>
                </c:pt>
                <c:pt idx="82">
                  <c:v>0.391810358826924</c:v>
                </c:pt>
                <c:pt idx="83">
                  <c:v>0.417720792526391</c:v>
                </c:pt>
                <c:pt idx="84">
                  <c:v>0.416915683584019</c:v>
                </c:pt>
                <c:pt idx="85">
                  <c:v>0.415953031488313</c:v>
                </c:pt>
                <c:pt idx="86">
                  <c:v>0.415156757439825</c:v>
                </c:pt>
                <c:pt idx="87">
                  <c:v>0.414221353331854</c:v>
                </c:pt>
                <c:pt idx="88">
                  <c:v>0.413417124814524</c:v>
                </c:pt>
                <c:pt idx="89">
                  <c:v>0.415501617530694</c:v>
                </c:pt>
                <c:pt idx="90">
                  <c:v>0.414563012425784</c:v>
                </c:pt>
                <c:pt idx="91">
                  <c:v>0.413786608886367</c:v>
                </c:pt>
                <c:pt idx="92">
                  <c:v>0.412858252967035</c:v>
                </c:pt>
                <c:pt idx="93">
                  <c:v>0.412090327084185</c:v>
                </c:pt>
                <c:pt idx="94">
                  <c:v>0.413184805367596</c:v>
                </c:pt>
                <c:pt idx="95">
                  <c:v>0.412722328517031</c:v>
                </c:pt>
                <c:pt idx="96">
                  <c:v>0.412183601010735</c:v>
                </c:pt>
                <c:pt idx="97">
                  <c:v>0.411719682634921</c:v>
                </c:pt>
                <c:pt idx="98">
                  <c:v>0.413852053097564</c:v>
                </c:pt>
                <c:pt idx="99">
                  <c:v>0.413390876624592</c:v>
                </c:pt>
                <c:pt idx="100">
                  <c:v>0.412859519513554</c:v>
                </c:pt>
                <c:pt idx="101">
                  <c:v>0.41238331991641</c:v>
                </c:pt>
                <c:pt idx="102">
                  <c:v>0.411927492913602</c:v>
                </c:pt>
                <c:pt idx="103">
                  <c:v>0.413959718558446</c:v>
                </c:pt>
                <c:pt idx="104">
                  <c:v>0.413506644346168</c:v>
                </c:pt>
                <c:pt idx="105">
                  <c:v>0.412984635682872</c:v>
                </c:pt>
                <c:pt idx="106">
                  <c:v>0.412535133146729</c:v>
                </c:pt>
                <c:pt idx="107">
                  <c:v>0.412069042679712</c:v>
                </c:pt>
                <c:pt idx="108">
                  <c:v>0.411622906955111</c:v>
                </c:pt>
                <c:pt idx="109">
                  <c:v>0.445052970943927</c:v>
                </c:pt>
                <c:pt idx="110">
                  <c:v>0.444601426299577</c:v>
                </c:pt>
                <c:pt idx="111">
                  <c:v>0.444071845385641</c:v>
                </c:pt>
                <c:pt idx="112">
                  <c:v>0.443633074992289</c:v>
                </c:pt>
                <c:pt idx="113">
                  <c:v>0.443004392781876</c:v>
                </c:pt>
                <c:pt idx="114">
                  <c:v>0.442542122285067</c:v>
                </c:pt>
                <c:pt idx="115">
                  <c:v>0.444214432792837</c:v>
                </c:pt>
                <c:pt idx="116">
                  <c:v>0.4437040821688</c:v>
                </c:pt>
                <c:pt idx="117">
                  <c:v>0.442934218467421</c:v>
                </c:pt>
                <c:pt idx="118">
                  <c:v>0.442419569277559</c:v>
                </c:pt>
                <c:pt idx="119">
                  <c:v>0.441247602369525</c:v>
                </c:pt>
                <c:pt idx="120">
                  <c:v>0.440788718942438</c:v>
                </c:pt>
                <c:pt idx="121">
                  <c:v>0.440366953704264</c:v>
                </c:pt>
                <c:pt idx="122">
                  <c:v>0.439861877534868</c:v>
                </c:pt>
                <c:pt idx="123">
                  <c:v>0.439443454237605</c:v>
                </c:pt>
                <c:pt idx="124">
                  <c:v>0.438951181610402</c:v>
                </c:pt>
                <c:pt idx="125">
                  <c:v>0.438443518817736</c:v>
                </c:pt>
                <c:pt idx="126">
                  <c:v>0.437753700468728</c:v>
                </c:pt>
                <c:pt idx="127">
                  <c:v>0.437259350414786</c:v>
                </c:pt>
                <c:pt idx="128">
                  <c:v>0.436849838475661</c:v>
                </c:pt>
                <c:pt idx="129">
                  <c:v>0.436359479045985</c:v>
                </c:pt>
                <c:pt idx="130">
                  <c:v>0.435632894226458</c:v>
                </c:pt>
                <c:pt idx="131">
                  <c:v>0.43514723448061</c:v>
                </c:pt>
                <c:pt idx="132">
                  <c:v>0.434792479317397</c:v>
                </c:pt>
                <c:pt idx="133">
                  <c:v>0.434319032495227</c:v>
                </c:pt>
                <c:pt idx="134">
                  <c:v>0.433911414915316</c:v>
                </c:pt>
                <c:pt idx="135">
                  <c:v>0.433441868616677</c:v>
                </c:pt>
                <c:pt idx="136">
                  <c:v>0.432966067617633</c:v>
                </c:pt>
                <c:pt idx="137">
                  <c:v>0.432571973191176</c:v>
                </c:pt>
                <c:pt idx="138">
                  <c:v>0.432100138388862</c:v>
                </c:pt>
                <c:pt idx="139">
                  <c:v>0.431443055191417</c:v>
                </c:pt>
                <c:pt idx="140">
                  <c:v>0.43097564878238</c:v>
                </c:pt>
                <c:pt idx="141">
                  <c:v>0.430580366671645</c:v>
                </c:pt>
                <c:pt idx="142">
                  <c:v>0.430125082605432</c:v>
                </c:pt>
                <c:pt idx="143">
                  <c:v>0.429733160872781</c:v>
                </c:pt>
                <c:pt idx="144">
                  <c:v>0.429281763896113</c:v>
                </c:pt>
                <c:pt idx="145">
                  <c:v>0.428938160270274</c:v>
                </c:pt>
                <c:pt idx="146">
                  <c:v>0.428490442227183</c:v>
                </c:pt>
                <c:pt idx="147">
                  <c:v>0.428113023040204</c:v>
                </c:pt>
                <c:pt idx="148">
                  <c:v>0.427661233767456</c:v>
                </c:pt>
                <c:pt idx="149">
                  <c:v>0.426243959378541</c:v>
                </c:pt>
                <c:pt idx="150">
                  <c:v>0.425865481608525</c:v>
                </c:pt>
                <c:pt idx="151">
                  <c:v>0.425473209133364</c:v>
                </c:pt>
                <c:pt idx="152">
                  <c:v>0.425097900444943</c:v>
                </c:pt>
                <c:pt idx="153">
                  <c:v>0.42466571489429</c:v>
                </c:pt>
                <c:pt idx="154">
                  <c:v>0.424293759002587</c:v>
                </c:pt>
                <c:pt idx="155">
                  <c:v>0.423857809265719</c:v>
                </c:pt>
                <c:pt idx="156">
                  <c:v>0.423496855772699</c:v>
                </c:pt>
                <c:pt idx="157">
                  <c:v>0.423107293038753</c:v>
                </c:pt>
                <c:pt idx="158">
                  <c:v>0.422749455728783</c:v>
                </c:pt>
                <c:pt idx="159">
                  <c:v>0.422321212165691</c:v>
                </c:pt>
                <c:pt idx="160">
                  <c:v>0.422028803101826</c:v>
                </c:pt>
                <c:pt idx="161">
                  <c:v>0.421932570882406</c:v>
                </c:pt>
                <c:pt idx="162">
                  <c:v>0.421821320671893</c:v>
                </c:pt>
                <c:pt idx="163">
                  <c:v>0.421738324991891</c:v>
                </c:pt>
                <c:pt idx="164">
                  <c:v>0.421625204254388</c:v>
                </c:pt>
                <c:pt idx="165">
                  <c:v>0.421240334452543</c:v>
                </c:pt>
                <c:pt idx="166">
                  <c:v>0.421127496995466</c:v>
                </c:pt>
                <c:pt idx="167">
                  <c:v>0.421033698082457</c:v>
                </c:pt>
                <c:pt idx="168">
                  <c:v>0.420920987622233</c:v>
                </c:pt>
                <c:pt idx="169">
                  <c:v>0.420827294260554</c:v>
                </c:pt>
                <c:pt idx="170">
                  <c:v>0.4207257906131</c:v>
                </c:pt>
                <c:pt idx="171">
                  <c:v>0.420613269310026</c:v>
                </c:pt>
                <c:pt idx="172">
                  <c:v>0.420519733163299</c:v>
                </c:pt>
                <c:pt idx="173">
                  <c:v>0.420385217571067</c:v>
                </c:pt>
                <c:pt idx="174">
                  <c:v>0.420291797886025</c:v>
                </c:pt>
                <c:pt idx="175">
                  <c:v>0.420179543036018</c:v>
                </c:pt>
                <c:pt idx="176">
                  <c:v>0.420097270354395</c:v>
                </c:pt>
                <c:pt idx="177">
                  <c:v>0.419985134874587</c:v>
                </c:pt>
                <c:pt idx="178">
                  <c:v>0.419891919399163</c:v>
                </c:pt>
                <c:pt idx="179">
                  <c:v>0.419781878323794</c:v>
                </c:pt>
                <c:pt idx="180">
                  <c:v>0.419686799113518</c:v>
                </c:pt>
                <c:pt idx="181">
                  <c:v>0.419576881614893</c:v>
                </c:pt>
                <c:pt idx="182">
                  <c:v>0.419492914670251</c:v>
                </c:pt>
                <c:pt idx="183">
                  <c:v>0.418746774359055</c:v>
                </c:pt>
                <c:pt idx="184">
                  <c:v>0.418635415450931</c:v>
                </c:pt>
                <c:pt idx="185">
                  <c:v>0.418540889407194</c:v>
                </c:pt>
                <c:pt idx="186">
                  <c:v>0.418431611271802</c:v>
                </c:pt>
                <c:pt idx="187">
                  <c:v>0.418337191135949</c:v>
                </c:pt>
                <c:pt idx="188">
                  <c:v>0.418238970353341</c:v>
                </c:pt>
                <c:pt idx="189">
                  <c:v>0.418144650292132</c:v>
                </c:pt>
                <c:pt idx="190">
                  <c:v>0.418035610246386</c:v>
                </c:pt>
                <c:pt idx="191">
                  <c:v>0.417941395794422</c:v>
                </c:pt>
                <c:pt idx="192">
                  <c:v>0.417832477819664</c:v>
                </c:pt>
                <c:pt idx="193">
                  <c:v>0.417740316179173</c:v>
                </c:pt>
                <c:pt idx="194">
                  <c:v>0.417629572743564</c:v>
                </c:pt>
                <c:pt idx="195">
                  <c:v>0.417531734336713</c:v>
                </c:pt>
                <c:pt idx="196">
                  <c:v>0.417437781408707</c:v>
                </c:pt>
                <c:pt idx="197">
                  <c:v>0.417329165723028</c:v>
                </c:pt>
                <c:pt idx="198">
                  <c:v>0.417235317873204</c:v>
                </c:pt>
                <c:pt idx="199">
                  <c:v>0.417126823644929</c:v>
                </c:pt>
                <c:pt idx="200">
                  <c:v>0.417031140961654</c:v>
                </c:pt>
                <c:pt idx="201">
                  <c:v>0.416933625588818</c:v>
                </c:pt>
                <c:pt idx="202">
                  <c:v>0.41684192052685</c:v>
                </c:pt>
                <c:pt idx="203">
                  <c:v>0.416731725636755</c:v>
                </c:pt>
                <c:pt idx="204">
                  <c:v>0.41664012304062</c:v>
                </c:pt>
                <c:pt idx="205">
                  <c:v>0.416530051255891</c:v>
                </c:pt>
                <c:pt idx="206">
                  <c:v>0.416421979807105</c:v>
                </c:pt>
                <c:pt idx="207">
                  <c:v>0.416339422840398</c:v>
                </c:pt>
                <c:pt idx="208">
                  <c:v>0.41623146558385</c:v>
                </c:pt>
                <c:pt idx="209">
                  <c:v>0.416140116731</c:v>
                </c:pt>
                <c:pt idx="210">
                  <c:v>0.416030349800996</c:v>
                </c:pt>
                <c:pt idx="211">
                  <c:v>0.415939102901514</c:v>
                </c:pt>
                <c:pt idx="212">
                  <c:v>0.415829458461449</c:v>
                </c:pt>
                <c:pt idx="213">
                  <c:v>0.415749098663151</c:v>
                </c:pt>
                <c:pt idx="214">
                  <c:v>0.415639569968174</c:v>
                </c:pt>
                <c:pt idx="215">
                  <c:v>0.415546597231981</c:v>
                </c:pt>
                <c:pt idx="216">
                  <c:v>0.415439114529901</c:v>
                </c:pt>
                <c:pt idx="217">
                  <c:v>0.415346245461716</c:v>
                </c:pt>
                <c:pt idx="218">
                  <c:v>0.415238882587742</c:v>
                </c:pt>
                <c:pt idx="219">
                  <c:v>0.415129664528848</c:v>
                </c:pt>
                <c:pt idx="220">
                  <c:v>0.415049617183746</c:v>
                </c:pt>
                <c:pt idx="221">
                  <c:v>0.414940514291917</c:v>
                </c:pt>
                <c:pt idx="222">
                  <c:v>0.414234712037451</c:v>
                </c:pt>
                <c:pt idx="223">
                  <c:v>0.414127963129106</c:v>
                </c:pt>
                <c:pt idx="224">
                  <c:v>0.414035727963632</c:v>
                </c:pt>
                <c:pt idx="225">
                  <c:v>0.413929097782282</c:v>
                </c:pt>
                <c:pt idx="226">
                  <c:v>0.413847641632386</c:v>
                </c:pt>
                <c:pt idx="227">
                  <c:v>0.413741123641516</c:v>
                </c:pt>
                <c:pt idx="228">
                  <c:v>0.413649087966425</c:v>
                </c:pt>
                <c:pt idx="229">
                  <c:v>0.413542688373636</c:v>
                </c:pt>
                <c:pt idx="230">
                  <c:v>0.413432547900688</c:v>
                </c:pt>
                <c:pt idx="231">
                  <c:v>0.41334257243435</c:v>
                </c:pt>
                <c:pt idx="232">
                  <c:v>0.413246996101226</c:v>
                </c:pt>
                <c:pt idx="233">
                  <c:v>0.413133945553531</c:v>
                </c:pt>
                <c:pt idx="234">
                  <c:v>0.413027852969671</c:v>
                </c:pt>
                <c:pt idx="235">
                  <c:v>0.412936184805753</c:v>
                </c:pt>
                <c:pt idx="236">
                  <c:v>0.41283021001548</c:v>
                </c:pt>
                <c:pt idx="237">
                  <c:v>0.412738643614156</c:v>
                </c:pt>
                <c:pt idx="238">
                  <c:v>0.412643390972716</c:v>
                </c:pt>
                <c:pt idx="239">
                  <c:v>0.412553813488812</c:v>
                </c:pt>
                <c:pt idx="240">
                  <c:v>0.412446174719886</c:v>
                </c:pt>
                <c:pt idx="241">
                  <c:v>0.412340491641286</c:v>
                </c:pt>
                <c:pt idx="242">
                  <c:v>0.412249177251715</c:v>
                </c:pt>
                <c:pt idx="243">
                  <c:v>0.412143611386589</c:v>
                </c:pt>
                <c:pt idx="244">
                  <c:v>0.412052398258667</c:v>
                </c:pt>
                <c:pt idx="245">
                  <c:v>0.41195562665286</c:v>
                </c:pt>
                <c:pt idx="246">
                  <c:v>0.411866395619282</c:v>
                </c:pt>
                <c:pt idx="247">
                  <c:v>0.411759173091171</c:v>
                </c:pt>
                <c:pt idx="248">
                  <c:v>0.411670040950215</c:v>
                </c:pt>
                <c:pt idx="249">
                  <c:v>0.411562937236261</c:v>
                </c:pt>
                <c:pt idx="250">
                  <c:v>0.411473903848407</c:v>
                </c:pt>
                <c:pt idx="251">
                  <c:v>0.41137744783932</c:v>
                </c:pt>
                <c:pt idx="252">
                  <c:v>0.411288507769115</c:v>
                </c:pt>
                <c:pt idx="253">
                  <c:v>0.411181634818026</c:v>
                </c:pt>
                <c:pt idx="254">
                  <c:v>0.411076703520052</c:v>
                </c:pt>
                <c:pt idx="255">
                  <c:v>0.410987914694435</c:v>
                </c:pt>
                <c:pt idx="256">
                  <c:v>0.410881223455929</c:v>
                </c:pt>
                <c:pt idx="257">
                  <c:v>0.410803027765132</c:v>
                </c:pt>
                <c:pt idx="258">
                  <c:v>0.410696448251718</c:v>
                </c:pt>
                <c:pt idx="259">
                  <c:v>0.410607850557041</c:v>
                </c:pt>
                <c:pt idx="260">
                  <c:v>0.410501388952764</c:v>
                </c:pt>
                <c:pt idx="261">
                  <c:v>0.410412889259306</c:v>
                </c:pt>
                <c:pt idx="262">
                  <c:v>0.41030841427408</c:v>
                </c:pt>
                <c:pt idx="263">
                  <c:v>0.410228604270785</c:v>
                </c:pt>
                <c:pt idx="264">
                  <c:v>0.410124238594119</c:v>
                </c:pt>
                <c:pt idx="265">
                  <c:v>0.410018068995143</c:v>
                </c:pt>
                <c:pt idx="266">
                  <c:v>0.409336402508178</c:v>
                </c:pt>
                <c:pt idx="267">
                  <c:v>0.409230657021812</c:v>
                </c:pt>
                <c:pt idx="268">
                  <c:v>0.409142752514425</c:v>
                </c:pt>
                <c:pt idx="269">
                  <c:v>0.40903898002482</c:v>
                </c:pt>
                <c:pt idx="270">
                  <c:v>0.408959706574435</c:v>
                </c:pt>
                <c:pt idx="271">
                  <c:v>0.40885604241269</c:v>
                </c:pt>
                <c:pt idx="272">
                  <c:v>0.408766472166685</c:v>
                </c:pt>
                <c:pt idx="273">
                  <c:v>0.40866292232996</c:v>
                </c:pt>
                <c:pt idx="274">
                  <c:v>0.408573450851271</c:v>
                </c:pt>
                <c:pt idx="275">
                  <c:v>0.408470015180299</c:v>
                </c:pt>
                <c:pt idx="276">
                  <c:v>0.408375147207766</c:v>
                </c:pt>
                <c:pt idx="277">
                  <c:v>0.408287671208506</c:v>
                </c:pt>
                <c:pt idx="278">
                  <c:v>0.408184404506034</c:v>
                </c:pt>
                <c:pt idx="279">
                  <c:v>0.408095177632074</c:v>
                </c:pt>
                <c:pt idx="280">
                  <c:v>0.407992024701534</c:v>
                </c:pt>
                <c:pt idx="281">
                  <c:v>0.407902896117283</c:v>
                </c:pt>
                <c:pt idx="282">
                  <c:v>0.407810179058905</c:v>
                </c:pt>
                <c:pt idx="283">
                  <c:v>0.407721143356355</c:v>
                </c:pt>
                <c:pt idx="284">
                  <c:v>0.368586988826119</c:v>
                </c:pt>
                <c:pt idx="285">
                  <c:v>0.368494772232277</c:v>
                </c:pt>
                <c:pt idx="286">
                  <c:v>0.368384916238074</c:v>
                </c:pt>
                <c:pt idx="287">
                  <c:v>0.368292862189743</c:v>
                </c:pt>
                <c:pt idx="288">
                  <c:v>0.368194898187421</c:v>
                </c:pt>
                <c:pt idx="289">
                  <c:v>0.36808740665919</c:v>
                </c:pt>
                <c:pt idx="290">
                  <c:v>0.367993502113612</c:v>
                </c:pt>
                <c:pt idx="291">
                  <c:v>0.367886193917382</c:v>
                </c:pt>
                <c:pt idx="292">
                  <c:v>0.367794536016104</c:v>
                </c:pt>
                <c:pt idx="293">
                  <c:v>0.367685329216432</c:v>
                </c:pt>
                <c:pt idx="294">
                  <c:v>0.36759383168035</c:v>
                </c:pt>
                <c:pt idx="295">
                  <c:v>0.367496429862985</c:v>
                </c:pt>
                <c:pt idx="296">
                  <c:v>0.367405080771585</c:v>
                </c:pt>
                <c:pt idx="297">
                  <c:v>0.367296233014205</c:v>
                </c:pt>
                <c:pt idx="298">
                  <c:v>0.367205043112171</c:v>
                </c:pt>
                <c:pt idx="299">
                  <c:v>0.367096380414142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强度预期!$Q$2</c:f>
              <c:strCache>
                <c:ptCount val="1"/>
                <c:pt idx="0">
                  <c:v>符文系数2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强度预期!$Q$3:$Q$302</c:f>
              <c:numCache>
                <c:formatCode>0%</c:formatCode>
                <c:ptCount val="300"/>
                <c:pt idx="0">
                  <c:v>0.413459078651182</c:v>
                </c:pt>
                <c:pt idx="1">
                  <c:v>0.434806397094675</c:v>
                </c:pt>
                <c:pt idx="2">
                  <c:v>0.414921698035799</c:v>
                </c:pt>
                <c:pt idx="3">
                  <c:v>0.384879465263334</c:v>
                </c:pt>
                <c:pt idx="4">
                  <c:v>0.410870525912651</c:v>
                </c:pt>
                <c:pt idx="5">
                  <c:v>0.349918573619407</c:v>
                </c:pt>
                <c:pt idx="6">
                  <c:v>0.376009388706892</c:v>
                </c:pt>
                <c:pt idx="7">
                  <c:v>0.362701948393321</c:v>
                </c:pt>
                <c:pt idx="8">
                  <c:v>0.366963127847944</c:v>
                </c:pt>
                <c:pt idx="9">
                  <c:v>0.364669489955635</c:v>
                </c:pt>
                <c:pt idx="10">
                  <c:v>0.373582328050091</c:v>
                </c:pt>
                <c:pt idx="11">
                  <c:v>0.378687954631795</c:v>
                </c:pt>
                <c:pt idx="12">
                  <c:v>0.389673418549623</c:v>
                </c:pt>
                <c:pt idx="13">
                  <c:v>0.391441434030483</c:v>
                </c:pt>
                <c:pt idx="14">
                  <c:v>0.387805449247937</c:v>
                </c:pt>
                <c:pt idx="15">
                  <c:v>0.385491139023775</c:v>
                </c:pt>
                <c:pt idx="16">
                  <c:v>0.382142350887083</c:v>
                </c:pt>
                <c:pt idx="17">
                  <c:v>0.385098061293752</c:v>
                </c:pt>
                <c:pt idx="18">
                  <c:v>0.382068793273527</c:v>
                </c:pt>
                <c:pt idx="19">
                  <c:v>0.405471721924181</c:v>
                </c:pt>
                <c:pt idx="20">
                  <c:v>0.378264021109087</c:v>
                </c:pt>
                <c:pt idx="21">
                  <c:v>0.379004682520724</c:v>
                </c:pt>
                <c:pt idx="22">
                  <c:v>0.381648995132013</c:v>
                </c:pt>
                <c:pt idx="23">
                  <c:v>0.380598037895533</c:v>
                </c:pt>
                <c:pt idx="24">
                  <c:v>0.381963338819643</c:v>
                </c:pt>
                <c:pt idx="25">
                  <c:v>0.384101683702994</c:v>
                </c:pt>
                <c:pt idx="26">
                  <c:v>0.386271834709347</c:v>
                </c:pt>
                <c:pt idx="27">
                  <c:v>0.382021023710175</c:v>
                </c:pt>
                <c:pt idx="28">
                  <c:v>0.385009484184391</c:v>
                </c:pt>
                <c:pt idx="29">
                  <c:v>0.387024172477221</c:v>
                </c:pt>
                <c:pt idx="30">
                  <c:v>0.388966480122751</c:v>
                </c:pt>
                <c:pt idx="31">
                  <c:v>0.389743941084209</c:v>
                </c:pt>
                <c:pt idx="32">
                  <c:v>0.385661315182641</c:v>
                </c:pt>
                <c:pt idx="33">
                  <c:v>0.387858685330404</c:v>
                </c:pt>
                <c:pt idx="34">
                  <c:v>0.389747984081144</c:v>
                </c:pt>
                <c:pt idx="35">
                  <c:v>0.391568994209051</c:v>
                </c:pt>
                <c:pt idx="36">
                  <c:v>0.393416572055775</c:v>
                </c:pt>
                <c:pt idx="37">
                  <c:v>0.395613825419862</c:v>
                </c:pt>
                <c:pt idx="38">
                  <c:v>0.341089286862583</c:v>
                </c:pt>
                <c:pt idx="39">
                  <c:v>0.342832910667498</c:v>
                </c:pt>
                <c:pt idx="40">
                  <c:v>0.337355088916085</c:v>
                </c:pt>
                <c:pt idx="41">
                  <c:v>0.338972836834592</c:v>
                </c:pt>
                <c:pt idx="42">
                  <c:v>0.340632124571751</c:v>
                </c:pt>
                <c:pt idx="43">
                  <c:v>0.34147834493869</c:v>
                </c:pt>
                <c:pt idx="44">
                  <c:v>0.343349499324635</c:v>
                </c:pt>
                <c:pt idx="45">
                  <c:v>0.341063998962038</c:v>
                </c:pt>
                <c:pt idx="46">
                  <c:v>0.342637356461497</c:v>
                </c:pt>
                <c:pt idx="47">
                  <c:v>0.344176020743062</c:v>
                </c:pt>
                <c:pt idx="48">
                  <c:v>0.345938815765769</c:v>
                </c:pt>
                <c:pt idx="49">
                  <c:v>0.347488695711399</c:v>
                </c:pt>
                <c:pt idx="50">
                  <c:v>0.349222468930028</c:v>
                </c:pt>
                <c:pt idx="51">
                  <c:v>0.347073356120961</c:v>
                </c:pt>
                <c:pt idx="52">
                  <c:v>0.3487732214302</c:v>
                </c:pt>
                <c:pt idx="53">
                  <c:v>0.35026665256242</c:v>
                </c:pt>
                <c:pt idx="54">
                  <c:v>0.351939386014071</c:v>
                </c:pt>
                <c:pt idx="55">
                  <c:v>0.353667962243887</c:v>
                </c:pt>
                <c:pt idx="56">
                  <c:v>0.354831955421806</c:v>
                </c:pt>
                <c:pt idx="57">
                  <c:v>0.352426106574164</c:v>
                </c:pt>
                <c:pt idx="58">
                  <c:v>0.353849119506854</c:v>
                </c:pt>
                <c:pt idx="59">
                  <c:v>0.35544546501703</c:v>
                </c:pt>
                <c:pt idx="60">
                  <c:v>0.356846069228416</c:v>
                </c:pt>
                <c:pt idx="61">
                  <c:v>0.348236709934425</c:v>
                </c:pt>
                <c:pt idx="62">
                  <c:v>0.335226353355578</c:v>
                </c:pt>
                <c:pt idx="63">
                  <c:v>0.336724508387625</c:v>
                </c:pt>
                <c:pt idx="64">
                  <c:v>0.337834481375555</c:v>
                </c:pt>
                <c:pt idx="65">
                  <c:v>0.33937419494463</c:v>
                </c:pt>
                <c:pt idx="66">
                  <c:v>0.340840934377803</c:v>
                </c:pt>
                <c:pt idx="67">
                  <c:v>0.342126694222269</c:v>
                </c:pt>
                <c:pt idx="68">
                  <c:v>0.379327317843554</c:v>
                </c:pt>
                <c:pt idx="69">
                  <c:v>0.38072606017279</c:v>
                </c:pt>
                <c:pt idx="70">
                  <c:v>0.382173679888012</c:v>
                </c:pt>
                <c:pt idx="71">
                  <c:v>0.383528174447757</c:v>
                </c:pt>
                <c:pt idx="72">
                  <c:v>0.385147009283243</c:v>
                </c:pt>
                <c:pt idx="73">
                  <c:v>0.383141295391861</c:v>
                </c:pt>
                <c:pt idx="74">
                  <c:v>0.384735836050925</c:v>
                </c:pt>
                <c:pt idx="75">
                  <c:v>0.383684999877977</c:v>
                </c:pt>
                <c:pt idx="76">
                  <c:v>0.385102928689964</c:v>
                </c:pt>
                <c:pt idx="77">
                  <c:v>0.386403829949468</c:v>
                </c:pt>
                <c:pt idx="78">
                  <c:v>0.387931526618399</c:v>
                </c:pt>
                <c:pt idx="79">
                  <c:v>0.389476755071202</c:v>
                </c:pt>
                <c:pt idx="80">
                  <c:v>0.390781436698117</c:v>
                </c:pt>
                <c:pt idx="81">
                  <c:v>0.383124958743491</c:v>
                </c:pt>
                <c:pt idx="82">
                  <c:v>0.384229049458275</c:v>
                </c:pt>
                <c:pt idx="83">
                  <c:v>0.368715958940585</c:v>
                </c:pt>
                <c:pt idx="84">
                  <c:v>0.369932686562784</c:v>
                </c:pt>
                <c:pt idx="85">
                  <c:v>0.371387502592976</c:v>
                </c:pt>
                <c:pt idx="86">
                  <c:v>0.372590878407907</c:v>
                </c:pt>
                <c:pt idx="87">
                  <c:v>0.374004515688762</c:v>
                </c:pt>
                <c:pt idx="88">
                  <c:v>0.375219912761253</c:v>
                </c:pt>
                <c:pt idx="89">
                  <c:v>0.37460868171305</c:v>
                </c:pt>
                <c:pt idx="90">
                  <c:v>0.37602142106025</c:v>
                </c:pt>
                <c:pt idx="91">
                  <c:v>0.377190023088623</c:v>
                </c:pt>
                <c:pt idx="92">
                  <c:v>0.378587335897369</c:v>
                </c:pt>
                <c:pt idx="93">
                  <c:v>0.379743177800167</c:v>
                </c:pt>
                <c:pt idx="94">
                  <c:v>0.378575118460208</c:v>
                </c:pt>
                <c:pt idx="95">
                  <c:v>0.379270677973394</c:v>
                </c:pt>
                <c:pt idx="96">
                  <c:v>0.38008091753795</c:v>
                </c:pt>
                <c:pt idx="97">
                  <c:v>0.380778645087437</c:v>
                </c:pt>
                <c:pt idx="98">
                  <c:v>0.379854271056045</c:v>
                </c:pt>
                <c:pt idx="99">
                  <c:v>0.380545331104829</c:v>
                </c:pt>
                <c:pt idx="100">
                  <c:v>0.38134155487728</c:v>
                </c:pt>
                <c:pt idx="101">
                  <c:v>0.382055126657542</c:v>
                </c:pt>
                <c:pt idx="102">
                  <c:v>0.382738170674873</c:v>
                </c:pt>
                <c:pt idx="103">
                  <c:v>0.381858757191393</c:v>
                </c:pt>
                <c:pt idx="104">
                  <c:v>0.38253530576389</c:v>
                </c:pt>
                <c:pt idx="105">
                  <c:v>0.383314790021466</c:v>
                </c:pt>
                <c:pt idx="106">
                  <c:v>0.383986005224009</c:v>
                </c:pt>
                <c:pt idx="107">
                  <c:v>0.38468199018976</c:v>
                </c:pt>
                <c:pt idx="108">
                  <c:v>0.385348177934371</c:v>
                </c:pt>
                <c:pt idx="109">
                  <c:v>0.363859742916463</c:v>
                </c:pt>
                <c:pt idx="110">
                  <c:v>0.364505162102256</c:v>
                </c:pt>
                <c:pt idx="111">
                  <c:v>0.365262123095063</c:v>
                </c:pt>
                <c:pt idx="112">
                  <c:v>0.365889283296321</c:v>
                </c:pt>
                <c:pt idx="113">
                  <c:v>0.366787895571861</c:v>
                </c:pt>
                <c:pt idx="114">
                  <c:v>0.367448645846281</c:v>
                </c:pt>
                <c:pt idx="115">
                  <c:v>0.366685872311072</c:v>
                </c:pt>
                <c:pt idx="116">
                  <c:v>0.367413476450915</c:v>
                </c:pt>
                <c:pt idx="117">
                  <c:v>0.367745258548785</c:v>
                </c:pt>
                <c:pt idx="118">
                  <c:v>0.368479880930412</c:v>
                </c:pt>
                <c:pt idx="119">
                  <c:v>0.368465881195035</c:v>
                </c:pt>
                <c:pt idx="120">
                  <c:v>0.369122656527532</c:v>
                </c:pt>
                <c:pt idx="121">
                  <c:v>0.369726306579346</c:v>
                </c:pt>
                <c:pt idx="122">
                  <c:v>0.370449195115977</c:v>
                </c:pt>
                <c:pt idx="123">
                  <c:v>0.371048062026313</c:v>
                </c:pt>
                <c:pt idx="124">
                  <c:v>0.371752625537057</c:v>
                </c:pt>
                <c:pt idx="125">
                  <c:v>0.372479216169379</c:v>
                </c:pt>
                <c:pt idx="126">
                  <c:v>0.372723764219294</c:v>
                </c:pt>
                <c:pt idx="127">
                  <c:v>0.37343213982106</c:v>
                </c:pt>
                <c:pt idx="128">
                  <c:v>0.374018947213908</c:v>
                </c:pt>
                <c:pt idx="129">
                  <c:v>0.374721604477335</c:v>
                </c:pt>
                <c:pt idx="130">
                  <c:v>0.375027841541535</c:v>
                </c:pt>
                <c:pt idx="131">
                  <c:v>0.375724583738146</c:v>
                </c:pt>
                <c:pt idx="132">
                  <c:v>0.376233526251477</c:v>
                </c:pt>
                <c:pt idx="133">
                  <c:v>0.376912747417482</c:v>
                </c:pt>
                <c:pt idx="134">
                  <c:v>0.377497527956599</c:v>
                </c:pt>
                <c:pt idx="135">
                  <c:v>0.378171153313283</c:v>
                </c:pt>
                <c:pt idx="136">
                  <c:v>0.37885375185281</c:v>
                </c:pt>
                <c:pt idx="137">
                  <c:v>0.379419131665959</c:v>
                </c:pt>
                <c:pt idx="138">
                  <c:v>0.380096040179404</c:v>
                </c:pt>
                <c:pt idx="139">
                  <c:v>0.380315009486865</c:v>
                </c:pt>
                <c:pt idx="140">
                  <c:v>0.380986348920109</c:v>
                </c:pt>
                <c:pt idx="141">
                  <c:v>0.38155409566697</c:v>
                </c:pt>
                <c:pt idx="142">
                  <c:v>0.382208023685645</c:v>
                </c:pt>
                <c:pt idx="143">
                  <c:v>0.382770943895525</c:v>
                </c:pt>
                <c:pt idx="144">
                  <c:v>0.38341928885748</c:v>
                </c:pt>
                <c:pt idx="145">
                  <c:v>0.383912809397576</c:v>
                </c:pt>
                <c:pt idx="146">
                  <c:v>0.384555870278837</c:v>
                </c:pt>
                <c:pt idx="147">
                  <c:v>0.385097960370422</c:v>
                </c:pt>
                <c:pt idx="148">
                  <c:v>0.385746868790266</c:v>
                </c:pt>
                <c:pt idx="149">
                  <c:v>0.385499064395358</c:v>
                </c:pt>
                <c:pt idx="150">
                  <c:v>0.386044702494534</c:v>
                </c:pt>
                <c:pt idx="151">
                  <c:v>0.386610227935293</c:v>
                </c:pt>
                <c:pt idx="152">
                  <c:v>0.387151297280912</c:v>
                </c:pt>
                <c:pt idx="153">
                  <c:v>0.387774363999836</c:v>
                </c:pt>
                <c:pt idx="154">
                  <c:v>0.388310599736264</c:v>
                </c:pt>
                <c:pt idx="155">
                  <c:v>0.388939093150159</c:v>
                </c:pt>
                <c:pt idx="156">
                  <c:v>0.389459467115091</c:v>
                </c:pt>
                <c:pt idx="157">
                  <c:v>0.390021086017177</c:v>
                </c:pt>
                <c:pt idx="158">
                  <c:v>0.390536967490527</c:v>
                </c:pt>
                <c:pt idx="159">
                  <c:v>0.391154351184529</c:v>
                </c:pt>
                <c:pt idx="160">
                  <c:v>0.391575907054989</c:v>
                </c:pt>
                <c:pt idx="161">
                  <c:v>0.39171464166358</c:v>
                </c:pt>
                <c:pt idx="162">
                  <c:v>0.391875027182113</c:v>
                </c:pt>
                <c:pt idx="163">
                  <c:v>0.391994679137032</c:v>
                </c:pt>
                <c:pt idx="164">
                  <c:v>0.392157761328586</c:v>
                </c:pt>
                <c:pt idx="165">
                  <c:v>0.392022664537845</c:v>
                </c:pt>
                <c:pt idx="166">
                  <c:v>0.392185523150573</c:v>
                </c:pt>
                <c:pt idx="167">
                  <c:v>0.392320903380187</c:v>
                </c:pt>
                <c:pt idx="168">
                  <c:v>0.392483578698007</c:v>
                </c:pt>
                <c:pt idx="169">
                  <c:v>0.392618806585094</c:v>
                </c:pt>
                <c:pt idx="170">
                  <c:v>0.392765307079163</c:v>
                </c:pt>
                <c:pt idx="171">
                  <c:v>0.392927709385947</c:v>
                </c:pt>
                <c:pt idx="172">
                  <c:v>0.393062710364261</c:v>
                </c:pt>
                <c:pt idx="173">
                  <c:v>0.393256857089193</c:v>
                </c:pt>
                <c:pt idx="174">
                  <c:v>0.393391689978036</c:v>
                </c:pt>
                <c:pt idx="175">
                  <c:v>0.393553707712375</c:v>
                </c:pt>
                <c:pt idx="176">
                  <c:v>0.393672452100467</c:v>
                </c:pt>
                <c:pt idx="177">
                  <c:v>0.39383429754747</c:v>
                </c:pt>
                <c:pt idx="178">
                  <c:v>0.393968835700008</c:v>
                </c:pt>
                <c:pt idx="179">
                  <c:v>0.394127658287312</c:v>
                </c:pt>
                <c:pt idx="180">
                  <c:v>0.394264886373497</c:v>
                </c:pt>
                <c:pt idx="181">
                  <c:v>0.394423530602145</c:v>
                </c:pt>
                <c:pt idx="182">
                  <c:v>0.394544720324721</c:v>
                </c:pt>
                <c:pt idx="183">
                  <c:v>0.394104303840666</c:v>
                </c:pt>
                <c:pt idx="184">
                  <c:v>0.394265431967001</c:v>
                </c:pt>
                <c:pt idx="185">
                  <c:v>0.394402204180142</c:v>
                </c:pt>
                <c:pt idx="186">
                  <c:v>0.394560321581811</c:v>
                </c:pt>
                <c:pt idx="187">
                  <c:v>0.394696940554056</c:v>
                </c:pt>
                <c:pt idx="188">
                  <c:v>0.394839058781825</c:v>
                </c:pt>
                <c:pt idx="189">
                  <c:v>0.394975532953442</c:v>
                </c:pt>
                <c:pt idx="190">
                  <c:v>0.395133305856953</c:v>
                </c:pt>
                <c:pt idx="191">
                  <c:v>0.395269627219781</c:v>
                </c:pt>
                <c:pt idx="192">
                  <c:v>0.395427223495577</c:v>
                </c:pt>
                <c:pt idx="193">
                  <c:v>0.395560574591618</c:v>
                </c:pt>
                <c:pt idx="194">
                  <c:v>0.395720812174621</c:v>
                </c:pt>
                <c:pt idx="195">
                  <c:v>0.395862377132872</c:v>
                </c:pt>
                <c:pt idx="196">
                  <c:v>0.395998320089824</c:v>
                </c:pt>
                <c:pt idx="197">
                  <c:v>0.396155478975618</c:v>
                </c:pt>
                <c:pt idx="198">
                  <c:v>0.396291269892191</c:v>
                </c:pt>
                <c:pt idx="199">
                  <c:v>0.396448253038081</c:v>
                </c:pt>
                <c:pt idx="200">
                  <c:v>0.396586698823322</c:v>
                </c:pt>
                <c:pt idx="201">
                  <c:v>0.396727796375181</c:v>
                </c:pt>
                <c:pt idx="202">
                  <c:v>0.396860486835775</c:v>
                </c:pt>
                <c:pt idx="203">
                  <c:v>0.39701993071388</c:v>
                </c:pt>
                <c:pt idx="204">
                  <c:v>0.397152472913972</c:v>
                </c:pt>
                <c:pt idx="205">
                  <c:v>0.397311738667691</c:v>
                </c:pt>
                <c:pt idx="206">
                  <c:v>0.397468110082844</c:v>
                </c:pt>
                <c:pt idx="207">
                  <c:v>0.397587563924351</c:v>
                </c:pt>
                <c:pt idx="208">
                  <c:v>0.397743770111758</c:v>
                </c:pt>
                <c:pt idx="209">
                  <c:v>0.397875945164034</c:v>
                </c:pt>
                <c:pt idx="210">
                  <c:v>0.398034769815452</c:v>
                </c:pt>
                <c:pt idx="211">
                  <c:v>0.398166797348722</c:v>
                </c:pt>
                <c:pt idx="212">
                  <c:v>0.398325444766233</c:v>
                </c:pt>
                <c:pt idx="213">
                  <c:v>0.398441719467113</c:v>
                </c:pt>
                <c:pt idx="214">
                  <c:v>0.398600199410019</c:v>
                </c:pt>
                <c:pt idx="215">
                  <c:v>0.398734724101717</c:v>
                </c:pt>
                <c:pt idx="216">
                  <c:v>0.39889024364381</c:v>
                </c:pt>
                <c:pt idx="217">
                  <c:v>0.399024618335546</c:v>
                </c:pt>
                <c:pt idx="218">
                  <c:v>0.39917996449521</c:v>
                </c:pt>
                <c:pt idx="219">
                  <c:v>0.399337994970615</c:v>
                </c:pt>
                <c:pt idx="220">
                  <c:v>0.399453817574767</c:v>
                </c:pt>
                <c:pt idx="221">
                  <c:v>0.399611681411924</c:v>
                </c:pt>
                <c:pt idx="222">
                  <c:v>0.399150202457123</c:v>
                </c:pt>
                <c:pt idx="223">
                  <c:v>0.399305042353692</c:v>
                </c:pt>
                <c:pt idx="224">
                  <c:v>0.399438829983968</c:v>
                </c:pt>
                <c:pt idx="225">
                  <c:v>0.399593497666357</c:v>
                </c:pt>
                <c:pt idx="226">
                  <c:v>0.399711650273445</c:v>
                </c:pt>
                <c:pt idx="227">
                  <c:v>0.399866155222907</c:v>
                </c:pt>
                <c:pt idx="228">
                  <c:v>0.399999653491251</c:v>
                </c:pt>
                <c:pt idx="229">
                  <c:v>0.400153986703627</c:v>
                </c:pt>
                <c:pt idx="230">
                  <c:v>0.400313746083874</c:v>
                </c:pt>
                <c:pt idx="231">
                  <c:v>0.400444256007745</c:v>
                </c:pt>
                <c:pt idx="232">
                  <c:v>0.400582890020635</c:v>
                </c:pt>
                <c:pt idx="233">
                  <c:v>0.400746870480796</c:v>
                </c:pt>
                <c:pt idx="234">
                  <c:v>0.400900758374979</c:v>
                </c:pt>
                <c:pt idx="235">
                  <c:v>0.401033723566283</c:v>
                </c:pt>
                <c:pt idx="236">
                  <c:v>0.401187440600202</c:v>
                </c:pt>
                <c:pt idx="237">
                  <c:v>0.401320258184288</c:v>
                </c:pt>
                <c:pt idx="238">
                  <c:v>0.401458422680554</c:v>
                </c:pt>
                <c:pt idx="239">
                  <c:v>0.40158835532865</c:v>
                </c:pt>
                <c:pt idx="240">
                  <c:v>0.401744485973035</c:v>
                </c:pt>
                <c:pt idx="241">
                  <c:v>0.401897779877517</c:v>
                </c:pt>
                <c:pt idx="242">
                  <c:v>0.402030231917127</c:v>
                </c:pt>
                <c:pt idx="243">
                  <c:v>0.402183355802801</c:v>
                </c:pt>
                <c:pt idx="244">
                  <c:v>0.402315660961815</c:v>
                </c:pt>
                <c:pt idx="245">
                  <c:v>0.402456028724504</c:v>
                </c:pt>
                <c:pt idx="246">
                  <c:v>0.402585458844439</c:v>
                </c:pt>
                <c:pt idx="247">
                  <c:v>0.402740985729161</c:v>
                </c:pt>
                <c:pt idx="248">
                  <c:v>0.402870272404787</c:v>
                </c:pt>
                <c:pt idx="249">
                  <c:v>0.403025626948903</c:v>
                </c:pt>
                <c:pt idx="250">
                  <c:v>0.403154770382595</c:v>
                </c:pt>
                <c:pt idx="251">
                  <c:v>0.403294680370452</c:v>
                </c:pt>
                <c:pt idx="252">
                  <c:v>0.403423688446365</c:v>
                </c:pt>
                <c:pt idx="253">
                  <c:v>0.403578708267637</c:v>
                </c:pt>
                <c:pt idx="254">
                  <c:v>0.40373091171006</c:v>
                </c:pt>
                <c:pt idx="255">
                  <c:v>0.403859700404842</c:v>
                </c:pt>
                <c:pt idx="256">
                  <c:v>0.404014456650982</c:v>
                </c:pt>
                <c:pt idx="257">
                  <c:v>0.404127879943668</c:v>
                </c:pt>
                <c:pt idx="258">
                  <c:v>0.404282474131928</c:v>
                </c:pt>
                <c:pt idx="259">
                  <c:v>0.404410985590198</c:v>
                </c:pt>
                <c:pt idx="260">
                  <c:v>0.404565408750588</c:v>
                </c:pt>
                <c:pt idx="261">
                  <c:v>0.404693778057532</c:v>
                </c:pt>
                <c:pt idx="262">
                  <c:v>0.404845319615728</c:v>
                </c:pt>
                <c:pt idx="263">
                  <c:v>0.404961084477842</c:v>
                </c:pt>
                <c:pt idx="264">
                  <c:v>0.405112467483353</c:v>
                </c:pt>
                <c:pt idx="265">
                  <c:v>0.405266467088399</c:v>
                </c:pt>
                <c:pt idx="266">
                  <c:v>0.404807640142746</c:v>
                </c:pt>
                <c:pt idx="267">
                  <c:v>0.404961398531174</c:v>
                </c:pt>
                <c:pt idx="268">
                  <c:v>0.405089215385168</c:v>
                </c:pt>
                <c:pt idx="269">
                  <c:v>0.405240104953254</c:v>
                </c:pt>
                <c:pt idx="270">
                  <c:v>0.405355371887051</c:v>
                </c:pt>
                <c:pt idx="271">
                  <c:v>0.405506103941867</c:v>
                </c:pt>
                <c:pt idx="272">
                  <c:v>0.40563634284993</c:v>
                </c:pt>
                <c:pt idx="273">
                  <c:v>0.405786908671356</c:v>
                </c:pt>
                <c:pt idx="274">
                  <c:v>0.405917003967584</c:v>
                </c:pt>
                <c:pt idx="275">
                  <c:v>0.406067403787199</c:v>
                </c:pt>
                <c:pt idx="276">
                  <c:v>0.406205345812635</c:v>
                </c:pt>
                <c:pt idx="277">
                  <c:v>0.406332539597775</c:v>
                </c:pt>
                <c:pt idx="278">
                  <c:v>0.406482693730079</c:v>
                </c:pt>
                <c:pt idx="279">
                  <c:v>0.406612433360733</c:v>
                </c:pt>
                <c:pt idx="280">
                  <c:v>0.406762422063858</c:v>
                </c:pt>
                <c:pt idx="281">
                  <c:v>0.40689201877714</c:v>
                </c:pt>
                <c:pt idx="282">
                  <c:v>0.407026833282853</c:v>
                </c:pt>
                <c:pt idx="283">
                  <c:v>0.40715629494223</c:v>
                </c:pt>
                <c:pt idx="284">
                  <c:v>0.464059002942661</c:v>
                </c:pt>
                <c:pt idx="285">
                  <c:v>0.464193089751874</c:v>
                </c:pt>
                <c:pt idx="286">
                  <c:v>0.464352824991724</c:v>
                </c:pt>
                <c:pt idx="287">
                  <c:v>0.464486675452921</c:v>
                </c:pt>
                <c:pt idx="288">
                  <c:v>0.464629119235995</c:v>
                </c:pt>
                <c:pt idx="289">
                  <c:v>0.464785416442792</c:v>
                </c:pt>
                <c:pt idx="290">
                  <c:v>0.464921957604882</c:v>
                </c:pt>
                <c:pt idx="291">
                  <c:v>0.465077988239233</c:v>
                </c:pt>
                <c:pt idx="292">
                  <c:v>0.465211262685939</c:v>
                </c:pt>
                <c:pt idx="293">
                  <c:v>0.465370053969614</c:v>
                </c:pt>
                <c:pt idx="294">
                  <c:v>0.465503095238575</c:v>
                </c:pt>
                <c:pt idx="295">
                  <c:v>0.465644721581057</c:v>
                </c:pt>
                <c:pt idx="296">
                  <c:v>0.465777547005202</c:v>
                </c:pt>
                <c:pt idx="297">
                  <c:v>0.465935816226271</c:v>
                </c:pt>
                <c:pt idx="298">
                  <c:v>0.466068410182377</c:v>
                </c:pt>
                <c:pt idx="299">
                  <c:v>0.46622641031936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强度预期!$R$2</c:f>
              <c:strCache>
                <c:ptCount val="1"/>
                <c:pt idx="0">
                  <c:v>秘宝系数2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强度预期!$R$3:$R$302</c:f>
              <c:numCache>
                <c:formatCode>0%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0.102837049968847</c:v>
                </c:pt>
                <c:pt idx="3">
                  <c:v>0.181922263545324</c:v>
                </c:pt>
                <c:pt idx="4">
                  <c:v>0.169194082093234</c:v>
                </c:pt>
                <c:pt idx="5">
                  <c:v>0.140398172527583</c:v>
                </c:pt>
                <c:pt idx="6">
                  <c:v>0.134763335706552</c:v>
                </c:pt>
                <c:pt idx="7">
                  <c:v>0.145817695137877</c:v>
                </c:pt>
                <c:pt idx="8">
                  <c:v>0.141269233931497</c:v>
                </c:pt>
                <c:pt idx="9">
                  <c:v>0.137797523935062</c:v>
                </c:pt>
                <c:pt idx="10">
                  <c:v>0.135864408806427</c:v>
                </c:pt>
                <c:pt idx="11">
                  <c:v>0.134757043915283</c:v>
                </c:pt>
                <c:pt idx="12">
                  <c:v>0.144084120187358</c:v>
                </c:pt>
                <c:pt idx="13">
                  <c:v>0.142740135847191</c:v>
                </c:pt>
                <c:pt idx="14">
                  <c:v>0.159109778346188</c:v>
                </c:pt>
                <c:pt idx="15">
                  <c:v>0.156138045760058</c:v>
                </c:pt>
                <c:pt idx="16">
                  <c:v>0.173349963827523</c:v>
                </c:pt>
                <c:pt idx="17">
                  <c:v>0.172520691433119</c:v>
                </c:pt>
                <c:pt idx="18">
                  <c:v>0.191123405922635</c:v>
                </c:pt>
                <c:pt idx="19">
                  <c:v>0.200428712004556</c:v>
                </c:pt>
                <c:pt idx="20">
                  <c:v>0.20802054245631</c:v>
                </c:pt>
                <c:pt idx="21">
                  <c:v>0.206350657470621</c:v>
                </c:pt>
                <c:pt idx="22">
                  <c:v>0.205471978307448</c:v>
                </c:pt>
                <c:pt idx="23">
                  <c:v>0.199798017574637</c:v>
                </c:pt>
                <c:pt idx="24">
                  <c:v>0.198415091936297</c:v>
                </c:pt>
                <c:pt idx="25">
                  <c:v>0.197728595611287</c:v>
                </c:pt>
                <c:pt idx="26">
                  <c:v>0.197031888217556</c:v>
                </c:pt>
                <c:pt idx="27">
                  <c:v>0.193113098183556</c:v>
                </c:pt>
                <c:pt idx="28">
                  <c:v>0.192179230069725</c:v>
                </c:pt>
                <c:pt idx="29">
                  <c:v>0.191549657360895</c:v>
                </c:pt>
                <c:pt idx="30">
                  <c:v>0.190625098411156</c:v>
                </c:pt>
                <c:pt idx="31">
                  <c:v>0.189201185650508</c:v>
                </c:pt>
                <c:pt idx="32">
                  <c:v>0.185837555390899</c:v>
                </c:pt>
                <c:pt idx="33">
                  <c:v>0.185172850551953</c:v>
                </c:pt>
                <c:pt idx="34">
                  <c:v>0.184601337362377</c:v>
                </c:pt>
                <c:pt idx="35">
                  <c:v>0.183759391150761</c:v>
                </c:pt>
                <c:pt idx="36">
                  <c:v>0.183201382474368</c:v>
                </c:pt>
                <c:pt idx="37">
                  <c:v>0.182537764189722</c:v>
                </c:pt>
                <c:pt idx="38">
                  <c:v>0.156195386094241</c:v>
                </c:pt>
                <c:pt idx="39">
                  <c:v>0.155782058479464</c:v>
                </c:pt>
                <c:pt idx="40">
                  <c:v>0.172902583959068</c:v>
                </c:pt>
                <c:pt idx="41">
                  <c:v>0.17227483964752</c:v>
                </c:pt>
                <c:pt idx="42">
                  <c:v>0.17184240124744</c:v>
                </c:pt>
                <c:pt idx="43">
                  <c:v>0.170857055209156</c:v>
                </c:pt>
                <c:pt idx="44">
                  <c:v>0.170371573940975</c:v>
                </c:pt>
                <c:pt idx="45">
                  <c:v>0.16819539876919</c:v>
                </c:pt>
                <c:pt idx="46">
                  <c:v>0.16760149934963</c:v>
                </c:pt>
                <c:pt idx="47">
                  <c:v>0.167209200755969</c:v>
                </c:pt>
                <c:pt idx="48">
                  <c:v>0.166759757679524</c:v>
                </c:pt>
                <c:pt idx="49">
                  <c:v>0.166364599534696</c:v>
                </c:pt>
                <c:pt idx="50">
                  <c:v>0.165922555871536</c:v>
                </c:pt>
                <c:pt idx="51">
                  <c:v>0.16394747581465</c:v>
                </c:pt>
                <c:pt idx="52">
                  <c:v>0.163520645895413</c:v>
                </c:pt>
                <c:pt idx="53">
                  <c:v>0.163145650837812</c:v>
                </c:pt>
                <c:pt idx="54">
                  <c:v>0.162725633628099</c:v>
                </c:pt>
                <c:pt idx="55">
                  <c:v>0.162291594502436</c:v>
                </c:pt>
                <c:pt idx="56">
                  <c:v>0.161817345848149</c:v>
                </c:pt>
                <c:pt idx="57">
                  <c:v>0.159446614614217</c:v>
                </c:pt>
                <c:pt idx="58">
                  <c:v>0.159096238237138</c:v>
                </c:pt>
                <c:pt idx="59">
                  <c:v>0.158703183653041</c:v>
                </c:pt>
                <c:pt idx="60">
                  <c:v>0.158358324784908</c:v>
                </c:pt>
                <c:pt idx="61">
                  <c:v>0.173449908261502</c:v>
                </c:pt>
                <c:pt idx="62">
                  <c:v>0.165972418486708</c:v>
                </c:pt>
                <c:pt idx="63">
                  <c:v>0.165598377765943</c:v>
                </c:pt>
                <c:pt idx="64">
                  <c:v>0.165321253511407</c:v>
                </c:pt>
                <c:pt idx="65">
                  <c:v>0.164936836971843</c:v>
                </c:pt>
                <c:pt idx="66">
                  <c:v>0.164570639707191</c:v>
                </c:pt>
                <c:pt idx="67">
                  <c:v>0.164249627175999</c:v>
                </c:pt>
                <c:pt idx="68">
                  <c:v>0.153251973607533</c:v>
                </c:pt>
                <c:pt idx="69">
                  <c:v>0.152906606349256</c:v>
                </c:pt>
                <c:pt idx="70">
                  <c:v>0.152549170643176</c:v>
                </c:pt>
                <c:pt idx="71">
                  <c:v>0.152214728721549</c:v>
                </c:pt>
                <c:pt idx="72">
                  <c:v>0.151815017826233</c:v>
                </c:pt>
                <c:pt idx="73">
                  <c:v>0.150173767032982</c:v>
                </c:pt>
                <c:pt idx="74">
                  <c:v>0.149785577362203</c:v>
                </c:pt>
                <c:pt idx="75">
                  <c:v>0.148547308055337</c:v>
                </c:pt>
                <c:pt idx="76">
                  <c:v>0.14820555179759</c:v>
                </c:pt>
                <c:pt idx="77">
                  <c:v>0.147892002102861</c:v>
                </c:pt>
                <c:pt idx="78">
                  <c:v>0.14752378905004</c:v>
                </c:pt>
                <c:pt idx="79">
                  <c:v>0.147151350399433</c:v>
                </c:pt>
                <c:pt idx="80">
                  <c:v>0.146836889541739</c:v>
                </c:pt>
                <c:pt idx="81">
                  <c:v>0.16075451759087</c:v>
                </c:pt>
                <c:pt idx="82">
                  <c:v>0.16046679713152</c:v>
                </c:pt>
                <c:pt idx="83">
                  <c:v>0.15301714562684</c:v>
                </c:pt>
                <c:pt idx="84">
                  <c:v>0.152722222619692</c:v>
                </c:pt>
                <c:pt idx="85">
                  <c:v>0.152369589285292</c:v>
                </c:pt>
                <c:pt idx="86">
                  <c:v>0.152077902627083</c:v>
                </c:pt>
                <c:pt idx="87">
                  <c:v>0.151735250623232</c:v>
                </c:pt>
                <c:pt idx="88">
                  <c:v>0.151440650128463</c:v>
                </c:pt>
                <c:pt idx="89">
                  <c:v>0.150385064503398</c:v>
                </c:pt>
                <c:pt idx="90">
                  <c:v>0.150045349365623</c:v>
                </c:pt>
                <c:pt idx="91">
                  <c:v>0.149764340841396</c:v>
                </c:pt>
                <c:pt idx="92">
                  <c:v>0.149428335254606</c:v>
                </c:pt>
                <c:pt idx="93">
                  <c:v>0.149150395100937</c:v>
                </c:pt>
                <c:pt idx="94">
                  <c:v>0.147837496930121</c:v>
                </c:pt>
                <c:pt idx="95">
                  <c:v>0.147672022742572</c:v>
                </c:pt>
                <c:pt idx="96">
                  <c:v>0.14747926607528</c:v>
                </c:pt>
                <c:pt idx="97">
                  <c:v>0.14731327611009</c:v>
                </c:pt>
                <c:pt idx="98">
                  <c:v>0.146455673808077</c:v>
                </c:pt>
                <c:pt idx="99">
                  <c:v>0.146292470773108</c:v>
                </c:pt>
                <c:pt idx="100">
                  <c:v>0.146104431924086</c:v>
                </c:pt>
                <c:pt idx="101">
                  <c:v>0.145935912443888</c:v>
                </c:pt>
                <c:pt idx="102">
                  <c:v>0.145774602501515</c:v>
                </c:pt>
                <c:pt idx="103">
                  <c:v>0.144956177597436</c:v>
                </c:pt>
                <c:pt idx="104">
                  <c:v>0.144797524706743</c:v>
                </c:pt>
                <c:pt idx="105">
                  <c:v>0.144614733055498</c:v>
                </c:pt>
                <c:pt idx="106">
                  <c:v>0.1444573308578</c:v>
                </c:pt>
                <c:pt idx="107">
                  <c:v>0.144294120068237</c:v>
                </c:pt>
                <c:pt idx="108">
                  <c:v>0.144137896826147</c:v>
                </c:pt>
                <c:pt idx="109">
                  <c:v>0.135660083291026</c:v>
                </c:pt>
                <c:pt idx="110">
                  <c:v>0.135522444429899</c:v>
                </c:pt>
                <c:pt idx="111">
                  <c:v>0.135361018721985</c:v>
                </c:pt>
                <c:pt idx="112">
                  <c:v>0.135227273680397</c:v>
                </c:pt>
                <c:pt idx="113">
                  <c:v>0.135035640129794</c:v>
                </c:pt>
                <c:pt idx="114">
                  <c:v>0.134894731837536</c:v>
                </c:pt>
                <c:pt idx="115">
                  <c:v>0.134249017180393</c:v>
                </c:pt>
                <c:pt idx="116">
                  <c:v>0.13409478070216</c:v>
                </c:pt>
                <c:pt idx="117">
                  <c:v>0.133862115039716</c:v>
                </c:pt>
                <c:pt idx="118">
                  <c:v>0.133706579463131</c:v>
                </c:pt>
                <c:pt idx="119">
                  <c:v>0.133352391499039</c:v>
                </c:pt>
                <c:pt idx="120">
                  <c:v>0.133213709266903</c:v>
                </c:pt>
                <c:pt idx="121">
                  <c:v>0.133086244771096</c:v>
                </c:pt>
                <c:pt idx="122">
                  <c:v>0.132933602321106</c:v>
                </c:pt>
                <c:pt idx="123">
                  <c:v>0.132807147815633</c:v>
                </c:pt>
                <c:pt idx="124">
                  <c:v>0.132658374809831</c:v>
                </c:pt>
                <c:pt idx="125">
                  <c:v>0.132504950639108</c:v>
                </c:pt>
                <c:pt idx="126">
                  <c:v>0.132296476018405</c:v>
                </c:pt>
                <c:pt idx="127">
                  <c:v>0.132147075179564</c:v>
                </c:pt>
                <c:pt idx="128">
                  <c:v>0.132023313835283</c:v>
                </c:pt>
                <c:pt idx="129">
                  <c:v>0.131875119029713</c:v>
                </c:pt>
                <c:pt idx="130">
                  <c:v>0.13165553296785</c:v>
                </c:pt>
                <c:pt idx="131">
                  <c:v>0.131508758485188</c:v>
                </c:pt>
                <c:pt idx="132">
                  <c:v>0.131401545552683</c:v>
                </c:pt>
                <c:pt idx="133">
                  <c:v>0.131258462019435</c:v>
                </c:pt>
                <c:pt idx="134">
                  <c:v>0.131135273182133</c:v>
                </c:pt>
                <c:pt idx="135">
                  <c:v>0.130993368452211</c:v>
                </c:pt>
                <c:pt idx="136">
                  <c:v>0.130849573447413</c:v>
                </c:pt>
                <c:pt idx="137">
                  <c:v>0.130730471532836</c:v>
                </c:pt>
                <c:pt idx="138">
                  <c:v>0.1305878751789</c:v>
                </c:pt>
                <c:pt idx="139">
                  <c:v>0.13038929366747</c:v>
                </c:pt>
                <c:pt idx="140">
                  <c:v>0.130248035647909</c:v>
                </c:pt>
                <c:pt idx="141">
                  <c:v>0.130128574795317</c:v>
                </c:pt>
                <c:pt idx="142">
                  <c:v>0.129990980350123</c:v>
                </c:pt>
                <c:pt idx="143">
                  <c:v>0.129872535059885</c:v>
                </c:pt>
                <c:pt idx="144">
                  <c:v>0.129736115358042</c:v>
                </c:pt>
                <c:pt idx="145">
                  <c:v>0.129632272606292</c:v>
                </c:pt>
                <c:pt idx="146">
                  <c:v>0.129496964739591</c:v>
                </c:pt>
                <c:pt idx="147">
                  <c:v>0.129382902360757</c:v>
                </c:pt>
                <c:pt idx="148">
                  <c:v>0.129246364100489</c:v>
                </c:pt>
                <c:pt idx="149">
                  <c:v>0.128818040120581</c:v>
                </c:pt>
                <c:pt idx="150">
                  <c:v>0.128703657820281</c:v>
                </c:pt>
                <c:pt idx="151">
                  <c:v>0.128585106529801</c:v>
                </c:pt>
                <c:pt idx="152">
                  <c:v>0.128471681978863</c:v>
                </c:pt>
                <c:pt idx="153">
                  <c:v>0.128341068290672</c:v>
                </c:pt>
                <c:pt idx="154">
                  <c:v>0.128228657010873</c:v>
                </c:pt>
                <c:pt idx="155">
                  <c:v>0.128096905722769</c:v>
                </c:pt>
                <c:pt idx="156">
                  <c:v>0.127987819551523</c:v>
                </c:pt>
                <c:pt idx="157">
                  <c:v>0.127870087190074</c:v>
                </c:pt>
                <c:pt idx="158">
                  <c:v>0.127761942781366</c:v>
                </c:pt>
                <c:pt idx="159">
                  <c:v>0.127632520427622</c:v>
                </c:pt>
                <c:pt idx="160">
                  <c:v>0.127544149527128</c:v>
                </c:pt>
                <c:pt idx="161">
                  <c:v>0.127515066543946</c:v>
                </c:pt>
                <c:pt idx="162">
                  <c:v>0.127481444873149</c:v>
                </c:pt>
                <c:pt idx="163">
                  <c:v>0.127456362193146</c:v>
                </c:pt>
                <c:pt idx="164">
                  <c:v>0.127422175217867</c:v>
                </c:pt>
                <c:pt idx="165">
                  <c:v>0.127305861138841</c:v>
                </c:pt>
                <c:pt idx="166">
                  <c:v>0.127271759775636</c:v>
                </c:pt>
                <c:pt idx="167">
                  <c:v>0.127243412178272</c:v>
                </c:pt>
                <c:pt idx="168">
                  <c:v>0.127209349195636</c:v>
                </c:pt>
                <c:pt idx="169">
                  <c:v>0.127181033497646</c:v>
                </c:pt>
                <c:pt idx="170">
                  <c:v>0.127150357400912</c:v>
                </c:pt>
                <c:pt idx="171">
                  <c:v>0.127116351584724</c:v>
                </c:pt>
                <c:pt idx="172">
                  <c:v>0.127088083399717</c:v>
                </c:pt>
                <c:pt idx="173">
                  <c:v>0.12704743054218</c:v>
                </c:pt>
                <c:pt idx="174">
                  <c:v>0.127019197553838</c:v>
                </c:pt>
                <c:pt idx="175">
                  <c:v>0.126985272264215</c:v>
                </c:pt>
                <c:pt idx="176">
                  <c:v>0.126960408086392</c:v>
                </c:pt>
                <c:pt idx="177">
                  <c:v>0.126926518872435</c:v>
                </c:pt>
                <c:pt idx="178">
                  <c:v>0.126898347599649</c:v>
                </c:pt>
                <c:pt idx="179">
                  <c:v>0.126865091349678</c:v>
                </c:pt>
                <c:pt idx="180">
                  <c:v>0.126836356825107</c:v>
                </c:pt>
                <c:pt idx="181">
                  <c:v>0.126803137922091</c:v>
                </c:pt>
                <c:pt idx="182">
                  <c:v>0.1267777617097</c:v>
                </c:pt>
                <c:pt idx="183">
                  <c:v>0.126552265651801</c:v>
                </c:pt>
                <c:pt idx="184">
                  <c:v>0.126518611130771</c:v>
                </c:pt>
                <c:pt idx="185">
                  <c:v>0.126490043782363</c:v>
                </c:pt>
                <c:pt idx="186">
                  <c:v>0.126457018105589</c:v>
                </c:pt>
                <c:pt idx="187">
                  <c:v>0.126428482764311</c:v>
                </c:pt>
                <c:pt idx="188">
                  <c:v>0.126398798804137</c:v>
                </c:pt>
                <c:pt idx="189">
                  <c:v>0.126370293707087</c:v>
                </c:pt>
                <c:pt idx="190">
                  <c:v>0.126337339984979</c:v>
                </c:pt>
                <c:pt idx="191">
                  <c:v>0.126308866804806</c:v>
                </c:pt>
                <c:pt idx="192">
                  <c:v>0.126275949974588</c:v>
                </c:pt>
                <c:pt idx="193">
                  <c:v>0.126248097188312</c:v>
                </c:pt>
                <c:pt idx="194">
                  <c:v>0.126214628673351</c:v>
                </c:pt>
                <c:pt idx="195">
                  <c:v>0.126185060273514</c:v>
                </c:pt>
                <c:pt idx="196">
                  <c:v>0.126156666130247</c:v>
                </c:pt>
                <c:pt idx="197">
                  <c:v>0.126123840656835</c:v>
                </c:pt>
                <c:pt idx="198">
                  <c:v>0.126095478269948</c:v>
                </c:pt>
                <c:pt idx="199">
                  <c:v>0.126062689502992</c:v>
                </c:pt>
                <c:pt idx="200">
                  <c:v>0.126033772598806</c:v>
                </c:pt>
                <c:pt idx="201">
                  <c:v>0.126004301825241</c:v>
                </c:pt>
                <c:pt idx="202">
                  <c:v>0.125976587024616</c:v>
                </c:pt>
                <c:pt idx="203">
                  <c:v>0.125943284289267</c:v>
                </c:pt>
                <c:pt idx="204">
                  <c:v>0.125915600455527</c:v>
                </c:pt>
                <c:pt idx="205">
                  <c:v>0.125882334924675</c:v>
                </c:pt>
                <c:pt idx="206">
                  <c:v>0.125849673928737</c:v>
                </c:pt>
                <c:pt idx="207">
                  <c:v>0.125824723835216</c:v>
                </c:pt>
                <c:pt idx="208">
                  <c:v>0.125792097350079</c:v>
                </c:pt>
                <c:pt idx="209">
                  <c:v>0.125764490201795</c:v>
                </c:pt>
                <c:pt idx="210">
                  <c:v>0.12573131680313</c:v>
                </c:pt>
                <c:pt idx="211">
                  <c:v>0.125703740466857</c:v>
                </c:pt>
                <c:pt idx="212">
                  <c:v>0.125670604086696</c:v>
                </c:pt>
                <c:pt idx="213">
                  <c:v>0.125646318014146</c:v>
                </c:pt>
                <c:pt idx="214">
                  <c:v>0.125613216614083</c:v>
                </c:pt>
                <c:pt idx="215">
                  <c:v>0.125585118701145</c:v>
                </c:pt>
                <c:pt idx="216">
                  <c:v>0.12555263563429</c:v>
                </c:pt>
                <c:pt idx="217">
                  <c:v>0.125524569051555</c:v>
                </c:pt>
                <c:pt idx="218">
                  <c:v>0.125492122198754</c:v>
                </c:pt>
                <c:pt idx="219">
                  <c:v>0.125459114678101</c:v>
                </c:pt>
                <c:pt idx="220">
                  <c:v>0.125434923034124</c:v>
                </c:pt>
                <c:pt idx="221">
                  <c:v>0.12540195031888</c:v>
                </c:pt>
                <c:pt idx="222">
                  <c:v>0.125188645095117</c:v>
                </c:pt>
                <c:pt idx="223">
                  <c:v>0.125156383792979</c:v>
                </c:pt>
                <c:pt idx="224">
                  <c:v>0.125128508786225</c:v>
                </c:pt>
                <c:pt idx="225">
                  <c:v>0.125096283365366</c:v>
                </c:pt>
                <c:pt idx="226">
                  <c:v>0.125071665957062</c:v>
                </c:pt>
                <c:pt idx="227">
                  <c:v>0.12503947444204</c:v>
                </c:pt>
                <c:pt idx="228">
                  <c:v>0.12501165972461</c:v>
                </c:pt>
                <c:pt idx="229">
                  <c:v>0.124979503991464</c:v>
                </c:pt>
                <c:pt idx="230">
                  <c:v>0.124946217701885</c:v>
                </c:pt>
                <c:pt idx="231">
                  <c:v>0.124919025613933</c:v>
                </c:pt>
                <c:pt idx="232">
                  <c:v>0.124890140850538</c:v>
                </c:pt>
                <c:pt idx="233">
                  <c:v>0.124855975087791</c:v>
                </c:pt>
                <c:pt idx="234">
                  <c:v>0.124823912137869</c:v>
                </c:pt>
                <c:pt idx="235">
                  <c:v>0.124796208488451</c:v>
                </c:pt>
                <c:pt idx="236">
                  <c:v>0.124764181137717</c:v>
                </c:pt>
                <c:pt idx="237">
                  <c:v>0.124736508242653</c:v>
                </c:pt>
                <c:pt idx="238">
                  <c:v>0.124707721304289</c:v>
                </c:pt>
                <c:pt idx="239">
                  <c:v>0.124680649493272</c:v>
                </c:pt>
                <c:pt idx="240">
                  <c:v>0.124648119260411</c:v>
                </c:pt>
                <c:pt idx="241">
                  <c:v>0.124616180069815</c:v>
                </c:pt>
                <c:pt idx="242">
                  <c:v>0.12458858333691</c:v>
                </c:pt>
                <c:pt idx="243">
                  <c:v>0.124556679570182</c:v>
                </c:pt>
                <c:pt idx="244">
                  <c:v>0.124529113440238</c:v>
                </c:pt>
                <c:pt idx="245">
                  <c:v>0.124499867445485</c:v>
                </c:pt>
                <c:pt idx="246">
                  <c:v>0.12447290033754</c:v>
                </c:pt>
                <c:pt idx="247">
                  <c:v>0.124440495899602</c:v>
                </c:pt>
                <c:pt idx="248">
                  <c:v>0.124413558678659</c:v>
                </c:pt>
                <c:pt idx="249">
                  <c:v>0.124381190148342</c:v>
                </c:pt>
                <c:pt idx="250">
                  <c:v>0.124354282772235</c:v>
                </c:pt>
                <c:pt idx="251">
                  <c:v>0.124325132156079</c:v>
                </c:pt>
                <c:pt idx="252">
                  <c:v>0.124298252982123</c:v>
                </c:pt>
                <c:pt idx="253">
                  <c:v>0.124265954192197</c:v>
                </c:pt>
                <c:pt idx="254">
                  <c:v>0.124234242202256</c:v>
                </c:pt>
                <c:pt idx="255">
                  <c:v>0.124207408736938</c:v>
                </c:pt>
                <c:pt idx="256">
                  <c:v>0.124175164863589</c:v>
                </c:pt>
                <c:pt idx="257">
                  <c:v>0.124151532820453</c:v>
                </c:pt>
                <c:pt idx="258">
                  <c:v>0.124119322712291</c:v>
                </c:pt>
                <c:pt idx="259">
                  <c:v>0.124092547009935</c:v>
                </c:pt>
                <c:pt idx="260">
                  <c:v>0.124060372535882</c:v>
                </c:pt>
                <c:pt idx="261">
                  <c:v>0.12403362645113</c:v>
                </c:pt>
                <c:pt idx="262">
                  <c:v>0.124002052366519</c:v>
                </c:pt>
                <c:pt idx="263">
                  <c:v>0.123977932451198</c:v>
                </c:pt>
                <c:pt idx="264">
                  <c:v>0.123946391401458</c:v>
                </c:pt>
                <c:pt idx="265">
                  <c:v>0.123914305176282</c:v>
                </c:pt>
                <c:pt idx="266">
                  <c:v>0.123708294184373</c:v>
                </c:pt>
                <c:pt idx="267">
                  <c:v>0.123676336133108</c:v>
                </c:pt>
                <c:pt idx="268">
                  <c:v>0.123649769923523</c:v>
                </c:pt>
                <c:pt idx="269">
                  <c:v>0.123618408144815</c:v>
                </c:pt>
                <c:pt idx="270">
                  <c:v>0.12359445038474</c:v>
                </c:pt>
                <c:pt idx="271">
                  <c:v>0.123563121344521</c:v>
                </c:pt>
                <c:pt idx="272">
                  <c:v>0.123536051720918</c:v>
                </c:pt>
                <c:pt idx="273">
                  <c:v>0.123504757231628</c:v>
                </c:pt>
                <c:pt idx="274">
                  <c:v>0.123477717457156</c:v>
                </c:pt>
                <c:pt idx="275">
                  <c:v>0.123446457470663</c:v>
                </c:pt>
                <c:pt idx="276">
                  <c:v>0.123417786785664</c:v>
                </c:pt>
                <c:pt idx="277">
                  <c:v>0.123391350078388</c:v>
                </c:pt>
                <c:pt idx="278">
                  <c:v>0.123360141156996</c:v>
                </c:pt>
                <c:pt idx="279">
                  <c:v>0.123333175306157</c:v>
                </c:pt>
                <c:pt idx="280">
                  <c:v>0.123302000768542</c:v>
                </c:pt>
                <c:pt idx="281">
                  <c:v>0.123275064622493</c:v>
                </c:pt>
                <c:pt idx="282">
                  <c:v>0.123247043979659</c:v>
                </c:pt>
                <c:pt idx="283">
                  <c:v>0.123220135904012</c:v>
                </c:pt>
                <c:pt idx="284">
                  <c:v>0.111393141110441</c:v>
                </c:pt>
                <c:pt idx="285">
                  <c:v>0.111365271716344</c:v>
                </c:pt>
                <c:pt idx="286">
                  <c:v>0.111332071400991</c:v>
                </c:pt>
                <c:pt idx="287">
                  <c:v>0.111304251130861</c:v>
                </c:pt>
                <c:pt idx="288">
                  <c:v>0.111274644773976</c:v>
                </c:pt>
                <c:pt idx="289">
                  <c:v>0.111242159039712</c:v>
                </c:pt>
                <c:pt idx="290">
                  <c:v>0.111213779518422</c:v>
                </c:pt>
                <c:pt idx="291">
                  <c:v>0.111181349190148</c:v>
                </c:pt>
                <c:pt idx="292">
                  <c:v>0.111153648642271</c:v>
                </c:pt>
                <c:pt idx="293">
                  <c:v>0.111120644524343</c:v>
                </c:pt>
                <c:pt idx="294">
                  <c:v>0.111092992441505</c:v>
                </c:pt>
                <c:pt idx="295">
                  <c:v>0.111063555986299</c:v>
                </c:pt>
                <c:pt idx="296">
                  <c:v>0.111035948765922</c:v>
                </c:pt>
                <c:pt idx="297">
                  <c:v>0.111003053156568</c:v>
                </c:pt>
                <c:pt idx="298">
                  <c:v>0.110975494045874</c:v>
                </c:pt>
                <c:pt idx="299">
                  <c:v>0.110942654364546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274778907"/>
        <c:axId val="501021072"/>
      </c:lineChart>
      <c:catAx>
        <c:axId val="2747789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01021072"/>
        <c:crosses val="autoZero"/>
        <c:auto val="1"/>
        <c:lblAlgn val="ctr"/>
        <c:lblOffset val="100"/>
        <c:noMultiLvlLbl val="0"/>
      </c:catAx>
      <c:valAx>
        <c:axId val="5010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47789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b4c2564-7b16-486a-80e9-f0d8a25058d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acrossLinear" id="2">
  <a:schemeClr val="accent1"/>
  <a:schemeClr val="accent2"/>
  <a:schemeClr val="accent3"/>
  <a:schemeClr val="accent4"/>
  <a:schemeClr val="accent5"/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2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solidFill>
          <a:schemeClr val="phClr"/>
        </a:solidFill>
        <a:round/>
      </a:ln>
      <a:effectLst/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457200</xdr:colOff>
      <xdr:row>21</xdr:row>
      <xdr:rowOff>133350</xdr:rowOff>
    </xdr:to>
    <xdr:graphicFrame>
      <xdr:nvGraphicFramePr>
        <xdr:cNvPr id="3" name="图表 2"/>
        <xdr:cNvGraphicFramePr/>
      </xdr:nvGraphicFramePr>
      <xdr:xfrm>
        <a:off x="0" y="0"/>
        <a:ext cx="5943600" cy="3733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13</xdr:row>
          <xdr:rowOff>19050</xdr:rowOff>
        </xdr:from>
        <xdr:to>
          <xdr:col>12</xdr:col>
          <xdr:colOff>342900</xdr:colOff>
          <xdr:row>15</xdr:row>
          <xdr:rowOff>104775</xdr:rowOff>
        </xdr:to>
        <xdr:sp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8486775" y="2286000"/>
              <a:ext cx="828675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228600</xdr:colOff>
      <xdr:row>5</xdr:row>
      <xdr:rowOff>57150</xdr:rowOff>
    </xdr:to>
    <xdr:graphicFrame>
      <xdr:nvGraphicFramePr>
        <xdr:cNvPr id="2" name="图表 1"/>
        <xdr:cNvGraphicFramePr/>
      </xdr:nvGraphicFramePr>
      <xdr:xfrm>
        <a:off x="0" y="0"/>
        <a:ext cx="914400" cy="91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527050</xdr:colOff>
      <xdr:row>3</xdr:row>
      <xdr:rowOff>165100</xdr:rowOff>
    </xdr:from>
    <xdr:to>
      <xdr:col>9</xdr:col>
      <xdr:colOff>466725</xdr:colOff>
      <xdr:row>16</xdr:row>
      <xdr:rowOff>184150</xdr:rowOff>
    </xdr:to>
    <xdr:graphicFrame>
      <xdr:nvGraphicFramePr>
        <xdr:cNvPr id="7" name="图表 6"/>
        <xdr:cNvGraphicFramePr/>
      </xdr:nvGraphicFramePr>
      <xdr:xfrm>
        <a:off x="1898650" y="793750"/>
        <a:ext cx="4826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323850</xdr:colOff>
          <xdr:row>0</xdr:row>
          <xdr:rowOff>47625</xdr:rowOff>
        </xdr:from>
        <xdr:to>
          <xdr:col>13</xdr:col>
          <xdr:colOff>447675</xdr:colOff>
          <xdr:row>1</xdr:row>
          <xdr:rowOff>152400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8553450" y="47625"/>
              <a:ext cx="80962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产出汇总" displayName="产出汇总" ref="C19:AM319" totalsRowShown="0">
  <tableColumns count="37">
    <tableColumn id="1" name="天数" dataDxfId="0"/>
    <tableColumn id="2" name="非R" dataDxfId="1"/>
    <tableColumn id="3" name="小R" dataDxfId="2"/>
    <tableColumn id="4" name="中R" dataDxfId="3"/>
    <tableColumn id="5" name="大R" dataDxfId="4"/>
    <tableColumn id="6" name="钻石" dataDxfId="5"/>
    <tableColumn id="7" name="体力" dataDxfId="6"/>
    <tableColumn id="8" name="金币" dataDxfId="7"/>
    <tableColumn id="10" name="能量特饮" dataDxfId="8"/>
    <tableColumn id="37" name="能量特饮2"/>
    <tableColumn id="11" name="梦境招募券" dataDxfId="9"/>
    <tableColumn id="12" name="梦愿水晶" dataDxfId="10"/>
    <tableColumn id="13" name="转运石" dataDxfId="11"/>
    <tableColumn id="14" name="装备强化书" dataDxfId="12"/>
    <tableColumn id="15" name="锻造晶石" dataDxfId="13"/>
    <tableColumn id="16" name="随机普通装备" dataDxfId="14"/>
    <tableColumn id="17" name="随机优秀装备" dataDxfId="15"/>
    <tableColumn id="18" name="随机稀有装备" dataDxfId="16"/>
    <tableColumn id="19" name="随机史诗装备" dataDxfId="17"/>
    <tableColumn id="20" name="随机传说装备" dataDxfId="18"/>
    <tableColumn id="21" name="随机神话装备" dataDxfId="19"/>
    <tableColumn id="22" name="随机创世装备" dataDxfId="20"/>
    <tableColumn id="9" name="随机彩虹装备"/>
    <tableColumn id="23" name="初愿摇杆" dataDxfId="21"/>
    <tableColumn id="24" name="秘藏摇杆" dataDxfId="22"/>
    <tableColumn id="25" name="符引结晶" dataDxfId="23"/>
    <tableColumn id="26" name="幻梦晶核" dataDxfId="24"/>
    <tableColumn id="27" name="普通符文" dataDxfId="25"/>
    <tableColumn id="28" name="优秀符文" dataDxfId="26"/>
    <tableColumn id="29" name="稀有符文" dataDxfId="27"/>
    <tableColumn id="30" name="史诗符文" dataDxfId="28"/>
    <tableColumn id="31" name="传说符文" dataDxfId="29"/>
    <tableColumn id="32" name="神话符文" dataDxfId="30"/>
    <tableColumn id="33" name="创世符文" dataDxfId="31"/>
    <tableColumn id="34" name="织梦微尘" dataDxfId="32"/>
    <tableColumn id="35" name="潜能棱晶" dataDxfId="33"/>
    <tableColumn id="36" name="加速沙漏" dataDxfId="34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2" name="产出效率" displayName="产出效率" ref="C2:G16" totalsRowShown="0">
  <tableColumns count="5">
    <tableColumn id="1" name="类型" dataDxfId="35"/>
    <tableColumn id="2" name="非R" dataDxfId="36"/>
    <tableColumn id="3" name="小R" dataDxfId="37"/>
    <tableColumn id="4" name="中R" dataDxfId="38"/>
    <tableColumn id="5" name="大R" dataDxfId="39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4" name="一次性产出" displayName="一次性产出" ref="I2:M12" totalsRowShown="0">
  <tableColumns count="5">
    <tableColumn id="1" name="类型"/>
    <tableColumn id="2" name="非R"/>
    <tableColumn id="3" name="小R"/>
    <tableColumn id="4" name="中R"/>
    <tableColumn id="5" name="大R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6" name="养成练度" displayName="养成练度" ref="B2:R302" totalsRowShown="0">
  <tableColumns count="17">
    <tableColumn id="1" name="天数" dataDxfId="40"/>
    <tableColumn id="2" name="强化等级" dataDxfId="41">
      <calculatedColumnFormula>_xlfn.XLOOKUP(练度预期!D3,装备养成!$B$3:$B$303,装备养成!$D$3:$D$303)*6</calculatedColumnFormula>
    </tableColumn>
    <tableColumn id="3" name="装备品质" dataDxfId="42">
      <calculatedColumnFormula array="1">_xlfn.XLOOKUP(练度预期!E3&amp;"_"&amp;INT(练度预期!C3/10)*10+10,装备养成!$N$4:$N$219&amp;"_"&amp;装备养成!$K$4:$K$219,装备养成!$P$4:$P$219)*练度预期!F3+_xlfn.XLOOKUP(练度预期!E3-1&amp;"_"&amp;INT(练度预期!C3/10)*10+10,装备养成!$N$4:$N$219&amp;"_"&amp;装备养成!$K$4:$K$219,装备养成!$P$4:$P$219)*(6-练度预期!F3)</calculatedColumnFormula>
    </tableColumn>
    <tableColumn id="4" name="符文攻击" dataDxfId="43">
      <calculatedColumnFormula>练度预期!N3*4*练度预期!M3</calculatedColumnFormula>
    </tableColumn>
    <tableColumn id="16" name="强化洗练" dataDxfId="44">
      <calculatedColumnFormula>INT(练度预期!D3/10)*0.02+1+_xlfn.XLOOKUP(练度预期!E3,装备养成!$U$3:$U$11,装备养成!$V$3:$V$11)*练度预期!F3+_xlfn.XLOOKUP(练度预期!E3-1,装备养成!$U$3:$U$11,装备养成!$V$3:$V$11)*(6-练度预期!F3)</calculatedColumnFormula>
    </tableColumn>
    <tableColumn id="5" name="梦灵释放" dataDxfId="45">
      <calculatedColumnFormula>OFFSET(梦灵养成!$K$20,_xlfn.XLOOKUP(练度预期!H3,梦灵养成!$D$10:$D$31,梦灵养成!$H$10:$H$31),MATCH(OFFSET(梦灵养成!$C$33,B3,MATCH(练度预期!H3,梦灵养成!$D$33:$V$33,0)),梦灵养成!$L$20:$R$20,1))*(1+(OFFSET(梦灵养成!$C$33,B3,MATCH(练度预期!H3,梦灵养成!$D$33:$V$33,0))-1)*_xlfn.XLOOKUP(练度预期!H3,梦灵养成!$D$9:$D$31,梦灵养成!$G$9:$G$31))</calculatedColumnFormula>
    </tableColumn>
    <tableColumn id="6" name="符文系数" dataDxfId="46">
      <calculatedColumnFormula>符文养成!AC4</calculatedColumnFormula>
    </tableColumn>
    <tableColumn id="7" name="秘宝系数" dataDxfId="47">
      <calculatedColumnFormula>MAX(_xlfn.XLOOKUP(练度预期!O3,秘宝养成!$B$3:$B$15,秘宝养成!$E$3:$E$15),1)</calculatedColumnFormula>
    </tableColumn>
    <tableColumn id="8" name="强度预期" dataDxfId="48">
      <calculatedColumnFormula>(C3+D3+E3)*G3*H3*I3*F3</calculatedColumnFormula>
    </tableColumn>
    <tableColumn id="15" name="关卡数" dataDxfId="49">
      <calculatedColumnFormula>MATCH(J3,关卡预期!$E$4:$E$303,1)</calculatedColumnFormula>
    </tableColumn>
    <tableColumn id="9" name="强化等级2" dataDxfId="50">
      <calculatedColumnFormula>S3/SUM($S3:$U3)</calculatedColumnFormula>
    </tableColumn>
    <tableColumn id="10" name="装备品质2" dataDxfId="51">
      <calculatedColumnFormula>T3/SUM($S3:$U3)</calculatedColumnFormula>
    </tableColumn>
    <tableColumn id="17" name="符文攻击2">
      <calculatedColumnFormula>U3/SUM($S3:$U3)</calculatedColumnFormula>
    </tableColumn>
    <tableColumn id="11" name="装备洗练" dataDxfId="52">
      <calculatedColumnFormula>V3/SUM($V3:$Y3)</calculatedColumnFormula>
    </tableColumn>
    <tableColumn id="12" name="梦灵释放2" dataDxfId="53">
      <calculatedColumnFormula>W3/SUM($V3:$Y3)</calculatedColumnFormula>
    </tableColumn>
    <tableColumn id="13" name="符文系数2" dataDxfId="54">
      <calculatedColumnFormula>X3/SUM($V3:$Y3)</calculatedColumnFormula>
    </tableColumn>
    <tableColumn id="14" name="秘宝系数2" dataDxfId="55">
      <calculatedColumnFormula>Y3/SUM($V3:$Y3)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5" name="表6" displayName="表6" ref="J3:P219" totalsRowShown="0">
  <autoFilter xmlns:etc="http://www.wps.cn/officeDocument/2017/etCustomData" ref="J3:P219" etc:filterBottomFollowUsedRange="0"/>
  <tableColumns count="7">
    <tableColumn id="1" name="ID"/>
    <tableColumn id="2" name="装备等级"/>
    <tableColumn id="3" name="装备类型"/>
    <tableColumn id="4" name="装备品质"/>
    <tableColumn id="7" name="品质参数" dataDxfId="56">
      <calculatedColumnFormula>MATCH(M4,$M$4:$M$11,0)</calculatedColumnFormula>
    </tableColumn>
    <tableColumn id="5" name="生命" dataDxfId="57">
      <calculatedColumnFormula>INT(VLOOKUP($E4,$D$24:$G$50,MATCH(O$61,$D$23:$G$23,0),0)*VLOOKUP($G4,$D$13:$F$20,2,0)/6*_xlfn.XLOOKUP($F4,$E$54:$E$59,$F$54:$F$59))</calculatedColumnFormula>
    </tableColumn>
    <tableColumn id="6" name="攻击" dataDxfId="58">
      <calculatedColumnFormula>INT(VLOOKUP($E4,$D$24:$G$50,MATCH(P$61,$D$23:$G$23,0),0)*VLOOKUP($G4,$D$13:$F$20,2,0)/6*_xlfn.XLOOKUP($F4,$E$54:$E$59,$F$54:$F$59))</calculatedColumnFormula>
    </tableColumn>
  </tableColumns>
  <tableStyleInfo name="TableStylePreset3_Accent1" showFirstColumn="1" showLastColumn="0" showRowStripes="0" showColumnStripes="0"/>
</table>
</file>

<file path=xl/tables/table6.xml><?xml version="1.0" encoding="utf-8"?>
<table xmlns="http://schemas.openxmlformats.org/spreadsheetml/2006/main" id="7" name="抽卡预期" displayName="抽卡预期" ref="B338:U638" totalsRowShown="0">
  <tableColumns count="20">
    <tableColumn id="1" name="天数" dataDxfId="59"/>
    <tableColumn id="2" name="抽数" dataDxfId="60">
      <calculatedColumnFormula>C34</calculatedColumnFormula>
    </tableColumn>
    <tableColumn id="3" name="寒冰射手" dataDxfId="61">
      <calculatedColumnFormula array="1">IF(D641=1,OFFSET($Z$338,$B339,D$335-1)/SUMPRODUCT(--($D$335:$V$335=D$335),--($D641:$V641=1)),0)+SUM(D338)+IF(COUNTIF(D$641:D641,1)=1,5,0)+IF(COUNTIF(E339:$Z339,"&gt;"&amp;0)&gt;5,IF(MOD(COUNTIF(D$641:D641,1),7)=0,$C$4,0),0)</calculatedColumnFormula>
    </tableColumn>
    <tableColumn id="4" name="炽焰巫师" dataDxfId="62">
      <calculatedColumnFormula array="1">IF(E641=1,OFFSET($Z$338,$B339,E$335-1)/SUMPRODUCT(--($D$335:$V$335=E$335),--($D641:$V641=1)),0)+SUM(E338)+IF(COUNTIF(E$641:E641,1)=1,5,0)+IF(COUNTIF(F339:$Z339,"&gt;"&amp;0)&gt;5,IF(MOD(COUNTIF(E$641:E641,1),7)=0,$C$4,0),0)</calculatedColumnFormula>
    </tableColumn>
    <tableColumn id="5" name="吟游诗人" dataDxfId="63">
      <calculatedColumnFormula array="1">IF(F641=1,OFFSET($Z$338,$B339,F$335-1)/SUMPRODUCT(--($D$335:$V$335=F$335),--($D641:$V641=1)),0)+SUM(F338)+IF(COUNTIF(F$641:F641,1)=1,5,0)+IF(COUNTIF(G339:$Z339,"&gt;"&amp;0)&gt;5,IF(MOD(COUNTIF(F$641:F641,1),7)=0,$C$4,0),0)</calculatedColumnFormula>
    </tableColumn>
    <tableColumn id="6" name="摇滚巨石" dataDxfId="64">
      <calculatedColumnFormula array="1">IF(G641=1,OFFSET($Z$338,$B339,G$335-1)/SUMPRODUCT(--($D$335:$V$335=G$335),--($D641:$V641=1)),0)+SUM(G338)+IF(COUNTIF(G$641:G641,1)=1,5,0)+IF(COUNTIF(H339:$Z339,"&gt;"&amp;0)&gt;5,IF(MOD(COUNTIF(G$641:G641,1),7)=0,$C$4,0),0)</calculatedColumnFormula>
    </tableColumn>
    <tableColumn id="7" name="泥巴少女" dataDxfId="65">
      <calculatedColumnFormula array="1">IF(H641=1,OFFSET($Z$338,$B339,H$335-1)/SUMPRODUCT(--($D$335:$V$335=H$335),--($D641:$V641=1)),0)+SUM(H338)+IF(COUNTIF(H$641:H641,1)=1,5,0)+IF(COUNTIF(I339:$Z339,"&gt;"&amp;0)&gt;5,IF(MOD(COUNTIF(H$641:H641,1),7)=0,$C$4,0),0)</calculatedColumnFormula>
    </tableColumn>
    <tableColumn id="8" name="雷震子" dataDxfId="66">
      <calculatedColumnFormula array="1">IF(I641=1,OFFSET($Z$338,$B339,I$335-1)/SUMPRODUCT(--($D$335:$V$335=I$335),--($D641:$V641=1)),0)+SUM(I338)+IF(COUNTIF(I$641:I641,1)=1,5,0)+IF(COUNTIF(J339:$Z339,"&gt;"&amp;0)&gt;5,IF(MOD(COUNTIF(I$641:I641,1),7)=0,$C$4,0),0)</calculatedColumnFormula>
    </tableColumn>
    <tableColumn id="9" name="忍者鲨手" dataDxfId="67">
      <calculatedColumnFormula array="1">IF(J641=1,OFFSET($Z$338,$B339,J$335-1)/SUMPRODUCT(--($D$335:$V$335=J$335),--($D641:$V641=1)),0)+SUM(J338)+IF(COUNTIF(J$641:J641,1)=1,5,0)+IF(COUNTIF(K339:$Z339,"&gt;"&amp;0)&gt;5,IF(MOD(COUNTIF(J$641:J641,1),7)=0,$C$4,0),0)</calculatedColumnFormula>
    </tableColumn>
    <tableColumn id="10" name="甜心护士" dataDxfId="68">
      <calculatedColumnFormula array="1">IF(K641=1,OFFSET($Z$338,$B339,K$335-1)/SUMPRODUCT(--($D$335:$V$335=K$335),--($D641:$V641=1)),0)+SUM(K338)+IF(COUNTIF(K$641:K641,1)=1,5,0)+IF(COUNTIF(L339:$Z339,"&gt;"&amp;0)&gt;5,IF(MOD(COUNTIF(K$641:K641,1),7)=0,$C$4,0),0)</calculatedColumnFormula>
    </tableColumn>
    <tableColumn id="11" name="路飞" dataDxfId="69">
      <calculatedColumnFormula array="1">IF(L641=1,OFFSET($Z$338,$B339,L$335-1)/SUMPRODUCT(--($D$335:$V$335=L$335),--($D641:$V641=1)),0)+SUM(L338)+IF(COUNTIF(L$641:L641,1)=1,5,0)+IF(COUNTIF(M339:$Z339,"&gt;"&amp;0)&gt;5,IF(MOD(COUNTIF(L$641:L641,1),7)=0,$C$4,0),0)</calculatedColumnFormula>
    </tableColumn>
    <tableColumn id="12" name="镭射眼" dataDxfId="70">
      <calculatedColumnFormula array="1">IF(M641=1,OFFSET($Z$338,$B339,M$335-1)/SUMPRODUCT(--($D$335:$V$335=M$335),--($D641:$V641=1)),0)+SUM(M338)+IF(COUNTIF(M$641:M641,1)=1,5,0)+IF(COUNTIF(N339:$Z339,"&gt;"&amp;0)&gt;5,IF(MOD(COUNTIF(M$641:M641,1),7)=0,$C$4,0),0)</calculatedColumnFormula>
    </tableColumn>
    <tableColumn id="13" name="东方不败" dataDxfId="71">
      <calculatedColumnFormula array="1">IF(N641=1,OFFSET($Z$338,$B339,N$335-1)/SUMPRODUCT(--($D$335:$V$335=N$335),--($D641:$V641=1)),0)+SUM(N338)+IF(COUNTIF(N$641:N641,1)=1,5,0)+IF(COUNTIF(O339:$Z339,"&gt;"&amp;0)&gt;5,IF(MOD(COUNTIF(N$641:N641,1),7)=0,$C$4,0),0)</calculatedColumnFormula>
    </tableColumn>
    <tableColumn id="14" name="亚瑟" dataDxfId="72">
      <calculatedColumnFormula array="1">IF(O641=1,OFFSET($Z$338,$B339,O$335-1)/SUMPRODUCT(--($D$335:$V$335=O$335),--($D641:$V641=1)),0)+SUM(O338)+IF(COUNTIF(O$641:O641,1)=1,5,0)+IF(COUNTIF(P339:$Z339,"&gt;"&amp;0)&gt;5,IF(MOD(COUNTIF(O$641:O641,1),7)=0,$C$4,0),0)</calculatedColumnFormula>
    </tableColumn>
    <tableColumn id="15" name="蜘蛛女王" dataDxfId="73">
      <calculatedColumnFormula array="1">IF(P641=1,OFFSET($Z$338,$B339,P$335-1)/SUMPRODUCT(--($D$335:$V$335=P$335),--($D641:$V641=1)),0)+SUM(P338)+IF(COUNTIF(P$641:P641,1)=1,5,0)+IF(COUNTIF(Q339:$Z339,"&gt;"&amp;0)&gt;5,IF(MOD(COUNTIF(P$641:P641,1),7)=0,$C$4,0),0)</calculatedColumnFormula>
    </tableColumn>
    <tableColumn id="16" name="唐小僧" dataDxfId="74">
      <calculatedColumnFormula array="1">IF(Q641=1,OFFSET($Z$338,$B339,Q$335-1)/SUMPRODUCT(--($D$335:$V$335=Q$335),--($D641:$V641=1)),0)+SUM(Q338)+IF(COUNTIF(Q$641:Q641,1)=1,5,0)+IF(COUNTIF(R339:$Z339,"&gt;"&amp;0)&gt;5,IF(MOD(COUNTIF(Q$641:Q641,1),7)=0,$C$4,0),0)</calculatedColumnFormula>
    </tableColumn>
    <tableColumn id="17" name="神灯王子" dataDxfId="75">
      <calculatedColumnFormula array="1">IF(R641=1,OFFSET($Z$338,$B339,R$335-1)/SUMPRODUCT(--($D$335:$V$335=R$335),--($D641:$V641=1)),0)+SUM(R338)+IF(COUNTIF(R$641:R641,1)=1,5,0)+IF(COUNTIF(S339:$Z339,"&gt;"&amp;0)&gt;5,IF(MOD(COUNTIF(R$641:R641,1),7)=0,$C$4,0),0)</calculatedColumnFormula>
    </tableColumn>
    <tableColumn id="18" name="关羽" dataDxfId="76">
      <calculatedColumnFormula array="1">IF(S641=1,OFFSET($Z$338,$B339,S$335-1)/SUMPRODUCT(--($D$335:$V$335=S$335),--($D641:$V641=1)),0)+SUM(S338)+IF(COUNTIF(S$641:S641,1)=1,5,0)+IF(COUNTIF(T339:$Z339,"&gt;"&amp;0)&gt;5,IF(MOD(COUNTIF(S$641:S641,1),7)=0,$C$4,0),0)</calculatedColumnFormula>
    </tableColumn>
    <tableColumn id="19" name="后羿" dataDxfId="77">
      <calculatedColumnFormula array="1">IF(T641=1,OFFSET($Z$338,$B339,T$335-1)/SUMPRODUCT(--($D$335:$V$335=T$335),--($D641:$V641=1)),0)+SUM(T338)+IF(COUNTIF(T$641:T641,1)=1,5,0)+IF(COUNTIF(U339:$Z339,"&gt;"&amp;0)&gt;5,IF(MOD(COUNTIF(T$641:T641,1),7)=0,$C$4,0),0)</calculatedColumnFormula>
    </tableColumn>
    <tableColumn id="20" name="诸葛" dataDxfId="78">
      <calculatedColumnFormula array="1">IF(U641=1,OFFSET($Z$338,$B339,U$335-1)/SUMPRODUCT(--($D$335:$V$335=U$335),--($D641:$V641=1)),0)+SUM(U338)+IF(COUNTIF(U$641:U641,1)=1,5,0)+IF(COUNTIF(V339:$Z339,"&gt;"&amp;0)&gt;5,IF(MOD(COUNTIF(U$641:U641,1),7)=0,$C$4,0),0)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8" name="招募概率" displayName="招募概率" ref="K9:R16" totalsRowShown="0">
  <tableColumns count="8">
    <tableColumn id="1" name="招募等级" dataDxfId="79"/>
    <tableColumn id="2" name="蓝卡" dataDxfId="80"/>
    <tableColumn id="3" name="紫卡" dataDxfId="81"/>
    <tableColumn id="4" name="橙卡" dataDxfId="82"/>
    <tableColumn id="5" name="红卡" dataDxfId="83"/>
    <tableColumn id="6" name="升级经验"/>
    <tableColumn id="7" name="升级经验2"/>
    <tableColumn id="8" name="列1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id="9" name="英雄信息" displayName="英雄信息" ref="B9:I31" totalsRowShown="0">
  <tableColumns count="8">
    <tableColumn id="1" name="来源" dataDxfId="84"/>
    <tableColumn id="2" name="阶段节点" dataDxfId="85"/>
    <tableColumn id="3" name="核心奖励" dataDxfId="86"/>
    <tableColumn id="4" name="梦灵品质" dataDxfId="87"/>
    <tableColumn id="5" name="梦灵倍率" dataDxfId="88"/>
    <tableColumn id="6" name="梦灵系数" dataDxfId="89"/>
    <tableColumn id="7" name="升阶系数" dataDxfId="90"/>
    <tableColumn id="8" name="主C" dataDxfId="91">
      <calculatedColumnFormula>D10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抽卡预期_11" displayName="抽卡预期_11" ref="B640:U940" totalsRowShown="0">
  <tableColumns count="20">
    <tableColumn id="1" name="天数"/>
    <tableColumn id="2" name="抽数" dataDxfId="92">
      <calculatedColumnFormula>C339</calculatedColumnFormula>
    </tableColumn>
    <tableColumn id="3" name="寒冰射手" dataDxfId="93"/>
    <tableColumn id="4" name="炽焰巫师" dataDxfId="94"/>
    <tableColumn id="5" name="吟游诗人" dataDxfId="95"/>
    <tableColumn id="6" name="摇滚巨石" dataDxfId="96"/>
    <tableColumn id="7" name="泥巴少女" dataDxfId="97"/>
    <tableColumn id="8" name="雷震子" dataDxfId="98"/>
    <tableColumn id="9" name="忍者鲨手" dataDxfId="99"/>
    <tableColumn id="10" name="甜心护士" dataDxfId="100"/>
    <tableColumn id="11" name="路飞" dataDxfId="101"/>
    <tableColumn id="12" name="镭射眼" dataDxfId="102"/>
    <tableColumn id="13" name="东方不败" dataDxfId="103"/>
    <tableColumn id="14" name="亚瑟" dataDxfId="104"/>
    <tableColumn id="15" name="蜘蛛女王" dataDxfId="105"/>
    <tableColumn id="16" name="唐小僧" dataDxfId="106"/>
    <tableColumn id="17" name="神灯王子" dataDxfId="107"/>
    <tableColumn id="18" name="关羽" dataDxfId="108"/>
    <tableColumn id="19" name="后羿" dataDxfId="109"/>
    <tableColumn id="20" name="诸葛" dataDxfId="110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id="12" name="抽卡预期_13" displayName="抽卡预期_13" ref="B33:U333" totalsRowShown="0">
  <tableColumns count="20">
    <tableColumn id="1" name="天数"/>
    <tableColumn id="2" name="抽数" dataDxfId="111">
      <calculatedColumnFormula>INT(产出预期!M20)</calculatedColumnFormula>
    </tableColumn>
    <tableColumn id="3" name="寒冰射手" dataDxfId="112">
      <calculatedColumnFormula>IFERROR(MATCH(D339*10,OFFSET($AS$339:$AS$388,0,D$335),1),0)</calculatedColumnFormula>
    </tableColumn>
    <tableColumn id="4" name="炽焰巫师" dataDxfId="113"/>
    <tableColumn id="5" name="吟游诗人" dataDxfId="114"/>
    <tableColumn id="6" name="摇滚巨石" dataDxfId="115"/>
    <tableColumn id="7" name="泥巴少女" dataDxfId="116"/>
    <tableColumn id="8" name="雷震子" dataDxfId="117"/>
    <tableColumn id="9" name="忍者鲨手" dataDxfId="118"/>
    <tableColumn id="10" name="甜心护士" dataDxfId="119"/>
    <tableColumn id="11" name="路飞" dataDxfId="120"/>
    <tableColumn id="12" name="镭射眼" dataDxfId="121"/>
    <tableColumn id="13" name="东方不败" dataDxfId="122"/>
    <tableColumn id="14" name="亚瑟" dataDxfId="123"/>
    <tableColumn id="15" name="蜘蛛女王" dataDxfId="124"/>
    <tableColumn id="16" name="唐小僧" dataDxfId="125"/>
    <tableColumn id="17" name="神灯王子" dataDxfId="126"/>
    <tableColumn id="18" name="关羽" dataDxfId="127"/>
    <tableColumn id="19" name="后羿" dataDxfId="128"/>
    <tableColumn id="20" name="诸葛" dataDxfId="129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id="3" name="价值表" displayName="价值表" ref="B6:M85" totalsRowShown="0">
  <tableColumns count="12">
    <tableColumn id="1" name="序号" dataDxfId="130"/>
    <tableColumn id="2" name="道具ID" dataDxfId="131"/>
    <tableColumn id="3" name="道具名称" dataDxfId="132"/>
    <tableColumn id="4" name="类别" dataDxfId="133"/>
    <tableColumn id="5" name="钻石价值" dataDxfId="134"/>
    <tableColumn id="6" name="RMB售价" dataDxfId="135"/>
    <tableColumn id="7" name="途径1" dataDxfId="136"/>
    <tableColumn id="8" name="途径2" dataDxfId="137"/>
    <tableColumn id="9" name="标准折扣" dataDxfId="138"/>
    <tableColumn id="10" name="系统" dataDxfId="139"/>
    <tableColumn id="11" name="备注" dataDxfId="140"/>
    <tableColumn id="12" name="整体思路" dataDxfId="14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7" Type="http://schemas.openxmlformats.org/officeDocument/2006/relationships/table" Target="../tables/table3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D8"/>
  <sheetViews>
    <sheetView workbookViewId="0">
      <selection activeCell="G38" sqref="D3:G38"/>
    </sheetView>
  </sheetViews>
  <sheetFormatPr defaultColWidth="9" defaultRowHeight="13.5" outlineLevelRow="7" outlineLevelCol="3"/>
  <cols>
    <col min="4" max="4" width="11.125" customWidth="1"/>
  </cols>
  <sheetData>
    <row r="3" ht="14.25"/>
    <row r="4" ht="36.75" spans="1:4">
      <c r="A4" s="129" t="s">
        <v>0</v>
      </c>
      <c r="B4" s="130" t="s">
        <v>1</v>
      </c>
      <c r="C4" s="130" t="s">
        <v>2</v>
      </c>
      <c r="D4" s="131" t="s">
        <v>3</v>
      </c>
    </row>
    <row r="5" ht="18.75" spans="1:4">
      <c r="A5" s="132">
        <v>1</v>
      </c>
      <c r="B5" s="133" t="s">
        <v>4</v>
      </c>
      <c r="C5" s="133" t="s">
        <v>5</v>
      </c>
      <c r="D5" s="134">
        <v>46059</v>
      </c>
    </row>
    <row r="6" ht="18.75" spans="1:4">
      <c r="A6" s="132"/>
      <c r="B6" s="133"/>
      <c r="C6" s="133"/>
      <c r="D6" s="135"/>
    </row>
    <row r="7" ht="18" spans="1:4">
      <c r="A7" s="136"/>
      <c r="B7" s="133"/>
      <c r="C7" s="133"/>
      <c r="D7" s="133"/>
    </row>
    <row r="8" spans="1:4">
      <c r="A8" s="137"/>
      <c r="B8" s="137"/>
      <c r="C8" s="137"/>
      <c r="D8" s="137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19"/>
  <sheetViews>
    <sheetView workbookViewId="0">
      <selection activeCell="G38" sqref="D3:G38"/>
    </sheetView>
  </sheetViews>
  <sheetFormatPr defaultColWidth="9" defaultRowHeight="18" outlineLevelCol="5"/>
  <cols>
    <col min="1" max="1" width="8.5" style="114" customWidth="1"/>
    <col min="2" max="2" width="2.375" style="115" customWidth="1"/>
    <col min="3" max="3" width="3.625" style="114" customWidth="1"/>
    <col min="4" max="4" width="14.375" style="116" customWidth="1"/>
    <col min="5" max="5" width="9.125" style="116" customWidth="1"/>
    <col min="6" max="6" width="22.125" style="116" customWidth="1"/>
    <col min="7" max="10" width="9.125" style="116" customWidth="1"/>
    <col min="11" max="15" width="9.5" style="117" customWidth="1"/>
    <col min="16" max="16" width="9" style="117"/>
    <col min="17" max="17" width="13.875" style="117" customWidth="1"/>
    <col min="18" max="19" width="12.625" style="117" customWidth="1"/>
    <col min="20" max="21" width="14.125" style="117"/>
    <col min="22" max="26" width="9" style="117"/>
  </cols>
  <sheetData>
    <row r="1" spans="1:6">
      <c r="A1" s="118" t="s">
        <v>6</v>
      </c>
      <c r="B1" s="119"/>
      <c r="C1" s="118"/>
      <c r="D1" s="120"/>
      <c r="E1" s="120"/>
      <c r="F1" s="120"/>
    </row>
    <row r="2" spans="1:6">
      <c r="A2" s="121"/>
      <c r="B2" s="122"/>
      <c r="C2" s="121"/>
      <c r="D2" s="123"/>
      <c r="E2" s="123"/>
      <c r="F2" s="123"/>
    </row>
    <row r="3" spans="1:6">
      <c r="A3" s="124" t="s">
        <v>7</v>
      </c>
      <c r="B3" s="125"/>
      <c r="C3" s="124"/>
      <c r="D3" s="126"/>
      <c r="E3" s="126"/>
      <c r="F3" s="126"/>
    </row>
    <row r="4" spans="1:6">
      <c r="A4" s="121"/>
      <c r="B4" s="122"/>
      <c r="C4" s="121"/>
      <c r="D4" s="123"/>
      <c r="E4" s="123"/>
      <c r="F4" s="123"/>
    </row>
    <row r="5" spans="1:6">
      <c r="A5" s="121"/>
      <c r="B5" s="127"/>
      <c r="C5" s="121" t="s">
        <v>8</v>
      </c>
      <c r="E5" s="123"/>
      <c r="F5" s="123"/>
    </row>
    <row r="6" spans="1:6">
      <c r="A6" s="121"/>
      <c r="B6" s="122"/>
      <c r="C6" s="121"/>
      <c r="D6" s="123"/>
      <c r="F6" s="123"/>
    </row>
    <row r="7" spans="1:6">
      <c r="A7" s="121"/>
      <c r="B7" s="122"/>
      <c r="C7" s="121"/>
      <c r="D7" s="128"/>
      <c r="E7" s="123"/>
    </row>
    <row r="8" spans="1:6">
      <c r="A8" s="121"/>
      <c r="B8" s="122"/>
      <c r="C8" s="121"/>
      <c r="D8" s="123"/>
      <c r="E8" s="123"/>
    </row>
    <row r="9" spans="1:6">
      <c r="A9" s="121"/>
      <c r="B9" s="122"/>
      <c r="C9" s="121"/>
      <c r="D9" s="123"/>
      <c r="E9" s="123"/>
    </row>
    <row r="10" spans="1:6">
      <c r="A10" s="121"/>
      <c r="B10" s="122"/>
      <c r="C10" s="121"/>
      <c r="D10" s="128"/>
      <c r="F10" s="123"/>
    </row>
    <row r="11" spans="1:6">
      <c r="A11" s="121"/>
      <c r="B11" s="122"/>
      <c r="C11" s="121"/>
      <c r="D11" s="123"/>
      <c r="F11" s="123"/>
    </row>
    <row r="12" spans="1:6">
      <c r="A12" s="121"/>
      <c r="B12" s="122"/>
      <c r="C12" s="121"/>
      <c r="D12" s="123"/>
      <c r="E12"/>
      <c r="F12" s="123"/>
    </row>
    <row r="13" spans="1:6">
      <c r="A13" s="121"/>
      <c r="B13" s="122"/>
      <c r="C13" s="121"/>
      <c r="D13" s="123"/>
      <c r="F13" s="123"/>
    </row>
    <row r="14" spans="1:6">
      <c r="A14" s="121"/>
      <c r="B14" s="122"/>
      <c r="C14" s="121"/>
      <c r="D14" s="123"/>
      <c r="F14" s="123"/>
    </row>
    <row r="15" spans="1:6">
      <c r="A15" s="121"/>
      <c r="B15" s="122"/>
      <c r="C15" s="121"/>
      <c r="D15" s="123"/>
      <c r="F15" s="123"/>
    </row>
    <row r="16" spans="1:6">
      <c r="A16" s="121"/>
      <c r="B16" s="122"/>
      <c r="C16" s="121"/>
      <c r="D16" s="123"/>
      <c r="F16" s="123"/>
    </row>
    <row r="17" spans="1:6">
      <c r="A17" s="121"/>
      <c r="B17" s="122"/>
      <c r="C17" s="121"/>
      <c r="D17" s="123"/>
      <c r="F17" s="123"/>
    </row>
    <row r="18" spans="1:6">
      <c r="A18" s="121"/>
      <c r="B18" s="122"/>
      <c r="C18" s="121"/>
      <c r="D18" s="123"/>
      <c r="F18" s="123"/>
    </row>
    <row r="19" spans="1:6">
      <c r="A19" s="118" t="s">
        <v>9</v>
      </c>
      <c r="B19" s="119"/>
      <c r="C19" s="118"/>
      <c r="D19" s="120"/>
      <c r="E19" s="120"/>
      <c r="F19" s="120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61"/>
  <sheetViews>
    <sheetView workbookViewId="0">
      <selection activeCell="G38" sqref="D3:G38"/>
    </sheetView>
  </sheetViews>
  <sheetFormatPr defaultColWidth="9" defaultRowHeight="13.5" outlineLevelCol="3"/>
  <sheetData>
    <row r="1" spans="1:4">
      <c r="A1" t="s">
        <v>10</v>
      </c>
      <c r="B1" t="s">
        <v>11</v>
      </c>
      <c r="C1" t="s">
        <v>12</v>
      </c>
      <c r="D1" t="s">
        <v>13</v>
      </c>
    </row>
    <row r="2" spans="1:4">
      <c r="A2">
        <v>1</v>
      </c>
      <c r="B2">
        <v>75</v>
      </c>
      <c r="C2">
        <v>30</v>
      </c>
      <c r="D2">
        <v>180</v>
      </c>
    </row>
    <row r="3" spans="1:4">
      <c r="A3">
        <v>2</v>
      </c>
      <c r="B3">
        <v>75</v>
      </c>
      <c r="C3">
        <v>30</v>
      </c>
      <c r="D3">
        <v>150</v>
      </c>
    </row>
    <row r="4" spans="1:4">
      <c r="A4">
        <v>3</v>
      </c>
      <c r="B4">
        <v>75</v>
      </c>
      <c r="C4">
        <v>30</v>
      </c>
      <c r="D4">
        <v>120</v>
      </c>
    </row>
    <row r="5" spans="1:4">
      <c r="A5">
        <v>4</v>
      </c>
      <c r="B5">
        <v>75</v>
      </c>
      <c r="C5">
        <v>30</v>
      </c>
      <c r="D5">
        <v>90</v>
      </c>
    </row>
    <row r="6" spans="1:4">
      <c r="A6">
        <v>5</v>
      </c>
      <c r="B6">
        <v>75</v>
      </c>
      <c r="C6">
        <v>30</v>
      </c>
      <c r="D6">
        <v>60</v>
      </c>
    </row>
    <row r="7" spans="1:4">
      <c r="A7">
        <v>6</v>
      </c>
      <c r="B7">
        <v>75</v>
      </c>
      <c r="C7">
        <v>30</v>
      </c>
      <c r="D7">
        <v>90</v>
      </c>
    </row>
    <row r="8" spans="1:4">
      <c r="A8">
        <v>7</v>
      </c>
      <c r="B8">
        <v>75</v>
      </c>
      <c r="C8">
        <v>30</v>
      </c>
      <c r="D8">
        <v>60</v>
      </c>
    </row>
    <row r="9" spans="1:4">
      <c r="A9">
        <v>8</v>
      </c>
      <c r="B9">
        <v>75</v>
      </c>
      <c r="C9">
        <v>30</v>
      </c>
      <c r="D9">
        <v>90</v>
      </c>
    </row>
    <row r="10" spans="1:4">
      <c r="A10">
        <v>9</v>
      </c>
      <c r="B10">
        <v>75</v>
      </c>
      <c r="C10">
        <v>30</v>
      </c>
      <c r="D10">
        <v>30</v>
      </c>
    </row>
    <row r="11" spans="1:4">
      <c r="A11">
        <v>10</v>
      </c>
      <c r="B11">
        <v>75</v>
      </c>
      <c r="C11">
        <v>30</v>
      </c>
      <c r="D11">
        <v>60</v>
      </c>
    </row>
    <row r="12" spans="1:4">
      <c r="A12">
        <v>11</v>
      </c>
      <c r="B12">
        <v>75</v>
      </c>
      <c r="C12">
        <v>30</v>
      </c>
      <c r="D12">
        <v>30</v>
      </c>
    </row>
    <row r="13" spans="1:4">
      <c r="A13">
        <v>12</v>
      </c>
      <c r="B13">
        <v>75</v>
      </c>
      <c r="C13">
        <v>30</v>
      </c>
      <c r="D13">
        <v>60</v>
      </c>
    </row>
    <row r="14" spans="1:4">
      <c r="A14">
        <v>13</v>
      </c>
      <c r="B14">
        <v>75</v>
      </c>
      <c r="C14">
        <v>30</v>
      </c>
      <c r="D14">
        <v>30</v>
      </c>
    </row>
    <row r="15" spans="1:4">
      <c r="A15">
        <v>14</v>
      </c>
      <c r="B15">
        <v>75</v>
      </c>
      <c r="C15">
        <v>30</v>
      </c>
      <c r="D15">
        <v>30</v>
      </c>
    </row>
    <row r="16" spans="1:4">
      <c r="A16">
        <v>15</v>
      </c>
      <c r="B16">
        <v>75</v>
      </c>
      <c r="C16">
        <v>30</v>
      </c>
      <c r="D16">
        <v>30</v>
      </c>
    </row>
    <row r="17" spans="1:4">
      <c r="A17">
        <v>16</v>
      </c>
      <c r="B17">
        <v>75</v>
      </c>
      <c r="C17">
        <v>30</v>
      </c>
      <c r="D17">
        <v>60</v>
      </c>
    </row>
    <row r="18" spans="1:4">
      <c r="A18">
        <v>17</v>
      </c>
      <c r="B18">
        <v>75</v>
      </c>
      <c r="C18">
        <v>30</v>
      </c>
      <c r="D18">
        <v>30</v>
      </c>
    </row>
    <row r="19" spans="1:4">
      <c r="A19">
        <v>18</v>
      </c>
      <c r="B19">
        <v>75</v>
      </c>
      <c r="C19">
        <v>30</v>
      </c>
      <c r="D19">
        <v>0</v>
      </c>
    </row>
    <row r="20" spans="1:4">
      <c r="A20">
        <v>19</v>
      </c>
      <c r="B20">
        <v>75</v>
      </c>
      <c r="C20">
        <v>30</v>
      </c>
      <c r="D20">
        <v>30</v>
      </c>
    </row>
    <row r="21" spans="1:4">
      <c r="A21">
        <v>20</v>
      </c>
      <c r="B21">
        <v>75</v>
      </c>
      <c r="C21">
        <v>30</v>
      </c>
      <c r="D21">
        <v>30</v>
      </c>
    </row>
    <row r="22" spans="1:4">
      <c r="A22">
        <v>21</v>
      </c>
      <c r="B22">
        <v>75</v>
      </c>
      <c r="C22">
        <v>30</v>
      </c>
      <c r="D22">
        <v>30</v>
      </c>
    </row>
    <row r="23" spans="1:4">
      <c r="A23">
        <v>22</v>
      </c>
      <c r="B23">
        <v>75</v>
      </c>
      <c r="C23">
        <v>30</v>
      </c>
      <c r="D23">
        <v>30</v>
      </c>
    </row>
    <row r="24" spans="1:4">
      <c r="A24">
        <v>23</v>
      </c>
      <c r="B24">
        <v>75</v>
      </c>
      <c r="C24">
        <v>30</v>
      </c>
      <c r="D24">
        <v>0</v>
      </c>
    </row>
    <row r="25" spans="1:4">
      <c r="A25">
        <v>24</v>
      </c>
      <c r="B25">
        <v>75</v>
      </c>
      <c r="C25">
        <v>30</v>
      </c>
      <c r="D25">
        <v>30</v>
      </c>
    </row>
    <row r="26" spans="1:4">
      <c r="A26">
        <v>25</v>
      </c>
      <c r="B26">
        <v>75</v>
      </c>
      <c r="C26">
        <v>30</v>
      </c>
      <c r="D26">
        <v>30</v>
      </c>
    </row>
    <row r="27" spans="1:4">
      <c r="A27">
        <v>26</v>
      </c>
      <c r="B27">
        <v>75</v>
      </c>
      <c r="C27">
        <v>30</v>
      </c>
      <c r="D27">
        <v>30</v>
      </c>
    </row>
    <row r="28" spans="1:4">
      <c r="A28">
        <v>27</v>
      </c>
      <c r="B28">
        <v>75</v>
      </c>
      <c r="C28">
        <v>30</v>
      </c>
      <c r="D28">
        <v>30</v>
      </c>
    </row>
    <row r="29" spans="1:4">
      <c r="A29">
        <v>28</v>
      </c>
      <c r="B29">
        <v>75</v>
      </c>
      <c r="C29">
        <v>30</v>
      </c>
      <c r="D29">
        <v>0</v>
      </c>
    </row>
    <row r="30" spans="1:4">
      <c r="A30">
        <v>29</v>
      </c>
      <c r="B30">
        <v>75</v>
      </c>
      <c r="C30">
        <v>30</v>
      </c>
      <c r="D30">
        <v>30</v>
      </c>
    </row>
    <row r="31" spans="1:4">
      <c r="A31">
        <v>30</v>
      </c>
      <c r="B31">
        <v>75</v>
      </c>
      <c r="C31">
        <v>30</v>
      </c>
      <c r="D31">
        <v>30</v>
      </c>
    </row>
    <row r="32" spans="1:4">
      <c r="A32">
        <v>31</v>
      </c>
      <c r="B32">
        <v>75</v>
      </c>
      <c r="C32">
        <v>30</v>
      </c>
      <c r="D32">
        <v>30</v>
      </c>
    </row>
    <row r="33" spans="1:4">
      <c r="A33">
        <v>32</v>
      </c>
      <c r="B33">
        <v>75</v>
      </c>
      <c r="C33">
        <v>30</v>
      </c>
      <c r="D33">
        <v>30</v>
      </c>
    </row>
    <row r="34" spans="1:4">
      <c r="A34">
        <v>33</v>
      </c>
      <c r="B34">
        <v>75</v>
      </c>
      <c r="C34">
        <v>30</v>
      </c>
      <c r="D34">
        <v>0</v>
      </c>
    </row>
    <row r="35" spans="1:4">
      <c r="A35">
        <v>34</v>
      </c>
      <c r="B35">
        <v>75</v>
      </c>
      <c r="C35">
        <v>30</v>
      </c>
      <c r="D35">
        <v>30</v>
      </c>
    </row>
    <row r="36" spans="1:4">
      <c r="A36">
        <v>35</v>
      </c>
      <c r="B36">
        <v>75</v>
      </c>
      <c r="C36">
        <v>30</v>
      </c>
      <c r="D36">
        <v>30</v>
      </c>
    </row>
    <row r="37" spans="1:4">
      <c r="A37">
        <v>36</v>
      </c>
      <c r="B37">
        <v>75</v>
      </c>
      <c r="C37">
        <v>30</v>
      </c>
      <c r="D37">
        <v>30</v>
      </c>
    </row>
    <row r="38" spans="1:4">
      <c r="A38">
        <v>37</v>
      </c>
      <c r="B38">
        <v>75</v>
      </c>
      <c r="C38">
        <v>30</v>
      </c>
      <c r="D38">
        <v>30</v>
      </c>
    </row>
    <row r="39" spans="1:4">
      <c r="A39">
        <v>38</v>
      </c>
      <c r="B39">
        <v>75</v>
      </c>
      <c r="C39">
        <v>30</v>
      </c>
      <c r="D39">
        <v>0</v>
      </c>
    </row>
    <row r="40" spans="1:4">
      <c r="A40">
        <v>39</v>
      </c>
      <c r="B40">
        <v>75</v>
      </c>
      <c r="C40">
        <v>30</v>
      </c>
      <c r="D40">
        <v>30</v>
      </c>
    </row>
    <row r="41" spans="1:4">
      <c r="A41">
        <v>40</v>
      </c>
      <c r="B41">
        <v>75</v>
      </c>
      <c r="C41">
        <v>30</v>
      </c>
      <c r="D41">
        <v>30</v>
      </c>
    </row>
    <row r="42" spans="1:4">
      <c r="A42">
        <v>41</v>
      </c>
      <c r="B42">
        <v>75</v>
      </c>
      <c r="C42">
        <v>30</v>
      </c>
      <c r="D42">
        <v>0</v>
      </c>
    </row>
    <row r="43" spans="1:4">
      <c r="A43">
        <v>42</v>
      </c>
      <c r="B43">
        <v>75</v>
      </c>
      <c r="C43">
        <v>30</v>
      </c>
      <c r="D43">
        <v>30</v>
      </c>
    </row>
    <row r="44" spans="1:4">
      <c r="A44">
        <v>43</v>
      </c>
      <c r="B44">
        <v>75</v>
      </c>
      <c r="C44">
        <v>30</v>
      </c>
      <c r="D44">
        <v>0</v>
      </c>
    </row>
    <row r="45" spans="1:4">
      <c r="A45">
        <v>44</v>
      </c>
      <c r="B45">
        <v>75</v>
      </c>
      <c r="C45">
        <v>30</v>
      </c>
      <c r="D45">
        <v>30</v>
      </c>
    </row>
    <row r="46" spans="1:4">
      <c r="A46">
        <v>45</v>
      </c>
      <c r="B46">
        <v>75</v>
      </c>
      <c r="C46">
        <v>30</v>
      </c>
      <c r="D46">
        <v>0</v>
      </c>
    </row>
    <row r="47" spans="1:4">
      <c r="A47">
        <v>46</v>
      </c>
      <c r="B47">
        <v>75</v>
      </c>
      <c r="C47">
        <v>30</v>
      </c>
      <c r="D47">
        <v>0</v>
      </c>
    </row>
    <row r="48" spans="1:4">
      <c r="A48">
        <v>47</v>
      </c>
      <c r="B48">
        <v>75</v>
      </c>
      <c r="C48">
        <v>30</v>
      </c>
      <c r="D48">
        <v>0</v>
      </c>
    </row>
    <row r="49" spans="1:4">
      <c r="A49">
        <v>48</v>
      </c>
      <c r="B49">
        <v>75</v>
      </c>
      <c r="C49">
        <v>30</v>
      </c>
      <c r="D49">
        <v>30</v>
      </c>
    </row>
    <row r="50" spans="1:4">
      <c r="A50">
        <v>49</v>
      </c>
      <c r="B50">
        <v>75</v>
      </c>
      <c r="C50">
        <v>30</v>
      </c>
      <c r="D50">
        <v>0</v>
      </c>
    </row>
    <row r="51" spans="1:4">
      <c r="A51">
        <v>50</v>
      </c>
      <c r="B51">
        <v>75</v>
      </c>
      <c r="C51">
        <v>30</v>
      </c>
      <c r="D51">
        <v>30</v>
      </c>
    </row>
    <row r="52" spans="1:4">
      <c r="A52">
        <v>51</v>
      </c>
      <c r="B52">
        <v>75</v>
      </c>
      <c r="C52">
        <v>30</v>
      </c>
      <c r="D52">
        <v>0</v>
      </c>
    </row>
    <row r="53" spans="1:4">
      <c r="A53">
        <v>52</v>
      </c>
      <c r="B53">
        <v>75</v>
      </c>
      <c r="C53">
        <v>30</v>
      </c>
      <c r="D53">
        <v>30</v>
      </c>
    </row>
    <row r="54" spans="1:4">
      <c r="A54">
        <v>53</v>
      </c>
      <c r="B54">
        <v>75</v>
      </c>
      <c r="C54">
        <v>30</v>
      </c>
      <c r="D54">
        <v>0</v>
      </c>
    </row>
    <row r="55" spans="1:4">
      <c r="A55">
        <v>54</v>
      </c>
      <c r="B55">
        <v>75</v>
      </c>
      <c r="C55">
        <v>30</v>
      </c>
      <c r="D55">
        <v>30</v>
      </c>
    </row>
    <row r="56" spans="1:4">
      <c r="A56">
        <v>55</v>
      </c>
      <c r="B56">
        <v>75</v>
      </c>
      <c r="C56">
        <v>30</v>
      </c>
      <c r="D56">
        <v>0</v>
      </c>
    </row>
    <row r="57" spans="1:4">
      <c r="A57">
        <v>56</v>
      </c>
      <c r="B57">
        <v>75</v>
      </c>
      <c r="C57">
        <v>30</v>
      </c>
      <c r="D57">
        <v>0</v>
      </c>
    </row>
    <row r="58" spans="1:4">
      <c r="A58">
        <v>57</v>
      </c>
      <c r="B58">
        <v>75</v>
      </c>
      <c r="C58">
        <v>30</v>
      </c>
      <c r="D58">
        <v>0</v>
      </c>
    </row>
    <row r="59" spans="1:4">
      <c r="A59">
        <v>58</v>
      </c>
      <c r="B59">
        <v>75</v>
      </c>
      <c r="C59">
        <v>30</v>
      </c>
      <c r="D59">
        <v>30</v>
      </c>
    </row>
    <row r="60" spans="1:4">
      <c r="A60">
        <v>59</v>
      </c>
      <c r="B60">
        <v>75</v>
      </c>
      <c r="C60">
        <v>30</v>
      </c>
      <c r="D60">
        <v>0</v>
      </c>
    </row>
    <row r="61" spans="1:4">
      <c r="A61">
        <v>60</v>
      </c>
      <c r="B61">
        <v>75</v>
      </c>
      <c r="C61">
        <v>30</v>
      </c>
      <c r="D61">
        <v>30</v>
      </c>
    </row>
  </sheetData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6"/>
  </sheetPr>
  <dimension ref="A1:AQ319"/>
  <sheetViews>
    <sheetView workbookViewId="0">
      <selection activeCell="D20" sqref="D20:G319"/>
    </sheetView>
  </sheetViews>
  <sheetFormatPr defaultColWidth="9" defaultRowHeight="13.5"/>
  <cols>
    <col min="1" max="1" width="12.625"/>
    <col min="2" max="2" width="13.75"/>
    <col min="10" max="10" width="10.375"/>
    <col min="13" max="13" width="9.25"/>
    <col min="15" max="15" width="9.25"/>
    <col min="40" max="40" width="9.25" customWidth="1"/>
  </cols>
  <sheetData>
    <row r="1" spans="1:31">
      <c r="A1" s="107" t="str">
        <f ca="1">OFFSET($C$19,0,B1)</f>
        <v>非R</v>
      </c>
      <c r="B1" s="107">
        <v>1</v>
      </c>
      <c r="C1" t="s">
        <v>14</v>
      </c>
      <c r="D1" s="52">
        <f>D3*10+D4*10+D7*20</f>
        <v>210</v>
      </c>
      <c r="E1" s="52">
        <f>E3*10+E4*10+E7*20</f>
        <v>280</v>
      </c>
      <c r="F1" s="52">
        <f>F3*10+F4*10+F7*20</f>
        <v>420</v>
      </c>
      <c r="G1" s="52">
        <f>G3*10+G4*10+G7*20</f>
        <v>590</v>
      </c>
    </row>
    <row r="2" spans="1:31">
      <c r="A2" s="52">
        <v>60</v>
      </c>
      <c r="B2" s="52" t="s">
        <v>15</v>
      </c>
      <c r="C2" s="52" t="s">
        <v>16</v>
      </c>
      <c r="D2" s="108" t="s">
        <v>17</v>
      </c>
      <c r="E2" s="108" t="s">
        <v>18</v>
      </c>
      <c r="F2" s="108" t="s">
        <v>19</v>
      </c>
      <c r="G2" s="108" t="s">
        <v>20</v>
      </c>
      <c r="I2" s="52" t="s">
        <v>16</v>
      </c>
      <c r="J2" s="108" t="s">
        <v>17</v>
      </c>
      <c r="K2" s="108" t="s">
        <v>18</v>
      </c>
      <c r="L2" s="108" t="s">
        <v>19</v>
      </c>
      <c r="M2" s="108" t="s">
        <v>20</v>
      </c>
    </row>
    <row r="3" spans="1:31">
      <c r="C3" s="52" t="s">
        <v>21</v>
      </c>
      <c r="D3" s="52">
        <v>10</v>
      </c>
      <c r="E3" s="52">
        <v>10</v>
      </c>
      <c r="F3" s="52">
        <v>15</v>
      </c>
      <c r="G3" s="52">
        <v>20</v>
      </c>
      <c r="I3" s="52" t="s">
        <v>13</v>
      </c>
      <c r="J3" s="52">
        <v>1</v>
      </c>
      <c r="K3" s="52">
        <v>1</v>
      </c>
      <c r="L3" s="52">
        <v>1</v>
      </c>
      <c r="M3" s="52">
        <v>1</v>
      </c>
    </row>
    <row r="4" spans="1:31">
      <c r="C4" s="52" t="s">
        <v>22</v>
      </c>
      <c r="D4" s="76">
        <v>5</v>
      </c>
      <c r="E4" s="76">
        <v>10</v>
      </c>
      <c r="F4" s="76">
        <v>15</v>
      </c>
      <c r="G4" s="109">
        <v>15</v>
      </c>
      <c r="I4" s="52" t="s">
        <v>23</v>
      </c>
      <c r="J4" s="52">
        <v>1</v>
      </c>
      <c r="K4" s="52">
        <v>1</v>
      </c>
      <c r="L4" s="52">
        <v>1</v>
      </c>
      <c r="M4" s="52">
        <v>1</v>
      </c>
    </row>
    <row r="5" spans="1:31">
      <c r="C5" s="52" t="s">
        <v>24</v>
      </c>
      <c r="D5" s="76">
        <v>24</v>
      </c>
      <c r="E5" s="76">
        <v>24</v>
      </c>
      <c r="F5" s="76">
        <f>24*1.3</f>
        <v>31.2</v>
      </c>
      <c r="G5" s="109">
        <f>F5</f>
        <v>31.2</v>
      </c>
      <c r="I5" s="52" t="s">
        <v>25</v>
      </c>
      <c r="J5" s="52">
        <v>1</v>
      </c>
      <c r="K5" s="52">
        <v>1</v>
      </c>
      <c r="L5" s="52">
        <v>1</v>
      </c>
      <c r="M5" s="52">
        <v>1</v>
      </c>
    </row>
    <row r="6" spans="1:31">
      <c r="C6" s="110" t="s">
        <v>26</v>
      </c>
      <c r="D6" s="76">
        <v>3</v>
      </c>
      <c r="E6" s="76">
        <v>4</v>
      </c>
      <c r="F6" s="76">
        <v>6</v>
      </c>
      <c r="G6" s="109">
        <v>9</v>
      </c>
      <c r="I6" s="110" t="s">
        <v>27</v>
      </c>
      <c r="J6" s="52">
        <v>1</v>
      </c>
      <c r="K6" s="52">
        <v>1</v>
      </c>
      <c r="L6" s="52">
        <v>1</v>
      </c>
      <c r="M6" s="52">
        <v>1</v>
      </c>
    </row>
    <row r="7" spans="1:31">
      <c r="C7" s="52" t="s">
        <v>12</v>
      </c>
      <c r="D7" s="76">
        <v>3</v>
      </c>
      <c r="E7" s="76">
        <v>4</v>
      </c>
      <c r="F7" s="76">
        <v>6</v>
      </c>
      <c r="G7" s="109">
        <v>12</v>
      </c>
      <c r="I7" s="52" t="s">
        <v>28</v>
      </c>
      <c r="J7" s="52">
        <v>1</v>
      </c>
      <c r="K7" s="52">
        <v>1</v>
      </c>
      <c r="L7" s="52">
        <v>1</v>
      </c>
      <c r="M7" s="52">
        <v>1</v>
      </c>
    </row>
    <row r="8" spans="1:31">
      <c r="C8" s="52" t="s">
        <v>29</v>
      </c>
      <c r="D8" s="52">
        <v>1</v>
      </c>
      <c r="E8" s="52">
        <v>1</v>
      </c>
      <c r="F8" s="52">
        <v>1</v>
      </c>
      <c r="G8" s="52">
        <v>1</v>
      </c>
      <c r="I8" s="52" t="s">
        <v>30</v>
      </c>
      <c r="J8" s="52">
        <v>1</v>
      </c>
      <c r="K8" s="52">
        <v>1</v>
      </c>
      <c r="L8" s="52">
        <v>1</v>
      </c>
      <c r="M8" s="52">
        <v>1</v>
      </c>
    </row>
    <row r="9" spans="1:31">
      <c r="C9" s="52" t="s">
        <v>31</v>
      </c>
      <c r="D9" s="52">
        <v>1</v>
      </c>
      <c r="E9" s="52">
        <v>1</v>
      </c>
      <c r="F9" s="52">
        <v>1</v>
      </c>
      <c r="G9" s="52">
        <v>1</v>
      </c>
      <c r="I9" s="52"/>
      <c r="J9" s="52"/>
      <c r="K9" s="52"/>
      <c r="L9" s="52"/>
      <c r="M9" s="52"/>
    </row>
    <row r="10" spans="1:31">
      <c r="C10" s="52" t="s">
        <v>32</v>
      </c>
      <c r="D10" s="52">
        <v>1</v>
      </c>
      <c r="E10" s="52">
        <v>1</v>
      </c>
      <c r="F10" s="52">
        <v>1</v>
      </c>
      <c r="G10" s="52">
        <v>1</v>
      </c>
      <c r="I10" s="52"/>
      <c r="J10" s="52"/>
      <c r="K10" s="52"/>
      <c r="L10" s="52"/>
      <c r="M10" s="52"/>
      <c r="Q10">
        <v>335.7</v>
      </c>
      <c r="R10">
        <v>559.3</v>
      </c>
      <c r="S10">
        <v>753.6</v>
      </c>
      <c r="T10">
        <v>929.6</v>
      </c>
      <c r="U10">
        <v>1105.4</v>
      </c>
      <c r="V10">
        <v>1250.6</v>
      </c>
      <c r="W10">
        <v>1420.8</v>
      </c>
      <c r="X10">
        <v>1560.3</v>
      </c>
      <c r="Y10">
        <v>1680.4</v>
      </c>
      <c r="Z10">
        <v>1821.2</v>
      </c>
      <c r="AA10">
        <v>1946.4</v>
      </c>
      <c r="AB10">
        <v>2042.3</v>
      </c>
      <c r="AC10">
        <v>2153.2</v>
      </c>
      <c r="AD10">
        <v>2294.1</v>
      </c>
    </row>
    <row r="11" spans="1:31">
      <c r="C11" s="52" t="s">
        <v>33</v>
      </c>
      <c r="D11" s="52">
        <v>2</v>
      </c>
      <c r="E11" s="52">
        <v>2</v>
      </c>
      <c r="F11" s="52">
        <v>3</v>
      </c>
      <c r="G11" s="52">
        <v>4</v>
      </c>
      <c r="I11" s="52"/>
      <c r="J11" s="52"/>
      <c r="K11" s="52"/>
      <c r="L11" s="52"/>
      <c r="M11" s="52"/>
    </row>
    <row r="12" ht="16.5" spans="1:31">
      <c r="C12" s="52" t="s">
        <v>34</v>
      </c>
      <c r="D12" s="52">
        <v>1</v>
      </c>
      <c r="E12" s="52">
        <v>1</v>
      </c>
      <c r="F12" s="52">
        <v>1</v>
      </c>
      <c r="G12" s="52">
        <v>1</v>
      </c>
      <c r="I12" s="52"/>
      <c r="J12" s="52"/>
      <c r="K12" s="52"/>
      <c r="L12" s="52"/>
      <c r="M12" s="52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</row>
    <row r="13" spans="1:31">
      <c r="C13" s="52" t="s">
        <v>35</v>
      </c>
      <c r="D13" s="52">
        <v>1</v>
      </c>
      <c r="E13" s="52">
        <v>1</v>
      </c>
      <c r="F13" s="52">
        <v>1</v>
      </c>
      <c r="G13" s="52">
        <v>1</v>
      </c>
      <c r="I13" s="52"/>
      <c r="J13" s="52"/>
      <c r="K13" s="52"/>
      <c r="L13" s="52"/>
      <c r="M13" s="52"/>
      <c r="N13" s="52"/>
    </row>
    <row r="14" spans="1:31">
      <c r="C14" s="52" t="s">
        <v>36</v>
      </c>
      <c r="D14" s="52">
        <v>1</v>
      </c>
      <c r="E14" s="52">
        <v>1</v>
      </c>
      <c r="F14" s="52">
        <v>1</v>
      </c>
      <c r="G14" s="52">
        <v>1</v>
      </c>
      <c r="I14" s="52"/>
      <c r="J14" s="52"/>
      <c r="K14" s="52"/>
      <c r="L14" s="52"/>
      <c r="M14" s="52"/>
      <c r="N14" s="52"/>
    </row>
    <row r="15" spans="1:31">
      <c r="C15" s="52" t="s">
        <v>37</v>
      </c>
      <c r="D15" s="52">
        <v>1</v>
      </c>
      <c r="E15" s="52">
        <v>1</v>
      </c>
      <c r="F15" s="52">
        <v>1</v>
      </c>
      <c r="G15" s="52">
        <v>1</v>
      </c>
      <c r="I15" s="52"/>
      <c r="J15" s="52"/>
      <c r="K15" s="52"/>
      <c r="L15" s="52"/>
      <c r="M15" s="52"/>
      <c r="N15" s="52"/>
    </row>
    <row r="16" spans="1:31">
      <c r="C16" s="52" t="s">
        <v>38</v>
      </c>
      <c r="D16" s="52">
        <v>1</v>
      </c>
      <c r="E16" s="52">
        <v>1</v>
      </c>
      <c r="F16" s="52">
        <v>1</v>
      </c>
      <c r="G16" s="52">
        <v>1</v>
      </c>
      <c r="I16" s="52"/>
      <c r="J16" s="52"/>
      <c r="K16" s="52"/>
      <c r="L16" s="52"/>
      <c r="M16" s="52"/>
      <c r="N16" s="52"/>
    </row>
    <row r="18" spans="1:43">
      <c r="C18" s="52" t="s">
        <v>39</v>
      </c>
      <c r="F18" s="107"/>
      <c r="G18" s="107"/>
      <c r="I18">
        <f>D3*10+D4*10+D7*20</f>
        <v>210</v>
      </c>
      <c r="J18">
        <f>E3*10+E4*10+E7*20</f>
        <v>280</v>
      </c>
      <c r="K18">
        <f>F3*10+F4*10+F7*20</f>
        <v>420</v>
      </c>
      <c r="L18">
        <f>G3*10+G4*10+G7*20</f>
        <v>590</v>
      </c>
    </row>
    <row r="19" spans="1:43">
      <c r="A19">
        <f>AVERAGE(B21:B26)</f>
        <v>1010.66666666667</v>
      </c>
      <c r="B19">
        <f>AVERAGE($B$21:$B$319)</f>
        <v>155.781879194631</v>
      </c>
      <c r="C19" s="108" t="s">
        <v>40</v>
      </c>
      <c r="D19" s="108" t="s">
        <v>17</v>
      </c>
      <c r="E19" s="108" t="s">
        <v>18</v>
      </c>
      <c r="F19" s="108" t="s">
        <v>19</v>
      </c>
      <c r="G19" s="108" t="s">
        <v>20</v>
      </c>
      <c r="H19" s="108" t="s">
        <v>41</v>
      </c>
      <c r="I19" s="108" t="s">
        <v>42</v>
      </c>
      <c r="J19" s="108" t="s">
        <v>43</v>
      </c>
      <c r="K19" s="108" t="s">
        <v>44</v>
      </c>
      <c r="L19" s="108" t="s">
        <v>45</v>
      </c>
      <c r="M19" s="108" t="s">
        <v>46</v>
      </c>
      <c r="N19" s="108" t="s">
        <v>47</v>
      </c>
      <c r="O19" s="108" t="s">
        <v>48</v>
      </c>
      <c r="P19" s="108" t="s">
        <v>49</v>
      </c>
      <c r="Q19" s="108" t="s">
        <v>50</v>
      </c>
      <c r="R19" s="108" t="s">
        <v>51</v>
      </c>
      <c r="S19" s="108" t="s">
        <v>52</v>
      </c>
      <c r="T19" s="108" t="s">
        <v>53</v>
      </c>
      <c r="U19" s="108" t="s">
        <v>54</v>
      </c>
      <c r="V19" s="108" t="s">
        <v>55</v>
      </c>
      <c r="W19" s="108" t="s">
        <v>56</v>
      </c>
      <c r="X19" s="108" t="s">
        <v>57</v>
      </c>
      <c r="Y19" s="108" t="s">
        <v>58</v>
      </c>
      <c r="Z19" s="108" t="s">
        <v>59</v>
      </c>
      <c r="AA19" s="108" t="s">
        <v>60</v>
      </c>
      <c r="AB19" s="108" t="s">
        <v>61</v>
      </c>
      <c r="AC19" s="108" t="s">
        <v>62</v>
      </c>
      <c r="AD19" s="108" t="s">
        <v>63</v>
      </c>
      <c r="AE19" s="108" t="s">
        <v>64</v>
      </c>
      <c r="AF19" s="108" t="s">
        <v>65</v>
      </c>
      <c r="AG19" s="108" t="s">
        <v>66</v>
      </c>
      <c r="AH19" s="108" t="s">
        <v>67</v>
      </c>
      <c r="AI19" s="108" t="s">
        <v>68</v>
      </c>
      <c r="AJ19" s="108" t="s">
        <v>69</v>
      </c>
      <c r="AK19" s="108" t="s">
        <v>70</v>
      </c>
      <c r="AL19" s="108" t="s">
        <v>71</v>
      </c>
      <c r="AM19" s="108" t="s">
        <v>72</v>
      </c>
    </row>
    <row r="20" ht="16.5" spans="1:43">
      <c r="B20">
        <f>H20</f>
        <v>2095</v>
      </c>
      <c r="C20" s="112">
        <v>1</v>
      </c>
      <c r="D20" s="113">
        <v>10</v>
      </c>
      <c r="E20" s="113">
        <v>15</v>
      </c>
      <c r="F20" s="113">
        <v>25</v>
      </c>
      <c r="G20" s="113">
        <v>35</v>
      </c>
      <c r="H20" s="12">
        <v>2095</v>
      </c>
      <c r="I20" s="12">
        <v>0</v>
      </c>
      <c r="J20" s="12">
        <v>59976</v>
      </c>
      <c r="K20" s="12">
        <v>8790</v>
      </c>
      <c r="L20" s="12">
        <v>2308</v>
      </c>
      <c r="M20" s="52">
        <v>335.7</v>
      </c>
      <c r="N20" s="12">
        <v>2</v>
      </c>
      <c r="O20" s="12">
        <v>0</v>
      </c>
      <c r="P20" s="12">
        <v>1640</v>
      </c>
      <c r="Q20" s="12">
        <v>801</v>
      </c>
      <c r="R20" s="12">
        <v>1</v>
      </c>
      <c r="S20" s="12">
        <v>5</v>
      </c>
      <c r="T20" s="12">
        <v>4</v>
      </c>
      <c r="U20" s="12">
        <v>3</v>
      </c>
      <c r="V20" s="12">
        <v>0</v>
      </c>
      <c r="W20" s="12">
        <v>0</v>
      </c>
      <c r="X20" s="12">
        <v>0</v>
      </c>
      <c r="Y20" s="12">
        <v>0</v>
      </c>
      <c r="Z20" s="12">
        <v>13</v>
      </c>
      <c r="AA20" s="12">
        <v>1</v>
      </c>
      <c r="AB20" s="12">
        <v>440</v>
      </c>
      <c r="AC20" s="12">
        <v>2</v>
      </c>
      <c r="AD20" s="12">
        <v>30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285</v>
      </c>
      <c r="AL20" s="12">
        <v>6</v>
      </c>
      <c r="AM20" s="12">
        <v>52</v>
      </c>
      <c r="AN20" s="13">
        <f t="shared" ref="AN20:AN83" si="0">Z20*5+AA20*28+AD20</f>
        <v>123</v>
      </c>
      <c r="AP20">
        <v>0.2</v>
      </c>
      <c r="AQ20">
        <f t="shared" ref="AQ20:AQ26" si="1">900*AP20</f>
        <v>180</v>
      </c>
    </row>
    <row r="21" ht="16.5" spans="1:43">
      <c r="B21">
        <f t="shared" ref="B21:B84" si="2">H21-H20</f>
        <v>1165</v>
      </c>
      <c r="C21" s="112">
        <v>2</v>
      </c>
      <c r="D21" s="113">
        <v>15</v>
      </c>
      <c r="E21" s="113">
        <v>25</v>
      </c>
      <c r="F21" s="113">
        <v>35</v>
      </c>
      <c r="G21" s="113">
        <v>45</v>
      </c>
      <c r="H21" s="12">
        <v>3260</v>
      </c>
      <c r="I21" s="12">
        <v>0</v>
      </c>
      <c r="J21" s="12">
        <v>118222</v>
      </c>
      <c r="K21" s="12">
        <v>14890</v>
      </c>
      <c r="L21" s="12">
        <v>4017</v>
      </c>
      <c r="M21" s="52">
        <v>559.3</v>
      </c>
      <c r="N21" s="12">
        <v>5</v>
      </c>
      <c r="O21" s="12">
        <v>2000</v>
      </c>
      <c r="P21" s="12">
        <v>2651</v>
      </c>
      <c r="Q21" s="12">
        <v>1102</v>
      </c>
      <c r="R21" s="12">
        <v>3</v>
      </c>
      <c r="S21" s="12">
        <v>10</v>
      </c>
      <c r="T21" s="12">
        <v>9</v>
      </c>
      <c r="U21" s="12">
        <v>6</v>
      </c>
      <c r="V21" s="12">
        <v>1</v>
      </c>
      <c r="W21" s="12">
        <v>0</v>
      </c>
      <c r="X21" s="12">
        <v>0</v>
      </c>
      <c r="Y21" s="12">
        <v>0</v>
      </c>
      <c r="Z21" s="12">
        <v>23</v>
      </c>
      <c r="AA21" s="12">
        <v>1</v>
      </c>
      <c r="AB21" s="12">
        <v>716</v>
      </c>
      <c r="AC21" s="12">
        <v>5</v>
      </c>
      <c r="AD21" s="12">
        <v>60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540</v>
      </c>
      <c r="AL21" s="12">
        <v>9</v>
      </c>
      <c r="AM21" s="12">
        <v>94</v>
      </c>
      <c r="AN21" s="13">
        <f t="shared" si="0"/>
        <v>203</v>
      </c>
      <c r="AP21">
        <v>0.2</v>
      </c>
      <c r="AQ21">
        <f t="shared" si="1"/>
        <v>180</v>
      </c>
    </row>
    <row r="22" ht="16.5" spans="1:43">
      <c r="B22">
        <f t="shared" si="2"/>
        <v>1030</v>
      </c>
      <c r="C22" s="112">
        <v>3</v>
      </c>
      <c r="D22" s="113">
        <v>20</v>
      </c>
      <c r="E22" s="113">
        <v>35</v>
      </c>
      <c r="F22" s="113">
        <v>45</v>
      </c>
      <c r="G22" s="113">
        <v>48</v>
      </c>
      <c r="H22" s="12">
        <v>4290</v>
      </c>
      <c r="I22" s="12">
        <v>0</v>
      </c>
      <c r="J22" s="12">
        <v>158841</v>
      </c>
      <c r="K22" s="12">
        <v>20682</v>
      </c>
      <c r="L22" s="12">
        <v>5525</v>
      </c>
      <c r="M22" s="52">
        <v>753.6</v>
      </c>
      <c r="N22" s="12">
        <v>7</v>
      </c>
      <c r="O22" s="12">
        <v>8224</v>
      </c>
      <c r="P22" s="12">
        <v>3985</v>
      </c>
      <c r="Q22" s="12">
        <v>1403</v>
      </c>
      <c r="R22" s="12">
        <v>4</v>
      </c>
      <c r="S22" s="12">
        <v>15</v>
      </c>
      <c r="T22" s="12">
        <v>13</v>
      </c>
      <c r="U22" s="12">
        <v>9</v>
      </c>
      <c r="V22" s="12">
        <v>2</v>
      </c>
      <c r="W22" s="12">
        <v>0</v>
      </c>
      <c r="X22" s="12">
        <v>0</v>
      </c>
      <c r="Y22" s="12">
        <v>0</v>
      </c>
      <c r="Z22" s="12">
        <v>44</v>
      </c>
      <c r="AA22" s="12">
        <v>2</v>
      </c>
      <c r="AB22" s="12">
        <v>957</v>
      </c>
      <c r="AC22" s="12">
        <v>9</v>
      </c>
      <c r="AD22" s="12">
        <v>90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765</v>
      </c>
      <c r="AL22" s="12">
        <v>12</v>
      </c>
      <c r="AM22" s="12">
        <v>143</v>
      </c>
      <c r="AN22" s="13">
        <f t="shared" si="0"/>
        <v>366</v>
      </c>
      <c r="AP22">
        <v>0.15</v>
      </c>
      <c r="AQ22">
        <f t="shared" si="1"/>
        <v>135</v>
      </c>
    </row>
    <row r="23" ht="16.5" spans="1:43">
      <c r="B23">
        <f t="shared" si="2"/>
        <v>880</v>
      </c>
      <c r="C23" s="112">
        <v>4</v>
      </c>
      <c r="D23" s="113">
        <v>25</v>
      </c>
      <c r="E23" s="113">
        <v>45</v>
      </c>
      <c r="F23" s="113">
        <v>48</v>
      </c>
      <c r="G23" s="113">
        <v>50</v>
      </c>
      <c r="H23" s="12">
        <v>5170</v>
      </c>
      <c r="I23" s="12">
        <v>0</v>
      </c>
      <c r="J23" s="12">
        <v>205477</v>
      </c>
      <c r="K23" s="12">
        <v>25724</v>
      </c>
      <c r="L23" s="12">
        <v>6434</v>
      </c>
      <c r="M23" s="52">
        <v>929.6</v>
      </c>
      <c r="N23" s="12">
        <v>9</v>
      </c>
      <c r="O23" s="12">
        <v>13948</v>
      </c>
      <c r="P23" s="12">
        <v>4928</v>
      </c>
      <c r="Q23" s="12">
        <v>1705</v>
      </c>
      <c r="R23" s="12">
        <v>6</v>
      </c>
      <c r="S23" s="12">
        <v>18</v>
      </c>
      <c r="T23" s="12">
        <v>19</v>
      </c>
      <c r="U23" s="12">
        <v>12</v>
      </c>
      <c r="V23" s="12">
        <v>3</v>
      </c>
      <c r="W23" s="12">
        <v>0</v>
      </c>
      <c r="X23" s="12">
        <v>0</v>
      </c>
      <c r="Y23" s="12">
        <v>0</v>
      </c>
      <c r="Z23" s="12">
        <v>57</v>
      </c>
      <c r="AA23" s="12">
        <v>5</v>
      </c>
      <c r="AB23" s="12">
        <v>1162</v>
      </c>
      <c r="AC23" s="12">
        <v>18</v>
      </c>
      <c r="AD23" s="12">
        <v>120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960</v>
      </c>
      <c r="AL23" s="12">
        <v>15</v>
      </c>
      <c r="AM23" s="12">
        <v>187</v>
      </c>
      <c r="AN23" s="13">
        <f t="shared" si="0"/>
        <v>545</v>
      </c>
      <c r="AP23">
        <v>0.15</v>
      </c>
      <c r="AQ23">
        <f t="shared" si="1"/>
        <v>135</v>
      </c>
    </row>
    <row r="24" ht="16.5" spans="1:43">
      <c r="B24">
        <f t="shared" si="2"/>
        <v>1529</v>
      </c>
      <c r="C24" s="112">
        <v>5</v>
      </c>
      <c r="D24" s="113">
        <v>30</v>
      </c>
      <c r="E24" s="113">
        <v>48</v>
      </c>
      <c r="F24" s="113">
        <v>50</v>
      </c>
      <c r="G24" s="113">
        <v>54</v>
      </c>
      <c r="H24" s="12">
        <v>6699</v>
      </c>
      <c r="I24" s="12">
        <v>0</v>
      </c>
      <c r="J24" s="12">
        <v>246960</v>
      </c>
      <c r="K24" s="12">
        <v>30017</v>
      </c>
      <c r="L24" s="12">
        <v>6742</v>
      </c>
      <c r="M24" s="52">
        <v>1105.4</v>
      </c>
      <c r="N24" s="12">
        <v>11</v>
      </c>
      <c r="O24" s="12">
        <v>19214</v>
      </c>
      <c r="P24" s="12">
        <v>5832</v>
      </c>
      <c r="Q24" s="12">
        <v>2006</v>
      </c>
      <c r="R24" s="12">
        <v>7</v>
      </c>
      <c r="S24" s="12">
        <v>20</v>
      </c>
      <c r="T24" s="12">
        <v>25</v>
      </c>
      <c r="U24" s="12">
        <v>16</v>
      </c>
      <c r="V24" s="12">
        <v>5</v>
      </c>
      <c r="W24" s="12">
        <v>0</v>
      </c>
      <c r="X24" s="12">
        <v>0</v>
      </c>
      <c r="Y24" s="12">
        <v>0</v>
      </c>
      <c r="Z24" s="12">
        <v>78</v>
      </c>
      <c r="AA24" s="12">
        <v>6</v>
      </c>
      <c r="AB24" s="12">
        <v>1333</v>
      </c>
      <c r="AC24" s="12">
        <v>22</v>
      </c>
      <c r="AD24" s="12">
        <v>150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1125</v>
      </c>
      <c r="AL24" s="12">
        <v>18</v>
      </c>
      <c r="AM24" s="12">
        <v>226</v>
      </c>
      <c r="AN24" s="13">
        <f t="shared" si="0"/>
        <v>708</v>
      </c>
      <c r="AP24">
        <v>0.125</v>
      </c>
      <c r="AQ24">
        <f t="shared" si="1"/>
        <v>112.5</v>
      </c>
    </row>
    <row r="25" ht="16.5" spans="1:43">
      <c r="B25">
        <f t="shared" si="2"/>
        <v>730</v>
      </c>
      <c r="C25" s="112">
        <v>6</v>
      </c>
      <c r="D25" s="79">
        <v>35</v>
      </c>
      <c r="E25" s="113">
        <v>50</v>
      </c>
      <c r="F25" s="113">
        <v>54</v>
      </c>
      <c r="G25" s="113">
        <v>55</v>
      </c>
      <c r="H25" s="12">
        <v>7429</v>
      </c>
      <c r="I25" s="12">
        <v>0</v>
      </c>
      <c r="J25" s="12">
        <v>290089</v>
      </c>
      <c r="K25" s="12">
        <v>34309</v>
      </c>
      <c r="L25" s="12">
        <v>8151</v>
      </c>
      <c r="M25" s="52">
        <v>1250.6</v>
      </c>
      <c r="N25" s="12">
        <v>12</v>
      </c>
      <c r="O25" s="12">
        <v>24479</v>
      </c>
      <c r="P25" s="12">
        <v>6735</v>
      </c>
      <c r="Q25" s="12">
        <v>2307</v>
      </c>
      <c r="R25" s="12">
        <v>9</v>
      </c>
      <c r="S25" s="12">
        <v>22</v>
      </c>
      <c r="T25" s="12">
        <v>31</v>
      </c>
      <c r="U25" s="12">
        <v>20</v>
      </c>
      <c r="V25" s="12">
        <v>6</v>
      </c>
      <c r="W25" s="12">
        <v>0</v>
      </c>
      <c r="X25" s="12">
        <v>0</v>
      </c>
      <c r="Y25" s="12">
        <v>0</v>
      </c>
      <c r="Z25" s="12">
        <v>90</v>
      </c>
      <c r="AA25" s="12">
        <v>7</v>
      </c>
      <c r="AB25" s="12">
        <v>1504</v>
      </c>
      <c r="AC25" s="12">
        <v>25</v>
      </c>
      <c r="AD25" s="12">
        <v>180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1320</v>
      </c>
      <c r="AL25" s="12">
        <v>18</v>
      </c>
      <c r="AM25" s="12">
        <v>265</v>
      </c>
      <c r="AN25" s="13">
        <f t="shared" si="0"/>
        <v>826</v>
      </c>
      <c r="AP25">
        <v>0.1</v>
      </c>
      <c r="AQ25">
        <f t="shared" si="1"/>
        <v>90</v>
      </c>
    </row>
    <row r="26" ht="16.5" spans="1:43">
      <c r="B26">
        <f t="shared" si="2"/>
        <v>730</v>
      </c>
      <c r="C26" s="112">
        <v>7</v>
      </c>
      <c r="D26" s="113">
        <v>40</v>
      </c>
      <c r="E26" s="113">
        <v>54</v>
      </c>
      <c r="F26" s="113">
        <v>55</v>
      </c>
      <c r="G26" s="113">
        <v>57</v>
      </c>
      <c r="H26" s="12">
        <v>8159</v>
      </c>
      <c r="I26" s="12">
        <v>0</v>
      </c>
      <c r="J26" s="12">
        <v>340986</v>
      </c>
      <c r="K26" s="12">
        <v>38601</v>
      </c>
      <c r="L26" s="12">
        <v>8159</v>
      </c>
      <c r="M26" s="52">
        <v>1420.8</v>
      </c>
      <c r="N26" s="12">
        <v>14</v>
      </c>
      <c r="O26" s="12">
        <v>29786</v>
      </c>
      <c r="P26" s="12">
        <v>7639</v>
      </c>
      <c r="Q26" s="12">
        <v>2608</v>
      </c>
      <c r="R26" s="12">
        <v>9</v>
      </c>
      <c r="S26" s="12">
        <v>24</v>
      </c>
      <c r="T26" s="12">
        <v>37</v>
      </c>
      <c r="U26" s="12">
        <v>24</v>
      </c>
      <c r="V26" s="12">
        <v>8</v>
      </c>
      <c r="W26" s="12">
        <v>0</v>
      </c>
      <c r="X26" s="12">
        <v>0</v>
      </c>
      <c r="Y26" s="12">
        <v>0</v>
      </c>
      <c r="Z26" s="12">
        <v>101</v>
      </c>
      <c r="AA26" s="12">
        <v>8</v>
      </c>
      <c r="AB26" s="12">
        <v>1674</v>
      </c>
      <c r="AC26" s="12">
        <v>68</v>
      </c>
      <c r="AD26" s="12">
        <v>210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1485</v>
      </c>
      <c r="AL26" s="12">
        <v>21</v>
      </c>
      <c r="AM26" s="12">
        <v>304</v>
      </c>
      <c r="AN26" s="13">
        <f t="shared" si="0"/>
        <v>939</v>
      </c>
      <c r="AP26">
        <v>0.075</v>
      </c>
      <c r="AQ26">
        <f t="shared" si="1"/>
        <v>67.5</v>
      </c>
    </row>
    <row r="27" ht="16.5" spans="1:43">
      <c r="B27">
        <f t="shared" si="2"/>
        <v>529</v>
      </c>
      <c r="C27" s="112">
        <v>8</v>
      </c>
      <c r="D27" s="113">
        <v>45</v>
      </c>
      <c r="E27" s="113">
        <v>60</v>
      </c>
      <c r="F27" s="113">
        <v>57</v>
      </c>
      <c r="G27" s="113">
        <v>60</v>
      </c>
      <c r="H27" s="12">
        <v>8688</v>
      </c>
      <c r="I27" s="12">
        <v>0</v>
      </c>
      <c r="J27" s="12">
        <v>388530</v>
      </c>
      <c r="K27" s="12">
        <v>42893</v>
      </c>
      <c r="L27" s="12">
        <v>8168</v>
      </c>
      <c r="M27" s="52">
        <v>1560.3</v>
      </c>
      <c r="N27" s="12">
        <v>15</v>
      </c>
      <c r="O27" s="12">
        <v>35093</v>
      </c>
      <c r="P27" s="12">
        <v>8543</v>
      </c>
      <c r="Q27" s="12">
        <v>2910</v>
      </c>
      <c r="R27" s="12">
        <v>10</v>
      </c>
      <c r="S27" s="12">
        <v>27</v>
      </c>
      <c r="T27" s="12">
        <v>43</v>
      </c>
      <c r="U27" s="12">
        <v>27</v>
      </c>
      <c r="V27" s="12">
        <v>10</v>
      </c>
      <c r="W27" s="12">
        <v>0</v>
      </c>
      <c r="X27" s="12">
        <v>0</v>
      </c>
      <c r="Y27" s="12">
        <v>0</v>
      </c>
      <c r="Z27" s="12">
        <v>112</v>
      </c>
      <c r="AA27" s="12">
        <v>8</v>
      </c>
      <c r="AB27" s="12">
        <v>1845</v>
      </c>
      <c r="AC27" s="12">
        <v>71</v>
      </c>
      <c r="AD27" s="12">
        <v>240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1680</v>
      </c>
      <c r="AL27" s="12">
        <v>21</v>
      </c>
      <c r="AM27" s="12">
        <v>342</v>
      </c>
      <c r="AN27" s="13">
        <f t="shared" si="0"/>
        <v>1024</v>
      </c>
    </row>
    <row r="28" ht="16.5" spans="1:43">
      <c r="B28">
        <f t="shared" si="2"/>
        <v>380</v>
      </c>
      <c r="C28" s="112">
        <v>9</v>
      </c>
      <c r="D28" s="113">
        <v>48</v>
      </c>
      <c r="E28" s="113">
        <v>63</v>
      </c>
      <c r="F28" s="113">
        <v>60</v>
      </c>
      <c r="G28" s="113">
        <v>63</v>
      </c>
      <c r="H28" s="12">
        <v>9068</v>
      </c>
      <c r="I28" s="12">
        <v>0</v>
      </c>
      <c r="J28" s="12">
        <v>434871</v>
      </c>
      <c r="K28" s="12">
        <v>46435</v>
      </c>
      <c r="L28" s="12">
        <v>8177</v>
      </c>
      <c r="M28" s="52">
        <v>1680.4</v>
      </c>
      <c r="N28" s="12">
        <v>16</v>
      </c>
      <c r="O28" s="12">
        <v>39941</v>
      </c>
      <c r="P28" s="12">
        <v>9406</v>
      </c>
      <c r="Q28" s="12">
        <v>3211</v>
      </c>
      <c r="R28" s="12">
        <v>11</v>
      </c>
      <c r="S28" s="12">
        <v>29</v>
      </c>
      <c r="T28" s="12">
        <v>49</v>
      </c>
      <c r="U28" s="12">
        <v>31</v>
      </c>
      <c r="V28" s="12">
        <v>12</v>
      </c>
      <c r="W28" s="12">
        <v>1</v>
      </c>
      <c r="X28" s="12">
        <v>0</v>
      </c>
      <c r="Y28" s="12">
        <v>0</v>
      </c>
      <c r="Z28" s="12">
        <v>123</v>
      </c>
      <c r="AA28" s="12">
        <v>9</v>
      </c>
      <c r="AB28" s="12">
        <v>1981</v>
      </c>
      <c r="AC28" s="12">
        <v>75</v>
      </c>
      <c r="AD28" s="12">
        <v>270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1815</v>
      </c>
      <c r="AL28" s="12">
        <v>24</v>
      </c>
      <c r="AM28" s="12">
        <v>376</v>
      </c>
      <c r="AN28" s="13">
        <f t="shared" si="0"/>
        <v>1137</v>
      </c>
    </row>
    <row r="29" ht="16.5" spans="1:43">
      <c r="A29">
        <f t="shared" ref="A29:A92" si="3">M29-M28</f>
        <v>140.8</v>
      </c>
      <c r="B29">
        <f t="shared" si="2"/>
        <v>380</v>
      </c>
      <c r="C29" s="112">
        <v>10</v>
      </c>
      <c r="D29" s="113">
        <v>50</v>
      </c>
      <c r="E29" s="113">
        <v>66</v>
      </c>
      <c r="F29" s="113">
        <v>63</v>
      </c>
      <c r="G29" s="113">
        <v>66</v>
      </c>
      <c r="H29" s="12">
        <v>9448</v>
      </c>
      <c r="I29" s="12">
        <v>0</v>
      </c>
      <c r="J29" s="12">
        <v>467811</v>
      </c>
      <c r="K29" s="12">
        <v>49977</v>
      </c>
      <c r="L29" s="12">
        <v>8185</v>
      </c>
      <c r="M29" s="52">
        <v>1821.2</v>
      </c>
      <c r="N29" s="12">
        <v>17</v>
      </c>
      <c r="O29" s="12">
        <v>44790</v>
      </c>
      <c r="P29" s="12">
        <v>10270</v>
      </c>
      <c r="Q29" s="12">
        <v>3512</v>
      </c>
      <c r="R29" s="12">
        <v>12</v>
      </c>
      <c r="S29" s="12">
        <v>31</v>
      </c>
      <c r="T29" s="12">
        <v>55</v>
      </c>
      <c r="U29" s="12">
        <v>35</v>
      </c>
      <c r="V29" s="12">
        <v>14</v>
      </c>
      <c r="W29" s="12">
        <v>1</v>
      </c>
      <c r="X29" s="12">
        <v>0</v>
      </c>
      <c r="Y29" s="12">
        <v>0</v>
      </c>
      <c r="Z29" s="12">
        <v>134</v>
      </c>
      <c r="AA29" s="12">
        <v>10</v>
      </c>
      <c r="AB29" s="12">
        <v>2117</v>
      </c>
      <c r="AC29" s="12">
        <v>79</v>
      </c>
      <c r="AD29" s="12">
        <v>300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1980</v>
      </c>
      <c r="AL29" s="12">
        <v>24</v>
      </c>
      <c r="AM29" s="12">
        <v>410</v>
      </c>
      <c r="AN29" s="13">
        <f t="shared" si="0"/>
        <v>1250</v>
      </c>
    </row>
    <row r="30" ht="16.5" spans="1:43">
      <c r="A30">
        <f t="shared" si="3"/>
        <v>125.2</v>
      </c>
      <c r="B30">
        <f t="shared" si="2"/>
        <v>379</v>
      </c>
      <c r="C30" s="112">
        <v>11</v>
      </c>
      <c r="D30" s="113">
        <v>54</v>
      </c>
      <c r="E30" s="113">
        <v>69</v>
      </c>
      <c r="F30" s="113">
        <v>66</v>
      </c>
      <c r="G30" s="113">
        <v>69</v>
      </c>
      <c r="H30" s="12">
        <v>9827</v>
      </c>
      <c r="I30" s="12">
        <v>0</v>
      </c>
      <c r="J30" s="12">
        <v>516349</v>
      </c>
      <c r="K30" s="12">
        <v>53520</v>
      </c>
      <c r="L30" s="12">
        <v>8194</v>
      </c>
      <c r="M30" s="52">
        <v>1946.4</v>
      </c>
      <c r="N30" s="12">
        <v>19</v>
      </c>
      <c r="O30" s="12">
        <v>49680</v>
      </c>
      <c r="P30" s="12">
        <v>11133</v>
      </c>
      <c r="Q30" s="12">
        <v>3813</v>
      </c>
      <c r="R30" s="12">
        <v>12</v>
      </c>
      <c r="S30" s="12">
        <v>33</v>
      </c>
      <c r="T30" s="12">
        <v>61</v>
      </c>
      <c r="U30" s="12">
        <v>39</v>
      </c>
      <c r="V30" s="12">
        <v>16</v>
      </c>
      <c r="W30" s="12">
        <v>1</v>
      </c>
      <c r="X30" s="12">
        <v>0</v>
      </c>
      <c r="Y30" s="12">
        <v>0</v>
      </c>
      <c r="Z30" s="12">
        <v>145</v>
      </c>
      <c r="AA30" s="12">
        <v>11</v>
      </c>
      <c r="AB30" s="12">
        <v>2252</v>
      </c>
      <c r="AC30" s="12">
        <v>82</v>
      </c>
      <c r="AD30" s="12">
        <v>330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2115</v>
      </c>
      <c r="AL30" s="12">
        <v>27</v>
      </c>
      <c r="AM30" s="12">
        <v>444</v>
      </c>
      <c r="AN30" s="13">
        <f t="shared" si="0"/>
        <v>1363</v>
      </c>
    </row>
    <row r="31" ht="16.5" spans="1:43">
      <c r="A31">
        <f t="shared" si="3"/>
        <v>95.8999999999999</v>
      </c>
      <c r="B31">
        <f t="shared" si="2"/>
        <v>380</v>
      </c>
      <c r="C31" s="112">
        <v>12</v>
      </c>
      <c r="D31" s="113">
        <v>60</v>
      </c>
      <c r="E31" s="113">
        <v>71</v>
      </c>
      <c r="F31" s="113">
        <v>69</v>
      </c>
      <c r="G31" s="113">
        <v>71</v>
      </c>
      <c r="H31" s="12">
        <v>10207</v>
      </c>
      <c r="I31" s="12">
        <v>0</v>
      </c>
      <c r="J31" s="12">
        <v>572604</v>
      </c>
      <c r="K31" s="12">
        <v>57062</v>
      </c>
      <c r="L31" s="12">
        <v>8202</v>
      </c>
      <c r="M31" s="52">
        <v>2042.3</v>
      </c>
      <c r="N31" s="12">
        <v>20</v>
      </c>
      <c r="O31" s="12">
        <v>55569</v>
      </c>
      <c r="P31" s="12">
        <v>11997</v>
      </c>
      <c r="Q31" s="12">
        <v>4115</v>
      </c>
      <c r="R31" s="12">
        <v>13</v>
      </c>
      <c r="S31" s="12">
        <v>36</v>
      </c>
      <c r="T31" s="12">
        <v>67</v>
      </c>
      <c r="U31" s="12">
        <v>42</v>
      </c>
      <c r="V31" s="12">
        <v>18</v>
      </c>
      <c r="W31" s="12">
        <v>2</v>
      </c>
      <c r="X31" s="12">
        <v>0</v>
      </c>
      <c r="Y31" s="12">
        <v>0</v>
      </c>
      <c r="Z31" s="12">
        <v>155</v>
      </c>
      <c r="AA31" s="12">
        <v>14</v>
      </c>
      <c r="AB31" s="12">
        <v>2388</v>
      </c>
      <c r="AC31" s="12">
        <v>86</v>
      </c>
      <c r="AD31" s="12">
        <v>360</v>
      </c>
      <c r="AE31" s="12">
        <v>0</v>
      </c>
      <c r="AF31" s="12">
        <v>0</v>
      </c>
      <c r="AG31" s="12">
        <v>0</v>
      </c>
      <c r="AH31" s="12">
        <v>0</v>
      </c>
      <c r="AI31" s="12">
        <v>0</v>
      </c>
      <c r="AJ31" s="12">
        <v>0</v>
      </c>
      <c r="AK31" s="12">
        <v>2280</v>
      </c>
      <c r="AL31" s="12">
        <v>27</v>
      </c>
      <c r="AM31" s="12">
        <v>478</v>
      </c>
      <c r="AN31" s="13">
        <f t="shared" si="0"/>
        <v>1527</v>
      </c>
    </row>
    <row r="32" ht="16.5" spans="1:43">
      <c r="A32">
        <f t="shared" si="3"/>
        <v>110.9</v>
      </c>
      <c r="B32">
        <f t="shared" si="2"/>
        <v>229</v>
      </c>
      <c r="C32" s="112">
        <v>13</v>
      </c>
      <c r="D32" s="113">
        <v>63</v>
      </c>
      <c r="E32" s="113">
        <v>73</v>
      </c>
      <c r="F32" s="113">
        <v>71</v>
      </c>
      <c r="G32" s="113">
        <v>73</v>
      </c>
      <c r="H32" s="12">
        <v>10436</v>
      </c>
      <c r="I32" s="12">
        <v>0</v>
      </c>
      <c r="J32" s="12">
        <v>605109</v>
      </c>
      <c r="K32" s="12">
        <v>59854</v>
      </c>
      <c r="L32" s="12">
        <v>8211</v>
      </c>
      <c r="M32" s="52">
        <v>2153.2</v>
      </c>
      <c r="N32" s="12">
        <v>21</v>
      </c>
      <c r="O32" s="12">
        <v>60959</v>
      </c>
      <c r="P32" s="12">
        <v>12821</v>
      </c>
      <c r="Q32" s="12">
        <v>4416</v>
      </c>
      <c r="R32" s="12">
        <v>13</v>
      </c>
      <c r="S32" s="12">
        <v>38</v>
      </c>
      <c r="T32" s="12">
        <v>73</v>
      </c>
      <c r="U32" s="12">
        <v>46</v>
      </c>
      <c r="V32" s="12">
        <v>19</v>
      </c>
      <c r="W32" s="12">
        <v>3</v>
      </c>
      <c r="X32" s="12">
        <v>0</v>
      </c>
      <c r="Y32" s="12">
        <v>0</v>
      </c>
      <c r="Z32" s="12">
        <v>166</v>
      </c>
      <c r="AA32" s="12">
        <v>15</v>
      </c>
      <c r="AB32" s="12">
        <v>2489</v>
      </c>
      <c r="AC32" s="12">
        <v>89</v>
      </c>
      <c r="AD32" s="12">
        <v>390</v>
      </c>
      <c r="AE32" s="12">
        <v>0</v>
      </c>
      <c r="AF32" s="12">
        <v>0</v>
      </c>
      <c r="AG32" s="12">
        <v>0</v>
      </c>
      <c r="AH32" s="12">
        <v>0</v>
      </c>
      <c r="AI32" s="12">
        <v>0</v>
      </c>
      <c r="AJ32" s="12">
        <v>0</v>
      </c>
      <c r="AK32" s="12">
        <v>2415</v>
      </c>
      <c r="AL32" s="12">
        <v>27</v>
      </c>
      <c r="AM32" s="12">
        <v>507</v>
      </c>
      <c r="AN32" s="13">
        <f t="shared" si="0"/>
        <v>1640</v>
      </c>
    </row>
    <row r="33" ht="16.5" spans="1:40">
      <c r="A33">
        <f t="shared" si="3"/>
        <v>140.9</v>
      </c>
      <c r="B33">
        <f t="shared" si="2"/>
        <v>380</v>
      </c>
      <c r="C33" s="112">
        <v>14</v>
      </c>
      <c r="D33" s="113">
        <v>66</v>
      </c>
      <c r="E33" s="113">
        <v>74</v>
      </c>
      <c r="F33" s="113">
        <v>73</v>
      </c>
      <c r="G33" s="113">
        <v>74</v>
      </c>
      <c r="H33" s="12">
        <v>10816</v>
      </c>
      <c r="I33" s="12">
        <v>0</v>
      </c>
      <c r="J33" s="12">
        <v>640012</v>
      </c>
      <c r="K33" s="12">
        <v>63396</v>
      </c>
      <c r="L33" s="12">
        <v>8220</v>
      </c>
      <c r="M33" s="52">
        <v>2294.1</v>
      </c>
      <c r="N33" s="12">
        <v>23</v>
      </c>
      <c r="O33" s="12">
        <v>66890</v>
      </c>
      <c r="P33" s="12">
        <v>13684</v>
      </c>
      <c r="Q33" s="12">
        <v>4717</v>
      </c>
      <c r="R33" s="12">
        <v>13</v>
      </c>
      <c r="S33" s="12">
        <v>40</v>
      </c>
      <c r="T33" s="12">
        <v>79</v>
      </c>
      <c r="U33" s="12">
        <v>50</v>
      </c>
      <c r="V33" s="12">
        <v>21</v>
      </c>
      <c r="W33" s="12">
        <v>4</v>
      </c>
      <c r="X33" s="12">
        <v>0</v>
      </c>
      <c r="Y33" s="12">
        <v>0</v>
      </c>
      <c r="Z33" s="12">
        <v>177</v>
      </c>
      <c r="AA33" s="12">
        <v>16</v>
      </c>
      <c r="AB33" s="12">
        <v>2624</v>
      </c>
      <c r="AC33" s="12">
        <v>93</v>
      </c>
      <c r="AD33" s="12">
        <v>420</v>
      </c>
      <c r="AE33" s="12">
        <v>0</v>
      </c>
      <c r="AF33" s="12">
        <v>0</v>
      </c>
      <c r="AG33" s="12">
        <v>0</v>
      </c>
      <c r="AH33" s="12">
        <v>0</v>
      </c>
      <c r="AI33" s="12">
        <v>0</v>
      </c>
      <c r="AJ33" s="12">
        <v>0</v>
      </c>
      <c r="AK33" s="12">
        <v>2550</v>
      </c>
      <c r="AL33" s="12">
        <v>30</v>
      </c>
      <c r="AM33" s="12">
        <v>541</v>
      </c>
      <c r="AN33" s="13">
        <f t="shared" si="0"/>
        <v>1753</v>
      </c>
    </row>
    <row r="34" ht="16.5" spans="1:40">
      <c r="A34">
        <f t="shared" si="3"/>
        <v>100</v>
      </c>
      <c r="B34">
        <f t="shared" si="2"/>
        <v>230</v>
      </c>
      <c r="C34" s="112">
        <v>15</v>
      </c>
      <c r="D34" s="113">
        <v>69</v>
      </c>
      <c r="E34" s="113">
        <v>75</v>
      </c>
      <c r="F34" s="113">
        <v>74</v>
      </c>
      <c r="G34" s="113">
        <v>75</v>
      </c>
      <c r="H34" s="12">
        <v>11046</v>
      </c>
      <c r="I34" s="12">
        <v>0</v>
      </c>
      <c r="J34" s="12">
        <v>690664</v>
      </c>
      <c r="K34" s="12">
        <v>66188</v>
      </c>
      <c r="L34" s="12">
        <v>8228</v>
      </c>
      <c r="M34" s="12">
        <f t="shared" ref="M34:M39" si="4">M33+100</f>
        <v>2394.1</v>
      </c>
      <c r="N34" s="12">
        <v>24</v>
      </c>
      <c r="O34" s="12">
        <v>72322</v>
      </c>
      <c r="P34" s="12">
        <v>14508</v>
      </c>
      <c r="Q34" s="12">
        <v>5018</v>
      </c>
      <c r="R34" s="12">
        <v>14</v>
      </c>
      <c r="S34" s="12">
        <v>42</v>
      </c>
      <c r="T34" s="12">
        <v>85</v>
      </c>
      <c r="U34" s="12">
        <v>54</v>
      </c>
      <c r="V34" s="12">
        <v>23</v>
      </c>
      <c r="W34" s="12">
        <v>4</v>
      </c>
      <c r="X34" s="12">
        <v>0</v>
      </c>
      <c r="Y34" s="12">
        <v>0</v>
      </c>
      <c r="Z34" s="12">
        <v>188</v>
      </c>
      <c r="AA34" s="12">
        <v>16</v>
      </c>
      <c r="AB34" s="12">
        <v>2690</v>
      </c>
      <c r="AC34" s="12">
        <v>96</v>
      </c>
      <c r="AD34" s="12">
        <v>450</v>
      </c>
      <c r="AE34" s="12">
        <v>0</v>
      </c>
      <c r="AF34" s="12">
        <v>0</v>
      </c>
      <c r="AG34" s="12">
        <v>0</v>
      </c>
      <c r="AH34" s="12">
        <v>0</v>
      </c>
      <c r="AI34" s="12">
        <v>0</v>
      </c>
      <c r="AJ34" s="12">
        <v>0</v>
      </c>
      <c r="AK34" s="12">
        <v>2685</v>
      </c>
      <c r="AL34" s="12">
        <v>30</v>
      </c>
      <c r="AM34" s="12">
        <v>569</v>
      </c>
      <c r="AN34" s="13">
        <f t="shared" si="0"/>
        <v>1838</v>
      </c>
    </row>
    <row r="35" ht="16.5" spans="1:40">
      <c r="A35">
        <f t="shared" si="3"/>
        <v>100</v>
      </c>
      <c r="B35">
        <f t="shared" si="2"/>
        <v>379</v>
      </c>
      <c r="C35" s="112">
        <v>16</v>
      </c>
      <c r="D35" s="113">
        <v>71</v>
      </c>
      <c r="E35" s="113">
        <v>76</v>
      </c>
      <c r="F35" s="113">
        <v>75</v>
      </c>
      <c r="G35" s="113">
        <v>76</v>
      </c>
      <c r="H35" s="12">
        <v>11425</v>
      </c>
      <c r="I35" s="12">
        <v>0</v>
      </c>
      <c r="J35" s="12">
        <v>726213</v>
      </c>
      <c r="K35" s="12">
        <v>69731</v>
      </c>
      <c r="L35" s="12">
        <v>8237</v>
      </c>
      <c r="M35" s="12">
        <f t="shared" si="4"/>
        <v>2494.1</v>
      </c>
      <c r="N35" s="12">
        <v>25</v>
      </c>
      <c r="O35" s="12">
        <v>78253</v>
      </c>
      <c r="P35" s="12">
        <v>15371</v>
      </c>
      <c r="Q35" s="12">
        <v>5320</v>
      </c>
      <c r="R35" s="12">
        <v>14</v>
      </c>
      <c r="S35" s="12">
        <v>45</v>
      </c>
      <c r="T35" s="12">
        <v>91</v>
      </c>
      <c r="U35" s="12">
        <v>57</v>
      </c>
      <c r="V35" s="12">
        <v>25</v>
      </c>
      <c r="W35" s="12">
        <v>5</v>
      </c>
      <c r="X35" s="12">
        <v>0</v>
      </c>
      <c r="Y35" s="12">
        <v>0</v>
      </c>
      <c r="Z35" s="12">
        <v>198</v>
      </c>
      <c r="AA35" s="12">
        <v>17</v>
      </c>
      <c r="AB35" s="12">
        <v>2756</v>
      </c>
      <c r="AC35" s="12">
        <v>100</v>
      </c>
      <c r="AD35" s="12">
        <v>480</v>
      </c>
      <c r="AE35" s="12">
        <v>0</v>
      </c>
      <c r="AF35" s="12">
        <v>0</v>
      </c>
      <c r="AG35" s="12">
        <v>0</v>
      </c>
      <c r="AH35" s="12">
        <v>0</v>
      </c>
      <c r="AI35" s="12">
        <v>0</v>
      </c>
      <c r="AJ35" s="12">
        <v>0</v>
      </c>
      <c r="AK35" s="12">
        <v>2850</v>
      </c>
      <c r="AL35" s="12">
        <v>30</v>
      </c>
      <c r="AM35" s="12">
        <v>603</v>
      </c>
      <c r="AN35" s="13">
        <f t="shared" si="0"/>
        <v>1946</v>
      </c>
    </row>
    <row r="36" ht="16.5" spans="1:40">
      <c r="A36">
        <f t="shared" si="3"/>
        <v>100</v>
      </c>
      <c r="B36">
        <f t="shared" si="2"/>
        <v>230</v>
      </c>
      <c r="C36" s="112">
        <v>17</v>
      </c>
      <c r="D36" s="113">
        <v>73</v>
      </c>
      <c r="E36" s="113">
        <v>77</v>
      </c>
      <c r="F36" s="113">
        <v>76</v>
      </c>
      <c r="G36" s="113">
        <v>77</v>
      </c>
      <c r="H36" s="12">
        <v>11655</v>
      </c>
      <c r="I36" s="12">
        <v>0</v>
      </c>
      <c r="J36" s="12">
        <v>760012</v>
      </c>
      <c r="K36" s="12">
        <v>72523</v>
      </c>
      <c r="L36" s="12">
        <v>8245</v>
      </c>
      <c r="M36" s="12">
        <f t="shared" si="4"/>
        <v>2594.1</v>
      </c>
      <c r="N36" s="12">
        <v>26</v>
      </c>
      <c r="O36" s="12">
        <v>83725</v>
      </c>
      <c r="P36" s="12">
        <v>16445</v>
      </c>
      <c r="Q36" s="12">
        <v>5621</v>
      </c>
      <c r="R36" s="12">
        <v>15</v>
      </c>
      <c r="S36" s="12">
        <v>47</v>
      </c>
      <c r="T36" s="12">
        <v>97</v>
      </c>
      <c r="U36" s="12">
        <v>61</v>
      </c>
      <c r="V36" s="12">
        <v>27</v>
      </c>
      <c r="W36" s="12">
        <v>6</v>
      </c>
      <c r="X36" s="12">
        <v>0</v>
      </c>
      <c r="Y36" s="12">
        <v>0</v>
      </c>
      <c r="Z36" s="12">
        <v>209</v>
      </c>
      <c r="AA36" s="12">
        <v>18</v>
      </c>
      <c r="AB36" s="12">
        <v>2822</v>
      </c>
      <c r="AC36" s="12">
        <v>103</v>
      </c>
      <c r="AD36" s="12">
        <v>510</v>
      </c>
      <c r="AE36" s="12">
        <v>0</v>
      </c>
      <c r="AF36" s="12">
        <v>0</v>
      </c>
      <c r="AG36" s="12">
        <v>0</v>
      </c>
      <c r="AH36" s="12">
        <v>0</v>
      </c>
      <c r="AI36" s="12">
        <v>0</v>
      </c>
      <c r="AJ36" s="12">
        <v>0</v>
      </c>
      <c r="AK36" s="12">
        <v>2985</v>
      </c>
      <c r="AL36" s="12">
        <v>30</v>
      </c>
      <c r="AM36" s="12">
        <v>632</v>
      </c>
      <c r="AN36" s="13">
        <f t="shared" si="0"/>
        <v>2059</v>
      </c>
    </row>
    <row r="37" ht="16.5" spans="1:40">
      <c r="A37">
        <f t="shared" si="3"/>
        <v>100</v>
      </c>
      <c r="B37">
        <f t="shared" si="2"/>
        <v>230</v>
      </c>
      <c r="C37" s="112">
        <v>18</v>
      </c>
      <c r="D37" s="113">
        <v>74</v>
      </c>
      <c r="E37" s="113">
        <v>78</v>
      </c>
      <c r="F37" s="113">
        <v>77</v>
      </c>
      <c r="G37" s="113">
        <v>78</v>
      </c>
      <c r="H37" s="12">
        <v>11885</v>
      </c>
      <c r="I37" s="12">
        <v>0</v>
      </c>
      <c r="J37" s="12">
        <v>811860</v>
      </c>
      <c r="K37" s="12">
        <v>75315</v>
      </c>
      <c r="L37" s="12">
        <v>8254</v>
      </c>
      <c r="M37" s="12">
        <f t="shared" si="4"/>
        <v>2694.1</v>
      </c>
      <c r="N37" s="12">
        <v>27</v>
      </c>
      <c r="O37" s="12">
        <v>89198</v>
      </c>
      <c r="P37" s="12">
        <v>17519</v>
      </c>
      <c r="Q37" s="12">
        <v>5922</v>
      </c>
      <c r="R37" s="12">
        <v>15</v>
      </c>
      <c r="S37" s="12">
        <v>49</v>
      </c>
      <c r="T37" s="12">
        <v>103</v>
      </c>
      <c r="U37" s="12">
        <v>65</v>
      </c>
      <c r="V37" s="12">
        <v>29</v>
      </c>
      <c r="W37" s="12">
        <v>7</v>
      </c>
      <c r="X37" s="12">
        <v>0</v>
      </c>
      <c r="Y37" s="12">
        <v>0</v>
      </c>
      <c r="Z37" s="12">
        <v>220</v>
      </c>
      <c r="AA37" s="12">
        <v>19</v>
      </c>
      <c r="AB37" s="12">
        <v>2887</v>
      </c>
      <c r="AC37" s="12">
        <v>107</v>
      </c>
      <c r="AD37" s="12">
        <v>540</v>
      </c>
      <c r="AE37" s="12">
        <v>0</v>
      </c>
      <c r="AF37" s="12">
        <v>0</v>
      </c>
      <c r="AG37" s="12">
        <v>0</v>
      </c>
      <c r="AH37" s="12">
        <v>0</v>
      </c>
      <c r="AI37" s="12">
        <v>0</v>
      </c>
      <c r="AJ37" s="12">
        <v>0</v>
      </c>
      <c r="AK37" s="12">
        <v>3090</v>
      </c>
      <c r="AL37" s="12">
        <v>33</v>
      </c>
      <c r="AM37" s="12">
        <v>661</v>
      </c>
      <c r="AN37" s="13">
        <f t="shared" si="0"/>
        <v>2172</v>
      </c>
    </row>
    <row r="38" ht="16.5" spans="1:40">
      <c r="A38">
        <f t="shared" si="3"/>
        <v>100</v>
      </c>
      <c r="B38">
        <f t="shared" si="2"/>
        <v>229</v>
      </c>
      <c r="C38" s="112">
        <v>19</v>
      </c>
      <c r="D38" s="113">
        <v>74.1</v>
      </c>
      <c r="E38" s="113">
        <v>79</v>
      </c>
      <c r="F38" s="113">
        <v>78</v>
      </c>
      <c r="G38" s="113">
        <v>79</v>
      </c>
      <c r="H38" s="12">
        <v>12114</v>
      </c>
      <c r="I38" s="12">
        <v>0</v>
      </c>
      <c r="J38" s="12">
        <v>853376</v>
      </c>
      <c r="K38" s="12">
        <v>78107</v>
      </c>
      <c r="L38" s="12">
        <v>8262</v>
      </c>
      <c r="M38" s="12">
        <f t="shared" si="4"/>
        <v>2794.1</v>
      </c>
      <c r="N38" s="12">
        <v>28</v>
      </c>
      <c r="O38" s="12">
        <v>94670</v>
      </c>
      <c r="P38" s="12">
        <v>18592</v>
      </c>
      <c r="Q38" s="12">
        <v>6223</v>
      </c>
      <c r="R38" s="12">
        <v>15</v>
      </c>
      <c r="S38" s="12">
        <v>51</v>
      </c>
      <c r="T38" s="12">
        <v>109</v>
      </c>
      <c r="U38" s="12">
        <v>69</v>
      </c>
      <c r="V38" s="12">
        <v>31</v>
      </c>
      <c r="W38" s="12">
        <v>8</v>
      </c>
      <c r="X38" s="12">
        <v>0</v>
      </c>
      <c r="Y38" s="12">
        <v>0</v>
      </c>
      <c r="Z38" s="12">
        <v>230</v>
      </c>
      <c r="AA38" s="12">
        <v>20</v>
      </c>
      <c r="AB38" s="12">
        <v>2953</v>
      </c>
      <c r="AC38" s="12">
        <v>110</v>
      </c>
      <c r="AD38" s="12">
        <v>570</v>
      </c>
      <c r="AE38" s="12">
        <v>0</v>
      </c>
      <c r="AF38" s="12">
        <v>0</v>
      </c>
      <c r="AG38" s="12">
        <v>0</v>
      </c>
      <c r="AH38" s="12">
        <v>0</v>
      </c>
      <c r="AI38" s="12">
        <v>0</v>
      </c>
      <c r="AJ38" s="12">
        <v>0</v>
      </c>
      <c r="AK38" s="12">
        <v>3225</v>
      </c>
      <c r="AL38" s="12">
        <v>33</v>
      </c>
      <c r="AM38" s="12">
        <v>690</v>
      </c>
      <c r="AN38" s="13">
        <f t="shared" si="0"/>
        <v>2280</v>
      </c>
    </row>
    <row r="39" ht="16.5" spans="1:40">
      <c r="A39">
        <f t="shared" si="3"/>
        <v>100</v>
      </c>
      <c r="B39">
        <f t="shared" si="2"/>
        <v>230</v>
      </c>
      <c r="C39" s="112">
        <v>20</v>
      </c>
      <c r="D39" s="113">
        <v>74.25</v>
      </c>
      <c r="E39" s="113">
        <v>79.2</v>
      </c>
      <c r="F39" s="113">
        <v>79</v>
      </c>
      <c r="G39" s="113">
        <v>80</v>
      </c>
      <c r="H39" s="12">
        <v>12344</v>
      </c>
      <c r="I39" s="12">
        <v>0</v>
      </c>
      <c r="J39" s="12">
        <v>887942</v>
      </c>
      <c r="K39" s="12">
        <v>80899</v>
      </c>
      <c r="L39" s="12">
        <v>8271</v>
      </c>
      <c r="M39" s="12">
        <f t="shared" si="4"/>
        <v>2894.1</v>
      </c>
      <c r="N39" s="12">
        <v>29</v>
      </c>
      <c r="O39" s="12">
        <v>100184</v>
      </c>
      <c r="P39" s="12">
        <v>19666</v>
      </c>
      <c r="Q39" s="12">
        <v>6525</v>
      </c>
      <c r="R39" s="12">
        <v>15</v>
      </c>
      <c r="S39" s="12">
        <v>53</v>
      </c>
      <c r="T39" s="12">
        <v>115</v>
      </c>
      <c r="U39" s="12">
        <v>72</v>
      </c>
      <c r="V39" s="12">
        <v>33</v>
      </c>
      <c r="W39" s="12">
        <v>9</v>
      </c>
      <c r="X39" s="12">
        <v>0</v>
      </c>
      <c r="Y39" s="12">
        <v>0</v>
      </c>
      <c r="Z39" s="12">
        <v>241</v>
      </c>
      <c r="AA39" s="12">
        <v>21</v>
      </c>
      <c r="AB39" s="12">
        <v>3019</v>
      </c>
      <c r="AC39" s="12">
        <v>114</v>
      </c>
      <c r="AD39" s="12">
        <v>600</v>
      </c>
      <c r="AE39" s="12">
        <v>0</v>
      </c>
      <c r="AF39" s="12">
        <v>0</v>
      </c>
      <c r="AG39" s="12">
        <v>0</v>
      </c>
      <c r="AH39" s="12">
        <v>0</v>
      </c>
      <c r="AI39" s="12">
        <v>0</v>
      </c>
      <c r="AJ39" s="12">
        <v>0</v>
      </c>
      <c r="AK39" s="12">
        <v>3360</v>
      </c>
      <c r="AL39" s="12">
        <v>33</v>
      </c>
      <c r="AM39" s="12">
        <v>719</v>
      </c>
      <c r="AN39" s="13">
        <f t="shared" si="0"/>
        <v>2393</v>
      </c>
    </row>
    <row r="40" ht="16.5" spans="1:40">
      <c r="A40">
        <f t="shared" si="3"/>
        <v>742.6</v>
      </c>
      <c r="B40">
        <f t="shared" si="2"/>
        <v>230</v>
      </c>
      <c r="C40" s="112">
        <v>21</v>
      </c>
      <c r="D40" s="113">
        <v>74.4</v>
      </c>
      <c r="E40" s="113">
        <v>79.4</v>
      </c>
      <c r="F40" s="113">
        <v>80</v>
      </c>
      <c r="G40" s="113">
        <v>80.9722222222222</v>
      </c>
      <c r="H40" s="12">
        <v>12574</v>
      </c>
      <c r="I40" s="12">
        <v>0</v>
      </c>
      <c r="J40" s="12">
        <v>922557</v>
      </c>
      <c r="K40" s="12">
        <v>83691</v>
      </c>
      <c r="L40" s="12">
        <v>8280</v>
      </c>
      <c r="M40" s="111">
        <v>3636.7</v>
      </c>
      <c r="N40" s="12">
        <v>30</v>
      </c>
      <c r="O40" s="12">
        <v>105698</v>
      </c>
      <c r="P40" s="12">
        <v>20739</v>
      </c>
      <c r="Q40" s="12">
        <v>6826</v>
      </c>
      <c r="R40" s="12">
        <v>15</v>
      </c>
      <c r="S40" s="12">
        <v>55</v>
      </c>
      <c r="T40" s="12">
        <v>121</v>
      </c>
      <c r="U40" s="12">
        <v>76</v>
      </c>
      <c r="V40" s="12">
        <v>36</v>
      </c>
      <c r="W40" s="12">
        <v>10</v>
      </c>
      <c r="X40" s="12">
        <v>0</v>
      </c>
      <c r="Y40" s="12">
        <v>0</v>
      </c>
      <c r="Z40" s="12">
        <v>251</v>
      </c>
      <c r="AA40" s="12">
        <v>21</v>
      </c>
      <c r="AB40" s="12">
        <v>3084</v>
      </c>
      <c r="AC40" s="12">
        <v>118</v>
      </c>
      <c r="AD40" s="12">
        <v>630</v>
      </c>
      <c r="AE40" s="12">
        <v>0</v>
      </c>
      <c r="AF40" s="12">
        <v>0</v>
      </c>
      <c r="AG40" s="12">
        <v>0</v>
      </c>
      <c r="AH40" s="12">
        <v>0</v>
      </c>
      <c r="AI40" s="12">
        <v>0</v>
      </c>
      <c r="AJ40" s="12">
        <v>0</v>
      </c>
      <c r="AK40" s="12">
        <v>3495</v>
      </c>
      <c r="AL40" s="12">
        <v>33</v>
      </c>
      <c r="AM40" s="12">
        <v>748</v>
      </c>
      <c r="AN40" s="13">
        <f t="shared" si="0"/>
        <v>2473</v>
      </c>
    </row>
    <row r="41" ht="16.5" spans="1:40">
      <c r="A41">
        <f t="shared" si="3"/>
        <v>110</v>
      </c>
      <c r="B41">
        <f t="shared" si="2"/>
        <v>229</v>
      </c>
      <c r="C41" s="112">
        <v>22</v>
      </c>
      <c r="D41" s="113">
        <v>74.55</v>
      </c>
      <c r="E41" s="113">
        <v>79.6</v>
      </c>
      <c r="F41" s="113">
        <v>81</v>
      </c>
      <c r="G41" s="113">
        <v>81.9444444444444</v>
      </c>
      <c r="H41" s="12">
        <v>12803</v>
      </c>
      <c r="I41" s="12">
        <v>0</v>
      </c>
      <c r="J41" s="12">
        <v>976720</v>
      </c>
      <c r="K41" s="12">
        <v>86484</v>
      </c>
      <c r="L41" s="12">
        <v>8288</v>
      </c>
      <c r="M41" s="12">
        <f>M40+110</f>
        <v>3746.7</v>
      </c>
      <c r="N41" s="12">
        <v>31</v>
      </c>
      <c r="O41" s="12">
        <v>111212</v>
      </c>
      <c r="P41" s="12">
        <v>21813</v>
      </c>
      <c r="Q41" s="12">
        <v>7127</v>
      </c>
      <c r="R41" s="12">
        <v>15</v>
      </c>
      <c r="S41" s="12">
        <v>57</v>
      </c>
      <c r="T41" s="12">
        <v>127</v>
      </c>
      <c r="U41" s="12">
        <v>80</v>
      </c>
      <c r="V41" s="12">
        <v>38</v>
      </c>
      <c r="W41" s="12">
        <v>11</v>
      </c>
      <c r="X41" s="12">
        <v>0</v>
      </c>
      <c r="Y41" s="12">
        <v>0</v>
      </c>
      <c r="Z41" s="12">
        <v>262</v>
      </c>
      <c r="AA41" s="12">
        <v>22</v>
      </c>
      <c r="AB41" s="12">
        <v>3150</v>
      </c>
      <c r="AC41" s="12">
        <v>121</v>
      </c>
      <c r="AD41" s="12">
        <v>660</v>
      </c>
      <c r="AE41" s="12">
        <v>0</v>
      </c>
      <c r="AF41" s="12">
        <v>0</v>
      </c>
      <c r="AG41" s="12">
        <v>0</v>
      </c>
      <c r="AH41" s="12">
        <v>0</v>
      </c>
      <c r="AI41" s="12">
        <v>0</v>
      </c>
      <c r="AJ41" s="12">
        <v>0</v>
      </c>
      <c r="AK41" s="12">
        <v>3630</v>
      </c>
      <c r="AL41" s="12">
        <v>33</v>
      </c>
      <c r="AM41" s="12">
        <v>777</v>
      </c>
      <c r="AN41" s="13">
        <f t="shared" si="0"/>
        <v>2586</v>
      </c>
    </row>
    <row r="42" ht="16.5" spans="1:40">
      <c r="A42">
        <f t="shared" si="3"/>
        <v>110</v>
      </c>
      <c r="B42">
        <f t="shared" si="2"/>
        <v>230</v>
      </c>
      <c r="C42" s="112">
        <v>23</v>
      </c>
      <c r="D42" s="113">
        <v>74.7</v>
      </c>
      <c r="E42" s="113">
        <v>79.8</v>
      </c>
      <c r="F42" s="113">
        <v>82</v>
      </c>
      <c r="G42" s="113">
        <v>82.9166666666667</v>
      </c>
      <c r="H42" s="12">
        <v>13033</v>
      </c>
      <c r="I42" s="12">
        <v>0</v>
      </c>
      <c r="J42" s="12">
        <v>1011433</v>
      </c>
      <c r="K42" s="12">
        <v>89276</v>
      </c>
      <c r="L42" s="12">
        <v>8297</v>
      </c>
      <c r="M42" s="12">
        <f t="shared" ref="M42:M105" si="5">M41+110</f>
        <v>3856.7</v>
      </c>
      <c r="N42" s="12">
        <v>33</v>
      </c>
      <c r="O42" s="12">
        <v>116767</v>
      </c>
      <c r="P42" s="12">
        <v>22887</v>
      </c>
      <c r="Q42" s="12">
        <v>7428</v>
      </c>
      <c r="R42" s="12">
        <v>15</v>
      </c>
      <c r="S42" s="12">
        <v>58</v>
      </c>
      <c r="T42" s="12">
        <v>133</v>
      </c>
      <c r="U42" s="12">
        <v>84</v>
      </c>
      <c r="V42" s="12">
        <v>40</v>
      </c>
      <c r="W42" s="12">
        <v>12</v>
      </c>
      <c r="X42" s="12">
        <v>0</v>
      </c>
      <c r="Y42" s="12">
        <v>0</v>
      </c>
      <c r="Z42" s="12">
        <v>273</v>
      </c>
      <c r="AA42" s="12">
        <v>23</v>
      </c>
      <c r="AB42" s="12">
        <v>3216</v>
      </c>
      <c r="AC42" s="12">
        <v>125</v>
      </c>
      <c r="AD42" s="12">
        <v>690</v>
      </c>
      <c r="AE42" s="12">
        <v>0</v>
      </c>
      <c r="AF42" s="12">
        <v>0</v>
      </c>
      <c r="AG42" s="12">
        <v>0</v>
      </c>
      <c r="AH42" s="12">
        <v>0</v>
      </c>
      <c r="AI42" s="12">
        <v>0</v>
      </c>
      <c r="AJ42" s="12">
        <v>0</v>
      </c>
      <c r="AK42" s="12">
        <v>3735</v>
      </c>
      <c r="AL42" s="12">
        <v>36</v>
      </c>
      <c r="AM42" s="12">
        <v>805</v>
      </c>
      <c r="AN42" s="13">
        <f t="shared" si="0"/>
        <v>2699</v>
      </c>
    </row>
    <row r="43" ht="16.5" spans="1:40">
      <c r="A43">
        <f t="shared" si="3"/>
        <v>110</v>
      </c>
      <c r="B43">
        <f t="shared" si="2"/>
        <v>230</v>
      </c>
      <c r="C43" s="112">
        <v>24</v>
      </c>
      <c r="D43" s="113">
        <v>74.85</v>
      </c>
      <c r="E43" s="113">
        <v>80</v>
      </c>
      <c r="F43" s="113">
        <v>83</v>
      </c>
      <c r="G43" s="113">
        <v>83.8888888888889</v>
      </c>
      <c r="H43" s="12">
        <v>13263</v>
      </c>
      <c r="I43" s="12">
        <v>0</v>
      </c>
      <c r="J43" s="12">
        <v>1047695</v>
      </c>
      <c r="K43" s="12">
        <v>92068</v>
      </c>
      <c r="L43" s="12">
        <v>8305</v>
      </c>
      <c r="M43" s="12">
        <f t="shared" si="5"/>
        <v>3966.7</v>
      </c>
      <c r="N43" s="12">
        <v>34</v>
      </c>
      <c r="O43" s="12">
        <v>122323</v>
      </c>
      <c r="P43" s="12">
        <v>23960</v>
      </c>
      <c r="Q43" s="12">
        <v>7730</v>
      </c>
      <c r="R43" s="12">
        <v>15</v>
      </c>
      <c r="S43" s="12">
        <v>60</v>
      </c>
      <c r="T43" s="12">
        <v>139</v>
      </c>
      <c r="U43" s="12">
        <v>87</v>
      </c>
      <c r="V43" s="12">
        <v>42</v>
      </c>
      <c r="W43" s="12">
        <v>13</v>
      </c>
      <c r="X43" s="12">
        <v>0</v>
      </c>
      <c r="Y43" s="12">
        <v>0</v>
      </c>
      <c r="Z43" s="12">
        <v>284</v>
      </c>
      <c r="AA43" s="12">
        <v>24</v>
      </c>
      <c r="AB43" s="12">
        <v>3282</v>
      </c>
      <c r="AC43" s="12">
        <v>128</v>
      </c>
      <c r="AD43" s="12">
        <v>720</v>
      </c>
      <c r="AE43" s="12">
        <v>0</v>
      </c>
      <c r="AF43" s="12">
        <v>0</v>
      </c>
      <c r="AG43" s="12">
        <v>0</v>
      </c>
      <c r="AH43" s="12">
        <v>0</v>
      </c>
      <c r="AI43" s="12">
        <v>0</v>
      </c>
      <c r="AJ43" s="12">
        <v>0</v>
      </c>
      <c r="AK43" s="12">
        <v>3870</v>
      </c>
      <c r="AL43" s="12">
        <v>36</v>
      </c>
      <c r="AM43" s="12">
        <v>834</v>
      </c>
      <c r="AN43" s="13">
        <f t="shared" si="0"/>
        <v>2812</v>
      </c>
    </row>
    <row r="44" ht="16.5" spans="1:40">
      <c r="A44">
        <f t="shared" si="3"/>
        <v>110</v>
      </c>
      <c r="B44">
        <f t="shared" si="2"/>
        <v>229</v>
      </c>
      <c r="C44" s="112">
        <v>25</v>
      </c>
      <c r="D44" s="113">
        <v>75</v>
      </c>
      <c r="E44" s="113">
        <v>80.2</v>
      </c>
      <c r="F44" s="113">
        <v>84</v>
      </c>
      <c r="G44" s="113">
        <v>84.8611111111111</v>
      </c>
      <c r="H44" s="12">
        <v>13492</v>
      </c>
      <c r="I44" s="12">
        <v>0</v>
      </c>
      <c r="J44" s="12">
        <v>1083005</v>
      </c>
      <c r="K44" s="12">
        <v>94860</v>
      </c>
      <c r="L44" s="12">
        <v>8314</v>
      </c>
      <c r="M44" s="12">
        <f t="shared" si="5"/>
        <v>4076.7</v>
      </c>
      <c r="N44" s="12">
        <v>35</v>
      </c>
      <c r="O44" s="12">
        <v>127878</v>
      </c>
      <c r="P44" s="12">
        <v>25034</v>
      </c>
      <c r="Q44" s="12">
        <v>8031</v>
      </c>
      <c r="R44" s="12">
        <v>15</v>
      </c>
      <c r="S44" s="12">
        <v>62</v>
      </c>
      <c r="T44" s="12">
        <v>145</v>
      </c>
      <c r="U44" s="12">
        <v>91</v>
      </c>
      <c r="V44" s="12">
        <v>45</v>
      </c>
      <c r="W44" s="12">
        <v>15</v>
      </c>
      <c r="X44" s="12">
        <v>0</v>
      </c>
      <c r="Y44" s="12">
        <v>0</v>
      </c>
      <c r="Z44" s="12">
        <v>294</v>
      </c>
      <c r="AA44" s="12">
        <v>25</v>
      </c>
      <c r="AB44" s="12">
        <v>3347</v>
      </c>
      <c r="AC44" s="12">
        <v>132</v>
      </c>
      <c r="AD44" s="12">
        <v>750</v>
      </c>
      <c r="AE44" s="12">
        <v>0</v>
      </c>
      <c r="AF44" s="12">
        <v>0</v>
      </c>
      <c r="AG44" s="12">
        <v>0</v>
      </c>
      <c r="AH44" s="12">
        <v>0</v>
      </c>
      <c r="AI44" s="12">
        <v>0</v>
      </c>
      <c r="AJ44" s="12">
        <v>0</v>
      </c>
      <c r="AK44" s="12">
        <v>4005</v>
      </c>
      <c r="AL44" s="12">
        <v>36</v>
      </c>
      <c r="AM44" s="12">
        <v>863</v>
      </c>
      <c r="AN44" s="13">
        <f t="shared" si="0"/>
        <v>2920</v>
      </c>
    </row>
    <row r="45" ht="16.5" spans="1:40">
      <c r="A45">
        <f t="shared" si="3"/>
        <v>110</v>
      </c>
      <c r="B45">
        <f t="shared" si="2"/>
        <v>230</v>
      </c>
      <c r="C45" s="112">
        <v>26</v>
      </c>
      <c r="D45" s="113">
        <v>75.15</v>
      </c>
      <c r="E45" s="113">
        <v>80.4</v>
      </c>
      <c r="F45" s="113">
        <v>85</v>
      </c>
      <c r="G45" s="113">
        <v>85.8333333333333</v>
      </c>
      <c r="H45" s="12">
        <v>13722</v>
      </c>
      <c r="I45" s="12">
        <v>0</v>
      </c>
      <c r="J45" s="12">
        <v>1138365</v>
      </c>
      <c r="K45" s="12">
        <v>97652</v>
      </c>
      <c r="L45" s="12">
        <v>8322</v>
      </c>
      <c r="M45" s="12">
        <f t="shared" si="5"/>
        <v>4186.7</v>
      </c>
      <c r="N45" s="12">
        <v>36</v>
      </c>
      <c r="O45" s="12">
        <v>133475</v>
      </c>
      <c r="P45" s="12">
        <v>26107</v>
      </c>
      <c r="Q45" s="12">
        <v>8332</v>
      </c>
      <c r="R45" s="12">
        <v>15</v>
      </c>
      <c r="S45" s="12">
        <v>64</v>
      </c>
      <c r="T45" s="12">
        <v>151</v>
      </c>
      <c r="U45" s="12">
        <v>95</v>
      </c>
      <c r="V45" s="12">
        <v>47</v>
      </c>
      <c r="W45" s="12">
        <v>16</v>
      </c>
      <c r="X45" s="12">
        <v>0</v>
      </c>
      <c r="Y45" s="12">
        <v>0</v>
      </c>
      <c r="Z45" s="12">
        <v>304</v>
      </c>
      <c r="AA45" s="12">
        <v>26</v>
      </c>
      <c r="AB45" s="12">
        <v>3413</v>
      </c>
      <c r="AC45" s="12">
        <v>135</v>
      </c>
      <c r="AD45" s="12">
        <v>780</v>
      </c>
      <c r="AE45" s="12">
        <v>0</v>
      </c>
      <c r="AF45" s="12">
        <v>0</v>
      </c>
      <c r="AG45" s="12">
        <v>0</v>
      </c>
      <c r="AH45" s="12">
        <v>0</v>
      </c>
      <c r="AI45" s="12">
        <v>0</v>
      </c>
      <c r="AJ45" s="12">
        <v>0</v>
      </c>
      <c r="AK45" s="12">
        <v>4140</v>
      </c>
      <c r="AL45" s="12">
        <v>36</v>
      </c>
      <c r="AM45" s="12">
        <v>892</v>
      </c>
      <c r="AN45" s="13">
        <f t="shared" si="0"/>
        <v>3028</v>
      </c>
    </row>
    <row r="46" ht="16.5" spans="1:40">
      <c r="A46">
        <f t="shared" si="3"/>
        <v>110</v>
      </c>
      <c r="B46">
        <f t="shared" si="2"/>
        <v>230</v>
      </c>
      <c r="C46" s="112">
        <v>27</v>
      </c>
      <c r="D46" s="113">
        <v>75.3</v>
      </c>
      <c r="E46" s="113">
        <v>80.6</v>
      </c>
      <c r="F46" s="113">
        <v>86</v>
      </c>
      <c r="G46" s="113">
        <v>86.8055555555556</v>
      </c>
      <c r="H46" s="12">
        <v>13952</v>
      </c>
      <c r="I46" s="12">
        <v>0</v>
      </c>
      <c r="J46" s="12">
        <v>1174274</v>
      </c>
      <c r="K46" s="12">
        <v>100445</v>
      </c>
      <c r="L46" s="12">
        <v>8331</v>
      </c>
      <c r="M46" s="12">
        <f t="shared" si="5"/>
        <v>4296.7</v>
      </c>
      <c r="N46" s="12">
        <v>36</v>
      </c>
      <c r="O46" s="12">
        <v>139071</v>
      </c>
      <c r="P46" s="12">
        <v>27181</v>
      </c>
      <c r="Q46" s="12">
        <v>8634</v>
      </c>
      <c r="R46" s="12">
        <v>15</v>
      </c>
      <c r="S46" s="12">
        <v>66</v>
      </c>
      <c r="T46" s="12">
        <v>157</v>
      </c>
      <c r="U46" s="12">
        <v>99</v>
      </c>
      <c r="V46" s="12">
        <v>49</v>
      </c>
      <c r="W46" s="12">
        <v>17</v>
      </c>
      <c r="X46" s="12">
        <v>0</v>
      </c>
      <c r="Y46" s="12">
        <v>0</v>
      </c>
      <c r="Z46" s="12">
        <v>315</v>
      </c>
      <c r="AA46" s="12">
        <v>26</v>
      </c>
      <c r="AB46" s="12">
        <v>3479</v>
      </c>
      <c r="AC46" s="12">
        <v>139</v>
      </c>
      <c r="AD46" s="12">
        <v>810</v>
      </c>
      <c r="AE46" s="12">
        <v>0</v>
      </c>
      <c r="AF46" s="12">
        <v>0</v>
      </c>
      <c r="AG46" s="12">
        <v>0</v>
      </c>
      <c r="AH46" s="12">
        <v>0</v>
      </c>
      <c r="AI46" s="12">
        <v>0</v>
      </c>
      <c r="AJ46" s="12">
        <v>0</v>
      </c>
      <c r="AK46" s="12">
        <v>4275</v>
      </c>
      <c r="AL46" s="12">
        <v>36</v>
      </c>
      <c r="AM46" s="12">
        <v>921</v>
      </c>
      <c r="AN46" s="13">
        <f t="shared" si="0"/>
        <v>3113</v>
      </c>
    </row>
    <row r="47" ht="16.5" spans="1:40">
      <c r="A47">
        <f t="shared" si="3"/>
        <v>110</v>
      </c>
      <c r="B47">
        <f t="shared" si="2"/>
        <v>229</v>
      </c>
      <c r="C47" s="112">
        <v>28</v>
      </c>
      <c r="D47" s="113">
        <v>75.45</v>
      </c>
      <c r="E47" s="113">
        <v>80.8</v>
      </c>
      <c r="F47" s="113">
        <v>87</v>
      </c>
      <c r="G47" s="113">
        <v>87.7777777777778</v>
      </c>
      <c r="H47" s="12">
        <v>14181</v>
      </c>
      <c r="I47" s="12">
        <v>0</v>
      </c>
      <c r="J47" s="12">
        <v>1211231</v>
      </c>
      <c r="K47" s="12">
        <v>103237</v>
      </c>
      <c r="L47" s="12">
        <v>8340</v>
      </c>
      <c r="M47" s="12">
        <f t="shared" si="5"/>
        <v>4406.7</v>
      </c>
      <c r="N47" s="12">
        <v>38</v>
      </c>
      <c r="O47" s="12">
        <v>144668</v>
      </c>
      <c r="P47" s="12">
        <v>28255</v>
      </c>
      <c r="Q47" s="12">
        <v>8935</v>
      </c>
      <c r="R47" s="12">
        <v>15</v>
      </c>
      <c r="S47" s="12">
        <v>68</v>
      </c>
      <c r="T47" s="12">
        <v>163</v>
      </c>
      <c r="U47" s="12">
        <v>102</v>
      </c>
      <c r="V47" s="12">
        <v>51</v>
      </c>
      <c r="W47" s="12">
        <v>18</v>
      </c>
      <c r="X47" s="12">
        <v>0</v>
      </c>
      <c r="Y47" s="12">
        <v>0</v>
      </c>
      <c r="Z47" s="12">
        <v>326</v>
      </c>
      <c r="AA47" s="12">
        <v>27</v>
      </c>
      <c r="AB47" s="12">
        <v>3545</v>
      </c>
      <c r="AC47" s="12">
        <v>142</v>
      </c>
      <c r="AD47" s="12">
        <v>840</v>
      </c>
      <c r="AE47" s="12">
        <v>0</v>
      </c>
      <c r="AF47" s="12">
        <v>0</v>
      </c>
      <c r="AG47" s="12">
        <v>0</v>
      </c>
      <c r="AH47" s="12">
        <v>0</v>
      </c>
      <c r="AI47" s="12">
        <v>0</v>
      </c>
      <c r="AJ47" s="12">
        <v>0</v>
      </c>
      <c r="AK47" s="12">
        <v>4380</v>
      </c>
      <c r="AL47" s="12">
        <v>39</v>
      </c>
      <c r="AM47" s="12">
        <v>950</v>
      </c>
      <c r="AN47" s="13">
        <f t="shared" si="0"/>
        <v>3226</v>
      </c>
    </row>
    <row r="48" ht="16.5" spans="1:40">
      <c r="A48">
        <f t="shared" si="3"/>
        <v>110</v>
      </c>
      <c r="B48">
        <f t="shared" si="2"/>
        <v>230</v>
      </c>
      <c r="C48" s="112">
        <v>29</v>
      </c>
      <c r="D48" s="113">
        <v>75.6000000000001</v>
      </c>
      <c r="E48" s="113">
        <v>81</v>
      </c>
      <c r="F48" s="113">
        <v>88</v>
      </c>
      <c r="G48" s="113">
        <v>88.75</v>
      </c>
      <c r="H48" s="12">
        <v>14411</v>
      </c>
      <c r="I48" s="12">
        <v>0</v>
      </c>
      <c r="J48" s="12">
        <v>1255358</v>
      </c>
      <c r="K48" s="12">
        <v>106029</v>
      </c>
      <c r="L48" s="12">
        <v>8348</v>
      </c>
      <c r="M48" s="12">
        <f t="shared" si="5"/>
        <v>4516.7</v>
      </c>
      <c r="N48" s="12">
        <v>39</v>
      </c>
      <c r="O48" s="12">
        <v>150265</v>
      </c>
      <c r="P48" s="12">
        <v>29328</v>
      </c>
      <c r="Q48" s="12">
        <v>9236</v>
      </c>
      <c r="R48" s="12">
        <v>15</v>
      </c>
      <c r="S48" s="12">
        <v>69</v>
      </c>
      <c r="T48" s="12">
        <v>169</v>
      </c>
      <c r="U48" s="12">
        <v>106</v>
      </c>
      <c r="V48" s="12">
        <v>54</v>
      </c>
      <c r="W48" s="12">
        <v>19</v>
      </c>
      <c r="X48" s="12">
        <v>0</v>
      </c>
      <c r="Y48" s="12">
        <v>0</v>
      </c>
      <c r="Z48" s="12">
        <v>337</v>
      </c>
      <c r="AA48" s="12">
        <v>30</v>
      </c>
      <c r="AB48" s="12">
        <v>3610</v>
      </c>
      <c r="AC48" s="12">
        <v>146</v>
      </c>
      <c r="AD48" s="12">
        <v>870</v>
      </c>
      <c r="AE48" s="12">
        <v>0</v>
      </c>
      <c r="AF48" s="12">
        <v>0</v>
      </c>
      <c r="AG48" s="12">
        <v>0</v>
      </c>
      <c r="AH48" s="12">
        <v>0</v>
      </c>
      <c r="AI48" s="12">
        <v>0</v>
      </c>
      <c r="AJ48" s="12">
        <v>0</v>
      </c>
      <c r="AK48" s="12">
        <v>4515</v>
      </c>
      <c r="AL48" s="12">
        <v>39</v>
      </c>
      <c r="AM48" s="12">
        <v>979</v>
      </c>
      <c r="AN48" s="13">
        <f t="shared" si="0"/>
        <v>3395</v>
      </c>
    </row>
    <row r="49" ht="16.5" spans="1:40">
      <c r="A49">
        <f t="shared" si="3"/>
        <v>110</v>
      </c>
      <c r="B49">
        <f t="shared" si="2"/>
        <v>230</v>
      </c>
      <c r="C49" s="112">
        <v>30</v>
      </c>
      <c r="D49" s="113">
        <v>75.7500000000001</v>
      </c>
      <c r="E49" s="113">
        <v>81.2</v>
      </c>
      <c r="F49" s="113">
        <v>89</v>
      </c>
      <c r="G49" s="113">
        <v>89.7222222222222</v>
      </c>
      <c r="H49" s="12">
        <v>14641</v>
      </c>
      <c r="I49" s="12">
        <v>0</v>
      </c>
      <c r="J49" s="12">
        <v>1313034</v>
      </c>
      <c r="K49" s="12">
        <v>108821</v>
      </c>
      <c r="L49" s="12">
        <v>8357</v>
      </c>
      <c r="M49" s="12">
        <f t="shared" si="5"/>
        <v>4626.7</v>
      </c>
      <c r="N49" s="12">
        <v>40</v>
      </c>
      <c r="O49" s="12">
        <v>155862</v>
      </c>
      <c r="P49" s="12">
        <v>30402</v>
      </c>
      <c r="Q49" s="12">
        <v>9537</v>
      </c>
      <c r="R49" s="12">
        <v>15</v>
      </c>
      <c r="S49" s="12">
        <v>70</v>
      </c>
      <c r="T49" s="12">
        <v>175</v>
      </c>
      <c r="U49" s="12">
        <v>110</v>
      </c>
      <c r="V49" s="12">
        <v>56</v>
      </c>
      <c r="W49" s="12">
        <v>21</v>
      </c>
      <c r="X49" s="12">
        <v>0</v>
      </c>
      <c r="Y49" s="12">
        <v>0</v>
      </c>
      <c r="Z49" s="12">
        <v>347</v>
      </c>
      <c r="AA49" s="12">
        <v>31</v>
      </c>
      <c r="AB49" s="12">
        <v>3676</v>
      </c>
      <c r="AC49" s="12">
        <v>149</v>
      </c>
      <c r="AD49" s="12">
        <v>900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  <c r="AK49" s="12">
        <v>4650</v>
      </c>
      <c r="AL49" s="12">
        <v>39</v>
      </c>
      <c r="AM49" s="12">
        <v>1007</v>
      </c>
      <c r="AN49" s="13">
        <f t="shared" si="0"/>
        <v>3503</v>
      </c>
    </row>
    <row r="50" ht="16.5" spans="1:40">
      <c r="A50">
        <f t="shared" si="3"/>
        <v>110</v>
      </c>
      <c r="B50">
        <f t="shared" si="2"/>
        <v>229</v>
      </c>
      <c r="C50" s="112">
        <v>31</v>
      </c>
      <c r="D50" s="113">
        <v>75.9000000000001</v>
      </c>
      <c r="E50" s="113">
        <v>81.4</v>
      </c>
      <c r="F50" s="113">
        <v>90</v>
      </c>
      <c r="G50" s="113">
        <v>90.6944444444444</v>
      </c>
      <c r="H50" s="12">
        <v>14870</v>
      </c>
      <c r="I50" s="12">
        <v>0</v>
      </c>
      <c r="J50" s="12">
        <v>1349758</v>
      </c>
      <c r="K50" s="12">
        <v>111613</v>
      </c>
      <c r="L50" s="12">
        <v>8365</v>
      </c>
      <c r="M50" s="12">
        <f t="shared" si="5"/>
        <v>4736.7</v>
      </c>
      <c r="N50" s="12">
        <v>41</v>
      </c>
      <c r="O50" s="12">
        <v>161458</v>
      </c>
      <c r="P50" s="12">
        <v>31475</v>
      </c>
      <c r="Q50" s="12">
        <v>9839</v>
      </c>
      <c r="R50" s="12">
        <v>15</v>
      </c>
      <c r="S50" s="12">
        <v>71</v>
      </c>
      <c r="T50" s="12">
        <v>181</v>
      </c>
      <c r="U50" s="12">
        <v>114</v>
      </c>
      <c r="V50" s="12">
        <v>58</v>
      </c>
      <c r="W50" s="12">
        <v>22</v>
      </c>
      <c r="X50" s="12">
        <v>1</v>
      </c>
      <c r="Y50" s="12">
        <v>0</v>
      </c>
      <c r="Z50" s="12">
        <v>358</v>
      </c>
      <c r="AA50" s="12">
        <v>32</v>
      </c>
      <c r="AB50" s="12">
        <v>3742</v>
      </c>
      <c r="AC50" s="12">
        <v>153</v>
      </c>
      <c r="AD50" s="12">
        <v>930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  <c r="AK50" s="12">
        <v>4785</v>
      </c>
      <c r="AL50" s="12">
        <v>39</v>
      </c>
      <c r="AM50" s="12">
        <v>1036</v>
      </c>
      <c r="AN50" s="13">
        <f t="shared" si="0"/>
        <v>3616</v>
      </c>
    </row>
    <row r="51" ht="16.5" spans="1:40">
      <c r="A51">
        <f t="shared" si="3"/>
        <v>110</v>
      </c>
      <c r="B51">
        <f t="shared" si="2"/>
        <v>230</v>
      </c>
      <c r="C51" s="112">
        <v>32</v>
      </c>
      <c r="D51" s="113">
        <v>76.0500000000001</v>
      </c>
      <c r="E51" s="113">
        <v>81.6</v>
      </c>
      <c r="F51" s="113">
        <v>91</v>
      </c>
      <c r="G51" s="113">
        <v>91.6666666666667</v>
      </c>
      <c r="H51" s="12">
        <v>15100</v>
      </c>
      <c r="I51" s="12">
        <v>0</v>
      </c>
      <c r="J51" s="12">
        <v>1387532</v>
      </c>
      <c r="K51" s="12">
        <v>114405</v>
      </c>
      <c r="L51" s="12">
        <v>8374</v>
      </c>
      <c r="M51" s="12">
        <f t="shared" si="5"/>
        <v>4846.7</v>
      </c>
      <c r="N51" s="12">
        <v>42</v>
      </c>
      <c r="O51" s="12">
        <v>167055</v>
      </c>
      <c r="P51" s="12">
        <v>32549</v>
      </c>
      <c r="Q51" s="12">
        <v>10140</v>
      </c>
      <c r="R51" s="12">
        <v>15</v>
      </c>
      <c r="S51" s="12">
        <v>72</v>
      </c>
      <c r="T51" s="12">
        <v>187</v>
      </c>
      <c r="U51" s="12">
        <v>117</v>
      </c>
      <c r="V51" s="12">
        <v>60</v>
      </c>
      <c r="W51" s="12">
        <v>24</v>
      </c>
      <c r="X51" s="12">
        <v>1</v>
      </c>
      <c r="Y51" s="12">
        <v>0</v>
      </c>
      <c r="Z51" s="12">
        <v>368</v>
      </c>
      <c r="AA51" s="12">
        <v>33</v>
      </c>
      <c r="AB51" s="12">
        <v>3807</v>
      </c>
      <c r="AC51" s="12">
        <v>157</v>
      </c>
      <c r="AD51" s="12">
        <v>960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  <c r="AK51" s="12">
        <v>4920</v>
      </c>
      <c r="AL51" s="12">
        <v>39</v>
      </c>
      <c r="AM51" s="12">
        <v>1065</v>
      </c>
      <c r="AN51" s="13">
        <f t="shared" si="0"/>
        <v>3724</v>
      </c>
    </row>
    <row r="52" ht="16.5" spans="1:40">
      <c r="A52">
        <f t="shared" si="3"/>
        <v>110</v>
      </c>
      <c r="B52">
        <f t="shared" si="2"/>
        <v>230</v>
      </c>
      <c r="C52" s="112">
        <v>33</v>
      </c>
      <c r="D52" s="113">
        <v>76.2000000000001</v>
      </c>
      <c r="E52" s="113">
        <v>81.8</v>
      </c>
      <c r="F52" s="113">
        <v>92</v>
      </c>
      <c r="G52" s="113">
        <v>92.6388888888889</v>
      </c>
      <c r="H52" s="12">
        <v>15330</v>
      </c>
      <c r="I52" s="12">
        <v>0</v>
      </c>
      <c r="J52" s="12">
        <v>1424855</v>
      </c>
      <c r="K52" s="12">
        <v>117198</v>
      </c>
      <c r="L52" s="12">
        <v>8382</v>
      </c>
      <c r="M52" s="12">
        <f t="shared" si="5"/>
        <v>4956.7</v>
      </c>
      <c r="N52" s="12">
        <v>44</v>
      </c>
      <c r="O52" s="12">
        <v>172693</v>
      </c>
      <c r="P52" s="12">
        <v>33623</v>
      </c>
      <c r="Q52" s="12">
        <v>10441</v>
      </c>
      <c r="R52" s="12">
        <v>15</v>
      </c>
      <c r="S52" s="12">
        <v>73</v>
      </c>
      <c r="T52" s="12">
        <v>193</v>
      </c>
      <c r="U52" s="12">
        <v>121</v>
      </c>
      <c r="V52" s="12">
        <v>63</v>
      </c>
      <c r="W52" s="12">
        <v>25</v>
      </c>
      <c r="X52" s="12">
        <v>1</v>
      </c>
      <c r="Y52" s="12">
        <v>0</v>
      </c>
      <c r="Z52" s="12">
        <v>380</v>
      </c>
      <c r="AA52" s="12">
        <v>33</v>
      </c>
      <c r="AB52" s="12">
        <v>3873</v>
      </c>
      <c r="AC52" s="12">
        <v>160</v>
      </c>
      <c r="AD52" s="12">
        <v>990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  <c r="AK52" s="12">
        <v>5025</v>
      </c>
      <c r="AL52" s="12">
        <v>42</v>
      </c>
      <c r="AM52" s="12">
        <v>1094</v>
      </c>
      <c r="AN52" s="13">
        <f t="shared" si="0"/>
        <v>3814</v>
      </c>
    </row>
    <row r="53" ht="16.5" spans="1:40">
      <c r="A53">
        <f t="shared" si="3"/>
        <v>110</v>
      </c>
      <c r="B53">
        <f t="shared" si="2"/>
        <v>229</v>
      </c>
      <c r="C53" s="112">
        <v>34</v>
      </c>
      <c r="D53" s="113">
        <v>76.3500000000001</v>
      </c>
      <c r="E53" s="113">
        <v>82</v>
      </c>
      <c r="F53" s="113">
        <v>93</v>
      </c>
      <c r="G53" s="113">
        <v>93.6111111111111</v>
      </c>
      <c r="H53" s="12">
        <v>15559</v>
      </c>
      <c r="I53" s="12">
        <v>0</v>
      </c>
      <c r="J53" s="12">
        <v>1484226</v>
      </c>
      <c r="K53" s="12">
        <v>119990</v>
      </c>
      <c r="L53" s="12">
        <v>8391</v>
      </c>
      <c r="M53" s="12">
        <f t="shared" si="5"/>
        <v>5066.7</v>
      </c>
      <c r="N53" s="12">
        <v>45</v>
      </c>
      <c r="O53" s="12">
        <v>178331</v>
      </c>
      <c r="P53" s="12">
        <v>34696</v>
      </c>
      <c r="Q53" s="12">
        <v>10742</v>
      </c>
      <c r="R53" s="12">
        <v>15</v>
      </c>
      <c r="S53" s="12">
        <v>75</v>
      </c>
      <c r="T53" s="12">
        <v>199</v>
      </c>
      <c r="U53" s="12">
        <v>125</v>
      </c>
      <c r="V53" s="12">
        <v>65</v>
      </c>
      <c r="W53" s="12">
        <v>27</v>
      </c>
      <c r="X53" s="12">
        <v>2</v>
      </c>
      <c r="Y53" s="12">
        <v>0</v>
      </c>
      <c r="Z53" s="12">
        <v>390</v>
      </c>
      <c r="AA53" s="12">
        <v>34</v>
      </c>
      <c r="AB53" s="12">
        <v>3939</v>
      </c>
      <c r="AC53" s="12">
        <v>164</v>
      </c>
      <c r="AD53" s="12">
        <v>1020</v>
      </c>
      <c r="AE53" s="12">
        <v>0</v>
      </c>
      <c r="AF53" s="12">
        <v>0</v>
      </c>
      <c r="AG53" s="12">
        <v>0</v>
      </c>
      <c r="AH53" s="12">
        <v>0</v>
      </c>
      <c r="AI53" s="12">
        <v>0</v>
      </c>
      <c r="AJ53" s="12">
        <v>0</v>
      </c>
      <c r="AK53" s="12">
        <v>5160</v>
      </c>
      <c r="AL53" s="12">
        <v>42</v>
      </c>
      <c r="AM53" s="12">
        <v>1123</v>
      </c>
      <c r="AN53" s="13">
        <f t="shared" si="0"/>
        <v>3922</v>
      </c>
    </row>
    <row r="54" ht="16.5" spans="1:40">
      <c r="A54">
        <f t="shared" si="3"/>
        <v>110</v>
      </c>
      <c r="B54">
        <f t="shared" si="2"/>
        <v>230</v>
      </c>
      <c r="C54" s="112">
        <v>35</v>
      </c>
      <c r="D54" s="113">
        <v>76.5000000000001</v>
      </c>
      <c r="E54" s="113">
        <v>82.2</v>
      </c>
      <c r="F54" s="113">
        <v>94</v>
      </c>
      <c r="G54" s="113">
        <v>94.5833333333333</v>
      </c>
      <c r="H54" s="12">
        <v>15789</v>
      </c>
      <c r="I54" s="12">
        <v>0</v>
      </c>
      <c r="J54" s="12">
        <v>1521647</v>
      </c>
      <c r="K54" s="12">
        <v>122782</v>
      </c>
      <c r="L54" s="12">
        <v>8400</v>
      </c>
      <c r="M54" s="12">
        <f t="shared" si="5"/>
        <v>5176.7</v>
      </c>
      <c r="N54" s="12">
        <v>46</v>
      </c>
      <c r="O54" s="12">
        <v>183969</v>
      </c>
      <c r="P54" s="12">
        <v>35770</v>
      </c>
      <c r="Q54" s="12">
        <v>11044</v>
      </c>
      <c r="R54" s="12">
        <v>15</v>
      </c>
      <c r="S54" s="12">
        <v>76</v>
      </c>
      <c r="T54" s="12">
        <v>205</v>
      </c>
      <c r="U54" s="12">
        <v>129</v>
      </c>
      <c r="V54" s="12">
        <v>67</v>
      </c>
      <c r="W54" s="12">
        <v>28</v>
      </c>
      <c r="X54" s="12">
        <v>2</v>
      </c>
      <c r="Y54" s="12">
        <v>0</v>
      </c>
      <c r="Z54" s="12">
        <v>400</v>
      </c>
      <c r="AA54" s="12">
        <v>35</v>
      </c>
      <c r="AB54" s="12">
        <v>4005</v>
      </c>
      <c r="AC54" s="12">
        <v>167</v>
      </c>
      <c r="AD54" s="12">
        <v>1050</v>
      </c>
      <c r="AE54" s="12">
        <v>0</v>
      </c>
      <c r="AF54" s="12">
        <v>0</v>
      </c>
      <c r="AG54" s="12">
        <v>0</v>
      </c>
      <c r="AH54" s="12">
        <v>0</v>
      </c>
      <c r="AI54" s="12">
        <v>0</v>
      </c>
      <c r="AJ54" s="12">
        <v>0</v>
      </c>
      <c r="AK54" s="12">
        <v>5295</v>
      </c>
      <c r="AL54" s="12">
        <v>42</v>
      </c>
      <c r="AM54" s="12">
        <v>1152</v>
      </c>
      <c r="AN54" s="13">
        <f t="shared" si="0"/>
        <v>4030</v>
      </c>
    </row>
    <row r="55" ht="16.5" spans="1:40">
      <c r="A55">
        <f t="shared" si="3"/>
        <v>110</v>
      </c>
      <c r="B55">
        <f t="shared" si="2"/>
        <v>230</v>
      </c>
      <c r="C55" s="112">
        <v>36</v>
      </c>
      <c r="D55" s="113">
        <v>76.6500000000001</v>
      </c>
      <c r="E55" s="113">
        <v>82.4</v>
      </c>
      <c r="F55" s="113">
        <v>95</v>
      </c>
      <c r="G55" s="113">
        <v>95.5555555555556</v>
      </c>
      <c r="H55" s="12">
        <v>16019</v>
      </c>
      <c r="I55" s="12">
        <v>0</v>
      </c>
      <c r="J55" s="12">
        <v>1561117</v>
      </c>
      <c r="K55" s="12">
        <v>125574</v>
      </c>
      <c r="L55" s="12">
        <v>8408</v>
      </c>
      <c r="M55" s="12">
        <f t="shared" si="5"/>
        <v>5286.7</v>
      </c>
      <c r="N55" s="12">
        <v>46</v>
      </c>
      <c r="O55" s="12">
        <v>189607</v>
      </c>
      <c r="P55" s="12">
        <v>36843</v>
      </c>
      <c r="Q55" s="12">
        <v>11345</v>
      </c>
      <c r="R55" s="12">
        <v>15</v>
      </c>
      <c r="S55" s="12">
        <v>77</v>
      </c>
      <c r="T55" s="12">
        <v>211</v>
      </c>
      <c r="U55" s="12">
        <v>132</v>
      </c>
      <c r="V55" s="12">
        <v>69</v>
      </c>
      <c r="W55" s="12">
        <v>30</v>
      </c>
      <c r="X55" s="12">
        <v>3</v>
      </c>
      <c r="Y55" s="12">
        <v>0</v>
      </c>
      <c r="Z55" s="12">
        <v>411</v>
      </c>
      <c r="AA55" s="12">
        <v>36</v>
      </c>
      <c r="AB55" s="12">
        <v>4070</v>
      </c>
      <c r="AC55" s="12">
        <v>171</v>
      </c>
      <c r="AD55" s="12">
        <v>1080</v>
      </c>
      <c r="AE55" s="12">
        <v>0</v>
      </c>
      <c r="AF55" s="12">
        <v>0</v>
      </c>
      <c r="AG55" s="12">
        <v>0</v>
      </c>
      <c r="AH55" s="12">
        <v>0</v>
      </c>
      <c r="AI55" s="12">
        <v>0</v>
      </c>
      <c r="AJ55" s="12">
        <v>0</v>
      </c>
      <c r="AK55" s="12">
        <v>5430</v>
      </c>
      <c r="AL55" s="12">
        <v>42</v>
      </c>
      <c r="AM55" s="12">
        <v>1180</v>
      </c>
      <c r="AN55" s="13">
        <f t="shared" si="0"/>
        <v>4143</v>
      </c>
    </row>
    <row r="56" ht="16.5" spans="1:40">
      <c r="A56">
        <f t="shared" si="3"/>
        <v>110</v>
      </c>
      <c r="B56">
        <f t="shared" si="2"/>
        <v>229</v>
      </c>
      <c r="C56" s="112">
        <v>37</v>
      </c>
      <c r="D56" s="113">
        <v>76.8000000000001</v>
      </c>
      <c r="E56" s="113">
        <v>82.6000000000001</v>
      </c>
      <c r="F56" s="113">
        <v>96</v>
      </c>
      <c r="G56" s="113">
        <v>96.5277777777778</v>
      </c>
      <c r="H56" s="12">
        <v>16248</v>
      </c>
      <c r="I56" s="12">
        <v>0</v>
      </c>
      <c r="J56" s="12">
        <v>1599135</v>
      </c>
      <c r="K56" s="12">
        <v>128366</v>
      </c>
      <c r="L56" s="12">
        <v>8417</v>
      </c>
      <c r="M56" s="12">
        <f t="shared" si="5"/>
        <v>5396.7</v>
      </c>
      <c r="N56" s="12">
        <v>47</v>
      </c>
      <c r="O56" s="12">
        <v>195246</v>
      </c>
      <c r="P56" s="12">
        <v>37917</v>
      </c>
      <c r="Q56" s="12">
        <v>11646</v>
      </c>
      <c r="R56" s="12">
        <v>15</v>
      </c>
      <c r="S56" s="12">
        <v>78</v>
      </c>
      <c r="T56" s="12">
        <v>217</v>
      </c>
      <c r="U56" s="12">
        <v>136</v>
      </c>
      <c r="V56" s="12">
        <v>72</v>
      </c>
      <c r="W56" s="12">
        <v>31</v>
      </c>
      <c r="X56" s="12">
        <v>3</v>
      </c>
      <c r="Y56" s="12">
        <v>0</v>
      </c>
      <c r="Z56" s="12">
        <v>421</v>
      </c>
      <c r="AA56" s="12">
        <v>37</v>
      </c>
      <c r="AB56" s="12">
        <v>4136</v>
      </c>
      <c r="AC56" s="12">
        <v>174</v>
      </c>
      <c r="AD56" s="12">
        <v>1110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  <c r="AK56" s="12">
        <v>5565</v>
      </c>
      <c r="AL56" s="12">
        <v>42</v>
      </c>
      <c r="AM56" s="12">
        <v>1209</v>
      </c>
      <c r="AN56" s="13">
        <f t="shared" si="0"/>
        <v>4251</v>
      </c>
    </row>
    <row r="57" ht="16.5" spans="1:40">
      <c r="A57">
        <f t="shared" si="3"/>
        <v>110</v>
      </c>
      <c r="B57">
        <f t="shared" si="2"/>
        <v>230</v>
      </c>
      <c r="C57" s="112">
        <v>38</v>
      </c>
      <c r="D57" s="113">
        <v>76.9500000000001</v>
      </c>
      <c r="E57" s="113">
        <v>82.8000000000001</v>
      </c>
      <c r="F57" s="113">
        <v>97</v>
      </c>
      <c r="G57" s="113">
        <v>97.5</v>
      </c>
      <c r="H57" s="12">
        <v>16478</v>
      </c>
      <c r="I57" s="12">
        <v>0</v>
      </c>
      <c r="J57" s="12">
        <v>1660203</v>
      </c>
      <c r="K57" s="12">
        <v>131159</v>
      </c>
      <c r="L57" s="12">
        <v>8425</v>
      </c>
      <c r="M57" s="12">
        <f t="shared" si="5"/>
        <v>5506.7</v>
      </c>
      <c r="N57" s="12">
        <v>49</v>
      </c>
      <c r="O57" s="12">
        <v>200884</v>
      </c>
      <c r="P57" s="12">
        <v>38991</v>
      </c>
      <c r="Q57" s="12">
        <v>11947</v>
      </c>
      <c r="R57" s="12">
        <v>15</v>
      </c>
      <c r="S57" s="12">
        <v>79</v>
      </c>
      <c r="T57" s="12">
        <v>223</v>
      </c>
      <c r="U57" s="12">
        <v>140</v>
      </c>
      <c r="V57" s="12">
        <v>74</v>
      </c>
      <c r="W57" s="12">
        <v>33</v>
      </c>
      <c r="X57" s="12">
        <v>3</v>
      </c>
      <c r="Y57" s="12">
        <v>0</v>
      </c>
      <c r="Z57" s="12">
        <v>433</v>
      </c>
      <c r="AA57" s="12">
        <v>38</v>
      </c>
      <c r="AB57" s="12">
        <v>4202</v>
      </c>
      <c r="AC57" s="12">
        <v>178</v>
      </c>
      <c r="AD57" s="12">
        <v>1140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  <c r="AK57" s="12">
        <v>5670</v>
      </c>
      <c r="AL57" s="12">
        <v>45</v>
      </c>
      <c r="AM57" s="12">
        <v>1238</v>
      </c>
      <c r="AN57" s="13">
        <f t="shared" si="0"/>
        <v>4369</v>
      </c>
    </row>
    <row r="58" ht="16.5" spans="1:40">
      <c r="A58">
        <f t="shared" si="3"/>
        <v>110</v>
      </c>
      <c r="B58">
        <f t="shared" si="2"/>
        <v>230</v>
      </c>
      <c r="C58" s="112">
        <v>39</v>
      </c>
      <c r="D58" s="113">
        <v>77.1000000000001</v>
      </c>
      <c r="E58" s="113">
        <v>83.0000000000001</v>
      </c>
      <c r="F58" s="113">
        <v>98</v>
      </c>
      <c r="G58" s="113">
        <v>98.4722222222222</v>
      </c>
      <c r="H58" s="12">
        <v>16708</v>
      </c>
      <c r="I58" s="12">
        <v>0</v>
      </c>
      <c r="J58" s="12">
        <v>1707440</v>
      </c>
      <c r="K58" s="12">
        <v>133951</v>
      </c>
      <c r="L58" s="12">
        <v>8434</v>
      </c>
      <c r="M58" s="12">
        <f t="shared" si="5"/>
        <v>5616.7</v>
      </c>
      <c r="N58" s="12">
        <v>50</v>
      </c>
      <c r="O58" s="12">
        <v>206522</v>
      </c>
      <c r="P58" s="12">
        <v>40064</v>
      </c>
      <c r="Q58" s="12">
        <v>12249</v>
      </c>
      <c r="R58" s="12">
        <v>15</v>
      </c>
      <c r="S58" s="12">
        <v>80</v>
      </c>
      <c r="T58" s="12">
        <v>229</v>
      </c>
      <c r="U58" s="12">
        <v>144</v>
      </c>
      <c r="V58" s="12">
        <v>76</v>
      </c>
      <c r="W58" s="12">
        <v>35</v>
      </c>
      <c r="X58" s="12">
        <v>4</v>
      </c>
      <c r="Y58" s="12">
        <v>0</v>
      </c>
      <c r="Z58" s="12">
        <v>443</v>
      </c>
      <c r="AA58" s="12">
        <v>39</v>
      </c>
      <c r="AB58" s="12">
        <v>4267</v>
      </c>
      <c r="AC58" s="12">
        <v>181</v>
      </c>
      <c r="AD58" s="12">
        <v>1170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  <c r="AK58" s="12">
        <v>5805</v>
      </c>
      <c r="AL58" s="12">
        <v>45</v>
      </c>
      <c r="AM58" s="12">
        <v>1267</v>
      </c>
      <c r="AN58" s="13">
        <f t="shared" si="0"/>
        <v>4477</v>
      </c>
    </row>
    <row r="59" ht="16.5" spans="1:40">
      <c r="A59">
        <f t="shared" si="3"/>
        <v>110</v>
      </c>
      <c r="B59">
        <f t="shared" si="2"/>
        <v>229</v>
      </c>
      <c r="C59" s="112">
        <v>40</v>
      </c>
      <c r="D59" s="113">
        <v>77.2500000000001</v>
      </c>
      <c r="E59" s="113">
        <v>83.2000000000001</v>
      </c>
      <c r="F59" s="113">
        <v>99</v>
      </c>
      <c r="G59" s="113">
        <v>99.4444444444444</v>
      </c>
      <c r="H59" s="12">
        <v>16937</v>
      </c>
      <c r="I59" s="12">
        <v>0</v>
      </c>
      <c r="J59" s="12">
        <v>1746226</v>
      </c>
      <c r="K59" s="12">
        <v>136743</v>
      </c>
      <c r="L59" s="12">
        <v>8442</v>
      </c>
      <c r="M59" s="12">
        <f t="shared" si="5"/>
        <v>5726.7</v>
      </c>
      <c r="N59" s="12">
        <v>51</v>
      </c>
      <c r="O59" s="12">
        <v>212201</v>
      </c>
      <c r="P59" s="12">
        <v>41138</v>
      </c>
      <c r="Q59" s="12">
        <v>12550</v>
      </c>
      <c r="R59" s="12">
        <v>15</v>
      </c>
      <c r="S59" s="12">
        <v>80</v>
      </c>
      <c r="T59" s="12">
        <v>235</v>
      </c>
      <c r="U59" s="12">
        <v>147</v>
      </c>
      <c r="V59" s="12">
        <v>79</v>
      </c>
      <c r="W59" s="12">
        <v>36</v>
      </c>
      <c r="X59" s="12">
        <v>4</v>
      </c>
      <c r="Y59" s="12">
        <v>0</v>
      </c>
      <c r="Z59" s="12">
        <v>454</v>
      </c>
      <c r="AA59" s="12">
        <v>39</v>
      </c>
      <c r="AB59" s="12">
        <v>4333</v>
      </c>
      <c r="AC59" s="12">
        <v>185</v>
      </c>
      <c r="AD59" s="12">
        <v>1200</v>
      </c>
      <c r="AE59" s="12">
        <v>0</v>
      </c>
      <c r="AF59" s="12">
        <v>0</v>
      </c>
      <c r="AG59" s="12">
        <v>0</v>
      </c>
      <c r="AH59" s="12">
        <v>0</v>
      </c>
      <c r="AI59" s="12">
        <v>0</v>
      </c>
      <c r="AJ59" s="12">
        <v>0</v>
      </c>
      <c r="AK59" s="12">
        <v>5940</v>
      </c>
      <c r="AL59" s="12">
        <v>45</v>
      </c>
      <c r="AM59" s="12">
        <v>1296</v>
      </c>
      <c r="AN59" s="13">
        <f t="shared" si="0"/>
        <v>4562</v>
      </c>
    </row>
    <row r="60" ht="16.5" spans="1:40">
      <c r="A60">
        <f t="shared" si="3"/>
        <v>110</v>
      </c>
      <c r="B60">
        <f t="shared" si="2"/>
        <v>80</v>
      </c>
      <c r="C60" s="112">
        <v>41</v>
      </c>
      <c r="D60" s="113">
        <v>77.4000000000001</v>
      </c>
      <c r="E60" s="113">
        <v>83.4000000000001</v>
      </c>
      <c r="F60" s="113">
        <v>100</v>
      </c>
      <c r="G60" s="113">
        <v>100.416666666667</v>
      </c>
      <c r="H60" s="12">
        <v>17017</v>
      </c>
      <c r="I60" s="12">
        <v>0</v>
      </c>
      <c r="J60" s="12">
        <v>1783211</v>
      </c>
      <c r="K60" s="12">
        <v>138785</v>
      </c>
      <c r="L60" s="12">
        <v>8451</v>
      </c>
      <c r="M60" s="12">
        <f t="shared" si="5"/>
        <v>5836.7</v>
      </c>
      <c r="N60" s="12">
        <v>52</v>
      </c>
      <c r="O60" s="12">
        <v>217381</v>
      </c>
      <c r="P60" s="12">
        <v>42172</v>
      </c>
      <c r="Q60" s="12">
        <v>12851</v>
      </c>
      <c r="R60" s="12">
        <v>15</v>
      </c>
      <c r="S60" s="12">
        <v>81</v>
      </c>
      <c r="T60" s="12">
        <v>241</v>
      </c>
      <c r="U60" s="12">
        <v>151</v>
      </c>
      <c r="V60" s="12">
        <v>81</v>
      </c>
      <c r="W60" s="12">
        <v>38</v>
      </c>
      <c r="X60" s="12">
        <v>5</v>
      </c>
      <c r="Y60" s="12">
        <v>0</v>
      </c>
      <c r="Z60" s="12">
        <v>464</v>
      </c>
      <c r="AA60" s="12">
        <v>40</v>
      </c>
      <c r="AB60" s="12">
        <v>4399</v>
      </c>
      <c r="AC60" s="12">
        <v>188</v>
      </c>
      <c r="AD60" s="12">
        <v>1230</v>
      </c>
      <c r="AE60" s="12">
        <v>0</v>
      </c>
      <c r="AF60" s="12">
        <v>0</v>
      </c>
      <c r="AG60" s="12">
        <v>0</v>
      </c>
      <c r="AH60" s="12">
        <v>0</v>
      </c>
      <c r="AI60" s="12">
        <v>0</v>
      </c>
      <c r="AJ60" s="12">
        <v>0</v>
      </c>
      <c r="AK60" s="12">
        <v>6045</v>
      </c>
      <c r="AL60" s="12">
        <v>45</v>
      </c>
      <c r="AM60" s="12">
        <v>1320</v>
      </c>
      <c r="AN60" s="13">
        <f t="shared" si="0"/>
        <v>4670</v>
      </c>
    </row>
    <row r="61" ht="16.5" spans="1:40">
      <c r="A61">
        <f t="shared" si="3"/>
        <v>110</v>
      </c>
      <c r="B61">
        <f t="shared" si="2"/>
        <v>230</v>
      </c>
      <c r="C61" s="112">
        <v>42</v>
      </c>
      <c r="D61" s="113">
        <v>77.5500000000001</v>
      </c>
      <c r="E61" s="113">
        <v>83.6000000000001</v>
      </c>
      <c r="F61" s="113">
        <v>101</v>
      </c>
      <c r="G61" s="113">
        <v>101.388888888889</v>
      </c>
      <c r="H61" s="12">
        <v>17247</v>
      </c>
      <c r="I61" s="12">
        <v>0</v>
      </c>
      <c r="J61" s="12">
        <v>1822046</v>
      </c>
      <c r="K61" s="12">
        <v>141577</v>
      </c>
      <c r="L61" s="12">
        <v>8460</v>
      </c>
      <c r="M61" s="12">
        <f t="shared" si="5"/>
        <v>5946.7</v>
      </c>
      <c r="N61" s="12">
        <v>53</v>
      </c>
      <c r="O61" s="12">
        <v>223060</v>
      </c>
      <c r="P61" s="12">
        <v>43245</v>
      </c>
      <c r="Q61" s="12">
        <v>13152</v>
      </c>
      <c r="R61" s="12">
        <v>15</v>
      </c>
      <c r="S61" s="12">
        <v>81</v>
      </c>
      <c r="T61" s="12">
        <v>247</v>
      </c>
      <c r="U61" s="12">
        <v>155</v>
      </c>
      <c r="V61" s="12">
        <v>83</v>
      </c>
      <c r="W61" s="12">
        <v>40</v>
      </c>
      <c r="X61" s="12">
        <v>6</v>
      </c>
      <c r="Y61" s="12">
        <v>0</v>
      </c>
      <c r="Z61" s="12">
        <v>474</v>
      </c>
      <c r="AA61" s="12">
        <v>41</v>
      </c>
      <c r="AB61" s="12">
        <v>4465</v>
      </c>
      <c r="AC61" s="12">
        <v>192</v>
      </c>
      <c r="AD61" s="12">
        <v>1260</v>
      </c>
      <c r="AE61" s="12">
        <v>0</v>
      </c>
      <c r="AF61" s="12">
        <v>0</v>
      </c>
      <c r="AG61" s="12">
        <v>0</v>
      </c>
      <c r="AH61" s="12">
        <v>0</v>
      </c>
      <c r="AI61" s="12">
        <v>0</v>
      </c>
      <c r="AJ61" s="12">
        <v>0</v>
      </c>
      <c r="AK61" s="12">
        <v>6180</v>
      </c>
      <c r="AL61" s="12">
        <v>45</v>
      </c>
      <c r="AM61" s="12">
        <v>1349</v>
      </c>
      <c r="AN61" s="13">
        <f t="shared" si="0"/>
        <v>4778</v>
      </c>
    </row>
    <row r="62" ht="16.5" spans="1:40">
      <c r="A62">
        <f t="shared" si="3"/>
        <v>110</v>
      </c>
      <c r="B62">
        <f t="shared" si="2"/>
        <v>79</v>
      </c>
      <c r="C62" s="112">
        <v>43</v>
      </c>
      <c r="D62" s="113">
        <v>77.7000000000001</v>
      </c>
      <c r="E62" s="113">
        <v>83.8000000000001</v>
      </c>
      <c r="F62" s="113">
        <v>102</v>
      </c>
      <c r="G62" s="113">
        <v>102.361111111111</v>
      </c>
      <c r="H62" s="12">
        <v>17326</v>
      </c>
      <c r="I62" s="12">
        <v>0</v>
      </c>
      <c r="J62" s="12">
        <v>1860081</v>
      </c>
      <c r="K62" s="12">
        <v>143619</v>
      </c>
      <c r="L62" s="12">
        <v>8468</v>
      </c>
      <c r="M62" s="12">
        <f t="shared" si="5"/>
        <v>6056.7</v>
      </c>
      <c r="N62" s="12">
        <v>54</v>
      </c>
      <c r="O62" s="12">
        <v>228239</v>
      </c>
      <c r="P62" s="12">
        <v>44279</v>
      </c>
      <c r="Q62" s="12">
        <v>13454</v>
      </c>
      <c r="R62" s="12">
        <v>15</v>
      </c>
      <c r="S62" s="12">
        <v>82</v>
      </c>
      <c r="T62" s="12">
        <v>253</v>
      </c>
      <c r="U62" s="12">
        <v>159</v>
      </c>
      <c r="V62" s="12">
        <v>86</v>
      </c>
      <c r="W62" s="12">
        <v>42</v>
      </c>
      <c r="X62" s="12">
        <v>6</v>
      </c>
      <c r="Y62" s="12">
        <v>0</v>
      </c>
      <c r="Z62" s="12">
        <v>485</v>
      </c>
      <c r="AA62" s="12">
        <v>42</v>
      </c>
      <c r="AB62" s="12">
        <v>4530</v>
      </c>
      <c r="AC62" s="12">
        <v>195</v>
      </c>
      <c r="AD62" s="12">
        <v>1290</v>
      </c>
      <c r="AE62" s="12">
        <v>0</v>
      </c>
      <c r="AF62" s="12">
        <v>0</v>
      </c>
      <c r="AG62" s="12">
        <v>0</v>
      </c>
      <c r="AH62" s="12">
        <v>0</v>
      </c>
      <c r="AI62" s="12">
        <v>0</v>
      </c>
      <c r="AJ62" s="12">
        <v>0</v>
      </c>
      <c r="AK62" s="12">
        <v>6285</v>
      </c>
      <c r="AL62" s="12">
        <v>45</v>
      </c>
      <c r="AM62" s="12">
        <v>1372</v>
      </c>
      <c r="AN62" s="13">
        <f t="shared" si="0"/>
        <v>4891</v>
      </c>
    </row>
    <row r="63" ht="16.5" spans="1:40">
      <c r="A63">
        <f t="shared" si="3"/>
        <v>110</v>
      </c>
      <c r="B63">
        <f t="shared" si="2"/>
        <v>230</v>
      </c>
      <c r="C63" s="112">
        <v>44</v>
      </c>
      <c r="D63" s="113">
        <v>77.8500000000001</v>
      </c>
      <c r="E63" s="113">
        <v>84.0000000000001</v>
      </c>
      <c r="F63" s="113">
        <v>103</v>
      </c>
      <c r="G63" s="113">
        <v>103.333333333333</v>
      </c>
      <c r="H63" s="12">
        <v>17556</v>
      </c>
      <c r="I63" s="12">
        <v>0</v>
      </c>
      <c r="J63" s="12">
        <v>1924964</v>
      </c>
      <c r="K63" s="12">
        <v>146412</v>
      </c>
      <c r="L63" s="12">
        <v>8477</v>
      </c>
      <c r="M63" s="12">
        <f t="shared" si="5"/>
        <v>6166.7</v>
      </c>
      <c r="N63" s="12">
        <v>54</v>
      </c>
      <c r="O63" s="12">
        <v>233919</v>
      </c>
      <c r="P63" s="12">
        <v>45352</v>
      </c>
      <c r="Q63" s="12">
        <v>13755</v>
      </c>
      <c r="R63" s="12">
        <v>15</v>
      </c>
      <c r="S63" s="12">
        <v>82</v>
      </c>
      <c r="T63" s="12">
        <v>259</v>
      </c>
      <c r="U63" s="12">
        <v>162</v>
      </c>
      <c r="V63" s="12">
        <v>88</v>
      </c>
      <c r="W63" s="12">
        <v>43</v>
      </c>
      <c r="X63" s="12">
        <v>7</v>
      </c>
      <c r="Y63" s="12">
        <v>0</v>
      </c>
      <c r="Z63" s="12">
        <v>495</v>
      </c>
      <c r="AA63" s="12">
        <v>43</v>
      </c>
      <c r="AB63" s="12">
        <v>4596</v>
      </c>
      <c r="AC63" s="12">
        <v>199</v>
      </c>
      <c r="AD63" s="12">
        <v>1320</v>
      </c>
      <c r="AE63" s="12">
        <v>0</v>
      </c>
      <c r="AF63" s="12">
        <v>0</v>
      </c>
      <c r="AG63" s="12">
        <v>0</v>
      </c>
      <c r="AH63" s="12">
        <v>0</v>
      </c>
      <c r="AI63" s="12">
        <v>0</v>
      </c>
      <c r="AJ63" s="12">
        <v>0</v>
      </c>
      <c r="AK63" s="12">
        <v>6420</v>
      </c>
      <c r="AL63" s="12">
        <v>45</v>
      </c>
      <c r="AM63" s="12">
        <v>1401</v>
      </c>
      <c r="AN63" s="13">
        <f t="shared" si="0"/>
        <v>4999</v>
      </c>
    </row>
    <row r="64" ht="16.5" spans="1:40">
      <c r="A64">
        <f t="shared" si="3"/>
        <v>110</v>
      </c>
      <c r="B64">
        <f t="shared" si="2"/>
        <v>79</v>
      </c>
      <c r="C64" s="112">
        <v>45</v>
      </c>
      <c r="D64" s="113">
        <v>78.0000000000001</v>
      </c>
      <c r="E64" s="113">
        <v>84.2000000000001</v>
      </c>
      <c r="F64" s="113">
        <v>104</v>
      </c>
      <c r="G64" s="113">
        <v>104.305555555556</v>
      </c>
      <c r="H64" s="12">
        <v>17635</v>
      </c>
      <c r="I64" s="12">
        <v>0</v>
      </c>
      <c r="J64" s="12">
        <v>1962548</v>
      </c>
      <c r="K64" s="12">
        <v>148454</v>
      </c>
      <c r="L64" s="12">
        <v>8485</v>
      </c>
      <c r="M64" s="12">
        <f t="shared" si="5"/>
        <v>6276.7</v>
      </c>
      <c r="N64" s="12">
        <v>55</v>
      </c>
      <c r="O64" s="12">
        <v>239098</v>
      </c>
      <c r="P64" s="12">
        <v>46386</v>
      </c>
      <c r="Q64" s="12">
        <v>14056</v>
      </c>
      <c r="R64" s="12">
        <v>15</v>
      </c>
      <c r="S64" s="12">
        <v>83</v>
      </c>
      <c r="T64" s="12">
        <v>265</v>
      </c>
      <c r="U64" s="12">
        <v>166</v>
      </c>
      <c r="V64" s="12">
        <v>91</v>
      </c>
      <c r="W64" s="12">
        <v>45</v>
      </c>
      <c r="X64" s="12">
        <v>7</v>
      </c>
      <c r="Y64" s="12">
        <v>0</v>
      </c>
      <c r="Z64" s="12">
        <v>506</v>
      </c>
      <c r="AA64" s="12">
        <v>44</v>
      </c>
      <c r="AB64" s="12">
        <v>4662</v>
      </c>
      <c r="AC64" s="12">
        <v>203</v>
      </c>
      <c r="AD64" s="12">
        <v>1350</v>
      </c>
      <c r="AE64" s="12">
        <v>0</v>
      </c>
      <c r="AF64" s="12">
        <v>0</v>
      </c>
      <c r="AG64" s="12">
        <v>0</v>
      </c>
      <c r="AH64" s="12">
        <v>0</v>
      </c>
      <c r="AI64" s="12">
        <v>0</v>
      </c>
      <c r="AJ64" s="12">
        <v>0</v>
      </c>
      <c r="AK64" s="12">
        <v>6525</v>
      </c>
      <c r="AL64" s="12">
        <v>45</v>
      </c>
      <c r="AM64" s="12">
        <v>1425</v>
      </c>
      <c r="AN64" s="13">
        <f t="shared" si="0"/>
        <v>5112</v>
      </c>
    </row>
    <row r="65" ht="16.5" spans="1:40">
      <c r="A65">
        <f t="shared" si="3"/>
        <v>110</v>
      </c>
      <c r="B65">
        <f t="shared" si="2"/>
        <v>230</v>
      </c>
      <c r="C65" s="112">
        <v>46</v>
      </c>
      <c r="D65" s="113">
        <v>78.1500000000001</v>
      </c>
      <c r="E65" s="113">
        <v>84.4000000000001</v>
      </c>
      <c r="F65" s="113">
        <v>105</v>
      </c>
      <c r="G65" s="113">
        <v>105.277777777778</v>
      </c>
      <c r="H65" s="12">
        <v>17865</v>
      </c>
      <c r="I65" s="12">
        <v>0</v>
      </c>
      <c r="J65" s="12">
        <v>2002481</v>
      </c>
      <c r="K65" s="12">
        <v>151246</v>
      </c>
      <c r="L65" s="12">
        <v>8494</v>
      </c>
      <c r="M65" s="12">
        <f t="shared" si="5"/>
        <v>6386.7</v>
      </c>
      <c r="N65" s="12">
        <v>57</v>
      </c>
      <c r="O65" s="12">
        <v>244778</v>
      </c>
      <c r="P65" s="12">
        <v>47460</v>
      </c>
      <c r="Q65" s="12">
        <v>14357</v>
      </c>
      <c r="R65" s="12">
        <v>15</v>
      </c>
      <c r="S65" s="12">
        <v>83</v>
      </c>
      <c r="T65" s="12">
        <v>271</v>
      </c>
      <c r="U65" s="12">
        <v>170</v>
      </c>
      <c r="V65" s="12">
        <v>93</v>
      </c>
      <c r="W65" s="12">
        <v>47</v>
      </c>
      <c r="X65" s="12">
        <v>8</v>
      </c>
      <c r="Y65" s="12">
        <v>0</v>
      </c>
      <c r="Z65" s="12">
        <v>517</v>
      </c>
      <c r="AA65" s="12">
        <v>44</v>
      </c>
      <c r="AB65" s="12">
        <v>4727</v>
      </c>
      <c r="AC65" s="12">
        <v>206</v>
      </c>
      <c r="AD65" s="12">
        <v>1380</v>
      </c>
      <c r="AE65" s="12">
        <v>0</v>
      </c>
      <c r="AF65" s="12">
        <v>0</v>
      </c>
      <c r="AG65" s="12">
        <v>0</v>
      </c>
      <c r="AH65" s="12">
        <v>0</v>
      </c>
      <c r="AI65" s="12">
        <v>0</v>
      </c>
      <c r="AJ65" s="12">
        <v>0</v>
      </c>
      <c r="AK65" s="12">
        <v>6630</v>
      </c>
      <c r="AL65" s="12">
        <v>48</v>
      </c>
      <c r="AM65" s="12">
        <v>1454</v>
      </c>
      <c r="AN65" s="13">
        <f t="shared" si="0"/>
        <v>5197</v>
      </c>
    </row>
    <row r="66" ht="16.5" spans="1:40">
      <c r="A66">
        <f t="shared" si="3"/>
        <v>110</v>
      </c>
      <c r="B66">
        <f t="shared" si="2"/>
        <v>80</v>
      </c>
      <c r="C66" s="112">
        <v>47</v>
      </c>
      <c r="D66" s="113">
        <v>78.3000000000002</v>
      </c>
      <c r="E66" s="113">
        <v>84.6000000000001</v>
      </c>
      <c r="F66" s="113">
        <v>106</v>
      </c>
      <c r="G66" s="113">
        <v>106.25</v>
      </c>
      <c r="H66" s="12">
        <v>17945</v>
      </c>
      <c r="I66" s="12">
        <v>0</v>
      </c>
      <c r="J66" s="12">
        <v>2040613</v>
      </c>
      <c r="K66" s="12">
        <v>153288</v>
      </c>
      <c r="L66" s="12">
        <v>8502</v>
      </c>
      <c r="M66" s="12">
        <f t="shared" si="5"/>
        <v>6496.7</v>
      </c>
      <c r="N66" s="12">
        <v>58</v>
      </c>
      <c r="O66" s="12">
        <v>249957</v>
      </c>
      <c r="P66" s="12">
        <v>48493</v>
      </c>
      <c r="Q66" s="12">
        <v>14659</v>
      </c>
      <c r="R66" s="12">
        <v>15</v>
      </c>
      <c r="S66" s="12">
        <v>84</v>
      </c>
      <c r="T66" s="12">
        <v>277</v>
      </c>
      <c r="U66" s="12">
        <v>174</v>
      </c>
      <c r="V66" s="12">
        <v>95</v>
      </c>
      <c r="W66" s="12">
        <v>48</v>
      </c>
      <c r="X66" s="12">
        <v>9</v>
      </c>
      <c r="Y66" s="12">
        <v>0</v>
      </c>
      <c r="Z66" s="12">
        <v>528</v>
      </c>
      <c r="AA66" s="12">
        <v>45</v>
      </c>
      <c r="AB66" s="12">
        <v>4793</v>
      </c>
      <c r="AC66" s="12">
        <v>210</v>
      </c>
      <c r="AD66" s="12">
        <v>1410</v>
      </c>
      <c r="AE66" s="12">
        <v>0</v>
      </c>
      <c r="AF66" s="12">
        <v>0</v>
      </c>
      <c r="AG66" s="12">
        <v>0</v>
      </c>
      <c r="AH66" s="12">
        <v>0</v>
      </c>
      <c r="AI66" s="12">
        <v>0</v>
      </c>
      <c r="AJ66" s="12">
        <v>0</v>
      </c>
      <c r="AK66" s="12">
        <v>6735</v>
      </c>
      <c r="AL66" s="12">
        <v>48</v>
      </c>
      <c r="AM66" s="12">
        <v>1478</v>
      </c>
      <c r="AN66" s="13">
        <f t="shared" si="0"/>
        <v>5310</v>
      </c>
    </row>
    <row r="67" ht="16.5" spans="1:40">
      <c r="A67">
        <f t="shared" si="3"/>
        <v>110</v>
      </c>
      <c r="B67">
        <f t="shared" si="2"/>
        <v>229</v>
      </c>
      <c r="C67" s="112">
        <v>48</v>
      </c>
      <c r="D67" s="113">
        <v>78.4500000000002</v>
      </c>
      <c r="E67" s="113">
        <v>84.8000000000001</v>
      </c>
      <c r="F67" s="113">
        <v>107</v>
      </c>
      <c r="G67" s="113">
        <v>107.222222222222</v>
      </c>
      <c r="H67" s="12">
        <v>18174</v>
      </c>
      <c r="I67" s="12">
        <v>0</v>
      </c>
      <c r="J67" s="12">
        <v>2082095</v>
      </c>
      <c r="K67" s="12">
        <v>156080</v>
      </c>
      <c r="L67" s="12">
        <v>8511</v>
      </c>
      <c r="M67" s="12">
        <f t="shared" si="5"/>
        <v>6606.7</v>
      </c>
      <c r="N67" s="12">
        <v>59</v>
      </c>
      <c r="O67" s="12">
        <v>255678</v>
      </c>
      <c r="P67" s="12">
        <v>49567</v>
      </c>
      <c r="Q67" s="12">
        <v>14960</v>
      </c>
      <c r="R67" s="12">
        <v>15</v>
      </c>
      <c r="S67" s="12">
        <v>84</v>
      </c>
      <c r="T67" s="12">
        <v>283</v>
      </c>
      <c r="U67" s="12">
        <v>177</v>
      </c>
      <c r="V67" s="12">
        <v>98</v>
      </c>
      <c r="W67" s="12">
        <v>50</v>
      </c>
      <c r="X67" s="12">
        <v>9</v>
      </c>
      <c r="Y67" s="12">
        <v>0</v>
      </c>
      <c r="Z67" s="12">
        <v>538</v>
      </c>
      <c r="AA67" s="12">
        <v>46</v>
      </c>
      <c r="AB67" s="12">
        <v>4859</v>
      </c>
      <c r="AC67" s="12">
        <v>213</v>
      </c>
      <c r="AD67" s="12">
        <v>1440</v>
      </c>
      <c r="AE67" s="12">
        <v>0</v>
      </c>
      <c r="AF67" s="12">
        <v>0</v>
      </c>
      <c r="AG67" s="12">
        <v>0</v>
      </c>
      <c r="AH67" s="12">
        <v>0</v>
      </c>
      <c r="AI67" s="12">
        <v>0</v>
      </c>
      <c r="AJ67" s="12">
        <v>0</v>
      </c>
      <c r="AK67" s="12">
        <v>6870</v>
      </c>
      <c r="AL67" s="12">
        <v>48</v>
      </c>
      <c r="AM67" s="12">
        <v>1507</v>
      </c>
      <c r="AN67" s="13">
        <f t="shared" si="0"/>
        <v>5418</v>
      </c>
    </row>
    <row r="68" ht="16.5" spans="1:40">
      <c r="A68">
        <f t="shared" si="3"/>
        <v>110</v>
      </c>
      <c r="B68">
        <f t="shared" si="2"/>
        <v>80</v>
      </c>
      <c r="C68" s="112">
        <v>49</v>
      </c>
      <c r="D68" s="113">
        <v>78.6000000000002</v>
      </c>
      <c r="E68" s="113">
        <v>85.0000000000001</v>
      </c>
      <c r="F68" s="113">
        <v>108</v>
      </c>
      <c r="G68" s="113">
        <v>108.194444444444</v>
      </c>
      <c r="H68" s="12">
        <v>18254</v>
      </c>
      <c r="I68" s="12">
        <v>0</v>
      </c>
      <c r="J68" s="12">
        <v>2120777</v>
      </c>
      <c r="K68" s="12">
        <v>158122</v>
      </c>
      <c r="L68" s="12">
        <v>8520</v>
      </c>
      <c r="M68" s="12">
        <f t="shared" si="5"/>
        <v>6716.7</v>
      </c>
      <c r="N68" s="12">
        <v>60</v>
      </c>
      <c r="O68" s="12">
        <v>260899</v>
      </c>
      <c r="P68" s="12">
        <v>50600</v>
      </c>
      <c r="Q68" s="12">
        <v>15261</v>
      </c>
      <c r="R68" s="12">
        <v>15</v>
      </c>
      <c r="S68" s="12">
        <v>85</v>
      </c>
      <c r="T68" s="12">
        <v>289</v>
      </c>
      <c r="U68" s="12">
        <v>181</v>
      </c>
      <c r="V68" s="12">
        <v>100</v>
      </c>
      <c r="W68" s="12">
        <v>52</v>
      </c>
      <c r="X68" s="12">
        <v>10</v>
      </c>
      <c r="Y68" s="12">
        <v>0</v>
      </c>
      <c r="Z68" s="12">
        <v>548</v>
      </c>
      <c r="AA68" s="12">
        <v>47</v>
      </c>
      <c r="AB68" s="12">
        <v>4925</v>
      </c>
      <c r="AC68" s="12">
        <v>217</v>
      </c>
      <c r="AD68" s="12">
        <v>1470</v>
      </c>
      <c r="AE68" s="12">
        <v>0</v>
      </c>
      <c r="AF68" s="12">
        <v>0</v>
      </c>
      <c r="AG68" s="12">
        <v>0</v>
      </c>
      <c r="AH68" s="12">
        <v>0</v>
      </c>
      <c r="AI68" s="12">
        <v>0</v>
      </c>
      <c r="AJ68" s="12">
        <v>0</v>
      </c>
      <c r="AK68" s="12">
        <v>6975</v>
      </c>
      <c r="AL68" s="12">
        <v>48</v>
      </c>
      <c r="AM68" s="12">
        <v>1531</v>
      </c>
      <c r="AN68" s="13">
        <f t="shared" si="0"/>
        <v>5526</v>
      </c>
    </row>
    <row r="69" ht="16.5" spans="1:40">
      <c r="A69">
        <f t="shared" si="3"/>
        <v>110</v>
      </c>
      <c r="B69">
        <f t="shared" si="2"/>
        <v>230</v>
      </c>
      <c r="C69" s="112">
        <v>50</v>
      </c>
      <c r="D69" s="113">
        <v>78.7500000000002</v>
      </c>
      <c r="E69" s="113">
        <v>85.2000000000001</v>
      </c>
      <c r="F69" s="113">
        <v>108.35</v>
      </c>
      <c r="G69" s="113">
        <v>109.166666666667</v>
      </c>
      <c r="H69" s="12">
        <v>18484</v>
      </c>
      <c r="I69" s="12">
        <v>0</v>
      </c>
      <c r="J69" s="12">
        <v>2161807</v>
      </c>
      <c r="K69" s="12">
        <v>160915</v>
      </c>
      <c r="L69" s="12">
        <v>8528</v>
      </c>
      <c r="M69" s="12">
        <f t="shared" si="5"/>
        <v>6826.7</v>
      </c>
      <c r="N69" s="12">
        <v>61</v>
      </c>
      <c r="O69" s="12">
        <v>266620</v>
      </c>
      <c r="P69" s="12">
        <v>51674</v>
      </c>
      <c r="Q69" s="12">
        <v>15563</v>
      </c>
      <c r="R69" s="12">
        <v>15</v>
      </c>
      <c r="S69" s="12">
        <v>85</v>
      </c>
      <c r="T69" s="12">
        <v>295</v>
      </c>
      <c r="U69" s="12">
        <v>185</v>
      </c>
      <c r="V69" s="12">
        <v>103</v>
      </c>
      <c r="W69" s="12">
        <v>54</v>
      </c>
      <c r="X69" s="12">
        <v>10</v>
      </c>
      <c r="Y69" s="12">
        <v>0</v>
      </c>
      <c r="Z69" s="12">
        <v>559</v>
      </c>
      <c r="AA69" s="12">
        <v>48</v>
      </c>
      <c r="AB69" s="12">
        <v>4990</v>
      </c>
      <c r="AC69" s="12">
        <v>220</v>
      </c>
      <c r="AD69" s="12">
        <v>1500</v>
      </c>
      <c r="AE69" s="12">
        <v>0</v>
      </c>
      <c r="AF69" s="12">
        <v>0</v>
      </c>
      <c r="AG69" s="12">
        <v>0</v>
      </c>
      <c r="AH69" s="12">
        <v>0</v>
      </c>
      <c r="AI69" s="12">
        <v>0</v>
      </c>
      <c r="AJ69" s="12">
        <v>0</v>
      </c>
      <c r="AK69" s="12">
        <v>7110</v>
      </c>
      <c r="AL69" s="12">
        <v>48</v>
      </c>
      <c r="AM69" s="12">
        <v>1559</v>
      </c>
      <c r="AN69" s="13">
        <f t="shared" si="0"/>
        <v>5639</v>
      </c>
    </row>
    <row r="70" ht="16.5" spans="1:40">
      <c r="A70">
        <f t="shared" si="3"/>
        <v>110</v>
      </c>
      <c r="B70">
        <f t="shared" si="2"/>
        <v>79</v>
      </c>
      <c r="C70" s="112">
        <v>51</v>
      </c>
      <c r="D70" s="113">
        <v>78.9000000000002</v>
      </c>
      <c r="E70" s="113">
        <v>85.4000000000001</v>
      </c>
      <c r="F70" s="113">
        <v>108.7</v>
      </c>
      <c r="G70" s="113">
        <v>110.138888888889</v>
      </c>
      <c r="H70" s="12">
        <v>18563</v>
      </c>
      <c r="I70" s="12">
        <v>0</v>
      </c>
      <c r="J70" s="12">
        <v>2200538</v>
      </c>
      <c r="K70" s="12">
        <v>162957</v>
      </c>
      <c r="L70" s="12">
        <v>8537</v>
      </c>
      <c r="M70" s="12">
        <f t="shared" si="5"/>
        <v>6936.7</v>
      </c>
      <c r="N70" s="12">
        <v>62</v>
      </c>
      <c r="O70" s="12">
        <v>271840</v>
      </c>
      <c r="P70" s="12">
        <v>52708</v>
      </c>
      <c r="Q70" s="12">
        <v>15864</v>
      </c>
      <c r="R70" s="12">
        <v>15</v>
      </c>
      <c r="S70" s="12">
        <v>86</v>
      </c>
      <c r="T70" s="12">
        <v>301</v>
      </c>
      <c r="U70" s="12">
        <v>189</v>
      </c>
      <c r="V70" s="12">
        <v>105</v>
      </c>
      <c r="W70" s="12">
        <v>55</v>
      </c>
      <c r="X70" s="12">
        <v>11</v>
      </c>
      <c r="Y70" s="12">
        <v>0</v>
      </c>
      <c r="Z70" s="12">
        <v>569</v>
      </c>
      <c r="AA70" s="12">
        <v>49</v>
      </c>
      <c r="AB70" s="12">
        <v>5056</v>
      </c>
      <c r="AC70" s="12">
        <v>224</v>
      </c>
      <c r="AD70" s="12">
        <v>1530</v>
      </c>
      <c r="AE70" s="12">
        <v>0</v>
      </c>
      <c r="AF70" s="12">
        <v>0</v>
      </c>
      <c r="AG70" s="12">
        <v>0</v>
      </c>
      <c r="AH70" s="12">
        <v>0</v>
      </c>
      <c r="AI70" s="12">
        <v>0</v>
      </c>
      <c r="AJ70" s="12">
        <v>0</v>
      </c>
      <c r="AK70" s="12">
        <v>7215</v>
      </c>
      <c r="AL70" s="12">
        <v>48</v>
      </c>
      <c r="AM70" s="12">
        <v>1583</v>
      </c>
      <c r="AN70" s="13">
        <f t="shared" si="0"/>
        <v>5747</v>
      </c>
    </row>
    <row r="71" ht="16.5" spans="1:40">
      <c r="A71">
        <f t="shared" si="3"/>
        <v>110</v>
      </c>
      <c r="B71">
        <f t="shared" si="2"/>
        <v>230</v>
      </c>
      <c r="C71" s="112">
        <v>52</v>
      </c>
      <c r="D71" s="113">
        <v>79.0500000000002</v>
      </c>
      <c r="E71" s="113">
        <v>85.6000000000001</v>
      </c>
      <c r="F71" s="113">
        <v>109.05</v>
      </c>
      <c r="G71" s="113">
        <v>111.111111111111</v>
      </c>
      <c r="H71" s="12">
        <v>18793</v>
      </c>
      <c r="I71" s="12">
        <v>0</v>
      </c>
      <c r="J71" s="12">
        <v>2268118</v>
      </c>
      <c r="K71" s="12">
        <v>165749</v>
      </c>
      <c r="L71" s="12">
        <v>8545</v>
      </c>
      <c r="M71" s="12">
        <f t="shared" si="5"/>
        <v>7046.7</v>
      </c>
      <c r="N71" s="12">
        <v>63</v>
      </c>
      <c r="O71" s="12">
        <v>277561</v>
      </c>
      <c r="P71" s="12">
        <v>53781</v>
      </c>
      <c r="Q71" s="12">
        <v>16165</v>
      </c>
      <c r="R71" s="12">
        <v>15</v>
      </c>
      <c r="S71" s="12">
        <v>86</v>
      </c>
      <c r="T71" s="12">
        <v>307</v>
      </c>
      <c r="U71" s="12">
        <v>192</v>
      </c>
      <c r="V71" s="12">
        <v>107</v>
      </c>
      <c r="W71" s="12">
        <v>57</v>
      </c>
      <c r="X71" s="12">
        <v>12</v>
      </c>
      <c r="Y71" s="12">
        <v>0</v>
      </c>
      <c r="Z71" s="12">
        <v>580</v>
      </c>
      <c r="AA71" s="12">
        <v>49</v>
      </c>
      <c r="AB71" s="12">
        <v>5122</v>
      </c>
      <c r="AC71" s="12">
        <v>227</v>
      </c>
      <c r="AD71" s="12">
        <v>1560</v>
      </c>
      <c r="AE71" s="12">
        <v>0</v>
      </c>
      <c r="AF71" s="12">
        <v>0</v>
      </c>
      <c r="AG71" s="12">
        <v>0</v>
      </c>
      <c r="AH71" s="12">
        <v>0</v>
      </c>
      <c r="AI71" s="12">
        <v>0</v>
      </c>
      <c r="AJ71" s="12">
        <v>0</v>
      </c>
      <c r="AK71" s="12">
        <v>7350</v>
      </c>
      <c r="AL71" s="12">
        <v>48</v>
      </c>
      <c r="AM71" s="12">
        <v>1612</v>
      </c>
      <c r="AN71" s="13">
        <f t="shared" si="0"/>
        <v>5832</v>
      </c>
    </row>
    <row r="72" ht="16.5" spans="1:40">
      <c r="A72">
        <f t="shared" si="3"/>
        <v>110</v>
      </c>
      <c r="B72">
        <f t="shared" si="2"/>
        <v>80</v>
      </c>
      <c r="C72" s="112">
        <v>53</v>
      </c>
      <c r="D72" s="113">
        <v>79.2000000000002</v>
      </c>
      <c r="E72" s="113">
        <v>85.8000000000001</v>
      </c>
      <c r="F72" s="113">
        <v>109.4</v>
      </c>
      <c r="G72" s="113">
        <v>112.083333333333</v>
      </c>
      <c r="H72" s="12">
        <v>18873</v>
      </c>
      <c r="I72" s="12">
        <v>0</v>
      </c>
      <c r="J72" s="12">
        <v>2307397</v>
      </c>
      <c r="K72" s="12">
        <v>167791</v>
      </c>
      <c r="L72" s="12">
        <v>8554</v>
      </c>
      <c r="M72" s="12">
        <f t="shared" si="5"/>
        <v>7156.7</v>
      </c>
      <c r="N72" s="12">
        <v>63</v>
      </c>
      <c r="O72" s="12">
        <v>282782</v>
      </c>
      <c r="P72" s="12">
        <v>54815</v>
      </c>
      <c r="Q72" s="12">
        <v>16466</v>
      </c>
      <c r="R72" s="12">
        <v>15</v>
      </c>
      <c r="S72" s="12">
        <v>87</v>
      </c>
      <c r="T72" s="12">
        <v>313</v>
      </c>
      <c r="U72" s="12">
        <v>196</v>
      </c>
      <c r="V72" s="12">
        <v>110</v>
      </c>
      <c r="W72" s="12">
        <v>59</v>
      </c>
      <c r="X72" s="12">
        <v>12</v>
      </c>
      <c r="Y72" s="12">
        <v>0</v>
      </c>
      <c r="Z72" s="12">
        <v>590</v>
      </c>
      <c r="AA72" s="12">
        <v>50</v>
      </c>
      <c r="AB72" s="12">
        <v>5187</v>
      </c>
      <c r="AC72" s="12">
        <v>231</v>
      </c>
      <c r="AD72" s="12">
        <v>1590</v>
      </c>
      <c r="AE72" s="12">
        <v>0</v>
      </c>
      <c r="AF72" s="12">
        <v>0</v>
      </c>
      <c r="AG72" s="12">
        <v>0</v>
      </c>
      <c r="AH72" s="12">
        <v>0</v>
      </c>
      <c r="AI72" s="12">
        <v>0</v>
      </c>
      <c r="AJ72" s="12">
        <v>0</v>
      </c>
      <c r="AK72" s="12">
        <v>7455</v>
      </c>
      <c r="AL72" s="12">
        <v>48</v>
      </c>
      <c r="AM72" s="12">
        <v>1636</v>
      </c>
      <c r="AN72" s="13">
        <f t="shared" si="0"/>
        <v>5940</v>
      </c>
    </row>
    <row r="73" ht="16.5" spans="1:40">
      <c r="A73">
        <f t="shared" si="3"/>
        <v>110</v>
      </c>
      <c r="B73">
        <f t="shared" si="2"/>
        <v>229</v>
      </c>
      <c r="C73" s="112">
        <v>54</v>
      </c>
      <c r="D73" s="113">
        <v>79.3500000000002</v>
      </c>
      <c r="E73" s="113">
        <v>86.0000000000001</v>
      </c>
      <c r="F73" s="113">
        <v>109.75</v>
      </c>
      <c r="G73" s="113">
        <v>113.055555555556</v>
      </c>
      <c r="H73" s="12">
        <v>19102</v>
      </c>
      <c r="I73" s="12">
        <v>0</v>
      </c>
      <c r="J73" s="12">
        <v>2348526</v>
      </c>
      <c r="K73" s="12">
        <v>170583</v>
      </c>
      <c r="L73" s="12">
        <v>8562</v>
      </c>
      <c r="M73" s="12">
        <f t="shared" si="5"/>
        <v>7266.7</v>
      </c>
      <c r="N73" s="12">
        <v>64</v>
      </c>
      <c r="O73" s="12">
        <v>288503</v>
      </c>
      <c r="P73" s="12">
        <v>55888</v>
      </c>
      <c r="Q73" s="12">
        <v>16768</v>
      </c>
      <c r="R73" s="12">
        <v>15</v>
      </c>
      <c r="S73" s="12">
        <v>87</v>
      </c>
      <c r="T73" s="12">
        <v>319</v>
      </c>
      <c r="U73" s="12">
        <v>200</v>
      </c>
      <c r="V73" s="12">
        <v>112</v>
      </c>
      <c r="W73" s="12">
        <v>60</v>
      </c>
      <c r="X73" s="12">
        <v>13</v>
      </c>
      <c r="Y73" s="12">
        <v>0</v>
      </c>
      <c r="Z73" s="12">
        <v>601</v>
      </c>
      <c r="AA73" s="12">
        <v>51</v>
      </c>
      <c r="AB73" s="12">
        <v>5253</v>
      </c>
      <c r="AC73" s="12">
        <v>234</v>
      </c>
      <c r="AD73" s="12">
        <v>1620</v>
      </c>
      <c r="AE73" s="12">
        <v>0</v>
      </c>
      <c r="AF73" s="12">
        <v>0</v>
      </c>
      <c r="AG73" s="12">
        <v>0</v>
      </c>
      <c r="AH73" s="12">
        <v>0</v>
      </c>
      <c r="AI73" s="12">
        <v>0</v>
      </c>
      <c r="AJ73" s="12">
        <v>0</v>
      </c>
      <c r="AK73" s="12">
        <v>7590</v>
      </c>
      <c r="AL73" s="12">
        <v>48</v>
      </c>
      <c r="AM73" s="12">
        <v>1665</v>
      </c>
      <c r="AN73" s="13">
        <f t="shared" si="0"/>
        <v>6053</v>
      </c>
    </row>
    <row r="74" ht="16.5" spans="1:40">
      <c r="A74">
        <f t="shared" si="3"/>
        <v>110</v>
      </c>
      <c r="B74">
        <f t="shared" si="2"/>
        <v>80</v>
      </c>
      <c r="C74" s="112">
        <v>55</v>
      </c>
      <c r="D74" s="113">
        <v>79.5000000000002</v>
      </c>
      <c r="E74" s="113">
        <v>86.2000000000001</v>
      </c>
      <c r="F74" s="113">
        <v>110.1</v>
      </c>
      <c r="G74" s="113">
        <v>114.027777777778</v>
      </c>
      <c r="H74" s="12">
        <v>19182</v>
      </c>
      <c r="I74" s="12">
        <v>0</v>
      </c>
      <c r="J74" s="12">
        <v>2387855</v>
      </c>
      <c r="K74" s="12">
        <v>172626</v>
      </c>
      <c r="L74" s="12">
        <v>8571</v>
      </c>
      <c r="M74" s="12">
        <f t="shared" si="5"/>
        <v>7376.7</v>
      </c>
      <c r="N74" s="12">
        <v>65</v>
      </c>
      <c r="O74" s="12">
        <v>293724</v>
      </c>
      <c r="P74" s="12">
        <v>56922</v>
      </c>
      <c r="Q74" s="12">
        <v>17069</v>
      </c>
      <c r="R74" s="12">
        <v>15</v>
      </c>
      <c r="S74" s="12">
        <v>88</v>
      </c>
      <c r="T74" s="12">
        <v>325</v>
      </c>
      <c r="U74" s="12">
        <v>204</v>
      </c>
      <c r="V74" s="12">
        <v>115</v>
      </c>
      <c r="W74" s="12">
        <v>62</v>
      </c>
      <c r="X74" s="12">
        <v>13</v>
      </c>
      <c r="Y74" s="12">
        <v>0</v>
      </c>
      <c r="Z74" s="12">
        <v>611</v>
      </c>
      <c r="AA74" s="12">
        <v>52</v>
      </c>
      <c r="AB74" s="12">
        <v>5319</v>
      </c>
      <c r="AC74" s="12">
        <v>238</v>
      </c>
      <c r="AD74" s="12">
        <v>1650</v>
      </c>
      <c r="AE74" s="12">
        <v>0</v>
      </c>
      <c r="AF74" s="12">
        <v>0</v>
      </c>
      <c r="AG74" s="12">
        <v>0</v>
      </c>
      <c r="AH74" s="12">
        <v>0</v>
      </c>
      <c r="AI74" s="12">
        <v>0</v>
      </c>
      <c r="AJ74" s="12">
        <v>0</v>
      </c>
      <c r="AK74" s="12">
        <v>7695</v>
      </c>
      <c r="AL74" s="12">
        <v>48</v>
      </c>
      <c r="AM74" s="12">
        <v>1689</v>
      </c>
      <c r="AN74" s="13">
        <f t="shared" si="0"/>
        <v>6161</v>
      </c>
    </row>
    <row r="75" ht="16.5" spans="1:40">
      <c r="A75">
        <f t="shared" si="3"/>
        <v>110</v>
      </c>
      <c r="B75">
        <f t="shared" si="2"/>
        <v>230</v>
      </c>
      <c r="C75" s="112">
        <v>56</v>
      </c>
      <c r="D75" s="113">
        <v>79.6500000000002</v>
      </c>
      <c r="E75" s="113">
        <v>86.4000000000001</v>
      </c>
      <c r="F75" s="113">
        <v>110.45</v>
      </c>
      <c r="G75" s="113">
        <v>115</v>
      </c>
      <c r="H75" s="12">
        <v>19412</v>
      </c>
      <c r="I75" s="12">
        <v>0</v>
      </c>
      <c r="J75" s="12">
        <v>2431032</v>
      </c>
      <c r="K75" s="12">
        <v>175418</v>
      </c>
      <c r="L75" s="12">
        <v>8580</v>
      </c>
      <c r="M75" s="12">
        <f t="shared" si="5"/>
        <v>7486.7</v>
      </c>
      <c r="N75" s="12">
        <v>67</v>
      </c>
      <c r="O75" s="12">
        <v>299486</v>
      </c>
      <c r="P75" s="12">
        <v>57996</v>
      </c>
      <c r="Q75" s="12">
        <v>17370</v>
      </c>
      <c r="R75" s="12">
        <v>15</v>
      </c>
      <c r="S75" s="12">
        <v>88</v>
      </c>
      <c r="T75" s="12">
        <v>331</v>
      </c>
      <c r="U75" s="12">
        <v>207</v>
      </c>
      <c r="V75" s="12">
        <v>117</v>
      </c>
      <c r="W75" s="12">
        <v>64</v>
      </c>
      <c r="X75" s="12">
        <v>14</v>
      </c>
      <c r="Y75" s="12">
        <v>0</v>
      </c>
      <c r="Z75" s="12">
        <v>623</v>
      </c>
      <c r="AA75" s="12">
        <v>53</v>
      </c>
      <c r="AB75" s="12">
        <v>5385</v>
      </c>
      <c r="AC75" s="12">
        <v>242</v>
      </c>
      <c r="AD75" s="12">
        <v>1680</v>
      </c>
      <c r="AE75" s="12">
        <v>0</v>
      </c>
      <c r="AF75" s="12">
        <v>0</v>
      </c>
      <c r="AG75" s="12">
        <v>0</v>
      </c>
      <c r="AH75" s="12">
        <v>0</v>
      </c>
      <c r="AI75" s="12">
        <v>0</v>
      </c>
      <c r="AJ75" s="12">
        <v>0</v>
      </c>
      <c r="AK75" s="12">
        <v>7800</v>
      </c>
      <c r="AL75" s="12">
        <v>51</v>
      </c>
      <c r="AM75" s="12">
        <v>1718</v>
      </c>
      <c r="AN75" s="13">
        <f t="shared" si="0"/>
        <v>6279</v>
      </c>
    </row>
    <row r="76" ht="16.5" spans="1:40">
      <c r="A76">
        <f t="shared" si="3"/>
        <v>110</v>
      </c>
      <c r="B76">
        <f t="shared" si="2"/>
        <v>79</v>
      </c>
      <c r="C76" s="112">
        <v>57</v>
      </c>
      <c r="D76" s="113">
        <v>79.8000000000002</v>
      </c>
      <c r="E76" s="113">
        <v>86.6000000000001</v>
      </c>
      <c r="F76" s="113">
        <v>110.8</v>
      </c>
      <c r="G76" s="113">
        <v>116</v>
      </c>
      <c r="H76" s="12">
        <v>19491</v>
      </c>
      <c r="I76" s="12">
        <v>0</v>
      </c>
      <c r="J76" s="12">
        <v>2471410</v>
      </c>
      <c r="K76" s="12">
        <v>177460</v>
      </c>
      <c r="L76" s="12">
        <v>8588</v>
      </c>
      <c r="M76" s="12">
        <f t="shared" si="5"/>
        <v>7596.7</v>
      </c>
      <c r="N76" s="12">
        <v>68</v>
      </c>
      <c r="O76" s="12">
        <v>304748</v>
      </c>
      <c r="P76" s="12">
        <v>59029</v>
      </c>
      <c r="Q76" s="12">
        <v>17671</v>
      </c>
      <c r="R76" s="12">
        <v>15</v>
      </c>
      <c r="S76" s="12">
        <v>89</v>
      </c>
      <c r="T76" s="12">
        <v>337</v>
      </c>
      <c r="U76" s="12">
        <v>211</v>
      </c>
      <c r="V76" s="12">
        <v>119</v>
      </c>
      <c r="W76" s="12">
        <v>66</v>
      </c>
      <c r="X76" s="12">
        <v>15</v>
      </c>
      <c r="Y76" s="12">
        <v>0</v>
      </c>
      <c r="Z76" s="12">
        <v>633</v>
      </c>
      <c r="AA76" s="12">
        <v>54</v>
      </c>
      <c r="AB76" s="12">
        <v>5450</v>
      </c>
      <c r="AC76" s="12">
        <v>245</v>
      </c>
      <c r="AD76" s="12">
        <v>1710</v>
      </c>
      <c r="AE76" s="12">
        <v>0</v>
      </c>
      <c r="AF76" s="12">
        <v>0</v>
      </c>
      <c r="AG76" s="12">
        <v>0</v>
      </c>
      <c r="AH76" s="12">
        <v>0</v>
      </c>
      <c r="AI76" s="12">
        <v>0</v>
      </c>
      <c r="AJ76" s="12">
        <v>0</v>
      </c>
      <c r="AK76" s="12">
        <v>7905</v>
      </c>
      <c r="AL76" s="12">
        <v>51</v>
      </c>
      <c r="AM76" s="12">
        <v>1741</v>
      </c>
      <c r="AN76" s="13">
        <f t="shared" si="0"/>
        <v>6387</v>
      </c>
    </row>
    <row r="77" ht="16.5" spans="1:40">
      <c r="A77">
        <f t="shared" si="3"/>
        <v>110</v>
      </c>
      <c r="B77">
        <f t="shared" si="2"/>
        <v>230</v>
      </c>
      <c r="C77" s="112">
        <v>58</v>
      </c>
      <c r="D77" s="113">
        <v>79.9500000000002</v>
      </c>
      <c r="E77" s="113">
        <v>86.8000000000001</v>
      </c>
      <c r="F77" s="113">
        <v>111.15</v>
      </c>
      <c r="G77" s="113">
        <v>117</v>
      </c>
      <c r="H77" s="12">
        <v>19721</v>
      </c>
      <c r="I77" s="12">
        <v>0</v>
      </c>
      <c r="J77" s="12">
        <v>2522257</v>
      </c>
      <c r="K77" s="12">
        <v>180252</v>
      </c>
      <c r="L77" s="12">
        <v>8597</v>
      </c>
      <c r="M77" s="12">
        <f t="shared" si="5"/>
        <v>7706.7</v>
      </c>
      <c r="N77" s="12">
        <v>69</v>
      </c>
      <c r="O77" s="12">
        <v>310511</v>
      </c>
      <c r="P77" s="12">
        <v>60103</v>
      </c>
      <c r="Q77" s="12">
        <v>17973</v>
      </c>
      <c r="R77" s="12">
        <v>15</v>
      </c>
      <c r="S77" s="12">
        <v>89</v>
      </c>
      <c r="T77" s="12">
        <v>342</v>
      </c>
      <c r="U77" s="12">
        <v>216</v>
      </c>
      <c r="V77" s="12">
        <v>122</v>
      </c>
      <c r="W77" s="12">
        <v>68</v>
      </c>
      <c r="X77" s="12">
        <v>15</v>
      </c>
      <c r="Y77" s="12">
        <v>0</v>
      </c>
      <c r="Z77" s="12">
        <v>643</v>
      </c>
      <c r="AA77" s="12">
        <v>56</v>
      </c>
      <c r="AB77" s="12">
        <v>5516</v>
      </c>
      <c r="AC77" s="12">
        <v>249</v>
      </c>
      <c r="AD77" s="12">
        <v>1740</v>
      </c>
      <c r="AE77" s="12">
        <v>0</v>
      </c>
      <c r="AF77" s="12">
        <v>0</v>
      </c>
      <c r="AG77" s="12">
        <v>0</v>
      </c>
      <c r="AH77" s="12">
        <v>0</v>
      </c>
      <c r="AI77" s="12">
        <v>0</v>
      </c>
      <c r="AJ77" s="12">
        <v>0</v>
      </c>
      <c r="AK77" s="12">
        <v>8040</v>
      </c>
      <c r="AL77" s="12">
        <v>51</v>
      </c>
      <c r="AM77" s="12">
        <v>1770</v>
      </c>
      <c r="AN77" s="13">
        <f t="shared" si="0"/>
        <v>6523</v>
      </c>
    </row>
    <row r="78" ht="16.5" spans="1:40">
      <c r="A78">
        <f t="shared" si="3"/>
        <v>110</v>
      </c>
      <c r="B78">
        <f t="shared" si="2"/>
        <v>80</v>
      </c>
      <c r="C78" s="112">
        <v>59</v>
      </c>
      <c r="D78" s="113">
        <v>80.1000000000002</v>
      </c>
      <c r="E78" s="113">
        <v>87.0000000000001</v>
      </c>
      <c r="F78" s="113">
        <v>111.5</v>
      </c>
      <c r="G78" s="113">
        <v>118</v>
      </c>
      <c r="H78" s="12">
        <v>19801</v>
      </c>
      <c r="I78" s="12">
        <v>0</v>
      </c>
      <c r="J78" s="12">
        <v>2562803</v>
      </c>
      <c r="K78" s="12">
        <v>182294</v>
      </c>
      <c r="L78" s="12">
        <v>8605</v>
      </c>
      <c r="M78" s="12">
        <f t="shared" si="5"/>
        <v>7816.7</v>
      </c>
      <c r="N78" s="12">
        <v>70</v>
      </c>
      <c r="O78" s="12">
        <v>315773</v>
      </c>
      <c r="P78" s="12">
        <v>61136</v>
      </c>
      <c r="Q78" s="12">
        <v>18274</v>
      </c>
      <c r="R78" s="12">
        <v>15</v>
      </c>
      <c r="S78" s="12">
        <v>89</v>
      </c>
      <c r="T78" s="12">
        <v>347</v>
      </c>
      <c r="U78" s="12">
        <v>220</v>
      </c>
      <c r="V78" s="12">
        <v>124</v>
      </c>
      <c r="W78" s="12">
        <v>70</v>
      </c>
      <c r="X78" s="12">
        <v>16</v>
      </c>
      <c r="Y78" s="12">
        <v>0</v>
      </c>
      <c r="Z78" s="12">
        <v>654</v>
      </c>
      <c r="AA78" s="12">
        <v>57</v>
      </c>
      <c r="AB78" s="12">
        <v>5582</v>
      </c>
      <c r="AC78" s="12">
        <v>252</v>
      </c>
      <c r="AD78" s="12">
        <v>1770</v>
      </c>
      <c r="AE78" s="12">
        <v>0</v>
      </c>
      <c r="AF78" s="12">
        <v>0</v>
      </c>
      <c r="AG78" s="12">
        <v>0</v>
      </c>
      <c r="AH78" s="12">
        <v>0</v>
      </c>
      <c r="AI78" s="12">
        <v>0</v>
      </c>
      <c r="AJ78" s="12">
        <v>0</v>
      </c>
      <c r="AK78" s="12">
        <v>8145</v>
      </c>
      <c r="AL78" s="12">
        <v>51</v>
      </c>
      <c r="AM78" s="12">
        <v>1794</v>
      </c>
      <c r="AN78" s="13">
        <f t="shared" si="0"/>
        <v>6636</v>
      </c>
    </row>
    <row r="79" ht="16.5" spans="1:40">
      <c r="A79">
        <f t="shared" si="3"/>
        <v>110</v>
      </c>
      <c r="B79">
        <f t="shared" si="2"/>
        <v>229</v>
      </c>
      <c r="C79" s="112">
        <v>60</v>
      </c>
      <c r="D79" s="113">
        <v>80.2500000000002</v>
      </c>
      <c r="E79" s="113">
        <v>87.2000000000001</v>
      </c>
      <c r="F79" s="113">
        <v>111.85</v>
      </c>
      <c r="G79" s="113">
        <v>119</v>
      </c>
      <c r="H79" s="12">
        <v>20030</v>
      </c>
      <c r="I79" s="12">
        <v>0</v>
      </c>
      <c r="J79" s="12">
        <v>2631199</v>
      </c>
      <c r="K79" s="12">
        <v>185086</v>
      </c>
      <c r="L79" s="12">
        <v>8614</v>
      </c>
      <c r="M79" s="12">
        <f t="shared" si="5"/>
        <v>7926.7</v>
      </c>
      <c r="N79" s="12">
        <v>71</v>
      </c>
      <c r="O79" s="12">
        <v>321535</v>
      </c>
      <c r="P79" s="12">
        <v>62210</v>
      </c>
      <c r="Q79" s="12">
        <v>18575</v>
      </c>
      <c r="R79" s="12">
        <v>15</v>
      </c>
      <c r="S79" s="12">
        <v>89</v>
      </c>
      <c r="T79" s="12">
        <v>353</v>
      </c>
      <c r="U79" s="12">
        <v>225</v>
      </c>
      <c r="V79" s="12">
        <v>127</v>
      </c>
      <c r="W79" s="12">
        <v>72</v>
      </c>
      <c r="X79" s="12">
        <v>17</v>
      </c>
      <c r="Y79" s="12">
        <v>0</v>
      </c>
      <c r="Z79" s="12">
        <v>664</v>
      </c>
      <c r="AA79" s="12">
        <v>58</v>
      </c>
      <c r="AB79" s="12">
        <v>5647</v>
      </c>
      <c r="AC79" s="12">
        <v>256</v>
      </c>
      <c r="AD79" s="12">
        <v>1800</v>
      </c>
      <c r="AE79" s="12">
        <v>0</v>
      </c>
      <c r="AF79" s="12">
        <v>0</v>
      </c>
      <c r="AG79" s="12">
        <v>0</v>
      </c>
      <c r="AH79" s="12">
        <v>0</v>
      </c>
      <c r="AI79" s="12">
        <v>0</v>
      </c>
      <c r="AJ79" s="12">
        <v>0</v>
      </c>
      <c r="AK79" s="12">
        <v>8280</v>
      </c>
      <c r="AL79" s="12">
        <v>51</v>
      </c>
      <c r="AM79" s="12">
        <v>1823</v>
      </c>
      <c r="AN79" s="13">
        <f t="shared" si="0"/>
        <v>6744</v>
      </c>
    </row>
    <row r="80" ht="16.5" spans="1:40">
      <c r="A80">
        <f t="shared" si="3"/>
        <v>110</v>
      </c>
      <c r="B80">
        <f t="shared" si="2"/>
        <v>80</v>
      </c>
      <c r="C80" s="112">
        <v>61</v>
      </c>
      <c r="D80" s="113">
        <v>80.4000000000002</v>
      </c>
      <c r="E80" s="113">
        <v>87.4000000000001</v>
      </c>
      <c r="F80" s="113">
        <v>112.2</v>
      </c>
      <c r="G80" s="113">
        <v>120</v>
      </c>
      <c r="H80" s="12">
        <v>20110</v>
      </c>
      <c r="I80" s="12">
        <v>0</v>
      </c>
      <c r="J80" s="12">
        <v>2671795</v>
      </c>
      <c r="K80" s="12">
        <v>187129</v>
      </c>
      <c r="L80" s="12">
        <v>8622</v>
      </c>
      <c r="M80" s="12">
        <f t="shared" si="5"/>
        <v>8036.7</v>
      </c>
      <c r="N80" s="12">
        <v>72</v>
      </c>
      <c r="O80" s="12">
        <v>326797</v>
      </c>
      <c r="P80" s="12">
        <v>63244</v>
      </c>
      <c r="Q80" s="12">
        <v>18876</v>
      </c>
      <c r="R80" s="12">
        <v>15</v>
      </c>
      <c r="S80" s="12">
        <v>89</v>
      </c>
      <c r="T80" s="12">
        <v>358</v>
      </c>
      <c r="U80" s="12">
        <v>229</v>
      </c>
      <c r="V80" s="12">
        <v>130</v>
      </c>
      <c r="W80" s="12">
        <v>73</v>
      </c>
      <c r="X80" s="12">
        <v>18</v>
      </c>
      <c r="Y80" s="12">
        <v>0</v>
      </c>
      <c r="Z80" s="12">
        <v>675</v>
      </c>
      <c r="AA80" s="12">
        <v>59</v>
      </c>
      <c r="AB80" s="12">
        <v>5713</v>
      </c>
      <c r="AC80" s="12">
        <v>259</v>
      </c>
      <c r="AD80" s="12">
        <v>1830</v>
      </c>
      <c r="AE80" s="12">
        <v>0</v>
      </c>
      <c r="AF80" s="12">
        <v>0</v>
      </c>
      <c r="AG80" s="12">
        <v>0</v>
      </c>
      <c r="AH80" s="12">
        <v>0</v>
      </c>
      <c r="AI80" s="12">
        <v>0</v>
      </c>
      <c r="AJ80" s="12">
        <v>0</v>
      </c>
      <c r="AK80" s="12">
        <v>8385</v>
      </c>
      <c r="AL80" s="12">
        <v>51</v>
      </c>
      <c r="AM80" s="12">
        <v>1847</v>
      </c>
      <c r="AN80" s="13">
        <f t="shared" si="0"/>
        <v>6857</v>
      </c>
    </row>
    <row r="81" ht="16.5" spans="1:40">
      <c r="A81">
        <f t="shared" si="3"/>
        <v>110</v>
      </c>
      <c r="B81">
        <f t="shared" si="2"/>
        <v>230</v>
      </c>
      <c r="C81" s="112">
        <v>62</v>
      </c>
      <c r="D81" s="113">
        <v>80.5500000000002</v>
      </c>
      <c r="E81" s="113">
        <v>87.6000000000001</v>
      </c>
      <c r="F81" s="113">
        <v>112.55</v>
      </c>
      <c r="G81" s="113">
        <v>121</v>
      </c>
      <c r="H81" s="12">
        <v>20340</v>
      </c>
      <c r="I81" s="12">
        <v>0</v>
      </c>
      <c r="J81" s="12">
        <v>2714739</v>
      </c>
      <c r="K81" s="12">
        <v>189921</v>
      </c>
      <c r="L81" s="12">
        <v>8631</v>
      </c>
      <c r="M81" s="12">
        <f t="shared" si="5"/>
        <v>8146.7</v>
      </c>
      <c r="N81" s="12">
        <v>72</v>
      </c>
      <c r="O81" s="12">
        <v>332559</v>
      </c>
      <c r="P81" s="12">
        <v>64317</v>
      </c>
      <c r="Q81" s="12">
        <v>19178</v>
      </c>
      <c r="R81" s="12">
        <v>15</v>
      </c>
      <c r="S81" s="12">
        <v>89</v>
      </c>
      <c r="T81" s="12">
        <v>363</v>
      </c>
      <c r="U81" s="12">
        <v>234</v>
      </c>
      <c r="V81" s="12">
        <v>132</v>
      </c>
      <c r="W81" s="12">
        <v>75</v>
      </c>
      <c r="X81" s="12">
        <v>19</v>
      </c>
      <c r="Y81" s="12">
        <v>0</v>
      </c>
      <c r="Z81" s="12">
        <v>685</v>
      </c>
      <c r="AA81" s="12">
        <v>60</v>
      </c>
      <c r="AB81" s="12">
        <v>5779</v>
      </c>
      <c r="AC81" s="12">
        <v>263</v>
      </c>
      <c r="AD81" s="12">
        <v>1860</v>
      </c>
      <c r="AE81" s="12">
        <v>0</v>
      </c>
      <c r="AF81" s="12">
        <v>0</v>
      </c>
      <c r="AG81" s="12">
        <v>0</v>
      </c>
      <c r="AH81" s="12">
        <v>0</v>
      </c>
      <c r="AI81" s="12">
        <v>0</v>
      </c>
      <c r="AJ81" s="12">
        <v>0</v>
      </c>
      <c r="AK81" s="12">
        <v>8520</v>
      </c>
      <c r="AL81" s="12">
        <v>51</v>
      </c>
      <c r="AM81" s="12">
        <v>1876</v>
      </c>
      <c r="AN81" s="13">
        <f t="shared" si="0"/>
        <v>6965</v>
      </c>
    </row>
    <row r="82" ht="16.5" spans="1:40">
      <c r="A82">
        <f t="shared" si="3"/>
        <v>110.000000000001</v>
      </c>
      <c r="B82">
        <f t="shared" si="2"/>
        <v>79</v>
      </c>
      <c r="C82" s="112">
        <v>63</v>
      </c>
      <c r="D82" s="113">
        <v>80.7000000000002</v>
      </c>
      <c r="E82" s="113">
        <v>87.8000000000001</v>
      </c>
      <c r="F82" s="113">
        <v>112.9</v>
      </c>
      <c r="G82" s="113">
        <v>122</v>
      </c>
      <c r="H82" s="12">
        <v>20419</v>
      </c>
      <c r="I82" s="12">
        <v>0</v>
      </c>
      <c r="J82" s="12">
        <v>2755884</v>
      </c>
      <c r="K82" s="12">
        <v>191963</v>
      </c>
      <c r="L82" s="12">
        <v>8640</v>
      </c>
      <c r="M82" s="12">
        <f t="shared" si="5"/>
        <v>8256.7</v>
      </c>
      <c r="N82" s="12">
        <v>73</v>
      </c>
      <c r="O82" s="12">
        <v>337822</v>
      </c>
      <c r="P82" s="12">
        <v>65351</v>
      </c>
      <c r="Q82" s="12">
        <v>19479</v>
      </c>
      <c r="R82" s="12">
        <v>15</v>
      </c>
      <c r="S82" s="12">
        <v>89</v>
      </c>
      <c r="T82" s="12">
        <v>368</v>
      </c>
      <c r="U82" s="12">
        <v>238</v>
      </c>
      <c r="V82" s="12">
        <v>135</v>
      </c>
      <c r="W82" s="12">
        <v>77</v>
      </c>
      <c r="X82" s="12">
        <v>20</v>
      </c>
      <c r="Y82" s="12">
        <v>0</v>
      </c>
      <c r="Z82" s="12">
        <v>696</v>
      </c>
      <c r="AA82" s="12">
        <v>61</v>
      </c>
      <c r="AB82" s="12">
        <v>5845</v>
      </c>
      <c r="AC82" s="12">
        <v>266</v>
      </c>
      <c r="AD82" s="12">
        <v>1890</v>
      </c>
      <c r="AE82" s="12">
        <v>0</v>
      </c>
      <c r="AF82" s="12">
        <v>0</v>
      </c>
      <c r="AG82" s="12">
        <v>0</v>
      </c>
      <c r="AH82" s="12">
        <v>0</v>
      </c>
      <c r="AI82" s="12">
        <v>0</v>
      </c>
      <c r="AJ82" s="12">
        <v>0</v>
      </c>
      <c r="AK82" s="12">
        <v>8625</v>
      </c>
      <c r="AL82" s="12">
        <v>51</v>
      </c>
      <c r="AM82" s="12">
        <v>1900</v>
      </c>
      <c r="AN82" s="13">
        <f t="shared" si="0"/>
        <v>7078</v>
      </c>
    </row>
    <row r="83" ht="16.5" spans="1:40">
      <c r="A83">
        <f t="shared" si="3"/>
        <v>110</v>
      </c>
      <c r="B83">
        <f t="shared" si="2"/>
        <v>230</v>
      </c>
      <c r="C83" s="112">
        <v>64</v>
      </c>
      <c r="D83" s="113">
        <v>80.8500000000003</v>
      </c>
      <c r="E83" s="113">
        <v>88.0000000000001</v>
      </c>
      <c r="F83" s="113">
        <v>113.25</v>
      </c>
      <c r="G83" s="113">
        <v>123</v>
      </c>
      <c r="H83" s="12">
        <v>20649</v>
      </c>
      <c r="I83" s="12">
        <v>0</v>
      </c>
      <c r="J83" s="12">
        <v>2801378</v>
      </c>
      <c r="K83" s="12">
        <v>194755</v>
      </c>
      <c r="L83" s="12">
        <v>8648</v>
      </c>
      <c r="M83" s="12">
        <f t="shared" si="5"/>
        <v>8366.7</v>
      </c>
      <c r="N83" s="12">
        <v>74</v>
      </c>
      <c r="O83" s="12">
        <v>343625</v>
      </c>
      <c r="P83" s="12">
        <v>66424</v>
      </c>
      <c r="Q83" s="12">
        <v>19780</v>
      </c>
      <c r="R83" s="12">
        <v>15</v>
      </c>
      <c r="S83" s="12">
        <v>89</v>
      </c>
      <c r="T83" s="12">
        <v>373</v>
      </c>
      <c r="U83" s="12">
        <v>243</v>
      </c>
      <c r="V83" s="12">
        <v>137</v>
      </c>
      <c r="W83" s="12">
        <v>79</v>
      </c>
      <c r="X83" s="12">
        <v>20</v>
      </c>
      <c r="Y83" s="12">
        <v>0</v>
      </c>
      <c r="Z83" s="12">
        <v>706</v>
      </c>
      <c r="AA83" s="12">
        <v>62</v>
      </c>
      <c r="AB83" s="12">
        <v>5910</v>
      </c>
      <c r="AC83" s="12">
        <v>270</v>
      </c>
      <c r="AD83" s="12">
        <v>1920</v>
      </c>
      <c r="AE83" s="12">
        <v>0</v>
      </c>
      <c r="AF83" s="12">
        <v>0</v>
      </c>
      <c r="AG83" s="12">
        <v>0</v>
      </c>
      <c r="AH83" s="12">
        <v>0</v>
      </c>
      <c r="AI83" s="12">
        <v>0</v>
      </c>
      <c r="AJ83" s="12">
        <v>0</v>
      </c>
      <c r="AK83" s="12">
        <v>8760</v>
      </c>
      <c r="AL83" s="12">
        <v>51</v>
      </c>
      <c r="AM83" s="12">
        <v>1928</v>
      </c>
      <c r="AN83" s="13">
        <f t="shared" si="0"/>
        <v>7186</v>
      </c>
    </row>
    <row r="84" ht="16.5" spans="1:40">
      <c r="A84">
        <f t="shared" si="3"/>
        <v>110</v>
      </c>
      <c r="B84">
        <f t="shared" si="2"/>
        <v>80</v>
      </c>
      <c r="C84" s="112">
        <v>65</v>
      </c>
      <c r="D84" s="113">
        <v>81.0000000000003</v>
      </c>
      <c r="E84" s="113">
        <v>88.2000000000001</v>
      </c>
      <c r="F84" s="113">
        <v>113.6</v>
      </c>
      <c r="G84" s="113">
        <v>124</v>
      </c>
      <c r="H84" s="12">
        <v>20729</v>
      </c>
      <c r="I84" s="12">
        <v>0</v>
      </c>
      <c r="J84" s="12">
        <v>2842571</v>
      </c>
      <c r="K84" s="12">
        <v>196797</v>
      </c>
      <c r="L84" s="12">
        <v>8657</v>
      </c>
      <c r="M84" s="12">
        <f t="shared" si="5"/>
        <v>8476.7</v>
      </c>
      <c r="N84" s="12">
        <v>75</v>
      </c>
      <c r="O84" s="12">
        <v>348929</v>
      </c>
      <c r="P84" s="12">
        <v>67458</v>
      </c>
      <c r="Q84" s="12">
        <v>20081</v>
      </c>
      <c r="R84" s="12">
        <v>15</v>
      </c>
      <c r="S84" s="12">
        <v>89</v>
      </c>
      <c r="T84" s="12">
        <v>378</v>
      </c>
      <c r="U84" s="12">
        <v>247</v>
      </c>
      <c r="V84" s="12">
        <v>140</v>
      </c>
      <c r="W84" s="12">
        <v>81</v>
      </c>
      <c r="X84" s="12">
        <v>21</v>
      </c>
      <c r="Y84" s="12">
        <v>0</v>
      </c>
      <c r="Z84" s="12">
        <v>716</v>
      </c>
      <c r="AA84" s="12">
        <v>62</v>
      </c>
      <c r="AB84" s="12">
        <v>5976</v>
      </c>
      <c r="AC84" s="12">
        <v>273</v>
      </c>
      <c r="AD84" s="12">
        <v>1950</v>
      </c>
      <c r="AE84" s="12">
        <v>0</v>
      </c>
      <c r="AF84" s="12">
        <v>0</v>
      </c>
      <c r="AG84" s="12">
        <v>0</v>
      </c>
      <c r="AH84" s="12">
        <v>0</v>
      </c>
      <c r="AI84" s="12">
        <v>0</v>
      </c>
      <c r="AJ84" s="12">
        <v>0</v>
      </c>
      <c r="AK84" s="12">
        <v>8865</v>
      </c>
      <c r="AL84" s="12">
        <v>51</v>
      </c>
      <c r="AM84" s="12">
        <v>1952</v>
      </c>
      <c r="AN84" s="13">
        <f t="shared" ref="AN84:AN147" si="6">Z84*5+AA84*28+AD84</f>
        <v>7266</v>
      </c>
    </row>
    <row r="85" ht="16.5" spans="1:40">
      <c r="A85">
        <f t="shared" si="3"/>
        <v>110</v>
      </c>
      <c r="B85">
        <f t="shared" ref="B85:B148" si="7">H85-H84</f>
        <v>229</v>
      </c>
      <c r="C85" s="112">
        <v>66</v>
      </c>
      <c r="D85" s="113">
        <v>81.1500000000003</v>
      </c>
      <c r="E85" s="113">
        <v>88.4000000000001</v>
      </c>
      <c r="F85" s="113">
        <v>113.95</v>
      </c>
      <c r="G85" s="113">
        <v>125</v>
      </c>
      <c r="H85" s="12">
        <v>20958</v>
      </c>
      <c r="I85" s="12">
        <v>0</v>
      </c>
      <c r="J85" s="12">
        <v>2885614</v>
      </c>
      <c r="K85" s="12">
        <v>199590</v>
      </c>
      <c r="L85" s="12">
        <v>8665</v>
      </c>
      <c r="M85" s="12">
        <f t="shared" si="5"/>
        <v>8586.7</v>
      </c>
      <c r="N85" s="12">
        <v>77</v>
      </c>
      <c r="O85" s="12">
        <v>354732</v>
      </c>
      <c r="P85" s="12">
        <v>68532</v>
      </c>
      <c r="Q85" s="12">
        <v>20383</v>
      </c>
      <c r="R85" s="12">
        <v>15</v>
      </c>
      <c r="S85" s="12">
        <v>89</v>
      </c>
      <c r="T85" s="12">
        <v>384</v>
      </c>
      <c r="U85" s="12">
        <v>252</v>
      </c>
      <c r="V85" s="12">
        <v>142</v>
      </c>
      <c r="W85" s="12">
        <v>83</v>
      </c>
      <c r="X85" s="12">
        <v>22</v>
      </c>
      <c r="Y85" s="12">
        <v>0</v>
      </c>
      <c r="Z85" s="12">
        <v>728</v>
      </c>
      <c r="AA85" s="12">
        <v>63</v>
      </c>
      <c r="AB85" s="12">
        <v>6042</v>
      </c>
      <c r="AC85" s="12">
        <v>277</v>
      </c>
      <c r="AD85" s="12">
        <v>1980</v>
      </c>
      <c r="AE85" s="12">
        <v>0</v>
      </c>
      <c r="AF85" s="12">
        <v>0</v>
      </c>
      <c r="AG85" s="12">
        <v>0</v>
      </c>
      <c r="AH85" s="12">
        <v>0</v>
      </c>
      <c r="AI85" s="12">
        <v>0</v>
      </c>
      <c r="AJ85" s="12">
        <v>0</v>
      </c>
      <c r="AK85" s="12">
        <v>8970</v>
      </c>
      <c r="AL85" s="12">
        <v>54</v>
      </c>
      <c r="AM85" s="12">
        <v>1981</v>
      </c>
      <c r="AN85" s="13">
        <f t="shared" si="6"/>
        <v>7384</v>
      </c>
    </row>
    <row r="86" ht="16.5" spans="1:40">
      <c r="A86">
        <f t="shared" si="3"/>
        <v>110</v>
      </c>
      <c r="B86">
        <f t="shared" si="7"/>
        <v>80</v>
      </c>
      <c r="C86" s="112">
        <v>67</v>
      </c>
      <c r="D86" s="113">
        <v>81.3000000000003</v>
      </c>
      <c r="E86" s="113">
        <v>88.6000000000001</v>
      </c>
      <c r="F86" s="113">
        <v>114.3</v>
      </c>
      <c r="G86" s="113">
        <v>126</v>
      </c>
      <c r="H86" s="12">
        <v>21038</v>
      </c>
      <c r="I86" s="12">
        <v>0</v>
      </c>
      <c r="J86" s="12">
        <v>2926857</v>
      </c>
      <c r="K86" s="12">
        <v>201632</v>
      </c>
      <c r="L86" s="12">
        <v>8674</v>
      </c>
      <c r="M86" s="12">
        <f t="shared" si="5"/>
        <v>8696.7</v>
      </c>
      <c r="N86" s="12">
        <v>78</v>
      </c>
      <c r="O86" s="12">
        <v>360036</v>
      </c>
      <c r="P86" s="12">
        <v>69565</v>
      </c>
      <c r="Q86" s="12">
        <v>20684</v>
      </c>
      <c r="R86" s="12">
        <v>15</v>
      </c>
      <c r="S86" s="12">
        <v>89</v>
      </c>
      <c r="T86" s="12">
        <v>389</v>
      </c>
      <c r="U86" s="12">
        <v>256</v>
      </c>
      <c r="V86" s="12">
        <v>145</v>
      </c>
      <c r="W86" s="12">
        <v>85</v>
      </c>
      <c r="X86" s="12">
        <v>23</v>
      </c>
      <c r="Y86" s="12">
        <v>0</v>
      </c>
      <c r="Z86" s="12">
        <v>738</v>
      </c>
      <c r="AA86" s="12">
        <v>64</v>
      </c>
      <c r="AB86" s="12">
        <v>6107</v>
      </c>
      <c r="AC86" s="12">
        <v>281</v>
      </c>
      <c r="AD86" s="12">
        <v>2010</v>
      </c>
      <c r="AE86" s="12">
        <v>0</v>
      </c>
      <c r="AF86" s="12">
        <v>0</v>
      </c>
      <c r="AG86" s="12">
        <v>0</v>
      </c>
      <c r="AH86" s="12">
        <v>0</v>
      </c>
      <c r="AI86" s="12">
        <v>0</v>
      </c>
      <c r="AJ86" s="12">
        <v>0</v>
      </c>
      <c r="AK86" s="12">
        <v>9075</v>
      </c>
      <c r="AL86" s="12">
        <v>54</v>
      </c>
      <c r="AM86" s="12">
        <v>2005</v>
      </c>
      <c r="AN86" s="13">
        <f t="shared" si="6"/>
        <v>7492</v>
      </c>
    </row>
    <row r="87" ht="16.5" spans="1:40">
      <c r="A87">
        <f t="shared" si="3"/>
        <v>110</v>
      </c>
      <c r="B87">
        <f t="shared" si="7"/>
        <v>80</v>
      </c>
      <c r="C87" s="112">
        <v>68</v>
      </c>
      <c r="D87" s="113">
        <v>81.4500000000003</v>
      </c>
      <c r="E87" s="113">
        <v>88.8000000000001</v>
      </c>
      <c r="F87" s="113">
        <v>114.65</v>
      </c>
      <c r="G87" s="113">
        <v>127</v>
      </c>
      <c r="H87" s="12">
        <v>21118</v>
      </c>
      <c r="I87" s="12">
        <v>0</v>
      </c>
      <c r="J87" s="12">
        <v>2970099</v>
      </c>
      <c r="K87" s="12">
        <v>203674</v>
      </c>
      <c r="L87" s="12">
        <v>8682</v>
      </c>
      <c r="M87" s="12">
        <f t="shared" si="5"/>
        <v>8806.7</v>
      </c>
      <c r="N87" s="12">
        <v>79</v>
      </c>
      <c r="O87" s="12">
        <v>365339</v>
      </c>
      <c r="P87" s="12">
        <v>70599</v>
      </c>
      <c r="Q87" s="12">
        <v>20985</v>
      </c>
      <c r="R87" s="12">
        <v>15</v>
      </c>
      <c r="S87" s="12">
        <v>89</v>
      </c>
      <c r="T87" s="12">
        <v>394</v>
      </c>
      <c r="U87" s="12">
        <v>261</v>
      </c>
      <c r="V87" s="12">
        <v>147</v>
      </c>
      <c r="W87" s="12">
        <v>87</v>
      </c>
      <c r="X87" s="12">
        <v>24</v>
      </c>
      <c r="Y87" s="12">
        <v>0</v>
      </c>
      <c r="Z87" s="12">
        <v>749</v>
      </c>
      <c r="AA87" s="12">
        <v>65</v>
      </c>
      <c r="AB87" s="12">
        <v>6173</v>
      </c>
      <c r="AC87" s="12">
        <v>284</v>
      </c>
      <c r="AD87" s="12">
        <v>2040</v>
      </c>
      <c r="AE87" s="12">
        <v>0</v>
      </c>
      <c r="AF87" s="12">
        <v>0</v>
      </c>
      <c r="AG87" s="12">
        <v>0</v>
      </c>
      <c r="AH87" s="12">
        <v>0</v>
      </c>
      <c r="AI87" s="12">
        <v>0</v>
      </c>
      <c r="AJ87" s="12">
        <v>0</v>
      </c>
      <c r="AK87" s="12">
        <v>9180</v>
      </c>
      <c r="AL87" s="12">
        <v>54</v>
      </c>
      <c r="AM87" s="12">
        <v>2029</v>
      </c>
      <c r="AN87" s="13">
        <f t="shared" si="6"/>
        <v>7605</v>
      </c>
    </row>
    <row r="88" ht="16.5" spans="1:40">
      <c r="A88">
        <f t="shared" si="3"/>
        <v>110</v>
      </c>
      <c r="B88">
        <f t="shared" si="7"/>
        <v>229</v>
      </c>
      <c r="C88" s="112">
        <v>69</v>
      </c>
      <c r="D88" s="113">
        <v>81.6000000000003</v>
      </c>
      <c r="E88" s="113">
        <v>89.0000000000001</v>
      </c>
      <c r="F88" s="113">
        <v>115</v>
      </c>
      <c r="G88" s="113">
        <v>128</v>
      </c>
      <c r="H88" s="12">
        <v>21347</v>
      </c>
      <c r="I88" s="12">
        <v>0</v>
      </c>
      <c r="J88" s="12">
        <v>3040191</v>
      </c>
      <c r="K88" s="12">
        <v>206466</v>
      </c>
      <c r="L88" s="12">
        <v>8691</v>
      </c>
      <c r="M88" s="12">
        <f t="shared" si="5"/>
        <v>8916.7</v>
      </c>
      <c r="N88" s="12">
        <v>80</v>
      </c>
      <c r="O88" s="12">
        <v>371143</v>
      </c>
      <c r="P88" s="12">
        <v>71672</v>
      </c>
      <c r="Q88" s="12">
        <v>21286</v>
      </c>
      <c r="R88" s="12">
        <v>15</v>
      </c>
      <c r="S88" s="12">
        <v>89</v>
      </c>
      <c r="T88" s="12">
        <v>399</v>
      </c>
      <c r="U88" s="12">
        <v>265</v>
      </c>
      <c r="V88" s="12">
        <v>150</v>
      </c>
      <c r="W88" s="12">
        <v>89</v>
      </c>
      <c r="X88" s="12">
        <v>25</v>
      </c>
      <c r="Y88" s="12">
        <v>0</v>
      </c>
      <c r="Z88" s="12">
        <v>759</v>
      </c>
      <c r="AA88" s="12">
        <v>66</v>
      </c>
      <c r="AB88" s="12">
        <v>6239</v>
      </c>
      <c r="AC88" s="12">
        <v>288</v>
      </c>
      <c r="AD88" s="12">
        <v>2070</v>
      </c>
      <c r="AE88" s="12">
        <v>0</v>
      </c>
      <c r="AF88" s="12">
        <v>0</v>
      </c>
      <c r="AG88" s="12">
        <v>0</v>
      </c>
      <c r="AH88" s="12">
        <v>0</v>
      </c>
      <c r="AI88" s="12">
        <v>0</v>
      </c>
      <c r="AJ88" s="12">
        <v>0</v>
      </c>
      <c r="AK88" s="12">
        <v>9315</v>
      </c>
      <c r="AL88" s="12">
        <v>54</v>
      </c>
      <c r="AM88" s="12">
        <v>2058</v>
      </c>
      <c r="AN88" s="13">
        <f t="shared" si="6"/>
        <v>7713</v>
      </c>
    </row>
    <row r="89" ht="16.5" spans="1:40">
      <c r="A89">
        <f t="shared" si="3"/>
        <v>110</v>
      </c>
      <c r="B89">
        <f t="shared" si="7"/>
        <v>80</v>
      </c>
      <c r="C89" s="112">
        <v>70</v>
      </c>
      <c r="D89" s="113">
        <v>81.7500000000003</v>
      </c>
      <c r="E89" s="113">
        <v>89.2000000000001</v>
      </c>
      <c r="F89" s="113">
        <v>115.35</v>
      </c>
      <c r="G89" s="113">
        <v>129</v>
      </c>
      <c r="H89" s="12">
        <v>21427</v>
      </c>
      <c r="I89" s="12">
        <v>0</v>
      </c>
      <c r="J89" s="12">
        <v>3081483</v>
      </c>
      <c r="K89" s="12">
        <v>208508</v>
      </c>
      <c r="L89" s="12">
        <v>8700</v>
      </c>
      <c r="M89" s="12">
        <f t="shared" si="5"/>
        <v>9026.7</v>
      </c>
      <c r="N89" s="12">
        <v>80</v>
      </c>
      <c r="O89" s="12">
        <v>376446</v>
      </c>
      <c r="P89" s="12">
        <v>72706</v>
      </c>
      <c r="Q89" s="12">
        <v>21588</v>
      </c>
      <c r="R89" s="12">
        <v>15</v>
      </c>
      <c r="S89" s="12">
        <v>89</v>
      </c>
      <c r="T89" s="12">
        <v>404</v>
      </c>
      <c r="U89" s="12">
        <v>270</v>
      </c>
      <c r="V89" s="12">
        <v>153</v>
      </c>
      <c r="W89" s="12">
        <v>91</v>
      </c>
      <c r="X89" s="12">
        <v>25</v>
      </c>
      <c r="Y89" s="12">
        <v>0</v>
      </c>
      <c r="Z89" s="12">
        <v>770</v>
      </c>
      <c r="AA89" s="12">
        <v>67</v>
      </c>
      <c r="AB89" s="12">
        <v>6305</v>
      </c>
      <c r="AC89" s="12">
        <v>291</v>
      </c>
      <c r="AD89" s="12">
        <v>2100</v>
      </c>
      <c r="AE89" s="12">
        <v>0</v>
      </c>
      <c r="AF89" s="12">
        <v>0</v>
      </c>
      <c r="AG89" s="12">
        <v>0</v>
      </c>
      <c r="AH89" s="12">
        <v>0</v>
      </c>
      <c r="AI89" s="12">
        <v>0</v>
      </c>
      <c r="AJ89" s="12">
        <v>0</v>
      </c>
      <c r="AK89" s="12">
        <v>9420</v>
      </c>
      <c r="AL89" s="12">
        <v>54</v>
      </c>
      <c r="AM89" s="12">
        <v>2082</v>
      </c>
      <c r="AN89" s="13">
        <f t="shared" si="6"/>
        <v>7826</v>
      </c>
    </row>
    <row r="90" ht="16.5" spans="1:40">
      <c r="A90">
        <f t="shared" si="3"/>
        <v>110</v>
      </c>
      <c r="B90">
        <f t="shared" si="7"/>
        <v>80</v>
      </c>
      <c r="C90" s="112">
        <v>71</v>
      </c>
      <c r="D90" s="113">
        <v>81.9000000000003</v>
      </c>
      <c r="E90" s="113">
        <v>89.4000000000001</v>
      </c>
      <c r="F90" s="113">
        <v>115.7</v>
      </c>
      <c r="G90" s="113">
        <v>130</v>
      </c>
      <c r="H90" s="12">
        <v>21507</v>
      </c>
      <c r="I90" s="12">
        <v>0</v>
      </c>
      <c r="J90" s="12">
        <v>3123275</v>
      </c>
      <c r="K90" s="12">
        <v>210550</v>
      </c>
      <c r="L90" s="12">
        <v>8708</v>
      </c>
      <c r="M90" s="12">
        <f t="shared" si="5"/>
        <v>9136.7</v>
      </c>
      <c r="N90" s="12">
        <v>81</v>
      </c>
      <c r="O90" s="12">
        <v>381750</v>
      </c>
      <c r="P90" s="12">
        <v>73740</v>
      </c>
      <c r="Q90" s="12">
        <v>21889</v>
      </c>
      <c r="R90" s="12">
        <v>15</v>
      </c>
      <c r="S90" s="12">
        <v>89</v>
      </c>
      <c r="T90" s="12">
        <v>409</v>
      </c>
      <c r="U90" s="12">
        <v>274</v>
      </c>
      <c r="V90" s="12">
        <v>155</v>
      </c>
      <c r="W90" s="12">
        <v>93</v>
      </c>
      <c r="X90" s="12">
        <v>26</v>
      </c>
      <c r="Y90" s="12">
        <v>0</v>
      </c>
      <c r="Z90" s="12">
        <v>780</v>
      </c>
      <c r="AA90" s="12">
        <v>67</v>
      </c>
      <c r="AB90" s="12">
        <v>6370</v>
      </c>
      <c r="AC90" s="12">
        <v>295</v>
      </c>
      <c r="AD90" s="12">
        <v>2130</v>
      </c>
      <c r="AE90" s="12">
        <v>0</v>
      </c>
      <c r="AF90" s="12">
        <v>0</v>
      </c>
      <c r="AG90" s="12">
        <v>0</v>
      </c>
      <c r="AH90" s="12">
        <v>0</v>
      </c>
      <c r="AI90" s="12">
        <v>0</v>
      </c>
      <c r="AJ90" s="12">
        <v>0</v>
      </c>
      <c r="AK90" s="12">
        <v>9525</v>
      </c>
      <c r="AL90" s="12">
        <v>54</v>
      </c>
      <c r="AM90" s="12">
        <v>2105</v>
      </c>
      <c r="AN90" s="13">
        <f t="shared" si="6"/>
        <v>7906</v>
      </c>
    </row>
    <row r="91" ht="16.5" spans="1:40">
      <c r="A91">
        <f t="shared" si="3"/>
        <v>110</v>
      </c>
      <c r="B91">
        <f t="shared" si="7"/>
        <v>229</v>
      </c>
      <c r="C91" s="112">
        <v>72</v>
      </c>
      <c r="D91" s="113">
        <v>82.0500000000003</v>
      </c>
      <c r="E91" s="113">
        <v>89.6000000000002</v>
      </c>
      <c r="F91" s="113">
        <v>116.05</v>
      </c>
      <c r="G91" s="113">
        <v>131</v>
      </c>
      <c r="H91" s="12">
        <v>21736</v>
      </c>
      <c r="I91" s="12">
        <v>0</v>
      </c>
      <c r="J91" s="12">
        <v>3168415</v>
      </c>
      <c r="K91" s="12">
        <v>213343</v>
      </c>
      <c r="L91" s="12">
        <v>8717</v>
      </c>
      <c r="M91" s="12">
        <f t="shared" si="5"/>
        <v>9246.7</v>
      </c>
      <c r="N91" s="12">
        <v>82</v>
      </c>
      <c r="O91" s="12">
        <v>387553</v>
      </c>
      <c r="P91" s="12">
        <v>74813</v>
      </c>
      <c r="Q91" s="12">
        <v>22190</v>
      </c>
      <c r="R91" s="12">
        <v>15</v>
      </c>
      <c r="S91" s="12">
        <v>89</v>
      </c>
      <c r="T91" s="12">
        <v>415</v>
      </c>
      <c r="U91" s="12">
        <v>279</v>
      </c>
      <c r="V91" s="12">
        <v>158</v>
      </c>
      <c r="W91" s="12">
        <v>95</v>
      </c>
      <c r="X91" s="12">
        <v>27</v>
      </c>
      <c r="Y91" s="12">
        <v>0</v>
      </c>
      <c r="Z91" s="12">
        <v>790</v>
      </c>
      <c r="AA91" s="12">
        <v>68</v>
      </c>
      <c r="AB91" s="12">
        <v>6436</v>
      </c>
      <c r="AC91" s="12">
        <v>298</v>
      </c>
      <c r="AD91" s="12">
        <v>2160</v>
      </c>
      <c r="AE91" s="12">
        <v>0</v>
      </c>
      <c r="AF91" s="12">
        <v>0</v>
      </c>
      <c r="AG91" s="12">
        <v>0</v>
      </c>
      <c r="AH91" s="12">
        <v>0</v>
      </c>
      <c r="AI91" s="12">
        <v>0</v>
      </c>
      <c r="AJ91" s="12">
        <v>0</v>
      </c>
      <c r="AK91" s="12">
        <v>9660</v>
      </c>
      <c r="AL91" s="12">
        <v>54</v>
      </c>
      <c r="AM91" s="12">
        <v>2134</v>
      </c>
      <c r="AN91" s="13">
        <f t="shared" si="6"/>
        <v>8014</v>
      </c>
    </row>
    <row r="92" ht="16.5" spans="1:40">
      <c r="A92">
        <f t="shared" si="3"/>
        <v>110</v>
      </c>
      <c r="B92">
        <f t="shared" si="7"/>
        <v>80</v>
      </c>
      <c r="C92" s="112">
        <v>73</v>
      </c>
      <c r="D92" s="113">
        <v>82.2000000000003</v>
      </c>
      <c r="E92" s="113">
        <v>89.8000000000002</v>
      </c>
      <c r="F92" s="113">
        <v>116.4</v>
      </c>
      <c r="G92" s="113">
        <v>132</v>
      </c>
      <c r="H92" s="12">
        <v>21816</v>
      </c>
      <c r="I92" s="12">
        <v>0</v>
      </c>
      <c r="J92" s="12">
        <v>3209756</v>
      </c>
      <c r="K92" s="12">
        <v>215385</v>
      </c>
      <c r="L92" s="12">
        <v>8725</v>
      </c>
      <c r="M92" s="12">
        <f t="shared" si="5"/>
        <v>9356.7</v>
      </c>
      <c r="N92" s="12">
        <v>83</v>
      </c>
      <c r="O92" s="12">
        <v>392898</v>
      </c>
      <c r="P92" s="12">
        <v>75847</v>
      </c>
      <c r="Q92" s="12">
        <v>22492</v>
      </c>
      <c r="R92" s="12">
        <v>15</v>
      </c>
      <c r="S92" s="12">
        <v>89</v>
      </c>
      <c r="T92" s="12">
        <v>420</v>
      </c>
      <c r="U92" s="12">
        <v>283</v>
      </c>
      <c r="V92" s="12">
        <v>160</v>
      </c>
      <c r="W92" s="12">
        <v>97</v>
      </c>
      <c r="X92" s="12">
        <v>28</v>
      </c>
      <c r="Y92" s="12">
        <v>0</v>
      </c>
      <c r="Z92" s="12">
        <v>801</v>
      </c>
      <c r="AA92" s="12">
        <v>69</v>
      </c>
      <c r="AB92" s="12">
        <v>6502</v>
      </c>
      <c r="AC92" s="12">
        <v>302</v>
      </c>
      <c r="AD92" s="12">
        <v>2190</v>
      </c>
      <c r="AE92" s="12">
        <v>0</v>
      </c>
      <c r="AF92" s="12">
        <v>0</v>
      </c>
      <c r="AG92" s="12">
        <v>0</v>
      </c>
      <c r="AH92" s="12">
        <v>0</v>
      </c>
      <c r="AI92" s="12">
        <v>0</v>
      </c>
      <c r="AJ92" s="12">
        <v>0</v>
      </c>
      <c r="AK92" s="12">
        <v>9765</v>
      </c>
      <c r="AL92" s="12">
        <v>54</v>
      </c>
      <c r="AM92" s="12">
        <v>2158</v>
      </c>
      <c r="AN92" s="13">
        <f t="shared" si="6"/>
        <v>8127</v>
      </c>
    </row>
    <row r="93" ht="16.5" spans="1:40">
      <c r="A93">
        <f t="shared" ref="A93:A156" si="8">M93-M92</f>
        <v>110</v>
      </c>
      <c r="B93">
        <f t="shared" si="7"/>
        <v>80</v>
      </c>
      <c r="C93" s="112">
        <v>74</v>
      </c>
      <c r="D93" s="113">
        <v>82.3500000000003</v>
      </c>
      <c r="E93" s="113">
        <v>90.0000000000002</v>
      </c>
      <c r="F93" s="113">
        <v>116.75</v>
      </c>
      <c r="G93" s="113">
        <v>133</v>
      </c>
      <c r="H93" s="12">
        <v>21896</v>
      </c>
      <c r="I93" s="12">
        <v>0</v>
      </c>
      <c r="J93" s="12">
        <v>3251097</v>
      </c>
      <c r="K93" s="12">
        <v>217427</v>
      </c>
      <c r="L93" s="12">
        <v>8734</v>
      </c>
      <c r="M93" s="12">
        <f t="shared" si="5"/>
        <v>9466.7</v>
      </c>
      <c r="N93" s="12">
        <v>84</v>
      </c>
      <c r="O93" s="12">
        <v>398243</v>
      </c>
      <c r="P93" s="12">
        <v>76880</v>
      </c>
      <c r="Q93" s="12">
        <v>22793</v>
      </c>
      <c r="R93" s="12">
        <v>15</v>
      </c>
      <c r="S93" s="12">
        <v>89</v>
      </c>
      <c r="T93" s="12">
        <v>425</v>
      </c>
      <c r="U93" s="12">
        <v>288</v>
      </c>
      <c r="V93" s="12">
        <v>163</v>
      </c>
      <c r="W93" s="12">
        <v>99</v>
      </c>
      <c r="X93" s="12">
        <v>29</v>
      </c>
      <c r="Y93" s="12">
        <v>0</v>
      </c>
      <c r="Z93" s="12">
        <v>811</v>
      </c>
      <c r="AA93" s="12">
        <v>70</v>
      </c>
      <c r="AB93" s="12">
        <v>6567</v>
      </c>
      <c r="AC93" s="12">
        <v>305</v>
      </c>
      <c r="AD93" s="12">
        <v>2220</v>
      </c>
      <c r="AE93" s="12">
        <v>0</v>
      </c>
      <c r="AF93" s="12">
        <v>0</v>
      </c>
      <c r="AG93" s="12">
        <v>0</v>
      </c>
      <c r="AH93" s="12">
        <v>0</v>
      </c>
      <c r="AI93" s="12">
        <v>0</v>
      </c>
      <c r="AJ93" s="12">
        <v>0</v>
      </c>
      <c r="AK93" s="12">
        <v>9870</v>
      </c>
      <c r="AL93" s="12">
        <v>54</v>
      </c>
      <c r="AM93" s="12">
        <v>2182</v>
      </c>
      <c r="AN93" s="13">
        <f t="shared" si="6"/>
        <v>8235</v>
      </c>
    </row>
    <row r="94" ht="16.5" spans="1:40">
      <c r="A94">
        <f t="shared" si="8"/>
        <v>110</v>
      </c>
      <c r="B94">
        <f t="shared" si="7"/>
        <v>229</v>
      </c>
      <c r="C94" s="112">
        <v>75</v>
      </c>
      <c r="D94" s="113">
        <v>82.5000000000003</v>
      </c>
      <c r="E94" s="113">
        <v>90.2000000000002</v>
      </c>
      <c r="F94" s="113">
        <v>117.1</v>
      </c>
      <c r="G94" s="113">
        <v>134</v>
      </c>
      <c r="H94" s="12">
        <v>22125</v>
      </c>
      <c r="I94" s="12">
        <v>0</v>
      </c>
      <c r="J94" s="12">
        <v>3294286</v>
      </c>
      <c r="K94" s="12">
        <v>220219</v>
      </c>
      <c r="L94" s="12">
        <v>8742</v>
      </c>
      <c r="M94" s="12">
        <f t="shared" si="5"/>
        <v>9576.7</v>
      </c>
      <c r="N94" s="12">
        <v>85</v>
      </c>
      <c r="O94" s="12">
        <v>404089</v>
      </c>
      <c r="P94" s="12">
        <v>77954</v>
      </c>
      <c r="Q94" s="12">
        <v>23094</v>
      </c>
      <c r="R94" s="12">
        <v>15</v>
      </c>
      <c r="S94" s="12">
        <v>89</v>
      </c>
      <c r="T94" s="12">
        <v>430</v>
      </c>
      <c r="U94" s="12">
        <v>292</v>
      </c>
      <c r="V94" s="12">
        <v>165</v>
      </c>
      <c r="W94" s="12">
        <v>101</v>
      </c>
      <c r="X94" s="12">
        <v>29</v>
      </c>
      <c r="Y94" s="12">
        <v>0</v>
      </c>
      <c r="Z94" s="12">
        <v>822</v>
      </c>
      <c r="AA94" s="12">
        <v>71</v>
      </c>
      <c r="AB94" s="12">
        <v>6633</v>
      </c>
      <c r="AC94" s="12">
        <v>309</v>
      </c>
      <c r="AD94" s="12">
        <v>2250</v>
      </c>
      <c r="AE94" s="12">
        <v>0</v>
      </c>
      <c r="AF94" s="12">
        <v>0</v>
      </c>
      <c r="AG94" s="12">
        <v>0</v>
      </c>
      <c r="AH94" s="12">
        <v>0</v>
      </c>
      <c r="AI94" s="12">
        <v>0</v>
      </c>
      <c r="AJ94" s="12">
        <v>0</v>
      </c>
      <c r="AK94" s="12">
        <v>10005</v>
      </c>
      <c r="AL94" s="12">
        <v>54</v>
      </c>
      <c r="AM94" s="12">
        <v>2211</v>
      </c>
      <c r="AN94" s="13">
        <f t="shared" si="6"/>
        <v>8348</v>
      </c>
    </row>
    <row r="95" ht="16.5" spans="1:40">
      <c r="A95">
        <f t="shared" si="8"/>
        <v>110</v>
      </c>
      <c r="B95">
        <f t="shared" si="7"/>
        <v>80</v>
      </c>
      <c r="C95" s="112">
        <v>76</v>
      </c>
      <c r="D95" s="113">
        <v>82.6500000000003</v>
      </c>
      <c r="E95" s="113">
        <v>90.4000000000002</v>
      </c>
      <c r="F95" s="113">
        <v>117.45</v>
      </c>
      <c r="G95" s="113">
        <v>135</v>
      </c>
      <c r="H95" s="12">
        <v>22205</v>
      </c>
      <c r="I95" s="12">
        <v>0</v>
      </c>
      <c r="J95" s="12">
        <v>3337676</v>
      </c>
      <c r="K95" s="12">
        <v>222261</v>
      </c>
      <c r="L95" s="12">
        <v>8751</v>
      </c>
      <c r="M95" s="12">
        <f t="shared" si="5"/>
        <v>9686.7</v>
      </c>
      <c r="N95" s="12">
        <v>86</v>
      </c>
      <c r="O95" s="12">
        <v>409434</v>
      </c>
      <c r="P95" s="12">
        <v>78988</v>
      </c>
      <c r="Q95" s="12">
        <v>23395</v>
      </c>
      <c r="R95" s="12">
        <v>15</v>
      </c>
      <c r="S95" s="12">
        <v>89</v>
      </c>
      <c r="T95" s="12">
        <v>435</v>
      </c>
      <c r="U95" s="12">
        <v>297</v>
      </c>
      <c r="V95" s="12">
        <v>168</v>
      </c>
      <c r="W95" s="12">
        <v>103</v>
      </c>
      <c r="X95" s="12">
        <v>30</v>
      </c>
      <c r="Y95" s="12">
        <v>0</v>
      </c>
      <c r="Z95" s="12">
        <v>832</v>
      </c>
      <c r="AA95" s="12">
        <v>72</v>
      </c>
      <c r="AB95" s="12">
        <v>6699</v>
      </c>
      <c r="AC95" s="12">
        <v>312</v>
      </c>
      <c r="AD95" s="12">
        <v>2280</v>
      </c>
      <c r="AE95" s="12">
        <v>0</v>
      </c>
      <c r="AF95" s="12">
        <v>0</v>
      </c>
      <c r="AG95" s="12">
        <v>0</v>
      </c>
      <c r="AH95" s="12">
        <v>0</v>
      </c>
      <c r="AI95" s="12">
        <v>0</v>
      </c>
      <c r="AJ95" s="12">
        <v>0</v>
      </c>
      <c r="AK95" s="12">
        <v>10110</v>
      </c>
      <c r="AL95" s="12">
        <v>54</v>
      </c>
      <c r="AM95" s="12">
        <v>2235</v>
      </c>
      <c r="AN95" s="13">
        <f t="shared" si="6"/>
        <v>8456</v>
      </c>
    </row>
    <row r="96" ht="16.5" spans="1:40">
      <c r="A96">
        <f t="shared" si="8"/>
        <v>110</v>
      </c>
      <c r="B96">
        <f t="shared" si="7"/>
        <v>80</v>
      </c>
      <c r="C96" s="112">
        <v>77</v>
      </c>
      <c r="D96" s="113">
        <v>82.8000000000003</v>
      </c>
      <c r="E96" s="113">
        <v>90.6000000000002</v>
      </c>
      <c r="F96" s="113">
        <v>117.8</v>
      </c>
      <c r="G96" s="113">
        <v>136</v>
      </c>
      <c r="H96" s="12">
        <v>22285</v>
      </c>
      <c r="I96" s="12">
        <v>0</v>
      </c>
      <c r="J96" s="12">
        <v>3379066</v>
      </c>
      <c r="K96" s="12">
        <v>224304</v>
      </c>
      <c r="L96" s="12">
        <v>8760</v>
      </c>
      <c r="M96" s="12">
        <f t="shared" si="5"/>
        <v>9796.7</v>
      </c>
      <c r="N96" s="12">
        <v>87</v>
      </c>
      <c r="O96" s="12">
        <v>414779</v>
      </c>
      <c r="P96" s="12">
        <v>80021</v>
      </c>
      <c r="Q96" s="12">
        <v>23697</v>
      </c>
      <c r="R96" s="12">
        <v>15</v>
      </c>
      <c r="S96" s="12">
        <v>89</v>
      </c>
      <c r="T96" s="12">
        <v>441</v>
      </c>
      <c r="U96" s="12">
        <v>301</v>
      </c>
      <c r="V96" s="12">
        <v>170</v>
      </c>
      <c r="W96" s="12">
        <v>105</v>
      </c>
      <c r="X96" s="12">
        <v>31</v>
      </c>
      <c r="Y96" s="12">
        <v>0</v>
      </c>
      <c r="Z96" s="12">
        <v>843</v>
      </c>
      <c r="AA96" s="12">
        <v>72</v>
      </c>
      <c r="AB96" s="12">
        <v>6765</v>
      </c>
      <c r="AC96" s="12">
        <v>316</v>
      </c>
      <c r="AD96" s="12">
        <v>2310</v>
      </c>
      <c r="AE96" s="12">
        <v>0</v>
      </c>
      <c r="AF96" s="12">
        <v>0</v>
      </c>
      <c r="AG96" s="12">
        <v>0</v>
      </c>
      <c r="AH96" s="12">
        <v>0</v>
      </c>
      <c r="AI96" s="12">
        <v>0</v>
      </c>
      <c r="AJ96" s="12">
        <v>0</v>
      </c>
      <c r="AK96" s="12">
        <v>10215</v>
      </c>
      <c r="AL96" s="12">
        <v>54</v>
      </c>
      <c r="AM96" s="12">
        <v>2259</v>
      </c>
      <c r="AN96" s="13">
        <f t="shared" si="6"/>
        <v>8541</v>
      </c>
    </row>
    <row r="97" ht="16.5" spans="1:40">
      <c r="A97">
        <f t="shared" si="8"/>
        <v>110</v>
      </c>
      <c r="B97">
        <f t="shared" si="7"/>
        <v>229</v>
      </c>
      <c r="C97" s="112">
        <v>78</v>
      </c>
      <c r="D97" s="113">
        <v>82.9500000000003</v>
      </c>
      <c r="E97" s="113">
        <v>90.8000000000002</v>
      </c>
      <c r="F97" s="113">
        <v>118.15</v>
      </c>
      <c r="G97" s="113">
        <v>137</v>
      </c>
      <c r="H97" s="12">
        <v>22514</v>
      </c>
      <c r="I97" s="12">
        <v>0</v>
      </c>
      <c r="J97" s="12">
        <v>3422804</v>
      </c>
      <c r="K97" s="12">
        <v>227096</v>
      </c>
      <c r="L97" s="12">
        <v>8768</v>
      </c>
      <c r="M97" s="12">
        <f t="shared" si="5"/>
        <v>9906.7</v>
      </c>
      <c r="N97" s="12">
        <v>88</v>
      </c>
      <c r="O97" s="12">
        <v>420624</v>
      </c>
      <c r="P97" s="12">
        <v>81095</v>
      </c>
      <c r="Q97" s="12">
        <v>23998</v>
      </c>
      <c r="R97" s="12">
        <v>15</v>
      </c>
      <c r="S97" s="12">
        <v>89</v>
      </c>
      <c r="T97" s="12">
        <v>446</v>
      </c>
      <c r="U97" s="12">
        <v>306</v>
      </c>
      <c r="V97" s="12">
        <v>173</v>
      </c>
      <c r="W97" s="12">
        <v>107</v>
      </c>
      <c r="X97" s="12">
        <v>32</v>
      </c>
      <c r="Y97" s="12">
        <v>0</v>
      </c>
      <c r="Z97" s="12">
        <v>853</v>
      </c>
      <c r="AA97" s="12">
        <v>73</v>
      </c>
      <c r="AB97" s="12">
        <v>6830</v>
      </c>
      <c r="AC97" s="12">
        <v>319</v>
      </c>
      <c r="AD97" s="12">
        <v>2340</v>
      </c>
      <c r="AE97" s="12">
        <v>0</v>
      </c>
      <c r="AF97" s="12">
        <v>0</v>
      </c>
      <c r="AG97" s="12">
        <v>0</v>
      </c>
      <c r="AH97" s="12">
        <v>0</v>
      </c>
      <c r="AI97" s="12">
        <v>0</v>
      </c>
      <c r="AJ97" s="12">
        <v>0</v>
      </c>
      <c r="AK97" s="12">
        <v>10350</v>
      </c>
      <c r="AL97" s="12">
        <v>54</v>
      </c>
      <c r="AM97" s="12">
        <v>2287</v>
      </c>
      <c r="AN97" s="13">
        <f t="shared" si="6"/>
        <v>8649</v>
      </c>
    </row>
    <row r="98" ht="16.5" spans="1:40">
      <c r="A98">
        <f t="shared" si="8"/>
        <v>110</v>
      </c>
      <c r="B98">
        <f t="shared" si="7"/>
        <v>80</v>
      </c>
      <c r="C98" s="112">
        <v>79</v>
      </c>
      <c r="D98" s="113">
        <v>83.1000000000003</v>
      </c>
      <c r="E98" s="113">
        <v>91.0000000000002</v>
      </c>
      <c r="F98" s="113">
        <v>118.5</v>
      </c>
      <c r="G98" s="113">
        <v>138</v>
      </c>
      <c r="H98" s="12">
        <v>22594</v>
      </c>
      <c r="I98" s="12">
        <v>0</v>
      </c>
      <c r="J98" s="12">
        <v>3464243</v>
      </c>
      <c r="K98" s="12">
        <v>229138</v>
      </c>
      <c r="L98" s="12">
        <v>8777</v>
      </c>
      <c r="M98" s="12">
        <f t="shared" si="5"/>
        <v>10016.7</v>
      </c>
      <c r="N98" s="12">
        <v>88</v>
      </c>
      <c r="O98" s="12">
        <v>425969</v>
      </c>
      <c r="P98" s="12">
        <v>82128</v>
      </c>
      <c r="Q98" s="12">
        <v>24299</v>
      </c>
      <c r="R98" s="12">
        <v>15</v>
      </c>
      <c r="S98" s="12">
        <v>89</v>
      </c>
      <c r="T98" s="12">
        <v>451</v>
      </c>
      <c r="U98" s="12">
        <v>310</v>
      </c>
      <c r="V98" s="12">
        <v>175</v>
      </c>
      <c r="W98" s="12">
        <v>109</v>
      </c>
      <c r="X98" s="12">
        <v>33</v>
      </c>
      <c r="Y98" s="12">
        <v>0</v>
      </c>
      <c r="Z98" s="12">
        <v>863</v>
      </c>
      <c r="AA98" s="12">
        <v>74</v>
      </c>
      <c r="AB98" s="12">
        <v>6896</v>
      </c>
      <c r="AC98" s="12">
        <v>323</v>
      </c>
      <c r="AD98" s="12">
        <v>2370</v>
      </c>
      <c r="AE98" s="12">
        <v>0</v>
      </c>
      <c r="AF98" s="12">
        <v>0</v>
      </c>
      <c r="AG98" s="12">
        <v>0</v>
      </c>
      <c r="AH98" s="12">
        <v>0</v>
      </c>
      <c r="AI98" s="12">
        <v>0</v>
      </c>
      <c r="AJ98" s="12">
        <v>0</v>
      </c>
      <c r="AK98" s="12">
        <v>10455</v>
      </c>
      <c r="AL98" s="12">
        <v>54</v>
      </c>
      <c r="AM98" s="12">
        <v>2311</v>
      </c>
      <c r="AN98" s="13">
        <f t="shared" si="6"/>
        <v>8757</v>
      </c>
    </row>
    <row r="99" ht="16.5" spans="1:40">
      <c r="A99">
        <f t="shared" si="8"/>
        <v>110</v>
      </c>
      <c r="B99">
        <f t="shared" si="7"/>
        <v>79</v>
      </c>
      <c r="C99" s="112">
        <v>80</v>
      </c>
      <c r="D99" s="113">
        <v>83.2500000000003</v>
      </c>
      <c r="E99" s="113">
        <v>91.2000000000002</v>
      </c>
      <c r="F99" s="113">
        <v>118.85</v>
      </c>
      <c r="G99" s="113">
        <v>139</v>
      </c>
      <c r="H99" s="12">
        <v>22673</v>
      </c>
      <c r="I99" s="12">
        <v>0</v>
      </c>
      <c r="J99" s="12">
        <v>3505682</v>
      </c>
      <c r="K99" s="12">
        <v>231180</v>
      </c>
      <c r="L99" s="12">
        <v>8785</v>
      </c>
      <c r="M99" s="12">
        <f t="shared" si="5"/>
        <v>10126.7</v>
      </c>
      <c r="N99" s="12">
        <v>89</v>
      </c>
      <c r="O99" s="12">
        <v>431314</v>
      </c>
      <c r="P99" s="12">
        <v>83162</v>
      </c>
      <c r="Q99" s="12">
        <v>24600</v>
      </c>
      <c r="R99" s="12">
        <v>15</v>
      </c>
      <c r="S99" s="12">
        <v>89</v>
      </c>
      <c r="T99" s="12">
        <v>456</v>
      </c>
      <c r="U99" s="12">
        <v>315</v>
      </c>
      <c r="V99" s="12">
        <v>178</v>
      </c>
      <c r="W99" s="12">
        <v>111</v>
      </c>
      <c r="X99" s="12">
        <v>34</v>
      </c>
      <c r="Y99" s="12">
        <v>0</v>
      </c>
      <c r="Z99" s="12">
        <v>874</v>
      </c>
      <c r="AA99" s="12">
        <v>75</v>
      </c>
      <c r="AB99" s="12">
        <v>6962</v>
      </c>
      <c r="AC99" s="12">
        <v>327</v>
      </c>
      <c r="AD99" s="12">
        <v>2400</v>
      </c>
      <c r="AE99" s="12">
        <v>0</v>
      </c>
      <c r="AF99" s="12">
        <v>0</v>
      </c>
      <c r="AG99" s="12">
        <v>0</v>
      </c>
      <c r="AH99" s="12">
        <v>0</v>
      </c>
      <c r="AI99" s="12">
        <v>0</v>
      </c>
      <c r="AJ99" s="12">
        <v>0</v>
      </c>
      <c r="AK99" s="12">
        <v>10560</v>
      </c>
      <c r="AL99" s="12">
        <v>54</v>
      </c>
      <c r="AM99" s="12">
        <v>2335</v>
      </c>
      <c r="AN99" s="13">
        <f t="shared" si="6"/>
        <v>8870</v>
      </c>
    </row>
    <row r="100" ht="16.5" spans="1:40">
      <c r="A100">
        <f t="shared" si="8"/>
        <v>110</v>
      </c>
      <c r="B100">
        <f t="shared" si="7"/>
        <v>230</v>
      </c>
      <c r="C100" s="112">
        <v>81</v>
      </c>
      <c r="D100" s="113">
        <v>83.4000000000003</v>
      </c>
      <c r="E100" s="113">
        <v>91.4000000000002</v>
      </c>
      <c r="F100" s="113">
        <v>119.2</v>
      </c>
      <c r="G100" s="113">
        <v>140</v>
      </c>
      <c r="H100" s="12">
        <v>22903</v>
      </c>
      <c r="I100" s="12">
        <v>0</v>
      </c>
      <c r="J100" s="12">
        <v>3576969</v>
      </c>
      <c r="K100" s="12">
        <v>233972</v>
      </c>
      <c r="L100" s="12">
        <v>8794</v>
      </c>
      <c r="M100" s="12">
        <f t="shared" si="5"/>
        <v>10236.7</v>
      </c>
      <c r="N100" s="12">
        <v>91</v>
      </c>
      <c r="O100" s="12">
        <v>437159</v>
      </c>
      <c r="P100" s="12">
        <v>84236</v>
      </c>
      <c r="Q100" s="12">
        <v>24902</v>
      </c>
      <c r="R100" s="12">
        <v>15</v>
      </c>
      <c r="S100" s="12">
        <v>89</v>
      </c>
      <c r="T100" s="12">
        <v>461</v>
      </c>
      <c r="U100" s="12">
        <v>319</v>
      </c>
      <c r="V100" s="12">
        <v>181</v>
      </c>
      <c r="W100" s="12">
        <v>112</v>
      </c>
      <c r="X100" s="12">
        <v>34</v>
      </c>
      <c r="Y100" s="12">
        <v>0</v>
      </c>
      <c r="Z100" s="12">
        <v>885</v>
      </c>
      <c r="AA100" s="12">
        <v>76</v>
      </c>
      <c r="AB100" s="12">
        <v>7027</v>
      </c>
      <c r="AC100" s="12">
        <v>330</v>
      </c>
      <c r="AD100" s="12">
        <v>2430</v>
      </c>
      <c r="AE100" s="12">
        <v>0</v>
      </c>
      <c r="AF100" s="12">
        <v>0</v>
      </c>
      <c r="AG100" s="12">
        <v>0</v>
      </c>
      <c r="AH100" s="12">
        <v>0</v>
      </c>
      <c r="AI100" s="12">
        <v>0</v>
      </c>
      <c r="AJ100" s="12">
        <v>0</v>
      </c>
      <c r="AK100" s="12">
        <v>10665</v>
      </c>
      <c r="AL100" s="12">
        <v>57</v>
      </c>
      <c r="AM100" s="12">
        <v>2364</v>
      </c>
      <c r="AN100" s="13">
        <f t="shared" si="6"/>
        <v>8983</v>
      </c>
    </row>
    <row r="101" ht="16.5" spans="1:40">
      <c r="A101">
        <f t="shared" si="8"/>
        <v>110</v>
      </c>
      <c r="B101">
        <f t="shared" si="7"/>
        <v>80</v>
      </c>
      <c r="C101" s="112">
        <v>82</v>
      </c>
      <c r="D101" s="113">
        <v>83.5500000000004</v>
      </c>
      <c r="E101" s="113">
        <v>91.6000000000002</v>
      </c>
      <c r="F101" s="113">
        <v>119.55</v>
      </c>
      <c r="G101" s="113">
        <v>141</v>
      </c>
      <c r="H101" s="12">
        <v>22983</v>
      </c>
      <c r="I101" s="12">
        <v>0</v>
      </c>
      <c r="J101" s="12">
        <v>3618457</v>
      </c>
      <c r="K101" s="12">
        <v>236014</v>
      </c>
      <c r="L101" s="12">
        <v>8802</v>
      </c>
      <c r="M101" s="12">
        <f t="shared" si="5"/>
        <v>10346.7</v>
      </c>
      <c r="N101" s="12">
        <v>92</v>
      </c>
      <c r="O101" s="12">
        <v>442504</v>
      </c>
      <c r="P101" s="12">
        <v>85269</v>
      </c>
      <c r="Q101" s="12">
        <v>25203</v>
      </c>
      <c r="R101" s="12">
        <v>15</v>
      </c>
      <c r="S101" s="12">
        <v>89</v>
      </c>
      <c r="T101" s="12">
        <v>466</v>
      </c>
      <c r="U101" s="12">
        <v>324</v>
      </c>
      <c r="V101" s="12">
        <v>183</v>
      </c>
      <c r="W101" s="12">
        <v>114</v>
      </c>
      <c r="X101" s="12">
        <v>35</v>
      </c>
      <c r="Y101" s="12">
        <v>0</v>
      </c>
      <c r="Z101" s="12">
        <v>896</v>
      </c>
      <c r="AA101" s="12">
        <v>77</v>
      </c>
      <c r="AB101" s="12">
        <v>7093</v>
      </c>
      <c r="AC101" s="12">
        <v>334</v>
      </c>
      <c r="AD101" s="12">
        <v>2460</v>
      </c>
      <c r="AE101" s="12">
        <v>0</v>
      </c>
      <c r="AF101" s="12">
        <v>0</v>
      </c>
      <c r="AG101" s="12">
        <v>0</v>
      </c>
      <c r="AH101" s="12">
        <v>0</v>
      </c>
      <c r="AI101" s="12">
        <v>0</v>
      </c>
      <c r="AJ101" s="12">
        <v>0</v>
      </c>
      <c r="AK101" s="12">
        <v>10770</v>
      </c>
      <c r="AL101" s="12">
        <v>57</v>
      </c>
      <c r="AM101" s="12">
        <v>2388</v>
      </c>
      <c r="AN101" s="13">
        <f t="shared" si="6"/>
        <v>9096</v>
      </c>
    </row>
    <row r="102" ht="16.5" spans="1:40">
      <c r="A102">
        <f t="shared" si="8"/>
        <v>110</v>
      </c>
      <c r="B102">
        <f t="shared" si="7"/>
        <v>79</v>
      </c>
      <c r="C102" s="112">
        <v>83</v>
      </c>
      <c r="D102" s="113">
        <v>83.7000000000004</v>
      </c>
      <c r="E102" s="113">
        <v>91.8000000000002</v>
      </c>
      <c r="F102" s="113">
        <v>119.9</v>
      </c>
      <c r="G102" s="113">
        <v>142</v>
      </c>
      <c r="H102" s="12">
        <v>23062</v>
      </c>
      <c r="I102" s="12">
        <v>0</v>
      </c>
      <c r="J102" s="12">
        <v>3659945</v>
      </c>
      <c r="K102" s="12">
        <v>238057</v>
      </c>
      <c r="L102" s="12">
        <v>8811</v>
      </c>
      <c r="M102" s="12">
        <f t="shared" si="5"/>
        <v>10456.7</v>
      </c>
      <c r="N102" s="12">
        <v>93</v>
      </c>
      <c r="O102" s="12">
        <v>447849</v>
      </c>
      <c r="P102" s="12">
        <v>86303</v>
      </c>
      <c r="Q102" s="12">
        <v>25504</v>
      </c>
      <c r="R102" s="12">
        <v>15</v>
      </c>
      <c r="S102" s="12">
        <v>89</v>
      </c>
      <c r="T102" s="12">
        <v>472</v>
      </c>
      <c r="U102" s="12">
        <v>328</v>
      </c>
      <c r="V102" s="12">
        <v>186</v>
      </c>
      <c r="W102" s="12">
        <v>116</v>
      </c>
      <c r="X102" s="12">
        <v>36</v>
      </c>
      <c r="Y102" s="12">
        <v>0</v>
      </c>
      <c r="Z102" s="12">
        <v>906</v>
      </c>
      <c r="AA102" s="12">
        <v>77</v>
      </c>
      <c r="AB102" s="12">
        <v>7159</v>
      </c>
      <c r="AC102" s="12">
        <v>337</v>
      </c>
      <c r="AD102" s="12">
        <v>2490</v>
      </c>
      <c r="AE102" s="12">
        <v>0</v>
      </c>
      <c r="AF102" s="12">
        <v>0</v>
      </c>
      <c r="AG102" s="12">
        <v>0</v>
      </c>
      <c r="AH102" s="12">
        <v>0</v>
      </c>
      <c r="AI102" s="12">
        <v>0</v>
      </c>
      <c r="AJ102" s="12">
        <v>0</v>
      </c>
      <c r="AK102" s="12">
        <v>10875</v>
      </c>
      <c r="AL102" s="12">
        <v>57</v>
      </c>
      <c r="AM102" s="12">
        <v>2412</v>
      </c>
      <c r="AN102" s="13">
        <f t="shared" si="6"/>
        <v>9176</v>
      </c>
    </row>
    <row r="103" ht="16.5" spans="1:40">
      <c r="A103">
        <f t="shared" si="8"/>
        <v>110</v>
      </c>
      <c r="B103">
        <f t="shared" si="7"/>
        <v>230</v>
      </c>
      <c r="C103" s="112">
        <v>84</v>
      </c>
      <c r="D103" s="113">
        <v>83.8500000000004</v>
      </c>
      <c r="E103" s="113">
        <v>92.0000000000002</v>
      </c>
      <c r="F103" s="113">
        <v>120.25</v>
      </c>
      <c r="G103" s="113">
        <v>143</v>
      </c>
      <c r="H103" s="12">
        <v>23292</v>
      </c>
      <c r="I103" s="12">
        <v>0</v>
      </c>
      <c r="J103" s="12">
        <v>3716401</v>
      </c>
      <c r="K103" s="12">
        <v>240849</v>
      </c>
      <c r="L103" s="12">
        <v>8820</v>
      </c>
      <c r="M103" s="12">
        <f t="shared" si="5"/>
        <v>10566.7</v>
      </c>
      <c r="N103" s="12">
        <v>94</v>
      </c>
      <c r="O103" s="12">
        <v>453694</v>
      </c>
      <c r="P103" s="12">
        <v>87376</v>
      </c>
      <c r="Q103" s="12">
        <v>25805</v>
      </c>
      <c r="R103" s="12">
        <v>15</v>
      </c>
      <c r="S103" s="12">
        <v>89</v>
      </c>
      <c r="T103" s="12">
        <v>475</v>
      </c>
      <c r="U103" s="12">
        <v>333</v>
      </c>
      <c r="V103" s="12">
        <v>188</v>
      </c>
      <c r="W103" s="12">
        <v>119</v>
      </c>
      <c r="X103" s="12">
        <v>37</v>
      </c>
      <c r="Y103" s="12">
        <v>0</v>
      </c>
      <c r="Z103" s="12">
        <v>917</v>
      </c>
      <c r="AA103" s="12">
        <v>78</v>
      </c>
      <c r="AB103" s="12">
        <v>7225</v>
      </c>
      <c r="AC103" s="12">
        <v>341</v>
      </c>
      <c r="AD103" s="12">
        <v>2520</v>
      </c>
      <c r="AE103" s="12">
        <v>0</v>
      </c>
      <c r="AF103" s="12">
        <v>0</v>
      </c>
      <c r="AG103" s="12">
        <v>0</v>
      </c>
      <c r="AH103" s="12">
        <v>0</v>
      </c>
      <c r="AI103" s="12">
        <v>0</v>
      </c>
      <c r="AJ103" s="12">
        <v>0</v>
      </c>
      <c r="AK103" s="12">
        <v>11010</v>
      </c>
      <c r="AL103" s="12">
        <v>57</v>
      </c>
      <c r="AM103" s="12">
        <v>2441</v>
      </c>
      <c r="AN103" s="13">
        <f t="shared" si="6"/>
        <v>9289</v>
      </c>
    </row>
    <row r="104" ht="16.5" spans="1:40">
      <c r="A104">
        <f t="shared" si="8"/>
        <v>110</v>
      </c>
      <c r="B104">
        <f t="shared" si="7"/>
        <v>80</v>
      </c>
      <c r="C104" s="112">
        <v>85</v>
      </c>
      <c r="D104" s="113">
        <v>84.0000000000004</v>
      </c>
      <c r="E104" s="113">
        <v>92.2000000000002</v>
      </c>
      <c r="F104" s="113">
        <v>120.6</v>
      </c>
      <c r="G104" s="113">
        <v>144</v>
      </c>
      <c r="H104" s="12">
        <v>23372</v>
      </c>
      <c r="I104" s="12">
        <v>0</v>
      </c>
      <c r="J104" s="12">
        <v>3758558</v>
      </c>
      <c r="K104" s="12">
        <v>242891</v>
      </c>
      <c r="L104" s="12">
        <v>8828</v>
      </c>
      <c r="M104" s="12">
        <f t="shared" si="5"/>
        <v>10676.7</v>
      </c>
      <c r="N104" s="12">
        <v>95</v>
      </c>
      <c r="O104" s="12">
        <v>459039</v>
      </c>
      <c r="P104" s="12">
        <v>88410</v>
      </c>
      <c r="Q104" s="12">
        <v>26107</v>
      </c>
      <c r="R104" s="12">
        <v>15</v>
      </c>
      <c r="S104" s="12">
        <v>89</v>
      </c>
      <c r="T104" s="12">
        <v>479</v>
      </c>
      <c r="U104" s="12">
        <v>339</v>
      </c>
      <c r="V104" s="12">
        <v>191</v>
      </c>
      <c r="W104" s="12">
        <v>121</v>
      </c>
      <c r="X104" s="12">
        <v>38</v>
      </c>
      <c r="Y104" s="12">
        <v>0</v>
      </c>
      <c r="Z104" s="12">
        <v>927</v>
      </c>
      <c r="AA104" s="12">
        <v>79</v>
      </c>
      <c r="AB104" s="12">
        <v>7290</v>
      </c>
      <c r="AC104" s="12">
        <v>344</v>
      </c>
      <c r="AD104" s="12">
        <v>2550</v>
      </c>
      <c r="AE104" s="12">
        <v>0</v>
      </c>
      <c r="AF104" s="12">
        <v>0</v>
      </c>
      <c r="AG104" s="12">
        <v>0</v>
      </c>
      <c r="AH104" s="12">
        <v>0</v>
      </c>
      <c r="AI104" s="12">
        <v>0</v>
      </c>
      <c r="AJ104" s="12">
        <v>0</v>
      </c>
      <c r="AK104" s="12">
        <v>11115</v>
      </c>
      <c r="AL104" s="12">
        <v>57</v>
      </c>
      <c r="AM104" s="12">
        <v>2464</v>
      </c>
      <c r="AN104" s="13">
        <f t="shared" si="6"/>
        <v>9397</v>
      </c>
    </row>
    <row r="105" ht="16.5" spans="1:40">
      <c r="A105">
        <f t="shared" si="8"/>
        <v>110</v>
      </c>
      <c r="B105">
        <f t="shared" si="7"/>
        <v>79</v>
      </c>
      <c r="C105" s="112">
        <v>86</v>
      </c>
      <c r="D105" s="113">
        <v>84.1500000000004</v>
      </c>
      <c r="E105" s="113">
        <v>92.4000000000002</v>
      </c>
      <c r="F105" s="113">
        <v>120.95</v>
      </c>
      <c r="G105" s="113">
        <v>145</v>
      </c>
      <c r="H105" s="12">
        <v>23451</v>
      </c>
      <c r="I105" s="12">
        <v>0</v>
      </c>
      <c r="J105" s="12">
        <v>3800215</v>
      </c>
      <c r="K105" s="12">
        <v>244933</v>
      </c>
      <c r="L105" s="12">
        <v>8837</v>
      </c>
      <c r="M105" s="12">
        <f t="shared" si="5"/>
        <v>10786.7</v>
      </c>
      <c r="N105" s="12">
        <v>96</v>
      </c>
      <c r="O105" s="12">
        <v>464425</v>
      </c>
      <c r="P105" s="12">
        <v>89444</v>
      </c>
      <c r="Q105" s="12">
        <v>26408</v>
      </c>
      <c r="R105" s="12">
        <v>15</v>
      </c>
      <c r="S105" s="12">
        <v>89</v>
      </c>
      <c r="T105" s="12">
        <v>483</v>
      </c>
      <c r="U105" s="12">
        <v>344</v>
      </c>
      <c r="V105" s="12">
        <v>194</v>
      </c>
      <c r="W105" s="12">
        <v>123</v>
      </c>
      <c r="X105" s="12">
        <v>39</v>
      </c>
      <c r="Y105" s="12">
        <v>0</v>
      </c>
      <c r="Z105" s="12">
        <v>938</v>
      </c>
      <c r="AA105" s="12">
        <v>80</v>
      </c>
      <c r="AB105" s="12">
        <v>7356</v>
      </c>
      <c r="AC105" s="12">
        <v>348</v>
      </c>
      <c r="AD105" s="12">
        <v>2580</v>
      </c>
      <c r="AE105" s="12">
        <v>0</v>
      </c>
      <c r="AF105" s="12">
        <v>0</v>
      </c>
      <c r="AG105" s="12">
        <v>0</v>
      </c>
      <c r="AH105" s="12">
        <v>0</v>
      </c>
      <c r="AI105" s="12">
        <v>0</v>
      </c>
      <c r="AJ105" s="12">
        <v>0</v>
      </c>
      <c r="AK105" s="12">
        <v>11220</v>
      </c>
      <c r="AL105" s="12">
        <v>57</v>
      </c>
      <c r="AM105" s="12">
        <v>2488</v>
      </c>
      <c r="AN105" s="13">
        <f t="shared" si="6"/>
        <v>9510</v>
      </c>
    </row>
    <row r="106" ht="16.5" spans="1:40">
      <c r="A106">
        <f t="shared" si="8"/>
        <v>110</v>
      </c>
      <c r="B106">
        <f t="shared" si="7"/>
        <v>230</v>
      </c>
      <c r="C106" s="112">
        <v>87</v>
      </c>
      <c r="D106" s="113">
        <v>84.3000000000004</v>
      </c>
      <c r="E106" s="113">
        <v>92.6000000000002</v>
      </c>
      <c r="F106" s="113">
        <v>121.3</v>
      </c>
      <c r="G106" s="113">
        <v>146</v>
      </c>
      <c r="H106" s="12">
        <v>23681</v>
      </c>
      <c r="I106" s="12">
        <v>0</v>
      </c>
      <c r="J106" s="12">
        <v>3843720</v>
      </c>
      <c r="K106" s="12">
        <v>247725</v>
      </c>
      <c r="L106" s="12">
        <v>8845</v>
      </c>
      <c r="M106" s="12">
        <f t="shared" ref="M106:M169" si="9">M105+110</f>
        <v>10896.7</v>
      </c>
      <c r="N106" s="12">
        <v>97</v>
      </c>
      <c r="O106" s="12">
        <v>470311</v>
      </c>
      <c r="P106" s="12">
        <v>90517</v>
      </c>
      <c r="Q106" s="12">
        <v>26709</v>
      </c>
      <c r="R106" s="12">
        <v>15</v>
      </c>
      <c r="S106" s="12">
        <v>89</v>
      </c>
      <c r="T106" s="12">
        <v>487</v>
      </c>
      <c r="U106" s="12">
        <v>349</v>
      </c>
      <c r="V106" s="12">
        <v>196</v>
      </c>
      <c r="W106" s="12">
        <v>125</v>
      </c>
      <c r="X106" s="12">
        <v>41</v>
      </c>
      <c r="Y106" s="12">
        <v>0</v>
      </c>
      <c r="Z106" s="12">
        <v>948</v>
      </c>
      <c r="AA106" s="12">
        <v>81</v>
      </c>
      <c r="AB106" s="12">
        <v>7422</v>
      </c>
      <c r="AC106" s="12">
        <v>351</v>
      </c>
      <c r="AD106" s="12">
        <v>2610</v>
      </c>
      <c r="AE106" s="12">
        <v>0</v>
      </c>
      <c r="AF106" s="12">
        <v>0</v>
      </c>
      <c r="AG106" s="12">
        <v>0</v>
      </c>
      <c r="AH106" s="12">
        <v>0</v>
      </c>
      <c r="AI106" s="12">
        <v>0</v>
      </c>
      <c r="AJ106" s="12">
        <v>0</v>
      </c>
      <c r="AK106" s="12">
        <v>11355</v>
      </c>
      <c r="AL106" s="12">
        <v>57</v>
      </c>
      <c r="AM106" s="12">
        <v>2517</v>
      </c>
      <c r="AN106" s="13">
        <f t="shared" si="6"/>
        <v>9618</v>
      </c>
    </row>
    <row r="107" ht="16.5" spans="1:40">
      <c r="A107">
        <f t="shared" si="8"/>
        <v>110</v>
      </c>
      <c r="B107">
        <f t="shared" si="7"/>
        <v>80</v>
      </c>
      <c r="C107" s="112">
        <v>88</v>
      </c>
      <c r="D107" s="113">
        <v>84.4500000000004</v>
      </c>
      <c r="E107" s="113">
        <v>92.8000000000002</v>
      </c>
      <c r="F107" s="113">
        <v>121.65</v>
      </c>
      <c r="G107" s="113">
        <v>147</v>
      </c>
      <c r="H107" s="12">
        <v>23761</v>
      </c>
      <c r="I107" s="12">
        <v>0</v>
      </c>
      <c r="J107" s="12">
        <v>3887926</v>
      </c>
      <c r="K107" s="12">
        <v>249768</v>
      </c>
      <c r="L107" s="12">
        <v>8854</v>
      </c>
      <c r="M107" s="12">
        <f t="shared" si="9"/>
        <v>11006.7</v>
      </c>
      <c r="N107" s="12">
        <v>97</v>
      </c>
      <c r="O107" s="12">
        <v>475698</v>
      </c>
      <c r="P107" s="12">
        <v>91551</v>
      </c>
      <c r="Q107" s="12">
        <v>27010</v>
      </c>
      <c r="R107" s="12">
        <v>15</v>
      </c>
      <c r="S107" s="12">
        <v>89</v>
      </c>
      <c r="T107" s="12">
        <v>490</v>
      </c>
      <c r="U107" s="12">
        <v>354</v>
      </c>
      <c r="V107" s="12">
        <v>199</v>
      </c>
      <c r="W107" s="12">
        <v>127</v>
      </c>
      <c r="X107" s="12">
        <v>42</v>
      </c>
      <c r="Y107" s="12">
        <v>0</v>
      </c>
      <c r="Z107" s="12">
        <v>958</v>
      </c>
      <c r="AA107" s="12">
        <v>82</v>
      </c>
      <c r="AB107" s="12">
        <v>7487</v>
      </c>
      <c r="AC107" s="12">
        <v>355</v>
      </c>
      <c r="AD107" s="12">
        <v>2640</v>
      </c>
      <c r="AE107" s="12">
        <v>0</v>
      </c>
      <c r="AF107" s="12">
        <v>0</v>
      </c>
      <c r="AG107" s="12">
        <v>0</v>
      </c>
      <c r="AH107" s="12">
        <v>0</v>
      </c>
      <c r="AI107" s="12">
        <v>0</v>
      </c>
      <c r="AJ107" s="12">
        <v>0</v>
      </c>
      <c r="AK107" s="12">
        <v>11460</v>
      </c>
      <c r="AL107" s="12">
        <v>57</v>
      </c>
      <c r="AM107" s="12">
        <v>2541</v>
      </c>
      <c r="AN107" s="13">
        <f t="shared" si="6"/>
        <v>9726</v>
      </c>
    </row>
    <row r="108" ht="16.5" spans="1:40">
      <c r="A108">
        <f t="shared" si="8"/>
        <v>110</v>
      </c>
      <c r="B108">
        <f t="shared" si="7"/>
        <v>79</v>
      </c>
      <c r="C108" s="112">
        <v>89</v>
      </c>
      <c r="D108" s="113">
        <v>84.6000000000004</v>
      </c>
      <c r="E108" s="113">
        <v>93.0000000000002</v>
      </c>
      <c r="F108" s="113">
        <v>122</v>
      </c>
      <c r="G108" s="113">
        <v>148</v>
      </c>
      <c r="H108" s="12">
        <v>23840</v>
      </c>
      <c r="I108" s="12">
        <v>0</v>
      </c>
      <c r="J108" s="12">
        <v>3929632</v>
      </c>
      <c r="K108" s="12">
        <v>251810</v>
      </c>
      <c r="L108" s="12">
        <v>8862</v>
      </c>
      <c r="M108" s="12">
        <f t="shared" si="9"/>
        <v>11116.7</v>
      </c>
      <c r="N108" s="12">
        <v>98</v>
      </c>
      <c r="O108" s="12">
        <v>481084</v>
      </c>
      <c r="P108" s="12">
        <v>92584</v>
      </c>
      <c r="Q108" s="12">
        <v>27312</v>
      </c>
      <c r="R108" s="12">
        <v>15</v>
      </c>
      <c r="S108" s="12">
        <v>89</v>
      </c>
      <c r="T108" s="12">
        <v>494</v>
      </c>
      <c r="U108" s="12">
        <v>360</v>
      </c>
      <c r="V108" s="12">
        <v>202</v>
      </c>
      <c r="W108" s="12">
        <v>129</v>
      </c>
      <c r="X108" s="12">
        <v>43</v>
      </c>
      <c r="Y108" s="12">
        <v>0</v>
      </c>
      <c r="Z108" s="12">
        <v>969</v>
      </c>
      <c r="AA108" s="12">
        <v>83</v>
      </c>
      <c r="AB108" s="12">
        <v>7553</v>
      </c>
      <c r="AC108" s="12">
        <v>358</v>
      </c>
      <c r="AD108" s="12">
        <v>2670</v>
      </c>
      <c r="AE108" s="12">
        <v>0</v>
      </c>
      <c r="AF108" s="12">
        <v>0</v>
      </c>
      <c r="AG108" s="12">
        <v>0</v>
      </c>
      <c r="AH108" s="12">
        <v>0</v>
      </c>
      <c r="AI108" s="12">
        <v>0</v>
      </c>
      <c r="AJ108" s="12">
        <v>0</v>
      </c>
      <c r="AK108" s="12">
        <v>11565</v>
      </c>
      <c r="AL108" s="12">
        <v>57</v>
      </c>
      <c r="AM108" s="12">
        <v>2565</v>
      </c>
      <c r="AN108" s="13">
        <f t="shared" si="6"/>
        <v>9839</v>
      </c>
    </row>
    <row r="109" ht="16.5" spans="1:40">
      <c r="A109">
        <f t="shared" si="8"/>
        <v>110</v>
      </c>
      <c r="B109">
        <f t="shared" si="7"/>
        <v>230</v>
      </c>
      <c r="C109" s="112">
        <v>90</v>
      </c>
      <c r="D109" s="113">
        <v>84.7500000000004</v>
      </c>
      <c r="E109" s="113">
        <v>93.2000000000002</v>
      </c>
      <c r="F109" s="113">
        <v>122.35</v>
      </c>
      <c r="G109" s="113">
        <v>149</v>
      </c>
      <c r="H109" s="12">
        <v>24070</v>
      </c>
      <c r="I109" s="12">
        <v>0</v>
      </c>
      <c r="J109" s="12">
        <v>3973186</v>
      </c>
      <c r="K109" s="12">
        <v>254602</v>
      </c>
      <c r="L109" s="12">
        <v>8871</v>
      </c>
      <c r="M109" s="12">
        <f t="shared" si="9"/>
        <v>11226.7</v>
      </c>
      <c r="N109" s="12">
        <v>99</v>
      </c>
      <c r="O109" s="12">
        <v>486970</v>
      </c>
      <c r="P109" s="12">
        <v>93658</v>
      </c>
      <c r="Q109" s="12">
        <v>27613</v>
      </c>
      <c r="R109" s="12">
        <v>15</v>
      </c>
      <c r="S109" s="12">
        <v>89</v>
      </c>
      <c r="T109" s="12">
        <v>498</v>
      </c>
      <c r="U109" s="12">
        <v>365</v>
      </c>
      <c r="V109" s="12">
        <v>205</v>
      </c>
      <c r="W109" s="12">
        <v>132</v>
      </c>
      <c r="X109" s="12">
        <v>44</v>
      </c>
      <c r="Y109" s="12">
        <v>0</v>
      </c>
      <c r="Z109" s="12">
        <v>979</v>
      </c>
      <c r="AA109" s="12">
        <v>83</v>
      </c>
      <c r="AB109" s="12">
        <v>7619</v>
      </c>
      <c r="AC109" s="12">
        <v>362</v>
      </c>
      <c r="AD109" s="12">
        <v>2700</v>
      </c>
      <c r="AE109" s="12">
        <v>0</v>
      </c>
      <c r="AF109" s="12">
        <v>0</v>
      </c>
      <c r="AG109" s="12">
        <v>0</v>
      </c>
      <c r="AH109" s="12">
        <v>0</v>
      </c>
      <c r="AI109" s="12">
        <v>0</v>
      </c>
      <c r="AJ109" s="12">
        <v>0</v>
      </c>
      <c r="AK109" s="12">
        <v>11700</v>
      </c>
      <c r="AL109" s="12">
        <v>57</v>
      </c>
      <c r="AM109" s="12">
        <v>2594</v>
      </c>
      <c r="AN109" s="13">
        <f t="shared" si="6"/>
        <v>9919</v>
      </c>
    </row>
    <row r="110" ht="16.5" spans="1:40">
      <c r="A110">
        <f t="shared" si="8"/>
        <v>110</v>
      </c>
      <c r="B110">
        <f t="shared" si="7"/>
        <v>80</v>
      </c>
      <c r="C110" s="112">
        <v>91</v>
      </c>
      <c r="D110" s="113">
        <v>84.9000000000004</v>
      </c>
      <c r="E110" s="113">
        <v>93.4000000000002</v>
      </c>
      <c r="F110" s="113">
        <v>122.7</v>
      </c>
      <c r="G110" s="113">
        <v>150</v>
      </c>
      <c r="H110" s="12">
        <v>24150</v>
      </c>
      <c r="I110" s="12">
        <v>0</v>
      </c>
      <c r="J110" s="12">
        <v>4014941</v>
      </c>
      <c r="K110" s="12">
        <v>256644</v>
      </c>
      <c r="L110" s="12">
        <v>8880</v>
      </c>
      <c r="M110" s="12">
        <f t="shared" si="9"/>
        <v>11336.7</v>
      </c>
      <c r="N110" s="12">
        <v>100</v>
      </c>
      <c r="O110" s="12">
        <v>492357</v>
      </c>
      <c r="P110" s="12">
        <v>94692</v>
      </c>
      <c r="Q110" s="12">
        <v>27914</v>
      </c>
      <c r="R110" s="12">
        <v>15</v>
      </c>
      <c r="S110" s="12">
        <v>89</v>
      </c>
      <c r="T110" s="12">
        <v>502</v>
      </c>
      <c r="U110" s="12">
        <v>370</v>
      </c>
      <c r="V110" s="12">
        <v>207</v>
      </c>
      <c r="W110" s="12">
        <v>134</v>
      </c>
      <c r="X110" s="12">
        <v>45</v>
      </c>
      <c r="Y110" s="12">
        <v>0</v>
      </c>
      <c r="Z110" s="12">
        <v>990</v>
      </c>
      <c r="AA110" s="12">
        <v>84</v>
      </c>
      <c r="AB110" s="12">
        <v>7685</v>
      </c>
      <c r="AC110" s="12">
        <v>366</v>
      </c>
      <c r="AD110" s="12">
        <v>2730</v>
      </c>
      <c r="AE110" s="12">
        <v>0</v>
      </c>
      <c r="AF110" s="12">
        <v>0</v>
      </c>
      <c r="AG110" s="12">
        <v>0</v>
      </c>
      <c r="AH110" s="12">
        <v>0</v>
      </c>
      <c r="AI110" s="12">
        <v>0</v>
      </c>
      <c r="AJ110" s="12">
        <v>0</v>
      </c>
      <c r="AK110" s="12">
        <v>11805</v>
      </c>
      <c r="AL110" s="12">
        <v>57</v>
      </c>
      <c r="AM110" s="12">
        <v>2618</v>
      </c>
      <c r="AN110" s="13">
        <f t="shared" si="6"/>
        <v>10032</v>
      </c>
    </row>
    <row r="111" ht="16.5" spans="1:40">
      <c r="A111">
        <f t="shared" si="8"/>
        <v>110</v>
      </c>
      <c r="B111">
        <f t="shared" si="7"/>
        <v>79</v>
      </c>
      <c r="C111" s="112">
        <v>92</v>
      </c>
      <c r="D111" s="113">
        <v>85.0500000000004</v>
      </c>
      <c r="E111" s="113">
        <v>93.6000000000002</v>
      </c>
      <c r="F111" s="113">
        <v>123.05</v>
      </c>
      <c r="G111" s="113">
        <v>151</v>
      </c>
      <c r="H111" s="12">
        <v>24229</v>
      </c>
      <c r="I111" s="12">
        <v>0</v>
      </c>
      <c r="J111" s="12">
        <v>4059696</v>
      </c>
      <c r="K111" s="12">
        <v>258686</v>
      </c>
      <c r="L111" s="12">
        <v>8888</v>
      </c>
      <c r="M111" s="12">
        <f t="shared" si="9"/>
        <v>11446.7</v>
      </c>
      <c r="N111" s="12">
        <v>101</v>
      </c>
      <c r="O111" s="12">
        <v>497743</v>
      </c>
      <c r="P111" s="12">
        <v>95725</v>
      </c>
      <c r="Q111" s="12">
        <v>28215</v>
      </c>
      <c r="R111" s="12">
        <v>15</v>
      </c>
      <c r="S111" s="12">
        <v>89</v>
      </c>
      <c r="T111" s="12">
        <v>505</v>
      </c>
      <c r="U111" s="12">
        <v>375</v>
      </c>
      <c r="V111" s="12">
        <v>210</v>
      </c>
      <c r="W111" s="12">
        <v>136</v>
      </c>
      <c r="X111" s="12">
        <v>46</v>
      </c>
      <c r="Y111" s="12">
        <v>0</v>
      </c>
      <c r="Z111" s="12">
        <v>1000</v>
      </c>
      <c r="AA111" s="12">
        <v>85</v>
      </c>
      <c r="AB111" s="12">
        <v>7750</v>
      </c>
      <c r="AC111" s="12">
        <v>369</v>
      </c>
      <c r="AD111" s="12">
        <v>2760</v>
      </c>
      <c r="AE111" s="12">
        <v>0</v>
      </c>
      <c r="AF111" s="12">
        <v>0</v>
      </c>
      <c r="AG111" s="12">
        <v>0</v>
      </c>
      <c r="AH111" s="12">
        <v>0</v>
      </c>
      <c r="AI111" s="12">
        <v>0</v>
      </c>
      <c r="AJ111" s="12">
        <v>0</v>
      </c>
      <c r="AK111" s="12">
        <v>11910</v>
      </c>
      <c r="AL111" s="12">
        <v>57</v>
      </c>
      <c r="AM111" s="12">
        <v>2641</v>
      </c>
      <c r="AN111" s="13">
        <f t="shared" si="6"/>
        <v>10140</v>
      </c>
    </row>
    <row r="112" ht="16.5" spans="1:40">
      <c r="A112">
        <f t="shared" si="8"/>
        <v>110</v>
      </c>
      <c r="B112">
        <f t="shared" si="7"/>
        <v>230</v>
      </c>
      <c r="C112" s="112">
        <v>93</v>
      </c>
      <c r="D112" s="113">
        <v>85.2000000000004</v>
      </c>
      <c r="E112" s="113">
        <v>93.8000000000002</v>
      </c>
      <c r="F112" s="113">
        <v>123.4</v>
      </c>
      <c r="G112" s="113">
        <v>152</v>
      </c>
      <c r="H112" s="12">
        <v>24459</v>
      </c>
      <c r="I112" s="12">
        <v>0</v>
      </c>
      <c r="J112" s="12">
        <v>4132299</v>
      </c>
      <c r="K112" s="12">
        <v>261478</v>
      </c>
      <c r="L112" s="12">
        <v>8897</v>
      </c>
      <c r="M112" s="12">
        <f t="shared" si="9"/>
        <v>11556.7</v>
      </c>
      <c r="N112" s="12">
        <v>102</v>
      </c>
      <c r="O112" s="12">
        <v>503629</v>
      </c>
      <c r="P112" s="12">
        <v>96799</v>
      </c>
      <c r="Q112" s="12">
        <v>28517</v>
      </c>
      <c r="R112" s="12">
        <v>15</v>
      </c>
      <c r="S112" s="12">
        <v>89</v>
      </c>
      <c r="T112" s="12">
        <v>509</v>
      </c>
      <c r="U112" s="12">
        <v>381</v>
      </c>
      <c r="V112" s="12">
        <v>213</v>
      </c>
      <c r="W112" s="12">
        <v>138</v>
      </c>
      <c r="X112" s="12">
        <v>47</v>
      </c>
      <c r="Y112" s="12">
        <v>0</v>
      </c>
      <c r="Z112" s="12">
        <v>1011</v>
      </c>
      <c r="AA112" s="12">
        <v>86</v>
      </c>
      <c r="AB112" s="12">
        <v>7816</v>
      </c>
      <c r="AC112" s="12">
        <v>373</v>
      </c>
      <c r="AD112" s="12">
        <v>2790</v>
      </c>
      <c r="AE112" s="12">
        <v>0</v>
      </c>
      <c r="AF112" s="12">
        <v>0</v>
      </c>
      <c r="AG112" s="12">
        <v>0</v>
      </c>
      <c r="AH112" s="12">
        <v>0</v>
      </c>
      <c r="AI112" s="12">
        <v>0</v>
      </c>
      <c r="AJ112" s="12">
        <v>0</v>
      </c>
      <c r="AK112" s="12">
        <v>12045</v>
      </c>
      <c r="AL112" s="12">
        <v>57</v>
      </c>
      <c r="AM112" s="12">
        <v>2670</v>
      </c>
      <c r="AN112" s="13">
        <f t="shared" si="6"/>
        <v>10253</v>
      </c>
    </row>
    <row r="113" ht="16.5" spans="1:40">
      <c r="A113">
        <f t="shared" si="8"/>
        <v>110</v>
      </c>
      <c r="B113">
        <f t="shared" si="7"/>
        <v>80</v>
      </c>
      <c r="C113" s="112">
        <v>94</v>
      </c>
      <c r="D113" s="113">
        <v>85.3500000000004</v>
      </c>
      <c r="E113" s="113">
        <v>94.0000000000002</v>
      </c>
      <c r="F113" s="113">
        <v>123.75</v>
      </c>
      <c r="G113" s="113">
        <v>153</v>
      </c>
      <c r="H113" s="12">
        <v>24539</v>
      </c>
      <c r="I113" s="12">
        <v>0</v>
      </c>
      <c r="J113" s="12">
        <v>4174103</v>
      </c>
      <c r="K113" s="12">
        <v>263521</v>
      </c>
      <c r="L113" s="12">
        <v>8905</v>
      </c>
      <c r="M113" s="12">
        <f t="shared" si="9"/>
        <v>11666.7</v>
      </c>
      <c r="N113" s="12">
        <v>103</v>
      </c>
      <c r="O113" s="12">
        <v>509016</v>
      </c>
      <c r="P113" s="12">
        <v>97832</v>
      </c>
      <c r="Q113" s="12">
        <v>28818</v>
      </c>
      <c r="R113" s="12">
        <v>15</v>
      </c>
      <c r="S113" s="12">
        <v>89</v>
      </c>
      <c r="T113" s="12">
        <v>513</v>
      </c>
      <c r="U113" s="12">
        <v>386</v>
      </c>
      <c r="V113" s="12">
        <v>215</v>
      </c>
      <c r="W113" s="12">
        <v>140</v>
      </c>
      <c r="X113" s="12">
        <v>48</v>
      </c>
      <c r="Y113" s="12">
        <v>0</v>
      </c>
      <c r="Z113" s="12">
        <v>1021</v>
      </c>
      <c r="AA113" s="12">
        <v>87</v>
      </c>
      <c r="AB113" s="12">
        <v>7882</v>
      </c>
      <c r="AC113" s="12">
        <v>376</v>
      </c>
      <c r="AD113" s="12">
        <v>2820</v>
      </c>
      <c r="AE113" s="12">
        <v>0</v>
      </c>
      <c r="AF113" s="12">
        <v>0</v>
      </c>
      <c r="AG113" s="12">
        <v>0</v>
      </c>
      <c r="AH113" s="12">
        <v>0</v>
      </c>
      <c r="AI113" s="12">
        <v>0</v>
      </c>
      <c r="AJ113" s="12">
        <v>0</v>
      </c>
      <c r="AK113" s="12">
        <v>12150</v>
      </c>
      <c r="AL113" s="12">
        <v>57</v>
      </c>
      <c r="AM113" s="12">
        <v>2694</v>
      </c>
      <c r="AN113" s="13">
        <f t="shared" si="6"/>
        <v>10361</v>
      </c>
    </row>
    <row r="114" ht="16.5" spans="1:40">
      <c r="A114">
        <f t="shared" si="8"/>
        <v>110</v>
      </c>
      <c r="B114">
        <f t="shared" si="7"/>
        <v>79</v>
      </c>
      <c r="C114" s="112">
        <v>95</v>
      </c>
      <c r="D114" s="113">
        <v>85.5000000000004</v>
      </c>
      <c r="E114" s="113">
        <v>94.2000000000002</v>
      </c>
      <c r="F114" s="113">
        <v>124.1</v>
      </c>
      <c r="G114" s="113">
        <v>154</v>
      </c>
      <c r="H114" s="12">
        <v>24618</v>
      </c>
      <c r="I114" s="12">
        <v>0</v>
      </c>
      <c r="J114" s="12">
        <v>4215907</v>
      </c>
      <c r="K114" s="12">
        <v>265563</v>
      </c>
      <c r="L114" s="12">
        <v>8914</v>
      </c>
      <c r="M114" s="12">
        <f t="shared" si="9"/>
        <v>11776.7</v>
      </c>
      <c r="N114" s="12">
        <v>104</v>
      </c>
      <c r="O114" s="12">
        <v>514402</v>
      </c>
      <c r="P114" s="12">
        <v>98866</v>
      </c>
      <c r="Q114" s="12">
        <v>29119</v>
      </c>
      <c r="R114" s="12">
        <v>15</v>
      </c>
      <c r="S114" s="12">
        <v>89</v>
      </c>
      <c r="T114" s="12">
        <v>517</v>
      </c>
      <c r="U114" s="12">
        <v>391</v>
      </c>
      <c r="V114" s="12">
        <v>218</v>
      </c>
      <c r="W114" s="12">
        <v>142</v>
      </c>
      <c r="X114" s="12">
        <v>50</v>
      </c>
      <c r="Y114" s="12">
        <v>0</v>
      </c>
      <c r="Z114" s="12">
        <v>1031</v>
      </c>
      <c r="AA114" s="12">
        <v>88</v>
      </c>
      <c r="AB114" s="12">
        <v>7947</v>
      </c>
      <c r="AC114" s="12">
        <v>380</v>
      </c>
      <c r="AD114" s="12">
        <v>2850</v>
      </c>
      <c r="AE114" s="12">
        <v>0</v>
      </c>
      <c r="AF114" s="12">
        <v>0</v>
      </c>
      <c r="AG114" s="12">
        <v>0</v>
      </c>
      <c r="AH114" s="12">
        <v>0</v>
      </c>
      <c r="AI114" s="12">
        <v>0</v>
      </c>
      <c r="AJ114" s="12">
        <v>0</v>
      </c>
      <c r="AK114" s="12">
        <v>12255</v>
      </c>
      <c r="AL114" s="12">
        <v>57</v>
      </c>
      <c r="AM114" s="12">
        <v>2718</v>
      </c>
      <c r="AN114" s="13">
        <f t="shared" si="6"/>
        <v>10469</v>
      </c>
    </row>
    <row r="115" ht="16.5" spans="1:40">
      <c r="A115">
        <f t="shared" si="8"/>
        <v>110</v>
      </c>
      <c r="B115">
        <f t="shared" si="7"/>
        <v>230</v>
      </c>
      <c r="C115" s="112">
        <v>96</v>
      </c>
      <c r="D115" s="113">
        <v>85.6500000000004</v>
      </c>
      <c r="E115" s="113">
        <v>94.4000000000002</v>
      </c>
      <c r="F115" s="113">
        <v>124.45</v>
      </c>
      <c r="G115" s="113">
        <v>155</v>
      </c>
      <c r="H115" s="12">
        <v>24848</v>
      </c>
      <c r="I115" s="12">
        <v>0</v>
      </c>
      <c r="J115" s="12">
        <v>4262059</v>
      </c>
      <c r="K115" s="12">
        <v>268355</v>
      </c>
      <c r="L115" s="12">
        <v>8922</v>
      </c>
      <c r="M115" s="12">
        <f t="shared" si="9"/>
        <v>11886.7</v>
      </c>
      <c r="N115" s="12">
        <v>106</v>
      </c>
      <c r="O115" s="12">
        <v>520288</v>
      </c>
      <c r="P115" s="12">
        <v>99940</v>
      </c>
      <c r="Q115" s="12">
        <v>29421</v>
      </c>
      <c r="R115" s="12">
        <v>15</v>
      </c>
      <c r="S115" s="12">
        <v>89</v>
      </c>
      <c r="T115" s="12">
        <v>520</v>
      </c>
      <c r="U115" s="12">
        <v>396</v>
      </c>
      <c r="V115" s="12">
        <v>221</v>
      </c>
      <c r="W115" s="12">
        <v>145</v>
      </c>
      <c r="X115" s="12">
        <v>51</v>
      </c>
      <c r="Y115" s="12">
        <v>0</v>
      </c>
      <c r="Z115" s="12">
        <v>1043</v>
      </c>
      <c r="AA115" s="12">
        <v>88</v>
      </c>
      <c r="AB115" s="12">
        <v>8013</v>
      </c>
      <c r="AC115" s="12">
        <v>383</v>
      </c>
      <c r="AD115" s="12">
        <v>2880</v>
      </c>
      <c r="AE115" s="12">
        <v>0</v>
      </c>
      <c r="AF115" s="12">
        <v>0</v>
      </c>
      <c r="AG115" s="12">
        <v>0</v>
      </c>
      <c r="AH115" s="12">
        <v>0</v>
      </c>
      <c r="AI115" s="12">
        <v>0</v>
      </c>
      <c r="AJ115" s="12">
        <v>0</v>
      </c>
      <c r="AK115" s="12">
        <v>12360</v>
      </c>
      <c r="AL115" s="12">
        <v>60</v>
      </c>
      <c r="AM115" s="12">
        <v>2747</v>
      </c>
      <c r="AN115" s="13">
        <f t="shared" si="6"/>
        <v>10559</v>
      </c>
    </row>
    <row r="116" ht="16.5" spans="1:40">
      <c r="A116">
        <f t="shared" si="8"/>
        <v>110</v>
      </c>
      <c r="B116">
        <f t="shared" si="7"/>
        <v>80</v>
      </c>
      <c r="C116" s="112">
        <v>97</v>
      </c>
      <c r="D116" s="113">
        <v>85.8000000000004</v>
      </c>
      <c r="E116" s="113">
        <v>94.6000000000002</v>
      </c>
      <c r="F116" s="113">
        <v>124.8</v>
      </c>
      <c r="G116" s="113">
        <v>156</v>
      </c>
      <c r="H116" s="12">
        <v>24928</v>
      </c>
      <c r="I116" s="12">
        <v>0</v>
      </c>
      <c r="J116" s="12">
        <v>4303912</v>
      </c>
      <c r="K116" s="12">
        <v>270397</v>
      </c>
      <c r="L116" s="12">
        <v>8931</v>
      </c>
      <c r="M116" s="12">
        <f t="shared" si="9"/>
        <v>11996.7</v>
      </c>
      <c r="N116" s="12">
        <v>106</v>
      </c>
      <c r="O116" s="12">
        <v>525675</v>
      </c>
      <c r="P116" s="12">
        <v>100973</v>
      </c>
      <c r="Q116" s="12">
        <v>29722</v>
      </c>
      <c r="R116" s="12">
        <v>15</v>
      </c>
      <c r="S116" s="12">
        <v>89</v>
      </c>
      <c r="T116" s="12">
        <v>524</v>
      </c>
      <c r="U116" s="12">
        <v>402</v>
      </c>
      <c r="V116" s="12">
        <v>223</v>
      </c>
      <c r="W116" s="12">
        <v>147</v>
      </c>
      <c r="X116" s="12">
        <v>52</v>
      </c>
      <c r="Y116" s="12">
        <v>0</v>
      </c>
      <c r="Z116" s="12">
        <v>1053</v>
      </c>
      <c r="AA116" s="12">
        <v>89</v>
      </c>
      <c r="AB116" s="12">
        <v>8079</v>
      </c>
      <c r="AC116" s="12">
        <v>387</v>
      </c>
      <c r="AD116" s="12">
        <v>2910</v>
      </c>
      <c r="AE116" s="12">
        <v>0</v>
      </c>
      <c r="AF116" s="12">
        <v>0</v>
      </c>
      <c r="AG116" s="12">
        <v>0</v>
      </c>
      <c r="AH116" s="12">
        <v>0</v>
      </c>
      <c r="AI116" s="12">
        <v>0</v>
      </c>
      <c r="AJ116" s="12">
        <v>0</v>
      </c>
      <c r="AK116" s="12">
        <v>12465</v>
      </c>
      <c r="AL116" s="12">
        <v>60</v>
      </c>
      <c r="AM116" s="12">
        <v>2771</v>
      </c>
      <c r="AN116" s="13">
        <f t="shared" si="6"/>
        <v>10667</v>
      </c>
    </row>
    <row r="117" ht="16.5" spans="1:40">
      <c r="A117">
        <f t="shared" si="8"/>
        <v>110</v>
      </c>
      <c r="B117">
        <f t="shared" si="7"/>
        <v>79</v>
      </c>
      <c r="C117" s="112">
        <v>98</v>
      </c>
      <c r="D117" s="113">
        <v>85.9500000000004</v>
      </c>
      <c r="E117" s="113">
        <v>94.8000000000002</v>
      </c>
      <c r="F117" s="113">
        <v>125.15</v>
      </c>
      <c r="G117" s="113">
        <v>157</v>
      </c>
      <c r="H117" s="12">
        <v>25007</v>
      </c>
      <c r="I117" s="12">
        <v>0</v>
      </c>
      <c r="J117" s="12">
        <v>4345765</v>
      </c>
      <c r="K117" s="12">
        <v>272439</v>
      </c>
      <c r="L117" s="12">
        <v>8940</v>
      </c>
      <c r="M117" s="12">
        <f t="shared" si="9"/>
        <v>12106.7</v>
      </c>
      <c r="N117" s="12">
        <v>107</v>
      </c>
      <c r="O117" s="12">
        <v>531061</v>
      </c>
      <c r="P117" s="12">
        <v>102007</v>
      </c>
      <c r="Q117" s="12">
        <v>30023</v>
      </c>
      <c r="R117" s="12">
        <v>15</v>
      </c>
      <c r="S117" s="12">
        <v>89</v>
      </c>
      <c r="T117" s="12">
        <v>528</v>
      </c>
      <c r="U117" s="12">
        <v>407</v>
      </c>
      <c r="V117" s="12">
        <v>226</v>
      </c>
      <c r="W117" s="12">
        <v>149</v>
      </c>
      <c r="X117" s="12">
        <v>53</v>
      </c>
      <c r="Y117" s="12">
        <v>0</v>
      </c>
      <c r="Z117" s="12">
        <v>1064</v>
      </c>
      <c r="AA117" s="12">
        <v>90</v>
      </c>
      <c r="AB117" s="12">
        <v>8145</v>
      </c>
      <c r="AC117" s="12">
        <v>390</v>
      </c>
      <c r="AD117" s="12">
        <v>2940</v>
      </c>
      <c r="AE117" s="12">
        <v>0</v>
      </c>
      <c r="AF117" s="12">
        <v>0</v>
      </c>
      <c r="AG117" s="12">
        <v>0</v>
      </c>
      <c r="AH117" s="12">
        <v>0</v>
      </c>
      <c r="AI117" s="12">
        <v>0</v>
      </c>
      <c r="AJ117" s="12">
        <v>0</v>
      </c>
      <c r="AK117" s="12">
        <v>12570</v>
      </c>
      <c r="AL117" s="12">
        <v>60</v>
      </c>
      <c r="AM117" s="12">
        <v>2795</v>
      </c>
      <c r="AN117" s="13">
        <f t="shared" si="6"/>
        <v>10780</v>
      </c>
    </row>
    <row r="118" ht="16.5" spans="1:40">
      <c r="A118">
        <f t="shared" si="8"/>
        <v>110</v>
      </c>
      <c r="B118">
        <f t="shared" si="7"/>
        <v>230</v>
      </c>
      <c r="C118" s="112">
        <v>99</v>
      </c>
      <c r="D118" s="113">
        <v>86.1000000000004</v>
      </c>
      <c r="E118" s="113">
        <v>95.0000000000002</v>
      </c>
      <c r="F118" s="113">
        <v>125.5</v>
      </c>
      <c r="G118" s="113">
        <v>158</v>
      </c>
      <c r="H118" s="12">
        <v>25237</v>
      </c>
      <c r="I118" s="12">
        <v>0</v>
      </c>
      <c r="J118" s="12">
        <v>4389967</v>
      </c>
      <c r="K118" s="12">
        <v>275231</v>
      </c>
      <c r="L118" s="12">
        <v>8948</v>
      </c>
      <c r="M118" s="12">
        <f t="shared" si="9"/>
        <v>12216.7</v>
      </c>
      <c r="N118" s="12">
        <v>108</v>
      </c>
      <c r="O118" s="12">
        <v>536947</v>
      </c>
      <c r="P118" s="12">
        <v>103080</v>
      </c>
      <c r="Q118" s="12">
        <v>30324</v>
      </c>
      <c r="R118" s="12">
        <v>15</v>
      </c>
      <c r="S118" s="12">
        <v>89</v>
      </c>
      <c r="T118" s="12">
        <v>532</v>
      </c>
      <c r="U118" s="12">
        <v>412</v>
      </c>
      <c r="V118" s="12">
        <v>229</v>
      </c>
      <c r="W118" s="12">
        <v>151</v>
      </c>
      <c r="X118" s="12">
        <v>54</v>
      </c>
      <c r="Y118" s="12">
        <v>0</v>
      </c>
      <c r="Z118" s="12">
        <v>1074</v>
      </c>
      <c r="AA118" s="12">
        <v>91</v>
      </c>
      <c r="AB118" s="12">
        <v>8210</v>
      </c>
      <c r="AC118" s="12">
        <v>394</v>
      </c>
      <c r="AD118" s="12">
        <v>2970</v>
      </c>
      <c r="AE118" s="12">
        <v>0</v>
      </c>
      <c r="AF118" s="12">
        <v>0</v>
      </c>
      <c r="AG118" s="12">
        <v>0</v>
      </c>
      <c r="AH118" s="12">
        <v>0</v>
      </c>
      <c r="AI118" s="12">
        <v>0</v>
      </c>
      <c r="AJ118" s="12">
        <v>0</v>
      </c>
      <c r="AK118" s="12">
        <v>12705</v>
      </c>
      <c r="AL118" s="12">
        <v>60</v>
      </c>
      <c r="AM118" s="12">
        <v>2824</v>
      </c>
      <c r="AN118" s="13">
        <f t="shared" si="6"/>
        <v>10888</v>
      </c>
    </row>
    <row r="119" ht="16.5" spans="1:40">
      <c r="A119">
        <f t="shared" si="8"/>
        <v>110</v>
      </c>
      <c r="B119">
        <f t="shared" si="7"/>
        <v>80</v>
      </c>
      <c r="C119" s="112">
        <v>100</v>
      </c>
      <c r="D119" s="113">
        <v>86.2500000000005</v>
      </c>
      <c r="E119" s="113">
        <v>95.2000000000002</v>
      </c>
      <c r="F119" s="113">
        <v>125.85</v>
      </c>
      <c r="G119" s="113">
        <v>159</v>
      </c>
      <c r="H119" s="12">
        <v>25317</v>
      </c>
      <c r="I119" s="12">
        <v>0</v>
      </c>
      <c r="J119" s="12">
        <v>4431868</v>
      </c>
      <c r="K119" s="12">
        <v>277274</v>
      </c>
      <c r="L119" s="12">
        <v>8957</v>
      </c>
      <c r="M119" s="12">
        <f t="shared" si="9"/>
        <v>12326.7</v>
      </c>
      <c r="N119" s="12">
        <v>109</v>
      </c>
      <c r="O119" s="12">
        <v>542375</v>
      </c>
      <c r="P119" s="12">
        <v>104114</v>
      </c>
      <c r="Q119" s="12">
        <v>30626</v>
      </c>
      <c r="R119" s="12">
        <v>15</v>
      </c>
      <c r="S119" s="12">
        <v>89</v>
      </c>
      <c r="T119" s="12">
        <v>535</v>
      </c>
      <c r="U119" s="12">
        <v>417</v>
      </c>
      <c r="V119" s="12">
        <v>232</v>
      </c>
      <c r="W119" s="12">
        <v>153</v>
      </c>
      <c r="X119" s="12">
        <v>55</v>
      </c>
      <c r="Y119" s="12">
        <v>0</v>
      </c>
      <c r="Z119" s="12">
        <v>1085</v>
      </c>
      <c r="AA119" s="12">
        <v>92</v>
      </c>
      <c r="AB119" s="12">
        <v>8276</v>
      </c>
      <c r="AC119" s="12">
        <v>397</v>
      </c>
      <c r="AD119" s="12">
        <v>3000</v>
      </c>
      <c r="AE119" s="12">
        <v>0</v>
      </c>
      <c r="AF119" s="12">
        <v>0</v>
      </c>
      <c r="AG119" s="12">
        <v>0</v>
      </c>
      <c r="AH119" s="12">
        <v>0</v>
      </c>
      <c r="AI119" s="12">
        <v>0</v>
      </c>
      <c r="AJ119" s="12">
        <v>0</v>
      </c>
      <c r="AK119" s="12">
        <v>12810</v>
      </c>
      <c r="AL119" s="12">
        <v>60</v>
      </c>
      <c r="AM119" s="12">
        <v>2847</v>
      </c>
      <c r="AN119" s="13">
        <f t="shared" si="6"/>
        <v>11001</v>
      </c>
    </row>
    <row r="120" ht="16.5" spans="1:40">
      <c r="A120">
        <f t="shared" si="8"/>
        <v>110</v>
      </c>
      <c r="B120">
        <f t="shared" si="7"/>
        <v>79</v>
      </c>
      <c r="C120" s="112">
        <v>101</v>
      </c>
      <c r="D120" s="113">
        <v>86.4000000000005</v>
      </c>
      <c r="E120" s="113">
        <v>95.4000000000002</v>
      </c>
      <c r="F120" s="113">
        <v>126.2</v>
      </c>
      <c r="G120" s="113">
        <v>159.5</v>
      </c>
      <c r="H120" s="12">
        <v>25396</v>
      </c>
      <c r="I120" s="12">
        <v>0</v>
      </c>
      <c r="J120" s="12">
        <v>4473770</v>
      </c>
      <c r="K120" s="12">
        <v>279316</v>
      </c>
      <c r="L120" s="12">
        <v>8965</v>
      </c>
      <c r="M120" s="12">
        <f t="shared" si="9"/>
        <v>12436.7</v>
      </c>
      <c r="N120" s="12">
        <v>110</v>
      </c>
      <c r="O120" s="12">
        <v>547803</v>
      </c>
      <c r="P120" s="12">
        <v>105148</v>
      </c>
      <c r="Q120" s="12">
        <v>30927</v>
      </c>
      <c r="R120" s="12">
        <v>15</v>
      </c>
      <c r="S120" s="12">
        <v>89</v>
      </c>
      <c r="T120" s="12">
        <v>539</v>
      </c>
      <c r="U120" s="12">
        <v>423</v>
      </c>
      <c r="V120" s="12">
        <v>234</v>
      </c>
      <c r="W120" s="12">
        <v>156</v>
      </c>
      <c r="X120" s="12">
        <v>56</v>
      </c>
      <c r="Y120" s="12">
        <v>0</v>
      </c>
      <c r="Z120" s="12">
        <v>1095</v>
      </c>
      <c r="AA120" s="12">
        <v>93</v>
      </c>
      <c r="AB120" s="12">
        <v>8342</v>
      </c>
      <c r="AC120" s="12">
        <v>401</v>
      </c>
      <c r="AD120" s="12">
        <v>3030</v>
      </c>
      <c r="AE120" s="12">
        <v>0</v>
      </c>
      <c r="AF120" s="12">
        <v>0</v>
      </c>
      <c r="AG120" s="12">
        <v>0</v>
      </c>
      <c r="AH120" s="12">
        <v>0</v>
      </c>
      <c r="AI120" s="12">
        <v>0</v>
      </c>
      <c r="AJ120" s="12">
        <v>0</v>
      </c>
      <c r="AK120" s="12">
        <v>12915</v>
      </c>
      <c r="AL120" s="12">
        <v>60</v>
      </c>
      <c r="AM120" s="12">
        <v>2871</v>
      </c>
      <c r="AN120" s="13">
        <f t="shared" si="6"/>
        <v>11109</v>
      </c>
    </row>
    <row r="121" ht="16.5" spans="1:40">
      <c r="A121">
        <f t="shared" si="8"/>
        <v>110</v>
      </c>
      <c r="B121">
        <f t="shared" si="7"/>
        <v>230</v>
      </c>
      <c r="C121" s="112">
        <v>102</v>
      </c>
      <c r="D121" s="113">
        <v>86.5500000000005</v>
      </c>
      <c r="E121" s="113">
        <v>95.6000000000002</v>
      </c>
      <c r="F121" s="113">
        <v>126.55</v>
      </c>
      <c r="G121" s="113">
        <v>160</v>
      </c>
      <c r="H121" s="12">
        <v>25626</v>
      </c>
      <c r="I121" s="12">
        <v>0</v>
      </c>
      <c r="J121" s="12">
        <v>4517521</v>
      </c>
      <c r="K121" s="12">
        <v>282108</v>
      </c>
      <c r="L121" s="12">
        <v>8974</v>
      </c>
      <c r="M121" s="12">
        <f t="shared" si="9"/>
        <v>12546.7</v>
      </c>
      <c r="N121" s="12">
        <v>111</v>
      </c>
      <c r="O121" s="12">
        <v>553731</v>
      </c>
      <c r="P121" s="12">
        <v>106221</v>
      </c>
      <c r="Q121" s="12">
        <v>31228</v>
      </c>
      <c r="R121" s="12">
        <v>15</v>
      </c>
      <c r="S121" s="12">
        <v>89</v>
      </c>
      <c r="T121" s="12">
        <v>543</v>
      </c>
      <c r="U121" s="12">
        <v>428</v>
      </c>
      <c r="V121" s="12">
        <v>237</v>
      </c>
      <c r="W121" s="12">
        <v>158</v>
      </c>
      <c r="X121" s="12">
        <v>57</v>
      </c>
      <c r="Y121" s="12">
        <v>0</v>
      </c>
      <c r="Z121" s="12">
        <v>1105</v>
      </c>
      <c r="AA121" s="12">
        <v>93</v>
      </c>
      <c r="AB121" s="12">
        <v>8407</v>
      </c>
      <c r="AC121" s="12">
        <v>405</v>
      </c>
      <c r="AD121" s="12">
        <v>3060</v>
      </c>
      <c r="AE121" s="12">
        <v>0</v>
      </c>
      <c r="AF121" s="12">
        <v>0</v>
      </c>
      <c r="AG121" s="12">
        <v>0</v>
      </c>
      <c r="AH121" s="12">
        <v>0</v>
      </c>
      <c r="AI121" s="12">
        <v>0</v>
      </c>
      <c r="AJ121" s="12">
        <v>0</v>
      </c>
      <c r="AK121" s="12">
        <v>13050</v>
      </c>
      <c r="AL121" s="12">
        <v>60</v>
      </c>
      <c r="AM121" s="12">
        <v>2900</v>
      </c>
      <c r="AN121" s="13">
        <f t="shared" si="6"/>
        <v>11189</v>
      </c>
    </row>
    <row r="122" ht="16.5" spans="1:40">
      <c r="A122">
        <f t="shared" si="8"/>
        <v>110</v>
      </c>
      <c r="B122">
        <f t="shared" si="7"/>
        <v>80</v>
      </c>
      <c r="C122" s="112">
        <v>103</v>
      </c>
      <c r="D122" s="113">
        <v>86.7000000000005</v>
      </c>
      <c r="E122" s="113">
        <v>95.8000000000002</v>
      </c>
      <c r="F122" s="113">
        <v>126.9</v>
      </c>
      <c r="G122" s="113">
        <v>160.5</v>
      </c>
      <c r="H122" s="12">
        <v>25706</v>
      </c>
      <c r="I122" s="12">
        <v>0</v>
      </c>
      <c r="J122" s="12">
        <v>4559471</v>
      </c>
      <c r="K122" s="12">
        <v>284150</v>
      </c>
      <c r="L122" s="12">
        <v>8982</v>
      </c>
      <c r="M122" s="12">
        <f t="shared" si="9"/>
        <v>12656.7</v>
      </c>
      <c r="N122" s="12">
        <v>112</v>
      </c>
      <c r="O122" s="12">
        <v>559159</v>
      </c>
      <c r="P122" s="12">
        <v>107255</v>
      </c>
      <c r="Q122" s="12">
        <v>31529</v>
      </c>
      <c r="R122" s="12">
        <v>15</v>
      </c>
      <c r="S122" s="12">
        <v>89</v>
      </c>
      <c r="T122" s="12">
        <v>547</v>
      </c>
      <c r="U122" s="12">
        <v>433</v>
      </c>
      <c r="V122" s="12">
        <v>240</v>
      </c>
      <c r="W122" s="12">
        <v>160</v>
      </c>
      <c r="X122" s="12">
        <v>59</v>
      </c>
      <c r="Y122" s="12">
        <v>0</v>
      </c>
      <c r="Z122" s="12">
        <v>1116</v>
      </c>
      <c r="AA122" s="12">
        <v>94</v>
      </c>
      <c r="AB122" s="12">
        <v>8473</v>
      </c>
      <c r="AC122" s="12">
        <v>408</v>
      </c>
      <c r="AD122" s="12">
        <v>3090</v>
      </c>
      <c r="AE122" s="12">
        <v>0</v>
      </c>
      <c r="AF122" s="12">
        <v>0</v>
      </c>
      <c r="AG122" s="12">
        <v>0</v>
      </c>
      <c r="AH122" s="12">
        <v>0</v>
      </c>
      <c r="AI122" s="12">
        <v>0</v>
      </c>
      <c r="AJ122" s="12">
        <v>0</v>
      </c>
      <c r="AK122" s="12">
        <v>13155</v>
      </c>
      <c r="AL122" s="12">
        <v>60</v>
      </c>
      <c r="AM122" s="12">
        <v>2924</v>
      </c>
      <c r="AN122" s="13">
        <f t="shared" si="6"/>
        <v>11302</v>
      </c>
    </row>
    <row r="123" ht="16.5" spans="1:40">
      <c r="A123">
        <f t="shared" si="8"/>
        <v>110</v>
      </c>
      <c r="B123">
        <f t="shared" si="7"/>
        <v>79</v>
      </c>
      <c r="C123" s="112">
        <v>104</v>
      </c>
      <c r="D123" s="113">
        <v>86.8500000000005</v>
      </c>
      <c r="E123" s="113">
        <v>96.0000000000002</v>
      </c>
      <c r="F123" s="113">
        <v>127.25</v>
      </c>
      <c r="G123" s="113">
        <v>161</v>
      </c>
      <c r="H123" s="12">
        <v>25785</v>
      </c>
      <c r="I123" s="12">
        <v>0</v>
      </c>
      <c r="J123" s="12">
        <v>4601422</v>
      </c>
      <c r="K123" s="12">
        <v>286192</v>
      </c>
      <c r="L123" s="12">
        <v>8991</v>
      </c>
      <c r="M123" s="12">
        <f t="shared" si="9"/>
        <v>12766.7</v>
      </c>
      <c r="N123" s="12">
        <v>113</v>
      </c>
      <c r="O123" s="12">
        <v>564586</v>
      </c>
      <c r="P123" s="12">
        <v>108288</v>
      </c>
      <c r="Q123" s="12">
        <v>31831</v>
      </c>
      <c r="R123" s="12">
        <v>15</v>
      </c>
      <c r="S123" s="12">
        <v>89</v>
      </c>
      <c r="T123" s="12">
        <v>550</v>
      </c>
      <c r="U123" s="12">
        <v>438</v>
      </c>
      <c r="V123" s="12">
        <v>242</v>
      </c>
      <c r="W123" s="12">
        <v>162</v>
      </c>
      <c r="X123" s="12">
        <v>60</v>
      </c>
      <c r="Y123" s="12">
        <v>0</v>
      </c>
      <c r="Z123" s="12">
        <v>1126</v>
      </c>
      <c r="AA123" s="12">
        <v>95</v>
      </c>
      <c r="AB123" s="12">
        <v>8539</v>
      </c>
      <c r="AC123" s="12">
        <v>412</v>
      </c>
      <c r="AD123" s="12">
        <v>3120</v>
      </c>
      <c r="AE123" s="12">
        <v>0</v>
      </c>
      <c r="AF123" s="12">
        <v>0</v>
      </c>
      <c r="AG123" s="12">
        <v>0</v>
      </c>
      <c r="AH123" s="12">
        <v>0</v>
      </c>
      <c r="AI123" s="12">
        <v>0</v>
      </c>
      <c r="AJ123" s="12">
        <v>0</v>
      </c>
      <c r="AK123" s="12">
        <v>13260</v>
      </c>
      <c r="AL123" s="12">
        <v>60</v>
      </c>
      <c r="AM123" s="12">
        <v>2948</v>
      </c>
      <c r="AN123" s="13">
        <f t="shared" si="6"/>
        <v>11410</v>
      </c>
    </row>
    <row r="124" ht="16.5" spans="1:40">
      <c r="A124">
        <f t="shared" si="8"/>
        <v>110</v>
      </c>
      <c r="B124">
        <f t="shared" si="7"/>
        <v>230</v>
      </c>
      <c r="C124" s="112">
        <v>105</v>
      </c>
      <c r="D124" s="113">
        <v>87.0000000000005</v>
      </c>
      <c r="E124" s="113">
        <v>96.2000000000002</v>
      </c>
      <c r="F124" s="113">
        <v>127.6</v>
      </c>
      <c r="G124" s="113">
        <v>161.5</v>
      </c>
      <c r="H124" s="12">
        <v>26015</v>
      </c>
      <c r="I124" s="12">
        <v>0</v>
      </c>
      <c r="J124" s="12">
        <v>4675222</v>
      </c>
      <c r="K124" s="12">
        <v>288985</v>
      </c>
      <c r="L124" s="12">
        <v>9000</v>
      </c>
      <c r="M124" s="12">
        <f t="shared" si="9"/>
        <v>12876.7</v>
      </c>
      <c r="N124" s="12">
        <v>113</v>
      </c>
      <c r="O124" s="12">
        <v>570514</v>
      </c>
      <c r="P124" s="12">
        <v>109362</v>
      </c>
      <c r="Q124" s="12">
        <v>32132</v>
      </c>
      <c r="R124" s="12">
        <v>15</v>
      </c>
      <c r="S124" s="12">
        <v>89</v>
      </c>
      <c r="T124" s="12">
        <v>554</v>
      </c>
      <c r="U124" s="12">
        <v>444</v>
      </c>
      <c r="V124" s="12">
        <v>245</v>
      </c>
      <c r="W124" s="12">
        <v>164</v>
      </c>
      <c r="X124" s="12">
        <v>61</v>
      </c>
      <c r="Y124" s="12">
        <v>0</v>
      </c>
      <c r="Z124" s="12">
        <v>1137</v>
      </c>
      <c r="AA124" s="12">
        <v>96</v>
      </c>
      <c r="AB124" s="12">
        <v>8605</v>
      </c>
      <c r="AC124" s="12">
        <v>415</v>
      </c>
      <c r="AD124" s="12">
        <v>3150</v>
      </c>
      <c r="AE124" s="12">
        <v>0</v>
      </c>
      <c r="AF124" s="12">
        <v>0</v>
      </c>
      <c r="AG124" s="12">
        <v>0</v>
      </c>
      <c r="AH124" s="12">
        <v>0</v>
      </c>
      <c r="AI124" s="12">
        <v>0</v>
      </c>
      <c r="AJ124" s="12">
        <v>0</v>
      </c>
      <c r="AK124" s="12">
        <v>13395</v>
      </c>
      <c r="AL124" s="12">
        <v>60</v>
      </c>
      <c r="AM124" s="12">
        <v>2977</v>
      </c>
      <c r="AN124" s="13">
        <f t="shared" si="6"/>
        <v>11523</v>
      </c>
    </row>
    <row r="125" ht="16.5" spans="1:40">
      <c r="A125">
        <f t="shared" si="8"/>
        <v>110</v>
      </c>
      <c r="B125">
        <f t="shared" si="7"/>
        <v>80</v>
      </c>
      <c r="C125" s="112">
        <v>106</v>
      </c>
      <c r="D125" s="113">
        <v>87.1500000000005</v>
      </c>
      <c r="E125" s="113">
        <v>96.4000000000002</v>
      </c>
      <c r="F125" s="113">
        <v>127.95</v>
      </c>
      <c r="G125" s="113">
        <v>162</v>
      </c>
      <c r="H125" s="12">
        <v>26095</v>
      </c>
      <c r="I125" s="12">
        <v>0</v>
      </c>
      <c r="J125" s="12">
        <v>4717721</v>
      </c>
      <c r="K125" s="12">
        <v>291027</v>
      </c>
      <c r="L125" s="12">
        <v>9008</v>
      </c>
      <c r="M125" s="12">
        <f t="shared" si="9"/>
        <v>12986.7</v>
      </c>
      <c r="N125" s="12">
        <v>114</v>
      </c>
      <c r="O125" s="12">
        <v>575942</v>
      </c>
      <c r="P125" s="12">
        <v>110396</v>
      </c>
      <c r="Q125" s="12">
        <v>32433</v>
      </c>
      <c r="R125" s="12">
        <v>15</v>
      </c>
      <c r="S125" s="12">
        <v>89</v>
      </c>
      <c r="T125" s="12">
        <v>558</v>
      </c>
      <c r="U125" s="12">
        <v>449</v>
      </c>
      <c r="V125" s="12">
        <v>248</v>
      </c>
      <c r="W125" s="12">
        <v>166</v>
      </c>
      <c r="X125" s="12">
        <v>62</v>
      </c>
      <c r="Y125" s="12">
        <v>0</v>
      </c>
      <c r="Z125" s="12">
        <v>1147</v>
      </c>
      <c r="AA125" s="12">
        <v>97</v>
      </c>
      <c r="AB125" s="12">
        <v>8670</v>
      </c>
      <c r="AC125" s="12">
        <v>419</v>
      </c>
      <c r="AD125" s="12">
        <v>3180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  <c r="AK125" s="12">
        <v>13500</v>
      </c>
      <c r="AL125" s="12">
        <v>60</v>
      </c>
      <c r="AM125" s="12">
        <v>3001</v>
      </c>
      <c r="AN125" s="13">
        <f t="shared" si="6"/>
        <v>11631</v>
      </c>
    </row>
    <row r="126" ht="16.5" spans="1:40">
      <c r="A126">
        <f t="shared" si="8"/>
        <v>110</v>
      </c>
      <c r="B126">
        <f t="shared" si="7"/>
        <v>79</v>
      </c>
      <c r="C126" s="112">
        <v>107</v>
      </c>
      <c r="D126" s="113">
        <v>87.3000000000005</v>
      </c>
      <c r="E126" s="113">
        <v>96.6000000000002</v>
      </c>
      <c r="F126" s="113">
        <v>128.3</v>
      </c>
      <c r="G126" s="113">
        <v>162.5</v>
      </c>
      <c r="H126" s="12">
        <v>26174</v>
      </c>
      <c r="I126" s="12">
        <v>0</v>
      </c>
      <c r="J126" s="12">
        <v>4759721</v>
      </c>
      <c r="K126" s="12">
        <v>293069</v>
      </c>
      <c r="L126" s="12">
        <v>9017</v>
      </c>
      <c r="M126" s="12">
        <f t="shared" si="9"/>
        <v>13096.7</v>
      </c>
      <c r="N126" s="12">
        <v>115</v>
      </c>
      <c r="O126" s="12">
        <v>581370</v>
      </c>
      <c r="P126" s="12">
        <v>111429</v>
      </c>
      <c r="Q126" s="12">
        <v>32734</v>
      </c>
      <c r="R126" s="12">
        <v>15</v>
      </c>
      <c r="S126" s="12">
        <v>89</v>
      </c>
      <c r="T126" s="12">
        <v>562</v>
      </c>
      <c r="U126" s="12">
        <v>454</v>
      </c>
      <c r="V126" s="12">
        <v>250</v>
      </c>
      <c r="W126" s="12">
        <v>169</v>
      </c>
      <c r="X126" s="12">
        <v>63</v>
      </c>
      <c r="Y126" s="12">
        <v>0</v>
      </c>
      <c r="Z126" s="12">
        <v>1158</v>
      </c>
      <c r="AA126" s="12">
        <v>98</v>
      </c>
      <c r="AB126" s="12">
        <v>8736</v>
      </c>
      <c r="AC126" s="12">
        <v>422</v>
      </c>
      <c r="AD126" s="12">
        <v>3210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  <c r="AK126" s="12">
        <v>13605</v>
      </c>
      <c r="AL126" s="12">
        <v>60</v>
      </c>
      <c r="AM126" s="12">
        <v>3024</v>
      </c>
      <c r="AN126" s="13">
        <f t="shared" si="6"/>
        <v>11744</v>
      </c>
    </row>
    <row r="127" ht="16.5" spans="1:40">
      <c r="A127">
        <f t="shared" si="8"/>
        <v>110</v>
      </c>
      <c r="B127">
        <f t="shared" si="7"/>
        <v>230</v>
      </c>
      <c r="C127" s="112">
        <v>108</v>
      </c>
      <c r="D127" s="113">
        <v>87.4500000000005</v>
      </c>
      <c r="E127" s="113">
        <v>96.8000000000003</v>
      </c>
      <c r="F127" s="113">
        <v>128.65</v>
      </c>
      <c r="G127" s="113">
        <v>163</v>
      </c>
      <c r="H127" s="12">
        <v>26404</v>
      </c>
      <c r="I127" s="12">
        <v>0</v>
      </c>
      <c r="J127" s="12">
        <v>4803570</v>
      </c>
      <c r="K127" s="12">
        <v>295861</v>
      </c>
      <c r="L127" s="12">
        <v>9025</v>
      </c>
      <c r="M127" s="12">
        <f t="shared" si="9"/>
        <v>13206.7</v>
      </c>
      <c r="N127" s="12">
        <v>116</v>
      </c>
      <c r="O127" s="12">
        <v>587298</v>
      </c>
      <c r="P127" s="12">
        <v>112503</v>
      </c>
      <c r="Q127" s="12">
        <v>33036</v>
      </c>
      <c r="R127" s="12">
        <v>15</v>
      </c>
      <c r="S127" s="12">
        <v>89</v>
      </c>
      <c r="T127" s="12">
        <v>565</v>
      </c>
      <c r="U127" s="12">
        <v>459</v>
      </c>
      <c r="V127" s="12">
        <v>253</v>
      </c>
      <c r="W127" s="12">
        <v>171</v>
      </c>
      <c r="X127" s="12">
        <v>64</v>
      </c>
      <c r="Y127" s="12">
        <v>0</v>
      </c>
      <c r="Z127" s="12">
        <v>1168</v>
      </c>
      <c r="AA127" s="12">
        <v>98</v>
      </c>
      <c r="AB127" s="12">
        <v>8802</v>
      </c>
      <c r="AC127" s="12">
        <v>426</v>
      </c>
      <c r="AD127" s="12">
        <v>3240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  <c r="AK127" s="12">
        <v>13740</v>
      </c>
      <c r="AL127" s="12">
        <v>60</v>
      </c>
      <c r="AM127" s="12">
        <v>3053</v>
      </c>
      <c r="AN127" s="13">
        <f t="shared" si="6"/>
        <v>11824</v>
      </c>
    </row>
    <row r="128" ht="16.5" spans="1:40">
      <c r="A128">
        <f t="shared" si="8"/>
        <v>110</v>
      </c>
      <c r="B128">
        <f t="shared" si="7"/>
        <v>80</v>
      </c>
      <c r="C128" s="112">
        <v>109</v>
      </c>
      <c r="D128" s="113">
        <v>87.6000000000005</v>
      </c>
      <c r="E128" s="113">
        <v>97.0000000000003</v>
      </c>
      <c r="F128" s="113">
        <v>129</v>
      </c>
      <c r="G128" s="113">
        <v>163.5</v>
      </c>
      <c r="H128" s="12">
        <v>26484</v>
      </c>
      <c r="I128" s="12">
        <v>0</v>
      </c>
      <c r="J128" s="12">
        <v>4845618</v>
      </c>
      <c r="K128" s="12">
        <v>297903</v>
      </c>
      <c r="L128" s="12">
        <v>9034</v>
      </c>
      <c r="M128" s="12">
        <f t="shared" si="9"/>
        <v>13316.7</v>
      </c>
      <c r="N128" s="12">
        <v>117</v>
      </c>
      <c r="O128" s="12">
        <v>592725</v>
      </c>
      <c r="P128" s="12">
        <v>113536</v>
      </c>
      <c r="Q128" s="12">
        <v>33337</v>
      </c>
      <c r="R128" s="12">
        <v>15</v>
      </c>
      <c r="S128" s="12">
        <v>89</v>
      </c>
      <c r="T128" s="12">
        <v>569</v>
      </c>
      <c r="U128" s="12">
        <v>465</v>
      </c>
      <c r="V128" s="12">
        <v>256</v>
      </c>
      <c r="W128" s="12">
        <v>173</v>
      </c>
      <c r="X128" s="12">
        <v>65</v>
      </c>
      <c r="Y128" s="12">
        <v>0</v>
      </c>
      <c r="Z128" s="12">
        <v>1179</v>
      </c>
      <c r="AA128" s="12">
        <v>99</v>
      </c>
      <c r="AB128" s="12">
        <v>8867</v>
      </c>
      <c r="AC128" s="12">
        <v>429</v>
      </c>
      <c r="AD128" s="12">
        <v>3270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  <c r="AK128" s="12">
        <v>13845</v>
      </c>
      <c r="AL128" s="12">
        <v>60</v>
      </c>
      <c r="AM128" s="12">
        <v>3077</v>
      </c>
      <c r="AN128" s="13">
        <f t="shared" si="6"/>
        <v>11937</v>
      </c>
    </row>
    <row r="129" ht="16.5" spans="1:40">
      <c r="A129">
        <f t="shared" si="8"/>
        <v>110</v>
      </c>
      <c r="B129">
        <f t="shared" si="7"/>
        <v>79</v>
      </c>
      <c r="C129" s="112">
        <v>110</v>
      </c>
      <c r="D129" s="113">
        <v>87.7500000000005</v>
      </c>
      <c r="E129" s="113">
        <v>97.2000000000003</v>
      </c>
      <c r="F129" s="113">
        <v>129.35</v>
      </c>
      <c r="G129" s="113">
        <v>164</v>
      </c>
      <c r="H129" s="12">
        <v>26563</v>
      </c>
      <c r="I129" s="12">
        <v>0</v>
      </c>
      <c r="J129" s="12">
        <v>4887667</v>
      </c>
      <c r="K129" s="12">
        <v>299945</v>
      </c>
      <c r="L129" s="12">
        <v>9042</v>
      </c>
      <c r="M129" s="12">
        <f t="shared" si="9"/>
        <v>13426.7</v>
      </c>
      <c r="N129" s="12">
        <v>118</v>
      </c>
      <c r="O129" s="12">
        <v>598153</v>
      </c>
      <c r="P129" s="12">
        <v>114570</v>
      </c>
      <c r="Q129" s="12">
        <v>33638</v>
      </c>
      <c r="R129" s="12">
        <v>15</v>
      </c>
      <c r="S129" s="12">
        <v>89</v>
      </c>
      <c r="T129" s="12">
        <v>573</v>
      </c>
      <c r="U129" s="12">
        <v>470</v>
      </c>
      <c r="V129" s="12">
        <v>259</v>
      </c>
      <c r="W129" s="12">
        <v>175</v>
      </c>
      <c r="X129" s="12">
        <v>66</v>
      </c>
      <c r="Y129" s="12">
        <v>0</v>
      </c>
      <c r="Z129" s="12">
        <v>1189</v>
      </c>
      <c r="AA129" s="12">
        <v>100</v>
      </c>
      <c r="AB129" s="12">
        <v>8933</v>
      </c>
      <c r="AC129" s="12">
        <v>433</v>
      </c>
      <c r="AD129" s="12">
        <v>3300</v>
      </c>
      <c r="AE129" s="12">
        <v>0</v>
      </c>
      <c r="AF129" s="12">
        <v>0</v>
      </c>
      <c r="AG129" s="12">
        <v>0</v>
      </c>
      <c r="AH129" s="12">
        <v>0</v>
      </c>
      <c r="AI129" s="12">
        <v>0</v>
      </c>
      <c r="AJ129" s="12">
        <v>0</v>
      </c>
      <c r="AK129" s="12">
        <v>13950</v>
      </c>
      <c r="AL129" s="12">
        <v>60</v>
      </c>
      <c r="AM129" s="12">
        <v>3101</v>
      </c>
      <c r="AN129" s="13">
        <f t="shared" si="6"/>
        <v>12045</v>
      </c>
    </row>
    <row r="130" ht="16.5" spans="1:40">
      <c r="A130">
        <f t="shared" si="8"/>
        <v>110</v>
      </c>
      <c r="B130">
        <f t="shared" si="7"/>
        <v>230</v>
      </c>
      <c r="C130" s="112">
        <v>111</v>
      </c>
      <c r="D130" s="113">
        <v>87.9000000000005</v>
      </c>
      <c r="E130" s="113">
        <v>97.4000000000003</v>
      </c>
      <c r="F130" s="113">
        <v>129.7</v>
      </c>
      <c r="G130" s="113">
        <v>164.5</v>
      </c>
      <c r="H130" s="12">
        <v>26793</v>
      </c>
      <c r="I130" s="12">
        <v>0</v>
      </c>
      <c r="J130" s="12">
        <v>4931565</v>
      </c>
      <c r="K130" s="12">
        <v>302738</v>
      </c>
      <c r="L130" s="12">
        <v>9051</v>
      </c>
      <c r="M130" s="12">
        <f t="shared" si="9"/>
        <v>13536.7</v>
      </c>
      <c r="N130" s="12">
        <v>120</v>
      </c>
      <c r="O130" s="12">
        <v>604081</v>
      </c>
      <c r="P130" s="12">
        <v>115644</v>
      </c>
      <c r="Q130" s="12">
        <v>33939</v>
      </c>
      <c r="R130" s="12">
        <v>15</v>
      </c>
      <c r="S130" s="12">
        <v>89</v>
      </c>
      <c r="T130" s="12">
        <v>577</v>
      </c>
      <c r="U130" s="12">
        <v>475</v>
      </c>
      <c r="V130" s="12">
        <v>261</v>
      </c>
      <c r="W130" s="12">
        <v>177</v>
      </c>
      <c r="X130" s="12">
        <v>68</v>
      </c>
      <c r="Y130" s="12">
        <v>0</v>
      </c>
      <c r="Z130" s="12">
        <v>1200</v>
      </c>
      <c r="AA130" s="12">
        <v>101</v>
      </c>
      <c r="AB130" s="12">
        <v>8999</v>
      </c>
      <c r="AC130" s="12">
        <v>436</v>
      </c>
      <c r="AD130" s="12">
        <v>3330</v>
      </c>
      <c r="AE130" s="12">
        <v>0</v>
      </c>
      <c r="AF130" s="12">
        <v>0</v>
      </c>
      <c r="AG130" s="12">
        <v>0</v>
      </c>
      <c r="AH130" s="12">
        <v>0</v>
      </c>
      <c r="AI130" s="12">
        <v>0</v>
      </c>
      <c r="AJ130" s="12">
        <v>0</v>
      </c>
      <c r="AK130" s="12">
        <v>14055</v>
      </c>
      <c r="AL130" s="12">
        <v>63</v>
      </c>
      <c r="AM130" s="12">
        <v>3130</v>
      </c>
      <c r="AN130" s="13">
        <f t="shared" si="6"/>
        <v>12158</v>
      </c>
    </row>
    <row r="131" ht="16.5" spans="1:40">
      <c r="A131">
        <f t="shared" si="8"/>
        <v>110</v>
      </c>
      <c r="B131">
        <f t="shared" si="7"/>
        <v>80</v>
      </c>
      <c r="C131" s="112">
        <v>112</v>
      </c>
      <c r="D131" s="113">
        <v>88.0500000000005</v>
      </c>
      <c r="E131" s="113">
        <v>97.6000000000003</v>
      </c>
      <c r="F131" s="113">
        <v>130.05</v>
      </c>
      <c r="G131" s="113">
        <v>165</v>
      </c>
      <c r="H131" s="12">
        <v>26873</v>
      </c>
      <c r="I131" s="12">
        <v>0</v>
      </c>
      <c r="J131" s="12">
        <v>4973662</v>
      </c>
      <c r="K131" s="12">
        <v>304780</v>
      </c>
      <c r="L131" s="12">
        <v>9060</v>
      </c>
      <c r="M131" s="12">
        <f t="shared" si="9"/>
        <v>13646.7</v>
      </c>
      <c r="N131" s="12">
        <v>121</v>
      </c>
      <c r="O131" s="12">
        <v>609509</v>
      </c>
      <c r="P131" s="12">
        <v>116677</v>
      </c>
      <c r="Q131" s="12">
        <v>34241</v>
      </c>
      <c r="R131" s="12">
        <v>15</v>
      </c>
      <c r="S131" s="12">
        <v>89</v>
      </c>
      <c r="T131" s="12">
        <v>580</v>
      </c>
      <c r="U131" s="12">
        <v>480</v>
      </c>
      <c r="V131" s="12">
        <v>264</v>
      </c>
      <c r="W131" s="12">
        <v>179</v>
      </c>
      <c r="X131" s="12">
        <v>69</v>
      </c>
      <c r="Y131" s="12">
        <v>0</v>
      </c>
      <c r="Z131" s="12">
        <v>1211</v>
      </c>
      <c r="AA131" s="12">
        <v>102</v>
      </c>
      <c r="AB131" s="12">
        <v>9065</v>
      </c>
      <c r="AC131" s="12">
        <v>440</v>
      </c>
      <c r="AD131" s="12">
        <v>3360</v>
      </c>
      <c r="AE131" s="12">
        <v>0</v>
      </c>
      <c r="AF131" s="12">
        <v>0</v>
      </c>
      <c r="AG131" s="12">
        <v>0</v>
      </c>
      <c r="AH131" s="12">
        <v>0</v>
      </c>
      <c r="AI131" s="12">
        <v>0</v>
      </c>
      <c r="AJ131" s="12">
        <v>0</v>
      </c>
      <c r="AK131" s="12">
        <v>14160</v>
      </c>
      <c r="AL131" s="12">
        <v>63</v>
      </c>
      <c r="AM131" s="12">
        <v>3154</v>
      </c>
      <c r="AN131" s="13">
        <f t="shared" si="6"/>
        <v>12271</v>
      </c>
    </row>
    <row r="132" ht="16.5" spans="1:40">
      <c r="A132">
        <f t="shared" si="8"/>
        <v>110</v>
      </c>
      <c r="B132">
        <f t="shared" si="7"/>
        <v>79</v>
      </c>
      <c r="C132" s="112">
        <v>113</v>
      </c>
      <c r="D132" s="113">
        <v>88.2000000000005</v>
      </c>
      <c r="E132" s="113">
        <v>97.8000000000003</v>
      </c>
      <c r="F132" s="113">
        <v>130.4</v>
      </c>
      <c r="G132" s="113">
        <v>165.5</v>
      </c>
      <c r="H132" s="12">
        <v>26952</v>
      </c>
      <c r="I132" s="12">
        <v>0</v>
      </c>
      <c r="J132" s="12">
        <v>5016260</v>
      </c>
      <c r="K132" s="12">
        <v>306822</v>
      </c>
      <c r="L132" s="12">
        <v>9068</v>
      </c>
      <c r="M132" s="12">
        <f t="shared" si="9"/>
        <v>13756.7</v>
      </c>
      <c r="N132" s="12">
        <v>122</v>
      </c>
      <c r="O132" s="12">
        <v>614937</v>
      </c>
      <c r="P132" s="12">
        <v>117711</v>
      </c>
      <c r="Q132" s="12">
        <v>34542</v>
      </c>
      <c r="R132" s="12">
        <v>15</v>
      </c>
      <c r="S132" s="12">
        <v>89</v>
      </c>
      <c r="T132" s="12">
        <v>584</v>
      </c>
      <c r="U132" s="12">
        <v>486</v>
      </c>
      <c r="V132" s="12">
        <v>267</v>
      </c>
      <c r="W132" s="12">
        <v>182</v>
      </c>
      <c r="X132" s="12">
        <v>70</v>
      </c>
      <c r="Y132" s="12">
        <v>0</v>
      </c>
      <c r="Z132" s="12">
        <v>1221</v>
      </c>
      <c r="AA132" s="12">
        <v>103</v>
      </c>
      <c r="AB132" s="12">
        <v>9130</v>
      </c>
      <c r="AC132" s="12">
        <v>443</v>
      </c>
      <c r="AD132" s="12">
        <v>3390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  <c r="AK132" s="12">
        <v>14265</v>
      </c>
      <c r="AL132" s="12">
        <v>63</v>
      </c>
      <c r="AM132" s="12">
        <v>3178</v>
      </c>
      <c r="AN132" s="13">
        <f t="shared" si="6"/>
        <v>12379</v>
      </c>
    </row>
    <row r="133" ht="16.5" spans="1:40">
      <c r="A133">
        <f t="shared" si="8"/>
        <v>110</v>
      </c>
      <c r="B133">
        <f t="shared" si="7"/>
        <v>230</v>
      </c>
      <c r="C133" s="112">
        <v>114</v>
      </c>
      <c r="D133" s="113">
        <v>88.3500000000005</v>
      </c>
      <c r="E133" s="113">
        <v>98.0000000000003</v>
      </c>
      <c r="F133" s="113">
        <v>130.75</v>
      </c>
      <c r="G133" s="113">
        <v>166</v>
      </c>
      <c r="H133" s="12">
        <v>27182</v>
      </c>
      <c r="I133" s="12">
        <v>0</v>
      </c>
      <c r="J133" s="12">
        <v>5070827</v>
      </c>
      <c r="K133" s="12">
        <v>309614</v>
      </c>
      <c r="L133" s="12">
        <v>9077</v>
      </c>
      <c r="M133" s="12">
        <f t="shared" si="9"/>
        <v>13866.7</v>
      </c>
      <c r="N133" s="12">
        <v>122</v>
      </c>
      <c r="O133" s="12">
        <v>620864</v>
      </c>
      <c r="P133" s="12">
        <v>118785</v>
      </c>
      <c r="Q133" s="12">
        <v>34843</v>
      </c>
      <c r="R133" s="12">
        <v>15</v>
      </c>
      <c r="S133" s="12">
        <v>89</v>
      </c>
      <c r="T133" s="12">
        <v>586</v>
      </c>
      <c r="U133" s="12">
        <v>492</v>
      </c>
      <c r="V133" s="12">
        <v>270</v>
      </c>
      <c r="W133" s="12">
        <v>184</v>
      </c>
      <c r="X133" s="12">
        <v>71</v>
      </c>
      <c r="Y133" s="12">
        <v>0</v>
      </c>
      <c r="Z133" s="12">
        <v>1232</v>
      </c>
      <c r="AA133" s="12">
        <v>106</v>
      </c>
      <c r="AB133" s="12">
        <v>9196</v>
      </c>
      <c r="AC133" s="12">
        <v>447</v>
      </c>
      <c r="AD133" s="12">
        <v>3420</v>
      </c>
      <c r="AE133" s="12">
        <v>0</v>
      </c>
      <c r="AF133" s="12">
        <v>0</v>
      </c>
      <c r="AG133" s="12">
        <v>0</v>
      </c>
      <c r="AH133" s="12">
        <v>0</v>
      </c>
      <c r="AI133" s="12">
        <v>0</v>
      </c>
      <c r="AJ133" s="12">
        <v>0</v>
      </c>
      <c r="AK133" s="12">
        <v>14400</v>
      </c>
      <c r="AL133" s="12">
        <v>63</v>
      </c>
      <c r="AM133" s="12">
        <v>3206</v>
      </c>
      <c r="AN133" s="13">
        <f t="shared" si="6"/>
        <v>12548</v>
      </c>
    </row>
    <row r="134" ht="16.5" spans="1:40">
      <c r="A134">
        <f t="shared" si="8"/>
        <v>110</v>
      </c>
      <c r="B134">
        <f t="shared" si="7"/>
        <v>79</v>
      </c>
      <c r="C134" s="112">
        <v>115</v>
      </c>
      <c r="D134" s="113">
        <v>88.5000000000005</v>
      </c>
      <c r="E134" s="113">
        <v>98.2000000000003</v>
      </c>
      <c r="F134" s="113">
        <v>131.1</v>
      </c>
      <c r="G134" s="113">
        <v>166.5</v>
      </c>
      <c r="H134" s="12">
        <v>27261</v>
      </c>
      <c r="I134" s="12">
        <v>0</v>
      </c>
      <c r="J134" s="12">
        <v>5113093</v>
      </c>
      <c r="K134" s="12">
        <v>311656</v>
      </c>
      <c r="L134" s="12">
        <v>9085</v>
      </c>
      <c r="M134" s="12">
        <f t="shared" si="9"/>
        <v>13976.7</v>
      </c>
      <c r="N134" s="12">
        <v>123</v>
      </c>
      <c r="O134" s="12">
        <v>626334</v>
      </c>
      <c r="P134" s="12">
        <v>119818</v>
      </c>
      <c r="Q134" s="12">
        <v>35144</v>
      </c>
      <c r="R134" s="12">
        <v>15</v>
      </c>
      <c r="S134" s="12">
        <v>89</v>
      </c>
      <c r="T134" s="12">
        <v>588</v>
      </c>
      <c r="U134" s="12">
        <v>498</v>
      </c>
      <c r="V134" s="12">
        <v>273</v>
      </c>
      <c r="W134" s="12">
        <v>186</v>
      </c>
      <c r="X134" s="12">
        <v>73</v>
      </c>
      <c r="Y134" s="12">
        <v>0</v>
      </c>
      <c r="Z134" s="12">
        <v>1242</v>
      </c>
      <c r="AA134" s="12">
        <v>106</v>
      </c>
      <c r="AB134" s="12">
        <v>9262</v>
      </c>
      <c r="AC134" s="12">
        <v>451</v>
      </c>
      <c r="AD134" s="12">
        <v>3450</v>
      </c>
      <c r="AE134" s="12">
        <v>0</v>
      </c>
      <c r="AF134" s="12">
        <v>0</v>
      </c>
      <c r="AG134" s="12">
        <v>0</v>
      </c>
      <c r="AH134" s="12">
        <v>0</v>
      </c>
      <c r="AI134" s="12">
        <v>0</v>
      </c>
      <c r="AJ134" s="12">
        <v>0</v>
      </c>
      <c r="AK134" s="12">
        <v>14505</v>
      </c>
      <c r="AL134" s="12">
        <v>63</v>
      </c>
      <c r="AM134" s="12">
        <v>3230</v>
      </c>
      <c r="AN134" s="13">
        <f t="shared" si="6"/>
        <v>12628</v>
      </c>
    </row>
    <row r="135" ht="16.5" spans="1:40">
      <c r="A135">
        <f t="shared" si="8"/>
        <v>110</v>
      </c>
      <c r="B135">
        <f t="shared" si="7"/>
        <v>80</v>
      </c>
      <c r="C135" s="112">
        <v>116</v>
      </c>
      <c r="D135" s="113">
        <v>88.6500000000005</v>
      </c>
      <c r="E135" s="113">
        <v>98.4000000000003</v>
      </c>
      <c r="F135" s="113">
        <v>131.45</v>
      </c>
      <c r="G135" s="113">
        <v>167</v>
      </c>
      <c r="H135" s="12">
        <v>27341</v>
      </c>
      <c r="I135" s="12">
        <v>0</v>
      </c>
      <c r="J135" s="12">
        <v>5155360</v>
      </c>
      <c r="K135" s="12">
        <v>313699</v>
      </c>
      <c r="L135" s="12">
        <v>9094</v>
      </c>
      <c r="M135" s="12">
        <f t="shared" si="9"/>
        <v>14086.7</v>
      </c>
      <c r="N135" s="12">
        <v>124</v>
      </c>
      <c r="O135" s="12">
        <v>631803</v>
      </c>
      <c r="P135" s="12">
        <v>120852</v>
      </c>
      <c r="Q135" s="12">
        <v>35446</v>
      </c>
      <c r="R135" s="12">
        <v>15</v>
      </c>
      <c r="S135" s="12">
        <v>89</v>
      </c>
      <c r="T135" s="12">
        <v>590</v>
      </c>
      <c r="U135" s="12">
        <v>504</v>
      </c>
      <c r="V135" s="12">
        <v>276</v>
      </c>
      <c r="W135" s="12">
        <v>189</v>
      </c>
      <c r="X135" s="12">
        <v>74</v>
      </c>
      <c r="Y135" s="12">
        <v>0</v>
      </c>
      <c r="Z135" s="12">
        <v>1253</v>
      </c>
      <c r="AA135" s="12">
        <v>107</v>
      </c>
      <c r="AB135" s="12">
        <v>9327</v>
      </c>
      <c r="AC135" s="12">
        <v>454</v>
      </c>
      <c r="AD135" s="12">
        <v>3480</v>
      </c>
      <c r="AE135" s="12">
        <v>0</v>
      </c>
      <c r="AF135" s="12">
        <v>0</v>
      </c>
      <c r="AG135" s="12">
        <v>0</v>
      </c>
      <c r="AH135" s="12">
        <v>0</v>
      </c>
      <c r="AI135" s="12">
        <v>0</v>
      </c>
      <c r="AJ135" s="12">
        <v>0</v>
      </c>
      <c r="AK135" s="12">
        <v>14610</v>
      </c>
      <c r="AL135" s="12">
        <v>63</v>
      </c>
      <c r="AM135" s="12">
        <v>3254</v>
      </c>
      <c r="AN135" s="13">
        <f t="shared" si="6"/>
        <v>12741</v>
      </c>
    </row>
    <row r="136" ht="16.5" spans="1:40">
      <c r="A136">
        <f t="shared" si="8"/>
        <v>110</v>
      </c>
      <c r="B136">
        <f t="shared" si="7"/>
        <v>230</v>
      </c>
      <c r="C136" s="112">
        <v>117</v>
      </c>
      <c r="D136" s="113">
        <v>88.8000000000006</v>
      </c>
      <c r="E136" s="113">
        <v>98.6000000000003</v>
      </c>
      <c r="F136" s="113">
        <v>131.8</v>
      </c>
      <c r="G136" s="113">
        <v>167.5</v>
      </c>
      <c r="H136" s="12">
        <v>27571</v>
      </c>
      <c r="I136" s="12">
        <v>0</v>
      </c>
      <c r="J136" s="12">
        <v>5230476</v>
      </c>
      <c r="K136" s="12">
        <v>316491</v>
      </c>
      <c r="L136" s="12">
        <v>9102</v>
      </c>
      <c r="M136" s="12">
        <f t="shared" si="9"/>
        <v>14196.7</v>
      </c>
      <c r="N136" s="12">
        <v>125</v>
      </c>
      <c r="O136" s="12">
        <v>637772</v>
      </c>
      <c r="P136" s="12">
        <v>121925</v>
      </c>
      <c r="Q136" s="12">
        <v>35747</v>
      </c>
      <c r="R136" s="12">
        <v>15</v>
      </c>
      <c r="S136" s="12">
        <v>89</v>
      </c>
      <c r="T136" s="12">
        <v>592</v>
      </c>
      <c r="U136" s="12">
        <v>510</v>
      </c>
      <c r="V136" s="12">
        <v>279</v>
      </c>
      <c r="W136" s="12">
        <v>191</v>
      </c>
      <c r="X136" s="12">
        <v>75</v>
      </c>
      <c r="Y136" s="12">
        <v>0</v>
      </c>
      <c r="Z136" s="12">
        <v>1263</v>
      </c>
      <c r="AA136" s="12">
        <v>108</v>
      </c>
      <c r="AB136" s="12">
        <v>9393</v>
      </c>
      <c r="AC136" s="12">
        <v>458</v>
      </c>
      <c r="AD136" s="12">
        <v>3510</v>
      </c>
      <c r="AE136" s="12">
        <v>0</v>
      </c>
      <c r="AF136" s="12">
        <v>0</v>
      </c>
      <c r="AG136" s="12">
        <v>0</v>
      </c>
      <c r="AH136" s="12">
        <v>0</v>
      </c>
      <c r="AI136" s="12">
        <v>0</v>
      </c>
      <c r="AJ136" s="12">
        <v>0</v>
      </c>
      <c r="AK136" s="12">
        <v>14745</v>
      </c>
      <c r="AL136" s="12">
        <v>63</v>
      </c>
      <c r="AM136" s="12">
        <v>3283</v>
      </c>
      <c r="AN136" s="13">
        <f t="shared" si="6"/>
        <v>12849</v>
      </c>
    </row>
    <row r="137" ht="16.5" spans="1:40">
      <c r="A137">
        <f t="shared" si="8"/>
        <v>110</v>
      </c>
      <c r="B137">
        <f t="shared" si="7"/>
        <v>79</v>
      </c>
      <c r="C137" s="112">
        <v>118</v>
      </c>
      <c r="D137" s="113">
        <v>88.9500000000006</v>
      </c>
      <c r="E137" s="113">
        <v>98.8000000000003</v>
      </c>
      <c r="F137" s="113">
        <v>132.15</v>
      </c>
      <c r="G137" s="113">
        <v>168</v>
      </c>
      <c r="H137" s="12">
        <v>27650</v>
      </c>
      <c r="I137" s="12">
        <v>0</v>
      </c>
      <c r="J137" s="12">
        <v>5272791</v>
      </c>
      <c r="K137" s="12">
        <v>318533</v>
      </c>
      <c r="L137" s="12">
        <v>9111</v>
      </c>
      <c r="M137" s="12">
        <f t="shared" si="9"/>
        <v>14306.7</v>
      </c>
      <c r="N137" s="12">
        <v>126</v>
      </c>
      <c r="O137" s="12">
        <v>643241</v>
      </c>
      <c r="P137" s="12">
        <v>122959</v>
      </c>
      <c r="Q137" s="12">
        <v>36048</v>
      </c>
      <c r="R137" s="12">
        <v>15</v>
      </c>
      <c r="S137" s="12">
        <v>89</v>
      </c>
      <c r="T137" s="12">
        <v>594</v>
      </c>
      <c r="U137" s="12">
        <v>516</v>
      </c>
      <c r="V137" s="12">
        <v>282</v>
      </c>
      <c r="W137" s="12">
        <v>194</v>
      </c>
      <c r="X137" s="12">
        <v>77</v>
      </c>
      <c r="Y137" s="12">
        <v>1</v>
      </c>
      <c r="Z137" s="12">
        <v>1273</v>
      </c>
      <c r="AA137" s="12">
        <v>109</v>
      </c>
      <c r="AB137" s="12">
        <v>9459</v>
      </c>
      <c r="AC137" s="12">
        <v>461</v>
      </c>
      <c r="AD137" s="12">
        <v>3540</v>
      </c>
      <c r="AE137" s="12">
        <v>0</v>
      </c>
      <c r="AF137" s="12">
        <v>0</v>
      </c>
      <c r="AG137" s="12">
        <v>0</v>
      </c>
      <c r="AH137" s="12">
        <v>0</v>
      </c>
      <c r="AI137" s="12">
        <v>0</v>
      </c>
      <c r="AJ137" s="12">
        <v>0</v>
      </c>
      <c r="AK137" s="12">
        <v>14850</v>
      </c>
      <c r="AL137" s="12">
        <v>63</v>
      </c>
      <c r="AM137" s="12">
        <v>3307</v>
      </c>
      <c r="AN137" s="13">
        <f t="shared" si="6"/>
        <v>12957</v>
      </c>
    </row>
    <row r="138" ht="16.5" spans="1:40">
      <c r="A138">
        <f t="shared" si="8"/>
        <v>110</v>
      </c>
      <c r="B138">
        <f t="shared" si="7"/>
        <v>80</v>
      </c>
      <c r="C138" s="112">
        <v>119</v>
      </c>
      <c r="D138" s="113">
        <v>89.1000000000006</v>
      </c>
      <c r="E138" s="113">
        <v>99.0000000000003</v>
      </c>
      <c r="F138" s="113">
        <v>132.5</v>
      </c>
      <c r="G138" s="113">
        <v>168.5</v>
      </c>
      <c r="H138" s="12">
        <v>27730</v>
      </c>
      <c r="I138" s="12">
        <v>0</v>
      </c>
      <c r="J138" s="12">
        <v>5315107</v>
      </c>
      <c r="K138" s="12">
        <v>320575</v>
      </c>
      <c r="L138" s="12">
        <v>9120</v>
      </c>
      <c r="M138" s="12">
        <f t="shared" si="9"/>
        <v>14416.7</v>
      </c>
      <c r="N138" s="12">
        <v>127</v>
      </c>
      <c r="O138" s="12">
        <v>648710</v>
      </c>
      <c r="P138" s="12">
        <v>123993</v>
      </c>
      <c r="Q138" s="12">
        <v>36350</v>
      </c>
      <c r="R138" s="12">
        <v>15</v>
      </c>
      <c r="S138" s="12">
        <v>89</v>
      </c>
      <c r="T138" s="12">
        <v>596</v>
      </c>
      <c r="U138" s="12">
        <v>522</v>
      </c>
      <c r="V138" s="12">
        <v>285</v>
      </c>
      <c r="W138" s="12">
        <v>196</v>
      </c>
      <c r="X138" s="12">
        <v>78</v>
      </c>
      <c r="Y138" s="12">
        <v>1</v>
      </c>
      <c r="Z138" s="12">
        <v>1284</v>
      </c>
      <c r="AA138" s="12">
        <v>110</v>
      </c>
      <c r="AB138" s="12">
        <v>9525</v>
      </c>
      <c r="AC138" s="12">
        <v>465</v>
      </c>
      <c r="AD138" s="12">
        <v>3570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  <c r="AJ138" s="12">
        <v>0</v>
      </c>
      <c r="AK138" s="12">
        <v>14955</v>
      </c>
      <c r="AL138" s="12">
        <v>63</v>
      </c>
      <c r="AM138" s="12">
        <v>3331</v>
      </c>
      <c r="AN138" s="13">
        <f t="shared" si="6"/>
        <v>13070</v>
      </c>
    </row>
    <row r="139" ht="16.5" spans="1:40">
      <c r="A139">
        <f t="shared" si="8"/>
        <v>110</v>
      </c>
      <c r="B139">
        <f t="shared" si="7"/>
        <v>230</v>
      </c>
      <c r="C139" s="112">
        <v>120</v>
      </c>
      <c r="D139" s="113">
        <v>89.2500000000006</v>
      </c>
      <c r="E139" s="113">
        <v>99.2000000000003</v>
      </c>
      <c r="F139" s="113">
        <v>132.85</v>
      </c>
      <c r="G139" s="113">
        <v>169</v>
      </c>
      <c r="H139" s="12">
        <v>27960</v>
      </c>
      <c r="I139" s="12">
        <v>0</v>
      </c>
      <c r="J139" s="12">
        <v>5359772</v>
      </c>
      <c r="K139" s="12">
        <v>323367</v>
      </c>
      <c r="L139" s="12">
        <v>9128</v>
      </c>
      <c r="M139" s="12">
        <f t="shared" si="9"/>
        <v>14526.7</v>
      </c>
      <c r="N139" s="12">
        <v>128</v>
      </c>
      <c r="O139" s="12">
        <v>654679</v>
      </c>
      <c r="P139" s="12">
        <v>125066</v>
      </c>
      <c r="Q139" s="12">
        <v>36651</v>
      </c>
      <c r="R139" s="12">
        <v>15</v>
      </c>
      <c r="S139" s="12">
        <v>89</v>
      </c>
      <c r="T139" s="12">
        <v>598</v>
      </c>
      <c r="U139" s="12">
        <v>528</v>
      </c>
      <c r="V139" s="12">
        <v>288</v>
      </c>
      <c r="W139" s="12">
        <v>198</v>
      </c>
      <c r="X139" s="12">
        <v>79</v>
      </c>
      <c r="Y139" s="12">
        <v>1</v>
      </c>
      <c r="Z139" s="12">
        <v>1294</v>
      </c>
      <c r="AA139" s="12">
        <v>111</v>
      </c>
      <c r="AB139" s="12">
        <v>9590</v>
      </c>
      <c r="AC139" s="12">
        <v>468</v>
      </c>
      <c r="AD139" s="12">
        <v>3600</v>
      </c>
      <c r="AE139" s="12">
        <v>0</v>
      </c>
      <c r="AF139" s="12">
        <v>0</v>
      </c>
      <c r="AG139" s="12">
        <v>0</v>
      </c>
      <c r="AH139" s="12">
        <v>0</v>
      </c>
      <c r="AI139" s="12">
        <v>0</v>
      </c>
      <c r="AJ139" s="12">
        <v>0</v>
      </c>
      <c r="AK139" s="12">
        <v>15090</v>
      </c>
      <c r="AL139" s="12">
        <v>63</v>
      </c>
      <c r="AM139" s="12">
        <v>3360</v>
      </c>
      <c r="AN139" s="13">
        <f t="shared" si="6"/>
        <v>13178</v>
      </c>
    </row>
    <row r="140" ht="16.5" spans="1:40">
      <c r="A140">
        <f t="shared" si="8"/>
        <v>110</v>
      </c>
      <c r="B140">
        <f t="shared" si="7"/>
        <v>79</v>
      </c>
      <c r="C140" s="112">
        <v>121</v>
      </c>
      <c r="D140" s="113">
        <v>89.4000000000006</v>
      </c>
      <c r="E140" s="113">
        <v>99.4000000000003</v>
      </c>
      <c r="F140" s="113">
        <v>133.2</v>
      </c>
      <c r="G140" s="113">
        <v>169.5</v>
      </c>
      <c r="H140" s="12">
        <v>28039</v>
      </c>
      <c r="I140" s="12">
        <v>0</v>
      </c>
      <c r="J140" s="12">
        <v>5402136</v>
      </c>
      <c r="K140" s="12">
        <v>325409</v>
      </c>
      <c r="L140" s="12">
        <v>9137</v>
      </c>
      <c r="M140" s="12">
        <f t="shared" si="9"/>
        <v>14636.7</v>
      </c>
      <c r="N140" s="12">
        <v>129</v>
      </c>
      <c r="O140" s="12">
        <v>660148</v>
      </c>
      <c r="P140" s="12">
        <v>126100</v>
      </c>
      <c r="Q140" s="12">
        <v>36952</v>
      </c>
      <c r="R140" s="12">
        <v>15</v>
      </c>
      <c r="S140" s="12">
        <v>89</v>
      </c>
      <c r="T140" s="12">
        <v>600</v>
      </c>
      <c r="U140" s="12">
        <v>534</v>
      </c>
      <c r="V140" s="12">
        <v>291</v>
      </c>
      <c r="W140" s="12">
        <v>201</v>
      </c>
      <c r="X140" s="12">
        <v>81</v>
      </c>
      <c r="Y140" s="12">
        <v>1</v>
      </c>
      <c r="Z140" s="12">
        <v>1305</v>
      </c>
      <c r="AA140" s="12">
        <v>111</v>
      </c>
      <c r="AB140" s="12">
        <v>9656</v>
      </c>
      <c r="AC140" s="12">
        <v>472</v>
      </c>
      <c r="AD140" s="12">
        <v>3630</v>
      </c>
      <c r="AE140" s="12">
        <v>0</v>
      </c>
      <c r="AF140" s="12">
        <v>0</v>
      </c>
      <c r="AG140" s="12">
        <v>0</v>
      </c>
      <c r="AH140" s="12">
        <v>0</v>
      </c>
      <c r="AI140" s="12">
        <v>0</v>
      </c>
      <c r="AJ140" s="12">
        <v>0</v>
      </c>
      <c r="AK140" s="12">
        <v>15195</v>
      </c>
      <c r="AL140" s="12">
        <v>63</v>
      </c>
      <c r="AM140" s="12">
        <v>3383</v>
      </c>
      <c r="AN140" s="13">
        <f t="shared" si="6"/>
        <v>13263</v>
      </c>
    </row>
    <row r="141" ht="16.5" spans="1:40">
      <c r="A141">
        <f t="shared" si="8"/>
        <v>110</v>
      </c>
      <c r="B141">
        <f t="shared" si="7"/>
        <v>80</v>
      </c>
      <c r="C141" s="112">
        <v>122</v>
      </c>
      <c r="D141" s="113">
        <v>89.5500000000006</v>
      </c>
      <c r="E141" s="113">
        <v>99.6000000000003</v>
      </c>
      <c r="F141" s="113">
        <v>133.55</v>
      </c>
      <c r="G141" s="113">
        <v>170</v>
      </c>
      <c r="H141" s="12">
        <v>28119</v>
      </c>
      <c r="I141" s="12">
        <v>0</v>
      </c>
      <c r="J141" s="12">
        <v>5444501</v>
      </c>
      <c r="K141" s="12">
        <v>327452</v>
      </c>
      <c r="L141" s="12">
        <v>9145</v>
      </c>
      <c r="M141" s="12">
        <f t="shared" si="9"/>
        <v>14746.7</v>
      </c>
      <c r="N141" s="12">
        <v>130</v>
      </c>
      <c r="O141" s="12">
        <v>665617</v>
      </c>
      <c r="P141" s="12">
        <v>127133</v>
      </c>
      <c r="Q141" s="12">
        <v>37253</v>
      </c>
      <c r="R141" s="12">
        <v>15</v>
      </c>
      <c r="S141" s="12">
        <v>89</v>
      </c>
      <c r="T141" s="12">
        <v>602</v>
      </c>
      <c r="U141" s="12">
        <v>540</v>
      </c>
      <c r="V141" s="12">
        <v>294</v>
      </c>
      <c r="W141" s="12">
        <v>203</v>
      </c>
      <c r="X141" s="12">
        <v>82</v>
      </c>
      <c r="Y141" s="12">
        <v>2</v>
      </c>
      <c r="Z141" s="12">
        <v>1315</v>
      </c>
      <c r="AA141" s="12">
        <v>112</v>
      </c>
      <c r="AB141" s="12">
        <v>9722</v>
      </c>
      <c r="AC141" s="12">
        <v>475</v>
      </c>
      <c r="AD141" s="12">
        <v>3660</v>
      </c>
      <c r="AE141" s="12">
        <v>0</v>
      </c>
      <c r="AF141" s="12">
        <v>0</v>
      </c>
      <c r="AG141" s="12">
        <v>0</v>
      </c>
      <c r="AH141" s="12">
        <v>0</v>
      </c>
      <c r="AI141" s="12">
        <v>0</v>
      </c>
      <c r="AJ141" s="12">
        <v>0</v>
      </c>
      <c r="AK141" s="12">
        <v>15300</v>
      </c>
      <c r="AL141" s="12">
        <v>63</v>
      </c>
      <c r="AM141" s="12">
        <v>3407</v>
      </c>
      <c r="AN141" s="13">
        <f t="shared" si="6"/>
        <v>13371</v>
      </c>
    </row>
    <row r="142" ht="16.5" spans="1:40">
      <c r="A142">
        <f t="shared" si="8"/>
        <v>110</v>
      </c>
      <c r="B142">
        <f t="shared" si="7"/>
        <v>230</v>
      </c>
      <c r="C142" s="112">
        <v>123</v>
      </c>
      <c r="D142" s="113">
        <v>89.7000000000006</v>
      </c>
      <c r="E142" s="113">
        <v>99.8000000000003</v>
      </c>
      <c r="F142" s="113">
        <v>133.9</v>
      </c>
      <c r="G142" s="113">
        <v>170.5</v>
      </c>
      <c r="H142" s="12">
        <v>28349</v>
      </c>
      <c r="I142" s="12">
        <v>0</v>
      </c>
      <c r="J142" s="12">
        <v>5488715</v>
      </c>
      <c r="K142" s="12">
        <v>330244</v>
      </c>
      <c r="L142" s="12">
        <v>9154</v>
      </c>
      <c r="M142" s="12">
        <f t="shared" si="9"/>
        <v>14856.7</v>
      </c>
      <c r="N142" s="12">
        <v>130</v>
      </c>
      <c r="O142" s="12">
        <v>671587</v>
      </c>
      <c r="P142" s="12">
        <v>128207</v>
      </c>
      <c r="Q142" s="12">
        <v>37555</v>
      </c>
      <c r="R142" s="12">
        <v>15</v>
      </c>
      <c r="S142" s="12">
        <v>89</v>
      </c>
      <c r="T142" s="12">
        <v>604</v>
      </c>
      <c r="U142" s="12">
        <v>546</v>
      </c>
      <c r="V142" s="12">
        <v>297</v>
      </c>
      <c r="W142" s="12">
        <v>206</v>
      </c>
      <c r="X142" s="12">
        <v>83</v>
      </c>
      <c r="Y142" s="12">
        <v>2</v>
      </c>
      <c r="Z142" s="12">
        <v>1326</v>
      </c>
      <c r="AA142" s="12">
        <v>113</v>
      </c>
      <c r="AB142" s="12">
        <v>9787</v>
      </c>
      <c r="AC142" s="12">
        <v>479</v>
      </c>
      <c r="AD142" s="12">
        <v>3690</v>
      </c>
      <c r="AE142" s="12">
        <v>0</v>
      </c>
      <c r="AF142" s="12">
        <v>0</v>
      </c>
      <c r="AG142" s="12">
        <v>0</v>
      </c>
      <c r="AH142" s="12">
        <v>0</v>
      </c>
      <c r="AI142" s="12">
        <v>0</v>
      </c>
      <c r="AJ142" s="12">
        <v>0</v>
      </c>
      <c r="AK142" s="12">
        <v>15435</v>
      </c>
      <c r="AL142" s="12">
        <v>63</v>
      </c>
      <c r="AM142" s="12">
        <v>3436</v>
      </c>
      <c r="AN142" s="13">
        <f t="shared" si="6"/>
        <v>13484</v>
      </c>
    </row>
    <row r="143" ht="16.5" spans="1:40">
      <c r="A143">
        <f t="shared" si="8"/>
        <v>110</v>
      </c>
      <c r="B143">
        <f t="shared" si="7"/>
        <v>79</v>
      </c>
      <c r="C143" s="112">
        <v>124</v>
      </c>
      <c r="D143" s="113">
        <v>89.8500000000006</v>
      </c>
      <c r="E143" s="113">
        <v>100</v>
      </c>
      <c r="F143" s="113">
        <v>134.25</v>
      </c>
      <c r="G143" s="113">
        <v>171</v>
      </c>
      <c r="H143" s="12">
        <v>28428</v>
      </c>
      <c r="I143" s="12">
        <v>0</v>
      </c>
      <c r="J143" s="12">
        <v>5531129</v>
      </c>
      <c r="K143" s="12">
        <v>332286</v>
      </c>
      <c r="L143" s="12">
        <v>9162</v>
      </c>
      <c r="M143" s="12">
        <f t="shared" si="9"/>
        <v>14966.7</v>
      </c>
      <c r="N143" s="12">
        <v>131</v>
      </c>
      <c r="O143" s="12">
        <v>677056</v>
      </c>
      <c r="P143" s="12">
        <v>129241</v>
      </c>
      <c r="Q143" s="12">
        <v>37856</v>
      </c>
      <c r="R143" s="12">
        <v>15</v>
      </c>
      <c r="S143" s="12">
        <v>89</v>
      </c>
      <c r="T143" s="12">
        <v>606</v>
      </c>
      <c r="U143" s="12">
        <v>552</v>
      </c>
      <c r="V143" s="12">
        <v>300</v>
      </c>
      <c r="W143" s="12">
        <v>208</v>
      </c>
      <c r="X143" s="12">
        <v>85</v>
      </c>
      <c r="Y143" s="12">
        <v>2</v>
      </c>
      <c r="Z143" s="12">
        <v>1336</v>
      </c>
      <c r="AA143" s="12">
        <v>114</v>
      </c>
      <c r="AB143" s="12">
        <v>9853</v>
      </c>
      <c r="AC143" s="12">
        <v>482</v>
      </c>
      <c r="AD143" s="12">
        <v>3720</v>
      </c>
      <c r="AE143" s="12">
        <v>0</v>
      </c>
      <c r="AF143" s="12">
        <v>0</v>
      </c>
      <c r="AG143" s="12">
        <v>0</v>
      </c>
      <c r="AH143" s="12">
        <v>0</v>
      </c>
      <c r="AI143" s="12">
        <v>0</v>
      </c>
      <c r="AJ143" s="12">
        <v>0</v>
      </c>
      <c r="AK143" s="12">
        <v>15540</v>
      </c>
      <c r="AL143" s="12">
        <v>63</v>
      </c>
      <c r="AM143" s="12">
        <v>3460</v>
      </c>
      <c r="AN143" s="13">
        <f t="shared" si="6"/>
        <v>13592</v>
      </c>
    </row>
    <row r="144" ht="16.5" spans="1:40">
      <c r="A144">
        <f t="shared" si="8"/>
        <v>110</v>
      </c>
      <c r="B144">
        <f t="shared" si="7"/>
        <v>80</v>
      </c>
      <c r="C144" s="112">
        <v>125</v>
      </c>
      <c r="D144" s="113">
        <v>90.0000000000006</v>
      </c>
      <c r="E144" s="113">
        <v>100.2</v>
      </c>
      <c r="F144" s="113">
        <v>134.6</v>
      </c>
      <c r="G144" s="113">
        <v>171.5</v>
      </c>
      <c r="H144" s="12">
        <v>28508</v>
      </c>
      <c r="I144" s="12">
        <v>0</v>
      </c>
      <c r="J144" s="12">
        <v>5573542</v>
      </c>
      <c r="K144" s="12">
        <v>334328</v>
      </c>
      <c r="L144" s="12">
        <v>9171</v>
      </c>
      <c r="M144" s="12">
        <f t="shared" si="9"/>
        <v>15076.7</v>
      </c>
      <c r="N144" s="12">
        <v>132</v>
      </c>
      <c r="O144" s="12">
        <v>682525</v>
      </c>
      <c r="P144" s="12">
        <v>130274</v>
      </c>
      <c r="Q144" s="12">
        <v>38157</v>
      </c>
      <c r="R144" s="12">
        <v>15</v>
      </c>
      <c r="S144" s="12">
        <v>89</v>
      </c>
      <c r="T144" s="12">
        <v>608</v>
      </c>
      <c r="U144" s="12">
        <v>558</v>
      </c>
      <c r="V144" s="12">
        <v>303</v>
      </c>
      <c r="W144" s="12">
        <v>210</v>
      </c>
      <c r="X144" s="12">
        <v>86</v>
      </c>
      <c r="Y144" s="12">
        <v>2</v>
      </c>
      <c r="Z144" s="12">
        <v>1346</v>
      </c>
      <c r="AA144" s="12">
        <v>115</v>
      </c>
      <c r="AB144" s="12">
        <v>9919</v>
      </c>
      <c r="AC144" s="12">
        <v>486</v>
      </c>
      <c r="AD144" s="12">
        <v>3750</v>
      </c>
      <c r="AE144" s="12">
        <v>0</v>
      </c>
      <c r="AF144" s="12">
        <v>0</v>
      </c>
      <c r="AG144" s="12">
        <v>0</v>
      </c>
      <c r="AH144" s="12">
        <v>0</v>
      </c>
      <c r="AI144" s="12">
        <v>0</v>
      </c>
      <c r="AJ144" s="12">
        <v>0</v>
      </c>
      <c r="AK144" s="12">
        <v>15645</v>
      </c>
      <c r="AL144" s="12">
        <v>63</v>
      </c>
      <c r="AM144" s="12">
        <v>3484</v>
      </c>
      <c r="AN144" s="13">
        <f t="shared" si="6"/>
        <v>13700</v>
      </c>
    </row>
    <row r="145" ht="16.5" spans="1:40">
      <c r="A145">
        <f t="shared" si="8"/>
        <v>110</v>
      </c>
      <c r="B145">
        <f t="shared" si="7"/>
        <v>230</v>
      </c>
      <c r="C145" s="112">
        <v>126</v>
      </c>
      <c r="D145" s="113">
        <v>90.1500000000006</v>
      </c>
      <c r="E145" s="113">
        <v>100.4</v>
      </c>
      <c r="F145" s="113">
        <v>134.95</v>
      </c>
      <c r="G145" s="113">
        <v>172</v>
      </c>
      <c r="H145" s="12">
        <v>28738</v>
      </c>
      <c r="I145" s="12">
        <v>0</v>
      </c>
      <c r="J145" s="12">
        <v>5617805</v>
      </c>
      <c r="K145" s="12">
        <v>337120</v>
      </c>
      <c r="L145" s="12">
        <v>9180</v>
      </c>
      <c r="M145" s="12">
        <f t="shared" si="9"/>
        <v>15186.7</v>
      </c>
      <c r="N145" s="12">
        <v>134</v>
      </c>
      <c r="O145" s="12">
        <v>688494</v>
      </c>
      <c r="P145" s="12">
        <v>131348</v>
      </c>
      <c r="Q145" s="12">
        <v>38458</v>
      </c>
      <c r="R145" s="12">
        <v>15</v>
      </c>
      <c r="S145" s="12">
        <v>89</v>
      </c>
      <c r="T145" s="12">
        <v>610</v>
      </c>
      <c r="U145" s="12">
        <v>564</v>
      </c>
      <c r="V145" s="12">
        <v>306</v>
      </c>
      <c r="W145" s="12">
        <v>213</v>
      </c>
      <c r="X145" s="12">
        <v>87</v>
      </c>
      <c r="Y145" s="12">
        <v>2</v>
      </c>
      <c r="Z145" s="12">
        <v>1358</v>
      </c>
      <c r="AA145" s="12">
        <v>116</v>
      </c>
      <c r="AB145" s="12">
        <v>9984</v>
      </c>
      <c r="AC145" s="12">
        <v>490</v>
      </c>
      <c r="AD145" s="12">
        <v>3780</v>
      </c>
      <c r="AE145" s="12">
        <v>0</v>
      </c>
      <c r="AF145" s="12">
        <v>0</v>
      </c>
      <c r="AG145" s="12">
        <v>0</v>
      </c>
      <c r="AH145" s="12">
        <v>0</v>
      </c>
      <c r="AI145" s="12">
        <v>0</v>
      </c>
      <c r="AJ145" s="12">
        <v>0</v>
      </c>
      <c r="AK145" s="12">
        <v>15750</v>
      </c>
      <c r="AL145" s="12">
        <v>66</v>
      </c>
      <c r="AM145" s="12">
        <v>3513</v>
      </c>
      <c r="AN145" s="13">
        <f t="shared" si="6"/>
        <v>13818</v>
      </c>
    </row>
    <row r="146" ht="16.5" spans="1:40">
      <c r="A146">
        <f t="shared" si="8"/>
        <v>110</v>
      </c>
      <c r="B146">
        <f t="shared" si="7"/>
        <v>79</v>
      </c>
      <c r="C146" s="112">
        <v>127</v>
      </c>
      <c r="D146" s="113">
        <v>90.3000000000006</v>
      </c>
      <c r="E146" s="113">
        <v>100.6</v>
      </c>
      <c r="F146" s="113">
        <v>135.3</v>
      </c>
      <c r="G146" s="113">
        <v>172.5</v>
      </c>
      <c r="H146" s="12">
        <v>28817</v>
      </c>
      <c r="I146" s="12">
        <v>0</v>
      </c>
      <c r="J146" s="12">
        <v>5660768</v>
      </c>
      <c r="K146" s="12">
        <v>339163</v>
      </c>
      <c r="L146" s="12">
        <v>9188</v>
      </c>
      <c r="M146" s="12">
        <f t="shared" si="9"/>
        <v>15296.7</v>
      </c>
      <c r="N146" s="12">
        <v>135</v>
      </c>
      <c r="O146" s="12">
        <v>693963</v>
      </c>
      <c r="P146" s="12">
        <v>132381</v>
      </c>
      <c r="Q146" s="12">
        <v>38760</v>
      </c>
      <c r="R146" s="12">
        <v>15</v>
      </c>
      <c r="S146" s="12">
        <v>89</v>
      </c>
      <c r="T146" s="12">
        <v>612</v>
      </c>
      <c r="U146" s="12">
        <v>570</v>
      </c>
      <c r="V146" s="12">
        <v>309</v>
      </c>
      <c r="W146" s="12">
        <v>215</v>
      </c>
      <c r="X146" s="12">
        <v>89</v>
      </c>
      <c r="Y146" s="12">
        <v>3</v>
      </c>
      <c r="Z146" s="12">
        <v>1368</v>
      </c>
      <c r="AA146" s="12">
        <v>116</v>
      </c>
      <c r="AB146" s="12">
        <v>10050</v>
      </c>
      <c r="AC146" s="12">
        <v>493</v>
      </c>
      <c r="AD146" s="12">
        <v>3810</v>
      </c>
      <c r="AE146" s="12">
        <v>0</v>
      </c>
      <c r="AF146" s="12">
        <v>0</v>
      </c>
      <c r="AG146" s="12">
        <v>0</v>
      </c>
      <c r="AH146" s="12">
        <v>0</v>
      </c>
      <c r="AI146" s="12">
        <v>0</v>
      </c>
      <c r="AJ146" s="12">
        <v>0</v>
      </c>
      <c r="AK146" s="12">
        <v>15855</v>
      </c>
      <c r="AL146" s="12">
        <v>66</v>
      </c>
      <c r="AM146" s="12">
        <v>3537</v>
      </c>
      <c r="AN146" s="13">
        <f t="shared" si="6"/>
        <v>13898</v>
      </c>
    </row>
    <row r="147" ht="16.5" spans="1:40">
      <c r="A147">
        <f t="shared" si="8"/>
        <v>110</v>
      </c>
      <c r="B147">
        <f t="shared" si="7"/>
        <v>80</v>
      </c>
      <c r="C147" s="112">
        <v>128</v>
      </c>
      <c r="D147" s="113">
        <v>90.4500000000006</v>
      </c>
      <c r="E147" s="113">
        <v>100.8</v>
      </c>
      <c r="F147" s="113">
        <v>135.65</v>
      </c>
      <c r="G147" s="113">
        <v>173</v>
      </c>
      <c r="H147" s="12">
        <v>28897</v>
      </c>
      <c r="I147" s="12">
        <v>0</v>
      </c>
      <c r="J147" s="12">
        <v>5703230</v>
      </c>
      <c r="K147" s="12">
        <v>341205</v>
      </c>
      <c r="L147" s="12">
        <v>9197</v>
      </c>
      <c r="M147" s="12">
        <f t="shared" si="9"/>
        <v>15406.7</v>
      </c>
      <c r="N147" s="12">
        <v>136</v>
      </c>
      <c r="O147" s="12">
        <v>699432</v>
      </c>
      <c r="P147" s="12">
        <v>133415</v>
      </c>
      <c r="Q147" s="12">
        <v>39061</v>
      </c>
      <c r="R147" s="12">
        <v>15</v>
      </c>
      <c r="S147" s="12">
        <v>89</v>
      </c>
      <c r="T147" s="12">
        <v>614</v>
      </c>
      <c r="U147" s="12">
        <v>576</v>
      </c>
      <c r="V147" s="12">
        <v>312</v>
      </c>
      <c r="W147" s="12">
        <v>218</v>
      </c>
      <c r="X147" s="12">
        <v>90</v>
      </c>
      <c r="Y147" s="12">
        <v>3</v>
      </c>
      <c r="Z147" s="12">
        <v>1379</v>
      </c>
      <c r="AA147" s="12">
        <v>117</v>
      </c>
      <c r="AB147" s="12">
        <v>10116</v>
      </c>
      <c r="AC147" s="12">
        <v>497</v>
      </c>
      <c r="AD147" s="12">
        <v>3840</v>
      </c>
      <c r="AE147" s="12">
        <v>0</v>
      </c>
      <c r="AF147" s="12">
        <v>0</v>
      </c>
      <c r="AG147" s="12">
        <v>0</v>
      </c>
      <c r="AH147" s="12">
        <v>0</v>
      </c>
      <c r="AI147" s="12">
        <v>0</v>
      </c>
      <c r="AJ147" s="12">
        <v>0</v>
      </c>
      <c r="AK147" s="12">
        <v>15960</v>
      </c>
      <c r="AL147" s="12">
        <v>66</v>
      </c>
      <c r="AM147" s="12">
        <v>3560</v>
      </c>
      <c r="AN147" s="13">
        <f t="shared" si="6"/>
        <v>14011</v>
      </c>
    </row>
    <row r="148" ht="16.5" spans="1:40">
      <c r="A148">
        <f t="shared" si="8"/>
        <v>110</v>
      </c>
      <c r="B148">
        <f t="shared" si="7"/>
        <v>230</v>
      </c>
      <c r="C148" s="112">
        <v>129</v>
      </c>
      <c r="D148" s="113">
        <v>90.6000000000006</v>
      </c>
      <c r="E148" s="113">
        <v>101</v>
      </c>
      <c r="F148" s="113">
        <v>136</v>
      </c>
      <c r="G148" s="113">
        <v>173.5</v>
      </c>
      <c r="H148" s="12">
        <v>29127</v>
      </c>
      <c r="I148" s="12">
        <v>0</v>
      </c>
      <c r="J148" s="12">
        <v>5779542</v>
      </c>
      <c r="K148" s="12">
        <v>343997</v>
      </c>
      <c r="L148" s="12">
        <v>9205</v>
      </c>
      <c r="M148" s="12">
        <f t="shared" si="9"/>
        <v>15516.7</v>
      </c>
      <c r="N148" s="12">
        <v>137</v>
      </c>
      <c r="O148" s="12">
        <v>705401</v>
      </c>
      <c r="P148" s="12">
        <v>134489</v>
      </c>
      <c r="Q148" s="12">
        <v>39362</v>
      </c>
      <c r="R148" s="12">
        <v>15</v>
      </c>
      <c r="S148" s="12">
        <v>89</v>
      </c>
      <c r="T148" s="12">
        <v>616</v>
      </c>
      <c r="U148" s="12">
        <v>582</v>
      </c>
      <c r="V148" s="12">
        <v>315</v>
      </c>
      <c r="W148" s="12">
        <v>220</v>
      </c>
      <c r="X148" s="12">
        <v>91</v>
      </c>
      <c r="Y148" s="12">
        <v>3</v>
      </c>
      <c r="Z148" s="12">
        <v>1389</v>
      </c>
      <c r="AA148" s="12">
        <v>118</v>
      </c>
      <c r="AB148" s="12">
        <v>10182</v>
      </c>
      <c r="AC148" s="12">
        <v>500</v>
      </c>
      <c r="AD148" s="12">
        <v>3870</v>
      </c>
      <c r="AE148" s="12">
        <v>0</v>
      </c>
      <c r="AF148" s="12">
        <v>0</v>
      </c>
      <c r="AG148" s="12">
        <v>0</v>
      </c>
      <c r="AH148" s="12">
        <v>0</v>
      </c>
      <c r="AI148" s="12">
        <v>0</v>
      </c>
      <c r="AJ148" s="12">
        <v>0</v>
      </c>
      <c r="AK148" s="12">
        <v>16095</v>
      </c>
      <c r="AL148" s="12">
        <v>66</v>
      </c>
      <c r="AM148" s="12">
        <v>3589</v>
      </c>
      <c r="AN148" s="13">
        <f t="shared" ref="AN148:AN211" si="10">Z148*5+AA148*28+AD148</f>
        <v>14119</v>
      </c>
    </row>
    <row r="149" ht="16.5" spans="1:40">
      <c r="A149">
        <f t="shared" si="8"/>
        <v>110</v>
      </c>
      <c r="B149">
        <f t="shared" ref="B149:B212" si="11">H149-H148</f>
        <v>79</v>
      </c>
      <c r="C149" s="112">
        <v>130</v>
      </c>
      <c r="D149" s="113">
        <v>90.7500000000006</v>
      </c>
      <c r="E149" s="113">
        <v>101.2</v>
      </c>
      <c r="F149" s="113">
        <v>136.35</v>
      </c>
      <c r="G149" s="113">
        <v>174</v>
      </c>
      <c r="H149" s="12">
        <v>29206</v>
      </c>
      <c r="I149" s="12">
        <v>0</v>
      </c>
      <c r="J149" s="12">
        <v>5822054</v>
      </c>
      <c r="K149" s="12">
        <v>346039</v>
      </c>
      <c r="L149" s="12">
        <v>9214</v>
      </c>
      <c r="M149" s="12">
        <f t="shared" si="9"/>
        <v>15626.7</v>
      </c>
      <c r="N149" s="12">
        <v>138</v>
      </c>
      <c r="O149" s="12">
        <v>710871</v>
      </c>
      <c r="P149" s="12">
        <v>135522</v>
      </c>
      <c r="Q149" s="12">
        <v>39663</v>
      </c>
      <c r="R149" s="12">
        <v>15</v>
      </c>
      <c r="S149" s="12">
        <v>89</v>
      </c>
      <c r="T149" s="12">
        <v>618</v>
      </c>
      <c r="U149" s="12">
        <v>588</v>
      </c>
      <c r="V149" s="12">
        <v>318</v>
      </c>
      <c r="W149" s="12">
        <v>222</v>
      </c>
      <c r="X149" s="12">
        <v>93</v>
      </c>
      <c r="Y149" s="12">
        <v>3</v>
      </c>
      <c r="Z149" s="12">
        <v>1400</v>
      </c>
      <c r="AA149" s="12">
        <v>119</v>
      </c>
      <c r="AB149" s="12">
        <v>10247</v>
      </c>
      <c r="AC149" s="12">
        <v>504</v>
      </c>
      <c r="AD149" s="12">
        <v>3900</v>
      </c>
      <c r="AE149" s="12">
        <v>0</v>
      </c>
      <c r="AF149" s="12">
        <v>0</v>
      </c>
      <c r="AG149" s="12">
        <v>0</v>
      </c>
      <c r="AH149" s="12">
        <v>0</v>
      </c>
      <c r="AI149" s="12">
        <v>0</v>
      </c>
      <c r="AJ149" s="12">
        <v>0</v>
      </c>
      <c r="AK149" s="12">
        <v>16200</v>
      </c>
      <c r="AL149" s="12">
        <v>66</v>
      </c>
      <c r="AM149" s="12">
        <v>3613</v>
      </c>
      <c r="AN149" s="13">
        <f t="shared" si="10"/>
        <v>14232</v>
      </c>
    </row>
    <row r="150" ht="16.5" spans="1:40">
      <c r="A150">
        <f t="shared" si="8"/>
        <v>110</v>
      </c>
      <c r="B150">
        <f t="shared" si="11"/>
        <v>80</v>
      </c>
      <c r="C150" s="112">
        <v>131</v>
      </c>
      <c r="D150" s="113">
        <v>90.9000000000006</v>
      </c>
      <c r="E150" s="113">
        <v>101.4</v>
      </c>
      <c r="F150" s="113">
        <v>136.7</v>
      </c>
      <c r="G150" s="113">
        <v>174.5</v>
      </c>
      <c r="H150" s="12">
        <v>29286</v>
      </c>
      <c r="I150" s="12">
        <v>0</v>
      </c>
      <c r="J150" s="12">
        <v>5864565</v>
      </c>
      <c r="K150" s="12">
        <v>348081</v>
      </c>
      <c r="L150" s="12">
        <v>9222</v>
      </c>
      <c r="M150" s="12">
        <f t="shared" si="9"/>
        <v>15736.7</v>
      </c>
      <c r="N150" s="12">
        <v>139</v>
      </c>
      <c r="O150" s="12">
        <v>716381</v>
      </c>
      <c r="P150" s="12">
        <v>136556</v>
      </c>
      <c r="Q150" s="12">
        <v>39965</v>
      </c>
      <c r="R150" s="12">
        <v>15</v>
      </c>
      <c r="S150" s="12">
        <v>89</v>
      </c>
      <c r="T150" s="12">
        <v>620</v>
      </c>
      <c r="U150" s="12">
        <v>594</v>
      </c>
      <c r="V150" s="12">
        <v>321</v>
      </c>
      <c r="W150" s="12">
        <v>225</v>
      </c>
      <c r="X150" s="12">
        <v>94</v>
      </c>
      <c r="Y150" s="12">
        <v>4</v>
      </c>
      <c r="Z150" s="12">
        <v>1410</v>
      </c>
      <c r="AA150" s="12">
        <v>120</v>
      </c>
      <c r="AB150" s="12">
        <v>10313</v>
      </c>
      <c r="AC150" s="12">
        <v>507</v>
      </c>
      <c r="AD150" s="12">
        <v>3930</v>
      </c>
      <c r="AE150" s="12">
        <v>0</v>
      </c>
      <c r="AF150" s="12">
        <v>0</v>
      </c>
      <c r="AG150" s="12">
        <v>0</v>
      </c>
      <c r="AH150" s="12">
        <v>0</v>
      </c>
      <c r="AI150" s="12">
        <v>0</v>
      </c>
      <c r="AJ150" s="12">
        <v>0</v>
      </c>
      <c r="AK150" s="12">
        <v>16305</v>
      </c>
      <c r="AL150" s="12">
        <v>66</v>
      </c>
      <c r="AM150" s="12">
        <v>3637</v>
      </c>
      <c r="AN150" s="13">
        <f t="shared" si="10"/>
        <v>14340</v>
      </c>
    </row>
    <row r="151" ht="16.5" spans="1:40">
      <c r="A151">
        <f t="shared" si="8"/>
        <v>110</v>
      </c>
      <c r="B151">
        <f t="shared" si="11"/>
        <v>230</v>
      </c>
      <c r="C151" s="112">
        <v>132</v>
      </c>
      <c r="D151" s="113">
        <v>91.0500000000006</v>
      </c>
      <c r="E151" s="113">
        <v>101.6</v>
      </c>
      <c r="F151" s="113">
        <v>137.05</v>
      </c>
      <c r="G151" s="113">
        <v>175</v>
      </c>
      <c r="H151" s="12">
        <v>29516</v>
      </c>
      <c r="I151" s="12">
        <v>0</v>
      </c>
      <c r="J151" s="12">
        <v>5908926</v>
      </c>
      <c r="K151" s="12">
        <v>350873</v>
      </c>
      <c r="L151" s="12">
        <v>9231</v>
      </c>
      <c r="M151" s="12">
        <f t="shared" si="9"/>
        <v>15846.7</v>
      </c>
      <c r="N151" s="12">
        <v>139</v>
      </c>
      <c r="O151" s="12">
        <v>722392</v>
      </c>
      <c r="P151" s="12">
        <v>137629</v>
      </c>
      <c r="Q151" s="12">
        <v>40266</v>
      </c>
      <c r="R151" s="12">
        <v>15</v>
      </c>
      <c r="S151" s="12">
        <v>89</v>
      </c>
      <c r="T151" s="12">
        <v>623</v>
      </c>
      <c r="U151" s="12">
        <v>600</v>
      </c>
      <c r="V151" s="12">
        <v>324</v>
      </c>
      <c r="W151" s="12">
        <v>227</v>
      </c>
      <c r="X151" s="12">
        <v>95</v>
      </c>
      <c r="Y151" s="12">
        <v>4</v>
      </c>
      <c r="Z151" s="12">
        <v>1421</v>
      </c>
      <c r="AA151" s="12">
        <v>121</v>
      </c>
      <c r="AB151" s="12">
        <v>10379</v>
      </c>
      <c r="AC151" s="12">
        <v>511</v>
      </c>
      <c r="AD151" s="12">
        <v>3960</v>
      </c>
      <c r="AE151" s="12">
        <v>0</v>
      </c>
      <c r="AF151" s="12">
        <v>0</v>
      </c>
      <c r="AG151" s="12">
        <v>0</v>
      </c>
      <c r="AH151" s="12">
        <v>0</v>
      </c>
      <c r="AI151" s="12">
        <v>0</v>
      </c>
      <c r="AJ151" s="12">
        <v>0</v>
      </c>
      <c r="AK151" s="12">
        <v>16440</v>
      </c>
      <c r="AL151" s="12">
        <v>66</v>
      </c>
      <c r="AM151" s="12">
        <v>3666</v>
      </c>
      <c r="AN151" s="13">
        <f t="shared" si="10"/>
        <v>14453</v>
      </c>
    </row>
    <row r="152" ht="16.5" spans="1:40">
      <c r="A152">
        <f t="shared" si="8"/>
        <v>110</v>
      </c>
      <c r="B152">
        <f t="shared" si="11"/>
        <v>79</v>
      </c>
      <c r="C152" s="112">
        <v>133</v>
      </c>
      <c r="D152" s="113">
        <v>91.2000000000006</v>
      </c>
      <c r="E152" s="113">
        <v>101.8</v>
      </c>
      <c r="F152" s="113">
        <v>137.4</v>
      </c>
      <c r="G152" s="113">
        <v>175.5</v>
      </c>
      <c r="H152" s="12">
        <v>29595</v>
      </c>
      <c r="I152" s="12">
        <v>0</v>
      </c>
      <c r="J152" s="12">
        <v>5951487</v>
      </c>
      <c r="K152" s="12">
        <v>352916</v>
      </c>
      <c r="L152" s="12">
        <v>9240</v>
      </c>
      <c r="M152" s="12">
        <f t="shared" si="9"/>
        <v>15956.7</v>
      </c>
      <c r="N152" s="12">
        <v>140</v>
      </c>
      <c r="O152" s="12">
        <v>727902</v>
      </c>
      <c r="P152" s="12">
        <v>138663</v>
      </c>
      <c r="Q152" s="12">
        <v>40567</v>
      </c>
      <c r="R152" s="12">
        <v>15</v>
      </c>
      <c r="S152" s="12">
        <v>89</v>
      </c>
      <c r="T152" s="12">
        <v>625</v>
      </c>
      <c r="U152" s="12">
        <v>606</v>
      </c>
      <c r="V152" s="12">
        <v>327</v>
      </c>
      <c r="W152" s="12">
        <v>230</v>
      </c>
      <c r="X152" s="12">
        <v>97</v>
      </c>
      <c r="Y152" s="12">
        <v>4</v>
      </c>
      <c r="Z152" s="12">
        <v>1431</v>
      </c>
      <c r="AA152" s="12">
        <v>121</v>
      </c>
      <c r="AB152" s="12">
        <v>10444</v>
      </c>
      <c r="AC152" s="12">
        <v>514</v>
      </c>
      <c r="AD152" s="12">
        <v>3990</v>
      </c>
      <c r="AE152" s="12">
        <v>0</v>
      </c>
      <c r="AF152" s="12">
        <v>0</v>
      </c>
      <c r="AG152" s="12">
        <v>0</v>
      </c>
      <c r="AH152" s="12">
        <v>0</v>
      </c>
      <c r="AI152" s="12">
        <v>0</v>
      </c>
      <c r="AJ152" s="12">
        <v>0</v>
      </c>
      <c r="AK152" s="12">
        <v>16545</v>
      </c>
      <c r="AL152" s="12">
        <v>66</v>
      </c>
      <c r="AM152" s="12">
        <v>3690</v>
      </c>
      <c r="AN152" s="13">
        <f t="shared" si="10"/>
        <v>14533</v>
      </c>
    </row>
    <row r="153" ht="16.5" spans="1:40">
      <c r="A153">
        <f t="shared" si="8"/>
        <v>110</v>
      </c>
      <c r="B153">
        <f t="shared" si="11"/>
        <v>80</v>
      </c>
      <c r="C153" s="112">
        <v>134</v>
      </c>
      <c r="D153" s="113">
        <v>91.3500000000006</v>
      </c>
      <c r="E153" s="113">
        <v>102</v>
      </c>
      <c r="F153" s="113">
        <v>137.75</v>
      </c>
      <c r="G153" s="113">
        <v>176</v>
      </c>
      <c r="H153" s="12">
        <v>29675</v>
      </c>
      <c r="I153" s="12">
        <v>0</v>
      </c>
      <c r="J153" s="12">
        <v>5994547</v>
      </c>
      <c r="K153" s="12">
        <v>354958</v>
      </c>
      <c r="L153" s="12">
        <v>9248</v>
      </c>
      <c r="M153" s="12">
        <f t="shared" si="9"/>
        <v>16066.7</v>
      </c>
      <c r="N153" s="12">
        <v>141</v>
      </c>
      <c r="O153" s="12">
        <v>733412</v>
      </c>
      <c r="P153" s="12">
        <v>139697</v>
      </c>
      <c r="Q153" s="12">
        <v>40868</v>
      </c>
      <c r="R153" s="12">
        <v>15</v>
      </c>
      <c r="S153" s="12">
        <v>89</v>
      </c>
      <c r="T153" s="12">
        <v>627</v>
      </c>
      <c r="U153" s="12">
        <v>612</v>
      </c>
      <c r="V153" s="12">
        <v>330</v>
      </c>
      <c r="W153" s="12">
        <v>232</v>
      </c>
      <c r="X153" s="12">
        <v>98</v>
      </c>
      <c r="Y153" s="12">
        <v>4</v>
      </c>
      <c r="Z153" s="12">
        <v>1441</v>
      </c>
      <c r="AA153" s="12">
        <v>122</v>
      </c>
      <c r="AB153" s="12">
        <v>10510</v>
      </c>
      <c r="AC153" s="12">
        <v>518</v>
      </c>
      <c r="AD153" s="12">
        <v>4020</v>
      </c>
      <c r="AE153" s="12">
        <v>0</v>
      </c>
      <c r="AF153" s="12">
        <v>0</v>
      </c>
      <c r="AG153" s="12">
        <v>0</v>
      </c>
      <c r="AH153" s="12">
        <v>0</v>
      </c>
      <c r="AI153" s="12">
        <v>0</v>
      </c>
      <c r="AJ153" s="12">
        <v>0</v>
      </c>
      <c r="AK153" s="12">
        <v>16650</v>
      </c>
      <c r="AL153" s="12">
        <v>66</v>
      </c>
      <c r="AM153" s="12">
        <v>3714</v>
      </c>
      <c r="AN153" s="13">
        <f t="shared" si="10"/>
        <v>14641</v>
      </c>
    </row>
    <row r="154" ht="16.5" spans="1:40">
      <c r="A154">
        <f t="shared" si="8"/>
        <v>110</v>
      </c>
      <c r="B154">
        <f t="shared" si="11"/>
        <v>230</v>
      </c>
      <c r="C154" s="112">
        <v>135</v>
      </c>
      <c r="D154" s="113">
        <v>91.5000000000007</v>
      </c>
      <c r="E154" s="113">
        <v>102.2</v>
      </c>
      <c r="F154" s="113">
        <v>138.1</v>
      </c>
      <c r="G154" s="113">
        <v>176.5</v>
      </c>
      <c r="H154" s="12">
        <v>29905</v>
      </c>
      <c r="I154" s="12">
        <v>0</v>
      </c>
      <c r="J154" s="12">
        <v>6038957</v>
      </c>
      <c r="K154" s="12">
        <v>357750</v>
      </c>
      <c r="L154" s="12">
        <v>9257</v>
      </c>
      <c r="M154" s="12">
        <f t="shared" si="9"/>
        <v>16176.7</v>
      </c>
      <c r="N154" s="12">
        <v>142</v>
      </c>
      <c r="O154" s="12">
        <v>739423</v>
      </c>
      <c r="P154" s="12">
        <v>140770</v>
      </c>
      <c r="Q154" s="12">
        <v>41170</v>
      </c>
      <c r="R154" s="12">
        <v>15</v>
      </c>
      <c r="S154" s="12">
        <v>89</v>
      </c>
      <c r="T154" s="12">
        <v>629</v>
      </c>
      <c r="U154" s="12">
        <v>618</v>
      </c>
      <c r="V154" s="12">
        <v>333</v>
      </c>
      <c r="W154" s="12">
        <v>234</v>
      </c>
      <c r="X154" s="12">
        <v>100</v>
      </c>
      <c r="Y154" s="12">
        <v>4</v>
      </c>
      <c r="Z154" s="12">
        <v>1452</v>
      </c>
      <c r="AA154" s="12">
        <v>123</v>
      </c>
      <c r="AB154" s="12">
        <v>10576</v>
      </c>
      <c r="AC154" s="12">
        <v>521</v>
      </c>
      <c r="AD154" s="12">
        <v>4050</v>
      </c>
      <c r="AE154" s="12">
        <v>0</v>
      </c>
      <c r="AF154" s="12">
        <v>0</v>
      </c>
      <c r="AG154" s="12">
        <v>0</v>
      </c>
      <c r="AH154" s="12">
        <v>0</v>
      </c>
      <c r="AI154" s="12">
        <v>0</v>
      </c>
      <c r="AJ154" s="12">
        <v>0</v>
      </c>
      <c r="AK154" s="12">
        <v>16785</v>
      </c>
      <c r="AL154" s="12">
        <v>66</v>
      </c>
      <c r="AM154" s="12">
        <v>3742</v>
      </c>
      <c r="AN154" s="13">
        <f t="shared" si="10"/>
        <v>14754</v>
      </c>
    </row>
    <row r="155" ht="16.5" spans="1:40">
      <c r="A155">
        <f t="shared" si="8"/>
        <v>110</v>
      </c>
      <c r="B155">
        <f t="shared" si="11"/>
        <v>79</v>
      </c>
      <c r="C155" s="112">
        <v>136</v>
      </c>
      <c r="D155" s="113">
        <v>91.6500000000007</v>
      </c>
      <c r="E155" s="113">
        <v>102.4</v>
      </c>
      <c r="F155" s="113">
        <v>138.45</v>
      </c>
      <c r="G155" s="113">
        <v>177</v>
      </c>
      <c r="H155" s="12">
        <v>29984</v>
      </c>
      <c r="I155" s="12">
        <v>0</v>
      </c>
      <c r="J155" s="12">
        <v>6081567</v>
      </c>
      <c r="K155" s="12">
        <v>359792</v>
      </c>
      <c r="L155" s="12">
        <v>9265</v>
      </c>
      <c r="M155" s="12">
        <f t="shared" si="9"/>
        <v>16286.7</v>
      </c>
      <c r="N155" s="12">
        <v>143</v>
      </c>
      <c r="O155" s="12">
        <v>744933</v>
      </c>
      <c r="P155" s="12">
        <v>141804</v>
      </c>
      <c r="Q155" s="12">
        <v>41471</v>
      </c>
      <c r="R155" s="12">
        <v>15</v>
      </c>
      <c r="S155" s="12">
        <v>89</v>
      </c>
      <c r="T155" s="12">
        <v>631</v>
      </c>
      <c r="U155" s="12">
        <v>624</v>
      </c>
      <c r="V155" s="12">
        <v>336</v>
      </c>
      <c r="W155" s="12">
        <v>237</v>
      </c>
      <c r="X155" s="12">
        <v>101</v>
      </c>
      <c r="Y155" s="12">
        <v>5</v>
      </c>
      <c r="Z155" s="12">
        <v>1462</v>
      </c>
      <c r="AA155" s="12">
        <v>124</v>
      </c>
      <c r="AB155" s="12">
        <v>10642</v>
      </c>
      <c r="AC155" s="12">
        <v>525</v>
      </c>
      <c r="AD155" s="12">
        <v>4080</v>
      </c>
      <c r="AE155" s="12">
        <v>0</v>
      </c>
      <c r="AF155" s="12">
        <v>0</v>
      </c>
      <c r="AG155" s="12">
        <v>0</v>
      </c>
      <c r="AH155" s="12">
        <v>0</v>
      </c>
      <c r="AI155" s="12">
        <v>0</v>
      </c>
      <c r="AJ155" s="12">
        <v>0</v>
      </c>
      <c r="AK155" s="12">
        <v>16890</v>
      </c>
      <c r="AL155" s="12">
        <v>66</v>
      </c>
      <c r="AM155" s="12">
        <v>3766</v>
      </c>
      <c r="AN155" s="13">
        <f t="shared" si="10"/>
        <v>14862</v>
      </c>
    </row>
    <row r="156" ht="16.5" spans="1:40">
      <c r="A156">
        <f t="shared" si="8"/>
        <v>110</v>
      </c>
      <c r="B156">
        <f t="shared" si="11"/>
        <v>80</v>
      </c>
      <c r="C156" s="112">
        <v>137</v>
      </c>
      <c r="D156" s="113">
        <v>91.8000000000007</v>
      </c>
      <c r="E156" s="113">
        <v>102.6</v>
      </c>
      <c r="F156" s="113">
        <v>138.799999999999</v>
      </c>
      <c r="G156" s="113">
        <v>177.5</v>
      </c>
      <c r="H156" s="12">
        <v>30064</v>
      </c>
      <c r="I156" s="12">
        <v>0</v>
      </c>
      <c r="J156" s="12">
        <v>6124176</v>
      </c>
      <c r="K156" s="12">
        <v>361834</v>
      </c>
      <c r="L156" s="12">
        <v>9274</v>
      </c>
      <c r="M156" s="12">
        <f t="shared" si="9"/>
        <v>16396.7</v>
      </c>
      <c r="N156" s="12">
        <v>144</v>
      </c>
      <c r="O156" s="12">
        <v>750444</v>
      </c>
      <c r="P156" s="12">
        <v>142837</v>
      </c>
      <c r="Q156" s="12">
        <v>41772</v>
      </c>
      <c r="R156" s="12">
        <v>15</v>
      </c>
      <c r="S156" s="12">
        <v>89</v>
      </c>
      <c r="T156" s="12">
        <v>633</v>
      </c>
      <c r="U156" s="12">
        <v>630</v>
      </c>
      <c r="V156" s="12">
        <v>339</v>
      </c>
      <c r="W156" s="12">
        <v>239</v>
      </c>
      <c r="X156" s="12">
        <v>102</v>
      </c>
      <c r="Y156" s="12">
        <v>5</v>
      </c>
      <c r="Z156" s="12">
        <v>1473</v>
      </c>
      <c r="AA156" s="12">
        <v>125</v>
      </c>
      <c r="AB156" s="12">
        <v>10707</v>
      </c>
      <c r="AC156" s="12">
        <v>529</v>
      </c>
      <c r="AD156" s="12">
        <v>4110</v>
      </c>
      <c r="AE156" s="12">
        <v>0</v>
      </c>
      <c r="AF156" s="12">
        <v>0</v>
      </c>
      <c r="AG156" s="12">
        <v>0</v>
      </c>
      <c r="AH156" s="12">
        <v>0</v>
      </c>
      <c r="AI156" s="12">
        <v>0</v>
      </c>
      <c r="AJ156" s="12">
        <v>0</v>
      </c>
      <c r="AK156" s="12">
        <v>16995</v>
      </c>
      <c r="AL156" s="12">
        <v>66</v>
      </c>
      <c r="AM156" s="12">
        <v>3790</v>
      </c>
      <c r="AN156" s="13">
        <f t="shared" si="10"/>
        <v>14975</v>
      </c>
    </row>
    <row r="157" ht="16.5" spans="1:40">
      <c r="A157">
        <f t="shared" ref="A157:A220" si="12">M157-M156</f>
        <v>110</v>
      </c>
      <c r="B157">
        <f t="shared" si="11"/>
        <v>230</v>
      </c>
      <c r="C157" s="112">
        <v>138</v>
      </c>
      <c r="D157" s="113">
        <v>91.9500000000007</v>
      </c>
      <c r="E157" s="113">
        <v>102.8</v>
      </c>
      <c r="F157" s="113">
        <v>139.149999999999</v>
      </c>
      <c r="G157" s="113">
        <v>178</v>
      </c>
      <c r="H157" s="12">
        <v>30294</v>
      </c>
      <c r="I157" s="12">
        <v>0</v>
      </c>
      <c r="J157" s="12">
        <v>6168635</v>
      </c>
      <c r="K157" s="12">
        <v>364626</v>
      </c>
      <c r="L157" s="12">
        <v>9282</v>
      </c>
      <c r="M157" s="12">
        <f t="shared" si="9"/>
        <v>16506.7</v>
      </c>
      <c r="N157" s="12">
        <v>145</v>
      </c>
      <c r="O157" s="12">
        <v>756454</v>
      </c>
      <c r="P157" s="12">
        <v>143911</v>
      </c>
      <c r="Q157" s="12">
        <v>42073</v>
      </c>
      <c r="R157" s="12">
        <v>15</v>
      </c>
      <c r="S157" s="12">
        <v>89</v>
      </c>
      <c r="T157" s="12">
        <v>635</v>
      </c>
      <c r="U157" s="12">
        <v>636</v>
      </c>
      <c r="V157" s="12">
        <v>342</v>
      </c>
      <c r="W157" s="12">
        <v>242</v>
      </c>
      <c r="X157" s="12">
        <v>104</v>
      </c>
      <c r="Y157" s="12">
        <v>5</v>
      </c>
      <c r="Z157" s="12">
        <v>1483</v>
      </c>
      <c r="AA157" s="12">
        <v>126</v>
      </c>
      <c r="AB157" s="12">
        <v>10773</v>
      </c>
      <c r="AC157" s="12">
        <v>532</v>
      </c>
      <c r="AD157" s="12">
        <v>4140</v>
      </c>
      <c r="AE157" s="12">
        <v>0</v>
      </c>
      <c r="AF157" s="12">
        <v>0</v>
      </c>
      <c r="AG157" s="12">
        <v>0</v>
      </c>
      <c r="AH157" s="12">
        <v>0</v>
      </c>
      <c r="AI157" s="12">
        <v>0</v>
      </c>
      <c r="AJ157" s="12">
        <v>0</v>
      </c>
      <c r="AK157" s="12">
        <v>17130</v>
      </c>
      <c r="AL157" s="12">
        <v>66</v>
      </c>
      <c r="AM157" s="12">
        <v>3819</v>
      </c>
      <c r="AN157" s="13">
        <f t="shared" si="10"/>
        <v>15083</v>
      </c>
    </row>
    <row r="158" ht="16.5" spans="1:40">
      <c r="A158">
        <f t="shared" si="12"/>
        <v>110</v>
      </c>
      <c r="B158">
        <f t="shared" si="11"/>
        <v>79</v>
      </c>
      <c r="C158" s="112">
        <v>139</v>
      </c>
      <c r="D158" s="113">
        <v>92.1000000000007</v>
      </c>
      <c r="E158" s="113">
        <v>103</v>
      </c>
      <c r="F158" s="113">
        <v>139.499999999999</v>
      </c>
      <c r="G158" s="113">
        <v>178.5</v>
      </c>
      <c r="H158" s="12">
        <v>30373</v>
      </c>
      <c r="I158" s="12">
        <v>0</v>
      </c>
      <c r="J158" s="12">
        <v>6211294</v>
      </c>
      <c r="K158" s="12">
        <v>366669</v>
      </c>
      <c r="L158" s="12">
        <v>9291</v>
      </c>
      <c r="M158" s="12">
        <f t="shared" si="9"/>
        <v>16616.7</v>
      </c>
      <c r="N158" s="12">
        <v>146</v>
      </c>
      <c r="O158" s="12">
        <v>761965</v>
      </c>
      <c r="P158" s="12">
        <v>144945</v>
      </c>
      <c r="Q158" s="12">
        <v>42375</v>
      </c>
      <c r="R158" s="12">
        <v>15</v>
      </c>
      <c r="S158" s="12">
        <v>89</v>
      </c>
      <c r="T158" s="12">
        <v>637</v>
      </c>
      <c r="U158" s="12">
        <v>642</v>
      </c>
      <c r="V158" s="12">
        <v>345</v>
      </c>
      <c r="W158" s="12">
        <v>244</v>
      </c>
      <c r="X158" s="12">
        <v>105</v>
      </c>
      <c r="Y158" s="12">
        <v>5</v>
      </c>
      <c r="Z158" s="12">
        <v>1494</v>
      </c>
      <c r="AA158" s="12">
        <v>127</v>
      </c>
      <c r="AB158" s="12">
        <v>10839</v>
      </c>
      <c r="AC158" s="12">
        <v>536</v>
      </c>
      <c r="AD158" s="12">
        <v>4170</v>
      </c>
      <c r="AE158" s="12">
        <v>0</v>
      </c>
      <c r="AF158" s="12">
        <v>0</v>
      </c>
      <c r="AG158" s="12">
        <v>0</v>
      </c>
      <c r="AH158" s="12">
        <v>0</v>
      </c>
      <c r="AI158" s="12">
        <v>0</v>
      </c>
      <c r="AJ158" s="12">
        <v>0</v>
      </c>
      <c r="AK158" s="12">
        <v>17235</v>
      </c>
      <c r="AL158" s="12">
        <v>66</v>
      </c>
      <c r="AM158" s="12">
        <v>3843</v>
      </c>
      <c r="AN158" s="13">
        <f t="shared" si="10"/>
        <v>15196</v>
      </c>
    </row>
    <row r="159" ht="16.5" spans="1:40">
      <c r="A159">
        <f t="shared" si="12"/>
        <v>110</v>
      </c>
      <c r="B159">
        <f t="shared" si="11"/>
        <v>80</v>
      </c>
      <c r="C159" s="112">
        <v>140</v>
      </c>
      <c r="D159" s="113">
        <v>92.2500000000007</v>
      </c>
      <c r="E159" s="113">
        <v>103.2</v>
      </c>
      <c r="F159" s="113">
        <v>139.849999999999</v>
      </c>
      <c r="G159" s="113">
        <v>179</v>
      </c>
      <c r="H159" s="12">
        <v>30453</v>
      </c>
      <c r="I159" s="12">
        <v>0</v>
      </c>
      <c r="J159" s="12">
        <v>6253952</v>
      </c>
      <c r="K159" s="12">
        <v>368711</v>
      </c>
      <c r="L159" s="12">
        <v>9300</v>
      </c>
      <c r="M159" s="12">
        <f t="shared" si="9"/>
        <v>16726.7</v>
      </c>
      <c r="N159" s="12">
        <v>146</v>
      </c>
      <c r="O159" s="12">
        <v>767475</v>
      </c>
      <c r="P159" s="12">
        <v>145978</v>
      </c>
      <c r="Q159" s="12">
        <v>42676</v>
      </c>
      <c r="R159" s="12">
        <v>15</v>
      </c>
      <c r="S159" s="12">
        <v>89</v>
      </c>
      <c r="T159" s="12">
        <v>639</v>
      </c>
      <c r="U159" s="12">
        <v>648</v>
      </c>
      <c r="V159" s="12">
        <v>348</v>
      </c>
      <c r="W159" s="12">
        <v>246</v>
      </c>
      <c r="X159" s="12">
        <v>106</v>
      </c>
      <c r="Y159" s="12">
        <v>6</v>
      </c>
      <c r="Z159" s="12">
        <v>1504</v>
      </c>
      <c r="AA159" s="12">
        <v>127</v>
      </c>
      <c r="AB159" s="12">
        <v>10904</v>
      </c>
      <c r="AC159" s="12">
        <v>539</v>
      </c>
      <c r="AD159" s="12">
        <v>4200</v>
      </c>
      <c r="AE159" s="12">
        <v>0</v>
      </c>
      <c r="AF159" s="12">
        <v>0</v>
      </c>
      <c r="AG159" s="12">
        <v>0</v>
      </c>
      <c r="AH159" s="12">
        <v>0</v>
      </c>
      <c r="AI159" s="12">
        <v>0</v>
      </c>
      <c r="AJ159" s="12">
        <v>0</v>
      </c>
      <c r="AK159" s="12">
        <v>17340</v>
      </c>
      <c r="AL159" s="12">
        <v>66</v>
      </c>
      <c r="AM159" s="12">
        <v>3867</v>
      </c>
      <c r="AN159" s="13">
        <f t="shared" si="10"/>
        <v>15276</v>
      </c>
    </row>
    <row r="160" ht="16.5" spans="1:40">
      <c r="A160">
        <f t="shared" si="12"/>
        <v>110</v>
      </c>
      <c r="B160">
        <f t="shared" si="11"/>
        <v>230</v>
      </c>
      <c r="C160" s="112">
        <v>141</v>
      </c>
      <c r="D160" s="113">
        <v>92.4000000000007</v>
      </c>
      <c r="E160" s="113">
        <v>103.4</v>
      </c>
      <c r="F160" s="113">
        <v>140.199999999999</v>
      </c>
      <c r="G160" s="113">
        <v>179.5</v>
      </c>
      <c r="H160" s="12">
        <v>30683</v>
      </c>
      <c r="I160" s="12">
        <v>0</v>
      </c>
      <c r="J160" s="12">
        <v>6331960</v>
      </c>
      <c r="K160" s="12">
        <v>371503</v>
      </c>
      <c r="L160" s="12">
        <v>9308</v>
      </c>
      <c r="M160" s="12">
        <f t="shared" si="9"/>
        <v>16836.7</v>
      </c>
      <c r="N160" s="12">
        <v>148</v>
      </c>
      <c r="O160" s="12">
        <v>773486</v>
      </c>
      <c r="P160" s="12">
        <v>147052</v>
      </c>
      <c r="Q160" s="12">
        <v>42977</v>
      </c>
      <c r="R160" s="12">
        <v>15</v>
      </c>
      <c r="S160" s="12">
        <v>89</v>
      </c>
      <c r="T160" s="12">
        <v>641</v>
      </c>
      <c r="U160" s="12">
        <v>654</v>
      </c>
      <c r="V160" s="12">
        <v>351</v>
      </c>
      <c r="W160" s="12">
        <v>249</v>
      </c>
      <c r="X160" s="12">
        <v>108</v>
      </c>
      <c r="Y160" s="12">
        <v>6</v>
      </c>
      <c r="Z160" s="12">
        <v>1515</v>
      </c>
      <c r="AA160" s="12">
        <v>128</v>
      </c>
      <c r="AB160" s="12">
        <v>10970</v>
      </c>
      <c r="AC160" s="12">
        <v>543</v>
      </c>
      <c r="AD160" s="12">
        <v>4230</v>
      </c>
      <c r="AE160" s="12">
        <v>0</v>
      </c>
      <c r="AF160" s="12">
        <v>0</v>
      </c>
      <c r="AG160" s="12">
        <v>0</v>
      </c>
      <c r="AH160" s="12">
        <v>0</v>
      </c>
      <c r="AI160" s="12">
        <v>0</v>
      </c>
      <c r="AJ160" s="12">
        <v>0</v>
      </c>
      <c r="AK160" s="12">
        <v>17445</v>
      </c>
      <c r="AL160" s="12">
        <v>69</v>
      </c>
      <c r="AM160" s="12">
        <v>3896</v>
      </c>
      <c r="AN160" s="13">
        <f t="shared" si="10"/>
        <v>15389</v>
      </c>
    </row>
    <row r="161" ht="16.5" spans="1:40">
      <c r="A161">
        <f t="shared" si="12"/>
        <v>110</v>
      </c>
      <c r="B161">
        <f t="shared" si="11"/>
        <v>79</v>
      </c>
      <c r="C161" s="112">
        <v>142</v>
      </c>
      <c r="D161" s="113">
        <v>92.5500000000007</v>
      </c>
      <c r="E161" s="113">
        <v>103.6</v>
      </c>
      <c r="F161" s="113">
        <v>140.549999999999</v>
      </c>
      <c r="G161" s="113">
        <v>180</v>
      </c>
      <c r="H161" s="12">
        <v>30762</v>
      </c>
      <c r="I161" s="12">
        <v>0</v>
      </c>
      <c r="J161" s="12">
        <v>6374668</v>
      </c>
      <c r="K161" s="12">
        <v>373545</v>
      </c>
      <c r="L161" s="12">
        <v>9317</v>
      </c>
      <c r="M161" s="12">
        <f t="shared" si="9"/>
        <v>16946.7</v>
      </c>
      <c r="N161" s="12">
        <v>149</v>
      </c>
      <c r="O161" s="12">
        <v>778996</v>
      </c>
      <c r="P161" s="12">
        <v>148085</v>
      </c>
      <c r="Q161" s="12">
        <v>43279</v>
      </c>
      <c r="R161" s="12">
        <v>15</v>
      </c>
      <c r="S161" s="12">
        <v>89</v>
      </c>
      <c r="T161" s="12">
        <v>643</v>
      </c>
      <c r="U161" s="12">
        <v>660</v>
      </c>
      <c r="V161" s="12">
        <v>354</v>
      </c>
      <c r="W161" s="12">
        <v>251</v>
      </c>
      <c r="X161" s="12">
        <v>109</v>
      </c>
      <c r="Y161" s="12">
        <v>6</v>
      </c>
      <c r="Z161" s="12">
        <v>1526</v>
      </c>
      <c r="AA161" s="12">
        <v>129</v>
      </c>
      <c r="AB161" s="12">
        <v>11036</v>
      </c>
      <c r="AC161" s="12">
        <v>546</v>
      </c>
      <c r="AD161" s="12">
        <v>4260</v>
      </c>
      <c r="AE161" s="12">
        <v>0</v>
      </c>
      <c r="AF161" s="12">
        <v>0</v>
      </c>
      <c r="AG161" s="12">
        <v>0</v>
      </c>
      <c r="AH161" s="12">
        <v>0</v>
      </c>
      <c r="AI161" s="12">
        <v>0</v>
      </c>
      <c r="AJ161" s="12">
        <v>0</v>
      </c>
      <c r="AK161" s="12">
        <v>17550</v>
      </c>
      <c r="AL161" s="12">
        <v>69</v>
      </c>
      <c r="AM161" s="12">
        <v>3919</v>
      </c>
      <c r="AN161" s="13">
        <f t="shared" si="10"/>
        <v>15502</v>
      </c>
    </row>
    <row r="162" ht="16.5" spans="1:40">
      <c r="A162">
        <f t="shared" si="12"/>
        <v>110</v>
      </c>
      <c r="B162">
        <f t="shared" si="11"/>
        <v>80</v>
      </c>
      <c r="C162" s="112">
        <v>143</v>
      </c>
      <c r="D162" s="113">
        <v>92.7000000000007</v>
      </c>
      <c r="E162" s="113">
        <v>103.8</v>
      </c>
      <c r="F162" s="113">
        <v>140.899999999999</v>
      </c>
      <c r="G162" s="113">
        <v>180.5</v>
      </c>
      <c r="H162" s="12">
        <v>30842</v>
      </c>
      <c r="I162" s="12">
        <v>0</v>
      </c>
      <c r="J162" s="12">
        <v>6417375</v>
      </c>
      <c r="K162" s="12">
        <v>375587</v>
      </c>
      <c r="L162" s="12">
        <v>9325</v>
      </c>
      <c r="M162" s="12">
        <f t="shared" si="9"/>
        <v>17056.7</v>
      </c>
      <c r="N162" s="12">
        <v>150</v>
      </c>
      <c r="O162" s="12">
        <v>784507</v>
      </c>
      <c r="P162" s="12">
        <v>149119</v>
      </c>
      <c r="Q162" s="12">
        <v>43580</v>
      </c>
      <c r="R162" s="12">
        <v>15</v>
      </c>
      <c r="S162" s="12">
        <v>89</v>
      </c>
      <c r="T162" s="12">
        <v>645</v>
      </c>
      <c r="U162" s="12">
        <v>666</v>
      </c>
      <c r="V162" s="12">
        <v>357</v>
      </c>
      <c r="W162" s="12">
        <v>254</v>
      </c>
      <c r="X162" s="12">
        <v>110</v>
      </c>
      <c r="Y162" s="12">
        <v>6</v>
      </c>
      <c r="Z162" s="12">
        <v>1536</v>
      </c>
      <c r="AA162" s="12">
        <v>130</v>
      </c>
      <c r="AB162" s="12">
        <v>11102</v>
      </c>
      <c r="AC162" s="12">
        <v>550</v>
      </c>
      <c r="AD162" s="12">
        <v>4290</v>
      </c>
      <c r="AE162" s="12">
        <v>0</v>
      </c>
      <c r="AF162" s="12">
        <v>0</v>
      </c>
      <c r="AG162" s="12">
        <v>0</v>
      </c>
      <c r="AH162" s="12">
        <v>0</v>
      </c>
      <c r="AI162" s="12">
        <v>0</v>
      </c>
      <c r="AJ162" s="12">
        <v>0</v>
      </c>
      <c r="AK162" s="12">
        <v>17655</v>
      </c>
      <c r="AL162" s="12">
        <v>69</v>
      </c>
      <c r="AM162" s="12">
        <v>3943</v>
      </c>
      <c r="AN162" s="13">
        <f t="shared" si="10"/>
        <v>15610</v>
      </c>
    </row>
    <row r="163" ht="16.5" spans="1:40">
      <c r="A163">
        <f t="shared" si="12"/>
        <v>110</v>
      </c>
      <c r="B163">
        <f t="shared" si="11"/>
        <v>230</v>
      </c>
      <c r="C163" s="112">
        <v>144</v>
      </c>
      <c r="D163" s="113">
        <v>92.8500000000007</v>
      </c>
      <c r="E163" s="113">
        <v>104</v>
      </c>
      <c r="F163" s="113">
        <v>141.249999999999</v>
      </c>
      <c r="G163" s="113">
        <v>181</v>
      </c>
      <c r="H163" s="12">
        <v>31072</v>
      </c>
      <c r="I163" s="12">
        <v>0</v>
      </c>
      <c r="J163" s="12">
        <v>6474052</v>
      </c>
      <c r="K163" s="12">
        <v>378380</v>
      </c>
      <c r="L163" s="12">
        <v>9334</v>
      </c>
      <c r="M163" s="12">
        <f t="shared" si="9"/>
        <v>17166.7</v>
      </c>
      <c r="N163" s="12">
        <v>151</v>
      </c>
      <c r="O163" s="12">
        <v>790517</v>
      </c>
      <c r="P163" s="12">
        <v>150193</v>
      </c>
      <c r="Q163" s="12">
        <v>43881</v>
      </c>
      <c r="R163" s="12">
        <v>15</v>
      </c>
      <c r="S163" s="12">
        <v>89</v>
      </c>
      <c r="T163" s="12">
        <v>645</v>
      </c>
      <c r="U163" s="12">
        <v>672</v>
      </c>
      <c r="V163" s="12">
        <v>360</v>
      </c>
      <c r="W163" s="12">
        <v>256</v>
      </c>
      <c r="X163" s="12">
        <v>112</v>
      </c>
      <c r="Y163" s="12">
        <v>7</v>
      </c>
      <c r="Z163" s="12">
        <v>1547</v>
      </c>
      <c r="AA163" s="12">
        <v>131</v>
      </c>
      <c r="AB163" s="12">
        <v>11167</v>
      </c>
      <c r="AC163" s="12">
        <v>553</v>
      </c>
      <c r="AD163" s="12">
        <v>4320</v>
      </c>
      <c r="AE163" s="12">
        <v>0</v>
      </c>
      <c r="AF163" s="12">
        <v>0</v>
      </c>
      <c r="AG163" s="12">
        <v>0</v>
      </c>
      <c r="AH163" s="12">
        <v>0</v>
      </c>
      <c r="AI163" s="12">
        <v>0</v>
      </c>
      <c r="AJ163" s="12">
        <v>0</v>
      </c>
      <c r="AK163" s="12">
        <v>17790</v>
      </c>
      <c r="AL163" s="12">
        <v>69</v>
      </c>
      <c r="AM163" s="12">
        <v>3972</v>
      </c>
      <c r="AN163" s="13">
        <f t="shared" si="10"/>
        <v>15723</v>
      </c>
    </row>
    <row r="164" ht="16.5" spans="1:40">
      <c r="A164">
        <f t="shared" si="12"/>
        <v>110</v>
      </c>
      <c r="B164">
        <f t="shared" si="11"/>
        <v>79</v>
      </c>
      <c r="C164" s="112">
        <v>145</v>
      </c>
      <c r="D164" s="113">
        <v>93.0000000000007</v>
      </c>
      <c r="E164" s="113">
        <v>104.2</v>
      </c>
      <c r="F164" s="113">
        <v>141.599999999999</v>
      </c>
      <c r="G164" s="113">
        <v>181.5</v>
      </c>
      <c r="H164" s="12">
        <v>31151</v>
      </c>
      <c r="I164" s="12">
        <v>0</v>
      </c>
      <c r="J164" s="12">
        <v>6516929</v>
      </c>
      <c r="K164" s="12">
        <v>380422</v>
      </c>
      <c r="L164" s="12">
        <v>9342</v>
      </c>
      <c r="M164" s="12">
        <f t="shared" si="9"/>
        <v>17276.7</v>
      </c>
      <c r="N164" s="12">
        <v>152</v>
      </c>
      <c r="O164" s="12">
        <v>796028</v>
      </c>
      <c r="P164" s="12">
        <v>151226</v>
      </c>
      <c r="Q164" s="12">
        <v>44182</v>
      </c>
      <c r="R164" s="12">
        <v>15</v>
      </c>
      <c r="S164" s="12">
        <v>89</v>
      </c>
      <c r="T164" s="12">
        <v>645</v>
      </c>
      <c r="U164" s="12">
        <v>679</v>
      </c>
      <c r="V164" s="12">
        <v>364</v>
      </c>
      <c r="W164" s="12">
        <v>259</v>
      </c>
      <c r="X164" s="12">
        <v>113</v>
      </c>
      <c r="Y164" s="12">
        <v>7</v>
      </c>
      <c r="Z164" s="12">
        <v>1557</v>
      </c>
      <c r="AA164" s="12">
        <v>132</v>
      </c>
      <c r="AB164" s="12">
        <v>11233</v>
      </c>
      <c r="AC164" s="12">
        <v>557</v>
      </c>
      <c r="AD164" s="12">
        <v>4350</v>
      </c>
      <c r="AE164" s="12">
        <v>0</v>
      </c>
      <c r="AF164" s="12">
        <v>0</v>
      </c>
      <c r="AG164" s="12">
        <v>0</v>
      </c>
      <c r="AH164" s="12">
        <v>0</v>
      </c>
      <c r="AI164" s="12">
        <v>0</v>
      </c>
      <c r="AJ164" s="12">
        <v>0</v>
      </c>
      <c r="AK164" s="12">
        <v>17895</v>
      </c>
      <c r="AL164" s="12">
        <v>69</v>
      </c>
      <c r="AM164" s="12">
        <v>3996</v>
      </c>
      <c r="AN164" s="13">
        <f t="shared" si="10"/>
        <v>15831</v>
      </c>
    </row>
    <row r="165" ht="16.5" spans="1:40">
      <c r="A165">
        <f t="shared" si="12"/>
        <v>110</v>
      </c>
      <c r="B165">
        <f t="shared" si="11"/>
        <v>80</v>
      </c>
      <c r="C165" s="112">
        <v>146</v>
      </c>
      <c r="D165" s="113">
        <v>93.1500000000007</v>
      </c>
      <c r="E165" s="113">
        <v>104.4</v>
      </c>
      <c r="F165" s="113">
        <v>141.949999999999</v>
      </c>
      <c r="G165" s="113">
        <v>182</v>
      </c>
      <c r="H165" s="12">
        <v>31231</v>
      </c>
      <c r="I165" s="12">
        <v>0</v>
      </c>
      <c r="J165" s="12">
        <v>6559805</v>
      </c>
      <c r="K165" s="12">
        <v>382464</v>
      </c>
      <c r="L165" s="12">
        <v>9351</v>
      </c>
      <c r="M165" s="12">
        <f t="shared" si="9"/>
        <v>17386.7</v>
      </c>
      <c r="N165" s="12">
        <v>153</v>
      </c>
      <c r="O165" s="12">
        <v>801538</v>
      </c>
      <c r="P165" s="12">
        <v>152260</v>
      </c>
      <c r="Q165" s="12">
        <v>44484</v>
      </c>
      <c r="R165" s="12">
        <v>15</v>
      </c>
      <c r="S165" s="12">
        <v>89</v>
      </c>
      <c r="T165" s="12">
        <v>645</v>
      </c>
      <c r="U165" s="12">
        <v>686</v>
      </c>
      <c r="V165" s="12">
        <v>368</v>
      </c>
      <c r="W165" s="12">
        <v>261</v>
      </c>
      <c r="X165" s="12">
        <v>115</v>
      </c>
      <c r="Y165" s="12">
        <v>7</v>
      </c>
      <c r="Z165" s="12">
        <v>1568</v>
      </c>
      <c r="AA165" s="12">
        <v>132</v>
      </c>
      <c r="AB165" s="12">
        <v>11299</v>
      </c>
      <c r="AC165" s="12">
        <v>560</v>
      </c>
      <c r="AD165" s="12">
        <v>4380</v>
      </c>
      <c r="AE165" s="12">
        <v>0</v>
      </c>
      <c r="AF165" s="12">
        <v>0</v>
      </c>
      <c r="AG165" s="12">
        <v>0</v>
      </c>
      <c r="AH165" s="12">
        <v>0</v>
      </c>
      <c r="AI165" s="12">
        <v>0</v>
      </c>
      <c r="AJ165" s="12">
        <v>0</v>
      </c>
      <c r="AK165" s="12">
        <v>18000</v>
      </c>
      <c r="AL165" s="12">
        <v>69</v>
      </c>
      <c r="AM165" s="12">
        <v>4020</v>
      </c>
      <c r="AN165" s="13">
        <f t="shared" si="10"/>
        <v>15916</v>
      </c>
    </row>
    <row r="166" ht="16.5" spans="1:40">
      <c r="A166">
        <f t="shared" si="12"/>
        <v>110</v>
      </c>
      <c r="B166">
        <f t="shared" si="11"/>
        <v>230</v>
      </c>
      <c r="C166" s="112">
        <v>147</v>
      </c>
      <c r="D166" s="113">
        <v>93.3000000000007</v>
      </c>
      <c r="E166" s="113">
        <v>104.6</v>
      </c>
      <c r="F166" s="113">
        <v>142.299999999999</v>
      </c>
      <c r="G166" s="113">
        <v>182.5</v>
      </c>
      <c r="H166" s="12">
        <v>31461</v>
      </c>
      <c r="I166" s="12">
        <v>0</v>
      </c>
      <c r="J166" s="12">
        <v>6604531</v>
      </c>
      <c r="K166" s="12">
        <v>385256</v>
      </c>
      <c r="L166" s="12">
        <v>9360</v>
      </c>
      <c r="M166" s="12">
        <f t="shared" si="9"/>
        <v>17496.7</v>
      </c>
      <c r="N166" s="12">
        <v>154</v>
      </c>
      <c r="O166" s="12">
        <v>807590</v>
      </c>
      <c r="P166" s="12">
        <v>153333</v>
      </c>
      <c r="Q166" s="12">
        <v>44785</v>
      </c>
      <c r="R166" s="12">
        <v>15</v>
      </c>
      <c r="S166" s="12">
        <v>89</v>
      </c>
      <c r="T166" s="12">
        <v>645</v>
      </c>
      <c r="U166" s="12">
        <v>693</v>
      </c>
      <c r="V166" s="12">
        <v>372</v>
      </c>
      <c r="W166" s="12">
        <v>264</v>
      </c>
      <c r="X166" s="12">
        <v>116</v>
      </c>
      <c r="Y166" s="12">
        <v>8</v>
      </c>
      <c r="Z166" s="12">
        <v>1578</v>
      </c>
      <c r="AA166" s="12">
        <v>133</v>
      </c>
      <c r="AB166" s="12">
        <v>11364</v>
      </c>
      <c r="AC166" s="12">
        <v>564</v>
      </c>
      <c r="AD166" s="12">
        <v>4410</v>
      </c>
      <c r="AE166" s="12">
        <v>0</v>
      </c>
      <c r="AF166" s="12">
        <v>0</v>
      </c>
      <c r="AG166" s="12">
        <v>0</v>
      </c>
      <c r="AH166" s="12">
        <v>0</v>
      </c>
      <c r="AI166" s="12">
        <v>0</v>
      </c>
      <c r="AJ166" s="12">
        <v>0</v>
      </c>
      <c r="AK166" s="12">
        <v>18135</v>
      </c>
      <c r="AL166" s="12">
        <v>69</v>
      </c>
      <c r="AM166" s="12">
        <v>4049</v>
      </c>
      <c r="AN166" s="13">
        <f t="shared" si="10"/>
        <v>16024</v>
      </c>
    </row>
    <row r="167" ht="16.5" spans="1:40">
      <c r="A167">
        <f t="shared" si="12"/>
        <v>110</v>
      </c>
      <c r="B167">
        <f t="shared" si="11"/>
        <v>79</v>
      </c>
      <c r="C167" s="112">
        <v>148</v>
      </c>
      <c r="D167" s="113">
        <v>93.4500000000007</v>
      </c>
      <c r="E167" s="113">
        <v>104.8</v>
      </c>
      <c r="F167" s="113">
        <v>142.649999999999</v>
      </c>
      <c r="G167" s="113">
        <v>183</v>
      </c>
      <c r="H167" s="12">
        <v>31540</v>
      </c>
      <c r="I167" s="12">
        <v>0</v>
      </c>
      <c r="J167" s="12">
        <v>6647957</v>
      </c>
      <c r="K167" s="12">
        <v>387298</v>
      </c>
      <c r="L167" s="12">
        <v>9368</v>
      </c>
      <c r="M167" s="12">
        <f t="shared" si="9"/>
        <v>17606.7</v>
      </c>
      <c r="N167" s="12">
        <v>155</v>
      </c>
      <c r="O167" s="12">
        <v>813142</v>
      </c>
      <c r="P167" s="12">
        <v>154367</v>
      </c>
      <c r="Q167" s="12">
        <v>45086</v>
      </c>
      <c r="R167" s="12">
        <v>15</v>
      </c>
      <c r="S167" s="12">
        <v>89</v>
      </c>
      <c r="T167" s="12">
        <v>645</v>
      </c>
      <c r="U167" s="12">
        <v>700</v>
      </c>
      <c r="V167" s="12">
        <v>375</v>
      </c>
      <c r="W167" s="12">
        <v>266</v>
      </c>
      <c r="X167" s="12">
        <v>118</v>
      </c>
      <c r="Y167" s="12">
        <v>8</v>
      </c>
      <c r="Z167" s="12">
        <v>1588</v>
      </c>
      <c r="AA167" s="12">
        <v>134</v>
      </c>
      <c r="AB167" s="12">
        <v>11430</v>
      </c>
      <c r="AC167" s="12">
        <v>567</v>
      </c>
      <c r="AD167" s="12">
        <v>4440</v>
      </c>
      <c r="AE167" s="12">
        <v>0</v>
      </c>
      <c r="AF167" s="12">
        <v>0</v>
      </c>
      <c r="AG167" s="12">
        <v>0</v>
      </c>
      <c r="AH167" s="12">
        <v>0</v>
      </c>
      <c r="AI167" s="12">
        <v>0</v>
      </c>
      <c r="AJ167" s="12">
        <v>0</v>
      </c>
      <c r="AK167" s="12">
        <v>18240</v>
      </c>
      <c r="AL167" s="12">
        <v>69</v>
      </c>
      <c r="AM167" s="12">
        <v>4073</v>
      </c>
      <c r="AN167" s="13">
        <f t="shared" si="10"/>
        <v>16132</v>
      </c>
    </row>
    <row r="168" ht="16.5" spans="1:40">
      <c r="A168">
        <f t="shared" si="12"/>
        <v>110</v>
      </c>
      <c r="B168">
        <f t="shared" si="11"/>
        <v>80</v>
      </c>
      <c r="C168" s="112">
        <v>149</v>
      </c>
      <c r="D168" s="113">
        <v>93.6000000000007</v>
      </c>
      <c r="E168" s="113">
        <v>105</v>
      </c>
      <c r="F168" s="113">
        <v>142.999999999999</v>
      </c>
      <c r="G168" s="113">
        <v>183.5</v>
      </c>
      <c r="H168" s="12">
        <v>31620</v>
      </c>
      <c r="I168" s="12">
        <v>0</v>
      </c>
      <c r="J168" s="12">
        <v>6690882</v>
      </c>
      <c r="K168" s="12">
        <v>389340</v>
      </c>
      <c r="L168" s="12">
        <v>9377</v>
      </c>
      <c r="M168" s="12">
        <f t="shared" si="9"/>
        <v>17716.7</v>
      </c>
      <c r="N168" s="12">
        <v>155</v>
      </c>
      <c r="O168" s="12">
        <v>818694</v>
      </c>
      <c r="P168" s="12">
        <v>155401</v>
      </c>
      <c r="Q168" s="12">
        <v>45387</v>
      </c>
      <c r="R168" s="12">
        <v>15</v>
      </c>
      <c r="S168" s="12">
        <v>89</v>
      </c>
      <c r="T168" s="12">
        <v>645</v>
      </c>
      <c r="U168" s="12">
        <v>706</v>
      </c>
      <c r="V168" s="12">
        <v>379</v>
      </c>
      <c r="W168" s="12">
        <v>269</v>
      </c>
      <c r="X168" s="12">
        <v>119</v>
      </c>
      <c r="Y168" s="12">
        <v>8</v>
      </c>
      <c r="Z168" s="12">
        <v>1599</v>
      </c>
      <c r="AA168" s="12">
        <v>135</v>
      </c>
      <c r="AB168" s="12">
        <v>11496</v>
      </c>
      <c r="AC168" s="12">
        <v>571</v>
      </c>
      <c r="AD168" s="12">
        <v>4470</v>
      </c>
      <c r="AE168" s="12">
        <v>0</v>
      </c>
      <c r="AF168" s="12">
        <v>0</v>
      </c>
      <c r="AG168" s="12">
        <v>0</v>
      </c>
      <c r="AH168" s="12">
        <v>0</v>
      </c>
      <c r="AI168" s="12">
        <v>0</v>
      </c>
      <c r="AJ168" s="12">
        <v>0</v>
      </c>
      <c r="AK168" s="12">
        <v>18345</v>
      </c>
      <c r="AL168" s="12">
        <v>69</v>
      </c>
      <c r="AM168" s="12">
        <v>4096</v>
      </c>
      <c r="AN168" s="13">
        <f t="shared" si="10"/>
        <v>16245</v>
      </c>
    </row>
    <row r="169" ht="16.5" spans="1:40">
      <c r="A169">
        <f t="shared" si="12"/>
        <v>110</v>
      </c>
      <c r="B169">
        <f t="shared" si="11"/>
        <v>229</v>
      </c>
      <c r="C169" s="112">
        <v>150</v>
      </c>
      <c r="D169" s="113">
        <v>93.7500000000007</v>
      </c>
      <c r="E169" s="113">
        <v>105.2</v>
      </c>
      <c r="F169" s="113">
        <v>143.349999999999</v>
      </c>
      <c r="G169" s="113">
        <v>184</v>
      </c>
      <c r="H169" s="12">
        <v>31849</v>
      </c>
      <c r="I169" s="12">
        <v>0</v>
      </c>
      <c r="J169" s="12">
        <v>6735657</v>
      </c>
      <c r="K169" s="12">
        <v>392133</v>
      </c>
      <c r="L169" s="12">
        <v>9385</v>
      </c>
      <c r="M169" s="12">
        <f t="shared" si="9"/>
        <v>17826.7</v>
      </c>
      <c r="N169" s="12">
        <v>156</v>
      </c>
      <c r="O169" s="12">
        <v>824746</v>
      </c>
      <c r="P169" s="12">
        <v>156474</v>
      </c>
      <c r="Q169" s="12">
        <v>45689</v>
      </c>
      <c r="R169" s="12">
        <v>15</v>
      </c>
      <c r="S169" s="12">
        <v>89</v>
      </c>
      <c r="T169" s="12">
        <v>645</v>
      </c>
      <c r="U169" s="12">
        <v>713</v>
      </c>
      <c r="V169" s="12">
        <v>383</v>
      </c>
      <c r="W169" s="12">
        <v>271</v>
      </c>
      <c r="X169" s="12">
        <v>121</v>
      </c>
      <c r="Y169" s="12">
        <v>9</v>
      </c>
      <c r="Z169" s="12">
        <v>1609</v>
      </c>
      <c r="AA169" s="12">
        <v>136</v>
      </c>
      <c r="AB169" s="12">
        <v>11562</v>
      </c>
      <c r="AC169" s="12">
        <v>575</v>
      </c>
      <c r="AD169" s="12">
        <v>4500</v>
      </c>
      <c r="AE169" s="12">
        <v>0</v>
      </c>
      <c r="AF169" s="12">
        <v>0</v>
      </c>
      <c r="AG169" s="12">
        <v>0</v>
      </c>
      <c r="AH169" s="12">
        <v>0</v>
      </c>
      <c r="AI169" s="12">
        <v>0</v>
      </c>
      <c r="AJ169" s="12">
        <v>0</v>
      </c>
      <c r="AK169" s="12">
        <v>18480</v>
      </c>
      <c r="AL169" s="12">
        <v>69</v>
      </c>
      <c r="AM169" s="12">
        <v>4125</v>
      </c>
      <c r="AN169" s="13">
        <f t="shared" si="10"/>
        <v>16353</v>
      </c>
    </row>
    <row r="170" ht="16.5" spans="1:40">
      <c r="A170">
        <f t="shared" si="12"/>
        <v>110</v>
      </c>
      <c r="B170">
        <f t="shared" si="11"/>
        <v>80</v>
      </c>
      <c r="C170" s="112">
        <v>151</v>
      </c>
      <c r="D170" s="113">
        <v>93.9000000000007</v>
      </c>
      <c r="E170" s="113">
        <v>105.4</v>
      </c>
      <c r="F170" s="113">
        <v>143.699999999999</v>
      </c>
      <c r="G170" s="113">
        <v>184.5</v>
      </c>
      <c r="H170" s="12">
        <v>31929</v>
      </c>
      <c r="I170" s="12">
        <v>0</v>
      </c>
      <c r="J170" s="12">
        <v>6778632</v>
      </c>
      <c r="K170" s="12">
        <v>394175</v>
      </c>
      <c r="L170" s="12">
        <v>9394</v>
      </c>
      <c r="M170" s="12">
        <f t="shared" ref="M170:M233" si="13">M169+110</f>
        <v>17936.7</v>
      </c>
      <c r="N170" s="12">
        <v>157</v>
      </c>
      <c r="O170" s="12">
        <v>830298</v>
      </c>
      <c r="P170" s="12">
        <v>157508</v>
      </c>
      <c r="Q170" s="12">
        <v>45990</v>
      </c>
      <c r="R170" s="12">
        <v>15</v>
      </c>
      <c r="S170" s="12">
        <v>89</v>
      </c>
      <c r="T170" s="12">
        <v>645</v>
      </c>
      <c r="U170" s="12">
        <v>720</v>
      </c>
      <c r="V170" s="12">
        <v>387</v>
      </c>
      <c r="W170" s="12">
        <v>274</v>
      </c>
      <c r="X170" s="12">
        <v>122</v>
      </c>
      <c r="Y170" s="12">
        <v>9</v>
      </c>
      <c r="Z170" s="12">
        <v>1620</v>
      </c>
      <c r="AA170" s="12">
        <v>137</v>
      </c>
      <c r="AB170" s="12">
        <v>11627</v>
      </c>
      <c r="AC170" s="12">
        <v>578</v>
      </c>
      <c r="AD170" s="12">
        <v>4530</v>
      </c>
      <c r="AE170" s="12">
        <v>0</v>
      </c>
      <c r="AF170" s="12">
        <v>0</v>
      </c>
      <c r="AG170" s="12">
        <v>0</v>
      </c>
      <c r="AH170" s="12">
        <v>0</v>
      </c>
      <c r="AI170" s="12">
        <v>0</v>
      </c>
      <c r="AJ170" s="12">
        <v>0</v>
      </c>
      <c r="AK170" s="12">
        <v>18585</v>
      </c>
      <c r="AL170" s="12">
        <v>69</v>
      </c>
      <c r="AM170" s="12">
        <v>4149</v>
      </c>
      <c r="AN170" s="13">
        <f t="shared" si="10"/>
        <v>16466</v>
      </c>
    </row>
    <row r="171" ht="16.5" spans="1:40">
      <c r="A171">
        <f t="shared" si="12"/>
        <v>110</v>
      </c>
      <c r="B171">
        <f t="shared" si="11"/>
        <v>80</v>
      </c>
      <c r="C171" s="112">
        <v>152</v>
      </c>
      <c r="D171" s="113">
        <v>94.0500000000008</v>
      </c>
      <c r="E171" s="113">
        <v>105.6</v>
      </c>
      <c r="F171" s="113">
        <v>144.049999999999</v>
      </c>
      <c r="G171" s="113">
        <v>185</v>
      </c>
      <c r="H171" s="12">
        <v>32009</v>
      </c>
      <c r="I171" s="12">
        <v>0</v>
      </c>
      <c r="J171" s="12">
        <v>6821607</v>
      </c>
      <c r="K171" s="12">
        <v>396217</v>
      </c>
      <c r="L171" s="12">
        <v>9402</v>
      </c>
      <c r="M171" s="12">
        <f t="shared" si="13"/>
        <v>18046.7</v>
      </c>
      <c r="N171" s="12">
        <v>158</v>
      </c>
      <c r="O171" s="12">
        <v>835850</v>
      </c>
      <c r="P171" s="12">
        <v>158541</v>
      </c>
      <c r="Q171" s="12">
        <v>46291</v>
      </c>
      <c r="R171" s="12">
        <v>15</v>
      </c>
      <c r="S171" s="12">
        <v>89</v>
      </c>
      <c r="T171" s="12">
        <v>645</v>
      </c>
      <c r="U171" s="12">
        <v>727</v>
      </c>
      <c r="V171" s="12">
        <v>390</v>
      </c>
      <c r="W171" s="12">
        <v>277</v>
      </c>
      <c r="X171" s="12">
        <v>124</v>
      </c>
      <c r="Y171" s="12">
        <v>10</v>
      </c>
      <c r="Z171" s="12">
        <v>1630</v>
      </c>
      <c r="AA171" s="12">
        <v>137</v>
      </c>
      <c r="AB171" s="12">
        <v>11693</v>
      </c>
      <c r="AC171" s="12">
        <v>582</v>
      </c>
      <c r="AD171" s="12">
        <v>4560</v>
      </c>
      <c r="AE171" s="12">
        <v>0</v>
      </c>
      <c r="AF171" s="12">
        <v>0</v>
      </c>
      <c r="AG171" s="12">
        <v>0</v>
      </c>
      <c r="AH171" s="12">
        <v>0</v>
      </c>
      <c r="AI171" s="12">
        <v>0</v>
      </c>
      <c r="AJ171" s="12">
        <v>0</v>
      </c>
      <c r="AK171" s="12">
        <v>18690</v>
      </c>
      <c r="AL171" s="12">
        <v>69</v>
      </c>
      <c r="AM171" s="12">
        <v>4173</v>
      </c>
      <c r="AN171" s="13">
        <f t="shared" si="10"/>
        <v>16546</v>
      </c>
    </row>
    <row r="172" ht="16.5" spans="1:40">
      <c r="A172">
        <f t="shared" si="12"/>
        <v>110</v>
      </c>
      <c r="B172">
        <f t="shared" si="11"/>
        <v>229</v>
      </c>
      <c r="C172" s="112">
        <v>153</v>
      </c>
      <c r="D172" s="113">
        <v>94.2000000000008</v>
      </c>
      <c r="E172" s="113">
        <v>105.8</v>
      </c>
      <c r="F172" s="113">
        <v>144.399999999999</v>
      </c>
      <c r="G172" s="113">
        <v>185.5</v>
      </c>
      <c r="H172" s="12">
        <v>32238</v>
      </c>
      <c r="I172" s="12">
        <v>0</v>
      </c>
      <c r="J172" s="12">
        <v>6900430</v>
      </c>
      <c r="K172" s="12">
        <v>399009</v>
      </c>
      <c r="L172" s="12">
        <v>9411</v>
      </c>
      <c r="M172" s="12">
        <f t="shared" si="13"/>
        <v>18156.7</v>
      </c>
      <c r="N172" s="12">
        <v>159</v>
      </c>
      <c r="O172" s="12">
        <v>841902</v>
      </c>
      <c r="P172" s="12">
        <v>159615</v>
      </c>
      <c r="Q172" s="12">
        <v>46592</v>
      </c>
      <c r="R172" s="12">
        <v>15</v>
      </c>
      <c r="S172" s="12">
        <v>89</v>
      </c>
      <c r="T172" s="12">
        <v>645</v>
      </c>
      <c r="U172" s="12">
        <v>734</v>
      </c>
      <c r="V172" s="12">
        <v>394</v>
      </c>
      <c r="W172" s="12">
        <v>279</v>
      </c>
      <c r="X172" s="12">
        <v>125</v>
      </c>
      <c r="Y172" s="12">
        <v>10</v>
      </c>
      <c r="Z172" s="12">
        <v>1641</v>
      </c>
      <c r="AA172" s="12">
        <v>138</v>
      </c>
      <c r="AB172" s="12">
        <v>11759</v>
      </c>
      <c r="AC172" s="12">
        <v>585</v>
      </c>
      <c r="AD172" s="12">
        <v>4590</v>
      </c>
      <c r="AE172" s="12">
        <v>0</v>
      </c>
      <c r="AF172" s="12">
        <v>0</v>
      </c>
      <c r="AG172" s="12">
        <v>0</v>
      </c>
      <c r="AH172" s="12">
        <v>0</v>
      </c>
      <c r="AI172" s="12">
        <v>0</v>
      </c>
      <c r="AJ172" s="12">
        <v>0</v>
      </c>
      <c r="AK172" s="12">
        <v>18825</v>
      </c>
      <c r="AL172" s="12">
        <v>69</v>
      </c>
      <c r="AM172" s="12">
        <v>4202</v>
      </c>
      <c r="AN172" s="13">
        <f t="shared" si="10"/>
        <v>16659</v>
      </c>
    </row>
    <row r="173" ht="16.5" spans="1:40">
      <c r="A173">
        <f t="shared" si="12"/>
        <v>110</v>
      </c>
      <c r="B173">
        <f t="shared" si="11"/>
        <v>80</v>
      </c>
      <c r="C173" s="112">
        <v>154</v>
      </c>
      <c r="D173" s="113">
        <v>94.3500000000008</v>
      </c>
      <c r="E173" s="113">
        <v>106</v>
      </c>
      <c r="F173" s="113">
        <v>144.749999999999</v>
      </c>
      <c r="G173" s="113">
        <v>186</v>
      </c>
      <c r="H173" s="12">
        <v>32318</v>
      </c>
      <c r="I173" s="12">
        <v>0</v>
      </c>
      <c r="J173" s="12">
        <v>6943454</v>
      </c>
      <c r="K173" s="12">
        <v>401051</v>
      </c>
      <c r="L173" s="12">
        <v>9420</v>
      </c>
      <c r="M173" s="12">
        <f t="shared" si="13"/>
        <v>18266.7</v>
      </c>
      <c r="N173" s="12">
        <v>160</v>
      </c>
      <c r="O173" s="12">
        <v>847454</v>
      </c>
      <c r="P173" s="12">
        <v>160649</v>
      </c>
      <c r="Q173" s="12">
        <v>46894</v>
      </c>
      <c r="R173" s="12">
        <v>15</v>
      </c>
      <c r="S173" s="12">
        <v>89</v>
      </c>
      <c r="T173" s="12">
        <v>645</v>
      </c>
      <c r="U173" s="12">
        <v>741</v>
      </c>
      <c r="V173" s="12">
        <v>398</v>
      </c>
      <c r="W173" s="12">
        <v>282</v>
      </c>
      <c r="X173" s="12">
        <v>127</v>
      </c>
      <c r="Y173" s="12">
        <v>10</v>
      </c>
      <c r="Z173" s="12">
        <v>1651</v>
      </c>
      <c r="AA173" s="12">
        <v>139</v>
      </c>
      <c r="AB173" s="12">
        <v>11824</v>
      </c>
      <c r="AC173" s="12">
        <v>589</v>
      </c>
      <c r="AD173" s="12">
        <v>4620</v>
      </c>
      <c r="AE173" s="12">
        <v>0</v>
      </c>
      <c r="AF173" s="12">
        <v>0</v>
      </c>
      <c r="AG173" s="12">
        <v>0</v>
      </c>
      <c r="AH173" s="12">
        <v>0</v>
      </c>
      <c r="AI173" s="12">
        <v>0</v>
      </c>
      <c r="AJ173" s="12">
        <v>0</v>
      </c>
      <c r="AK173" s="12">
        <v>18930</v>
      </c>
      <c r="AL173" s="12">
        <v>69</v>
      </c>
      <c r="AM173" s="12">
        <v>4226</v>
      </c>
      <c r="AN173" s="13">
        <f t="shared" si="10"/>
        <v>16767</v>
      </c>
    </row>
    <row r="174" ht="16.5" spans="1:40">
      <c r="A174">
        <f t="shared" si="12"/>
        <v>110</v>
      </c>
      <c r="B174">
        <f t="shared" si="11"/>
        <v>80</v>
      </c>
      <c r="C174" s="112">
        <v>155</v>
      </c>
      <c r="D174" s="113">
        <v>94.5000000000008</v>
      </c>
      <c r="E174" s="113">
        <v>106.2</v>
      </c>
      <c r="F174" s="113">
        <v>145.099999999999</v>
      </c>
      <c r="G174" s="113">
        <v>186.5</v>
      </c>
      <c r="H174" s="12">
        <v>32398</v>
      </c>
      <c r="I174" s="12">
        <v>0</v>
      </c>
      <c r="J174" s="12">
        <v>6986978</v>
      </c>
      <c r="K174" s="12">
        <v>403094</v>
      </c>
      <c r="L174" s="12">
        <v>9428</v>
      </c>
      <c r="M174" s="12">
        <f t="shared" si="13"/>
        <v>18376.7</v>
      </c>
      <c r="N174" s="12">
        <v>161</v>
      </c>
      <c r="O174" s="12">
        <v>853005</v>
      </c>
      <c r="P174" s="12">
        <v>161682</v>
      </c>
      <c r="Q174" s="12">
        <v>47195</v>
      </c>
      <c r="R174" s="12">
        <v>15</v>
      </c>
      <c r="S174" s="12">
        <v>89</v>
      </c>
      <c r="T174" s="12">
        <v>645</v>
      </c>
      <c r="U174" s="12">
        <v>747</v>
      </c>
      <c r="V174" s="12">
        <v>402</v>
      </c>
      <c r="W174" s="12">
        <v>284</v>
      </c>
      <c r="X174" s="12">
        <v>128</v>
      </c>
      <c r="Y174" s="12">
        <v>11</v>
      </c>
      <c r="Z174" s="12">
        <v>1662</v>
      </c>
      <c r="AA174" s="12">
        <v>140</v>
      </c>
      <c r="AB174" s="12">
        <v>11890</v>
      </c>
      <c r="AC174" s="12">
        <v>592</v>
      </c>
      <c r="AD174" s="12">
        <v>4650</v>
      </c>
      <c r="AE174" s="12">
        <v>0</v>
      </c>
      <c r="AF174" s="12">
        <v>0</v>
      </c>
      <c r="AG174" s="12">
        <v>0</v>
      </c>
      <c r="AH174" s="12">
        <v>0</v>
      </c>
      <c r="AI174" s="12">
        <v>0</v>
      </c>
      <c r="AJ174" s="12">
        <v>0</v>
      </c>
      <c r="AK174" s="12">
        <v>19035</v>
      </c>
      <c r="AL174" s="12">
        <v>69</v>
      </c>
      <c r="AM174" s="12">
        <v>4250</v>
      </c>
      <c r="AN174" s="13">
        <f t="shared" si="10"/>
        <v>16880</v>
      </c>
    </row>
    <row r="175" ht="16.5" spans="1:40">
      <c r="A175">
        <f t="shared" si="12"/>
        <v>110</v>
      </c>
      <c r="B175">
        <f t="shared" si="11"/>
        <v>229</v>
      </c>
      <c r="C175" s="112">
        <v>156</v>
      </c>
      <c r="D175" s="113">
        <v>94.6500000000008</v>
      </c>
      <c r="E175" s="113">
        <v>106.4</v>
      </c>
      <c r="F175" s="113">
        <v>145.449999999999</v>
      </c>
      <c r="G175" s="113">
        <v>187</v>
      </c>
      <c r="H175" s="12">
        <v>32627</v>
      </c>
      <c r="I175" s="12">
        <v>0</v>
      </c>
      <c r="J175" s="12">
        <v>7031850</v>
      </c>
      <c r="K175" s="12">
        <v>405886</v>
      </c>
      <c r="L175" s="12">
        <v>9437</v>
      </c>
      <c r="M175" s="12">
        <f t="shared" si="13"/>
        <v>18486.7</v>
      </c>
      <c r="N175" s="12">
        <v>163</v>
      </c>
      <c r="O175" s="12">
        <v>859057</v>
      </c>
      <c r="P175" s="12">
        <v>162756</v>
      </c>
      <c r="Q175" s="12">
        <v>47496</v>
      </c>
      <c r="R175" s="12">
        <v>15</v>
      </c>
      <c r="S175" s="12">
        <v>89</v>
      </c>
      <c r="T175" s="12">
        <v>645</v>
      </c>
      <c r="U175" s="12">
        <v>754</v>
      </c>
      <c r="V175" s="12">
        <v>405</v>
      </c>
      <c r="W175" s="12">
        <v>287</v>
      </c>
      <c r="X175" s="12">
        <v>130</v>
      </c>
      <c r="Y175" s="12">
        <v>11</v>
      </c>
      <c r="Z175" s="12">
        <v>1673</v>
      </c>
      <c r="AA175" s="12">
        <v>141</v>
      </c>
      <c r="AB175" s="12">
        <v>11956</v>
      </c>
      <c r="AC175" s="12">
        <v>596</v>
      </c>
      <c r="AD175" s="12">
        <v>4680</v>
      </c>
      <c r="AE175" s="12">
        <v>0</v>
      </c>
      <c r="AF175" s="12">
        <v>0</v>
      </c>
      <c r="AG175" s="12">
        <v>0</v>
      </c>
      <c r="AH175" s="12">
        <v>0</v>
      </c>
      <c r="AI175" s="12">
        <v>0</v>
      </c>
      <c r="AJ175" s="12">
        <v>0</v>
      </c>
      <c r="AK175" s="12">
        <v>19140</v>
      </c>
      <c r="AL175" s="12">
        <v>72</v>
      </c>
      <c r="AM175" s="12">
        <v>4278</v>
      </c>
      <c r="AN175" s="13">
        <f t="shared" si="10"/>
        <v>16993</v>
      </c>
    </row>
    <row r="176" ht="16.5" spans="1:40">
      <c r="A176">
        <f t="shared" si="12"/>
        <v>110</v>
      </c>
      <c r="B176">
        <f t="shared" si="11"/>
        <v>80</v>
      </c>
      <c r="C176" s="112">
        <v>157</v>
      </c>
      <c r="D176" s="113">
        <v>94.8000000000008</v>
      </c>
      <c r="E176" s="113">
        <v>106.6</v>
      </c>
      <c r="F176" s="113">
        <v>145.799999999999</v>
      </c>
      <c r="G176" s="113">
        <v>187.5</v>
      </c>
      <c r="H176" s="12">
        <v>32707</v>
      </c>
      <c r="I176" s="12">
        <v>0</v>
      </c>
      <c r="J176" s="12">
        <v>7074923</v>
      </c>
      <c r="K176" s="12">
        <v>407928</v>
      </c>
      <c r="L176" s="12">
        <v>9445</v>
      </c>
      <c r="M176" s="12">
        <f t="shared" si="13"/>
        <v>18596.7</v>
      </c>
      <c r="N176" s="12">
        <v>164</v>
      </c>
      <c r="O176" s="12">
        <v>864609</v>
      </c>
      <c r="P176" s="12">
        <v>163789</v>
      </c>
      <c r="Q176" s="12">
        <v>47797</v>
      </c>
      <c r="R176" s="12">
        <v>15</v>
      </c>
      <c r="S176" s="12">
        <v>89</v>
      </c>
      <c r="T176" s="12">
        <v>645</v>
      </c>
      <c r="U176" s="12">
        <v>761</v>
      </c>
      <c r="V176" s="12">
        <v>409</v>
      </c>
      <c r="W176" s="12">
        <v>289</v>
      </c>
      <c r="X176" s="12">
        <v>131</v>
      </c>
      <c r="Y176" s="12">
        <v>11</v>
      </c>
      <c r="Z176" s="12">
        <v>1683</v>
      </c>
      <c r="AA176" s="12">
        <v>142</v>
      </c>
      <c r="AB176" s="12">
        <v>12022</v>
      </c>
      <c r="AC176" s="12">
        <v>599</v>
      </c>
      <c r="AD176" s="12">
        <v>4710</v>
      </c>
      <c r="AE176" s="12">
        <v>0</v>
      </c>
      <c r="AF176" s="12">
        <v>0</v>
      </c>
      <c r="AG176" s="12">
        <v>0</v>
      </c>
      <c r="AH176" s="12">
        <v>0</v>
      </c>
      <c r="AI176" s="12">
        <v>0</v>
      </c>
      <c r="AJ176" s="12">
        <v>0</v>
      </c>
      <c r="AK176" s="12">
        <v>19245</v>
      </c>
      <c r="AL176" s="12">
        <v>72</v>
      </c>
      <c r="AM176" s="12">
        <v>4302</v>
      </c>
      <c r="AN176" s="13">
        <f t="shared" si="10"/>
        <v>17101</v>
      </c>
    </row>
    <row r="177" ht="16.5" spans="1:40">
      <c r="A177">
        <f t="shared" si="12"/>
        <v>110</v>
      </c>
      <c r="B177">
        <f t="shared" si="11"/>
        <v>80</v>
      </c>
      <c r="C177" s="112">
        <v>158</v>
      </c>
      <c r="D177" s="113">
        <v>94.9500000000008</v>
      </c>
      <c r="E177" s="113">
        <v>106.8</v>
      </c>
      <c r="F177" s="113">
        <v>146.149999999999</v>
      </c>
      <c r="G177" s="113">
        <v>188</v>
      </c>
      <c r="H177" s="12">
        <v>32787</v>
      </c>
      <c r="I177" s="12">
        <v>0</v>
      </c>
      <c r="J177" s="12">
        <v>7117996</v>
      </c>
      <c r="K177" s="12">
        <v>409970</v>
      </c>
      <c r="L177" s="12">
        <v>9454</v>
      </c>
      <c r="M177" s="12">
        <f t="shared" si="13"/>
        <v>18706.7</v>
      </c>
      <c r="N177" s="12">
        <v>164</v>
      </c>
      <c r="O177" s="12">
        <v>870161</v>
      </c>
      <c r="P177" s="12">
        <v>164823</v>
      </c>
      <c r="Q177" s="12">
        <v>48099</v>
      </c>
      <c r="R177" s="12">
        <v>15</v>
      </c>
      <c r="S177" s="12">
        <v>89</v>
      </c>
      <c r="T177" s="12">
        <v>645</v>
      </c>
      <c r="U177" s="12">
        <v>768</v>
      </c>
      <c r="V177" s="12">
        <v>413</v>
      </c>
      <c r="W177" s="12">
        <v>292</v>
      </c>
      <c r="X177" s="12">
        <v>133</v>
      </c>
      <c r="Y177" s="12">
        <v>12</v>
      </c>
      <c r="Z177" s="12">
        <v>1694</v>
      </c>
      <c r="AA177" s="12">
        <v>142</v>
      </c>
      <c r="AB177" s="12">
        <v>12087</v>
      </c>
      <c r="AC177" s="12">
        <v>603</v>
      </c>
      <c r="AD177" s="12">
        <v>4740</v>
      </c>
      <c r="AE177" s="12">
        <v>0</v>
      </c>
      <c r="AF177" s="12">
        <v>0</v>
      </c>
      <c r="AG177" s="12">
        <v>0</v>
      </c>
      <c r="AH177" s="12">
        <v>0</v>
      </c>
      <c r="AI177" s="12">
        <v>0</v>
      </c>
      <c r="AJ177" s="12">
        <v>0</v>
      </c>
      <c r="AK177" s="12">
        <v>19350</v>
      </c>
      <c r="AL177" s="12">
        <v>72</v>
      </c>
      <c r="AM177" s="12">
        <v>4326</v>
      </c>
      <c r="AN177" s="13">
        <f t="shared" si="10"/>
        <v>17186</v>
      </c>
    </row>
    <row r="178" ht="16.5" spans="1:40">
      <c r="A178">
        <f t="shared" si="12"/>
        <v>110</v>
      </c>
      <c r="B178">
        <f t="shared" si="11"/>
        <v>229</v>
      </c>
      <c r="C178" s="112">
        <v>159</v>
      </c>
      <c r="D178" s="113">
        <v>95.1000000000008</v>
      </c>
      <c r="E178" s="113">
        <v>107</v>
      </c>
      <c r="F178" s="113">
        <v>146.499999999999</v>
      </c>
      <c r="G178" s="113">
        <v>188.5</v>
      </c>
      <c r="H178" s="12">
        <v>33016</v>
      </c>
      <c r="I178" s="12">
        <v>0</v>
      </c>
      <c r="J178" s="12">
        <v>7162917</v>
      </c>
      <c r="K178" s="12">
        <v>412762</v>
      </c>
      <c r="L178" s="12">
        <v>9462</v>
      </c>
      <c r="M178" s="12">
        <f t="shared" si="13"/>
        <v>18816.7</v>
      </c>
      <c r="N178" s="12">
        <v>165</v>
      </c>
      <c r="O178" s="12">
        <v>876213</v>
      </c>
      <c r="P178" s="12">
        <v>165897</v>
      </c>
      <c r="Q178" s="12">
        <v>48400</v>
      </c>
      <c r="R178" s="12">
        <v>15</v>
      </c>
      <c r="S178" s="12">
        <v>89</v>
      </c>
      <c r="T178" s="12">
        <v>645</v>
      </c>
      <c r="U178" s="12">
        <v>775</v>
      </c>
      <c r="V178" s="12">
        <v>417</v>
      </c>
      <c r="W178" s="12">
        <v>294</v>
      </c>
      <c r="X178" s="12">
        <v>134</v>
      </c>
      <c r="Y178" s="12">
        <v>12</v>
      </c>
      <c r="Z178" s="12">
        <v>1704</v>
      </c>
      <c r="AA178" s="12">
        <v>143</v>
      </c>
      <c r="AB178" s="12">
        <v>12153</v>
      </c>
      <c r="AC178" s="12">
        <v>606</v>
      </c>
      <c r="AD178" s="12">
        <v>4770</v>
      </c>
      <c r="AE178" s="12">
        <v>0</v>
      </c>
      <c r="AF178" s="12">
        <v>0</v>
      </c>
      <c r="AG178" s="12">
        <v>0</v>
      </c>
      <c r="AH178" s="12">
        <v>0</v>
      </c>
      <c r="AI178" s="12">
        <v>0</v>
      </c>
      <c r="AJ178" s="12">
        <v>0</v>
      </c>
      <c r="AK178" s="12">
        <v>19485</v>
      </c>
      <c r="AL178" s="12">
        <v>72</v>
      </c>
      <c r="AM178" s="12">
        <v>4355</v>
      </c>
      <c r="AN178" s="13">
        <f t="shared" si="10"/>
        <v>17294</v>
      </c>
    </row>
    <row r="179" ht="16.5" spans="1:40">
      <c r="A179">
        <f t="shared" si="12"/>
        <v>110</v>
      </c>
      <c r="B179">
        <f t="shared" si="11"/>
        <v>80</v>
      </c>
      <c r="C179" s="112">
        <v>160</v>
      </c>
      <c r="D179" s="113">
        <v>95.2500000000008</v>
      </c>
      <c r="E179" s="113">
        <v>107.2</v>
      </c>
      <c r="F179" s="113">
        <v>146.849999999999</v>
      </c>
      <c r="G179" s="113">
        <v>189</v>
      </c>
      <c r="H179" s="12">
        <v>33096</v>
      </c>
      <c r="I179" s="12">
        <v>0</v>
      </c>
      <c r="J179" s="12">
        <v>7206039</v>
      </c>
      <c r="K179" s="12">
        <v>414804</v>
      </c>
      <c r="L179" s="12">
        <v>9471</v>
      </c>
      <c r="M179" s="12">
        <f t="shared" si="13"/>
        <v>18926.7</v>
      </c>
      <c r="N179" s="12">
        <v>166</v>
      </c>
      <c r="O179" s="12">
        <v>881765</v>
      </c>
      <c r="P179" s="12">
        <v>166930</v>
      </c>
      <c r="Q179" s="12">
        <v>48701</v>
      </c>
      <c r="R179" s="12">
        <v>15</v>
      </c>
      <c r="S179" s="12">
        <v>89</v>
      </c>
      <c r="T179" s="12">
        <v>645</v>
      </c>
      <c r="U179" s="12">
        <v>782</v>
      </c>
      <c r="V179" s="12">
        <v>420</v>
      </c>
      <c r="W179" s="12">
        <v>297</v>
      </c>
      <c r="X179" s="12">
        <v>136</v>
      </c>
      <c r="Y179" s="12">
        <v>13</v>
      </c>
      <c r="Z179" s="12">
        <v>1715</v>
      </c>
      <c r="AA179" s="12">
        <v>144</v>
      </c>
      <c r="AB179" s="12">
        <v>12219</v>
      </c>
      <c r="AC179" s="12">
        <v>610</v>
      </c>
      <c r="AD179" s="12">
        <v>4800</v>
      </c>
      <c r="AE179" s="12">
        <v>0</v>
      </c>
      <c r="AF179" s="12">
        <v>0</v>
      </c>
      <c r="AG179" s="12">
        <v>0</v>
      </c>
      <c r="AH179" s="12">
        <v>0</v>
      </c>
      <c r="AI179" s="12">
        <v>0</v>
      </c>
      <c r="AJ179" s="12">
        <v>0</v>
      </c>
      <c r="AK179" s="12">
        <v>19590</v>
      </c>
      <c r="AL179" s="12">
        <v>72</v>
      </c>
      <c r="AM179" s="12">
        <v>4379</v>
      </c>
      <c r="AN179" s="13">
        <f t="shared" si="10"/>
        <v>17407</v>
      </c>
    </row>
    <row r="180" ht="16.5" spans="1:40">
      <c r="A180">
        <f t="shared" si="12"/>
        <v>110</v>
      </c>
      <c r="B180">
        <f t="shared" si="11"/>
        <v>80</v>
      </c>
      <c r="C180" s="112">
        <v>161</v>
      </c>
      <c r="D180" s="113">
        <v>95.4000000000008</v>
      </c>
      <c r="E180" s="113">
        <v>107.4</v>
      </c>
      <c r="F180" s="113">
        <v>147.199999999999</v>
      </c>
      <c r="G180" s="113">
        <v>189.5</v>
      </c>
      <c r="H180" s="12">
        <v>33176</v>
      </c>
      <c r="I180" s="12">
        <v>0</v>
      </c>
      <c r="J180" s="12">
        <v>7249161</v>
      </c>
      <c r="K180" s="12">
        <v>416847</v>
      </c>
      <c r="L180" s="12">
        <v>9480</v>
      </c>
      <c r="M180" s="12">
        <f t="shared" si="13"/>
        <v>19036.7</v>
      </c>
      <c r="N180" s="12">
        <v>167</v>
      </c>
      <c r="O180" s="12">
        <v>887317</v>
      </c>
      <c r="P180" s="12">
        <v>167964</v>
      </c>
      <c r="Q180" s="12">
        <v>49002</v>
      </c>
      <c r="R180" s="12">
        <v>15</v>
      </c>
      <c r="S180" s="12">
        <v>89</v>
      </c>
      <c r="T180" s="12">
        <v>645</v>
      </c>
      <c r="U180" s="12">
        <v>788</v>
      </c>
      <c r="V180" s="12">
        <v>424</v>
      </c>
      <c r="W180" s="12">
        <v>300</v>
      </c>
      <c r="X180" s="12">
        <v>137</v>
      </c>
      <c r="Y180" s="12">
        <v>13</v>
      </c>
      <c r="Z180" s="12">
        <v>1725</v>
      </c>
      <c r="AA180" s="12">
        <v>145</v>
      </c>
      <c r="AB180" s="12">
        <v>12284</v>
      </c>
      <c r="AC180" s="12">
        <v>614</v>
      </c>
      <c r="AD180" s="12">
        <v>4830</v>
      </c>
      <c r="AE180" s="12">
        <v>0</v>
      </c>
      <c r="AF180" s="12">
        <v>0</v>
      </c>
      <c r="AG180" s="12">
        <v>0</v>
      </c>
      <c r="AH180" s="12">
        <v>0</v>
      </c>
      <c r="AI180" s="12">
        <v>0</v>
      </c>
      <c r="AJ180" s="12">
        <v>0</v>
      </c>
      <c r="AK180" s="12">
        <v>19695</v>
      </c>
      <c r="AL180" s="12">
        <v>72</v>
      </c>
      <c r="AM180" s="12">
        <v>4403</v>
      </c>
      <c r="AN180" s="13">
        <f t="shared" si="10"/>
        <v>17515</v>
      </c>
    </row>
    <row r="181" ht="16.5" spans="1:40">
      <c r="A181">
        <f t="shared" si="12"/>
        <v>110</v>
      </c>
      <c r="B181">
        <f t="shared" si="11"/>
        <v>229</v>
      </c>
      <c r="C181" s="112">
        <v>162</v>
      </c>
      <c r="D181" s="113">
        <v>95.5500000000008</v>
      </c>
      <c r="E181" s="113">
        <v>107.6</v>
      </c>
      <c r="F181" s="113">
        <v>147.549999999999</v>
      </c>
      <c r="G181" s="113">
        <v>190</v>
      </c>
      <c r="H181" s="12">
        <v>33405</v>
      </c>
      <c r="I181" s="12">
        <v>0</v>
      </c>
      <c r="J181" s="12">
        <v>7294631</v>
      </c>
      <c r="K181" s="12">
        <v>419639</v>
      </c>
      <c r="L181" s="12">
        <v>9488</v>
      </c>
      <c r="M181" s="12">
        <f t="shared" si="13"/>
        <v>19146.7</v>
      </c>
      <c r="N181" s="12">
        <v>168</v>
      </c>
      <c r="O181" s="12">
        <v>893369</v>
      </c>
      <c r="P181" s="12">
        <v>169037</v>
      </c>
      <c r="Q181" s="12">
        <v>49304</v>
      </c>
      <c r="R181" s="12">
        <v>15</v>
      </c>
      <c r="S181" s="12">
        <v>89</v>
      </c>
      <c r="T181" s="12">
        <v>645</v>
      </c>
      <c r="U181" s="12">
        <v>795</v>
      </c>
      <c r="V181" s="12">
        <v>428</v>
      </c>
      <c r="W181" s="12">
        <v>302</v>
      </c>
      <c r="X181" s="12">
        <v>139</v>
      </c>
      <c r="Y181" s="12">
        <v>13</v>
      </c>
      <c r="Z181" s="12">
        <v>1736</v>
      </c>
      <c r="AA181" s="12">
        <v>146</v>
      </c>
      <c r="AB181" s="12">
        <v>12350</v>
      </c>
      <c r="AC181" s="12">
        <v>617</v>
      </c>
      <c r="AD181" s="12">
        <v>4860</v>
      </c>
      <c r="AE181" s="12">
        <v>0</v>
      </c>
      <c r="AF181" s="12">
        <v>0</v>
      </c>
      <c r="AG181" s="12">
        <v>0</v>
      </c>
      <c r="AH181" s="12">
        <v>0</v>
      </c>
      <c r="AI181" s="12">
        <v>0</v>
      </c>
      <c r="AJ181" s="12">
        <v>0</v>
      </c>
      <c r="AK181" s="12">
        <v>19830</v>
      </c>
      <c r="AL181" s="12">
        <v>72</v>
      </c>
      <c r="AM181" s="12">
        <v>4432</v>
      </c>
      <c r="AN181" s="13">
        <f t="shared" si="10"/>
        <v>17628</v>
      </c>
    </row>
    <row r="182" ht="16.5" spans="1:40">
      <c r="A182">
        <f t="shared" si="12"/>
        <v>110</v>
      </c>
      <c r="B182">
        <f t="shared" si="11"/>
        <v>80</v>
      </c>
      <c r="C182" s="112">
        <v>163</v>
      </c>
      <c r="D182" s="113">
        <v>95.7000000000008</v>
      </c>
      <c r="E182" s="113">
        <v>107.8</v>
      </c>
      <c r="F182" s="113">
        <v>147.899999999999</v>
      </c>
      <c r="G182" s="113">
        <v>190.5</v>
      </c>
      <c r="H182" s="12">
        <v>33485</v>
      </c>
      <c r="I182" s="12">
        <v>0</v>
      </c>
      <c r="J182" s="12">
        <v>7337802</v>
      </c>
      <c r="K182" s="12">
        <v>421681</v>
      </c>
      <c r="L182" s="12">
        <v>9497</v>
      </c>
      <c r="M182" s="12">
        <f t="shared" si="13"/>
        <v>19256.7</v>
      </c>
      <c r="N182" s="12">
        <v>169</v>
      </c>
      <c r="O182" s="12">
        <v>898921</v>
      </c>
      <c r="P182" s="12">
        <v>170071</v>
      </c>
      <c r="Q182" s="12">
        <v>49605</v>
      </c>
      <c r="R182" s="12">
        <v>15</v>
      </c>
      <c r="S182" s="12">
        <v>89</v>
      </c>
      <c r="T182" s="12">
        <v>645</v>
      </c>
      <c r="U182" s="12">
        <v>802</v>
      </c>
      <c r="V182" s="12">
        <v>432</v>
      </c>
      <c r="W182" s="12">
        <v>305</v>
      </c>
      <c r="X182" s="12">
        <v>140</v>
      </c>
      <c r="Y182" s="12">
        <v>14</v>
      </c>
      <c r="Z182" s="12">
        <v>1746</v>
      </c>
      <c r="AA182" s="12">
        <v>147</v>
      </c>
      <c r="AB182" s="12">
        <v>12416</v>
      </c>
      <c r="AC182" s="12">
        <v>621</v>
      </c>
      <c r="AD182" s="12">
        <v>4890</v>
      </c>
      <c r="AE182" s="12">
        <v>0</v>
      </c>
      <c r="AF182" s="12">
        <v>0</v>
      </c>
      <c r="AG182" s="12">
        <v>0</v>
      </c>
      <c r="AH182" s="12">
        <v>0</v>
      </c>
      <c r="AI182" s="12">
        <v>0</v>
      </c>
      <c r="AJ182" s="12">
        <v>0</v>
      </c>
      <c r="AK182" s="12">
        <v>19935</v>
      </c>
      <c r="AL182" s="12">
        <v>72</v>
      </c>
      <c r="AM182" s="12">
        <v>4455</v>
      </c>
      <c r="AN182" s="13">
        <f t="shared" si="10"/>
        <v>17736</v>
      </c>
    </row>
    <row r="183" ht="16.5" spans="1:40">
      <c r="A183">
        <f t="shared" si="12"/>
        <v>110</v>
      </c>
      <c r="B183">
        <f t="shared" si="11"/>
        <v>80</v>
      </c>
      <c r="C183" s="112">
        <v>164</v>
      </c>
      <c r="D183" s="113">
        <v>95.8500000000008</v>
      </c>
      <c r="E183" s="113">
        <v>108</v>
      </c>
      <c r="F183" s="113">
        <v>148.249999999999</v>
      </c>
      <c r="G183" s="113">
        <v>191</v>
      </c>
      <c r="H183" s="12">
        <v>33565</v>
      </c>
      <c r="I183" s="12">
        <v>0</v>
      </c>
      <c r="J183" s="12">
        <v>7380973</v>
      </c>
      <c r="K183" s="12">
        <v>423723</v>
      </c>
      <c r="L183" s="12">
        <v>9505</v>
      </c>
      <c r="M183" s="12">
        <f t="shared" si="13"/>
        <v>19366.7</v>
      </c>
      <c r="N183" s="12">
        <v>170</v>
      </c>
      <c r="O183" s="12">
        <v>904514</v>
      </c>
      <c r="P183" s="12">
        <v>171105</v>
      </c>
      <c r="Q183" s="12">
        <v>49906</v>
      </c>
      <c r="R183" s="12">
        <v>15</v>
      </c>
      <c r="S183" s="12">
        <v>89</v>
      </c>
      <c r="T183" s="12">
        <v>645</v>
      </c>
      <c r="U183" s="12">
        <v>809</v>
      </c>
      <c r="V183" s="12">
        <v>435</v>
      </c>
      <c r="W183" s="12">
        <v>307</v>
      </c>
      <c r="X183" s="12">
        <v>142</v>
      </c>
      <c r="Y183" s="12">
        <v>14</v>
      </c>
      <c r="Z183" s="12">
        <v>1756</v>
      </c>
      <c r="AA183" s="12">
        <v>147</v>
      </c>
      <c r="AB183" s="12">
        <v>12482</v>
      </c>
      <c r="AC183" s="12">
        <v>624</v>
      </c>
      <c r="AD183" s="12">
        <v>4920</v>
      </c>
      <c r="AE183" s="12">
        <v>0</v>
      </c>
      <c r="AF183" s="12">
        <v>0</v>
      </c>
      <c r="AG183" s="12">
        <v>0</v>
      </c>
      <c r="AH183" s="12">
        <v>0</v>
      </c>
      <c r="AI183" s="12">
        <v>0</v>
      </c>
      <c r="AJ183" s="12">
        <v>0</v>
      </c>
      <c r="AK183" s="12">
        <v>20040</v>
      </c>
      <c r="AL183" s="12">
        <v>72</v>
      </c>
      <c r="AM183" s="12">
        <v>4479</v>
      </c>
      <c r="AN183" s="13">
        <f t="shared" si="10"/>
        <v>17816</v>
      </c>
    </row>
    <row r="184" ht="16.5" spans="1:40">
      <c r="A184">
        <f t="shared" si="12"/>
        <v>110</v>
      </c>
      <c r="B184">
        <f t="shared" si="11"/>
        <v>229</v>
      </c>
      <c r="C184" s="112">
        <v>165</v>
      </c>
      <c r="D184" s="113">
        <v>96.0000000000008</v>
      </c>
      <c r="E184" s="113">
        <v>108.2</v>
      </c>
      <c r="F184" s="113">
        <v>148.599999999999</v>
      </c>
      <c r="G184" s="113">
        <v>191.5</v>
      </c>
      <c r="H184" s="12">
        <v>33794</v>
      </c>
      <c r="I184" s="12">
        <v>0</v>
      </c>
      <c r="J184" s="12">
        <v>7460992</v>
      </c>
      <c r="K184" s="12">
        <v>426515</v>
      </c>
      <c r="L184" s="12">
        <v>9514</v>
      </c>
      <c r="M184" s="12">
        <f t="shared" si="13"/>
        <v>19476.7</v>
      </c>
      <c r="N184" s="12">
        <v>171</v>
      </c>
      <c r="O184" s="12">
        <v>910607</v>
      </c>
      <c r="P184" s="12">
        <v>172178</v>
      </c>
      <c r="Q184" s="12">
        <v>50208</v>
      </c>
      <c r="R184" s="12">
        <v>15</v>
      </c>
      <c r="S184" s="12">
        <v>89</v>
      </c>
      <c r="T184" s="12">
        <v>645</v>
      </c>
      <c r="U184" s="12">
        <v>816</v>
      </c>
      <c r="V184" s="12">
        <v>439</v>
      </c>
      <c r="W184" s="12">
        <v>310</v>
      </c>
      <c r="X184" s="12">
        <v>143</v>
      </c>
      <c r="Y184" s="12">
        <v>14</v>
      </c>
      <c r="Z184" s="12">
        <v>1767</v>
      </c>
      <c r="AA184" s="12">
        <v>148</v>
      </c>
      <c r="AB184" s="12">
        <v>12547</v>
      </c>
      <c r="AC184" s="12">
        <v>628</v>
      </c>
      <c r="AD184" s="12">
        <v>4950</v>
      </c>
      <c r="AE184" s="12">
        <v>0</v>
      </c>
      <c r="AF184" s="12">
        <v>0</v>
      </c>
      <c r="AG184" s="12">
        <v>0</v>
      </c>
      <c r="AH184" s="12">
        <v>0</v>
      </c>
      <c r="AI184" s="12">
        <v>0</v>
      </c>
      <c r="AJ184" s="12">
        <v>0</v>
      </c>
      <c r="AK184" s="12">
        <v>20175</v>
      </c>
      <c r="AL184" s="12">
        <v>72</v>
      </c>
      <c r="AM184" s="12">
        <v>4508</v>
      </c>
      <c r="AN184" s="13">
        <f t="shared" si="10"/>
        <v>17929</v>
      </c>
    </row>
    <row r="185" ht="16.5" spans="1:40">
      <c r="A185">
        <f t="shared" si="12"/>
        <v>110</v>
      </c>
      <c r="B185">
        <f t="shared" si="11"/>
        <v>80</v>
      </c>
      <c r="C185" s="112">
        <v>166</v>
      </c>
      <c r="D185" s="113">
        <v>96.1500000000008</v>
      </c>
      <c r="E185" s="113">
        <v>108.4</v>
      </c>
      <c r="F185" s="113">
        <v>148.949999999999</v>
      </c>
      <c r="G185" s="113">
        <v>192</v>
      </c>
      <c r="H185" s="12">
        <v>33874</v>
      </c>
      <c r="I185" s="12">
        <v>0</v>
      </c>
      <c r="J185" s="12">
        <v>7504212</v>
      </c>
      <c r="K185" s="12">
        <v>428558</v>
      </c>
      <c r="L185" s="12">
        <v>9522</v>
      </c>
      <c r="M185" s="12">
        <f t="shared" si="13"/>
        <v>19586.7</v>
      </c>
      <c r="N185" s="12">
        <v>172</v>
      </c>
      <c r="O185" s="12">
        <v>916201</v>
      </c>
      <c r="P185" s="12">
        <v>173212</v>
      </c>
      <c r="Q185" s="12">
        <v>50509</v>
      </c>
      <c r="R185" s="12">
        <v>15</v>
      </c>
      <c r="S185" s="12">
        <v>89</v>
      </c>
      <c r="T185" s="12">
        <v>645</v>
      </c>
      <c r="U185" s="12">
        <v>822</v>
      </c>
      <c r="V185" s="12">
        <v>443</v>
      </c>
      <c r="W185" s="12">
        <v>312</v>
      </c>
      <c r="X185" s="12">
        <v>145</v>
      </c>
      <c r="Y185" s="12">
        <v>15</v>
      </c>
      <c r="Z185" s="12">
        <v>1777</v>
      </c>
      <c r="AA185" s="12">
        <v>149</v>
      </c>
      <c r="AB185" s="12">
        <v>12613</v>
      </c>
      <c r="AC185" s="12">
        <v>631</v>
      </c>
      <c r="AD185" s="12">
        <v>4980</v>
      </c>
      <c r="AE185" s="12">
        <v>0</v>
      </c>
      <c r="AF185" s="12">
        <v>0</v>
      </c>
      <c r="AG185" s="12">
        <v>0</v>
      </c>
      <c r="AH185" s="12">
        <v>0</v>
      </c>
      <c r="AI185" s="12">
        <v>0</v>
      </c>
      <c r="AJ185" s="12">
        <v>0</v>
      </c>
      <c r="AK185" s="12">
        <v>20280</v>
      </c>
      <c r="AL185" s="12">
        <v>72</v>
      </c>
      <c r="AM185" s="12">
        <v>4532</v>
      </c>
      <c r="AN185" s="13">
        <f t="shared" si="10"/>
        <v>18037</v>
      </c>
    </row>
    <row r="186" ht="16.5" spans="1:40">
      <c r="A186">
        <f t="shared" si="12"/>
        <v>110</v>
      </c>
      <c r="B186">
        <f t="shared" si="11"/>
        <v>80</v>
      </c>
      <c r="C186" s="112">
        <v>167</v>
      </c>
      <c r="D186" s="113">
        <v>96.3000000000008</v>
      </c>
      <c r="E186" s="113">
        <v>108.6</v>
      </c>
      <c r="F186" s="113">
        <v>149.299999999999</v>
      </c>
      <c r="G186" s="113">
        <v>192.5</v>
      </c>
      <c r="H186" s="12">
        <v>33954</v>
      </c>
      <c r="I186" s="12">
        <v>0</v>
      </c>
      <c r="J186" s="12">
        <v>7547432</v>
      </c>
      <c r="K186" s="12">
        <v>430600</v>
      </c>
      <c r="L186" s="12">
        <v>9531</v>
      </c>
      <c r="M186" s="12">
        <f t="shared" si="13"/>
        <v>19696.7</v>
      </c>
      <c r="N186" s="12">
        <v>172</v>
      </c>
      <c r="O186" s="12">
        <v>921794</v>
      </c>
      <c r="P186" s="12">
        <v>174245</v>
      </c>
      <c r="Q186" s="12">
        <v>50810</v>
      </c>
      <c r="R186" s="12">
        <v>15</v>
      </c>
      <c r="S186" s="12">
        <v>89</v>
      </c>
      <c r="T186" s="12">
        <v>645</v>
      </c>
      <c r="U186" s="12">
        <v>829</v>
      </c>
      <c r="V186" s="12">
        <v>447</v>
      </c>
      <c r="W186" s="12">
        <v>315</v>
      </c>
      <c r="X186" s="12">
        <v>146</v>
      </c>
      <c r="Y186" s="12">
        <v>15</v>
      </c>
      <c r="Z186" s="12">
        <v>1788</v>
      </c>
      <c r="AA186" s="12">
        <v>150</v>
      </c>
      <c r="AB186" s="12">
        <v>12679</v>
      </c>
      <c r="AC186" s="12">
        <v>635</v>
      </c>
      <c r="AD186" s="12">
        <v>5010</v>
      </c>
      <c r="AE186" s="12">
        <v>0</v>
      </c>
      <c r="AF186" s="12">
        <v>0</v>
      </c>
      <c r="AG186" s="12">
        <v>0</v>
      </c>
      <c r="AH186" s="12">
        <v>0</v>
      </c>
      <c r="AI186" s="12">
        <v>0</v>
      </c>
      <c r="AJ186" s="12">
        <v>0</v>
      </c>
      <c r="AK186" s="12">
        <v>20385</v>
      </c>
      <c r="AL186" s="12">
        <v>72</v>
      </c>
      <c r="AM186" s="12">
        <v>4556</v>
      </c>
      <c r="AN186" s="13">
        <f t="shared" si="10"/>
        <v>18150</v>
      </c>
    </row>
    <row r="187" ht="16.5" spans="1:40">
      <c r="A187">
        <f t="shared" si="12"/>
        <v>110</v>
      </c>
      <c r="B187">
        <f t="shared" si="11"/>
        <v>229</v>
      </c>
      <c r="C187" s="112">
        <v>168</v>
      </c>
      <c r="D187" s="113">
        <v>96.4500000000008</v>
      </c>
      <c r="E187" s="113">
        <v>108.8</v>
      </c>
      <c r="F187" s="113">
        <v>149.649999999999</v>
      </c>
      <c r="G187" s="113">
        <v>193</v>
      </c>
      <c r="H187" s="12">
        <v>34183</v>
      </c>
      <c r="I187" s="12">
        <v>0</v>
      </c>
      <c r="J187" s="12">
        <v>7592500</v>
      </c>
      <c r="K187" s="12">
        <v>433392</v>
      </c>
      <c r="L187" s="12">
        <v>9540</v>
      </c>
      <c r="M187" s="12">
        <f t="shared" si="13"/>
        <v>19806.7</v>
      </c>
      <c r="N187" s="12">
        <v>173</v>
      </c>
      <c r="O187" s="12">
        <v>927887</v>
      </c>
      <c r="P187" s="12">
        <v>175319</v>
      </c>
      <c r="Q187" s="12">
        <v>51111</v>
      </c>
      <c r="R187" s="12">
        <v>15</v>
      </c>
      <c r="S187" s="12">
        <v>89</v>
      </c>
      <c r="T187" s="12">
        <v>645</v>
      </c>
      <c r="U187" s="12">
        <v>836</v>
      </c>
      <c r="V187" s="12">
        <v>450</v>
      </c>
      <c r="W187" s="12">
        <v>317</v>
      </c>
      <c r="X187" s="12">
        <v>148</v>
      </c>
      <c r="Y187" s="12">
        <v>16</v>
      </c>
      <c r="Z187" s="12">
        <v>1798</v>
      </c>
      <c r="AA187" s="12">
        <v>151</v>
      </c>
      <c r="AB187" s="12">
        <v>12744</v>
      </c>
      <c r="AC187" s="12">
        <v>638</v>
      </c>
      <c r="AD187" s="12">
        <v>5040</v>
      </c>
      <c r="AE187" s="12">
        <v>0</v>
      </c>
      <c r="AF187" s="12">
        <v>0</v>
      </c>
      <c r="AG187" s="12">
        <v>0</v>
      </c>
      <c r="AH187" s="12">
        <v>0</v>
      </c>
      <c r="AI187" s="12">
        <v>0</v>
      </c>
      <c r="AJ187" s="12">
        <v>0</v>
      </c>
      <c r="AK187" s="12">
        <v>20520</v>
      </c>
      <c r="AL187" s="12">
        <v>72</v>
      </c>
      <c r="AM187" s="12">
        <v>4585</v>
      </c>
      <c r="AN187" s="13">
        <f t="shared" si="10"/>
        <v>18258</v>
      </c>
    </row>
    <row r="188" ht="16.5" spans="1:40">
      <c r="A188">
        <f t="shared" si="12"/>
        <v>110</v>
      </c>
      <c r="B188">
        <f t="shared" si="11"/>
        <v>80</v>
      </c>
      <c r="C188" s="112">
        <v>169</v>
      </c>
      <c r="D188" s="113">
        <v>96.6000000000008</v>
      </c>
      <c r="E188" s="113">
        <v>109</v>
      </c>
      <c r="F188" s="113">
        <v>149.999999999999</v>
      </c>
      <c r="G188" s="113">
        <v>193.5</v>
      </c>
      <c r="H188" s="12">
        <v>34263</v>
      </c>
      <c r="I188" s="12">
        <v>0</v>
      </c>
      <c r="J188" s="12">
        <v>7636269</v>
      </c>
      <c r="K188" s="12">
        <v>435434</v>
      </c>
      <c r="L188" s="12">
        <v>9548</v>
      </c>
      <c r="M188" s="12">
        <f t="shared" si="13"/>
        <v>19916.7</v>
      </c>
      <c r="N188" s="12">
        <v>174</v>
      </c>
      <c r="O188" s="12">
        <v>933481</v>
      </c>
      <c r="P188" s="12">
        <v>176353</v>
      </c>
      <c r="Q188" s="12">
        <v>51413</v>
      </c>
      <c r="R188" s="12">
        <v>15</v>
      </c>
      <c r="S188" s="12">
        <v>89</v>
      </c>
      <c r="T188" s="12">
        <v>645</v>
      </c>
      <c r="U188" s="12">
        <v>843</v>
      </c>
      <c r="V188" s="12">
        <v>454</v>
      </c>
      <c r="W188" s="12">
        <v>320</v>
      </c>
      <c r="X188" s="12">
        <v>149</v>
      </c>
      <c r="Y188" s="12">
        <v>16</v>
      </c>
      <c r="Z188" s="12">
        <v>1809</v>
      </c>
      <c r="AA188" s="12">
        <v>152</v>
      </c>
      <c r="AB188" s="12">
        <v>12810</v>
      </c>
      <c r="AC188" s="12">
        <v>642</v>
      </c>
      <c r="AD188" s="12">
        <v>5070</v>
      </c>
      <c r="AE188" s="12">
        <v>0</v>
      </c>
      <c r="AF188" s="12">
        <v>0</v>
      </c>
      <c r="AG188" s="12">
        <v>0</v>
      </c>
      <c r="AH188" s="12">
        <v>0</v>
      </c>
      <c r="AI188" s="12">
        <v>0</v>
      </c>
      <c r="AJ188" s="12">
        <v>0</v>
      </c>
      <c r="AK188" s="12">
        <v>20625</v>
      </c>
      <c r="AL188" s="12">
        <v>72</v>
      </c>
      <c r="AM188" s="12">
        <v>4609</v>
      </c>
      <c r="AN188" s="13">
        <f t="shared" si="10"/>
        <v>18371</v>
      </c>
    </row>
    <row r="189" ht="16.5" spans="1:40">
      <c r="A189">
        <f t="shared" si="12"/>
        <v>110</v>
      </c>
      <c r="B189">
        <f t="shared" si="11"/>
        <v>80</v>
      </c>
      <c r="C189" s="112">
        <v>170</v>
      </c>
      <c r="D189" s="113">
        <v>96.7500000000009</v>
      </c>
      <c r="E189" s="113">
        <v>109.2</v>
      </c>
      <c r="F189" s="113">
        <v>150.349999999999</v>
      </c>
      <c r="G189" s="113">
        <v>194</v>
      </c>
      <c r="H189" s="12">
        <v>34343</v>
      </c>
      <c r="I189" s="12">
        <v>0</v>
      </c>
      <c r="J189" s="12">
        <v>7679538</v>
      </c>
      <c r="K189" s="12">
        <v>437476</v>
      </c>
      <c r="L189" s="12">
        <v>9557</v>
      </c>
      <c r="M189" s="12">
        <f t="shared" si="13"/>
        <v>20026.7</v>
      </c>
      <c r="N189" s="12">
        <v>175</v>
      </c>
      <c r="O189" s="12">
        <v>939074</v>
      </c>
      <c r="P189" s="12">
        <v>177386</v>
      </c>
      <c r="Q189" s="12">
        <v>51714</v>
      </c>
      <c r="R189" s="12">
        <v>15</v>
      </c>
      <c r="S189" s="12">
        <v>89</v>
      </c>
      <c r="T189" s="12">
        <v>645</v>
      </c>
      <c r="U189" s="12">
        <v>850</v>
      </c>
      <c r="V189" s="12">
        <v>458</v>
      </c>
      <c r="W189" s="12">
        <v>322</v>
      </c>
      <c r="X189" s="12">
        <v>151</v>
      </c>
      <c r="Y189" s="12">
        <v>16</v>
      </c>
      <c r="Z189" s="12">
        <v>1819</v>
      </c>
      <c r="AA189" s="12">
        <v>153</v>
      </c>
      <c r="AB189" s="12">
        <v>12876</v>
      </c>
      <c r="AC189" s="12">
        <v>645</v>
      </c>
      <c r="AD189" s="12">
        <v>5100</v>
      </c>
      <c r="AE189" s="12">
        <v>0</v>
      </c>
      <c r="AF189" s="12">
        <v>0</v>
      </c>
      <c r="AG189" s="12">
        <v>0</v>
      </c>
      <c r="AH189" s="12">
        <v>0</v>
      </c>
      <c r="AI189" s="12">
        <v>0</v>
      </c>
      <c r="AJ189" s="12">
        <v>0</v>
      </c>
      <c r="AK189" s="12">
        <v>20730</v>
      </c>
      <c r="AL189" s="12">
        <v>72</v>
      </c>
      <c r="AM189" s="12">
        <v>4632</v>
      </c>
      <c r="AN189" s="13">
        <f t="shared" si="10"/>
        <v>18479</v>
      </c>
    </row>
    <row r="190" ht="16.5" spans="1:40">
      <c r="A190">
        <f t="shared" si="12"/>
        <v>110</v>
      </c>
      <c r="B190">
        <f t="shared" si="11"/>
        <v>229</v>
      </c>
      <c r="C190" s="112">
        <v>171</v>
      </c>
      <c r="D190" s="113">
        <v>96.9000000000009</v>
      </c>
      <c r="E190" s="113">
        <v>109.4</v>
      </c>
      <c r="F190" s="113">
        <v>150.699999999999</v>
      </c>
      <c r="G190" s="113">
        <v>194.5</v>
      </c>
      <c r="H190" s="12">
        <v>34572</v>
      </c>
      <c r="I190" s="12">
        <v>0</v>
      </c>
      <c r="J190" s="12">
        <v>7724655</v>
      </c>
      <c r="K190" s="12">
        <v>440268</v>
      </c>
      <c r="L190" s="12">
        <v>9565</v>
      </c>
      <c r="M190" s="12">
        <f t="shared" si="13"/>
        <v>20136.7</v>
      </c>
      <c r="N190" s="12">
        <v>177</v>
      </c>
      <c r="O190" s="12">
        <v>945167</v>
      </c>
      <c r="P190" s="12">
        <v>178460</v>
      </c>
      <c r="Q190" s="12">
        <v>52015</v>
      </c>
      <c r="R190" s="12">
        <v>15</v>
      </c>
      <c r="S190" s="12">
        <v>89</v>
      </c>
      <c r="T190" s="12">
        <v>645</v>
      </c>
      <c r="U190" s="12">
        <v>857</v>
      </c>
      <c r="V190" s="12">
        <v>462</v>
      </c>
      <c r="W190" s="12">
        <v>325</v>
      </c>
      <c r="X190" s="12">
        <v>152</v>
      </c>
      <c r="Y190" s="12">
        <v>17</v>
      </c>
      <c r="Z190" s="12">
        <v>1830</v>
      </c>
      <c r="AA190" s="12">
        <v>153</v>
      </c>
      <c r="AB190" s="12">
        <v>12942</v>
      </c>
      <c r="AC190" s="12">
        <v>649</v>
      </c>
      <c r="AD190" s="12">
        <v>5130</v>
      </c>
      <c r="AE190" s="12">
        <v>0</v>
      </c>
      <c r="AF190" s="12">
        <v>0</v>
      </c>
      <c r="AG190" s="12">
        <v>0</v>
      </c>
      <c r="AH190" s="12">
        <v>0</v>
      </c>
      <c r="AI190" s="12">
        <v>0</v>
      </c>
      <c r="AJ190" s="12">
        <v>0</v>
      </c>
      <c r="AK190" s="12">
        <v>20835</v>
      </c>
      <c r="AL190" s="12">
        <v>75</v>
      </c>
      <c r="AM190" s="12">
        <v>4661</v>
      </c>
      <c r="AN190" s="13">
        <f t="shared" si="10"/>
        <v>18564</v>
      </c>
    </row>
    <row r="191" ht="16.5" spans="1:40">
      <c r="A191">
        <f t="shared" si="12"/>
        <v>110</v>
      </c>
      <c r="B191">
        <f t="shared" si="11"/>
        <v>80</v>
      </c>
      <c r="C191" s="112">
        <v>172</v>
      </c>
      <c r="D191" s="113">
        <v>97.0500000000009</v>
      </c>
      <c r="E191" s="113">
        <v>109.6</v>
      </c>
      <c r="F191" s="113">
        <v>151.049999999999</v>
      </c>
      <c r="G191" s="113">
        <v>195</v>
      </c>
      <c r="H191" s="12">
        <v>34652</v>
      </c>
      <c r="I191" s="12">
        <v>0</v>
      </c>
      <c r="J191" s="12">
        <v>7767973</v>
      </c>
      <c r="K191" s="12">
        <v>442311</v>
      </c>
      <c r="L191" s="12">
        <v>9574</v>
      </c>
      <c r="M191" s="12">
        <f t="shared" si="13"/>
        <v>20246.7</v>
      </c>
      <c r="N191" s="12">
        <v>178</v>
      </c>
      <c r="O191" s="12">
        <v>950760</v>
      </c>
      <c r="P191" s="12">
        <v>179493</v>
      </c>
      <c r="Q191" s="12">
        <v>52316</v>
      </c>
      <c r="R191" s="12">
        <v>15</v>
      </c>
      <c r="S191" s="12">
        <v>89</v>
      </c>
      <c r="T191" s="12">
        <v>645</v>
      </c>
      <c r="U191" s="12">
        <v>863</v>
      </c>
      <c r="V191" s="12">
        <v>465</v>
      </c>
      <c r="W191" s="12">
        <v>328</v>
      </c>
      <c r="X191" s="12">
        <v>154</v>
      </c>
      <c r="Y191" s="12">
        <v>17</v>
      </c>
      <c r="Z191" s="12">
        <v>1841</v>
      </c>
      <c r="AA191" s="12">
        <v>154</v>
      </c>
      <c r="AB191" s="12">
        <v>13007</v>
      </c>
      <c r="AC191" s="12">
        <v>653</v>
      </c>
      <c r="AD191" s="12">
        <v>5160</v>
      </c>
      <c r="AE191" s="12">
        <v>0</v>
      </c>
      <c r="AF191" s="12">
        <v>0</v>
      </c>
      <c r="AG191" s="12">
        <v>0</v>
      </c>
      <c r="AH191" s="12">
        <v>0</v>
      </c>
      <c r="AI191" s="12">
        <v>0</v>
      </c>
      <c r="AJ191" s="12">
        <v>0</v>
      </c>
      <c r="AK191" s="12">
        <v>20940</v>
      </c>
      <c r="AL191" s="12">
        <v>75</v>
      </c>
      <c r="AM191" s="12">
        <v>4685</v>
      </c>
      <c r="AN191" s="13">
        <f t="shared" si="10"/>
        <v>18677</v>
      </c>
    </row>
    <row r="192" ht="16.5" spans="1:40">
      <c r="A192">
        <f t="shared" si="12"/>
        <v>110</v>
      </c>
      <c r="B192">
        <f t="shared" si="11"/>
        <v>80</v>
      </c>
      <c r="C192" s="112">
        <v>173</v>
      </c>
      <c r="D192" s="113">
        <v>97.2000000000009</v>
      </c>
      <c r="E192" s="113">
        <v>109.8</v>
      </c>
      <c r="F192" s="113">
        <v>151.399999999999</v>
      </c>
      <c r="G192" s="113">
        <v>195.5</v>
      </c>
      <c r="H192" s="12">
        <v>34732</v>
      </c>
      <c r="I192" s="12">
        <v>0</v>
      </c>
      <c r="J192" s="12">
        <v>7811291</v>
      </c>
      <c r="K192" s="12">
        <v>444353</v>
      </c>
      <c r="L192" s="12">
        <v>9582</v>
      </c>
      <c r="M192" s="12">
        <f t="shared" si="13"/>
        <v>20356.7</v>
      </c>
      <c r="N192" s="12">
        <v>179</v>
      </c>
      <c r="O192" s="12">
        <v>956354</v>
      </c>
      <c r="P192" s="12">
        <v>180527</v>
      </c>
      <c r="Q192" s="12">
        <v>52618</v>
      </c>
      <c r="R192" s="12">
        <v>15</v>
      </c>
      <c r="S192" s="12">
        <v>89</v>
      </c>
      <c r="T192" s="12">
        <v>645</v>
      </c>
      <c r="U192" s="12">
        <v>870</v>
      </c>
      <c r="V192" s="12">
        <v>469</v>
      </c>
      <c r="W192" s="12">
        <v>330</v>
      </c>
      <c r="X192" s="12">
        <v>155</v>
      </c>
      <c r="Y192" s="12">
        <v>17</v>
      </c>
      <c r="Z192" s="12">
        <v>1851</v>
      </c>
      <c r="AA192" s="12">
        <v>155</v>
      </c>
      <c r="AB192" s="12">
        <v>13073</v>
      </c>
      <c r="AC192" s="12">
        <v>656</v>
      </c>
      <c r="AD192" s="12">
        <v>5190</v>
      </c>
      <c r="AE192" s="12">
        <v>0</v>
      </c>
      <c r="AF192" s="12">
        <v>0</v>
      </c>
      <c r="AG192" s="12">
        <v>0</v>
      </c>
      <c r="AH192" s="12">
        <v>0</v>
      </c>
      <c r="AI192" s="12">
        <v>0</v>
      </c>
      <c r="AJ192" s="12">
        <v>0</v>
      </c>
      <c r="AK192" s="12">
        <v>21045</v>
      </c>
      <c r="AL192" s="12">
        <v>75</v>
      </c>
      <c r="AM192" s="12">
        <v>4709</v>
      </c>
      <c r="AN192" s="13">
        <f t="shared" si="10"/>
        <v>18785</v>
      </c>
    </row>
    <row r="193" ht="16.5" spans="1:40">
      <c r="A193">
        <f t="shared" si="12"/>
        <v>110</v>
      </c>
      <c r="B193">
        <f t="shared" si="11"/>
        <v>229</v>
      </c>
      <c r="C193" s="112">
        <v>174</v>
      </c>
      <c r="D193" s="113">
        <v>97.3500000000009</v>
      </c>
      <c r="E193" s="113">
        <v>110</v>
      </c>
      <c r="F193" s="113">
        <v>151.749999999999</v>
      </c>
      <c r="G193" s="113">
        <v>196</v>
      </c>
      <c r="H193" s="12">
        <v>34961</v>
      </c>
      <c r="I193" s="12">
        <v>0</v>
      </c>
      <c r="J193" s="12">
        <v>7868577</v>
      </c>
      <c r="K193" s="12">
        <v>447145</v>
      </c>
      <c r="L193" s="12">
        <v>9591</v>
      </c>
      <c r="M193" s="12">
        <f t="shared" si="13"/>
        <v>20466.7</v>
      </c>
      <c r="N193" s="12">
        <v>180</v>
      </c>
      <c r="O193" s="12">
        <v>962447</v>
      </c>
      <c r="P193" s="12">
        <v>181601</v>
      </c>
      <c r="Q193" s="12">
        <v>52919</v>
      </c>
      <c r="R193" s="12">
        <v>15</v>
      </c>
      <c r="S193" s="12">
        <v>89</v>
      </c>
      <c r="T193" s="12">
        <v>645</v>
      </c>
      <c r="U193" s="12">
        <v>876</v>
      </c>
      <c r="V193" s="12">
        <v>474</v>
      </c>
      <c r="W193" s="12">
        <v>333</v>
      </c>
      <c r="X193" s="12">
        <v>157</v>
      </c>
      <c r="Y193" s="12">
        <v>18</v>
      </c>
      <c r="Z193" s="12">
        <v>1862</v>
      </c>
      <c r="AA193" s="12">
        <v>158</v>
      </c>
      <c r="AB193" s="12">
        <v>13139</v>
      </c>
      <c r="AC193" s="12">
        <v>660</v>
      </c>
      <c r="AD193" s="12">
        <v>5220</v>
      </c>
      <c r="AE193" s="12">
        <v>0</v>
      </c>
      <c r="AF193" s="12">
        <v>0</v>
      </c>
      <c r="AG193" s="12">
        <v>0</v>
      </c>
      <c r="AH193" s="12">
        <v>0</v>
      </c>
      <c r="AI193" s="12">
        <v>0</v>
      </c>
      <c r="AJ193" s="12">
        <v>0</v>
      </c>
      <c r="AK193" s="12">
        <v>21180</v>
      </c>
      <c r="AL193" s="12">
        <v>75</v>
      </c>
      <c r="AM193" s="12">
        <v>4738</v>
      </c>
      <c r="AN193" s="13">
        <f t="shared" si="10"/>
        <v>18954</v>
      </c>
    </row>
    <row r="194" ht="16.5" spans="1:40">
      <c r="A194">
        <f t="shared" si="12"/>
        <v>110</v>
      </c>
      <c r="B194">
        <f t="shared" si="11"/>
        <v>80</v>
      </c>
      <c r="C194" s="112">
        <v>175</v>
      </c>
      <c r="D194" s="113">
        <v>97.5000000000009</v>
      </c>
      <c r="E194" s="113">
        <v>110.2</v>
      </c>
      <c r="F194" s="113">
        <v>152.099999999999</v>
      </c>
      <c r="G194" s="113">
        <v>196.5</v>
      </c>
      <c r="H194" s="12">
        <v>35041</v>
      </c>
      <c r="I194" s="12">
        <v>0</v>
      </c>
      <c r="J194" s="12">
        <v>7912064</v>
      </c>
      <c r="K194" s="12">
        <v>449187</v>
      </c>
      <c r="L194" s="12">
        <v>9600</v>
      </c>
      <c r="M194" s="12">
        <f t="shared" si="13"/>
        <v>20576.7</v>
      </c>
      <c r="N194" s="12">
        <v>181</v>
      </c>
      <c r="O194" s="12">
        <v>968040</v>
      </c>
      <c r="P194" s="12">
        <v>182634</v>
      </c>
      <c r="Q194" s="12">
        <v>53220</v>
      </c>
      <c r="R194" s="12">
        <v>15</v>
      </c>
      <c r="S194" s="12">
        <v>89</v>
      </c>
      <c r="T194" s="12">
        <v>645</v>
      </c>
      <c r="U194" s="12">
        <v>881</v>
      </c>
      <c r="V194" s="12">
        <v>478</v>
      </c>
      <c r="W194" s="12">
        <v>336</v>
      </c>
      <c r="X194" s="12">
        <v>159</v>
      </c>
      <c r="Y194" s="12">
        <v>19</v>
      </c>
      <c r="Z194" s="12">
        <v>1872</v>
      </c>
      <c r="AA194" s="12">
        <v>159</v>
      </c>
      <c r="AB194" s="12">
        <v>13204</v>
      </c>
      <c r="AC194" s="12">
        <v>663</v>
      </c>
      <c r="AD194" s="12">
        <v>5250</v>
      </c>
      <c r="AE194" s="12">
        <v>0</v>
      </c>
      <c r="AF194" s="12">
        <v>0</v>
      </c>
      <c r="AG194" s="12">
        <v>0</v>
      </c>
      <c r="AH194" s="12">
        <v>0</v>
      </c>
      <c r="AI194" s="12">
        <v>0</v>
      </c>
      <c r="AJ194" s="12">
        <v>0</v>
      </c>
      <c r="AK194" s="12">
        <v>21285</v>
      </c>
      <c r="AL194" s="12">
        <v>75</v>
      </c>
      <c r="AM194" s="12">
        <v>4762</v>
      </c>
      <c r="AN194" s="13">
        <f t="shared" si="10"/>
        <v>19062</v>
      </c>
    </row>
    <row r="195" ht="16.5" spans="1:40">
      <c r="A195">
        <f t="shared" si="12"/>
        <v>110</v>
      </c>
      <c r="B195">
        <f t="shared" si="11"/>
        <v>80</v>
      </c>
      <c r="C195" s="112">
        <v>176</v>
      </c>
      <c r="D195" s="113">
        <v>97.6500000000009</v>
      </c>
      <c r="E195" s="113">
        <v>110.4</v>
      </c>
      <c r="F195" s="113">
        <v>152.449999999999</v>
      </c>
      <c r="G195" s="113">
        <v>197</v>
      </c>
      <c r="H195" s="12">
        <v>35121</v>
      </c>
      <c r="I195" s="12">
        <v>0</v>
      </c>
      <c r="J195" s="12">
        <v>7956051</v>
      </c>
      <c r="K195" s="12">
        <v>451229</v>
      </c>
      <c r="L195" s="12">
        <v>9608</v>
      </c>
      <c r="M195" s="12">
        <f t="shared" si="13"/>
        <v>20686.7</v>
      </c>
      <c r="N195" s="12">
        <v>181</v>
      </c>
      <c r="O195" s="12">
        <v>973633</v>
      </c>
      <c r="P195" s="12">
        <v>183668</v>
      </c>
      <c r="Q195" s="12">
        <v>53521</v>
      </c>
      <c r="R195" s="12">
        <v>15</v>
      </c>
      <c r="S195" s="12">
        <v>89</v>
      </c>
      <c r="T195" s="12">
        <v>645</v>
      </c>
      <c r="U195" s="12">
        <v>887</v>
      </c>
      <c r="V195" s="12">
        <v>483</v>
      </c>
      <c r="W195" s="12">
        <v>338</v>
      </c>
      <c r="X195" s="12">
        <v>160</v>
      </c>
      <c r="Y195" s="12">
        <v>19</v>
      </c>
      <c r="Z195" s="12">
        <v>1883</v>
      </c>
      <c r="AA195" s="12">
        <v>160</v>
      </c>
      <c r="AB195" s="12">
        <v>13270</v>
      </c>
      <c r="AC195" s="12">
        <v>667</v>
      </c>
      <c r="AD195" s="12">
        <v>5280</v>
      </c>
      <c r="AE195" s="12">
        <v>0</v>
      </c>
      <c r="AF195" s="12">
        <v>0</v>
      </c>
      <c r="AG195" s="12">
        <v>0</v>
      </c>
      <c r="AH195" s="12">
        <v>0</v>
      </c>
      <c r="AI195" s="12">
        <v>0</v>
      </c>
      <c r="AJ195" s="12">
        <v>0</v>
      </c>
      <c r="AK195" s="12">
        <v>21390</v>
      </c>
      <c r="AL195" s="12">
        <v>75</v>
      </c>
      <c r="AM195" s="12">
        <v>4786</v>
      </c>
      <c r="AN195" s="13">
        <f t="shared" si="10"/>
        <v>19175</v>
      </c>
    </row>
    <row r="196" ht="16.5" spans="1:40">
      <c r="A196">
        <f t="shared" si="12"/>
        <v>110</v>
      </c>
      <c r="B196">
        <f t="shared" si="11"/>
        <v>229</v>
      </c>
      <c r="C196" s="112">
        <v>177</v>
      </c>
      <c r="D196" s="113">
        <v>97.8000000000009</v>
      </c>
      <c r="E196" s="113">
        <v>110.6</v>
      </c>
      <c r="F196" s="113">
        <v>152.799999999999</v>
      </c>
      <c r="G196" s="113">
        <v>197.5</v>
      </c>
      <c r="H196" s="12">
        <v>35350</v>
      </c>
      <c r="I196" s="12">
        <v>0</v>
      </c>
      <c r="J196" s="12">
        <v>8037386</v>
      </c>
      <c r="K196" s="12">
        <v>454022</v>
      </c>
      <c r="L196" s="12">
        <v>9617</v>
      </c>
      <c r="M196" s="12">
        <f t="shared" si="13"/>
        <v>20796.7</v>
      </c>
      <c r="N196" s="12">
        <v>182</v>
      </c>
      <c r="O196" s="12">
        <v>979727</v>
      </c>
      <c r="P196" s="12">
        <v>184741</v>
      </c>
      <c r="Q196" s="12">
        <v>53823</v>
      </c>
      <c r="R196" s="12">
        <v>15</v>
      </c>
      <c r="S196" s="12">
        <v>89</v>
      </c>
      <c r="T196" s="12">
        <v>645</v>
      </c>
      <c r="U196" s="12">
        <v>892</v>
      </c>
      <c r="V196" s="12">
        <v>487</v>
      </c>
      <c r="W196" s="12">
        <v>341</v>
      </c>
      <c r="X196" s="12">
        <v>162</v>
      </c>
      <c r="Y196" s="12">
        <v>20</v>
      </c>
      <c r="Z196" s="12">
        <v>1893</v>
      </c>
      <c r="AA196" s="12">
        <v>160</v>
      </c>
      <c r="AB196" s="12">
        <v>13336</v>
      </c>
      <c r="AC196" s="12">
        <v>670</v>
      </c>
      <c r="AD196" s="12">
        <v>5310</v>
      </c>
      <c r="AE196" s="12">
        <v>0</v>
      </c>
      <c r="AF196" s="12">
        <v>0</v>
      </c>
      <c r="AG196" s="12">
        <v>0</v>
      </c>
      <c r="AH196" s="12">
        <v>0</v>
      </c>
      <c r="AI196" s="12">
        <v>0</v>
      </c>
      <c r="AJ196" s="12">
        <v>0</v>
      </c>
      <c r="AK196" s="12">
        <v>21525</v>
      </c>
      <c r="AL196" s="12">
        <v>75</v>
      </c>
      <c r="AM196" s="12">
        <v>4814</v>
      </c>
      <c r="AN196" s="13">
        <f t="shared" si="10"/>
        <v>19255</v>
      </c>
    </row>
    <row r="197" ht="16.5" spans="1:40">
      <c r="A197">
        <f t="shared" si="12"/>
        <v>110</v>
      </c>
      <c r="B197">
        <f t="shared" si="11"/>
        <v>80</v>
      </c>
      <c r="C197" s="112">
        <v>178</v>
      </c>
      <c r="D197" s="113">
        <v>97.9500000000009</v>
      </c>
      <c r="E197" s="113">
        <v>110.8</v>
      </c>
      <c r="F197" s="113">
        <v>153.149999999999</v>
      </c>
      <c r="G197" s="113">
        <v>198</v>
      </c>
      <c r="H197" s="12">
        <v>35430</v>
      </c>
      <c r="I197" s="12">
        <v>0</v>
      </c>
      <c r="J197" s="12">
        <v>8080922</v>
      </c>
      <c r="K197" s="12">
        <v>456064</v>
      </c>
      <c r="L197" s="12">
        <v>9625</v>
      </c>
      <c r="M197" s="12">
        <f t="shared" si="13"/>
        <v>20906.7</v>
      </c>
      <c r="N197" s="12">
        <v>183</v>
      </c>
      <c r="O197" s="12">
        <v>985320</v>
      </c>
      <c r="P197" s="12">
        <v>185775</v>
      </c>
      <c r="Q197" s="12">
        <v>54124</v>
      </c>
      <c r="R197" s="12">
        <v>15</v>
      </c>
      <c r="S197" s="12">
        <v>89</v>
      </c>
      <c r="T197" s="12">
        <v>645</v>
      </c>
      <c r="U197" s="12">
        <v>898</v>
      </c>
      <c r="V197" s="12">
        <v>492</v>
      </c>
      <c r="W197" s="12">
        <v>344</v>
      </c>
      <c r="X197" s="12">
        <v>164</v>
      </c>
      <c r="Y197" s="12">
        <v>21</v>
      </c>
      <c r="Z197" s="12">
        <v>1904</v>
      </c>
      <c r="AA197" s="12">
        <v>161</v>
      </c>
      <c r="AB197" s="12">
        <v>13402</v>
      </c>
      <c r="AC197" s="12">
        <v>674</v>
      </c>
      <c r="AD197" s="12">
        <v>5340</v>
      </c>
      <c r="AE197" s="12">
        <v>0</v>
      </c>
      <c r="AF197" s="12">
        <v>0</v>
      </c>
      <c r="AG197" s="12">
        <v>0</v>
      </c>
      <c r="AH197" s="12">
        <v>0</v>
      </c>
      <c r="AI197" s="12">
        <v>0</v>
      </c>
      <c r="AJ197" s="12">
        <v>0</v>
      </c>
      <c r="AK197" s="12">
        <v>21630</v>
      </c>
      <c r="AL197" s="12">
        <v>75</v>
      </c>
      <c r="AM197" s="12">
        <v>4838</v>
      </c>
      <c r="AN197" s="13">
        <f t="shared" si="10"/>
        <v>19368</v>
      </c>
    </row>
    <row r="198" ht="16.5" spans="1:40">
      <c r="A198">
        <f t="shared" si="12"/>
        <v>110</v>
      </c>
      <c r="B198">
        <f t="shared" si="11"/>
        <v>80</v>
      </c>
      <c r="C198" s="112">
        <v>179</v>
      </c>
      <c r="D198" s="113">
        <v>98.1000000000009</v>
      </c>
      <c r="E198" s="113">
        <v>111</v>
      </c>
      <c r="F198" s="113">
        <v>153.499999999999</v>
      </c>
      <c r="G198" s="113">
        <v>198.5</v>
      </c>
      <c r="H198" s="12">
        <v>35510</v>
      </c>
      <c r="I198" s="12">
        <v>0</v>
      </c>
      <c r="J198" s="12">
        <v>8124458</v>
      </c>
      <c r="K198" s="12">
        <v>458106</v>
      </c>
      <c r="L198" s="12">
        <v>9634</v>
      </c>
      <c r="M198" s="12">
        <f t="shared" si="13"/>
        <v>21016.7</v>
      </c>
      <c r="N198" s="12">
        <v>184</v>
      </c>
      <c r="O198" s="12">
        <v>990913</v>
      </c>
      <c r="P198" s="12">
        <v>186809</v>
      </c>
      <c r="Q198" s="12">
        <v>54425</v>
      </c>
      <c r="R198" s="12">
        <v>15</v>
      </c>
      <c r="S198" s="12">
        <v>89</v>
      </c>
      <c r="T198" s="12">
        <v>645</v>
      </c>
      <c r="U198" s="12">
        <v>904</v>
      </c>
      <c r="V198" s="12">
        <v>496</v>
      </c>
      <c r="W198" s="12">
        <v>346</v>
      </c>
      <c r="X198" s="12">
        <v>165</v>
      </c>
      <c r="Y198" s="12">
        <v>21</v>
      </c>
      <c r="Z198" s="12">
        <v>1914</v>
      </c>
      <c r="AA198" s="12">
        <v>162</v>
      </c>
      <c r="AB198" s="12">
        <v>13467</v>
      </c>
      <c r="AC198" s="12">
        <v>677</v>
      </c>
      <c r="AD198" s="12">
        <v>5370</v>
      </c>
      <c r="AE198" s="12">
        <v>0</v>
      </c>
      <c r="AF198" s="12">
        <v>0</v>
      </c>
      <c r="AG198" s="12">
        <v>0</v>
      </c>
      <c r="AH198" s="12">
        <v>0</v>
      </c>
      <c r="AI198" s="12">
        <v>0</v>
      </c>
      <c r="AJ198" s="12">
        <v>0</v>
      </c>
      <c r="AK198" s="12">
        <v>21735</v>
      </c>
      <c r="AL198" s="12">
        <v>75</v>
      </c>
      <c r="AM198" s="12">
        <v>4862</v>
      </c>
      <c r="AN198" s="13">
        <f t="shared" si="10"/>
        <v>19476</v>
      </c>
    </row>
    <row r="199" ht="16.5" spans="1:40">
      <c r="A199">
        <f t="shared" si="12"/>
        <v>110</v>
      </c>
      <c r="B199">
        <f t="shared" si="11"/>
        <v>229</v>
      </c>
      <c r="C199" s="112">
        <v>180</v>
      </c>
      <c r="D199" s="113">
        <v>98.2500000000009</v>
      </c>
      <c r="E199" s="113">
        <v>111.2</v>
      </c>
      <c r="F199" s="113">
        <v>153.849999999999</v>
      </c>
      <c r="G199" s="113">
        <v>199</v>
      </c>
      <c r="H199" s="12">
        <v>35739</v>
      </c>
      <c r="I199" s="12">
        <v>0</v>
      </c>
      <c r="J199" s="12">
        <v>8169843</v>
      </c>
      <c r="K199" s="12">
        <v>460898</v>
      </c>
      <c r="L199" s="12">
        <v>9642</v>
      </c>
      <c r="M199" s="12">
        <f t="shared" si="13"/>
        <v>21126.7</v>
      </c>
      <c r="N199" s="12">
        <v>185</v>
      </c>
      <c r="O199" s="12">
        <v>997006</v>
      </c>
      <c r="P199" s="12">
        <v>187882</v>
      </c>
      <c r="Q199" s="12">
        <v>54726</v>
      </c>
      <c r="R199" s="12">
        <v>15</v>
      </c>
      <c r="S199" s="12">
        <v>89</v>
      </c>
      <c r="T199" s="12">
        <v>645</v>
      </c>
      <c r="U199" s="12">
        <v>909</v>
      </c>
      <c r="V199" s="12">
        <v>501</v>
      </c>
      <c r="W199" s="12">
        <v>349</v>
      </c>
      <c r="X199" s="12">
        <v>167</v>
      </c>
      <c r="Y199" s="12">
        <v>22</v>
      </c>
      <c r="Z199" s="12">
        <v>1924</v>
      </c>
      <c r="AA199" s="12">
        <v>163</v>
      </c>
      <c r="AB199" s="12">
        <v>13533</v>
      </c>
      <c r="AC199" s="12">
        <v>681</v>
      </c>
      <c r="AD199" s="12">
        <v>5400</v>
      </c>
      <c r="AE199" s="12">
        <v>0</v>
      </c>
      <c r="AF199" s="12">
        <v>0</v>
      </c>
      <c r="AG199" s="12">
        <v>0</v>
      </c>
      <c r="AH199" s="12">
        <v>0</v>
      </c>
      <c r="AI199" s="12">
        <v>0</v>
      </c>
      <c r="AJ199" s="12">
        <v>0</v>
      </c>
      <c r="AK199" s="12">
        <v>21870</v>
      </c>
      <c r="AL199" s="12">
        <v>75</v>
      </c>
      <c r="AM199" s="12">
        <v>4891</v>
      </c>
      <c r="AN199" s="13">
        <f t="shared" si="10"/>
        <v>19584</v>
      </c>
    </row>
    <row r="200" ht="16.5" spans="1:40">
      <c r="A200">
        <f t="shared" si="12"/>
        <v>110</v>
      </c>
      <c r="B200">
        <f t="shared" si="11"/>
        <v>80</v>
      </c>
      <c r="C200" s="112">
        <v>181</v>
      </c>
      <c r="D200" s="113">
        <v>98.4000000000009</v>
      </c>
      <c r="E200" s="113">
        <v>111.4</v>
      </c>
      <c r="F200" s="113">
        <v>154.199999999999</v>
      </c>
      <c r="G200" s="113">
        <v>199.5</v>
      </c>
      <c r="H200" s="12">
        <v>35819</v>
      </c>
      <c r="I200" s="12">
        <v>0</v>
      </c>
      <c r="J200" s="12">
        <v>8213427</v>
      </c>
      <c r="K200" s="12">
        <v>462940</v>
      </c>
      <c r="L200" s="12">
        <v>9651</v>
      </c>
      <c r="M200" s="12">
        <f t="shared" si="13"/>
        <v>21236.7</v>
      </c>
      <c r="N200" s="12">
        <v>186</v>
      </c>
      <c r="O200" s="12">
        <v>1002600</v>
      </c>
      <c r="P200" s="12">
        <v>188916</v>
      </c>
      <c r="Q200" s="12">
        <v>55028</v>
      </c>
      <c r="R200" s="12">
        <v>15</v>
      </c>
      <c r="S200" s="12">
        <v>89</v>
      </c>
      <c r="T200" s="12">
        <v>645</v>
      </c>
      <c r="U200" s="12">
        <v>915</v>
      </c>
      <c r="V200" s="12">
        <v>505</v>
      </c>
      <c r="W200" s="12">
        <v>352</v>
      </c>
      <c r="X200" s="12">
        <v>169</v>
      </c>
      <c r="Y200" s="12">
        <v>22</v>
      </c>
      <c r="Z200" s="12">
        <v>1935</v>
      </c>
      <c r="AA200" s="12">
        <v>164</v>
      </c>
      <c r="AB200" s="12">
        <v>13599</v>
      </c>
      <c r="AC200" s="12">
        <v>684</v>
      </c>
      <c r="AD200" s="12">
        <v>5430</v>
      </c>
      <c r="AE200" s="12">
        <v>0</v>
      </c>
      <c r="AF200" s="12">
        <v>0</v>
      </c>
      <c r="AG200" s="12">
        <v>0</v>
      </c>
      <c r="AH200" s="12">
        <v>0</v>
      </c>
      <c r="AI200" s="12">
        <v>0</v>
      </c>
      <c r="AJ200" s="12">
        <v>0</v>
      </c>
      <c r="AK200" s="12">
        <v>21975</v>
      </c>
      <c r="AL200" s="12">
        <v>75</v>
      </c>
      <c r="AM200" s="12">
        <v>4915</v>
      </c>
      <c r="AN200" s="13">
        <f t="shared" si="10"/>
        <v>19697</v>
      </c>
    </row>
    <row r="201" ht="16.5" spans="1:40">
      <c r="A201">
        <f t="shared" si="12"/>
        <v>110</v>
      </c>
      <c r="B201">
        <f t="shared" si="11"/>
        <v>80</v>
      </c>
      <c r="C201" s="112">
        <v>182</v>
      </c>
      <c r="D201" s="113">
        <v>98.5500000000009</v>
      </c>
      <c r="E201" s="113">
        <v>111.6</v>
      </c>
      <c r="F201" s="113">
        <v>154.549999999999</v>
      </c>
      <c r="G201" s="113">
        <v>200</v>
      </c>
      <c r="H201" s="12">
        <v>35899</v>
      </c>
      <c r="I201" s="12">
        <v>0</v>
      </c>
      <c r="J201" s="12">
        <v>8257012</v>
      </c>
      <c r="K201" s="12">
        <v>464982</v>
      </c>
      <c r="L201" s="12">
        <v>9660</v>
      </c>
      <c r="M201" s="12">
        <f t="shared" si="13"/>
        <v>21346.7</v>
      </c>
      <c r="N201" s="12">
        <v>187</v>
      </c>
      <c r="O201" s="12">
        <v>1008193</v>
      </c>
      <c r="P201" s="12">
        <v>189950</v>
      </c>
      <c r="Q201" s="12">
        <v>55329</v>
      </c>
      <c r="R201" s="12">
        <v>15</v>
      </c>
      <c r="S201" s="12">
        <v>89</v>
      </c>
      <c r="T201" s="12">
        <v>645</v>
      </c>
      <c r="U201" s="12">
        <v>920</v>
      </c>
      <c r="V201" s="12">
        <v>510</v>
      </c>
      <c r="W201" s="12">
        <v>354</v>
      </c>
      <c r="X201" s="12">
        <v>170</v>
      </c>
      <c r="Y201" s="12">
        <v>23</v>
      </c>
      <c r="Z201" s="12">
        <v>1945</v>
      </c>
      <c r="AA201" s="12">
        <v>165</v>
      </c>
      <c r="AB201" s="12">
        <v>13664</v>
      </c>
      <c r="AC201" s="12">
        <v>688</v>
      </c>
      <c r="AD201" s="12">
        <v>5460</v>
      </c>
      <c r="AE201" s="12">
        <v>0</v>
      </c>
      <c r="AF201" s="12">
        <v>0</v>
      </c>
      <c r="AG201" s="12">
        <v>0</v>
      </c>
      <c r="AH201" s="12">
        <v>0</v>
      </c>
      <c r="AI201" s="12">
        <v>0</v>
      </c>
      <c r="AJ201" s="12">
        <v>0</v>
      </c>
      <c r="AK201" s="12">
        <v>22080</v>
      </c>
      <c r="AL201" s="12">
        <v>75</v>
      </c>
      <c r="AM201" s="12">
        <v>4939</v>
      </c>
      <c r="AN201" s="13">
        <f t="shared" si="10"/>
        <v>19805</v>
      </c>
    </row>
    <row r="202" ht="16.5" spans="1:40">
      <c r="A202">
        <f t="shared" si="12"/>
        <v>110</v>
      </c>
      <c r="B202">
        <f t="shared" si="11"/>
        <v>229</v>
      </c>
      <c r="C202" s="112">
        <v>183</v>
      </c>
      <c r="D202" s="113">
        <v>98.7000000000009</v>
      </c>
      <c r="E202" s="113">
        <v>111.8</v>
      </c>
      <c r="F202" s="113">
        <v>154.899999999999</v>
      </c>
      <c r="G202" s="113">
        <v>200.5</v>
      </c>
      <c r="H202" s="12">
        <v>36128</v>
      </c>
      <c r="I202" s="12">
        <v>0</v>
      </c>
      <c r="J202" s="12">
        <v>8302946</v>
      </c>
      <c r="K202" s="12">
        <v>467775</v>
      </c>
      <c r="L202" s="12">
        <v>9668</v>
      </c>
      <c r="M202" s="12">
        <f t="shared" si="13"/>
        <v>21456.7</v>
      </c>
      <c r="N202" s="12">
        <v>188</v>
      </c>
      <c r="O202" s="12">
        <v>1014328</v>
      </c>
      <c r="P202" s="12">
        <v>191023</v>
      </c>
      <c r="Q202" s="12">
        <v>55630</v>
      </c>
      <c r="R202" s="12">
        <v>15</v>
      </c>
      <c r="S202" s="12">
        <v>89</v>
      </c>
      <c r="T202" s="12">
        <v>645</v>
      </c>
      <c r="U202" s="12">
        <v>926</v>
      </c>
      <c r="V202" s="12">
        <v>514</v>
      </c>
      <c r="W202" s="12">
        <v>357</v>
      </c>
      <c r="X202" s="12">
        <v>172</v>
      </c>
      <c r="Y202" s="12">
        <v>24</v>
      </c>
      <c r="Z202" s="12">
        <v>1956</v>
      </c>
      <c r="AA202" s="12">
        <v>165</v>
      </c>
      <c r="AB202" s="12">
        <v>13730</v>
      </c>
      <c r="AC202" s="12">
        <v>691</v>
      </c>
      <c r="AD202" s="12">
        <v>5490</v>
      </c>
      <c r="AE202" s="12">
        <v>0</v>
      </c>
      <c r="AF202" s="12">
        <v>0</v>
      </c>
      <c r="AG202" s="12">
        <v>0</v>
      </c>
      <c r="AH202" s="12">
        <v>0</v>
      </c>
      <c r="AI202" s="12">
        <v>0</v>
      </c>
      <c r="AJ202" s="12">
        <v>0</v>
      </c>
      <c r="AK202" s="12">
        <v>22215</v>
      </c>
      <c r="AL202" s="12">
        <v>75</v>
      </c>
      <c r="AM202" s="12">
        <v>4968</v>
      </c>
      <c r="AN202" s="13">
        <f t="shared" si="10"/>
        <v>19890</v>
      </c>
    </row>
    <row r="203" ht="16.5" spans="1:40">
      <c r="A203">
        <f t="shared" si="12"/>
        <v>110</v>
      </c>
      <c r="B203">
        <f t="shared" si="11"/>
        <v>80</v>
      </c>
      <c r="C203" s="112">
        <v>184</v>
      </c>
      <c r="D203" s="113">
        <v>98.8500000000009</v>
      </c>
      <c r="E203" s="113">
        <v>112</v>
      </c>
      <c r="F203" s="113">
        <v>155.249999999999</v>
      </c>
      <c r="G203" s="113">
        <v>201</v>
      </c>
      <c r="H203" s="12">
        <v>36208</v>
      </c>
      <c r="I203" s="12">
        <v>0</v>
      </c>
      <c r="J203" s="12">
        <v>8346579</v>
      </c>
      <c r="K203" s="12">
        <v>469817</v>
      </c>
      <c r="L203" s="12">
        <v>9677</v>
      </c>
      <c r="M203" s="12">
        <f t="shared" si="13"/>
        <v>21566.7</v>
      </c>
      <c r="N203" s="12">
        <v>188</v>
      </c>
      <c r="O203" s="12">
        <v>1019962</v>
      </c>
      <c r="P203" s="12">
        <v>192057</v>
      </c>
      <c r="Q203" s="12">
        <v>55931</v>
      </c>
      <c r="R203" s="12">
        <v>15</v>
      </c>
      <c r="S203" s="12">
        <v>89</v>
      </c>
      <c r="T203" s="12">
        <v>645</v>
      </c>
      <c r="U203" s="12">
        <v>931</v>
      </c>
      <c r="V203" s="12">
        <v>519</v>
      </c>
      <c r="W203" s="12">
        <v>360</v>
      </c>
      <c r="X203" s="12">
        <v>173</v>
      </c>
      <c r="Y203" s="12">
        <v>24</v>
      </c>
      <c r="Z203" s="12">
        <v>1966</v>
      </c>
      <c r="AA203" s="12">
        <v>166</v>
      </c>
      <c r="AB203" s="12">
        <v>13796</v>
      </c>
      <c r="AC203" s="12">
        <v>695</v>
      </c>
      <c r="AD203" s="12">
        <v>5520</v>
      </c>
      <c r="AE203" s="12">
        <v>0</v>
      </c>
      <c r="AF203" s="12">
        <v>0</v>
      </c>
      <c r="AG203" s="12">
        <v>0</v>
      </c>
      <c r="AH203" s="12">
        <v>0</v>
      </c>
      <c r="AI203" s="12">
        <v>0</v>
      </c>
      <c r="AJ203" s="12">
        <v>0</v>
      </c>
      <c r="AK203" s="12">
        <v>22320</v>
      </c>
      <c r="AL203" s="12">
        <v>75</v>
      </c>
      <c r="AM203" s="12">
        <v>4991</v>
      </c>
      <c r="AN203" s="13">
        <f t="shared" si="10"/>
        <v>19998</v>
      </c>
    </row>
    <row r="204" ht="16.5" spans="1:40">
      <c r="A204">
        <f t="shared" si="12"/>
        <v>110</v>
      </c>
      <c r="B204">
        <f t="shared" si="11"/>
        <v>79</v>
      </c>
      <c r="C204" s="112">
        <v>185</v>
      </c>
      <c r="D204" s="113">
        <v>99.0000000000009</v>
      </c>
      <c r="E204" s="113">
        <v>112.2</v>
      </c>
      <c r="F204" s="113">
        <v>155.599999999999</v>
      </c>
      <c r="G204" s="113">
        <v>201.5</v>
      </c>
      <c r="H204" s="12">
        <v>36287</v>
      </c>
      <c r="I204" s="12">
        <v>0</v>
      </c>
      <c r="J204" s="12">
        <v>8390213</v>
      </c>
      <c r="K204" s="12">
        <v>471859</v>
      </c>
      <c r="L204" s="12">
        <v>9685</v>
      </c>
      <c r="M204" s="12">
        <f t="shared" si="13"/>
        <v>21676.7</v>
      </c>
      <c r="N204" s="12">
        <v>189</v>
      </c>
      <c r="O204" s="12">
        <v>1025597</v>
      </c>
      <c r="P204" s="12">
        <v>193090</v>
      </c>
      <c r="Q204" s="12">
        <v>56233</v>
      </c>
      <c r="R204" s="12">
        <v>15</v>
      </c>
      <c r="S204" s="12">
        <v>89</v>
      </c>
      <c r="T204" s="12">
        <v>645</v>
      </c>
      <c r="U204" s="12">
        <v>937</v>
      </c>
      <c r="V204" s="12">
        <v>523</v>
      </c>
      <c r="W204" s="12">
        <v>363</v>
      </c>
      <c r="X204" s="12">
        <v>175</v>
      </c>
      <c r="Y204" s="12">
        <v>25</v>
      </c>
      <c r="Z204" s="12">
        <v>1977</v>
      </c>
      <c r="AA204" s="12">
        <v>167</v>
      </c>
      <c r="AB204" s="12">
        <v>13862</v>
      </c>
      <c r="AC204" s="12">
        <v>699</v>
      </c>
      <c r="AD204" s="12">
        <v>5550</v>
      </c>
      <c r="AE204" s="12">
        <v>0</v>
      </c>
      <c r="AF204" s="12">
        <v>0</v>
      </c>
      <c r="AG204" s="12">
        <v>0</v>
      </c>
      <c r="AH204" s="12">
        <v>0</v>
      </c>
      <c r="AI204" s="12">
        <v>0</v>
      </c>
      <c r="AJ204" s="12">
        <v>0</v>
      </c>
      <c r="AK204" s="12">
        <v>22425</v>
      </c>
      <c r="AL204" s="12">
        <v>75</v>
      </c>
      <c r="AM204" s="12">
        <v>5015</v>
      </c>
      <c r="AN204" s="13">
        <f t="shared" si="10"/>
        <v>20111</v>
      </c>
    </row>
    <row r="205" ht="16.5" spans="1:40">
      <c r="A205">
        <f t="shared" si="12"/>
        <v>110</v>
      </c>
      <c r="B205">
        <f t="shared" si="11"/>
        <v>230</v>
      </c>
      <c r="C205" s="112">
        <v>186</v>
      </c>
      <c r="D205" s="113">
        <v>99.1500000000009</v>
      </c>
      <c r="E205" s="113">
        <v>112.4</v>
      </c>
      <c r="F205" s="113">
        <v>155.949999999999</v>
      </c>
      <c r="G205" s="113">
        <v>202</v>
      </c>
      <c r="H205" s="12">
        <v>36517</v>
      </c>
      <c r="I205" s="12">
        <v>0</v>
      </c>
      <c r="J205" s="12">
        <v>8435696</v>
      </c>
      <c r="K205" s="12">
        <v>474651</v>
      </c>
      <c r="L205" s="12">
        <v>9694</v>
      </c>
      <c r="M205" s="12">
        <f t="shared" si="13"/>
        <v>21786.7</v>
      </c>
      <c r="N205" s="12">
        <v>191</v>
      </c>
      <c r="O205" s="12">
        <v>1031732</v>
      </c>
      <c r="P205" s="12">
        <v>194164</v>
      </c>
      <c r="Q205" s="12">
        <v>56534</v>
      </c>
      <c r="R205" s="12">
        <v>15</v>
      </c>
      <c r="S205" s="12">
        <v>89</v>
      </c>
      <c r="T205" s="12">
        <v>645</v>
      </c>
      <c r="U205" s="12">
        <v>942</v>
      </c>
      <c r="V205" s="12">
        <v>528</v>
      </c>
      <c r="W205" s="12">
        <v>365</v>
      </c>
      <c r="X205" s="12">
        <v>177</v>
      </c>
      <c r="Y205" s="12">
        <v>25</v>
      </c>
      <c r="Z205" s="12">
        <v>1988</v>
      </c>
      <c r="AA205" s="12">
        <v>168</v>
      </c>
      <c r="AB205" s="12">
        <v>13927</v>
      </c>
      <c r="AC205" s="12">
        <v>702</v>
      </c>
      <c r="AD205" s="12">
        <v>5580</v>
      </c>
      <c r="AE205" s="12">
        <v>0</v>
      </c>
      <c r="AF205" s="12">
        <v>0</v>
      </c>
      <c r="AG205" s="12">
        <v>0</v>
      </c>
      <c r="AH205" s="12">
        <v>0</v>
      </c>
      <c r="AI205" s="12">
        <v>0</v>
      </c>
      <c r="AJ205" s="12">
        <v>0</v>
      </c>
      <c r="AK205" s="12">
        <v>22530</v>
      </c>
      <c r="AL205" s="12">
        <v>78</v>
      </c>
      <c r="AM205" s="12">
        <v>5044</v>
      </c>
      <c r="AN205" s="13">
        <f t="shared" si="10"/>
        <v>20224</v>
      </c>
    </row>
    <row r="206" ht="16.5" spans="1:40">
      <c r="A206">
        <f t="shared" si="12"/>
        <v>110</v>
      </c>
      <c r="B206">
        <f t="shared" si="11"/>
        <v>80</v>
      </c>
      <c r="C206" s="112">
        <v>187</v>
      </c>
      <c r="D206" s="113">
        <v>99.3000000000009</v>
      </c>
      <c r="E206" s="113">
        <v>112.6</v>
      </c>
      <c r="F206" s="113">
        <v>156.299999999999</v>
      </c>
      <c r="G206" s="113">
        <v>202.5</v>
      </c>
      <c r="H206" s="12">
        <v>36597</v>
      </c>
      <c r="I206" s="12">
        <v>0</v>
      </c>
      <c r="J206" s="12">
        <v>8479378</v>
      </c>
      <c r="K206" s="12">
        <v>476693</v>
      </c>
      <c r="L206" s="12">
        <v>9702</v>
      </c>
      <c r="M206" s="12">
        <f t="shared" si="13"/>
        <v>21896.7</v>
      </c>
      <c r="N206" s="12">
        <v>192</v>
      </c>
      <c r="O206" s="12">
        <v>1037367</v>
      </c>
      <c r="P206" s="12">
        <v>195198</v>
      </c>
      <c r="Q206" s="12">
        <v>56835</v>
      </c>
      <c r="R206" s="12">
        <v>15</v>
      </c>
      <c r="S206" s="12">
        <v>89</v>
      </c>
      <c r="T206" s="12">
        <v>645</v>
      </c>
      <c r="U206" s="12">
        <v>948</v>
      </c>
      <c r="V206" s="12">
        <v>532</v>
      </c>
      <c r="W206" s="12">
        <v>368</v>
      </c>
      <c r="X206" s="12">
        <v>178</v>
      </c>
      <c r="Y206" s="12">
        <v>26</v>
      </c>
      <c r="Z206" s="12">
        <v>1998</v>
      </c>
      <c r="AA206" s="12">
        <v>169</v>
      </c>
      <c r="AB206" s="12">
        <v>13993</v>
      </c>
      <c r="AC206" s="12">
        <v>706</v>
      </c>
      <c r="AD206" s="12">
        <v>5610</v>
      </c>
      <c r="AE206" s="12">
        <v>0</v>
      </c>
      <c r="AF206" s="12">
        <v>0</v>
      </c>
      <c r="AG206" s="12">
        <v>0</v>
      </c>
      <c r="AH206" s="12">
        <v>0</v>
      </c>
      <c r="AI206" s="12">
        <v>0</v>
      </c>
      <c r="AJ206" s="12">
        <v>0</v>
      </c>
      <c r="AK206" s="12">
        <v>22635</v>
      </c>
      <c r="AL206" s="12">
        <v>78</v>
      </c>
      <c r="AM206" s="12">
        <v>5068</v>
      </c>
      <c r="AN206" s="13">
        <f t="shared" si="10"/>
        <v>20332</v>
      </c>
    </row>
    <row r="207" ht="16.5" spans="1:40">
      <c r="A207">
        <f t="shared" si="12"/>
        <v>110</v>
      </c>
      <c r="B207">
        <f t="shared" si="11"/>
        <v>79</v>
      </c>
      <c r="C207" s="112">
        <v>188</v>
      </c>
      <c r="D207" s="113">
        <v>99.450000000001</v>
      </c>
      <c r="E207" s="113">
        <v>112.8</v>
      </c>
      <c r="F207" s="113">
        <v>156.649999999999</v>
      </c>
      <c r="G207" s="113">
        <v>203</v>
      </c>
      <c r="H207" s="12">
        <v>36676</v>
      </c>
      <c r="I207" s="12">
        <v>0</v>
      </c>
      <c r="J207" s="12">
        <v>8523061</v>
      </c>
      <c r="K207" s="12">
        <v>478735</v>
      </c>
      <c r="L207" s="12">
        <v>9711</v>
      </c>
      <c r="M207" s="12">
        <f t="shared" si="13"/>
        <v>22006.7</v>
      </c>
      <c r="N207" s="12">
        <v>193</v>
      </c>
      <c r="O207" s="12">
        <v>1043001</v>
      </c>
      <c r="P207" s="12">
        <v>196231</v>
      </c>
      <c r="Q207" s="12">
        <v>57137</v>
      </c>
      <c r="R207" s="12">
        <v>15</v>
      </c>
      <c r="S207" s="12">
        <v>89</v>
      </c>
      <c r="T207" s="12">
        <v>645</v>
      </c>
      <c r="U207" s="12">
        <v>954</v>
      </c>
      <c r="V207" s="12">
        <v>537</v>
      </c>
      <c r="W207" s="12">
        <v>371</v>
      </c>
      <c r="X207" s="12">
        <v>180</v>
      </c>
      <c r="Y207" s="12">
        <v>27</v>
      </c>
      <c r="Z207" s="12">
        <v>2009</v>
      </c>
      <c r="AA207" s="12">
        <v>170</v>
      </c>
      <c r="AB207" s="12">
        <v>14059</v>
      </c>
      <c r="AC207" s="12">
        <v>709</v>
      </c>
      <c r="AD207" s="12">
        <v>5640</v>
      </c>
      <c r="AE207" s="12">
        <v>0</v>
      </c>
      <c r="AF207" s="12">
        <v>0</v>
      </c>
      <c r="AG207" s="12">
        <v>0</v>
      </c>
      <c r="AH207" s="12">
        <v>0</v>
      </c>
      <c r="AI207" s="12">
        <v>0</v>
      </c>
      <c r="AJ207" s="12">
        <v>0</v>
      </c>
      <c r="AK207" s="12">
        <v>22740</v>
      </c>
      <c r="AL207" s="12">
        <v>78</v>
      </c>
      <c r="AM207" s="12">
        <v>5092</v>
      </c>
      <c r="AN207" s="13">
        <f t="shared" si="10"/>
        <v>20445</v>
      </c>
    </row>
    <row r="208" ht="16.5" spans="1:40">
      <c r="A208">
        <f t="shared" si="12"/>
        <v>110</v>
      </c>
      <c r="B208">
        <f t="shared" si="11"/>
        <v>230</v>
      </c>
      <c r="C208" s="112">
        <v>189</v>
      </c>
      <c r="D208" s="113">
        <v>99.600000000001</v>
      </c>
      <c r="E208" s="113">
        <v>113</v>
      </c>
      <c r="F208" s="113">
        <v>156.999999999999</v>
      </c>
      <c r="G208" s="113">
        <v>203.5</v>
      </c>
      <c r="H208" s="12">
        <v>36906</v>
      </c>
      <c r="I208" s="12">
        <v>0</v>
      </c>
      <c r="J208" s="12">
        <v>8605593</v>
      </c>
      <c r="K208" s="12">
        <v>481528</v>
      </c>
      <c r="L208" s="12">
        <v>9720</v>
      </c>
      <c r="M208" s="12">
        <f t="shared" si="13"/>
        <v>22116.7</v>
      </c>
      <c r="N208" s="12">
        <v>194</v>
      </c>
      <c r="O208" s="12">
        <v>1049136</v>
      </c>
      <c r="P208" s="12">
        <v>197305</v>
      </c>
      <c r="Q208" s="12">
        <v>57438</v>
      </c>
      <c r="R208" s="12">
        <v>15</v>
      </c>
      <c r="S208" s="12">
        <v>89</v>
      </c>
      <c r="T208" s="12">
        <v>645</v>
      </c>
      <c r="U208" s="12">
        <v>959</v>
      </c>
      <c r="V208" s="12">
        <v>541</v>
      </c>
      <c r="W208" s="12">
        <v>373</v>
      </c>
      <c r="X208" s="12">
        <v>182</v>
      </c>
      <c r="Y208" s="12">
        <v>27</v>
      </c>
      <c r="Z208" s="12">
        <v>2019</v>
      </c>
      <c r="AA208" s="12">
        <v>170</v>
      </c>
      <c r="AB208" s="12">
        <v>14124</v>
      </c>
      <c r="AC208" s="12">
        <v>713</v>
      </c>
      <c r="AD208" s="12">
        <v>5670</v>
      </c>
      <c r="AE208" s="12">
        <v>0</v>
      </c>
      <c r="AF208" s="12">
        <v>0</v>
      </c>
      <c r="AG208" s="12">
        <v>0</v>
      </c>
      <c r="AH208" s="12">
        <v>0</v>
      </c>
      <c r="AI208" s="12">
        <v>0</v>
      </c>
      <c r="AJ208" s="12">
        <v>0</v>
      </c>
      <c r="AK208" s="12">
        <v>22875</v>
      </c>
      <c r="AL208" s="12">
        <v>78</v>
      </c>
      <c r="AM208" s="12">
        <v>5121</v>
      </c>
      <c r="AN208" s="13">
        <f t="shared" si="10"/>
        <v>20525</v>
      </c>
    </row>
    <row r="209" ht="16.5" spans="1:40">
      <c r="A209">
        <f t="shared" si="12"/>
        <v>110</v>
      </c>
      <c r="B209">
        <f t="shared" si="11"/>
        <v>80</v>
      </c>
      <c r="C209" s="112">
        <v>190</v>
      </c>
      <c r="D209" s="113">
        <v>99.750000000001</v>
      </c>
      <c r="E209" s="113">
        <v>113.2</v>
      </c>
      <c r="F209" s="113">
        <v>157.349999999999</v>
      </c>
      <c r="G209" s="113">
        <v>204</v>
      </c>
      <c r="H209" s="12">
        <v>36986</v>
      </c>
      <c r="I209" s="12">
        <v>0</v>
      </c>
      <c r="J209" s="12">
        <v>8649824</v>
      </c>
      <c r="K209" s="12">
        <v>483570</v>
      </c>
      <c r="L209" s="12">
        <v>9728</v>
      </c>
      <c r="M209" s="12">
        <f t="shared" si="13"/>
        <v>22226.7</v>
      </c>
      <c r="N209" s="12">
        <v>195</v>
      </c>
      <c r="O209" s="12">
        <v>1054771</v>
      </c>
      <c r="P209" s="12">
        <v>198338</v>
      </c>
      <c r="Q209" s="12">
        <v>57739</v>
      </c>
      <c r="R209" s="12">
        <v>15</v>
      </c>
      <c r="S209" s="12">
        <v>89</v>
      </c>
      <c r="T209" s="12">
        <v>645</v>
      </c>
      <c r="U209" s="12">
        <v>965</v>
      </c>
      <c r="V209" s="12">
        <v>546</v>
      </c>
      <c r="W209" s="12">
        <v>376</v>
      </c>
      <c r="X209" s="12">
        <v>183</v>
      </c>
      <c r="Y209" s="12">
        <v>28</v>
      </c>
      <c r="Z209" s="12">
        <v>2030</v>
      </c>
      <c r="AA209" s="12">
        <v>171</v>
      </c>
      <c r="AB209" s="12">
        <v>14190</v>
      </c>
      <c r="AC209" s="12">
        <v>716</v>
      </c>
      <c r="AD209" s="12">
        <v>5700</v>
      </c>
      <c r="AE209" s="12">
        <v>0</v>
      </c>
      <c r="AF209" s="12">
        <v>0</v>
      </c>
      <c r="AG209" s="12">
        <v>0</v>
      </c>
      <c r="AH209" s="12">
        <v>0</v>
      </c>
      <c r="AI209" s="12">
        <v>0</v>
      </c>
      <c r="AJ209" s="12">
        <v>0</v>
      </c>
      <c r="AK209" s="12">
        <v>22980</v>
      </c>
      <c r="AL209" s="12">
        <v>78</v>
      </c>
      <c r="AM209" s="12">
        <v>5145</v>
      </c>
      <c r="AN209" s="13">
        <f t="shared" si="10"/>
        <v>20638</v>
      </c>
    </row>
    <row r="210" ht="16.5" spans="1:40">
      <c r="A210">
        <f t="shared" si="12"/>
        <v>110</v>
      </c>
      <c r="B210">
        <f t="shared" si="11"/>
        <v>79</v>
      </c>
      <c r="C210" s="112">
        <v>191</v>
      </c>
      <c r="D210" s="113">
        <v>99.900000000001</v>
      </c>
      <c r="E210" s="113">
        <v>113.4</v>
      </c>
      <c r="F210" s="113">
        <v>157.699999999999</v>
      </c>
      <c r="G210" s="113">
        <v>204.5</v>
      </c>
      <c r="H210" s="12">
        <v>37065</v>
      </c>
      <c r="I210" s="12">
        <v>0</v>
      </c>
      <c r="J210" s="12">
        <v>8693556</v>
      </c>
      <c r="K210" s="12">
        <v>485612</v>
      </c>
      <c r="L210" s="12">
        <v>9737</v>
      </c>
      <c r="M210" s="12">
        <f t="shared" si="13"/>
        <v>22336.7</v>
      </c>
      <c r="N210" s="12">
        <v>196</v>
      </c>
      <c r="O210" s="12">
        <v>1060406</v>
      </c>
      <c r="P210" s="12">
        <v>199372</v>
      </c>
      <c r="Q210" s="12">
        <v>58040</v>
      </c>
      <c r="R210" s="12">
        <v>15</v>
      </c>
      <c r="S210" s="12">
        <v>89</v>
      </c>
      <c r="T210" s="12">
        <v>645</v>
      </c>
      <c r="U210" s="12">
        <v>970</v>
      </c>
      <c r="V210" s="12">
        <v>550</v>
      </c>
      <c r="W210" s="12">
        <v>379</v>
      </c>
      <c r="X210" s="12">
        <v>185</v>
      </c>
      <c r="Y210" s="12">
        <v>28</v>
      </c>
      <c r="Z210" s="12">
        <v>2040</v>
      </c>
      <c r="AA210" s="12">
        <v>172</v>
      </c>
      <c r="AB210" s="12">
        <v>14256</v>
      </c>
      <c r="AC210" s="12">
        <v>720</v>
      </c>
      <c r="AD210" s="12">
        <v>5730</v>
      </c>
      <c r="AE210" s="12">
        <v>0</v>
      </c>
      <c r="AF210" s="12">
        <v>0</v>
      </c>
      <c r="AG210" s="12">
        <v>0</v>
      </c>
      <c r="AH210" s="12">
        <v>0</v>
      </c>
      <c r="AI210" s="12">
        <v>0</v>
      </c>
      <c r="AJ210" s="12">
        <v>0</v>
      </c>
      <c r="AK210" s="12">
        <v>23085</v>
      </c>
      <c r="AL210" s="12">
        <v>78</v>
      </c>
      <c r="AM210" s="12">
        <v>5168</v>
      </c>
      <c r="AN210" s="13">
        <f t="shared" si="10"/>
        <v>20746</v>
      </c>
    </row>
    <row r="211" ht="16.5" spans="1:40">
      <c r="A211">
        <f t="shared" si="12"/>
        <v>110</v>
      </c>
      <c r="B211">
        <f t="shared" si="11"/>
        <v>230</v>
      </c>
      <c r="C211" s="112">
        <v>192</v>
      </c>
      <c r="D211" s="113">
        <v>100.050000000001</v>
      </c>
      <c r="E211" s="113">
        <v>113.6</v>
      </c>
      <c r="F211" s="113">
        <v>158.049999999999</v>
      </c>
      <c r="G211" s="113">
        <v>205</v>
      </c>
      <c r="H211" s="12">
        <v>37295</v>
      </c>
      <c r="I211" s="12">
        <v>0</v>
      </c>
      <c r="J211" s="12">
        <v>8739137</v>
      </c>
      <c r="K211" s="12">
        <v>488404</v>
      </c>
      <c r="L211" s="12">
        <v>9745</v>
      </c>
      <c r="M211" s="12">
        <f t="shared" si="13"/>
        <v>22446.7</v>
      </c>
      <c r="N211" s="12">
        <v>197</v>
      </c>
      <c r="O211" s="12">
        <v>1066540</v>
      </c>
      <c r="P211" s="12">
        <v>200446</v>
      </c>
      <c r="Q211" s="12">
        <v>58342</v>
      </c>
      <c r="R211" s="12">
        <v>15</v>
      </c>
      <c r="S211" s="12">
        <v>89</v>
      </c>
      <c r="T211" s="12">
        <v>645</v>
      </c>
      <c r="U211" s="12">
        <v>976</v>
      </c>
      <c r="V211" s="12">
        <v>555</v>
      </c>
      <c r="W211" s="12">
        <v>381</v>
      </c>
      <c r="X211" s="12">
        <v>187</v>
      </c>
      <c r="Y211" s="12">
        <v>29</v>
      </c>
      <c r="Z211" s="12">
        <v>2051</v>
      </c>
      <c r="AA211" s="12">
        <v>173</v>
      </c>
      <c r="AB211" s="12">
        <v>14322</v>
      </c>
      <c r="AC211" s="12">
        <v>723</v>
      </c>
      <c r="AD211" s="12">
        <v>5760</v>
      </c>
      <c r="AE211" s="12">
        <v>0</v>
      </c>
      <c r="AF211" s="12">
        <v>0</v>
      </c>
      <c r="AG211" s="12">
        <v>0</v>
      </c>
      <c r="AH211" s="12">
        <v>0</v>
      </c>
      <c r="AI211" s="12">
        <v>0</v>
      </c>
      <c r="AJ211" s="12">
        <v>0</v>
      </c>
      <c r="AK211" s="12">
        <v>23220</v>
      </c>
      <c r="AL211" s="12">
        <v>78</v>
      </c>
      <c r="AM211" s="12">
        <v>5197</v>
      </c>
      <c r="AN211" s="13">
        <f t="shared" si="10"/>
        <v>20859</v>
      </c>
    </row>
    <row r="212" ht="16.5" spans="1:40">
      <c r="A212">
        <f t="shared" si="12"/>
        <v>110</v>
      </c>
      <c r="B212">
        <f t="shared" si="11"/>
        <v>80</v>
      </c>
      <c r="C212" s="112">
        <v>193</v>
      </c>
      <c r="D212" s="113">
        <v>100.200000000001</v>
      </c>
      <c r="E212" s="113">
        <v>113.8</v>
      </c>
      <c r="F212" s="113">
        <v>158.399999999999</v>
      </c>
      <c r="G212" s="113">
        <v>205.5</v>
      </c>
      <c r="H212" s="12">
        <v>37375</v>
      </c>
      <c r="I212" s="12">
        <v>0</v>
      </c>
      <c r="J212" s="12">
        <v>8782917</v>
      </c>
      <c r="K212" s="12">
        <v>490446</v>
      </c>
      <c r="L212" s="12">
        <v>9754</v>
      </c>
      <c r="M212" s="12">
        <f t="shared" si="13"/>
        <v>22556.7</v>
      </c>
      <c r="N212" s="12">
        <v>197</v>
      </c>
      <c r="O212" s="12">
        <v>1072175</v>
      </c>
      <c r="P212" s="12">
        <v>201479</v>
      </c>
      <c r="Q212" s="12">
        <v>58643</v>
      </c>
      <c r="R212" s="12">
        <v>15</v>
      </c>
      <c r="S212" s="12">
        <v>89</v>
      </c>
      <c r="T212" s="12">
        <v>645</v>
      </c>
      <c r="U212" s="12">
        <v>981</v>
      </c>
      <c r="V212" s="12">
        <v>559</v>
      </c>
      <c r="W212" s="12">
        <v>384</v>
      </c>
      <c r="X212" s="12">
        <v>188</v>
      </c>
      <c r="Y212" s="12">
        <v>30</v>
      </c>
      <c r="Z212" s="12">
        <v>2061</v>
      </c>
      <c r="AA212" s="12">
        <v>174</v>
      </c>
      <c r="AB212" s="12">
        <v>14387</v>
      </c>
      <c r="AC212" s="12">
        <v>727</v>
      </c>
      <c r="AD212" s="12">
        <v>5790</v>
      </c>
      <c r="AE212" s="12">
        <v>0</v>
      </c>
      <c r="AF212" s="12">
        <v>0</v>
      </c>
      <c r="AG212" s="12">
        <v>0</v>
      </c>
      <c r="AH212" s="12">
        <v>0</v>
      </c>
      <c r="AI212" s="12">
        <v>0</v>
      </c>
      <c r="AJ212" s="12">
        <v>0</v>
      </c>
      <c r="AK212" s="12">
        <v>23325</v>
      </c>
      <c r="AL212" s="12">
        <v>78</v>
      </c>
      <c r="AM212" s="12">
        <v>5221</v>
      </c>
      <c r="AN212" s="13">
        <f t="shared" ref="AN212:AN275" si="14">Z212*5+AA212*28+AD212</f>
        <v>20967</v>
      </c>
    </row>
    <row r="213" ht="16.5" spans="1:40">
      <c r="A213">
        <f t="shared" si="12"/>
        <v>110</v>
      </c>
      <c r="B213">
        <f t="shared" ref="B213:B276" si="15">H213-H212</f>
        <v>79</v>
      </c>
      <c r="C213" s="112">
        <v>194</v>
      </c>
      <c r="D213" s="113">
        <v>100.350000000001</v>
      </c>
      <c r="E213" s="113">
        <v>114</v>
      </c>
      <c r="F213" s="113">
        <v>158.749999999999</v>
      </c>
      <c r="G213" s="113">
        <v>206</v>
      </c>
      <c r="H213" s="12">
        <v>37454</v>
      </c>
      <c r="I213" s="12">
        <v>0</v>
      </c>
      <c r="J213" s="12">
        <v>8826698</v>
      </c>
      <c r="K213" s="12">
        <v>492489</v>
      </c>
      <c r="L213" s="12">
        <v>9762</v>
      </c>
      <c r="M213" s="12">
        <f t="shared" si="13"/>
        <v>22666.7</v>
      </c>
      <c r="N213" s="12">
        <v>198</v>
      </c>
      <c r="O213" s="12">
        <v>1077810</v>
      </c>
      <c r="P213" s="12">
        <v>202513</v>
      </c>
      <c r="Q213" s="12">
        <v>58944</v>
      </c>
      <c r="R213" s="12">
        <v>15</v>
      </c>
      <c r="S213" s="12">
        <v>89</v>
      </c>
      <c r="T213" s="12">
        <v>645</v>
      </c>
      <c r="U213" s="12">
        <v>987</v>
      </c>
      <c r="V213" s="12">
        <v>564</v>
      </c>
      <c r="W213" s="12">
        <v>387</v>
      </c>
      <c r="X213" s="12">
        <v>190</v>
      </c>
      <c r="Y213" s="12">
        <v>30</v>
      </c>
      <c r="Z213" s="12">
        <v>2071</v>
      </c>
      <c r="AA213" s="12">
        <v>175</v>
      </c>
      <c r="AB213" s="12">
        <v>14453</v>
      </c>
      <c r="AC213" s="12">
        <v>730</v>
      </c>
      <c r="AD213" s="12">
        <v>5820</v>
      </c>
      <c r="AE213" s="12">
        <v>0</v>
      </c>
      <c r="AF213" s="12">
        <v>0</v>
      </c>
      <c r="AG213" s="12">
        <v>0</v>
      </c>
      <c r="AH213" s="12">
        <v>0</v>
      </c>
      <c r="AI213" s="12">
        <v>0</v>
      </c>
      <c r="AJ213" s="12">
        <v>0</v>
      </c>
      <c r="AK213" s="12">
        <v>23430</v>
      </c>
      <c r="AL213" s="12">
        <v>78</v>
      </c>
      <c r="AM213" s="12">
        <v>5245</v>
      </c>
      <c r="AN213" s="13">
        <f t="shared" si="14"/>
        <v>21075</v>
      </c>
    </row>
    <row r="214" ht="16.5" spans="1:40">
      <c r="A214">
        <f t="shared" si="12"/>
        <v>110</v>
      </c>
      <c r="B214">
        <f t="shared" si="15"/>
        <v>230</v>
      </c>
      <c r="C214" s="112">
        <v>195</v>
      </c>
      <c r="D214" s="113">
        <v>100.500000000001</v>
      </c>
      <c r="E214" s="113">
        <v>114.200000000001</v>
      </c>
      <c r="F214" s="113">
        <v>159.099999999999</v>
      </c>
      <c r="G214" s="113">
        <v>206.5</v>
      </c>
      <c r="H214" s="12">
        <v>37684</v>
      </c>
      <c r="I214" s="12">
        <v>0</v>
      </c>
      <c r="J214" s="12">
        <v>8872328</v>
      </c>
      <c r="K214" s="12">
        <v>495281</v>
      </c>
      <c r="L214" s="12">
        <v>9771</v>
      </c>
      <c r="M214" s="12">
        <f t="shared" si="13"/>
        <v>22776.7</v>
      </c>
      <c r="N214" s="12">
        <v>199</v>
      </c>
      <c r="O214" s="12">
        <v>1083945</v>
      </c>
      <c r="P214" s="12">
        <v>203586</v>
      </c>
      <c r="Q214" s="12">
        <v>59245</v>
      </c>
      <c r="R214" s="12">
        <v>15</v>
      </c>
      <c r="S214" s="12">
        <v>89</v>
      </c>
      <c r="T214" s="12">
        <v>645</v>
      </c>
      <c r="U214" s="12">
        <v>992</v>
      </c>
      <c r="V214" s="12">
        <v>568</v>
      </c>
      <c r="W214" s="12">
        <v>390</v>
      </c>
      <c r="X214" s="12">
        <v>192</v>
      </c>
      <c r="Y214" s="12">
        <v>31</v>
      </c>
      <c r="Z214" s="12">
        <v>2082</v>
      </c>
      <c r="AA214" s="12">
        <v>176</v>
      </c>
      <c r="AB214" s="12">
        <v>14519</v>
      </c>
      <c r="AC214" s="12">
        <v>734</v>
      </c>
      <c r="AD214" s="12">
        <v>5850</v>
      </c>
      <c r="AE214" s="12">
        <v>0</v>
      </c>
      <c r="AF214" s="12">
        <v>0</v>
      </c>
      <c r="AG214" s="12">
        <v>0</v>
      </c>
      <c r="AH214" s="12">
        <v>0</v>
      </c>
      <c r="AI214" s="12">
        <v>0</v>
      </c>
      <c r="AJ214" s="12">
        <v>0</v>
      </c>
      <c r="AK214" s="12">
        <v>23565</v>
      </c>
      <c r="AL214" s="12">
        <v>78</v>
      </c>
      <c r="AM214" s="12">
        <v>5274</v>
      </c>
      <c r="AN214" s="13">
        <f t="shared" si="14"/>
        <v>21188</v>
      </c>
    </row>
    <row r="215" ht="16.5" spans="1:40">
      <c r="A215">
        <f t="shared" si="12"/>
        <v>110</v>
      </c>
      <c r="B215">
        <f t="shared" si="15"/>
        <v>80</v>
      </c>
      <c r="C215" s="112">
        <v>196</v>
      </c>
      <c r="D215" s="113">
        <v>100.650000000001</v>
      </c>
      <c r="E215" s="113">
        <v>114.400000000001</v>
      </c>
      <c r="F215" s="113">
        <v>159.449999999999</v>
      </c>
      <c r="G215" s="113">
        <v>207</v>
      </c>
      <c r="H215" s="12">
        <v>37764</v>
      </c>
      <c r="I215" s="12">
        <v>0</v>
      </c>
      <c r="J215" s="12">
        <v>8916157</v>
      </c>
      <c r="K215" s="12">
        <v>497323</v>
      </c>
      <c r="L215" s="12">
        <v>9780</v>
      </c>
      <c r="M215" s="12">
        <f t="shared" si="13"/>
        <v>22886.7</v>
      </c>
      <c r="N215" s="12">
        <v>200</v>
      </c>
      <c r="O215" s="12">
        <v>1089579</v>
      </c>
      <c r="P215" s="12">
        <v>204620</v>
      </c>
      <c r="Q215" s="12">
        <v>59547</v>
      </c>
      <c r="R215" s="12">
        <v>15</v>
      </c>
      <c r="S215" s="12">
        <v>89</v>
      </c>
      <c r="T215" s="12">
        <v>645</v>
      </c>
      <c r="U215" s="12">
        <v>998</v>
      </c>
      <c r="V215" s="12">
        <v>573</v>
      </c>
      <c r="W215" s="12">
        <v>392</v>
      </c>
      <c r="X215" s="12">
        <v>193</v>
      </c>
      <c r="Y215" s="12">
        <v>31</v>
      </c>
      <c r="Z215" s="12">
        <v>2092</v>
      </c>
      <c r="AA215" s="12">
        <v>176</v>
      </c>
      <c r="AB215" s="12">
        <v>14584</v>
      </c>
      <c r="AC215" s="12">
        <v>738</v>
      </c>
      <c r="AD215" s="12">
        <v>5880</v>
      </c>
      <c r="AE215" s="12">
        <v>0</v>
      </c>
      <c r="AF215" s="12">
        <v>0</v>
      </c>
      <c r="AG215" s="12">
        <v>0</v>
      </c>
      <c r="AH215" s="12">
        <v>0</v>
      </c>
      <c r="AI215" s="12">
        <v>0</v>
      </c>
      <c r="AJ215" s="12">
        <v>0</v>
      </c>
      <c r="AK215" s="12">
        <v>23670</v>
      </c>
      <c r="AL215" s="12">
        <v>78</v>
      </c>
      <c r="AM215" s="12">
        <v>5298</v>
      </c>
      <c r="AN215" s="13">
        <f t="shared" si="14"/>
        <v>21268</v>
      </c>
    </row>
    <row r="216" ht="16.5" spans="1:40">
      <c r="A216">
        <f t="shared" si="12"/>
        <v>110</v>
      </c>
      <c r="B216">
        <f t="shared" si="15"/>
        <v>79</v>
      </c>
      <c r="C216" s="112">
        <v>197</v>
      </c>
      <c r="D216" s="113">
        <v>100.800000000001</v>
      </c>
      <c r="E216" s="113">
        <v>114.600000000001</v>
      </c>
      <c r="F216" s="113">
        <v>159.799999999999</v>
      </c>
      <c r="G216" s="113">
        <v>207.5</v>
      </c>
      <c r="H216" s="12">
        <v>37843</v>
      </c>
      <c r="I216" s="12">
        <v>0</v>
      </c>
      <c r="J216" s="12">
        <v>8960487</v>
      </c>
      <c r="K216" s="12">
        <v>499365</v>
      </c>
      <c r="L216" s="12">
        <v>9788</v>
      </c>
      <c r="M216" s="12">
        <f t="shared" si="13"/>
        <v>22996.7</v>
      </c>
      <c r="N216" s="12">
        <v>201</v>
      </c>
      <c r="O216" s="12">
        <v>1095214</v>
      </c>
      <c r="P216" s="12">
        <v>205654</v>
      </c>
      <c r="Q216" s="12">
        <v>59848</v>
      </c>
      <c r="R216" s="12">
        <v>15</v>
      </c>
      <c r="S216" s="12">
        <v>89</v>
      </c>
      <c r="T216" s="12">
        <v>645</v>
      </c>
      <c r="U216" s="12">
        <v>1003</v>
      </c>
      <c r="V216" s="12">
        <v>577</v>
      </c>
      <c r="W216" s="12">
        <v>395</v>
      </c>
      <c r="X216" s="12">
        <v>195</v>
      </c>
      <c r="Y216" s="12">
        <v>32</v>
      </c>
      <c r="Z216" s="12">
        <v>2103</v>
      </c>
      <c r="AA216" s="12">
        <v>177</v>
      </c>
      <c r="AB216" s="12">
        <v>14650</v>
      </c>
      <c r="AC216" s="12">
        <v>741</v>
      </c>
      <c r="AD216" s="12">
        <v>5910</v>
      </c>
      <c r="AE216" s="12">
        <v>0</v>
      </c>
      <c r="AF216" s="12">
        <v>0</v>
      </c>
      <c r="AG216" s="12">
        <v>0</v>
      </c>
      <c r="AH216" s="12">
        <v>0</v>
      </c>
      <c r="AI216" s="12">
        <v>0</v>
      </c>
      <c r="AJ216" s="12">
        <v>0</v>
      </c>
      <c r="AK216" s="12">
        <v>23775</v>
      </c>
      <c r="AL216" s="12">
        <v>78</v>
      </c>
      <c r="AM216" s="12">
        <v>5322</v>
      </c>
      <c r="AN216" s="13">
        <f t="shared" si="14"/>
        <v>21381</v>
      </c>
    </row>
    <row r="217" ht="16.5" spans="1:40">
      <c r="A217">
        <f t="shared" si="12"/>
        <v>110</v>
      </c>
      <c r="B217">
        <f t="shared" si="15"/>
        <v>230</v>
      </c>
      <c r="C217" s="112">
        <v>198</v>
      </c>
      <c r="D217" s="113">
        <v>100.950000000001</v>
      </c>
      <c r="E217" s="113">
        <v>114.800000000001</v>
      </c>
      <c r="F217" s="113">
        <v>160.149999999999</v>
      </c>
      <c r="G217" s="113">
        <v>208</v>
      </c>
      <c r="H217" s="12">
        <v>38073</v>
      </c>
      <c r="I217" s="12">
        <v>0</v>
      </c>
      <c r="J217" s="12">
        <v>9006166</v>
      </c>
      <c r="K217" s="12">
        <v>502157</v>
      </c>
      <c r="L217" s="12">
        <v>9797</v>
      </c>
      <c r="M217" s="12">
        <f t="shared" si="13"/>
        <v>23106.7</v>
      </c>
      <c r="N217" s="12">
        <v>202</v>
      </c>
      <c r="O217" s="12">
        <v>1101349</v>
      </c>
      <c r="P217" s="12">
        <v>206727</v>
      </c>
      <c r="Q217" s="12">
        <v>60149</v>
      </c>
      <c r="R217" s="12">
        <v>15</v>
      </c>
      <c r="S217" s="12">
        <v>89</v>
      </c>
      <c r="T217" s="12">
        <v>645</v>
      </c>
      <c r="U217" s="12">
        <v>1009</v>
      </c>
      <c r="V217" s="12">
        <v>582</v>
      </c>
      <c r="W217" s="12">
        <v>398</v>
      </c>
      <c r="X217" s="12">
        <v>197</v>
      </c>
      <c r="Y217" s="12">
        <v>33</v>
      </c>
      <c r="Z217" s="12">
        <v>2113</v>
      </c>
      <c r="AA217" s="12">
        <v>178</v>
      </c>
      <c r="AB217" s="12">
        <v>14716</v>
      </c>
      <c r="AC217" s="12">
        <v>745</v>
      </c>
      <c r="AD217" s="12">
        <v>5940</v>
      </c>
      <c r="AE217" s="12">
        <v>0</v>
      </c>
      <c r="AF217" s="12">
        <v>0</v>
      </c>
      <c r="AG217" s="12">
        <v>0</v>
      </c>
      <c r="AH217" s="12">
        <v>0</v>
      </c>
      <c r="AI217" s="12">
        <v>0</v>
      </c>
      <c r="AJ217" s="12">
        <v>0</v>
      </c>
      <c r="AK217" s="12">
        <v>23910</v>
      </c>
      <c r="AL217" s="12">
        <v>78</v>
      </c>
      <c r="AM217" s="12">
        <v>5350</v>
      </c>
      <c r="AN217" s="13">
        <f t="shared" si="14"/>
        <v>21489</v>
      </c>
    </row>
    <row r="218" ht="16.5" spans="1:40">
      <c r="A218">
        <f t="shared" si="12"/>
        <v>110</v>
      </c>
      <c r="B218">
        <f t="shared" si="15"/>
        <v>80</v>
      </c>
      <c r="C218" s="112">
        <v>199</v>
      </c>
      <c r="D218" s="113">
        <v>101.100000000001</v>
      </c>
      <c r="E218" s="113">
        <v>115.000000000001</v>
      </c>
      <c r="F218" s="113">
        <v>160.499999999999</v>
      </c>
      <c r="G218" s="113">
        <v>208.5</v>
      </c>
      <c r="H218" s="12">
        <v>38153</v>
      </c>
      <c r="I218" s="12">
        <v>0</v>
      </c>
      <c r="J218" s="12">
        <v>9050044</v>
      </c>
      <c r="K218" s="12">
        <v>504199</v>
      </c>
      <c r="L218" s="12">
        <v>9805</v>
      </c>
      <c r="M218" s="12">
        <f t="shared" si="13"/>
        <v>23216.7</v>
      </c>
      <c r="N218" s="12">
        <v>203</v>
      </c>
      <c r="O218" s="12">
        <v>1106983</v>
      </c>
      <c r="P218" s="12">
        <v>207761</v>
      </c>
      <c r="Q218" s="12">
        <v>60450</v>
      </c>
      <c r="R218" s="12">
        <v>15</v>
      </c>
      <c r="S218" s="12">
        <v>89</v>
      </c>
      <c r="T218" s="12">
        <v>645</v>
      </c>
      <c r="U218" s="12">
        <v>1015</v>
      </c>
      <c r="V218" s="12">
        <v>586</v>
      </c>
      <c r="W218" s="12">
        <v>400</v>
      </c>
      <c r="X218" s="12">
        <v>198</v>
      </c>
      <c r="Y218" s="12">
        <v>33</v>
      </c>
      <c r="Z218" s="12">
        <v>2124</v>
      </c>
      <c r="AA218" s="12">
        <v>179</v>
      </c>
      <c r="AB218" s="12">
        <v>14782</v>
      </c>
      <c r="AC218" s="12">
        <v>748</v>
      </c>
      <c r="AD218" s="12">
        <v>5970</v>
      </c>
      <c r="AE218" s="12">
        <v>0</v>
      </c>
      <c r="AF218" s="12">
        <v>0</v>
      </c>
      <c r="AG218" s="12">
        <v>0</v>
      </c>
      <c r="AH218" s="12">
        <v>0</v>
      </c>
      <c r="AI218" s="12">
        <v>0</v>
      </c>
      <c r="AJ218" s="12">
        <v>0</v>
      </c>
      <c r="AK218" s="12">
        <v>24015</v>
      </c>
      <c r="AL218" s="12">
        <v>78</v>
      </c>
      <c r="AM218" s="12">
        <v>5374</v>
      </c>
      <c r="AN218" s="13">
        <f t="shared" si="14"/>
        <v>21602</v>
      </c>
    </row>
    <row r="219" ht="16.5" spans="1:40">
      <c r="A219">
        <f t="shared" si="12"/>
        <v>110</v>
      </c>
      <c r="B219">
        <f t="shared" si="15"/>
        <v>79</v>
      </c>
      <c r="C219" s="112">
        <v>200</v>
      </c>
      <c r="D219" s="113">
        <v>101.250000000001</v>
      </c>
      <c r="E219" s="113">
        <v>115.200000000001</v>
      </c>
      <c r="F219" s="113">
        <v>160.849999999999</v>
      </c>
      <c r="G219" s="113">
        <v>209</v>
      </c>
      <c r="H219" s="12">
        <v>38232</v>
      </c>
      <c r="I219" s="12">
        <v>0</v>
      </c>
      <c r="J219" s="12">
        <v>9093923</v>
      </c>
      <c r="K219" s="12">
        <v>506242</v>
      </c>
      <c r="L219" s="12">
        <v>9814</v>
      </c>
      <c r="M219" s="12">
        <f t="shared" si="13"/>
        <v>23326.7</v>
      </c>
      <c r="N219" s="12">
        <v>204</v>
      </c>
      <c r="O219" s="12">
        <v>1112618</v>
      </c>
      <c r="P219" s="12">
        <v>208794</v>
      </c>
      <c r="Q219" s="12">
        <v>60752</v>
      </c>
      <c r="R219" s="12">
        <v>15</v>
      </c>
      <c r="S219" s="12">
        <v>89</v>
      </c>
      <c r="T219" s="12">
        <v>645</v>
      </c>
      <c r="U219" s="12">
        <v>1020</v>
      </c>
      <c r="V219" s="12">
        <v>591</v>
      </c>
      <c r="W219" s="12">
        <v>403</v>
      </c>
      <c r="X219" s="12">
        <v>200</v>
      </c>
      <c r="Y219" s="12">
        <v>34</v>
      </c>
      <c r="Z219" s="12">
        <v>2134</v>
      </c>
      <c r="AA219" s="12">
        <v>180</v>
      </c>
      <c r="AB219" s="12">
        <v>14847</v>
      </c>
      <c r="AC219" s="12">
        <v>752</v>
      </c>
      <c r="AD219" s="12">
        <v>6000</v>
      </c>
      <c r="AE219" s="12">
        <v>0</v>
      </c>
      <c r="AF219" s="12">
        <v>0</v>
      </c>
      <c r="AG219" s="12">
        <v>0</v>
      </c>
      <c r="AH219" s="12">
        <v>0</v>
      </c>
      <c r="AI219" s="12">
        <v>0</v>
      </c>
      <c r="AJ219" s="12">
        <v>0</v>
      </c>
      <c r="AK219" s="12">
        <v>24120</v>
      </c>
      <c r="AL219" s="12">
        <v>78</v>
      </c>
      <c r="AM219" s="12">
        <v>5398</v>
      </c>
      <c r="AN219" s="13">
        <f t="shared" si="14"/>
        <v>21710</v>
      </c>
    </row>
    <row r="220" ht="16.5" spans="1:40">
      <c r="A220">
        <f t="shared" si="12"/>
        <v>110</v>
      </c>
      <c r="B220">
        <f t="shared" si="15"/>
        <v>230</v>
      </c>
      <c r="C220" s="112">
        <v>201</v>
      </c>
      <c r="D220" s="113">
        <v>101.400000000001</v>
      </c>
      <c r="E220" s="113">
        <v>115.400000000001</v>
      </c>
      <c r="F220" s="113">
        <v>161.199999999999</v>
      </c>
      <c r="G220" s="113">
        <v>209.5</v>
      </c>
      <c r="H220" s="12">
        <v>38462</v>
      </c>
      <c r="I220" s="12">
        <v>0</v>
      </c>
      <c r="J220" s="12">
        <v>9177651</v>
      </c>
      <c r="K220" s="12">
        <v>509034</v>
      </c>
      <c r="L220" s="12">
        <v>9822</v>
      </c>
      <c r="M220" s="12">
        <f t="shared" si="13"/>
        <v>23436.7</v>
      </c>
      <c r="N220" s="12">
        <v>206</v>
      </c>
      <c r="O220" s="12">
        <v>1118753</v>
      </c>
      <c r="P220" s="12">
        <v>209868</v>
      </c>
      <c r="Q220" s="12">
        <v>61053</v>
      </c>
      <c r="R220" s="12">
        <v>15</v>
      </c>
      <c r="S220" s="12">
        <v>89</v>
      </c>
      <c r="T220" s="12">
        <v>645</v>
      </c>
      <c r="U220" s="12">
        <v>1026</v>
      </c>
      <c r="V220" s="12">
        <v>595</v>
      </c>
      <c r="W220" s="12">
        <v>406</v>
      </c>
      <c r="X220" s="12">
        <v>202</v>
      </c>
      <c r="Y220" s="12">
        <v>34</v>
      </c>
      <c r="Z220" s="12">
        <v>2146</v>
      </c>
      <c r="AA220" s="12">
        <v>181</v>
      </c>
      <c r="AB220" s="12">
        <v>14913</v>
      </c>
      <c r="AC220" s="12">
        <v>755</v>
      </c>
      <c r="AD220" s="12">
        <v>6030</v>
      </c>
      <c r="AE220" s="12">
        <v>0</v>
      </c>
      <c r="AF220" s="12">
        <v>0</v>
      </c>
      <c r="AG220" s="12">
        <v>0</v>
      </c>
      <c r="AH220" s="12">
        <v>0</v>
      </c>
      <c r="AI220" s="12">
        <v>0</v>
      </c>
      <c r="AJ220" s="12">
        <v>0</v>
      </c>
      <c r="AK220" s="12">
        <v>24225</v>
      </c>
      <c r="AL220" s="12">
        <v>81</v>
      </c>
      <c r="AM220" s="12">
        <v>5427</v>
      </c>
      <c r="AN220" s="13">
        <f t="shared" si="14"/>
        <v>21828</v>
      </c>
    </row>
    <row r="221" ht="16.5" spans="1:40">
      <c r="A221">
        <f t="shared" ref="A221:A284" si="16">M221-M220</f>
        <v>110</v>
      </c>
      <c r="B221">
        <f t="shared" si="15"/>
        <v>80</v>
      </c>
      <c r="C221" s="112">
        <v>202</v>
      </c>
      <c r="D221" s="113">
        <v>101.550000000001</v>
      </c>
      <c r="E221" s="113">
        <v>115.600000000001</v>
      </c>
      <c r="F221" s="113">
        <v>161.549999999999</v>
      </c>
      <c r="G221" s="113">
        <v>210</v>
      </c>
      <c r="H221" s="12">
        <v>38542</v>
      </c>
      <c r="I221" s="12">
        <v>0</v>
      </c>
      <c r="J221" s="12">
        <v>9221578</v>
      </c>
      <c r="K221" s="12">
        <v>511076</v>
      </c>
      <c r="L221" s="12">
        <v>9831</v>
      </c>
      <c r="M221" s="12">
        <f t="shared" si="13"/>
        <v>23546.7</v>
      </c>
      <c r="N221" s="12">
        <v>206</v>
      </c>
      <c r="O221" s="12">
        <v>1124388</v>
      </c>
      <c r="P221" s="12">
        <v>210902</v>
      </c>
      <c r="Q221" s="12">
        <v>61354</v>
      </c>
      <c r="R221" s="12">
        <v>15</v>
      </c>
      <c r="S221" s="12">
        <v>89</v>
      </c>
      <c r="T221" s="12">
        <v>645</v>
      </c>
      <c r="U221" s="12">
        <v>1031</v>
      </c>
      <c r="V221" s="12">
        <v>600</v>
      </c>
      <c r="W221" s="12">
        <v>408</v>
      </c>
      <c r="X221" s="12">
        <v>203</v>
      </c>
      <c r="Y221" s="12">
        <v>35</v>
      </c>
      <c r="Z221" s="12">
        <v>2156</v>
      </c>
      <c r="AA221" s="12">
        <v>181</v>
      </c>
      <c r="AB221" s="12">
        <v>14979</v>
      </c>
      <c r="AC221" s="12">
        <v>759</v>
      </c>
      <c r="AD221" s="12">
        <v>6060</v>
      </c>
      <c r="AE221" s="12">
        <v>0</v>
      </c>
      <c r="AF221" s="12">
        <v>0</v>
      </c>
      <c r="AG221" s="12">
        <v>0</v>
      </c>
      <c r="AH221" s="12">
        <v>0</v>
      </c>
      <c r="AI221" s="12">
        <v>0</v>
      </c>
      <c r="AJ221" s="12">
        <v>0</v>
      </c>
      <c r="AK221" s="12">
        <v>24330</v>
      </c>
      <c r="AL221" s="12">
        <v>81</v>
      </c>
      <c r="AM221" s="12">
        <v>5451</v>
      </c>
      <c r="AN221" s="13">
        <f t="shared" si="14"/>
        <v>21908</v>
      </c>
    </row>
    <row r="222" ht="16.5" spans="1:40">
      <c r="A222">
        <f t="shared" si="16"/>
        <v>110</v>
      </c>
      <c r="B222">
        <f t="shared" si="15"/>
        <v>79</v>
      </c>
      <c r="C222" s="112">
        <v>203</v>
      </c>
      <c r="D222" s="113">
        <v>101.700000000001</v>
      </c>
      <c r="E222" s="113">
        <v>115.800000000001</v>
      </c>
      <c r="F222" s="113">
        <v>161.899999999999</v>
      </c>
      <c r="G222" s="113">
        <v>210.5</v>
      </c>
      <c r="H222" s="12">
        <v>38621</v>
      </c>
      <c r="I222" s="12">
        <v>0</v>
      </c>
      <c r="J222" s="12">
        <v>9265506</v>
      </c>
      <c r="K222" s="12">
        <v>513118</v>
      </c>
      <c r="L222" s="12">
        <v>9840</v>
      </c>
      <c r="M222" s="12">
        <f t="shared" si="13"/>
        <v>23656.7</v>
      </c>
      <c r="N222" s="12">
        <v>207</v>
      </c>
      <c r="O222" s="12">
        <v>1130022</v>
      </c>
      <c r="P222" s="12">
        <v>211935</v>
      </c>
      <c r="Q222" s="12">
        <v>61655</v>
      </c>
      <c r="R222" s="12">
        <v>15</v>
      </c>
      <c r="S222" s="12">
        <v>89</v>
      </c>
      <c r="T222" s="12">
        <v>645</v>
      </c>
      <c r="U222" s="12">
        <v>1037</v>
      </c>
      <c r="V222" s="12">
        <v>604</v>
      </c>
      <c r="W222" s="12">
        <v>411</v>
      </c>
      <c r="X222" s="12">
        <v>205</v>
      </c>
      <c r="Y222" s="12">
        <v>36</v>
      </c>
      <c r="Z222" s="12">
        <v>2166</v>
      </c>
      <c r="AA222" s="12">
        <v>182</v>
      </c>
      <c r="AB222" s="12">
        <v>15044</v>
      </c>
      <c r="AC222" s="12">
        <v>762</v>
      </c>
      <c r="AD222" s="12">
        <v>6090</v>
      </c>
      <c r="AE222" s="12">
        <v>0</v>
      </c>
      <c r="AF222" s="12">
        <v>0</v>
      </c>
      <c r="AG222" s="12">
        <v>0</v>
      </c>
      <c r="AH222" s="12">
        <v>0</v>
      </c>
      <c r="AI222" s="12">
        <v>0</v>
      </c>
      <c r="AJ222" s="12">
        <v>0</v>
      </c>
      <c r="AK222" s="12">
        <v>24435</v>
      </c>
      <c r="AL222" s="12">
        <v>81</v>
      </c>
      <c r="AM222" s="12">
        <v>5475</v>
      </c>
      <c r="AN222" s="13">
        <f t="shared" si="14"/>
        <v>22016</v>
      </c>
    </row>
    <row r="223" ht="16.5" spans="1:40">
      <c r="A223">
        <f t="shared" si="16"/>
        <v>110</v>
      </c>
      <c r="B223">
        <f t="shared" si="15"/>
        <v>230</v>
      </c>
      <c r="C223" s="112">
        <v>204</v>
      </c>
      <c r="D223" s="113">
        <v>101.850000000001</v>
      </c>
      <c r="E223" s="113">
        <v>116.000000000001</v>
      </c>
      <c r="F223" s="113">
        <v>162.249999999999</v>
      </c>
      <c r="G223" s="113">
        <v>211</v>
      </c>
      <c r="H223" s="12">
        <v>38851</v>
      </c>
      <c r="I223" s="12">
        <v>0</v>
      </c>
      <c r="J223" s="12">
        <v>9325403</v>
      </c>
      <c r="K223" s="12">
        <v>515910</v>
      </c>
      <c r="L223" s="12">
        <v>9848</v>
      </c>
      <c r="M223" s="12">
        <f t="shared" si="13"/>
        <v>23766.7</v>
      </c>
      <c r="N223" s="12">
        <v>208</v>
      </c>
      <c r="O223" s="12">
        <v>1136198</v>
      </c>
      <c r="P223" s="12">
        <v>213009</v>
      </c>
      <c r="Q223" s="12">
        <v>61957</v>
      </c>
      <c r="R223" s="12">
        <v>15</v>
      </c>
      <c r="S223" s="12">
        <v>89</v>
      </c>
      <c r="T223" s="12">
        <v>645</v>
      </c>
      <c r="U223" s="12">
        <v>1041</v>
      </c>
      <c r="V223" s="12">
        <v>609</v>
      </c>
      <c r="W223" s="12">
        <v>414</v>
      </c>
      <c r="X223" s="12">
        <v>207</v>
      </c>
      <c r="Y223" s="12">
        <v>36</v>
      </c>
      <c r="Z223" s="12">
        <v>2177</v>
      </c>
      <c r="AA223" s="12">
        <v>183</v>
      </c>
      <c r="AB223" s="12">
        <v>15110</v>
      </c>
      <c r="AC223" s="12">
        <v>766</v>
      </c>
      <c r="AD223" s="12">
        <v>6120</v>
      </c>
      <c r="AE223" s="12">
        <v>0</v>
      </c>
      <c r="AF223" s="12">
        <v>0</v>
      </c>
      <c r="AG223" s="12">
        <v>0</v>
      </c>
      <c r="AH223" s="12">
        <v>0</v>
      </c>
      <c r="AI223" s="12">
        <v>0</v>
      </c>
      <c r="AJ223" s="12">
        <v>0</v>
      </c>
      <c r="AK223" s="12">
        <v>24570</v>
      </c>
      <c r="AL223" s="12">
        <v>81</v>
      </c>
      <c r="AM223" s="12">
        <v>5504</v>
      </c>
      <c r="AN223" s="13">
        <f t="shared" si="14"/>
        <v>22129</v>
      </c>
    </row>
    <row r="224" ht="16.5" spans="1:40">
      <c r="A224">
        <f t="shared" si="16"/>
        <v>110</v>
      </c>
      <c r="B224">
        <f t="shared" si="15"/>
        <v>80</v>
      </c>
      <c r="C224" s="112">
        <v>205</v>
      </c>
      <c r="D224" s="113">
        <v>102.000000000001</v>
      </c>
      <c r="E224" s="113">
        <v>116.200000000001</v>
      </c>
      <c r="F224" s="113">
        <v>162.599999999999</v>
      </c>
      <c r="G224" s="113">
        <v>211.5</v>
      </c>
      <c r="H224" s="12">
        <v>38931</v>
      </c>
      <c r="I224" s="12">
        <v>0</v>
      </c>
      <c r="J224" s="12">
        <v>9369499</v>
      </c>
      <c r="K224" s="12">
        <v>517953</v>
      </c>
      <c r="L224" s="12">
        <v>9857</v>
      </c>
      <c r="M224" s="12">
        <f t="shared" si="13"/>
        <v>23876.7</v>
      </c>
      <c r="N224" s="12">
        <v>209</v>
      </c>
      <c r="O224" s="12">
        <v>1141875</v>
      </c>
      <c r="P224" s="12">
        <v>214042</v>
      </c>
      <c r="Q224" s="12">
        <v>62258</v>
      </c>
      <c r="R224" s="12">
        <v>15</v>
      </c>
      <c r="S224" s="12">
        <v>89</v>
      </c>
      <c r="T224" s="12">
        <v>645</v>
      </c>
      <c r="U224" s="12">
        <v>1046</v>
      </c>
      <c r="V224" s="12">
        <v>615</v>
      </c>
      <c r="W224" s="12">
        <v>417</v>
      </c>
      <c r="X224" s="12">
        <v>208</v>
      </c>
      <c r="Y224" s="12">
        <v>37</v>
      </c>
      <c r="Z224" s="12">
        <v>2187</v>
      </c>
      <c r="AA224" s="12">
        <v>184</v>
      </c>
      <c r="AB224" s="12">
        <v>15176</v>
      </c>
      <c r="AC224" s="12">
        <v>769</v>
      </c>
      <c r="AD224" s="12">
        <v>6150</v>
      </c>
      <c r="AE224" s="12">
        <v>0</v>
      </c>
      <c r="AF224" s="12">
        <v>0</v>
      </c>
      <c r="AG224" s="12">
        <v>0</v>
      </c>
      <c r="AH224" s="12">
        <v>0</v>
      </c>
      <c r="AI224" s="12">
        <v>0</v>
      </c>
      <c r="AJ224" s="12">
        <v>0</v>
      </c>
      <c r="AK224" s="12">
        <v>24675</v>
      </c>
      <c r="AL224" s="12">
        <v>81</v>
      </c>
      <c r="AM224" s="12">
        <v>5527</v>
      </c>
      <c r="AN224" s="13">
        <f t="shared" si="14"/>
        <v>22237</v>
      </c>
    </row>
    <row r="225" ht="16.5" spans="1:40">
      <c r="A225">
        <f t="shared" si="16"/>
        <v>110</v>
      </c>
      <c r="B225">
        <f t="shared" si="15"/>
        <v>79</v>
      </c>
      <c r="C225" s="112">
        <v>206</v>
      </c>
      <c r="D225" s="113">
        <v>102.150000000001</v>
      </c>
      <c r="E225" s="113">
        <v>116.400000000001</v>
      </c>
      <c r="F225" s="113">
        <v>162.949999999999</v>
      </c>
      <c r="G225" s="113">
        <v>212</v>
      </c>
      <c r="H225" s="12">
        <v>39010</v>
      </c>
      <c r="I225" s="12">
        <v>0</v>
      </c>
      <c r="J225" s="12">
        <v>9413596</v>
      </c>
      <c r="K225" s="12">
        <v>519995</v>
      </c>
      <c r="L225" s="12">
        <v>9865</v>
      </c>
      <c r="M225" s="12">
        <f t="shared" si="13"/>
        <v>23986.7</v>
      </c>
      <c r="N225" s="12">
        <v>210</v>
      </c>
      <c r="O225" s="12">
        <v>1147551</v>
      </c>
      <c r="P225" s="12">
        <v>215076</v>
      </c>
      <c r="Q225" s="12">
        <v>62559</v>
      </c>
      <c r="R225" s="12">
        <v>15</v>
      </c>
      <c r="S225" s="12">
        <v>89</v>
      </c>
      <c r="T225" s="12">
        <v>645</v>
      </c>
      <c r="U225" s="12">
        <v>1050</v>
      </c>
      <c r="V225" s="12">
        <v>620</v>
      </c>
      <c r="W225" s="12">
        <v>420</v>
      </c>
      <c r="X225" s="12">
        <v>210</v>
      </c>
      <c r="Y225" s="12">
        <v>38</v>
      </c>
      <c r="Z225" s="12">
        <v>2198</v>
      </c>
      <c r="AA225" s="12">
        <v>185</v>
      </c>
      <c r="AB225" s="12">
        <v>15242</v>
      </c>
      <c r="AC225" s="12">
        <v>773</v>
      </c>
      <c r="AD225" s="12">
        <v>6180</v>
      </c>
      <c r="AE225" s="12">
        <v>0</v>
      </c>
      <c r="AF225" s="12">
        <v>0</v>
      </c>
      <c r="AG225" s="12">
        <v>0</v>
      </c>
      <c r="AH225" s="12">
        <v>0</v>
      </c>
      <c r="AI225" s="12">
        <v>0</v>
      </c>
      <c r="AJ225" s="12">
        <v>0</v>
      </c>
      <c r="AK225" s="12">
        <v>24780</v>
      </c>
      <c r="AL225" s="12">
        <v>81</v>
      </c>
      <c r="AM225" s="12">
        <v>5551</v>
      </c>
      <c r="AN225" s="13">
        <f t="shared" si="14"/>
        <v>22350</v>
      </c>
    </row>
    <row r="226" ht="16.5" spans="1:40">
      <c r="A226">
        <f t="shared" si="16"/>
        <v>110</v>
      </c>
      <c r="B226">
        <f t="shared" si="15"/>
        <v>230</v>
      </c>
      <c r="C226" s="112">
        <v>207</v>
      </c>
      <c r="D226" s="113">
        <v>102.300000000001</v>
      </c>
      <c r="E226" s="113">
        <v>116.600000000001</v>
      </c>
      <c r="F226" s="113">
        <v>163.299999999999</v>
      </c>
      <c r="G226" s="113">
        <v>212.5</v>
      </c>
      <c r="H226" s="12">
        <v>39240</v>
      </c>
      <c r="I226" s="12">
        <v>0</v>
      </c>
      <c r="J226" s="12">
        <v>9459542</v>
      </c>
      <c r="K226" s="12">
        <v>522787</v>
      </c>
      <c r="L226" s="12">
        <v>9874</v>
      </c>
      <c r="M226" s="12">
        <f t="shared" si="13"/>
        <v>24096.7</v>
      </c>
      <c r="N226" s="12">
        <v>211</v>
      </c>
      <c r="O226" s="12">
        <v>1153727</v>
      </c>
      <c r="P226" s="12">
        <v>216150</v>
      </c>
      <c r="Q226" s="12">
        <v>62860</v>
      </c>
      <c r="R226" s="12">
        <v>15</v>
      </c>
      <c r="S226" s="12">
        <v>89</v>
      </c>
      <c r="T226" s="12">
        <v>645</v>
      </c>
      <c r="U226" s="12">
        <v>1054</v>
      </c>
      <c r="V226" s="12">
        <v>625</v>
      </c>
      <c r="W226" s="12">
        <v>423</v>
      </c>
      <c r="X226" s="12">
        <v>212</v>
      </c>
      <c r="Y226" s="12">
        <v>38</v>
      </c>
      <c r="Z226" s="12">
        <v>2208</v>
      </c>
      <c r="AA226" s="12">
        <v>186</v>
      </c>
      <c r="AB226" s="12">
        <v>15307</v>
      </c>
      <c r="AC226" s="12">
        <v>777</v>
      </c>
      <c r="AD226" s="12">
        <v>6210</v>
      </c>
      <c r="AE226" s="12">
        <v>0</v>
      </c>
      <c r="AF226" s="12">
        <v>0</v>
      </c>
      <c r="AG226" s="12">
        <v>0</v>
      </c>
      <c r="AH226" s="12">
        <v>0</v>
      </c>
      <c r="AI226" s="12">
        <v>0</v>
      </c>
      <c r="AJ226" s="12">
        <v>0</v>
      </c>
      <c r="AK226" s="12">
        <v>24915</v>
      </c>
      <c r="AL226" s="12">
        <v>81</v>
      </c>
      <c r="AM226" s="12">
        <v>5580</v>
      </c>
      <c r="AN226" s="13">
        <f t="shared" si="14"/>
        <v>22458</v>
      </c>
    </row>
    <row r="227" ht="16.5" spans="1:40">
      <c r="A227">
        <f t="shared" si="16"/>
        <v>110</v>
      </c>
      <c r="B227">
        <f t="shared" si="15"/>
        <v>80</v>
      </c>
      <c r="C227" s="112">
        <v>208</v>
      </c>
      <c r="D227" s="113">
        <v>102.450000000001</v>
      </c>
      <c r="E227" s="113">
        <v>116.800000000001</v>
      </c>
      <c r="F227" s="113">
        <v>163.649999999999</v>
      </c>
      <c r="G227" s="113">
        <v>213</v>
      </c>
      <c r="H227" s="12">
        <v>39320</v>
      </c>
      <c r="I227" s="12">
        <v>0</v>
      </c>
      <c r="J227" s="12">
        <v>9503688</v>
      </c>
      <c r="K227" s="12">
        <v>524829</v>
      </c>
      <c r="L227" s="12">
        <v>9882</v>
      </c>
      <c r="M227" s="12">
        <f t="shared" si="13"/>
        <v>24206.7</v>
      </c>
      <c r="N227" s="12">
        <v>212</v>
      </c>
      <c r="O227" s="12">
        <v>1159403</v>
      </c>
      <c r="P227" s="12">
        <v>217183</v>
      </c>
      <c r="Q227" s="12">
        <v>63162</v>
      </c>
      <c r="R227" s="12">
        <v>15</v>
      </c>
      <c r="S227" s="12">
        <v>89</v>
      </c>
      <c r="T227" s="12">
        <v>645</v>
      </c>
      <c r="U227" s="12">
        <v>1059</v>
      </c>
      <c r="V227" s="12">
        <v>630</v>
      </c>
      <c r="W227" s="12">
        <v>425</v>
      </c>
      <c r="X227" s="12">
        <v>214</v>
      </c>
      <c r="Y227" s="12">
        <v>39</v>
      </c>
      <c r="Z227" s="12">
        <v>2219</v>
      </c>
      <c r="AA227" s="12">
        <v>186</v>
      </c>
      <c r="AB227" s="12">
        <v>15373</v>
      </c>
      <c r="AC227" s="12">
        <v>780</v>
      </c>
      <c r="AD227" s="12">
        <v>6240</v>
      </c>
      <c r="AE227" s="12">
        <v>0</v>
      </c>
      <c r="AF227" s="12">
        <v>0</v>
      </c>
      <c r="AG227" s="12">
        <v>0</v>
      </c>
      <c r="AH227" s="12">
        <v>0</v>
      </c>
      <c r="AI227" s="12">
        <v>0</v>
      </c>
      <c r="AJ227" s="12">
        <v>0</v>
      </c>
      <c r="AK227" s="12">
        <v>25020</v>
      </c>
      <c r="AL227" s="12">
        <v>81</v>
      </c>
      <c r="AM227" s="12">
        <v>5604</v>
      </c>
      <c r="AN227" s="13">
        <f t="shared" si="14"/>
        <v>22543</v>
      </c>
    </row>
    <row r="228" ht="16.5" spans="1:40">
      <c r="A228">
        <f t="shared" si="16"/>
        <v>110</v>
      </c>
      <c r="B228">
        <f t="shared" si="15"/>
        <v>79</v>
      </c>
      <c r="C228" s="112">
        <v>209</v>
      </c>
      <c r="D228" s="113">
        <v>102.600000000001</v>
      </c>
      <c r="E228" s="113">
        <v>117.000000000001</v>
      </c>
      <c r="F228" s="113">
        <v>163.999999999999</v>
      </c>
      <c r="G228" s="113">
        <v>213.5</v>
      </c>
      <c r="H228" s="12">
        <v>39399</v>
      </c>
      <c r="I228" s="12">
        <v>0</v>
      </c>
      <c r="J228" s="12">
        <v>9547833</v>
      </c>
      <c r="K228" s="12">
        <v>526871</v>
      </c>
      <c r="L228" s="12">
        <v>9891</v>
      </c>
      <c r="M228" s="12">
        <f t="shared" si="13"/>
        <v>24316.7</v>
      </c>
      <c r="N228" s="12">
        <v>213</v>
      </c>
      <c r="O228" s="12">
        <v>1165079</v>
      </c>
      <c r="P228" s="12">
        <v>218217</v>
      </c>
      <c r="Q228" s="12">
        <v>63463</v>
      </c>
      <c r="R228" s="12">
        <v>15</v>
      </c>
      <c r="S228" s="12">
        <v>89</v>
      </c>
      <c r="T228" s="12">
        <v>645</v>
      </c>
      <c r="U228" s="12">
        <v>1063</v>
      </c>
      <c r="V228" s="12">
        <v>636</v>
      </c>
      <c r="W228" s="12">
        <v>428</v>
      </c>
      <c r="X228" s="12">
        <v>216</v>
      </c>
      <c r="Y228" s="12">
        <v>40</v>
      </c>
      <c r="Z228" s="12">
        <v>2229</v>
      </c>
      <c r="AA228" s="12">
        <v>187</v>
      </c>
      <c r="AB228" s="12">
        <v>15439</v>
      </c>
      <c r="AC228" s="12">
        <v>784</v>
      </c>
      <c r="AD228" s="12">
        <v>6270</v>
      </c>
      <c r="AE228" s="12">
        <v>0</v>
      </c>
      <c r="AF228" s="12">
        <v>0</v>
      </c>
      <c r="AG228" s="12">
        <v>0</v>
      </c>
      <c r="AH228" s="12">
        <v>0</v>
      </c>
      <c r="AI228" s="12">
        <v>0</v>
      </c>
      <c r="AJ228" s="12">
        <v>0</v>
      </c>
      <c r="AK228" s="12">
        <v>25125</v>
      </c>
      <c r="AL228" s="12">
        <v>81</v>
      </c>
      <c r="AM228" s="12">
        <v>5628</v>
      </c>
      <c r="AN228" s="13">
        <f t="shared" si="14"/>
        <v>22651</v>
      </c>
    </row>
    <row r="229" ht="16.5" spans="1:40">
      <c r="A229">
        <f t="shared" si="16"/>
        <v>110</v>
      </c>
      <c r="B229">
        <f t="shared" si="15"/>
        <v>230</v>
      </c>
      <c r="C229" s="112">
        <v>210</v>
      </c>
      <c r="D229" s="113">
        <v>102.750000000001</v>
      </c>
      <c r="E229" s="113">
        <v>117.200000000001</v>
      </c>
      <c r="F229" s="113">
        <v>164.349999999999</v>
      </c>
      <c r="G229" s="113">
        <v>214</v>
      </c>
      <c r="H229" s="12">
        <v>39629</v>
      </c>
      <c r="I229" s="12">
        <v>0</v>
      </c>
      <c r="J229" s="12">
        <v>9593828</v>
      </c>
      <c r="K229" s="12">
        <v>529663</v>
      </c>
      <c r="L229" s="12">
        <v>9900</v>
      </c>
      <c r="M229" s="12">
        <f t="shared" si="13"/>
        <v>24426.7</v>
      </c>
      <c r="N229" s="12">
        <v>214</v>
      </c>
      <c r="O229" s="12">
        <v>1171255</v>
      </c>
      <c r="P229" s="12">
        <v>219290</v>
      </c>
      <c r="Q229" s="12">
        <v>63764</v>
      </c>
      <c r="R229" s="12">
        <v>15</v>
      </c>
      <c r="S229" s="12">
        <v>89</v>
      </c>
      <c r="T229" s="12">
        <v>645</v>
      </c>
      <c r="U229" s="12">
        <v>1068</v>
      </c>
      <c r="V229" s="12">
        <v>641</v>
      </c>
      <c r="W229" s="12">
        <v>431</v>
      </c>
      <c r="X229" s="12">
        <v>217</v>
      </c>
      <c r="Y229" s="12">
        <v>40</v>
      </c>
      <c r="Z229" s="12">
        <v>2239</v>
      </c>
      <c r="AA229" s="12">
        <v>188</v>
      </c>
      <c r="AB229" s="12">
        <v>15504</v>
      </c>
      <c r="AC229" s="12">
        <v>787</v>
      </c>
      <c r="AD229" s="12">
        <v>6300</v>
      </c>
      <c r="AE229" s="12">
        <v>0</v>
      </c>
      <c r="AF229" s="12">
        <v>0</v>
      </c>
      <c r="AG229" s="12">
        <v>0</v>
      </c>
      <c r="AH229" s="12">
        <v>0</v>
      </c>
      <c r="AI229" s="12">
        <v>0</v>
      </c>
      <c r="AJ229" s="12">
        <v>0</v>
      </c>
      <c r="AK229" s="12">
        <v>25260</v>
      </c>
      <c r="AL229" s="12">
        <v>81</v>
      </c>
      <c r="AM229" s="12">
        <v>5657</v>
      </c>
      <c r="AN229" s="13">
        <f t="shared" si="14"/>
        <v>22759</v>
      </c>
    </row>
    <row r="230" ht="16.5" spans="1:40">
      <c r="A230">
        <f t="shared" si="16"/>
        <v>110</v>
      </c>
      <c r="B230">
        <f t="shared" si="15"/>
        <v>80</v>
      </c>
      <c r="C230" s="112">
        <v>211</v>
      </c>
      <c r="D230" s="113">
        <v>102.900000000001</v>
      </c>
      <c r="E230" s="113">
        <v>117.400000000001</v>
      </c>
      <c r="F230" s="113">
        <v>164.699999999999</v>
      </c>
      <c r="G230" s="113">
        <v>214.5</v>
      </c>
      <c r="H230" s="12">
        <v>39709</v>
      </c>
      <c r="I230" s="12">
        <v>0</v>
      </c>
      <c r="J230" s="12">
        <v>9638523</v>
      </c>
      <c r="K230" s="12">
        <v>531706</v>
      </c>
      <c r="L230" s="12">
        <v>9908</v>
      </c>
      <c r="M230" s="12">
        <f t="shared" si="13"/>
        <v>24536.7</v>
      </c>
      <c r="N230" s="12">
        <v>214</v>
      </c>
      <c r="O230" s="12">
        <v>1176931</v>
      </c>
      <c r="P230" s="12">
        <v>220324</v>
      </c>
      <c r="Q230" s="12">
        <v>64066</v>
      </c>
      <c r="R230" s="12">
        <v>15</v>
      </c>
      <c r="S230" s="12">
        <v>89</v>
      </c>
      <c r="T230" s="12">
        <v>645</v>
      </c>
      <c r="U230" s="12">
        <v>1072</v>
      </c>
      <c r="V230" s="12">
        <v>646</v>
      </c>
      <c r="W230" s="12">
        <v>434</v>
      </c>
      <c r="X230" s="12">
        <v>219</v>
      </c>
      <c r="Y230" s="12">
        <v>41</v>
      </c>
      <c r="Z230" s="12">
        <v>2250</v>
      </c>
      <c r="AA230" s="12">
        <v>189</v>
      </c>
      <c r="AB230" s="12">
        <v>15570</v>
      </c>
      <c r="AC230" s="12">
        <v>791</v>
      </c>
      <c r="AD230" s="12">
        <v>6330</v>
      </c>
      <c r="AE230" s="12">
        <v>0</v>
      </c>
      <c r="AF230" s="12">
        <v>0</v>
      </c>
      <c r="AG230" s="12">
        <v>0</v>
      </c>
      <c r="AH230" s="12">
        <v>0</v>
      </c>
      <c r="AI230" s="12">
        <v>0</v>
      </c>
      <c r="AJ230" s="12">
        <v>0</v>
      </c>
      <c r="AK230" s="12">
        <v>25365</v>
      </c>
      <c r="AL230" s="12">
        <v>81</v>
      </c>
      <c r="AM230" s="12">
        <v>5681</v>
      </c>
      <c r="AN230" s="13">
        <f t="shared" si="14"/>
        <v>22872</v>
      </c>
    </row>
    <row r="231" ht="16.5" spans="1:40">
      <c r="A231">
        <f t="shared" si="16"/>
        <v>110</v>
      </c>
      <c r="B231">
        <f t="shared" si="15"/>
        <v>79</v>
      </c>
      <c r="C231" s="112">
        <v>212</v>
      </c>
      <c r="D231" s="113">
        <v>103.050000000001</v>
      </c>
      <c r="E231" s="113">
        <v>117.600000000001</v>
      </c>
      <c r="F231" s="113">
        <v>165.049999999999</v>
      </c>
      <c r="G231" s="113">
        <v>215</v>
      </c>
      <c r="H231" s="12">
        <v>39788</v>
      </c>
      <c r="I231" s="12">
        <v>0</v>
      </c>
      <c r="J231" s="12">
        <v>9682717</v>
      </c>
      <c r="K231" s="12">
        <v>533748</v>
      </c>
      <c r="L231" s="12">
        <v>9917</v>
      </c>
      <c r="M231" s="12">
        <f t="shared" si="13"/>
        <v>24646.7</v>
      </c>
      <c r="N231" s="12">
        <v>215</v>
      </c>
      <c r="O231" s="12">
        <v>1182607</v>
      </c>
      <c r="P231" s="12">
        <v>221358</v>
      </c>
      <c r="Q231" s="12">
        <v>64367</v>
      </c>
      <c r="R231" s="12">
        <v>15</v>
      </c>
      <c r="S231" s="12">
        <v>89</v>
      </c>
      <c r="T231" s="12">
        <v>645</v>
      </c>
      <c r="U231" s="12">
        <v>1077</v>
      </c>
      <c r="V231" s="12">
        <v>651</v>
      </c>
      <c r="W231" s="12">
        <v>437</v>
      </c>
      <c r="X231" s="12">
        <v>221</v>
      </c>
      <c r="Y231" s="12">
        <v>42</v>
      </c>
      <c r="Z231" s="12">
        <v>2260</v>
      </c>
      <c r="AA231" s="12">
        <v>190</v>
      </c>
      <c r="AB231" s="12">
        <v>15636</v>
      </c>
      <c r="AC231" s="12">
        <v>794</v>
      </c>
      <c r="AD231" s="12">
        <v>6360</v>
      </c>
      <c r="AE231" s="12">
        <v>0</v>
      </c>
      <c r="AF231" s="12">
        <v>0</v>
      </c>
      <c r="AG231" s="12">
        <v>0</v>
      </c>
      <c r="AH231" s="12">
        <v>0</v>
      </c>
      <c r="AI231" s="12">
        <v>0</v>
      </c>
      <c r="AJ231" s="12">
        <v>0</v>
      </c>
      <c r="AK231" s="12">
        <v>25470</v>
      </c>
      <c r="AL231" s="12">
        <v>81</v>
      </c>
      <c r="AM231" s="12">
        <v>5704</v>
      </c>
      <c r="AN231" s="13">
        <f t="shared" si="14"/>
        <v>22980</v>
      </c>
    </row>
    <row r="232" ht="16.5" spans="1:40">
      <c r="A232">
        <f t="shared" si="16"/>
        <v>110</v>
      </c>
      <c r="B232">
        <f t="shared" si="15"/>
        <v>230</v>
      </c>
      <c r="C232" s="112">
        <v>213</v>
      </c>
      <c r="D232" s="113">
        <v>103.200000000001</v>
      </c>
      <c r="E232" s="113">
        <v>117.800000000001</v>
      </c>
      <c r="F232" s="113">
        <v>165.399999999999</v>
      </c>
      <c r="G232" s="113">
        <v>215.5</v>
      </c>
      <c r="H232" s="12">
        <v>40018</v>
      </c>
      <c r="I232" s="12">
        <v>0</v>
      </c>
      <c r="J232" s="12">
        <v>9767761</v>
      </c>
      <c r="K232" s="12">
        <v>536540</v>
      </c>
      <c r="L232" s="12">
        <v>9925</v>
      </c>
      <c r="M232" s="12">
        <f t="shared" si="13"/>
        <v>24756.7</v>
      </c>
      <c r="N232" s="12">
        <v>216</v>
      </c>
      <c r="O232" s="12">
        <v>1188783</v>
      </c>
      <c r="P232" s="12">
        <v>222431</v>
      </c>
      <c r="Q232" s="12">
        <v>64668</v>
      </c>
      <c r="R232" s="12">
        <v>15</v>
      </c>
      <c r="S232" s="12">
        <v>89</v>
      </c>
      <c r="T232" s="12">
        <v>645</v>
      </c>
      <c r="U232" s="12">
        <v>1081</v>
      </c>
      <c r="V232" s="12">
        <v>657</v>
      </c>
      <c r="W232" s="12">
        <v>440</v>
      </c>
      <c r="X232" s="12">
        <v>223</v>
      </c>
      <c r="Y232" s="12">
        <v>42</v>
      </c>
      <c r="Z232" s="12">
        <v>2271</v>
      </c>
      <c r="AA232" s="12">
        <v>191</v>
      </c>
      <c r="AB232" s="12">
        <v>15702</v>
      </c>
      <c r="AC232" s="12">
        <v>798</v>
      </c>
      <c r="AD232" s="12">
        <v>6390</v>
      </c>
      <c r="AE232" s="12">
        <v>0</v>
      </c>
      <c r="AF232" s="12">
        <v>0</v>
      </c>
      <c r="AG232" s="12">
        <v>0</v>
      </c>
      <c r="AH232" s="12">
        <v>0</v>
      </c>
      <c r="AI232" s="12">
        <v>0</v>
      </c>
      <c r="AJ232" s="12">
        <v>0</v>
      </c>
      <c r="AK232" s="12">
        <v>25605</v>
      </c>
      <c r="AL232" s="12">
        <v>81</v>
      </c>
      <c r="AM232" s="12">
        <v>5733</v>
      </c>
      <c r="AN232" s="13">
        <f t="shared" si="14"/>
        <v>23093</v>
      </c>
    </row>
    <row r="233" ht="16.5" spans="1:40">
      <c r="A233">
        <f t="shared" si="16"/>
        <v>110</v>
      </c>
      <c r="B233">
        <f t="shared" si="15"/>
        <v>80</v>
      </c>
      <c r="C233" s="112">
        <v>214</v>
      </c>
      <c r="D233" s="113">
        <v>103.350000000001</v>
      </c>
      <c r="E233" s="113">
        <v>118.000000000001</v>
      </c>
      <c r="F233" s="113">
        <v>165.749999999999</v>
      </c>
      <c r="G233" s="113">
        <v>216</v>
      </c>
      <c r="H233" s="12">
        <v>40098</v>
      </c>
      <c r="I233" s="12">
        <v>0</v>
      </c>
      <c r="J233" s="12">
        <v>9812005</v>
      </c>
      <c r="K233" s="12">
        <v>538582</v>
      </c>
      <c r="L233" s="12">
        <v>9934</v>
      </c>
      <c r="M233" s="12">
        <f t="shared" si="13"/>
        <v>24866.7</v>
      </c>
      <c r="N233" s="12">
        <v>217</v>
      </c>
      <c r="O233" s="12">
        <v>1194459</v>
      </c>
      <c r="P233" s="12">
        <v>223465</v>
      </c>
      <c r="Q233" s="12">
        <v>64969</v>
      </c>
      <c r="R233" s="12">
        <v>15</v>
      </c>
      <c r="S233" s="12">
        <v>89</v>
      </c>
      <c r="T233" s="12">
        <v>645</v>
      </c>
      <c r="U233" s="12">
        <v>1085</v>
      </c>
      <c r="V233" s="12">
        <v>662</v>
      </c>
      <c r="W233" s="12">
        <v>442</v>
      </c>
      <c r="X233" s="12">
        <v>225</v>
      </c>
      <c r="Y233" s="12">
        <v>43</v>
      </c>
      <c r="Z233" s="12">
        <v>2281</v>
      </c>
      <c r="AA233" s="12">
        <v>191</v>
      </c>
      <c r="AB233" s="12">
        <v>15767</v>
      </c>
      <c r="AC233" s="12">
        <v>801</v>
      </c>
      <c r="AD233" s="12">
        <v>6420</v>
      </c>
      <c r="AE233" s="12">
        <v>0</v>
      </c>
      <c r="AF233" s="12">
        <v>0</v>
      </c>
      <c r="AG233" s="12">
        <v>0</v>
      </c>
      <c r="AH233" s="12">
        <v>0</v>
      </c>
      <c r="AI233" s="12">
        <v>0</v>
      </c>
      <c r="AJ233" s="12">
        <v>0</v>
      </c>
      <c r="AK233" s="12">
        <v>25710</v>
      </c>
      <c r="AL233" s="12">
        <v>81</v>
      </c>
      <c r="AM233" s="12">
        <v>5757</v>
      </c>
      <c r="AN233" s="13">
        <f t="shared" si="14"/>
        <v>23173</v>
      </c>
    </row>
    <row r="234" ht="16.5" spans="1:40">
      <c r="A234">
        <f t="shared" si="16"/>
        <v>110</v>
      </c>
      <c r="B234">
        <f t="shared" si="15"/>
        <v>79</v>
      </c>
      <c r="C234" s="112">
        <v>215</v>
      </c>
      <c r="D234" s="113">
        <v>103.500000000001</v>
      </c>
      <c r="E234" s="113">
        <v>118.200000000001</v>
      </c>
      <c r="F234" s="113">
        <v>166.099999999999</v>
      </c>
      <c r="G234" s="113">
        <v>216.5</v>
      </c>
      <c r="H234" s="12">
        <v>40177</v>
      </c>
      <c r="I234" s="12">
        <v>0</v>
      </c>
      <c r="J234" s="12">
        <v>9856248</v>
      </c>
      <c r="K234" s="12">
        <v>540624</v>
      </c>
      <c r="L234" s="12">
        <v>9942</v>
      </c>
      <c r="M234" s="12">
        <f t="shared" ref="M234:M297" si="17">M233+110</f>
        <v>24976.7</v>
      </c>
      <c r="N234" s="12">
        <v>218</v>
      </c>
      <c r="O234" s="12">
        <v>1200135</v>
      </c>
      <c r="P234" s="12">
        <v>224498</v>
      </c>
      <c r="Q234" s="12">
        <v>65271</v>
      </c>
      <c r="R234" s="12">
        <v>15</v>
      </c>
      <c r="S234" s="12">
        <v>89</v>
      </c>
      <c r="T234" s="12">
        <v>645</v>
      </c>
      <c r="U234" s="12">
        <v>1090</v>
      </c>
      <c r="V234" s="12">
        <v>667</v>
      </c>
      <c r="W234" s="12">
        <v>445</v>
      </c>
      <c r="X234" s="12">
        <v>226</v>
      </c>
      <c r="Y234" s="12">
        <v>44</v>
      </c>
      <c r="Z234" s="12">
        <v>2292</v>
      </c>
      <c r="AA234" s="12">
        <v>192</v>
      </c>
      <c r="AB234" s="12">
        <v>15833</v>
      </c>
      <c r="AC234" s="12">
        <v>805</v>
      </c>
      <c r="AD234" s="12">
        <v>6450</v>
      </c>
      <c r="AE234" s="12">
        <v>0</v>
      </c>
      <c r="AF234" s="12">
        <v>0</v>
      </c>
      <c r="AG234" s="12">
        <v>0</v>
      </c>
      <c r="AH234" s="12">
        <v>0</v>
      </c>
      <c r="AI234" s="12">
        <v>0</v>
      </c>
      <c r="AJ234" s="12">
        <v>0</v>
      </c>
      <c r="AK234" s="12">
        <v>25815</v>
      </c>
      <c r="AL234" s="12">
        <v>81</v>
      </c>
      <c r="AM234" s="12">
        <v>5781</v>
      </c>
      <c r="AN234" s="13">
        <f t="shared" si="14"/>
        <v>23286</v>
      </c>
    </row>
    <row r="235" ht="16.5" spans="1:40">
      <c r="A235">
        <f t="shared" si="16"/>
        <v>110</v>
      </c>
      <c r="B235">
        <f t="shared" si="15"/>
        <v>230</v>
      </c>
      <c r="C235" s="112">
        <v>216</v>
      </c>
      <c r="D235" s="113">
        <v>103.650000000001</v>
      </c>
      <c r="E235" s="113">
        <v>118.400000000001</v>
      </c>
      <c r="F235" s="113">
        <v>166.449999999999</v>
      </c>
      <c r="G235" s="113">
        <v>217</v>
      </c>
      <c r="H235" s="12">
        <v>40407</v>
      </c>
      <c r="I235" s="12">
        <v>0</v>
      </c>
      <c r="J235" s="12">
        <v>9902341</v>
      </c>
      <c r="K235" s="12">
        <v>543417</v>
      </c>
      <c r="L235" s="12">
        <v>9951</v>
      </c>
      <c r="M235" s="12">
        <f t="shared" si="17"/>
        <v>25086.7</v>
      </c>
      <c r="N235" s="12">
        <v>220</v>
      </c>
      <c r="O235" s="12">
        <v>1206311</v>
      </c>
      <c r="P235" s="12">
        <v>225572</v>
      </c>
      <c r="Q235" s="12">
        <v>65572</v>
      </c>
      <c r="R235" s="12">
        <v>15</v>
      </c>
      <c r="S235" s="12">
        <v>89</v>
      </c>
      <c r="T235" s="12">
        <v>645</v>
      </c>
      <c r="U235" s="12">
        <v>1094</v>
      </c>
      <c r="V235" s="12">
        <v>672</v>
      </c>
      <c r="W235" s="12">
        <v>448</v>
      </c>
      <c r="X235" s="12">
        <v>228</v>
      </c>
      <c r="Y235" s="12">
        <v>44</v>
      </c>
      <c r="Z235" s="12">
        <v>2303</v>
      </c>
      <c r="AA235" s="12">
        <v>193</v>
      </c>
      <c r="AB235" s="12">
        <v>15899</v>
      </c>
      <c r="AC235" s="12">
        <v>808</v>
      </c>
      <c r="AD235" s="12">
        <v>6480</v>
      </c>
      <c r="AE235" s="12">
        <v>0</v>
      </c>
      <c r="AF235" s="12">
        <v>0</v>
      </c>
      <c r="AG235" s="12">
        <v>0</v>
      </c>
      <c r="AH235" s="12">
        <v>0</v>
      </c>
      <c r="AI235" s="12">
        <v>0</v>
      </c>
      <c r="AJ235" s="12">
        <v>0</v>
      </c>
      <c r="AK235" s="12">
        <v>25920</v>
      </c>
      <c r="AL235" s="12">
        <v>84</v>
      </c>
      <c r="AM235" s="12">
        <v>5810</v>
      </c>
      <c r="AN235" s="13">
        <f t="shared" si="14"/>
        <v>23399</v>
      </c>
    </row>
    <row r="236" ht="16.5" spans="1:40">
      <c r="A236">
        <f t="shared" si="16"/>
        <v>110</v>
      </c>
      <c r="B236">
        <f t="shared" si="15"/>
        <v>80</v>
      </c>
      <c r="C236" s="112">
        <v>217</v>
      </c>
      <c r="D236" s="113">
        <v>103.800000000001</v>
      </c>
      <c r="E236" s="113">
        <v>118.600000000001</v>
      </c>
      <c r="F236" s="113">
        <v>166.799999999999</v>
      </c>
      <c r="G236" s="113">
        <v>217.5</v>
      </c>
      <c r="H236" s="12">
        <v>40487</v>
      </c>
      <c r="I236" s="12">
        <v>0</v>
      </c>
      <c r="J236" s="12">
        <v>9946634</v>
      </c>
      <c r="K236" s="12">
        <v>545459</v>
      </c>
      <c r="L236" s="12">
        <v>9960</v>
      </c>
      <c r="M236" s="12">
        <f t="shared" si="17"/>
        <v>25196.7</v>
      </c>
      <c r="N236" s="12">
        <v>221</v>
      </c>
      <c r="O236" s="12">
        <v>1211987</v>
      </c>
      <c r="P236" s="12">
        <v>226606</v>
      </c>
      <c r="Q236" s="12">
        <v>65873</v>
      </c>
      <c r="R236" s="12">
        <v>15</v>
      </c>
      <c r="S236" s="12">
        <v>89</v>
      </c>
      <c r="T236" s="12">
        <v>645</v>
      </c>
      <c r="U236" s="12">
        <v>1099</v>
      </c>
      <c r="V236" s="12">
        <v>678</v>
      </c>
      <c r="W236" s="12">
        <v>451</v>
      </c>
      <c r="X236" s="12">
        <v>230</v>
      </c>
      <c r="Y236" s="12">
        <v>45</v>
      </c>
      <c r="Z236" s="12">
        <v>2313</v>
      </c>
      <c r="AA236" s="12">
        <v>194</v>
      </c>
      <c r="AB236" s="12">
        <v>15964</v>
      </c>
      <c r="AC236" s="12">
        <v>812</v>
      </c>
      <c r="AD236" s="12">
        <v>6510</v>
      </c>
      <c r="AE236" s="12">
        <v>0</v>
      </c>
      <c r="AF236" s="12">
        <v>0</v>
      </c>
      <c r="AG236" s="12">
        <v>0</v>
      </c>
      <c r="AH236" s="12">
        <v>0</v>
      </c>
      <c r="AI236" s="12">
        <v>0</v>
      </c>
      <c r="AJ236" s="12">
        <v>0</v>
      </c>
      <c r="AK236" s="12">
        <v>26025</v>
      </c>
      <c r="AL236" s="12">
        <v>84</v>
      </c>
      <c r="AM236" s="12">
        <v>5834</v>
      </c>
      <c r="AN236" s="13">
        <f t="shared" si="14"/>
        <v>23507</v>
      </c>
    </row>
    <row r="237" ht="16.5" spans="1:40">
      <c r="A237">
        <f t="shared" si="16"/>
        <v>110</v>
      </c>
      <c r="B237">
        <f t="shared" si="15"/>
        <v>79</v>
      </c>
      <c r="C237" s="112">
        <v>218</v>
      </c>
      <c r="D237" s="113">
        <v>103.950000000001</v>
      </c>
      <c r="E237" s="113">
        <v>118.800000000001</v>
      </c>
      <c r="F237" s="113">
        <v>167.149999999999</v>
      </c>
      <c r="G237" s="113">
        <v>218</v>
      </c>
      <c r="H237" s="12">
        <v>40566</v>
      </c>
      <c r="I237" s="12">
        <v>0</v>
      </c>
      <c r="J237" s="12">
        <v>9991426</v>
      </c>
      <c r="K237" s="12">
        <v>547501</v>
      </c>
      <c r="L237" s="12">
        <v>9968</v>
      </c>
      <c r="M237" s="12">
        <f t="shared" si="17"/>
        <v>25306.7</v>
      </c>
      <c r="N237" s="12">
        <v>222</v>
      </c>
      <c r="O237" s="12">
        <v>1217663</v>
      </c>
      <c r="P237" s="12">
        <v>227639</v>
      </c>
      <c r="Q237" s="12">
        <v>66174</v>
      </c>
      <c r="R237" s="12">
        <v>15</v>
      </c>
      <c r="S237" s="12">
        <v>89</v>
      </c>
      <c r="T237" s="12">
        <v>645</v>
      </c>
      <c r="U237" s="12">
        <v>1103</v>
      </c>
      <c r="V237" s="12">
        <v>683</v>
      </c>
      <c r="W237" s="12">
        <v>454</v>
      </c>
      <c r="X237" s="12">
        <v>232</v>
      </c>
      <c r="Y237" s="12">
        <v>46</v>
      </c>
      <c r="Z237" s="12">
        <v>2324</v>
      </c>
      <c r="AA237" s="12">
        <v>195</v>
      </c>
      <c r="AB237" s="12">
        <v>16030</v>
      </c>
      <c r="AC237" s="12">
        <v>815</v>
      </c>
      <c r="AD237" s="12">
        <v>6540</v>
      </c>
      <c r="AE237" s="12">
        <v>0</v>
      </c>
      <c r="AF237" s="12">
        <v>0</v>
      </c>
      <c r="AG237" s="12">
        <v>0</v>
      </c>
      <c r="AH237" s="12">
        <v>0</v>
      </c>
      <c r="AI237" s="12">
        <v>0</v>
      </c>
      <c r="AJ237" s="12">
        <v>0</v>
      </c>
      <c r="AK237" s="12">
        <v>26130</v>
      </c>
      <c r="AL237" s="12">
        <v>84</v>
      </c>
      <c r="AM237" s="12">
        <v>5858</v>
      </c>
      <c r="AN237" s="13">
        <f t="shared" si="14"/>
        <v>23620</v>
      </c>
    </row>
    <row r="238" ht="16.5" spans="1:40">
      <c r="A238">
        <f t="shared" si="16"/>
        <v>110</v>
      </c>
      <c r="B238">
        <f t="shared" si="15"/>
        <v>230</v>
      </c>
      <c r="C238" s="112">
        <v>219</v>
      </c>
      <c r="D238" s="113">
        <v>104.100000000001</v>
      </c>
      <c r="E238" s="113">
        <v>119.000000000001</v>
      </c>
      <c r="F238" s="113">
        <v>167.499999999999</v>
      </c>
      <c r="G238" s="113">
        <v>218.5</v>
      </c>
      <c r="H238" s="12">
        <v>40796</v>
      </c>
      <c r="I238" s="12">
        <v>0</v>
      </c>
      <c r="J238" s="12">
        <v>10037568</v>
      </c>
      <c r="K238" s="12">
        <v>550293</v>
      </c>
      <c r="L238" s="12">
        <v>9977</v>
      </c>
      <c r="M238" s="12">
        <f t="shared" si="17"/>
        <v>25416.7</v>
      </c>
      <c r="N238" s="12">
        <v>222</v>
      </c>
      <c r="O238" s="12">
        <v>1223839</v>
      </c>
      <c r="P238" s="12">
        <v>228713</v>
      </c>
      <c r="Q238" s="12">
        <v>66476</v>
      </c>
      <c r="R238" s="12">
        <v>15</v>
      </c>
      <c r="S238" s="12">
        <v>89</v>
      </c>
      <c r="T238" s="12">
        <v>645</v>
      </c>
      <c r="U238" s="12">
        <v>1108</v>
      </c>
      <c r="V238" s="12">
        <v>688</v>
      </c>
      <c r="W238" s="12">
        <v>457</v>
      </c>
      <c r="X238" s="12">
        <v>234</v>
      </c>
      <c r="Y238" s="12">
        <v>46</v>
      </c>
      <c r="Z238" s="12">
        <v>2334</v>
      </c>
      <c r="AA238" s="12">
        <v>196</v>
      </c>
      <c r="AB238" s="12">
        <v>16096</v>
      </c>
      <c r="AC238" s="12">
        <v>819</v>
      </c>
      <c r="AD238" s="12">
        <v>6570</v>
      </c>
      <c r="AE238" s="12">
        <v>0</v>
      </c>
      <c r="AF238" s="12">
        <v>0</v>
      </c>
      <c r="AG238" s="12">
        <v>0</v>
      </c>
      <c r="AH238" s="12">
        <v>0</v>
      </c>
      <c r="AI238" s="12">
        <v>0</v>
      </c>
      <c r="AJ238" s="12">
        <v>0</v>
      </c>
      <c r="AK238" s="12">
        <v>26265</v>
      </c>
      <c r="AL238" s="12">
        <v>84</v>
      </c>
      <c r="AM238" s="12">
        <v>5886</v>
      </c>
      <c r="AN238" s="13">
        <f t="shared" si="14"/>
        <v>23728</v>
      </c>
    </row>
    <row r="239" ht="16.5" spans="1:40">
      <c r="A239">
        <f t="shared" si="16"/>
        <v>110</v>
      </c>
      <c r="B239">
        <f t="shared" si="15"/>
        <v>80</v>
      </c>
      <c r="C239" s="112">
        <v>220</v>
      </c>
      <c r="D239" s="113">
        <v>104.250000000001</v>
      </c>
      <c r="E239" s="113">
        <v>119.200000000001</v>
      </c>
      <c r="F239" s="113">
        <v>167.849999999999</v>
      </c>
      <c r="G239" s="113">
        <v>219</v>
      </c>
      <c r="H239" s="12">
        <v>40876</v>
      </c>
      <c r="I239" s="12">
        <v>0</v>
      </c>
      <c r="J239" s="12">
        <v>10081910</v>
      </c>
      <c r="K239" s="12">
        <v>552335</v>
      </c>
      <c r="L239" s="12">
        <v>9985</v>
      </c>
      <c r="M239" s="12">
        <f t="shared" si="17"/>
        <v>25526.7</v>
      </c>
      <c r="N239" s="12">
        <v>223</v>
      </c>
      <c r="O239" s="12">
        <v>1229515</v>
      </c>
      <c r="P239" s="12">
        <v>229746</v>
      </c>
      <c r="Q239" s="12">
        <v>66777</v>
      </c>
      <c r="R239" s="12">
        <v>15</v>
      </c>
      <c r="S239" s="12">
        <v>89</v>
      </c>
      <c r="T239" s="12">
        <v>645</v>
      </c>
      <c r="U239" s="12">
        <v>1112</v>
      </c>
      <c r="V239" s="12">
        <v>693</v>
      </c>
      <c r="W239" s="12">
        <v>460</v>
      </c>
      <c r="X239" s="12">
        <v>235</v>
      </c>
      <c r="Y239" s="12">
        <v>47</v>
      </c>
      <c r="Z239" s="12">
        <v>2345</v>
      </c>
      <c r="AA239" s="12">
        <v>197</v>
      </c>
      <c r="AB239" s="12">
        <v>16162</v>
      </c>
      <c r="AC239" s="12">
        <v>823</v>
      </c>
      <c r="AD239" s="12">
        <v>6600</v>
      </c>
      <c r="AE239" s="12">
        <v>0</v>
      </c>
      <c r="AF239" s="12">
        <v>0</v>
      </c>
      <c r="AG239" s="12">
        <v>0</v>
      </c>
      <c r="AH239" s="12">
        <v>0</v>
      </c>
      <c r="AI239" s="12">
        <v>0</v>
      </c>
      <c r="AJ239" s="12">
        <v>0</v>
      </c>
      <c r="AK239" s="12">
        <v>26370</v>
      </c>
      <c r="AL239" s="12">
        <v>84</v>
      </c>
      <c r="AM239" s="12">
        <v>5910</v>
      </c>
      <c r="AN239" s="13">
        <f t="shared" si="14"/>
        <v>23841</v>
      </c>
    </row>
    <row r="240" ht="16.5" spans="1:40">
      <c r="A240">
        <f t="shared" si="16"/>
        <v>110</v>
      </c>
      <c r="B240">
        <f t="shared" si="15"/>
        <v>79</v>
      </c>
      <c r="C240" s="112">
        <v>221</v>
      </c>
      <c r="D240" s="113">
        <v>104.400000000001</v>
      </c>
      <c r="E240" s="113">
        <v>119.400000000001</v>
      </c>
      <c r="F240" s="113">
        <v>168.199999999999</v>
      </c>
      <c r="G240" s="113">
        <v>219.5</v>
      </c>
      <c r="H240" s="12">
        <v>40955</v>
      </c>
      <c r="I240" s="12">
        <v>0</v>
      </c>
      <c r="J240" s="12">
        <v>10126251</v>
      </c>
      <c r="K240" s="12">
        <v>554377</v>
      </c>
      <c r="L240" s="12">
        <v>9994</v>
      </c>
      <c r="M240" s="12">
        <f t="shared" si="17"/>
        <v>25636.7</v>
      </c>
      <c r="N240" s="12">
        <v>224</v>
      </c>
      <c r="O240" s="12">
        <v>1235192</v>
      </c>
      <c r="P240" s="12">
        <v>230780</v>
      </c>
      <c r="Q240" s="12">
        <v>67078</v>
      </c>
      <c r="R240" s="12">
        <v>15</v>
      </c>
      <c r="S240" s="12">
        <v>89</v>
      </c>
      <c r="T240" s="12">
        <v>645</v>
      </c>
      <c r="U240" s="12">
        <v>1116</v>
      </c>
      <c r="V240" s="12">
        <v>699</v>
      </c>
      <c r="W240" s="12">
        <v>462</v>
      </c>
      <c r="X240" s="12">
        <v>237</v>
      </c>
      <c r="Y240" s="12">
        <v>48</v>
      </c>
      <c r="Z240" s="12">
        <v>2355</v>
      </c>
      <c r="AA240" s="12">
        <v>197</v>
      </c>
      <c r="AB240" s="12">
        <v>16227</v>
      </c>
      <c r="AC240" s="12">
        <v>826</v>
      </c>
      <c r="AD240" s="12">
        <v>6630</v>
      </c>
      <c r="AE240" s="12">
        <v>0</v>
      </c>
      <c r="AF240" s="12">
        <v>0</v>
      </c>
      <c r="AG240" s="12">
        <v>0</v>
      </c>
      <c r="AH240" s="12">
        <v>0</v>
      </c>
      <c r="AI240" s="12">
        <v>0</v>
      </c>
      <c r="AJ240" s="12">
        <v>0</v>
      </c>
      <c r="AK240" s="12">
        <v>26475</v>
      </c>
      <c r="AL240" s="12">
        <v>84</v>
      </c>
      <c r="AM240" s="12">
        <v>5934</v>
      </c>
      <c r="AN240" s="13">
        <f t="shared" si="14"/>
        <v>23921</v>
      </c>
    </row>
    <row r="241" ht="16.5" spans="1:40">
      <c r="A241">
        <f t="shared" si="16"/>
        <v>110</v>
      </c>
      <c r="B241">
        <f t="shared" si="15"/>
        <v>230</v>
      </c>
      <c r="C241" s="112">
        <v>222</v>
      </c>
      <c r="D241" s="113">
        <v>104.550000000001</v>
      </c>
      <c r="E241" s="113">
        <v>119.600000000001</v>
      </c>
      <c r="F241" s="113">
        <v>168.549999999999</v>
      </c>
      <c r="G241" s="113">
        <v>220</v>
      </c>
      <c r="H241" s="12">
        <v>41185</v>
      </c>
      <c r="I241" s="12">
        <v>0</v>
      </c>
      <c r="J241" s="12">
        <v>10172442</v>
      </c>
      <c r="K241" s="12">
        <v>557170</v>
      </c>
      <c r="L241" s="12">
        <v>10002</v>
      </c>
      <c r="M241" s="12">
        <f t="shared" si="17"/>
        <v>25746.7</v>
      </c>
      <c r="N241" s="12">
        <v>225</v>
      </c>
      <c r="O241" s="12">
        <v>1241368</v>
      </c>
      <c r="P241" s="12">
        <v>231854</v>
      </c>
      <c r="Q241" s="12">
        <v>67379</v>
      </c>
      <c r="R241" s="12">
        <v>15</v>
      </c>
      <c r="S241" s="12">
        <v>89</v>
      </c>
      <c r="T241" s="12">
        <v>645</v>
      </c>
      <c r="U241" s="12">
        <v>1121</v>
      </c>
      <c r="V241" s="12">
        <v>704</v>
      </c>
      <c r="W241" s="12">
        <v>465</v>
      </c>
      <c r="X241" s="12">
        <v>239</v>
      </c>
      <c r="Y241" s="12">
        <v>48</v>
      </c>
      <c r="Z241" s="12">
        <v>2366</v>
      </c>
      <c r="AA241" s="12">
        <v>198</v>
      </c>
      <c r="AB241" s="12">
        <v>16293</v>
      </c>
      <c r="AC241" s="12">
        <v>830</v>
      </c>
      <c r="AD241" s="12">
        <v>6660</v>
      </c>
      <c r="AE241" s="12">
        <v>0</v>
      </c>
      <c r="AF241" s="12">
        <v>0</v>
      </c>
      <c r="AG241" s="12">
        <v>0</v>
      </c>
      <c r="AH241" s="12">
        <v>0</v>
      </c>
      <c r="AI241" s="12">
        <v>0</v>
      </c>
      <c r="AJ241" s="12">
        <v>0</v>
      </c>
      <c r="AK241" s="12">
        <v>26610</v>
      </c>
      <c r="AL241" s="12">
        <v>84</v>
      </c>
      <c r="AM241" s="12">
        <v>5963</v>
      </c>
      <c r="AN241" s="13">
        <f t="shared" si="14"/>
        <v>24034</v>
      </c>
    </row>
    <row r="242" ht="16.5" spans="1:40">
      <c r="A242">
        <f t="shared" si="16"/>
        <v>110</v>
      </c>
      <c r="B242">
        <f t="shared" si="15"/>
        <v>79</v>
      </c>
      <c r="C242" s="112">
        <v>223</v>
      </c>
      <c r="D242" s="113">
        <v>104.700000000001</v>
      </c>
      <c r="E242" s="113">
        <v>119.800000000001</v>
      </c>
      <c r="F242" s="113">
        <v>168.899999999999</v>
      </c>
      <c r="G242" s="113">
        <v>220.5</v>
      </c>
      <c r="H242" s="12">
        <v>41264</v>
      </c>
      <c r="I242" s="12">
        <v>0</v>
      </c>
      <c r="J242" s="12">
        <v>10216833</v>
      </c>
      <c r="K242" s="12">
        <v>559212</v>
      </c>
      <c r="L242" s="12">
        <v>10011</v>
      </c>
      <c r="M242" s="12">
        <f t="shared" si="17"/>
        <v>25856.7</v>
      </c>
      <c r="N242" s="12">
        <v>226</v>
      </c>
      <c r="O242" s="12">
        <v>1247044</v>
      </c>
      <c r="P242" s="12">
        <v>232887</v>
      </c>
      <c r="Q242" s="12">
        <v>67681</v>
      </c>
      <c r="R242" s="12">
        <v>15</v>
      </c>
      <c r="S242" s="12">
        <v>89</v>
      </c>
      <c r="T242" s="12">
        <v>645</v>
      </c>
      <c r="U242" s="12">
        <v>1125</v>
      </c>
      <c r="V242" s="12">
        <v>709</v>
      </c>
      <c r="W242" s="12">
        <v>468</v>
      </c>
      <c r="X242" s="12">
        <v>241</v>
      </c>
      <c r="Y242" s="12">
        <v>49</v>
      </c>
      <c r="Z242" s="12">
        <v>2376</v>
      </c>
      <c r="AA242" s="12">
        <v>199</v>
      </c>
      <c r="AB242" s="12">
        <v>16359</v>
      </c>
      <c r="AC242" s="12">
        <v>833</v>
      </c>
      <c r="AD242" s="12">
        <v>6690</v>
      </c>
      <c r="AE242" s="12">
        <v>0</v>
      </c>
      <c r="AF242" s="12">
        <v>0</v>
      </c>
      <c r="AG242" s="12">
        <v>0</v>
      </c>
      <c r="AH242" s="12">
        <v>0</v>
      </c>
      <c r="AI242" s="12">
        <v>0</v>
      </c>
      <c r="AJ242" s="12">
        <v>0</v>
      </c>
      <c r="AK242" s="12">
        <v>26715</v>
      </c>
      <c r="AL242" s="12">
        <v>84</v>
      </c>
      <c r="AM242" s="12">
        <v>5987</v>
      </c>
      <c r="AN242" s="13">
        <f t="shared" si="14"/>
        <v>24142</v>
      </c>
    </row>
    <row r="243" ht="16.5" spans="1:40">
      <c r="A243">
        <f t="shared" si="16"/>
        <v>110</v>
      </c>
      <c r="B243">
        <f t="shared" si="15"/>
        <v>80</v>
      </c>
      <c r="C243" s="112">
        <v>224</v>
      </c>
      <c r="D243" s="113">
        <v>104.850000000001</v>
      </c>
      <c r="E243" s="113">
        <v>120.000000000001</v>
      </c>
      <c r="F243" s="113">
        <v>169.249999999999</v>
      </c>
      <c r="G243" s="113">
        <v>221</v>
      </c>
      <c r="H243" s="12">
        <v>41344</v>
      </c>
      <c r="I243" s="12">
        <v>0</v>
      </c>
      <c r="J243" s="12">
        <v>10261223</v>
      </c>
      <c r="K243" s="12">
        <v>561254</v>
      </c>
      <c r="L243" s="12">
        <v>10020</v>
      </c>
      <c r="M243" s="12">
        <f t="shared" si="17"/>
        <v>25966.7</v>
      </c>
      <c r="N243" s="12">
        <v>227</v>
      </c>
      <c r="O243" s="12">
        <v>1252720</v>
      </c>
      <c r="P243" s="12">
        <v>233921</v>
      </c>
      <c r="Q243" s="12">
        <v>67982</v>
      </c>
      <c r="R243" s="12">
        <v>15</v>
      </c>
      <c r="S243" s="12">
        <v>89</v>
      </c>
      <c r="T243" s="12">
        <v>645</v>
      </c>
      <c r="U243" s="12">
        <v>1130</v>
      </c>
      <c r="V243" s="12">
        <v>714</v>
      </c>
      <c r="W243" s="12">
        <v>471</v>
      </c>
      <c r="X243" s="12">
        <v>243</v>
      </c>
      <c r="Y243" s="12">
        <v>50</v>
      </c>
      <c r="Z243" s="12">
        <v>2386</v>
      </c>
      <c r="AA243" s="12">
        <v>200</v>
      </c>
      <c r="AB243" s="12">
        <v>16424</v>
      </c>
      <c r="AC243" s="12">
        <v>837</v>
      </c>
      <c r="AD243" s="12">
        <v>6720</v>
      </c>
      <c r="AE243" s="12">
        <v>0</v>
      </c>
      <c r="AF243" s="12">
        <v>0</v>
      </c>
      <c r="AG243" s="12">
        <v>0</v>
      </c>
      <c r="AH243" s="12">
        <v>0</v>
      </c>
      <c r="AI243" s="12">
        <v>0</v>
      </c>
      <c r="AJ243" s="12">
        <v>0</v>
      </c>
      <c r="AK243" s="12">
        <v>26820</v>
      </c>
      <c r="AL243" s="12">
        <v>84</v>
      </c>
      <c r="AM243" s="12">
        <v>6011</v>
      </c>
      <c r="AN243" s="13">
        <f t="shared" si="14"/>
        <v>24250</v>
      </c>
    </row>
    <row r="244" ht="16.5" spans="1:40">
      <c r="A244">
        <f t="shared" si="16"/>
        <v>110</v>
      </c>
      <c r="B244">
        <f t="shared" si="15"/>
        <v>230</v>
      </c>
      <c r="C244" s="112">
        <v>225</v>
      </c>
      <c r="D244" s="113">
        <v>105.000000000001</v>
      </c>
      <c r="E244" s="113">
        <v>120.200000000001</v>
      </c>
      <c r="F244" s="113">
        <v>169.599999999999</v>
      </c>
      <c r="G244" s="113">
        <v>221.5</v>
      </c>
      <c r="H244" s="12">
        <v>41574</v>
      </c>
      <c r="I244" s="12">
        <v>0</v>
      </c>
      <c r="J244" s="12">
        <v>10347963</v>
      </c>
      <c r="K244" s="12">
        <v>564046</v>
      </c>
      <c r="L244" s="12">
        <v>10028</v>
      </c>
      <c r="M244" s="12">
        <f t="shared" si="17"/>
        <v>26076.7</v>
      </c>
      <c r="N244" s="12">
        <v>228</v>
      </c>
      <c r="O244" s="12">
        <v>1258896</v>
      </c>
      <c r="P244" s="12">
        <v>234994</v>
      </c>
      <c r="Q244" s="12">
        <v>68283</v>
      </c>
      <c r="R244" s="12">
        <v>15</v>
      </c>
      <c r="S244" s="12">
        <v>89</v>
      </c>
      <c r="T244" s="12">
        <v>645</v>
      </c>
      <c r="U244" s="12">
        <v>1134</v>
      </c>
      <c r="V244" s="12">
        <v>720</v>
      </c>
      <c r="W244" s="12">
        <v>474</v>
      </c>
      <c r="X244" s="12">
        <v>244</v>
      </c>
      <c r="Y244" s="12">
        <v>50</v>
      </c>
      <c r="Z244" s="12">
        <v>2397</v>
      </c>
      <c r="AA244" s="12">
        <v>201</v>
      </c>
      <c r="AB244" s="12">
        <v>16490</v>
      </c>
      <c r="AC244" s="12">
        <v>840</v>
      </c>
      <c r="AD244" s="12">
        <v>6750</v>
      </c>
      <c r="AE244" s="12">
        <v>0</v>
      </c>
      <c r="AF244" s="12">
        <v>0</v>
      </c>
      <c r="AG244" s="12">
        <v>0</v>
      </c>
      <c r="AH244" s="12">
        <v>0</v>
      </c>
      <c r="AI244" s="12">
        <v>0</v>
      </c>
      <c r="AJ244" s="12">
        <v>0</v>
      </c>
      <c r="AK244" s="12">
        <v>26955</v>
      </c>
      <c r="AL244" s="12">
        <v>84</v>
      </c>
      <c r="AM244" s="12">
        <v>6040</v>
      </c>
      <c r="AN244" s="13">
        <f t="shared" si="14"/>
        <v>24363</v>
      </c>
    </row>
    <row r="245" ht="16.5" spans="1:40">
      <c r="A245">
        <f t="shared" si="16"/>
        <v>110</v>
      </c>
      <c r="B245">
        <f t="shared" si="15"/>
        <v>79</v>
      </c>
      <c r="C245" s="112">
        <v>226</v>
      </c>
      <c r="D245" s="113">
        <v>105.150000000001</v>
      </c>
      <c r="E245" s="113">
        <v>120.400000000001</v>
      </c>
      <c r="F245" s="113">
        <v>169.949999999999</v>
      </c>
      <c r="G245" s="113">
        <v>222</v>
      </c>
      <c r="H245" s="12">
        <v>41653</v>
      </c>
      <c r="I245" s="12">
        <v>0</v>
      </c>
      <c r="J245" s="12">
        <v>10392403</v>
      </c>
      <c r="K245" s="12">
        <v>566088</v>
      </c>
      <c r="L245" s="12">
        <v>10037</v>
      </c>
      <c r="M245" s="12">
        <f t="shared" si="17"/>
        <v>26186.7</v>
      </c>
      <c r="N245" s="12">
        <v>229</v>
      </c>
      <c r="O245" s="12">
        <v>1264613</v>
      </c>
      <c r="P245" s="12">
        <v>236028</v>
      </c>
      <c r="Q245" s="12">
        <v>68584</v>
      </c>
      <c r="R245" s="12">
        <v>15</v>
      </c>
      <c r="S245" s="12">
        <v>89</v>
      </c>
      <c r="T245" s="12">
        <v>645</v>
      </c>
      <c r="U245" s="12">
        <v>1139</v>
      </c>
      <c r="V245" s="12">
        <v>725</v>
      </c>
      <c r="W245" s="12">
        <v>477</v>
      </c>
      <c r="X245" s="12">
        <v>246</v>
      </c>
      <c r="Y245" s="12">
        <v>51</v>
      </c>
      <c r="Z245" s="12">
        <v>2407</v>
      </c>
      <c r="AA245" s="12">
        <v>202</v>
      </c>
      <c r="AB245" s="12">
        <v>16556</v>
      </c>
      <c r="AC245" s="12">
        <v>844</v>
      </c>
      <c r="AD245" s="12">
        <v>6780</v>
      </c>
      <c r="AE245" s="12">
        <v>0</v>
      </c>
      <c r="AF245" s="12">
        <v>0</v>
      </c>
      <c r="AG245" s="12">
        <v>0</v>
      </c>
      <c r="AH245" s="12">
        <v>0</v>
      </c>
      <c r="AI245" s="12">
        <v>0</v>
      </c>
      <c r="AJ245" s="12">
        <v>0</v>
      </c>
      <c r="AK245" s="12">
        <v>27060</v>
      </c>
      <c r="AL245" s="12">
        <v>84</v>
      </c>
      <c r="AM245" s="12">
        <v>6063</v>
      </c>
      <c r="AN245" s="13">
        <f t="shared" si="14"/>
        <v>24471</v>
      </c>
    </row>
    <row r="246" ht="16.5" spans="1:40">
      <c r="A246">
        <f t="shared" si="16"/>
        <v>110</v>
      </c>
      <c r="B246">
        <f t="shared" si="15"/>
        <v>80</v>
      </c>
      <c r="C246" s="112">
        <v>227</v>
      </c>
      <c r="D246" s="113">
        <v>105.300000000001</v>
      </c>
      <c r="E246" s="113">
        <v>120.600000000001</v>
      </c>
      <c r="F246" s="113">
        <v>170.299999999999</v>
      </c>
      <c r="G246" s="113">
        <v>222.5</v>
      </c>
      <c r="H246" s="12">
        <v>41733</v>
      </c>
      <c r="I246" s="12">
        <v>0</v>
      </c>
      <c r="J246" s="12">
        <v>10436842</v>
      </c>
      <c r="K246" s="12">
        <v>568130</v>
      </c>
      <c r="L246" s="12">
        <v>10045</v>
      </c>
      <c r="M246" s="12">
        <f t="shared" si="17"/>
        <v>26296.7</v>
      </c>
      <c r="N246" s="12">
        <v>230</v>
      </c>
      <c r="O246" s="12">
        <v>1270331</v>
      </c>
      <c r="P246" s="12">
        <v>237062</v>
      </c>
      <c r="Q246" s="12">
        <v>68886</v>
      </c>
      <c r="R246" s="12">
        <v>15</v>
      </c>
      <c r="S246" s="12">
        <v>89</v>
      </c>
      <c r="T246" s="12">
        <v>645</v>
      </c>
      <c r="U246" s="12">
        <v>1143</v>
      </c>
      <c r="V246" s="12">
        <v>730</v>
      </c>
      <c r="W246" s="12">
        <v>480</v>
      </c>
      <c r="X246" s="12">
        <v>248</v>
      </c>
      <c r="Y246" s="12">
        <v>52</v>
      </c>
      <c r="Z246" s="12">
        <v>2418</v>
      </c>
      <c r="AA246" s="12">
        <v>202</v>
      </c>
      <c r="AB246" s="12">
        <v>16622</v>
      </c>
      <c r="AC246" s="12">
        <v>847</v>
      </c>
      <c r="AD246" s="12">
        <v>6810</v>
      </c>
      <c r="AE246" s="12">
        <v>0</v>
      </c>
      <c r="AF246" s="12">
        <v>0</v>
      </c>
      <c r="AG246" s="12">
        <v>0</v>
      </c>
      <c r="AH246" s="12">
        <v>0</v>
      </c>
      <c r="AI246" s="12">
        <v>0</v>
      </c>
      <c r="AJ246" s="12">
        <v>0</v>
      </c>
      <c r="AK246" s="12">
        <v>27165</v>
      </c>
      <c r="AL246" s="12">
        <v>84</v>
      </c>
      <c r="AM246" s="12">
        <v>6087</v>
      </c>
      <c r="AN246" s="13">
        <f t="shared" si="14"/>
        <v>24556</v>
      </c>
    </row>
    <row r="247" ht="16.5" spans="1:40">
      <c r="A247">
        <f t="shared" si="16"/>
        <v>110</v>
      </c>
      <c r="B247">
        <f t="shared" si="15"/>
        <v>230</v>
      </c>
      <c r="C247" s="112">
        <v>228</v>
      </c>
      <c r="D247" s="113">
        <v>105.450000000001</v>
      </c>
      <c r="E247" s="113">
        <v>120.800000000001</v>
      </c>
      <c r="F247" s="113">
        <v>170.649999999999</v>
      </c>
      <c r="G247" s="113">
        <v>223</v>
      </c>
      <c r="H247" s="12">
        <v>41963</v>
      </c>
      <c r="I247" s="12">
        <v>0</v>
      </c>
      <c r="J247" s="12">
        <v>10483131</v>
      </c>
      <c r="K247" s="12">
        <v>570923</v>
      </c>
      <c r="L247" s="12">
        <v>10054</v>
      </c>
      <c r="M247" s="12">
        <f t="shared" si="17"/>
        <v>26406.7</v>
      </c>
      <c r="N247" s="12">
        <v>230</v>
      </c>
      <c r="O247" s="12">
        <v>1276548</v>
      </c>
      <c r="P247" s="12">
        <v>238135</v>
      </c>
      <c r="Q247" s="12">
        <v>69187</v>
      </c>
      <c r="R247" s="12">
        <v>15</v>
      </c>
      <c r="S247" s="12">
        <v>89</v>
      </c>
      <c r="T247" s="12">
        <v>645</v>
      </c>
      <c r="U247" s="12">
        <v>1147</v>
      </c>
      <c r="V247" s="12">
        <v>735</v>
      </c>
      <c r="W247" s="12">
        <v>482</v>
      </c>
      <c r="X247" s="12">
        <v>250</v>
      </c>
      <c r="Y247" s="12">
        <v>52</v>
      </c>
      <c r="Z247" s="12">
        <v>2428</v>
      </c>
      <c r="AA247" s="12">
        <v>203</v>
      </c>
      <c r="AB247" s="12">
        <v>16687</v>
      </c>
      <c r="AC247" s="12">
        <v>851</v>
      </c>
      <c r="AD247" s="12">
        <v>6840</v>
      </c>
      <c r="AE247" s="12">
        <v>0</v>
      </c>
      <c r="AF247" s="12">
        <v>0</v>
      </c>
      <c r="AG247" s="12">
        <v>0</v>
      </c>
      <c r="AH247" s="12">
        <v>0</v>
      </c>
      <c r="AI247" s="12">
        <v>0</v>
      </c>
      <c r="AJ247" s="12">
        <v>0</v>
      </c>
      <c r="AK247" s="12">
        <v>27300</v>
      </c>
      <c r="AL247" s="12">
        <v>84</v>
      </c>
      <c r="AM247" s="12">
        <v>6116</v>
      </c>
      <c r="AN247" s="13">
        <f t="shared" si="14"/>
        <v>24664</v>
      </c>
    </row>
    <row r="248" ht="16.5" spans="1:40">
      <c r="A248">
        <f t="shared" si="16"/>
        <v>110</v>
      </c>
      <c r="B248">
        <f t="shared" si="15"/>
        <v>79</v>
      </c>
      <c r="C248" s="112">
        <v>229</v>
      </c>
      <c r="D248" s="113">
        <v>105.600000000001</v>
      </c>
      <c r="E248" s="113">
        <v>121.000000000001</v>
      </c>
      <c r="F248" s="113">
        <v>170.999999999999</v>
      </c>
      <c r="G248" s="113">
        <v>223.5</v>
      </c>
      <c r="H248" s="12">
        <v>42042</v>
      </c>
      <c r="I248" s="12">
        <v>0</v>
      </c>
      <c r="J248" s="12">
        <v>10527620</v>
      </c>
      <c r="K248" s="12">
        <v>572965</v>
      </c>
      <c r="L248" s="12">
        <v>10062</v>
      </c>
      <c r="M248" s="12">
        <f t="shared" si="17"/>
        <v>26516.7</v>
      </c>
      <c r="N248" s="12">
        <v>231</v>
      </c>
      <c r="O248" s="12">
        <v>1282265</v>
      </c>
      <c r="P248" s="12">
        <v>239169</v>
      </c>
      <c r="Q248" s="12">
        <v>69488</v>
      </c>
      <c r="R248" s="12">
        <v>15</v>
      </c>
      <c r="S248" s="12">
        <v>89</v>
      </c>
      <c r="T248" s="12">
        <v>645</v>
      </c>
      <c r="U248" s="12">
        <v>1152</v>
      </c>
      <c r="V248" s="12">
        <v>741</v>
      </c>
      <c r="W248" s="12">
        <v>485</v>
      </c>
      <c r="X248" s="12">
        <v>252</v>
      </c>
      <c r="Y248" s="12">
        <v>53</v>
      </c>
      <c r="Z248" s="12">
        <v>2439</v>
      </c>
      <c r="AA248" s="12">
        <v>204</v>
      </c>
      <c r="AB248" s="12">
        <v>16753</v>
      </c>
      <c r="AC248" s="12">
        <v>854</v>
      </c>
      <c r="AD248" s="12">
        <v>6870</v>
      </c>
      <c r="AE248" s="12">
        <v>0</v>
      </c>
      <c r="AF248" s="12">
        <v>0</v>
      </c>
      <c r="AG248" s="12">
        <v>0</v>
      </c>
      <c r="AH248" s="12">
        <v>0</v>
      </c>
      <c r="AI248" s="12">
        <v>0</v>
      </c>
      <c r="AJ248" s="12">
        <v>0</v>
      </c>
      <c r="AK248" s="12">
        <v>27405</v>
      </c>
      <c r="AL248" s="12">
        <v>84</v>
      </c>
      <c r="AM248" s="12">
        <v>6140</v>
      </c>
      <c r="AN248" s="13">
        <f t="shared" si="14"/>
        <v>24777</v>
      </c>
    </row>
    <row r="249" ht="16.5" spans="1:40">
      <c r="A249">
        <f t="shared" si="16"/>
        <v>110</v>
      </c>
      <c r="B249">
        <f t="shared" si="15"/>
        <v>80</v>
      </c>
      <c r="C249" s="112">
        <v>230</v>
      </c>
      <c r="D249" s="113">
        <v>105.750000000001</v>
      </c>
      <c r="E249" s="113">
        <v>121.200000000001</v>
      </c>
      <c r="F249" s="113">
        <v>171.349999999999</v>
      </c>
      <c r="G249" s="113">
        <v>224</v>
      </c>
      <c r="H249" s="12">
        <v>42122</v>
      </c>
      <c r="I249" s="12">
        <v>0</v>
      </c>
      <c r="J249" s="12">
        <v>10572108</v>
      </c>
      <c r="K249" s="12">
        <v>575007</v>
      </c>
      <c r="L249" s="12">
        <v>10071</v>
      </c>
      <c r="M249" s="12">
        <f t="shared" si="17"/>
        <v>26626.7</v>
      </c>
      <c r="N249" s="12">
        <v>232</v>
      </c>
      <c r="O249" s="12">
        <v>1287983</v>
      </c>
      <c r="P249" s="12">
        <v>240202</v>
      </c>
      <c r="Q249" s="12">
        <v>69789</v>
      </c>
      <c r="R249" s="12">
        <v>15</v>
      </c>
      <c r="S249" s="12">
        <v>89</v>
      </c>
      <c r="T249" s="12">
        <v>645</v>
      </c>
      <c r="U249" s="12">
        <v>1156</v>
      </c>
      <c r="V249" s="12">
        <v>746</v>
      </c>
      <c r="W249" s="12">
        <v>488</v>
      </c>
      <c r="X249" s="12">
        <v>253</v>
      </c>
      <c r="Y249" s="12">
        <v>54</v>
      </c>
      <c r="Z249" s="12">
        <v>2449</v>
      </c>
      <c r="AA249" s="12">
        <v>205</v>
      </c>
      <c r="AB249" s="12">
        <v>16819</v>
      </c>
      <c r="AC249" s="12">
        <v>858</v>
      </c>
      <c r="AD249" s="12">
        <v>6900</v>
      </c>
      <c r="AE249" s="12">
        <v>0</v>
      </c>
      <c r="AF249" s="12">
        <v>0</v>
      </c>
      <c r="AG249" s="12">
        <v>0</v>
      </c>
      <c r="AH249" s="12">
        <v>0</v>
      </c>
      <c r="AI249" s="12">
        <v>0</v>
      </c>
      <c r="AJ249" s="12">
        <v>0</v>
      </c>
      <c r="AK249" s="12">
        <v>27510</v>
      </c>
      <c r="AL249" s="12">
        <v>84</v>
      </c>
      <c r="AM249" s="12">
        <v>6164</v>
      </c>
      <c r="AN249" s="13">
        <f t="shared" si="14"/>
        <v>24885</v>
      </c>
    </row>
    <row r="250" ht="16.5" spans="1:40">
      <c r="A250">
        <f t="shared" si="16"/>
        <v>110</v>
      </c>
      <c r="B250">
        <f t="shared" si="15"/>
        <v>230</v>
      </c>
      <c r="C250" s="112">
        <v>231</v>
      </c>
      <c r="D250" s="113">
        <v>105.900000000001</v>
      </c>
      <c r="E250" s="113">
        <v>121.400000000001</v>
      </c>
      <c r="F250" s="113">
        <v>171.699999999999</v>
      </c>
      <c r="G250" s="113">
        <v>224.5</v>
      </c>
      <c r="H250" s="12">
        <v>42352</v>
      </c>
      <c r="I250" s="12">
        <v>0</v>
      </c>
      <c r="J250" s="12">
        <v>10618446</v>
      </c>
      <c r="K250" s="12">
        <v>577799</v>
      </c>
      <c r="L250" s="12">
        <v>10080</v>
      </c>
      <c r="M250" s="12">
        <f t="shared" si="17"/>
        <v>26736.7</v>
      </c>
      <c r="N250" s="12">
        <v>234</v>
      </c>
      <c r="O250" s="12">
        <v>1294200</v>
      </c>
      <c r="P250" s="12">
        <v>241276</v>
      </c>
      <c r="Q250" s="12">
        <v>70091</v>
      </c>
      <c r="R250" s="12">
        <v>15</v>
      </c>
      <c r="S250" s="12">
        <v>89</v>
      </c>
      <c r="T250" s="12">
        <v>645</v>
      </c>
      <c r="U250" s="12">
        <v>1161</v>
      </c>
      <c r="V250" s="12">
        <v>751</v>
      </c>
      <c r="W250" s="12">
        <v>491</v>
      </c>
      <c r="X250" s="12">
        <v>255</v>
      </c>
      <c r="Y250" s="12">
        <v>54</v>
      </c>
      <c r="Z250" s="12">
        <v>2461</v>
      </c>
      <c r="AA250" s="12">
        <v>206</v>
      </c>
      <c r="AB250" s="12">
        <v>16884</v>
      </c>
      <c r="AC250" s="12">
        <v>862</v>
      </c>
      <c r="AD250" s="12">
        <v>6930</v>
      </c>
      <c r="AE250" s="12">
        <v>0</v>
      </c>
      <c r="AF250" s="12">
        <v>0</v>
      </c>
      <c r="AG250" s="12">
        <v>0</v>
      </c>
      <c r="AH250" s="12">
        <v>0</v>
      </c>
      <c r="AI250" s="12">
        <v>0</v>
      </c>
      <c r="AJ250" s="12">
        <v>0</v>
      </c>
      <c r="AK250" s="12">
        <v>27615</v>
      </c>
      <c r="AL250" s="12">
        <v>87</v>
      </c>
      <c r="AM250" s="12">
        <v>6193</v>
      </c>
      <c r="AN250" s="13">
        <f t="shared" si="14"/>
        <v>25003</v>
      </c>
    </row>
    <row r="251" ht="16.5" spans="1:40">
      <c r="A251">
        <f t="shared" si="16"/>
        <v>110</v>
      </c>
      <c r="B251">
        <f t="shared" si="15"/>
        <v>79</v>
      </c>
      <c r="C251" s="112">
        <v>232</v>
      </c>
      <c r="D251" s="113">
        <v>106.050000000001</v>
      </c>
      <c r="E251" s="113">
        <v>121.600000000001</v>
      </c>
      <c r="F251" s="113">
        <v>172.049999999999</v>
      </c>
      <c r="G251" s="113">
        <v>225</v>
      </c>
      <c r="H251" s="12">
        <v>42431</v>
      </c>
      <c r="I251" s="12">
        <v>0</v>
      </c>
      <c r="J251" s="12">
        <v>10663484</v>
      </c>
      <c r="K251" s="12">
        <v>579841</v>
      </c>
      <c r="L251" s="12">
        <v>10088</v>
      </c>
      <c r="M251" s="12">
        <f t="shared" si="17"/>
        <v>26846.7</v>
      </c>
      <c r="N251" s="12">
        <v>235</v>
      </c>
      <c r="O251" s="12">
        <v>1299918</v>
      </c>
      <c r="P251" s="12">
        <v>242310</v>
      </c>
      <c r="Q251" s="12">
        <v>70392</v>
      </c>
      <c r="R251" s="12">
        <v>15</v>
      </c>
      <c r="S251" s="12">
        <v>89</v>
      </c>
      <c r="T251" s="12">
        <v>645</v>
      </c>
      <c r="U251" s="12">
        <v>1165</v>
      </c>
      <c r="V251" s="12">
        <v>756</v>
      </c>
      <c r="W251" s="12">
        <v>494</v>
      </c>
      <c r="X251" s="12">
        <v>257</v>
      </c>
      <c r="Y251" s="12">
        <v>55</v>
      </c>
      <c r="Z251" s="12">
        <v>2471</v>
      </c>
      <c r="AA251" s="12">
        <v>207</v>
      </c>
      <c r="AB251" s="12">
        <v>16950</v>
      </c>
      <c r="AC251" s="12">
        <v>865</v>
      </c>
      <c r="AD251" s="12">
        <v>6960</v>
      </c>
      <c r="AE251" s="12">
        <v>0</v>
      </c>
      <c r="AF251" s="12">
        <v>0</v>
      </c>
      <c r="AG251" s="12">
        <v>0</v>
      </c>
      <c r="AH251" s="12">
        <v>0</v>
      </c>
      <c r="AI251" s="12">
        <v>0</v>
      </c>
      <c r="AJ251" s="12">
        <v>0</v>
      </c>
      <c r="AK251" s="12">
        <v>27720</v>
      </c>
      <c r="AL251" s="12">
        <v>87</v>
      </c>
      <c r="AM251" s="12">
        <v>6217</v>
      </c>
      <c r="AN251" s="13">
        <f t="shared" si="14"/>
        <v>25111</v>
      </c>
    </row>
    <row r="252" ht="16.5" spans="1:40">
      <c r="A252">
        <f t="shared" si="16"/>
        <v>110</v>
      </c>
      <c r="B252">
        <f t="shared" si="15"/>
        <v>80</v>
      </c>
      <c r="C252" s="112">
        <v>233</v>
      </c>
      <c r="D252" s="113">
        <v>106.200000000001</v>
      </c>
      <c r="E252" s="113">
        <v>121.800000000001</v>
      </c>
      <c r="F252" s="113">
        <v>172.399999999999</v>
      </c>
      <c r="G252" s="113">
        <v>225.5</v>
      </c>
      <c r="H252" s="12">
        <v>42511</v>
      </c>
      <c r="I252" s="12">
        <v>0</v>
      </c>
      <c r="J252" s="12">
        <v>10708021</v>
      </c>
      <c r="K252" s="12">
        <v>581884</v>
      </c>
      <c r="L252" s="12">
        <v>10097</v>
      </c>
      <c r="M252" s="12">
        <f t="shared" si="17"/>
        <v>26956.7</v>
      </c>
      <c r="N252" s="12">
        <v>236</v>
      </c>
      <c r="O252" s="12">
        <v>1305635</v>
      </c>
      <c r="P252" s="12">
        <v>243343</v>
      </c>
      <c r="Q252" s="12">
        <v>70693</v>
      </c>
      <c r="R252" s="12">
        <v>15</v>
      </c>
      <c r="S252" s="12">
        <v>89</v>
      </c>
      <c r="T252" s="12">
        <v>645</v>
      </c>
      <c r="U252" s="12">
        <v>1169</v>
      </c>
      <c r="V252" s="12">
        <v>762</v>
      </c>
      <c r="W252" s="12">
        <v>497</v>
      </c>
      <c r="X252" s="12">
        <v>259</v>
      </c>
      <c r="Y252" s="12">
        <v>56</v>
      </c>
      <c r="Z252" s="12">
        <v>2481</v>
      </c>
      <c r="AA252" s="12">
        <v>207</v>
      </c>
      <c r="AB252" s="12">
        <v>17016</v>
      </c>
      <c r="AC252" s="12">
        <v>869</v>
      </c>
      <c r="AD252" s="12">
        <v>6990</v>
      </c>
      <c r="AE252" s="12">
        <v>0</v>
      </c>
      <c r="AF252" s="12">
        <v>0</v>
      </c>
      <c r="AG252" s="12">
        <v>0</v>
      </c>
      <c r="AH252" s="12">
        <v>0</v>
      </c>
      <c r="AI252" s="12">
        <v>0</v>
      </c>
      <c r="AJ252" s="12">
        <v>0</v>
      </c>
      <c r="AK252" s="12">
        <v>27825</v>
      </c>
      <c r="AL252" s="12">
        <v>87</v>
      </c>
      <c r="AM252" s="12">
        <v>6240</v>
      </c>
      <c r="AN252" s="13">
        <f t="shared" si="14"/>
        <v>25191</v>
      </c>
    </row>
    <row r="253" ht="16.5" spans="1:40">
      <c r="A253">
        <f t="shared" si="16"/>
        <v>110</v>
      </c>
      <c r="B253">
        <f t="shared" si="15"/>
        <v>230</v>
      </c>
      <c r="C253" s="112">
        <v>234</v>
      </c>
      <c r="D253" s="113">
        <v>106.350000000001</v>
      </c>
      <c r="E253" s="113">
        <v>122.000000000001</v>
      </c>
      <c r="F253" s="113">
        <v>172.749999999999</v>
      </c>
      <c r="G253" s="113">
        <v>226</v>
      </c>
      <c r="H253" s="12">
        <v>42741</v>
      </c>
      <c r="I253" s="12">
        <v>0</v>
      </c>
      <c r="J253" s="12">
        <v>10768028</v>
      </c>
      <c r="K253" s="12">
        <v>584676</v>
      </c>
      <c r="L253" s="12">
        <v>10105</v>
      </c>
      <c r="M253" s="12">
        <f t="shared" si="17"/>
        <v>27066.7</v>
      </c>
      <c r="N253" s="12">
        <v>237</v>
      </c>
      <c r="O253" s="12">
        <v>1311852</v>
      </c>
      <c r="P253" s="12">
        <v>244417</v>
      </c>
      <c r="Q253" s="12">
        <v>70995</v>
      </c>
      <c r="R253" s="12">
        <v>15</v>
      </c>
      <c r="S253" s="12">
        <v>89</v>
      </c>
      <c r="T253" s="12">
        <v>645</v>
      </c>
      <c r="U253" s="12">
        <v>1173</v>
      </c>
      <c r="V253" s="12">
        <v>767</v>
      </c>
      <c r="W253" s="12">
        <v>500</v>
      </c>
      <c r="X253" s="12">
        <v>261</v>
      </c>
      <c r="Y253" s="12">
        <v>56</v>
      </c>
      <c r="Z253" s="12">
        <v>2492</v>
      </c>
      <c r="AA253" s="12">
        <v>210</v>
      </c>
      <c r="AB253" s="12">
        <v>17082</v>
      </c>
      <c r="AC253" s="12">
        <v>872</v>
      </c>
      <c r="AD253" s="12">
        <v>7020</v>
      </c>
      <c r="AE253" s="12">
        <v>0</v>
      </c>
      <c r="AF253" s="12">
        <v>0</v>
      </c>
      <c r="AG253" s="12">
        <v>0</v>
      </c>
      <c r="AH253" s="12">
        <v>0</v>
      </c>
      <c r="AI253" s="12">
        <v>0</v>
      </c>
      <c r="AJ253" s="12">
        <v>0</v>
      </c>
      <c r="AK253" s="12">
        <v>27960</v>
      </c>
      <c r="AL253" s="12">
        <v>87</v>
      </c>
      <c r="AM253" s="12">
        <v>6269</v>
      </c>
      <c r="AN253" s="13">
        <f t="shared" si="14"/>
        <v>25360</v>
      </c>
    </row>
    <row r="254" ht="16.5" spans="1:40">
      <c r="A254">
        <f t="shared" si="16"/>
        <v>110</v>
      </c>
      <c r="B254">
        <f t="shared" si="15"/>
        <v>79</v>
      </c>
      <c r="C254" s="112">
        <v>235</v>
      </c>
      <c r="D254" s="113">
        <v>106.500000000001</v>
      </c>
      <c r="E254" s="113">
        <v>122.200000000001</v>
      </c>
      <c r="F254" s="113">
        <v>173.099999999999</v>
      </c>
      <c r="G254" s="113">
        <v>226.5</v>
      </c>
      <c r="H254" s="12">
        <v>42820</v>
      </c>
      <c r="I254" s="12">
        <v>0</v>
      </c>
      <c r="J254" s="12">
        <v>10812735</v>
      </c>
      <c r="K254" s="12">
        <v>586718</v>
      </c>
      <c r="L254" s="12">
        <v>10114</v>
      </c>
      <c r="M254" s="12">
        <f t="shared" si="17"/>
        <v>27176.7</v>
      </c>
      <c r="N254" s="12">
        <v>238</v>
      </c>
      <c r="O254" s="12">
        <v>1317570</v>
      </c>
      <c r="P254" s="12">
        <v>245450</v>
      </c>
      <c r="Q254" s="12">
        <v>71296</v>
      </c>
      <c r="R254" s="12">
        <v>15</v>
      </c>
      <c r="S254" s="12">
        <v>89</v>
      </c>
      <c r="T254" s="12">
        <v>645</v>
      </c>
      <c r="U254" s="12">
        <v>1177</v>
      </c>
      <c r="V254" s="12">
        <v>773</v>
      </c>
      <c r="W254" s="12">
        <v>503</v>
      </c>
      <c r="X254" s="12">
        <v>263</v>
      </c>
      <c r="Y254" s="12">
        <v>57</v>
      </c>
      <c r="Z254" s="12">
        <v>2502</v>
      </c>
      <c r="AA254" s="12">
        <v>211</v>
      </c>
      <c r="AB254" s="12">
        <v>17147</v>
      </c>
      <c r="AC254" s="12">
        <v>876</v>
      </c>
      <c r="AD254" s="12">
        <v>7050</v>
      </c>
      <c r="AE254" s="12">
        <v>0</v>
      </c>
      <c r="AF254" s="12">
        <v>0</v>
      </c>
      <c r="AG254" s="12">
        <v>0</v>
      </c>
      <c r="AH254" s="12">
        <v>0</v>
      </c>
      <c r="AI254" s="12">
        <v>0</v>
      </c>
      <c r="AJ254" s="12">
        <v>0</v>
      </c>
      <c r="AK254" s="12">
        <v>28065</v>
      </c>
      <c r="AL254" s="12">
        <v>87</v>
      </c>
      <c r="AM254" s="12">
        <v>6293</v>
      </c>
      <c r="AN254" s="13">
        <f t="shared" si="14"/>
        <v>25468</v>
      </c>
    </row>
    <row r="255" ht="16.5" spans="1:40">
      <c r="A255">
        <f t="shared" si="16"/>
        <v>110</v>
      </c>
      <c r="B255">
        <f t="shared" si="15"/>
        <v>80</v>
      </c>
      <c r="C255" s="112">
        <v>236</v>
      </c>
      <c r="D255" s="113">
        <v>106.650000000001</v>
      </c>
      <c r="E255" s="113">
        <v>122.400000000001</v>
      </c>
      <c r="F255" s="113">
        <v>173.449999999999</v>
      </c>
      <c r="G255" s="113">
        <v>227</v>
      </c>
      <c r="H255" s="12">
        <v>42900</v>
      </c>
      <c r="I255" s="12">
        <v>0</v>
      </c>
      <c r="J255" s="12">
        <v>10857442</v>
      </c>
      <c r="K255" s="12">
        <v>588760</v>
      </c>
      <c r="L255" s="12">
        <v>10122</v>
      </c>
      <c r="M255" s="12">
        <f t="shared" si="17"/>
        <v>27286.7</v>
      </c>
      <c r="N255" s="12">
        <v>239</v>
      </c>
      <c r="O255" s="12">
        <v>1323287</v>
      </c>
      <c r="P255" s="12">
        <v>246484</v>
      </c>
      <c r="Q255" s="12">
        <v>71597</v>
      </c>
      <c r="R255" s="12">
        <v>15</v>
      </c>
      <c r="S255" s="12">
        <v>89</v>
      </c>
      <c r="T255" s="12">
        <v>645</v>
      </c>
      <c r="U255" s="12">
        <v>1181</v>
      </c>
      <c r="V255" s="12">
        <v>779</v>
      </c>
      <c r="W255" s="12">
        <v>506</v>
      </c>
      <c r="X255" s="12">
        <v>265</v>
      </c>
      <c r="Y255" s="12">
        <v>58</v>
      </c>
      <c r="Z255" s="12">
        <v>2513</v>
      </c>
      <c r="AA255" s="12">
        <v>212</v>
      </c>
      <c r="AB255" s="12">
        <v>17213</v>
      </c>
      <c r="AC255" s="12">
        <v>879</v>
      </c>
      <c r="AD255" s="12">
        <v>7080</v>
      </c>
      <c r="AE255" s="12">
        <v>0</v>
      </c>
      <c r="AF255" s="12">
        <v>0</v>
      </c>
      <c r="AG255" s="12">
        <v>0</v>
      </c>
      <c r="AH255" s="12">
        <v>0</v>
      </c>
      <c r="AI255" s="12">
        <v>0</v>
      </c>
      <c r="AJ255" s="12">
        <v>0</v>
      </c>
      <c r="AK255" s="12">
        <v>28170</v>
      </c>
      <c r="AL255" s="12">
        <v>87</v>
      </c>
      <c r="AM255" s="12">
        <v>6317</v>
      </c>
      <c r="AN255" s="13">
        <f t="shared" si="14"/>
        <v>25581</v>
      </c>
    </row>
    <row r="256" ht="16.5" spans="1:40">
      <c r="A256">
        <f t="shared" si="16"/>
        <v>110</v>
      </c>
      <c r="B256">
        <f t="shared" si="15"/>
        <v>230</v>
      </c>
      <c r="C256" s="112">
        <v>237</v>
      </c>
      <c r="D256" s="113">
        <v>106.800000000001</v>
      </c>
      <c r="E256" s="113">
        <v>122.600000000001</v>
      </c>
      <c r="F256" s="113">
        <v>173.799999999999</v>
      </c>
      <c r="G256" s="113">
        <v>227.5</v>
      </c>
      <c r="H256" s="12">
        <v>43130</v>
      </c>
      <c r="I256" s="12">
        <v>0</v>
      </c>
      <c r="J256" s="12">
        <v>10944997</v>
      </c>
      <c r="K256" s="12">
        <v>591552</v>
      </c>
      <c r="L256" s="12">
        <v>10131</v>
      </c>
      <c r="M256" s="12">
        <f t="shared" si="17"/>
        <v>27396.7</v>
      </c>
      <c r="N256" s="12">
        <v>239</v>
      </c>
      <c r="O256" s="12">
        <v>1329505</v>
      </c>
      <c r="P256" s="12">
        <v>247558</v>
      </c>
      <c r="Q256" s="12">
        <v>71898</v>
      </c>
      <c r="R256" s="12">
        <v>15</v>
      </c>
      <c r="S256" s="12">
        <v>89</v>
      </c>
      <c r="T256" s="12">
        <v>645</v>
      </c>
      <c r="U256" s="12">
        <v>1184</v>
      </c>
      <c r="V256" s="12">
        <v>784</v>
      </c>
      <c r="W256" s="12">
        <v>509</v>
      </c>
      <c r="X256" s="12">
        <v>267</v>
      </c>
      <c r="Y256" s="12">
        <v>59</v>
      </c>
      <c r="Z256" s="12">
        <v>2523</v>
      </c>
      <c r="AA256" s="12">
        <v>213</v>
      </c>
      <c r="AB256" s="12">
        <v>17279</v>
      </c>
      <c r="AC256" s="12">
        <v>883</v>
      </c>
      <c r="AD256" s="12">
        <v>7110</v>
      </c>
      <c r="AE256" s="12">
        <v>0</v>
      </c>
      <c r="AF256" s="12">
        <v>0</v>
      </c>
      <c r="AG256" s="12">
        <v>0</v>
      </c>
      <c r="AH256" s="12">
        <v>0</v>
      </c>
      <c r="AI256" s="12">
        <v>0</v>
      </c>
      <c r="AJ256" s="12">
        <v>0</v>
      </c>
      <c r="AK256" s="12">
        <v>28305</v>
      </c>
      <c r="AL256" s="12">
        <v>87</v>
      </c>
      <c r="AM256" s="12">
        <v>6346</v>
      </c>
      <c r="AN256" s="13">
        <f t="shared" si="14"/>
        <v>25689</v>
      </c>
    </row>
    <row r="257" ht="16.5" spans="1:40">
      <c r="A257">
        <f t="shared" si="16"/>
        <v>110</v>
      </c>
      <c r="B257">
        <f t="shared" si="15"/>
        <v>79</v>
      </c>
      <c r="C257" s="112">
        <v>238</v>
      </c>
      <c r="D257" s="113">
        <v>106.950000000001</v>
      </c>
      <c r="E257" s="113">
        <v>122.800000000001</v>
      </c>
      <c r="F257" s="113">
        <v>174.149999999999</v>
      </c>
      <c r="G257" s="113">
        <v>228</v>
      </c>
      <c r="H257" s="12">
        <v>43209</v>
      </c>
      <c r="I257" s="12">
        <v>0</v>
      </c>
      <c r="J257" s="12">
        <v>10989753</v>
      </c>
      <c r="K257" s="12">
        <v>593594</v>
      </c>
      <c r="L257" s="12">
        <v>10140</v>
      </c>
      <c r="M257" s="12">
        <f t="shared" si="17"/>
        <v>27506.7</v>
      </c>
      <c r="N257" s="12">
        <v>240</v>
      </c>
      <c r="O257" s="12">
        <v>1335222</v>
      </c>
      <c r="P257" s="12">
        <v>248591</v>
      </c>
      <c r="Q257" s="12">
        <v>72200</v>
      </c>
      <c r="R257" s="12">
        <v>15</v>
      </c>
      <c r="S257" s="12">
        <v>89</v>
      </c>
      <c r="T257" s="12">
        <v>645</v>
      </c>
      <c r="U257" s="12">
        <v>1188</v>
      </c>
      <c r="V257" s="12">
        <v>790</v>
      </c>
      <c r="W257" s="12">
        <v>512</v>
      </c>
      <c r="X257" s="12">
        <v>269</v>
      </c>
      <c r="Y257" s="12">
        <v>59</v>
      </c>
      <c r="Z257" s="12">
        <v>2534</v>
      </c>
      <c r="AA257" s="12">
        <v>214</v>
      </c>
      <c r="AB257" s="12">
        <v>17344</v>
      </c>
      <c r="AC257" s="12">
        <v>886</v>
      </c>
      <c r="AD257" s="12">
        <v>7140</v>
      </c>
      <c r="AE257" s="12">
        <v>0</v>
      </c>
      <c r="AF257" s="12">
        <v>0</v>
      </c>
      <c r="AG257" s="12">
        <v>0</v>
      </c>
      <c r="AH257" s="12">
        <v>0</v>
      </c>
      <c r="AI257" s="12">
        <v>0</v>
      </c>
      <c r="AJ257" s="12">
        <v>0</v>
      </c>
      <c r="AK257" s="12">
        <v>28410</v>
      </c>
      <c r="AL257" s="12">
        <v>87</v>
      </c>
      <c r="AM257" s="12">
        <v>6370</v>
      </c>
      <c r="AN257" s="13">
        <f t="shared" si="14"/>
        <v>25802</v>
      </c>
    </row>
    <row r="258" ht="16.5" spans="1:40">
      <c r="A258">
        <f t="shared" si="16"/>
        <v>110</v>
      </c>
      <c r="B258">
        <f t="shared" si="15"/>
        <v>80</v>
      </c>
      <c r="C258" s="112">
        <v>239</v>
      </c>
      <c r="D258" s="113">
        <v>107.100000000001</v>
      </c>
      <c r="E258" s="113">
        <v>123.000000000001</v>
      </c>
      <c r="F258" s="113">
        <v>174.499999999999</v>
      </c>
      <c r="G258" s="113">
        <v>228.5</v>
      </c>
      <c r="H258" s="12">
        <v>43289</v>
      </c>
      <c r="I258" s="12">
        <v>0</v>
      </c>
      <c r="J258" s="12">
        <v>11035009</v>
      </c>
      <c r="K258" s="12">
        <v>595637</v>
      </c>
      <c r="L258" s="12">
        <v>10148</v>
      </c>
      <c r="M258" s="12">
        <f t="shared" si="17"/>
        <v>27616.7</v>
      </c>
      <c r="N258" s="12">
        <v>241</v>
      </c>
      <c r="O258" s="12">
        <v>1340939</v>
      </c>
      <c r="P258" s="12">
        <v>249625</v>
      </c>
      <c r="Q258" s="12">
        <v>72501</v>
      </c>
      <c r="R258" s="12">
        <v>15</v>
      </c>
      <c r="S258" s="12">
        <v>89</v>
      </c>
      <c r="T258" s="12">
        <v>645</v>
      </c>
      <c r="U258" s="12">
        <v>1192</v>
      </c>
      <c r="V258" s="12">
        <v>795</v>
      </c>
      <c r="W258" s="12">
        <v>515</v>
      </c>
      <c r="X258" s="12">
        <v>271</v>
      </c>
      <c r="Y258" s="12">
        <v>60</v>
      </c>
      <c r="Z258" s="12">
        <v>2544</v>
      </c>
      <c r="AA258" s="12">
        <v>214</v>
      </c>
      <c r="AB258" s="12">
        <v>17410</v>
      </c>
      <c r="AC258" s="12">
        <v>890</v>
      </c>
      <c r="AD258" s="12">
        <v>7170</v>
      </c>
      <c r="AE258" s="12">
        <v>0</v>
      </c>
      <c r="AF258" s="12">
        <v>0</v>
      </c>
      <c r="AG258" s="12">
        <v>0</v>
      </c>
      <c r="AH258" s="12">
        <v>0</v>
      </c>
      <c r="AI258" s="12">
        <v>0</v>
      </c>
      <c r="AJ258" s="12">
        <v>0</v>
      </c>
      <c r="AK258" s="12">
        <v>28515</v>
      </c>
      <c r="AL258" s="12">
        <v>87</v>
      </c>
      <c r="AM258" s="12">
        <v>6394</v>
      </c>
      <c r="AN258" s="13">
        <f t="shared" si="14"/>
        <v>25882</v>
      </c>
    </row>
    <row r="259" ht="16.5" spans="1:40">
      <c r="A259">
        <f t="shared" si="16"/>
        <v>110</v>
      </c>
      <c r="B259">
        <f t="shared" si="15"/>
        <v>230</v>
      </c>
      <c r="C259" s="112">
        <v>240</v>
      </c>
      <c r="D259" s="113">
        <v>107.250000000001</v>
      </c>
      <c r="E259" s="113">
        <v>123.200000000001</v>
      </c>
      <c r="F259" s="113">
        <v>174.849999999999</v>
      </c>
      <c r="G259" s="113">
        <v>229</v>
      </c>
      <c r="H259" s="12">
        <v>43519</v>
      </c>
      <c r="I259" s="12">
        <v>0</v>
      </c>
      <c r="J259" s="12">
        <v>11081613</v>
      </c>
      <c r="K259" s="12">
        <v>598429</v>
      </c>
      <c r="L259" s="12">
        <v>10157</v>
      </c>
      <c r="M259" s="12">
        <f t="shared" si="17"/>
        <v>27726.7</v>
      </c>
      <c r="N259" s="12">
        <v>242</v>
      </c>
      <c r="O259" s="12">
        <v>1347157</v>
      </c>
      <c r="P259" s="12">
        <v>250698</v>
      </c>
      <c r="Q259" s="12">
        <v>72802</v>
      </c>
      <c r="R259" s="12">
        <v>15</v>
      </c>
      <c r="S259" s="12">
        <v>89</v>
      </c>
      <c r="T259" s="12">
        <v>645</v>
      </c>
      <c r="U259" s="12">
        <v>1195</v>
      </c>
      <c r="V259" s="12">
        <v>801</v>
      </c>
      <c r="W259" s="12">
        <v>518</v>
      </c>
      <c r="X259" s="12">
        <v>273</v>
      </c>
      <c r="Y259" s="12">
        <v>61</v>
      </c>
      <c r="Z259" s="12">
        <v>2554</v>
      </c>
      <c r="AA259" s="12">
        <v>215</v>
      </c>
      <c r="AB259" s="12">
        <v>17476</v>
      </c>
      <c r="AC259" s="12">
        <v>893</v>
      </c>
      <c r="AD259" s="12">
        <v>7200</v>
      </c>
      <c r="AE259" s="12">
        <v>0</v>
      </c>
      <c r="AF259" s="12">
        <v>0</v>
      </c>
      <c r="AG259" s="12">
        <v>0</v>
      </c>
      <c r="AH259" s="12">
        <v>0</v>
      </c>
      <c r="AI259" s="12">
        <v>0</v>
      </c>
      <c r="AJ259" s="12">
        <v>0</v>
      </c>
      <c r="AK259" s="12">
        <v>28650</v>
      </c>
      <c r="AL259" s="12">
        <v>87</v>
      </c>
      <c r="AM259" s="12">
        <v>6422</v>
      </c>
      <c r="AN259" s="13">
        <f t="shared" si="14"/>
        <v>25990</v>
      </c>
    </row>
    <row r="260" ht="16.5" spans="1:40">
      <c r="A260">
        <f t="shared" si="16"/>
        <v>110</v>
      </c>
      <c r="B260">
        <f t="shared" si="15"/>
        <v>79</v>
      </c>
      <c r="C260" s="112">
        <v>241</v>
      </c>
      <c r="D260" s="113">
        <v>107.400000000001</v>
      </c>
      <c r="E260" s="113">
        <v>123.400000000001</v>
      </c>
      <c r="F260" s="113">
        <v>175.199999999999</v>
      </c>
      <c r="G260" s="113">
        <v>229.5</v>
      </c>
      <c r="H260" s="12">
        <v>43598</v>
      </c>
      <c r="I260" s="12">
        <v>0</v>
      </c>
      <c r="J260" s="12">
        <v>11126418</v>
      </c>
      <c r="K260" s="12">
        <v>600471</v>
      </c>
      <c r="L260" s="12">
        <v>10165</v>
      </c>
      <c r="M260" s="12">
        <f t="shared" si="17"/>
        <v>27836.7</v>
      </c>
      <c r="N260" s="12">
        <v>243</v>
      </c>
      <c r="O260" s="12">
        <v>1352874</v>
      </c>
      <c r="P260" s="12">
        <v>251732</v>
      </c>
      <c r="Q260" s="12">
        <v>73103</v>
      </c>
      <c r="R260" s="12">
        <v>15</v>
      </c>
      <c r="S260" s="12">
        <v>89</v>
      </c>
      <c r="T260" s="12">
        <v>645</v>
      </c>
      <c r="U260" s="12">
        <v>1199</v>
      </c>
      <c r="V260" s="12">
        <v>807</v>
      </c>
      <c r="W260" s="12">
        <v>521</v>
      </c>
      <c r="X260" s="12">
        <v>274</v>
      </c>
      <c r="Y260" s="12">
        <v>62</v>
      </c>
      <c r="Z260" s="12">
        <v>2565</v>
      </c>
      <c r="AA260" s="12">
        <v>216</v>
      </c>
      <c r="AB260" s="12">
        <v>17542</v>
      </c>
      <c r="AC260" s="12">
        <v>897</v>
      </c>
      <c r="AD260" s="12">
        <v>7230</v>
      </c>
      <c r="AE260" s="12">
        <v>0</v>
      </c>
      <c r="AF260" s="12">
        <v>0</v>
      </c>
      <c r="AG260" s="12">
        <v>0</v>
      </c>
      <c r="AH260" s="12">
        <v>0</v>
      </c>
      <c r="AI260" s="12">
        <v>0</v>
      </c>
      <c r="AJ260" s="12">
        <v>0</v>
      </c>
      <c r="AK260" s="12">
        <v>28755</v>
      </c>
      <c r="AL260" s="12">
        <v>87</v>
      </c>
      <c r="AM260" s="12">
        <v>6446</v>
      </c>
      <c r="AN260" s="13">
        <f t="shared" si="14"/>
        <v>26103</v>
      </c>
    </row>
    <row r="261" ht="16.5" spans="1:40">
      <c r="A261">
        <f t="shared" si="16"/>
        <v>110</v>
      </c>
      <c r="B261">
        <f t="shared" si="15"/>
        <v>80</v>
      </c>
      <c r="C261" s="112">
        <v>242</v>
      </c>
      <c r="D261" s="113">
        <v>107.550000000001</v>
      </c>
      <c r="E261" s="113">
        <v>123.600000000001</v>
      </c>
      <c r="F261" s="113">
        <v>175.549999999999</v>
      </c>
      <c r="G261" s="113">
        <v>230</v>
      </c>
      <c r="H261" s="12">
        <v>43678</v>
      </c>
      <c r="I261" s="12">
        <v>0</v>
      </c>
      <c r="J261" s="12">
        <v>11171223</v>
      </c>
      <c r="K261" s="12">
        <v>602513</v>
      </c>
      <c r="L261" s="12">
        <v>10174</v>
      </c>
      <c r="M261" s="12">
        <f t="shared" si="17"/>
        <v>27946.7</v>
      </c>
      <c r="N261" s="12">
        <v>244</v>
      </c>
      <c r="O261" s="12">
        <v>1358591</v>
      </c>
      <c r="P261" s="12">
        <v>252766</v>
      </c>
      <c r="Q261" s="12">
        <v>73405</v>
      </c>
      <c r="R261" s="12">
        <v>15</v>
      </c>
      <c r="S261" s="12">
        <v>89</v>
      </c>
      <c r="T261" s="12">
        <v>645</v>
      </c>
      <c r="U261" s="12">
        <v>1203</v>
      </c>
      <c r="V261" s="12">
        <v>812</v>
      </c>
      <c r="W261" s="12">
        <v>524</v>
      </c>
      <c r="X261" s="12">
        <v>276</v>
      </c>
      <c r="Y261" s="12">
        <v>62</v>
      </c>
      <c r="Z261" s="12">
        <v>2575</v>
      </c>
      <c r="AA261" s="12">
        <v>217</v>
      </c>
      <c r="AB261" s="12">
        <v>17607</v>
      </c>
      <c r="AC261" s="12">
        <v>901</v>
      </c>
      <c r="AD261" s="12">
        <v>7260</v>
      </c>
      <c r="AE261" s="12">
        <v>0</v>
      </c>
      <c r="AF261" s="12">
        <v>0</v>
      </c>
      <c r="AG261" s="12">
        <v>0</v>
      </c>
      <c r="AH261" s="12">
        <v>0</v>
      </c>
      <c r="AI261" s="12">
        <v>0</v>
      </c>
      <c r="AJ261" s="12">
        <v>0</v>
      </c>
      <c r="AK261" s="12">
        <v>28860</v>
      </c>
      <c r="AL261" s="12">
        <v>87</v>
      </c>
      <c r="AM261" s="12">
        <v>6470</v>
      </c>
      <c r="AN261" s="13">
        <f t="shared" si="14"/>
        <v>26211</v>
      </c>
    </row>
    <row r="262" ht="16.5" spans="1:40">
      <c r="A262">
        <f t="shared" si="16"/>
        <v>110</v>
      </c>
      <c r="B262">
        <f t="shared" si="15"/>
        <v>230</v>
      </c>
      <c r="C262" s="112">
        <v>243</v>
      </c>
      <c r="D262" s="113">
        <v>107.700000000001</v>
      </c>
      <c r="E262" s="113">
        <v>123.800000000001</v>
      </c>
      <c r="F262" s="113">
        <v>175.899999999999</v>
      </c>
      <c r="G262" s="113">
        <v>230.5</v>
      </c>
      <c r="H262" s="12">
        <v>43908</v>
      </c>
      <c r="I262" s="12">
        <v>0</v>
      </c>
      <c r="J262" s="12">
        <v>11217876</v>
      </c>
      <c r="K262" s="12">
        <v>605305</v>
      </c>
      <c r="L262" s="12">
        <v>10182</v>
      </c>
      <c r="M262" s="12">
        <f t="shared" si="17"/>
        <v>28056.7</v>
      </c>
      <c r="N262" s="12">
        <v>245</v>
      </c>
      <c r="O262" s="12">
        <v>1364809</v>
      </c>
      <c r="P262" s="12">
        <v>253839</v>
      </c>
      <c r="Q262" s="12">
        <v>73706</v>
      </c>
      <c r="R262" s="12">
        <v>15</v>
      </c>
      <c r="S262" s="12">
        <v>89</v>
      </c>
      <c r="T262" s="12">
        <v>645</v>
      </c>
      <c r="U262" s="12">
        <v>1206</v>
      </c>
      <c r="V262" s="12">
        <v>818</v>
      </c>
      <c r="W262" s="12">
        <v>527</v>
      </c>
      <c r="X262" s="12">
        <v>278</v>
      </c>
      <c r="Y262" s="12">
        <v>63</v>
      </c>
      <c r="Z262" s="12">
        <v>2586</v>
      </c>
      <c r="AA262" s="12">
        <v>218</v>
      </c>
      <c r="AB262" s="12">
        <v>17673</v>
      </c>
      <c r="AC262" s="12">
        <v>904</v>
      </c>
      <c r="AD262" s="12">
        <v>7290</v>
      </c>
      <c r="AE262" s="12">
        <v>0</v>
      </c>
      <c r="AF262" s="12">
        <v>0</v>
      </c>
      <c r="AG262" s="12">
        <v>0</v>
      </c>
      <c r="AH262" s="12">
        <v>0</v>
      </c>
      <c r="AI262" s="12">
        <v>0</v>
      </c>
      <c r="AJ262" s="12">
        <v>0</v>
      </c>
      <c r="AK262" s="12">
        <v>28995</v>
      </c>
      <c r="AL262" s="12">
        <v>87</v>
      </c>
      <c r="AM262" s="12">
        <v>6499</v>
      </c>
      <c r="AN262" s="13">
        <f t="shared" si="14"/>
        <v>26324</v>
      </c>
    </row>
    <row r="263" ht="16.5" spans="1:40">
      <c r="A263">
        <f t="shared" si="16"/>
        <v>110</v>
      </c>
      <c r="B263">
        <f t="shared" si="15"/>
        <v>79</v>
      </c>
      <c r="C263" s="112">
        <v>244</v>
      </c>
      <c r="D263" s="113">
        <v>107.850000000001</v>
      </c>
      <c r="E263" s="113">
        <v>124.000000000001</v>
      </c>
      <c r="F263" s="113">
        <v>176.249999999999</v>
      </c>
      <c r="G263" s="113">
        <v>231</v>
      </c>
      <c r="H263" s="12">
        <v>43987</v>
      </c>
      <c r="I263" s="12">
        <v>0</v>
      </c>
      <c r="J263" s="12">
        <v>11262730</v>
      </c>
      <c r="K263" s="12">
        <v>607348</v>
      </c>
      <c r="L263" s="12">
        <v>10191</v>
      </c>
      <c r="M263" s="12">
        <f t="shared" si="17"/>
        <v>28166.7</v>
      </c>
      <c r="N263" s="12">
        <v>246</v>
      </c>
      <c r="O263" s="12">
        <v>1370526</v>
      </c>
      <c r="P263" s="12">
        <v>254873</v>
      </c>
      <c r="Q263" s="12">
        <v>74007</v>
      </c>
      <c r="R263" s="12">
        <v>15</v>
      </c>
      <c r="S263" s="12">
        <v>89</v>
      </c>
      <c r="T263" s="12">
        <v>645</v>
      </c>
      <c r="U263" s="12">
        <v>1210</v>
      </c>
      <c r="V263" s="12">
        <v>824</v>
      </c>
      <c r="W263" s="12">
        <v>530</v>
      </c>
      <c r="X263" s="12">
        <v>280</v>
      </c>
      <c r="Y263" s="12">
        <v>64</v>
      </c>
      <c r="Z263" s="12">
        <v>2596</v>
      </c>
      <c r="AA263" s="12">
        <v>219</v>
      </c>
      <c r="AB263" s="12">
        <v>17739</v>
      </c>
      <c r="AC263" s="12">
        <v>908</v>
      </c>
      <c r="AD263" s="12">
        <v>7320</v>
      </c>
      <c r="AE263" s="12">
        <v>0</v>
      </c>
      <c r="AF263" s="12">
        <v>0</v>
      </c>
      <c r="AG263" s="12">
        <v>0</v>
      </c>
      <c r="AH263" s="12">
        <v>0</v>
      </c>
      <c r="AI263" s="12">
        <v>0</v>
      </c>
      <c r="AJ263" s="12">
        <v>0</v>
      </c>
      <c r="AK263" s="12">
        <v>29100</v>
      </c>
      <c r="AL263" s="12">
        <v>87</v>
      </c>
      <c r="AM263" s="12">
        <v>6523</v>
      </c>
      <c r="AN263" s="13">
        <f t="shared" si="14"/>
        <v>26432</v>
      </c>
    </row>
    <row r="264" ht="16.5" spans="1:40">
      <c r="A264">
        <f t="shared" si="16"/>
        <v>110</v>
      </c>
      <c r="B264">
        <f t="shared" si="15"/>
        <v>80</v>
      </c>
      <c r="C264" s="112">
        <v>245</v>
      </c>
      <c r="D264" s="113">
        <v>108.000000000001</v>
      </c>
      <c r="E264" s="113">
        <v>124.200000000001</v>
      </c>
      <c r="F264" s="113">
        <v>176.599999999999</v>
      </c>
      <c r="G264" s="113">
        <v>231.5</v>
      </c>
      <c r="H264" s="12">
        <v>44067</v>
      </c>
      <c r="I264" s="12">
        <v>0</v>
      </c>
      <c r="J264" s="12">
        <v>11307584</v>
      </c>
      <c r="K264" s="12">
        <v>609390</v>
      </c>
      <c r="L264" s="12">
        <v>10200</v>
      </c>
      <c r="M264" s="12">
        <f t="shared" si="17"/>
        <v>28276.7</v>
      </c>
      <c r="N264" s="12">
        <v>247</v>
      </c>
      <c r="O264" s="12">
        <v>1376244</v>
      </c>
      <c r="P264" s="12">
        <v>255906</v>
      </c>
      <c r="Q264" s="12">
        <v>74308</v>
      </c>
      <c r="R264" s="12">
        <v>15</v>
      </c>
      <c r="S264" s="12">
        <v>89</v>
      </c>
      <c r="T264" s="12">
        <v>645</v>
      </c>
      <c r="U264" s="12">
        <v>1214</v>
      </c>
      <c r="V264" s="12">
        <v>829</v>
      </c>
      <c r="W264" s="12">
        <v>533</v>
      </c>
      <c r="X264" s="12">
        <v>282</v>
      </c>
      <c r="Y264" s="12">
        <v>65</v>
      </c>
      <c r="Z264" s="12">
        <v>2607</v>
      </c>
      <c r="AA264" s="12">
        <v>220</v>
      </c>
      <c r="AB264" s="12">
        <v>17804</v>
      </c>
      <c r="AC264" s="12">
        <v>911</v>
      </c>
      <c r="AD264" s="12">
        <v>7350</v>
      </c>
      <c r="AE264" s="12">
        <v>0</v>
      </c>
      <c r="AF264" s="12">
        <v>0</v>
      </c>
      <c r="AG264" s="12">
        <v>0</v>
      </c>
      <c r="AH264" s="12">
        <v>0</v>
      </c>
      <c r="AI264" s="12">
        <v>0</v>
      </c>
      <c r="AJ264" s="12">
        <v>0</v>
      </c>
      <c r="AK264" s="12">
        <v>29205</v>
      </c>
      <c r="AL264" s="12">
        <v>87</v>
      </c>
      <c r="AM264" s="12">
        <v>6547</v>
      </c>
      <c r="AN264" s="13">
        <f t="shared" si="14"/>
        <v>26545</v>
      </c>
    </row>
    <row r="265" ht="16.5" spans="1:40">
      <c r="A265">
        <f t="shared" si="16"/>
        <v>110</v>
      </c>
      <c r="B265">
        <f t="shared" si="15"/>
        <v>230</v>
      </c>
      <c r="C265" s="112">
        <v>246</v>
      </c>
      <c r="D265" s="113">
        <v>108.150000000001</v>
      </c>
      <c r="E265" s="113">
        <v>124.400000000001</v>
      </c>
      <c r="F265" s="113">
        <v>176.949999999999</v>
      </c>
      <c r="G265" s="113">
        <v>232</v>
      </c>
      <c r="H265" s="12">
        <v>44297</v>
      </c>
      <c r="I265" s="12">
        <v>0</v>
      </c>
      <c r="J265" s="12">
        <v>11354786</v>
      </c>
      <c r="K265" s="12">
        <v>612182</v>
      </c>
      <c r="L265" s="12">
        <v>10208</v>
      </c>
      <c r="M265" s="12">
        <f t="shared" si="17"/>
        <v>28386.7</v>
      </c>
      <c r="N265" s="12">
        <v>248</v>
      </c>
      <c r="O265" s="12">
        <v>1382461</v>
      </c>
      <c r="P265" s="12">
        <v>256980</v>
      </c>
      <c r="Q265" s="12">
        <v>74610</v>
      </c>
      <c r="R265" s="12">
        <v>15</v>
      </c>
      <c r="S265" s="12">
        <v>89</v>
      </c>
      <c r="T265" s="12">
        <v>645</v>
      </c>
      <c r="U265" s="12">
        <v>1217</v>
      </c>
      <c r="V265" s="12">
        <v>835</v>
      </c>
      <c r="W265" s="12">
        <v>536</v>
      </c>
      <c r="X265" s="12">
        <v>284</v>
      </c>
      <c r="Y265" s="12">
        <v>65</v>
      </c>
      <c r="Z265" s="12">
        <v>2618</v>
      </c>
      <c r="AA265" s="12">
        <v>220</v>
      </c>
      <c r="AB265" s="12">
        <v>17870</v>
      </c>
      <c r="AC265" s="12">
        <v>915</v>
      </c>
      <c r="AD265" s="12">
        <v>7380</v>
      </c>
      <c r="AE265" s="12">
        <v>0</v>
      </c>
      <c r="AF265" s="12">
        <v>0</v>
      </c>
      <c r="AG265" s="12">
        <v>0</v>
      </c>
      <c r="AH265" s="12">
        <v>0</v>
      </c>
      <c r="AI265" s="12">
        <v>0</v>
      </c>
      <c r="AJ265" s="12">
        <v>0</v>
      </c>
      <c r="AK265" s="12">
        <v>29310</v>
      </c>
      <c r="AL265" s="12">
        <v>90</v>
      </c>
      <c r="AM265" s="12">
        <v>6576</v>
      </c>
      <c r="AN265" s="13">
        <f t="shared" si="14"/>
        <v>26630</v>
      </c>
    </row>
    <row r="266" ht="16.5" spans="1:40">
      <c r="A266">
        <f t="shared" si="16"/>
        <v>110</v>
      </c>
      <c r="B266">
        <f t="shared" si="15"/>
        <v>79</v>
      </c>
      <c r="C266" s="112">
        <v>247</v>
      </c>
      <c r="D266" s="113">
        <v>108.300000000001</v>
      </c>
      <c r="E266" s="113">
        <v>124.600000000001</v>
      </c>
      <c r="F266" s="113">
        <v>177.299999999999</v>
      </c>
      <c r="G266" s="113">
        <v>232.5</v>
      </c>
      <c r="H266" s="12">
        <v>44376</v>
      </c>
      <c r="I266" s="12">
        <v>0</v>
      </c>
      <c r="J266" s="12">
        <v>11399689</v>
      </c>
      <c r="K266" s="12">
        <v>614224</v>
      </c>
      <c r="L266" s="12">
        <v>10217</v>
      </c>
      <c r="M266" s="12">
        <f t="shared" si="17"/>
        <v>28496.7</v>
      </c>
      <c r="N266" s="12">
        <v>249</v>
      </c>
      <c r="O266" s="12">
        <v>1388178</v>
      </c>
      <c r="P266" s="12">
        <v>258014</v>
      </c>
      <c r="Q266" s="12">
        <v>74911</v>
      </c>
      <c r="R266" s="12">
        <v>15</v>
      </c>
      <c r="S266" s="12">
        <v>89</v>
      </c>
      <c r="T266" s="12">
        <v>645</v>
      </c>
      <c r="U266" s="12">
        <v>1221</v>
      </c>
      <c r="V266" s="12">
        <v>840</v>
      </c>
      <c r="W266" s="12">
        <v>539</v>
      </c>
      <c r="X266" s="12">
        <v>286</v>
      </c>
      <c r="Y266" s="12">
        <v>66</v>
      </c>
      <c r="Z266" s="12">
        <v>2628</v>
      </c>
      <c r="AA266" s="12">
        <v>221</v>
      </c>
      <c r="AB266" s="12">
        <v>17936</v>
      </c>
      <c r="AC266" s="12">
        <v>918</v>
      </c>
      <c r="AD266" s="12">
        <v>7410</v>
      </c>
      <c r="AE266" s="12">
        <v>0</v>
      </c>
      <c r="AF266" s="12">
        <v>0</v>
      </c>
      <c r="AG266" s="12">
        <v>0</v>
      </c>
      <c r="AH266" s="12">
        <v>0</v>
      </c>
      <c r="AI266" s="12">
        <v>0</v>
      </c>
      <c r="AJ266" s="12">
        <v>0</v>
      </c>
      <c r="AK266" s="12">
        <v>29415</v>
      </c>
      <c r="AL266" s="12">
        <v>90</v>
      </c>
      <c r="AM266" s="12">
        <v>6599</v>
      </c>
      <c r="AN266" s="13">
        <f t="shared" si="14"/>
        <v>26738</v>
      </c>
    </row>
    <row r="267" ht="16.5" spans="1:40">
      <c r="A267">
        <f t="shared" si="16"/>
        <v>110</v>
      </c>
      <c r="B267">
        <f t="shared" si="15"/>
        <v>80</v>
      </c>
      <c r="C267" s="112">
        <v>248</v>
      </c>
      <c r="D267" s="113">
        <v>108.450000000001</v>
      </c>
      <c r="E267" s="113">
        <v>124.800000000001</v>
      </c>
      <c r="F267" s="113">
        <v>177.649999999999</v>
      </c>
      <c r="G267" s="113">
        <v>233</v>
      </c>
      <c r="H267" s="12">
        <v>44456</v>
      </c>
      <c r="I267" s="12">
        <v>0</v>
      </c>
      <c r="J267" s="12">
        <v>11444592</v>
      </c>
      <c r="K267" s="12">
        <v>616266</v>
      </c>
      <c r="L267" s="12">
        <v>10225</v>
      </c>
      <c r="M267" s="12">
        <f t="shared" si="17"/>
        <v>28606.7</v>
      </c>
      <c r="N267" s="12">
        <v>250</v>
      </c>
      <c r="O267" s="12">
        <v>1393896</v>
      </c>
      <c r="P267" s="12">
        <v>259047</v>
      </c>
      <c r="Q267" s="12">
        <v>75212</v>
      </c>
      <c r="R267" s="12">
        <v>15</v>
      </c>
      <c r="S267" s="12">
        <v>89</v>
      </c>
      <c r="T267" s="12">
        <v>645</v>
      </c>
      <c r="U267" s="12">
        <v>1225</v>
      </c>
      <c r="V267" s="12">
        <v>846</v>
      </c>
      <c r="W267" s="12">
        <v>542</v>
      </c>
      <c r="X267" s="12">
        <v>288</v>
      </c>
      <c r="Y267" s="12">
        <v>67</v>
      </c>
      <c r="Z267" s="12">
        <v>2639</v>
      </c>
      <c r="AA267" s="12">
        <v>222</v>
      </c>
      <c r="AB267" s="12">
        <v>18002</v>
      </c>
      <c r="AC267" s="12">
        <v>922</v>
      </c>
      <c r="AD267" s="12">
        <v>7440</v>
      </c>
      <c r="AE267" s="12">
        <v>0</v>
      </c>
      <c r="AF267" s="12">
        <v>0</v>
      </c>
      <c r="AG267" s="12">
        <v>0</v>
      </c>
      <c r="AH267" s="12">
        <v>0</v>
      </c>
      <c r="AI267" s="12">
        <v>0</v>
      </c>
      <c r="AJ267" s="12">
        <v>0</v>
      </c>
      <c r="AK267" s="12">
        <v>29520</v>
      </c>
      <c r="AL267" s="12">
        <v>90</v>
      </c>
      <c r="AM267" s="12">
        <v>6623</v>
      </c>
      <c r="AN267" s="13">
        <f t="shared" si="14"/>
        <v>26851</v>
      </c>
    </row>
    <row r="268" ht="16.5" spans="1:40">
      <c r="A268">
        <f t="shared" si="16"/>
        <v>110</v>
      </c>
      <c r="B268">
        <f t="shared" si="15"/>
        <v>80</v>
      </c>
      <c r="C268" s="112">
        <v>249</v>
      </c>
      <c r="D268" s="113">
        <v>108.600000000001</v>
      </c>
      <c r="E268" s="113">
        <v>125.000000000001</v>
      </c>
      <c r="F268" s="113">
        <v>177.999999999999</v>
      </c>
      <c r="G268" s="113">
        <v>233.5</v>
      </c>
      <c r="H268" s="12">
        <v>44536</v>
      </c>
      <c r="I268" s="12">
        <v>0</v>
      </c>
      <c r="J268" s="12">
        <v>11489494</v>
      </c>
      <c r="K268" s="12">
        <v>618308</v>
      </c>
      <c r="L268" s="12">
        <v>10234</v>
      </c>
      <c r="M268" s="12">
        <f t="shared" si="17"/>
        <v>28716.7</v>
      </c>
      <c r="N268" s="12">
        <v>251</v>
      </c>
      <c r="O268" s="12">
        <v>1399655</v>
      </c>
      <c r="P268" s="12">
        <v>260081</v>
      </c>
      <c r="Q268" s="12">
        <v>75513</v>
      </c>
      <c r="R268" s="12">
        <v>15</v>
      </c>
      <c r="S268" s="12">
        <v>89</v>
      </c>
      <c r="T268" s="12">
        <v>645</v>
      </c>
      <c r="U268" s="12">
        <v>1228</v>
      </c>
      <c r="V268" s="12">
        <v>852</v>
      </c>
      <c r="W268" s="12">
        <v>545</v>
      </c>
      <c r="X268" s="12">
        <v>290</v>
      </c>
      <c r="Y268" s="12">
        <v>68</v>
      </c>
      <c r="Z268" s="12">
        <v>2649</v>
      </c>
      <c r="AA268" s="12">
        <v>223</v>
      </c>
      <c r="AB268" s="12">
        <v>18067</v>
      </c>
      <c r="AC268" s="12">
        <v>925</v>
      </c>
      <c r="AD268" s="12">
        <v>7470</v>
      </c>
      <c r="AE268" s="12">
        <v>0</v>
      </c>
      <c r="AF268" s="12">
        <v>0</v>
      </c>
      <c r="AG268" s="12">
        <v>0</v>
      </c>
      <c r="AH268" s="12">
        <v>0</v>
      </c>
      <c r="AI268" s="12">
        <v>0</v>
      </c>
      <c r="AJ268" s="12">
        <v>0</v>
      </c>
      <c r="AK268" s="12">
        <v>29625</v>
      </c>
      <c r="AL268" s="12">
        <v>90</v>
      </c>
      <c r="AM268" s="12">
        <v>6647</v>
      </c>
      <c r="AN268" s="13">
        <f t="shared" si="14"/>
        <v>26959</v>
      </c>
    </row>
    <row r="269" ht="16.5" spans="1:40">
      <c r="A269">
        <f t="shared" si="16"/>
        <v>110</v>
      </c>
      <c r="B269">
        <f t="shared" si="15"/>
        <v>79</v>
      </c>
      <c r="C269" s="112">
        <v>250</v>
      </c>
      <c r="D269" s="113">
        <v>108.750000000001</v>
      </c>
      <c r="E269" s="113">
        <v>125.200000000001</v>
      </c>
      <c r="F269" s="113">
        <v>178.349999999999</v>
      </c>
      <c r="G269" s="113">
        <v>234</v>
      </c>
      <c r="H269" s="12">
        <v>44615</v>
      </c>
      <c r="I269" s="12">
        <v>0</v>
      </c>
      <c r="J269" s="12">
        <v>11534397</v>
      </c>
      <c r="K269" s="12">
        <v>620351</v>
      </c>
      <c r="L269" s="12">
        <v>10242</v>
      </c>
      <c r="M269" s="12">
        <f t="shared" si="17"/>
        <v>28826.7</v>
      </c>
      <c r="N269" s="12">
        <v>252</v>
      </c>
      <c r="O269" s="12">
        <v>1405414</v>
      </c>
      <c r="P269" s="12">
        <v>261114</v>
      </c>
      <c r="Q269" s="12">
        <v>75815</v>
      </c>
      <c r="R269" s="12">
        <v>15</v>
      </c>
      <c r="S269" s="12">
        <v>89</v>
      </c>
      <c r="T269" s="12">
        <v>645</v>
      </c>
      <c r="U269" s="12">
        <v>1232</v>
      </c>
      <c r="V269" s="12">
        <v>857</v>
      </c>
      <c r="W269" s="12">
        <v>548</v>
      </c>
      <c r="X269" s="12">
        <v>292</v>
      </c>
      <c r="Y269" s="12">
        <v>68</v>
      </c>
      <c r="Z269" s="12">
        <v>2660</v>
      </c>
      <c r="AA269" s="12">
        <v>224</v>
      </c>
      <c r="AB269" s="12">
        <v>18133</v>
      </c>
      <c r="AC269" s="12">
        <v>929</v>
      </c>
      <c r="AD269" s="12">
        <v>7500</v>
      </c>
      <c r="AE269" s="12">
        <v>0</v>
      </c>
      <c r="AF269" s="12">
        <v>0</v>
      </c>
      <c r="AG269" s="12">
        <v>0</v>
      </c>
      <c r="AH269" s="12">
        <v>0</v>
      </c>
      <c r="AI269" s="12">
        <v>0</v>
      </c>
      <c r="AJ269" s="12">
        <v>0</v>
      </c>
      <c r="AK269" s="12">
        <v>29730</v>
      </c>
      <c r="AL269" s="12">
        <v>90</v>
      </c>
      <c r="AM269" s="12">
        <v>6671</v>
      </c>
      <c r="AN269" s="13">
        <f t="shared" si="14"/>
        <v>27072</v>
      </c>
    </row>
    <row r="270" ht="16.5" spans="1:40">
      <c r="A270">
        <f t="shared" si="16"/>
        <v>110</v>
      </c>
      <c r="B270">
        <f t="shared" si="15"/>
        <v>80</v>
      </c>
      <c r="C270" s="112">
        <v>251</v>
      </c>
      <c r="D270" s="113">
        <v>108.900000000001</v>
      </c>
      <c r="E270" s="113">
        <v>125.400000000001</v>
      </c>
      <c r="F270" s="113">
        <v>178.699999999999</v>
      </c>
      <c r="G270" s="113">
        <v>234.5</v>
      </c>
      <c r="H270" s="12">
        <v>44695</v>
      </c>
      <c r="I270" s="12">
        <v>0</v>
      </c>
      <c r="J270" s="12">
        <v>11579300</v>
      </c>
      <c r="K270" s="12">
        <v>622393</v>
      </c>
      <c r="L270" s="12">
        <v>10251</v>
      </c>
      <c r="M270" s="12">
        <f t="shared" si="17"/>
        <v>28936.7</v>
      </c>
      <c r="N270" s="12">
        <v>253</v>
      </c>
      <c r="O270" s="12">
        <v>1411172</v>
      </c>
      <c r="P270" s="12">
        <v>262148</v>
      </c>
      <c r="Q270" s="12">
        <v>76116</v>
      </c>
      <c r="R270" s="12">
        <v>15</v>
      </c>
      <c r="S270" s="12">
        <v>89</v>
      </c>
      <c r="T270" s="12">
        <v>645</v>
      </c>
      <c r="U270" s="12">
        <v>1236</v>
      </c>
      <c r="V270" s="12">
        <v>863</v>
      </c>
      <c r="W270" s="12">
        <v>551</v>
      </c>
      <c r="X270" s="12">
        <v>294</v>
      </c>
      <c r="Y270" s="12">
        <v>69</v>
      </c>
      <c r="Z270" s="12">
        <v>2670</v>
      </c>
      <c r="AA270" s="12">
        <v>225</v>
      </c>
      <c r="AB270" s="12">
        <v>18199</v>
      </c>
      <c r="AC270" s="12">
        <v>932</v>
      </c>
      <c r="AD270" s="12">
        <v>7530</v>
      </c>
      <c r="AE270" s="12">
        <v>0</v>
      </c>
      <c r="AF270" s="12">
        <v>0</v>
      </c>
      <c r="AG270" s="12">
        <v>0</v>
      </c>
      <c r="AH270" s="12">
        <v>0</v>
      </c>
      <c r="AI270" s="12">
        <v>0</v>
      </c>
      <c r="AJ270" s="12">
        <v>0</v>
      </c>
      <c r="AK270" s="12">
        <v>29835</v>
      </c>
      <c r="AL270" s="12">
        <v>90</v>
      </c>
      <c r="AM270" s="12">
        <v>6695</v>
      </c>
      <c r="AN270" s="13">
        <f t="shared" si="14"/>
        <v>27180</v>
      </c>
    </row>
    <row r="271" ht="16.5" spans="1:40">
      <c r="A271">
        <f t="shared" si="16"/>
        <v>110</v>
      </c>
      <c r="B271">
        <f t="shared" si="15"/>
        <v>80</v>
      </c>
      <c r="C271" s="112">
        <v>252</v>
      </c>
      <c r="D271" s="113">
        <v>109.050000000001</v>
      </c>
      <c r="E271" s="113">
        <v>125.600000000001</v>
      </c>
      <c r="F271" s="113">
        <v>179.049999999999</v>
      </c>
      <c r="G271" s="113">
        <v>235</v>
      </c>
      <c r="H271" s="12">
        <v>44775</v>
      </c>
      <c r="I271" s="12">
        <v>0</v>
      </c>
      <c r="J271" s="12">
        <v>11624202</v>
      </c>
      <c r="K271" s="12">
        <v>624435</v>
      </c>
      <c r="L271" s="12">
        <v>10260</v>
      </c>
      <c r="M271" s="12">
        <f t="shared" si="17"/>
        <v>29046.7</v>
      </c>
      <c r="N271" s="12">
        <v>254</v>
      </c>
      <c r="O271" s="12">
        <v>1416931</v>
      </c>
      <c r="P271" s="12">
        <v>263182</v>
      </c>
      <c r="Q271" s="12">
        <v>76417</v>
      </c>
      <c r="R271" s="12">
        <v>15</v>
      </c>
      <c r="S271" s="12">
        <v>89</v>
      </c>
      <c r="T271" s="12">
        <v>645</v>
      </c>
      <c r="U271" s="12">
        <v>1239</v>
      </c>
      <c r="V271" s="12">
        <v>869</v>
      </c>
      <c r="W271" s="12">
        <v>554</v>
      </c>
      <c r="X271" s="12">
        <v>296</v>
      </c>
      <c r="Y271" s="12">
        <v>70</v>
      </c>
      <c r="Z271" s="12">
        <v>2681</v>
      </c>
      <c r="AA271" s="12">
        <v>225</v>
      </c>
      <c r="AB271" s="12">
        <v>18264</v>
      </c>
      <c r="AC271" s="12">
        <v>936</v>
      </c>
      <c r="AD271" s="12">
        <v>7560</v>
      </c>
      <c r="AE271" s="12">
        <v>0</v>
      </c>
      <c r="AF271" s="12">
        <v>0</v>
      </c>
      <c r="AG271" s="12">
        <v>0</v>
      </c>
      <c r="AH271" s="12">
        <v>0</v>
      </c>
      <c r="AI271" s="12">
        <v>0</v>
      </c>
      <c r="AJ271" s="12">
        <v>0</v>
      </c>
      <c r="AK271" s="12">
        <v>29940</v>
      </c>
      <c r="AL271" s="12">
        <v>90</v>
      </c>
      <c r="AM271" s="12">
        <v>6719</v>
      </c>
      <c r="AN271" s="13">
        <f t="shared" si="14"/>
        <v>27265</v>
      </c>
    </row>
    <row r="272" ht="16.5" spans="1:40">
      <c r="A272">
        <f t="shared" si="16"/>
        <v>110</v>
      </c>
      <c r="B272">
        <f t="shared" si="15"/>
        <v>79</v>
      </c>
      <c r="C272" s="112">
        <v>253</v>
      </c>
      <c r="D272" s="113">
        <v>109.200000000001</v>
      </c>
      <c r="E272" s="113">
        <v>125.800000000001</v>
      </c>
      <c r="F272" s="113">
        <v>179.399999999999</v>
      </c>
      <c r="G272" s="113">
        <v>235.5</v>
      </c>
      <c r="H272" s="12">
        <v>44854</v>
      </c>
      <c r="I272" s="12">
        <v>0</v>
      </c>
      <c r="J272" s="12">
        <v>11669605</v>
      </c>
      <c r="K272" s="12">
        <v>626477</v>
      </c>
      <c r="L272" s="12">
        <v>10268</v>
      </c>
      <c r="M272" s="12">
        <f t="shared" si="17"/>
        <v>29156.7</v>
      </c>
      <c r="N272" s="12">
        <v>255</v>
      </c>
      <c r="O272" s="12">
        <v>1422690</v>
      </c>
      <c r="P272" s="12">
        <v>264215</v>
      </c>
      <c r="Q272" s="12">
        <v>76718</v>
      </c>
      <c r="R272" s="12">
        <v>15</v>
      </c>
      <c r="S272" s="12">
        <v>89</v>
      </c>
      <c r="T272" s="12">
        <v>645</v>
      </c>
      <c r="U272" s="12">
        <v>1243</v>
      </c>
      <c r="V272" s="12">
        <v>874</v>
      </c>
      <c r="W272" s="12">
        <v>557</v>
      </c>
      <c r="X272" s="12">
        <v>298</v>
      </c>
      <c r="Y272" s="12">
        <v>71</v>
      </c>
      <c r="Z272" s="12">
        <v>2691</v>
      </c>
      <c r="AA272" s="12">
        <v>226</v>
      </c>
      <c r="AB272" s="12">
        <v>18330</v>
      </c>
      <c r="AC272" s="12">
        <v>939</v>
      </c>
      <c r="AD272" s="12">
        <v>7590</v>
      </c>
      <c r="AE272" s="12">
        <v>0</v>
      </c>
      <c r="AF272" s="12">
        <v>0</v>
      </c>
      <c r="AG272" s="12">
        <v>0</v>
      </c>
      <c r="AH272" s="12">
        <v>0</v>
      </c>
      <c r="AI272" s="12">
        <v>0</v>
      </c>
      <c r="AJ272" s="12">
        <v>0</v>
      </c>
      <c r="AK272" s="12">
        <v>30045</v>
      </c>
      <c r="AL272" s="12">
        <v>90</v>
      </c>
      <c r="AM272" s="12">
        <v>6743</v>
      </c>
      <c r="AN272" s="13">
        <f t="shared" si="14"/>
        <v>27373</v>
      </c>
    </row>
    <row r="273" ht="16.5" spans="1:40">
      <c r="A273">
        <f t="shared" si="16"/>
        <v>110</v>
      </c>
      <c r="B273">
        <f t="shared" si="15"/>
        <v>80</v>
      </c>
      <c r="C273" s="112">
        <v>254</v>
      </c>
      <c r="D273" s="113">
        <v>109.350000000001</v>
      </c>
      <c r="E273" s="113">
        <v>126.000000000001</v>
      </c>
      <c r="F273" s="113">
        <v>179.749999999999</v>
      </c>
      <c r="G273" s="113">
        <v>236</v>
      </c>
      <c r="H273" s="12">
        <v>44934</v>
      </c>
      <c r="I273" s="12">
        <v>0</v>
      </c>
      <c r="J273" s="12">
        <v>11714508</v>
      </c>
      <c r="K273" s="12">
        <v>628519</v>
      </c>
      <c r="L273" s="12">
        <v>10277</v>
      </c>
      <c r="M273" s="12">
        <f t="shared" si="17"/>
        <v>29266.7</v>
      </c>
      <c r="N273" s="12">
        <v>255</v>
      </c>
      <c r="O273" s="12">
        <v>1428449</v>
      </c>
      <c r="P273" s="12">
        <v>265249</v>
      </c>
      <c r="Q273" s="12">
        <v>77020</v>
      </c>
      <c r="R273" s="12">
        <v>15</v>
      </c>
      <c r="S273" s="12">
        <v>89</v>
      </c>
      <c r="T273" s="12">
        <v>645</v>
      </c>
      <c r="U273" s="12">
        <v>1247</v>
      </c>
      <c r="V273" s="12">
        <v>880</v>
      </c>
      <c r="W273" s="12">
        <v>560</v>
      </c>
      <c r="X273" s="12">
        <v>300</v>
      </c>
      <c r="Y273" s="12">
        <v>71</v>
      </c>
      <c r="Z273" s="12">
        <v>2702</v>
      </c>
      <c r="AA273" s="12">
        <v>227</v>
      </c>
      <c r="AB273" s="12">
        <v>18396</v>
      </c>
      <c r="AC273" s="12">
        <v>943</v>
      </c>
      <c r="AD273" s="12">
        <v>7620</v>
      </c>
      <c r="AE273" s="12">
        <v>0</v>
      </c>
      <c r="AF273" s="12">
        <v>0</v>
      </c>
      <c r="AG273" s="12">
        <v>0</v>
      </c>
      <c r="AH273" s="12">
        <v>0</v>
      </c>
      <c r="AI273" s="12">
        <v>0</v>
      </c>
      <c r="AJ273" s="12">
        <v>0</v>
      </c>
      <c r="AK273" s="12">
        <v>30150</v>
      </c>
      <c r="AL273" s="12">
        <v>90</v>
      </c>
      <c r="AM273" s="12">
        <v>6766</v>
      </c>
      <c r="AN273" s="13">
        <f t="shared" si="14"/>
        <v>27486</v>
      </c>
    </row>
    <row r="274" ht="16.5" spans="1:40">
      <c r="A274">
        <f t="shared" si="16"/>
        <v>110</v>
      </c>
      <c r="B274">
        <f t="shared" si="15"/>
        <v>80</v>
      </c>
      <c r="C274" s="112">
        <v>255</v>
      </c>
      <c r="D274" s="113">
        <v>109.500000000001</v>
      </c>
      <c r="E274" s="113">
        <v>126.200000000001</v>
      </c>
      <c r="F274" s="113">
        <v>180.099999999999</v>
      </c>
      <c r="G274" s="113">
        <v>236.5</v>
      </c>
      <c r="H274" s="12">
        <v>45014</v>
      </c>
      <c r="I274" s="12">
        <v>0</v>
      </c>
      <c r="J274" s="12">
        <v>11759410</v>
      </c>
      <c r="K274" s="12">
        <v>630562</v>
      </c>
      <c r="L274" s="12">
        <v>10285</v>
      </c>
      <c r="M274" s="12">
        <f t="shared" si="17"/>
        <v>29376.7</v>
      </c>
      <c r="N274" s="12">
        <v>256</v>
      </c>
      <c r="O274" s="12">
        <v>1434208</v>
      </c>
      <c r="P274" s="12">
        <v>266283</v>
      </c>
      <c r="Q274" s="12">
        <v>77321</v>
      </c>
      <c r="R274" s="12">
        <v>15</v>
      </c>
      <c r="S274" s="12">
        <v>89</v>
      </c>
      <c r="T274" s="12">
        <v>645</v>
      </c>
      <c r="U274" s="12">
        <v>1250</v>
      </c>
      <c r="V274" s="12">
        <v>885</v>
      </c>
      <c r="W274" s="12">
        <v>563</v>
      </c>
      <c r="X274" s="12">
        <v>302</v>
      </c>
      <c r="Y274" s="12">
        <v>72</v>
      </c>
      <c r="Z274" s="12">
        <v>2712</v>
      </c>
      <c r="AA274" s="12">
        <v>228</v>
      </c>
      <c r="AB274" s="12">
        <v>18462</v>
      </c>
      <c r="AC274" s="12">
        <v>947</v>
      </c>
      <c r="AD274" s="12">
        <v>7650</v>
      </c>
      <c r="AE274" s="12">
        <v>0</v>
      </c>
      <c r="AF274" s="12">
        <v>0</v>
      </c>
      <c r="AG274" s="12">
        <v>0</v>
      </c>
      <c r="AH274" s="12">
        <v>0</v>
      </c>
      <c r="AI274" s="12">
        <v>0</v>
      </c>
      <c r="AJ274" s="12">
        <v>0</v>
      </c>
      <c r="AK274" s="12">
        <v>30255</v>
      </c>
      <c r="AL274" s="12">
        <v>90</v>
      </c>
      <c r="AM274" s="12">
        <v>6790</v>
      </c>
      <c r="AN274" s="13">
        <f t="shared" si="14"/>
        <v>27594</v>
      </c>
    </row>
    <row r="275" ht="16.5" spans="1:40">
      <c r="A275">
        <f t="shared" si="16"/>
        <v>110</v>
      </c>
      <c r="B275">
        <f t="shared" si="15"/>
        <v>79</v>
      </c>
      <c r="C275" s="112">
        <v>256</v>
      </c>
      <c r="D275" s="113">
        <v>109.650000000001</v>
      </c>
      <c r="E275" s="113">
        <v>126.400000000001</v>
      </c>
      <c r="F275" s="113">
        <v>180.449999999999</v>
      </c>
      <c r="G275" s="113">
        <v>237</v>
      </c>
      <c r="H275" s="12">
        <v>45093</v>
      </c>
      <c r="I275" s="12">
        <v>0</v>
      </c>
      <c r="J275" s="12">
        <v>11804313</v>
      </c>
      <c r="K275" s="12">
        <v>632604</v>
      </c>
      <c r="L275" s="12">
        <v>10294</v>
      </c>
      <c r="M275" s="12">
        <f t="shared" si="17"/>
        <v>29486.7</v>
      </c>
      <c r="N275" s="12">
        <v>257</v>
      </c>
      <c r="O275" s="12">
        <v>1439967</v>
      </c>
      <c r="P275" s="12">
        <v>267316</v>
      </c>
      <c r="Q275" s="12">
        <v>77622</v>
      </c>
      <c r="R275" s="12">
        <v>15</v>
      </c>
      <c r="S275" s="12">
        <v>89</v>
      </c>
      <c r="T275" s="12">
        <v>645</v>
      </c>
      <c r="U275" s="12">
        <v>1254</v>
      </c>
      <c r="V275" s="12">
        <v>891</v>
      </c>
      <c r="W275" s="12">
        <v>566</v>
      </c>
      <c r="X275" s="12">
        <v>304</v>
      </c>
      <c r="Y275" s="12">
        <v>73</v>
      </c>
      <c r="Z275" s="12">
        <v>2722</v>
      </c>
      <c r="AA275" s="12">
        <v>229</v>
      </c>
      <c r="AB275" s="12">
        <v>18527</v>
      </c>
      <c r="AC275" s="12">
        <v>950</v>
      </c>
      <c r="AD275" s="12">
        <v>7680</v>
      </c>
      <c r="AE275" s="12">
        <v>0</v>
      </c>
      <c r="AF275" s="12">
        <v>0</v>
      </c>
      <c r="AG275" s="12">
        <v>0</v>
      </c>
      <c r="AH275" s="12">
        <v>0</v>
      </c>
      <c r="AI275" s="12">
        <v>0</v>
      </c>
      <c r="AJ275" s="12">
        <v>0</v>
      </c>
      <c r="AK275" s="12">
        <v>30360</v>
      </c>
      <c r="AL275" s="12">
        <v>90</v>
      </c>
      <c r="AM275" s="12">
        <v>6814</v>
      </c>
      <c r="AN275" s="13">
        <f t="shared" si="14"/>
        <v>27702</v>
      </c>
    </row>
    <row r="276" ht="16.5" spans="1:40">
      <c r="A276">
        <f t="shared" si="16"/>
        <v>110</v>
      </c>
      <c r="B276">
        <f t="shared" si="15"/>
        <v>80</v>
      </c>
      <c r="C276" s="112">
        <v>257</v>
      </c>
      <c r="D276" s="113">
        <v>109.800000000001</v>
      </c>
      <c r="E276" s="113">
        <v>126.600000000001</v>
      </c>
      <c r="F276" s="113">
        <v>180.799999999999</v>
      </c>
      <c r="G276" s="113">
        <v>237.5</v>
      </c>
      <c r="H276" s="12">
        <v>45173</v>
      </c>
      <c r="I276" s="12">
        <v>0</v>
      </c>
      <c r="J276" s="12">
        <v>11849216</v>
      </c>
      <c r="K276" s="12">
        <v>634646</v>
      </c>
      <c r="L276" s="12">
        <v>10302</v>
      </c>
      <c r="M276" s="12">
        <f t="shared" si="17"/>
        <v>29596.7</v>
      </c>
      <c r="N276" s="12">
        <v>258</v>
      </c>
      <c r="O276" s="12">
        <v>1445726</v>
      </c>
      <c r="P276" s="12">
        <v>268350</v>
      </c>
      <c r="Q276" s="12">
        <v>77924</v>
      </c>
      <c r="R276" s="12">
        <v>15</v>
      </c>
      <c r="S276" s="12">
        <v>89</v>
      </c>
      <c r="T276" s="12">
        <v>645</v>
      </c>
      <c r="U276" s="12">
        <v>1258</v>
      </c>
      <c r="V276" s="12">
        <v>897</v>
      </c>
      <c r="W276" s="12">
        <v>569</v>
      </c>
      <c r="X276" s="12">
        <v>306</v>
      </c>
      <c r="Y276" s="12">
        <v>74</v>
      </c>
      <c r="Z276" s="12">
        <v>2733</v>
      </c>
      <c r="AA276" s="12">
        <v>230</v>
      </c>
      <c r="AB276" s="12">
        <v>18593</v>
      </c>
      <c r="AC276" s="12">
        <v>954</v>
      </c>
      <c r="AD276" s="12">
        <v>7710</v>
      </c>
      <c r="AE276" s="12">
        <v>0</v>
      </c>
      <c r="AF276" s="12">
        <v>0</v>
      </c>
      <c r="AG276" s="12">
        <v>0</v>
      </c>
      <c r="AH276" s="12">
        <v>0</v>
      </c>
      <c r="AI276" s="12">
        <v>0</v>
      </c>
      <c r="AJ276" s="12">
        <v>0</v>
      </c>
      <c r="AK276" s="12">
        <v>30465</v>
      </c>
      <c r="AL276" s="12">
        <v>90</v>
      </c>
      <c r="AM276" s="12">
        <v>6838</v>
      </c>
      <c r="AN276" s="13">
        <f t="shared" ref="AN276:AN319" si="18">Z276*5+AA276*28+AD276</f>
        <v>27815</v>
      </c>
    </row>
    <row r="277" ht="16.5" spans="1:40">
      <c r="A277">
        <f t="shared" si="16"/>
        <v>110</v>
      </c>
      <c r="B277">
        <f t="shared" ref="B277:B318" si="19">H277-H276</f>
        <v>79</v>
      </c>
      <c r="C277" s="112">
        <v>258</v>
      </c>
      <c r="D277" s="113">
        <v>109.950000000001</v>
      </c>
      <c r="E277" s="113">
        <v>126.800000000001</v>
      </c>
      <c r="F277" s="113">
        <v>181.149999999999</v>
      </c>
      <c r="G277" s="113">
        <v>238</v>
      </c>
      <c r="H277" s="12">
        <v>45252</v>
      </c>
      <c r="I277" s="12">
        <v>0</v>
      </c>
      <c r="J277" s="12">
        <v>11894118</v>
      </c>
      <c r="K277" s="12">
        <v>636688</v>
      </c>
      <c r="L277" s="12">
        <v>10311</v>
      </c>
      <c r="M277" s="12">
        <f t="shared" si="17"/>
        <v>29706.7</v>
      </c>
      <c r="N277" s="12">
        <v>259</v>
      </c>
      <c r="O277" s="12">
        <v>1451484</v>
      </c>
      <c r="P277" s="12">
        <v>269383</v>
      </c>
      <c r="Q277" s="12">
        <v>78225</v>
      </c>
      <c r="R277" s="12">
        <v>15</v>
      </c>
      <c r="S277" s="12">
        <v>89</v>
      </c>
      <c r="T277" s="12">
        <v>645</v>
      </c>
      <c r="U277" s="12">
        <v>1261</v>
      </c>
      <c r="V277" s="12">
        <v>902</v>
      </c>
      <c r="W277" s="12">
        <v>572</v>
      </c>
      <c r="X277" s="12">
        <v>308</v>
      </c>
      <c r="Y277" s="12">
        <v>74</v>
      </c>
      <c r="Z277" s="12">
        <v>2743</v>
      </c>
      <c r="AA277" s="12">
        <v>230</v>
      </c>
      <c r="AB277" s="12">
        <v>18659</v>
      </c>
      <c r="AC277" s="12">
        <v>957</v>
      </c>
      <c r="AD277" s="12">
        <v>7740</v>
      </c>
      <c r="AE277" s="12">
        <v>0</v>
      </c>
      <c r="AF277" s="12">
        <v>0</v>
      </c>
      <c r="AG277" s="12">
        <v>0</v>
      </c>
      <c r="AH277" s="12">
        <v>0</v>
      </c>
      <c r="AI277" s="12">
        <v>0</v>
      </c>
      <c r="AJ277" s="12">
        <v>0</v>
      </c>
      <c r="AK277" s="12">
        <v>30570</v>
      </c>
      <c r="AL277" s="12">
        <v>90</v>
      </c>
      <c r="AM277" s="12">
        <v>6862</v>
      </c>
      <c r="AN277" s="13">
        <f t="shared" si="18"/>
        <v>27895</v>
      </c>
    </row>
    <row r="278" ht="16.5" spans="1:40">
      <c r="A278">
        <f t="shared" si="16"/>
        <v>110</v>
      </c>
      <c r="B278">
        <f t="shared" si="19"/>
        <v>80</v>
      </c>
      <c r="C278" s="112">
        <v>259</v>
      </c>
      <c r="D278" s="113">
        <v>110.100000000001</v>
      </c>
      <c r="E278" s="113">
        <v>127.000000000001</v>
      </c>
      <c r="F278" s="113">
        <v>181.499999999999</v>
      </c>
      <c r="G278" s="113">
        <v>238.5</v>
      </c>
      <c r="H278" s="12">
        <v>45332</v>
      </c>
      <c r="I278" s="12">
        <v>0</v>
      </c>
      <c r="J278" s="12">
        <v>11939021</v>
      </c>
      <c r="K278" s="12">
        <v>638730</v>
      </c>
      <c r="L278" s="12">
        <v>10320</v>
      </c>
      <c r="M278" s="12">
        <f t="shared" si="17"/>
        <v>29816.7</v>
      </c>
      <c r="N278" s="12">
        <v>260</v>
      </c>
      <c r="O278" s="12">
        <v>1457243</v>
      </c>
      <c r="P278" s="12">
        <v>270417</v>
      </c>
      <c r="Q278" s="12">
        <v>78526</v>
      </c>
      <c r="R278" s="12">
        <v>15</v>
      </c>
      <c r="S278" s="12">
        <v>89</v>
      </c>
      <c r="T278" s="12">
        <v>645</v>
      </c>
      <c r="U278" s="12">
        <v>1265</v>
      </c>
      <c r="V278" s="12">
        <v>908</v>
      </c>
      <c r="W278" s="12">
        <v>575</v>
      </c>
      <c r="X278" s="12">
        <v>310</v>
      </c>
      <c r="Y278" s="12">
        <v>75</v>
      </c>
      <c r="Z278" s="12">
        <v>2754</v>
      </c>
      <c r="AA278" s="12">
        <v>231</v>
      </c>
      <c r="AB278" s="12">
        <v>18724</v>
      </c>
      <c r="AC278" s="12">
        <v>961</v>
      </c>
      <c r="AD278" s="12">
        <v>7770</v>
      </c>
      <c r="AE278" s="12">
        <v>0</v>
      </c>
      <c r="AF278" s="12">
        <v>0</v>
      </c>
      <c r="AG278" s="12">
        <v>0</v>
      </c>
      <c r="AH278" s="12">
        <v>0</v>
      </c>
      <c r="AI278" s="12">
        <v>0</v>
      </c>
      <c r="AJ278" s="12">
        <v>0</v>
      </c>
      <c r="AK278" s="12">
        <v>30675</v>
      </c>
      <c r="AL278" s="12">
        <v>90</v>
      </c>
      <c r="AM278" s="12">
        <v>6886</v>
      </c>
      <c r="AN278" s="13">
        <f t="shared" si="18"/>
        <v>28008</v>
      </c>
    </row>
    <row r="279" ht="16.5" spans="1:40">
      <c r="A279">
        <f t="shared" si="16"/>
        <v>110</v>
      </c>
      <c r="B279">
        <f t="shared" si="19"/>
        <v>80</v>
      </c>
      <c r="C279" s="112">
        <v>260</v>
      </c>
      <c r="D279" s="113">
        <v>110.250000000001</v>
      </c>
      <c r="E279" s="113">
        <v>127.200000000001</v>
      </c>
      <c r="F279" s="113">
        <v>181.849999999999</v>
      </c>
      <c r="G279" s="113">
        <v>239</v>
      </c>
      <c r="H279" s="12">
        <v>45412</v>
      </c>
      <c r="I279" s="12">
        <v>0</v>
      </c>
      <c r="J279" s="12">
        <v>11984424</v>
      </c>
      <c r="K279" s="12">
        <v>640772</v>
      </c>
      <c r="L279" s="12">
        <v>10328</v>
      </c>
      <c r="M279" s="12">
        <f t="shared" si="17"/>
        <v>29926.7</v>
      </c>
      <c r="N279" s="12">
        <v>261</v>
      </c>
      <c r="O279" s="12">
        <v>1463002</v>
      </c>
      <c r="P279" s="12">
        <v>271451</v>
      </c>
      <c r="Q279" s="12">
        <v>78827</v>
      </c>
      <c r="R279" s="12">
        <v>15</v>
      </c>
      <c r="S279" s="12">
        <v>89</v>
      </c>
      <c r="T279" s="12">
        <v>645</v>
      </c>
      <c r="U279" s="12">
        <v>1269</v>
      </c>
      <c r="V279" s="12">
        <v>914</v>
      </c>
      <c r="W279" s="12">
        <v>578</v>
      </c>
      <c r="X279" s="12">
        <v>312</v>
      </c>
      <c r="Y279" s="12">
        <v>76</v>
      </c>
      <c r="Z279" s="12">
        <v>2764</v>
      </c>
      <c r="AA279" s="12">
        <v>232</v>
      </c>
      <c r="AB279" s="12">
        <v>18790</v>
      </c>
      <c r="AC279" s="12">
        <v>964</v>
      </c>
      <c r="AD279" s="12">
        <v>7800</v>
      </c>
      <c r="AE279" s="12">
        <v>0</v>
      </c>
      <c r="AF279" s="12">
        <v>0</v>
      </c>
      <c r="AG279" s="12">
        <v>0</v>
      </c>
      <c r="AH279" s="12">
        <v>0</v>
      </c>
      <c r="AI279" s="12">
        <v>0</v>
      </c>
      <c r="AJ279" s="12">
        <v>0</v>
      </c>
      <c r="AK279" s="12">
        <v>30780</v>
      </c>
      <c r="AL279" s="12">
        <v>90</v>
      </c>
      <c r="AM279" s="12">
        <v>6910</v>
      </c>
      <c r="AN279" s="13">
        <f t="shared" si="18"/>
        <v>28116</v>
      </c>
    </row>
    <row r="280" ht="16.5" spans="1:40">
      <c r="A280">
        <f t="shared" si="16"/>
        <v>110</v>
      </c>
      <c r="B280">
        <f t="shared" si="19"/>
        <v>79</v>
      </c>
      <c r="C280" s="112">
        <v>261</v>
      </c>
      <c r="D280" s="113">
        <v>110.400000000001</v>
      </c>
      <c r="E280" s="113">
        <v>127.400000000001</v>
      </c>
      <c r="F280" s="113">
        <v>182.199999999999</v>
      </c>
      <c r="G280" s="113">
        <v>239.5</v>
      </c>
      <c r="H280" s="12">
        <v>45491</v>
      </c>
      <c r="I280" s="12">
        <v>0</v>
      </c>
      <c r="J280" s="12">
        <v>12029326</v>
      </c>
      <c r="K280" s="12">
        <v>642815</v>
      </c>
      <c r="L280" s="12">
        <v>10337</v>
      </c>
      <c r="M280" s="12">
        <f t="shared" si="17"/>
        <v>30036.7</v>
      </c>
      <c r="N280" s="12">
        <v>262</v>
      </c>
      <c r="O280" s="12">
        <v>1468761</v>
      </c>
      <c r="P280" s="12">
        <v>272484</v>
      </c>
      <c r="Q280" s="12">
        <v>79129</v>
      </c>
      <c r="R280" s="12">
        <v>15</v>
      </c>
      <c r="S280" s="12">
        <v>89</v>
      </c>
      <c r="T280" s="12">
        <v>645</v>
      </c>
      <c r="U280" s="12">
        <v>1272</v>
      </c>
      <c r="V280" s="12">
        <v>919</v>
      </c>
      <c r="W280" s="12">
        <v>581</v>
      </c>
      <c r="X280" s="12">
        <v>313</v>
      </c>
      <c r="Y280" s="12">
        <v>77</v>
      </c>
      <c r="Z280" s="12">
        <v>2775</v>
      </c>
      <c r="AA280" s="12">
        <v>233</v>
      </c>
      <c r="AB280" s="12">
        <v>18856</v>
      </c>
      <c r="AC280" s="12">
        <v>968</v>
      </c>
      <c r="AD280" s="12">
        <v>7830</v>
      </c>
      <c r="AE280" s="12">
        <v>0</v>
      </c>
      <c r="AF280" s="12">
        <v>0</v>
      </c>
      <c r="AG280" s="12">
        <v>0</v>
      </c>
      <c r="AH280" s="12">
        <v>0</v>
      </c>
      <c r="AI280" s="12">
        <v>0</v>
      </c>
      <c r="AJ280" s="12">
        <v>0</v>
      </c>
      <c r="AK280" s="12">
        <v>30885</v>
      </c>
      <c r="AL280" s="12">
        <v>90</v>
      </c>
      <c r="AM280" s="12">
        <v>6933</v>
      </c>
      <c r="AN280" s="13">
        <f t="shared" si="18"/>
        <v>28229</v>
      </c>
    </row>
    <row r="281" ht="16.5" spans="1:40">
      <c r="A281">
        <f t="shared" si="16"/>
        <v>110</v>
      </c>
      <c r="B281">
        <f t="shared" si="19"/>
        <v>80</v>
      </c>
      <c r="C281" s="112">
        <v>262</v>
      </c>
      <c r="D281" s="113">
        <v>110.550000000001</v>
      </c>
      <c r="E281" s="113">
        <v>127.600000000001</v>
      </c>
      <c r="F281" s="113">
        <v>182.549999999999</v>
      </c>
      <c r="G281" s="113">
        <v>240</v>
      </c>
      <c r="H281" s="12">
        <v>45571</v>
      </c>
      <c r="I281" s="12">
        <v>0</v>
      </c>
      <c r="J281" s="12">
        <v>12074229</v>
      </c>
      <c r="K281" s="12">
        <v>644857</v>
      </c>
      <c r="L281" s="12">
        <v>10345</v>
      </c>
      <c r="M281" s="12">
        <f t="shared" si="17"/>
        <v>30146.7</v>
      </c>
      <c r="N281" s="12">
        <v>263</v>
      </c>
      <c r="O281" s="12">
        <v>1474520</v>
      </c>
      <c r="P281" s="12">
        <v>273518</v>
      </c>
      <c r="Q281" s="12">
        <v>79430</v>
      </c>
      <c r="R281" s="12">
        <v>15</v>
      </c>
      <c r="S281" s="12">
        <v>89</v>
      </c>
      <c r="T281" s="12">
        <v>645</v>
      </c>
      <c r="U281" s="12">
        <v>1276</v>
      </c>
      <c r="V281" s="12">
        <v>925</v>
      </c>
      <c r="W281" s="12">
        <v>584</v>
      </c>
      <c r="X281" s="12">
        <v>315</v>
      </c>
      <c r="Y281" s="12">
        <v>77</v>
      </c>
      <c r="Z281" s="12">
        <v>2785</v>
      </c>
      <c r="AA281" s="12">
        <v>234</v>
      </c>
      <c r="AB281" s="12">
        <v>18922</v>
      </c>
      <c r="AC281" s="12">
        <v>971</v>
      </c>
      <c r="AD281" s="12">
        <v>7860</v>
      </c>
      <c r="AE281" s="12">
        <v>0</v>
      </c>
      <c r="AF281" s="12">
        <v>0</v>
      </c>
      <c r="AG281" s="12">
        <v>0</v>
      </c>
      <c r="AH281" s="12">
        <v>0</v>
      </c>
      <c r="AI281" s="12">
        <v>0</v>
      </c>
      <c r="AJ281" s="12">
        <v>0</v>
      </c>
      <c r="AK281" s="12">
        <v>30990</v>
      </c>
      <c r="AL281" s="12">
        <v>90</v>
      </c>
      <c r="AM281" s="12">
        <v>6957</v>
      </c>
      <c r="AN281" s="13">
        <f t="shared" si="18"/>
        <v>28337</v>
      </c>
    </row>
    <row r="282" ht="16.5" spans="1:40">
      <c r="A282">
        <f t="shared" si="16"/>
        <v>110</v>
      </c>
      <c r="B282">
        <f t="shared" si="19"/>
        <v>80</v>
      </c>
      <c r="C282" s="112">
        <v>263</v>
      </c>
      <c r="D282" s="113">
        <v>110.700000000001</v>
      </c>
      <c r="E282" s="113">
        <v>127.800000000001</v>
      </c>
      <c r="F282" s="113">
        <v>182.899999999999</v>
      </c>
      <c r="G282" s="113">
        <v>240.5</v>
      </c>
      <c r="H282" s="12">
        <v>45651</v>
      </c>
      <c r="I282" s="12">
        <v>0</v>
      </c>
      <c r="J282" s="12">
        <v>12119132</v>
      </c>
      <c r="K282" s="12">
        <v>646899</v>
      </c>
      <c r="L282" s="12">
        <v>10354</v>
      </c>
      <c r="M282" s="12">
        <f t="shared" si="17"/>
        <v>30256.7</v>
      </c>
      <c r="N282" s="12">
        <v>263</v>
      </c>
      <c r="O282" s="12">
        <v>1480279</v>
      </c>
      <c r="P282" s="12">
        <v>274551</v>
      </c>
      <c r="Q282" s="12">
        <v>79731</v>
      </c>
      <c r="R282" s="12">
        <v>15</v>
      </c>
      <c r="S282" s="12">
        <v>89</v>
      </c>
      <c r="T282" s="12">
        <v>645</v>
      </c>
      <c r="U282" s="12">
        <v>1280</v>
      </c>
      <c r="V282" s="12">
        <v>930</v>
      </c>
      <c r="W282" s="12">
        <v>587</v>
      </c>
      <c r="X282" s="12">
        <v>317</v>
      </c>
      <c r="Y282" s="12">
        <v>78</v>
      </c>
      <c r="Z282" s="12">
        <v>2795</v>
      </c>
      <c r="AA282" s="12">
        <v>235</v>
      </c>
      <c r="AB282" s="12">
        <v>18987</v>
      </c>
      <c r="AC282" s="12">
        <v>975</v>
      </c>
      <c r="AD282" s="12">
        <v>7890</v>
      </c>
      <c r="AE282" s="12">
        <v>0</v>
      </c>
      <c r="AF282" s="12">
        <v>0</v>
      </c>
      <c r="AG282" s="12">
        <v>0</v>
      </c>
      <c r="AH282" s="12">
        <v>0</v>
      </c>
      <c r="AI282" s="12">
        <v>0</v>
      </c>
      <c r="AJ282" s="12">
        <v>0</v>
      </c>
      <c r="AK282" s="12">
        <v>31095</v>
      </c>
      <c r="AL282" s="12">
        <v>90</v>
      </c>
      <c r="AM282" s="12">
        <v>6981</v>
      </c>
      <c r="AN282" s="13">
        <f t="shared" si="18"/>
        <v>28445</v>
      </c>
    </row>
    <row r="283" ht="16.5" spans="1:40">
      <c r="A283">
        <f t="shared" si="16"/>
        <v>110</v>
      </c>
      <c r="B283">
        <f t="shared" si="19"/>
        <v>79</v>
      </c>
      <c r="C283" s="112">
        <v>264</v>
      </c>
      <c r="D283" s="113">
        <v>110.850000000001</v>
      </c>
      <c r="E283" s="113">
        <v>128.000000000001</v>
      </c>
      <c r="F283" s="113">
        <v>183.249999999999</v>
      </c>
      <c r="G283" s="113">
        <v>241</v>
      </c>
      <c r="H283" s="12">
        <v>45730</v>
      </c>
      <c r="I283" s="12">
        <v>0</v>
      </c>
      <c r="J283" s="12">
        <v>12164035</v>
      </c>
      <c r="K283" s="12">
        <v>648941</v>
      </c>
      <c r="L283" s="12">
        <v>10362</v>
      </c>
      <c r="M283" s="12">
        <f t="shared" si="17"/>
        <v>30366.7</v>
      </c>
      <c r="N283" s="12">
        <v>264</v>
      </c>
      <c r="O283" s="12">
        <v>1486038</v>
      </c>
      <c r="P283" s="12">
        <v>275585</v>
      </c>
      <c r="Q283" s="12">
        <v>80032</v>
      </c>
      <c r="R283" s="12">
        <v>15</v>
      </c>
      <c r="S283" s="12">
        <v>89</v>
      </c>
      <c r="T283" s="12">
        <v>645</v>
      </c>
      <c r="U283" s="12">
        <v>1283</v>
      </c>
      <c r="V283" s="12">
        <v>936</v>
      </c>
      <c r="W283" s="12">
        <v>590</v>
      </c>
      <c r="X283" s="12">
        <v>319</v>
      </c>
      <c r="Y283" s="12">
        <v>79</v>
      </c>
      <c r="Z283" s="12">
        <v>2806</v>
      </c>
      <c r="AA283" s="12">
        <v>235</v>
      </c>
      <c r="AB283" s="12">
        <v>19053</v>
      </c>
      <c r="AC283" s="12">
        <v>978</v>
      </c>
      <c r="AD283" s="12">
        <v>7920</v>
      </c>
      <c r="AE283" s="12">
        <v>0</v>
      </c>
      <c r="AF283" s="12">
        <v>0</v>
      </c>
      <c r="AG283" s="12">
        <v>0</v>
      </c>
      <c r="AH283" s="12">
        <v>0</v>
      </c>
      <c r="AI283" s="12">
        <v>0</v>
      </c>
      <c r="AJ283" s="12">
        <v>0</v>
      </c>
      <c r="AK283" s="12">
        <v>31200</v>
      </c>
      <c r="AL283" s="12">
        <v>90</v>
      </c>
      <c r="AM283" s="12">
        <v>7005</v>
      </c>
      <c r="AN283" s="13">
        <f t="shared" si="18"/>
        <v>28530</v>
      </c>
    </row>
    <row r="284" ht="16.5" spans="1:40">
      <c r="A284">
        <f t="shared" si="16"/>
        <v>110</v>
      </c>
      <c r="B284">
        <f t="shared" si="19"/>
        <v>80</v>
      </c>
      <c r="C284" s="112">
        <v>265</v>
      </c>
      <c r="D284" s="113">
        <v>111.000000000001</v>
      </c>
      <c r="E284" s="113">
        <v>128.200000000001</v>
      </c>
      <c r="F284" s="113">
        <v>183.599999999999</v>
      </c>
      <c r="G284" s="113">
        <v>241.5</v>
      </c>
      <c r="H284" s="12">
        <v>45810</v>
      </c>
      <c r="I284" s="12">
        <v>0</v>
      </c>
      <c r="J284" s="12">
        <v>12208937</v>
      </c>
      <c r="K284" s="12">
        <v>650983</v>
      </c>
      <c r="L284" s="12">
        <v>10371</v>
      </c>
      <c r="M284" s="12">
        <f t="shared" si="17"/>
        <v>30476.7</v>
      </c>
      <c r="N284" s="12">
        <v>265</v>
      </c>
      <c r="O284" s="12">
        <v>1491797</v>
      </c>
      <c r="P284" s="12">
        <v>276619</v>
      </c>
      <c r="Q284" s="12">
        <v>80334</v>
      </c>
      <c r="R284" s="12">
        <v>15</v>
      </c>
      <c r="S284" s="12">
        <v>89</v>
      </c>
      <c r="T284" s="12">
        <v>645</v>
      </c>
      <c r="U284" s="12">
        <v>1287</v>
      </c>
      <c r="V284" s="12">
        <v>942</v>
      </c>
      <c r="W284" s="12">
        <v>593</v>
      </c>
      <c r="X284" s="12">
        <v>321</v>
      </c>
      <c r="Y284" s="12">
        <v>80</v>
      </c>
      <c r="Z284" s="12">
        <v>2816</v>
      </c>
      <c r="AA284" s="12">
        <v>236</v>
      </c>
      <c r="AB284" s="12">
        <v>19119</v>
      </c>
      <c r="AC284" s="12">
        <v>982</v>
      </c>
      <c r="AD284" s="12">
        <v>7950</v>
      </c>
      <c r="AE284" s="12">
        <v>0</v>
      </c>
      <c r="AF284" s="12">
        <v>0</v>
      </c>
      <c r="AG284" s="12">
        <v>0</v>
      </c>
      <c r="AH284" s="12">
        <v>0</v>
      </c>
      <c r="AI284" s="12">
        <v>0</v>
      </c>
      <c r="AJ284" s="12">
        <v>0</v>
      </c>
      <c r="AK284" s="12">
        <v>31305</v>
      </c>
      <c r="AL284" s="12">
        <v>90</v>
      </c>
      <c r="AM284" s="12">
        <v>7029</v>
      </c>
      <c r="AN284" s="13">
        <f t="shared" si="18"/>
        <v>28638</v>
      </c>
    </row>
    <row r="285" ht="16.5" spans="1:40">
      <c r="A285">
        <f t="shared" ref="A285:A319" si="20">M285-M284</f>
        <v>110</v>
      </c>
      <c r="B285">
        <f t="shared" si="19"/>
        <v>80</v>
      </c>
      <c r="C285" s="112">
        <v>266</v>
      </c>
      <c r="D285" s="113">
        <v>111.150000000001</v>
      </c>
      <c r="E285" s="113">
        <v>128.400000000001</v>
      </c>
      <c r="F285" s="113">
        <v>183.949999999999</v>
      </c>
      <c r="G285" s="113">
        <v>242</v>
      </c>
      <c r="H285" s="12">
        <v>45890</v>
      </c>
      <c r="I285" s="12">
        <v>0</v>
      </c>
      <c r="J285" s="12">
        <v>12253840</v>
      </c>
      <c r="K285" s="12">
        <v>653026</v>
      </c>
      <c r="L285" s="12">
        <v>10380</v>
      </c>
      <c r="M285" s="12">
        <f t="shared" si="17"/>
        <v>30586.7</v>
      </c>
      <c r="N285" s="12">
        <v>266</v>
      </c>
      <c r="O285" s="12">
        <v>1497555</v>
      </c>
      <c r="P285" s="12">
        <v>277652</v>
      </c>
      <c r="Q285" s="12">
        <v>80635</v>
      </c>
      <c r="R285" s="12">
        <v>15</v>
      </c>
      <c r="S285" s="12">
        <v>89</v>
      </c>
      <c r="T285" s="12">
        <v>645</v>
      </c>
      <c r="U285" s="12">
        <v>1291</v>
      </c>
      <c r="V285" s="12">
        <v>947</v>
      </c>
      <c r="W285" s="12">
        <v>596</v>
      </c>
      <c r="X285" s="12">
        <v>323</v>
      </c>
      <c r="Y285" s="12">
        <v>80</v>
      </c>
      <c r="Z285" s="12">
        <v>2827</v>
      </c>
      <c r="AA285" s="12">
        <v>237</v>
      </c>
      <c r="AB285" s="12">
        <v>19184</v>
      </c>
      <c r="AC285" s="12">
        <v>986</v>
      </c>
      <c r="AD285" s="12">
        <v>7980</v>
      </c>
      <c r="AE285" s="12">
        <v>0</v>
      </c>
      <c r="AF285" s="12">
        <v>0</v>
      </c>
      <c r="AG285" s="12">
        <v>0</v>
      </c>
      <c r="AH285" s="12">
        <v>0</v>
      </c>
      <c r="AI285" s="12">
        <v>0</v>
      </c>
      <c r="AJ285" s="12">
        <v>0</v>
      </c>
      <c r="AK285" s="12">
        <v>31410</v>
      </c>
      <c r="AL285" s="12">
        <v>90</v>
      </c>
      <c r="AM285" s="12">
        <v>7053</v>
      </c>
      <c r="AN285" s="13">
        <f t="shared" si="18"/>
        <v>28751</v>
      </c>
    </row>
    <row r="286" ht="16.5" spans="1:40">
      <c r="A286">
        <f t="shared" si="20"/>
        <v>110</v>
      </c>
      <c r="B286">
        <f t="shared" si="19"/>
        <v>79</v>
      </c>
      <c r="C286" s="112">
        <v>267</v>
      </c>
      <c r="D286" s="113">
        <v>111.300000000001</v>
      </c>
      <c r="E286" s="113">
        <v>128.600000000001</v>
      </c>
      <c r="F286" s="113">
        <v>184.299999999999</v>
      </c>
      <c r="G286" s="113">
        <v>242.5</v>
      </c>
      <c r="H286" s="12">
        <v>45969</v>
      </c>
      <c r="I286" s="12">
        <v>0</v>
      </c>
      <c r="J286" s="12">
        <v>12299243</v>
      </c>
      <c r="K286" s="12">
        <v>655068</v>
      </c>
      <c r="L286" s="12">
        <v>10388</v>
      </c>
      <c r="M286" s="12">
        <f t="shared" si="17"/>
        <v>30696.7</v>
      </c>
      <c r="N286" s="12">
        <v>267</v>
      </c>
      <c r="O286" s="12">
        <v>1503314</v>
      </c>
      <c r="P286" s="12">
        <v>278686</v>
      </c>
      <c r="Q286" s="12">
        <v>80936</v>
      </c>
      <c r="R286" s="12">
        <v>15</v>
      </c>
      <c r="S286" s="12">
        <v>89</v>
      </c>
      <c r="T286" s="12">
        <v>645</v>
      </c>
      <c r="U286" s="12">
        <v>1294</v>
      </c>
      <c r="V286" s="12">
        <v>953</v>
      </c>
      <c r="W286" s="12">
        <v>599</v>
      </c>
      <c r="X286" s="12">
        <v>325</v>
      </c>
      <c r="Y286" s="12">
        <v>81</v>
      </c>
      <c r="Z286" s="12">
        <v>2837</v>
      </c>
      <c r="AA286" s="12">
        <v>238</v>
      </c>
      <c r="AB286" s="12">
        <v>19250</v>
      </c>
      <c r="AC286" s="12">
        <v>989</v>
      </c>
      <c r="AD286" s="12">
        <v>8010</v>
      </c>
      <c r="AE286" s="12">
        <v>0</v>
      </c>
      <c r="AF286" s="12">
        <v>0</v>
      </c>
      <c r="AG286" s="12">
        <v>0</v>
      </c>
      <c r="AH286" s="12">
        <v>0</v>
      </c>
      <c r="AI286" s="12">
        <v>0</v>
      </c>
      <c r="AJ286" s="12">
        <v>0</v>
      </c>
      <c r="AK286" s="12">
        <v>31515</v>
      </c>
      <c r="AL286" s="12">
        <v>90</v>
      </c>
      <c r="AM286" s="12">
        <v>7077</v>
      </c>
      <c r="AN286" s="13">
        <f t="shared" si="18"/>
        <v>28859</v>
      </c>
    </row>
    <row r="287" ht="16.5" spans="1:40">
      <c r="A287">
        <f t="shared" si="20"/>
        <v>110</v>
      </c>
      <c r="B287">
        <f t="shared" si="19"/>
        <v>80</v>
      </c>
      <c r="C287" s="112">
        <v>268</v>
      </c>
      <c r="D287" s="113">
        <v>111.450000000001</v>
      </c>
      <c r="E287" s="113">
        <v>128.800000000001</v>
      </c>
      <c r="F287" s="113">
        <v>184.649999999999</v>
      </c>
      <c r="G287" s="113">
        <v>243</v>
      </c>
      <c r="H287" s="12">
        <v>46049</v>
      </c>
      <c r="I287" s="12">
        <v>0</v>
      </c>
      <c r="J287" s="12">
        <v>12344145</v>
      </c>
      <c r="K287" s="12">
        <v>657110</v>
      </c>
      <c r="L287" s="12">
        <v>10397</v>
      </c>
      <c r="M287" s="12">
        <f t="shared" si="17"/>
        <v>30806.7</v>
      </c>
      <c r="N287" s="12">
        <v>268</v>
      </c>
      <c r="O287" s="12">
        <v>1509073</v>
      </c>
      <c r="P287" s="12">
        <v>279719</v>
      </c>
      <c r="Q287" s="12">
        <v>81237</v>
      </c>
      <c r="R287" s="12">
        <v>15</v>
      </c>
      <c r="S287" s="12">
        <v>89</v>
      </c>
      <c r="T287" s="12">
        <v>645</v>
      </c>
      <c r="U287" s="12">
        <v>1298</v>
      </c>
      <c r="V287" s="12">
        <v>959</v>
      </c>
      <c r="W287" s="12">
        <v>602</v>
      </c>
      <c r="X287" s="12">
        <v>327</v>
      </c>
      <c r="Y287" s="12">
        <v>82</v>
      </c>
      <c r="Z287" s="12">
        <v>2848</v>
      </c>
      <c r="AA287" s="12">
        <v>239</v>
      </c>
      <c r="AB287" s="12">
        <v>19316</v>
      </c>
      <c r="AC287" s="12">
        <v>993</v>
      </c>
      <c r="AD287" s="12">
        <v>8040</v>
      </c>
      <c r="AE287" s="12">
        <v>0</v>
      </c>
      <c r="AF287" s="12">
        <v>0</v>
      </c>
      <c r="AG287" s="12">
        <v>0</v>
      </c>
      <c r="AH287" s="12">
        <v>0</v>
      </c>
      <c r="AI287" s="12">
        <v>0</v>
      </c>
      <c r="AJ287" s="12">
        <v>0</v>
      </c>
      <c r="AK287" s="12">
        <v>31620</v>
      </c>
      <c r="AL287" s="12">
        <v>90</v>
      </c>
      <c r="AM287" s="12">
        <v>7100</v>
      </c>
      <c r="AN287" s="13">
        <f t="shared" si="18"/>
        <v>28972</v>
      </c>
    </row>
    <row r="288" ht="16.5" spans="1:40">
      <c r="A288">
        <f t="shared" si="20"/>
        <v>110</v>
      </c>
      <c r="B288">
        <f t="shared" si="19"/>
        <v>80</v>
      </c>
      <c r="C288" s="112">
        <v>269</v>
      </c>
      <c r="D288" s="113">
        <v>111.600000000001</v>
      </c>
      <c r="E288" s="113">
        <v>129.000000000001</v>
      </c>
      <c r="F288" s="113">
        <v>184.999999999999</v>
      </c>
      <c r="G288" s="113">
        <v>243.5</v>
      </c>
      <c r="H288" s="12">
        <v>46129</v>
      </c>
      <c r="I288" s="12">
        <v>0</v>
      </c>
      <c r="J288" s="12">
        <v>12389048</v>
      </c>
      <c r="K288" s="12">
        <v>659152</v>
      </c>
      <c r="L288" s="12">
        <v>10405</v>
      </c>
      <c r="M288" s="12">
        <f t="shared" si="17"/>
        <v>30916.7</v>
      </c>
      <c r="N288" s="12">
        <v>269</v>
      </c>
      <c r="O288" s="12">
        <v>1514832</v>
      </c>
      <c r="P288" s="12">
        <v>280753</v>
      </c>
      <c r="Q288" s="12">
        <v>81539</v>
      </c>
      <c r="R288" s="12">
        <v>15</v>
      </c>
      <c r="S288" s="12">
        <v>89</v>
      </c>
      <c r="T288" s="12">
        <v>645</v>
      </c>
      <c r="U288" s="12">
        <v>1302</v>
      </c>
      <c r="V288" s="12">
        <v>964</v>
      </c>
      <c r="W288" s="12">
        <v>605</v>
      </c>
      <c r="X288" s="12">
        <v>329</v>
      </c>
      <c r="Y288" s="12">
        <v>83</v>
      </c>
      <c r="Z288" s="12">
        <v>2858</v>
      </c>
      <c r="AA288" s="12">
        <v>240</v>
      </c>
      <c r="AB288" s="12">
        <v>19382</v>
      </c>
      <c r="AC288" s="12">
        <v>996</v>
      </c>
      <c r="AD288" s="12">
        <v>8070</v>
      </c>
      <c r="AE288" s="12">
        <v>0</v>
      </c>
      <c r="AF288" s="12">
        <v>0</v>
      </c>
      <c r="AG288" s="12">
        <v>0</v>
      </c>
      <c r="AH288" s="12">
        <v>0</v>
      </c>
      <c r="AI288" s="12">
        <v>0</v>
      </c>
      <c r="AJ288" s="12">
        <v>0</v>
      </c>
      <c r="AK288" s="12">
        <v>31725</v>
      </c>
      <c r="AL288" s="12">
        <v>90</v>
      </c>
      <c r="AM288" s="12">
        <v>7124</v>
      </c>
      <c r="AN288" s="13">
        <f t="shared" si="18"/>
        <v>29080</v>
      </c>
    </row>
    <row r="289" ht="16.5" spans="1:40">
      <c r="A289">
        <f t="shared" si="20"/>
        <v>110</v>
      </c>
      <c r="B289">
        <f t="shared" si="19"/>
        <v>79</v>
      </c>
      <c r="C289" s="112">
        <v>270</v>
      </c>
      <c r="D289" s="113">
        <v>111.750000000001</v>
      </c>
      <c r="E289" s="113">
        <v>129.200000000001</v>
      </c>
      <c r="F289" s="113">
        <v>185.349999999999</v>
      </c>
      <c r="G289" s="113">
        <v>244</v>
      </c>
      <c r="H289" s="12">
        <v>46208</v>
      </c>
      <c r="I289" s="12">
        <v>0</v>
      </c>
      <c r="J289" s="12">
        <v>12433951</v>
      </c>
      <c r="K289" s="12">
        <v>661194</v>
      </c>
      <c r="L289" s="12">
        <v>10414</v>
      </c>
      <c r="M289" s="12">
        <f t="shared" si="17"/>
        <v>31026.7</v>
      </c>
      <c r="N289" s="12">
        <v>270</v>
      </c>
      <c r="O289" s="12">
        <v>1520591</v>
      </c>
      <c r="P289" s="12">
        <v>281787</v>
      </c>
      <c r="Q289" s="12">
        <v>81840</v>
      </c>
      <c r="R289" s="12">
        <v>15</v>
      </c>
      <c r="S289" s="12">
        <v>89</v>
      </c>
      <c r="T289" s="12">
        <v>645</v>
      </c>
      <c r="U289" s="12">
        <v>1305</v>
      </c>
      <c r="V289" s="12">
        <v>970</v>
      </c>
      <c r="W289" s="12">
        <v>608</v>
      </c>
      <c r="X289" s="12">
        <v>331</v>
      </c>
      <c r="Y289" s="12">
        <v>83</v>
      </c>
      <c r="Z289" s="12">
        <v>2868</v>
      </c>
      <c r="AA289" s="12">
        <v>241</v>
      </c>
      <c r="AB289" s="12">
        <v>19447</v>
      </c>
      <c r="AC289" s="12">
        <v>1000</v>
      </c>
      <c r="AD289" s="12">
        <v>8100</v>
      </c>
      <c r="AE289" s="12">
        <v>0</v>
      </c>
      <c r="AF289" s="12">
        <v>0</v>
      </c>
      <c r="AG289" s="12">
        <v>0</v>
      </c>
      <c r="AH289" s="12">
        <v>0</v>
      </c>
      <c r="AI289" s="12">
        <v>0</v>
      </c>
      <c r="AJ289" s="12">
        <v>0</v>
      </c>
      <c r="AK289" s="12">
        <v>31830</v>
      </c>
      <c r="AL289" s="12">
        <v>90</v>
      </c>
      <c r="AM289" s="12">
        <v>7148</v>
      </c>
      <c r="AN289" s="13">
        <f t="shared" si="18"/>
        <v>29188</v>
      </c>
    </row>
    <row r="290" ht="16.5" spans="1:40">
      <c r="A290">
        <f t="shared" si="20"/>
        <v>110</v>
      </c>
      <c r="B290">
        <f t="shared" si="19"/>
        <v>80</v>
      </c>
      <c r="C290" s="112">
        <v>271</v>
      </c>
      <c r="D290" s="113">
        <v>111.900000000001</v>
      </c>
      <c r="E290" s="113">
        <v>129.400000000001</v>
      </c>
      <c r="F290" s="113">
        <v>185.699999999999</v>
      </c>
      <c r="G290" s="113">
        <v>244.5</v>
      </c>
      <c r="H290" s="12">
        <v>46288</v>
      </c>
      <c r="I290" s="12">
        <v>0</v>
      </c>
      <c r="J290" s="12">
        <v>12478853</v>
      </c>
      <c r="K290" s="12">
        <v>663236</v>
      </c>
      <c r="L290" s="12">
        <v>10422</v>
      </c>
      <c r="M290" s="12">
        <f t="shared" si="17"/>
        <v>31136.7</v>
      </c>
      <c r="N290" s="12">
        <v>271</v>
      </c>
      <c r="O290" s="12">
        <v>1526350</v>
      </c>
      <c r="P290" s="12">
        <v>282820</v>
      </c>
      <c r="Q290" s="12">
        <v>82141</v>
      </c>
      <c r="R290" s="12">
        <v>15</v>
      </c>
      <c r="S290" s="12">
        <v>89</v>
      </c>
      <c r="T290" s="12">
        <v>645</v>
      </c>
      <c r="U290" s="12">
        <v>1309</v>
      </c>
      <c r="V290" s="12">
        <v>975</v>
      </c>
      <c r="W290" s="12">
        <v>611</v>
      </c>
      <c r="X290" s="12">
        <v>333</v>
      </c>
      <c r="Y290" s="12">
        <v>84</v>
      </c>
      <c r="Z290" s="12">
        <v>2879</v>
      </c>
      <c r="AA290" s="12">
        <v>241</v>
      </c>
      <c r="AB290" s="12">
        <v>19513</v>
      </c>
      <c r="AC290" s="12">
        <v>1003</v>
      </c>
      <c r="AD290" s="12">
        <v>8130</v>
      </c>
      <c r="AE290" s="12">
        <v>0</v>
      </c>
      <c r="AF290" s="12">
        <v>0</v>
      </c>
      <c r="AG290" s="12">
        <v>0</v>
      </c>
      <c r="AH290" s="12">
        <v>0</v>
      </c>
      <c r="AI290" s="12">
        <v>0</v>
      </c>
      <c r="AJ290" s="12">
        <v>0</v>
      </c>
      <c r="AK290" s="12">
        <v>31935</v>
      </c>
      <c r="AL290" s="12">
        <v>90</v>
      </c>
      <c r="AM290" s="12">
        <v>7172</v>
      </c>
      <c r="AN290" s="13">
        <f t="shared" si="18"/>
        <v>29273</v>
      </c>
    </row>
    <row r="291" ht="16.5" spans="1:40">
      <c r="A291">
        <f t="shared" si="20"/>
        <v>110</v>
      </c>
      <c r="B291">
        <f t="shared" si="19"/>
        <v>80</v>
      </c>
      <c r="C291" s="112">
        <v>272</v>
      </c>
      <c r="D291" s="113">
        <v>112.050000000001</v>
      </c>
      <c r="E291" s="113">
        <v>129.600000000001</v>
      </c>
      <c r="F291" s="113">
        <v>186.049999999999</v>
      </c>
      <c r="G291" s="113">
        <v>245</v>
      </c>
      <c r="H291" s="12">
        <v>46368</v>
      </c>
      <c r="I291" s="12">
        <v>0</v>
      </c>
      <c r="J291" s="12">
        <v>12523756</v>
      </c>
      <c r="K291" s="12">
        <v>665279</v>
      </c>
      <c r="L291" s="12">
        <v>10431</v>
      </c>
      <c r="M291" s="12">
        <f t="shared" si="17"/>
        <v>31246.7</v>
      </c>
      <c r="N291" s="12">
        <v>271</v>
      </c>
      <c r="O291" s="12">
        <v>1532109</v>
      </c>
      <c r="P291" s="12">
        <v>283854</v>
      </c>
      <c r="Q291" s="12">
        <v>82442</v>
      </c>
      <c r="R291" s="12">
        <v>15</v>
      </c>
      <c r="S291" s="12">
        <v>89</v>
      </c>
      <c r="T291" s="12">
        <v>645</v>
      </c>
      <c r="U291" s="12">
        <v>1313</v>
      </c>
      <c r="V291" s="12">
        <v>981</v>
      </c>
      <c r="W291" s="12">
        <v>614</v>
      </c>
      <c r="X291" s="12">
        <v>335</v>
      </c>
      <c r="Y291" s="12">
        <v>85</v>
      </c>
      <c r="Z291" s="12">
        <v>2889</v>
      </c>
      <c r="AA291" s="12">
        <v>242</v>
      </c>
      <c r="AB291" s="12">
        <v>19579</v>
      </c>
      <c r="AC291" s="12">
        <v>1007</v>
      </c>
      <c r="AD291" s="12">
        <v>8160</v>
      </c>
      <c r="AE291" s="12">
        <v>0</v>
      </c>
      <c r="AF291" s="12">
        <v>0</v>
      </c>
      <c r="AG291" s="12">
        <v>0</v>
      </c>
      <c r="AH291" s="12">
        <v>0</v>
      </c>
      <c r="AI291" s="12">
        <v>0</v>
      </c>
      <c r="AJ291" s="12">
        <v>0</v>
      </c>
      <c r="AK291" s="12">
        <v>32040</v>
      </c>
      <c r="AL291" s="12">
        <v>90</v>
      </c>
      <c r="AM291" s="12">
        <v>7196</v>
      </c>
      <c r="AN291" s="13">
        <f t="shared" si="18"/>
        <v>29381</v>
      </c>
    </row>
    <row r="292" ht="16.5" spans="1:40">
      <c r="A292">
        <f t="shared" si="20"/>
        <v>110</v>
      </c>
      <c r="B292">
        <f t="shared" si="19"/>
        <v>79</v>
      </c>
      <c r="C292" s="112">
        <v>273</v>
      </c>
      <c r="D292" s="113">
        <v>112.200000000001</v>
      </c>
      <c r="E292" s="113">
        <v>129.800000000001</v>
      </c>
      <c r="F292" s="113">
        <v>186.399999999999</v>
      </c>
      <c r="G292" s="113">
        <v>245.5</v>
      </c>
      <c r="H292" s="12">
        <v>46447</v>
      </c>
      <c r="I292" s="12">
        <v>0</v>
      </c>
      <c r="J292" s="12">
        <v>12568659</v>
      </c>
      <c r="K292" s="12">
        <v>667321</v>
      </c>
      <c r="L292" s="12">
        <v>10440</v>
      </c>
      <c r="M292" s="12">
        <f t="shared" si="17"/>
        <v>31356.7</v>
      </c>
      <c r="N292" s="12">
        <v>272</v>
      </c>
      <c r="O292" s="12">
        <v>1537867</v>
      </c>
      <c r="P292" s="12">
        <v>284887</v>
      </c>
      <c r="Q292" s="12">
        <v>82744</v>
      </c>
      <c r="R292" s="12">
        <v>15</v>
      </c>
      <c r="S292" s="12">
        <v>89</v>
      </c>
      <c r="T292" s="12">
        <v>645</v>
      </c>
      <c r="U292" s="12">
        <v>1316</v>
      </c>
      <c r="V292" s="12">
        <v>987</v>
      </c>
      <c r="W292" s="12">
        <v>617</v>
      </c>
      <c r="X292" s="12">
        <v>337</v>
      </c>
      <c r="Y292" s="12">
        <v>86</v>
      </c>
      <c r="Z292" s="12">
        <v>2900</v>
      </c>
      <c r="AA292" s="12">
        <v>243</v>
      </c>
      <c r="AB292" s="12">
        <v>19644</v>
      </c>
      <c r="AC292" s="12">
        <v>1010</v>
      </c>
      <c r="AD292" s="12">
        <v>8190</v>
      </c>
      <c r="AE292" s="12">
        <v>0</v>
      </c>
      <c r="AF292" s="12">
        <v>0</v>
      </c>
      <c r="AG292" s="12">
        <v>0</v>
      </c>
      <c r="AH292" s="12">
        <v>0</v>
      </c>
      <c r="AI292" s="12">
        <v>0</v>
      </c>
      <c r="AJ292" s="12">
        <v>0</v>
      </c>
      <c r="AK292" s="12">
        <v>32145</v>
      </c>
      <c r="AL292" s="12">
        <v>90</v>
      </c>
      <c r="AM292" s="12">
        <v>7220</v>
      </c>
      <c r="AN292" s="13">
        <f t="shared" si="18"/>
        <v>29494</v>
      </c>
    </row>
    <row r="293" ht="16.5" spans="1:40">
      <c r="A293">
        <f t="shared" si="20"/>
        <v>110</v>
      </c>
      <c r="B293">
        <f t="shared" si="19"/>
        <v>80</v>
      </c>
      <c r="C293" s="112">
        <v>274</v>
      </c>
      <c r="D293" s="113">
        <v>112.350000000001</v>
      </c>
      <c r="E293" s="113">
        <v>130.000000000001</v>
      </c>
      <c r="F293" s="113">
        <v>186.749999999999</v>
      </c>
      <c r="G293" s="113">
        <v>246</v>
      </c>
      <c r="H293" s="12">
        <v>46527</v>
      </c>
      <c r="I293" s="12">
        <v>0</v>
      </c>
      <c r="J293" s="12">
        <v>12614061</v>
      </c>
      <c r="K293" s="12">
        <v>669363</v>
      </c>
      <c r="L293" s="12">
        <v>10448</v>
      </c>
      <c r="M293" s="12">
        <f t="shared" si="17"/>
        <v>31466.7</v>
      </c>
      <c r="N293" s="12">
        <v>273</v>
      </c>
      <c r="O293" s="12">
        <v>1543668</v>
      </c>
      <c r="P293" s="12">
        <v>285921</v>
      </c>
      <c r="Q293" s="12">
        <v>83045</v>
      </c>
      <c r="R293" s="12">
        <v>15</v>
      </c>
      <c r="S293" s="12">
        <v>89</v>
      </c>
      <c r="T293" s="12">
        <v>645</v>
      </c>
      <c r="U293" s="12">
        <v>1320</v>
      </c>
      <c r="V293" s="12">
        <v>992</v>
      </c>
      <c r="W293" s="12">
        <v>620</v>
      </c>
      <c r="X293" s="12">
        <v>339</v>
      </c>
      <c r="Y293" s="12">
        <v>86</v>
      </c>
      <c r="Z293" s="12">
        <v>2910</v>
      </c>
      <c r="AA293" s="12">
        <v>244</v>
      </c>
      <c r="AB293" s="12">
        <v>19710</v>
      </c>
      <c r="AC293" s="12">
        <v>1014</v>
      </c>
      <c r="AD293" s="12">
        <v>8220</v>
      </c>
      <c r="AE293" s="12">
        <v>0</v>
      </c>
      <c r="AF293" s="12">
        <v>0</v>
      </c>
      <c r="AG293" s="12">
        <v>0</v>
      </c>
      <c r="AH293" s="12">
        <v>0</v>
      </c>
      <c r="AI293" s="12">
        <v>0</v>
      </c>
      <c r="AJ293" s="12">
        <v>0</v>
      </c>
      <c r="AK293" s="12">
        <v>32250</v>
      </c>
      <c r="AL293" s="12">
        <v>90</v>
      </c>
      <c r="AM293" s="12">
        <v>7244</v>
      </c>
      <c r="AN293" s="13">
        <f t="shared" si="18"/>
        <v>29602</v>
      </c>
    </row>
    <row r="294" ht="16.5" spans="1:40">
      <c r="A294">
        <f t="shared" si="20"/>
        <v>110</v>
      </c>
      <c r="B294">
        <f t="shared" si="19"/>
        <v>80</v>
      </c>
      <c r="C294" s="112">
        <v>275</v>
      </c>
      <c r="D294" s="113">
        <v>112.500000000001</v>
      </c>
      <c r="E294" s="113">
        <v>130.200000000001</v>
      </c>
      <c r="F294" s="113">
        <v>187.099999999999</v>
      </c>
      <c r="G294" s="113">
        <v>246.5</v>
      </c>
      <c r="H294" s="12">
        <v>46607</v>
      </c>
      <c r="I294" s="12">
        <v>0</v>
      </c>
      <c r="J294" s="12">
        <v>12658964</v>
      </c>
      <c r="K294" s="12">
        <v>671405</v>
      </c>
      <c r="L294" s="12">
        <v>10457</v>
      </c>
      <c r="M294" s="12">
        <f t="shared" si="17"/>
        <v>31576.7</v>
      </c>
      <c r="N294" s="12">
        <v>274</v>
      </c>
      <c r="O294" s="12">
        <v>1549468</v>
      </c>
      <c r="P294" s="12">
        <v>286955</v>
      </c>
      <c r="Q294" s="12">
        <v>83346</v>
      </c>
      <c r="R294" s="12">
        <v>15</v>
      </c>
      <c r="S294" s="12">
        <v>89</v>
      </c>
      <c r="T294" s="12">
        <v>645</v>
      </c>
      <c r="U294" s="12">
        <v>1324</v>
      </c>
      <c r="V294" s="12">
        <v>998</v>
      </c>
      <c r="W294" s="12">
        <v>623</v>
      </c>
      <c r="X294" s="12">
        <v>341</v>
      </c>
      <c r="Y294" s="12">
        <v>87</v>
      </c>
      <c r="Z294" s="12">
        <v>2921</v>
      </c>
      <c r="AA294" s="12">
        <v>245</v>
      </c>
      <c r="AB294" s="12">
        <v>19776</v>
      </c>
      <c r="AC294" s="12">
        <v>1017</v>
      </c>
      <c r="AD294" s="12">
        <v>8250</v>
      </c>
      <c r="AE294" s="12">
        <v>0</v>
      </c>
      <c r="AF294" s="12">
        <v>0</v>
      </c>
      <c r="AG294" s="12">
        <v>0</v>
      </c>
      <c r="AH294" s="12">
        <v>0</v>
      </c>
      <c r="AI294" s="12">
        <v>0</v>
      </c>
      <c r="AJ294" s="12">
        <v>0</v>
      </c>
      <c r="AK294" s="12">
        <v>32355</v>
      </c>
      <c r="AL294" s="12">
        <v>90</v>
      </c>
      <c r="AM294" s="12">
        <v>7267</v>
      </c>
      <c r="AN294" s="13">
        <f t="shared" si="18"/>
        <v>29715</v>
      </c>
    </row>
    <row r="295" ht="16.5" spans="1:40">
      <c r="A295">
        <f t="shared" si="20"/>
        <v>110</v>
      </c>
      <c r="B295">
        <f t="shared" si="19"/>
        <v>79</v>
      </c>
      <c r="C295" s="112">
        <v>276</v>
      </c>
      <c r="D295" s="113">
        <v>112.650000000001</v>
      </c>
      <c r="E295" s="113">
        <v>130.400000000001</v>
      </c>
      <c r="F295" s="113">
        <v>187.449999999999</v>
      </c>
      <c r="G295" s="113">
        <v>247</v>
      </c>
      <c r="H295" s="12">
        <v>46686</v>
      </c>
      <c r="I295" s="12">
        <v>0</v>
      </c>
      <c r="J295" s="12">
        <v>12703867</v>
      </c>
      <c r="K295" s="12">
        <v>673447</v>
      </c>
      <c r="L295" s="12">
        <v>10465</v>
      </c>
      <c r="M295" s="12">
        <f t="shared" si="17"/>
        <v>31686.7</v>
      </c>
      <c r="N295" s="12">
        <v>275</v>
      </c>
      <c r="O295" s="12">
        <v>1555268</v>
      </c>
      <c r="P295" s="12">
        <v>287988</v>
      </c>
      <c r="Q295" s="12">
        <v>83647</v>
      </c>
      <c r="R295" s="12">
        <v>15</v>
      </c>
      <c r="S295" s="12">
        <v>89</v>
      </c>
      <c r="T295" s="12">
        <v>645</v>
      </c>
      <c r="U295" s="12">
        <v>1328</v>
      </c>
      <c r="V295" s="12">
        <v>1004</v>
      </c>
      <c r="W295" s="12">
        <v>626</v>
      </c>
      <c r="X295" s="12">
        <v>343</v>
      </c>
      <c r="Y295" s="12">
        <v>88</v>
      </c>
      <c r="Z295" s="12">
        <v>2931</v>
      </c>
      <c r="AA295" s="12">
        <v>246</v>
      </c>
      <c r="AB295" s="12">
        <v>19842</v>
      </c>
      <c r="AC295" s="12">
        <v>1021</v>
      </c>
      <c r="AD295" s="12">
        <v>8280</v>
      </c>
      <c r="AE295" s="12">
        <v>0</v>
      </c>
      <c r="AF295" s="12">
        <v>0</v>
      </c>
      <c r="AG295" s="12">
        <v>0</v>
      </c>
      <c r="AH295" s="12">
        <v>0</v>
      </c>
      <c r="AI295" s="12">
        <v>0</v>
      </c>
      <c r="AJ295" s="12">
        <v>0</v>
      </c>
      <c r="AK295" s="12">
        <v>32460</v>
      </c>
      <c r="AL295" s="12">
        <v>90</v>
      </c>
      <c r="AM295" s="12">
        <v>7291</v>
      </c>
      <c r="AN295" s="13">
        <f t="shared" si="18"/>
        <v>29823</v>
      </c>
    </row>
    <row r="296" ht="16.5" spans="1:40">
      <c r="A296">
        <f t="shared" si="20"/>
        <v>110</v>
      </c>
      <c r="B296">
        <f t="shared" si="19"/>
        <v>80</v>
      </c>
      <c r="C296" s="112">
        <v>277</v>
      </c>
      <c r="D296" s="113">
        <v>112.800000000001</v>
      </c>
      <c r="E296" s="113">
        <v>130.600000000001</v>
      </c>
      <c r="F296" s="113">
        <v>187.799999999999</v>
      </c>
      <c r="G296" s="113">
        <v>247.5</v>
      </c>
      <c r="H296" s="12">
        <v>46766</v>
      </c>
      <c r="I296" s="12">
        <v>0</v>
      </c>
      <c r="J296" s="12">
        <v>12748769</v>
      </c>
      <c r="K296" s="12">
        <v>675489</v>
      </c>
      <c r="L296" s="12">
        <v>10474</v>
      </c>
      <c r="M296" s="12">
        <f t="shared" si="17"/>
        <v>31796.7</v>
      </c>
      <c r="N296" s="12">
        <v>276</v>
      </c>
      <c r="O296" s="12">
        <v>1561068</v>
      </c>
      <c r="P296" s="12">
        <v>289022</v>
      </c>
      <c r="Q296" s="12">
        <v>83949</v>
      </c>
      <c r="R296" s="12">
        <v>15</v>
      </c>
      <c r="S296" s="12">
        <v>89</v>
      </c>
      <c r="T296" s="12">
        <v>645</v>
      </c>
      <c r="U296" s="12">
        <v>1331</v>
      </c>
      <c r="V296" s="12">
        <v>1009</v>
      </c>
      <c r="W296" s="12">
        <v>629</v>
      </c>
      <c r="X296" s="12">
        <v>345</v>
      </c>
      <c r="Y296" s="12">
        <v>89</v>
      </c>
      <c r="Z296" s="12">
        <v>2942</v>
      </c>
      <c r="AA296" s="12">
        <v>246</v>
      </c>
      <c r="AB296" s="12">
        <v>19907</v>
      </c>
      <c r="AC296" s="12">
        <v>1025</v>
      </c>
      <c r="AD296" s="12">
        <v>8310</v>
      </c>
      <c r="AE296" s="12">
        <v>0</v>
      </c>
      <c r="AF296" s="12">
        <v>0</v>
      </c>
      <c r="AG296" s="12">
        <v>0</v>
      </c>
      <c r="AH296" s="12">
        <v>0</v>
      </c>
      <c r="AI296" s="12">
        <v>0</v>
      </c>
      <c r="AJ296" s="12">
        <v>0</v>
      </c>
      <c r="AK296" s="12">
        <v>32565</v>
      </c>
      <c r="AL296" s="12">
        <v>90</v>
      </c>
      <c r="AM296" s="12">
        <v>7315</v>
      </c>
      <c r="AN296" s="13">
        <f t="shared" si="18"/>
        <v>29908</v>
      </c>
    </row>
    <row r="297" ht="16.5" spans="1:40">
      <c r="A297">
        <f t="shared" si="20"/>
        <v>110</v>
      </c>
      <c r="B297">
        <f t="shared" si="19"/>
        <v>80</v>
      </c>
      <c r="C297" s="112">
        <v>278</v>
      </c>
      <c r="D297" s="113">
        <v>112.950000000001</v>
      </c>
      <c r="E297" s="113">
        <v>130.800000000001</v>
      </c>
      <c r="F297" s="113">
        <v>188.149999999999</v>
      </c>
      <c r="G297" s="113">
        <v>248</v>
      </c>
      <c r="H297" s="12">
        <v>46846</v>
      </c>
      <c r="I297" s="12">
        <v>0</v>
      </c>
      <c r="J297" s="12">
        <v>12793672</v>
      </c>
      <c r="K297" s="12">
        <v>677532</v>
      </c>
      <c r="L297" s="12">
        <v>10482</v>
      </c>
      <c r="M297" s="12">
        <f t="shared" si="17"/>
        <v>31906.7</v>
      </c>
      <c r="N297" s="12">
        <v>277</v>
      </c>
      <c r="O297" s="12">
        <v>1566868</v>
      </c>
      <c r="P297" s="12">
        <v>290055</v>
      </c>
      <c r="Q297" s="12">
        <v>84250</v>
      </c>
      <c r="R297" s="12">
        <v>15</v>
      </c>
      <c r="S297" s="12">
        <v>89</v>
      </c>
      <c r="T297" s="12">
        <v>645</v>
      </c>
      <c r="U297" s="12">
        <v>1335</v>
      </c>
      <c r="V297" s="12">
        <v>1015</v>
      </c>
      <c r="W297" s="12">
        <v>632</v>
      </c>
      <c r="X297" s="12">
        <v>347</v>
      </c>
      <c r="Y297" s="12">
        <v>89</v>
      </c>
      <c r="Z297" s="12">
        <v>2952</v>
      </c>
      <c r="AA297" s="12">
        <v>247</v>
      </c>
      <c r="AB297" s="12">
        <v>19973</v>
      </c>
      <c r="AC297" s="12">
        <v>1028</v>
      </c>
      <c r="AD297" s="12">
        <v>8340</v>
      </c>
      <c r="AE297" s="12">
        <v>0</v>
      </c>
      <c r="AF297" s="12">
        <v>0</v>
      </c>
      <c r="AG297" s="12">
        <v>0</v>
      </c>
      <c r="AH297" s="12">
        <v>0</v>
      </c>
      <c r="AI297" s="12">
        <v>0</v>
      </c>
      <c r="AJ297" s="12">
        <v>0</v>
      </c>
      <c r="AK297" s="12">
        <v>32670</v>
      </c>
      <c r="AL297" s="12">
        <v>90</v>
      </c>
      <c r="AM297" s="12">
        <v>7339</v>
      </c>
      <c r="AN297" s="13">
        <f t="shared" si="18"/>
        <v>30016</v>
      </c>
    </row>
    <row r="298" ht="16.5" spans="1:40">
      <c r="A298">
        <f t="shared" si="20"/>
        <v>110</v>
      </c>
      <c r="B298">
        <f t="shared" si="19"/>
        <v>79</v>
      </c>
      <c r="C298" s="112">
        <v>279</v>
      </c>
      <c r="D298" s="113">
        <v>113.100000000001</v>
      </c>
      <c r="E298" s="113">
        <v>131.000000000001</v>
      </c>
      <c r="F298" s="113">
        <v>188.499999999999</v>
      </c>
      <c r="G298" s="113">
        <v>248.5</v>
      </c>
      <c r="H298" s="12">
        <v>46925</v>
      </c>
      <c r="I298" s="12">
        <v>0</v>
      </c>
      <c r="J298" s="12">
        <v>12838575</v>
      </c>
      <c r="K298" s="12">
        <v>679574</v>
      </c>
      <c r="L298" s="12">
        <v>10491</v>
      </c>
      <c r="M298" s="12">
        <f t="shared" ref="M298:M319" si="21">M297+110</f>
        <v>32016.7</v>
      </c>
      <c r="N298" s="12">
        <v>278</v>
      </c>
      <c r="O298" s="12">
        <v>1572669</v>
      </c>
      <c r="P298" s="12">
        <v>291089</v>
      </c>
      <c r="Q298" s="12">
        <v>84551</v>
      </c>
      <c r="R298" s="12">
        <v>15</v>
      </c>
      <c r="S298" s="12">
        <v>89</v>
      </c>
      <c r="T298" s="12">
        <v>645</v>
      </c>
      <c r="U298" s="12">
        <v>1339</v>
      </c>
      <c r="V298" s="12">
        <v>1020</v>
      </c>
      <c r="W298" s="12">
        <v>635</v>
      </c>
      <c r="X298" s="12">
        <v>349</v>
      </c>
      <c r="Y298" s="12">
        <v>90</v>
      </c>
      <c r="Z298" s="12">
        <v>2962</v>
      </c>
      <c r="AA298" s="12">
        <v>248</v>
      </c>
      <c r="AB298" s="12">
        <v>20039</v>
      </c>
      <c r="AC298" s="12">
        <v>1032</v>
      </c>
      <c r="AD298" s="12">
        <v>8370</v>
      </c>
      <c r="AE298" s="12">
        <v>0</v>
      </c>
      <c r="AF298" s="12">
        <v>0</v>
      </c>
      <c r="AG298" s="12">
        <v>0</v>
      </c>
      <c r="AH298" s="12">
        <v>0</v>
      </c>
      <c r="AI298" s="12">
        <v>0</v>
      </c>
      <c r="AJ298" s="12">
        <v>0</v>
      </c>
      <c r="AK298" s="12">
        <v>32775</v>
      </c>
      <c r="AL298" s="12">
        <v>90</v>
      </c>
      <c r="AM298" s="12">
        <v>7363</v>
      </c>
      <c r="AN298" s="13">
        <f t="shared" si="18"/>
        <v>30124</v>
      </c>
    </row>
    <row r="299" ht="16.5" spans="1:40">
      <c r="A299">
        <f t="shared" si="20"/>
        <v>110</v>
      </c>
      <c r="B299">
        <f t="shared" si="19"/>
        <v>80</v>
      </c>
      <c r="C299" s="112">
        <v>280</v>
      </c>
      <c r="D299" s="113">
        <v>113.250000000001</v>
      </c>
      <c r="E299" s="113">
        <v>131.200000000001</v>
      </c>
      <c r="F299" s="113">
        <v>188.849999999999</v>
      </c>
      <c r="G299" s="113">
        <v>249</v>
      </c>
      <c r="H299" s="12">
        <v>47005</v>
      </c>
      <c r="I299" s="12">
        <v>0</v>
      </c>
      <c r="J299" s="12">
        <v>12883477</v>
      </c>
      <c r="K299" s="12">
        <v>681616</v>
      </c>
      <c r="L299" s="12">
        <v>10500</v>
      </c>
      <c r="M299" s="12">
        <f t="shared" si="21"/>
        <v>32126.7</v>
      </c>
      <c r="N299" s="12">
        <v>279</v>
      </c>
      <c r="O299" s="12">
        <v>1578469</v>
      </c>
      <c r="P299" s="12">
        <v>292123</v>
      </c>
      <c r="Q299" s="12">
        <v>84853</v>
      </c>
      <c r="R299" s="12">
        <v>15</v>
      </c>
      <c r="S299" s="12">
        <v>89</v>
      </c>
      <c r="T299" s="12">
        <v>645</v>
      </c>
      <c r="U299" s="12">
        <v>1342</v>
      </c>
      <c r="V299" s="12">
        <v>1026</v>
      </c>
      <c r="W299" s="12">
        <v>638</v>
      </c>
      <c r="X299" s="12">
        <v>350</v>
      </c>
      <c r="Y299" s="12">
        <v>91</v>
      </c>
      <c r="Z299" s="12">
        <v>2973</v>
      </c>
      <c r="AA299" s="12">
        <v>249</v>
      </c>
      <c r="AB299" s="12">
        <v>20104</v>
      </c>
      <c r="AC299" s="12">
        <v>1035</v>
      </c>
      <c r="AD299" s="12">
        <v>8400</v>
      </c>
      <c r="AE299" s="12">
        <v>0</v>
      </c>
      <c r="AF299" s="12">
        <v>0</v>
      </c>
      <c r="AG299" s="12">
        <v>0</v>
      </c>
      <c r="AH299" s="12">
        <v>0</v>
      </c>
      <c r="AI299" s="12">
        <v>0</v>
      </c>
      <c r="AJ299" s="12">
        <v>0</v>
      </c>
      <c r="AK299" s="12">
        <v>32880</v>
      </c>
      <c r="AL299" s="12">
        <v>90</v>
      </c>
      <c r="AM299" s="12">
        <v>7387</v>
      </c>
      <c r="AN299" s="13">
        <f t="shared" si="18"/>
        <v>30237</v>
      </c>
    </row>
    <row r="300" ht="16.5" spans="1:40">
      <c r="A300">
        <f t="shared" si="20"/>
        <v>110</v>
      </c>
      <c r="B300">
        <f t="shared" si="19"/>
        <v>80</v>
      </c>
      <c r="C300" s="112">
        <v>281</v>
      </c>
      <c r="D300" s="113">
        <v>113.400000000001</v>
      </c>
      <c r="E300" s="113">
        <v>131.4</v>
      </c>
      <c r="F300" s="113">
        <v>189.199999999999</v>
      </c>
      <c r="G300" s="113">
        <v>249.5</v>
      </c>
      <c r="H300" s="12">
        <v>47085</v>
      </c>
      <c r="I300" s="12">
        <v>0</v>
      </c>
      <c r="J300" s="12">
        <v>12928880</v>
      </c>
      <c r="K300" s="12">
        <v>683658</v>
      </c>
      <c r="L300" s="12">
        <v>10508</v>
      </c>
      <c r="M300" s="12">
        <f t="shared" si="21"/>
        <v>32236.7</v>
      </c>
      <c r="N300" s="12">
        <v>279</v>
      </c>
      <c r="O300" s="12">
        <v>1584269</v>
      </c>
      <c r="P300" s="12">
        <v>293156</v>
      </c>
      <c r="Q300" s="12">
        <v>85154</v>
      </c>
      <c r="R300" s="12">
        <v>15</v>
      </c>
      <c r="S300" s="12">
        <v>89</v>
      </c>
      <c r="T300" s="12">
        <v>645</v>
      </c>
      <c r="U300" s="12">
        <v>1346</v>
      </c>
      <c r="V300" s="12">
        <v>1032</v>
      </c>
      <c r="W300" s="12">
        <v>641</v>
      </c>
      <c r="X300" s="12">
        <v>352</v>
      </c>
      <c r="Y300" s="12">
        <v>92</v>
      </c>
      <c r="Z300" s="12">
        <v>2983</v>
      </c>
      <c r="AA300" s="12">
        <v>250</v>
      </c>
      <c r="AB300" s="12">
        <v>20170</v>
      </c>
      <c r="AC300" s="12">
        <v>1039</v>
      </c>
      <c r="AD300" s="12">
        <v>8430</v>
      </c>
      <c r="AE300" s="12">
        <v>0</v>
      </c>
      <c r="AF300" s="12">
        <v>0</v>
      </c>
      <c r="AG300" s="12">
        <v>0</v>
      </c>
      <c r="AH300" s="12">
        <v>0</v>
      </c>
      <c r="AI300" s="12">
        <v>0</v>
      </c>
      <c r="AJ300" s="12">
        <v>0</v>
      </c>
      <c r="AK300" s="12">
        <v>32985</v>
      </c>
      <c r="AL300" s="12">
        <v>90</v>
      </c>
      <c r="AM300" s="12">
        <v>7411</v>
      </c>
      <c r="AN300" s="13">
        <f t="shared" si="18"/>
        <v>30345</v>
      </c>
    </row>
    <row r="301" ht="16.5" spans="1:40">
      <c r="A301">
        <f t="shared" si="20"/>
        <v>110</v>
      </c>
      <c r="B301">
        <f t="shared" si="19"/>
        <v>79</v>
      </c>
      <c r="C301" s="112">
        <v>282</v>
      </c>
      <c r="D301" s="113">
        <v>113.550000000001</v>
      </c>
      <c r="E301" s="113">
        <v>131.6</v>
      </c>
      <c r="F301" s="113">
        <v>189.549999999999</v>
      </c>
      <c r="G301" s="113">
        <v>250</v>
      </c>
      <c r="H301" s="12">
        <v>47164</v>
      </c>
      <c r="I301" s="12">
        <v>0</v>
      </c>
      <c r="J301" s="12">
        <v>12973783</v>
      </c>
      <c r="K301" s="12">
        <v>685700</v>
      </c>
      <c r="L301" s="12">
        <v>10517</v>
      </c>
      <c r="M301" s="12">
        <f t="shared" si="21"/>
        <v>32346.7</v>
      </c>
      <c r="N301" s="12">
        <v>280</v>
      </c>
      <c r="O301" s="12">
        <v>1590069</v>
      </c>
      <c r="P301" s="12">
        <v>294190</v>
      </c>
      <c r="Q301" s="12">
        <v>85455</v>
      </c>
      <c r="R301" s="12">
        <v>15</v>
      </c>
      <c r="S301" s="12">
        <v>89</v>
      </c>
      <c r="T301" s="12">
        <v>645</v>
      </c>
      <c r="U301" s="12">
        <v>1350</v>
      </c>
      <c r="V301" s="12">
        <v>1037</v>
      </c>
      <c r="W301" s="12">
        <v>644</v>
      </c>
      <c r="X301" s="12">
        <v>354</v>
      </c>
      <c r="Y301" s="12">
        <v>92</v>
      </c>
      <c r="Z301" s="12">
        <v>2994</v>
      </c>
      <c r="AA301" s="12">
        <v>251</v>
      </c>
      <c r="AB301" s="12">
        <v>20236</v>
      </c>
      <c r="AC301" s="12">
        <v>1042</v>
      </c>
      <c r="AD301" s="12">
        <v>8460</v>
      </c>
      <c r="AE301" s="12">
        <v>0</v>
      </c>
      <c r="AF301" s="12">
        <v>0</v>
      </c>
      <c r="AG301" s="12">
        <v>0</v>
      </c>
      <c r="AH301" s="12">
        <v>0</v>
      </c>
      <c r="AI301" s="12">
        <v>0</v>
      </c>
      <c r="AJ301" s="12">
        <v>0</v>
      </c>
      <c r="AK301" s="12">
        <v>33090</v>
      </c>
      <c r="AL301" s="12">
        <v>90</v>
      </c>
      <c r="AM301" s="12">
        <v>7434</v>
      </c>
      <c r="AN301" s="13">
        <f t="shared" si="18"/>
        <v>30458</v>
      </c>
    </row>
    <row r="302" ht="16.5" spans="1:40">
      <c r="A302">
        <f t="shared" si="20"/>
        <v>110</v>
      </c>
      <c r="B302">
        <f t="shared" si="19"/>
        <v>80</v>
      </c>
      <c r="C302" s="112">
        <v>283</v>
      </c>
      <c r="D302" s="113">
        <v>113.700000000001</v>
      </c>
      <c r="E302" s="113">
        <v>131.8</v>
      </c>
      <c r="F302" s="113">
        <v>189.899999999999</v>
      </c>
      <c r="G302" s="113">
        <v>250.5</v>
      </c>
      <c r="H302" s="12">
        <v>47244</v>
      </c>
      <c r="I302" s="12">
        <v>0</v>
      </c>
      <c r="J302" s="12">
        <v>13018685</v>
      </c>
      <c r="K302" s="12">
        <v>687743</v>
      </c>
      <c r="L302" s="12">
        <v>10525</v>
      </c>
      <c r="M302" s="12">
        <f t="shared" si="21"/>
        <v>32456.7</v>
      </c>
      <c r="N302" s="12">
        <v>281</v>
      </c>
      <c r="O302" s="12">
        <v>1595869</v>
      </c>
      <c r="P302" s="12">
        <v>295223</v>
      </c>
      <c r="Q302" s="12">
        <v>85756</v>
      </c>
      <c r="R302" s="12">
        <v>15</v>
      </c>
      <c r="S302" s="12">
        <v>89</v>
      </c>
      <c r="T302" s="12">
        <v>645</v>
      </c>
      <c r="U302" s="12">
        <v>1353</v>
      </c>
      <c r="V302" s="12">
        <v>1043</v>
      </c>
      <c r="W302" s="12">
        <v>647</v>
      </c>
      <c r="X302" s="12">
        <v>356</v>
      </c>
      <c r="Y302" s="12">
        <v>93</v>
      </c>
      <c r="Z302" s="12">
        <v>3004</v>
      </c>
      <c r="AA302" s="12">
        <v>251</v>
      </c>
      <c r="AB302" s="12">
        <v>20302</v>
      </c>
      <c r="AC302" s="12">
        <v>1046</v>
      </c>
      <c r="AD302" s="12">
        <v>8490</v>
      </c>
      <c r="AE302" s="12">
        <v>0</v>
      </c>
      <c r="AF302" s="12">
        <v>0</v>
      </c>
      <c r="AG302" s="12">
        <v>0</v>
      </c>
      <c r="AH302" s="12">
        <v>0</v>
      </c>
      <c r="AI302" s="12">
        <v>0</v>
      </c>
      <c r="AJ302" s="12">
        <v>0</v>
      </c>
      <c r="AK302" s="12">
        <v>33195</v>
      </c>
      <c r="AL302" s="12">
        <v>90</v>
      </c>
      <c r="AM302" s="12">
        <v>7458</v>
      </c>
      <c r="AN302" s="13">
        <f t="shared" si="18"/>
        <v>30538</v>
      </c>
    </row>
    <row r="303" ht="16.5" spans="1:40">
      <c r="A303">
        <f t="shared" si="20"/>
        <v>110</v>
      </c>
      <c r="B303">
        <f t="shared" si="19"/>
        <v>80</v>
      </c>
      <c r="C303" s="112">
        <v>284</v>
      </c>
      <c r="D303" s="113">
        <v>113.850000000002</v>
      </c>
      <c r="E303" s="113">
        <v>132</v>
      </c>
      <c r="F303" s="113">
        <v>190.249999999999</v>
      </c>
      <c r="G303" s="113">
        <v>251</v>
      </c>
      <c r="H303" s="12">
        <v>47324</v>
      </c>
      <c r="I303" s="12">
        <v>0</v>
      </c>
      <c r="J303" s="12">
        <v>13063588</v>
      </c>
      <c r="K303" s="12">
        <v>689785</v>
      </c>
      <c r="L303" s="12">
        <v>10534</v>
      </c>
      <c r="M303" s="12">
        <f t="shared" si="21"/>
        <v>32566.7</v>
      </c>
      <c r="N303" s="12">
        <v>282</v>
      </c>
      <c r="O303" s="12">
        <v>1601670</v>
      </c>
      <c r="P303" s="12">
        <v>296257</v>
      </c>
      <c r="Q303" s="12">
        <v>86058</v>
      </c>
      <c r="R303" s="12">
        <v>15</v>
      </c>
      <c r="S303" s="12">
        <v>89</v>
      </c>
      <c r="T303" s="12">
        <v>645</v>
      </c>
      <c r="U303" s="12">
        <v>1357</v>
      </c>
      <c r="V303" s="12">
        <v>1049</v>
      </c>
      <c r="W303" s="12">
        <v>650</v>
      </c>
      <c r="X303" s="12">
        <v>358</v>
      </c>
      <c r="Y303" s="12">
        <v>94</v>
      </c>
      <c r="Z303" s="12">
        <v>3015</v>
      </c>
      <c r="AA303" s="12">
        <v>252</v>
      </c>
      <c r="AB303" s="12">
        <v>20367</v>
      </c>
      <c r="AC303" s="12">
        <v>1049</v>
      </c>
      <c r="AD303" s="12">
        <v>8520</v>
      </c>
      <c r="AE303" s="12">
        <v>0</v>
      </c>
      <c r="AF303" s="12">
        <v>0</v>
      </c>
      <c r="AG303" s="12">
        <v>0</v>
      </c>
      <c r="AH303" s="12">
        <v>0</v>
      </c>
      <c r="AI303" s="12">
        <v>0</v>
      </c>
      <c r="AJ303" s="12">
        <v>0</v>
      </c>
      <c r="AK303" s="12">
        <v>33300</v>
      </c>
      <c r="AL303" s="12">
        <v>90</v>
      </c>
      <c r="AM303" s="12">
        <v>7482</v>
      </c>
      <c r="AN303" s="13">
        <f t="shared" si="18"/>
        <v>30651</v>
      </c>
    </row>
    <row r="304" ht="16.5" spans="1:40">
      <c r="A304">
        <f t="shared" si="20"/>
        <v>110</v>
      </c>
      <c r="B304">
        <f t="shared" si="19"/>
        <v>79</v>
      </c>
      <c r="C304" s="112">
        <v>285</v>
      </c>
      <c r="D304" s="113">
        <v>114.000000000002</v>
      </c>
      <c r="E304" s="113">
        <v>132.2</v>
      </c>
      <c r="F304" s="113">
        <v>190.599999999999</v>
      </c>
      <c r="G304" s="113">
        <v>251.5</v>
      </c>
      <c r="H304" s="12">
        <v>47403</v>
      </c>
      <c r="I304" s="12">
        <v>0</v>
      </c>
      <c r="J304" s="12">
        <v>13108491</v>
      </c>
      <c r="K304" s="12">
        <v>691827</v>
      </c>
      <c r="L304" s="12">
        <v>10542</v>
      </c>
      <c r="M304" s="12">
        <f t="shared" si="21"/>
        <v>32676.7</v>
      </c>
      <c r="N304" s="12">
        <v>283</v>
      </c>
      <c r="O304" s="12">
        <v>1607470</v>
      </c>
      <c r="P304" s="12">
        <v>297291</v>
      </c>
      <c r="Q304" s="12">
        <v>86359</v>
      </c>
      <c r="R304" s="12">
        <v>15</v>
      </c>
      <c r="S304" s="12">
        <v>89</v>
      </c>
      <c r="T304" s="12">
        <v>645</v>
      </c>
      <c r="U304" s="12">
        <v>1361</v>
      </c>
      <c r="V304" s="12">
        <v>1054</v>
      </c>
      <c r="W304" s="12">
        <v>653</v>
      </c>
      <c r="X304" s="12">
        <v>360</v>
      </c>
      <c r="Y304" s="12">
        <v>95</v>
      </c>
      <c r="Z304" s="12">
        <v>3025</v>
      </c>
      <c r="AA304" s="12">
        <v>253</v>
      </c>
      <c r="AB304" s="12">
        <v>20433</v>
      </c>
      <c r="AC304" s="12">
        <v>1053</v>
      </c>
      <c r="AD304" s="12">
        <v>8550</v>
      </c>
      <c r="AE304" s="12">
        <v>0</v>
      </c>
      <c r="AF304" s="12">
        <v>0</v>
      </c>
      <c r="AG304" s="12">
        <v>0</v>
      </c>
      <c r="AH304" s="12">
        <v>0</v>
      </c>
      <c r="AI304" s="12">
        <v>0</v>
      </c>
      <c r="AJ304" s="12">
        <v>0</v>
      </c>
      <c r="AK304" s="12">
        <v>33405</v>
      </c>
      <c r="AL304" s="12">
        <v>90</v>
      </c>
      <c r="AM304" s="12">
        <v>7506</v>
      </c>
      <c r="AN304" s="13">
        <f t="shared" si="18"/>
        <v>30759</v>
      </c>
    </row>
    <row r="305" ht="16.5" spans="1:40">
      <c r="A305">
        <f t="shared" si="20"/>
        <v>109.999999999996</v>
      </c>
      <c r="B305">
        <f t="shared" si="19"/>
        <v>80</v>
      </c>
      <c r="C305" s="112">
        <v>286</v>
      </c>
      <c r="D305" s="113">
        <v>114.150000000002</v>
      </c>
      <c r="E305" s="113">
        <v>132.4</v>
      </c>
      <c r="F305" s="113">
        <v>190.949999999999</v>
      </c>
      <c r="G305" s="113">
        <v>252</v>
      </c>
      <c r="H305" s="12">
        <v>47483</v>
      </c>
      <c r="I305" s="12">
        <v>0</v>
      </c>
      <c r="J305" s="12">
        <v>13153393</v>
      </c>
      <c r="K305" s="12">
        <v>693869</v>
      </c>
      <c r="L305" s="12">
        <v>10551</v>
      </c>
      <c r="M305" s="12">
        <f t="shared" si="21"/>
        <v>32786.7</v>
      </c>
      <c r="N305" s="12">
        <v>284</v>
      </c>
      <c r="O305" s="12">
        <v>1613270</v>
      </c>
      <c r="P305" s="12">
        <v>298324</v>
      </c>
      <c r="Q305" s="12">
        <v>86660</v>
      </c>
      <c r="R305" s="12">
        <v>15</v>
      </c>
      <c r="S305" s="12">
        <v>89</v>
      </c>
      <c r="T305" s="12">
        <v>645</v>
      </c>
      <c r="U305" s="12">
        <v>1364</v>
      </c>
      <c r="V305" s="12">
        <v>1060</v>
      </c>
      <c r="W305" s="12">
        <v>656</v>
      </c>
      <c r="X305" s="12">
        <v>362</v>
      </c>
      <c r="Y305" s="12">
        <v>95</v>
      </c>
      <c r="Z305" s="12">
        <v>3035</v>
      </c>
      <c r="AA305" s="12">
        <v>254</v>
      </c>
      <c r="AB305" s="12">
        <v>20499</v>
      </c>
      <c r="AC305" s="12">
        <v>1056</v>
      </c>
      <c r="AD305" s="12">
        <v>8580</v>
      </c>
      <c r="AE305" s="12">
        <v>0</v>
      </c>
      <c r="AF305" s="12">
        <v>0</v>
      </c>
      <c r="AG305" s="12">
        <v>0</v>
      </c>
      <c r="AH305" s="12">
        <v>0</v>
      </c>
      <c r="AI305" s="12">
        <v>0</v>
      </c>
      <c r="AJ305" s="12">
        <v>0</v>
      </c>
      <c r="AK305" s="12">
        <v>33510</v>
      </c>
      <c r="AL305" s="12">
        <v>90</v>
      </c>
      <c r="AM305" s="12">
        <v>7530</v>
      </c>
      <c r="AN305" s="13">
        <f t="shared" si="18"/>
        <v>30867</v>
      </c>
    </row>
    <row r="306" ht="16.5" spans="1:40">
      <c r="A306">
        <f t="shared" si="20"/>
        <v>110</v>
      </c>
      <c r="B306">
        <f t="shared" si="19"/>
        <v>80</v>
      </c>
      <c r="C306" s="112">
        <v>287</v>
      </c>
      <c r="D306" s="113">
        <v>114.300000000002</v>
      </c>
      <c r="E306" s="113">
        <v>132.6</v>
      </c>
      <c r="F306" s="113">
        <v>191.299999999999</v>
      </c>
      <c r="G306" s="113">
        <v>252.5</v>
      </c>
      <c r="H306" s="12">
        <v>47563</v>
      </c>
      <c r="I306" s="12">
        <v>0</v>
      </c>
      <c r="J306" s="12">
        <v>13198296</v>
      </c>
      <c r="K306" s="12">
        <v>695911</v>
      </c>
      <c r="L306" s="12">
        <v>10560</v>
      </c>
      <c r="M306" s="12">
        <f t="shared" si="21"/>
        <v>32896.7</v>
      </c>
      <c r="N306" s="12">
        <v>285</v>
      </c>
      <c r="O306" s="12">
        <v>1619070</v>
      </c>
      <c r="P306" s="12">
        <v>299358</v>
      </c>
      <c r="Q306" s="12">
        <v>86961</v>
      </c>
      <c r="R306" s="12">
        <v>15</v>
      </c>
      <c r="S306" s="12">
        <v>89</v>
      </c>
      <c r="T306" s="12">
        <v>645</v>
      </c>
      <c r="U306" s="12">
        <v>1368</v>
      </c>
      <c r="V306" s="12">
        <v>1065</v>
      </c>
      <c r="W306" s="12">
        <v>659</v>
      </c>
      <c r="X306" s="12">
        <v>364</v>
      </c>
      <c r="Y306" s="12">
        <v>96</v>
      </c>
      <c r="Z306" s="12">
        <v>3046</v>
      </c>
      <c r="AA306" s="12">
        <v>255</v>
      </c>
      <c r="AB306" s="12">
        <v>20564</v>
      </c>
      <c r="AC306" s="12">
        <v>1060</v>
      </c>
      <c r="AD306" s="12">
        <v>8610</v>
      </c>
      <c r="AE306" s="12">
        <v>0</v>
      </c>
      <c r="AF306" s="12">
        <v>0</v>
      </c>
      <c r="AG306" s="12">
        <v>0</v>
      </c>
      <c r="AH306" s="12">
        <v>0</v>
      </c>
      <c r="AI306" s="12">
        <v>0</v>
      </c>
      <c r="AJ306" s="12">
        <v>0</v>
      </c>
      <c r="AK306" s="12">
        <v>33615</v>
      </c>
      <c r="AL306" s="12">
        <v>90</v>
      </c>
      <c r="AM306" s="12">
        <v>7554</v>
      </c>
      <c r="AN306" s="13">
        <f t="shared" si="18"/>
        <v>30980</v>
      </c>
    </row>
    <row r="307" ht="16.5" spans="1:40">
      <c r="A307">
        <f t="shared" si="20"/>
        <v>110</v>
      </c>
      <c r="B307">
        <f t="shared" si="19"/>
        <v>79</v>
      </c>
      <c r="C307" s="112">
        <v>288</v>
      </c>
      <c r="D307" s="113">
        <v>114.450000000002</v>
      </c>
      <c r="E307" s="113">
        <v>132.8</v>
      </c>
      <c r="F307" s="113">
        <v>191.649999999999</v>
      </c>
      <c r="G307" s="113">
        <v>253</v>
      </c>
      <c r="H307" s="12">
        <v>47642</v>
      </c>
      <c r="I307" s="12">
        <v>0</v>
      </c>
      <c r="J307" s="12">
        <v>13243699</v>
      </c>
      <c r="K307" s="12">
        <v>697953</v>
      </c>
      <c r="L307" s="12">
        <v>10568</v>
      </c>
      <c r="M307" s="12">
        <f t="shared" si="21"/>
        <v>33006.7</v>
      </c>
      <c r="N307" s="12">
        <v>286</v>
      </c>
      <c r="O307" s="12">
        <v>1624870</v>
      </c>
      <c r="P307" s="12">
        <v>300391</v>
      </c>
      <c r="Q307" s="12">
        <v>87263</v>
      </c>
      <c r="R307" s="12">
        <v>15</v>
      </c>
      <c r="S307" s="12">
        <v>89</v>
      </c>
      <c r="T307" s="12">
        <v>645</v>
      </c>
      <c r="U307" s="12">
        <v>1372</v>
      </c>
      <c r="V307" s="12">
        <v>1071</v>
      </c>
      <c r="W307" s="12">
        <v>662</v>
      </c>
      <c r="X307" s="12">
        <v>366</v>
      </c>
      <c r="Y307" s="12">
        <v>97</v>
      </c>
      <c r="Z307" s="12">
        <v>3056</v>
      </c>
      <c r="AA307" s="12">
        <v>256</v>
      </c>
      <c r="AB307" s="12">
        <v>20630</v>
      </c>
      <c r="AC307" s="12">
        <v>1063</v>
      </c>
      <c r="AD307" s="12">
        <v>8640</v>
      </c>
      <c r="AE307" s="12">
        <v>0</v>
      </c>
      <c r="AF307" s="12">
        <v>0</v>
      </c>
      <c r="AG307" s="12">
        <v>0</v>
      </c>
      <c r="AH307" s="12">
        <v>0</v>
      </c>
      <c r="AI307" s="12">
        <v>0</v>
      </c>
      <c r="AJ307" s="12">
        <v>0</v>
      </c>
      <c r="AK307" s="12">
        <v>33720</v>
      </c>
      <c r="AL307" s="12">
        <v>90</v>
      </c>
      <c r="AM307" s="12">
        <v>7578</v>
      </c>
      <c r="AN307" s="13">
        <f t="shared" si="18"/>
        <v>31088</v>
      </c>
    </row>
    <row r="308" ht="16.5" spans="1:40">
      <c r="A308">
        <f t="shared" si="20"/>
        <v>110</v>
      </c>
      <c r="B308">
        <f t="shared" si="19"/>
        <v>80</v>
      </c>
      <c r="C308" s="112">
        <v>289</v>
      </c>
      <c r="D308" s="113">
        <v>114.600000000002</v>
      </c>
      <c r="E308" s="113">
        <v>133</v>
      </c>
      <c r="F308" s="113">
        <v>191.999999999999</v>
      </c>
      <c r="G308" s="113">
        <v>253.5</v>
      </c>
      <c r="H308" s="12">
        <v>47722</v>
      </c>
      <c r="I308" s="12">
        <v>0</v>
      </c>
      <c r="J308" s="12">
        <v>13288601</v>
      </c>
      <c r="K308" s="12">
        <v>699996</v>
      </c>
      <c r="L308" s="12">
        <v>10577</v>
      </c>
      <c r="M308" s="12">
        <f t="shared" si="21"/>
        <v>33116.7</v>
      </c>
      <c r="N308" s="12">
        <v>286</v>
      </c>
      <c r="O308" s="12">
        <v>1630670</v>
      </c>
      <c r="P308" s="12">
        <v>301425</v>
      </c>
      <c r="Q308" s="12">
        <v>87564</v>
      </c>
      <c r="R308" s="12">
        <v>15</v>
      </c>
      <c r="S308" s="12">
        <v>89</v>
      </c>
      <c r="T308" s="12">
        <v>645</v>
      </c>
      <c r="U308" s="12">
        <v>1375</v>
      </c>
      <c r="V308" s="12">
        <v>1077</v>
      </c>
      <c r="W308" s="12">
        <v>665</v>
      </c>
      <c r="X308" s="12">
        <v>368</v>
      </c>
      <c r="Y308" s="12">
        <v>98</v>
      </c>
      <c r="Z308" s="12">
        <v>3067</v>
      </c>
      <c r="AA308" s="12">
        <v>256</v>
      </c>
      <c r="AB308" s="12">
        <v>20696</v>
      </c>
      <c r="AC308" s="12">
        <v>1067</v>
      </c>
      <c r="AD308" s="12">
        <v>8670</v>
      </c>
      <c r="AE308" s="12">
        <v>0</v>
      </c>
      <c r="AF308" s="12">
        <v>0</v>
      </c>
      <c r="AG308" s="12">
        <v>0</v>
      </c>
      <c r="AH308" s="12">
        <v>0</v>
      </c>
      <c r="AI308" s="12">
        <v>0</v>
      </c>
      <c r="AJ308" s="12">
        <v>0</v>
      </c>
      <c r="AK308" s="12">
        <v>33825</v>
      </c>
      <c r="AL308" s="12">
        <v>90</v>
      </c>
      <c r="AM308" s="12">
        <v>7601</v>
      </c>
      <c r="AN308" s="13">
        <f t="shared" si="18"/>
        <v>31173</v>
      </c>
    </row>
    <row r="309" ht="16.5" spans="1:40">
      <c r="A309">
        <f t="shared" si="20"/>
        <v>110</v>
      </c>
      <c r="B309">
        <f t="shared" si="19"/>
        <v>80</v>
      </c>
      <c r="C309" s="112">
        <v>290</v>
      </c>
      <c r="D309" s="113">
        <v>114.750000000002</v>
      </c>
      <c r="E309" s="113">
        <v>133.2</v>
      </c>
      <c r="F309" s="113">
        <v>192.349999999999</v>
      </c>
      <c r="G309" s="113">
        <v>254</v>
      </c>
      <c r="H309" s="12">
        <v>47802</v>
      </c>
      <c r="I309" s="12">
        <v>0</v>
      </c>
      <c r="J309" s="12">
        <v>13333504</v>
      </c>
      <c r="K309" s="12">
        <v>702038</v>
      </c>
      <c r="L309" s="12">
        <v>10585</v>
      </c>
      <c r="M309" s="12">
        <f t="shared" si="21"/>
        <v>33226.7</v>
      </c>
      <c r="N309" s="12">
        <v>287</v>
      </c>
      <c r="O309" s="12">
        <v>1636471</v>
      </c>
      <c r="P309" s="12">
        <v>302459</v>
      </c>
      <c r="Q309" s="12">
        <v>87865</v>
      </c>
      <c r="R309" s="12">
        <v>15</v>
      </c>
      <c r="S309" s="12">
        <v>89</v>
      </c>
      <c r="T309" s="12">
        <v>645</v>
      </c>
      <c r="U309" s="12">
        <v>1379</v>
      </c>
      <c r="V309" s="12">
        <v>1082</v>
      </c>
      <c r="W309" s="12">
        <v>668</v>
      </c>
      <c r="X309" s="12">
        <v>370</v>
      </c>
      <c r="Y309" s="12">
        <v>98</v>
      </c>
      <c r="Z309" s="12">
        <v>3077</v>
      </c>
      <c r="AA309" s="12">
        <v>257</v>
      </c>
      <c r="AB309" s="12">
        <v>20762</v>
      </c>
      <c r="AC309" s="12">
        <v>1071</v>
      </c>
      <c r="AD309" s="12">
        <v>8700</v>
      </c>
      <c r="AE309" s="12">
        <v>0</v>
      </c>
      <c r="AF309" s="12">
        <v>0</v>
      </c>
      <c r="AG309" s="12">
        <v>0</v>
      </c>
      <c r="AH309" s="12">
        <v>0</v>
      </c>
      <c r="AI309" s="12">
        <v>0</v>
      </c>
      <c r="AJ309" s="12">
        <v>0</v>
      </c>
      <c r="AK309" s="12">
        <v>33930</v>
      </c>
      <c r="AL309" s="12">
        <v>90</v>
      </c>
      <c r="AM309" s="12">
        <v>7625</v>
      </c>
      <c r="AN309" s="13">
        <f t="shared" si="18"/>
        <v>31281</v>
      </c>
    </row>
    <row r="310" ht="16.5" spans="1:40">
      <c r="A310">
        <f t="shared" si="20"/>
        <v>110</v>
      </c>
      <c r="B310">
        <f t="shared" si="19"/>
        <v>79</v>
      </c>
      <c r="C310" s="112">
        <v>291</v>
      </c>
      <c r="D310" s="113">
        <v>114.900000000002</v>
      </c>
      <c r="E310" s="113">
        <v>133.4</v>
      </c>
      <c r="F310" s="113">
        <v>192.699999999999</v>
      </c>
      <c r="G310" s="113">
        <v>254.5</v>
      </c>
      <c r="H310" s="12">
        <v>47881</v>
      </c>
      <c r="I310" s="12">
        <v>0</v>
      </c>
      <c r="J310" s="12">
        <v>13378407</v>
      </c>
      <c r="K310" s="12">
        <v>704080</v>
      </c>
      <c r="L310" s="12">
        <v>10594</v>
      </c>
      <c r="M310" s="12">
        <f t="shared" si="21"/>
        <v>33336.7</v>
      </c>
      <c r="N310" s="12">
        <v>288</v>
      </c>
      <c r="O310" s="12">
        <v>1642271</v>
      </c>
      <c r="P310" s="12">
        <v>303492</v>
      </c>
      <c r="Q310" s="12">
        <v>88166</v>
      </c>
      <c r="R310" s="12">
        <v>15</v>
      </c>
      <c r="S310" s="12">
        <v>89</v>
      </c>
      <c r="T310" s="12">
        <v>645</v>
      </c>
      <c r="U310" s="12">
        <v>1383</v>
      </c>
      <c r="V310" s="12">
        <v>1088</v>
      </c>
      <c r="W310" s="12">
        <v>671</v>
      </c>
      <c r="X310" s="12">
        <v>372</v>
      </c>
      <c r="Y310" s="12">
        <v>99</v>
      </c>
      <c r="Z310" s="12">
        <v>3088</v>
      </c>
      <c r="AA310" s="12">
        <v>258</v>
      </c>
      <c r="AB310" s="12">
        <v>20827</v>
      </c>
      <c r="AC310" s="12">
        <v>1074</v>
      </c>
      <c r="AD310" s="12">
        <v>8730</v>
      </c>
      <c r="AE310" s="12">
        <v>0</v>
      </c>
      <c r="AF310" s="12">
        <v>0</v>
      </c>
      <c r="AG310" s="12">
        <v>0</v>
      </c>
      <c r="AH310" s="12">
        <v>0</v>
      </c>
      <c r="AI310" s="12">
        <v>0</v>
      </c>
      <c r="AJ310" s="12">
        <v>0</v>
      </c>
      <c r="AK310" s="12">
        <v>34035</v>
      </c>
      <c r="AL310" s="12">
        <v>90</v>
      </c>
      <c r="AM310" s="12">
        <v>7649</v>
      </c>
      <c r="AN310" s="13">
        <f t="shared" si="18"/>
        <v>31394</v>
      </c>
    </row>
    <row r="311" ht="16.5" spans="1:40">
      <c r="A311">
        <f t="shared" si="20"/>
        <v>110</v>
      </c>
      <c r="B311">
        <f t="shared" si="19"/>
        <v>80</v>
      </c>
      <c r="C311" s="112">
        <v>292</v>
      </c>
      <c r="D311" s="113">
        <v>115.050000000002</v>
      </c>
      <c r="E311" s="113">
        <v>133.6</v>
      </c>
      <c r="F311" s="113">
        <v>193.049999999999</v>
      </c>
      <c r="G311" s="113">
        <v>255</v>
      </c>
      <c r="H311" s="12">
        <v>47961</v>
      </c>
      <c r="I311" s="12">
        <v>0</v>
      </c>
      <c r="J311" s="12">
        <v>13423310</v>
      </c>
      <c r="K311" s="12">
        <v>706122</v>
      </c>
      <c r="L311" s="12">
        <v>10602</v>
      </c>
      <c r="M311" s="12">
        <f t="shared" si="21"/>
        <v>33446.7</v>
      </c>
      <c r="N311" s="12">
        <v>289</v>
      </c>
      <c r="O311" s="12">
        <v>1648071</v>
      </c>
      <c r="P311" s="12">
        <v>304526</v>
      </c>
      <c r="Q311" s="12">
        <v>88468</v>
      </c>
      <c r="R311" s="12">
        <v>15</v>
      </c>
      <c r="S311" s="12">
        <v>89</v>
      </c>
      <c r="T311" s="12">
        <v>645</v>
      </c>
      <c r="U311" s="12">
        <v>1386</v>
      </c>
      <c r="V311" s="12">
        <v>1094</v>
      </c>
      <c r="W311" s="12">
        <v>674</v>
      </c>
      <c r="X311" s="12">
        <v>374</v>
      </c>
      <c r="Y311" s="12">
        <v>100</v>
      </c>
      <c r="Z311" s="12">
        <v>3098</v>
      </c>
      <c r="AA311" s="12">
        <v>259</v>
      </c>
      <c r="AB311" s="12">
        <v>20893</v>
      </c>
      <c r="AC311" s="12">
        <v>1078</v>
      </c>
      <c r="AD311" s="12">
        <v>8760</v>
      </c>
      <c r="AE311" s="12">
        <v>0</v>
      </c>
      <c r="AF311" s="12">
        <v>0</v>
      </c>
      <c r="AG311" s="12">
        <v>0</v>
      </c>
      <c r="AH311" s="12">
        <v>0</v>
      </c>
      <c r="AI311" s="12">
        <v>0</v>
      </c>
      <c r="AJ311" s="12">
        <v>0</v>
      </c>
      <c r="AK311" s="12">
        <v>34140</v>
      </c>
      <c r="AL311" s="12">
        <v>90</v>
      </c>
      <c r="AM311" s="12">
        <v>7673</v>
      </c>
      <c r="AN311" s="13">
        <f t="shared" si="18"/>
        <v>31502</v>
      </c>
    </row>
    <row r="312" ht="16.5" spans="1:40">
      <c r="A312">
        <f t="shared" si="20"/>
        <v>110</v>
      </c>
      <c r="B312">
        <f t="shared" si="19"/>
        <v>79</v>
      </c>
      <c r="C312" s="112">
        <v>293</v>
      </c>
      <c r="D312" s="113">
        <v>115.200000000002</v>
      </c>
      <c r="E312" s="113">
        <v>133.8</v>
      </c>
      <c r="F312" s="113">
        <v>193.399999999999</v>
      </c>
      <c r="G312" s="113">
        <v>255.5</v>
      </c>
      <c r="H312" s="12">
        <v>48040</v>
      </c>
      <c r="I312" s="12">
        <v>0</v>
      </c>
      <c r="J312" s="12">
        <v>13468212</v>
      </c>
      <c r="K312" s="12">
        <v>708164</v>
      </c>
      <c r="L312" s="12">
        <v>10611</v>
      </c>
      <c r="M312" s="12">
        <f t="shared" si="21"/>
        <v>33556.7</v>
      </c>
      <c r="N312" s="12">
        <v>290</v>
      </c>
      <c r="O312" s="12">
        <v>1653871</v>
      </c>
      <c r="P312" s="12">
        <v>305559</v>
      </c>
      <c r="Q312" s="12">
        <v>88769</v>
      </c>
      <c r="R312" s="12">
        <v>15</v>
      </c>
      <c r="S312" s="12">
        <v>89</v>
      </c>
      <c r="T312" s="12">
        <v>645</v>
      </c>
      <c r="U312" s="12">
        <v>1390</v>
      </c>
      <c r="V312" s="12">
        <v>1099</v>
      </c>
      <c r="W312" s="12">
        <v>677</v>
      </c>
      <c r="X312" s="12">
        <v>376</v>
      </c>
      <c r="Y312" s="12">
        <v>101</v>
      </c>
      <c r="Z312" s="12">
        <v>3108</v>
      </c>
      <c r="AA312" s="12">
        <v>260</v>
      </c>
      <c r="AB312" s="12">
        <v>20959</v>
      </c>
      <c r="AC312" s="12">
        <v>1081</v>
      </c>
      <c r="AD312" s="12">
        <v>8790</v>
      </c>
      <c r="AE312" s="12">
        <v>0</v>
      </c>
      <c r="AF312" s="12">
        <v>0</v>
      </c>
      <c r="AG312" s="12">
        <v>0</v>
      </c>
      <c r="AH312" s="12">
        <v>0</v>
      </c>
      <c r="AI312" s="12">
        <v>0</v>
      </c>
      <c r="AJ312" s="12">
        <v>0</v>
      </c>
      <c r="AK312" s="12">
        <v>34245</v>
      </c>
      <c r="AL312" s="12">
        <v>90</v>
      </c>
      <c r="AM312" s="12">
        <v>7697</v>
      </c>
      <c r="AN312" s="13">
        <f t="shared" si="18"/>
        <v>31610</v>
      </c>
    </row>
    <row r="313" ht="16.5" spans="1:40">
      <c r="A313">
        <f t="shared" si="20"/>
        <v>110</v>
      </c>
      <c r="B313">
        <f t="shared" si="19"/>
        <v>80</v>
      </c>
      <c r="C313" s="112">
        <v>294</v>
      </c>
      <c r="D313" s="113">
        <v>115.350000000002</v>
      </c>
      <c r="E313" s="113">
        <v>134</v>
      </c>
      <c r="F313" s="113">
        <v>193.749999999999</v>
      </c>
      <c r="G313" s="113">
        <v>256</v>
      </c>
      <c r="H313" s="12">
        <v>48120</v>
      </c>
      <c r="I313" s="12">
        <v>0</v>
      </c>
      <c r="J313" s="12">
        <v>13513115</v>
      </c>
      <c r="K313" s="12">
        <v>710207</v>
      </c>
      <c r="L313" s="12">
        <v>10620</v>
      </c>
      <c r="M313" s="12">
        <f t="shared" si="21"/>
        <v>33666.7</v>
      </c>
      <c r="N313" s="12">
        <v>291</v>
      </c>
      <c r="O313" s="12">
        <v>1659671</v>
      </c>
      <c r="P313" s="12">
        <v>306593</v>
      </c>
      <c r="Q313" s="12">
        <v>89070</v>
      </c>
      <c r="R313" s="12">
        <v>15</v>
      </c>
      <c r="S313" s="12">
        <v>89</v>
      </c>
      <c r="T313" s="12">
        <v>645</v>
      </c>
      <c r="U313" s="12">
        <v>1394</v>
      </c>
      <c r="V313" s="12">
        <v>1105</v>
      </c>
      <c r="W313" s="12">
        <v>680</v>
      </c>
      <c r="X313" s="12">
        <v>378</v>
      </c>
      <c r="Y313" s="12">
        <v>101</v>
      </c>
      <c r="Z313" s="12">
        <v>3119</v>
      </c>
      <c r="AA313" s="12">
        <v>261</v>
      </c>
      <c r="AB313" s="12">
        <v>21024</v>
      </c>
      <c r="AC313" s="12">
        <v>1085</v>
      </c>
      <c r="AD313" s="12">
        <v>8820</v>
      </c>
      <c r="AE313" s="12">
        <v>0</v>
      </c>
      <c r="AF313" s="12">
        <v>0</v>
      </c>
      <c r="AG313" s="12">
        <v>0</v>
      </c>
      <c r="AH313" s="12">
        <v>0</v>
      </c>
      <c r="AI313" s="12">
        <v>0</v>
      </c>
      <c r="AJ313" s="12">
        <v>0</v>
      </c>
      <c r="AK313" s="12">
        <v>34350</v>
      </c>
      <c r="AL313" s="12">
        <v>90</v>
      </c>
      <c r="AM313" s="12">
        <v>7721</v>
      </c>
      <c r="AN313" s="13">
        <f t="shared" si="18"/>
        <v>31723</v>
      </c>
    </row>
    <row r="314" ht="16.5" spans="1:40">
      <c r="A314">
        <f t="shared" si="20"/>
        <v>110</v>
      </c>
      <c r="B314">
        <f t="shared" si="19"/>
        <v>80</v>
      </c>
      <c r="C314" s="112">
        <v>295</v>
      </c>
      <c r="D314" s="113">
        <v>115.500000000002</v>
      </c>
      <c r="E314" s="113">
        <v>134.2</v>
      </c>
      <c r="F314" s="113">
        <v>194.099999999999</v>
      </c>
      <c r="G314" s="113">
        <v>256.5</v>
      </c>
      <c r="H314" s="12">
        <v>48200</v>
      </c>
      <c r="I314" s="12">
        <v>0</v>
      </c>
      <c r="J314" s="12">
        <v>13558518</v>
      </c>
      <c r="K314" s="12">
        <v>712249</v>
      </c>
      <c r="L314" s="12">
        <v>10628</v>
      </c>
      <c r="M314" s="12">
        <f t="shared" si="21"/>
        <v>33776.7</v>
      </c>
      <c r="N314" s="12">
        <v>292</v>
      </c>
      <c r="O314" s="12">
        <v>1665472</v>
      </c>
      <c r="P314" s="12">
        <v>307627</v>
      </c>
      <c r="Q314" s="12">
        <v>89371</v>
      </c>
      <c r="R314" s="12">
        <v>15</v>
      </c>
      <c r="S314" s="12">
        <v>89</v>
      </c>
      <c r="T314" s="12">
        <v>645</v>
      </c>
      <c r="U314" s="12">
        <v>1397</v>
      </c>
      <c r="V314" s="12">
        <v>1110</v>
      </c>
      <c r="W314" s="12">
        <v>683</v>
      </c>
      <c r="X314" s="12">
        <v>380</v>
      </c>
      <c r="Y314" s="12">
        <v>102</v>
      </c>
      <c r="Z314" s="12">
        <v>3129</v>
      </c>
      <c r="AA314" s="12">
        <v>262</v>
      </c>
      <c r="AB314" s="12">
        <v>21090</v>
      </c>
      <c r="AC314" s="12">
        <v>1088</v>
      </c>
      <c r="AD314" s="12">
        <v>8850</v>
      </c>
      <c r="AE314" s="12">
        <v>0</v>
      </c>
      <c r="AF314" s="12">
        <v>0</v>
      </c>
      <c r="AG314" s="12">
        <v>0</v>
      </c>
      <c r="AH314" s="12">
        <v>0</v>
      </c>
      <c r="AI314" s="12">
        <v>0</v>
      </c>
      <c r="AJ314" s="12">
        <v>0</v>
      </c>
      <c r="AK314" s="12">
        <v>34455</v>
      </c>
      <c r="AL314" s="12">
        <v>90</v>
      </c>
      <c r="AM314" s="12">
        <v>7745</v>
      </c>
      <c r="AN314" s="13">
        <f t="shared" si="18"/>
        <v>31831</v>
      </c>
    </row>
    <row r="315" ht="16.5" spans="1:40">
      <c r="A315">
        <f t="shared" si="20"/>
        <v>110</v>
      </c>
      <c r="B315">
        <f t="shared" si="19"/>
        <v>79</v>
      </c>
      <c r="C315" s="112">
        <v>296</v>
      </c>
      <c r="D315" s="113">
        <v>115.650000000002</v>
      </c>
      <c r="E315" s="113">
        <v>134.4</v>
      </c>
      <c r="F315" s="113">
        <v>194.449999999999</v>
      </c>
      <c r="G315" s="113">
        <v>257</v>
      </c>
      <c r="H315" s="12">
        <v>48279</v>
      </c>
      <c r="I315" s="12">
        <v>0</v>
      </c>
      <c r="J315" s="12">
        <v>13603420</v>
      </c>
      <c r="K315" s="12">
        <v>714291</v>
      </c>
      <c r="L315" s="12">
        <v>10637</v>
      </c>
      <c r="M315" s="12">
        <f t="shared" si="21"/>
        <v>33886.7</v>
      </c>
      <c r="N315" s="12">
        <v>293</v>
      </c>
      <c r="O315" s="12">
        <v>1671272</v>
      </c>
      <c r="P315" s="12">
        <v>308660</v>
      </c>
      <c r="Q315" s="12">
        <v>89673</v>
      </c>
      <c r="R315" s="12">
        <v>15</v>
      </c>
      <c r="S315" s="12">
        <v>89</v>
      </c>
      <c r="T315" s="12">
        <v>645</v>
      </c>
      <c r="U315" s="12">
        <v>1401</v>
      </c>
      <c r="V315" s="12">
        <v>1116</v>
      </c>
      <c r="W315" s="12">
        <v>686</v>
      </c>
      <c r="X315" s="12">
        <v>382</v>
      </c>
      <c r="Y315" s="12">
        <v>103</v>
      </c>
      <c r="Z315" s="12">
        <v>3140</v>
      </c>
      <c r="AA315" s="12">
        <v>262</v>
      </c>
      <c r="AB315" s="12">
        <v>21156</v>
      </c>
      <c r="AC315" s="12">
        <v>1092</v>
      </c>
      <c r="AD315" s="12">
        <v>8880</v>
      </c>
      <c r="AE315" s="12">
        <v>0</v>
      </c>
      <c r="AF315" s="12">
        <v>0</v>
      </c>
      <c r="AG315" s="12">
        <v>0</v>
      </c>
      <c r="AH315" s="12">
        <v>0</v>
      </c>
      <c r="AI315" s="12">
        <v>0</v>
      </c>
      <c r="AJ315" s="12">
        <v>0</v>
      </c>
      <c r="AK315" s="12">
        <v>34560</v>
      </c>
      <c r="AL315" s="12">
        <v>90</v>
      </c>
      <c r="AM315" s="12">
        <v>7768</v>
      </c>
      <c r="AN315" s="13">
        <f t="shared" si="18"/>
        <v>31916</v>
      </c>
    </row>
    <row r="316" ht="16.5" spans="1:40">
      <c r="A316">
        <f t="shared" si="20"/>
        <v>110</v>
      </c>
      <c r="B316">
        <f t="shared" si="19"/>
        <v>80</v>
      </c>
      <c r="C316" s="112">
        <v>297</v>
      </c>
      <c r="D316" s="113">
        <v>115.800000000002</v>
      </c>
      <c r="E316" s="113">
        <v>134.6</v>
      </c>
      <c r="F316" s="113">
        <v>194.799999999999</v>
      </c>
      <c r="G316" s="113">
        <v>257.5</v>
      </c>
      <c r="H316" s="12">
        <v>48359</v>
      </c>
      <c r="I316" s="12">
        <v>0</v>
      </c>
      <c r="J316" s="12">
        <v>13648323</v>
      </c>
      <c r="K316" s="12">
        <v>716333</v>
      </c>
      <c r="L316" s="12">
        <v>10645</v>
      </c>
      <c r="M316" s="12">
        <f t="shared" si="21"/>
        <v>33996.7</v>
      </c>
      <c r="N316" s="12">
        <v>294</v>
      </c>
      <c r="O316" s="12">
        <v>1677072</v>
      </c>
      <c r="P316" s="12">
        <v>309694</v>
      </c>
      <c r="Q316" s="12">
        <v>89974</v>
      </c>
      <c r="R316" s="12">
        <v>15</v>
      </c>
      <c r="S316" s="12">
        <v>89</v>
      </c>
      <c r="T316" s="12">
        <v>645</v>
      </c>
      <c r="U316" s="12">
        <v>1405</v>
      </c>
      <c r="V316" s="12">
        <v>1122</v>
      </c>
      <c r="W316" s="12">
        <v>689</v>
      </c>
      <c r="X316" s="12">
        <v>384</v>
      </c>
      <c r="Y316" s="12">
        <v>104</v>
      </c>
      <c r="Z316" s="12">
        <v>3150</v>
      </c>
      <c r="AA316" s="12">
        <v>263</v>
      </c>
      <c r="AB316" s="12">
        <v>21222</v>
      </c>
      <c r="AC316" s="12">
        <v>1095</v>
      </c>
      <c r="AD316" s="12">
        <v>8910</v>
      </c>
      <c r="AE316" s="12">
        <v>0</v>
      </c>
      <c r="AF316" s="12">
        <v>0</v>
      </c>
      <c r="AG316" s="12">
        <v>0</v>
      </c>
      <c r="AH316" s="12">
        <v>0</v>
      </c>
      <c r="AI316" s="12">
        <v>0</v>
      </c>
      <c r="AJ316" s="12">
        <v>0</v>
      </c>
      <c r="AK316" s="12">
        <v>34665</v>
      </c>
      <c r="AL316" s="12">
        <v>90</v>
      </c>
      <c r="AM316" s="12">
        <v>7792</v>
      </c>
      <c r="AN316" s="13">
        <f t="shared" si="18"/>
        <v>32024</v>
      </c>
    </row>
    <row r="317" ht="16.5" spans="1:40">
      <c r="A317">
        <f t="shared" si="20"/>
        <v>110</v>
      </c>
      <c r="B317">
        <f t="shared" si="19"/>
        <v>80</v>
      </c>
      <c r="C317" s="112">
        <v>298</v>
      </c>
      <c r="D317" s="113">
        <v>115.950000000002</v>
      </c>
      <c r="E317" s="113">
        <v>134.8</v>
      </c>
      <c r="F317" s="113">
        <v>195.149999999999</v>
      </c>
      <c r="G317" s="113">
        <v>258</v>
      </c>
      <c r="H317" s="12">
        <v>48439</v>
      </c>
      <c r="I317" s="12">
        <v>0</v>
      </c>
      <c r="J317" s="12">
        <v>13693226</v>
      </c>
      <c r="K317" s="12">
        <v>718375</v>
      </c>
      <c r="L317" s="12">
        <v>10654</v>
      </c>
      <c r="M317" s="12">
        <f t="shared" si="21"/>
        <v>34106.7</v>
      </c>
      <c r="N317" s="12">
        <v>294</v>
      </c>
      <c r="O317" s="12">
        <v>1682872</v>
      </c>
      <c r="P317" s="12">
        <v>310727</v>
      </c>
      <c r="Q317" s="12">
        <v>90275</v>
      </c>
      <c r="R317" s="12">
        <v>15</v>
      </c>
      <c r="S317" s="12">
        <v>89</v>
      </c>
      <c r="T317" s="12">
        <v>645</v>
      </c>
      <c r="U317" s="12">
        <v>1408</v>
      </c>
      <c r="V317" s="12">
        <v>1127</v>
      </c>
      <c r="W317" s="12">
        <v>692</v>
      </c>
      <c r="X317" s="12">
        <v>386</v>
      </c>
      <c r="Y317" s="12">
        <v>104</v>
      </c>
      <c r="Z317" s="12">
        <v>3161</v>
      </c>
      <c r="AA317" s="12">
        <v>264</v>
      </c>
      <c r="AB317" s="12">
        <v>21287</v>
      </c>
      <c r="AC317" s="12">
        <v>1099</v>
      </c>
      <c r="AD317" s="12">
        <v>8940</v>
      </c>
      <c r="AE317" s="12">
        <v>0</v>
      </c>
      <c r="AF317" s="12">
        <v>0</v>
      </c>
      <c r="AG317" s="12">
        <v>0</v>
      </c>
      <c r="AH317" s="12">
        <v>0</v>
      </c>
      <c r="AI317" s="12">
        <v>0</v>
      </c>
      <c r="AJ317" s="12">
        <v>0</v>
      </c>
      <c r="AK317" s="12">
        <v>34770</v>
      </c>
      <c r="AL317" s="12">
        <v>90</v>
      </c>
      <c r="AM317" s="12">
        <v>7816</v>
      </c>
      <c r="AN317" s="13">
        <f t="shared" si="18"/>
        <v>32137</v>
      </c>
    </row>
    <row r="318" ht="16.5" spans="1:40">
      <c r="A318">
        <f t="shared" si="20"/>
        <v>110</v>
      </c>
      <c r="B318">
        <f t="shared" si="19"/>
        <v>79</v>
      </c>
      <c r="C318" s="112">
        <v>299</v>
      </c>
      <c r="D318" s="113">
        <v>116.100000000002</v>
      </c>
      <c r="E318" s="113">
        <v>135</v>
      </c>
      <c r="F318" s="113">
        <v>195.499999999999</v>
      </c>
      <c r="G318" s="113">
        <v>258.5</v>
      </c>
      <c r="H318" s="12">
        <v>48518</v>
      </c>
      <c r="I318" s="12">
        <v>0</v>
      </c>
      <c r="J318" s="12">
        <v>13738128</v>
      </c>
      <c r="K318" s="12">
        <v>720417</v>
      </c>
      <c r="L318" s="12">
        <v>10662</v>
      </c>
      <c r="M318" s="12">
        <f t="shared" si="21"/>
        <v>34216.7</v>
      </c>
      <c r="N318" s="12">
        <v>295</v>
      </c>
      <c r="O318" s="12">
        <v>1688672</v>
      </c>
      <c r="P318" s="12">
        <v>311761</v>
      </c>
      <c r="Q318" s="12">
        <v>90576</v>
      </c>
      <c r="R318" s="12">
        <v>15</v>
      </c>
      <c r="S318" s="12">
        <v>89</v>
      </c>
      <c r="T318" s="12">
        <v>645</v>
      </c>
      <c r="U318" s="12">
        <v>1412</v>
      </c>
      <c r="V318" s="12">
        <v>1133</v>
      </c>
      <c r="W318" s="12">
        <v>695</v>
      </c>
      <c r="X318" s="12">
        <v>388</v>
      </c>
      <c r="Y318" s="12">
        <v>105</v>
      </c>
      <c r="Z318" s="12">
        <v>3171</v>
      </c>
      <c r="AA318" s="12">
        <v>265</v>
      </c>
      <c r="AB318" s="12">
        <v>21353</v>
      </c>
      <c r="AC318" s="12">
        <v>1102</v>
      </c>
      <c r="AD318" s="12">
        <v>8970</v>
      </c>
      <c r="AE318" s="12">
        <v>0</v>
      </c>
      <c r="AF318" s="12">
        <v>0</v>
      </c>
      <c r="AG318" s="12">
        <v>0</v>
      </c>
      <c r="AH318" s="12">
        <v>0</v>
      </c>
      <c r="AI318" s="12">
        <v>0</v>
      </c>
      <c r="AJ318" s="12">
        <v>0</v>
      </c>
      <c r="AK318" s="12">
        <v>34875</v>
      </c>
      <c r="AL318" s="12">
        <v>90</v>
      </c>
      <c r="AM318" s="12">
        <v>7840</v>
      </c>
      <c r="AN318" s="13">
        <f t="shared" si="18"/>
        <v>32245</v>
      </c>
    </row>
    <row r="319" ht="16.5" spans="1:40">
      <c r="A319">
        <f t="shared" si="20"/>
        <v>110</v>
      </c>
      <c r="C319" s="112">
        <v>300</v>
      </c>
      <c r="D319" s="113">
        <v>116.250000000002</v>
      </c>
      <c r="E319" s="113">
        <v>135.2</v>
      </c>
      <c r="F319" s="113">
        <v>195.849999999999</v>
      </c>
      <c r="G319" s="113">
        <v>259</v>
      </c>
      <c r="H319" s="12">
        <v>48598</v>
      </c>
      <c r="I319" s="12">
        <v>0</v>
      </c>
      <c r="J319" s="12">
        <v>13783031</v>
      </c>
      <c r="K319" s="12">
        <v>722460</v>
      </c>
      <c r="L319" s="12">
        <v>10671</v>
      </c>
      <c r="M319" s="12">
        <f t="shared" si="21"/>
        <v>34326.7</v>
      </c>
      <c r="N319" s="12">
        <v>296</v>
      </c>
      <c r="O319" s="12">
        <v>1694473</v>
      </c>
      <c r="P319" s="12">
        <v>312795</v>
      </c>
      <c r="Q319" s="12">
        <v>90878</v>
      </c>
      <c r="R319" s="12">
        <v>15</v>
      </c>
      <c r="S319" s="12">
        <v>89</v>
      </c>
      <c r="T319" s="12">
        <v>645</v>
      </c>
      <c r="U319" s="12">
        <v>1416</v>
      </c>
      <c r="V319" s="12">
        <v>1139</v>
      </c>
      <c r="W319" s="12">
        <v>698</v>
      </c>
      <c r="X319" s="12">
        <v>389</v>
      </c>
      <c r="Y319" s="12">
        <v>106</v>
      </c>
      <c r="Z319" s="12">
        <v>3182</v>
      </c>
      <c r="AA319" s="12">
        <v>266</v>
      </c>
      <c r="AB319" s="12">
        <v>21419</v>
      </c>
      <c r="AC319" s="12">
        <v>1106</v>
      </c>
      <c r="AD319" s="12">
        <v>9000</v>
      </c>
      <c r="AE319" s="12">
        <v>0</v>
      </c>
      <c r="AF319" s="12">
        <v>0</v>
      </c>
      <c r="AG319" s="12">
        <v>0</v>
      </c>
      <c r="AH319" s="12">
        <v>0</v>
      </c>
      <c r="AI319" s="12">
        <v>0</v>
      </c>
      <c r="AJ319" s="12">
        <v>0</v>
      </c>
      <c r="AK319" s="12">
        <v>34980</v>
      </c>
      <c r="AL319" s="12">
        <v>90</v>
      </c>
      <c r="AM319" s="12">
        <v>7864</v>
      </c>
      <c r="AN319" s="13">
        <f t="shared" si="18"/>
        <v>32358</v>
      </c>
    </row>
  </sheetData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0" r:id="rId3">
          <controlPr defaultSize="0" r:id="rId4">
            <anchor moveWithCells="1">
              <from>
                <xdr:col>11</xdr:col>
                <xdr:colOff>200025</xdr:colOff>
                <xdr:row>13</xdr:row>
                <xdr:rowOff>19050</xdr:rowOff>
              </from>
              <to>
                <xdr:col>12</xdr:col>
                <xdr:colOff>342900</xdr:colOff>
                <xdr:row>15</xdr:row>
                <xdr:rowOff>104775</xdr:rowOff>
              </to>
            </anchor>
          </controlPr>
        </control>
      </mc:Choice>
      <mc:Fallback>
        <control shapeId="2050" r:id="rId3"/>
      </mc:Fallback>
    </mc:AlternateContent>
  </controls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6"/>
  </sheetPr>
  <dimension ref="B1:T302"/>
  <sheetViews>
    <sheetView workbookViewId="0">
      <selection activeCell="G38" sqref="D3:G38"/>
    </sheetView>
  </sheetViews>
  <sheetFormatPr defaultColWidth="9" defaultRowHeight="13.5"/>
  <cols>
    <col min="9" max="9" width="12.625"/>
    <col min="11" max="11" width="9.375"/>
    <col min="12" max="12" width="12.625"/>
  </cols>
  <sheetData>
    <row r="1" spans="2:20">
      <c r="E1" s="52"/>
    </row>
    <row r="2" ht="16.5" spans="2:20">
      <c r="B2" s="1" t="s">
        <v>40</v>
      </c>
      <c r="C2" s="1" t="s">
        <v>73</v>
      </c>
      <c r="D2" s="1" t="s">
        <v>74</v>
      </c>
      <c r="E2" s="1" t="s">
        <v>75</v>
      </c>
      <c r="F2" s="1" t="s">
        <v>76</v>
      </c>
      <c r="G2" s="1" t="s">
        <v>77</v>
      </c>
      <c r="H2" s="1" t="s">
        <v>78</v>
      </c>
      <c r="I2" s="1" t="s">
        <v>79</v>
      </c>
      <c r="J2" s="1" t="s">
        <v>80</v>
      </c>
      <c r="K2" s="1" t="s">
        <v>81</v>
      </c>
      <c r="L2" s="1" t="s">
        <v>82</v>
      </c>
      <c r="M2" s="1" t="s">
        <v>83</v>
      </c>
      <c r="N2" s="1" t="s">
        <v>84</v>
      </c>
      <c r="O2" s="1" t="s">
        <v>85</v>
      </c>
    </row>
    <row r="3" ht="16.5" spans="2:20">
      <c r="B3" s="2">
        <v>1</v>
      </c>
      <c r="C3" s="2">
        <f ca="1">MATCH((OFFSET(产出预期!$C$3,0,产出预期!$B$1)*10+OFFSET(产出预期!$C$4,0,产出预期!$B$1)*10+OFFSET(产出预期!$C$7,0,产出预期!$B$1)*20)*B3/10*60,玩家等级!$E$3:$E$302,1)</f>
        <v>8</v>
      </c>
      <c r="D3" s="2">
        <f>MATCH(产出预期!P20/6,装备养成!$G$4:$G$303,1)</f>
        <v>12</v>
      </c>
      <c r="E3" s="2">
        <f>COUNTIF(产出预期!$R20:$Y20,"&gt;"&amp;0)</f>
        <v>4</v>
      </c>
      <c r="F3" s="2">
        <f ca="1">MATCH(OFFSET(产出预期!$R$19,B3,E3-1),装备养成!$S$4:$S$9,1)</f>
        <v>2</v>
      </c>
      <c r="G3" s="2" t="str">
        <f ca="1">OFFSET(梦灵养成!$D$9,MATCH(梦灵养成!C34,梦灵养成!$C$10:$C$28,1),0)</f>
        <v>甜心护士</v>
      </c>
      <c r="H3" s="2" t="str">
        <f ca="1">OFFSET(梦灵养成!$I$9,MATCH(梦灵养成!C34,梦灵养成!$C$10:$C$28,1),0)</f>
        <v>忍者鲨手</v>
      </c>
      <c r="I3" s="45" cm="1">
        <f ca="1" t="array" ref="I3">IFERROR(MATCH(((产出预期!$M20-OFFSET(梦灵养成!$Q$9,MATCH(产出预期!$M20,梦灵养成!$Q$10:$Q$15,1),0))*OFFSET(梦灵养成!L$9,1+MATCH(产出预期!$M20,梦灵养成!$Q$10:$Q$15,1),0)+梦灵养成!D339+SUMPRODUCT(--(梦灵养成!$Q$10:$Q$15&lt;=产出预期!$M20),梦灵养成!L$10:L$15,梦灵养成!$P$10:$P$15))/MAX(SUMPRODUCT(--(梦灵养成!$C$10:$C$31&lt;=产出预期!$M20),--(梦灵养成!$E$10:$E$31=I$2)),1)*10,梦灵养成!AT$339:AT$387,1),0)</f>
        <v>0</v>
      </c>
      <c r="J3" s="45" cm="1">
        <f ca="1" t="array" ref="J3">IFERROR(MATCH(((产出预期!$M20-OFFSET(梦灵养成!$Q$9,MATCH(产出预期!$M20,梦灵养成!$Q$10:$Q$15,1),0))*OFFSET(梦灵养成!M$9,1+MATCH(产出预期!$M20,梦灵养成!$Q$10:$Q$15,1),0)+梦灵养成!E339+SUMPRODUCT(--(梦灵养成!$Q$10:$Q$15&lt;=产出预期!$M20),梦灵养成!M$10:M$15,梦灵养成!$P$10:$P$15))/MAX(SUMPRODUCT(--(梦灵养成!$C$10:$C$31&lt;=产出预期!$M20),--(梦灵养成!$E$10:$E$31=J$2)),1)*10,梦灵养成!AU$339:AU$387,1),0)</f>
        <v>0</v>
      </c>
      <c r="K3" s="45" cm="1">
        <f ca="1" t="array" ref="K3">IFERROR(MATCH(((产出预期!$M20-OFFSET(梦灵养成!$Q$9,MATCH(产出预期!$M20,梦灵养成!$Q$10:$Q$15,1),0))*OFFSET(梦灵养成!N$9,1+MATCH(产出预期!$M20,梦灵养成!$Q$10:$Q$15,1),0)+梦灵养成!F339+SUMPRODUCT(--(梦灵养成!$Q$10:$Q$15&lt;=产出预期!$M20),梦灵养成!N$10:N$15,梦灵养成!$P$10:$P$15))/MAX(SUMPRODUCT(--(梦灵养成!$C$10:$C$31&lt;=产出预期!$M20),--(梦灵养成!$E$10:$E$31=K$2)),1)*10,梦灵养成!AV$339:AV$387,1),0)</f>
        <v>0</v>
      </c>
      <c r="L3" s="45" cm="1">
        <f ca="1" t="array" ref="L3">IFERROR(MATCH(((产出预期!$M20-OFFSET(梦灵养成!$Q$9,MATCH(产出预期!$M20,梦灵养成!$Q$10:$Q$15,1),0))*OFFSET(梦灵养成!O$9,1+MATCH(产出预期!$M20,梦灵养成!$Q$10:$Q$15,1),0)+梦灵养成!G339+SUMPRODUCT(--(梦灵养成!$Q$10:$Q$15&lt;=产出预期!$M20),梦灵养成!O$10:O$15,梦灵养成!$P$10:$P$15))/MAX(SUMPRODUCT(--(梦灵养成!$C$10:$C$31&lt;=产出预期!$M20),--(梦灵养成!$E$10:$E$31=L$2)),1)*10,梦灵养成!AW$339:AW$388,1),0)</f>
        <v>0</v>
      </c>
      <c r="M3" s="45">
        <f ca="1">OFFSET(符文养成!$C$14,MATCH(C3,符文养成!$B$15:$B$44,1),0)</f>
        <v>8</v>
      </c>
      <c r="N3" s="45">
        <f ca="1">MATCH((产出预期!Z20*价值表!$F$53+产出预期!AA20*价值表!$F$54+产出预期!AD20*价值表!$F$57)/16/M3,符文养成!$G$15:$G$21,1)</f>
        <v>2</v>
      </c>
      <c r="O3" s="45"/>
    </row>
    <row r="4" ht="16.5" spans="2:20">
      <c r="B4" s="2">
        <v>2</v>
      </c>
      <c r="C4" s="2">
        <f ca="1">MATCH((OFFSET(产出预期!$C$3,0,产出预期!$B$1)*10+OFFSET(产出预期!$C$4,0,产出预期!$B$1)*10+OFFSET(产出预期!$C$7,0,产出预期!$B$1)*20)*B4/10*60,玩家等级!$E$3:$E$302,1)</f>
        <v>12</v>
      </c>
      <c r="D4" s="2">
        <f>MATCH(产出预期!P21/6,装备养成!$G$4:$G$303,1)</f>
        <v>16</v>
      </c>
      <c r="E4" s="2">
        <f>COUNTIF(产出预期!$R21:$Y21,"&gt;"&amp;0)</f>
        <v>5</v>
      </c>
      <c r="F4" s="2">
        <f ca="1">MATCH(OFFSET(产出预期!$R$19,B4,E4-1),装备养成!$S$4:$S$9,1)</f>
        <v>1</v>
      </c>
      <c r="G4" s="2" t="str">
        <f ca="1">OFFSET(梦灵养成!$D$9,MATCH(梦灵养成!C35,梦灵养成!$C$10:$C$28,1),0)</f>
        <v>镭射眼</v>
      </c>
      <c r="H4" s="2" t="str">
        <f ca="1">OFFSET(梦灵养成!$I$9,MATCH(梦灵养成!C35,梦灵养成!$C$10:$C$28,1),0)</f>
        <v>镭射眼</v>
      </c>
      <c r="I4" s="45" cm="1">
        <f ca="1" t="array" ref="I4">IFERROR(MATCH(((产出预期!$M21-OFFSET(梦灵养成!$Q$9,MATCH(产出预期!$M21,梦灵养成!$Q$10:$Q$15,1),0))*OFFSET(梦灵养成!L$9,1+MATCH(产出预期!$M21,梦灵养成!$Q$10:$Q$15,1),0)+梦灵养成!D340+SUMPRODUCT(--(梦灵养成!$Q$10:$Q$15&lt;=产出预期!$M21),梦灵养成!L$10:L$15,梦灵养成!$P$10:$P$15))/MAX(SUMPRODUCT(--(梦灵养成!$C$10:$C$31&lt;=产出预期!$M21),--(梦灵养成!$E$10:$E$31=I$2)),1)*10,梦灵养成!AT$339:AT$387,1),0)</f>
        <v>30</v>
      </c>
      <c r="J4" s="45" cm="1">
        <f ca="1" t="array" ref="J4">IFERROR(MATCH(((产出预期!$M21-OFFSET(梦灵养成!$Q$9,MATCH(产出预期!$M21,梦灵养成!$Q$10:$Q$15,1),0))*OFFSET(梦灵养成!M$9,1+MATCH(产出预期!$M21,梦灵养成!$Q$10:$Q$15,1),0)+梦灵养成!E340+SUMPRODUCT(--(梦灵养成!$Q$10:$Q$15&lt;=产出预期!$M21),梦灵养成!M$10:M$15,梦灵养成!$P$10:$P$15))/MAX(SUMPRODUCT(--(梦灵养成!$C$10:$C$31&lt;=产出预期!$M21),--(梦灵养成!$E$10:$E$31=J$2)),1)*10,梦灵养成!AU$339:AU$387,1),0)</f>
        <v>23</v>
      </c>
      <c r="K4" s="45" cm="1">
        <f ca="1" t="array" ref="K4">IFERROR(MATCH(((产出预期!$M21-OFFSET(梦灵养成!$Q$9,MATCH(产出预期!$M21,梦灵养成!$Q$10:$Q$15,1),0))*OFFSET(梦灵养成!N$9,1+MATCH(产出预期!$M21,梦灵养成!$Q$10:$Q$15,1),0)+梦灵养成!F340+SUMPRODUCT(--(梦灵养成!$Q$10:$Q$15&lt;=产出预期!$M21),梦灵养成!N$10:N$15,梦灵养成!$P$10:$P$15))/MAX(SUMPRODUCT(--(梦灵养成!$C$10:$C$31&lt;=产出预期!$M21),--(梦灵养成!$E$10:$E$31=K$2)),1)*10,梦灵养成!AV$339:AV$387,1),0)</f>
        <v>18</v>
      </c>
      <c r="L4" s="45" cm="1">
        <f ca="1" t="array" ref="L4">IFERROR(MATCH(((产出预期!$M21-OFFSET(梦灵养成!$Q$9,MATCH(产出预期!$M21,梦灵养成!$Q$10:$Q$15,1),0))*OFFSET(梦灵养成!O$9,1+MATCH(产出预期!$M21,梦灵养成!$Q$10:$Q$15,1),0)+梦灵养成!G340+SUMPRODUCT(--(梦灵养成!$Q$10:$Q$15&lt;=产出预期!$M21),梦灵养成!O$10:O$15,梦灵养成!$P$10:$P$15))/MAX(SUMPRODUCT(--(梦灵养成!$C$10:$C$31&lt;=产出预期!$M21),--(梦灵养成!$E$10:$E$31=L$2)),1)*10,梦灵养成!AW$339:AW$388,1),0)</f>
        <v>8</v>
      </c>
      <c r="M4" s="45">
        <f ca="1">OFFSET(符文养成!$C$14,MATCH(C4,符文养成!$B$15:$B$44,1),0)</f>
        <v>12</v>
      </c>
      <c r="N4" s="45">
        <f ca="1">MATCH((产出预期!Z21*价值表!$F$53+产出预期!AA21*价值表!$F$54+产出预期!AD21*价值表!$F$57)/16/M4,符文养成!$G$15:$G$21,1)</f>
        <v>2</v>
      </c>
      <c r="O4" s="45"/>
    </row>
    <row r="5" ht="16.5" spans="2:20">
      <c r="B5" s="2">
        <v>3</v>
      </c>
      <c r="C5" s="2">
        <f ca="1">MATCH((OFFSET(产出预期!$C$3,0,产出预期!$B$1)*10+OFFSET(产出预期!$C$4,0,产出预期!$B$1)*10+OFFSET(产出预期!$C$7,0,产出预期!$B$1)*20)*B5/10*60,玩家等级!$E$3:$E$302,1)</f>
        <v>15</v>
      </c>
      <c r="D5" s="2">
        <f>MATCH(产出预期!P22/6,装备养成!$G$4:$G$303,1)</f>
        <v>20</v>
      </c>
      <c r="E5" s="2">
        <f>COUNTIF(产出预期!$R22:$Y22,"&gt;"&amp;0)</f>
        <v>5</v>
      </c>
      <c r="F5" s="2">
        <f ca="1">MATCH(OFFSET(产出预期!$R$19,B5,E5-1),装备养成!$S$4:$S$9,1)</f>
        <v>1</v>
      </c>
      <c r="G5" s="2" t="str">
        <f ca="1">OFFSET(梦灵养成!$D$9,MATCH(梦灵养成!C36,梦灵养成!$C$10:$C$28,1),0)</f>
        <v>东方不败</v>
      </c>
      <c r="H5" s="2" t="str">
        <f ca="1">OFFSET(梦灵养成!$I$9,MATCH(梦灵养成!C36,梦灵养成!$C$10:$C$28,1),0)</f>
        <v>镭射眼</v>
      </c>
      <c r="I5" s="45" cm="1">
        <f ca="1" t="array" ref="I5">IFERROR(MATCH(((产出预期!$M22-OFFSET(梦灵养成!$Q$9,MATCH(产出预期!$M22,梦灵养成!$Q$10:$Q$15,1),0))*OFFSET(梦灵养成!L$9,1+MATCH(产出预期!$M22,梦灵养成!$Q$10:$Q$15,1),0)+梦灵养成!D341+SUMPRODUCT(--(梦灵养成!$Q$10:$Q$15&lt;=产出预期!$M22),梦灵养成!L$10:L$15,梦灵养成!$P$10:$P$15))/MAX(SUMPRODUCT(--(梦灵养成!$C$10:$C$31&lt;=产出预期!$M22),--(梦灵养成!$E$10:$E$31=I$2)),1)*10,梦灵养成!AT$339:AT$387,1),0)</f>
        <v>32</v>
      </c>
      <c r="J5" s="45" cm="1">
        <f ca="1" t="array" ref="J5">IFERROR(MATCH(((产出预期!$M22-OFFSET(梦灵养成!$Q$9,MATCH(产出预期!$M22,梦灵养成!$Q$10:$Q$15,1),0))*OFFSET(梦灵养成!M$9,1+MATCH(产出预期!$M22,梦灵养成!$Q$10:$Q$15,1),0)+梦灵养成!E341+SUMPRODUCT(--(梦灵养成!$Q$10:$Q$15&lt;=产出预期!$M22),梦灵养成!M$10:M$15,梦灵养成!$P$10:$P$15))/MAX(SUMPRODUCT(--(梦灵养成!$C$10:$C$31&lt;=产出预期!$M22),--(梦灵养成!$E$10:$E$31=J$2)),1)*10,梦灵养成!AU$339:AU$387,1),0)</f>
        <v>26</v>
      </c>
      <c r="K5" s="45" cm="1">
        <f ca="1" t="array" ref="K5">IFERROR(MATCH(((产出预期!$M22-OFFSET(梦灵养成!$Q$9,MATCH(产出预期!$M22,梦灵养成!$Q$10:$Q$15,1),0))*OFFSET(梦灵养成!N$9,1+MATCH(产出预期!$M22,梦灵养成!$Q$10:$Q$15,1),0)+梦灵养成!F341+SUMPRODUCT(--(梦灵养成!$Q$10:$Q$15&lt;=产出预期!$M22),梦灵养成!N$10:N$15,梦灵养成!$P$10:$P$15))/MAX(SUMPRODUCT(--(梦灵养成!$C$10:$C$31&lt;=产出预期!$M22),--(梦灵养成!$E$10:$E$31=K$2)),1)*10,梦灵养成!AV$339:AV$387,1),0)</f>
        <v>21</v>
      </c>
      <c r="L5" s="45" cm="1">
        <f ca="1" t="array" ref="L5">IFERROR(MATCH(((产出预期!$M22-OFFSET(梦灵养成!$Q$9,MATCH(产出预期!$M22,梦灵养成!$Q$10:$Q$15,1),0))*OFFSET(梦灵养成!O$9,1+MATCH(产出预期!$M22,梦灵养成!$Q$10:$Q$15,1),0)+梦灵养成!G341+SUMPRODUCT(--(梦灵养成!$Q$10:$Q$15&lt;=产出预期!$M22),梦灵养成!O$10:O$15,梦灵养成!$P$10:$P$15))/MAX(SUMPRODUCT(--(梦灵养成!$C$10:$C$31&lt;=产出预期!$M22),--(梦灵养成!$E$10:$E$31=L$2)),1)*10,梦灵养成!AW$339:AW$388,1),0)</f>
        <v>9</v>
      </c>
      <c r="M5" s="45">
        <f ca="1">OFFSET(符文养成!$C$14,MATCH(C5,符文养成!$B$15:$B$44,1),0)</f>
        <v>15</v>
      </c>
      <c r="N5" s="45">
        <f ca="1">MATCH((产出预期!Z22*价值表!$F$53+产出预期!AA22*价值表!$F$54+产出预期!AD22*价值表!$F$57)/16/M5,符文养成!$G$15:$G$21,1)</f>
        <v>3</v>
      </c>
      <c r="O5" s="45">
        <f>MATCH(产出预期!O22,秘宝养成!$C$3:$C$14,1)</f>
        <v>1</v>
      </c>
    </row>
    <row r="6" ht="16.5" spans="2:20">
      <c r="B6" s="2">
        <v>4</v>
      </c>
      <c r="C6" s="2">
        <f ca="1">MATCH((OFFSET(产出预期!$C$3,0,产出预期!$B$1)*10+OFFSET(产出预期!$C$4,0,产出预期!$B$1)*10+OFFSET(产出预期!$C$7,0,产出预期!$B$1)*20)*B6/10*60,玩家等级!$E$3:$E$302,1)</f>
        <v>17</v>
      </c>
      <c r="D6" s="2">
        <f>MATCH(产出预期!P23/6,装备养成!$G$4:$G$303,1)</f>
        <v>22</v>
      </c>
      <c r="E6" s="2">
        <f>COUNTIF(产出预期!$R23:$Y23,"&gt;"&amp;0)</f>
        <v>5</v>
      </c>
      <c r="F6" s="2">
        <f ca="1">MATCH(OFFSET(产出预期!$R$19,B6,E6-1),装备养成!$S$4:$S$9,1)</f>
        <v>2</v>
      </c>
      <c r="G6" s="2" t="str">
        <f ca="1">OFFSET(梦灵养成!$D$9,MATCH(梦灵养成!C37,梦灵养成!$C$10:$C$28,1),0)</f>
        <v>亚瑟</v>
      </c>
      <c r="H6" s="2" t="str">
        <f ca="1">OFFSET(梦灵养成!$I$9,MATCH(梦灵养成!C37,梦灵养成!$C$10:$C$28,1),0)</f>
        <v>镭射眼</v>
      </c>
      <c r="I6" s="45" cm="1">
        <f ca="1" t="array" ref="I6">IFERROR(MATCH(((产出预期!$M23-OFFSET(梦灵养成!$Q$9,MATCH(产出预期!$M23,梦灵养成!$Q$10:$Q$15,1),0))*OFFSET(梦灵养成!L$9,1+MATCH(产出预期!$M23,梦灵养成!$Q$10:$Q$15,1),0)+梦灵养成!D342+SUMPRODUCT(--(梦灵养成!$Q$10:$Q$15&lt;=产出预期!$M23),梦灵养成!L$10:L$15,梦灵养成!$P$10:$P$15))/MAX(SUMPRODUCT(--(梦灵养成!$C$10:$C$31&lt;=产出预期!$M23),--(梦灵养成!$E$10:$E$31=I$2)),1)*10,梦灵养成!AT$339:AT$387,1),0)</f>
        <v>34</v>
      </c>
      <c r="J6" s="45" cm="1">
        <f ca="1" t="array" ref="J6">IFERROR(MATCH(((产出预期!$M23-OFFSET(梦灵养成!$Q$9,MATCH(产出预期!$M23,梦灵养成!$Q$10:$Q$15,1),0))*OFFSET(梦灵养成!M$9,1+MATCH(产出预期!$M23,梦灵养成!$Q$10:$Q$15,1),0)+梦灵养成!E342+SUMPRODUCT(--(梦灵养成!$Q$10:$Q$15&lt;=产出预期!$M23),梦灵养成!M$10:M$15,梦灵养成!$P$10:$P$15))/MAX(SUMPRODUCT(--(梦灵养成!$C$10:$C$31&lt;=产出预期!$M23),--(梦灵养成!$E$10:$E$31=J$2)),1)*10,梦灵养成!AU$339:AU$387,1),0)</f>
        <v>27</v>
      </c>
      <c r="K6" s="45" cm="1">
        <f ca="1" t="array" ref="K6">IFERROR(MATCH(((产出预期!$M23-OFFSET(梦灵养成!$Q$9,MATCH(产出预期!$M23,梦灵养成!$Q$10:$Q$15,1),0))*OFFSET(梦灵养成!N$9,1+MATCH(产出预期!$M23,梦灵养成!$Q$10:$Q$15,1),0)+梦灵养成!F342+SUMPRODUCT(--(梦灵养成!$Q$10:$Q$15&lt;=产出预期!$M23),梦灵养成!N$10:N$15,梦灵养成!$P$10:$P$15))/MAX(SUMPRODUCT(--(梦灵养成!$C$10:$C$31&lt;=产出预期!$M23),--(梦灵养成!$E$10:$E$31=K$2)),1)*10,梦灵养成!AV$339:AV$387,1),0)</f>
        <v>23</v>
      </c>
      <c r="L6" s="45" cm="1">
        <f ca="1" t="array" ref="L6">IFERROR(MATCH(((产出预期!$M23-OFFSET(梦灵养成!$Q$9,MATCH(产出预期!$M23,梦灵养成!$Q$10:$Q$15,1),0))*OFFSET(梦灵养成!O$9,1+MATCH(产出预期!$M23,梦灵养成!$Q$10:$Q$15,1),0)+梦灵养成!G342+SUMPRODUCT(--(梦灵养成!$Q$10:$Q$15&lt;=产出预期!$M23),梦灵养成!O$10:O$15,梦灵养成!$P$10:$P$15))/MAX(SUMPRODUCT(--(梦灵养成!$C$10:$C$31&lt;=产出预期!$M23),--(梦灵养成!$E$10:$E$31=L$2)),1)*10,梦灵养成!AW$339:AW$388,1),0)</f>
        <v>10</v>
      </c>
      <c r="M6" s="45">
        <f ca="1">OFFSET(符文养成!$C$14,MATCH(C6,符文养成!$B$15:$B$44,1),0)</f>
        <v>17</v>
      </c>
      <c r="N6" s="45">
        <f ca="1">MATCH((产出预期!Z23*价值表!$F$53+产出预期!AA23*价值表!$F$54+产出预期!AD23*价值表!$F$57)/16/M6,符文养成!$G$15:$G$21,1)</f>
        <v>3</v>
      </c>
      <c r="O6" s="45">
        <f>MATCH(产出预期!O23,秘宝养成!$C$3:$C$14,1)</f>
        <v>2</v>
      </c>
    </row>
    <row r="7" ht="16.5" spans="2:20">
      <c r="B7" s="2">
        <v>5</v>
      </c>
      <c r="C7" s="2">
        <f ca="1">MATCH((OFFSET(产出预期!$C$3,0,产出预期!$B$1)*10+OFFSET(产出预期!$C$4,0,产出预期!$B$1)*10+OFFSET(产出预期!$C$7,0,产出预期!$B$1)*20)*B7/10*60,玩家等级!$E$3:$E$302,1)</f>
        <v>20</v>
      </c>
      <c r="D7" s="2">
        <f>MATCH(产出预期!P24/6,装备养成!$G$4:$G$303,1)</f>
        <v>25</v>
      </c>
      <c r="E7" s="2">
        <f>COUNTIF(产出预期!$R24:$Y24,"&gt;"&amp;0)</f>
        <v>5</v>
      </c>
      <c r="F7" s="2">
        <f ca="1">MATCH(OFFSET(产出预期!$R$19,B7,E7-1),装备养成!$S$4:$S$9,1)</f>
        <v>3</v>
      </c>
      <c r="G7" s="2" t="str">
        <f ca="1">OFFSET(梦灵养成!$D$9,MATCH(梦灵养成!C38,梦灵养成!$C$10:$C$28,1),0)</f>
        <v>亚瑟</v>
      </c>
      <c r="H7" s="2" t="str">
        <f ca="1">OFFSET(梦灵养成!$I$9,MATCH(梦灵养成!C38,梦灵养成!$C$10:$C$28,1),0)</f>
        <v>镭射眼</v>
      </c>
      <c r="I7" s="45" cm="1">
        <f ca="1" t="array" ref="I7">IFERROR(MATCH(((产出预期!$M24-OFFSET(梦灵养成!$Q$9,MATCH(产出预期!$M24,梦灵养成!$Q$10:$Q$15,1),0))*OFFSET(梦灵养成!L$9,1+MATCH(产出预期!$M24,梦灵养成!$Q$10:$Q$15,1),0)+梦灵养成!D343+SUMPRODUCT(--(梦灵养成!$Q$10:$Q$15&lt;=产出预期!$M24),梦灵养成!L$10:L$15,梦灵养成!$P$10:$P$15))/MAX(SUMPRODUCT(--(梦灵养成!$C$10:$C$31&lt;=产出预期!$M24),--(梦灵养成!$E$10:$E$31=I$2)),1)*10,梦灵养成!AT$339:AT$387,1),0)</f>
        <v>35</v>
      </c>
      <c r="J7" s="45" cm="1">
        <f ca="1" t="array" ref="J7">IFERROR(MATCH(((产出预期!$M24-OFFSET(梦灵养成!$Q$9,MATCH(产出预期!$M24,梦灵养成!$Q$10:$Q$15,1),0))*OFFSET(梦灵养成!M$9,1+MATCH(产出预期!$M24,梦灵养成!$Q$10:$Q$15,1),0)+梦灵养成!E343+SUMPRODUCT(--(梦灵养成!$Q$10:$Q$15&lt;=产出预期!$M24),梦灵养成!M$10:M$15,梦灵养成!$P$10:$P$15))/MAX(SUMPRODUCT(--(梦灵养成!$C$10:$C$31&lt;=产出预期!$M24),--(梦灵养成!$E$10:$E$31=J$2)),1)*10,梦灵养成!AU$339:AU$387,1),0)</f>
        <v>29</v>
      </c>
      <c r="K7" s="45" cm="1">
        <f ca="1" t="array" ref="K7">IFERROR(MATCH(((产出预期!$M24-OFFSET(梦灵养成!$Q$9,MATCH(产出预期!$M24,梦灵养成!$Q$10:$Q$15,1),0))*OFFSET(梦灵养成!N$9,1+MATCH(产出预期!$M24,梦灵养成!$Q$10:$Q$15,1),0)+梦灵养成!F343+SUMPRODUCT(--(梦灵养成!$Q$10:$Q$15&lt;=产出预期!$M24),梦灵养成!N$10:N$15,梦灵养成!$P$10:$P$15))/MAX(SUMPRODUCT(--(梦灵养成!$C$10:$C$31&lt;=产出预期!$M24),--(梦灵养成!$E$10:$E$31=K$2)),1)*10,梦灵养成!AV$339:AV$387,1),0)</f>
        <v>25</v>
      </c>
      <c r="L7" s="45" cm="1">
        <f ca="1" t="array" ref="L7">IFERROR(MATCH(((产出预期!$M24-OFFSET(梦灵养成!$Q$9,MATCH(产出预期!$M24,梦灵养成!$Q$10:$Q$15,1),0))*OFFSET(梦灵养成!O$9,1+MATCH(产出预期!$M24,梦灵养成!$Q$10:$Q$15,1),0)+梦灵养成!G343+SUMPRODUCT(--(梦灵养成!$Q$10:$Q$15&lt;=产出预期!$M24),梦灵养成!O$10:O$15,梦灵养成!$P$10:$P$15))/MAX(SUMPRODUCT(--(梦灵养成!$C$10:$C$31&lt;=产出预期!$M24),--(梦灵养成!$E$10:$E$31=L$2)),1)*10,梦灵养成!AW$339:AW$388,1),0)</f>
        <v>11</v>
      </c>
      <c r="M7" s="45">
        <f ca="1">OFFSET(符文养成!$C$14,MATCH(C7,符文养成!$B$15:$B$44,1),0)</f>
        <v>20</v>
      </c>
      <c r="N7" s="45">
        <f ca="1">MATCH((产出预期!Z24*价值表!$F$53+产出预期!AA24*价值表!$F$54+产出预期!AD24*价值表!$F$57)/16/M7,符文养成!$G$15:$G$21,1)</f>
        <v>3</v>
      </c>
      <c r="O7" s="45">
        <f>MATCH(产出预期!O24,秘宝养成!$C$3:$C$14,1)</f>
        <v>2</v>
      </c>
    </row>
    <row r="8" ht="16.5" spans="2:20">
      <c r="B8" s="2">
        <v>6</v>
      </c>
      <c r="C8" s="2">
        <f ca="1">MATCH((OFFSET(产出预期!$C$3,0,产出预期!$B$1)*10+OFFSET(产出预期!$C$4,0,产出预期!$B$1)*10+OFFSET(产出预期!$C$7,0,产出预期!$B$1)*20)*B8/10*60,玩家等级!$E$3:$E$302,1)</f>
        <v>21</v>
      </c>
      <c r="D8" s="2">
        <f>MATCH(产出预期!P25/6,装备养成!$G$4:$G$303,1)</f>
        <v>27</v>
      </c>
      <c r="E8" s="2">
        <f>COUNTIF(产出预期!$R25:$Y25,"&gt;"&amp;0)</f>
        <v>5</v>
      </c>
      <c r="F8" s="2">
        <f ca="1">MATCH(OFFSET(产出预期!$R$19,B8,E8-1),装备养成!$S$4:$S$9,1)</f>
        <v>4</v>
      </c>
      <c r="G8" s="2" t="str">
        <f ca="1">OFFSET(梦灵养成!$D$9,MATCH(梦灵养成!C39,梦灵养成!$C$10:$C$28,1),0)</f>
        <v>蜘蛛女王</v>
      </c>
      <c r="H8" s="2" t="str">
        <f ca="1">OFFSET(梦灵养成!$I$9,MATCH(梦灵养成!C39,梦灵养成!$C$10:$C$28,1),0)</f>
        <v>蜘蛛女王</v>
      </c>
      <c r="I8" s="45" cm="1">
        <f ca="1" t="array" ref="I8">IFERROR(MATCH(((产出预期!$M25-OFFSET(梦灵养成!$Q$9,MATCH(产出预期!$M25,梦灵养成!$Q$10:$Q$15,1),0))*OFFSET(梦灵养成!L$9,1+MATCH(产出预期!$M25,梦灵养成!$Q$10:$Q$15,1),0)+梦灵养成!D344+SUMPRODUCT(--(梦灵养成!$Q$10:$Q$15&lt;=产出预期!$M25),梦灵养成!L$10:L$15,梦灵养成!$P$10:$P$15))/MAX(SUMPRODUCT(--(梦灵养成!$C$10:$C$31&lt;=产出预期!$M25),--(梦灵养成!$E$10:$E$31=I$2)),1)*10,梦灵养成!AT$339:AT$387,1),0)</f>
        <v>36</v>
      </c>
      <c r="J8" s="45" cm="1">
        <f ca="1" t="array" ref="J8">IFERROR(MATCH(((产出预期!$M25-OFFSET(梦灵养成!$Q$9,MATCH(产出预期!$M25,梦灵养成!$Q$10:$Q$15,1),0))*OFFSET(梦灵养成!M$9,1+MATCH(产出预期!$M25,梦灵养成!$Q$10:$Q$15,1),0)+梦灵养成!E344+SUMPRODUCT(--(梦灵养成!$Q$10:$Q$15&lt;=产出预期!$M25),梦灵养成!M$10:M$15,梦灵养成!$P$10:$P$15))/MAX(SUMPRODUCT(--(梦灵养成!$C$10:$C$31&lt;=产出预期!$M25),--(梦灵养成!$E$10:$E$31=J$2)),1)*10,梦灵养成!AU$339:AU$387,1),0)</f>
        <v>30</v>
      </c>
      <c r="K8" s="45" cm="1">
        <f ca="1" t="array" ref="K8">IFERROR(MATCH(((产出预期!$M25-OFFSET(梦灵养成!$Q$9,MATCH(产出预期!$M25,梦灵养成!$Q$10:$Q$15,1),0))*OFFSET(梦灵养成!N$9,1+MATCH(产出预期!$M25,梦灵养成!$Q$10:$Q$15,1),0)+梦灵养成!F344+SUMPRODUCT(--(梦灵养成!$Q$10:$Q$15&lt;=产出预期!$M25),梦灵养成!N$10:N$15,梦灵养成!$P$10:$P$15))/MAX(SUMPRODUCT(--(梦灵养成!$C$10:$C$31&lt;=产出预期!$M25),--(梦灵养成!$E$10:$E$31=K$2)),1)*10,梦灵养成!AV$339:AV$387,1),0)</f>
        <v>26</v>
      </c>
      <c r="L8" s="45" cm="1">
        <f ca="1" t="array" ref="L8">IFERROR(MATCH(((产出预期!$M25-OFFSET(梦灵养成!$Q$9,MATCH(产出预期!$M25,梦灵养成!$Q$10:$Q$15,1),0))*OFFSET(梦灵养成!O$9,1+MATCH(产出预期!$M25,梦灵养成!$Q$10:$Q$15,1),0)+梦灵养成!G344+SUMPRODUCT(--(梦灵养成!$Q$10:$Q$15&lt;=产出预期!$M25),梦灵养成!O$10:O$15,梦灵养成!$P$10:$P$15))/MAX(SUMPRODUCT(--(梦灵养成!$C$10:$C$31&lt;=产出预期!$M25),--(梦灵养成!$E$10:$E$31=L$2)),1)*10,梦灵养成!AW$339:AW$388,1),0)</f>
        <v>11</v>
      </c>
      <c r="M8" s="45">
        <f ca="1">OFFSET(符文养成!$C$14,MATCH(C8,符文养成!$B$15:$B$44,1),0)</f>
        <v>20</v>
      </c>
      <c r="N8" s="45">
        <f ca="1">MATCH((产出预期!Z25*价值表!$F$53+产出预期!AA25*价值表!$F$54+产出预期!AD25*价值表!$F$57)/16/M8,符文养成!$G$15:$G$21,1)</f>
        <v>3</v>
      </c>
      <c r="O8" s="45">
        <f>MATCH(产出预期!O25,秘宝养成!$C$3:$C$14,1)</f>
        <v>2</v>
      </c>
    </row>
    <row r="9" ht="16.5" spans="2:20">
      <c r="B9" s="2">
        <v>7</v>
      </c>
      <c r="C9" s="2">
        <f ca="1">MATCH((OFFSET(产出预期!$C$3,0,产出预期!$B$1)*10+OFFSET(产出预期!$C$4,0,产出预期!$B$1)*10+OFFSET(产出预期!$C$7,0,产出预期!$B$1)*20)*B9/10*60,玩家等级!$E$3:$E$302,1)</f>
        <v>23</v>
      </c>
      <c r="D9" s="2">
        <f>MATCH(产出预期!P26/6,装备养成!$G$4:$G$303,1)</f>
        <v>29</v>
      </c>
      <c r="E9" s="2">
        <f>COUNTIF(产出预期!$R26:$Y26,"&gt;"&amp;0)</f>
        <v>5</v>
      </c>
      <c r="F9" s="2">
        <f ca="1">MATCH(OFFSET(产出预期!$R$19,B9,E9-1),装备养成!$S$4:$S$9,1)</f>
        <v>4</v>
      </c>
      <c r="G9" s="2" t="str">
        <f ca="1">OFFSET(梦灵养成!$D$9,MATCH(梦灵养成!C40,梦灵养成!$C$10:$C$28,1),0)</f>
        <v>唐小僧</v>
      </c>
      <c r="H9" s="2" t="str">
        <f ca="1">OFFSET(梦灵养成!$I$9,MATCH(梦灵养成!C40,梦灵养成!$C$10:$C$28,1),0)</f>
        <v>蜘蛛女王</v>
      </c>
      <c r="I9" s="45" cm="1">
        <f ca="1" t="array" ref="I9">IFERROR(MATCH(((产出预期!$M26-OFFSET(梦灵养成!$Q$9,MATCH(产出预期!$M26,梦灵养成!$Q$10:$Q$15,1),0))*OFFSET(梦灵养成!L$9,1+MATCH(产出预期!$M26,梦灵养成!$Q$10:$Q$15,1),0)+梦灵养成!D345+SUMPRODUCT(--(梦灵养成!$Q$10:$Q$15&lt;=产出预期!$M26),梦灵养成!L$10:L$15,梦灵养成!$P$10:$P$15))/MAX(SUMPRODUCT(--(梦灵养成!$C$10:$C$31&lt;=产出预期!$M26),--(梦灵养成!$E$10:$E$31=I$2)),1)*10,梦灵养成!AT$339:AT$387,1),0)</f>
        <v>37</v>
      </c>
      <c r="J9" s="45" cm="1">
        <f ca="1" t="array" ref="J9">IFERROR(MATCH(((产出预期!$M26-OFFSET(梦灵养成!$Q$9,MATCH(产出预期!$M26,梦灵养成!$Q$10:$Q$15,1),0))*OFFSET(梦灵养成!M$9,1+MATCH(产出预期!$M26,梦灵养成!$Q$10:$Q$15,1),0)+梦灵养成!E345+SUMPRODUCT(--(梦灵养成!$Q$10:$Q$15&lt;=产出预期!$M26),梦灵养成!M$10:M$15,梦灵养成!$P$10:$P$15))/MAX(SUMPRODUCT(--(梦灵养成!$C$10:$C$31&lt;=产出预期!$M26),--(梦灵养成!$E$10:$E$31=J$2)),1)*10,梦灵养成!AU$339:AU$387,1),0)</f>
        <v>31</v>
      </c>
      <c r="K9" s="45" cm="1">
        <f ca="1" t="array" ref="K9">IFERROR(MATCH(((产出预期!$M26-OFFSET(梦灵养成!$Q$9,MATCH(产出预期!$M26,梦灵养成!$Q$10:$Q$15,1),0))*OFFSET(梦灵养成!N$9,1+MATCH(产出预期!$M26,梦灵养成!$Q$10:$Q$15,1),0)+梦灵养成!F345+SUMPRODUCT(--(梦灵养成!$Q$10:$Q$15&lt;=产出预期!$M26),梦灵养成!N$10:N$15,梦灵养成!$P$10:$P$15))/MAX(SUMPRODUCT(--(梦灵养成!$C$10:$C$31&lt;=产出预期!$M26),--(梦灵养成!$E$10:$E$31=K$2)),1)*10,梦灵养成!AV$339:AV$387,1),0)</f>
        <v>28</v>
      </c>
      <c r="L9" s="45" cm="1">
        <f ca="1" t="array" ref="L9">IFERROR(MATCH(((产出预期!$M26-OFFSET(梦灵养成!$Q$9,MATCH(产出预期!$M26,梦灵养成!$Q$10:$Q$15,1),0))*OFFSET(梦灵养成!O$9,1+MATCH(产出预期!$M26,梦灵养成!$Q$10:$Q$15,1),0)+梦灵养成!G345+SUMPRODUCT(--(梦灵养成!$Q$10:$Q$15&lt;=产出预期!$M26),梦灵养成!O$10:O$15,梦灵养成!$P$10:$P$15))/MAX(SUMPRODUCT(--(梦灵养成!$C$10:$C$31&lt;=产出预期!$M26),--(梦灵养成!$E$10:$E$31=L$2)),1)*10,梦灵养成!AW$339:AW$388,1),0)</f>
        <v>13</v>
      </c>
      <c r="M9" s="45">
        <f ca="1">OFFSET(符文养成!$C$14,MATCH(C9,符文养成!$B$15:$B$44,1),0)</f>
        <v>21</v>
      </c>
      <c r="N9" s="45">
        <f ca="1">MATCH((产出预期!Z26*价值表!$F$53+产出预期!AA26*价值表!$F$54+产出预期!AD26*价值表!$F$57)/16/M9,符文养成!$G$15:$G$21,1)</f>
        <v>3</v>
      </c>
      <c r="O9" s="45">
        <f>MATCH(产出预期!O26,秘宝养成!$C$3:$C$14,1)</f>
        <v>2</v>
      </c>
    </row>
    <row r="10" ht="16.5" spans="2:20">
      <c r="B10" s="2">
        <v>8</v>
      </c>
      <c r="C10" s="2">
        <f ca="1">MATCH((OFFSET(产出预期!$C$3,0,产出预期!$B$1)*10+OFFSET(产出预期!$C$4,0,产出预期!$B$1)*10+OFFSET(产出预期!$C$7,0,产出预期!$B$1)*20)*B10/10*60,玩家等级!$E$3:$E$302,1)</f>
        <v>24</v>
      </c>
      <c r="D10" s="2">
        <f>MATCH(产出预期!P27/6,装备养成!$G$4:$G$303,1)</f>
        <v>31</v>
      </c>
      <c r="E10" s="2">
        <f>COUNTIF(产出预期!$R27:$Y27,"&gt;"&amp;0)</f>
        <v>5</v>
      </c>
      <c r="F10" s="2">
        <f ca="1">MATCH(OFFSET(产出预期!$R$19,B10,E10-1),装备养成!$S$4:$S$9,1)</f>
        <v>5</v>
      </c>
      <c r="G10" s="2" t="str">
        <f ca="1">OFFSET(梦灵养成!$D$9,MATCH(梦灵养成!C41,梦灵养成!$C$10:$C$28,1),0)</f>
        <v>唐小僧</v>
      </c>
      <c r="H10" s="2" t="str">
        <f ca="1">OFFSET(梦灵养成!$I$9,MATCH(梦灵养成!C41,梦灵养成!$C$10:$C$28,1),0)</f>
        <v>蜘蛛女王</v>
      </c>
      <c r="I10" s="45" cm="1">
        <f ca="1" t="array" ref="I10">IFERROR(MATCH(((产出预期!$M27-OFFSET(梦灵养成!$Q$9,MATCH(产出预期!$M27,梦灵养成!$Q$10:$Q$15,1),0))*OFFSET(梦灵养成!L$9,1+MATCH(产出预期!$M27,梦灵养成!$Q$10:$Q$15,1),0)+梦灵养成!D346+SUMPRODUCT(--(梦灵养成!$Q$10:$Q$15&lt;=产出预期!$M27),梦灵养成!L$10:L$15,梦灵养成!$P$10:$P$15))/MAX(SUMPRODUCT(--(梦灵养成!$C$10:$C$31&lt;=产出预期!$M27),--(梦灵养成!$E$10:$E$31=I$2)),1)*10,梦灵养成!AT$339:AT$387,1),0)</f>
        <v>38</v>
      </c>
      <c r="J10" s="45" cm="1">
        <f ca="1" t="array" ref="J10">IFERROR(MATCH(((产出预期!$M27-OFFSET(梦灵养成!$Q$9,MATCH(产出预期!$M27,梦灵养成!$Q$10:$Q$15,1),0))*OFFSET(梦灵养成!M$9,1+MATCH(产出预期!$M27,梦灵养成!$Q$10:$Q$15,1),0)+梦灵养成!E346+SUMPRODUCT(--(梦灵养成!$Q$10:$Q$15&lt;=产出预期!$M27),梦灵养成!M$10:M$15,梦灵养成!$P$10:$P$15))/MAX(SUMPRODUCT(--(梦灵养成!$C$10:$C$31&lt;=产出预期!$M27),--(梦灵养成!$E$10:$E$31=J$2)),1)*10,梦灵养成!AU$339:AU$387,1),0)</f>
        <v>32</v>
      </c>
      <c r="K10" s="45" cm="1">
        <f ca="1" t="array" ref="K10">IFERROR(MATCH(((产出预期!$M27-OFFSET(梦灵养成!$Q$9,MATCH(产出预期!$M27,梦灵养成!$Q$10:$Q$15,1),0))*OFFSET(梦灵养成!N$9,1+MATCH(产出预期!$M27,梦灵养成!$Q$10:$Q$15,1),0)+梦灵养成!F346+SUMPRODUCT(--(梦灵养成!$Q$10:$Q$15&lt;=产出预期!$M27),梦灵养成!N$10:N$15,梦灵养成!$P$10:$P$15))/MAX(SUMPRODUCT(--(梦灵养成!$C$10:$C$31&lt;=产出预期!$M27),--(梦灵养成!$E$10:$E$31=K$2)),1)*10,梦灵养成!AV$339:AV$387,1),0)</f>
        <v>29</v>
      </c>
      <c r="L10" s="45" cm="1">
        <f ca="1" t="array" ref="L10">IFERROR(MATCH(((产出预期!$M27-OFFSET(梦灵养成!$Q$9,MATCH(产出预期!$M27,梦灵养成!$Q$10:$Q$15,1),0))*OFFSET(梦灵养成!O$9,1+MATCH(产出预期!$M27,梦灵养成!$Q$10:$Q$15,1),0)+梦灵养成!G346+SUMPRODUCT(--(梦灵养成!$Q$10:$Q$15&lt;=产出预期!$M27),梦灵养成!O$10:O$15,梦灵养成!$P$10:$P$15))/MAX(SUMPRODUCT(--(梦灵养成!$C$10:$C$31&lt;=产出预期!$M27),--(梦灵养成!$E$10:$E$31=L$2)),1)*10,梦灵养成!AW$339:AW$388,1),0)</f>
        <v>14</v>
      </c>
      <c r="M10" s="45">
        <f ca="1">OFFSET(符文养成!$C$14,MATCH(C10,符文养成!$B$15:$B$44,1),0)</f>
        <v>22</v>
      </c>
      <c r="N10" s="45">
        <f ca="1">MATCH((产出预期!Z27*价值表!$F$53+产出预期!AA27*价值表!$F$54+产出预期!AD27*价值表!$F$57)/16/M10,符文养成!$G$15:$G$21,1)</f>
        <v>3</v>
      </c>
      <c r="O10" s="45">
        <f>MATCH(产出预期!O27,秘宝养成!$C$3:$C$14,1)</f>
        <v>3</v>
      </c>
    </row>
    <row r="11" ht="16.5" spans="2:20">
      <c r="B11" s="2">
        <v>9</v>
      </c>
      <c r="C11" s="2">
        <f ca="1">MATCH((OFFSET(产出预期!$C$3,0,产出预期!$B$1)*10+OFFSET(产出预期!$C$4,0,产出预期!$B$1)*10+OFFSET(产出预期!$C$7,0,产出预期!$B$1)*20)*B11/10*60,玩家等级!$E$3:$E$302,1)</f>
        <v>26</v>
      </c>
      <c r="D11" s="2">
        <f>MATCH(产出预期!P28/6,装备养成!$G$4:$G$303,1)</f>
        <v>32</v>
      </c>
      <c r="E11" s="2">
        <f>COUNTIF(产出预期!$R28:$Y28,"&gt;"&amp;0)</f>
        <v>6</v>
      </c>
      <c r="F11" s="2">
        <f ca="1">MATCH(OFFSET(产出预期!$R$19,B11,E11-1),装备养成!$S$4:$S$9,1)</f>
        <v>1</v>
      </c>
      <c r="G11" s="2" t="str">
        <f ca="1">OFFSET(梦灵养成!$D$9,MATCH(梦灵养成!C42,梦灵养成!$C$10:$C$28,1),0)</f>
        <v>唐小僧</v>
      </c>
      <c r="H11" s="2" t="str">
        <f ca="1">OFFSET(梦灵养成!$I$9,MATCH(梦灵养成!C42,梦灵养成!$C$10:$C$28,1),0)</f>
        <v>蜘蛛女王</v>
      </c>
      <c r="I11" s="45" cm="1">
        <f ca="1" t="array" ref="I11">IFERROR(MATCH(((产出预期!$M28-OFFSET(梦灵养成!$Q$9,MATCH(产出预期!$M28,梦灵养成!$Q$10:$Q$15,1),0))*OFFSET(梦灵养成!L$9,1+MATCH(产出预期!$M28,梦灵养成!$Q$10:$Q$15,1),0)+梦灵养成!D347+SUMPRODUCT(--(梦灵养成!$Q$10:$Q$15&lt;=产出预期!$M28),梦灵养成!L$10:L$15,梦灵养成!$P$10:$P$15))/MAX(SUMPRODUCT(--(梦灵养成!$C$10:$C$31&lt;=产出预期!$M28),--(梦灵养成!$E$10:$E$31=I$2)),1)*10,梦灵养成!AT$339:AT$387,1),0)</f>
        <v>39</v>
      </c>
      <c r="J11" s="45" cm="1">
        <f ca="1" t="array" ref="J11">IFERROR(MATCH(((产出预期!$M28-OFFSET(梦灵养成!$Q$9,MATCH(产出预期!$M28,梦灵养成!$Q$10:$Q$15,1),0))*OFFSET(梦灵养成!M$9,1+MATCH(产出预期!$M28,梦灵养成!$Q$10:$Q$15,1),0)+梦灵养成!E347+SUMPRODUCT(--(梦灵养成!$Q$10:$Q$15&lt;=产出预期!$M28),梦灵养成!M$10:M$15,梦灵养成!$P$10:$P$15))/MAX(SUMPRODUCT(--(梦灵养成!$C$10:$C$31&lt;=产出预期!$M28),--(梦灵养成!$E$10:$E$31=J$2)),1)*10,梦灵养成!AU$339:AU$387,1),0)</f>
        <v>32</v>
      </c>
      <c r="K11" s="45" cm="1">
        <f ca="1" t="array" ref="K11">IFERROR(MATCH(((产出预期!$M28-OFFSET(梦灵养成!$Q$9,MATCH(产出预期!$M28,梦灵养成!$Q$10:$Q$15,1),0))*OFFSET(梦灵养成!N$9,1+MATCH(产出预期!$M28,梦灵养成!$Q$10:$Q$15,1),0)+梦灵养成!F347+SUMPRODUCT(--(梦灵养成!$Q$10:$Q$15&lt;=产出预期!$M28),梦灵养成!N$10:N$15,梦灵养成!$P$10:$P$15))/MAX(SUMPRODUCT(--(梦灵养成!$C$10:$C$31&lt;=产出预期!$M28),--(梦灵养成!$E$10:$E$31=K$2)),1)*10,梦灵养成!AV$339:AV$387,1),0)</f>
        <v>30</v>
      </c>
      <c r="L11" s="45" cm="1">
        <f ca="1" t="array" ref="L11">IFERROR(MATCH(((产出预期!$M28-OFFSET(梦灵养成!$Q$9,MATCH(产出预期!$M28,梦灵养成!$Q$10:$Q$15,1),0))*OFFSET(梦灵养成!O$9,1+MATCH(产出预期!$M28,梦灵养成!$Q$10:$Q$15,1),0)+梦灵养成!G347+SUMPRODUCT(--(梦灵养成!$Q$10:$Q$15&lt;=产出预期!$M28),梦灵养成!O$10:O$15,梦灵养成!$P$10:$P$15))/MAX(SUMPRODUCT(--(梦灵养成!$C$10:$C$31&lt;=产出预期!$M28),--(梦灵养成!$E$10:$E$31=L$2)),1)*10,梦灵养成!AW$339:AW$388,1),0)</f>
        <v>14</v>
      </c>
      <c r="M11" s="45">
        <f ca="1">OFFSET(符文养成!$C$14,MATCH(C11,符文养成!$B$15:$B$44,1),0)</f>
        <v>23</v>
      </c>
      <c r="N11" s="45">
        <f ca="1">MATCH((产出预期!Z28*价值表!$F$53+产出预期!AA28*价值表!$F$54+产出预期!AD28*价值表!$F$57)/16/M11,符文养成!$G$15:$G$21,1)</f>
        <v>3</v>
      </c>
      <c r="O11" s="45">
        <f>MATCH(产出预期!O28,秘宝养成!$C$3:$C$14,1)</f>
        <v>3</v>
      </c>
    </row>
    <row r="12" ht="16.5" spans="2:20">
      <c r="B12" s="2">
        <v>10</v>
      </c>
      <c r="C12" s="2">
        <f ca="1">MATCH((OFFSET(产出预期!$C$3,0,产出预期!$B$1)*10+OFFSET(产出预期!$C$4,0,产出预期!$B$1)*10+OFFSET(产出预期!$C$7,0,产出预期!$B$1)*20)*B12/10*60,玩家等级!$E$3:$E$302,1)</f>
        <v>27</v>
      </c>
      <c r="D12" s="2">
        <f>MATCH(产出预期!P29/6,装备养成!$G$4:$G$303,1)</f>
        <v>34</v>
      </c>
      <c r="E12" s="2">
        <f>COUNTIF(产出预期!$R29:$Y29,"&gt;"&amp;0)</f>
        <v>6</v>
      </c>
      <c r="F12" s="2">
        <f ca="1">MATCH(OFFSET(产出预期!$R$19,B12,E12-1),装备养成!$S$4:$S$9,1)</f>
        <v>1</v>
      </c>
      <c r="G12" s="2" t="str">
        <f ca="1">OFFSET(梦灵养成!$D$9,MATCH(梦灵养成!C43,梦灵养成!$C$10:$C$28,1),0)</f>
        <v>唐小僧</v>
      </c>
      <c r="H12" s="2" t="str">
        <f ca="1">OFFSET(梦灵养成!$I$9,MATCH(梦灵养成!C43,梦灵养成!$C$10:$C$28,1),0)</f>
        <v>蜘蛛女王</v>
      </c>
      <c r="I12" s="45" cm="1">
        <f ca="1" t="array" ref="I12">IFERROR(MATCH(((产出预期!$M29-OFFSET(梦灵养成!$Q$9,MATCH(产出预期!$M29,梦灵养成!$Q$10:$Q$15,1),0))*OFFSET(梦灵养成!L$9,1+MATCH(产出预期!$M29,梦灵养成!$Q$10:$Q$15,1),0)+梦灵养成!D348+SUMPRODUCT(--(梦灵养成!$Q$10:$Q$15&lt;=产出预期!$M29),梦灵养成!L$10:L$15,梦灵养成!$P$10:$P$15))/MAX(SUMPRODUCT(--(梦灵养成!$C$10:$C$31&lt;=产出预期!$M29),--(梦灵养成!$E$10:$E$31=I$2)),1)*10,梦灵养成!AT$339:AT$387,1),0)</f>
        <v>39</v>
      </c>
      <c r="J12" s="45" cm="1">
        <f ca="1" t="array" ref="J12">IFERROR(MATCH(((产出预期!$M29-OFFSET(梦灵养成!$Q$9,MATCH(产出预期!$M29,梦灵养成!$Q$10:$Q$15,1),0))*OFFSET(梦灵养成!M$9,1+MATCH(产出预期!$M29,梦灵养成!$Q$10:$Q$15,1),0)+梦灵养成!E348+SUMPRODUCT(--(梦灵养成!$Q$10:$Q$15&lt;=产出预期!$M29),梦灵养成!M$10:M$15,梦灵养成!$P$10:$P$15))/MAX(SUMPRODUCT(--(梦灵养成!$C$10:$C$31&lt;=产出预期!$M29),--(梦灵养成!$E$10:$E$31=J$2)),1)*10,梦灵养成!AU$339:AU$387,1),0)</f>
        <v>33</v>
      </c>
      <c r="K12" s="45" cm="1">
        <f ca="1" t="array" ref="K12">IFERROR(MATCH(((产出预期!$M29-OFFSET(梦灵养成!$Q$9,MATCH(产出预期!$M29,梦灵养成!$Q$10:$Q$15,1),0))*OFFSET(梦灵养成!N$9,1+MATCH(产出预期!$M29,梦灵养成!$Q$10:$Q$15,1),0)+梦灵养成!F348+SUMPRODUCT(--(梦灵养成!$Q$10:$Q$15&lt;=产出预期!$M29),梦灵养成!N$10:N$15,梦灵养成!$P$10:$P$15))/MAX(SUMPRODUCT(--(梦灵养成!$C$10:$C$31&lt;=产出预期!$M29),--(梦灵养成!$E$10:$E$31=K$2)),1)*10,梦灵养成!AV$339:AV$387,1),0)</f>
        <v>31</v>
      </c>
      <c r="L12" s="45" cm="1">
        <f ca="1" t="array" ref="L12">IFERROR(MATCH(((产出预期!$M29-OFFSET(梦灵养成!$Q$9,MATCH(产出预期!$M29,梦灵养成!$Q$10:$Q$15,1),0))*OFFSET(梦灵养成!O$9,1+MATCH(产出预期!$M29,梦灵养成!$Q$10:$Q$15,1),0)+梦灵养成!G348+SUMPRODUCT(--(梦灵养成!$Q$10:$Q$15&lt;=产出预期!$M29),梦灵养成!O$10:O$15,梦灵养成!$P$10:$P$15))/MAX(SUMPRODUCT(--(梦灵养成!$C$10:$C$31&lt;=产出预期!$M29),--(梦灵养成!$E$10:$E$31=L$2)),1)*10,梦灵养成!AW$339:AW$388,1),0)</f>
        <v>15</v>
      </c>
      <c r="M12" s="45">
        <f ca="1">OFFSET(符文养成!$C$14,MATCH(C12,符文养成!$B$15:$B$44,1),0)</f>
        <v>23</v>
      </c>
      <c r="N12" s="45">
        <f ca="1">MATCH((产出预期!Z29*价值表!$F$53+产出预期!AA29*价值表!$F$54+产出预期!AD29*价值表!$F$57)/16/M12,符文养成!$G$15:$G$21,1)</f>
        <v>3</v>
      </c>
      <c r="O12" s="45">
        <f>MATCH(产出预期!O29,秘宝养成!$C$3:$C$14,1)</f>
        <v>3</v>
      </c>
      <c r="T12" s="106" t="str">
        <f ca="1">HYPERLINK("#版本日志!B5",H11)</f>
        <v>蜘蛛女王</v>
      </c>
    </row>
    <row r="13" ht="16.5" spans="2:20">
      <c r="B13" s="2">
        <v>11</v>
      </c>
      <c r="C13" s="2">
        <f ca="1">MATCH((OFFSET(产出预期!$C$3,0,产出预期!$B$1)*10+OFFSET(产出预期!$C$4,0,产出预期!$B$1)*10+OFFSET(产出预期!$C$7,0,产出预期!$B$1)*20)*B13/10*60,玩家等级!$E$3:$E$302,1)</f>
        <v>29</v>
      </c>
      <c r="D13" s="2">
        <f>MATCH(产出预期!P30/6,装备养成!$G$4:$G$303,1)</f>
        <v>35</v>
      </c>
      <c r="E13" s="2">
        <f>COUNTIF(产出预期!$R30:$Y30,"&gt;"&amp;0)</f>
        <v>6</v>
      </c>
      <c r="F13" s="2">
        <f ca="1">MATCH(OFFSET(产出预期!$R$19,B13,E13-1),装备养成!$S$4:$S$9,1)</f>
        <v>1</v>
      </c>
      <c r="G13" s="2" t="str">
        <f ca="1">OFFSET(梦灵养成!$D$9,MATCH(梦灵养成!C44,梦灵养成!$C$10:$C$28,1),0)</f>
        <v>唐小僧</v>
      </c>
      <c r="H13" s="2" t="str">
        <f ca="1">OFFSET(梦灵养成!$I$9,MATCH(梦灵养成!C44,梦灵养成!$C$10:$C$28,1),0)</f>
        <v>蜘蛛女王</v>
      </c>
      <c r="I13" s="45" cm="1">
        <f ca="1" t="array" ref="I13">IFERROR(MATCH(((产出预期!$M30-OFFSET(梦灵养成!$Q$9,MATCH(产出预期!$M30,梦灵养成!$Q$10:$Q$15,1),0))*OFFSET(梦灵养成!L$9,1+MATCH(产出预期!$M30,梦灵养成!$Q$10:$Q$15,1),0)+梦灵养成!D349+SUMPRODUCT(--(梦灵养成!$Q$10:$Q$15&lt;=产出预期!$M30),梦灵养成!L$10:L$15,梦灵养成!$P$10:$P$15))/MAX(SUMPRODUCT(--(梦灵养成!$C$10:$C$31&lt;=产出预期!$M30),--(梦灵养成!$E$10:$E$31=I$2)),1)*10,梦灵养成!AT$339:AT$387,1),0)</f>
        <v>40</v>
      </c>
      <c r="J13" s="45" cm="1">
        <f ca="1" t="array" ref="J13">IFERROR(MATCH(((产出预期!$M30-OFFSET(梦灵养成!$Q$9,MATCH(产出预期!$M30,梦灵养成!$Q$10:$Q$15,1),0))*OFFSET(梦灵养成!M$9,1+MATCH(产出预期!$M30,梦灵养成!$Q$10:$Q$15,1),0)+梦灵养成!E349+SUMPRODUCT(--(梦灵养成!$Q$10:$Q$15&lt;=产出预期!$M30),梦灵养成!M$10:M$15,梦灵养成!$P$10:$P$15))/MAX(SUMPRODUCT(--(梦灵养成!$C$10:$C$31&lt;=产出预期!$M30),--(梦灵养成!$E$10:$E$31=J$2)),1)*10,梦灵养成!AU$339:AU$387,1),0)</f>
        <v>34</v>
      </c>
      <c r="K13" s="45" cm="1">
        <f ca="1" t="array" ref="K13">IFERROR(MATCH(((产出预期!$M30-OFFSET(梦灵养成!$Q$9,MATCH(产出预期!$M30,梦灵养成!$Q$10:$Q$15,1),0))*OFFSET(梦灵养成!N$9,1+MATCH(产出预期!$M30,梦灵养成!$Q$10:$Q$15,1),0)+梦灵养成!F349+SUMPRODUCT(--(梦灵养成!$Q$10:$Q$15&lt;=产出预期!$M30),梦灵养成!N$10:N$15,梦灵养成!$P$10:$P$15))/MAX(SUMPRODUCT(--(梦灵养成!$C$10:$C$31&lt;=产出预期!$M30),--(梦灵养成!$E$10:$E$31=K$2)),1)*10,梦灵养成!AV$339:AV$387,1),0)</f>
        <v>31</v>
      </c>
      <c r="L13" s="45" cm="1">
        <f ca="1" t="array" ref="L13">IFERROR(MATCH(((产出预期!$M30-OFFSET(梦灵养成!$Q$9,MATCH(产出预期!$M30,梦灵养成!$Q$10:$Q$15,1),0))*OFFSET(梦灵养成!O$9,1+MATCH(产出预期!$M30,梦灵养成!$Q$10:$Q$15,1),0)+梦灵养成!G349+SUMPRODUCT(--(梦灵养成!$Q$10:$Q$15&lt;=产出预期!$M30),梦灵养成!O$10:O$15,梦灵养成!$P$10:$P$15))/MAX(SUMPRODUCT(--(梦灵养成!$C$10:$C$31&lt;=产出预期!$M30),--(梦灵养成!$E$10:$E$31=L$2)),1)*10,梦灵养成!AW$339:AW$388,1),0)</f>
        <v>15</v>
      </c>
      <c r="M13" s="45">
        <f ca="1">OFFSET(符文养成!$C$14,MATCH(C13,符文养成!$B$15:$B$44,1),0)</f>
        <v>24</v>
      </c>
      <c r="N13" s="45">
        <f ca="1">MATCH((产出预期!Z30*价值表!$F$53+产出预期!AA30*价值表!$F$54+产出预期!AD30*价值表!$F$57)/16/M13,符文养成!$G$15:$G$21,1)</f>
        <v>3</v>
      </c>
      <c r="O13" s="45">
        <f>MATCH(产出预期!O30,秘宝养成!$C$3:$C$14,1)</f>
        <v>3</v>
      </c>
    </row>
    <row r="14" ht="16.5" spans="2:20">
      <c r="B14" s="2">
        <v>12</v>
      </c>
      <c r="C14" s="2">
        <f ca="1">MATCH((OFFSET(产出预期!$C$3,0,产出预期!$B$1)*10+OFFSET(产出预期!$C$4,0,产出预期!$B$1)*10+OFFSET(产出预期!$C$7,0,产出预期!$B$1)*20)*B14/10*60,玩家等级!$E$3:$E$302,1)</f>
        <v>29</v>
      </c>
      <c r="D14" s="2">
        <f>MATCH(产出预期!P31/6,装备养成!$G$4:$G$303,1)</f>
        <v>37</v>
      </c>
      <c r="E14" s="2">
        <f>COUNTIF(产出预期!$R31:$Y31,"&gt;"&amp;0)</f>
        <v>6</v>
      </c>
      <c r="F14" s="2">
        <f ca="1">MATCH(OFFSET(产出预期!$R$19,B14,E14-1),装备养成!$S$4:$S$9,1)</f>
        <v>1</v>
      </c>
      <c r="G14" s="2" t="str">
        <f ca="1">OFFSET(梦灵养成!$D$9,MATCH(梦灵养成!C45,梦灵养成!$C$10:$C$28,1),0)</f>
        <v>唐小僧</v>
      </c>
      <c r="H14" s="2" t="str">
        <f ca="1">OFFSET(梦灵养成!$I$9,MATCH(梦灵养成!C45,梦灵养成!$C$10:$C$28,1),0)</f>
        <v>蜘蛛女王</v>
      </c>
      <c r="I14" s="45" cm="1">
        <f ca="1" t="array" ref="I14">IFERROR(MATCH(((产出预期!$M31-OFFSET(梦灵养成!$Q$9,MATCH(产出预期!$M31,梦灵养成!$Q$10:$Q$15,1),0))*OFFSET(梦灵养成!L$9,1+MATCH(产出预期!$M31,梦灵养成!$Q$10:$Q$15,1),0)+梦灵养成!D350+SUMPRODUCT(--(梦灵养成!$Q$10:$Q$15&lt;=产出预期!$M31),梦灵养成!L$10:L$15,梦灵养成!$P$10:$P$15))/MAX(SUMPRODUCT(--(梦灵养成!$C$10:$C$31&lt;=产出预期!$M31),--(梦灵养成!$E$10:$E$31=I$2)),1)*10,梦灵养成!AT$339:AT$387,1),0)</f>
        <v>40</v>
      </c>
      <c r="J14" s="45" cm="1">
        <f ca="1" t="array" ref="J14">IFERROR(MATCH(((产出预期!$M31-OFFSET(梦灵养成!$Q$9,MATCH(产出预期!$M31,梦灵养成!$Q$10:$Q$15,1),0))*OFFSET(梦灵养成!M$9,1+MATCH(产出预期!$M31,梦灵养成!$Q$10:$Q$15,1),0)+梦灵养成!E350+SUMPRODUCT(--(梦灵养成!$Q$10:$Q$15&lt;=产出预期!$M31),梦灵养成!M$10:M$15,梦灵养成!$P$10:$P$15))/MAX(SUMPRODUCT(--(梦灵养成!$C$10:$C$31&lt;=产出预期!$M31),--(梦灵养成!$E$10:$E$31=J$2)),1)*10,梦灵养成!AU$339:AU$387,1),0)</f>
        <v>34</v>
      </c>
      <c r="K14" s="45" cm="1">
        <f ca="1" t="array" ref="K14">IFERROR(MATCH(((产出预期!$M31-OFFSET(梦灵养成!$Q$9,MATCH(产出预期!$M31,梦灵养成!$Q$10:$Q$15,1),0))*OFFSET(梦灵养成!N$9,1+MATCH(产出预期!$M31,梦灵养成!$Q$10:$Q$15,1),0)+梦灵养成!F350+SUMPRODUCT(--(梦灵养成!$Q$10:$Q$15&lt;=产出预期!$M31),梦灵养成!N$10:N$15,梦灵养成!$P$10:$P$15))/MAX(SUMPRODUCT(--(梦灵养成!$C$10:$C$31&lt;=产出预期!$M31),--(梦灵养成!$E$10:$E$31=K$2)),1)*10,梦灵养成!AV$339:AV$387,1),0)</f>
        <v>32</v>
      </c>
      <c r="L14" s="45" cm="1">
        <f ca="1" t="array" ref="L14">IFERROR(MATCH(((产出预期!$M31-OFFSET(梦灵养成!$Q$9,MATCH(产出预期!$M31,梦灵养成!$Q$10:$Q$15,1),0))*OFFSET(梦灵养成!O$9,1+MATCH(产出预期!$M31,梦灵养成!$Q$10:$Q$15,1),0)+梦灵养成!G350+SUMPRODUCT(--(梦灵养成!$Q$10:$Q$15&lt;=产出预期!$M31),梦灵养成!O$10:O$15,梦灵养成!$P$10:$P$15))/MAX(SUMPRODUCT(--(梦灵养成!$C$10:$C$31&lt;=产出预期!$M31),--(梦灵养成!$E$10:$E$31=L$2)),1)*10,梦灵养成!AW$339:AW$388,1),0)</f>
        <v>16</v>
      </c>
      <c r="M14" s="45">
        <f ca="1">OFFSET(符文养成!$C$14,MATCH(C14,符文养成!$B$15:$B$44,1),0)</f>
        <v>24</v>
      </c>
      <c r="N14" s="45">
        <f ca="1">MATCH((产出预期!Z31*价值表!$F$53+产出预期!AA31*价值表!$F$54+产出预期!AD31*价值表!$F$57)/16/M14,符文养成!$G$15:$G$21,1)</f>
        <v>3</v>
      </c>
      <c r="O14" s="45">
        <f>MATCH(产出预期!O31,秘宝养成!$C$3:$C$14,1)</f>
        <v>3</v>
      </c>
    </row>
    <row r="15" ht="16.5" spans="2:20">
      <c r="B15" s="2">
        <v>13</v>
      </c>
      <c r="C15" s="2">
        <f ca="1">MATCH((OFFSET(产出预期!$C$3,0,产出预期!$B$1)*10+OFFSET(产出预期!$C$4,0,产出预期!$B$1)*10+OFFSET(产出预期!$C$7,0,产出预期!$B$1)*20)*B15/10*60,玩家等级!$E$3:$E$302,1)</f>
        <v>30</v>
      </c>
      <c r="D15" s="2">
        <f>MATCH(产出预期!P32/6,装备养成!$G$4:$G$303,1)</f>
        <v>38</v>
      </c>
      <c r="E15" s="2">
        <f>COUNTIF(产出预期!$R32:$Y32,"&gt;"&amp;0)</f>
        <v>6</v>
      </c>
      <c r="F15" s="2">
        <f ca="1">MATCH(OFFSET(产出预期!$R$19,B15,E15-1),装备养成!$S$4:$S$9,1)</f>
        <v>2</v>
      </c>
      <c r="G15" s="2" t="str">
        <f ca="1">OFFSET(梦灵养成!$D$9,MATCH(梦灵养成!C46,梦灵养成!$C$10:$C$28,1),0)</f>
        <v>唐小僧</v>
      </c>
      <c r="H15" s="2" t="str">
        <f ca="1">OFFSET(梦灵养成!$I$9,MATCH(梦灵养成!C46,梦灵养成!$C$10:$C$28,1),0)</f>
        <v>蜘蛛女王</v>
      </c>
      <c r="I15" s="45" cm="1">
        <f ca="1" t="array" ref="I15">IFERROR(MATCH(((产出预期!$M32-OFFSET(梦灵养成!$Q$9,MATCH(产出预期!$M32,梦灵养成!$Q$10:$Q$15,1),0))*OFFSET(梦灵养成!L$9,1+MATCH(产出预期!$M32,梦灵养成!$Q$10:$Q$15,1),0)+梦灵养成!D351+SUMPRODUCT(--(梦灵养成!$Q$10:$Q$15&lt;=产出预期!$M32),梦灵养成!L$10:L$15,梦灵养成!$P$10:$P$15))/MAX(SUMPRODUCT(--(梦灵养成!$C$10:$C$31&lt;=产出预期!$M32),--(梦灵养成!$E$10:$E$31=I$2)),1)*10,梦灵养成!AT$339:AT$387,1),0)</f>
        <v>41</v>
      </c>
      <c r="J15" s="45" cm="1">
        <f ca="1" t="array" ref="J15">IFERROR(MATCH(((产出预期!$M32-OFFSET(梦灵养成!$Q$9,MATCH(产出预期!$M32,梦灵养成!$Q$10:$Q$15,1),0))*OFFSET(梦灵养成!M$9,1+MATCH(产出预期!$M32,梦灵养成!$Q$10:$Q$15,1),0)+梦灵养成!E351+SUMPRODUCT(--(梦灵养成!$Q$10:$Q$15&lt;=产出预期!$M32),梦灵养成!M$10:M$15,梦灵养成!$P$10:$P$15))/MAX(SUMPRODUCT(--(梦灵养成!$C$10:$C$31&lt;=产出预期!$M32),--(梦灵养成!$E$10:$E$31=J$2)),1)*10,梦灵养成!AU$339:AU$387,1),0)</f>
        <v>35</v>
      </c>
      <c r="K15" s="45" cm="1">
        <f ca="1" t="array" ref="K15">IFERROR(MATCH(((产出预期!$M32-OFFSET(梦灵养成!$Q$9,MATCH(产出预期!$M32,梦灵养成!$Q$10:$Q$15,1),0))*OFFSET(梦灵养成!N$9,1+MATCH(产出预期!$M32,梦灵养成!$Q$10:$Q$15,1),0)+梦灵养成!F351+SUMPRODUCT(--(梦灵养成!$Q$10:$Q$15&lt;=产出预期!$M32),梦灵养成!N$10:N$15,梦灵养成!$P$10:$P$15))/MAX(SUMPRODUCT(--(梦灵养成!$C$10:$C$31&lt;=产出预期!$M32),--(梦灵养成!$E$10:$E$31=K$2)),1)*10,梦灵养成!AV$339:AV$387,1),0)</f>
        <v>33</v>
      </c>
      <c r="L15" s="45" cm="1">
        <f ca="1" t="array" ref="L15">IFERROR(MATCH(((产出预期!$M32-OFFSET(梦灵养成!$Q$9,MATCH(产出预期!$M32,梦灵养成!$Q$10:$Q$15,1),0))*OFFSET(梦灵养成!O$9,1+MATCH(产出预期!$M32,梦灵养成!$Q$10:$Q$15,1),0)+梦灵养成!G351+SUMPRODUCT(--(梦灵养成!$Q$10:$Q$15&lt;=产出预期!$M32),梦灵养成!O$10:O$15,梦灵养成!$P$10:$P$15))/MAX(SUMPRODUCT(--(梦灵养成!$C$10:$C$31&lt;=产出预期!$M32),--(梦灵养成!$E$10:$E$31=L$2)),1)*10,梦灵养成!AW$339:AW$388,1),0)</f>
        <v>16</v>
      </c>
      <c r="M15" s="45">
        <f ca="1">OFFSET(符文养成!$C$14,MATCH(C15,符文养成!$B$15:$B$44,1),0)</f>
        <v>25</v>
      </c>
      <c r="N15" s="45">
        <f ca="1">MATCH((产出预期!Z32*价值表!$F$53+产出预期!AA32*价值表!$F$54+产出预期!AD32*价值表!$F$57)/16/M15,符文养成!$G$15:$G$21,1)</f>
        <v>3</v>
      </c>
      <c r="O15" s="45">
        <f>MATCH(产出预期!O32,秘宝养成!$C$3:$C$14,1)</f>
        <v>4</v>
      </c>
    </row>
    <row r="16" ht="16.5" spans="2:20">
      <c r="B16" s="2">
        <v>14</v>
      </c>
      <c r="C16" s="2">
        <f ca="1">MATCH((OFFSET(产出预期!$C$3,0,产出预期!$B$1)*10+OFFSET(产出预期!$C$4,0,产出预期!$B$1)*10+OFFSET(产出预期!$C$7,0,产出预期!$B$1)*20)*B16/10*60,玩家等级!$E$3:$E$302,1)</f>
        <v>31</v>
      </c>
      <c r="D16" s="2">
        <f>MATCH(产出预期!P33/6,装备养成!$G$4:$G$303,1)</f>
        <v>39</v>
      </c>
      <c r="E16" s="2">
        <f>COUNTIF(产出预期!$R33:$Y33,"&gt;"&amp;0)</f>
        <v>6</v>
      </c>
      <c r="F16" s="2">
        <f ca="1">MATCH(OFFSET(产出预期!$R$19,B16,E16-1),装备养成!$S$4:$S$9,1)</f>
        <v>3</v>
      </c>
      <c r="G16" s="2" t="str">
        <f ca="1">OFFSET(梦灵养成!$D$9,MATCH(梦灵养成!C47,梦灵养成!$C$10:$C$28,1),0)</f>
        <v>唐小僧</v>
      </c>
      <c r="H16" s="2" t="str">
        <f ca="1">OFFSET(梦灵养成!$I$9,MATCH(梦灵养成!C47,梦灵养成!$C$10:$C$28,1),0)</f>
        <v>蜘蛛女王</v>
      </c>
      <c r="I16" s="45" cm="1">
        <f ca="1" t="array" ref="I16">IFERROR(MATCH(((产出预期!$M33-OFFSET(梦灵养成!$Q$9,MATCH(产出预期!$M33,梦灵养成!$Q$10:$Q$15,1),0))*OFFSET(梦灵养成!L$9,1+MATCH(产出预期!$M33,梦灵养成!$Q$10:$Q$15,1),0)+梦灵养成!D352+SUMPRODUCT(--(梦灵养成!$Q$10:$Q$15&lt;=产出预期!$M33),梦灵养成!L$10:L$15,梦灵养成!$P$10:$P$15))/MAX(SUMPRODUCT(--(梦灵养成!$C$10:$C$31&lt;=产出预期!$M33),--(梦灵养成!$E$10:$E$31=I$2)),1)*10,梦灵养成!AT$339:AT$387,1),0)</f>
        <v>41</v>
      </c>
      <c r="J16" s="45" cm="1">
        <f ca="1" t="array" ref="J16">IFERROR(MATCH(((产出预期!$M33-OFFSET(梦灵养成!$Q$9,MATCH(产出预期!$M33,梦灵养成!$Q$10:$Q$15,1),0))*OFFSET(梦灵养成!M$9,1+MATCH(产出预期!$M33,梦灵养成!$Q$10:$Q$15,1),0)+梦灵养成!E352+SUMPRODUCT(--(梦灵养成!$Q$10:$Q$15&lt;=产出预期!$M33),梦灵养成!M$10:M$15,梦灵养成!$P$10:$P$15))/MAX(SUMPRODUCT(--(梦灵养成!$C$10:$C$31&lt;=产出预期!$M33),--(梦灵养成!$E$10:$E$31=J$2)),1)*10,梦灵养成!AU$339:AU$387,1),0)</f>
        <v>35</v>
      </c>
      <c r="K16" s="45" cm="1">
        <f ca="1" t="array" ref="K16">IFERROR(MATCH(((产出预期!$M33-OFFSET(梦灵养成!$Q$9,MATCH(产出预期!$M33,梦灵养成!$Q$10:$Q$15,1),0))*OFFSET(梦灵养成!N$9,1+MATCH(产出预期!$M33,梦灵养成!$Q$10:$Q$15,1),0)+梦灵养成!F352+SUMPRODUCT(--(梦灵养成!$Q$10:$Q$15&lt;=产出预期!$M33),梦灵养成!N$10:N$15,梦灵养成!$P$10:$P$15))/MAX(SUMPRODUCT(--(梦灵养成!$C$10:$C$31&lt;=产出预期!$M33),--(梦灵养成!$E$10:$E$31=K$2)),1)*10,梦灵养成!AV$339:AV$387,1),0)</f>
        <v>34</v>
      </c>
      <c r="L16" s="45" cm="1">
        <f ca="1" t="array" ref="L16">IFERROR(MATCH(((产出预期!$M33-OFFSET(梦灵养成!$Q$9,MATCH(产出预期!$M33,梦灵养成!$Q$10:$Q$15,1),0))*OFFSET(梦灵养成!O$9,1+MATCH(产出预期!$M33,梦灵养成!$Q$10:$Q$15,1),0)+梦灵养成!G352+SUMPRODUCT(--(梦灵养成!$Q$10:$Q$15&lt;=产出预期!$M33),梦灵养成!O$10:O$15,梦灵养成!$P$10:$P$15))/MAX(SUMPRODUCT(--(梦灵养成!$C$10:$C$31&lt;=产出预期!$M33),--(梦灵养成!$E$10:$E$31=L$2)),1)*10,梦灵养成!AW$339:AW$388,1),0)</f>
        <v>17</v>
      </c>
      <c r="M16" s="45">
        <f ca="1">OFFSET(符文养成!$C$14,MATCH(C16,符文养成!$B$15:$B$44,1),0)</f>
        <v>25</v>
      </c>
      <c r="N16" s="45">
        <f ca="1">MATCH((产出预期!Z33*价值表!$F$53+产出预期!AA33*价值表!$F$54+产出预期!AD33*价值表!$F$57)/16/M16,符文养成!$G$15:$G$21,1)</f>
        <v>3</v>
      </c>
      <c r="O16" s="45">
        <f>MATCH(产出预期!O33,秘宝养成!$C$3:$C$14,1)</f>
        <v>4</v>
      </c>
    </row>
    <row r="17" ht="16.5" spans="2:15">
      <c r="B17" s="2">
        <v>15</v>
      </c>
      <c r="C17" s="2">
        <f ca="1">MATCH((OFFSET(产出预期!$C$3,0,产出预期!$B$1)*10+OFFSET(产出预期!$C$4,0,产出预期!$B$1)*10+OFFSET(产出预期!$C$7,0,产出预期!$B$1)*20)*B17/10*60,玩家等级!$E$3:$E$302,1)</f>
        <v>32</v>
      </c>
      <c r="D17" s="2">
        <f>MATCH(产出预期!P34/6,装备养成!$G$4:$G$303,1)</f>
        <v>41</v>
      </c>
      <c r="E17" s="2">
        <f>COUNTIF(产出预期!$R34:$Y34,"&gt;"&amp;0)</f>
        <v>6</v>
      </c>
      <c r="F17" s="2">
        <f ca="1">MATCH(OFFSET(产出预期!$R$19,B17,E17-1),装备养成!$S$4:$S$9,1)</f>
        <v>3</v>
      </c>
      <c r="G17" s="2" t="str">
        <f ca="1">OFFSET(梦灵养成!$D$9,MATCH(梦灵养成!C48,梦灵养成!$C$10:$C$28,1),0)</f>
        <v>神灯王子</v>
      </c>
      <c r="H17" s="2" t="str">
        <f ca="1">OFFSET(梦灵养成!$I$9,MATCH(梦灵养成!C48,梦灵养成!$C$10:$C$28,1),0)</f>
        <v>蜘蛛女王</v>
      </c>
      <c r="I17" s="45" cm="1">
        <f ca="1" t="array" ref="I17">IFERROR(MATCH(((产出预期!$M34-OFFSET(梦灵养成!$Q$9,MATCH(产出预期!$M34,梦灵养成!$Q$10:$Q$15,1),0))*OFFSET(梦灵养成!L$9,1+MATCH(产出预期!$M34,梦灵养成!$Q$10:$Q$15,1),0)+梦灵养成!D353+SUMPRODUCT(--(梦灵养成!$Q$10:$Q$15&lt;=产出预期!$M34),梦灵养成!L$10:L$15,梦灵养成!$P$10:$P$15))/MAX(SUMPRODUCT(--(梦灵养成!$C$10:$C$31&lt;=产出预期!$M34),--(梦灵养成!$E$10:$E$31=I$2)),1)*10,梦灵养成!AT$339:AT$387,1),0)</f>
        <v>42</v>
      </c>
      <c r="J17" s="45" cm="1">
        <f ca="1" t="array" ref="J17">IFERROR(MATCH(((产出预期!$M34-OFFSET(梦灵养成!$Q$9,MATCH(产出预期!$M34,梦灵养成!$Q$10:$Q$15,1),0))*OFFSET(梦灵养成!M$9,1+MATCH(产出预期!$M34,梦灵养成!$Q$10:$Q$15,1),0)+梦灵养成!E353+SUMPRODUCT(--(梦灵养成!$Q$10:$Q$15&lt;=产出预期!$M34),梦灵养成!M$10:M$15,梦灵养成!$P$10:$P$15))/MAX(SUMPRODUCT(--(梦灵养成!$C$10:$C$31&lt;=产出预期!$M34),--(梦灵养成!$E$10:$E$31=J$2)),1)*10,梦灵养成!AU$339:AU$387,1),0)</f>
        <v>36</v>
      </c>
      <c r="K17" s="45" cm="1">
        <f ca="1" t="array" ref="K17">IFERROR(MATCH(((产出预期!$M34-OFFSET(梦灵养成!$Q$9,MATCH(产出预期!$M34,梦灵养成!$Q$10:$Q$15,1),0))*OFFSET(梦灵养成!N$9,1+MATCH(产出预期!$M34,梦灵养成!$Q$10:$Q$15,1),0)+梦灵养成!F353+SUMPRODUCT(--(梦灵养成!$Q$10:$Q$15&lt;=产出预期!$M34),梦灵养成!N$10:N$15,梦灵养成!$P$10:$P$15))/MAX(SUMPRODUCT(--(梦灵养成!$C$10:$C$31&lt;=产出预期!$M34),--(梦灵养成!$E$10:$E$31=K$2)),1)*10,梦灵养成!AV$339:AV$387,1),0)</f>
        <v>34</v>
      </c>
      <c r="L17" s="45" cm="1">
        <f ca="1" t="array" ref="L17">IFERROR(MATCH(((产出预期!$M34-OFFSET(梦灵养成!$Q$9,MATCH(产出预期!$M34,梦灵养成!$Q$10:$Q$15,1),0))*OFFSET(梦灵养成!O$9,1+MATCH(产出预期!$M34,梦灵养成!$Q$10:$Q$15,1),0)+梦灵养成!G353+SUMPRODUCT(--(梦灵养成!$Q$10:$Q$15&lt;=产出预期!$M34),梦灵养成!O$10:O$15,梦灵养成!$P$10:$P$15))/MAX(SUMPRODUCT(--(梦灵养成!$C$10:$C$31&lt;=产出预期!$M34),--(梦灵养成!$E$10:$E$31=L$2)),1)*10,梦灵养成!AW$339:AW$388,1),0)</f>
        <v>17</v>
      </c>
      <c r="M17" s="45">
        <f ca="1">OFFSET(符文养成!$C$14,MATCH(C17,符文养成!$B$15:$B$44,1),0)</f>
        <v>26</v>
      </c>
      <c r="N17" s="45">
        <f ca="1">MATCH((产出预期!Z34*价值表!$F$53+产出预期!AA34*价值表!$F$54+产出预期!AD34*价值表!$F$57)/16/M17,符文养成!$G$15:$G$21,1)</f>
        <v>3</v>
      </c>
      <c r="O17" s="45">
        <f>MATCH(产出预期!O34,秘宝养成!$C$3:$C$14,1)</f>
        <v>5</v>
      </c>
    </row>
    <row r="18" ht="16.5" spans="2:15">
      <c r="B18" s="2">
        <v>16</v>
      </c>
      <c r="C18" s="2">
        <f ca="1">MATCH((OFFSET(产出预期!$C$3,0,产出预期!$B$1)*10+OFFSET(产出预期!$C$4,0,产出预期!$B$1)*10+OFFSET(产出预期!$C$7,0,产出预期!$B$1)*20)*B18/10*60,玩家等级!$E$3:$E$302,1)</f>
        <v>33</v>
      </c>
      <c r="D18" s="2">
        <f>MATCH(产出预期!P35/6,装备养成!$G$4:$G$303,1)</f>
        <v>42</v>
      </c>
      <c r="E18" s="2">
        <f>COUNTIF(产出预期!$R35:$Y35,"&gt;"&amp;0)</f>
        <v>6</v>
      </c>
      <c r="F18" s="2">
        <f ca="1">MATCH(OFFSET(产出预期!$R$19,B18,E18-1),装备养成!$S$4:$S$9,1)</f>
        <v>3</v>
      </c>
      <c r="G18" s="2" t="str">
        <f ca="1">OFFSET(梦灵养成!$D$9,MATCH(梦灵养成!C49,梦灵养成!$C$10:$C$28,1),0)</f>
        <v>神灯王子</v>
      </c>
      <c r="H18" s="2" t="str">
        <f ca="1">OFFSET(梦灵养成!$I$9,MATCH(梦灵养成!C49,梦灵养成!$C$10:$C$28,1),0)</f>
        <v>蜘蛛女王</v>
      </c>
      <c r="I18" s="45" cm="1">
        <f ca="1" t="array" ref="I18">IFERROR(MATCH(((产出预期!$M35-OFFSET(梦灵养成!$Q$9,MATCH(产出预期!$M35,梦灵养成!$Q$10:$Q$15,1),0))*OFFSET(梦灵养成!L$9,1+MATCH(产出预期!$M35,梦灵养成!$Q$10:$Q$15,1),0)+梦灵养成!D354+SUMPRODUCT(--(梦灵养成!$Q$10:$Q$15&lt;=产出预期!$M35),梦灵养成!L$10:L$15,梦灵养成!$P$10:$P$15))/MAX(SUMPRODUCT(--(梦灵养成!$C$10:$C$31&lt;=产出预期!$M35),--(梦灵养成!$E$10:$E$31=I$2)),1)*10,梦灵养成!AT$339:AT$387,1),0)</f>
        <v>42</v>
      </c>
      <c r="J18" s="45" cm="1">
        <f ca="1" t="array" ref="J18">IFERROR(MATCH(((产出预期!$M35-OFFSET(梦灵养成!$Q$9,MATCH(产出预期!$M35,梦灵养成!$Q$10:$Q$15,1),0))*OFFSET(梦灵养成!M$9,1+MATCH(产出预期!$M35,梦灵养成!$Q$10:$Q$15,1),0)+梦灵养成!E354+SUMPRODUCT(--(梦灵养成!$Q$10:$Q$15&lt;=产出预期!$M35),梦灵养成!M$10:M$15,梦灵养成!$P$10:$P$15))/MAX(SUMPRODUCT(--(梦灵养成!$C$10:$C$31&lt;=产出预期!$M35),--(梦灵养成!$E$10:$E$31=J$2)),1)*10,梦灵养成!AU$339:AU$387,1),0)</f>
        <v>36</v>
      </c>
      <c r="K18" s="45" cm="1">
        <f ca="1" t="array" ref="K18">IFERROR(MATCH(((产出预期!$M35-OFFSET(梦灵养成!$Q$9,MATCH(产出预期!$M35,梦灵养成!$Q$10:$Q$15,1),0))*OFFSET(梦灵养成!N$9,1+MATCH(产出预期!$M35,梦灵养成!$Q$10:$Q$15,1),0)+梦灵养成!F354+SUMPRODUCT(--(梦灵养成!$Q$10:$Q$15&lt;=产出预期!$M35),梦灵养成!N$10:N$15,梦灵养成!$P$10:$P$15))/MAX(SUMPRODUCT(--(梦灵养成!$C$10:$C$31&lt;=产出预期!$M35),--(梦灵养成!$E$10:$E$31=K$2)),1)*10,梦灵养成!AV$339:AV$387,1),0)</f>
        <v>35</v>
      </c>
      <c r="L18" s="45" cm="1">
        <f ca="1" t="array" ref="L18">IFERROR(MATCH(((产出预期!$M35-OFFSET(梦灵养成!$Q$9,MATCH(产出预期!$M35,梦灵养成!$Q$10:$Q$15,1),0))*OFFSET(梦灵养成!O$9,1+MATCH(产出预期!$M35,梦灵养成!$Q$10:$Q$15,1),0)+梦灵养成!G354+SUMPRODUCT(--(梦灵养成!$Q$10:$Q$15&lt;=产出预期!$M35),梦灵养成!O$10:O$15,梦灵养成!$P$10:$P$15))/MAX(SUMPRODUCT(--(梦灵养成!$C$10:$C$31&lt;=产出预期!$M35),--(梦灵养成!$E$10:$E$31=L$2)),1)*10,梦灵养成!AW$339:AW$388,1),0)</f>
        <v>18</v>
      </c>
      <c r="M18" s="45">
        <f ca="1">OFFSET(符文养成!$C$14,MATCH(C18,符文养成!$B$15:$B$44,1),0)</f>
        <v>26</v>
      </c>
      <c r="N18" s="45">
        <f ca="1">MATCH((产出预期!Z35*价值表!$F$53+产出预期!AA35*价值表!$F$54+产出预期!AD35*价值表!$F$57)/16/M18,符文养成!$G$15:$G$21,1)</f>
        <v>3</v>
      </c>
      <c r="O18" s="45">
        <f>MATCH(产出预期!O35,秘宝养成!$C$3:$C$14,1)</f>
        <v>5</v>
      </c>
    </row>
    <row r="19" ht="16.5" spans="2:15">
      <c r="B19" s="2">
        <v>17</v>
      </c>
      <c r="C19" s="2">
        <f ca="1">MATCH((OFFSET(产出预期!$C$3,0,产出预期!$B$1)*10+OFFSET(产出预期!$C$4,0,产出预期!$B$1)*10+OFFSET(产出预期!$C$7,0,产出预期!$B$1)*20)*B19/10*60,玩家等级!$E$3:$E$302,1)</f>
        <v>34</v>
      </c>
      <c r="D19" s="2">
        <f>MATCH(产出预期!P36/6,装备养成!$G$4:$G$303,1)</f>
        <v>43</v>
      </c>
      <c r="E19" s="2">
        <f>COUNTIF(产出预期!$R36:$Y36,"&gt;"&amp;0)</f>
        <v>6</v>
      </c>
      <c r="F19" s="2">
        <f ca="1">MATCH(OFFSET(产出预期!$R$19,B19,E19-1),装备养成!$S$4:$S$9,1)</f>
        <v>4</v>
      </c>
      <c r="G19" s="2" t="str">
        <f ca="1">OFFSET(梦灵养成!$D$9,MATCH(梦灵养成!C50,梦灵养成!$C$10:$C$28,1),0)</f>
        <v>神灯王子</v>
      </c>
      <c r="H19" s="2" t="str">
        <f ca="1">OFFSET(梦灵养成!$I$9,MATCH(梦灵养成!C50,梦灵养成!$C$10:$C$28,1),0)</f>
        <v>蜘蛛女王</v>
      </c>
      <c r="I19" s="45" cm="1">
        <f ca="1" t="array" ref="I19">IFERROR(MATCH(((产出预期!$M36-OFFSET(梦灵养成!$Q$9,MATCH(产出预期!$M36,梦灵养成!$Q$10:$Q$15,1),0))*OFFSET(梦灵养成!L$9,1+MATCH(产出预期!$M36,梦灵养成!$Q$10:$Q$15,1),0)+梦灵养成!D355+SUMPRODUCT(--(梦灵养成!$Q$10:$Q$15&lt;=产出预期!$M36),梦灵养成!L$10:L$15,梦灵养成!$P$10:$P$15))/MAX(SUMPRODUCT(--(梦灵养成!$C$10:$C$31&lt;=产出预期!$M36),--(梦灵养成!$E$10:$E$31=I$2)),1)*10,梦灵养成!AT$339:AT$387,1),0)</f>
        <v>42</v>
      </c>
      <c r="J19" s="45" cm="1">
        <f ca="1" t="array" ref="J19">IFERROR(MATCH(((产出预期!$M36-OFFSET(梦灵养成!$Q$9,MATCH(产出预期!$M36,梦灵养成!$Q$10:$Q$15,1),0))*OFFSET(梦灵养成!M$9,1+MATCH(产出预期!$M36,梦灵养成!$Q$10:$Q$15,1),0)+梦灵养成!E355+SUMPRODUCT(--(梦灵养成!$Q$10:$Q$15&lt;=产出预期!$M36),梦灵养成!M$10:M$15,梦灵养成!$P$10:$P$15))/MAX(SUMPRODUCT(--(梦灵养成!$C$10:$C$31&lt;=产出预期!$M36),--(梦灵养成!$E$10:$E$31=J$2)),1)*10,梦灵养成!AU$339:AU$387,1),0)</f>
        <v>36</v>
      </c>
      <c r="K19" s="45" cm="1">
        <f ca="1" t="array" ref="K19">IFERROR(MATCH(((产出预期!$M36-OFFSET(梦灵养成!$Q$9,MATCH(产出预期!$M36,梦灵养成!$Q$10:$Q$15,1),0))*OFFSET(梦灵养成!N$9,1+MATCH(产出预期!$M36,梦灵养成!$Q$10:$Q$15,1),0)+梦灵养成!F355+SUMPRODUCT(--(梦灵养成!$Q$10:$Q$15&lt;=产出预期!$M36),梦灵养成!N$10:N$15,梦灵养成!$P$10:$P$15))/MAX(SUMPRODUCT(--(梦灵养成!$C$10:$C$31&lt;=产出预期!$M36),--(梦灵养成!$E$10:$E$31=K$2)),1)*10,梦灵养成!AV$339:AV$387,1),0)</f>
        <v>35</v>
      </c>
      <c r="L19" s="45" cm="1">
        <f ca="1" t="array" ref="L19">IFERROR(MATCH(((产出预期!$M36-OFFSET(梦灵养成!$Q$9,MATCH(产出预期!$M36,梦灵养成!$Q$10:$Q$15,1),0))*OFFSET(梦灵养成!O$9,1+MATCH(产出预期!$M36,梦灵养成!$Q$10:$Q$15,1),0)+梦灵养成!G355+SUMPRODUCT(--(梦灵养成!$Q$10:$Q$15&lt;=产出预期!$M36),梦灵养成!O$10:O$15,梦灵养成!$P$10:$P$15))/MAX(SUMPRODUCT(--(梦灵养成!$C$10:$C$31&lt;=产出预期!$M36),--(梦灵养成!$E$10:$E$31=L$2)),1)*10,梦灵养成!AW$339:AW$388,1),0)</f>
        <v>18</v>
      </c>
      <c r="M19" s="45">
        <f ca="1">OFFSET(符文养成!$C$14,MATCH(C19,符文养成!$B$15:$B$44,1),0)</f>
        <v>27</v>
      </c>
      <c r="N19" s="45">
        <f ca="1">MATCH((产出预期!Z36*价值表!$F$53+产出预期!AA36*价值表!$F$54+产出预期!AD36*价值表!$F$57)/16/M19,符文养成!$G$15:$G$21,1)</f>
        <v>3</v>
      </c>
      <c r="O19" s="45">
        <f>MATCH(产出预期!O36,秘宝养成!$C$3:$C$14,1)</f>
        <v>6</v>
      </c>
    </row>
    <row r="20" ht="16.5" spans="2:15">
      <c r="B20" s="2">
        <v>18</v>
      </c>
      <c r="C20" s="2">
        <f ca="1">MATCH((OFFSET(产出预期!$C$3,0,产出预期!$B$1)*10+OFFSET(产出预期!$C$4,0,产出预期!$B$1)*10+OFFSET(产出预期!$C$7,0,产出预期!$B$1)*20)*B20/10*60,玩家等级!$E$3:$E$302,1)</f>
        <v>35</v>
      </c>
      <c r="D20" s="2">
        <f>MATCH(产出预期!P37/6,装备养成!$G$4:$G$303,1)</f>
        <v>45</v>
      </c>
      <c r="E20" s="2">
        <f>COUNTIF(产出预期!$R37:$Y37,"&gt;"&amp;0)</f>
        <v>6</v>
      </c>
      <c r="F20" s="2">
        <f ca="1">MATCH(OFFSET(产出预期!$R$19,B20,E20-1),装备养成!$S$4:$S$9,1)</f>
        <v>4</v>
      </c>
      <c r="G20" s="2" t="str">
        <f ca="1">OFFSET(梦灵养成!$D$9,MATCH(梦灵养成!C51,梦灵养成!$C$10:$C$28,1),0)</f>
        <v>神灯王子</v>
      </c>
      <c r="H20" s="2" t="str">
        <f ca="1">OFFSET(梦灵养成!$I$9,MATCH(梦灵养成!C51,梦灵养成!$C$10:$C$28,1),0)</f>
        <v>蜘蛛女王</v>
      </c>
      <c r="I20" s="45" cm="1">
        <f ca="1" t="array" ref="I20">IFERROR(MATCH(((产出预期!$M37-OFFSET(梦灵养成!$Q$9,MATCH(产出预期!$M37,梦灵养成!$Q$10:$Q$15,1),0))*OFFSET(梦灵养成!L$9,1+MATCH(产出预期!$M37,梦灵养成!$Q$10:$Q$15,1),0)+梦灵养成!D356+SUMPRODUCT(--(梦灵养成!$Q$10:$Q$15&lt;=产出预期!$M37),梦灵养成!L$10:L$15,梦灵养成!$P$10:$P$15))/MAX(SUMPRODUCT(--(梦灵养成!$C$10:$C$31&lt;=产出预期!$M37),--(梦灵养成!$E$10:$E$31=I$2)),1)*10,梦灵养成!AT$339:AT$387,1),0)</f>
        <v>43</v>
      </c>
      <c r="J20" s="45" cm="1">
        <f ca="1" t="array" ref="J20">IFERROR(MATCH(((产出预期!$M37-OFFSET(梦灵养成!$Q$9,MATCH(产出预期!$M37,梦灵养成!$Q$10:$Q$15,1),0))*OFFSET(梦灵养成!M$9,1+MATCH(产出预期!$M37,梦灵养成!$Q$10:$Q$15,1),0)+梦灵养成!E356+SUMPRODUCT(--(梦灵养成!$Q$10:$Q$15&lt;=产出预期!$M37),梦灵养成!M$10:M$15,梦灵养成!$P$10:$P$15))/MAX(SUMPRODUCT(--(梦灵养成!$C$10:$C$31&lt;=产出预期!$M37),--(梦灵养成!$E$10:$E$31=J$2)),1)*10,梦灵养成!AU$339:AU$387,1),0)</f>
        <v>37</v>
      </c>
      <c r="K20" s="45" cm="1">
        <f ca="1" t="array" ref="K20">IFERROR(MATCH(((产出预期!$M37-OFFSET(梦灵养成!$Q$9,MATCH(产出预期!$M37,梦灵养成!$Q$10:$Q$15,1),0))*OFFSET(梦灵养成!N$9,1+MATCH(产出预期!$M37,梦灵养成!$Q$10:$Q$15,1),0)+梦灵养成!F356+SUMPRODUCT(--(梦灵养成!$Q$10:$Q$15&lt;=产出预期!$M37),梦灵养成!N$10:N$15,梦灵养成!$P$10:$P$15))/MAX(SUMPRODUCT(--(梦灵养成!$C$10:$C$31&lt;=产出预期!$M37),--(梦灵养成!$E$10:$E$31=K$2)),1)*10,梦灵养成!AV$339:AV$387,1),0)</f>
        <v>36</v>
      </c>
      <c r="L20" s="45" cm="1">
        <f ca="1" t="array" ref="L20">IFERROR(MATCH(((产出预期!$M37-OFFSET(梦灵养成!$Q$9,MATCH(产出预期!$M37,梦灵养成!$Q$10:$Q$15,1),0))*OFFSET(梦灵养成!O$9,1+MATCH(产出预期!$M37,梦灵养成!$Q$10:$Q$15,1),0)+梦灵养成!G356+SUMPRODUCT(--(梦灵养成!$Q$10:$Q$15&lt;=产出预期!$M37),梦灵养成!O$10:O$15,梦灵养成!$P$10:$P$15))/MAX(SUMPRODUCT(--(梦灵养成!$C$10:$C$31&lt;=产出预期!$M37),--(梦灵养成!$E$10:$E$31=L$2)),1)*10,梦灵养成!AW$339:AW$388,1),0)</f>
        <v>18</v>
      </c>
      <c r="M20" s="45">
        <f ca="1">OFFSET(符文养成!$C$14,MATCH(C20,符文养成!$B$15:$B$44,1),0)</f>
        <v>27</v>
      </c>
      <c r="N20" s="45">
        <f ca="1">MATCH((产出预期!Z37*价值表!$F$53+产出预期!AA37*价值表!$F$54+产出预期!AD37*价值表!$F$57)/16/M20,符文养成!$G$15:$G$21,1)</f>
        <v>3</v>
      </c>
      <c r="O20" s="45">
        <f>MATCH(产出预期!O37,秘宝养成!$C$3:$C$14,1)</f>
        <v>6</v>
      </c>
    </row>
    <row r="21" ht="16.5" spans="2:15">
      <c r="B21" s="2">
        <v>19</v>
      </c>
      <c r="C21" s="2">
        <f ca="1">MATCH((OFFSET(产出预期!$C$3,0,产出预期!$B$1)*10+OFFSET(产出预期!$C$4,0,产出预期!$B$1)*10+OFFSET(产出预期!$C$7,0,产出预期!$B$1)*20)*B21/10*60,玩家等级!$E$3:$E$302,1)</f>
        <v>36</v>
      </c>
      <c r="D21" s="2">
        <f>MATCH(产出预期!P38/6,装备养成!$G$4:$G$303,1)</f>
        <v>46</v>
      </c>
      <c r="E21" s="2">
        <f>COUNTIF(产出预期!$R38:$Y38,"&gt;"&amp;0)</f>
        <v>6</v>
      </c>
      <c r="F21" s="2">
        <f ca="1">MATCH(OFFSET(产出预期!$R$19,B21,E21-1),装备养成!$S$4:$S$9,1)</f>
        <v>4</v>
      </c>
      <c r="G21" s="2" t="str">
        <f ca="1">OFFSET(梦灵养成!$D$9,MATCH(梦灵养成!C52,梦灵养成!$C$10:$C$28,1),0)</f>
        <v>神灯王子</v>
      </c>
      <c r="H21" s="2" t="str">
        <f ca="1">OFFSET(梦灵养成!$I$9,MATCH(梦灵养成!C52,梦灵养成!$C$10:$C$28,1),0)</f>
        <v>蜘蛛女王</v>
      </c>
      <c r="I21" s="45" cm="1">
        <f ca="1" t="array" ref="I21">IFERROR(MATCH(((产出预期!$M38-OFFSET(梦灵养成!$Q$9,MATCH(产出预期!$M38,梦灵养成!$Q$10:$Q$15,1),0))*OFFSET(梦灵养成!L$9,1+MATCH(产出预期!$M38,梦灵养成!$Q$10:$Q$15,1),0)+梦灵养成!D357+SUMPRODUCT(--(梦灵养成!$Q$10:$Q$15&lt;=产出预期!$M38),梦灵养成!L$10:L$15,梦灵养成!$P$10:$P$15))/MAX(SUMPRODUCT(--(梦灵养成!$C$10:$C$31&lt;=产出预期!$M38),--(梦灵养成!$E$10:$E$31=I$2)),1)*10,梦灵养成!AT$339:AT$387,1),0)</f>
        <v>43</v>
      </c>
      <c r="J21" s="45" cm="1">
        <f ca="1" t="array" ref="J21">IFERROR(MATCH(((产出预期!$M38-OFFSET(梦灵养成!$Q$9,MATCH(产出预期!$M38,梦灵养成!$Q$10:$Q$15,1),0))*OFFSET(梦灵养成!M$9,1+MATCH(产出预期!$M38,梦灵养成!$Q$10:$Q$15,1),0)+梦灵养成!E357+SUMPRODUCT(--(梦灵养成!$Q$10:$Q$15&lt;=产出预期!$M38),梦灵养成!M$10:M$15,梦灵养成!$P$10:$P$15))/MAX(SUMPRODUCT(--(梦灵养成!$C$10:$C$31&lt;=产出预期!$M38),--(梦灵养成!$E$10:$E$31=J$2)),1)*10,梦灵养成!AU$339:AU$387,1),0)</f>
        <v>37</v>
      </c>
      <c r="K21" s="45" cm="1">
        <f ca="1" t="array" ref="K21">IFERROR(MATCH(((产出预期!$M38-OFFSET(梦灵养成!$Q$9,MATCH(产出预期!$M38,梦灵养成!$Q$10:$Q$15,1),0))*OFFSET(梦灵养成!N$9,1+MATCH(产出预期!$M38,梦灵养成!$Q$10:$Q$15,1),0)+梦灵养成!F357+SUMPRODUCT(--(梦灵养成!$Q$10:$Q$15&lt;=产出预期!$M38),梦灵养成!N$10:N$15,梦灵养成!$P$10:$P$15))/MAX(SUMPRODUCT(--(梦灵养成!$C$10:$C$31&lt;=产出预期!$M38),--(梦灵养成!$E$10:$E$31=K$2)),1)*10,梦灵养成!AV$339:AV$387,1),0)</f>
        <v>36</v>
      </c>
      <c r="L21" s="45" cm="1">
        <f ca="1" t="array" ref="L21">IFERROR(MATCH(((产出预期!$M38-OFFSET(梦灵养成!$Q$9,MATCH(产出预期!$M38,梦灵养成!$Q$10:$Q$15,1),0))*OFFSET(梦灵养成!O$9,1+MATCH(产出预期!$M38,梦灵养成!$Q$10:$Q$15,1),0)+梦灵养成!G357+SUMPRODUCT(--(梦灵养成!$Q$10:$Q$15&lt;=产出预期!$M38),梦灵养成!O$10:O$15,梦灵养成!$P$10:$P$15))/MAX(SUMPRODUCT(--(梦灵养成!$C$10:$C$31&lt;=产出预期!$M38),--(梦灵养成!$E$10:$E$31=L$2)),1)*10,梦灵养成!AW$339:AW$388,1),0)</f>
        <v>19</v>
      </c>
      <c r="M21" s="45">
        <f ca="1">OFFSET(符文养成!$C$14,MATCH(C21,符文养成!$B$15:$B$44,1),0)</f>
        <v>28</v>
      </c>
      <c r="N21" s="45">
        <f ca="1">MATCH((产出预期!Z38*价值表!$F$53+产出预期!AA38*价值表!$F$54+产出预期!AD38*价值表!$F$57)/16/M21,符文养成!$G$15:$G$21,1)</f>
        <v>3</v>
      </c>
      <c r="O21" s="45">
        <f>MATCH(产出预期!O38,秘宝养成!$C$3:$C$14,1)</f>
        <v>7</v>
      </c>
    </row>
    <row r="22" ht="16.5" spans="2:15">
      <c r="B22" s="2">
        <v>20</v>
      </c>
      <c r="C22" s="2">
        <f ca="1">MATCH((OFFSET(产出预期!$C$3,0,产出预期!$B$1)*10+OFFSET(产出预期!$C$4,0,产出预期!$B$1)*10+OFFSET(产出预期!$C$7,0,产出预期!$B$1)*20)*B22/10*60,玩家等级!$E$3:$E$302,1)</f>
        <v>37</v>
      </c>
      <c r="D22" s="2">
        <f>MATCH(产出预期!P39/6,装备养成!$G$4:$G$303,1)</f>
        <v>47</v>
      </c>
      <c r="E22" s="2">
        <f>COUNTIF(产出预期!$R39:$Y39,"&gt;"&amp;0)</f>
        <v>6</v>
      </c>
      <c r="F22" s="2">
        <f ca="1">MATCH(OFFSET(产出预期!$R$19,B22,E22-1),装备养成!$S$4:$S$9,1)</f>
        <v>5</v>
      </c>
      <c r="G22" s="2" t="str">
        <f ca="1">OFFSET(梦灵养成!$D$9,MATCH(梦灵养成!C53,梦灵养成!$C$10:$C$28,1),0)</f>
        <v>关羽</v>
      </c>
      <c r="H22" s="2" t="str">
        <f ca="1">OFFSET(梦灵养成!$I$9,MATCH(梦灵养成!C53,梦灵养成!$C$10:$C$28,1),0)</f>
        <v>关羽</v>
      </c>
      <c r="I22" s="45" cm="1">
        <f ca="1" t="array" ref="I22">IFERROR(MATCH(((产出预期!$M39-OFFSET(梦灵养成!$Q$9,MATCH(产出预期!$M39,梦灵养成!$Q$10:$Q$15,1),0))*OFFSET(梦灵养成!L$9,1+MATCH(产出预期!$M39,梦灵养成!$Q$10:$Q$15,1),0)+梦灵养成!D358+SUMPRODUCT(--(梦灵养成!$Q$10:$Q$15&lt;=产出预期!$M39),梦灵养成!L$10:L$15,梦灵养成!$P$10:$P$15))/MAX(SUMPRODUCT(--(梦灵养成!$C$10:$C$31&lt;=产出预期!$M39),--(梦灵养成!$E$10:$E$31=I$2)),1)*10,梦灵养成!AT$339:AT$387,1),0)</f>
        <v>44</v>
      </c>
      <c r="J22" s="45" cm="1">
        <f ca="1" t="array" ref="J22">IFERROR(MATCH(((产出预期!$M39-OFFSET(梦灵养成!$Q$9,MATCH(产出预期!$M39,梦灵养成!$Q$10:$Q$15,1),0))*OFFSET(梦灵养成!M$9,1+MATCH(产出预期!$M39,梦灵养成!$Q$10:$Q$15,1),0)+梦灵养成!E358+SUMPRODUCT(--(梦灵养成!$Q$10:$Q$15&lt;=产出预期!$M39),梦灵养成!M$10:M$15,梦灵养成!$P$10:$P$15))/MAX(SUMPRODUCT(--(梦灵养成!$C$10:$C$31&lt;=产出预期!$M39),--(梦灵养成!$E$10:$E$31=J$2)),1)*10,梦灵养成!AU$339:AU$387,1),0)</f>
        <v>37</v>
      </c>
      <c r="K22" s="45" cm="1">
        <f ca="1" t="array" ref="K22">IFERROR(MATCH(((产出预期!$M39-OFFSET(梦灵养成!$Q$9,MATCH(产出预期!$M39,梦灵养成!$Q$10:$Q$15,1),0))*OFFSET(梦灵养成!N$9,1+MATCH(产出预期!$M39,梦灵养成!$Q$10:$Q$15,1),0)+梦灵养成!F358+SUMPRODUCT(--(梦灵养成!$Q$10:$Q$15&lt;=产出预期!$M39),梦灵养成!N$10:N$15,梦灵养成!$P$10:$P$15))/MAX(SUMPRODUCT(--(梦灵养成!$C$10:$C$31&lt;=产出预期!$M39),--(梦灵养成!$E$10:$E$31=K$2)),1)*10,梦灵养成!AV$339:AV$387,1),0)</f>
        <v>37</v>
      </c>
      <c r="L22" s="45" cm="1">
        <f ca="1" t="array" ref="L22">IFERROR(MATCH(((产出预期!$M39-OFFSET(梦灵养成!$Q$9,MATCH(产出预期!$M39,梦灵养成!$Q$10:$Q$15,1),0))*OFFSET(梦灵养成!O$9,1+MATCH(产出预期!$M39,梦灵养成!$Q$10:$Q$15,1),0)+梦灵养成!G358+SUMPRODUCT(--(梦灵养成!$Q$10:$Q$15&lt;=产出预期!$M39),梦灵养成!O$10:O$15,梦灵养成!$P$10:$P$15))/MAX(SUMPRODUCT(--(梦灵养成!$C$10:$C$31&lt;=产出预期!$M39),--(梦灵养成!$E$10:$E$31=L$2)),1)*10,梦灵养成!AW$339:AW$388,1),0)</f>
        <v>19</v>
      </c>
      <c r="M22" s="45">
        <f ca="1">OFFSET(符文养成!$C$14,MATCH(C22,符文养成!$B$15:$B$44,1),0)</f>
        <v>28</v>
      </c>
      <c r="N22" s="45">
        <f ca="1">MATCH((产出预期!Z39*价值表!$F$53+产出预期!AA39*价值表!$F$54+产出预期!AD39*价值表!$F$57)/16/M22,符文养成!$G$15:$G$21,1)</f>
        <v>3</v>
      </c>
      <c r="O22" s="45">
        <f>MATCH(产出预期!O39,秘宝养成!$C$3:$C$14,1)</f>
        <v>7</v>
      </c>
    </row>
    <row r="23" ht="16.5" spans="2:15">
      <c r="B23" s="2">
        <v>21</v>
      </c>
      <c r="C23" s="2">
        <f ca="1">MATCH((OFFSET(产出预期!$C$3,0,产出预期!$B$1)*10+OFFSET(产出预期!$C$4,0,产出预期!$B$1)*10+OFFSET(产出预期!$C$7,0,产出预期!$B$1)*20)*B23/10*60,玩家等级!$E$3:$E$302,1)</f>
        <v>38</v>
      </c>
      <c r="D23" s="2">
        <f>MATCH(产出预期!P40/6,装备养成!$G$4:$G$303,1)</f>
        <v>49</v>
      </c>
      <c r="E23" s="2">
        <f>COUNTIF(产出预期!$R40:$Y40,"&gt;"&amp;0)</f>
        <v>6</v>
      </c>
      <c r="F23" s="2">
        <f ca="1">MATCH(OFFSET(产出预期!$R$19,B23,E23-1),装备养成!$S$4:$S$9,1)</f>
        <v>5</v>
      </c>
      <c r="G23" s="2" t="str">
        <f ca="1">OFFSET(梦灵养成!$D$9,MATCH(梦灵养成!C54,梦灵养成!$C$10:$C$28,1),0)</f>
        <v>诸葛</v>
      </c>
      <c r="H23" s="2" t="str">
        <f ca="1">OFFSET(梦灵养成!$I$9,MATCH(梦灵养成!C54,梦灵养成!$C$10:$C$28,1),0)</f>
        <v>后羿</v>
      </c>
      <c r="I23" s="45" cm="1">
        <f ca="1" t="array" ref="I23">IFERROR(MATCH(((产出预期!$M40-OFFSET(梦灵养成!$Q$9,MATCH(产出预期!$M40,梦灵养成!$Q$10:$Q$15,1),0))*OFFSET(梦灵养成!L$9,1+MATCH(产出预期!$M40,梦灵养成!$Q$10:$Q$15,1),0)+梦灵养成!D359+SUMPRODUCT(--(梦灵养成!$Q$10:$Q$15&lt;=产出预期!$M40),梦灵养成!L$10:L$15,梦灵养成!$P$10:$P$15))/MAX(SUMPRODUCT(--(梦灵养成!$C$10:$C$31&lt;=产出预期!$M40),--(梦灵养成!$E$10:$E$31=I$2)),1)*10,梦灵养成!AT$339:AT$387,1),0)</f>
        <v>46</v>
      </c>
      <c r="J23" s="45" cm="1">
        <f ca="1" t="array" ref="J23">IFERROR(MATCH(((产出预期!$M40-OFFSET(梦灵养成!$Q$9,MATCH(产出预期!$M40,梦灵养成!$Q$10:$Q$15,1),0))*OFFSET(梦灵养成!M$9,1+MATCH(产出预期!$M40,梦灵养成!$Q$10:$Q$15,1),0)+梦灵养成!E359+SUMPRODUCT(--(梦灵养成!$Q$10:$Q$15&lt;=产出预期!$M40),梦灵养成!M$10:M$15,梦灵养成!$P$10:$P$15))/MAX(SUMPRODUCT(--(梦灵养成!$C$10:$C$31&lt;=产出预期!$M40),--(梦灵养成!$E$10:$E$31=J$2)),1)*10,梦灵养成!AU$339:AU$387,1),0)</f>
        <v>40</v>
      </c>
      <c r="K23" s="45" cm="1">
        <f ca="1" t="array" ref="K23">IFERROR(MATCH(((产出预期!$M40-OFFSET(梦灵养成!$Q$9,MATCH(产出预期!$M40,梦灵养成!$Q$10:$Q$15,1),0))*OFFSET(梦灵养成!N$9,1+MATCH(产出预期!$M40,梦灵养成!$Q$10:$Q$15,1),0)+梦灵养成!F359+SUMPRODUCT(--(梦灵养成!$Q$10:$Q$15&lt;=产出预期!$M40),梦灵养成!N$10:N$15,梦灵养成!$P$10:$P$15))/MAX(SUMPRODUCT(--(梦灵养成!$C$10:$C$31&lt;=产出预期!$M40),--(梦灵养成!$E$10:$E$31=K$2)),1)*10,梦灵养成!AV$339:AV$387,1),0)</f>
        <v>40</v>
      </c>
      <c r="L23" s="45" cm="1">
        <f ca="1" t="array" ref="L23">IFERROR(MATCH(((产出预期!$M40-OFFSET(梦灵养成!$Q$9,MATCH(产出预期!$M40,梦灵养成!$Q$10:$Q$15,1),0))*OFFSET(梦灵养成!O$9,1+MATCH(产出预期!$M40,梦灵养成!$Q$10:$Q$15,1),0)+梦灵养成!G359+SUMPRODUCT(--(梦灵养成!$Q$10:$Q$15&lt;=产出预期!$M40),梦灵养成!O$10:O$15,梦灵养成!$P$10:$P$15))/MAX(SUMPRODUCT(--(梦灵养成!$C$10:$C$31&lt;=产出预期!$M40),--(梦灵养成!$E$10:$E$31=L$2)),1)*10,梦灵养成!AW$339:AW$388,1),0)</f>
        <v>23</v>
      </c>
      <c r="M23" s="45">
        <f ca="1">OFFSET(符文养成!$C$14,MATCH(C23,符文养成!$B$15:$B$44,1),0)</f>
        <v>29</v>
      </c>
      <c r="N23" s="45">
        <f ca="1">MATCH((产出预期!Z40*价值表!$F$53+产出预期!AA40*价值表!$F$54+产出预期!AD40*价值表!$F$57)/16/M23,符文养成!$G$15:$G$21,1)</f>
        <v>3</v>
      </c>
      <c r="O23" s="45">
        <f>MATCH(产出预期!O40,秘宝养成!$C$3:$C$14,1)</f>
        <v>8</v>
      </c>
    </row>
    <row r="24" ht="16.5" spans="2:15">
      <c r="B24" s="2">
        <v>22</v>
      </c>
      <c r="C24" s="2">
        <f ca="1">MATCH((OFFSET(产出预期!$C$3,0,产出预期!$B$1)*10+OFFSET(产出预期!$C$4,0,产出预期!$B$1)*10+OFFSET(产出预期!$C$7,0,产出预期!$B$1)*20)*B24/10*60,玩家等级!$E$3:$E$302,1)</f>
        <v>39</v>
      </c>
      <c r="D24" s="2">
        <f>MATCH(产出预期!P41/6,装备养成!$G$4:$G$303,1)</f>
        <v>50</v>
      </c>
      <c r="E24" s="2">
        <f>COUNTIF(产出预期!$R41:$Y41,"&gt;"&amp;0)</f>
        <v>6</v>
      </c>
      <c r="F24" s="2">
        <f ca="1">MATCH(OFFSET(产出预期!$R$19,B24,E24-1),装备养成!$S$4:$S$9,1)</f>
        <v>5</v>
      </c>
      <c r="G24" s="2" t="str">
        <f ca="1">OFFSET(梦灵养成!$D$9,MATCH(梦灵养成!C55,梦灵养成!$C$10:$C$28,1),0)</f>
        <v>诸葛</v>
      </c>
      <c r="H24" s="2" t="str">
        <f ca="1">OFFSET(梦灵养成!$I$9,MATCH(梦灵养成!C55,梦灵养成!$C$10:$C$28,1),0)</f>
        <v>后羿</v>
      </c>
      <c r="I24" s="45" cm="1">
        <f ca="1" t="array" ref="I24">IFERROR(MATCH(((产出预期!$M41-OFFSET(梦灵养成!$Q$9,MATCH(产出预期!$M41,梦灵养成!$Q$10:$Q$15,1),0))*OFFSET(梦灵养成!L$9,1+MATCH(产出预期!$M41,梦灵养成!$Q$10:$Q$15,1),0)+梦灵养成!D360+SUMPRODUCT(--(梦灵养成!$Q$10:$Q$15&lt;=产出预期!$M41),梦灵养成!L$10:L$15,梦灵养成!$P$10:$P$15))/MAX(SUMPRODUCT(--(梦灵养成!$C$10:$C$31&lt;=产出预期!$M41),--(梦灵养成!$E$10:$E$31=I$2)),1)*10,梦灵养成!AT$339:AT$387,1),0)</f>
        <v>46</v>
      </c>
      <c r="J24" s="45" cm="1">
        <f ca="1" t="array" ref="J24">IFERROR(MATCH(((产出预期!$M41-OFFSET(梦灵养成!$Q$9,MATCH(产出预期!$M41,梦灵养成!$Q$10:$Q$15,1),0))*OFFSET(梦灵养成!M$9,1+MATCH(产出预期!$M41,梦灵养成!$Q$10:$Q$15,1),0)+梦灵养成!E360+SUMPRODUCT(--(梦灵养成!$Q$10:$Q$15&lt;=产出预期!$M41),梦灵养成!M$10:M$15,梦灵养成!$P$10:$P$15))/MAX(SUMPRODUCT(--(梦灵养成!$C$10:$C$31&lt;=产出预期!$M41),--(梦灵养成!$E$10:$E$31=J$2)),1)*10,梦灵养成!AU$339:AU$387,1),0)</f>
        <v>40</v>
      </c>
      <c r="K24" s="45" cm="1">
        <f ca="1" t="array" ref="K24">IFERROR(MATCH(((产出预期!$M41-OFFSET(梦灵养成!$Q$9,MATCH(产出预期!$M41,梦灵养成!$Q$10:$Q$15,1),0))*OFFSET(梦灵养成!N$9,1+MATCH(产出预期!$M41,梦灵养成!$Q$10:$Q$15,1),0)+梦灵养成!F360+SUMPRODUCT(--(梦灵养成!$Q$10:$Q$15&lt;=产出预期!$M41),梦灵养成!N$10:N$15,梦灵养成!$P$10:$P$15))/MAX(SUMPRODUCT(--(梦灵养成!$C$10:$C$31&lt;=产出预期!$M41),--(梦灵养成!$E$10:$E$31=K$2)),1)*10,梦灵养成!AV$339:AV$387,1),0)</f>
        <v>40</v>
      </c>
      <c r="L24" s="45" cm="1">
        <f ca="1" t="array" ref="L24">IFERROR(MATCH(((产出预期!$M41-OFFSET(梦灵养成!$Q$9,MATCH(产出预期!$M41,梦灵养成!$Q$10:$Q$15,1),0))*OFFSET(梦灵养成!O$9,1+MATCH(产出预期!$M41,梦灵养成!$Q$10:$Q$15,1),0)+梦灵养成!G360+SUMPRODUCT(--(梦灵养成!$Q$10:$Q$15&lt;=产出预期!$M41),梦灵养成!O$10:O$15,梦灵养成!$P$10:$P$15))/MAX(SUMPRODUCT(--(梦灵养成!$C$10:$C$31&lt;=产出预期!$M41),--(梦灵养成!$E$10:$E$31=L$2)),1)*10,梦灵养成!AW$339:AW$388,1),0)</f>
        <v>23</v>
      </c>
      <c r="M24" s="45">
        <f ca="1">OFFSET(符文养成!$C$14,MATCH(C24,符文养成!$B$15:$B$44,1),0)</f>
        <v>29</v>
      </c>
      <c r="N24" s="45">
        <f ca="1">MATCH((产出预期!Z41*价值表!$F$53+产出预期!AA41*价值表!$F$54+产出预期!AD41*价值表!$F$57)/16/M24,符文养成!$G$15:$G$21,1)</f>
        <v>4</v>
      </c>
      <c r="O24" s="45">
        <f>MATCH(产出预期!O41,秘宝养成!$C$3:$C$14,1)</f>
        <v>8</v>
      </c>
    </row>
    <row r="25" ht="16.5" spans="2:15">
      <c r="B25" s="2">
        <v>23</v>
      </c>
      <c r="C25" s="2">
        <f ca="1">MATCH((OFFSET(产出预期!$C$3,0,产出预期!$B$1)*10+OFFSET(产出预期!$C$4,0,产出预期!$B$1)*10+OFFSET(产出预期!$C$7,0,产出预期!$B$1)*20)*B25/10*60,玩家等级!$E$3:$E$302,1)</f>
        <v>39</v>
      </c>
      <c r="D25" s="2">
        <f>MATCH(产出预期!P42/6,装备养成!$G$4:$G$303,1)</f>
        <v>51</v>
      </c>
      <c r="E25" s="2">
        <f>COUNTIF(产出预期!$R42:$Y42,"&gt;"&amp;0)</f>
        <v>6</v>
      </c>
      <c r="F25" s="2">
        <f ca="1">MATCH(OFFSET(产出预期!$R$19,B25,E25-1),装备养成!$S$4:$S$9,1)</f>
        <v>5</v>
      </c>
      <c r="G25" s="2" t="str">
        <f ca="1">OFFSET(梦灵养成!$D$9,MATCH(梦灵养成!C56,梦灵养成!$C$10:$C$28,1),0)</f>
        <v>诸葛</v>
      </c>
      <c r="H25" s="2" t="str">
        <f ca="1">OFFSET(梦灵养成!$I$9,MATCH(梦灵养成!C56,梦灵养成!$C$10:$C$28,1),0)</f>
        <v>后羿</v>
      </c>
      <c r="I25" s="45" cm="1">
        <f ca="1" t="array" ref="I25">IFERROR(MATCH(((产出预期!$M42-OFFSET(梦灵养成!$Q$9,MATCH(产出预期!$M42,梦灵养成!$Q$10:$Q$15,1),0))*OFFSET(梦灵养成!L$9,1+MATCH(产出预期!$M42,梦灵养成!$Q$10:$Q$15,1),0)+梦灵养成!D361+SUMPRODUCT(--(梦灵养成!$Q$10:$Q$15&lt;=产出预期!$M42),梦灵养成!L$10:L$15,梦灵养成!$P$10:$P$15))/MAX(SUMPRODUCT(--(梦灵养成!$C$10:$C$31&lt;=产出预期!$M42),--(梦灵养成!$E$10:$E$31=I$2)),1)*10,梦灵养成!AT$339:AT$387,1),0)</f>
        <v>46</v>
      </c>
      <c r="J25" s="45" cm="1">
        <f ca="1" t="array" ref="J25">IFERROR(MATCH(((产出预期!$M42-OFFSET(梦灵养成!$Q$9,MATCH(产出预期!$M42,梦灵养成!$Q$10:$Q$15,1),0))*OFFSET(梦灵养成!M$9,1+MATCH(产出预期!$M42,梦灵养成!$Q$10:$Q$15,1),0)+梦灵养成!E361+SUMPRODUCT(--(梦灵养成!$Q$10:$Q$15&lt;=产出预期!$M42),梦灵养成!M$10:M$15,梦灵养成!$P$10:$P$15))/MAX(SUMPRODUCT(--(梦灵养成!$C$10:$C$31&lt;=产出预期!$M42),--(梦灵养成!$E$10:$E$31=J$2)),1)*10,梦灵养成!AU$339:AU$387,1),0)</f>
        <v>40</v>
      </c>
      <c r="K25" s="45" cm="1">
        <f ca="1" t="array" ref="K25">IFERROR(MATCH(((产出预期!$M42-OFFSET(梦灵养成!$Q$9,MATCH(产出预期!$M42,梦灵养成!$Q$10:$Q$15,1),0))*OFFSET(梦灵养成!N$9,1+MATCH(产出预期!$M42,梦灵养成!$Q$10:$Q$15,1),0)+梦灵养成!F361+SUMPRODUCT(--(梦灵养成!$Q$10:$Q$15&lt;=产出预期!$M42),梦灵养成!N$10:N$15,梦灵养成!$P$10:$P$15))/MAX(SUMPRODUCT(--(梦灵养成!$C$10:$C$31&lt;=产出预期!$M42),--(梦灵养成!$E$10:$E$31=K$2)),1)*10,梦灵养成!AV$339:AV$387,1),0)</f>
        <v>40</v>
      </c>
      <c r="L25" s="45" cm="1">
        <f ca="1" t="array" ref="L25">IFERROR(MATCH(((产出预期!$M42-OFFSET(梦灵养成!$Q$9,MATCH(产出预期!$M42,梦灵养成!$Q$10:$Q$15,1),0))*OFFSET(梦灵养成!O$9,1+MATCH(产出预期!$M42,梦灵养成!$Q$10:$Q$15,1),0)+梦灵养成!G361+SUMPRODUCT(--(梦灵养成!$Q$10:$Q$15&lt;=产出预期!$M42),梦灵养成!O$10:O$15,梦灵养成!$P$10:$P$15))/MAX(SUMPRODUCT(--(梦灵养成!$C$10:$C$31&lt;=产出预期!$M42),--(梦灵养成!$E$10:$E$31=L$2)),1)*10,梦灵养成!AW$339:AW$388,1),0)</f>
        <v>24</v>
      </c>
      <c r="M25" s="45">
        <f ca="1">OFFSET(符文养成!$C$14,MATCH(C25,符文养成!$B$15:$B$44,1),0)</f>
        <v>29</v>
      </c>
      <c r="N25" s="45">
        <f ca="1">MATCH((产出预期!Z42*价值表!$F$53+产出预期!AA42*价值表!$F$54+产出预期!AD42*价值表!$F$57)/16/M25,符文养成!$G$15:$G$21,1)</f>
        <v>4</v>
      </c>
      <c r="O25" s="45">
        <f>MATCH(产出预期!O42,秘宝养成!$C$3:$C$14,1)</f>
        <v>8</v>
      </c>
    </row>
    <row r="26" ht="16.5" spans="2:15">
      <c r="B26" s="2">
        <v>24</v>
      </c>
      <c r="C26" s="2">
        <f ca="1">MATCH((OFFSET(产出预期!$C$3,0,产出预期!$B$1)*10+OFFSET(产出预期!$C$4,0,产出预期!$B$1)*10+OFFSET(产出预期!$C$7,0,产出预期!$B$1)*20)*B26/10*60,玩家等级!$E$3:$E$302,1)</f>
        <v>40</v>
      </c>
      <c r="D26" s="2">
        <f>MATCH(产出预期!P43/6,装备养成!$G$4:$G$303,1)</f>
        <v>52</v>
      </c>
      <c r="E26" s="2">
        <f>COUNTIF(产出预期!$R43:$Y43,"&gt;"&amp;0)</f>
        <v>6</v>
      </c>
      <c r="F26" s="2">
        <f ca="1">MATCH(OFFSET(产出预期!$R$19,B26,E26-1),装备养成!$S$4:$S$9,1)</f>
        <v>5</v>
      </c>
      <c r="G26" s="2" t="str">
        <f ca="1">OFFSET(梦灵养成!$D$9,MATCH(梦灵养成!C57,梦灵养成!$C$10:$C$28,1),0)</f>
        <v>诸葛</v>
      </c>
      <c r="H26" s="2" t="str">
        <f ca="1">OFFSET(梦灵养成!$I$9,MATCH(梦灵养成!C57,梦灵养成!$C$10:$C$28,1),0)</f>
        <v>后羿</v>
      </c>
      <c r="I26" s="45" cm="1">
        <f ca="1" t="array" ref="I26">IFERROR(MATCH(((产出预期!$M43-OFFSET(梦灵养成!$Q$9,MATCH(产出预期!$M43,梦灵养成!$Q$10:$Q$15,1),0))*OFFSET(梦灵养成!L$9,1+MATCH(产出预期!$M43,梦灵养成!$Q$10:$Q$15,1),0)+梦灵养成!D362+SUMPRODUCT(--(梦灵养成!$Q$10:$Q$15&lt;=产出预期!$M43),梦灵养成!L$10:L$15,梦灵养成!$P$10:$P$15))/MAX(SUMPRODUCT(--(梦灵养成!$C$10:$C$31&lt;=产出预期!$M43),--(梦灵养成!$E$10:$E$31=I$2)),1)*10,梦灵养成!AT$339:AT$387,1),0)</f>
        <v>47</v>
      </c>
      <c r="J26" s="45" cm="1">
        <f ca="1" t="array" ref="J26">IFERROR(MATCH(((产出预期!$M43-OFFSET(梦灵养成!$Q$9,MATCH(产出预期!$M43,梦灵养成!$Q$10:$Q$15,1),0))*OFFSET(梦灵养成!M$9,1+MATCH(产出预期!$M43,梦灵养成!$Q$10:$Q$15,1),0)+梦灵养成!E362+SUMPRODUCT(--(梦灵养成!$Q$10:$Q$15&lt;=产出预期!$M43),梦灵养成!M$10:M$15,梦灵养成!$P$10:$P$15))/MAX(SUMPRODUCT(--(梦灵养成!$C$10:$C$31&lt;=产出预期!$M43),--(梦灵养成!$E$10:$E$31=J$2)),1)*10,梦灵养成!AU$339:AU$387,1),0)</f>
        <v>40</v>
      </c>
      <c r="K26" s="45" cm="1">
        <f ca="1" t="array" ref="K26">IFERROR(MATCH(((产出预期!$M43-OFFSET(梦灵养成!$Q$9,MATCH(产出预期!$M43,梦灵养成!$Q$10:$Q$15,1),0))*OFFSET(梦灵养成!N$9,1+MATCH(产出预期!$M43,梦灵养成!$Q$10:$Q$15,1),0)+梦灵养成!F362+SUMPRODUCT(--(梦灵养成!$Q$10:$Q$15&lt;=产出预期!$M43),梦灵养成!N$10:N$15,梦灵养成!$P$10:$P$15))/MAX(SUMPRODUCT(--(梦灵养成!$C$10:$C$31&lt;=产出预期!$M43),--(梦灵养成!$E$10:$E$31=K$2)),1)*10,梦灵养成!AV$339:AV$387,1),0)</f>
        <v>41</v>
      </c>
      <c r="L26" s="45" cm="1">
        <f ca="1" t="array" ref="L26">IFERROR(MATCH(((产出预期!$M43-OFFSET(梦灵养成!$Q$9,MATCH(产出预期!$M43,梦灵养成!$Q$10:$Q$15,1),0))*OFFSET(梦灵养成!O$9,1+MATCH(产出预期!$M43,梦灵养成!$Q$10:$Q$15,1),0)+梦灵养成!G362+SUMPRODUCT(--(梦灵养成!$Q$10:$Q$15&lt;=产出预期!$M43),梦灵养成!O$10:O$15,梦灵养成!$P$10:$P$15))/MAX(SUMPRODUCT(--(梦灵养成!$C$10:$C$31&lt;=产出预期!$M43),--(梦灵养成!$E$10:$E$31=L$2)),1)*10,梦灵养成!AW$339:AW$388,1),0)</f>
        <v>24</v>
      </c>
      <c r="M26" s="45">
        <f ca="1">OFFSET(符文养成!$C$14,MATCH(C26,符文养成!$B$15:$B$44,1),0)</f>
        <v>30</v>
      </c>
      <c r="N26" s="45">
        <f ca="1">MATCH((产出预期!Z43*价值表!$F$53+产出预期!AA43*价值表!$F$54+产出预期!AD43*价值表!$F$57)/16/M26,符文养成!$G$15:$G$21,1)</f>
        <v>4</v>
      </c>
      <c r="O26" s="45">
        <f>MATCH(产出预期!O43,秘宝养成!$C$3:$C$14,1)</f>
        <v>8</v>
      </c>
    </row>
    <row r="27" ht="16.5" spans="2:15">
      <c r="B27" s="2">
        <v>25</v>
      </c>
      <c r="C27" s="2">
        <f ca="1">MATCH((OFFSET(产出预期!$C$3,0,产出预期!$B$1)*10+OFFSET(产出预期!$C$4,0,产出预期!$B$1)*10+OFFSET(产出预期!$C$7,0,产出预期!$B$1)*20)*B27/10*60,玩家等级!$E$3:$E$302,1)</f>
        <v>41</v>
      </c>
      <c r="D27" s="2">
        <f>MATCH(产出预期!P44/6,装备养成!$G$4:$G$303,1)</f>
        <v>53</v>
      </c>
      <c r="E27" s="2">
        <f>COUNTIF(产出预期!$R44:$Y44,"&gt;"&amp;0)</f>
        <v>6</v>
      </c>
      <c r="F27" s="2">
        <f ca="1">MATCH(OFFSET(产出预期!$R$19,B27,E27-1),装备养成!$S$4:$S$9,1)</f>
        <v>6</v>
      </c>
      <c r="G27" s="2" t="str">
        <f ca="1">OFFSET(梦灵养成!$D$9,MATCH(梦灵养成!C58,梦灵养成!$C$10:$C$28,1),0)</f>
        <v>诸葛</v>
      </c>
      <c r="H27" s="2" t="str">
        <f ca="1">OFFSET(梦灵养成!$I$9,MATCH(梦灵养成!C58,梦灵养成!$C$10:$C$28,1),0)</f>
        <v>后羿</v>
      </c>
      <c r="I27" s="45" cm="1">
        <f ca="1" t="array" ref="I27">IFERROR(MATCH(((产出预期!$M44-OFFSET(梦灵养成!$Q$9,MATCH(产出预期!$M44,梦灵养成!$Q$10:$Q$15,1),0))*OFFSET(梦灵养成!L$9,1+MATCH(产出预期!$M44,梦灵养成!$Q$10:$Q$15,1),0)+梦灵养成!D363+SUMPRODUCT(--(梦灵养成!$Q$10:$Q$15&lt;=产出预期!$M44),梦灵养成!L$10:L$15,梦灵养成!$P$10:$P$15))/MAX(SUMPRODUCT(--(梦灵养成!$C$10:$C$31&lt;=产出预期!$M44),--(梦灵养成!$E$10:$E$31=I$2)),1)*10,梦灵养成!AT$339:AT$387,1),0)</f>
        <v>47</v>
      </c>
      <c r="J27" s="45" cm="1">
        <f ca="1" t="array" ref="J27">IFERROR(MATCH(((产出预期!$M44-OFFSET(梦灵养成!$Q$9,MATCH(产出预期!$M44,梦灵养成!$Q$10:$Q$15,1),0))*OFFSET(梦灵养成!M$9,1+MATCH(产出预期!$M44,梦灵养成!$Q$10:$Q$15,1),0)+梦灵养成!E363+SUMPRODUCT(--(梦灵养成!$Q$10:$Q$15&lt;=产出预期!$M44),梦灵养成!M$10:M$15,梦灵养成!$P$10:$P$15))/MAX(SUMPRODUCT(--(梦灵养成!$C$10:$C$31&lt;=产出预期!$M44),--(梦灵养成!$E$10:$E$31=J$2)),1)*10,梦灵养成!AU$339:AU$387,1),0)</f>
        <v>41</v>
      </c>
      <c r="K27" s="45" cm="1">
        <f ca="1" t="array" ref="K27">IFERROR(MATCH(((产出预期!$M44-OFFSET(梦灵养成!$Q$9,MATCH(产出预期!$M44,梦灵养成!$Q$10:$Q$15,1),0))*OFFSET(梦灵养成!N$9,1+MATCH(产出预期!$M44,梦灵养成!$Q$10:$Q$15,1),0)+梦灵养成!F363+SUMPRODUCT(--(梦灵养成!$Q$10:$Q$15&lt;=产出预期!$M44),梦灵养成!N$10:N$15,梦灵养成!$P$10:$P$15))/MAX(SUMPRODUCT(--(梦灵养成!$C$10:$C$31&lt;=产出预期!$M44),--(梦灵养成!$E$10:$E$31=K$2)),1)*10,梦灵养成!AV$339:AV$387,1),0)</f>
        <v>41</v>
      </c>
      <c r="L27" s="45" cm="1">
        <f ca="1" t="array" ref="L27">IFERROR(MATCH(((产出预期!$M44-OFFSET(梦灵养成!$Q$9,MATCH(产出预期!$M44,梦灵养成!$Q$10:$Q$15,1),0))*OFFSET(梦灵养成!O$9,1+MATCH(产出预期!$M44,梦灵养成!$Q$10:$Q$15,1),0)+梦灵养成!G363+SUMPRODUCT(--(梦灵养成!$Q$10:$Q$15&lt;=产出预期!$M44),梦灵养成!O$10:O$15,梦灵养成!$P$10:$P$15))/MAX(SUMPRODUCT(--(梦灵养成!$C$10:$C$31&lt;=产出预期!$M44),--(梦灵养成!$E$10:$E$31=L$2)),1)*10,梦灵养成!AW$339:AW$388,1),0)</f>
        <v>25</v>
      </c>
      <c r="M27" s="45">
        <f ca="1">OFFSET(符文养成!$C$14,MATCH(C27,符文养成!$B$15:$B$44,1),0)</f>
        <v>30</v>
      </c>
      <c r="N27" s="45">
        <f ca="1">MATCH((产出预期!Z44*价值表!$F$53+产出预期!AA44*价值表!$F$54+产出预期!AD44*价值表!$F$57)/16/M27,符文养成!$G$15:$G$21,1)</f>
        <v>4</v>
      </c>
      <c r="O27" s="45">
        <f>MATCH(产出预期!O44,秘宝养成!$C$3:$C$14,1)</f>
        <v>8</v>
      </c>
    </row>
    <row r="28" ht="16.5" spans="2:15">
      <c r="B28" s="2">
        <v>26</v>
      </c>
      <c r="C28" s="2">
        <f ca="1">MATCH((OFFSET(产出预期!$C$3,0,产出预期!$B$1)*10+OFFSET(产出预期!$C$4,0,产出预期!$B$1)*10+OFFSET(产出预期!$C$7,0,产出预期!$B$1)*20)*B28/10*60,玩家等级!$E$3:$E$302,1)</f>
        <v>42</v>
      </c>
      <c r="D28" s="2">
        <f>MATCH(产出预期!P45/6,装备养成!$G$4:$G$303,1)</f>
        <v>54</v>
      </c>
      <c r="E28" s="2">
        <f>COUNTIF(产出预期!$R45:$Y45,"&gt;"&amp;0)</f>
        <v>6</v>
      </c>
      <c r="F28" s="2">
        <f ca="1">MATCH(OFFSET(产出预期!$R$19,B28,E28-1),装备养成!$S$4:$S$9,1)</f>
        <v>6</v>
      </c>
      <c r="G28" s="2" t="str">
        <f ca="1">OFFSET(梦灵养成!$D$9,MATCH(梦灵养成!C59,梦灵养成!$C$10:$C$28,1),0)</f>
        <v>诸葛</v>
      </c>
      <c r="H28" s="2" t="str">
        <f ca="1">OFFSET(梦灵养成!$I$9,MATCH(梦灵养成!C59,梦灵养成!$C$10:$C$28,1),0)</f>
        <v>后羿</v>
      </c>
      <c r="I28" s="45" cm="1">
        <f ca="1" t="array" ref="I28">IFERROR(MATCH(((产出预期!$M45-OFFSET(梦灵养成!$Q$9,MATCH(产出预期!$M45,梦灵养成!$Q$10:$Q$15,1),0))*OFFSET(梦灵养成!L$9,1+MATCH(产出预期!$M45,梦灵养成!$Q$10:$Q$15,1),0)+梦灵养成!D364+SUMPRODUCT(--(梦灵养成!$Q$10:$Q$15&lt;=产出预期!$M45),梦灵养成!L$10:L$15,梦灵养成!$P$10:$P$15))/MAX(SUMPRODUCT(--(梦灵养成!$C$10:$C$31&lt;=产出预期!$M45),--(梦灵养成!$E$10:$E$31=I$2)),1)*10,梦灵养成!AT$339:AT$387,1),0)</f>
        <v>47</v>
      </c>
      <c r="J28" s="45" cm="1">
        <f ca="1" t="array" ref="J28">IFERROR(MATCH(((产出预期!$M45-OFFSET(梦灵养成!$Q$9,MATCH(产出预期!$M45,梦灵养成!$Q$10:$Q$15,1),0))*OFFSET(梦灵养成!M$9,1+MATCH(产出预期!$M45,梦灵养成!$Q$10:$Q$15,1),0)+梦灵养成!E364+SUMPRODUCT(--(梦灵养成!$Q$10:$Q$15&lt;=产出预期!$M45),梦灵养成!M$10:M$15,梦灵养成!$P$10:$P$15))/MAX(SUMPRODUCT(--(梦灵养成!$C$10:$C$31&lt;=产出预期!$M45),--(梦灵养成!$E$10:$E$31=J$2)),1)*10,梦灵养成!AU$339:AU$387,1),0)</f>
        <v>41</v>
      </c>
      <c r="K28" s="45" cm="1">
        <f ca="1" t="array" ref="K28">IFERROR(MATCH(((产出预期!$M45-OFFSET(梦灵养成!$Q$9,MATCH(产出预期!$M45,梦灵养成!$Q$10:$Q$15,1),0))*OFFSET(梦灵养成!N$9,1+MATCH(产出预期!$M45,梦灵养成!$Q$10:$Q$15,1),0)+梦灵养成!F364+SUMPRODUCT(--(梦灵养成!$Q$10:$Q$15&lt;=产出预期!$M45),梦灵养成!N$10:N$15,梦灵养成!$P$10:$P$15))/MAX(SUMPRODUCT(--(梦灵养成!$C$10:$C$31&lt;=产出预期!$M45),--(梦灵养成!$E$10:$E$31=K$2)),1)*10,梦灵养成!AV$339:AV$387,1),0)</f>
        <v>41</v>
      </c>
      <c r="L28" s="45" cm="1">
        <f ca="1" t="array" ref="L28">IFERROR(MATCH(((产出预期!$M45-OFFSET(梦灵养成!$Q$9,MATCH(产出预期!$M45,梦灵养成!$Q$10:$Q$15,1),0))*OFFSET(梦灵养成!O$9,1+MATCH(产出预期!$M45,梦灵养成!$Q$10:$Q$15,1),0)+梦灵养成!G364+SUMPRODUCT(--(梦灵养成!$Q$10:$Q$15&lt;=产出预期!$M45),梦灵养成!O$10:O$15,梦灵养成!$P$10:$P$15))/MAX(SUMPRODUCT(--(梦灵养成!$C$10:$C$31&lt;=产出预期!$M45),--(梦灵养成!$E$10:$E$31=L$2)),1)*10,梦灵养成!AW$339:AW$388,1),0)</f>
        <v>25</v>
      </c>
      <c r="M28" s="45">
        <f ca="1">OFFSET(符文养成!$C$14,MATCH(C28,符文养成!$B$15:$B$44,1),0)</f>
        <v>30</v>
      </c>
      <c r="N28" s="45">
        <f ca="1">MATCH((产出预期!Z45*价值表!$F$53+产出预期!AA45*价值表!$F$54+产出预期!AD45*价值表!$F$57)/16/M28,符文养成!$G$15:$G$21,1)</f>
        <v>4</v>
      </c>
      <c r="O28" s="45">
        <f>MATCH(产出预期!O45,秘宝养成!$C$3:$C$14,1)</f>
        <v>8</v>
      </c>
    </row>
    <row r="29" ht="16.5" spans="2:15">
      <c r="B29" s="2">
        <v>27</v>
      </c>
      <c r="C29" s="2">
        <f ca="1">MATCH((OFFSET(产出预期!$C$3,0,产出预期!$B$1)*10+OFFSET(产出预期!$C$4,0,产出预期!$B$1)*10+OFFSET(产出预期!$C$7,0,产出预期!$B$1)*20)*B29/10*60,玩家等级!$E$3:$E$302,1)</f>
        <v>43</v>
      </c>
      <c r="D29" s="2">
        <f>MATCH(产出预期!P46/6,装备养成!$G$4:$G$303,1)</f>
        <v>55</v>
      </c>
      <c r="E29" s="2">
        <f>COUNTIF(产出预期!$R46:$Y46,"&gt;"&amp;0)</f>
        <v>6</v>
      </c>
      <c r="F29" s="2">
        <f ca="1">MATCH(OFFSET(产出预期!$R$19,B29,E29-1),装备养成!$S$4:$S$9,1)</f>
        <v>6</v>
      </c>
      <c r="G29" s="2" t="str">
        <f ca="1">OFFSET(梦灵养成!$D$9,MATCH(梦灵养成!C60,梦灵养成!$C$10:$C$28,1),0)</f>
        <v>我爱沙</v>
      </c>
      <c r="H29" s="2" t="str">
        <f ca="1">OFFSET(梦灵养成!$I$9,MATCH(梦灵养成!C60,梦灵养成!$C$10:$C$28,1),0)</f>
        <v>后羿</v>
      </c>
      <c r="I29" s="45" cm="1">
        <f ca="1" t="array" ref="I29">IFERROR(MATCH(((产出预期!$M46-OFFSET(梦灵养成!$Q$9,MATCH(产出预期!$M46,梦灵养成!$Q$10:$Q$15,1),0))*OFFSET(梦灵养成!L$9,1+MATCH(产出预期!$M46,梦灵养成!$Q$10:$Q$15,1),0)+梦灵养成!D365+SUMPRODUCT(--(梦灵养成!$Q$10:$Q$15&lt;=产出预期!$M46),梦灵养成!L$10:L$15,梦灵养成!$P$10:$P$15))/MAX(SUMPRODUCT(--(梦灵养成!$C$10:$C$31&lt;=产出预期!$M46),--(梦灵养成!$E$10:$E$31=I$2)),1)*10,梦灵养成!AT$339:AT$387,1),0)</f>
        <v>47</v>
      </c>
      <c r="J29" s="45" cm="1">
        <f ca="1" t="array" ref="J29">IFERROR(MATCH(((产出预期!$M46-OFFSET(梦灵养成!$Q$9,MATCH(产出预期!$M46,梦灵养成!$Q$10:$Q$15,1),0))*OFFSET(梦灵养成!M$9,1+MATCH(产出预期!$M46,梦灵养成!$Q$10:$Q$15,1),0)+梦灵养成!E365+SUMPRODUCT(--(梦灵养成!$Q$10:$Q$15&lt;=产出预期!$M46),梦灵养成!M$10:M$15,梦灵养成!$P$10:$P$15))/MAX(SUMPRODUCT(--(梦灵养成!$C$10:$C$31&lt;=产出预期!$M46),--(梦灵养成!$E$10:$E$31=J$2)),1)*10,梦灵养成!AU$339:AU$387,1),0)</f>
        <v>41</v>
      </c>
      <c r="K29" s="45" cm="1">
        <f ca="1" t="array" ref="K29">IFERROR(MATCH(((产出预期!$M46-OFFSET(梦灵养成!$Q$9,MATCH(产出预期!$M46,梦灵养成!$Q$10:$Q$15,1),0))*OFFSET(梦灵养成!N$9,1+MATCH(产出预期!$M46,梦灵养成!$Q$10:$Q$15,1),0)+梦灵养成!F365+SUMPRODUCT(--(梦灵养成!$Q$10:$Q$15&lt;=产出预期!$M46),梦灵养成!N$10:N$15,梦灵养成!$P$10:$P$15))/MAX(SUMPRODUCT(--(梦灵养成!$C$10:$C$31&lt;=产出预期!$M46),--(梦灵养成!$E$10:$E$31=K$2)),1)*10,梦灵养成!AV$339:AV$387,1),0)</f>
        <v>42</v>
      </c>
      <c r="L29" s="45" cm="1">
        <f ca="1" t="array" ref="L29">IFERROR(MATCH(((产出预期!$M46-OFFSET(梦灵养成!$Q$9,MATCH(产出预期!$M46,梦灵养成!$Q$10:$Q$15,1),0))*OFFSET(梦灵养成!O$9,1+MATCH(产出预期!$M46,梦灵养成!$Q$10:$Q$15,1),0)+梦灵养成!G365+SUMPRODUCT(--(梦灵养成!$Q$10:$Q$15&lt;=产出预期!$M46),梦灵养成!O$10:O$15,梦灵养成!$P$10:$P$15))/MAX(SUMPRODUCT(--(梦灵养成!$C$10:$C$31&lt;=产出预期!$M46),--(梦灵养成!$E$10:$E$31=L$2)),1)*10,梦灵养成!AW$339:AW$388,1),0)</f>
        <v>25</v>
      </c>
      <c r="M29" s="45">
        <f ca="1">OFFSET(符文养成!$C$14,MATCH(C29,符文养成!$B$15:$B$44,1),0)</f>
        <v>30</v>
      </c>
      <c r="N29" s="45">
        <f ca="1">MATCH((产出预期!Z46*价值表!$F$53+产出预期!AA46*价值表!$F$54+产出预期!AD46*价值表!$F$57)/16/M29,符文养成!$G$15:$G$21,1)</f>
        <v>4</v>
      </c>
      <c r="O29" s="45">
        <f>MATCH(产出预期!O46,秘宝养成!$C$3:$C$14,1)</f>
        <v>8</v>
      </c>
    </row>
    <row r="30" ht="16.5" spans="2:15">
      <c r="B30" s="2">
        <v>28</v>
      </c>
      <c r="C30" s="2">
        <f ca="1">MATCH((OFFSET(产出预期!$C$3,0,产出预期!$B$1)*10+OFFSET(产出预期!$C$4,0,产出预期!$B$1)*10+OFFSET(产出预期!$C$7,0,产出预期!$B$1)*20)*B30/10*60,玩家等级!$E$3:$E$302,1)</f>
        <v>44</v>
      </c>
      <c r="D30" s="2">
        <f>MATCH(产出预期!P47/6,装备养成!$G$4:$G$303,1)</f>
        <v>56</v>
      </c>
      <c r="E30" s="2">
        <f>COUNTIF(产出预期!$R47:$Y47,"&gt;"&amp;0)</f>
        <v>6</v>
      </c>
      <c r="F30" s="2">
        <f ca="1">MATCH(OFFSET(产出预期!$R$19,B30,E30-1),装备养成!$S$4:$S$9,1)</f>
        <v>6</v>
      </c>
      <c r="G30" s="2" t="str">
        <f ca="1">OFFSET(梦灵养成!$D$9,MATCH(梦灵养成!C61,梦灵养成!$C$10:$C$28,1),0)</f>
        <v>我爱沙</v>
      </c>
      <c r="H30" s="2" t="str">
        <f ca="1">OFFSET(梦灵养成!$I$9,MATCH(梦灵养成!C61,梦灵养成!$C$10:$C$28,1),0)</f>
        <v>后羿</v>
      </c>
      <c r="I30" s="45" cm="1">
        <f ca="1" t="array" ref="I30">IFERROR(MATCH(((产出预期!$M47-OFFSET(梦灵养成!$Q$9,MATCH(产出预期!$M47,梦灵养成!$Q$10:$Q$15,1),0))*OFFSET(梦灵养成!L$9,1+MATCH(产出预期!$M47,梦灵养成!$Q$10:$Q$15,1),0)+梦灵养成!D366+SUMPRODUCT(--(梦灵养成!$Q$10:$Q$15&lt;=产出预期!$M47),梦灵养成!L$10:L$15,梦灵养成!$P$10:$P$15))/MAX(SUMPRODUCT(--(梦灵养成!$C$10:$C$31&lt;=产出预期!$M47),--(梦灵养成!$E$10:$E$31=I$2)),1)*10,梦灵养成!AT$339:AT$387,1),0)</f>
        <v>48</v>
      </c>
      <c r="J30" s="45" cm="1">
        <f ca="1" t="array" ref="J30">IFERROR(MATCH(((产出预期!$M47-OFFSET(梦灵养成!$Q$9,MATCH(产出预期!$M47,梦灵养成!$Q$10:$Q$15,1),0))*OFFSET(梦灵养成!M$9,1+MATCH(产出预期!$M47,梦灵养成!$Q$10:$Q$15,1),0)+梦灵养成!E366+SUMPRODUCT(--(梦灵养成!$Q$10:$Q$15&lt;=产出预期!$M47),梦灵养成!M$10:M$15,梦灵养成!$P$10:$P$15))/MAX(SUMPRODUCT(--(梦灵养成!$C$10:$C$31&lt;=产出预期!$M47),--(梦灵养成!$E$10:$E$31=J$2)),1)*10,梦灵养成!AU$339:AU$387,1),0)</f>
        <v>42</v>
      </c>
      <c r="K30" s="45" cm="1">
        <f ca="1" t="array" ref="K30">IFERROR(MATCH(((产出预期!$M47-OFFSET(梦灵养成!$Q$9,MATCH(产出预期!$M47,梦灵养成!$Q$10:$Q$15,1),0))*OFFSET(梦灵养成!N$9,1+MATCH(产出预期!$M47,梦灵养成!$Q$10:$Q$15,1),0)+梦灵养成!F366+SUMPRODUCT(--(梦灵养成!$Q$10:$Q$15&lt;=产出预期!$M47),梦灵养成!N$10:N$15,梦灵养成!$P$10:$P$15))/MAX(SUMPRODUCT(--(梦灵养成!$C$10:$C$31&lt;=产出预期!$M47),--(梦灵养成!$E$10:$E$31=K$2)),1)*10,梦灵养成!AV$339:AV$387,1),0)</f>
        <v>42</v>
      </c>
      <c r="L30" s="45" cm="1">
        <f ca="1" t="array" ref="L30">IFERROR(MATCH(((产出预期!$M47-OFFSET(梦灵养成!$Q$9,MATCH(产出预期!$M47,梦灵养成!$Q$10:$Q$15,1),0))*OFFSET(梦灵养成!O$9,1+MATCH(产出预期!$M47,梦灵养成!$Q$10:$Q$15,1),0)+梦灵养成!G366+SUMPRODUCT(--(梦灵养成!$Q$10:$Q$15&lt;=产出预期!$M47),梦灵养成!O$10:O$15,梦灵养成!$P$10:$P$15))/MAX(SUMPRODUCT(--(梦灵养成!$C$10:$C$31&lt;=产出预期!$M47),--(梦灵养成!$E$10:$E$31=L$2)),1)*10,梦灵养成!AW$339:AW$388,1),0)</f>
        <v>26</v>
      </c>
      <c r="M30" s="45">
        <f ca="1">OFFSET(符文养成!$C$14,MATCH(C30,符文养成!$B$15:$B$44,1),0)</f>
        <v>30</v>
      </c>
      <c r="N30" s="45">
        <f ca="1">MATCH((产出预期!Z47*价值表!$F$53+产出预期!AA47*价值表!$F$54+产出预期!AD47*价值表!$F$57)/16/M30,符文养成!$G$15:$G$21,1)</f>
        <v>4</v>
      </c>
      <c r="O30" s="45">
        <f>MATCH(产出预期!O47,秘宝养成!$C$3:$C$14,1)</f>
        <v>8</v>
      </c>
    </row>
    <row r="31" ht="16.5" spans="2:15">
      <c r="B31" s="2">
        <v>29</v>
      </c>
      <c r="C31" s="2">
        <f ca="1">MATCH((OFFSET(产出预期!$C$3,0,产出预期!$B$1)*10+OFFSET(产出预期!$C$4,0,产出预期!$B$1)*10+OFFSET(产出预期!$C$7,0,产出预期!$B$1)*20)*B31/10*60,玩家等级!$E$3:$E$302,1)</f>
        <v>45</v>
      </c>
      <c r="D31" s="2">
        <f>MATCH(产出预期!P48/6,装备养成!$G$4:$G$303,1)</f>
        <v>57</v>
      </c>
      <c r="E31" s="2">
        <f>COUNTIF(产出预期!$R48:$Y48,"&gt;"&amp;0)</f>
        <v>6</v>
      </c>
      <c r="F31" s="2">
        <f ca="1">MATCH(OFFSET(产出预期!$R$19,B31,E31-1),装备养成!$S$4:$S$9,1)</f>
        <v>6</v>
      </c>
      <c r="G31" s="2" t="str">
        <f ca="1">OFFSET(梦灵养成!$D$9,MATCH(梦灵养成!C62,梦灵养成!$C$10:$C$28,1),0)</f>
        <v>我爱沙</v>
      </c>
      <c r="H31" s="2" t="str">
        <f ca="1">OFFSET(梦灵养成!$I$9,MATCH(梦灵养成!C62,梦灵养成!$C$10:$C$28,1),0)</f>
        <v>后羿</v>
      </c>
      <c r="I31" s="45" cm="1">
        <f ca="1" t="array" ref="I31">IFERROR(MATCH(((产出预期!$M48-OFFSET(梦灵养成!$Q$9,MATCH(产出预期!$M48,梦灵养成!$Q$10:$Q$15,1),0))*OFFSET(梦灵养成!L$9,1+MATCH(产出预期!$M48,梦灵养成!$Q$10:$Q$15,1),0)+梦灵养成!D367+SUMPRODUCT(--(梦灵养成!$Q$10:$Q$15&lt;=产出预期!$M48),梦灵养成!L$10:L$15,梦灵养成!$P$10:$P$15))/MAX(SUMPRODUCT(--(梦灵养成!$C$10:$C$31&lt;=产出预期!$M48),--(梦灵养成!$E$10:$E$31=I$2)),1)*10,梦灵养成!AT$339:AT$387,1),0)</f>
        <v>48</v>
      </c>
      <c r="J31" s="45" cm="1">
        <f ca="1" t="array" ref="J31">IFERROR(MATCH(((产出预期!$M48-OFFSET(梦灵养成!$Q$9,MATCH(产出预期!$M48,梦灵养成!$Q$10:$Q$15,1),0))*OFFSET(梦灵养成!M$9,1+MATCH(产出预期!$M48,梦灵养成!$Q$10:$Q$15,1),0)+梦灵养成!E367+SUMPRODUCT(--(梦灵养成!$Q$10:$Q$15&lt;=产出预期!$M48),梦灵养成!M$10:M$15,梦灵养成!$P$10:$P$15))/MAX(SUMPRODUCT(--(梦灵养成!$C$10:$C$31&lt;=产出预期!$M48),--(梦灵养成!$E$10:$E$31=J$2)),1)*10,梦灵养成!AU$339:AU$387,1),0)</f>
        <v>42</v>
      </c>
      <c r="K31" s="45" cm="1">
        <f ca="1" t="array" ref="K31">IFERROR(MATCH(((产出预期!$M48-OFFSET(梦灵养成!$Q$9,MATCH(产出预期!$M48,梦灵养成!$Q$10:$Q$15,1),0))*OFFSET(梦灵养成!N$9,1+MATCH(产出预期!$M48,梦灵养成!$Q$10:$Q$15,1),0)+梦灵养成!F367+SUMPRODUCT(--(梦灵养成!$Q$10:$Q$15&lt;=产出预期!$M48),梦灵养成!N$10:N$15,梦灵养成!$P$10:$P$15))/MAX(SUMPRODUCT(--(梦灵养成!$C$10:$C$31&lt;=产出预期!$M48),--(梦灵养成!$E$10:$E$31=K$2)),1)*10,梦灵养成!AV$339:AV$387,1),0)</f>
        <v>43</v>
      </c>
      <c r="L31" s="45" cm="1">
        <f ca="1" t="array" ref="L31">IFERROR(MATCH(((产出预期!$M48-OFFSET(梦灵养成!$Q$9,MATCH(产出预期!$M48,梦灵养成!$Q$10:$Q$15,1),0))*OFFSET(梦灵养成!O$9,1+MATCH(产出预期!$M48,梦灵养成!$Q$10:$Q$15,1),0)+梦灵养成!G367+SUMPRODUCT(--(梦灵养成!$Q$10:$Q$15&lt;=产出预期!$M48),梦灵养成!O$10:O$15,梦灵养成!$P$10:$P$15))/MAX(SUMPRODUCT(--(梦灵养成!$C$10:$C$31&lt;=产出预期!$M48),--(梦灵养成!$E$10:$E$31=L$2)),1)*10,梦灵养成!AW$339:AW$388,1),0)</f>
        <v>27</v>
      </c>
      <c r="M31" s="45">
        <f ca="1">OFFSET(符文养成!$C$14,MATCH(C31,符文养成!$B$15:$B$44,1),0)</f>
        <v>30</v>
      </c>
      <c r="N31" s="45">
        <f ca="1">MATCH((产出预期!Z48*价值表!$F$53+产出预期!AA48*价值表!$F$54+产出预期!AD48*价值表!$F$57)/16/M31,符文养成!$G$15:$G$21,1)</f>
        <v>4</v>
      </c>
      <c r="O31" s="45">
        <f>MATCH(产出预期!O48,秘宝养成!$C$3:$C$14,1)</f>
        <v>8</v>
      </c>
    </row>
    <row r="32" ht="16.5" spans="2:15">
      <c r="B32" s="2">
        <v>30</v>
      </c>
      <c r="C32" s="2">
        <f ca="1">MATCH((OFFSET(产出预期!$C$3,0,产出预期!$B$1)*10+OFFSET(产出预期!$C$4,0,产出预期!$B$1)*10+OFFSET(产出预期!$C$7,0,产出预期!$B$1)*20)*B32/10*60,玩家等级!$E$3:$E$302,1)</f>
        <v>45</v>
      </c>
      <c r="D32" s="2">
        <f>MATCH(产出预期!P49/6,装备养成!$G$4:$G$303,1)</f>
        <v>58</v>
      </c>
      <c r="E32" s="2">
        <f>COUNTIF(产出预期!$R49:$Y49,"&gt;"&amp;0)</f>
        <v>6</v>
      </c>
      <c r="F32" s="2">
        <f ca="1">MATCH(OFFSET(产出预期!$R$19,B32,E32-1),装备养成!$S$4:$S$9,1)</f>
        <v>6</v>
      </c>
      <c r="G32" s="2" t="str">
        <f ca="1">OFFSET(梦灵养成!$D$9,MATCH(梦灵养成!C63,梦灵养成!$C$10:$C$28,1),0)</f>
        <v>我爱沙</v>
      </c>
      <c r="H32" s="2" t="str">
        <f ca="1">OFFSET(梦灵养成!$I$9,MATCH(梦灵养成!C63,梦灵养成!$C$10:$C$28,1),0)</f>
        <v>后羿</v>
      </c>
      <c r="I32" s="45" cm="1">
        <f ca="1" t="array" ref="I32">IFERROR(MATCH(((产出预期!$M49-OFFSET(梦灵养成!$Q$9,MATCH(产出预期!$M49,梦灵养成!$Q$10:$Q$15,1),0))*OFFSET(梦灵养成!L$9,1+MATCH(产出预期!$M49,梦灵养成!$Q$10:$Q$15,1),0)+梦灵养成!D368+SUMPRODUCT(--(梦灵养成!$Q$10:$Q$15&lt;=产出预期!$M49),梦灵养成!L$10:L$15,梦灵养成!$P$10:$P$15))/MAX(SUMPRODUCT(--(梦灵养成!$C$10:$C$31&lt;=产出预期!$M49),--(梦灵养成!$E$10:$E$31=I$2)),1)*10,梦灵养成!AT$339:AT$387,1),0)</f>
        <v>48</v>
      </c>
      <c r="J32" s="45" cm="1">
        <f ca="1" t="array" ref="J32">IFERROR(MATCH(((产出预期!$M49-OFFSET(梦灵养成!$Q$9,MATCH(产出预期!$M49,梦灵养成!$Q$10:$Q$15,1),0))*OFFSET(梦灵养成!M$9,1+MATCH(产出预期!$M49,梦灵养成!$Q$10:$Q$15,1),0)+梦灵养成!E368+SUMPRODUCT(--(梦灵养成!$Q$10:$Q$15&lt;=产出预期!$M49),梦灵养成!M$10:M$15,梦灵养成!$P$10:$P$15))/MAX(SUMPRODUCT(--(梦灵养成!$C$10:$C$31&lt;=产出预期!$M49),--(梦灵养成!$E$10:$E$31=J$2)),1)*10,梦灵养成!AU$339:AU$387,1),0)</f>
        <v>42</v>
      </c>
      <c r="K32" s="45" cm="1">
        <f ca="1" t="array" ref="K32">IFERROR(MATCH(((产出预期!$M49-OFFSET(梦灵养成!$Q$9,MATCH(产出预期!$M49,梦灵养成!$Q$10:$Q$15,1),0))*OFFSET(梦灵养成!N$9,1+MATCH(产出预期!$M49,梦灵养成!$Q$10:$Q$15,1),0)+梦灵养成!F368+SUMPRODUCT(--(梦灵养成!$Q$10:$Q$15&lt;=产出预期!$M49),梦灵养成!N$10:N$15,梦灵养成!$P$10:$P$15))/MAX(SUMPRODUCT(--(梦灵养成!$C$10:$C$31&lt;=产出预期!$M49),--(梦灵养成!$E$10:$E$31=K$2)),1)*10,梦灵养成!AV$339:AV$387,1),0)</f>
        <v>43</v>
      </c>
      <c r="L32" s="45" cm="1">
        <f ca="1" t="array" ref="L32">IFERROR(MATCH(((产出预期!$M49-OFFSET(梦灵养成!$Q$9,MATCH(产出预期!$M49,梦灵养成!$Q$10:$Q$15,1),0))*OFFSET(梦灵养成!O$9,1+MATCH(产出预期!$M49,梦灵养成!$Q$10:$Q$15,1),0)+梦灵养成!G368+SUMPRODUCT(--(梦灵养成!$Q$10:$Q$15&lt;=产出预期!$M49),梦灵养成!O$10:O$15,梦灵养成!$P$10:$P$15))/MAX(SUMPRODUCT(--(梦灵养成!$C$10:$C$31&lt;=产出预期!$M49),--(梦灵养成!$E$10:$E$31=L$2)),1)*10,梦灵养成!AW$339:AW$388,1),0)</f>
        <v>27</v>
      </c>
      <c r="M32" s="45">
        <f ca="1">OFFSET(符文养成!$C$14,MATCH(C32,符文养成!$B$15:$B$44,1),0)</f>
        <v>30</v>
      </c>
      <c r="N32" s="45">
        <f ca="1">MATCH((产出预期!Z49*价值表!$F$53+产出预期!AA49*价值表!$F$54+产出预期!AD49*价值表!$F$57)/16/M32,符文养成!$G$15:$G$21,1)</f>
        <v>4</v>
      </c>
      <c r="O32" s="45">
        <f>MATCH(产出预期!O49,秘宝养成!$C$3:$C$14,1)</f>
        <v>8</v>
      </c>
    </row>
    <row r="33" ht="16.5" spans="2:15">
      <c r="B33" s="2">
        <v>31</v>
      </c>
      <c r="C33" s="2">
        <f ca="1">MATCH((OFFSET(产出预期!$C$3,0,产出预期!$B$1)*10+OFFSET(产出预期!$C$4,0,产出预期!$B$1)*10+OFFSET(产出预期!$C$7,0,产出预期!$B$1)*20)*B33/10*60,玩家等级!$E$3:$E$302,1)</f>
        <v>46</v>
      </c>
      <c r="D33" s="2">
        <f>MATCH(产出预期!P50/6,装备养成!$G$4:$G$303,1)</f>
        <v>59</v>
      </c>
      <c r="E33" s="2">
        <f>COUNTIF(产出预期!$R50:$Y50,"&gt;"&amp;0)</f>
        <v>7</v>
      </c>
      <c r="F33" s="2">
        <f ca="1">MATCH(OFFSET(产出预期!$R$19,B33,E33-1),装备养成!$S$4:$S$9,1)</f>
        <v>1</v>
      </c>
      <c r="G33" s="2" t="str">
        <f ca="1">OFFSET(梦灵养成!$D$9,MATCH(梦灵养成!C64,梦灵养成!$C$10:$C$28,1),0)</f>
        <v>我爱沙</v>
      </c>
      <c r="H33" s="2" t="str">
        <f ca="1">OFFSET(梦灵养成!$I$9,MATCH(梦灵养成!C64,梦灵养成!$C$10:$C$28,1),0)</f>
        <v>后羿</v>
      </c>
      <c r="I33" s="45" cm="1">
        <f ca="1" t="array" ref="I33">IFERROR(MATCH(((产出预期!$M50-OFFSET(梦灵养成!$Q$9,MATCH(产出预期!$M50,梦灵养成!$Q$10:$Q$15,1),0))*OFFSET(梦灵养成!L$9,1+MATCH(产出预期!$M50,梦灵养成!$Q$10:$Q$15,1),0)+梦灵养成!D369+SUMPRODUCT(--(梦灵养成!$Q$10:$Q$15&lt;=产出预期!$M50),梦灵养成!L$10:L$15,梦灵养成!$P$10:$P$15))/MAX(SUMPRODUCT(--(梦灵养成!$C$10:$C$31&lt;=产出预期!$M50),--(梦灵养成!$E$10:$E$31=I$2)),1)*10,梦灵养成!AT$339:AT$387,1),0)</f>
        <v>49</v>
      </c>
      <c r="J33" s="45" cm="1">
        <f ca="1" t="array" ref="J33">IFERROR(MATCH(((产出预期!$M50-OFFSET(梦灵养成!$Q$9,MATCH(产出预期!$M50,梦灵养成!$Q$10:$Q$15,1),0))*OFFSET(梦灵养成!M$9,1+MATCH(产出预期!$M50,梦灵养成!$Q$10:$Q$15,1),0)+梦灵养成!E369+SUMPRODUCT(--(梦灵养成!$Q$10:$Q$15&lt;=产出预期!$M50),梦灵养成!M$10:M$15,梦灵养成!$P$10:$P$15))/MAX(SUMPRODUCT(--(梦灵养成!$C$10:$C$31&lt;=产出预期!$M50),--(梦灵养成!$E$10:$E$31=J$2)),1)*10,梦灵养成!AU$339:AU$387,1),0)</f>
        <v>42</v>
      </c>
      <c r="K33" s="45" cm="1">
        <f ca="1" t="array" ref="K33">IFERROR(MATCH(((产出预期!$M50-OFFSET(梦灵养成!$Q$9,MATCH(产出预期!$M50,梦灵养成!$Q$10:$Q$15,1),0))*OFFSET(梦灵养成!N$9,1+MATCH(产出预期!$M50,梦灵养成!$Q$10:$Q$15,1),0)+梦灵养成!F369+SUMPRODUCT(--(梦灵养成!$Q$10:$Q$15&lt;=产出预期!$M50),梦灵养成!N$10:N$15,梦灵养成!$P$10:$P$15))/MAX(SUMPRODUCT(--(梦灵养成!$C$10:$C$31&lt;=产出预期!$M50),--(梦灵养成!$E$10:$E$31=K$2)),1)*10,梦灵养成!AV$339:AV$387,1),0)</f>
        <v>43</v>
      </c>
      <c r="L33" s="45" cm="1">
        <f ca="1" t="array" ref="L33">IFERROR(MATCH(((产出预期!$M50-OFFSET(梦灵养成!$Q$9,MATCH(产出预期!$M50,梦灵养成!$Q$10:$Q$15,1),0))*OFFSET(梦灵养成!O$9,1+MATCH(产出预期!$M50,梦灵养成!$Q$10:$Q$15,1),0)+梦灵养成!G369+SUMPRODUCT(--(梦灵养成!$Q$10:$Q$15&lt;=产出预期!$M50),梦灵养成!O$10:O$15,梦灵养成!$P$10:$P$15))/MAX(SUMPRODUCT(--(梦灵养成!$C$10:$C$31&lt;=产出预期!$M50),--(梦灵养成!$E$10:$E$31=L$2)),1)*10,梦灵养成!AW$339:AW$388,1),0)</f>
        <v>27</v>
      </c>
      <c r="M33" s="45">
        <f ca="1">OFFSET(符文养成!$C$14,MATCH(C33,符文养成!$B$15:$B$44,1),0)</f>
        <v>30</v>
      </c>
      <c r="N33" s="45">
        <f ca="1">MATCH((产出预期!Z50*价值表!$F$53+产出预期!AA50*价值表!$F$54+产出预期!AD50*价值表!$F$57)/16/M33,符文养成!$G$15:$G$21,1)</f>
        <v>4</v>
      </c>
      <c r="O33" s="45">
        <f>MATCH(产出预期!O50,秘宝养成!$C$3:$C$14,1)</f>
        <v>8</v>
      </c>
    </row>
    <row r="34" ht="16.5" spans="2:15">
      <c r="B34" s="2">
        <v>32</v>
      </c>
      <c r="C34" s="2">
        <f ca="1">MATCH((OFFSET(产出预期!$C$3,0,产出预期!$B$1)*10+OFFSET(产出预期!$C$4,0,产出预期!$B$1)*10+OFFSET(产出预期!$C$7,0,产出预期!$B$1)*20)*B34/10*60,玩家等级!$E$3:$E$302,1)</f>
        <v>46</v>
      </c>
      <c r="D34" s="2">
        <f>MATCH(产出预期!P51/6,装备养成!$G$4:$G$303,1)</f>
        <v>60</v>
      </c>
      <c r="E34" s="2">
        <f>COUNTIF(产出预期!$R51:$Y51,"&gt;"&amp;0)</f>
        <v>7</v>
      </c>
      <c r="F34" s="2">
        <f ca="1">MATCH(OFFSET(产出预期!$R$19,B34,E34-1),装备养成!$S$4:$S$9,1)</f>
        <v>1</v>
      </c>
      <c r="G34" s="2" t="str">
        <f ca="1">OFFSET(梦灵养成!$D$9,MATCH(梦灵养成!C65,梦灵养成!$C$10:$C$28,1),0)</f>
        <v>我爱沙</v>
      </c>
      <c r="H34" s="2" t="str">
        <f ca="1">OFFSET(梦灵养成!$I$9,MATCH(梦灵养成!C65,梦灵养成!$C$10:$C$28,1),0)</f>
        <v>后羿</v>
      </c>
      <c r="I34" s="45" cm="1">
        <f ca="1" t="array" ref="I34">IFERROR(MATCH(((产出预期!$M51-OFFSET(梦灵养成!$Q$9,MATCH(产出预期!$M51,梦灵养成!$Q$10:$Q$15,1),0))*OFFSET(梦灵养成!L$9,1+MATCH(产出预期!$M51,梦灵养成!$Q$10:$Q$15,1),0)+梦灵养成!D370+SUMPRODUCT(--(梦灵养成!$Q$10:$Q$15&lt;=产出预期!$M51),梦灵养成!L$10:L$15,梦灵养成!$P$10:$P$15))/MAX(SUMPRODUCT(--(梦灵养成!$C$10:$C$31&lt;=产出预期!$M51),--(梦灵养成!$E$10:$E$31=I$2)),1)*10,梦灵养成!AT$339:AT$387,1),0)</f>
        <v>49</v>
      </c>
      <c r="J34" s="45" cm="1">
        <f ca="1" t="array" ref="J34">IFERROR(MATCH(((产出预期!$M51-OFFSET(梦灵养成!$Q$9,MATCH(产出预期!$M51,梦灵养成!$Q$10:$Q$15,1),0))*OFFSET(梦灵养成!M$9,1+MATCH(产出预期!$M51,梦灵养成!$Q$10:$Q$15,1),0)+梦灵养成!E370+SUMPRODUCT(--(梦灵养成!$Q$10:$Q$15&lt;=产出预期!$M51),梦灵养成!M$10:M$15,梦灵养成!$P$10:$P$15))/MAX(SUMPRODUCT(--(梦灵养成!$C$10:$C$31&lt;=产出预期!$M51),--(梦灵养成!$E$10:$E$31=J$2)),1)*10,梦灵养成!AU$339:AU$387,1),0)</f>
        <v>43</v>
      </c>
      <c r="K34" s="45" cm="1">
        <f ca="1" t="array" ref="K34">IFERROR(MATCH(((产出预期!$M51-OFFSET(梦灵养成!$Q$9,MATCH(产出预期!$M51,梦灵养成!$Q$10:$Q$15,1),0))*OFFSET(梦灵养成!N$9,1+MATCH(产出预期!$M51,梦灵养成!$Q$10:$Q$15,1),0)+梦灵养成!F370+SUMPRODUCT(--(梦灵养成!$Q$10:$Q$15&lt;=产出预期!$M51),梦灵养成!N$10:N$15,梦灵养成!$P$10:$P$15))/MAX(SUMPRODUCT(--(梦灵养成!$C$10:$C$31&lt;=产出预期!$M51),--(梦灵养成!$E$10:$E$31=K$2)),1)*10,梦灵养成!AV$339:AV$387,1),0)</f>
        <v>44</v>
      </c>
      <c r="L34" s="45" cm="1">
        <f ca="1" t="array" ref="L34">IFERROR(MATCH(((产出预期!$M51-OFFSET(梦灵养成!$Q$9,MATCH(产出预期!$M51,梦灵养成!$Q$10:$Q$15,1),0))*OFFSET(梦灵养成!O$9,1+MATCH(产出预期!$M51,梦灵养成!$Q$10:$Q$15,1),0)+梦灵养成!G370+SUMPRODUCT(--(梦灵养成!$Q$10:$Q$15&lt;=产出预期!$M51),梦灵养成!O$10:O$15,梦灵养成!$P$10:$P$15))/MAX(SUMPRODUCT(--(梦灵养成!$C$10:$C$31&lt;=产出预期!$M51),--(梦灵养成!$E$10:$E$31=L$2)),1)*10,梦灵养成!AW$339:AW$388,1),0)</f>
        <v>28</v>
      </c>
      <c r="M34" s="45">
        <f ca="1">OFFSET(符文养成!$C$14,MATCH(C34,符文养成!$B$15:$B$44,1),0)</f>
        <v>30</v>
      </c>
      <c r="N34" s="45">
        <f ca="1">MATCH((产出预期!Z51*价值表!$F$53+产出预期!AA51*价值表!$F$54+产出预期!AD51*价值表!$F$57)/16/M34,符文养成!$G$15:$G$21,1)</f>
        <v>4</v>
      </c>
      <c r="O34" s="45">
        <f>MATCH(产出预期!O51,秘宝养成!$C$3:$C$14,1)</f>
        <v>8</v>
      </c>
    </row>
    <row r="35" ht="16.5" spans="2:15">
      <c r="B35" s="2">
        <v>33</v>
      </c>
      <c r="C35" s="2">
        <f ca="1">MATCH((OFFSET(产出预期!$C$3,0,产出预期!$B$1)*10+OFFSET(产出预期!$C$4,0,产出预期!$B$1)*10+OFFSET(产出预期!$C$7,0,产出预期!$B$1)*20)*B35/10*60,玩家等级!$E$3:$E$302,1)</f>
        <v>47</v>
      </c>
      <c r="D35" s="2">
        <f>MATCH(产出预期!P52/6,装备养成!$G$4:$G$303,1)</f>
        <v>61</v>
      </c>
      <c r="E35" s="2">
        <f>COUNTIF(产出预期!$R52:$Y52,"&gt;"&amp;0)</f>
        <v>7</v>
      </c>
      <c r="F35" s="2">
        <f ca="1">MATCH(OFFSET(产出预期!$R$19,B35,E35-1),装备养成!$S$4:$S$9,1)</f>
        <v>1</v>
      </c>
      <c r="G35" s="2" t="str">
        <f ca="1">OFFSET(梦灵养成!$D$9,MATCH(梦灵养成!C66,梦灵养成!$C$10:$C$28,1),0)</f>
        <v>我爱沙</v>
      </c>
      <c r="H35" s="2" t="str">
        <f ca="1">OFFSET(梦灵养成!$I$9,MATCH(梦灵养成!C66,梦灵养成!$C$10:$C$28,1),0)</f>
        <v>后羿</v>
      </c>
      <c r="I35" s="45" cm="1">
        <f ca="1" t="array" ref="I35">IFERROR(MATCH(((产出预期!$M52-OFFSET(梦灵养成!$Q$9,MATCH(产出预期!$M52,梦灵养成!$Q$10:$Q$15,1),0))*OFFSET(梦灵养成!L$9,1+MATCH(产出预期!$M52,梦灵养成!$Q$10:$Q$15,1),0)+梦灵养成!D371+SUMPRODUCT(--(梦灵养成!$Q$10:$Q$15&lt;=产出预期!$M52),梦灵养成!L$10:L$15,梦灵养成!$P$10:$P$15))/MAX(SUMPRODUCT(--(梦灵养成!$C$10:$C$31&lt;=产出预期!$M52),--(梦灵养成!$E$10:$E$31=I$2)),1)*10,梦灵养成!AT$339:AT$387,1),0)</f>
        <v>49</v>
      </c>
      <c r="J35" s="45" cm="1">
        <f ca="1" t="array" ref="J35">IFERROR(MATCH(((产出预期!$M52-OFFSET(梦灵养成!$Q$9,MATCH(产出预期!$M52,梦灵养成!$Q$10:$Q$15,1),0))*OFFSET(梦灵养成!M$9,1+MATCH(产出预期!$M52,梦灵养成!$Q$10:$Q$15,1),0)+梦灵养成!E371+SUMPRODUCT(--(梦灵养成!$Q$10:$Q$15&lt;=产出预期!$M52),梦灵养成!M$10:M$15,梦灵养成!$P$10:$P$15))/MAX(SUMPRODUCT(--(梦灵养成!$C$10:$C$31&lt;=产出预期!$M52),--(梦灵养成!$E$10:$E$31=J$2)),1)*10,梦灵养成!AU$339:AU$387,1),0)</f>
        <v>43</v>
      </c>
      <c r="K35" s="45" cm="1">
        <f ca="1" t="array" ref="K35">IFERROR(MATCH(((产出预期!$M52-OFFSET(梦灵养成!$Q$9,MATCH(产出预期!$M52,梦灵养成!$Q$10:$Q$15,1),0))*OFFSET(梦灵养成!N$9,1+MATCH(产出预期!$M52,梦灵养成!$Q$10:$Q$15,1),0)+梦灵养成!F371+SUMPRODUCT(--(梦灵养成!$Q$10:$Q$15&lt;=产出预期!$M52),梦灵养成!N$10:N$15,梦灵养成!$P$10:$P$15))/MAX(SUMPRODUCT(--(梦灵养成!$C$10:$C$31&lt;=产出预期!$M52),--(梦灵养成!$E$10:$E$31=K$2)),1)*10,梦灵养成!AV$339:AV$387,1),0)</f>
        <v>44</v>
      </c>
      <c r="L35" s="45" cm="1">
        <f ca="1" t="array" ref="L35">IFERROR(MATCH(((产出预期!$M52-OFFSET(梦灵养成!$Q$9,MATCH(产出预期!$M52,梦灵养成!$Q$10:$Q$15,1),0))*OFFSET(梦灵养成!O$9,1+MATCH(产出预期!$M52,梦灵养成!$Q$10:$Q$15,1),0)+梦灵养成!G371+SUMPRODUCT(--(梦灵养成!$Q$10:$Q$15&lt;=产出预期!$M52),梦灵养成!O$10:O$15,梦灵养成!$P$10:$P$15))/MAX(SUMPRODUCT(--(梦灵养成!$C$10:$C$31&lt;=产出预期!$M52),--(梦灵养成!$E$10:$E$31=L$2)),1)*10,梦灵养成!AW$339:AW$388,1),0)</f>
        <v>28</v>
      </c>
      <c r="M35" s="45">
        <f ca="1">OFFSET(符文养成!$C$14,MATCH(C35,符文养成!$B$15:$B$44,1),0)</f>
        <v>30</v>
      </c>
      <c r="N35" s="45">
        <f ca="1">MATCH((产出预期!Z52*价值表!$F$53+产出预期!AA52*价值表!$F$54+产出预期!AD52*价值表!$F$57)/16/M35,符文养成!$G$15:$G$21,1)</f>
        <v>4</v>
      </c>
      <c r="O35" s="45">
        <f>MATCH(产出预期!O52,秘宝养成!$C$3:$C$14,1)</f>
        <v>8</v>
      </c>
    </row>
    <row r="36" ht="16.5" spans="2:15">
      <c r="B36" s="2">
        <v>34</v>
      </c>
      <c r="C36" s="2">
        <f ca="1">MATCH((OFFSET(产出预期!$C$3,0,产出预期!$B$1)*10+OFFSET(产出预期!$C$4,0,产出预期!$B$1)*10+OFFSET(产出预期!$C$7,0,产出预期!$B$1)*20)*B36/10*60,玩家等级!$E$3:$E$302,1)</f>
        <v>47</v>
      </c>
      <c r="D36" s="2">
        <f>MATCH(产出预期!P53/6,装备养成!$G$4:$G$303,1)</f>
        <v>62</v>
      </c>
      <c r="E36" s="2">
        <f>COUNTIF(产出预期!$R53:$Y53,"&gt;"&amp;0)</f>
        <v>7</v>
      </c>
      <c r="F36" s="2">
        <f ca="1">MATCH(OFFSET(产出预期!$R$19,B36,E36-1),装备养成!$S$4:$S$9,1)</f>
        <v>1</v>
      </c>
      <c r="G36" s="2" t="str">
        <f ca="1">OFFSET(梦灵养成!$D$9,MATCH(梦灵养成!C67,梦灵养成!$C$10:$C$28,1),0)</f>
        <v>我爱沙</v>
      </c>
      <c r="H36" s="2" t="str">
        <f ca="1">OFFSET(梦灵养成!$I$9,MATCH(梦灵养成!C67,梦灵养成!$C$10:$C$28,1),0)</f>
        <v>后羿</v>
      </c>
      <c r="I36" s="45" cm="1">
        <f ca="1" t="array" ref="I36">IFERROR(MATCH(((产出预期!$M53-OFFSET(梦灵养成!$Q$9,MATCH(产出预期!$M53,梦灵养成!$Q$10:$Q$15,1),0))*OFFSET(梦灵养成!L$9,1+MATCH(产出预期!$M53,梦灵养成!$Q$10:$Q$15,1),0)+梦灵养成!D372+SUMPRODUCT(--(梦灵养成!$Q$10:$Q$15&lt;=产出预期!$M53),梦灵养成!L$10:L$15,梦灵养成!$P$10:$P$15))/MAX(SUMPRODUCT(--(梦灵养成!$C$10:$C$31&lt;=产出预期!$M53),--(梦灵养成!$E$10:$E$31=I$2)),1)*10,梦灵养成!AT$339:AT$387,1),0)</f>
        <v>49</v>
      </c>
      <c r="J36" s="45" cm="1">
        <f ca="1" t="array" ref="J36">IFERROR(MATCH(((产出预期!$M53-OFFSET(梦灵养成!$Q$9,MATCH(产出预期!$M53,梦灵养成!$Q$10:$Q$15,1),0))*OFFSET(梦灵养成!M$9,1+MATCH(产出预期!$M53,梦灵养成!$Q$10:$Q$15,1),0)+梦灵养成!E372+SUMPRODUCT(--(梦灵养成!$Q$10:$Q$15&lt;=产出预期!$M53),梦灵养成!M$10:M$15,梦灵养成!$P$10:$P$15))/MAX(SUMPRODUCT(--(梦灵养成!$C$10:$C$31&lt;=产出预期!$M53),--(梦灵养成!$E$10:$E$31=J$2)),1)*10,梦灵养成!AU$339:AU$387,1),0)</f>
        <v>43</v>
      </c>
      <c r="K36" s="45" cm="1">
        <f ca="1" t="array" ref="K36">IFERROR(MATCH(((产出预期!$M53-OFFSET(梦灵养成!$Q$9,MATCH(产出预期!$M53,梦灵养成!$Q$10:$Q$15,1),0))*OFFSET(梦灵养成!N$9,1+MATCH(产出预期!$M53,梦灵养成!$Q$10:$Q$15,1),0)+梦灵养成!F372+SUMPRODUCT(--(梦灵养成!$Q$10:$Q$15&lt;=产出预期!$M53),梦灵养成!N$10:N$15,梦灵养成!$P$10:$P$15))/MAX(SUMPRODUCT(--(梦灵养成!$C$10:$C$31&lt;=产出预期!$M53),--(梦灵养成!$E$10:$E$31=K$2)),1)*10,梦灵养成!AV$339:AV$387,1),0)</f>
        <v>44</v>
      </c>
      <c r="L36" s="45" cm="1">
        <f ca="1" t="array" ref="L36">IFERROR(MATCH(((产出预期!$M53-OFFSET(梦灵养成!$Q$9,MATCH(产出预期!$M53,梦灵养成!$Q$10:$Q$15,1),0))*OFFSET(梦灵养成!O$9,1+MATCH(产出预期!$M53,梦灵养成!$Q$10:$Q$15,1),0)+梦灵养成!G372+SUMPRODUCT(--(梦灵养成!$Q$10:$Q$15&lt;=产出预期!$M53),梦灵养成!O$10:O$15,梦灵养成!$P$10:$P$15))/MAX(SUMPRODUCT(--(梦灵养成!$C$10:$C$31&lt;=产出预期!$M53),--(梦灵养成!$E$10:$E$31=L$2)),1)*10,梦灵养成!AW$339:AW$388,1),0)</f>
        <v>29</v>
      </c>
      <c r="M36" s="45">
        <f ca="1">OFFSET(符文养成!$C$14,MATCH(C36,符文养成!$B$15:$B$44,1),0)</f>
        <v>30</v>
      </c>
      <c r="N36" s="45">
        <f ca="1">MATCH((产出预期!Z53*价值表!$F$53+产出预期!AA53*价值表!$F$54+产出预期!AD53*价值表!$F$57)/16/M36,符文养成!$G$15:$G$21,1)</f>
        <v>4</v>
      </c>
      <c r="O36" s="45">
        <f>MATCH(产出预期!O53,秘宝养成!$C$3:$C$14,1)</f>
        <v>8</v>
      </c>
    </row>
    <row r="37" ht="16.5" spans="2:15">
      <c r="B37" s="2">
        <v>35</v>
      </c>
      <c r="C37" s="2">
        <f ca="1">MATCH((OFFSET(产出预期!$C$3,0,产出预期!$B$1)*10+OFFSET(产出预期!$C$4,0,产出预期!$B$1)*10+OFFSET(产出预期!$C$7,0,产出预期!$B$1)*20)*B37/10*60,玩家等级!$E$3:$E$302,1)</f>
        <v>47</v>
      </c>
      <c r="D37" s="2">
        <f>MATCH(产出预期!P54/6,装备养成!$G$4:$G$303,1)</f>
        <v>63</v>
      </c>
      <c r="E37" s="2">
        <f>COUNTIF(产出预期!$R54:$Y54,"&gt;"&amp;0)</f>
        <v>7</v>
      </c>
      <c r="F37" s="2">
        <f ca="1">MATCH(OFFSET(产出预期!$R$19,B37,E37-1),装备养成!$S$4:$S$9,1)</f>
        <v>1</v>
      </c>
      <c r="G37" s="2" t="str">
        <f ca="1">OFFSET(梦灵养成!$D$9,MATCH(梦灵养成!C68,梦灵养成!$C$10:$C$28,1),0)</f>
        <v>我爱沙</v>
      </c>
      <c r="H37" s="2" t="str">
        <f ca="1">OFFSET(梦灵养成!$I$9,MATCH(梦灵养成!C68,梦灵养成!$C$10:$C$28,1),0)</f>
        <v>后羿</v>
      </c>
      <c r="I37" s="45" cm="1">
        <f ca="1" t="array" ref="I37">IFERROR(MATCH(((产出预期!$M54-OFFSET(梦灵养成!$Q$9,MATCH(产出预期!$M54,梦灵养成!$Q$10:$Q$15,1),0))*OFFSET(梦灵养成!L$9,1+MATCH(产出预期!$M54,梦灵养成!$Q$10:$Q$15,1),0)+梦灵养成!D373+SUMPRODUCT(--(梦灵养成!$Q$10:$Q$15&lt;=产出预期!$M54),梦灵养成!L$10:L$15,梦灵养成!$P$10:$P$15))/MAX(SUMPRODUCT(--(梦灵养成!$C$10:$C$31&lt;=产出预期!$M54),--(梦灵养成!$E$10:$E$31=I$2)),1)*10,梦灵养成!AT$339:AT$387,1),0)</f>
        <v>49</v>
      </c>
      <c r="J37" s="45" cm="1">
        <f ca="1" t="array" ref="J37">IFERROR(MATCH(((产出预期!$M54-OFFSET(梦灵养成!$Q$9,MATCH(产出预期!$M54,梦灵养成!$Q$10:$Q$15,1),0))*OFFSET(梦灵养成!M$9,1+MATCH(产出预期!$M54,梦灵养成!$Q$10:$Q$15,1),0)+梦灵养成!E373+SUMPRODUCT(--(梦灵养成!$Q$10:$Q$15&lt;=产出预期!$M54),梦灵养成!M$10:M$15,梦灵养成!$P$10:$P$15))/MAX(SUMPRODUCT(--(梦灵养成!$C$10:$C$31&lt;=产出预期!$M54),--(梦灵养成!$E$10:$E$31=J$2)),1)*10,梦灵养成!AU$339:AU$387,1),0)</f>
        <v>43</v>
      </c>
      <c r="K37" s="45" cm="1">
        <f ca="1" t="array" ref="K37">IFERROR(MATCH(((产出预期!$M54-OFFSET(梦灵养成!$Q$9,MATCH(产出预期!$M54,梦灵养成!$Q$10:$Q$15,1),0))*OFFSET(梦灵养成!N$9,1+MATCH(产出预期!$M54,梦灵养成!$Q$10:$Q$15,1),0)+梦灵养成!F373+SUMPRODUCT(--(梦灵养成!$Q$10:$Q$15&lt;=产出预期!$M54),梦灵养成!N$10:N$15,梦灵养成!$P$10:$P$15))/MAX(SUMPRODUCT(--(梦灵养成!$C$10:$C$31&lt;=产出预期!$M54),--(梦灵养成!$E$10:$E$31=K$2)),1)*10,梦灵养成!AV$339:AV$387,1),0)</f>
        <v>45</v>
      </c>
      <c r="L37" s="45" cm="1">
        <f ca="1" t="array" ref="L37">IFERROR(MATCH(((产出预期!$M54-OFFSET(梦灵养成!$Q$9,MATCH(产出预期!$M54,梦灵养成!$Q$10:$Q$15,1),0))*OFFSET(梦灵养成!O$9,1+MATCH(产出预期!$M54,梦灵养成!$Q$10:$Q$15,1),0)+梦灵养成!G373+SUMPRODUCT(--(梦灵养成!$Q$10:$Q$15&lt;=产出预期!$M54),梦灵养成!O$10:O$15,梦灵养成!$P$10:$P$15))/MAX(SUMPRODUCT(--(梦灵养成!$C$10:$C$31&lt;=产出预期!$M54),--(梦灵养成!$E$10:$E$31=L$2)),1)*10,梦灵养成!AW$339:AW$388,1),0)</f>
        <v>29</v>
      </c>
      <c r="M37" s="45">
        <f ca="1">OFFSET(符文养成!$C$14,MATCH(C37,符文养成!$B$15:$B$44,1),0)</f>
        <v>30</v>
      </c>
      <c r="N37" s="45">
        <f ca="1">MATCH((产出预期!Z54*价值表!$F$53+产出预期!AA54*价值表!$F$54+产出预期!AD54*价值表!$F$57)/16/M37,符文养成!$G$15:$G$21,1)</f>
        <v>4</v>
      </c>
      <c r="O37" s="45">
        <f>MATCH(产出预期!O54,秘宝养成!$C$3:$C$14,1)</f>
        <v>8</v>
      </c>
    </row>
    <row r="38" ht="16.5" spans="2:15">
      <c r="B38" s="2">
        <v>36</v>
      </c>
      <c r="C38" s="2">
        <f ca="1">MATCH((OFFSET(产出预期!$C$3,0,产出预期!$B$1)*10+OFFSET(产出预期!$C$4,0,产出预期!$B$1)*10+OFFSET(产出预期!$C$7,0,产出预期!$B$1)*20)*B38/10*60,玩家等级!$E$3:$E$302,1)</f>
        <v>48</v>
      </c>
      <c r="D38" s="2">
        <f>MATCH(产出预期!P55/6,装备养成!$G$4:$G$303,1)</f>
        <v>64</v>
      </c>
      <c r="E38" s="2">
        <f>COUNTIF(产出预期!$R55:$Y55,"&gt;"&amp;0)</f>
        <v>7</v>
      </c>
      <c r="F38" s="2">
        <f ca="1">MATCH(OFFSET(产出预期!$R$19,B38,E38-1),装备养成!$S$4:$S$9,1)</f>
        <v>2</v>
      </c>
      <c r="G38" s="2" t="str">
        <f ca="1">OFFSET(梦灵养成!$D$9,MATCH(梦灵养成!C69,梦灵养成!$C$10:$C$28,1),0)</f>
        <v>我爱沙</v>
      </c>
      <c r="H38" s="2" t="str">
        <f ca="1">OFFSET(梦灵养成!$I$9,MATCH(梦灵养成!C69,梦灵养成!$C$10:$C$28,1),0)</f>
        <v>后羿</v>
      </c>
      <c r="I38" s="45" cm="1">
        <f ca="1" t="array" ref="I38">IFERROR(MATCH(((产出预期!$M55-OFFSET(梦灵养成!$Q$9,MATCH(产出预期!$M55,梦灵养成!$Q$10:$Q$15,1),0))*OFFSET(梦灵养成!L$9,1+MATCH(产出预期!$M55,梦灵养成!$Q$10:$Q$15,1),0)+梦灵养成!D374+SUMPRODUCT(--(梦灵养成!$Q$10:$Q$15&lt;=产出预期!$M55),梦灵养成!L$10:L$15,梦灵养成!$P$10:$P$15))/MAX(SUMPRODUCT(--(梦灵养成!$C$10:$C$31&lt;=产出预期!$M55),--(梦灵养成!$E$10:$E$31=I$2)),1)*10,梦灵养成!AT$339:AT$387,1),0)</f>
        <v>49</v>
      </c>
      <c r="J38" s="45" cm="1">
        <f ca="1" t="array" ref="J38">IFERROR(MATCH(((产出预期!$M55-OFFSET(梦灵养成!$Q$9,MATCH(产出预期!$M55,梦灵养成!$Q$10:$Q$15,1),0))*OFFSET(梦灵养成!M$9,1+MATCH(产出预期!$M55,梦灵养成!$Q$10:$Q$15,1),0)+梦灵养成!E374+SUMPRODUCT(--(梦灵养成!$Q$10:$Q$15&lt;=产出预期!$M55),梦灵养成!M$10:M$15,梦灵养成!$P$10:$P$15))/MAX(SUMPRODUCT(--(梦灵养成!$C$10:$C$31&lt;=产出预期!$M55),--(梦灵养成!$E$10:$E$31=J$2)),1)*10,梦灵养成!AU$339:AU$387,1),0)</f>
        <v>44</v>
      </c>
      <c r="K38" s="45" cm="1">
        <f ca="1" t="array" ref="K38">IFERROR(MATCH(((产出预期!$M55-OFFSET(梦灵养成!$Q$9,MATCH(产出预期!$M55,梦灵养成!$Q$10:$Q$15,1),0))*OFFSET(梦灵养成!N$9,1+MATCH(产出预期!$M55,梦灵养成!$Q$10:$Q$15,1),0)+梦灵养成!F374+SUMPRODUCT(--(梦灵养成!$Q$10:$Q$15&lt;=产出预期!$M55),梦灵养成!N$10:N$15,梦灵养成!$P$10:$P$15))/MAX(SUMPRODUCT(--(梦灵养成!$C$10:$C$31&lt;=产出预期!$M55),--(梦灵养成!$E$10:$E$31=K$2)),1)*10,梦灵养成!AV$339:AV$387,1),0)</f>
        <v>45</v>
      </c>
      <c r="L38" s="45" cm="1">
        <f ca="1" t="array" ref="L38">IFERROR(MATCH(((产出预期!$M55-OFFSET(梦灵养成!$Q$9,MATCH(产出预期!$M55,梦灵养成!$Q$10:$Q$15,1),0))*OFFSET(梦灵养成!O$9,1+MATCH(产出预期!$M55,梦灵养成!$Q$10:$Q$15,1),0)+梦灵养成!G374+SUMPRODUCT(--(梦灵养成!$Q$10:$Q$15&lt;=产出预期!$M55),梦灵养成!O$10:O$15,梦灵养成!$P$10:$P$15))/MAX(SUMPRODUCT(--(梦灵养成!$C$10:$C$31&lt;=产出预期!$M55),--(梦灵养成!$E$10:$E$31=L$2)),1)*10,梦灵养成!AW$339:AW$388,1),0)</f>
        <v>30</v>
      </c>
      <c r="M38" s="45">
        <f ca="1">OFFSET(符文养成!$C$14,MATCH(C38,符文养成!$B$15:$B$44,1),0)</f>
        <v>30</v>
      </c>
      <c r="N38" s="45">
        <f ca="1">MATCH((产出预期!Z55*价值表!$F$53+产出预期!AA55*价值表!$F$54+产出预期!AD55*价值表!$F$57)/16/M38,符文养成!$G$15:$G$21,1)</f>
        <v>4</v>
      </c>
      <c r="O38" s="45">
        <f>MATCH(产出预期!O55,秘宝养成!$C$3:$C$14,1)</f>
        <v>8</v>
      </c>
    </row>
    <row r="39" ht="16.5" spans="2:15">
      <c r="B39" s="2">
        <v>37</v>
      </c>
      <c r="C39" s="2">
        <f ca="1">MATCH((OFFSET(产出预期!$C$3,0,产出预期!$B$1)*10+OFFSET(产出预期!$C$4,0,产出预期!$B$1)*10+OFFSET(产出预期!$C$7,0,产出预期!$B$1)*20)*B39/10*60,玩家等级!$E$3:$E$302,1)</f>
        <v>48</v>
      </c>
      <c r="D39" s="2">
        <f>MATCH(产出预期!P56/6,装备养成!$G$4:$G$303,1)</f>
        <v>65</v>
      </c>
      <c r="E39" s="2">
        <f>COUNTIF(产出预期!$R56:$Y56,"&gt;"&amp;0)</f>
        <v>7</v>
      </c>
      <c r="F39" s="2">
        <f ca="1">MATCH(OFFSET(产出预期!$R$19,B39,E39-1),装备养成!$S$4:$S$9,1)</f>
        <v>2</v>
      </c>
      <c r="G39" s="2" t="str">
        <f ca="1">OFFSET(梦灵养成!$D$9,MATCH(梦灵养成!C70,梦灵养成!$C$10:$C$28,1),0)</f>
        <v>我爱沙</v>
      </c>
      <c r="H39" s="2" t="str">
        <f ca="1">OFFSET(梦灵养成!$I$9,MATCH(梦灵养成!C70,梦灵养成!$C$10:$C$28,1),0)</f>
        <v>后羿</v>
      </c>
      <c r="I39" s="45" cm="1">
        <f ca="1" t="array" ref="I39">IFERROR(MATCH(((产出预期!$M56-OFFSET(梦灵养成!$Q$9,MATCH(产出预期!$M56,梦灵养成!$Q$10:$Q$15,1),0))*OFFSET(梦灵养成!L$9,1+MATCH(产出预期!$M56,梦灵养成!$Q$10:$Q$15,1),0)+梦灵养成!D375+SUMPRODUCT(--(梦灵养成!$Q$10:$Q$15&lt;=产出预期!$M56),梦灵养成!L$10:L$15,梦灵养成!$P$10:$P$15))/MAX(SUMPRODUCT(--(梦灵养成!$C$10:$C$31&lt;=产出预期!$M56),--(梦灵养成!$E$10:$E$31=I$2)),1)*10,梦灵养成!AT$339:AT$387,1),0)</f>
        <v>49</v>
      </c>
      <c r="J39" s="45" cm="1">
        <f ca="1" t="array" ref="J39">IFERROR(MATCH(((产出预期!$M56-OFFSET(梦灵养成!$Q$9,MATCH(产出预期!$M56,梦灵养成!$Q$10:$Q$15,1),0))*OFFSET(梦灵养成!M$9,1+MATCH(产出预期!$M56,梦灵养成!$Q$10:$Q$15,1),0)+梦灵养成!E375+SUMPRODUCT(--(梦灵养成!$Q$10:$Q$15&lt;=产出预期!$M56),梦灵养成!M$10:M$15,梦灵养成!$P$10:$P$15))/MAX(SUMPRODUCT(--(梦灵养成!$C$10:$C$31&lt;=产出预期!$M56),--(梦灵养成!$E$10:$E$31=J$2)),1)*10,梦灵养成!AU$339:AU$387,1),0)</f>
        <v>44</v>
      </c>
      <c r="K39" s="45" cm="1">
        <f ca="1" t="array" ref="K39">IFERROR(MATCH(((产出预期!$M56-OFFSET(梦灵养成!$Q$9,MATCH(产出预期!$M56,梦灵养成!$Q$10:$Q$15,1),0))*OFFSET(梦灵养成!N$9,1+MATCH(产出预期!$M56,梦灵养成!$Q$10:$Q$15,1),0)+梦灵养成!F375+SUMPRODUCT(--(梦灵养成!$Q$10:$Q$15&lt;=产出预期!$M56),梦灵养成!N$10:N$15,梦灵养成!$P$10:$P$15))/MAX(SUMPRODUCT(--(梦灵养成!$C$10:$C$31&lt;=产出预期!$M56),--(梦灵养成!$E$10:$E$31=K$2)),1)*10,梦灵养成!AV$339:AV$387,1),0)</f>
        <v>45</v>
      </c>
      <c r="L39" s="45" cm="1">
        <f ca="1" t="array" ref="L39">IFERROR(MATCH(((产出预期!$M56-OFFSET(梦灵养成!$Q$9,MATCH(产出预期!$M56,梦灵养成!$Q$10:$Q$15,1),0))*OFFSET(梦灵养成!O$9,1+MATCH(产出预期!$M56,梦灵养成!$Q$10:$Q$15,1),0)+梦灵养成!G375+SUMPRODUCT(--(梦灵养成!$Q$10:$Q$15&lt;=产出预期!$M56),梦灵养成!O$10:O$15,梦灵养成!$P$10:$P$15))/MAX(SUMPRODUCT(--(梦灵养成!$C$10:$C$31&lt;=产出预期!$M56),--(梦灵养成!$E$10:$E$31=L$2)),1)*10,梦灵养成!AW$339:AW$388,1),0)</f>
        <v>30</v>
      </c>
      <c r="M39" s="45">
        <f ca="1">OFFSET(符文养成!$C$14,MATCH(C39,符文养成!$B$15:$B$44,1),0)</f>
        <v>30</v>
      </c>
      <c r="N39" s="45">
        <f ca="1">MATCH((产出预期!Z56*价值表!$F$53+产出预期!AA56*价值表!$F$54+产出预期!AD56*价值表!$F$57)/16/M39,符文养成!$G$15:$G$21,1)</f>
        <v>4</v>
      </c>
      <c r="O39" s="45">
        <f>MATCH(产出预期!O56,秘宝养成!$C$3:$C$14,1)</f>
        <v>8</v>
      </c>
    </row>
    <row r="40" ht="16.5" spans="2:15">
      <c r="B40" s="2">
        <v>38</v>
      </c>
      <c r="C40" s="2">
        <f ca="1">MATCH((OFFSET(产出预期!$C$3,0,产出预期!$B$1)*10+OFFSET(产出预期!$C$4,0,产出预期!$B$1)*10+OFFSET(产出预期!$C$7,0,产出预期!$B$1)*20)*B40/10*60,玩家等级!$E$3:$E$302,1)</f>
        <v>49</v>
      </c>
      <c r="D40" s="2">
        <f>MATCH(产出预期!P57/6,装备养成!$G$4:$G$303,1)</f>
        <v>66</v>
      </c>
      <c r="E40" s="2">
        <f>COUNTIF(产出预期!$R57:$Y57,"&gt;"&amp;0)</f>
        <v>7</v>
      </c>
      <c r="F40" s="2">
        <f ca="1">MATCH(OFFSET(产出预期!$R$19,B40,E40-1),装备养成!$S$4:$S$9,1)</f>
        <v>2</v>
      </c>
      <c r="G40" s="2" t="str">
        <f ca="1">OFFSET(梦灵养成!$D$9,MATCH(梦灵养成!C71,梦灵养成!$C$10:$C$28,1),0)</f>
        <v>我爱沙</v>
      </c>
      <c r="H40" s="2" t="str">
        <f ca="1">OFFSET(梦灵养成!$I$9,MATCH(梦灵养成!C71,梦灵养成!$C$10:$C$28,1),0)</f>
        <v>后羿</v>
      </c>
      <c r="I40" s="45" cm="1">
        <f ca="1" t="array" ref="I40">IFERROR(MATCH(((产出预期!$M57-OFFSET(梦灵养成!$Q$9,MATCH(产出预期!$M57,梦灵养成!$Q$10:$Q$15,1),0))*OFFSET(梦灵养成!L$9,1+MATCH(产出预期!$M57,梦灵养成!$Q$10:$Q$15,1),0)+梦灵养成!D376+SUMPRODUCT(--(梦灵养成!$Q$10:$Q$15&lt;=产出预期!$M57),梦灵养成!L$10:L$15,梦灵养成!$P$10:$P$15))/MAX(SUMPRODUCT(--(梦灵养成!$C$10:$C$31&lt;=产出预期!$M57),--(梦灵养成!$E$10:$E$31=I$2)),1)*10,梦灵养成!AT$339:AT$387,1),0)</f>
        <v>49</v>
      </c>
      <c r="J40" s="45" cm="1">
        <f ca="1" t="array" ref="J40">IFERROR(MATCH(((产出预期!$M57-OFFSET(梦灵养成!$Q$9,MATCH(产出预期!$M57,梦灵养成!$Q$10:$Q$15,1),0))*OFFSET(梦灵养成!M$9,1+MATCH(产出预期!$M57,梦灵养成!$Q$10:$Q$15,1),0)+梦灵养成!E376+SUMPRODUCT(--(梦灵养成!$Q$10:$Q$15&lt;=产出预期!$M57),梦灵养成!M$10:M$15,梦灵养成!$P$10:$P$15))/MAX(SUMPRODUCT(--(梦灵养成!$C$10:$C$31&lt;=产出预期!$M57),--(梦灵养成!$E$10:$E$31=J$2)),1)*10,梦灵养成!AU$339:AU$387,1),0)</f>
        <v>44</v>
      </c>
      <c r="K40" s="45" cm="1">
        <f ca="1" t="array" ref="K40">IFERROR(MATCH(((产出预期!$M57-OFFSET(梦灵养成!$Q$9,MATCH(产出预期!$M57,梦灵养成!$Q$10:$Q$15,1),0))*OFFSET(梦灵养成!N$9,1+MATCH(产出预期!$M57,梦灵养成!$Q$10:$Q$15,1),0)+梦灵养成!F376+SUMPRODUCT(--(梦灵养成!$Q$10:$Q$15&lt;=产出预期!$M57),梦灵养成!N$10:N$15,梦灵养成!$P$10:$P$15))/MAX(SUMPRODUCT(--(梦灵养成!$C$10:$C$31&lt;=产出预期!$M57),--(梦灵养成!$E$10:$E$31=K$2)),1)*10,梦灵养成!AV$339:AV$387,1),0)</f>
        <v>45</v>
      </c>
      <c r="L40" s="45" cm="1">
        <f ca="1" t="array" ref="L40">IFERROR(MATCH(((产出预期!$M57-OFFSET(梦灵养成!$Q$9,MATCH(产出预期!$M57,梦灵养成!$Q$10:$Q$15,1),0))*OFFSET(梦灵养成!O$9,1+MATCH(产出预期!$M57,梦灵养成!$Q$10:$Q$15,1),0)+梦灵养成!G376+SUMPRODUCT(--(梦灵养成!$Q$10:$Q$15&lt;=产出预期!$M57),梦灵养成!O$10:O$15,梦灵养成!$P$10:$P$15))/MAX(SUMPRODUCT(--(梦灵养成!$C$10:$C$31&lt;=产出预期!$M57),--(梦灵养成!$E$10:$E$31=L$2)),1)*10,梦灵养成!AW$339:AW$388,1),0)</f>
        <v>30</v>
      </c>
      <c r="M40" s="45">
        <f ca="1">OFFSET(符文养成!$C$14,MATCH(C40,符文养成!$B$15:$B$44,1),0)</f>
        <v>30</v>
      </c>
      <c r="N40" s="45">
        <f ca="1">MATCH((产出预期!Z57*价值表!$F$53+产出预期!AA57*价值表!$F$54+产出预期!AD57*价值表!$F$57)/16/M40,符文养成!$G$15:$G$21,1)</f>
        <v>4</v>
      </c>
      <c r="O40" s="45">
        <f>MATCH(产出预期!O57,秘宝养成!$C$3:$C$14,1)</f>
        <v>8</v>
      </c>
    </row>
    <row r="41" ht="16.5" spans="2:15">
      <c r="B41" s="2">
        <v>39</v>
      </c>
      <c r="C41" s="2">
        <f ca="1">MATCH((OFFSET(产出预期!$C$3,0,产出预期!$B$1)*10+OFFSET(产出预期!$C$4,0,产出预期!$B$1)*10+OFFSET(产出预期!$C$7,0,产出预期!$B$1)*20)*B41/10*60,玩家等级!$E$3:$E$302,1)</f>
        <v>49</v>
      </c>
      <c r="D41" s="2">
        <f>MATCH(产出预期!P58/6,装备养成!$G$4:$G$303,1)</f>
        <v>66</v>
      </c>
      <c r="E41" s="2">
        <f>COUNTIF(产出预期!$R58:$Y58,"&gt;"&amp;0)</f>
        <v>7</v>
      </c>
      <c r="F41" s="2">
        <f ca="1">MATCH(OFFSET(产出预期!$R$19,B41,E41-1),装备养成!$S$4:$S$9,1)</f>
        <v>3</v>
      </c>
      <c r="G41" s="2" t="str">
        <f ca="1">OFFSET(梦灵养成!$D$9,MATCH(梦灵养成!C72,梦灵养成!$C$10:$C$28,1),0)</f>
        <v>我爱沙</v>
      </c>
      <c r="H41" s="2" t="str">
        <f ca="1">OFFSET(梦灵养成!$I$9,MATCH(梦灵养成!C72,梦灵养成!$C$10:$C$28,1),0)</f>
        <v>后羿</v>
      </c>
      <c r="I41" s="45" cm="1">
        <f ca="1" t="array" ref="I41">IFERROR(MATCH(((产出预期!$M58-OFFSET(梦灵养成!$Q$9,MATCH(产出预期!$M58,梦灵养成!$Q$10:$Q$15,1),0))*OFFSET(梦灵养成!L$9,1+MATCH(产出预期!$M58,梦灵养成!$Q$10:$Q$15,1),0)+梦灵养成!D377+SUMPRODUCT(--(梦灵养成!$Q$10:$Q$15&lt;=产出预期!$M58),梦灵养成!L$10:L$15,梦灵养成!$P$10:$P$15))/MAX(SUMPRODUCT(--(梦灵养成!$C$10:$C$31&lt;=产出预期!$M58),--(梦灵养成!$E$10:$E$31=I$2)),1)*10,梦灵养成!AT$339:AT$387,1),0)</f>
        <v>49</v>
      </c>
      <c r="J41" s="45" cm="1">
        <f ca="1" t="array" ref="J41">IFERROR(MATCH(((产出预期!$M58-OFFSET(梦灵养成!$Q$9,MATCH(产出预期!$M58,梦灵养成!$Q$10:$Q$15,1),0))*OFFSET(梦灵养成!M$9,1+MATCH(产出预期!$M58,梦灵养成!$Q$10:$Q$15,1),0)+梦灵养成!E377+SUMPRODUCT(--(梦灵养成!$Q$10:$Q$15&lt;=产出预期!$M58),梦灵养成!M$10:M$15,梦灵养成!$P$10:$P$15))/MAX(SUMPRODUCT(--(梦灵养成!$C$10:$C$31&lt;=产出预期!$M58),--(梦灵养成!$E$10:$E$31=J$2)),1)*10,梦灵养成!AU$339:AU$387,1),0)</f>
        <v>44</v>
      </c>
      <c r="K41" s="45" cm="1">
        <f ca="1" t="array" ref="K41">IFERROR(MATCH(((产出预期!$M58-OFFSET(梦灵养成!$Q$9,MATCH(产出预期!$M58,梦灵养成!$Q$10:$Q$15,1),0))*OFFSET(梦灵养成!N$9,1+MATCH(产出预期!$M58,梦灵养成!$Q$10:$Q$15,1),0)+梦灵养成!F377+SUMPRODUCT(--(梦灵养成!$Q$10:$Q$15&lt;=产出预期!$M58),梦灵养成!N$10:N$15,梦灵养成!$P$10:$P$15))/MAX(SUMPRODUCT(--(梦灵养成!$C$10:$C$31&lt;=产出预期!$M58),--(梦灵养成!$E$10:$E$31=K$2)),1)*10,梦灵养成!AV$339:AV$387,1),0)</f>
        <v>46</v>
      </c>
      <c r="L41" s="45" cm="1">
        <f ca="1" t="array" ref="L41">IFERROR(MATCH(((产出预期!$M58-OFFSET(梦灵养成!$Q$9,MATCH(产出预期!$M58,梦灵养成!$Q$10:$Q$15,1),0))*OFFSET(梦灵养成!O$9,1+MATCH(产出预期!$M58,梦灵养成!$Q$10:$Q$15,1),0)+梦灵养成!G377+SUMPRODUCT(--(梦灵养成!$Q$10:$Q$15&lt;=产出预期!$M58),梦灵养成!O$10:O$15,梦灵养成!$P$10:$P$15))/MAX(SUMPRODUCT(--(梦灵养成!$C$10:$C$31&lt;=产出预期!$M58),--(梦灵养成!$E$10:$E$31=L$2)),1)*10,梦灵养成!AW$339:AW$388,1),0)</f>
        <v>31</v>
      </c>
      <c r="M41" s="45">
        <f ca="1">OFFSET(符文养成!$C$14,MATCH(C41,符文养成!$B$15:$B$44,1),0)</f>
        <v>30</v>
      </c>
      <c r="N41" s="45">
        <f ca="1">MATCH((产出预期!Z58*价值表!$F$53+产出预期!AA58*价值表!$F$54+产出预期!AD58*价值表!$F$57)/16/M41,符文养成!$G$15:$G$21,1)</f>
        <v>4</v>
      </c>
      <c r="O41" s="45">
        <f>MATCH(产出预期!O58,秘宝养成!$C$3:$C$14,1)</f>
        <v>8</v>
      </c>
    </row>
    <row r="42" ht="16.5" spans="2:15">
      <c r="B42" s="2">
        <v>40</v>
      </c>
      <c r="C42" s="2">
        <f ca="1">MATCH((OFFSET(产出预期!$C$3,0,产出预期!$B$1)*10+OFFSET(产出预期!$C$4,0,产出预期!$B$1)*10+OFFSET(产出预期!$C$7,0,产出预期!$B$1)*20)*B42/10*60,玩家等级!$E$3:$E$302,1)</f>
        <v>50</v>
      </c>
      <c r="D42" s="2">
        <f>MATCH(产出预期!P59/6,装备养成!$G$4:$G$303,1)</f>
        <v>67</v>
      </c>
      <c r="E42" s="2">
        <f>COUNTIF(产出预期!$R59:$Y59,"&gt;"&amp;0)</f>
        <v>7</v>
      </c>
      <c r="F42" s="2">
        <f ca="1">MATCH(OFFSET(产出预期!$R$19,B42,E42-1),装备养成!$S$4:$S$9,1)</f>
        <v>3</v>
      </c>
      <c r="G42" s="2" t="str">
        <f ca="1">OFFSET(梦灵养成!$D$9,MATCH(梦灵养成!C73,梦灵养成!$C$10:$C$28,1),0)</f>
        <v>我爱沙</v>
      </c>
      <c r="H42" s="2" t="str">
        <f ca="1">OFFSET(梦灵养成!$I$9,MATCH(梦灵养成!C73,梦灵养成!$C$10:$C$28,1),0)</f>
        <v>后羿</v>
      </c>
      <c r="I42" s="45" cm="1">
        <f ca="1" t="array" ref="I42">IFERROR(MATCH(((产出预期!$M59-OFFSET(梦灵养成!$Q$9,MATCH(产出预期!$M59,梦灵养成!$Q$10:$Q$15,1),0))*OFFSET(梦灵养成!L$9,1+MATCH(产出预期!$M59,梦灵养成!$Q$10:$Q$15,1),0)+梦灵养成!D378+SUMPRODUCT(--(梦灵养成!$Q$10:$Q$15&lt;=产出预期!$M59),梦灵养成!L$10:L$15,梦灵养成!$P$10:$P$15))/MAX(SUMPRODUCT(--(梦灵养成!$C$10:$C$31&lt;=产出预期!$M59),--(梦灵养成!$E$10:$E$31=I$2)),1)*10,梦灵养成!AT$339:AT$387,1),0)</f>
        <v>49</v>
      </c>
      <c r="J42" s="45" cm="1">
        <f ca="1" t="array" ref="J42">IFERROR(MATCH(((产出预期!$M59-OFFSET(梦灵养成!$Q$9,MATCH(产出预期!$M59,梦灵养成!$Q$10:$Q$15,1),0))*OFFSET(梦灵养成!M$9,1+MATCH(产出预期!$M59,梦灵养成!$Q$10:$Q$15,1),0)+梦灵养成!E378+SUMPRODUCT(--(梦灵养成!$Q$10:$Q$15&lt;=产出预期!$M59),梦灵养成!M$10:M$15,梦灵养成!$P$10:$P$15))/MAX(SUMPRODUCT(--(梦灵养成!$C$10:$C$31&lt;=产出预期!$M59),--(梦灵养成!$E$10:$E$31=J$2)),1)*10,梦灵养成!AU$339:AU$387,1),0)</f>
        <v>45</v>
      </c>
      <c r="K42" s="45" cm="1">
        <f ca="1" t="array" ref="K42">IFERROR(MATCH(((产出预期!$M59-OFFSET(梦灵养成!$Q$9,MATCH(产出预期!$M59,梦灵养成!$Q$10:$Q$15,1),0))*OFFSET(梦灵养成!N$9,1+MATCH(产出预期!$M59,梦灵养成!$Q$10:$Q$15,1),0)+梦灵养成!F378+SUMPRODUCT(--(梦灵养成!$Q$10:$Q$15&lt;=产出预期!$M59),梦灵养成!N$10:N$15,梦灵养成!$P$10:$P$15))/MAX(SUMPRODUCT(--(梦灵养成!$C$10:$C$31&lt;=产出预期!$M59),--(梦灵养成!$E$10:$E$31=K$2)),1)*10,梦灵养成!AV$339:AV$387,1),0)</f>
        <v>46</v>
      </c>
      <c r="L42" s="45" cm="1">
        <f ca="1" t="array" ref="L42">IFERROR(MATCH(((产出预期!$M59-OFFSET(梦灵养成!$Q$9,MATCH(产出预期!$M59,梦灵养成!$Q$10:$Q$15,1),0))*OFFSET(梦灵养成!O$9,1+MATCH(产出预期!$M59,梦灵养成!$Q$10:$Q$15,1),0)+梦灵养成!G378+SUMPRODUCT(--(梦灵养成!$Q$10:$Q$15&lt;=产出预期!$M59),梦灵养成!O$10:O$15,梦灵养成!$P$10:$P$15))/MAX(SUMPRODUCT(--(梦灵养成!$C$10:$C$31&lt;=产出预期!$M59),--(梦灵养成!$E$10:$E$31=L$2)),1)*10,梦灵养成!AW$339:AW$388,1),0)</f>
        <v>31</v>
      </c>
      <c r="M42" s="45">
        <f ca="1">OFFSET(符文养成!$C$14,MATCH(C42,符文养成!$B$15:$B$44,1),0)</f>
        <v>30</v>
      </c>
      <c r="N42" s="45">
        <f ca="1">MATCH((产出预期!Z59*价值表!$F$53+产出预期!AA59*价值表!$F$54+产出预期!AD59*价值表!$F$57)/16/M42,符文养成!$G$15:$G$21,1)</f>
        <v>4</v>
      </c>
      <c r="O42" s="45">
        <f>MATCH(产出预期!O59,秘宝养成!$C$3:$C$14,1)</f>
        <v>8</v>
      </c>
    </row>
    <row r="43" ht="16.5" spans="2:15">
      <c r="B43" s="2">
        <v>41</v>
      </c>
      <c r="C43" s="2">
        <f ca="1">MATCH((OFFSET(产出预期!$C$3,0,产出预期!$B$1)*10+OFFSET(产出预期!$C$4,0,产出预期!$B$1)*10+OFFSET(产出预期!$C$7,0,产出预期!$B$1)*20)*B43/10*60,玩家等级!$E$3:$E$302,1)</f>
        <v>50</v>
      </c>
      <c r="D43" s="2">
        <f>MATCH(产出预期!P60/6,装备养成!$G$4:$G$303,1)</f>
        <v>68</v>
      </c>
      <c r="E43" s="2">
        <f>COUNTIF(产出预期!$R60:$Y60,"&gt;"&amp;0)</f>
        <v>7</v>
      </c>
      <c r="F43" s="2">
        <f ca="1">MATCH(OFFSET(产出预期!$R$19,B43,E43-1),装备养成!$S$4:$S$9,1)</f>
        <v>3</v>
      </c>
      <c r="G43" s="2" t="str">
        <f ca="1">OFFSET(梦灵养成!$D$9,MATCH(梦灵养成!C74,梦灵养成!$C$10:$C$28,1),0)</f>
        <v>我爱沙</v>
      </c>
      <c r="H43" s="2" t="str">
        <f ca="1">OFFSET(梦灵养成!$I$9,MATCH(梦灵养成!C74,梦灵养成!$C$10:$C$28,1),0)</f>
        <v>后羿</v>
      </c>
      <c r="I43" s="45" cm="1">
        <f ca="1" t="array" ref="I43">IFERROR(MATCH(((产出预期!$M60-OFFSET(梦灵养成!$Q$9,MATCH(产出预期!$M60,梦灵养成!$Q$10:$Q$15,1),0))*OFFSET(梦灵养成!L$9,1+MATCH(产出预期!$M60,梦灵养成!$Q$10:$Q$15,1),0)+梦灵养成!D379+SUMPRODUCT(--(梦灵养成!$Q$10:$Q$15&lt;=产出预期!$M60),梦灵养成!L$10:L$15,梦灵养成!$P$10:$P$15))/MAX(SUMPRODUCT(--(梦灵养成!$C$10:$C$31&lt;=产出预期!$M60),--(梦灵养成!$E$10:$E$31=I$2)),1)*10,梦灵养成!AT$339:AT$387,1),0)</f>
        <v>49</v>
      </c>
      <c r="J43" s="45" cm="1">
        <f ca="1" t="array" ref="J43">IFERROR(MATCH(((产出预期!$M60-OFFSET(梦灵养成!$Q$9,MATCH(产出预期!$M60,梦灵养成!$Q$10:$Q$15,1),0))*OFFSET(梦灵养成!M$9,1+MATCH(产出预期!$M60,梦灵养成!$Q$10:$Q$15,1),0)+梦灵养成!E379+SUMPRODUCT(--(梦灵养成!$Q$10:$Q$15&lt;=产出预期!$M60),梦灵养成!M$10:M$15,梦灵养成!$P$10:$P$15))/MAX(SUMPRODUCT(--(梦灵养成!$C$10:$C$31&lt;=产出预期!$M60),--(梦灵养成!$E$10:$E$31=J$2)),1)*10,梦灵养成!AU$339:AU$387,1),0)</f>
        <v>45</v>
      </c>
      <c r="K43" s="45" cm="1">
        <f ca="1" t="array" ref="K43">IFERROR(MATCH(((产出预期!$M60-OFFSET(梦灵养成!$Q$9,MATCH(产出预期!$M60,梦灵养成!$Q$10:$Q$15,1),0))*OFFSET(梦灵养成!N$9,1+MATCH(产出预期!$M60,梦灵养成!$Q$10:$Q$15,1),0)+梦灵养成!F379+SUMPRODUCT(--(梦灵养成!$Q$10:$Q$15&lt;=产出预期!$M60),梦灵养成!N$10:N$15,梦灵养成!$P$10:$P$15))/MAX(SUMPRODUCT(--(梦灵养成!$C$10:$C$31&lt;=产出预期!$M60),--(梦灵养成!$E$10:$E$31=K$2)),1)*10,梦灵养成!AV$339:AV$387,1),0)</f>
        <v>46</v>
      </c>
      <c r="L43" s="45" cm="1">
        <f ca="1" t="array" ref="L43">IFERROR(MATCH(((产出预期!$M60-OFFSET(梦灵养成!$Q$9,MATCH(产出预期!$M60,梦灵养成!$Q$10:$Q$15,1),0))*OFFSET(梦灵养成!O$9,1+MATCH(产出预期!$M60,梦灵养成!$Q$10:$Q$15,1),0)+梦灵养成!G379+SUMPRODUCT(--(梦灵养成!$Q$10:$Q$15&lt;=产出预期!$M60),梦灵养成!O$10:O$15,梦灵养成!$P$10:$P$15))/MAX(SUMPRODUCT(--(梦灵养成!$C$10:$C$31&lt;=产出预期!$M60),--(梦灵养成!$E$10:$E$31=L$2)),1)*10,梦灵养成!AW$339:AW$388,1),0)</f>
        <v>31</v>
      </c>
      <c r="M43" s="45">
        <f ca="1">OFFSET(符文养成!$C$14,MATCH(C43,符文养成!$B$15:$B$44,1),0)</f>
        <v>30</v>
      </c>
      <c r="N43" s="45">
        <f ca="1">MATCH((产出预期!Z60*价值表!$F$53+产出预期!AA60*价值表!$F$54+产出预期!AD60*价值表!$F$57)/16/M43,符文养成!$G$15:$G$21,1)</f>
        <v>4</v>
      </c>
      <c r="O43" s="45">
        <f>MATCH(产出预期!O60,秘宝养成!$C$3:$C$14,1)</f>
        <v>9</v>
      </c>
    </row>
    <row r="44" ht="16.5" spans="2:15">
      <c r="B44" s="2">
        <v>42</v>
      </c>
      <c r="C44" s="2">
        <f ca="1">MATCH((OFFSET(产出预期!$C$3,0,产出预期!$B$1)*10+OFFSET(产出预期!$C$4,0,产出预期!$B$1)*10+OFFSET(产出预期!$C$7,0,产出预期!$B$1)*20)*B44/10*60,玩家等级!$E$3:$E$302,1)</f>
        <v>51</v>
      </c>
      <c r="D44" s="2">
        <f>MATCH(产出预期!P61/6,装备养成!$G$4:$G$303,1)</f>
        <v>69</v>
      </c>
      <c r="E44" s="2">
        <f>COUNTIF(产出预期!$R61:$Y61,"&gt;"&amp;0)</f>
        <v>7</v>
      </c>
      <c r="F44" s="2">
        <f ca="1">MATCH(OFFSET(产出预期!$R$19,B44,E44-1),装备养成!$S$4:$S$9,1)</f>
        <v>4</v>
      </c>
      <c r="G44" s="2" t="str">
        <f ca="1">OFFSET(梦灵养成!$D$9,MATCH(梦灵养成!C75,梦灵养成!$C$10:$C$28,1),0)</f>
        <v>我爱沙</v>
      </c>
      <c r="H44" s="2" t="str">
        <f ca="1">OFFSET(梦灵养成!$I$9,MATCH(梦灵养成!C75,梦灵养成!$C$10:$C$28,1),0)</f>
        <v>后羿</v>
      </c>
      <c r="I44" s="45" cm="1">
        <f ca="1" t="array" ref="I44">IFERROR(MATCH(((产出预期!$M61-OFFSET(梦灵养成!$Q$9,MATCH(产出预期!$M61,梦灵养成!$Q$10:$Q$15,1),0))*OFFSET(梦灵养成!L$9,1+MATCH(产出预期!$M61,梦灵养成!$Q$10:$Q$15,1),0)+梦灵养成!D380+SUMPRODUCT(--(梦灵养成!$Q$10:$Q$15&lt;=产出预期!$M61),梦灵养成!L$10:L$15,梦灵养成!$P$10:$P$15))/MAX(SUMPRODUCT(--(梦灵养成!$C$10:$C$31&lt;=产出预期!$M61),--(梦灵养成!$E$10:$E$31=I$2)),1)*10,梦灵养成!AT$339:AT$387,1),0)</f>
        <v>49</v>
      </c>
      <c r="J44" s="45" cm="1">
        <f ca="1" t="array" ref="J44">IFERROR(MATCH(((产出预期!$M61-OFFSET(梦灵养成!$Q$9,MATCH(产出预期!$M61,梦灵养成!$Q$10:$Q$15,1),0))*OFFSET(梦灵养成!M$9,1+MATCH(产出预期!$M61,梦灵养成!$Q$10:$Q$15,1),0)+梦灵养成!E380+SUMPRODUCT(--(梦灵养成!$Q$10:$Q$15&lt;=产出预期!$M61),梦灵养成!M$10:M$15,梦灵养成!$P$10:$P$15))/MAX(SUMPRODUCT(--(梦灵养成!$C$10:$C$31&lt;=产出预期!$M61),--(梦灵养成!$E$10:$E$31=J$2)),1)*10,梦灵养成!AU$339:AU$387,1),0)</f>
        <v>45</v>
      </c>
      <c r="K44" s="45" cm="1">
        <f ca="1" t="array" ref="K44">IFERROR(MATCH(((产出预期!$M61-OFFSET(梦灵养成!$Q$9,MATCH(产出预期!$M61,梦灵养成!$Q$10:$Q$15,1),0))*OFFSET(梦灵养成!N$9,1+MATCH(产出预期!$M61,梦灵养成!$Q$10:$Q$15,1),0)+梦灵养成!F380+SUMPRODUCT(--(梦灵养成!$Q$10:$Q$15&lt;=产出预期!$M61),梦灵养成!N$10:N$15,梦灵养成!$P$10:$P$15))/MAX(SUMPRODUCT(--(梦灵养成!$C$10:$C$31&lt;=产出预期!$M61),--(梦灵养成!$E$10:$E$31=K$2)),1)*10,梦灵养成!AV$339:AV$387,1),0)</f>
        <v>46</v>
      </c>
      <c r="L44" s="45" cm="1">
        <f ca="1" t="array" ref="L44">IFERROR(MATCH(((产出预期!$M61-OFFSET(梦灵养成!$Q$9,MATCH(产出预期!$M61,梦灵养成!$Q$10:$Q$15,1),0))*OFFSET(梦灵养成!O$9,1+MATCH(产出预期!$M61,梦灵养成!$Q$10:$Q$15,1),0)+梦灵养成!G380+SUMPRODUCT(--(梦灵养成!$Q$10:$Q$15&lt;=产出预期!$M61),梦灵养成!O$10:O$15,梦灵养成!$P$10:$P$15))/MAX(SUMPRODUCT(--(梦灵养成!$C$10:$C$31&lt;=产出预期!$M61),--(梦灵养成!$E$10:$E$31=L$2)),1)*10,梦灵养成!AW$339:AW$388,1),0)</f>
        <v>32</v>
      </c>
      <c r="M44" s="45">
        <f ca="1">OFFSET(符文养成!$C$14,MATCH(C44,符文养成!$B$15:$B$44,1),0)</f>
        <v>30</v>
      </c>
      <c r="N44" s="45">
        <f ca="1">MATCH((产出预期!Z61*价值表!$F$53+产出预期!AA61*价值表!$F$54+产出预期!AD61*价值表!$F$57)/16/M44,符文养成!$G$15:$G$21,1)</f>
        <v>4</v>
      </c>
      <c r="O44" s="45">
        <f>MATCH(产出预期!O61,秘宝养成!$C$3:$C$14,1)</f>
        <v>9</v>
      </c>
    </row>
    <row r="45" ht="16.5" spans="2:15">
      <c r="B45" s="2">
        <v>43</v>
      </c>
      <c r="C45" s="2">
        <f ca="1">MATCH((OFFSET(产出预期!$C$3,0,产出预期!$B$1)*10+OFFSET(产出预期!$C$4,0,产出预期!$B$1)*10+OFFSET(产出预期!$C$7,0,产出预期!$B$1)*20)*B45/10*60,玩家等级!$E$3:$E$302,1)</f>
        <v>51</v>
      </c>
      <c r="D45" s="2">
        <f>MATCH(产出预期!P62/6,装备养成!$G$4:$G$303,1)</f>
        <v>69</v>
      </c>
      <c r="E45" s="2">
        <f>COUNTIF(产出预期!$R62:$Y62,"&gt;"&amp;0)</f>
        <v>7</v>
      </c>
      <c r="F45" s="2">
        <f ca="1">MATCH(OFFSET(产出预期!$R$19,B45,E45-1),装备养成!$S$4:$S$9,1)</f>
        <v>4</v>
      </c>
      <c r="G45" s="2" t="str">
        <f ca="1">OFFSET(梦灵养成!$D$9,MATCH(梦灵养成!C76,梦灵养成!$C$10:$C$28,1),0)</f>
        <v>我爱沙</v>
      </c>
      <c r="H45" s="2" t="str">
        <f ca="1">OFFSET(梦灵养成!$I$9,MATCH(梦灵养成!C76,梦灵养成!$C$10:$C$28,1),0)</f>
        <v>后羿</v>
      </c>
      <c r="I45" s="45" cm="1">
        <f ca="1" t="array" ref="I45">IFERROR(MATCH(((产出预期!$M62-OFFSET(梦灵养成!$Q$9,MATCH(产出预期!$M62,梦灵养成!$Q$10:$Q$15,1),0))*OFFSET(梦灵养成!L$9,1+MATCH(产出预期!$M62,梦灵养成!$Q$10:$Q$15,1),0)+梦灵养成!D381+SUMPRODUCT(--(梦灵养成!$Q$10:$Q$15&lt;=产出预期!$M62),梦灵养成!L$10:L$15,梦灵养成!$P$10:$P$15))/MAX(SUMPRODUCT(--(梦灵养成!$C$10:$C$31&lt;=产出预期!$M62),--(梦灵养成!$E$10:$E$31=I$2)),1)*10,梦灵养成!AT$339:AT$387,1),0)</f>
        <v>49</v>
      </c>
      <c r="J45" s="45" cm="1">
        <f ca="1" t="array" ref="J45">IFERROR(MATCH(((产出预期!$M62-OFFSET(梦灵养成!$Q$9,MATCH(产出预期!$M62,梦灵养成!$Q$10:$Q$15,1),0))*OFFSET(梦灵养成!M$9,1+MATCH(产出预期!$M62,梦灵养成!$Q$10:$Q$15,1),0)+梦灵养成!E381+SUMPRODUCT(--(梦灵养成!$Q$10:$Q$15&lt;=产出预期!$M62),梦灵养成!M$10:M$15,梦灵养成!$P$10:$P$15))/MAX(SUMPRODUCT(--(梦灵养成!$C$10:$C$31&lt;=产出预期!$M62),--(梦灵养成!$E$10:$E$31=J$2)),1)*10,梦灵养成!AU$339:AU$387,1),0)</f>
        <v>45</v>
      </c>
      <c r="K45" s="45" cm="1">
        <f ca="1" t="array" ref="K45">IFERROR(MATCH(((产出预期!$M62-OFFSET(梦灵养成!$Q$9,MATCH(产出预期!$M62,梦灵养成!$Q$10:$Q$15,1),0))*OFFSET(梦灵养成!N$9,1+MATCH(产出预期!$M62,梦灵养成!$Q$10:$Q$15,1),0)+梦灵养成!F381+SUMPRODUCT(--(梦灵养成!$Q$10:$Q$15&lt;=产出预期!$M62),梦灵养成!N$10:N$15,梦灵养成!$P$10:$P$15))/MAX(SUMPRODUCT(--(梦灵养成!$C$10:$C$31&lt;=产出预期!$M62),--(梦灵养成!$E$10:$E$31=K$2)),1)*10,梦灵养成!AV$339:AV$387,1),0)</f>
        <v>47</v>
      </c>
      <c r="L45" s="45" cm="1">
        <f ca="1" t="array" ref="L45">IFERROR(MATCH(((产出预期!$M62-OFFSET(梦灵养成!$Q$9,MATCH(产出预期!$M62,梦灵养成!$Q$10:$Q$15,1),0))*OFFSET(梦灵养成!O$9,1+MATCH(产出预期!$M62,梦灵养成!$Q$10:$Q$15,1),0)+梦灵养成!G381+SUMPRODUCT(--(梦灵养成!$Q$10:$Q$15&lt;=产出预期!$M62),梦灵养成!O$10:O$15,梦灵养成!$P$10:$P$15))/MAX(SUMPRODUCT(--(梦灵养成!$C$10:$C$31&lt;=产出预期!$M62),--(梦灵养成!$E$10:$E$31=L$2)),1)*10,梦灵养成!AW$339:AW$388,1),0)</f>
        <v>32</v>
      </c>
      <c r="M45" s="45">
        <f ca="1">OFFSET(符文养成!$C$14,MATCH(C45,符文养成!$B$15:$B$44,1),0)</f>
        <v>30</v>
      </c>
      <c r="N45" s="45">
        <f ca="1">MATCH((产出预期!Z62*价值表!$F$53+产出预期!AA62*价值表!$F$54+产出预期!AD62*价值表!$F$57)/16/M45,符文养成!$G$15:$G$21,1)</f>
        <v>4</v>
      </c>
      <c r="O45" s="45">
        <f>MATCH(产出预期!O62,秘宝养成!$C$3:$C$14,1)</f>
        <v>9</v>
      </c>
    </row>
    <row r="46" ht="16.5" spans="2:15">
      <c r="B46" s="2">
        <v>44</v>
      </c>
      <c r="C46" s="2">
        <f ca="1">MATCH((OFFSET(产出预期!$C$3,0,产出预期!$B$1)*10+OFFSET(产出预期!$C$4,0,产出预期!$B$1)*10+OFFSET(产出预期!$C$7,0,产出预期!$B$1)*20)*B46/10*60,玩家等级!$E$3:$E$302,1)</f>
        <v>52</v>
      </c>
      <c r="D46" s="2">
        <f>MATCH(产出预期!P63/6,装备养成!$G$4:$G$303,1)</f>
        <v>70</v>
      </c>
      <c r="E46" s="2">
        <f>COUNTIF(产出预期!$R63:$Y63,"&gt;"&amp;0)</f>
        <v>7</v>
      </c>
      <c r="F46" s="2">
        <f ca="1">MATCH(OFFSET(产出预期!$R$19,B46,E46-1),装备养成!$S$4:$S$9,1)</f>
        <v>4</v>
      </c>
      <c r="G46" s="2" t="str">
        <f ca="1">OFFSET(梦灵养成!$D$9,MATCH(梦灵养成!C77,梦灵养成!$C$10:$C$28,1),0)</f>
        <v>我爱沙</v>
      </c>
      <c r="H46" s="2" t="str">
        <f ca="1">OFFSET(梦灵养成!$I$9,MATCH(梦灵养成!C77,梦灵养成!$C$10:$C$28,1),0)</f>
        <v>后羿</v>
      </c>
      <c r="I46" s="45" cm="1">
        <f ca="1" t="array" ref="I46">IFERROR(MATCH(((产出预期!$M63-OFFSET(梦灵养成!$Q$9,MATCH(产出预期!$M63,梦灵养成!$Q$10:$Q$15,1),0))*OFFSET(梦灵养成!L$9,1+MATCH(产出预期!$M63,梦灵养成!$Q$10:$Q$15,1),0)+梦灵养成!D382+SUMPRODUCT(--(梦灵养成!$Q$10:$Q$15&lt;=产出预期!$M63),梦灵养成!L$10:L$15,梦灵养成!$P$10:$P$15))/MAX(SUMPRODUCT(--(梦灵养成!$C$10:$C$31&lt;=产出预期!$M63),--(梦灵养成!$E$10:$E$31=I$2)),1)*10,梦灵养成!AT$339:AT$387,1),0)</f>
        <v>49</v>
      </c>
      <c r="J46" s="45" cm="1">
        <f ca="1" t="array" ref="J46">IFERROR(MATCH(((产出预期!$M63-OFFSET(梦灵养成!$Q$9,MATCH(产出预期!$M63,梦灵养成!$Q$10:$Q$15,1),0))*OFFSET(梦灵养成!M$9,1+MATCH(产出预期!$M63,梦灵养成!$Q$10:$Q$15,1),0)+梦灵养成!E382+SUMPRODUCT(--(梦灵养成!$Q$10:$Q$15&lt;=产出预期!$M63),梦灵养成!M$10:M$15,梦灵养成!$P$10:$P$15))/MAX(SUMPRODUCT(--(梦灵养成!$C$10:$C$31&lt;=产出预期!$M63),--(梦灵养成!$E$10:$E$31=J$2)),1)*10,梦灵养成!AU$339:AU$387,1),0)</f>
        <v>45</v>
      </c>
      <c r="K46" s="45" cm="1">
        <f ca="1" t="array" ref="K46">IFERROR(MATCH(((产出预期!$M63-OFFSET(梦灵养成!$Q$9,MATCH(产出预期!$M63,梦灵养成!$Q$10:$Q$15,1),0))*OFFSET(梦灵养成!N$9,1+MATCH(产出预期!$M63,梦灵养成!$Q$10:$Q$15,1),0)+梦灵养成!F382+SUMPRODUCT(--(梦灵养成!$Q$10:$Q$15&lt;=产出预期!$M63),梦灵养成!N$10:N$15,梦灵养成!$P$10:$P$15))/MAX(SUMPRODUCT(--(梦灵养成!$C$10:$C$31&lt;=产出预期!$M63),--(梦灵养成!$E$10:$E$31=K$2)),1)*10,梦灵养成!AV$339:AV$387,1),0)</f>
        <v>47</v>
      </c>
      <c r="L46" s="45" cm="1">
        <f ca="1" t="array" ref="L46">IFERROR(MATCH(((产出预期!$M63-OFFSET(梦灵养成!$Q$9,MATCH(产出预期!$M63,梦灵养成!$Q$10:$Q$15,1),0))*OFFSET(梦灵养成!O$9,1+MATCH(产出预期!$M63,梦灵养成!$Q$10:$Q$15,1),0)+梦灵养成!G382+SUMPRODUCT(--(梦灵养成!$Q$10:$Q$15&lt;=产出预期!$M63),梦灵养成!O$10:O$15,梦灵养成!$P$10:$P$15))/MAX(SUMPRODUCT(--(梦灵养成!$C$10:$C$31&lt;=产出预期!$M63),--(梦灵养成!$E$10:$E$31=L$2)),1)*10,梦灵养成!AW$339:AW$388,1),0)</f>
        <v>33</v>
      </c>
      <c r="M46" s="45">
        <f ca="1">OFFSET(符文养成!$C$14,MATCH(C46,符文养成!$B$15:$B$44,1),0)</f>
        <v>30</v>
      </c>
      <c r="N46" s="45">
        <f ca="1">MATCH((产出预期!Z63*价值表!$F$53+产出预期!AA63*价值表!$F$54+产出预期!AD63*价值表!$F$57)/16/M46,符文养成!$G$15:$G$21,1)</f>
        <v>4</v>
      </c>
      <c r="O46" s="45">
        <f>MATCH(产出预期!O63,秘宝养成!$C$3:$C$14,1)</f>
        <v>9</v>
      </c>
    </row>
    <row r="47" ht="16.5" spans="2:15">
      <c r="B47" s="2">
        <v>45</v>
      </c>
      <c r="C47" s="2">
        <f ca="1">MATCH((OFFSET(产出预期!$C$3,0,产出预期!$B$1)*10+OFFSET(产出预期!$C$4,0,产出预期!$B$1)*10+OFFSET(产出预期!$C$7,0,产出预期!$B$1)*20)*B47/10*60,玩家等级!$E$3:$E$302,1)</f>
        <v>52</v>
      </c>
      <c r="D47" s="2">
        <f>MATCH(产出预期!P64/6,装备养成!$G$4:$G$303,1)</f>
        <v>71</v>
      </c>
      <c r="E47" s="2">
        <f>COUNTIF(产出预期!$R64:$Y64,"&gt;"&amp;0)</f>
        <v>7</v>
      </c>
      <c r="F47" s="2">
        <f ca="1">MATCH(OFFSET(产出预期!$R$19,B47,E47-1),装备养成!$S$4:$S$9,1)</f>
        <v>4</v>
      </c>
      <c r="G47" s="2" t="str">
        <f ca="1">OFFSET(梦灵养成!$D$9,MATCH(梦灵养成!C78,梦灵养成!$C$10:$C$28,1),0)</f>
        <v>我爱沙</v>
      </c>
      <c r="H47" s="2" t="str">
        <f ca="1">OFFSET(梦灵养成!$I$9,MATCH(梦灵养成!C78,梦灵养成!$C$10:$C$28,1),0)</f>
        <v>后羿</v>
      </c>
      <c r="I47" s="45" cm="1">
        <f ca="1" t="array" ref="I47">IFERROR(MATCH(((产出预期!$M64-OFFSET(梦灵养成!$Q$9,MATCH(产出预期!$M64,梦灵养成!$Q$10:$Q$15,1),0))*OFFSET(梦灵养成!L$9,1+MATCH(产出预期!$M64,梦灵养成!$Q$10:$Q$15,1),0)+梦灵养成!D383+SUMPRODUCT(--(梦灵养成!$Q$10:$Q$15&lt;=产出预期!$M64),梦灵养成!L$10:L$15,梦灵养成!$P$10:$P$15))/MAX(SUMPRODUCT(--(梦灵养成!$C$10:$C$31&lt;=产出预期!$M64),--(梦灵养成!$E$10:$E$31=I$2)),1)*10,梦灵养成!AT$339:AT$387,1),0)</f>
        <v>49</v>
      </c>
      <c r="J47" s="45" cm="1">
        <f ca="1" t="array" ref="J47">IFERROR(MATCH(((产出预期!$M64-OFFSET(梦灵养成!$Q$9,MATCH(产出预期!$M64,梦灵养成!$Q$10:$Q$15,1),0))*OFFSET(梦灵养成!M$9,1+MATCH(产出预期!$M64,梦灵养成!$Q$10:$Q$15,1),0)+梦灵养成!E383+SUMPRODUCT(--(梦灵养成!$Q$10:$Q$15&lt;=产出预期!$M64),梦灵养成!M$10:M$15,梦灵养成!$P$10:$P$15))/MAX(SUMPRODUCT(--(梦灵养成!$C$10:$C$31&lt;=产出预期!$M64),--(梦灵养成!$E$10:$E$31=J$2)),1)*10,梦灵养成!AU$339:AU$387,1),0)</f>
        <v>46</v>
      </c>
      <c r="K47" s="45" cm="1">
        <f ca="1" t="array" ref="K47">IFERROR(MATCH(((产出预期!$M64-OFFSET(梦灵养成!$Q$9,MATCH(产出预期!$M64,梦灵养成!$Q$10:$Q$15,1),0))*OFFSET(梦灵养成!N$9,1+MATCH(产出预期!$M64,梦灵养成!$Q$10:$Q$15,1),0)+梦灵养成!F383+SUMPRODUCT(--(梦灵养成!$Q$10:$Q$15&lt;=产出预期!$M64),梦灵养成!N$10:N$15,梦灵养成!$P$10:$P$15))/MAX(SUMPRODUCT(--(梦灵养成!$C$10:$C$31&lt;=产出预期!$M64),--(梦灵养成!$E$10:$E$31=K$2)),1)*10,梦灵养成!AV$339:AV$387,1),0)</f>
        <v>47</v>
      </c>
      <c r="L47" s="45" cm="1">
        <f ca="1" t="array" ref="L47">IFERROR(MATCH(((产出预期!$M64-OFFSET(梦灵养成!$Q$9,MATCH(产出预期!$M64,梦灵养成!$Q$10:$Q$15,1),0))*OFFSET(梦灵养成!O$9,1+MATCH(产出预期!$M64,梦灵养成!$Q$10:$Q$15,1),0)+梦灵养成!G383+SUMPRODUCT(--(梦灵养成!$Q$10:$Q$15&lt;=产出预期!$M64),梦灵养成!O$10:O$15,梦灵养成!$P$10:$P$15))/MAX(SUMPRODUCT(--(梦灵养成!$C$10:$C$31&lt;=产出预期!$M64),--(梦灵养成!$E$10:$E$31=L$2)),1)*10,梦灵养成!AW$339:AW$388,1),0)</f>
        <v>33</v>
      </c>
      <c r="M47" s="45">
        <f ca="1">OFFSET(符文养成!$C$14,MATCH(C47,符文养成!$B$15:$B$44,1),0)</f>
        <v>30</v>
      </c>
      <c r="N47" s="45">
        <f ca="1">MATCH((产出预期!Z64*价值表!$F$53+产出预期!AA64*价值表!$F$54+产出预期!AD64*价值表!$F$57)/16/M47,符文养成!$G$15:$G$21,1)</f>
        <v>4</v>
      </c>
      <c r="O47" s="45">
        <f>MATCH(产出预期!O64,秘宝养成!$C$3:$C$14,1)</f>
        <v>9</v>
      </c>
    </row>
    <row r="48" ht="16.5" spans="2:15">
      <c r="B48" s="2">
        <v>46</v>
      </c>
      <c r="C48" s="2">
        <f ca="1">MATCH((OFFSET(产出预期!$C$3,0,产出预期!$B$1)*10+OFFSET(产出预期!$C$4,0,产出预期!$B$1)*10+OFFSET(产出预期!$C$7,0,产出预期!$B$1)*20)*B48/10*60,玩家等级!$E$3:$E$302,1)</f>
        <v>52</v>
      </c>
      <c r="D48" s="2">
        <f>MATCH(产出预期!P65/6,装备养成!$G$4:$G$303,1)</f>
        <v>72</v>
      </c>
      <c r="E48" s="2">
        <f>COUNTIF(产出预期!$R65:$Y65,"&gt;"&amp;0)</f>
        <v>7</v>
      </c>
      <c r="F48" s="2">
        <f ca="1">MATCH(OFFSET(产出预期!$R$19,B48,E48-1),装备养成!$S$4:$S$9,1)</f>
        <v>4</v>
      </c>
      <c r="G48" s="2" t="str">
        <f ca="1">OFFSET(梦灵养成!$D$9,MATCH(梦灵养成!C79,梦灵养成!$C$10:$C$28,1),0)</f>
        <v>我爱沙</v>
      </c>
      <c r="H48" s="2" t="str">
        <f ca="1">OFFSET(梦灵养成!$I$9,MATCH(梦灵养成!C79,梦灵养成!$C$10:$C$28,1),0)</f>
        <v>后羿</v>
      </c>
      <c r="I48" s="45" cm="1">
        <f ca="1" t="array" ref="I48">IFERROR(MATCH(((产出预期!$M65-OFFSET(梦灵养成!$Q$9,MATCH(产出预期!$M65,梦灵养成!$Q$10:$Q$15,1),0))*OFFSET(梦灵养成!L$9,1+MATCH(产出预期!$M65,梦灵养成!$Q$10:$Q$15,1),0)+梦灵养成!D384+SUMPRODUCT(--(梦灵养成!$Q$10:$Q$15&lt;=产出预期!$M65),梦灵养成!L$10:L$15,梦灵养成!$P$10:$P$15))/MAX(SUMPRODUCT(--(梦灵养成!$C$10:$C$31&lt;=产出预期!$M65),--(梦灵养成!$E$10:$E$31=I$2)),1)*10,梦灵养成!AT$339:AT$387,1),0)</f>
        <v>49</v>
      </c>
      <c r="J48" s="45" cm="1">
        <f ca="1" t="array" ref="J48">IFERROR(MATCH(((产出预期!$M65-OFFSET(梦灵养成!$Q$9,MATCH(产出预期!$M65,梦灵养成!$Q$10:$Q$15,1),0))*OFFSET(梦灵养成!M$9,1+MATCH(产出预期!$M65,梦灵养成!$Q$10:$Q$15,1),0)+梦灵养成!E384+SUMPRODUCT(--(梦灵养成!$Q$10:$Q$15&lt;=产出预期!$M65),梦灵养成!M$10:M$15,梦灵养成!$P$10:$P$15))/MAX(SUMPRODUCT(--(梦灵养成!$C$10:$C$31&lt;=产出预期!$M65),--(梦灵养成!$E$10:$E$31=J$2)),1)*10,梦灵养成!AU$339:AU$387,1),0)</f>
        <v>46</v>
      </c>
      <c r="K48" s="45" cm="1">
        <f ca="1" t="array" ref="K48">IFERROR(MATCH(((产出预期!$M65-OFFSET(梦灵养成!$Q$9,MATCH(产出预期!$M65,梦灵养成!$Q$10:$Q$15,1),0))*OFFSET(梦灵养成!N$9,1+MATCH(产出预期!$M65,梦灵养成!$Q$10:$Q$15,1),0)+梦灵养成!F384+SUMPRODUCT(--(梦灵养成!$Q$10:$Q$15&lt;=产出预期!$M65),梦灵养成!N$10:N$15,梦灵养成!$P$10:$P$15))/MAX(SUMPRODUCT(--(梦灵养成!$C$10:$C$31&lt;=产出预期!$M65),--(梦灵养成!$E$10:$E$31=K$2)),1)*10,梦灵养成!AV$339:AV$387,1),0)</f>
        <v>47</v>
      </c>
      <c r="L48" s="45" cm="1">
        <f ca="1" t="array" ref="L48">IFERROR(MATCH(((产出预期!$M65-OFFSET(梦灵养成!$Q$9,MATCH(产出预期!$M65,梦灵养成!$Q$10:$Q$15,1),0))*OFFSET(梦灵养成!O$9,1+MATCH(产出预期!$M65,梦灵养成!$Q$10:$Q$15,1),0)+梦灵养成!G384+SUMPRODUCT(--(梦灵养成!$Q$10:$Q$15&lt;=产出预期!$M65),梦灵养成!O$10:O$15,梦灵养成!$P$10:$P$15))/MAX(SUMPRODUCT(--(梦灵养成!$C$10:$C$31&lt;=产出预期!$M65),--(梦灵养成!$E$10:$E$31=L$2)),1)*10,梦灵养成!AW$339:AW$388,1),0)</f>
        <v>34</v>
      </c>
      <c r="M48" s="45">
        <f ca="1">OFFSET(符文养成!$C$14,MATCH(C48,符文养成!$B$15:$B$44,1),0)</f>
        <v>30</v>
      </c>
      <c r="N48" s="45">
        <f ca="1">MATCH((产出预期!Z65*价值表!$F$53+产出预期!AA65*价值表!$F$54+产出预期!AD65*价值表!$F$57)/16/M48,符文养成!$G$15:$G$21,1)</f>
        <v>4</v>
      </c>
      <c r="O48" s="45">
        <f>MATCH(产出预期!O65,秘宝养成!$C$3:$C$14,1)</f>
        <v>9</v>
      </c>
    </row>
    <row r="49" ht="16.5" spans="2:15">
      <c r="B49" s="2">
        <v>47</v>
      </c>
      <c r="C49" s="2">
        <f ca="1">MATCH((OFFSET(产出预期!$C$3,0,产出预期!$B$1)*10+OFFSET(产出预期!$C$4,0,产出预期!$B$1)*10+OFFSET(产出预期!$C$7,0,产出预期!$B$1)*20)*B49/10*60,玩家等级!$E$3:$E$302,1)</f>
        <v>53</v>
      </c>
      <c r="D49" s="2">
        <f>MATCH(产出预期!P66/6,装备养成!$G$4:$G$303,1)</f>
        <v>72</v>
      </c>
      <c r="E49" s="2">
        <f>COUNTIF(产出预期!$R66:$Y66,"&gt;"&amp;0)</f>
        <v>7</v>
      </c>
      <c r="F49" s="2">
        <f ca="1">MATCH(OFFSET(产出预期!$R$19,B49,E49-1),装备养成!$S$4:$S$9,1)</f>
        <v>5</v>
      </c>
      <c r="G49" s="2" t="str">
        <f ca="1">OFFSET(梦灵养成!$D$9,MATCH(梦灵养成!C80,梦灵养成!$C$10:$C$28,1),0)</f>
        <v>我爱沙</v>
      </c>
      <c r="H49" s="2" t="str">
        <f ca="1">OFFSET(梦灵养成!$I$9,MATCH(梦灵养成!C80,梦灵养成!$C$10:$C$28,1),0)</f>
        <v>后羿</v>
      </c>
      <c r="I49" s="45" cm="1">
        <f ca="1" t="array" ref="I49">IFERROR(MATCH(((产出预期!$M66-OFFSET(梦灵养成!$Q$9,MATCH(产出预期!$M66,梦灵养成!$Q$10:$Q$15,1),0))*OFFSET(梦灵养成!L$9,1+MATCH(产出预期!$M66,梦灵养成!$Q$10:$Q$15,1),0)+梦灵养成!D385+SUMPRODUCT(--(梦灵养成!$Q$10:$Q$15&lt;=产出预期!$M66),梦灵养成!L$10:L$15,梦灵养成!$P$10:$P$15))/MAX(SUMPRODUCT(--(梦灵养成!$C$10:$C$31&lt;=产出预期!$M66),--(梦灵养成!$E$10:$E$31=I$2)),1)*10,梦灵养成!AT$339:AT$387,1),0)</f>
        <v>49</v>
      </c>
      <c r="J49" s="45" cm="1">
        <f ca="1" t="array" ref="J49">IFERROR(MATCH(((产出预期!$M66-OFFSET(梦灵养成!$Q$9,MATCH(产出预期!$M66,梦灵养成!$Q$10:$Q$15,1),0))*OFFSET(梦灵养成!M$9,1+MATCH(产出预期!$M66,梦灵养成!$Q$10:$Q$15,1),0)+梦灵养成!E385+SUMPRODUCT(--(梦灵养成!$Q$10:$Q$15&lt;=产出预期!$M66),梦灵养成!M$10:M$15,梦灵养成!$P$10:$P$15))/MAX(SUMPRODUCT(--(梦灵养成!$C$10:$C$31&lt;=产出预期!$M66),--(梦灵养成!$E$10:$E$31=J$2)),1)*10,梦灵养成!AU$339:AU$387,1),0)</f>
        <v>46</v>
      </c>
      <c r="K49" s="45" cm="1">
        <f ca="1" t="array" ref="K49">IFERROR(MATCH(((产出预期!$M66-OFFSET(梦灵养成!$Q$9,MATCH(产出预期!$M66,梦灵养成!$Q$10:$Q$15,1),0))*OFFSET(梦灵养成!N$9,1+MATCH(产出预期!$M66,梦灵养成!$Q$10:$Q$15,1),0)+梦灵养成!F385+SUMPRODUCT(--(梦灵养成!$Q$10:$Q$15&lt;=产出预期!$M66),梦灵养成!N$10:N$15,梦灵养成!$P$10:$P$15))/MAX(SUMPRODUCT(--(梦灵养成!$C$10:$C$31&lt;=产出预期!$M66),--(梦灵养成!$E$10:$E$31=K$2)),1)*10,梦灵养成!AV$339:AV$387,1),0)</f>
        <v>47</v>
      </c>
      <c r="L49" s="45" cm="1">
        <f ca="1" t="array" ref="L49">IFERROR(MATCH(((产出预期!$M66-OFFSET(梦灵养成!$Q$9,MATCH(产出预期!$M66,梦灵养成!$Q$10:$Q$15,1),0))*OFFSET(梦灵养成!O$9,1+MATCH(产出预期!$M66,梦灵养成!$Q$10:$Q$15,1),0)+梦灵养成!G385+SUMPRODUCT(--(梦灵养成!$Q$10:$Q$15&lt;=产出预期!$M66),梦灵养成!O$10:O$15,梦灵养成!$P$10:$P$15))/MAX(SUMPRODUCT(--(梦灵养成!$C$10:$C$31&lt;=产出预期!$M66),--(梦灵养成!$E$10:$E$31=L$2)),1)*10,梦灵养成!AW$339:AW$388,1),0)</f>
        <v>34</v>
      </c>
      <c r="M49" s="45">
        <f ca="1">OFFSET(符文养成!$C$14,MATCH(C49,符文养成!$B$15:$B$44,1),0)</f>
        <v>30</v>
      </c>
      <c r="N49" s="45">
        <f ca="1">MATCH((产出预期!Z66*价值表!$F$53+产出预期!AA66*价值表!$F$54+产出预期!AD66*价值表!$F$57)/16/M49,符文养成!$G$15:$G$21,1)</f>
        <v>4</v>
      </c>
      <c r="O49" s="45">
        <f>MATCH(产出预期!O66,秘宝养成!$C$3:$C$14,1)</f>
        <v>9</v>
      </c>
    </row>
    <row r="50" ht="16.5" spans="2:15">
      <c r="B50" s="2">
        <v>48</v>
      </c>
      <c r="C50" s="2">
        <f ca="1">MATCH((OFFSET(产出预期!$C$3,0,产出预期!$B$1)*10+OFFSET(产出预期!$C$4,0,产出预期!$B$1)*10+OFFSET(产出预期!$C$7,0,产出预期!$B$1)*20)*B50/10*60,玩家等级!$E$3:$E$302,1)</f>
        <v>53</v>
      </c>
      <c r="D50" s="2">
        <f>MATCH(产出预期!P67/6,装备养成!$G$4:$G$303,1)</f>
        <v>73</v>
      </c>
      <c r="E50" s="2">
        <f>COUNTIF(产出预期!$R67:$Y67,"&gt;"&amp;0)</f>
        <v>7</v>
      </c>
      <c r="F50" s="2">
        <f ca="1">MATCH(OFFSET(产出预期!$R$19,B50,E50-1),装备养成!$S$4:$S$9,1)</f>
        <v>5</v>
      </c>
      <c r="G50" s="2" t="str">
        <f ca="1">OFFSET(梦灵养成!$D$9,MATCH(梦灵养成!C81,梦灵养成!$C$10:$C$28,1),0)</f>
        <v>我爱沙</v>
      </c>
      <c r="H50" s="2" t="str">
        <f ca="1">OFFSET(梦灵养成!$I$9,MATCH(梦灵养成!C81,梦灵养成!$C$10:$C$28,1),0)</f>
        <v>后羿</v>
      </c>
      <c r="I50" s="45" cm="1">
        <f ca="1" t="array" ref="I50">IFERROR(MATCH(((产出预期!$M67-OFFSET(梦灵养成!$Q$9,MATCH(产出预期!$M67,梦灵养成!$Q$10:$Q$15,1),0))*OFFSET(梦灵养成!L$9,1+MATCH(产出预期!$M67,梦灵养成!$Q$10:$Q$15,1),0)+梦灵养成!D386+SUMPRODUCT(--(梦灵养成!$Q$10:$Q$15&lt;=产出预期!$M67),梦灵养成!L$10:L$15,梦灵养成!$P$10:$P$15))/MAX(SUMPRODUCT(--(梦灵养成!$C$10:$C$31&lt;=产出预期!$M67),--(梦灵养成!$E$10:$E$31=I$2)),1)*10,梦灵养成!AT$339:AT$387,1),0)</f>
        <v>49</v>
      </c>
      <c r="J50" s="45" cm="1">
        <f ca="1" t="array" ref="J50">IFERROR(MATCH(((产出预期!$M67-OFFSET(梦灵养成!$Q$9,MATCH(产出预期!$M67,梦灵养成!$Q$10:$Q$15,1),0))*OFFSET(梦灵养成!M$9,1+MATCH(产出预期!$M67,梦灵养成!$Q$10:$Q$15,1),0)+梦灵养成!E386+SUMPRODUCT(--(梦灵养成!$Q$10:$Q$15&lt;=产出预期!$M67),梦灵养成!M$10:M$15,梦灵养成!$P$10:$P$15))/MAX(SUMPRODUCT(--(梦灵养成!$C$10:$C$31&lt;=产出预期!$M67),--(梦灵养成!$E$10:$E$31=J$2)),1)*10,梦灵养成!AU$339:AU$387,1),0)</f>
        <v>46</v>
      </c>
      <c r="K50" s="45" cm="1">
        <f ca="1" t="array" ref="K50">IFERROR(MATCH(((产出预期!$M67-OFFSET(梦灵养成!$Q$9,MATCH(产出预期!$M67,梦灵养成!$Q$10:$Q$15,1),0))*OFFSET(梦灵养成!N$9,1+MATCH(产出预期!$M67,梦灵养成!$Q$10:$Q$15,1),0)+梦灵养成!F386+SUMPRODUCT(--(梦灵养成!$Q$10:$Q$15&lt;=产出预期!$M67),梦灵养成!N$10:N$15,梦灵养成!$P$10:$P$15))/MAX(SUMPRODUCT(--(梦灵养成!$C$10:$C$31&lt;=产出预期!$M67),--(梦灵养成!$E$10:$E$31=K$2)),1)*10,梦灵养成!AV$339:AV$387,1),0)</f>
        <v>48</v>
      </c>
      <c r="L50" s="45" cm="1">
        <f ca="1" t="array" ref="L50">IFERROR(MATCH(((产出预期!$M67-OFFSET(梦灵养成!$Q$9,MATCH(产出预期!$M67,梦灵养成!$Q$10:$Q$15,1),0))*OFFSET(梦灵养成!O$9,1+MATCH(产出预期!$M67,梦灵养成!$Q$10:$Q$15,1),0)+梦灵养成!G386+SUMPRODUCT(--(梦灵养成!$Q$10:$Q$15&lt;=产出预期!$M67),梦灵养成!O$10:O$15,梦灵养成!$P$10:$P$15))/MAX(SUMPRODUCT(--(梦灵养成!$C$10:$C$31&lt;=产出预期!$M67),--(梦灵养成!$E$10:$E$31=L$2)),1)*10,梦灵养成!AW$339:AW$388,1),0)</f>
        <v>34</v>
      </c>
      <c r="M50" s="45">
        <f ca="1">OFFSET(符文养成!$C$14,MATCH(C50,符文养成!$B$15:$B$44,1),0)</f>
        <v>30</v>
      </c>
      <c r="N50" s="45">
        <f ca="1">MATCH((产出预期!Z67*价值表!$F$53+产出预期!AA67*价值表!$F$54+产出预期!AD67*价值表!$F$57)/16/M50,符文养成!$G$15:$G$21,1)</f>
        <v>4</v>
      </c>
      <c r="O50" s="45">
        <f>MATCH(产出预期!O67,秘宝养成!$C$3:$C$14,1)</f>
        <v>9</v>
      </c>
    </row>
    <row r="51" ht="16.5" spans="2:15">
      <c r="B51" s="2">
        <v>49</v>
      </c>
      <c r="C51" s="2">
        <f ca="1">MATCH((OFFSET(产出预期!$C$3,0,产出预期!$B$1)*10+OFFSET(产出预期!$C$4,0,产出预期!$B$1)*10+OFFSET(产出预期!$C$7,0,产出预期!$B$1)*20)*B51/10*60,玩家等级!$E$3:$E$302,1)</f>
        <v>54</v>
      </c>
      <c r="D51" s="2">
        <f>MATCH(产出预期!P68/6,装备养成!$G$4:$G$303,1)</f>
        <v>74</v>
      </c>
      <c r="E51" s="2">
        <f>COUNTIF(产出预期!$R68:$Y68,"&gt;"&amp;0)</f>
        <v>7</v>
      </c>
      <c r="F51" s="2">
        <f ca="1">MATCH(OFFSET(产出预期!$R$19,B51,E51-1),装备养成!$S$4:$S$9,1)</f>
        <v>5</v>
      </c>
      <c r="G51" s="2" t="str">
        <f ca="1">OFFSET(梦灵养成!$D$9,MATCH(梦灵养成!C82,梦灵养成!$C$10:$C$28,1),0)</f>
        <v>我爱沙</v>
      </c>
      <c r="H51" s="2" t="str">
        <f ca="1">OFFSET(梦灵养成!$I$9,MATCH(梦灵养成!C82,梦灵养成!$C$10:$C$28,1),0)</f>
        <v>后羿</v>
      </c>
      <c r="I51" s="45" cm="1">
        <f ca="1" t="array" ref="I51">IFERROR(MATCH(((产出预期!$M68-OFFSET(梦灵养成!$Q$9,MATCH(产出预期!$M68,梦灵养成!$Q$10:$Q$15,1),0))*OFFSET(梦灵养成!L$9,1+MATCH(产出预期!$M68,梦灵养成!$Q$10:$Q$15,1),0)+梦灵养成!D387+SUMPRODUCT(--(梦灵养成!$Q$10:$Q$15&lt;=产出预期!$M68),梦灵养成!L$10:L$15,梦灵养成!$P$10:$P$15))/MAX(SUMPRODUCT(--(梦灵养成!$C$10:$C$31&lt;=产出预期!$M68),--(梦灵养成!$E$10:$E$31=I$2)),1)*10,梦灵养成!AT$339:AT$387,1),0)</f>
        <v>49</v>
      </c>
      <c r="J51" s="45" cm="1">
        <f ca="1" t="array" ref="J51">IFERROR(MATCH(((产出预期!$M68-OFFSET(梦灵养成!$Q$9,MATCH(产出预期!$M68,梦灵养成!$Q$10:$Q$15,1),0))*OFFSET(梦灵养成!M$9,1+MATCH(产出预期!$M68,梦灵养成!$Q$10:$Q$15,1),0)+梦灵养成!E387+SUMPRODUCT(--(梦灵养成!$Q$10:$Q$15&lt;=产出预期!$M68),梦灵养成!M$10:M$15,梦灵养成!$P$10:$P$15))/MAX(SUMPRODUCT(--(梦灵养成!$C$10:$C$31&lt;=产出预期!$M68),--(梦灵养成!$E$10:$E$31=J$2)),1)*10,梦灵养成!AU$339:AU$387,1),0)</f>
        <v>46</v>
      </c>
      <c r="K51" s="45" cm="1">
        <f ca="1" t="array" ref="K51">IFERROR(MATCH(((产出预期!$M68-OFFSET(梦灵养成!$Q$9,MATCH(产出预期!$M68,梦灵养成!$Q$10:$Q$15,1),0))*OFFSET(梦灵养成!N$9,1+MATCH(产出预期!$M68,梦灵养成!$Q$10:$Q$15,1),0)+梦灵养成!F387+SUMPRODUCT(--(梦灵养成!$Q$10:$Q$15&lt;=产出预期!$M68),梦灵养成!N$10:N$15,梦灵养成!$P$10:$P$15))/MAX(SUMPRODUCT(--(梦灵养成!$C$10:$C$31&lt;=产出预期!$M68),--(梦灵养成!$E$10:$E$31=K$2)),1)*10,梦灵养成!AV$339:AV$387,1),0)</f>
        <v>48</v>
      </c>
      <c r="L51" s="45" cm="1">
        <f ca="1" t="array" ref="L51">IFERROR(MATCH(((产出预期!$M68-OFFSET(梦灵养成!$Q$9,MATCH(产出预期!$M68,梦灵养成!$Q$10:$Q$15,1),0))*OFFSET(梦灵养成!O$9,1+MATCH(产出预期!$M68,梦灵养成!$Q$10:$Q$15,1),0)+梦灵养成!G387+SUMPRODUCT(--(梦灵养成!$Q$10:$Q$15&lt;=产出预期!$M68),梦灵养成!O$10:O$15,梦灵养成!$P$10:$P$15))/MAX(SUMPRODUCT(--(梦灵养成!$C$10:$C$31&lt;=产出预期!$M68),--(梦灵养成!$E$10:$E$31=L$2)),1)*10,梦灵养成!AW$339:AW$388,1),0)</f>
        <v>35</v>
      </c>
      <c r="M51" s="45">
        <f ca="1">OFFSET(符文养成!$C$14,MATCH(C51,符文养成!$B$15:$B$44,1),0)</f>
        <v>30</v>
      </c>
      <c r="N51" s="45">
        <f ca="1">MATCH((产出预期!Z68*价值表!$F$53+产出预期!AA68*价值表!$F$54+产出预期!AD68*价值表!$F$57)/16/M51,符文养成!$G$15:$G$21,1)</f>
        <v>4</v>
      </c>
      <c r="O51" s="45">
        <f>MATCH(产出预期!O68,秘宝养成!$C$3:$C$14,1)</f>
        <v>9</v>
      </c>
    </row>
    <row r="52" ht="16.5" spans="2:15">
      <c r="B52" s="2">
        <v>50</v>
      </c>
      <c r="C52" s="2">
        <f ca="1">MATCH((OFFSET(产出预期!$C$3,0,产出预期!$B$1)*10+OFFSET(产出预期!$C$4,0,产出预期!$B$1)*10+OFFSET(产出预期!$C$7,0,产出预期!$B$1)*20)*B52/10*60,玩家等级!$E$3:$E$302,1)</f>
        <v>54</v>
      </c>
      <c r="D52" s="2">
        <f>MATCH(产出预期!P69/6,装备养成!$G$4:$G$303,1)</f>
        <v>75</v>
      </c>
      <c r="E52" s="2">
        <f>COUNTIF(产出预期!$R69:$Y69,"&gt;"&amp;0)</f>
        <v>7</v>
      </c>
      <c r="F52" s="2">
        <f ca="1">MATCH(OFFSET(产出预期!$R$19,B52,E52-1),装备养成!$S$4:$S$9,1)</f>
        <v>5</v>
      </c>
      <c r="G52" s="2" t="str">
        <f ca="1">OFFSET(梦灵养成!$D$9,MATCH(梦灵养成!C83,梦灵养成!$C$10:$C$28,1),0)</f>
        <v>我爱沙</v>
      </c>
      <c r="H52" s="2" t="str">
        <f ca="1">OFFSET(梦灵养成!$I$9,MATCH(梦灵养成!C83,梦灵养成!$C$10:$C$28,1),0)</f>
        <v>后羿</v>
      </c>
      <c r="I52" s="45" cm="1">
        <f ca="1" t="array" ref="I52">IFERROR(MATCH(((产出预期!$M69-OFFSET(梦灵养成!$Q$9,MATCH(产出预期!$M69,梦灵养成!$Q$10:$Q$15,1),0))*OFFSET(梦灵养成!L$9,1+MATCH(产出预期!$M69,梦灵养成!$Q$10:$Q$15,1),0)+梦灵养成!D388+SUMPRODUCT(--(梦灵养成!$Q$10:$Q$15&lt;=产出预期!$M69),梦灵养成!L$10:L$15,梦灵养成!$P$10:$P$15))/MAX(SUMPRODUCT(--(梦灵养成!$C$10:$C$31&lt;=产出预期!$M69),--(梦灵养成!$E$10:$E$31=I$2)),1)*10,梦灵养成!AT$339:AT$387,1),0)</f>
        <v>49</v>
      </c>
      <c r="J52" s="45" cm="1">
        <f ca="1" t="array" ref="J52">IFERROR(MATCH(((产出预期!$M69-OFFSET(梦灵养成!$Q$9,MATCH(产出预期!$M69,梦灵养成!$Q$10:$Q$15,1),0))*OFFSET(梦灵养成!M$9,1+MATCH(产出预期!$M69,梦灵养成!$Q$10:$Q$15,1),0)+梦灵养成!E388+SUMPRODUCT(--(梦灵养成!$Q$10:$Q$15&lt;=产出预期!$M69),梦灵养成!M$10:M$15,梦灵养成!$P$10:$P$15))/MAX(SUMPRODUCT(--(梦灵养成!$C$10:$C$31&lt;=产出预期!$M69),--(梦灵养成!$E$10:$E$31=J$2)),1)*10,梦灵养成!AU$339:AU$387,1),0)</f>
        <v>47</v>
      </c>
      <c r="K52" s="45" cm="1">
        <f ca="1" t="array" ref="K52">IFERROR(MATCH(((产出预期!$M69-OFFSET(梦灵养成!$Q$9,MATCH(产出预期!$M69,梦灵养成!$Q$10:$Q$15,1),0))*OFFSET(梦灵养成!N$9,1+MATCH(产出预期!$M69,梦灵养成!$Q$10:$Q$15,1),0)+梦灵养成!F388+SUMPRODUCT(--(梦灵养成!$Q$10:$Q$15&lt;=产出预期!$M69),梦灵养成!N$10:N$15,梦灵养成!$P$10:$P$15))/MAX(SUMPRODUCT(--(梦灵养成!$C$10:$C$31&lt;=产出预期!$M69),--(梦灵养成!$E$10:$E$31=K$2)),1)*10,梦灵养成!AV$339:AV$387,1),0)</f>
        <v>48</v>
      </c>
      <c r="L52" s="45" cm="1">
        <f ca="1" t="array" ref="L52">IFERROR(MATCH(((产出预期!$M69-OFFSET(梦灵养成!$Q$9,MATCH(产出预期!$M69,梦灵养成!$Q$10:$Q$15,1),0))*OFFSET(梦灵养成!O$9,1+MATCH(产出预期!$M69,梦灵养成!$Q$10:$Q$15,1),0)+梦灵养成!G388+SUMPRODUCT(--(梦灵养成!$Q$10:$Q$15&lt;=产出预期!$M69),梦灵养成!O$10:O$15,梦灵养成!$P$10:$P$15))/MAX(SUMPRODUCT(--(梦灵养成!$C$10:$C$31&lt;=产出预期!$M69),--(梦灵养成!$E$10:$E$31=L$2)),1)*10,梦灵养成!AW$339:AW$388,1),0)</f>
        <v>35</v>
      </c>
      <c r="M52" s="45">
        <f ca="1">OFFSET(符文养成!$C$14,MATCH(C52,符文养成!$B$15:$B$44,1),0)</f>
        <v>30</v>
      </c>
      <c r="N52" s="45">
        <f ca="1">MATCH((产出预期!Z69*价值表!$F$53+产出预期!AA69*价值表!$F$54+产出预期!AD69*价值表!$F$57)/16/M52,符文养成!$G$15:$G$21,1)</f>
        <v>4</v>
      </c>
      <c r="O52" s="45">
        <f>MATCH(产出预期!O69,秘宝养成!$C$3:$C$14,1)</f>
        <v>9</v>
      </c>
    </row>
    <row r="53" ht="16.5" spans="2:15">
      <c r="B53" s="2">
        <v>51</v>
      </c>
      <c r="C53" s="2">
        <f ca="1">MATCH((OFFSET(产出预期!$C$3,0,产出预期!$B$1)*10+OFFSET(产出预期!$C$4,0,产出预期!$B$1)*10+OFFSET(产出预期!$C$7,0,产出预期!$B$1)*20)*B53/10*60,玩家等级!$E$3:$E$302,1)</f>
        <v>55</v>
      </c>
      <c r="D53" s="2">
        <f>MATCH(产出预期!P70/6,装备养成!$G$4:$G$303,1)</f>
        <v>75</v>
      </c>
      <c r="E53" s="2">
        <f>COUNTIF(产出预期!$R70:$Y70,"&gt;"&amp;0)</f>
        <v>7</v>
      </c>
      <c r="F53" s="2">
        <f ca="1">MATCH(OFFSET(产出预期!$R$19,B53,E53-1),装备养成!$S$4:$S$9,1)</f>
        <v>5</v>
      </c>
      <c r="G53" s="2" t="str">
        <f ca="1">OFFSET(梦灵养成!$D$9,MATCH(梦灵养成!C84,梦灵养成!$C$10:$C$28,1),0)</f>
        <v>我爱沙</v>
      </c>
      <c r="H53" s="2" t="str">
        <f ca="1">OFFSET(梦灵养成!$I$9,MATCH(梦灵养成!C84,梦灵养成!$C$10:$C$28,1),0)</f>
        <v>后羿</v>
      </c>
      <c r="I53" s="45" cm="1">
        <f ca="1" t="array" ref="I53">IFERROR(MATCH(((产出预期!$M70-OFFSET(梦灵养成!$Q$9,MATCH(产出预期!$M70,梦灵养成!$Q$10:$Q$15,1),0))*OFFSET(梦灵养成!L$9,1+MATCH(产出预期!$M70,梦灵养成!$Q$10:$Q$15,1),0)+梦灵养成!D389+SUMPRODUCT(--(梦灵养成!$Q$10:$Q$15&lt;=产出预期!$M70),梦灵养成!L$10:L$15,梦灵养成!$P$10:$P$15))/MAX(SUMPRODUCT(--(梦灵养成!$C$10:$C$31&lt;=产出预期!$M70),--(梦灵养成!$E$10:$E$31=I$2)),1)*10,梦灵养成!AT$339:AT$387,1),0)</f>
        <v>49</v>
      </c>
      <c r="J53" s="45" cm="1">
        <f ca="1" t="array" ref="J53">IFERROR(MATCH(((产出预期!$M70-OFFSET(梦灵养成!$Q$9,MATCH(产出预期!$M70,梦灵养成!$Q$10:$Q$15,1),0))*OFFSET(梦灵养成!M$9,1+MATCH(产出预期!$M70,梦灵养成!$Q$10:$Q$15,1),0)+梦灵养成!E389+SUMPRODUCT(--(梦灵养成!$Q$10:$Q$15&lt;=产出预期!$M70),梦灵养成!M$10:M$15,梦灵养成!$P$10:$P$15))/MAX(SUMPRODUCT(--(梦灵养成!$C$10:$C$31&lt;=产出预期!$M70),--(梦灵养成!$E$10:$E$31=J$2)),1)*10,梦灵养成!AU$339:AU$387,1),0)</f>
        <v>47</v>
      </c>
      <c r="K53" s="45" cm="1">
        <f ca="1" t="array" ref="K53">IFERROR(MATCH(((产出预期!$M70-OFFSET(梦灵养成!$Q$9,MATCH(产出预期!$M70,梦灵养成!$Q$10:$Q$15,1),0))*OFFSET(梦灵养成!N$9,1+MATCH(产出预期!$M70,梦灵养成!$Q$10:$Q$15,1),0)+梦灵养成!F389+SUMPRODUCT(--(梦灵养成!$Q$10:$Q$15&lt;=产出预期!$M70),梦灵养成!N$10:N$15,梦灵养成!$P$10:$P$15))/MAX(SUMPRODUCT(--(梦灵养成!$C$10:$C$31&lt;=产出预期!$M70),--(梦灵养成!$E$10:$E$31=K$2)),1)*10,梦灵养成!AV$339:AV$387,1),0)</f>
        <v>48</v>
      </c>
      <c r="L53" s="45" cm="1">
        <f ca="1" t="array" ref="L53">IFERROR(MATCH(((产出预期!$M70-OFFSET(梦灵养成!$Q$9,MATCH(产出预期!$M70,梦灵养成!$Q$10:$Q$15,1),0))*OFFSET(梦灵养成!O$9,1+MATCH(产出预期!$M70,梦灵养成!$Q$10:$Q$15,1),0)+梦灵养成!G389+SUMPRODUCT(--(梦灵养成!$Q$10:$Q$15&lt;=产出预期!$M70),梦灵养成!O$10:O$15,梦灵养成!$P$10:$P$15))/MAX(SUMPRODUCT(--(梦灵养成!$C$10:$C$31&lt;=产出预期!$M70),--(梦灵养成!$E$10:$E$31=L$2)),1)*10,梦灵养成!AW$339:AW$388,1),0)</f>
        <v>36</v>
      </c>
      <c r="M53" s="45">
        <f ca="1">OFFSET(符文养成!$C$14,MATCH(C53,符文养成!$B$15:$B$44,1),0)</f>
        <v>30</v>
      </c>
      <c r="N53" s="45">
        <f ca="1">MATCH((产出预期!Z70*价值表!$F$53+产出预期!AA70*价值表!$F$54+产出预期!AD70*价值表!$F$57)/16/M53,符文养成!$G$15:$G$21,1)</f>
        <v>4</v>
      </c>
      <c r="O53" s="45">
        <f>MATCH(产出预期!O70,秘宝养成!$C$3:$C$14,1)</f>
        <v>9</v>
      </c>
    </row>
    <row r="54" ht="16.5" spans="2:15">
      <c r="B54" s="2">
        <v>52</v>
      </c>
      <c r="C54" s="2">
        <f ca="1">MATCH((OFFSET(产出预期!$C$3,0,产出预期!$B$1)*10+OFFSET(产出预期!$C$4,0,产出预期!$B$1)*10+OFFSET(产出预期!$C$7,0,产出预期!$B$1)*20)*B54/10*60,玩家等级!$E$3:$E$302,1)</f>
        <v>55</v>
      </c>
      <c r="D54" s="2">
        <f>MATCH(产出预期!P71/6,装备养成!$G$4:$G$303,1)</f>
        <v>76</v>
      </c>
      <c r="E54" s="2">
        <f>COUNTIF(产出预期!$R71:$Y71,"&gt;"&amp;0)</f>
        <v>7</v>
      </c>
      <c r="F54" s="2">
        <f ca="1">MATCH(OFFSET(产出预期!$R$19,B54,E54-1),装备养成!$S$4:$S$9,1)</f>
        <v>5</v>
      </c>
      <c r="G54" s="2" t="str">
        <f ca="1">OFFSET(梦灵养成!$D$9,MATCH(梦灵养成!C85,梦灵养成!$C$10:$C$28,1),0)</f>
        <v>我爱沙</v>
      </c>
      <c r="H54" s="2" t="str">
        <f ca="1">OFFSET(梦灵养成!$I$9,MATCH(梦灵养成!C85,梦灵养成!$C$10:$C$28,1),0)</f>
        <v>后羿</v>
      </c>
      <c r="I54" s="45" cm="1">
        <f ca="1" t="array" ref="I54">IFERROR(MATCH(((产出预期!$M71-OFFSET(梦灵养成!$Q$9,MATCH(产出预期!$M71,梦灵养成!$Q$10:$Q$15,1),0))*OFFSET(梦灵养成!L$9,1+MATCH(产出预期!$M71,梦灵养成!$Q$10:$Q$15,1),0)+梦灵养成!D390+SUMPRODUCT(--(梦灵养成!$Q$10:$Q$15&lt;=产出预期!$M71),梦灵养成!L$10:L$15,梦灵养成!$P$10:$P$15))/MAX(SUMPRODUCT(--(梦灵养成!$C$10:$C$31&lt;=产出预期!$M71),--(梦灵养成!$E$10:$E$31=I$2)),1)*10,梦灵养成!AT$339:AT$387,1),0)</f>
        <v>49</v>
      </c>
      <c r="J54" s="45" cm="1">
        <f ca="1" t="array" ref="J54">IFERROR(MATCH(((产出预期!$M71-OFFSET(梦灵养成!$Q$9,MATCH(产出预期!$M71,梦灵养成!$Q$10:$Q$15,1),0))*OFFSET(梦灵养成!M$9,1+MATCH(产出预期!$M71,梦灵养成!$Q$10:$Q$15,1),0)+梦灵养成!E390+SUMPRODUCT(--(梦灵养成!$Q$10:$Q$15&lt;=产出预期!$M71),梦灵养成!M$10:M$15,梦灵养成!$P$10:$P$15))/MAX(SUMPRODUCT(--(梦灵养成!$C$10:$C$31&lt;=产出预期!$M71),--(梦灵养成!$E$10:$E$31=J$2)),1)*10,梦灵养成!AU$339:AU$387,1),0)</f>
        <v>47</v>
      </c>
      <c r="K54" s="45" cm="1">
        <f ca="1" t="array" ref="K54">IFERROR(MATCH(((产出预期!$M71-OFFSET(梦灵养成!$Q$9,MATCH(产出预期!$M71,梦灵养成!$Q$10:$Q$15,1),0))*OFFSET(梦灵养成!N$9,1+MATCH(产出预期!$M71,梦灵养成!$Q$10:$Q$15,1),0)+梦灵养成!F390+SUMPRODUCT(--(梦灵养成!$Q$10:$Q$15&lt;=产出预期!$M71),梦灵养成!N$10:N$15,梦灵养成!$P$10:$P$15))/MAX(SUMPRODUCT(--(梦灵养成!$C$10:$C$31&lt;=产出预期!$M71),--(梦灵养成!$E$10:$E$31=K$2)),1)*10,梦灵养成!AV$339:AV$387,1),0)</f>
        <v>49</v>
      </c>
      <c r="L54" s="45" cm="1">
        <f ca="1" t="array" ref="L54">IFERROR(MATCH(((产出预期!$M71-OFFSET(梦灵养成!$Q$9,MATCH(产出预期!$M71,梦灵养成!$Q$10:$Q$15,1),0))*OFFSET(梦灵养成!O$9,1+MATCH(产出预期!$M71,梦灵养成!$Q$10:$Q$15,1),0)+梦灵养成!G390+SUMPRODUCT(--(梦灵养成!$Q$10:$Q$15&lt;=产出预期!$M71),梦灵养成!O$10:O$15,梦灵养成!$P$10:$P$15))/MAX(SUMPRODUCT(--(梦灵养成!$C$10:$C$31&lt;=产出预期!$M71),--(梦灵养成!$E$10:$E$31=L$2)),1)*10,梦灵养成!AW$339:AW$388,1),0)</f>
        <v>36</v>
      </c>
      <c r="M54" s="45">
        <f ca="1">OFFSET(符文养成!$C$14,MATCH(C54,符文养成!$B$15:$B$44,1),0)</f>
        <v>30</v>
      </c>
      <c r="N54" s="45">
        <f ca="1">MATCH((产出预期!Z71*价值表!$F$53+产出预期!AA71*价值表!$F$54+产出预期!AD71*价值表!$F$57)/16/M54,符文养成!$G$15:$G$21,1)</f>
        <v>4</v>
      </c>
      <c r="O54" s="45">
        <f>MATCH(产出预期!O71,秘宝养成!$C$3:$C$14,1)</f>
        <v>9</v>
      </c>
    </row>
    <row r="55" ht="16.5" spans="2:15">
      <c r="B55" s="2">
        <v>53</v>
      </c>
      <c r="C55" s="2">
        <f ca="1">MATCH((OFFSET(产出预期!$C$3,0,产出预期!$B$1)*10+OFFSET(产出预期!$C$4,0,产出预期!$B$1)*10+OFFSET(产出预期!$C$7,0,产出预期!$B$1)*20)*B55/10*60,玩家等级!$E$3:$E$302,1)</f>
        <v>56</v>
      </c>
      <c r="D55" s="2">
        <f>MATCH(产出预期!P72/6,装备养成!$G$4:$G$303,1)</f>
        <v>77</v>
      </c>
      <c r="E55" s="2">
        <f>COUNTIF(产出预期!$R72:$Y72,"&gt;"&amp;0)</f>
        <v>7</v>
      </c>
      <c r="F55" s="2">
        <f ca="1">MATCH(OFFSET(产出预期!$R$19,B55,E55-1),装备养成!$S$4:$S$9,1)</f>
        <v>5</v>
      </c>
      <c r="G55" s="2" t="str">
        <f ca="1">OFFSET(梦灵养成!$D$9,MATCH(梦灵养成!C86,梦灵养成!$C$10:$C$28,1),0)</f>
        <v>我爱沙</v>
      </c>
      <c r="H55" s="2" t="str">
        <f ca="1">OFFSET(梦灵养成!$I$9,MATCH(梦灵养成!C86,梦灵养成!$C$10:$C$28,1),0)</f>
        <v>后羿</v>
      </c>
      <c r="I55" s="45" cm="1">
        <f ca="1" t="array" ref="I55">IFERROR(MATCH(((产出预期!$M72-OFFSET(梦灵养成!$Q$9,MATCH(产出预期!$M72,梦灵养成!$Q$10:$Q$15,1),0))*OFFSET(梦灵养成!L$9,1+MATCH(产出预期!$M72,梦灵养成!$Q$10:$Q$15,1),0)+梦灵养成!D391+SUMPRODUCT(--(梦灵养成!$Q$10:$Q$15&lt;=产出预期!$M72),梦灵养成!L$10:L$15,梦灵养成!$P$10:$P$15))/MAX(SUMPRODUCT(--(梦灵养成!$C$10:$C$31&lt;=产出预期!$M72),--(梦灵养成!$E$10:$E$31=I$2)),1)*10,梦灵养成!AT$339:AT$387,1),0)</f>
        <v>49</v>
      </c>
      <c r="J55" s="45" cm="1">
        <f ca="1" t="array" ref="J55">IFERROR(MATCH(((产出预期!$M72-OFFSET(梦灵养成!$Q$9,MATCH(产出预期!$M72,梦灵养成!$Q$10:$Q$15,1),0))*OFFSET(梦灵养成!M$9,1+MATCH(产出预期!$M72,梦灵养成!$Q$10:$Q$15,1),0)+梦灵养成!E391+SUMPRODUCT(--(梦灵养成!$Q$10:$Q$15&lt;=产出预期!$M72),梦灵养成!M$10:M$15,梦灵养成!$P$10:$P$15))/MAX(SUMPRODUCT(--(梦灵养成!$C$10:$C$31&lt;=产出预期!$M72),--(梦灵养成!$E$10:$E$31=J$2)),1)*10,梦灵养成!AU$339:AU$387,1),0)</f>
        <v>47</v>
      </c>
      <c r="K55" s="45" cm="1">
        <f ca="1" t="array" ref="K55">IFERROR(MATCH(((产出预期!$M72-OFFSET(梦灵养成!$Q$9,MATCH(产出预期!$M72,梦灵养成!$Q$10:$Q$15,1),0))*OFFSET(梦灵养成!N$9,1+MATCH(产出预期!$M72,梦灵养成!$Q$10:$Q$15,1),0)+梦灵养成!F391+SUMPRODUCT(--(梦灵养成!$Q$10:$Q$15&lt;=产出预期!$M72),梦灵养成!N$10:N$15,梦灵养成!$P$10:$P$15))/MAX(SUMPRODUCT(--(梦灵养成!$C$10:$C$31&lt;=产出预期!$M72),--(梦灵养成!$E$10:$E$31=K$2)),1)*10,梦灵养成!AV$339:AV$387,1),0)</f>
        <v>49</v>
      </c>
      <c r="L55" s="45" cm="1">
        <f ca="1" t="array" ref="L55">IFERROR(MATCH(((产出预期!$M72-OFFSET(梦灵养成!$Q$9,MATCH(产出预期!$M72,梦灵养成!$Q$10:$Q$15,1),0))*OFFSET(梦灵养成!O$9,1+MATCH(产出预期!$M72,梦灵养成!$Q$10:$Q$15,1),0)+梦灵养成!G391+SUMPRODUCT(--(梦灵养成!$Q$10:$Q$15&lt;=产出预期!$M72),梦灵养成!O$10:O$15,梦灵养成!$P$10:$P$15))/MAX(SUMPRODUCT(--(梦灵养成!$C$10:$C$31&lt;=产出预期!$M72),--(梦灵养成!$E$10:$E$31=L$2)),1)*10,梦灵养成!AW$339:AW$388,1),0)</f>
        <v>36</v>
      </c>
      <c r="M55" s="45">
        <f ca="1">OFFSET(符文养成!$C$14,MATCH(C55,符文养成!$B$15:$B$44,1),0)</f>
        <v>30</v>
      </c>
      <c r="N55" s="45">
        <f ca="1">MATCH((产出预期!Z72*价值表!$F$53+产出预期!AA72*价值表!$F$54+产出预期!AD72*价值表!$F$57)/16/M55,符文养成!$G$15:$G$21,1)</f>
        <v>4</v>
      </c>
      <c r="O55" s="45">
        <f>MATCH(产出预期!O72,秘宝养成!$C$3:$C$14,1)</f>
        <v>9</v>
      </c>
    </row>
    <row r="56" ht="16.5" spans="2:15">
      <c r="B56" s="2">
        <v>54</v>
      </c>
      <c r="C56" s="2">
        <f ca="1">MATCH((OFFSET(产出预期!$C$3,0,产出预期!$B$1)*10+OFFSET(产出预期!$C$4,0,产出预期!$B$1)*10+OFFSET(产出预期!$C$7,0,产出预期!$B$1)*20)*B56/10*60,玩家等级!$E$3:$E$302,1)</f>
        <v>56</v>
      </c>
      <c r="D56" s="2">
        <f>MATCH(产出预期!P73/6,装备养成!$G$4:$G$303,1)</f>
        <v>77</v>
      </c>
      <c r="E56" s="2">
        <f>COUNTIF(产出预期!$R73:$Y73,"&gt;"&amp;0)</f>
        <v>7</v>
      </c>
      <c r="F56" s="2">
        <f ca="1">MATCH(OFFSET(产出预期!$R$19,B56,E56-1),装备养成!$S$4:$S$9,1)</f>
        <v>5</v>
      </c>
      <c r="G56" s="2" t="str">
        <f ca="1">OFFSET(梦灵养成!$D$9,MATCH(梦灵养成!C87,梦灵养成!$C$10:$C$28,1),0)</f>
        <v>我爱沙</v>
      </c>
      <c r="H56" s="2" t="str">
        <f ca="1">OFFSET(梦灵养成!$I$9,MATCH(梦灵养成!C87,梦灵养成!$C$10:$C$28,1),0)</f>
        <v>后羿</v>
      </c>
      <c r="I56" s="45" cm="1">
        <f ca="1" t="array" ref="I56">IFERROR(MATCH(((产出预期!$M73-OFFSET(梦灵养成!$Q$9,MATCH(产出预期!$M73,梦灵养成!$Q$10:$Q$15,1),0))*OFFSET(梦灵养成!L$9,1+MATCH(产出预期!$M73,梦灵养成!$Q$10:$Q$15,1),0)+梦灵养成!D392+SUMPRODUCT(--(梦灵养成!$Q$10:$Q$15&lt;=产出预期!$M73),梦灵养成!L$10:L$15,梦灵养成!$P$10:$P$15))/MAX(SUMPRODUCT(--(梦灵养成!$C$10:$C$31&lt;=产出预期!$M73),--(梦灵养成!$E$10:$E$31=I$2)),1)*10,梦灵养成!AT$339:AT$387,1),0)</f>
        <v>49</v>
      </c>
      <c r="J56" s="45" cm="1">
        <f ca="1" t="array" ref="J56">IFERROR(MATCH(((产出预期!$M73-OFFSET(梦灵养成!$Q$9,MATCH(产出预期!$M73,梦灵养成!$Q$10:$Q$15,1),0))*OFFSET(梦灵养成!M$9,1+MATCH(产出预期!$M73,梦灵养成!$Q$10:$Q$15,1),0)+梦灵养成!E392+SUMPRODUCT(--(梦灵养成!$Q$10:$Q$15&lt;=产出预期!$M73),梦灵养成!M$10:M$15,梦灵养成!$P$10:$P$15))/MAX(SUMPRODUCT(--(梦灵养成!$C$10:$C$31&lt;=产出预期!$M73),--(梦灵养成!$E$10:$E$31=J$2)),1)*10,梦灵养成!AU$339:AU$387,1),0)</f>
        <v>47</v>
      </c>
      <c r="K56" s="45" cm="1">
        <f ca="1" t="array" ref="K56">IFERROR(MATCH(((产出预期!$M73-OFFSET(梦灵养成!$Q$9,MATCH(产出预期!$M73,梦灵养成!$Q$10:$Q$15,1),0))*OFFSET(梦灵养成!N$9,1+MATCH(产出预期!$M73,梦灵养成!$Q$10:$Q$15,1),0)+梦灵养成!F392+SUMPRODUCT(--(梦灵养成!$Q$10:$Q$15&lt;=产出预期!$M73),梦灵养成!N$10:N$15,梦灵养成!$P$10:$P$15))/MAX(SUMPRODUCT(--(梦灵养成!$C$10:$C$31&lt;=产出预期!$M73),--(梦灵养成!$E$10:$E$31=K$2)),1)*10,梦灵养成!AV$339:AV$387,1),0)</f>
        <v>49</v>
      </c>
      <c r="L56" s="45" cm="1">
        <f ca="1" t="array" ref="L56">IFERROR(MATCH(((产出预期!$M73-OFFSET(梦灵养成!$Q$9,MATCH(产出预期!$M73,梦灵养成!$Q$10:$Q$15,1),0))*OFFSET(梦灵养成!O$9,1+MATCH(产出预期!$M73,梦灵养成!$Q$10:$Q$15,1),0)+梦灵养成!G392+SUMPRODUCT(--(梦灵养成!$Q$10:$Q$15&lt;=产出预期!$M73),梦灵养成!O$10:O$15,梦灵养成!$P$10:$P$15))/MAX(SUMPRODUCT(--(梦灵养成!$C$10:$C$31&lt;=产出预期!$M73),--(梦灵养成!$E$10:$E$31=L$2)),1)*10,梦灵养成!AW$339:AW$388,1),0)</f>
        <v>37</v>
      </c>
      <c r="M56" s="45">
        <f ca="1">OFFSET(符文养成!$C$14,MATCH(C56,符文养成!$B$15:$B$44,1),0)</f>
        <v>30</v>
      </c>
      <c r="N56" s="45">
        <f ca="1">MATCH((产出预期!Z73*价值表!$F$53+产出预期!AA73*价值表!$F$54+产出预期!AD73*价值表!$F$57)/16/M56,符文养成!$G$15:$G$21,1)</f>
        <v>4</v>
      </c>
      <c r="O56" s="45">
        <f>MATCH(产出预期!O73,秘宝养成!$C$3:$C$14,1)</f>
        <v>9</v>
      </c>
    </row>
    <row r="57" ht="16.5" spans="2:15">
      <c r="B57" s="2">
        <v>55</v>
      </c>
      <c r="C57" s="2">
        <f ca="1">MATCH((OFFSET(产出预期!$C$3,0,产出预期!$B$1)*10+OFFSET(产出预期!$C$4,0,产出预期!$B$1)*10+OFFSET(产出预期!$C$7,0,产出预期!$B$1)*20)*B57/10*60,玩家等级!$E$3:$E$302,1)</f>
        <v>57</v>
      </c>
      <c r="D57" s="2">
        <f>MATCH(产出预期!P74/6,装备养成!$G$4:$G$303,1)</f>
        <v>78</v>
      </c>
      <c r="E57" s="2">
        <f>COUNTIF(产出预期!$R74:$Y74,"&gt;"&amp;0)</f>
        <v>7</v>
      </c>
      <c r="F57" s="2">
        <f ca="1">MATCH(OFFSET(产出预期!$R$19,B57,E57-1),装备养成!$S$4:$S$9,1)</f>
        <v>5</v>
      </c>
      <c r="G57" s="2" t="str">
        <f ca="1">OFFSET(梦灵养成!$D$9,MATCH(梦灵养成!C88,梦灵养成!$C$10:$C$28,1),0)</f>
        <v>我爱沙</v>
      </c>
      <c r="H57" s="2" t="str">
        <f ca="1">OFFSET(梦灵养成!$I$9,MATCH(梦灵养成!C88,梦灵养成!$C$10:$C$28,1),0)</f>
        <v>后羿</v>
      </c>
      <c r="I57" s="45" cm="1">
        <f ca="1" t="array" ref="I57">IFERROR(MATCH(((产出预期!$M74-OFFSET(梦灵养成!$Q$9,MATCH(产出预期!$M74,梦灵养成!$Q$10:$Q$15,1),0))*OFFSET(梦灵养成!L$9,1+MATCH(产出预期!$M74,梦灵养成!$Q$10:$Q$15,1),0)+梦灵养成!D393+SUMPRODUCT(--(梦灵养成!$Q$10:$Q$15&lt;=产出预期!$M74),梦灵养成!L$10:L$15,梦灵养成!$P$10:$P$15))/MAX(SUMPRODUCT(--(梦灵养成!$C$10:$C$31&lt;=产出预期!$M74),--(梦灵养成!$E$10:$E$31=I$2)),1)*10,梦灵养成!AT$339:AT$387,1),0)</f>
        <v>49</v>
      </c>
      <c r="J57" s="45" cm="1">
        <f ca="1" t="array" ref="J57">IFERROR(MATCH(((产出预期!$M74-OFFSET(梦灵养成!$Q$9,MATCH(产出预期!$M74,梦灵养成!$Q$10:$Q$15,1),0))*OFFSET(梦灵养成!M$9,1+MATCH(产出预期!$M74,梦灵养成!$Q$10:$Q$15,1),0)+梦灵养成!E393+SUMPRODUCT(--(梦灵养成!$Q$10:$Q$15&lt;=产出预期!$M74),梦灵养成!M$10:M$15,梦灵养成!$P$10:$P$15))/MAX(SUMPRODUCT(--(梦灵养成!$C$10:$C$31&lt;=产出预期!$M74),--(梦灵养成!$E$10:$E$31=J$2)),1)*10,梦灵养成!AU$339:AU$387,1),0)</f>
        <v>48</v>
      </c>
      <c r="K57" s="45" cm="1">
        <f ca="1" t="array" ref="K57">IFERROR(MATCH(((产出预期!$M74-OFFSET(梦灵养成!$Q$9,MATCH(产出预期!$M74,梦灵养成!$Q$10:$Q$15,1),0))*OFFSET(梦灵养成!N$9,1+MATCH(产出预期!$M74,梦灵养成!$Q$10:$Q$15,1),0)+梦灵养成!F393+SUMPRODUCT(--(梦灵养成!$Q$10:$Q$15&lt;=产出预期!$M74),梦灵养成!N$10:N$15,梦灵养成!$P$10:$P$15))/MAX(SUMPRODUCT(--(梦灵养成!$C$10:$C$31&lt;=产出预期!$M74),--(梦灵养成!$E$10:$E$31=K$2)),1)*10,梦灵养成!AV$339:AV$387,1),0)</f>
        <v>49</v>
      </c>
      <c r="L57" s="45" cm="1">
        <f ca="1" t="array" ref="L57">IFERROR(MATCH(((产出预期!$M74-OFFSET(梦灵养成!$Q$9,MATCH(产出预期!$M74,梦灵养成!$Q$10:$Q$15,1),0))*OFFSET(梦灵养成!O$9,1+MATCH(产出预期!$M74,梦灵养成!$Q$10:$Q$15,1),0)+梦灵养成!G393+SUMPRODUCT(--(梦灵养成!$Q$10:$Q$15&lt;=产出预期!$M74),梦灵养成!O$10:O$15,梦灵养成!$P$10:$P$15))/MAX(SUMPRODUCT(--(梦灵养成!$C$10:$C$31&lt;=产出预期!$M74),--(梦灵养成!$E$10:$E$31=L$2)),1)*10,梦灵养成!AW$339:AW$388,1),0)</f>
        <v>37</v>
      </c>
      <c r="M57" s="45">
        <f ca="1">OFFSET(符文养成!$C$14,MATCH(C57,符文养成!$B$15:$B$44,1),0)</f>
        <v>30</v>
      </c>
      <c r="N57" s="45">
        <f ca="1">MATCH((产出预期!Z74*价值表!$F$53+产出预期!AA74*价值表!$F$54+产出预期!AD74*价值表!$F$57)/16/M57,符文养成!$G$15:$G$21,1)</f>
        <v>4</v>
      </c>
      <c r="O57" s="45">
        <f>MATCH(产出预期!O74,秘宝养成!$C$3:$C$14,1)</f>
        <v>9</v>
      </c>
    </row>
    <row r="58" ht="16.5" spans="2:15">
      <c r="B58" s="2">
        <v>56</v>
      </c>
      <c r="C58" s="2">
        <f ca="1">MATCH((OFFSET(产出预期!$C$3,0,产出预期!$B$1)*10+OFFSET(产出预期!$C$4,0,产出预期!$B$1)*10+OFFSET(产出预期!$C$7,0,产出预期!$B$1)*20)*B58/10*60,玩家等级!$E$3:$E$302,1)</f>
        <v>57</v>
      </c>
      <c r="D58" s="2">
        <f>MATCH(产出预期!P75/6,装备养成!$G$4:$G$303,1)</f>
        <v>79</v>
      </c>
      <c r="E58" s="2">
        <f>COUNTIF(产出预期!$R75:$Y75,"&gt;"&amp;0)</f>
        <v>7</v>
      </c>
      <c r="F58" s="2">
        <f ca="1">MATCH(OFFSET(产出预期!$R$19,B58,E58-1),装备养成!$S$4:$S$9,1)</f>
        <v>5</v>
      </c>
      <c r="G58" s="2" t="str">
        <f ca="1">OFFSET(梦灵养成!$D$9,MATCH(梦灵养成!C89,梦灵养成!$C$10:$C$28,1),0)</f>
        <v>我爱沙</v>
      </c>
      <c r="H58" s="2" t="str">
        <f ca="1">OFFSET(梦灵养成!$I$9,MATCH(梦灵养成!C89,梦灵养成!$C$10:$C$28,1),0)</f>
        <v>后羿</v>
      </c>
      <c r="I58" s="45" cm="1">
        <f ca="1" t="array" ref="I58">IFERROR(MATCH(((产出预期!$M75-OFFSET(梦灵养成!$Q$9,MATCH(产出预期!$M75,梦灵养成!$Q$10:$Q$15,1),0))*OFFSET(梦灵养成!L$9,1+MATCH(产出预期!$M75,梦灵养成!$Q$10:$Q$15,1),0)+梦灵养成!D394+SUMPRODUCT(--(梦灵养成!$Q$10:$Q$15&lt;=产出预期!$M75),梦灵养成!L$10:L$15,梦灵养成!$P$10:$P$15))/MAX(SUMPRODUCT(--(梦灵养成!$C$10:$C$31&lt;=产出预期!$M75),--(梦灵养成!$E$10:$E$31=I$2)),1)*10,梦灵养成!AT$339:AT$387,1),0)</f>
        <v>49</v>
      </c>
      <c r="J58" s="45" cm="1">
        <f ca="1" t="array" ref="J58">IFERROR(MATCH(((产出预期!$M75-OFFSET(梦灵养成!$Q$9,MATCH(产出预期!$M75,梦灵养成!$Q$10:$Q$15,1),0))*OFFSET(梦灵养成!M$9,1+MATCH(产出预期!$M75,梦灵养成!$Q$10:$Q$15,1),0)+梦灵养成!E394+SUMPRODUCT(--(梦灵养成!$Q$10:$Q$15&lt;=产出预期!$M75),梦灵养成!M$10:M$15,梦灵养成!$P$10:$P$15))/MAX(SUMPRODUCT(--(梦灵养成!$C$10:$C$31&lt;=产出预期!$M75),--(梦灵养成!$E$10:$E$31=J$2)),1)*10,梦灵养成!AU$339:AU$387,1),0)</f>
        <v>48</v>
      </c>
      <c r="K58" s="45" cm="1">
        <f ca="1" t="array" ref="K58">IFERROR(MATCH(((产出预期!$M75-OFFSET(梦灵养成!$Q$9,MATCH(产出预期!$M75,梦灵养成!$Q$10:$Q$15,1),0))*OFFSET(梦灵养成!N$9,1+MATCH(产出预期!$M75,梦灵养成!$Q$10:$Q$15,1),0)+梦灵养成!F394+SUMPRODUCT(--(梦灵养成!$Q$10:$Q$15&lt;=产出预期!$M75),梦灵养成!N$10:N$15,梦灵养成!$P$10:$P$15))/MAX(SUMPRODUCT(--(梦灵养成!$C$10:$C$31&lt;=产出预期!$M75),--(梦灵养成!$E$10:$E$31=K$2)),1)*10,梦灵养成!AV$339:AV$387,1),0)</f>
        <v>49</v>
      </c>
      <c r="L58" s="45" cm="1">
        <f ca="1" t="array" ref="L58">IFERROR(MATCH(((产出预期!$M75-OFFSET(梦灵养成!$Q$9,MATCH(产出预期!$M75,梦灵养成!$Q$10:$Q$15,1),0))*OFFSET(梦灵养成!O$9,1+MATCH(产出预期!$M75,梦灵养成!$Q$10:$Q$15,1),0)+梦灵养成!G394+SUMPRODUCT(--(梦灵养成!$Q$10:$Q$15&lt;=产出预期!$M75),梦灵养成!O$10:O$15,梦灵养成!$P$10:$P$15))/MAX(SUMPRODUCT(--(梦灵养成!$C$10:$C$31&lt;=产出预期!$M75),--(梦灵养成!$E$10:$E$31=L$2)),1)*10,梦灵养成!AW$339:AW$388,1),0)</f>
        <v>37</v>
      </c>
      <c r="M58" s="45">
        <f ca="1">OFFSET(符文养成!$C$14,MATCH(C58,符文养成!$B$15:$B$44,1),0)</f>
        <v>30</v>
      </c>
      <c r="N58" s="45">
        <f ca="1">MATCH((产出预期!Z75*价值表!$F$53+产出预期!AA75*价值表!$F$54+产出预期!AD75*价值表!$F$57)/16/M58,符文养成!$G$15:$G$21,1)</f>
        <v>4</v>
      </c>
      <c r="O58" s="45">
        <f>MATCH(产出预期!O75,秘宝养成!$C$3:$C$14,1)</f>
        <v>9</v>
      </c>
    </row>
    <row r="59" ht="16.5" spans="2:15">
      <c r="B59" s="2">
        <v>57</v>
      </c>
      <c r="C59" s="2">
        <f ca="1">MATCH((OFFSET(产出预期!$C$3,0,产出预期!$B$1)*10+OFFSET(产出预期!$C$4,0,产出预期!$B$1)*10+OFFSET(产出预期!$C$7,0,产出预期!$B$1)*20)*B59/10*60,玩家等级!$E$3:$E$302,1)</f>
        <v>58</v>
      </c>
      <c r="D59" s="2">
        <f>MATCH(产出预期!P76/6,装备养成!$G$4:$G$303,1)</f>
        <v>79</v>
      </c>
      <c r="E59" s="2">
        <f>COUNTIF(产出预期!$R76:$Y76,"&gt;"&amp;0)</f>
        <v>7</v>
      </c>
      <c r="F59" s="2">
        <f ca="1">MATCH(OFFSET(产出预期!$R$19,B59,E59-1),装备养成!$S$4:$S$9,1)</f>
        <v>6</v>
      </c>
      <c r="G59" s="2" t="str">
        <f ca="1">OFFSET(梦灵养成!$D$9,MATCH(梦灵养成!C90,梦灵养成!$C$10:$C$28,1),0)</f>
        <v>我爱沙</v>
      </c>
      <c r="H59" s="2" t="str">
        <f ca="1">OFFSET(梦灵养成!$I$9,MATCH(梦灵养成!C90,梦灵养成!$C$10:$C$28,1),0)</f>
        <v>后羿</v>
      </c>
      <c r="I59" s="45" cm="1">
        <f ca="1" t="array" ref="I59">IFERROR(MATCH(((产出预期!$M76-OFFSET(梦灵养成!$Q$9,MATCH(产出预期!$M76,梦灵养成!$Q$10:$Q$15,1),0))*OFFSET(梦灵养成!L$9,1+MATCH(产出预期!$M76,梦灵养成!$Q$10:$Q$15,1),0)+梦灵养成!D395+SUMPRODUCT(--(梦灵养成!$Q$10:$Q$15&lt;=产出预期!$M76),梦灵养成!L$10:L$15,梦灵养成!$P$10:$P$15))/MAX(SUMPRODUCT(--(梦灵养成!$C$10:$C$31&lt;=产出预期!$M76),--(梦灵养成!$E$10:$E$31=I$2)),1)*10,梦灵养成!AT$339:AT$387,1),0)</f>
        <v>49</v>
      </c>
      <c r="J59" s="45" cm="1">
        <f ca="1" t="array" ref="J59">IFERROR(MATCH(((产出预期!$M76-OFFSET(梦灵养成!$Q$9,MATCH(产出预期!$M76,梦灵养成!$Q$10:$Q$15,1),0))*OFFSET(梦灵养成!M$9,1+MATCH(产出预期!$M76,梦灵养成!$Q$10:$Q$15,1),0)+梦灵养成!E395+SUMPRODUCT(--(梦灵养成!$Q$10:$Q$15&lt;=产出预期!$M76),梦灵养成!M$10:M$15,梦灵养成!$P$10:$P$15))/MAX(SUMPRODUCT(--(梦灵养成!$C$10:$C$31&lt;=产出预期!$M76),--(梦灵养成!$E$10:$E$31=J$2)),1)*10,梦灵养成!AU$339:AU$387,1),0)</f>
        <v>48</v>
      </c>
      <c r="K59" s="45" cm="1">
        <f ca="1" t="array" ref="K59">IFERROR(MATCH(((产出预期!$M76-OFFSET(梦灵养成!$Q$9,MATCH(产出预期!$M76,梦灵养成!$Q$10:$Q$15,1),0))*OFFSET(梦灵养成!N$9,1+MATCH(产出预期!$M76,梦灵养成!$Q$10:$Q$15,1),0)+梦灵养成!F395+SUMPRODUCT(--(梦灵养成!$Q$10:$Q$15&lt;=产出预期!$M76),梦灵养成!N$10:N$15,梦灵养成!$P$10:$P$15))/MAX(SUMPRODUCT(--(梦灵养成!$C$10:$C$31&lt;=产出预期!$M76),--(梦灵养成!$E$10:$E$31=K$2)),1)*10,梦灵养成!AV$339:AV$387,1),0)</f>
        <v>49</v>
      </c>
      <c r="L59" s="45" cm="1">
        <f ca="1" t="array" ref="L59">IFERROR(MATCH(((产出预期!$M76-OFFSET(梦灵养成!$Q$9,MATCH(产出预期!$M76,梦灵养成!$Q$10:$Q$15,1),0))*OFFSET(梦灵养成!O$9,1+MATCH(产出预期!$M76,梦灵养成!$Q$10:$Q$15,1),0)+梦灵养成!G395+SUMPRODUCT(--(梦灵养成!$Q$10:$Q$15&lt;=产出预期!$M76),梦灵养成!O$10:O$15,梦灵养成!$P$10:$P$15))/MAX(SUMPRODUCT(--(梦灵养成!$C$10:$C$31&lt;=产出预期!$M76),--(梦灵养成!$E$10:$E$31=L$2)),1)*10,梦灵养成!AW$339:AW$388,1),0)</f>
        <v>38</v>
      </c>
      <c r="M59" s="45">
        <f ca="1">OFFSET(符文养成!$C$14,MATCH(C59,符文养成!$B$15:$B$44,1),0)</f>
        <v>30</v>
      </c>
      <c r="N59" s="45">
        <f ca="1">MATCH((产出预期!Z76*价值表!$F$53+产出预期!AA76*价值表!$F$54+产出预期!AD76*价值表!$F$57)/16/M59,符文养成!$G$15:$G$21,1)</f>
        <v>4</v>
      </c>
      <c r="O59" s="45">
        <f>MATCH(产出预期!O76,秘宝养成!$C$3:$C$14,1)</f>
        <v>9</v>
      </c>
    </row>
    <row r="60" ht="16.5" spans="2:15">
      <c r="B60" s="2">
        <v>58</v>
      </c>
      <c r="C60" s="2">
        <f ca="1">MATCH((OFFSET(产出预期!$C$3,0,产出预期!$B$1)*10+OFFSET(产出预期!$C$4,0,产出预期!$B$1)*10+OFFSET(产出预期!$C$7,0,产出预期!$B$1)*20)*B60/10*60,玩家等级!$E$3:$E$302,1)</f>
        <v>58</v>
      </c>
      <c r="D60" s="2">
        <f>MATCH(产出预期!P77/6,装备养成!$G$4:$G$303,1)</f>
        <v>80</v>
      </c>
      <c r="E60" s="2">
        <f>COUNTIF(产出预期!$R77:$Y77,"&gt;"&amp;0)</f>
        <v>7</v>
      </c>
      <c r="F60" s="2">
        <f ca="1">MATCH(OFFSET(产出预期!$R$19,B60,E60-1),装备养成!$S$4:$S$9,1)</f>
        <v>6</v>
      </c>
      <c r="G60" s="2" t="str">
        <f ca="1">OFFSET(梦灵养成!$D$9,MATCH(梦灵养成!C91,梦灵养成!$C$10:$C$28,1),0)</f>
        <v>我爱沙</v>
      </c>
      <c r="H60" s="2" t="str">
        <f ca="1">OFFSET(梦灵养成!$I$9,MATCH(梦灵养成!C91,梦灵养成!$C$10:$C$28,1),0)</f>
        <v>后羿</v>
      </c>
      <c r="I60" s="45" cm="1">
        <f ca="1" t="array" ref="I60">IFERROR(MATCH(((产出预期!$M77-OFFSET(梦灵养成!$Q$9,MATCH(产出预期!$M77,梦灵养成!$Q$10:$Q$15,1),0))*OFFSET(梦灵养成!L$9,1+MATCH(产出预期!$M77,梦灵养成!$Q$10:$Q$15,1),0)+梦灵养成!D396+SUMPRODUCT(--(梦灵养成!$Q$10:$Q$15&lt;=产出预期!$M77),梦灵养成!L$10:L$15,梦灵养成!$P$10:$P$15))/MAX(SUMPRODUCT(--(梦灵养成!$C$10:$C$31&lt;=产出预期!$M77),--(梦灵养成!$E$10:$E$31=I$2)),1)*10,梦灵养成!AT$339:AT$387,1),0)</f>
        <v>49</v>
      </c>
      <c r="J60" s="45" cm="1">
        <f ca="1" t="array" ref="J60">IFERROR(MATCH(((产出预期!$M77-OFFSET(梦灵养成!$Q$9,MATCH(产出预期!$M77,梦灵养成!$Q$10:$Q$15,1),0))*OFFSET(梦灵养成!M$9,1+MATCH(产出预期!$M77,梦灵养成!$Q$10:$Q$15,1),0)+梦灵养成!E396+SUMPRODUCT(--(梦灵养成!$Q$10:$Q$15&lt;=产出预期!$M77),梦灵养成!M$10:M$15,梦灵养成!$P$10:$P$15))/MAX(SUMPRODUCT(--(梦灵养成!$C$10:$C$31&lt;=产出预期!$M77),--(梦灵养成!$E$10:$E$31=J$2)),1)*10,梦灵养成!AU$339:AU$387,1),0)</f>
        <v>48</v>
      </c>
      <c r="K60" s="45" cm="1">
        <f ca="1" t="array" ref="K60">IFERROR(MATCH(((产出预期!$M77-OFFSET(梦灵养成!$Q$9,MATCH(产出预期!$M77,梦灵养成!$Q$10:$Q$15,1),0))*OFFSET(梦灵养成!N$9,1+MATCH(产出预期!$M77,梦灵养成!$Q$10:$Q$15,1),0)+梦灵养成!F396+SUMPRODUCT(--(梦灵养成!$Q$10:$Q$15&lt;=产出预期!$M77),梦灵养成!N$10:N$15,梦灵养成!$P$10:$P$15))/MAX(SUMPRODUCT(--(梦灵养成!$C$10:$C$31&lt;=产出预期!$M77),--(梦灵养成!$E$10:$E$31=K$2)),1)*10,梦灵养成!AV$339:AV$387,1),0)</f>
        <v>49</v>
      </c>
      <c r="L60" s="45" cm="1">
        <f ca="1" t="array" ref="L60">IFERROR(MATCH(((产出预期!$M77-OFFSET(梦灵养成!$Q$9,MATCH(产出预期!$M77,梦灵养成!$Q$10:$Q$15,1),0))*OFFSET(梦灵养成!O$9,1+MATCH(产出预期!$M77,梦灵养成!$Q$10:$Q$15,1),0)+梦灵养成!G396+SUMPRODUCT(--(梦灵养成!$Q$10:$Q$15&lt;=产出预期!$M77),梦灵养成!O$10:O$15,梦灵养成!$P$10:$P$15))/MAX(SUMPRODUCT(--(梦灵养成!$C$10:$C$31&lt;=产出预期!$M77),--(梦灵养成!$E$10:$E$31=L$2)),1)*10,梦灵养成!AW$339:AW$388,1),0)</f>
        <v>38</v>
      </c>
      <c r="M60" s="45">
        <f ca="1">OFFSET(符文养成!$C$14,MATCH(C60,符文养成!$B$15:$B$44,1),0)</f>
        <v>30</v>
      </c>
      <c r="N60" s="45">
        <f ca="1">MATCH((产出预期!Z77*价值表!$F$53+产出预期!AA77*价值表!$F$54+产出预期!AD77*价值表!$F$57)/16/M60,符文养成!$G$15:$G$21,1)</f>
        <v>4</v>
      </c>
      <c r="O60" s="45">
        <f>MATCH(产出预期!O77,秘宝养成!$C$3:$C$14,1)</f>
        <v>9</v>
      </c>
    </row>
    <row r="61" ht="16.5" spans="2:15">
      <c r="B61" s="2">
        <v>59</v>
      </c>
      <c r="C61" s="2">
        <f ca="1">MATCH((OFFSET(产出预期!$C$3,0,产出预期!$B$1)*10+OFFSET(产出预期!$C$4,0,产出预期!$B$1)*10+OFFSET(产出预期!$C$7,0,产出预期!$B$1)*20)*B61/10*60,玩家等级!$E$3:$E$302,1)</f>
        <v>58</v>
      </c>
      <c r="D61" s="2">
        <f>MATCH(产出预期!P78/6,装备养成!$G$4:$G$303,1)</f>
        <v>81</v>
      </c>
      <c r="E61" s="2">
        <f>COUNTIF(产出预期!$R78:$Y78,"&gt;"&amp;0)</f>
        <v>7</v>
      </c>
      <c r="F61" s="2">
        <f ca="1">MATCH(OFFSET(产出预期!$R$19,B61,E61-1),装备养成!$S$4:$S$9,1)</f>
        <v>6</v>
      </c>
      <c r="G61" s="2" t="str">
        <f ca="1">OFFSET(梦灵养成!$D$9,MATCH(梦灵养成!C92,梦灵养成!$C$10:$C$28,1),0)</f>
        <v>我爱沙</v>
      </c>
      <c r="H61" s="2" t="str">
        <f ca="1">OFFSET(梦灵养成!$I$9,MATCH(梦灵养成!C92,梦灵养成!$C$10:$C$28,1),0)</f>
        <v>后羿</v>
      </c>
      <c r="I61" s="45" cm="1">
        <f ca="1" t="array" ref="I61">IFERROR(MATCH(((产出预期!$M78-OFFSET(梦灵养成!$Q$9,MATCH(产出预期!$M78,梦灵养成!$Q$10:$Q$15,1),0))*OFFSET(梦灵养成!L$9,1+MATCH(产出预期!$M78,梦灵养成!$Q$10:$Q$15,1),0)+梦灵养成!D397+SUMPRODUCT(--(梦灵养成!$Q$10:$Q$15&lt;=产出预期!$M78),梦灵养成!L$10:L$15,梦灵养成!$P$10:$P$15))/MAX(SUMPRODUCT(--(梦灵养成!$C$10:$C$31&lt;=产出预期!$M78),--(梦灵养成!$E$10:$E$31=I$2)),1)*10,梦灵养成!AT$339:AT$387,1),0)</f>
        <v>49</v>
      </c>
      <c r="J61" s="45" cm="1">
        <f ca="1" t="array" ref="J61">IFERROR(MATCH(((产出预期!$M78-OFFSET(梦灵养成!$Q$9,MATCH(产出预期!$M78,梦灵养成!$Q$10:$Q$15,1),0))*OFFSET(梦灵养成!M$9,1+MATCH(产出预期!$M78,梦灵养成!$Q$10:$Q$15,1),0)+梦灵养成!E397+SUMPRODUCT(--(梦灵养成!$Q$10:$Q$15&lt;=产出预期!$M78),梦灵养成!M$10:M$15,梦灵养成!$P$10:$P$15))/MAX(SUMPRODUCT(--(梦灵养成!$C$10:$C$31&lt;=产出预期!$M78),--(梦灵养成!$E$10:$E$31=J$2)),1)*10,梦灵养成!AU$339:AU$387,1),0)</f>
        <v>48</v>
      </c>
      <c r="K61" s="45" cm="1">
        <f ca="1" t="array" ref="K61">IFERROR(MATCH(((产出预期!$M78-OFFSET(梦灵养成!$Q$9,MATCH(产出预期!$M78,梦灵养成!$Q$10:$Q$15,1),0))*OFFSET(梦灵养成!N$9,1+MATCH(产出预期!$M78,梦灵养成!$Q$10:$Q$15,1),0)+梦灵养成!F397+SUMPRODUCT(--(梦灵养成!$Q$10:$Q$15&lt;=产出预期!$M78),梦灵养成!N$10:N$15,梦灵养成!$P$10:$P$15))/MAX(SUMPRODUCT(--(梦灵养成!$C$10:$C$31&lt;=产出预期!$M78),--(梦灵养成!$E$10:$E$31=K$2)),1)*10,梦灵养成!AV$339:AV$387,1),0)</f>
        <v>49</v>
      </c>
      <c r="L61" s="45" cm="1">
        <f ca="1" t="array" ref="L61">IFERROR(MATCH(((产出预期!$M78-OFFSET(梦灵养成!$Q$9,MATCH(产出预期!$M78,梦灵养成!$Q$10:$Q$15,1),0))*OFFSET(梦灵养成!O$9,1+MATCH(产出预期!$M78,梦灵养成!$Q$10:$Q$15,1),0)+梦灵养成!G397+SUMPRODUCT(--(梦灵养成!$Q$10:$Q$15&lt;=产出预期!$M78),梦灵养成!O$10:O$15,梦灵养成!$P$10:$P$15))/MAX(SUMPRODUCT(--(梦灵养成!$C$10:$C$31&lt;=产出预期!$M78),--(梦灵养成!$E$10:$E$31=L$2)),1)*10,梦灵养成!AW$339:AW$388,1),0)</f>
        <v>38</v>
      </c>
      <c r="M61" s="45">
        <f ca="1">OFFSET(符文养成!$C$14,MATCH(C61,符文养成!$B$15:$B$44,1),0)</f>
        <v>30</v>
      </c>
      <c r="N61" s="45">
        <f ca="1">MATCH((产出预期!Z78*价值表!$F$53+产出预期!AA78*价值表!$F$54+产出预期!AD78*价值表!$F$57)/16/M61,符文养成!$G$15:$G$21,1)</f>
        <v>4</v>
      </c>
      <c r="O61" s="45">
        <f>MATCH(产出预期!O78,秘宝养成!$C$3:$C$14,1)</f>
        <v>9</v>
      </c>
    </row>
    <row r="62" ht="16.5" spans="2:15">
      <c r="B62" s="2">
        <v>60</v>
      </c>
      <c r="C62" s="2">
        <f ca="1">MATCH((OFFSET(产出预期!$C$3,0,产出预期!$B$1)*10+OFFSET(产出预期!$C$4,0,产出预期!$B$1)*10+OFFSET(产出预期!$C$7,0,产出预期!$B$1)*20)*B62/10*60,玩家等级!$E$3:$E$302,1)</f>
        <v>58</v>
      </c>
      <c r="D62" s="2">
        <f>MATCH(产出预期!P79/6,装备养成!$G$4:$G$303,1)</f>
        <v>81</v>
      </c>
      <c r="E62" s="2">
        <f>COUNTIF(产出预期!$R79:$Y79,"&gt;"&amp;0)</f>
        <v>7</v>
      </c>
      <c r="F62" s="2">
        <f ca="1">MATCH(OFFSET(产出预期!$R$19,B62,E62-1),装备养成!$S$4:$S$9,1)</f>
        <v>6</v>
      </c>
      <c r="G62" s="2" t="str">
        <f ca="1">OFFSET(梦灵养成!$D$9,MATCH(梦灵养成!C93,梦灵养成!$C$10:$C$28,1),0)</f>
        <v>我爱沙</v>
      </c>
      <c r="H62" s="2" t="str">
        <f ca="1">OFFSET(梦灵养成!$I$9,MATCH(梦灵养成!C93,梦灵养成!$C$10:$C$28,1),0)</f>
        <v>后羿</v>
      </c>
      <c r="I62" s="45" cm="1">
        <f ca="1" t="array" ref="I62">IFERROR(MATCH(((产出预期!$M79-OFFSET(梦灵养成!$Q$9,MATCH(产出预期!$M79,梦灵养成!$Q$10:$Q$15,1),0))*OFFSET(梦灵养成!L$9,1+MATCH(产出预期!$M79,梦灵养成!$Q$10:$Q$15,1),0)+梦灵养成!D398+SUMPRODUCT(--(梦灵养成!$Q$10:$Q$15&lt;=产出预期!$M79),梦灵养成!L$10:L$15,梦灵养成!$P$10:$P$15))/MAX(SUMPRODUCT(--(梦灵养成!$C$10:$C$31&lt;=产出预期!$M79),--(梦灵养成!$E$10:$E$31=I$2)),1)*10,梦灵养成!AT$339:AT$387,1),0)</f>
        <v>49</v>
      </c>
      <c r="J62" s="45" cm="1">
        <f ca="1" t="array" ref="J62">IFERROR(MATCH(((产出预期!$M79-OFFSET(梦灵养成!$Q$9,MATCH(产出预期!$M79,梦灵养成!$Q$10:$Q$15,1),0))*OFFSET(梦灵养成!M$9,1+MATCH(产出预期!$M79,梦灵养成!$Q$10:$Q$15,1),0)+梦灵养成!E398+SUMPRODUCT(--(梦灵养成!$Q$10:$Q$15&lt;=产出预期!$M79),梦灵养成!M$10:M$15,梦灵养成!$P$10:$P$15))/MAX(SUMPRODUCT(--(梦灵养成!$C$10:$C$31&lt;=产出预期!$M79),--(梦灵养成!$E$10:$E$31=J$2)),1)*10,梦灵养成!AU$339:AU$387,1),0)</f>
        <v>49</v>
      </c>
      <c r="K62" s="45" cm="1">
        <f ca="1" t="array" ref="K62">IFERROR(MATCH(((产出预期!$M79-OFFSET(梦灵养成!$Q$9,MATCH(产出预期!$M79,梦灵养成!$Q$10:$Q$15,1),0))*OFFSET(梦灵养成!N$9,1+MATCH(产出预期!$M79,梦灵养成!$Q$10:$Q$15,1),0)+梦灵养成!F398+SUMPRODUCT(--(梦灵养成!$Q$10:$Q$15&lt;=产出预期!$M79),梦灵养成!N$10:N$15,梦灵养成!$P$10:$P$15))/MAX(SUMPRODUCT(--(梦灵养成!$C$10:$C$31&lt;=产出预期!$M79),--(梦灵养成!$E$10:$E$31=K$2)),1)*10,梦灵养成!AV$339:AV$387,1),0)</f>
        <v>49</v>
      </c>
      <c r="L62" s="45" cm="1">
        <f ca="1" t="array" ref="L62">IFERROR(MATCH(((产出预期!$M79-OFFSET(梦灵养成!$Q$9,MATCH(产出预期!$M79,梦灵养成!$Q$10:$Q$15,1),0))*OFFSET(梦灵养成!O$9,1+MATCH(产出预期!$M79,梦灵养成!$Q$10:$Q$15,1),0)+梦灵养成!G398+SUMPRODUCT(--(梦灵养成!$Q$10:$Q$15&lt;=产出预期!$M79),梦灵养成!O$10:O$15,梦灵养成!$P$10:$P$15))/MAX(SUMPRODUCT(--(梦灵养成!$C$10:$C$31&lt;=产出预期!$M79),--(梦灵养成!$E$10:$E$31=L$2)),1)*10,梦灵养成!AW$339:AW$388,1),0)</f>
        <v>39</v>
      </c>
      <c r="M62" s="45">
        <f ca="1">OFFSET(符文养成!$C$14,MATCH(C62,符文养成!$B$15:$B$44,1),0)</f>
        <v>30</v>
      </c>
      <c r="N62" s="45">
        <f ca="1">MATCH((产出预期!Z79*价值表!$F$53+产出预期!AA79*价值表!$F$54+产出预期!AD79*价值表!$F$57)/16/M62,符文养成!$G$15:$G$21,1)</f>
        <v>4</v>
      </c>
      <c r="O62" s="45">
        <f>MATCH(产出预期!O79,秘宝养成!$C$3:$C$14,1)</f>
        <v>9</v>
      </c>
    </row>
    <row r="63" ht="16.5" spans="2:15">
      <c r="B63" s="2">
        <v>61</v>
      </c>
      <c r="C63" s="2">
        <f ca="1">MATCH((OFFSET(产出预期!$C$3,0,产出预期!$B$1)*10+OFFSET(产出预期!$C$4,0,产出预期!$B$1)*10+OFFSET(产出预期!$C$7,0,产出预期!$B$1)*20)*B63/10*60,玩家等级!$E$3:$E$302,1)</f>
        <v>58</v>
      </c>
      <c r="D63" s="2">
        <f>MATCH(产出预期!P80/6,装备养成!$G$4:$G$303,1)</f>
        <v>82</v>
      </c>
      <c r="E63" s="2">
        <f>COUNTIF(产出预期!$R80:$Y80,"&gt;"&amp;0)</f>
        <v>7</v>
      </c>
      <c r="F63" s="2">
        <f ca="1">MATCH(OFFSET(产出预期!$R$19,B63,E63-1),装备养成!$S$4:$S$9,1)</f>
        <v>6</v>
      </c>
      <c r="G63" s="2" t="str">
        <f ca="1">OFFSET(梦灵养成!$D$9,MATCH(梦灵养成!C94,梦灵养成!$C$10:$C$28,1),0)</f>
        <v>我爱沙</v>
      </c>
      <c r="H63" s="2" t="str">
        <f ca="1">OFFSET(梦灵养成!$I$9,MATCH(梦灵养成!C94,梦灵养成!$C$10:$C$28,1),0)</f>
        <v>后羿</v>
      </c>
      <c r="I63" s="45" cm="1">
        <f ca="1" t="array" ref="I63">IFERROR(MATCH(((产出预期!$M80-OFFSET(梦灵养成!$Q$9,MATCH(产出预期!$M80,梦灵养成!$Q$10:$Q$15,1),0))*OFFSET(梦灵养成!L$9,1+MATCH(产出预期!$M80,梦灵养成!$Q$10:$Q$15,1),0)+梦灵养成!D399+SUMPRODUCT(--(梦灵养成!$Q$10:$Q$15&lt;=产出预期!$M80),梦灵养成!L$10:L$15,梦灵养成!$P$10:$P$15))/MAX(SUMPRODUCT(--(梦灵养成!$C$10:$C$31&lt;=产出预期!$M80),--(梦灵养成!$E$10:$E$31=I$2)),1)*10,梦灵养成!AT$339:AT$387,1),0)</f>
        <v>49</v>
      </c>
      <c r="J63" s="45" cm="1">
        <f ca="1" t="array" ref="J63">IFERROR(MATCH(((产出预期!$M80-OFFSET(梦灵养成!$Q$9,MATCH(产出预期!$M80,梦灵养成!$Q$10:$Q$15,1),0))*OFFSET(梦灵养成!M$9,1+MATCH(产出预期!$M80,梦灵养成!$Q$10:$Q$15,1),0)+梦灵养成!E399+SUMPRODUCT(--(梦灵养成!$Q$10:$Q$15&lt;=产出预期!$M80),梦灵养成!M$10:M$15,梦灵养成!$P$10:$P$15))/MAX(SUMPRODUCT(--(梦灵养成!$C$10:$C$31&lt;=产出预期!$M80),--(梦灵养成!$E$10:$E$31=J$2)),1)*10,梦灵养成!AU$339:AU$387,1),0)</f>
        <v>49</v>
      </c>
      <c r="K63" s="45" cm="1">
        <f ca="1" t="array" ref="K63">IFERROR(MATCH(((产出预期!$M80-OFFSET(梦灵养成!$Q$9,MATCH(产出预期!$M80,梦灵养成!$Q$10:$Q$15,1),0))*OFFSET(梦灵养成!N$9,1+MATCH(产出预期!$M80,梦灵养成!$Q$10:$Q$15,1),0)+梦灵养成!F399+SUMPRODUCT(--(梦灵养成!$Q$10:$Q$15&lt;=产出预期!$M80),梦灵养成!N$10:N$15,梦灵养成!$P$10:$P$15))/MAX(SUMPRODUCT(--(梦灵养成!$C$10:$C$31&lt;=产出预期!$M80),--(梦灵养成!$E$10:$E$31=K$2)),1)*10,梦灵养成!AV$339:AV$387,1),0)</f>
        <v>49</v>
      </c>
      <c r="L63" s="45" cm="1">
        <f ca="1" t="array" ref="L63">IFERROR(MATCH(((产出预期!$M80-OFFSET(梦灵养成!$Q$9,MATCH(产出预期!$M80,梦灵养成!$Q$10:$Q$15,1),0))*OFFSET(梦灵养成!O$9,1+MATCH(产出预期!$M80,梦灵养成!$Q$10:$Q$15,1),0)+梦灵养成!G399+SUMPRODUCT(--(梦灵养成!$Q$10:$Q$15&lt;=产出预期!$M80),梦灵养成!O$10:O$15,梦灵养成!$P$10:$P$15))/MAX(SUMPRODUCT(--(梦灵养成!$C$10:$C$31&lt;=产出预期!$M80),--(梦灵养成!$E$10:$E$31=L$2)),1)*10,梦灵养成!AW$339:AW$388,1),0)</f>
        <v>39</v>
      </c>
      <c r="M63" s="45">
        <f ca="1">OFFSET(符文养成!$C$14,MATCH(C63,符文养成!$B$15:$B$44,1),0)</f>
        <v>30</v>
      </c>
      <c r="N63" s="45">
        <f ca="1">MATCH((产出预期!Z80*价值表!$F$53+产出预期!AA80*价值表!$F$54+产出预期!AD80*价值表!$F$57)/16/M63,符文养成!$G$15:$G$21,1)</f>
        <v>4</v>
      </c>
      <c r="O63" s="45">
        <f>MATCH(产出预期!O80,秘宝养成!$C$3:$C$14,1)</f>
        <v>9</v>
      </c>
    </row>
    <row r="64" ht="16.5" spans="2:15">
      <c r="B64" s="2">
        <v>62</v>
      </c>
      <c r="C64" s="2">
        <f ca="1">MATCH((OFFSET(产出预期!$C$3,0,产出预期!$B$1)*10+OFFSET(产出预期!$C$4,0,产出预期!$B$1)*10+OFFSET(产出预期!$C$7,0,产出预期!$B$1)*20)*B64/10*60,玩家等级!$E$3:$E$302,1)</f>
        <v>59</v>
      </c>
      <c r="D64" s="2">
        <f>MATCH(产出预期!P81/6,装备养成!$G$4:$G$303,1)</f>
        <v>83</v>
      </c>
      <c r="E64" s="2">
        <f>COUNTIF(产出预期!$R81:$Y81,"&gt;"&amp;0)</f>
        <v>7</v>
      </c>
      <c r="F64" s="2">
        <f ca="1">MATCH(OFFSET(产出预期!$R$19,B64,E64-1),装备养成!$S$4:$S$9,1)</f>
        <v>6</v>
      </c>
      <c r="G64" s="2" t="str">
        <f ca="1">OFFSET(梦灵养成!$D$9,MATCH(梦灵养成!C95,梦灵养成!$C$10:$C$28,1),0)</f>
        <v>我爱沙</v>
      </c>
      <c r="H64" s="2" t="str">
        <f ca="1">OFFSET(梦灵养成!$I$9,MATCH(梦灵养成!C95,梦灵养成!$C$10:$C$28,1),0)</f>
        <v>后羿</v>
      </c>
      <c r="I64" s="45" cm="1">
        <f ca="1" t="array" ref="I64">IFERROR(MATCH(((产出预期!$M81-OFFSET(梦灵养成!$Q$9,MATCH(产出预期!$M81,梦灵养成!$Q$10:$Q$15,1),0))*OFFSET(梦灵养成!L$9,1+MATCH(产出预期!$M81,梦灵养成!$Q$10:$Q$15,1),0)+梦灵养成!D400+SUMPRODUCT(--(梦灵养成!$Q$10:$Q$15&lt;=产出预期!$M81),梦灵养成!L$10:L$15,梦灵养成!$P$10:$P$15))/MAX(SUMPRODUCT(--(梦灵养成!$C$10:$C$31&lt;=产出预期!$M81),--(梦灵养成!$E$10:$E$31=I$2)),1)*10,梦灵养成!AT$339:AT$387,1),0)</f>
        <v>49</v>
      </c>
      <c r="J64" s="45" cm="1">
        <f ca="1" t="array" ref="J64">IFERROR(MATCH(((产出预期!$M81-OFFSET(梦灵养成!$Q$9,MATCH(产出预期!$M81,梦灵养成!$Q$10:$Q$15,1),0))*OFFSET(梦灵养成!M$9,1+MATCH(产出预期!$M81,梦灵养成!$Q$10:$Q$15,1),0)+梦灵养成!E400+SUMPRODUCT(--(梦灵养成!$Q$10:$Q$15&lt;=产出预期!$M81),梦灵养成!M$10:M$15,梦灵养成!$P$10:$P$15))/MAX(SUMPRODUCT(--(梦灵养成!$C$10:$C$31&lt;=产出预期!$M81),--(梦灵养成!$E$10:$E$31=J$2)),1)*10,梦灵养成!AU$339:AU$387,1),0)</f>
        <v>49</v>
      </c>
      <c r="K64" s="45" cm="1">
        <f ca="1" t="array" ref="K64">IFERROR(MATCH(((产出预期!$M81-OFFSET(梦灵养成!$Q$9,MATCH(产出预期!$M81,梦灵养成!$Q$10:$Q$15,1),0))*OFFSET(梦灵养成!N$9,1+MATCH(产出预期!$M81,梦灵养成!$Q$10:$Q$15,1),0)+梦灵养成!F400+SUMPRODUCT(--(梦灵养成!$Q$10:$Q$15&lt;=产出预期!$M81),梦灵养成!N$10:N$15,梦灵养成!$P$10:$P$15))/MAX(SUMPRODUCT(--(梦灵养成!$C$10:$C$31&lt;=产出预期!$M81),--(梦灵养成!$E$10:$E$31=K$2)),1)*10,梦灵养成!AV$339:AV$387,1),0)</f>
        <v>49</v>
      </c>
      <c r="L64" s="45" cm="1">
        <f ca="1" t="array" ref="L64">IFERROR(MATCH(((产出预期!$M81-OFFSET(梦灵养成!$Q$9,MATCH(产出预期!$M81,梦灵养成!$Q$10:$Q$15,1),0))*OFFSET(梦灵养成!O$9,1+MATCH(产出预期!$M81,梦灵养成!$Q$10:$Q$15,1),0)+梦灵养成!G400+SUMPRODUCT(--(梦灵养成!$Q$10:$Q$15&lt;=产出预期!$M81),梦灵养成!O$10:O$15,梦灵养成!$P$10:$P$15))/MAX(SUMPRODUCT(--(梦灵养成!$C$10:$C$31&lt;=产出预期!$M81),--(梦灵养成!$E$10:$E$31=L$2)),1)*10,梦灵养成!AW$339:AW$388,1),0)</f>
        <v>39</v>
      </c>
      <c r="M64" s="45">
        <f ca="1">OFFSET(符文养成!$C$14,MATCH(C64,符文养成!$B$15:$B$44,1),0)</f>
        <v>30</v>
      </c>
      <c r="N64" s="45">
        <f ca="1">MATCH((产出预期!Z81*价值表!$F$53+产出预期!AA81*价值表!$F$54+产出预期!AD81*价值表!$F$57)/16/M64,符文养成!$G$15:$G$21,1)</f>
        <v>4</v>
      </c>
      <c r="O64" s="45">
        <f>MATCH(产出预期!O81,秘宝养成!$C$3:$C$14,1)</f>
        <v>10</v>
      </c>
    </row>
    <row r="65" ht="16.5" spans="2:15">
      <c r="B65" s="2">
        <v>63</v>
      </c>
      <c r="C65" s="2">
        <f ca="1">MATCH((OFFSET(产出预期!$C$3,0,产出预期!$B$1)*10+OFFSET(产出预期!$C$4,0,产出预期!$B$1)*10+OFFSET(产出预期!$C$7,0,产出预期!$B$1)*20)*B65/10*60,玩家等级!$E$3:$E$302,1)</f>
        <v>59</v>
      </c>
      <c r="D65" s="2">
        <f>MATCH(产出预期!P82/6,装备养成!$G$4:$G$303,1)</f>
        <v>83</v>
      </c>
      <c r="E65" s="2">
        <f>COUNTIF(产出预期!$R82:$Y82,"&gt;"&amp;0)</f>
        <v>7</v>
      </c>
      <c r="F65" s="2">
        <f ca="1">MATCH(OFFSET(产出预期!$R$19,B65,E65-1),装备养成!$S$4:$S$9,1)</f>
        <v>6</v>
      </c>
      <c r="G65" s="2" t="str">
        <f ca="1">OFFSET(梦灵养成!$D$9,MATCH(梦灵养成!C96,梦灵养成!$C$10:$C$28,1),0)</f>
        <v>我爱沙</v>
      </c>
      <c r="H65" s="2" t="str">
        <f ca="1">OFFSET(梦灵养成!$I$9,MATCH(梦灵养成!C96,梦灵养成!$C$10:$C$28,1),0)</f>
        <v>后羿</v>
      </c>
      <c r="I65" s="45" cm="1">
        <f ca="1" t="array" ref="I65">IFERROR(MATCH(((产出预期!$M82-OFFSET(梦灵养成!$Q$9,MATCH(产出预期!$M82,梦灵养成!$Q$10:$Q$15,1),0))*OFFSET(梦灵养成!L$9,1+MATCH(产出预期!$M82,梦灵养成!$Q$10:$Q$15,1),0)+梦灵养成!D401+SUMPRODUCT(--(梦灵养成!$Q$10:$Q$15&lt;=产出预期!$M82),梦灵养成!L$10:L$15,梦灵养成!$P$10:$P$15))/MAX(SUMPRODUCT(--(梦灵养成!$C$10:$C$31&lt;=产出预期!$M82),--(梦灵养成!$E$10:$E$31=I$2)),1)*10,梦灵养成!AT$339:AT$387,1),0)</f>
        <v>49</v>
      </c>
      <c r="J65" s="45" cm="1">
        <f ca="1" t="array" ref="J65">IFERROR(MATCH(((产出预期!$M82-OFFSET(梦灵养成!$Q$9,MATCH(产出预期!$M82,梦灵养成!$Q$10:$Q$15,1),0))*OFFSET(梦灵养成!M$9,1+MATCH(产出预期!$M82,梦灵养成!$Q$10:$Q$15,1),0)+梦灵养成!E401+SUMPRODUCT(--(梦灵养成!$Q$10:$Q$15&lt;=产出预期!$M82),梦灵养成!M$10:M$15,梦灵养成!$P$10:$P$15))/MAX(SUMPRODUCT(--(梦灵养成!$C$10:$C$31&lt;=产出预期!$M82),--(梦灵养成!$E$10:$E$31=J$2)),1)*10,梦灵养成!AU$339:AU$387,1),0)</f>
        <v>49</v>
      </c>
      <c r="K65" s="45" cm="1">
        <f ca="1" t="array" ref="K65">IFERROR(MATCH(((产出预期!$M82-OFFSET(梦灵养成!$Q$9,MATCH(产出预期!$M82,梦灵养成!$Q$10:$Q$15,1),0))*OFFSET(梦灵养成!N$9,1+MATCH(产出预期!$M82,梦灵养成!$Q$10:$Q$15,1),0)+梦灵养成!F401+SUMPRODUCT(--(梦灵养成!$Q$10:$Q$15&lt;=产出预期!$M82),梦灵养成!N$10:N$15,梦灵养成!$P$10:$P$15))/MAX(SUMPRODUCT(--(梦灵养成!$C$10:$C$31&lt;=产出预期!$M82),--(梦灵养成!$E$10:$E$31=K$2)),1)*10,梦灵养成!AV$339:AV$387,1),0)</f>
        <v>49</v>
      </c>
      <c r="L65" s="45" cm="1">
        <f ca="1" t="array" ref="L65">IFERROR(MATCH(((产出预期!$M82-OFFSET(梦灵养成!$Q$9,MATCH(产出预期!$M82,梦灵养成!$Q$10:$Q$15,1),0))*OFFSET(梦灵养成!O$9,1+MATCH(产出预期!$M82,梦灵养成!$Q$10:$Q$15,1),0)+梦灵养成!G401+SUMPRODUCT(--(梦灵养成!$Q$10:$Q$15&lt;=产出预期!$M82),梦灵养成!O$10:O$15,梦灵养成!$P$10:$P$15))/MAX(SUMPRODUCT(--(梦灵养成!$C$10:$C$31&lt;=产出预期!$M82),--(梦灵养成!$E$10:$E$31=L$2)),1)*10,梦灵养成!AW$339:AW$388,1),0)</f>
        <v>40</v>
      </c>
      <c r="M65" s="45">
        <f ca="1">OFFSET(符文养成!$C$14,MATCH(C65,符文养成!$B$15:$B$44,1),0)</f>
        <v>30</v>
      </c>
      <c r="N65" s="45">
        <f ca="1">MATCH((产出预期!Z82*价值表!$F$53+产出预期!AA82*价值表!$F$54+产出预期!AD82*价值表!$F$57)/16/M65,符文养成!$G$15:$G$21,1)</f>
        <v>4</v>
      </c>
      <c r="O65" s="45">
        <f>MATCH(产出预期!O82,秘宝养成!$C$3:$C$14,1)</f>
        <v>10</v>
      </c>
    </row>
    <row r="66" ht="16.5" spans="2:15">
      <c r="B66" s="2">
        <v>64</v>
      </c>
      <c r="C66" s="2">
        <f ca="1">MATCH((OFFSET(产出预期!$C$3,0,产出预期!$B$1)*10+OFFSET(产出预期!$C$4,0,产出预期!$B$1)*10+OFFSET(产出预期!$C$7,0,产出预期!$B$1)*20)*B66/10*60,玩家等级!$E$3:$E$302,1)</f>
        <v>60</v>
      </c>
      <c r="D66" s="2">
        <f>MATCH(产出预期!P83/6,装备养成!$G$4:$G$303,1)</f>
        <v>84</v>
      </c>
      <c r="E66" s="2">
        <f>COUNTIF(产出预期!$R83:$Y83,"&gt;"&amp;0)</f>
        <v>7</v>
      </c>
      <c r="F66" s="2">
        <f ca="1">MATCH(OFFSET(产出预期!$R$19,B66,E66-1),装备养成!$S$4:$S$9,1)</f>
        <v>6</v>
      </c>
      <c r="G66" s="2" t="str">
        <f ca="1">OFFSET(梦灵养成!$D$9,MATCH(梦灵养成!C97,梦灵养成!$C$10:$C$28,1),0)</f>
        <v>我爱沙</v>
      </c>
      <c r="H66" s="2" t="str">
        <f ca="1">OFFSET(梦灵养成!$I$9,MATCH(梦灵养成!C97,梦灵养成!$C$10:$C$28,1),0)</f>
        <v>后羿</v>
      </c>
      <c r="I66" s="45" cm="1">
        <f ca="1" t="array" ref="I66">IFERROR(MATCH(((产出预期!$M83-OFFSET(梦灵养成!$Q$9,MATCH(产出预期!$M83,梦灵养成!$Q$10:$Q$15,1),0))*OFFSET(梦灵养成!L$9,1+MATCH(产出预期!$M83,梦灵养成!$Q$10:$Q$15,1),0)+梦灵养成!D402+SUMPRODUCT(--(梦灵养成!$Q$10:$Q$15&lt;=产出预期!$M83),梦灵养成!L$10:L$15,梦灵养成!$P$10:$P$15))/MAX(SUMPRODUCT(--(梦灵养成!$C$10:$C$31&lt;=产出预期!$M83),--(梦灵养成!$E$10:$E$31=I$2)),1)*10,梦灵养成!AT$339:AT$387,1),0)</f>
        <v>49</v>
      </c>
      <c r="J66" s="45" cm="1">
        <f ca="1" t="array" ref="J66">IFERROR(MATCH(((产出预期!$M83-OFFSET(梦灵养成!$Q$9,MATCH(产出预期!$M83,梦灵养成!$Q$10:$Q$15,1),0))*OFFSET(梦灵养成!M$9,1+MATCH(产出预期!$M83,梦灵养成!$Q$10:$Q$15,1),0)+梦灵养成!E402+SUMPRODUCT(--(梦灵养成!$Q$10:$Q$15&lt;=产出预期!$M83),梦灵养成!M$10:M$15,梦灵养成!$P$10:$P$15))/MAX(SUMPRODUCT(--(梦灵养成!$C$10:$C$31&lt;=产出预期!$M83),--(梦灵养成!$E$10:$E$31=J$2)),1)*10,梦灵养成!AU$339:AU$387,1),0)</f>
        <v>49</v>
      </c>
      <c r="K66" s="45" cm="1">
        <f ca="1" t="array" ref="K66">IFERROR(MATCH(((产出预期!$M83-OFFSET(梦灵养成!$Q$9,MATCH(产出预期!$M83,梦灵养成!$Q$10:$Q$15,1),0))*OFFSET(梦灵养成!N$9,1+MATCH(产出预期!$M83,梦灵养成!$Q$10:$Q$15,1),0)+梦灵养成!F402+SUMPRODUCT(--(梦灵养成!$Q$10:$Q$15&lt;=产出预期!$M83),梦灵养成!N$10:N$15,梦灵养成!$P$10:$P$15))/MAX(SUMPRODUCT(--(梦灵养成!$C$10:$C$31&lt;=产出预期!$M83),--(梦灵养成!$E$10:$E$31=K$2)),1)*10,梦灵养成!AV$339:AV$387,1),0)</f>
        <v>49</v>
      </c>
      <c r="L66" s="45" cm="1">
        <f ca="1" t="array" ref="L66">IFERROR(MATCH(((产出预期!$M83-OFFSET(梦灵养成!$Q$9,MATCH(产出预期!$M83,梦灵养成!$Q$10:$Q$15,1),0))*OFFSET(梦灵养成!O$9,1+MATCH(产出预期!$M83,梦灵养成!$Q$10:$Q$15,1),0)+梦灵养成!G402+SUMPRODUCT(--(梦灵养成!$Q$10:$Q$15&lt;=产出预期!$M83),梦灵养成!O$10:O$15,梦灵养成!$P$10:$P$15))/MAX(SUMPRODUCT(--(梦灵养成!$C$10:$C$31&lt;=产出预期!$M83),--(梦灵养成!$E$10:$E$31=L$2)),1)*10,梦灵养成!AW$339:AW$388,1),0)</f>
        <v>40</v>
      </c>
      <c r="M66" s="45">
        <f ca="1">OFFSET(符文养成!$C$14,MATCH(C66,符文养成!$B$15:$B$44,1),0)</f>
        <v>30</v>
      </c>
      <c r="N66" s="45">
        <f ca="1">MATCH((产出预期!Z83*价值表!$F$53+产出预期!AA83*价值表!$F$54+产出预期!AD83*价值表!$F$57)/16/M66,符文养成!$G$15:$G$21,1)</f>
        <v>4</v>
      </c>
      <c r="O66" s="45">
        <f>MATCH(产出预期!O83,秘宝养成!$C$3:$C$14,1)</f>
        <v>10</v>
      </c>
    </row>
    <row r="67" ht="16.5" spans="2:15">
      <c r="B67" s="2">
        <v>65</v>
      </c>
      <c r="C67" s="2">
        <f ca="1">MATCH((OFFSET(产出预期!$C$3,0,产出预期!$B$1)*10+OFFSET(产出预期!$C$4,0,产出预期!$B$1)*10+OFFSET(产出预期!$C$7,0,产出预期!$B$1)*20)*B67/10*60,玩家等级!$E$3:$E$302,1)</f>
        <v>60</v>
      </c>
      <c r="D67" s="2">
        <f>MATCH(产出预期!P84/6,装备养成!$G$4:$G$303,1)</f>
        <v>84</v>
      </c>
      <c r="E67" s="2">
        <f>COUNTIF(产出预期!$R84:$Y84,"&gt;"&amp;0)</f>
        <v>7</v>
      </c>
      <c r="F67" s="2">
        <f ca="1">MATCH(OFFSET(产出预期!$R$19,B67,E67-1),装备养成!$S$4:$S$9,1)</f>
        <v>6</v>
      </c>
      <c r="G67" s="2" t="str">
        <f ca="1">OFFSET(梦灵养成!$D$9,MATCH(梦灵养成!C98,梦灵养成!$C$10:$C$28,1),0)</f>
        <v>我爱沙</v>
      </c>
      <c r="H67" s="2" t="str">
        <f ca="1">OFFSET(梦灵养成!$I$9,MATCH(梦灵养成!C98,梦灵养成!$C$10:$C$28,1),0)</f>
        <v>后羿</v>
      </c>
      <c r="I67" s="45" cm="1">
        <f ca="1" t="array" ref="I67">IFERROR(MATCH(((产出预期!$M84-OFFSET(梦灵养成!$Q$9,MATCH(产出预期!$M84,梦灵养成!$Q$10:$Q$15,1),0))*OFFSET(梦灵养成!L$9,1+MATCH(产出预期!$M84,梦灵养成!$Q$10:$Q$15,1),0)+梦灵养成!D403+SUMPRODUCT(--(梦灵养成!$Q$10:$Q$15&lt;=产出预期!$M84),梦灵养成!L$10:L$15,梦灵养成!$P$10:$P$15))/MAX(SUMPRODUCT(--(梦灵养成!$C$10:$C$31&lt;=产出预期!$M84),--(梦灵养成!$E$10:$E$31=I$2)),1)*10,梦灵养成!AT$339:AT$387,1),0)</f>
        <v>49</v>
      </c>
      <c r="J67" s="45" cm="1">
        <f ca="1" t="array" ref="J67">IFERROR(MATCH(((产出预期!$M84-OFFSET(梦灵养成!$Q$9,MATCH(产出预期!$M84,梦灵养成!$Q$10:$Q$15,1),0))*OFFSET(梦灵养成!M$9,1+MATCH(产出预期!$M84,梦灵养成!$Q$10:$Q$15,1),0)+梦灵养成!E403+SUMPRODUCT(--(梦灵养成!$Q$10:$Q$15&lt;=产出预期!$M84),梦灵养成!M$10:M$15,梦灵养成!$P$10:$P$15))/MAX(SUMPRODUCT(--(梦灵养成!$C$10:$C$31&lt;=产出预期!$M84),--(梦灵养成!$E$10:$E$31=J$2)),1)*10,梦灵养成!AU$339:AU$387,1),0)</f>
        <v>49</v>
      </c>
      <c r="K67" s="45" cm="1">
        <f ca="1" t="array" ref="K67">IFERROR(MATCH(((产出预期!$M84-OFFSET(梦灵养成!$Q$9,MATCH(产出预期!$M84,梦灵养成!$Q$10:$Q$15,1),0))*OFFSET(梦灵养成!N$9,1+MATCH(产出预期!$M84,梦灵养成!$Q$10:$Q$15,1),0)+梦灵养成!F403+SUMPRODUCT(--(梦灵养成!$Q$10:$Q$15&lt;=产出预期!$M84),梦灵养成!N$10:N$15,梦灵养成!$P$10:$P$15))/MAX(SUMPRODUCT(--(梦灵养成!$C$10:$C$31&lt;=产出预期!$M84),--(梦灵养成!$E$10:$E$31=K$2)),1)*10,梦灵养成!AV$339:AV$387,1),0)</f>
        <v>49</v>
      </c>
      <c r="L67" s="45" cm="1">
        <f ca="1" t="array" ref="L67">IFERROR(MATCH(((产出预期!$M84-OFFSET(梦灵养成!$Q$9,MATCH(产出预期!$M84,梦灵养成!$Q$10:$Q$15,1),0))*OFFSET(梦灵养成!O$9,1+MATCH(产出预期!$M84,梦灵养成!$Q$10:$Q$15,1),0)+梦灵养成!G403+SUMPRODUCT(--(梦灵养成!$Q$10:$Q$15&lt;=产出预期!$M84),梦灵养成!O$10:O$15,梦灵养成!$P$10:$P$15))/MAX(SUMPRODUCT(--(梦灵养成!$C$10:$C$31&lt;=产出预期!$M84),--(梦灵养成!$E$10:$E$31=L$2)),1)*10,梦灵养成!AW$339:AW$388,1),0)</f>
        <v>40</v>
      </c>
      <c r="M67" s="45">
        <f ca="1">OFFSET(符文养成!$C$14,MATCH(C67,符文养成!$B$15:$B$44,1),0)</f>
        <v>30</v>
      </c>
      <c r="N67" s="45">
        <f ca="1">MATCH((产出预期!Z84*价值表!$F$53+产出预期!AA84*价值表!$F$54+产出预期!AD84*价值表!$F$57)/16/M67,符文养成!$G$15:$G$21,1)</f>
        <v>4</v>
      </c>
      <c r="O67" s="45">
        <f>MATCH(产出预期!O84,秘宝养成!$C$3:$C$14,1)</f>
        <v>10</v>
      </c>
    </row>
    <row r="68" ht="16.5" spans="2:15">
      <c r="B68" s="2">
        <v>66</v>
      </c>
      <c r="C68" s="2">
        <f ca="1">MATCH((OFFSET(产出预期!$C$3,0,产出预期!$B$1)*10+OFFSET(产出预期!$C$4,0,产出预期!$B$1)*10+OFFSET(产出预期!$C$7,0,产出预期!$B$1)*20)*B68/10*60,玩家等级!$E$3:$E$302,1)</f>
        <v>60</v>
      </c>
      <c r="D68" s="2">
        <f>MATCH(产出预期!P85/6,装备养成!$G$4:$G$303,1)</f>
        <v>85</v>
      </c>
      <c r="E68" s="2">
        <f>COUNTIF(产出预期!$R85:$Y85,"&gt;"&amp;0)</f>
        <v>7</v>
      </c>
      <c r="F68" s="2">
        <f ca="1">MATCH(OFFSET(产出预期!$R$19,B68,E68-1),装备养成!$S$4:$S$9,1)</f>
        <v>6</v>
      </c>
      <c r="G68" s="2" t="str">
        <f ca="1">OFFSET(梦灵养成!$D$9,MATCH(梦灵养成!C99,梦灵养成!$C$10:$C$28,1),0)</f>
        <v>我爱沙</v>
      </c>
      <c r="H68" s="2" t="str">
        <f ca="1">OFFSET(梦灵养成!$I$9,MATCH(梦灵养成!C99,梦灵养成!$C$10:$C$28,1),0)</f>
        <v>后羿</v>
      </c>
      <c r="I68" s="45" cm="1">
        <f ca="1" t="array" ref="I68">IFERROR(MATCH(((产出预期!$M85-OFFSET(梦灵养成!$Q$9,MATCH(产出预期!$M85,梦灵养成!$Q$10:$Q$15,1),0))*OFFSET(梦灵养成!L$9,1+MATCH(产出预期!$M85,梦灵养成!$Q$10:$Q$15,1),0)+梦灵养成!D404+SUMPRODUCT(--(梦灵养成!$Q$10:$Q$15&lt;=产出预期!$M85),梦灵养成!L$10:L$15,梦灵养成!$P$10:$P$15))/MAX(SUMPRODUCT(--(梦灵养成!$C$10:$C$31&lt;=产出预期!$M85),--(梦灵养成!$E$10:$E$31=I$2)),1)*10,梦灵养成!AT$339:AT$387,1),0)</f>
        <v>49</v>
      </c>
      <c r="J68" s="45" cm="1">
        <f ca="1" t="array" ref="J68">IFERROR(MATCH(((产出预期!$M85-OFFSET(梦灵养成!$Q$9,MATCH(产出预期!$M85,梦灵养成!$Q$10:$Q$15,1),0))*OFFSET(梦灵养成!M$9,1+MATCH(产出预期!$M85,梦灵养成!$Q$10:$Q$15,1),0)+梦灵养成!E404+SUMPRODUCT(--(梦灵养成!$Q$10:$Q$15&lt;=产出预期!$M85),梦灵养成!M$10:M$15,梦灵养成!$P$10:$P$15))/MAX(SUMPRODUCT(--(梦灵养成!$C$10:$C$31&lt;=产出预期!$M85),--(梦灵养成!$E$10:$E$31=J$2)),1)*10,梦灵养成!AU$339:AU$387,1),0)</f>
        <v>49</v>
      </c>
      <c r="K68" s="45" cm="1">
        <f ca="1" t="array" ref="K68">IFERROR(MATCH(((产出预期!$M85-OFFSET(梦灵养成!$Q$9,MATCH(产出预期!$M85,梦灵养成!$Q$10:$Q$15,1),0))*OFFSET(梦灵养成!N$9,1+MATCH(产出预期!$M85,梦灵养成!$Q$10:$Q$15,1),0)+梦灵养成!F404+SUMPRODUCT(--(梦灵养成!$Q$10:$Q$15&lt;=产出预期!$M85),梦灵养成!N$10:N$15,梦灵养成!$P$10:$P$15))/MAX(SUMPRODUCT(--(梦灵养成!$C$10:$C$31&lt;=产出预期!$M85),--(梦灵养成!$E$10:$E$31=K$2)),1)*10,梦灵养成!AV$339:AV$387,1),0)</f>
        <v>49</v>
      </c>
      <c r="L68" s="45" cm="1">
        <f ca="1" t="array" ref="L68">IFERROR(MATCH(((产出预期!$M85-OFFSET(梦灵养成!$Q$9,MATCH(产出预期!$M85,梦灵养成!$Q$10:$Q$15,1),0))*OFFSET(梦灵养成!O$9,1+MATCH(产出预期!$M85,梦灵养成!$Q$10:$Q$15,1),0)+梦灵养成!G404+SUMPRODUCT(--(梦灵养成!$Q$10:$Q$15&lt;=产出预期!$M85),梦灵养成!O$10:O$15,梦灵养成!$P$10:$P$15))/MAX(SUMPRODUCT(--(梦灵养成!$C$10:$C$31&lt;=产出预期!$M85),--(梦灵养成!$E$10:$E$31=L$2)),1)*10,梦灵养成!AW$339:AW$388,1),0)</f>
        <v>41</v>
      </c>
      <c r="M68" s="45">
        <f ca="1">OFFSET(符文养成!$C$14,MATCH(C68,符文养成!$B$15:$B$44,1),0)</f>
        <v>30</v>
      </c>
      <c r="N68" s="45">
        <f ca="1">MATCH((产出预期!Z85*价值表!$F$53+产出预期!AA85*价值表!$F$54+产出预期!AD85*价值表!$F$57)/16/M68,符文养成!$G$15:$G$21,1)</f>
        <v>4</v>
      </c>
      <c r="O68" s="45">
        <f>MATCH(产出预期!O85,秘宝养成!$C$3:$C$14,1)</f>
        <v>10</v>
      </c>
    </row>
    <row r="69" ht="16.5" spans="2:15">
      <c r="B69" s="2">
        <v>67</v>
      </c>
      <c r="C69" s="2">
        <f ca="1">MATCH((OFFSET(产出预期!$C$3,0,产出预期!$B$1)*10+OFFSET(产出预期!$C$4,0,产出预期!$B$1)*10+OFFSET(产出预期!$C$7,0,产出预期!$B$1)*20)*B69/10*60,玩家等级!$E$3:$E$302,1)</f>
        <v>60</v>
      </c>
      <c r="D69" s="2">
        <f>MATCH(产出预期!P86/6,装备养成!$G$4:$G$303,1)</f>
        <v>86</v>
      </c>
      <c r="E69" s="2">
        <f>COUNTIF(产出预期!$R86:$Y86,"&gt;"&amp;0)</f>
        <v>7</v>
      </c>
      <c r="F69" s="2">
        <f ca="1">MATCH(OFFSET(产出预期!$R$19,B69,E69-1),装备养成!$S$4:$S$9,1)</f>
        <v>6</v>
      </c>
      <c r="G69" s="2" t="str">
        <f ca="1">OFFSET(梦灵养成!$D$9,MATCH(梦灵养成!C100,梦灵养成!$C$10:$C$28,1),0)</f>
        <v>我爱沙</v>
      </c>
      <c r="H69" s="2" t="str">
        <f ca="1">OFFSET(梦灵养成!$I$9,MATCH(梦灵养成!C100,梦灵养成!$C$10:$C$28,1),0)</f>
        <v>后羿</v>
      </c>
      <c r="I69" s="45" cm="1">
        <f ca="1" t="array" ref="I69">IFERROR(MATCH(((产出预期!$M86-OFFSET(梦灵养成!$Q$9,MATCH(产出预期!$M86,梦灵养成!$Q$10:$Q$15,1),0))*OFFSET(梦灵养成!L$9,1+MATCH(产出预期!$M86,梦灵养成!$Q$10:$Q$15,1),0)+梦灵养成!D405+SUMPRODUCT(--(梦灵养成!$Q$10:$Q$15&lt;=产出预期!$M86),梦灵养成!L$10:L$15,梦灵养成!$P$10:$P$15))/MAX(SUMPRODUCT(--(梦灵养成!$C$10:$C$31&lt;=产出预期!$M86),--(梦灵养成!$E$10:$E$31=I$2)),1)*10,梦灵养成!AT$339:AT$387,1),0)</f>
        <v>49</v>
      </c>
      <c r="J69" s="45" cm="1">
        <f ca="1" t="array" ref="J69">IFERROR(MATCH(((产出预期!$M86-OFFSET(梦灵养成!$Q$9,MATCH(产出预期!$M86,梦灵养成!$Q$10:$Q$15,1),0))*OFFSET(梦灵养成!M$9,1+MATCH(产出预期!$M86,梦灵养成!$Q$10:$Q$15,1),0)+梦灵养成!E405+SUMPRODUCT(--(梦灵养成!$Q$10:$Q$15&lt;=产出预期!$M86),梦灵养成!M$10:M$15,梦灵养成!$P$10:$P$15))/MAX(SUMPRODUCT(--(梦灵养成!$C$10:$C$31&lt;=产出预期!$M86),--(梦灵养成!$E$10:$E$31=J$2)),1)*10,梦灵养成!AU$339:AU$387,1),0)</f>
        <v>49</v>
      </c>
      <c r="K69" s="45" cm="1">
        <f ca="1" t="array" ref="K69">IFERROR(MATCH(((产出预期!$M86-OFFSET(梦灵养成!$Q$9,MATCH(产出预期!$M86,梦灵养成!$Q$10:$Q$15,1),0))*OFFSET(梦灵养成!N$9,1+MATCH(产出预期!$M86,梦灵养成!$Q$10:$Q$15,1),0)+梦灵养成!F405+SUMPRODUCT(--(梦灵养成!$Q$10:$Q$15&lt;=产出预期!$M86),梦灵养成!N$10:N$15,梦灵养成!$P$10:$P$15))/MAX(SUMPRODUCT(--(梦灵养成!$C$10:$C$31&lt;=产出预期!$M86),--(梦灵养成!$E$10:$E$31=K$2)),1)*10,梦灵养成!AV$339:AV$387,1),0)</f>
        <v>49</v>
      </c>
      <c r="L69" s="45" cm="1">
        <f ca="1" t="array" ref="L69">IFERROR(MATCH(((产出预期!$M86-OFFSET(梦灵养成!$Q$9,MATCH(产出预期!$M86,梦灵养成!$Q$10:$Q$15,1),0))*OFFSET(梦灵养成!O$9,1+MATCH(产出预期!$M86,梦灵养成!$Q$10:$Q$15,1),0)+梦灵养成!G405+SUMPRODUCT(--(梦灵养成!$Q$10:$Q$15&lt;=产出预期!$M86),梦灵养成!O$10:O$15,梦灵养成!$P$10:$P$15))/MAX(SUMPRODUCT(--(梦灵养成!$C$10:$C$31&lt;=产出预期!$M86),--(梦灵养成!$E$10:$E$31=L$2)),1)*10,梦灵养成!AW$339:AW$388,1),0)</f>
        <v>41</v>
      </c>
      <c r="M69" s="45">
        <f ca="1">OFFSET(符文养成!$C$14,MATCH(C69,符文养成!$B$15:$B$44,1),0)</f>
        <v>30</v>
      </c>
      <c r="N69" s="45">
        <f ca="1">MATCH((产出预期!Z86*价值表!$F$53+产出预期!AA86*价值表!$F$54+产出预期!AD86*价值表!$F$57)/16/M69,符文养成!$G$15:$G$21,1)</f>
        <v>4</v>
      </c>
      <c r="O69" s="45">
        <f>MATCH(产出预期!O86,秘宝养成!$C$3:$C$14,1)</f>
        <v>10</v>
      </c>
    </row>
    <row r="70" ht="16.5" spans="2:15">
      <c r="B70" s="2">
        <v>68</v>
      </c>
      <c r="C70" s="2">
        <f ca="1">MATCH((OFFSET(产出预期!$C$3,0,产出预期!$B$1)*10+OFFSET(产出预期!$C$4,0,产出预期!$B$1)*10+OFFSET(产出预期!$C$7,0,产出预期!$B$1)*20)*B70/10*60,玩家等级!$E$3:$E$302,1)</f>
        <v>61</v>
      </c>
      <c r="D70" s="2">
        <f>MATCH(产出预期!P87/6,装备养成!$G$4:$G$303,1)</f>
        <v>86</v>
      </c>
      <c r="E70" s="2">
        <f>COUNTIF(产出预期!$R87:$Y87,"&gt;"&amp;0)</f>
        <v>7</v>
      </c>
      <c r="F70" s="2">
        <f ca="1">MATCH(OFFSET(产出预期!$R$19,B70,E70-1),装备养成!$S$4:$S$9,1)</f>
        <v>6</v>
      </c>
      <c r="G70" s="2" t="str">
        <f ca="1">OFFSET(梦灵养成!$D$9,MATCH(梦灵养成!C101,梦灵养成!$C$10:$C$28,1),0)</f>
        <v>我爱沙</v>
      </c>
      <c r="H70" s="2" t="str">
        <f ca="1">OFFSET(梦灵养成!$I$9,MATCH(梦灵养成!C101,梦灵养成!$C$10:$C$28,1),0)</f>
        <v>后羿</v>
      </c>
      <c r="I70" s="45" cm="1">
        <f ca="1" t="array" ref="I70">IFERROR(MATCH(((产出预期!$M87-OFFSET(梦灵养成!$Q$9,MATCH(产出预期!$M87,梦灵养成!$Q$10:$Q$15,1),0))*OFFSET(梦灵养成!L$9,1+MATCH(产出预期!$M87,梦灵养成!$Q$10:$Q$15,1),0)+梦灵养成!D406+SUMPRODUCT(--(梦灵养成!$Q$10:$Q$15&lt;=产出预期!$M87),梦灵养成!L$10:L$15,梦灵养成!$P$10:$P$15))/MAX(SUMPRODUCT(--(梦灵养成!$C$10:$C$31&lt;=产出预期!$M87),--(梦灵养成!$E$10:$E$31=I$2)),1)*10,梦灵养成!AT$339:AT$387,1),0)</f>
        <v>49</v>
      </c>
      <c r="J70" s="45" cm="1">
        <f ca="1" t="array" ref="J70">IFERROR(MATCH(((产出预期!$M87-OFFSET(梦灵养成!$Q$9,MATCH(产出预期!$M87,梦灵养成!$Q$10:$Q$15,1),0))*OFFSET(梦灵养成!M$9,1+MATCH(产出预期!$M87,梦灵养成!$Q$10:$Q$15,1),0)+梦灵养成!E406+SUMPRODUCT(--(梦灵养成!$Q$10:$Q$15&lt;=产出预期!$M87),梦灵养成!M$10:M$15,梦灵养成!$P$10:$P$15))/MAX(SUMPRODUCT(--(梦灵养成!$C$10:$C$31&lt;=产出预期!$M87),--(梦灵养成!$E$10:$E$31=J$2)),1)*10,梦灵养成!AU$339:AU$387,1),0)</f>
        <v>49</v>
      </c>
      <c r="K70" s="45" cm="1">
        <f ca="1" t="array" ref="K70">IFERROR(MATCH(((产出预期!$M87-OFFSET(梦灵养成!$Q$9,MATCH(产出预期!$M87,梦灵养成!$Q$10:$Q$15,1),0))*OFFSET(梦灵养成!N$9,1+MATCH(产出预期!$M87,梦灵养成!$Q$10:$Q$15,1),0)+梦灵养成!F406+SUMPRODUCT(--(梦灵养成!$Q$10:$Q$15&lt;=产出预期!$M87),梦灵养成!N$10:N$15,梦灵养成!$P$10:$P$15))/MAX(SUMPRODUCT(--(梦灵养成!$C$10:$C$31&lt;=产出预期!$M87),--(梦灵养成!$E$10:$E$31=K$2)),1)*10,梦灵养成!AV$339:AV$387,1),0)</f>
        <v>49</v>
      </c>
      <c r="L70" s="45" cm="1">
        <f ca="1" t="array" ref="L70">IFERROR(MATCH(((产出预期!$M87-OFFSET(梦灵养成!$Q$9,MATCH(产出预期!$M87,梦灵养成!$Q$10:$Q$15,1),0))*OFFSET(梦灵养成!O$9,1+MATCH(产出预期!$M87,梦灵养成!$Q$10:$Q$15,1),0)+梦灵养成!G406+SUMPRODUCT(--(梦灵养成!$Q$10:$Q$15&lt;=产出预期!$M87),梦灵养成!O$10:O$15,梦灵养成!$P$10:$P$15))/MAX(SUMPRODUCT(--(梦灵养成!$C$10:$C$31&lt;=产出预期!$M87),--(梦灵养成!$E$10:$E$31=L$2)),1)*10,梦灵养成!AW$339:AW$388,1),0)</f>
        <v>41</v>
      </c>
      <c r="M70" s="45">
        <f ca="1">OFFSET(符文养成!$C$14,MATCH(C70,符文养成!$B$15:$B$44,1),0)</f>
        <v>30</v>
      </c>
      <c r="N70" s="45">
        <f ca="1">MATCH((产出预期!Z87*价值表!$F$53+产出预期!AA87*价值表!$F$54+产出预期!AD87*价值表!$F$57)/16/M70,符文养成!$G$15:$G$21,1)</f>
        <v>4</v>
      </c>
      <c r="O70" s="45">
        <f>MATCH(产出预期!O87,秘宝养成!$C$3:$C$14,1)</f>
        <v>10</v>
      </c>
    </row>
    <row r="71" ht="16.5" spans="2:15">
      <c r="B71" s="2">
        <v>69</v>
      </c>
      <c r="C71" s="2">
        <f ca="1">MATCH((OFFSET(产出预期!$C$3,0,产出预期!$B$1)*10+OFFSET(产出预期!$C$4,0,产出预期!$B$1)*10+OFFSET(产出预期!$C$7,0,产出预期!$B$1)*20)*B71/10*60,玩家等级!$E$3:$E$302,1)</f>
        <v>61</v>
      </c>
      <c r="D71" s="2">
        <f>MATCH(产出预期!P88/6,装备养成!$G$4:$G$303,1)</f>
        <v>87</v>
      </c>
      <c r="E71" s="2">
        <f>COUNTIF(产出预期!$R88:$Y88,"&gt;"&amp;0)</f>
        <v>7</v>
      </c>
      <c r="F71" s="2">
        <f ca="1">MATCH(OFFSET(产出预期!$R$19,B71,E71-1),装备养成!$S$4:$S$9,1)</f>
        <v>6</v>
      </c>
      <c r="G71" s="2" t="str">
        <f ca="1">OFFSET(梦灵养成!$D$9,MATCH(梦灵养成!C102,梦灵养成!$C$10:$C$28,1),0)</f>
        <v>我爱沙</v>
      </c>
      <c r="H71" s="2" t="str">
        <f ca="1">OFFSET(梦灵养成!$I$9,MATCH(梦灵养成!C102,梦灵养成!$C$10:$C$28,1),0)</f>
        <v>后羿</v>
      </c>
      <c r="I71" s="45" cm="1">
        <f ca="1" t="array" ref="I71">IFERROR(MATCH(((产出预期!$M88-OFFSET(梦灵养成!$Q$9,MATCH(产出预期!$M88,梦灵养成!$Q$10:$Q$15,1),0))*OFFSET(梦灵养成!L$9,1+MATCH(产出预期!$M88,梦灵养成!$Q$10:$Q$15,1),0)+梦灵养成!D407+SUMPRODUCT(--(梦灵养成!$Q$10:$Q$15&lt;=产出预期!$M88),梦灵养成!L$10:L$15,梦灵养成!$P$10:$P$15))/MAX(SUMPRODUCT(--(梦灵养成!$C$10:$C$31&lt;=产出预期!$M88),--(梦灵养成!$E$10:$E$31=I$2)),1)*10,梦灵养成!AT$339:AT$387,1),0)</f>
        <v>49</v>
      </c>
      <c r="J71" s="45" cm="1">
        <f ca="1" t="array" ref="J71">IFERROR(MATCH(((产出预期!$M88-OFFSET(梦灵养成!$Q$9,MATCH(产出预期!$M88,梦灵养成!$Q$10:$Q$15,1),0))*OFFSET(梦灵养成!M$9,1+MATCH(产出预期!$M88,梦灵养成!$Q$10:$Q$15,1),0)+梦灵养成!E407+SUMPRODUCT(--(梦灵养成!$Q$10:$Q$15&lt;=产出预期!$M88),梦灵养成!M$10:M$15,梦灵养成!$P$10:$P$15))/MAX(SUMPRODUCT(--(梦灵养成!$C$10:$C$31&lt;=产出预期!$M88),--(梦灵养成!$E$10:$E$31=J$2)),1)*10,梦灵养成!AU$339:AU$387,1),0)</f>
        <v>49</v>
      </c>
      <c r="K71" s="45" cm="1">
        <f ca="1" t="array" ref="K71">IFERROR(MATCH(((产出预期!$M88-OFFSET(梦灵养成!$Q$9,MATCH(产出预期!$M88,梦灵养成!$Q$10:$Q$15,1),0))*OFFSET(梦灵养成!N$9,1+MATCH(产出预期!$M88,梦灵养成!$Q$10:$Q$15,1),0)+梦灵养成!F407+SUMPRODUCT(--(梦灵养成!$Q$10:$Q$15&lt;=产出预期!$M88),梦灵养成!N$10:N$15,梦灵养成!$P$10:$P$15))/MAX(SUMPRODUCT(--(梦灵养成!$C$10:$C$31&lt;=产出预期!$M88),--(梦灵养成!$E$10:$E$31=K$2)),1)*10,梦灵养成!AV$339:AV$387,1),0)</f>
        <v>49</v>
      </c>
      <c r="L71" s="45" cm="1">
        <f ca="1" t="array" ref="L71">IFERROR(MATCH(((产出预期!$M88-OFFSET(梦灵养成!$Q$9,MATCH(产出预期!$M88,梦灵养成!$Q$10:$Q$15,1),0))*OFFSET(梦灵养成!O$9,1+MATCH(产出预期!$M88,梦灵养成!$Q$10:$Q$15,1),0)+梦灵养成!G407+SUMPRODUCT(--(梦灵养成!$Q$10:$Q$15&lt;=产出预期!$M88),梦灵养成!O$10:O$15,梦灵养成!$P$10:$P$15))/MAX(SUMPRODUCT(--(梦灵养成!$C$10:$C$31&lt;=产出预期!$M88),--(梦灵养成!$E$10:$E$31=L$2)),1)*10,梦灵养成!AW$339:AW$388,1),0)</f>
        <v>41</v>
      </c>
      <c r="M71" s="45">
        <f ca="1">OFFSET(符文养成!$C$14,MATCH(C71,符文养成!$B$15:$B$44,1),0)</f>
        <v>30</v>
      </c>
      <c r="N71" s="45">
        <f ca="1">MATCH((产出预期!Z88*价值表!$F$53+产出预期!AA88*价值表!$F$54+产出预期!AD88*价值表!$F$57)/16/M71,符文养成!$G$15:$G$21,1)</f>
        <v>4</v>
      </c>
      <c r="O71" s="45">
        <f>MATCH(产出预期!O88,秘宝养成!$C$3:$C$14,1)</f>
        <v>10</v>
      </c>
    </row>
    <row r="72" ht="16.5" spans="2:15">
      <c r="B72" s="2">
        <v>70</v>
      </c>
      <c r="C72" s="2">
        <f ca="1">MATCH((OFFSET(产出预期!$C$3,0,产出预期!$B$1)*10+OFFSET(产出预期!$C$4,0,产出预期!$B$1)*10+OFFSET(产出预期!$C$7,0,产出预期!$B$1)*20)*B72/10*60,玩家等级!$E$3:$E$302,1)</f>
        <v>61</v>
      </c>
      <c r="D72" s="2">
        <f>MATCH(产出预期!P89/6,装备养成!$G$4:$G$303,1)</f>
        <v>87</v>
      </c>
      <c r="E72" s="2">
        <f>COUNTIF(产出预期!$R89:$Y89,"&gt;"&amp;0)</f>
        <v>7</v>
      </c>
      <c r="F72" s="2">
        <f ca="1">MATCH(OFFSET(产出预期!$R$19,B72,E72-1),装备养成!$S$4:$S$9,1)</f>
        <v>6</v>
      </c>
      <c r="G72" s="2" t="str">
        <f ca="1">OFFSET(梦灵养成!$D$9,MATCH(梦灵养成!C103,梦灵养成!$C$10:$C$28,1),0)</f>
        <v>我爱沙</v>
      </c>
      <c r="H72" s="2" t="str">
        <f ca="1">OFFSET(梦灵养成!$I$9,MATCH(梦灵养成!C103,梦灵养成!$C$10:$C$28,1),0)</f>
        <v>后羿</v>
      </c>
      <c r="I72" s="45" cm="1">
        <f ca="1" t="array" ref="I72">IFERROR(MATCH(((产出预期!$M89-OFFSET(梦灵养成!$Q$9,MATCH(产出预期!$M89,梦灵养成!$Q$10:$Q$15,1),0))*OFFSET(梦灵养成!L$9,1+MATCH(产出预期!$M89,梦灵养成!$Q$10:$Q$15,1),0)+梦灵养成!D408+SUMPRODUCT(--(梦灵养成!$Q$10:$Q$15&lt;=产出预期!$M89),梦灵养成!L$10:L$15,梦灵养成!$P$10:$P$15))/MAX(SUMPRODUCT(--(梦灵养成!$C$10:$C$31&lt;=产出预期!$M89),--(梦灵养成!$E$10:$E$31=I$2)),1)*10,梦灵养成!AT$339:AT$387,1),0)</f>
        <v>49</v>
      </c>
      <c r="J72" s="45" cm="1">
        <f ca="1" t="array" ref="J72">IFERROR(MATCH(((产出预期!$M89-OFFSET(梦灵养成!$Q$9,MATCH(产出预期!$M89,梦灵养成!$Q$10:$Q$15,1),0))*OFFSET(梦灵养成!M$9,1+MATCH(产出预期!$M89,梦灵养成!$Q$10:$Q$15,1),0)+梦灵养成!E408+SUMPRODUCT(--(梦灵养成!$Q$10:$Q$15&lt;=产出预期!$M89),梦灵养成!M$10:M$15,梦灵养成!$P$10:$P$15))/MAX(SUMPRODUCT(--(梦灵养成!$C$10:$C$31&lt;=产出预期!$M89),--(梦灵养成!$E$10:$E$31=J$2)),1)*10,梦灵养成!AU$339:AU$387,1),0)</f>
        <v>49</v>
      </c>
      <c r="K72" s="45" cm="1">
        <f ca="1" t="array" ref="K72">IFERROR(MATCH(((产出预期!$M89-OFFSET(梦灵养成!$Q$9,MATCH(产出预期!$M89,梦灵养成!$Q$10:$Q$15,1),0))*OFFSET(梦灵养成!N$9,1+MATCH(产出预期!$M89,梦灵养成!$Q$10:$Q$15,1),0)+梦灵养成!F408+SUMPRODUCT(--(梦灵养成!$Q$10:$Q$15&lt;=产出预期!$M89),梦灵养成!N$10:N$15,梦灵养成!$P$10:$P$15))/MAX(SUMPRODUCT(--(梦灵养成!$C$10:$C$31&lt;=产出预期!$M89),--(梦灵养成!$E$10:$E$31=K$2)),1)*10,梦灵养成!AV$339:AV$387,1),0)</f>
        <v>49</v>
      </c>
      <c r="L72" s="45" cm="1">
        <f ca="1" t="array" ref="L72">IFERROR(MATCH(((产出预期!$M89-OFFSET(梦灵养成!$Q$9,MATCH(产出预期!$M89,梦灵养成!$Q$10:$Q$15,1),0))*OFFSET(梦灵养成!O$9,1+MATCH(产出预期!$M89,梦灵养成!$Q$10:$Q$15,1),0)+梦灵养成!G408+SUMPRODUCT(--(梦灵养成!$Q$10:$Q$15&lt;=产出预期!$M89),梦灵养成!O$10:O$15,梦灵养成!$P$10:$P$15))/MAX(SUMPRODUCT(--(梦灵养成!$C$10:$C$31&lt;=产出预期!$M89),--(梦灵养成!$E$10:$E$31=L$2)),1)*10,梦灵养成!AW$339:AW$388,1),0)</f>
        <v>42</v>
      </c>
      <c r="M72" s="45">
        <f ca="1">OFFSET(符文养成!$C$14,MATCH(C72,符文养成!$B$15:$B$44,1),0)</f>
        <v>30</v>
      </c>
      <c r="N72" s="45">
        <f ca="1">MATCH((产出预期!Z89*价值表!$F$53+产出预期!AA89*价值表!$F$54+产出预期!AD89*价值表!$F$57)/16/M72,符文养成!$G$15:$G$21,1)</f>
        <v>4</v>
      </c>
      <c r="O72" s="45">
        <f>MATCH(产出预期!O89,秘宝养成!$C$3:$C$14,1)</f>
        <v>10</v>
      </c>
    </row>
    <row r="73" ht="16.5" spans="2:15">
      <c r="B73" s="2">
        <v>71</v>
      </c>
      <c r="C73" s="2">
        <f ca="1">MATCH((OFFSET(产出预期!$C$3,0,产出预期!$B$1)*10+OFFSET(产出预期!$C$4,0,产出预期!$B$1)*10+OFFSET(产出预期!$C$7,0,产出预期!$B$1)*20)*B73/10*60,玩家等级!$E$3:$E$302,1)</f>
        <v>62</v>
      </c>
      <c r="D73" s="2">
        <f>MATCH(产出预期!P90/6,装备养成!$G$4:$G$303,1)</f>
        <v>88</v>
      </c>
      <c r="E73" s="2">
        <f>COUNTIF(产出预期!$R90:$Y90,"&gt;"&amp;0)</f>
        <v>7</v>
      </c>
      <c r="F73" s="2">
        <f ca="1">MATCH(OFFSET(产出预期!$R$19,B73,E73-1),装备养成!$S$4:$S$9,1)</f>
        <v>6</v>
      </c>
      <c r="G73" s="2" t="str">
        <f ca="1">OFFSET(梦灵养成!$D$9,MATCH(梦灵养成!C104,梦灵养成!$C$10:$C$28,1),0)</f>
        <v>我爱沙</v>
      </c>
      <c r="H73" s="2" t="str">
        <f ca="1">OFFSET(梦灵养成!$I$9,MATCH(梦灵养成!C104,梦灵养成!$C$10:$C$28,1),0)</f>
        <v>后羿</v>
      </c>
      <c r="I73" s="45" cm="1">
        <f ca="1" t="array" ref="I73">IFERROR(MATCH(((产出预期!$M90-OFFSET(梦灵养成!$Q$9,MATCH(产出预期!$M90,梦灵养成!$Q$10:$Q$15,1),0))*OFFSET(梦灵养成!L$9,1+MATCH(产出预期!$M90,梦灵养成!$Q$10:$Q$15,1),0)+梦灵养成!D409+SUMPRODUCT(--(梦灵养成!$Q$10:$Q$15&lt;=产出预期!$M90),梦灵养成!L$10:L$15,梦灵养成!$P$10:$P$15))/MAX(SUMPRODUCT(--(梦灵养成!$C$10:$C$31&lt;=产出预期!$M90),--(梦灵养成!$E$10:$E$31=I$2)),1)*10,梦灵养成!AT$339:AT$387,1),0)</f>
        <v>49</v>
      </c>
      <c r="J73" s="45" cm="1">
        <f ca="1" t="array" ref="J73">IFERROR(MATCH(((产出预期!$M90-OFFSET(梦灵养成!$Q$9,MATCH(产出预期!$M90,梦灵养成!$Q$10:$Q$15,1),0))*OFFSET(梦灵养成!M$9,1+MATCH(产出预期!$M90,梦灵养成!$Q$10:$Q$15,1),0)+梦灵养成!E409+SUMPRODUCT(--(梦灵养成!$Q$10:$Q$15&lt;=产出预期!$M90),梦灵养成!M$10:M$15,梦灵养成!$P$10:$P$15))/MAX(SUMPRODUCT(--(梦灵养成!$C$10:$C$31&lt;=产出预期!$M90),--(梦灵养成!$E$10:$E$31=J$2)),1)*10,梦灵养成!AU$339:AU$387,1),0)</f>
        <v>49</v>
      </c>
      <c r="K73" s="45" cm="1">
        <f ca="1" t="array" ref="K73">IFERROR(MATCH(((产出预期!$M90-OFFSET(梦灵养成!$Q$9,MATCH(产出预期!$M90,梦灵养成!$Q$10:$Q$15,1),0))*OFFSET(梦灵养成!N$9,1+MATCH(产出预期!$M90,梦灵养成!$Q$10:$Q$15,1),0)+梦灵养成!F409+SUMPRODUCT(--(梦灵养成!$Q$10:$Q$15&lt;=产出预期!$M90),梦灵养成!N$10:N$15,梦灵养成!$P$10:$P$15))/MAX(SUMPRODUCT(--(梦灵养成!$C$10:$C$31&lt;=产出预期!$M90),--(梦灵养成!$E$10:$E$31=K$2)),1)*10,梦灵养成!AV$339:AV$387,1),0)</f>
        <v>49</v>
      </c>
      <c r="L73" s="45" cm="1">
        <f ca="1" t="array" ref="L73">IFERROR(MATCH(((产出预期!$M90-OFFSET(梦灵养成!$Q$9,MATCH(产出预期!$M90,梦灵养成!$Q$10:$Q$15,1),0))*OFFSET(梦灵养成!O$9,1+MATCH(产出预期!$M90,梦灵养成!$Q$10:$Q$15,1),0)+梦灵养成!G409+SUMPRODUCT(--(梦灵养成!$Q$10:$Q$15&lt;=产出预期!$M90),梦灵养成!O$10:O$15,梦灵养成!$P$10:$P$15))/MAX(SUMPRODUCT(--(梦灵养成!$C$10:$C$31&lt;=产出预期!$M90),--(梦灵养成!$E$10:$E$31=L$2)),1)*10,梦灵养成!AW$339:AW$388,1),0)</f>
        <v>42</v>
      </c>
      <c r="M73" s="45">
        <f ca="1">OFFSET(符文养成!$C$14,MATCH(C73,符文养成!$B$15:$B$44,1),0)</f>
        <v>30</v>
      </c>
      <c r="N73" s="45">
        <f ca="1">MATCH((产出预期!Z90*价值表!$F$53+产出预期!AA90*价值表!$F$54+产出预期!AD90*价值表!$F$57)/16/M73,符文养成!$G$15:$G$21,1)</f>
        <v>4</v>
      </c>
      <c r="O73" s="45">
        <f>MATCH(产出预期!O90,秘宝养成!$C$3:$C$14,1)</f>
        <v>10</v>
      </c>
    </row>
    <row r="74" ht="16.5" spans="2:15">
      <c r="B74" s="2">
        <v>72</v>
      </c>
      <c r="C74" s="2">
        <f ca="1">MATCH((OFFSET(产出预期!$C$3,0,产出预期!$B$1)*10+OFFSET(产出预期!$C$4,0,产出预期!$B$1)*10+OFFSET(产出预期!$C$7,0,产出预期!$B$1)*20)*B74/10*60,玩家等级!$E$3:$E$302,1)</f>
        <v>62</v>
      </c>
      <c r="D74" s="2">
        <f>MATCH(产出预期!P91/6,装备养成!$G$4:$G$303,1)</f>
        <v>88</v>
      </c>
      <c r="E74" s="2">
        <f>COUNTIF(产出预期!$R91:$Y91,"&gt;"&amp;0)</f>
        <v>7</v>
      </c>
      <c r="F74" s="2">
        <f ca="1">MATCH(OFFSET(产出预期!$R$19,B74,E74-1),装备养成!$S$4:$S$9,1)</f>
        <v>6</v>
      </c>
      <c r="G74" s="2" t="str">
        <f ca="1">OFFSET(梦灵养成!$D$9,MATCH(梦灵养成!C105,梦灵养成!$C$10:$C$28,1),0)</f>
        <v>我爱沙</v>
      </c>
      <c r="H74" s="2" t="str">
        <f ca="1">OFFSET(梦灵养成!$I$9,MATCH(梦灵养成!C105,梦灵养成!$C$10:$C$28,1),0)</f>
        <v>后羿</v>
      </c>
      <c r="I74" s="45" cm="1">
        <f ca="1" t="array" ref="I74">IFERROR(MATCH(((产出预期!$M91-OFFSET(梦灵养成!$Q$9,MATCH(产出预期!$M91,梦灵养成!$Q$10:$Q$15,1),0))*OFFSET(梦灵养成!L$9,1+MATCH(产出预期!$M91,梦灵养成!$Q$10:$Q$15,1),0)+梦灵养成!D410+SUMPRODUCT(--(梦灵养成!$Q$10:$Q$15&lt;=产出预期!$M91),梦灵养成!L$10:L$15,梦灵养成!$P$10:$P$15))/MAX(SUMPRODUCT(--(梦灵养成!$C$10:$C$31&lt;=产出预期!$M91),--(梦灵养成!$E$10:$E$31=I$2)),1)*10,梦灵养成!AT$339:AT$387,1),0)</f>
        <v>49</v>
      </c>
      <c r="J74" s="45" cm="1">
        <f ca="1" t="array" ref="J74">IFERROR(MATCH(((产出预期!$M91-OFFSET(梦灵养成!$Q$9,MATCH(产出预期!$M91,梦灵养成!$Q$10:$Q$15,1),0))*OFFSET(梦灵养成!M$9,1+MATCH(产出预期!$M91,梦灵养成!$Q$10:$Q$15,1),0)+梦灵养成!E410+SUMPRODUCT(--(梦灵养成!$Q$10:$Q$15&lt;=产出预期!$M91),梦灵养成!M$10:M$15,梦灵养成!$P$10:$P$15))/MAX(SUMPRODUCT(--(梦灵养成!$C$10:$C$31&lt;=产出预期!$M91),--(梦灵养成!$E$10:$E$31=J$2)),1)*10,梦灵养成!AU$339:AU$387,1),0)</f>
        <v>49</v>
      </c>
      <c r="K74" s="45" cm="1">
        <f ca="1" t="array" ref="K74">IFERROR(MATCH(((产出预期!$M91-OFFSET(梦灵养成!$Q$9,MATCH(产出预期!$M91,梦灵养成!$Q$10:$Q$15,1),0))*OFFSET(梦灵养成!N$9,1+MATCH(产出预期!$M91,梦灵养成!$Q$10:$Q$15,1),0)+梦灵养成!F410+SUMPRODUCT(--(梦灵养成!$Q$10:$Q$15&lt;=产出预期!$M91),梦灵养成!N$10:N$15,梦灵养成!$P$10:$P$15))/MAX(SUMPRODUCT(--(梦灵养成!$C$10:$C$31&lt;=产出预期!$M91),--(梦灵养成!$E$10:$E$31=K$2)),1)*10,梦灵养成!AV$339:AV$387,1),0)</f>
        <v>49</v>
      </c>
      <c r="L74" s="45" cm="1">
        <f ca="1" t="array" ref="L74">IFERROR(MATCH(((产出预期!$M91-OFFSET(梦灵养成!$Q$9,MATCH(产出预期!$M91,梦灵养成!$Q$10:$Q$15,1),0))*OFFSET(梦灵养成!O$9,1+MATCH(产出预期!$M91,梦灵养成!$Q$10:$Q$15,1),0)+梦灵养成!G410+SUMPRODUCT(--(梦灵养成!$Q$10:$Q$15&lt;=产出预期!$M91),梦灵养成!O$10:O$15,梦灵养成!$P$10:$P$15))/MAX(SUMPRODUCT(--(梦灵养成!$C$10:$C$31&lt;=产出预期!$M91),--(梦灵养成!$E$10:$E$31=L$2)),1)*10,梦灵养成!AW$339:AW$388,1),0)</f>
        <v>42</v>
      </c>
      <c r="M74" s="45">
        <f ca="1">OFFSET(符文养成!$C$14,MATCH(C74,符文养成!$B$15:$B$44,1),0)</f>
        <v>30</v>
      </c>
      <c r="N74" s="45">
        <f ca="1">MATCH((产出预期!Z91*价值表!$F$53+产出预期!AA91*价值表!$F$54+产出预期!AD91*价值表!$F$57)/16/M74,符文养成!$G$15:$G$21,1)</f>
        <v>4</v>
      </c>
      <c r="O74" s="45">
        <f>MATCH(产出预期!O91,秘宝养成!$C$3:$C$14,1)</f>
        <v>10</v>
      </c>
    </row>
    <row r="75" ht="16.5" spans="2:15">
      <c r="B75" s="2">
        <v>73</v>
      </c>
      <c r="C75" s="2">
        <f ca="1">MATCH((OFFSET(产出预期!$C$3,0,产出预期!$B$1)*10+OFFSET(产出预期!$C$4,0,产出预期!$B$1)*10+OFFSET(产出预期!$C$7,0,产出预期!$B$1)*20)*B75/10*60,玩家等级!$E$3:$E$302,1)</f>
        <v>63</v>
      </c>
      <c r="D75" s="2">
        <f>MATCH(产出预期!P92/6,装备养成!$G$4:$G$303,1)</f>
        <v>89</v>
      </c>
      <c r="E75" s="2">
        <f>COUNTIF(产出预期!$R92:$Y92,"&gt;"&amp;0)</f>
        <v>7</v>
      </c>
      <c r="F75" s="2">
        <f ca="1">MATCH(OFFSET(产出预期!$R$19,B75,E75-1),装备养成!$S$4:$S$9,1)</f>
        <v>6</v>
      </c>
      <c r="G75" s="2" t="str">
        <f ca="1">OFFSET(梦灵养成!$D$9,MATCH(梦灵养成!C106,梦灵养成!$C$10:$C$28,1),0)</f>
        <v>我爱沙</v>
      </c>
      <c r="H75" s="2" t="str">
        <f ca="1">OFFSET(梦灵养成!$I$9,MATCH(梦灵养成!C106,梦灵养成!$C$10:$C$28,1),0)</f>
        <v>后羿</v>
      </c>
      <c r="I75" s="45" cm="1">
        <f ca="1" t="array" ref="I75">IFERROR(MATCH(((产出预期!$M92-OFFSET(梦灵养成!$Q$9,MATCH(产出预期!$M92,梦灵养成!$Q$10:$Q$15,1),0))*OFFSET(梦灵养成!L$9,1+MATCH(产出预期!$M92,梦灵养成!$Q$10:$Q$15,1),0)+梦灵养成!D411+SUMPRODUCT(--(梦灵养成!$Q$10:$Q$15&lt;=产出预期!$M92),梦灵养成!L$10:L$15,梦灵养成!$P$10:$P$15))/MAX(SUMPRODUCT(--(梦灵养成!$C$10:$C$31&lt;=产出预期!$M92),--(梦灵养成!$E$10:$E$31=I$2)),1)*10,梦灵养成!AT$339:AT$387,1),0)</f>
        <v>49</v>
      </c>
      <c r="J75" s="45" cm="1">
        <f ca="1" t="array" ref="J75">IFERROR(MATCH(((产出预期!$M92-OFFSET(梦灵养成!$Q$9,MATCH(产出预期!$M92,梦灵养成!$Q$10:$Q$15,1),0))*OFFSET(梦灵养成!M$9,1+MATCH(产出预期!$M92,梦灵养成!$Q$10:$Q$15,1),0)+梦灵养成!E411+SUMPRODUCT(--(梦灵养成!$Q$10:$Q$15&lt;=产出预期!$M92),梦灵养成!M$10:M$15,梦灵养成!$P$10:$P$15))/MAX(SUMPRODUCT(--(梦灵养成!$C$10:$C$31&lt;=产出预期!$M92),--(梦灵养成!$E$10:$E$31=J$2)),1)*10,梦灵养成!AU$339:AU$387,1),0)</f>
        <v>49</v>
      </c>
      <c r="K75" s="45" cm="1">
        <f ca="1" t="array" ref="K75">IFERROR(MATCH(((产出预期!$M92-OFFSET(梦灵养成!$Q$9,MATCH(产出预期!$M92,梦灵养成!$Q$10:$Q$15,1),0))*OFFSET(梦灵养成!N$9,1+MATCH(产出预期!$M92,梦灵养成!$Q$10:$Q$15,1),0)+梦灵养成!F411+SUMPRODUCT(--(梦灵养成!$Q$10:$Q$15&lt;=产出预期!$M92),梦灵养成!N$10:N$15,梦灵养成!$P$10:$P$15))/MAX(SUMPRODUCT(--(梦灵养成!$C$10:$C$31&lt;=产出预期!$M92),--(梦灵养成!$E$10:$E$31=K$2)),1)*10,梦灵养成!AV$339:AV$387,1),0)</f>
        <v>49</v>
      </c>
      <c r="L75" s="45" cm="1">
        <f ca="1" t="array" ref="L75">IFERROR(MATCH(((产出预期!$M92-OFFSET(梦灵养成!$Q$9,MATCH(产出预期!$M92,梦灵养成!$Q$10:$Q$15,1),0))*OFFSET(梦灵养成!O$9,1+MATCH(产出预期!$M92,梦灵养成!$Q$10:$Q$15,1),0)+梦灵养成!G411+SUMPRODUCT(--(梦灵养成!$Q$10:$Q$15&lt;=产出预期!$M92),梦灵养成!O$10:O$15,梦灵养成!$P$10:$P$15))/MAX(SUMPRODUCT(--(梦灵养成!$C$10:$C$31&lt;=产出预期!$M92),--(梦灵养成!$E$10:$E$31=L$2)),1)*10,梦灵养成!AW$339:AW$388,1),0)</f>
        <v>43</v>
      </c>
      <c r="M75" s="45">
        <f ca="1">OFFSET(符文养成!$C$14,MATCH(C75,符文养成!$B$15:$B$44,1),0)</f>
        <v>30</v>
      </c>
      <c r="N75" s="45">
        <f ca="1">MATCH((产出预期!Z92*价值表!$F$53+产出预期!AA92*价值表!$F$54+产出预期!AD92*价值表!$F$57)/16/M75,符文养成!$G$15:$G$21,1)</f>
        <v>4</v>
      </c>
      <c r="O75" s="45">
        <f>MATCH(产出预期!O92,秘宝养成!$C$3:$C$14,1)</f>
        <v>10</v>
      </c>
    </row>
    <row r="76" ht="16.5" spans="2:15">
      <c r="B76" s="2">
        <v>74</v>
      </c>
      <c r="C76" s="2">
        <f ca="1">MATCH((OFFSET(产出预期!$C$3,0,产出预期!$B$1)*10+OFFSET(产出预期!$C$4,0,产出预期!$B$1)*10+OFFSET(产出预期!$C$7,0,产出预期!$B$1)*20)*B76/10*60,玩家等级!$E$3:$E$302,1)</f>
        <v>63</v>
      </c>
      <c r="D76" s="2">
        <f>MATCH(产出预期!P93/6,装备养成!$G$4:$G$303,1)</f>
        <v>90</v>
      </c>
      <c r="E76" s="2">
        <f>COUNTIF(产出预期!$R93:$Y93,"&gt;"&amp;0)</f>
        <v>7</v>
      </c>
      <c r="F76" s="2">
        <f ca="1">MATCH(OFFSET(产出预期!$R$19,B76,E76-1),装备养成!$S$4:$S$9,1)</f>
        <v>6</v>
      </c>
      <c r="G76" s="2" t="str">
        <f ca="1">OFFSET(梦灵养成!$D$9,MATCH(梦灵养成!C107,梦灵养成!$C$10:$C$28,1),0)</f>
        <v>我爱沙</v>
      </c>
      <c r="H76" s="2" t="str">
        <f ca="1">OFFSET(梦灵养成!$I$9,MATCH(梦灵养成!C107,梦灵养成!$C$10:$C$28,1),0)</f>
        <v>后羿</v>
      </c>
      <c r="I76" s="45" cm="1">
        <f ca="1" t="array" ref="I76">IFERROR(MATCH(((产出预期!$M93-OFFSET(梦灵养成!$Q$9,MATCH(产出预期!$M93,梦灵养成!$Q$10:$Q$15,1),0))*OFFSET(梦灵养成!L$9,1+MATCH(产出预期!$M93,梦灵养成!$Q$10:$Q$15,1),0)+梦灵养成!D412+SUMPRODUCT(--(梦灵养成!$Q$10:$Q$15&lt;=产出预期!$M93),梦灵养成!L$10:L$15,梦灵养成!$P$10:$P$15))/MAX(SUMPRODUCT(--(梦灵养成!$C$10:$C$31&lt;=产出预期!$M93),--(梦灵养成!$E$10:$E$31=I$2)),1)*10,梦灵养成!AT$339:AT$387,1),0)</f>
        <v>49</v>
      </c>
      <c r="J76" s="45" cm="1">
        <f ca="1" t="array" ref="J76">IFERROR(MATCH(((产出预期!$M93-OFFSET(梦灵养成!$Q$9,MATCH(产出预期!$M93,梦灵养成!$Q$10:$Q$15,1),0))*OFFSET(梦灵养成!M$9,1+MATCH(产出预期!$M93,梦灵养成!$Q$10:$Q$15,1),0)+梦灵养成!E412+SUMPRODUCT(--(梦灵养成!$Q$10:$Q$15&lt;=产出预期!$M93),梦灵养成!M$10:M$15,梦灵养成!$P$10:$P$15))/MAX(SUMPRODUCT(--(梦灵养成!$C$10:$C$31&lt;=产出预期!$M93),--(梦灵养成!$E$10:$E$31=J$2)),1)*10,梦灵养成!AU$339:AU$387,1),0)</f>
        <v>49</v>
      </c>
      <c r="K76" s="45" cm="1">
        <f ca="1" t="array" ref="K76">IFERROR(MATCH(((产出预期!$M93-OFFSET(梦灵养成!$Q$9,MATCH(产出预期!$M93,梦灵养成!$Q$10:$Q$15,1),0))*OFFSET(梦灵养成!N$9,1+MATCH(产出预期!$M93,梦灵养成!$Q$10:$Q$15,1),0)+梦灵养成!F412+SUMPRODUCT(--(梦灵养成!$Q$10:$Q$15&lt;=产出预期!$M93),梦灵养成!N$10:N$15,梦灵养成!$P$10:$P$15))/MAX(SUMPRODUCT(--(梦灵养成!$C$10:$C$31&lt;=产出预期!$M93),--(梦灵养成!$E$10:$E$31=K$2)),1)*10,梦灵养成!AV$339:AV$387,1),0)</f>
        <v>49</v>
      </c>
      <c r="L76" s="45" cm="1">
        <f ca="1" t="array" ref="L76">IFERROR(MATCH(((产出预期!$M93-OFFSET(梦灵养成!$Q$9,MATCH(产出预期!$M93,梦灵养成!$Q$10:$Q$15,1),0))*OFFSET(梦灵养成!O$9,1+MATCH(产出预期!$M93,梦灵养成!$Q$10:$Q$15,1),0)+梦灵养成!G412+SUMPRODUCT(--(梦灵养成!$Q$10:$Q$15&lt;=产出预期!$M93),梦灵养成!O$10:O$15,梦灵养成!$P$10:$P$15))/MAX(SUMPRODUCT(--(梦灵养成!$C$10:$C$31&lt;=产出预期!$M93),--(梦灵养成!$E$10:$E$31=L$2)),1)*10,梦灵养成!AW$339:AW$388,1),0)</f>
        <v>43</v>
      </c>
      <c r="M76" s="45">
        <f ca="1">OFFSET(符文养成!$C$14,MATCH(C76,符文养成!$B$15:$B$44,1),0)</f>
        <v>30</v>
      </c>
      <c r="N76" s="45">
        <f ca="1">MATCH((产出预期!Z93*价值表!$F$53+产出预期!AA93*价值表!$F$54+产出预期!AD93*价值表!$F$57)/16/M76,符文养成!$G$15:$G$21,1)</f>
        <v>4</v>
      </c>
      <c r="O76" s="45">
        <f>MATCH(产出预期!O93,秘宝养成!$C$3:$C$14,1)</f>
        <v>10</v>
      </c>
    </row>
    <row r="77" ht="16.5" spans="2:15">
      <c r="B77" s="2">
        <v>75</v>
      </c>
      <c r="C77" s="2">
        <f ca="1">MATCH((OFFSET(产出预期!$C$3,0,产出预期!$B$1)*10+OFFSET(产出预期!$C$4,0,产出预期!$B$1)*10+OFFSET(产出预期!$C$7,0,产出预期!$B$1)*20)*B77/10*60,玩家等级!$E$3:$E$302,1)</f>
        <v>63</v>
      </c>
      <c r="D77" s="2">
        <f>MATCH(产出预期!P94/6,装备养成!$G$4:$G$303,1)</f>
        <v>90</v>
      </c>
      <c r="E77" s="2">
        <f>COUNTIF(产出预期!$R94:$Y94,"&gt;"&amp;0)</f>
        <v>7</v>
      </c>
      <c r="F77" s="2">
        <f ca="1">MATCH(OFFSET(产出预期!$R$19,B77,E77-1),装备养成!$S$4:$S$9,1)</f>
        <v>6</v>
      </c>
      <c r="G77" s="2" t="str">
        <f ca="1">OFFSET(梦灵养成!$D$9,MATCH(梦灵养成!C108,梦灵养成!$C$10:$C$28,1),0)</f>
        <v>我爱沙</v>
      </c>
      <c r="H77" s="2" t="str">
        <f ca="1">OFFSET(梦灵养成!$I$9,MATCH(梦灵养成!C108,梦灵养成!$C$10:$C$28,1),0)</f>
        <v>后羿</v>
      </c>
      <c r="I77" s="45" cm="1">
        <f ca="1" t="array" ref="I77">IFERROR(MATCH(((产出预期!$M94-OFFSET(梦灵养成!$Q$9,MATCH(产出预期!$M94,梦灵养成!$Q$10:$Q$15,1),0))*OFFSET(梦灵养成!L$9,1+MATCH(产出预期!$M94,梦灵养成!$Q$10:$Q$15,1),0)+梦灵养成!D413+SUMPRODUCT(--(梦灵养成!$Q$10:$Q$15&lt;=产出预期!$M94),梦灵养成!L$10:L$15,梦灵养成!$P$10:$P$15))/MAX(SUMPRODUCT(--(梦灵养成!$C$10:$C$31&lt;=产出预期!$M94),--(梦灵养成!$E$10:$E$31=I$2)),1)*10,梦灵养成!AT$339:AT$387,1),0)</f>
        <v>49</v>
      </c>
      <c r="J77" s="45" cm="1">
        <f ca="1" t="array" ref="J77">IFERROR(MATCH(((产出预期!$M94-OFFSET(梦灵养成!$Q$9,MATCH(产出预期!$M94,梦灵养成!$Q$10:$Q$15,1),0))*OFFSET(梦灵养成!M$9,1+MATCH(产出预期!$M94,梦灵养成!$Q$10:$Q$15,1),0)+梦灵养成!E413+SUMPRODUCT(--(梦灵养成!$Q$10:$Q$15&lt;=产出预期!$M94),梦灵养成!M$10:M$15,梦灵养成!$P$10:$P$15))/MAX(SUMPRODUCT(--(梦灵养成!$C$10:$C$31&lt;=产出预期!$M94),--(梦灵养成!$E$10:$E$31=J$2)),1)*10,梦灵养成!AU$339:AU$387,1),0)</f>
        <v>49</v>
      </c>
      <c r="K77" s="45" cm="1">
        <f ca="1" t="array" ref="K77">IFERROR(MATCH(((产出预期!$M94-OFFSET(梦灵养成!$Q$9,MATCH(产出预期!$M94,梦灵养成!$Q$10:$Q$15,1),0))*OFFSET(梦灵养成!N$9,1+MATCH(产出预期!$M94,梦灵养成!$Q$10:$Q$15,1),0)+梦灵养成!F413+SUMPRODUCT(--(梦灵养成!$Q$10:$Q$15&lt;=产出预期!$M94),梦灵养成!N$10:N$15,梦灵养成!$P$10:$P$15))/MAX(SUMPRODUCT(--(梦灵养成!$C$10:$C$31&lt;=产出预期!$M94),--(梦灵养成!$E$10:$E$31=K$2)),1)*10,梦灵养成!AV$339:AV$387,1),0)</f>
        <v>49</v>
      </c>
      <c r="L77" s="45" cm="1">
        <f ca="1" t="array" ref="L77">IFERROR(MATCH(((产出预期!$M94-OFFSET(梦灵养成!$Q$9,MATCH(产出预期!$M94,梦灵养成!$Q$10:$Q$15,1),0))*OFFSET(梦灵养成!O$9,1+MATCH(产出预期!$M94,梦灵养成!$Q$10:$Q$15,1),0)+梦灵养成!G413+SUMPRODUCT(--(梦灵养成!$Q$10:$Q$15&lt;=产出预期!$M94),梦灵养成!O$10:O$15,梦灵养成!$P$10:$P$15))/MAX(SUMPRODUCT(--(梦灵养成!$C$10:$C$31&lt;=产出预期!$M94),--(梦灵养成!$E$10:$E$31=L$2)),1)*10,梦灵养成!AW$339:AW$388,1),0)</f>
        <v>43</v>
      </c>
      <c r="M77" s="45">
        <f ca="1">OFFSET(符文养成!$C$14,MATCH(C77,符文养成!$B$15:$B$44,1),0)</f>
        <v>30</v>
      </c>
      <c r="N77" s="45">
        <f ca="1">MATCH((产出预期!Z94*价值表!$F$53+产出预期!AA94*价值表!$F$54+产出预期!AD94*价值表!$F$57)/16/M77,符文养成!$G$15:$G$21,1)</f>
        <v>4</v>
      </c>
      <c r="O77" s="45">
        <f>MATCH(产出预期!O94,秘宝养成!$C$3:$C$14,1)</f>
        <v>10</v>
      </c>
    </row>
    <row r="78" ht="16.5" spans="2:15">
      <c r="B78" s="2">
        <v>76</v>
      </c>
      <c r="C78" s="2">
        <f ca="1">MATCH((OFFSET(产出预期!$C$3,0,产出预期!$B$1)*10+OFFSET(产出预期!$C$4,0,产出预期!$B$1)*10+OFFSET(产出预期!$C$7,0,产出预期!$B$1)*20)*B78/10*60,玩家等级!$E$3:$E$302,1)</f>
        <v>63</v>
      </c>
      <c r="D78" s="2">
        <f>MATCH(产出预期!P95/6,装备养成!$G$4:$G$303,1)</f>
        <v>91</v>
      </c>
      <c r="E78" s="2">
        <f>COUNTIF(产出预期!$R95:$Y95,"&gt;"&amp;0)</f>
        <v>7</v>
      </c>
      <c r="F78" s="2">
        <f ca="1">MATCH(OFFSET(产出预期!$R$19,B78,E78-1),装备养成!$S$4:$S$9,1)</f>
        <v>6</v>
      </c>
      <c r="G78" s="2" t="str">
        <f ca="1">OFFSET(梦灵养成!$D$9,MATCH(梦灵养成!C109,梦灵养成!$C$10:$C$28,1),0)</f>
        <v>我爱沙</v>
      </c>
      <c r="H78" s="2" t="str">
        <f ca="1">OFFSET(梦灵养成!$I$9,MATCH(梦灵养成!C109,梦灵养成!$C$10:$C$28,1),0)</f>
        <v>后羿</v>
      </c>
      <c r="I78" s="45" cm="1">
        <f ca="1" t="array" ref="I78">IFERROR(MATCH(((产出预期!$M95-OFFSET(梦灵养成!$Q$9,MATCH(产出预期!$M95,梦灵养成!$Q$10:$Q$15,1),0))*OFFSET(梦灵养成!L$9,1+MATCH(产出预期!$M95,梦灵养成!$Q$10:$Q$15,1),0)+梦灵养成!D414+SUMPRODUCT(--(梦灵养成!$Q$10:$Q$15&lt;=产出预期!$M95),梦灵养成!L$10:L$15,梦灵养成!$P$10:$P$15))/MAX(SUMPRODUCT(--(梦灵养成!$C$10:$C$31&lt;=产出预期!$M95),--(梦灵养成!$E$10:$E$31=I$2)),1)*10,梦灵养成!AT$339:AT$387,1),0)</f>
        <v>49</v>
      </c>
      <c r="J78" s="45" cm="1">
        <f ca="1" t="array" ref="J78">IFERROR(MATCH(((产出预期!$M95-OFFSET(梦灵养成!$Q$9,MATCH(产出预期!$M95,梦灵养成!$Q$10:$Q$15,1),0))*OFFSET(梦灵养成!M$9,1+MATCH(产出预期!$M95,梦灵养成!$Q$10:$Q$15,1),0)+梦灵养成!E414+SUMPRODUCT(--(梦灵养成!$Q$10:$Q$15&lt;=产出预期!$M95),梦灵养成!M$10:M$15,梦灵养成!$P$10:$P$15))/MAX(SUMPRODUCT(--(梦灵养成!$C$10:$C$31&lt;=产出预期!$M95),--(梦灵养成!$E$10:$E$31=J$2)),1)*10,梦灵养成!AU$339:AU$387,1),0)</f>
        <v>49</v>
      </c>
      <c r="K78" s="45" cm="1">
        <f ca="1" t="array" ref="K78">IFERROR(MATCH(((产出预期!$M95-OFFSET(梦灵养成!$Q$9,MATCH(产出预期!$M95,梦灵养成!$Q$10:$Q$15,1),0))*OFFSET(梦灵养成!N$9,1+MATCH(产出预期!$M95,梦灵养成!$Q$10:$Q$15,1),0)+梦灵养成!F414+SUMPRODUCT(--(梦灵养成!$Q$10:$Q$15&lt;=产出预期!$M95),梦灵养成!N$10:N$15,梦灵养成!$P$10:$P$15))/MAX(SUMPRODUCT(--(梦灵养成!$C$10:$C$31&lt;=产出预期!$M95),--(梦灵养成!$E$10:$E$31=K$2)),1)*10,梦灵养成!AV$339:AV$387,1),0)</f>
        <v>49</v>
      </c>
      <c r="L78" s="45" cm="1">
        <f ca="1" t="array" ref="L78">IFERROR(MATCH(((产出预期!$M95-OFFSET(梦灵养成!$Q$9,MATCH(产出预期!$M95,梦灵养成!$Q$10:$Q$15,1),0))*OFFSET(梦灵养成!O$9,1+MATCH(产出预期!$M95,梦灵养成!$Q$10:$Q$15,1),0)+梦灵养成!G414+SUMPRODUCT(--(梦灵养成!$Q$10:$Q$15&lt;=产出预期!$M95),梦灵养成!O$10:O$15,梦灵养成!$P$10:$P$15))/MAX(SUMPRODUCT(--(梦灵养成!$C$10:$C$31&lt;=产出预期!$M95),--(梦灵养成!$E$10:$E$31=L$2)),1)*10,梦灵养成!AW$339:AW$388,1),0)</f>
        <v>43</v>
      </c>
      <c r="M78" s="45">
        <f ca="1">OFFSET(符文养成!$C$14,MATCH(C78,符文养成!$B$15:$B$44,1),0)</f>
        <v>30</v>
      </c>
      <c r="N78" s="45">
        <f ca="1">MATCH((产出预期!Z95*价值表!$F$53+产出预期!AA95*价值表!$F$54+产出预期!AD95*价值表!$F$57)/16/M78,符文养成!$G$15:$G$21,1)</f>
        <v>4</v>
      </c>
      <c r="O78" s="45">
        <f>MATCH(产出预期!O95,秘宝养成!$C$3:$C$14,1)</f>
        <v>10</v>
      </c>
    </row>
    <row r="79" ht="16.5" spans="2:15">
      <c r="B79" s="2">
        <v>77</v>
      </c>
      <c r="C79" s="2">
        <f ca="1">MATCH((OFFSET(产出预期!$C$3,0,产出预期!$B$1)*10+OFFSET(产出预期!$C$4,0,产出预期!$B$1)*10+OFFSET(产出预期!$C$7,0,产出预期!$B$1)*20)*B79/10*60,玩家等级!$E$3:$E$302,1)</f>
        <v>64</v>
      </c>
      <c r="D79" s="2">
        <f>MATCH(产出预期!P96/6,装备养成!$G$4:$G$303,1)</f>
        <v>91</v>
      </c>
      <c r="E79" s="2">
        <f>COUNTIF(产出预期!$R96:$Y96,"&gt;"&amp;0)</f>
        <v>7</v>
      </c>
      <c r="F79" s="2">
        <f ca="1">MATCH(OFFSET(产出预期!$R$19,B79,E79-1),装备养成!$S$4:$S$9,1)</f>
        <v>6</v>
      </c>
      <c r="G79" s="2" t="str">
        <f ca="1">OFFSET(梦灵养成!$D$9,MATCH(梦灵养成!C110,梦灵养成!$C$10:$C$28,1),0)</f>
        <v>我爱沙</v>
      </c>
      <c r="H79" s="2" t="str">
        <f ca="1">OFFSET(梦灵养成!$I$9,MATCH(梦灵养成!C110,梦灵养成!$C$10:$C$28,1),0)</f>
        <v>后羿</v>
      </c>
      <c r="I79" s="45" cm="1">
        <f ca="1" t="array" ref="I79">IFERROR(MATCH(((产出预期!$M96-OFFSET(梦灵养成!$Q$9,MATCH(产出预期!$M96,梦灵养成!$Q$10:$Q$15,1),0))*OFFSET(梦灵养成!L$9,1+MATCH(产出预期!$M96,梦灵养成!$Q$10:$Q$15,1),0)+梦灵养成!D415+SUMPRODUCT(--(梦灵养成!$Q$10:$Q$15&lt;=产出预期!$M96),梦灵养成!L$10:L$15,梦灵养成!$P$10:$P$15))/MAX(SUMPRODUCT(--(梦灵养成!$C$10:$C$31&lt;=产出预期!$M96),--(梦灵养成!$E$10:$E$31=I$2)),1)*10,梦灵养成!AT$339:AT$387,1),0)</f>
        <v>49</v>
      </c>
      <c r="J79" s="45" cm="1">
        <f ca="1" t="array" ref="J79">IFERROR(MATCH(((产出预期!$M96-OFFSET(梦灵养成!$Q$9,MATCH(产出预期!$M96,梦灵养成!$Q$10:$Q$15,1),0))*OFFSET(梦灵养成!M$9,1+MATCH(产出预期!$M96,梦灵养成!$Q$10:$Q$15,1),0)+梦灵养成!E415+SUMPRODUCT(--(梦灵养成!$Q$10:$Q$15&lt;=产出预期!$M96),梦灵养成!M$10:M$15,梦灵养成!$P$10:$P$15))/MAX(SUMPRODUCT(--(梦灵养成!$C$10:$C$31&lt;=产出预期!$M96),--(梦灵养成!$E$10:$E$31=J$2)),1)*10,梦灵养成!AU$339:AU$387,1),0)</f>
        <v>49</v>
      </c>
      <c r="K79" s="45" cm="1">
        <f ca="1" t="array" ref="K79">IFERROR(MATCH(((产出预期!$M96-OFFSET(梦灵养成!$Q$9,MATCH(产出预期!$M96,梦灵养成!$Q$10:$Q$15,1),0))*OFFSET(梦灵养成!N$9,1+MATCH(产出预期!$M96,梦灵养成!$Q$10:$Q$15,1),0)+梦灵养成!F415+SUMPRODUCT(--(梦灵养成!$Q$10:$Q$15&lt;=产出预期!$M96),梦灵养成!N$10:N$15,梦灵养成!$P$10:$P$15))/MAX(SUMPRODUCT(--(梦灵养成!$C$10:$C$31&lt;=产出预期!$M96),--(梦灵养成!$E$10:$E$31=K$2)),1)*10,梦灵养成!AV$339:AV$387,1),0)</f>
        <v>49</v>
      </c>
      <c r="L79" s="45" cm="1">
        <f ca="1" t="array" ref="L79">IFERROR(MATCH(((产出预期!$M96-OFFSET(梦灵养成!$Q$9,MATCH(产出预期!$M96,梦灵养成!$Q$10:$Q$15,1),0))*OFFSET(梦灵养成!O$9,1+MATCH(产出预期!$M96,梦灵养成!$Q$10:$Q$15,1),0)+梦灵养成!G415+SUMPRODUCT(--(梦灵养成!$Q$10:$Q$15&lt;=产出预期!$M96),梦灵养成!O$10:O$15,梦灵养成!$P$10:$P$15))/MAX(SUMPRODUCT(--(梦灵养成!$C$10:$C$31&lt;=产出预期!$M96),--(梦灵养成!$E$10:$E$31=L$2)),1)*10,梦灵养成!AW$339:AW$388,1),0)</f>
        <v>44</v>
      </c>
      <c r="M79" s="45">
        <f ca="1">OFFSET(符文养成!$C$14,MATCH(C79,符文养成!$B$15:$B$44,1),0)</f>
        <v>30</v>
      </c>
      <c r="N79" s="45">
        <f ca="1">MATCH((产出预期!Z96*价值表!$F$53+产出预期!AA96*价值表!$F$54+产出预期!AD96*价值表!$F$57)/16/M79,符文养成!$G$15:$G$21,1)</f>
        <v>4</v>
      </c>
      <c r="O79" s="45">
        <f>MATCH(产出预期!O96,秘宝养成!$C$3:$C$14,1)</f>
        <v>10</v>
      </c>
    </row>
    <row r="80" ht="16.5" spans="2:15">
      <c r="B80" s="2">
        <v>78</v>
      </c>
      <c r="C80" s="2">
        <f ca="1">MATCH((OFFSET(产出预期!$C$3,0,产出预期!$B$1)*10+OFFSET(产出预期!$C$4,0,产出预期!$B$1)*10+OFFSET(产出预期!$C$7,0,产出预期!$B$1)*20)*B80/10*60,玩家等级!$E$3:$E$302,1)</f>
        <v>64</v>
      </c>
      <c r="D80" s="2">
        <f>MATCH(产出预期!P97/6,装备养成!$G$4:$G$303,1)</f>
        <v>92</v>
      </c>
      <c r="E80" s="2">
        <f>COUNTIF(产出预期!$R97:$Y97,"&gt;"&amp;0)</f>
        <v>7</v>
      </c>
      <c r="F80" s="2">
        <f ca="1">MATCH(OFFSET(产出预期!$R$19,B80,E80-1),装备养成!$S$4:$S$9,1)</f>
        <v>6</v>
      </c>
      <c r="G80" s="2" t="str">
        <f ca="1">OFFSET(梦灵养成!$D$9,MATCH(梦灵养成!C111,梦灵养成!$C$10:$C$28,1),0)</f>
        <v>我爱沙</v>
      </c>
      <c r="H80" s="2" t="str">
        <f ca="1">OFFSET(梦灵养成!$I$9,MATCH(梦灵养成!C111,梦灵养成!$C$10:$C$28,1),0)</f>
        <v>后羿</v>
      </c>
      <c r="I80" s="45" cm="1">
        <f ca="1" t="array" ref="I80">IFERROR(MATCH(((产出预期!$M97-OFFSET(梦灵养成!$Q$9,MATCH(产出预期!$M97,梦灵养成!$Q$10:$Q$15,1),0))*OFFSET(梦灵养成!L$9,1+MATCH(产出预期!$M97,梦灵养成!$Q$10:$Q$15,1),0)+梦灵养成!D416+SUMPRODUCT(--(梦灵养成!$Q$10:$Q$15&lt;=产出预期!$M97),梦灵养成!L$10:L$15,梦灵养成!$P$10:$P$15))/MAX(SUMPRODUCT(--(梦灵养成!$C$10:$C$31&lt;=产出预期!$M97),--(梦灵养成!$E$10:$E$31=I$2)),1)*10,梦灵养成!AT$339:AT$387,1),0)</f>
        <v>49</v>
      </c>
      <c r="J80" s="45" cm="1">
        <f ca="1" t="array" ref="J80">IFERROR(MATCH(((产出预期!$M97-OFFSET(梦灵养成!$Q$9,MATCH(产出预期!$M97,梦灵养成!$Q$10:$Q$15,1),0))*OFFSET(梦灵养成!M$9,1+MATCH(产出预期!$M97,梦灵养成!$Q$10:$Q$15,1),0)+梦灵养成!E416+SUMPRODUCT(--(梦灵养成!$Q$10:$Q$15&lt;=产出预期!$M97),梦灵养成!M$10:M$15,梦灵养成!$P$10:$P$15))/MAX(SUMPRODUCT(--(梦灵养成!$C$10:$C$31&lt;=产出预期!$M97),--(梦灵养成!$E$10:$E$31=J$2)),1)*10,梦灵养成!AU$339:AU$387,1),0)</f>
        <v>49</v>
      </c>
      <c r="K80" s="45" cm="1">
        <f ca="1" t="array" ref="K80">IFERROR(MATCH(((产出预期!$M97-OFFSET(梦灵养成!$Q$9,MATCH(产出预期!$M97,梦灵养成!$Q$10:$Q$15,1),0))*OFFSET(梦灵养成!N$9,1+MATCH(产出预期!$M97,梦灵养成!$Q$10:$Q$15,1),0)+梦灵养成!F416+SUMPRODUCT(--(梦灵养成!$Q$10:$Q$15&lt;=产出预期!$M97),梦灵养成!N$10:N$15,梦灵养成!$P$10:$P$15))/MAX(SUMPRODUCT(--(梦灵养成!$C$10:$C$31&lt;=产出预期!$M97),--(梦灵养成!$E$10:$E$31=K$2)),1)*10,梦灵养成!AV$339:AV$387,1),0)</f>
        <v>49</v>
      </c>
      <c r="L80" s="45" cm="1">
        <f ca="1" t="array" ref="L80">IFERROR(MATCH(((产出预期!$M97-OFFSET(梦灵养成!$Q$9,MATCH(产出预期!$M97,梦灵养成!$Q$10:$Q$15,1),0))*OFFSET(梦灵养成!O$9,1+MATCH(产出预期!$M97,梦灵养成!$Q$10:$Q$15,1),0)+梦灵养成!G416+SUMPRODUCT(--(梦灵养成!$Q$10:$Q$15&lt;=产出预期!$M97),梦灵养成!O$10:O$15,梦灵养成!$P$10:$P$15))/MAX(SUMPRODUCT(--(梦灵养成!$C$10:$C$31&lt;=产出预期!$M97),--(梦灵养成!$E$10:$E$31=L$2)),1)*10,梦灵养成!AW$339:AW$388,1),0)</f>
        <v>44</v>
      </c>
      <c r="M80" s="45">
        <f ca="1">OFFSET(符文养成!$C$14,MATCH(C80,符文养成!$B$15:$B$44,1),0)</f>
        <v>30</v>
      </c>
      <c r="N80" s="45">
        <f ca="1">MATCH((产出预期!Z97*价值表!$F$53+产出预期!AA97*价值表!$F$54+产出预期!AD97*价值表!$F$57)/16/M80,符文养成!$G$15:$G$21,1)</f>
        <v>4</v>
      </c>
      <c r="O80" s="45">
        <f>MATCH(产出预期!O97,秘宝养成!$C$3:$C$14,1)</f>
        <v>10</v>
      </c>
    </row>
    <row r="81" ht="16.5" spans="2:15">
      <c r="B81" s="2">
        <v>79</v>
      </c>
      <c r="C81" s="2">
        <f ca="1">MATCH((OFFSET(产出预期!$C$3,0,产出预期!$B$1)*10+OFFSET(产出预期!$C$4,0,产出预期!$B$1)*10+OFFSET(产出预期!$C$7,0,产出预期!$B$1)*20)*B81/10*60,玩家等级!$E$3:$E$302,1)</f>
        <v>65</v>
      </c>
      <c r="D81" s="2">
        <f>MATCH(产出预期!P98/6,装备养成!$G$4:$G$303,1)</f>
        <v>92</v>
      </c>
      <c r="E81" s="2">
        <f>COUNTIF(产出预期!$R98:$Y98,"&gt;"&amp;0)</f>
        <v>7</v>
      </c>
      <c r="F81" s="2">
        <f ca="1">MATCH(OFFSET(产出预期!$R$19,B81,E81-1),装备养成!$S$4:$S$9,1)</f>
        <v>6</v>
      </c>
      <c r="G81" s="2" t="str">
        <f ca="1">OFFSET(梦灵养成!$D$9,MATCH(梦灵养成!C112,梦灵养成!$C$10:$C$28,1),0)</f>
        <v>我爱沙</v>
      </c>
      <c r="H81" s="2" t="str">
        <f ca="1">OFFSET(梦灵养成!$I$9,MATCH(梦灵养成!C112,梦灵养成!$C$10:$C$28,1),0)</f>
        <v>后羿</v>
      </c>
      <c r="I81" s="45" cm="1">
        <f ca="1" t="array" ref="I81">IFERROR(MATCH(((产出预期!$M98-OFFSET(梦灵养成!$Q$9,MATCH(产出预期!$M98,梦灵养成!$Q$10:$Q$15,1),0))*OFFSET(梦灵养成!L$9,1+MATCH(产出预期!$M98,梦灵养成!$Q$10:$Q$15,1),0)+梦灵养成!D417+SUMPRODUCT(--(梦灵养成!$Q$10:$Q$15&lt;=产出预期!$M98),梦灵养成!L$10:L$15,梦灵养成!$P$10:$P$15))/MAX(SUMPRODUCT(--(梦灵养成!$C$10:$C$31&lt;=产出预期!$M98),--(梦灵养成!$E$10:$E$31=I$2)),1)*10,梦灵养成!AT$339:AT$387,1),0)</f>
        <v>49</v>
      </c>
      <c r="J81" s="45" cm="1">
        <f ca="1" t="array" ref="J81">IFERROR(MATCH(((产出预期!$M98-OFFSET(梦灵养成!$Q$9,MATCH(产出预期!$M98,梦灵养成!$Q$10:$Q$15,1),0))*OFFSET(梦灵养成!M$9,1+MATCH(产出预期!$M98,梦灵养成!$Q$10:$Q$15,1),0)+梦灵养成!E417+SUMPRODUCT(--(梦灵养成!$Q$10:$Q$15&lt;=产出预期!$M98),梦灵养成!M$10:M$15,梦灵养成!$P$10:$P$15))/MAX(SUMPRODUCT(--(梦灵养成!$C$10:$C$31&lt;=产出预期!$M98),--(梦灵养成!$E$10:$E$31=J$2)),1)*10,梦灵养成!AU$339:AU$387,1),0)</f>
        <v>49</v>
      </c>
      <c r="K81" s="45" cm="1">
        <f ca="1" t="array" ref="K81">IFERROR(MATCH(((产出预期!$M98-OFFSET(梦灵养成!$Q$9,MATCH(产出预期!$M98,梦灵养成!$Q$10:$Q$15,1),0))*OFFSET(梦灵养成!N$9,1+MATCH(产出预期!$M98,梦灵养成!$Q$10:$Q$15,1),0)+梦灵养成!F417+SUMPRODUCT(--(梦灵养成!$Q$10:$Q$15&lt;=产出预期!$M98),梦灵养成!N$10:N$15,梦灵养成!$P$10:$P$15))/MAX(SUMPRODUCT(--(梦灵养成!$C$10:$C$31&lt;=产出预期!$M98),--(梦灵养成!$E$10:$E$31=K$2)),1)*10,梦灵养成!AV$339:AV$387,1),0)</f>
        <v>49</v>
      </c>
      <c r="L81" s="45" cm="1">
        <f ca="1" t="array" ref="L81">IFERROR(MATCH(((产出预期!$M98-OFFSET(梦灵养成!$Q$9,MATCH(产出预期!$M98,梦灵养成!$Q$10:$Q$15,1),0))*OFFSET(梦灵养成!O$9,1+MATCH(产出预期!$M98,梦灵养成!$Q$10:$Q$15,1),0)+梦灵养成!G417+SUMPRODUCT(--(梦灵养成!$Q$10:$Q$15&lt;=产出预期!$M98),梦灵养成!O$10:O$15,梦灵养成!$P$10:$P$15))/MAX(SUMPRODUCT(--(梦灵养成!$C$10:$C$31&lt;=产出预期!$M98),--(梦灵养成!$E$10:$E$31=L$2)),1)*10,梦灵养成!AW$339:AW$388,1),0)</f>
        <v>44</v>
      </c>
      <c r="M81" s="45">
        <f ca="1">OFFSET(符文养成!$C$14,MATCH(C81,符文养成!$B$15:$B$44,1),0)</f>
        <v>30</v>
      </c>
      <c r="N81" s="45">
        <f ca="1">MATCH((产出预期!Z98*价值表!$F$53+产出预期!AA98*价值表!$F$54+产出预期!AD98*价值表!$F$57)/16/M81,符文养成!$G$15:$G$21,1)</f>
        <v>4</v>
      </c>
      <c r="O81" s="45">
        <f>MATCH(产出预期!O98,秘宝养成!$C$3:$C$14,1)</f>
        <v>10</v>
      </c>
    </row>
    <row r="82" ht="16.5" spans="2:15">
      <c r="B82" s="2">
        <v>80</v>
      </c>
      <c r="C82" s="2">
        <f ca="1">MATCH((OFFSET(产出预期!$C$3,0,产出预期!$B$1)*10+OFFSET(产出预期!$C$4,0,产出预期!$B$1)*10+OFFSET(产出预期!$C$7,0,产出预期!$B$1)*20)*B82/10*60,玩家等级!$E$3:$E$302,1)</f>
        <v>65</v>
      </c>
      <c r="D82" s="2">
        <f>MATCH(产出预期!P99/6,装备养成!$G$4:$G$303,1)</f>
        <v>93</v>
      </c>
      <c r="E82" s="2">
        <f>COUNTIF(产出预期!$R99:$Y99,"&gt;"&amp;0)</f>
        <v>7</v>
      </c>
      <c r="F82" s="2">
        <f ca="1">MATCH(OFFSET(产出预期!$R$19,B82,E82-1),装备养成!$S$4:$S$9,1)</f>
        <v>6</v>
      </c>
      <c r="G82" s="2" t="str">
        <f ca="1">OFFSET(梦灵养成!$D$9,MATCH(梦灵养成!C113,梦灵养成!$C$10:$C$28,1),0)</f>
        <v>我爱沙</v>
      </c>
      <c r="H82" s="2" t="str">
        <f ca="1">OFFSET(梦灵养成!$I$9,MATCH(梦灵养成!C113,梦灵养成!$C$10:$C$28,1),0)</f>
        <v>后羿</v>
      </c>
      <c r="I82" s="45" cm="1">
        <f ca="1" t="array" ref="I82">IFERROR(MATCH(((产出预期!$M99-OFFSET(梦灵养成!$Q$9,MATCH(产出预期!$M99,梦灵养成!$Q$10:$Q$15,1),0))*OFFSET(梦灵养成!L$9,1+MATCH(产出预期!$M99,梦灵养成!$Q$10:$Q$15,1),0)+梦灵养成!D418+SUMPRODUCT(--(梦灵养成!$Q$10:$Q$15&lt;=产出预期!$M99),梦灵养成!L$10:L$15,梦灵养成!$P$10:$P$15))/MAX(SUMPRODUCT(--(梦灵养成!$C$10:$C$31&lt;=产出预期!$M99),--(梦灵养成!$E$10:$E$31=I$2)),1)*10,梦灵养成!AT$339:AT$387,1),0)</f>
        <v>49</v>
      </c>
      <c r="J82" s="45" cm="1">
        <f ca="1" t="array" ref="J82">IFERROR(MATCH(((产出预期!$M99-OFFSET(梦灵养成!$Q$9,MATCH(产出预期!$M99,梦灵养成!$Q$10:$Q$15,1),0))*OFFSET(梦灵养成!M$9,1+MATCH(产出预期!$M99,梦灵养成!$Q$10:$Q$15,1),0)+梦灵养成!E418+SUMPRODUCT(--(梦灵养成!$Q$10:$Q$15&lt;=产出预期!$M99),梦灵养成!M$10:M$15,梦灵养成!$P$10:$P$15))/MAX(SUMPRODUCT(--(梦灵养成!$C$10:$C$31&lt;=产出预期!$M99),--(梦灵养成!$E$10:$E$31=J$2)),1)*10,梦灵养成!AU$339:AU$387,1),0)</f>
        <v>49</v>
      </c>
      <c r="K82" s="45" cm="1">
        <f ca="1" t="array" ref="K82">IFERROR(MATCH(((产出预期!$M99-OFFSET(梦灵养成!$Q$9,MATCH(产出预期!$M99,梦灵养成!$Q$10:$Q$15,1),0))*OFFSET(梦灵养成!N$9,1+MATCH(产出预期!$M99,梦灵养成!$Q$10:$Q$15,1),0)+梦灵养成!F418+SUMPRODUCT(--(梦灵养成!$Q$10:$Q$15&lt;=产出预期!$M99),梦灵养成!N$10:N$15,梦灵养成!$P$10:$P$15))/MAX(SUMPRODUCT(--(梦灵养成!$C$10:$C$31&lt;=产出预期!$M99),--(梦灵养成!$E$10:$E$31=K$2)),1)*10,梦灵养成!AV$339:AV$387,1),0)</f>
        <v>49</v>
      </c>
      <c r="L82" s="45" cm="1">
        <f ca="1" t="array" ref="L82">IFERROR(MATCH(((产出预期!$M99-OFFSET(梦灵养成!$Q$9,MATCH(产出预期!$M99,梦灵养成!$Q$10:$Q$15,1),0))*OFFSET(梦灵养成!O$9,1+MATCH(产出预期!$M99,梦灵养成!$Q$10:$Q$15,1),0)+梦灵养成!G418+SUMPRODUCT(--(梦灵养成!$Q$10:$Q$15&lt;=产出预期!$M99),梦灵养成!O$10:O$15,梦灵养成!$P$10:$P$15))/MAX(SUMPRODUCT(--(梦灵养成!$C$10:$C$31&lt;=产出预期!$M99),--(梦灵养成!$E$10:$E$31=L$2)),1)*10,梦灵养成!AW$339:AW$388,1),0)</f>
        <v>45</v>
      </c>
      <c r="M82" s="45">
        <f ca="1">OFFSET(符文养成!$C$14,MATCH(C82,符文养成!$B$15:$B$44,1),0)</f>
        <v>30</v>
      </c>
      <c r="N82" s="45">
        <f ca="1">MATCH((产出预期!Z99*价值表!$F$53+产出预期!AA99*价值表!$F$54+产出预期!AD99*价值表!$F$57)/16/M82,符文养成!$G$15:$G$21,1)</f>
        <v>4</v>
      </c>
      <c r="O82" s="45">
        <f>MATCH(产出预期!O99,秘宝养成!$C$3:$C$14,1)</f>
        <v>10</v>
      </c>
    </row>
    <row r="83" ht="16.5" spans="2:15">
      <c r="B83" s="2">
        <v>81</v>
      </c>
      <c r="C83" s="2">
        <f ca="1">MATCH((OFFSET(产出预期!$C$3,0,产出预期!$B$1)*10+OFFSET(产出预期!$C$4,0,产出预期!$B$1)*10+OFFSET(产出预期!$C$7,0,产出预期!$B$1)*20)*B83/10*60,玩家等级!$E$3:$E$302,1)</f>
        <v>65</v>
      </c>
      <c r="D83" s="2">
        <f>MATCH(产出预期!P100/6,装备养成!$G$4:$G$303,1)</f>
        <v>93</v>
      </c>
      <c r="E83" s="2">
        <f>COUNTIF(产出预期!$R100:$Y100,"&gt;"&amp;0)</f>
        <v>7</v>
      </c>
      <c r="F83" s="2">
        <f ca="1">MATCH(OFFSET(产出预期!$R$19,B83,E83-1),装备养成!$S$4:$S$9,1)</f>
        <v>6</v>
      </c>
      <c r="G83" s="2" t="str">
        <f ca="1">OFFSET(梦灵养成!$D$9,MATCH(梦灵养成!C114,梦灵养成!$C$10:$C$28,1),0)</f>
        <v>我爱沙</v>
      </c>
      <c r="H83" s="2" t="str">
        <f ca="1">OFFSET(梦灵养成!$I$9,MATCH(梦灵养成!C114,梦灵养成!$C$10:$C$28,1),0)</f>
        <v>后羿</v>
      </c>
      <c r="I83" s="45" cm="1">
        <f ca="1" t="array" ref="I83">IFERROR(MATCH(((产出预期!$M100-OFFSET(梦灵养成!$Q$9,MATCH(产出预期!$M100,梦灵养成!$Q$10:$Q$15,1),0))*OFFSET(梦灵养成!L$9,1+MATCH(产出预期!$M100,梦灵养成!$Q$10:$Q$15,1),0)+梦灵养成!D419+SUMPRODUCT(--(梦灵养成!$Q$10:$Q$15&lt;=产出预期!$M100),梦灵养成!L$10:L$15,梦灵养成!$P$10:$P$15))/MAX(SUMPRODUCT(--(梦灵养成!$C$10:$C$31&lt;=产出预期!$M100),--(梦灵养成!$E$10:$E$31=I$2)),1)*10,梦灵养成!AT$339:AT$387,1),0)</f>
        <v>49</v>
      </c>
      <c r="J83" s="45" cm="1">
        <f ca="1" t="array" ref="J83">IFERROR(MATCH(((产出预期!$M100-OFFSET(梦灵养成!$Q$9,MATCH(产出预期!$M100,梦灵养成!$Q$10:$Q$15,1),0))*OFFSET(梦灵养成!M$9,1+MATCH(产出预期!$M100,梦灵养成!$Q$10:$Q$15,1),0)+梦灵养成!E419+SUMPRODUCT(--(梦灵养成!$Q$10:$Q$15&lt;=产出预期!$M100),梦灵养成!M$10:M$15,梦灵养成!$P$10:$P$15))/MAX(SUMPRODUCT(--(梦灵养成!$C$10:$C$31&lt;=产出预期!$M100),--(梦灵养成!$E$10:$E$31=J$2)),1)*10,梦灵养成!AU$339:AU$387,1),0)</f>
        <v>49</v>
      </c>
      <c r="K83" s="45" cm="1">
        <f ca="1" t="array" ref="K83">IFERROR(MATCH(((产出预期!$M100-OFFSET(梦灵养成!$Q$9,MATCH(产出预期!$M100,梦灵养成!$Q$10:$Q$15,1),0))*OFFSET(梦灵养成!N$9,1+MATCH(产出预期!$M100,梦灵养成!$Q$10:$Q$15,1),0)+梦灵养成!F419+SUMPRODUCT(--(梦灵养成!$Q$10:$Q$15&lt;=产出预期!$M100),梦灵养成!N$10:N$15,梦灵养成!$P$10:$P$15))/MAX(SUMPRODUCT(--(梦灵养成!$C$10:$C$31&lt;=产出预期!$M100),--(梦灵养成!$E$10:$E$31=K$2)),1)*10,梦灵养成!AV$339:AV$387,1),0)</f>
        <v>49</v>
      </c>
      <c r="L83" s="45" cm="1">
        <f ca="1" t="array" ref="L83">IFERROR(MATCH(((产出预期!$M100-OFFSET(梦灵养成!$Q$9,MATCH(产出预期!$M100,梦灵养成!$Q$10:$Q$15,1),0))*OFFSET(梦灵养成!O$9,1+MATCH(产出预期!$M100,梦灵养成!$Q$10:$Q$15,1),0)+梦灵养成!G419+SUMPRODUCT(--(梦灵养成!$Q$10:$Q$15&lt;=产出预期!$M100),梦灵养成!O$10:O$15,梦灵养成!$P$10:$P$15))/MAX(SUMPRODUCT(--(梦灵养成!$C$10:$C$31&lt;=产出预期!$M100),--(梦灵养成!$E$10:$E$31=L$2)),1)*10,梦灵养成!AW$339:AW$388,1),0)</f>
        <v>45</v>
      </c>
      <c r="M83" s="45">
        <f ca="1">OFFSET(符文养成!$C$14,MATCH(C83,符文养成!$B$15:$B$44,1),0)</f>
        <v>30</v>
      </c>
      <c r="N83" s="45">
        <f ca="1">MATCH((产出预期!Z100*价值表!$F$53+产出预期!AA100*价值表!$F$54+产出预期!AD100*价值表!$F$57)/16/M83,符文养成!$G$15:$G$21,1)</f>
        <v>4</v>
      </c>
      <c r="O83" s="45">
        <f>MATCH(产出预期!O100,秘宝养成!$C$3:$C$14,1)</f>
        <v>10</v>
      </c>
    </row>
    <row r="84" ht="16.5" spans="2:15">
      <c r="B84" s="2">
        <v>82</v>
      </c>
      <c r="C84" s="2">
        <f ca="1">MATCH((OFFSET(产出预期!$C$3,0,产出预期!$B$1)*10+OFFSET(产出预期!$C$4,0,产出预期!$B$1)*10+OFFSET(产出预期!$C$7,0,产出预期!$B$1)*20)*B84/10*60,玩家等级!$E$3:$E$302,1)</f>
        <v>65</v>
      </c>
      <c r="D84" s="2">
        <f>MATCH(产出预期!P101/6,装备养成!$G$4:$G$303,1)</f>
        <v>94</v>
      </c>
      <c r="E84" s="2">
        <f>COUNTIF(产出预期!$R101:$Y101,"&gt;"&amp;0)</f>
        <v>7</v>
      </c>
      <c r="F84" s="2">
        <f ca="1">MATCH(OFFSET(产出预期!$R$19,B84,E84-1),装备养成!$S$4:$S$9,1)</f>
        <v>6</v>
      </c>
      <c r="G84" s="2" t="str">
        <f ca="1">OFFSET(梦灵养成!$D$9,MATCH(梦灵养成!C115,梦灵养成!$C$10:$C$28,1),0)</f>
        <v>我爱沙</v>
      </c>
      <c r="H84" s="2" t="str">
        <f ca="1">OFFSET(梦灵养成!$I$9,MATCH(梦灵养成!C115,梦灵养成!$C$10:$C$28,1),0)</f>
        <v>后羿</v>
      </c>
      <c r="I84" s="45" cm="1">
        <f ca="1" t="array" ref="I84">IFERROR(MATCH(((产出预期!$M101-OFFSET(梦灵养成!$Q$9,MATCH(产出预期!$M101,梦灵养成!$Q$10:$Q$15,1),0))*OFFSET(梦灵养成!L$9,1+MATCH(产出预期!$M101,梦灵养成!$Q$10:$Q$15,1),0)+梦灵养成!D420+SUMPRODUCT(--(梦灵养成!$Q$10:$Q$15&lt;=产出预期!$M101),梦灵养成!L$10:L$15,梦灵养成!$P$10:$P$15))/MAX(SUMPRODUCT(--(梦灵养成!$C$10:$C$31&lt;=产出预期!$M101),--(梦灵养成!$E$10:$E$31=I$2)),1)*10,梦灵养成!AT$339:AT$387,1),0)</f>
        <v>49</v>
      </c>
      <c r="J84" s="45" cm="1">
        <f ca="1" t="array" ref="J84">IFERROR(MATCH(((产出预期!$M101-OFFSET(梦灵养成!$Q$9,MATCH(产出预期!$M101,梦灵养成!$Q$10:$Q$15,1),0))*OFFSET(梦灵养成!M$9,1+MATCH(产出预期!$M101,梦灵养成!$Q$10:$Q$15,1),0)+梦灵养成!E420+SUMPRODUCT(--(梦灵养成!$Q$10:$Q$15&lt;=产出预期!$M101),梦灵养成!M$10:M$15,梦灵养成!$P$10:$P$15))/MAX(SUMPRODUCT(--(梦灵养成!$C$10:$C$31&lt;=产出预期!$M101),--(梦灵养成!$E$10:$E$31=J$2)),1)*10,梦灵养成!AU$339:AU$387,1),0)</f>
        <v>49</v>
      </c>
      <c r="K84" s="45" cm="1">
        <f ca="1" t="array" ref="K84">IFERROR(MATCH(((产出预期!$M101-OFFSET(梦灵养成!$Q$9,MATCH(产出预期!$M101,梦灵养成!$Q$10:$Q$15,1),0))*OFFSET(梦灵养成!N$9,1+MATCH(产出预期!$M101,梦灵养成!$Q$10:$Q$15,1),0)+梦灵养成!F420+SUMPRODUCT(--(梦灵养成!$Q$10:$Q$15&lt;=产出预期!$M101),梦灵养成!N$10:N$15,梦灵养成!$P$10:$P$15))/MAX(SUMPRODUCT(--(梦灵养成!$C$10:$C$31&lt;=产出预期!$M101),--(梦灵养成!$E$10:$E$31=K$2)),1)*10,梦灵养成!AV$339:AV$387,1),0)</f>
        <v>49</v>
      </c>
      <c r="L84" s="45" cm="1">
        <f ca="1" t="array" ref="L84">IFERROR(MATCH(((产出预期!$M101-OFFSET(梦灵养成!$Q$9,MATCH(产出预期!$M101,梦灵养成!$Q$10:$Q$15,1),0))*OFFSET(梦灵养成!O$9,1+MATCH(产出预期!$M101,梦灵养成!$Q$10:$Q$15,1),0)+梦灵养成!G420+SUMPRODUCT(--(梦灵养成!$Q$10:$Q$15&lt;=产出预期!$M101),梦灵养成!O$10:O$15,梦灵养成!$P$10:$P$15))/MAX(SUMPRODUCT(--(梦灵养成!$C$10:$C$31&lt;=产出预期!$M101),--(梦灵养成!$E$10:$E$31=L$2)),1)*10,梦灵养成!AW$339:AW$388,1),0)</f>
        <v>45</v>
      </c>
      <c r="M84" s="45">
        <f ca="1">OFFSET(符文养成!$C$14,MATCH(C84,符文养成!$B$15:$B$44,1),0)</f>
        <v>30</v>
      </c>
      <c r="N84" s="45">
        <f ca="1">MATCH((产出预期!Z101*价值表!$F$53+产出预期!AA101*价值表!$F$54+产出预期!AD101*价值表!$F$57)/16/M84,符文养成!$G$15:$G$21,1)</f>
        <v>4</v>
      </c>
      <c r="O84" s="45">
        <f>MATCH(产出预期!O101,秘宝养成!$C$3:$C$14,1)</f>
        <v>11</v>
      </c>
    </row>
    <row r="85" ht="16.5" spans="2:15">
      <c r="B85" s="2">
        <v>83</v>
      </c>
      <c r="C85" s="2">
        <f ca="1">MATCH((OFFSET(产出预期!$C$3,0,产出预期!$B$1)*10+OFFSET(产出预期!$C$4,0,产出预期!$B$1)*10+OFFSET(产出预期!$C$7,0,产出预期!$B$1)*20)*B85/10*60,玩家等级!$E$3:$E$302,1)</f>
        <v>65</v>
      </c>
      <c r="D85" s="2">
        <f>MATCH(产出预期!P102/6,装备养成!$G$4:$G$303,1)</f>
        <v>94</v>
      </c>
      <c r="E85" s="2">
        <f>COUNTIF(产出预期!$R102:$Y102,"&gt;"&amp;0)</f>
        <v>7</v>
      </c>
      <c r="F85" s="2">
        <f ca="1">MATCH(OFFSET(产出预期!$R$19,B85,E85-1),装备养成!$S$4:$S$9,1)</f>
        <v>6</v>
      </c>
      <c r="G85" s="2" t="str">
        <f ca="1">OFFSET(梦灵养成!$D$9,MATCH(梦灵养成!C116,梦灵养成!$C$10:$C$28,1),0)</f>
        <v>我爱沙</v>
      </c>
      <c r="H85" s="2" t="str">
        <f ca="1">OFFSET(梦灵养成!$I$9,MATCH(梦灵养成!C116,梦灵养成!$C$10:$C$28,1),0)</f>
        <v>后羿</v>
      </c>
      <c r="I85" s="45" cm="1">
        <f ca="1" t="array" ref="I85">IFERROR(MATCH(((产出预期!$M102-OFFSET(梦灵养成!$Q$9,MATCH(产出预期!$M102,梦灵养成!$Q$10:$Q$15,1),0))*OFFSET(梦灵养成!L$9,1+MATCH(产出预期!$M102,梦灵养成!$Q$10:$Q$15,1),0)+梦灵养成!D421+SUMPRODUCT(--(梦灵养成!$Q$10:$Q$15&lt;=产出预期!$M102),梦灵养成!L$10:L$15,梦灵养成!$P$10:$P$15))/MAX(SUMPRODUCT(--(梦灵养成!$C$10:$C$31&lt;=产出预期!$M102),--(梦灵养成!$E$10:$E$31=I$2)),1)*10,梦灵养成!AT$339:AT$387,1),0)</f>
        <v>49</v>
      </c>
      <c r="J85" s="45" cm="1">
        <f ca="1" t="array" ref="J85">IFERROR(MATCH(((产出预期!$M102-OFFSET(梦灵养成!$Q$9,MATCH(产出预期!$M102,梦灵养成!$Q$10:$Q$15,1),0))*OFFSET(梦灵养成!M$9,1+MATCH(产出预期!$M102,梦灵养成!$Q$10:$Q$15,1),0)+梦灵养成!E421+SUMPRODUCT(--(梦灵养成!$Q$10:$Q$15&lt;=产出预期!$M102),梦灵养成!M$10:M$15,梦灵养成!$P$10:$P$15))/MAX(SUMPRODUCT(--(梦灵养成!$C$10:$C$31&lt;=产出预期!$M102),--(梦灵养成!$E$10:$E$31=J$2)),1)*10,梦灵养成!AU$339:AU$387,1),0)</f>
        <v>49</v>
      </c>
      <c r="K85" s="45" cm="1">
        <f ca="1" t="array" ref="K85">IFERROR(MATCH(((产出预期!$M102-OFFSET(梦灵养成!$Q$9,MATCH(产出预期!$M102,梦灵养成!$Q$10:$Q$15,1),0))*OFFSET(梦灵养成!N$9,1+MATCH(产出预期!$M102,梦灵养成!$Q$10:$Q$15,1),0)+梦灵养成!F421+SUMPRODUCT(--(梦灵养成!$Q$10:$Q$15&lt;=产出预期!$M102),梦灵养成!N$10:N$15,梦灵养成!$P$10:$P$15))/MAX(SUMPRODUCT(--(梦灵养成!$C$10:$C$31&lt;=产出预期!$M102),--(梦灵养成!$E$10:$E$31=K$2)),1)*10,梦灵养成!AV$339:AV$387,1),0)</f>
        <v>49</v>
      </c>
      <c r="L85" s="45" cm="1">
        <f ca="1" t="array" ref="L85">IFERROR(MATCH(((产出预期!$M102-OFFSET(梦灵养成!$Q$9,MATCH(产出预期!$M102,梦灵养成!$Q$10:$Q$15,1),0))*OFFSET(梦灵养成!O$9,1+MATCH(产出预期!$M102,梦灵养成!$Q$10:$Q$15,1),0)+梦灵养成!G421+SUMPRODUCT(--(梦灵养成!$Q$10:$Q$15&lt;=产出预期!$M102),梦灵养成!O$10:O$15,梦灵养成!$P$10:$P$15))/MAX(SUMPRODUCT(--(梦灵养成!$C$10:$C$31&lt;=产出预期!$M102),--(梦灵养成!$E$10:$E$31=L$2)),1)*10,梦灵养成!AW$339:AW$388,1),0)</f>
        <v>45</v>
      </c>
      <c r="M85" s="45">
        <f ca="1">OFFSET(符文养成!$C$14,MATCH(C85,符文养成!$B$15:$B$44,1),0)</f>
        <v>30</v>
      </c>
      <c r="N85" s="45">
        <f ca="1">MATCH((产出预期!Z102*价值表!$F$53+产出预期!AA102*价值表!$F$54+产出预期!AD102*价值表!$F$57)/16/M85,符文养成!$G$15:$G$21,1)</f>
        <v>4</v>
      </c>
      <c r="O85" s="45">
        <f>MATCH(产出预期!O102,秘宝养成!$C$3:$C$14,1)</f>
        <v>11</v>
      </c>
    </row>
    <row r="86" ht="16.5" spans="2:15">
      <c r="B86" s="2">
        <v>84</v>
      </c>
      <c r="C86" s="2">
        <f ca="1">MATCH((OFFSET(产出预期!$C$3,0,产出预期!$B$1)*10+OFFSET(产出预期!$C$4,0,产出预期!$B$1)*10+OFFSET(产出预期!$C$7,0,产出预期!$B$1)*20)*B86/10*60,玩家等级!$E$3:$E$302,1)</f>
        <v>66</v>
      </c>
      <c r="D86" s="2">
        <f>MATCH(产出预期!P103/6,装备养成!$G$4:$G$303,1)</f>
        <v>95</v>
      </c>
      <c r="E86" s="2">
        <f>COUNTIF(产出预期!$R103:$Y103,"&gt;"&amp;0)</f>
        <v>7</v>
      </c>
      <c r="F86" s="2">
        <f ca="1">MATCH(OFFSET(产出预期!$R$19,B86,E86-1),装备养成!$S$4:$S$9,1)</f>
        <v>6</v>
      </c>
      <c r="G86" s="2" t="str">
        <f ca="1">OFFSET(梦灵养成!$D$9,MATCH(梦灵养成!C117,梦灵养成!$C$10:$C$28,1),0)</f>
        <v>我爱沙</v>
      </c>
      <c r="H86" s="2" t="str">
        <f ca="1">OFFSET(梦灵养成!$I$9,MATCH(梦灵养成!C117,梦灵养成!$C$10:$C$28,1),0)</f>
        <v>后羿</v>
      </c>
      <c r="I86" s="45" cm="1">
        <f ca="1" t="array" ref="I86">IFERROR(MATCH(((产出预期!$M103-OFFSET(梦灵养成!$Q$9,MATCH(产出预期!$M103,梦灵养成!$Q$10:$Q$15,1),0))*OFFSET(梦灵养成!L$9,1+MATCH(产出预期!$M103,梦灵养成!$Q$10:$Q$15,1),0)+梦灵养成!D422+SUMPRODUCT(--(梦灵养成!$Q$10:$Q$15&lt;=产出预期!$M103),梦灵养成!L$10:L$15,梦灵养成!$P$10:$P$15))/MAX(SUMPRODUCT(--(梦灵养成!$C$10:$C$31&lt;=产出预期!$M103),--(梦灵养成!$E$10:$E$31=I$2)),1)*10,梦灵养成!AT$339:AT$387,1),0)</f>
        <v>49</v>
      </c>
      <c r="J86" s="45" cm="1">
        <f ca="1" t="array" ref="J86">IFERROR(MATCH(((产出预期!$M103-OFFSET(梦灵养成!$Q$9,MATCH(产出预期!$M103,梦灵养成!$Q$10:$Q$15,1),0))*OFFSET(梦灵养成!M$9,1+MATCH(产出预期!$M103,梦灵养成!$Q$10:$Q$15,1),0)+梦灵养成!E422+SUMPRODUCT(--(梦灵养成!$Q$10:$Q$15&lt;=产出预期!$M103),梦灵养成!M$10:M$15,梦灵养成!$P$10:$P$15))/MAX(SUMPRODUCT(--(梦灵养成!$C$10:$C$31&lt;=产出预期!$M103),--(梦灵养成!$E$10:$E$31=J$2)),1)*10,梦灵养成!AU$339:AU$387,1),0)</f>
        <v>49</v>
      </c>
      <c r="K86" s="45" cm="1">
        <f ca="1" t="array" ref="K86">IFERROR(MATCH(((产出预期!$M103-OFFSET(梦灵养成!$Q$9,MATCH(产出预期!$M103,梦灵养成!$Q$10:$Q$15,1),0))*OFFSET(梦灵养成!N$9,1+MATCH(产出预期!$M103,梦灵养成!$Q$10:$Q$15,1),0)+梦灵养成!F422+SUMPRODUCT(--(梦灵养成!$Q$10:$Q$15&lt;=产出预期!$M103),梦灵养成!N$10:N$15,梦灵养成!$P$10:$P$15))/MAX(SUMPRODUCT(--(梦灵养成!$C$10:$C$31&lt;=产出预期!$M103),--(梦灵养成!$E$10:$E$31=K$2)),1)*10,梦灵养成!AV$339:AV$387,1),0)</f>
        <v>49</v>
      </c>
      <c r="L86" s="45" cm="1">
        <f ca="1" t="array" ref="L86">IFERROR(MATCH(((产出预期!$M103-OFFSET(梦灵养成!$Q$9,MATCH(产出预期!$M103,梦灵养成!$Q$10:$Q$15,1),0))*OFFSET(梦灵养成!O$9,1+MATCH(产出预期!$M103,梦灵养成!$Q$10:$Q$15,1),0)+梦灵养成!G422+SUMPRODUCT(--(梦灵养成!$Q$10:$Q$15&lt;=产出预期!$M103),梦灵养成!O$10:O$15,梦灵养成!$P$10:$P$15))/MAX(SUMPRODUCT(--(梦灵养成!$C$10:$C$31&lt;=产出预期!$M103),--(梦灵养成!$E$10:$E$31=L$2)),1)*10,梦灵养成!AW$339:AW$388,1),0)</f>
        <v>46</v>
      </c>
      <c r="M86" s="45">
        <f ca="1">OFFSET(符文养成!$C$14,MATCH(C86,符文养成!$B$15:$B$44,1),0)</f>
        <v>30</v>
      </c>
      <c r="N86" s="45">
        <f ca="1">MATCH((产出预期!Z103*价值表!$F$53+产出预期!AA103*价值表!$F$54+产出预期!AD103*价值表!$F$57)/16/M86,符文养成!$G$15:$G$21,1)</f>
        <v>4</v>
      </c>
      <c r="O86" s="45">
        <f>MATCH(产出预期!O103,秘宝养成!$C$3:$C$14,1)</f>
        <v>11</v>
      </c>
    </row>
    <row r="87" ht="16.5" spans="2:15">
      <c r="B87" s="2">
        <v>85</v>
      </c>
      <c r="C87" s="2">
        <f ca="1">MATCH((OFFSET(产出预期!$C$3,0,产出预期!$B$1)*10+OFFSET(产出预期!$C$4,0,产出预期!$B$1)*10+OFFSET(产出预期!$C$7,0,产出预期!$B$1)*20)*B87/10*60,玩家等级!$E$3:$E$302,1)</f>
        <v>66</v>
      </c>
      <c r="D87" s="2">
        <f>MATCH(产出预期!P104/6,装备养成!$G$4:$G$303,1)</f>
        <v>95</v>
      </c>
      <c r="E87" s="2">
        <f>COUNTIF(产出预期!$R104:$Y104,"&gt;"&amp;0)</f>
        <v>7</v>
      </c>
      <c r="F87" s="2">
        <f ca="1">MATCH(OFFSET(产出预期!$R$19,B87,E87-1),装备养成!$S$4:$S$9,1)</f>
        <v>6</v>
      </c>
      <c r="G87" s="2" t="str">
        <f ca="1">OFFSET(梦灵养成!$D$9,MATCH(梦灵养成!C118,梦灵养成!$C$10:$C$28,1),0)</f>
        <v>我爱沙</v>
      </c>
      <c r="H87" s="2" t="str">
        <f ca="1">OFFSET(梦灵养成!$I$9,MATCH(梦灵养成!C118,梦灵养成!$C$10:$C$28,1),0)</f>
        <v>后羿</v>
      </c>
      <c r="I87" s="45" cm="1">
        <f ca="1" t="array" ref="I87">IFERROR(MATCH(((产出预期!$M104-OFFSET(梦灵养成!$Q$9,MATCH(产出预期!$M104,梦灵养成!$Q$10:$Q$15,1),0))*OFFSET(梦灵养成!L$9,1+MATCH(产出预期!$M104,梦灵养成!$Q$10:$Q$15,1),0)+梦灵养成!D423+SUMPRODUCT(--(梦灵养成!$Q$10:$Q$15&lt;=产出预期!$M104),梦灵养成!L$10:L$15,梦灵养成!$P$10:$P$15))/MAX(SUMPRODUCT(--(梦灵养成!$C$10:$C$31&lt;=产出预期!$M104),--(梦灵养成!$E$10:$E$31=I$2)),1)*10,梦灵养成!AT$339:AT$387,1),0)</f>
        <v>49</v>
      </c>
      <c r="J87" s="45" cm="1">
        <f ca="1" t="array" ref="J87">IFERROR(MATCH(((产出预期!$M104-OFFSET(梦灵养成!$Q$9,MATCH(产出预期!$M104,梦灵养成!$Q$10:$Q$15,1),0))*OFFSET(梦灵养成!M$9,1+MATCH(产出预期!$M104,梦灵养成!$Q$10:$Q$15,1),0)+梦灵养成!E423+SUMPRODUCT(--(梦灵养成!$Q$10:$Q$15&lt;=产出预期!$M104),梦灵养成!M$10:M$15,梦灵养成!$P$10:$P$15))/MAX(SUMPRODUCT(--(梦灵养成!$C$10:$C$31&lt;=产出预期!$M104),--(梦灵养成!$E$10:$E$31=J$2)),1)*10,梦灵养成!AU$339:AU$387,1),0)</f>
        <v>49</v>
      </c>
      <c r="K87" s="45" cm="1">
        <f ca="1" t="array" ref="K87">IFERROR(MATCH(((产出预期!$M104-OFFSET(梦灵养成!$Q$9,MATCH(产出预期!$M104,梦灵养成!$Q$10:$Q$15,1),0))*OFFSET(梦灵养成!N$9,1+MATCH(产出预期!$M104,梦灵养成!$Q$10:$Q$15,1),0)+梦灵养成!F423+SUMPRODUCT(--(梦灵养成!$Q$10:$Q$15&lt;=产出预期!$M104),梦灵养成!N$10:N$15,梦灵养成!$P$10:$P$15))/MAX(SUMPRODUCT(--(梦灵养成!$C$10:$C$31&lt;=产出预期!$M104),--(梦灵养成!$E$10:$E$31=K$2)),1)*10,梦灵养成!AV$339:AV$387,1),0)</f>
        <v>49</v>
      </c>
      <c r="L87" s="45" cm="1">
        <f ca="1" t="array" ref="L87">IFERROR(MATCH(((产出预期!$M104-OFFSET(梦灵养成!$Q$9,MATCH(产出预期!$M104,梦灵养成!$Q$10:$Q$15,1),0))*OFFSET(梦灵养成!O$9,1+MATCH(产出预期!$M104,梦灵养成!$Q$10:$Q$15,1),0)+梦灵养成!G423+SUMPRODUCT(--(梦灵养成!$Q$10:$Q$15&lt;=产出预期!$M104),梦灵养成!O$10:O$15,梦灵养成!$P$10:$P$15))/MAX(SUMPRODUCT(--(梦灵养成!$C$10:$C$31&lt;=产出预期!$M104),--(梦灵养成!$E$10:$E$31=L$2)),1)*10,梦灵养成!AW$339:AW$388,1),0)</f>
        <v>46</v>
      </c>
      <c r="M87" s="45">
        <f ca="1">OFFSET(符文养成!$C$14,MATCH(C87,符文养成!$B$15:$B$44,1),0)</f>
        <v>30</v>
      </c>
      <c r="N87" s="45">
        <f ca="1">MATCH((产出预期!Z104*价值表!$F$53+产出预期!AA104*价值表!$F$54+产出预期!AD104*价值表!$F$57)/16/M87,符文养成!$G$15:$G$21,1)</f>
        <v>4</v>
      </c>
      <c r="O87" s="45">
        <f>MATCH(产出预期!O104,秘宝养成!$C$3:$C$14,1)</f>
        <v>11</v>
      </c>
    </row>
    <row r="88" ht="16.5" spans="2:15">
      <c r="B88" s="2">
        <v>86</v>
      </c>
      <c r="C88" s="2">
        <f ca="1">MATCH((OFFSET(产出预期!$C$3,0,产出预期!$B$1)*10+OFFSET(产出预期!$C$4,0,产出预期!$B$1)*10+OFFSET(产出预期!$C$7,0,产出预期!$B$1)*20)*B88/10*60,玩家等级!$E$3:$E$302,1)</f>
        <v>67</v>
      </c>
      <c r="D88" s="2">
        <f>MATCH(产出预期!P105/6,装备养成!$G$4:$G$303,1)</f>
        <v>96</v>
      </c>
      <c r="E88" s="2">
        <f>COUNTIF(产出预期!$R105:$Y105,"&gt;"&amp;0)</f>
        <v>7</v>
      </c>
      <c r="F88" s="2">
        <f ca="1">MATCH(OFFSET(产出预期!$R$19,B88,E88-1),装备养成!$S$4:$S$9,1)</f>
        <v>6</v>
      </c>
      <c r="G88" s="2" t="str">
        <f ca="1">OFFSET(梦灵养成!$D$9,MATCH(梦灵养成!C119,梦灵养成!$C$10:$C$28,1),0)</f>
        <v>我爱沙</v>
      </c>
      <c r="H88" s="2" t="str">
        <f ca="1">OFFSET(梦灵养成!$I$9,MATCH(梦灵养成!C119,梦灵养成!$C$10:$C$28,1),0)</f>
        <v>后羿</v>
      </c>
      <c r="I88" s="45" cm="1">
        <f ca="1" t="array" ref="I88">IFERROR(MATCH(((产出预期!$M105-OFFSET(梦灵养成!$Q$9,MATCH(产出预期!$M105,梦灵养成!$Q$10:$Q$15,1),0))*OFFSET(梦灵养成!L$9,1+MATCH(产出预期!$M105,梦灵养成!$Q$10:$Q$15,1),0)+梦灵养成!D424+SUMPRODUCT(--(梦灵养成!$Q$10:$Q$15&lt;=产出预期!$M105),梦灵养成!L$10:L$15,梦灵养成!$P$10:$P$15))/MAX(SUMPRODUCT(--(梦灵养成!$C$10:$C$31&lt;=产出预期!$M105),--(梦灵养成!$E$10:$E$31=I$2)),1)*10,梦灵养成!AT$339:AT$387,1),0)</f>
        <v>49</v>
      </c>
      <c r="J88" s="45" cm="1">
        <f ca="1" t="array" ref="J88">IFERROR(MATCH(((产出预期!$M105-OFFSET(梦灵养成!$Q$9,MATCH(产出预期!$M105,梦灵养成!$Q$10:$Q$15,1),0))*OFFSET(梦灵养成!M$9,1+MATCH(产出预期!$M105,梦灵养成!$Q$10:$Q$15,1),0)+梦灵养成!E424+SUMPRODUCT(--(梦灵养成!$Q$10:$Q$15&lt;=产出预期!$M105),梦灵养成!M$10:M$15,梦灵养成!$P$10:$P$15))/MAX(SUMPRODUCT(--(梦灵养成!$C$10:$C$31&lt;=产出预期!$M105),--(梦灵养成!$E$10:$E$31=J$2)),1)*10,梦灵养成!AU$339:AU$387,1),0)</f>
        <v>49</v>
      </c>
      <c r="K88" s="45" cm="1">
        <f ca="1" t="array" ref="K88">IFERROR(MATCH(((产出预期!$M105-OFFSET(梦灵养成!$Q$9,MATCH(产出预期!$M105,梦灵养成!$Q$10:$Q$15,1),0))*OFFSET(梦灵养成!N$9,1+MATCH(产出预期!$M105,梦灵养成!$Q$10:$Q$15,1),0)+梦灵养成!F424+SUMPRODUCT(--(梦灵养成!$Q$10:$Q$15&lt;=产出预期!$M105),梦灵养成!N$10:N$15,梦灵养成!$P$10:$P$15))/MAX(SUMPRODUCT(--(梦灵养成!$C$10:$C$31&lt;=产出预期!$M105),--(梦灵养成!$E$10:$E$31=K$2)),1)*10,梦灵养成!AV$339:AV$387,1),0)</f>
        <v>49</v>
      </c>
      <c r="L88" s="45" cm="1">
        <f ca="1" t="array" ref="L88">IFERROR(MATCH(((产出预期!$M105-OFFSET(梦灵养成!$Q$9,MATCH(产出预期!$M105,梦灵养成!$Q$10:$Q$15,1),0))*OFFSET(梦灵养成!O$9,1+MATCH(产出预期!$M105,梦灵养成!$Q$10:$Q$15,1),0)+梦灵养成!G424+SUMPRODUCT(--(梦灵养成!$Q$10:$Q$15&lt;=产出预期!$M105),梦灵养成!O$10:O$15,梦灵养成!$P$10:$P$15))/MAX(SUMPRODUCT(--(梦灵养成!$C$10:$C$31&lt;=产出预期!$M105),--(梦灵养成!$E$10:$E$31=L$2)),1)*10,梦灵养成!AW$339:AW$388,1),0)</f>
        <v>46</v>
      </c>
      <c r="M88" s="45">
        <f ca="1">OFFSET(符文养成!$C$14,MATCH(C88,符文养成!$B$15:$B$44,1),0)</f>
        <v>30</v>
      </c>
      <c r="N88" s="45">
        <f ca="1">MATCH((产出预期!Z105*价值表!$F$53+产出预期!AA105*价值表!$F$54+产出预期!AD105*价值表!$F$57)/16/M88,符文养成!$G$15:$G$21,1)</f>
        <v>4</v>
      </c>
      <c r="O88" s="45">
        <f>MATCH(产出预期!O105,秘宝养成!$C$3:$C$14,1)</f>
        <v>11</v>
      </c>
    </row>
    <row r="89" ht="16.5" spans="2:15">
      <c r="B89" s="2">
        <v>87</v>
      </c>
      <c r="C89" s="2">
        <f ca="1">MATCH((OFFSET(产出预期!$C$3,0,产出预期!$B$1)*10+OFFSET(产出预期!$C$4,0,产出预期!$B$1)*10+OFFSET(产出预期!$C$7,0,产出预期!$B$1)*20)*B89/10*60,玩家等级!$E$3:$E$302,1)</f>
        <v>67</v>
      </c>
      <c r="D89" s="2">
        <f>MATCH(产出预期!P106/6,装备养成!$G$4:$G$303,1)</f>
        <v>96</v>
      </c>
      <c r="E89" s="2">
        <f>COUNTIF(产出预期!$R106:$Y106,"&gt;"&amp;0)</f>
        <v>7</v>
      </c>
      <c r="F89" s="2">
        <f ca="1">MATCH(OFFSET(产出预期!$R$19,B89,E89-1),装备养成!$S$4:$S$9,1)</f>
        <v>6</v>
      </c>
      <c r="G89" s="2" t="str">
        <f ca="1">OFFSET(梦灵养成!$D$9,MATCH(梦灵养成!C120,梦灵养成!$C$10:$C$28,1),0)</f>
        <v>我爱沙</v>
      </c>
      <c r="H89" s="2" t="str">
        <f ca="1">OFFSET(梦灵养成!$I$9,MATCH(梦灵养成!C120,梦灵养成!$C$10:$C$28,1),0)</f>
        <v>后羿</v>
      </c>
      <c r="I89" s="45" cm="1">
        <f ca="1" t="array" ref="I89">IFERROR(MATCH(((产出预期!$M106-OFFSET(梦灵养成!$Q$9,MATCH(产出预期!$M106,梦灵养成!$Q$10:$Q$15,1),0))*OFFSET(梦灵养成!L$9,1+MATCH(产出预期!$M106,梦灵养成!$Q$10:$Q$15,1),0)+梦灵养成!D425+SUMPRODUCT(--(梦灵养成!$Q$10:$Q$15&lt;=产出预期!$M106),梦灵养成!L$10:L$15,梦灵养成!$P$10:$P$15))/MAX(SUMPRODUCT(--(梦灵养成!$C$10:$C$31&lt;=产出预期!$M106),--(梦灵养成!$E$10:$E$31=I$2)),1)*10,梦灵养成!AT$339:AT$387,1),0)</f>
        <v>49</v>
      </c>
      <c r="J89" s="45" cm="1">
        <f ca="1" t="array" ref="J89">IFERROR(MATCH(((产出预期!$M106-OFFSET(梦灵养成!$Q$9,MATCH(产出预期!$M106,梦灵养成!$Q$10:$Q$15,1),0))*OFFSET(梦灵养成!M$9,1+MATCH(产出预期!$M106,梦灵养成!$Q$10:$Q$15,1),0)+梦灵养成!E425+SUMPRODUCT(--(梦灵养成!$Q$10:$Q$15&lt;=产出预期!$M106),梦灵养成!M$10:M$15,梦灵养成!$P$10:$P$15))/MAX(SUMPRODUCT(--(梦灵养成!$C$10:$C$31&lt;=产出预期!$M106),--(梦灵养成!$E$10:$E$31=J$2)),1)*10,梦灵养成!AU$339:AU$387,1),0)</f>
        <v>49</v>
      </c>
      <c r="K89" s="45" cm="1">
        <f ca="1" t="array" ref="K89">IFERROR(MATCH(((产出预期!$M106-OFFSET(梦灵养成!$Q$9,MATCH(产出预期!$M106,梦灵养成!$Q$10:$Q$15,1),0))*OFFSET(梦灵养成!N$9,1+MATCH(产出预期!$M106,梦灵养成!$Q$10:$Q$15,1),0)+梦灵养成!F425+SUMPRODUCT(--(梦灵养成!$Q$10:$Q$15&lt;=产出预期!$M106),梦灵养成!N$10:N$15,梦灵养成!$P$10:$P$15))/MAX(SUMPRODUCT(--(梦灵养成!$C$10:$C$31&lt;=产出预期!$M106),--(梦灵养成!$E$10:$E$31=K$2)),1)*10,梦灵养成!AV$339:AV$387,1),0)</f>
        <v>49</v>
      </c>
      <c r="L89" s="45" cm="1">
        <f ca="1" t="array" ref="L89">IFERROR(MATCH(((产出预期!$M106-OFFSET(梦灵养成!$Q$9,MATCH(产出预期!$M106,梦灵养成!$Q$10:$Q$15,1),0))*OFFSET(梦灵养成!O$9,1+MATCH(产出预期!$M106,梦灵养成!$Q$10:$Q$15,1),0)+梦灵养成!G425+SUMPRODUCT(--(梦灵养成!$Q$10:$Q$15&lt;=产出预期!$M106),梦灵养成!O$10:O$15,梦灵养成!$P$10:$P$15))/MAX(SUMPRODUCT(--(梦灵养成!$C$10:$C$31&lt;=产出预期!$M106),--(梦灵养成!$E$10:$E$31=L$2)),1)*10,梦灵养成!AW$339:AW$388,1),0)</f>
        <v>46</v>
      </c>
      <c r="M89" s="45">
        <f ca="1">OFFSET(符文养成!$C$14,MATCH(C89,符文养成!$B$15:$B$44,1),0)</f>
        <v>30</v>
      </c>
      <c r="N89" s="45">
        <f ca="1">MATCH((产出预期!Z106*价值表!$F$53+产出预期!AA106*价值表!$F$54+产出预期!AD106*价值表!$F$57)/16/M89,符文养成!$G$15:$G$21,1)</f>
        <v>4</v>
      </c>
      <c r="O89" s="45">
        <f>MATCH(产出预期!O106,秘宝养成!$C$3:$C$14,1)</f>
        <v>11</v>
      </c>
    </row>
    <row r="90" ht="16.5" spans="2:15">
      <c r="B90" s="2">
        <v>88</v>
      </c>
      <c r="C90" s="2">
        <f ca="1">MATCH((OFFSET(产出预期!$C$3,0,产出预期!$B$1)*10+OFFSET(产出预期!$C$4,0,产出预期!$B$1)*10+OFFSET(产出预期!$C$7,0,产出预期!$B$1)*20)*B90/10*60,玩家等级!$E$3:$E$302,1)</f>
        <v>68</v>
      </c>
      <c r="D90" s="2">
        <f>MATCH(产出预期!P107/6,装备养成!$G$4:$G$303,1)</f>
        <v>97</v>
      </c>
      <c r="E90" s="2">
        <f>COUNTIF(产出预期!$R107:$Y107,"&gt;"&amp;0)</f>
        <v>7</v>
      </c>
      <c r="F90" s="2">
        <f ca="1">MATCH(OFFSET(产出预期!$R$19,B90,E90-1),装备养成!$S$4:$S$9,1)</f>
        <v>6</v>
      </c>
      <c r="G90" s="2" t="str">
        <f ca="1">OFFSET(梦灵养成!$D$9,MATCH(梦灵养成!C121,梦灵养成!$C$10:$C$28,1),0)</f>
        <v>我爱沙</v>
      </c>
      <c r="H90" s="2" t="str">
        <f ca="1">OFFSET(梦灵养成!$I$9,MATCH(梦灵养成!C121,梦灵养成!$C$10:$C$28,1),0)</f>
        <v>后羿</v>
      </c>
      <c r="I90" s="45" cm="1">
        <f ca="1" t="array" ref="I90">IFERROR(MATCH(((产出预期!$M107-OFFSET(梦灵养成!$Q$9,MATCH(产出预期!$M107,梦灵养成!$Q$10:$Q$15,1),0))*OFFSET(梦灵养成!L$9,1+MATCH(产出预期!$M107,梦灵养成!$Q$10:$Q$15,1),0)+梦灵养成!D426+SUMPRODUCT(--(梦灵养成!$Q$10:$Q$15&lt;=产出预期!$M107),梦灵养成!L$10:L$15,梦灵养成!$P$10:$P$15))/MAX(SUMPRODUCT(--(梦灵养成!$C$10:$C$31&lt;=产出预期!$M107),--(梦灵养成!$E$10:$E$31=I$2)),1)*10,梦灵养成!AT$339:AT$387,1),0)</f>
        <v>49</v>
      </c>
      <c r="J90" s="45" cm="1">
        <f ca="1" t="array" ref="J90">IFERROR(MATCH(((产出预期!$M107-OFFSET(梦灵养成!$Q$9,MATCH(产出预期!$M107,梦灵养成!$Q$10:$Q$15,1),0))*OFFSET(梦灵养成!M$9,1+MATCH(产出预期!$M107,梦灵养成!$Q$10:$Q$15,1),0)+梦灵养成!E426+SUMPRODUCT(--(梦灵养成!$Q$10:$Q$15&lt;=产出预期!$M107),梦灵养成!M$10:M$15,梦灵养成!$P$10:$P$15))/MAX(SUMPRODUCT(--(梦灵养成!$C$10:$C$31&lt;=产出预期!$M107),--(梦灵养成!$E$10:$E$31=J$2)),1)*10,梦灵养成!AU$339:AU$387,1),0)</f>
        <v>49</v>
      </c>
      <c r="K90" s="45" cm="1">
        <f ca="1" t="array" ref="K90">IFERROR(MATCH(((产出预期!$M107-OFFSET(梦灵养成!$Q$9,MATCH(产出预期!$M107,梦灵养成!$Q$10:$Q$15,1),0))*OFFSET(梦灵养成!N$9,1+MATCH(产出预期!$M107,梦灵养成!$Q$10:$Q$15,1),0)+梦灵养成!F426+SUMPRODUCT(--(梦灵养成!$Q$10:$Q$15&lt;=产出预期!$M107),梦灵养成!N$10:N$15,梦灵养成!$P$10:$P$15))/MAX(SUMPRODUCT(--(梦灵养成!$C$10:$C$31&lt;=产出预期!$M107),--(梦灵养成!$E$10:$E$31=K$2)),1)*10,梦灵养成!AV$339:AV$387,1),0)</f>
        <v>49</v>
      </c>
      <c r="L90" s="45" cm="1">
        <f ca="1" t="array" ref="L90">IFERROR(MATCH(((产出预期!$M107-OFFSET(梦灵养成!$Q$9,MATCH(产出预期!$M107,梦灵养成!$Q$10:$Q$15,1),0))*OFFSET(梦灵养成!O$9,1+MATCH(产出预期!$M107,梦灵养成!$Q$10:$Q$15,1),0)+梦灵养成!G426+SUMPRODUCT(--(梦灵养成!$Q$10:$Q$15&lt;=产出预期!$M107),梦灵养成!O$10:O$15,梦灵养成!$P$10:$P$15))/MAX(SUMPRODUCT(--(梦灵养成!$C$10:$C$31&lt;=产出预期!$M107),--(梦灵养成!$E$10:$E$31=L$2)),1)*10,梦灵养成!AW$339:AW$388,1),0)</f>
        <v>46</v>
      </c>
      <c r="M90" s="45">
        <f ca="1">OFFSET(符文养成!$C$14,MATCH(C90,符文养成!$B$15:$B$44,1),0)</f>
        <v>30</v>
      </c>
      <c r="N90" s="45">
        <f ca="1">MATCH((产出预期!Z107*价值表!$F$53+产出预期!AA107*价值表!$F$54+产出预期!AD107*价值表!$F$57)/16/M90,符文养成!$G$15:$G$21,1)</f>
        <v>4</v>
      </c>
      <c r="O90" s="45">
        <f>MATCH(产出预期!O107,秘宝养成!$C$3:$C$14,1)</f>
        <v>11</v>
      </c>
    </row>
    <row r="91" ht="16.5" spans="2:15">
      <c r="B91" s="2">
        <v>89</v>
      </c>
      <c r="C91" s="2">
        <f ca="1">MATCH((OFFSET(产出预期!$C$3,0,产出预期!$B$1)*10+OFFSET(产出预期!$C$4,0,产出预期!$B$1)*10+OFFSET(产出预期!$C$7,0,产出预期!$B$1)*20)*B91/10*60,玩家等级!$E$3:$E$302,1)</f>
        <v>68</v>
      </c>
      <c r="D91" s="2">
        <f>MATCH(产出预期!P108/6,装备养成!$G$4:$G$303,1)</f>
        <v>97</v>
      </c>
      <c r="E91" s="2">
        <f>COUNTIF(产出预期!$R108:$Y108,"&gt;"&amp;0)</f>
        <v>7</v>
      </c>
      <c r="F91" s="2">
        <f ca="1">MATCH(OFFSET(产出预期!$R$19,B91,E91-1),装备养成!$S$4:$S$9,1)</f>
        <v>6</v>
      </c>
      <c r="G91" s="2" t="str">
        <f ca="1">OFFSET(梦灵养成!$D$9,MATCH(梦灵养成!C122,梦灵养成!$C$10:$C$28,1),0)</f>
        <v>我爱沙</v>
      </c>
      <c r="H91" s="2" t="str">
        <f ca="1">OFFSET(梦灵养成!$I$9,MATCH(梦灵养成!C122,梦灵养成!$C$10:$C$28,1),0)</f>
        <v>后羿</v>
      </c>
      <c r="I91" s="45" cm="1">
        <f ca="1" t="array" ref="I91">IFERROR(MATCH(((产出预期!$M108-OFFSET(梦灵养成!$Q$9,MATCH(产出预期!$M108,梦灵养成!$Q$10:$Q$15,1),0))*OFFSET(梦灵养成!L$9,1+MATCH(产出预期!$M108,梦灵养成!$Q$10:$Q$15,1),0)+梦灵养成!D427+SUMPRODUCT(--(梦灵养成!$Q$10:$Q$15&lt;=产出预期!$M108),梦灵养成!L$10:L$15,梦灵养成!$P$10:$P$15))/MAX(SUMPRODUCT(--(梦灵养成!$C$10:$C$31&lt;=产出预期!$M108),--(梦灵养成!$E$10:$E$31=I$2)),1)*10,梦灵养成!AT$339:AT$387,1),0)</f>
        <v>49</v>
      </c>
      <c r="J91" s="45" cm="1">
        <f ca="1" t="array" ref="J91">IFERROR(MATCH(((产出预期!$M108-OFFSET(梦灵养成!$Q$9,MATCH(产出预期!$M108,梦灵养成!$Q$10:$Q$15,1),0))*OFFSET(梦灵养成!M$9,1+MATCH(产出预期!$M108,梦灵养成!$Q$10:$Q$15,1),0)+梦灵养成!E427+SUMPRODUCT(--(梦灵养成!$Q$10:$Q$15&lt;=产出预期!$M108),梦灵养成!M$10:M$15,梦灵养成!$P$10:$P$15))/MAX(SUMPRODUCT(--(梦灵养成!$C$10:$C$31&lt;=产出预期!$M108),--(梦灵养成!$E$10:$E$31=J$2)),1)*10,梦灵养成!AU$339:AU$387,1),0)</f>
        <v>49</v>
      </c>
      <c r="K91" s="45" cm="1">
        <f ca="1" t="array" ref="K91">IFERROR(MATCH(((产出预期!$M108-OFFSET(梦灵养成!$Q$9,MATCH(产出预期!$M108,梦灵养成!$Q$10:$Q$15,1),0))*OFFSET(梦灵养成!N$9,1+MATCH(产出预期!$M108,梦灵养成!$Q$10:$Q$15,1),0)+梦灵养成!F427+SUMPRODUCT(--(梦灵养成!$Q$10:$Q$15&lt;=产出预期!$M108),梦灵养成!N$10:N$15,梦灵养成!$P$10:$P$15))/MAX(SUMPRODUCT(--(梦灵养成!$C$10:$C$31&lt;=产出预期!$M108),--(梦灵养成!$E$10:$E$31=K$2)),1)*10,梦灵养成!AV$339:AV$387,1),0)</f>
        <v>49</v>
      </c>
      <c r="L91" s="45" cm="1">
        <f ca="1" t="array" ref="L91">IFERROR(MATCH(((产出预期!$M108-OFFSET(梦灵养成!$Q$9,MATCH(产出预期!$M108,梦灵养成!$Q$10:$Q$15,1),0))*OFFSET(梦灵养成!O$9,1+MATCH(产出预期!$M108,梦灵养成!$Q$10:$Q$15,1),0)+梦灵养成!G427+SUMPRODUCT(--(梦灵养成!$Q$10:$Q$15&lt;=产出预期!$M108),梦灵养成!O$10:O$15,梦灵养成!$P$10:$P$15))/MAX(SUMPRODUCT(--(梦灵养成!$C$10:$C$31&lt;=产出预期!$M108),--(梦灵养成!$E$10:$E$31=L$2)),1)*10,梦灵养成!AW$339:AW$388,1),0)</f>
        <v>47</v>
      </c>
      <c r="M91" s="45">
        <f ca="1">OFFSET(符文养成!$C$14,MATCH(C91,符文养成!$B$15:$B$44,1),0)</f>
        <v>30</v>
      </c>
      <c r="N91" s="45">
        <f ca="1">MATCH((产出预期!Z108*价值表!$F$53+产出预期!AA108*价值表!$F$54+产出预期!AD108*价值表!$F$57)/16/M91,符文养成!$G$15:$G$21,1)</f>
        <v>4</v>
      </c>
      <c r="O91" s="45">
        <f>MATCH(产出预期!O108,秘宝养成!$C$3:$C$14,1)</f>
        <v>11</v>
      </c>
    </row>
    <row r="92" ht="16.5" spans="2:15">
      <c r="B92" s="2">
        <v>90</v>
      </c>
      <c r="C92" s="2">
        <f ca="1">MATCH((OFFSET(产出预期!$C$3,0,产出预期!$B$1)*10+OFFSET(产出预期!$C$4,0,产出预期!$B$1)*10+OFFSET(产出预期!$C$7,0,产出预期!$B$1)*20)*B92/10*60,玩家等级!$E$3:$E$302,1)</f>
        <v>68</v>
      </c>
      <c r="D92" s="2">
        <f>MATCH(产出预期!P109/6,装备养成!$G$4:$G$303,1)</f>
        <v>97</v>
      </c>
      <c r="E92" s="2">
        <f>COUNTIF(产出预期!$R109:$Y109,"&gt;"&amp;0)</f>
        <v>7</v>
      </c>
      <c r="F92" s="2">
        <f ca="1">MATCH(OFFSET(产出预期!$R$19,B92,E92-1),装备养成!$S$4:$S$9,1)</f>
        <v>6</v>
      </c>
      <c r="G92" s="2" t="str">
        <f ca="1">OFFSET(梦灵养成!$D$9,MATCH(梦灵养成!C123,梦灵养成!$C$10:$C$28,1),0)</f>
        <v>我爱沙</v>
      </c>
      <c r="H92" s="2" t="str">
        <f ca="1">OFFSET(梦灵养成!$I$9,MATCH(梦灵养成!C123,梦灵养成!$C$10:$C$28,1),0)</f>
        <v>后羿</v>
      </c>
      <c r="I92" s="45" cm="1">
        <f ca="1" t="array" ref="I92">IFERROR(MATCH(((产出预期!$M109-OFFSET(梦灵养成!$Q$9,MATCH(产出预期!$M109,梦灵养成!$Q$10:$Q$15,1),0))*OFFSET(梦灵养成!L$9,1+MATCH(产出预期!$M109,梦灵养成!$Q$10:$Q$15,1),0)+梦灵养成!D428+SUMPRODUCT(--(梦灵养成!$Q$10:$Q$15&lt;=产出预期!$M109),梦灵养成!L$10:L$15,梦灵养成!$P$10:$P$15))/MAX(SUMPRODUCT(--(梦灵养成!$C$10:$C$31&lt;=产出预期!$M109),--(梦灵养成!$E$10:$E$31=I$2)),1)*10,梦灵养成!AT$339:AT$387,1),0)</f>
        <v>49</v>
      </c>
      <c r="J92" s="45" cm="1">
        <f ca="1" t="array" ref="J92">IFERROR(MATCH(((产出预期!$M109-OFFSET(梦灵养成!$Q$9,MATCH(产出预期!$M109,梦灵养成!$Q$10:$Q$15,1),0))*OFFSET(梦灵养成!M$9,1+MATCH(产出预期!$M109,梦灵养成!$Q$10:$Q$15,1),0)+梦灵养成!E428+SUMPRODUCT(--(梦灵养成!$Q$10:$Q$15&lt;=产出预期!$M109),梦灵养成!M$10:M$15,梦灵养成!$P$10:$P$15))/MAX(SUMPRODUCT(--(梦灵养成!$C$10:$C$31&lt;=产出预期!$M109),--(梦灵养成!$E$10:$E$31=J$2)),1)*10,梦灵养成!AU$339:AU$387,1),0)</f>
        <v>49</v>
      </c>
      <c r="K92" s="45" cm="1">
        <f ca="1" t="array" ref="K92">IFERROR(MATCH(((产出预期!$M109-OFFSET(梦灵养成!$Q$9,MATCH(产出预期!$M109,梦灵养成!$Q$10:$Q$15,1),0))*OFFSET(梦灵养成!N$9,1+MATCH(产出预期!$M109,梦灵养成!$Q$10:$Q$15,1),0)+梦灵养成!F428+SUMPRODUCT(--(梦灵养成!$Q$10:$Q$15&lt;=产出预期!$M109),梦灵养成!N$10:N$15,梦灵养成!$P$10:$P$15))/MAX(SUMPRODUCT(--(梦灵养成!$C$10:$C$31&lt;=产出预期!$M109),--(梦灵养成!$E$10:$E$31=K$2)),1)*10,梦灵养成!AV$339:AV$387,1),0)</f>
        <v>49</v>
      </c>
      <c r="L92" s="45" cm="1">
        <f ca="1" t="array" ref="L92">IFERROR(MATCH(((产出预期!$M109-OFFSET(梦灵养成!$Q$9,MATCH(产出预期!$M109,梦灵养成!$Q$10:$Q$15,1),0))*OFFSET(梦灵养成!O$9,1+MATCH(产出预期!$M109,梦灵养成!$Q$10:$Q$15,1),0)+梦灵养成!G428+SUMPRODUCT(--(梦灵养成!$Q$10:$Q$15&lt;=产出预期!$M109),梦灵养成!O$10:O$15,梦灵养成!$P$10:$P$15))/MAX(SUMPRODUCT(--(梦灵养成!$C$10:$C$31&lt;=产出预期!$M109),--(梦灵养成!$E$10:$E$31=L$2)),1)*10,梦灵养成!AW$339:AW$388,1),0)</f>
        <v>47</v>
      </c>
      <c r="M92" s="45">
        <f ca="1">OFFSET(符文养成!$C$14,MATCH(C92,符文养成!$B$15:$B$44,1),0)</f>
        <v>30</v>
      </c>
      <c r="N92" s="45">
        <f ca="1">MATCH((产出预期!Z109*价值表!$F$53+产出预期!AA109*价值表!$F$54+产出预期!AD109*价值表!$F$57)/16/M92,符文养成!$G$15:$G$21,1)</f>
        <v>4</v>
      </c>
      <c r="O92" s="45">
        <f>MATCH(产出预期!O109,秘宝养成!$C$3:$C$14,1)</f>
        <v>11</v>
      </c>
    </row>
    <row r="93" ht="16.5" spans="2:15">
      <c r="B93" s="2">
        <v>91</v>
      </c>
      <c r="C93" s="2">
        <f ca="1">MATCH((OFFSET(产出预期!$C$3,0,产出预期!$B$1)*10+OFFSET(产出预期!$C$4,0,产出预期!$B$1)*10+OFFSET(产出预期!$C$7,0,产出预期!$B$1)*20)*B93/10*60,玩家等级!$E$3:$E$302,1)</f>
        <v>68</v>
      </c>
      <c r="D93" s="2">
        <f>MATCH(产出预期!P110/6,装备养成!$G$4:$G$303,1)</f>
        <v>98</v>
      </c>
      <c r="E93" s="2">
        <f>COUNTIF(产出预期!$R110:$Y110,"&gt;"&amp;0)</f>
        <v>7</v>
      </c>
      <c r="F93" s="2">
        <f ca="1">MATCH(OFFSET(产出预期!$R$19,B93,E93-1),装备养成!$S$4:$S$9,1)</f>
        <v>6</v>
      </c>
      <c r="G93" s="2" t="str">
        <f ca="1">OFFSET(梦灵养成!$D$9,MATCH(梦灵养成!C124,梦灵养成!$C$10:$C$28,1),0)</f>
        <v>我爱沙</v>
      </c>
      <c r="H93" s="2" t="str">
        <f ca="1">OFFSET(梦灵养成!$I$9,MATCH(梦灵养成!C124,梦灵养成!$C$10:$C$28,1),0)</f>
        <v>后羿</v>
      </c>
      <c r="I93" s="45" cm="1">
        <f ca="1" t="array" ref="I93">IFERROR(MATCH(((产出预期!$M110-OFFSET(梦灵养成!$Q$9,MATCH(产出预期!$M110,梦灵养成!$Q$10:$Q$15,1),0))*OFFSET(梦灵养成!L$9,1+MATCH(产出预期!$M110,梦灵养成!$Q$10:$Q$15,1),0)+梦灵养成!D429+SUMPRODUCT(--(梦灵养成!$Q$10:$Q$15&lt;=产出预期!$M110),梦灵养成!L$10:L$15,梦灵养成!$P$10:$P$15))/MAX(SUMPRODUCT(--(梦灵养成!$C$10:$C$31&lt;=产出预期!$M110),--(梦灵养成!$E$10:$E$31=I$2)),1)*10,梦灵养成!AT$339:AT$387,1),0)</f>
        <v>49</v>
      </c>
      <c r="J93" s="45" cm="1">
        <f ca="1" t="array" ref="J93">IFERROR(MATCH(((产出预期!$M110-OFFSET(梦灵养成!$Q$9,MATCH(产出预期!$M110,梦灵养成!$Q$10:$Q$15,1),0))*OFFSET(梦灵养成!M$9,1+MATCH(产出预期!$M110,梦灵养成!$Q$10:$Q$15,1),0)+梦灵养成!E429+SUMPRODUCT(--(梦灵养成!$Q$10:$Q$15&lt;=产出预期!$M110),梦灵养成!M$10:M$15,梦灵养成!$P$10:$P$15))/MAX(SUMPRODUCT(--(梦灵养成!$C$10:$C$31&lt;=产出预期!$M110),--(梦灵养成!$E$10:$E$31=J$2)),1)*10,梦灵养成!AU$339:AU$387,1),0)</f>
        <v>49</v>
      </c>
      <c r="K93" s="45" cm="1">
        <f ca="1" t="array" ref="K93">IFERROR(MATCH(((产出预期!$M110-OFFSET(梦灵养成!$Q$9,MATCH(产出预期!$M110,梦灵养成!$Q$10:$Q$15,1),0))*OFFSET(梦灵养成!N$9,1+MATCH(产出预期!$M110,梦灵养成!$Q$10:$Q$15,1),0)+梦灵养成!F429+SUMPRODUCT(--(梦灵养成!$Q$10:$Q$15&lt;=产出预期!$M110),梦灵养成!N$10:N$15,梦灵养成!$P$10:$P$15))/MAX(SUMPRODUCT(--(梦灵养成!$C$10:$C$31&lt;=产出预期!$M110),--(梦灵养成!$E$10:$E$31=K$2)),1)*10,梦灵养成!AV$339:AV$387,1),0)</f>
        <v>49</v>
      </c>
      <c r="L93" s="45" cm="1">
        <f ca="1" t="array" ref="L93">IFERROR(MATCH(((产出预期!$M110-OFFSET(梦灵养成!$Q$9,MATCH(产出预期!$M110,梦灵养成!$Q$10:$Q$15,1),0))*OFFSET(梦灵养成!O$9,1+MATCH(产出预期!$M110,梦灵养成!$Q$10:$Q$15,1),0)+梦灵养成!G429+SUMPRODUCT(--(梦灵养成!$Q$10:$Q$15&lt;=产出预期!$M110),梦灵养成!O$10:O$15,梦灵养成!$P$10:$P$15))/MAX(SUMPRODUCT(--(梦灵养成!$C$10:$C$31&lt;=产出预期!$M110),--(梦灵养成!$E$10:$E$31=L$2)),1)*10,梦灵养成!AW$339:AW$388,1),0)</f>
        <v>47</v>
      </c>
      <c r="M93" s="45">
        <f ca="1">OFFSET(符文养成!$C$14,MATCH(C93,符文养成!$B$15:$B$44,1),0)</f>
        <v>30</v>
      </c>
      <c r="N93" s="45">
        <f ca="1">MATCH((产出预期!Z110*价值表!$F$53+产出预期!AA110*价值表!$F$54+产出预期!AD110*价值表!$F$57)/16/M93,符文养成!$G$15:$G$21,1)</f>
        <v>4</v>
      </c>
      <c r="O93" s="45">
        <f>MATCH(产出预期!O110,秘宝养成!$C$3:$C$14,1)</f>
        <v>11</v>
      </c>
    </row>
    <row r="94" ht="16.5" spans="2:15">
      <c r="B94" s="2">
        <v>92</v>
      </c>
      <c r="C94" s="2">
        <f ca="1">MATCH((OFFSET(产出预期!$C$3,0,产出预期!$B$1)*10+OFFSET(产出预期!$C$4,0,产出预期!$B$1)*10+OFFSET(产出预期!$C$7,0,产出预期!$B$1)*20)*B94/10*60,玩家等级!$E$3:$E$302,1)</f>
        <v>68</v>
      </c>
      <c r="D94" s="2">
        <f>MATCH(产出预期!P111/6,装备养成!$G$4:$G$303,1)</f>
        <v>98</v>
      </c>
      <c r="E94" s="2">
        <f>COUNTIF(产出预期!$R111:$Y111,"&gt;"&amp;0)</f>
        <v>7</v>
      </c>
      <c r="F94" s="2">
        <f ca="1">MATCH(OFFSET(产出预期!$R$19,B94,E94-1),装备养成!$S$4:$S$9,1)</f>
        <v>6</v>
      </c>
      <c r="G94" s="2" t="str">
        <f ca="1">OFFSET(梦灵养成!$D$9,MATCH(梦灵养成!C125,梦灵养成!$C$10:$C$28,1),0)</f>
        <v>我爱沙</v>
      </c>
      <c r="H94" s="2" t="str">
        <f ca="1">OFFSET(梦灵养成!$I$9,MATCH(梦灵养成!C125,梦灵养成!$C$10:$C$28,1),0)</f>
        <v>后羿</v>
      </c>
      <c r="I94" s="45" cm="1">
        <f ca="1" t="array" ref="I94">IFERROR(MATCH(((产出预期!$M111-OFFSET(梦灵养成!$Q$9,MATCH(产出预期!$M111,梦灵养成!$Q$10:$Q$15,1),0))*OFFSET(梦灵养成!L$9,1+MATCH(产出预期!$M111,梦灵养成!$Q$10:$Q$15,1),0)+梦灵养成!D430+SUMPRODUCT(--(梦灵养成!$Q$10:$Q$15&lt;=产出预期!$M111),梦灵养成!L$10:L$15,梦灵养成!$P$10:$P$15))/MAX(SUMPRODUCT(--(梦灵养成!$C$10:$C$31&lt;=产出预期!$M111),--(梦灵养成!$E$10:$E$31=I$2)),1)*10,梦灵养成!AT$339:AT$387,1),0)</f>
        <v>49</v>
      </c>
      <c r="J94" s="45" cm="1">
        <f ca="1" t="array" ref="J94">IFERROR(MATCH(((产出预期!$M111-OFFSET(梦灵养成!$Q$9,MATCH(产出预期!$M111,梦灵养成!$Q$10:$Q$15,1),0))*OFFSET(梦灵养成!M$9,1+MATCH(产出预期!$M111,梦灵养成!$Q$10:$Q$15,1),0)+梦灵养成!E430+SUMPRODUCT(--(梦灵养成!$Q$10:$Q$15&lt;=产出预期!$M111),梦灵养成!M$10:M$15,梦灵养成!$P$10:$P$15))/MAX(SUMPRODUCT(--(梦灵养成!$C$10:$C$31&lt;=产出预期!$M111),--(梦灵养成!$E$10:$E$31=J$2)),1)*10,梦灵养成!AU$339:AU$387,1),0)</f>
        <v>49</v>
      </c>
      <c r="K94" s="45" cm="1">
        <f ca="1" t="array" ref="K94">IFERROR(MATCH(((产出预期!$M111-OFFSET(梦灵养成!$Q$9,MATCH(产出预期!$M111,梦灵养成!$Q$10:$Q$15,1),0))*OFFSET(梦灵养成!N$9,1+MATCH(产出预期!$M111,梦灵养成!$Q$10:$Q$15,1),0)+梦灵养成!F430+SUMPRODUCT(--(梦灵养成!$Q$10:$Q$15&lt;=产出预期!$M111),梦灵养成!N$10:N$15,梦灵养成!$P$10:$P$15))/MAX(SUMPRODUCT(--(梦灵养成!$C$10:$C$31&lt;=产出预期!$M111),--(梦灵养成!$E$10:$E$31=K$2)),1)*10,梦灵养成!AV$339:AV$387,1),0)</f>
        <v>49</v>
      </c>
      <c r="L94" s="45" cm="1">
        <f ca="1" t="array" ref="L94">IFERROR(MATCH(((产出预期!$M111-OFFSET(梦灵养成!$Q$9,MATCH(产出预期!$M111,梦灵养成!$Q$10:$Q$15,1),0))*OFFSET(梦灵养成!O$9,1+MATCH(产出预期!$M111,梦灵养成!$Q$10:$Q$15,1),0)+梦灵养成!G430+SUMPRODUCT(--(梦灵养成!$Q$10:$Q$15&lt;=产出预期!$M111),梦灵养成!O$10:O$15,梦灵养成!$P$10:$P$15))/MAX(SUMPRODUCT(--(梦灵养成!$C$10:$C$31&lt;=产出预期!$M111),--(梦灵养成!$E$10:$E$31=L$2)),1)*10,梦灵养成!AW$339:AW$388,1),0)</f>
        <v>47</v>
      </c>
      <c r="M94" s="45">
        <f ca="1">OFFSET(符文养成!$C$14,MATCH(C94,符文养成!$B$15:$B$44,1),0)</f>
        <v>30</v>
      </c>
      <c r="N94" s="45">
        <f ca="1">MATCH((产出预期!Z111*价值表!$F$53+产出预期!AA111*价值表!$F$54+产出预期!AD111*价值表!$F$57)/16/M94,符文养成!$G$15:$G$21,1)</f>
        <v>4</v>
      </c>
      <c r="O94" s="45">
        <f>MATCH(产出预期!O111,秘宝养成!$C$3:$C$14,1)</f>
        <v>11</v>
      </c>
    </row>
    <row r="95" ht="16.5" spans="2:15">
      <c r="B95" s="2">
        <v>93</v>
      </c>
      <c r="C95" s="2">
        <f ca="1">MATCH((OFFSET(产出预期!$C$3,0,产出预期!$B$1)*10+OFFSET(产出预期!$C$4,0,产出预期!$B$1)*10+OFFSET(产出预期!$C$7,0,产出预期!$B$1)*20)*B95/10*60,玩家等级!$E$3:$E$302,1)</f>
        <v>69</v>
      </c>
      <c r="D95" s="2">
        <f>MATCH(产出预期!P112/6,装备养成!$G$4:$G$303,1)</f>
        <v>99</v>
      </c>
      <c r="E95" s="2">
        <f>COUNTIF(产出预期!$R112:$Y112,"&gt;"&amp;0)</f>
        <v>7</v>
      </c>
      <c r="F95" s="2">
        <f ca="1">MATCH(OFFSET(产出预期!$R$19,B95,E95-1),装备养成!$S$4:$S$9,1)</f>
        <v>6</v>
      </c>
      <c r="G95" s="2" t="str">
        <f ca="1">OFFSET(梦灵养成!$D$9,MATCH(梦灵养成!C126,梦灵养成!$C$10:$C$28,1),0)</f>
        <v>我爱沙</v>
      </c>
      <c r="H95" s="2" t="str">
        <f ca="1">OFFSET(梦灵养成!$I$9,MATCH(梦灵养成!C126,梦灵养成!$C$10:$C$28,1),0)</f>
        <v>后羿</v>
      </c>
      <c r="I95" s="45" cm="1">
        <f ca="1" t="array" ref="I95">IFERROR(MATCH(((产出预期!$M112-OFFSET(梦灵养成!$Q$9,MATCH(产出预期!$M112,梦灵养成!$Q$10:$Q$15,1),0))*OFFSET(梦灵养成!L$9,1+MATCH(产出预期!$M112,梦灵养成!$Q$10:$Q$15,1),0)+梦灵养成!D431+SUMPRODUCT(--(梦灵养成!$Q$10:$Q$15&lt;=产出预期!$M112),梦灵养成!L$10:L$15,梦灵养成!$P$10:$P$15))/MAX(SUMPRODUCT(--(梦灵养成!$C$10:$C$31&lt;=产出预期!$M112),--(梦灵养成!$E$10:$E$31=I$2)),1)*10,梦灵养成!AT$339:AT$387,1),0)</f>
        <v>49</v>
      </c>
      <c r="J95" s="45" cm="1">
        <f ca="1" t="array" ref="J95">IFERROR(MATCH(((产出预期!$M112-OFFSET(梦灵养成!$Q$9,MATCH(产出预期!$M112,梦灵养成!$Q$10:$Q$15,1),0))*OFFSET(梦灵养成!M$9,1+MATCH(产出预期!$M112,梦灵养成!$Q$10:$Q$15,1),0)+梦灵养成!E431+SUMPRODUCT(--(梦灵养成!$Q$10:$Q$15&lt;=产出预期!$M112),梦灵养成!M$10:M$15,梦灵养成!$P$10:$P$15))/MAX(SUMPRODUCT(--(梦灵养成!$C$10:$C$31&lt;=产出预期!$M112),--(梦灵养成!$E$10:$E$31=J$2)),1)*10,梦灵养成!AU$339:AU$387,1),0)</f>
        <v>49</v>
      </c>
      <c r="K95" s="45" cm="1">
        <f ca="1" t="array" ref="K95">IFERROR(MATCH(((产出预期!$M112-OFFSET(梦灵养成!$Q$9,MATCH(产出预期!$M112,梦灵养成!$Q$10:$Q$15,1),0))*OFFSET(梦灵养成!N$9,1+MATCH(产出预期!$M112,梦灵养成!$Q$10:$Q$15,1),0)+梦灵养成!F431+SUMPRODUCT(--(梦灵养成!$Q$10:$Q$15&lt;=产出预期!$M112),梦灵养成!N$10:N$15,梦灵养成!$P$10:$P$15))/MAX(SUMPRODUCT(--(梦灵养成!$C$10:$C$31&lt;=产出预期!$M112),--(梦灵养成!$E$10:$E$31=K$2)),1)*10,梦灵养成!AV$339:AV$387,1),0)</f>
        <v>49</v>
      </c>
      <c r="L95" s="45" cm="1">
        <f ca="1" t="array" ref="L95">IFERROR(MATCH(((产出预期!$M112-OFFSET(梦灵养成!$Q$9,MATCH(产出预期!$M112,梦灵养成!$Q$10:$Q$15,1),0))*OFFSET(梦灵养成!O$9,1+MATCH(产出预期!$M112,梦灵养成!$Q$10:$Q$15,1),0)+梦灵养成!G431+SUMPRODUCT(--(梦灵养成!$Q$10:$Q$15&lt;=产出预期!$M112),梦灵养成!O$10:O$15,梦灵养成!$P$10:$P$15))/MAX(SUMPRODUCT(--(梦灵养成!$C$10:$C$31&lt;=产出预期!$M112),--(梦灵养成!$E$10:$E$31=L$2)),1)*10,梦灵养成!AW$339:AW$388,1),0)</f>
        <v>48</v>
      </c>
      <c r="M95" s="45">
        <f ca="1">OFFSET(符文养成!$C$14,MATCH(C95,符文养成!$B$15:$B$44,1),0)</f>
        <v>30</v>
      </c>
      <c r="N95" s="45">
        <f ca="1">MATCH((产出预期!Z112*价值表!$F$53+产出预期!AA112*价值表!$F$54+产出预期!AD112*价值表!$F$57)/16/M95,符文养成!$G$15:$G$21,1)</f>
        <v>4</v>
      </c>
      <c r="O95" s="45">
        <f>MATCH(产出预期!O112,秘宝养成!$C$3:$C$14,1)</f>
        <v>11</v>
      </c>
    </row>
    <row r="96" ht="16.5" spans="2:15">
      <c r="B96" s="2">
        <v>94</v>
      </c>
      <c r="C96" s="2">
        <f ca="1">MATCH((OFFSET(产出预期!$C$3,0,产出预期!$B$1)*10+OFFSET(产出预期!$C$4,0,产出预期!$B$1)*10+OFFSET(产出预期!$C$7,0,产出预期!$B$1)*20)*B96/10*60,玩家等级!$E$3:$E$302,1)</f>
        <v>69</v>
      </c>
      <c r="D96" s="2">
        <f>MATCH(产出预期!P113/6,装备养成!$G$4:$G$303,1)</f>
        <v>99</v>
      </c>
      <c r="E96" s="2">
        <f>COUNTIF(产出预期!$R113:$Y113,"&gt;"&amp;0)</f>
        <v>7</v>
      </c>
      <c r="F96" s="2">
        <f ca="1">MATCH(OFFSET(产出预期!$R$19,B96,E96-1),装备养成!$S$4:$S$9,1)</f>
        <v>6</v>
      </c>
      <c r="G96" s="2" t="str">
        <f ca="1">OFFSET(梦灵养成!$D$9,MATCH(梦灵养成!C127,梦灵养成!$C$10:$C$28,1),0)</f>
        <v>我爱沙</v>
      </c>
      <c r="H96" s="2" t="str">
        <f ca="1">OFFSET(梦灵养成!$I$9,MATCH(梦灵养成!C127,梦灵养成!$C$10:$C$28,1),0)</f>
        <v>后羿</v>
      </c>
      <c r="I96" s="45" cm="1">
        <f ca="1" t="array" ref="I96">IFERROR(MATCH(((产出预期!$M113-OFFSET(梦灵养成!$Q$9,MATCH(产出预期!$M113,梦灵养成!$Q$10:$Q$15,1),0))*OFFSET(梦灵养成!L$9,1+MATCH(产出预期!$M113,梦灵养成!$Q$10:$Q$15,1),0)+梦灵养成!D432+SUMPRODUCT(--(梦灵养成!$Q$10:$Q$15&lt;=产出预期!$M113),梦灵养成!L$10:L$15,梦灵养成!$P$10:$P$15))/MAX(SUMPRODUCT(--(梦灵养成!$C$10:$C$31&lt;=产出预期!$M113),--(梦灵养成!$E$10:$E$31=I$2)),1)*10,梦灵养成!AT$339:AT$387,1),0)</f>
        <v>49</v>
      </c>
      <c r="J96" s="45" cm="1">
        <f ca="1" t="array" ref="J96">IFERROR(MATCH(((产出预期!$M113-OFFSET(梦灵养成!$Q$9,MATCH(产出预期!$M113,梦灵养成!$Q$10:$Q$15,1),0))*OFFSET(梦灵养成!M$9,1+MATCH(产出预期!$M113,梦灵养成!$Q$10:$Q$15,1),0)+梦灵养成!E432+SUMPRODUCT(--(梦灵养成!$Q$10:$Q$15&lt;=产出预期!$M113),梦灵养成!M$10:M$15,梦灵养成!$P$10:$P$15))/MAX(SUMPRODUCT(--(梦灵养成!$C$10:$C$31&lt;=产出预期!$M113),--(梦灵养成!$E$10:$E$31=J$2)),1)*10,梦灵养成!AU$339:AU$387,1),0)</f>
        <v>49</v>
      </c>
      <c r="K96" s="45" cm="1">
        <f ca="1" t="array" ref="K96">IFERROR(MATCH(((产出预期!$M113-OFFSET(梦灵养成!$Q$9,MATCH(产出预期!$M113,梦灵养成!$Q$10:$Q$15,1),0))*OFFSET(梦灵养成!N$9,1+MATCH(产出预期!$M113,梦灵养成!$Q$10:$Q$15,1),0)+梦灵养成!F432+SUMPRODUCT(--(梦灵养成!$Q$10:$Q$15&lt;=产出预期!$M113),梦灵养成!N$10:N$15,梦灵养成!$P$10:$P$15))/MAX(SUMPRODUCT(--(梦灵养成!$C$10:$C$31&lt;=产出预期!$M113),--(梦灵养成!$E$10:$E$31=K$2)),1)*10,梦灵养成!AV$339:AV$387,1),0)</f>
        <v>49</v>
      </c>
      <c r="L96" s="45" cm="1">
        <f ca="1" t="array" ref="L96">IFERROR(MATCH(((产出预期!$M113-OFFSET(梦灵养成!$Q$9,MATCH(产出预期!$M113,梦灵养成!$Q$10:$Q$15,1),0))*OFFSET(梦灵养成!O$9,1+MATCH(产出预期!$M113,梦灵养成!$Q$10:$Q$15,1),0)+梦灵养成!G432+SUMPRODUCT(--(梦灵养成!$Q$10:$Q$15&lt;=产出预期!$M113),梦灵养成!O$10:O$15,梦灵养成!$P$10:$P$15))/MAX(SUMPRODUCT(--(梦灵养成!$C$10:$C$31&lt;=产出预期!$M113),--(梦灵养成!$E$10:$E$31=L$2)),1)*10,梦灵养成!AW$339:AW$388,1),0)</f>
        <v>48</v>
      </c>
      <c r="M96" s="45">
        <f ca="1">OFFSET(符文养成!$C$14,MATCH(C96,符文养成!$B$15:$B$44,1),0)</f>
        <v>30</v>
      </c>
      <c r="N96" s="45">
        <f ca="1">MATCH((产出预期!Z113*价值表!$F$53+产出预期!AA113*价值表!$F$54+产出预期!AD113*价值表!$F$57)/16/M96,符文养成!$G$15:$G$21,1)</f>
        <v>4</v>
      </c>
      <c r="O96" s="45">
        <f>MATCH(产出预期!O113,秘宝养成!$C$3:$C$14,1)</f>
        <v>11</v>
      </c>
    </row>
    <row r="97" ht="16.5" spans="2:15">
      <c r="B97" s="2">
        <v>95</v>
      </c>
      <c r="C97" s="2">
        <f ca="1">MATCH((OFFSET(产出预期!$C$3,0,产出预期!$B$1)*10+OFFSET(产出预期!$C$4,0,产出预期!$B$1)*10+OFFSET(产出预期!$C$7,0,产出预期!$B$1)*20)*B97/10*60,玩家等级!$E$3:$E$302,1)</f>
        <v>70</v>
      </c>
      <c r="D97" s="2">
        <f>MATCH(产出预期!P114/6,装备养成!$G$4:$G$303,1)</f>
        <v>100</v>
      </c>
      <c r="E97" s="2">
        <f>COUNTIF(产出预期!$R114:$Y114,"&gt;"&amp;0)</f>
        <v>7</v>
      </c>
      <c r="F97" s="2">
        <f ca="1">MATCH(OFFSET(产出预期!$R$19,B97,E97-1),装备养成!$S$4:$S$9,1)</f>
        <v>6</v>
      </c>
      <c r="G97" s="2" t="str">
        <f ca="1">OFFSET(梦灵养成!$D$9,MATCH(梦灵养成!C128,梦灵养成!$C$10:$C$28,1),0)</f>
        <v>我爱沙</v>
      </c>
      <c r="H97" s="2" t="str">
        <f ca="1">OFFSET(梦灵养成!$I$9,MATCH(梦灵养成!C128,梦灵养成!$C$10:$C$28,1),0)</f>
        <v>后羿</v>
      </c>
      <c r="I97" s="45" cm="1">
        <f ca="1" t="array" ref="I97">IFERROR(MATCH(((产出预期!$M114-OFFSET(梦灵养成!$Q$9,MATCH(产出预期!$M114,梦灵养成!$Q$10:$Q$15,1),0))*OFFSET(梦灵养成!L$9,1+MATCH(产出预期!$M114,梦灵养成!$Q$10:$Q$15,1),0)+梦灵养成!D433+SUMPRODUCT(--(梦灵养成!$Q$10:$Q$15&lt;=产出预期!$M114),梦灵养成!L$10:L$15,梦灵养成!$P$10:$P$15))/MAX(SUMPRODUCT(--(梦灵养成!$C$10:$C$31&lt;=产出预期!$M114),--(梦灵养成!$E$10:$E$31=I$2)),1)*10,梦灵养成!AT$339:AT$387,1),0)</f>
        <v>49</v>
      </c>
      <c r="J97" s="45" cm="1">
        <f ca="1" t="array" ref="J97">IFERROR(MATCH(((产出预期!$M114-OFFSET(梦灵养成!$Q$9,MATCH(产出预期!$M114,梦灵养成!$Q$10:$Q$15,1),0))*OFFSET(梦灵养成!M$9,1+MATCH(产出预期!$M114,梦灵养成!$Q$10:$Q$15,1),0)+梦灵养成!E433+SUMPRODUCT(--(梦灵养成!$Q$10:$Q$15&lt;=产出预期!$M114),梦灵养成!M$10:M$15,梦灵养成!$P$10:$P$15))/MAX(SUMPRODUCT(--(梦灵养成!$C$10:$C$31&lt;=产出预期!$M114),--(梦灵养成!$E$10:$E$31=J$2)),1)*10,梦灵养成!AU$339:AU$387,1),0)</f>
        <v>49</v>
      </c>
      <c r="K97" s="45" cm="1">
        <f ca="1" t="array" ref="K97">IFERROR(MATCH(((产出预期!$M114-OFFSET(梦灵养成!$Q$9,MATCH(产出预期!$M114,梦灵养成!$Q$10:$Q$15,1),0))*OFFSET(梦灵养成!N$9,1+MATCH(产出预期!$M114,梦灵养成!$Q$10:$Q$15,1),0)+梦灵养成!F433+SUMPRODUCT(--(梦灵养成!$Q$10:$Q$15&lt;=产出预期!$M114),梦灵养成!N$10:N$15,梦灵养成!$P$10:$P$15))/MAX(SUMPRODUCT(--(梦灵养成!$C$10:$C$31&lt;=产出预期!$M114),--(梦灵养成!$E$10:$E$31=K$2)),1)*10,梦灵养成!AV$339:AV$387,1),0)</f>
        <v>49</v>
      </c>
      <c r="L97" s="45" cm="1">
        <f ca="1" t="array" ref="L97">IFERROR(MATCH(((产出预期!$M114-OFFSET(梦灵养成!$Q$9,MATCH(产出预期!$M114,梦灵养成!$Q$10:$Q$15,1),0))*OFFSET(梦灵养成!O$9,1+MATCH(产出预期!$M114,梦灵养成!$Q$10:$Q$15,1),0)+梦灵养成!G433+SUMPRODUCT(--(梦灵养成!$Q$10:$Q$15&lt;=产出预期!$M114),梦灵养成!O$10:O$15,梦灵养成!$P$10:$P$15))/MAX(SUMPRODUCT(--(梦灵养成!$C$10:$C$31&lt;=产出预期!$M114),--(梦灵养成!$E$10:$E$31=L$2)),1)*10,梦灵养成!AW$339:AW$388,1),0)</f>
        <v>48</v>
      </c>
      <c r="M97" s="45">
        <f ca="1">OFFSET(符文养成!$C$14,MATCH(C97,符文养成!$B$15:$B$44,1),0)</f>
        <v>30</v>
      </c>
      <c r="N97" s="45">
        <f ca="1">MATCH((产出预期!Z114*价值表!$F$53+产出预期!AA114*价值表!$F$54+产出预期!AD114*价值表!$F$57)/16/M97,符文养成!$G$15:$G$21,1)</f>
        <v>4</v>
      </c>
      <c r="O97" s="45">
        <f>MATCH(产出预期!O114,秘宝养成!$C$3:$C$14,1)</f>
        <v>11</v>
      </c>
    </row>
    <row r="98" ht="16.5" spans="2:15">
      <c r="B98" s="2">
        <v>96</v>
      </c>
      <c r="C98" s="2">
        <f ca="1">MATCH((OFFSET(产出预期!$C$3,0,产出预期!$B$1)*10+OFFSET(产出预期!$C$4,0,产出预期!$B$1)*10+OFFSET(产出预期!$C$7,0,产出预期!$B$1)*20)*B98/10*60,玩家等级!$E$3:$E$302,1)</f>
        <v>70</v>
      </c>
      <c r="D98" s="2">
        <f>MATCH(产出预期!P115/6,装备养成!$G$4:$G$303,1)</f>
        <v>100</v>
      </c>
      <c r="E98" s="2">
        <f>COUNTIF(产出预期!$R115:$Y115,"&gt;"&amp;0)</f>
        <v>7</v>
      </c>
      <c r="F98" s="2">
        <f ca="1">MATCH(OFFSET(产出预期!$R$19,B98,E98-1),装备养成!$S$4:$S$9,1)</f>
        <v>6</v>
      </c>
      <c r="G98" s="2" t="str">
        <f ca="1">OFFSET(梦灵养成!$D$9,MATCH(梦灵养成!C129,梦灵养成!$C$10:$C$28,1),0)</f>
        <v>我爱沙</v>
      </c>
      <c r="H98" s="2" t="str">
        <f ca="1">OFFSET(梦灵养成!$I$9,MATCH(梦灵养成!C129,梦灵养成!$C$10:$C$28,1),0)</f>
        <v>后羿</v>
      </c>
      <c r="I98" s="45" cm="1">
        <f ca="1" t="array" ref="I98">IFERROR(MATCH(((产出预期!$M115-OFFSET(梦灵养成!$Q$9,MATCH(产出预期!$M115,梦灵养成!$Q$10:$Q$15,1),0))*OFFSET(梦灵养成!L$9,1+MATCH(产出预期!$M115,梦灵养成!$Q$10:$Q$15,1),0)+梦灵养成!D434+SUMPRODUCT(--(梦灵养成!$Q$10:$Q$15&lt;=产出预期!$M115),梦灵养成!L$10:L$15,梦灵养成!$P$10:$P$15))/MAX(SUMPRODUCT(--(梦灵养成!$C$10:$C$31&lt;=产出预期!$M115),--(梦灵养成!$E$10:$E$31=I$2)),1)*10,梦灵养成!AT$339:AT$387,1),0)</f>
        <v>49</v>
      </c>
      <c r="J98" s="45" cm="1">
        <f ca="1" t="array" ref="J98">IFERROR(MATCH(((产出预期!$M115-OFFSET(梦灵养成!$Q$9,MATCH(产出预期!$M115,梦灵养成!$Q$10:$Q$15,1),0))*OFFSET(梦灵养成!M$9,1+MATCH(产出预期!$M115,梦灵养成!$Q$10:$Q$15,1),0)+梦灵养成!E434+SUMPRODUCT(--(梦灵养成!$Q$10:$Q$15&lt;=产出预期!$M115),梦灵养成!M$10:M$15,梦灵养成!$P$10:$P$15))/MAX(SUMPRODUCT(--(梦灵养成!$C$10:$C$31&lt;=产出预期!$M115),--(梦灵养成!$E$10:$E$31=J$2)),1)*10,梦灵养成!AU$339:AU$387,1),0)</f>
        <v>49</v>
      </c>
      <c r="K98" s="45" cm="1">
        <f ca="1" t="array" ref="K98">IFERROR(MATCH(((产出预期!$M115-OFFSET(梦灵养成!$Q$9,MATCH(产出预期!$M115,梦灵养成!$Q$10:$Q$15,1),0))*OFFSET(梦灵养成!N$9,1+MATCH(产出预期!$M115,梦灵养成!$Q$10:$Q$15,1),0)+梦灵养成!F434+SUMPRODUCT(--(梦灵养成!$Q$10:$Q$15&lt;=产出预期!$M115),梦灵养成!N$10:N$15,梦灵养成!$P$10:$P$15))/MAX(SUMPRODUCT(--(梦灵养成!$C$10:$C$31&lt;=产出预期!$M115),--(梦灵养成!$E$10:$E$31=K$2)),1)*10,梦灵养成!AV$339:AV$387,1),0)</f>
        <v>49</v>
      </c>
      <c r="L98" s="45" cm="1">
        <f ca="1" t="array" ref="L98">IFERROR(MATCH(((产出预期!$M115-OFFSET(梦灵养成!$Q$9,MATCH(产出预期!$M115,梦灵养成!$Q$10:$Q$15,1),0))*OFFSET(梦灵养成!O$9,1+MATCH(产出预期!$M115,梦灵养成!$Q$10:$Q$15,1),0)+梦灵养成!G434+SUMPRODUCT(--(梦灵养成!$Q$10:$Q$15&lt;=产出预期!$M115),梦灵养成!O$10:O$15,梦灵养成!$P$10:$P$15))/MAX(SUMPRODUCT(--(梦灵养成!$C$10:$C$31&lt;=产出预期!$M115),--(梦灵养成!$E$10:$E$31=L$2)),1)*10,梦灵养成!AW$339:AW$388,1),0)</f>
        <v>48</v>
      </c>
      <c r="M98" s="45">
        <f ca="1">OFFSET(符文养成!$C$14,MATCH(C98,符文养成!$B$15:$B$44,1),0)</f>
        <v>30</v>
      </c>
      <c r="N98" s="45">
        <f ca="1">MATCH((产出预期!Z115*价值表!$F$53+产出预期!AA115*价值表!$F$54+产出预期!AD115*价值表!$F$57)/16/M98,符文养成!$G$15:$G$21,1)</f>
        <v>4</v>
      </c>
      <c r="O98" s="45">
        <f>MATCH(产出预期!O115,秘宝养成!$C$3:$C$14,1)</f>
        <v>11</v>
      </c>
    </row>
    <row r="99" ht="16.5" spans="2:15">
      <c r="B99" s="2">
        <v>97</v>
      </c>
      <c r="C99" s="2">
        <f ca="1">MATCH((OFFSET(产出预期!$C$3,0,产出预期!$B$1)*10+OFFSET(产出预期!$C$4,0,产出预期!$B$1)*10+OFFSET(产出预期!$C$7,0,产出预期!$B$1)*20)*B99/10*60,玩家等级!$E$3:$E$302,1)</f>
        <v>70</v>
      </c>
      <c r="D99" s="2">
        <f>MATCH(产出预期!P116/6,装备养成!$G$4:$G$303,1)</f>
        <v>101</v>
      </c>
      <c r="E99" s="2">
        <f>COUNTIF(产出预期!$R116:$Y116,"&gt;"&amp;0)</f>
        <v>7</v>
      </c>
      <c r="F99" s="2">
        <f ca="1">MATCH(OFFSET(产出预期!$R$19,B99,E99-1),装备养成!$S$4:$S$9,1)</f>
        <v>6</v>
      </c>
      <c r="G99" s="2" t="str">
        <f ca="1">OFFSET(梦灵养成!$D$9,MATCH(梦灵养成!C130,梦灵养成!$C$10:$C$28,1),0)</f>
        <v>我爱沙</v>
      </c>
      <c r="H99" s="2" t="str">
        <f ca="1">OFFSET(梦灵养成!$I$9,MATCH(梦灵养成!C130,梦灵养成!$C$10:$C$28,1),0)</f>
        <v>后羿</v>
      </c>
      <c r="I99" s="45" cm="1">
        <f ca="1" t="array" ref="I99">IFERROR(MATCH(((产出预期!$M116-OFFSET(梦灵养成!$Q$9,MATCH(产出预期!$M116,梦灵养成!$Q$10:$Q$15,1),0))*OFFSET(梦灵养成!L$9,1+MATCH(产出预期!$M116,梦灵养成!$Q$10:$Q$15,1),0)+梦灵养成!D435+SUMPRODUCT(--(梦灵养成!$Q$10:$Q$15&lt;=产出预期!$M116),梦灵养成!L$10:L$15,梦灵养成!$P$10:$P$15))/MAX(SUMPRODUCT(--(梦灵养成!$C$10:$C$31&lt;=产出预期!$M116),--(梦灵养成!$E$10:$E$31=I$2)),1)*10,梦灵养成!AT$339:AT$387,1),0)</f>
        <v>49</v>
      </c>
      <c r="J99" s="45" cm="1">
        <f ca="1" t="array" ref="J99">IFERROR(MATCH(((产出预期!$M116-OFFSET(梦灵养成!$Q$9,MATCH(产出预期!$M116,梦灵养成!$Q$10:$Q$15,1),0))*OFFSET(梦灵养成!M$9,1+MATCH(产出预期!$M116,梦灵养成!$Q$10:$Q$15,1),0)+梦灵养成!E435+SUMPRODUCT(--(梦灵养成!$Q$10:$Q$15&lt;=产出预期!$M116),梦灵养成!M$10:M$15,梦灵养成!$P$10:$P$15))/MAX(SUMPRODUCT(--(梦灵养成!$C$10:$C$31&lt;=产出预期!$M116),--(梦灵养成!$E$10:$E$31=J$2)),1)*10,梦灵养成!AU$339:AU$387,1),0)</f>
        <v>49</v>
      </c>
      <c r="K99" s="45" cm="1">
        <f ca="1" t="array" ref="K99">IFERROR(MATCH(((产出预期!$M116-OFFSET(梦灵养成!$Q$9,MATCH(产出预期!$M116,梦灵养成!$Q$10:$Q$15,1),0))*OFFSET(梦灵养成!N$9,1+MATCH(产出预期!$M116,梦灵养成!$Q$10:$Q$15,1),0)+梦灵养成!F435+SUMPRODUCT(--(梦灵养成!$Q$10:$Q$15&lt;=产出预期!$M116),梦灵养成!N$10:N$15,梦灵养成!$P$10:$P$15))/MAX(SUMPRODUCT(--(梦灵养成!$C$10:$C$31&lt;=产出预期!$M116),--(梦灵养成!$E$10:$E$31=K$2)),1)*10,梦灵养成!AV$339:AV$387,1),0)</f>
        <v>49</v>
      </c>
      <c r="L99" s="45" cm="1">
        <f ca="1" t="array" ref="L99">IFERROR(MATCH(((产出预期!$M116-OFFSET(梦灵养成!$Q$9,MATCH(产出预期!$M116,梦灵养成!$Q$10:$Q$15,1),0))*OFFSET(梦灵养成!O$9,1+MATCH(产出预期!$M116,梦灵养成!$Q$10:$Q$15,1),0)+梦灵养成!G435+SUMPRODUCT(--(梦灵养成!$Q$10:$Q$15&lt;=产出预期!$M116),梦灵养成!O$10:O$15,梦灵养成!$P$10:$P$15))/MAX(SUMPRODUCT(--(梦灵养成!$C$10:$C$31&lt;=产出预期!$M116),--(梦灵养成!$E$10:$E$31=L$2)),1)*10,梦灵养成!AW$339:AW$388,1),0)</f>
        <v>48</v>
      </c>
      <c r="M99" s="45">
        <f ca="1">OFFSET(符文养成!$C$14,MATCH(C99,符文养成!$B$15:$B$44,1),0)</f>
        <v>30</v>
      </c>
      <c r="N99" s="45">
        <f ca="1">MATCH((产出预期!Z116*价值表!$F$53+产出预期!AA116*价值表!$F$54+产出预期!AD116*价值表!$F$57)/16/M99,符文养成!$G$15:$G$21,1)</f>
        <v>5</v>
      </c>
      <c r="O99" s="45">
        <f>MATCH(产出预期!O116,秘宝养成!$C$3:$C$14,1)</f>
        <v>11</v>
      </c>
    </row>
    <row r="100" ht="16.5" spans="2:15">
      <c r="B100" s="2">
        <v>98</v>
      </c>
      <c r="C100" s="2">
        <f ca="1">MATCH((OFFSET(产出预期!$C$3,0,产出预期!$B$1)*10+OFFSET(产出预期!$C$4,0,产出预期!$B$1)*10+OFFSET(产出预期!$C$7,0,产出预期!$B$1)*20)*B100/10*60,玩家等级!$E$3:$E$302,1)</f>
        <v>70</v>
      </c>
      <c r="D100" s="2">
        <f>MATCH(产出预期!P117/6,装备养成!$G$4:$G$303,1)</f>
        <v>101</v>
      </c>
      <c r="E100" s="2">
        <f>COUNTIF(产出预期!$R117:$Y117,"&gt;"&amp;0)</f>
        <v>7</v>
      </c>
      <c r="F100" s="2">
        <f ca="1">MATCH(OFFSET(产出预期!$R$19,B100,E100-1),装备养成!$S$4:$S$9,1)</f>
        <v>6</v>
      </c>
      <c r="G100" s="2" t="str">
        <f ca="1">OFFSET(梦灵养成!$D$9,MATCH(梦灵养成!C131,梦灵养成!$C$10:$C$28,1),0)</f>
        <v>我爱沙</v>
      </c>
      <c r="H100" s="2" t="str">
        <f ca="1">OFFSET(梦灵养成!$I$9,MATCH(梦灵养成!C131,梦灵养成!$C$10:$C$28,1),0)</f>
        <v>后羿</v>
      </c>
      <c r="I100" s="45" cm="1">
        <f ca="1" t="array" ref="I100">IFERROR(MATCH(((产出预期!$M117-OFFSET(梦灵养成!$Q$9,MATCH(产出预期!$M117,梦灵养成!$Q$10:$Q$15,1),0))*OFFSET(梦灵养成!L$9,1+MATCH(产出预期!$M117,梦灵养成!$Q$10:$Q$15,1),0)+梦灵养成!D436+SUMPRODUCT(--(梦灵养成!$Q$10:$Q$15&lt;=产出预期!$M117),梦灵养成!L$10:L$15,梦灵养成!$P$10:$P$15))/MAX(SUMPRODUCT(--(梦灵养成!$C$10:$C$31&lt;=产出预期!$M117),--(梦灵养成!$E$10:$E$31=I$2)),1)*10,梦灵养成!AT$339:AT$387,1),0)</f>
        <v>49</v>
      </c>
      <c r="J100" s="45" cm="1">
        <f ca="1" t="array" ref="J100">IFERROR(MATCH(((产出预期!$M117-OFFSET(梦灵养成!$Q$9,MATCH(产出预期!$M117,梦灵养成!$Q$10:$Q$15,1),0))*OFFSET(梦灵养成!M$9,1+MATCH(产出预期!$M117,梦灵养成!$Q$10:$Q$15,1),0)+梦灵养成!E436+SUMPRODUCT(--(梦灵养成!$Q$10:$Q$15&lt;=产出预期!$M117),梦灵养成!M$10:M$15,梦灵养成!$P$10:$P$15))/MAX(SUMPRODUCT(--(梦灵养成!$C$10:$C$31&lt;=产出预期!$M117),--(梦灵养成!$E$10:$E$31=J$2)),1)*10,梦灵养成!AU$339:AU$387,1),0)</f>
        <v>49</v>
      </c>
      <c r="K100" s="45" cm="1">
        <f ca="1" t="array" ref="K100">IFERROR(MATCH(((产出预期!$M117-OFFSET(梦灵养成!$Q$9,MATCH(产出预期!$M117,梦灵养成!$Q$10:$Q$15,1),0))*OFFSET(梦灵养成!N$9,1+MATCH(产出预期!$M117,梦灵养成!$Q$10:$Q$15,1),0)+梦灵养成!F436+SUMPRODUCT(--(梦灵养成!$Q$10:$Q$15&lt;=产出预期!$M117),梦灵养成!N$10:N$15,梦灵养成!$P$10:$P$15))/MAX(SUMPRODUCT(--(梦灵养成!$C$10:$C$31&lt;=产出预期!$M117),--(梦灵养成!$E$10:$E$31=K$2)),1)*10,梦灵养成!AV$339:AV$387,1),0)</f>
        <v>49</v>
      </c>
      <c r="L100" s="45" cm="1">
        <f ca="1" t="array" ref="L100">IFERROR(MATCH(((产出预期!$M117-OFFSET(梦灵养成!$Q$9,MATCH(产出预期!$M117,梦灵养成!$Q$10:$Q$15,1),0))*OFFSET(梦灵养成!O$9,1+MATCH(产出预期!$M117,梦灵养成!$Q$10:$Q$15,1),0)+梦灵养成!G436+SUMPRODUCT(--(梦灵养成!$Q$10:$Q$15&lt;=产出预期!$M117),梦灵养成!O$10:O$15,梦灵养成!$P$10:$P$15))/MAX(SUMPRODUCT(--(梦灵养成!$C$10:$C$31&lt;=产出预期!$M117),--(梦灵养成!$E$10:$E$31=L$2)),1)*10,梦灵养成!AW$339:AW$388,1),0)</f>
        <v>49</v>
      </c>
      <c r="M100" s="45">
        <f ca="1">OFFSET(符文养成!$C$14,MATCH(C100,符文养成!$B$15:$B$44,1),0)</f>
        <v>30</v>
      </c>
      <c r="N100" s="45">
        <f ca="1">MATCH((产出预期!Z117*价值表!$F$53+产出预期!AA117*价值表!$F$54+产出预期!AD117*价值表!$F$57)/16/M100,符文养成!$G$15:$G$21,1)</f>
        <v>5</v>
      </c>
      <c r="O100" s="45">
        <f>MATCH(产出预期!O117,秘宝养成!$C$3:$C$14,1)</f>
        <v>11</v>
      </c>
    </row>
    <row r="101" ht="16.5" spans="2:15">
      <c r="B101" s="2">
        <v>99</v>
      </c>
      <c r="C101" s="2">
        <f ca="1">MATCH((OFFSET(产出预期!$C$3,0,产出预期!$B$1)*10+OFFSET(产出预期!$C$4,0,产出预期!$B$1)*10+OFFSET(产出预期!$C$7,0,产出预期!$B$1)*20)*B101/10*60,玩家等级!$E$3:$E$302,1)</f>
        <v>71</v>
      </c>
      <c r="D101" s="2">
        <f>MATCH(产出预期!P118/6,装备养成!$G$4:$G$303,1)</f>
        <v>101</v>
      </c>
      <c r="E101" s="2">
        <f>COUNTIF(产出预期!$R118:$Y118,"&gt;"&amp;0)</f>
        <v>7</v>
      </c>
      <c r="F101" s="2">
        <f ca="1">MATCH(OFFSET(产出预期!$R$19,B101,E101-1),装备养成!$S$4:$S$9,1)</f>
        <v>6</v>
      </c>
      <c r="G101" s="2" t="str">
        <f ca="1">OFFSET(梦灵养成!$D$9,MATCH(梦灵养成!C132,梦灵养成!$C$10:$C$28,1),0)</f>
        <v>我爱沙</v>
      </c>
      <c r="H101" s="2" t="str">
        <f ca="1">OFFSET(梦灵养成!$I$9,MATCH(梦灵养成!C132,梦灵养成!$C$10:$C$28,1),0)</f>
        <v>后羿</v>
      </c>
      <c r="I101" s="45" cm="1">
        <f ca="1" t="array" ref="I101">IFERROR(MATCH(((产出预期!$M118-OFFSET(梦灵养成!$Q$9,MATCH(产出预期!$M118,梦灵养成!$Q$10:$Q$15,1),0))*OFFSET(梦灵养成!L$9,1+MATCH(产出预期!$M118,梦灵养成!$Q$10:$Q$15,1),0)+梦灵养成!D437+SUMPRODUCT(--(梦灵养成!$Q$10:$Q$15&lt;=产出预期!$M118),梦灵养成!L$10:L$15,梦灵养成!$P$10:$P$15))/MAX(SUMPRODUCT(--(梦灵养成!$C$10:$C$31&lt;=产出预期!$M118),--(梦灵养成!$E$10:$E$31=I$2)),1)*10,梦灵养成!AT$339:AT$387,1),0)</f>
        <v>49</v>
      </c>
      <c r="J101" s="45" cm="1">
        <f ca="1" t="array" ref="J101">IFERROR(MATCH(((产出预期!$M118-OFFSET(梦灵养成!$Q$9,MATCH(产出预期!$M118,梦灵养成!$Q$10:$Q$15,1),0))*OFFSET(梦灵养成!M$9,1+MATCH(产出预期!$M118,梦灵养成!$Q$10:$Q$15,1),0)+梦灵养成!E437+SUMPRODUCT(--(梦灵养成!$Q$10:$Q$15&lt;=产出预期!$M118),梦灵养成!M$10:M$15,梦灵养成!$P$10:$P$15))/MAX(SUMPRODUCT(--(梦灵养成!$C$10:$C$31&lt;=产出预期!$M118),--(梦灵养成!$E$10:$E$31=J$2)),1)*10,梦灵养成!AU$339:AU$387,1),0)</f>
        <v>49</v>
      </c>
      <c r="K101" s="45" cm="1">
        <f ca="1" t="array" ref="K101">IFERROR(MATCH(((产出预期!$M118-OFFSET(梦灵养成!$Q$9,MATCH(产出预期!$M118,梦灵养成!$Q$10:$Q$15,1),0))*OFFSET(梦灵养成!N$9,1+MATCH(产出预期!$M118,梦灵养成!$Q$10:$Q$15,1),0)+梦灵养成!F437+SUMPRODUCT(--(梦灵养成!$Q$10:$Q$15&lt;=产出预期!$M118),梦灵养成!N$10:N$15,梦灵养成!$P$10:$P$15))/MAX(SUMPRODUCT(--(梦灵养成!$C$10:$C$31&lt;=产出预期!$M118),--(梦灵养成!$E$10:$E$31=K$2)),1)*10,梦灵养成!AV$339:AV$387,1),0)</f>
        <v>49</v>
      </c>
      <c r="L101" s="45" cm="1">
        <f ca="1" t="array" ref="L101">IFERROR(MATCH(((产出预期!$M118-OFFSET(梦灵养成!$Q$9,MATCH(产出预期!$M118,梦灵养成!$Q$10:$Q$15,1),0))*OFFSET(梦灵养成!O$9,1+MATCH(产出预期!$M118,梦灵养成!$Q$10:$Q$15,1),0)+梦灵养成!G437+SUMPRODUCT(--(梦灵养成!$Q$10:$Q$15&lt;=产出预期!$M118),梦灵养成!O$10:O$15,梦灵养成!$P$10:$P$15))/MAX(SUMPRODUCT(--(梦灵养成!$C$10:$C$31&lt;=产出预期!$M118),--(梦灵养成!$E$10:$E$31=L$2)),1)*10,梦灵养成!AW$339:AW$388,1),0)</f>
        <v>49</v>
      </c>
      <c r="M101" s="45">
        <f ca="1">OFFSET(符文养成!$C$14,MATCH(C101,符文养成!$B$15:$B$44,1),0)</f>
        <v>30</v>
      </c>
      <c r="N101" s="45">
        <f ca="1">MATCH((产出预期!Z118*价值表!$F$53+产出预期!AA118*价值表!$F$54+产出预期!AD118*价值表!$F$57)/16/M101,符文养成!$G$15:$G$21,1)</f>
        <v>5</v>
      </c>
      <c r="O101" s="45">
        <f>MATCH(产出预期!O118,秘宝养成!$C$3:$C$14,1)</f>
        <v>11</v>
      </c>
    </row>
    <row r="102" ht="16.5" spans="2:15">
      <c r="B102" s="2">
        <v>100</v>
      </c>
      <c r="C102" s="2">
        <f ca="1">MATCH((OFFSET(产出预期!$C$3,0,产出预期!$B$1)*10+OFFSET(产出预期!$C$4,0,产出预期!$B$1)*10+OFFSET(产出预期!$C$7,0,产出预期!$B$1)*20)*B102/10*60,玩家等级!$E$3:$E$302,1)</f>
        <v>71</v>
      </c>
      <c r="D102" s="2">
        <f>MATCH(产出预期!P119/6,装备养成!$G$4:$G$303,1)</f>
        <v>102</v>
      </c>
      <c r="E102" s="2">
        <f>COUNTIF(产出预期!$R119:$Y119,"&gt;"&amp;0)</f>
        <v>7</v>
      </c>
      <c r="F102" s="2">
        <f ca="1">MATCH(OFFSET(产出预期!$R$19,B102,E102-1),装备养成!$S$4:$S$9,1)</f>
        <v>6</v>
      </c>
      <c r="G102" s="2" t="str">
        <f ca="1">OFFSET(梦灵养成!$D$9,MATCH(梦灵养成!C133,梦灵养成!$C$10:$C$28,1),0)</f>
        <v>我爱沙</v>
      </c>
      <c r="H102" s="2" t="str">
        <f ca="1">OFFSET(梦灵养成!$I$9,MATCH(梦灵养成!C133,梦灵养成!$C$10:$C$28,1),0)</f>
        <v>后羿</v>
      </c>
      <c r="I102" s="45" cm="1">
        <f ca="1" t="array" ref="I102">IFERROR(MATCH(((产出预期!$M119-OFFSET(梦灵养成!$Q$9,MATCH(产出预期!$M119,梦灵养成!$Q$10:$Q$15,1),0))*OFFSET(梦灵养成!L$9,1+MATCH(产出预期!$M119,梦灵养成!$Q$10:$Q$15,1),0)+梦灵养成!D438+SUMPRODUCT(--(梦灵养成!$Q$10:$Q$15&lt;=产出预期!$M119),梦灵养成!L$10:L$15,梦灵养成!$P$10:$P$15))/MAX(SUMPRODUCT(--(梦灵养成!$C$10:$C$31&lt;=产出预期!$M119),--(梦灵养成!$E$10:$E$31=I$2)),1)*10,梦灵养成!AT$339:AT$387,1),0)</f>
        <v>49</v>
      </c>
      <c r="J102" s="45" cm="1">
        <f ca="1" t="array" ref="J102">IFERROR(MATCH(((产出预期!$M119-OFFSET(梦灵养成!$Q$9,MATCH(产出预期!$M119,梦灵养成!$Q$10:$Q$15,1),0))*OFFSET(梦灵养成!M$9,1+MATCH(产出预期!$M119,梦灵养成!$Q$10:$Q$15,1),0)+梦灵养成!E438+SUMPRODUCT(--(梦灵养成!$Q$10:$Q$15&lt;=产出预期!$M119),梦灵养成!M$10:M$15,梦灵养成!$P$10:$P$15))/MAX(SUMPRODUCT(--(梦灵养成!$C$10:$C$31&lt;=产出预期!$M119),--(梦灵养成!$E$10:$E$31=J$2)),1)*10,梦灵养成!AU$339:AU$387,1),0)</f>
        <v>49</v>
      </c>
      <c r="K102" s="45" cm="1">
        <f ca="1" t="array" ref="K102">IFERROR(MATCH(((产出预期!$M119-OFFSET(梦灵养成!$Q$9,MATCH(产出预期!$M119,梦灵养成!$Q$10:$Q$15,1),0))*OFFSET(梦灵养成!N$9,1+MATCH(产出预期!$M119,梦灵养成!$Q$10:$Q$15,1),0)+梦灵养成!F438+SUMPRODUCT(--(梦灵养成!$Q$10:$Q$15&lt;=产出预期!$M119),梦灵养成!N$10:N$15,梦灵养成!$P$10:$P$15))/MAX(SUMPRODUCT(--(梦灵养成!$C$10:$C$31&lt;=产出预期!$M119),--(梦灵养成!$E$10:$E$31=K$2)),1)*10,梦灵养成!AV$339:AV$387,1),0)</f>
        <v>49</v>
      </c>
      <c r="L102" s="45" cm="1">
        <f ca="1" t="array" ref="L102">IFERROR(MATCH(((产出预期!$M119-OFFSET(梦灵养成!$Q$9,MATCH(产出预期!$M119,梦灵养成!$Q$10:$Q$15,1),0))*OFFSET(梦灵养成!O$9,1+MATCH(产出预期!$M119,梦灵养成!$Q$10:$Q$15,1),0)+梦灵养成!G438+SUMPRODUCT(--(梦灵养成!$Q$10:$Q$15&lt;=产出预期!$M119),梦灵养成!O$10:O$15,梦灵养成!$P$10:$P$15))/MAX(SUMPRODUCT(--(梦灵养成!$C$10:$C$31&lt;=产出预期!$M119),--(梦灵养成!$E$10:$E$31=L$2)),1)*10,梦灵养成!AW$339:AW$388,1),0)</f>
        <v>49</v>
      </c>
      <c r="M102" s="45">
        <f ca="1">OFFSET(符文养成!$C$14,MATCH(C102,符文养成!$B$15:$B$44,1),0)</f>
        <v>30</v>
      </c>
      <c r="N102" s="45">
        <f ca="1">MATCH((产出预期!Z119*价值表!$F$53+产出预期!AA119*价值表!$F$54+产出预期!AD119*价值表!$F$57)/16/M102,符文养成!$G$15:$G$21,1)</f>
        <v>5</v>
      </c>
      <c r="O102" s="45">
        <f>MATCH(产出预期!O119,秘宝养成!$C$3:$C$14,1)</f>
        <v>11</v>
      </c>
    </row>
    <row r="103" ht="16.5" spans="2:15">
      <c r="B103" s="2">
        <v>101</v>
      </c>
      <c r="C103" s="2">
        <f ca="1">MATCH((OFFSET(产出预期!$C$3,0,产出预期!$B$1)*10+OFFSET(产出预期!$C$4,0,产出预期!$B$1)*10+OFFSET(产出预期!$C$7,0,产出预期!$B$1)*20)*B103/10*60,玩家等级!$E$3:$E$302,1)</f>
        <v>72</v>
      </c>
      <c r="D103" s="2">
        <f>MATCH(产出预期!P120/6,装备养成!$G$4:$G$303,1)</f>
        <v>102</v>
      </c>
      <c r="E103" s="2">
        <f>COUNTIF(产出预期!$R120:$Y120,"&gt;"&amp;0)</f>
        <v>7</v>
      </c>
      <c r="F103" s="2">
        <f ca="1">MATCH(OFFSET(产出预期!$R$19,B103,E103-1),装备养成!$S$4:$S$9,1)</f>
        <v>6</v>
      </c>
      <c r="G103" s="2" t="str">
        <f ca="1">OFFSET(梦灵养成!$D$9,MATCH(梦灵养成!C134,梦灵养成!$C$10:$C$28,1),0)</f>
        <v>我爱沙</v>
      </c>
      <c r="H103" s="2" t="str">
        <f ca="1">OFFSET(梦灵养成!$I$9,MATCH(梦灵养成!C134,梦灵养成!$C$10:$C$28,1),0)</f>
        <v>后羿</v>
      </c>
      <c r="I103" s="45" cm="1">
        <f ca="1" t="array" ref="I103">IFERROR(MATCH(((产出预期!$M120-OFFSET(梦灵养成!$Q$9,MATCH(产出预期!$M120,梦灵养成!$Q$10:$Q$15,1),0))*OFFSET(梦灵养成!L$9,1+MATCH(产出预期!$M120,梦灵养成!$Q$10:$Q$15,1),0)+梦灵养成!D439+SUMPRODUCT(--(梦灵养成!$Q$10:$Q$15&lt;=产出预期!$M120),梦灵养成!L$10:L$15,梦灵养成!$P$10:$P$15))/MAX(SUMPRODUCT(--(梦灵养成!$C$10:$C$31&lt;=产出预期!$M120),--(梦灵养成!$E$10:$E$31=I$2)),1)*10,梦灵养成!AT$339:AT$387,1),0)</f>
        <v>49</v>
      </c>
      <c r="J103" s="45" cm="1">
        <f ca="1" t="array" ref="J103">IFERROR(MATCH(((产出预期!$M120-OFFSET(梦灵养成!$Q$9,MATCH(产出预期!$M120,梦灵养成!$Q$10:$Q$15,1),0))*OFFSET(梦灵养成!M$9,1+MATCH(产出预期!$M120,梦灵养成!$Q$10:$Q$15,1),0)+梦灵养成!E439+SUMPRODUCT(--(梦灵养成!$Q$10:$Q$15&lt;=产出预期!$M120),梦灵养成!M$10:M$15,梦灵养成!$P$10:$P$15))/MAX(SUMPRODUCT(--(梦灵养成!$C$10:$C$31&lt;=产出预期!$M120),--(梦灵养成!$E$10:$E$31=J$2)),1)*10,梦灵养成!AU$339:AU$387,1),0)</f>
        <v>49</v>
      </c>
      <c r="K103" s="45" cm="1">
        <f ca="1" t="array" ref="K103">IFERROR(MATCH(((产出预期!$M120-OFFSET(梦灵养成!$Q$9,MATCH(产出预期!$M120,梦灵养成!$Q$10:$Q$15,1),0))*OFFSET(梦灵养成!N$9,1+MATCH(产出预期!$M120,梦灵养成!$Q$10:$Q$15,1),0)+梦灵养成!F439+SUMPRODUCT(--(梦灵养成!$Q$10:$Q$15&lt;=产出预期!$M120),梦灵养成!N$10:N$15,梦灵养成!$P$10:$P$15))/MAX(SUMPRODUCT(--(梦灵养成!$C$10:$C$31&lt;=产出预期!$M120),--(梦灵养成!$E$10:$E$31=K$2)),1)*10,梦灵养成!AV$339:AV$387,1),0)</f>
        <v>49</v>
      </c>
      <c r="L103" s="45" cm="1">
        <f ca="1" t="array" ref="L103">IFERROR(MATCH(((产出预期!$M120-OFFSET(梦灵养成!$Q$9,MATCH(产出预期!$M120,梦灵养成!$Q$10:$Q$15,1),0))*OFFSET(梦灵养成!O$9,1+MATCH(产出预期!$M120,梦灵养成!$Q$10:$Q$15,1),0)+梦灵养成!G439+SUMPRODUCT(--(梦灵养成!$Q$10:$Q$15&lt;=产出预期!$M120),梦灵养成!O$10:O$15,梦灵养成!$P$10:$P$15))/MAX(SUMPRODUCT(--(梦灵养成!$C$10:$C$31&lt;=产出预期!$M120),--(梦灵养成!$E$10:$E$31=L$2)),1)*10,梦灵养成!AW$339:AW$388,1),0)</f>
        <v>49</v>
      </c>
      <c r="M103" s="45">
        <f ca="1">OFFSET(符文养成!$C$14,MATCH(C103,符文养成!$B$15:$B$44,1),0)</f>
        <v>30</v>
      </c>
      <c r="N103" s="45">
        <f ca="1">MATCH((产出预期!Z120*价值表!$F$53+产出预期!AA120*价值表!$F$54+产出预期!AD120*价值表!$F$57)/16/M103,符文养成!$G$15:$G$21,1)</f>
        <v>5</v>
      </c>
      <c r="O103" s="45">
        <f>MATCH(产出预期!O120,秘宝养成!$C$3:$C$14,1)</f>
        <v>11</v>
      </c>
    </row>
    <row r="104" ht="16.5" spans="2:15">
      <c r="B104" s="2">
        <v>102</v>
      </c>
      <c r="C104" s="2">
        <f ca="1">MATCH((OFFSET(产出预期!$C$3,0,产出预期!$B$1)*10+OFFSET(产出预期!$C$4,0,产出预期!$B$1)*10+OFFSET(产出预期!$C$7,0,产出预期!$B$1)*20)*B104/10*60,玩家等级!$E$3:$E$302,1)</f>
        <v>72</v>
      </c>
      <c r="D104" s="2">
        <f>MATCH(产出预期!P121/6,装备养成!$G$4:$G$303,1)</f>
        <v>103</v>
      </c>
      <c r="E104" s="2">
        <f>COUNTIF(产出预期!$R121:$Y121,"&gt;"&amp;0)</f>
        <v>7</v>
      </c>
      <c r="F104" s="2">
        <f ca="1">MATCH(OFFSET(产出预期!$R$19,B104,E104-1),装备养成!$S$4:$S$9,1)</f>
        <v>6</v>
      </c>
      <c r="G104" s="2" t="str">
        <f ca="1">OFFSET(梦灵养成!$D$9,MATCH(梦灵养成!C135,梦灵养成!$C$10:$C$28,1),0)</f>
        <v>我爱沙</v>
      </c>
      <c r="H104" s="2" t="str">
        <f ca="1">OFFSET(梦灵养成!$I$9,MATCH(梦灵养成!C135,梦灵养成!$C$10:$C$28,1),0)</f>
        <v>后羿</v>
      </c>
      <c r="I104" s="45" cm="1">
        <f ca="1" t="array" ref="I104">IFERROR(MATCH(((产出预期!$M121-OFFSET(梦灵养成!$Q$9,MATCH(产出预期!$M121,梦灵养成!$Q$10:$Q$15,1),0))*OFFSET(梦灵养成!L$9,1+MATCH(产出预期!$M121,梦灵养成!$Q$10:$Q$15,1),0)+梦灵养成!D440+SUMPRODUCT(--(梦灵养成!$Q$10:$Q$15&lt;=产出预期!$M121),梦灵养成!L$10:L$15,梦灵养成!$P$10:$P$15))/MAX(SUMPRODUCT(--(梦灵养成!$C$10:$C$31&lt;=产出预期!$M121),--(梦灵养成!$E$10:$E$31=I$2)),1)*10,梦灵养成!AT$339:AT$387,1),0)</f>
        <v>49</v>
      </c>
      <c r="J104" s="45" cm="1">
        <f ca="1" t="array" ref="J104">IFERROR(MATCH(((产出预期!$M121-OFFSET(梦灵养成!$Q$9,MATCH(产出预期!$M121,梦灵养成!$Q$10:$Q$15,1),0))*OFFSET(梦灵养成!M$9,1+MATCH(产出预期!$M121,梦灵养成!$Q$10:$Q$15,1),0)+梦灵养成!E440+SUMPRODUCT(--(梦灵养成!$Q$10:$Q$15&lt;=产出预期!$M121),梦灵养成!M$10:M$15,梦灵养成!$P$10:$P$15))/MAX(SUMPRODUCT(--(梦灵养成!$C$10:$C$31&lt;=产出预期!$M121),--(梦灵养成!$E$10:$E$31=J$2)),1)*10,梦灵养成!AU$339:AU$387,1),0)</f>
        <v>49</v>
      </c>
      <c r="K104" s="45" cm="1">
        <f ca="1" t="array" ref="K104">IFERROR(MATCH(((产出预期!$M121-OFFSET(梦灵养成!$Q$9,MATCH(产出预期!$M121,梦灵养成!$Q$10:$Q$15,1),0))*OFFSET(梦灵养成!N$9,1+MATCH(产出预期!$M121,梦灵养成!$Q$10:$Q$15,1),0)+梦灵养成!F440+SUMPRODUCT(--(梦灵养成!$Q$10:$Q$15&lt;=产出预期!$M121),梦灵养成!N$10:N$15,梦灵养成!$P$10:$P$15))/MAX(SUMPRODUCT(--(梦灵养成!$C$10:$C$31&lt;=产出预期!$M121),--(梦灵养成!$E$10:$E$31=K$2)),1)*10,梦灵养成!AV$339:AV$387,1),0)</f>
        <v>49</v>
      </c>
      <c r="L104" s="45" cm="1">
        <f ca="1" t="array" ref="L104">IFERROR(MATCH(((产出预期!$M121-OFFSET(梦灵养成!$Q$9,MATCH(产出预期!$M121,梦灵养成!$Q$10:$Q$15,1),0))*OFFSET(梦灵养成!O$9,1+MATCH(产出预期!$M121,梦灵养成!$Q$10:$Q$15,1),0)+梦灵养成!G440+SUMPRODUCT(--(梦灵养成!$Q$10:$Q$15&lt;=产出预期!$M121),梦灵养成!O$10:O$15,梦灵养成!$P$10:$P$15))/MAX(SUMPRODUCT(--(梦灵养成!$C$10:$C$31&lt;=产出预期!$M121),--(梦灵养成!$E$10:$E$31=L$2)),1)*10,梦灵养成!AW$339:AW$388,1),0)</f>
        <v>49</v>
      </c>
      <c r="M104" s="45">
        <f ca="1">OFFSET(符文养成!$C$14,MATCH(C104,符文养成!$B$15:$B$44,1),0)</f>
        <v>30</v>
      </c>
      <c r="N104" s="45">
        <f ca="1">MATCH((产出预期!Z121*价值表!$F$53+产出预期!AA121*价值表!$F$54+产出预期!AD121*价值表!$F$57)/16/M104,符文养成!$G$15:$G$21,1)</f>
        <v>5</v>
      </c>
      <c r="O104" s="45">
        <f>MATCH(产出预期!O121,秘宝养成!$C$3:$C$14,1)</f>
        <v>11</v>
      </c>
    </row>
    <row r="105" ht="16.5" spans="2:15">
      <c r="B105" s="2">
        <v>103</v>
      </c>
      <c r="C105" s="2">
        <f ca="1">MATCH((OFFSET(产出预期!$C$3,0,产出预期!$B$1)*10+OFFSET(产出预期!$C$4,0,产出预期!$B$1)*10+OFFSET(产出预期!$C$7,0,产出预期!$B$1)*20)*B105/10*60,玩家等级!$E$3:$E$302,1)</f>
        <v>72</v>
      </c>
      <c r="D105" s="2">
        <f>MATCH(产出预期!P122/6,装备养成!$G$4:$G$303,1)</f>
        <v>103</v>
      </c>
      <c r="E105" s="2">
        <f>COUNTIF(产出预期!$R122:$Y122,"&gt;"&amp;0)</f>
        <v>7</v>
      </c>
      <c r="F105" s="2">
        <f ca="1">MATCH(OFFSET(产出预期!$R$19,B105,E105-1),装备养成!$S$4:$S$9,1)</f>
        <v>6</v>
      </c>
      <c r="G105" s="2" t="str">
        <f ca="1">OFFSET(梦灵养成!$D$9,MATCH(梦灵养成!C136,梦灵养成!$C$10:$C$28,1),0)</f>
        <v>我爱沙</v>
      </c>
      <c r="H105" s="2" t="str">
        <f ca="1">OFFSET(梦灵养成!$I$9,MATCH(梦灵养成!C136,梦灵养成!$C$10:$C$28,1),0)</f>
        <v>后羿</v>
      </c>
      <c r="I105" s="45" cm="1">
        <f ca="1" t="array" ref="I105">IFERROR(MATCH(((产出预期!$M122-OFFSET(梦灵养成!$Q$9,MATCH(产出预期!$M122,梦灵养成!$Q$10:$Q$15,1),0))*OFFSET(梦灵养成!L$9,1+MATCH(产出预期!$M122,梦灵养成!$Q$10:$Q$15,1),0)+梦灵养成!D441+SUMPRODUCT(--(梦灵养成!$Q$10:$Q$15&lt;=产出预期!$M122),梦灵养成!L$10:L$15,梦灵养成!$P$10:$P$15))/MAX(SUMPRODUCT(--(梦灵养成!$C$10:$C$31&lt;=产出预期!$M122),--(梦灵养成!$E$10:$E$31=I$2)),1)*10,梦灵养成!AT$339:AT$387,1),0)</f>
        <v>49</v>
      </c>
      <c r="J105" s="45" cm="1">
        <f ca="1" t="array" ref="J105">IFERROR(MATCH(((产出预期!$M122-OFFSET(梦灵养成!$Q$9,MATCH(产出预期!$M122,梦灵养成!$Q$10:$Q$15,1),0))*OFFSET(梦灵养成!M$9,1+MATCH(产出预期!$M122,梦灵养成!$Q$10:$Q$15,1),0)+梦灵养成!E441+SUMPRODUCT(--(梦灵养成!$Q$10:$Q$15&lt;=产出预期!$M122),梦灵养成!M$10:M$15,梦灵养成!$P$10:$P$15))/MAX(SUMPRODUCT(--(梦灵养成!$C$10:$C$31&lt;=产出预期!$M122),--(梦灵养成!$E$10:$E$31=J$2)),1)*10,梦灵养成!AU$339:AU$387,1),0)</f>
        <v>49</v>
      </c>
      <c r="K105" s="45" cm="1">
        <f ca="1" t="array" ref="K105">IFERROR(MATCH(((产出预期!$M122-OFFSET(梦灵养成!$Q$9,MATCH(产出预期!$M122,梦灵养成!$Q$10:$Q$15,1),0))*OFFSET(梦灵养成!N$9,1+MATCH(产出预期!$M122,梦灵养成!$Q$10:$Q$15,1),0)+梦灵养成!F441+SUMPRODUCT(--(梦灵养成!$Q$10:$Q$15&lt;=产出预期!$M122),梦灵养成!N$10:N$15,梦灵养成!$P$10:$P$15))/MAX(SUMPRODUCT(--(梦灵养成!$C$10:$C$31&lt;=产出预期!$M122),--(梦灵养成!$E$10:$E$31=K$2)),1)*10,梦灵养成!AV$339:AV$387,1),0)</f>
        <v>49</v>
      </c>
      <c r="L105" s="45" cm="1">
        <f ca="1" t="array" ref="L105">IFERROR(MATCH(((产出预期!$M122-OFFSET(梦灵养成!$Q$9,MATCH(产出预期!$M122,梦灵养成!$Q$10:$Q$15,1),0))*OFFSET(梦灵养成!O$9,1+MATCH(产出预期!$M122,梦灵养成!$Q$10:$Q$15,1),0)+梦灵养成!G441+SUMPRODUCT(--(梦灵养成!$Q$10:$Q$15&lt;=产出预期!$M122),梦灵养成!O$10:O$15,梦灵养成!$P$10:$P$15))/MAX(SUMPRODUCT(--(梦灵养成!$C$10:$C$31&lt;=产出预期!$M122),--(梦灵养成!$E$10:$E$31=L$2)),1)*10,梦灵养成!AW$339:AW$388,1),0)</f>
        <v>50</v>
      </c>
      <c r="M105" s="45">
        <f ca="1">OFFSET(符文养成!$C$14,MATCH(C105,符文养成!$B$15:$B$44,1),0)</f>
        <v>30</v>
      </c>
      <c r="N105" s="45">
        <f ca="1">MATCH((产出预期!Z122*价值表!$F$53+产出预期!AA122*价值表!$F$54+产出预期!AD122*价值表!$F$57)/16/M105,符文养成!$G$15:$G$21,1)</f>
        <v>5</v>
      </c>
      <c r="O105" s="45">
        <f>MATCH(产出预期!O122,秘宝养成!$C$3:$C$14,1)</f>
        <v>11</v>
      </c>
    </row>
    <row r="106" ht="16.5" spans="2:15">
      <c r="B106" s="2">
        <v>104</v>
      </c>
      <c r="C106" s="2">
        <f ca="1">MATCH((OFFSET(产出预期!$C$3,0,产出预期!$B$1)*10+OFFSET(产出预期!$C$4,0,产出预期!$B$1)*10+OFFSET(产出预期!$C$7,0,产出预期!$B$1)*20)*B106/10*60,玩家等级!$E$3:$E$302,1)</f>
        <v>72</v>
      </c>
      <c r="D106" s="2">
        <f>MATCH(产出预期!P123/6,装备养成!$G$4:$G$303,1)</f>
        <v>103</v>
      </c>
      <c r="E106" s="2">
        <f>COUNTIF(产出预期!$R123:$Y123,"&gt;"&amp;0)</f>
        <v>7</v>
      </c>
      <c r="F106" s="2">
        <f ca="1">MATCH(OFFSET(产出预期!$R$19,B106,E106-1),装备养成!$S$4:$S$9,1)</f>
        <v>6</v>
      </c>
      <c r="G106" s="2" t="str">
        <f ca="1">OFFSET(梦灵养成!$D$9,MATCH(梦灵养成!C137,梦灵养成!$C$10:$C$28,1),0)</f>
        <v>我爱沙</v>
      </c>
      <c r="H106" s="2" t="str">
        <f ca="1">OFFSET(梦灵养成!$I$9,MATCH(梦灵养成!C137,梦灵养成!$C$10:$C$28,1),0)</f>
        <v>后羿</v>
      </c>
      <c r="I106" s="45" cm="1">
        <f ca="1" t="array" ref="I106">IFERROR(MATCH(((产出预期!$M123-OFFSET(梦灵养成!$Q$9,MATCH(产出预期!$M123,梦灵养成!$Q$10:$Q$15,1),0))*OFFSET(梦灵养成!L$9,1+MATCH(产出预期!$M123,梦灵养成!$Q$10:$Q$15,1),0)+梦灵养成!D442+SUMPRODUCT(--(梦灵养成!$Q$10:$Q$15&lt;=产出预期!$M123),梦灵养成!L$10:L$15,梦灵养成!$P$10:$P$15))/MAX(SUMPRODUCT(--(梦灵养成!$C$10:$C$31&lt;=产出预期!$M123),--(梦灵养成!$E$10:$E$31=I$2)),1)*10,梦灵养成!AT$339:AT$387,1),0)</f>
        <v>49</v>
      </c>
      <c r="J106" s="45" cm="1">
        <f ca="1" t="array" ref="J106">IFERROR(MATCH(((产出预期!$M123-OFFSET(梦灵养成!$Q$9,MATCH(产出预期!$M123,梦灵养成!$Q$10:$Q$15,1),0))*OFFSET(梦灵养成!M$9,1+MATCH(产出预期!$M123,梦灵养成!$Q$10:$Q$15,1),0)+梦灵养成!E442+SUMPRODUCT(--(梦灵养成!$Q$10:$Q$15&lt;=产出预期!$M123),梦灵养成!M$10:M$15,梦灵养成!$P$10:$P$15))/MAX(SUMPRODUCT(--(梦灵养成!$C$10:$C$31&lt;=产出预期!$M123),--(梦灵养成!$E$10:$E$31=J$2)),1)*10,梦灵养成!AU$339:AU$387,1),0)</f>
        <v>49</v>
      </c>
      <c r="K106" s="45" cm="1">
        <f ca="1" t="array" ref="K106">IFERROR(MATCH(((产出预期!$M123-OFFSET(梦灵养成!$Q$9,MATCH(产出预期!$M123,梦灵养成!$Q$10:$Q$15,1),0))*OFFSET(梦灵养成!N$9,1+MATCH(产出预期!$M123,梦灵养成!$Q$10:$Q$15,1),0)+梦灵养成!F442+SUMPRODUCT(--(梦灵养成!$Q$10:$Q$15&lt;=产出预期!$M123),梦灵养成!N$10:N$15,梦灵养成!$P$10:$P$15))/MAX(SUMPRODUCT(--(梦灵养成!$C$10:$C$31&lt;=产出预期!$M123),--(梦灵养成!$E$10:$E$31=K$2)),1)*10,梦灵养成!AV$339:AV$387,1),0)</f>
        <v>49</v>
      </c>
      <c r="L106" s="45" cm="1">
        <f ca="1" t="array" ref="L106">IFERROR(MATCH(((产出预期!$M123-OFFSET(梦灵养成!$Q$9,MATCH(产出预期!$M123,梦灵养成!$Q$10:$Q$15,1),0))*OFFSET(梦灵养成!O$9,1+MATCH(产出预期!$M123,梦灵养成!$Q$10:$Q$15,1),0)+梦灵养成!G442+SUMPRODUCT(--(梦灵养成!$Q$10:$Q$15&lt;=产出预期!$M123),梦灵养成!O$10:O$15,梦灵养成!$P$10:$P$15))/MAX(SUMPRODUCT(--(梦灵养成!$C$10:$C$31&lt;=产出预期!$M123),--(梦灵养成!$E$10:$E$31=L$2)),1)*10,梦灵养成!AW$339:AW$388,1),0)</f>
        <v>50</v>
      </c>
      <c r="M106" s="45">
        <f ca="1">OFFSET(符文养成!$C$14,MATCH(C106,符文养成!$B$15:$B$44,1),0)</f>
        <v>30</v>
      </c>
      <c r="N106" s="45">
        <f ca="1">MATCH((产出预期!Z123*价值表!$F$53+产出预期!AA123*价值表!$F$54+产出预期!AD123*价值表!$F$57)/16/M106,符文养成!$G$15:$G$21,1)</f>
        <v>5</v>
      </c>
      <c r="O106" s="45">
        <f>MATCH(产出预期!O123,秘宝养成!$C$3:$C$14,1)</f>
        <v>11</v>
      </c>
    </row>
    <row r="107" ht="16.5" spans="2:15">
      <c r="B107" s="2">
        <v>105</v>
      </c>
      <c r="C107" s="2">
        <f ca="1">MATCH((OFFSET(产出预期!$C$3,0,产出预期!$B$1)*10+OFFSET(产出预期!$C$4,0,产出预期!$B$1)*10+OFFSET(产出预期!$C$7,0,产出预期!$B$1)*20)*B107/10*60,玩家等级!$E$3:$E$302,1)</f>
        <v>72</v>
      </c>
      <c r="D107" s="2">
        <f>MATCH(产出预期!P124/6,装备养成!$G$4:$G$303,1)</f>
        <v>104</v>
      </c>
      <c r="E107" s="2">
        <f>COUNTIF(产出预期!$R124:$Y124,"&gt;"&amp;0)</f>
        <v>7</v>
      </c>
      <c r="F107" s="2">
        <f ca="1">MATCH(OFFSET(产出预期!$R$19,B107,E107-1),装备养成!$S$4:$S$9,1)</f>
        <v>6</v>
      </c>
      <c r="G107" s="2" t="str">
        <f ca="1">OFFSET(梦灵养成!$D$9,MATCH(梦灵养成!C138,梦灵养成!$C$10:$C$28,1),0)</f>
        <v>我爱沙</v>
      </c>
      <c r="H107" s="2" t="str">
        <f ca="1">OFFSET(梦灵养成!$I$9,MATCH(梦灵养成!C138,梦灵养成!$C$10:$C$28,1),0)</f>
        <v>后羿</v>
      </c>
      <c r="I107" s="45" cm="1">
        <f ca="1" t="array" ref="I107">IFERROR(MATCH(((产出预期!$M124-OFFSET(梦灵养成!$Q$9,MATCH(产出预期!$M124,梦灵养成!$Q$10:$Q$15,1),0))*OFFSET(梦灵养成!L$9,1+MATCH(产出预期!$M124,梦灵养成!$Q$10:$Q$15,1),0)+梦灵养成!D443+SUMPRODUCT(--(梦灵养成!$Q$10:$Q$15&lt;=产出预期!$M124),梦灵养成!L$10:L$15,梦灵养成!$P$10:$P$15))/MAX(SUMPRODUCT(--(梦灵养成!$C$10:$C$31&lt;=产出预期!$M124),--(梦灵养成!$E$10:$E$31=I$2)),1)*10,梦灵养成!AT$339:AT$387,1),0)</f>
        <v>49</v>
      </c>
      <c r="J107" s="45" cm="1">
        <f ca="1" t="array" ref="J107">IFERROR(MATCH(((产出预期!$M124-OFFSET(梦灵养成!$Q$9,MATCH(产出预期!$M124,梦灵养成!$Q$10:$Q$15,1),0))*OFFSET(梦灵养成!M$9,1+MATCH(产出预期!$M124,梦灵养成!$Q$10:$Q$15,1),0)+梦灵养成!E443+SUMPRODUCT(--(梦灵养成!$Q$10:$Q$15&lt;=产出预期!$M124),梦灵养成!M$10:M$15,梦灵养成!$P$10:$P$15))/MAX(SUMPRODUCT(--(梦灵养成!$C$10:$C$31&lt;=产出预期!$M124),--(梦灵养成!$E$10:$E$31=J$2)),1)*10,梦灵养成!AU$339:AU$387,1),0)</f>
        <v>49</v>
      </c>
      <c r="K107" s="45" cm="1">
        <f ca="1" t="array" ref="K107">IFERROR(MATCH(((产出预期!$M124-OFFSET(梦灵养成!$Q$9,MATCH(产出预期!$M124,梦灵养成!$Q$10:$Q$15,1),0))*OFFSET(梦灵养成!N$9,1+MATCH(产出预期!$M124,梦灵养成!$Q$10:$Q$15,1),0)+梦灵养成!F443+SUMPRODUCT(--(梦灵养成!$Q$10:$Q$15&lt;=产出预期!$M124),梦灵养成!N$10:N$15,梦灵养成!$P$10:$P$15))/MAX(SUMPRODUCT(--(梦灵养成!$C$10:$C$31&lt;=产出预期!$M124),--(梦灵养成!$E$10:$E$31=K$2)),1)*10,梦灵养成!AV$339:AV$387,1),0)</f>
        <v>49</v>
      </c>
      <c r="L107" s="45" cm="1">
        <f ca="1" t="array" ref="L107">IFERROR(MATCH(((产出预期!$M124-OFFSET(梦灵养成!$Q$9,MATCH(产出预期!$M124,梦灵养成!$Q$10:$Q$15,1),0))*OFFSET(梦灵养成!O$9,1+MATCH(产出预期!$M124,梦灵养成!$Q$10:$Q$15,1),0)+梦灵养成!G443+SUMPRODUCT(--(梦灵养成!$Q$10:$Q$15&lt;=产出预期!$M124),梦灵养成!O$10:O$15,梦灵养成!$P$10:$P$15))/MAX(SUMPRODUCT(--(梦灵养成!$C$10:$C$31&lt;=产出预期!$M124),--(梦灵养成!$E$10:$E$31=L$2)),1)*10,梦灵养成!AW$339:AW$388,1),0)</f>
        <v>50</v>
      </c>
      <c r="M107" s="45">
        <f ca="1">OFFSET(符文养成!$C$14,MATCH(C107,符文养成!$B$15:$B$44,1),0)</f>
        <v>30</v>
      </c>
      <c r="N107" s="45">
        <f ca="1">MATCH((产出预期!Z124*价值表!$F$53+产出预期!AA124*价值表!$F$54+产出预期!AD124*价值表!$F$57)/16/M107,符文养成!$G$15:$G$21,1)</f>
        <v>5</v>
      </c>
      <c r="O107" s="45">
        <f>MATCH(产出预期!O124,秘宝养成!$C$3:$C$14,1)</f>
        <v>11</v>
      </c>
    </row>
    <row r="108" ht="16.5" spans="2:15">
      <c r="B108" s="2">
        <v>106</v>
      </c>
      <c r="C108" s="2">
        <f ca="1">MATCH((OFFSET(产出预期!$C$3,0,产出预期!$B$1)*10+OFFSET(产出预期!$C$4,0,产出预期!$B$1)*10+OFFSET(产出预期!$C$7,0,产出预期!$B$1)*20)*B108/10*60,玩家等级!$E$3:$E$302,1)</f>
        <v>73</v>
      </c>
      <c r="D108" s="2">
        <f>MATCH(产出预期!P125/6,装备养成!$G$4:$G$303,1)</f>
        <v>104</v>
      </c>
      <c r="E108" s="2">
        <f>COUNTIF(产出预期!$R125:$Y125,"&gt;"&amp;0)</f>
        <v>7</v>
      </c>
      <c r="F108" s="2">
        <f ca="1">MATCH(OFFSET(产出预期!$R$19,B108,E108-1),装备养成!$S$4:$S$9,1)</f>
        <v>6</v>
      </c>
      <c r="G108" s="2" t="str">
        <f ca="1">OFFSET(梦灵养成!$D$9,MATCH(梦灵养成!C139,梦灵养成!$C$10:$C$28,1),0)</f>
        <v>我爱沙</v>
      </c>
      <c r="H108" s="2" t="str">
        <f ca="1">OFFSET(梦灵养成!$I$9,MATCH(梦灵养成!C139,梦灵养成!$C$10:$C$28,1),0)</f>
        <v>后羿</v>
      </c>
      <c r="I108" s="45" cm="1">
        <f ca="1" t="array" ref="I108">IFERROR(MATCH(((产出预期!$M125-OFFSET(梦灵养成!$Q$9,MATCH(产出预期!$M125,梦灵养成!$Q$10:$Q$15,1),0))*OFFSET(梦灵养成!L$9,1+MATCH(产出预期!$M125,梦灵养成!$Q$10:$Q$15,1),0)+梦灵养成!D444+SUMPRODUCT(--(梦灵养成!$Q$10:$Q$15&lt;=产出预期!$M125),梦灵养成!L$10:L$15,梦灵养成!$P$10:$P$15))/MAX(SUMPRODUCT(--(梦灵养成!$C$10:$C$31&lt;=产出预期!$M125),--(梦灵养成!$E$10:$E$31=I$2)),1)*10,梦灵养成!AT$339:AT$387,1),0)</f>
        <v>49</v>
      </c>
      <c r="J108" s="45" cm="1">
        <f ca="1" t="array" ref="J108">IFERROR(MATCH(((产出预期!$M125-OFFSET(梦灵养成!$Q$9,MATCH(产出预期!$M125,梦灵养成!$Q$10:$Q$15,1),0))*OFFSET(梦灵养成!M$9,1+MATCH(产出预期!$M125,梦灵养成!$Q$10:$Q$15,1),0)+梦灵养成!E444+SUMPRODUCT(--(梦灵养成!$Q$10:$Q$15&lt;=产出预期!$M125),梦灵养成!M$10:M$15,梦灵养成!$P$10:$P$15))/MAX(SUMPRODUCT(--(梦灵养成!$C$10:$C$31&lt;=产出预期!$M125),--(梦灵养成!$E$10:$E$31=J$2)),1)*10,梦灵养成!AU$339:AU$387,1),0)</f>
        <v>49</v>
      </c>
      <c r="K108" s="45" cm="1">
        <f ca="1" t="array" ref="K108">IFERROR(MATCH(((产出预期!$M125-OFFSET(梦灵养成!$Q$9,MATCH(产出预期!$M125,梦灵养成!$Q$10:$Q$15,1),0))*OFFSET(梦灵养成!N$9,1+MATCH(产出预期!$M125,梦灵养成!$Q$10:$Q$15,1),0)+梦灵养成!F444+SUMPRODUCT(--(梦灵养成!$Q$10:$Q$15&lt;=产出预期!$M125),梦灵养成!N$10:N$15,梦灵养成!$P$10:$P$15))/MAX(SUMPRODUCT(--(梦灵养成!$C$10:$C$31&lt;=产出预期!$M125),--(梦灵养成!$E$10:$E$31=K$2)),1)*10,梦灵养成!AV$339:AV$387,1),0)</f>
        <v>49</v>
      </c>
      <c r="L108" s="45" cm="1">
        <f ca="1" t="array" ref="L108">IFERROR(MATCH(((产出预期!$M125-OFFSET(梦灵养成!$Q$9,MATCH(产出预期!$M125,梦灵养成!$Q$10:$Q$15,1),0))*OFFSET(梦灵养成!O$9,1+MATCH(产出预期!$M125,梦灵养成!$Q$10:$Q$15,1),0)+梦灵养成!G444+SUMPRODUCT(--(梦灵养成!$Q$10:$Q$15&lt;=产出预期!$M125),梦灵养成!O$10:O$15,梦灵养成!$P$10:$P$15))/MAX(SUMPRODUCT(--(梦灵养成!$C$10:$C$31&lt;=产出预期!$M125),--(梦灵养成!$E$10:$E$31=L$2)),1)*10,梦灵养成!AW$339:AW$388,1),0)</f>
        <v>50</v>
      </c>
      <c r="M108" s="45">
        <f ca="1">OFFSET(符文养成!$C$14,MATCH(C108,符文养成!$B$15:$B$44,1),0)</f>
        <v>30</v>
      </c>
      <c r="N108" s="45">
        <f ca="1">MATCH((产出预期!Z125*价值表!$F$53+产出预期!AA125*价值表!$F$54+产出预期!AD125*价值表!$F$57)/16/M108,符文养成!$G$15:$G$21,1)</f>
        <v>5</v>
      </c>
      <c r="O108" s="45">
        <f>MATCH(产出预期!O125,秘宝养成!$C$3:$C$14,1)</f>
        <v>11</v>
      </c>
    </row>
    <row r="109" ht="16.5" spans="2:15">
      <c r="B109" s="2">
        <v>107</v>
      </c>
      <c r="C109" s="2">
        <f ca="1">MATCH((OFFSET(产出预期!$C$3,0,产出预期!$B$1)*10+OFFSET(产出预期!$C$4,0,产出预期!$B$1)*10+OFFSET(产出预期!$C$7,0,产出预期!$B$1)*20)*B109/10*60,玩家等级!$E$3:$E$302,1)</f>
        <v>73</v>
      </c>
      <c r="D109" s="2">
        <f>MATCH(产出预期!P126/6,装备养成!$G$4:$G$303,1)</f>
        <v>105</v>
      </c>
      <c r="E109" s="2">
        <f>COUNTIF(产出预期!$R126:$Y126,"&gt;"&amp;0)</f>
        <v>7</v>
      </c>
      <c r="F109" s="2">
        <f ca="1">MATCH(OFFSET(产出预期!$R$19,B109,E109-1),装备养成!$S$4:$S$9,1)</f>
        <v>6</v>
      </c>
      <c r="G109" s="2" t="str">
        <f ca="1">OFFSET(梦灵养成!$D$9,MATCH(梦灵养成!C140,梦灵养成!$C$10:$C$28,1),0)</f>
        <v>我爱沙</v>
      </c>
      <c r="H109" s="2" t="str">
        <f ca="1">OFFSET(梦灵养成!$I$9,MATCH(梦灵养成!C140,梦灵养成!$C$10:$C$28,1),0)</f>
        <v>后羿</v>
      </c>
      <c r="I109" s="45" cm="1">
        <f ca="1" t="array" ref="I109">IFERROR(MATCH(((产出预期!$M126-OFFSET(梦灵养成!$Q$9,MATCH(产出预期!$M126,梦灵养成!$Q$10:$Q$15,1),0))*OFFSET(梦灵养成!L$9,1+MATCH(产出预期!$M126,梦灵养成!$Q$10:$Q$15,1),0)+梦灵养成!D445+SUMPRODUCT(--(梦灵养成!$Q$10:$Q$15&lt;=产出预期!$M126),梦灵养成!L$10:L$15,梦灵养成!$P$10:$P$15))/MAX(SUMPRODUCT(--(梦灵养成!$C$10:$C$31&lt;=产出预期!$M126),--(梦灵养成!$E$10:$E$31=I$2)),1)*10,梦灵养成!AT$339:AT$387,1),0)</f>
        <v>49</v>
      </c>
      <c r="J109" s="45" cm="1">
        <f ca="1" t="array" ref="J109">IFERROR(MATCH(((产出预期!$M126-OFFSET(梦灵养成!$Q$9,MATCH(产出预期!$M126,梦灵养成!$Q$10:$Q$15,1),0))*OFFSET(梦灵养成!M$9,1+MATCH(产出预期!$M126,梦灵养成!$Q$10:$Q$15,1),0)+梦灵养成!E445+SUMPRODUCT(--(梦灵养成!$Q$10:$Q$15&lt;=产出预期!$M126),梦灵养成!M$10:M$15,梦灵养成!$P$10:$P$15))/MAX(SUMPRODUCT(--(梦灵养成!$C$10:$C$31&lt;=产出预期!$M126),--(梦灵养成!$E$10:$E$31=J$2)),1)*10,梦灵养成!AU$339:AU$387,1),0)</f>
        <v>49</v>
      </c>
      <c r="K109" s="45" cm="1">
        <f ca="1" t="array" ref="K109">IFERROR(MATCH(((产出预期!$M126-OFFSET(梦灵养成!$Q$9,MATCH(产出预期!$M126,梦灵养成!$Q$10:$Q$15,1),0))*OFFSET(梦灵养成!N$9,1+MATCH(产出预期!$M126,梦灵养成!$Q$10:$Q$15,1),0)+梦灵养成!F445+SUMPRODUCT(--(梦灵养成!$Q$10:$Q$15&lt;=产出预期!$M126),梦灵养成!N$10:N$15,梦灵养成!$P$10:$P$15))/MAX(SUMPRODUCT(--(梦灵养成!$C$10:$C$31&lt;=产出预期!$M126),--(梦灵养成!$E$10:$E$31=K$2)),1)*10,梦灵养成!AV$339:AV$387,1),0)</f>
        <v>49</v>
      </c>
      <c r="L109" s="45" cm="1">
        <f ca="1" t="array" ref="L109">IFERROR(MATCH(((产出预期!$M126-OFFSET(梦灵养成!$Q$9,MATCH(产出预期!$M126,梦灵养成!$Q$10:$Q$15,1),0))*OFFSET(梦灵养成!O$9,1+MATCH(产出预期!$M126,梦灵养成!$Q$10:$Q$15,1),0)+梦灵养成!G445+SUMPRODUCT(--(梦灵养成!$Q$10:$Q$15&lt;=产出预期!$M126),梦灵养成!O$10:O$15,梦灵养成!$P$10:$P$15))/MAX(SUMPRODUCT(--(梦灵养成!$C$10:$C$31&lt;=产出预期!$M126),--(梦灵养成!$E$10:$E$31=L$2)),1)*10,梦灵养成!AW$339:AW$388,1),0)</f>
        <v>50</v>
      </c>
      <c r="M109" s="45">
        <f ca="1">OFFSET(符文养成!$C$14,MATCH(C109,符文养成!$B$15:$B$44,1),0)</f>
        <v>30</v>
      </c>
      <c r="N109" s="45">
        <f ca="1">MATCH((产出预期!Z126*价值表!$F$53+产出预期!AA126*价值表!$F$54+产出预期!AD126*价值表!$F$57)/16/M109,符文养成!$G$15:$G$21,1)</f>
        <v>5</v>
      </c>
      <c r="O109" s="45">
        <f>MATCH(产出预期!O126,秘宝养成!$C$3:$C$14,1)</f>
        <v>11</v>
      </c>
    </row>
    <row r="110" ht="16.5" spans="2:15">
      <c r="B110" s="2">
        <v>108</v>
      </c>
      <c r="C110" s="2">
        <f ca="1">MATCH((OFFSET(产出预期!$C$3,0,产出预期!$B$1)*10+OFFSET(产出预期!$C$4,0,产出预期!$B$1)*10+OFFSET(产出预期!$C$7,0,产出预期!$B$1)*20)*B110/10*60,玩家等级!$E$3:$E$302,1)</f>
        <v>74</v>
      </c>
      <c r="D110" s="2">
        <f>MATCH(产出预期!P127/6,装备养成!$G$4:$G$303,1)</f>
        <v>105</v>
      </c>
      <c r="E110" s="2">
        <f>COUNTIF(产出预期!$R127:$Y127,"&gt;"&amp;0)</f>
        <v>7</v>
      </c>
      <c r="F110" s="2">
        <f ca="1">MATCH(OFFSET(产出预期!$R$19,B110,E110-1),装备养成!$S$4:$S$9,1)</f>
        <v>6</v>
      </c>
      <c r="G110" s="2" t="str">
        <f ca="1">OFFSET(梦灵养成!$D$9,MATCH(梦灵养成!C141,梦灵养成!$C$10:$C$28,1),0)</f>
        <v>我爱沙</v>
      </c>
      <c r="H110" s="2" t="str">
        <f ca="1">OFFSET(梦灵养成!$I$9,MATCH(梦灵养成!C141,梦灵养成!$C$10:$C$28,1),0)</f>
        <v>后羿</v>
      </c>
      <c r="I110" s="45" cm="1">
        <f ca="1" t="array" ref="I110">IFERROR(MATCH(((产出预期!$M127-OFFSET(梦灵养成!$Q$9,MATCH(产出预期!$M127,梦灵养成!$Q$10:$Q$15,1),0))*OFFSET(梦灵养成!L$9,1+MATCH(产出预期!$M127,梦灵养成!$Q$10:$Q$15,1),0)+梦灵养成!D446+SUMPRODUCT(--(梦灵养成!$Q$10:$Q$15&lt;=产出预期!$M127),梦灵养成!L$10:L$15,梦灵养成!$P$10:$P$15))/MAX(SUMPRODUCT(--(梦灵养成!$C$10:$C$31&lt;=产出预期!$M127),--(梦灵养成!$E$10:$E$31=I$2)),1)*10,梦灵养成!AT$339:AT$387,1),0)</f>
        <v>49</v>
      </c>
      <c r="J110" s="45" cm="1">
        <f ca="1" t="array" ref="J110">IFERROR(MATCH(((产出预期!$M127-OFFSET(梦灵养成!$Q$9,MATCH(产出预期!$M127,梦灵养成!$Q$10:$Q$15,1),0))*OFFSET(梦灵养成!M$9,1+MATCH(产出预期!$M127,梦灵养成!$Q$10:$Q$15,1),0)+梦灵养成!E446+SUMPRODUCT(--(梦灵养成!$Q$10:$Q$15&lt;=产出预期!$M127),梦灵养成!M$10:M$15,梦灵养成!$P$10:$P$15))/MAX(SUMPRODUCT(--(梦灵养成!$C$10:$C$31&lt;=产出预期!$M127),--(梦灵养成!$E$10:$E$31=J$2)),1)*10,梦灵养成!AU$339:AU$387,1),0)</f>
        <v>49</v>
      </c>
      <c r="K110" s="45" cm="1">
        <f ca="1" t="array" ref="K110">IFERROR(MATCH(((产出预期!$M127-OFFSET(梦灵养成!$Q$9,MATCH(产出预期!$M127,梦灵养成!$Q$10:$Q$15,1),0))*OFFSET(梦灵养成!N$9,1+MATCH(产出预期!$M127,梦灵养成!$Q$10:$Q$15,1),0)+梦灵养成!F446+SUMPRODUCT(--(梦灵养成!$Q$10:$Q$15&lt;=产出预期!$M127),梦灵养成!N$10:N$15,梦灵养成!$P$10:$P$15))/MAX(SUMPRODUCT(--(梦灵养成!$C$10:$C$31&lt;=产出预期!$M127),--(梦灵养成!$E$10:$E$31=K$2)),1)*10,梦灵养成!AV$339:AV$387,1),0)</f>
        <v>49</v>
      </c>
      <c r="L110" s="45" cm="1">
        <f ca="1" t="array" ref="L110">IFERROR(MATCH(((产出预期!$M127-OFFSET(梦灵养成!$Q$9,MATCH(产出预期!$M127,梦灵养成!$Q$10:$Q$15,1),0))*OFFSET(梦灵养成!O$9,1+MATCH(产出预期!$M127,梦灵养成!$Q$10:$Q$15,1),0)+梦灵养成!G446+SUMPRODUCT(--(梦灵养成!$Q$10:$Q$15&lt;=产出预期!$M127),梦灵养成!O$10:O$15,梦灵养成!$P$10:$P$15))/MAX(SUMPRODUCT(--(梦灵养成!$C$10:$C$31&lt;=产出预期!$M127),--(梦灵养成!$E$10:$E$31=L$2)),1)*10,梦灵养成!AW$339:AW$388,1),0)</f>
        <v>50</v>
      </c>
      <c r="M110" s="45">
        <f ca="1">OFFSET(符文养成!$C$14,MATCH(C110,符文养成!$B$15:$B$44,1),0)</f>
        <v>30</v>
      </c>
      <c r="N110" s="45">
        <f ca="1">MATCH((产出预期!Z127*价值表!$F$53+产出预期!AA127*价值表!$F$54+产出预期!AD127*价值表!$F$57)/16/M110,符文养成!$G$15:$G$21,1)</f>
        <v>5</v>
      </c>
      <c r="O110" s="45">
        <f>MATCH(产出预期!O127,秘宝养成!$C$3:$C$14,1)</f>
        <v>11</v>
      </c>
    </row>
    <row r="111" ht="16.5" spans="2:15">
      <c r="B111" s="2">
        <v>109</v>
      </c>
      <c r="C111" s="2">
        <f ca="1">MATCH((OFFSET(产出预期!$C$3,0,产出预期!$B$1)*10+OFFSET(产出预期!$C$4,0,产出预期!$B$1)*10+OFFSET(产出预期!$C$7,0,产出预期!$B$1)*20)*B111/10*60,玩家等级!$E$3:$E$302,1)</f>
        <v>74</v>
      </c>
      <c r="D111" s="2">
        <f>MATCH(产出预期!P128/6,装备养成!$G$4:$G$303,1)</f>
        <v>105</v>
      </c>
      <c r="E111" s="2">
        <f>COUNTIF(产出预期!$R128:$Y128,"&gt;"&amp;0)</f>
        <v>7</v>
      </c>
      <c r="F111" s="2">
        <f ca="1">MATCH(OFFSET(产出预期!$R$19,B111,E111-1),装备养成!$S$4:$S$9,1)</f>
        <v>6</v>
      </c>
      <c r="G111" s="2" t="str">
        <f ca="1">OFFSET(梦灵养成!$D$9,MATCH(梦灵养成!C142,梦灵养成!$C$10:$C$28,1),0)</f>
        <v>我爱沙</v>
      </c>
      <c r="H111" s="2" t="str">
        <f ca="1">OFFSET(梦灵养成!$I$9,MATCH(梦灵养成!C142,梦灵养成!$C$10:$C$28,1),0)</f>
        <v>后羿</v>
      </c>
      <c r="I111" s="45" cm="1">
        <f ca="1" t="array" ref="I111">IFERROR(MATCH(((产出预期!$M128-OFFSET(梦灵养成!$Q$9,MATCH(产出预期!$M128,梦灵养成!$Q$10:$Q$15,1),0))*OFFSET(梦灵养成!L$9,1+MATCH(产出预期!$M128,梦灵养成!$Q$10:$Q$15,1),0)+梦灵养成!D447+SUMPRODUCT(--(梦灵养成!$Q$10:$Q$15&lt;=产出预期!$M128),梦灵养成!L$10:L$15,梦灵养成!$P$10:$P$15))/MAX(SUMPRODUCT(--(梦灵养成!$C$10:$C$31&lt;=产出预期!$M128),--(梦灵养成!$E$10:$E$31=I$2)),1)*10,梦灵养成!AT$339:AT$387,1),0)</f>
        <v>49</v>
      </c>
      <c r="J111" s="45" cm="1">
        <f ca="1" t="array" ref="J111">IFERROR(MATCH(((产出预期!$M128-OFFSET(梦灵养成!$Q$9,MATCH(产出预期!$M128,梦灵养成!$Q$10:$Q$15,1),0))*OFFSET(梦灵养成!M$9,1+MATCH(产出预期!$M128,梦灵养成!$Q$10:$Q$15,1),0)+梦灵养成!E447+SUMPRODUCT(--(梦灵养成!$Q$10:$Q$15&lt;=产出预期!$M128),梦灵养成!M$10:M$15,梦灵养成!$P$10:$P$15))/MAX(SUMPRODUCT(--(梦灵养成!$C$10:$C$31&lt;=产出预期!$M128),--(梦灵养成!$E$10:$E$31=J$2)),1)*10,梦灵养成!AU$339:AU$387,1),0)</f>
        <v>49</v>
      </c>
      <c r="K111" s="45" cm="1">
        <f ca="1" t="array" ref="K111">IFERROR(MATCH(((产出预期!$M128-OFFSET(梦灵养成!$Q$9,MATCH(产出预期!$M128,梦灵养成!$Q$10:$Q$15,1),0))*OFFSET(梦灵养成!N$9,1+MATCH(产出预期!$M128,梦灵养成!$Q$10:$Q$15,1),0)+梦灵养成!F447+SUMPRODUCT(--(梦灵养成!$Q$10:$Q$15&lt;=产出预期!$M128),梦灵养成!N$10:N$15,梦灵养成!$P$10:$P$15))/MAX(SUMPRODUCT(--(梦灵养成!$C$10:$C$31&lt;=产出预期!$M128),--(梦灵养成!$E$10:$E$31=K$2)),1)*10,梦灵养成!AV$339:AV$387,1),0)</f>
        <v>49</v>
      </c>
      <c r="L111" s="45" cm="1">
        <f ca="1" t="array" ref="L111">IFERROR(MATCH(((产出预期!$M128-OFFSET(梦灵养成!$Q$9,MATCH(产出预期!$M128,梦灵养成!$Q$10:$Q$15,1),0))*OFFSET(梦灵养成!O$9,1+MATCH(产出预期!$M128,梦灵养成!$Q$10:$Q$15,1),0)+梦灵养成!G447+SUMPRODUCT(--(梦灵养成!$Q$10:$Q$15&lt;=产出预期!$M128),梦灵养成!O$10:O$15,梦灵养成!$P$10:$P$15))/MAX(SUMPRODUCT(--(梦灵养成!$C$10:$C$31&lt;=产出预期!$M128),--(梦灵养成!$E$10:$E$31=L$2)),1)*10,梦灵养成!AW$339:AW$388,1),0)</f>
        <v>50</v>
      </c>
      <c r="M111" s="45">
        <f ca="1">OFFSET(符文养成!$C$14,MATCH(C111,符文养成!$B$15:$B$44,1),0)</f>
        <v>30</v>
      </c>
      <c r="N111" s="45">
        <f ca="1">MATCH((产出预期!Z128*价值表!$F$53+产出预期!AA128*价值表!$F$54+产出预期!AD128*价值表!$F$57)/16/M111,符文养成!$G$15:$G$21,1)</f>
        <v>5</v>
      </c>
      <c r="O111" s="45">
        <f>MATCH(产出预期!O128,秘宝养成!$C$3:$C$14,1)</f>
        <v>11</v>
      </c>
    </row>
    <row r="112" ht="16.5" spans="2:15">
      <c r="B112" s="2">
        <v>110</v>
      </c>
      <c r="C112" s="2">
        <f ca="1">MATCH((OFFSET(产出预期!$C$3,0,产出预期!$B$1)*10+OFFSET(产出预期!$C$4,0,产出预期!$B$1)*10+OFFSET(产出预期!$C$7,0,产出预期!$B$1)*20)*B112/10*60,玩家等级!$E$3:$E$302,1)</f>
        <v>74</v>
      </c>
      <c r="D112" s="2">
        <f>MATCH(产出预期!P129/6,装备养成!$G$4:$G$303,1)</f>
        <v>106</v>
      </c>
      <c r="E112" s="2">
        <f>COUNTIF(产出预期!$R129:$Y129,"&gt;"&amp;0)</f>
        <v>7</v>
      </c>
      <c r="F112" s="2">
        <f ca="1">MATCH(OFFSET(产出预期!$R$19,B112,E112-1),装备养成!$S$4:$S$9,1)</f>
        <v>6</v>
      </c>
      <c r="G112" s="2" t="str">
        <f ca="1">OFFSET(梦灵养成!$D$9,MATCH(梦灵养成!C143,梦灵养成!$C$10:$C$28,1),0)</f>
        <v>我爱沙</v>
      </c>
      <c r="H112" s="2" t="str">
        <f ca="1">OFFSET(梦灵养成!$I$9,MATCH(梦灵养成!C143,梦灵养成!$C$10:$C$28,1),0)</f>
        <v>后羿</v>
      </c>
      <c r="I112" s="45" cm="1">
        <f ca="1" t="array" ref="I112">IFERROR(MATCH(((产出预期!$M129-OFFSET(梦灵养成!$Q$9,MATCH(产出预期!$M129,梦灵养成!$Q$10:$Q$15,1),0))*OFFSET(梦灵养成!L$9,1+MATCH(产出预期!$M129,梦灵养成!$Q$10:$Q$15,1),0)+梦灵养成!D448+SUMPRODUCT(--(梦灵养成!$Q$10:$Q$15&lt;=产出预期!$M129),梦灵养成!L$10:L$15,梦灵养成!$P$10:$P$15))/MAX(SUMPRODUCT(--(梦灵养成!$C$10:$C$31&lt;=产出预期!$M129),--(梦灵养成!$E$10:$E$31=I$2)),1)*10,梦灵养成!AT$339:AT$387,1),0)</f>
        <v>49</v>
      </c>
      <c r="J112" s="45" cm="1">
        <f ca="1" t="array" ref="J112">IFERROR(MATCH(((产出预期!$M129-OFFSET(梦灵养成!$Q$9,MATCH(产出预期!$M129,梦灵养成!$Q$10:$Q$15,1),0))*OFFSET(梦灵养成!M$9,1+MATCH(产出预期!$M129,梦灵养成!$Q$10:$Q$15,1),0)+梦灵养成!E448+SUMPRODUCT(--(梦灵养成!$Q$10:$Q$15&lt;=产出预期!$M129),梦灵养成!M$10:M$15,梦灵养成!$P$10:$P$15))/MAX(SUMPRODUCT(--(梦灵养成!$C$10:$C$31&lt;=产出预期!$M129),--(梦灵养成!$E$10:$E$31=J$2)),1)*10,梦灵养成!AU$339:AU$387,1),0)</f>
        <v>49</v>
      </c>
      <c r="K112" s="45" cm="1">
        <f ca="1" t="array" ref="K112">IFERROR(MATCH(((产出预期!$M129-OFFSET(梦灵养成!$Q$9,MATCH(产出预期!$M129,梦灵养成!$Q$10:$Q$15,1),0))*OFFSET(梦灵养成!N$9,1+MATCH(产出预期!$M129,梦灵养成!$Q$10:$Q$15,1),0)+梦灵养成!F448+SUMPRODUCT(--(梦灵养成!$Q$10:$Q$15&lt;=产出预期!$M129),梦灵养成!N$10:N$15,梦灵养成!$P$10:$P$15))/MAX(SUMPRODUCT(--(梦灵养成!$C$10:$C$31&lt;=产出预期!$M129),--(梦灵养成!$E$10:$E$31=K$2)),1)*10,梦灵养成!AV$339:AV$387,1),0)</f>
        <v>49</v>
      </c>
      <c r="L112" s="45" cm="1">
        <f ca="1" t="array" ref="L112">IFERROR(MATCH(((产出预期!$M129-OFFSET(梦灵养成!$Q$9,MATCH(产出预期!$M129,梦灵养成!$Q$10:$Q$15,1),0))*OFFSET(梦灵养成!O$9,1+MATCH(产出预期!$M129,梦灵养成!$Q$10:$Q$15,1),0)+梦灵养成!G448+SUMPRODUCT(--(梦灵养成!$Q$10:$Q$15&lt;=产出预期!$M129),梦灵养成!O$10:O$15,梦灵养成!$P$10:$P$15))/MAX(SUMPRODUCT(--(梦灵养成!$C$10:$C$31&lt;=产出预期!$M129),--(梦灵养成!$E$10:$E$31=L$2)),1)*10,梦灵养成!AW$339:AW$388,1),0)</f>
        <v>50</v>
      </c>
      <c r="M112" s="45">
        <f ca="1">OFFSET(符文养成!$C$14,MATCH(C112,符文养成!$B$15:$B$44,1),0)</f>
        <v>30</v>
      </c>
      <c r="N112" s="45">
        <f ca="1">MATCH((产出预期!Z129*价值表!$F$53+产出预期!AA129*价值表!$F$54+产出预期!AD129*价值表!$F$57)/16/M112,符文养成!$G$15:$G$21,1)</f>
        <v>5</v>
      </c>
      <c r="O112" s="45">
        <f>MATCH(产出预期!O129,秘宝养成!$C$3:$C$14,1)</f>
        <v>11</v>
      </c>
    </row>
    <row r="113" ht="16.5" spans="2:15">
      <c r="B113" s="2">
        <v>111</v>
      </c>
      <c r="C113" s="2">
        <f ca="1">MATCH((OFFSET(产出预期!$C$3,0,产出预期!$B$1)*10+OFFSET(产出预期!$C$4,0,产出预期!$B$1)*10+OFFSET(产出预期!$C$7,0,产出预期!$B$1)*20)*B113/10*60,玩家等级!$E$3:$E$302,1)</f>
        <v>75</v>
      </c>
      <c r="D113" s="2">
        <f>MATCH(产出预期!P130/6,装备养成!$G$4:$G$303,1)</f>
        <v>106</v>
      </c>
      <c r="E113" s="2">
        <f>COUNTIF(产出预期!$R130:$Y130,"&gt;"&amp;0)</f>
        <v>7</v>
      </c>
      <c r="F113" s="2">
        <f ca="1">MATCH(OFFSET(产出预期!$R$19,B113,E113-1),装备养成!$S$4:$S$9,1)</f>
        <v>6</v>
      </c>
      <c r="G113" s="2" t="str">
        <f ca="1">OFFSET(梦灵养成!$D$9,MATCH(梦灵养成!C144,梦灵养成!$C$10:$C$28,1),0)</f>
        <v>我爱沙</v>
      </c>
      <c r="H113" s="2" t="str">
        <f ca="1">OFFSET(梦灵养成!$I$9,MATCH(梦灵养成!C144,梦灵养成!$C$10:$C$28,1),0)</f>
        <v>后羿</v>
      </c>
      <c r="I113" s="45" cm="1">
        <f ca="1" t="array" ref="I113">IFERROR(MATCH(((产出预期!$M130-OFFSET(梦灵养成!$Q$9,MATCH(产出预期!$M130,梦灵养成!$Q$10:$Q$15,1),0))*OFFSET(梦灵养成!L$9,1+MATCH(产出预期!$M130,梦灵养成!$Q$10:$Q$15,1),0)+梦灵养成!D449+SUMPRODUCT(--(梦灵养成!$Q$10:$Q$15&lt;=产出预期!$M130),梦灵养成!L$10:L$15,梦灵养成!$P$10:$P$15))/MAX(SUMPRODUCT(--(梦灵养成!$C$10:$C$31&lt;=产出预期!$M130),--(梦灵养成!$E$10:$E$31=I$2)),1)*10,梦灵养成!AT$339:AT$387,1),0)</f>
        <v>49</v>
      </c>
      <c r="J113" s="45" cm="1">
        <f ca="1" t="array" ref="J113">IFERROR(MATCH(((产出预期!$M130-OFFSET(梦灵养成!$Q$9,MATCH(产出预期!$M130,梦灵养成!$Q$10:$Q$15,1),0))*OFFSET(梦灵养成!M$9,1+MATCH(产出预期!$M130,梦灵养成!$Q$10:$Q$15,1),0)+梦灵养成!E449+SUMPRODUCT(--(梦灵养成!$Q$10:$Q$15&lt;=产出预期!$M130),梦灵养成!M$10:M$15,梦灵养成!$P$10:$P$15))/MAX(SUMPRODUCT(--(梦灵养成!$C$10:$C$31&lt;=产出预期!$M130),--(梦灵养成!$E$10:$E$31=J$2)),1)*10,梦灵养成!AU$339:AU$387,1),0)</f>
        <v>49</v>
      </c>
      <c r="K113" s="45" cm="1">
        <f ca="1" t="array" ref="K113">IFERROR(MATCH(((产出预期!$M130-OFFSET(梦灵养成!$Q$9,MATCH(产出预期!$M130,梦灵养成!$Q$10:$Q$15,1),0))*OFFSET(梦灵养成!N$9,1+MATCH(产出预期!$M130,梦灵养成!$Q$10:$Q$15,1),0)+梦灵养成!F449+SUMPRODUCT(--(梦灵养成!$Q$10:$Q$15&lt;=产出预期!$M130),梦灵养成!N$10:N$15,梦灵养成!$P$10:$P$15))/MAX(SUMPRODUCT(--(梦灵养成!$C$10:$C$31&lt;=产出预期!$M130),--(梦灵养成!$E$10:$E$31=K$2)),1)*10,梦灵养成!AV$339:AV$387,1),0)</f>
        <v>49</v>
      </c>
      <c r="L113" s="45" cm="1">
        <f ca="1" t="array" ref="L113">IFERROR(MATCH(((产出预期!$M130-OFFSET(梦灵养成!$Q$9,MATCH(产出预期!$M130,梦灵养成!$Q$10:$Q$15,1),0))*OFFSET(梦灵养成!O$9,1+MATCH(产出预期!$M130,梦灵养成!$Q$10:$Q$15,1),0)+梦灵养成!G449+SUMPRODUCT(--(梦灵养成!$Q$10:$Q$15&lt;=产出预期!$M130),梦灵养成!O$10:O$15,梦灵养成!$P$10:$P$15))/MAX(SUMPRODUCT(--(梦灵养成!$C$10:$C$31&lt;=产出预期!$M130),--(梦灵养成!$E$10:$E$31=L$2)),1)*10,梦灵养成!AW$339:AW$388,1),0)</f>
        <v>50</v>
      </c>
      <c r="M113" s="45">
        <f ca="1">OFFSET(符文养成!$C$14,MATCH(C113,符文养成!$B$15:$B$44,1),0)</f>
        <v>30</v>
      </c>
      <c r="N113" s="45">
        <f ca="1">MATCH((产出预期!Z130*价值表!$F$53+产出预期!AA130*价值表!$F$54+产出预期!AD130*价值表!$F$57)/16/M113,符文养成!$G$15:$G$21,1)</f>
        <v>5</v>
      </c>
      <c r="O113" s="45">
        <f>MATCH(产出预期!O130,秘宝养成!$C$3:$C$14,1)</f>
        <v>11</v>
      </c>
    </row>
    <row r="114" ht="16.5" spans="2:15">
      <c r="B114" s="2">
        <v>112</v>
      </c>
      <c r="C114" s="2">
        <f ca="1">MATCH((OFFSET(产出预期!$C$3,0,产出预期!$B$1)*10+OFFSET(产出预期!$C$4,0,产出预期!$B$1)*10+OFFSET(产出预期!$C$7,0,产出预期!$B$1)*20)*B114/10*60,玩家等级!$E$3:$E$302,1)</f>
        <v>75</v>
      </c>
      <c r="D114" s="2">
        <f>MATCH(产出预期!P131/6,装备养成!$G$4:$G$303,1)</f>
        <v>107</v>
      </c>
      <c r="E114" s="2">
        <f>COUNTIF(产出预期!$R131:$Y131,"&gt;"&amp;0)</f>
        <v>7</v>
      </c>
      <c r="F114" s="2">
        <f ca="1">MATCH(OFFSET(产出预期!$R$19,B114,E114-1),装备养成!$S$4:$S$9,1)</f>
        <v>6</v>
      </c>
      <c r="G114" s="2" t="str">
        <f ca="1">OFFSET(梦灵养成!$D$9,MATCH(梦灵养成!C145,梦灵养成!$C$10:$C$28,1),0)</f>
        <v>我爱沙</v>
      </c>
      <c r="H114" s="2" t="str">
        <f ca="1">OFFSET(梦灵养成!$I$9,MATCH(梦灵养成!C145,梦灵养成!$C$10:$C$28,1),0)</f>
        <v>后羿</v>
      </c>
      <c r="I114" s="45" cm="1">
        <f ca="1" t="array" ref="I114">IFERROR(MATCH(((产出预期!$M131-OFFSET(梦灵养成!$Q$9,MATCH(产出预期!$M131,梦灵养成!$Q$10:$Q$15,1),0))*OFFSET(梦灵养成!L$9,1+MATCH(产出预期!$M131,梦灵养成!$Q$10:$Q$15,1),0)+梦灵养成!D450+SUMPRODUCT(--(梦灵养成!$Q$10:$Q$15&lt;=产出预期!$M131),梦灵养成!L$10:L$15,梦灵养成!$P$10:$P$15))/MAX(SUMPRODUCT(--(梦灵养成!$C$10:$C$31&lt;=产出预期!$M131),--(梦灵养成!$E$10:$E$31=I$2)),1)*10,梦灵养成!AT$339:AT$387,1),0)</f>
        <v>49</v>
      </c>
      <c r="J114" s="45" cm="1">
        <f ca="1" t="array" ref="J114">IFERROR(MATCH(((产出预期!$M131-OFFSET(梦灵养成!$Q$9,MATCH(产出预期!$M131,梦灵养成!$Q$10:$Q$15,1),0))*OFFSET(梦灵养成!M$9,1+MATCH(产出预期!$M131,梦灵养成!$Q$10:$Q$15,1),0)+梦灵养成!E450+SUMPRODUCT(--(梦灵养成!$Q$10:$Q$15&lt;=产出预期!$M131),梦灵养成!M$10:M$15,梦灵养成!$P$10:$P$15))/MAX(SUMPRODUCT(--(梦灵养成!$C$10:$C$31&lt;=产出预期!$M131),--(梦灵养成!$E$10:$E$31=J$2)),1)*10,梦灵养成!AU$339:AU$387,1),0)</f>
        <v>49</v>
      </c>
      <c r="K114" s="45" cm="1">
        <f ca="1" t="array" ref="K114">IFERROR(MATCH(((产出预期!$M131-OFFSET(梦灵养成!$Q$9,MATCH(产出预期!$M131,梦灵养成!$Q$10:$Q$15,1),0))*OFFSET(梦灵养成!N$9,1+MATCH(产出预期!$M131,梦灵养成!$Q$10:$Q$15,1),0)+梦灵养成!F450+SUMPRODUCT(--(梦灵养成!$Q$10:$Q$15&lt;=产出预期!$M131),梦灵养成!N$10:N$15,梦灵养成!$P$10:$P$15))/MAX(SUMPRODUCT(--(梦灵养成!$C$10:$C$31&lt;=产出预期!$M131),--(梦灵养成!$E$10:$E$31=K$2)),1)*10,梦灵养成!AV$339:AV$387,1),0)</f>
        <v>49</v>
      </c>
      <c r="L114" s="45" cm="1">
        <f ca="1" t="array" ref="L114">IFERROR(MATCH(((产出预期!$M131-OFFSET(梦灵养成!$Q$9,MATCH(产出预期!$M131,梦灵养成!$Q$10:$Q$15,1),0))*OFFSET(梦灵养成!O$9,1+MATCH(产出预期!$M131,梦灵养成!$Q$10:$Q$15,1),0)+梦灵养成!G450+SUMPRODUCT(--(梦灵养成!$Q$10:$Q$15&lt;=产出预期!$M131),梦灵养成!O$10:O$15,梦灵养成!$P$10:$P$15))/MAX(SUMPRODUCT(--(梦灵养成!$C$10:$C$31&lt;=产出预期!$M131),--(梦灵养成!$E$10:$E$31=L$2)),1)*10,梦灵养成!AW$339:AW$388,1),0)</f>
        <v>50</v>
      </c>
      <c r="M114" s="45">
        <f ca="1">OFFSET(符文养成!$C$14,MATCH(C114,符文养成!$B$15:$B$44,1),0)</f>
        <v>30</v>
      </c>
      <c r="N114" s="45">
        <f ca="1">MATCH((产出预期!Z131*价值表!$F$53+产出预期!AA131*价值表!$F$54+产出预期!AD131*价值表!$F$57)/16/M114,符文养成!$G$15:$G$21,1)</f>
        <v>5</v>
      </c>
      <c r="O114" s="45">
        <f>MATCH(产出预期!O131,秘宝养成!$C$3:$C$14,1)</f>
        <v>11</v>
      </c>
    </row>
    <row r="115" ht="16.5" spans="2:15">
      <c r="B115" s="2">
        <v>113</v>
      </c>
      <c r="C115" s="2">
        <f ca="1">MATCH((OFFSET(产出预期!$C$3,0,产出预期!$B$1)*10+OFFSET(产出预期!$C$4,0,产出预期!$B$1)*10+OFFSET(产出预期!$C$7,0,产出预期!$B$1)*20)*B115/10*60,玩家等级!$E$3:$E$302,1)</f>
        <v>75</v>
      </c>
      <c r="D115" s="2">
        <f>MATCH(产出预期!P132/6,装备养成!$G$4:$G$303,1)</f>
        <v>107</v>
      </c>
      <c r="E115" s="2">
        <f>COUNTIF(产出预期!$R132:$Y132,"&gt;"&amp;0)</f>
        <v>7</v>
      </c>
      <c r="F115" s="2">
        <f ca="1">MATCH(OFFSET(产出预期!$R$19,B115,E115-1),装备养成!$S$4:$S$9,1)</f>
        <v>6</v>
      </c>
      <c r="G115" s="2" t="str">
        <f ca="1">OFFSET(梦灵养成!$D$9,MATCH(梦灵养成!C146,梦灵养成!$C$10:$C$28,1),0)</f>
        <v>我爱沙</v>
      </c>
      <c r="H115" s="2" t="str">
        <f ca="1">OFFSET(梦灵养成!$I$9,MATCH(梦灵养成!C146,梦灵养成!$C$10:$C$28,1),0)</f>
        <v>后羿</v>
      </c>
      <c r="I115" s="45" cm="1">
        <f ca="1" t="array" ref="I115">IFERROR(MATCH(((产出预期!$M132-OFFSET(梦灵养成!$Q$9,MATCH(产出预期!$M132,梦灵养成!$Q$10:$Q$15,1),0))*OFFSET(梦灵养成!L$9,1+MATCH(产出预期!$M132,梦灵养成!$Q$10:$Q$15,1),0)+梦灵养成!D451+SUMPRODUCT(--(梦灵养成!$Q$10:$Q$15&lt;=产出预期!$M132),梦灵养成!L$10:L$15,梦灵养成!$P$10:$P$15))/MAX(SUMPRODUCT(--(梦灵养成!$C$10:$C$31&lt;=产出预期!$M132),--(梦灵养成!$E$10:$E$31=I$2)),1)*10,梦灵养成!AT$339:AT$387,1),0)</f>
        <v>49</v>
      </c>
      <c r="J115" s="45" cm="1">
        <f ca="1" t="array" ref="J115">IFERROR(MATCH(((产出预期!$M132-OFFSET(梦灵养成!$Q$9,MATCH(产出预期!$M132,梦灵养成!$Q$10:$Q$15,1),0))*OFFSET(梦灵养成!M$9,1+MATCH(产出预期!$M132,梦灵养成!$Q$10:$Q$15,1),0)+梦灵养成!E451+SUMPRODUCT(--(梦灵养成!$Q$10:$Q$15&lt;=产出预期!$M132),梦灵养成!M$10:M$15,梦灵养成!$P$10:$P$15))/MAX(SUMPRODUCT(--(梦灵养成!$C$10:$C$31&lt;=产出预期!$M132),--(梦灵养成!$E$10:$E$31=J$2)),1)*10,梦灵养成!AU$339:AU$387,1),0)</f>
        <v>49</v>
      </c>
      <c r="K115" s="45" cm="1">
        <f ca="1" t="array" ref="K115">IFERROR(MATCH(((产出预期!$M132-OFFSET(梦灵养成!$Q$9,MATCH(产出预期!$M132,梦灵养成!$Q$10:$Q$15,1),0))*OFFSET(梦灵养成!N$9,1+MATCH(产出预期!$M132,梦灵养成!$Q$10:$Q$15,1),0)+梦灵养成!F451+SUMPRODUCT(--(梦灵养成!$Q$10:$Q$15&lt;=产出预期!$M132),梦灵养成!N$10:N$15,梦灵养成!$P$10:$P$15))/MAX(SUMPRODUCT(--(梦灵养成!$C$10:$C$31&lt;=产出预期!$M132),--(梦灵养成!$E$10:$E$31=K$2)),1)*10,梦灵养成!AV$339:AV$387,1),0)</f>
        <v>49</v>
      </c>
      <c r="L115" s="45" cm="1">
        <f ca="1" t="array" ref="L115">IFERROR(MATCH(((产出预期!$M132-OFFSET(梦灵养成!$Q$9,MATCH(产出预期!$M132,梦灵养成!$Q$10:$Q$15,1),0))*OFFSET(梦灵养成!O$9,1+MATCH(产出预期!$M132,梦灵养成!$Q$10:$Q$15,1),0)+梦灵养成!G451+SUMPRODUCT(--(梦灵养成!$Q$10:$Q$15&lt;=产出预期!$M132),梦灵养成!O$10:O$15,梦灵养成!$P$10:$P$15))/MAX(SUMPRODUCT(--(梦灵养成!$C$10:$C$31&lt;=产出预期!$M132),--(梦灵养成!$E$10:$E$31=L$2)),1)*10,梦灵养成!AW$339:AW$388,1),0)</f>
        <v>50</v>
      </c>
      <c r="M115" s="45">
        <f ca="1">OFFSET(符文养成!$C$14,MATCH(C115,符文养成!$B$15:$B$44,1),0)</f>
        <v>30</v>
      </c>
      <c r="N115" s="45">
        <f ca="1">MATCH((产出预期!Z132*价值表!$F$53+产出预期!AA132*价值表!$F$54+产出预期!AD132*价值表!$F$57)/16/M115,符文养成!$G$15:$G$21,1)</f>
        <v>5</v>
      </c>
      <c r="O115" s="45">
        <f>MATCH(产出预期!O132,秘宝养成!$C$3:$C$14,1)</f>
        <v>11</v>
      </c>
    </row>
    <row r="116" ht="16.5" spans="2:15">
      <c r="B116" s="2">
        <v>114</v>
      </c>
      <c r="C116" s="2">
        <f ca="1">MATCH((OFFSET(产出预期!$C$3,0,产出预期!$B$1)*10+OFFSET(产出预期!$C$4,0,产出预期!$B$1)*10+OFFSET(产出预期!$C$7,0,产出预期!$B$1)*20)*B116/10*60,玩家等级!$E$3:$E$302,1)</f>
        <v>76</v>
      </c>
      <c r="D116" s="2">
        <f>MATCH(产出预期!P133/6,装备养成!$G$4:$G$303,1)</f>
        <v>107</v>
      </c>
      <c r="E116" s="2">
        <f>COUNTIF(产出预期!$R133:$Y133,"&gt;"&amp;0)</f>
        <v>7</v>
      </c>
      <c r="F116" s="2">
        <f ca="1">MATCH(OFFSET(产出预期!$R$19,B116,E116-1),装备养成!$S$4:$S$9,1)</f>
        <v>6</v>
      </c>
      <c r="G116" s="2" t="str">
        <f ca="1">OFFSET(梦灵养成!$D$9,MATCH(梦灵养成!C147,梦灵养成!$C$10:$C$28,1),0)</f>
        <v>我爱沙</v>
      </c>
      <c r="H116" s="2" t="str">
        <f ca="1">OFFSET(梦灵养成!$I$9,MATCH(梦灵养成!C147,梦灵养成!$C$10:$C$28,1),0)</f>
        <v>后羿</v>
      </c>
      <c r="I116" s="45" cm="1">
        <f ca="1" t="array" ref="I116">IFERROR(MATCH(((产出预期!$M133-OFFSET(梦灵养成!$Q$9,MATCH(产出预期!$M133,梦灵养成!$Q$10:$Q$15,1),0))*OFFSET(梦灵养成!L$9,1+MATCH(产出预期!$M133,梦灵养成!$Q$10:$Q$15,1),0)+梦灵养成!D452+SUMPRODUCT(--(梦灵养成!$Q$10:$Q$15&lt;=产出预期!$M133),梦灵养成!L$10:L$15,梦灵养成!$P$10:$P$15))/MAX(SUMPRODUCT(--(梦灵养成!$C$10:$C$31&lt;=产出预期!$M133),--(梦灵养成!$E$10:$E$31=I$2)),1)*10,梦灵养成!AT$339:AT$387,1),0)</f>
        <v>49</v>
      </c>
      <c r="J116" s="45" cm="1">
        <f ca="1" t="array" ref="J116">IFERROR(MATCH(((产出预期!$M133-OFFSET(梦灵养成!$Q$9,MATCH(产出预期!$M133,梦灵养成!$Q$10:$Q$15,1),0))*OFFSET(梦灵养成!M$9,1+MATCH(产出预期!$M133,梦灵养成!$Q$10:$Q$15,1),0)+梦灵养成!E452+SUMPRODUCT(--(梦灵养成!$Q$10:$Q$15&lt;=产出预期!$M133),梦灵养成!M$10:M$15,梦灵养成!$P$10:$P$15))/MAX(SUMPRODUCT(--(梦灵养成!$C$10:$C$31&lt;=产出预期!$M133),--(梦灵养成!$E$10:$E$31=J$2)),1)*10,梦灵养成!AU$339:AU$387,1),0)</f>
        <v>49</v>
      </c>
      <c r="K116" s="45" cm="1">
        <f ca="1" t="array" ref="K116">IFERROR(MATCH(((产出预期!$M133-OFFSET(梦灵养成!$Q$9,MATCH(产出预期!$M133,梦灵养成!$Q$10:$Q$15,1),0))*OFFSET(梦灵养成!N$9,1+MATCH(产出预期!$M133,梦灵养成!$Q$10:$Q$15,1),0)+梦灵养成!F452+SUMPRODUCT(--(梦灵养成!$Q$10:$Q$15&lt;=产出预期!$M133),梦灵养成!N$10:N$15,梦灵养成!$P$10:$P$15))/MAX(SUMPRODUCT(--(梦灵养成!$C$10:$C$31&lt;=产出预期!$M133),--(梦灵养成!$E$10:$E$31=K$2)),1)*10,梦灵养成!AV$339:AV$387,1),0)</f>
        <v>49</v>
      </c>
      <c r="L116" s="45" cm="1">
        <f ca="1" t="array" ref="L116">IFERROR(MATCH(((产出预期!$M133-OFFSET(梦灵养成!$Q$9,MATCH(产出预期!$M133,梦灵养成!$Q$10:$Q$15,1),0))*OFFSET(梦灵养成!O$9,1+MATCH(产出预期!$M133,梦灵养成!$Q$10:$Q$15,1),0)+梦灵养成!G452+SUMPRODUCT(--(梦灵养成!$Q$10:$Q$15&lt;=产出预期!$M133),梦灵养成!O$10:O$15,梦灵养成!$P$10:$P$15))/MAX(SUMPRODUCT(--(梦灵养成!$C$10:$C$31&lt;=产出预期!$M133),--(梦灵养成!$E$10:$E$31=L$2)),1)*10,梦灵养成!AW$339:AW$388,1),0)</f>
        <v>50</v>
      </c>
      <c r="M116" s="45">
        <f ca="1">OFFSET(符文养成!$C$14,MATCH(C116,符文养成!$B$15:$B$44,1),0)</f>
        <v>30</v>
      </c>
      <c r="N116" s="45">
        <f ca="1">MATCH((产出预期!Z133*价值表!$F$53+产出预期!AA133*价值表!$F$54+产出预期!AD133*价值表!$F$57)/16/M116,符文养成!$G$15:$G$21,1)</f>
        <v>5</v>
      </c>
      <c r="O116" s="45">
        <f>MATCH(产出预期!O133,秘宝养成!$C$3:$C$14,1)</f>
        <v>11</v>
      </c>
    </row>
    <row r="117" ht="16.5" spans="2:15">
      <c r="B117" s="2">
        <v>115</v>
      </c>
      <c r="C117" s="2">
        <f ca="1">MATCH((OFFSET(产出预期!$C$3,0,产出预期!$B$1)*10+OFFSET(产出预期!$C$4,0,产出预期!$B$1)*10+OFFSET(产出预期!$C$7,0,产出预期!$B$1)*20)*B117/10*60,玩家等级!$E$3:$E$302,1)</f>
        <v>76</v>
      </c>
      <c r="D117" s="2">
        <f>MATCH(产出预期!P134/6,装备养成!$G$4:$G$303,1)</f>
        <v>108</v>
      </c>
      <c r="E117" s="2">
        <f>COUNTIF(产出预期!$R134:$Y134,"&gt;"&amp;0)</f>
        <v>7</v>
      </c>
      <c r="F117" s="2">
        <f ca="1">MATCH(OFFSET(产出预期!$R$19,B117,E117-1),装备养成!$S$4:$S$9,1)</f>
        <v>6</v>
      </c>
      <c r="G117" s="2" t="str">
        <f ca="1">OFFSET(梦灵养成!$D$9,MATCH(梦灵养成!C148,梦灵养成!$C$10:$C$28,1),0)</f>
        <v>我爱沙</v>
      </c>
      <c r="H117" s="2" t="str">
        <f ca="1">OFFSET(梦灵养成!$I$9,MATCH(梦灵养成!C148,梦灵养成!$C$10:$C$28,1),0)</f>
        <v>后羿</v>
      </c>
      <c r="I117" s="45" cm="1">
        <f ca="1" t="array" ref="I117">IFERROR(MATCH(((产出预期!$M134-OFFSET(梦灵养成!$Q$9,MATCH(产出预期!$M134,梦灵养成!$Q$10:$Q$15,1),0))*OFFSET(梦灵养成!L$9,1+MATCH(产出预期!$M134,梦灵养成!$Q$10:$Q$15,1),0)+梦灵养成!D453+SUMPRODUCT(--(梦灵养成!$Q$10:$Q$15&lt;=产出预期!$M134),梦灵养成!L$10:L$15,梦灵养成!$P$10:$P$15))/MAX(SUMPRODUCT(--(梦灵养成!$C$10:$C$31&lt;=产出预期!$M134),--(梦灵养成!$E$10:$E$31=I$2)),1)*10,梦灵养成!AT$339:AT$387,1),0)</f>
        <v>49</v>
      </c>
      <c r="J117" s="45" cm="1">
        <f ca="1" t="array" ref="J117">IFERROR(MATCH(((产出预期!$M134-OFFSET(梦灵养成!$Q$9,MATCH(产出预期!$M134,梦灵养成!$Q$10:$Q$15,1),0))*OFFSET(梦灵养成!M$9,1+MATCH(产出预期!$M134,梦灵养成!$Q$10:$Q$15,1),0)+梦灵养成!E453+SUMPRODUCT(--(梦灵养成!$Q$10:$Q$15&lt;=产出预期!$M134),梦灵养成!M$10:M$15,梦灵养成!$P$10:$P$15))/MAX(SUMPRODUCT(--(梦灵养成!$C$10:$C$31&lt;=产出预期!$M134),--(梦灵养成!$E$10:$E$31=J$2)),1)*10,梦灵养成!AU$339:AU$387,1),0)</f>
        <v>49</v>
      </c>
      <c r="K117" s="45" cm="1">
        <f ca="1" t="array" ref="K117">IFERROR(MATCH(((产出预期!$M134-OFFSET(梦灵养成!$Q$9,MATCH(产出预期!$M134,梦灵养成!$Q$10:$Q$15,1),0))*OFFSET(梦灵养成!N$9,1+MATCH(产出预期!$M134,梦灵养成!$Q$10:$Q$15,1),0)+梦灵养成!F453+SUMPRODUCT(--(梦灵养成!$Q$10:$Q$15&lt;=产出预期!$M134),梦灵养成!N$10:N$15,梦灵养成!$P$10:$P$15))/MAX(SUMPRODUCT(--(梦灵养成!$C$10:$C$31&lt;=产出预期!$M134),--(梦灵养成!$E$10:$E$31=K$2)),1)*10,梦灵养成!AV$339:AV$387,1),0)</f>
        <v>49</v>
      </c>
      <c r="L117" s="45" cm="1">
        <f ca="1" t="array" ref="L117">IFERROR(MATCH(((产出预期!$M134-OFFSET(梦灵养成!$Q$9,MATCH(产出预期!$M134,梦灵养成!$Q$10:$Q$15,1),0))*OFFSET(梦灵养成!O$9,1+MATCH(产出预期!$M134,梦灵养成!$Q$10:$Q$15,1),0)+梦灵养成!G453+SUMPRODUCT(--(梦灵养成!$Q$10:$Q$15&lt;=产出预期!$M134),梦灵养成!O$10:O$15,梦灵养成!$P$10:$P$15))/MAX(SUMPRODUCT(--(梦灵养成!$C$10:$C$31&lt;=产出预期!$M134),--(梦灵养成!$E$10:$E$31=L$2)),1)*10,梦灵养成!AW$339:AW$388,1),0)</f>
        <v>50</v>
      </c>
      <c r="M117" s="45">
        <f ca="1">OFFSET(符文养成!$C$14,MATCH(C117,符文养成!$B$15:$B$44,1),0)</f>
        <v>30</v>
      </c>
      <c r="N117" s="45">
        <f ca="1">MATCH((产出预期!Z134*价值表!$F$53+产出预期!AA134*价值表!$F$54+产出预期!AD134*价值表!$F$57)/16/M117,符文养成!$G$15:$G$21,1)</f>
        <v>5</v>
      </c>
      <c r="O117" s="45">
        <f>MATCH(产出预期!O134,秘宝养成!$C$3:$C$14,1)</f>
        <v>11</v>
      </c>
    </row>
    <row r="118" ht="16.5" spans="2:15">
      <c r="B118" s="2">
        <v>116</v>
      </c>
      <c r="C118" s="2">
        <f ca="1">MATCH((OFFSET(产出预期!$C$3,0,产出预期!$B$1)*10+OFFSET(产出预期!$C$4,0,产出预期!$B$1)*10+OFFSET(产出预期!$C$7,0,产出预期!$B$1)*20)*B118/10*60,玩家等级!$E$3:$E$302,1)</f>
        <v>76</v>
      </c>
      <c r="D118" s="2">
        <f>MATCH(产出预期!P135/6,装备养成!$G$4:$G$303,1)</f>
        <v>108</v>
      </c>
      <c r="E118" s="2">
        <f>COUNTIF(产出预期!$R135:$Y135,"&gt;"&amp;0)</f>
        <v>7</v>
      </c>
      <c r="F118" s="2">
        <f ca="1">MATCH(OFFSET(产出预期!$R$19,B118,E118-1),装备养成!$S$4:$S$9,1)</f>
        <v>6</v>
      </c>
      <c r="G118" s="2" t="str">
        <f ca="1">OFFSET(梦灵养成!$D$9,MATCH(梦灵养成!C149,梦灵养成!$C$10:$C$28,1),0)</f>
        <v>我爱沙</v>
      </c>
      <c r="H118" s="2" t="str">
        <f ca="1">OFFSET(梦灵养成!$I$9,MATCH(梦灵养成!C149,梦灵养成!$C$10:$C$28,1),0)</f>
        <v>后羿</v>
      </c>
      <c r="I118" s="45" cm="1">
        <f ca="1" t="array" ref="I118">IFERROR(MATCH(((产出预期!$M135-OFFSET(梦灵养成!$Q$9,MATCH(产出预期!$M135,梦灵养成!$Q$10:$Q$15,1),0))*OFFSET(梦灵养成!L$9,1+MATCH(产出预期!$M135,梦灵养成!$Q$10:$Q$15,1),0)+梦灵养成!D454+SUMPRODUCT(--(梦灵养成!$Q$10:$Q$15&lt;=产出预期!$M135),梦灵养成!L$10:L$15,梦灵养成!$P$10:$P$15))/MAX(SUMPRODUCT(--(梦灵养成!$C$10:$C$31&lt;=产出预期!$M135),--(梦灵养成!$E$10:$E$31=I$2)),1)*10,梦灵养成!AT$339:AT$387,1),0)</f>
        <v>49</v>
      </c>
      <c r="J118" s="45" cm="1">
        <f ca="1" t="array" ref="J118">IFERROR(MATCH(((产出预期!$M135-OFFSET(梦灵养成!$Q$9,MATCH(产出预期!$M135,梦灵养成!$Q$10:$Q$15,1),0))*OFFSET(梦灵养成!M$9,1+MATCH(产出预期!$M135,梦灵养成!$Q$10:$Q$15,1),0)+梦灵养成!E454+SUMPRODUCT(--(梦灵养成!$Q$10:$Q$15&lt;=产出预期!$M135),梦灵养成!M$10:M$15,梦灵养成!$P$10:$P$15))/MAX(SUMPRODUCT(--(梦灵养成!$C$10:$C$31&lt;=产出预期!$M135),--(梦灵养成!$E$10:$E$31=J$2)),1)*10,梦灵养成!AU$339:AU$387,1),0)</f>
        <v>49</v>
      </c>
      <c r="K118" s="45" cm="1">
        <f ca="1" t="array" ref="K118">IFERROR(MATCH(((产出预期!$M135-OFFSET(梦灵养成!$Q$9,MATCH(产出预期!$M135,梦灵养成!$Q$10:$Q$15,1),0))*OFFSET(梦灵养成!N$9,1+MATCH(产出预期!$M135,梦灵养成!$Q$10:$Q$15,1),0)+梦灵养成!F454+SUMPRODUCT(--(梦灵养成!$Q$10:$Q$15&lt;=产出预期!$M135),梦灵养成!N$10:N$15,梦灵养成!$P$10:$P$15))/MAX(SUMPRODUCT(--(梦灵养成!$C$10:$C$31&lt;=产出预期!$M135),--(梦灵养成!$E$10:$E$31=K$2)),1)*10,梦灵养成!AV$339:AV$387,1),0)</f>
        <v>49</v>
      </c>
      <c r="L118" s="45" cm="1">
        <f ca="1" t="array" ref="L118">IFERROR(MATCH(((产出预期!$M135-OFFSET(梦灵养成!$Q$9,MATCH(产出预期!$M135,梦灵养成!$Q$10:$Q$15,1),0))*OFFSET(梦灵养成!O$9,1+MATCH(产出预期!$M135,梦灵养成!$Q$10:$Q$15,1),0)+梦灵养成!G454+SUMPRODUCT(--(梦灵养成!$Q$10:$Q$15&lt;=产出预期!$M135),梦灵养成!O$10:O$15,梦灵养成!$P$10:$P$15))/MAX(SUMPRODUCT(--(梦灵养成!$C$10:$C$31&lt;=产出预期!$M135),--(梦灵养成!$E$10:$E$31=L$2)),1)*10,梦灵养成!AW$339:AW$388,1),0)</f>
        <v>50</v>
      </c>
      <c r="M118" s="45">
        <f ca="1">OFFSET(符文养成!$C$14,MATCH(C118,符文养成!$B$15:$B$44,1),0)</f>
        <v>30</v>
      </c>
      <c r="N118" s="45">
        <f ca="1">MATCH((产出预期!Z135*价值表!$F$53+产出预期!AA135*价值表!$F$54+产出预期!AD135*价值表!$F$57)/16/M118,符文养成!$G$15:$G$21,1)</f>
        <v>5</v>
      </c>
      <c r="O118" s="45">
        <f>MATCH(产出预期!O135,秘宝养成!$C$3:$C$14,1)</f>
        <v>11</v>
      </c>
    </row>
    <row r="119" ht="16.5" spans="2:15">
      <c r="B119" s="2">
        <v>117</v>
      </c>
      <c r="C119" s="2">
        <f ca="1">MATCH((OFFSET(产出预期!$C$3,0,产出预期!$B$1)*10+OFFSET(产出预期!$C$4,0,产出预期!$B$1)*10+OFFSET(产出预期!$C$7,0,产出预期!$B$1)*20)*B119/10*60,玩家等级!$E$3:$E$302,1)</f>
        <v>76</v>
      </c>
      <c r="D119" s="2">
        <f>MATCH(产出预期!P136/6,装备养成!$G$4:$G$303,1)</f>
        <v>108</v>
      </c>
      <c r="E119" s="2">
        <f>COUNTIF(产出预期!$R136:$Y136,"&gt;"&amp;0)</f>
        <v>7</v>
      </c>
      <c r="F119" s="2">
        <f ca="1">MATCH(OFFSET(产出预期!$R$19,B119,E119-1),装备养成!$S$4:$S$9,1)</f>
        <v>6</v>
      </c>
      <c r="G119" s="2" t="str">
        <f ca="1">OFFSET(梦灵养成!$D$9,MATCH(梦灵养成!C150,梦灵养成!$C$10:$C$28,1),0)</f>
        <v>我爱沙</v>
      </c>
      <c r="H119" s="2" t="str">
        <f ca="1">OFFSET(梦灵养成!$I$9,MATCH(梦灵养成!C150,梦灵养成!$C$10:$C$28,1),0)</f>
        <v>后羿</v>
      </c>
      <c r="I119" s="45" cm="1">
        <f ca="1" t="array" ref="I119">IFERROR(MATCH(((产出预期!$M136-OFFSET(梦灵养成!$Q$9,MATCH(产出预期!$M136,梦灵养成!$Q$10:$Q$15,1),0))*OFFSET(梦灵养成!L$9,1+MATCH(产出预期!$M136,梦灵养成!$Q$10:$Q$15,1),0)+梦灵养成!D455+SUMPRODUCT(--(梦灵养成!$Q$10:$Q$15&lt;=产出预期!$M136),梦灵养成!L$10:L$15,梦灵养成!$P$10:$P$15))/MAX(SUMPRODUCT(--(梦灵养成!$C$10:$C$31&lt;=产出预期!$M136),--(梦灵养成!$E$10:$E$31=I$2)),1)*10,梦灵养成!AT$339:AT$387,1),0)</f>
        <v>49</v>
      </c>
      <c r="J119" s="45" cm="1">
        <f ca="1" t="array" ref="J119">IFERROR(MATCH(((产出预期!$M136-OFFSET(梦灵养成!$Q$9,MATCH(产出预期!$M136,梦灵养成!$Q$10:$Q$15,1),0))*OFFSET(梦灵养成!M$9,1+MATCH(产出预期!$M136,梦灵养成!$Q$10:$Q$15,1),0)+梦灵养成!E455+SUMPRODUCT(--(梦灵养成!$Q$10:$Q$15&lt;=产出预期!$M136),梦灵养成!M$10:M$15,梦灵养成!$P$10:$P$15))/MAX(SUMPRODUCT(--(梦灵养成!$C$10:$C$31&lt;=产出预期!$M136),--(梦灵养成!$E$10:$E$31=J$2)),1)*10,梦灵养成!AU$339:AU$387,1),0)</f>
        <v>49</v>
      </c>
      <c r="K119" s="45" cm="1">
        <f ca="1" t="array" ref="K119">IFERROR(MATCH(((产出预期!$M136-OFFSET(梦灵养成!$Q$9,MATCH(产出预期!$M136,梦灵养成!$Q$10:$Q$15,1),0))*OFFSET(梦灵养成!N$9,1+MATCH(产出预期!$M136,梦灵养成!$Q$10:$Q$15,1),0)+梦灵养成!F455+SUMPRODUCT(--(梦灵养成!$Q$10:$Q$15&lt;=产出预期!$M136),梦灵养成!N$10:N$15,梦灵养成!$P$10:$P$15))/MAX(SUMPRODUCT(--(梦灵养成!$C$10:$C$31&lt;=产出预期!$M136),--(梦灵养成!$E$10:$E$31=K$2)),1)*10,梦灵养成!AV$339:AV$387,1),0)</f>
        <v>49</v>
      </c>
      <c r="L119" s="45" cm="1">
        <f ca="1" t="array" ref="L119">IFERROR(MATCH(((产出预期!$M136-OFFSET(梦灵养成!$Q$9,MATCH(产出预期!$M136,梦灵养成!$Q$10:$Q$15,1),0))*OFFSET(梦灵养成!O$9,1+MATCH(产出预期!$M136,梦灵养成!$Q$10:$Q$15,1),0)+梦灵养成!G455+SUMPRODUCT(--(梦灵养成!$Q$10:$Q$15&lt;=产出预期!$M136),梦灵养成!O$10:O$15,梦灵养成!$P$10:$P$15))/MAX(SUMPRODUCT(--(梦灵养成!$C$10:$C$31&lt;=产出预期!$M136),--(梦灵养成!$E$10:$E$31=L$2)),1)*10,梦灵养成!AW$339:AW$388,1),0)</f>
        <v>50</v>
      </c>
      <c r="M119" s="45">
        <f ca="1">OFFSET(符文养成!$C$14,MATCH(C119,符文养成!$B$15:$B$44,1),0)</f>
        <v>30</v>
      </c>
      <c r="N119" s="45">
        <f ca="1">MATCH((产出预期!Z136*价值表!$F$53+产出预期!AA136*价值表!$F$54+产出预期!AD136*价值表!$F$57)/16/M119,符文养成!$G$15:$G$21,1)</f>
        <v>5</v>
      </c>
      <c r="O119" s="45">
        <f>MATCH(产出预期!O136,秘宝养成!$C$3:$C$14,1)</f>
        <v>11</v>
      </c>
    </row>
    <row r="120" ht="16.5" spans="2:15">
      <c r="B120" s="2">
        <v>118</v>
      </c>
      <c r="C120" s="2">
        <f ca="1">MATCH((OFFSET(产出预期!$C$3,0,产出预期!$B$1)*10+OFFSET(产出预期!$C$4,0,产出预期!$B$1)*10+OFFSET(产出预期!$C$7,0,产出预期!$B$1)*20)*B120/10*60,玩家等级!$E$3:$E$302,1)</f>
        <v>77</v>
      </c>
      <c r="D120" s="2">
        <f>MATCH(产出预期!P137/6,装备养成!$G$4:$G$303,1)</f>
        <v>109</v>
      </c>
      <c r="E120" s="2">
        <f>COUNTIF(产出预期!$R137:$Y137,"&gt;"&amp;0)</f>
        <v>8</v>
      </c>
      <c r="F120" s="2">
        <f ca="1">MATCH(OFFSET(产出预期!$R$19,B120,E120-1),装备养成!$S$4:$S$9,1)</f>
        <v>1</v>
      </c>
      <c r="G120" s="2" t="str">
        <f ca="1">OFFSET(梦灵养成!$D$9,MATCH(梦灵养成!C151,梦灵养成!$C$10:$C$28,1),0)</f>
        <v>我爱沙</v>
      </c>
      <c r="H120" s="2" t="str">
        <f ca="1">OFFSET(梦灵养成!$I$9,MATCH(梦灵养成!C151,梦灵养成!$C$10:$C$28,1),0)</f>
        <v>后羿</v>
      </c>
      <c r="I120" s="45" cm="1">
        <f ca="1" t="array" ref="I120">IFERROR(MATCH(((产出预期!$M137-OFFSET(梦灵养成!$Q$9,MATCH(产出预期!$M137,梦灵养成!$Q$10:$Q$15,1),0))*OFFSET(梦灵养成!L$9,1+MATCH(产出预期!$M137,梦灵养成!$Q$10:$Q$15,1),0)+梦灵养成!D456+SUMPRODUCT(--(梦灵养成!$Q$10:$Q$15&lt;=产出预期!$M137),梦灵养成!L$10:L$15,梦灵养成!$P$10:$P$15))/MAX(SUMPRODUCT(--(梦灵养成!$C$10:$C$31&lt;=产出预期!$M137),--(梦灵养成!$E$10:$E$31=I$2)),1)*10,梦灵养成!AT$339:AT$387,1),0)</f>
        <v>49</v>
      </c>
      <c r="J120" s="45" cm="1">
        <f ca="1" t="array" ref="J120">IFERROR(MATCH(((产出预期!$M137-OFFSET(梦灵养成!$Q$9,MATCH(产出预期!$M137,梦灵养成!$Q$10:$Q$15,1),0))*OFFSET(梦灵养成!M$9,1+MATCH(产出预期!$M137,梦灵养成!$Q$10:$Q$15,1),0)+梦灵养成!E456+SUMPRODUCT(--(梦灵养成!$Q$10:$Q$15&lt;=产出预期!$M137),梦灵养成!M$10:M$15,梦灵养成!$P$10:$P$15))/MAX(SUMPRODUCT(--(梦灵养成!$C$10:$C$31&lt;=产出预期!$M137),--(梦灵养成!$E$10:$E$31=J$2)),1)*10,梦灵养成!AU$339:AU$387,1),0)</f>
        <v>49</v>
      </c>
      <c r="K120" s="45" cm="1">
        <f ca="1" t="array" ref="K120">IFERROR(MATCH(((产出预期!$M137-OFFSET(梦灵养成!$Q$9,MATCH(产出预期!$M137,梦灵养成!$Q$10:$Q$15,1),0))*OFFSET(梦灵养成!N$9,1+MATCH(产出预期!$M137,梦灵养成!$Q$10:$Q$15,1),0)+梦灵养成!F456+SUMPRODUCT(--(梦灵养成!$Q$10:$Q$15&lt;=产出预期!$M137),梦灵养成!N$10:N$15,梦灵养成!$P$10:$P$15))/MAX(SUMPRODUCT(--(梦灵养成!$C$10:$C$31&lt;=产出预期!$M137),--(梦灵养成!$E$10:$E$31=K$2)),1)*10,梦灵养成!AV$339:AV$387,1),0)</f>
        <v>49</v>
      </c>
      <c r="L120" s="45" cm="1">
        <f ca="1" t="array" ref="L120">IFERROR(MATCH(((产出预期!$M137-OFFSET(梦灵养成!$Q$9,MATCH(产出预期!$M137,梦灵养成!$Q$10:$Q$15,1),0))*OFFSET(梦灵养成!O$9,1+MATCH(产出预期!$M137,梦灵养成!$Q$10:$Q$15,1),0)+梦灵养成!G456+SUMPRODUCT(--(梦灵养成!$Q$10:$Q$15&lt;=产出预期!$M137),梦灵养成!O$10:O$15,梦灵养成!$P$10:$P$15))/MAX(SUMPRODUCT(--(梦灵养成!$C$10:$C$31&lt;=产出预期!$M137),--(梦灵养成!$E$10:$E$31=L$2)),1)*10,梦灵养成!AW$339:AW$388,1),0)</f>
        <v>50</v>
      </c>
      <c r="M120" s="45">
        <f ca="1">OFFSET(符文养成!$C$14,MATCH(C120,符文养成!$B$15:$B$44,1),0)</f>
        <v>30</v>
      </c>
      <c r="N120" s="45">
        <f ca="1">MATCH((产出预期!Z137*价值表!$F$53+产出预期!AA137*价值表!$F$54+产出预期!AD137*价值表!$F$57)/16/M120,符文养成!$G$15:$G$21,1)</f>
        <v>5</v>
      </c>
      <c r="O120" s="45">
        <f>MATCH(产出预期!O137,秘宝养成!$C$3:$C$14,1)</f>
        <v>11</v>
      </c>
    </row>
    <row r="121" ht="16.5" spans="2:15">
      <c r="B121" s="2">
        <v>119</v>
      </c>
      <c r="C121" s="2">
        <f ca="1">MATCH((OFFSET(产出预期!$C$3,0,产出预期!$B$1)*10+OFFSET(产出预期!$C$4,0,产出预期!$B$1)*10+OFFSET(产出预期!$C$7,0,产出预期!$B$1)*20)*B121/10*60,玩家等级!$E$3:$E$302,1)</f>
        <v>77</v>
      </c>
      <c r="D121" s="2">
        <f>MATCH(产出预期!P138/6,装备养成!$G$4:$G$303,1)</f>
        <v>109</v>
      </c>
      <c r="E121" s="2">
        <f>COUNTIF(产出预期!$R138:$Y138,"&gt;"&amp;0)</f>
        <v>8</v>
      </c>
      <c r="F121" s="2">
        <f ca="1">MATCH(OFFSET(产出预期!$R$19,B121,E121-1),装备养成!$S$4:$S$9,1)</f>
        <v>1</v>
      </c>
      <c r="G121" s="2" t="str">
        <f ca="1">OFFSET(梦灵养成!$D$9,MATCH(梦灵养成!C152,梦灵养成!$C$10:$C$28,1),0)</f>
        <v>我爱沙</v>
      </c>
      <c r="H121" s="2" t="str">
        <f ca="1">OFFSET(梦灵养成!$I$9,MATCH(梦灵养成!C152,梦灵养成!$C$10:$C$28,1),0)</f>
        <v>后羿</v>
      </c>
      <c r="I121" s="45" cm="1">
        <f ca="1" t="array" ref="I121">IFERROR(MATCH(((产出预期!$M138-OFFSET(梦灵养成!$Q$9,MATCH(产出预期!$M138,梦灵养成!$Q$10:$Q$15,1),0))*OFFSET(梦灵养成!L$9,1+MATCH(产出预期!$M138,梦灵养成!$Q$10:$Q$15,1),0)+梦灵养成!D457+SUMPRODUCT(--(梦灵养成!$Q$10:$Q$15&lt;=产出预期!$M138),梦灵养成!L$10:L$15,梦灵养成!$P$10:$P$15))/MAX(SUMPRODUCT(--(梦灵养成!$C$10:$C$31&lt;=产出预期!$M138),--(梦灵养成!$E$10:$E$31=I$2)),1)*10,梦灵养成!AT$339:AT$387,1),0)</f>
        <v>49</v>
      </c>
      <c r="J121" s="45" cm="1">
        <f ca="1" t="array" ref="J121">IFERROR(MATCH(((产出预期!$M138-OFFSET(梦灵养成!$Q$9,MATCH(产出预期!$M138,梦灵养成!$Q$10:$Q$15,1),0))*OFFSET(梦灵养成!M$9,1+MATCH(产出预期!$M138,梦灵养成!$Q$10:$Q$15,1),0)+梦灵养成!E457+SUMPRODUCT(--(梦灵养成!$Q$10:$Q$15&lt;=产出预期!$M138),梦灵养成!M$10:M$15,梦灵养成!$P$10:$P$15))/MAX(SUMPRODUCT(--(梦灵养成!$C$10:$C$31&lt;=产出预期!$M138),--(梦灵养成!$E$10:$E$31=J$2)),1)*10,梦灵养成!AU$339:AU$387,1),0)</f>
        <v>49</v>
      </c>
      <c r="K121" s="45" cm="1">
        <f ca="1" t="array" ref="K121">IFERROR(MATCH(((产出预期!$M138-OFFSET(梦灵养成!$Q$9,MATCH(产出预期!$M138,梦灵养成!$Q$10:$Q$15,1),0))*OFFSET(梦灵养成!N$9,1+MATCH(产出预期!$M138,梦灵养成!$Q$10:$Q$15,1),0)+梦灵养成!F457+SUMPRODUCT(--(梦灵养成!$Q$10:$Q$15&lt;=产出预期!$M138),梦灵养成!N$10:N$15,梦灵养成!$P$10:$P$15))/MAX(SUMPRODUCT(--(梦灵养成!$C$10:$C$31&lt;=产出预期!$M138),--(梦灵养成!$E$10:$E$31=K$2)),1)*10,梦灵养成!AV$339:AV$387,1),0)</f>
        <v>49</v>
      </c>
      <c r="L121" s="45" cm="1">
        <f ca="1" t="array" ref="L121">IFERROR(MATCH(((产出预期!$M138-OFFSET(梦灵养成!$Q$9,MATCH(产出预期!$M138,梦灵养成!$Q$10:$Q$15,1),0))*OFFSET(梦灵养成!O$9,1+MATCH(产出预期!$M138,梦灵养成!$Q$10:$Q$15,1),0)+梦灵养成!G457+SUMPRODUCT(--(梦灵养成!$Q$10:$Q$15&lt;=产出预期!$M138),梦灵养成!O$10:O$15,梦灵养成!$P$10:$P$15))/MAX(SUMPRODUCT(--(梦灵养成!$C$10:$C$31&lt;=产出预期!$M138),--(梦灵养成!$E$10:$E$31=L$2)),1)*10,梦灵养成!AW$339:AW$388,1),0)</f>
        <v>50</v>
      </c>
      <c r="M121" s="45">
        <f ca="1">OFFSET(符文养成!$C$14,MATCH(C121,符文养成!$B$15:$B$44,1),0)</f>
        <v>30</v>
      </c>
      <c r="N121" s="45">
        <f ca="1">MATCH((产出预期!Z138*价值表!$F$53+产出预期!AA138*价值表!$F$54+产出预期!AD138*价值表!$F$57)/16/M121,符文养成!$G$15:$G$21,1)</f>
        <v>5</v>
      </c>
      <c r="O121" s="45">
        <f>MATCH(产出预期!O138,秘宝养成!$C$3:$C$14,1)</f>
        <v>11</v>
      </c>
    </row>
    <row r="122" ht="16.5" spans="2:15">
      <c r="B122" s="2">
        <v>120</v>
      </c>
      <c r="C122" s="2">
        <f ca="1">MATCH((OFFSET(产出预期!$C$3,0,产出预期!$B$1)*10+OFFSET(产出预期!$C$4,0,产出预期!$B$1)*10+OFFSET(产出预期!$C$7,0,产出预期!$B$1)*20)*B122/10*60,玩家等级!$E$3:$E$302,1)</f>
        <v>77</v>
      </c>
      <c r="D122" s="2">
        <f>MATCH(产出预期!P139/6,装备养成!$G$4:$G$303,1)</f>
        <v>110</v>
      </c>
      <c r="E122" s="2">
        <f>COUNTIF(产出预期!$R139:$Y139,"&gt;"&amp;0)</f>
        <v>8</v>
      </c>
      <c r="F122" s="2">
        <f ca="1">MATCH(OFFSET(产出预期!$R$19,B122,E122-1),装备养成!$S$4:$S$9,1)</f>
        <v>1</v>
      </c>
      <c r="G122" s="2" t="str">
        <f ca="1">OFFSET(梦灵养成!$D$9,MATCH(梦灵养成!C153,梦灵养成!$C$10:$C$28,1),0)</f>
        <v>我爱沙</v>
      </c>
      <c r="H122" s="2" t="str">
        <f ca="1">OFFSET(梦灵养成!$I$9,MATCH(梦灵养成!C153,梦灵养成!$C$10:$C$28,1),0)</f>
        <v>后羿</v>
      </c>
      <c r="I122" s="45" cm="1">
        <f ca="1" t="array" ref="I122">IFERROR(MATCH(((产出预期!$M139-OFFSET(梦灵养成!$Q$9,MATCH(产出预期!$M139,梦灵养成!$Q$10:$Q$15,1),0))*OFFSET(梦灵养成!L$9,1+MATCH(产出预期!$M139,梦灵养成!$Q$10:$Q$15,1),0)+梦灵养成!D458+SUMPRODUCT(--(梦灵养成!$Q$10:$Q$15&lt;=产出预期!$M139),梦灵养成!L$10:L$15,梦灵养成!$P$10:$P$15))/MAX(SUMPRODUCT(--(梦灵养成!$C$10:$C$31&lt;=产出预期!$M139),--(梦灵养成!$E$10:$E$31=I$2)),1)*10,梦灵养成!AT$339:AT$387,1),0)</f>
        <v>49</v>
      </c>
      <c r="J122" s="45" cm="1">
        <f ca="1" t="array" ref="J122">IFERROR(MATCH(((产出预期!$M139-OFFSET(梦灵养成!$Q$9,MATCH(产出预期!$M139,梦灵养成!$Q$10:$Q$15,1),0))*OFFSET(梦灵养成!M$9,1+MATCH(产出预期!$M139,梦灵养成!$Q$10:$Q$15,1),0)+梦灵养成!E458+SUMPRODUCT(--(梦灵养成!$Q$10:$Q$15&lt;=产出预期!$M139),梦灵养成!M$10:M$15,梦灵养成!$P$10:$P$15))/MAX(SUMPRODUCT(--(梦灵养成!$C$10:$C$31&lt;=产出预期!$M139),--(梦灵养成!$E$10:$E$31=J$2)),1)*10,梦灵养成!AU$339:AU$387,1),0)</f>
        <v>49</v>
      </c>
      <c r="K122" s="45" cm="1">
        <f ca="1" t="array" ref="K122">IFERROR(MATCH(((产出预期!$M139-OFFSET(梦灵养成!$Q$9,MATCH(产出预期!$M139,梦灵养成!$Q$10:$Q$15,1),0))*OFFSET(梦灵养成!N$9,1+MATCH(产出预期!$M139,梦灵养成!$Q$10:$Q$15,1),0)+梦灵养成!F458+SUMPRODUCT(--(梦灵养成!$Q$10:$Q$15&lt;=产出预期!$M139),梦灵养成!N$10:N$15,梦灵养成!$P$10:$P$15))/MAX(SUMPRODUCT(--(梦灵养成!$C$10:$C$31&lt;=产出预期!$M139),--(梦灵养成!$E$10:$E$31=K$2)),1)*10,梦灵养成!AV$339:AV$387,1),0)</f>
        <v>49</v>
      </c>
      <c r="L122" s="45" cm="1">
        <f ca="1" t="array" ref="L122">IFERROR(MATCH(((产出预期!$M139-OFFSET(梦灵养成!$Q$9,MATCH(产出预期!$M139,梦灵养成!$Q$10:$Q$15,1),0))*OFFSET(梦灵养成!O$9,1+MATCH(产出预期!$M139,梦灵养成!$Q$10:$Q$15,1),0)+梦灵养成!G458+SUMPRODUCT(--(梦灵养成!$Q$10:$Q$15&lt;=产出预期!$M139),梦灵养成!O$10:O$15,梦灵养成!$P$10:$P$15))/MAX(SUMPRODUCT(--(梦灵养成!$C$10:$C$31&lt;=产出预期!$M139),--(梦灵养成!$E$10:$E$31=L$2)),1)*10,梦灵养成!AW$339:AW$388,1),0)</f>
        <v>50</v>
      </c>
      <c r="M122" s="45">
        <f ca="1">OFFSET(符文养成!$C$14,MATCH(C122,符文养成!$B$15:$B$44,1),0)</f>
        <v>30</v>
      </c>
      <c r="N122" s="45">
        <f ca="1">MATCH((产出预期!Z139*价值表!$F$53+产出预期!AA139*价值表!$F$54+产出预期!AD139*价值表!$F$57)/16/M122,符文养成!$G$15:$G$21,1)</f>
        <v>5</v>
      </c>
      <c r="O122" s="45">
        <f>MATCH(产出预期!O139,秘宝养成!$C$3:$C$14,1)</f>
        <v>11</v>
      </c>
    </row>
    <row r="123" ht="16.5" spans="2:15">
      <c r="B123" s="2">
        <v>121</v>
      </c>
      <c r="C123" s="2">
        <f ca="1">MATCH((OFFSET(产出预期!$C$3,0,产出预期!$B$1)*10+OFFSET(产出预期!$C$4,0,产出预期!$B$1)*10+OFFSET(产出预期!$C$7,0,产出预期!$B$1)*20)*B123/10*60,玩家等级!$E$3:$E$302,1)</f>
        <v>78</v>
      </c>
      <c r="D123" s="2">
        <f>MATCH(产出预期!P140/6,装备养成!$G$4:$G$303,1)</f>
        <v>110</v>
      </c>
      <c r="E123" s="2">
        <f>COUNTIF(产出预期!$R140:$Y140,"&gt;"&amp;0)</f>
        <v>8</v>
      </c>
      <c r="F123" s="2">
        <f ca="1">MATCH(OFFSET(产出预期!$R$19,B123,E123-1),装备养成!$S$4:$S$9,1)</f>
        <v>1</v>
      </c>
      <c r="G123" s="2" t="str">
        <f ca="1">OFFSET(梦灵养成!$D$9,MATCH(梦灵养成!C154,梦灵养成!$C$10:$C$28,1),0)</f>
        <v>我爱沙</v>
      </c>
      <c r="H123" s="2" t="str">
        <f ca="1">OFFSET(梦灵养成!$I$9,MATCH(梦灵养成!C154,梦灵养成!$C$10:$C$28,1),0)</f>
        <v>后羿</v>
      </c>
      <c r="I123" s="45" cm="1">
        <f ca="1" t="array" ref="I123">IFERROR(MATCH(((产出预期!$M140-OFFSET(梦灵养成!$Q$9,MATCH(产出预期!$M140,梦灵养成!$Q$10:$Q$15,1),0))*OFFSET(梦灵养成!L$9,1+MATCH(产出预期!$M140,梦灵养成!$Q$10:$Q$15,1),0)+梦灵养成!D459+SUMPRODUCT(--(梦灵养成!$Q$10:$Q$15&lt;=产出预期!$M140),梦灵养成!L$10:L$15,梦灵养成!$P$10:$P$15))/MAX(SUMPRODUCT(--(梦灵养成!$C$10:$C$31&lt;=产出预期!$M140),--(梦灵养成!$E$10:$E$31=I$2)),1)*10,梦灵养成!AT$339:AT$387,1),0)</f>
        <v>49</v>
      </c>
      <c r="J123" s="45" cm="1">
        <f ca="1" t="array" ref="J123">IFERROR(MATCH(((产出预期!$M140-OFFSET(梦灵养成!$Q$9,MATCH(产出预期!$M140,梦灵养成!$Q$10:$Q$15,1),0))*OFFSET(梦灵养成!M$9,1+MATCH(产出预期!$M140,梦灵养成!$Q$10:$Q$15,1),0)+梦灵养成!E459+SUMPRODUCT(--(梦灵养成!$Q$10:$Q$15&lt;=产出预期!$M140),梦灵养成!M$10:M$15,梦灵养成!$P$10:$P$15))/MAX(SUMPRODUCT(--(梦灵养成!$C$10:$C$31&lt;=产出预期!$M140),--(梦灵养成!$E$10:$E$31=J$2)),1)*10,梦灵养成!AU$339:AU$387,1),0)</f>
        <v>49</v>
      </c>
      <c r="K123" s="45" cm="1">
        <f ca="1" t="array" ref="K123">IFERROR(MATCH(((产出预期!$M140-OFFSET(梦灵养成!$Q$9,MATCH(产出预期!$M140,梦灵养成!$Q$10:$Q$15,1),0))*OFFSET(梦灵养成!N$9,1+MATCH(产出预期!$M140,梦灵养成!$Q$10:$Q$15,1),0)+梦灵养成!F459+SUMPRODUCT(--(梦灵养成!$Q$10:$Q$15&lt;=产出预期!$M140),梦灵养成!N$10:N$15,梦灵养成!$P$10:$P$15))/MAX(SUMPRODUCT(--(梦灵养成!$C$10:$C$31&lt;=产出预期!$M140),--(梦灵养成!$E$10:$E$31=K$2)),1)*10,梦灵养成!AV$339:AV$387,1),0)</f>
        <v>49</v>
      </c>
      <c r="L123" s="45" cm="1">
        <f ca="1" t="array" ref="L123">IFERROR(MATCH(((产出预期!$M140-OFFSET(梦灵养成!$Q$9,MATCH(产出预期!$M140,梦灵养成!$Q$10:$Q$15,1),0))*OFFSET(梦灵养成!O$9,1+MATCH(产出预期!$M140,梦灵养成!$Q$10:$Q$15,1),0)+梦灵养成!G459+SUMPRODUCT(--(梦灵养成!$Q$10:$Q$15&lt;=产出预期!$M140),梦灵养成!O$10:O$15,梦灵养成!$P$10:$P$15))/MAX(SUMPRODUCT(--(梦灵养成!$C$10:$C$31&lt;=产出预期!$M140),--(梦灵养成!$E$10:$E$31=L$2)),1)*10,梦灵养成!AW$339:AW$388,1),0)</f>
        <v>50</v>
      </c>
      <c r="M123" s="45">
        <f ca="1">OFFSET(符文养成!$C$14,MATCH(C123,符文养成!$B$15:$B$44,1),0)</f>
        <v>30</v>
      </c>
      <c r="N123" s="45">
        <f ca="1">MATCH((产出预期!Z140*价值表!$F$53+产出预期!AA140*价值表!$F$54+产出预期!AD140*价值表!$F$57)/16/M123,符文养成!$G$15:$G$21,1)</f>
        <v>5</v>
      </c>
      <c r="O123" s="45">
        <f>MATCH(产出预期!O140,秘宝养成!$C$3:$C$14,1)</f>
        <v>11</v>
      </c>
    </row>
    <row r="124" ht="16.5" spans="2:15">
      <c r="B124" s="2">
        <v>122</v>
      </c>
      <c r="C124" s="2">
        <f ca="1">MATCH((OFFSET(产出预期!$C$3,0,产出预期!$B$1)*10+OFFSET(产出预期!$C$4,0,产出预期!$B$1)*10+OFFSET(产出预期!$C$7,0,产出预期!$B$1)*20)*B124/10*60,玩家等级!$E$3:$E$302,1)</f>
        <v>78</v>
      </c>
      <c r="D124" s="2">
        <f>MATCH(产出预期!P141/6,装备养成!$G$4:$G$303,1)</f>
        <v>110</v>
      </c>
      <c r="E124" s="2">
        <f>COUNTIF(产出预期!$R141:$Y141,"&gt;"&amp;0)</f>
        <v>8</v>
      </c>
      <c r="F124" s="2">
        <f ca="1">MATCH(OFFSET(产出预期!$R$19,B124,E124-1),装备养成!$S$4:$S$9,1)</f>
        <v>1</v>
      </c>
      <c r="G124" s="2" t="str">
        <f ca="1">OFFSET(梦灵养成!$D$9,MATCH(梦灵养成!C155,梦灵养成!$C$10:$C$28,1),0)</f>
        <v>我爱沙</v>
      </c>
      <c r="H124" s="2" t="str">
        <f ca="1">OFFSET(梦灵养成!$I$9,MATCH(梦灵养成!C155,梦灵养成!$C$10:$C$28,1),0)</f>
        <v>后羿</v>
      </c>
      <c r="I124" s="45" cm="1">
        <f ca="1" t="array" ref="I124">IFERROR(MATCH(((产出预期!$M141-OFFSET(梦灵养成!$Q$9,MATCH(产出预期!$M141,梦灵养成!$Q$10:$Q$15,1),0))*OFFSET(梦灵养成!L$9,1+MATCH(产出预期!$M141,梦灵养成!$Q$10:$Q$15,1),0)+梦灵养成!D460+SUMPRODUCT(--(梦灵养成!$Q$10:$Q$15&lt;=产出预期!$M141),梦灵养成!L$10:L$15,梦灵养成!$P$10:$P$15))/MAX(SUMPRODUCT(--(梦灵养成!$C$10:$C$31&lt;=产出预期!$M141),--(梦灵养成!$E$10:$E$31=I$2)),1)*10,梦灵养成!AT$339:AT$387,1),0)</f>
        <v>49</v>
      </c>
      <c r="J124" s="45" cm="1">
        <f ca="1" t="array" ref="J124">IFERROR(MATCH(((产出预期!$M141-OFFSET(梦灵养成!$Q$9,MATCH(产出预期!$M141,梦灵养成!$Q$10:$Q$15,1),0))*OFFSET(梦灵养成!M$9,1+MATCH(产出预期!$M141,梦灵养成!$Q$10:$Q$15,1),0)+梦灵养成!E460+SUMPRODUCT(--(梦灵养成!$Q$10:$Q$15&lt;=产出预期!$M141),梦灵养成!M$10:M$15,梦灵养成!$P$10:$P$15))/MAX(SUMPRODUCT(--(梦灵养成!$C$10:$C$31&lt;=产出预期!$M141),--(梦灵养成!$E$10:$E$31=J$2)),1)*10,梦灵养成!AU$339:AU$387,1),0)</f>
        <v>49</v>
      </c>
      <c r="K124" s="45" cm="1">
        <f ca="1" t="array" ref="K124">IFERROR(MATCH(((产出预期!$M141-OFFSET(梦灵养成!$Q$9,MATCH(产出预期!$M141,梦灵养成!$Q$10:$Q$15,1),0))*OFFSET(梦灵养成!N$9,1+MATCH(产出预期!$M141,梦灵养成!$Q$10:$Q$15,1),0)+梦灵养成!F460+SUMPRODUCT(--(梦灵养成!$Q$10:$Q$15&lt;=产出预期!$M141),梦灵养成!N$10:N$15,梦灵养成!$P$10:$P$15))/MAX(SUMPRODUCT(--(梦灵养成!$C$10:$C$31&lt;=产出预期!$M141),--(梦灵养成!$E$10:$E$31=K$2)),1)*10,梦灵养成!AV$339:AV$387,1),0)</f>
        <v>49</v>
      </c>
      <c r="L124" s="45" cm="1">
        <f ca="1" t="array" ref="L124">IFERROR(MATCH(((产出预期!$M141-OFFSET(梦灵养成!$Q$9,MATCH(产出预期!$M141,梦灵养成!$Q$10:$Q$15,1),0))*OFFSET(梦灵养成!O$9,1+MATCH(产出预期!$M141,梦灵养成!$Q$10:$Q$15,1),0)+梦灵养成!G460+SUMPRODUCT(--(梦灵养成!$Q$10:$Q$15&lt;=产出预期!$M141),梦灵养成!O$10:O$15,梦灵养成!$P$10:$P$15))/MAX(SUMPRODUCT(--(梦灵养成!$C$10:$C$31&lt;=产出预期!$M141),--(梦灵养成!$E$10:$E$31=L$2)),1)*10,梦灵养成!AW$339:AW$388,1),0)</f>
        <v>50</v>
      </c>
      <c r="M124" s="45">
        <f ca="1">OFFSET(符文养成!$C$14,MATCH(C124,符文养成!$B$15:$B$44,1),0)</f>
        <v>30</v>
      </c>
      <c r="N124" s="45">
        <f ca="1">MATCH((产出预期!Z141*价值表!$F$53+产出预期!AA141*价值表!$F$54+产出预期!AD141*价值表!$F$57)/16/M124,符文养成!$G$15:$G$21,1)</f>
        <v>5</v>
      </c>
      <c r="O124" s="45">
        <f>MATCH(产出预期!O141,秘宝养成!$C$3:$C$14,1)</f>
        <v>11</v>
      </c>
    </row>
    <row r="125" ht="16.5" spans="2:15">
      <c r="B125" s="2">
        <v>123</v>
      </c>
      <c r="C125" s="2">
        <f ca="1">MATCH((OFFSET(产出预期!$C$3,0,产出预期!$B$1)*10+OFFSET(产出预期!$C$4,0,产出预期!$B$1)*10+OFFSET(产出预期!$C$7,0,产出预期!$B$1)*20)*B125/10*60,玩家等级!$E$3:$E$302,1)</f>
        <v>79</v>
      </c>
      <c r="D125" s="2">
        <f>MATCH(产出预期!P142/6,装备养成!$G$4:$G$303,1)</f>
        <v>111</v>
      </c>
      <c r="E125" s="2">
        <f>COUNTIF(产出预期!$R142:$Y142,"&gt;"&amp;0)</f>
        <v>8</v>
      </c>
      <c r="F125" s="2">
        <f ca="1">MATCH(OFFSET(产出预期!$R$19,B125,E125-1),装备养成!$S$4:$S$9,1)</f>
        <v>1</v>
      </c>
      <c r="G125" s="2" t="str">
        <f ca="1">OFFSET(梦灵养成!$D$9,MATCH(梦灵养成!C156,梦灵养成!$C$10:$C$28,1),0)</f>
        <v>我爱沙</v>
      </c>
      <c r="H125" s="2" t="str">
        <f ca="1">OFFSET(梦灵养成!$I$9,MATCH(梦灵养成!C156,梦灵养成!$C$10:$C$28,1),0)</f>
        <v>后羿</v>
      </c>
      <c r="I125" s="45" cm="1">
        <f ca="1" t="array" ref="I125">IFERROR(MATCH(((产出预期!$M142-OFFSET(梦灵养成!$Q$9,MATCH(产出预期!$M142,梦灵养成!$Q$10:$Q$15,1),0))*OFFSET(梦灵养成!L$9,1+MATCH(产出预期!$M142,梦灵养成!$Q$10:$Q$15,1),0)+梦灵养成!D461+SUMPRODUCT(--(梦灵养成!$Q$10:$Q$15&lt;=产出预期!$M142),梦灵养成!L$10:L$15,梦灵养成!$P$10:$P$15))/MAX(SUMPRODUCT(--(梦灵养成!$C$10:$C$31&lt;=产出预期!$M142),--(梦灵养成!$E$10:$E$31=I$2)),1)*10,梦灵养成!AT$339:AT$387,1),0)</f>
        <v>49</v>
      </c>
      <c r="J125" s="45" cm="1">
        <f ca="1" t="array" ref="J125">IFERROR(MATCH(((产出预期!$M142-OFFSET(梦灵养成!$Q$9,MATCH(产出预期!$M142,梦灵养成!$Q$10:$Q$15,1),0))*OFFSET(梦灵养成!M$9,1+MATCH(产出预期!$M142,梦灵养成!$Q$10:$Q$15,1),0)+梦灵养成!E461+SUMPRODUCT(--(梦灵养成!$Q$10:$Q$15&lt;=产出预期!$M142),梦灵养成!M$10:M$15,梦灵养成!$P$10:$P$15))/MAX(SUMPRODUCT(--(梦灵养成!$C$10:$C$31&lt;=产出预期!$M142),--(梦灵养成!$E$10:$E$31=J$2)),1)*10,梦灵养成!AU$339:AU$387,1),0)</f>
        <v>49</v>
      </c>
      <c r="K125" s="45" cm="1">
        <f ca="1" t="array" ref="K125">IFERROR(MATCH(((产出预期!$M142-OFFSET(梦灵养成!$Q$9,MATCH(产出预期!$M142,梦灵养成!$Q$10:$Q$15,1),0))*OFFSET(梦灵养成!N$9,1+MATCH(产出预期!$M142,梦灵养成!$Q$10:$Q$15,1),0)+梦灵养成!F461+SUMPRODUCT(--(梦灵养成!$Q$10:$Q$15&lt;=产出预期!$M142),梦灵养成!N$10:N$15,梦灵养成!$P$10:$P$15))/MAX(SUMPRODUCT(--(梦灵养成!$C$10:$C$31&lt;=产出预期!$M142),--(梦灵养成!$E$10:$E$31=K$2)),1)*10,梦灵养成!AV$339:AV$387,1),0)</f>
        <v>49</v>
      </c>
      <c r="L125" s="45" cm="1">
        <f ca="1" t="array" ref="L125">IFERROR(MATCH(((产出预期!$M142-OFFSET(梦灵养成!$Q$9,MATCH(产出预期!$M142,梦灵养成!$Q$10:$Q$15,1),0))*OFFSET(梦灵养成!O$9,1+MATCH(产出预期!$M142,梦灵养成!$Q$10:$Q$15,1),0)+梦灵养成!G461+SUMPRODUCT(--(梦灵养成!$Q$10:$Q$15&lt;=产出预期!$M142),梦灵养成!O$10:O$15,梦灵养成!$P$10:$P$15))/MAX(SUMPRODUCT(--(梦灵养成!$C$10:$C$31&lt;=产出预期!$M142),--(梦灵养成!$E$10:$E$31=L$2)),1)*10,梦灵养成!AW$339:AW$388,1),0)</f>
        <v>50</v>
      </c>
      <c r="M125" s="45">
        <f ca="1">OFFSET(符文养成!$C$14,MATCH(C125,符文养成!$B$15:$B$44,1),0)</f>
        <v>30</v>
      </c>
      <c r="N125" s="45">
        <f ca="1">MATCH((产出预期!Z142*价值表!$F$53+产出预期!AA142*价值表!$F$54+产出预期!AD142*价值表!$F$57)/16/M125,符文养成!$G$15:$G$21,1)</f>
        <v>5</v>
      </c>
      <c r="O125" s="45">
        <f>MATCH(产出预期!O142,秘宝养成!$C$3:$C$14,1)</f>
        <v>11</v>
      </c>
    </row>
    <row r="126" ht="16.5" spans="2:15">
      <c r="B126" s="2">
        <v>124</v>
      </c>
      <c r="C126" s="2">
        <f ca="1">MATCH((OFFSET(产出预期!$C$3,0,产出预期!$B$1)*10+OFFSET(产出预期!$C$4,0,产出预期!$B$1)*10+OFFSET(产出预期!$C$7,0,产出预期!$B$1)*20)*B126/10*60,玩家等级!$E$3:$E$302,1)</f>
        <v>79</v>
      </c>
      <c r="D126" s="2">
        <f>MATCH(产出预期!P143/6,装备养成!$G$4:$G$303,1)</f>
        <v>111</v>
      </c>
      <c r="E126" s="2">
        <f>COUNTIF(产出预期!$R143:$Y143,"&gt;"&amp;0)</f>
        <v>8</v>
      </c>
      <c r="F126" s="2">
        <f ca="1">MATCH(OFFSET(产出预期!$R$19,B126,E126-1),装备养成!$S$4:$S$9,1)</f>
        <v>1</v>
      </c>
      <c r="G126" s="2" t="str">
        <f ca="1">OFFSET(梦灵养成!$D$9,MATCH(梦灵养成!C157,梦灵养成!$C$10:$C$28,1),0)</f>
        <v>我爱沙</v>
      </c>
      <c r="H126" s="2" t="str">
        <f ca="1">OFFSET(梦灵养成!$I$9,MATCH(梦灵养成!C157,梦灵养成!$C$10:$C$28,1),0)</f>
        <v>后羿</v>
      </c>
      <c r="I126" s="45" cm="1">
        <f ca="1" t="array" ref="I126">IFERROR(MATCH(((产出预期!$M143-OFFSET(梦灵养成!$Q$9,MATCH(产出预期!$M143,梦灵养成!$Q$10:$Q$15,1),0))*OFFSET(梦灵养成!L$9,1+MATCH(产出预期!$M143,梦灵养成!$Q$10:$Q$15,1),0)+梦灵养成!D462+SUMPRODUCT(--(梦灵养成!$Q$10:$Q$15&lt;=产出预期!$M143),梦灵养成!L$10:L$15,梦灵养成!$P$10:$P$15))/MAX(SUMPRODUCT(--(梦灵养成!$C$10:$C$31&lt;=产出预期!$M143),--(梦灵养成!$E$10:$E$31=I$2)),1)*10,梦灵养成!AT$339:AT$387,1),0)</f>
        <v>49</v>
      </c>
      <c r="J126" s="45" cm="1">
        <f ca="1" t="array" ref="J126">IFERROR(MATCH(((产出预期!$M143-OFFSET(梦灵养成!$Q$9,MATCH(产出预期!$M143,梦灵养成!$Q$10:$Q$15,1),0))*OFFSET(梦灵养成!M$9,1+MATCH(产出预期!$M143,梦灵养成!$Q$10:$Q$15,1),0)+梦灵养成!E462+SUMPRODUCT(--(梦灵养成!$Q$10:$Q$15&lt;=产出预期!$M143),梦灵养成!M$10:M$15,梦灵养成!$P$10:$P$15))/MAX(SUMPRODUCT(--(梦灵养成!$C$10:$C$31&lt;=产出预期!$M143),--(梦灵养成!$E$10:$E$31=J$2)),1)*10,梦灵养成!AU$339:AU$387,1),0)</f>
        <v>49</v>
      </c>
      <c r="K126" s="45" cm="1">
        <f ca="1" t="array" ref="K126">IFERROR(MATCH(((产出预期!$M143-OFFSET(梦灵养成!$Q$9,MATCH(产出预期!$M143,梦灵养成!$Q$10:$Q$15,1),0))*OFFSET(梦灵养成!N$9,1+MATCH(产出预期!$M143,梦灵养成!$Q$10:$Q$15,1),0)+梦灵养成!F462+SUMPRODUCT(--(梦灵养成!$Q$10:$Q$15&lt;=产出预期!$M143),梦灵养成!N$10:N$15,梦灵养成!$P$10:$P$15))/MAX(SUMPRODUCT(--(梦灵养成!$C$10:$C$31&lt;=产出预期!$M143),--(梦灵养成!$E$10:$E$31=K$2)),1)*10,梦灵养成!AV$339:AV$387,1),0)</f>
        <v>49</v>
      </c>
      <c r="L126" s="45" cm="1">
        <f ca="1" t="array" ref="L126">IFERROR(MATCH(((产出预期!$M143-OFFSET(梦灵养成!$Q$9,MATCH(产出预期!$M143,梦灵养成!$Q$10:$Q$15,1),0))*OFFSET(梦灵养成!O$9,1+MATCH(产出预期!$M143,梦灵养成!$Q$10:$Q$15,1),0)+梦灵养成!G462+SUMPRODUCT(--(梦灵养成!$Q$10:$Q$15&lt;=产出预期!$M143),梦灵养成!O$10:O$15,梦灵养成!$P$10:$P$15))/MAX(SUMPRODUCT(--(梦灵养成!$C$10:$C$31&lt;=产出预期!$M143),--(梦灵养成!$E$10:$E$31=L$2)),1)*10,梦灵养成!AW$339:AW$388,1),0)</f>
        <v>50</v>
      </c>
      <c r="M126" s="45">
        <f ca="1">OFFSET(符文养成!$C$14,MATCH(C126,符文养成!$B$15:$B$44,1),0)</f>
        <v>30</v>
      </c>
      <c r="N126" s="45">
        <f ca="1">MATCH((产出预期!Z143*价值表!$F$53+产出预期!AA143*价值表!$F$54+产出预期!AD143*价值表!$F$57)/16/M126,符文养成!$G$15:$G$21,1)</f>
        <v>5</v>
      </c>
      <c r="O126" s="45">
        <f>MATCH(产出预期!O143,秘宝养成!$C$3:$C$14,1)</f>
        <v>11</v>
      </c>
    </row>
    <row r="127" ht="16.5" spans="2:15">
      <c r="B127" s="2">
        <v>125</v>
      </c>
      <c r="C127" s="2">
        <f ca="1">MATCH((OFFSET(产出预期!$C$3,0,产出预期!$B$1)*10+OFFSET(产出预期!$C$4,0,产出预期!$B$1)*10+OFFSET(产出预期!$C$7,0,产出预期!$B$1)*20)*B127/10*60,玩家等级!$E$3:$E$302,1)</f>
        <v>79</v>
      </c>
      <c r="D127" s="2">
        <f>MATCH(产出预期!P144/6,装备养成!$G$4:$G$303,1)</f>
        <v>111</v>
      </c>
      <c r="E127" s="2">
        <f>COUNTIF(产出预期!$R144:$Y144,"&gt;"&amp;0)</f>
        <v>8</v>
      </c>
      <c r="F127" s="2">
        <f ca="1">MATCH(OFFSET(产出预期!$R$19,B127,E127-1),装备养成!$S$4:$S$9,1)</f>
        <v>1</v>
      </c>
      <c r="G127" s="2" t="str">
        <f ca="1">OFFSET(梦灵养成!$D$9,MATCH(梦灵养成!C158,梦灵养成!$C$10:$C$28,1),0)</f>
        <v>我爱沙</v>
      </c>
      <c r="H127" s="2" t="str">
        <f ca="1">OFFSET(梦灵养成!$I$9,MATCH(梦灵养成!C158,梦灵养成!$C$10:$C$28,1),0)</f>
        <v>后羿</v>
      </c>
      <c r="I127" s="45" cm="1">
        <f ca="1" t="array" ref="I127">IFERROR(MATCH(((产出预期!$M144-OFFSET(梦灵养成!$Q$9,MATCH(产出预期!$M144,梦灵养成!$Q$10:$Q$15,1),0))*OFFSET(梦灵养成!L$9,1+MATCH(产出预期!$M144,梦灵养成!$Q$10:$Q$15,1),0)+梦灵养成!D463+SUMPRODUCT(--(梦灵养成!$Q$10:$Q$15&lt;=产出预期!$M144),梦灵养成!L$10:L$15,梦灵养成!$P$10:$P$15))/MAX(SUMPRODUCT(--(梦灵养成!$C$10:$C$31&lt;=产出预期!$M144),--(梦灵养成!$E$10:$E$31=I$2)),1)*10,梦灵养成!AT$339:AT$387,1),0)</f>
        <v>49</v>
      </c>
      <c r="J127" s="45" cm="1">
        <f ca="1" t="array" ref="J127">IFERROR(MATCH(((产出预期!$M144-OFFSET(梦灵养成!$Q$9,MATCH(产出预期!$M144,梦灵养成!$Q$10:$Q$15,1),0))*OFFSET(梦灵养成!M$9,1+MATCH(产出预期!$M144,梦灵养成!$Q$10:$Q$15,1),0)+梦灵养成!E463+SUMPRODUCT(--(梦灵养成!$Q$10:$Q$15&lt;=产出预期!$M144),梦灵养成!M$10:M$15,梦灵养成!$P$10:$P$15))/MAX(SUMPRODUCT(--(梦灵养成!$C$10:$C$31&lt;=产出预期!$M144),--(梦灵养成!$E$10:$E$31=J$2)),1)*10,梦灵养成!AU$339:AU$387,1),0)</f>
        <v>49</v>
      </c>
      <c r="K127" s="45" cm="1">
        <f ca="1" t="array" ref="K127">IFERROR(MATCH(((产出预期!$M144-OFFSET(梦灵养成!$Q$9,MATCH(产出预期!$M144,梦灵养成!$Q$10:$Q$15,1),0))*OFFSET(梦灵养成!N$9,1+MATCH(产出预期!$M144,梦灵养成!$Q$10:$Q$15,1),0)+梦灵养成!F463+SUMPRODUCT(--(梦灵养成!$Q$10:$Q$15&lt;=产出预期!$M144),梦灵养成!N$10:N$15,梦灵养成!$P$10:$P$15))/MAX(SUMPRODUCT(--(梦灵养成!$C$10:$C$31&lt;=产出预期!$M144),--(梦灵养成!$E$10:$E$31=K$2)),1)*10,梦灵养成!AV$339:AV$387,1),0)</f>
        <v>49</v>
      </c>
      <c r="L127" s="45" cm="1">
        <f ca="1" t="array" ref="L127">IFERROR(MATCH(((产出预期!$M144-OFFSET(梦灵养成!$Q$9,MATCH(产出预期!$M144,梦灵养成!$Q$10:$Q$15,1),0))*OFFSET(梦灵养成!O$9,1+MATCH(产出预期!$M144,梦灵养成!$Q$10:$Q$15,1),0)+梦灵养成!G463+SUMPRODUCT(--(梦灵养成!$Q$10:$Q$15&lt;=产出预期!$M144),梦灵养成!O$10:O$15,梦灵养成!$P$10:$P$15))/MAX(SUMPRODUCT(--(梦灵养成!$C$10:$C$31&lt;=产出预期!$M144),--(梦灵养成!$E$10:$E$31=L$2)),1)*10,梦灵养成!AW$339:AW$388,1),0)</f>
        <v>50</v>
      </c>
      <c r="M127" s="45">
        <f ca="1">OFFSET(符文养成!$C$14,MATCH(C127,符文养成!$B$15:$B$44,1),0)</f>
        <v>30</v>
      </c>
      <c r="N127" s="45">
        <f ca="1">MATCH((产出预期!Z144*价值表!$F$53+产出预期!AA144*价值表!$F$54+产出预期!AD144*价值表!$F$57)/16/M127,符文养成!$G$15:$G$21,1)</f>
        <v>5</v>
      </c>
      <c r="O127" s="45">
        <f>MATCH(产出预期!O144,秘宝养成!$C$3:$C$14,1)</f>
        <v>11</v>
      </c>
    </row>
    <row r="128" ht="16.5" spans="2:15">
      <c r="B128" s="2">
        <v>126</v>
      </c>
      <c r="C128" s="2">
        <f ca="1">MATCH((OFFSET(产出预期!$C$3,0,产出预期!$B$1)*10+OFFSET(产出预期!$C$4,0,产出预期!$B$1)*10+OFFSET(产出预期!$C$7,0,产出预期!$B$1)*20)*B128/10*60,玩家等级!$E$3:$E$302,1)</f>
        <v>80</v>
      </c>
      <c r="D128" s="2">
        <f>MATCH(产出预期!P145/6,装备养成!$G$4:$G$303,1)</f>
        <v>112</v>
      </c>
      <c r="E128" s="2">
        <f>COUNTIF(产出预期!$R145:$Y145,"&gt;"&amp;0)</f>
        <v>8</v>
      </c>
      <c r="F128" s="2">
        <f ca="1">MATCH(OFFSET(产出预期!$R$19,B128,E128-1),装备养成!$S$4:$S$9,1)</f>
        <v>1</v>
      </c>
      <c r="G128" s="2" t="str">
        <f ca="1">OFFSET(梦灵养成!$D$9,MATCH(梦灵养成!C159,梦灵养成!$C$10:$C$28,1),0)</f>
        <v>我爱沙</v>
      </c>
      <c r="H128" s="2" t="str">
        <f ca="1">OFFSET(梦灵养成!$I$9,MATCH(梦灵养成!C159,梦灵养成!$C$10:$C$28,1),0)</f>
        <v>后羿</v>
      </c>
      <c r="I128" s="45" cm="1">
        <f ca="1" t="array" ref="I128">IFERROR(MATCH(((产出预期!$M145-OFFSET(梦灵养成!$Q$9,MATCH(产出预期!$M145,梦灵养成!$Q$10:$Q$15,1),0))*OFFSET(梦灵养成!L$9,1+MATCH(产出预期!$M145,梦灵养成!$Q$10:$Q$15,1),0)+梦灵养成!D464+SUMPRODUCT(--(梦灵养成!$Q$10:$Q$15&lt;=产出预期!$M145),梦灵养成!L$10:L$15,梦灵养成!$P$10:$P$15))/MAX(SUMPRODUCT(--(梦灵养成!$C$10:$C$31&lt;=产出预期!$M145),--(梦灵养成!$E$10:$E$31=I$2)),1)*10,梦灵养成!AT$339:AT$387,1),0)</f>
        <v>49</v>
      </c>
      <c r="J128" s="45" cm="1">
        <f ca="1" t="array" ref="J128">IFERROR(MATCH(((产出预期!$M145-OFFSET(梦灵养成!$Q$9,MATCH(产出预期!$M145,梦灵养成!$Q$10:$Q$15,1),0))*OFFSET(梦灵养成!M$9,1+MATCH(产出预期!$M145,梦灵养成!$Q$10:$Q$15,1),0)+梦灵养成!E464+SUMPRODUCT(--(梦灵养成!$Q$10:$Q$15&lt;=产出预期!$M145),梦灵养成!M$10:M$15,梦灵养成!$P$10:$P$15))/MAX(SUMPRODUCT(--(梦灵养成!$C$10:$C$31&lt;=产出预期!$M145),--(梦灵养成!$E$10:$E$31=J$2)),1)*10,梦灵养成!AU$339:AU$387,1),0)</f>
        <v>49</v>
      </c>
      <c r="K128" s="45" cm="1">
        <f ca="1" t="array" ref="K128">IFERROR(MATCH(((产出预期!$M145-OFFSET(梦灵养成!$Q$9,MATCH(产出预期!$M145,梦灵养成!$Q$10:$Q$15,1),0))*OFFSET(梦灵养成!N$9,1+MATCH(产出预期!$M145,梦灵养成!$Q$10:$Q$15,1),0)+梦灵养成!F464+SUMPRODUCT(--(梦灵养成!$Q$10:$Q$15&lt;=产出预期!$M145),梦灵养成!N$10:N$15,梦灵养成!$P$10:$P$15))/MAX(SUMPRODUCT(--(梦灵养成!$C$10:$C$31&lt;=产出预期!$M145),--(梦灵养成!$E$10:$E$31=K$2)),1)*10,梦灵养成!AV$339:AV$387,1),0)</f>
        <v>49</v>
      </c>
      <c r="L128" s="45" cm="1">
        <f ca="1" t="array" ref="L128">IFERROR(MATCH(((产出预期!$M145-OFFSET(梦灵养成!$Q$9,MATCH(产出预期!$M145,梦灵养成!$Q$10:$Q$15,1),0))*OFFSET(梦灵养成!O$9,1+MATCH(产出预期!$M145,梦灵养成!$Q$10:$Q$15,1),0)+梦灵养成!G464+SUMPRODUCT(--(梦灵养成!$Q$10:$Q$15&lt;=产出预期!$M145),梦灵养成!O$10:O$15,梦灵养成!$P$10:$P$15))/MAX(SUMPRODUCT(--(梦灵养成!$C$10:$C$31&lt;=产出预期!$M145),--(梦灵养成!$E$10:$E$31=L$2)),1)*10,梦灵养成!AW$339:AW$388,1),0)</f>
        <v>50</v>
      </c>
      <c r="M128" s="45">
        <f ca="1">OFFSET(符文养成!$C$14,MATCH(C128,符文养成!$B$15:$B$44,1),0)</f>
        <v>30</v>
      </c>
      <c r="N128" s="45">
        <f ca="1">MATCH((产出预期!Z145*价值表!$F$53+产出预期!AA145*价值表!$F$54+产出预期!AD145*价值表!$F$57)/16/M128,符文养成!$G$15:$G$21,1)</f>
        <v>5</v>
      </c>
      <c r="O128" s="45">
        <f>MATCH(产出预期!O145,秘宝养成!$C$3:$C$14,1)</f>
        <v>11</v>
      </c>
    </row>
    <row r="129" ht="16.5" spans="2:15">
      <c r="B129" s="2">
        <v>127</v>
      </c>
      <c r="C129" s="2">
        <f ca="1">MATCH((OFFSET(产出预期!$C$3,0,产出预期!$B$1)*10+OFFSET(产出预期!$C$4,0,产出预期!$B$1)*10+OFFSET(产出预期!$C$7,0,产出预期!$B$1)*20)*B129/10*60,玩家等级!$E$3:$E$302,1)</f>
        <v>80</v>
      </c>
      <c r="D129" s="2">
        <f>MATCH(产出预期!P146/6,装备养成!$G$4:$G$303,1)</f>
        <v>112</v>
      </c>
      <c r="E129" s="2">
        <f>COUNTIF(产出预期!$R146:$Y146,"&gt;"&amp;0)</f>
        <v>8</v>
      </c>
      <c r="F129" s="2">
        <f ca="1">MATCH(OFFSET(产出预期!$R$19,B129,E129-1),装备养成!$S$4:$S$9,1)</f>
        <v>2</v>
      </c>
      <c r="G129" s="2" t="str">
        <f ca="1">OFFSET(梦灵养成!$D$9,MATCH(梦灵养成!C160,梦灵养成!$C$10:$C$28,1),0)</f>
        <v>我爱沙</v>
      </c>
      <c r="H129" s="2" t="str">
        <f ca="1">OFFSET(梦灵养成!$I$9,MATCH(梦灵养成!C160,梦灵养成!$C$10:$C$28,1),0)</f>
        <v>后羿</v>
      </c>
      <c r="I129" s="45" cm="1">
        <f ca="1" t="array" ref="I129">IFERROR(MATCH(((产出预期!$M146-OFFSET(梦灵养成!$Q$9,MATCH(产出预期!$M146,梦灵养成!$Q$10:$Q$15,1),0))*OFFSET(梦灵养成!L$9,1+MATCH(产出预期!$M146,梦灵养成!$Q$10:$Q$15,1),0)+梦灵养成!D465+SUMPRODUCT(--(梦灵养成!$Q$10:$Q$15&lt;=产出预期!$M146),梦灵养成!L$10:L$15,梦灵养成!$P$10:$P$15))/MAX(SUMPRODUCT(--(梦灵养成!$C$10:$C$31&lt;=产出预期!$M146),--(梦灵养成!$E$10:$E$31=I$2)),1)*10,梦灵养成!AT$339:AT$387,1),0)</f>
        <v>49</v>
      </c>
      <c r="J129" s="45" cm="1">
        <f ca="1" t="array" ref="J129">IFERROR(MATCH(((产出预期!$M146-OFFSET(梦灵养成!$Q$9,MATCH(产出预期!$M146,梦灵养成!$Q$10:$Q$15,1),0))*OFFSET(梦灵养成!M$9,1+MATCH(产出预期!$M146,梦灵养成!$Q$10:$Q$15,1),0)+梦灵养成!E465+SUMPRODUCT(--(梦灵养成!$Q$10:$Q$15&lt;=产出预期!$M146),梦灵养成!M$10:M$15,梦灵养成!$P$10:$P$15))/MAX(SUMPRODUCT(--(梦灵养成!$C$10:$C$31&lt;=产出预期!$M146),--(梦灵养成!$E$10:$E$31=J$2)),1)*10,梦灵养成!AU$339:AU$387,1),0)</f>
        <v>49</v>
      </c>
      <c r="K129" s="45" cm="1">
        <f ca="1" t="array" ref="K129">IFERROR(MATCH(((产出预期!$M146-OFFSET(梦灵养成!$Q$9,MATCH(产出预期!$M146,梦灵养成!$Q$10:$Q$15,1),0))*OFFSET(梦灵养成!N$9,1+MATCH(产出预期!$M146,梦灵养成!$Q$10:$Q$15,1),0)+梦灵养成!F465+SUMPRODUCT(--(梦灵养成!$Q$10:$Q$15&lt;=产出预期!$M146),梦灵养成!N$10:N$15,梦灵养成!$P$10:$P$15))/MAX(SUMPRODUCT(--(梦灵养成!$C$10:$C$31&lt;=产出预期!$M146),--(梦灵养成!$E$10:$E$31=K$2)),1)*10,梦灵养成!AV$339:AV$387,1),0)</f>
        <v>49</v>
      </c>
      <c r="L129" s="45" cm="1">
        <f ca="1" t="array" ref="L129">IFERROR(MATCH(((产出预期!$M146-OFFSET(梦灵养成!$Q$9,MATCH(产出预期!$M146,梦灵养成!$Q$10:$Q$15,1),0))*OFFSET(梦灵养成!O$9,1+MATCH(产出预期!$M146,梦灵养成!$Q$10:$Q$15,1),0)+梦灵养成!G465+SUMPRODUCT(--(梦灵养成!$Q$10:$Q$15&lt;=产出预期!$M146),梦灵养成!O$10:O$15,梦灵养成!$P$10:$P$15))/MAX(SUMPRODUCT(--(梦灵养成!$C$10:$C$31&lt;=产出预期!$M146),--(梦灵养成!$E$10:$E$31=L$2)),1)*10,梦灵养成!AW$339:AW$388,1),0)</f>
        <v>50</v>
      </c>
      <c r="M129" s="45">
        <f ca="1">OFFSET(符文养成!$C$14,MATCH(C129,符文养成!$B$15:$B$44,1),0)</f>
        <v>30</v>
      </c>
      <c r="N129" s="45">
        <f ca="1">MATCH((产出预期!Z146*价值表!$F$53+产出预期!AA146*价值表!$F$54+产出预期!AD146*价值表!$F$57)/16/M129,符文养成!$G$15:$G$21,1)</f>
        <v>5</v>
      </c>
      <c r="O129" s="45">
        <f>MATCH(产出预期!O146,秘宝养成!$C$3:$C$14,1)</f>
        <v>11</v>
      </c>
    </row>
    <row r="130" ht="16.5" spans="2:15">
      <c r="B130" s="2">
        <v>128</v>
      </c>
      <c r="C130" s="2">
        <f ca="1">MATCH((OFFSET(产出预期!$C$3,0,产出预期!$B$1)*10+OFFSET(产出预期!$C$4,0,产出预期!$B$1)*10+OFFSET(产出预期!$C$7,0,产出预期!$B$1)*20)*B130/10*60,玩家等级!$E$3:$E$302,1)</f>
        <v>80</v>
      </c>
      <c r="D130" s="2">
        <f>MATCH(产出预期!P147/6,装备养成!$G$4:$G$303,1)</f>
        <v>112</v>
      </c>
      <c r="E130" s="2">
        <f>COUNTIF(产出预期!$R147:$Y147,"&gt;"&amp;0)</f>
        <v>8</v>
      </c>
      <c r="F130" s="2">
        <f ca="1">MATCH(OFFSET(产出预期!$R$19,B130,E130-1),装备养成!$S$4:$S$9,1)</f>
        <v>2</v>
      </c>
      <c r="G130" s="2" t="str">
        <f ca="1">OFFSET(梦灵养成!$D$9,MATCH(梦灵养成!C161,梦灵养成!$C$10:$C$28,1),0)</f>
        <v>我爱沙</v>
      </c>
      <c r="H130" s="2" t="str">
        <f ca="1">OFFSET(梦灵养成!$I$9,MATCH(梦灵养成!C161,梦灵养成!$C$10:$C$28,1),0)</f>
        <v>后羿</v>
      </c>
      <c r="I130" s="45" cm="1">
        <f ca="1" t="array" ref="I130">IFERROR(MATCH(((产出预期!$M147-OFFSET(梦灵养成!$Q$9,MATCH(产出预期!$M147,梦灵养成!$Q$10:$Q$15,1),0))*OFFSET(梦灵养成!L$9,1+MATCH(产出预期!$M147,梦灵养成!$Q$10:$Q$15,1),0)+梦灵养成!D466+SUMPRODUCT(--(梦灵养成!$Q$10:$Q$15&lt;=产出预期!$M147),梦灵养成!L$10:L$15,梦灵养成!$P$10:$P$15))/MAX(SUMPRODUCT(--(梦灵养成!$C$10:$C$31&lt;=产出预期!$M147),--(梦灵养成!$E$10:$E$31=I$2)),1)*10,梦灵养成!AT$339:AT$387,1),0)</f>
        <v>49</v>
      </c>
      <c r="J130" s="45" cm="1">
        <f ca="1" t="array" ref="J130">IFERROR(MATCH(((产出预期!$M147-OFFSET(梦灵养成!$Q$9,MATCH(产出预期!$M147,梦灵养成!$Q$10:$Q$15,1),0))*OFFSET(梦灵养成!M$9,1+MATCH(产出预期!$M147,梦灵养成!$Q$10:$Q$15,1),0)+梦灵养成!E466+SUMPRODUCT(--(梦灵养成!$Q$10:$Q$15&lt;=产出预期!$M147),梦灵养成!M$10:M$15,梦灵养成!$P$10:$P$15))/MAX(SUMPRODUCT(--(梦灵养成!$C$10:$C$31&lt;=产出预期!$M147),--(梦灵养成!$E$10:$E$31=J$2)),1)*10,梦灵养成!AU$339:AU$387,1),0)</f>
        <v>49</v>
      </c>
      <c r="K130" s="45" cm="1">
        <f ca="1" t="array" ref="K130">IFERROR(MATCH(((产出预期!$M147-OFFSET(梦灵养成!$Q$9,MATCH(产出预期!$M147,梦灵养成!$Q$10:$Q$15,1),0))*OFFSET(梦灵养成!N$9,1+MATCH(产出预期!$M147,梦灵养成!$Q$10:$Q$15,1),0)+梦灵养成!F466+SUMPRODUCT(--(梦灵养成!$Q$10:$Q$15&lt;=产出预期!$M147),梦灵养成!N$10:N$15,梦灵养成!$P$10:$P$15))/MAX(SUMPRODUCT(--(梦灵养成!$C$10:$C$31&lt;=产出预期!$M147),--(梦灵养成!$E$10:$E$31=K$2)),1)*10,梦灵养成!AV$339:AV$387,1),0)</f>
        <v>49</v>
      </c>
      <c r="L130" s="45" cm="1">
        <f ca="1" t="array" ref="L130">IFERROR(MATCH(((产出预期!$M147-OFFSET(梦灵养成!$Q$9,MATCH(产出预期!$M147,梦灵养成!$Q$10:$Q$15,1),0))*OFFSET(梦灵养成!O$9,1+MATCH(产出预期!$M147,梦灵养成!$Q$10:$Q$15,1),0)+梦灵养成!G466+SUMPRODUCT(--(梦灵养成!$Q$10:$Q$15&lt;=产出预期!$M147),梦灵养成!O$10:O$15,梦灵养成!$P$10:$P$15))/MAX(SUMPRODUCT(--(梦灵养成!$C$10:$C$31&lt;=产出预期!$M147),--(梦灵养成!$E$10:$E$31=L$2)),1)*10,梦灵养成!AW$339:AW$388,1),0)</f>
        <v>50</v>
      </c>
      <c r="M130" s="45">
        <f ca="1">OFFSET(符文养成!$C$14,MATCH(C130,符文养成!$B$15:$B$44,1),0)</f>
        <v>30</v>
      </c>
      <c r="N130" s="45">
        <f ca="1">MATCH((产出预期!Z147*价值表!$F$53+产出预期!AA147*价值表!$F$54+产出预期!AD147*价值表!$F$57)/16/M130,符文养成!$G$15:$G$21,1)</f>
        <v>5</v>
      </c>
      <c r="O130" s="45">
        <f>MATCH(产出预期!O147,秘宝养成!$C$3:$C$14,1)</f>
        <v>11</v>
      </c>
    </row>
    <row r="131" ht="16.5" spans="2:15">
      <c r="B131" s="2">
        <v>129</v>
      </c>
      <c r="C131" s="2">
        <f ca="1">MATCH((OFFSET(产出预期!$C$3,0,产出预期!$B$1)*10+OFFSET(产出预期!$C$4,0,产出预期!$B$1)*10+OFFSET(产出预期!$C$7,0,产出预期!$B$1)*20)*B131/10*60,玩家等级!$E$3:$E$302,1)</f>
        <v>80</v>
      </c>
      <c r="D131" s="2">
        <f>MATCH(产出预期!P148/6,装备养成!$G$4:$G$303,1)</f>
        <v>113</v>
      </c>
      <c r="E131" s="2">
        <f>COUNTIF(产出预期!$R148:$Y148,"&gt;"&amp;0)</f>
        <v>8</v>
      </c>
      <c r="F131" s="2">
        <f ca="1">MATCH(OFFSET(产出预期!$R$19,B131,E131-1),装备养成!$S$4:$S$9,1)</f>
        <v>2</v>
      </c>
      <c r="G131" s="2" t="str">
        <f ca="1">OFFSET(梦灵养成!$D$9,MATCH(梦灵养成!C162,梦灵养成!$C$10:$C$28,1),0)</f>
        <v>我爱沙</v>
      </c>
      <c r="H131" s="2" t="str">
        <f ca="1">OFFSET(梦灵养成!$I$9,MATCH(梦灵养成!C162,梦灵养成!$C$10:$C$28,1),0)</f>
        <v>后羿</v>
      </c>
      <c r="I131" s="45" cm="1">
        <f ca="1" t="array" ref="I131">IFERROR(MATCH(((产出预期!$M148-OFFSET(梦灵养成!$Q$9,MATCH(产出预期!$M148,梦灵养成!$Q$10:$Q$15,1),0))*OFFSET(梦灵养成!L$9,1+MATCH(产出预期!$M148,梦灵养成!$Q$10:$Q$15,1),0)+梦灵养成!D467+SUMPRODUCT(--(梦灵养成!$Q$10:$Q$15&lt;=产出预期!$M148),梦灵养成!L$10:L$15,梦灵养成!$P$10:$P$15))/MAX(SUMPRODUCT(--(梦灵养成!$C$10:$C$31&lt;=产出预期!$M148),--(梦灵养成!$E$10:$E$31=I$2)),1)*10,梦灵养成!AT$339:AT$387,1),0)</f>
        <v>49</v>
      </c>
      <c r="J131" s="45" cm="1">
        <f ca="1" t="array" ref="J131">IFERROR(MATCH(((产出预期!$M148-OFFSET(梦灵养成!$Q$9,MATCH(产出预期!$M148,梦灵养成!$Q$10:$Q$15,1),0))*OFFSET(梦灵养成!M$9,1+MATCH(产出预期!$M148,梦灵养成!$Q$10:$Q$15,1),0)+梦灵养成!E467+SUMPRODUCT(--(梦灵养成!$Q$10:$Q$15&lt;=产出预期!$M148),梦灵养成!M$10:M$15,梦灵养成!$P$10:$P$15))/MAX(SUMPRODUCT(--(梦灵养成!$C$10:$C$31&lt;=产出预期!$M148),--(梦灵养成!$E$10:$E$31=J$2)),1)*10,梦灵养成!AU$339:AU$387,1),0)</f>
        <v>49</v>
      </c>
      <c r="K131" s="45" cm="1">
        <f ca="1" t="array" ref="K131">IFERROR(MATCH(((产出预期!$M148-OFFSET(梦灵养成!$Q$9,MATCH(产出预期!$M148,梦灵养成!$Q$10:$Q$15,1),0))*OFFSET(梦灵养成!N$9,1+MATCH(产出预期!$M148,梦灵养成!$Q$10:$Q$15,1),0)+梦灵养成!F467+SUMPRODUCT(--(梦灵养成!$Q$10:$Q$15&lt;=产出预期!$M148),梦灵养成!N$10:N$15,梦灵养成!$P$10:$P$15))/MAX(SUMPRODUCT(--(梦灵养成!$C$10:$C$31&lt;=产出预期!$M148),--(梦灵养成!$E$10:$E$31=K$2)),1)*10,梦灵养成!AV$339:AV$387,1),0)</f>
        <v>49</v>
      </c>
      <c r="L131" s="45" cm="1">
        <f ca="1" t="array" ref="L131">IFERROR(MATCH(((产出预期!$M148-OFFSET(梦灵养成!$Q$9,MATCH(产出预期!$M148,梦灵养成!$Q$10:$Q$15,1),0))*OFFSET(梦灵养成!O$9,1+MATCH(产出预期!$M148,梦灵养成!$Q$10:$Q$15,1),0)+梦灵养成!G467+SUMPRODUCT(--(梦灵养成!$Q$10:$Q$15&lt;=产出预期!$M148),梦灵养成!O$10:O$15,梦灵养成!$P$10:$P$15))/MAX(SUMPRODUCT(--(梦灵养成!$C$10:$C$31&lt;=产出预期!$M148),--(梦灵养成!$E$10:$E$31=L$2)),1)*10,梦灵养成!AW$339:AW$388,1),0)</f>
        <v>50</v>
      </c>
      <c r="M131" s="45">
        <f ca="1">OFFSET(符文养成!$C$14,MATCH(C131,符文养成!$B$15:$B$44,1),0)</f>
        <v>30</v>
      </c>
      <c r="N131" s="45">
        <f ca="1">MATCH((产出预期!Z148*价值表!$F$53+产出预期!AA148*价值表!$F$54+产出预期!AD148*价值表!$F$57)/16/M131,符文养成!$G$15:$G$21,1)</f>
        <v>5</v>
      </c>
      <c r="O131" s="45">
        <f>MATCH(产出预期!O148,秘宝养成!$C$3:$C$14,1)</f>
        <v>11</v>
      </c>
    </row>
    <row r="132" ht="16.5" spans="2:15">
      <c r="B132" s="2">
        <v>130</v>
      </c>
      <c r="C132" s="2">
        <f ca="1">MATCH((OFFSET(产出预期!$C$3,0,产出预期!$B$1)*10+OFFSET(产出预期!$C$4,0,产出预期!$B$1)*10+OFFSET(产出预期!$C$7,0,产出预期!$B$1)*20)*B132/10*60,玩家等级!$E$3:$E$302,1)</f>
        <v>81</v>
      </c>
      <c r="D132" s="2">
        <f>MATCH(产出预期!P149/6,装备养成!$G$4:$G$303,1)</f>
        <v>113</v>
      </c>
      <c r="E132" s="2">
        <f>COUNTIF(产出预期!$R149:$Y149,"&gt;"&amp;0)</f>
        <v>8</v>
      </c>
      <c r="F132" s="2">
        <f ca="1">MATCH(OFFSET(产出预期!$R$19,B132,E132-1),装备养成!$S$4:$S$9,1)</f>
        <v>2</v>
      </c>
      <c r="G132" s="2" t="str">
        <f ca="1">OFFSET(梦灵养成!$D$9,MATCH(梦灵养成!C163,梦灵养成!$C$10:$C$28,1),0)</f>
        <v>我爱沙</v>
      </c>
      <c r="H132" s="2" t="str">
        <f ca="1">OFFSET(梦灵养成!$I$9,MATCH(梦灵养成!C163,梦灵养成!$C$10:$C$28,1),0)</f>
        <v>后羿</v>
      </c>
      <c r="I132" s="45" cm="1">
        <f ca="1" t="array" ref="I132">IFERROR(MATCH(((产出预期!$M149-OFFSET(梦灵养成!$Q$9,MATCH(产出预期!$M149,梦灵养成!$Q$10:$Q$15,1),0))*OFFSET(梦灵养成!L$9,1+MATCH(产出预期!$M149,梦灵养成!$Q$10:$Q$15,1),0)+梦灵养成!D468+SUMPRODUCT(--(梦灵养成!$Q$10:$Q$15&lt;=产出预期!$M149),梦灵养成!L$10:L$15,梦灵养成!$P$10:$P$15))/MAX(SUMPRODUCT(--(梦灵养成!$C$10:$C$31&lt;=产出预期!$M149),--(梦灵养成!$E$10:$E$31=I$2)),1)*10,梦灵养成!AT$339:AT$387,1),0)</f>
        <v>49</v>
      </c>
      <c r="J132" s="45" cm="1">
        <f ca="1" t="array" ref="J132">IFERROR(MATCH(((产出预期!$M149-OFFSET(梦灵养成!$Q$9,MATCH(产出预期!$M149,梦灵养成!$Q$10:$Q$15,1),0))*OFFSET(梦灵养成!M$9,1+MATCH(产出预期!$M149,梦灵养成!$Q$10:$Q$15,1),0)+梦灵养成!E468+SUMPRODUCT(--(梦灵养成!$Q$10:$Q$15&lt;=产出预期!$M149),梦灵养成!M$10:M$15,梦灵养成!$P$10:$P$15))/MAX(SUMPRODUCT(--(梦灵养成!$C$10:$C$31&lt;=产出预期!$M149),--(梦灵养成!$E$10:$E$31=J$2)),1)*10,梦灵养成!AU$339:AU$387,1),0)</f>
        <v>49</v>
      </c>
      <c r="K132" s="45" cm="1">
        <f ca="1" t="array" ref="K132">IFERROR(MATCH(((产出预期!$M149-OFFSET(梦灵养成!$Q$9,MATCH(产出预期!$M149,梦灵养成!$Q$10:$Q$15,1),0))*OFFSET(梦灵养成!N$9,1+MATCH(产出预期!$M149,梦灵养成!$Q$10:$Q$15,1),0)+梦灵养成!F468+SUMPRODUCT(--(梦灵养成!$Q$10:$Q$15&lt;=产出预期!$M149),梦灵养成!N$10:N$15,梦灵养成!$P$10:$P$15))/MAX(SUMPRODUCT(--(梦灵养成!$C$10:$C$31&lt;=产出预期!$M149),--(梦灵养成!$E$10:$E$31=K$2)),1)*10,梦灵养成!AV$339:AV$387,1),0)</f>
        <v>49</v>
      </c>
      <c r="L132" s="45" cm="1">
        <f ca="1" t="array" ref="L132">IFERROR(MATCH(((产出预期!$M149-OFFSET(梦灵养成!$Q$9,MATCH(产出预期!$M149,梦灵养成!$Q$10:$Q$15,1),0))*OFFSET(梦灵养成!O$9,1+MATCH(产出预期!$M149,梦灵养成!$Q$10:$Q$15,1),0)+梦灵养成!G468+SUMPRODUCT(--(梦灵养成!$Q$10:$Q$15&lt;=产出预期!$M149),梦灵养成!O$10:O$15,梦灵养成!$P$10:$P$15))/MAX(SUMPRODUCT(--(梦灵养成!$C$10:$C$31&lt;=产出预期!$M149),--(梦灵养成!$E$10:$E$31=L$2)),1)*10,梦灵养成!AW$339:AW$388,1),0)</f>
        <v>50</v>
      </c>
      <c r="M132" s="45">
        <f ca="1">OFFSET(符文养成!$C$14,MATCH(C132,符文养成!$B$15:$B$44,1),0)</f>
        <v>30</v>
      </c>
      <c r="N132" s="45">
        <f ca="1">MATCH((产出预期!Z149*价值表!$F$53+产出预期!AA149*价值表!$F$54+产出预期!AD149*价值表!$F$57)/16/M132,符文养成!$G$15:$G$21,1)</f>
        <v>5</v>
      </c>
      <c r="O132" s="45">
        <f>MATCH(产出预期!O149,秘宝养成!$C$3:$C$14,1)</f>
        <v>11</v>
      </c>
    </row>
    <row r="133" ht="16.5" spans="2:15">
      <c r="B133" s="2">
        <v>131</v>
      </c>
      <c r="C133" s="2">
        <f ca="1">MATCH((OFFSET(产出预期!$C$3,0,产出预期!$B$1)*10+OFFSET(产出预期!$C$4,0,产出预期!$B$1)*10+OFFSET(产出预期!$C$7,0,产出预期!$B$1)*20)*B133/10*60,玩家等级!$E$3:$E$302,1)</f>
        <v>81</v>
      </c>
      <c r="D133" s="2">
        <f>MATCH(产出预期!P150/6,装备养成!$G$4:$G$303,1)</f>
        <v>113</v>
      </c>
      <c r="E133" s="2">
        <f>COUNTIF(产出预期!$R150:$Y150,"&gt;"&amp;0)</f>
        <v>8</v>
      </c>
      <c r="F133" s="2">
        <f ca="1">MATCH(OFFSET(产出预期!$R$19,B133,E133-1),装备养成!$S$4:$S$9,1)</f>
        <v>3</v>
      </c>
      <c r="G133" s="2" t="str">
        <f ca="1">OFFSET(梦灵养成!$D$9,MATCH(梦灵养成!C164,梦灵养成!$C$10:$C$28,1),0)</f>
        <v>我爱沙</v>
      </c>
      <c r="H133" s="2" t="str">
        <f ca="1">OFFSET(梦灵养成!$I$9,MATCH(梦灵养成!C164,梦灵养成!$C$10:$C$28,1),0)</f>
        <v>后羿</v>
      </c>
      <c r="I133" s="45" cm="1">
        <f ca="1" t="array" ref="I133">IFERROR(MATCH(((产出预期!$M150-OFFSET(梦灵养成!$Q$9,MATCH(产出预期!$M150,梦灵养成!$Q$10:$Q$15,1),0))*OFFSET(梦灵养成!L$9,1+MATCH(产出预期!$M150,梦灵养成!$Q$10:$Q$15,1),0)+梦灵养成!D469+SUMPRODUCT(--(梦灵养成!$Q$10:$Q$15&lt;=产出预期!$M150),梦灵养成!L$10:L$15,梦灵养成!$P$10:$P$15))/MAX(SUMPRODUCT(--(梦灵养成!$C$10:$C$31&lt;=产出预期!$M150),--(梦灵养成!$E$10:$E$31=I$2)),1)*10,梦灵养成!AT$339:AT$387,1),0)</f>
        <v>49</v>
      </c>
      <c r="J133" s="45" cm="1">
        <f ca="1" t="array" ref="J133">IFERROR(MATCH(((产出预期!$M150-OFFSET(梦灵养成!$Q$9,MATCH(产出预期!$M150,梦灵养成!$Q$10:$Q$15,1),0))*OFFSET(梦灵养成!M$9,1+MATCH(产出预期!$M150,梦灵养成!$Q$10:$Q$15,1),0)+梦灵养成!E469+SUMPRODUCT(--(梦灵养成!$Q$10:$Q$15&lt;=产出预期!$M150),梦灵养成!M$10:M$15,梦灵养成!$P$10:$P$15))/MAX(SUMPRODUCT(--(梦灵养成!$C$10:$C$31&lt;=产出预期!$M150),--(梦灵养成!$E$10:$E$31=J$2)),1)*10,梦灵养成!AU$339:AU$387,1),0)</f>
        <v>49</v>
      </c>
      <c r="K133" s="45" cm="1">
        <f ca="1" t="array" ref="K133">IFERROR(MATCH(((产出预期!$M150-OFFSET(梦灵养成!$Q$9,MATCH(产出预期!$M150,梦灵养成!$Q$10:$Q$15,1),0))*OFFSET(梦灵养成!N$9,1+MATCH(产出预期!$M150,梦灵养成!$Q$10:$Q$15,1),0)+梦灵养成!F469+SUMPRODUCT(--(梦灵养成!$Q$10:$Q$15&lt;=产出预期!$M150),梦灵养成!N$10:N$15,梦灵养成!$P$10:$P$15))/MAX(SUMPRODUCT(--(梦灵养成!$C$10:$C$31&lt;=产出预期!$M150),--(梦灵养成!$E$10:$E$31=K$2)),1)*10,梦灵养成!AV$339:AV$387,1),0)</f>
        <v>49</v>
      </c>
      <c r="L133" s="45" cm="1">
        <f ca="1" t="array" ref="L133">IFERROR(MATCH(((产出预期!$M150-OFFSET(梦灵养成!$Q$9,MATCH(产出预期!$M150,梦灵养成!$Q$10:$Q$15,1),0))*OFFSET(梦灵养成!O$9,1+MATCH(产出预期!$M150,梦灵养成!$Q$10:$Q$15,1),0)+梦灵养成!G469+SUMPRODUCT(--(梦灵养成!$Q$10:$Q$15&lt;=产出预期!$M150),梦灵养成!O$10:O$15,梦灵养成!$P$10:$P$15))/MAX(SUMPRODUCT(--(梦灵养成!$C$10:$C$31&lt;=产出预期!$M150),--(梦灵养成!$E$10:$E$31=L$2)),1)*10,梦灵养成!AW$339:AW$388,1),0)</f>
        <v>50</v>
      </c>
      <c r="M133" s="45">
        <f ca="1">OFFSET(符文养成!$C$14,MATCH(C133,符文养成!$B$15:$B$44,1),0)</f>
        <v>30</v>
      </c>
      <c r="N133" s="45">
        <f ca="1">MATCH((产出预期!Z150*价值表!$F$53+产出预期!AA150*价值表!$F$54+产出预期!AD150*价值表!$F$57)/16/M133,符文养成!$G$15:$G$21,1)</f>
        <v>5</v>
      </c>
      <c r="O133" s="45">
        <f>MATCH(产出预期!O150,秘宝养成!$C$3:$C$14,1)</f>
        <v>11</v>
      </c>
    </row>
    <row r="134" ht="16.5" spans="2:15">
      <c r="B134" s="2">
        <v>132</v>
      </c>
      <c r="C134" s="2">
        <f ca="1">MATCH((OFFSET(产出预期!$C$3,0,产出预期!$B$1)*10+OFFSET(产出预期!$C$4,0,产出预期!$B$1)*10+OFFSET(产出预期!$C$7,0,产出预期!$B$1)*20)*B134/10*60,玩家等级!$E$3:$E$302,1)</f>
        <v>81</v>
      </c>
      <c r="D134" s="2">
        <f>MATCH(产出预期!P151/6,装备养成!$G$4:$G$303,1)</f>
        <v>114</v>
      </c>
      <c r="E134" s="2">
        <f>COUNTIF(产出预期!$R151:$Y151,"&gt;"&amp;0)</f>
        <v>8</v>
      </c>
      <c r="F134" s="2">
        <f ca="1">MATCH(OFFSET(产出预期!$R$19,B134,E134-1),装备养成!$S$4:$S$9,1)</f>
        <v>3</v>
      </c>
      <c r="G134" s="2" t="str">
        <f ca="1">OFFSET(梦灵养成!$D$9,MATCH(梦灵养成!C165,梦灵养成!$C$10:$C$28,1),0)</f>
        <v>我爱沙</v>
      </c>
      <c r="H134" s="2" t="str">
        <f ca="1">OFFSET(梦灵养成!$I$9,MATCH(梦灵养成!C165,梦灵养成!$C$10:$C$28,1),0)</f>
        <v>后羿</v>
      </c>
      <c r="I134" s="45" cm="1">
        <f ca="1" t="array" ref="I134">IFERROR(MATCH(((产出预期!$M151-OFFSET(梦灵养成!$Q$9,MATCH(产出预期!$M151,梦灵养成!$Q$10:$Q$15,1),0))*OFFSET(梦灵养成!L$9,1+MATCH(产出预期!$M151,梦灵养成!$Q$10:$Q$15,1),0)+梦灵养成!D470+SUMPRODUCT(--(梦灵养成!$Q$10:$Q$15&lt;=产出预期!$M151),梦灵养成!L$10:L$15,梦灵养成!$P$10:$P$15))/MAX(SUMPRODUCT(--(梦灵养成!$C$10:$C$31&lt;=产出预期!$M151),--(梦灵养成!$E$10:$E$31=I$2)),1)*10,梦灵养成!AT$339:AT$387,1),0)</f>
        <v>49</v>
      </c>
      <c r="J134" s="45" cm="1">
        <f ca="1" t="array" ref="J134">IFERROR(MATCH(((产出预期!$M151-OFFSET(梦灵养成!$Q$9,MATCH(产出预期!$M151,梦灵养成!$Q$10:$Q$15,1),0))*OFFSET(梦灵养成!M$9,1+MATCH(产出预期!$M151,梦灵养成!$Q$10:$Q$15,1),0)+梦灵养成!E470+SUMPRODUCT(--(梦灵养成!$Q$10:$Q$15&lt;=产出预期!$M151),梦灵养成!M$10:M$15,梦灵养成!$P$10:$P$15))/MAX(SUMPRODUCT(--(梦灵养成!$C$10:$C$31&lt;=产出预期!$M151),--(梦灵养成!$E$10:$E$31=J$2)),1)*10,梦灵养成!AU$339:AU$387,1),0)</f>
        <v>49</v>
      </c>
      <c r="K134" s="45" cm="1">
        <f ca="1" t="array" ref="K134">IFERROR(MATCH(((产出预期!$M151-OFFSET(梦灵养成!$Q$9,MATCH(产出预期!$M151,梦灵养成!$Q$10:$Q$15,1),0))*OFFSET(梦灵养成!N$9,1+MATCH(产出预期!$M151,梦灵养成!$Q$10:$Q$15,1),0)+梦灵养成!F470+SUMPRODUCT(--(梦灵养成!$Q$10:$Q$15&lt;=产出预期!$M151),梦灵养成!N$10:N$15,梦灵养成!$P$10:$P$15))/MAX(SUMPRODUCT(--(梦灵养成!$C$10:$C$31&lt;=产出预期!$M151),--(梦灵养成!$E$10:$E$31=K$2)),1)*10,梦灵养成!AV$339:AV$387,1),0)</f>
        <v>49</v>
      </c>
      <c r="L134" s="45" cm="1">
        <f ca="1" t="array" ref="L134">IFERROR(MATCH(((产出预期!$M151-OFFSET(梦灵养成!$Q$9,MATCH(产出预期!$M151,梦灵养成!$Q$10:$Q$15,1),0))*OFFSET(梦灵养成!O$9,1+MATCH(产出预期!$M151,梦灵养成!$Q$10:$Q$15,1),0)+梦灵养成!G470+SUMPRODUCT(--(梦灵养成!$Q$10:$Q$15&lt;=产出预期!$M151),梦灵养成!O$10:O$15,梦灵养成!$P$10:$P$15))/MAX(SUMPRODUCT(--(梦灵养成!$C$10:$C$31&lt;=产出预期!$M151),--(梦灵养成!$E$10:$E$31=L$2)),1)*10,梦灵养成!AW$339:AW$388,1),0)</f>
        <v>50</v>
      </c>
      <c r="M134" s="45">
        <f ca="1">OFFSET(符文养成!$C$14,MATCH(C134,符文养成!$B$15:$B$44,1),0)</f>
        <v>30</v>
      </c>
      <c r="N134" s="45">
        <f ca="1">MATCH((产出预期!Z151*价值表!$F$53+产出预期!AA151*价值表!$F$54+产出预期!AD151*价值表!$F$57)/16/M134,符文养成!$G$15:$G$21,1)</f>
        <v>5</v>
      </c>
      <c r="O134" s="45">
        <f>MATCH(产出预期!O151,秘宝养成!$C$3:$C$14,1)</f>
        <v>11</v>
      </c>
    </row>
    <row r="135" ht="16.5" spans="2:15">
      <c r="B135" s="2">
        <v>133</v>
      </c>
      <c r="C135" s="2">
        <f ca="1">MATCH((OFFSET(产出预期!$C$3,0,产出预期!$B$1)*10+OFFSET(产出预期!$C$4,0,产出预期!$B$1)*10+OFFSET(产出预期!$C$7,0,产出预期!$B$1)*20)*B135/10*60,玩家等级!$E$3:$E$302,1)</f>
        <v>82</v>
      </c>
      <c r="D135" s="2">
        <f>MATCH(产出预期!P152/6,装备养成!$G$4:$G$303,1)</f>
        <v>114</v>
      </c>
      <c r="E135" s="2">
        <f>COUNTIF(产出预期!$R152:$Y152,"&gt;"&amp;0)</f>
        <v>8</v>
      </c>
      <c r="F135" s="2">
        <f ca="1">MATCH(OFFSET(产出预期!$R$19,B135,E135-1),装备养成!$S$4:$S$9,1)</f>
        <v>3</v>
      </c>
      <c r="G135" s="2" t="str">
        <f ca="1">OFFSET(梦灵养成!$D$9,MATCH(梦灵养成!C166,梦灵养成!$C$10:$C$28,1),0)</f>
        <v>我爱沙</v>
      </c>
      <c r="H135" s="2" t="str">
        <f ca="1">OFFSET(梦灵养成!$I$9,MATCH(梦灵养成!C166,梦灵养成!$C$10:$C$28,1),0)</f>
        <v>后羿</v>
      </c>
      <c r="I135" s="45" cm="1">
        <f ca="1" t="array" ref="I135">IFERROR(MATCH(((产出预期!$M152-OFFSET(梦灵养成!$Q$9,MATCH(产出预期!$M152,梦灵养成!$Q$10:$Q$15,1),0))*OFFSET(梦灵养成!L$9,1+MATCH(产出预期!$M152,梦灵养成!$Q$10:$Q$15,1),0)+梦灵养成!D471+SUMPRODUCT(--(梦灵养成!$Q$10:$Q$15&lt;=产出预期!$M152),梦灵养成!L$10:L$15,梦灵养成!$P$10:$P$15))/MAX(SUMPRODUCT(--(梦灵养成!$C$10:$C$31&lt;=产出预期!$M152),--(梦灵养成!$E$10:$E$31=I$2)),1)*10,梦灵养成!AT$339:AT$387,1),0)</f>
        <v>49</v>
      </c>
      <c r="J135" s="45" cm="1">
        <f ca="1" t="array" ref="J135">IFERROR(MATCH(((产出预期!$M152-OFFSET(梦灵养成!$Q$9,MATCH(产出预期!$M152,梦灵养成!$Q$10:$Q$15,1),0))*OFFSET(梦灵养成!M$9,1+MATCH(产出预期!$M152,梦灵养成!$Q$10:$Q$15,1),0)+梦灵养成!E471+SUMPRODUCT(--(梦灵养成!$Q$10:$Q$15&lt;=产出预期!$M152),梦灵养成!M$10:M$15,梦灵养成!$P$10:$P$15))/MAX(SUMPRODUCT(--(梦灵养成!$C$10:$C$31&lt;=产出预期!$M152),--(梦灵养成!$E$10:$E$31=J$2)),1)*10,梦灵养成!AU$339:AU$387,1),0)</f>
        <v>49</v>
      </c>
      <c r="K135" s="45" cm="1">
        <f ca="1" t="array" ref="K135">IFERROR(MATCH(((产出预期!$M152-OFFSET(梦灵养成!$Q$9,MATCH(产出预期!$M152,梦灵养成!$Q$10:$Q$15,1),0))*OFFSET(梦灵养成!N$9,1+MATCH(产出预期!$M152,梦灵养成!$Q$10:$Q$15,1),0)+梦灵养成!F471+SUMPRODUCT(--(梦灵养成!$Q$10:$Q$15&lt;=产出预期!$M152),梦灵养成!N$10:N$15,梦灵养成!$P$10:$P$15))/MAX(SUMPRODUCT(--(梦灵养成!$C$10:$C$31&lt;=产出预期!$M152),--(梦灵养成!$E$10:$E$31=K$2)),1)*10,梦灵养成!AV$339:AV$387,1),0)</f>
        <v>49</v>
      </c>
      <c r="L135" s="45" cm="1">
        <f ca="1" t="array" ref="L135">IFERROR(MATCH(((产出预期!$M152-OFFSET(梦灵养成!$Q$9,MATCH(产出预期!$M152,梦灵养成!$Q$10:$Q$15,1),0))*OFFSET(梦灵养成!O$9,1+MATCH(产出预期!$M152,梦灵养成!$Q$10:$Q$15,1),0)+梦灵养成!G471+SUMPRODUCT(--(梦灵养成!$Q$10:$Q$15&lt;=产出预期!$M152),梦灵养成!O$10:O$15,梦灵养成!$P$10:$P$15))/MAX(SUMPRODUCT(--(梦灵养成!$C$10:$C$31&lt;=产出预期!$M152),--(梦灵养成!$E$10:$E$31=L$2)),1)*10,梦灵养成!AW$339:AW$388,1),0)</f>
        <v>50</v>
      </c>
      <c r="M135" s="45">
        <f ca="1">OFFSET(符文养成!$C$14,MATCH(C135,符文养成!$B$15:$B$44,1),0)</f>
        <v>30</v>
      </c>
      <c r="N135" s="45">
        <f ca="1">MATCH((产出预期!Z152*价值表!$F$53+产出预期!AA152*价值表!$F$54+产出预期!AD152*价值表!$F$57)/16/M135,符文养成!$G$15:$G$21,1)</f>
        <v>5</v>
      </c>
      <c r="O135" s="45">
        <f>MATCH(产出预期!O152,秘宝养成!$C$3:$C$14,1)</f>
        <v>11</v>
      </c>
    </row>
    <row r="136" ht="16.5" spans="2:15">
      <c r="B136" s="2">
        <v>134</v>
      </c>
      <c r="C136" s="2">
        <f ca="1">MATCH((OFFSET(产出预期!$C$3,0,产出预期!$B$1)*10+OFFSET(产出预期!$C$4,0,产出预期!$B$1)*10+OFFSET(产出预期!$C$7,0,产出预期!$B$1)*20)*B136/10*60,玩家等级!$E$3:$E$302,1)</f>
        <v>82</v>
      </c>
      <c r="D136" s="2">
        <f>MATCH(产出预期!P153/6,装备养成!$G$4:$G$303,1)</f>
        <v>114</v>
      </c>
      <c r="E136" s="2">
        <f>COUNTIF(产出预期!$R153:$Y153,"&gt;"&amp;0)</f>
        <v>8</v>
      </c>
      <c r="F136" s="2">
        <f ca="1">MATCH(OFFSET(产出预期!$R$19,B136,E136-1),装备养成!$S$4:$S$9,1)</f>
        <v>3</v>
      </c>
      <c r="G136" s="2" t="str">
        <f ca="1">OFFSET(梦灵养成!$D$9,MATCH(梦灵养成!C167,梦灵养成!$C$10:$C$28,1),0)</f>
        <v>我爱沙</v>
      </c>
      <c r="H136" s="2" t="str">
        <f ca="1">OFFSET(梦灵养成!$I$9,MATCH(梦灵养成!C167,梦灵养成!$C$10:$C$28,1),0)</f>
        <v>后羿</v>
      </c>
      <c r="I136" s="45" cm="1">
        <f ca="1" t="array" ref="I136">IFERROR(MATCH(((产出预期!$M153-OFFSET(梦灵养成!$Q$9,MATCH(产出预期!$M153,梦灵养成!$Q$10:$Q$15,1),0))*OFFSET(梦灵养成!L$9,1+MATCH(产出预期!$M153,梦灵养成!$Q$10:$Q$15,1),0)+梦灵养成!D472+SUMPRODUCT(--(梦灵养成!$Q$10:$Q$15&lt;=产出预期!$M153),梦灵养成!L$10:L$15,梦灵养成!$P$10:$P$15))/MAX(SUMPRODUCT(--(梦灵养成!$C$10:$C$31&lt;=产出预期!$M153),--(梦灵养成!$E$10:$E$31=I$2)),1)*10,梦灵养成!AT$339:AT$387,1),0)</f>
        <v>49</v>
      </c>
      <c r="J136" s="45" cm="1">
        <f ca="1" t="array" ref="J136">IFERROR(MATCH(((产出预期!$M153-OFFSET(梦灵养成!$Q$9,MATCH(产出预期!$M153,梦灵养成!$Q$10:$Q$15,1),0))*OFFSET(梦灵养成!M$9,1+MATCH(产出预期!$M153,梦灵养成!$Q$10:$Q$15,1),0)+梦灵养成!E472+SUMPRODUCT(--(梦灵养成!$Q$10:$Q$15&lt;=产出预期!$M153),梦灵养成!M$10:M$15,梦灵养成!$P$10:$P$15))/MAX(SUMPRODUCT(--(梦灵养成!$C$10:$C$31&lt;=产出预期!$M153),--(梦灵养成!$E$10:$E$31=J$2)),1)*10,梦灵养成!AU$339:AU$387,1),0)</f>
        <v>49</v>
      </c>
      <c r="K136" s="45" cm="1">
        <f ca="1" t="array" ref="K136">IFERROR(MATCH(((产出预期!$M153-OFFSET(梦灵养成!$Q$9,MATCH(产出预期!$M153,梦灵养成!$Q$10:$Q$15,1),0))*OFFSET(梦灵养成!N$9,1+MATCH(产出预期!$M153,梦灵养成!$Q$10:$Q$15,1),0)+梦灵养成!F472+SUMPRODUCT(--(梦灵养成!$Q$10:$Q$15&lt;=产出预期!$M153),梦灵养成!N$10:N$15,梦灵养成!$P$10:$P$15))/MAX(SUMPRODUCT(--(梦灵养成!$C$10:$C$31&lt;=产出预期!$M153),--(梦灵养成!$E$10:$E$31=K$2)),1)*10,梦灵养成!AV$339:AV$387,1),0)</f>
        <v>49</v>
      </c>
      <c r="L136" s="45" cm="1">
        <f ca="1" t="array" ref="L136">IFERROR(MATCH(((产出预期!$M153-OFFSET(梦灵养成!$Q$9,MATCH(产出预期!$M153,梦灵养成!$Q$10:$Q$15,1),0))*OFFSET(梦灵养成!O$9,1+MATCH(产出预期!$M153,梦灵养成!$Q$10:$Q$15,1),0)+梦灵养成!G472+SUMPRODUCT(--(梦灵养成!$Q$10:$Q$15&lt;=产出预期!$M153),梦灵养成!O$10:O$15,梦灵养成!$P$10:$P$15))/MAX(SUMPRODUCT(--(梦灵养成!$C$10:$C$31&lt;=产出预期!$M153),--(梦灵养成!$E$10:$E$31=L$2)),1)*10,梦灵养成!AW$339:AW$388,1),0)</f>
        <v>50</v>
      </c>
      <c r="M136" s="45">
        <f ca="1">OFFSET(符文养成!$C$14,MATCH(C136,符文养成!$B$15:$B$44,1),0)</f>
        <v>30</v>
      </c>
      <c r="N136" s="45">
        <f ca="1">MATCH((产出预期!Z153*价值表!$F$53+产出预期!AA153*价值表!$F$54+产出预期!AD153*价值表!$F$57)/16/M136,符文养成!$G$15:$G$21,1)</f>
        <v>5</v>
      </c>
      <c r="O136" s="45">
        <f>MATCH(产出预期!O153,秘宝养成!$C$3:$C$14,1)</f>
        <v>11</v>
      </c>
    </row>
    <row r="137" ht="16.5" spans="2:15">
      <c r="B137" s="2">
        <v>135</v>
      </c>
      <c r="C137" s="2">
        <f ca="1">MATCH((OFFSET(产出预期!$C$3,0,产出预期!$B$1)*10+OFFSET(产出预期!$C$4,0,产出预期!$B$1)*10+OFFSET(产出预期!$C$7,0,产出预期!$B$1)*20)*B137/10*60,玩家等级!$E$3:$E$302,1)</f>
        <v>82</v>
      </c>
      <c r="D137" s="2">
        <f>MATCH(产出预期!P154/6,装备养成!$G$4:$G$303,1)</f>
        <v>115</v>
      </c>
      <c r="E137" s="2">
        <f>COUNTIF(产出预期!$R154:$Y154,"&gt;"&amp;0)</f>
        <v>8</v>
      </c>
      <c r="F137" s="2">
        <f ca="1">MATCH(OFFSET(产出预期!$R$19,B137,E137-1),装备养成!$S$4:$S$9,1)</f>
        <v>3</v>
      </c>
      <c r="G137" s="2" t="str">
        <f ca="1">OFFSET(梦灵养成!$D$9,MATCH(梦灵养成!C168,梦灵养成!$C$10:$C$28,1),0)</f>
        <v>我爱沙</v>
      </c>
      <c r="H137" s="2" t="str">
        <f ca="1">OFFSET(梦灵养成!$I$9,MATCH(梦灵养成!C168,梦灵养成!$C$10:$C$28,1),0)</f>
        <v>后羿</v>
      </c>
      <c r="I137" s="45" cm="1">
        <f ca="1" t="array" ref="I137">IFERROR(MATCH(((产出预期!$M154-OFFSET(梦灵养成!$Q$9,MATCH(产出预期!$M154,梦灵养成!$Q$10:$Q$15,1),0))*OFFSET(梦灵养成!L$9,1+MATCH(产出预期!$M154,梦灵养成!$Q$10:$Q$15,1),0)+梦灵养成!D473+SUMPRODUCT(--(梦灵养成!$Q$10:$Q$15&lt;=产出预期!$M154),梦灵养成!L$10:L$15,梦灵养成!$P$10:$P$15))/MAX(SUMPRODUCT(--(梦灵养成!$C$10:$C$31&lt;=产出预期!$M154),--(梦灵养成!$E$10:$E$31=I$2)),1)*10,梦灵养成!AT$339:AT$387,1),0)</f>
        <v>49</v>
      </c>
      <c r="J137" s="45" cm="1">
        <f ca="1" t="array" ref="J137">IFERROR(MATCH(((产出预期!$M154-OFFSET(梦灵养成!$Q$9,MATCH(产出预期!$M154,梦灵养成!$Q$10:$Q$15,1),0))*OFFSET(梦灵养成!M$9,1+MATCH(产出预期!$M154,梦灵养成!$Q$10:$Q$15,1),0)+梦灵养成!E473+SUMPRODUCT(--(梦灵养成!$Q$10:$Q$15&lt;=产出预期!$M154),梦灵养成!M$10:M$15,梦灵养成!$P$10:$P$15))/MAX(SUMPRODUCT(--(梦灵养成!$C$10:$C$31&lt;=产出预期!$M154),--(梦灵养成!$E$10:$E$31=J$2)),1)*10,梦灵养成!AU$339:AU$387,1),0)</f>
        <v>49</v>
      </c>
      <c r="K137" s="45" cm="1">
        <f ca="1" t="array" ref="K137">IFERROR(MATCH(((产出预期!$M154-OFFSET(梦灵养成!$Q$9,MATCH(产出预期!$M154,梦灵养成!$Q$10:$Q$15,1),0))*OFFSET(梦灵养成!N$9,1+MATCH(产出预期!$M154,梦灵养成!$Q$10:$Q$15,1),0)+梦灵养成!F473+SUMPRODUCT(--(梦灵养成!$Q$10:$Q$15&lt;=产出预期!$M154),梦灵养成!N$10:N$15,梦灵养成!$P$10:$P$15))/MAX(SUMPRODUCT(--(梦灵养成!$C$10:$C$31&lt;=产出预期!$M154),--(梦灵养成!$E$10:$E$31=K$2)),1)*10,梦灵养成!AV$339:AV$387,1),0)</f>
        <v>49</v>
      </c>
      <c r="L137" s="45" cm="1">
        <f ca="1" t="array" ref="L137">IFERROR(MATCH(((产出预期!$M154-OFFSET(梦灵养成!$Q$9,MATCH(产出预期!$M154,梦灵养成!$Q$10:$Q$15,1),0))*OFFSET(梦灵养成!O$9,1+MATCH(产出预期!$M154,梦灵养成!$Q$10:$Q$15,1),0)+梦灵养成!G473+SUMPRODUCT(--(梦灵养成!$Q$10:$Q$15&lt;=产出预期!$M154),梦灵养成!O$10:O$15,梦灵养成!$P$10:$P$15))/MAX(SUMPRODUCT(--(梦灵养成!$C$10:$C$31&lt;=产出预期!$M154),--(梦灵养成!$E$10:$E$31=L$2)),1)*10,梦灵养成!AW$339:AW$388,1),0)</f>
        <v>50</v>
      </c>
      <c r="M137" s="45">
        <f ca="1">OFFSET(符文养成!$C$14,MATCH(C137,符文养成!$B$15:$B$44,1),0)</f>
        <v>30</v>
      </c>
      <c r="N137" s="45">
        <f ca="1">MATCH((产出预期!Z154*价值表!$F$53+产出预期!AA154*价值表!$F$54+产出预期!AD154*价值表!$F$57)/16/M137,符文养成!$G$15:$G$21,1)</f>
        <v>5</v>
      </c>
      <c r="O137" s="45">
        <f>MATCH(产出预期!O154,秘宝养成!$C$3:$C$14,1)</f>
        <v>11</v>
      </c>
    </row>
    <row r="138" ht="16.5" spans="2:15">
      <c r="B138" s="2">
        <v>136</v>
      </c>
      <c r="C138" s="2">
        <f ca="1">MATCH((OFFSET(产出预期!$C$3,0,产出预期!$B$1)*10+OFFSET(产出预期!$C$4,0,产出预期!$B$1)*10+OFFSET(产出预期!$C$7,0,产出预期!$B$1)*20)*B138/10*60,玩家等级!$E$3:$E$302,1)</f>
        <v>83</v>
      </c>
      <c r="D138" s="2">
        <f>MATCH(产出预期!P155/6,装备养成!$G$4:$G$303,1)</f>
        <v>115</v>
      </c>
      <c r="E138" s="2">
        <f>COUNTIF(产出预期!$R155:$Y155,"&gt;"&amp;0)</f>
        <v>8</v>
      </c>
      <c r="F138" s="2">
        <f ca="1">MATCH(OFFSET(产出预期!$R$19,B138,E138-1),装备养成!$S$4:$S$9,1)</f>
        <v>3</v>
      </c>
      <c r="G138" s="2" t="str">
        <f ca="1">OFFSET(梦灵养成!$D$9,MATCH(梦灵养成!C169,梦灵养成!$C$10:$C$28,1),0)</f>
        <v>我爱沙</v>
      </c>
      <c r="H138" s="2" t="str">
        <f ca="1">OFFSET(梦灵养成!$I$9,MATCH(梦灵养成!C169,梦灵养成!$C$10:$C$28,1),0)</f>
        <v>后羿</v>
      </c>
      <c r="I138" s="45" cm="1">
        <f ca="1" t="array" ref="I138">IFERROR(MATCH(((产出预期!$M155-OFFSET(梦灵养成!$Q$9,MATCH(产出预期!$M155,梦灵养成!$Q$10:$Q$15,1),0))*OFFSET(梦灵养成!L$9,1+MATCH(产出预期!$M155,梦灵养成!$Q$10:$Q$15,1),0)+梦灵养成!D474+SUMPRODUCT(--(梦灵养成!$Q$10:$Q$15&lt;=产出预期!$M155),梦灵养成!L$10:L$15,梦灵养成!$P$10:$P$15))/MAX(SUMPRODUCT(--(梦灵养成!$C$10:$C$31&lt;=产出预期!$M155),--(梦灵养成!$E$10:$E$31=I$2)),1)*10,梦灵养成!AT$339:AT$387,1),0)</f>
        <v>49</v>
      </c>
      <c r="J138" s="45" cm="1">
        <f ca="1" t="array" ref="J138">IFERROR(MATCH(((产出预期!$M155-OFFSET(梦灵养成!$Q$9,MATCH(产出预期!$M155,梦灵养成!$Q$10:$Q$15,1),0))*OFFSET(梦灵养成!M$9,1+MATCH(产出预期!$M155,梦灵养成!$Q$10:$Q$15,1),0)+梦灵养成!E474+SUMPRODUCT(--(梦灵养成!$Q$10:$Q$15&lt;=产出预期!$M155),梦灵养成!M$10:M$15,梦灵养成!$P$10:$P$15))/MAX(SUMPRODUCT(--(梦灵养成!$C$10:$C$31&lt;=产出预期!$M155),--(梦灵养成!$E$10:$E$31=J$2)),1)*10,梦灵养成!AU$339:AU$387,1),0)</f>
        <v>49</v>
      </c>
      <c r="K138" s="45" cm="1">
        <f ca="1" t="array" ref="K138">IFERROR(MATCH(((产出预期!$M155-OFFSET(梦灵养成!$Q$9,MATCH(产出预期!$M155,梦灵养成!$Q$10:$Q$15,1),0))*OFFSET(梦灵养成!N$9,1+MATCH(产出预期!$M155,梦灵养成!$Q$10:$Q$15,1),0)+梦灵养成!F474+SUMPRODUCT(--(梦灵养成!$Q$10:$Q$15&lt;=产出预期!$M155),梦灵养成!N$10:N$15,梦灵养成!$P$10:$P$15))/MAX(SUMPRODUCT(--(梦灵养成!$C$10:$C$31&lt;=产出预期!$M155),--(梦灵养成!$E$10:$E$31=K$2)),1)*10,梦灵养成!AV$339:AV$387,1),0)</f>
        <v>49</v>
      </c>
      <c r="L138" s="45" cm="1">
        <f ca="1" t="array" ref="L138">IFERROR(MATCH(((产出预期!$M155-OFFSET(梦灵养成!$Q$9,MATCH(产出预期!$M155,梦灵养成!$Q$10:$Q$15,1),0))*OFFSET(梦灵养成!O$9,1+MATCH(产出预期!$M155,梦灵养成!$Q$10:$Q$15,1),0)+梦灵养成!G474+SUMPRODUCT(--(梦灵养成!$Q$10:$Q$15&lt;=产出预期!$M155),梦灵养成!O$10:O$15,梦灵养成!$P$10:$P$15))/MAX(SUMPRODUCT(--(梦灵养成!$C$10:$C$31&lt;=产出预期!$M155),--(梦灵养成!$E$10:$E$31=L$2)),1)*10,梦灵养成!AW$339:AW$388,1),0)</f>
        <v>50</v>
      </c>
      <c r="M138" s="45">
        <f ca="1">OFFSET(符文养成!$C$14,MATCH(C138,符文养成!$B$15:$B$44,1),0)</f>
        <v>30</v>
      </c>
      <c r="N138" s="45">
        <f ca="1">MATCH((产出预期!Z155*价值表!$F$53+产出预期!AA155*价值表!$F$54+产出预期!AD155*价值表!$F$57)/16/M138,符文养成!$G$15:$G$21,1)</f>
        <v>5</v>
      </c>
      <c r="O138" s="45">
        <f>MATCH(产出预期!O155,秘宝养成!$C$3:$C$14,1)</f>
        <v>11</v>
      </c>
    </row>
    <row r="139" ht="16.5" spans="2:15">
      <c r="B139" s="2">
        <v>137</v>
      </c>
      <c r="C139" s="2">
        <f ca="1">MATCH((OFFSET(产出预期!$C$3,0,产出预期!$B$1)*10+OFFSET(产出预期!$C$4,0,产出预期!$B$1)*10+OFFSET(产出预期!$C$7,0,产出预期!$B$1)*20)*B139/10*60,玩家等级!$E$3:$E$302,1)</f>
        <v>83</v>
      </c>
      <c r="D139" s="2">
        <f>MATCH(产出预期!P156/6,装备养成!$G$4:$G$303,1)</f>
        <v>115</v>
      </c>
      <c r="E139" s="2">
        <f>COUNTIF(产出预期!$R156:$Y156,"&gt;"&amp;0)</f>
        <v>8</v>
      </c>
      <c r="F139" s="2">
        <f ca="1">MATCH(OFFSET(产出预期!$R$19,B139,E139-1),装备养成!$S$4:$S$9,1)</f>
        <v>3</v>
      </c>
      <c r="G139" s="2" t="str">
        <f ca="1">OFFSET(梦灵养成!$D$9,MATCH(梦灵养成!C170,梦灵养成!$C$10:$C$28,1),0)</f>
        <v>我爱沙</v>
      </c>
      <c r="H139" s="2" t="str">
        <f ca="1">OFFSET(梦灵养成!$I$9,MATCH(梦灵养成!C170,梦灵养成!$C$10:$C$28,1),0)</f>
        <v>后羿</v>
      </c>
      <c r="I139" s="45" cm="1">
        <f ca="1" t="array" ref="I139">IFERROR(MATCH(((产出预期!$M156-OFFSET(梦灵养成!$Q$9,MATCH(产出预期!$M156,梦灵养成!$Q$10:$Q$15,1),0))*OFFSET(梦灵养成!L$9,1+MATCH(产出预期!$M156,梦灵养成!$Q$10:$Q$15,1),0)+梦灵养成!D475+SUMPRODUCT(--(梦灵养成!$Q$10:$Q$15&lt;=产出预期!$M156),梦灵养成!L$10:L$15,梦灵养成!$P$10:$P$15))/MAX(SUMPRODUCT(--(梦灵养成!$C$10:$C$31&lt;=产出预期!$M156),--(梦灵养成!$E$10:$E$31=I$2)),1)*10,梦灵养成!AT$339:AT$387,1),0)</f>
        <v>49</v>
      </c>
      <c r="J139" s="45" cm="1">
        <f ca="1" t="array" ref="J139">IFERROR(MATCH(((产出预期!$M156-OFFSET(梦灵养成!$Q$9,MATCH(产出预期!$M156,梦灵养成!$Q$10:$Q$15,1),0))*OFFSET(梦灵养成!M$9,1+MATCH(产出预期!$M156,梦灵养成!$Q$10:$Q$15,1),0)+梦灵养成!E475+SUMPRODUCT(--(梦灵养成!$Q$10:$Q$15&lt;=产出预期!$M156),梦灵养成!M$10:M$15,梦灵养成!$P$10:$P$15))/MAX(SUMPRODUCT(--(梦灵养成!$C$10:$C$31&lt;=产出预期!$M156),--(梦灵养成!$E$10:$E$31=J$2)),1)*10,梦灵养成!AU$339:AU$387,1),0)</f>
        <v>49</v>
      </c>
      <c r="K139" s="45" cm="1">
        <f ca="1" t="array" ref="K139">IFERROR(MATCH(((产出预期!$M156-OFFSET(梦灵养成!$Q$9,MATCH(产出预期!$M156,梦灵养成!$Q$10:$Q$15,1),0))*OFFSET(梦灵养成!N$9,1+MATCH(产出预期!$M156,梦灵养成!$Q$10:$Q$15,1),0)+梦灵养成!F475+SUMPRODUCT(--(梦灵养成!$Q$10:$Q$15&lt;=产出预期!$M156),梦灵养成!N$10:N$15,梦灵养成!$P$10:$P$15))/MAX(SUMPRODUCT(--(梦灵养成!$C$10:$C$31&lt;=产出预期!$M156),--(梦灵养成!$E$10:$E$31=K$2)),1)*10,梦灵养成!AV$339:AV$387,1),0)</f>
        <v>49</v>
      </c>
      <c r="L139" s="45" cm="1">
        <f ca="1" t="array" ref="L139">IFERROR(MATCH(((产出预期!$M156-OFFSET(梦灵养成!$Q$9,MATCH(产出预期!$M156,梦灵养成!$Q$10:$Q$15,1),0))*OFFSET(梦灵养成!O$9,1+MATCH(产出预期!$M156,梦灵养成!$Q$10:$Q$15,1),0)+梦灵养成!G475+SUMPRODUCT(--(梦灵养成!$Q$10:$Q$15&lt;=产出预期!$M156),梦灵养成!O$10:O$15,梦灵养成!$P$10:$P$15))/MAX(SUMPRODUCT(--(梦灵养成!$C$10:$C$31&lt;=产出预期!$M156),--(梦灵养成!$E$10:$E$31=L$2)),1)*10,梦灵养成!AW$339:AW$388,1),0)</f>
        <v>50</v>
      </c>
      <c r="M139" s="45">
        <f ca="1">OFFSET(符文养成!$C$14,MATCH(C139,符文养成!$B$15:$B$44,1),0)</f>
        <v>30</v>
      </c>
      <c r="N139" s="45">
        <f ca="1">MATCH((产出预期!Z156*价值表!$F$53+产出预期!AA156*价值表!$F$54+产出预期!AD156*价值表!$F$57)/16/M139,符文养成!$G$15:$G$21,1)</f>
        <v>5</v>
      </c>
      <c r="O139" s="45">
        <f>MATCH(产出预期!O156,秘宝养成!$C$3:$C$14,1)</f>
        <v>11</v>
      </c>
    </row>
    <row r="140" ht="16.5" spans="2:15">
      <c r="B140" s="2">
        <v>138</v>
      </c>
      <c r="C140" s="2">
        <f ca="1">MATCH((OFFSET(产出预期!$C$3,0,产出预期!$B$1)*10+OFFSET(产出预期!$C$4,0,产出预期!$B$1)*10+OFFSET(产出预期!$C$7,0,产出预期!$B$1)*20)*B140/10*60,玩家等级!$E$3:$E$302,1)</f>
        <v>83</v>
      </c>
      <c r="D140" s="2">
        <f>MATCH(产出预期!P157/6,装备养成!$G$4:$G$303,1)</f>
        <v>116</v>
      </c>
      <c r="E140" s="2">
        <f>COUNTIF(产出预期!$R157:$Y157,"&gt;"&amp;0)</f>
        <v>8</v>
      </c>
      <c r="F140" s="2">
        <f ca="1">MATCH(OFFSET(产出预期!$R$19,B140,E140-1),装备养成!$S$4:$S$9,1)</f>
        <v>3</v>
      </c>
      <c r="G140" s="2" t="str">
        <f ca="1">OFFSET(梦灵养成!$D$9,MATCH(梦灵养成!C171,梦灵养成!$C$10:$C$28,1),0)</f>
        <v>我爱沙</v>
      </c>
      <c r="H140" s="2" t="str">
        <f ca="1">OFFSET(梦灵养成!$I$9,MATCH(梦灵养成!C171,梦灵养成!$C$10:$C$28,1),0)</f>
        <v>后羿</v>
      </c>
      <c r="I140" s="45" cm="1">
        <f ca="1" t="array" ref="I140">IFERROR(MATCH(((产出预期!$M157-OFFSET(梦灵养成!$Q$9,MATCH(产出预期!$M157,梦灵养成!$Q$10:$Q$15,1),0))*OFFSET(梦灵养成!L$9,1+MATCH(产出预期!$M157,梦灵养成!$Q$10:$Q$15,1),0)+梦灵养成!D476+SUMPRODUCT(--(梦灵养成!$Q$10:$Q$15&lt;=产出预期!$M157),梦灵养成!L$10:L$15,梦灵养成!$P$10:$P$15))/MAX(SUMPRODUCT(--(梦灵养成!$C$10:$C$31&lt;=产出预期!$M157),--(梦灵养成!$E$10:$E$31=I$2)),1)*10,梦灵养成!AT$339:AT$387,1),0)</f>
        <v>49</v>
      </c>
      <c r="J140" s="45" cm="1">
        <f ca="1" t="array" ref="J140">IFERROR(MATCH(((产出预期!$M157-OFFSET(梦灵养成!$Q$9,MATCH(产出预期!$M157,梦灵养成!$Q$10:$Q$15,1),0))*OFFSET(梦灵养成!M$9,1+MATCH(产出预期!$M157,梦灵养成!$Q$10:$Q$15,1),0)+梦灵养成!E476+SUMPRODUCT(--(梦灵养成!$Q$10:$Q$15&lt;=产出预期!$M157),梦灵养成!M$10:M$15,梦灵养成!$P$10:$P$15))/MAX(SUMPRODUCT(--(梦灵养成!$C$10:$C$31&lt;=产出预期!$M157),--(梦灵养成!$E$10:$E$31=J$2)),1)*10,梦灵养成!AU$339:AU$387,1),0)</f>
        <v>49</v>
      </c>
      <c r="K140" s="45" cm="1">
        <f ca="1" t="array" ref="K140">IFERROR(MATCH(((产出预期!$M157-OFFSET(梦灵养成!$Q$9,MATCH(产出预期!$M157,梦灵养成!$Q$10:$Q$15,1),0))*OFFSET(梦灵养成!N$9,1+MATCH(产出预期!$M157,梦灵养成!$Q$10:$Q$15,1),0)+梦灵养成!F476+SUMPRODUCT(--(梦灵养成!$Q$10:$Q$15&lt;=产出预期!$M157),梦灵养成!N$10:N$15,梦灵养成!$P$10:$P$15))/MAX(SUMPRODUCT(--(梦灵养成!$C$10:$C$31&lt;=产出预期!$M157),--(梦灵养成!$E$10:$E$31=K$2)),1)*10,梦灵养成!AV$339:AV$387,1),0)</f>
        <v>49</v>
      </c>
      <c r="L140" s="45" cm="1">
        <f ca="1" t="array" ref="L140">IFERROR(MATCH(((产出预期!$M157-OFFSET(梦灵养成!$Q$9,MATCH(产出预期!$M157,梦灵养成!$Q$10:$Q$15,1),0))*OFFSET(梦灵养成!O$9,1+MATCH(产出预期!$M157,梦灵养成!$Q$10:$Q$15,1),0)+梦灵养成!G476+SUMPRODUCT(--(梦灵养成!$Q$10:$Q$15&lt;=产出预期!$M157),梦灵养成!O$10:O$15,梦灵养成!$P$10:$P$15))/MAX(SUMPRODUCT(--(梦灵养成!$C$10:$C$31&lt;=产出预期!$M157),--(梦灵养成!$E$10:$E$31=L$2)),1)*10,梦灵养成!AW$339:AW$388,1),0)</f>
        <v>50</v>
      </c>
      <c r="M140" s="45">
        <f ca="1">OFFSET(符文养成!$C$14,MATCH(C140,符文养成!$B$15:$B$44,1),0)</f>
        <v>30</v>
      </c>
      <c r="N140" s="45">
        <f ca="1">MATCH((产出预期!Z157*价值表!$F$53+产出预期!AA157*价值表!$F$54+产出预期!AD157*价值表!$F$57)/16/M140,符文养成!$G$15:$G$21,1)</f>
        <v>5</v>
      </c>
      <c r="O140" s="45">
        <f>MATCH(产出预期!O157,秘宝养成!$C$3:$C$14,1)</f>
        <v>11</v>
      </c>
    </row>
    <row r="141" ht="16.5" spans="2:15">
      <c r="B141" s="2">
        <v>139</v>
      </c>
      <c r="C141" s="2">
        <f ca="1">MATCH((OFFSET(产出预期!$C$3,0,产出预期!$B$1)*10+OFFSET(产出预期!$C$4,0,产出预期!$B$1)*10+OFFSET(产出预期!$C$7,0,产出预期!$B$1)*20)*B141/10*60,玩家等级!$E$3:$E$302,1)</f>
        <v>83</v>
      </c>
      <c r="D141" s="2">
        <f>MATCH(产出预期!P158/6,装备养成!$G$4:$G$303,1)</f>
        <v>116</v>
      </c>
      <c r="E141" s="2">
        <f>COUNTIF(产出预期!$R158:$Y158,"&gt;"&amp;0)</f>
        <v>8</v>
      </c>
      <c r="F141" s="2">
        <f ca="1">MATCH(OFFSET(产出预期!$R$19,B141,E141-1),装备养成!$S$4:$S$9,1)</f>
        <v>3</v>
      </c>
      <c r="G141" s="2" t="str">
        <f ca="1">OFFSET(梦灵养成!$D$9,MATCH(梦灵养成!C172,梦灵养成!$C$10:$C$28,1),0)</f>
        <v>我爱沙</v>
      </c>
      <c r="H141" s="2" t="str">
        <f ca="1">OFFSET(梦灵养成!$I$9,MATCH(梦灵养成!C172,梦灵养成!$C$10:$C$28,1),0)</f>
        <v>后羿</v>
      </c>
      <c r="I141" s="45" cm="1">
        <f ca="1" t="array" ref="I141">IFERROR(MATCH(((产出预期!$M158-OFFSET(梦灵养成!$Q$9,MATCH(产出预期!$M158,梦灵养成!$Q$10:$Q$15,1),0))*OFFSET(梦灵养成!L$9,1+MATCH(产出预期!$M158,梦灵养成!$Q$10:$Q$15,1),0)+梦灵养成!D477+SUMPRODUCT(--(梦灵养成!$Q$10:$Q$15&lt;=产出预期!$M158),梦灵养成!L$10:L$15,梦灵养成!$P$10:$P$15))/MAX(SUMPRODUCT(--(梦灵养成!$C$10:$C$31&lt;=产出预期!$M158),--(梦灵养成!$E$10:$E$31=I$2)),1)*10,梦灵养成!AT$339:AT$387,1),0)</f>
        <v>49</v>
      </c>
      <c r="J141" s="45" cm="1">
        <f ca="1" t="array" ref="J141">IFERROR(MATCH(((产出预期!$M158-OFFSET(梦灵养成!$Q$9,MATCH(产出预期!$M158,梦灵养成!$Q$10:$Q$15,1),0))*OFFSET(梦灵养成!M$9,1+MATCH(产出预期!$M158,梦灵养成!$Q$10:$Q$15,1),0)+梦灵养成!E477+SUMPRODUCT(--(梦灵养成!$Q$10:$Q$15&lt;=产出预期!$M158),梦灵养成!M$10:M$15,梦灵养成!$P$10:$P$15))/MAX(SUMPRODUCT(--(梦灵养成!$C$10:$C$31&lt;=产出预期!$M158),--(梦灵养成!$E$10:$E$31=J$2)),1)*10,梦灵养成!AU$339:AU$387,1),0)</f>
        <v>49</v>
      </c>
      <c r="K141" s="45" cm="1">
        <f ca="1" t="array" ref="K141">IFERROR(MATCH(((产出预期!$M158-OFFSET(梦灵养成!$Q$9,MATCH(产出预期!$M158,梦灵养成!$Q$10:$Q$15,1),0))*OFFSET(梦灵养成!N$9,1+MATCH(产出预期!$M158,梦灵养成!$Q$10:$Q$15,1),0)+梦灵养成!F477+SUMPRODUCT(--(梦灵养成!$Q$10:$Q$15&lt;=产出预期!$M158),梦灵养成!N$10:N$15,梦灵养成!$P$10:$P$15))/MAX(SUMPRODUCT(--(梦灵养成!$C$10:$C$31&lt;=产出预期!$M158),--(梦灵养成!$E$10:$E$31=K$2)),1)*10,梦灵养成!AV$339:AV$387,1),0)</f>
        <v>49</v>
      </c>
      <c r="L141" s="45" cm="1">
        <f ca="1" t="array" ref="L141">IFERROR(MATCH(((产出预期!$M158-OFFSET(梦灵养成!$Q$9,MATCH(产出预期!$M158,梦灵养成!$Q$10:$Q$15,1),0))*OFFSET(梦灵养成!O$9,1+MATCH(产出预期!$M158,梦灵养成!$Q$10:$Q$15,1),0)+梦灵养成!G477+SUMPRODUCT(--(梦灵养成!$Q$10:$Q$15&lt;=产出预期!$M158),梦灵养成!O$10:O$15,梦灵养成!$P$10:$P$15))/MAX(SUMPRODUCT(--(梦灵养成!$C$10:$C$31&lt;=产出预期!$M158),--(梦灵养成!$E$10:$E$31=L$2)),1)*10,梦灵养成!AW$339:AW$388,1),0)</f>
        <v>50</v>
      </c>
      <c r="M141" s="45">
        <f ca="1">OFFSET(符文养成!$C$14,MATCH(C141,符文养成!$B$15:$B$44,1),0)</f>
        <v>30</v>
      </c>
      <c r="N141" s="45">
        <f ca="1">MATCH((产出预期!Z158*价值表!$F$53+产出预期!AA158*价值表!$F$54+产出预期!AD158*价值表!$F$57)/16/M141,符文养成!$G$15:$G$21,1)</f>
        <v>5</v>
      </c>
      <c r="O141" s="45">
        <f>MATCH(产出预期!O158,秘宝养成!$C$3:$C$14,1)</f>
        <v>11</v>
      </c>
    </row>
    <row r="142" ht="16.5" spans="2:15">
      <c r="B142" s="2">
        <v>140</v>
      </c>
      <c r="C142" s="2">
        <f ca="1">MATCH((OFFSET(产出预期!$C$3,0,产出预期!$B$1)*10+OFFSET(产出预期!$C$4,0,产出预期!$B$1)*10+OFFSET(产出预期!$C$7,0,产出预期!$B$1)*20)*B142/10*60,玩家等级!$E$3:$E$302,1)</f>
        <v>83</v>
      </c>
      <c r="D142" s="2">
        <f>MATCH(产出预期!P159/6,装备养成!$G$4:$G$303,1)</f>
        <v>116</v>
      </c>
      <c r="E142" s="2">
        <f>COUNTIF(产出预期!$R159:$Y159,"&gt;"&amp;0)</f>
        <v>8</v>
      </c>
      <c r="F142" s="2">
        <f ca="1">MATCH(OFFSET(产出预期!$R$19,B142,E142-1),装备养成!$S$4:$S$9,1)</f>
        <v>4</v>
      </c>
      <c r="G142" s="2" t="str">
        <f ca="1">OFFSET(梦灵养成!$D$9,MATCH(梦灵养成!C173,梦灵养成!$C$10:$C$28,1),0)</f>
        <v>我爱沙</v>
      </c>
      <c r="H142" s="2" t="str">
        <f ca="1">OFFSET(梦灵养成!$I$9,MATCH(梦灵养成!C173,梦灵养成!$C$10:$C$28,1),0)</f>
        <v>后羿</v>
      </c>
      <c r="I142" s="45" cm="1">
        <f ca="1" t="array" ref="I142">IFERROR(MATCH(((产出预期!$M159-OFFSET(梦灵养成!$Q$9,MATCH(产出预期!$M159,梦灵养成!$Q$10:$Q$15,1),0))*OFFSET(梦灵养成!L$9,1+MATCH(产出预期!$M159,梦灵养成!$Q$10:$Q$15,1),0)+梦灵养成!D478+SUMPRODUCT(--(梦灵养成!$Q$10:$Q$15&lt;=产出预期!$M159),梦灵养成!L$10:L$15,梦灵养成!$P$10:$P$15))/MAX(SUMPRODUCT(--(梦灵养成!$C$10:$C$31&lt;=产出预期!$M159),--(梦灵养成!$E$10:$E$31=I$2)),1)*10,梦灵养成!AT$339:AT$387,1),0)</f>
        <v>49</v>
      </c>
      <c r="J142" s="45" cm="1">
        <f ca="1" t="array" ref="J142">IFERROR(MATCH(((产出预期!$M159-OFFSET(梦灵养成!$Q$9,MATCH(产出预期!$M159,梦灵养成!$Q$10:$Q$15,1),0))*OFFSET(梦灵养成!M$9,1+MATCH(产出预期!$M159,梦灵养成!$Q$10:$Q$15,1),0)+梦灵养成!E478+SUMPRODUCT(--(梦灵养成!$Q$10:$Q$15&lt;=产出预期!$M159),梦灵养成!M$10:M$15,梦灵养成!$P$10:$P$15))/MAX(SUMPRODUCT(--(梦灵养成!$C$10:$C$31&lt;=产出预期!$M159),--(梦灵养成!$E$10:$E$31=J$2)),1)*10,梦灵养成!AU$339:AU$387,1),0)</f>
        <v>49</v>
      </c>
      <c r="K142" s="45" cm="1">
        <f ca="1" t="array" ref="K142">IFERROR(MATCH(((产出预期!$M159-OFFSET(梦灵养成!$Q$9,MATCH(产出预期!$M159,梦灵养成!$Q$10:$Q$15,1),0))*OFFSET(梦灵养成!N$9,1+MATCH(产出预期!$M159,梦灵养成!$Q$10:$Q$15,1),0)+梦灵养成!F478+SUMPRODUCT(--(梦灵养成!$Q$10:$Q$15&lt;=产出预期!$M159),梦灵养成!N$10:N$15,梦灵养成!$P$10:$P$15))/MAX(SUMPRODUCT(--(梦灵养成!$C$10:$C$31&lt;=产出预期!$M159),--(梦灵养成!$E$10:$E$31=K$2)),1)*10,梦灵养成!AV$339:AV$387,1),0)</f>
        <v>49</v>
      </c>
      <c r="L142" s="45" cm="1">
        <f ca="1" t="array" ref="L142">IFERROR(MATCH(((产出预期!$M159-OFFSET(梦灵养成!$Q$9,MATCH(产出预期!$M159,梦灵养成!$Q$10:$Q$15,1),0))*OFFSET(梦灵养成!O$9,1+MATCH(产出预期!$M159,梦灵养成!$Q$10:$Q$15,1),0)+梦灵养成!G478+SUMPRODUCT(--(梦灵养成!$Q$10:$Q$15&lt;=产出预期!$M159),梦灵养成!O$10:O$15,梦灵养成!$P$10:$P$15))/MAX(SUMPRODUCT(--(梦灵养成!$C$10:$C$31&lt;=产出预期!$M159),--(梦灵养成!$E$10:$E$31=L$2)),1)*10,梦灵养成!AW$339:AW$388,1),0)</f>
        <v>50</v>
      </c>
      <c r="M142" s="45">
        <f ca="1">OFFSET(符文养成!$C$14,MATCH(C142,符文养成!$B$15:$B$44,1),0)</f>
        <v>30</v>
      </c>
      <c r="N142" s="45">
        <f ca="1">MATCH((产出预期!Z159*价值表!$F$53+产出预期!AA159*价值表!$F$54+产出预期!AD159*价值表!$F$57)/16/M142,符文养成!$G$15:$G$21,1)</f>
        <v>5</v>
      </c>
      <c r="O142" s="45">
        <f>MATCH(产出预期!O159,秘宝养成!$C$3:$C$14,1)</f>
        <v>11</v>
      </c>
    </row>
    <row r="143" ht="16.5" spans="2:15">
      <c r="B143" s="2">
        <v>141</v>
      </c>
      <c r="C143" s="2">
        <f ca="1">MATCH((OFFSET(产出预期!$C$3,0,产出预期!$B$1)*10+OFFSET(产出预期!$C$4,0,产出预期!$B$1)*10+OFFSET(产出预期!$C$7,0,产出预期!$B$1)*20)*B143/10*60,玩家等级!$E$3:$E$302,1)</f>
        <v>83</v>
      </c>
      <c r="D143" s="2">
        <f>MATCH(产出预期!P160/6,装备养成!$G$4:$G$303,1)</f>
        <v>117</v>
      </c>
      <c r="E143" s="2">
        <f>COUNTIF(产出预期!$R160:$Y160,"&gt;"&amp;0)</f>
        <v>8</v>
      </c>
      <c r="F143" s="2">
        <f ca="1">MATCH(OFFSET(产出预期!$R$19,B143,E143-1),装备养成!$S$4:$S$9,1)</f>
        <v>4</v>
      </c>
      <c r="G143" s="2" t="str">
        <f ca="1">OFFSET(梦灵养成!$D$9,MATCH(梦灵养成!C174,梦灵养成!$C$10:$C$28,1),0)</f>
        <v>我爱沙</v>
      </c>
      <c r="H143" s="2" t="str">
        <f ca="1">OFFSET(梦灵养成!$I$9,MATCH(梦灵养成!C174,梦灵养成!$C$10:$C$28,1),0)</f>
        <v>后羿</v>
      </c>
      <c r="I143" s="45" cm="1">
        <f ca="1" t="array" ref="I143">IFERROR(MATCH(((产出预期!$M160-OFFSET(梦灵养成!$Q$9,MATCH(产出预期!$M160,梦灵养成!$Q$10:$Q$15,1),0))*OFFSET(梦灵养成!L$9,1+MATCH(产出预期!$M160,梦灵养成!$Q$10:$Q$15,1),0)+梦灵养成!D479+SUMPRODUCT(--(梦灵养成!$Q$10:$Q$15&lt;=产出预期!$M160),梦灵养成!L$10:L$15,梦灵养成!$P$10:$P$15))/MAX(SUMPRODUCT(--(梦灵养成!$C$10:$C$31&lt;=产出预期!$M160),--(梦灵养成!$E$10:$E$31=I$2)),1)*10,梦灵养成!AT$339:AT$387,1),0)</f>
        <v>49</v>
      </c>
      <c r="J143" s="45" cm="1">
        <f ca="1" t="array" ref="J143">IFERROR(MATCH(((产出预期!$M160-OFFSET(梦灵养成!$Q$9,MATCH(产出预期!$M160,梦灵养成!$Q$10:$Q$15,1),0))*OFFSET(梦灵养成!M$9,1+MATCH(产出预期!$M160,梦灵养成!$Q$10:$Q$15,1),0)+梦灵养成!E479+SUMPRODUCT(--(梦灵养成!$Q$10:$Q$15&lt;=产出预期!$M160),梦灵养成!M$10:M$15,梦灵养成!$P$10:$P$15))/MAX(SUMPRODUCT(--(梦灵养成!$C$10:$C$31&lt;=产出预期!$M160),--(梦灵养成!$E$10:$E$31=J$2)),1)*10,梦灵养成!AU$339:AU$387,1),0)</f>
        <v>49</v>
      </c>
      <c r="K143" s="45" cm="1">
        <f ca="1" t="array" ref="K143">IFERROR(MATCH(((产出预期!$M160-OFFSET(梦灵养成!$Q$9,MATCH(产出预期!$M160,梦灵养成!$Q$10:$Q$15,1),0))*OFFSET(梦灵养成!N$9,1+MATCH(产出预期!$M160,梦灵养成!$Q$10:$Q$15,1),0)+梦灵养成!F479+SUMPRODUCT(--(梦灵养成!$Q$10:$Q$15&lt;=产出预期!$M160),梦灵养成!N$10:N$15,梦灵养成!$P$10:$P$15))/MAX(SUMPRODUCT(--(梦灵养成!$C$10:$C$31&lt;=产出预期!$M160),--(梦灵养成!$E$10:$E$31=K$2)),1)*10,梦灵养成!AV$339:AV$387,1),0)</f>
        <v>49</v>
      </c>
      <c r="L143" s="45" cm="1">
        <f ca="1" t="array" ref="L143">IFERROR(MATCH(((产出预期!$M160-OFFSET(梦灵养成!$Q$9,MATCH(产出预期!$M160,梦灵养成!$Q$10:$Q$15,1),0))*OFFSET(梦灵养成!O$9,1+MATCH(产出预期!$M160,梦灵养成!$Q$10:$Q$15,1),0)+梦灵养成!G479+SUMPRODUCT(--(梦灵养成!$Q$10:$Q$15&lt;=产出预期!$M160),梦灵养成!O$10:O$15,梦灵养成!$P$10:$P$15))/MAX(SUMPRODUCT(--(梦灵养成!$C$10:$C$31&lt;=产出预期!$M160),--(梦灵养成!$E$10:$E$31=L$2)),1)*10,梦灵养成!AW$339:AW$388,1),0)</f>
        <v>50</v>
      </c>
      <c r="M143" s="45">
        <f ca="1">OFFSET(符文养成!$C$14,MATCH(C143,符文养成!$B$15:$B$44,1),0)</f>
        <v>30</v>
      </c>
      <c r="N143" s="45">
        <f ca="1">MATCH((产出预期!Z160*价值表!$F$53+产出预期!AA160*价值表!$F$54+产出预期!AD160*价值表!$F$57)/16/M143,符文养成!$G$15:$G$21,1)</f>
        <v>5</v>
      </c>
      <c r="O143" s="45">
        <f>MATCH(产出预期!O160,秘宝养成!$C$3:$C$14,1)</f>
        <v>11</v>
      </c>
    </row>
    <row r="144" ht="16.5" spans="2:15">
      <c r="B144" s="2">
        <v>142</v>
      </c>
      <c r="C144" s="2">
        <f ca="1">MATCH((OFFSET(产出预期!$C$3,0,产出预期!$B$1)*10+OFFSET(产出预期!$C$4,0,产出预期!$B$1)*10+OFFSET(产出预期!$C$7,0,产出预期!$B$1)*20)*B144/10*60,玩家等级!$E$3:$E$302,1)</f>
        <v>84</v>
      </c>
      <c r="D144" s="2">
        <f>MATCH(产出预期!P161/6,装备养成!$G$4:$G$303,1)</f>
        <v>117</v>
      </c>
      <c r="E144" s="2">
        <f>COUNTIF(产出预期!$R161:$Y161,"&gt;"&amp;0)</f>
        <v>8</v>
      </c>
      <c r="F144" s="2">
        <f ca="1">MATCH(OFFSET(产出预期!$R$19,B144,E144-1),装备养成!$S$4:$S$9,1)</f>
        <v>4</v>
      </c>
      <c r="G144" s="2" t="str">
        <f ca="1">OFFSET(梦灵养成!$D$9,MATCH(梦灵养成!C175,梦灵养成!$C$10:$C$28,1),0)</f>
        <v>我爱沙</v>
      </c>
      <c r="H144" s="2" t="str">
        <f ca="1">OFFSET(梦灵养成!$I$9,MATCH(梦灵养成!C175,梦灵养成!$C$10:$C$28,1),0)</f>
        <v>后羿</v>
      </c>
      <c r="I144" s="45" cm="1">
        <f ca="1" t="array" ref="I144">IFERROR(MATCH(((产出预期!$M161-OFFSET(梦灵养成!$Q$9,MATCH(产出预期!$M161,梦灵养成!$Q$10:$Q$15,1),0))*OFFSET(梦灵养成!L$9,1+MATCH(产出预期!$M161,梦灵养成!$Q$10:$Q$15,1),0)+梦灵养成!D480+SUMPRODUCT(--(梦灵养成!$Q$10:$Q$15&lt;=产出预期!$M161),梦灵养成!L$10:L$15,梦灵养成!$P$10:$P$15))/MAX(SUMPRODUCT(--(梦灵养成!$C$10:$C$31&lt;=产出预期!$M161),--(梦灵养成!$E$10:$E$31=I$2)),1)*10,梦灵养成!AT$339:AT$387,1),0)</f>
        <v>49</v>
      </c>
      <c r="J144" s="45" cm="1">
        <f ca="1" t="array" ref="J144">IFERROR(MATCH(((产出预期!$M161-OFFSET(梦灵养成!$Q$9,MATCH(产出预期!$M161,梦灵养成!$Q$10:$Q$15,1),0))*OFFSET(梦灵养成!M$9,1+MATCH(产出预期!$M161,梦灵养成!$Q$10:$Q$15,1),0)+梦灵养成!E480+SUMPRODUCT(--(梦灵养成!$Q$10:$Q$15&lt;=产出预期!$M161),梦灵养成!M$10:M$15,梦灵养成!$P$10:$P$15))/MAX(SUMPRODUCT(--(梦灵养成!$C$10:$C$31&lt;=产出预期!$M161),--(梦灵养成!$E$10:$E$31=J$2)),1)*10,梦灵养成!AU$339:AU$387,1),0)</f>
        <v>49</v>
      </c>
      <c r="K144" s="45" cm="1">
        <f ca="1" t="array" ref="K144">IFERROR(MATCH(((产出预期!$M161-OFFSET(梦灵养成!$Q$9,MATCH(产出预期!$M161,梦灵养成!$Q$10:$Q$15,1),0))*OFFSET(梦灵养成!N$9,1+MATCH(产出预期!$M161,梦灵养成!$Q$10:$Q$15,1),0)+梦灵养成!F480+SUMPRODUCT(--(梦灵养成!$Q$10:$Q$15&lt;=产出预期!$M161),梦灵养成!N$10:N$15,梦灵养成!$P$10:$P$15))/MAX(SUMPRODUCT(--(梦灵养成!$C$10:$C$31&lt;=产出预期!$M161),--(梦灵养成!$E$10:$E$31=K$2)),1)*10,梦灵养成!AV$339:AV$387,1),0)</f>
        <v>49</v>
      </c>
      <c r="L144" s="45" cm="1">
        <f ca="1" t="array" ref="L144">IFERROR(MATCH(((产出预期!$M161-OFFSET(梦灵养成!$Q$9,MATCH(产出预期!$M161,梦灵养成!$Q$10:$Q$15,1),0))*OFFSET(梦灵养成!O$9,1+MATCH(产出预期!$M161,梦灵养成!$Q$10:$Q$15,1),0)+梦灵养成!G480+SUMPRODUCT(--(梦灵养成!$Q$10:$Q$15&lt;=产出预期!$M161),梦灵养成!O$10:O$15,梦灵养成!$P$10:$P$15))/MAX(SUMPRODUCT(--(梦灵养成!$C$10:$C$31&lt;=产出预期!$M161),--(梦灵养成!$E$10:$E$31=L$2)),1)*10,梦灵养成!AW$339:AW$388,1),0)</f>
        <v>50</v>
      </c>
      <c r="M144" s="45">
        <f ca="1">OFFSET(符文养成!$C$14,MATCH(C144,符文养成!$B$15:$B$44,1),0)</f>
        <v>30</v>
      </c>
      <c r="N144" s="45">
        <f ca="1">MATCH((产出预期!Z161*价值表!$F$53+产出预期!AA161*价值表!$F$54+产出预期!AD161*价值表!$F$57)/16/M144,符文养成!$G$15:$G$21,1)</f>
        <v>5</v>
      </c>
      <c r="O144" s="45">
        <f>MATCH(产出预期!O161,秘宝养成!$C$3:$C$14,1)</f>
        <v>11</v>
      </c>
    </row>
    <row r="145" ht="16.5" spans="2:15">
      <c r="B145" s="2">
        <v>143</v>
      </c>
      <c r="C145" s="2">
        <f ca="1">MATCH((OFFSET(产出预期!$C$3,0,产出预期!$B$1)*10+OFFSET(产出预期!$C$4,0,产出预期!$B$1)*10+OFFSET(产出预期!$C$7,0,产出预期!$B$1)*20)*B145/10*60,玩家等级!$E$3:$E$302,1)</f>
        <v>84</v>
      </c>
      <c r="D145" s="2">
        <f>MATCH(产出预期!P162/6,装备养成!$G$4:$G$303,1)</f>
        <v>117</v>
      </c>
      <c r="E145" s="2">
        <f>COUNTIF(产出预期!$R162:$Y162,"&gt;"&amp;0)</f>
        <v>8</v>
      </c>
      <c r="F145" s="2">
        <f ca="1">MATCH(OFFSET(产出预期!$R$19,B145,E145-1),装备养成!$S$4:$S$9,1)</f>
        <v>4</v>
      </c>
      <c r="G145" s="2" t="str">
        <f ca="1">OFFSET(梦灵养成!$D$9,MATCH(梦灵养成!C176,梦灵养成!$C$10:$C$28,1),0)</f>
        <v>我爱沙</v>
      </c>
      <c r="H145" s="2" t="str">
        <f ca="1">OFFSET(梦灵养成!$I$9,MATCH(梦灵养成!C176,梦灵养成!$C$10:$C$28,1),0)</f>
        <v>后羿</v>
      </c>
      <c r="I145" s="45" cm="1">
        <f ca="1" t="array" ref="I145">IFERROR(MATCH(((产出预期!$M162-OFFSET(梦灵养成!$Q$9,MATCH(产出预期!$M162,梦灵养成!$Q$10:$Q$15,1),0))*OFFSET(梦灵养成!L$9,1+MATCH(产出预期!$M162,梦灵养成!$Q$10:$Q$15,1),0)+梦灵养成!D481+SUMPRODUCT(--(梦灵养成!$Q$10:$Q$15&lt;=产出预期!$M162),梦灵养成!L$10:L$15,梦灵养成!$P$10:$P$15))/MAX(SUMPRODUCT(--(梦灵养成!$C$10:$C$31&lt;=产出预期!$M162),--(梦灵养成!$E$10:$E$31=I$2)),1)*10,梦灵养成!AT$339:AT$387,1),0)</f>
        <v>49</v>
      </c>
      <c r="J145" s="45" cm="1">
        <f ca="1" t="array" ref="J145">IFERROR(MATCH(((产出预期!$M162-OFFSET(梦灵养成!$Q$9,MATCH(产出预期!$M162,梦灵养成!$Q$10:$Q$15,1),0))*OFFSET(梦灵养成!M$9,1+MATCH(产出预期!$M162,梦灵养成!$Q$10:$Q$15,1),0)+梦灵养成!E481+SUMPRODUCT(--(梦灵养成!$Q$10:$Q$15&lt;=产出预期!$M162),梦灵养成!M$10:M$15,梦灵养成!$P$10:$P$15))/MAX(SUMPRODUCT(--(梦灵养成!$C$10:$C$31&lt;=产出预期!$M162),--(梦灵养成!$E$10:$E$31=J$2)),1)*10,梦灵养成!AU$339:AU$387,1),0)</f>
        <v>49</v>
      </c>
      <c r="K145" s="45" cm="1">
        <f ca="1" t="array" ref="K145">IFERROR(MATCH(((产出预期!$M162-OFFSET(梦灵养成!$Q$9,MATCH(产出预期!$M162,梦灵养成!$Q$10:$Q$15,1),0))*OFFSET(梦灵养成!N$9,1+MATCH(产出预期!$M162,梦灵养成!$Q$10:$Q$15,1),0)+梦灵养成!F481+SUMPRODUCT(--(梦灵养成!$Q$10:$Q$15&lt;=产出预期!$M162),梦灵养成!N$10:N$15,梦灵养成!$P$10:$P$15))/MAX(SUMPRODUCT(--(梦灵养成!$C$10:$C$31&lt;=产出预期!$M162),--(梦灵养成!$E$10:$E$31=K$2)),1)*10,梦灵养成!AV$339:AV$387,1),0)</f>
        <v>49</v>
      </c>
      <c r="L145" s="45" cm="1">
        <f ca="1" t="array" ref="L145">IFERROR(MATCH(((产出预期!$M162-OFFSET(梦灵养成!$Q$9,MATCH(产出预期!$M162,梦灵养成!$Q$10:$Q$15,1),0))*OFFSET(梦灵养成!O$9,1+MATCH(产出预期!$M162,梦灵养成!$Q$10:$Q$15,1),0)+梦灵养成!G481+SUMPRODUCT(--(梦灵养成!$Q$10:$Q$15&lt;=产出预期!$M162),梦灵养成!O$10:O$15,梦灵养成!$P$10:$P$15))/MAX(SUMPRODUCT(--(梦灵养成!$C$10:$C$31&lt;=产出预期!$M162),--(梦灵养成!$E$10:$E$31=L$2)),1)*10,梦灵养成!AW$339:AW$388,1),0)</f>
        <v>50</v>
      </c>
      <c r="M145" s="45">
        <f ca="1">OFFSET(符文养成!$C$14,MATCH(C145,符文养成!$B$15:$B$44,1),0)</f>
        <v>30</v>
      </c>
      <c r="N145" s="45">
        <f ca="1">MATCH((产出预期!Z162*价值表!$F$53+产出预期!AA162*价值表!$F$54+产出预期!AD162*价值表!$F$57)/16/M145,符文养成!$G$15:$G$21,1)</f>
        <v>5</v>
      </c>
      <c r="O145" s="45">
        <f>MATCH(产出预期!O162,秘宝养成!$C$3:$C$14,1)</f>
        <v>11</v>
      </c>
    </row>
    <row r="146" ht="16.5" spans="2:15">
      <c r="B146" s="2">
        <v>144</v>
      </c>
      <c r="C146" s="2">
        <f ca="1">MATCH((OFFSET(产出预期!$C$3,0,产出预期!$B$1)*10+OFFSET(产出预期!$C$4,0,产出预期!$B$1)*10+OFFSET(产出预期!$C$7,0,产出预期!$B$1)*20)*B146/10*60,玩家等级!$E$3:$E$302,1)</f>
        <v>84</v>
      </c>
      <c r="D146" s="2">
        <f>MATCH(产出预期!P163/6,装备养成!$G$4:$G$303,1)</f>
        <v>118</v>
      </c>
      <c r="E146" s="2">
        <f>COUNTIF(产出预期!$R163:$Y163,"&gt;"&amp;0)</f>
        <v>8</v>
      </c>
      <c r="F146" s="2">
        <f ca="1">MATCH(OFFSET(产出预期!$R$19,B146,E146-1),装备养成!$S$4:$S$9,1)</f>
        <v>4</v>
      </c>
      <c r="G146" s="2" t="str">
        <f ca="1">OFFSET(梦灵养成!$D$9,MATCH(梦灵养成!C177,梦灵养成!$C$10:$C$28,1),0)</f>
        <v>我爱沙</v>
      </c>
      <c r="H146" s="2" t="str">
        <f ca="1">OFFSET(梦灵养成!$I$9,MATCH(梦灵养成!C177,梦灵养成!$C$10:$C$28,1),0)</f>
        <v>后羿</v>
      </c>
      <c r="I146" s="45" cm="1">
        <f ca="1" t="array" ref="I146">IFERROR(MATCH(((产出预期!$M163-OFFSET(梦灵养成!$Q$9,MATCH(产出预期!$M163,梦灵养成!$Q$10:$Q$15,1),0))*OFFSET(梦灵养成!L$9,1+MATCH(产出预期!$M163,梦灵养成!$Q$10:$Q$15,1),0)+梦灵养成!D482+SUMPRODUCT(--(梦灵养成!$Q$10:$Q$15&lt;=产出预期!$M163),梦灵养成!L$10:L$15,梦灵养成!$P$10:$P$15))/MAX(SUMPRODUCT(--(梦灵养成!$C$10:$C$31&lt;=产出预期!$M163),--(梦灵养成!$E$10:$E$31=I$2)),1)*10,梦灵养成!AT$339:AT$387,1),0)</f>
        <v>49</v>
      </c>
      <c r="J146" s="45" cm="1">
        <f ca="1" t="array" ref="J146">IFERROR(MATCH(((产出预期!$M163-OFFSET(梦灵养成!$Q$9,MATCH(产出预期!$M163,梦灵养成!$Q$10:$Q$15,1),0))*OFFSET(梦灵养成!M$9,1+MATCH(产出预期!$M163,梦灵养成!$Q$10:$Q$15,1),0)+梦灵养成!E482+SUMPRODUCT(--(梦灵养成!$Q$10:$Q$15&lt;=产出预期!$M163),梦灵养成!M$10:M$15,梦灵养成!$P$10:$P$15))/MAX(SUMPRODUCT(--(梦灵养成!$C$10:$C$31&lt;=产出预期!$M163),--(梦灵养成!$E$10:$E$31=J$2)),1)*10,梦灵养成!AU$339:AU$387,1),0)</f>
        <v>49</v>
      </c>
      <c r="K146" s="45" cm="1">
        <f ca="1" t="array" ref="K146">IFERROR(MATCH(((产出预期!$M163-OFFSET(梦灵养成!$Q$9,MATCH(产出预期!$M163,梦灵养成!$Q$10:$Q$15,1),0))*OFFSET(梦灵养成!N$9,1+MATCH(产出预期!$M163,梦灵养成!$Q$10:$Q$15,1),0)+梦灵养成!F482+SUMPRODUCT(--(梦灵养成!$Q$10:$Q$15&lt;=产出预期!$M163),梦灵养成!N$10:N$15,梦灵养成!$P$10:$P$15))/MAX(SUMPRODUCT(--(梦灵养成!$C$10:$C$31&lt;=产出预期!$M163),--(梦灵养成!$E$10:$E$31=K$2)),1)*10,梦灵养成!AV$339:AV$387,1),0)</f>
        <v>49</v>
      </c>
      <c r="L146" s="45" cm="1">
        <f ca="1" t="array" ref="L146">IFERROR(MATCH(((产出预期!$M163-OFFSET(梦灵养成!$Q$9,MATCH(产出预期!$M163,梦灵养成!$Q$10:$Q$15,1),0))*OFFSET(梦灵养成!O$9,1+MATCH(产出预期!$M163,梦灵养成!$Q$10:$Q$15,1),0)+梦灵养成!G482+SUMPRODUCT(--(梦灵养成!$Q$10:$Q$15&lt;=产出预期!$M163),梦灵养成!O$10:O$15,梦灵养成!$P$10:$P$15))/MAX(SUMPRODUCT(--(梦灵养成!$C$10:$C$31&lt;=产出预期!$M163),--(梦灵养成!$E$10:$E$31=L$2)),1)*10,梦灵养成!AW$339:AW$388,1),0)</f>
        <v>50</v>
      </c>
      <c r="M146" s="45">
        <f ca="1">OFFSET(符文养成!$C$14,MATCH(C146,符文养成!$B$15:$B$44,1),0)</f>
        <v>30</v>
      </c>
      <c r="N146" s="45">
        <f ca="1">MATCH((产出预期!Z163*价值表!$F$53+产出预期!AA163*价值表!$F$54+产出预期!AD163*价值表!$F$57)/16/M146,符文养成!$G$15:$G$21,1)</f>
        <v>5</v>
      </c>
      <c r="O146" s="45">
        <f>MATCH(产出预期!O163,秘宝养成!$C$3:$C$14,1)</f>
        <v>11</v>
      </c>
    </row>
    <row r="147" ht="16.5" spans="2:15">
      <c r="B147" s="2">
        <v>145</v>
      </c>
      <c r="C147" s="2">
        <f ca="1">MATCH((OFFSET(产出预期!$C$3,0,产出预期!$B$1)*10+OFFSET(产出预期!$C$4,0,产出预期!$B$1)*10+OFFSET(产出预期!$C$7,0,产出预期!$B$1)*20)*B147/10*60,玩家等级!$E$3:$E$302,1)</f>
        <v>84</v>
      </c>
      <c r="D147" s="2">
        <f>MATCH(产出预期!P164/6,装备养成!$G$4:$G$303,1)</f>
        <v>118</v>
      </c>
      <c r="E147" s="2">
        <f>COUNTIF(产出预期!$R164:$Y164,"&gt;"&amp;0)</f>
        <v>8</v>
      </c>
      <c r="F147" s="2">
        <f ca="1">MATCH(OFFSET(产出预期!$R$19,B147,E147-1),装备养成!$S$4:$S$9,1)</f>
        <v>4</v>
      </c>
      <c r="G147" s="2" t="str">
        <f ca="1">OFFSET(梦灵养成!$D$9,MATCH(梦灵养成!C178,梦灵养成!$C$10:$C$28,1),0)</f>
        <v>我爱沙</v>
      </c>
      <c r="H147" s="2" t="str">
        <f ca="1">OFFSET(梦灵养成!$I$9,MATCH(梦灵养成!C178,梦灵养成!$C$10:$C$28,1),0)</f>
        <v>后羿</v>
      </c>
      <c r="I147" s="45" cm="1">
        <f ca="1" t="array" ref="I147">IFERROR(MATCH(((产出预期!$M164-OFFSET(梦灵养成!$Q$9,MATCH(产出预期!$M164,梦灵养成!$Q$10:$Q$15,1),0))*OFFSET(梦灵养成!L$9,1+MATCH(产出预期!$M164,梦灵养成!$Q$10:$Q$15,1),0)+梦灵养成!D483+SUMPRODUCT(--(梦灵养成!$Q$10:$Q$15&lt;=产出预期!$M164),梦灵养成!L$10:L$15,梦灵养成!$P$10:$P$15))/MAX(SUMPRODUCT(--(梦灵养成!$C$10:$C$31&lt;=产出预期!$M164),--(梦灵养成!$E$10:$E$31=I$2)),1)*10,梦灵养成!AT$339:AT$387,1),0)</f>
        <v>49</v>
      </c>
      <c r="J147" s="45" cm="1">
        <f ca="1" t="array" ref="J147">IFERROR(MATCH(((产出预期!$M164-OFFSET(梦灵养成!$Q$9,MATCH(产出预期!$M164,梦灵养成!$Q$10:$Q$15,1),0))*OFFSET(梦灵养成!M$9,1+MATCH(产出预期!$M164,梦灵养成!$Q$10:$Q$15,1),0)+梦灵养成!E483+SUMPRODUCT(--(梦灵养成!$Q$10:$Q$15&lt;=产出预期!$M164),梦灵养成!M$10:M$15,梦灵养成!$P$10:$P$15))/MAX(SUMPRODUCT(--(梦灵养成!$C$10:$C$31&lt;=产出预期!$M164),--(梦灵养成!$E$10:$E$31=J$2)),1)*10,梦灵养成!AU$339:AU$387,1),0)</f>
        <v>49</v>
      </c>
      <c r="K147" s="45" cm="1">
        <f ca="1" t="array" ref="K147">IFERROR(MATCH(((产出预期!$M164-OFFSET(梦灵养成!$Q$9,MATCH(产出预期!$M164,梦灵养成!$Q$10:$Q$15,1),0))*OFFSET(梦灵养成!N$9,1+MATCH(产出预期!$M164,梦灵养成!$Q$10:$Q$15,1),0)+梦灵养成!F483+SUMPRODUCT(--(梦灵养成!$Q$10:$Q$15&lt;=产出预期!$M164),梦灵养成!N$10:N$15,梦灵养成!$P$10:$P$15))/MAX(SUMPRODUCT(--(梦灵养成!$C$10:$C$31&lt;=产出预期!$M164),--(梦灵养成!$E$10:$E$31=K$2)),1)*10,梦灵养成!AV$339:AV$387,1),0)</f>
        <v>49</v>
      </c>
      <c r="L147" s="45" cm="1">
        <f ca="1" t="array" ref="L147">IFERROR(MATCH(((产出预期!$M164-OFFSET(梦灵养成!$Q$9,MATCH(产出预期!$M164,梦灵养成!$Q$10:$Q$15,1),0))*OFFSET(梦灵养成!O$9,1+MATCH(产出预期!$M164,梦灵养成!$Q$10:$Q$15,1),0)+梦灵养成!G483+SUMPRODUCT(--(梦灵养成!$Q$10:$Q$15&lt;=产出预期!$M164),梦灵养成!O$10:O$15,梦灵养成!$P$10:$P$15))/MAX(SUMPRODUCT(--(梦灵养成!$C$10:$C$31&lt;=产出预期!$M164),--(梦灵养成!$E$10:$E$31=L$2)),1)*10,梦灵养成!AW$339:AW$388,1),0)</f>
        <v>50</v>
      </c>
      <c r="M147" s="45">
        <f ca="1">OFFSET(符文养成!$C$14,MATCH(C147,符文养成!$B$15:$B$44,1),0)</f>
        <v>30</v>
      </c>
      <c r="N147" s="45">
        <f ca="1">MATCH((产出预期!Z164*价值表!$F$53+产出预期!AA164*价值表!$F$54+产出预期!AD164*价值表!$F$57)/16/M147,符文养成!$G$15:$G$21,1)</f>
        <v>5</v>
      </c>
      <c r="O147" s="45">
        <f>MATCH(产出预期!O164,秘宝养成!$C$3:$C$14,1)</f>
        <v>11</v>
      </c>
    </row>
    <row r="148" ht="16.5" spans="2:15">
      <c r="B148" s="2">
        <v>146</v>
      </c>
      <c r="C148" s="2">
        <f ca="1">MATCH((OFFSET(产出预期!$C$3,0,产出预期!$B$1)*10+OFFSET(产出预期!$C$4,0,产出预期!$B$1)*10+OFFSET(产出预期!$C$7,0,产出预期!$B$1)*20)*B148/10*60,玩家等级!$E$3:$E$302,1)</f>
        <v>84</v>
      </c>
      <c r="D148" s="2">
        <f>MATCH(产出预期!P165/6,装备养成!$G$4:$G$303,1)</f>
        <v>118</v>
      </c>
      <c r="E148" s="2">
        <f>COUNTIF(产出预期!$R165:$Y165,"&gt;"&amp;0)</f>
        <v>8</v>
      </c>
      <c r="F148" s="2">
        <f ca="1">MATCH(OFFSET(产出预期!$R$19,B148,E148-1),装备养成!$S$4:$S$9,1)</f>
        <v>4</v>
      </c>
      <c r="G148" s="2" t="str">
        <f ca="1">OFFSET(梦灵养成!$D$9,MATCH(梦灵养成!C179,梦灵养成!$C$10:$C$28,1),0)</f>
        <v>我爱沙</v>
      </c>
      <c r="H148" s="2" t="str">
        <f ca="1">OFFSET(梦灵养成!$I$9,MATCH(梦灵养成!C179,梦灵养成!$C$10:$C$28,1),0)</f>
        <v>后羿</v>
      </c>
      <c r="I148" s="45" cm="1">
        <f ca="1" t="array" ref="I148">IFERROR(MATCH(((产出预期!$M165-OFFSET(梦灵养成!$Q$9,MATCH(产出预期!$M165,梦灵养成!$Q$10:$Q$15,1),0))*OFFSET(梦灵养成!L$9,1+MATCH(产出预期!$M165,梦灵养成!$Q$10:$Q$15,1),0)+梦灵养成!D484+SUMPRODUCT(--(梦灵养成!$Q$10:$Q$15&lt;=产出预期!$M165),梦灵养成!L$10:L$15,梦灵养成!$P$10:$P$15))/MAX(SUMPRODUCT(--(梦灵养成!$C$10:$C$31&lt;=产出预期!$M165),--(梦灵养成!$E$10:$E$31=I$2)),1)*10,梦灵养成!AT$339:AT$387,1),0)</f>
        <v>49</v>
      </c>
      <c r="J148" s="45" cm="1">
        <f ca="1" t="array" ref="J148">IFERROR(MATCH(((产出预期!$M165-OFFSET(梦灵养成!$Q$9,MATCH(产出预期!$M165,梦灵养成!$Q$10:$Q$15,1),0))*OFFSET(梦灵养成!M$9,1+MATCH(产出预期!$M165,梦灵养成!$Q$10:$Q$15,1),0)+梦灵养成!E484+SUMPRODUCT(--(梦灵养成!$Q$10:$Q$15&lt;=产出预期!$M165),梦灵养成!M$10:M$15,梦灵养成!$P$10:$P$15))/MAX(SUMPRODUCT(--(梦灵养成!$C$10:$C$31&lt;=产出预期!$M165),--(梦灵养成!$E$10:$E$31=J$2)),1)*10,梦灵养成!AU$339:AU$387,1),0)</f>
        <v>49</v>
      </c>
      <c r="K148" s="45" cm="1">
        <f ca="1" t="array" ref="K148">IFERROR(MATCH(((产出预期!$M165-OFFSET(梦灵养成!$Q$9,MATCH(产出预期!$M165,梦灵养成!$Q$10:$Q$15,1),0))*OFFSET(梦灵养成!N$9,1+MATCH(产出预期!$M165,梦灵养成!$Q$10:$Q$15,1),0)+梦灵养成!F484+SUMPRODUCT(--(梦灵养成!$Q$10:$Q$15&lt;=产出预期!$M165),梦灵养成!N$10:N$15,梦灵养成!$P$10:$P$15))/MAX(SUMPRODUCT(--(梦灵养成!$C$10:$C$31&lt;=产出预期!$M165),--(梦灵养成!$E$10:$E$31=K$2)),1)*10,梦灵养成!AV$339:AV$387,1),0)</f>
        <v>49</v>
      </c>
      <c r="L148" s="45" cm="1">
        <f ca="1" t="array" ref="L148">IFERROR(MATCH(((产出预期!$M165-OFFSET(梦灵养成!$Q$9,MATCH(产出预期!$M165,梦灵养成!$Q$10:$Q$15,1),0))*OFFSET(梦灵养成!O$9,1+MATCH(产出预期!$M165,梦灵养成!$Q$10:$Q$15,1),0)+梦灵养成!G484+SUMPRODUCT(--(梦灵养成!$Q$10:$Q$15&lt;=产出预期!$M165),梦灵养成!O$10:O$15,梦灵养成!$P$10:$P$15))/MAX(SUMPRODUCT(--(梦灵养成!$C$10:$C$31&lt;=产出预期!$M165),--(梦灵养成!$E$10:$E$31=L$2)),1)*10,梦灵养成!AW$339:AW$388,1),0)</f>
        <v>50</v>
      </c>
      <c r="M148" s="45">
        <f ca="1">OFFSET(符文养成!$C$14,MATCH(C148,符文养成!$B$15:$B$44,1),0)</f>
        <v>30</v>
      </c>
      <c r="N148" s="45">
        <f ca="1">MATCH((产出预期!Z165*价值表!$F$53+产出预期!AA165*价值表!$F$54+产出预期!AD165*价值表!$F$57)/16/M148,符文养成!$G$15:$G$21,1)</f>
        <v>5</v>
      </c>
      <c r="O148" s="45">
        <f>MATCH(产出预期!O165,秘宝养成!$C$3:$C$14,1)</f>
        <v>11</v>
      </c>
    </row>
    <row r="149" ht="16.5" spans="2:15">
      <c r="B149" s="2">
        <v>147</v>
      </c>
      <c r="C149" s="2">
        <f ca="1">MATCH((OFFSET(产出预期!$C$3,0,产出预期!$B$1)*10+OFFSET(产出预期!$C$4,0,产出预期!$B$1)*10+OFFSET(产出预期!$C$7,0,产出预期!$B$1)*20)*B149/10*60,玩家等级!$E$3:$E$302,1)</f>
        <v>85</v>
      </c>
      <c r="D149" s="2">
        <f>MATCH(产出预期!P166/6,装备养成!$G$4:$G$303,1)</f>
        <v>119</v>
      </c>
      <c r="E149" s="2">
        <f>COUNTIF(产出预期!$R166:$Y166,"&gt;"&amp;0)</f>
        <v>8</v>
      </c>
      <c r="F149" s="2">
        <f ca="1">MATCH(OFFSET(产出预期!$R$19,B149,E149-1),装备养成!$S$4:$S$9,1)</f>
        <v>4</v>
      </c>
      <c r="G149" s="2" t="str">
        <f ca="1">OFFSET(梦灵养成!$D$9,MATCH(梦灵养成!C180,梦灵养成!$C$10:$C$28,1),0)</f>
        <v>我爱沙</v>
      </c>
      <c r="H149" s="2" t="str">
        <f ca="1">OFFSET(梦灵养成!$I$9,MATCH(梦灵养成!C180,梦灵养成!$C$10:$C$28,1),0)</f>
        <v>后羿</v>
      </c>
      <c r="I149" s="45" cm="1">
        <f ca="1" t="array" ref="I149">IFERROR(MATCH(((产出预期!$M166-OFFSET(梦灵养成!$Q$9,MATCH(产出预期!$M166,梦灵养成!$Q$10:$Q$15,1),0))*OFFSET(梦灵养成!L$9,1+MATCH(产出预期!$M166,梦灵养成!$Q$10:$Q$15,1),0)+梦灵养成!D485+SUMPRODUCT(--(梦灵养成!$Q$10:$Q$15&lt;=产出预期!$M166),梦灵养成!L$10:L$15,梦灵养成!$P$10:$P$15))/MAX(SUMPRODUCT(--(梦灵养成!$C$10:$C$31&lt;=产出预期!$M166),--(梦灵养成!$E$10:$E$31=I$2)),1)*10,梦灵养成!AT$339:AT$387,1),0)</f>
        <v>49</v>
      </c>
      <c r="J149" s="45" cm="1">
        <f ca="1" t="array" ref="J149">IFERROR(MATCH(((产出预期!$M166-OFFSET(梦灵养成!$Q$9,MATCH(产出预期!$M166,梦灵养成!$Q$10:$Q$15,1),0))*OFFSET(梦灵养成!M$9,1+MATCH(产出预期!$M166,梦灵养成!$Q$10:$Q$15,1),0)+梦灵养成!E485+SUMPRODUCT(--(梦灵养成!$Q$10:$Q$15&lt;=产出预期!$M166),梦灵养成!M$10:M$15,梦灵养成!$P$10:$P$15))/MAX(SUMPRODUCT(--(梦灵养成!$C$10:$C$31&lt;=产出预期!$M166),--(梦灵养成!$E$10:$E$31=J$2)),1)*10,梦灵养成!AU$339:AU$387,1),0)</f>
        <v>49</v>
      </c>
      <c r="K149" s="45" cm="1">
        <f ca="1" t="array" ref="K149">IFERROR(MATCH(((产出预期!$M166-OFFSET(梦灵养成!$Q$9,MATCH(产出预期!$M166,梦灵养成!$Q$10:$Q$15,1),0))*OFFSET(梦灵养成!N$9,1+MATCH(产出预期!$M166,梦灵养成!$Q$10:$Q$15,1),0)+梦灵养成!F485+SUMPRODUCT(--(梦灵养成!$Q$10:$Q$15&lt;=产出预期!$M166),梦灵养成!N$10:N$15,梦灵养成!$P$10:$P$15))/MAX(SUMPRODUCT(--(梦灵养成!$C$10:$C$31&lt;=产出预期!$M166),--(梦灵养成!$E$10:$E$31=K$2)),1)*10,梦灵养成!AV$339:AV$387,1),0)</f>
        <v>49</v>
      </c>
      <c r="L149" s="45" cm="1">
        <f ca="1" t="array" ref="L149">IFERROR(MATCH(((产出预期!$M166-OFFSET(梦灵养成!$Q$9,MATCH(产出预期!$M166,梦灵养成!$Q$10:$Q$15,1),0))*OFFSET(梦灵养成!O$9,1+MATCH(产出预期!$M166,梦灵养成!$Q$10:$Q$15,1),0)+梦灵养成!G485+SUMPRODUCT(--(梦灵养成!$Q$10:$Q$15&lt;=产出预期!$M166),梦灵养成!O$10:O$15,梦灵养成!$P$10:$P$15))/MAX(SUMPRODUCT(--(梦灵养成!$C$10:$C$31&lt;=产出预期!$M166),--(梦灵养成!$E$10:$E$31=L$2)),1)*10,梦灵养成!AW$339:AW$388,1),0)</f>
        <v>50</v>
      </c>
      <c r="M149" s="45">
        <f ca="1">OFFSET(符文养成!$C$14,MATCH(C149,符文养成!$B$15:$B$44,1),0)</f>
        <v>30</v>
      </c>
      <c r="N149" s="45">
        <f ca="1">MATCH((产出预期!Z166*价值表!$F$53+产出预期!AA166*价值表!$F$54+产出预期!AD166*价值表!$F$57)/16/M149,符文养成!$G$15:$G$21,1)</f>
        <v>5</v>
      </c>
      <c r="O149" s="45">
        <f>MATCH(产出预期!O166,秘宝养成!$C$3:$C$14,1)</f>
        <v>11</v>
      </c>
    </row>
    <row r="150" ht="16.5" spans="2:15">
      <c r="B150" s="2">
        <v>148</v>
      </c>
      <c r="C150" s="2">
        <f ca="1">MATCH((OFFSET(产出预期!$C$3,0,产出预期!$B$1)*10+OFFSET(产出预期!$C$4,0,产出预期!$B$1)*10+OFFSET(产出预期!$C$7,0,产出预期!$B$1)*20)*B150/10*60,玩家等级!$E$3:$E$302,1)</f>
        <v>85</v>
      </c>
      <c r="D150" s="2">
        <f>MATCH(产出预期!P167/6,装备养成!$G$4:$G$303,1)</f>
        <v>119</v>
      </c>
      <c r="E150" s="2">
        <f>COUNTIF(产出预期!$R167:$Y167,"&gt;"&amp;0)</f>
        <v>8</v>
      </c>
      <c r="F150" s="2">
        <f ca="1">MATCH(OFFSET(产出预期!$R$19,B150,E150-1),装备养成!$S$4:$S$9,1)</f>
        <v>4</v>
      </c>
      <c r="G150" s="2" t="str">
        <f ca="1">OFFSET(梦灵养成!$D$9,MATCH(梦灵养成!C181,梦灵养成!$C$10:$C$28,1),0)</f>
        <v>我爱沙</v>
      </c>
      <c r="H150" s="2" t="str">
        <f ca="1">OFFSET(梦灵养成!$I$9,MATCH(梦灵养成!C181,梦灵养成!$C$10:$C$28,1),0)</f>
        <v>后羿</v>
      </c>
      <c r="I150" s="45" cm="1">
        <f ca="1" t="array" ref="I150">IFERROR(MATCH(((产出预期!$M167-OFFSET(梦灵养成!$Q$9,MATCH(产出预期!$M167,梦灵养成!$Q$10:$Q$15,1),0))*OFFSET(梦灵养成!L$9,1+MATCH(产出预期!$M167,梦灵养成!$Q$10:$Q$15,1),0)+梦灵养成!D486+SUMPRODUCT(--(梦灵养成!$Q$10:$Q$15&lt;=产出预期!$M167),梦灵养成!L$10:L$15,梦灵养成!$P$10:$P$15))/MAX(SUMPRODUCT(--(梦灵养成!$C$10:$C$31&lt;=产出预期!$M167),--(梦灵养成!$E$10:$E$31=I$2)),1)*10,梦灵养成!AT$339:AT$387,1),0)</f>
        <v>49</v>
      </c>
      <c r="J150" s="45" cm="1">
        <f ca="1" t="array" ref="J150">IFERROR(MATCH(((产出预期!$M167-OFFSET(梦灵养成!$Q$9,MATCH(产出预期!$M167,梦灵养成!$Q$10:$Q$15,1),0))*OFFSET(梦灵养成!M$9,1+MATCH(产出预期!$M167,梦灵养成!$Q$10:$Q$15,1),0)+梦灵养成!E486+SUMPRODUCT(--(梦灵养成!$Q$10:$Q$15&lt;=产出预期!$M167),梦灵养成!M$10:M$15,梦灵养成!$P$10:$P$15))/MAX(SUMPRODUCT(--(梦灵养成!$C$10:$C$31&lt;=产出预期!$M167),--(梦灵养成!$E$10:$E$31=J$2)),1)*10,梦灵养成!AU$339:AU$387,1),0)</f>
        <v>49</v>
      </c>
      <c r="K150" s="45" cm="1">
        <f ca="1" t="array" ref="K150">IFERROR(MATCH(((产出预期!$M167-OFFSET(梦灵养成!$Q$9,MATCH(产出预期!$M167,梦灵养成!$Q$10:$Q$15,1),0))*OFFSET(梦灵养成!N$9,1+MATCH(产出预期!$M167,梦灵养成!$Q$10:$Q$15,1),0)+梦灵养成!F486+SUMPRODUCT(--(梦灵养成!$Q$10:$Q$15&lt;=产出预期!$M167),梦灵养成!N$10:N$15,梦灵养成!$P$10:$P$15))/MAX(SUMPRODUCT(--(梦灵养成!$C$10:$C$31&lt;=产出预期!$M167),--(梦灵养成!$E$10:$E$31=K$2)),1)*10,梦灵养成!AV$339:AV$387,1),0)</f>
        <v>49</v>
      </c>
      <c r="L150" s="45" cm="1">
        <f ca="1" t="array" ref="L150">IFERROR(MATCH(((产出预期!$M167-OFFSET(梦灵养成!$Q$9,MATCH(产出预期!$M167,梦灵养成!$Q$10:$Q$15,1),0))*OFFSET(梦灵养成!O$9,1+MATCH(产出预期!$M167,梦灵养成!$Q$10:$Q$15,1),0)+梦灵养成!G486+SUMPRODUCT(--(梦灵养成!$Q$10:$Q$15&lt;=产出预期!$M167),梦灵养成!O$10:O$15,梦灵养成!$P$10:$P$15))/MAX(SUMPRODUCT(--(梦灵养成!$C$10:$C$31&lt;=产出预期!$M167),--(梦灵养成!$E$10:$E$31=L$2)),1)*10,梦灵养成!AW$339:AW$388,1),0)</f>
        <v>50</v>
      </c>
      <c r="M150" s="45">
        <f ca="1">OFFSET(符文养成!$C$14,MATCH(C150,符文养成!$B$15:$B$44,1),0)</f>
        <v>30</v>
      </c>
      <c r="N150" s="45">
        <f ca="1">MATCH((产出预期!Z167*价值表!$F$53+产出预期!AA167*价值表!$F$54+产出预期!AD167*价值表!$F$57)/16/M150,符文养成!$G$15:$G$21,1)</f>
        <v>5</v>
      </c>
      <c r="O150" s="45">
        <f>MATCH(产出预期!O167,秘宝养成!$C$3:$C$14,1)</f>
        <v>11</v>
      </c>
    </row>
    <row r="151" ht="16.5" spans="2:15">
      <c r="B151" s="2">
        <v>149</v>
      </c>
      <c r="C151" s="2">
        <f ca="1">MATCH((OFFSET(产出预期!$C$3,0,产出预期!$B$1)*10+OFFSET(产出预期!$C$4,0,产出预期!$B$1)*10+OFFSET(产出预期!$C$7,0,产出预期!$B$1)*20)*B151/10*60,玩家等级!$E$3:$E$302,1)</f>
        <v>85</v>
      </c>
      <c r="D151" s="2">
        <f>MATCH(产出预期!P168/6,装备养成!$G$4:$G$303,1)</f>
        <v>119</v>
      </c>
      <c r="E151" s="2">
        <f>COUNTIF(产出预期!$R168:$Y168,"&gt;"&amp;0)</f>
        <v>8</v>
      </c>
      <c r="F151" s="2">
        <f ca="1">MATCH(OFFSET(产出预期!$R$19,B151,E151-1),装备养成!$S$4:$S$9,1)</f>
        <v>4</v>
      </c>
      <c r="G151" s="2" t="str">
        <f ca="1">OFFSET(梦灵养成!$D$9,MATCH(梦灵养成!C182,梦灵养成!$C$10:$C$28,1),0)</f>
        <v>我爱沙</v>
      </c>
      <c r="H151" s="2" t="str">
        <f ca="1">OFFSET(梦灵养成!$I$9,MATCH(梦灵养成!C182,梦灵养成!$C$10:$C$28,1),0)</f>
        <v>后羿</v>
      </c>
      <c r="I151" s="45" cm="1">
        <f ca="1" t="array" ref="I151">IFERROR(MATCH(((产出预期!$M168-OFFSET(梦灵养成!$Q$9,MATCH(产出预期!$M168,梦灵养成!$Q$10:$Q$15,1),0))*OFFSET(梦灵养成!L$9,1+MATCH(产出预期!$M168,梦灵养成!$Q$10:$Q$15,1),0)+梦灵养成!D487+SUMPRODUCT(--(梦灵养成!$Q$10:$Q$15&lt;=产出预期!$M168),梦灵养成!L$10:L$15,梦灵养成!$P$10:$P$15))/MAX(SUMPRODUCT(--(梦灵养成!$C$10:$C$31&lt;=产出预期!$M168),--(梦灵养成!$E$10:$E$31=I$2)),1)*10,梦灵养成!AT$339:AT$387,1),0)</f>
        <v>49</v>
      </c>
      <c r="J151" s="45" cm="1">
        <f ca="1" t="array" ref="J151">IFERROR(MATCH(((产出预期!$M168-OFFSET(梦灵养成!$Q$9,MATCH(产出预期!$M168,梦灵养成!$Q$10:$Q$15,1),0))*OFFSET(梦灵养成!M$9,1+MATCH(产出预期!$M168,梦灵养成!$Q$10:$Q$15,1),0)+梦灵养成!E487+SUMPRODUCT(--(梦灵养成!$Q$10:$Q$15&lt;=产出预期!$M168),梦灵养成!M$10:M$15,梦灵养成!$P$10:$P$15))/MAX(SUMPRODUCT(--(梦灵养成!$C$10:$C$31&lt;=产出预期!$M168),--(梦灵养成!$E$10:$E$31=J$2)),1)*10,梦灵养成!AU$339:AU$387,1),0)</f>
        <v>49</v>
      </c>
      <c r="K151" s="45" cm="1">
        <f ca="1" t="array" ref="K151">IFERROR(MATCH(((产出预期!$M168-OFFSET(梦灵养成!$Q$9,MATCH(产出预期!$M168,梦灵养成!$Q$10:$Q$15,1),0))*OFFSET(梦灵养成!N$9,1+MATCH(产出预期!$M168,梦灵养成!$Q$10:$Q$15,1),0)+梦灵养成!F487+SUMPRODUCT(--(梦灵养成!$Q$10:$Q$15&lt;=产出预期!$M168),梦灵养成!N$10:N$15,梦灵养成!$P$10:$P$15))/MAX(SUMPRODUCT(--(梦灵养成!$C$10:$C$31&lt;=产出预期!$M168),--(梦灵养成!$E$10:$E$31=K$2)),1)*10,梦灵养成!AV$339:AV$387,1),0)</f>
        <v>49</v>
      </c>
      <c r="L151" s="45" cm="1">
        <f ca="1" t="array" ref="L151">IFERROR(MATCH(((产出预期!$M168-OFFSET(梦灵养成!$Q$9,MATCH(产出预期!$M168,梦灵养成!$Q$10:$Q$15,1),0))*OFFSET(梦灵养成!O$9,1+MATCH(产出预期!$M168,梦灵养成!$Q$10:$Q$15,1),0)+梦灵养成!G487+SUMPRODUCT(--(梦灵养成!$Q$10:$Q$15&lt;=产出预期!$M168),梦灵养成!O$10:O$15,梦灵养成!$P$10:$P$15))/MAX(SUMPRODUCT(--(梦灵养成!$C$10:$C$31&lt;=产出预期!$M168),--(梦灵养成!$E$10:$E$31=L$2)),1)*10,梦灵养成!AW$339:AW$388,1),0)</f>
        <v>50</v>
      </c>
      <c r="M151" s="45">
        <f ca="1">OFFSET(符文养成!$C$14,MATCH(C151,符文养成!$B$15:$B$44,1),0)</f>
        <v>30</v>
      </c>
      <c r="N151" s="45">
        <f ca="1">MATCH((产出预期!Z168*价值表!$F$53+产出预期!AA168*价值表!$F$54+产出预期!AD168*价值表!$F$57)/16/M151,符文养成!$G$15:$G$21,1)</f>
        <v>5</v>
      </c>
      <c r="O151" s="45">
        <f>MATCH(产出预期!O168,秘宝养成!$C$3:$C$14,1)</f>
        <v>11</v>
      </c>
    </row>
    <row r="152" ht="16.5" spans="2:15">
      <c r="B152" s="2">
        <v>150</v>
      </c>
      <c r="C152" s="2">
        <f ca="1">MATCH((OFFSET(产出预期!$C$3,0,产出预期!$B$1)*10+OFFSET(产出预期!$C$4,0,产出预期!$B$1)*10+OFFSET(产出预期!$C$7,0,产出预期!$B$1)*20)*B152/10*60,玩家等级!$E$3:$E$302,1)</f>
        <v>85</v>
      </c>
      <c r="D152" s="2">
        <f>MATCH(产出预期!P169/6,装备养成!$G$4:$G$303,1)</f>
        <v>120</v>
      </c>
      <c r="E152" s="2">
        <f>COUNTIF(产出预期!$R169:$Y169,"&gt;"&amp;0)</f>
        <v>8</v>
      </c>
      <c r="F152" s="2">
        <f ca="1">MATCH(OFFSET(产出预期!$R$19,B152,E152-1),装备养成!$S$4:$S$9,1)</f>
        <v>5</v>
      </c>
      <c r="G152" s="2" t="str">
        <f ca="1">OFFSET(梦灵养成!$D$9,MATCH(梦灵养成!C183,梦灵养成!$C$10:$C$28,1),0)</f>
        <v>我爱沙</v>
      </c>
      <c r="H152" s="2" t="str">
        <f ca="1">OFFSET(梦灵养成!$I$9,MATCH(梦灵养成!C183,梦灵养成!$C$10:$C$28,1),0)</f>
        <v>后羿</v>
      </c>
      <c r="I152" s="45" cm="1">
        <f ca="1" t="array" ref="I152">IFERROR(MATCH(((产出预期!$M169-OFFSET(梦灵养成!$Q$9,MATCH(产出预期!$M169,梦灵养成!$Q$10:$Q$15,1),0))*OFFSET(梦灵养成!L$9,1+MATCH(产出预期!$M169,梦灵养成!$Q$10:$Q$15,1),0)+梦灵养成!D488+SUMPRODUCT(--(梦灵养成!$Q$10:$Q$15&lt;=产出预期!$M169),梦灵养成!L$10:L$15,梦灵养成!$P$10:$P$15))/MAX(SUMPRODUCT(--(梦灵养成!$C$10:$C$31&lt;=产出预期!$M169),--(梦灵养成!$E$10:$E$31=I$2)),1)*10,梦灵养成!AT$339:AT$387,1),0)</f>
        <v>49</v>
      </c>
      <c r="J152" s="45" cm="1">
        <f ca="1" t="array" ref="J152">IFERROR(MATCH(((产出预期!$M169-OFFSET(梦灵养成!$Q$9,MATCH(产出预期!$M169,梦灵养成!$Q$10:$Q$15,1),0))*OFFSET(梦灵养成!M$9,1+MATCH(产出预期!$M169,梦灵养成!$Q$10:$Q$15,1),0)+梦灵养成!E488+SUMPRODUCT(--(梦灵养成!$Q$10:$Q$15&lt;=产出预期!$M169),梦灵养成!M$10:M$15,梦灵养成!$P$10:$P$15))/MAX(SUMPRODUCT(--(梦灵养成!$C$10:$C$31&lt;=产出预期!$M169),--(梦灵养成!$E$10:$E$31=J$2)),1)*10,梦灵养成!AU$339:AU$387,1),0)</f>
        <v>49</v>
      </c>
      <c r="K152" s="45" cm="1">
        <f ca="1" t="array" ref="K152">IFERROR(MATCH(((产出预期!$M169-OFFSET(梦灵养成!$Q$9,MATCH(产出预期!$M169,梦灵养成!$Q$10:$Q$15,1),0))*OFFSET(梦灵养成!N$9,1+MATCH(产出预期!$M169,梦灵养成!$Q$10:$Q$15,1),0)+梦灵养成!F488+SUMPRODUCT(--(梦灵养成!$Q$10:$Q$15&lt;=产出预期!$M169),梦灵养成!N$10:N$15,梦灵养成!$P$10:$P$15))/MAX(SUMPRODUCT(--(梦灵养成!$C$10:$C$31&lt;=产出预期!$M169),--(梦灵养成!$E$10:$E$31=K$2)),1)*10,梦灵养成!AV$339:AV$387,1),0)</f>
        <v>49</v>
      </c>
      <c r="L152" s="45" cm="1">
        <f ca="1" t="array" ref="L152">IFERROR(MATCH(((产出预期!$M169-OFFSET(梦灵养成!$Q$9,MATCH(产出预期!$M169,梦灵养成!$Q$10:$Q$15,1),0))*OFFSET(梦灵养成!O$9,1+MATCH(产出预期!$M169,梦灵养成!$Q$10:$Q$15,1),0)+梦灵养成!G488+SUMPRODUCT(--(梦灵养成!$Q$10:$Q$15&lt;=产出预期!$M169),梦灵养成!O$10:O$15,梦灵养成!$P$10:$P$15))/MAX(SUMPRODUCT(--(梦灵养成!$C$10:$C$31&lt;=产出预期!$M169),--(梦灵养成!$E$10:$E$31=L$2)),1)*10,梦灵养成!AW$339:AW$388,1),0)</f>
        <v>50</v>
      </c>
      <c r="M152" s="45">
        <f ca="1">OFFSET(符文养成!$C$14,MATCH(C152,符文养成!$B$15:$B$44,1),0)</f>
        <v>30</v>
      </c>
      <c r="N152" s="45">
        <f ca="1">MATCH((产出预期!Z169*价值表!$F$53+产出预期!AA169*价值表!$F$54+产出预期!AD169*价值表!$F$57)/16/M152,符文养成!$G$15:$G$21,1)</f>
        <v>5</v>
      </c>
      <c r="O152" s="45">
        <f>MATCH(产出预期!O169,秘宝养成!$C$3:$C$14,1)</f>
        <v>11</v>
      </c>
    </row>
    <row r="153" ht="16.5" spans="2:15">
      <c r="B153" s="2">
        <v>151</v>
      </c>
      <c r="C153" s="2">
        <f ca="1">MATCH((OFFSET(产出预期!$C$3,0,产出预期!$B$1)*10+OFFSET(产出预期!$C$4,0,产出预期!$B$1)*10+OFFSET(产出预期!$C$7,0,产出预期!$B$1)*20)*B153/10*60,玩家等级!$E$3:$E$302,1)</f>
        <v>85</v>
      </c>
      <c r="D153" s="2">
        <f>MATCH(产出预期!P170/6,装备养成!$G$4:$G$303,1)</f>
        <v>120</v>
      </c>
      <c r="E153" s="2">
        <f>COUNTIF(产出预期!$R170:$Y170,"&gt;"&amp;0)</f>
        <v>8</v>
      </c>
      <c r="F153" s="2">
        <f ca="1">MATCH(OFFSET(产出预期!$R$19,B153,E153-1),装备养成!$S$4:$S$9,1)</f>
        <v>5</v>
      </c>
      <c r="G153" s="2" t="str">
        <f ca="1">OFFSET(梦灵养成!$D$9,MATCH(梦灵养成!C184,梦灵养成!$C$10:$C$28,1),0)</f>
        <v>我爱沙</v>
      </c>
      <c r="H153" s="2" t="str">
        <f ca="1">OFFSET(梦灵养成!$I$9,MATCH(梦灵养成!C184,梦灵养成!$C$10:$C$28,1),0)</f>
        <v>后羿</v>
      </c>
      <c r="I153" s="45" cm="1">
        <f ca="1" t="array" ref="I153">IFERROR(MATCH(((产出预期!$M170-OFFSET(梦灵养成!$Q$9,MATCH(产出预期!$M170,梦灵养成!$Q$10:$Q$15,1),0))*OFFSET(梦灵养成!L$9,1+MATCH(产出预期!$M170,梦灵养成!$Q$10:$Q$15,1),0)+梦灵养成!D489+SUMPRODUCT(--(梦灵养成!$Q$10:$Q$15&lt;=产出预期!$M170),梦灵养成!L$10:L$15,梦灵养成!$P$10:$P$15))/MAX(SUMPRODUCT(--(梦灵养成!$C$10:$C$31&lt;=产出预期!$M170),--(梦灵养成!$E$10:$E$31=I$2)),1)*10,梦灵养成!AT$339:AT$387,1),0)</f>
        <v>49</v>
      </c>
      <c r="J153" s="45" cm="1">
        <f ca="1" t="array" ref="J153">IFERROR(MATCH(((产出预期!$M170-OFFSET(梦灵养成!$Q$9,MATCH(产出预期!$M170,梦灵养成!$Q$10:$Q$15,1),0))*OFFSET(梦灵养成!M$9,1+MATCH(产出预期!$M170,梦灵养成!$Q$10:$Q$15,1),0)+梦灵养成!E489+SUMPRODUCT(--(梦灵养成!$Q$10:$Q$15&lt;=产出预期!$M170),梦灵养成!M$10:M$15,梦灵养成!$P$10:$P$15))/MAX(SUMPRODUCT(--(梦灵养成!$C$10:$C$31&lt;=产出预期!$M170),--(梦灵养成!$E$10:$E$31=J$2)),1)*10,梦灵养成!AU$339:AU$387,1),0)</f>
        <v>49</v>
      </c>
      <c r="K153" s="45" cm="1">
        <f ca="1" t="array" ref="K153">IFERROR(MATCH(((产出预期!$M170-OFFSET(梦灵养成!$Q$9,MATCH(产出预期!$M170,梦灵养成!$Q$10:$Q$15,1),0))*OFFSET(梦灵养成!N$9,1+MATCH(产出预期!$M170,梦灵养成!$Q$10:$Q$15,1),0)+梦灵养成!F489+SUMPRODUCT(--(梦灵养成!$Q$10:$Q$15&lt;=产出预期!$M170),梦灵养成!N$10:N$15,梦灵养成!$P$10:$P$15))/MAX(SUMPRODUCT(--(梦灵养成!$C$10:$C$31&lt;=产出预期!$M170),--(梦灵养成!$E$10:$E$31=K$2)),1)*10,梦灵养成!AV$339:AV$387,1),0)</f>
        <v>49</v>
      </c>
      <c r="L153" s="45" cm="1">
        <f ca="1" t="array" ref="L153">IFERROR(MATCH(((产出预期!$M170-OFFSET(梦灵养成!$Q$9,MATCH(产出预期!$M170,梦灵养成!$Q$10:$Q$15,1),0))*OFFSET(梦灵养成!O$9,1+MATCH(产出预期!$M170,梦灵养成!$Q$10:$Q$15,1),0)+梦灵养成!G489+SUMPRODUCT(--(梦灵养成!$Q$10:$Q$15&lt;=产出预期!$M170),梦灵养成!O$10:O$15,梦灵养成!$P$10:$P$15))/MAX(SUMPRODUCT(--(梦灵养成!$C$10:$C$31&lt;=产出预期!$M170),--(梦灵养成!$E$10:$E$31=L$2)),1)*10,梦灵养成!AW$339:AW$388,1),0)</f>
        <v>50</v>
      </c>
      <c r="M153" s="45">
        <f ca="1">OFFSET(符文养成!$C$14,MATCH(C153,符文养成!$B$15:$B$44,1),0)</f>
        <v>30</v>
      </c>
      <c r="N153" s="45">
        <f ca="1">MATCH((产出预期!Z170*价值表!$F$53+产出预期!AA170*价值表!$F$54+产出预期!AD170*价值表!$F$57)/16/M153,符文养成!$G$15:$G$21,1)</f>
        <v>5</v>
      </c>
      <c r="O153" s="45">
        <f>MATCH(产出预期!O170,秘宝养成!$C$3:$C$14,1)</f>
        <v>11</v>
      </c>
    </row>
    <row r="154" ht="16.5" spans="2:15">
      <c r="B154" s="2">
        <v>152</v>
      </c>
      <c r="C154" s="2">
        <f ca="1">MATCH((OFFSET(产出预期!$C$3,0,产出预期!$B$1)*10+OFFSET(产出预期!$C$4,0,产出预期!$B$1)*10+OFFSET(产出预期!$C$7,0,产出预期!$B$1)*20)*B154/10*60,玩家等级!$E$3:$E$302,1)</f>
        <v>85</v>
      </c>
      <c r="D154" s="2">
        <f>MATCH(产出预期!P171/6,装备养成!$G$4:$G$303,1)</f>
        <v>120</v>
      </c>
      <c r="E154" s="2">
        <f>COUNTIF(产出预期!$R171:$Y171,"&gt;"&amp;0)</f>
        <v>8</v>
      </c>
      <c r="F154" s="2">
        <f ca="1">MATCH(OFFSET(产出预期!$R$19,B154,E154-1),装备养成!$S$4:$S$9,1)</f>
        <v>5</v>
      </c>
      <c r="G154" s="2" t="str">
        <f ca="1">OFFSET(梦灵养成!$D$9,MATCH(梦灵养成!C185,梦灵养成!$C$10:$C$28,1),0)</f>
        <v>我爱沙</v>
      </c>
      <c r="H154" s="2" t="str">
        <f ca="1">OFFSET(梦灵养成!$I$9,MATCH(梦灵养成!C185,梦灵养成!$C$10:$C$28,1),0)</f>
        <v>后羿</v>
      </c>
      <c r="I154" s="45" cm="1">
        <f ca="1" t="array" ref="I154">IFERROR(MATCH(((产出预期!$M171-OFFSET(梦灵养成!$Q$9,MATCH(产出预期!$M171,梦灵养成!$Q$10:$Q$15,1),0))*OFFSET(梦灵养成!L$9,1+MATCH(产出预期!$M171,梦灵养成!$Q$10:$Q$15,1),0)+梦灵养成!D490+SUMPRODUCT(--(梦灵养成!$Q$10:$Q$15&lt;=产出预期!$M171),梦灵养成!L$10:L$15,梦灵养成!$P$10:$P$15))/MAX(SUMPRODUCT(--(梦灵养成!$C$10:$C$31&lt;=产出预期!$M171),--(梦灵养成!$E$10:$E$31=I$2)),1)*10,梦灵养成!AT$339:AT$387,1),0)</f>
        <v>49</v>
      </c>
      <c r="J154" s="45" cm="1">
        <f ca="1" t="array" ref="J154">IFERROR(MATCH(((产出预期!$M171-OFFSET(梦灵养成!$Q$9,MATCH(产出预期!$M171,梦灵养成!$Q$10:$Q$15,1),0))*OFFSET(梦灵养成!M$9,1+MATCH(产出预期!$M171,梦灵养成!$Q$10:$Q$15,1),0)+梦灵养成!E490+SUMPRODUCT(--(梦灵养成!$Q$10:$Q$15&lt;=产出预期!$M171),梦灵养成!M$10:M$15,梦灵养成!$P$10:$P$15))/MAX(SUMPRODUCT(--(梦灵养成!$C$10:$C$31&lt;=产出预期!$M171),--(梦灵养成!$E$10:$E$31=J$2)),1)*10,梦灵养成!AU$339:AU$387,1),0)</f>
        <v>49</v>
      </c>
      <c r="K154" s="45" cm="1">
        <f ca="1" t="array" ref="K154">IFERROR(MATCH(((产出预期!$M171-OFFSET(梦灵养成!$Q$9,MATCH(产出预期!$M171,梦灵养成!$Q$10:$Q$15,1),0))*OFFSET(梦灵养成!N$9,1+MATCH(产出预期!$M171,梦灵养成!$Q$10:$Q$15,1),0)+梦灵养成!F490+SUMPRODUCT(--(梦灵养成!$Q$10:$Q$15&lt;=产出预期!$M171),梦灵养成!N$10:N$15,梦灵养成!$P$10:$P$15))/MAX(SUMPRODUCT(--(梦灵养成!$C$10:$C$31&lt;=产出预期!$M171),--(梦灵养成!$E$10:$E$31=K$2)),1)*10,梦灵养成!AV$339:AV$387,1),0)</f>
        <v>49</v>
      </c>
      <c r="L154" s="45" cm="1">
        <f ca="1" t="array" ref="L154">IFERROR(MATCH(((产出预期!$M171-OFFSET(梦灵养成!$Q$9,MATCH(产出预期!$M171,梦灵养成!$Q$10:$Q$15,1),0))*OFFSET(梦灵养成!O$9,1+MATCH(产出预期!$M171,梦灵养成!$Q$10:$Q$15,1),0)+梦灵养成!G490+SUMPRODUCT(--(梦灵养成!$Q$10:$Q$15&lt;=产出预期!$M171),梦灵养成!O$10:O$15,梦灵养成!$P$10:$P$15))/MAX(SUMPRODUCT(--(梦灵养成!$C$10:$C$31&lt;=产出预期!$M171),--(梦灵养成!$E$10:$E$31=L$2)),1)*10,梦灵养成!AW$339:AW$388,1),0)</f>
        <v>50</v>
      </c>
      <c r="M154" s="45">
        <f ca="1">OFFSET(符文养成!$C$14,MATCH(C154,符文养成!$B$15:$B$44,1),0)</f>
        <v>30</v>
      </c>
      <c r="N154" s="45">
        <f ca="1">MATCH((产出预期!Z171*价值表!$F$53+产出预期!AA171*价值表!$F$54+产出预期!AD171*价值表!$F$57)/16/M154,符文养成!$G$15:$G$21,1)</f>
        <v>5</v>
      </c>
      <c r="O154" s="45">
        <f>MATCH(产出预期!O171,秘宝养成!$C$3:$C$14,1)</f>
        <v>11</v>
      </c>
    </row>
    <row r="155" ht="16.5" spans="2:15">
      <c r="B155" s="2">
        <v>153</v>
      </c>
      <c r="C155" s="2">
        <f ca="1">MATCH((OFFSET(产出预期!$C$3,0,产出预期!$B$1)*10+OFFSET(产出预期!$C$4,0,产出预期!$B$1)*10+OFFSET(产出预期!$C$7,0,产出预期!$B$1)*20)*B155/10*60,玩家等级!$E$3:$E$302,1)</f>
        <v>85</v>
      </c>
      <c r="D155" s="2">
        <f>MATCH(产出预期!P172/6,装备养成!$G$4:$G$303,1)</f>
        <v>121</v>
      </c>
      <c r="E155" s="2">
        <f>COUNTIF(产出预期!$R172:$Y172,"&gt;"&amp;0)</f>
        <v>8</v>
      </c>
      <c r="F155" s="2">
        <f ca="1">MATCH(OFFSET(产出预期!$R$19,B155,E155-1),装备养成!$S$4:$S$9,1)</f>
        <v>5</v>
      </c>
      <c r="G155" s="2" t="str">
        <f ca="1">OFFSET(梦灵养成!$D$9,MATCH(梦灵养成!C186,梦灵养成!$C$10:$C$28,1),0)</f>
        <v>我爱沙</v>
      </c>
      <c r="H155" s="2" t="str">
        <f ca="1">OFFSET(梦灵养成!$I$9,MATCH(梦灵养成!C186,梦灵养成!$C$10:$C$28,1),0)</f>
        <v>后羿</v>
      </c>
      <c r="I155" s="45" cm="1">
        <f ca="1" t="array" ref="I155">IFERROR(MATCH(((产出预期!$M172-OFFSET(梦灵养成!$Q$9,MATCH(产出预期!$M172,梦灵养成!$Q$10:$Q$15,1),0))*OFFSET(梦灵养成!L$9,1+MATCH(产出预期!$M172,梦灵养成!$Q$10:$Q$15,1),0)+梦灵养成!D491+SUMPRODUCT(--(梦灵养成!$Q$10:$Q$15&lt;=产出预期!$M172),梦灵养成!L$10:L$15,梦灵养成!$P$10:$P$15))/MAX(SUMPRODUCT(--(梦灵养成!$C$10:$C$31&lt;=产出预期!$M172),--(梦灵养成!$E$10:$E$31=I$2)),1)*10,梦灵养成!AT$339:AT$387,1),0)</f>
        <v>49</v>
      </c>
      <c r="J155" s="45" cm="1">
        <f ca="1" t="array" ref="J155">IFERROR(MATCH(((产出预期!$M172-OFFSET(梦灵养成!$Q$9,MATCH(产出预期!$M172,梦灵养成!$Q$10:$Q$15,1),0))*OFFSET(梦灵养成!M$9,1+MATCH(产出预期!$M172,梦灵养成!$Q$10:$Q$15,1),0)+梦灵养成!E491+SUMPRODUCT(--(梦灵养成!$Q$10:$Q$15&lt;=产出预期!$M172),梦灵养成!M$10:M$15,梦灵养成!$P$10:$P$15))/MAX(SUMPRODUCT(--(梦灵养成!$C$10:$C$31&lt;=产出预期!$M172),--(梦灵养成!$E$10:$E$31=J$2)),1)*10,梦灵养成!AU$339:AU$387,1),0)</f>
        <v>49</v>
      </c>
      <c r="K155" s="45" cm="1">
        <f ca="1" t="array" ref="K155">IFERROR(MATCH(((产出预期!$M172-OFFSET(梦灵养成!$Q$9,MATCH(产出预期!$M172,梦灵养成!$Q$10:$Q$15,1),0))*OFFSET(梦灵养成!N$9,1+MATCH(产出预期!$M172,梦灵养成!$Q$10:$Q$15,1),0)+梦灵养成!F491+SUMPRODUCT(--(梦灵养成!$Q$10:$Q$15&lt;=产出预期!$M172),梦灵养成!N$10:N$15,梦灵养成!$P$10:$P$15))/MAX(SUMPRODUCT(--(梦灵养成!$C$10:$C$31&lt;=产出预期!$M172),--(梦灵养成!$E$10:$E$31=K$2)),1)*10,梦灵养成!AV$339:AV$387,1),0)</f>
        <v>49</v>
      </c>
      <c r="L155" s="45" cm="1">
        <f ca="1" t="array" ref="L155">IFERROR(MATCH(((产出预期!$M172-OFFSET(梦灵养成!$Q$9,MATCH(产出预期!$M172,梦灵养成!$Q$10:$Q$15,1),0))*OFFSET(梦灵养成!O$9,1+MATCH(产出预期!$M172,梦灵养成!$Q$10:$Q$15,1),0)+梦灵养成!G491+SUMPRODUCT(--(梦灵养成!$Q$10:$Q$15&lt;=产出预期!$M172),梦灵养成!O$10:O$15,梦灵养成!$P$10:$P$15))/MAX(SUMPRODUCT(--(梦灵养成!$C$10:$C$31&lt;=产出预期!$M172),--(梦灵养成!$E$10:$E$31=L$2)),1)*10,梦灵养成!AW$339:AW$388,1),0)</f>
        <v>50</v>
      </c>
      <c r="M155" s="45">
        <f ca="1">OFFSET(符文养成!$C$14,MATCH(C155,符文养成!$B$15:$B$44,1),0)</f>
        <v>30</v>
      </c>
      <c r="N155" s="45">
        <f ca="1">MATCH((产出预期!Z172*价值表!$F$53+产出预期!AA172*价值表!$F$54+产出预期!AD172*价值表!$F$57)/16/M155,符文养成!$G$15:$G$21,1)</f>
        <v>5</v>
      </c>
      <c r="O155" s="45">
        <f>MATCH(产出预期!O172,秘宝养成!$C$3:$C$14,1)</f>
        <v>11</v>
      </c>
    </row>
    <row r="156" ht="16.5" spans="2:15">
      <c r="B156" s="2">
        <v>154</v>
      </c>
      <c r="C156" s="2">
        <f ca="1">MATCH((OFFSET(产出预期!$C$3,0,产出预期!$B$1)*10+OFFSET(产出预期!$C$4,0,产出预期!$B$1)*10+OFFSET(产出预期!$C$7,0,产出预期!$B$1)*20)*B156/10*60,玩家等级!$E$3:$E$302,1)</f>
        <v>86</v>
      </c>
      <c r="D156" s="2">
        <f>MATCH(产出预期!P173/6,装备养成!$G$4:$G$303,1)</f>
        <v>121</v>
      </c>
      <c r="E156" s="2">
        <f>COUNTIF(产出预期!$R173:$Y173,"&gt;"&amp;0)</f>
        <v>8</v>
      </c>
      <c r="F156" s="2">
        <f ca="1">MATCH(OFFSET(产出预期!$R$19,B156,E156-1),装备养成!$S$4:$S$9,1)</f>
        <v>5</v>
      </c>
      <c r="G156" s="2" t="str">
        <f ca="1">OFFSET(梦灵养成!$D$9,MATCH(梦灵养成!C187,梦灵养成!$C$10:$C$28,1),0)</f>
        <v>我爱沙</v>
      </c>
      <c r="H156" s="2" t="str">
        <f ca="1">OFFSET(梦灵养成!$I$9,MATCH(梦灵养成!C187,梦灵养成!$C$10:$C$28,1),0)</f>
        <v>后羿</v>
      </c>
      <c r="I156" s="45" cm="1">
        <f ca="1" t="array" ref="I156">IFERROR(MATCH(((产出预期!$M173-OFFSET(梦灵养成!$Q$9,MATCH(产出预期!$M173,梦灵养成!$Q$10:$Q$15,1),0))*OFFSET(梦灵养成!L$9,1+MATCH(产出预期!$M173,梦灵养成!$Q$10:$Q$15,1),0)+梦灵养成!D492+SUMPRODUCT(--(梦灵养成!$Q$10:$Q$15&lt;=产出预期!$M173),梦灵养成!L$10:L$15,梦灵养成!$P$10:$P$15))/MAX(SUMPRODUCT(--(梦灵养成!$C$10:$C$31&lt;=产出预期!$M173),--(梦灵养成!$E$10:$E$31=I$2)),1)*10,梦灵养成!AT$339:AT$387,1),0)</f>
        <v>49</v>
      </c>
      <c r="J156" s="45" cm="1">
        <f ca="1" t="array" ref="J156">IFERROR(MATCH(((产出预期!$M173-OFFSET(梦灵养成!$Q$9,MATCH(产出预期!$M173,梦灵养成!$Q$10:$Q$15,1),0))*OFFSET(梦灵养成!M$9,1+MATCH(产出预期!$M173,梦灵养成!$Q$10:$Q$15,1),0)+梦灵养成!E492+SUMPRODUCT(--(梦灵养成!$Q$10:$Q$15&lt;=产出预期!$M173),梦灵养成!M$10:M$15,梦灵养成!$P$10:$P$15))/MAX(SUMPRODUCT(--(梦灵养成!$C$10:$C$31&lt;=产出预期!$M173),--(梦灵养成!$E$10:$E$31=J$2)),1)*10,梦灵养成!AU$339:AU$387,1),0)</f>
        <v>49</v>
      </c>
      <c r="K156" s="45" cm="1">
        <f ca="1" t="array" ref="K156">IFERROR(MATCH(((产出预期!$M173-OFFSET(梦灵养成!$Q$9,MATCH(产出预期!$M173,梦灵养成!$Q$10:$Q$15,1),0))*OFFSET(梦灵养成!N$9,1+MATCH(产出预期!$M173,梦灵养成!$Q$10:$Q$15,1),0)+梦灵养成!F492+SUMPRODUCT(--(梦灵养成!$Q$10:$Q$15&lt;=产出预期!$M173),梦灵养成!N$10:N$15,梦灵养成!$P$10:$P$15))/MAX(SUMPRODUCT(--(梦灵养成!$C$10:$C$31&lt;=产出预期!$M173),--(梦灵养成!$E$10:$E$31=K$2)),1)*10,梦灵养成!AV$339:AV$387,1),0)</f>
        <v>49</v>
      </c>
      <c r="L156" s="45" cm="1">
        <f ca="1" t="array" ref="L156">IFERROR(MATCH(((产出预期!$M173-OFFSET(梦灵养成!$Q$9,MATCH(产出预期!$M173,梦灵养成!$Q$10:$Q$15,1),0))*OFFSET(梦灵养成!O$9,1+MATCH(产出预期!$M173,梦灵养成!$Q$10:$Q$15,1),0)+梦灵养成!G492+SUMPRODUCT(--(梦灵养成!$Q$10:$Q$15&lt;=产出预期!$M173),梦灵养成!O$10:O$15,梦灵养成!$P$10:$P$15))/MAX(SUMPRODUCT(--(梦灵养成!$C$10:$C$31&lt;=产出预期!$M173),--(梦灵养成!$E$10:$E$31=L$2)),1)*10,梦灵养成!AW$339:AW$388,1),0)</f>
        <v>50</v>
      </c>
      <c r="M156" s="45">
        <f ca="1">OFFSET(符文养成!$C$14,MATCH(C156,符文养成!$B$15:$B$44,1),0)</f>
        <v>30</v>
      </c>
      <c r="N156" s="45">
        <f ca="1">MATCH((产出预期!Z173*价值表!$F$53+产出预期!AA173*价值表!$F$54+产出预期!AD173*价值表!$F$57)/16/M156,符文养成!$G$15:$G$21,1)</f>
        <v>5</v>
      </c>
      <c r="O156" s="45">
        <f>MATCH(产出预期!O173,秘宝养成!$C$3:$C$14,1)</f>
        <v>11</v>
      </c>
    </row>
    <row r="157" ht="16.5" spans="2:15">
      <c r="B157" s="2">
        <v>155</v>
      </c>
      <c r="C157" s="2">
        <f ca="1">MATCH((OFFSET(产出预期!$C$3,0,产出预期!$B$1)*10+OFFSET(产出预期!$C$4,0,产出预期!$B$1)*10+OFFSET(产出预期!$C$7,0,产出预期!$B$1)*20)*B157/10*60,玩家等级!$E$3:$E$302,1)</f>
        <v>86</v>
      </c>
      <c r="D157" s="2">
        <f>MATCH(产出预期!P174/6,装备养成!$G$4:$G$303,1)</f>
        <v>121</v>
      </c>
      <c r="E157" s="2">
        <f>COUNTIF(产出预期!$R174:$Y174,"&gt;"&amp;0)</f>
        <v>8</v>
      </c>
      <c r="F157" s="2">
        <f ca="1">MATCH(OFFSET(产出预期!$R$19,B157,E157-1),装备养成!$S$4:$S$9,1)</f>
        <v>5</v>
      </c>
      <c r="G157" s="2" t="str">
        <f ca="1">OFFSET(梦灵养成!$D$9,MATCH(梦灵养成!C188,梦灵养成!$C$10:$C$28,1),0)</f>
        <v>我爱沙</v>
      </c>
      <c r="H157" s="2" t="str">
        <f ca="1">OFFSET(梦灵养成!$I$9,MATCH(梦灵养成!C188,梦灵养成!$C$10:$C$28,1),0)</f>
        <v>后羿</v>
      </c>
      <c r="I157" s="45" cm="1">
        <f ca="1" t="array" ref="I157">IFERROR(MATCH(((产出预期!$M174-OFFSET(梦灵养成!$Q$9,MATCH(产出预期!$M174,梦灵养成!$Q$10:$Q$15,1),0))*OFFSET(梦灵养成!L$9,1+MATCH(产出预期!$M174,梦灵养成!$Q$10:$Q$15,1),0)+梦灵养成!D493+SUMPRODUCT(--(梦灵养成!$Q$10:$Q$15&lt;=产出预期!$M174),梦灵养成!L$10:L$15,梦灵养成!$P$10:$P$15))/MAX(SUMPRODUCT(--(梦灵养成!$C$10:$C$31&lt;=产出预期!$M174),--(梦灵养成!$E$10:$E$31=I$2)),1)*10,梦灵养成!AT$339:AT$387,1),0)</f>
        <v>49</v>
      </c>
      <c r="J157" s="45" cm="1">
        <f ca="1" t="array" ref="J157">IFERROR(MATCH(((产出预期!$M174-OFFSET(梦灵养成!$Q$9,MATCH(产出预期!$M174,梦灵养成!$Q$10:$Q$15,1),0))*OFFSET(梦灵养成!M$9,1+MATCH(产出预期!$M174,梦灵养成!$Q$10:$Q$15,1),0)+梦灵养成!E493+SUMPRODUCT(--(梦灵养成!$Q$10:$Q$15&lt;=产出预期!$M174),梦灵养成!M$10:M$15,梦灵养成!$P$10:$P$15))/MAX(SUMPRODUCT(--(梦灵养成!$C$10:$C$31&lt;=产出预期!$M174),--(梦灵养成!$E$10:$E$31=J$2)),1)*10,梦灵养成!AU$339:AU$387,1),0)</f>
        <v>49</v>
      </c>
      <c r="K157" s="45" cm="1">
        <f ca="1" t="array" ref="K157">IFERROR(MATCH(((产出预期!$M174-OFFSET(梦灵养成!$Q$9,MATCH(产出预期!$M174,梦灵养成!$Q$10:$Q$15,1),0))*OFFSET(梦灵养成!N$9,1+MATCH(产出预期!$M174,梦灵养成!$Q$10:$Q$15,1),0)+梦灵养成!F493+SUMPRODUCT(--(梦灵养成!$Q$10:$Q$15&lt;=产出预期!$M174),梦灵养成!N$10:N$15,梦灵养成!$P$10:$P$15))/MAX(SUMPRODUCT(--(梦灵养成!$C$10:$C$31&lt;=产出预期!$M174),--(梦灵养成!$E$10:$E$31=K$2)),1)*10,梦灵养成!AV$339:AV$387,1),0)</f>
        <v>49</v>
      </c>
      <c r="L157" s="45" cm="1">
        <f ca="1" t="array" ref="L157">IFERROR(MATCH(((产出预期!$M174-OFFSET(梦灵养成!$Q$9,MATCH(产出预期!$M174,梦灵养成!$Q$10:$Q$15,1),0))*OFFSET(梦灵养成!O$9,1+MATCH(产出预期!$M174,梦灵养成!$Q$10:$Q$15,1),0)+梦灵养成!G493+SUMPRODUCT(--(梦灵养成!$Q$10:$Q$15&lt;=产出预期!$M174),梦灵养成!O$10:O$15,梦灵养成!$P$10:$P$15))/MAX(SUMPRODUCT(--(梦灵养成!$C$10:$C$31&lt;=产出预期!$M174),--(梦灵养成!$E$10:$E$31=L$2)),1)*10,梦灵养成!AW$339:AW$388,1),0)</f>
        <v>50</v>
      </c>
      <c r="M157" s="45">
        <f ca="1">OFFSET(符文养成!$C$14,MATCH(C157,符文养成!$B$15:$B$44,1),0)</f>
        <v>30</v>
      </c>
      <c r="N157" s="45">
        <f ca="1">MATCH((产出预期!Z174*价值表!$F$53+产出预期!AA174*价值表!$F$54+产出预期!AD174*价值表!$F$57)/16/M157,符文养成!$G$15:$G$21,1)</f>
        <v>5</v>
      </c>
      <c r="O157" s="45">
        <f>MATCH(产出预期!O174,秘宝养成!$C$3:$C$14,1)</f>
        <v>11</v>
      </c>
    </row>
    <row r="158" ht="16.5" spans="2:15">
      <c r="B158" s="2">
        <v>156</v>
      </c>
      <c r="C158" s="2">
        <f ca="1">MATCH((OFFSET(产出预期!$C$3,0,产出预期!$B$1)*10+OFFSET(产出预期!$C$4,0,产出预期!$B$1)*10+OFFSET(产出预期!$C$7,0,产出预期!$B$1)*20)*B158/10*60,玩家等级!$E$3:$E$302,1)</f>
        <v>86</v>
      </c>
      <c r="D158" s="2">
        <f>MATCH(产出预期!P175/6,装备养成!$G$4:$G$303,1)</f>
        <v>121</v>
      </c>
      <c r="E158" s="2">
        <f>COUNTIF(产出预期!$R175:$Y175,"&gt;"&amp;0)</f>
        <v>8</v>
      </c>
      <c r="F158" s="2">
        <f ca="1">MATCH(OFFSET(产出预期!$R$19,B158,E158-1),装备养成!$S$4:$S$9,1)</f>
        <v>5</v>
      </c>
      <c r="G158" s="2" t="str">
        <f ca="1">OFFSET(梦灵养成!$D$9,MATCH(梦灵养成!C189,梦灵养成!$C$10:$C$28,1),0)</f>
        <v>我爱沙</v>
      </c>
      <c r="H158" s="2" t="str">
        <f ca="1">OFFSET(梦灵养成!$I$9,MATCH(梦灵养成!C189,梦灵养成!$C$10:$C$28,1),0)</f>
        <v>后羿</v>
      </c>
      <c r="I158" s="45" cm="1">
        <f ca="1" t="array" ref="I158">IFERROR(MATCH(((产出预期!$M175-OFFSET(梦灵养成!$Q$9,MATCH(产出预期!$M175,梦灵养成!$Q$10:$Q$15,1),0))*OFFSET(梦灵养成!L$9,1+MATCH(产出预期!$M175,梦灵养成!$Q$10:$Q$15,1),0)+梦灵养成!D494+SUMPRODUCT(--(梦灵养成!$Q$10:$Q$15&lt;=产出预期!$M175),梦灵养成!L$10:L$15,梦灵养成!$P$10:$P$15))/MAX(SUMPRODUCT(--(梦灵养成!$C$10:$C$31&lt;=产出预期!$M175),--(梦灵养成!$E$10:$E$31=I$2)),1)*10,梦灵养成!AT$339:AT$387,1),0)</f>
        <v>49</v>
      </c>
      <c r="J158" s="45" cm="1">
        <f ca="1" t="array" ref="J158">IFERROR(MATCH(((产出预期!$M175-OFFSET(梦灵养成!$Q$9,MATCH(产出预期!$M175,梦灵养成!$Q$10:$Q$15,1),0))*OFFSET(梦灵养成!M$9,1+MATCH(产出预期!$M175,梦灵养成!$Q$10:$Q$15,1),0)+梦灵养成!E494+SUMPRODUCT(--(梦灵养成!$Q$10:$Q$15&lt;=产出预期!$M175),梦灵养成!M$10:M$15,梦灵养成!$P$10:$P$15))/MAX(SUMPRODUCT(--(梦灵养成!$C$10:$C$31&lt;=产出预期!$M175),--(梦灵养成!$E$10:$E$31=J$2)),1)*10,梦灵养成!AU$339:AU$387,1),0)</f>
        <v>49</v>
      </c>
      <c r="K158" s="45" cm="1">
        <f ca="1" t="array" ref="K158">IFERROR(MATCH(((产出预期!$M175-OFFSET(梦灵养成!$Q$9,MATCH(产出预期!$M175,梦灵养成!$Q$10:$Q$15,1),0))*OFFSET(梦灵养成!N$9,1+MATCH(产出预期!$M175,梦灵养成!$Q$10:$Q$15,1),0)+梦灵养成!F494+SUMPRODUCT(--(梦灵养成!$Q$10:$Q$15&lt;=产出预期!$M175),梦灵养成!N$10:N$15,梦灵养成!$P$10:$P$15))/MAX(SUMPRODUCT(--(梦灵养成!$C$10:$C$31&lt;=产出预期!$M175),--(梦灵养成!$E$10:$E$31=K$2)),1)*10,梦灵养成!AV$339:AV$387,1),0)</f>
        <v>49</v>
      </c>
      <c r="L158" s="45" cm="1">
        <f ca="1" t="array" ref="L158">IFERROR(MATCH(((产出预期!$M175-OFFSET(梦灵养成!$Q$9,MATCH(产出预期!$M175,梦灵养成!$Q$10:$Q$15,1),0))*OFFSET(梦灵养成!O$9,1+MATCH(产出预期!$M175,梦灵养成!$Q$10:$Q$15,1),0)+梦灵养成!G494+SUMPRODUCT(--(梦灵养成!$Q$10:$Q$15&lt;=产出预期!$M175),梦灵养成!O$10:O$15,梦灵养成!$P$10:$P$15))/MAX(SUMPRODUCT(--(梦灵养成!$C$10:$C$31&lt;=产出预期!$M175),--(梦灵养成!$E$10:$E$31=L$2)),1)*10,梦灵养成!AW$339:AW$388,1),0)</f>
        <v>50</v>
      </c>
      <c r="M158" s="45">
        <f ca="1">OFFSET(符文养成!$C$14,MATCH(C158,符文养成!$B$15:$B$44,1),0)</f>
        <v>30</v>
      </c>
      <c r="N158" s="45">
        <f ca="1">MATCH((产出预期!Z175*价值表!$F$53+产出预期!AA175*价值表!$F$54+产出预期!AD175*价值表!$F$57)/16/M158,符文养成!$G$15:$G$21,1)</f>
        <v>5</v>
      </c>
      <c r="O158" s="45">
        <f>MATCH(产出预期!O175,秘宝养成!$C$3:$C$14,1)</f>
        <v>11</v>
      </c>
    </row>
    <row r="159" ht="16.5" spans="2:15">
      <c r="B159" s="2">
        <v>157</v>
      </c>
      <c r="C159" s="2">
        <f ca="1">MATCH((OFFSET(产出预期!$C$3,0,产出预期!$B$1)*10+OFFSET(产出预期!$C$4,0,产出预期!$B$1)*10+OFFSET(产出预期!$C$7,0,产出预期!$B$1)*20)*B159/10*60,玩家等级!$E$3:$E$302,1)</f>
        <v>86</v>
      </c>
      <c r="D159" s="2">
        <f>MATCH(产出预期!P176/6,装备养成!$G$4:$G$303,1)</f>
        <v>122</v>
      </c>
      <c r="E159" s="2">
        <f>COUNTIF(产出预期!$R176:$Y176,"&gt;"&amp;0)</f>
        <v>8</v>
      </c>
      <c r="F159" s="2">
        <f ca="1">MATCH(OFFSET(产出预期!$R$19,B159,E159-1),装备养成!$S$4:$S$9,1)</f>
        <v>5</v>
      </c>
      <c r="G159" s="2" t="str">
        <f ca="1">OFFSET(梦灵养成!$D$9,MATCH(梦灵养成!C190,梦灵养成!$C$10:$C$28,1),0)</f>
        <v>我爱沙</v>
      </c>
      <c r="H159" s="2" t="str">
        <f ca="1">OFFSET(梦灵养成!$I$9,MATCH(梦灵养成!C190,梦灵养成!$C$10:$C$28,1),0)</f>
        <v>后羿</v>
      </c>
      <c r="I159" s="45" cm="1">
        <f ca="1" t="array" ref="I159">IFERROR(MATCH(((产出预期!$M176-OFFSET(梦灵养成!$Q$9,MATCH(产出预期!$M176,梦灵养成!$Q$10:$Q$15,1),0))*OFFSET(梦灵养成!L$9,1+MATCH(产出预期!$M176,梦灵养成!$Q$10:$Q$15,1),0)+梦灵养成!D495+SUMPRODUCT(--(梦灵养成!$Q$10:$Q$15&lt;=产出预期!$M176),梦灵养成!L$10:L$15,梦灵养成!$P$10:$P$15))/MAX(SUMPRODUCT(--(梦灵养成!$C$10:$C$31&lt;=产出预期!$M176),--(梦灵养成!$E$10:$E$31=I$2)),1)*10,梦灵养成!AT$339:AT$387,1),0)</f>
        <v>49</v>
      </c>
      <c r="J159" s="45" cm="1">
        <f ca="1" t="array" ref="J159">IFERROR(MATCH(((产出预期!$M176-OFFSET(梦灵养成!$Q$9,MATCH(产出预期!$M176,梦灵养成!$Q$10:$Q$15,1),0))*OFFSET(梦灵养成!M$9,1+MATCH(产出预期!$M176,梦灵养成!$Q$10:$Q$15,1),0)+梦灵养成!E495+SUMPRODUCT(--(梦灵养成!$Q$10:$Q$15&lt;=产出预期!$M176),梦灵养成!M$10:M$15,梦灵养成!$P$10:$P$15))/MAX(SUMPRODUCT(--(梦灵养成!$C$10:$C$31&lt;=产出预期!$M176),--(梦灵养成!$E$10:$E$31=J$2)),1)*10,梦灵养成!AU$339:AU$387,1),0)</f>
        <v>49</v>
      </c>
      <c r="K159" s="45" cm="1">
        <f ca="1" t="array" ref="K159">IFERROR(MATCH(((产出预期!$M176-OFFSET(梦灵养成!$Q$9,MATCH(产出预期!$M176,梦灵养成!$Q$10:$Q$15,1),0))*OFFSET(梦灵养成!N$9,1+MATCH(产出预期!$M176,梦灵养成!$Q$10:$Q$15,1),0)+梦灵养成!F495+SUMPRODUCT(--(梦灵养成!$Q$10:$Q$15&lt;=产出预期!$M176),梦灵养成!N$10:N$15,梦灵养成!$P$10:$P$15))/MAX(SUMPRODUCT(--(梦灵养成!$C$10:$C$31&lt;=产出预期!$M176),--(梦灵养成!$E$10:$E$31=K$2)),1)*10,梦灵养成!AV$339:AV$387,1),0)</f>
        <v>49</v>
      </c>
      <c r="L159" s="45" cm="1">
        <f ca="1" t="array" ref="L159">IFERROR(MATCH(((产出预期!$M176-OFFSET(梦灵养成!$Q$9,MATCH(产出预期!$M176,梦灵养成!$Q$10:$Q$15,1),0))*OFFSET(梦灵养成!O$9,1+MATCH(产出预期!$M176,梦灵养成!$Q$10:$Q$15,1),0)+梦灵养成!G495+SUMPRODUCT(--(梦灵养成!$Q$10:$Q$15&lt;=产出预期!$M176),梦灵养成!O$10:O$15,梦灵养成!$P$10:$P$15))/MAX(SUMPRODUCT(--(梦灵养成!$C$10:$C$31&lt;=产出预期!$M176),--(梦灵养成!$E$10:$E$31=L$2)),1)*10,梦灵养成!AW$339:AW$388,1),0)</f>
        <v>50</v>
      </c>
      <c r="M159" s="45">
        <f ca="1">OFFSET(符文养成!$C$14,MATCH(C159,符文养成!$B$15:$B$44,1),0)</f>
        <v>30</v>
      </c>
      <c r="N159" s="45">
        <f ca="1">MATCH((产出预期!Z176*价值表!$F$53+产出预期!AA176*价值表!$F$54+产出预期!AD176*价值表!$F$57)/16/M159,符文养成!$G$15:$G$21,1)</f>
        <v>5</v>
      </c>
      <c r="O159" s="45">
        <f>MATCH(产出预期!O176,秘宝养成!$C$3:$C$14,1)</f>
        <v>11</v>
      </c>
    </row>
    <row r="160" ht="16.5" spans="2:15">
      <c r="B160" s="2">
        <v>158</v>
      </c>
      <c r="C160" s="2">
        <f ca="1">MATCH((OFFSET(产出预期!$C$3,0,产出预期!$B$1)*10+OFFSET(产出预期!$C$4,0,产出预期!$B$1)*10+OFFSET(产出预期!$C$7,0,产出预期!$B$1)*20)*B160/10*60,玩家等级!$E$3:$E$302,1)</f>
        <v>86</v>
      </c>
      <c r="D160" s="2">
        <f>MATCH(产出预期!P177/6,装备养成!$G$4:$G$303,1)</f>
        <v>122</v>
      </c>
      <c r="E160" s="2">
        <f>COUNTIF(产出预期!$R177:$Y177,"&gt;"&amp;0)</f>
        <v>8</v>
      </c>
      <c r="F160" s="2">
        <f ca="1">MATCH(OFFSET(产出预期!$R$19,B160,E160-1),装备养成!$S$4:$S$9,1)</f>
        <v>5</v>
      </c>
      <c r="G160" s="2" t="str">
        <f ca="1">OFFSET(梦灵养成!$D$9,MATCH(梦灵养成!C191,梦灵养成!$C$10:$C$28,1),0)</f>
        <v>我爱沙</v>
      </c>
      <c r="H160" s="2" t="str">
        <f ca="1">OFFSET(梦灵养成!$I$9,MATCH(梦灵养成!C191,梦灵养成!$C$10:$C$28,1),0)</f>
        <v>后羿</v>
      </c>
      <c r="I160" s="45" cm="1">
        <f ca="1" t="array" ref="I160">IFERROR(MATCH(((产出预期!$M177-OFFSET(梦灵养成!$Q$9,MATCH(产出预期!$M177,梦灵养成!$Q$10:$Q$15,1),0))*OFFSET(梦灵养成!L$9,1+MATCH(产出预期!$M177,梦灵养成!$Q$10:$Q$15,1),0)+梦灵养成!D496+SUMPRODUCT(--(梦灵养成!$Q$10:$Q$15&lt;=产出预期!$M177),梦灵养成!L$10:L$15,梦灵养成!$P$10:$P$15))/MAX(SUMPRODUCT(--(梦灵养成!$C$10:$C$31&lt;=产出预期!$M177),--(梦灵养成!$E$10:$E$31=I$2)),1)*10,梦灵养成!AT$339:AT$387,1),0)</f>
        <v>49</v>
      </c>
      <c r="J160" s="45" cm="1">
        <f ca="1" t="array" ref="J160">IFERROR(MATCH(((产出预期!$M177-OFFSET(梦灵养成!$Q$9,MATCH(产出预期!$M177,梦灵养成!$Q$10:$Q$15,1),0))*OFFSET(梦灵养成!M$9,1+MATCH(产出预期!$M177,梦灵养成!$Q$10:$Q$15,1),0)+梦灵养成!E496+SUMPRODUCT(--(梦灵养成!$Q$10:$Q$15&lt;=产出预期!$M177),梦灵养成!M$10:M$15,梦灵养成!$P$10:$P$15))/MAX(SUMPRODUCT(--(梦灵养成!$C$10:$C$31&lt;=产出预期!$M177),--(梦灵养成!$E$10:$E$31=J$2)),1)*10,梦灵养成!AU$339:AU$387,1),0)</f>
        <v>49</v>
      </c>
      <c r="K160" s="45" cm="1">
        <f ca="1" t="array" ref="K160">IFERROR(MATCH(((产出预期!$M177-OFFSET(梦灵养成!$Q$9,MATCH(产出预期!$M177,梦灵养成!$Q$10:$Q$15,1),0))*OFFSET(梦灵养成!N$9,1+MATCH(产出预期!$M177,梦灵养成!$Q$10:$Q$15,1),0)+梦灵养成!F496+SUMPRODUCT(--(梦灵养成!$Q$10:$Q$15&lt;=产出预期!$M177),梦灵养成!N$10:N$15,梦灵养成!$P$10:$P$15))/MAX(SUMPRODUCT(--(梦灵养成!$C$10:$C$31&lt;=产出预期!$M177),--(梦灵养成!$E$10:$E$31=K$2)),1)*10,梦灵养成!AV$339:AV$387,1),0)</f>
        <v>49</v>
      </c>
      <c r="L160" s="45" cm="1">
        <f ca="1" t="array" ref="L160">IFERROR(MATCH(((产出预期!$M177-OFFSET(梦灵养成!$Q$9,MATCH(产出预期!$M177,梦灵养成!$Q$10:$Q$15,1),0))*OFFSET(梦灵养成!O$9,1+MATCH(产出预期!$M177,梦灵养成!$Q$10:$Q$15,1),0)+梦灵养成!G496+SUMPRODUCT(--(梦灵养成!$Q$10:$Q$15&lt;=产出预期!$M177),梦灵养成!O$10:O$15,梦灵养成!$P$10:$P$15))/MAX(SUMPRODUCT(--(梦灵养成!$C$10:$C$31&lt;=产出预期!$M177),--(梦灵养成!$E$10:$E$31=L$2)),1)*10,梦灵养成!AW$339:AW$388,1),0)</f>
        <v>50</v>
      </c>
      <c r="M160" s="45">
        <f ca="1">OFFSET(符文养成!$C$14,MATCH(C160,符文养成!$B$15:$B$44,1),0)</f>
        <v>30</v>
      </c>
      <c r="N160" s="45">
        <f ca="1">MATCH((产出预期!Z177*价值表!$F$53+产出预期!AA177*价值表!$F$54+产出预期!AD177*价值表!$F$57)/16/M160,符文养成!$G$15:$G$21,1)</f>
        <v>5</v>
      </c>
      <c r="O160" s="45">
        <f>MATCH(产出预期!O177,秘宝养成!$C$3:$C$14,1)</f>
        <v>11</v>
      </c>
    </row>
    <row r="161" ht="16.5" spans="2:15">
      <c r="B161" s="2">
        <v>159</v>
      </c>
      <c r="C161" s="2">
        <f ca="1">MATCH((OFFSET(产出预期!$C$3,0,产出预期!$B$1)*10+OFFSET(产出预期!$C$4,0,产出预期!$B$1)*10+OFFSET(产出预期!$C$7,0,产出预期!$B$1)*20)*B161/10*60,玩家等级!$E$3:$E$302,1)</f>
        <v>86</v>
      </c>
      <c r="D161" s="2">
        <f>MATCH(产出预期!P178/6,装备养成!$G$4:$G$303,1)</f>
        <v>122</v>
      </c>
      <c r="E161" s="2">
        <f>COUNTIF(产出预期!$R178:$Y178,"&gt;"&amp;0)</f>
        <v>8</v>
      </c>
      <c r="F161" s="2">
        <f ca="1">MATCH(OFFSET(产出预期!$R$19,B161,E161-1),装备养成!$S$4:$S$9,1)</f>
        <v>5</v>
      </c>
      <c r="G161" s="2" t="str">
        <f ca="1">OFFSET(梦灵养成!$D$9,MATCH(梦灵养成!C192,梦灵养成!$C$10:$C$28,1),0)</f>
        <v>我爱沙</v>
      </c>
      <c r="H161" s="2" t="str">
        <f ca="1">OFFSET(梦灵养成!$I$9,MATCH(梦灵养成!C192,梦灵养成!$C$10:$C$28,1),0)</f>
        <v>后羿</v>
      </c>
      <c r="I161" s="45" cm="1">
        <f ca="1" t="array" ref="I161">IFERROR(MATCH(((产出预期!$M178-OFFSET(梦灵养成!$Q$9,MATCH(产出预期!$M178,梦灵养成!$Q$10:$Q$15,1),0))*OFFSET(梦灵养成!L$9,1+MATCH(产出预期!$M178,梦灵养成!$Q$10:$Q$15,1),0)+梦灵养成!D497+SUMPRODUCT(--(梦灵养成!$Q$10:$Q$15&lt;=产出预期!$M178),梦灵养成!L$10:L$15,梦灵养成!$P$10:$P$15))/MAX(SUMPRODUCT(--(梦灵养成!$C$10:$C$31&lt;=产出预期!$M178),--(梦灵养成!$E$10:$E$31=I$2)),1)*10,梦灵养成!AT$339:AT$387,1),0)</f>
        <v>49</v>
      </c>
      <c r="J161" s="45" cm="1">
        <f ca="1" t="array" ref="J161">IFERROR(MATCH(((产出预期!$M178-OFFSET(梦灵养成!$Q$9,MATCH(产出预期!$M178,梦灵养成!$Q$10:$Q$15,1),0))*OFFSET(梦灵养成!M$9,1+MATCH(产出预期!$M178,梦灵养成!$Q$10:$Q$15,1),0)+梦灵养成!E497+SUMPRODUCT(--(梦灵养成!$Q$10:$Q$15&lt;=产出预期!$M178),梦灵养成!M$10:M$15,梦灵养成!$P$10:$P$15))/MAX(SUMPRODUCT(--(梦灵养成!$C$10:$C$31&lt;=产出预期!$M178),--(梦灵养成!$E$10:$E$31=J$2)),1)*10,梦灵养成!AU$339:AU$387,1),0)</f>
        <v>49</v>
      </c>
      <c r="K161" s="45" cm="1">
        <f ca="1" t="array" ref="K161">IFERROR(MATCH(((产出预期!$M178-OFFSET(梦灵养成!$Q$9,MATCH(产出预期!$M178,梦灵养成!$Q$10:$Q$15,1),0))*OFFSET(梦灵养成!N$9,1+MATCH(产出预期!$M178,梦灵养成!$Q$10:$Q$15,1),0)+梦灵养成!F497+SUMPRODUCT(--(梦灵养成!$Q$10:$Q$15&lt;=产出预期!$M178),梦灵养成!N$10:N$15,梦灵养成!$P$10:$P$15))/MAX(SUMPRODUCT(--(梦灵养成!$C$10:$C$31&lt;=产出预期!$M178),--(梦灵养成!$E$10:$E$31=K$2)),1)*10,梦灵养成!AV$339:AV$387,1),0)</f>
        <v>49</v>
      </c>
      <c r="L161" s="45" cm="1">
        <f ca="1" t="array" ref="L161">IFERROR(MATCH(((产出预期!$M178-OFFSET(梦灵养成!$Q$9,MATCH(产出预期!$M178,梦灵养成!$Q$10:$Q$15,1),0))*OFFSET(梦灵养成!O$9,1+MATCH(产出预期!$M178,梦灵养成!$Q$10:$Q$15,1),0)+梦灵养成!G497+SUMPRODUCT(--(梦灵养成!$Q$10:$Q$15&lt;=产出预期!$M178),梦灵养成!O$10:O$15,梦灵养成!$P$10:$P$15))/MAX(SUMPRODUCT(--(梦灵养成!$C$10:$C$31&lt;=产出预期!$M178),--(梦灵养成!$E$10:$E$31=L$2)),1)*10,梦灵养成!AW$339:AW$388,1),0)</f>
        <v>50</v>
      </c>
      <c r="M161" s="45">
        <f ca="1">OFFSET(符文养成!$C$14,MATCH(C161,符文养成!$B$15:$B$44,1),0)</f>
        <v>30</v>
      </c>
      <c r="N161" s="45">
        <f ca="1">MATCH((产出预期!Z178*价值表!$F$53+产出预期!AA178*价值表!$F$54+产出预期!AD178*价值表!$F$57)/16/M161,符文养成!$G$15:$G$21,1)</f>
        <v>5</v>
      </c>
      <c r="O161" s="45">
        <f>MATCH(产出预期!O178,秘宝养成!$C$3:$C$14,1)</f>
        <v>11</v>
      </c>
    </row>
    <row r="162" ht="16.5" spans="2:15">
      <c r="B162" s="2">
        <v>160</v>
      </c>
      <c r="C162" s="2">
        <f ca="1">MATCH((OFFSET(产出预期!$C$3,0,产出预期!$B$1)*10+OFFSET(产出预期!$C$4,0,产出预期!$B$1)*10+OFFSET(产出预期!$C$7,0,产出预期!$B$1)*20)*B162/10*60,玩家等级!$E$3:$E$302,1)</f>
        <v>87</v>
      </c>
      <c r="D162" s="2">
        <f>MATCH(产出预期!P179/6,装备养成!$G$4:$G$303,1)</f>
        <v>123</v>
      </c>
      <c r="E162" s="2">
        <f>COUNTIF(产出预期!$R179:$Y179,"&gt;"&amp;0)</f>
        <v>8</v>
      </c>
      <c r="F162" s="2">
        <f ca="1">MATCH(OFFSET(产出预期!$R$19,B162,E162-1),装备养成!$S$4:$S$9,1)</f>
        <v>5</v>
      </c>
      <c r="G162" s="2" t="str">
        <f ca="1">OFFSET(梦灵养成!$D$9,MATCH(梦灵养成!C193,梦灵养成!$C$10:$C$28,1),0)</f>
        <v>我爱沙</v>
      </c>
      <c r="H162" s="2" t="str">
        <f ca="1">OFFSET(梦灵养成!$I$9,MATCH(梦灵养成!C193,梦灵养成!$C$10:$C$28,1),0)</f>
        <v>后羿</v>
      </c>
      <c r="I162" s="45" cm="1">
        <f ca="1" t="array" ref="I162">IFERROR(MATCH(((产出预期!$M179-OFFSET(梦灵养成!$Q$9,MATCH(产出预期!$M179,梦灵养成!$Q$10:$Q$15,1),0))*OFFSET(梦灵养成!L$9,1+MATCH(产出预期!$M179,梦灵养成!$Q$10:$Q$15,1),0)+梦灵养成!D498+SUMPRODUCT(--(梦灵养成!$Q$10:$Q$15&lt;=产出预期!$M179),梦灵养成!L$10:L$15,梦灵养成!$P$10:$P$15))/MAX(SUMPRODUCT(--(梦灵养成!$C$10:$C$31&lt;=产出预期!$M179),--(梦灵养成!$E$10:$E$31=I$2)),1)*10,梦灵养成!AT$339:AT$387,1),0)</f>
        <v>49</v>
      </c>
      <c r="J162" s="45" cm="1">
        <f ca="1" t="array" ref="J162">IFERROR(MATCH(((产出预期!$M179-OFFSET(梦灵养成!$Q$9,MATCH(产出预期!$M179,梦灵养成!$Q$10:$Q$15,1),0))*OFFSET(梦灵养成!M$9,1+MATCH(产出预期!$M179,梦灵养成!$Q$10:$Q$15,1),0)+梦灵养成!E498+SUMPRODUCT(--(梦灵养成!$Q$10:$Q$15&lt;=产出预期!$M179),梦灵养成!M$10:M$15,梦灵养成!$P$10:$P$15))/MAX(SUMPRODUCT(--(梦灵养成!$C$10:$C$31&lt;=产出预期!$M179),--(梦灵养成!$E$10:$E$31=J$2)),1)*10,梦灵养成!AU$339:AU$387,1),0)</f>
        <v>49</v>
      </c>
      <c r="K162" s="45" cm="1">
        <f ca="1" t="array" ref="K162">IFERROR(MATCH(((产出预期!$M179-OFFSET(梦灵养成!$Q$9,MATCH(产出预期!$M179,梦灵养成!$Q$10:$Q$15,1),0))*OFFSET(梦灵养成!N$9,1+MATCH(产出预期!$M179,梦灵养成!$Q$10:$Q$15,1),0)+梦灵养成!F498+SUMPRODUCT(--(梦灵养成!$Q$10:$Q$15&lt;=产出预期!$M179),梦灵养成!N$10:N$15,梦灵养成!$P$10:$P$15))/MAX(SUMPRODUCT(--(梦灵养成!$C$10:$C$31&lt;=产出预期!$M179),--(梦灵养成!$E$10:$E$31=K$2)),1)*10,梦灵养成!AV$339:AV$387,1),0)</f>
        <v>49</v>
      </c>
      <c r="L162" s="45" cm="1">
        <f ca="1" t="array" ref="L162">IFERROR(MATCH(((产出预期!$M179-OFFSET(梦灵养成!$Q$9,MATCH(产出预期!$M179,梦灵养成!$Q$10:$Q$15,1),0))*OFFSET(梦灵养成!O$9,1+MATCH(产出预期!$M179,梦灵养成!$Q$10:$Q$15,1),0)+梦灵养成!G498+SUMPRODUCT(--(梦灵养成!$Q$10:$Q$15&lt;=产出预期!$M179),梦灵养成!O$10:O$15,梦灵养成!$P$10:$P$15))/MAX(SUMPRODUCT(--(梦灵养成!$C$10:$C$31&lt;=产出预期!$M179),--(梦灵养成!$E$10:$E$31=L$2)),1)*10,梦灵养成!AW$339:AW$388,1),0)</f>
        <v>50</v>
      </c>
      <c r="M162" s="45">
        <f ca="1">OFFSET(符文养成!$C$14,MATCH(C162,符文养成!$B$15:$B$44,1),0)</f>
        <v>30</v>
      </c>
      <c r="N162" s="45">
        <f ca="1">MATCH((产出预期!Z179*价值表!$F$53+产出预期!AA179*价值表!$F$54+产出预期!AD179*价值表!$F$57)/16/M162,符文养成!$G$15:$G$21,1)</f>
        <v>5</v>
      </c>
      <c r="O162" s="45">
        <f>MATCH(产出预期!O179,秘宝养成!$C$3:$C$14,1)</f>
        <v>11</v>
      </c>
    </row>
    <row r="163" ht="16.5" spans="2:15">
      <c r="B163" s="2">
        <v>161</v>
      </c>
      <c r="C163" s="2">
        <f ca="1">MATCH((OFFSET(产出预期!$C$3,0,产出预期!$B$1)*10+OFFSET(产出预期!$C$4,0,产出预期!$B$1)*10+OFFSET(产出预期!$C$7,0,产出预期!$B$1)*20)*B163/10*60,玩家等级!$E$3:$E$302,1)</f>
        <v>87</v>
      </c>
      <c r="D163" s="2">
        <f>MATCH(产出预期!P180/6,装备养成!$G$4:$G$303,1)</f>
        <v>123</v>
      </c>
      <c r="E163" s="2">
        <f>COUNTIF(产出预期!$R180:$Y180,"&gt;"&amp;0)</f>
        <v>8</v>
      </c>
      <c r="F163" s="2">
        <f ca="1">MATCH(OFFSET(产出预期!$R$19,B163,E163-1),装备养成!$S$4:$S$9,1)</f>
        <v>5</v>
      </c>
      <c r="G163" s="2" t="str">
        <f ca="1">OFFSET(梦灵养成!$D$9,MATCH(梦灵养成!C194,梦灵养成!$C$10:$C$28,1),0)</f>
        <v>我爱沙</v>
      </c>
      <c r="H163" s="2" t="str">
        <f ca="1">OFFSET(梦灵养成!$I$9,MATCH(梦灵养成!C194,梦灵养成!$C$10:$C$28,1),0)</f>
        <v>后羿</v>
      </c>
      <c r="I163" s="45" cm="1">
        <f ca="1" t="array" ref="I163">IFERROR(MATCH(((产出预期!$M180-OFFSET(梦灵养成!$Q$9,MATCH(产出预期!$M180,梦灵养成!$Q$10:$Q$15,1),0))*OFFSET(梦灵养成!L$9,1+MATCH(产出预期!$M180,梦灵养成!$Q$10:$Q$15,1),0)+梦灵养成!D499+SUMPRODUCT(--(梦灵养成!$Q$10:$Q$15&lt;=产出预期!$M180),梦灵养成!L$10:L$15,梦灵养成!$P$10:$P$15))/MAX(SUMPRODUCT(--(梦灵养成!$C$10:$C$31&lt;=产出预期!$M180),--(梦灵养成!$E$10:$E$31=I$2)),1)*10,梦灵养成!AT$339:AT$387,1),0)</f>
        <v>49</v>
      </c>
      <c r="J163" s="45" cm="1">
        <f ca="1" t="array" ref="J163">IFERROR(MATCH(((产出预期!$M180-OFFSET(梦灵养成!$Q$9,MATCH(产出预期!$M180,梦灵养成!$Q$10:$Q$15,1),0))*OFFSET(梦灵养成!M$9,1+MATCH(产出预期!$M180,梦灵养成!$Q$10:$Q$15,1),0)+梦灵养成!E499+SUMPRODUCT(--(梦灵养成!$Q$10:$Q$15&lt;=产出预期!$M180),梦灵养成!M$10:M$15,梦灵养成!$P$10:$P$15))/MAX(SUMPRODUCT(--(梦灵养成!$C$10:$C$31&lt;=产出预期!$M180),--(梦灵养成!$E$10:$E$31=J$2)),1)*10,梦灵养成!AU$339:AU$387,1),0)</f>
        <v>49</v>
      </c>
      <c r="K163" s="45" cm="1">
        <f ca="1" t="array" ref="K163">IFERROR(MATCH(((产出预期!$M180-OFFSET(梦灵养成!$Q$9,MATCH(产出预期!$M180,梦灵养成!$Q$10:$Q$15,1),0))*OFFSET(梦灵养成!N$9,1+MATCH(产出预期!$M180,梦灵养成!$Q$10:$Q$15,1),0)+梦灵养成!F499+SUMPRODUCT(--(梦灵养成!$Q$10:$Q$15&lt;=产出预期!$M180),梦灵养成!N$10:N$15,梦灵养成!$P$10:$P$15))/MAX(SUMPRODUCT(--(梦灵养成!$C$10:$C$31&lt;=产出预期!$M180),--(梦灵养成!$E$10:$E$31=K$2)),1)*10,梦灵养成!AV$339:AV$387,1),0)</f>
        <v>49</v>
      </c>
      <c r="L163" s="45" cm="1">
        <f ca="1" t="array" ref="L163">IFERROR(MATCH(((产出预期!$M180-OFFSET(梦灵养成!$Q$9,MATCH(产出预期!$M180,梦灵养成!$Q$10:$Q$15,1),0))*OFFSET(梦灵养成!O$9,1+MATCH(产出预期!$M180,梦灵养成!$Q$10:$Q$15,1),0)+梦灵养成!G499+SUMPRODUCT(--(梦灵养成!$Q$10:$Q$15&lt;=产出预期!$M180),梦灵养成!O$10:O$15,梦灵养成!$P$10:$P$15))/MAX(SUMPRODUCT(--(梦灵养成!$C$10:$C$31&lt;=产出预期!$M180),--(梦灵养成!$E$10:$E$31=L$2)),1)*10,梦灵养成!AW$339:AW$388,1),0)</f>
        <v>50</v>
      </c>
      <c r="M163" s="45">
        <f ca="1">OFFSET(符文养成!$C$14,MATCH(C163,符文养成!$B$15:$B$44,1),0)</f>
        <v>30</v>
      </c>
      <c r="N163" s="45">
        <f ca="1">MATCH((产出预期!Z180*价值表!$F$53+产出预期!AA180*价值表!$F$54+产出预期!AD180*价值表!$F$57)/16/M163,符文养成!$G$15:$G$21,1)</f>
        <v>5</v>
      </c>
      <c r="O163" s="45">
        <f>MATCH(产出预期!O180,秘宝养成!$C$3:$C$14,1)</f>
        <v>11</v>
      </c>
    </row>
    <row r="164" ht="16.5" spans="2:15">
      <c r="B164" s="2">
        <v>162</v>
      </c>
      <c r="C164" s="2">
        <f ca="1">MATCH((OFFSET(产出预期!$C$3,0,产出预期!$B$1)*10+OFFSET(产出预期!$C$4,0,产出预期!$B$1)*10+OFFSET(产出预期!$C$7,0,产出预期!$B$1)*20)*B164/10*60,玩家等级!$E$3:$E$302,1)</f>
        <v>87</v>
      </c>
      <c r="D164" s="2">
        <f>MATCH(产出预期!P181/6,装备养成!$G$4:$G$303,1)</f>
        <v>123</v>
      </c>
      <c r="E164" s="2">
        <f>COUNTIF(产出预期!$R181:$Y181,"&gt;"&amp;0)</f>
        <v>8</v>
      </c>
      <c r="F164" s="2">
        <f ca="1">MATCH(OFFSET(产出预期!$R$19,B164,E164-1),装备养成!$S$4:$S$9,1)</f>
        <v>5</v>
      </c>
      <c r="G164" s="2" t="str">
        <f ca="1">OFFSET(梦灵养成!$D$9,MATCH(梦灵养成!C195,梦灵养成!$C$10:$C$28,1),0)</f>
        <v>我爱沙</v>
      </c>
      <c r="H164" s="2" t="str">
        <f ca="1">OFFSET(梦灵养成!$I$9,MATCH(梦灵养成!C195,梦灵养成!$C$10:$C$28,1),0)</f>
        <v>后羿</v>
      </c>
      <c r="I164" s="45" cm="1">
        <f ca="1" t="array" ref="I164">IFERROR(MATCH(((产出预期!$M181-OFFSET(梦灵养成!$Q$9,MATCH(产出预期!$M181,梦灵养成!$Q$10:$Q$15,1),0))*OFFSET(梦灵养成!L$9,1+MATCH(产出预期!$M181,梦灵养成!$Q$10:$Q$15,1),0)+梦灵养成!D500+SUMPRODUCT(--(梦灵养成!$Q$10:$Q$15&lt;=产出预期!$M181),梦灵养成!L$10:L$15,梦灵养成!$P$10:$P$15))/MAX(SUMPRODUCT(--(梦灵养成!$C$10:$C$31&lt;=产出预期!$M181),--(梦灵养成!$E$10:$E$31=I$2)),1)*10,梦灵养成!AT$339:AT$387,1),0)</f>
        <v>49</v>
      </c>
      <c r="J164" s="45" cm="1">
        <f ca="1" t="array" ref="J164">IFERROR(MATCH(((产出预期!$M181-OFFSET(梦灵养成!$Q$9,MATCH(产出预期!$M181,梦灵养成!$Q$10:$Q$15,1),0))*OFFSET(梦灵养成!M$9,1+MATCH(产出预期!$M181,梦灵养成!$Q$10:$Q$15,1),0)+梦灵养成!E500+SUMPRODUCT(--(梦灵养成!$Q$10:$Q$15&lt;=产出预期!$M181),梦灵养成!M$10:M$15,梦灵养成!$P$10:$P$15))/MAX(SUMPRODUCT(--(梦灵养成!$C$10:$C$31&lt;=产出预期!$M181),--(梦灵养成!$E$10:$E$31=J$2)),1)*10,梦灵养成!AU$339:AU$387,1),0)</f>
        <v>49</v>
      </c>
      <c r="K164" s="45" cm="1">
        <f ca="1" t="array" ref="K164">IFERROR(MATCH(((产出预期!$M181-OFFSET(梦灵养成!$Q$9,MATCH(产出预期!$M181,梦灵养成!$Q$10:$Q$15,1),0))*OFFSET(梦灵养成!N$9,1+MATCH(产出预期!$M181,梦灵养成!$Q$10:$Q$15,1),0)+梦灵养成!F500+SUMPRODUCT(--(梦灵养成!$Q$10:$Q$15&lt;=产出预期!$M181),梦灵养成!N$10:N$15,梦灵养成!$P$10:$P$15))/MAX(SUMPRODUCT(--(梦灵养成!$C$10:$C$31&lt;=产出预期!$M181),--(梦灵养成!$E$10:$E$31=K$2)),1)*10,梦灵养成!AV$339:AV$387,1),0)</f>
        <v>49</v>
      </c>
      <c r="L164" s="45" cm="1">
        <f ca="1" t="array" ref="L164">IFERROR(MATCH(((产出预期!$M181-OFFSET(梦灵养成!$Q$9,MATCH(产出预期!$M181,梦灵养成!$Q$10:$Q$15,1),0))*OFFSET(梦灵养成!O$9,1+MATCH(产出预期!$M181,梦灵养成!$Q$10:$Q$15,1),0)+梦灵养成!G500+SUMPRODUCT(--(梦灵养成!$Q$10:$Q$15&lt;=产出预期!$M181),梦灵养成!O$10:O$15,梦灵养成!$P$10:$P$15))/MAX(SUMPRODUCT(--(梦灵养成!$C$10:$C$31&lt;=产出预期!$M181),--(梦灵养成!$E$10:$E$31=L$2)),1)*10,梦灵养成!AW$339:AW$388,1),0)</f>
        <v>50</v>
      </c>
      <c r="M164" s="45">
        <f ca="1">OFFSET(符文养成!$C$14,MATCH(C164,符文养成!$B$15:$B$44,1),0)</f>
        <v>30</v>
      </c>
      <c r="N164" s="45">
        <f ca="1">MATCH((产出预期!Z181*价值表!$F$53+产出预期!AA181*价值表!$F$54+产出预期!AD181*价值表!$F$57)/16/M164,符文养成!$G$15:$G$21,1)</f>
        <v>5</v>
      </c>
      <c r="O164" s="45">
        <f>MATCH(产出预期!O181,秘宝养成!$C$3:$C$14,1)</f>
        <v>11</v>
      </c>
    </row>
    <row r="165" ht="16.5" spans="2:15">
      <c r="B165" s="2">
        <v>163</v>
      </c>
      <c r="C165" s="2">
        <f ca="1">MATCH((OFFSET(产出预期!$C$3,0,产出预期!$B$1)*10+OFFSET(产出预期!$C$4,0,产出预期!$B$1)*10+OFFSET(产出预期!$C$7,0,产出预期!$B$1)*20)*B165/10*60,玩家等级!$E$3:$E$302,1)</f>
        <v>87</v>
      </c>
      <c r="D165" s="2">
        <f>MATCH(产出预期!P182/6,装备养成!$G$4:$G$303,1)</f>
        <v>124</v>
      </c>
      <c r="E165" s="2">
        <f>COUNTIF(产出预期!$R182:$Y182,"&gt;"&amp;0)</f>
        <v>8</v>
      </c>
      <c r="F165" s="2">
        <f ca="1">MATCH(OFFSET(产出预期!$R$19,B165,E165-1),装备养成!$S$4:$S$9,1)</f>
        <v>5</v>
      </c>
      <c r="G165" s="2" t="str">
        <f ca="1">OFFSET(梦灵养成!$D$9,MATCH(梦灵养成!C196,梦灵养成!$C$10:$C$28,1),0)</f>
        <v>我爱沙</v>
      </c>
      <c r="H165" s="2" t="str">
        <f ca="1">OFFSET(梦灵养成!$I$9,MATCH(梦灵养成!C196,梦灵养成!$C$10:$C$28,1),0)</f>
        <v>后羿</v>
      </c>
      <c r="I165" s="45" cm="1">
        <f ca="1" t="array" ref="I165">IFERROR(MATCH(((产出预期!$M182-OFFSET(梦灵养成!$Q$9,MATCH(产出预期!$M182,梦灵养成!$Q$10:$Q$15,1),0))*OFFSET(梦灵养成!L$9,1+MATCH(产出预期!$M182,梦灵养成!$Q$10:$Q$15,1),0)+梦灵养成!D501+SUMPRODUCT(--(梦灵养成!$Q$10:$Q$15&lt;=产出预期!$M182),梦灵养成!L$10:L$15,梦灵养成!$P$10:$P$15))/MAX(SUMPRODUCT(--(梦灵养成!$C$10:$C$31&lt;=产出预期!$M182),--(梦灵养成!$E$10:$E$31=I$2)),1)*10,梦灵养成!AT$339:AT$387,1),0)</f>
        <v>49</v>
      </c>
      <c r="J165" s="45" cm="1">
        <f ca="1" t="array" ref="J165">IFERROR(MATCH(((产出预期!$M182-OFFSET(梦灵养成!$Q$9,MATCH(产出预期!$M182,梦灵养成!$Q$10:$Q$15,1),0))*OFFSET(梦灵养成!M$9,1+MATCH(产出预期!$M182,梦灵养成!$Q$10:$Q$15,1),0)+梦灵养成!E501+SUMPRODUCT(--(梦灵养成!$Q$10:$Q$15&lt;=产出预期!$M182),梦灵养成!M$10:M$15,梦灵养成!$P$10:$P$15))/MAX(SUMPRODUCT(--(梦灵养成!$C$10:$C$31&lt;=产出预期!$M182),--(梦灵养成!$E$10:$E$31=J$2)),1)*10,梦灵养成!AU$339:AU$387,1),0)</f>
        <v>49</v>
      </c>
      <c r="K165" s="45" cm="1">
        <f ca="1" t="array" ref="K165">IFERROR(MATCH(((产出预期!$M182-OFFSET(梦灵养成!$Q$9,MATCH(产出预期!$M182,梦灵养成!$Q$10:$Q$15,1),0))*OFFSET(梦灵养成!N$9,1+MATCH(产出预期!$M182,梦灵养成!$Q$10:$Q$15,1),0)+梦灵养成!F501+SUMPRODUCT(--(梦灵养成!$Q$10:$Q$15&lt;=产出预期!$M182),梦灵养成!N$10:N$15,梦灵养成!$P$10:$P$15))/MAX(SUMPRODUCT(--(梦灵养成!$C$10:$C$31&lt;=产出预期!$M182),--(梦灵养成!$E$10:$E$31=K$2)),1)*10,梦灵养成!AV$339:AV$387,1),0)</f>
        <v>49</v>
      </c>
      <c r="L165" s="45" cm="1">
        <f ca="1" t="array" ref="L165">IFERROR(MATCH(((产出预期!$M182-OFFSET(梦灵养成!$Q$9,MATCH(产出预期!$M182,梦灵养成!$Q$10:$Q$15,1),0))*OFFSET(梦灵养成!O$9,1+MATCH(产出预期!$M182,梦灵养成!$Q$10:$Q$15,1),0)+梦灵养成!G501+SUMPRODUCT(--(梦灵养成!$Q$10:$Q$15&lt;=产出预期!$M182),梦灵养成!O$10:O$15,梦灵养成!$P$10:$P$15))/MAX(SUMPRODUCT(--(梦灵养成!$C$10:$C$31&lt;=产出预期!$M182),--(梦灵养成!$E$10:$E$31=L$2)),1)*10,梦灵养成!AW$339:AW$388,1),0)</f>
        <v>50</v>
      </c>
      <c r="M165" s="45">
        <f ca="1">OFFSET(符文养成!$C$14,MATCH(C165,符文养成!$B$15:$B$44,1),0)</f>
        <v>30</v>
      </c>
      <c r="N165" s="45">
        <f ca="1">MATCH((产出预期!Z182*价值表!$F$53+产出预期!AA182*价值表!$F$54+产出预期!AD182*价值表!$F$57)/16/M165,符文养成!$G$15:$G$21,1)</f>
        <v>5</v>
      </c>
      <c r="O165" s="45">
        <f>MATCH(产出预期!O182,秘宝养成!$C$3:$C$14,1)</f>
        <v>11</v>
      </c>
    </row>
    <row r="166" ht="16.5" spans="2:15">
      <c r="B166" s="2">
        <v>164</v>
      </c>
      <c r="C166" s="2">
        <f ca="1">MATCH((OFFSET(产出预期!$C$3,0,产出预期!$B$1)*10+OFFSET(产出预期!$C$4,0,产出预期!$B$1)*10+OFFSET(产出预期!$C$7,0,产出预期!$B$1)*20)*B166/10*60,玩家等级!$E$3:$E$302,1)</f>
        <v>87</v>
      </c>
      <c r="D166" s="2">
        <f>MATCH(产出预期!P183/6,装备养成!$G$4:$G$303,1)</f>
        <v>124</v>
      </c>
      <c r="E166" s="2">
        <f>COUNTIF(产出预期!$R183:$Y183,"&gt;"&amp;0)</f>
        <v>8</v>
      </c>
      <c r="F166" s="2">
        <f ca="1">MATCH(OFFSET(产出预期!$R$19,B166,E166-1),装备养成!$S$4:$S$9,1)</f>
        <v>5</v>
      </c>
      <c r="G166" s="2" t="str">
        <f ca="1">OFFSET(梦灵养成!$D$9,MATCH(梦灵养成!C197,梦灵养成!$C$10:$C$28,1),0)</f>
        <v>我爱沙</v>
      </c>
      <c r="H166" s="2" t="str">
        <f ca="1">OFFSET(梦灵养成!$I$9,MATCH(梦灵养成!C197,梦灵养成!$C$10:$C$28,1),0)</f>
        <v>后羿</v>
      </c>
      <c r="I166" s="45" cm="1">
        <f ca="1" t="array" ref="I166">IFERROR(MATCH(((产出预期!$M183-OFFSET(梦灵养成!$Q$9,MATCH(产出预期!$M183,梦灵养成!$Q$10:$Q$15,1),0))*OFFSET(梦灵养成!L$9,1+MATCH(产出预期!$M183,梦灵养成!$Q$10:$Q$15,1),0)+梦灵养成!D502+SUMPRODUCT(--(梦灵养成!$Q$10:$Q$15&lt;=产出预期!$M183),梦灵养成!L$10:L$15,梦灵养成!$P$10:$P$15))/MAX(SUMPRODUCT(--(梦灵养成!$C$10:$C$31&lt;=产出预期!$M183),--(梦灵养成!$E$10:$E$31=I$2)),1)*10,梦灵养成!AT$339:AT$387,1),0)</f>
        <v>49</v>
      </c>
      <c r="J166" s="45" cm="1">
        <f ca="1" t="array" ref="J166">IFERROR(MATCH(((产出预期!$M183-OFFSET(梦灵养成!$Q$9,MATCH(产出预期!$M183,梦灵养成!$Q$10:$Q$15,1),0))*OFFSET(梦灵养成!M$9,1+MATCH(产出预期!$M183,梦灵养成!$Q$10:$Q$15,1),0)+梦灵养成!E502+SUMPRODUCT(--(梦灵养成!$Q$10:$Q$15&lt;=产出预期!$M183),梦灵养成!M$10:M$15,梦灵养成!$P$10:$P$15))/MAX(SUMPRODUCT(--(梦灵养成!$C$10:$C$31&lt;=产出预期!$M183),--(梦灵养成!$E$10:$E$31=J$2)),1)*10,梦灵养成!AU$339:AU$387,1),0)</f>
        <v>49</v>
      </c>
      <c r="K166" s="45" cm="1">
        <f ca="1" t="array" ref="K166">IFERROR(MATCH(((产出预期!$M183-OFFSET(梦灵养成!$Q$9,MATCH(产出预期!$M183,梦灵养成!$Q$10:$Q$15,1),0))*OFFSET(梦灵养成!N$9,1+MATCH(产出预期!$M183,梦灵养成!$Q$10:$Q$15,1),0)+梦灵养成!F502+SUMPRODUCT(--(梦灵养成!$Q$10:$Q$15&lt;=产出预期!$M183),梦灵养成!N$10:N$15,梦灵养成!$P$10:$P$15))/MAX(SUMPRODUCT(--(梦灵养成!$C$10:$C$31&lt;=产出预期!$M183),--(梦灵养成!$E$10:$E$31=K$2)),1)*10,梦灵养成!AV$339:AV$387,1),0)</f>
        <v>49</v>
      </c>
      <c r="L166" s="45" cm="1">
        <f ca="1" t="array" ref="L166">IFERROR(MATCH(((产出预期!$M183-OFFSET(梦灵养成!$Q$9,MATCH(产出预期!$M183,梦灵养成!$Q$10:$Q$15,1),0))*OFFSET(梦灵养成!O$9,1+MATCH(产出预期!$M183,梦灵养成!$Q$10:$Q$15,1),0)+梦灵养成!G502+SUMPRODUCT(--(梦灵养成!$Q$10:$Q$15&lt;=产出预期!$M183),梦灵养成!O$10:O$15,梦灵养成!$P$10:$P$15))/MAX(SUMPRODUCT(--(梦灵养成!$C$10:$C$31&lt;=产出预期!$M183),--(梦灵养成!$E$10:$E$31=L$2)),1)*10,梦灵养成!AW$339:AW$388,1),0)</f>
        <v>50</v>
      </c>
      <c r="M166" s="45">
        <f ca="1">OFFSET(符文养成!$C$14,MATCH(C166,符文养成!$B$15:$B$44,1),0)</f>
        <v>30</v>
      </c>
      <c r="N166" s="45">
        <f ca="1">MATCH((产出预期!Z183*价值表!$F$53+产出预期!AA183*价值表!$F$54+产出预期!AD183*价值表!$F$57)/16/M166,符文养成!$G$15:$G$21,1)</f>
        <v>5</v>
      </c>
      <c r="O166" s="45">
        <f>MATCH(产出预期!O183,秘宝养成!$C$3:$C$14,1)</f>
        <v>11</v>
      </c>
    </row>
    <row r="167" ht="16.5" spans="2:15">
      <c r="B167" s="2">
        <v>165</v>
      </c>
      <c r="C167" s="2">
        <f ca="1">MATCH((OFFSET(产出预期!$C$3,0,产出预期!$B$1)*10+OFFSET(产出预期!$C$4,0,产出预期!$B$1)*10+OFFSET(产出预期!$C$7,0,产出预期!$B$1)*20)*B167/10*60,玩家等级!$E$3:$E$302,1)</f>
        <v>87</v>
      </c>
      <c r="D167" s="2">
        <f>MATCH(产出预期!P184/6,装备养成!$G$4:$G$303,1)</f>
        <v>124</v>
      </c>
      <c r="E167" s="2">
        <f>COUNTIF(产出预期!$R184:$Y184,"&gt;"&amp;0)</f>
        <v>8</v>
      </c>
      <c r="F167" s="2">
        <f ca="1">MATCH(OFFSET(产出预期!$R$19,B167,E167-1),装备养成!$S$4:$S$9,1)</f>
        <v>5</v>
      </c>
      <c r="G167" s="2" t="str">
        <f ca="1">OFFSET(梦灵养成!$D$9,MATCH(梦灵养成!C198,梦灵养成!$C$10:$C$28,1),0)</f>
        <v>我爱沙</v>
      </c>
      <c r="H167" s="2" t="str">
        <f ca="1">OFFSET(梦灵养成!$I$9,MATCH(梦灵养成!C198,梦灵养成!$C$10:$C$28,1),0)</f>
        <v>后羿</v>
      </c>
      <c r="I167" s="45" cm="1">
        <f ca="1" t="array" ref="I167">IFERROR(MATCH(((产出预期!$M184-OFFSET(梦灵养成!$Q$9,MATCH(产出预期!$M184,梦灵养成!$Q$10:$Q$15,1),0))*OFFSET(梦灵养成!L$9,1+MATCH(产出预期!$M184,梦灵养成!$Q$10:$Q$15,1),0)+梦灵养成!D503+SUMPRODUCT(--(梦灵养成!$Q$10:$Q$15&lt;=产出预期!$M184),梦灵养成!L$10:L$15,梦灵养成!$P$10:$P$15))/MAX(SUMPRODUCT(--(梦灵养成!$C$10:$C$31&lt;=产出预期!$M184),--(梦灵养成!$E$10:$E$31=I$2)),1)*10,梦灵养成!AT$339:AT$387,1),0)</f>
        <v>49</v>
      </c>
      <c r="J167" s="45" cm="1">
        <f ca="1" t="array" ref="J167">IFERROR(MATCH(((产出预期!$M184-OFFSET(梦灵养成!$Q$9,MATCH(产出预期!$M184,梦灵养成!$Q$10:$Q$15,1),0))*OFFSET(梦灵养成!M$9,1+MATCH(产出预期!$M184,梦灵养成!$Q$10:$Q$15,1),0)+梦灵养成!E503+SUMPRODUCT(--(梦灵养成!$Q$10:$Q$15&lt;=产出预期!$M184),梦灵养成!M$10:M$15,梦灵养成!$P$10:$P$15))/MAX(SUMPRODUCT(--(梦灵养成!$C$10:$C$31&lt;=产出预期!$M184),--(梦灵养成!$E$10:$E$31=J$2)),1)*10,梦灵养成!AU$339:AU$387,1),0)</f>
        <v>49</v>
      </c>
      <c r="K167" s="45" cm="1">
        <f ca="1" t="array" ref="K167">IFERROR(MATCH(((产出预期!$M184-OFFSET(梦灵养成!$Q$9,MATCH(产出预期!$M184,梦灵养成!$Q$10:$Q$15,1),0))*OFFSET(梦灵养成!N$9,1+MATCH(产出预期!$M184,梦灵养成!$Q$10:$Q$15,1),0)+梦灵养成!F503+SUMPRODUCT(--(梦灵养成!$Q$10:$Q$15&lt;=产出预期!$M184),梦灵养成!N$10:N$15,梦灵养成!$P$10:$P$15))/MAX(SUMPRODUCT(--(梦灵养成!$C$10:$C$31&lt;=产出预期!$M184),--(梦灵养成!$E$10:$E$31=K$2)),1)*10,梦灵养成!AV$339:AV$387,1),0)</f>
        <v>49</v>
      </c>
      <c r="L167" s="45" cm="1">
        <f ca="1" t="array" ref="L167">IFERROR(MATCH(((产出预期!$M184-OFFSET(梦灵养成!$Q$9,MATCH(产出预期!$M184,梦灵养成!$Q$10:$Q$15,1),0))*OFFSET(梦灵养成!O$9,1+MATCH(产出预期!$M184,梦灵养成!$Q$10:$Q$15,1),0)+梦灵养成!G503+SUMPRODUCT(--(梦灵养成!$Q$10:$Q$15&lt;=产出预期!$M184),梦灵养成!O$10:O$15,梦灵养成!$P$10:$P$15))/MAX(SUMPRODUCT(--(梦灵养成!$C$10:$C$31&lt;=产出预期!$M184),--(梦灵养成!$E$10:$E$31=L$2)),1)*10,梦灵养成!AW$339:AW$388,1),0)</f>
        <v>50</v>
      </c>
      <c r="M167" s="45">
        <f ca="1">OFFSET(符文养成!$C$14,MATCH(C167,符文养成!$B$15:$B$44,1),0)</f>
        <v>30</v>
      </c>
      <c r="N167" s="45">
        <f ca="1">MATCH((产出预期!Z184*价值表!$F$53+产出预期!AA184*价值表!$F$54+产出预期!AD184*价值表!$F$57)/16/M167,符文养成!$G$15:$G$21,1)</f>
        <v>5</v>
      </c>
      <c r="O167" s="45">
        <f>MATCH(产出预期!O184,秘宝养成!$C$3:$C$14,1)</f>
        <v>11</v>
      </c>
    </row>
    <row r="168" ht="16.5" spans="2:15">
      <c r="B168" s="2">
        <v>166</v>
      </c>
      <c r="C168" s="2">
        <f ca="1">MATCH((OFFSET(产出预期!$C$3,0,产出预期!$B$1)*10+OFFSET(产出预期!$C$4,0,产出预期!$B$1)*10+OFFSET(产出预期!$C$7,0,产出预期!$B$1)*20)*B168/10*60,玩家等级!$E$3:$E$302,1)</f>
        <v>88</v>
      </c>
      <c r="D168" s="2">
        <f>MATCH(产出预期!P185/6,装备养成!$G$4:$G$303,1)</f>
        <v>124</v>
      </c>
      <c r="E168" s="2">
        <f>COUNTIF(产出预期!$R185:$Y185,"&gt;"&amp;0)</f>
        <v>8</v>
      </c>
      <c r="F168" s="2">
        <f ca="1">MATCH(OFFSET(产出预期!$R$19,B168,E168-1),装备养成!$S$4:$S$9,1)</f>
        <v>6</v>
      </c>
      <c r="G168" s="2" t="str">
        <f ca="1">OFFSET(梦灵养成!$D$9,MATCH(梦灵养成!C199,梦灵养成!$C$10:$C$28,1),0)</f>
        <v>我爱沙</v>
      </c>
      <c r="H168" s="2" t="str">
        <f ca="1">OFFSET(梦灵养成!$I$9,MATCH(梦灵养成!C199,梦灵养成!$C$10:$C$28,1),0)</f>
        <v>后羿</v>
      </c>
      <c r="I168" s="45" cm="1">
        <f ca="1" t="array" ref="I168">IFERROR(MATCH(((产出预期!$M185-OFFSET(梦灵养成!$Q$9,MATCH(产出预期!$M185,梦灵养成!$Q$10:$Q$15,1),0))*OFFSET(梦灵养成!L$9,1+MATCH(产出预期!$M185,梦灵养成!$Q$10:$Q$15,1),0)+梦灵养成!D504+SUMPRODUCT(--(梦灵养成!$Q$10:$Q$15&lt;=产出预期!$M185),梦灵养成!L$10:L$15,梦灵养成!$P$10:$P$15))/MAX(SUMPRODUCT(--(梦灵养成!$C$10:$C$31&lt;=产出预期!$M185),--(梦灵养成!$E$10:$E$31=I$2)),1)*10,梦灵养成!AT$339:AT$387,1),0)</f>
        <v>49</v>
      </c>
      <c r="J168" s="45" cm="1">
        <f ca="1" t="array" ref="J168">IFERROR(MATCH(((产出预期!$M185-OFFSET(梦灵养成!$Q$9,MATCH(产出预期!$M185,梦灵养成!$Q$10:$Q$15,1),0))*OFFSET(梦灵养成!M$9,1+MATCH(产出预期!$M185,梦灵养成!$Q$10:$Q$15,1),0)+梦灵养成!E504+SUMPRODUCT(--(梦灵养成!$Q$10:$Q$15&lt;=产出预期!$M185),梦灵养成!M$10:M$15,梦灵养成!$P$10:$P$15))/MAX(SUMPRODUCT(--(梦灵养成!$C$10:$C$31&lt;=产出预期!$M185),--(梦灵养成!$E$10:$E$31=J$2)),1)*10,梦灵养成!AU$339:AU$387,1),0)</f>
        <v>49</v>
      </c>
      <c r="K168" s="45" cm="1">
        <f ca="1" t="array" ref="K168">IFERROR(MATCH(((产出预期!$M185-OFFSET(梦灵养成!$Q$9,MATCH(产出预期!$M185,梦灵养成!$Q$10:$Q$15,1),0))*OFFSET(梦灵养成!N$9,1+MATCH(产出预期!$M185,梦灵养成!$Q$10:$Q$15,1),0)+梦灵养成!F504+SUMPRODUCT(--(梦灵养成!$Q$10:$Q$15&lt;=产出预期!$M185),梦灵养成!N$10:N$15,梦灵养成!$P$10:$P$15))/MAX(SUMPRODUCT(--(梦灵养成!$C$10:$C$31&lt;=产出预期!$M185),--(梦灵养成!$E$10:$E$31=K$2)),1)*10,梦灵养成!AV$339:AV$387,1),0)</f>
        <v>49</v>
      </c>
      <c r="L168" s="45" cm="1">
        <f ca="1" t="array" ref="L168">IFERROR(MATCH(((产出预期!$M185-OFFSET(梦灵养成!$Q$9,MATCH(产出预期!$M185,梦灵养成!$Q$10:$Q$15,1),0))*OFFSET(梦灵养成!O$9,1+MATCH(产出预期!$M185,梦灵养成!$Q$10:$Q$15,1),0)+梦灵养成!G504+SUMPRODUCT(--(梦灵养成!$Q$10:$Q$15&lt;=产出预期!$M185),梦灵养成!O$10:O$15,梦灵养成!$P$10:$P$15))/MAX(SUMPRODUCT(--(梦灵养成!$C$10:$C$31&lt;=产出预期!$M185),--(梦灵养成!$E$10:$E$31=L$2)),1)*10,梦灵养成!AW$339:AW$388,1),0)</f>
        <v>50</v>
      </c>
      <c r="M168" s="45">
        <f ca="1">OFFSET(符文养成!$C$14,MATCH(C168,符文养成!$B$15:$B$44,1),0)</f>
        <v>30</v>
      </c>
      <c r="N168" s="45">
        <f ca="1">MATCH((产出预期!Z185*价值表!$F$53+产出预期!AA185*价值表!$F$54+产出预期!AD185*价值表!$F$57)/16/M168,符文养成!$G$15:$G$21,1)</f>
        <v>5</v>
      </c>
      <c r="O168" s="45">
        <f>MATCH(产出预期!O185,秘宝养成!$C$3:$C$14,1)</f>
        <v>11</v>
      </c>
    </row>
    <row r="169" ht="16.5" spans="2:15">
      <c r="B169" s="2">
        <v>167</v>
      </c>
      <c r="C169" s="2">
        <f ca="1">MATCH((OFFSET(产出预期!$C$3,0,产出预期!$B$1)*10+OFFSET(产出预期!$C$4,0,产出预期!$B$1)*10+OFFSET(产出预期!$C$7,0,产出预期!$B$1)*20)*B169/10*60,玩家等级!$E$3:$E$302,1)</f>
        <v>88</v>
      </c>
      <c r="D169" s="2">
        <f>MATCH(产出预期!P186/6,装备养成!$G$4:$G$303,1)</f>
        <v>125</v>
      </c>
      <c r="E169" s="2">
        <f>COUNTIF(产出预期!$R186:$Y186,"&gt;"&amp;0)</f>
        <v>8</v>
      </c>
      <c r="F169" s="2">
        <f ca="1">MATCH(OFFSET(产出预期!$R$19,B169,E169-1),装备养成!$S$4:$S$9,1)</f>
        <v>6</v>
      </c>
      <c r="G169" s="2" t="str">
        <f ca="1">OFFSET(梦灵养成!$D$9,MATCH(梦灵养成!C200,梦灵养成!$C$10:$C$28,1),0)</f>
        <v>我爱沙</v>
      </c>
      <c r="H169" s="2" t="str">
        <f ca="1">OFFSET(梦灵养成!$I$9,MATCH(梦灵养成!C200,梦灵养成!$C$10:$C$28,1),0)</f>
        <v>后羿</v>
      </c>
      <c r="I169" s="45" cm="1">
        <f ca="1" t="array" ref="I169">IFERROR(MATCH(((产出预期!$M186-OFFSET(梦灵养成!$Q$9,MATCH(产出预期!$M186,梦灵养成!$Q$10:$Q$15,1),0))*OFFSET(梦灵养成!L$9,1+MATCH(产出预期!$M186,梦灵养成!$Q$10:$Q$15,1),0)+梦灵养成!D505+SUMPRODUCT(--(梦灵养成!$Q$10:$Q$15&lt;=产出预期!$M186),梦灵养成!L$10:L$15,梦灵养成!$P$10:$P$15))/MAX(SUMPRODUCT(--(梦灵养成!$C$10:$C$31&lt;=产出预期!$M186),--(梦灵养成!$E$10:$E$31=I$2)),1)*10,梦灵养成!AT$339:AT$387,1),0)</f>
        <v>49</v>
      </c>
      <c r="J169" s="45" cm="1">
        <f ca="1" t="array" ref="J169">IFERROR(MATCH(((产出预期!$M186-OFFSET(梦灵养成!$Q$9,MATCH(产出预期!$M186,梦灵养成!$Q$10:$Q$15,1),0))*OFFSET(梦灵养成!M$9,1+MATCH(产出预期!$M186,梦灵养成!$Q$10:$Q$15,1),0)+梦灵养成!E505+SUMPRODUCT(--(梦灵养成!$Q$10:$Q$15&lt;=产出预期!$M186),梦灵养成!M$10:M$15,梦灵养成!$P$10:$P$15))/MAX(SUMPRODUCT(--(梦灵养成!$C$10:$C$31&lt;=产出预期!$M186),--(梦灵养成!$E$10:$E$31=J$2)),1)*10,梦灵养成!AU$339:AU$387,1),0)</f>
        <v>49</v>
      </c>
      <c r="K169" s="45" cm="1">
        <f ca="1" t="array" ref="K169">IFERROR(MATCH(((产出预期!$M186-OFFSET(梦灵养成!$Q$9,MATCH(产出预期!$M186,梦灵养成!$Q$10:$Q$15,1),0))*OFFSET(梦灵养成!N$9,1+MATCH(产出预期!$M186,梦灵养成!$Q$10:$Q$15,1),0)+梦灵养成!F505+SUMPRODUCT(--(梦灵养成!$Q$10:$Q$15&lt;=产出预期!$M186),梦灵养成!N$10:N$15,梦灵养成!$P$10:$P$15))/MAX(SUMPRODUCT(--(梦灵养成!$C$10:$C$31&lt;=产出预期!$M186),--(梦灵养成!$E$10:$E$31=K$2)),1)*10,梦灵养成!AV$339:AV$387,1),0)</f>
        <v>49</v>
      </c>
      <c r="L169" s="45" cm="1">
        <f ca="1" t="array" ref="L169">IFERROR(MATCH(((产出预期!$M186-OFFSET(梦灵养成!$Q$9,MATCH(产出预期!$M186,梦灵养成!$Q$10:$Q$15,1),0))*OFFSET(梦灵养成!O$9,1+MATCH(产出预期!$M186,梦灵养成!$Q$10:$Q$15,1),0)+梦灵养成!G505+SUMPRODUCT(--(梦灵养成!$Q$10:$Q$15&lt;=产出预期!$M186),梦灵养成!O$10:O$15,梦灵养成!$P$10:$P$15))/MAX(SUMPRODUCT(--(梦灵养成!$C$10:$C$31&lt;=产出预期!$M186),--(梦灵养成!$E$10:$E$31=L$2)),1)*10,梦灵养成!AW$339:AW$388,1),0)</f>
        <v>50</v>
      </c>
      <c r="M169" s="45">
        <f ca="1">OFFSET(符文养成!$C$14,MATCH(C169,符文养成!$B$15:$B$44,1),0)</f>
        <v>30</v>
      </c>
      <c r="N169" s="45">
        <f ca="1">MATCH((产出预期!Z186*价值表!$F$53+产出预期!AA186*价值表!$F$54+产出预期!AD186*价值表!$F$57)/16/M169,符文养成!$G$15:$G$21,1)</f>
        <v>5</v>
      </c>
      <c r="O169" s="45">
        <f>MATCH(产出预期!O186,秘宝养成!$C$3:$C$14,1)</f>
        <v>11</v>
      </c>
    </row>
    <row r="170" ht="16.5" spans="2:15">
      <c r="B170" s="2">
        <v>168</v>
      </c>
      <c r="C170" s="2">
        <f ca="1">MATCH((OFFSET(产出预期!$C$3,0,产出预期!$B$1)*10+OFFSET(产出预期!$C$4,0,产出预期!$B$1)*10+OFFSET(产出预期!$C$7,0,产出预期!$B$1)*20)*B170/10*60,玩家等级!$E$3:$E$302,1)</f>
        <v>88</v>
      </c>
      <c r="D170" s="2">
        <f>MATCH(产出预期!P187/6,装备养成!$G$4:$G$303,1)</f>
        <v>125</v>
      </c>
      <c r="E170" s="2">
        <f>COUNTIF(产出预期!$R187:$Y187,"&gt;"&amp;0)</f>
        <v>8</v>
      </c>
      <c r="F170" s="2">
        <f ca="1">MATCH(OFFSET(产出预期!$R$19,B170,E170-1),装备养成!$S$4:$S$9,1)</f>
        <v>6</v>
      </c>
      <c r="G170" s="2" t="str">
        <f ca="1">OFFSET(梦灵养成!$D$9,MATCH(梦灵养成!C201,梦灵养成!$C$10:$C$28,1),0)</f>
        <v>我爱沙</v>
      </c>
      <c r="H170" s="2" t="str">
        <f ca="1">OFFSET(梦灵养成!$I$9,MATCH(梦灵养成!C201,梦灵养成!$C$10:$C$28,1),0)</f>
        <v>后羿</v>
      </c>
      <c r="I170" s="45" cm="1">
        <f ca="1" t="array" ref="I170">IFERROR(MATCH(((产出预期!$M187-OFFSET(梦灵养成!$Q$9,MATCH(产出预期!$M187,梦灵养成!$Q$10:$Q$15,1),0))*OFFSET(梦灵养成!L$9,1+MATCH(产出预期!$M187,梦灵养成!$Q$10:$Q$15,1),0)+梦灵养成!D506+SUMPRODUCT(--(梦灵养成!$Q$10:$Q$15&lt;=产出预期!$M187),梦灵养成!L$10:L$15,梦灵养成!$P$10:$P$15))/MAX(SUMPRODUCT(--(梦灵养成!$C$10:$C$31&lt;=产出预期!$M187),--(梦灵养成!$E$10:$E$31=I$2)),1)*10,梦灵养成!AT$339:AT$387,1),0)</f>
        <v>49</v>
      </c>
      <c r="J170" s="45" cm="1">
        <f ca="1" t="array" ref="J170">IFERROR(MATCH(((产出预期!$M187-OFFSET(梦灵养成!$Q$9,MATCH(产出预期!$M187,梦灵养成!$Q$10:$Q$15,1),0))*OFFSET(梦灵养成!M$9,1+MATCH(产出预期!$M187,梦灵养成!$Q$10:$Q$15,1),0)+梦灵养成!E506+SUMPRODUCT(--(梦灵养成!$Q$10:$Q$15&lt;=产出预期!$M187),梦灵养成!M$10:M$15,梦灵养成!$P$10:$P$15))/MAX(SUMPRODUCT(--(梦灵养成!$C$10:$C$31&lt;=产出预期!$M187),--(梦灵养成!$E$10:$E$31=J$2)),1)*10,梦灵养成!AU$339:AU$387,1),0)</f>
        <v>49</v>
      </c>
      <c r="K170" s="45" cm="1">
        <f ca="1" t="array" ref="K170">IFERROR(MATCH(((产出预期!$M187-OFFSET(梦灵养成!$Q$9,MATCH(产出预期!$M187,梦灵养成!$Q$10:$Q$15,1),0))*OFFSET(梦灵养成!N$9,1+MATCH(产出预期!$M187,梦灵养成!$Q$10:$Q$15,1),0)+梦灵养成!F506+SUMPRODUCT(--(梦灵养成!$Q$10:$Q$15&lt;=产出预期!$M187),梦灵养成!N$10:N$15,梦灵养成!$P$10:$P$15))/MAX(SUMPRODUCT(--(梦灵养成!$C$10:$C$31&lt;=产出预期!$M187),--(梦灵养成!$E$10:$E$31=K$2)),1)*10,梦灵养成!AV$339:AV$387,1),0)</f>
        <v>49</v>
      </c>
      <c r="L170" s="45" cm="1">
        <f ca="1" t="array" ref="L170">IFERROR(MATCH(((产出预期!$M187-OFFSET(梦灵养成!$Q$9,MATCH(产出预期!$M187,梦灵养成!$Q$10:$Q$15,1),0))*OFFSET(梦灵养成!O$9,1+MATCH(产出预期!$M187,梦灵养成!$Q$10:$Q$15,1),0)+梦灵养成!G506+SUMPRODUCT(--(梦灵养成!$Q$10:$Q$15&lt;=产出预期!$M187),梦灵养成!O$10:O$15,梦灵养成!$P$10:$P$15))/MAX(SUMPRODUCT(--(梦灵养成!$C$10:$C$31&lt;=产出预期!$M187),--(梦灵养成!$E$10:$E$31=L$2)),1)*10,梦灵养成!AW$339:AW$388,1),0)</f>
        <v>50</v>
      </c>
      <c r="M170" s="45">
        <f ca="1">OFFSET(符文养成!$C$14,MATCH(C170,符文养成!$B$15:$B$44,1),0)</f>
        <v>30</v>
      </c>
      <c r="N170" s="45">
        <f ca="1">MATCH((产出预期!Z187*价值表!$F$53+产出预期!AA187*价值表!$F$54+产出预期!AD187*价值表!$F$57)/16/M170,符文养成!$G$15:$G$21,1)</f>
        <v>5</v>
      </c>
      <c r="O170" s="45">
        <f>MATCH(产出预期!O187,秘宝养成!$C$3:$C$14,1)</f>
        <v>11</v>
      </c>
    </row>
    <row r="171" ht="16.5" spans="2:15">
      <c r="B171" s="2">
        <v>169</v>
      </c>
      <c r="C171" s="2">
        <f ca="1">MATCH((OFFSET(产出预期!$C$3,0,产出预期!$B$1)*10+OFFSET(产出预期!$C$4,0,产出预期!$B$1)*10+OFFSET(产出预期!$C$7,0,产出预期!$B$1)*20)*B171/10*60,玩家等级!$E$3:$E$302,1)</f>
        <v>88</v>
      </c>
      <c r="D171" s="2">
        <f>MATCH(产出预期!P188/6,装备养成!$G$4:$G$303,1)</f>
        <v>125</v>
      </c>
      <c r="E171" s="2">
        <f>COUNTIF(产出预期!$R188:$Y188,"&gt;"&amp;0)</f>
        <v>8</v>
      </c>
      <c r="F171" s="2">
        <f ca="1">MATCH(OFFSET(产出预期!$R$19,B171,E171-1),装备养成!$S$4:$S$9,1)</f>
        <v>6</v>
      </c>
      <c r="G171" s="2" t="str">
        <f ca="1">OFFSET(梦灵养成!$D$9,MATCH(梦灵养成!C202,梦灵养成!$C$10:$C$28,1),0)</f>
        <v>我爱沙</v>
      </c>
      <c r="H171" s="2" t="str">
        <f ca="1">OFFSET(梦灵养成!$I$9,MATCH(梦灵养成!C202,梦灵养成!$C$10:$C$28,1),0)</f>
        <v>后羿</v>
      </c>
      <c r="I171" s="45" cm="1">
        <f ca="1" t="array" ref="I171">IFERROR(MATCH(((产出预期!$M188-OFFSET(梦灵养成!$Q$9,MATCH(产出预期!$M188,梦灵养成!$Q$10:$Q$15,1),0))*OFFSET(梦灵养成!L$9,1+MATCH(产出预期!$M188,梦灵养成!$Q$10:$Q$15,1),0)+梦灵养成!D507+SUMPRODUCT(--(梦灵养成!$Q$10:$Q$15&lt;=产出预期!$M188),梦灵养成!L$10:L$15,梦灵养成!$P$10:$P$15))/MAX(SUMPRODUCT(--(梦灵养成!$C$10:$C$31&lt;=产出预期!$M188),--(梦灵养成!$E$10:$E$31=I$2)),1)*10,梦灵养成!AT$339:AT$387,1),0)</f>
        <v>49</v>
      </c>
      <c r="J171" s="45" cm="1">
        <f ca="1" t="array" ref="J171">IFERROR(MATCH(((产出预期!$M188-OFFSET(梦灵养成!$Q$9,MATCH(产出预期!$M188,梦灵养成!$Q$10:$Q$15,1),0))*OFFSET(梦灵养成!M$9,1+MATCH(产出预期!$M188,梦灵养成!$Q$10:$Q$15,1),0)+梦灵养成!E507+SUMPRODUCT(--(梦灵养成!$Q$10:$Q$15&lt;=产出预期!$M188),梦灵养成!M$10:M$15,梦灵养成!$P$10:$P$15))/MAX(SUMPRODUCT(--(梦灵养成!$C$10:$C$31&lt;=产出预期!$M188),--(梦灵养成!$E$10:$E$31=J$2)),1)*10,梦灵养成!AU$339:AU$387,1),0)</f>
        <v>49</v>
      </c>
      <c r="K171" s="45" cm="1">
        <f ca="1" t="array" ref="K171">IFERROR(MATCH(((产出预期!$M188-OFFSET(梦灵养成!$Q$9,MATCH(产出预期!$M188,梦灵养成!$Q$10:$Q$15,1),0))*OFFSET(梦灵养成!N$9,1+MATCH(产出预期!$M188,梦灵养成!$Q$10:$Q$15,1),0)+梦灵养成!F507+SUMPRODUCT(--(梦灵养成!$Q$10:$Q$15&lt;=产出预期!$M188),梦灵养成!N$10:N$15,梦灵养成!$P$10:$P$15))/MAX(SUMPRODUCT(--(梦灵养成!$C$10:$C$31&lt;=产出预期!$M188),--(梦灵养成!$E$10:$E$31=K$2)),1)*10,梦灵养成!AV$339:AV$387,1),0)</f>
        <v>49</v>
      </c>
      <c r="L171" s="45" cm="1">
        <f ca="1" t="array" ref="L171">IFERROR(MATCH(((产出预期!$M188-OFFSET(梦灵养成!$Q$9,MATCH(产出预期!$M188,梦灵养成!$Q$10:$Q$15,1),0))*OFFSET(梦灵养成!O$9,1+MATCH(产出预期!$M188,梦灵养成!$Q$10:$Q$15,1),0)+梦灵养成!G507+SUMPRODUCT(--(梦灵养成!$Q$10:$Q$15&lt;=产出预期!$M188),梦灵养成!O$10:O$15,梦灵养成!$P$10:$P$15))/MAX(SUMPRODUCT(--(梦灵养成!$C$10:$C$31&lt;=产出预期!$M188),--(梦灵养成!$E$10:$E$31=L$2)),1)*10,梦灵养成!AW$339:AW$388,1),0)</f>
        <v>50</v>
      </c>
      <c r="M171" s="45">
        <f ca="1">OFFSET(符文养成!$C$14,MATCH(C171,符文养成!$B$15:$B$44,1),0)</f>
        <v>30</v>
      </c>
      <c r="N171" s="45">
        <f ca="1">MATCH((产出预期!Z188*价值表!$F$53+产出预期!AA188*价值表!$F$54+产出预期!AD188*价值表!$F$57)/16/M171,符文养成!$G$15:$G$21,1)</f>
        <v>5</v>
      </c>
      <c r="O171" s="45">
        <f>MATCH(产出预期!O188,秘宝养成!$C$3:$C$14,1)</f>
        <v>11</v>
      </c>
    </row>
    <row r="172" ht="16.5" spans="2:15">
      <c r="B172" s="2">
        <v>170</v>
      </c>
      <c r="C172" s="2">
        <f ca="1">MATCH((OFFSET(产出预期!$C$3,0,产出预期!$B$1)*10+OFFSET(产出预期!$C$4,0,产出预期!$B$1)*10+OFFSET(产出预期!$C$7,0,产出预期!$B$1)*20)*B172/10*60,玩家等级!$E$3:$E$302,1)</f>
        <v>88</v>
      </c>
      <c r="D172" s="2">
        <f>MATCH(产出预期!P189/6,装备养成!$G$4:$G$303,1)</f>
        <v>126</v>
      </c>
      <c r="E172" s="2">
        <f>COUNTIF(产出预期!$R189:$Y189,"&gt;"&amp;0)</f>
        <v>8</v>
      </c>
      <c r="F172" s="2">
        <f ca="1">MATCH(OFFSET(产出预期!$R$19,B172,E172-1),装备养成!$S$4:$S$9,1)</f>
        <v>6</v>
      </c>
      <c r="G172" s="2" t="str">
        <f ca="1">OFFSET(梦灵养成!$D$9,MATCH(梦灵养成!C203,梦灵养成!$C$10:$C$28,1),0)</f>
        <v>我爱沙</v>
      </c>
      <c r="H172" s="2" t="str">
        <f ca="1">OFFSET(梦灵养成!$I$9,MATCH(梦灵养成!C203,梦灵养成!$C$10:$C$28,1),0)</f>
        <v>后羿</v>
      </c>
      <c r="I172" s="45" cm="1">
        <f ca="1" t="array" ref="I172">IFERROR(MATCH(((产出预期!$M189-OFFSET(梦灵养成!$Q$9,MATCH(产出预期!$M189,梦灵养成!$Q$10:$Q$15,1),0))*OFFSET(梦灵养成!L$9,1+MATCH(产出预期!$M189,梦灵养成!$Q$10:$Q$15,1),0)+梦灵养成!D508+SUMPRODUCT(--(梦灵养成!$Q$10:$Q$15&lt;=产出预期!$M189),梦灵养成!L$10:L$15,梦灵养成!$P$10:$P$15))/MAX(SUMPRODUCT(--(梦灵养成!$C$10:$C$31&lt;=产出预期!$M189),--(梦灵养成!$E$10:$E$31=I$2)),1)*10,梦灵养成!AT$339:AT$387,1),0)</f>
        <v>49</v>
      </c>
      <c r="J172" s="45" cm="1">
        <f ca="1" t="array" ref="J172">IFERROR(MATCH(((产出预期!$M189-OFFSET(梦灵养成!$Q$9,MATCH(产出预期!$M189,梦灵养成!$Q$10:$Q$15,1),0))*OFFSET(梦灵养成!M$9,1+MATCH(产出预期!$M189,梦灵养成!$Q$10:$Q$15,1),0)+梦灵养成!E508+SUMPRODUCT(--(梦灵养成!$Q$10:$Q$15&lt;=产出预期!$M189),梦灵养成!M$10:M$15,梦灵养成!$P$10:$P$15))/MAX(SUMPRODUCT(--(梦灵养成!$C$10:$C$31&lt;=产出预期!$M189),--(梦灵养成!$E$10:$E$31=J$2)),1)*10,梦灵养成!AU$339:AU$387,1),0)</f>
        <v>49</v>
      </c>
      <c r="K172" s="45" cm="1">
        <f ca="1" t="array" ref="K172">IFERROR(MATCH(((产出预期!$M189-OFFSET(梦灵养成!$Q$9,MATCH(产出预期!$M189,梦灵养成!$Q$10:$Q$15,1),0))*OFFSET(梦灵养成!N$9,1+MATCH(产出预期!$M189,梦灵养成!$Q$10:$Q$15,1),0)+梦灵养成!F508+SUMPRODUCT(--(梦灵养成!$Q$10:$Q$15&lt;=产出预期!$M189),梦灵养成!N$10:N$15,梦灵养成!$P$10:$P$15))/MAX(SUMPRODUCT(--(梦灵养成!$C$10:$C$31&lt;=产出预期!$M189),--(梦灵养成!$E$10:$E$31=K$2)),1)*10,梦灵养成!AV$339:AV$387,1),0)</f>
        <v>49</v>
      </c>
      <c r="L172" s="45" cm="1">
        <f ca="1" t="array" ref="L172">IFERROR(MATCH(((产出预期!$M189-OFFSET(梦灵养成!$Q$9,MATCH(产出预期!$M189,梦灵养成!$Q$10:$Q$15,1),0))*OFFSET(梦灵养成!O$9,1+MATCH(产出预期!$M189,梦灵养成!$Q$10:$Q$15,1),0)+梦灵养成!G508+SUMPRODUCT(--(梦灵养成!$Q$10:$Q$15&lt;=产出预期!$M189),梦灵养成!O$10:O$15,梦灵养成!$P$10:$P$15))/MAX(SUMPRODUCT(--(梦灵养成!$C$10:$C$31&lt;=产出预期!$M189),--(梦灵养成!$E$10:$E$31=L$2)),1)*10,梦灵养成!AW$339:AW$388,1),0)</f>
        <v>50</v>
      </c>
      <c r="M172" s="45">
        <f ca="1">OFFSET(符文养成!$C$14,MATCH(C172,符文养成!$B$15:$B$44,1),0)</f>
        <v>30</v>
      </c>
      <c r="N172" s="45">
        <f ca="1">MATCH((产出预期!Z189*价值表!$F$53+产出预期!AA189*价值表!$F$54+产出预期!AD189*价值表!$F$57)/16/M172,符文养成!$G$15:$G$21,1)</f>
        <v>5</v>
      </c>
      <c r="O172" s="45">
        <f>MATCH(产出预期!O189,秘宝养成!$C$3:$C$14,1)</f>
        <v>11</v>
      </c>
    </row>
    <row r="173" ht="16.5" spans="2:15">
      <c r="B173" s="2">
        <v>171</v>
      </c>
      <c r="C173" s="2">
        <f ca="1">MATCH((OFFSET(产出预期!$C$3,0,产出预期!$B$1)*10+OFFSET(产出预期!$C$4,0,产出预期!$B$1)*10+OFFSET(产出预期!$C$7,0,产出预期!$B$1)*20)*B173/10*60,玩家等级!$E$3:$E$302,1)</f>
        <v>89</v>
      </c>
      <c r="D173" s="2">
        <f>MATCH(产出预期!P190/6,装备养成!$G$4:$G$303,1)</f>
        <v>126</v>
      </c>
      <c r="E173" s="2">
        <f>COUNTIF(产出预期!$R190:$Y190,"&gt;"&amp;0)</f>
        <v>8</v>
      </c>
      <c r="F173" s="2">
        <f ca="1">MATCH(OFFSET(产出预期!$R$19,B173,E173-1),装备养成!$S$4:$S$9,1)</f>
        <v>6</v>
      </c>
      <c r="G173" s="2" t="str">
        <f ca="1">OFFSET(梦灵养成!$D$9,MATCH(梦灵养成!C204,梦灵养成!$C$10:$C$28,1),0)</f>
        <v>我爱沙</v>
      </c>
      <c r="H173" s="2" t="str">
        <f ca="1">OFFSET(梦灵养成!$I$9,MATCH(梦灵养成!C204,梦灵养成!$C$10:$C$28,1),0)</f>
        <v>后羿</v>
      </c>
      <c r="I173" s="45" cm="1">
        <f ca="1" t="array" ref="I173">IFERROR(MATCH(((产出预期!$M190-OFFSET(梦灵养成!$Q$9,MATCH(产出预期!$M190,梦灵养成!$Q$10:$Q$15,1),0))*OFFSET(梦灵养成!L$9,1+MATCH(产出预期!$M190,梦灵养成!$Q$10:$Q$15,1),0)+梦灵养成!D509+SUMPRODUCT(--(梦灵养成!$Q$10:$Q$15&lt;=产出预期!$M190),梦灵养成!L$10:L$15,梦灵养成!$P$10:$P$15))/MAX(SUMPRODUCT(--(梦灵养成!$C$10:$C$31&lt;=产出预期!$M190),--(梦灵养成!$E$10:$E$31=I$2)),1)*10,梦灵养成!AT$339:AT$387,1),0)</f>
        <v>49</v>
      </c>
      <c r="J173" s="45" cm="1">
        <f ca="1" t="array" ref="J173">IFERROR(MATCH(((产出预期!$M190-OFFSET(梦灵养成!$Q$9,MATCH(产出预期!$M190,梦灵养成!$Q$10:$Q$15,1),0))*OFFSET(梦灵养成!M$9,1+MATCH(产出预期!$M190,梦灵养成!$Q$10:$Q$15,1),0)+梦灵养成!E509+SUMPRODUCT(--(梦灵养成!$Q$10:$Q$15&lt;=产出预期!$M190),梦灵养成!M$10:M$15,梦灵养成!$P$10:$P$15))/MAX(SUMPRODUCT(--(梦灵养成!$C$10:$C$31&lt;=产出预期!$M190),--(梦灵养成!$E$10:$E$31=J$2)),1)*10,梦灵养成!AU$339:AU$387,1),0)</f>
        <v>49</v>
      </c>
      <c r="K173" s="45" cm="1">
        <f ca="1" t="array" ref="K173">IFERROR(MATCH(((产出预期!$M190-OFFSET(梦灵养成!$Q$9,MATCH(产出预期!$M190,梦灵养成!$Q$10:$Q$15,1),0))*OFFSET(梦灵养成!N$9,1+MATCH(产出预期!$M190,梦灵养成!$Q$10:$Q$15,1),0)+梦灵养成!F509+SUMPRODUCT(--(梦灵养成!$Q$10:$Q$15&lt;=产出预期!$M190),梦灵养成!N$10:N$15,梦灵养成!$P$10:$P$15))/MAX(SUMPRODUCT(--(梦灵养成!$C$10:$C$31&lt;=产出预期!$M190),--(梦灵养成!$E$10:$E$31=K$2)),1)*10,梦灵养成!AV$339:AV$387,1),0)</f>
        <v>49</v>
      </c>
      <c r="L173" s="45" cm="1">
        <f ca="1" t="array" ref="L173">IFERROR(MATCH(((产出预期!$M190-OFFSET(梦灵养成!$Q$9,MATCH(产出预期!$M190,梦灵养成!$Q$10:$Q$15,1),0))*OFFSET(梦灵养成!O$9,1+MATCH(产出预期!$M190,梦灵养成!$Q$10:$Q$15,1),0)+梦灵养成!G509+SUMPRODUCT(--(梦灵养成!$Q$10:$Q$15&lt;=产出预期!$M190),梦灵养成!O$10:O$15,梦灵养成!$P$10:$P$15))/MAX(SUMPRODUCT(--(梦灵养成!$C$10:$C$31&lt;=产出预期!$M190),--(梦灵养成!$E$10:$E$31=L$2)),1)*10,梦灵养成!AW$339:AW$388,1),0)</f>
        <v>50</v>
      </c>
      <c r="M173" s="45">
        <f ca="1">OFFSET(符文养成!$C$14,MATCH(C173,符文养成!$B$15:$B$44,1),0)</f>
        <v>30</v>
      </c>
      <c r="N173" s="45">
        <f ca="1">MATCH((产出预期!Z190*价值表!$F$53+产出预期!AA190*价值表!$F$54+产出预期!AD190*价值表!$F$57)/16/M173,符文养成!$G$15:$G$21,1)</f>
        <v>5</v>
      </c>
      <c r="O173" s="45">
        <f>MATCH(产出预期!O190,秘宝养成!$C$3:$C$14,1)</f>
        <v>11</v>
      </c>
    </row>
    <row r="174" ht="16.5" spans="2:15">
      <c r="B174" s="2">
        <v>172</v>
      </c>
      <c r="C174" s="2">
        <f ca="1">MATCH((OFFSET(产出预期!$C$3,0,产出预期!$B$1)*10+OFFSET(产出预期!$C$4,0,产出预期!$B$1)*10+OFFSET(产出预期!$C$7,0,产出预期!$B$1)*20)*B174/10*60,玩家等级!$E$3:$E$302,1)</f>
        <v>89</v>
      </c>
      <c r="D174" s="2">
        <f>MATCH(产出预期!P191/6,装备养成!$G$4:$G$303,1)</f>
        <v>126</v>
      </c>
      <c r="E174" s="2">
        <f>COUNTIF(产出预期!$R191:$Y191,"&gt;"&amp;0)</f>
        <v>8</v>
      </c>
      <c r="F174" s="2">
        <f ca="1">MATCH(OFFSET(产出预期!$R$19,B174,E174-1),装备养成!$S$4:$S$9,1)</f>
        <v>6</v>
      </c>
      <c r="G174" s="2" t="str">
        <f ca="1">OFFSET(梦灵养成!$D$9,MATCH(梦灵养成!C205,梦灵养成!$C$10:$C$28,1),0)</f>
        <v>我爱沙</v>
      </c>
      <c r="H174" s="2" t="str">
        <f ca="1">OFFSET(梦灵养成!$I$9,MATCH(梦灵养成!C205,梦灵养成!$C$10:$C$28,1),0)</f>
        <v>后羿</v>
      </c>
      <c r="I174" s="45" cm="1">
        <f ca="1" t="array" ref="I174">IFERROR(MATCH(((产出预期!$M191-OFFSET(梦灵养成!$Q$9,MATCH(产出预期!$M191,梦灵养成!$Q$10:$Q$15,1),0))*OFFSET(梦灵养成!L$9,1+MATCH(产出预期!$M191,梦灵养成!$Q$10:$Q$15,1),0)+梦灵养成!D510+SUMPRODUCT(--(梦灵养成!$Q$10:$Q$15&lt;=产出预期!$M191),梦灵养成!L$10:L$15,梦灵养成!$P$10:$P$15))/MAX(SUMPRODUCT(--(梦灵养成!$C$10:$C$31&lt;=产出预期!$M191),--(梦灵养成!$E$10:$E$31=I$2)),1)*10,梦灵养成!AT$339:AT$387,1),0)</f>
        <v>49</v>
      </c>
      <c r="J174" s="45" cm="1">
        <f ca="1" t="array" ref="J174">IFERROR(MATCH(((产出预期!$M191-OFFSET(梦灵养成!$Q$9,MATCH(产出预期!$M191,梦灵养成!$Q$10:$Q$15,1),0))*OFFSET(梦灵养成!M$9,1+MATCH(产出预期!$M191,梦灵养成!$Q$10:$Q$15,1),0)+梦灵养成!E510+SUMPRODUCT(--(梦灵养成!$Q$10:$Q$15&lt;=产出预期!$M191),梦灵养成!M$10:M$15,梦灵养成!$P$10:$P$15))/MAX(SUMPRODUCT(--(梦灵养成!$C$10:$C$31&lt;=产出预期!$M191),--(梦灵养成!$E$10:$E$31=J$2)),1)*10,梦灵养成!AU$339:AU$387,1),0)</f>
        <v>49</v>
      </c>
      <c r="K174" s="45" cm="1">
        <f ca="1" t="array" ref="K174">IFERROR(MATCH(((产出预期!$M191-OFFSET(梦灵养成!$Q$9,MATCH(产出预期!$M191,梦灵养成!$Q$10:$Q$15,1),0))*OFFSET(梦灵养成!N$9,1+MATCH(产出预期!$M191,梦灵养成!$Q$10:$Q$15,1),0)+梦灵养成!F510+SUMPRODUCT(--(梦灵养成!$Q$10:$Q$15&lt;=产出预期!$M191),梦灵养成!N$10:N$15,梦灵养成!$P$10:$P$15))/MAX(SUMPRODUCT(--(梦灵养成!$C$10:$C$31&lt;=产出预期!$M191),--(梦灵养成!$E$10:$E$31=K$2)),1)*10,梦灵养成!AV$339:AV$387,1),0)</f>
        <v>49</v>
      </c>
      <c r="L174" s="45" cm="1">
        <f ca="1" t="array" ref="L174">IFERROR(MATCH(((产出预期!$M191-OFFSET(梦灵养成!$Q$9,MATCH(产出预期!$M191,梦灵养成!$Q$10:$Q$15,1),0))*OFFSET(梦灵养成!O$9,1+MATCH(产出预期!$M191,梦灵养成!$Q$10:$Q$15,1),0)+梦灵养成!G510+SUMPRODUCT(--(梦灵养成!$Q$10:$Q$15&lt;=产出预期!$M191),梦灵养成!O$10:O$15,梦灵养成!$P$10:$P$15))/MAX(SUMPRODUCT(--(梦灵养成!$C$10:$C$31&lt;=产出预期!$M191),--(梦灵养成!$E$10:$E$31=L$2)),1)*10,梦灵养成!AW$339:AW$388,1),0)</f>
        <v>50</v>
      </c>
      <c r="M174" s="45">
        <f ca="1">OFFSET(符文养成!$C$14,MATCH(C174,符文养成!$B$15:$B$44,1),0)</f>
        <v>30</v>
      </c>
      <c r="N174" s="45">
        <f ca="1">MATCH((产出预期!Z191*价值表!$F$53+产出预期!AA191*价值表!$F$54+产出预期!AD191*价值表!$F$57)/16/M174,符文养成!$G$15:$G$21,1)</f>
        <v>5</v>
      </c>
      <c r="O174" s="45">
        <f>MATCH(产出预期!O191,秘宝养成!$C$3:$C$14,1)</f>
        <v>11</v>
      </c>
    </row>
    <row r="175" ht="16.5" spans="2:15">
      <c r="B175" s="2">
        <v>173</v>
      </c>
      <c r="C175" s="2">
        <f ca="1">MATCH((OFFSET(产出预期!$C$3,0,产出预期!$B$1)*10+OFFSET(产出预期!$C$4,0,产出预期!$B$1)*10+OFFSET(产出预期!$C$7,0,产出预期!$B$1)*20)*B175/10*60,玩家等级!$E$3:$E$302,1)</f>
        <v>89</v>
      </c>
      <c r="D175" s="2">
        <f>MATCH(产出预期!P192/6,装备养成!$G$4:$G$303,1)</f>
        <v>126</v>
      </c>
      <c r="E175" s="2">
        <f>COUNTIF(产出预期!$R192:$Y192,"&gt;"&amp;0)</f>
        <v>8</v>
      </c>
      <c r="F175" s="2">
        <f ca="1">MATCH(OFFSET(产出预期!$R$19,B175,E175-1),装备养成!$S$4:$S$9,1)</f>
        <v>6</v>
      </c>
      <c r="G175" s="2" t="str">
        <f ca="1">OFFSET(梦灵养成!$D$9,MATCH(梦灵养成!C206,梦灵养成!$C$10:$C$28,1),0)</f>
        <v>我爱沙</v>
      </c>
      <c r="H175" s="2" t="str">
        <f ca="1">OFFSET(梦灵养成!$I$9,MATCH(梦灵养成!C206,梦灵养成!$C$10:$C$28,1),0)</f>
        <v>后羿</v>
      </c>
      <c r="I175" s="45" cm="1">
        <f ca="1" t="array" ref="I175">IFERROR(MATCH(((产出预期!$M192-OFFSET(梦灵养成!$Q$9,MATCH(产出预期!$M192,梦灵养成!$Q$10:$Q$15,1),0))*OFFSET(梦灵养成!L$9,1+MATCH(产出预期!$M192,梦灵养成!$Q$10:$Q$15,1),0)+梦灵养成!D511+SUMPRODUCT(--(梦灵养成!$Q$10:$Q$15&lt;=产出预期!$M192),梦灵养成!L$10:L$15,梦灵养成!$P$10:$P$15))/MAX(SUMPRODUCT(--(梦灵养成!$C$10:$C$31&lt;=产出预期!$M192),--(梦灵养成!$E$10:$E$31=I$2)),1)*10,梦灵养成!AT$339:AT$387,1),0)</f>
        <v>49</v>
      </c>
      <c r="J175" s="45" cm="1">
        <f ca="1" t="array" ref="J175">IFERROR(MATCH(((产出预期!$M192-OFFSET(梦灵养成!$Q$9,MATCH(产出预期!$M192,梦灵养成!$Q$10:$Q$15,1),0))*OFFSET(梦灵养成!M$9,1+MATCH(产出预期!$M192,梦灵养成!$Q$10:$Q$15,1),0)+梦灵养成!E511+SUMPRODUCT(--(梦灵养成!$Q$10:$Q$15&lt;=产出预期!$M192),梦灵养成!M$10:M$15,梦灵养成!$P$10:$P$15))/MAX(SUMPRODUCT(--(梦灵养成!$C$10:$C$31&lt;=产出预期!$M192),--(梦灵养成!$E$10:$E$31=J$2)),1)*10,梦灵养成!AU$339:AU$387,1),0)</f>
        <v>49</v>
      </c>
      <c r="K175" s="45" cm="1">
        <f ca="1" t="array" ref="K175">IFERROR(MATCH(((产出预期!$M192-OFFSET(梦灵养成!$Q$9,MATCH(产出预期!$M192,梦灵养成!$Q$10:$Q$15,1),0))*OFFSET(梦灵养成!N$9,1+MATCH(产出预期!$M192,梦灵养成!$Q$10:$Q$15,1),0)+梦灵养成!F511+SUMPRODUCT(--(梦灵养成!$Q$10:$Q$15&lt;=产出预期!$M192),梦灵养成!N$10:N$15,梦灵养成!$P$10:$P$15))/MAX(SUMPRODUCT(--(梦灵养成!$C$10:$C$31&lt;=产出预期!$M192),--(梦灵养成!$E$10:$E$31=K$2)),1)*10,梦灵养成!AV$339:AV$387,1),0)</f>
        <v>49</v>
      </c>
      <c r="L175" s="45" cm="1">
        <f ca="1" t="array" ref="L175">IFERROR(MATCH(((产出预期!$M192-OFFSET(梦灵养成!$Q$9,MATCH(产出预期!$M192,梦灵养成!$Q$10:$Q$15,1),0))*OFFSET(梦灵养成!O$9,1+MATCH(产出预期!$M192,梦灵养成!$Q$10:$Q$15,1),0)+梦灵养成!G511+SUMPRODUCT(--(梦灵养成!$Q$10:$Q$15&lt;=产出预期!$M192),梦灵养成!O$10:O$15,梦灵养成!$P$10:$P$15))/MAX(SUMPRODUCT(--(梦灵养成!$C$10:$C$31&lt;=产出预期!$M192),--(梦灵养成!$E$10:$E$31=L$2)),1)*10,梦灵养成!AW$339:AW$388,1),0)</f>
        <v>50</v>
      </c>
      <c r="M175" s="45">
        <f ca="1">OFFSET(符文养成!$C$14,MATCH(C175,符文养成!$B$15:$B$44,1),0)</f>
        <v>30</v>
      </c>
      <c r="N175" s="45">
        <f ca="1">MATCH((产出预期!Z192*价值表!$F$53+产出预期!AA192*价值表!$F$54+产出预期!AD192*价值表!$F$57)/16/M175,符文养成!$G$15:$G$21,1)</f>
        <v>5</v>
      </c>
      <c r="O175" s="45">
        <f>MATCH(产出预期!O192,秘宝养成!$C$3:$C$14,1)</f>
        <v>11</v>
      </c>
    </row>
    <row r="176" ht="16.5" spans="2:15">
      <c r="B176" s="2">
        <v>174</v>
      </c>
      <c r="C176" s="2">
        <f ca="1">MATCH((OFFSET(产出预期!$C$3,0,产出预期!$B$1)*10+OFFSET(产出预期!$C$4,0,产出预期!$B$1)*10+OFFSET(产出预期!$C$7,0,产出预期!$B$1)*20)*B176/10*60,玩家等级!$E$3:$E$302,1)</f>
        <v>89</v>
      </c>
      <c r="D176" s="2">
        <f>MATCH(产出预期!P193/6,装备养成!$G$4:$G$303,1)</f>
        <v>127</v>
      </c>
      <c r="E176" s="2">
        <f>COUNTIF(产出预期!$R193:$Y193,"&gt;"&amp;0)</f>
        <v>8</v>
      </c>
      <c r="F176" s="2">
        <f ca="1">MATCH(OFFSET(产出预期!$R$19,B176,E176-1),装备养成!$S$4:$S$9,1)</f>
        <v>6</v>
      </c>
      <c r="G176" s="2" t="str">
        <f ca="1">OFFSET(梦灵养成!$D$9,MATCH(梦灵养成!C207,梦灵养成!$C$10:$C$28,1),0)</f>
        <v>我爱沙</v>
      </c>
      <c r="H176" s="2" t="str">
        <f ca="1">OFFSET(梦灵养成!$I$9,MATCH(梦灵养成!C207,梦灵养成!$C$10:$C$28,1),0)</f>
        <v>后羿</v>
      </c>
      <c r="I176" s="45" cm="1">
        <f ca="1" t="array" ref="I176">IFERROR(MATCH(((产出预期!$M193-OFFSET(梦灵养成!$Q$9,MATCH(产出预期!$M193,梦灵养成!$Q$10:$Q$15,1),0))*OFFSET(梦灵养成!L$9,1+MATCH(产出预期!$M193,梦灵养成!$Q$10:$Q$15,1),0)+梦灵养成!D512+SUMPRODUCT(--(梦灵养成!$Q$10:$Q$15&lt;=产出预期!$M193),梦灵养成!L$10:L$15,梦灵养成!$P$10:$P$15))/MAX(SUMPRODUCT(--(梦灵养成!$C$10:$C$31&lt;=产出预期!$M193),--(梦灵养成!$E$10:$E$31=I$2)),1)*10,梦灵养成!AT$339:AT$387,1),0)</f>
        <v>49</v>
      </c>
      <c r="J176" s="45" cm="1">
        <f ca="1" t="array" ref="J176">IFERROR(MATCH(((产出预期!$M193-OFFSET(梦灵养成!$Q$9,MATCH(产出预期!$M193,梦灵养成!$Q$10:$Q$15,1),0))*OFFSET(梦灵养成!M$9,1+MATCH(产出预期!$M193,梦灵养成!$Q$10:$Q$15,1),0)+梦灵养成!E512+SUMPRODUCT(--(梦灵养成!$Q$10:$Q$15&lt;=产出预期!$M193),梦灵养成!M$10:M$15,梦灵养成!$P$10:$P$15))/MAX(SUMPRODUCT(--(梦灵养成!$C$10:$C$31&lt;=产出预期!$M193),--(梦灵养成!$E$10:$E$31=J$2)),1)*10,梦灵养成!AU$339:AU$387,1),0)</f>
        <v>49</v>
      </c>
      <c r="K176" s="45" cm="1">
        <f ca="1" t="array" ref="K176">IFERROR(MATCH(((产出预期!$M193-OFFSET(梦灵养成!$Q$9,MATCH(产出预期!$M193,梦灵养成!$Q$10:$Q$15,1),0))*OFFSET(梦灵养成!N$9,1+MATCH(产出预期!$M193,梦灵养成!$Q$10:$Q$15,1),0)+梦灵养成!F512+SUMPRODUCT(--(梦灵养成!$Q$10:$Q$15&lt;=产出预期!$M193),梦灵养成!N$10:N$15,梦灵养成!$P$10:$P$15))/MAX(SUMPRODUCT(--(梦灵养成!$C$10:$C$31&lt;=产出预期!$M193),--(梦灵养成!$E$10:$E$31=K$2)),1)*10,梦灵养成!AV$339:AV$387,1),0)</f>
        <v>49</v>
      </c>
      <c r="L176" s="45" cm="1">
        <f ca="1" t="array" ref="L176">IFERROR(MATCH(((产出预期!$M193-OFFSET(梦灵养成!$Q$9,MATCH(产出预期!$M193,梦灵养成!$Q$10:$Q$15,1),0))*OFFSET(梦灵养成!O$9,1+MATCH(产出预期!$M193,梦灵养成!$Q$10:$Q$15,1),0)+梦灵养成!G512+SUMPRODUCT(--(梦灵养成!$Q$10:$Q$15&lt;=产出预期!$M193),梦灵养成!O$10:O$15,梦灵养成!$P$10:$P$15))/MAX(SUMPRODUCT(--(梦灵养成!$C$10:$C$31&lt;=产出预期!$M193),--(梦灵养成!$E$10:$E$31=L$2)),1)*10,梦灵养成!AW$339:AW$388,1),0)</f>
        <v>50</v>
      </c>
      <c r="M176" s="45">
        <f ca="1">OFFSET(符文养成!$C$14,MATCH(C176,符文养成!$B$15:$B$44,1),0)</f>
        <v>30</v>
      </c>
      <c r="N176" s="45">
        <f ca="1">MATCH((产出预期!Z193*价值表!$F$53+产出预期!AA193*价值表!$F$54+产出预期!AD193*价值表!$F$57)/16/M176,符文养成!$G$15:$G$21,1)</f>
        <v>5</v>
      </c>
      <c r="O176" s="45">
        <f>MATCH(产出预期!O193,秘宝养成!$C$3:$C$14,1)</f>
        <v>11</v>
      </c>
    </row>
    <row r="177" ht="16.5" spans="2:15">
      <c r="B177" s="2">
        <v>175</v>
      </c>
      <c r="C177" s="2">
        <f ca="1">MATCH((OFFSET(产出预期!$C$3,0,产出预期!$B$1)*10+OFFSET(产出预期!$C$4,0,产出预期!$B$1)*10+OFFSET(产出预期!$C$7,0,产出预期!$B$1)*20)*B177/10*60,玩家等级!$E$3:$E$302,1)</f>
        <v>89</v>
      </c>
      <c r="D177" s="2">
        <f>MATCH(产出预期!P194/6,装备养成!$G$4:$G$303,1)</f>
        <v>127</v>
      </c>
      <c r="E177" s="2">
        <f>COUNTIF(产出预期!$R194:$Y194,"&gt;"&amp;0)</f>
        <v>8</v>
      </c>
      <c r="F177" s="2">
        <f ca="1">MATCH(OFFSET(产出预期!$R$19,B177,E177-1),装备养成!$S$4:$S$9,1)</f>
        <v>6</v>
      </c>
      <c r="G177" s="2" t="str">
        <f ca="1">OFFSET(梦灵养成!$D$9,MATCH(梦灵养成!C208,梦灵养成!$C$10:$C$28,1),0)</f>
        <v>我爱沙</v>
      </c>
      <c r="H177" s="2" t="str">
        <f ca="1">OFFSET(梦灵养成!$I$9,MATCH(梦灵养成!C208,梦灵养成!$C$10:$C$28,1),0)</f>
        <v>后羿</v>
      </c>
      <c r="I177" s="45" cm="1">
        <f ca="1" t="array" ref="I177">IFERROR(MATCH(((产出预期!$M194-OFFSET(梦灵养成!$Q$9,MATCH(产出预期!$M194,梦灵养成!$Q$10:$Q$15,1),0))*OFFSET(梦灵养成!L$9,1+MATCH(产出预期!$M194,梦灵养成!$Q$10:$Q$15,1),0)+梦灵养成!D513+SUMPRODUCT(--(梦灵养成!$Q$10:$Q$15&lt;=产出预期!$M194),梦灵养成!L$10:L$15,梦灵养成!$P$10:$P$15))/MAX(SUMPRODUCT(--(梦灵养成!$C$10:$C$31&lt;=产出预期!$M194),--(梦灵养成!$E$10:$E$31=I$2)),1)*10,梦灵养成!AT$339:AT$387,1),0)</f>
        <v>49</v>
      </c>
      <c r="J177" s="45" cm="1">
        <f ca="1" t="array" ref="J177">IFERROR(MATCH(((产出预期!$M194-OFFSET(梦灵养成!$Q$9,MATCH(产出预期!$M194,梦灵养成!$Q$10:$Q$15,1),0))*OFFSET(梦灵养成!M$9,1+MATCH(产出预期!$M194,梦灵养成!$Q$10:$Q$15,1),0)+梦灵养成!E513+SUMPRODUCT(--(梦灵养成!$Q$10:$Q$15&lt;=产出预期!$M194),梦灵养成!M$10:M$15,梦灵养成!$P$10:$P$15))/MAX(SUMPRODUCT(--(梦灵养成!$C$10:$C$31&lt;=产出预期!$M194),--(梦灵养成!$E$10:$E$31=J$2)),1)*10,梦灵养成!AU$339:AU$387,1),0)</f>
        <v>49</v>
      </c>
      <c r="K177" s="45" cm="1">
        <f ca="1" t="array" ref="K177">IFERROR(MATCH(((产出预期!$M194-OFFSET(梦灵养成!$Q$9,MATCH(产出预期!$M194,梦灵养成!$Q$10:$Q$15,1),0))*OFFSET(梦灵养成!N$9,1+MATCH(产出预期!$M194,梦灵养成!$Q$10:$Q$15,1),0)+梦灵养成!F513+SUMPRODUCT(--(梦灵养成!$Q$10:$Q$15&lt;=产出预期!$M194),梦灵养成!N$10:N$15,梦灵养成!$P$10:$P$15))/MAX(SUMPRODUCT(--(梦灵养成!$C$10:$C$31&lt;=产出预期!$M194),--(梦灵养成!$E$10:$E$31=K$2)),1)*10,梦灵养成!AV$339:AV$387,1),0)</f>
        <v>49</v>
      </c>
      <c r="L177" s="45" cm="1">
        <f ca="1" t="array" ref="L177">IFERROR(MATCH(((产出预期!$M194-OFFSET(梦灵养成!$Q$9,MATCH(产出预期!$M194,梦灵养成!$Q$10:$Q$15,1),0))*OFFSET(梦灵养成!O$9,1+MATCH(产出预期!$M194,梦灵养成!$Q$10:$Q$15,1),0)+梦灵养成!G513+SUMPRODUCT(--(梦灵养成!$Q$10:$Q$15&lt;=产出预期!$M194),梦灵养成!O$10:O$15,梦灵养成!$P$10:$P$15))/MAX(SUMPRODUCT(--(梦灵养成!$C$10:$C$31&lt;=产出预期!$M194),--(梦灵养成!$E$10:$E$31=L$2)),1)*10,梦灵养成!AW$339:AW$388,1),0)</f>
        <v>50</v>
      </c>
      <c r="M177" s="45">
        <f ca="1">OFFSET(符文养成!$C$14,MATCH(C177,符文养成!$B$15:$B$44,1),0)</f>
        <v>30</v>
      </c>
      <c r="N177" s="45">
        <f ca="1">MATCH((产出预期!Z194*价值表!$F$53+产出预期!AA194*价值表!$F$54+产出预期!AD194*价值表!$F$57)/16/M177,符文养成!$G$15:$G$21,1)</f>
        <v>5</v>
      </c>
      <c r="O177" s="45">
        <f>MATCH(产出预期!O194,秘宝养成!$C$3:$C$14,1)</f>
        <v>11</v>
      </c>
    </row>
    <row r="178" ht="16.5" spans="2:15">
      <c r="B178" s="2">
        <v>176</v>
      </c>
      <c r="C178" s="2">
        <f ca="1">MATCH((OFFSET(产出预期!$C$3,0,产出预期!$B$1)*10+OFFSET(产出预期!$C$4,0,产出预期!$B$1)*10+OFFSET(产出预期!$C$7,0,产出预期!$B$1)*20)*B178/10*60,玩家等级!$E$3:$E$302,1)</f>
        <v>89</v>
      </c>
      <c r="D178" s="2">
        <f>MATCH(产出预期!P195/6,装备养成!$G$4:$G$303,1)</f>
        <v>127</v>
      </c>
      <c r="E178" s="2">
        <f>COUNTIF(产出预期!$R195:$Y195,"&gt;"&amp;0)</f>
        <v>8</v>
      </c>
      <c r="F178" s="2">
        <f ca="1">MATCH(OFFSET(产出预期!$R$19,B178,E178-1),装备养成!$S$4:$S$9,1)</f>
        <v>6</v>
      </c>
      <c r="G178" s="2" t="str">
        <f ca="1">OFFSET(梦灵养成!$D$9,MATCH(梦灵养成!C209,梦灵养成!$C$10:$C$28,1),0)</f>
        <v>我爱沙</v>
      </c>
      <c r="H178" s="2" t="str">
        <f ca="1">OFFSET(梦灵养成!$I$9,MATCH(梦灵养成!C209,梦灵养成!$C$10:$C$28,1),0)</f>
        <v>后羿</v>
      </c>
      <c r="I178" s="45" cm="1">
        <f ca="1" t="array" ref="I178">IFERROR(MATCH(((产出预期!$M195-OFFSET(梦灵养成!$Q$9,MATCH(产出预期!$M195,梦灵养成!$Q$10:$Q$15,1),0))*OFFSET(梦灵养成!L$9,1+MATCH(产出预期!$M195,梦灵养成!$Q$10:$Q$15,1),0)+梦灵养成!D514+SUMPRODUCT(--(梦灵养成!$Q$10:$Q$15&lt;=产出预期!$M195),梦灵养成!L$10:L$15,梦灵养成!$P$10:$P$15))/MAX(SUMPRODUCT(--(梦灵养成!$C$10:$C$31&lt;=产出预期!$M195),--(梦灵养成!$E$10:$E$31=I$2)),1)*10,梦灵养成!AT$339:AT$387,1),0)</f>
        <v>49</v>
      </c>
      <c r="J178" s="45" cm="1">
        <f ca="1" t="array" ref="J178">IFERROR(MATCH(((产出预期!$M195-OFFSET(梦灵养成!$Q$9,MATCH(产出预期!$M195,梦灵养成!$Q$10:$Q$15,1),0))*OFFSET(梦灵养成!M$9,1+MATCH(产出预期!$M195,梦灵养成!$Q$10:$Q$15,1),0)+梦灵养成!E514+SUMPRODUCT(--(梦灵养成!$Q$10:$Q$15&lt;=产出预期!$M195),梦灵养成!M$10:M$15,梦灵养成!$P$10:$P$15))/MAX(SUMPRODUCT(--(梦灵养成!$C$10:$C$31&lt;=产出预期!$M195),--(梦灵养成!$E$10:$E$31=J$2)),1)*10,梦灵养成!AU$339:AU$387,1),0)</f>
        <v>49</v>
      </c>
      <c r="K178" s="45" cm="1">
        <f ca="1" t="array" ref="K178">IFERROR(MATCH(((产出预期!$M195-OFFSET(梦灵养成!$Q$9,MATCH(产出预期!$M195,梦灵养成!$Q$10:$Q$15,1),0))*OFFSET(梦灵养成!N$9,1+MATCH(产出预期!$M195,梦灵养成!$Q$10:$Q$15,1),0)+梦灵养成!F514+SUMPRODUCT(--(梦灵养成!$Q$10:$Q$15&lt;=产出预期!$M195),梦灵养成!N$10:N$15,梦灵养成!$P$10:$P$15))/MAX(SUMPRODUCT(--(梦灵养成!$C$10:$C$31&lt;=产出预期!$M195),--(梦灵养成!$E$10:$E$31=K$2)),1)*10,梦灵养成!AV$339:AV$387,1),0)</f>
        <v>49</v>
      </c>
      <c r="L178" s="45" cm="1">
        <f ca="1" t="array" ref="L178">IFERROR(MATCH(((产出预期!$M195-OFFSET(梦灵养成!$Q$9,MATCH(产出预期!$M195,梦灵养成!$Q$10:$Q$15,1),0))*OFFSET(梦灵养成!O$9,1+MATCH(产出预期!$M195,梦灵养成!$Q$10:$Q$15,1),0)+梦灵养成!G514+SUMPRODUCT(--(梦灵养成!$Q$10:$Q$15&lt;=产出预期!$M195),梦灵养成!O$10:O$15,梦灵养成!$P$10:$P$15))/MAX(SUMPRODUCT(--(梦灵养成!$C$10:$C$31&lt;=产出预期!$M195),--(梦灵养成!$E$10:$E$31=L$2)),1)*10,梦灵养成!AW$339:AW$388,1),0)</f>
        <v>50</v>
      </c>
      <c r="M178" s="45">
        <f ca="1">OFFSET(符文养成!$C$14,MATCH(C178,符文养成!$B$15:$B$44,1),0)</f>
        <v>30</v>
      </c>
      <c r="N178" s="45">
        <f ca="1">MATCH((产出预期!Z195*价值表!$F$53+产出预期!AA195*价值表!$F$54+产出预期!AD195*价值表!$F$57)/16/M178,符文养成!$G$15:$G$21,1)</f>
        <v>5</v>
      </c>
      <c r="O178" s="45">
        <f>MATCH(产出预期!O195,秘宝养成!$C$3:$C$14,1)</f>
        <v>11</v>
      </c>
    </row>
    <row r="179" ht="16.5" spans="2:15">
      <c r="B179" s="2">
        <v>177</v>
      </c>
      <c r="C179" s="2">
        <f ca="1">MATCH((OFFSET(产出预期!$C$3,0,产出预期!$B$1)*10+OFFSET(产出预期!$C$4,0,产出预期!$B$1)*10+OFFSET(产出预期!$C$7,0,产出预期!$B$1)*20)*B179/10*60,玩家等级!$E$3:$E$302,1)</f>
        <v>89</v>
      </c>
      <c r="D179" s="2">
        <f>MATCH(产出预期!P196/6,装备养成!$G$4:$G$303,1)</f>
        <v>128</v>
      </c>
      <c r="E179" s="2">
        <f>COUNTIF(产出预期!$R196:$Y196,"&gt;"&amp;0)</f>
        <v>8</v>
      </c>
      <c r="F179" s="2">
        <f ca="1">MATCH(OFFSET(产出预期!$R$19,B179,E179-1),装备养成!$S$4:$S$9,1)</f>
        <v>6</v>
      </c>
      <c r="G179" s="2" t="str">
        <f ca="1">OFFSET(梦灵养成!$D$9,MATCH(梦灵养成!C210,梦灵养成!$C$10:$C$28,1),0)</f>
        <v>我爱沙</v>
      </c>
      <c r="H179" s="2" t="str">
        <f ca="1">OFFSET(梦灵养成!$I$9,MATCH(梦灵养成!C210,梦灵养成!$C$10:$C$28,1),0)</f>
        <v>后羿</v>
      </c>
      <c r="I179" s="45" cm="1">
        <f ca="1" t="array" ref="I179">IFERROR(MATCH(((产出预期!$M196-OFFSET(梦灵养成!$Q$9,MATCH(产出预期!$M196,梦灵养成!$Q$10:$Q$15,1),0))*OFFSET(梦灵养成!L$9,1+MATCH(产出预期!$M196,梦灵养成!$Q$10:$Q$15,1),0)+梦灵养成!D515+SUMPRODUCT(--(梦灵养成!$Q$10:$Q$15&lt;=产出预期!$M196),梦灵养成!L$10:L$15,梦灵养成!$P$10:$P$15))/MAX(SUMPRODUCT(--(梦灵养成!$C$10:$C$31&lt;=产出预期!$M196),--(梦灵养成!$E$10:$E$31=I$2)),1)*10,梦灵养成!AT$339:AT$387,1),0)</f>
        <v>49</v>
      </c>
      <c r="J179" s="45" cm="1">
        <f ca="1" t="array" ref="J179">IFERROR(MATCH(((产出预期!$M196-OFFSET(梦灵养成!$Q$9,MATCH(产出预期!$M196,梦灵养成!$Q$10:$Q$15,1),0))*OFFSET(梦灵养成!M$9,1+MATCH(产出预期!$M196,梦灵养成!$Q$10:$Q$15,1),0)+梦灵养成!E515+SUMPRODUCT(--(梦灵养成!$Q$10:$Q$15&lt;=产出预期!$M196),梦灵养成!M$10:M$15,梦灵养成!$P$10:$P$15))/MAX(SUMPRODUCT(--(梦灵养成!$C$10:$C$31&lt;=产出预期!$M196),--(梦灵养成!$E$10:$E$31=J$2)),1)*10,梦灵养成!AU$339:AU$387,1),0)</f>
        <v>49</v>
      </c>
      <c r="K179" s="45" cm="1">
        <f ca="1" t="array" ref="K179">IFERROR(MATCH(((产出预期!$M196-OFFSET(梦灵养成!$Q$9,MATCH(产出预期!$M196,梦灵养成!$Q$10:$Q$15,1),0))*OFFSET(梦灵养成!N$9,1+MATCH(产出预期!$M196,梦灵养成!$Q$10:$Q$15,1),0)+梦灵养成!F515+SUMPRODUCT(--(梦灵养成!$Q$10:$Q$15&lt;=产出预期!$M196),梦灵养成!N$10:N$15,梦灵养成!$P$10:$P$15))/MAX(SUMPRODUCT(--(梦灵养成!$C$10:$C$31&lt;=产出预期!$M196),--(梦灵养成!$E$10:$E$31=K$2)),1)*10,梦灵养成!AV$339:AV$387,1),0)</f>
        <v>49</v>
      </c>
      <c r="L179" s="45" cm="1">
        <f ca="1" t="array" ref="L179">IFERROR(MATCH(((产出预期!$M196-OFFSET(梦灵养成!$Q$9,MATCH(产出预期!$M196,梦灵养成!$Q$10:$Q$15,1),0))*OFFSET(梦灵养成!O$9,1+MATCH(产出预期!$M196,梦灵养成!$Q$10:$Q$15,1),0)+梦灵养成!G515+SUMPRODUCT(--(梦灵养成!$Q$10:$Q$15&lt;=产出预期!$M196),梦灵养成!O$10:O$15,梦灵养成!$P$10:$P$15))/MAX(SUMPRODUCT(--(梦灵养成!$C$10:$C$31&lt;=产出预期!$M196),--(梦灵养成!$E$10:$E$31=L$2)),1)*10,梦灵养成!AW$339:AW$388,1),0)</f>
        <v>50</v>
      </c>
      <c r="M179" s="45">
        <f ca="1">OFFSET(符文养成!$C$14,MATCH(C179,符文养成!$B$15:$B$44,1),0)</f>
        <v>30</v>
      </c>
      <c r="N179" s="45">
        <f ca="1">MATCH((产出预期!Z196*价值表!$F$53+产出预期!AA196*价值表!$F$54+产出预期!AD196*价值表!$F$57)/16/M179,符文养成!$G$15:$G$21,1)</f>
        <v>5</v>
      </c>
      <c r="O179" s="45">
        <f>MATCH(产出预期!O196,秘宝养成!$C$3:$C$14,1)</f>
        <v>11</v>
      </c>
    </row>
    <row r="180" ht="16.5" spans="2:15">
      <c r="B180" s="2">
        <v>178</v>
      </c>
      <c r="C180" s="2">
        <f ca="1">MATCH((OFFSET(产出预期!$C$3,0,产出预期!$B$1)*10+OFFSET(产出预期!$C$4,0,产出预期!$B$1)*10+OFFSET(产出预期!$C$7,0,产出预期!$B$1)*20)*B180/10*60,玩家等级!$E$3:$E$302,1)</f>
        <v>90</v>
      </c>
      <c r="D180" s="2">
        <f>MATCH(产出预期!P197/6,装备养成!$G$4:$G$303,1)</f>
        <v>128</v>
      </c>
      <c r="E180" s="2">
        <f>COUNTIF(产出预期!$R197:$Y197,"&gt;"&amp;0)</f>
        <v>8</v>
      </c>
      <c r="F180" s="2">
        <f ca="1">MATCH(OFFSET(产出预期!$R$19,B180,E180-1),装备养成!$S$4:$S$9,1)</f>
        <v>6</v>
      </c>
      <c r="G180" s="2" t="str">
        <f ca="1">OFFSET(梦灵养成!$D$9,MATCH(梦灵养成!C211,梦灵养成!$C$10:$C$28,1),0)</f>
        <v>我爱沙</v>
      </c>
      <c r="H180" s="2" t="str">
        <f ca="1">OFFSET(梦灵养成!$I$9,MATCH(梦灵养成!C211,梦灵养成!$C$10:$C$28,1),0)</f>
        <v>后羿</v>
      </c>
      <c r="I180" s="45" cm="1">
        <f ca="1" t="array" ref="I180">IFERROR(MATCH(((产出预期!$M197-OFFSET(梦灵养成!$Q$9,MATCH(产出预期!$M197,梦灵养成!$Q$10:$Q$15,1),0))*OFFSET(梦灵养成!L$9,1+MATCH(产出预期!$M197,梦灵养成!$Q$10:$Q$15,1),0)+梦灵养成!D516+SUMPRODUCT(--(梦灵养成!$Q$10:$Q$15&lt;=产出预期!$M197),梦灵养成!L$10:L$15,梦灵养成!$P$10:$P$15))/MAX(SUMPRODUCT(--(梦灵养成!$C$10:$C$31&lt;=产出预期!$M197),--(梦灵养成!$E$10:$E$31=I$2)),1)*10,梦灵养成!AT$339:AT$387,1),0)</f>
        <v>49</v>
      </c>
      <c r="J180" s="45" cm="1">
        <f ca="1" t="array" ref="J180">IFERROR(MATCH(((产出预期!$M197-OFFSET(梦灵养成!$Q$9,MATCH(产出预期!$M197,梦灵养成!$Q$10:$Q$15,1),0))*OFFSET(梦灵养成!M$9,1+MATCH(产出预期!$M197,梦灵养成!$Q$10:$Q$15,1),0)+梦灵养成!E516+SUMPRODUCT(--(梦灵养成!$Q$10:$Q$15&lt;=产出预期!$M197),梦灵养成!M$10:M$15,梦灵养成!$P$10:$P$15))/MAX(SUMPRODUCT(--(梦灵养成!$C$10:$C$31&lt;=产出预期!$M197),--(梦灵养成!$E$10:$E$31=J$2)),1)*10,梦灵养成!AU$339:AU$387,1),0)</f>
        <v>49</v>
      </c>
      <c r="K180" s="45" cm="1">
        <f ca="1" t="array" ref="K180">IFERROR(MATCH(((产出预期!$M197-OFFSET(梦灵养成!$Q$9,MATCH(产出预期!$M197,梦灵养成!$Q$10:$Q$15,1),0))*OFFSET(梦灵养成!N$9,1+MATCH(产出预期!$M197,梦灵养成!$Q$10:$Q$15,1),0)+梦灵养成!F516+SUMPRODUCT(--(梦灵养成!$Q$10:$Q$15&lt;=产出预期!$M197),梦灵养成!N$10:N$15,梦灵养成!$P$10:$P$15))/MAX(SUMPRODUCT(--(梦灵养成!$C$10:$C$31&lt;=产出预期!$M197),--(梦灵养成!$E$10:$E$31=K$2)),1)*10,梦灵养成!AV$339:AV$387,1),0)</f>
        <v>49</v>
      </c>
      <c r="L180" s="45" cm="1">
        <f ca="1" t="array" ref="L180">IFERROR(MATCH(((产出预期!$M197-OFFSET(梦灵养成!$Q$9,MATCH(产出预期!$M197,梦灵养成!$Q$10:$Q$15,1),0))*OFFSET(梦灵养成!O$9,1+MATCH(产出预期!$M197,梦灵养成!$Q$10:$Q$15,1),0)+梦灵养成!G516+SUMPRODUCT(--(梦灵养成!$Q$10:$Q$15&lt;=产出预期!$M197),梦灵养成!O$10:O$15,梦灵养成!$P$10:$P$15))/MAX(SUMPRODUCT(--(梦灵养成!$C$10:$C$31&lt;=产出预期!$M197),--(梦灵养成!$E$10:$E$31=L$2)),1)*10,梦灵养成!AW$339:AW$388,1),0)</f>
        <v>50</v>
      </c>
      <c r="M180" s="45">
        <f ca="1">OFFSET(符文养成!$C$14,MATCH(C180,符文养成!$B$15:$B$44,1),0)</f>
        <v>30</v>
      </c>
      <c r="N180" s="45">
        <f ca="1">MATCH((产出预期!Z197*价值表!$F$53+产出预期!AA197*价值表!$F$54+产出预期!AD197*价值表!$F$57)/16/M180,符文养成!$G$15:$G$21,1)</f>
        <v>5</v>
      </c>
      <c r="O180" s="45">
        <f>MATCH(产出预期!O197,秘宝养成!$C$3:$C$14,1)</f>
        <v>11</v>
      </c>
    </row>
    <row r="181" ht="16.5" spans="2:15">
      <c r="B181" s="2">
        <v>179</v>
      </c>
      <c r="C181" s="2">
        <f ca="1">MATCH((OFFSET(产出预期!$C$3,0,产出预期!$B$1)*10+OFFSET(产出预期!$C$4,0,产出预期!$B$1)*10+OFFSET(产出预期!$C$7,0,产出预期!$B$1)*20)*B181/10*60,玩家等级!$E$3:$E$302,1)</f>
        <v>90</v>
      </c>
      <c r="D181" s="2">
        <f>MATCH(产出预期!P198/6,装备养成!$G$4:$G$303,1)</f>
        <v>128</v>
      </c>
      <c r="E181" s="2">
        <f>COUNTIF(产出预期!$R198:$Y198,"&gt;"&amp;0)</f>
        <v>8</v>
      </c>
      <c r="F181" s="2">
        <f ca="1">MATCH(OFFSET(产出预期!$R$19,B181,E181-1),装备养成!$S$4:$S$9,1)</f>
        <v>6</v>
      </c>
      <c r="G181" s="2" t="str">
        <f ca="1">OFFSET(梦灵养成!$D$9,MATCH(梦灵养成!C212,梦灵养成!$C$10:$C$28,1),0)</f>
        <v>我爱沙</v>
      </c>
      <c r="H181" s="2" t="str">
        <f ca="1">OFFSET(梦灵养成!$I$9,MATCH(梦灵养成!C212,梦灵养成!$C$10:$C$28,1),0)</f>
        <v>后羿</v>
      </c>
      <c r="I181" s="45" cm="1">
        <f ca="1" t="array" ref="I181">IFERROR(MATCH(((产出预期!$M198-OFFSET(梦灵养成!$Q$9,MATCH(产出预期!$M198,梦灵养成!$Q$10:$Q$15,1),0))*OFFSET(梦灵养成!L$9,1+MATCH(产出预期!$M198,梦灵养成!$Q$10:$Q$15,1),0)+梦灵养成!D517+SUMPRODUCT(--(梦灵养成!$Q$10:$Q$15&lt;=产出预期!$M198),梦灵养成!L$10:L$15,梦灵养成!$P$10:$P$15))/MAX(SUMPRODUCT(--(梦灵养成!$C$10:$C$31&lt;=产出预期!$M198),--(梦灵养成!$E$10:$E$31=I$2)),1)*10,梦灵养成!AT$339:AT$387,1),0)</f>
        <v>49</v>
      </c>
      <c r="J181" s="45" cm="1">
        <f ca="1" t="array" ref="J181">IFERROR(MATCH(((产出预期!$M198-OFFSET(梦灵养成!$Q$9,MATCH(产出预期!$M198,梦灵养成!$Q$10:$Q$15,1),0))*OFFSET(梦灵养成!M$9,1+MATCH(产出预期!$M198,梦灵养成!$Q$10:$Q$15,1),0)+梦灵养成!E517+SUMPRODUCT(--(梦灵养成!$Q$10:$Q$15&lt;=产出预期!$M198),梦灵养成!M$10:M$15,梦灵养成!$P$10:$P$15))/MAX(SUMPRODUCT(--(梦灵养成!$C$10:$C$31&lt;=产出预期!$M198),--(梦灵养成!$E$10:$E$31=J$2)),1)*10,梦灵养成!AU$339:AU$387,1),0)</f>
        <v>49</v>
      </c>
      <c r="K181" s="45" cm="1">
        <f ca="1" t="array" ref="K181">IFERROR(MATCH(((产出预期!$M198-OFFSET(梦灵养成!$Q$9,MATCH(产出预期!$M198,梦灵养成!$Q$10:$Q$15,1),0))*OFFSET(梦灵养成!N$9,1+MATCH(产出预期!$M198,梦灵养成!$Q$10:$Q$15,1),0)+梦灵养成!F517+SUMPRODUCT(--(梦灵养成!$Q$10:$Q$15&lt;=产出预期!$M198),梦灵养成!N$10:N$15,梦灵养成!$P$10:$P$15))/MAX(SUMPRODUCT(--(梦灵养成!$C$10:$C$31&lt;=产出预期!$M198),--(梦灵养成!$E$10:$E$31=K$2)),1)*10,梦灵养成!AV$339:AV$387,1),0)</f>
        <v>49</v>
      </c>
      <c r="L181" s="45" cm="1">
        <f ca="1" t="array" ref="L181">IFERROR(MATCH(((产出预期!$M198-OFFSET(梦灵养成!$Q$9,MATCH(产出预期!$M198,梦灵养成!$Q$10:$Q$15,1),0))*OFFSET(梦灵养成!O$9,1+MATCH(产出预期!$M198,梦灵养成!$Q$10:$Q$15,1),0)+梦灵养成!G517+SUMPRODUCT(--(梦灵养成!$Q$10:$Q$15&lt;=产出预期!$M198),梦灵养成!O$10:O$15,梦灵养成!$P$10:$P$15))/MAX(SUMPRODUCT(--(梦灵养成!$C$10:$C$31&lt;=产出预期!$M198),--(梦灵养成!$E$10:$E$31=L$2)),1)*10,梦灵养成!AW$339:AW$388,1),0)</f>
        <v>50</v>
      </c>
      <c r="M181" s="45">
        <f ca="1">OFFSET(符文养成!$C$14,MATCH(C181,符文养成!$B$15:$B$44,1),0)</f>
        <v>30</v>
      </c>
      <c r="N181" s="45">
        <f ca="1">MATCH((产出预期!Z198*价值表!$F$53+产出预期!AA198*价值表!$F$54+产出预期!AD198*价值表!$F$57)/16/M181,符文养成!$G$15:$G$21,1)</f>
        <v>5</v>
      </c>
      <c r="O181" s="45">
        <f>MATCH(产出预期!O198,秘宝养成!$C$3:$C$14,1)</f>
        <v>11</v>
      </c>
    </row>
    <row r="182" ht="16.5" spans="2:15">
      <c r="B182" s="2">
        <v>180</v>
      </c>
      <c r="C182" s="2">
        <f ca="1">MATCH((OFFSET(产出预期!$C$3,0,产出预期!$B$1)*10+OFFSET(产出预期!$C$4,0,产出预期!$B$1)*10+OFFSET(产出预期!$C$7,0,产出预期!$B$1)*20)*B182/10*60,玩家等级!$E$3:$E$302,1)</f>
        <v>90</v>
      </c>
      <c r="D182" s="2">
        <f>MATCH(产出预期!P199/6,装备养成!$G$4:$G$303,1)</f>
        <v>128</v>
      </c>
      <c r="E182" s="2">
        <f>COUNTIF(产出预期!$R199:$Y199,"&gt;"&amp;0)</f>
        <v>8</v>
      </c>
      <c r="F182" s="2">
        <f ca="1">MATCH(OFFSET(产出预期!$R$19,B182,E182-1),装备养成!$S$4:$S$9,1)</f>
        <v>6</v>
      </c>
      <c r="G182" s="2" t="str">
        <f ca="1">OFFSET(梦灵养成!$D$9,MATCH(梦灵养成!C213,梦灵养成!$C$10:$C$28,1),0)</f>
        <v>我爱沙</v>
      </c>
      <c r="H182" s="2" t="str">
        <f ca="1">OFFSET(梦灵养成!$I$9,MATCH(梦灵养成!C213,梦灵养成!$C$10:$C$28,1),0)</f>
        <v>后羿</v>
      </c>
      <c r="I182" s="45" cm="1">
        <f ca="1" t="array" ref="I182">IFERROR(MATCH(((产出预期!$M199-OFFSET(梦灵养成!$Q$9,MATCH(产出预期!$M199,梦灵养成!$Q$10:$Q$15,1),0))*OFFSET(梦灵养成!L$9,1+MATCH(产出预期!$M199,梦灵养成!$Q$10:$Q$15,1),0)+梦灵养成!D518+SUMPRODUCT(--(梦灵养成!$Q$10:$Q$15&lt;=产出预期!$M199),梦灵养成!L$10:L$15,梦灵养成!$P$10:$P$15))/MAX(SUMPRODUCT(--(梦灵养成!$C$10:$C$31&lt;=产出预期!$M199),--(梦灵养成!$E$10:$E$31=I$2)),1)*10,梦灵养成!AT$339:AT$387,1),0)</f>
        <v>49</v>
      </c>
      <c r="J182" s="45" cm="1">
        <f ca="1" t="array" ref="J182">IFERROR(MATCH(((产出预期!$M199-OFFSET(梦灵养成!$Q$9,MATCH(产出预期!$M199,梦灵养成!$Q$10:$Q$15,1),0))*OFFSET(梦灵养成!M$9,1+MATCH(产出预期!$M199,梦灵养成!$Q$10:$Q$15,1),0)+梦灵养成!E518+SUMPRODUCT(--(梦灵养成!$Q$10:$Q$15&lt;=产出预期!$M199),梦灵养成!M$10:M$15,梦灵养成!$P$10:$P$15))/MAX(SUMPRODUCT(--(梦灵养成!$C$10:$C$31&lt;=产出预期!$M199),--(梦灵养成!$E$10:$E$31=J$2)),1)*10,梦灵养成!AU$339:AU$387,1),0)</f>
        <v>49</v>
      </c>
      <c r="K182" s="45" cm="1">
        <f ca="1" t="array" ref="K182">IFERROR(MATCH(((产出预期!$M199-OFFSET(梦灵养成!$Q$9,MATCH(产出预期!$M199,梦灵养成!$Q$10:$Q$15,1),0))*OFFSET(梦灵养成!N$9,1+MATCH(产出预期!$M199,梦灵养成!$Q$10:$Q$15,1),0)+梦灵养成!F518+SUMPRODUCT(--(梦灵养成!$Q$10:$Q$15&lt;=产出预期!$M199),梦灵养成!N$10:N$15,梦灵养成!$P$10:$P$15))/MAX(SUMPRODUCT(--(梦灵养成!$C$10:$C$31&lt;=产出预期!$M199),--(梦灵养成!$E$10:$E$31=K$2)),1)*10,梦灵养成!AV$339:AV$387,1),0)</f>
        <v>49</v>
      </c>
      <c r="L182" s="45" cm="1">
        <f ca="1" t="array" ref="L182">IFERROR(MATCH(((产出预期!$M199-OFFSET(梦灵养成!$Q$9,MATCH(产出预期!$M199,梦灵养成!$Q$10:$Q$15,1),0))*OFFSET(梦灵养成!O$9,1+MATCH(产出预期!$M199,梦灵养成!$Q$10:$Q$15,1),0)+梦灵养成!G518+SUMPRODUCT(--(梦灵养成!$Q$10:$Q$15&lt;=产出预期!$M199),梦灵养成!O$10:O$15,梦灵养成!$P$10:$P$15))/MAX(SUMPRODUCT(--(梦灵养成!$C$10:$C$31&lt;=产出预期!$M199),--(梦灵养成!$E$10:$E$31=L$2)),1)*10,梦灵养成!AW$339:AW$388,1),0)</f>
        <v>50</v>
      </c>
      <c r="M182" s="45">
        <f ca="1">OFFSET(符文养成!$C$14,MATCH(C182,符文养成!$B$15:$B$44,1),0)</f>
        <v>30</v>
      </c>
      <c r="N182" s="45">
        <f ca="1">MATCH((产出预期!Z199*价值表!$F$53+产出预期!AA199*价值表!$F$54+产出预期!AD199*价值表!$F$57)/16/M182,符文养成!$G$15:$G$21,1)</f>
        <v>5</v>
      </c>
      <c r="O182" s="45">
        <f>MATCH(产出预期!O199,秘宝养成!$C$3:$C$14,1)</f>
        <v>11</v>
      </c>
    </row>
    <row r="183" ht="16.5" spans="2:15">
      <c r="B183" s="2">
        <v>181</v>
      </c>
      <c r="C183" s="2">
        <f ca="1">MATCH((OFFSET(产出预期!$C$3,0,产出预期!$B$1)*10+OFFSET(产出预期!$C$4,0,产出预期!$B$1)*10+OFFSET(产出预期!$C$7,0,产出预期!$B$1)*20)*B183/10*60,玩家等级!$E$3:$E$302,1)</f>
        <v>90</v>
      </c>
      <c r="D183" s="2">
        <f>MATCH(产出预期!P200/6,装备养成!$G$4:$G$303,1)</f>
        <v>129</v>
      </c>
      <c r="E183" s="2">
        <f>COUNTIF(产出预期!$R200:$Y200,"&gt;"&amp;0)</f>
        <v>8</v>
      </c>
      <c r="F183" s="2">
        <f ca="1">MATCH(OFFSET(产出预期!$R$19,B183,E183-1),装备养成!$S$4:$S$9,1)</f>
        <v>6</v>
      </c>
      <c r="G183" s="2" t="str">
        <f ca="1">OFFSET(梦灵养成!$D$9,MATCH(梦灵养成!C214,梦灵养成!$C$10:$C$28,1),0)</f>
        <v>我爱沙</v>
      </c>
      <c r="H183" s="2" t="str">
        <f ca="1">OFFSET(梦灵养成!$I$9,MATCH(梦灵养成!C214,梦灵养成!$C$10:$C$28,1),0)</f>
        <v>后羿</v>
      </c>
      <c r="I183" s="45" cm="1">
        <f ca="1" t="array" ref="I183">IFERROR(MATCH(((产出预期!$M200-OFFSET(梦灵养成!$Q$9,MATCH(产出预期!$M200,梦灵养成!$Q$10:$Q$15,1),0))*OFFSET(梦灵养成!L$9,1+MATCH(产出预期!$M200,梦灵养成!$Q$10:$Q$15,1),0)+梦灵养成!D519+SUMPRODUCT(--(梦灵养成!$Q$10:$Q$15&lt;=产出预期!$M200),梦灵养成!L$10:L$15,梦灵养成!$P$10:$P$15))/MAX(SUMPRODUCT(--(梦灵养成!$C$10:$C$31&lt;=产出预期!$M200),--(梦灵养成!$E$10:$E$31=I$2)),1)*10,梦灵养成!AT$339:AT$387,1),0)</f>
        <v>49</v>
      </c>
      <c r="J183" s="45" cm="1">
        <f ca="1" t="array" ref="J183">IFERROR(MATCH(((产出预期!$M200-OFFSET(梦灵养成!$Q$9,MATCH(产出预期!$M200,梦灵养成!$Q$10:$Q$15,1),0))*OFFSET(梦灵养成!M$9,1+MATCH(产出预期!$M200,梦灵养成!$Q$10:$Q$15,1),0)+梦灵养成!E519+SUMPRODUCT(--(梦灵养成!$Q$10:$Q$15&lt;=产出预期!$M200),梦灵养成!M$10:M$15,梦灵养成!$P$10:$P$15))/MAX(SUMPRODUCT(--(梦灵养成!$C$10:$C$31&lt;=产出预期!$M200),--(梦灵养成!$E$10:$E$31=J$2)),1)*10,梦灵养成!AU$339:AU$387,1),0)</f>
        <v>49</v>
      </c>
      <c r="K183" s="45" cm="1">
        <f ca="1" t="array" ref="K183">IFERROR(MATCH(((产出预期!$M200-OFFSET(梦灵养成!$Q$9,MATCH(产出预期!$M200,梦灵养成!$Q$10:$Q$15,1),0))*OFFSET(梦灵养成!N$9,1+MATCH(产出预期!$M200,梦灵养成!$Q$10:$Q$15,1),0)+梦灵养成!F519+SUMPRODUCT(--(梦灵养成!$Q$10:$Q$15&lt;=产出预期!$M200),梦灵养成!N$10:N$15,梦灵养成!$P$10:$P$15))/MAX(SUMPRODUCT(--(梦灵养成!$C$10:$C$31&lt;=产出预期!$M200),--(梦灵养成!$E$10:$E$31=K$2)),1)*10,梦灵养成!AV$339:AV$387,1),0)</f>
        <v>49</v>
      </c>
      <c r="L183" s="45" cm="1">
        <f ca="1" t="array" ref="L183">IFERROR(MATCH(((产出预期!$M200-OFFSET(梦灵养成!$Q$9,MATCH(产出预期!$M200,梦灵养成!$Q$10:$Q$15,1),0))*OFFSET(梦灵养成!O$9,1+MATCH(产出预期!$M200,梦灵养成!$Q$10:$Q$15,1),0)+梦灵养成!G519+SUMPRODUCT(--(梦灵养成!$Q$10:$Q$15&lt;=产出预期!$M200),梦灵养成!O$10:O$15,梦灵养成!$P$10:$P$15))/MAX(SUMPRODUCT(--(梦灵养成!$C$10:$C$31&lt;=产出预期!$M200),--(梦灵养成!$E$10:$E$31=L$2)),1)*10,梦灵养成!AW$339:AW$388,1),0)</f>
        <v>50</v>
      </c>
      <c r="M183" s="45">
        <f ca="1">OFFSET(符文养成!$C$14,MATCH(C183,符文养成!$B$15:$B$44,1),0)</f>
        <v>30</v>
      </c>
      <c r="N183" s="45">
        <f ca="1">MATCH((产出预期!Z200*价值表!$F$53+产出预期!AA200*价值表!$F$54+产出预期!AD200*价值表!$F$57)/16/M183,符文养成!$G$15:$G$21,1)</f>
        <v>5</v>
      </c>
      <c r="O183" s="45">
        <f>MATCH(产出预期!O200,秘宝养成!$C$3:$C$14,1)</f>
        <v>11</v>
      </c>
    </row>
    <row r="184" ht="16.5" spans="2:15">
      <c r="B184" s="2">
        <v>182</v>
      </c>
      <c r="C184" s="2">
        <f ca="1">MATCH((OFFSET(产出预期!$C$3,0,产出预期!$B$1)*10+OFFSET(产出预期!$C$4,0,产出预期!$B$1)*10+OFFSET(产出预期!$C$7,0,产出预期!$B$1)*20)*B184/10*60,玩家等级!$E$3:$E$302,1)</f>
        <v>90</v>
      </c>
      <c r="D184" s="2">
        <f>MATCH(产出预期!P201/6,装备养成!$G$4:$G$303,1)</f>
        <v>129</v>
      </c>
      <c r="E184" s="2">
        <f>COUNTIF(产出预期!$R201:$Y201,"&gt;"&amp;0)</f>
        <v>8</v>
      </c>
      <c r="F184" s="2">
        <f ca="1">MATCH(OFFSET(产出预期!$R$19,B184,E184-1),装备养成!$S$4:$S$9,1)</f>
        <v>6</v>
      </c>
      <c r="G184" s="2" t="str">
        <f ca="1">OFFSET(梦灵养成!$D$9,MATCH(梦灵养成!C215,梦灵养成!$C$10:$C$28,1),0)</f>
        <v>我爱沙</v>
      </c>
      <c r="H184" s="2" t="str">
        <f ca="1">OFFSET(梦灵养成!$I$9,MATCH(梦灵养成!C215,梦灵养成!$C$10:$C$28,1),0)</f>
        <v>后羿</v>
      </c>
      <c r="I184" s="45" cm="1">
        <f ca="1" t="array" ref="I184">IFERROR(MATCH(((产出预期!$M201-OFFSET(梦灵养成!$Q$9,MATCH(产出预期!$M201,梦灵养成!$Q$10:$Q$15,1),0))*OFFSET(梦灵养成!L$9,1+MATCH(产出预期!$M201,梦灵养成!$Q$10:$Q$15,1),0)+梦灵养成!D520+SUMPRODUCT(--(梦灵养成!$Q$10:$Q$15&lt;=产出预期!$M201),梦灵养成!L$10:L$15,梦灵养成!$P$10:$P$15))/MAX(SUMPRODUCT(--(梦灵养成!$C$10:$C$31&lt;=产出预期!$M201),--(梦灵养成!$E$10:$E$31=I$2)),1)*10,梦灵养成!AT$339:AT$387,1),0)</f>
        <v>49</v>
      </c>
      <c r="J184" s="45" cm="1">
        <f ca="1" t="array" ref="J184">IFERROR(MATCH(((产出预期!$M201-OFFSET(梦灵养成!$Q$9,MATCH(产出预期!$M201,梦灵养成!$Q$10:$Q$15,1),0))*OFFSET(梦灵养成!M$9,1+MATCH(产出预期!$M201,梦灵养成!$Q$10:$Q$15,1),0)+梦灵养成!E520+SUMPRODUCT(--(梦灵养成!$Q$10:$Q$15&lt;=产出预期!$M201),梦灵养成!M$10:M$15,梦灵养成!$P$10:$P$15))/MAX(SUMPRODUCT(--(梦灵养成!$C$10:$C$31&lt;=产出预期!$M201),--(梦灵养成!$E$10:$E$31=J$2)),1)*10,梦灵养成!AU$339:AU$387,1),0)</f>
        <v>49</v>
      </c>
      <c r="K184" s="45" cm="1">
        <f ca="1" t="array" ref="K184">IFERROR(MATCH(((产出预期!$M201-OFFSET(梦灵养成!$Q$9,MATCH(产出预期!$M201,梦灵养成!$Q$10:$Q$15,1),0))*OFFSET(梦灵养成!N$9,1+MATCH(产出预期!$M201,梦灵养成!$Q$10:$Q$15,1),0)+梦灵养成!F520+SUMPRODUCT(--(梦灵养成!$Q$10:$Q$15&lt;=产出预期!$M201),梦灵养成!N$10:N$15,梦灵养成!$P$10:$P$15))/MAX(SUMPRODUCT(--(梦灵养成!$C$10:$C$31&lt;=产出预期!$M201),--(梦灵养成!$E$10:$E$31=K$2)),1)*10,梦灵养成!AV$339:AV$387,1),0)</f>
        <v>49</v>
      </c>
      <c r="L184" s="45" cm="1">
        <f ca="1" t="array" ref="L184">IFERROR(MATCH(((产出预期!$M201-OFFSET(梦灵养成!$Q$9,MATCH(产出预期!$M201,梦灵养成!$Q$10:$Q$15,1),0))*OFFSET(梦灵养成!O$9,1+MATCH(产出预期!$M201,梦灵养成!$Q$10:$Q$15,1),0)+梦灵养成!G520+SUMPRODUCT(--(梦灵养成!$Q$10:$Q$15&lt;=产出预期!$M201),梦灵养成!O$10:O$15,梦灵养成!$P$10:$P$15))/MAX(SUMPRODUCT(--(梦灵养成!$C$10:$C$31&lt;=产出预期!$M201),--(梦灵养成!$E$10:$E$31=L$2)),1)*10,梦灵养成!AW$339:AW$388,1),0)</f>
        <v>50</v>
      </c>
      <c r="M184" s="45">
        <f ca="1">OFFSET(符文养成!$C$14,MATCH(C184,符文养成!$B$15:$B$44,1),0)</f>
        <v>30</v>
      </c>
      <c r="N184" s="45">
        <f ca="1">MATCH((产出预期!Z201*价值表!$F$53+产出预期!AA201*价值表!$F$54+产出预期!AD201*价值表!$F$57)/16/M184,符文养成!$G$15:$G$21,1)</f>
        <v>5</v>
      </c>
      <c r="O184" s="45">
        <f>MATCH(产出预期!O201,秘宝养成!$C$3:$C$14,1)</f>
        <v>11</v>
      </c>
    </row>
    <row r="185" ht="16.5" spans="2:15">
      <c r="B185" s="2">
        <v>183</v>
      </c>
      <c r="C185" s="2">
        <f ca="1">MATCH((OFFSET(产出预期!$C$3,0,产出预期!$B$1)*10+OFFSET(产出预期!$C$4,0,产出预期!$B$1)*10+OFFSET(产出预期!$C$7,0,产出预期!$B$1)*20)*B185/10*60,玩家等级!$E$3:$E$302,1)</f>
        <v>90</v>
      </c>
      <c r="D185" s="2">
        <f>MATCH(产出预期!P202/6,装备养成!$G$4:$G$303,1)</f>
        <v>129</v>
      </c>
      <c r="E185" s="2">
        <f>COUNTIF(产出预期!$R202:$Y202,"&gt;"&amp;0)</f>
        <v>8</v>
      </c>
      <c r="F185" s="2">
        <f ca="1">MATCH(OFFSET(产出预期!$R$19,B185,E185-1),装备养成!$S$4:$S$9,1)</f>
        <v>6</v>
      </c>
      <c r="G185" s="2" t="str">
        <f ca="1">OFFSET(梦灵养成!$D$9,MATCH(梦灵养成!C216,梦灵养成!$C$10:$C$28,1),0)</f>
        <v>我爱沙</v>
      </c>
      <c r="H185" s="2" t="str">
        <f ca="1">OFFSET(梦灵养成!$I$9,MATCH(梦灵养成!C216,梦灵养成!$C$10:$C$28,1),0)</f>
        <v>后羿</v>
      </c>
      <c r="I185" s="45" cm="1">
        <f ca="1" t="array" ref="I185">IFERROR(MATCH(((产出预期!$M202-OFFSET(梦灵养成!$Q$9,MATCH(产出预期!$M202,梦灵养成!$Q$10:$Q$15,1),0))*OFFSET(梦灵养成!L$9,1+MATCH(产出预期!$M202,梦灵养成!$Q$10:$Q$15,1),0)+梦灵养成!D521+SUMPRODUCT(--(梦灵养成!$Q$10:$Q$15&lt;=产出预期!$M202),梦灵养成!L$10:L$15,梦灵养成!$P$10:$P$15))/MAX(SUMPRODUCT(--(梦灵养成!$C$10:$C$31&lt;=产出预期!$M202),--(梦灵养成!$E$10:$E$31=I$2)),1)*10,梦灵养成!AT$339:AT$387,1),0)</f>
        <v>49</v>
      </c>
      <c r="J185" s="45" cm="1">
        <f ca="1" t="array" ref="J185">IFERROR(MATCH(((产出预期!$M202-OFFSET(梦灵养成!$Q$9,MATCH(产出预期!$M202,梦灵养成!$Q$10:$Q$15,1),0))*OFFSET(梦灵养成!M$9,1+MATCH(产出预期!$M202,梦灵养成!$Q$10:$Q$15,1),0)+梦灵养成!E521+SUMPRODUCT(--(梦灵养成!$Q$10:$Q$15&lt;=产出预期!$M202),梦灵养成!M$10:M$15,梦灵养成!$P$10:$P$15))/MAX(SUMPRODUCT(--(梦灵养成!$C$10:$C$31&lt;=产出预期!$M202),--(梦灵养成!$E$10:$E$31=J$2)),1)*10,梦灵养成!AU$339:AU$387,1),0)</f>
        <v>49</v>
      </c>
      <c r="K185" s="45" cm="1">
        <f ca="1" t="array" ref="K185">IFERROR(MATCH(((产出预期!$M202-OFFSET(梦灵养成!$Q$9,MATCH(产出预期!$M202,梦灵养成!$Q$10:$Q$15,1),0))*OFFSET(梦灵养成!N$9,1+MATCH(产出预期!$M202,梦灵养成!$Q$10:$Q$15,1),0)+梦灵养成!F521+SUMPRODUCT(--(梦灵养成!$Q$10:$Q$15&lt;=产出预期!$M202),梦灵养成!N$10:N$15,梦灵养成!$P$10:$P$15))/MAX(SUMPRODUCT(--(梦灵养成!$C$10:$C$31&lt;=产出预期!$M202),--(梦灵养成!$E$10:$E$31=K$2)),1)*10,梦灵养成!AV$339:AV$387,1),0)</f>
        <v>49</v>
      </c>
      <c r="L185" s="45" cm="1">
        <f ca="1" t="array" ref="L185">IFERROR(MATCH(((产出预期!$M202-OFFSET(梦灵养成!$Q$9,MATCH(产出预期!$M202,梦灵养成!$Q$10:$Q$15,1),0))*OFFSET(梦灵养成!O$9,1+MATCH(产出预期!$M202,梦灵养成!$Q$10:$Q$15,1),0)+梦灵养成!G521+SUMPRODUCT(--(梦灵养成!$Q$10:$Q$15&lt;=产出预期!$M202),梦灵养成!O$10:O$15,梦灵养成!$P$10:$P$15))/MAX(SUMPRODUCT(--(梦灵养成!$C$10:$C$31&lt;=产出预期!$M202),--(梦灵养成!$E$10:$E$31=L$2)),1)*10,梦灵养成!AW$339:AW$388,1),0)</f>
        <v>50</v>
      </c>
      <c r="M185" s="45">
        <f ca="1">OFFSET(符文养成!$C$14,MATCH(C185,符文养成!$B$15:$B$44,1),0)</f>
        <v>30</v>
      </c>
      <c r="N185" s="45">
        <f ca="1">MATCH((产出预期!Z202*价值表!$F$53+产出预期!AA202*价值表!$F$54+产出预期!AD202*价值表!$F$57)/16/M185,符文养成!$G$15:$G$21,1)</f>
        <v>5</v>
      </c>
      <c r="O185" s="45">
        <f>MATCH(产出预期!O202,秘宝养成!$C$3:$C$14,1)</f>
        <v>11</v>
      </c>
    </row>
    <row r="186" ht="16.5" spans="2:15">
      <c r="B186" s="2">
        <v>184</v>
      </c>
      <c r="C186" s="2">
        <f ca="1">MATCH((OFFSET(产出预期!$C$3,0,产出预期!$B$1)*10+OFFSET(产出预期!$C$4,0,产出预期!$B$1)*10+OFFSET(产出预期!$C$7,0,产出预期!$B$1)*20)*B186/10*60,玩家等级!$E$3:$E$302,1)</f>
        <v>90</v>
      </c>
      <c r="D186" s="2">
        <f>MATCH(产出预期!P203/6,装备养成!$G$4:$G$303,1)</f>
        <v>130</v>
      </c>
      <c r="E186" s="2">
        <f>COUNTIF(产出预期!$R203:$Y203,"&gt;"&amp;0)</f>
        <v>8</v>
      </c>
      <c r="F186" s="2">
        <f ca="1">MATCH(OFFSET(产出预期!$R$19,B186,E186-1),装备养成!$S$4:$S$9,1)</f>
        <v>6</v>
      </c>
      <c r="G186" s="2" t="str">
        <f ca="1">OFFSET(梦灵养成!$D$9,MATCH(梦灵养成!C217,梦灵养成!$C$10:$C$28,1),0)</f>
        <v>我爱沙</v>
      </c>
      <c r="H186" s="2" t="str">
        <f ca="1">OFFSET(梦灵养成!$I$9,MATCH(梦灵养成!C217,梦灵养成!$C$10:$C$28,1),0)</f>
        <v>后羿</v>
      </c>
      <c r="I186" s="45" cm="1">
        <f ca="1" t="array" ref="I186">IFERROR(MATCH(((产出预期!$M203-OFFSET(梦灵养成!$Q$9,MATCH(产出预期!$M203,梦灵养成!$Q$10:$Q$15,1),0))*OFFSET(梦灵养成!L$9,1+MATCH(产出预期!$M203,梦灵养成!$Q$10:$Q$15,1),0)+梦灵养成!D522+SUMPRODUCT(--(梦灵养成!$Q$10:$Q$15&lt;=产出预期!$M203),梦灵养成!L$10:L$15,梦灵养成!$P$10:$P$15))/MAX(SUMPRODUCT(--(梦灵养成!$C$10:$C$31&lt;=产出预期!$M203),--(梦灵养成!$E$10:$E$31=I$2)),1)*10,梦灵养成!AT$339:AT$387,1),0)</f>
        <v>49</v>
      </c>
      <c r="J186" s="45" cm="1">
        <f ca="1" t="array" ref="J186">IFERROR(MATCH(((产出预期!$M203-OFFSET(梦灵养成!$Q$9,MATCH(产出预期!$M203,梦灵养成!$Q$10:$Q$15,1),0))*OFFSET(梦灵养成!M$9,1+MATCH(产出预期!$M203,梦灵养成!$Q$10:$Q$15,1),0)+梦灵养成!E522+SUMPRODUCT(--(梦灵养成!$Q$10:$Q$15&lt;=产出预期!$M203),梦灵养成!M$10:M$15,梦灵养成!$P$10:$P$15))/MAX(SUMPRODUCT(--(梦灵养成!$C$10:$C$31&lt;=产出预期!$M203),--(梦灵养成!$E$10:$E$31=J$2)),1)*10,梦灵养成!AU$339:AU$387,1),0)</f>
        <v>49</v>
      </c>
      <c r="K186" s="45" cm="1">
        <f ca="1" t="array" ref="K186">IFERROR(MATCH(((产出预期!$M203-OFFSET(梦灵养成!$Q$9,MATCH(产出预期!$M203,梦灵养成!$Q$10:$Q$15,1),0))*OFFSET(梦灵养成!N$9,1+MATCH(产出预期!$M203,梦灵养成!$Q$10:$Q$15,1),0)+梦灵养成!F522+SUMPRODUCT(--(梦灵养成!$Q$10:$Q$15&lt;=产出预期!$M203),梦灵养成!N$10:N$15,梦灵养成!$P$10:$P$15))/MAX(SUMPRODUCT(--(梦灵养成!$C$10:$C$31&lt;=产出预期!$M203),--(梦灵养成!$E$10:$E$31=K$2)),1)*10,梦灵养成!AV$339:AV$387,1),0)</f>
        <v>49</v>
      </c>
      <c r="L186" s="45" cm="1">
        <f ca="1" t="array" ref="L186">IFERROR(MATCH(((产出预期!$M203-OFFSET(梦灵养成!$Q$9,MATCH(产出预期!$M203,梦灵养成!$Q$10:$Q$15,1),0))*OFFSET(梦灵养成!O$9,1+MATCH(产出预期!$M203,梦灵养成!$Q$10:$Q$15,1),0)+梦灵养成!G522+SUMPRODUCT(--(梦灵养成!$Q$10:$Q$15&lt;=产出预期!$M203),梦灵养成!O$10:O$15,梦灵养成!$P$10:$P$15))/MAX(SUMPRODUCT(--(梦灵养成!$C$10:$C$31&lt;=产出预期!$M203),--(梦灵养成!$E$10:$E$31=L$2)),1)*10,梦灵养成!AW$339:AW$388,1),0)</f>
        <v>50</v>
      </c>
      <c r="M186" s="45">
        <f ca="1">OFFSET(符文养成!$C$14,MATCH(C186,符文养成!$B$15:$B$44,1),0)</f>
        <v>30</v>
      </c>
      <c r="N186" s="45">
        <f ca="1">MATCH((产出预期!Z203*价值表!$F$53+产出预期!AA203*价值表!$F$54+产出预期!AD203*价值表!$F$57)/16/M186,符文养成!$G$15:$G$21,1)</f>
        <v>5</v>
      </c>
      <c r="O186" s="45">
        <f>MATCH(产出预期!O203,秘宝养成!$C$3:$C$14,1)</f>
        <v>11</v>
      </c>
    </row>
    <row r="187" ht="16.5" spans="2:15">
      <c r="B187" s="2">
        <v>185</v>
      </c>
      <c r="C187" s="2">
        <f ca="1">MATCH((OFFSET(产出预期!$C$3,0,产出预期!$B$1)*10+OFFSET(产出预期!$C$4,0,产出预期!$B$1)*10+OFFSET(产出预期!$C$7,0,产出预期!$B$1)*20)*B187/10*60,玩家等级!$E$3:$E$302,1)</f>
        <v>91</v>
      </c>
      <c r="D187" s="2">
        <f>MATCH(产出预期!P204/6,装备养成!$G$4:$G$303,1)</f>
        <v>130</v>
      </c>
      <c r="E187" s="2">
        <f>COUNTIF(产出预期!$R204:$Y204,"&gt;"&amp;0)</f>
        <v>8</v>
      </c>
      <c r="F187" s="2">
        <f ca="1">MATCH(OFFSET(产出预期!$R$19,B187,E187-1),装备养成!$S$4:$S$9,1)</f>
        <v>6</v>
      </c>
      <c r="G187" s="2" t="str">
        <f ca="1">OFFSET(梦灵养成!$D$9,MATCH(梦灵养成!C218,梦灵养成!$C$10:$C$28,1),0)</f>
        <v>我爱沙</v>
      </c>
      <c r="H187" s="2" t="str">
        <f ca="1">OFFSET(梦灵养成!$I$9,MATCH(梦灵养成!C218,梦灵养成!$C$10:$C$28,1),0)</f>
        <v>后羿</v>
      </c>
      <c r="I187" s="45" cm="1">
        <f ca="1" t="array" ref="I187">IFERROR(MATCH(((产出预期!$M204-OFFSET(梦灵养成!$Q$9,MATCH(产出预期!$M204,梦灵养成!$Q$10:$Q$15,1),0))*OFFSET(梦灵养成!L$9,1+MATCH(产出预期!$M204,梦灵养成!$Q$10:$Q$15,1),0)+梦灵养成!D523+SUMPRODUCT(--(梦灵养成!$Q$10:$Q$15&lt;=产出预期!$M204),梦灵养成!L$10:L$15,梦灵养成!$P$10:$P$15))/MAX(SUMPRODUCT(--(梦灵养成!$C$10:$C$31&lt;=产出预期!$M204),--(梦灵养成!$E$10:$E$31=I$2)),1)*10,梦灵养成!AT$339:AT$387,1),0)</f>
        <v>49</v>
      </c>
      <c r="J187" s="45" cm="1">
        <f ca="1" t="array" ref="J187">IFERROR(MATCH(((产出预期!$M204-OFFSET(梦灵养成!$Q$9,MATCH(产出预期!$M204,梦灵养成!$Q$10:$Q$15,1),0))*OFFSET(梦灵养成!M$9,1+MATCH(产出预期!$M204,梦灵养成!$Q$10:$Q$15,1),0)+梦灵养成!E523+SUMPRODUCT(--(梦灵养成!$Q$10:$Q$15&lt;=产出预期!$M204),梦灵养成!M$10:M$15,梦灵养成!$P$10:$P$15))/MAX(SUMPRODUCT(--(梦灵养成!$C$10:$C$31&lt;=产出预期!$M204),--(梦灵养成!$E$10:$E$31=J$2)),1)*10,梦灵养成!AU$339:AU$387,1),0)</f>
        <v>49</v>
      </c>
      <c r="K187" s="45" cm="1">
        <f ca="1" t="array" ref="K187">IFERROR(MATCH(((产出预期!$M204-OFFSET(梦灵养成!$Q$9,MATCH(产出预期!$M204,梦灵养成!$Q$10:$Q$15,1),0))*OFFSET(梦灵养成!N$9,1+MATCH(产出预期!$M204,梦灵养成!$Q$10:$Q$15,1),0)+梦灵养成!F523+SUMPRODUCT(--(梦灵养成!$Q$10:$Q$15&lt;=产出预期!$M204),梦灵养成!N$10:N$15,梦灵养成!$P$10:$P$15))/MAX(SUMPRODUCT(--(梦灵养成!$C$10:$C$31&lt;=产出预期!$M204),--(梦灵养成!$E$10:$E$31=K$2)),1)*10,梦灵养成!AV$339:AV$387,1),0)</f>
        <v>49</v>
      </c>
      <c r="L187" s="45" cm="1">
        <f ca="1" t="array" ref="L187">IFERROR(MATCH(((产出预期!$M204-OFFSET(梦灵养成!$Q$9,MATCH(产出预期!$M204,梦灵养成!$Q$10:$Q$15,1),0))*OFFSET(梦灵养成!O$9,1+MATCH(产出预期!$M204,梦灵养成!$Q$10:$Q$15,1),0)+梦灵养成!G523+SUMPRODUCT(--(梦灵养成!$Q$10:$Q$15&lt;=产出预期!$M204),梦灵养成!O$10:O$15,梦灵养成!$P$10:$P$15))/MAX(SUMPRODUCT(--(梦灵养成!$C$10:$C$31&lt;=产出预期!$M204),--(梦灵养成!$E$10:$E$31=L$2)),1)*10,梦灵养成!AW$339:AW$388,1),0)</f>
        <v>50</v>
      </c>
      <c r="M187" s="45">
        <f ca="1">OFFSET(符文养成!$C$14,MATCH(C187,符文养成!$B$15:$B$44,1),0)</f>
        <v>30</v>
      </c>
      <c r="N187" s="45">
        <f ca="1">MATCH((产出预期!Z204*价值表!$F$53+产出预期!AA204*价值表!$F$54+产出预期!AD204*价值表!$F$57)/16/M187,符文养成!$G$15:$G$21,1)</f>
        <v>5</v>
      </c>
      <c r="O187" s="45">
        <f>MATCH(产出预期!O204,秘宝养成!$C$3:$C$14,1)</f>
        <v>11</v>
      </c>
    </row>
    <row r="188" ht="16.5" spans="2:15">
      <c r="B188" s="2">
        <v>186</v>
      </c>
      <c r="C188" s="2">
        <f ca="1">MATCH((OFFSET(产出预期!$C$3,0,产出预期!$B$1)*10+OFFSET(产出预期!$C$4,0,产出预期!$B$1)*10+OFFSET(产出预期!$C$7,0,产出预期!$B$1)*20)*B188/10*60,玩家等级!$E$3:$E$302,1)</f>
        <v>91</v>
      </c>
      <c r="D188" s="2">
        <f>MATCH(产出预期!P205/6,装备养成!$G$4:$G$303,1)</f>
        <v>130</v>
      </c>
      <c r="E188" s="2">
        <f>COUNTIF(产出预期!$R205:$Y205,"&gt;"&amp;0)</f>
        <v>8</v>
      </c>
      <c r="F188" s="2">
        <f ca="1">MATCH(OFFSET(产出预期!$R$19,B188,E188-1),装备养成!$S$4:$S$9,1)</f>
        <v>6</v>
      </c>
      <c r="G188" s="2" t="str">
        <f ca="1">OFFSET(梦灵养成!$D$9,MATCH(梦灵养成!C219,梦灵养成!$C$10:$C$28,1),0)</f>
        <v>我爱沙</v>
      </c>
      <c r="H188" s="2" t="str">
        <f ca="1">OFFSET(梦灵养成!$I$9,MATCH(梦灵养成!C219,梦灵养成!$C$10:$C$28,1),0)</f>
        <v>后羿</v>
      </c>
      <c r="I188" s="45" cm="1">
        <f ca="1" t="array" ref="I188">IFERROR(MATCH(((产出预期!$M205-OFFSET(梦灵养成!$Q$9,MATCH(产出预期!$M205,梦灵养成!$Q$10:$Q$15,1),0))*OFFSET(梦灵养成!L$9,1+MATCH(产出预期!$M205,梦灵养成!$Q$10:$Q$15,1),0)+梦灵养成!D524+SUMPRODUCT(--(梦灵养成!$Q$10:$Q$15&lt;=产出预期!$M205),梦灵养成!L$10:L$15,梦灵养成!$P$10:$P$15))/MAX(SUMPRODUCT(--(梦灵养成!$C$10:$C$31&lt;=产出预期!$M205),--(梦灵养成!$E$10:$E$31=I$2)),1)*10,梦灵养成!AT$339:AT$387,1),0)</f>
        <v>49</v>
      </c>
      <c r="J188" s="45" cm="1">
        <f ca="1" t="array" ref="J188">IFERROR(MATCH(((产出预期!$M205-OFFSET(梦灵养成!$Q$9,MATCH(产出预期!$M205,梦灵养成!$Q$10:$Q$15,1),0))*OFFSET(梦灵养成!M$9,1+MATCH(产出预期!$M205,梦灵养成!$Q$10:$Q$15,1),0)+梦灵养成!E524+SUMPRODUCT(--(梦灵养成!$Q$10:$Q$15&lt;=产出预期!$M205),梦灵养成!M$10:M$15,梦灵养成!$P$10:$P$15))/MAX(SUMPRODUCT(--(梦灵养成!$C$10:$C$31&lt;=产出预期!$M205),--(梦灵养成!$E$10:$E$31=J$2)),1)*10,梦灵养成!AU$339:AU$387,1),0)</f>
        <v>49</v>
      </c>
      <c r="K188" s="45" cm="1">
        <f ca="1" t="array" ref="K188">IFERROR(MATCH(((产出预期!$M205-OFFSET(梦灵养成!$Q$9,MATCH(产出预期!$M205,梦灵养成!$Q$10:$Q$15,1),0))*OFFSET(梦灵养成!N$9,1+MATCH(产出预期!$M205,梦灵养成!$Q$10:$Q$15,1),0)+梦灵养成!F524+SUMPRODUCT(--(梦灵养成!$Q$10:$Q$15&lt;=产出预期!$M205),梦灵养成!N$10:N$15,梦灵养成!$P$10:$P$15))/MAX(SUMPRODUCT(--(梦灵养成!$C$10:$C$31&lt;=产出预期!$M205),--(梦灵养成!$E$10:$E$31=K$2)),1)*10,梦灵养成!AV$339:AV$387,1),0)</f>
        <v>49</v>
      </c>
      <c r="L188" s="45" cm="1">
        <f ca="1" t="array" ref="L188">IFERROR(MATCH(((产出预期!$M205-OFFSET(梦灵养成!$Q$9,MATCH(产出预期!$M205,梦灵养成!$Q$10:$Q$15,1),0))*OFFSET(梦灵养成!O$9,1+MATCH(产出预期!$M205,梦灵养成!$Q$10:$Q$15,1),0)+梦灵养成!G524+SUMPRODUCT(--(梦灵养成!$Q$10:$Q$15&lt;=产出预期!$M205),梦灵养成!O$10:O$15,梦灵养成!$P$10:$P$15))/MAX(SUMPRODUCT(--(梦灵养成!$C$10:$C$31&lt;=产出预期!$M205),--(梦灵养成!$E$10:$E$31=L$2)),1)*10,梦灵养成!AW$339:AW$388,1),0)</f>
        <v>50</v>
      </c>
      <c r="M188" s="45">
        <f ca="1">OFFSET(符文养成!$C$14,MATCH(C188,符文养成!$B$15:$B$44,1),0)</f>
        <v>30</v>
      </c>
      <c r="N188" s="45">
        <f ca="1">MATCH((产出预期!Z205*价值表!$F$53+产出预期!AA205*价值表!$F$54+产出预期!AD205*价值表!$F$57)/16/M188,符文养成!$G$15:$G$21,1)</f>
        <v>5</v>
      </c>
      <c r="O188" s="45">
        <f>MATCH(产出预期!O205,秘宝养成!$C$3:$C$14,1)</f>
        <v>11</v>
      </c>
    </row>
    <row r="189" ht="16.5" spans="2:15">
      <c r="B189" s="2">
        <v>187</v>
      </c>
      <c r="C189" s="2">
        <f ca="1">MATCH((OFFSET(产出预期!$C$3,0,产出预期!$B$1)*10+OFFSET(产出预期!$C$4,0,产出预期!$B$1)*10+OFFSET(产出预期!$C$7,0,产出预期!$B$1)*20)*B189/10*60,玩家等级!$E$3:$E$302,1)</f>
        <v>91</v>
      </c>
      <c r="D189" s="2">
        <f>MATCH(产出预期!P206/6,装备养成!$G$4:$G$303,1)</f>
        <v>130</v>
      </c>
      <c r="E189" s="2">
        <f>COUNTIF(产出预期!$R206:$Y206,"&gt;"&amp;0)</f>
        <v>8</v>
      </c>
      <c r="F189" s="2">
        <f ca="1">MATCH(OFFSET(产出预期!$R$19,B189,E189-1),装备养成!$S$4:$S$9,1)</f>
        <v>6</v>
      </c>
      <c r="G189" s="2" t="str">
        <f ca="1">OFFSET(梦灵养成!$D$9,MATCH(梦灵养成!C220,梦灵养成!$C$10:$C$28,1),0)</f>
        <v>我爱沙</v>
      </c>
      <c r="H189" s="2" t="str">
        <f ca="1">OFFSET(梦灵养成!$I$9,MATCH(梦灵养成!C220,梦灵养成!$C$10:$C$28,1),0)</f>
        <v>后羿</v>
      </c>
      <c r="I189" s="45" cm="1">
        <f ca="1" t="array" ref="I189">IFERROR(MATCH(((产出预期!$M206-OFFSET(梦灵养成!$Q$9,MATCH(产出预期!$M206,梦灵养成!$Q$10:$Q$15,1),0))*OFFSET(梦灵养成!L$9,1+MATCH(产出预期!$M206,梦灵养成!$Q$10:$Q$15,1),0)+梦灵养成!D525+SUMPRODUCT(--(梦灵养成!$Q$10:$Q$15&lt;=产出预期!$M206),梦灵养成!L$10:L$15,梦灵养成!$P$10:$P$15))/MAX(SUMPRODUCT(--(梦灵养成!$C$10:$C$31&lt;=产出预期!$M206),--(梦灵养成!$E$10:$E$31=I$2)),1)*10,梦灵养成!AT$339:AT$387,1),0)</f>
        <v>49</v>
      </c>
      <c r="J189" s="45" cm="1">
        <f ca="1" t="array" ref="J189">IFERROR(MATCH(((产出预期!$M206-OFFSET(梦灵养成!$Q$9,MATCH(产出预期!$M206,梦灵养成!$Q$10:$Q$15,1),0))*OFFSET(梦灵养成!M$9,1+MATCH(产出预期!$M206,梦灵养成!$Q$10:$Q$15,1),0)+梦灵养成!E525+SUMPRODUCT(--(梦灵养成!$Q$10:$Q$15&lt;=产出预期!$M206),梦灵养成!M$10:M$15,梦灵养成!$P$10:$P$15))/MAX(SUMPRODUCT(--(梦灵养成!$C$10:$C$31&lt;=产出预期!$M206),--(梦灵养成!$E$10:$E$31=J$2)),1)*10,梦灵养成!AU$339:AU$387,1),0)</f>
        <v>49</v>
      </c>
      <c r="K189" s="45" cm="1">
        <f ca="1" t="array" ref="K189">IFERROR(MATCH(((产出预期!$M206-OFFSET(梦灵养成!$Q$9,MATCH(产出预期!$M206,梦灵养成!$Q$10:$Q$15,1),0))*OFFSET(梦灵养成!N$9,1+MATCH(产出预期!$M206,梦灵养成!$Q$10:$Q$15,1),0)+梦灵养成!F525+SUMPRODUCT(--(梦灵养成!$Q$10:$Q$15&lt;=产出预期!$M206),梦灵养成!N$10:N$15,梦灵养成!$P$10:$P$15))/MAX(SUMPRODUCT(--(梦灵养成!$C$10:$C$31&lt;=产出预期!$M206),--(梦灵养成!$E$10:$E$31=K$2)),1)*10,梦灵养成!AV$339:AV$387,1),0)</f>
        <v>49</v>
      </c>
      <c r="L189" s="45" cm="1">
        <f ca="1" t="array" ref="L189">IFERROR(MATCH(((产出预期!$M206-OFFSET(梦灵养成!$Q$9,MATCH(产出预期!$M206,梦灵养成!$Q$10:$Q$15,1),0))*OFFSET(梦灵养成!O$9,1+MATCH(产出预期!$M206,梦灵养成!$Q$10:$Q$15,1),0)+梦灵养成!G525+SUMPRODUCT(--(梦灵养成!$Q$10:$Q$15&lt;=产出预期!$M206),梦灵养成!O$10:O$15,梦灵养成!$P$10:$P$15))/MAX(SUMPRODUCT(--(梦灵养成!$C$10:$C$31&lt;=产出预期!$M206),--(梦灵养成!$E$10:$E$31=L$2)),1)*10,梦灵养成!AW$339:AW$388,1),0)</f>
        <v>50</v>
      </c>
      <c r="M189" s="45">
        <f ca="1">OFFSET(符文养成!$C$14,MATCH(C189,符文养成!$B$15:$B$44,1),0)</f>
        <v>30</v>
      </c>
      <c r="N189" s="45">
        <f ca="1">MATCH((产出预期!Z206*价值表!$F$53+产出预期!AA206*价值表!$F$54+产出预期!AD206*价值表!$F$57)/16/M189,符文养成!$G$15:$G$21,1)</f>
        <v>5</v>
      </c>
      <c r="O189" s="45">
        <f>MATCH(产出预期!O206,秘宝养成!$C$3:$C$14,1)</f>
        <v>11</v>
      </c>
    </row>
    <row r="190" ht="16.5" spans="2:15">
      <c r="B190" s="2">
        <v>188</v>
      </c>
      <c r="C190" s="2">
        <f ca="1">MATCH((OFFSET(产出预期!$C$3,0,产出预期!$B$1)*10+OFFSET(产出预期!$C$4,0,产出预期!$B$1)*10+OFFSET(产出预期!$C$7,0,产出预期!$B$1)*20)*B190/10*60,玩家等级!$E$3:$E$302,1)</f>
        <v>91</v>
      </c>
      <c r="D190" s="2">
        <f>MATCH(产出预期!P207/6,装备养成!$G$4:$G$303,1)</f>
        <v>131</v>
      </c>
      <c r="E190" s="2">
        <f>COUNTIF(产出预期!$R207:$Y207,"&gt;"&amp;0)</f>
        <v>8</v>
      </c>
      <c r="F190" s="2">
        <f ca="1">MATCH(OFFSET(产出预期!$R$19,B190,E190-1),装备养成!$S$4:$S$9,1)</f>
        <v>6</v>
      </c>
      <c r="G190" s="2" t="str">
        <f ca="1">OFFSET(梦灵养成!$D$9,MATCH(梦灵养成!C221,梦灵养成!$C$10:$C$28,1),0)</f>
        <v>我爱沙</v>
      </c>
      <c r="H190" s="2" t="str">
        <f ca="1">OFFSET(梦灵养成!$I$9,MATCH(梦灵养成!C221,梦灵养成!$C$10:$C$28,1),0)</f>
        <v>后羿</v>
      </c>
      <c r="I190" s="45" cm="1">
        <f ca="1" t="array" ref="I190">IFERROR(MATCH(((产出预期!$M207-OFFSET(梦灵养成!$Q$9,MATCH(产出预期!$M207,梦灵养成!$Q$10:$Q$15,1),0))*OFFSET(梦灵养成!L$9,1+MATCH(产出预期!$M207,梦灵养成!$Q$10:$Q$15,1),0)+梦灵养成!D526+SUMPRODUCT(--(梦灵养成!$Q$10:$Q$15&lt;=产出预期!$M207),梦灵养成!L$10:L$15,梦灵养成!$P$10:$P$15))/MAX(SUMPRODUCT(--(梦灵养成!$C$10:$C$31&lt;=产出预期!$M207),--(梦灵养成!$E$10:$E$31=I$2)),1)*10,梦灵养成!AT$339:AT$387,1),0)</f>
        <v>49</v>
      </c>
      <c r="J190" s="45" cm="1">
        <f ca="1" t="array" ref="J190">IFERROR(MATCH(((产出预期!$M207-OFFSET(梦灵养成!$Q$9,MATCH(产出预期!$M207,梦灵养成!$Q$10:$Q$15,1),0))*OFFSET(梦灵养成!M$9,1+MATCH(产出预期!$M207,梦灵养成!$Q$10:$Q$15,1),0)+梦灵养成!E526+SUMPRODUCT(--(梦灵养成!$Q$10:$Q$15&lt;=产出预期!$M207),梦灵养成!M$10:M$15,梦灵养成!$P$10:$P$15))/MAX(SUMPRODUCT(--(梦灵养成!$C$10:$C$31&lt;=产出预期!$M207),--(梦灵养成!$E$10:$E$31=J$2)),1)*10,梦灵养成!AU$339:AU$387,1),0)</f>
        <v>49</v>
      </c>
      <c r="K190" s="45" cm="1">
        <f ca="1" t="array" ref="K190">IFERROR(MATCH(((产出预期!$M207-OFFSET(梦灵养成!$Q$9,MATCH(产出预期!$M207,梦灵养成!$Q$10:$Q$15,1),0))*OFFSET(梦灵养成!N$9,1+MATCH(产出预期!$M207,梦灵养成!$Q$10:$Q$15,1),0)+梦灵养成!F526+SUMPRODUCT(--(梦灵养成!$Q$10:$Q$15&lt;=产出预期!$M207),梦灵养成!N$10:N$15,梦灵养成!$P$10:$P$15))/MAX(SUMPRODUCT(--(梦灵养成!$C$10:$C$31&lt;=产出预期!$M207),--(梦灵养成!$E$10:$E$31=K$2)),1)*10,梦灵养成!AV$339:AV$387,1),0)</f>
        <v>49</v>
      </c>
      <c r="L190" s="45" cm="1">
        <f ca="1" t="array" ref="L190">IFERROR(MATCH(((产出预期!$M207-OFFSET(梦灵养成!$Q$9,MATCH(产出预期!$M207,梦灵养成!$Q$10:$Q$15,1),0))*OFFSET(梦灵养成!O$9,1+MATCH(产出预期!$M207,梦灵养成!$Q$10:$Q$15,1),0)+梦灵养成!G526+SUMPRODUCT(--(梦灵养成!$Q$10:$Q$15&lt;=产出预期!$M207),梦灵养成!O$10:O$15,梦灵养成!$P$10:$P$15))/MAX(SUMPRODUCT(--(梦灵养成!$C$10:$C$31&lt;=产出预期!$M207),--(梦灵养成!$E$10:$E$31=L$2)),1)*10,梦灵养成!AW$339:AW$388,1),0)</f>
        <v>50</v>
      </c>
      <c r="M190" s="45">
        <f ca="1">OFFSET(符文养成!$C$14,MATCH(C190,符文养成!$B$15:$B$44,1),0)</f>
        <v>30</v>
      </c>
      <c r="N190" s="45">
        <f ca="1">MATCH((产出预期!Z207*价值表!$F$53+产出预期!AA207*价值表!$F$54+产出预期!AD207*价值表!$F$57)/16/M190,符文养成!$G$15:$G$21,1)</f>
        <v>5</v>
      </c>
      <c r="O190" s="45">
        <f>MATCH(产出预期!O207,秘宝养成!$C$3:$C$14,1)</f>
        <v>11</v>
      </c>
    </row>
    <row r="191" ht="16.5" spans="2:15">
      <c r="B191" s="2">
        <v>189</v>
      </c>
      <c r="C191" s="2">
        <f ca="1">MATCH((OFFSET(产出预期!$C$3,0,产出预期!$B$1)*10+OFFSET(产出预期!$C$4,0,产出预期!$B$1)*10+OFFSET(产出预期!$C$7,0,产出预期!$B$1)*20)*B191/10*60,玩家等级!$E$3:$E$302,1)</f>
        <v>91</v>
      </c>
      <c r="D191" s="2">
        <f>MATCH(产出预期!P208/6,装备养成!$G$4:$G$303,1)</f>
        <v>131</v>
      </c>
      <c r="E191" s="2">
        <f>COUNTIF(产出预期!$R208:$Y208,"&gt;"&amp;0)</f>
        <v>8</v>
      </c>
      <c r="F191" s="2">
        <f ca="1">MATCH(OFFSET(产出预期!$R$19,B191,E191-1),装备养成!$S$4:$S$9,1)</f>
        <v>6</v>
      </c>
      <c r="G191" s="2" t="str">
        <f ca="1">OFFSET(梦灵养成!$D$9,MATCH(梦灵养成!C222,梦灵养成!$C$10:$C$28,1),0)</f>
        <v>我爱沙</v>
      </c>
      <c r="H191" s="2" t="str">
        <f ca="1">OFFSET(梦灵养成!$I$9,MATCH(梦灵养成!C222,梦灵养成!$C$10:$C$28,1),0)</f>
        <v>后羿</v>
      </c>
      <c r="I191" s="45" cm="1">
        <f ca="1" t="array" ref="I191">IFERROR(MATCH(((产出预期!$M208-OFFSET(梦灵养成!$Q$9,MATCH(产出预期!$M208,梦灵养成!$Q$10:$Q$15,1),0))*OFFSET(梦灵养成!L$9,1+MATCH(产出预期!$M208,梦灵养成!$Q$10:$Q$15,1),0)+梦灵养成!D527+SUMPRODUCT(--(梦灵养成!$Q$10:$Q$15&lt;=产出预期!$M208),梦灵养成!L$10:L$15,梦灵养成!$P$10:$P$15))/MAX(SUMPRODUCT(--(梦灵养成!$C$10:$C$31&lt;=产出预期!$M208),--(梦灵养成!$E$10:$E$31=I$2)),1)*10,梦灵养成!AT$339:AT$387,1),0)</f>
        <v>49</v>
      </c>
      <c r="J191" s="45" cm="1">
        <f ca="1" t="array" ref="J191">IFERROR(MATCH(((产出预期!$M208-OFFSET(梦灵养成!$Q$9,MATCH(产出预期!$M208,梦灵养成!$Q$10:$Q$15,1),0))*OFFSET(梦灵养成!M$9,1+MATCH(产出预期!$M208,梦灵养成!$Q$10:$Q$15,1),0)+梦灵养成!E527+SUMPRODUCT(--(梦灵养成!$Q$10:$Q$15&lt;=产出预期!$M208),梦灵养成!M$10:M$15,梦灵养成!$P$10:$P$15))/MAX(SUMPRODUCT(--(梦灵养成!$C$10:$C$31&lt;=产出预期!$M208),--(梦灵养成!$E$10:$E$31=J$2)),1)*10,梦灵养成!AU$339:AU$387,1),0)</f>
        <v>49</v>
      </c>
      <c r="K191" s="45" cm="1">
        <f ca="1" t="array" ref="K191">IFERROR(MATCH(((产出预期!$M208-OFFSET(梦灵养成!$Q$9,MATCH(产出预期!$M208,梦灵养成!$Q$10:$Q$15,1),0))*OFFSET(梦灵养成!N$9,1+MATCH(产出预期!$M208,梦灵养成!$Q$10:$Q$15,1),0)+梦灵养成!F527+SUMPRODUCT(--(梦灵养成!$Q$10:$Q$15&lt;=产出预期!$M208),梦灵养成!N$10:N$15,梦灵养成!$P$10:$P$15))/MAX(SUMPRODUCT(--(梦灵养成!$C$10:$C$31&lt;=产出预期!$M208),--(梦灵养成!$E$10:$E$31=K$2)),1)*10,梦灵养成!AV$339:AV$387,1),0)</f>
        <v>49</v>
      </c>
      <c r="L191" s="45" cm="1">
        <f ca="1" t="array" ref="L191">IFERROR(MATCH(((产出预期!$M208-OFFSET(梦灵养成!$Q$9,MATCH(产出预期!$M208,梦灵养成!$Q$10:$Q$15,1),0))*OFFSET(梦灵养成!O$9,1+MATCH(产出预期!$M208,梦灵养成!$Q$10:$Q$15,1),0)+梦灵养成!G527+SUMPRODUCT(--(梦灵养成!$Q$10:$Q$15&lt;=产出预期!$M208),梦灵养成!O$10:O$15,梦灵养成!$P$10:$P$15))/MAX(SUMPRODUCT(--(梦灵养成!$C$10:$C$31&lt;=产出预期!$M208),--(梦灵养成!$E$10:$E$31=L$2)),1)*10,梦灵养成!AW$339:AW$388,1),0)</f>
        <v>50</v>
      </c>
      <c r="M191" s="45">
        <f ca="1">OFFSET(符文养成!$C$14,MATCH(C191,符文养成!$B$15:$B$44,1),0)</f>
        <v>30</v>
      </c>
      <c r="N191" s="45">
        <f ca="1">MATCH((产出预期!Z208*价值表!$F$53+产出预期!AA208*价值表!$F$54+产出预期!AD208*价值表!$F$57)/16/M191,符文养成!$G$15:$G$21,1)</f>
        <v>5</v>
      </c>
      <c r="O191" s="45">
        <f>MATCH(产出预期!O208,秘宝养成!$C$3:$C$14,1)</f>
        <v>11</v>
      </c>
    </row>
    <row r="192" ht="16.5" spans="2:15">
      <c r="B192" s="2">
        <v>190</v>
      </c>
      <c r="C192" s="2">
        <f ca="1">MATCH((OFFSET(产出预期!$C$3,0,产出预期!$B$1)*10+OFFSET(产出预期!$C$4,0,产出预期!$B$1)*10+OFFSET(产出预期!$C$7,0,产出预期!$B$1)*20)*B192/10*60,玩家等级!$E$3:$E$302,1)</f>
        <v>92</v>
      </c>
      <c r="D192" s="2">
        <f>MATCH(产出预期!P209/6,装备养成!$G$4:$G$303,1)</f>
        <v>131</v>
      </c>
      <c r="E192" s="2">
        <f>COUNTIF(产出预期!$R209:$Y209,"&gt;"&amp;0)</f>
        <v>8</v>
      </c>
      <c r="F192" s="2">
        <f ca="1">MATCH(OFFSET(产出预期!$R$19,B192,E192-1),装备养成!$S$4:$S$9,1)</f>
        <v>6</v>
      </c>
      <c r="G192" s="2" t="str">
        <f ca="1">OFFSET(梦灵养成!$D$9,MATCH(梦灵养成!C223,梦灵养成!$C$10:$C$28,1),0)</f>
        <v>我爱沙</v>
      </c>
      <c r="H192" s="2" t="str">
        <f ca="1">OFFSET(梦灵养成!$I$9,MATCH(梦灵养成!C223,梦灵养成!$C$10:$C$28,1),0)</f>
        <v>后羿</v>
      </c>
      <c r="I192" s="45" cm="1">
        <f ca="1" t="array" ref="I192">IFERROR(MATCH(((产出预期!$M209-OFFSET(梦灵养成!$Q$9,MATCH(产出预期!$M209,梦灵养成!$Q$10:$Q$15,1),0))*OFFSET(梦灵养成!L$9,1+MATCH(产出预期!$M209,梦灵养成!$Q$10:$Q$15,1),0)+梦灵养成!D528+SUMPRODUCT(--(梦灵养成!$Q$10:$Q$15&lt;=产出预期!$M209),梦灵养成!L$10:L$15,梦灵养成!$P$10:$P$15))/MAX(SUMPRODUCT(--(梦灵养成!$C$10:$C$31&lt;=产出预期!$M209),--(梦灵养成!$E$10:$E$31=I$2)),1)*10,梦灵养成!AT$339:AT$387,1),0)</f>
        <v>49</v>
      </c>
      <c r="J192" s="45" cm="1">
        <f ca="1" t="array" ref="J192">IFERROR(MATCH(((产出预期!$M209-OFFSET(梦灵养成!$Q$9,MATCH(产出预期!$M209,梦灵养成!$Q$10:$Q$15,1),0))*OFFSET(梦灵养成!M$9,1+MATCH(产出预期!$M209,梦灵养成!$Q$10:$Q$15,1),0)+梦灵养成!E528+SUMPRODUCT(--(梦灵养成!$Q$10:$Q$15&lt;=产出预期!$M209),梦灵养成!M$10:M$15,梦灵养成!$P$10:$P$15))/MAX(SUMPRODUCT(--(梦灵养成!$C$10:$C$31&lt;=产出预期!$M209),--(梦灵养成!$E$10:$E$31=J$2)),1)*10,梦灵养成!AU$339:AU$387,1),0)</f>
        <v>49</v>
      </c>
      <c r="K192" s="45" cm="1">
        <f ca="1" t="array" ref="K192">IFERROR(MATCH(((产出预期!$M209-OFFSET(梦灵养成!$Q$9,MATCH(产出预期!$M209,梦灵养成!$Q$10:$Q$15,1),0))*OFFSET(梦灵养成!N$9,1+MATCH(产出预期!$M209,梦灵养成!$Q$10:$Q$15,1),0)+梦灵养成!F528+SUMPRODUCT(--(梦灵养成!$Q$10:$Q$15&lt;=产出预期!$M209),梦灵养成!N$10:N$15,梦灵养成!$P$10:$P$15))/MAX(SUMPRODUCT(--(梦灵养成!$C$10:$C$31&lt;=产出预期!$M209),--(梦灵养成!$E$10:$E$31=K$2)),1)*10,梦灵养成!AV$339:AV$387,1),0)</f>
        <v>49</v>
      </c>
      <c r="L192" s="45" cm="1">
        <f ca="1" t="array" ref="L192">IFERROR(MATCH(((产出预期!$M209-OFFSET(梦灵养成!$Q$9,MATCH(产出预期!$M209,梦灵养成!$Q$10:$Q$15,1),0))*OFFSET(梦灵养成!O$9,1+MATCH(产出预期!$M209,梦灵养成!$Q$10:$Q$15,1),0)+梦灵养成!G528+SUMPRODUCT(--(梦灵养成!$Q$10:$Q$15&lt;=产出预期!$M209),梦灵养成!O$10:O$15,梦灵养成!$P$10:$P$15))/MAX(SUMPRODUCT(--(梦灵养成!$C$10:$C$31&lt;=产出预期!$M209),--(梦灵养成!$E$10:$E$31=L$2)),1)*10,梦灵养成!AW$339:AW$388,1),0)</f>
        <v>50</v>
      </c>
      <c r="M192" s="45">
        <f ca="1">OFFSET(符文养成!$C$14,MATCH(C192,符文养成!$B$15:$B$44,1),0)</f>
        <v>30</v>
      </c>
      <c r="N192" s="45">
        <f ca="1">MATCH((产出预期!Z209*价值表!$F$53+产出预期!AA209*价值表!$F$54+产出预期!AD209*价值表!$F$57)/16/M192,符文养成!$G$15:$G$21,1)</f>
        <v>5</v>
      </c>
      <c r="O192" s="45">
        <f>MATCH(产出预期!O209,秘宝养成!$C$3:$C$14,1)</f>
        <v>11</v>
      </c>
    </row>
    <row r="193" ht="16.5" spans="2:15">
      <c r="B193" s="2">
        <v>191</v>
      </c>
      <c r="C193" s="2">
        <f ca="1">MATCH((OFFSET(产出预期!$C$3,0,产出预期!$B$1)*10+OFFSET(产出预期!$C$4,0,产出预期!$B$1)*10+OFFSET(产出预期!$C$7,0,产出预期!$B$1)*20)*B193/10*60,玩家等级!$E$3:$E$302,1)</f>
        <v>92</v>
      </c>
      <c r="D193" s="2">
        <f>MATCH(产出预期!P210/6,装备养成!$G$4:$G$303,1)</f>
        <v>131</v>
      </c>
      <c r="E193" s="2">
        <f>COUNTIF(产出预期!$R210:$Y210,"&gt;"&amp;0)</f>
        <v>8</v>
      </c>
      <c r="F193" s="2">
        <f ca="1">MATCH(OFFSET(产出预期!$R$19,B193,E193-1),装备养成!$S$4:$S$9,1)</f>
        <v>6</v>
      </c>
      <c r="G193" s="2" t="str">
        <f ca="1">OFFSET(梦灵养成!$D$9,MATCH(梦灵养成!C224,梦灵养成!$C$10:$C$28,1),0)</f>
        <v>我爱沙</v>
      </c>
      <c r="H193" s="2" t="str">
        <f ca="1">OFFSET(梦灵养成!$I$9,MATCH(梦灵养成!C224,梦灵养成!$C$10:$C$28,1),0)</f>
        <v>后羿</v>
      </c>
      <c r="I193" s="45" cm="1">
        <f ca="1" t="array" ref="I193">IFERROR(MATCH(((产出预期!$M210-OFFSET(梦灵养成!$Q$9,MATCH(产出预期!$M210,梦灵养成!$Q$10:$Q$15,1),0))*OFFSET(梦灵养成!L$9,1+MATCH(产出预期!$M210,梦灵养成!$Q$10:$Q$15,1),0)+梦灵养成!D529+SUMPRODUCT(--(梦灵养成!$Q$10:$Q$15&lt;=产出预期!$M210),梦灵养成!L$10:L$15,梦灵养成!$P$10:$P$15))/MAX(SUMPRODUCT(--(梦灵养成!$C$10:$C$31&lt;=产出预期!$M210),--(梦灵养成!$E$10:$E$31=I$2)),1)*10,梦灵养成!AT$339:AT$387,1),0)</f>
        <v>49</v>
      </c>
      <c r="J193" s="45" cm="1">
        <f ca="1" t="array" ref="J193">IFERROR(MATCH(((产出预期!$M210-OFFSET(梦灵养成!$Q$9,MATCH(产出预期!$M210,梦灵养成!$Q$10:$Q$15,1),0))*OFFSET(梦灵养成!M$9,1+MATCH(产出预期!$M210,梦灵养成!$Q$10:$Q$15,1),0)+梦灵养成!E529+SUMPRODUCT(--(梦灵养成!$Q$10:$Q$15&lt;=产出预期!$M210),梦灵养成!M$10:M$15,梦灵养成!$P$10:$P$15))/MAX(SUMPRODUCT(--(梦灵养成!$C$10:$C$31&lt;=产出预期!$M210),--(梦灵养成!$E$10:$E$31=J$2)),1)*10,梦灵养成!AU$339:AU$387,1),0)</f>
        <v>49</v>
      </c>
      <c r="K193" s="45" cm="1">
        <f ca="1" t="array" ref="K193">IFERROR(MATCH(((产出预期!$M210-OFFSET(梦灵养成!$Q$9,MATCH(产出预期!$M210,梦灵养成!$Q$10:$Q$15,1),0))*OFFSET(梦灵养成!N$9,1+MATCH(产出预期!$M210,梦灵养成!$Q$10:$Q$15,1),0)+梦灵养成!F529+SUMPRODUCT(--(梦灵养成!$Q$10:$Q$15&lt;=产出预期!$M210),梦灵养成!N$10:N$15,梦灵养成!$P$10:$P$15))/MAX(SUMPRODUCT(--(梦灵养成!$C$10:$C$31&lt;=产出预期!$M210),--(梦灵养成!$E$10:$E$31=K$2)),1)*10,梦灵养成!AV$339:AV$387,1),0)</f>
        <v>49</v>
      </c>
      <c r="L193" s="45" cm="1">
        <f ca="1" t="array" ref="L193">IFERROR(MATCH(((产出预期!$M210-OFFSET(梦灵养成!$Q$9,MATCH(产出预期!$M210,梦灵养成!$Q$10:$Q$15,1),0))*OFFSET(梦灵养成!O$9,1+MATCH(产出预期!$M210,梦灵养成!$Q$10:$Q$15,1),0)+梦灵养成!G529+SUMPRODUCT(--(梦灵养成!$Q$10:$Q$15&lt;=产出预期!$M210),梦灵养成!O$10:O$15,梦灵养成!$P$10:$P$15))/MAX(SUMPRODUCT(--(梦灵养成!$C$10:$C$31&lt;=产出预期!$M210),--(梦灵养成!$E$10:$E$31=L$2)),1)*10,梦灵养成!AW$339:AW$388,1),0)</f>
        <v>50</v>
      </c>
      <c r="M193" s="45">
        <f ca="1">OFFSET(符文养成!$C$14,MATCH(C193,符文养成!$B$15:$B$44,1),0)</f>
        <v>30</v>
      </c>
      <c r="N193" s="45">
        <f ca="1">MATCH((产出预期!Z210*价值表!$F$53+产出预期!AA210*价值表!$F$54+产出预期!AD210*价值表!$F$57)/16/M193,符文养成!$G$15:$G$21,1)</f>
        <v>5</v>
      </c>
      <c r="O193" s="45">
        <f>MATCH(产出预期!O210,秘宝养成!$C$3:$C$14,1)</f>
        <v>11</v>
      </c>
    </row>
    <row r="194" ht="16.5" spans="2:15">
      <c r="B194" s="2">
        <v>192</v>
      </c>
      <c r="C194" s="2">
        <f ca="1">MATCH((OFFSET(产出预期!$C$3,0,产出预期!$B$1)*10+OFFSET(产出预期!$C$4,0,产出预期!$B$1)*10+OFFSET(产出预期!$C$7,0,产出预期!$B$1)*20)*B194/10*60,玩家等级!$E$3:$E$302,1)</f>
        <v>92</v>
      </c>
      <c r="D194" s="2">
        <f>MATCH(产出预期!P211/6,装备养成!$G$4:$G$303,1)</f>
        <v>132</v>
      </c>
      <c r="E194" s="2">
        <f>COUNTIF(产出预期!$R211:$Y211,"&gt;"&amp;0)</f>
        <v>8</v>
      </c>
      <c r="F194" s="2">
        <f ca="1">MATCH(OFFSET(产出预期!$R$19,B194,E194-1),装备养成!$S$4:$S$9,1)</f>
        <v>6</v>
      </c>
      <c r="G194" s="2" t="str">
        <f ca="1">OFFSET(梦灵养成!$D$9,MATCH(梦灵养成!C225,梦灵养成!$C$10:$C$28,1),0)</f>
        <v>我爱沙</v>
      </c>
      <c r="H194" s="2" t="str">
        <f ca="1">OFFSET(梦灵养成!$I$9,MATCH(梦灵养成!C225,梦灵养成!$C$10:$C$28,1),0)</f>
        <v>后羿</v>
      </c>
      <c r="I194" s="45" cm="1">
        <f ca="1" t="array" ref="I194">IFERROR(MATCH(((产出预期!$M211-OFFSET(梦灵养成!$Q$9,MATCH(产出预期!$M211,梦灵养成!$Q$10:$Q$15,1),0))*OFFSET(梦灵养成!L$9,1+MATCH(产出预期!$M211,梦灵养成!$Q$10:$Q$15,1),0)+梦灵养成!D530+SUMPRODUCT(--(梦灵养成!$Q$10:$Q$15&lt;=产出预期!$M211),梦灵养成!L$10:L$15,梦灵养成!$P$10:$P$15))/MAX(SUMPRODUCT(--(梦灵养成!$C$10:$C$31&lt;=产出预期!$M211),--(梦灵养成!$E$10:$E$31=I$2)),1)*10,梦灵养成!AT$339:AT$387,1),0)</f>
        <v>49</v>
      </c>
      <c r="J194" s="45" cm="1">
        <f ca="1" t="array" ref="J194">IFERROR(MATCH(((产出预期!$M211-OFFSET(梦灵养成!$Q$9,MATCH(产出预期!$M211,梦灵养成!$Q$10:$Q$15,1),0))*OFFSET(梦灵养成!M$9,1+MATCH(产出预期!$M211,梦灵养成!$Q$10:$Q$15,1),0)+梦灵养成!E530+SUMPRODUCT(--(梦灵养成!$Q$10:$Q$15&lt;=产出预期!$M211),梦灵养成!M$10:M$15,梦灵养成!$P$10:$P$15))/MAX(SUMPRODUCT(--(梦灵养成!$C$10:$C$31&lt;=产出预期!$M211),--(梦灵养成!$E$10:$E$31=J$2)),1)*10,梦灵养成!AU$339:AU$387,1),0)</f>
        <v>49</v>
      </c>
      <c r="K194" s="45" cm="1">
        <f ca="1" t="array" ref="K194">IFERROR(MATCH(((产出预期!$M211-OFFSET(梦灵养成!$Q$9,MATCH(产出预期!$M211,梦灵养成!$Q$10:$Q$15,1),0))*OFFSET(梦灵养成!N$9,1+MATCH(产出预期!$M211,梦灵养成!$Q$10:$Q$15,1),0)+梦灵养成!F530+SUMPRODUCT(--(梦灵养成!$Q$10:$Q$15&lt;=产出预期!$M211),梦灵养成!N$10:N$15,梦灵养成!$P$10:$P$15))/MAX(SUMPRODUCT(--(梦灵养成!$C$10:$C$31&lt;=产出预期!$M211),--(梦灵养成!$E$10:$E$31=K$2)),1)*10,梦灵养成!AV$339:AV$387,1),0)</f>
        <v>49</v>
      </c>
      <c r="L194" s="45" cm="1">
        <f ca="1" t="array" ref="L194">IFERROR(MATCH(((产出预期!$M211-OFFSET(梦灵养成!$Q$9,MATCH(产出预期!$M211,梦灵养成!$Q$10:$Q$15,1),0))*OFFSET(梦灵养成!O$9,1+MATCH(产出预期!$M211,梦灵养成!$Q$10:$Q$15,1),0)+梦灵养成!G530+SUMPRODUCT(--(梦灵养成!$Q$10:$Q$15&lt;=产出预期!$M211),梦灵养成!O$10:O$15,梦灵养成!$P$10:$P$15))/MAX(SUMPRODUCT(--(梦灵养成!$C$10:$C$31&lt;=产出预期!$M211),--(梦灵养成!$E$10:$E$31=L$2)),1)*10,梦灵养成!AW$339:AW$388,1),0)</f>
        <v>50</v>
      </c>
      <c r="M194" s="45">
        <f ca="1">OFFSET(符文养成!$C$14,MATCH(C194,符文养成!$B$15:$B$44,1),0)</f>
        <v>30</v>
      </c>
      <c r="N194" s="45">
        <f ca="1">MATCH((产出预期!Z211*价值表!$F$53+产出预期!AA211*价值表!$F$54+产出预期!AD211*价值表!$F$57)/16/M194,符文养成!$G$15:$G$21,1)</f>
        <v>5</v>
      </c>
      <c r="O194" s="45">
        <f>MATCH(产出预期!O211,秘宝养成!$C$3:$C$14,1)</f>
        <v>11</v>
      </c>
    </row>
    <row r="195" ht="16.5" spans="2:15">
      <c r="B195" s="2">
        <v>193</v>
      </c>
      <c r="C195" s="2">
        <f ca="1">MATCH((OFFSET(产出预期!$C$3,0,产出预期!$B$1)*10+OFFSET(产出预期!$C$4,0,产出预期!$B$1)*10+OFFSET(产出预期!$C$7,0,产出预期!$B$1)*20)*B195/10*60,玩家等级!$E$3:$E$302,1)</f>
        <v>92</v>
      </c>
      <c r="D195" s="2">
        <f>MATCH(产出预期!P212/6,装备养成!$G$4:$G$303,1)</f>
        <v>132</v>
      </c>
      <c r="E195" s="2">
        <f>COUNTIF(产出预期!$R212:$Y212,"&gt;"&amp;0)</f>
        <v>8</v>
      </c>
      <c r="F195" s="2">
        <f ca="1">MATCH(OFFSET(产出预期!$R$19,B195,E195-1),装备养成!$S$4:$S$9,1)</f>
        <v>6</v>
      </c>
      <c r="G195" s="2" t="str">
        <f ca="1">OFFSET(梦灵养成!$D$9,MATCH(梦灵养成!C226,梦灵养成!$C$10:$C$28,1),0)</f>
        <v>我爱沙</v>
      </c>
      <c r="H195" s="2" t="str">
        <f ca="1">OFFSET(梦灵养成!$I$9,MATCH(梦灵养成!C226,梦灵养成!$C$10:$C$28,1),0)</f>
        <v>后羿</v>
      </c>
      <c r="I195" s="45" cm="1">
        <f ca="1" t="array" ref="I195">IFERROR(MATCH(((产出预期!$M212-OFFSET(梦灵养成!$Q$9,MATCH(产出预期!$M212,梦灵养成!$Q$10:$Q$15,1),0))*OFFSET(梦灵养成!L$9,1+MATCH(产出预期!$M212,梦灵养成!$Q$10:$Q$15,1),0)+梦灵养成!D531+SUMPRODUCT(--(梦灵养成!$Q$10:$Q$15&lt;=产出预期!$M212),梦灵养成!L$10:L$15,梦灵养成!$P$10:$P$15))/MAX(SUMPRODUCT(--(梦灵养成!$C$10:$C$31&lt;=产出预期!$M212),--(梦灵养成!$E$10:$E$31=I$2)),1)*10,梦灵养成!AT$339:AT$387,1),0)</f>
        <v>49</v>
      </c>
      <c r="J195" s="45" cm="1">
        <f ca="1" t="array" ref="J195">IFERROR(MATCH(((产出预期!$M212-OFFSET(梦灵养成!$Q$9,MATCH(产出预期!$M212,梦灵养成!$Q$10:$Q$15,1),0))*OFFSET(梦灵养成!M$9,1+MATCH(产出预期!$M212,梦灵养成!$Q$10:$Q$15,1),0)+梦灵养成!E531+SUMPRODUCT(--(梦灵养成!$Q$10:$Q$15&lt;=产出预期!$M212),梦灵养成!M$10:M$15,梦灵养成!$P$10:$P$15))/MAX(SUMPRODUCT(--(梦灵养成!$C$10:$C$31&lt;=产出预期!$M212),--(梦灵养成!$E$10:$E$31=J$2)),1)*10,梦灵养成!AU$339:AU$387,1),0)</f>
        <v>49</v>
      </c>
      <c r="K195" s="45" cm="1">
        <f ca="1" t="array" ref="K195">IFERROR(MATCH(((产出预期!$M212-OFFSET(梦灵养成!$Q$9,MATCH(产出预期!$M212,梦灵养成!$Q$10:$Q$15,1),0))*OFFSET(梦灵养成!N$9,1+MATCH(产出预期!$M212,梦灵养成!$Q$10:$Q$15,1),0)+梦灵养成!F531+SUMPRODUCT(--(梦灵养成!$Q$10:$Q$15&lt;=产出预期!$M212),梦灵养成!N$10:N$15,梦灵养成!$P$10:$P$15))/MAX(SUMPRODUCT(--(梦灵养成!$C$10:$C$31&lt;=产出预期!$M212),--(梦灵养成!$E$10:$E$31=K$2)),1)*10,梦灵养成!AV$339:AV$387,1),0)</f>
        <v>49</v>
      </c>
      <c r="L195" s="45" cm="1">
        <f ca="1" t="array" ref="L195">IFERROR(MATCH(((产出预期!$M212-OFFSET(梦灵养成!$Q$9,MATCH(产出预期!$M212,梦灵养成!$Q$10:$Q$15,1),0))*OFFSET(梦灵养成!O$9,1+MATCH(产出预期!$M212,梦灵养成!$Q$10:$Q$15,1),0)+梦灵养成!G531+SUMPRODUCT(--(梦灵养成!$Q$10:$Q$15&lt;=产出预期!$M212),梦灵养成!O$10:O$15,梦灵养成!$P$10:$P$15))/MAX(SUMPRODUCT(--(梦灵养成!$C$10:$C$31&lt;=产出预期!$M212),--(梦灵养成!$E$10:$E$31=L$2)),1)*10,梦灵养成!AW$339:AW$388,1),0)</f>
        <v>50</v>
      </c>
      <c r="M195" s="45">
        <f ca="1">OFFSET(符文养成!$C$14,MATCH(C195,符文养成!$B$15:$B$44,1),0)</f>
        <v>30</v>
      </c>
      <c r="N195" s="45">
        <f ca="1">MATCH((产出预期!Z212*价值表!$F$53+产出预期!AA212*价值表!$F$54+产出预期!AD212*价值表!$F$57)/16/M195,符文养成!$G$15:$G$21,1)</f>
        <v>5</v>
      </c>
      <c r="O195" s="45">
        <f>MATCH(产出预期!O212,秘宝养成!$C$3:$C$14,1)</f>
        <v>11</v>
      </c>
    </row>
    <row r="196" ht="16.5" spans="2:15">
      <c r="B196" s="2">
        <v>194</v>
      </c>
      <c r="C196" s="2">
        <f ca="1">MATCH((OFFSET(产出预期!$C$3,0,产出预期!$B$1)*10+OFFSET(产出预期!$C$4,0,产出预期!$B$1)*10+OFFSET(产出预期!$C$7,0,产出预期!$B$1)*20)*B196/10*60,玩家等级!$E$3:$E$302,1)</f>
        <v>92</v>
      </c>
      <c r="D196" s="2">
        <f>MATCH(产出预期!P213/6,装备养成!$G$4:$G$303,1)</f>
        <v>132</v>
      </c>
      <c r="E196" s="2">
        <f>COUNTIF(产出预期!$R213:$Y213,"&gt;"&amp;0)</f>
        <v>8</v>
      </c>
      <c r="F196" s="2">
        <f ca="1">MATCH(OFFSET(产出预期!$R$19,B196,E196-1),装备养成!$S$4:$S$9,1)</f>
        <v>6</v>
      </c>
      <c r="G196" s="2" t="str">
        <f ca="1">OFFSET(梦灵养成!$D$9,MATCH(梦灵养成!C227,梦灵养成!$C$10:$C$28,1),0)</f>
        <v>我爱沙</v>
      </c>
      <c r="H196" s="2" t="str">
        <f ca="1">OFFSET(梦灵养成!$I$9,MATCH(梦灵养成!C227,梦灵养成!$C$10:$C$28,1),0)</f>
        <v>后羿</v>
      </c>
      <c r="I196" s="45" cm="1">
        <f ca="1" t="array" ref="I196">IFERROR(MATCH(((产出预期!$M213-OFFSET(梦灵养成!$Q$9,MATCH(产出预期!$M213,梦灵养成!$Q$10:$Q$15,1),0))*OFFSET(梦灵养成!L$9,1+MATCH(产出预期!$M213,梦灵养成!$Q$10:$Q$15,1),0)+梦灵养成!D532+SUMPRODUCT(--(梦灵养成!$Q$10:$Q$15&lt;=产出预期!$M213),梦灵养成!L$10:L$15,梦灵养成!$P$10:$P$15))/MAX(SUMPRODUCT(--(梦灵养成!$C$10:$C$31&lt;=产出预期!$M213),--(梦灵养成!$E$10:$E$31=I$2)),1)*10,梦灵养成!AT$339:AT$387,1),0)</f>
        <v>49</v>
      </c>
      <c r="J196" s="45" cm="1">
        <f ca="1" t="array" ref="J196">IFERROR(MATCH(((产出预期!$M213-OFFSET(梦灵养成!$Q$9,MATCH(产出预期!$M213,梦灵养成!$Q$10:$Q$15,1),0))*OFFSET(梦灵养成!M$9,1+MATCH(产出预期!$M213,梦灵养成!$Q$10:$Q$15,1),0)+梦灵养成!E532+SUMPRODUCT(--(梦灵养成!$Q$10:$Q$15&lt;=产出预期!$M213),梦灵养成!M$10:M$15,梦灵养成!$P$10:$P$15))/MAX(SUMPRODUCT(--(梦灵养成!$C$10:$C$31&lt;=产出预期!$M213),--(梦灵养成!$E$10:$E$31=J$2)),1)*10,梦灵养成!AU$339:AU$387,1),0)</f>
        <v>49</v>
      </c>
      <c r="K196" s="45" cm="1">
        <f ca="1" t="array" ref="K196">IFERROR(MATCH(((产出预期!$M213-OFFSET(梦灵养成!$Q$9,MATCH(产出预期!$M213,梦灵养成!$Q$10:$Q$15,1),0))*OFFSET(梦灵养成!N$9,1+MATCH(产出预期!$M213,梦灵养成!$Q$10:$Q$15,1),0)+梦灵养成!F532+SUMPRODUCT(--(梦灵养成!$Q$10:$Q$15&lt;=产出预期!$M213),梦灵养成!N$10:N$15,梦灵养成!$P$10:$P$15))/MAX(SUMPRODUCT(--(梦灵养成!$C$10:$C$31&lt;=产出预期!$M213),--(梦灵养成!$E$10:$E$31=K$2)),1)*10,梦灵养成!AV$339:AV$387,1),0)</f>
        <v>49</v>
      </c>
      <c r="L196" s="45" cm="1">
        <f ca="1" t="array" ref="L196">IFERROR(MATCH(((产出预期!$M213-OFFSET(梦灵养成!$Q$9,MATCH(产出预期!$M213,梦灵养成!$Q$10:$Q$15,1),0))*OFFSET(梦灵养成!O$9,1+MATCH(产出预期!$M213,梦灵养成!$Q$10:$Q$15,1),0)+梦灵养成!G532+SUMPRODUCT(--(梦灵养成!$Q$10:$Q$15&lt;=产出预期!$M213),梦灵养成!O$10:O$15,梦灵养成!$P$10:$P$15))/MAX(SUMPRODUCT(--(梦灵养成!$C$10:$C$31&lt;=产出预期!$M213),--(梦灵养成!$E$10:$E$31=L$2)),1)*10,梦灵养成!AW$339:AW$388,1),0)</f>
        <v>50</v>
      </c>
      <c r="M196" s="45">
        <f ca="1">OFFSET(符文养成!$C$14,MATCH(C196,符文养成!$B$15:$B$44,1),0)</f>
        <v>30</v>
      </c>
      <c r="N196" s="45">
        <f ca="1">MATCH((产出预期!Z213*价值表!$F$53+产出预期!AA213*价值表!$F$54+产出预期!AD213*价值表!$F$57)/16/M196,符文养成!$G$15:$G$21,1)</f>
        <v>5</v>
      </c>
      <c r="O196" s="45">
        <f>MATCH(产出预期!O213,秘宝养成!$C$3:$C$14,1)</f>
        <v>11</v>
      </c>
    </row>
    <row r="197" ht="16.5" spans="2:15">
      <c r="B197" s="2">
        <v>195</v>
      </c>
      <c r="C197" s="2">
        <f ca="1">MATCH((OFFSET(产出预期!$C$3,0,产出预期!$B$1)*10+OFFSET(产出预期!$C$4,0,产出预期!$B$1)*10+OFFSET(产出预期!$C$7,0,产出预期!$B$1)*20)*B197/10*60,玩家等级!$E$3:$E$302,1)</f>
        <v>93</v>
      </c>
      <c r="D197" s="2">
        <f>MATCH(产出预期!P214/6,装备养成!$G$4:$G$303,1)</f>
        <v>132</v>
      </c>
      <c r="E197" s="2">
        <f>COUNTIF(产出预期!$R214:$Y214,"&gt;"&amp;0)</f>
        <v>8</v>
      </c>
      <c r="F197" s="2">
        <f ca="1">MATCH(OFFSET(产出预期!$R$19,B197,E197-1),装备养成!$S$4:$S$9,1)</f>
        <v>6</v>
      </c>
      <c r="G197" s="2" t="str">
        <f ca="1">OFFSET(梦灵养成!$D$9,MATCH(梦灵养成!C228,梦灵养成!$C$10:$C$28,1),0)</f>
        <v>我爱沙</v>
      </c>
      <c r="H197" s="2" t="str">
        <f ca="1">OFFSET(梦灵养成!$I$9,MATCH(梦灵养成!C228,梦灵养成!$C$10:$C$28,1),0)</f>
        <v>后羿</v>
      </c>
      <c r="I197" s="45" cm="1">
        <f ca="1" t="array" ref="I197">IFERROR(MATCH(((产出预期!$M214-OFFSET(梦灵养成!$Q$9,MATCH(产出预期!$M214,梦灵养成!$Q$10:$Q$15,1),0))*OFFSET(梦灵养成!L$9,1+MATCH(产出预期!$M214,梦灵养成!$Q$10:$Q$15,1),0)+梦灵养成!D533+SUMPRODUCT(--(梦灵养成!$Q$10:$Q$15&lt;=产出预期!$M214),梦灵养成!L$10:L$15,梦灵养成!$P$10:$P$15))/MAX(SUMPRODUCT(--(梦灵养成!$C$10:$C$31&lt;=产出预期!$M214),--(梦灵养成!$E$10:$E$31=I$2)),1)*10,梦灵养成!AT$339:AT$387,1),0)</f>
        <v>49</v>
      </c>
      <c r="J197" s="45" cm="1">
        <f ca="1" t="array" ref="J197">IFERROR(MATCH(((产出预期!$M214-OFFSET(梦灵养成!$Q$9,MATCH(产出预期!$M214,梦灵养成!$Q$10:$Q$15,1),0))*OFFSET(梦灵养成!M$9,1+MATCH(产出预期!$M214,梦灵养成!$Q$10:$Q$15,1),0)+梦灵养成!E533+SUMPRODUCT(--(梦灵养成!$Q$10:$Q$15&lt;=产出预期!$M214),梦灵养成!M$10:M$15,梦灵养成!$P$10:$P$15))/MAX(SUMPRODUCT(--(梦灵养成!$C$10:$C$31&lt;=产出预期!$M214),--(梦灵养成!$E$10:$E$31=J$2)),1)*10,梦灵养成!AU$339:AU$387,1),0)</f>
        <v>49</v>
      </c>
      <c r="K197" s="45" cm="1">
        <f ca="1" t="array" ref="K197">IFERROR(MATCH(((产出预期!$M214-OFFSET(梦灵养成!$Q$9,MATCH(产出预期!$M214,梦灵养成!$Q$10:$Q$15,1),0))*OFFSET(梦灵养成!N$9,1+MATCH(产出预期!$M214,梦灵养成!$Q$10:$Q$15,1),0)+梦灵养成!F533+SUMPRODUCT(--(梦灵养成!$Q$10:$Q$15&lt;=产出预期!$M214),梦灵养成!N$10:N$15,梦灵养成!$P$10:$P$15))/MAX(SUMPRODUCT(--(梦灵养成!$C$10:$C$31&lt;=产出预期!$M214),--(梦灵养成!$E$10:$E$31=K$2)),1)*10,梦灵养成!AV$339:AV$387,1),0)</f>
        <v>49</v>
      </c>
      <c r="L197" s="45" cm="1">
        <f ca="1" t="array" ref="L197">IFERROR(MATCH(((产出预期!$M214-OFFSET(梦灵养成!$Q$9,MATCH(产出预期!$M214,梦灵养成!$Q$10:$Q$15,1),0))*OFFSET(梦灵养成!O$9,1+MATCH(产出预期!$M214,梦灵养成!$Q$10:$Q$15,1),0)+梦灵养成!G533+SUMPRODUCT(--(梦灵养成!$Q$10:$Q$15&lt;=产出预期!$M214),梦灵养成!O$10:O$15,梦灵养成!$P$10:$P$15))/MAX(SUMPRODUCT(--(梦灵养成!$C$10:$C$31&lt;=产出预期!$M214),--(梦灵养成!$E$10:$E$31=L$2)),1)*10,梦灵养成!AW$339:AW$388,1),0)</f>
        <v>50</v>
      </c>
      <c r="M197" s="45">
        <f ca="1">OFFSET(符文养成!$C$14,MATCH(C197,符文养成!$B$15:$B$44,1),0)</f>
        <v>30</v>
      </c>
      <c r="N197" s="45">
        <f ca="1">MATCH((产出预期!Z214*价值表!$F$53+产出预期!AA214*价值表!$F$54+产出预期!AD214*价值表!$F$57)/16/M197,符文养成!$G$15:$G$21,1)</f>
        <v>5</v>
      </c>
      <c r="O197" s="45">
        <f>MATCH(产出预期!O214,秘宝养成!$C$3:$C$14,1)</f>
        <v>11</v>
      </c>
    </row>
    <row r="198" ht="16.5" spans="2:15">
      <c r="B198" s="2">
        <v>196</v>
      </c>
      <c r="C198" s="2">
        <f ca="1">MATCH((OFFSET(产出预期!$C$3,0,产出预期!$B$1)*10+OFFSET(产出预期!$C$4,0,产出预期!$B$1)*10+OFFSET(产出预期!$C$7,0,产出预期!$B$1)*20)*B198/10*60,玩家等级!$E$3:$E$302,1)</f>
        <v>93</v>
      </c>
      <c r="D198" s="2">
        <f>MATCH(产出预期!P215/6,装备养成!$G$4:$G$303,1)</f>
        <v>133</v>
      </c>
      <c r="E198" s="2">
        <f>COUNTIF(产出预期!$R215:$Y215,"&gt;"&amp;0)</f>
        <v>8</v>
      </c>
      <c r="F198" s="2">
        <f ca="1">MATCH(OFFSET(产出预期!$R$19,B198,E198-1),装备养成!$S$4:$S$9,1)</f>
        <v>6</v>
      </c>
      <c r="G198" s="2" t="str">
        <f ca="1">OFFSET(梦灵养成!$D$9,MATCH(梦灵养成!C229,梦灵养成!$C$10:$C$28,1),0)</f>
        <v>我爱沙</v>
      </c>
      <c r="H198" s="2" t="str">
        <f ca="1">OFFSET(梦灵养成!$I$9,MATCH(梦灵养成!C229,梦灵养成!$C$10:$C$28,1),0)</f>
        <v>后羿</v>
      </c>
      <c r="I198" s="45" cm="1">
        <f ca="1" t="array" ref="I198">IFERROR(MATCH(((产出预期!$M215-OFFSET(梦灵养成!$Q$9,MATCH(产出预期!$M215,梦灵养成!$Q$10:$Q$15,1),0))*OFFSET(梦灵养成!L$9,1+MATCH(产出预期!$M215,梦灵养成!$Q$10:$Q$15,1),0)+梦灵养成!D534+SUMPRODUCT(--(梦灵养成!$Q$10:$Q$15&lt;=产出预期!$M215),梦灵养成!L$10:L$15,梦灵养成!$P$10:$P$15))/MAX(SUMPRODUCT(--(梦灵养成!$C$10:$C$31&lt;=产出预期!$M215),--(梦灵养成!$E$10:$E$31=I$2)),1)*10,梦灵养成!AT$339:AT$387,1),0)</f>
        <v>49</v>
      </c>
      <c r="J198" s="45" cm="1">
        <f ca="1" t="array" ref="J198">IFERROR(MATCH(((产出预期!$M215-OFFSET(梦灵养成!$Q$9,MATCH(产出预期!$M215,梦灵养成!$Q$10:$Q$15,1),0))*OFFSET(梦灵养成!M$9,1+MATCH(产出预期!$M215,梦灵养成!$Q$10:$Q$15,1),0)+梦灵养成!E534+SUMPRODUCT(--(梦灵养成!$Q$10:$Q$15&lt;=产出预期!$M215),梦灵养成!M$10:M$15,梦灵养成!$P$10:$P$15))/MAX(SUMPRODUCT(--(梦灵养成!$C$10:$C$31&lt;=产出预期!$M215),--(梦灵养成!$E$10:$E$31=J$2)),1)*10,梦灵养成!AU$339:AU$387,1),0)</f>
        <v>49</v>
      </c>
      <c r="K198" s="45" cm="1">
        <f ca="1" t="array" ref="K198">IFERROR(MATCH(((产出预期!$M215-OFFSET(梦灵养成!$Q$9,MATCH(产出预期!$M215,梦灵养成!$Q$10:$Q$15,1),0))*OFFSET(梦灵养成!N$9,1+MATCH(产出预期!$M215,梦灵养成!$Q$10:$Q$15,1),0)+梦灵养成!F534+SUMPRODUCT(--(梦灵养成!$Q$10:$Q$15&lt;=产出预期!$M215),梦灵养成!N$10:N$15,梦灵养成!$P$10:$P$15))/MAX(SUMPRODUCT(--(梦灵养成!$C$10:$C$31&lt;=产出预期!$M215),--(梦灵养成!$E$10:$E$31=K$2)),1)*10,梦灵养成!AV$339:AV$387,1),0)</f>
        <v>49</v>
      </c>
      <c r="L198" s="45" cm="1">
        <f ca="1" t="array" ref="L198">IFERROR(MATCH(((产出预期!$M215-OFFSET(梦灵养成!$Q$9,MATCH(产出预期!$M215,梦灵养成!$Q$10:$Q$15,1),0))*OFFSET(梦灵养成!O$9,1+MATCH(产出预期!$M215,梦灵养成!$Q$10:$Q$15,1),0)+梦灵养成!G534+SUMPRODUCT(--(梦灵养成!$Q$10:$Q$15&lt;=产出预期!$M215),梦灵养成!O$10:O$15,梦灵养成!$P$10:$P$15))/MAX(SUMPRODUCT(--(梦灵养成!$C$10:$C$31&lt;=产出预期!$M215),--(梦灵养成!$E$10:$E$31=L$2)),1)*10,梦灵养成!AW$339:AW$388,1),0)</f>
        <v>50</v>
      </c>
      <c r="M198" s="45">
        <f ca="1">OFFSET(符文养成!$C$14,MATCH(C198,符文养成!$B$15:$B$44,1),0)</f>
        <v>30</v>
      </c>
      <c r="N198" s="45">
        <f ca="1">MATCH((产出预期!Z215*价值表!$F$53+产出预期!AA215*价值表!$F$54+产出预期!AD215*价值表!$F$57)/16/M198,符文养成!$G$15:$G$21,1)</f>
        <v>5</v>
      </c>
      <c r="O198" s="45">
        <f>MATCH(产出预期!O215,秘宝养成!$C$3:$C$14,1)</f>
        <v>11</v>
      </c>
    </row>
    <row r="199" ht="16.5" spans="2:15">
      <c r="B199" s="2">
        <v>197</v>
      </c>
      <c r="C199" s="2">
        <f ca="1">MATCH((OFFSET(产出预期!$C$3,0,产出预期!$B$1)*10+OFFSET(产出预期!$C$4,0,产出预期!$B$1)*10+OFFSET(产出预期!$C$7,0,产出预期!$B$1)*20)*B199/10*60,玩家等级!$E$3:$E$302,1)</f>
        <v>93</v>
      </c>
      <c r="D199" s="2">
        <f>MATCH(产出预期!P216/6,装备养成!$G$4:$G$303,1)</f>
        <v>133</v>
      </c>
      <c r="E199" s="2">
        <f>COUNTIF(产出预期!$R216:$Y216,"&gt;"&amp;0)</f>
        <v>8</v>
      </c>
      <c r="F199" s="2">
        <f ca="1">MATCH(OFFSET(产出预期!$R$19,B199,E199-1),装备养成!$S$4:$S$9,1)</f>
        <v>6</v>
      </c>
      <c r="G199" s="2" t="str">
        <f ca="1">OFFSET(梦灵养成!$D$9,MATCH(梦灵养成!C230,梦灵养成!$C$10:$C$28,1),0)</f>
        <v>我爱沙</v>
      </c>
      <c r="H199" s="2" t="str">
        <f ca="1">OFFSET(梦灵养成!$I$9,MATCH(梦灵养成!C230,梦灵养成!$C$10:$C$28,1),0)</f>
        <v>后羿</v>
      </c>
      <c r="I199" s="45" cm="1">
        <f ca="1" t="array" ref="I199">IFERROR(MATCH(((产出预期!$M216-OFFSET(梦灵养成!$Q$9,MATCH(产出预期!$M216,梦灵养成!$Q$10:$Q$15,1),0))*OFFSET(梦灵养成!L$9,1+MATCH(产出预期!$M216,梦灵养成!$Q$10:$Q$15,1),0)+梦灵养成!D535+SUMPRODUCT(--(梦灵养成!$Q$10:$Q$15&lt;=产出预期!$M216),梦灵养成!L$10:L$15,梦灵养成!$P$10:$P$15))/MAX(SUMPRODUCT(--(梦灵养成!$C$10:$C$31&lt;=产出预期!$M216),--(梦灵养成!$E$10:$E$31=I$2)),1)*10,梦灵养成!AT$339:AT$387,1),0)</f>
        <v>49</v>
      </c>
      <c r="J199" s="45" cm="1">
        <f ca="1" t="array" ref="J199">IFERROR(MATCH(((产出预期!$M216-OFFSET(梦灵养成!$Q$9,MATCH(产出预期!$M216,梦灵养成!$Q$10:$Q$15,1),0))*OFFSET(梦灵养成!M$9,1+MATCH(产出预期!$M216,梦灵养成!$Q$10:$Q$15,1),0)+梦灵养成!E535+SUMPRODUCT(--(梦灵养成!$Q$10:$Q$15&lt;=产出预期!$M216),梦灵养成!M$10:M$15,梦灵养成!$P$10:$P$15))/MAX(SUMPRODUCT(--(梦灵养成!$C$10:$C$31&lt;=产出预期!$M216),--(梦灵养成!$E$10:$E$31=J$2)),1)*10,梦灵养成!AU$339:AU$387,1),0)</f>
        <v>49</v>
      </c>
      <c r="K199" s="45" cm="1">
        <f ca="1" t="array" ref="K199">IFERROR(MATCH(((产出预期!$M216-OFFSET(梦灵养成!$Q$9,MATCH(产出预期!$M216,梦灵养成!$Q$10:$Q$15,1),0))*OFFSET(梦灵养成!N$9,1+MATCH(产出预期!$M216,梦灵养成!$Q$10:$Q$15,1),0)+梦灵养成!F535+SUMPRODUCT(--(梦灵养成!$Q$10:$Q$15&lt;=产出预期!$M216),梦灵养成!N$10:N$15,梦灵养成!$P$10:$P$15))/MAX(SUMPRODUCT(--(梦灵养成!$C$10:$C$31&lt;=产出预期!$M216),--(梦灵养成!$E$10:$E$31=K$2)),1)*10,梦灵养成!AV$339:AV$387,1),0)</f>
        <v>49</v>
      </c>
      <c r="L199" s="45" cm="1">
        <f ca="1" t="array" ref="L199">IFERROR(MATCH(((产出预期!$M216-OFFSET(梦灵养成!$Q$9,MATCH(产出预期!$M216,梦灵养成!$Q$10:$Q$15,1),0))*OFFSET(梦灵养成!O$9,1+MATCH(产出预期!$M216,梦灵养成!$Q$10:$Q$15,1),0)+梦灵养成!G535+SUMPRODUCT(--(梦灵养成!$Q$10:$Q$15&lt;=产出预期!$M216),梦灵养成!O$10:O$15,梦灵养成!$P$10:$P$15))/MAX(SUMPRODUCT(--(梦灵养成!$C$10:$C$31&lt;=产出预期!$M216),--(梦灵养成!$E$10:$E$31=L$2)),1)*10,梦灵养成!AW$339:AW$388,1),0)</f>
        <v>50</v>
      </c>
      <c r="M199" s="45">
        <f ca="1">OFFSET(符文养成!$C$14,MATCH(C199,符文养成!$B$15:$B$44,1),0)</f>
        <v>30</v>
      </c>
      <c r="N199" s="45">
        <f ca="1">MATCH((产出预期!Z216*价值表!$F$53+产出预期!AA216*价值表!$F$54+产出预期!AD216*价值表!$F$57)/16/M199,符文养成!$G$15:$G$21,1)</f>
        <v>5</v>
      </c>
      <c r="O199" s="45">
        <f>MATCH(产出预期!O216,秘宝养成!$C$3:$C$14,1)</f>
        <v>11</v>
      </c>
    </row>
    <row r="200" ht="16.5" spans="2:15">
      <c r="B200" s="2">
        <v>198</v>
      </c>
      <c r="C200" s="2">
        <f ca="1">MATCH((OFFSET(产出预期!$C$3,0,产出预期!$B$1)*10+OFFSET(产出预期!$C$4,0,产出预期!$B$1)*10+OFFSET(产出预期!$C$7,0,产出预期!$B$1)*20)*B200/10*60,玩家等级!$E$3:$E$302,1)</f>
        <v>93</v>
      </c>
      <c r="D200" s="2">
        <f>MATCH(产出预期!P217/6,装备养成!$G$4:$G$303,1)</f>
        <v>133</v>
      </c>
      <c r="E200" s="2">
        <f>COUNTIF(产出预期!$R217:$Y217,"&gt;"&amp;0)</f>
        <v>8</v>
      </c>
      <c r="F200" s="2">
        <f ca="1">MATCH(OFFSET(产出预期!$R$19,B200,E200-1),装备养成!$S$4:$S$9,1)</f>
        <v>6</v>
      </c>
      <c r="G200" s="2" t="str">
        <f ca="1">OFFSET(梦灵养成!$D$9,MATCH(梦灵养成!C231,梦灵养成!$C$10:$C$28,1),0)</f>
        <v>我爱沙</v>
      </c>
      <c r="H200" s="2" t="str">
        <f ca="1">OFFSET(梦灵养成!$I$9,MATCH(梦灵养成!C231,梦灵养成!$C$10:$C$28,1),0)</f>
        <v>后羿</v>
      </c>
      <c r="I200" s="45" cm="1">
        <f ca="1" t="array" ref="I200">IFERROR(MATCH(((产出预期!$M217-OFFSET(梦灵养成!$Q$9,MATCH(产出预期!$M217,梦灵养成!$Q$10:$Q$15,1),0))*OFFSET(梦灵养成!L$9,1+MATCH(产出预期!$M217,梦灵养成!$Q$10:$Q$15,1),0)+梦灵养成!D536+SUMPRODUCT(--(梦灵养成!$Q$10:$Q$15&lt;=产出预期!$M217),梦灵养成!L$10:L$15,梦灵养成!$P$10:$P$15))/MAX(SUMPRODUCT(--(梦灵养成!$C$10:$C$31&lt;=产出预期!$M217),--(梦灵养成!$E$10:$E$31=I$2)),1)*10,梦灵养成!AT$339:AT$387,1),0)</f>
        <v>49</v>
      </c>
      <c r="J200" s="45" cm="1">
        <f ca="1" t="array" ref="J200">IFERROR(MATCH(((产出预期!$M217-OFFSET(梦灵养成!$Q$9,MATCH(产出预期!$M217,梦灵养成!$Q$10:$Q$15,1),0))*OFFSET(梦灵养成!M$9,1+MATCH(产出预期!$M217,梦灵养成!$Q$10:$Q$15,1),0)+梦灵养成!E536+SUMPRODUCT(--(梦灵养成!$Q$10:$Q$15&lt;=产出预期!$M217),梦灵养成!M$10:M$15,梦灵养成!$P$10:$P$15))/MAX(SUMPRODUCT(--(梦灵养成!$C$10:$C$31&lt;=产出预期!$M217),--(梦灵养成!$E$10:$E$31=J$2)),1)*10,梦灵养成!AU$339:AU$387,1),0)</f>
        <v>49</v>
      </c>
      <c r="K200" s="45" cm="1">
        <f ca="1" t="array" ref="K200">IFERROR(MATCH(((产出预期!$M217-OFFSET(梦灵养成!$Q$9,MATCH(产出预期!$M217,梦灵养成!$Q$10:$Q$15,1),0))*OFFSET(梦灵养成!N$9,1+MATCH(产出预期!$M217,梦灵养成!$Q$10:$Q$15,1),0)+梦灵养成!F536+SUMPRODUCT(--(梦灵养成!$Q$10:$Q$15&lt;=产出预期!$M217),梦灵养成!N$10:N$15,梦灵养成!$P$10:$P$15))/MAX(SUMPRODUCT(--(梦灵养成!$C$10:$C$31&lt;=产出预期!$M217),--(梦灵养成!$E$10:$E$31=K$2)),1)*10,梦灵养成!AV$339:AV$387,1),0)</f>
        <v>49</v>
      </c>
      <c r="L200" s="45" cm="1">
        <f ca="1" t="array" ref="L200">IFERROR(MATCH(((产出预期!$M217-OFFSET(梦灵养成!$Q$9,MATCH(产出预期!$M217,梦灵养成!$Q$10:$Q$15,1),0))*OFFSET(梦灵养成!O$9,1+MATCH(产出预期!$M217,梦灵养成!$Q$10:$Q$15,1),0)+梦灵养成!G536+SUMPRODUCT(--(梦灵养成!$Q$10:$Q$15&lt;=产出预期!$M217),梦灵养成!O$10:O$15,梦灵养成!$P$10:$P$15))/MAX(SUMPRODUCT(--(梦灵养成!$C$10:$C$31&lt;=产出预期!$M217),--(梦灵养成!$E$10:$E$31=L$2)),1)*10,梦灵养成!AW$339:AW$388,1),0)</f>
        <v>50</v>
      </c>
      <c r="M200" s="45">
        <f ca="1">OFFSET(符文养成!$C$14,MATCH(C200,符文养成!$B$15:$B$44,1),0)</f>
        <v>30</v>
      </c>
      <c r="N200" s="45">
        <f ca="1">MATCH((产出预期!Z217*价值表!$F$53+产出预期!AA217*价值表!$F$54+产出预期!AD217*价值表!$F$57)/16/M200,符文养成!$G$15:$G$21,1)</f>
        <v>5</v>
      </c>
      <c r="O200" s="45">
        <f>MATCH(产出预期!O217,秘宝养成!$C$3:$C$14,1)</f>
        <v>11</v>
      </c>
    </row>
    <row r="201" ht="16.5" spans="2:15">
      <c r="B201" s="2">
        <v>199</v>
      </c>
      <c r="C201" s="2">
        <f ca="1">MATCH((OFFSET(产出预期!$C$3,0,产出预期!$B$1)*10+OFFSET(产出预期!$C$4,0,产出预期!$B$1)*10+OFFSET(产出预期!$C$7,0,产出预期!$B$1)*20)*B201/10*60,玩家等级!$E$3:$E$302,1)</f>
        <v>93</v>
      </c>
      <c r="D201" s="2">
        <f>MATCH(产出预期!P218/6,装备养成!$G$4:$G$303,1)</f>
        <v>134</v>
      </c>
      <c r="E201" s="2">
        <f>COUNTIF(产出预期!$R218:$Y218,"&gt;"&amp;0)</f>
        <v>8</v>
      </c>
      <c r="F201" s="2">
        <f ca="1">MATCH(OFFSET(产出预期!$R$19,B201,E201-1),装备养成!$S$4:$S$9,1)</f>
        <v>6</v>
      </c>
      <c r="G201" s="2" t="str">
        <f ca="1">OFFSET(梦灵养成!$D$9,MATCH(梦灵养成!C232,梦灵养成!$C$10:$C$28,1),0)</f>
        <v>我爱沙</v>
      </c>
      <c r="H201" s="2" t="str">
        <f ca="1">OFFSET(梦灵养成!$I$9,MATCH(梦灵养成!C232,梦灵养成!$C$10:$C$28,1),0)</f>
        <v>后羿</v>
      </c>
      <c r="I201" s="45" cm="1">
        <f ca="1" t="array" ref="I201">IFERROR(MATCH(((产出预期!$M218-OFFSET(梦灵养成!$Q$9,MATCH(产出预期!$M218,梦灵养成!$Q$10:$Q$15,1),0))*OFFSET(梦灵养成!L$9,1+MATCH(产出预期!$M218,梦灵养成!$Q$10:$Q$15,1),0)+梦灵养成!D537+SUMPRODUCT(--(梦灵养成!$Q$10:$Q$15&lt;=产出预期!$M218),梦灵养成!L$10:L$15,梦灵养成!$P$10:$P$15))/MAX(SUMPRODUCT(--(梦灵养成!$C$10:$C$31&lt;=产出预期!$M218),--(梦灵养成!$E$10:$E$31=I$2)),1)*10,梦灵养成!AT$339:AT$387,1),0)</f>
        <v>49</v>
      </c>
      <c r="J201" s="45" cm="1">
        <f ca="1" t="array" ref="J201">IFERROR(MATCH(((产出预期!$M218-OFFSET(梦灵养成!$Q$9,MATCH(产出预期!$M218,梦灵养成!$Q$10:$Q$15,1),0))*OFFSET(梦灵养成!M$9,1+MATCH(产出预期!$M218,梦灵养成!$Q$10:$Q$15,1),0)+梦灵养成!E537+SUMPRODUCT(--(梦灵养成!$Q$10:$Q$15&lt;=产出预期!$M218),梦灵养成!M$10:M$15,梦灵养成!$P$10:$P$15))/MAX(SUMPRODUCT(--(梦灵养成!$C$10:$C$31&lt;=产出预期!$M218),--(梦灵养成!$E$10:$E$31=J$2)),1)*10,梦灵养成!AU$339:AU$387,1),0)</f>
        <v>49</v>
      </c>
      <c r="K201" s="45" cm="1">
        <f ca="1" t="array" ref="K201">IFERROR(MATCH(((产出预期!$M218-OFFSET(梦灵养成!$Q$9,MATCH(产出预期!$M218,梦灵养成!$Q$10:$Q$15,1),0))*OFFSET(梦灵养成!N$9,1+MATCH(产出预期!$M218,梦灵养成!$Q$10:$Q$15,1),0)+梦灵养成!F537+SUMPRODUCT(--(梦灵养成!$Q$10:$Q$15&lt;=产出预期!$M218),梦灵养成!N$10:N$15,梦灵养成!$P$10:$P$15))/MAX(SUMPRODUCT(--(梦灵养成!$C$10:$C$31&lt;=产出预期!$M218),--(梦灵养成!$E$10:$E$31=K$2)),1)*10,梦灵养成!AV$339:AV$387,1),0)</f>
        <v>49</v>
      </c>
      <c r="L201" s="45" cm="1">
        <f ca="1" t="array" ref="L201">IFERROR(MATCH(((产出预期!$M218-OFFSET(梦灵养成!$Q$9,MATCH(产出预期!$M218,梦灵养成!$Q$10:$Q$15,1),0))*OFFSET(梦灵养成!O$9,1+MATCH(产出预期!$M218,梦灵养成!$Q$10:$Q$15,1),0)+梦灵养成!G537+SUMPRODUCT(--(梦灵养成!$Q$10:$Q$15&lt;=产出预期!$M218),梦灵养成!O$10:O$15,梦灵养成!$P$10:$P$15))/MAX(SUMPRODUCT(--(梦灵养成!$C$10:$C$31&lt;=产出预期!$M218),--(梦灵养成!$E$10:$E$31=L$2)),1)*10,梦灵养成!AW$339:AW$388,1),0)</f>
        <v>50</v>
      </c>
      <c r="M201" s="45">
        <f ca="1">OFFSET(符文养成!$C$14,MATCH(C201,符文养成!$B$15:$B$44,1),0)</f>
        <v>30</v>
      </c>
      <c r="N201" s="45">
        <f ca="1">MATCH((产出预期!Z218*价值表!$F$53+产出预期!AA218*价值表!$F$54+产出预期!AD218*价值表!$F$57)/16/M201,符文养成!$G$15:$G$21,1)</f>
        <v>5</v>
      </c>
      <c r="O201" s="45">
        <f>MATCH(产出预期!O218,秘宝养成!$C$3:$C$14,1)</f>
        <v>11</v>
      </c>
    </row>
    <row r="202" ht="16.5" spans="2:15">
      <c r="B202" s="2">
        <v>200</v>
      </c>
      <c r="C202" s="2">
        <f ca="1">MATCH((OFFSET(产出预期!$C$3,0,产出预期!$B$1)*10+OFFSET(产出预期!$C$4,0,产出预期!$B$1)*10+OFFSET(产出预期!$C$7,0,产出预期!$B$1)*20)*B202/10*60,玩家等级!$E$3:$E$302,1)</f>
        <v>93</v>
      </c>
      <c r="D202" s="2">
        <f>MATCH(产出预期!P219/6,装备养成!$G$4:$G$303,1)</f>
        <v>134</v>
      </c>
      <c r="E202" s="2">
        <f>COUNTIF(产出预期!$R219:$Y219,"&gt;"&amp;0)</f>
        <v>8</v>
      </c>
      <c r="F202" s="2">
        <f ca="1">MATCH(OFFSET(产出预期!$R$19,B202,E202-1),装备养成!$S$4:$S$9,1)</f>
        <v>6</v>
      </c>
      <c r="G202" s="2" t="str">
        <f ca="1">OFFSET(梦灵养成!$D$9,MATCH(梦灵养成!C233,梦灵养成!$C$10:$C$28,1),0)</f>
        <v>我爱沙</v>
      </c>
      <c r="H202" s="2" t="str">
        <f ca="1">OFFSET(梦灵养成!$I$9,MATCH(梦灵养成!C233,梦灵养成!$C$10:$C$28,1),0)</f>
        <v>后羿</v>
      </c>
      <c r="I202" s="45" cm="1">
        <f ca="1" t="array" ref="I202">IFERROR(MATCH(((产出预期!$M219-OFFSET(梦灵养成!$Q$9,MATCH(产出预期!$M219,梦灵养成!$Q$10:$Q$15,1),0))*OFFSET(梦灵养成!L$9,1+MATCH(产出预期!$M219,梦灵养成!$Q$10:$Q$15,1),0)+梦灵养成!D538+SUMPRODUCT(--(梦灵养成!$Q$10:$Q$15&lt;=产出预期!$M219),梦灵养成!L$10:L$15,梦灵养成!$P$10:$P$15))/MAX(SUMPRODUCT(--(梦灵养成!$C$10:$C$31&lt;=产出预期!$M219),--(梦灵养成!$E$10:$E$31=I$2)),1)*10,梦灵养成!AT$339:AT$387,1),0)</f>
        <v>49</v>
      </c>
      <c r="J202" s="45" cm="1">
        <f ca="1" t="array" ref="J202">IFERROR(MATCH(((产出预期!$M219-OFFSET(梦灵养成!$Q$9,MATCH(产出预期!$M219,梦灵养成!$Q$10:$Q$15,1),0))*OFFSET(梦灵养成!M$9,1+MATCH(产出预期!$M219,梦灵养成!$Q$10:$Q$15,1),0)+梦灵养成!E538+SUMPRODUCT(--(梦灵养成!$Q$10:$Q$15&lt;=产出预期!$M219),梦灵养成!M$10:M$15,梦灵养成!$P$10:$P$15))/MAX(SUMPRODUCT(--(梦灵养成!$C$10:$C$31&lt;=产出预期!$M219),--(梦灵养成!$E$10:$E$31=J$2)),1)*10,梦灵养成!AU$339:AU$387,1),0)</f>
        <v>49</v>
      </c>
      <c r="K202" s="45" cm="1">
        <f ca="1" t="array" ref="K202">IFERROR(MATCH(((产出预期!$M219-OFFSET(梦灵养成!$Q$9,MATCH(产出预期!$M219,梦灵养成!$Q$10:$Q$15,1),0))*OFFSET(梦灵养成!N$9,1+MATCH(产出预期!$M219,梦灵养成!$Q$10:$Q$15,1),0)+梦灵养成!F538+SUMPRODUCT(--(梦灵养成!$Q$10:$Q$15&lt;=产出预期!$M219),梦灵养成!N$10:N$15,梦灵养成!$P$10:$P$15))/MAX(SUMPRODUCT(--(梦灵养成!$C$10:$C$31&lt;=产出预期!$M219),--(梦灵养成!$E$10:$E$31=K$2)),1)*10,梦灵养成!AV$339:AV$387,1),0)</f>
        <v>49</v>
      </c>
      <c r="L202" s="45" cm="1">
        <f ca="1" t="array" ref="L202">IFERROR(MATCH(((产出预期!$M219-OFFSET(梦灵养成!$Q$9,MATCH(产出预期!$M219,梦灵养成!$Q$10:$Q$15,1),0))*OFFSET(梦灵养成!O$9,1+MATCH(产出预期!$M219,梦灵养成!$Q$10:$Q$15,1),0)+梦灵养成!G538+SUMPRODUCT(--(梦灵养成!$Q$10:$Q$15&lt;=产出预期!$M219),梦灵养成!O$10:O$15,梦灵养成!$P$10:$P$15))/MAX(SUMPRODUCT(--(梦灵养成!$C$10:$C$31&lt;=产出预期!$M219),--(梦灵养成!$E$10:$E$31=L$2)),1)*10,梦灵养成!AW$339:AW$388,1),0)</f>
        <v>50</v>
      </c>
      <c r="M202" s="45">
        <f ca="1">OFFSET(符文养成!$C$14,MATCH(C202,符文养成!$B$15:$B$44,1),0)</f>
        <v>30</v>
      </c>
      <c r="N202" s="45">
        <f ca="1">MATCH((产出预期!Z219*价值表!$F$53+产出预期!AA219*价值表!$F$54+产出预期!AD219*价值表!$F$57)/16/M202,符文养成!$G$15:$G$21,1)</f>
        <v>5</v>
      </c>
      <c r="O202" s="45">
        <f>MATCH(产出预期!O219,秘宝养成!$C$3:$C$14,1)</f>
        <v>11</v>
      </c>
    </row>
    <row r="203" ht="16.5" spans="2:15">
      <c r="B203" s="2">
        <v>201</v>
      </c>
      <c r="C203" s="2">
        <f ca="1">MATCH((OFFSET(产出预期!$C$3,0,产出预期!$B$1)*10+OFFSET(产出预期!$C$4,0,产出预期!$B$1)*10+OFFSET(产出预期!$C$7,0,产出预期!$B$1)*20)*B203/10*60,玩家等级!$E$3:$E$302,1)</f>
        <v>93</v>
      </c>
      <c r="D203" s="2">
        <f>MATCH(产出预期!P220/6,装备养成!$G$4:$G$303,1)</f>
        <v>134</v>
      </c>
      <c r="E203" s="2">
        <f>COUNTIF(产出预期!$R220:$Y220,"&gt;"&amp;0)</f>
        <v>8</v>
      </c>
      <c r="F203" s="2">
        <f ca="1">MATCH(OFFSET(产出预期!$R$19,B203,E203-1),装备养成!$S$4:$S$9,1)</f>
        <v>6</v>
      </c>
      <c r="G203" s="2" t="str">
        <f ca="1">OFFSET(梦灵养成!$D$9,MATCH(梦灵养成!C234,梦灵养成!$C$10:$C$28,1),0)</f>
        <v>我爱沙</v>
      </c>
      <c r="H203" s="2" t="str">
        <f ca="1">OFFSET(梦灵养成!$I$9,MATCH(梦灵养成!C234,梦灵养成!$C$10:$C$28,1),0)</f>
        <v>后羿</v>
      </c>
      <c r="I203" s="45" cm="1">
        <f ca="1" t="array" ref="I203">IFERROR(MATCH(((产出预期!$M220-OFFSET(梦灵养成!$Q$9,MATCH(产出预期!$M220,梦灵养成!$Q$10:$Q$15,1),0))*OFFSET(梦灵养成!L$9,1+MATCH(产出预期!$M220,梦灵养成!$Q$10:$Q$15,1),0)+梦灵养成!D539+SUMPRODUCT(--(梦灵养成!$Q$10:$Q$15&lt;=产出预期!$M220),梦灵养成!L$10:L$15,梦灵养成!$P$10:$P$15))/MAX(SUMPRODUCT(--(梦灵养成!$C$10:$C$31&lt;=产出预期!$M220),--(梦灵养成!$E$10:$E$31=I$2)),1)*10,梦灵养成!AT$339:AT$387,1),0)</f>
        <v>49</v>
      </c>
      <c r="J203" s="45" cm="1">
        <f ca="1" t="array" ref="J203">IFERROR(MATCH(((产出预期!$M220-OFFSET(梦灵养成!$Q$9,MATCH(产出预期!$M220,梦灵养成!$Q$10:$Q$15,1),0))*OFFSET(梦灵养成!M$9,1+MATCH(产出预期!$M220,梦灵养成!$Q$10:$Q$15,1),0)+梦灵养成!E539+SUMPRODUCT(--(梦灵养成!$Q$10:$Q$15&lt;=产出预期!$M220),梦灵养成!M$10:M$15,梦灵养成!$P$10:$P$15))/MAX(SUMPRODUCT(--(梦灵养成!$C$10:$C$31&lt;=产出预期!$M220),--(梦灵养成!$E$10:$E$31=J$2)),1)*10,梦灵养成!AU$339:AU$387,1),0)</f>
        <v>49</v>
      </c>
      <c r="K203" s="45" cm="1">
        <f ca="1" t="array" ref="K203">IFERROR(MATCH(((产出预期!$M220-OFFSET(梦灵养成!$Q$9,MATCH(产出预期!$M220,梦灵养成!$Q$10:$Q$15,1),0))*OFFSET(梦灵养成!N$9,1+MATCH(产出预期!$M220,梦灵养成!$Q$10:$Q$15,1),0)+梦灵养成!F539+SUMPRODUCT(--(梦灵养成!$Q$10:$Q$15&lt;=产出预期!$M220),梦灵养成!N$10:N$15,梦灵养成!$P$10:$P$15))/MAX(SUMPRODUCT(--(梦灵养成!$C$10:$C$31&lt;=产出预期!$M220),--(梦灵养成!$E$10:$E$31=K$2)),1)*10,梦灵养成!AV$339:AV$387,1),0)</f>
        <v>49</v>
      </c>
      <c r="L203" s="45" cm="1">
        <f ca="1" t="array" ref="L203">IFERROR(MATCH(((产出预期!$M220-OFFSET(梦灵养成!$Q$9,MATCH(产出预期!$M220,梦灵养成!$Q$10:$Q$15,1),0))*OFFSET(梦灵养成!O$9,1+MATCH(产出预期!$M220,梦灵养成!$Q$10:$Q$15,1),0)+梦灵养成!G539+SUMPRODUCT(--(梦灵养成!$Q$10:$Q$15&lt;=产出预期!$M220),梦灵养成!O$10:O$15,梦灵养成!$P$10:$P$15))/MAX(SUMPRODUCT(--(梦灵养成!$C$10:$C$31&lt;=产出预期!$M220),--(梦灵养成!$E$10:$E$31=L$2)),1)*10,梦灵养成!AW$339:AW$388,1),0)</f>
        <v>50</v>
      </c>
      <c r="M203" s="45">
        <f ca="1">OFFSET(符文养成!$C$14,MATCH(C203,符文养成!$B$15:$B$44,1),0)</f>
        <v>30</v>
      </c>
      <c r="N203" s="45">
        <f ca="1">MATCH((产出预期!Z220*价值表!$F$53+产出预期!AA220*价值表!$F$54+产出预期!AD220*价值表!$F$57)/16/M203,符文养成!$G$15:$G$21,1)</f>
        <v>5</v>
      </c>
      <c r="O203" s="45">
        <f>MATCH(产出预期!O220,秘宝养成!$C$3:$C$14,1)</f>
        <v>11</v>
      </c>
    </row>
    <row r="204" ht="16.5" spans="2:15">
      <c r="B204" s="2">
        <v>202</v>
      </c>
      <c r="C204" s="2">
        <f ca="1">MATCH((OFFSET(产出预期!$C$3,0,产出预期!$B$1)*10+OFFSET(产出预期!$C$4,0,产出预期!$B$1)*10+OFFSET(产出预期!$C$7,0,产出预期!$B$1)*20)*B204/10*60,玩家等级!$E$3:$E$302,1)</f>
        <v>94</v>
      </c>
      <c r="D204" s="2">
        <f>MATCH(产出预期!P221/6,装备养成!$G$4:$G$303,1)</f>
        <v>134</v>
      </c>
      <c r="E204" s="2">
        <f>COUNTIF(产出预期!$R221:$Y221,"&gt;"&amp;0)</f>
        <v>8</v>
      </c>
      <c r="F204" s="2">
        <f ca="1">MATCH(OFFSET(产出预期!$R$19,B204,E204-1),装备养成!$S$4:$S$9,1)</f>
        <v>6</v>
      </c>
      <c r="G204" s="2" t="str">
        <f ca="1">OFFSET(梦灵养成!$D$9,MATCH(梦灵养成!C235,梦灵养成!$C$10:$C$28,1),0)</f>
        <v>我爱沙</v>
      </c>
      <c r="H204" s="2" t="str">
        <f ca="1">OFFSET(梦灵养成!$I$9,MATCH(梦灵养成!C235,梦灵养成!$C$10:$C$28,1),0)</f>
        <v>后羿</v>
      </c>
      <c r="I204" s="45" cm="1">
        <f ca="1" t="array" ref="I204">IFERROR(MATCH(((产出预期!$M221-OFFSET(梦灵养成!$Q$9,MATCH(产出预期!$M221,梦灵养成!$Q$10:$Q$15,1),0))*OFFSET(梦灵养成!L$9,1+MATCH(产出预期!$M221,梦灵养成!$Q$10:$Q$15,1),0)+梦灵养成!D540+SUMPRODUCT(--(梦灵养成!$Q$10:$Q$15&lt;=产出预期!$M221),梦灵养成!L$10:L$15,梦灵养成!$P$10:$P$15))/MAX(SUMPRODUCT(--(梦灵养成!$C$10:$C$31&lt;=产出预期!$M221),--(梦灵养成!$E$10:$E$31=I$2)),1)*10,梦灵养成!AT$339:AT$387,1),0)</f>
        <v>49</v>
      </c>
      <c r="J204" s="45" cm="1">
        <f ca="1" t="array" ref="J204">IFERROR(MATCH(((产出预期!$M221-OFFSET(梦灵养成!$Q$9,MATCH(产出预期!$M221,梦灵养成!$Q$10:$Q$15,1),0))*OFFSET(梦灵养成!M$9,1+MATCH(产出预期!$M221,梦灵养成!$Q$10:$Q$15,1),0)+梦灵养成!E540+SUMPRODUCT(--(梦灵养成!$Q$10:$Q$15&lt;=产出预期!$M221),梦灵养成!M$10:M$15,梦灵养成!$P$10:$P$15))/MAX(SUMPRODUCT(--(梦灵养成!$C$10:$C$31&lt;=产出预期!$M221),--(梦灵养成!$E$10:$E$31=J$2)),1)*10,梦灵养成!AU$339:AU$387,1),0)</f>
        <v>49</v>
      </c>
      <c r="K204" s="45" cm="1">
        <f ca="1" t="array" ref="K204">IFERROR(MATCH(((产出预期!$M221-OFFSET(梦灵养成!$Q$9,MATCH(产出预期!$M221,梦灵养成!$Q$10:$Q$15,1),0))*OFFSET(梦灵养成!N$9,1+MATCH(产出预期!$M221,梦灵养成!$Q$10:$Q$15,1),0)+梦灵养成!F540+SUMPRODUCT(--(梦灵养成!$Q$10:$Q$15&lt;=产出预期!$M221),梦灵养成!N$10:N$15,梦灵养成!$P$10:$P$15))/MAX(SUMPRODUCT(--(梦灵养成!$C$10:$C$31&lt;=产出预期!$M221),--(梦灵养成!$E$10:$E$31=K$2)),1)*10,梦灵养成!AV$339:AV$387,1),0)</f>
        <v>49</v>
      </c>
      <c r="L204" s="45" cm="1">
        <f ca="1" t="array" ref="L204">IFERROR(MATCH(((产出预期!$M221-OFFSET(梦灵养成!$Q$9,MATCH(产出预期!$M221,梦灵养成!$Q$10:$Q$15,1),0))*OFFSET(梦灵养成!O$9,1+MATCH(产出预期!$M221,梦灵养成!$Q$10:$Q$15,1),0)+梦灵养成!G540+SUMPRODUCT(--(梦灵养成!$Q$10:$Q$15&lt;=产出预期!$M221),梦灵养成!O$10:O$15,梦灵养成!$P$10:$P$15))/MAX(SUMPRODUCT(--(梦灵养成!$C$10:$C$31&lt;=产出预期!$M221),--(梦灵养成!$E$10:$E$31=L$2)),1)*10,梦灵养成!AW$339:AW$388,1),0)</f>
        <v>50</v>
      </c>
      <c r="M204" s="45">
        <f ca="1">OFFSET(符文养成!$C$14,MATCH(C204,符文养成!$B$15:$B$44,1),0)</f>
        <v>30</v>
      </c>
      <c r="N204" s="45">
        <f ca="1">MATCH((产出预期!Z221*价值表!$F$53+产出预期!AA221*价值表!$F$54+产出预期!AD221*价值表!$F$57)/16/M204,符文养成!$G$15:$G$21,1)</f>
        <v>5</v>
      </c>
      <c r="O204" s="45">
        <f>MATCH(产出预期!O221,秘宝养成!$C$3:$C$14,1)</f>
        <v>11</v>
      </c>
    </row>
    <row r="205" ht="16.5" spans="2:15">
      <c r="B205" s="2">
        <v>203</v>
      </c>
      <c r="C205" s="2">
        <f ca="1">MATCH((OFFSET(产出预期!$C$3,0,产出预期!$B$1)*10+OFFSET(产出预期!$C$4,0,产出预期!$B$1)*10+OFFSET(产出预期!$C$7,0,产出预期!$B$1)*20)*B205/10*60,玩家等级!$E$3:$E$302,1)</f>
        <v>94</v>
      </c>
      <c r="D205" s="2">
        <f>MATCH(产出预期!P222/6,装备养成!$G$4:$G$303,1)</f>
        <v>135</v>
      </c>
      <c r="E205" s="2">
        <f>COUNTIF(产出预期!$R222:$Y222,"&gt;"&amp;0)</f>
        <v>8</v>
      </c>
      <c r="F205" s="2">
        <f ca="1">MATCH(OFFSET(产出预期!$R$19,B205,E205-1),装备养成!$S$4:$S$9,1)</f>
        <v>6</v>
      </c>
      <c r="G205" s="2" t="str">
        <f ca="1">OFFSET(梦灵养成!$D$9,MATCH(梦灵养成!C236,梦灵养成!$C$10:$C$28,1),0)</f>
        <v>我爱沙</v>
      </c>
      <c r="H205" s="2" t="str">
        <f ca="1">OFFSET(梦灵养成!$I$9,MATCH(梦灵养成!C236,梦灵养成!$C$10:$C$28,1),0)</f>
        <v>后羿</v>
      </c>
      <c r="I205" s="45" cm="1">
        <f ca="1" t="array" ref="I205">IFERROR(MATCH(((产出预期!$M222-OFFSET(梦灵养成!$Q$9,MATCH(产出预期!$M222,梦灵养成!$Q$10:$Q$15,1),0))*OFFSET(梦灵养成!L$9,1+MATCH(产出预期!$M222,梦灵养成!$Q$10:$Q$15,1),0)+梦灵养成!D541+SUMPRODUCT(--(梦灵养成!$Q$10:$Q$15&lt;=产出预期!$M222),梦灵养成!L$10:L$15,梦灵养成!$P$10:$P$15))/MAX(SUMPRODUCT(--(梦灵养成!$C$10:$C$31&lt;=产出预期!$M222),--(梦灵养成!$E$10:$E$31=I$2)),1)*10,梦灵养成!AT$339:AT$387,1),0)</f>
        <v>49</v>
      </c>
      <c r="J205" s="45" cm="1">
        <f ca="1" t="array" ref="J205">IFERROR(MATCH(((产出预期!$M222-OFFSET(梦灵养成!$Q$9,MATCH(产出预期!$M222,梦灵养成!$Q$10:$Q$15,1),0))*OFFSET(梦灵养成!M$9,1+MATCH(产出预期!$M222,梦灵养成!$Q$10:$Q$15,1),0)+梦灵养成!E541+SUMPRODUCT(--(梦灵养成!$Q$10:$Q$15&lt;=产出预期!$M222),梦灵养成!M$10:M$15,梦灵养成!$P$10:$P$15))/MAX(SUMPRODUCT(--(梦灵养成!$C$10:$C$31&lt;=产出预期!$M222),--(梦灵养成!$E$10:$E$31=J$2)),1)*10,梦灵养成!AU$339:AU$387,1),0)</f>
        <v>49</v>
      </c>
      <c r="K205" s="45" cm="1">
        <f ca="1" t="array" ref="K205">IFERROR(MATCH(((产出预期!$M222-OFFSET(梦灵养成!$Q$9,MATCH(产出预期!$M222,梦灵养成!$Q$10:$Q$15,1),0))*OFFSET(梦灵养成!N$9,1+MATCH(产出预期!$M222,梦灵养成!$Q$10:$Q$15,1),0)+梦灵养成!F541+SUMPRODUCT(--(梦灵养成!$Q$10:$Q$15&lt;=产出预期!$M222),梦灵养成!N$10:N$15,梦灵养成!$P$10:$P$15))/MAX(SUMPRODUCT(--(梦灵养成!$C$10:$C$31&lt;=产出预期!$M222),--(梦灵养成!$E$10:$E$31=K$2)),1)*10,梦灵养成!AV$339:AV$387,1),0)</f>
        <v>49</v>
      </c>
      <c r="L205" s="45" cm="1">
        <f ca="1" t="array" ref="L205">IFERROR(MATCH(((产出预期!$M222-OFFSET(梦灵养成!$Q$9,MATCH(产出预期!$M222,梦灵养成!$Q$10:$Q$15,1),0))*OFFSET(梦灵养成!O$9,1+MATCH(产出预期!$M222,梦灵养成!$Q$10:$Q$15,1),0)+梦灵养成!G541+SUMPRODUCT(--(梦灵养成!$Q$10:$Q$15&lt;=产出预期!$M222),梦灵养成!O$10:O$15,梦灵养成!$P$10:$P$15))/MAX(SUMPRODUCT(--(梦灵养成!$C$10:$C$31&lt;=产出预期!$M222),--(梦灵养成!$E$10:$E$31=L$2)),1)*10,梦灵养成!AW$339:AW$388,1),0)</f>
        <v>50</v>
      </c>
      <c r="M205" s="45">
        <f ca="1">OFFSET(符文养成!$C$14,MATCH(C205,符文养成!$B$15:$B$44,1),0)</f>
        <v>30</v>
      </c>
      <c r="N205" s="45">
        <f ca="1">MATCH((产出预期!Z222*价值表!$F$53+产出预期!AA222*价值表!$F$54+产出预期!AD222*价值表!$F$57)/16/M205,符文养成!$G$15:$G$21,1)</f>
        <v>5</v>
      </c>
      <c r="O205" s="45">
        <f>MATCH(产出预期!O222,秘宝养成!$C$3:$C$14,1)</f>
        <v>11</v>
      </c>
    </row>
    <row r="206" ht="16.5" spans="2:15">
      <c r="B206" s="2">
        <v>204</v>
      </c>
      <c r="C206" s="2">
        <f ca="1">MATCH((OFFSET(产出预期!$C$3,0,产出预期!$B$1)*10+OFFSET(产出预期!$C$4,0,产出预期!$B$1)*10+OFFSET(产出预期!$C$7,0,产出预期!$B$1)*20)*B206/10*60,玩家等级!$E$3:$E$302,1)</f>
        <v>94</v>
      </c>
      <c r="D206" s="2">
        <f>MATCH(产出预期!P223/6,装备养成!$G$4:$G$303,1)</f>
        <v>135</v>
      </c>
      <c r="E206" s="2">
        <f>COUNTIF(产出预期!$R223:$Y223,"&gt;"&amp;0)</f>
        <v>8</v>
      </c>
      <c r="F206" s="2">
        <f ca="1">MATCH(OFFSET(产出预期!$R$19,B206,E206-1),装备养成!$S$4:$S$9,1)</f>
        <v>6</v>
      </c>
      <c r="G206" s="2" t="str">
        <f ca="1">OFFSET(梦灵养成!$D$9,MATCH(梦灵养成!C237,梦灵养成!$C$10:$C$28,1),0)</f>
        <v>我爱沙</v>
      </c>
      <c r="H206" s="2" t="str">
        <f ca="1">OFFSET(梦灵养成!$I$9,MATCH(梦灵养成!C237,梦灵养成!$C$10:$C$28,1),0)</f>
        <v>后羿</v>
      </c>
      <c r="I206" s="45" cm="1">
        <f ca="1" t="array" ref="I206">IFERROR(MATCH(((产出预期!$M223-OFFSET(梦灵养成!$Q$9,MATCH(产出预期!$M223,梦灵养成!$Q$10:$Q$15,1),0))*OFFSET(梦灵养成!L$9,1+MATCH(产出预期!$M223,梦灵养成!$Q$10:$Q$15,1),0)+梦灵养成!D542+SUMPRODUCT(--(梦灵养成!$Q$10:$Q$15&lt;=产出预期!$M223),梦灵养成!L$10:L$15,梦灵养成!$P$10:$P$15))/MAX(SUMPRODUCT(--(梦灵养成!$C$10:$C$31&lt;=产出预期!$M223),--(梦灵养成!$E$10:$E$31=I$2)),1)*10,梦灵养成!AT$339:AT$387,1),0)</f>
        <v>49</v>
      </c>
      <c r="J206" s="45" cm="1">
        <f ca="1" t="array" ref="J206">IFERROR(MATCH(((产出预期!$M223-OFFSET(梦灵养成!$Q$9,MATCH(产出预期!$M223,梦灵养成!$Q$10:$Q$15,1),0))*OFFSET(梦灵养成!M$9,1+MATCH(产出预期!$M223,梦灵养成!$Q$10:$Q$15,1),0)+梦灵养成!E542+SUMPRODUCT(--(梦灵养成!$Q$10:$Q$15&lt;=产出预期!$M223),梦灵养成!M$10:M$15,梦灵养成!$P$10:$P$15))/MAX(SUMPRODUCT(--(梦灵养成!$C$10:$C$31&lt;=产出预期!$M223),--(梦灵养成!$E$10:$E$31=J$2)),1)*10,梦灵养成!AU$339:AU$387,1),0)</f>
        <v>49</v>
      </c>
      <c r="K206" s="45" cm="1">
        <f ca="1" t="array" ref="K206">IFERROR(MATCH(((产出预期!$M223-OFFSET(梦灵养成!$Q$9,MATCH(产出预期!$M223,梦灵养成!$Q$10:$Q$15,1),0))*OFFSET(梦灵养成!N$9,1+MATCH(产出预期!$M223,梦灵养成!$Q$10:$Q$15,1),0)+梦灵养成!F542+SUMPRODUCT(--(梦灵养成!$Q$10:$Q$15&lt;=产出预期!$M223),梦灵养成!N$10:N$15,梦灵养成!$P$10:$P$15))/MAX(SUMPRODUCT(--(梦灵养成!$C$10:$C$31&lt;=产出预期!$M223),--(梦灵养成!$E$10:$E$31=K$2)),1)*10,梦灵养成!AV$339:AV$387,1),0)</f>
        <v>49</v>
      </c>
      <c r="L206" s="45" cm="1">
        <f ca="1" t="array" ref="L206">IFERROR(MATCH(((产出预期!$M223-OFFSET(梦灵养成!$Q$9,MATCH(产出预期!$M223,梦灵养成!$Q$10:$Q$15,1),0))*OFFSET(梦灵养成!O$9,1+MATCH(产出预期!$M223,梦灵养成!$Q$10:$Q$15,1),0)+梦灵养成!G542+SUMPRODUCT(--(梦灵养成!$Q$10:$Q$15&lt;=产出预期!$M223),梦灵养成!O$10:O$15,梦灵养成!$P$10:$P$15))/MAX(SUMPRODUCT(--(梦灵养成!$C$10:$C$31&lt;=产出预期!$M223),--(梦灵养成!$E$10:$E$31=L$2)),1)*10,梦灵养成!AW$339:AW$388,1),0)</f>
        <v>50</v>
      </c>
      <c r="M206" s="45">
        <f ca="1">OFFSET(符文养成!$C$14,MATCH(C206,符文养成!$B$15:$B$44,1),0)</f>
        <v>30</v>
      </c>
      <c r="N206" s="45">
        <f ca="1">MATCH((产出预期!Z223*价值表!$F$53+产出预期!AA223*价值表!$F$54+产出预期!AD223*价值表!$F$57)/16/M206,符文养成!$G$15:$G$21,1)</f>
        <v>5</v>
      </c>
      <c r="O206" s="45">
        <f>MATCH(产出预期!O223,秘宝养成!$C$3:$C$14,1)</f>
        <v>11</v>
      </c>
    </row>
    <row r="207" ht="16.5" spans="2:15">
      <c r="B207" s="2">
        <v>205</v>
      </c>
      <c r="C207" s="2">
        <f ca="1">MATCH((OFFSET(产出预期!$C$3,0,产出预期!$B$1)*10+OFFSET(产出预期!$C$4,0,产出预期!$B$1)*10+OFFSET(产出预期!$C$7,0,产出预期!$B$1)*20)*B207/10*60,玩家等级!$E$3:$E$302,1)</f>
        <v>94</v>
      </c>
      <c r="D207" s="2">
        <f>MATCH(产出预期!P224/6,装备养成!$G$4:$G$303,1)</f>
        <v>135</v>
      </c>
      <c r="E207" s="2">
        <f>COUNTIF(产出预期!$R224:$Y224,"&gt;"&amp;0)</f>
        <v>8</v>
      </c>
      <c r="F207" s="2">
        <f ca="1">MATCH(OFFSET(产出预期!$R$19,B207,E207-1),装备养成!$S$4:$S$9,1)</f>
        <v>6</v>
      </c>
      <c r="G207" s="2" t="str">
        <f ca="1">OFFSET(梦灵养成!$D$9,MATCH(梦灵养成!C238,梦灵养成!$C$10:$C$28,1),0)</f>
        <v>我爱沙</v>
      </c>
      <c r="H207" s="2" t="str">
        <f ca="1">OFFSET(梦灵养成!$I$9,MATCH(梦灵养成!C238,梦灵养成!$C$10:$C$28,1),0)</f>
        <v>后羿</v>
      </c>
      <c r="I207" s="45" cm="1">
        <f ca="1" t="array" ref="I207">IFERROR(MATCH(((产出预期!$M224-OFFSET(梦灵养成!$Q$9,MATCH(产出预期!$M224,梦灵养成!$Q$10:$Q$15,1),0))*OFFSET(梦灵养成!L$9,1+MATCH(产出预期!$M224,梦灵养成!$Q$10:$Q$15,1),0)+梦灵养成!D543+SUMPRODUCT(--(梦灵养成!$Q$10:$Q$15&lt;=产出预期!$M224),梦灵养成!L$10:L$15,梦灵养成!$P$10:$P$15))/MAX(SUMPRODUCT(--(梦灵养成!$C$10:$C$31&lt;=产出预期!$M224),--(梦灵养成!$E$10:$E$31=I$2)),1)*10,梦灵养成!AT$339:AT$387,1),0)</f>
        <v>49</v>
      </c>
      <c r="J207" s="45" cm="1">
        <f ca="1" t="array" ref="J207">IFERROR(MATCH(((产出预期!$M224-OFFSET(梦灵养成!$Q$9,MATCH(产出预期!$M224,梦灵养成!$Q$10:$Q$15,1),0))*OFFSET(梦灵养成!M$9,1+MATCH(产出预期!$M224,梦灵养成!$Q$10:$Q$15,1),0)+梦灵养成!E543+SUMPRODUCT(--(梦灵养成!$Q$10:$Q$15&lt;=产出预期!$M224),梦灵养成!M$10:M$15,梦灵养成!$P$10:$P$15))/MAX(SUMPRODUCT(--(梦灵养成!$C$10:$C$31&lt;=产出预期!$M224),--(梦灵养成!$E$10:$E$31=J$2)),1)*10,梦灵养成!AU$339:AU$387,1),0)</f>
        <v>49</v>
      </c>
      <c r="K207" s="45" cm="1">
        <f ca="1" t="array" ref="K207">IFERROR(MATCH(((产出预期!$M224-OFFSET(梦灵养成!$Q$9,MATCH(产出预期!$M224,梦灵养成!$Q$10:$Q$15,1),0))*OFFSET(梦灵养成!N$9,1+MATCH(产出预期!$M224,梦灵养成!$Q$10:$Q$15,1),0)+梦灵养成!F543+SUMPRODUCT(--(梦灵养成!$Q$10:$Q$15&lt;=产出预期!$M224),梦灵养成!N$10:N$15,梦灵养成!$P$10:$P$15))/MAX(SUMPRODUCT(--(梦灵养成!$C$10:$C$31&lt;=产出预期!$M224),--(梦灵养成!$E$10:$E$31=K$2)),1)*10,梦灵养成!AV$339:AV$387,1),0)</f>
        <v>49</v>
      </c>
      <c r="L207" s="45" cm="1">
        <f ca="1" t="array" ref="L207">IFERROR(MATCH(((产出预期!$M224-OFFSET(梦灵养成!$Q$9,MATCH(产出预期!$M224,梦灵养成!$Q$10:$Q$15,1),0))*OFFSET(梦灵养成!O$9,1+MATCH(产出预期!$M224,梦灵养成!$Q$10:$Q$15,1),0)+梦灵养成!G543+SUMPRODUCT(--(梦灵养成!$Q$10:$Q$15&lt;=产出预期!$M224),梦灵养成!O$10:O$15,梦灵养成!$P$10:$P$15))/MAX(SUMPRODUCT(--(梦灵养成!$C$10:$C$31&lt;=产出预期!$M224),--(梦灵养成!$E$10:$E$31=L$2)),1)*10,梦灵养成!AW$339:AW$388,1),0)</f>
        <v>50</v>
      </c>
      <c r="M207" s="45">
        <f ca="1">OFFSET(符文养成!$C$14,MATCH(C207,符文养成!$B$15:$B$44,1),0)</f>
        <v>30</v>
      </c>
      <c r="N207" s="45">
        <f ca="1">MATCH((产出预期!Z224*价值表!$F$53+产出预期!AA224*价值表!$F$54+产出预期!AD224*价值表!$F$57)/16/M207,符文养成!$G$15:$G$21,1)</f>
        <v>5</v>
      </c>
      <c r="O207" s="45">
        <f>MATCH(产出预期!O224,秘宝养成!$C$3:$C$14,1)</f>
        <v>11</v>
      </c>
    </row>
    <row r="208" ht="16.5" spans="2:15">
      <c r="B208" s="2">
        <v>206</v>
      </c>
      <c r="C208" s="2">
        <f ca="1">MATCH((OFFSET(产出预期!$C$3,0,产出预期!$B$1)*10+OFFSET(产出预期!$C$4,0,产出预期!$B$1)*10+OFFSET(产出预期!$C$7,0,产出预期!$B$1)*20)*B208/10*60,玩家等级!$E$3:$E$302,1)</f>
        <v>94</v>
      </c>
      <c r="D208" s="2">
        <f>MATCH(产出预期!P225/6,装备养成!$G$4:$G$303,1)</f>
        <v>135</v>
      </c>
      <c r="E208" s="2">
        <f>COUNTIF(产出预期!$R225:$Y225,"&gt;"&amp;0)</f>
        <v>8</v>
      </c>
      <c r="F208" s="2">
        <f ca="1">MATCH(OFFSET(产出预期!$R$19,B208,E208-1),装备养成!$S$4:$S$9,1)</f>
        <v>6</v>
      </c>
      <c r="G208" s="2" t="str">
        <f ca="1">OFFSET(梦灵养成!$D$9,MATCH(梦灵养成!C239,梦灵养成!$C$10:$C$28,1),0)</f>
        <v>我爱沙</v>
      </c>
      <c r="H208" s="2" t="str">
        <f ca="1">OFFSET(梦灵养成!$I$9,MATCH(梦灵养成!C239,梦灵养成!$C$10:$C$28,1),0)</f>
        <v>后羿</v>
      </c>
      <c r="I208" s="45" cm="1">
        <f ca="1" t="array" ref="I208">IFERROR(MATCH(((产出预期!$M225-OFFSET(梦灵养成!$Q$9,MATCH(产出预期!$M225,梦灵养成!$Q$10:$Q$15,1),0))*OFFSET(梦灵养成!L$9,1+MATCH(产出预期!$M225,梦灵养成!$Q$10:$Q$15,1),0)+梦灵养成!D544+SUMPRODUCT(--(梦灵养成!$Q$10:$Q$15&lt;=产出预期!$M225),梦灵养成!L$10:L$15,梦灵养成!$P$10:$P$15))/MAX(SUMPRODUCT(--(梦灵养成!$C$10:$C$31&lt;=产出预期!$M225),--(梦灵养成!$E$10:$E$31=I$2)),1)*10,梦灵养成!AT$339:AT$387,1),0)</f>
        <v>49</v>
      </c>
      <c r="J208" s="45" cm="1">
        <f ca="1" t="array" ref="J208">IFERROR(MATCH(((产出预期!$M225-OFFSET(梦灵养成!$Q$9,MATCH(产出预期!$M225,梦灵养成!$Q$10:$Q$15,1),0))*OFFSET(梦灵养成!M$9,1+MATCH(产出预期!$M225,梦灵养成!$Q$10:$Q$15,1),0)+梦灵养成!E544+SUMPRODUCT(--(梦灵养成!$Q$10:$Q$15&lt;=产出预期!$M225),梦灵养成!M$10:M$15,梦灵养成!$P$10:$P$15))/MAX(SUMPRODUCT(--(梦灵养成!$C$10:$C$31&lt;=产出预期!$M225),--(梦灵养成!$E$10:$E$31=J$2)),1)*10,梦灵养成!AU$339:AU$387,1),0)</f>
        <v>49</v>
      </c>
      <c r="K208" s="45" cm="1">
        <f ca="1" t="array" ref="K208">IFERROR(MATCH(((产出预期!$M225-OFFSET(梦灵养成!$Q$9,MATCH(产出预期!$M225,梦灵养成!$Q$10:$Q$15,1),0))*OFFSET(梦灵养成!N$9,1+MATCH(产出预期!$M225,梦灵养成!$Q$10:$Q$15,1),0)+梦灵养成!F544+SUMPRODUCT(--(梦灵养成!$Q$10:$Q$15&lt;=产出预期!$M225),梦灵养成!N$10:N$15,梦灵养成!$P$10:$P$15))/MAX(SUMPRODUCT(--(梦灵养成!$C$10:$C$31&lt;=产出预期!$M225),--(梦灵养成!$E$10:$E$31=K$2)),1)*10,梦灵养成!AV$339:AV$387,1),0)</f>
        <v>49</v>
      </c>
      <c r="L208" s="45" cm="1">
        <f ca="1" t="array" ref="L208">IFERROR(MATCH(((产出预期!$M225-OFFSET(梦灵养成!$Q$9,MATCH(产出预期!$M225,梦灵养成!$Q$10:$Q$15,1),0))*OFFSET(梦灵养成!O$9,1+MATCH(产出预期!$M225,梦灵养成!$Q$10:$Q$15,1),0)+梦灵养成!G544+SUMPRODUCT(--(梦灵养成!$Q$10:$Q$15&lt;=产出预期!$M225),梦灵养成!O$10:O$15,梦灵养成!$P$10:$P$15))/MAX(SUMPRODUCT(--(梦灵养成!$C$10:$C$31&lt;=产出预期!$M225),--(梦灵养成!$E$10:$E$31=L$2)),1)*10,梦灵养成!AW$339:AW$388,1),0)</f>
        <v>50</v>
      </c>
      <c r="M208" s="45">
        <f ca="1">OFFSET(符文养成!$C$14,MATCH(C208,符文养成!$B$15:$B$44,1),0)</f>
        <v>30</v>
      </c>
      <c r="N208" s="45">
        <f ca="1">MATCH((产出预期!Z225*价值表!$F$53+产出预期!AA225*价值表!$F$54+产出预期!AD225*价值表!$F$57)/16/M208,符文养成!$G$15:$G$21,1)</f>
        <v>5</v>
      </c>
      <c r="O208" s="45">
        <f>MATCH(产出预期!O225,秘宝养成!$C$3:$C$14,1)</f>
        <v>11</v>
      </c>
    </row>
    <row r="209" ht="16.5" spans="2:15">
      <c r="B209" s="2">
        <v>207</v>
      </c>
      <c r="C209" s="2">
        <f ca="1">MATCH((OFFSET(产出预期!$C$3,0,产出预期!$B$1)*10+OFFSET(产出预期!$C$4,0,产出预期!$B$1)*10+OFFSET(产出预期!$C$7,0,产出预期!$B$1)*20)*B209/10*60,玩家等级!$E$3:$E$302,1)</f>
        <v>94</v>
      </c>
      <c r="D209" s="2">
        <f>MATCH(产出预期!P226/6,装备养成!$G$4:$G$303,1)</f>
        <v>136</v>
      </c>
      <c r="E209" s="2">
        <f>COUNTIF(产出预期!$R226:$Y226,"&gt;"&amp;0)</f>
        <v>8</v>
      </c>
      <c r="F209" s="2">
        <f ca="1">MATCH(OFFSET(产出预期!$R$19,B209,E209-1),装备养成!$S$4:$S$9,1)</f>
        <v>6</v>
      </c>
      <c r="G209" s="2" t="str">
        <f ca="1">OFFSET(梦灵养成!$D$9,MATCH(梦灵养成!C240,梦灵养成!$C$10:$C$28,1),0)</f>
        <v>我爱沙</v>
      </c>
      <c r="H209" s="2" t="str">
        <f ca="1">OFFSET(梦灵养成!$I$9,MATCH(梦灵养成!C240,梦灵养成!$C$10:$C$28,1),0)</f>
        <v>后羿</v>
      </c>
      <c r="I209" s="45" cm="1">
        <f ca="1" t="array" ref="I209">IFERROR(MATCH(((产出预期!$M226-OFFSET(梦灵养成!$Q$9,MATCH(产出预期!$M226,梦灵养成!$Q$10:$Q$15,1),0))*OFFSET(梦灵养成!L$9,1+MATCH(产出预期!$M226,梦灵养成!$Q$10:$Q$15,1),0)+梦灵养成!D545+SUMPRODUCT(--(梦灵养成!$Q$10:$Q$15&lt;=产出预期!$M226),梦灵养成!L$10:L$15,梦灵养成!$P$10:$P$15))/MAX(SUMPRODUCT(--(梦灵养成!$C$10:$C$31&lt;=产出预期!$M226),--(梦灵养成!$E$10:$E$31=I$2)),1)*10,梦灵养成!AT$339:AT$387,1),0)</f>
        <v>49</v>
      </c>
      <c r="J209" s="45" cm="1">
        <f ca="1" t="array" ref="J209">IFERROR(MATCH(((产出预期!$M226-OFFSET(梦灵养成!$Q$9,MATCH(产出预期!$M226,梦灵养成!$Q$10:$Q$15,1),0))*OFFSET(梦灵养成!M$9,1+MATCH(产出预期!$M226,梦灵养成!$Q$10:$Q$15,1),0)+梦灵养成!E545+SUMPRODUCT(--(梦灵养成!$Q$10:$Q$15&lt;=产出预期!$M226),梦灵养成!M$10:M$15,梦灵养成!$P$10:$P$15))/MAX(SUMPRODUCT(--(梦灵养成!$C$10:$C$31&lt;=产出预期!$M226),--(梦灵养成!$E$10:$E$31=J$2)),1)*10,梦灵养成!AU$339:AU$387,1),0)</f>
        <v>49</v>
      </c>
      <c r="K209" s="45" cm="1">
        <f ca="1" t="array" ref="K209">IFERROR(MATCH(((产出预期!$M226-OFFSET(梦灵养成!$Q$9,MATCH(产出预期!$M226,梦灵养成!$Q$10:$Q$15,1),0))*OFFSET(梦灵养成!N$9,1+MATCH(产出预期!$M226,梦灵养成!$Q$10:$Q$15,1),0)+梦灵养成!F545+SUMPRODUCT(--(梦灵养成!$Q$10:$Q$15&lt;=产出预期!$M226),梦灵养成!N$10:N$15,梦灵养成!$P$10:$P$15))/MAX(SUMPRODUCT(--(梦灵养成!$C$10:$C$31&lt;=产出预期!$M226),--(梦灵养成!$E$10:$E$31=K$2)),1)*10,梦灵养成!AV$339:AV$387,1),0)</f>
        <v>49</v>
      </c>
      <c r="L209" s="45" cm="1">
        <f ca="1" t="array" ref="L209">IFERROR(MATCH(((产出预期!$M226-OFFSET(梦灵养成!$Q$9,MATCH(产出预期!$M226,梦灵养成!$Q$10:$Q$15,1),0))*OFFSET(梦灵养成!O$9,1+MATCH(产出预期!$M226,梦灵养成!$Q$10:$Q$15,1),0)+梦灵养成!G545+SUMPRODUCT(--(梦灵养成!$Q$10:$Q$15&lt;=产出预期!$M226),梦灵养成!O$10:O$15,梦灵养成!$P$10:$P$15))/MAX(SUMPRODUCT(--(梦灵养成!$C$10:$C$31&lt;=产出预期!$M226),--(梦灵养成!$E$10:$E$31=L$2)),1)*10,梦灵养成!AW$339:AW$388,1),0)</f>
        <v>50</v>
      </c>
      <c r="M209" s="45">
        <f ca="1">OFFSET(符文养成!$C$14,MATCH(C209,符文养成!$B$15:$B$44,1),0)</f>
        <v>30</v>
      </c>
      <c r="N209" s="45">
        <f ca="1">MATCH((产出预期!Z226*价值表!$F$53+产出预期!AA226*价值表!$F$54+产出预期!AD226*价值表!$F$57)/16/M209,符文养成!$G$15:$G$21,1)</f>
        <v>5</v>
      </c>
      <c r="O209" s="45">
        <f>MATCH(产出预期!O226,秘宝养成!$C$3:$C$14,1)</f>
        <v>11</v>
      </c>
    </row>
    <row r="210" ht="16.5" spans="2:15">
      <c r="B210" s="2">
        <v>208</v>
      </c>
      <c r="C210" s="2">
        <f ca="1">MATCH((OFFSET(产出预期!$C$3,0,产出预期!$B$1)*10+OFFSET(产出预期!$C$4,0,产出预期!$B$1)*10+OFFSET(产出预期!$C$7,0,产出预期!$B$1)*20)*B210/10*60,玩家等级!$E$3:$E$302,1)</f>
        <v>94</v>
      </c>
      <c r="D210" s="2">
        <f>MATCH(产出预期!P227/6,装备养成!$G$4:$G$303,1)</f>
        <v>136</v>
      </c>
      <c r="E210" s="2">
        <f>COUNTIF(产出预期!$R227:$Y227,"&gt;"&amp;0)</f>
        <v>8</v>
      </c>
      <c r="F210" s="2">
        <f ca="1">MATCH(OFFSET(产出预期!$R$19,B210,E210-1),装备养成!$S$4:$S$9,1)</f>
        <v>6</v>
      </c>
      <c r="G210" s="2" t="str">
        <f ca="1">OFFSET(梦灵养成!$D$9,MATCH(梦灵养成!C241,梦灵养成!$C$10:$C$28,1),0)</f>
        <v>我爱沙</v>
      </c>
      <c r="H210" s="2" t="str">
        <f ca="1">OFFSET(梦灵养成!$I$9,MATCH(梦灵养成!C241,梦灵养成!$C$10:$C$28,1),0)</f>
        <v>后羿</v>
      </c>
      <c r="I210" s="45" cm="1">
        <f ca="1" t="array" ref="I210">IFERROR(MATCH(((产出预期!$M227-OFFSET(梦灵养成!$Q$9,MATCH(产出预期!$M227,梦灵养成!$Q$10:$Q$15,1),0))*OFFSET(梦灵养成!L$9,1+MATCH(产出预期!$M227,梦灵养成!$Q$10:$Q$15,1),0)+梦灵养成!D546+SUMPRODUCT(--(梦灵养成!$Q$10:$Q$15&lt;=产出预期!$M227),梦灵养成!L$10:L$15,梦灵养成!$P$10:$P$15))/MAX(SUMPRODUCT(--(梦灵养成!$C$10:$C$31&lt;=产出预期!$M227),--(梦灵养成!$E$10:$E$31=I$2)),1)*10,梦灵养成!AT$339:AT$387,1),0)</f>
        <v>49</v>
      </c>
      <c r="J210" s="45" cm="1">
        <f ca="1" t="array" ref="J210">IFERROR(MATCH(((产出预期!$M227-OFFSET(梦灵养成!$Q$9,MATCH(产出预期!$M227,梦灵养成!$Q$10:$Q$15,1),0))*OFFSET(梦灵养成!M$9,1+MATCH(产出预期!$M227,梦灵养成!$Q$10:$Q$15,1),0)+梦灵养成!E546+SUMPRODUCT(--(梦灵养成!$Q$10:$Q$15&lt;=产出预期!$M227),梦灵养成!M$10:M$15,梦灵养成!$P$10:$P$15))/MAX(SUMPRODUCT(--(梦灵养成!$C$10:$C$31&lt;=产出预期!$M227),--(梦灵养成!$E$10:$E$31=J$2)),1)*10,梦灵养成!AU$339:AU$387,1),0)</f>
        <v>49</v>
      </c>
      <c r="K210" s="45" cm="1">
        <f ca="1" t="array" ref="K210">IFERROR(MATCH(((产出预期!$M227-OFFSET(梦灵养成!$Q$9,MATCH(产出预期!$M227,梦灵养成!$Q$10:$Q$15,1),0))*OFFSET(梦灵养成!N$9,1+MATCH(产出预期!$M227,梦灵养成!$Q$10:$Q$15,1),0)+梦灵养成!F546+SUMPRODUCT(--(梦灵养成!$Q$10:$Q$15&lt;=产出预期!$M227),梦灵养成!N$10:N$15,梦灵养成!$P$10:$P$15))/MAX(SUMPRODUCT(--(梦灵养成!$C$10:$C$31&lt;=产出预期!$M227),--(梦灵养成!$E$10:$E$31=K$2)),1)*10,梦灵养成!AV$339:AV$387,1),0)</f>
        <v>49</v>
      </c>
      <c r="L210" s="45" cm="1">
        <f ca="1" t="array" ref="L210">IFERROR(MATCH(((产出预期!$M227-OFFSET(梦灵养成!$Q$9,MATCH(产出预期!$M227,梦灵养成!$Q$10:$Q$15,1),0))*OFFSET(梦灵养成!O$9,1+MATCH(产出预期!$M227,梦灵养成!$Q$10:$Q$15,1),0)+梦灵养成!G546+SUMPRODUCT(--(梦灵养成!$Q$10:$Q$15&lt;=产出预期!$M227),梦灵养成!O$10:O$15,梦灵养成!$P$10:$P$15))/MAX(SUMPRODUCT(--(梦灵养成!$C$10:$C$31&lt;=产出预期!$M227),--(梦灵养成!$E$10:$E$31=L$2)),1)*10,梦灵养成!AW$339:AW$388,1),0)</f>
        <v>50</v>
      </c>
      <c r="M210" s="45">
        <f ca="1">OFFSET(符文养成!$C$14,MATCH(C210,符文养成!$B$15:$B$44,1),0)</f>
        <v>30</v>
      </c>
      <c r="N210" s="45">
        <f ca="1">MATCH((产出预期!Z227*价值表!$F$53+产出预期!AA227*价值表!$F$54+产出预期!AD227*价值表!$F$57)/16/M210,符文养成!$G$15:$G$21,1)</f>
        <v>5</v>
      </c>
      <c r="O210" s="45">
        <f>MATCH(产出预期!O227,秘宝养成!$C$3:$C$14,1)</f>
        <v>11</v>
      </c>
    </row>
    <row r="211" ht="16.5" spans="2:15">
      <c r="B211" s="2">
        <v>209</v>
      </c>
      <c r="C211" s="2">
        <f ca="1">MATCH((OFFSET(产出预期!$C$3,0,产出预期!$B$1)*10+OFFSET(产出预期!$C$4,0,产出预期!$B$1)*10+OFFSET(产出预期!$C$7,0,产出预期!$B$1)*20)*B211/10*60,玩家等级!$E$3:$E$302,1)</f>
        <v>95</v>
      </c>
      <c r="D211" s="2">
        <f>MATCH(产出预期!P228/6,装备养成!$G$4:$G$303,1)</f>
        <v>136</v>
      </c>
      <c r="E211" s="2">
        <f>COUNTIF(产出预期!$R228:$Y228,"&gt;"&amp;0)</f>
        <v>8</v>
      </c>
      <c r="F211" s="2">
        <f ca="1">MATCH(OFFSET(产出预期!$R$19,B211,E211-1),装备养成!$S$4:$S$9,1)</f>
        <v>6</v>
      </c>
      <c r="G211" s="2" t="str">
        <f ca="1">OFFSET(梦灵养成!$D$9,MATCH(梦灵养成!C242,梦灵养成!$C$10:$C$28,1),0)</f>
        <v>我爱沙</v>
      </c>
      <c r="H211" s="2" t="str">
        <f ca="1">OFFSET(梦灵养成!$I$9,MATCH(梦灵养成!C242,梦灵养成!$C$10:$C$28,1),0)</f>
        <v>后羿</v>
      </c>
      <c r="I211" s="45" cm="1">
        <f ca="1" t="array" ref="I211">IFERROR(MATCH(((产出预期!$M228-OFFSET(梦灵养成!$Q$9,MATCH(产出预期!$M228,梦灵养成!$Q$10:$Q$15,1),0))*OFFSET(梦灵养成!L$9,1+MATCH(产出预期!$M228,梦灵养成!$Q$10:$Q$15,1),0)+梦灵养成!D547+SUMPRODUCT(--(梦灵养成!$Q$10:$Q$15&lt;=产出预期!$M228),梦灵养成!L$10:L$15,梦灵养成!$P$10:$P$15))/MAX(SUMPRODUCT(--(梦灵养成!$C$10:$C$31&lt;=产出预期!$M228),--(梦灵养成!$E$10:$E$31=I$2)),1)*10,梦灵养成!AT$339:AT$387,1),0)</f>
        <v>49</v>
      </c>
      <c r="J211" s="45" cm="1">
        <f ca="1" t="array" ref="J211">IFERROR(MATCH(((产出预期!$M228-OFFSET(梦灵养成!$Q$9,MATCH(产出预期!$M228,梦灵养成!$Q$10:$Q$15,1),0))*OFFSET(梦灵养成!M$9,1+MATCH(产出预期!$M228,梦灵养成!$Q$10:$Q$15,1),0)+梦灵养成!E547+SUMPRODUCT(--(梦灵养成!$Q$10:$Q$15&lt;=产出预期!$M228),梦灵养成!M$10:M$15,梦灵养成!$P$10:$P$15))/MAX(SUMPRODUCT(--(梦灵养成!$C$10:$C$31&lt;=产出预期!$M228),--(梦灵养成!$E$10:$E$31=J$2)),1)*10,梦灵养成!AU$339:AU$387,1),0)</f>
        <v>49</v>
      </c>
      <c r="K211" s="45" cm="1">
        <f ca="1" t="array" ref="K211">IFERROR(MATCH(((产出预期!$M228-OFFSET(梦灵养成!$Q$9,MATCH(产出预期!$M228,梦灵养成!$Q$10:$Q$15,1),0))*OFFSET(梦灵养成!N$9,1+MATCH(产出预期!$M228,梦灵养成!$Q$10:$Q$15,1),0)+梦灵养成!F547+SUMPRODUCT(--(梦灵养成!$Q$10:$Q$15&lt;=产出预期!$M228),梦灵养成!N$10:N$15,梦灵养成!$P$10:$P$15))/MAX(SUMPRODUCT(--(梦灵养成!$C$10:$C$31&lt;=产出预期!$M228),--(梦灵养成!$E$10:$E$31=K$2)),1)*10,梦灵养成!AV$339:AV$387,1),0)</f>
        <v>49</v>
      </c>
      <c r="L211" s="45" cm="1">
        <f ca="1" t="array" ref="L211">IFERROR(MATCH(((产出预期!$M228-OFFSET(梦灵养成!$Q$9,MATCH(产出预期!$M228,梦灵养成!$Q$10:$Q$15,1),0))*OFFSET(梦灵养成!O$9,1+MATCH(产出预期!$M228,梦灵养成!$Q$10:$Q$15,1),0)+梦灵养成!G547+SUMPRODUCT(--(梦灵养成!$Q$10:$Q$15&lt;=产出预期!$M228),梦灵养成!O$10:O$15,梦灵养成!$P$10:$P$15))/MAX(SUMPRODUCT(--(梦灵养成!$C$10:$C$31&lt;=产出预期!$M228),--(梦灵养成!$E$10:$E$31=L$2)),1)*10,梦灵养成!AW$339:AW$388,1),0)</f>
        <v>50</v>
      </c>
      <c r="M211" s="45">
        <f ca="1">OFFSET(符文养成!$C$14,MATCH(C211,符文养成!$B$15:$B$44,1),0)</f>
        <v>30</v>
      </c>
      <c r="N211" s="45">
        <f ca="1">MATCH((产出预期!Z228*价值表!$F$53+产出预期!AA228*价值表!$F$54+产出预期!AD228*价值表!$F$57)/16/M211,符文养成!$G$15:$G$21,1)</f>
        <v>5</v>
      </c>
      <c r="O211" s="45">
        <f>MATCH(产出预期!O228,秘宝养成!$C$3:$C$14,1)</f>
        <v>11</v>
      </c>
    </row>
    <row r="212" ht="16.5" spans="2:15">
      <c r="B212" s="2">
        <v>210</v>
      </c>
      <c r="C212" s="2">
        <f ca="1">MATCH((OFFSET(产出预期!$C$3,0,产出预期!$B$1)*10+OFFSET(产出预期!$C$4,0,产出预期!$B$1)*10+OFFSET(产出预期!$C$7,0,产出预期!$B$1)*20)*B212/10*60,玩家等级!$E$3:$E$302,1)</f>
        <v>95</v>
      </c>
      <c r="D212" s="2">
        <f>MATCH(产出预期!P229/6,装备养成!$G$4:$G$303,1)</f>
        <v>136</v>
      </c>
      <c r="E212" s="2">
        <f>COUNTIF(产出预期!$R229:$Y229,"&gt;"&amp;0)</f>
        <v>8</v>
      </c>
      <c r="F212" s="2">
        <f ca="1">MATCH(OFFSET(产出预期!$R$19,B212,E212-1),装备养成!$S$4:$S$9,1)</f>
        <v>6</v>
      </c>
      <c r="G212" s="2" t="str">
        <f ca="1">OFFSET(梦灵养成!$D$9,MATCH(梦灵养成!C243,梦灵养成!$C$10:$C$28,1),0)</f>
        <v>我爱沙</v>
      </c>
      <c r="H212" s="2" t="str">
        <f ca="1">OFFSET(梦灵养成!$I$9,MATCH(梦灵养成!C243,梦灵养成!$C$10:$C$28,1),0)</f>
        <v>后羿</v>
      </c>
      <c r="I212" s="45" cm="1">
        <f ca="1" t="array" ref="I212">IFERROR(MATCH(((产出预期!$M229-OFFSET(梦灵养成!$Q$9,MATCH(产出预期!$M229,梦灵养成!$Q$10:$Q$15,1),0))*OFFSET(梦灵养成!L$9,1+MATCH(产出预期!$M229,梦灵养成!$Q$10:$Q$15,1),0)+梦灵养成!D548+SUMPRODUCT(--(梦灵养成!$Q$10:$Q$15&lt;=产出预期!$M229),梦灵养成!L$10:L$15,梦灵养成!$P$10:$P$15))/MAX(SUMPRODUCT(--(梦灵养成!$C$10:$C$31&lt;=产出预期!$M229),--(梦灵养成!$E$10:$E$31=I$2)),1)*10,梦灵养成!AT$339:AT$387,1),0)</f>
        <v>49</v>
      </c>
      <c r="J212" s="45" cm="1">
        <f ca="1" t="array" ref="J212">IFERROR(MATCH(((产出预期!$M229-OFFSET(梦灵养成!$Q$9,MATCH(产出预期!$M229,梦灵养成!$Q$10:$Q$15,1),0))*OFFSET(梦灵养成!M$9,1+MATCH(产出预期!$M229,梦灵养成!$Q$10:$Q$15,1),0)+梦灵养成!E548+SUMPRODUCT(--(梦灵养成!$Q$10:$Q$15&lt;=产出预期!$M229),梦灵养成!M$10:M$15,梦灵养成!$P$10:$P$15))/MAX(SUMPRODUCT(--(梦灵养成!$C$10:$C$31&lt;=产出预期!$M229),--(梦灵养成!$E$10:$E$31=J$2)),1)*10,梦灵养成!AU$339:AU$387,1),0)</f>
        <v>49</v>
      </c>
      <c r="K212" s="45" cm="1">
        <f ca="1" t="array" ref="K212">IFERROR(MATCH(((产出预期!$M229-OFFSET(梦灵养成!$Q$9,MATCH(产出预期!$M229,梦灵养成!$Q$10:$Q$15,1),0))*OFFSET(梦灵养成!N$9,1+MATCH(产出预期!$M229,梦灵养成!$Q$10:$Q$15,1),0)+梦灵养成!F548+SUMPRODUCT(--(梦灵养成!$Q$10:$Q$15&lt;=产出预期!$M229),梦灵养成!N$10:N$15,梦灵养成!$P$10:$P$15))/MAX(SUMPRODUCT(--(梦灵养成!$C$10:$C$31&lt;=产出预期!$M229),--(梦灵养成!$E$10:$E$31=K$2)),1)*10,梦灵养成!AV$339:AV$387,1),0)</f>
        <v>49</v>
      </c>
      <c r="L212" s="45" cm="1">
        <f ca="1" t="array" ref="L212">IFERROR(MATCH(((产出预期!$M229-OFFSET(梦灵养成!$Q$9,MATCH(产出预期!$M229,梦灵养成!$Q$10:$Q$15,1),0))*OFFSET(梦灵养成!O$9,1+MATCH(产出预期!$M229,梦灵养成!$Q$10:$Q$15,1),0)+梦灵养成!G548+SUMPRODUCT(--(梦灵养成!$Q$10:$Q$15&lt;=产出预期!$M229),梦灵养成!O$10:O$15,梦灵养成!$P$10:$P$15))/MAX(SUMPRODUCT(--(梦灵养成!$C$10:$C$31&lt;=产出预期!$M229),--(梦灵养成!$E$10:$E$31=L$2)),1)*10,梦灵养成!AW$339:AW$388,1),0)</f>
        <v>50</v>
      </c>
      <c r="M212" s="45">
        <f ca="1">OFFSET(符文养成!$C$14,MATCH(C212,符文养成!$B$15:$B$44,1),0)</f>
        <v>30</v>
      </c>
      <c r="N212" s="45">
        <f ca="1">MATCH((产出预期!Z229*价值表!$F$53+产出预期!AA229*价值表!$F$54+产出预期!AD229*价值表!$F$57)/16/M212,符文养成!$G$15:$G$21,1)</f>
        <v>5</v>
      </c>
      <c r="O212" s="45">
        <f>MATCH(产出预期!O229,秘宝养成!$C$3:$C$14,1)</f>
        <v>11</v>
      </c>
    </row>
    <row r="213" ht="16.5" spans="2:15">
      <c r="B213" s="2">
        <v>211</v>
      </c>
      <c r="C213" s="2">
        <f ca="1">MATCH((OFFSET(产出预期!$C$3,0,产出预期!$B$1)*10+OFFSET(产出预期!$C$4,0,产出预期!$B$1)*10+OFFSET(产出预期!$C$7,0,产出预期!$B$1)*20)*B213/10*60,玩家等级!$E$3:$E$302,1)</f>
        <v>95</v>
      </c>
      <c r="D213" s="2">
        <f>MATCH(产出预期!P230/6,装备养成!$G$4:$G$303,1)</f>
        <v>137</v>
      </c>
      <c r="E213" s="2">
        <f>COUNTIF(产出预期!$R230:$Y230,"&gt;"&amp;0)</f>
        <v>8</v>
      </c>
      <c r="F213" s="2">
        <f ca="1">MATCH(OFFSET(产出预期!$R$19,B213,E213-1),装备养成!$S$4:$S$9,1)</f>
        <v>6</v>
      </c>
      <c r="G213" s="2" t="str">
        <f ca="1">OFFSET(梦灵养成!$D$9,MATCH(梦灵养成!C244,梦灵养成!$C$10:$C$28,1),0)</f>
        <v>我爱沙</v>
      </c>
      <c r="H213" s="2" t="str">
        <f ca="1">OFFSET(梦灵养成!$I$9,MATCH(梦灵养成!C244,梦灵养成!$C$10:$C$28,1),0)</f>
        <v>后羿</v>
      </c>
      <c r="I213" s="45" cm="1">
        <f ca="1" t="array" ref="I213">IFERROR(MATCH(((产出预期!$M230-OFFSET(梦灵养成!$Q$9,MATCH(产出预期!$M230,梦灵养成!$Q$10:$Q$15,1),0))*OFFSET(梦灵养成!L$9,1+MATCH(产出预期!$M230,梦灵养成!$Q$10:$Q$15,1),0)+梦灵养成!D549+SUMPRODUCT(--(梦灵养成!$Q$10:$Q$15&lt;=产出预期!$M230),梦灵养成!L$10:L$15,梦灵养成!$P$10:$P$15))/MAX(SUMPRODUCT(--(梦灵养成!$C$10:$C$31&lt;=产出预期!$M230),--(梦灵养成!$E$10:$E$31=I$2)),1)*10,梦灵养成!AT$339:AT$387,1),0)</f>
        <v>49</v>
      </c>
      <c r="J213" s="45" cm="1">
        <f ca="1" t="array" ref="J213">IFERROR(MATCH(((产出预期!$M230-OFFSET(梦灵养成!$Q$9,MATCH(产出预期!$M230,梦灵养成!$Q$10:$Q$15,1),0))*OFFSET(梦灵养成!M$9,1+MATCH(产出预期!$M230,梦灵养成!$Q$10:$Q$15,1),0)+梦灵养成!E549+SUMPRODUCT(--(梦灵养成!$Q$10:$Q$15&lt;=产出预期!$M230),梦灵养成!M$10:M$15,梦灵养成!$P$10:$P$15))/MAX(SUMPRODUCT(--(梦灵养成!$C$10:$C$31&lt;=产出预期!$M230),--(梦灵养成!$E$10:$E$31=J$2)),1)*10,梦灵养成!AU$339:AU$387,1),0)</f>
        <v>49</v>
      </c>
      <c r="K213" s="45" cm="1">
        <f ca="1" t="array" ref="K213">IFERROR(MATCH(((产出预期!$M230-OFFSET(梦灵养成!$Q$9,MATCH(产出预期!$M230,梦灵养成!$Q$10:$Q$15,1),0))*OFFSET(梦灵养成!N$9,1+MATCH(产出预期!$M230,梦灵养成!$Q$10:$Q$15,1),0)+梦灵养成!F549+SUMPRODUCT(--(梦灵养成!$Q$10:$Q$15&lt;=产出预期!$M230),梦灵养成!N$10:N$15,梦灵养成!$P$10:$P$15))/MAX(SUMPRODUCT(--(梦灵养成!$C$10:$C$31&lt;=产出预期!$M230),--(梦灵养成!$E$10:$E$31=K$2)),1)*10,梦灵养成!AV$339:AV$387,1),0)</f>
        <v>49</v>
      </c>
      <c r="L213" s="45" cm="1">
        <f ca="1" t="array" ref="L213">IFERROR(MATCH(((产出预期!$M230-OFFSET(梦灵养成!$Q$9,MATCH(产出预期!$M230,梦灵养成!$Q$10:$Q$15,1),0))*OFFSET(梦灵养成!O$9,1+MATCH(产出预期!$M230,梦灵养成!$Q$10:$Q$15,1),0)+梦灵养成!G549+SUMPRODUCT(--(梦灵养成!$Q$10:$Q$15&lt;=产出预期!$M230),梦灵养成!O$10:O$15,梦灵养成!$P$10:$P$15))/MAX(SUMPRODUCT(--(梦灵养成!$C$10:$C$31&lt;=产出预期!$M230),--(梦灵养成!$E$10:$E$31=L$2)),1)*10,梦灵养成!AW$339:AW$388,1),0)</f>
        <v>50</v>
      </c>
      <c r="M213" s="45">
        <f ca="1">OFFSET(符文养成!$C$14,MATCH(C213,符文养成!$B$15:$B$44,1),0)</f>
        <v>30</v>
      </c>
      <c r="N213" s="45">
        <f ca="1">MATCH((产出预期!Z230*价值表!$F$53+产出预期!AA230*价值表!$F$54+产出预期!AD230*价值表!$F$57)/16/M213,符文养成!$G$15:$G$21,1)</f>
        <v>5</v>
      </c>
      <c r="O213" s="45">
        <f>MATCH(产出预期!O230,秘宝养成!$C$3:$C$14,1)</f>
        <v>11</v>
      </c>
    </row>
    <row r="214" ht="16.5" spans="2:15">
      <c r="B214" s="2">
        <v>212</v>
      </c>
      <c r="C214" s="2">
        <f ca="1">MATCH((OFFSET(产出预期!$C$3,0,产出预期!$B$1)*10+OFFSET(产出预期!$C$4,0,产出预期!$B$1)*10+OFFSET(产出预期!$C$7,0,产出预期!$B$1)*20)*B214/10*60,玩家等级!$E$3:$E$302,1)</f>
        <v>95</v>
      </c>
      <c r="D214" s="2">
        <f>MATCH(产出预期!P231/6,装备养成!$G$4:$G$303,1)</f>
        <v>137</v>
      </c>
      <c r="E214" s="2">
        <f>COUNTIF(产出预期!$R231:$Y231,"&gt;"&amp;0)</f>
        <v>8</v>
      </c>
      <c r="F214" s="2">
        <f ca="1">MATCH(OFFSET(产出预期!$R$19,B214,E214-1),装备养成!$S$4:$S$9,1)</f>
        <v>6</v>
      </c>
      <c r="G214" s="2" t="str">
        <f ca="1">OFFSET(梦灵养成!$D$9,MATCH(梦灵养成!C245,梦灵养成!$C$10:$C$28,1),0)</f>
        <v>我爱沙</v>
      </c>
      <c r="H214" s="2" t="str">
        <f ca="1">OFFSET(梦灵养成!$I$9,MATCH(梦灵养成!C245,梦灵养成!$C$10:$C$28,1),0)</f>
        <v>后羿</v>
      </c>
      <c r="I214" s="45" cm="1">
        <f ca="1" t="array" ref="I214">IFERROR(MATCH(((产出预期!$M231-OFFSET(梦灵养成!$Q$9,MATCH(产出预期!$M231,梦灵养成!$Q$10:$Q$15,1),0))*OFFSET(梦灵养成!L$9,1+MATCH(产出预期!$M231,梦灵养成!$Q$10:$Q$15,1),0)+梦灵养成!D550+SUMPRODUCT(--(梦灵养成!$Q$10:$Q$15&lt;=产出预期!$M231),梦灵养成!L$10:L$15,梦灵养成!$P$10:$P$15))/MAX(SUMPRODUCT(--(梦灵养成!$C$10:$C$31&lt;=产出预期!$M231),--(梦灵养成!$E$10:$E$31=I$2)),1)*10,梦灵养成!AT$339:AT$387,1),0)</f>
        <v>49</v>
      </c>
      <c r="J214" s="45" cm="1">
        <f ca="1" t="array" ref="J214">IFERROR(MATCH(((产出预期!$M231-OFFSET(梦灵养成!$Q$9,MATCH(产出预期!$M231,梦灵养成!$Q$10:$Q$15,1),0))*OFFSET(梦灵养成!M$9,1+MATCH(产出预期!$M231,梦灵养成!$Q$10:$Q$15,1),0)+梦灵养成!E550+SUMPRODUCT(--(梦灵养成!$Q$10:$Q$15&lt;=产出预期!$M231),梦灵养成!M$10:M$15,梦灵养成!$P$10:$P$15))/MAX(SUMPRODUCT(--(梦灵养成!$C$10:$C$31&lt;=产出预期!$M231),--(梦灵养成!$E$10:$E$31=J$2)),1)*10,梦灵养成!AU$339:AU$387,1),0)</f>
        <v>49</v>
      </c>
      <c r="K214" s="45" cm="1">
        <f ca="1" t="array" ref="K214">IFERROR(MATCH(((产出预期!$M231-OFFSET(梦灵养成!$Q$9,MATCH(产出预期!$M231,梦灵养成!$Q$10:$Q$15,1),0))*OFFSET(梦灵养成!N$9,1+MATCH(产出预期!$M231,梦灵养成!$Q$10:$Q$15,1),0)+梦灵养成!F550+SUMPRODUCT(--(梦灵养成!$Q$10:$Q$15&lt;=产出预期!$M231),梦灵养成!N$10:N$15,梦灵养成!$P$10:$P$15))/MAX(SUMPRODUCT(--(梦灵养成!$C$10:$C$31&lt;=产出预期!$M231),--(梦灵养成!$E$10:$E$31=K$2)),1)*10,梦灵养成!AV$339:AV$387,1),0)</f>
        <v>49</v>
      </c>
      <c r="L214" s="45" cm="1">
        <f ca="1" t="array" ref="L214">IFERROR(MATCH(((产出预期!$M231-OFFSET(梦灵养成!$Q$9,MATCH(产出预期!$M231,梦灵养成!$Q$10:$Q$15,1),0))*OFFSET(梦灵养成!O$9,1+MATCH(产出预期!$M231,梦灵养成!$Q$10:$Q$15,1),0)+梦灵养成!G550+SUMPRODUCT(--(梦灵养成!$Q$10:$Q$15&lt;=产出预期!$M231),梦灵养成!O$10:O$15,梦灵养成!$P$10:$P$15))/MAX(SUMPRODUCT(--(梦灵养成!$C$10:$C$31&lt;=产出预期!$M231),--(梦灵养成!$E$10:$E$31=L$2)),1)*10,梦灵养成!AW$339:AW$388,1),0)</f>
        <v>50</v>
      </c>
      <c r="M214" s="45">
        <f ca="1">OFFSET(符文养成!$C$14,MATCH(C214,符文养成!$B$15:$B$44,1),0)</f>
        <v>30</v>
      </c>
      <c r="N214" s="45">
        <f ca="1">MATCH((产出预期!Z231*价值表!$F$53+产出预期!AA231*价值表!$F$54+产出预期!AD231*价值表!$F$57)/16/M214,符文养成!$G$15:$G$21,1)</f>
        <v>5</v>
      </c>
      <c r="O214" s="45">
        <f>MATCH(产出预期!O231,秘宝养成!$C$3:$C$14,1)</f>
        <v>11</v>
      </c>
    </row>
    <row r="215" ht="16.5" spans="2:15">
      <c r="B215" s="2">
        <v>213</v>
      </c>
      <c r="C215" s="2">
        <f ca="1">MATCH((OFFSET(产出预期!$C$3,0,产出预期!$B$1)*10+OFFSET(产出预期!$C$4,0,产出预期!$B$1)*10+OFFSET(产出预期!$C$7,0,产出预期!$B$1)*20)*B215/10*60,玩家等级!$E$3:$E$302,1)</f>
        <v>95</v>
      </c>
      <c r="D215" s="2">
        <f>MATCH(产出预期!P232/6,装备养成!$G$4:$G$303,1)</f>
        <v>137</v>
      </c>
      <c r="E215" s="2">
        <f>COUNTIF(产出预期!$R232:$Y232,"&gt;"&amp;0)</f>
        <v>8</v>
      </c>
      <c r="F215" s="2">
        <f ca="1">MATCH(OFFSET(产出预期!$R$19,B215,E215-1),装备养成!$S$4:$S$9,1)</f>
        <v>6</v>
      </c>
      <c r="G215" s="2" t="str">
        <f ca="1">OFFSET(梦灵养成!$D$9,MATCH(梦灵养成!C246,梦灵养成!$C$10:$C$28,1),0)</f>
        <v>我爱沙</v>
      </c>
      <c r="H215" s="2" t="str">
        <f ca="1">OFFSET(梦灵养成!$I$9,MATCH(梦灵养成!C246,梦灵养成!$C$10:$C$28,1),0)</f>
        <v>后羿</v>
      </c>
      <c r="I215" s="45" cm="1">
        <f ca="1" t="array" ref="I215">IFERROR(MATCH(((产出预期!$M232-OFFSET(梦灵养成!$Q$9,MATCH(产出预期!$M232,梦灵养成!$Q$10:$Q$15,1),0))*OFFSET(梦灵养成!L$9,1+MATCH(产出预期!$M232,梦灵养成!$Q$10:$Q$15,1),0)+梦灵养成!D551+SUMPRODUCT(--(梦灵养成!$Q$10:$Q$15&lt;=产出预期!$M232),梦灵养成!L$10:L$15,梦灵养成!$P$10:$P$15))/MAX(SUMPRODUCT(--(梦灵养成!$C$10:$C$31&lt;=产出预期!$M232),--(梦灵养成!$E$10:$E$31=I$2)),1)*10,梦灵养成!AT$339:AT$387,1),0)</f>
        <v>49</v>
      </c>
      <c r="J215" s="45" cm="1">
        <f ca="1" t="array" ref="J215">IFERROR(MATCH(((产出预期!$M232-OFFSET(梦灵养成!$Q$9,MATCH(产出预期!$M232,梦灵养成!$Q$10:$Q$15,1),0))*OFFSET(梦灵养成!M$9,1+MATCH(产出预期!$M232,梦灵养成!$Q$10:$Q$15,1),0)+梦灵养成!E551+SUMPRODUCT(--(梦灵养成!$Q$10:$Q$15&lt;=产出预期!$M232),梦灵养成!M$10:M$15,梦灵养成!$P$10:$P$15))/MAX(SUMPRODUCT(--(梦灵养成!$C$10:$C$31&lt;=产出预期!$M232),--(梦灵养成!$E$10:$E$31=J$2)),1)*10,梦灵养成!AU$339:AU$387,1),0)</f>
        <v>49</v>
      </c>
      <c r="K215" s="45" cm="1">
        <f ca="1" t="array" ref="K215">IFERROR(MATCH(((产出预期!$M232-OFFSET(梦灵养成!$Q$9,MATCH(产出预期!$M232,梦灵养成!$Q$10:$Q$15,1),0))*OFFSET(梦灵养成!N$9,1+MATCH(产出预期!$M232,梦灵养成!$Q$10:$Q$15,1),0)+梦灵养成!F551+SUMPRODUCT(--(梦灵养成!$Q$10:$Q$15&lt;=产出预期!$M232),梦灵养成!N$10:N$15,梦灵养成!$P$10:$P$15))/MAX(SUMPRODUCT(--(梦灵养成!$C$10:$C$31&lt;=产出预期!$M232),--(梦灵养成!$E$10:$E$31=K$2)),1)*10,梦灵养成!AV$339:AV$387,1),0)</f>
        <v>49</v>
      </c>
      <c r="L215" s="45" cm="1">
        <f ca="1" t="array" ref="L215">IFERROR(MATCH(((产出预期!$M232-OFFSET(梦灵养成!$Q$9,MATCH(产出预期!$M232,梦灵养成!$Q$10:$Q$15,1),0))*OFFSET(梦灵养成!O$9,1+MATCH(产出预期!$M232,梦灵养成!$Q$10:$Q$15,1),0)+梦灵养成!G551+SUMPRODUCT(--(梦灵养成!$Q$10:$Q$15&lt;=产出预期!$M232),梦灵养成!O$10:O$15,梦灵养成!$P$10:$P$15))/MAX(SUMPRODUCT(--(梦灵养成!$C$10:$C$31&lt;=产出预期!$M232),--(梦灵养成!$E$10:$E$31=L$2)),1)*10,梦灵养成!AW$339:AW$388,1),0)</f>
        <v>50</v>
      </c>
      <c r="M215" s="45">
        <f ca="1">OFFSET(符文养成!$C$14,MATCH(C215,符文养成!$B$15:$B$44,1),0)</f>
        <v>30</v>
      </c>
      <c r="N215" s="45">
        <f ca="1">MATCH((产出预期!Z232*价值表!$F$53+产出预期!AA232*价值表!$F$54+产出预期!AD232*价值表!$F$57)/16/M215,符文养成!$G$15:$G$21,1)</f>
        <v>5</v>
      </c>
      <c r="O215" s="45">
        <f>MATCH(产出预期!O232,秘宝养成!$C$3:$C$14,1)</f>
        <v>11</v>
      </c>
    </row>
    <row r="216" ht="16.5" spans="2:15">
      <c r="B216" s="2">
        <v>214</v>
      </c>
      <c r="C216" s="2">
        <f ca="1">MATCH((OFFSET(产出预期!$C$3,0,产出预期!$B$1)*10+OFFSET(产出预期!$C$4,0,产出预期!$B$1)*10+OFFSET(产出预期!$C$7,0,产出预期!$B$1)*20)*B216/10*60,玩家等级!$E$3:$E$302,1)</f>
        <v>95</v>
      </c>
      <c r="D216" s="2">
        <f>MATCH(产出预期!P233/6,装备养成!$G$4:$G$303,1)</f>
        <v>137</v>
      </c>
      <c r="E216" s="2">
        <f>COUNTIF(产出预期!$R233:$Y233,"&gt;"&amp;0)</f>
        <v>8</v>
      </c>
      <c r="F216" s="2">
        <f ca="1">MATCH(OFFSET(产出预期!$R$19,B216,E216-1),装备养成!$S$4:$S$9,1)</f>
        <v>6</v>
      </c>
      <c r="G216" s="2" t="str">
        <f ca="1">OFFSET(梦灵养成!$D$9,MATCH(梦灵养成!C247,梦灵养成!$C$10:$C$28,1),0)</f>
        <v>我爱沙</v>
      </c>
      <c r="H216" s="2" t="str">
        <f ca="1">OFFSET(梦灵养成!$I$9,MATCH(梦灵养成!C247,梦灵养成!$C$10:$C$28,1),0)</f>
        <v>后羿</v>
      </c>
      <c r="I216" s="45" cm="1">
        <f ca="1" t="array" ref="I216">IFERROR(MATCH(((产出预期!$M233-OFFSET(梦灵养成!$Q$9,MATCH(产出预期!$M233,梦灵养成!$Q$10:$Q$15,1),0))*OFFSET(梦灵养成!L$9,1+MATCH(产出预期!$M233,梦灵养成!$Q$10:$Q$15,1),0)+梦灵养成!D552+SUMPRODUCT(--(梦灵养成!$Q$10:$Q$15&lt;=产出预期!$M233),梦灵养成!L$10:L$15,梦灵养成!$P$10:$P$15))/MAX(SUMPRODUCT(--(梦灵养成!$C$10:$C$31&lt;=产出预期!$M233),--(梦灵养成!$E$10:$E$31=I$2)),1)*10,梦灵养成!AT$339:AT$387,1),0)</f>
        <v>49</v>
      </c>
      <c r="J216" s="45" cm="1">
        <f ca="1" t="array" ref="J216">IFERROR(MATCH(((产出预期!$M233-OFFSET(梦灵养成!$Q$9,MATCH(产出预期!$M233,梦灵养成!$Q$10:$Q$15,1),0))*OFFSET(梦灵养成!M$9,1+MATCH(产出预期!$M233,梦灵养成!$Q$10:$Q$15,1),0)+梦灵养成!E552+SUMPRODUCT(--(梦灵养成!$Q$10:$Q$15&lt;=产出预期!$M233),梦灵养成!M$10:M$15,梦灵养成!$P$10:$P$15))/MAX(SUMPRODUCT(--(梦灵养成!$C$10:$C$31&lt;=产出预期!$M233),--(梦灵养成!$E$10:$E$31=J$2)),1)*10,梦灵养成!AU$339:AU$387,1),0)</f>
        <v>49</v>
      </c>
      <c r="K216" s="45" cm="1">
        <f ca="1" t="array" ref="K216">IFERROR(MATCH(((产出预期!$M233-OFFSET(梦灵养成!$Q$9,MATCH(产出预期!$M233,梦灵养成!$Q$10:$Q$15,1),0))*OFFSET(梦灵养成!N$9,1+MATCH(产出预期!$M233,梦灵养成!$Q$10:$Q$15,1),0)+梦灵养成!F552+SUMPRODUCT(--(梦灵养成!$Q$10:$Q$15&lt;=产出预期!$M233),梦灵养成!N$10:N$15,梦灵养成!$P$10:$P$15))/MAX(SUMPRODUCT(--(梦灵养成!$C$10:$C$31&lt;=产出预期!$M233),--(梦灵养成!$E$10:$E$31=K$2)),1)*10,梦灵养成!AV$339:AV$387,1),0)</f>
        <v>49</v>
      </c>
      <c r="L216" s="45" cm="1">
        <f ca="1" t="array" ref="L216">IFERROR(MATCH(((产出预期!$M233-OFFSET(梦灵养成!$Q$9,MATCH(产出预期!$M233,梦灵养成!$Q$10:$Q$15,1),0))*OFFSET(梦灵养成!O$9,1+MATCH(产出预期!$M233,梦灵养成!$Q$10:$Q$15,1),0)+梦灵养成!G552+SUMPRODUCT(--(梦灵养成!$Q$10:$Q$15&lt;=产出预期!$M233),梦灵养成!O$10:O$15,梦灵养成!$P$10:$P$15))/MAX(SUMPRODUCT(--(梦灵养成!$C$10:$C$31&lt;=产出预期!$M233),--(梦灵养成!$E$10:$E$31=L$2)),1)*10,梦灵养成!AW$339:AW$388,1),0)</f>
        <v>50</v>
      </c>
      <c r="M216" s="45">
        <f ca="1">OFFSET(符文养成!$C$14,MATCH(C216,符文养成!$B$15:$B$44,1),0)</f>
        <v>30</v>
      </c>
      <c r="N216" s="45">
        <f ca="1">MATCH((产出预期!Z233*价值表!$F$53+产出预期!AA233*价值表!$F$54+产出预期!AD233*价值表!$F$57)/16/M216,符文养成!$G$15:$G$21,1)</f>
        <v>5</v>
      </c>
      <c r="O216" s="45">
        <f>MATCH(产出预期!O233,秘宝养成!$C$3:$C$14,1)</f>
        <v>11</v>
      </c>
    </row>
    <row r="217" ht="16.5" spans="2:15">
      <c r="B217" s="2">
        <v>215</v>
      </c>
      <c r="C217" s="2">
        <f ca="1">MATCH((OFFSET(产出预期!$C$3,0,产出预期!$B$1)*10+OFFSET(产出预期!$C$4,0,产出预期!$B$1)*10+OFFSET(产出预期!$C$7,0,产出预期!$B$1)*20)*B217/10*60,玩家等级!$E$3:$E$302,1)</f>
        <v>96</v>
      </c>
      <c r="D217" s="2">
        <f>MATCH(产出预期!P234/6,装备养成!$G$4:$G$303,1)</f>
        <v>138</v>
      </c>
      <c r="E217" s="2">
        <f>COUNTIF(产出预期!$R234:$Y234,"&gt;"&amp;0)</f>
        <v>8</v>
      </c>
      <c r="F217" s="2">
        <f ca="1">MATCH(OFFSET(产出预期!$R$19,B217,E217-1),装备养成!$S$4:$S$9,1)</f>
        <v>6</v>
      </c>
      <c r="G217" s="2" t="str">
        <f ca="1">OFFSET(梦灵养成!$D$9,MATCH(梦灵养成!C248,梦灵养成!$C$10:$C$28,1),0)</f>
        <v>我爱沙</v>
      </c>
      <c r="H217" s="2" t="str">
        <f ca="1">OFFSET(梦灵养成!$I$9,MATCH(梦灵养成!C248,梦灵养成!$C$10:$C$28,1),0)</f>
        <v>后羿</v>
      </c>
      <c r="I217" s="45" cm="1">
        <f ca="1" t="array" ref="I217">IFERROR(MATCH(((产出预期!$M234-OFFSET(梦灵养成!$Q$9,MATCH(产出预期!$M234,梦灵养成!$Q$10:$Q$15,1),0))*OFFSET(梦灵养成!L$9,1+MATCH(产出预期!$M234,梦灵养成!$Q$10:$Q$15,1),0)+梦灵养成!D553+SUMPRODUCT(--(梦灵养成!$Q$10:$Q$15&lt;=产出预期!$M234),梦灵养成!L$10:L$15,梦灵养成!$P$10:$P$15))/MAX(SUMPRODUCT(--(梦灵养成!$C$10:$C$31&lt;=产出预期!$M234),--(梦灵养成!$E$10:$E$31=I$2)),1)*10,梦灵养成!AT$339:AT$387,1),0)</f>
        <v>49</v>
      </c>
      <c r="J217" s="45" cm="1">
        <f ca="1" t="array" ref="J217">IFERROR(MATCH(((产出预期!$M234-OFFSET(梦灵养成!$Q$9,MATCH(产出预期!$M234,梦灵养成!$Q$10:$Q$15,1),0))*OFFSET(梦灵养成!M$9,1+MATCH(产出预期!$M234,梦灵养成!$Q$10:$Q$15,1),0)+梦灵养成!E553+SUMPRODUCT(--(梦灵养成!$Q$10:$Q$15&lt;=产出预期!$M234),梦灵养成!M$10:M$15,梦灵养成!$P$10:$P$15))/MAX(SUMPRODUCT(--(梦灵养成!$C$10:$C$31&lt;=产出预期!$M234),--(梦灵养成!$E$10:$E$31=J$2)),1)*10,梦灵养成!AU$339:AU$387,1),0)</f>
        <v>49</v>
      </c>
      <c r="K217" s="45" cm="1">
        <f ca="1" t="array" ref="K217">IFERROR(MATCH(((产出预期!$M234-OFFSET(梦灵养成!$Q$9,MATCH(产出预期!$M234,梦灵养成!$Q$10:$Q$15,1),0))*OFFSET(梦灵养成!N$9,1+MATCH(产出预期!$M234,梦灵养成!$Q$10:$Q$15,1),0)+梦灵养成!F553+SUMPRODUCT(--(梦灵养成!$Q$10:$Q$15&lt;=产出预期!$M234),梦灵养成!N$10:N$15,梦灵养成!$P$10:$P$15))/MAX(SUMPRODUCT(--(梦灵养成!$C$10:$C$31&lt;=产出预期!$M234),--(梦灵养成!$E$10:$E$31=K$2)),1)*10,梦灵养成!AV$339:AV$387,1),0)</f>
        <v>49</v>
      </c>
      <c r="L217" s="45" cm="1">
        <f ca="1" t="array" ref="L217">IFERROR(MATCH(((产出预期!$M234-OFFSET(梦灵养成!$Q$9,MATCH(产出预期!$M234,梦灵养成!$Q$10:$Q$15,1),0))*OFFSET(梦灵养成!O$9,1+MATCH(产出预期!$M234,梦灵养成!$Q$10:$Q$15,1),0)+梦灵养成!G553+SUMPRODUCT(--(梦灵养成!$Q$10:$Q$15&lt;=产出预期!$M234),梦灵养成!O$10:O$15,梦灵养成!$P$10:$P$15))/MAX(SUMPRODUCT(--(梦灵养成!$C$10:$C$31&lt;=产出预期!$M234),--(梦灵养成!$E$10:$E$31=L$2)),1)*10,梦灵养成!AW$339:AW$388,1),0)</f>
        <v>50</v>
      </c>
      <c r="M217" s="45">
        <f ca="1">OFFSET(符文养成!$C$14,MATCH(C217,符文养成!$B$15:$B$44,1),0)</f>
        <v>30</v>
      </c>
      <c r="N217" s="45">
        <f ca="1">MATCH((产出预期!Z234*价值表!$F$53+产出预期!AA234*价值表!$F$54+产出预期!AD234*价值表!$F$57)/16/M217,符文养成!$G$15:$G$21,1)</f>
        <v>5</v>
      </c>
      <c r="O217" s="45">
        <f>MATCH(产出预期!O234,秘宝养成!$C$3:$C$14,1)</f>
        <v>11</v>
      </c>
    </row>
    <row r="218" ht="16.5" spans="2:15">
      <c r="B218" s="2">
        <v>216</v>
      </c>
      <c r="C218" s="2">
        <f ca="1">MATCH((OFFSET(产出预期!$C$3,0,产出预期!$B$1)*10+OFFSET(产出预期!$C$4,0,产出预期!$B$1)*10+OFFSET(产出预期!$C$7,0,产出预期!$B$1)*20)*B218/10*60,玩家等级!$E$3:$E$302,1)</f>
        <v>96</v>
      </c>
      <c r="D218" s="2">
        <f>MATCH(产出预期!P235/6,装备养成!$G$4:$G$303,1)</f>
        <v>138</v>
      </c>
      <c r="E218" s="2">
        <f>COUNTIF(产出预期!$R235:$Y235,"&gt;"&amp;0)</f>
        <v>8</v>
      </c>
      <c r="F218" s="2">
        <f ca="1">MATCH(OFFSET(产出预期!$R$19,B218,E218-1),装备养成!$S$4:$S$9,1)</f>
        <v>6</v>
      </c>
      <c r="G218" s="2" t="str">
        <f ca="1">OFFSET(梦灵养成!$D$9,MATCH(梦灵养成!C249,梦灵养成!$C$10:$C$28,1),0)</f>
        <v>我爱沙</v>
      </c>
      <c r="H218" s="2" t="str">
        <f ca="1">OFFSET(梦灵养成!$I$9,MATCH(梦灵养成!C249,梦灵养成!$C$10:$C$28,1),0)</f>
        <v>后羿</v>
      </c>
      <c r="I218" s="45" cm="1">
        <f ca="1" t="array" ref="I218">IFERROR(MATCH(((产出预期!$M235-OFFSET(梦灵养成!$Q$9,MATCH(产出预期!$M235,梦灵养成!$Q$10:$Q$15,1),0))*OFFSET(梦灵养成!L$9,1+MATCH(产出预期!$M235,梦灵养成!$Q$10:$Q$15,1),0)+梦灵养成!D554+SUMPRODUCT(--(梦灵养成!$Q$10:$Q$15&lt;=产出预期!$M235),梦灵养成!L$10:L$15,梦灵养成!$P$10:$P$15))/MAX(SUMPRODUCT(--(梦灵养成!$C$10:$C$31&lt;=产出预期!$M235),--(梦灵养成!$E$10:$E$31=I$2)),1)*10,梦灵养成!AT$339:AT$387,1),0)</f>
        <v>49</v>
      </c>
      <c r="J218" s="45" cm="1">
        <f ca="1" t="array" ref="J218">IFERROR(MATCH(((产出预期!$M235-OFFSET(梦灵养成!$Q$9,MATCH(产出预期!$M235,梦灵养成!$Q$10:$Q$15,1),0))*OFFSET(梦灵养成!M$9,1+MATCH(产出预期!$M235,梦灵养成!$Q$10:$Q$15,1),0)+梦灵养成!E554+SUMPRODUCT(--(梦灵养成!$Q$10:$Q$15&lt;=产出预期!$M235),梦灵养成!M$10:M$15,梦灵养成!$P$10:$P$15))/MAX(SUMPRODUCT(--(梦灵养成!$C$10:$C$31&lt;=产出预期!$M235),--(梦灵养成!$E$10:$E$31=J$2)),1)*10,梦灵养成!AU$339:AU$387,1),0)</f>
        <v>49</v>
      </c>
      <c r="K218" s="45" cm="1">
        <f ca="1" t="array" ref="K218">IFERROR(MATCH(((产出预期!$M235-OFFSET(梦灵养成!$Q$9,MATCH(产出预期!$M235,梦灵养成!$Q$10:$Q$15,1),0))*OFFSET(梦灵养成!N$9,1+MATCH(产出预期!$M235,梦灵养成!$Q$10:$Q$15,1),0)+梦灵养成!F554+SUMPRODUCT(--(梦灵养成!$Q$10:$Q$15&lt;=产出预期!$M235),梦灵养成!N$10:N$15,梦灵养成!$P$10:$P$15))/MAX(SUMPRODUCT(--(梦灵养成!$C$10:$C$31&lt;=产出预期!$M235),--(梦灵养成!$E$10:$E$31=K$2)),1)*10,梦灵养成!AV$339:AV$387,1),0)</f>
        <v>49</v>
      </c>
      <c r="L218" s="45" cm="1">
        <f ca="1" t="array" ref="L218">IFERROR(MATCH(((产出预期!$M235-OFFSET(梦灵养成!$Q$9,MATCH(产出预期!$M235,梦灵养成!$Q$10:$Q$15,1),0))*OFFSET(梦灵养成!O$9,1+MATCH(产出预期!$M235,梦灵养成!$Q$10:$Q$15,1),0)+梦灵养成!G554+SUMPRODUCT(--(梦灵养成!$Q$10:$Q$15&lt;=产出预期!$M235),梦灵养成!O$10:O$15,梦灵养成!$P$10:$P$15))/MAX(SUMPRODUCT(--(梦灵养成!$C$10:$C$31&lt;=产出预期!$M235),--(梦灵养成!$E$10:$E$31=L$2)),1)*10,梦灵养成!AW$339:AW$388,1),0)</f>
        <v>50</v>
      </c>
      <c r="M218" s="45">
        <f ca="1">OFFSET(符文养成!$C$14,MATCH(C218,符文养成!$B$15:$B$44,1),0)</f>
        <v>30</v>
      </c>
      <c r="N218" s="45">
        <f ca="1">MATCH((产出预期!Z235*价值表!$F$53+产出预期!AA235*价值表!$F$54+产出预期!AD235*价值表!$F$57)/16/M218,符文养成!$G$15:$G$21,1)</f>
        <v>5</v>
      </c>
      <c r="O218" s="45">
        <f>MATCH(产出预期!O235,秘宝养成!$C$3:$C$14,1)</f>
        <v>11</v>
      </c>
    </row>
    <row r="219" ht="16.5" spans="2:15">
      <c r="B219" s="2">
        <v>217</v>
      </c>
      <c r="C219" s="2">
        <f ca="1">MATCH((OFFSET(产出预期!$C$3,0,产出预期!$B$1)*10+OFFSET(产出预期!$C$4,0,产出预期!$B$1)*10+OFFSET(产出预期!$C$7,0,产出预期!$B$1)*20)*B219/10*60,玩家等级!$E$3:$E$302,1)</f>
        <v>96</v>
      </c>
      <c r="D219" s="2">
        <f>MATCH(产出预期!P236/6,装备养成!$G$4:$G$303,1)</f>
        <v>138</v>
      </c>
      <c r="E219" s="2">
        <f>COUNTIF(产出预期!$R236:$Y236,"&gt;"&amp;0)</f>
        <v>8</v>
      </c>
      <c r="F219" s="2">
        <f ca="1">MATCH(OFFSET(产出预期!$R$19,B219,E219-1),装备养成!$S$4:$S$9,1)</f>
        <v>6</v>
      </c>
      <c r="G219" s="2" t="str">
        <f ca="1">OFFSET(梦灵养成!$D$9,MATCH(梦灵养成!C250,梦灵养成!$C$10:$C$28,1),0)</f>
        <v>我爱沙</v>
      </c>
      <c r="H219" s="2" t="str">
        <f ca="1">OFFSET(梦灵养成!$I$9,MATCH(梦灵养成!C250,梦灵养成!$C$10:$C$28,1),0)</f>
        <v>后羿</v>
      </c>
      <c r="I219" s="45" cm="1">
        <f ca="1" t="array" ref="I219">IFERROR(MATCH(((产出预期!$M236-OFFSET(梦灵养成!$Q$9,MATCH(产出预期!$M236,梦灵养成!$Q$10:$Q$15,1),0))*OFFSET(梦灵养成!L$9,1+MATCH(产出预期!$M236,梦灵养成!$Q$10:$Q$15,1),0)+梦灵养成!D555+SUMPRODUCT(--(梦灵养成!$Q$10:$Q$15&lt;=产出预期!$M236),梦灵养成!L$10:L$15,梦灵养成!$P$10:$P$15))/MAX(SUMPRODUCT(--(梦灵养成!$C$10:$C$31&lt;=产出预期!$M236),--(梦灵养成!$E$10:$E$31=I$2)),1)*10,梦灵养成!AT$339:AT$387,1),0)</f>
        <v>49</v>
      </c>
      <c r="J219" s="45" cm="1">
        <f ca="1" t="array" ref="J219">IFERROR(MATCH(((产出预期!$M236-OFFSET(梦灵养成!$Q$9,MATCH(产出预期!$M236,梦灵养成!$Q$10:$Q$15,1),0))*OFFSET(梦灵养成!M$9,1+MATCH(产出预期!$M236,梦灵养成!$Q$10:$Q$15,1),0)+梦灵养成!E555+SUMPRODUCT(--(梦灵养成!$Q$10:$Q$15&lt;=产出预期!$M236),梦灵养成!M$10:M$15,梦灵养成!$P$10:$P$15))/MAX(SUMPRODUCT(--(梦灵养成!$C$10:$C$31&lt;=产出预期!$M236),--(梦灵养成!$E$10:$E$31=J$2)),1)*10,梦灵养成!AU$339:AU$387,1),0)</f>
        <v>49</v>
      </c>
      <c r="K219" s="45" cm="1">
        <f ca="1" t="array" ref="K219">IFERROR(MATCH(((产出预期!$M236-OFFSET(梦灵养成!$Q$9,MATCH(产出预期!$M236,梦灵养成!$Q$10:$Q$15,1),0))*OFFSET(梦灵养成!N$9,1+MATCH(产出预期!$M236,梦灵养成!$Q$10:$Q$15,1),0)+梦灵养成!F555+SUMPRODUCT(--(梦灵养成!$Q$10:$Q$15&lt;=产出预期!$M236),梦灵养成!N$10:N$15,梦灵养成!$P$10:$P$15))/MAX(SUMPRODUCT(--(梦灵养成!$C$10:$C$31&lt;=产出预期!$M236),--(梦灵养成!$E$10:$E$31=K$2)),1)*10,梦灵养成!AV$339:AV$387,1),0)</f>
        <v>49</v>
      </c>
      <c r="L219" s="45" cm="1">
        <f ca="1" t="array" ref="L219">IFERROR(MATCH(((产出预期!$M236-OFFSET(梦灵养成!$Q$9,MATCH(产出预期!$M236,梦灵养成!$Q$10:$Q$15,1),0))*OFFSET(梦灵养成!O$9,1+MATCH(产出预期!$M236,梦灵养成!$Q$10:$Q$15,1),0)+梦灵养成!G555+SUMPRODUCT(--(梦灵养成!$Q$10:$Q$15&lt;=产出预期!$M236),梦灵养成!O$10:O$15,梦灵养成!$P$10:$P$15))/MAX(SUMPRODUCT(--(梦灵养成!$C$10:$C$31&lt;=产出预期!$M236),--(梦灵养成!$E$10:$E$31=L$2)),1)*10,梦灵养成!AW$339:AW$388,1),0)</f>
        <v>50</v>
      </c>
      <c r="M219" s="45">
        <f ca="1">OFFSET(符文养成!$C$14,MATCH(C219,符文养成!$B$15:$B$44,1),0)</f>
        <v>30</v>
      </c>
      <c r="N219" s="45">
        <f ca="1">MATCH((产出预期!Z236*价值表!$F$53+产出预期!AA236*价值表!$F$54+产出预期!AD236*价值表!$F$57)/16/M219,符文养成!$G$15:$G$21,1)</f>
        <v>5</v>
      </c>
      <c r="O219" s="45">
        <f>MATCH(产出预期!O236,秘宝养成!$C$3:$C$14,1)</f>
        <v>11</v>
      </c>
    </row>
    <row r="220" ht="16.5" spans="2:15">
      <c r="B220" s="2">
        <v>218</v>
      </c>
      <c r="C220" s="2">
        <f ca="1">MATCH((OFFSET(产出预期!$C$3,0,产出预期!$B$1)*10+OFFSET(产出预期!$C$4,0,产出预期!$B$1)*10+OFFSET(产出预期!$C$7,0,产出预期!$B$1)*20)*B220/10*60,玩家等级!$E$3:$E$302,1)</f>
        <v>96</v>
      </c>
      <c r="D220" s="2">
        <f>MATCH(产出预期!P237/6,装备养成!$G$4:$G$303,1)</f>
        <v>138</v>
      </c>
      <c r="E220" s="2">
        <f>COUNTIF(产出预期!$R237:$Y237,"&gt;"&amp;0)</f>
        <v>8</v>
      </c>
      <c r="F220" s="2">
        <f ca="1">MATCH(OFFSET(产出预期!$R$19,B220,E220-1),装备养成!$S$4:$S$9,1)</f>
        <v>6</v>
      </c>
      <c r="G220" s="2" t="str">
        <f ca="1">OFFSET(梦灵养成!$D$9,MATCH(梦灵养成!C251,梦灵养成!$C$10:$C$28,1),0)</f>
        <v>我爱沙</v>
      </c>
      <c r="H220" s="2" t="str">
        <f ca="1">OFFSET(梦灵养成!$I$9,MATCH(梦灵养成!C251,梦灵养成!$C$10:$C$28,1),0)</f>
        <v>后羿</v>
      </c>
      <c r="I220" s="45" cm="1">
        <f ca="1" t="array" ref="I220">IFERROR(MATCH(((产出预期!$M237-OFFSET(梦灵养成!$Q$9,MATCH(产出预期!$M237,梦灵养成!$Q$10:$Q$15,1),0))*OFFSET(梦灵养成!L$9,1+MATCH(产出预期!$M237,梦灵养成!$Q$10:$Q$15,1),0)+梦灵养成!D556+SUMPRODUCT(--(梦灵养成!$Q$10:$Q$15&lt;=产出预期!$M237),梦灵养成!L$10:L$15,梦灵养成!$P$10:$P$15))/MAX(SUMPRODUCT(--(梦灵养成!$C$10:$C$31&lt;=产出预期!$M237),--(梦灵养成!$E$10:$E$31=I$2)),1)*10,梦灵养成!AT$339:AT$387,1),0)</f>
        <v>49</v>
      </c>
      <c r="J220" s="45" cm="1">
        <f ca="1" t="array" ref="J220">IFERROR(MATCH(((产出预期!$M237-OFFSET(梦灵养成!$Q$9,MATCH(产出预期!$M237,梦灵养成!$Q$10:$Q$15,1),0))*OFFSET(梦灵养成!M$9,1+MATCH(产出预期!$M237,梦灵养成!$Q$10:$Q$15,1),0)+梦灵养成!E556+SUMPRODUCT(--(梦灵养成!$Q$10:$Q$15&lt;=产出预期!$M237),梦灵养成!M$10:M$15,梦灵养成!$P$10:$P$15))/MAX(SUMPRODUCT(--(梦灵养成!$C$10:$C$31&lt;=产出预期!$M237),--(梦灵养成!$E$10:$E$31=J$2)),1)*10,梦灵养成!AU$339:AU$387,1),0)</f>
        <v>49</v>
      </c>
      <c r="K220" s="45" cm="1">
        <f ca="1" t="array" ref="K220">IFERROR(MATCH(((产出预期!$M237-OFFSET(梦灵养成!$Q$9,MATCH(产出预期!$M237,梦灵养成!$Q$10:$Q$15,1),0))*OFFSET(梦灵养成!N$9,1+MATCH(产出预期!$M237,梦灵养成!$Q$10:$Q$15,1),0)+梦灵养成!F556+SUMPRODUCT(--(梦灵养成!$Q$10:$Q$15&lt;=产出预期!$M237),梦灵养成!N$10:N$15,梦灵养成!$P$10:$P$15))/MAX(SUMPRODUCT(--(梦灵养成!$C$10:$C$31&lt;=产出预期!$M237),--(梦灵养成!$E$10:$E$31=K$2)),1)*10,梦灵养成!AV$339:AV$387,1),0)</f>
        <v>49</v>
      </c>
      <c r="L220" s="45" cm="1">
        <f ca="1" t="array" ref="L220">IFERROR(MATCH(((产出预期!$M237-OFFSET(梦灵养成!$Q$9,MATCH(产出预期!$M237,梦灵养成!$Q$10:$Q$15,1),0))*OFFSET(梦灵养成!O$9,1+MATCH(产出预期!$M237,梦灵养成!$Q$10:$Q$15,1),0)+梦灵养成!G556+SUMPRODUCT(--(梦灵养成!$Q$10:$Q$15&lt;=产出预期!$M237),梦灵养成!O$10:O$15,梦灵养成!$P$10:$P$15))/MAX(SUMPRODUCT(--(梦灵养成!$C$10:$C$31&lt;=产出预期!$M237),--(梦灵养成!$E$10:$E$31=L$2)),1)*10,梦灵养成!AW$339:AW$388,1),0)</f>
        <v>50</v>
      </c>
      <c r="M220" s="45">
        <f ca="1">OFFSET(符文养成!$C$14,MATCH(C220,符文养成!$B$15:$B$44,1),0)</f>
        <v>30</v>
      </c>
      <c r="N220" s="45">
        <f ca="1">MATCH((产出预期!Z237*价值表!$F$53+产出预期!AA237*价值表!$F$54+产出预期!AD237*价值表!$F$57)/16/M220,符文养成!$G$15:$G$21,1)</f>
        <v>5</v>
      </c>
      <c r="O220" s="45">
        <f>MATCH(产出预期!O237,秘宝养成!$C$3:$C$14,1)</f>
        <v>11</v>
      </c>
    </row>
    <row r="221" ht="16.5" spans="2:15">
      <c r="B221" s="2">
        <v>219</v>
      </c>
      <c r="C221" s="2">
        <f ca="1">MATCH((OFFSET(产出预期!$C$3,0,产出预期!$B$1)*10+OFFSET(产出预期!$C$4,0,产出预期!$B$1)*10+OFFSET(产出预期!$C$7,0,产出预期!$B$1)*20)*B221/10*60,玩家等级!$E$3:$E$302,1)</f>
        <v>96</v>
      </c>
      <c r="D221" s="2">
        <f>MATCH(产出预期!P238/6,装备养成!$G$4:$G$303,1)</f>
        <v>139</v>
      </c>
      <c r="E221" s="2">
        <f>COUNTIF(产出预期!$R238:$Y238,"&gt;"&amp;0)</f>
        <v>8</v>
      </c>
      <c r="F221" s="2">
        <f ca="1">MATCH(OFFSET(产出预期!$R$19,B221,E221-1),装备养成!$S$4:$S$9,1)</f>
        <v>6</v>
      </c>
      <c r="G221" s="2" t="str">
        <f ca="1">OFFSET(梦灵养成!$D$9,MATCH(梦灵养成!C252,梦灵养成!$C$10:$C$28,1),0)</f>
        <v>我爱沙</v>
      </c>
      <c r="H221" s="2" t="str">
        <f ca="1">OFFSET(梦灵养成!$I$9,MATCH(梦灵养成!C252,梦灵养成!$C$10:$C$28,1),0)</f>
        <v>后羿</v>
      </c>
      <c r="I221" s="45" cm="1">
        <f ca="1" t="array" ref="I221">IFERROR(MATCH(((产出预期!$M238-OFFSET(梦灵养成!$Q$9,MATCH(产出预期!$M238,梦灵养成!$Q$10:$Q$15,1),0))*OFFSET(梦灵养成!L$9,1+MATCH(产出预期!$M238,梦灵养成!$Q$10:$Q$15,1),0)+梦灵养成!D557+SUMPRODUCT(--(梦灵养成!$Q$10:$Q$15&lt;=产出预期!$M238),梦灵养成!L$10:L$15,梦灵养成!$P$10:$P$15))/MAX(SUMPRODUCT(--(梦灵养成!$C$10:$C$31&lt;=产出预期!$M238),--(梦灵养成!$E$10:$E$31=I$2)),1)*10,梦灵养成!AT$339:AT$387,1),0)</f>
        <v>49</v>
      </c>
      <c r="J221" s="45" cm="1">
        <f ca="1" t="array" ref="J221">IFERROR(MATCH(((产出预期!$M238-OFFSET(梦灵养成!$Q$9,MATCH(产出预期!$M238,梦灵养成!$Q$10:$Q$15,1),0))*OFFSET(梦灵养成!M$9,1+MATCH(产出预期!$M238,梦灵养成!$Q$10:$Q$15,1),0)+梦灵养成!E557+SUMPRODUCT(--(梦灵养成!$Q$10:$Q$15&lt;=产出预期!$M238),梦灵养成!M$10:M$15,梦灵养成!$P$10:$P$15))/MAX(SUMPRODUCT(--(梦灵养成!$C$10:$C$31&lt;=产出预期!$M238),--(梦灵养成!$E$10:$E$31=J$2)),1)*10,梦灵养成!AU$339:AU$387,1),0)</f>
        <v>49</v>
      </c>
      <c r="K221" s="45" cm="1">
        <f ca="1" t="array" ref="K221">IFERROR(MATCH(((产出预期!$M238-OFFSET(梦灵养成!$Q$9,MATCH(产出预期!$M238,梦灵养成!$Q$10:$Q$15,1),0))*OFFSET(梦灵养成!N$9,1+MATCH(产出预期!$M238,梦灵养成!$Q$10:$Q$15,1),0)+梦灵养成!F557+SUMPRODUCT(--(梦灵养成!$Q$10:$Q$15&lt;=产出预期!$M238),梦灵养成!N$10:N$15,梦灵养成!$P$10:$P$15))/MAX(SUMPRODUCT(--(梦灵养成!$C$10:$C$31&lt;=产出预期!$M238),--(梦灵养成!$E$10:$E$31=K$2)),1)*10,梦灵养成!AV$339:AV$387,1),0)</f>
        <v>49</v>
      </c>
      <c r="L221" s="45" cm="1">
        <f ca="1" t="array" ref="L221">IFERROR(MATCH(((产出预期!$M238-OFFSET(梦灵养成!$Q$9,MATCH(产出预期!$M238,梦灵养成!$Q$10:$Q$15,1),0))*OFFSET(梦灵养成!O$9,1+MATCH(产出预期!$M238,梦灵养成!$Q$10:$Q$15,1),0)+梦灵养成!G557+SUMPRODUCT(--(梦灵养成!$Q$10:$Q$15&lt;=产出预期!$M238),梦灵养成!O$10:O$15,梦灵养成!$P$10:$P$15))/MAX(SUMPRODUCT(--(梦灵养成!$C$10:$C$31&lt;=产出预期!$M238),--(梦灵养成!$E$10:$E$31=L$2)),1)*10,梦灵养成!AW$339:AW$388,1),0)</f>
        <v>50</v>
      </c>
      <c r="M221" s="45">
        <f ca="1">OFFSET(符文养成!$C$14,MATCH(C221,符文养成!$B$15:$B$44,1),0)</f>
        <v>30</v>
      </c>
      <c r="N221" s="45">
        <f ca="1">MATCH((产出预期!Z238*价值表!$F$53+产出预期!AA238*价值表!$F$54+产出预期!AD238*价值表!$F$57)/16/M221,符文养成!$G$15:$G$21,1)</f>
        <v>5</v>
      </c>
      <c r="O221" s="45">
        <f>MATCH(产出预期!O238,秘宝养成!$C$3:$C$14,1)</f>
        <v>11</v>
      </c>
    </row>
    <row r="222" ht="16.5" spans="2:15">
      <c r="B222" s="2">
        <v>220</v>
      </c>
      <c r="C222" s="2">
        <f ca="1">MATCH((OFFSET(产出预期!$C$3,0,产出预期!$B$1)*10+OFFSET(产出预期!$C$4,0,产出预期!$B$1)*10+OFFSET(产出预期!$C$7,0,产出预期!$B$1)*20)*B222/10*60,玩家等级!$E$3:$E$302,1)</f>
        <v>96</v>
      </c>
      <c r="D222" s="2">
        <f>MATCH(产出预期!P239/6,装备养成!$G$4:$G$303,1)</f>
        <v>139</v>
      </c>
      <c r="E222" s="2">
        <f>COUNTIF(产出预期!$R239:$Y239,"&gt;"&amp;0)</f>
        <v>8</v>
      </c>
      <c r="F222" s="2">
        <f ca="1">MATCH(OFFSET(产出预期!$R$19,B222,E222-1),装备养成!$S$4:$S$9,1)</f>
        <v>6</v>
      </c>
      <c r="G222" s="2" t="str">
        <f ca="1">OFFSET(梦灵养成!$D$9,MATCH(梦灵养成!C253,梦灵养成!$C$10:$C$28,1),0)</f>
        <v>我爱沙</v>
      </c>
      <c r="H222" s="2" t="str">
        <f ca="1">OFFSET(梦灵养成!$I$9,MATCH(梦灵养成!C253,梦灵养成!$C$10:$C$28,1),0)</f>
        <v>后羿</v>
      </c>
      <c r="I222" s="45" cm="1">
        <f ca="1" t="array" ref="I222">IFERROR(MATCH(((产出预期!$M239-OFFSET(梦灵养成!$Q$9,MATCH(产出预期!$M239,梦灵养成!$Q$10:$Q$15,1),0))*OFFSET(梦灵养成!L$9,1+MATCH(产出预期!$M239,梦灵养成!$Q$10:$Q$15,1),0)+梦灵养成!D558+SUMPRODUCT(--(梦灵养成!$Q$10:$Q$15&lt;=产出预期!$M239),梦灵养成!L$10:L$15,梦灵养成!$P$10:$P$15))/MAX(SUMPRODUCT(--(梦灵养成!$C$10:$C$31&lt;=产出预期!$M239),--(梦灵养成!$E$10:$E$31=I$2)),1)*10,梦灵养成!AT$339:AT$387,1),0)</f>
        <v>49</v>
      </c>
      <c r="J222" s="45" cm="1">
        <f ca="1" t="array" ref="J222">IFERROR(MATCH(((产出预期!$M239-OFFSET(梦灵养成!$Q$9,MATCH(产出预期!$M239,梦灵养成!$Q$10:$Q$15,1),0))*OFFSET(梦灵养成!M$9,1+MATCH(产出预期!$M239,梦灵养成!$Q$10:$Q$15,1),0)+梦灵养成!E558+SUMPRODUCT(--(梦灵养成!$Q$10:$Q$15&lt;=产出预期!$M239),梦灵养成!M$10:M$15,梦灵养成!$P$10:$P$15))/MAX(SUMPRODUCT(--(梦灵养成!$C$10:$C$31&lt;=产出预期!$M239),--(梦灵养成!$E$10:$E$31=J$2)),1)*10,梦灵养成!AU$339:AU$387,1),0)</f>
        <v>49</v>
      </c>
      <c r="K222" s="45" cm="1">
        <f ca="1" t="array" ref="K222">IFERROR(MATCH(((产出预期!$M239-OFFSET(梦灵养成!$Q$9,MATCH(产出预期!$M239,梦灵养成!$Q$10:$Q$15,1),0))*OFFSET(梦灵养成!N$9,1+MATCH(产出预期!$M239,梦灵养成!$Q$10:$Q$15,1),0)+梦灵养成!F558+SUMPRODUCT(--(梦灵养成!$Q$10:$Q$15&lt;=产出预期!$M239),梦灵养成!N$10:N$15,梦灵养成!$P$10:$P$15))/MAX(SUMPRODUCT(--(梦灵养成!$C$10:$C$31&lt;=产出预期!$M239),--(梦灵养成!$E$10:$E$31=K$2)),1)*10,梦灵养成!AV$339:AV$387,1),0)</f>
        <v>49</v>
      </c>
      <c r="L222" s="45" cm="1">
        <f ca="1" t="array" ref="L222">IFERROR(MATCH(((产出预期!$M239-OFFSET(梦灵养成!$Q$9,MATCH(产出预期!$M239,梦灵养成!$Q$10:$Q$15,1),0))*OFFSET(梦灵养成!O$9,1+MATCH(产出预期!$M239,梦灵养成!$Q$10:$Q$15,1),0)+梦灵养成!G558+SUMPRODUCT(--(梦灵养成!$Q$10:$Q$15&lt;=产出预期!$M239),梦灵养成!O$10:O$15,梦灵养成!$P$10:$P$15))/MAX(SUMPRODUCT(--(梦灵养成!$C$10:$C$31&lt;=产出预期!$M239),--(梦灵养成!$E$10:$E$31=L$2)),1)*10,梦灵养成!AW$339:AW$388,1),0)</f>
        <v>50</v>
      </c>
      <c r="M222" s="45">
        <f ca="1">OFFSET(符文养成!$C$14,MATCH(C222,符文养成!$B$15:$B$44,1),0)</f>
        <v>30</v>
      </c>
      <c r="N222" s="45">
        <f ca="1">MATCH((产出预期!Z239*价值表!$F$53+产出预期!AA239*价值表!$F$54+产出预期!AD239*价值表!$F$57)/16/M222,符文养成!$G$15:$G$21,1)</f>
        <v>5</v>
      </c>
      <c r="O222" s="45">
        <f>MATCH(产出预期!O239,秘宝养成!$C$3:$C$14,1)</f>
        <v>11</v>
      </c>
    </row>
    <row r="223" ht="16.5" spans="2:15">
      <c r="B223" s="2">
        <v>221</v>
      </c>
      <c r="C223" s="2">
        <f ca="1">MATCH((OFFSET(产出预期!$C$3,0,产出预期!$B$1)*10+OFFSET(产出预期!$C$4,0,产出预期!$B$1)*10+OFFSET(产出预期!$C$7,0,产出预期!$B$1)*20)*B223/10*60,玩家等级!$E$3:$E$302,1)</f>
        <v>97</v>
      </c>
      <c r="D223" s="2">
        <f>MATCH(产出预期!P240/6,装备养成!$G$4:$G$303,1)</f>
        <v>139</v>
      </c>
      <c r="E223" s="2">
        <f>COUNTIF(产出预期!$R240:$Y240,"&gt;"&amp;0)</f>
        <v>8</v>
      </c>
      <c r="F223" s="2">
        <f ca="1">MATCH(OFFSET(产出预期!$R$19,B223,E223-1),装备养成!$S$4:$S$9,1)</f>
        <v>6</v>
      </c>
      <c r="G223" s="2" t="str">
        <f ca="1">OFFSET(梦灵养成!$D$9,MATCH(梦灵养成!C254,梦灵养成!$C$10:$C$28,1),0)</f>
        <v>我爱沙</v>
      </c>
      <c r="H223" s="2" t="str">
        <f ca="1">OFFSET(梦灵养成!$I$9,MATCH(梦灵养成!C254,梦灵养成!$C$10:$C$28,1),0)</f>
        <v>后羿</v>
      </c>
      <c r="I223" s="45" cm="1">
        <f ca="1" t="array" ref="I223">IFERROR(MATCH(((产出预期!$M240-OFFSET(梦灵养成!$Q$9,MATCH(产出预期!$M240,梦灵养成!$Q$10:$Q$15,1),0))*OFFSET(梦灵养成!L$9,1+MATCH(产出预期!$M240,梦灵养成!$Q$10:$Q$15,1),0)+梦灵养成!D559+SUMPRODUCT(--(梦灵养成!$Q$10:$Q$15&lt;=产出预期!$M240),梦灵养成!L$10:L$15,梦灵养成!$P$10:$P$15))/MAX(SUMPRODUCT(--(梦灵养成!$C$10:$C$31&lt;=产出预期!$M240),--(梦灵养成!$E$10:$E$31=I$2)),1)*10,梦灵养成!AT$339:AT$387,1),0)</f>
        <v>49</v>
      </c>
      <c r="J223" s="45" cm="1">
        <f ca="1" t="array" ref="J223">IFERROR(MATCH(((产出预期!$M240-OFFSET(梦灵养成!$Q$9,MATCH(产出预期!$M240,梦灵养成!$Q$10:$Q$15,1),0))*OFFSET(梦灵养成!M$9,1+MATCH(产出预期!$M240,梦灵养成!$Q$10:$Q$15,1),0)+梦灵养成!E559+SUMPRODUCT(--(梦灵养成!$Q$10:$Q$15&lt;=产出预期!$M240),梦灵养成!M$10:M$15,梦灵养成!$P$10:$P$15))/MAX(SUMPRODUCT(--(梦灵养成!$C$10:$C$31&lt;=产出预期!$M240),--(梦灵养成!$E$10:$E$31=J$2)),1)*10,梦灵养成!AU$339:AU$387,1),0)</f>
        <v>49</v>
      </c>
      <c r="K223" s="45" cm="1">
        <f ca="1" t="array" ref="K223">IFERROR(MATCH(((产出预期!$M240-OFFSET(梦灵养成!$Q$9,MATCH(产出预期!$M240,梦灵养成!$Q$10:$Q$15,1),0))*OFFSET(梦灵养成!N$9,1+MATCH(产出预期!$M240,梦灵养成!$Q$10:$Q$15,1),0)+梦灵养成!F559+SUMPRODUCT(--(梦灵养成!$Q$10:$Q$15&lt;=产出预期!$M240),梦灵养成!N$10:N$15,梦灵养成!$P$10:$P$15))/MAX(SUMPRODUCT(--(梦灵养成!$C$10:$C$31&lt;=产出预期!$M240),--(梦灵养成!$E$10:$E$31=K$2)),1)*10,梦灵养成!AV$339:AV$387,1),0)</f>
        <v>49</v>
      </c>
      <c r="L223" s="45" cm="1">
        <f ca="1" t="array" ref="L223">IFERROR(MATCH(((产出预期!$M240-OFFSET(梦灵养成!$Q$9,MATCH(产出预期!$M240,梦灵养成!$Q$10:$Q$15,1),0))*OFFSET(梦灵养成!O$9,1+MATCH(产出预期!$M240,梦灵养成!$Q$10:$Q$15,1),0)+梦灵养成!G559+SUMPRODUCT(--(梦灵养成!$Q$10:$Q$15&lt;=产出预期!$M240),梦灵养成!O$10:O$15,梦灵养成!$P$10:$P$15))/MAX(SUMPRODUCT(--(梦灵养成!$C$10:$C$31&lt;=产出预期!$M240),--(梦灵养成!$E$10:$E$31=L$2)),1)*10,梦灵养成!AW$339:AW$388,1),0)</f>
        <v>50</v>
      </c>
      <c r="M223" s="45">
        <f ca="1">OFFSET(符文养成!$C$14,MATCH(C223,符文养成!$B$15:$B$44,1),0)</f>
        <v>30</v>
      </c>
      <c r="N223" s="45">
        <f ca="1">MATCH((产出预期!Z240*价值表!$F$53+产出预期!AA240*价值表!$F$54+产出预期!AD240*价值表!$F$57)/16/M223,符文养成!$G$15:$G$21,1)</f>
        <v>5</v>
      </c>
      <c r="O223" s="45">
        <f>MATCH(产出预期!O240,秘宝养成!$C$3:$C$14,1)</f>
        <v>11</v>
      </c>
    </row>
    <row r="224" ht="16.5" spans="2:15">
      <c r="B224" s="2">
        <v>222</v>
      </c>
      <c r="C224" s="2">
        <f ca="1">MATCH((OFFSET(产出预期!$C$3,0,产出预期!$B$1)*10+OFFSET(产出预期!$C$4,0,产出预期!$B$1)*10+OFFSET(产出预期!$C$7,0,产出预期!$B$1)*20)*B224/10*60,玩家等级!$E$3:$E$302,1)</f>
        <v>97</v>
      </c>
      <c r="D224" s="2">
        <f>MATCH(产出预期!P241/6,装备养成!$G$4:$G$303,1)</f>
        <v>139</v>
      </c>
      <c r="E224" s="2">
        <f>COUNTIF(产出预期!$R241:$Y241,"&gt;"&amp;0)</f>
        <v>8</v>
      </c>
      <c r="F224" s="2">
        <f ca="1">MATCH(OFFSET(产出预期!$R$19,B224,E224-1),装备养成!$S$4:$S$9,1)</f>
        <v>6</v>
      </c>
      <c r="G224" s="2" t="str">
        <f ca="1">OFFSET(梦灵养成!$D$9,MATCH(梦灵养成!C255,梦灵养成!$C$10:$C$28,1),0)</f>
        <v>我爱沙</v>
      </c>
      <c r="H224" s="2" t="str">
        <f ca="1">OFFSET(梦灵养成!$I$9,MATCH(梦灵养成!C255,梦灵养成!$C$10:$C$28,1),0)</f>
        <v>后羿</v>
      </c>
      <c r="I224" s="45" cm="1">
        <f ca="1" t="array" ref="I224">IFERROR(MATCH(((产出预期!$M241-OFFSET(梦灵养成!$Q$9,MATCH(产出预期!$M241,梦灵养成!$Q$10:$Q$15,1),0))*OFFSET(梦灵养成!L$9,1+MATCH(产出预期!$M241,梦灵养成!$Q$10:$Q$15,1),0)+梦灵养成!D560+SUMPRODUCT(--(梦灵养成!$Q$10:$Q$15&lt;=产出预期!$M241),梦灵养成!L$10:L$15,梦灵养成!$P$10:$P$15))/MAX(SUMPRODUCT(--(梦灵养成!$C$10:$C$31&lt;=产出预期!$M241),--(梦灵养成!$E$10:$E$31=I$2)),1)*10,梦灵养成!AT$339:AT$387,1),0)</f>
        <v>49</v>
      </c>
      <c r="J224" s="45" cm="1">
        <f ca="1" t="array" ref="J224">IFERROR(MATCH(((产出预期!$M241-OFFSET(梦灵养成!$Q$9,MATCH(产出预期!$M241,梦灵养成!$Q$10:$Q$15,1),0))*OFFSET(梦灵养成!M$9,1+MATCH(产出预期!$M241,梦灵养成!$Q$10:$Q$15,1),0)+梦灵养成!E560+SUMPRODUCT(--(梦灵养成!$Q$10:$Q$15&lt;=产出预期!$M241),梦灵养成!M$10:M$15,梦灵养成!$P$10:$P$15))/MAX(SUMPRODUCT(--(梦灵养成!$C$10:$C$31&lt;=产出预期!$M241),--(梦灵养成!$E$10:$E$31=J$2)),1)*10,梦灵养成!AU$339:AU$387,1),0)</f>
        <v>49</v>
      </c>
      <c r="K224" s="45" cm="1">
        <f ca="1" t="array" ref="K224">IFERROR(MATCH(((产出预期!$M241-OFFSET(梦灵养成!$Q$9,MATCH(产出预期!$M241,梦灵养成!$Q$10:$Q$15,1),0))*OFFSET(梦灵养成!N$9,1+MATCH(产出预期!$M241,梦灵养成!$Q$10:$Q$15,1),0)+梦灵养成!F560+SUMPRODUCT(--(梦灵养成!$Q$10:$Q$15&lt;=产出预期!$M241),梦灵养成!N$10:N$15,梦灵养成!$P$10:$P$15))/MAX(SUMPRODUCT(--(梦灵养成!$C$10:$C$31&lt;=产出预期!$M241),--(梦灵养成!$E$10:$E$31=K$2)),1)*10,梦灵养成!AV$339:AV$387,1),0)</f>
        <v>49</v>
      </c>
      <c r="L224" s="45" cm="1">
        <f ca="1" t="array" ref="L224">IFERROR(MATCH(((产出预期!$M241-OFFSET(梦灵养成!$Q$9,MATCH(产出预期!$M241,梦灵养成!$Q$10:$Q$15,1),0))*OFFSET(梦灵养成!O$9,1+MATCH(产出预期!$M241,梦灵养成!$Q$10:$Q$15,1),0)+梦灵养成!G560+SUMPRODUCT(--(梦灵养成!$Q$10:$Q$15&lt;=产出预期!$M241),梦灵养成!O$10:O$15,梦灵养成!$P$10:$P$15))/MAX(SUMPRODUCT(--(梦灵养成!$C$10:$C$31&lt;=产出预期!$M241),--(梦灵养成!$E$10:$E$31=L$2)),1)*10,梦灵养成!AW$339:AW$388,1),0)</f>
        <v>50</v>
      </c>
      <c r="M224" s="45">
        <f ca="1">OFFSET(符文养成!$C$14,MATCH(C224,符文养成!$B$15:$B$44,1),0)</f>
        <v>30</v>
      </c>
      <c r="N224" s="45">
        <f ca="1">MATCH((产出预期!Z241*价值表!$F$53+产出预期!AA241*价值表!$F$54+产出预期!AD241*价值表!$F$57)/16/M224,符文养成!$G$15:$G$21,1)</f>
        <v>5</v>
      </c>
      <c r="O224" s="45">
        <f>MATCH(产出预期!O241,秘宝养成!$C$3:$C$14,1)</f>
        <v>11</v>
      </c>
    </row>
    <row r="225" ht="16.5" spans="2:15">
      <c r="B225" s="2">
        <v>223</v>
      </c>
      <c r="C225" s="2">
        <f ca="1">MATCH((OFFSET(产出预期!$C$3,0,产出预期!$B$1)*10+OFFSET(产出预期!$C$4,0,产出预期!$B$1)*10+OFFSET(产出预期!$C$7,0,产出预期!$B$1)*20)*B225/10*60,玩家等级!$E$3:$E$302,1)</f>
        <v>97</v>
      </c>
      <c r="D225" s="2">
        <f>MATCH(产出预期!P242/6,装备养成!$G$4:$G$303,1)</f>
        <v>140</v>
      </c>
      <c r="E225" s="2">
        <f>COUNTIF(产出预期!$R242:$Y242,"&gt;"&amp;0)</f>
        <v>8</v>
      </c>
      <c r="F225" s="2">
        <f ca="1">MATCH(OFFSET(产出预期!$R$19,B225,E225-1),装备养成!$S$4:$S$9,1)</f>
        <v>6</v>
      </c>
      <c r="G225" s="2" t="str">
        <f ca="1">OFFSET(梦灵养成!$D$9,MATCH(梦灵养成!C256,梦灵养成!$C$10:$C$28,1),0)</f>
        <v>我爱沙</v>
      </c>
      <c r="H225" s="2" t="str">
        <f ca="1">OFFSET(梦灵养成!$I$9,MATCH(梦灵养成!C256,梦灵养成!$C$10:$C$28,1),0)</f>
        <v>后羿</v>
      </c>
      <c r="I225" s="45" cm="1">
        <f ca="1" t="array" ref="I225">IFERROR(MATCH(((产出预期!$M242-OFFSET(梦灵养成!$Q$9,MATCH(产出预期!$M242,梦灵养成!$Q$10:$Q$15,1),0))*OFFSET(梦灵养成!L$9,1+MATCH(产出预期!$M242,梦灵养成!$Q$10:$Q$15,1),0)+梦灵养成!D561+SUMPRODUCT(--(梦灵养成!$Q$10:$Q$15&lt;=产出预期!$M242),梦灵养成!L$10:L$15,梦灵养成!$P$10:$P$15))/MAX(SUMPRODUCT(--(梦灵养成!$C$10:$C$31&lt;=产出预期!$M242),--(梦灵养成!$E$10:$E$31=I$2)),1)*10,梦灵养成!AT$339:AT$387,1),0)</f>
        <v>49</v>
      </c>
      <c r="J225" s="45" cm="1">
        <f ca="1" t="array" ref="J225">IFERROR(MATCH(((产出预期!$M242-OFFSET(梦灵养成!$Q$9,MATCH(产出预期!$M242,梦灵养成!$Q$10:$Q$15,1),0))*OFFSET(梦灵养成!M$9,1+MATCH(产出预期!$M242,梦灵养成!$Q$10:$Q$15,1),0)+梦灵养成!E561+SUMPRODUCT(--(梦灵养成!$Q$10:$Q$15&lt;=产出预期!$M242),梦灵养成!M$10:M$15,梦灵养成!$P$10:$P$15))/MAX(SUMPRODUCT(--(梦灵养成!$C$10:$C$31&lt;=产出预期!$M242),--(梦灵养成!$E$10:$E$31=J$2)),1)*10,梦灵养成!AU$339:AU$387,1),0)</f>
        <v>49</v>
      </c>
      <c r="K225" s="45" cm="1">
        <f ca="1" t="array" ref="K225">IFERROR(MATCH(((产出预期!$M242-OFFSET(梦灵养成!$Q$9,MATCH(产出预期!$M242,梦灵养成!$Q$10:$Q$15,1),0))*OFFSET(梦灵养成!N$9,1+MATCH(产出预期!$M242,梦灵养成!$Q$10:$Q$15,1),0)+梦灵养成!F561+SUMPRODUCT(--(梦灵养成!$Q$10:$Q$15&lt;=产出预期!$M242),梦灵养成!N$10:N$15,梦灵养成!$P$10:$P$15))/MAX(SUMPRODUCT(--(梦灵养成!$C$10:$C$31&lt;=产出预期!$M242),--(梦灵养成!$E$10:$E$31=K$2)),1)*10,梦灵养成!AV$339:AV$387,1),0)</f>
        <v>49</v>
      </c>
      <c r="L225" s="45" cm="1">
        <f ca="1" t="array" ref="L225">IFERROR(MATCH(((产出预期!$M242-OFFSET(梦灵养成!$Q$9,MATCH(产出预期!$M242,梦灵养成!$Q$10:$Q$15,1),0))*OFFSET(梦灵养成!O$9,1+MATCH(产出预期!$M242,梦灵养成!$Q$10:$Q$15,1),0)+梦灵养成!G561+SUMPRODUCT(--(梦灵养成!$Q$10:$Q$15&lt;=产出预期!$M242),梦灵养成!O$10:O$15,梦灵养成!$P$10:$P$15))/MAX(SUMPRODUCT(--(梦灵养成!$C$10:$C$31&lt;=产出预期!$M242),--(梦灵养成!$E$10:$E$31=L$2)),1)*10,梦灵养成!AW$339:AW$388,1),0)</f>
        <v>50</v>
      </c>
      <c r="M225" s="45">
        <f ca="1">OFFSET(符文养成!$C$14,MATCH(C225,符文养成!$B$15:$B$44,1),0)</f>
        <v>30</v>
      </c>
      <c r="N225" s="45">
        <f ca="1">MATCH((产出预期!Z242*价值表!$F$53+产出预期!AA242*价值表!$F$54+产出预期!AD242*价值表!$F$57)/16/M225,符文养成!$G$15:$G$21,1)</f>
        <v>5</v>
      </c>
      <c r="O225" s="45">
        <f>MATCH(产出预期!O242,秘宝养成!$C$3:$C$14,1)</f>
        <v>11</v>
      </c>
    </row>
    <row r="226" ht="16.5" spans="2:15">
      <c r="B226" s="2">
        <v>224</v>
      </c>
      <c r="C226" s="2">
        <f ca="1">MATCH((OFFSET(产出预期!$C$3,0,产出预期!$B$1)*10+OFFSET(产出预期!$C$4,0,产出预期!$B$1)*10+OFFSET(产出预期!$C$7,0,产出预期!$B$1)*20)*B226/10*60,玩家等级!$E$3:$E$302,1)</f>
        <v>97</v>
      </c>
      <c r="D226" s="2">
        <f>MATCH(产出预期!P243/6,装备养成!$G$4:$G$303,1)</f>
        <v>140</v>
      </c>
      <c r="E226" s="2">
        <f>COUNTIF(产出预期!$R243:$Y243,"&gt;"&amp;0)</f>
        <v>8</v>
      </c>
      <c r="F226" s="2">
        <f ca="1">MATCH(OFFSET(产出预期!$R$19,B226,E226-1),装备养成!$S$4:$S$9,1)</f>
        <v>6</v>
      </c>
      <c r="G226" s="2" t="str">
        <f ca="1">OFFSET(梦灵养成!$D$9,MATCH(梦灵养成!C257,梦灵养成!$C$10:$C$28,1),0)</f>
        <v>我爱沙</v>
      </c>
      <c r="H226" s="2" t="str">
        <f ca="1">OFFSET(梦灵养成!$I$9,MATCH(梦灵养成!C257,梦灵养成!$C$10:$C$28,1),0)</f>
        <v>后羿</v>
      </c>
      <c r="I226" s="45" cm="1">
        <f ca="1" t="array" ref="I226">IFERROR(MATCH(((产出预期!$M243-OFFSET(梦灵养成!$Q$9,MATCH(产出预期!$M243,梦灵养成!$Q$10:$Q$15,1),0))*OFFSET(梦灵养成!L$9,1+MATCH(产出预期!$M243,梦灵养成!$Q$10:$Q$15,1),0)+梦灵养成!D562+SUMPRODUCT(--(梦灵养成!$Q$10:$Q$15&lt;=产出预期!$M243),梦灵养成!L$10:L$15,梦灵养成!$P$10:$P$15))/MAX(SUMPRODUCT(--(梦灵养成!$C$10:$C$31&lt;=产出预期!$M243),--(梦灵养成!$E$10:$E$31=I$2)),1)*10,梦灵养成!AT$339:AT$387,1),0)</f>
        <v>49</v>
      </c>
      <c r="J226" s="45" cm="1">
        <f ca="1" t="array" ref="J226">IFERROR(MATCH(((产出预期!$M243-OFFSET(梦灵养成!$Q$9,MATCH(产出预期!$M243,梦灵养成!$Q$10:$Q$15,1),0))*OFFSET(梦灵养成!M$9,1+MATCH(产出预期!$M243,梦灵养成!$Q$10:$Q$15,1),0)+梦灵养成!E562+SUMPRODUCT(--(梦灵养成!$Q$10:$Q$15&lt;=产出预期!$M243),梦灵养成!M$10:M$15,梦灵养成!$P$10:$P$15))/MAX(SUMPRODUCT(--(梦灵养成!$C$10:$C$31&lt;=产出预期!$M243),--(梦灵养成!$E$10:$E$31=J$2)),1)*10,梦灵养成!AU$339:AU$387,1),0)</f>
        <v>49</v>
      </c>
      <c r="K226" s="45" cm="1">
        <f ca="1" t="array" ref="K226">IFERROR(MATCH(((产出预期!$M243-OFFSET(梦灵养成!$Q$9,MATCH(产出预期!$M243,梦灵养成!$Q$10:$Q$15,1),0))*OFFSET(梦灵养成!N$9,1+MATCH(产出预期!$M243,梦灵养成!$Q$10:$Q$15,1),0)+梦灵养成!F562+SUMPRODUCT(--(梦灵养成!$Q$10:$Q$15&lt;=产出预期!$M243),梦灵养成!N$10:N$15,梦灵养成!$P$10:$P$15))/MAX(SUMPRODUCT(--(梦灵养成!$C$10:$C$31&lt;=产出预期!$M243),--(梦灵养成!$E$10:$E$31=K$2)),1)*10,梦灵养成!AV$339:AV$387,1),0)</f>
        <v>49</v>
      </c>
      <c r="L226" s="45" cm="1">
        <f ca="1" t="array" ref="L226">IFERROR(MATCH(((产出预期!$M243-OFFSET(梦灵养成!$Q$9,MATCH(产出预期!$M243,梦灵养成!$Q$10:$Q$15,1),0))*OFFSET(梦灵养成!O$9,1+MATCH(产出预期!$M243,梦灵养成!$Q$10:$Q$15,1),0)+梦灵养成!G562+SUMPRODUCT(--(梦灵养成!$Q$10:$Q$15&lt;=产出预期!$M243),梦灵养成!O$10:O$15,梦灵养成!$P$10:$P$15))/MAX(SUMPRODUCT(--(梦灵养成!$C$10:$C$31&lt;=产出预期!$M243),--(梦灵养成!$E$10:$E$31=L$2)),1)*10,梦灵养成!AW$339:AW$388,1),0)</f>
        <v>50</v>
      </c>
      <c r="M226" s="45">
        <f ca="1">OFFSET(符文养成!$C$14,MATCH(C226,符文养成!$B$15:$B$44,1),0)</f>
        <v>30</v>
      </c>
      <c r="N226" s="45">
        <f ca="1">MATCH((产出预期!Z243*价值表!$F$53+产出预期!AA243*价值表!$F$54+产出预期!AD243*价值表!$F$57)/16/M226,符文养成!$G$15:$G$21,1)</f>
        <v>5</v>
      </c>
      <c r="O226" s="45">
        <f>MATCH(产出预期!O243,秘宝养成!$C$3:$C$14,1)</f>
        <v>11</v>
      </c>
    </row>
    <row r="227" ht="16.5" spans="2:15">
      <c r="B227" s="2">
        <v>225</v>
      </c>
      <c r="C227" s="2">
        <f ca="1">MATCH((OFFSET(产出预期!$C$3,0,产出预期!$B$1)*10+OFFSET(产出预期!$C$4,0,产出预期!$B$1)*10+OFFSET(产出预期!$C$7,0,产出预期!$B$1)*20)*B227/10*60,玩家等级!$E$3:$E$302,1)</f>
        <v>97</v>
      </c>
      <c r="D227" s="2">
        <f>MATCH(产出预期!P244/6,装备养成!$G$4:$G$303,1)</f>
        <v>140</v>
      </c>
      <c r="E227" s="2">
        <f>COUNTIF(产出预期!$R244:$Y244,"&gt;"&amp;0)</f>
        <v>8</v>
      </c>
      <c r="F227" s="2">
        <f ca="1">MATCH(OFFSET(产出预期!$R$19,B227,E227-1),装备养成!$S$4:$S$9,1)</f>
        <v>6</v>
      </c>
      <c r="G227" s="2" t="str">
        <f ca="1">OFFSET(梦灵养成!$D$9,MATCH(梦灵养成!C258,梦灵养成!$C$10:$C$28,1),0)</f>
        <v>我爱沙</v>
      </c>
      <c r="H227" s="2" t="str">
        <f ca="1">OFFSET(梦灵养成!$I$9,MATCH(梦灵养成!C258,梦灵养成!$C$10:$C$28,1),0)</f>
        <v>后羿</v>
      </c>
      <c r="I227" s="45" cm="1">
        <f ca="1" t="array" ref="I227">IFERROR(MATCH(((产出预期!$M244-OFFSET(梦灵养成!$Q$9,MATCH(产出预期!$M244,梦灵养成!$Q$10:$Q$15,1),0))*OFFSET(梦灵养成!L$9,1+MATCH(产出预期!$M244,梦灵养成!$Q$10:$Q$15,1),0)+梦灵养成!D563+SUMPRODUCT(--(梦灵养成!$Q$10:$Q$15&lt;=产出预期!$M244),梦灵养成!L$10:L$15,梦灵养成!$P$10:$P$15))/MAX(SUMPRODUCT(--(梦灵养成!$C$10:$C$31&lt;=产出预期!$M244),--(梦灵养成!$E$10:$E$31=I$2)),1)*10,梦灵养成!AT$339:AT$387,1),0)</f>
        <v>49</v>
      </c>
      <c r="J227" s="45" cm="1">
        <f ca="1" t="array" ref="J227">IFERROR(MATCH(((产出预期!$M244-OFFSET(梦灵养成!$Q$9,MATCH(产出预期!$M244,梦灵养成!$Q$10:$Q$15,1),0))*OFFSET(梦灵养成!M$9,1+MATCH(产出预期!$M244,梦灵养成!$Q$10:$Q$15,1),0)+梦灵养成!E563+SUMPRODUCT(--(梦灵养成!$Q$10:$Q$15&lt;=产出预期!$M244),梦灵养成!M$10:M$15,梦灵养成!$P$10:$P$15))/MAX(SUMPRODUCT(--(梦灵养成!$C$10:$C$31&lt;=产出预期!$M244),--(梦灵养成!$E$10:$E$31=J$2)),1)*10,梦灵养成!AU$339:AU$387,1),0)</f>
        <v>49</v>
      </c>
      <c r="K227" s="45" cm="1">
        <f ca="1" t="array" ref="K227">IFERROR(MATCH(((产出预期!$M244-OFFSET(梦灵养成!$Q$9,MATCH(产出预期!$M244,梦灵养成!$Q$10:$Q$15,1),0))*OFFSET(梦灵养成!N$9,1+MATCH(产出预期!$M244,梦灵养成!$Q$10:$Q$15,1),0)+梦灵养成!F563+SUMPRODUCT(--(梦灵养成!$Q$10:$Q$15&lt;=产出预期!$M244),梦灵养成!N$10:N$15,梦灵养成!$P$10:$P$15))/MAX(SUMPRODUCT(--(梦灵养成!$C$10:$C$31&lt;=产出预期!$M244),--(梦灵养成!$E$10:$E$31=K$2)),1)*10,梦灵养成!AV$339:AV$387,1),0)</f>
        <v>49</v>
      </c>
      <c r="L227" s="45" cm="1">
        <f ca="1" t="array" ref="L227">IFERROR(MATCH(((产出预期!$M244-OFFSET(梦灵养成!$Q$9,MATCH(产出预期!$M244,梦灵养成!$Q$10:$Q$15,1),0))*OFFSET(梦灵养成!O$9,1+MATCH(产出预期!$M244,梦灵养成!$Q$10:$Q$15,1),0)+梦灵养成!G563+SUMPRODUCT(--(梦灵养成!$Q$10:$Q$15&lt;=产出预期!$M244),梦灵养成!O$10:O$15,梦灵养成!$P$10:$P$15))/MAX(SUMPRODUCT(--(梦灵养成!$C$10:$C$31&lt;=产出预期!$M244),--(梦灵养成!$E$10:$E$31=L$2)),1)*10,梦灵养成!AW$339:AW$388,1),0)</f>
        <v>50</v>
      </c>
      <c r="M227" s="45">
        <f ca="1">OFFSET(符文养成!$C$14,MATCH(C227,符文养成!$B$15:$B$44,1),0)</f>
        <v>30</v>
      </c>
      <c r="N227" s="45">
        <f ca="1">MATCH((产出预期!Z244*价值表!$F$53+产出预期!AA244*价值表!$F$54+产出预期!AD244*价值表!$F$57)/16/M227,符文养成!$G$15:$G$21,1)</f>
        <v>5</v>
      </c>
      <c r="O227" s="45">
        <f>MATCH(产出预期!O244,秘宝养成!$C$3:$C$14,1)</f>
        <v>11</v>
      </c>
    </row>
    <row r="228" ht="16.5" spans="2:15">
      <c r="B228" s="2">
        <v>226</v>
      </c>
      <c r="C228" s="2">
        <f ca="1">MATCH((OFFSET(产出预期!$C$3,0,产出预期!$B$1)*10+OFFSET(产出预期!$C$4,0,产出预期!$B$1)*10+OFFSET(产出预期!$C$7,0,产出预期!$B$1)*20)*B228/10*60,玩家等级!$E$3:$E$302,1)</f>
        <v>98</v>
      </c>
      <c r="D228" s="2">
        <f>MATCH(产出预期!P245/6,装备养成!$G$4:$G$303,1)</f>
        <v>140</v>
      </c>
      <c r="E228" s="2">
        <f>COUNTIF(产出预期!$R245:$Y245,"&gt;"&amp;0)</f>
        <v>8</v>
      </c>
      <c r="F228" s="2">
        <f ca="1">MATCH(OFFSET(产出预期!$R$19,B228,E228-1),装备养成!$S$4:$S$9,1)</f>
        <v>6</v>
      </c>
      <c r="G228" s="2" t="str">
        <f ca="1">OFFSET(梦灵养成!$D$9,MATCH(梦灵养成!C259,梦灵养成!$C$10:$C$28,1),0)</f>
        <v>我爱沙</v>
      </c>
      <c r="H228" s="2" t="str">
        <f ca="1">OFFSET(梦灵养成!$I$9,MATCH(梦灵养成!C259,梦灵养成!$C$10:$C$28,1),0)</f>
        <v>后羿</v>
      </c>
      <c r="I228" s="45" cm="1">
        <f ca="1" t="array" ref="I228">IFERROR(MATCH(((产出预期!$M245-OFFSET(梦灵养成!$Q$9,MATCH(产出预期!$M245,梦灵养成!$Q$10:$Q$15,1),0))*OFFSET(梦灵养成!L$9,1+MATCH(产出预期!$M245,梦灵养成!$Q$10:$Q$15,1),0)+梦灵养成!D564+SUMPRODUCT(--(梦灵养成!$Q$10:$Q$15&lt;=产出预期!$M245),梦灵养成!L$10:L$15,梦灵养成!$P$10:$P$15))/MAX(SUMPRODUCT(--(梦灵养成!$C$10:$C$31&lt;=产出预期!$M245),--(梦灵养成!$E$10:$E$31=I$2)),1)*10,梦灵养成!AT$339:AT$387,1),0)</f>
        <v>49</v>
      </c>
      <c r="J228" s="45" cm="1">
        <f ca="1" t="array" ref="J228">IFERROR(MATCH(((产出预期!$M245-OFFSET(梦灵养成!$Q$9,MATCH(产出预期!$M245,梦灵养成!$Q$10:$Q$15,1),0))*OFFSET(梦灵养成!M$9,1+MATCH(产出预期!$M245,梦灵养成!$Q$10:$Q$15,1),0)+梦灵养成!E564+SUMPRODUCT(--(梦灵养成!$Q$10:$Q$15&lt;=产出预期!$M245),梦灵养成!M$10:M$15,梦灵养成!$P$10:$P$15))/MAX(SUMPRODUCT(--(梦灵养成!$C$10:$C$31&lt;=产出预期!$M245),--(梦灵养成!$E$10:$E$31=J$2)),1)*10,梦灵养成!AU$339:AU$387,1),0)</f>
        <v>49</v>
      </c>
      <c r="K228" s="45" cm="1">
        <f ca="1" t="array" ref="K228">IFERROR(MATCH(((产出预期!$M245-OFFSET(梦灵养成!$Q$9,MATCH(产出预期!$M245,梦灵养成!$Q$10:$Q$15,1),0))*OFFSET(梦灵养成!N$9,1+MATCH(产出预期!$M245,梦灵养成!$Q$10:$Q$15,1),0)+梦灵养成!F564+SUMPRODUCT(--(梦灵养成!$Q$10:$Q$15&lt;=产出预期!$M245),梦灵养成!N$10:N$15,梦灵养成!$P$10:$P$15))/MAX(SUMPRODUCT(--(梦灵养成!$C$10:$C$31&lt;=产出预期!$M245),--(梦灵养成!$E$10:$E$31=K$2)),1)*10,梦灵养成!AV$339:AV$387,1),0)</f>
        <v>49</v>
      </c>
      <c r="L228" s="45" cm="1">
        <f ca="1" t="array" ref="L228">IFERROR(MATCH(((产出预期!$M245-OFFSET(梦灵养成!$Q$9,MATCH(产出预期!$M245,梦灵养成!$Q$10:$Q$15,1),0))*OFFSET(梦灵养成!O$9,1+MATCH(产出预期!$M245,梦灵养成!$Q$10:$Q$15,1),0)+梦灵养成!G564+SUMPRODUCT(--(梦灵养成!$Q$10:$Q$15&lt;=产出预期!$M245),梦灵养成!O$10:O$15,梦灵养成!$P$10:$P$15))/MAX(SUMPRODUCT(--(梦灵养成!$C$10:$C$31&lt;=产出预期!$M245),--(梦灵养成!$E$10:$E$31=L$2)),1)*10,梦灵养成!AW$339:AW$388,1),0)</f>
        <v>50</v>
      </c>
      <c r="M228" s="45">
        <f ca="1">OFFSET(符文养成!$C$14,MATCH(C228,符文养成!$B$15:$B$44,1),0)</f>
        <v>30</v>
      </c>
      <c r="N228" s="45">
        <f ca="1">MATCH((产出预期!Z245*价值表!$F$53+产出预期!AA245*价值表!$F$54+产出预期!AD245*价值表!$F$57)/16/M228,符文养成!$G$15:$G$21,1)</f>
        <v>5</v>
      </c>
      <c r="O228" s="45">
        <f>MATCH(产出预期!O245,秘宝养成!$C$3:$C$14,1)</f>
        <v>11</v>
      </c>
    </row>
    <row r="229" ht="16.5" spans="2:15">
      <c r="B229" s="2">
        <v>227</v>
      </c>
      <c r="C229" s="2">
        <f ca="1">MATCH((OFFSET(产出预期!$C$3,0,产出预期!$B$1)*10+OFFSET(产出预期!$C$4,0,产出预期!$B$1)*10+OFFSET(产出预期!$C$7,0,产出预期!$B$1)*20)*B229/10*60,玩家等级!$E$3:$E$302,1)</f>
        <v>98</v>
      </c>
      <c r="D229" s="2">
        <f>MATCH(产出预期!P246/6,装备养成!$G$4:$G$303,1)</f>
        <v>140</v>
      </c>
      <c r="E229" s="2">
        <f>COUNTIF(产出预期!$R246:$Y246,"&gt;"&amp;0)</f>
        <v>8</v>
      </c>
      <c r="F229" s="2">
        <f ca="1">MATCH(OFFSET(产出预期!$R$19,B229,E229-1),装备养成!$S$4:$S$9,1)</f>
        <v>6</v>
      </c>
      <c r="G229" s="2" t="str">
        <f ca="1">OFFSET(梦灵养成!$D$9,MATCH(梦灵养成!C260,梦灵养成!$C$10:$C$28,1),0)</f>
        <v>我爱沙</v>
      </c>
      <c r="H229" s="2" t="str">
        <f ca="1">OFFSET(梦灵养成!$I$9,MATCH(梦灵养成!C260,梦灵养成!$C$10:$C$28,1),0)</f>
        <v>后羿</v>
      </c>
      <c r="I229" s="45" cm="1">
        <f ca="1" t="array" ref="I229">IFERROR(MATCH(((产出预期!$M246-OFFSET(梦灵养成!$Q$9,MATCH(产出预期!$M246,梦灵养成!$Q$10:$Q$15,1),0))*OFFSET(梦灵养成!L$9,1+MATCH(产出预期!$M246,梦灵养成!$Q$10:$Q$15,1),0)+梦灵养成!D565+SUMPRODUCT(--(梦灵养成!$Q$10:$Q$15&lt;=产出预期!$M246),梦灵养成!L$10:L$15,梦灵养成!$P$10:$P$15))/MAX(SUMPRODUCT(--(梦灵养成!$C$10:$C$31&lt;=产出预期!$M246),--(梦灵养成!$E$10:$E$31=I$2)),1)*10,梦灵养成!AT$339:AT$387,1),0)</f>
        <v>49</v>
      </c>
      <c r="J229" s="45" cm="1">
        <f ca="1" t="array" ref="J229">IFERROR(MATCH(((产出预期!$M246-OFFSET(梦灵养成!$Q$9,MATCH(产出预期!$M246,梦灵养成!$Q$10:$Q$15,1),0))*OFFSET(梦灵养成!M$9,1+MATCH(产出预期!$M246,梦灵养成!$Q$10:$Q$15,1),0)+梦灵养成!E565+SUMPRODUCT(--(梦灵养成!$Q$10:$Q$15&lt;=产出预期!$M246),梦灵养成!M$10:M$15,梦灵养成!$P$10:$P$15))/MAX(SUMPRODUCT(--(梦灵养成!$C$10:$C$31&lt;=产出预期!$M246),--(梦灵养成!$E$10:$E$31=J$2)),1)*10,梦灵养成!AU$339:AU$387,1),0)</f>
        <v>49</v>
      </c>
      <c r="K229" s="45" cm="1">
        <f ca="1" t="array" ref="K229">IFERROR(MATCH(((产出预期!$M246-OFFSET(梦灵养成!$Q$9,MATCH(产出预期!$M246,梦灵养成!$Q$10:$Q$15,1),0))*OFFSET(梦灵养成!N$9,1+MATCH(产出预期!$M246,梦灵养成!$Q$10:$Q$15,1),0)+梦灵养成!F565+SUMPRODUCT(--(梦灵养成!$Q$10:$Q$15&lt;=产出预期!$M246),梦灵养成!N$10:N$15,梦灵养成!$P$10:$P$15))/MAX(SUMPRODUCT(--(梦灵养成!$C$10:$C$31&lt;=产出预期!$M246),--(梦灵养成!$E$10:$E$31=K$2)),1)*10,梦灵养成!AV$339:AV$387,1),0)</f>
        <v>49</v>
      </c>
      <c r="L229" s="45" cm="1">
        <f ca="1" t="array" ref="L229">IFERROR(MATCH(((产出预期!$M246-OFFSET(梦灵养成!$Q$9,MATCH(产出预期!$M246,梦灵养成!$Q$10:$Q$15,1),0))*OFFSET(梦灵养成!O$9,1+MATCH(产出预期!$M246,梦灵养成!$Q$10:$Q$15,1),0)+梦灵养成!G565+SUMPRODUCT(--(梦灵养成!$Q$10:$Q$15&lt;=产出预期!$M246),梦灵养成!O$10:O$15,梦灵养成!$P$10:$P$15))/MAX(SUMPRODUCT(--(梦灵养成!$C$10:$C$31&lt;=产出预期!$M246),--(梦灵养成!$E$10:$E$31=L$2)),1)*10,梦灵养成!AW$339:AW$388,1),0)</f>
        <v>50</v>
      </c>
      <c r="M229" s="45">
        <f ca="1">OFFSET(符文养成!$C$14,MATCH(C229,符文养成!$B$15:$B$44,1),0)</f>
        <v>30</v>
      </c>
      <c r="N229" s="45">
        <f ca="1">MATCH((产出预期!Z246*价值表!$F$53+产出预期!AA246*价值表!$F$54+产出预期!AD246*价值表!$F$57)/16/M229,符文养成!$G$15:$G$21,1)</f>
        <v>5</v>
      </c>
      <c r="O229" s="45">
        <f>MATCH(产出预期!O246,秘宝养成!$C$3:$C$14,1)</f>
        <v>11</v>
      </c>
    </row>
    <row r="230" ht="16.5" spans="2:15">
      <c r="B230" s="2">
        <v>228</v>
      </c>
      <c r="C230" s="2">
        <f ca="1">MATCH((OFFSET(产出预期!$C$3,0,产出预期!$B$1)*10+OFFSET(产出预期!$C$4,0,产出预期!$B$1)*10+OFFSET(产出预期!$C$7,0,产出预期!$B$1)*20)*B230/10*60,玩家等级!$E$3:$E$302,1)</f>
        <v>98</v>
      </c>
      <c r="D230" s="2">
        <f>MATCH(产出预期!P247/6,装备养成!$G$4:$G$303,1)</f>
        <v>141</v>
      </c>
      <c r="E230" s="2">
        <f>COUNTIF(产出预期!$R247:$Y247,"&gt;"&amp;0)</f>
        <v>8</v>
      </c>
      <c r="F230" s="2">
        <f ca="1">MATCH(OFFSET(产出预期!$R$19,B230,E230-1),装备养成!$S$4:$S$9,1)</f>
        <v>6</v>
      </c>
      <c r="G230" s="2" t="str">
        <f ca="1">OFFSET(梦灵养成!$D$9,MATCH(梦灵养成!C261,梦灵养成!$C$10:$C$28,1),0)</f>
        <v>我爱沙</v>
      </c>
      <c r="H230" s="2" t="str">
        <f ca="1">OFFSET(梦灵养成!$I$9,MATCH(梦灵养成!C261,梦灵养成!$C$10:$C$28,1),0)</f>
        <v>后羿</v>
      </c>
      <c r="I230" s="45" cm="1">
        <f ca="1" t="array" ref="I230">IFERROR(MATCH(((产出预期!$M247-OFFSET(梦灵养成!$Q$9,MATCH(产出预期!$M247,梦灵养成!$Q$10:$Q$15,1),0))*OFFSET(梦灵养成!L$9,1+MATCH(产出预期!$M247,梦灵养成!$Q$10:$Q$15,1),0)+梦灵养成!D566+SUMPRODUCT(--(梦灵养成!$Q$10:$Q$15&lt;=产出预期!$M247),梦灵养成!L$10:L$15,梦灵养成!$P$10:$P$15))/MAX(SUMPRODUCT(--(梦灵养成!$C$10:$C$31&lt;=产出预期!$M247),--(梦灵养成!$E$10:$E$31=I$2)),1)*10,梦灵养成!AT$339:AT$387,1),0)</f>
        <v>49</v>
      </c>
      <c r="J230" s="45" cm="1">
        <f ca="1" t="array" ref="J230">IFERROR(MATCH(((产出预期!$M247-OFFSET(梦灵养成!$Q$9,MATCH(产出预期!$M247,梦灵养成!$Q$10:$Q$15,1),0))*OFFSET(梦灵养成!M$9,1+MATCH(产出预期!$M247,梦灵养成!$Q$10:$Q$15,1),0)+梦灵养成!E566+SUMPRODUCT(--(梦灵养成!$Q$10:$Q$15&lt;=产出预期!$M247),梦灵养成!M$10:M$15,梦灵养成!$P$10:$P$15))/MAX(SUMPRODUCT(--(梦灵养成!$C$10:$C$31&lt;=产出预期!$M247),--(梦灵养成!$E$10:$E$31=J$2)),1)*10,梦灵养成!AU$339:AU$387,1),0)</f>
        <v>49</v>
      </c>
      <c r="K230" s="45" cm="1">
        <f ca="1" t="array" ref="K230">IFERROR(MATCH(((产出预期!$M247-OFFSET(梦灵养成!$Q$9,MATCH(产出预期!$M247,梦灵养成!$Q$10:$Q$15,1),0))*OFFSET(梦灵养成!N$9,1+MATCH(产出预期!$M247,梦灵养成!$Q$10:$Q$15,1),0)+梦灵养成!F566+SUMPRODUCT(--(梦灵养成!$Q$10:$Q$15&lt;=产出预期!$M247),梦灵养成!N$10:N$15,梦灵养成!$P$10:$P$15))/MAX(SUMPRODUCT(--(梦灵养成!$C$10:$C$31&lt;=产出预期!$M247),--(梦灵养成!$E$10:$E$31=K$2)),1)*10,梦灵养成!AV$339:AV$387,1),0)</f>
        <v>49</v>
      </c>
      <c r="L230" s="45" cm="1">
        <f ca="1" t="array" ref="L230">IFERROR(MATCH(((产出预期!$M247-OFFSET(梦灵养成!$Q$9,MATCH(产出预期!$M247,梦灵养成!$Q$10:$Q$15,1),0))*OFFSET(梦灵养成!O$9,1+MATCH(产出预期!$M247,梦灵养成!$Q$10:$Q$15,1),0)+梦灵养成!G566+SUMPRODUCT(--(梦灵养成!$Q$10:$Q$15&lt;=产出预期!$M247),梦灵养成!O$10:O$15,梦灵养成!$P$10:$P$15))/MAX(SUMPRODUCT(--(梦灵养成!$C$10:$C$31&lt;=产出预期!$M247),--(梦灵养成!$E$10:$E$31=L$2)),1)*10,梦灵养成!AW$339:AW$388,1),0)</f>
        <v>50</v>
      </c>
      <c r="M230" s="45">
        <f ca="1">OFFSET(符文养成!$C$14,MATCH(C230,符文养成!$B$15:$B$44,1),0)</f>
        <v>30</v>
      </c>
      <c r="N230" s="45">
        <f ca="1">MATCH((产出预期!Z247*价值表!$F$53+产出预期!AA247*价值表!$F$54+产出预期!AD247*价值表!$F$57)/16/M230,符文养成!$G$15:$G$21,1)</f>
        <v>5</v>
      </c>
      <c r="O230" s="45">
        <f>MATCH(产出预期!O247,秘宝养成!$C$3:$C$14,1)</f>
        <v>11</v>
      </c>
    </row>
    <row r="231" ht="16.5" spans="2:15">
      <c r="B231" s="2">
        <v>229</v>
      </c>
      <c r="C231" s="2">
        <f ca="1">MATCH((OFFSET(产出预期!$C$3,0,产出预期!$B$1)*10+OFFSET(产出预期!$C$4,0,产出预期!$B$1)*10+OFFSET(产出预期!$C$7,0,产出预期!$B$1)*20)*B231/10*60,玩家等级!$E$3:$E$302,1)</f>
        <v>98</v>
      </c>
      <c r="D231" s="2">
        <f>MATCH(产出预期!P248/6,装备养成!$G$4:$G$303,1)</f>
        <v>141</v>
      </c>
      <c r="E231" s="2">
        <f>COUNTIF(产出预期!$R248:$Y248,"&gt;"&amp;0)</f>
        <v>8</v>
      </c>
      <c r="F231" s="2">
        <f ca="1">MATCH(OFFSET(产出预期!$R$19,B231,E231-1),装备养成!$S$4:$S$9,1)</f>
        <v>6</v>
      </c>
      <c r="G231" s="2" t="str">
        <f ca="1">OFFSET(梦灵养成!$D$9,MATCH(梦灵养成!C262,梦灵养成!$C$10:$C$28,1),0)</f>
        <v>我爱沙</v>
      </c>
      <c r="H231" s="2" t="str">
        <f ca="1">OFFSET(梦灵养成!$I$9,MATCH(梦灵养成!C262,梦灵养成!$C$10:$C$28,1),0)</f>
        <v>后羿</v>
      </c>
      <c r="I231" s="45" cm="1">
        <f ca="1" t="array" ref="I231">IFERROR(MATCH(((产出预期!$M248-OFFSET(梦灵养成!$Q$9,MATCH(产出预期!$M248,梦灵养成!$Q$10:$Q$15,1),0))*OFFSET(梦灵养成!L$9,1+MATCH(产出预期!$M248,梦灵养成!$Q$10:$Q$15,1),0)+梦灵养成!D567+SUMPRODUCT(--(梦灵养成!$Q$10:$Q$15&lt;=产出预期!$M248),梦灵养成!L$10:L$15,梦灵养成!$P$10:$P$15))/MAX(SUMPRODUCT(--(梦灵养成!$C$10:$C$31&lt;=产出预期!$M248),--(梦灵养成!$E$10:$E$31=I$2)),1)*10,梦灵养成!AT$339:AT$387,1),0)</f>
        <v>49</v>
      </c>
      <c r="J231" s="45" cm="1">
        <f ca="1" t="array" ref="J231">IFERROR(MATCH(((产出预期!$M248-OFFSET(梦灵养成!$Q$9,MATCH(产出预期!$M248,梦灵养成!$Q$10:$Q$15,1),0))*OFFSET(梦灵养成!M$9,1+MATCH(产出预期!$M248,梦灵养成!$Q$10:$Q$15,1),0)+梦灵养成!E567+SUMPRODUCT(--(梦灵养成!$Q$10:$Q$15&lt;=产出预期!$M248),梦灵养成!M$10:M$15,梦灵养成!$P$10:$P$15))/MAX(SUMPRODUCT(--(梦灵养成!$C$10:$C$31&lt;=产出预期!$M248),--(梦灵养成!$E$10:$E$31=J$2)),1)*10,梦灵养成!AU$339:AU$387,1),0)</f>
        <v>49</v>
      </c>
      <c r="K231" s="45" cm="1">
        <f ca="1" t="array" ref="K231">IFERROR(MATCH(((产出预期!$M248-OFFSET(梦灵养成!$Q$9,MATCH(产出预期!$M248,梦灵养成!$Q$10:$Q$15,1),0))*OFFSET(梦灵养成!N$9,1+MATCH(产出预期!$M248,梦灵养成!$Q$10:$Q$15,1),0)+梦灵养成!F567+SUMPRODUCT(--(梦灵养成!$Q$10:$Q$15&lt;=产出预期!$M248),梦灵养成!N$10:N$15,梦灵养成!$P$10:$P$15))/MAX(SUMPRODUCT(--(梦灵养成!$C$10:$C$31&lt;=产出预期!$M248),--(梦灵养成!$E$10:$E$31=K$2)),1)*10,梦灵养成!AV$339:AV$387,1),0)</f>
        <v>49</v>
      </c>
      <c r="L231" s="45" cm="1">
        <f ca="1" t="array" ref="L231">IFERROR(MATCH(((产出预期!$M248-OFFSET(梦灵养成!$Q$9,MATCH(产出预期!$M248,梦灵养成!$Q$10:$Q$15,1),0))*OFFSET(梦灵养成!O$9,1+MATCH(产出预期!$M248,梦灵养成!$Q$10:$Q$15,1),0)+梦灵养成!G567+SUMPRODUCT(--(梦灵养成!$Q$10:$Q$15&lt;=产出预期!$M248),梦灵养成!O$10:O$15,梦灵养成!$P$10:$P$15))/MAX(SUMPRODUCT(--(梦灵养成!$C$10:$C$31&lt;=产出预期!$M248),--(梦灵养成!$E$10:$E$31=L$2)),1)*10,梦灵养成!AW$339:AW$388,1),0)</f>
        <v>50</v>
      </c>
      <c r="M231" s="45">
        <f ca="1">OFFSET(符文养成!$C$14,MATCH(C231,符文养成!$B$15:$B$44,1),0)</f>
        <v>30</v>
      </c>
      <c r="N231" s="45">
        <f ca="1">MATCH((产出预期!Z248*价值表!$F$53+产出预期!AA248*价值表!$F$54+产出预期!AD248*价值表!$F$57)/16/M231,符文养成!$G$15:$G$21,1)</f>
        <v>5</v>
      </c>
      <c r="O231" s="45">
        <f>MATCH(产出预期!O248,秘宝养成!$C$3:$C$14,1)</f>
        <v>11</v>
      </c>
    </row>
    <row r="232" ht="16.5" spans="2:15">
      <c r="B232" s="2">
        <v>230</v>
      </c>
      <c r="C232" s="2">
        <f ca="1">MATCH((OFFSET(产出预期!$C$3,0,产出预期!$B$1)*10+OFFSET(产出预期!$C$4,0,产出预期!$B$1)*10+OFFSET(产出预期!$C$7,0,产出预期!$B$1)*20)*B232/10*60,玩家等级!$E$3:$E$302,1)</f>
        <v>98</v>
      </c>
      <c r="D232" s="2">
        <f>MATCH(产出预期!P249/6,装备养成!$G$4:$G$303,1)</f>
        <v>141</v>
      </c>
      <c r="E232" s="2">
        <f>COUNTIF(产出预期!$R249:$Y249,"&gt;"&amp;0)</f>
        <v>8</v>
      </c>
      <c r="F232" s="2">
        <f ca="1">MATCH(OFFSET(产出预期!$R$19,B232,E232-1),装备养成!$S$4:$S$9,1)</f>
        <v>6</v>
      </c>
      <c r="G232" s="2" t="str">
        <f ca="1">OFFSET(梦灵养成!$D$9,MATCH(梦灵养成!C263,梦灵养成!$C$10:$C$28,1),0)</f>
        <v>我爱沙</v>
      </c>
      <c r="H232" s="2" t="str">
        <f ca="1">OFFSET(梦灵养成!$I$9,MATCH(梦灵养成!C263,梦灵养成!$C$10:$C$28,1),0)</f>
        <v>后羿</v>
      </c>
      <c r="I232" s="45" cm="1">
        <f ca="1" t="array" ref="I232">IFERROR(MATCH(((产出预期!$M249-OFFSET(梦灵养成!$Q$9,MATCH(产出预期!$M249,梦灵养成!$Q$10:$Q$15,1),0))*OFFSET(梦灵养成!L$9,1+MATCH(产出预期!$M249,梦灵养成!$Q$10:$Q$15,1),0)+梦灵养成!D568+SUMPRODUCT(--(梦灵养成!$Q$10:$Q$15&lt;=产出预期!$M249),梦灵养成!L$10:L$15,梦灵养成!$P$10:$P$15))/MAX(SUMPRODUCT(--(梦灵养成!$C$10:$C$31&lt;=产出预期!$M249),--(梦灵养成!$E$10:$E$31=I$2)),1)*10,梦灵养成!AT$339:AT$387,1),0)</f>
        <v>49</v>
      </c>
      <c r="J232" s="45" cm="1">
        <f ca="1" t="array" ref="J232">IFERROR(MATCH(((产出预期!$M249-OFFSET(梦灵养成!$Q$9,MATCH(产出预期!$M249,梦灵养成!$Q$10:$Q$15,1),0))*OFFSET(梦灵养成!M$9,1+MATCH(产出预期!$M249,梦灵养成!$Q$10:$Q$15,1),0)+梦灵养成!E568+SUMPRODUCT(--(梦灵养成!$Q$10:$Q$15&lt;=产出预期!$M249),梦灵养成!M$10:M$15,梦灵养成!$P$10:$P$15))/MAX(SUMPRODUCT(--(梦灵养成!$C$10:$C$31&lt;=产出预期!$M249),--(梦灵养成!$E$10:$E$31=J$2)),1)*10,梦灵养成!AU$339:AU$387,1),0)</f>
        <v>49</v>
      </c>
      <c r="K232" s="45" cm="1">
        <f ca="1" t="array" ref="K232">IFERROR(MATCH(((产出预期!$M249-OFFSET(梦灵养成!$Q$9,MATCH(产出预期!$M249,梦灵养成!$Q$10:$Q$15,1),0))*OFFSET(梦灵养成!N$9,1+MATCH(产出预期!$M249,梦灵养成!$Q$10:$Q$15,1),0)+梦灵养成!F568+SUMPRODUCT(--(梦灵养成!$Q$10:$Q$15&lt;=产出预期!$M249),梦灵养成!N$10:N$15,梦灵养成!$P$10:$P$15))/MAX(SUMPRODUCT(--(梦灵养成!$C$10:$C$31&lt;=产出预期!$M249),--(梦灵养成!$E$10:$E$31=K$2)),1)*10,梦灵养成!AV$339:AV$387,1),0)</f>
        <v>49</v>
      </c>
      <c r="L232" s="45" cm="1">
        <f ca="1" t="array" ref="L232">IFERROR(MATCH(((产出预期!$M249-OFFSET(梦灵养成!$Q$9,MATCH(产出预期!$M249,梦灵养成!$Q$10:$Q$15,1),0))*OFFSET(梦灵养成!O$9,1+MATCH(产出预期!$M249,梦灵养成!$Q$10:$Q$15,1),0)+梦灵养成!G568+SUMPRODUCT(--(梦灵养成!$Q$10:$Q$15&lt;=产出预期!$M249),梦灵养成!O$10:O$15,梦灵养成!$P$10:$P$15))/MAX(SUMPRODUCT(--(梦灵养成!$C$10:$C$31&lt;=产出预期!$M249),--(梦灵养成!$E$10:$E$31=L$2)),1)*10,梦灵养成!AW$339:AW$388,1),0)</f>
        <v>50</v>
      </c>
      <c r="M232" s="45">
        <f ca="1">OFFSET(符文养成!$C$14,MATCH(C232,符文养成!$B$15:$B$44,1),0)</f>
        <v>30</v>
      </c>
      <c r="N232" s="45">
        <f ca="1">MATCH((产出预期!Z249*价值表!$F$53+产出预期!AA249*价值表!$F$54+产出预期!AD249*价值表!$F$57)/16/M232,符文养成!$G$15:$G$21,1)</f>
        <v>5</v>
      </c>
      <c r="O232" s="45">
        <f>MATCH(产出预期!O249,秘宝养成!$C$3:$C$14,1)</f>
        <v>11</v>
      </c>
    </row>
    <row r="233" ht="16.5" spans="2:15">
      <c r="B233" s="2">
        <v>231</v>
      </c>
      <c r="C233" s="2">
        <f ca="1">MATCH((OFFSET(产出预期!$C$3,0,产出预期!$B$1)*10+OFFSET(产出预期!$C$4,0,产出预期!$B$1)*10+OFFSET(产出预期!$C$7,0,产出预期!$B$1)*20)*B233/10*60,玩家等级!$E$3:$E$302,1)</f>
        <v>98</v>
      </c>
      <c r="D233" s="2">
        <f>MATCH(产出预期!P250/6,装备养成!$G$4:$G$303,1)</f>
        <v>141</v>
      </c>
      <c r="E233" s="2">
        <f>COUNTIF(产出预期!$R250:$Y250,"&gt;"&amp;0)</f>
        <v>8</v>
      </c>
      <c r="F233" s="2">
        <f ca="1">MATCH(OFFSET(产出预期!$R$19,B233,E233-1),装备养成!$S$4:$S$9,1)</f>
        <v>6</v>
      </c>
      <c r="G233" s="2" t="str">
        <f ca="1">OFFSET(梦灵养成!$D$9,MATCH(梦灵养成!C264,梦灵养成!$C$10:$C$28,1),0)</f>
        <v>我爱沙</v>
      </c>
      <c r="H233" s="2" t="str">
        <f ca="1">OFFSET(梦灵养成!$I$9,MATCH(梦灵养成!C264,梦灵养成!$C$10:$C$28,1),0)</f>
        <v>后羿</v>
      </c>
      <c r="I233" s="45" cm="1">
        <f ca="1" t="array" ref="I233">IFERROR(MATCH(((产出预期!$M250-OFFSET(梦灵养成!$Q$9,MATCH(产出预期!$M250,梦灵养成!$Q$10:$Q$15,1),0))*OFFSET(梦灵养成!L$9,1+MATCH(产出预期!$M250,梦灵养成!$Q$10:$Q$15,1),0)+梦灵养成!D569+SUMPRODUCT(--(梦灵养成!$Q$10:$Q$15&lt;=产出预期!$M250),梦灵养成!L$10:L$15,梦灵养成!$P$10:$P$15))/MAX(SUMPRODUCT(--(梦灵养成!$C$10:$C$31&lt;=产出预期!$M250),--(梦灵养成!$E$10:$E$31=I$2)),1)*10,梦灵养成!AT$339:AT$387,1),0)</f>
        <v>49</v>
      </c>
      <c r="J233" s="45" cm="1">
        <f ca="1" t="array" ref="J233">IFERROR(MATCH(((产出预期!$M250-OFFSET(梦灵养成!$Q$9,MATCH(产出预期!$M250,梦灵养成!$Q$10:$Q$15,1),0))*OFFSET(梦灵养成!M$9,1+MATCH(产出预期!$M250,梦灵养成!$Q$10:$Q$15,1),0)+梦灵养成!E569+SUMPRODUCT(--(梦灵养成!$Q$10:$Q$15&lt;=产出预期!$M250),梦灵养成!M$10:M$15,梦灵养成!$P$10:$P$15))/MAX(SUMPRODUCT(--(梦灵养成!$C$10:$C$31&lt;=产出预期!$M250),--(梦灵养成!$E$10:$E$31=J$2)),1)*10,梦灵养成!AU$339:AU$387,1),0)</f>
        <v>49</v>
      </c>
      <c r="K233" s="45" cm="1">
        <f ca="1" t="array" ref="K233">IFERROR(MATCH(((产出预期!$M250-OFFSET(梦灵养成!$Q$9,MATCH(产出预期!$M250,梦灵养成!$Q$10:$Q$15,1),0))*OFFSET(梦灵养成!N$9,1+MATCH(产出预期!$M250,梦灵养成!$Q$10:$Q$15,1),0)+梦灵养成!F569+SUMPRODUCT(--(梦灵养成!$Q$10:$Q$15&lt;=产出预期!$M250),梦灵养成!N$10:N$15,梦灵养成!$P$10:$P$15))/MAX(SUMPRODUCT(--(梦灵养成!$C$10:$C$31&lt;=产出预期!$M250),--(梦灵养成!$E$10:$E$31=K$2)),1)*10,梦灵养成!AV$339:AV$387,1),0)</f>
        <v>49</v>
      </c>
      <c r="L233" s="45" cm="1">
        <f ca="1" t="array" ref="L233">IFERROR(MATCH(((产出预期!$M250-OFFSET(梦灵养成!$Q$9,MATCH(产出预期!$M250,梦灵养成!$Q$10:$Q$15,1),0))*OFFSET(梦灵养成!O$9,1+MATCH(产出预期!$M250,梦灵养成!$Q$10:$Q$15,1),0)+梦灵养成!G569+SUMPRODUCT(--(梦灵养成!$Q$10:$Q$15&lt;=产出预期!$M250),梦灵养成!O$10:O$15,梦灵养成!$P$10:$P$15))/MAX(SUMPRODUCT(--(梦灵养成!$C$10:$C$31&lt;=产出预期!$M250),--(梦灵养成!$E$10:$E$31=L$2)),1)*10,梦灵养成!AW$339:AW$388,1),0)</f>
        <v>50</v>
      </c>
      <c r="M233" s="45">
        <f ca="1">OFFSET(符文养成!$C$14,MATCH(C233,符文养成!$B$15:$B$44,1),0)</f>
        <v>30</v>
      </c>
      <c r="N233" s="45">
        <f ca="1">MATCH((产出预期!Z250*价值表!$F$53+产出预期!AA250*价值表!$F$54+产出预期!AD250*价值表!$F$57)/16/M233,符文养成!$G$15:$G$21,1)</f>
        <v>5</v>
      </c>
      <c r="O233" s="45">
        <f>MATCH(产出预期!O250,秘宝养成!$C$3:$C$14,1)</f>
        <v>11</v>
      </c>
    </row>
    <row r="234" ht="16.5" spans="2:15">
      <c r="B234" s="2">
        <v>232</v>
      </c>
      <c r="C234" s="2">
        <f ca="1">MATCH((OFFSET(产出预期!$C$3,0,产出预期!$B$1)*10+OFFSET(产出预期!$C$4,0,产出预期!$B$1)*10+OFFSET(产出预期!$C$7,0,产出预期!$B$1)*20)*B234/10*60,玩家等级!$E$3:$E$302,1)</f>
        <v>98</v>
      </c>
      <c r="D234" s="2">
        <f>MATCH(产出预期!P251/6,装备养成!$G$4:$G$303,1)</f>
        <v>142</v>
      </c>
      <c r="E234" s="2">
        <f>COUNTIF(产出预期!$R251:$Y251,"&gt;"&amp;0)</f>
        <v>8</v>
      </c>
      <c r="F234" s="2">
        <f ca="1">MATCH(OFFSET(产出预期!$R$19,B234,E234-1),装备养成!$S$4:$S$9,1)</f>
        <v>6</v>
      </c>
      <c r="G234" s="2" t="str">
        <f ca="1">OFFSET(梦灵养成!$D$9,MATCH(梦灵养成!C265,梦灵养成!$C$10:$C$28,1),0)</f>
        <v>我爱沙</v>
      </c>
      <c r="H234" s="2" t="str">
        <f ca="1">OFFSET(梦灵养成!$I$9,MATCH(梦灵养成!C265,梦灵养成!$C$10:$C$28,1),0)</f>
        <v>后羿</v>
      </c>
      <c r="I234" s="45" cm="1">
        <f ca="1" t="array" ref="I234">IFERROR(MATCH(((产出预期!$M251-OFFSET(梦灵养成!$Q$9,MATCH(产出预期!$M251,梦灵养成!$Q$10:$Q$15,1),0))*OFFSET(梦灵养成!L$9,1+MATCH(产出预期!$M251,梦灵养成!$Q$10:$Q$15,1),0)+梦灵养成!D570+SUMPRODUCT(--(梦灵养成!$Q$10:$Q$15&lt;=产出预期!$M251),梦灵养成!L$10:L$15,梦灵养成!$P$10:$P$15))/MAX(SUMPRODUCT(--(梦灵养成!$C$10:$C$31&lt;=产出预期!$M251),--(梦灵养成!$E$10:$E$31=I$2)),1)*10,梦灵养成!AT$339:AT$387,1),0)</f>
        <v>49</v>
      </c>
      <c r="J234" s="45" cm="1">
        <f ca="1" t="array" ref="J234">IFERROR(MATCH(((产出预期!$M251-OFFSET(梦灵养成!$Q$9,MATCH(产出预期!$M251,梦灵养成!$Q$10:$Q$15,1),0))*OFFSET(梦灵养成!M$9,1+MATCH(产出预期!$M251,梦灵养成!$Q$10:$Q$15,1),0)+梦灵养成!E570+SUMPRODUCT(--(梦灵养成!$Q$10:$Q$15&lt;=产出预期!$M251),梦灵养成!M$10:M$15,梦灵养成!$P$10:$P$15))/MAX(SUMPRODUCT(--(梦灵养成!$C$10:$C$31&lt;=产出预期!$M251),--(梦灵养成!$E$10:$E$31=J$2)),1)*10,梦灵养成!AU$339:AU$387,1),0)</f>
        <v>49</v>
      </c>
      <c r="K234" s="45" cm="1">
        <f ca="1" t="array" ref="K234">IFERROR(MATCH(((产出预期!$M251-OFFSET(梦灵养成!$Q$9,MATCH(产出预期!$M251,梦灵养成!$Q$10:$Q$15,1),0))*OFFSET(梦灵养成!N$9,1+MATCH(产出预期!$M251,梦灵养成!$Q$10:$Q$15,1),0)+梦灵养成!F570+SUMPRODUCT(--(梦灵养成!$Q$10:$Q$15&lt;=产出预期!$M251),梦灵养成!N$10:N$15,梦灵养成!$P$10:$P$15))/MAX(SUMPRODUCT(--(梦灵养成!$C$10:$C$31&lt;=产出预期!$M251),--(梦灵养成!$E$10:$E$31=K$2)),1)*10,梦灵养成!AV$339:AV$387,1),0)</f>
        <v>49</v>
      </c>
      <c r="L234" s="45" cm="1">
        <f ca="1" t="array" ref="L234">IFERROR(MATCH(((产出预期!$M251-OFFSET(梦灵养成!$Q$9,MATCH(产出预期!$M251,梦灵养成!$Q$10:$Q$15,1),0))*OFFSET(梦灵养成!O$9,1+MATCH(产出预期!$M251,梦灵养成!$Q$10:$Q$15,1),0)+梦灵养成!G570+SUMPRODUCT(--(梦灵养成!$Q$10:$Q$15&lt;=产出预期!$M251),梦灵养成!O$10:O$15,梦灵养成!$P$10:$P$15))/MAX(SUMPRODUCT(--(梦灵养成!$C$10:$C$31&lt;=产出预期!$M251),--(梦灵养成!$E$10:$E$31=L$2)),1)*10,梦灵养成!AW$339:AW$388,1),0)</f>
        <v>50</v>
      </c>
      <c r="M234" s="45">
        <f ca="1">OFFSET(符文养成!$C$14,MATCH(C234,符文养成!$B$15:$B$44,1),0)</f>
        <v>30</v>
      </c>
      <c r="N234" s="45">
        <f ca="1">MATCH((产出预期!Z251*价值表!$F$53+产出预期!AA251*价值表!$F$54+产出预期!AD251*价值表!$F$57)/16/M234,符文养成!$G$15:$G$21,1)</f>
        <v>5</v>
      </c>
      <c r="O234" s="45">
        <f>MATCH(产出预期!O251,秘宝养成!$C$3:$C$14,1)</f>
        <v>11</v>
      </c>
    </row>
    <row r="235" ht="16.5" spans="2:15">
      <c r="B235" s="2">
        <v>233</v>
      </c>
      <c r="C235" s="2">
        <f ca="1">MATCH((OFFSET(产出预期!$C$3,0,产出预期!$B$1)*10+OFFSET(产出预期!$C$4,0,产出预期!$B$1)*10+OFFSET(产出预期!$C$7,0,产出预期!$B$1)*20)*B235/10*60,玩家等级!$E$3:$E$302,1)</f>
        <v>99</v>
      </c>
      <c r="D235" s="2">
        <f>MATCH(产出预期!P252/6,装备养成!$G$4:$G$303,1)</f>
        <v>142</v>
      </c>
      <c r="E235" s="2">
        <f>COUNTIF(产出预期!$R252:$Y252,"&gt;"&amp;0)</f>
        <v>8</v>
      </c>
      <c r="F235" s="2">
        <f ca="1">MATCH(OFFSET(产出预期!$R$19,B235,E235-1),装备养成!$S$4:$S$9,1)</f>
        <v>6</v>
      </c>
      <c r="G235" s="2" t="str">
        <f ca="1">OFFSET(梦灵养成!$D$9,MATCH(梦灵养成!C266,梦灵养成!$C$10:$C$28,1),0)</f>
        <v>我爱沙</v>
      </c>
      <c r="H235" s="2" t="str">
        <f ca="1">OFFSET(梦灵养成!$I$9,MATCH(梦灵养成!C266,梦灵养成!$C$10:$C$28,1),0)</f>
        <v>后羿</v>
      </c>
      <c r="I235" s="45" cm="1">
        <f ca="1" t="array" ref="I235">IFERROR(MATCH(((产出预期!$M252-OFFSET(梦灵养成!$Q$9,MATCH(产出预期!$M252,梦灵养成!$Q$10:$Q$15,1),0))*OFFSET(梦灵养成!L$9,1+MATCH(产出预期!$M252,梦灵养成!$Q$10:$Q$15,1),0)+梦灵养成!D571+SUMPRODUCT(--(梦灵养成!$Q$10:$Q$15&lt;=产出预期!$M252),梦灵养成!L$10:L$15,梦灵养成!$P$10:$P$15))/MAX(SUMPRODUCT(--(梦灵养成!$C$10:$C$31&lt;=产出预期!$M252),--(梦灵养成!$E$10:$E$31=I$2)),1)*10,梦灵养成!AT$339:AT$387,1),0)</f>
        <v>49</v>
      </c>
      <c r="J235" s="45" cm="1">
        <f ca="1" t="array" ref="J235">IFERROR(MATCH(((产出预期!$M252-OFFSET(梦灵养成!$Q$9,MATCH(产出预期!$M252,梦灵养成!$Q$10:$Q$15,1),0))*OFFSET(梦灵养成!M$9,1+MATCH(产出预期!$M252,梦灵养成!$Q$10:$Q$15,1),0)+梦灵养成!E571+SUMPRODUCT(--(梦灵养成!$Q$10:$Q$15&lt;=产出预期!$M252),梦灵养成!M$10:M$15,梦灵养成!$P$10:$P$15))/MAX(SUMPRODUCT(--(梦灵养成!$C$10:$C$31&lt;=产出预期!$M252),--(梦灵养成!$E$10:$E$31=J$2)),1)*10,梦灵养成!AU$339:AU$387,1),0)</f>
        <v>49</v>
      </c>
      <c r="K235" s="45" cm="1">
        <f ca="1" t="array" ref="K235">IFERROR(MATCH(((产出预期!$M252-OFFSET(梦灵养成!$Q$9,MATCH(产出预期!$M252,梦灵养成!$Q$10:$Q$15,1),0))*OFFSET(梦灵养成!N$9,1+MATCH(产出预期!$M252,梦灵养成!$Q$10:$Q$15,1),0)+梦灵养成!F571+SUMPRODUCT(--(梦灵养成!$Q$10:$Q$15&lt;=产出预期!$M252),梦灵养成!N$10:N$15,梦灵养成!$P$10:$P$15))/MAX(SUMPRODUCT(--(梦灵养成!$C$10:$C$31&lt;=产出预期!$M252),--(梦灵养成!$E$10:$E$31=K$2)),1)*10,梦灵养成!AV$339:AV$387,1),0)</f>
        <v>49</v>
      </c>
      <c r="L235" s="45" cm="1">
        <f ca="1" t="array" ref="L235">IFERROR(MATCH(((产出预期!$M252-OFFSET(梦灵养成!$Q$9,MATCH(产出预期!$M252,梦灵养成!$Q$10:$Q$15,1),0))*OFFSET(梦灵养成!O$9,1+MATCH(产出预期!$M252,梦灵养成!$Q$10:$Q$15,1),0)+梦灵养成!G571+SUMPRODUCT(--(梦灵养成!$Q$10:$Q$15&lt;=产出预期!$M252),梦灵养成!O$10:O$15,梦灵养成!$P$10:$P$15))/MAX(SUMPRODUCT(--(梦灵养成!$C$10:$C$31&lt;=产出预期!$M252),--(梦灵养成!$E$10:$E$31=L$2)),1)*10,梦灵养成!AW$339:AW$388,1),0)</f>
        <v>50</v>
      </c>
      <c r="M235" s="45">
        <f ca="1">OFFSET(符文养成!$C$14,MATCH(C235,符文养成!$B$15:$B$44,1),0)</f>
        <v>30</v>
      </c>
      <c r="N235" s="45">
        <f ca="1">MATCH((产出预期!Z252*价值表!$F$53+产出预期!AA252*价值表!$F$54+产出预期!AD252*价值表!$F$57)/16/M235,符文养成!$G$15:$G$21,1)</f>
        <v>5</v>
      </c>
      <c r="O235" s="45">
        <f>MATCH(产出预期!O252,秘宝养成!$C$3:$C$14,1)</f>
        <v>11</v>
      </c>
    </row>
    <row r="236" ht="16.5" spans="2:15">
      <c r="B236" s="2">
        <v>234</v>
      </c>
      <c r="C236" s="2">
        <f ca="1">MATCH((OFFSET(产出预期!$C$3,0,产出预期!$B$1)*10+OFFSET(产出预期!$C$4,0,产出预期!$B$1)*10+OFFSET(产出预期!$C$7,0,产出预期!$B$1)*20)*B236/10*60,玩家等级!$E$3:$E$302,1)</f>
        <v>99</v>
      </c>
      <c r="D236" s="2">
        <f>MATCH(产出预期!P253/6,装备养成!$G$4:$G$303,1)</f>
        <v>142</v>
      </c>
      <c r="E236" s="2">
        <f>COUNTIF(产出预期!$R253:$Y253,"&gt;"&amp;0)</f>
        <v>8</v>
      </c>
      <c r="F236" s="2">
        <f ca="1">MATCH(OFFSET(产出预期!$R$19,B236,E236-1),装备养成!$S$4:$S$9,1)</f>
        <v>6</v>
      </c>
      <c r="G236" s="2" t="str">
        <f ca="1">OFFSET(梦灵养成!$D$9,MATCH(梦灵养成!C267,梦灵养成!$C$10:$C$28,1),0)</f>
        <v>我爱沙</v>
      </c>
      <c r="H236" s="2" t="str">
        <f ca="1">OFFSET(梦灵养成!$I$9,MATCH(梦灵养成!C267,梦灵养成!$C$10:$C$28,1),0)</f>
        <v>后羿</v>
      </c>
      <c r="I236" s="45" cm="1">
        <f ca="1" t="array" ref="I236">IFERROR(MATCH(((产出预期!$M253-OFFSET(梦灵养成!$Q$9,MATCH(产出预期!$M253,梦灵养成!$Q$10:$Q$15,1),0))*OFFSET(梦灵养成!L$9,1+MATCH(产出预期!$M253,梦灵养成!$Q$10:$Q$15,1),0)+梦灵养成!D572+SUMPRODUCT(--(梦灵养成!$Q$10:$Q$15&lt;=产出预期!$M253),梦灵养成!L$10:L$15,梦灵养成!$P$10:$P$15))/MAX(SUMPRODUCT(--(梦灵养成!$C$10:$C$31&lt;=产出预期!$M253),--(梦灵养成!$E$10:$E$31=I$2)),1)*10,梦灵养成!AT$339:AT$387,1),0)</f>
        <v>49</v>
      </c>
      <c r="J236" s="45" cm="1">
        <f ca="1" t="array" ref="J236">IFERROR(MATCH(((产出预期!$M253-OFFSET(梦灵养成!$Q$9,MATCH(产出预期!$M253,梦灵养成!$Q$10:$Q$15,1),0))*OFFSET(梦灵养成!M$9,1+MATCH(产出预期!$M253,梦灵养成!$Q$10:$Q$15,1),0)+梦灵养成!E572+SUMPRODUCT(--(梦灵养成!$Q$10:$Q$15&lt;=产出预期!$M253),梦灵养成!M$10:M$15,梦灵养成!$P$10:$P$15))/MAX(SUMPRODUCT(--(梦灵养成!$C$10:$C$31&lt;=产出预期!$M253),--(梦灵养成!$E$10:$E$31=J$2)),1)*10,梦灵养成!AU$339:AU$387,1),0)</f>
        <v>49</v>
      </c>
      <c r="K236" s="45" cm="1">
        <f ca="1" t="array" ref="K236">IFERROR(MATCH(((产出预期!$M253-OFFSET(梦灵养成!$Q$9,MATCH(产出预期!$M253,梦灵养成!$Q$10:$Q$15,1),0))*OFFSET(梦灵养成!N$9,1+MATCH(产出预期!$M253,梦灵养成!$Q$10:$Q$15,1),0)+梦灵养成!F572+SUMPRODUCT(--(梦灵养成!$Q$10:$Q$15&lt;=产出预期!$M253),梦灵养成!N$10:N$15,梦灵养成!$P$10:$P$15))/MAX(SUMPRODUCT(--(梦灵养成!$C$10:$C$31&lt;=产出预期!$M253),--(梦灵养成!$E$10:$E$31=K$2)),1)*10,梦灵养成!AV$339:AV$387,1),0)</f>
        <v>49</v>
      </c>
      <c r="L236" s="45" cm="1">
        <f ca="1" t="array" ref="L236">IFERROR(MATCH(((产出预期!$M253-OFFSET(梦灵养成!$Q$9,MATCH(产出预期!$M253,梦灵养成!$Q$10:$Q$15,1),0))*OFFSET(梦灵养成!O$9,1+MATCH(产出预期!$M253,梦灵养成!$Q$10:$Q$15,1),0)+梦灵养成!G572+SUMPRODUCT(--(梦灵养成!$Q$10:$Q$15&lt;=产出预期!$M253),梦灵养成!O$10:O$15,梦灵养成!$P$10:$P$15))/MAX(SUMPRODUCT(--(梦灵养成!$C$10:$C$31&lt;=产出预期!$M253),--(梦灵养成!$E$10:$E$31=L$2)),1)*10,梦灵养成!AW$339:AW$388,1),0)</f>
        <v>50</v>
      </c>
      <c r="M236" s="45">
        <f ca="1">OFFSET(符文养成!$C$14,MATCH(C236,符文养成!$B$15:$B$44,1),0)</f>
        <v>30</v>
      </c>
      <c r="N236" s="45">
        <f ca="1">MATCH((产出预期!Z253*价值表!$F$53+产出预期!AA253*价值表!$F$54+产出预期!AD253*价值表!$F$57)/16/M236,符文养成!$G$15:$G$21,1)</f>
        <v>5</v>
      </c>
      <c r="O236" s="45">
        <f>MATCH(产出预期!O253,秘宝养成!$C$3:$C$14,1)</f>
        <v>11</v>
      </c>
    </row>
    <row r="237" ht="16.5" spans="2:15">
      <c r="B237" s="2">
        <v>235</v>
      </c>
      <c r="C237" s="2">
        <f ca="1">MATCH((OFFSET(产出预期!$C$3,0,产出预期!$B$1)*10+OFFSET(产出预期!$C$4,0,产出预期!$B$1)*10+OFFSET(产出预期!$C$7,0,产出预期!$B$1)*20)*B237/10*60,玩家等级!$E$3:$E$302,1)</f>
        <v>99</v>
      </c>
      <c r="D237" s="2">
        <f>MATCH(产出预期!P254/6,装备养成!$G$4:$G$303,1)</f>
        <v>142</v>
      </c>
      <c r="E237" s="2">
        <f>COUNTIF(产出预期!$R254:$Y254,"&gt;"&amp;0)</f>
        <v>8</v>
      </c>
      <c r="F237" s="2">
        <f ca="1">MATCH(OFFSET(产出预期!$R$19,B237,E237-1),装备养成!$S$4:$S$9,1)</f>
        <v>6</v>
      </c>
      <c r="G237" s="2" t="str">
        <f ca="1">OFFSET(梦灵养成!$D$9,MATCH(梦灵养成!C268,梦灵养成!$C$10:$C$28,1),0)</f>
        <v>我爱沙</v>
      </c>
      <c r="H237" s="2" t="str">
        <f ca="1">OFFSET(梦灵养成!$I$9,MATCH(梦灵养成!C268,梦灵养成!$C$10:$C$28,1),0)</f>
        <v>后羿</v>
      </c>
      <c r="I237" s="45" cm="1">
        <f ca="1" t="array" ref="I237">IFERROR(MATCH(((产出预期!$M254-OFFSET(梦灵养成!$Q$9,MATCH(产出预期!$M254,梦灵养成!$Q$10:$Q$15,1),0))*OFFSET(梦灵养成!L$9,1+MATCH(产出预期!$M254,梦灵养成!$Q$10:$Q$15,1),0)+梦灵养成!D573+SUMPRODUCT(--(梦灵养成!$Q$10:$Q$15&lt;=产出预期!$M254),梦灵养成!L$10:L$15,梦灵养成!$P$10:$P$15))/MAX(SUMPRODUCT(--(梦灵养成!$C$10:$C$31&lt;=产出预期!$M254),--(梦灵养成!$E$10:$E$31=I$2)),1)*10,梦灵养成!AT$339:AT$387,1),0)</f>
        <v>49</v>
      </c>
      <c r="J237" s="45" cm="1">
        <f ca="1" t="array" ref="J237">IFERROR(MATCH(((产出预期!$M254-OFFSET(梦灵养成!$Q$9,MATCH(产出预期!$M254,梦灵养成!$Q$10:$Q$15,1),0))*OFFSET(梦灵养成!M$9,1+MATCH(产出预期!$M254,梦灵养成!$Q$10:$Q$15,1),0)+梦灵养成!E573+SUMPRODUCT(--(梦灵养成!$Q$10:$Q$15&lt;=产出预期!$M254),梦灵养成!M$10:M$15,梦灵养成!$P$10:$P$15))/MAX(SUMPRODUCT(--(梦灵养成!$C$10:$C$31&lt;=产出预期!$M254),--(梦灵养成!$E$10:$E$31=J$2)),1)*10,梦灵养成!AU$339:AU$387,1),0)</f>
        <v>49</v>
      </c>
      <c r="K237" s="45" cm="1">
        <f ca="1" t="array" ref="K237">IFERROR(MATCH(((产出预期!$M254-OFFSET(梦灵养成!$Q$9,MATCH(产出预期!$M254,梦灵养成!$Q$10:$Q$15,1),0))*OFFSET(梦灵养成!N$9,1+MATCH(产出预期!$M254,梦灵养成!$Q$10:$Q$15,1),0)+梦灵养成!F573+SUMPRODUCT(--(梦灵养成!$Q$10:$Q$15&lt;=产出预期!$M254),梦灵养成!N$10:N$15,梦灵养成!$P$10:$P$15))/MAX(SUMPRODUCT(--(梦灵养成!$C$10:$C$31&lt;=产出预期!$M254),--(梦灵养成!$E$10:$E$31=K$2)),1)*10,梦灵养成!AV$339:AV$387,1),0)</f>
        <v>49</v>
      </c>
      <c r="L237" s="45" cm="1">
        <f ca="1" t="array" ref="L237">IFERROR(MATCH(((产出预期!$M254-OFFSET(梦灵养成!$Q$9,MATCH(产出预期!$M254,梦灵养成!$Q$10:$Q$15,1),0))*OFFSET(梦灵养成!O$9,1+MATCH(产出预期!$M254,梦灵养成!$Q$10:$Q$15,1),0)+梦灵养成!G573+SUMPRODUCT(--(梦灵养成!$Q$10:$Q$15&lt;=产出预期!$M254),梦灵养成!O$10:O$15,梦灵养成!$P$10:$P$15))/MAX(SUMPRODUCT(--(梦灵养成!$C$10:$C$31&lt;=产出预期!$M254),--(梦灵养成!$E$10:$E$31=L$2)),1)*10,梦灵养成!AW$339:AW$388,1),0)</f>
        <v>50</v>
      </c>
      <c r="M237" s="45">
        <f ca="1">OFFSET(符文养成!$C$14,MATCH(C237,符文养成!$B$15:$B$44,1),0)</f>
        <v>30</v>
      </c>
      <c r="N237" s="45">
        <f ca="1">MATCH((产出预期!Z254*价值表!$F$53+产出预期!AA254*价值表!$F$54+产出预期!AD254*价值表!$F$57)/16/M237,符文养成!$G$15:$G$21,1)</f>
        <v>5</v>
      </c>
      <c r="O237" s="45">
        <f>MATCH(产出预期!O254,秘宝养成!$C$3:$C$14,1)</f>
        <v>11</v>
      </c>
    </row>
    <row r="238" ht="16.5" spans="2:15">
      <c r="B238" s="2">
        <v>236</v>
      </c>
      <c r="C238" s="2">
        <f ca="1">MATCH((OFFSET(产出预期!$C$3,0,产出预期!$B$1)*10+OFFSET(产出预期!$C$4,0,产出预期!$B$1)*10+OFFSET(产出预期!$C$7,0,产出预期!$B$1)*20)*B238/10*60,玩家等级!$E$3:$E$302,1)</f>
        <v>99</v>
      </c>
      <c r="D238" s="2">
        <f>MATCH(产出预期!P255/6,装备养成!$G$4:$G$303,1)</f>
        <v>143</v>
      </c>
      <c r="E238" s="2">
        <f>COUNTIF(产出预期!$R255:$Y255,"&gt;"&amp;0)</f>
        <v>8</v>
      </c>
      <c r="F238" s="2">
        <f ca="1">MATCH(OFFSET(产出预期!$R$19,B238,E238-1),装备养成!$S$4:$S$9,1)</f>
        <v>6</v>
      </c>
      <c r="G238" s="2" t="str">
        <f ca="1">OFFSET(梦灵养成!$D$9,MATCH(梦灵养成!C269,梦灵养成!$C$10:$C$28,1),0)</f>
        <v>我爱沙</v>
      </c>
      <c r="H238" s="2" t="str">
        <f ca="1">OFFSET(梦灵养成!$I$9,MATCH(梦灵养成!C269,梦灵养成!$C$10:$C$28,1),0)</f>
        <v>后羿</v>
      </c>
      <c r="I238" s="45" cm="1">
        <f ca="1" t="array" ref="I238">IFERROR(MATCH(((产出预期!$M255-OFFSET(梦灵养成!$Q$9,MATCH(产出预期!$M255,梦灵养成!$Q$10:$Q$15,1),0))*OFFSET(梦灵养成!L$9,1+MATCH(产出预期!$M255,梦灵养成!$Q$10:$Q$15,1),0)+梦灵养成!D574+SUMPRODUCT(--(梦灵养成!$Q$10:$Q$15&lt;=产出预期!$M255),梦灵养成!L$10:L$15,梦灵养成!$P$10:$P$15))/MAX(SUMPRODUCT(--(梦灵养成!$C$10:$C$31&lt;=产出预期!$M255),--(梦灵养成!$E$10:$E$31=I$2)),1)*10,梦灵养成!AT$339:AT$387,1),0)</f>
        <v>49</v>
      </c>
      <c r="J238" s="45" cm="1">
        <f ca="1" t="array" ref="J238">IFERROR(MATCH(((产出预期!$M255-OFFSET(梦灵养成!$Q$9,MATCH(产出预期!$M255,梦灵养成!$Q$10:$Q$15,1),0))*OFFSET(梦灵养成!M$9,1+MATCH(产出预期!$M255,梦灵养成!$Q$10:$Q$15,1),0)+梦灵养成!E574+SUMPRODUCT(--(梦灵养成!$Q$10:$Q$15&lt;=产出预期!$M255),梦灵养成!M$10:M$15,梦灵养成!$P$10:$P$15))/MAX(SUMPRODUCT(--(梦灵养成!$C$10:$C$31&lt;=产出预期!$M255),--(梦灵养成!$E$10:$E$31=J$2)),1)*10,梦灵养成!AU$339:AU$387,1),0)</f>
        <v>49</v>
      </c>
      <c r="K238" s="45" cm="1">
        <f ca="1" t="array" ref="K238">IFERROR(MATCH(((产出预期!$M255-OFFSET(梦灵养成!$Q$9,MATCH(产出预期!$M255,梦灵养成!$Q$10:$Q$15,1),0))*OFFSET(梦灵养成!N$9,1+MATCH(产出预期!$M255,梦灵养成!$Q$10:$Q$15,1),0)+梦灵养成!F574+SUMPRODUCT(--(梦灵养成!$Q$10:$Q$15&lt;=产出预期!$M255),梦灵养成!N$10:N$15,梦灵养成!$P$10:$P$15))/MAX(SUMPRODUCT(--(梦灵养成!$C$10:$C$31&lt;=产出预期!$M255),--(梦灵养成!$E$10:$E$31=K$2)),1)*10,梦灵养成!AV$339:AV$387,1),0)</f>
        <v>49</v>
      </c>
      <c r="L238" s="45" cm="1">
        <f ca="1" t="array" ref="L238">IFERROR(MATCH(((产出预期!$M255-OFFSET(梦灵养成!$Q$9,MATCH(产出预期!$M255,梦灵养成!$Q$10:$Q$15,1),0))*OFFSET(梦灵养成!O$9,1+MATCH(产出预期!$M255,梦灵养成!$Q$10:$Q$15,1),0)+梦灵养成!G574+SUMPRODUCT(--(梦灵养成!$Q$10:$Q$15&lt;=产出预期!$M255),梦灵养成!O$10:O$15,梦灵养成!$P$10:$P$15))/MAX(SUMPRODUCT(--(梦灵养成!$C$10:$C$31&lt;=产出预期!$M255),--(梦灵养成!$E$10:$E$31=L$2)),1)*10,梦灵养成!AW$339:AW$388,1),0)</f>
        <v>50</v>
      </c>
      <c r="M238" s="45">
        <f ca="1">OFFSET(符文养成!$C$14,MATCH(C238,符文养成!$B$15:$B$44,1),0)</f>
        <v>30</v>
      </c>
      <c r="N238" s="45">
        <f ca="1">MATCH((产出预期!Z255*价值表!$F$53+产出预期!AA255*价值表!$F$54+产出预期!AD255*价值表!$F$57)/16/M238,符文养成!$G$15:$G$21,1)</f>
        <v>5</v>
      </c>
      <c r="O238" s="45">
        <f>MATCH(产出预期!O255,秘宝养成!$C$3:$C$14,1)</f>
        <v>11</v>
      </c>
    </row>
    <row r="239" ht="16.5" spans="2:15">
      <c r="B239" s="2">
        <v>237</v>
      </c>
      <c r="C239" s="2">
        <f ca="1">MATCH((OFFSET(产出预期!$C$3,0,产出预期!$B$1)*10+OFFSET(产出预期!$C$4,0,产出预期!$B$1)*10+OFFSET(产出预期!$C$7,0,产出预期!$B$1)*20)*B239/10*60,玩家等级!$E$3:$E$302,1)</f>
        <v>99</v>
      </c>
      <c r="D239" s="2">
        <f>MATCH(产出预期!P256/6,装备养成!$G$4:$G$303,1)</f>
        <v>143</v>
      </c>
      <c r="E239" s="2">
        <f>COUNTIF(产出预期!$R256:$Y256,"&gt;"&amp;0)</f>
        <v>8</v>
      </c>
      <c r="F239" s="2">
        <f ca="1">MATCH(OFFSET(产出预期!$R$19,B239,E239-1),装备养成!$S$4:$S$9,1)</f>
        <v>6</v>
      </c>
      <c r="G239" s="2" t="str">
        <f ca="1">OFFSET(梦灵养成!$D$9,MATCH(梦灵养成!C270,梦灵养成!$C$10:$C$28,1),0)</f>
        <v>我爱沙</v>
      </c>
      <c r="H239" s="2" t="str">
        <f ca="1">OFFSET(梦灵养成!$I$9,MATCH(梦灵养成!C270,梦灵养成!$C$10:$C$28,1),0)</f>
        <v>后羿</v>
      </c>
      <c r="I239" s="45" cm="1">
        <f ca="1" t="array" ref="I239">IFERROR(MATCH(((产出预期!$M256-OFFSET(梦灵养成!$Q$9,MATCH(产出预期!$M256,梦灵养成!$Q$10:$Q$15,1),0))*OFFSET(梦灵养成!L$9,1+MATCH(产出预期!$M256,梦灵养成!$Q$10:$Q$15,1),0)+梦灵养成!D575+SUMPRODUCT(--(梦灵养成!$Q$10:$Q$15&lt;=产出预期!$M256),梦灵养成!L$10:L$15,梦灵养成!$P$10:$P$15))/MAX(SUMPRODUCT(--(梦灵养成!$C$10:$C$31&lt;=产出预期!$M256),--(梦灵养成!$E$10:$E$31=I$2)),1)*10,梦灵养成!AT$339:AT$387,1),0)</f>
        <v>49</v>
      </c>
      <c r="J239" s="45" cm="1">
        <f ca="1" t="array" ref="J239">IFERROR(MATCH(((产出预期!$M256-OFFSET(梦灵养成!$Q$9,MATCH(产出预期!$M256,梦灵养成!$Q$10:$Q$15,1),0))*OFFSET(梦灵养成!M$9,1+MATCH(产出预期!$M256,梦灵养成!$Q$10:$Q$15,1),0)+梦灵养成!E575+SUMPRODUCT(--(梦灵养成!$Q$10:$Q$15&lt;=产出预期!$M256),梦灵养成!M$10:M$15,梦灵养成!$P$10:$P$15))/MAX(SUMPRODUCT(--(梦灵养成!$C$10:$C$31&lt;=产出预期!$M256),--(梦灵养成!$E$10:$E$31=J$2)),1)*10,梦灵养成!AU$339:AU$387,1),0)</f>
        <v>49</v>
      </c>
      <c r="K239" s="45" cm="1">
        <f ca="1" t="array" ref="K239">IFERROR(MATCH(((产出预期!$M256-OFFSET(梦灵养成!$Q$9,MATCH(产出预期!$M256,梦灵养成!$Q$10:$Q$15,1),0))*OFFSET(梦灵养成!N$9,1+MATCH(产出预期!$M256,梦灵养成!$Q$10:$Q$15,1),0)+梦灵养成!F575+SUMPRODUCT(--(梦灵养成!$Q$10:$Q$15&lt;=产出预期!$M256),梦灵养成!N$10:N$15,梦灵养成!$P$10:$P$15))/MAX(SUMPRODUCT(--(梦灵养成!$C$10:$C$31&lt;=产出预期!$M256),--(梦灵养成!$E$10:$E$31=K$2)),1)*10,梦灵养成!AV$339:AV$387,1),0)</f>
        <v>49</v>
      </c>
      <c r="L239" s="45" cm="1">
        <f ca="1" t="array" ref="L239">IFERROR(MATCH(((产出预期!$M256-OFFSET(梦灵养成!$Q$9,MATCH(产出预期!$M256,梦灵养成!$Q$10:$Q$15,1),0))*OFFSET(梦灵养成!O$9,1+MATCH(产出预期!$M256,梦灵养成!$Q$10:$Q$15,1),0)+梦灵养成!G575+SUMPRODUCT(--(梦灵养成!$Q$10:$Q$15&lt;=产出预期!$M256),梦灵养成!O$10:O$15,梦灵养成!$P$10:$P$15))/MAX(SUMPRODUCT(--(梦灵养成!$C$10:$C$31&lt;=产出预期!$M256),--(梦灵养成!$E$10:$E$31=L$2)),1)*10,梦灵养成!AW$339:AW$388,1),0)</f>
        <v>50</v>
      </c>
      <c r="M239" s="45">
        <f ca="1">OFFSET(符文养成!$C$14,MATCH(C239,符文养成!$B$15:$B$44,1),0)</f>
        <v>30</v>
      </c>
      <c r="N239" s="45">
        <f ca="1">MATCH((产出预期!Z256*价值表!$F$53+产出预期!AA256*价值表!$F$54+产出预期!AD256*价值表!$F$57)/16/M239,符文养成!$G$15:$G$21,1)</f>
        <v>5</v>
      </c>
      <c r="O239" s="45">
        <f>MATCH(产出预期!O256,秘宝养成!$C$3:$C$14,1)</f>
        <v>11</v>
      </c>
    </row>
    <row r="240" ht="16.5" spans="2:15">
      <c r="B240" s="2">
        <v>238</v>
      </c>
      <c r="C240" s="2">
        <f ca="1">MATCH((OFFSET(产出预期!$C$3,0,产出预期!$B$1)*10+OFFSET(产出预期!$C$4,0,产出预期!$B$1)*10+OFFSET(产出预期!$C$7,0,产出预期!$B$1)*20)*B240/10*60,玩家等级!$E$3:$E$302,1)</f>
        <v>99</v>
      </c>
      <c r="D240" s="2">
        <f>MATCH(产出预期!P257/6,装备养成!$G$4:$G$303,1)</f>
        <v>143</v>
      </c>
      <c r="E240" s="2">
        <f>COUNTIF(产出预期!$R257:$Y257,"&gt;"&amp;0)</f>
        <v>8</v>
      </c>
      <c r="F240" s="2">
        <f ca="1">MATCH(OFFSET(产出预期!$R$19,B240,E240-1),装备养成!$S$4:$S$9,1)</f>
        <v>6</v>
      </c>
      <c r="G240" s="2" t="str">
        <f ca="1">OFFSET(梦灵养成!$D$9,MATCH(梦灵养成!C271,梦灵养成!$C$10:$C$28,1),0)</f>
        <v>我爱沙</v>
      </c>
      <c r="H240" s="2" t="str">
        <f ca="1">OFFSET(梦灵养成!$I$9,MATCH(梦灵养成!C271,梦灵养成!$C$10:$C$28,1),0)</f>
        <v>后羿</v>
      </c>
      <c r="I240" s="45" cm="1">
        <f ca="1" t="array" ref="I240">IFERROR(MATCH(((产出预期!$M257-OFFSET(梦灵养成!$Q$9,MATCH(产出预期!$M257,梦灵养成!$Q$10:$Q$15,1),0))*OFFSET(梦灵养成!L$9,1+MATCH(产出预期!$M257,梦灵养成!$Q$10:$Q$15,1),0)+梦灵养成!D576+SUMPRODUCT(--(梦灵养成!$Q$10:$Q$15&lt;=产出预期!$M257),梦灵养成!L$10:L$15,梦灵养成!$P$10:$P$15))/MAX(SUMPRODUCT(--(梦灵养成!$C$10:$C$31&lt;=产出预期!$M257),--(梦灵养成!$E$10:$E$31=I$2)),1)*10,梦灵养成!AT$339:AT$387,1),0)</f>
        <v>49</v>
      </c>
      <c r="J240" s="45" cm="1">
        <f ca="1" t="array" ref="J240">IFERROR(MATCH(((产出预期!$M257-OFFSET(梦灵养成!$Q$9,MATCH(产出预期!$M257,梦灵养成!$Q$10:$Q$15,1),0))*OFFSET(梦灵养成!M$9,1+MATCH(产出预期!$M257,梦灵养成!$Q$10:$Q$15,1),0)+梦灵养成!E576+SUMPRODUCT(--(梦灵养成!$Q$10:$Q$15&lt;=产出预期!$M257),梦灵养成!M$10:M$15,梦灵养成!$P$10:$P$15))/MAX(SUMPRODUCT(--(梦灵养成!$C$10:$C$31&lt;=产出预期!$M257),--(梦灵养成!$E$10:$E$31=J$2)),1)*10,梦灵养成!AU$339:AU$387,1),0)</f>
        <v>49</v>
      </c>
      <c r="K240" s="45" cm="1">
        <f ca="1" t="array" ref="K240">IFERROR(MATCH(((产出预期!$M257-OFFSET(梦灵养成!$Q$9,MATCH(产出预期!$M257,梦灵养成!$Q$10:$Q$15,1),0))*OFFSET(梦灵养成!N$9,1+MATCH(产出预期!$M257,梦灵养成!$Q$10:$Q$15,1),0)+梦灵养成!F576+SUMPRODUCT(--(梦灵养成!$Q$10:$Q$15&lt;=产出预期!$M257),梦灵养成!N$10:N$15,梦灵养成!$P$10:$P$15))/MAX(SUMPRODUCT(--(梦灵养成!$C$10:$C$31&lt;=产出预期!$M257),--(梦灵养成!$E$10:$E$31=K$2)),1)*10,梦灵养成!AV$339:AV$387,1),0)</f>
        <v>49</v>
      </c>
      <c r="L240" s="45" cm="1">
        <f ca="1" t="array" ref="L240">IFERROR(MATCH(((产出预期!$M257-OFFSET(梦灵养成!$Q$9,MATCH(产出预期!$M257,梦灵养成!$Q$10:$Q$15,1),0))*OFFSET(梦灵养成!O$9,1+MATCH(产出预期!$M257,梦灵养成!$Q$10:$Q$15,1),0)+梦灵养成!G576+SUMPRODUCT(--(梦灵养成!$Q$10:$Q$15&lt;=产出预期!$M257),梦灵养成!O$10:O$15,梦灵养成!$P$10:$P$15))/MAX(SUMPRODUCT(--(梦灵养成!$C$10:$C$31&lt;=产出预期!$M257),--(梦灵养成!$E$10:$E$31=L$2)),1)*10,梦灵养成!AW$339:AW$388,1),0)</f>
        <v>50</v>
      </c>
      <c r="M240" s="45">
        <f ca="1">OFFSET(符文养成!$C$14,MATCH(C240,符文养成!$B$15:$B$44,1),0)</f>
        <v>30</v>
      </c>
      <c r="N240" s="45">
        <f ca="1">MATCH((产出预期!Z257*价值表!$F$53+产出预期!AA257*价值表!$F$54+产出预期!AD257*价值表!$F$57)/16/M240,符文养成!$G$15:$G$21,1)</f>
        <v>5</v>
      </c>
      <c r="O240" s="45">
        <f>MATCH(产出预期!O257,秘宝养成!$C$3:$C$14,1)</f>
        <v>11</v>
      </c>
    </row>
    <row r="241" ht="16.5" spans="2:15">
      <c r="B241" s="2">
        <v>239</v>
      </c>
      <c r="C241" s="2">
        <f ca="1">MATCH((OFFSET(产出预期!$C$3,0,产出预期!$B$1)*10+OFFSET(产出预期!$C$4,0,产出预期!$B$1)*10+OFFSET(产出预期!$C$7,0,产出预期!$B$1)*20)*B241/10*60,玩家等级!$E$3:$E$302,1)</f>
        <v>100</v>
      </c>
      <c r="D241" s="2">
        <f>MATCH(产出预期!P258/6,装备养成!$G$4:$G$303,1)</f>
        <v>143</v>
      </c>
      <c r="E241" s="2">
        <f>COUNTIF(产出预期!$R258:$Y258,"&gt;"&amp;0)</f>
        <v>8</v>
      </c>
      <c r="F241" s="2">
        <f ca="1">MATCH(OFFSET(产出预期!$R$19,B241,E241-1),装备养成!$S$4:$S$9,1)</f>
        <v>6</v>
      </c>
      <c r="G241" s="2" t="str">
        <f ca="1">OFFSET(梦灵养成!$D$9,MATCH(梦灵养成!C272,梦灵养成!$C$10:$C$28,1),0)</f>
        <v>我爱沙</v>
      </c>
      <c r="H241" s="2" t="str">
        <f ca="1">OFFSET(梦灵养成!$I$9,MATCH(梦灵养成!C272,梦灵养成!$C$10:$C$28,1),0)</f>
        <v>后羿</v>
      </c>
      <c r="I241" s="45" cm="1">
        <f ca="1" t="array" ref="I241">IFERROR(MATCH(((产出预期!$M258-OFFSET(梦灵养成!$Q$9,MATCH(产出预期!$M258,梦灵养成!$Q$10:$Q$15,1),0))*OFFSET(梦灵养成!L$9,1+MATCH(产出预期!$M258,梦灵养成!$Q$10:$Q$15,1),0)+梦灵养成!D577+SUMPRODUCT(--(梦灵养成!$Q$10:$Q$15&lt;=产出预期!$M258),梦灵养成!L$10:L$15,梦灵养成!$P$10:$P$15))/MAX(SUMPRODUCT(--(梦灵养成!$C$10:$C$31&lt;=产出预期!$M258),--(梦灵养成!$E$10:$E$31=I$2)),1)*10,梦灵养成!AT$339:AT$387,1),0)</f>
        <v>49</v>
      </c>
      <c r="J241" s="45" cm="1">
        <f ca="1" t="array" ref="J241">IFERROR(MATCH(((产出预期!$M258-OFFSET(梦灵养成!$Q$9,MATCH(产出预期!$M258,梦灵养成!$Q$10:$Q$15,1),0))*OFFSET(梦灵养成!M$9,1+MATCH(产出预期!$M258,梦灵养成!$Q$10:$Q$15,1),0)+梦灵养成!E577+SUMPRODUCT(--(梦灵养成!$Q$10:$Q$15&lt;=产出预期!$M258),梦灵养成!M$10:M$15,梦灵养成!$P$10:$P$15))/MAX(SUMPRODUCT(--(梦灵养成!$C$10:$C$31&lt;=产出预期!$M258),--(梦灵养成!$E$10:$E$31=J$2)),1)*10,梦灵养成!AU$339:AU$387,1),0)</f>
        <v>49</v>
      </c>
      <c r="K241" s="45" cm="1">
        <f ca="1" t="array" ref="K241">IFERROR(MATCH(((产出预期!$M258-OFFSET(梦灵养成!$Q$9,MATCH(产出预期!$M258,梦灵养成!$Q$10:$Q$15,1),0))*OFFSET(梦灵养成!N$9,1+MATCH(产出预期!$M258,梦灵养成!$Q$10:$Q$15,1),0)+梦灵养成!F577+SUMPRODUCT(--(梦灵养成!$Q$10:$Q$15&lt;=产出预期!$M258),梦灵养成!N$10:N$15,梦灵养成!$P$10:$P$15))/MAX(SUMPRODUCT(--(梦灵养成!$C$10:$C$31&lt;=产出预期!$M258),--(梦灵养成!$E$10:$E$31=K$2)),1)*10,梦灵养成!AV$339:AV$387,1),0)</f>
        <v>49</v>
      </c>
      <c r="L241" s="45" cm="1">
        <f ca="1" t="array" ref="L241">IFERROR(MATCH(((产出预期!$M258-OFFSET(梦灵养成!$Q$9,MATCH(产出预期!$M258,梦灵养成!$Q$10:$Q$15,1),0))*OFFSET(梦灵养成!O$9,1+MATCH(产出预期!$M258,梦灵养成!$Q$10:$Q$15,1),0)+梦灵养成!G577+SUMPRODUCT(--(梦灵养成!$Q$10:$Q$15&lt;=产出预期!$M258),梦灵养成!O$10:O$15,梦灵养成!$P$10:$P$15))/MAX(SUMPRODUCT(--(梦灵养成!$C$10:$C$31&lt;=产出预期!$M258),--(梦灵养成!$E$10:$E$31=L$2)),1)*10,梦灵养成!AW$339:AW$388,1),0)</f>
        <v>50</v>
      </c>
      <c r="M241" s="45">
        <f ca="1">OFFSET(符文养成!$C$14,MATCH(C241,符文养成!$B$15:$B$44,1),0)</f>
        <v>30</v>
      </c>
      <c r="N241" s="45">
        <f ca="1">MATCH((产出预期!Z258*价值表!$F$53+产出预期!AA258*价值表!$F$54+产出预期!AD258*价值表!$F$57)/16/M241,符文养成!$G$15:$G$21,1)</f>
        <v>5</v>
      </c>
      <c r="O241" s="45">
        <f>MATCH(产出预期!O258,秘宝养成!$C$3:$C$14,1)</f>
        <v>11</v>
      </c>
    </row>
    <row r="242" ht="16.5" spans="2:15">
      <c r="B242" s="2">
        <v>240</v>
      </c>
      <c r="C242" s="2">
        <f ca="1">MATCH((OFFSET(产出预期!$C$3,0,产出预期!$B$1)*10+OFFSET(产出预期!$C$4,0,产出预期!$B$1)*10+OFFSET(产出预期!$C$7,0,产出预期!$B$1)*20)*B242/10*60,玩家等级!$E$3:$E$302,1)</f>
        <v>100</v>
      </c>
      <c r="D242" s="2">
        <f>MATCH(产出预期!P259/6,装备养成!$G$4:$G$303,1)</f>
        <v>144</v>
      </c>
      <c r="E242" s="2">
        <f>COUNTIF(产出预期!$R259:$Y259,"&gt;"&amp;0)</f>
        <v>8</v>
      </c>
      <c r="F242" s="2">
        <f ca="1">MATCH(OFFSET(产出预期!$R$19,B242,E242-1),装备养成!$S$4:$S$9,1)</f>
        <v>6</v>
      </c>
      <c r="G242" s="2" t="str">
        <f ca="1">OFFSET(梦灵养成!$D$9,MATCH(梦灵养成!C273,梦灵养成!$C$10:$C$28,1),0)</f>
        <v>我爱沙</v>
      </c>
      <c r="H242" s="2" t="str">
        <f ca="1">OFFSET(梦灵养成!$I$9,MATCH(梦灵养成!C273,梦灵养成!$C$10:$C$28,1),0)</f>
        <v>后羿</v>
      </c>
      <c r="I242" s="45" cm="1">
        <f ca="1" t="array" ref="I242">IFERROR(MATCH(((产出预期!$M259-OFFSET(梦灵养成!$Q$9,MATCH(产出预期!$M259,梦灵养成!$Q$10:$Q$15,1),0))*OFFSET(梦灵养成!L$9,1+MATCH(产出预期!$M259,梦灵养成!$Q$10:$Q$15,1),0)+梦灵养成!D578+SUMPRODUCT(--(梦灵养成!$Q$10:$Q$15&lt;=产出预期!$M259),梦灵养成!L$10:L$15,梦灵养成!$P$10:$P$15))/MAX(SUMPRODUCT(--(梦灵养成!$C$10:$C$31&lt;=产出预期!$M259),--(梦灵养成!$E$10:$E$31=I$2)),1)*10,梦灵养成!AT$339:AT$387,1),0)</f>
        <v>49</v>
      </c>
      <c r="J242" s="45" cm="1">
        <f ca="1" t="array" ref="J242">IFERROR(MATCH(((产出预期!$M259-OFFSET(梦灵养成!$Q$9,MATCH(产出预期!$M259,梦灵养成!$Q$10:$Q$15,1),0))*OFFSET(梦灵养成!M$9,1+MATCH(产出预期!$M259,梦灵养成!$Q$10:$Q$15,1),0)+梦灵养成!E578+SUMPRODUCT(--(梦灵养成!$Q$10:$Q$15&lt;=产出预期!$M259),梦灵养成!M$10:M$15,梦灵养成!$P$10:$P$15))/MAX(SUMPRODUCT(--(梦灵养成!$C$10:$C$31&lt;=产出预期!$M259),--(梦灵养成!$E$10:$E$31=J$2)),1)*10,梦灵养成!AU$339:AU$387,1),0)</f>
        <v>49</v>
      </c>
      <c r="K242" s="45" cm="1">
        <f ca="1" t="array" ref="K242">IFERROR(MATCH(((产出预期!$M259-OFFSET(梦灵养成!$Q$9,MATCH(产出预期!$M259,梦灵养成!$Q$10:$Q$15,1),0))*OFFSET(梦灵养成!N$9,1+MATCH(产出预期!$M259,梦灵养成!$Q$10:$Q$15,1),0)+梦灵养成!F578+SUMPRODUCT(--(梦灵养成!$Q$10:$Q$15&lt;=产出预期!$M259),梦灵养成!N$10:N$15,梦灵养成!$P$10:$P$15))/MAX(SUMPRODUCT(--(梦灵养成!$C$10:$C$31&lt;=产出预期!$M259),--(梦灵养成!$E$10:$E$31=K$2)),1)*10,梦灵养成!AV$339:AV$387,1),0)</f>
        <v>49</v>
      </c>
      <c r="L242" s="45" cm="1">
        <f ca="1" t="array" ref="L242">IFERROR(MATCH(((产出预期!$M259-OFFSET(梦灵养成!$Q$9,MATCH(产出预期!$M259,梦灵养成!$Q$10:$Q$15,1),0))*OFFSET(梦灵养成!O$9,1+MATCH(产出预期!$M259,梦灵养成!$Q$10:$Q$15,1),0)+梦灵养成!G578+SUMPRODUCT(--(梦灵养成!$Q$10:$Q$15&lt;=产出预期!$M259),梦灵养成!O$10:O$15,梦灵养成!$P$10:$P$15))/MAX(SUMPRODUCT(--(梦灵养成!$C$10:$C$31&lt;=产出预期!$M259),--(梦灵养成!$E$10:$E$31=L$2)),1)*10,梦灵养成!AW$339:AW$388,1),0)</f>
        <v>50</v>
      </c>
      <c r="M242" s="45">
        <f ca="1">OFFSET(符文养成!$C$14,MATCH(C242,符文养成!$B$15:$B$44,1),0)</f>
        <v>30</v>
      </c>
      <c r="N242" s="45">
        <f ca="1">MATCH((产出预期!Z259*价值表!$F$53+产出预期!AA259*价值表!$F$54+产出预期!AD259*价值表!$F$57)/16/M242,符文养成!$G$15:$G$21,1)</f>
        <v>5</v>
      </c>
      <c r="O242" s="45">
        <f>MATCH(产出预期!O259,秘宝养成!$C$3:$C$14,1)</f>
        <v>11</v>
      </c>
    </row>
    <row r="243" ht="16.5" spans="2:15">
      <c r="B243" s="2">
        <v>241</v>
      </c>
      <c r="C243" s="2">
        <f ca="1">MATCH((OFFSET(产出预期!$C$3,0,产出预期!$B$1)*10+OFFSET(产出预期!$C$4,0,产出预期!$B$1)*10+OFFSET(产出预期!$C$7,0,产出预期!$B$1)*20)*B243/10*60,玩家等级!$E$3:$E$302,1)</f>
        <v>100</v>
      </c>
      <c r="D243" s="2">
        <f>MATCH(产出预期!P260/6,装备养成!$G$4:$G$303,1)</f>
        <v>144</v>
      </c>
      <c r="E243" s="2">
        <f>COUNTIF(产出预期!$R260:$Y260,"&gt;"&amp;0)</f>
        <v>8</v>
      </c>
      <c r="F243" s="2">
        <f ca="1">MATCH(OFFSET(产出预期!$R$19,B243,E243-1),装备养成!$S$4:$S$9,1)</f>
        <v>6</v>
      </c>
      <c r="G243" s="2" t="str">
        <f ca="1">OFFSET(梦灵养成!$D$9,MATCH(梦灵养成!C274,梦灵养成!$C$10:$C$28,1),0)</f>
        <v>我爱沙</v>
      </c>
      <c r="H243" s="2" t="str">
        <f ca="1">OFFSET(梦灵养成!$I$9,MATCH(梦灵养成!C274,梦灵养成!$C$10:$C$28,1),0)</f>
        <v>后羿</v>
      </c>
      <c r="I243" s="45" cm="1">
        <f ca="1" t="array" ref="I243">IFERROR(MATCH(((产出预期!$M260-OFFSET(梦灵养成!$Q$9,MATCH(产出预期!$M260,梦灵养成!$Q$10:$Q$15,1),0))*OFFSET(梦灵养成!L$9,1+MATCH(产出预期!$M260,梦灵养成!$Q$10:$Q$15,1),0)+梦灵养成!D579+SUMPRODUCT(--(梦灵养成!$Q$10:$Q$15&lt;=产出预期!$M260),梦灵养成!L$10:L$15,梦灵养成!$P$10:$P$15))/MAX(SUMPRODUCT(--(梦灵养成!$C$10:$C$31&lt;=产出预期!$M260),--(梦灵养成!$E$10:$E$31=I$2)),1)*10,梦灵养成!AT$339:AT$387,1),0)</f>
        <v>49</v>
      </c>
      <c r="J243" s="45" cm="1">
        <f ca="1" t="array" ref="J243">IFERROR(MATCH(((产出预期!$M260-OFFSET(梦灵养成!$Q$9,MATCH(产出预期!$M260,梦灵养成!$Q$10:$Q$15,1),0))*OFFSET(梦灵养成!M$9,1+MATCH(产出预期!$M260,梦灵养成!$Q$10:$Q$15,1),0)+梦灵养成!E579+SUMPRODUCT(--(梦灵养成!$Q$10:$Q$15&lt;=产出预期!$M260),梦灵养成!M$10:M$15,梦灵养成!$P$10:$P$15))/MAX(SUMPRODUCT(--(梦灵养成!$C$10:$C$31&lt;=产出预期!$M260),--(梦灵养成!$E$10:$E$31=J$2)),1)*10,梦灵养成!AU$339:AU$387,1),0)</f>
        <v>49</v>
      </c>
      <c r="K243" s="45" cm="1">
        <f ca="1" t="array" ref="K243">IFERROR(MATCH(((产出预期!$M260-OFFSET(梦灵养成!$Q$9,MATCH(产出预期!$M260,梦灵养成!$Q$10:$Q$15,1),0))*OFFSET(梦灵养成!N$9,1+MATCH(产出预期!$M260,梦灵养成!$Q$10:$Q$15,1),0)+梦灵养成!F579+SUMPRODUCT(--(梦灵养成!$Q$10:$Q$15&lt;=产出预期!$M260),梦灵养成!N$10:N$15,梦灵养成!$P$10:$P$15))/MAX(SUMPRODUCT(--(梦灵养成!$C$10:$C$31&lt;=产出预期!$M260),--(梦灵养成!$E$10:$E$31=K$2)),1)*10,梦灵养成!AV$339:AV$387,1),0)</f>
        <v>49</v>
      </c>
      <c r="L243" s="45" cm="1">
        <f ca="1" t="array" ref="L243">IFERROR(MATCH(((产出预期!$M260-OFFSET(梦灵养成!$Q$9,MATCH(产出预期!$M260,梦灵养成!$Q$10:$Q$15,1),0))*OFFSET(梦灵养成!O$9,1+MATCH(产出预期!$M260,梦灵养成!$Q$10:$Q$15,1),0)+梦灵养成!G579+SUMPRODUCT(--(梦灵养成!$Q$10:$Q$15&lt;=产出预期!$M260),梦灵养成!O$10:O$15,梦灵养成!$P$10:$P$15))/MAX(SUMPRODUCT(--(梦灵养成!$C$10:$C$31&lt;=产出预期!$M260),--(梦灵养成!$E$10:$E$31=L$2)),1)*10,梦灵养成!AW$339:AW$388,1),0)</f>
        <v>50</v>
      </c>
      <c r="M243" s="45">
        <f ca="1">OFFSET(符文养成!$C$14,MATCH(C243,符文养成!$B$15:$B$44,1),0)</f>
        <v>30</v>
      </c>
      <c r="N243" s="45">
        <f ca="1">MATCH((产出预期!Z260*价值表!$F$53+产出预期!AA260*价值表!$F$54+产出预期!AD260*价值表!$F$57)/16/M243,符文养成!$G$15:$G$21,1)</f>
        <v>5</v>
      </c>
      <c r="O243" s="45">
        <f>MATCH(产出预期!O260,秘宝养成!$C$3:$C$14,1)</f>
        <v>11</v>
      </c>
    </row>
    <row r="244" ht="16.5" spans="2:15">
      <c r="B244" s="2">
        <v>242</v>
      </c>
      <c r="C244" s="2">
        <f ca="1">MATCH((OFFSET(产出预期!$C$3,0,产出预期!$B$1)*10+OFFSET(产出预期!$C$4,0,产出预期!$B$1)*10+OFFSET(产出预期!$C$7,0,产出预期!$B$1)*20)*B244/10*60,玩家等级!$E$3:$E$302,1)</f>
        <v>100</v>
      </c>
      <c r="D244" s="2">
        <f>MATCH(产出预期!P261/6,装备养成!$G$4:$G$303,1)</f>
        <v>144</v>
      </c>
      <c r="E244" s="2">
        <f>COUNTIF(产出预期!$R261:$Y261,"&gt;"&amp;0)</f>
        <v>8</v>
      </c>
      <c r="F244" s="2">
        <f ca="1">MATCH(OFFSET(产出预期!$R$19,B244,E244-1),装备养成!$S$4:$S$9,1)</f>
        <v>6</v>
      </c>
      <c r="G244" s="2" t="str">
        <f ca="1">OFFSET(梦灵养成!$D$9,MATCH(梦灵养成!C275,梦灵养成!$C$10:$C$28,1),0)</f>
        <v>我爱沙</v>
      </c>
      <c r="H244" s="2" t="str">
        <f ca="1">OFFSET(梦灵养成!$I$9,MATCH(梦灵养成!C275,梦灵养成!$C$10:$C$28,1),0)</f>
        <v>后羿</v>
      </c>
      <c r="I244" s="45" cm="1">
        <f ca="1" t="array" ref="I244">IFERROR(MATCH(((产出预期!$M261-OFFSET(梦灵养成!$Q$9,MATCH(产出预期!$M261,梦灵养成!$Q$10:$Q$15,1),0))*OFFSET(梦灵养成!L$9,1+MATCH(产出预期!$M261,梦灵养成!$Q$10:$Q$15,1),0)+梦灵养成!D580+SUMPRODUCT(--(梦灵养成!$Q$10:$Q$15&lt;=产出预期!$M261),梦灵养成!L$10:L$15,梦灵养成!$P$10:$P$15))/MAX(SUMPRODUCT(--(梦灵养成!$C$10:$C$31&lt;=产出预期!$M261),--(梦灵养成!$E$10:$E$31=I$2)),1)*10,梦灵养成!AT$339:AT$387,1),0)</f>
        <v>49</v>
      </c>
      <c r="J244" s="45" cm="1">
        <f ca="1" t="array" ref="J244">IFERROR(MATCH(((产出预期!$M261-OFFSET(梦灵养成!$Q$9,MATCH(产出预期!$M261,梦灵养成!$Q$10:$Q$15,1),0))*OFFSET(梦灵养成!M$9,1+MATCH(产出预期!$M261,梦灵养成!$Q$10:$Q$15,1),0)+梦灵养成!E580+SUMPRODUCT(--(梦灵养成!$Q$10:$Q$15&lt;=产出预期!$M261),梦灵养成!M$10:M$15,梦灵养成!$P$10:$P$15))/MAX(SUMPRODUCT(--(梦灵养成!$C$10:$C$31&lt;=产出预期!$M261),--(梦灵养成!$E$10:$E$31=J$2)),1)*10,梦灵养成!AU$339:AU$387,1),0)</f>
        <v>49</v>
      </c>
      <c r="K244" s="45" cm="1">
        <f ca="1" t="array" ref="K244">IFERROR(MATCH(((产出预期!$M261-OFFSET(梦灵养成!$Q$9,MATCH(产出预期!$M261,梦灵养成!$Q$10:$Q$15,1),0))*OFFSET(梦灵养成!N$9,1+MATCH(产出预期!$M261,梦灵养成!$Q$10:$Q$15,1),0)+梦灵养成!F580+SUMPRODUCT(--(梦灵养成!$Q$10:$Q$15&lt;=产出预期!$M261),梦灵养成!N$10:N$15,梦灵养成!$P$10:$P$15))/MAX(SUMPRODUCT(--(梦灵养成!$C$10:$C$31&lt;=产出预期!$M261),--(梦灵养成!$E$10:$E$31=K$2)),1)*10,梦灵养成!AV$339:AV$387,1),0)</f>
        <v>49</v>
      </c>
      <c r="L244" s="45" cm="1">
        <f ca="1" t="array" ref="L244">IFERROR(MATCH(((产出预期!$M261-OFFSET(梦灵养成!$Q$9,MATCH(产出预期!$M261,梦灵养成!$Q$10:$Q$15,1),0))*OFFSET(梦灵养成!O$9,1+MATCH(产出预期!$M261,梦灵养成!$Q$10:$Q$15,1),0)+梦灵养成!G580+SUMPRODUCT(--(梦灵养成!$Q$10:$Q$15&lt;=产出预期!$M261),梦灵养成!O$10:O$15,梦灵养成!$P$10:$P$15))/MAX(SUMPRODUCT(--(梦灵养成!$C$10:$C$31&lt;=产出预期!$M261),--(梦灵养成!$E$10:$E$31=L$2)),1)*10,梦灵养成!AW$339:AW$388,1),0)</f>
        <v>50</v>
      </c>
      <c r="M244" s="45">
        <f ca="1">OFFSET(符文养成!$C$14,MATCH(C244,符文养成!$B$15:$B$44,1),0)</f>
        <v>30</v>
      </c>
      <c r="N244" s="45">
        <f ca="1">MATCH((产出预期!Z261*价值表!$F$53+产出预期!AA261*价值表!$F$54+产出预期!AD261*价值表!$F$57)/16/M244,符文养成!$G$15:$G$21,1)</f>
        <v>5</v>
      </c>
      <c r="O244" s="45">
        <f>MATCH(产出预期!O261,秘宝养成!$C$3:$C$14,1)</f>
        <v>11</v>
      </c>
    </row>
    <row r="245" ht="16.5" spans="2:15">
      <c r="B245" s="2">
        <v>243</v>
      </c>
      <c r="C245" s="2">
        <f ca="1">MATCH((OFFSET(产出预期!$C$3,0,产出预期!$B$1)*10+OFFSET(产出预期!$C$4,0,产出预期!$B$1)*10+OFFSET(产出预期!$C$7,0,产出预期!$B$1)*20)*B245/10*60,玩家等级!$E$3:$E$302,1)</f>
        <v>100</v>
      </c>
      <c r="D245" s="2">
        <f>MATCH(产出预期!P262/6,装备养成!$G$4:$G$303,1)</f>
        <v>144</v>
      </c>
      <c r="E245" s="2">
        <f>COUNTIF(产出预期!$R262:$Y262,"&gt;"&amp;0)</f>
        <v>8</v>
      </c>
      <c r="F245" s="2">
        <f ca="1">MATCH(OFFSET(产出预期!$R$19,B245,E245-1),装备养成!$S$4:$S$9,1)</f>
        <v>6</v>
      </c>
      <c r="G245" s="2" t="str">
        <f ca="1">OFFSET(梦灵养成!$D$9,MATCH(梦灵养成!C276,梦灵养成!$C$10:$C$28,1),0)</f>
        <v>我爱沙</v>
      </c>
      <c r="H245" s="2" t="str">
        <f ca="1">OFFSET(梦灵养成!$I$9,MATCH(梦灵养成!C276,梦灵养成!$C$10:$C$28,1),0)</f>
        <v>后羿</v>
      </c>
      <c r="I245" s="45" cm="1">
        <f ca="1" t="array" ref="I245">IFERROR(MATCH(((产出预期!$M262-OFFSET(梦灵养成!$Q$9,MATCH(产出预期!$M262,梦灵养成!$Q$10:$Q$15,1),0))*OFFSET(梦灵养成!L$9,1+MATCH(产出预期!$M262,梦灵养成!$Q$10:$Q$15,1),0)+梦灵养成!D581+SUMPRODUCT(--(梦灵养成!$Q$10:$Q$15&lt;=产出预期!$M262),梦灵养成!L$10:L$15,梦灵养成!$P$10:$P$15))/MAX(SUMPRODUCT(--(梦灵养成!$C$10:$C$31&lt;=产出预期!$M262),--(梦灵养成!$E$10:$E$31=I$2)),1)*10,梦灵养成!AT$339:AT$387,1),0)</f>
        <v>49</v>
      </c>
      <c r="J245" s="45" cm="1">
        <f ca="1" t="array" ref="J245">IFERROR(MATCH(((产出预期!$M262-OFFSET(梦灵养成!$Q$9,MATCH(产出预期!$M262,梦灵养成!$Q$10:$Q$15,1),0))*OFFSET(梦灵养成!M$9,1+MATCH(产出预期!$M262,梦灵养成!$Q$10:$Q$15,1),0)+梦灵养成!E581+SUMPRODUCT(--(梦灵养成!$Q$10:$Q$15&lt;=产出预期!$M262),梦灵养成!M$10:M$15,梦灵养成!$P$10:$P$15))/MAX(SUMPRODUCT(--(梦灵养成!$C$10:$C$31&lt;=产出预期!$M262),--(梦灵养成!$E$10:$E$31=J$2)),1)*10,梦灵养成!AU$339:AU$387,1),0)</f>
        <v>49</v>
      </c>
      <c r="K245" s="45" cm="1">
        <f ca="1" t="array" ref="K245">IFERROR(MATCH(((产出预期!$M262-OFFSET(梦灵养成!$Q$9,MATCH(产出预期!$M262,梦灵养成!$Q$10:$Q$15,1),0))*OFFSET(梦灵养成!N$9,1+MATCH(产出预期!$M262,梦灵养成!$Q$10:$Q$15,1),0)+梦灵养成!F581+SUMPRODUCT(--(梦灵养成!$Q$10:$Q$15&lt;=产出预期!$M262),梦灵养成!N$10:N$15,梦灵养成!$P$10:$P$15))/MAX(SUMPRODUCT(--(梦灵养成!$C$10:$C$31&lt;=产出预期!$M262),--(梦灵养成!$E$10:$E$31=K$2)),1)*10,梦灵养成!AV$339:AV$387,1),0)</f>
        <v>49</v>
      </c>
      <c r="L245" s="45" cm="1">
        <f ca="1" t="array" ref="L245">IFERROR(MATCH(((产出预期!$M262-OFFSET(梦灵养成!$Q$9,MATCH(产出预期!$M262,梦灵养成!$Q$10:$Q$15,1),0))*OFFSET(梦灵养成!O$9,1+MATCH(产出预期!$M262,梦灵养成!$Q$10:$Q$15,1),0)+梦灵养成!G581+SUMPRODUCT(--(梦灵养成!$Q$10:$Q$15&lt;=产出预期!$M262),梦灵养成!O$10:O$15,梦灵养成!$P$10:$P$15))/MAX(SUMPRODUCT(--(梦灵养成!$C$10:$C$31&lt;=产出预期!$M262),--(梦灵养成!$E$10:$E$31=L$2)),1)*10,梦灵养成!AW$339:AW$388,1),0)</f>
        <v>50</v>
      </c>
      <c r="M245" s="45">
        <f ca="1">OFFSET(符文养成!$C$14,MATCH(C245,符文养成!$B$15:$B$44,1),0)</f>
        <v>30</v>
      </c>
      <c r="N245" s="45">
        <f ca="1">MATCH((产出预期!Z262*价值表!$F$53+产出预期!AA262*价值表!$F$54+产出预期!AD262*价值表!$F$57)/16/M245,符文养成!$G$15:$G$21,1)</f>
        <v>5</v>
      </c>
      <c r="O245" s="45">
        <f>MATCH(产出预期!O262,秘宝养成!$C$3:$C$14,1)</f>
        <v>11</v>
      </c>
    </row>
    <row r="246" ht="16.5" spans="2:15">
      <c r="B246" s="2">
        <v>244</v>
      </c>
      <c r="C246" s="2">
        <f ca="1">MATCH((OFFSET(产出预期!$C$3,0,产出预期!$B$1)*10+OFFSET(产出预期!$C$4,0,产出预期!$B$1)*10+OFFSET(产出预期!$C$7,0,产出预期!$B$1)*20)*B246/10*60,玩家等级!$E$3:$E$302,1)</f>
        <v>100</v>
      </c>
      <c r="D246" s="2">
        <f>MATCH(产出预期!P263/6,装备养成!$G$4:$G$303,1)</f>
        <v>144</v>
      </c>
      <c r="E246" s="2">
        <f>COUNTIF(产出预期!$R263:$Y263,"&gt;"&amp;0)</f>
        <v>8</v>
      </c>
      <c r="F246" s="2">
        <f ca="1">MATCH(OFFSET(产出预期!$R$19,B246,E246-1),装备养成!$S$4:$S$9,1)</f>
        <v>6</v>
      </c>
      <c r="G246" s="2" t="str">
        <f ca="1">OFFSET(梦灵养成!$D$9,MATCH(梦灵养成!C277,梦灵养成!$C$10:$C$28,1),0)</f>
        <v>我爱沙</v>
      </c>
      <c r="H246" s="2" t="str">
        <f ca="1">OFFSET(梦灵养成!$I$9,MATCH(梦灵养成!C277,梦灵养成!$C$10:$C$28,1),0)</f>
        <v>后羿</v>
      </c>
      <c r="I246" s="45" cm="1">
        <f ca="1" t="array" ref="I246">IFERROR(MATCH(((产出预期!$M263-OFFSET(梦灵养成!$Q$9,MATCH(产出预期!$M263,梦灵养成!$Q$10:$Q$15,1),0))*OFFSET(梦灵养成!L$9,1+MATCH(产出预期!$M263,梦灵养成!$Q$10:$Q$15,1),0)+梦灵养成!D582+SUMPRODUCT(--(梦灵养成!$Q$10:$Q$15&lt;=产出预期!$M263),梦灵养成!L$10:L$15,梦灵养成!$P$10:$P$15))/MAX(SUMPRODUCT(--(梦灵养成!$C$10:$C$31&lt;=产出预期!$M263),--(梦灵养成!$E$10:$E$31=I$2)),1)*10,梦灵养成!AT$339:AT$387,1),0)</f>
        <v>49</v>
      </c>
      <c r="J246" s="45" cm="1">
        <f ca="1" t="array" ref="J246">IFERROR(MATCH(((产出预期!$M263-OFFSET(梦灵养成!$Q$9,MATCH(产出预期!$M263,梦灵养成!$Q$10:$Q$15,1),0))*OFFSET(梦灵养成!M$9,1+MATCH(产出预期!$M263,梦灵养成!$Q$10:$Q$15,1),0)+梦灵养成!E582+SUMPRODUCT(--(梦灵养成!$Q$10:$Q$15&lt;=产出预期!$M263),梦灵养成!M$10:M$15,梦灵养成!$P$10:$P$15))/MAX(SUMPRODUCT(--(梦灵养成!$C$10:$C$31&lt;=产出预期!$M263),--(梦灵养成!$E$10:$E$31=J$2)),1)*10,梦灵养成!AU$339:AU$387,1),0)</f>
        <v>49</v>
      </c>
      <c r="K246" s="45" cm="1">
        <f ca="1" t="array" ref="K246">IFERROR(MATCH(((产出预期!$M263-OFFSET(梦灵养成!$Q$9,MATCH(产出预期!$M263,梦灵养成!$Q$10:$Q$15,1),0))*OFFSET(梦灵养成!N$9,1+MATCH(产出预期!$M263,梦灵养成!$Q$10:$Q$15,1),0)+梦灵养成!F582+SUMPRODUCT(--(梦灵养成!$Q$10:$Q$15&lt;=产出预期!$M263),梦灵养成!N$10:N$15,梦灵养成!$P$10:$P$15))/MAX(SUMPRODUCT(--(梦灵养成!$C$10:$C$31&lt;=产出预期!$M263),--(梦灵养成!$E$10:$E$31=K$2)),1)*10,梦灵养成!AV$339:AV$387,1),0)</f>
        <v>49</v>
      </c>
      <c r="L246" s="45" cm="1">
        <f ca="1" t="array" ref="L246">IFERROR(MATCH(((产出预期!$M263-OFFSET(梦灵养成!$Q$9,MATCH(产出预期!$M263,梦灵养成!$Q$10:$Q$15,1),0))*OFFSET(梦灵养成!O$9,1+MATCH(产出预期!$M263,梦灵养成!$Q$10:$Q$15,1),0)+梦灵养成!G582+SUMPRODUCT(--(梦灵养成!$Q$10:$Q$15&lt;=产出预期!$M263),梦灵养成!O$10:O$15,梦灵养成!$P$10:$P$15))/MAX(SUMPRODUCT(--(梦灵养成!$C$10:$C$31&lt;=产出预期!$M263),--(梦灵养成!$E$10:$E$31=L$2)),1)*10,梦灵养成!AW$339:AW$388,1),0)</f>
        <v>50</v>
      </c>
      <c r="M246" s="45">
        <f ca="1">OFFSET(符文养成!$C$14,MATCH(C246,符文养成!$B$15:$B$44,1),0)</f>
        <v>30</v>
      </c>
      <c r="N246" s="45">
        <f ca="1">MATCH((产出预期!Z263*价值表!$F$53+产出预期!AA263*价值表!$F$54+产出预期!AD263*价值表!$F$57)/16/M246,符文养成!$G$15:$G$21,1)</f>
        <v>5</v>
      </c>
      <c r="O246" s="45">
        <f>MATCH(产出预期!O263,秘宝养成!$C$3:$C$14,1)</f>
        <v>11</v>
      </c>
    </row>
    <row r="247" ht="16.5" spans="2:15">
      <c r="B247" s="2">
        <v>245</v>
      </c>
      <c r="C247" s="2">
        <f ca="1">MATCH((OFFSET(产出预期!$C$3,0,产出预期!$B$1)*10+OFFSET(产出预期!$C$4,0,产出预期!$B$1)*10+OFFSET(产出预期!$C$7,0,产出预期!$B$1)*20)*B247/10*60,玩家等级!$E$3:$E$302,1)</f>
        <v>100</v>
      </c>
      <c r="D247" s="2">
        <f>MATCH(产出预期!P264/6,装备养成!$G$4:$G$303,1)</f>
        <v>145</v>
      </c>
      <c r="E247" s="2">
        <f>COUNTIF(产出预期!$R264:$Y264,"&gt;"&amp;0)</f>
        <v>8</v>
      </c>
      <c r="F247" s="2">
        <f ca="1">MATCH(OFFSET(产出预期!$R$19,B247,E247-1),装备养成!$S$4:$S$9,1)</f>
        <v>6</v>
      </c>
      <c r="G247" s="2" t="str">
        <f ca="1">OFFSET(梦灵养成!$D$9,MATCH(梦灵养成!C278,梦灵养成!$C$10:$C$28,1),0)</f>
        <v>我爱沙</v>
      </c>
      <c r="H247" s="2" t="str">
        <f ca="1">OFFSET(梦灵养成!$I$9,MATCH(梦灵养成!C278,梦灵养成!$C$10:$C$28,1),0)</f>
        <v>后羿</v>
      </c>
      <c r="I247" s="45" cm="1">
        <f ca="1" t="array" ref="I247">IFERROR(MATCH(((产出预期!$M264-OFFSET(梦灵养成!$Q$9,MATCH(产出预期!$M264,梦灵养成!$Q$10:$Q$15,1),0))*OFFSET(梦灵养成!L$9,1+MATCH(产出预期!$M264,梦灵养成!$Q$10:$Q$15,1),0)+梦灵养成!D583+SUMPRODUCT(--(梦灵养成!$Q$10:$Q$15&lt;=产出预期!$M264),梦灵养成!L$10:L$15,梦灵养成!$P$10:$P$15))/MAX(SUMPRODUCT(--(梦灵养成!$C$10:$C$31&lt;=产出预期!$M264),--(梦灵养成!$E$10:$E$31=I$2)),1)*10,梦灵养成!AT$339:AT$387,1),0)</f>
        <v>49</v>
      </c>
      <c r="J247" s="45" cm="1">
        <f ca="1" t="array" ref="J247">IFERROR(MATCH(((产出预期!$M264-OFFSET(梦灵养成!$Q$9,MATCH(产出预期!$M264,梦灵养成!$Q$10:$Q$15,1),0))*OFFSET(梦灵养成!M$9,1+MATCH(产出预期!$M264,梦灵养成!$Q$10:$Q$15,1),0)+梦灵养成!E583+SUMPRODUCT(--(梦灵养成!$Q$10:$Q$15&lt;=产出预期!$M264),梦灵养成!M$10:M$15,梦灵养成!$P$10:$P$15))/MAX(SUMPRODUCT(--(梦灵养成!$C$10:$C$31&lt;=产出预期!$M264),--(梦灵养成!$E$10:$E$31=J$2)),1)*10,梦灵养成!AU$339:AU$387,1),0)</f>
        <v>49</v>
      </c>
      <c r="K247" s="45" cm="1">
        <f ca="1" t="array" ref="K247">IFERROR(MATCH(((产出预期!$M264-OFFSET(梦灵养成!$Q$9,MATCH(产出预期!$M264,梦灵养成!$Q$10:$Q$15,1),0))*OFFSET(梦灵养成!N$9,1+MATCH(产出预期!$M264,梦灵养成!$Q$10:$Q$15,1),0)+梦灵养成!F583+SUMPRODUCT(--(梦灵养成!$Q$10:$Q$15&lt;=产出预期!$M264),梦灵养成!N$10:N$15,梦灵养成!$P$10:$P$15))/MAX(SUMPRODUCT(--(梦灵养成!$C$10:$C$31&lt;=产出预期!$M264),--(梦灵养成!$E$10:$E$31=K$2)),1)*10,梦灵养成!AV$339:AV$387,1),0)</f>
        <v>49</v>
      </c>
      <c r="L247" s="45" cm="1">
        <f ca="1" t="array" ref="L247">IFERROR(MATCH(((产出预期!$M264-OFFSET(梦灵养成!$Q$9,MATCH(产出预期!$M264,梦灵养成!$Q$10:$Q$15,1),0))*OFFSET(梦灵养成!O$9,1+MATCH(产出预期!$M264,梦灵养成!$Q$10:$Q$15,1),0)+梦灵养成!G583+SUMPRODUCT(--(梦灵养成!$Q$10:$Q$15&lt;=产出预期!$M264),梦灵养成!O$10:O$15,梦灵养成!$P$10:$P$15))/MAX(SUMPRODUCT(--(梦灵养成!$C$10:$C$31&lt;=产出预期!$M264),--(梦灵养成!$E$10:$E$31=L$2)),1)*10,梦灵养成!AW$339:AW$388,1),0)</f>
        <v>50</v>
      </c>
      <c r="M247" s="45">
        <f ca="1">OFFSET(符文养成!$C$14,MATCH(C247,符文养成!$B$15:$B$44,1),0)</f>
        <v>30</v>
      </c>
      <c r="N247" s="45">
        <f ca="1">MATCH((产出预期!Z264*价值表!$F$53+产出预期!AA264*价值表!$F$54+产出预期!AD264*价值表!$F$57)/16/M247,符文养成!$G$15:$G$21,1)</f>
        <v>5</v>
      </c>
      <c r="O247" s="45">
        <f>MATCH(产出预期!O264,秘宝养成!$C$3:$C$14,1)</f>
        <v>11</v>
      </c>
    </row>
    <row r="248" ht="16.5" spans="2:15">
      <c r="B248" s="2">
        <v>246</v>
      </c>
      <c r="C248" s="2">
        <f ca="1">MATCH((OFFSET(产出预期!$C$3,0,产出预期!$B$1)*10+OFFSET(产出预期!$C$4,0,产出预期!$B$1)*10+OFFSET(产出预期!$C$7,0,产出预期!$B$1)*20)*B248/10*60,玩家等级!$E$3:$E$302,1)</f>
        <v>101</v>
      </c>
      <c r="D248" s="2">
        <f>MATCH(产出预期!P265/6,装备养成!$G$4:$G$303,1)</f>
        <v>145</v>
      </c>
      <c r="E248" s="2">
        <f>COUNTIF(产出预期!$R265:$Y265,"&gt;"&amp;0)</f>
        <v>8</v>
      </c>
      <c r="F248" s="2">
        <f ca="1">MATCH(OFFSET(产出预期!$R$19,B248,E248-1),装备养成!$S$4:$S$9,1)</f>
        <v>6</v>
      </c>
      <c r="G248" s="2" t="str">
        <f ca="1">OFFSET(梦灵养成!$D$9,MATCH(梦灵养成!C279,梦灵养成!$C$10:$C$28,1),0)</f>
        <v>我爱沙</v>
      </c>
      <c r="H248" s="2" t="str">
        <f ca="1">OFFSET(梦灵养成!$I$9,MATCH(梦灵养成!C279,梦灵养成!$C$10:$C$28,1),0)</f>
        <v>后羿</v>
      </c>
      <c r="I248" s="45" cm="1">
        <f ca="1" t="array" ref="I248">IFERROR(MATCH(((产出预期!$M265-OFFSET(梦灵养成!$Q$9,MATCH(产出预期!$M265,梦灵养成!$Q$10:$Q$15,1),0))*OFFSET(梦灵养成!L$9,1+MATCH(产出预期!$M265,梦灵养成!$Q$10:$Q$15,1),0)+梦灵养成!D584+SUMPRODUCT(--(梦灵养成!$Q$10:$Q$15&lt;=产出预期!$M265),梦灵养成!L$10:L$15,梦灵养成!$P$10:$P$15))/MAX(SUMPRODUCT(--(梦灵养成!$C$10:$C$31&lt;=产出预期!$M265),--(梦灵养成!$E$10:$E$31=I$2)),1)*10,梦灵养成!AT$339:AT$387,1),0)</f>
        <v>49</v>
      </c>
      <c r="J248" s="45" cm="1">
        <f ca="1" t="array" ref="J248">IFERROR(MATCH(((产出预期!$M265-OFFSET(梦灵养成!$Q$9,MATCH(产出预期!$M265,梦灵养成!$Q$10:$Q$15,1),0))*OFFSET(梦灵养成!M$9,1+MATCH(产出预期!$M265,梦灵养成!$Q$10:$Q$15,1),0)+梦灵养成!E584+SUMPRODUCT(--(梦灵养成!$Q$10:$Q$15&lt;=产出预期!$M265),梦灵养成!M$10:M$15,梦灵养成!$P$10:$P$15))/MAX(SUMPRODUCT(--(梦灵养成!$C$10:$C$31&lt;=产出预期!$M265),--(梦灵养成!$E$10:$E$31=J$2)),1)*10,梦灵养成!AU$339:AU$387,1),0)</f>
        <v>49</v>
      </c>
      <c r="K248" s="45" cm="1">
        <f ca="1" t="array" ref="K248">IFERROR(MATCH(((产出预期!$M265-OFFSET(梦灵养成!$Q$9,MATCH(产出预期!$M265,梦灵养成!$Q$10:$Q$15,1),0))*OFFSET(梦灵养成!N$9,1+MATCH(产出预期!$M265,梦灵养成!$Q$10:$Q$15,1),0)+梦灵养成!F584+SUMPRODUCT(--(梦灵养成!$Q$10:$Q$15&lt;=产出预期!$M265),梦灵养成!N$10:N$15,梦灵养成!$P$10:$P$15))/MAX(SUMPRODUCT(--(梦灵养成!$C$10:$C$31&lt;=产出预期!$M265),--(梦灵养成!$E$10:$E$31=K$2)),1)*10,梦灵养成!AV$339:AV$387,1),0)</f>
        <v>49</v>
      </c>
      <c r="L248" s="45" cm="1">
        <f ca="1" t="array" ref="L248">IFERROR(MATCH(((产出预期!$M265-OFFSET(梦灵养成!$Q$9,MATCH(产出预期!$M265,梦灵养成!$Q$10:$Q$15,1),0))*OFFSET(梦灵养成!O$9,1+MATCH(产出预期!$M265,梦灵养成!$Q$10:$Q$15,1),0)+梦灵养成!G584+SUMPRODUCT(--(梦灵养成!$Q$10:$Q$15&lt;=产出预期!$M265),梦灵养成!O$10:O$15,梦灵养成!$P$10:$P$15))/MAX(SUMPRODUCT(--(梦灵养成!$C$10:$C$31&lt;=产出预期!$M265),--(梦灵养成!$E$10:$E$31=L$2)),1)*10,梦灵养成!AW$339:AW$388,1),0)</f>
        <v>50</v>
      </c>
      <c r="M248" s="45">
        <f ca="1">OFFSET(符文养成!$C$14,MATCH(C248,符文养成!$B$15:$B$44,1),0)</f>
        <v>30</v>
      </c>
      <c r="N248" s="45">
        <f ca="1">MATCH((产出预期!Z265*价值表!$F$53+产出预期!AA265*价值表!$F$54+产出预期!AD265*价值表!$F$57)/16/M248,符文养成!$G$15:$G$21,1)</f>
        <v>5</v>
      </c>
      <c r="O248" s="45">
        <f>MATCH(产出预期!O265,秘宝养成!$C$3:$C$14,1)</f>
        <v>11</v>
      </c>
    </row>
    <row r="249" ht="16.5" spans="2:15">
      <c r="B249" s="2">
        <v>247</v>
      </c>
      <c r="C249" s="2">
        <f ca="1">MATCH((OFFSET(产出预期!$C$3,0,产出预期!$B$1)*10+OFFSET(产出预期!$C$4,0,产出预期!$B$1)*10+OFFSET(产出预期!$C$7,0,产出预期!$B$1)*20)*B249/10*60,玩家等级!$E$3:$E$302,1)</f>
        <v>101</v>
      </c>
      <c r="D249" s="2">
        <f>MATCH(产出预期!P266/6,装备养成!$G$4:$G$303,1)</f>
        <v>145</v>
      </c>
      <c r="E249" s="2">
        <f>COUNTIF(产出预期!$R266:$Y266,"&gt;"&amp;0)</f>
        <v>8</v>
      </c>
      <c r="F249" s="2">
        <f ca="1">MATCH(OFFSET(产出预期!$R$19,B249,E249-1),装备养成!$S$4:$S$9,1)</f>
        <v>6</v>
      </c>
      <c r="G249" s="2" t="str">
        <f ca="1">OFFSET(梦灵养成!$D$9,MATCH(梦灵养成!C280,梦灵养成!$C$10:$C$28,1),0)</f>
        <v>我爱沙</v>
      </c>
      <c r="H249" s="2" t="str">
        <f ca="1">OFFSET(梦灵养成!$I$9,MATCH(梦灵养成!C280,梦灵养成!$C$10:$C$28,1),0)</f>
        <v>后羿</v>
      </c>
      <c r="I249" s="45" cm="1">
        <f ca="1" t="array" ref="I249">IFERROR(MATCH(((产出预期!$M266-OFFSET(梦灵养成!$Q$9,MATCH(产出预期!$M266,梦灵养成!$Q$10:$Q$15,1),0))*OFFSET(梦灵养成!L$9,1+MATCH(产出预期!$M266,梦灵养成!$Q$10:$Q$15,1),0)+梦灵养成!D585+SUMPRODUCT(--(梦灵养成!$Q$10:$Q$15&lt;=产出预期!$M266),梦灵养成!L$10:L$15,梦灵养成!$P$10:$P$15))/MAX(SUMPRODUCT(--(梦灵养成!$C$10:$C$31&lt;=产出预期!$M266),--(梦灵养成!$E$10:$E$31=I$2)),1)*10,梦灵养成!AT$339:AT$387,1),0)</f>
        <v>49</v>
      </c>
      <c r="J249" s="45" cm="1">
        <f ca="1" t="array" ref="J249">IFERROR(MATCH(((产出预期!$M266-OFFSET(梦灵养成!$Q$9,MATCH(产出预期!$M266,梦灵养成!$Q$10:$Q$15,1),0))*OFFSET(梦灵养成!M$9,1+MATCH(产出预期!$M266,梦灵养成!$Q$10:$Q$15,1),0)+梦灵养成!E585+SUMPRODUCT(--(梦灵养成!$Q$10:$Q$15&lt;=产出预期!$M266),梦灵养成!M$10:M$15,梦灵养成!$P$10:$P$15))/MAX(SUMPRODUCT(--(梦灵养成!$C$10:$C$31&lt;=产出预期!$M266),--(梦灵养成!$E$10:$E$31=J$2)),1)*10,梦灵养成!AU$339:AU$387,1),0)</f>
        <v>49</v>
      </c>
      <c r="K249" s="45" cm="1">
        <f ca="1" t="array" ref="K249">IFERROR(MATCH(((产出预期!$M266-OFFSET(梦灵养成!$Q$9,MATCH(产出预期!$M266,梦灵养成!$Q$10:$Q$15,1),0))*OFFSET(梦灵养成!N$9,1+MATCH(产出预期!$M266,梦灵养成!$Q$10:$Q$15,1),0)+梦灵养成!F585+SUMPRODUCT(--(梦灵养成!$Q$10:$Q$15&lt;=产出预期!$M266),梦灵养成!N$10:N$15,梦灵养成!$P$10:$P$15))/MAX(SUMPRODUCT(--(梦灵养成!$C$10:$C$31&lt;=产出预期!$M266),--(梦灵养成!$E$10:$E$31=K$2)),1)*10,梦灵养成!AV$339:AV$387,1),0)</f>
        <v>49</v>
      </c>
      <c r="L249" s="45" cm="1">
        <f ca="1" t="array" ref="L249">IFERROR(MATCH(((产出预期!$M266-OFFSET(梦灵养成!$Q$9,MATCH(产出预期!$M266,梦灵养成!$Q$10:$Q$15,1),0))*OFFSET(梦灵养成!O$9,1+MATCH(产出预期!$M266,梦灵养成!$Q$10:$Q$15,1),0)+梦灵养成!G585+SUMPRODUCT(--(梦灵养成!$Q$10:$Q$15&lt;=产出预期!$M266),梦灵养成!O$10:O$15,梦灵养成!$P$10:$P$15))/MAX(SUMPRODUCT(--(梦灵养成!$C$10:$C$31&lt;=产出预期!$M266),--(梦灵养成!$E$10:$E$31=L$2)),1)*10,梦灵养成!AW$339:AW$388,1),0)</f>
        <v>50</v>
      </c>
      <c r="M249" s="45">
        <f ca="1">OFFSET(符文养成!$C$14,MATCH(C249,符文养成!$B$15:$B$44,1),0)</f>
        <v>30</v>
      </c>
      <c r="N249" s="45">
        <f ca="1">MATCH((产出预期!Z266*价值表!$F$53+产出预期!AA266*价值表!$F$54+产出预期!AD266*价值表!$F$57)/16/M249,符文养成!$G$15:$G$21,1)</f>
        <v>5</v>
      </c>
      <c r="O249" s="45">
        <f>MATCH(产出预期!O266,秘宝养成!$C$3:$C$14,1)</f>
        <v>11</v>
      </c>
    </row>
    <row r="250" ht="16.5" spans="2:15">
      <c r="B250" s="2">
        <v>248</v>
      </c>
      <c r="C250" s="2">
        <f ca="1">MATCH((OFFSET(产出预期!$C$3,0,产出预期!$B$1)*10+OFFSET(产出预期!$C$4,0,产出预期!$B$1)*10+OFFSET(产出预期!$C$7,0,产出预期!$B$1)*20)*B250/10*60,玩家等级!$E$3:$E$302,1)</f>
        <v>101</v>
      </c>
      <c r="D250" s="2">
        <f>MATCH(产出预期!P267/6,装备养成!$G$4:$G$303,1)</f>
        <v>145</v>
      </c>
      <c r="E250" s="2">
        <f>COUNTIF(产出预期!$R267:$Y267,"&gt;"&amp;0)</f>
        <v>8</v>
      </c>
      <c r="F250" s="2">
        <f ca="1">MATCH(OFFSET(产出预期!$R$19,B250,E250-1),装备养成!$S$4:$S$9,1)</f>
        <v>6</v>
      </c>
      <c r="G250" s="2" t="str">
        <f ca="1">OFFSET(梦灵养成!$D$9,MATCH(梦灵养成!C281,梦灵养成!$C$10:$C$28,1),0)</f>
        <v>我爱沙</v>
      </c>
      <c r="H250" s="2" t="str">
        <f ca="1">OFFSET(梦灵养成!$I$9,MATCH(梦灵养成!C281,梦灵养成!$C$10:$C$28,1),0)</f>
        <v>后羿</v>
      </c>
      <c r="I250" s="45" cm="1">
        <f ca="1" t="array" ref="I250">IFERROR(MATCH(((产出预期!$M267-OFFSET(梦灵养成!$Q$9,MATCH(产出预期!$M267,梦灵养成!$Q$10:$Q$15,1),0))*OFFSET(梦灵养成!L$9,1+MATCH(产出预期!$M267,梦灵养成!$Q$10:$Q$15,1),0)+梦灵养成!D586+SUMPRODUCT(--(梦灵养成!$Q$10:$Q$15&lt;=产出预期!$M267),梦灵养成!L$10:L$15,梦灵养成!$P$10:$P$15))/MAX(SUMPRODUCT(--(梦灵养成!$C$10:$C$31&lt;=产出预期!$M267),--(梦灵养成!$E$10:$E$31=I$2)),1)*10,梦灵养成!AT$339:AT$387,1),0)</f>
        <v>49</v>
      </c>
      <c r="J250" s="45" cm="1">
        <f ca="1" t="array" ref="J250">IFERROR(MATCH(((产出预期!$M267-OFFSET(梦灵养成!$Q$9,MATCH(产出预期!$M267,梦灵养成!$Q$10:$Q$15,1),0))*OFFSET(梦灵养成!M$9,1+MATCH(产出预期!$M267,梦灵养成!$Q$10:$Q$15,1),0)+梦灵养成!E586+SUMPRODUCT(--(梦灵养成!$Q$10:$Q$15&lt;=产出预期!$M267),梦灵养成!M$10:M$15,梦灵养成!$P$10:$P$15))/MAX(SUMPRODUCT(--(梦灵养成!$C$10:$C$31&lt;=产出预期!$M267),--(梦灵养成!$E$10:$E$31=J$2)),1)*10,梦灵养成!AU$339:AU$387,1),0)</f>
        <v>49</v>
      </c>
      <c r="K250" s="45" cm="1">
        <f ca="1" t="array" ref="K250">IFERROR(MATCH(((产出预期!$M267-OFFSET(梦灵养成!$Q$9,MATCH(产出预期!$M267,梦灵养成!$Q$10:$Q$15,1),0))*OFFSET(梦灵养成!N$9,1+MATCH(产出预期!$M267,梦灵养成!$Q$10:$Q$15,1),0)+梦灵养成!F586+SUMPRODUCT(--(梦灵养成!$Q$10:$Q$15&lt;=产出预期!$M267),梦灵养成!N$10:N$15,梦灵养成!$P$10:$P$15))/MAX(SUMPRODUCT(--(梦灵养成!$C$10:$C$31&lt;=产出预期!$M267),--(梦灵养成!$E$10:$E$31=K$2)),1)*10,梦灵养成!AV$339:AV$387,1),0)</f>
        <v>49</v>
      </c>
      <c r="L250" s="45" cm="1">
        <f ca="1" t="array" ref="L250">IFERROR(MATCH(((产出预期!$M267-OFFSET(梦灵养成!$Q$9,MATCH(产出预期!$M267,梦灵养成!$Q$10:$Q$15,1),0))*OFFSET(梦灵养成!O$9,1+MATCH(产出预期!$M267,梦灵养成!$Q$10:$Q$15,1),0)+梦灵养成!G586+SUMPRODUCT(--(梦灵养成!$Q$10:$Q$15&lt;=产出预期!$M267),梦灵养成!O$10:O$15,梦灵养成!$P$10:$P$15))/MAX(SUMPRODUCT(--(梦灵养成!$C$10:$C$31&lt;=产出预期!$M267),--(梦灵养成!$E$10:$E$31=L$2)),1)*10,梦灵养成!AW$339:AW$388,1),0)</f>
        <v>50</v>
      </c>
      <c r="M250" s="45">
        <f ca="1">OFFSET(符文养成!$C$14,MATCH(C250,符文养成!$B$15:$B$44,1),0)</f>
        <v>30</v>
      </c>
      <c r="N250" s="45">
        <f ca="1">MATCH((产出预期!Z267*价值表!$F$53+产出预期!AA267*价值表!$F$54+产出预期!AD267*价值表!$F$57)/16/M250,符文养成!$G$15:$G$21,1)</f>
        <v>5</v>
      </c>
      <c r="O250" s="45">
        <f>MATCH(产出预期!O267,秘宝养成!$C$3:$C$14,1)</f>
        <v>11</v>
      </c>
    </row>
    <row r="251" ht="16.5" spans="2:15">
      <c r="B251" s="2">
        <v>249</v>
      </c>
      <c r="C251" s="2">
        <f ca="1">MATCH((OFFSET(产出预期!$C$3,0,产出预期!$B$1)*10+OFFSET(产出预期!$C$4,0,产出预期!$B$1)*10+OFFSET(产出预期!$C$7,0,产出预期!$B$1)*20)*B251/10*60,玩家等级!$E$3:$E$302,1)</f>
        <v>101</v>
      </c>
      <c r="D251" s="2">
        <f>MATCH(产出预期!P268/6,装备养成!$G$4:$G$303,1)</f>
        <v>146</v>
      </c>
      <c r="E251" s="2">
        <f>COUNTIF(产出预期!$R268:$Y268,"&gt;"&amp;0)</f>
        <v>8</v>
      </c>
      <c r="F251" s="2">
        <f ca="1">MATCH(OFFSET(产出预期!$R$19,B251,E251-1),装备养成!$S$4:$S$9,1)</f>
        <v>6</v>
      </c>
      <c r="G251" s="2" t="str">
        <f ca="1">OFFSET(梦灵养成!$D$9,MATCH(梦灵养成!C282,梦灵养成!$C$10:$C$28,1),0)</f>
        <v>我爱沙</v>
      </c>
      <c r="H251" s="2" t="str">
        <f ca="1">OFFSET(梦灵养成!$I$9,MATCH(梦灵养成!C282,梦灵养成!$C$10:$C$28,1),0)</f>
        <v>后羿</v>
      </c>
      <c r="I251" s="45" cm="1">
        <f ca="1" t="array" ref="I251">IFERROR(MATCH(((产出预期!$M268-OFFSET(梦灵养成!$Q$9,MATCH(产出预期!$M268,梦灵养成!$Q$10:$Q$15,1),0))*OFFSET(梦灵养成!L$9,1+MATCH(产出预期!$M268,梦灵养成!$Q$10:$Q$15,1),0)+梦灵养成!D587+SUMPRODUCT(--(梦灵养成!$Q$10:$Q$15&lt;=产出预期!$M268),梦灵养成!L$10:L$15,梦灵养成!$P$10:$P$15))/MAX(SUMPRODUCT(--(梦灵养成!$C$10:$C$31&lt;=产出预期!$M268),--(梦灵养成!$E$10:$E$31=I$2)),1)*10,梦灵养成!AT$339:AT$387,1),0)</f>
        <v>49</v>
      </c>
      <c r="J251" s="45" cm="1">
        <f ca="1" t="array" ref="J251">IFERROR(MATCH(((产出预期!$M268-OFFSET(梦灵养成!$Q$9,MATCH(产出预期!$M268,梦灵养成!$Q$10:$Q$15,1),0))*OFFSET(梦灵养成!M$9,1+MATCH(产出预期!$M268,梦灵养成!$Q$10:$Q$15,1),0)+梦灵养成!E587+SUMPRODUCT(--(梦灵养成!$Q$10:$Q$15&lt;=产出预期!$M268),梦灵养成!M$10:M$15,梦灵养成!$P$10:$P$15))/MAX(SUMPRODUCT(--(梦灵养成!$C$10:$C$31&lt;=产出预期!$M268),--(梦灵养成!$E$10:$E$31=J$2)),1)*10,梦灵养成!AU$339:AU$387,1),0)</f>
        <v>49</v>
      </c>
      <c r="K251" s="45" cm="1">
        <f ca="1" t="array" ref="K251">IFERROR(MATCH(((产出预期!$M268-OFFSET(梦灵养成!$Q$9,MATCH(产出预期!$M268,梦灵养成!$Q$10:$Q$15,1),0))*OFFSET(梦灵养成!N$9,1+MATCH(产出预期!$M268,梦灵养成!$Q$10:$Q$15,1),0)+梦灵养成!F587+SUMPRODUCT(--(梦灵养成!$Q$10:$Q$15&lt;=产出预期!$M268),梦灵养成!N$10:N$15,梦灵养成!$P$10:$P$15))/MAX(SUMPRODUCT(--(梦灵养成!$C$10:$C$31&lt;=产出预期!$M268),--(梦灵养成!$E$10:$E$31=K$2)),1)*10,梦灵养成!AV$339:AV$387,1),0)</f>
        <v>49</v>
      </c>
      <c r="L251" s="45" cm="1">
        <f ca="1" t="array" ref="L251">IFERROR(MATCH(((产出预期!$M268-OFFSET(梦灵养成!$Q$9,MATCH(产出预期!$M268,梦灵养成!$Q$10:$Q$15,1),0))*OFFSET(梦灵养成!O$9,1+MATCH(产出预期!$M268,梦灵养成!$Q$10:$Q$15,1),0)+梦灵养成!G587+SUMPRODUCT(--(梦灵养成!$Q$10:$Q$15&lt;=产出预期!$M268),梦灵养成!O$10:O$15,梦灵养成!$P$10:$P$15))/MAX(SUMPRODUCT(--(梦灵养成!$C$10:$C$31&lt;=产出预期!$M268),--(梦灵养成!$E$10:$E$31=L$2)),1)*10,梦灵养成!AW$339:AW$388,1),0)</f>
        <v>50</v>
      </c>
      <c r="M251" s="45">
        <f ca="1">OFFSET(符文养成!$C$14,MATCH(C251,符文养成!$B$15:$B$44,1),0)</f>
        <v>30</v>
      </c>
      <c r="N251" s="45">
        <f ca="1">MATCH((产出预期!Z268*价值表!$F$53+产出预期!AA268*价值表!$F$54+产出预期!AD268*价值表!$F$57)/16/M251,符文养成!$G$15:$G$21,1)</f>
        <v>5</v>
      </c>
      <c r="O251" s="45">
        <f>MATCH(产出预期!O268,秘宝养成!$C$3:$C$14,1)</f>
        <v>11</v>
      </c>
    </row>
    <row r="252" ht="16.5" spans="2:15">
      <c r="B252" s="2">
        <v>250</v>
      </c>
      <c r="C252" s="2">
        <f ca="1">MATCH((OFFSET(产出预期!$C$3,0,产出预期!$B$1)*10+OFFSET(产出预期!$C$4,0,产出预期!$B$1)*10+OFFSET(产出预期!$C$7,0,产出预期!$B$1)*20)*B252/10*60,玩家等级!$E$3:$E$302,1)</f>
        <v>101</v>
      </c>
      <c r="D252" s="2">
        <f>MATCH(产出预期!P269/6,装备养成!$G$4:$G$303,1)</f>
        <v>146</v>
      </c>
      <c r="E252" s="2">
        <f>COUNTIF(产出预期!$R269:$Y269,"&gt;"&amp;0)</f>
        <v>8</v>
      </c>
      <c r="F252" s="2">
        <f ca="1">MATCH(OFFSET(产出预期!$R$19,B252,E252-1),装备养成!$S$4:$S$9,1)</f>
        <v>6</v>
      </c>
      <c r="G252" s="2" t="str">
        <f ca="1">OFFSET(梦灵养成!$D$9,MATCH(梦灵养成!C283,梦灵养成!$C$10:$C$28,1),0)</f>
        <v>我爱沙</v>
      </c>
      <c r="H252" s="2" t="str">
        <f ca="1">OFFSET(梦灵养成!$I$9,MATCH(梦灵养成!C283,梦灵养成!$C$10:$C$28,1),0)</f>
        <v>后羿</v>
      </c>
      <c r="I252" s="45" cm="1">
        <f ca="1" t="array" ref="I252">IFERROR(MATCH(((产出预期!$M269-OFFSET(梦灵养成!$Q$9,MATCH(产出预期!$M269,梦灵养成!$Q$10:$Q$15,1),0))*OFFSET(梦灵养成!L$9,1+MATCH(产出预期!$M269,梦灵养成!$Q$10:$Q$15,1),0)+梦灵养成!D588+SUMPRODUCT(--(梦灵养成!$Q$10:$Q$15&lt;=产出预期!$M269),梦灵养成!L$10:L$15,梦灵养成!$P$10:$P$15))/MAX(SUMPRODUCT(--(梦灵养成!$C$10:$C$31&lt;=产出预期!$M269),--(梦灵养成!$E$10:$E$31=I$2)),1)*10,梦灵养成!AT$339:AT$387,1),0)</f>
        <v>49</v>
      </c>
      <c r="J252" s="45" cm="1">
        <f ca="1" t="array" ref="J252">IFERROR(MATCH(((产出预期!$M269-OFFSET(梦灵养成!$Q$9,MATCH(产出预期!$M269,梦灵养成!$Q$10:$Q$15,1),0))*OFFSET(梦灵养成!M$9,1+MATCH(产出预期!$M269,梦灵养成!$Q$10:$Q$15,1),0)+梦灵养成!E588+SUMPRODUCT(--(梦灵养成!$Q$10:$Q$15&lt;=产出预期!$M269),梦灵养成!M$10:M$15,梦灵养成!$P$10:$P$15))/MAX(SUMPRODUCT(--(梦灵养成!$C$10:$C$31&lt;=产出预期!$M269),--(梦灵养成!$E$10:$E$31=J$2)),1)*10,梦灵养成!AU$339:AU$387,1),0)</f>
        <v>49</v>
      </c>
      <c r="K252" s="45" cm="1">
        <f ca="1" t="array" ref="K252">IFERROR(MATCH(((产出预期!$M269-OFFSET(梦灵养成!$Q$9,MATCH(产出预期!$M269,梦灵养成!$Q$10:$Q$15,1),0))*OFFSET(梦灵养成!N$9,1+MATCH(产出预期!$M269,梦灵养成!$Q$10:$Q$15,1),0)+梦灵养成!F588+SUMPRODUCT(--(梦灵养成!$Q$10:$Q$15&lt;=产出预期!$M269),梦灵养成!N$10:N$15,梦灵养成!$P$10:$P$15))/MAX(SUMPRODUCT(--(梦灵养成!$C$10:$C$31&lt;=产出预期!$M269),--(梦灵养成!$E$10:$E$31=K$2)),1)*10,梦灵养成!AV$339:AV$387,1),0)</f>
        <v>49</v>
      </c>
      <c r="L252" s="45" cm="1">
        <f ca="1" t="array" ref="L252">IFERROR(MATCH(((产出预期!$M269-OFFSET(梦灵养成!$Q$9,MATCH(产出预期!$M269,梦灵养成!$Q$10:$Q$15,1),0))*OFFSET(梦灵养成!O$9,1+MATCH(产出预期!$M269,梦灵养成!$Q$10:$Q$15,1),0)+梦灵养成!G588+SUMPRODUCT(--(梦灵养成!$Q$10:$Q$15&lt;=产出预期!$M269),梦灵养成!O$10:O$15,梦灵养成!$P$10:$P$15))/MAX(SUMPRODUCT(--(梦灵养成!$C$10:$C$31&lt;=产出预期!$M269),--(梦灵养成!$E$10:$E$31=L$2)),1)*10,梦灵养成!AW$339:AW$388,1),0)</f>
        <v>50</v>
      </c>
      <c r="M252" s="45">
        <f ca="1">OFFSET(符文养成!$C$14,MATCH(C252,符文养成!$B$15:$B$44,1),0)</f>
        <v>30</v>
      </c>
      <c r="N252" s="45">
        <f ca="1">MATCH((产出预期!Z269*价值表!$F$53+产出预期!AA269*价值表!$F$54+产出预期!AD269*价值表!$F$57)/16/M252,符文养成!$G$15:$G$21,1)</f>
        <v>5</v>
      </c>
      <c r="O252" s="45">
        <f>MATCH(产出预期!O269,秘宝养成!$C$3:$C$14,1)</f>
        <v>11</v>
      </c>
    </row>
    <row r="253" ht="16.5" spans="2:15">
      <c r="B253" s="2">
        <v>251</v>
      </c>
      <c r="C253" s="2">
        <f ca="1">MATCH((OFFSET(产出预期!$C$3,0,产出预期!$B$1)*10+OFFSET(产出预期!$C$4,0,产出预期!$B$1)*10+OFFSET(产出预期!$C$7,0,产出预期!$B$1)*20)*B253/10*60,玩家等级!$E$3:$E$302,1)</f>
        <v>101</v>
      </c>
      <c r="D253" s="2">
        <f>MATCH(产出预期!P270/6,装备养成!$G$4:$G$303,1)</f>
        <v>146</v>
      </c>
      <c r="E253" s="2">
        <f>COUNTIF(产出预期!$R270:$Y270,"&gt;"&amp;0)</f>
        <v>8</v>
      </c>
      <c r="F253" s="2">
        <f ca="1">MATCH(OFFSET(产出预期!$R$19,B253,E253-1),装备养成!$S$4:$S$9,1)</f>
        <v>6</v>
      </c>
      <c r="G253" s="2" t="str">
        <f ca="1">OFFSET(梦灵养成!$D$9,MATCH(梦灵养成!C284,梦灵养成!$C$10:$C$28,1),0)</f>
        <v>我爱沙</v>
      </c>
      <c r="H253" s="2" t="str">
        <f ca="1">OFFSET(梦灵养成!$I$9,MATCH(梦灵养成!C284,梦灵养成!$C$10:$C$28,1),0)</f>
        <v>后羿</v>
      </c>
      <c r="I253" s="45" cm="1">
        <f ca="1" t="array" ref="I253">IFERROR(MATCH(((产出预期!$M270-OFFSET(梦灵养成!$Q$9,MATCH(产出预期!$M270,梦灵养成!$Q$10:$Q$15,1),0))*OFFSET(梦灵养成!L$9,1+MATCH(产出预期!$M270,梦灵养成!$Q$10:$Q$15,1),0)+梦灵养成!D589+SUMPRODUCT(--(梦灵养成!$Q$10:$Q$15&lt;=产出预期!$M270),梦灵养成!L$10:L$15,梦灵养成!$P$10:$P$15))/MAX(SUMPRODUCT(--(梦灵养成!$C$10:$C$31&lt;=产出预期!$M270),--(梦灵养成!$E$10:$E$31=I$2)),1)*10,梦灵养成!AT$339:AT$387,1),0)</f>
        <v>49</v>
      </c>
      <c r="J253" s="45" cm="1">
        <f ca="1" t="array" ref="J253">IFERROR(MATCH(((产出预期!$M270-OFFSET(梦灵养成!$Q$9,MATCH(产出预期!$M270,梦灵养成!$Q$10:$Q$15,1),0))*OFFSET(梦灵养成!M$9,1+MATCH(产出预期!$M270,梦灵养成!$Q$10:$Q$15,1),0)+梦灵养成!E589+SUMPRODUCT(--(梦灵养成!$Q$10:$Q$15&lt;=产出预期!$M270),梦灵养成!M$10:M$15,梦灵养成!$P$10:$P$15))/MAX(SUMPRODUCT(--(梦灵养成!$C$10:$C$31&lt;=产出预期!$M270),--(梦灵养成!$E$10:$E$31=J$2)),1)*10,梦灵养成!AU$339:AU$387,1),0)</f>
        <v>49</v>
      </c>
      <c r="K253" s="45" cm="1">
        <f ca="1" t="array" ref="K253">IFERROR(MATCH(((产出预期!$M270-OFFSET(梦灵养成!$Q$9,MATCH(产出预期!$M270,梦灵养成!$Q$10:$Q$15,1),0))*OFFSET(梦灵养成!N$9,1+MATCH(产出预期!$M270,梦灵养成!$Q$10:$Q$15,1),0)+梦灵养成!F589+SUMPRODUCT(--(梦灵养成!$Q$10:$Q$15&lt;=产出预期!$M270),梦灵养成!N$10:N$15,梦灵养成!$P$10:$P$15))/MAX(SUMPRODUCT(--(梦灵养成!$C$10:$C$31&lt;=产出预期!$M270),--(梦灵养成!$E$10:$E$31=K$2)),1)*10,梦灵养成!AV$339:AV$387,1),0)</f>
        <v>49</v>
      </c>
      <c r="L253" s="45" cm="1">
        <f ca="1" t="array" ref="L253">IFERROR(MATCH(((产出预期!$M270-OFFSET(梦灵养成!$Q$9,MATCH(产出预期!$M270,梦灵养成!$Q$10:$Q$15,1),0))*OFFSET(梦灵养成!O$9,1+MATCH(产出预期!$M270,梦灵养成!$Q$10:$Q$15,1),0)+梦灵养成!G589+SUMPRODUCT(--(梦灵养成!$Q$10:$Q$15&lt;=产出预期!$M270),梦灵养成!O$10:O$15,梦灵养成!$P$10:$P$15))/MAX(SUMPRODUCT(--(梦灵养成!$C$10:$C$31&lt;=产出预期!$M270),--(梦灵养成!$E$10:$E$31=L$2)),1)*10,梦灵养成!AW$339:AW$388,1),0)</f>
        <v>50</v>
      </c>
      <c r="M253" s="45">
        <f ca="1">OFFSET(符文养成!$C$14,MATCH(C253,符文养成!$B$15:$B$44,1),0)</f>
        <v>30</v>
      </c>
      <c r="N253" s="45">
        <f ca="1">MATCH((产出预期!Z270*价值表!$F$53+产出预期!AA270*价值表!$F$54+产出预期!AD270*价值表!$F$57)/16/M253,符文养成!$G$15:$G$21,1)</f>
        <v>5</v>
      </c>
      <c r="O253" s="45">
        <f>MATCH(产出预期!O270,秘宝养成!$C$3:$C$14,1)</f>
        <v>11</v>
      </c>
    </row>
    <row r="254" ht="16.5" spans="2:15">
      <c r="B254" s="2">
        <v>252</v>
      </c>
      <c r="C254" s="2">
        <f ca="1">MATCH((OFFSET(产出预期!$C$3,0,产出预期!$B$1)*10+OFFSET(产出预期!$C$4,0,产出预期!$B$1)*10+OFFSET(产出预期!$C$7,0,产出预期!$B$1)*20)*B254/10*60,玩家等级!$E$3:$E$302,1)</f>
        <v>102</v>
      </c>
      <c r="D254" s="2">
        <f>MATCH(产出预期!P271/6,装备养成!$G$4:$G$303,1)</f>
        <v>146</v>
      </c>
      <c r="E254" s="2">
        <f>COUNTIF(产出预期!$R271:$Y271,"&gt;"&amp;0)</f>
        <v>8</v>
      </c>
      <c r="F254" s="2">
        <f ca="1">MATCH(OFFSET(产出预期!$R$19,B254,E254-1),装备养成!$S$4:$S$9,1)</f>
        <v>6</v>
      </c>
      <c r="G254" s="2" t="str">
        <f ca="1">OFFSET(梦灵养成!$D$9,MATCH(梦灵养成!C285,梦灵养成!$C$10:$C$28,1),0)</f>
        <v>我爱沙</v>
      </c>
      <c r="H254" s="2" t="str">
        <f ca="1">OFFSET(梦灵养成!$I$9,MATCH(梦灵养成!C285,梦灵养成!$C$10:$C$28,1),0)</f>
        <v>后羿</v>
      </c>
      <c r="I254" s="45" cm="1">
        <f ca="1" t="array" ref="I254">IFERROR(MATCH(((产出预期!$M271-OFFSET(梦灵养成!$Q$9,MATCH(产出预期!$M271,梦灵养成!$Q$10:$Q$15,1),0))*OFFSET(梦灵养成!L$9,1+MATCH(产出预期!$M271,梦灵养成!$Q$10:$Q$15,1),0)+梦灵养成!D590+SUMPRODUCT(--(梦灵养成!$Q$10:$Q$15&lt;=产出预期!$M271),梦灵养成!L$10:L$15,梦灵养成!$P$10:$P$15))/MAX(SUMPRODUCT(--(梦灵养成!$C$10:$C$31&lt;=产出预期!$M271),--(梦灵养成!$E$10:$E$31=I$2)),1)*10,梦灵养成!AT$339:AT$387,1),0)</f>
        <v>49</v>
      </c>
      <c r="J254" s="45" cm="1">
        <f ca="1" t="array" ref="J254">IFERROR(MATCH(((产出预期!$M271-OFFSET(梦灵养成!$Q$9,MATCH(产出预期!$M271,梦灵养成!$Q$10:$Q$15,1),0))*OFFSET(梦灵养成!M$9,1+MATCH(产出预期!$M271,梦灵养成!$Q$10:$Q$15,1),0)+梦灵养成!E590+SUMPRODUCT(--(梦灵养成!$Q$10:$Q$15&lt;=产出预期!$M271),梦灵养成!M$10:M$15,梦灵养成!$P$10:$P$15))/MAX(SUMPRODUCT(--(梦灵养成!$C$10:$C$31&lt;=产出预期!$M271),--(梦灵养成!$E$10:$E$31=J$2)),1)*10,梦灵养成!AU$339:AU$387,1),0)</f>
        <v>49</v>
      </c>
      <c r="K254" s="45" cm="1">
        <f ca="1" t="array" ref="K254">IFERROR(MATCH(((产出预期!$M271-OFFSET(梦灵养成!$Q$9,MATCH(产出预期!$M271,梦灵养成!$Q$10:$Q$15,1),0))*OFFSET(梦灵养成!N$9,1+MATCH(产出预期!$M271,梦灵养成!$Q$10:$Q$15,1),0)+梦灵养成!F590+SUMPRODUCT(--(梦灵养成!$Q$10:$Q$15&lt;=产出预期!$M271),梦灵养成!N$10:N$15,梦灵养成!$P$10:$P$15))/MAX(SUMPRODUCT(--(梦灵养成!$C$10:$C$31&lt;=产出预期!$M271),--(梦灵养成!$E$10:$E$31=K$2)),1)*10,梦灵养成!AV$339:AV$387,1),0)</f>
        <v>49</v>
      </c>
      <c r="L254" s="45" cm="1">
        <f ca="1" t="array" ref="L254">IFERROR(MATCH(((产出预期!$M271-OFFSET(梦灵养成!$Q$9,MATCH(产出预期!$M271,梦灵养成!$Q$10:$Q$15,1),0))*OFFSET(梦灵养成!O$9,1+MATCH(产出预期!$M271,梦灵养成!$Q$10:$Q$15,1),0)+梦灵养成!G590+SUMPRODUCT(--(梦灵养成!$Q$10:$Q$15&lt;=产出预期!$M271),梦灵养成!O$10:O$15,梦灵养成!$P$10:$P$15))/MAX(SUMPRODUCT(--(梦灵养成!$C$10:$C$31&lt;=产出预期!$M271),--(梦灵养成!$E$10:$E$31=L$2)),1)*10,梦灵养成!AW$339:AW$388,1),0)</f>
        <v>50</v>
      </c>
      <c r="M254" s="45">
        <f ca="1">OFFSET(符文养成!$C$14,MATCH(C254,符文养成!$B$15:$B$44,1),0)</f>
        <v>30</v>
      </c>
      <c r="N254" s="45">
        <f ca="1">MATCH((产出预期!Z271*价值表!$F$53+产出预期!AA271*价值表!$F$54+产出预期!AD271*价值表!$F$57)/16/M254,符文养成!$G$15:$G$21,1)</f>
        <v>5</v>
      </c>
      <c r="O254" s="45">
        <f>MATCH(产出预期!O271,秘宝养成!$C$3:$C$14,1)</f>
        <v>11</v>
      </c>
    </row>
    <row r="255" ht="16.5" spans="2:15">
      <c r="B255" s="2">
        <v>253</v>
      </c>
      <c r="C255" s="2">
        <f ca="1">MATCH((OFFSET(产出预期!$C$3,0,产出预期!$B$1)*10+OFFSET(产出预期!$C$4,0,产出预期!$B$1)*10+OFFSET(产出预期!$C$7,0,产出预期!$B$1)*20)*B255/10*60,玩家等级!$E$3:$E$302,1)</f>
        <v>102</v>
      </c>
      <c r="D255" s="2">
        <f>MATCH(产出预期!P272/6,装备养成!$G$4:$G$303,1)</f>
        <v>147</v>
      </c>
      <c r="E255" s="2">
        <f>COUNTIF(产出预期!$R272:$Y272,"&gt;"&amp;0)</f>
        <v>8</v>
      </c>
      <c r="F255" s="2">
        <f ca="1">MATCH(OFFSET(产出预期!$R$19,B255,E255-1),装备养成!$S$4:$S$9,1)</f>
        <v>6</v>
      </c>
      <c r="G255" s="2" t="str">
        <f ca="1">OFFSET(梦灵养成!$D$9,MATCH(梦灵养成!C286,梦灵养成!$C$10:$C$28,1),0)</f>
        <v>我爱沙</v>
      </c>
      <c r="H255" s="2" t="str">
        <f ca="1">OFFSET(梦灵养成!$I$9,MATCH(梦灵养成!C286,梦灵养成!$C$10:$C$28,1),0)</f>
        <v>后羿</v>
      </c>
      <c r="I255" s="45" cm="1">
        <f ca="1" t="array" ref="I255">IFERROR(MATCH(((产出预期!$M272-OFFSET(梦灵养成!$Q$9,MATCH(产出预期!$M272,梦灵养成!$Q$10:$Q$15,1),0))*OFFSET(梦灵养成!L$9,1+MATCH(产出预期!$M272,梦灵养成!$Q$10:$Q$15,1),0)+梦灵养成!D591+SUMPRODUCT(--(梦灵养成!$Q$10:$Q$15&lt;=产出预期!$M272),梦灵养成!L$10:L$15,梦灵养成!$P$10:$P$15))/MAX(SUMPRODUCT(--(梦灵养成!$C$10:$C$31&lt;=产出预期!$M272),--(梦灵养成!$E$10:$E$31=I$2)),1)*10,梦灵养成!AT$339:AT$387,1),0)</f>
        <v>49</v>
      </c>
      <c r="J255" s="45" cm="1">
        <f ca="1" t="array" ref="J255">IFERROR(MATCH(((产出预期!$M272-OFFSET(梦灵养成!$Q$9,MATCH(产出预期!$M272,梦灵养成!$Q$10:$Q$15,1),0))*OFFSET(梦灵养成!M$9,1+MATCH(产出预期!$M272,梦灵养成!$Q$10:$Q$15,1),0)+梦灵养成!E591+SUMPRODUCT(--(梦灵养成!$Q$10:$Q$15&lt;=产出预期!$M272),梦灵养成!M$10:M$15,梦灵养成!$P$10:$P$15))/MAX(SUMPRODUCT(--(梦灵养成!$C$10:$C$31&lt;=产出预期!$M272),--(梦灵养成!$E$10:$E$31=J$2)),1)*10,梦灵养成!AU$339:AU$387,1),0)</f>
        <v>49</v>
      </c>
      <c r="K255" s="45" cm="1">
        <f ca="1" t="array" ref="K255">IFERROR(MATCH(((产出预期!$M272-OFFSET(梦灵养成!$Q$9,MATCH(产出预期!$M272,梦灵养成!$Q$10:$Q$15,1),0))*OFFSET(梦灵养成!N$9,1+MATCH(产出预期!$M272,梦灵养成!$Q$10:$Q$15,1),0)+梦灵养成!F591+SUMPRODUCT(--(梦灵养成!$Q$10:$Q$15&lt;=产出预期!$M272),梦灵养成!N$10:N$15,梦灵养成!$P$10:$P$15))/MAX(SUMPRODUCT(--(梦灵养成!$C$10:$C$31&lt;=产出预期!$M272),--(梦灵养成!$E$10:$E$31=K$2)),1)*10,梦灵养成!AV$339:AV$387,1),0)</f>
        <v>49</v>
      </c>
      <c r="L255" s="45" cm="1">
        <f ca="1" t="array" ref="L255">IFERROR(MATCH(((产出预期!$M272-OFFSET(梦灵养成!$Q$9,MATCH(产出预期!$M272,梦灵养成!$Q$10:$Q$15,1),0))*OFFSET(梦灵养成!O$9,1+MATCH(产出预期!$M272,梦灵养成!$Q$10:$Q$15,1),0)+梦灵养成!G591+SUMPRODUCT(--(梦灵养成!$Q$10:$Q$15&lt;=产出预期!$M272),梦灵养成!O$10:O$15,梦灵养成!$P$10:$P$15))/MAX(SUMPRODUCT(--(梦灵养成!$C$10:$C$31&lt;=产出预期!$M272),--(梦灵养成!$E$10:$E$31=L$2)),1)*10,梦灵养成!AW$339:AW$388,1),0)</f>
        <v>50</v>
      </c>
      <c r="M255" s="45">
        <f ca="1">OFFSET(符文养成!$C$14,MATCH(C255,符文养成!$B$15:$B$44,1),0)</f>
        <v>30</v>
      </c>
      <c r="N255" s="45">
        <f ca="1">MATCH((产出预期!Z272*价值表!$F$53+产出预期!AA272*价值表!$F$54+产出预期!AD272*价值表!$F$57)/16/M255,符文养成!$G$15:$G$21,1)</f>
        <v>5</v>
      </c>
      <c r="O255" s="45">
        <f>MATCH(产出预期!O272,秘宝养成!$C$3:$C$14,1)</f>
        <v>11</v>
      </c>
    </row>
    <row r="256" ht="16.5" spans="2:15">
      <c r="B256" s="2">
        <v>254</v>
      </c>
      <c r="C256" s="2">
        <f ca="1">MATCH((OFFSET(产出预期!$C$3,0,产出预期!$B$1)*10+OFFSET(产出预期!$C$4,0,产出预期!$B$1)*10+OFFSET(产出预期!$C$7,0,产出预期!$B$1)*20)*B256/10*60,玩家等级!$E$3:$E$302,1)</f>
        <v>102</v>
      </c>
      <c r="D256" s="2">
        <f>MATCH(产出预期!P273/6,装备养成!$G$4:$G$303,1)</f>
        <v>147</v>
      </c>
      <c r="E256" s="2">
        <f>COUNTIF(产出预期!$R273:$Y273,"&gt;"&amp;0)</f>
        <v>8</v>
      </c>
      <c r="F256" s="2">
        <f ca="1">MATCH(OFFSET(产出预期!$R$19,B256,E256-1),装备养成!$S$4:$S$9,1)</f>
        <v>6</v>
      </c>
      <c r="G256" s="2" t="str">
        <f ca="1">OFFSET(梦灵养成!$D$9,MATCH(梦灵养成!C287,梦灵养成!$C$10:$C$28,1),0)</f>
        <v>我爱沙</v>
      </c>
      <c r="H256" s="2" t="str">
        <f ca="1">OFFSET(梦灵养成!$I$9,MATCH(梦灵养成!C287,梦灵养成!$C$10:$C$28,1),0)</f>
        <v>后羿</v>
      </c>
      <c r="I256" s="45" cm="1">
        <f ca="1" t="array" ref="I256">IFERROR(MATCH(((产出预期!$M273-OFFSET(梦灵养成!$Q$9,MATCH(产出预期!$M273,梦灵养成!$Q$10:$Q$15,1),0))*OFFSET(梦灵养成!L$9,1+MATCH(产出预期!$M273,梦灵养成!$Q$10:$Q$15,1),0)+梦灵养成!D592+SUMPRODUCT(--(梦灵养成!$Q$10:$Q$15&lt;=产出预期!$M273),梦灵养成!L$10:L$15,梦灵养成!$P$10:$P$15))/MAX(SUMPRODUCT(--(梦灵养成!$C$10:$C$31&lt;=产出预期!$M273),--(梦灵养成!$E$10:$E$31=I$2)),1)*10,梦灵养成!AT$339:AT$387,1),0)</f>
        <v>49</v>
      </c>
      <c r="J256" s="45" cm="1">
        <f ca="1" t="array" ref="J256">IFERROR(MATCH(((产出预期!$M273-OFFSET(梦灵养成!$Q$9,MATCH(产出预期!$M273,梦灵养成!$Q$10:$Q$15,1),0))*OFFSET(梦灵养成!M$9,1+MATCH(产出预期!$M273,梦灵养成!$Q$10:$Q$15,1),0)+梦灵养成!E592+SUMPRODUCT(--(梦灵养成!$Q$10:$Q$15&lt;=产出预期!$M273),梦灵养成!M$10:M$15,梦灵养成!$P$10:$P$15))/MAX(SUMPRODUCT(--(梦灵养成!$C$10:$C$31&lt;=产出预期!$M273),--(梦灵养成!$E$10:$E$31=J$2)),1)*10,梦灵养成!AU$339:AU$387,1),0)</f>
        <v>49</v>
      </c>
      <c r="K256" s="45" cm="1">
        <f ca="1" t="array" ref="K256">IFERROR(MATCH(((产出预期!$M273-OFFSET(梦灵养成!$Q$9,MATCH(产出预期!$M273,梦灵养成!$Q$10:$Q$15,1),0))*OFFSET(梦灵养成!N$9,1+MATCH(产出预期!$M273,梦灵养成!$Q$10:$Q$15,1),0)+梦灵养成!F592+SUMPRODUCT(--(梦灵养成!$Q$10:$Q$15&lt;=产出预期!$M273),梦灵养成!N$10:N$15,梦灵养成!$P$10:$P$15))/MAX(SUMPRODUCT(--(梦灵养成!$C$10:$C$31&lt;=产出预期!$M273),--(梦灵养成!$E$10:$E$31=K$2)),1)*10,梦灵养成!AV$339:AV$387,1),0)</f>
        <v>49</v>
      </c>
      <c r="L256" s="45" cm="1">
        <f ca="1" t="array" ref="L256">IFERROR(MATCH(((产出预期!$M273-OFFSET(梦灵养成!$Q$9,MATCH(产出预期!$M273,梦灵养成!$Q$10:$Q$15,1),0))*OFFSET(梦灵养成!O$9,1+MATCH(产出预期!$M273,梦灵养成!$Q$10:$Q$15,1),0)+梦灵养成!G592+SUMPRODUCT(--(梦灵养成!$Q$10:$Q$15&lt;=产出预期!$M273),梦灵养成!O$10:O$15,梦灵养成!$P$10:$P$15))/MAX(SUMPRODUCT(--(梦灵养成!$C$10:$C$31&lt;=产出预期!$M273),--(梦灵养成!$E$10:$E$31=L$2)),1)*10,梦灵养成!AW$339:AW$388,1),0)</f>
        <v>50</v>
      </c>
      <c r="M256" s="45">
        <f ca="1">OFFSET(符文养成!$C$14,MATCH(C256,符文养成!$B$15:$B$44,1),0)</f>
        <v>30</v>
      </c>
      <c r="N256" s="45">
        <f ca="1">MATCH((产出预期!Z273*价值表!$F$53+产出预期!AA273*价值表!$F$54+产出预期!AD273*价值表!$F$57)/16/M256,符文养成!$G$15:$G$21,1)</f>
        <v>5</v>
      </c>
      <c r="O256" s="45">
        <f>MATCH(产出预期!O273,秘宝养成!$C$3:$C$14,1)</f>
        <v>11</v>
      </c>
    </row>
    <row r="257" ht="16.5" spans="2:15">
      <c r="B257" s="2">
        <v>255</v>
      </c>
      <c r="C257" s="2">
        <f ca="1">MATCH((OFFSET(产出预期!$C$3,0,产出预期!$B$1)*10+OFFSET(产出预期!$C$4,0,产出预期!$B$1)*10+OFFSET(产出预期!$C$7,0,产出预期!$B$1)*20)*B257/10*60,玩家等级!$E$3:$E$302,1)</f>
        <v>102</v>
      </c>
      <c r="D257" s="2">
        <f>MATCH(产出预期!P274/6,装备养成!$G$4:$G$303,1)</f>
        <v>147</v>
      </c>
      <c r="E257" s="2">
        <f>COUNTIF(产出预期!$R274:$Y274,"&gt;"&amp;0)</f>
        <v>8</v>
      </c>
      <c r="F257" s="2">
        <f ca="1">MATCH(OFFSET(产出预期!$R$19,B257,E257-1),装备养成!$S$4:$S$9,1)</f>
        <v>6</v>
      </c>
      <c r="G257" s="2" t="str">
        <f ca="1">OFFSET(梦灵养成!$D$9,MATCH(梦灵养成!C288,梦灵养成!$C$10:$C$28,1),0)</f>
        <v>我爱沙</v>
      </c>
      <c r="H257" s="2" t="str">
        <f ca="1">OFFSET(梦灵养成!$I$9,MATCH(梦灵养成!C288,梦灵养成!$C$10:$C$28,1),0)</f>
        <v>后羿</v>
      </c>
      <c r="I257" s="45" cm="1">
        <f ca="1" t="array" ref="I257">IFERROR(MATCH(((产出预期!$M274-OFFSET(梦灵养成!$Q$9,MATCH(产出预期!$M274,梦灵养成!$Q$10:$Q$15,1),0))*OFFSET(梦灵养成!L$9,1+MATCH(产出预期!$M274,梦灵养成!$Q$10:$Q$15,1),0)+梦灵养成!D593+SUMPRODUCT(--(梦灵养成!$Q$10:$Q$15&lt;=产出预期!$M274),梦灵养成!L$10:L$15,梦灵养成!$P$10:$P$15))/MAX(SUMPRODUCT(--(梦灵养成!$C$10:$C$31&lt;=产出预期!$M274),--(梦灵养成!$E$10:$E$31=I$2)),1)*10,梦灵养成!AT$339:AT$387,1),0)</f>
        <v>49</v>
      </c>
      <c r="J257" s="45" cm="1">
        <f ca="1" t="array" ref="J257">IFERROR(MATCH(((产出预期!$M274-OFFSET(梦灵养成!$Q$9,MATCH(产出预期!$M274,梦灵养成!$Q$10:$Q$15,1),0))*OFFSET(梦灵养成!M$9,1+MATCH(产出预期!$M274,梦灵养成!$Q$10:$Q$15,1),0)+梦灵养成!E593+SUMPRODUCT(--(梦灵养成!$Q$10:$Q$15&lt;=产出预期!$M274),梦灵养成!M$10:M$15,梦灵养成!$P$10:$P$15))/MAX(SUMPRODUCT(--(梦灵养成!$C$10:$C$31&lt;=产出预期!$M274),--(梦灵养成!$E$10:$E$31=J$2)),1)*10,梦灵养成!AU$339:AU$387,1),0)</f>
        <v>49</v>
      </c>
      <c r="K257" s="45" cm="1">
        <f ca="1" t="array" ref="K257">IFERROR(MATCH(((产出预期!$M274-OFFSET(梦灵养成!$Q$9,MATCH(产出预期!$M274,梦灵养成!$Q$10:$Q$15,1),0))*OFFSET(梦灵养成!N$9,1+MATCH(产出预期!$M274,梦灵养成!$Q$10:$Q$15,1),0)+梦灵养成!F593+SUMPRODUCT(--(梦灵养成!$Q$10:$Q$15&lt;=产出预期!$M274),梦灵养成!N$10:N$15,梦灵养成!$P$10:$P$15))/MAX(SUMPRODUCT(--(梦灵养成!$C$10:$C$31&lt;=产出预期!$M274),--(梦灵养成!$E$10:$E$31=K$2)),1)*10,梦灵养成!AV$339:AV$387,1),0)</f>
        <v>49</v>
      </c>
      <c r="L257" s="45" cm="1">
        <f ca="1" t="array" ref="L257">IFERROR(MATCH(((产出预期!$M274-OFFSET(梦灵养成!$Q$9,MATCH(产出预期!$M274,梦灵养成!$Q$10:$Q$15,1),0))*OFFSET(梦灵养成!O$9,1+MATCH(产出预期!$M274,梦灵养成!$Q$10:$Q$15,1),0)+梦灵养成!G593+SUMPRODUCT(--(梦灵养成!$Q$10:$Q$15&lt;=产出预期!$M274),梦灵养成!O$10:O$15,梦灵养成!$P$10:$P$15))/MAX(SUMPRODUCT(--(梦灵养成!$C$10:$C$31&lt;=产出预期!$M274),--(梦灵养成!$E$10:$E$31=L$2)),1)*10,梦灵养成!AW$339:AW$388,1),0)</f>
        <v>50</v>
      </c>
      <c r="M257" s="45">
        <f ca="1">OFFSET(符文养成!$C$14,MATCH(C257,符文养成!$B$15:$B$44,1),0)</f>
        <v>30</v>
      </c>
      <c r="N257" s="45">
        <f ca="1">MATCH((产出预期!Z274*价值表!$F$53+产出预期!AA274*价值表!$F$54+产出预期!AD274*价值表!$F$57)/16/M257,符文养成!$G$15:$G$21,1)</f>
        <v>5</v>
      </c>
      <c r="O257" s="45">
        <f>MATCH(产出预期!O274,秘宝养成!$C$3:$C$14,1)</f>
        <v>11</v>
      </c>
    </row>
    <row r="258" ht="16.5" spans="2:15">
      <c r="B258" s="2">
        <v>256</v>
      </c>
      <c r="C258" s="2">
        <f ca="1">MATCH((OFFSET(产出预期!$C$3,0,产出预期!$B$1)*10+OFFSET(产出预期!$C$4,0,产出预期!$B$1)*10+OFFSET(产出预期!$C$7,0,产出预期!$B$1)*20)*B258/10*60,玩家等级!$E$3:$E$302,1)</f>
        <v>102</v>
      </c>
      <c r="D258" s="2">
        <f>MATCH(产出预期!P275/6,装备养成!$G$4:$G$303,1)</f>
        <v>147</v>
      </c>
      <c r="E258" s="2">
        <f>COUNTIF(产出预期!$R275:$Y275,"&gt;"&amp;0)</f>
        <v>8</v>
      </c>
      <c r="F258" s="2">
        <f ca="1">MATCH(OFFSET(产出预期!$R$19,B258,E258-1),装备养成!$S$4:$S$9,1)</f>
        <v>6</v>
      </c>
      <c r="G258" s="2" t="str">
        <f ca="1">OFFSET(梦灵养成!$D$9,MATCH(梦灵养成!C289,梦灵养成!$C$10:$C$28,1),0)</f>
        <v>我爱沙</v>
      </c>
      <c r="H258" s="2" t="str">
        <f ca="1">OFFSET(梦灵养成!$I$9,MATCH(梦灵养成!C289,梦灵养成!$C$10:$C$28,1),0)</f>
        <v>后羿</v>
      </c>
      <c r="I258" s="45" cm="1">
        <f ca="1" t="array" ref="I258">IFERROR(MATCH(((产出预期!$M275-OFFSET(梦灵养成!$Q$9,MATCH(产出预期!$M275,梦灵养成!$Q$10:$Q$15,1),0))*OFFSET(梦灵养成!L$9,1+MATCH(产出预期!$M275,梦灵养成!$Q$10:$Q$15,1),0)+梦灵养成!D594+SUMPRODUCT(--(梦灵养成!$Q$10:$Q$15&lt;=产出预期!$M275),梦灵养成!L$10:L$15,梦灵养成!$P$10:$P$15))/MAX(SUMPRODUCT(--(梦灵养成!$C$10:$C$31&lt;=产出预期!$M275),--(梦灵养成!$E$10:$E$31=I$2)),1)*10,梦灵养成!AT$339:AT$387,1),0)</f>
        <v>49</v>
      </c>
      <c r="J258" s="45" cm="1">
        <f ca="1" t="array" ref="J258">IFERROR(MATCH(((产出预期!$M275-OFFSET(梦灵养成!$Q$9,MATCH(产出预期!$M275,梦灵养成!$Q$10:$Q$15,1),0))*OFFSET(梦灵养成!M$9,1+MATCH(产出预期!$M275,梦灵养成!$Q$10:$Q$15,1),0)+梦灵养成!E594+SUMPRODUCT(--(梦灵养成!$Q$10:$Q$15&lt;=产出预期!$M275),梦灵养成!M$10:M$15,梦灵养成!$P$10:$P$15))/MAX(SUMPRODUCT(--(梦灵养成!$C$10:$C$31&lt;=产出预期!$M275),--(梦灵养成!$E$10:$E$31=J$2)),1)*10,梦灵养成!AU$339:AU$387,1),0)</f>
        <v>49</v>
      </c>
      <c r="K258" s="45" cm="1">
        <f ca="1" t="array" ref="K258">IFERROR(MATCH(((产出预期!$M275-OFFSET(梦灵养成!$Q$9,MATCH(产出预期!$M275,梦灵养成!$Q$10:$Q$15,1),0))*OFFSET(梦灵养成!N$9,1+MATCH(产出预期!$M275,梦灵养成!$Q$10:$Q$15,1),0)+梦灵养成!F594+SUMPRODUCT(--(梦灵养成!$Q$10:$Q$15&lt;=产出预期!$M275),梦灵养成!N$10:N$15,梦灵养成!$P$10:$P$15))/MAX(SUMPRODUCT(--(梦灵养成!$C$10:$C$31&lt;=产出预期!$M275),--(梦灵养成!$E$10:$E$31=K$2)),1)*10,梦灵养成!AV$339:AV$387,1),0)</f>
        <v>49</v>
      </c>
      <c r="L258" s="45" cm="1">
        <f ca="1" t="array" ref="L258">IFERROR(MATCH(((产出预期!$M275-OFFSET(梦灵养成!$Q$9,MATCH(产出预期!$M275,梦灵养成!$Q$10:$Q$15,1),0))*OFFSET(梦灵养成!O$9,1+MATCH(产出预期!$M275,梦灵养成!$Q$10:$Q$15,1),0)+梦灵养成!G594+SUMPRODUCT(--(梦灵养成!$Q$10:$Q$15&lt;=产出预期!$M275),梦灵养成!O$10:O$15,梦灵养成!$P$10:$P$15))/MAX(SUMPRODUCT(--(梦灵养成!$C$10:$C$31&lt;=产出预期!$M275),--(梦灵养成!$E$10:$E$31=L$2)),1)*10,梦灵养成!AW$339:AW$388,1),0)</f>
        <v>50</v>
      </c>
      <c r="M258" s="45">
        <f ca="1">OFFSET(符文养成!$C$14,MATCH(C258,符文养成!$B$15:$B$44,1),0)</f>
        <v>30</v>
      </c>
      <c r="N258" s="45">
        <f ca="1">MATCH((产出预期!Z275*价值表!$F$53+产出预期!AA275*价值表!$F$54+产出预期!AD275*价值表!$F$57)/16/M258,符文养成!$G$15:$G$21,1)</f>
        <v>5</v>
      </c>
      <c r="O258" s="45">
        <f>MATCH(产出预期!O275,秘宝养成!$C$3:$C$14,1)</f>
        <v>11</v>
      </c>
    </row>
    <row r="259" ht="16.5" spans="2:15">
      <c r="B259" s="2">
        <v>257</v>
      </c>
      <c r="C259" s="2">
        <f ca="1">MATCH((OFFSET(产出预期!$C$3,0,产出预期!$B$1)*10+OFFSET(产出预期!$C$4,0,产出预期!$B$1)*10+OFFSET(产出预期!$C$7,0,产出预期!$B$1)*20)*B259/10*60,玩家等级!$E$3:$E$302,1)</f>
        <v>103</v>
      </c>
      <c r="D259" s="2">
        <f>MATCH(产出预期!P276/6,装备养成!$G$4:$G$303,1)</f>
        <v>147</v>
      </c>
      <c r="E259" s="2">
        <f>COUNTIF(产出预期!$R276:$Y276,"&gt;"&amp;0)</f>
        <v>8</v>
      </c>
      <c r="F259" s="2">
        <f ca="1">MATCH(OFFSET(产出预期!$R$19,B259,E259-1),装备养成!$S$4:$S$9,1)</f>
        <v>6</v>
      </c>
      <c r="G259" s="2" t="str">
        <f ca="1">OFFSET(梦灵养成!$D$9,MATCH(梦灵养成!C290,梦灵养成!$C$10:$C$28,1),0)</f>
        <v>我爱沙</v>
      </c>
      <c r="H259" s="2" t="str">
        <f ca="1">OFFSET(梦灵养成!$I$9,MATCH(梦灵养成!C290,梦灵养成!$C$10:$C$28,1),0)</f>
        <v>后羿</v>
      </c>
      <c r="I259" s="45" cm="1">
        <f ca="1" t="array" ref="I259">IFERROR(MATCH(((产出预期!$M276-OFFSET(梦灵养成!$Q$9,MATCH(产出预期!$M276,梦灵养成!$Q$10:$Q$15,1),0))*OFFSET(梦灵养成!L$9,1+MATCH(产出预期!$M276,梦灵养成!$Q$10:$Q$15,1),0)+梦灵养成!D595+SUMPRODUCT(--(梦灵养成!$Q$10:$Q$15&lt;=产出预期!$M276),梦灵养成!L$10:L$15,梦灵养成!$P$10:$P$15))/MAX(SUMPRODUCT(--(梦灵养成!$C$10:$C$31&lt;=产出预期!$M276),--(梦灵养成!$E$10:$E$31=I$2)),1)*10,梦灵养成!AT$339:AT$387,1),0)</f>
        <v>49</v>
      </c>
      <c r="J259" s="45" cm="1">
        <f ca="1" t="array" ref="J259">IFERROR(MATCH(((产出预期!$M276-OFFSET(梦灵养成!$Q$9,MATCH(产出预期!$M276,梦灵养成!$Q$10:$Q$15,1),0))*OFFSET(梦灵养成!M$9,1+MATCH(产出预期!$M276,梦灵养成!$Q$10:$Q$15,1),0)+梦灵养成!E595+SUMPRODUCT(--(梦灵养成!$Q$10:$Q$15&lt;=产出预期!$M276),梦灵养成!M$10:M$15,梦灵养成!$P$10:$P$15))/MAX(SUMPRODUCT(--(梦灵养成!$C$10:$C$31&lt;=产出预期!$M276),--(梦灵养成!$E$10:$E$31=J$2)),1)*10,梦灵养成!AU$339:AU$387,1),0)</f>
        <v>49</v>
      </c>
      <c r="K259" s="45" cm="1">
        <f ca="1" t="array" ref="K259">IFERROR(MATCH(((产出预期!$M276-OFFSET(梦灵养成!$Q$9,MATCH(产出预期!$M276,梦灵养成!$Q$10:$Q$15,1),0))*OFFSET(梦灵养成!N$9,1+MATCH(产出预期!$M276,梦灵养成!$Q$10:$Q$15,1),0)+梦灵养成!F595+SUMPRODUCT(--(梦灵养成!$Q$10:$Q$15&lt;=产出预期!$M276),梦灵养成!N$10:N$15,梦灵养成!$P$10:$P$15))/MAX(SUMPRODUCT(--(梦灵养成!$C$10:$C$31&lt;=产出预期!$M276),--(梦灵养成!$E$10:$E$31=K$2)),1)*10,梦灵养成!AV$339:AV$387,1),0)</f>
        <v>49</v>
      </c>
      <c r="L259" s="45" cm="1">
        <f ca="1" t="array" ref="L259">IFERROR(MATCH(((产出预期!$M276-OFFSET(梦灵养成!$Q$9,MATCH(产出预期!$M276,梦灵养成!$Q$10:$Q$15,1),0))*OFFSET(梦灵养成!O$9,1+MATCH(产出预期!$M276,梦灵养成!$Q$10:$Q$15,1),0)+梦灵养成!G595+SUMPRODUCT(--(梦灵养成!$Q$10:$Q$15&lt;=产出预期!$M276),梦灵养成!O$10:O$15,梦灵养成!$P$10:$P$15))/MAX(SUMPRODUCT(--(梦灵养成!$C$10:$C$31&lt;=产出预期!$M276),--(梦灵养成!$E$10:$E$31=L$2)),1)*10,梦灵养成!AW$339:AW$388,1),0)</f>
        <v>50</v>
      </c>
      <c r="M259" s="45">
        <f ca="1">OFFSET(符文养成!$C$14,MATCH(C259,符文养成!$B$15:$B$44,1),0)</f>
        <v>30</v>
      </c>
      <c r="N259" s="45">
        <f ca="1">MATCH((产出预期!Z276*价值表!$F$53+产出预期!AA276*价值表!$F$54+产出预期!AD276*价值表!$F$57)/16/M259,符文养成!$G$15:$G$21,1)</f>
        <v>5</v>
      </c>
      <c r="O259" s="45">
        <f>MATCH(产出预期!O276,秘宝养成!$C$3:$C$14,1)</f>
        <v>11</v>
      </c>
    </row>
    <row r="260" ht="16.5" spans="2:15">
      <c r="B260" s="2">
        <v>258</v>
      </c>
      <c r="C260" s="2">
        <f ca="1">MATCH((OFFSET(产出预期!$C$3,0,产出预期!$B$1)*10+OFFSET(产出预期!$C$4,0,产出预期!$B$1)*10+OFFSET(产出预期!$C$7,0,产出预期!$B$1)*20)*B260/10*60,玩家等级!$E$3:$E$302,1)</f>
        <v>103</v>
      </c>
      <c r="D260" s="2">
        <f>MATCH(产出预期!P277/6,装备养成!$G$4:$G$303,1)</f>
        <v>148</v>
      </c>
      <c r="E260" s="2">
        <f>COUNTIF(产出预期!$R277:$Y277,"&gt;"&amp;0)</f>
        <v>8</v>
      </c>
      <c r="F260" s="2">
        <f ca="1">MATCH(OFFSET(产出预期!$R$19,B260,E260-1),装备养成!$S$4:$S$9,1)</f>
        <v>6</v>
      </c>
      <c r="G260" s="2" t="str">
        <f ca="1">OFFSET(梦灵养成!$D$9,MATCH(梦灵养成!C291,梦灵养成!$C$10:$C$28,1),0)</f>
        <v>我爱沙</v>
      </c>
      <c r="H260" s="2" t="str">
        <f ca="1">OFFSET(梦灵养成!$I$9,MATCH(梦灵养成!C291,梦灵养成!$C$10:$C$28,1),0)</f>
        <v>后羿</v>
      </c>
      <c r="I260" s="45" cm="1">
        <f ca="1" t="array" ref="I260">IFERROR(MATCH(((产出预期!$M277-OFFSET(梦灵养成!$Q$9,MATCH(产出预期!$M277,梦灵养成!$Q$10:$Q$15,1),0))*OFFSET(梦灵养成!L$9,1+MATCH(产出预期!$M277,梦灵养成!$Q$10:$Q$15,1),0)+梦灵养成!D596+SUMPRODUCT(--(梦灵养成!$Q$10:$Q$15&lt;=产出预期!$M277),梦灵养成!L$10:L$15,梦灵养成!$P$10:$P$15))/MAX(SUMPRODUCT(--(梦灵养成!$C$10:$C$31&lt;=产出预期!$M277),--(梦灵养成!$E$10:$E$31=I$2)),1)*10,梦灵养成!AT$339:AT$387,1),0)</f>
        <v>49</v>
      </c>
      <c r="J260" s="45" cm="1">
        <f ca="1" t="array" ref="J260">IFERROR(MATCH(((产出预期!$M277-OFFSET(梦灵养成!$Q$9,MATCH(产出预期!$M277,梦灵养成!$Q$10:$Q$15,1),0))*OFFSET(梦灵养成!M$9,1+MATCH(产出预期!$M277,梦灵养成!$Q$10:$Q$15,1),0)+梦灵养成!E596+SUMPRODUCT(--(梦灵养成!$Q$10:$Q$15&lt;=产出预期!$M277),梦灵养成!M$10:M$15,梦灵养成!$P$10:$P$15))/MAX(SUMPRODUCT(--(梦灵养成!$C$10:$C$31&lt;=产出预期!$M277),--(梦灵养成!$E$10:$E$31=J$2)),1)*10,梦灵养成!AU$339:AU$387,1),0)</f>
        <v>49</v>
      </c>
      <c r="K260" s="45" cm="1">
        <f ca="1" t="array" ref="K260">IFERROR(MATCH(((产出预期!$M277-OFFSET(梦灵养成!$Q$9,MATCH(产出预期!$M277,梦灵养成!$Q$10:$Q$15,1),0))*OFFSET(梦灵养成!N$9,1+MATCH(产出预期!$M277,梦灵养成!$Q$10:$Q$15,1),0)+梦灵养成!F596+SUMPRODUCT(--(梦灵养成!$Q$10:$Q$15&lt;=产出预期!$M277),梦灵养成!N$10:N$15,梦灵养成!$P$10:$P$15))/MAX(SUMPRODUCT(--(梦灵养成!$C$10:$C$31&lt;=产出预期!$M277),--(梦灵养成!$E$10:$E$31=K$2)),1)*10,梦灵养成!AV$339:AV$387,1),0)</f>
        <v>49</v>
      </c>
      <c r="L260" s="45" cm="1">
        <f ca="1" t="array" ref="L260">IFERROR(MATCH(((产出预期!$M277-OFFSET(梦灵养成!$Q$9,MATCH(产出预期!$M277,梦灵养成!$Q$10:$Q$15,1),0))*OFFSET(梦灵养成!O$9,1+MATCH(产出预期!$M277,梦灵养成!$Q$10:$Q$15,1),0)+梦灵养成!G596+SUMPRODUCT(--(梦灵养成!$Q$10:$Q$15&lt;=产出预期!$M277),梦灵养成!O$10:O$15,梦灵养成!$P$10:$P$15))/MAX(SUMPRODUCT(--(梦灵养成!$C$10:$C$31&lt;=产出预期!$M277),--(梦灵养成!$E$10:$E$31=L$2)),1)*10,梦灵养成!AW$339:AW$388,1),0)</f>
        <v>50</v>
      </c>
      <c r="M260" s="45">
        <f ca="1">OFFSET(符文养成!$C$14,MATCH(C260,符文养成!$B$15:$B$44,1),0)</f>
        <v>30</v>
      </c>
      <c r="N260" s="45">
        <f ca="1">MATCH((产出预期!Z277*价值表!$F$53+产出预期!AA277*价值表!$F$54+产出预期!AD277*价值表!$F$57)/16/M260,符文养成!$G$15:$G$21,1)</f>
        <v>5</v>
      </c>
      <c r="O260" s="45">
        <f>MATCH(产出预期!O277,秘宝养成!$C$3:$C$14,1)</f>
        <v>11</v>
      </c>
    </row>
    <row r="261" ht="16.5" spans="2:15">
      <c r="B261" s="2">
        <v>259</v>
      </c>
      <c r="C261" s="2">
        <f ca="1">MATCH((OFFSET(产出预期!$C$3,0,产出预期!$B$1)*10+OFFSET(产出预期!$C$4,0,产出预期!$B$1)*10+OFFSET(产出预期!$C$7,0,产出预期!$B$1)*20)*B261/10*60,玩家等级!$E$3:$E$302,1)</f>
        <v>103</v>
      </c>
      <c r="D261" s="2">
        <f>MATCH(产出预期!P278/6,装备养成!$G$4:$G$303,1)</f>
        <v>148</v>
      </c>
      <c r="E261" s="2">
        <f>COUNTIF(产出预期!$R278:$Y278,"&gt;"&amp;0)</f>
        <v>8</v>
      </c>
      <c r="F261" s="2">
        <f ca="1">MATCH(OFFSET(产出预期!$R$19,B261,E261-1),装备养成!$S$4:$S$9,1)</f>
        <v>6</v>
      </c>
      <c r="G261" s="2" t="str">
        <f ca="1">OFFSET(梦灵养成!$D$9,MATCH(梦灵养成!C292,梦灵养成!$C$10:$C$28,1),0)</f>
        <v>我爱沙</v>
      </c>
      <c r="H261" s="2" t="str">
        <f ca="1">OFFSET(梦灵养成!$I$9,MATCH(梦灵养成!C292,梦灵养成!$C$10:$C$28,1),0)</f>
        <v>后羿</v>
      </c>
      <c r="I261" s="45" cm="1">
        <f ca="1" t="array" ref="I261">IFERROR(MATCH(((产出预期!$M278-OFFSET(梦灵养成!$Q$9,MATCH(产出预期!$M278,梦灵养成!$Q$10:$Q$15,1),0))*OFFSET(梦灵养成!L$9,1+MATCH(产出预期!$M278,梦灵养成!$Q$10:$Q$15,1),0)+梦灵养成!D597+SUMPRODUCT(--(梦灵养成!$Q$10:$Q$15&lt;=产出预期!$M278),梦灵养成!L$10:L$15,梦灵养成!$P$10:$P$15))/MAX(SUMPRODUCT(--(梦灵养成!$C$10:$C$31&lt;=产出预期!$M278),--(梦灵养成!$E$10:$E$31=I$2)),1)*10,梦灵养成!AT$339:AT$387,1),0)</f>
        <v>49</v>
      </c>
      <c r="J261" s="45" cm="1">
        <f ca="1" t="array" ref="J261">IFERROR(MATCH(((产出预期!$M278-OFFSET(梦灵养成!$Q$9,MATCH(产出预期!$M278,梦灵养成!$Q$10:$Q$15,1),0))*OFFSET(梦灵养成!M$9,1+MATCH(产出预期!$M278,梦灵养成!$Q$10:$Q$15,1),0)+梦灵养成!E597+SUMPRODUCT(--(梦灵养成!$Q$10:$Q$15&lt;=产出预期!$M278),梦灵养成!M$10:M$15,梦灵养成!$P$10:$P$15))/MAX(SUMPRODUCT(--(梦灵养成!$C$10:$C$31&lt;=产出预期!$M278),--(梦灵养成!$E$10:$E$31=J$2)),1)*10,梦灵养成!AU$339:AU$387,1),0)</f>
        <v>49</v>
      </c>
      <c r="K261" s="45" cm="1">
        <f ca="1" t="array" ref="K261">IFERROR(MATCH(((产出预期!$M278-OFFSET(梦灵养成!$Q$9,MATCH(产出预期!$M278,梦灵养成!$Q$10:$Q$15,1),0))*OFFSET(梦灵养成!N$9,1+MATCH(产出预期!$M278,梦灵养成!$Q$10:$Q$15,1),0)+梦灵养成!F597+SUMPRODUCT(--(梦灵养成!$Q$10:$Q$15&lt;=产出预期!$M278),梦灵养成!N$10:N$15,梦灵养成!$P$10:$P$15))/MAX(SUMPRODUCT(--(梦灵养成!$C$10:$C$31&lt;=产出预期!$M278),--(梦灵养成!$E$10:$E$31=K$2)),1)*10,梦灵养成!AV$339:AV$387,1),0)</f>
        <v>49</v>
      </c>
      <c r="L261" s="45" cm="1">
        <f ca="1" t="array" ref="L261">IFERROR(MATCH(((产出预期!$M278-OFFSET(梦灵养成!$Q$9,MATCH(产出预期!$M278,梦灵养成!$Q$10:$Q$15,1),0))*OFFSET(梦灵养成!O$9,1+MATCH(产出预期!$M278,梦灵养成!$Q$10:$Q$15,1),0)+梦灵养成!G597+SUMPRODUCT(--(梦灵养成!$Q$10:$Q$15&lt;=产出预期!$M278),梦灵养成!O$10:O$15,梦灵养成!$P$10:$P$15))/MAX(SUMPRODUCT(--(梦灵养成!$C$10:$C$31&lt;=产出预期!$M278),--(梦灵养成!$E$10:$E$31=L$2)),1)*10,梦灵养成!AW$339:AW$388,1),0)</f>
        <v>50</v>
      </c>
      <c r="M261" s="45">
        <f ca="1">OFFSET(符文养成!$C$14,MATCH(C261,符文养成!$B$15:$B$44,1),0)</f>
        <v>30</v>
      </c>
      <c r="N261" s="45">
        <f ca="1">MATCH((产出预期!Z278*价值表!$F$53+产出预期!AA278*价值表!$F$54+产出预期!AD278*价值表!$F$57)/16/M261,符文养成!$G$15:$G$21,1)</f>
        <v>5</v>
      </c>
      <c r="O261" s="45">
        <f>MATCH(产出预期!O278,秘宝养成!$C$3:$C$14,1)</f>
        <v>11</v>
      </c>
    </row>
    <row r="262" ht="16.5" spans="2:15">
      <c r="B262" s="2">
        <v>260</v>
      </c>
      <c r="C262" s="2">
        <f ca="1">MATCH((OFFSET(产出预期!$C$3,0,产出预期!$B$1)*10+OFFSET(产出预期!$C$4,0,产出预期!$B$1)*10+OFFSET(产出预期!$C$7,0,产出预期!$B$1)*20)*B262/10*60,玩家等级!$E$3:$E$302,1)</f>
        <v>103</v>
      </c>
      <c r="D262" s="2">
        <f>MATCH(产出预期!P279/6,装备养成!$G$4:$G$303,1)</f>
        <v>148</v>
      </c>
      <c r="E262" s="2">
        <f>COUNTIF(产出预期!$R279:$Y279,"&gt;"&amp;0)</f>
        <v>8</v>
      </c>
      <c r="F262" s="2">
        <f ca="1">MATCH(OFFSET(产出预期!$R$19,B262,E262-1),装备养成!$S$4:$S$9,1)</f>
        <v>6</v>
      </c>
      <c r="G262" s="2" t="str">
        <f ca="1">OFFSET(梦灵养成!$D$9,MATCH(梦灵养成!C293,梦灵养成!$C$10:$C$28,1),0)</f>
        <v>我爱沙</v>
      </c>
      <c r="H262" s="2" t="str">
        <f ca="1">OFFSET(梦灵养成!$I$9,MATCH(梦灵养成!C293,梦灵养成!$C$10:$C$28,1),0)</f>
        <v>后羿</v>
      </c>
      <c r="I262" s="45" cm="1">
        <f ca="1" t="array" ref="I262">IFERROR(MATCH(((产出预期!$M279-OFFSET(梦灵养成!$Q$9,MATCH(产出预期!$M279,梦灵养成!$Q$10:$Q$15,1),0))*OFFSET(梦灵养成!L$9,1+MATCH(产出预期!$M279,梦灵养成!$Q$10:$Q$15,1),0)+梦灵养成!D598+SUMPRODUCT(--(梦灵养成!$Q$10:$Q$15&lt;=产出预期!$M279),梦灵养成!L$10:L$15,梦灵养成!$P$10:$P$15))/MAX(SUMPRODUCT(--(梦灵养成!$C$10:$C$31&lt;=产出预期!$M279),--(梦灵养成!$E$10:$E$31=I$2)),1)*10,梦灵养成!AT$339:AT$387,1),0)</f>
        <v>49</v>
      </c>
      <c r="J262" s="45" cm="1">
        <f ca="1" t="array" ref="J262">IFERROR(MATCH(((产出预期!$M279-OFFSET(梦灵养成!$Q$9,MATCH(产出预期!$M279,梦灵养成!$Q$10:$Q$15,1),0))*OFFSET(梦灵养成!M$9,1+MATCH(产出预期!$M279,梦灵养成!$Q$10:$Q$15,1),0)+梦灵养成!E598+SUMPRODUCT(--(梦灵养成!$Q$10:$Q$15&lt;=产出预期!$M279),梦灵养成!M$10:M$15,梦灵养成!$P$10:$P$15))/MAX(SUMPRODUCT(--(梦灵养成!$C$10:$C$31&lt;=产出预期!$M279),--(梦灵养成!$E$10:$E$31=J$2)),1)*10,梦灵养成!AU$339:AU$387,1),0)</f>
        <v>49</v>
      </c>
      <c r="K262" s="45" cm="1">
        <f ca="1" t="array" ref="K262">IFERROR(MATCH(((产出预期!$M279-OFFSET(梦灵养成!$Q$9,MATCH(产出预期!$M279,梦灵养成!$Q$10:$Q$15,1),0))*OFFSET(梦灵养成!N$9,1+MATCH(产出预期!$M279,梦灵养成!$Q$10:$Q$15,1),0)+梦灵养成!F598+SUMPRODUCT(--(梦灵养成!$Q$10:$Q$15&lt;=产出预期!$M279),梦灵养成!N$10:N$15,梦灵养成!$P$10:$P$15))/MAX(SUMPRODUCT(--(梦灵养成!$C$10:$C$31&lt;=产出预期!$M279),--(梦灵养成!$E$10:$E$31=K$2)),1)*10,梦灵养成!AV$339:AV$387,1),0)</f>
        <v>49</v>
      </c>
      <c r="L262" s="45" cm="1">
        <f ca="1" t="array" ref="L262">IFERROR(MATCH(((产出预期!$M279-OFFSET(梦灵养成!$Q$9,MATCH(产出预期!$M279,梦灵养成!$Q$10:$Q$15,1),0))*OFFSET(梦灵养成!O$9,1+MATCH(产出预期!$M279,梦灵养成!$Q$10:$Q$15,1),0)+梦灵养成!G598+SUMPRODUCT(--(梦灵养成!$Q$10:$Q$15&lt;=产出预期!$M279),梦灵养成!O$10:O$15,梦灵养成!$P$10:$P$15))/MAX(SUMPRODUCT(--(梦灵养成!$C$10:$C$31&lt;=产出预期!$M279),--(梦灵养成!$E$10:$E$31=L$2)),1)*10,梦灵养成!AW$339:AW$388,1),0)</f>
        <v>50</v>
      </c>
      <c r="M262" s="45">
        <f ca="1">OFFSET(符文养成!$C$14,MATCH(C262,符文养成!$B$15:$B$44,1),0)</f>
        <v>30</v>
      </c>
      <c r="N262" s="45">
        <f ca="1">MATCH((产出预期!Z279*价值表!$F$53+产出预期!AA279*价值表!$F$54+产出预期!AD279*价值表!$F$57)/16/M262,符文养成!$G$15:$G$21,1)</f>
        <v>5</v>
      </c>
      <c r="O262" s="45">
        <f>MATCH(产出预期!O279,秘宝养成!$C$3:$C$14,1)</f>
        <v>11</v>
      </c>
    </row>
    <row r="263" ht="16.5" spans="2:15">
      <c r="B263" s="2">
        <v>261</v>
      </c>
      <c r="C263" s="2">
        <f ca="1">MATCH((OFFSET(产出预期!$C$3,0,产出预期!$B$1)*10+OFFSET(产出预期!$C$4,0,产出预期!$B$1)*10+OFFSET(产出预期!$C$7,0,产出预期!$B$1)*20)*B263/10*60,玩家等级!$E$3:$E$302,1)</f>
        <v>103</v>
      </c>
      <c r="D263" s="2">
        <f>MATCH(产出预期!P280/6,装备养成!$G$4:$G$303,1)</f>
        <v>148</v>
      </c>
      <c r="E263" s="2">
        <f>COUNTIF(产出预期!$R280:$Y280,"&gt;"&amp;0)</f>
        <v>8</v>
      </c>
      <c r="F263" s="2">
        <f ca="1">MATCH(OFFSET(产出预期!$R$19,B263,E263-1),装备养成!$S$4:$S$9,1)</f>
        <v>6</v>
      </c>
      <c r="G263" s="2" t="str">
        <f ca="1">OFFSET(梦灵养成!$D$9,MATCH(梦灵养成!C294,梦灵养成!$C$10:$C$28,1),0)</f>
        <v>我爱沙</v>
      </c>
      <c r="H263" s="2" t="str">
        <f ca="1">OFFSET(梦灵养成!$I$9,MATCH(梦灵养成!C294,梦灵养成!$C$10:$C$28,1),0)</f>
        <v>后羿</v>
      </c>
      <c r="I263" s="45" cm="1">
        <f ca="1" t="array" ref="I263">IFERROR(MATCH(((产出预期!$M280-OFFSET(梦灵养成!$Q$9,MATCH(产出预期!$M280,梦灵养成!$Q$10:$Q$15,1),0))*OFFSET(梦灵养成!L$9,1+MATCH(产出预期!$M280,梦灵养成!$Q$10:$Q$15,1),0)+梦灵养成!D599+SUMPRODUCT(--(梦灵养成!$Q$10:$Q$15&lt;=产出预期!$M280),梦灵养成!L$10:L$15,梦灵养成!$P$10:$P$15))/MAX(SUMPRODUCT(--(梦灵养成!$C$10:$C$31&lt;=产出预期!$M280),--(梦灵养成!$E$10:$E$31=I$2)),1)*10,梦灵养成!AT$339:AT$387,1),0)</f>
        <v>49</v>
      </c>
      <c r="J263" s="45" cm="1">
        <f ca="1" t="array" ref="J263">IFERROR(MATCH(((产出预期!$M280-OFFSET(梦灵养成!$Q$9,MATCH(产出预期!$M280,梦灵养成!$Q$10:$Q$15,1),0))*OFFSET(梦灵养成!M$9,1+MATCH(产出预期!$M280,梦灵养成!$Q$10:$Q$15,1),0)+梦灵养成!E599+SUMPRODUCT(--(梦灵养成!$Q$10:$Q$15&lt;=产出预期!$M280),梦灵养成!M$10:M$15,梦灵养成!$P$10:$P$15))/MAX(SUMPRODUCT(--(梦灵养成!$C$10:$C$31&lt;=产出预期!$M280),--(梦灵养成!$E$10:$E$31=J$2)),1)*10,梦灵养成!AU$339:AU$387,1),0)</f>
        <v>49</v>
      </c>
      <c r="K263" s="45" cm="1">
        <f ca="1" t="array" ref="K263">IFERROR(MATCH(((产出预期!$M280-OFFSET(梦灵养成!$Q$9,MATCH(产出预期!$M280,梦灵养成!$Q$10:$Q$15,1),0))*OFFSET(梦灵养成!N$9,1+MATCH(产出预期!$M280,梦灵养成!$Q$10:$Q$15,1),0)+梦灵养成!F599+SUMPRODUCT(--(梦灵养成!$Q$10:$Q$15&lt;=产出预期!$M280),梦灵养成!N$10:N$15,梦灵养成!$P$10:$P$15))/MAX(SUMPRODUCT(--(梦灵养成!$C$10:$C$31&lt;=产出预期!$M280),--(梦灵养成!$E$10:$E$31=K$2)),1)*10,梦灵养成!AV$339:AV$387,1),0)</f>
        <v>49</v>
      </c>
      <c r="L263" s="45" cm="1">
        <f ca="1" t="array" ref="L263">IFERROR(MATCH(((产出预期!$M280-OFFSET(梦灵养成!$Q$9,MATCH(产出预期!$M280,梦灵养成!$Q$10:$Q$15,1),0))*OFFSET(梦灵养成!O$9,1+MATCH(产出预期!$M280,梦灵养成!$Q$10:$Q$15,1),0)+梦灵养成!G599+SUMPRODUCT(--(梦灵养成!$Q$10:$Q$15&lt;=产出预期!$M280),梦灵养成!O$10:O$15,梦灵养成!$P$10:$P$15))/MAX(SUMPRODUCT(--(梦灵养成!$C$10:$C$31&lt;=产出预期!$M280),--(梦灵养成!$E$10:$E$31=L$2)),1)*10,梦灵养成!AW$339:AW$388,1),0)</f>
        <v>50</v>
      </c>
      <c r="M263" s="45">
        <f ca="1">OFFSET(符文养成!$C$14,MATCH(C263,符文养成!$B$15:$B$44,1),0)</f>
        <v>30</v>
      </c>
      <c r="N263" s="45">
        <f ca="1">MATCH((产出预期!Z280*价值表!$F$53+产出预期!AA280*价值表!$F$54+产出预期!AD280*价值表!$F$57)/16/M263,符文养成!$G$15:$G$21,1)</f>
        <v>5</v>
      </c>
      <c r="O263" s="45">
        <f>MATCH(产出预期!O280,秘宝养成!$C$3:$C$14,1)</f>
        <v>11</v>
      </c>
    </row>
    <row r="264" ht="16.5" spans="2:15">
      <c r="B264" s="2">
        <v>262</v>
      </c>
      <c r="C264" s="2">
        <f ca="1">MATCH((OFFSET(产出预期!$C$3,0,产出预期!$B$1)*10+OFFSET(产出预期!$C$4,0,产出预期!$B$1)*10+OFFSET(产出预期!$C$7,0,产出预期!$B$1)*20)*B264/10*60,玩家等级!$E$3:$E$302,1)</f>
        <v>103</v>
      </c>
      <c r="D264" s="2">
        <f>MATCH(产出预期!P281/6,装备养成!$G$4:$G$303,1)</f>
        <v>148</v>
      </c>
      <c r="E264" s="2">
        <f>COUNTIF(产出预期!$R281:$Y281,"&gt;"&amp;0)</f>
        <v>8</v>
      </c>
      <c r="F264" s="2">
        <f ca="1">MATCH(OFFSET(产出预期!$R$19,B264,E264-1),装备养成!$S$4:$S$9,1)</f>
        <v>6</v>
      </c>
      <c r="G264" s="2" t="str">
        <f ca="1">OFFSET(梦灵养成!$D$9,MATCH(梦灵养成!C295,梦灵养成!$C$10:$C$28,1),0)</f>
        <v>我爱沙</v>
      </c>
      <c r="H264" s="2" t="str">
        <f ca="1">OFFSET(梦灵养成!$I$9,MATCH(梦灵养成!C295,梦灵养成!$C$10:$C$28,1),0)</f>
        <v>后羿</v>
      </c>
      <c r="I264" s="45" cm="1">
        <f ca="1" t="array" ref="I264">IFERROR(MATCH(((产出预期!$M281-OFFSET(梦灵养成!$Q$9,MATCH(产出预期!$M281,梦灵养成!$Q$10:$Q$15,1),0))*OFFSET(梦灵养成!L$9,1+MATCH(产出预期!$M281,梦灵养成!$Q$10:$Q$15,1),0)+梦灵养成!D600+SUMPRODUCT(--(梦灵养成!$Q$10:$Q$15&lt;=产出预期!$M281),梦灵养成!L$10:L$15,梦灵养成!$P$10:$P$15))/MAX(SUMPRODUCT(--(梦灵养成!$C$10:$C$31&lt;=产出预期!$M281),--(梦灵养成!$E$10:$E$31=I$2)),1)*10,梦灵养成!AT$339:AT$387,1),0)</f>
        <v>49</v>
      </c>
      <c r="J264" s="45" cm="1">
        <f ca="1" t="array" ref="J264">IFERROR(MATCH(((产出预期!$M281-OFFSET(梦灵养成!$Q$9,MATCH(产出预期!$M281,梦灵养成!$Q$10:$Q$15,1),0))*OFFSET(梦灵养成!M$9,1+MATCH(产出预期!$M281,梦灵养成!$Q$10:$Q$15,1),0)+梦灵养成!E600+SUMPRODUCT(--(梦灵养成!$Q$10:$Q$15&lt;=产出预期!$M281),梦灵养成!M$10:M$15,梦灵养成!$P$10:$P$15))/MAX(SUMPRODUCT(--(梦灵养成!$C$10:$C$31&lt;=产出预期!$M281),--(梦灵养成!$E$10:$E$31=J$2)),1)*10,梦灵养成!AU$339:AU$387,1),0)</f>
        <v>49</v>
      </c>
      <c r="K264" s="45" cm="1">
        <f ca="1" t="array" ref="K264">IFERROR(MATCH(((产出预期!$M281-OFFSET(梦灵养成!$Q$9,MATCH(产出预期!$M281,梦灵养成!$Q$10:$Q$15,1),0))*OFFSET(梦灵养成!N$9,1+MATCH(产出预期!$M281,梦灵养成!$Q$10:$Q$15,1),0)+梦灵养成!F600+SUMPRODUCT(--(梦灵养成!$Q$10:$Q$15&lt;=产出预期!$M281),梦灵养成!N$10:N$15,梦灵养成!$P$10:$P$15))/MAX(SUMPRODUCT(--(梦灵养成!$C$10:$C$31&lt;=产出预期!$M281),--(梦灵养成!$E$10:$E$31=K$2)),1)*10,梦灵养成!AV$339:AV$387,1),0)</f>
        <v>49</v>
      </c>
      <c r="L264" s="45" cm="1">
        <f ca="1" t="array" ref="L264">IFERROR(MATCH(((产出预期!$M281-OFFSET(梦灵养成!$Q$9,MATCH(产出预期!$M281,梦灵养成!$Q$10:$Q$15,1),0))*OFFSET(梦灵养成!O$9,1+MATCH(产出预期!$M281,梦灵养成!$Q$10:$Q$15,1),0)+梦灵养成!G600+SUMPRODUCT(--(梦灵养成!$Q$10:$Q$15&lt;=产出预期!$M281),梦灵养成!O$10:O$15,梦灵养成!$P$10:$P$15))/MAX(SUMPRODUCT(--(梦灵养成!$C$10:$C$31&lt;=产出预期!$M281),--(梦灵养成!$E$10:$E$31=L$2)),1)*10,梦灵养成!AW$339:AW$388,1),0)</f>
        <v>50</v>
      </c>
      <c r="M264" s="45">
        <f ca="1">OFFSET(符文养成!$C$14,MATCH(C264,符文养成!$B$15:$B$44,1),0)</f>
        <v>30</v>
      </c>
      <c r="N264" s="45">
        <f ca="1">MATCH((产出预期!Z281*价值表!$F$53+产出预期!AA281*价值表!$F$54+产出预期!AD281*价值表!$F$57)/16/M264,符文养成!$G$15:$G$21,1)</f>
        <v>5</v>
      </c>
      <c r="O264" s="45">
        <f>MATCH(产出预期!O281,秘宝养成!$C$3:$C$14,1)</f>
        <v>11</v>
      </c>
    </row>
    <row r="265" ht="16.5" spans="2:15">
      <c r="B265" s="2">
        <v>263</v>
      </c>
      <c r="C265" s="2">
        <f ca="1">MATCH((OFFSET(产出预期!$C$3,0,产出预期!$B$1)*10+OFFSET(产出预期!$C$4,0,产出预期!$B$1)*10+OFFSET(产出预期!$C$7,0,产出预期!$B$1)*20)*B265/10*60,玩家等级!$E$3:$E$302,1)</f>
        <v>103</v>
      </c>
      <c r="D265" s="2">
        <f>MATCH(产出预期!P282/6,装备养成!$G$4:$G$303,1)</f>
        <v>149</v>
      </c>
      <c r="E265" s="2">
        <f>COUNTIF(产出预期!$R282:$Y282,"&gt;"&amp;0)</f>
        <v>8</v>
      </c>
      <c r="F265" s="2">
        <f ca="1">MATCH(OFFSET(产出预期!$R$19,B265,E265-1),装备养成!$S$4:$S$9,1)</f>
        <v>6</v>
      </c>
      <c r="G265" s="2" t="str">
        <f ca="1">OFFSET(梦灵养成!$D$9,MATCH(梦灵养成!C296,梦灵养成!$C$10:$C$28,1),0)</f>
        <v>我爱沙</v>
      </c>
      <c r="H265" s="2" t="str">
        <f ca="1">OFFSET(梦灵养成!$I$9,MATCH(梦灵养成!C296,梦灵养成!$C$10:$C$28,1),0)</f>
        <v>后羿</v>
      </c>
      <c r="I265" s="45" cm="1">
        <f ca="1" t="array" ref="I265">IFERROR(MATCH(((产出预期!$M282-OFFSET(梦灵养成!$Q$9,MATCH(产出预期!$M282,梦灵养成!$Q$10:$Q$15,1),0))*OFFSET(梦灵养成!L$9,1+MATCH(产出预期!$M282,梦灵养成!$Q$10:$Q$15,1),0)+梦灵养成!D601+SUMPRODUCT(--(梦灵养成!$Q$10:$Q$15&lt;=产出预期!$M282),梦灵养成!L$10:L$15,梦灵养成!$P$10:$P$15))/MAX(SUMPRODUCT(--(梦灵养成!$C$10:$C$31&lt;=产出预期!$M282),--(梦灵养成!$E$10:$E$31=I$2)),1)*10,梦灵养成!AT$339:AT$387,1),0)</f>
        <v>49</v>
      </c>
      <c r="J265" s="45" cm="1">
        <f ca="1" t="array" ref="J265">IFERROR(MATCH(((产出预期!$M282-OFFSET(梦灵养成!$Q$9,MATCH(产出预期!$M282,梦灵养成!$Q$10:$Q$15,1),0))*OFFSET(梦灵养成!M$9,1+MATCH(产出预期!$M282,梦灵养成!$Q$10:$Q$15,1),0)+梦灵养成!E601+SUMPRODUCT(--(梦灵养成!$Q$10:$Q$15&lt;=产出预期!$M282),梦灵养成!M$10:M$15,梦灵养成!$P$10:$P$15))/MAX(SUMPRODUCT(--(梦灵养成!$C$10:$C$31&lt;=产出预期!$M282),--(梦灵养成!$E$10:$E$31=J$2)),1)*10,梦灵养成!AU$339:AU$387,1),0)</f>
        <v>49</v>
      </c>
      <c r="K265" s="45" cm="1">
        <f ca="1" t="array" ref="K265">IFERROR(MATCH(((产出预期!$M282-OFFSET(梦灵养成!$Q$9,MATCH(产出预期!$M282,梦灵养成!$Q$10:$Q$15,1),0))*OFFSET(梦灵养成!N$9,1+MATCH(产出预期!$M282,梦灵养成!$Q$10:$Q$15,1),0)+梦灵养成!F601+SUMPRODUCT(--(梦灵养成!$Q$10:$Q$15&lt;=产出预期!$M282),梦灵养成!N$10:N$15,梦灵养成!$P$10:$P$15))/MAX(SUMPRODUCT(--(梦灵养成!$C$10:$C$31&lt;=产出预期!$M282),--(梦灵养成!$E$10:$E$31=K$2)),1)*10,梦灵养成!AV$339:AV$387,1),0)</f>
        <v>49</v>
      </c>
      <c r="L265" s="45" cm="1">
        <f ca="1" t="array" ref="L265">IFERROR(MATCH(((产出预期!$M282-OFFSET(梦灵养成!$Q$9,MATCH(产出预期!$M282,梦灵养成!$Q$10:$Q$15,1),0))*OFFSET(梦灵养成!O$9,1+MATCH(产出预期!$M282,梦灵养成!$Q$10:$Q$15,1),0)+梦灵养成!G601+SUMPRODUCT(--(梦灵养成!$Q$10:$Q$15&lt;=产出预期!$M282),梦灵养成!O$10:O$15,梦灵养成!$P$10:$P$15))/MAX(SUMPRODUCT(--(梦灵养成!$C$10:$C$31&lt;=产出预期!$M282),--(梦灵养成!$E$10:$E$31=L$2)),1)*10,梦灵养成!AW$339:AW$388,1),0)</f>
        <v>50</v>
      </c>
      <c r="M265" s="45">
        <f ca="1">OFFSET(符文养成!$C$14,MATCH(C265,符文养成!$B$15:$B$44,1),0)</f>
        <v>30</v>
      </c>
      <c r="N265" s="45">
        <f ca="1">MATCH((产出预期!Z282*价值表!$F$53+产出预期!AA282*价值表!$F$54+产出预期!AD282*价值表!$F$57)/16/M265,符文养成!$G$15:$G$21,1)</f>
        <v>5</v>
      </c>
      <c r="O265" s="45">
        <f>MATCH(产出预期!O282,秘宝养成!$C$3:$C$14,1)</f>
        <v>11</v>
      </c>
    </row>
    <row r="266" ht="16.5" spans="2:15">
      <c r="B266" s="2">
        <v>264</v>
      </c>
      <c r="C266" s="2">
        <f ca="1">MATCH((OFFSET(产出预期!$C$3,0,产出预期!$B$1)*10+OFFSET(产出预期!$C$4,0,产出预期!$B$1)*10+OFFSET(产出预期!$C$7,0,产出预期!$B$1)*20)*B266/10*60,玩家等级!$E$3:$E$302,1)</f>
        <v>103</v>
      </c>
      <c r="D266" s="2">
        <f>MATCH(产出预期!P283/6,装备养成!$G$4:$G$303,1)</f>
        <v>149</v>
      </c>
      <c r="E266" s="2">
        <f>COUNTIF(产出预期!$R283:$Y283,"&gt;"&amp;0)</f>
        <v>8</v>
      </c>
      <c r="F266" s="2">
        <f ca="1">MATCH(OFFSET(产出预期!$R$19,B266,E266-1),装备养成!$S$4:$S$9,1)</f>
        <v>6</v>
      </c>
      <c r="G266" s="2" t="str">
        <f ca="1">OFFSET(梦灵养成!$D$9,MATCH(梦灵养成!C297,梦灵养成!$C$10:$C$28,1),0)</f>
        <v>我爱沙</v>
      </c>
      <c r="H266" s="2" t="str">
        <f ca="1">OFFSET(梦灵养成!$I$9,MATCH(梦灵养成!C297,梦灵养成!$C$10:$C$28,1),0)</f>
        <v>后羿</v>
      </c>
      <c r="I266" s="45" cm="1">
        <f ca="1" t="array" ref="I266">IFERROR(MATCH(((产出预期!$M283-OFFSET(梦灵养成!$Q$9,MATCH(产出预期!$M283,梦灵养成!$Q$10:$Q$15,1),0))*OFFSET(梦灵养成!L$9,1+MATCH(产出预期!$M283,梦灵养成!$Q$10:$Q$15,1),0)+梦灵养成!D602+SUMPRODUCT(--(梦灵养成!$Q$10:$Q$15&lt;=产出预期!$M283),梦灵养成!L$10:L$15,梦灵养成!$P$10:$P$15))/MAX(SUMPRODUCT(--(梦灵养成!$C$10:$C$31&lt;=产出预期!$M283),--(梦灵养成!$E$10:$E$31=I$2)),1)*10,梦灵养成!AT$339:AT$387,1),0)</f>
        <v>49</v>
      </c>
      <c r="J266" s="45" cm="1">
        <f ca="1" t="array" ref="J266">IFERROR(MATCH(((产出预期!$M283-OFFSET(梦灵养成!$Q$9,MATCH(产出预期!$M283,梦灵养成!$Q$10:$Q$15,1),0))*OFFSET(梦灵养成!M$9,1+MATCH(产出预期!$M283,梦灵养成!$Q$10:$Q$15,1),0)+梦灵养成!E602+SUMPRODUCT(--(梦灵养成!$Q$10:$Q$15&lt;=产出预期!$M283),梦灵养成!M$10:M$15,梦灵养成!$P$10:$P$15))/MAX(SUMPRODUCT(--(梦灵养成!$C$10:$C$31&lt;=产出预期!$M283),--(梦灵养成!$E$10:$E$31=J$2)),1)*10,梦灵养成!AU$339:AU$387,1),0)</f>
        <v>49</v>
      </c>
      <c r="K266" s="45" cm="1">
        <f ca="1" t="array" ref="K266">IFERROR(MATCH(((产出预期!$M283-OFFSET(梦灵养成!$Q$9,MATCH(产出预期!$M283,梦灵养成!$Q$10:$Q$15,1),0))*OFFSET(梦灵养成!N$9,1+MATCH(产出预期!$M283,梦灵养成!$Q$10:$Q$15,1),0)+梦灵养成!F602+SUMPRODUCT(--(梦灵养成!$Q$10:$Q$15&lt;=产出预期!$M283),梦灵养成!N$10:N$15,梦灵养成!$P$10:$P$15))/MAX(SUMPRODUCT(--(梦灵养成!$C$10:$C$31&lt;=产出预期!$M283),--(梦灵养成!$E$10:$E$31=K$2)),1)*10,梦灵养成!AV$339:AV$387,1),0)</f>
        <v>49</v>
      </c>
      <c r="L266" s="45" cm="1">
        <f ca="1" t="array" ref="L266">IFERROR(MATCH(((产出预期!$M283-OFFSET(梦灵养成!$Q$9,MATCH(产出预期!$M283,梦灵养成!$Q$10:$Q$15,1),0))*OFFSET(梦灵养成!O$9,1+MATCH(产出预期!$M283,梦灵养成!$Q$10:$Q$15,1),0)+梦灵养成!G602+SUMPRODUCT(--(梦灵养成!$Q$10:$Q$15&lt;=产出预期!$M283),梦灵养成!O$10:O$15,梦灵养成!$P$10:$P$15))/MAX(SUMPRODUCT(--(梦灵养成!$C$10:$C$31&lt;=产出预期!$M283),--(梦灵养成!$E$10:$E$31=L$2)),1)*10,梦灵养成!AW$339:AW$388,1),0)</f>
        <v>50</v>
      </c>
      <c r="M266" s="45">
        <f ca="1">OFFSET(符文养成!$C$14,MATCH(C266,符文养成!$B$15:$B$44,1),0)</f>
        <v>30</v>
      </c>
      <c r="N266" s="45">
        <f ca="1">MATCH((产出预期!Z283*价值表!$F$53+产出预期!AA283*价值表!$F$54+产出预期!AD283*价值表!$F$57)/16/M266,符文养成!$G$15:$G$21,1)</f>
        <v>5</v>
      </c>
      <c r="O266" s="45">
        <f>MATCH(产出预期!O283,秘宝养成!$C$3:$C$14,1)</f>
        <v>11</v>
      </c>
    </row>
    <row r="267" ht="16.5" spans="2:15">
      <c r="B267" s="2">
        <v>265</v>
      </c>
      <c r="C267" s="2">
        <f ca="1">MATCH((OFFSET(产出预期!$C$3,0,产出预期!$B$1)*10+OFFSET(产出预期!$C$4,0,产出预期!$B$1)*10+OFFSET(产出预期!$C$7,0,产出预期!$B$1)*20)*B267/10*60,玩家等级!$E$3:$E$302,1)</f>
        <v>103</v>
      </c>
      <c r="D267" s="2">
        <f>MATCH(产出预期!P284/6,装备养成!$G$4:$G$303,1)</f>
        <v>149</v>
      </c>
      <c r="E267" s="2">
        <f>COUNTIF(产出预期!$R284:$Y284,"&gt;"&amp;0)</f>
        <v>8</v>
      </c>
      <c r="F267" s="2">
        <f ca="1">MATCH(OFFSET(产出预期!$R$19,B267,E267-1),装备养成!$S$4:$S$9,1)</f>
        <v>6</v>
      </c>
      <c r="G267" s="2" t="str">
        <f ca="1">OFFSET(梦灵养成!$D$9,MATCH(梦灵养成!C298,梦灵养成!$C$10:$C$28,1),0)</f>
        <v>我爱沙</v>
      </c>
      <c r="H267" s="2" t="str">
        <f ca="1">OFFSET(梦灵养成!$I$9,MATCH(梦灵养成!C298,梦灵养成!$C$10:$C$28,1),0)</f>
        <v>后羿</v>
      </c>
      <c r="I267" s="45" cm="1">
        <f ca="1" t="array" ref="I267">IFERROR(MATCH(((产出预期!$M284-OFFSET(梦灵养成!$Q$9,MATCH(产出预期!$M284,梦灵养成!$Q$10:$Q$15,1),0))*OFFSET(梦灵养成!L$9,1+MATCH(产出预期!$M284,梦灵养成!$Q$10:$Q$15,1),0)+梦灵养成!D603+SUMPRODUCT(--(梦灵养成!$Q$10:$Q$15&lt;=产出预期!$M284),梦灵养成!L$10:L$15,梦灵养成!$P$10:$P$15))/MAX(SUMPRODUCT(--(梦灵养成!$C$10:$C$31&lt;=产出预期!$M284),--(梦灵养成!$E$10:$E$31=I$2)),1)*10,梦灵养成!AT$339:AT$387,1),0)</f>
        <v>49</v>
      </c>
      <c r="J267" s="45" cm="1">
        <f ca="1" t="array" ref="J267">IFERROR(MATCH(((产出预期!$M284-OFFSET(梦灵养成!$Q$9,MATCH(产出预期!$M284,梦灵养成!$Q$10:$Q$15,1),0))*OFFSET(梦灵养成!M$9,1+MATCH(产出预期!$M284,梦灵养成!$Q$10:$Q$15,1),0)+梦灵养成!E603+SUMPRODUCT(--(梦灵养成!$Q$10:$Q$15&lt;=产出预期!$M284),梦灵养成!M$10:M$15,梦灵养成!$P$10:$P$15))/MAX(SUMPRODUCT(--(梦灵养成!$C$10:$C$31&lt;=产出预期!$M284),--(梦灵养成!$E$10:$E$31=J$2)),1)*10,梦灵养成!AU$339:AU$387,1),0)</f>
        <v>49</v>
      </c>
      <c r="K267" s="45" cm="1">
        <f ca="1" t="array" ref="K267">IFERROR(MATCH(((产出预期!$M284-OFFSET(梦灵养成!$Q$9,MATCH(产出预期!$M284,梦灵养成!$Q$10:$Q$15,1),0))*OFFSET(梦灵养成!N$9,1+MATCH(产出预期!$M284,梦灵养成!$Q$10:$Q$15,1),0)+梦灵养成!F603+SUMPRODUCT(--(梦灵养成!$Q$10:$Q$15&lt;=产出预期!$M284),梦灵养成!N$10:N$15,梦灵养成!$P$10:$P$15))/MAX(SUMPRODUCT(--(梦灵养成!$C$10:$C$31&lt;=产出预期!$M284),--(梦灵养成!$E$10:$E$31=K$2)),1)*10,梦灵养成!AV$339:AV$387,1),0)</f>
        <v>49</v>
      </c>
      <c r="L267" s="45" cm="1">
        <f ca="1" t="array" ref="L267">IFERROR(MATCH(((产出预期!$M284-OFFSET(梦灵养成!$Q$9,MATCH(产出预期!$M284,梦灵养成!$Q$10:$Q$15,1),0))*OFFSET(梦灵养成!O$9,1+MATCH(产出预期!$M284,梦灵养成!$Q$10:$Q$15,1),0)+梦灵养成!G603+SUMPRODUCT(--(梦灵养成!$Q$10:$Q$15&lt;=产出预期!$M284),梦灵养成!O$10:O$15,梦灵养成!$P$10:$P$15))/MAX(SUMPRODUCT(--(梦灵养成!$C$10:$C$31&lt;=产出预期!$M284),--(梦灵养成!$E$10:$E$31=L$2)),1)*10,梦灵养成!AW$339:AW$388,1),0)</f>
        <v>50</v>
      </c>
      <c r="M267" s="45">
        <f ca="1">OFFSET(符文养成!$C$14,MATCH(C267,符文养成!$B$15:$B$44,1),0)</f>
        <v>30</v>
      </c>
      <c r="N267" s="45">
        <f ca="1">MATCH((产出预期!Z284*价值表!$F$53+产出预期!AA284*价值表!$F$54+产出预期!AD284*价值表!$F$57)/16/M267,符文养成!$G$15:$G$21,1)</f>
        <v>5</v>
      </c>
      <c r="O267" s="45">
        <f>MATCH(产出预期!O284,秘宝养成!$C$3:$C$14,1)</f>
        <v>11</v>
      </c>
    </row>
    <row r="268" ht="16.5" spans="2:15">
      <c r="B268" s="2">
        <v>266</v>
      </c>
      <c r="C268" s="2">
        <f ca="1">MATCH((OFFSET(产出预期!$C$3,0,产出预期!$B$1)*10+OFFSET(产出预期!$C$4,0,产出预期!$B$1)*10+OFFSET(产出预期!$C$7,0,产出预期!$B$1)*20)*B268/10*60,玩家等级!$E$3:$E$302,1)</f>
        <v>104</v>
      </c>
      <c r="D268" s="2">
        <f>MATCH(产出预期!P285/6,装备养成!$G$4:$G$303,1)</f>
        <v>149</v>
      </c>
      <c r="E268" s="2">
        <f>COUNTIF(产出预期!$R285:$Y285,"&gt;"&amp;0)</f>
        <v>8</v>
      </c>
      <c r="F268" s="2">
        <f ca="1">MATCH(OFFSET(产出预期!$R$19,B268,E268-1),装备养成!$S$4:$S$9,1)</f>
        <v>6</v>
      </c>
      <c r="G268" s="2" t="str">
        <f ca="1">OFFSET(梦灵养成!$D$9,MATCH(梦灵养成!C299,梦灵养成!$C$10:$C$28,1),0)</f>
        <v>我爱沙</v>
      </c>
      <c r="H268" s="2" t="str">
        <f ca="1">OFFSET(梦灵养成!$I$9,MATCH(梦灵养成!C299,梦灵养成!$C$10:$C$28,1),0)</f>
        <v>后羿</v>
      </c>
      <c r="I268" s="45" cm="1">
        <f ca="1" t="array" ref="I268">IFERROR(MATCH(((产出预期!$M285-OFFSET(梦灵养成!$Q$9,MATCH(产出预期!$M285,梦灵养成!$Q$10:$Q$15,1),0))*OFFSET(梦灵养成!L$9,1+MATCH(产出预期!$M285,梦灵养成!$Q$10:$Q$15,1),0)+梦灵养成!D604+SUMPRODUCT(--(梦灵养成!$Q$10:$Q$15&lt;=产出预期!$M285),梦灵养成!L$10:L$15,梦灵养成!$P$10:$P$15))/MAX(SUMPRODUCT(--(梦灵养成!$C$10:$C$31&lt;=产出预期!$M285),--(梦灵养成!$E$10:$E$31=I$2)),1)*10,梦灵养成!AT$339:AT$387,1),0)</f>
        <v>49</v>
      </c>
      <c r="J268" s="45" cm="1">
        <f ca="1" t="array" ref="J268">IFERROR(MATCH(((产出预期!$M285-OFFSET(梦灵养成!$Q$9,MATCH(产出预期!$M285,梦灵养成!$Q$10:$Q$15,1),0))*OFFSET(梦灵养成!M$9,1+MATCH(产出预期!$M285,梦灵养成!$Q$10:$Q$15,1),0)+梦灵养成!E604+SUMPRODUCT(--(梦灵养成!$Q$10:$Q$15&lt;=产出预期!$M285),梦灵养成!M$10:M$15,梦灵养成!$P$10:$P$15))/MAX(SUMPRODUCT(--(梦灵养成!$C$10:$C$31&lt;=产出预期!$M285),--(梦灵养成!$E$10:$E$31=J$2)),1)*10,梦灵养成!AU$339:AU$387,1),0)</f>
        <v>49</v>
      </c>
      <c r="K268" s="45" cm="1">
        <f ca="1" t="array" ref="K268">IFERROR(MATCH(((产出预期!$M285-OFFSET(梦灵养成!$Q$9,MATCH(产出预期!$M285,梦灵养成!$Q$10:$Q$15,1),0))*OFFSET(梦灵养成!N$9,1+MATCH(产出预期!$M285,梦灵养成!$Q$10:$Q$15,1),0)+梦灵养成!F604+SUMPRODUCT(--(梦灵养成!$Q$10:$Q$15&lt;=产出预期!$M285),梦灵养成!N$10:N$15,梦灵养成!$P$10:$P$15))/MAX(SUMPRODUCT(--(梦灵养成!$C$10:$C$31&lt;=产出预期!$M285),--(梦灵养成!$E$10:$E$31=K$2)),1)*10,梦灵养成!AV$339:AV$387,1),0)</f>
        <v>49</v>
      </c>
      <c r="L268" s="45" cm="1">
        <f ca="1" t="array" ref="L268">IFERROR(MATCH(((产出预期!$M285-OFFSET(梦灵养成!$Q$9,MATCH(产出预期!$M285,梦灵养成!$Q$10:$Q$15,1),0))*OFFSET(梦灵养成!O$9,1+MATCH(产出预期!$M285,梦灵养成!$Q$10:$Q$15,1),0)+梦灵养成!G604+SUMPRODUCT(--(梦灵养成!$Q$10:$Q$15&lt;=产出预期!$M285),梦灵养成!O$10:O$15,梦灵养成!$P$10:$P$15))/MAX(SUMPRODUCT(--(梦灵养成!$C$10:$C$31&lt;=产出预期!$M285),--(梦灵养成!$E$10:$E$31=L$2)),1)*10,梦灵养成!AW$339:AW$388,1),0)</f>
        <v>50</v>
      </c>
      <c r="M268" s="45">
        <f ca="1">OFFSET(符文养成!$C$14,MATCH(C268,符文养成!$B$15:$B$44,1),0)</f>
        <v>30</v>
      </c>
      <c r="N268" s="45">
        <f ca="1">MATCH((产出预期!Z285*价值表!$F$53+产出预期!AA285*价值表!$F$54+产出预期!AD285*价值表!$F$57)/16/M268,符文养成!$G$15:$G$21,1)</f>
        <v>5</v>
      </c>
      <c r="O268" s="45">
        <f>MATCH(产出预期!O285,秘宝养成!$C$3:$C$14,1)</f>
        <v>11</v>
      </c>
    </row>
    <row r="269" ht="16.5" spans="2:15">
      <c r="B269" s="2">
        <v>267</v>
      </c>
      <c r="C269" s="2">
        <f ca="1">MATCH((OFFSET(产出预期!$C$3,0,产出预期!$B$1)*10+OFFSET(产出预期!$C$4,0,产出预期!$B$1)*10+OFFSET(产出预期!$C$7,0,产出预期!$B$1)*20)*B269/10*60,玩家等级!$E$3:$E$302,1)</f>
        <v>104</v>
      </c>
      <c r="D269" s="2">
        <f>MATCH(产出预期!P286/6,装备养成!$G$4:$G$303,1)</f>
        <v>150</v>
      </c>
      <c r="E269" s="2">
        <f>COUNTIF(产出预期!$R286:$Y286,"&gt;"&amp;0)</f>
        <v>8</v>
      </c>
      <c r="F269" s="2">
        <f ca="1">MATCH(OFFSET(产出预期!$R$19,B269,E269-1),装备养成!$S$4:$S$9,1)</f>
        <v>6</v>
      </c>
      <c r="G269" s="2" t="str">
        <f ca="1">OFFSET(梦灵养成!$D$9,MATCH(梦灵养成!C300,梦灵养成!$C$10:$C$28,1),0)</f>
        <v>我爱沙</v>
      </c>
      <c r="H269" s="2" t="str">
        <f ca="1">OFFSET(梦灵养成!$I$9,MATCH(梦灵养成!C300,梦灵养成!$C$10:$C$28,1),0)</f>
        <v>后羿</v>
      </c>
      <c r="I269" s="45" cm="1">
        <f ca="1" t="array" ref="I269">IFERROR(MATCH(((产出预期!$M286-OFFSET(梦灵养成!$Q$9,MATCH(产出预期!$M286,梦灵养成!$Q$10:$Q$15,1),0))*OFFSET(梦灵养成!L$9,1+MATCH(产出预期!$M286,梦灵养成!$Q$10:$Q$15,1),0)+梦灵养成!D605+SUMPRODUCT(--(梦灵养成!$Q$10:$Q$15&lt;=产出预期!$M286),梦灵养成!L$10:L$15,梦灵养成!$P$10:$P$15))/MAX(SUMPRODUCT(--(梦灵养成!$C$10:$C$31&lt;=产出预期!$M286),--(梦灵养成!$E$10:$E$31=I$2)),1)*10,梦灵养成!AT$339:AT$387,1),0)</f>
        <v>49</v>
      </c>
      <c r="J269" s="45" cm="1">
        <f ca="1" t="array" ref="J269">IFERROR(MATCH(((产出预期!$M286-OFFSET(梦灵养成!$Q$9,MATCH(产出预期!$M286,梦灵养成!$Q$10:$Q$15,1),0))*OFFSET(梦灵养成!M$9,1+MATCH(产出预期!$M286,梦灵养成!$Q$10:$Q$15,1),0)+梦灵养成!E605+SUMPRODUCT(--(梦灵养成!$Q$10:$Q$15&lt;=产出预期!$M286),梦灵养成!M$10:M$15,梦灵养成!$P$10:$P$15))/MAX(SUMPRODUCT(--(梦灵养成!$C$10:$C$31&lt;=产出预期!$M286),--(梦灵养成!$E$10:$E$31=J$2)),1)*10,梦灵养成!AU$339:AU$387,1),0)</f>
        <v>49</v>
      </c>
      <c r="K269" s="45" cm="1">
        <f ca="1" t="array" ref="K269">IFERROR(MATCH(((产出预期!$M286-OFFSET(梦灵养成!$Q$9,MATCH(产出预期!$M286,梦灵养成!$Q$10:$Q$15,1),0))*OFFSET(梦灵养成!N$9,1+MATCH(产出预期!$M286,梦灵养成!$Q$10:$Q$15,1),0)+梦灵养成!F605+SUMPRODUCT(--(梦灵养成!$Q$10:$Q$15&lt;=产出预期!$M286),梦灵养成!N$10:N$15,梦灵养成!$P$10:$P$15))/MAX(SUMPRODUCT(--(梦灵养成!$C$10:$C$31&lt;=产出预期!$M286),--(梦灵养成!$E$10:$E$31=K$2)),1)*10,梦灵养成!AV$339:AV$387,1),0)</f>
        <v>49</v>
      </c>
      <c r="L269" s="45" cm="1">
        <f ca="1" t="array" ref="L269">IFERROR(MATCH(((产出预期!$M286-OFFSET(梦灵养成!$Q$9,MATCH(产出预期!$M286,梦灵养成!$Q$10:$Q$15,1),0))*OFFSET(梦灵养成!O$9,1+MATCH(产出预期!$M286,梦灵养成!$Q$10:$Q$15,1),0)+梦灵养成!G605+SUMPRODUCT(--(梦灵养成!$Q$10:$Q$15&lt;=产出预期!$M286),梦灵养成!O$10:O$15,梦灵养成!$P$10:$P$15))/MAX(SUMPRODUCT(--(梦灵养成!$C$10:$C$31&lt;=产出预期!$M286),--(梦灵养成!$E$10:$E$31=L$2)),1)*10,梦灵养成!AW$339:AW$388,1),0)</f>
        <v>50</v>
      </c>
      <c r="M269" s="45">
        <f ca="1">OFFSET(符文养成!$C$14,MATCH(C269,符文养成!$B$15:$B$44,1),0)</f>
        <v>30</v>
      </c>
      <c r="N269" s="45">
        <f ca="1">MATCH((产出预期!Z286*价值表!$F$53+产出预期!AA286*价值表!$F$54+产出预期!AD286*价值表!$F$57)/16/M269,符文养成!$G$15:$G$21,1)</f>
        <v>5</v>
      </c>
      <c r="O269" s="45">
        <f>MATCH(产出预期!O286,秘宝养成!$C$3:$C$14,1)</f>
        <v>11</v>
      </c>
    </row>
    <row r="270" ht="16.5" spans="2:15">
      <c r="B270" s="2">
        <v>268</v>
      </c>
      <c r="C270" s="2">
        <f ca="1">MATCH((OFFSET(产出预期!$C$3,0,产出预期!$B$1)*10+OFFSET(产出预期!$C$4,0,产出预期!$B$1)*10+OFFSET(产出预期!$C$7,0,产出预期!$B$1)*20)*B270/10*60,玩家等级!$E$3:$E$302,1)</f>
        <v>104</v>
      </c>
      <c r="D270" s="2">
        <f>MATCH(产出预期!P287/6,装备养成!$G$4:$G$303,1)</f>
        <v>150</v>
      </c>
      <c r="E270" s="2">
        <f>COUNTIF(产出预期!$R287:$Y287,"&gt;"&amp;0)</f>
        <v>8</v>
      </c>
      <c r="F270" s="2">
        <f ca="1">MATCH(OFFSET(产出预期!$R$19,B270,E270-1),装备养成!$S$4:$S$9,1)</f>
        <v>6</v>
      </c>
      <c r="G270" s="2" t="str">
        <f ca="1">OFFSET(梦灵养成!$D$9,MATCH(梦灵养成!C301,梦灵养成!$C$10:$C$28,1),0)</f>
        <v>我爱沙</v>
      </c>
      <c r="H270" s="2" t="str">
        <f ca="1">OFFSET(梦灵养成!$I$9,MATCH(梦灵养成!C301,梦灵养成!$C$10:$C$28,1),0)</f>
        <v>后羿</v>
      </c>
      <c r="I270" s="45" cm="1">
        <f ca="1" t="array" ref="I270">IFERROR(MATCH(((产出预期!$M287-OFFSET(梦灵养成!$Q$9,MATCH(产出预期!$M287,梦灵养成!$Q$10:$Q$15,1),0))*OFFSET(梦灵养成!L$9,1+MATCH(产出预期!$M287,梦灵养成!$Q$10:$Q$15,1),0)+梦灵养成!D606+SUMPRODUCT(--(梦灵养成!$Q$10:$Q$15&lt;=产出预期!$M287),梦灵养成!L$10:L$15,梦灵养成!$P$10:$P$15))/MAX(SUMPRODUCT(--(梦灵养成!$C$10:$C$31&lt;=产出预期!$M287),--(梦灵养成!$E$10:$E$31=I$2)),1)*10,梦灵养成!AT$339:AT$387,1),0)</f>
        <v>49</v>
      </c>
      <c r="J270" s="45" cm="1">
        <f ca="1" t="array" ref="J270">IFERROR(MATCH(((产出预期!$M287-OFFSET(梦灵养成!$Q$9,MATCH(产出预期!$M287,梦灵养成!$Q$10:$Q$15,1),0))*OFFSET(梦灵养成!M$9,1+MATCH(产出预期!$M287,梦灵养成!$Q$10:$Q$15,1),0)+梦灵养成!E606+SUMPRODUCT(--(梦灵养成!$Q$10:$Q$15&lt;=产出预期!$M287),梦灵养成!M$10:M$15,梦灵养成!$P$10:$P$15))/MAX(SUMPRODUCT(--(梦灵养成!$C$10:$C$31&lt;=产出预期!$M287),--(梦灵养成!$E$10:$E$31=J$2)),1)*10,梦灵养成!AU$339:AU$387,1),0)</f>
        <v>49</v>
      </c>
      <c r="K270" s="45" cm="1">
        <f ca="1" t="array" ref="K270">IFERROR(MATCH(((产出预期!$M287-OFFSET(梦灵养成!$Q$9,MATCH(产出预期!$M287,梦灵养成!$Q$10:$Q$15,1),0))*OFFSET(梦灵养成!N$9,1+MATCH(产出预期!$M287,梦灵养成!$Q$10:$Q$15,1),0)+梦灵养成!F606+SUMPRODUCT(--(梦灵养成!$Q$10:$Q$15&lt;=产出预期!$M287),梦灵养成!N$10:N$15,梦灵养成!$P$10:$P$15))/MAX(SUMPRODUCT(--(梦灵养成!$C$10:$C$31&lt;=产出预期!$M287),--(梦灵养成!$E$10:$E$31=K$2)),1)*10,梦灵养成!AV$339:AV$387,1),0)</f>
        <v>49</v>
      </c>
      <c r="L270" s="45" cm="1">
        <f ca="1" t="array" ref="L270">IFERROR(MATCH(((产出预期!$M287-OFFSET(梦灵养成!$Q$9,MATCH(产出预期!$M287,梦灵养成!$Q$10:$Q$15,1),0))*OFFSET(梦灵养成!O$9,1+MATCH(产出预期!$M287,梦灵养成!$Q$10:$Q$15,1),0)+梦灵养成!G606+SUMPRODUCT(--(梦灵养成!$Q$10:$Q$15&lt;=产出预期!$M287),梦灵养成!O$10:O$15,梦灵养成!$P$10:$P$15))/MAX(SUMPRODUCT(--(梦灵养成!$C$10:$C$31&lt;=产出预期!$M287),--(梦灵养成!$E$10:$E$31=L$2)),1)*10,梦灵养成!AW$339:AW$388,1),0)</f>
        <v>50</v>
      </c>
      <c r="M270" s="45">
        <f ca="1">OFFSET(符文养成!$C$14,MATCH(C270,符文养成!$B$15:$B$44,1),0)</f>
        <v>30</v>
      </c>
      <c r="N270" s="45">
        <f ca="1">MATCH((产出预期!Z287*价值表!$F$53+产出预期!AA287*价值表!$F$54+产出预期!AD287*价值表!$F$57)/16/M270,符文养成!$G$15:$G$21,1)</f>
        <v>5</v>
      </c>
      <c r="O270" s="45">
        <f>MATCH(产出预期!O287,秘宝养成!$C$3:$C$14,1)</f>
        <v>11</v>
      </c>
    </row>
    <row r="271" ht="16.5" spans="2:15">
      <c r="B271" s="2">
        <v>269</v>
      </c>
      <c r="C271" s="2">
        <f ca="1">MATCH((OFFSET(产出预期!$C$3,0,产出预期!$B$1)*10+OFFSET(产出预期!$C$4,0,产出预期!$B$1)*10+OFFSET(产出预期!$C$7,0,产出预期!$B$1)*20)*B271/10*60,玩家等级!$E$3:$E$302,1)</f>
        <v>104</v>
      </c>
      <c r="D271" s="2">
        <f>MATCH(产出预期!P288/6,装备养成!$G$4:$G$303,1)</f>
        <v>150</v>
      </c>
      <c r="E271" s="2">
        <f>COUNTIF(产出预期!$R288:$Y288,"&gt;"&amp;0)</f>
        <v>8</v>
      </c>
      <c r="F271" s="2">
        <f ca="1">MATCH(OFFSET(产出预期!$R$19,B271,E271-1),装备养成!$S$4:$S$9,1)</f>
        <v>6</v>
      </c>
      <c r="G271" s="2" t="str">
        <f ca="1">OFFSET(梦灵养成!$D$9,MATCH(梦灵养成!C302,梦灵养成!$C$10:$C$28,1),0)</f>
        <v>我爱沙</v>
      </c>
      <c r="H271" s="2" t="str">
        <f ca="1">OFFSET(梦灵养成!$I$9,MATCH(梦灵养成!C302,梦灵养成!$C$10:$C$28,1),0)</f>
        <v>后羿</v>
      </c>
      <c r="I271" s="45" cm="1">
        <f ca="1" t="array" ref="I271">IFERROR(MATCH(((产出预期!$M288-OFFSET(梦灵养成!$Q$9,MATCH(产出预期!$M288,梦灵养成!$Q$10:$Q$15,1),0))*OFFSET(梦灵养成!L$9,1+MATCH(产出预期!$M288,梦灵养成!$Q$10:$Q$15,1),0)+梦灵养成!D607+SUMPRODUCT(--(梦灵养成!$Q$10:$Q$15&lt;=产出预期!$M288),梦灵养成!L$10:L$15,梦灵养成!$P$10:$P$15))/MAX(SUMPRODUCT(--(梦灵养成!$C$10:$C$31&lt;=产出预期!$M288),--(梦灵养成!$E$10:$E$31=I$2)),1)*10,梦灵养成!AT$339:AT$387,1),0)</f>
        <v>49</v>
      </c>
      <c r="J271" s="45" cm="1">
        <f ca="1" t="array" ref="J271">IFERROR(MATCH(((产出预期!$M288-OFFSET(梦灵养成!$Q$9,MATCH(产出预期!$M288,梦灵养成!$Q$10:$Q$15,1),0))*OFFSET(梦灵养成!M$9,1+MATCH(产出预期!$M288,梦灵养成!$Q$10:$Q$15,1),0)+梦灵养成!E607+SUMPRODUCT(--(梦灵养成!$Q$10:$Q$15&lt;=产出预期!$M288),梦灵养成!M$10:M$15,梦灵养成!$P$10:$P$15))/MAX(SUMPRODUCT(--(梦灵养成!$C$10:$C$31&lt;=产出预期!$M288),--(梦灵养成!$E$10:$E$31=J$2)),1)*10,梦灵养成!AU$339:AU$387,1),0)</f>
        <v>49</v>
      </c>
      <c r="K271" s="45" cm="1">
        <f ca="1" t="array" ref="K271">IFERROR(MATCH(((产出预期!$M288-OFFSET(梦灵养成!$Q$9,MATCH(产出预期!$M288,梦灵养成!$Q$10:$Q$15,1),0))*OFFSET(梦灵养成!N$9,1+MATCH(产出预期!$M288,梦灵养成!$Q$10:$Q$15,1),0)+梦灵养成!F607+SUMPRODUCT(--(梦灵养成!$Q$10:$Q$15&lt;=产出预期!$M288),梦灵养成!N$10:N$15,梦灵养成!$P$10:$P$15))/MAX(SUMPRODUCT(--(梦灵养成!$C$10:$C$31&lt;=产出预期!$M288),--(梦灵养成!$E$10:$E$31=K$2)),1)*10,梦灵养成!AV$339:AV$387,1),0)</f>
        <v>49</v>
      </c>
      <c r="L271" s="45" cm="1">
        <f ca="1" t="array" ref="L271">IFERROR(MATCH(((产出预期!$M288-OFFSET(梦灵养成!$Q$9,MATCH(产出预期!$M288,梦灵养成!$Q$10:$Q$15,1),0))*OFFSET(梦灵养成!O$9,1+MATCH(产出预期!$M288,梦灵养成!$Q$10:$Q$15,1),0)+梦灵养成!G607+SUMPRODUCT(--(梦灵养成!$Q$10:$Q$15&lt;=产出预期!$M288),梦灵养成!O$10:O$15,梦灵养成!$P$10:$P$15))/MAX(SUMPRODUCT(--(梦灵养成!$C$10:$C$31&lt;=产出预期!$M288),--(梦灵养成!$E$10:$E$31=L$2)),1)*10,梦灵养成!AW$339:AW$388,1),0)</f>
        <v>50</v>
      </c>
      <c r="M271" s="45">
        <f ca="1">OFFSET(符文养成!$C$14,MATCH(C271,符文养成!$B$15:$B$44,1),0)</f>
        <v>30</v>
      </c>
      <c r="N271" s="45">
        <f ca="1">MATCH((产出预期!Z288*价值表!$F$53+产出预期!AA288*价值表!$F$54+产出预期!AD288*价值表!$F$57)/16/M271,符文养成!$G$15:$G$21,1)</f>
        <v>5</v>
      </c>
      <c r="O271" s="45">
        <f>MATCH(产出预期!O288,秘宝养成!$C$3:$C$14,1)</f>
        <v>11</v>
      </c>
    </row>
    <row r="272" ht="16.5" spans="2:15">
      <c r="B272" s="2">
        <v>270</v>
      </c>
      <c r="C272" s="2">
        <f ca="1">MATCH((OFFSET(产出预期!$C$3,0,产出预期!$B$1)*10+OFFSET(产出预期!$C$4,0,产出预期!$B$1)*10+OFFSET(产出预期!$C$7,0,产出预期!$B$1)*20)*B272/10*60,玩家等级!$E$3:$E$302,1)</f>
        <v>104</v>
      </c>
      <c r="D272" s="2">
        <f>MATCH(产出预期!P289/6,装备养成!$G$4:$G$303,1)</f>
        <v>150</v>
      </c>
      <c r="E272" s="2">
        <f>COUNTIF(产出预期!$R289:$Y289,"&gt;"&amp;0)</f>
        <v>8</v>
      </c>
      <c r="F272" s="2">
        <f ca="1">MATCH(OFFSET(产出预期!$R$19,B272,E272-1),装备养成!$S$4:$S$9,1)</f>
        <v>6</v>
      </c>
      <c r="G272" s="2" t="str">
        <f ca="1">OFFSET(梦灵养成!$D$9,MATCH(梦灵养成!C303,梦灵养成!$C$10:$C$28,1),0)</f>
        <v>我爱沙</v>
      </c>
      <c r="H272" s="2" t="str">
        <f ca="1">OFFSET(梦灵养成!$I$9,MATCH(梦灵养成!C303,梦灵养成!$C$10:$C$28,1),0)</f>
        <v>后羿</v>
      </c>
      <c r="I272" s="45" cm="1">
        <f ca="1" t="array" ref="I272">IFERROR(MATCH(((产出预期!$M289-OFFSET(梦灵养成!$Q$9,MATCH(产出预期!$M289,梦灵养成!$Q$10:$Q$15,1),0))*OFFSET(梦灵养成!L$9,1+MATCH(产出预期!$M289,梦灵养成!$Q$10:$Q$15,1),0)+梦灵养成!D608+SUMPRODUCT(--(梦灵养成!$Q$10:$Q$15&lt;=产出预期!$M289),梦灵养成!L$10:L$15,梦灵养成!$P$10:$P$15))/MAX(SUMPRODUCT(--(梦灵养成!$C$10:$C$31&lt;=产出预期!$M289),--(梦灵养成!$E$10:$E$31=I$2)),1)*10,梦灵养成!AT$339:AT$387,1),0)</f>
        <v>49</v>
      </c>
      <c r="J272" s="45" cm="1">
        <f ca="1" t="array" ref="J272">IFERROR(MATCH(((产出预期!$M289-OFFSET(梦灵养成!$Q$9,MATCH(产出预期!$M289,梦灵养成!$Q$10:$Q$15,1),0))*OFFSET(梦灵养成!M$9,1+MATCH(产出预期!$M289,梦灵养成!$Q$10:$Q$15,1),0)+梦灵养成!E608+SUMPRODUCT(--(梦灵养成!$Q$10:$Q$15&lt;=产出预期!$M289),梦灵养成!M$10:M$15,梦灵养成!$P$10:$P$15))/MAX(SUMPRODUCT(--(梦灵养成!$C$10:$C$31&lt;=产出预期!$M289),--(梦灵养成!$E$10:$E$31=J$2)),1)*10,梦灵养成!AU$339:AU$387,1),0)</f>
        <v>49</v>
      </c>
      <c r="K272" s="45" cm="1">
        <f ca="1" t="array" ref="K272">IFERROR(MATCH(((产出预期!$M289-OFFSET(梦灵养成!$Q$9,MATCH(产出预期!$M289,梦灵养成!$Q$10:$Q$15,1),0))*OFFSET(梦灵养成!N$9,1+MATCH(产出预期!$M289,梦灵养成!$Q$10:$Q$15,1),0)+梦灵养成!F608+SUMPRODUCT(--(梦灵养成!$Q$10:$Q$15&lt;=产出预期!$M289),梦灵养成!N$10:N$15,梦灵养成!$P$10:$P$15))/MAX(SUMPRODUCT(--(梦灵养成!$C$10:$C$31&lt;=产出预期!$M289),--(梦灵养成!$E$10:$E$31=K$2)),1)*10,梦灵养成!AV$339:AV$387,1),0)</f>
        <v>49</v>
      </c>
      <c r="L272" s="45" cm="1">
        <f ca="1" t="array" ref="L272">IFERROR(MATCH(((产出预期!$M289-OFFSET(梦灵养成!$Q$9,MATCH(产出预期!$M289,梦灵养成!$Q$10:$Q$15,1),0))*OFFSET(梦灵养成!O$9,1+MATCH(产出预期!$M289,梦灵养成!$Q$10:$Q$15,1),0)+梦灵养成!G608+SUMPRODUCT(--(梦灵养成!$Q$10:$Q$15&lt;=产出预期!$M289),梦灵养成!O$10:O$15,梦灵养成!$P$10:$P$15))/MAX(SUMPRODUCT(--(梦灵养成!$C$10:$C$31&lt;=产出预期!$M289),--(梦灵养成!$E$10:$E$31=L$2)),1)*10,梦灵养成!AW$339:AW$388,1),0)</f>
        <v>50</v>
      </c>
      <c r="M272" s="45">
        <f ca="1">OFFSET(符文养成!$C$14,MATCH(C272,符文养成!$B$15:$B$44,1),0)</f>
        <v>30</v>
      </c>
      <c r="N272" s="45">
        <f ca="1">MATCH((产出预期!Z289*价值表!$F$53+产出预期!AA289*价值表!$F$54+产出预期!AD289*价值表!$F$57)/16/M272,符文养成!$G$15:$G$21,1)</f>
        <v>5</v>
      </c>
      <c r="O272" s="45">
        <f>MATCH(产出预期!O289,秘宝养成!$C$3:$C$14,1)</f>
        <v>11</v>
      </c>
    </row>
    <row r="273" ht="16.5" spans="2:15">
      <c r="B273" s="2">
        <v>271</v>
      </c>
      <c r="C273" s="2">
        <f ca="1">MATCH((OFFSET(产出预期!$C$3,0,产出预期!$B$1)*10+OFFSET(产出预期!$C$4,0,产出预期!$B$1)*10+OFFSET(产出预期!$C$7,0,产出预期!$B$1)*20)*B273/10*60,玩家等级!$E$3:$E$302,1)</f>
        <v>104</v>
      </c>
      <c r="D273" s="2">
        <f>MATCH(产出预期!P290/6,装备养成!$G$4:$G$303,1)</f>
        <v>150</v>
      </c>
      <c r="E273" s="2">
        <f>COUNTIF(产出预期!$R290:$Y290,"&gt;"&amp;0)</f>
        <v>8</v>
      </c>
      <c r="F273" s="2">
        <f ca="1">MATCH(OFFSET(产出预期!$R$19,B273,E273-1),装备养成!$S$4:$S$9,1)</f>
        <v>6</v>
      </c>
      <c r="G273" s="2" t="str">
        <f ca="1">OFFSET(梦灵养成!$D$9,MATCH(梦灵养成!C304,梦灵养成!$C$10:$C$28,1),0)</f>
        <v>我爱沙</v>
      </c>
      <c r="H273" s="2" t="str">
        <f ca="1">OFFSET(梦灵养成!$I$9,MATCH(梦灵养成!C304,梦灵养成!$C$10:$C$28,1),0)</f>
        <v>后羿</v>
      </c>
      <c r="I273" s="45" cm="1">
        <f ca="1" t="array" ref="I273">IFERROR(MATCH(((产出预期!$M290-OFFSET(梦灵养成!$Q$9,MATCH(产出预期!$M290,梦灵养成!$Q$10:$Q$15,1),0))*OFFSET(梦灵养成!L$9,1+MATCH(产出预期!$M290,梦灵养成!$Q$10:$Q$15,1),0)+梦灵养成!D609+SUMPRODUCT(--(梦灵养成!$Q$10:$Q$15&lt;=产出预期!$M290),梦灵养成!L$10:L$15,梦灵养成!$P$10:$P$15))/MAX(SUMPRODUCT(--(梦灵养成!$C$10:$C$31&lt;=产出预期!$M290),--(梦灵养成!$E$10:$E$31=I$2)),1)*10,梦灵养成!AT$339:AT$387,1),0)</f>
        <v>49</v>
      </c>
      <c r="J273" s="45" cm="1">
        <f ca="1" t="array" ref="J273">IFERROR(MATCH(((产出预期!$M290-OFFSET(梦灵养成!$Q$9,MATCH(产出预期!$M290,梦灵养成!$Q$10:$Q$15,1),0))*OFFSET(梦灵养成!M$9,1+MATCH(产出预期!$M290,梦灵养成!$Q$10:$Q$15,1),0)+梦灵养成!E609+SUMPRODUCT(--(梦灵养成!$Q$10:$Q$15&lt;=产出预期!$M290),梦灵养成!M$10:M$15,梦灵养成!$P$10:$P$15))/MAX(SUMPRODUCT(--(梦灵养成!$C$10:$C$31&lt;=产出预期!$M290),--(梦灵养成!$E$10:$E$31=J$2)),1)*10,梦灵养成!AU$339:AU$387,1),0)</f>
        <v>49</v>
      </c>
      <c r="K273" s="45" cm="1">
        <f ca="1" t="array" ref="K273">IFERROR(MATCH(((产出预期!$M290-OFFSET(梦灵养成!$Q$9,MATCH(产出预期!$M290,梦灵养成!$Q$10:$Q$15,1),0))*OFFSET(梦灵养成!N$9,1+MATCH(产出预期!$M290,梦灵养成!$Q$10:$Q$15,1),0)+梦灵养成!F609+SUMPRODUCT(--(梦灵养成!$Q$10:$Q$15&lt;=产出预期!$M290),梦灵养成!N$10:N$15,梦灵养成!$P$10:$P$15))/MAX(SUMPRODUCT(--(梦灵养成!$C$10:$C$31&lt;=产出预期!$M290),--(梦灵养成!$E$10:$E$31=K$2)),1)*10,梦灵养成!AV$339:AV$387,1),0)</f>
        <v>49</v>
      </c>
      <c r="L273" s="45" cm="1">
        <f ca="1" t="array" ref="L273">IFERROR(MATCH(((产出预期!$M290-OFFSET(梦灵养成!$Q$9,MATCH(产出预期!$M290,梦灵养成!$Q$10:$Q$15,1),0))*OFFSET(梦灵养成!O$9,1+MATCH(产出预期!$M290,梦灵养成!$Q$10:$Q$15,1),0)+梦灵养成!G609+SUMPRODUCT(--(梦灵养成!$Q$10:$Q$15&lt;=产出预期!$M290),梦灵养成!O$10:O$15,梦灵养成!$P$10:$P$15))/MAX(SUMPRODUCT(--(梦灵养成!$C$10:$C$31&lt;=产出预期!$M290),--(梦灵养成!$E$10:$E$31=L$2)),1)*10,梦灵养成!AW$339:AW$388,1),0)</f>
        <v>50</v>
      </c>
      <c r="M273" s="45">
        <f ca="1">OFFSET(符文养成!$C$14,MATCH(C273,符文养成!$B$15:$B$44,1),0)</f>
        <v>30</v>
      </c>
      <c r="N273" s="45">
        <f ca="1">MATCH((产出预期!Z290*价值表!$F$53+产出预期!AA290*价值表!$F$54+产出预期!AD290*价值表!$F$57)/16/M273,符文养成!$G$15:$G$21,1)</f>
        <v>5</v>
      </c>
      <c r="O273" s="45">
        <f>MATCH(产出预期!O290,秘宝养成!$C$3:$C$14,1)</f>
        <v>11</v>
      </c>
    </row>
    <row r="274" ht="16.5" spans="2:15">
      <c r="B274" s="2">
        <v>272</v>
      </c>
      <c r="C274" s="2">
        <f ca="1">MATCH((OFFSET(产出预期!$C$3,0,产出预期!$B$1)*10+OFFSET(产出预期!$C$4,0,产出预期!$B$1)*10+OFFSET(产出预期!$C$7,0,产出预期!$B$1)*20)*B274/10*60,玩家等级!$E$3:$E$302,1)</f>
        <v>104</v>
      </c>
      <c r="D274" s="2">
        <f>MATCH(产出预期!P291/6,装备养成!$G$4:$G$303,1)</f>
        <v>151</v>
      </c>
      <c r="E274" s="2">
        <f>COUNTIF(产出预期!$R291:$Y291,"&gt;"&amp;0)</f>
        <v>8</v>
      </c>
      <c r="F274" s="2">
        <f ca="1">MATCH(OFFSET(产出预期!$R$19,B274,E274-1),装备养成!$S$4:$S$9,1)</f>
        <v>6</v>
      </c>
      <c r="G274" s="2" t="str">
        <f ca="1">OFFSET(梦灵养成!$D$9,MATCH(梦灵养成!C305,梦灵养成!$C$10:$C$28,1),0)</f>
        <v>我爱沙</v>
      </c>
      <c r="H274" s="2" t="str">
        <f ca="1">OFFSET(梦灵养成!$I$9,MATCH(梦灵养成!C305,梦灵养成!$C$10:$C$28,1),0)</f>
        <v>后羿</v>
      </c>
      <c r="I274" s="45" cm="1">
        <f ca="1" t="array" ref="I274">IFERROR(MATCH(((产出预期!$M291-OFFSET(梦灵养成!$Q$9,MATCH(产出预期!$M291,梦灵养成!$Q$10:$Q$15,1),0))*OFFSET(梦灵养成!L$9,1+MATCH(产出预期!$M291,梦灵养成!$Q$10:$Q$15,1),0)+梦灵养成!D610+SUMPRODUCT(--(梦灵养成!$Q$10:$Q$15&lt;=产出预期!$M291),梦灵养成!L$10:L$15,梦灵养成!$P$10:$P$15))/MAX(SUMPRODUCT(--(梦灵养成!$C$10:$C$31&lt;=产出预期!$M291),--(梦灵养成!$E$10:$E$31=I$2)),1)*10,梦灵养成!AT$339:AT$387,1),0)</f>
        <v>49</v>
      </c>
      <c r="J274" s="45" cm="1">
        <f ca="1" t="array" ref="J274">IFERROR(MATCH(((产出预期!$M291-OFFSET(梦灵养成!$Q$9,MATCH(产出预期!$M291,梦灵养成!$Q$10:$Q$15,1),0))*OFFSET(梦灵养成!M$9,1+MATCH(产出预期!$M291,梦灵养成!$Q$10:$Q$15,1),0)+梦灵养成!E610+SUMPRODUCT(--(梦灵养成!$Q$10:$Q$15&lt;=产出预期!$M291),梦灵养成!M$10:M$15,梦灵养成!$P$10:$P$15))/MAX(SUMPRODUCT(--(梦灵养成!$C$10:$C$31&lt;=产出预期!$M291),--(梦灵养成!$E$10:$E$31=J$2)),1)*10,梦灵养成!AU$339:AU$387,1),0)</f>
        <v>49</v>
      </c>
      <c r="K274" s="45" cm="1">
        <f ca="1" t="array" ref="K274">IFERROR(MATCH(((产出预期!$M291-OFFSET(梦灵养成!$Q$9,MATCH(产出预期!$M291,梦灵养成!$Q$10:$Q$15,1),0))*OFFSET(梦灵养成!N$9,1+MATCH(产出预期!$M291,梦灵养成!$Q$10:$Q$15,1),0)+梦灵养成!F610+SUMPRODUCT(--(梦灵养成!$Q$10:$Q$15&lt;=产出预期!$M291),梦灵养成!N$10:N$15,梦灵养成!$P$10:$P$15))/MAX(SUMPRODUCT(--(梦灵养成!$C$10:$C$31&lt;=产出预期!$M291),--(梦灵养成!$E$10:$E$31=K$2)),1)*10,梦灵养成!AV$339:AV$387,1),0)</f>
        <v>49</v>
      </c>
      <c r="L274" s="45" cm="1">
        <f ca="1" t="array" ref="L274">IFERROR(MATCH(((产出预期!$M291-OFFSET(梦灵养成!$Q$9,MATCH(产出预期!$M291,梦灵养成!$Q$10:$Q$15,1),0))*OFFSET(梦灵养成!O$9,1+MATCH(产出预期!$M291,梦灵养成!$Q$10:$Q$15,1),0)+梦灵养成!G610+SUMPRODUCT(--(梦灵养成!$Q$10:$Q$15&lt;=产出预期!$M291),梦灵养成!O$10:O$15,梦灵养成!$P$10:$P$15))/MAX(SUMPRODUCT(--(梦灵养成!$C$10:$C$31&lt;=产出预期!$M291),--(梦灵养成!$E$10:$E$31=L$2)),1)*10,梦灵养成!AW$339:AW$388,1),0)</f>
        <v>50</v>
      </c>
      <c r="M274" s="45">
        <f ca="1">OFFSET(符文养成!$C$14,MATCH(C274,符文养成!$B$15:$B$44,1),0)</f>
        <v>30</v>
      </c>
      <c r="N274" s="45">
        <f ca="1">MATCH((产出预期!Z291*价值表!$F$53+产出预期!AA291*价值表!$F$54+产出预期!AD291*价值表!$F$57)/16/M274,符文养成!$G$15:$G$21,1)</f>
        <v>5</v>
      </c>
      <c r="O274" s="45">
        <f>MATCH(产出预期!O291,秘宝养成!$C$3:$C$14,1)</f>
        <v>11</v>
      </c>
    </row>
    <row r="275" ht="16.5" spans="2:15">
      <c r="B275" s="2">
        <v>273</v>
      </c>
      <c r="C275" s="2">
        <f ca="1">MATCH((OFFSET(产出预期!$C$3,0,产出预期!$B$1)*10+OFFSET(产出预期!$C$4,0,产出预期!$B$1)*10+OFFSET(产出预期!$C$7,0,产出预期!$B$1)*20)*B275/10*60,玩家等级!$E$3:$E$302,1)</f>
        <v>104</v>
      </c>
      <c r="D275" s="2">
        <f>MATCH(产出预期!P292/6,装备养成!$G$4:$G$303,1)</f>
        <v>151</v>
      </c>
      <c r="E275" s="2">
        <f>COUNTIF(产出预期!$R292:$Y292,"&gt;"&amp;0)</f>
        <v>8</v>
      </c>
      <c r="F275" s="2">
        <f ca="1">MATCH(OFFSET(产出预期!$R$19,B275,E275-1),装备养成!$S$4:$S$9,1)</f>
        <v>6</v>
      </c>
      <c r="G275" s="2" t="str">
        <f ca="1">OFFSET(梦灵养成!$D$9,MATCH(梦灵养成!C306,梦灵养成!$C$10:$C$28,1),0)</f>
        <v>我爱沙</v>
      </c>
      <c r="H275" s="2" t="str">
        <f ca="1">OFFSET(梦灵养成!$I$9,MATCH(梦灵养成!C306,梦灵养成!$C$10:$C$28,1),0)</f>
        <v>后羿</v>
      </c>
      <c r="I275" s="45" cm="1">
        <f ca="1" t="array" ref="I275">IFERROR(MATCH(((产出预期!$M292-OFFSET(梦灵养成!$Q$9,MATCH(产出预期!$M292,梦灵养成!$Q$10:$Q$15,1),0))*OFFSET(梦灵养成!L$9,1+MATCH(产出预期!$M292,梦灵养成!$Q$10:$Q$15,1),0)+梦灵养成!D611+SUMPRODUCT(--(梦灵养成!$Q$10:$Q$15&lt;=产出预期!$M292),梦灵养成!L$10:L$15,梦灵养成!$P$10:$P$15))/MAX(SUMPRODUCT(--(梦灵养成!$C$10:$C$31&lt;=产出预期!$M292),--(梦灵养成!$E$10:$E$31=I$2)),1)*10,梦灵养成!AT$339:AT$387,1),0)</f>
        <v>49</v>
      </c>
      <c r="J275" s="45" cm="1">
        <f ca="1" t="array" ref="J275">IFERROR(MATCH(((产出预期!$M292-OFFSET(梦灵养成!$Q$9,MATCH(产出预期!$M292,梦灵养成!$Q$10:$Q$15,1),0))*OFFSET(梦灵养成!M$9,1+MATCH(产出预期!$M292,梦灵养成!$Q$10:$Q$15,1),0)+梦灵养成!E611+SUMPRODUCT(--(梦灵养成!$Q$10:$Q$15&lt;=产出预期!$M292),梦灵养成!M$10:M$15,梦灵养成!$P$10:$P$15))/MAX(SUMPRODUCT(--(梦灵养成!$C$10:$C$31&lt;=产出预期!$M292),--(梦灵养成!$E$10:$E$31=J$2)),1)*10,梦灵养成!AU$339:AU$387,1),0)</f>
        <v>49</v>
      </c>
      <c r="K275" s="45" cm="1">
        <f ca="1" t="array" ref="K275">IFERROR(MATCH(((产出预期!$M292-OFFSET(梦灵养成!$Q$9,MATCH(产出预期!$M292,梦灵养成!$Q$10:$Q$15,1),0))*OFFSET(梦灵养成!N$9,1+MATCH(产出预期!$M292,梦灵养成!$Q$10:$Q$15,1),0)+梦灵养成!F611+SUMPRODUCT(--(梦灵养成!$Q$10:$Q$15&lt;=产出预期!$M292),梦灵养成!N$10:N$15,梦灵养成!$P$10:$P$15))/MAX(SUMPRODUCT(--(梦灵养成!$C$10:$C$31&lt;=产出预期!$M292),--(梦灵养成!$E$10:$E$31=K$2)),1)*10,梦灵养成!AV$339:AV$387,1),0)</f>
        <v>49</v>
      </c>
      <c r="L275" s="45" cm="1">
        <f ca="1" t="array" ref="L275">IFERROR(MATCH(((产出预期!$M292-OFFSET(梦灵养成!$Q$9,MATCH(产出预期!$M292,梦灵养成!$Q$10:$Q$15,1),0))*OFFSET(梦灵养成!O$9,1+MATCH(产出预期!$M292,梦灵养成!$Q$10:$Q$15,1),0)+梦灵养成!G611+SUMPRODUCT(--(梦灵养成!$Q$10:$Q$15&lt;=产出预期!$M292),梦灵养成!O$10:O$15,梦灵养成!$P$10:$P$15))/MAX(SUMPRODUCT(--(梦灵养成!$C$10:$C$31&lt;=产出预期!$M292),--(梦灵养成!$E$10:$E$31=L$2)),1)*10,梦灵养成!AW$339:AW$388,1),0)</f>
        <v>50</v>
      </c>
      <c r="M275" s="45">
        <f ca="1">OFFSET(符文养成!$C$14,MATCH(C275,符文养成!$B$15:$B$44,1),0)</f>
        <v>30</v>
      </c>
      <c r="N275" s="45">
        <f ca="1">MATCH((产出预期!Z292*价值表!$F$53+产出预期!AA292*价值表!$F$54+产出预期!AD292*价值表!$F$57)/16/M275,符文养成!$G$15:$G$21,1)</f>
        <v>5</v>
      </c>
      <c r="O275" s="45">
        <f>MATCH(产出预期!O292,秘宝养成!$C$3:$C$14,1)</f>
        <v>11</v>
      </c>
    </row>
    <row r="276" ht="16.5" spans="2:15">
      <c r="B276" s="2">
        <v>274</v>
      </c>
      <c r="C276" s="2">
        <f ca="1">MATCH((OFFSET(产出预期!$C$3,0,产出预期!$B$1)*10+OFFSET(产出预期!$C$4,0,产出预期!$B$1)*10+OFFSET(产出预期!$C$7,0,产出预期!$B$1)*20)*B276/10*60,玩家等级!$E$3:$E$302,1)</f>
        <v>104</v>
      </c>
      <c r="D276" s="2">
        <f>MATCH(产出预期!P293/6,装备养成!$G$4:$G$303,1)</f>
        <v>151</v>
      </c>
      <c r="E276" s="2">
        <f>COUNTIF(产出预期!$R293:$Y293,"&gt;"&amp;0)</f>
        <v>8</v>
      </c>
      <c r="F276" s="2">
        <f ca="1">MATCH(OFFSET(产出预期!$R$19,B276,E276-1),装备养成!$S$4:$S$9,1)</f>
        <v>6</v>
      </c>
      <c r="G276" s="2" t="str">
        <f ca="1">OFFSET(梦灵养成!$D$9,MATCH(梦灵养成!C307,梦灵养成!$C$10:$C$28,1),0)</f>
        <v>我爱沙</v>
      </c>
      <c r="H276" s="2" t="str">
        <f ca="1">OFFSET(梦灵养成!$I$9,MATCH(梦灵养成!C307,梦灵养成!$C$10:$C$28,1),0)</f>
        <v>后羿</v>
      </c>
      <c r="I276" s="45" cm="1">
        <f ca="1" t="array" ref="I276">IFERROR(MATCH(((产出预期!$M293-OFFSET(梦灵养成!$Q$9,MATCH(产出预期!$M293,梦灵养成!$Q$10:$Q$15,1),0))*OFFSET(梦灵养成!L$9,1+MATCH(产出预期!$M293,梦灵养成!$Q$10:$Q$15,1),0)+梦灵养成!D612+SUMPRODUCT(--(梦灵养成!$Q$10:$Q$15&lt;=产出预期!$M293),梦灵养成!L$10:L$15,梦灵养成!$P$10:$P$15))/MAX(SUMPRODUCT(--(梦灵养成!$C$10:$C$31&lt;=产出预期!$M293),--(梦灵养成!$E$10:$E$31=I$2)),1)*10,梦灵养成!AT$339:AT$387,1),0)</f>
        <v>49</v>
      </c>
      <c r="J276" s="45" cm="1">
        <f ca="1" t="array" ref="J276">IFERROR(MATCH(((产出预期!$M293-OFFSET(梦灵养成!$Q$9,MATCH(产出预期!$M293,梦灵养成!$Q$10:$Q$15,1),0))*OFFSET(梦灵养成!M$9,1+MATCH(产出预期!$M293,梦灵养成!$Q$10:$Q$15,1),0)+梦灵养成!E612+SUMPRODUCT(--(梦灵养成!$Q$10:$Q$15&lt;=产出预期!$M293),梦灵养成!M$10:M$15,梦灵养成!$P$10:$P$15))/MAX(SUMPRODUCT(--(梦灵养成!$C$10:$C$31&lt;=产出预期!$M293),--(梦灵养成!$E$10:$E$31=J$2)),1)*10,梦灵养成!AU$339:AU$387,1),0)</f>
        <v>49</v>
      </c>
      <c r="K276" s="45" cm="1">
        <f ca="1" t="array" ref="K276">IFERROR(MATCH(((产出预期!$M293-OFFSET(梦灵养成!$Q$9,MATCH(产出预期!$M293,梦灵养成!$Q$10:$Q$15,1),0))*OFFSET(梦灵养成!N$9,1+MATCH(产出预期!$M293,梦灵养成!$Q$10:$Q$15,1),0)+梦灵养成!F612+SUMPRODUCT(--(梦灵养成!$Q$10:$Q$15&lt;=产出预期!$M293),梦灵养成!N$10:N$15,梦灵养成!$P$10:$P$15))/MAX(SUMPRODUCT(--(梦灵养成!$C$10:$C$31&lt;=产出预期!$M293),--(梦灵养成!$E$10:$E$31=K$2)),1)*10,梦灵养成!AV$339:AV$387,1),0)</f>
        <v>49</v>
      </c>
      <c r="L276" s="45" cm="1">
        <f ca="1" t="array" ref="L276">IFERROR(MATCH(((产出预期!$M293-OFFSET(梦灵养成!$Q$9,MATCH(产出预期!$M293,梦灵养成!$Q$10:$Q$15,1),0))*OFFSET(梦灵养成!O$9,1+MATCH(产出预期!$M293,梦灵养成!$Q$10:$Q$15,1),0)+梦灵养成!G612+SUMPRODUCT(--(梦灵养成!$Q$10:$Q$15&lt;=产出预期!$M293),梦灵养成!O$10:O$15,梦灵养成!$P$10:$P$15))/MAX(SUMPRODUCT(--(梦灵养成!$C$10:$C$31&lt;=产出预期!$M293),--(梦灵养成!$E$10:$E$31=L$2)),1)*10,梦灵养成!AW$339:AW$388,1),0)</f>
        <v>50</v>
      </c>
      <c r="M276" s="45">
        <f ca="1">OFFSET(符文养成!$C$14,MATCH(C276,符文养成!$B$15:$B$44,1),0)</f>
        <v>30</v>
      </c>
      <c r="N276" s="45">
        <f ca="1">MATCH((产出预期!Z293*价值表!$F$53+产出预期!AA293*价值表!$F$54+产出预期!AD293*价值表!$F$57)/16/M276,符文养成!$G$15:$G$21,1)</f>
        <v>5</v>
      </c>
      <c r="O276" s="45">
        <f>MATCH(产出预期!O293,秘宝养成!$C$3:$C$14,1)</f>
        <v>11</v>
      </c>
    </row>
    <row r="277" ht="16.5" spans="2:15">
      <c r="B277" s="2">
        <v>275</v>
      </c>
      <c r="C277" s="2">
        <f ca="1">MATCH((OFFSET(产出预期!$C$3,0,产出预期!$B$1)*10+OFFSET(产出预期!$C$4,0,产出预期!$B$1)*10+OFFSET(产出预期!$C$7,0,产出预期!$B$1)*20)*B277/10*60,玩家等级!$E$3:$E$302,1)</f>
        <v>104</v>
      </c>
      <c r="D277" s="2">
        <f>MATCH(产出预期!P294/6,装备养成!$G$4:$G$303,1)</f>
        <v>151</v>
      </c>
      <c r="E277" s="2">
        <f>COUNTIF(产出预期!$R294:$Y294,"&gt;"&amp;0)</f>
        <v>8</v>
      </c>
      <c r="F277" s="2">
        <f ca="1">MATCH(OFFSET(产出预期!$R$19,B277,E277-1),装备养成!$S$4:$S$9,1)</f>
        <v>6</v>
      </c>
      <c r="G277" s="2" t="str">
        <f ca="1">OFFSET(梦灵养成!$D$9,MATCH(梦灵养成!C308,梦灵养成!$C$10:$C$28,1),0)</f>
        <v>我爱沙</v>
      </c>
      <c r="H277" s="2" t="str">
        <f ca="1">OFFSET(梦灵养成!$I$9,MATCH(梦灵养成!C308,梦灵养成!$C$10:$C$28,1),0)</f>
        <v>后羿</v>
      </c>
      <c r="I277" s="45" cm="1">
        <f ca="1" t="array" ref="I277">IFERROR(MATCH(((产出预期!$M294-OFFSET(梦灵养成!$Q$9,MATCH(产出预期!$M294,梦灵养成!$Q$10:$Q$15,1),0))*OFFSET(梦灵养成!L$9,1+MATCH(产出预期!$M294,梦灵养成!$Q$10:$Q$15,1),0)+梦灵养成!D613+SUMPRODUCT(--(梦灵养成!$Q$10:$Q$15&lt;=产出预期!$M294),梦灵养成!L$10:L$15,梦灵养成!$P$10:$P$15))/MAX(SUMPRODUCT(--(梦灵养成!$C$10:$C$31&lt;=产出预期!$M294),--(梦灵养成!$E$10:$E$31=I$2)),1)*10,梦灵养成!AT$339:AT$387,1),0)</f>
        <v>49</v>
      </c>
      <c r="J277" s="45" cm="1">
        <f ca="1" t="array" ref="J277">IFERROR(MATCH(((产出预期!$M294-OFFSET(梦灵养成!$Q$9,MATCH(产出预期!$M294,梦灵养成!$Q$10:$Q$15,1),0))*OFFSET(梦灵养成!M$9,1+MATCH(产出预期!$M294,梦灵养成!$Q$10:$Q$15,1),0)+梦灵养成!E613+SUMPRODUCT(--(梦灵养成!$Q$10:$Q$15&lt;=产出预期!$M294),梦灵养成!M$10:M$15,梦灵养成!$P$10:$P$15))/MAX(SUMPRODUCT(--(梦灵养成!$C$10:$C$31&lt;=产出预期!$M294),--(梦灵养成!$E$10:$E$31=J$2)),1)*10,梦灵养成!AU$339:AU$387,1),0)</f>
        <v>49</v>
      </c>
      <c r="K277" s="45" cm="1">
        <f ca="1" t="array" ref="K277">IFERROR(MATCH(((产出预期!$M294-OFFSET(梦灵养成!$Q$9,MATCH(产出预期!$M294,梦灵养成!$Q$10:$Q$15,1),0))*OFFSET(梦灵养成!N$9,1+MATCH(产出预期!$M294,梦灵养成!$Q$10:$Q$15,1),0)+梦灵养成!F613+SUMPRODUCT(--(梦灵养成!$Q$10:$Q$15&lt;=产出预期!$M294),梦灵养成!N$10:N$15,梦灵养成!$P$10:$P$15))/MAX(SUMPRODUCT(--(梦灵养成!$C$10:$C$31&lt;=产出预期!$M294),--(梦灵养成!$E$10:$E$31=K$2)),1)*10,梦灵养成!AV$339:AV$387,1),0)</f>
        <v>49</v>
      </c>
      <c r="L277" s="45" cm="1">
        <f ca="1" t="array" ref="L277">IFERROR(MATCH(((产出预期!$M294-OFFSET(梦灵养成!$Q$9,MATCH(产出预期!$M294,梦灵养成!$Q$10:$Q$15,1),0))*OFFSET(梦灵养成!O$9,1+MATCH(产出预期!$M294,梦灵养成!$Q$10:$Q$15,1),0)+梦灵养成!G613+SUMPRODUCT(--(梦灵养成!$Q$10:$Q$15&lt;=产出预期!$M294),梦灵养成!O$10:O$15,梦灵养成!$P$10:$P$15))/MAX(SUMPRODUCT(--(梦灵养成!$C$10:$C$31&lt;=产出预期!$M294),--(梦灵养成!$E$10:$E$31=L$2)),1)*10,梦灵养成!AW$339:AW$388,1),0)</f>
        <v>50</v>
      </c>
      <c r="M277" s="45">
        <f ca="1">OFFSET(符文养成!$C$14,MATCH(C277,符文养成!$B$15:$B$44,1),0)</f>
        <v>30</v>
      </c>
      <c r="N277" s="45">
        <f ca="1">MATCH((产出预期!Z294*价值表!$F$53+产出预期!AA294*价值表!$F$54+产出预期!AD294*价值表!$F$57)/16/M277,符文养成!$G$15:$G$21,1)</f>
        <v>5</v>
      </c>
      <c r="O277" s="45">
        <f>MATCH(产出预期!O294,秘宝养成!$C$3:$C$14,1)</f>
        <v>11</v>
      </c>
    </row>
    <row r="278" ht="16.5" spans="2:15">
      <c r="B278" s="2">
        <v>276</v>
      </c>
      <c r="C278" s="2">
        <f ca="1">MATCH((OFFSET(产出预期!$C$3,0,产出预期!$B$1)*10+OFFSET(产出预期!$C$4,0,产出预期!$B$1)*10+OFFSET(产出预期!$C$7,0,产出预期!$B$1)*20)*B278/10*60,玩家等级!$E$3:$E$302,1)</f>
        <v>104</v>
      </c>
      <c r="D278" s="2">
        <f>MATCH(产出预期!P295/6,装备养成!$G$4:$G$303,1)</f>
        <v>151</v>
      </c>
      <c r="E278" s="2">
        <f>COUNTIF(产出预期!$R295:$Y295,"&gt;"&amp;0)</f>
        <v>8</v>
      </c>
      <c r="F278" s="2">
        <f ca="1">MATCH(OFFSET(产出预期!$R$19,B278,E278-1),装备养成!$S$4:$S$9,1)</f>
        <v>6</v>
      </c>
      <c r="G278" s="2" t="str">
        <f ca="1">OFFSET(梦灵养成!$D$9,MATCH(梦灵养成!C309,梦灵养成!$C$10:$C$28,1),0)</f>
        <v>我爱沙</v>
      </c>
      <c r="H278" s="2" t="str">
        <f ca="1">OFFSET(梦灵养成!$I$9,MATCH(梦灵养成!C309,梦灵养成!$C$10:$C$28,1),0)</f>
        <v>后羿</v>
      </c>
      <c r="I278" s="45" cm="1">
        <f ca="1" t="array" ref="I278">IFERROR(MATCH(((产出预期!$M295-OFFSET(梦灵养成!$Q$9,MATCH(产出预期!$M295,梦灵养成!$Q$10:$Q$15,1),0))*OFFSET(梦灵养成!L$9,1+MATCH(产出预期!$M295,梦灵养成!$Q$10:$Q$15,1),0)+梦灵养成!D614+SUMPRODUCT(--(梦灵养成!$Q$10:$Q$15&lt;=产出预期!$M295),梦灵养成!L$10:L$15,梦灵养成!$P$10:$P$15))/MAX(SUMPRODUCT(--(梦灵养成!$C$10:$C$31&lt;=产出预期!$M295),--(梦灵养成!$E$10:$E$31=I$2)),1)*10,梦灵养成!AT$339:AT$387,1),0)</f>
        <v>49</v>
      </c>
      <c r="J278" s="45" cm="1">
        <f ca="1" t="array" ref="J278">IFERROR(MATCH(((产出预期!$M295-OFFSET(梦灵养成!$Q$9,MATCH(产出预期!$M295,梦灵养成!$Q$10:$Q$15,1),0))*OFFSET(梦灵养成!M$9,1+MATCH(产出预期!$M295,梦灵养成!$Q$10:$Q$15,1),0)+梦灵养成!E614+SUMPRODUCT(--(梦灵养成!$Q$10:$Q$15&lt;=产出预期!$M295),梦灵养成!M$10:M$15,梦灵养成!$P$10:$P$15))/MAX(SUMPRODUCT(--(梦灵养成!$C$10:$C$31&lt;=产出预期!$M295),--(梦灵养成!$E$10:$E$31=J$2)),1)*10,梦灵养成!AU$339:AU$387,1),0)</f>
        <v>49</v>
      </c>
      <c r="K278" s="45" cm="1">
        <f ca="1" t="array" ref="K278">IFERROR(MATCH(((产出预期!$M295-OFFSET(梦灵养成!$Q$9,MATCH(产出预期!$M295,梦灵养成!$Q$10:$Q$15,1),0))*OFFSET(梦灵养成!N$9,1+MATCH(产出预期!$M295,梦灵养成!$Q$10:$Q$15,1),0)+梦灵养成!F614+SUMPRODUCT(--(梦灵养成!$Q$10:$Q$15&lt;=产出预期!$M295),梦灵养成!N$10:N$15,梦灵养成!$P$10:$P$15))/MAX(SUMPRODUCT(--(梦灵养成!$C$10:$C$31&lt;=产出预期!$M295),--(梦灵养成!$E$10:$E$31=K$2)),1)*10,梦灵养成!AV$339:AV$387,1),0)</f>
        <v>49</v>
      </c>
      <c r="L278" s="45" cm="1">
        <f ca="1" t="array" ref="L278">IFERROR(MATCH(((产出预期!$M295-OFFSET(梦灵养成!$Q$9,MATCH(产出预期!$M295,梦灵养成!$Q$10:$Q$15,1),0))*OFFSET(梦灵养成!O$9,1+MATCH(产出预期!$M295,梦灵养成!$Q$10:$Q$15,1),0)+梦灵养成!G614+SUMPRODUCT(--(梦灵养成!$Q$10:$Q$15&lt;=产出预期!$M295),梦灵养成!O$10:O$15,梦灵养成!$P$10:$P$15))/MAX(SUMPRODUCT(--(梦灵养成!$C$10:$C$31&lt;=产出预期!$M295),--(梦灵养成!$E$10:$E$31=L$2)),1)*10,梦灵养成!AW$339:AW$388,1),0)</f>
        <v>50</v>
      </c>
      <c r="M278" s="45">
        <f ca="1">OFFSET(符文养成!$C$14,MATCH(C278,符文养成!$B$15:$B$44,1),0)</f>
        <v>30</v>
      </c>
      <c r="N278" s="45">
        <f ca="1">MATCH((产出预期!Z295*价值表!$F$53+产出预期!AA295*价值表!$F$54+产出预期!AD295*价值表!$F$57)/16/M278,符文养成!$G$15:$G$21,1)</f>
        <v>5</v>
      </c>
      <c r="O278" s="45">
        <f>MATCH(产出预期!O295,秘宝养成!$C$3:$C$14,1)</f>
        <v>11</v>
      </c>
    </row>
    <row r="279" ht="16.5" spans="2:15">
      <c r="B279" s="2">
        <v>277</v>
      </c>
      <c r="C279" s="2">
        <f ca="1">MATCH((OFFSET(产出预期!$C$3,0,产出预期!$B$1)*10+OFFSET(产出预期!$C$4,0,产出预期!$B$1)*10+OFFSET(产出预期!$C$7,0,产出预期!$B$1)*20)*B279/10*60,玩家等级!$E$3:$E$302,1)</f>
        <v>104</v>
      </c>
      <c r="D279" s="2">
        <f>MATCH(产出预期!P296/6,装备养成!$G$4:$G$303,1)</f>
        <v>152</v>
      </c>
      <c r="E279" s="2">
        <f>COUNTIF(产出预期!$R296:$Y296,"&gt;"&amp;0)</f>
        <v>8</v>
      </c>
      <c r="F279" s="2">
        <f ca="1">MATCH(OFFSET(产出预期!$R$19,B279,E279-1),装备养成!$S$4:$S$9,1)</f>
        <v>6</v>
      </c>
      <c r="G279" s="2" t="str">
        <f ca="1">OFFSET(梦灵养成!$D$9,MATCH(梦灵养成!C310,梦灵养成!$C$10:$C$28,1),0)</f>
        <v>我爱沙</v>
      </c>
      <c r="H279" s="2" t="str">
        <f ca="1">OFFSET(梦灵养成!$I$9,MATCH(梦灵养成!C310,梦灵养成!$C$10:$C$28,1),0)</f>
        <v>后羿</v>
      </c>
      <c r="I279" s="45" cm="1">
        <f ca="1" t="array" ref="I279">IFERROR(MATCH(((产出预期!$M296-OFFSET(梦灵养成!$Q$9,MATCH(产出预期!$M296,梦灵养成!$Q$10:$Q$15,1),0))*OFFSET(梦灵养成!L$9,1+MATCH(产出预期!$M296,梦灵养成!$Q$10:$Q$15,1),0)+梦灵养成!D615+SUMPRODUCT(--(梦灵养成!$Q$10:$Q$15&lt;=产出预期!$M296),梦灵养成!L$10:L$15,梦灵养成!$P$10:$P$15))/MAX(SUMPRODUCT(--(梦灵养成!$C$10:$C$31&lt;=产出预期!$M296),--(梦灵养成!$E$10:$E$31=I$2)),1)*10,梦灵养成!AT$339:AT$387,1),0)</f>
        <v>49</v>
      </c>
      <c r="J279" s="45" cm="1">
        <f ca="1" t="array" ref="J279">IFERROR(MATCH(((产出预期!$M296-OFFSET(梦灵养成!$Q$9,MATCH(产出预期!$M296,梦灵养成!$Q$10:$Q$15,1),0))*OFFSET(梦灵养成!M$9,1+MATCH(产出预期!$M296,梦灵养成!$Q$10:$Q$15,1),0)+梦灵养成!E615+SUMPRODUCT(--(梦灵养成!$Q$10:$Q$15&lt;=产出预期!$M296),梦灵养成!M$10:M$15,梦灵养成!$P$10:$P$15))/MAX(SUMPRODUCT(--(梦灵养成!$C$10:$C$31&lt;=产出预期!$M296),--(梦灵养成!$E$10:$E$31=J$2)),1)*10,梦灵养成!AU$339:AU$387,1),0)</f>
        <v>49</v>
      </c>
      <c r="K279" s="45" cm="1">
        <f ca="1" t="array" ref="K279">IFERROR(MATCH(((产出预期!$M296-OFFSET(梦灵养成!$Q$9,MATCH(产出预期!$M296,梦灵养成!$Q$10:$Q$15,1),0))*OFFSET(梦灵养成!N$9,1+MATCH(产出预期!$M296,梦灵养成!$Q$10:$Q$15,1),0)+梦灵养成!F615+SUMPRODUCT(--(梦灵养成!$Q$10:$Q$15&lt;=产出预期!$M296),梦灵养成!N$10:N$15,梦灵养成!$P$10:$P$15))/MAX(SUMPRODUCT(--(梦灵养成!$C$10:$C$31&lt;=产出预期!$M296),--(梦灵养成!$E$10:$E$31=K$2)),1)*10,梦灵养成!AV$339:AV$387,1),0)</f>
        <v>49</v>
      </c>
      <c r="L279" s="45" cm="1">
        <f ca="1" t="array" ref="L279">IFERROR(MATCH(((产出预期!$M296-OFFSET(梦灵养成!$Q$9,MATCH(产出预期!$M296,梦灵养成!$Q$10:$Q$15,1),0))*OFFSET(梦灵养成!O$9,1+MATCH(产出预期!$M296,梦灵养成!$Q$10:$Q$15,1),0)+梦灵养成!G615+SUMPRODUCT(--(梦灵养成!$Q$10:$Q$15&lt;=产出预期!$M296),梦灵养成!O$10:O$15,梦灵养成!$P$10:$P$15))/MAX(SUMPRODUCT(--(梦灵养成!$C$10:$C$31&lt;=产出预期!$M296),--(梦灵养成!$E$10:$E$31=L$2)),1)*10,梦灵养成!AW$339:AW$388,1),0)</f>
        <v>50</v>
      </c>
      <c r="M279" s="45">
        <f ca="1">OFFSET(符文养成!$C$14,MATCH(C279,符文养成!$B$15:$B$44,1),0)</f>
        <v>30</v>
      </c>
      <c r="N279" s="45">
        <f ca="1">MATCH((产出预期!Z296*价值表!$F$53+产出预期!AA296*价值表!$F$54+产出预期!AD296*价值表!$F$57)/16/M279,符文养成!$G$15:$G$21,1)</f>
        <v>5</v>
      </c>
      <c r="O279" s="45">
        <f>MATCH(产出预期!O296,秘宝养成!$C$3:$C$14,1)</f>
        <v>11</v>
      </c>
    </row>
    <row r="280" ht="16.5" spans="2:15">
      <c r="B280" s="2">
        <v>278</v>
      </c>
      <c r="C280" s="2">
        <f ca="1">MATCH((OFFSET(产出预期!$C$3,0,产出预期!$B$1)*10+OFFSET(产出预期!$C$4,0,产出预期!$B$1)*10+OFFSET(产出预期!$C$7,0,产出预期!$B$1)*20)*B280/10*60,玩家等级!$E$3:$E$302,1)</f>
        <v>104</v>
      </c>
      <c r="D280" s="2">
        <f>MATCH(产出预期!P297/6,装备养成!$G$4:$G$303,1)</f>
        <v>152</v>
      </c>
      <c r="E280" s="2">
        <f>COUNTIF(产出预期!$R297:$Y297,"&gt;"&amp;0)</f>
        <v>8</v>
      </c>
      <c r="F280" s="2">
        <f ca="1">MATCH(OFFSET(产出预期!$R$19,B280,E280-1),装备养成!$S$4:$S$9,1)</f>
        <v>6</v>
      </c>
      <c r="G280" s="2" t="str">
        <f ca="1">OFFSET(梦灵养成!$D$9,MATCH(梦灵养成!C311,梦灵养成!$C$10:$C$28,1),0)</f>
        <v>我爱沙</v>
      </c>
      <c r="H280" s="2" t="str">
        <f ca="1">OFFSET(梦灵养成!$I$9,MATCH(梦灵养成!C311,梦灵养成!$C$10:$C$28,1),0)</f>
        <v>后羿</v>
      </c>
      <c r="I280" s="45" cm="1">
        <f ca="1" t="array" ref="I280">IFERROR(MATCH(((产出预期!$M297-OFFSET(梦灵养成!$Q$9,MATCH(产出预期!$M297,梦灵养成!$Q$10:$Q$15,1),0))*OFFSET(梦灵养成!L$9,1+MATCH(产出预期!$M297,梦灵养成!$Q$10:$Q$15,1),0)+梦灵养成!D616+SUMPRODUCT(--(梦灵养成!$Q$10:$Q$15&lt;=产出预期!$M297),梦灵养成!L$10:L$15,梦灵养成!$P$10:$P$15))/MAX(SUMPRODUCT(--(梦灵养成!$C$10:$C$31&lt;=产出预期!$M297),--(梦灵养成!$E$10:$E$31=I$2)),1)*10,梦灵养成!AT$339:AT$387,1),0)</f>
        <v>49</v>
      </c>
      <c r="J280" s="45" cm="1">
        <f ca="1" t="array" ref="J280">IFERROR(MATCH(((产出预期!$M297-OFFSET(梦灵养成!$Q$9,MATCH(产出预期!$M297,梦灵养成!$Q$10:$Q$15,1),0))*OFFSET(梦灵养成!M$9,1+MATCH(产出预期!$M297,梦灵养成!$Q$10:$Q$15,1),0)+梦灵养成!E616+SUMPRODUCT(--(梦灵养成!$Q$10:$Q$15&lt;=产出预期!$M297),梦灵养成!M$10:M$15,梦灵养成!$P$10:$P$15))/MAX(SUMPRODUCT(--(梦灵养成!$C$10:$C$31&lt;=产出预期!$M297),--(梦灵养成!$E$10:$E$31=J$2)),1)*10,梦灵养成!AU$339:AU$387,1),0)</f>
        <v>49</v>
      </c>
      <c r="K280" s="45" cm="1">
        <f ca="1" t="array" ref="K280">IFERROR(MATCH(((产出预期!$M297-OFFSET(梦灵养成!$Q$9,MATCH(产出预期!$M297,梦灵养成!$Q$10:$Q$15,1),0))*OFFSET(梦灵养成!N$9,1+MATCH(产出预期!$M297,梦灵养成!$Q$10:$Q$15,1),0)+梦灵养成!F616+SUMPRODUCT(--(梦灵养成!$Q$10:$Q$15&lt;=产出预期!$M297),梦灵养成!N$10:N$15,梦灵养成!$P$10:$P$15))/MAX(SUMPRODUCT(--(梦灵养成!$C$10:$C$31&lt;=产出预期!$M297),--(梦灵养成!$E$10:$E$31=K$2)),1)*10,梦灵养成!AV$339:AV$387,1),0)</f>
        <v>49</v>
      </c>
      <c r="L280" s="45" cm="1">
        <f ca="1" t="array" ref="L280">IFERROR(MATCH(((产出预期!$M297-OFFSET(梦灵养成!$Q$9,MATCH(产出预期!$M297,梦灵养成!$Q$10:$Q$15,1),0))*OFFSET(梦灵养成!O$9,1+MATCH(产出预期!$M297,梦灵养成!$Q$10:$Q$15,1),0)+梦灵养成!G616+SUMPRODUCT(--(梦灵养成!$Q$10:$Q$15&lt;=产出预期!$M297),梦灵养成!O$10:O$15,梦灵养成!$P$10:$P$15))/MAX(SUMPRODUCT(--(梦灵养成!$C$10:$C$31&lt;=产出预期!$M297),--(梦灵养成!$E$10:$E$31=L$2)),1)*10,梦灵养成!AW$339:AW$388,1),0)</f>
        <v>50</v>
      </c>
      <c r="M280" s="45">
        <f ca="1">OFFSET(符文养成!$C$14,MATCH(C280,符文养成!$B$15:$B$44,1),0)</f>
        <v>30</v>
      </c>
      <c r="N280" s="45">
        <f ca="1">MATCH((产出预期!Z297*价值表!$F$53+产出预期!AA297*价值表!$F$54+产出预期!AD297*价值表!$F$57)/16/M280,符文养成!$G$15:$G$21,1)</f>
        <v>5</v>
      </c>
      <c r="O280" s="45">
        <f>MATCH(产出预期!O297,秘宝养成!$C$3:$C$14,1)</f>
        <v>11</v>
      </c>
    </row>
    <row r="281" ht="16.5" spans="2:15">
      <c r="B281" s="2">
        <v>279</v>
      </c>
      <c r="C281" s="2">
        <f ca="1">MATCH((OFFSET(产出预期!$C$3,0,产出预期!$B$1)*10+OFFSET(产出预期!$C$4,0,产出预期!$B$1)*10+OFFSET(产出预期!$C$7,0,产出预期!$B$1)*20)*B281/10*60,玩家等级!$E$3:$E$302,1)</f>
        <v>105</v>
      </c>
      <c r="D281" s="2">
        <f>MATCH(产出预期!P298/6,装备养成!$G$4:$G$303,1)</f>
        <v>152</v>
      </c>
      <c r="E281" s="2">
        <f>COUNTIF(产出预期!$R298:$Y298,"&gt;"&amp;0)</f>
        <v>8</v>
      </c>
      <c r="F281" s="2">
        <f ca="1">MATCH(OFFSET(产出预期!$R$19,B281,E281-1),装备养成!$S$4:$S$9,1)</f>
        <v>6</v>
      </c>
      <c r="G281" s="2" t="str">
        <f ca="1">OFFSET(梦灵养成!$D$9,MATCH(梦灵养成!C312,梦灵养成!$C$10:$C$28,1),0)</f>
        <v>我爱沙</v>
      </c>
      <c r="H281" s="2" t="str">
        <f ca="1">OFFSET(梦灵养成!$I$9,MATCH(梦灵养成!C312,梦灵养成!$C$10:$C$28,1),0)</f>
        <v>后羿</v>
      </c>
      <c r="I281" s="45" cm="1">
        <f ca="1" t="array" ref="I281">IFERROR(MATCH(((产出预期!$M298-OFFSET(梦灵养成!$Q$9,MATCH(产出预期!$M298,梦灵养成!$Q$10:$Q$15,1),0))*OFFSET(梦灵养成!L$9,1+MATCH(产出预期!$M298,梦灵养成!$Q$10:$Q$15,1),0)+梦灵养成!D617+SUMPRODUCT(--(梦灵养成!$Q$10:$Q$15&lt;=产出预期!$M298),梦灵养成!L$10:L$15,梦灵养成!$P$10:$P$15))/MAX(SUMPRODUCT(--(梦灵养成!$C$10:$C$31&lt;=产出预期!$M298),--(梦灵养成!$E$10:$E$31=I$2)),1)*10,梦灵养成!AT$339:AT$387,1),0)</f>
        <v>49</v>
      </c>
      <c r="J281" s="45" cm="1">
        <f ca="1" t="array" ref="J281">IFERROR(MATCH(((产出预期!$M298-OFFSET(梦灵养成!$Q$9,MATCH(产出预期!$M298,梦灵养成!$Q$10:$Q$15,1),0))*OFFSET(梦灵养成!M$9,1+MATCH(产出预期!$M298,梦灵养成!$Q$10:$Q$15,1),0)+梦灵养成!E617+SUMPRODUCT(--(梦灵养成!$Q$10:$Q$15&lt;=产出预期!$M298),梦灵养成!M$10:M$15,梦灵养成!$P$10:$P$15))/MAX(SUMPRODUCT(--(梦灵养成!$C$10:$C$31&lt;=产出预期!$M298),--(梦灵养成!$E$10:$E$31=J$2)),1)*10,梦灵养成!AU$339:AU$387,1),0)</f>
        <v>49</v>
      </c>
      <c r="K281" s="45" cm="1">
        <f ca="1" t="array" ref="K281">IFERROR(MATCH(((产出预期!$M298-OFFSET(梦灵养成!$Q$9,MATCH(产出预期!$M298,梦灵养成!$Q$10:$Q$15,1),0))*OFFSET(梦灵养成!N$9,1+MATCH(产出预期!$M298,梦灵养成!$Q$10:$Q$15,1),0)+梦灵养成!F617+SUMPRODUCT(--(梦灵养成!$Q$10:$Q$15&lt;=产出预期!$M298),梦灵养成!N$10:N$15,梦灵养成!$P$10:$P$15))/MAX(SUMPRODUCT(--(梦灵养成!$C$10:$C$31&lt;=产出预期!$M298),--(梦灵养成!$E$10:$E$31=K$2)),1)*10,梦灵养成!AV$339:AV$387,1),0)</f>
        <v>49</v>
      </c>
      <c r="L281" s="45" cm="1">
        <f ca="1" t="array" ref="L281">IFERROR(MATCH(((产出预期!$M298-OFFSET(梦灵养成!$Q$9,MATCH(产出预期!$M298,梦灵养成!$Q$10:$Q$15,1),0))*OFFSET(梦灵养成!O$9,1+MATCH(产出预期!$M298,梦灵养成!$Q$10:$Q$15,1),0)+梦灵养成!G617+SUMPRODUCT(--(梦灵养成!$Q$10:$Q$15&lt;=产出预期!$M298),梦灵养成!O$10:O$15,梦灵养成!$P$10:$P$15))/MAX(SUMPRODUCT(--(梦灵养成!$C$10:$C$31&lt;=产出预期!$M298),--(梦灵养成!$E$10:$E$31=L$2)),1)*10,梦灵养成!AW$339:AW$388,1),0)</f>
        <v>50</v>
      </c>
      <c r="M281" s="45">
        <f ca="1">OFFSET(符文养成!$C$14,MATCH(C281,符文养成!$B$15:$B$44,1),0)</f>
        <v>30</v>
      </c>
      <c r="N281" s="45">
        <f ca="1">MATCH((产出预期!Z298*价值表!$F$53+产出预期!AA298*价值表!$F$54+产出预期!AD298*价值表!$F$57)/16/M281,符文养成!$G$15:$G$21,1)</f>
        <v>5</v>
      </c>
      <c r="O281" s="45">
        <f>MATCH(产出预期!O298,秘宝养成!$C$3:$C$14,1)</f>
        <v>11</v>
      </c>
    </row>
    <row r="282" ht="16.5" spans="2:15">
      <c r="B282" s="2">
        <v>280</v>
      </c>
      <c r="C282" s="2">
        <f ca="1">MATCH((OFFSET(产出预期!$C$3,0,产出预期!$B$1)*10+OFFSET(产出预期!$C$4,0,产出预期!$B$1)*10+OFFSET(产出预期!$C$7,0,产出预期!$B$1)*20)*B282/10*60,玩家等级!$E$3:$E$302,1)</f>
        <v>105</v>
      </c>
      <c r="D282" s="2">
        <f>MATCH(产出预期!P299/6,装备养成!$G$4:$G$303,1)</f>
        <v>152</v>
      </c>
      <c r="E282" s="2">
        <f>COUNTIF(产出预期!$R299:$Y299,"&gt;"&amp;0)</f>
        <v>8</v>
      </c>
      <c r="F282" s="2">
        <f ca="1">MATCH(OFFSET(产出预期!$R$19,B282,E282-1),装备养成!$S$4:$S$9,1)</f>
        <v>6</v>
      </c>
      <c r="G282" s="2" t="str">
        <f ca="1">OFFSET(梦灵养成!$D$9,MATCH(梦灵养成!C313,梦灵养成!$C$10:$C$28,1),0)</f>
        <v>我爱沙</v>
      </c>
      <c r="H282" s="2" t="str">
        <f ca="1">OFFSET(梦灵养成!$I$9,MATCH(梦灵养成!C313,梦灵养成!$C$10:$C$28,1),0)</f>
        <v>后羿</v>
      </c>
      <c r="I282" s="45" cm="1">
        <f ca="1" t="array" ref="I282">IFERROR(MATCH(((产出预期!$M299-OFFSET(梦灵养成!$Q$9,MATCH(产出预期!$M299,梦灵养成!$Q$10:$Q$15,1),0))*OFFSET(梦灵养成!L$9,1+MATCH(产出预期!$M299,梦灵养成!$Q$10:$Q$15,1),0)+梦灵养成!D618+SUMPRODUCT(--(梦灵养成!$Q$10:$Q$15&lt;=产出预期!$M299),梦灵养成!L$10:L$15,梦灵养成!$P$10:$P$15))/MAX(SUMPRODUCT(--(梦灵养成!$C$10:$C$31&lt;=产出预期!$M299),--(梦灵养成!$E$10:$E$31=I$2)),1)*10,梦灵养成!AT$339:AT$387,1),0)</f>
        <v>49</v>
      </c>
      <c r="J282" s="45" cm="1">
        <f ca="1" t="array" ref="J282">IFERROR(MATCH(((产出预期!$M299-OFFSET(梦灵养成!$Q$9,MATCH(产出预期!$M299,梦灵养成!$Q$10:$Q$15,1),0))*OFFSET(梦灵养成!M$9,1+MATCH(产出预期!$M299,梦灵养成!$Q$10:$Q$15,1),0)+梦灵养成!E618+SUMPRODUCT(--(梦灵养成!$Q$10:$Q$15&lt;=产出预期!$M299),梦灵养成!M$10:M$15,梦灵养成!$P$10:$P$15))/MAX(SUMPRODUCT(--(梦灵养成!$C$10:$C$31&lt;=产出预期!$M299),--(梦灵养成!$E$10:$E$31=J$2)),1)*10,梦灵养成!AU$339:AU$387,1),0)</f>
        <v>49</v>
      </c>
      <c r="K282" s="45" cm="1">
        <f ca="1" t="array" ref="K282">IFERROR(MATCH(((产出预期!$M299-OFFSET(梦灵养成!$Q$9,MATCH(产出预期!$M299,梦灵养成!$Q$10:$Q$15,1),0))*OFFSET(梦灵养成!N$9,1+MATCH(产出预期!$M299,梦灵养成!$Q$10:$Q$15,1),0)+梦灵养成!F618+SUMPRODUCT(--(梦灵养成!$Q$10:$Q$15&lt;=产出预期!$M299),梦灵养成!N$10:N$15,梦灵养成!$P$10:$P$15))/MAX(SUMPRODUCT(--(梦灵养成!$C$10:$C$31&lt;=产出预期!$M299),--(梦灵养成!$E$10:$E$31=K$2)),1)*10,梦灵养成!AV$339:AV$387,1),0)</f>
        <v>49</v>
      </c>
      <c r="L282" s="45" cm="1">
        <f ca="1" t="array" ref="L282">IFERROR(MATCH(((产出预期!$M299-OFFSET(梦灵养成!$Q$9,MATCH(产出预期!$M299,梦灵养成!$Q$10:$Q$15,1),0))*OFFSET(梦灵养成!O$9,1+MATCH(产出预期!$M299,梦灵养成!$Q$10:$Q$15,1),0)+梦灵养成!G618+SUMPRODUCT(--(梦灵养成!$Q$10:$Q$15&lt;=产出预期!$M299),梦灵养成!O$10:O$15,梦灵养成!$P$10:$P$15))/MAX(SUMPRODUCT(--(梦灵养成!$C$10:$C$31&lt;=产出预期!$M299),--(梦灵养成!$E$10:$E$31=L$2)),1)*10,梦灵养成!AW$339:AW$388,1),0)</f>
        <v>50</v>
      </c>
      <c r="M282" s="45">
        <f ca="1">OFFSET(符文养成!$C$14,MATCH(C282,符文养成!$B$15:$B$44,1),0)</f>
        <v>30</v>
      </c>
      <c r="N282" s="45">
        <f ca="1">MATCH((产出预期!Z299*价值表!$F$53+产出预期!AA299*价值表!$F$54+产出预期!AD299*价值表!$F$57)/16/M282,符文养成!$G$15:$G$21,1)</f>
        <v>5</v>
      </c>
      <c r="O282" s="45">
        <f>MATCH(产出预期!O299,秘宝养成!$C$3:$C$14,1)</f>
        <v>11</v>
      </c>
    </row>
    <row r="283" ht="16.5" spans="2:15">
      <c r="B283" s="2">
        <v>281</v>
      </c>
      <c r="C283" s="2">
        <f ca="1">MATCH((OFFSET(产出预期!$C$3,0,产出预期!$B$1)*10+OFFSET(产出预期!$C$4,0,产出预期!$B$1)*10+OFFSET(产出预期!$C$7,0,产出预期!$B$1)*20)*B283/10*60,玩家等级!$E$3:$E$302,1)</f>
        <v>105</v>
      </c>
      <c r="D283" s="2">
        <f>MATCH(产出预期!P300/6,装备养成!$G$4:$G$303,1)</f>
        <v>153</v>
      </c>
      <c r="E283" s="2">
        <f>COUNTIF(产出预期!$R300:$Y300,"&gt;"&amp;0)</f>
        <v>8</v>
      </c>
      <c r="F283" s="2">
        <f ca="1">MATCH(OFFSET(产出预期!$R$19,B283,E283-1),装备养成!$S$4:$S$9,1)</f>
        <v>6</v>
      </c>
      <c r="G283" s="2" t="str">
        <f ca="1">OFFSET(梦灵养成!$D$9,MATCH(梦灵养成!C314,梦灵养成!$C$10:$C$28,1),0)</f>
        <v>我爱沙</v>
      </c>
      <c r="H283" s="2" t="str">
        <f ca="1">OFFSET(梦灵养成!$I$9,MATCH(梦灵养成!C314,梦灵养成!$C$10:$C$28,1),0)</f>
        <v>后羿</v>
      </c>
      <c r="I283" s="45" cm="1">
        <f ca="1" t="array" ref="I283">IFERROR(MATCH(((产出预期!$M300-OFFSET(梦灵养成!$Q$9,MATCH(产出预期!$M300,梦灵养成!$Q$10:$Q$15,1),0))*OFFSET(梦灵养成!L$9,1+MATCH(产出预期!$M300,梦灵养成!$Q$10:$Q$15,1),0)+梦灵养成!D619+SUMPRODUCT(--(梦灵养成!$Q$10:$Q$15&lt;=产出预期!$M300),梦灵养成!L$10:L$15,梦灵养成!$P$10:$P$15))/MAX(SUMPRODUCT(--(梦灵养成!$C$10:$C$31&lt;=产出预期!$M300),--(梦灵养成!$E$10:$E$31=I$2)),1)*10,梦灵养成!AT$339:AT$387,1),0)</f>
        <v>49</v>
      </c>
      <c r="J283" s="45" cm="1">
        <f ca="1" t="array" ref="J283">IFERROR(MATCH(((产出预期!$M300-OFFSET(梦灵养成!$Q$9,MATCH(产出预期!$M300,梦灵养成!$Q$10:$Q$15,1),0))*OFFSET(梦灵养成!M$9,1+MATCH(产出预期!$M300,梦灵养成!$Q$10:$Q$15,1),0)+梦灵养成!E619+SUMPRODUCT(--(梦灵养成!$Q$10:$Q$15&lt;=产出预期!$M300),梦灵养成!M$10:M$15,梦灵养成!$P$10:$P$15))/MAX(SUMPRODUCT(--(梦灵养成!$C$10:$C$31&lt;=产出预期!$M300),--(梦灵养成!$E$10:$E$31=J$2)),1)*10,梦灵养成!AU$339:AU$387,1),0)</f>
        <v>49</v>
      </c>
      <c r="K283" s="45" cm="1">
        <f ca="1" t="array" ref="K283">IFERROR(MATCH(((产出预期!$M300-OFFSET(梦灵养成!$Q$9,MATCH(产出预期!$M300,梦灵养成!$Q$10:$Q$15,1),0))*OFFSET(梦灵养成!N$9,1+MATCH(产出预期!$M300,梦灵养成!$Q$10:$Q$15,1),0)+梦灵养成!F619+SUMPRODUCT(--(梦灵养成!$Q$10:$Q$15&lt;=产出预期!$M300),梦灵养成!N$10:N$15,梦灵养成!$P$10:$P$15))/MAX(SUMPRODUCT(--(梦灵养成!$C$10:$C$31&lt;=产出预期!$M300),--(梦灵养成!$E$10:$E$31=K$2)),1)*10,梦灵养成!AV$339:AV$387,1),0)</f>
        <v>49</v>
      </c>
      <c r="L283" s="45" cm="1">
        <f ca="1" t="array" ref="L283">IFERROR(MATCH(((产出预期!$M300-OFFSET(梦灵养成!$Q$9,MATCH(产出预期!$M300,梦灵养成!$Q$10:$Q$15,1),0))*OFFSET(梦灵养成!O$9,1+MATCH(产出预期!$M300,梦灵养成!$Q$10:$Q$15,1),0)+梦灵养成!G619+SUMPRODUCT(--(梦灵养成!$Q$10:$Q$15&lt;=产出预期!$M300),梦灵养成!O$10:O$15,梦灵养成!$P$10:$P$15))/MAX(SUMPRODUCT(--(梦灵养成!$C$10:$C$31&lt;=产出预期!$M300),--(梦灵养成!$E$10:$E$31=L$2)),1)*10,梦灵养成!AW$339:AW$388,1),0)</f>
        <v>50</v>
      </c>
      <c r="M283" s="45">
        <f ca="1">OFFSET(符文养成!$C$14,MATCH(C283,符文养成!$B$15:$B$44,1),0)</f>
        <v>30</v>
      </c>
      <c r="N283" s="45">
        <f ca="1">MATCH((产出预期!Z300*价值表!$F$53+产出预期!AA300*价值表!$F$54+产出预期!AD300*价值表!$F$57)/16/M283,符文养成!$G$15:$G$21,1)</f>
        <v>5</v>
      </c>
      <c r="O283" s="45">
        <f>MATCH(产出预期!O300,秘宝养成!$C$3:$C$14,1)</f>
        <v>11</v>
      </c>
    </row>
    <row r="284" ht="16.5" spans="2:15">
      <c r="B284" s="2">
        <v>282</v>
      </c>
      <c r="C284" s="2">
        <f ca="1">MATCH((OFFSET(产出预期!$C$3,0,产出预期!$B$1)*10+OFFSET(产出预期!$C$4,0,产出预期!$B$1)*10+OFFSET(产出预期!$C$7,0,产出预期!$B$1)*20)*B284/10*60,玩家等级!$E$3:$E$302,1)</f>
        <v>105</v>
      </c>
      <c r="D284" s="2">
        <f>MATCH(产出预期!P301/6,装备养成!$G$4:$G$303,1)</f>
        <v>153</v>
      </c>
      <c r="E284" s="2">
        <f>COUNTIF(产出预期!$R301:$Y301,"&gt;"&amp;0)</f>
        <v>8</v>
      </c>
      <c r="F284" s="2">
        <f ca="1">MATCH(OFFSET(产出预期!$R$19,B284,E284-1),装备养成!$S$4:$S$9,1)</f>
        <v>6</v>
      </c>
      <c r="G284" s="2" t="str">
        <f ca="1">OFFSET(梦灵养成!$D$9,MATCH(梦灵养成!C315,梦灵养成!$C$10:$C$28,1),0)</f>
        <v>我爱沙</v>
      </c>
      <c r="H284" s="2" t="str">
        <f ca="1">OFFSET(梦灵养成!$I$9,MATCH(梦灵养成!C315,梦灵养成!$C$10:$C$28,1),0)</f>
        <v>后羿</v>
      </c>
      <c r="I284" s="45" cm="1">
        <f ca="1" t="array" ref="I284">IFERROR(MATCH(((产出预期!$M301-OFFSET(梦灵养成!$Q$9,MATCH(产出预期!$M301,梦灵养成!$Q$10:$Q$15,1),0))*OFFSET(梦灵养成!L$9,1+MATCH(产出预期!$M301,梦灵养成!$Q$10:$Q$15,1),0)+梦灵养成!D620+SUMPRODUCT(--(梦灵养成!$Q$10:$Q$15&lt;=产出预期!$M301),梦灵养成!L$10:L$15,梦灵养成!$P$10:$P$15))/MAX(SUMPRODUCT(--(梦灵养成!$C$10:$C$31&lt;=产出预期!$M301),--(梦灵养成!$E$10:$E$31=I$2)),1)*10,梦灵养成!AT$339:AT$387,1),0)</f>
        <v>49</v>
      </c>
      <c r="J284" s="45" cm="1">
        <f ca="1" t="array" ref="J284">IFERROR(MATCH(((产出预期!$M301-OFFSET(梦灵养成!$Q$9,MATCH(产出预期!$M301,梦灵养成!$Q$10:$Q$15,1),0))*OFFSET(梦灵养成!M$9,1+MATCH(产出预期!$M301,梦灵养成!$Q$10:$Q$15,1),0)+梦灵养成!E620+SUMPRODUCT(--(梦灵养成!$Q$10:$Q$15&lt;=产出预期!$M301),梦灵养成!M$10:M$15,梦灵养成!$P$10:$P$15))/MAX(SUMPRODUCT(--(梦灵养成!$C$10:$C$31&lt;=产出预期!$M301),--(梦灵养成!$E$10:$E$31=J$2)),1)*10,梦灵养成!AU$339:AU$387,1),0)</f>
        <v>49</v>
      </c>
      <c r="K284" s="45" cm="1">
        <f ca="1" t="array" ref="K284">IFERROR(MATCH(((产出预期!$M301-OFFSET(梦灵养成!$Q$9,MATCH(产出预期!$M301,梦灵养成!$Q$10:$Q$15,1),0))*OFFSET(梦灵养成!N$9,1+MATCH(产出预期!$M301,梦灵养成!$Q$10:$Q$15,1),0)+梦灵养成!F620+SUMPRODUCT(--(梦灵养成!$Q$10:$Q$15&lt;=产出预期!$M301),梦灵养成!N$10:N$15,梦灵养成!$P$10:$P$15))/MAX(SUMPRODUCT(--(梦灵养成!$C$10:$C$31&lt;=产出预期!$M301),--(梦灵养成!$E$10:$E$31=K$2)),1)*10,梦灵养成!AV$339:AV$387,1),0)</f>
        <v>49</v>
      </c>
      <c r="L284" s="45" cm="1">
        <f ca="1" t="array" ref="L284">IFERROR(MATCH(((产出预期!$M301-OFFSET(梦灵养成!$Q$9,MATCH(产出预期!$M301,梦灵养成!$Q$10:$Q$15,1),0))*OFFSET(梦灵养成!O$9,1+MATCH(产出预期!$M301,梦灵养成!$Q$10:$Q$15,1),0)+梦灵养成!G620+SUMPRODUCT(--(梦灵养成!$Q$10:$Q$15&lt;=产出预期!$M301),梦灵养成!O$10:O$15,梦灵养成!$P$10:$P$15))/MAX(SUMPRODUCT(--(梦灵养成!$C$10:$C$31&lt;=产出预期!$M301),--(梦灵养成!$E$10:$E$31=L$2)),1)*10,梦灵养成!AW$339:AW$388,1),0)</f>
        <v>50</v>
      </c>
      <c r="M284" s="45">
        <f ca="1">OFFSET(符文养成!$C$14,MATCH(C284,符文养成!$B$15:$B$44,1),0)</f>
        <v>30</v>
      </c>
      <c r="N284" s="45">
        <f ca="1">MATCH((产出预期!Z301*价值表!$F$53+产出预期!AA301*价值表!$F$54+产出预期!AD301*价值表!$F$57)/16/M284,符文养成!$G$15:$G$21,1)</f>
        <v>5</v>
      </c>
      <c r="O284" s="45">
        <f>MATCH(产出预期!O301,秘宝养成!$C$3:$C$14,1)</f>
        <v>11</v>
      </c>
    </row>
    <row r="285" ht="16.5" spans="2:15">
      <c r="B285" s="2">
        <v>283</v>
      </c>
      <c r="C285" s="2">
        <f ca="1">MATCH((OFFSET(产出预期!$C$3,0,产出预期!$B$1)*10+OFFSET(产出预期!$C$4,0,产出预期!$B$1)*10+OFFSET(产出预期!$C$7,0,产出预期!$B$1)*20)*B285/10*60,玩家等级!$E$3:$E$302,1)</f>
        <v>105</v>
      </c>
      <c r="D285" s="2">
        <f>MATCH(产出预期!P302/6,装备养成!$G$4:$G$303,1)</f>
        <v>153</v>
      </c>
      <c r="E285" s="2">
        <f>COUNTIF(产出预期!$R302:$Y302,"&gt;"&amp;0)</f>
        <v>8</v>
      </c>
      <c r="F285" s="2">
        <f ca="1">MATCH(OFFSET(产出预期!$R$19,B285,E285-1),装备养成!$S$4:$S$9,1)</f>
        <v>6</v>
      </c>
      <c r="G285" s="2" t="str">
        <f ca="1">OFFSET(梦灵养成!$D$9,MATCH(梦灵养成!C316,梦灵养成!$C$10:$C$28,1),0)</f>
        <v>我爱沙</v>
      </c>
      <c r="H285" s="2" t="str">
        <f ca="1">OFFSET(梦灵养成!$I$9,MATCH(梦灵养成!C316,梦灵养成!$C$10:$C$28,1),0)</f>
        <v>后羿</v>
      </c>
      <c r="I285" s="45" cm="1">
        <f ca="1" t="array" ref="I285">IFERROR(MATCH(((产出预期!$M302-OFFSET(梦灵养成!$Q$9,MATCH(产出预期!$M302,梦灵养成!$Q$10:$Q$15,1),0))*OFFSET(梦灵养成!L$9,1+MATCH(产出预期!$M302,梦灵养成!$Q$10:$Q$15,1),0)+梦灵养成!D621+SUMPRODUCT(--(梦灵养成!$Q$10:$Q$15&lt;=产出预期!$M302),梦灵养成!L$10:L$15,梦灵养成!$P$10:$P$15))/MAX(SUMPRODUCT(--(梦灵养成!$C$10:$C$31&lt;=产出预期!$M302),--(梦灵养成!$E$10:$E$31=I$2)),1)*10,梦灵养成!AT$339:AT$387,1),0)</f>
        <v>49</v>
      </c>
      <c r="J285" s="45" cm="1">
        <f ca="1" t="array" ref="J285">IFERROR(MATCH(((产出预期!$M302-OFFSET(梦灵养成!$Q$9,MATCH(产出预期!$M302,梦灵养成!$Q$10:$Q$15,1),0))*OFFSET(梦灵养成!M$9,1+MATCH(产出预期!$M302,梦灵养成!$Q$10:$Q$15,1),0)+梦灵养成!E621+SUMPRODUCT(--(梦灵养成!$Q$10:$Q$15&lt;=产出预期!$M302),梦灵养成!M$10:M$15,梦灵养成!$P$10:$P$15))/MAX(SUMPRODUCT(--(梦灵养成!$C$10:$C$31&lt;=产出预期!$M302),--(梦灵养成!$E$10:$E$31=J$2)),1)*10,梦灵养成!AU$339:AU$387,1),0)</f>
        <v>49</v>
      </c>
      <c r="K285" s="45" cm="1">
        <f ca="1" t="array" ref="K285">IFERROR(MATCH(((产出预期!$M302-OFFSET(梦灵养成!$Q$9,MATCH(产出预期!$M302,梦灵养成!$Q$10:$Q$15,1),0))*OFFSET(梦灵养成!N$9,1+MATCH(产出预期!$M302,梦灵养成!$Q$10:$Q$15,1),0)+梦灵养成!F621+SUMPRODUCT(--(梦灵养成!$Q$10:$Q$15&lt;=产出预期!$M302),梦灵养成!N$10:N$15,梦灵养成!$P$10:$P$15))/MAX(SUMPRODUCT(--(梦灵养成!$C$10:$C$31&lt;=产出预期!$M302),--(梦灵养成!$E$10:$E$31=K$2)),1)*10,梦灵养成!AV$339:AV$387,1),0)</f>
        <v>49</v>
      </c>
      <c r="L285" s="45" cm="1">
        <f ca="1" t="array" ref="L285">IFERROR(MATCH(((产出预期!$M302-OFFSET(梦灵养成!$Q$9,MATCH(产出预期!$M302,梦灵养成!$Q$10:$Q$15,1),0))*OFFSET(梦灵养成!O$9,1+MATCH(产出预期!$M302,梦灵养成!$Q$10:$Q$15,1),0)+梦灵养成!G621+SUMPRODUCT(--(梦灵养成!$Q$10:$Q$15&lt;=产出预期!$M302),梦灵养成!O$10:O$15,梦灵养成!$P$10:$P$15))/MAX(SUMPRODUCT(--(梦灵养成!$C$10:$C$31&lt;=产出预期!$M302),--(梦灵养成!$E$10:$E$31=L$2)),1)*10,梦灵养成!AW$339:AW$388,1),0)</f>
        <v>50</v>
      </c>
      <c r="M285" s="45">
        <f ca="1">OFFSET(符文养成!$C$14,MATCH(C285,符文养成!$B$15:$B$44,1),0)</f>
        <v>30</v>
      </c>
      <c r="N285" s="45">
        <f ca="1">MATCH((产出预期!Z302*价值表!$F$53+产出预期!AA302*价值表!$F$54+产出预期!AD302*价值表!$F$57)/16/M285,符文养成!$G$15:$G$21,1)</f>
        <v>5</v>
      </c>
      <c r="O285" s="45">
        <f>MATCH(产出预期!O302,秘宝养成!$C$3:$C$14,1)</f>
        <v>11</v>
      </c>
    </row>
    <row r="286" ht="16.5" spans="2:15">
      <c r="B286" s="2">
        <v>284</v>
      </c>
      <c r="C286" s="2">
        <f ca="1">MATCH((OFFSET(产出预期!$C$3,0,产出预期!$B$1)*10+OFFSET(产出预期!$C$4,0,产出预期!$B$1)*10+OFFSET(产出预期!$C$7,0,产出预期!$B$1)*20)*B286/10*60,玩家等级!$E$3:$E$302,1)</f>
        <v>105</v>
      </c>
      <c r="D286" s="2">
        <f>MATCH(产出预期!P303/6,装备养成!$G$4:$G$303,1)</f>
        <v>153</v>
      </c>
      <c r="E286" s="2">
        <f>COUNTIF(产出预期!$R303:$Y303,"&gt;"&amp;0)</f>
        <v>8</v>
      </c>
      <c r="F286" s="2">
        <f ca="1">MATCH(OFFSET(产出预期!$R$19,B286,E286-1),装备养成!$S$4:$S$9,1)</f>
        <v>6</v>
      </c>
      <c r="G286" s="2" t="str">
        <f ca="1">OFFSET(梦灵养成!$D$9,MATCH(梦灵养成!C317,梦灵养成!$C$10:$C$28,1),0)</f>
        <v>我爱沙</v>
      </c>
      <c r="H286" s="2" t="str">
        <f ca="1">OFFSET(梦灵养成!$I$9,MATCH(梦灵养成!C317,梦灵养成!$C$10:$C$28,1),0)</f>
        <v>后羿</v>
      </c>
      <c r="I286" s="45" cm="1">
        <f ca="1" t="array" ref="I286">IFERROR(MATCH(((产出预期!$M303-OFFSET(梦灵养成!$Q$9,MATCH(产出预期!$M303,梦灵养成!$Q$10:$Q$15,1),0))*OFFSET(梦灵养成!L$9,1+MATCH(产出预期!$M303,梦灵养成!$Q$10:$Q$15,1),0)+梦灵养成!D622+SUMPRODUCT(--(梦灵养成!$Q$10:$Q$15&lt;=产出预期!$M303),梦灵养成!L$10:L$15,梦灵养成!$P$10:$P$15))/MAX(SUMPRODUCT(--(梦灵养成!$C$10:$C$31&lt;=产出预期!$M303),--(梦灵养成!$E$10:$E$31=I$2)),1)*10,梦灵养成!AT$339:AT$387,1),0)</f>
        <v>49</v>
      </c>
      <c r="J286" s="45" cm="1">
        <f ca="1" t="array" ref="J286">IFERROR(MATCH(((产出预期!$M303-OFFSET(梦灵养成!$Q$9,MATCH(产出预期!$M303,梦灵养成!$Q$10:$Q$15,1),0))*OFFSET(梦灵养成!M$9,1+MATCH(产出预期!$M303,梦灵养成!$Q$10:$Q$15,1),0)+梦灵养成!E622+SUMPRODUCT(--(梦灵养成!$Q$10:$Q$15&lt;=产出预期!$M303),梦灵养成!M$10:M$15,梦灵养成!$P$10:$P$15))/MAX(SUMPRODUCT(--(梦灵养成!$C$10:$C$31&lt;=产出预期!$M303),--(梦灵养成!$E$10:$E$31=J$2)),1)*10,梦灵养成!AU$339:AU$387,1),0)</f>
        <v>49</v>
      </c>
      <c r="K286" s="45" cm="1">
        <f ca="1" t="array" ref="K286">IFERROR(MATCH(((产出预期!$M303-OFFSET(梦灵养成!$Q$9,MATCH(产出预期!$M303,梦灵养成!$Q$10:$Q$15,1),0))*OFFSET(梦灵养成!N$9,1+MATCH(产出预期!$M303,梦灵养成!$Q$10:$Q$15,1),0)+梦灵养成!F622+SUMPRODUCT(--(梦灵养成!$Q$10:$Q$15&lt;=产出预期!$M303),梦灵养成!N$10:N$15,梦灵养成!$P$10:$P$15))/MAX(SUMPRODUCT(--(梦灵养成!$C$10:$C$31&lt;=产出预期!$M303),--(梦灵养成!$E$10:$E$31=K$2)),1)*10,梦灵养成!AV$339:AV$387,1),0)</f>
        <v>49</v>
      </c>
      <c r="L286" s="45" cm="1">
        <f ca="1" t="array" ref="L286">IFERROR(MATCH(((产出预期!$M303-OFFSET(梦灵养成!$Q$9,MATCH(产出预期!$M303,梦灵养成!$Q$10:$Q$15,1),0))*OFFSET(梦灵养成!O$9,1+MATCH(产出预期!$M303,梦灵养成!$Q$10:$Q$15,1),0)+梦灵养成!G622+SUMPRODUCT(--(梦灵养成!$Q$10:$Q$15&lt;=产出预期!$M303),梦灵养成!O$10:O$15,梦灵养成!$P$10:$P$15))/MAX(SUMPRODUCT(--(梦灵养成!$C$10:$C$31&lt;=产出预期!$M303),--(梦灵养成!$E$10:$E$31=L$2)),1)*10,梦灵养成!AW$339:AW$388,1),0)</f>
        <v>50</v>
      </c>
      <c r="M286" s="45">
        <f ca="1">OFFSET(符文养成!$C$14,MATCH(C286,符文养成!$B$15:$B$44,1),0)</f>
        <v>30</v>
      </c>
      <c r="N286" s="45">
        <f ca="1">MATCH((产出预期!Z303*价值表!$F$53+产出预期!AA303*价值表!$F$54+产出预期!AD303*价值表!$F$57)/16/M286,符文养成!$G$15:$G$21,1)</f>
        <v>5</v>
      </c>
      <c r="O286" s="45">
        <f>MATCH(产出预期!O303,秘宝养成!$C$3:$C$14,1)</f>
        <v>11</v>
      </c>
    </row>
    <row r="287" ht="16.5" spans="2:15">
      <c r="B287" s="2">
        <v>285</v>
      </c>
      <c r="C287" s="2">
        <f ca="1">MATCH((OFFSET(产出预期!$C$3,0,产出预期!$B$1)*10+OFFSET(产出预期!$C$4,0,产出预期!$B$1)*10+OFFSET(产出预期!$C$7,0,产出预期!$B$1)*20)*B287/10*60,玩家等级!$E$3:$E$302,1)</f>
        <v>105</v>
      </c>
      <c r="D287" s="2">
        <f>MATCH(产出预期!P304/6,装备养成!$G$4:$G$303,1)</f>
        <v>153</v>
      </c>
      <c r="E287" s="2">
        <f>COUNTIF(产出预期!$R304:$Y304,"&gt;"&amp;0)</f>
        <v>8</v>
      </c>
      <c r="F287" s="2">
        <f ca="1">MATCH(OFFSET(产出预期!$R$19,B287,E287-1),装备养成!$S$4:$S$9,1)</f>
        <v>6</v>
      </c>
      <c r="G287" s="2" t="str">
        <f ca="1">OFFSET(梦灵养成!$D$9,MATCH(梦灵养成!C318,梦灵养成!$C$10:$C$28,1),0)</f>
        <v>我爱沙</v>
      </c>
      <c r="H287" s="2" t="str">
        <f ca="1">OFFSET(梦灵养成!$I$9,MATCH(梦灵养成!C318,梦灵养成!$C$10:$C$28,1),0)</f>
        <v>后羿</v>
      </c>
      <c r="I287" s="45" cm="1">
        <f ca="1" t="array" ref="I287">IFERROR(MATCH(((产出预期!$M304-OFFSET(梦灵养成!$Q$9,MATCH(产出预期!$M304,梦灵养成!$Q$10:$Q$15,1),0))*OFFSET(梦灵养成!L$9,1+MATCH(产出预期!$M304,梦灵养成!$Q$10:$Q$15,1),0)+梦灵养成!D623+SUMPRODUCT(--(梦灵养成!$Q$10:$Q$15&lt;=产出预期!$M304),梦灵养成!L$10:L$15,梦灵养成!$P$10:$P$15))/MAX(SUMPRODUCT(--(梦灵养成!$C$10:$C$31&lt;=产出预期!$M304),--(梦灵养成!$E$10:$E$31=I$2)),1)*10,梦灵养成!AT$339:AT$387,1),0)</f>
        <v>49</v>
      </c>
      <c r="J287" s="45" cm="1">
        <f ca="1" t="array" ref="J287">IFERROR(MATCH(((产出预期!$M304-OFFSET(梦灵养成!$Q$9,MATCH(产出预期!$M304,梦灵养成!$Q$10:$Q$15,1),0))*OFFSET(梦灵养成!M$9,1+MATCH(产出预期!$M304,梦灵养成!$Q$10:$Q$15,1),0)+梦灵养成!E623+SUMPRODUCT(--(梦灵养成!$Q$10:$Q$15&lt;=产出预期!$M304),梦灵养成!M$10:M$15,梦灵养成!$P$10:$P$15))/MAX(SUMPRODUCT(--(梦灵养成!$C$10:$C$31&lt;=产出预期!$M304),--(梦灵养成!$E$10:$E$31=J$2)),1)*10,梦灵养成!AU$339:AU$387,1),0)</f>
        <v>49</v>
      </c>
      <c r="K287" s="45" cm="1">
        <f ca="1" t="array" ref="K287">IFERROR(MATCH(((产出预期!$M304-OFFSET(梦灵养成!$Q$9,MATCH(产出预期!$M304,梦灵养成!$Q$10:$Q$15,1),0))*OFFSET(梦灵养成!N$9,1+MATCH(产出预期!$M304,梦灵养成!$Q$10:$Q$15,1),0)+梦灵养成!F623+SUMPRODUCT(--(梦灵养成!$Q$10:$Q$15&lt;=产出预期!$M304),梦灵养成!N$10:N$15,梦灵养成!$P$10:$P$15))/MAX(SUMPRODUCT(--(梦灵养成!$C$10:$C$31&lt;=产出预期!$M304),--(梦灵养成!$E$10:$E$31=K$2)),1)*10,梦灵养成!AV$339:AV$387,1),0)</f>
        <v>49</v>
      </c>
      <c r="L287" s="45" cm="1">
        <f ca="1" t="array" ref="L287">IFERROR(MATCH(((产出预期!$M304-OFFSET(梦灵养成!$Q$9,MATCH(产出预期!$M304,梦灵养成!$Q$10:$Q$15,1),0))*OFFSET(梦灵养成!O$9,1+MATCH(产出预期!$M304,梦灵养成!$Q$10:$Q$15,1),0)+梦灵养成!G623+SUMPRODUCT(--(梦灵养成!$Q$10:$Q$15&lt;=产出预期!$M304),梦灵养成!O$10:O$15,梦灵养成!$P$10:$P$15))/MAX(SUMPRODUCT(--(梦灵养成!$C$10:$C$31&lt;=产出预期!$M304),--(梦灵养成!$E$10:$E$31=L$2)),1)*10,梦灵养成!AW$339:AW$388,1),0)</f>
        <v>50</v>
      </c>
      <c r="M287" s="45">
        <f ca="1">OFFSET(符文养成!$C$14,MATCH(C287,符文养成!$B$15:$B$44,1),0)</f>
        <v>30</v>
      </c>
      <c r="N287" s="45">
        <f ca="1">MATCH((产出预期!Z304*价值表!$F$53+产出预期!AA304*价值表!$F$54+产出预期!AD304*价值表!$F$57)/16/M287,符文养成!$G$15:$G$21,1)</f>
        <v>5</v>
      </c>
      <c r="O287" s="45">
        <f>MATCH(产出预期!O304,秘宝养成!$C$3:$C$14,1)</f>
        <v>11</v>
      </c>
    </row>
    <row r="288" ht="16.5" spans="2:15">
      <c r="B288" s="2">
        <v>286</v>
      </c>
      <c r="C288" s="2">
        <f ca="1">MATCH((OFFSET(产出预期!$C$3,0,产出预期!$B$1)*10+OFFSET(产出预期!$C$4,0,产出预期!$B$1)*10+OFFSET(产出预期!$C$7,0,产出预期!$B$1)*20)*B288/10*60,玩家等级!$E$3:$E$302,1)</f>
        <v>105</v>
      </c>
      <c r="D288" s="2">
        <f>MATCH(产出预期!P305/6,装备养成!$G$4:$G$303,1)</f>
        <v>154</v>
      </c>
      <c r="E288" s="2">
        <f>COUNTIF(产出预期!$R305:$Y305,"&gt;"&amp;0)</f>
        <v>8</v>
      </c>
      <c r="F288" s="2">
        <f ca="1">MATCH(OFFSET(产出预期!$R$19,B288,E288-1),装备养成!$S$4:$S$9,1)</f>
        <v>6</v>
      </c>
      <c r="G288" s="2" t="str">
        <f ca="1">OFFSET(梦灵养成!$D$9,MATCH(梦灵养成!C319,梦灵养成!$C$10:$C$28,1),0)</f>
        <v>我爱沙</v>
      </c>
      <c r="H288" s="2" t="str">
        <f ca="1">OFFSET(梦灵养成!$I$9,MATCH(梦灵养成!C319,梦灵养成!$C$10:$C$28,1),0)</f>
        <v>后羿</v>
      </c>
      <c r="I288" s="45" cm="1">
        <f ca="1" t="array" ref="I288">IFERROR(MATCH(((产出预期!$M305-OFFSET(梦灵养成!$Q$9,MATCH(产出预期!$M305,梦灵养成!$Q$10:$Q$15,1),0))*OFFSET(梦灵养成!L$9,1+MATCH(产出预期!$M305,梦灵养成!$Q$10:$Q$15,1),0)+梦灵养成!D624+SUMPRODUCT(--(梦灵养成!$Q$10:$Q$15&lt;=产出预期!$M305),梦灵养成!L$10:L$15,梦灵养成!$P$10:$P$15))/MAX(SUMPRODUCT(--(梦灵养成!$C$10:$C$31&lt;=产出预期!$M305),--(梦灵养成!$E$10:$E$31=I$2)),1)*10,梦灵养成!AT$339:AT$387,1),0)</f>
        <v>49</v>
      </c>
      <c r="J288" s="45" cm="1">
        <f ca="1" t="array" ref="J288">IFERROR(MATCH(((产出预期!$M305-OFFSET(梦灵养成!$Q$9,MATCH(产出预期!$M305,梦灵养成!$Q$10:$Q$15,1),0))*OFFSET(梦灵养成!M$9,1+MATCH(产出预期!$M305,梦灵养成!$Q$10:$Q$15,1),0)+梦灵养成!E624+SUMPRODUCT(--(梦灵养成!$Q$10:$Q$15&lt;=产出预期!$M305),梦灵养成!M$10:M$15,梦灵养成!$P$10:$P$15))/MAX(SUMPRODUCT(--(梦灵养成!$C$10:$C$31&lt;=产出预期!$M305),--(梦灵养成!$E$10:$E$31=J$2)),1)*10,梦灵养成!AU$339:AU$387,1),0)</f>
        <v>49</v>
      </c>
      <c r="K288" s="45" cm="1">
        <f ca="1" t="array" ref="K288">IFERROR(MATCH(((产出预期!$M305-OFFSET(梦灵养成!$Q$9,MATCH(产出预期!$M305,梦灵养成!$Q$10:$Q$15,1),0))*OFFSET(梦灵养成!N$9,1+MATCH(产出预期!$M305,梦灵养成!$Q$10:$Q$15,1),0)+梦灵养成!F624+SUMPRODUCT(--(梦灵养成!$Q$10:$Q$15&lt;=产出预期!$M305),梦灵养成!N$10:N$15,梦灵养成!$P$10:$P$15))/MAX(SUMPRODUCT(--(梦灵养成!$C$10:$C$31&lt;=产出预期!$M305),--(梦灵养成!$E$10:$E$31=K$2)),1)*10,梦灵养成!AV$339:AV$387,1),0)</f>
        <v>49</v>
      </c>
      <c r="L288" s="45" cm="1">
        <f ca="1" t="array" ref="L288">IFERROR(MATCH(((产出预期!$M305-OFFSET(梦灵养成!$Q$9,MATCH(产出预期!$M305,梦灵养成!$Q$10:$Q$15,1),0))*OFFSET(梦灵养成!O$9,1+MATCH(产出预期!$M305,梦灵养成!$Q$10:$Q$15,1),0)+梦灵养成!G624+SUMPRODUCT(--(梦灵养成!$Q$10:$Q$15&lt;=产出预期!$M305),梦灵养成!O$10:O$15,梦灵养成!$P$10:$P$15))/MAX(SUMPRODUCT(--(梦灵养成!$C$10:$C$31&lt;=产出预期!$M305),--(梦灵养成!$E$10:$E$31=L$2)),1)*10,梦灵养成!AW$339:AW$388,1),0)</f>
        <v>50</v>
      </c>
      <c r="M288" s="45">
        <f ca="1">OFFSET(符文养成!$C$14,MATCH(C288,符文养成!$B$15:$B$44,1),0)</f>
        <v>30</v>
      </c>
      <c r="N288" s="45">
        <f ca="1">MATCH((产出预期!Z305*价值表!$F$53+产出预期!AA305*价值表!$F$54+产出预期!AD305*价值表!$F$57)/16/M288,符文养成!$G$15:$G$21,1)</f>
        <v>5</v>
      </c>
      <c r="O288" s="45">
        <f>MATCH(产出预期!O305,秘宝养成!$C$3:$C$14,1)</f>
        <v>11</v>
      </c>
    </row>
    <row r="289" ht="16.5" spans="2:15">
      <c r="B289" s="2">
        <v>287</v>
      </c>
      <c r="C289" s="2">
        <f ca="1">MATCH((OFFSET(产出预期!$C$3,0,产出预期!$B$1)*10+OFFSET(产出预期!$C$4,0,产出预期!$B$1)*10+OFFSET(产出预期!$C$7,0,产出预期!$B$1)*20)*B289/10*60,玩家等级!$E$3:$E$302,1)</f>
        <v>105</v>
      </c>
      <c r="D289" s="2">
        <f>MATCH(产出预期!P306/6,装备养成!$G$4:$G$303,1)</f>
        <v>154</v>
      </c>
      <c r="E289" s="2">
        <f>COUNTIF(产出预期!$R306:$Y306,"&gt;"&amp;0)</f>
        <v>8</v>
      </c>
      <c r="F289" s="2">
        <f ca="1">MATCH(OFFSET(产出预期!$R$19,B289,E289-1),装备养成!$S$4:$S$9,1)</f>
        <v>6</v>
      </c>
      <c r="G289" s="2" t="str">
        <f ca="1">OFFSET(梦灵养成!$D$9,MATCH(梦灵养成!C320,梦灵养成!$C$10:$C$28,1),0)</f>
        <v>我爱沙</v>
      </c>
      <c r="H289" s="2" t="str">
        <f ca="1">OFFSET(梦灵养成!$I$9,MATCH(梦灵养成!C320,梦灵养成!$C$10:$C$28,1),0)</f>
        <v>后羿</v>
      </c>
      <c r="I289" s="45" cm="1">
        <f ca="1" t="array" ref="I289">IFERROR(MATCH(((产出预期!$M306-OFFSET(梦灵养成!$Q$9,MATCH(产出预期!$M306,梦灵养成!$Q$10:$Q$15,1),0))*OFFSET(梦灵养成!L$9,1+MATCH(产出预期!$M306,梦灵养成!$Q$10:$Q$15,1),0)+梦灵养成!D625+SUMPRODUCT(--(梦灵养成!$Q$10:$Q$15&lt;=产出预期!$M306),梦灵养成!L$10:L$15,梦灵养成!$P$10:$P$15))/MAX(SUMPRODUCT(--(梦灵养成!$C$10:$C$31&lt;=产出预期!$M306),--(梦灵养成!$E$10:$E$31=I$2)),1)*10,梦灵养成!AT$339:AT$387,1),0)</f>
        <v>49</v>
      </c>
      <c r="J289" s="45" cm="1">
        <f ca="1" t="array" ref="J289">IFERROR(MATCH(((产出预期!$M306-OFFSET(梦灵养成!$Q$9,MATCH(产出预期!$M306,梦灵养成!$Q$10:$Q$15,1),0))*OFFSET(梦灵养成!M$9,1+MATCH(产出预期!$M306,梦灵养成!$Q$10:$Q$15,1),0)+梦灵养成!E625+SUMPRODUCT(--(梦灵养成!$Q$10:$Q$15&lt;=产出预期!$M306),梦灵养成!M$10:M$15,梦灵养成!$P$10:$P$15))/MAX(SUMPRODUCT(--(梦灵养成!$C$10:$C$31&lt;=产出预期!$M306),--(梦灵养成!$E$10:$E$31=J$2)),1)*10,梦灵养成!AU$339:AU$387,1),0)</f>
        <v>49</v>
      </c>
      <c r="K289" s="45" cm="1">
        <f ca="1" t="array" ref="K289">IFERROR(MATCH(((产出预期!$M306-OFFSET(梦灵养成!$Q$9,MATCH(产出预期!$M306,梦灵养成!$Q$10:$Q$15,1),0))*OFFSET(梦灵养成!N$9,1+MATCH(产出预期!$M306,梦灵养成!$Q$10:$Q$15,1),0)+梦灵养成!F625+SUMPRODUCT(--(梦灵养成!$Q$10:$Q$15&lt;=产出预期!$M306),梦灵养成!N$10:N$15,梦灵养成!$P$10:$P$15))/MAX(SUMPRODUCT(--(梦灵养成!$C$10:$C$31&lt;=产出预期!$M306),--(梦灵养成!$E$10:$E$31=K$2)),1)*10,梦灵养成!AV$339:AV$387,1),0)</f>
        <v>49</v>
      </c>
      <c r="L289" s="45" cm="1">
        <f ca="1" t="array" ref="L289">IFERROR(MATCH(((产出预期!$M306-OFFSET(梦灵养成!$Q$9,MATCH(产出预期!$M306,梦灵养成!$Q$10:$Q$15,1),0))*OFFSET(梦灵养成!O$9,1+MATCH(产出预期!$M306,梦灵养成!$Q$10:$Q$15,1),0)+梦灵养成!G625+SUMPRODUCT(--(梦灵养成!$Q$10:$Q$15&lt;=产出预期!$M306),梦灵养成!O$10:O$15,梦灵养成!$P$10:$P$15))/MAX(SUMPRODUCT(--(梦灵养成!$C$10:$C$31&lt;=产出预期!$M306),--(梦灵养成!$E$10:$E$31=L$2)),1)*10,梦灵养成!AW$339:AW$388,1),0)</f>
        <v>50</v>
      </c>
      <c r="M289" s="45">
        <f ca="1">OFFSET(符文养成!$C$14,MATCH(C289,符文养成!$B$15:$B$44,1),0)</f>
        <v>30</v>
      </c>
      <c r="N289" s="45">
        <f ca="1">MATCH((产出预期!Z306*价值表!$F$53+产出预期!AA306*价值表!$F$54+产出预期!AD306*价值表!$F$57)/16/M289,符文养成!$G$15:$G$21,1)</f>
        <v>5</v>
      </c>
      <c r="O289" s="45">
        <f>MATCH(产出预期!O306,秘宝养成!$C$3:$C$14,1)</f>
        <v>11</v>
      </c>
    </row>
    <row r="290" ht="16.5" spans="2:15">
      <c r="B290" s="2">
        <v>288</v>
      </c>
      <c r="C290" s="2">
        <f ca="1">MATCH((OFFSET(产出预期!$C$3,0,产出预期!$B$1)*10+OFFSET(产出预期!$C$4,0,产出预期!$B$1)*10+OFFSET(产出预期!$C$7,0,产出预期!$B$1)*20)*B290/10*60,玩家等级!$E$3:$E$302,1)</f>
        <v>105</v>
      </c>
      <c r="D290" s="2">
        <f>MATCH(产出预期!P307/6,装备养成!$G$4:$G$303,1)</f>
        <v>154</v>
      </c>
      <c r="E290" s="2">
        <f>COUNTIF(产出预期!$R307:$Y307,"&gt;"&amp;0)</f>
        <v>8</v>
      </c>
      <c r="F290" s="2">
        <f ca="1">MATCH(OFFSET(产出预期!$R$19,B290,E290-1),装备养成!$S$4:$S$9,1)</f>
        <v>6</v>
      </c>
      <c r="G290" s="2" t="str">
        <f ca="1">OFFSET(梦灵养成!$D$9,MATCH(梦灵养成!C321,梦灵养成!$C$10:$C$28,1),0)</f>
        <v>我爱沙</v>
      </c>
      <c r="H290" s="2" t="str">
        <f ca="1">OFFSET(梦灵养成!$I$9,MATCH(梦灵养成!C321,梦灵养成!$C$10:$C$28,1),0)</f>
        <v>后羿</v>
      </c>
      <c r="I290" s="45" cm="1">
        <f ca="1" t="array" ref="I290">IFERROR(MATCH(((产出预期!$M307-OFFSET(梦灵养成!$Q$9,MATCH(产出预期!$M307,梦灵养成!$Q$10:$Q$15,1),0))*OFFSET(梦灵养成!L$9,1+MATCH(产出预期!$M307,梦灵养成!$Q$10:$Q$15,1),0)+梦灵养成!D626+SUMPRODUCT(--(梦灵养成!$Q$10:$Q$15&lt;=产出预期!$M307),梦灵养成!L$10:L$15,梦灵养成!$P$10:$P$15))/MAX(SUMPRODUCT(--(梦灵养成!$C$10:$C$31&lt;=产出预期!$M307),--(梦灵养成!$E$10:$E$31=I$2)),1)*10,梦灵养成!AT$339:AT$387,1),0)</f>
        <v>49</v>
      </c>
      <c r="J290" s="45" cm="1">
        <f ca="1" t="array" ref="J290">IFERROR(MATCH(((产出预期!$M307-OFFSET(梦灵养成!$Q$9,MATCH(产出预期!$M307,梦灵养成!$Q$10:$Q$15,1),0))*OFFSET(梦灵养成!M$9,1+MATCH(产出预期!$M307,梦灵养成!$Q$10:$Q$15,1),0)+梦灵养成!E626+SUMPRODUCT(--(梦灵养成!$Q$10:$Q$15&lt;=产出预期!$M307),梦灵养成!M$10:M$15,梦灵养成!$P$10:$P$15))/MAX(SUMPRODUCT(--(梦灵养成!$C$10:$C$31&lt;=产出预期!$M307),--(梦灵养成!$E$10:$E$31=J$2)),1)*10,梦灵养成!AU$339:AU$387,1),0)</f>
        <v>49</v>
      </c>
      <c r="K290" s="45" cm="1">
        <f ca="1" t="array" ref="K290">IFERROR(MATCH(((产出预期!$M307-OFFSET(梦灵养成!$Q$9,MATCH(产出预期!$M307,梦灵养成!$Q$10:$Q$15,1),0))*OFFSET(梦灵养成!N$9,1+MATCH(产出预期!$M307,梦灵养成!$Q$10:$Q$15,1),0)+梦灵养成!F626+SUMPRODUCT(--(梦灵养成!$Q$10:$Q$15&lt;=产出预期!$M307),梦灵养成!N$10:N$15,梦灵养成!$P$10:$P$15))/MAX(SUMPRODUCT(--(梦灵养成!$C$10:$C$31&lt;=产出预期!$M307),--(梦灵养成!$E$10:$E$31=K$2)),1)*10,梦灵养成!AV$339:AV$387,1),0)</f>
        <v>49</v>
      </c>
      <c r="L290" s="45" cm="1">
        <f ca="1" t="array" ref="L290">IFERROR(MATCH(((产出预期!$M307-OFFSET(梦灵养成!$Q$9,MATCH(产出预期!$M307,梦灵养成!$Q$10:$Q$15,1),0))*OFFSET(梦灵养成!O$9,1+MATCH(产出预期!$M307,梦灵养成!$Q$10:$Q$15,1),0)+梦灵养成!G626+SUMPRODUCT(--(梦灵养成!$Q$10:$Q$15&lt;=产出预期!$M307),梦灵养成!O$10:O$15,梦灵养成!$P$10:$P$15))/MAX(SUMPRODUCT(--(梦灵养成!$C$10:$C$31&lt;=产出预期!$M307),--(梦灵养成!$E$10:$E$31=L$2)),1)*10,梦灵养成!AW$339:AW$388,1),0)</f>
        <v>50</v>
      </c>
      <c r="M290" s="45">
        <f ca="1">OFFSET(符文养成!$C$14,MATCH(C290,符文养成!$B$15:$B$44,1),0)</f>
        <v>30</v>
      </c>
      <c r="N290" s="45">
        <f ca="1">MATCH((产出预期!Z307*价值表!$F$53+产出预期!AA307*价值表!$F$54+产出预期!AD307*价值表!$F$57)/16/M290,符文养成!$G$15:$G$21,1)</f>
        <v>5</v>
      </c>
      <c r="O290" s="45">
        <f>MATCH(产出预期!O307,秘宝养成!$C$3:$C$14,1)</f>
        <v>11</v>
      </c>
    </row>
    <row r="291" ht="16.5" spans="2:15">
      <c r="B291" s="2">
        <v>289</v>
      </c>
      <c r="C291" s="2">
        <f ca="1">MATCH((OFFSET(产出预期!$C$3,0,产出预期!$B$1)*10+OFFSET(产出预期!$C$4,0,产出预期!$B$1)*10+OFFSET(产出预期!$C$7,0,产出预期!$B$1)*20)*B291/10*60,玩家等级!$E$3:$E$302,1)</f>
        <v>105</v>
      </c>
      <c r="D291" s="2">
        <f>MATCH(产出预期!P308/6,装备养成!$G$4:$G$303,1)</f>
        <v>154</v>
      </c>
      <c r="E291" s="2">
        <f>COUNTIF(产出预期!$R308:$Y308,"&gt;"&amp;0)</f>
        <v>8</v>
      </c>
      <c r="F291" s="2">
        <f ca="1">MATCH(OFFSET(产出预期!$R$19,B291,E291-1),装备养成!$S$4:$S$9,1)</f>
        <v>6</v>
      </c>
      <c r="G291" s="2" t="str">
        <f ca="1">OFFSET(梦灵养成!$D$9,MATCH(梦灵养成!C322,梦灵养成!$C$10:$C$28,1),0)</f>
        <v>我爱沙</v>
      </c>
      <c r="H291" s="2" t="str">
        <f ca="1">OFFSET(梦灵养成!$I$9,MATCH(梦灵养成!C322,梦灵养成!$C$10:$C$28,1),0)</f>
        <v>后羿</v>
      </c>
      <c r="I291" s="45" cm="1">
        <f ca="1" t="array" ref="I291">IFERROR(MATCH(((产出预期!$M308-OFFSET(梦灵养成!$Q$9,MATCH(产出预期!$M308,梦灵养成!$Q$10:$Q$15,1),0))*OFFSET(梦灵养成!L$9,1+MATCH(产出预期!$M308,梦灵养成!$Q$10:$Q$15,1),0)+梦灵养成!D627+SUMPRODUCT(--(梦灵养成!$Q$10:$Q$15&lt;=产出预期!$M308),梦灵养成!L$10:L$15,梦灵养成!$P$10:$P$15))/MAX(SUMPRODUCT(--(梦灵养成!$C$10:$C$31&lt;=产出预期!$M308),--(梦灵养成!$E$10:$E$31=I$2)),1)*10,梦灵养成!AT$339:AT$387,1),0)</f>
        <v>49</v>
      </c>
      <c r="J291" s="45" cm="1">
        <f ca="1" t="array" ref="J291">IFERROR(MATCH(((产出预期!$M308-OFFSET(梦灵养成!$Q$9,MATCH(产出预期!$M308,梦灵养成!$Q$10:$Q$15,1),0))*OFFSET(梦灵养成!M$9,1+MATCH(产出预期!$M308,梦灵养成!$Q$10:$Q$15,1),0)+梦灵养成!E627+SUMPRODUCT(--(梦灵养成!$Q$10:$Q$15&lt;=产出预期!$M308),梦灵养成!M$10:M$15,梦灵养成!$P$10:$P$15))/MAX(SUMPRODUCT(--(梦灵养成!$C$10:$C$31&lt;=产出预期!$M308),--(梦灵养成!$E$10:$E$31=J$2)),1)*10,梦灵养成!AU$339:AU$387,1),0)</f>
        <v>49</v>
      </c>
      <c r="K291" s="45" cm="1">
        <f ca="1" t="array" ref="K291">IFERROR(MATCH(((产出预期!$M308-OFFSET(梦灵养成!$Q$9,MATCH(产出预期!$M308,梦灵养成!$Q$10:$Q$15,1),0))*OFFSET(梦灵养成!N$9,1+MATCH(产出预期!$M308,梦灵养成!$Q$10:$Q$15,1),0)+梦灵养成!F627+SUMPRODUCT(--(梦灵养成!$Q$10:$Q$15&lt;=产出预期!$M308),梦灵养成!N$10:N$15,梦灵养成!$P$10:$P$15))/MAX(SUMPRODUCT(--(梦灵养成!$C$10:$C$31&lt;=产出预期!$M308),--(梦灵养成!$E$10:$E$31=K$2)),1)*10,梦灵养成!AV$339:AV$387,1),0)</f>
        <v>49</v>
      </c>
      <c r="L291" s="45" cm="1">
        <f ca="1" t="array" ref="L291">IFERROR(MATCH(((产出预期!$M308-OFFSET(梦灵养成!$Q$9,MATCH(产出预期!$M308,梦灵养成!$Q$10:$Q$15,1),0))*OFFSET(梦灵养成!O$9,1+MATCH(产出预期!$M308,梦灵养成!$Q$10:$Q$15,1),0)+梦灵养成!G627+SUMPRODUCT(--(梦灵养成!$Q$10:$Q$15&lt;=产出预期!$M308),梦灵养成!O$10:O$15,梦灵养成!$P$10:$P$15))/MAX(SUMPRODUCT(--(梦灵养成!$C$10:$C$31&lt;=产出预期!$M308),--(梦灵养成!$E$10:$E$31=L$2)),1)*10,梦灵养成!AW$339:AW$388,1),0)</f>
        <v>50</v>
      </c>
      <c r="M291" s="45">
        <f ca="1">OFFSET(符文养成!$C$14,MATCH(C291,符文养成!$B$15:$B$44,1),0)</f>
        <v>30</v>
      </c>
      <c r="N291" s="45">
        <f ca="1">MATCH((产出预期!Z308*价值表!$F$53+产出预期!AA308*价值表!$F$54+产出预期!AD308*价值表!$F$57)/16/M291,符文养成!$G$15:$G$21,1)</f>
        <v>5</v>
      </c>
      <c r="O291" s="45">
        <f>MATCH(产出预期!O308,秘宝养成!$C$3:$C$14,1)</f>
        <v>11</v>
      </c>
    </row>
    <row r="292" ht="16.5" spans="2:15">
      <c r="B292" s="2">
        <v>290</v>
      </c>
      <c r="C292" s="2">
        <f ca="1">MATCH((OFFSET(产出预期!$C$3,0,产出预期!$B$1)*10+OFFSET(产出预期!$C$4,0,产出预期!$B$1)*10+OFFSET(产出预期!$C$7,0,产出预期!$B$1)*20)*B292/10*60,玩家等级!$E$3:$E$302,1)</f>
        <v>106</v>
      </c>
      <c r="D292" s="2">
        <f>MATCH(产出预期!P309/6,装备养成!$G$4:$G$303,1)</f>
        <v>154</v>
      </c>
      <c r="E292" s="2">
        <f>COUNTIF(产出预期!$R309:$Y309,"&gt;"&amp;0)</f>
        <v>8</v>
      </c>
      <c r="F292" s="2">
        <f ca="1">MATCH(OFFSET(产出预期!$R$19,B292,E292-1),装备养成!$S$4:$S$9,1)</f>
        <v>6</v>
      </c>
      <c r="G292" s="2" t="str">
        <f ca="1">OFFSET(梦灵养成!$D$9,MATCH(梦灵养成!C323,梦灵养成!$C$10:$C$28,1),0)</f>
        <v>我爱沙</v>
      </c>
      <c r="H292" s="2" t="str">
        <f ca="1">OFFSET(梦灵养成!$I$9,MATCH(梦灵养成!C323,梦灵养成!$C$10:$C$28,1),0)</f>
        <v>后羿</v>
      </c>
      <c r="I292" s="45" cm="1">
        <f ca="1" t="array" ref="I292">IFERROR(MATCH(((产出预期!$M309-OFFSET(梦灵养成!$Q$9,MATCH(产出预期!$M309,梦灵养成!$Q$10:$Q$15,1),0))*OFFSET(梦灵养成!L$9,1+MATCH(产出预期!$M309,梦灵养成!$Q$10:$Q$15,1),0)+梦灵养成!D628+SUMPRODUCT(--(梦灵养成!$Q$10:$Q$15&lt;=产出预期!$M309),梦灵养成!L$10:L$15,梦灵养成!$P$10:$P$15))/MAX(SUMPRODUCT(--(梦灵养成!$C$10:$C$31&lt;=产出预期!$M309),--(梦灵养成!$E$10:$E$31=I$2)),1)*10,梦灵养成!AT$339:AT$387,1),0)</f>
        <v>49</v>
      </c>
      <c r="J292" s="45" cm="1">
        <f ca="1" t="array" ref="J292">IFERROR(MATCH(((产出预期!$M309-OFFSET(梦灵养成!$Q$9,MATCH(产出预期!$M309,梦灵养成!$Q$10:$Q$15,1),0))*OFFSET(梦灵养成!M$9,1+MATCH(产出预期!$M309,梦灵养成!$Q$10:$Q$15,1),0)+梦灵养成!E628+SUMPRODUCT(--(梦灵养成!$Q$10:$Q$15&lt;=产出预期!$M309),梦灵养成!M$10:M$15,梦灵养成!$P$10:$P$15))/MAX(SUMPRODUCT(--(梦灵养成!$C$10:$C$31&lt;=产出预期!$M309),--(梦灵养成!$E$10:$E$31=J$2)),1)*10,梦灵养成!AU$339:AU$387,1),0)</f>
        <v>49</v>
      </c>
      <c r="K292" s="45" cm="1">
        <f ca="1" t="array" ref="K292">IFERROR(MATCH(((产出预期!$M309-OFFSET(梦灵养成!$Q$9,MATCH(产出预期!$M309,梦灵养成!$Q$10:$Q$15,1),0))*OFFSET(梦灵养成!N$9,1+MATCH(产出预期!$M309,梦灵养成!$Q$10:$Q$15,1),0)+梦灵养成!F628+SUMPRODUCT(--(梦灵养成!$Q$10:$Q$15&lt;=产出预期!$M309),梦灵养成!N$10:N$15,梦灵养成!$P$10:$P$15))/MAX(SUMPRODUCT(--(梦灵养成!$C$10:$C$31&lt;=产出预期!$M309),--(梦灵养成!$E$10:$E$31=K$2)),1)*10,梦灵养成!AV$339:AV$387,1),0)</f>
        <v>49</v>
      </c>
      <c r="L292" s="45" cm="1">
        <f ca="1" t="array" ref="L292">IFERROR(MATCH(((产出预期!$M309-OFFSET(梦灵养成!$Q$9,MATCH(产出预期!$M309,梦灵养成!$Q$10:$Q$15,1),0))*OFFSET(梦灵养成!O$9,1+MATCH(产出预期!$M309,梦灵养成!$Q$10:$Q$15,1),0)+梦灵养成!G628+SUMPRODUCT(--(梦灵养成!$Q$10:$Q$15&lt;=产出预期!$M309),梦灵养成!O$10:O$15,梦灵养成!$P$10:$P$15))/MAX(SUMPRODUCT(--(梦灵养成!$C$10:$C$31&lt;=产出预期!$M309),--(梦灵养成!$E$10:$E$31=L$2)),1)*10,梦灵养成!AW$339:AW$388,1),0)</f>
        <v>50</v>
      </c>
      <c r="M292" s="45">
        <f ca="1">OFFSET(符文养成!$C$14,MATCH(C292,符文养成!$B$15:$B$44,1),0)</f>
        <v>30</v>
      </c>
      <c r="N292" s="45">
        <f ca="1">MATCH((产出预期!Z309*价值表!$F$53+产出预期!AA309*价值表!$F$54+产出预期!AD309*价值表!$F$57)/16/M292,符文养成!$G$15:$G$21,1)</f>
        <v>5</v>
      </c>
      <c r="O292" s="45">
        <f>MATCH(产出预期!O309,秘宝养成!$C$3:$C$14,1)</f>
        <v>11</v>
      </c>
    </row>
    <row r="293" ht="16.5" spans="2:15">
      <c r="B293" s="2">
        <v>291</v>
      </c>
      <c r="C293" s="2">
        <f ca="1">MATCH((OFFSET(产出预期!$C$3,0,产出预期!$B$1)*10+OFFSET(产出预期!$C$4,0,产出预期!$B$1)*10+OFFSET(产出预期!$C$7,0,产出预期!$B$1)*20)*B293/10*60,玩家等级!$E$3:$E$302,1)</f>
        <v>106</v>
      </c>
      <c r="D293" s="2">
        <f>MATCH(产出预期!P310/6,装备养成!$G$4:$G$303,1)</f>
        <v>155</v>
      </c>
      <c r="E293" s="2">
        <f>COUNTIF(产出预期!$R310:$Y310,"&gt;"&amp;0)</f>
        <v>8</v>
      </c>
      <c r="F293" s="2">
        <f ca="1">MATCH(OFFSET(产出预期!$R$19,B293,E293-1),装备养成!$S$4:$S$9,1)</f>
        <v>6</v>
      </c>
      <c r="G293" s="2" t="str">
        <f ca="1">OFFSET(梦灵养成!$D$9,MATCH(梦灵养成!C324,梦灵养成!$C$10:$C$28,1),0)</f>
        <v>我爱沙</v>
      </c>
      <c r="H293" s="2" t="str">
        <f ca="1">OFFSET(梦灵养成!$I$9,MATCH(梦灵养成!C324,梦灵养成!$C$10:$C$28,1),0)</f>
        <v>后羿</v>
      </c>
      <c r="I293" s="45" cm="1">
        <f ca="1" t="array" ref="I293">IFERROR(MATCH(((产出预期!$M310-OFFSET(梦灵养成!$Q$9,MATCH(产出预期!$M310,梦灵养成!$Q$10:$Q$15,1),0))*OFFSET(梦灵养成!L$9,1+MATCH(产出预期!$M310,梦灵养成!$Q$10:$Q$15,1),0)+梦灵养成!D629+SUMPRODUCT(--(梦灵养成!$Q$10:$Q$15&lt;=产出预期!$M310),梦灵养成!L$10:L$15,梦灵养成!$P$10:$P$15))/MAX(SUMPRODUCT(--(梦灵养成!$C$10:$C$31&lt;=产出预期!$M310),--(梦灵养成!$E$10:$E$31=I$2)),1)*10,梦灵养成!AT$339:AT$387,1),0)</f>
        <v>49</v>
      </c>
      <c r="J293" s="45" cm="1">
        <f ca="1" t="array" ref="J293">IFERROR(MATCH(((产出预期!$M310-OFFSET(梦灵养成!$Q$9,MATCH(产出预期!$M310,梦灵养成!$Q$10:$Q$15,1),0))*OFFSET(梦灵养成!M$9,1+MATCH(产出预期!$M310,梦灵养成!$Q$10:$Q$15,1),0)+梦灵养成!E629+SUMPRODUCT(--(梦灵养成!$Q$10:$Q$15&lt;=产出预期!$M310),梦灵养成!M$10:M$15,梦灵养成!$P$10:$P$15))/MAX(SUMPRODUCT(--(梦灵养成!$C$10:$C$31&lt;=产出预期!$M310),--(梦灵养成!$E$10:$E$31=J$2)),1)*10,梦灵养成!AU$339:AU$387,1),0)</f>
        <v>49</v>
      </c>
      <c r="K293" s="45" cm="1">
        <f ca="1" t="array" ref="K293">IFERROR(MATCH(((产出预期!$M310-OFFSET(梦灵养成!$Q$9,MATCH(产出预期!$M310,梦灵养成!$Q$10:$Q$15,1),0))*OFFSET(梦灵养成!N$9,1+MATCH(产出预期!$M310,梦灵养成!$Q$10:$Q$15,1),0)+梦灵养成!F629+SUMPRODUCT(--(梦灵养成!$Q$10:$Q$15&lt;=产出预期!$M310),梦灵养成!N$10:N$15,梦灵养成!$P$10:$P$15))/MAX(SUMPRODUCT(--(梦灵养成!$C$10:$C$31&lt;=产出预期!$M310),--(梦灵养成!$E$10:$E$31=K$2)),1)*10,梦灵养成!AV$339:AV$387,1),0)</f>
        <v>49</v>
      </c>
      <c r="L293" s="45" cm="1">
        <f ca="1" t="array" ref="L293">IFERROR(MATCH(((产出预期!$M310-OFFSET(梦灵养成!$Q$9,MATCH(产出预期!$M310,梦灵养成!$Q$10:$Q$15,1),0))*OFFSET(梦灵养成!O$9,1+MATCH(产出预期!$M310,梦灵养成!$Q$10:$Q$15,1),0)+梦灵养成!G629+SUMPRODUCT(--(梦灵养成!$Q$10:$Q$15&lt;=产出预期!$M310),梦灵养成!O$10:O$15,梦灵养成!$P$10:$P$15))/MAX(SUMPRODUCT(--(梦灵养成!$C$10:$C$31&lt;=产出预期!$M310),--(梦灵养成!$E$10:$E$31=L$2)),1)*10,梦灵养成!AW$339:AW$388,1),0)</f>
        <v>50</v>
      </c>
      <c r="M293" s="45">
        <f ca="1">OFFSET(符文养成!$C$14,MATCH(C293,符文养成!$B$15:$B$44,1),0)</f>
        <v>30</v>
      </c>
      <c r="N293" s="45">
        <f ca="1">MATCH((产出预期!Z310*价值表!$F$53+产出预期!AA310*价值表!$F$54+产出预期!AD310*价值表!$F$57)/16/M293,符文养成!$G$15:$G$21,1)</f>
        <v>5</v>
      </c>
      <c r="O293" s="45">
        <f>MATCH(产出预期!O310,秘宝养成!$C$3:$C$14,1)</f>
        <v>11</v>
      </c>
    </row>
    <row r="294" ht="16.5" spans="2:15">
      <c r="B294" s="2">
        <v>292</v>
      </c>
      <c r="C294" s="2">
        <f ca="1">MATCH((OFFSET(产出预期!$C$3,0,产出预期!$B$1)*10+OFFSET(产出预期!$C$4,0,产出预期!$B$1)*10+OFFSET(产出预期!$C$7,0,产出预期!$B$1)*20)*B294/10*60,玩家等级!$E$3:$E$302,1)</f>
        <v>106</v>
      </c>
      <c r="D294" s="2">
        <f>MATCH(产出预期!P311/6,装备养成!$G$4:$G$303,1)</f>
        <v>155</v>
      </c>
      <c r="E294" s="2">
        <f>COUNTIF(产出预期!$R311:$Y311,"&gt;"&amp;0)</f>
        <v>8</v>
      </c>
      <c r="F294" s="2">
        <f ca="1">MATCH(OFFSET(产出预期!$R$19,B294,E294-1),装备养成!$S$4:$S$9,1)</f>
        <v>6</v>
      </c>
      <c r="G294" s="2" t="str">
        <f ca="1">OFFSET(梦灵养成!$D$9,MATCH(梦灵养成!C325,梦灵养成!$C$10:$C$28,1),0)</f>
        <v>我爱沙</v>
      </c>
      <c r="H294" s="2" t="str">
        <f ca="1">OFFSET(梦灵养成!$I$9,MATCH(梦灵养成!C325,梦灵养成!$C$10:$C$28,1),0)</f>
        <v>后羿</v>
      </c>
      <c r="I294" s="45" cm="1">
        <f ca="1" t="array" ref="I294">IFERROR(MATCH(((产出预期!$M311-OFFSET(梦灵养成!$Q$9,MATCH(产出预期!$M311,梦灵养成!$Q$10:$Q$15,1),0))*OFFSET(梦灵养成!L$9,1+MATCH(产出预期!$M311,梦灵养成!$Q$10:$Q$15,1),0)+梦灵养成!D630+SUMPRODUCT(--(梦灵养成!$Q$10:$Q$15&lt;=产出预期!$M311),梦灵养成!L$10:L$15,梦灵养成!$P$10:$P$15))/MAX(SUMPRODUCT(--(梦灵养成!$C$10:$C$31&lt;=产出预期!$M311),--(梦灵养成!$E$10:$E$31=I$2)),1)*10,梦灵养成!AT$339:AT$387,1),0)</f>
        <v>49</v>
      </c>
      <c r="J294" s="45" cm="1">
        <f ca="1" t="array" ref="J294">IFERROR(MATCH(((产出预期!$M311-OFFSET(梦灵养成!$Q$9,MATCH(产出预期!$M311,梦灵养成!$Q$10:$Q$15,1),0))*OFFSET(梦灵养成!M$9,1+MATCH(产出预期!$M311,梦灵养成!$Q$10:$Q$15,1),0)+梦灵养成!E630+SUMPRODUCT(--(梦灵养成!$Q$10:$Q$15&lt;=产出预期!$M311),梦灵养成!M$10:M$15,梦灵养成!$P$10:$P$15))/MAX(SUMPRODUCT(--(梦灵养成!$C$10:$C$31&lt;=产出预期!$M311),--(梦灵养成!$E$10:$E$31=J$2)),1)*10,梦灵养成!AU$339:AU$387,1),0)</f>
        <v>49</v>
      </c>
      <c r="K294" s="45" cm="1">
        <f ca="1" t="array" ref="K294">IFERROR(MATCH(((产出预期!$M311-OFFSET(梦灵养成!$Q$9,MATCH(产出预期!$M311,梦灵养成!$Q$10:$Q$15,1),0))*OFFSET(梦灵养成!N$9,1+MATCH(产出预期!$M311,梦灵养成!$Q$10:$Q$15,1),0)+梦灵养成!F630+SUMPRODUCT(--(梦灵养成!$Q$10:$Q$15&lt;=产出预期!$M311),梦灵养成!N$10:N$15,梦灵养成!$P$10:$P$15))/MAX(SUMPRODUCT(--(梦灵养成!$C$10:$C$31&lt;=产出预期!$M311),--(梦灵养成!$E$10:$E$31=K$2)),1)*10,梦灵养成!AV$339:AV$387,1),0)</f>
        <v>49</v>
      </c>
      <c r="L294" s="45" cm="1">
        <f ca="1" t="array" ref="L294">IFERROR(MATCH(((产出预期!$M311-OFFSET(梦灵养成!$Q$9,MATCH(产出预期!$M311,梦灵养成!$Q$10:$Q$15,1),0))*OFFSET(梦灵养成!O$9,1+MATCH(产出预期!$M311,梦灵养成!$Q$10:$Q$15,1),0)+梦灵养成!G630+SUMPRODUCT(--(梦灵养成!$Q$10:$Q$15&lt;=产出预期!$M311),梦灵养成!O$10:O$15,梦灵养成!$P$10:$P$15))/MAX(SUMPRODUCT(--(梦灵养成!$C$10:$C$31&lt;=产出预期!$M311),--(梦灵养成!$E$10:$E$31=L$2)),1)*10,梦灵养成!AW$339:AW$388,1),0)</f>
        <v>50</v>
      </c>
      <c r="M294" s="45">
        <f ca="1">OFFSET(符文养成!$C$14,MATCH(C294,符文养成!$B$15:$B$44,1),0)</f>
        <v>30</v>
      </c>
      <c r="N294" s="45">
        <f ca="1">MATCH((产出预期!Z311*价值表!$F$53+产出预期!AA311*价值表!$F$54+产出预期!AD311*价值表!$F$57)/16/M294,符文养成!$G$15:$G$21,1)</f>
        <v>5</v>
      </c>
      <c r="O294" s="45">
        <f>MATCH(产出预期!O311,秘宝养成!$C$3:$C$14,1)</f>
        <v>11</v>
      </c>
    </row>
    <row r="295" ht="16.5" spans="2:15">
      <c r="B295" s="2">
        <v>293</v>
      </c>
      <c r="C295" s="2">
        <f ca="1">MATCH((OFFSET(产出预期!$C$3,0,产出预期!$B$1)*10+OFFSET(产出预期!$C$4,0,产出预期!$B$1)*10+OFFSET(产出预期!$C$7,0,产出预期!$B$1)*20)*B295/10*60,玩家等级!$E$3:$E$302,1)</f>
        <v>106</v>
      </c>
      <c r="D295" s="2">
        <f>MATCH(产出预期!P312/6,装备养成!$G$4:$G$303,1)</f>
        <v>155</v>
      </c>
      <c r="E295" s="2">
        <f>COUNTIF(产出预期!$R312:$Y312,"&gt;"&amp;0)</f>
        <v>8</v>
      </c>
      <c r="F295" s="2">
        <f ca="1">MATCH(OFFSET(产出预期!$R$19,B295,E295-1),装备养成!$S$4:$S$9,1)</f>
        <v>6</v>
      </c>
      <c r="G295" s="2" t="str">
        <f ca="1">OFFSET(梦灵养成!$D$9,MATCH(梦灵养成!C326,梦灵养成!$C$10:$C$28,1),0)</f>
        <v>我爱沙</v>
      </c>
      <c r="H295" s="2" t="str">
        <f ca="1">OFFSET(梦灵养成!$I$9,MATCH(梦灵养成!C326,梦灵养成!$C$10:$C$28,1),0)</f>
        <v>后羿</v>
      </c>
      <c r="I295" s="45" cm="1">
        <f ca="1" t="array" ref="I295">IFERROR(MATCH(((产出预期!$M312-OFFSET(梦灵养成!$Q$9,MATCH(产出预期!$M312,梦灵养成!$Q$10:$Q$15,1),0))*OFFSET(梦灵养成!L$9,1+MATCH(产出预期!$M312,梦灵养成!$Q$10:$Q$15,1),0)+梦灵养成!D631+SUMPRODUCT(--(梦灵养成!$Q$10:$Q$15&lt;=产出预期!$M312),梦灵养成!L$10:L$15,梦灵养成!$P$10:$P$15))/MAX(SUMPRODUCT(--(梦灵养成!$C$10:$C$31&lt;=产出预期!$M312),--(梦灵养成!$E$10:$E$31=I$2)),1)*10,梦灵养成!AT$339:AT$387,1),0)</f>
        <v>49</v>
      </c>
      <c r="J295" s="45" cm="1">
        <f ca="1" t="array" ref="J295">IFERROR(MATCH(((产出预期!$M312-OFFSET(梦灵养成!$Q$9,MATCH(产出预期!$M312,梦灵养成!$Q$10:$Q$15,1),0))*OFFSET(梦灵养成!M$9,1+MATCH(产出预期!$M312,梦灵养成!$Q$10:$Q$15,1),0)+梦灵养成!E631+SUMPRODUCT(--(梦灵养成!$Q$10:$Q$15&lt;=产出预期!$M312),梦灵养成!M$10:M$15,梦灵养成!$P$10:$P$15))/MAX(SUMPRODUCT(--(梦灵养成!$C$10:$C$31&lt;=产出预期!$M312),--(梦灵养成!$E$10:$E$31=J$2)),1)*10,梦灵养成!AU$339:AU$387,1),0)</f>
        <v>49</v>
      </c>
      <c r="K295" s="45" cm="1">
        <f ca="1" t="array" ref="K295">IFERROR(MATCH(((产出预期!$M312-OFFSET(梦灵养成!$Q$9,MATCH(产出预期!$M312,梦灵养成!$Q$10:$Q$15,1),0))*OFFSET(梦灵养成!N$9,1+MATCH(产出预期!$M312,梦灵养成!$Q$10:$Q$15,1),0)+梦灵养成!F631+SUMPRODUCT(--(梦灵养成!$Q$10:$Q$15&lt;=产出预期!$M312),梦灵养成!N$10:N$15,梦灵养成!$P$10:$P$15))/MAX(SUMPRODUCT(--(梦灵养成!$C$10:$C$31&lt;=产出预期!$M312),--(梦灵养成!$E$10:$E$31=K$2)),1)*10,梦灵养成!AV$339:AV$387,1),0)</f>
        <v>49</v>
      </c>
      <c r="L295" s="45" cm="1">
        <f ca="1" t="array" ref="L295">IFERROR(MATCH(((产出预期!$M312-OFFSET(梦灵养成!$Q$9,MATCH(产出预期!$M312,梦灵养成!$Q$10:$Q$15,1),0))*OFFSET(梦灵养成!O$9,1+MATCH(产出预期!$M312,梦灵养成!$Q$10:$Q$15,1),0)+梦灵养成!G631+SUMPRODUCT(--(梦灵养成!$Q$10:$Q$15&lt;=产出预期!$M312),梦灵养成!O$10:O$15,梦灵养成!$P$10:$P$15))/MAX(SUMPRODUCT(--(梦灵养成!$C$10:$C$31&lt;=产出预期!$M312),--(梦灵养成!$E$10:$E$31=L$2)),1)*10,梦灵养成!AW$339:AW$388,1),0)</f>
        <v>50</v>
      </c>
      <c r="M295" s="45">
        <f ca="1">OFFSET(符文养成!$C$14,MATCH(C295,符文养成!$B$15:$B$44,1),0)</f>
        <v>30</v>
      </c>
      <c r="N295" s="45">
        <f ca="1">MATCH((产出预期!Z312*价值表!$F$53+产出预期!AA312*价值表!$F$54+产出预期!AD312*价值表!$F$57)/16/M295,符文养成!$G$15:$G$21,1)</f>
        <v>5</v>
      </c>
      <c r="O295" s="45">
        <f>MATCH(产出预期!O312,秘宝养成!$C$3:$C$14,1)</f>
        <v>11</v>
      </c>
    </row>
    <row r="296" ht="16.5" spans="2:15">
      <c r="B296" s="2">
        <v>294</v>
      </c>
      <c r="C296" s="2">
        <f ca="1">MATCH((OFFSET(产出预期!$C$3,0,产出预期!$B$1)*10+OFFSET(产出预期!$C$4,0,产出预期!$B$1)*10+OFFSET(产出预期!$C$7,0,产出预期!$B$1)*20)*B296/10*60,玩家等级!$E$3:$E$302,1)</f>
        <v>106</v>
      </c>
      <c r="D296" s="2">
        <f>MATCH(产出预期!P313/6,装备养成!$G$4:$G$303,1)</f>
        <v>155</v>
      </c>
      <c r="E296" s="2">
        <f>COUNTIF(产出预期!$R313:$Y313,"&gt;"&amp;0)</f>
        <v>8</v>
      </c>
      <c r="F296" s="2">
        <f ca="1">MATCH(OFFSET(产出预期!$R$19,B296,E296-1),装备养成!$S$4:$S$9,1)</f>
        <v>6</v>
      </c>
      <c r="G296" s="2" t="str">
        <f ca="1">OFFSET(梦灵养成!$D$9,MATCH(梦灵养成!C327,梦灵养成!$C$10:$C$28,1),0)</f>
        <v>我爱沙</v>
      </c>
      <c r="H296" s="2" t="str">
        <f ca="1">OFFSET(梦灵养成!$I$9,MATCH(梦灵养成!C327,梦灵养成!$C$10:$C$28,1),0)</f>
        <v>后羿</v>
      </c>
      <c r="I296" s="45" cm="1">
        <f ca="1" t="array" ref="I296">IFERROR(MATCH(((产出预期!$M313-OFFSET(梦灵养成!$Q$9,MATCH(产出预期!$M313,梦灵养成!$Q$10:$Q$15,1),0))*OFFSET(梦灵养成!L$9,1+MATCH(产出预期!$M313,梦灵养成!$Q$10:$Q$15,1),0)+梦灵养成!D632+SUMPRODUCT(--(梦灵养成!$Q$10:$Q$15&lt;=产出预期!$M313),梦灵养成!L$10:L$15,梦灵养成!$P$10:$P$15))/MAX(SUMPRODUCT(--(梦灵养成!$C$10:$C$31&lt;=产出预期!$M313),--(梦灵养成!$E$10:$E$31=I$2)),1)*10,梦灵养成!AT$339:AT$387,1),0)</f>
        <v>49</v>
      </c>
      <c r="J296" s="45" cm="1">
        <f ca="1" t="array" ref="J296">IFERROR(MATCH(((产出预期!$M313-OFFSET(梦灵养成!$Q$9,MATCH(产出预期!$M313,梦灵养成!$Q$10:$Q$15,1),0))*OFFSET(梦灵养成!M$9,1+MATCH(产出预期!$M313,梦灵养成!$Q$10:$Q$15,1),0)+梦灵养成!E632+SUMPRODUCT(--(梦灵养成!$Q$10:$Q$15&lt;=产出预期!$M313),梦灵养成!M$10:M$15,梦灵养成!$P$10:$P$15))/MAX(SUMPRODUCT(--(梦灵养成!$C$10:$C$31&lt;=产出预期!$M313),--(梦灵养成!$E$10:$E$31=J$2)),1)*10,梦灵养成!AU$339:AU$387,1),0)</f>
        <v>49</v>
      </c>
      <c r="K296" s="45" cm="1">
        <f ca="1" t="array" ref="K296">IFERROR(MATCH(((产出预期!$M313-OFFSET(梦灵养成!$Q$9,MATCH(产出预期!$M313,梦灵养成!$Q$10:$Q$15,1),0))*OFFSET(梦灵养成!N$9,1+MATCH(产出预期!$M313,梦灵养成!$Q$10:$Q$15,1),0)+梦灵养成!F632+SUMPRODUCT(--(梦灵养成!$Q$10:$Q$15&lt;=产出预期!$M313),梦灵养成!N$10:N$15,梦灵养成!$P$10:$P$15))/MAX(SUMPRODUCT(--(梦灵养成!$C$10:$C$31&lt;=产出预期!$M313),--(梦灵养成!$E$10:$E$31=K$2)),1)*10,梦灵养成!AV$339:AV$387,1),0)</f>
        <v>49</v>
      </c>
      <c r="L296" s="45" cm="1">
        <f ca="1" t="array" ref="L296">IFERROR(MATCH(((产出预期!$M313-OFFSET(梦灵养成!$Q$9,MATCH(产出预期!$M313,梦灵养成!$Q$10:$Q$15,1),0))*OFFSET(梦灵养成!O$9,1+MATCH(产出预期!$M313,梦灵养成!$Q$10:$Q$15,1),0)+梦灵养成!G632+SUMPRODUCT(--(梦灵养成!$Q$10:$Q$15&lt;=产出预期!$M313),梦灵养成!O$10:O$15,梦灵养成!$P$10:$P$15))/MAX(SUMPRODUCT(--(梦灵养成!$C$10:$C$31&lt;=产出预期!$M313),--(梦灵养成!$E$10:$E$31=L$2)),1)*10,梦灵养成!AW$339:AW$388,1),0)</f>
        <v>50</v>
      </c>
      <c r="M296" s="45">
        <f ca="1">OFFSET(符文养成!$C$14,MATCH(C296,符文养成!$B$15:$B$44,1),0)</f>
        <v>30</v>
      </c>
      <c r="N296" s="45">
        <f ca="1">MATCH((产出预期!Z313*价值表!$F$53+产出预期!AA313*价值表!$F$54+产出预期!AD313*价值表!$F$57)/16/M296,符文养成!$G$15:$G$21,1)</f>
        <v>5</v>
      </c>
      <c r="O296" s="45">
        <f>MATCH(产出预期!O313,秘宝养成!$C$3:$C$14,1)</f>
        <v>11</v>
      </c>
    </row>
    <row r="297" ht="16.5" spans="2:15">
      <c r="B297" s="2">
        <v>295</v>
      </c>
      <c r="C297" s="2">
        <f ca="1">MATCH((OFFSET(产出预期!$C$3,0,产出预期!$B$1)*10+OFFSET(产出预期!$C$4,0,产出预期!$B$1)*10+OFFSET(产出预期!$C$7,0,产出预期!$B$1)*20)*B297/10*60,玩家等级!$E$3:$E$302,1)</f>
        <v>106</v>
      </c>
      <c r="D297" s="2">
        <f>MATCH(产出预期!P314/6,装备养成!$G$4:$G$303,1)</f>
        <v>155</v>
      </c>
      <c r="E297" s="2">
        <f>COUNTIF(产出预期!$R314:$Y314,"&gt;"&amp;0)</f>
        <v>8</v>
      </c>
      <c r="F297" s="2">
        <f ca="1">MATCH(OFFSET(产出预期!$R$19,B297,E297-1),装备养成!$S$4:$S$9,1)</f>
        <v>6</v>
      </c>
      <c r="G297" s="2" t="str">
        <f ca="1">OFFSET(梦灵养成!$D$9,MATCH(梦灵养成!C328,梦灵养成!$C$10:$C$28,1),0)</f>
        <v>我爱沙</v>
      </c>
      <c r="H297" s="2" t="str">
        <f ca="1">OFFSET(梦灵养成!$I$9,MATCH(梦灵养成!C328,梦灵养成!$C$10:$C$28,1),0)</f>
        <v>后羿</v>
      </c>
      <c r="I297" s="45" cm="1">
        <f ca="1" t="array" ref="I297">IFERROR(MATCH(((产出预期!$M314-OFFSET(梦灵养成!$Q$9,MATCH(产出预期!$M314,梦灵养成!$Q$10:$Q$15,1),0))*OFFSET(梦灵养成!L$9,1+MATCH(产出预期!$M314,梦灵养成!$Q$10:$Q$15,1),0)+梦灵养成!D633+SUMPRODUCT(--(梦灵养成!$Q$10:$Q$15&lt;=产出预期!$M314),梦灵养成!L$10:L$15,梦灵养成!$P$10:$P$15))/MAX(SUMPRODUCT(--(梦灵养成!$C$10:$C$31&lt;=产出预期!$M314),--(梦灵养成!$E$10:$E$31=I$2)),1)*10,梦灵养成!AT$339:AT$387,1),0)</f>
        <v>49</v>
      </c>
      <c r="J297" s="45" cm="1">
        <f ca="1" t="array" ref="J297">IFERROR(MATCH(((产出预期!$M314-OFFSET(梦灵养成!$Q$9,MATCH(产出预期!$M314,梦灵养成!$Q$10:$Q$15,1),0))*OFFSET(梦灵养成!M$9,1+MATCH(产出预期!$M314,梦灵养成!$Q$10:$Q$15,1),0)+梦灵养成!E633+SUMPRODUCT(--(梦灵养成!$Q$10:$Q$15&lt;=产出预期!$M314),梦灵养成!M$10:M$15,梦灵养成!$P$10:$P$15))/MAX(SUMPRODUCT(--(梦灵养成!$C$10:$C$31&lt;=产出预期!$M314),--(梦灵养成!$E$10:$E$31=J$2)),1)*10,梦灵养成!AU$339:AU$387,1),0)</f>
        <v>49</v>
      </c>
      <c r="K297" s="45" cm="1">
        <f ca="1" t="array" ref="K297">IFERROR(MATCH(((产出预期!$M314-OFFSET(梦灵养成!$Q$9,MATCH(产出预期!$M314,梦灵养成!$Q$10:$Q$15,1),0))*OFFSET(梦灵养成!N$9,1+MATCH(产出预期!$M314,梦灵养成!$Q$10:$Q$15,1),0)+梦灵养成!F633+SUMPRODUCT(--(梦灵养成!$Q$10:$Q$15&lt;=产出预期!$M314),梦灵养成!N$10:N$15,梦灵养成!$P$10:$P$15))/MAX(SUMPRODUCT(--(梦灵养成!$C$10:$C$31&lt;=产出预期!$M314),--(梦灵养成!$E$10:$E$31=K$2)),1)*10,梦灵养成!AV$339:AV$387,1),0)</f>
        <v>49</v>
      </c>
      <c r="L297" s="45" cm="1">
        <f ca="1" t="array" ref="L297">IFERROR(MATCH(((产出预期!$M314-OFFSET(梦灵养成!$Q$9,MATCH(产出预期!$M314,梦灵养成!$Q$10:$Q$15,1),0))*OFFSET(梦灵养成!O$9,1+MATCH(产出预期!$M314,梦灵养成!$Q$10:$Q$15,1),0)+梦灵养成!G633+SUMPRODUCT(--(梦灵养成!$Q$10:$Q$15&lt;=产出预期!$M314),梦灵养成!O$10:O$15,梦灵养成!$P$10:$P$15))/MAX(SUMPRODUCT(--(梦灵养成!$C$10:$C$31&lt;=产出预期!$M314),--(梦灵养成!$E$10:$E$31=L$2)),1)*10,梦灵养成!AW$339:AW$388,1),0)</f>
        <v>50</v>
      </c>
      <c r="M297" s="45">
        <f ca="1">OFFSET(符文养成!$C$14,MATCH(C297,符文养成!$B$15:$B$44,1),0)</f>
        <v>30</v>
      </c>
      <c r="N297" s="45">
        <f ca="1">MATCH((产出预期!Z314*价值表!$F$53+产出预期!AA314*价值表!$F$54+产出预期!AD314*价值表!$F$57)/16/M297,符文养成!$G$15:$G$21,1)</f>
        <v>5</v>
      </c>
      <c r="O297" s="45">
        <f>MATCH(产出预期!O314,秘宝养成!$C$3:$C$14,1)</f>
        <v>11</v>
      </c>
    </row>
    <row r="298" ht="16.5" spans="2:15">
      <c r="B298" s="2">
        <v>296</v>
      </c>
      <c r="C298" s="2">
        <f ca="1">MATCH((OFFSET(产出预期!$C$3,0,产出预期!$B$1)*10+OFFSET(产出预期!$C$4,0,产出预期!$B$1)*10+OFFSET(产出预期!$C$7,0,产出预期!$B$1)*20)*B298/10*60,玩家等级!$E$3:$E$302,1)</f>
        <v>106</v>
      </c>
      <c r="D298" s="2">
        <f>MATCH(产出预期!P315/6,装备养成!$G$4:$G$303,1)</f>
        <v>156</v>
      </c>
      <c r="E298" s="2">
        <f>COUNTIF(产出预期!$R315:$Y315,"&gt;"&amp;0)</f>
        <v>8</v>
      </c>
      <c r="F298" s="2">
        <f ca="1">MATCH(OFFSET(产出预期!$R$19,B298,E298-1),装备养成!$S$4:$S$9,1)</f>
        <v>6</v>
      </c>
      <c r="G298" s="2" t="str">
        <f ca="1">OFFSET(梦灵养成!$D$9,MATCH(梦灵养成!C329,梦灵养成!$C$10:$C$28,1),0)</f>
        <v>我爱沙</v>
      </c>
      <c r="H298" s="2" t="str">
        <f ca="1">OFFSET(梦灵养成!$I$9,MATCH(梦灵养成!C329,梦灵养成!$C$10:$C$28,1),0)</f>
        <v>后羿</v>
      </c>
      <c r="I298" s="45" cm="1">
        <f ca="1" t="array" ref="I298">IFERROR(MATCH(((产出预期!$M315-OFFSET(梦灵养成!$Q$9,MATCH(产出预期!$M315,梦灵养成!$Q$10:$Q$15,1),0))*OFFSET(梦灵养成!L$9,1+MATCH(产出预期!$M315,梦灵养成!$Q$10:$Q$15,1),0)+梦灵养成!D634+SUMPRODUCT(--(梦灵养成!$Q$10:$Q$15&lt;=产出预期!$M315),梦灵养成!L$10:L$15,梦灵养成!$P$10:$P$15))/MAX(SUMPRODUCT(--(梦灵养成!$C$10:$C$31&lt;=产出预期!$M315),--(梦灵养成!$E$10:$E$31=I$2)),1)*10,梦灵养成!AT$339:AT$387,1),0)</f>
        <v>49</v>
      </c>
      <c r="J298" s="45" cm="1">
        <f ca="1" t="array" ref="J298">IFERROR(MATCH(((产出预期!$M315-OFFSET(梦灵养成!$Q$9,MATCH(产出预期!$M315,梦灵养成!$Q$10:$Q$15,1),0))*OFFSET(梦灵养成!M$9,1+MATCH(产出预期!$M315,梦灵养成!$Q$10:$Q$15,1),0)+梦灵养成!E634+SUMPRODUCT(--(梦灵养成!$Q$10:$Q$15&lt;=产出预期!$M315),梦灵养成!M$10:M$15,梦灵养成!$P$10:$P$15))/MAX(SUMPRODUCT(--(梦灵养成!$C$10:$C$31&lt;=产出预期!$M315),--(梦灵养成!$E$10:$E$31=J$2)),1)*10,梦灵养成!AU$339:AU$387,1),0)</f>
        <v>49</v>
      </c>
      <c r="K298" s="45" cm="1">
        <f ca="1" t="array" ref="K298">IFERROR(MATCH(((产出预期!$M315-OFFSET(梦灵养成!$Q$9,MATCH(产出预期!$M315,梦灵养成!$Q$10:$Q$15,1),0))*OFFSET(梦灵养成!N$9,1+MATCH(产出预期!$M315,梦灵养成!$Q$10:$Q$15,1),0)+梦灵养成!F634+SUMPRODUCT(--(梦灵养成!$Q$10:$Q$15&lt;=产出预期!$M315),梦灵养成!N$10:N$15,梦灵养成!$P$10:$P$15))/MAX(SUMPRODUCT(--(梦灵养成!$C$10:$C$31&lt;=产出预期!$M315),--(梦灵养成!$E$10:$E$31=K$2)),1)*10,梦灵养成!AV$339:AV$387,1),0)</f>
        <v>49</v>
      </c>
      <c r="L298" s="45" cm="1">
        <f ca="1" t="array" ref="L298">IFERROR(MATCH(((产出预期!$M315-OFFSET(梦灵养成!$Q$9,MATCH(产出预期!$M315,梦灵养成!$Q$10:$Q$15,1),0))*OFFSET(梦灵养成!O$9,1+MATCH(产出预期!$M315,梦灵养成!$Q$10:$Q$15,1),0)+梦灵养成!G634+SUMPRODUCT(--(梦灵养成!$Q$10:$Q$15&lt;=产出预期!$M315),梦灵养成!O$10:O$15,梦灵养成!$P$10:$P$15))/MAX(SUMPRODUCT(--(梦灵养成!$C$10:$C$31&lt;=产出预期!$M315),--(梦灵养成!$E$10:$E$31=L$2)),1)*10,梦灵养成!AW$339:AW$388,1),0)</f>
        <v>50</v>
      </c>
      <c r="M298" s="45">
        <f ca="1">OFFSET(符文养成!$C$14,MATCH(C298,符文养成!$B$15:$B$44,1),0)</f>
        <v>30</v>
      </c>
      <c r="N298" s="45">
        <f ca="1">MATCH((产出预期!Z315*价值表!$F$53+产出预期!AA315*价值表!$F$54+产出预期!AD315*价值表!$F$57)/16/M298,符文养成!$G$15:$G$21,1)</f>
        <v>5</v>
      </c>
      <c r="O298" s="45">
        <f>MATCH(产出预期!O315,秘宝养成!$C$3:$C$14,1)</f>
        <v>11</v>
      </c>
    </row>
    <row r="299" ht="16.5" spans="2:15">
      <c r="B299" s="2">
        <v>297</v>
      </c>
      <c r="C299" s="2">
        <f ca="1">MATCH((OFFSET(产出预期!$C$3,0,产出预期!$B$1)*10+OFFSET(产出预期!$C$4,0,产出预期!$B$1)*10+OFFSET(产出预期!$C$7,0,产出预期!$B$1)*20)*B299/10*60,玩家等级!$E$3:$E$302,1)</f>
        <v>106</v>
      </c>
      <c r="D299" s="2">
        <f>MATCH(产出预期!P316/6,装备养成!$G$4:$G$303,1)</f>
        <v>156</v>
      </c>
      <c r="E299" s="2">
        <f>COUNTIF(产出预期!$R316:$Y316,"&gt;"&amp;0)</f>
        <v>8</v>
      </c>
      <c r="F299" s="2">
        <f ca="1">MATCH(OFFSET(产出预期!$R$19,B299,E299-1),装备养成!$S$4:$S$9,1)</f>
        <v>6</v>
      </c>
      <c r="G299" s="2" t="str">
        <f ca="1">OFFSET(梦灵养成!$D$9,MATCH(梦灵养成!C330,梦灵养成!$C$10:$C$28,1),0)</f>
        <v>我爱沙</v>
      </c>
      <c r="H299" s="2" t="str">
        <f ca="1">OFFSET(梦灵养成!$I$9,MATCH(梦灵养成!C330,梦灵养成!$C$10:$C$28,1),0)</f>
        <v>后羿</v>
      </c>
      <c r="I299" s="45" cm="1">
        <f ca="1" t="array" ref="I299">IFERROR(MATCH(((产出预期!$M316-OFFSET(梦灵养成!$Q$9,MATCH(产出预期!$M316,梦灵养成!$Q$10:$Q$15,1),0))*OFFSET(梦灵养成!L$9,1+MATCH(产出预期!$M316,梦灵养成!$Q$10:$Q$15,1),0)+梦灵养成!D635+SUMPRODUCT(--(梦灵养成!$Q$10:$Q$15&lt;=产出预期!$M316),梦灵养成!L$10:L$15,梦灵养成!$P$10:$P$15))/MAX(SUMPRODUCT(--(梦灵养成!$C$10:$C$31&lt;=产出预期!$M316),--(梦灵养成!$E$10:$E$31=I$2)),1)*10,梦灵养成!AT$339:AT$387,1),0)</f>
        <v>49</v>
      </c>
      <c r="J299" s="45" cm="1">
        <f ca="1" t="array" ref="J299">IFERROR(MATCH(((产出预期!$M316-OFFSET(梦灵养成!$Q$9,MATCH(产出预期!$M316,梦灵养成!$Q$10:$Q$15,1),0))*OFFSET(梦灵养成!M$9,1+MATCH(产出预期!$M316,梦灵养成!$Q$10:$Q$15,1),0)+梦灵养成!E635+SUMPRODUCT(--(梦灵养成!$Q$10:$Q$15&lt;=产出预期!$M316),梦灵养成!M$10:M$15,梦灵养成!$P$10:$P$15))/MAX(SUMPRODUCT(--(梦灵养成!$C$10:$C$31&lt;=产出预期!$M316),--(梦灵养成!$E$10:$E$31=J$2)),1)*10,梦灵养成!AU$339:AU$387,1),0)</f>
        <v>49</v>
      </c>
      <c r="K299" s="45" cm="1">
        <f ca="1" t="array" ref="K299">IFERROR(MATCH(((产出预期!$M316-OFFSET(梦灵养成!$Q$9,MATCH(产出预期!$M316,梦灵养成!$Q$10:$Q$15,1),0))*OFFSET(梦灵养成!N$9,1+MATCH(产出预期!$M316,梦灵养成!$Q$10:$Q$15,1),0)+梦灵养成!F635+SUMPRODUCT(--(梦灵养成!$Q$10:$Q$15&lt;=产出预期!$M316),梦灵养成!N$10:N$15,梦灵养成!$P$10:$P$15))/MAX(SUMPRODUCT(--(梦灵养成!$C$10:$C$31&lt;=产出预期!$M316),--(梦灵养成!$E$10:$E$31=K$2)),1)*10,梦灵养成!AV$339:AV$387,1),0)</f>
        <v>49</v>
      </c>
      <c r="L299" s="45" cm="1">
        <f ca="1" t="array" ref="L299">IFERROR(MATCH(((产出预期!$M316-OFFSET(梦灵养成!$Q$9,MATCH(产出预期!$M316,梦灵养成!$Q$10:$Q$15,1),0))*OFFSET(梦灵养成!O$9,1+MATCH(产出预期!$M316,梦灵养成!$Q$10:$Q$15,1),0)+梦灵养成!G635+SUMPRODUCT(--(梦灵养成!$Q$10:$Q$15&lt;=产出预期!$M316),梦灵养成!O$10:O$15,梦灵养成!$P$10:$P$15))/MAX(SUMPRODUCT(--(梦灵养成!$C$10:$C$31&lt;=产出预期!$M316),--(梦灵养成!$E$10:$E$31=L$2)),1)*10,梦灵养成!AW$339:AW$388,1),0)</f>
        <v>50</v>
      </c>
      <c r="M299" s="45">
        <f ca="1">OFFSET(符文养成!$C$14,MATCH(C299,符文养成!$B$15:$B$44,1),0)</f>
        <v>30</v>
      </c>
      <c r="N299" s="45">
        <f ca="1">MATCH((产出预期!Z316*价值表!$F$53+产出预期!AA316*价值表!$F$54+产出预期!AD316*价值表!$F$57)/16/M299,符文养成!$G$15:$G$21,1)</f>
        <v>5</v>
      </c>
      <c r="O299" s="45">
        <f>MATCH(产出预期!O316,秘宝养成!$C$3:$C$14,1)</f>
        <v>11</v>
      </c>
    </row>
    <row r="300" ht="16.5" spans="2:15">
      <c r="B300" s="2">
        <v>298</v>
      </c>
      <c r="C300" s="2">
        <f ca="1">MATCH((OFFSET(产出预期!$C$3,0,产出预期!$B$1)*10+OFFSET(产出预期!$C$4,0,产出预期!$B$1)*10+OFFSET(产出预期!$C$7,0,产出预期!$B$1)*20)*B300/10*60,玩家等级!$E$3:$E$302,1)</f>
        <v>106</v>
      </c>
      <c r="D300" s="2">
        <f>MATCH(产出预期!P317/6,装备养成!$G$4:$G$303,1)</f>
        <v>156</v>
      </c>
      <c r="E300" s="2">
        <f>COUNTIF(产出预期!$R317:$Y317,"&gt;"&amp;0)</f>
        <v>8</v>
      </c>
      <c r="F300" s="2">
        <f ca="1">MATCH(OFFSET(产出预期!$R$19,B300,E300-1),装备养成!$S$4:$S$9,1)</f>
        <v>6</v>
      </c>
      <c r="G300" s="2" t="str">
        <f ca="1">OFFSET(梦灵养成!$D$9,MATCH(梦灵养成!C331,梦灵养成!$C$10:$C$28,1),0)</f>
        <v>我爱沙</v>
      </c>
      <c r="H300" s="2" t="str">
        <f ca="1">OFFSET(梦灵养成!$I$9,MATCH(梦灵养成!C331,梦灵养成!$C$10:$C$28,1),0)</f>
        <v>后羿</v>
      </c>
      <c r="I300" s="45" cm="1">
        <f ca="1" t="array" ref="I300">IFERROR(MATCH(((产出预期!$M317-OFFSET(梦灵养成!$Q$9,MATCH(产出预期!$M317,梦灵养成!$Q$10:$Q$15,1),0))*OFFSET(梦灵养成!L$9,1+MATCH(产出预期!$M317,梦灵养成!$Q$10:$Q$15,1),0)+梦灵养成!D636+SUMPRODUCT(--(梦灵养成!$Q$10:$Q$15&lt;=产出预期!$M317),梦灵养成!L$10:L$15,梦灵养成!$P$10:$P$15))/MAX(SUMPRODUCT(--(梦灵养成!$C$10:$C$31&lt;=产出预期!$M317),--(梦灵养成!$E$10:$E$31=I$2)),1)*10,梦灵养成!AT$339:AT$387,1),0)</f>
        <v>49</v>
      </c>
      <c r="J300" s="45" cm="1">
        <f ca="1" t="array" ref="J300">IFERROR(MATCH(((产出预期!$M317-OFFSET(梦灵养成!$Q$9,MATCH(产出预期!$M317,梦灵养成!$Q$10:$Q$15,1),0))*OFFSET(梦灵养成!M$9,1+MATCH(产出预期!$M317,梦灵养成!$Q$10:$Q$15,1),0)+梦灵养成!E636+SUMPRODUCT(--(梦灵养成!$Q$10:$Q$15&lt;=产出预期!$M317),梦灵养成!M$10:M$15,梦灵养成!$P$10:$P$15))/MAX(SUMPRODUCT(--(梦灵养成!$C$10:$C$31&lt;=产出预期!$M317),--(梦灵养成!$E$10:$E$31=J$2)),1)*10,梦灵养成!AU$339:AU$387,1),0)</f>
        <v>49</v>
      </c>
      <c r="K300" s="45" cm="1">
        <f ca="1" t="array" ref="K300">IFERROR(MATCH(((产出预期!$M317-OFFSET(梦灵养成!$Q$9,MATCH(产出预期!$M317,梦灵养成!$Q$10:$Q$15,1),0))*OFFSET(梦灵养成!N$9,1+MATCH(产出预期!$M317,梦灵养成!$Q$10:$Q$15,1),0)+梦灵养成!F636+SUMPRODUCT(--(梦灵养成!$Q$10:$Q$15&lt;=产出预期!$M317),梦灵养成!N$10:N$15,梦灵养成!$P$10:$P$15))/MAX(SUMPRODUCT(--(梦灵养成!$C$10:$C$31&lt;=产出预期!$M317),--(梦灵养成!$E$10:$E$31=K$2)),1)*10,梦灵养成!AV$339:AV$387,1),0)</f>
        <v>49</v>
      </c>
      <c r="L300" s="45" cm="1">
        <f ca="1" t="array" ref="L300">IFERROR(MATCH(((产出预期!$M317-OFFSET(梦灵养成!$Q$9,MATCH(产出预期!$M317,梦灵养成!$Q$10:$Q$15,1),0))*OFFSET(梦灵养成!O$9,1+MATCH(产出预期!$M317,梦灵养成!$Q$10:$Q$15,1),0)+梦灵养成!G636+SUMPRODUCT(--(梦灵养成!$Q$10:$Q$15&lt;=产出预期!$M317),梦灵养成!O$10:O$15,梦灵养成!$P$10:$P$15))/MAX(SUMPRODUCT(--(梦灵养成!$C$10:$C$31&lt;=产出预期!$M317),--(梦灵养成!$E$10:$E$31=L$2)),1)*10,梦灵养成!AW$339:AW$388,1),0)</f>
        <v>50</v>
      </c>
      <c r="M300" s="45">
        <f ca="1">OFFSET(符文养成!$C$14,MATCH(C300,符文养成!$B$15:$B$44,1),0)</f>
        <v>30</v>
      </c>
      <c r="N300" s="45">
        <f ca="1">MATCH((产出预期!Z317*价值表!$F$53+产出预期!AA317*价值表!$F$54+产出预期!AD317*价值表!$F$57)/16/M300,符文养成!$G$15:$G$21,1)</f>
        <v>5</v>
      </c>
      <c r="O300" s="45">
        <f>MATCH(产出预期!O317,秘宝养成!$C$3:$C$14,1)</f>
        <v>11</v>
      </c>
    </row>
    <row r="301" ht="16.5" spans="2:15">
      <c r="B301" s="2">
        <v>299</v>
      </c>
      <c r="C301" s="2">
        <f ca="1">MATCH((OFFSET(产出预期!$C$3,0,产出预期!$B$1)*10+OFFSET(产出预期!$C$4,0,产出预期!$B$1)*10+OFFSET(产出预期!$C$7,0,产出预期!$B$1)*20)*B301/10*60,玩家等级!$E$3:$E$302,1)</f>
        <v>106</v>
      </c>
      <c r="D301" s="2">
        <f>MATCH(产出预期!P318/6,装备养成!$G$4:$G$303,1)</f>
        <v>156</v>
      </c>
      <c r="E301" s="2">
        <f>COUNTIF(产出预期!$R318:$Y318,"&gt;"&amp;0)</f>
        <v>8</v>
      </c>
      <c r="F301" s="2">
        <f ca="1">MATCH(OFFSET(产出预期!$R$19,B301,E301-1),装备养成!$S$4:$S$9,1)</f>
        <v>6</v>
      </c>
      <c r="G301" s="2" t="str">
        <f ca="1">OFFSET(梦灵养成!$D$9,MATCH(梦灵养成!C332,梦灵养成!$C$10:$C$28,1),0)</f>
        <v>我爱沙</v>
      </c>
      <c r="H301" s="2" t="str">
        <f ca="1">OFFSET(梦灵养成!$I$9,MATCH(梦灵养成!C332,梦灵养成!$C$10:$C$28,1),0)</f>
        <v>后羿</v>
      </c>
      <c r="I301" s="45" cm="1">
        <f ca="1" t="array" ref="I301">IFERROR(MATCH(((产出预期!$M318-OFFSET(梦灵养成!$Q$9,MATCH(产出预期!$M318,梦灵养成!$Q$10:$Q$15,1),0))*OFFSET(梦灵养成!L$9,1+MATCH(产出预期!$M318,梦灵养成!$Q$10:$Q$15,1),0)+梦灵养成!D637+SUMPRODUCT(--(梦灵养成!$Q$10:$Q$15&lt;=产出预期!$M318),梦灵养成!L$10:L$15,梦灵养成!$P$10:$P$15))/MAX(SUMPRODUCT(--(梦灵养成!$C$10:$C$31&lt;=产出预期!$M318),--(梦灵养成!$E$10:$E$31=I$2)),1)*10,梦灵养成!AT$339:AT$387,1),0)</f>
        <v>49</v>
      </c>
      <c r="J301" s="45" cm="1">
        <f ca="1" t="array" ref="J301">IFERROR(MATCH(((产出预期!$M318-OFFSET(梦灵养成!$Q$9,MATCH(产出预期!$M318,梦灵养成!$Q$10:$Q$15,1),0))*OFFSET(梦灵养成!M$9,1+MATCH(产出预期!$M318,梦灵养成!$Q$10:$Q$15,1),0)+梦灵养成!E637+SUMPRODUCT(--(梦灵养成!$Q$10:$Q$15&lt;=产出预期!$M318),梦灵养成!M$10:M$15,梦灵养成!$P$10:$P$15))/MAX(SUMPRODUCT(--(梦灵养成!$C$10:$C$31&lt;=产出预期!$M318),--(梦灵养成!$E$10:$E$31=J$2)),1)*10,梦灵养成!AU$339:AU$387,1),0)</f>
        <v>49</v>
      </c>
      <c r="K301" s="45" cm="1">
        <f ca="1" t="array" ref="K301">IFERROR(MATCH(((产出预期!$M318-OFFSET(梦灵养成!$Q$9,MATCH(产出预期!$M318,梦灵养成!$Q$10:$Q$15,1),0))*OFFSET(梦灵养成!N$9,1+MATCH(产出预期!$M318,梦灵养成!$Q$10:$Q$15,1),0)+梦灵养成!F637+SUMPRODUCT(--(梦灵养成!$Q$10:$Q$15&lt;=产出预期!$M318),梦灵养成!N$10:N$15,梦灵养成!$P$10:$P$15))/MAX(SUMPRODUCT(--(梦灵养成!$C$10:$C$31&lt;=产出预期!$M318),--(梦灵养成!$E$10:$E$31=K$2)),1)*10,梦灵养成!AV$339:AV$387,1),0)</f>
        <v>49</v>
      </c>
      <c r="L301" s="45" cm="1">
        <f ca="1" t="array" ref="L301">IFERROR(MATCH(((产出预期!$M318-OFFSET(梦灵养成!$Q$9,MATCH(产出预期!$M318,梦灵养成!$Q$10:$Q$15,1),0))*OFFSET(梦灵养成!O$9,1+MATCH(产出预期!$M318,梦灵养成!$Q$10:$Q$15,1),0)+梦灵养成!G637+SUMPRODUCT(--(梦灵养成!$Q$10:$Q$15&lt;=产出预期!$M318),梦灵养成!O$10:O$15,梦灵养成!$P$10:$P$15))/MAX(SUMPRODUCT(--(梦灵养成!$C$10:$C$31&lt;=产出预期!$M318),--(梦灵养成!$E$10:$E$31=L$2)),1)*10,梦灵养成!AW$339:AW$388,1),0)</f>
        <v>50</v>
      </c>
      <c r="M301" s="45">
        <f ca="1">OFFSET(符文养成!$C$14,MATCH(C301,符文养成!$B$15:$B$44,1),0)</f>
        <v>30</v>
      </c>
      <c r="N301" s="45">
        <f ca="1">MATCH((产出预期!Z318*价值表!$F$53+产出预期!AA318*价值表!$F$54+产出预期!AD318*价值表!$F$57)/16/M301,符文养成!$G$15:$G$21,1)</f>
        <v>5</v>
      </c>
      <c r="O301" s="45">
        <f>MATCH(产出预期!O318,秘宝养成!$C$3:$C$14,1)</f>
        <v>11</v>
      </c>
    </row>
    <row r="302" ht="16.5" spans="2:15">
      <c r="B302" s="2">
        <v>300</v>
      </c>
      <c r="C302" s="2">
        <f ca="1">MATCH((OFFSET(产出预期!$C$3,0,产出预期!$B$1)*10+OFFSET(产出预期!$C$4,0,产出预期!$B$1)*10+OFFSET(产出预期!$C$7,0,产出预期!$B$1)*20)*B302/10*60,玩家等级!$E$3:$E$302,1)</f>
        <v>106</v>
      </c>
      <c r="D302" s="2">
        <f>MATCH(产出预期!P319/6,装备养成!$G$4:$G$303,1)</f>
        <v>156</v>
      </c>
      <c r="E302" s="2">
        <f>COUNTIF(产出预期!$R319:$Y319,"&gt;"&amp;0)</f>
        <v>8</v>
      </c>
      <c r="F302" s="2">
        <f ca="1">MATCH(OFFSET(产出预期!$R$19,B302,E302-1),装备养成!$S$4:$S$9,1)</f>
        <v>6</v>
      </c>
      <c r="G302" s="2" t="str">
        <f ca="1">OFFSET(梦灵养成!$D$9,MATCH(梦灵养成!C333,梦灵养成!$C$10:$C$28,1),0)</f>
        <v>我爱沙</v>
      </c>
      <c r="H302" s="2" t="str">
        <f ca="1">OFFSET(梦灵养成!$I$9,MATCH(梦灵养成!C333,梦灵养成!$C$10:$C$28,1),0)</f>
        <v>后羿</v>
      </c>
      <c r="I302" s="45" cm="1">
        <f ca="1" t="array" ref="I302">IFERROR(MATCH(((产出预期!$M319-OFFSET(梦灵养成!$Q$9,MATCH(产出预期!$M319,梦灵养成!$Q$10:$Q$15,1),0))*OFFSET(梦灵养成!L$9,1+MATCH(产出预期!$M319,梦灵养成!$Q$10:$Q$15,1),0)+梦灵养成!D638+SUMPRODUCT(--(梦灵养成!$Q$10:$Q$15&lt;=产出预期!$M319),梦灵养成!L$10:L$15,梦灵养成!$P$10:$P$15))/MAX(SUMPRODUCT(--(梦灵养成!$C$10:$C$31&lt;=产出预期!$M319),--(梦灵养成!$E$10:$E$31=I$2)),1)*10,梦灵养成!AT$339:AT$387,1),0)</f>
        <v>49</v>
      </c>
      <c r="J302" s="45" cm="1">
        <f ca="1" t="array" ref="J302">IFERROR(MATCH(((产出预期!$M319-OFFSET(梦灵养成!$Q$9,MATCH(产出预期!$M319,梦灵养成!$Q$10:$Q$15,1),0))*OFFSET(梦灵养成!M$9,1+MATCH(产出预期!$M319,梦灵养成!$Q$10:$Q$15,1),0)+梦灵养成!E638+SUMPRODUCT(--(梦灵养成!$Q$10:$Q$15&lt;=产出预期!$M319),梦灵养成!M$10:M$15,梦灵养成!$P$10:$P$15))/MAX(SUMPRODUCT(--(梦灵养成!$C$10:$C$31&lt;=产出预期!$M319),--(梦灵养成!$E$10:$E$31=J$2)),1)*10,梦灵养成!AU$339:AU$387,1),0)</f>
        <v>49</v>
      </c>
      <c r="K302" s="45" cm="1">
        <f ca="1" t="array" ref="K302">IFERROR(MATCH(((产出预期!$M319-OFFSET(梦灵养成!$Q$9,MATCH(产出预期!$M319,梦灵养成!$Q$10:$Q$15,1),0))*OFFSET(梦灵养成!N$9,1+MATCH(产出预期!$M319,梦灵养成!$Q$10:$Q$15,1),0)+梦灵养成!F638+SUMPRODUCT(--(梦灵养成!$Q$10:$Q$15&lt;=产出预期!$M319),梦灵养成!N$10:N$15,梦灵养成!$P$10:$P$15))/MAX(SUMPRODUCT(--(梦灵养成!$C$10:$C$31&lt;=产出预期!$M319),--(梦灵养成!$E$10:$E$31=K$2)),1)*10,梦灵养成!AV$339:AV$387,1),0)</f>
        <v>49</v>
      </c>
      <c r="L302" s="45" cm="1">
        <f ca="1" t="array" ref="L302">IFERROR(MATCH(((产出预期!$M319-OFFSET(梦灵养成!$Q$9,MATCH(产出预期!$M319,梦灵养成!$Q$10:$Q$15,1),0))*OFFSET(梦灵养成!O$9,1+MATCH(产出预期!$M319,梦灵养成!$Q$10:$Q$15,1),0)+梦灵养成!G638+SUMPRODUCT(--(梦灵养成!$Q$10:$Q$15&lt;=产出预期!$M319),梦灵养成!O$10:O$15,梦灵养成!$P$10:$P$15))/MAX(SUMPRODUCT(--(梦灵养成!$C$10:$C$31&lt;=产出预期!$M319),--(梦灵养成!$E$10:$E$31=L$2)),1)*10,梦灵养成!AW$339:AW$388,1),0)</f>
        <v>50</v>
      </c>
      <c r="M302" s="45">
        <f ca="1">OFFSET(符文养成!$C$14,MATCH(C302,符文养成!$B$15:$B$44,1),0)</f>
        <v>30</v>
      </c>
      <c r="N302" s="45">
        <f ca="1">MATCH((产出预期!Z319*价值表!$F$53+产出预期!AA319*价值表!$F$54+产出预期!AD319*价值表!$F$57)/16/M302,符文养成!$G$15:$G$21,1)</f>
        <v>5</v>
      </c>
      <c r="O302" s="45">
        <f>MATCH(产出预期!O319,秘宝养成!$C$3:$C$14,1)</f>
        <v>11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D31"/>
  <sheetViews>
    <sheetView workbookViewId="0">
      <selection activeCell="G38" sqref="D3:G38"/>
    </sheetView>
  </sheetViews>
  <sheetFormatPr defaultColWidth="9" defaultRowHeight="13.5" outlineLevelCol="3"/>
  <sheetData>
    <row r="1" spans="1:4">
      <c r="A1" t="s">
        <v>40</v>
      </c>
      <c r="B1" t="s">
        <v>86</v>
      </c>
      <c r="C1" t="s">
        <v>87</v>
      </c>
      <c r="D1" t="s">
        <v>88</v>
      </c>
    </row>
    <row r="2" spans="1:4">
      <c r="A2">
        <v>1</v>
      </c>
      <c r="B2">
        <v>0.264356905552919</v>
      </c>
      <c r="C2">
        <v>0.30761530827976</v>
      </c>
      <c r="D2">
        <v>0.07690382706994</v>
      </c>
    </row>
    <row r="3" spans="1:4">
      <c r="A3">
        <v>2</v>
      </c>
      <c r="B3">
        <v>0.248941480108089</v>
      </c>
      <c r="C3">
        <v>0.235111397879862</v>
      </c>
      <c r="D3">
        <v>0.117555698939931</v>
      </c>
    </row>
    <row r="4" spans="1:4">
      <c r="A4">
        <v>3</v>
      </c>
      <c r="B4">
        <v>0.222695299235372</v>
      </c>
      <c r="C4">
        <v>0.205630525347604</v>
      </c>
      <c r="D4">
        <v>0.102388643326608</v>
      </c>
    </row>
    <row r="5" spans="1:4">
      <c r="A5">
        <v>4</v>
      </c>
      <c r="B5">
        <v>0.213484506179626</v>
      </c>
      <c r="C5">
        <v>0.173020122655383</v>
      </c>
      <c r="D5">
        <v>0.0920913556068973</v>
      </c>
    </row>
    <row r="6" spans="1:4">
      <c r="A6">
        <v>5</v>
      </c>
      <c r="B6">
        <v>0.217018032896625</v>
      </c>
      <c r="C6">
        <v>0.163845523411982</v>
      </c>
      <c r="D6">
        <v>0.085323329173032</v>
      </c>
    </row>
    <row r="7" spans="1:4">
      <c r="A7">
        <v>6</v>
      </c>
      <c r="B7">
        <v>0.220609387276161</v>
      </c>
      <c r="C7">
        <v>0.159232497377807</v>
      </c>
      <c r="D7">
        <v>0.0833799258996515</v>
      </c>
    </row>
    <row r="8" spans="1:4">
      <c r="A8">
        <v>7</v>
      </c>
      <c r="B8">
        <v>0.216859795741826</v>
      </c>
      <c r="C8">
        <v>0.167226391786831</v>
      </c>
      <c r="D8">
        <v>0.0763590830076852</v>
      </c>
    </row>
    <row r="9" spans="1:4">
      <c r="A9">
        <v>8</v>
      </c>
      <c r="B9">
        <v>0.217177491991729</v>
      </c>
      <c r="C9">
        <v>0.159827591509065</v>
      </c>
      <c r="D9">
        <v>0.0733326596335708</v>
      </c>
    </row>
    <row r="10" spans="1:4">
      <c r="A10">
        <v>9</v>
      </c>
      <c r="B10">
        <v>0.21643119662393</v>
      </c>
      <c r="C10">
        <v>0.158490761694399</v>
      </c>
      <c r="D10">
        <v>0.0730455288605765</v>
      </c>
    </row>
    <row r="11" spans="1:4">
      <c r="A11">
        <v>10</v>
      </c>
      <c r="B11">
        <v>0.222113927245472</v>
      </c>
      <c r="C11">
        <v>0.151304351602294</v>
      </c>
      <c r="D11">
        <v>0.0723161623589911</v>
      </c>
    </row>
    <row r="12" spans="1:4">
      <c r="A12">
        <v>11</v>
      </c>
      <c r="B12">
        <v>0.225706228099726</v>
      </c>
      <c r="C12">
        <v>0.142178744044899</v>
      </c>
      <c r="D12">
        <v>0.0703815119880866</v>
      </c>
    </row>
    <row r="13" spans="1:4">
      <c r="A13">
        <v>12</v>
      </c>
      <c r="B13">
        <v>0.21870783678564</v>
      </c>
      <c r="C13">
        <v>0.15200194656602</v>
      </c>
      <c r="D13">
        <v>0.065612351035692</v>
      </c>
    </row>
    <row r="14" spans="1:4">
      <c r="A14">
        <v>13</v>
      </c>
      <c r="B14">
        <v>0.215285096002927</v>
      </c>
      <c r="C14">
        <v>0.158083741992488</v>
      </c>
      <c r="D14">
        <v>0.0624014771022978</v>
      </c>
    </row>
    <row r="15" spans="1:4">
      <c r="A15">
        <v>14</v>
      </c>
      <c r="B15">
        <v>0.206570935095515</v>
      </c>
      <c r="C15">
        <v>0.146723281002422</v>
      </c>
      <c r="D15">
        <v>0.0772227794749591</v>
      </c>
    </row>
    <row r="16" spans="1:4">
      <c r="A16">
        <v>15</v>
      </c>
      <c r="B16">
        <v>0.206022698417478</v>
      </c>
      <c r="C16">
        <v>0.149095373854753</v>
      </c>
      <c r="D16">
        <v>0.0722886661113956</v>
      </c>
    </row>
    <row r="17" spans="1:4">
      <c r="A17">
        <v>16</v>
      </c>
      <c r="B17">
        <v>0.207231238033253</v>
      </c>
      <c r="C17">
        <v>0.144886246930028</v>
      </c>
      <c r="D17">
        <v>0.0702478772994078</v>
      </c>
    </row>
    <row r="18" spans="1:4">
      <c r="A18">
        <v>17</v>
      </c>
      <c r="B18">
        <v>0.208455882352941</v>
      </c>
      <c r="C18">
        <v>0.147242647058824</v>
      </c>
      <c r="D18">
        <v>0.0661764705882353</v>
      </c>
    </row>
    <row r="19" spans="1:4">
      <c r="A19">
        <v>18</v>
      </c>
      <c r="B19">
        <v>0.212152236519217</v>
      </c>
      <c r="C19">
        <v>0.144133962215346</v>
      </c>
      <c r="D19">
        <v>0.0647793088608296</v>
      </c>
    </row>
    <row r="20" spans="1:4">
      <c r="A20">
        <v>19</v>
      </c>
      <c r="B20">
        <v>0.210225069845453</v>
      </c>
      <c r="C20">
        <v>0.147621280663535</v>
      </c>
      <c r="D20">
        <v>0.0618309028957216</v>
      </c>
    </row>
    <row r="21" spans="1:4">
      <c r="A21">
        <v>20</v>
      </c>
      <c r="B21">
        <v>0.204635209841151</v>
      </c>
      <c r="C21">
        <v>0.154177212894018</v>
      </c>
      <c r="D21">
        <v>0.0560644410523702</v>
      </c>
    </row>
    <row r="22" spans="1:4">
      <c r="A22">
        <v>21</v>
      </c>
      <c r="B22">
        <v>0.207783858849127</v>
      </c>
      <c r="C22">
        <v>0.151365724989431</v>
      </c>
      <c r="D22">
        <v>0.0550420818143384</v>
      </c>
    </row>
    <row r="23" spans="1:4">
      <c r="A23">
        <v>22</v>
      </c>
      <c r="B23">
        <v>0.203439854115278</v>
      </c>
      <c r="C23">
        <v>0.153231941400931</v>
      </c>
      <c r="D23">
        <v>0.0521640651577637</v>
      </c>
    </row>
    <row r="24" spans="1:4">
      <c r="A24">
        <v>23</v>
      </c>
      <c r="B24">
        <v>0.207520508120811</v>
      </c>
      <c r="C24">
        <v>0.146889516290333</v>
      </c>
      <c r="D24">
        <v>0.050004941715858</v>
      </c>
    </row>
    <row r="25" spans="1:4">
      <c r="A25">
        <v>24</v>
      </c>
      <c r="B25">
        <v>0.21020292555929</v>
      </c>
      <c r="C25">
        <v>0.144437682767348</v>
      </c>
      <c r="D25">
        <v>0.0491702749846293</v>
      </c>
    </row>
    <row r="26" spans="1:4">
      <c r="A26">
        <v>25</v>
      </c>
      <c r="B26">
        <v>0.212789928923332</v>
      </c>
      <c r="C26">
        <v>0.142061458230066</v>
      </c>
      <c r="D26">
        <v>0.0483613474825755</v>
      </c>
    </row>
    <row r="27" spans="1:4">
      <c r="A27">
        <v>26</v>
      </c>
      <c r="B27">
        <v>0.224633312475498</v>
      </c>
      <c r="C27">
        <v>0.145825492905365</v>
      </c>
      <c r="D27">
        <v>0.0496427209890603</v>
      </c>
    </row>
    <row r="28" spans="1:4">
      <c r="A28">
        <v>27</v>
      </c>
      <c r="B28">
        <v>0.222279621510365</v>
      </c>
      <c r="C28">
        <v>0.149381466068794</v>
      </c>
      <c r="D28">
        <v>0.047802069142014</v>
      </c>
    </row>
    <row r="29" spans="1:4">
      <c r="A29">
        <v>28</v>
      </c>
      <c r="B29">
        <v>0.22085578379048</v>
      </c>
      <c r="C29">
        <v>0.14453912551733</v>
      </c>
      <c r="D29">
        <v>0.0462525201655455</v>
      </c>
    </row>
    <row r="30" spans="1:4">
      <c r="A30">
        <v>29</v>
      </c>
      <c r="B30">
        <v>0.211986159027677</v>
      </c>
      <c r="C30">
        <v>0.135195254481937</v>
      </c>
      <c r="D30">
        <v>0.0432624814342198</v>
      </c>
    </row>
    <row r="31" spans="1:4">
      <c r="A31">
        <v>30</v>
      </c>
      <c r="B31">
        <v>0.210850438589433</v>
      </c>
      <c r="C31">
        <v>0.13112589464517</v>
      </c>
      <c r="D31">
        <v>0.0419602862864543</v>
      </c>
    </row>
  </sheetData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6"/>
  </sheetPr>
  <dimension ref="A1:AF302"/>
  <sheetViews>
    <sheetView workbookViewId="0">
      <selection activeCell="G38" sqref="D3:G38"/>
    </sheetView>
  </sheetViews>
  <sheetFormatPr defaultColWidth="9" defaultRowHeight="13.5"/>
  <cols>
    <col min="7" max="7" width="9.375"/>
    <col min="9" max="9" width="9.75" customWidth="1"/>
    <col min="10" max="10" width="13" customWidth="1"/>
    <col min="11" max="11" width="9.375" customWidth="1"/>
    <col min="26" max="26" width="9" customWidth="1"/>
    <col min="30" max="30" width="9" customWidth="1"/>
  </cols>
  <sheetData>
    <row r="1" ht="16.5" spans="1:32">
      <c r="L1" s="1" t="s">
        <v>89</v>
      </c>
    </row>
    <row r="2" ht="16.5" spans="1:32">
      <c r="B2" s="1" t="s">
        <v>40</v>
      </c>
      <c r="C2" s="1" t="s">
        <v>90</v>
      </c>
      <c r="D2" s="1" t="s">
        <v>75</v>
      </c>
      <c r="E2" s="1" t="s">
        <v>91</v>
      </c>
      <c r="F2" s="1" t="s">
        <v>92</v>
      </c>
      <c r="G2" s="1" t="s">
        <v>77</v>
      </c>
      <c r="H2" s="1" t="s">
        <v>93</v>
      </c>
      <c r="I2" s="1" t="s">
        <v>94</v>
      </c>
      <c r="J2" s="1" t="s">
        <v>95</v>
      </c>
      <c r="K2" s="1" t="s">
        <v>96</v>
      </c>
      <c r="L2" s="1" t="s">
        <v>86</v>
      </c>
      <c r="M2" s="1" t="s">
        <v>87</v>
      </c>
      <c r="N2" s="1" t="s">
        <v>88</v>
      </c>
      <c r="O2" s="1" t="s">
        <v>97</v>
      </c>
      <c r="P2" s="1" t="s">
        <v>98</v>
      </c>
      <c r="Q2" s="1" t="s">
        <v>99</v>
      </c>
      <c r="R2" s="1" t="s">
        <v>100</v>
      </c>
    </row>
    <row r="3" ht="16.5" spans="1:32">
      <c r="A3">
        <f ca="1">SUM(C3:E3)</f>
        <v>586</v>
      </c>
      <c r="B3" s="2">
        <v>1</v>
      </c>
      <c r="C3" s="2">
        <f>_xlfn.XLOOKUP(练度预期!D3,装备养成!$B$3:$B$303,装备养成!$D$3:$D$303)*6</f>
        <v>234</v>
      </c>
      <c r="D3" s="2" cm="1">
        <f ca="1" t="array" ref="D3">_xlfn.XLOOKUP(练度预期!E3&amp;"_"&amp;INT(练度预期!C3/10)*10+10,装备养成!$N$4:$N$219&amp;"_"&amp;装备养成!$K$4:$K$219,装备养成!$P$4:$P$219)*练度预期!F3+_xlfn.XLOOKUP(练度预期!E3-1&amp;"_"&amp;INT(练度预期!C3/10)*10+10,装备养成!$N$4:$N$219&amp;"_"&amp;装备养成!$K$4:$K$219,装备养成!$P$4:$P$219)*(6-练度预期!F3)</f>
        <v>288</v>
      </c>
      <c r="E3" s="2">
        <f ca="1">练度预期!N3*4*练度预期!M3</f>
        <v>64</v>
      </c>
      <c r="F3" s="103">
        <f ca="1">INT(练度预期!D3/10)*0.02+1+_xlfn.XLOOKUP(练度预期!E3,装备养成!$U$3:$U$11,装备养成!$V$3:$V$11)*练度预期!F3+_xlfn.XLOOKUP(练度预期!E3-1,装备养成!$U$3:$U$11,装备养成!$V$3:$V$11)*(6-练度预期!F3)</f>
        <v>1.02</v>
      </c>
      <c r="G3" s="48">
        <f ca="1">OFFSET(梦灵养成!$K$20,_xlfn.XLOOKUP(练度预期!H3,梦灵养成!$D$10:$D$28,梦灵养成!$H$10:$H$28),MATCH(OFFSET(梦灵养成!$C$33,B3,MATCH(练度预期!H3,梦灵养成!$D$33:$V$33,0)),梦灵养成!$L$20:$R$20,1))*(1+(OFFSET(梦灵养成!$C$33,B3,MATCH(练度预期!H3,梦灵养成!$D$33:$V$33,0))-1)*_xlfn.XLOOKUP(练度预期!H3,梦灵养成!$D$9:$D$28,梦灵养成!$G$9:$G$28))</f>
        <v>1.495</v>
      </c>
      <c r="H3" s="46">
        <f ca="1">符文养成!AC4</f>
        <v>1.34638365890461</v>
      </c>
      <c r="I3" s="46">
        <f>MAX(_xlfn.XLOOKUP(练度预期!O3,秘宝养成!$B$3:$B$15,秘宝养成!$E$3:$E$15),1)</f>
        <v>1</v>
      </c>
      <c r="J3" s="104">
        <f ca="1">(C3+D3+E3)*G3*H3*I3*F3</f>
        <v>1203.11685869769</v>
      </c>
      <c r="K3" s="104">
        <f ca="1">MATCH(J3,关卡预期!$E$4:$E$303,1)</f>
        <v>13</v>
      </c>
      <c r="L3" s="48">
        <f ca="1">S3/SUM($S3:$U3)</f>
        <v>0.399317406143345</v>
      </c>
      <c r="M3" s="48">
        <f ca="1">T3/SUM($S3:$U3)</f>
        <v>0.491467576791809</v>
      </c>
      <c r="N3" s="48">
        <f ca="1">U3/SUM($S3:$U3)</f>
        <v>0.109215017064846</v>
      </c>
      <c r="O3" s="48">
        <f ca="1">V3/SUM($V3:$Y3)</f>
        <v>0.0275284605356143</v>
      </c>
      <c r="P3" s="48">
        <f ca="1">W3/SUM($V3:$Y3)</f>
        <v>0.559012460813204</v>
      </c>
      <c r="Q3" s="48">
        <f ca="1">X3/SUM($V3:$Y3)</f>
        <v>0.413459078651182</v>
      </c>
      <c r="R3" s="48">
        <f ca="1">Y3/SUM($V3:$Y3)</f>
        <v>0</v>
      </c>
      <c r="S3" s="46">
        <f ca="1">1-($C3+$D3+$E3-C3)*$G3*$H3*$F3*$I3/$J3</f>
        <v>0.399317406143345</v>
      </c>
      <c r="T3" s="46">
        <f ca="1">1-($C3+$D3+$E3-D3)*$G3*$H3*$F3*$I3/$J3</f>
        <v>0.491467576791809</v>
      </c>
      <c r="U3" s="46">
        <f ca="1">1-($C3+$D3+$E3-E3)*$G3*$H3*$F3*$I3/$J3</f>
        <v>0.109215017064846</v>
      </c>
      <c r="V3" s="48">
        <f ca="1">LOG(F3,EXP(1))</f>
        <v>0.0198026272961797</v>
      </c>
      <c r="W3" s="48">
        <f ca="1">LOG(G3,EXP(1))</f>
        <v>0.40212620684265</v>
      </c>
      <c r="X3" s="48">
        <f ca="1">LOG(H3,EXP(1))</f>
        <v>0.297422226940687</v>
      </c>
      <c r="Y3" s="48">
        <f>LOG(I3,EXP(1))</f>
        <v>0</v>
      </c>
      <c r="Z3" s="105">
        <f ca="1">O3/SUM($O3:$R3)</f>
        <v>0.0275284605356143</v>
      </c>
      <c r="AA3" s="105">
        <f ca="1">P3/SUM($O3:$R3)</f>
        <v>0.559012460813204</v>
      </c>
      <c r="AB3" s="105">
        <f ca="1">Q3/SUM($O3:$R3)</f>
        <v>0.413459078651182</v>
      </c>
      <c r="AC3" s="105">
        <f ca="1">R3/SUM($O3:$R3)</f>
        <v>0</v>
      </c>
      <c r="AD3" s="105">
        <f ca="1">C3/SUM($C3:$E3)</f>
        <v>0.399317406143345</v>
      </c>
      <c r="AE3" s="105">
        <f ca="1">D3/SUM($C3:$E3)</f>
        <v>0.491467576791809</v>
      </c>
      <c r="AF3" s="105">
        <f ca="1">E3/SUM($C3:$E3)</f>
        <v>0.109215017064846</v>
      </c>
    </row>
    <row r="4" ht="16.5" spans="1:32">
      <c r="A4">
        <f ca="1" t="shared" ref="A4:A67" si="0">SUM(C4:E4)</f>
        <v>810</v>
      </c>
      <c r="B4" s="2">
        <v>2</v>
      </c>
      <c r="C4" s="2">
        <f>_xlfn.XLOOKUP(练度预期!D4,装备养成!$B$3:$B$303,装备养成!$D$3:$D$303)*6</f>
        <v>330</v>
      </c>
      <c r="D4" s="2" cm="1">
        <f ca="1" t="array" ref="D4">_xlfn.XLOOKUP(练度预期!E4&amp;"_"&amp;INT(练度预期!C4/10)*10+10,装备养成!$N$4:$N$219&amp;"_"&amp;装备养成!$K$4:$K$219,装备养成!$P$4:$P$219)*练度预期!F4+_xlfn.XLOOKUP(练度预期!E4-1&amp;"_"&amp;INT(练度预期!C4/10)*10+10,装备养成!$N$4:$N$219&amp;"_"&amp;装备养成!$K$4:$K$219,装备养成!$P$4:$P$219)*(6-练度预期!F4)</f>
        <v>384</v>
      </c>
      <c r="E4" s="2">
        <f ca="1">练度预期!N4*4*练度预期!M4</f>
        <v>96</v>
      </c>
      <c r="F4" s="103">
        <f ca="1">INT(练度预期!D4/10)*0.02+1+_xlfn.XLOOKUP(练度预期!E4,装备养成!$U$3:$U$11,装备养成!$V$3:$V$11)*练度预期!F4+_xlfn.XLOOKUP(练度预期!E4-1,装备养成!$U$3:$U$11,装备养成!$V$3:$V$11)*(6-练度预期!F4)</f>
        <v>1.05376</v>
      </c>
      <c r="G4" s="48">
        <f ca="1">OFFSET(梦灵养成!$K$20,_xlfn.XLOOKUP(练度预期!H4,梦灵养成!$D$10:$D$28,梦灵养成!$H$10:$H$28),MATCH(OFFSET(梦灵养成!$C$33,B4,MATCH(练度预期!H4,梦灵养成!$D$33:$V$33,0)),梦灵养成!$L$20:$R$20,1))*(1+(OFFSET(梦灵养成!$C$33,B4,MATCH(练度预期!H4,梦灵养成!$D$33:$V$33,0))-1)*_xlfn.XLOOKUP(练度预期!H4,梦灵养成!$D$9:$D$28,梦灵养成!$G$9:$G$28))</f>
        <v>1.674</v>
      </c>
      <c r="H4" s="46">
        <f ca="1">符文养成!AC5</f>
        <v>1.54750320621195</v>
      </c>
      <c r="I4" s="46">
        <f>MAX(_xlfn.XLOOKUP(练度预期!O4,秘宝养成!$B$3:$B$15,秘宝养成!$E$3:$E$15),1)</f>
        <v>1</v>
      </c>
      <c r="J4" s="104">
        <f ca="1" t="shared" ref="J4:J67" si="1">(C4+D4+E4)*G4*H4*I4*F4</f>
        <v>2211.12726113293</v>
      </c>
      <c r="K4" s="104">
        <f ca="1">MATCH(J4,关卡预期!$E$4:$E$303,1)</f>
        <v>22</v>
      </c>
      <c r="L4" s="48">
        <f ca="1" t="shared" ref="L4:L67" si="2">S4/SUM($S4:$U4)</f>
        <v>0.407407407407407</v>
      </c>
      <c r="M4" s="48">
        <f ca="1" t="shared" ref="M4:M67" si="3">T4/SUM($S4:$U4)</f>
        <v>0.474074074074074</v>
      </c>
      <c r="N4" s="48">
        <f ca="1" t="shared" ref="N4:N67" si="4">U4/SUM($S4:$U4)</f>
        <v>0.118518518518519</v>
      </c>
      <c r="O4" s="48">
        <f ca="1" t="shared" ref="O4:O67" si="5">V4/SUM($V4:$Y4)</f>
        <v>0.0521444884951048</v>
      </c>
      <c r="P4" s="48">
        <f ca="1" t="shared" ref="P4:P67" si="6">W4/SUM($V4:$Y4)</f>
        <v>0.51304911441022</v>
      </c>
      <c r="Q4" s="48">
        <f ca="1" t="shared" ref="Q4:Q67" si="7">X4/SUM($V4:$Y4)</f>
        <v>0.434806397094675</v>
      </c>
      <c r="R4" s="48">
        <f ca="1" t="shared" ref="R4:R67" si="8">Y4/SUM($V4:$Y4)</f>
        <v>0</v>
      </c>
      <c r="S4" s="46">
        <f ca="1" t="shared" ref="S4:S67" si="9">1-($C4+$D4+$E4-C4)*$G4*$H4*$F4*$I4/$J4</f>
        <v>0.407407407407407</v>
      </c>
      <c r="T4" s="46">
        <f ca="1" t="shared" ref="T4:T67" si="10">1-($C4+$D4+$E4-D4)*$G4*$H4*$F4*$I4/$J4</f>
        <v>0.474074074074074</v>
      </c>
      <c r="U4" s="46">
        <f ca="1" t="shared" ref="U4:U67" si="11">1-($C4+$D4+$E4-E4)*$G4*$H4*$F4*$I4/$J4</f>
        <v>0.118518518518519</v>
      </c>
      <c r="V4" s="48">
        <f ca="1" t="shared" ref="V4:V67" si="12">LOG(F4,EXP(1))</f>
        <v>0.0523647202058624</v>
      </c>
      <c r="W4" s="48">
        <f ca="1" t="shared" ref="W4:W67" si="13">LOG(G4,EXP(1))</f>
        <v>0.515215972067284</v>
      </c>
      <c r="X4" s="48">
        <f ca="1" t="shared" ref="X4:X67" si="14">LOG(H4,EXP(1))</f>
        <v>0.436642797440026</v>
      </c>
      <c r="Y4" s="48">
        <f t="shared" ref="Y4:Y67" si="15">LOG(I4,EXP(1))</f>
        <v>0</v>
      </c>
      <c r="Z4" s="105">
        <f ca="1" t="shared" ref="Z4:Z67" si="16">O4/SUM($O4:$R4)</f>
        <v>0.0521444884951048</v>
      </c>
      <c r="AA4" s="105">
        <f ca="1" t="shared" ref="AA4:AA67" si="17">P4/SUM($O4:$R4)</f>
        <v>0.51304911441022</v>
      </c>
      <c r="AB4" s="105">
        <f ca="1" t="shared" ref="AB4:AB67" si="18">Q4/SUM($O4:$R4)</f>
        <v>0.434806397094675</v>
      </c>
      <c r="AC4" s="105">
        <f ca="1" t="shared" ref="AC4:AC67" si="19">R4/SUM($O4:$R4)</f>
        <v>0</v>
      </c>
      <c r="AD4" s="105">
        <f ca="1" t="shared" ref="AD4:AD67" si="20">C4/SUM($C4:$E4)</f>
        <v>0.407407407407407</v>
      </c>
      <c r="AE4" s="105">
        <f ca="1" t="shared" ref="AE4:AE67" si="21">D4/SUM($C4:$E4)</f>
        <v>0.474074074074074</v>
      </c>
      <c r="AF4" s="105">
        <f ca="1" t="shared" ref="AF4:AF67" si="22">E4/SUM($C4:$E4)</f>
        <v>0.118518518518519</v>
      </c>
    </row>
    <row r="5" ht="16.5" spans="1:32">
      <c r="A5">
        <f ca="1" t="shared" si="0"/>
        <v>996</v>
      </c>
      <c r="B5" s="2">
        <v>3</v>
      </c>
      <c r="C5" s="2">
        <f>_xlfn.XLOOKUP(练度预期!D5,装备养成!$B$3:$B$303,装备养成!$D$3:$D$303)*6</f>
        <v>432</v>
      </c>
      <c r="D5" s="2" cm="1">
        <f ca="1" t="array" ref="D5">_xlfn.XLOOKUP(练度预期!E5&amp;"_"&amp;INT(练度预期!C5/10)*10+10,装备养成!$N$4:$N$219&amp;"_"&amp;装备养成!$K$4:$K$219,装备养成!$P$4:$P$219)*练度预期!F5+_xlfn.XLOOKUP(练度预期!E5-1&amp;"_"&amp;INT(练度预期!C5/10)*10+10,装备养成!$N$4:$N$219&amp;"_"&amp;装备养成!$K$4:$K$219,装备养成!$P$4:$P$219)*(6-练度预期!F5)</f>
        <v>384</v>
      </c>
      <c r="E5" s="2">
        <f ca="1">练度预期!N5*4*练度预期!M5</f>
        <v>180</v>
      </c>
      <c r="F5" s="103">
        <f ca="1">INT(练度预期!D5/10)*0.02+1+_xlfn.XLOOKUP(练度预期!E5,装备养成!$U$3:$U$11,装备养成!$V$3:$V$11)*练度预期!F5+_xlfn.XLOOKUP(练度预期!E5-1,装备养成!$U$3:$U$11,装备养成!$V$3:$V$11)*(6-练度预期!F5)</f>
        <v>1.07376</v>
      </c>
      <c r="G5" s="48">
        <f ca="1">OFFSET(梦灵养成!$K$20,_xlfn.XLOOKUP(练度预期!H5,梦灵养成!$D$10:$D$28,梦灵养成!$H$10:$H$28),MATCH(OFFSET(梦灵养成!$C$33,B5,MATCH(练度预期!H5,梦灵养成!$D$33:$V$33,0)),梦灵养成!$L$20:$R$20,1))*(1+(OFFSET(梦灵养成!$C$33,B5,MATCH(练度预期!H5,梦灵养成!$D$33:$V$33,0))-1)*_xlfn.XLOOKUP(练度预期!H5,梦灵养成!$D$9:$D$28,梦灵养成!$G$9:$G$28))</f>
        <v>1.755</v>
      </c>
      <c r="H5" s="46">
        <f ca="1">符文养成!AC6</f>
        <v>1.72492161386594</v>
      </c>
      <c r="I5" s="46">
        <f>MAX(_xlfn.XLOOKUP(练度预期!O5,秘宝养成!$B$3:$B$15,秘宝养成!$E$3:$E$15),1)</f>
        <v>1.14467592592593</v>
      </c>
      <c r="J5" s="104">
        <f ca="1" t="shared" si="1"/>
        <v>3705.91619389823</v>
      </c>
      <c r="K5" s="104">
        <f ca="1">MATCH(J5,关卡预期!$E$4:$E$303,1)</f>
        <v>29</v>
      </c>
      <c r="L5" s="48">
        <f ca="1" t="shared" si="2"/>
        <v>0.433734939759036</v>
      </c>
      <c r="M5" s="48">
        <f ca="1" t="shared" si="3"/>
        <v>0.385542168674699</v>
      </c>
      <c r="N5" s="48">
        <f ca="1" t="shared" si="4"/>
        <v>0.180722891566265</v>
      </c>
      <c r="O5" s="48">
        <f ca="1" t="shared" si="5"/>
        <v>0.0541627370775905</v>
      </c>
      <c r="P5" s="48">
        <f ca="1" t="shared" si="6"/>
        <v>0.428078514917763</v>
      </c>
      <c r="Q5" s="48">
        <f ca="1" t="shared" si="7"/>
        <v>0.414921698035799</v>
      </c>
      <c r="R5" s="48">
        <f ca="1" t="shared" si="8"/>
        <v>0.102837049968847</v>
      </c>
      <c r="S5" s="46">
        <f ca="1" t="shared" si="9"/>
        <v>0.433734939759036</v>
      </c>
      <c r="T5" s="46">
        <f ca="1" t="shared" si="10"/>
        <v>0.385542168674699</v>
      </c>
      <c r="U5" s="46">
        <f ca="1" t="shared" si="11"/>
        <v>0.180722891566265</v>
      </c>
      <c r="V5" s="48">
        <f ca="1" t="shared" si="12"/>
        <v>0.0711665074277922</v>
      </c>
      <c r="W5" s="48">
        <f ca="1" t="shared" si="13"/>
        <v>0.562468856917829</v>
      </c>
      <c r="X5" s="48">
        <f ca="1" t="shared" si="14"/>
        <v>0.545181608213704</v>
      </c>
      <c r="Y5" s="48">
        <f t="shared" si="15"/>
        <v>0.13512156281866</v>
      </c>
      <c r="Z5" s="105">
        <f ca="1" t="shared" si="16"/>
        <v>0.0541627370775905</v>
      </c>
      <c r="AA5" s="105">
        <f ca="1" t="shared" si="17"/>
        <v>0.428078514917763</v>
      </c>
      <c r="AB5" s="105">
        <f ca="1" t="shared" si="18"/>
        <v>0.414921698035799</v>
      </c>
      <c r="AC5" s="105">
        <f ca="1" t="shared" si="19"/>
        <v>0.102837049968847</v>
      </c>
      <c r="AD5" s="105">
        <f ca="1" t="shared" si="20"/>
        <v>0.433734939759036</v>
      </c>
      <c r="AE5" s="105">
        <f ca="1" t="shared" si="21"/>
        <v>0.385542168674699</v>
      </c>
      <c r="AF5" s="105">
        <f ca="1" t="shared" si="22"/>
        <v>0.180722891566265</v>
      </c>
    </row>
    <row r="6" ht="16.5" spans="1:32">
      <c r="A6">
        <f ca="1" t="shared" si="0"/>
        <v>1092</v>
      </c>
      <c r="B6" s="2">
        <v>4</v>
      </c>
      <c r="C6" s="2">
        <f>_xlfn.XLOOKUP(练度预期!D6,装备养成!$B$3:$B$303,装备养成!$D$3:$D$303)*6</f>
        <v>492</v>
      </c>
      <c r="D6" s="2" cm="1">
        <f ca="1" t="array" ref="D6">_xlfn.XLOOKUP(练度预期!E6&amp;"_"&amp;INT(练度预期!C6/10)*10+10,装备养成!$N$4:$N$219&amp;"_"&amp;装备养成!$K$4:$K$219,装备养成!$P$4:$P$219)*练度预期!F6+_xlfn.XLOOKUP(练度预期!E6-1&amp;"_"&amp;INT(练度预期!C6/10)*10+10,装备养成!$N$4:$N$219&amp;"_"&amp;装备养成!$K$4:$K$219,装备养成!$P$4:$P$219)*(6-练度预期!F6)</f>
        <v>396</v>
      </c>
      <c r="E6" s="2">
        <f ca="1">练度预期!N6*4*练度预期!M6</f>
        <v>204</v>
      </c>
      <c r="F6" s="103">
        <f ca="1">INT(练度预期!D6/10)*0.02+1+_xlfn.XLOOKUP(练度预期!E6,装备养成!$U$3:$U$11,装备养成!$V$3:$V$11)*练度预期!F6+_xlfn.XLOOKUP(练度预期!E6-1,装备养成!$U$3:$U$11,装备养成!$V$3:$V$11)*(6-练度预期!F6)</f>
        <v>1.10752</v>
      </c>
      <c r="G6" s="48">
        <f ca="1">OFFSET(梦灵养成!$K$20,_xlfn.XLOOKUP(练度预期!H6,梦灵养成!$D$10:$D$28,梦灵养成!$H$10:$H$28),MATCH(OFFSET(梦灵养成!$C$33,B6,MATCH(练度预期!H6,梦灵养成!$D$33:$V$33,0)),梦灵养成!$L$20:$R$20,1))*(1+(OFFSET(梦灵养成!$C$33,B6,MATCH(练度预期!H6,梦灵养成!$D$33:$V$33,0))-1)*_xlfn.XLOOKUP(练度预期!H6,梦灵养成!$D$9:$D$28,梦灵养成!$G$9:$G$28))</f>
        <v>1.836</v>
      </c>
      <c r="H6" s="46">
        <f ca="1">符文养成!AC7</f>
        <v>1.87864626363944</v>
      </c>
      <c r="I6" s="46">
        <f>MAX(_xlfn.XLOOKUP(练度预期!O6,秘宝养成!$B$3:$B$15,秘宝养成!$E$3:$E$15),1)</f>
        <v>1.34722222222222</v>
      </c>
      <c r="J6" s="104">
        <f ca="1" t="shared" si="1"/>
        <v>5619.93307463118</v>
      </c>
      <c r="K6" s="104">
        <f ca="1">MATCH(J6,关卡预期!$E$4:$E$303,1)</f>
        <v>36</v>
      </c>
      <c r="L6" s="48">
        <f ca="1" t="shared" si="2"/>
        <v>0.450549450549451</v>
      </c>
      <c r="M6" s="48">
        <f ca="1" t="shared" si="3"/>
        <v>0.362637362637363</v>
      </c>
      <c r="N6" s="48">
        <f ca="1" t="shared" si="4"/>
        <v>0.186813186813187</v>
      </c>
      <c r="O6" s="48">
        <f ca="1" t="shared" si="5"/>
        <v>0.0623345712344031</v>
      </c>
      <c r="P6" s="48">
        <f ca="1" t="shared" si="6"/>
        <v>0.370863699956939</v>
      </c>
      <c r="Q6" s="48">
        <f ca="1" t="shared" si="7"/>
        <v>0.384879465263334</v>
      </c>
      <c r="R6" s="48">
        <f ca="1" t="shared" si="8"/>
        <v>0.181922263545324</v>
      </c>
      <c r="S6" s="46">
        <f ca="1" t="shared" si="9"/>
        <v>0.450549450549451</v>
      </c>
      <c r="T6" s="46">
        <f ca="1" t="shared" si="10"/>
        <v>0.362637362637363</v>
      </c>
      <c r="U6" s="46">
        <f ca="1" t="shared" si="11"/>
        <v>0.186813186813187</v>
      </c>
      <c r="V6" s="48">
        <f ca="1" t="shared" si="12"/>
        <v>0.102123281464842</v>
      </c>
      <c r="W6" s="48">
        <f ca="1" t="shared" si="13"/>
        <v>0.607589292198299</v>
      </c>
      <c r="X6" s="48">
        <f ca="1" t="shared" si="14"/>
        <v>0.630551444932897</v>
      </c>
      <c r="Y6" s="48">
        <f t="shared" si="15"/>
        <v>0.298044859487326</v>
      </c>
      <c r="Z6" s="105">
        <f ca="1" t="shared" si="16"/>
        <v>0.0623345712344031</v>
      </c>
      <c r="AA6" s="105">
        <f ca="1" t="shared" si="17"/>
        <v>0.370863699956939</v>
      </c>
      <c r="AB6" s="105">
        <f ca="1" t="shared" si="18"/>
        <v>0.384879465263334</v>
      </c>
      <c r="AC6" s="105">
        <f ca="1" t="shared" si="19"/>
        <v>0.181922263545324</v>
      </c>
      <c r="AD6" s="105">
        <f ca="1" t="shared" si="20"/>
        <v>0.450549450549451</v>
      </c>
      <c r="AE6" s="105">
        <f ca="1" t="shared" si="21"/>
        <v>0.362637362637363</v>
      </c>
      <c r="AF6" s="105">
        <f ca="1" t="shared" si="22"/>
        <v>0.186813186813187</v>
      </c>
    </row>
    <row r="7" ht="16.5" spans="1:32">
      <c r="A7">
        <f ca="1" t="shared" si="0"/>
        <v>1290</v>
      </c>
      <c r="B7" s="2">
        <v>5</v>
      </c>
      <c r="C7" s="2">
        <f>_xlfn.XLOOKUP(练度预期!D7,装备养成!$B$3:$B$303,装备养成!$D$3:$D$303)*6</f>
        <v>582</v>
      </c>
      <c r="D7" s="2" cm="1">
        <f ca="1" t="array" ref="D7">_xlfn.XLOOKUP(练度预期!E7&amp;"_"&amp;INT(练度预期!C7/10)*10+10,装备养成!$N$4:$N$219&amp;"_"&amp;装备养成!$K$4:$K$219,装备养成!$P$4:$P$219)*练度预期!F7+_xlfn.XLOOKUP(练度预期!E7-1&amp;"_"&amp;INT(练度预期!C7/10)*10+10,装备养成!$N$4:$N$219&amp;"_"&amp;装备养成!$K$4:$K$219,装备养成!$P$4:$P$219)*(6-练度预期!F7)</f>
        <v>468</v>
      </c>
      <c r="E7" s="2">
        <f ca="1">练度预期!N7*4*练度预期!M7</f>
        <v>240</v>
      </c>
      <c r="F7" s="103">
        <f ca="1">INT(练度预期!D7/10)*0.02+1+_xlfn.XLOOKUP(练度预期!E7,装备养成!$U$3:$U$11,装备养成!$V$3:$V$11)*练度预期!F7+_xlfn.XLOOKUP(练度预期!E7-1,装备养成!$U$3:$U$11,装备养成!$V$3:$V$11)*(6-练度预期!F7)</f>
        <v>1.14128</v>
      </c>
      <c r="G7" s="48">
        <f ca="1">OFFSET(梦灵养成!$K$20,_xlfn.XLOOKUP(练度预期!H7,梦灵养成!$D$10:$D$28,梦灵养成!$H$10:$H$28),MATCH(OFFSET(梦灵养成!$C$33,B7,MATCH(练度预期!H7,梦灵养成!$D$33:$V$33,0)),梦灵养成!$L$20:$R$20,1))*(1+(OFFSET(梦灵养成!$C$33,B7,MATCH(练度预期!H7,梦灵养成!$D$33:$V$33,0))-1)*_xlfn.XLOOKUP(练度预期!H7,梦灵养成!$D$9:$D$28,梦灵养成!$G$9:$G$28))</f>
        <v>1.836</v>
      </c>
      <c r="H7" s="46">
        <f ca="1">符文养成!AC8</f>
        <v>2.06219605692555</v>
      </c>
      <c r="I7" s="46">
        <f>MAX(_xlfn.XLOOKUP(练度预期!O7,秘宝养成!$B$3:$B$15,秘宝养成!$E$3:$E$15),1)</f>
        <v>1.34722222222222</v>
      </c>
      <c r="J7" s="104">
        <f ca="1" t="shared" si="1"/>
        <v>7509.72067719449</v>
      </c>
      <c r="K7" s="104">
        <f ca="1">MATCH(J7,关卡预期!$E$4:$E$303,1)</f>
        <v>40</v>
      </c>
      <c r="L7" s="48">
        <f ca="1" t="shared" si="2"/>
        <v>0.451162790697674</v>
      </c>
      <c r="M7" s="48">
        <f ca="1" t="shared" si="3"/>
        <v>0.362790697674419</v>
      </c>
      <c r="N7" s="48">
        <f ca="1" t="shared" si="4"/>
        <v>0.186046511627907</v>
      </c>
      <c r="O7" s="48">
        <f ca="1" t="shared" si="5"/>
        <v>0.0750191509960361</v>
      </c>
      <c r="P7" s="48">
        <f ca="1" t="shared" si="6"/>
        <v>0.344916240998078</v>
      </c>
      <c r="Q7" s="48">
        <f ca="1" t="shared" si="7"/>
        <v>0.410870525912651</v>
      </c>
      <c r="R7" s="48">
        <f ca="1" t="shared" si="8"/>
        <v>0.169194082093234</v>
      </c>
      <c r="S7" s="46">
        <f ca="1" t="shared" si="9"/>
        <v>0.451162790697674</v>
      </c>
      <c r="T7" s="46">
        <f ca="1" t="shared" si="10"/>
        <v>0.362790697674419</v>
      </c>
      <c r="U7" s="46">
        <f ca="1" t="shared" si="11"/>
        <v>0.186046511627907</v>
      </c>
      <c r="V7" s="48">
        <f ca="1" t="shared" si="12"/>
        <v>0.132150439547591</v>
      </c>
      <c r="W7" s="48">
        <f ca="1" t="shared" si="13"/>
        <v>0.607589292198299</v>
      </c>
      <c r="X7" s="48">
        <f ca="1" t="shared" si="14"/>
        <v>0.723771462028085</v>
      </c>
      <c r="Y7" s="48">
        <f t="shared" si="15"/>
        <v>0.298044859487326</v>
      </c>
      <c r="Z7" s="105">
        <f ca="1" t="shared" si="16"/>
        <v>0.0750191509960361</v>
      </c>
      <c r="AA7" s="105">
        <f ca="1" t="shared" si="17"/>
        <v>0.344916240998078</v>
      </c>
      <c r="AB7" s="105">
        <f ca="1" t="shared" si="18"/>
        <v>0.410870525912651</v>
      </c>
      <c r="AC7" s="105">
        <f ca="1" t="shared" si="19"/>
        <v>0.169194082093234</v>
      </c>
      <c r="AD7" s="105">
        <f ca="1" t="shared" si="20"/>
        <v>0.451162790697674</v>
      </c>
      <c r="AE7" s="105">
        <f ca="1" t="shared" si="21"/>
        <v>0.362790697674419</v>
      </c>
      <c r="AF7" s="105">
        <f ca="1" t="shared" si="22"/>
        <v>0.186046511627907</v>
      </c>
    </row>
    <row r="8" ht="16.5" spans="1:32">
      <c r="A8">
        <f ca="1" t="shared" si="0"/>
        <v>1364</v>
      </c>
      <c r="B8" s="2">
        <v>6</v>
      </c>
      <c r="C8" s="2">
        <f>_xlfn.XLOOKUP(练度预期!D8,装备养成!$B$3:$B$303,装备养成!$D$3:$D$303)*6</f>
        <v>642</v>
      </c>
      <c r="D8" s="2" cm="1">
        <f ca="1" t="array" ref="D8">_xlfn.XLOOKUP(练度预期!E8&amp;"_"&amp;INT(练度预期!C8/10)*10+10,装备养成!$N$4:$N$219&amp;"_"&amp;装备养成!$K$4:$K$219,装备养成!$P$4:$P$219)*练度预期!F8+_xlfn.XLOOKUP(练度预期!E8-1&amp;"_"&amp;INT(练度预期!C8/10)*10+10,装备养成!$N$4:$N$219&amp;"_"&amp;装备养成!$K$4:$K$219,装备养成!$P$4:$P$219)*(6-练度预期!F8)</f>
        <v>482</v>
      </c>
      <c r="E8" s="2">
        <f ca="1">练度预期!N8*4*练度预期!M8</f>
        <v>240</v>
      </c>
      <c r="F8" s="103">
        <f ca="1">INT(练度预期!D8/10)*0.02+1+_xlfn.XLOOKUP(练度预期!E8,装备养成!$U$3:$U$11,装备养成!$V$3:$V$11)*练度预期!F8+_xlfn.XLOOKUP(练度预期!E8-1,装备养成!$U$3:$U$11,装备养成!$V$3:$V$11)*(6-练度预期!F8)</f>
        <v>1.17504</v>
      </c>
      <c r="G8" s="48">
        <f ca="1">OFFSET(梦灵养成!$K$20,_xlfn.XLOOKUP(练度预期!H8,梦灵养成!$D$10:$D$28,梦灵养成!$H$10:$H$28),MATCH(OFFSET(梦灵养成!$C$33,B8,MATCH(练度预期!H8,梦灵养成!$D$33:$V$33,0)),梦灵养成!$L$20:$R$20,1))*(1+(OFFSET(梦灵养成!$C$33,B8,MATCH(练度预期!H8,梦灵养成!$D$33:$V$33,0))-1)*_xlfn.XLOOKUP(练度预期!H8,梦灵养成!$D$9:$D$28,梦灵养成!$G$9:$G$28))</f>
        <v>2.511</v>
      </c>
      <c r="H8" s="46">
        <f ca="1">符文养成!AC9</f>
        <v>2.10186729295254</v>
      </c>
      <c r="I8" s="46">
        <f>MAX(_xlfn.XLOOKUP(练度预期!O8,秘宝养成!$B$3:$B$15,秘宝养成!$E$3:$E$15),1)</f>
        <v>1.34722222222222</v>
      </c>
      <c r="J8" s="104">
        <f ca="1" t="shared" si="1"/>
        <v>11396.1528074269</v>
      </c>
      <c r="K8" s="104">
        <f ca="1">MATCH(J8,关卡预期!$E$4:$E$303,1)</f>
        <v>46</v>
      </c>
      <c r="L8" s="48">
        <f ca="1" t="shared" si="2"/>
        <v>0.470674486803519</v>
      </c>
      <c r="M8" s="48">
        <f ca="1" t="shared" si="3"/>
        <v>0.353372434017595</v>
      </c>
      <c r="N8" s="48">
        <f ca="1" t="shared" si="4"/>
        <v>0.175953079178886</v>
      </c>
      <c r="O8" s="48">
        <f ca="1" t="shared" si="5"/>
        <v>0.0759836377626633</v>
      </c>
      <c r="P8" s="48">
        <f ca="1" t="shared" si="6"/>
        <v>0.433699616090346</v>
      </c>
      <c r="Q8" s="48">
        <f ca="1" t="shared" si="7"/>
        <v>0.349918573619407</v>
      </c>
      <c r="R8" s="48">
        <f ca="1" t="shared" si="8"/>
        <v>0.140398172527583</v>
      </c>
      <c r="S8" s="46">
        <f ca="1" t="shared" si="9"/>
        <v>0.470674486803519</v>
      </c>
      <c r="T8" s="46">
        <f ca="1" t="shared" si="10"/>
        <v>0.353372434017595</v>
      </c>
      <c r="U8" s="46">
        <f ca="1" t="shared" si="11"/>
        <v>0.175953079178886</v>
      </c>
      <c r="V8" s="48">
        <f ca="1" t="shared" si="12"/>
        <v>0.161302189569879</v>
      </c>
      <c r="W8" s="48">
        <f ca="1" t="shared" si="13"/>
        <v>0.920681080175448</v>
      </c>
      <c r="X8" s="48">
        <f ca="1" t="shared" si="14"/>
        <v>0.742826136756959</v>
      </c>
      <c r="Y8" s="48">
        <f t="shared" si="15"/>
        <v>0.298044859487326</v>
      </c>
      <c r="Z8" s="105">
        <f ca="1" t="shared" si="16"/>
        <v>0.0759836377626633</v>
      </c>
      <c r="AA8" s="105">
        <f ca="1" t="shared" si="17"/>
        <v>0.433699616090346</v>
      </c>
      <c r="AB8" s="105">
        <f ca="1" t="shared" si="18"/>
        <v>0.349918573619407</v>
      </c>
      <c r="AC8" s="105">
        <f ca="1" t="shared" si="19"/>
        <v>0.140398172527583</v>
      </c>
      <c r="AD8" s="105">
        <f ca="1" t="shared" si="20"/>
        <v>0.470674486803519</v>
      </c>
      <c r="AE8" s="105">
        <f ca="1" t="shared" si="21"/>
        <v>0.353372434017595</v>
      </c>
      <c r="AF8" s="105">
        <f ca="1" t="shared" si="22"/>
        <v>0.175953079178886</v>
      </c>
    </row>
    <row r="9" ht="16.5" spans="1:32">
      <c r="A9">
        <f ca="1" t="shared" si="0"/>
        <v>1436</v>
      </c>
      <c r="B9" s="2">
        <v>7</v>
      </c>
      <c r="C9" s="2">
        <f>_xlfn.XLOOKUP(练度预期!D9,装备养成!$B$3:$B$303,装备养成!$D$3:$D$303)*6</f>
        <v>702</v>
      </c>
      <c r="D9" s="2" cm="1">
        <f ca="1" t="array" ref="D9">_xlfn.XLOOKUP(练度预期!E9&amp;"_"&amp;INT(练度预期!C9/10)*10+10,装备养成!$N$4:$N$219&amp;"_"&amp;装备养成!$K$4:$K$219,装备养成!$P$4:$P$219)*练度预期!F9+_xlfn.XLOOKUP(练度预期!E9-1&amp;"_"&amp;INT(练度预期!C9/10)*10+10,装备养成!$N$4:$N$219&amp;"_"&amp;装备养成!$K$4:$K$219,装备养成!$P$4:$P$219)*(6-练度预期!F9)</f>
        <v>482</v>
      </c>
      <c r="E9" s="2">
        <f ca="1">练度预期!N9*4*练度预期!M9</f>
        <v>252</v>
      </c>
      <c r="F9" s="103">
        <f ca="1">INT(练度预期!D9/10)*0.02+1+_xlfn.XLOOKUP(练度预期!E9,装备养成!$U$3:$U$11,装备养成!$V$3:$V$11)*练度预期!F9+_xlfn.XLOOKUP(练度预期!E9-1,装备养成!$U$3:$U$11,装备养成!$V$3:$V$11)*(6-练度预期!F9)</f>
        <v>1.17504</v>
      </c>
      <c r="G9" s="48">
        <f ca="1">OFFSET(梦灵养成!$K$20,_xlfn.XLOOKUP(练度预期!H9,梦灵养成!$D$10:$D$28,梦灵养成!$H$10:$H$28),MATCH(OFFSET(梦灵养成!$C$33,B9,MATCH(练度预期!H9,梦灵养成!$D$33:$V$33,0)),梦灵养成!$L$20:$R$20,1))*(1+(OFFSET(梦灵养成!$C$33,B9,MATCH(练度预期!H9,梦灵养成!$D$33:$V$33,0))-1)*_xlfn.XLOOKUP(练度预期!H9,梦灵养成!$D$9:$D$28,梦灵养成!$G$9:$G$28))</f>
        <v>2.511</v>
      </c>
      <c r="H9" s="46">
        <f ca="1">符文养成!AC10</f>
        <v>2.2969650020128</v>
      </c>
      <c r="I9" s="46">
        <f>MAX(_xlfn.XLOOKUP(练度预期!O9,秘宝养成!$B$3:$B$15,秘宝养成!$E$3:$E$15),1)</f>
        <v>1.34722222222222</v>
      </c>
      <c r="J9" s="104">
        <f ca="1" t="shared" si="1"/>
        <v>13111.3502590463</v>
      </c>
      <c r="K9" s="104">
        <f ca="1">MATCH(J9,关卡预期!$E$4:$E$303,1)</f>
        <v>48</v>
      </c>
      <c r="L9" s="48">
        <f ca="1" t="shared" si="2"/>
        <v>0.488857938718663</v>
      </c>
      <c r="M9" s="48">
        <f ca="1" t="shared" si="3"/>
        <v>0.335654596100278</v>
      </c>
      <c r="N9" s="48">
        <f ca="1" t="shared" si="4"/>
        <v>0.175487465181059</v>
      </c>
      <c r="O9" s="48">
        <f ca="1" t="shared" si="5"/>
        <v>0.0729340581837208</v>
      </c>
      <c r="P9" s="48">
        <f ca="1" t="shared" si="6"/>
        <v>0.416293217402835</v>
      </c>
      <c r="Q9" s="48">
        <f ca="1" t="shared" si="7"/>
        <v>0.376009388706892</v>
      </c>
      <c r="R9" s="48">
        <f ca="1" t="shared" si="8"/>
        <v>0.134763335706552</v>
      </c>
      <c r="S9" s="46">
        <f ca="1" t="shared" si="9"/>
        <v>0.488857938718663</v>
      </c>
      <c r="T9" s="46">
        <f ca="1" t="shared" si="10"/>
        <v>0.335654596100278</v>
      </c>
      <c r="U9" s="46">
        <f ca="1" t="shared" si="11"/>
        <v>0.175487465181059</v>
      </c>
      <c r="V9" s="48">
        <f ca="1" t="shared" si="12"/>
        <v>0.161302189569879</v>
      </c>
      <c r="W9" s="48">
        <f ca="1" t="shared" si="13"/>
        <v>0.920681080175448</v>
      </c>
      <c r="X9" s="48">
        <f ca="1" t="shared" si="14"/>
        <v>0.831588687201162</v>
      </c>
      <c r="Y9" s="48">
        <f t="shared" si="15"/>
        <v>0.298044859487326</v>
      </c>
      <c r="Z9" s="105">
        <f ca="1" t="shared" si="16"/>
        <v>0.0729340581837208</v>
      </c>
      <c r="AA9" s="105">
        <f ca="1" t="shared" si="17"/>
        <v>0.416293217402835</v>
      </c>
      <c r="AB9" s="105">
        <f ca="1" t="shared" si="18"/>
        <v>0.376009388706892</v>
      </c>
      <c r="AC9" s="105">
        <f ca="1" t="shared" si="19"/>
        <v>0.134763335706552</v>
      </c>
      <c r="AD9" s="105">
        <f ca="1" t="shared" si="20"/>
        <v>0.488857938718663</v>
      </c>
      <c r="AE9" s="105">
        <f ca="1" t="shared" si="21"/>
        <v>0.335654596100279</v>
      </c>
      <c r="AF9" s="105">
        <f ca="1" t="shared" si="22"/>
        <v>0.175487465181058</v>
      </c>
    </row>
    <row r="10" ht="16.5" spans="1:32">
      <c r="A10">
        <f ca="1" t="shared" si="0"/>
        <v>1522</v>
      </c>
      <c r="B10" s="2">
        <v>8</v>
      </c>
      <c r="C10" s="2">
        <f>_xlfn.XLOOKUP(练度预期!D10,装备养成!$B$3:$B$303,装备养成!$D$3:$D$303)*6</f>
        <v>762</v>
      </c>
      <c r="D10" s="2" cm="1">
        <f ca="1" t="array" ref="D10">_xlfn.XLOOKUP(练度预期!E10&amp;"_"&amp;INT(练度预期!C10/10)*10+10,装备养成!$N$4:$N$219&amp;"_"&amp;装备养成!$K$4:$K$219,装备养成!$P$4:$P$219)*练度预期!F10+_xlfn.XLOOKUP(练度预期!E10-1&amp;"_"&amp;INT(练度预期!C10/10)*10+10,装备养成!$N$4:$N$219&amp;"_"&amp;装备养成!$K$4:$K$219,装备养成!$P$4:$P$219)*(6-练度预期!F10)</f>
        <v>496</v>
      </c>
      <c r="E10" s="2">
        <f ca="1">练度预期!N10*4*练度预期!M10</f>
        <v>264</v>
      </c>
      <c r="F10" s="103">
        <f ca="1">INT(练度预期!D10/10)*0.02+1+_xlfn.XLOOKUP(练度预期!E10,装备养成!$U$3:$U$11,装备养成!$V$3:$V$11)*练度预期!F10+_xlfn.XLOOKUP(练度预期!E10-1,装备养成!$U$3:$U$11,装备养成!$V$3:$V$11)*(6-练度预期!F10)</f>
        <v>1.2288</v>
      </c>
      <c r="G10" s="48">
        <f ca="1">OFFSET(梦灵养成!$K$20,_xlfn.XLOOKUP(练度预期!H10,梦灵养成!$D$10:$D$28,梦灵养成!$H$10:$H$28),MATCH(OFFSET(梦灵养成!$C$33,B10,MATCH(练度预期!H10,梦灵养成!$D$33:$V$33,0)),梦灵养成!$L$20:$R$20,1))*(1+(OFFSET(梦灵养成!$C$33,B10,MATCH(练度预期!H10,梦灵养成!$D$33:$V$33,0))-1)*_xlfn.XLOOKUP(练度预期!H10,梦灵养成!$D$9:$D$28,梦灵养成!$G$9:$G$28))</f>
        <v>2.6325</v>
      </c>
      <c r="H10" s="46">
        <f ca="1">符文养成!AC11</f>
        <v>2.37825294251095</v>
      </c>
      <c r="I10" s="46">
        <f>MAX(_xlfn.XLOOKUP(练度预期!O10,秘宝养成!$B$3:$B$15,秘宝养成!$E$3:$E$15),1)</f>
        <v>1.41666666666667</v>
      </c>
      <c r="J10" s="104">
        <f ca="1" t="shared" si="1"/>
        <v>16587.8444073365</v>
      </c>
      <c r="K10" s="104">
        <f ca="1">MATCH(J10,关卡预期!$E$4:$E$303,1)</f>
        <v>52</v>
      </c>
      <c r="L10" s="48">
        <f ca="1" t="shared" si="2"/>
        <v>0.50065703022339</v>
      </c>
      <c r="M10" s="48">
        <f ca="1" t="shared" si="3"/>
        <v>0.325886990801577</v>
      </c>
      <c r="N10" s="48">
        <f ca="1" t="shared" si="4"/>
        <v>0.173455978975033</v>
      </c>
      <c r="O10" s="48">
        <f ca="1" t="shared" si="5"/>
        <v>0.0862573098021521</v>
      </c>
      <c r="P10" s="48">
        <f ca="1" t="shared" si="6"/>
        <v>0.40522304666665</v>
      </c>
      <c r="Q10" s="48">
        <f ca="1" t="shared" si="7"/>
        <v>0.362701948393321</v>
      </c>
      <c r="R10" s="48">
        <f ca="1" t="shared" si="8"/>
        <v>0.145817695137877</v>
      </c>
      <c r="S10" s="46">
        <f ca="1" t="shared" si="9"/>
        <v>0.50065703022339</v>
      </c>
      <c r="T10" s="46">
        <f ca="1" t="shared" si="10"/>
        <v>0.325886990801577</v>
      </c>
      <c r="U10" s="46">
        <f ca="1" t="shared" si="11"/>
        <v>0.173455978975033</v>
      </c>
      <c r="V10" s="48">
        <f ca="1" t="shared" si="12"/>
        <v>0.206038083411271</v>
      </c>
      <c r="W10" s="48">
        <f ca="1" t="shared" si="13"/>
        <v>0.967933965025993</v>
      </c>
      <c r="X10" s="48">
        <f ca="1" t="shared" si="14"/>
        <v>0.86636616036255</v>
      </c>
      <c r="Y10" s="48">
        <f t="shared" si="15"/>
        <v>0.348306694268218</v>
      </c>
      <c r="Z10" s="105">
        <f ca="1" t="shared" si="16"/>
        <v>0.0862573098021521</v>
      </c>
      <c r="AA10" s="105">
        <f ca="1" t="shared" si="17"/>
        <v>0.40522304666665</v>
      </c>
      <c r="AB10" s="105">
        <f ca="1" t="shared" si="18"/>
        <v>0.362701948393321</v>
      </c>
      <c r="AC10" s="105">
        <f ca="1" t="shared" si="19"/>
        <v>0.145817695137877</v>
      </c>
      <c r="AD10" s="105">
        <f ca="1" t="shared" si="20"/>
        <v>0.50065703022339</v>
      </c>
      <c r="AE10" s="105">
        <f ca="1" t="shared" si="21"/>
        <v>0.325886990801577</v>
      </c>
      <c r="AF10" s="105">
        <f ca="1" t="shared" si="22"/>
        <v>0.173455978975033</v>
      </c>
    </row>
    <row r="11" ht="16.5" spans="1:32">
      <c r="A11">
        <f ca="1" t="shared" si="0"/>
        <v>1598</v>
      </c>
      <c r="B11" s="2">
        <v>9</v>
      </c>
      <c r="C11" s="2">
        <f>_xlfn.XLOOKUP(练度预期!D11,装备养成!$B$3:$B$303,装备养成!$D$3:$D$303)*6</f>
        <v>792</v>
      </c>
      <c r="D11" s="2" cm="1">
        <f ca="1" t="array" ref="D11">_xlfn.XLOOKUP(练度预期!E11&amp;"_"&amp;INT(练度预期!C11/10)*10+10,装备养成!$N$4:$N$219&amp;"_"&amp;装备养成!$K$4:$K$219,装备养成!$P$4:$P$219)*练度预期!F11+_xlfn.XLOOKUP(练度预期!E11-1&amp;"_"&amp;INT(练度预期!C11/10)*10+10,装备养成!$N$4:$N$219&amp;"_"&amp;装备养成!$K$4:$K$219,装备养成!$P$4:$P$219)*(6-练度预期!F11)</f>
        <v>530</v>
      </c>
      <c r="E11" s="2">
        <f ca="1">练度预期!N11*4*练度预期!M11</f>
        <v>276</v>
      </c>
      <c r="F11" s="103">
        <f ca="1">INT(练度预期!D11/10)*0.02+1+_xlfn.XLOOKUP(练度预期!E11,装备养成!$U$3:$U$11,装备养成!$V$3:$V$11)*练度预期!F11+_xlfn.XLOOKUP(练度预期!E11-1,装备养成!$U$3:$U$11,装备养成!$V$3:$V$11)*(6-练度预期!F11)</f>
        <v>1.27704</v>
      </c>
      <c r="G11" s="48">
        <f ca="1">OFFSET(梦灵养成!$K$20,_xlfn.XLOOKUP(练度预期!H11,梦灵养成!$D$10:$D$28,梦灵养成!$H$10:$H$28),MATCH(OFFSET(梦灵养成!$C$33,B11,MATCH(练度预期!H11,梦灵养成!$D$33:$V$33,0)),梦灵养成!$L$20:$R$20,1))*(1+(OFFSET(梦灵养成!$C$33,B11,MATCH(练度预期!H11,梦灵养成!$D$33:$V$33,0))-1)*_xlfn.XLOOKUP(练度预期!H11,梦灵养成!$D$9:$D$28,梦灵养成!$G$9:$G$28))</f>
        <v>2.6325</v>
      </c>
      <c r="H11" s="46">
        <f ca="1">符文养成!AC12</f>
        <v>2.47135555772161</v>
      </c>
      <c r="I11" s="46">
        <f>MAX(_xlfn.XLOOKUP(练度预期!O11,秘宝养成!$B$3:$B$15,秘宝养成!$E$3:$E$15),1)</f>
        <v>1.41666666666667</v>
      </c>
      <c r="J11" s="104">
        <f ca="1" t="shared" si="1"/>
        <v>18808.4307884098</v>
      </c>
      <c r="K11" s="104">
        <f ca="1">MATCH(J11,关卡预期!$E$4:$E$303,1)</f>
        <v>53</v>
      </c>
      <c r="L11" s="48">
        <f ca="1" t="shared" si="2"/>
        <v>0.495619524405507</v>
      </c>
      <c r="M11" s="48">
        <f ca="1" t="shared" si="3"/>
        <v>0.331664580725907</v>
      </c>
      <c r="N11" s="48">
        <f ca="1" t="shared" si="4"/>
        <v>0.172715894868586</v>
      </c>
      <c r="O11" s="48">
        <f ca="1" t="shared" si="5"/>
        <v>0.0991846302402406</v>
      </c>
      <c r="P11" s="48">
        <f ca="1" t="shared" si="6"/>
        <v>0.392583007980319</v>
      </c>
      <c r="Q11" s="48">
        <f ca="1" t="shared" si="7"/>
        <v>0.366963127847944</v>
      </c>
      <c r="R11" s="48">
        <f ca="1" t="shared" si="8"/>
        <v>0.141269233931497</v>
      </c>
      <c r="S11" s="46">
        <f ca="1" t="shared" si="9"/>
        <v>0.495619524405507</v>
      </c>
      <c r="T11" s="46">
        <f ca="1" t="shared" si="10"/>
        <v>0.331664580725907</v>
      </c>
      <c r="U11" s="46">
        <f ca="1" t="shared" si="11"/>
        <v>0.172715894868586</v>
      </c>
      <c r="V11" s="48">
        <f ca="1" t="shared" si="12"/>
        <v>0.244544899974087</v>
      </c>
      <c r="W11" s="48">
        <f ca="1" t="shared" si="13"/>
        <v>0.967933965025993</v>
      </c>
      <c r="X11" s="48">
        <f ca="1" t="shared" si="14"/>
        <v>0.904766808893592</v>
      </c>
      <c r="Y11" s="48">
        <f t="shared" si="15"/>
        <v>0.348306694268218</v>
      </c>
      <c r="Z11" s="105">
        <f ca="1" t="shared" si="16"/>
        <v>0.0991846302402406</v>
      </c>
      <c r="AA11" s="105">
        <f ca="1" t="shared" si="17"/>
        <v>0.392583007980319</v>
      </c>
      <c r="AB11" s="105">
        <f ca="1" t="shared" si="18"/>
        <v>0.366963127847944</v>
      </c>
      <c r="AC11" s="105">
        <f ca="1" t="shared" si="19"/>
        <v>0.141269233931497</v>
      </c>
      <c r="AD11" s="105">
        <f ca="1" t="shared" si="20"/>
        <v>0.495619524405507</v>
      </c>
      <c r="AE11" s="105">
        <f ca="1" t="shared" si="21"/>
        <v>0.331664580725907</v>
      </c>
      <c r="AF11" s="105">
        <f ca="1" t="shared" si="22"/>
        <v>0.172715894868586</v>
      </c>
    </row>
    <row r="12" ht="16.5" spans="1:32">
      <c r="A12">
        <f ca="1" t="shared" si="0"/>
        <v>1658</v>
      </c>
      <c r="B12" s="2">
        <v>10</v>
      </c>
      <c r="C12" s="2">
        <f>_xlfn.XLOOKUP(练度预期!D12,装备养成!$B$3:$B$303,装备养成!$D$3:$D$303)*6</f>
        <v>852</v>
      </c>
      <c r="D12" s="2" cm="1">
        <f ca="1" t="array" ref="D12">_xlfn.XLOOKUP(练度预期!E12&amp;"_"&amp;INT(练度预期!C12/10)*10+10,装备养成!$N$4:$N$219&amp;"_"&amp;装备养成!$K$4:$K$219,装备养成!$P$4:$P$219)*练度预期!F12+_xlfn.XLOOKUP(练度预期!E12-1&amp;"_"&amp;INT(练度预期!C12/10)*10+10,装备养成!$N$4:$N$219&amp;"_"&amp;装备养成!$K$4:$K$219,装备养成!$P$4:$P$219)*(6-练度预期!F12)</f>
        <v>530</v>
      </c>
      <c r="E12" s="2">
        <f ca="1">练度预期!N12*4*练度预期!M12</f>
        <v>276</v>
      </c>
      <c r="F12" s="103">
        <f ca="1">INT(练度预期!D12/10)*0.02+1+_xlfn.XLOOKUP(练度预期!E12,装备养成!$U$3:$U$11,装备养成!$V$3:$V$11)*练度预期!F12+_xlfn.XLOOKUP(练度预期!E12-1,装备养成!$U$3:$U$11,装备养成!$V$3:$V$11)*(6-练度预期!F12)</f>
        <v>1.27704</v>
      </c>
      <c r="G12" s="48">
        <f ca="1">OFFSET(梦灵养成!$K$20,_xlfn.XLOOKUP(练度预期!H12,梦灵养成!$D$10:$D$28,梦灵养成!$H$10:$H$28),MATCH(OFFSET(梦灵养成!$C$33,B12,MATCH(练度预期!H12,梦灵养成!$D$33:$V$33,0)),梦灵养成!$L$20:$R$20,1))*(1+(OFFSET(梦灵养成!$C$33,B12,MATCH(练度预期!H12,梦灵养成!$D$33:$V$33,0))-1)*_xlfn.XLOOKUP(练度预期!H12,梦灵养成!$D$9:$D$28,梦灵养成!$G$9:$G$28))</f>
        <v>2.754</v>
      </c>
      <c r="H12" s="46">
        <f ca="1">符文养成!AC13</f>
        <v>2.51372118976099</v>
      </c>
      <c r="I12" s="46">
        <f>MAX(_xlfn.XLOOKUP(练度预期!O12,秘宝养成!$B$3:$B$15,秘宝养成!$E$3:$E$15),1)</f>
        <v>1.41666666666667</v>
      </c>
      <c r="J12" s="104">
        <f ca="1" t="shared" si="1"/>
        <v>20765.2777370221</v>
      </c>
      <c r="K12" s="104">
        <f ca="1">MATCH(J12,关卡预期!$E$4:$E$303,1)</f>
        <v>55</v>
      </c>
      <c r="L12" s="48">
        <f ca="1" t="shared" si="2"/>
        <v>0.513872135102533</v>
      </c>
      <c r="M12" s="48">
        <f ca="1" t="shared" si="3"/>
        <v>0.319662243667069</v>
      </c>
      <c r="N12" s="48">
        <f ca="1" t="shared" si="4"/>
        <v>0.166465621230398</v>
      </c>
      <c r="O12" s="48">
        <f ca="1" t="shared" si="5"/>
        <v>0.0967471549123522</v>
      </c>
      <c r="P12" s="48">
        <f ca="1" t="shared" si="6"/>
        <v>0.400785831196951</v>
      </c>
      <c r="Q12" s="48">
        <f ca="1" t="shared" si="7"/>
        <v>0.364669489955635</v>
      </c>
      <c r="R12" s="48">
        <f ca="1" t="shared" si="8"/>
        <v>0.137797523935062</v>
      </c>
      <c r="S12" s="46">
        <f ca="1" t="shared" si="9"/>
        <v>0.513872135102533</v>
      </c>
      <c r="T12" s="46">
        <f ca="1" t="shared" si="10"/>
        <v>0.319662243667069</v>
      </c>
      <c r="U12" s="46">
        <f ca="1" t="shared" si="11"/>
        <v>0.166465621230398</v>
      </c>
      <c r="V12" s="48">
        <f ca="1" t="shared" si="12"/>
        <v>0.244544899974087</v>
      </c>
      <c r="W12" s="48">
        <f ca="1" t="shared" si="13"/>
        <v>1.01305440030646</v>
      </c>
      <c r="X12" s="48">
        <f ca="1" t="shared" si="14"/>
        <v>0.92176420097927</v>
      </c>
      <c r="Y12" s="48">
        <f t="shared" si="15"/>
        <v>0.348306694268218</v>
      </c>
      <c r="Z12" s="105">
        <f ca="1" t="shared" si="16"/>
        <v>0.0967471549123522</v>
      </c>
      <c r="AA12" s="105">
        <f ca="1" t="shared" si="17"/>
        <v>0.400785831196951</v>
      </c>
      <c r="AB12" s="105">
        <f ca="1" t="shared" si="18"/>
        <v>0.364669489955635</v>
      </c>
      <c r="AC12" s="105">
        <f ca="1" t="shared" si="19"/>
        <v>0.137797523935062</v>
      </c>
      <c r="AD12" s="105">
        <f ca="1" t="shared" si="20"/>
        <v>0.513872135102533</v>
      </c>
      <c r="AE12" s="105">
        <f ca="1" t="shared" si="21"/>
        <v>0.319662243667069</v>
      </c>
      <c r="AF12" s="105">
        <f ca="1" t="shared" si="22"/>
        <v>0.166465621230398</v>
      </c>
    </row>
    <row r="13" ht="16.5" spans="1:32">
      <c r="A13">
        <f ca="1" t="shared" si="0"/>
        <v>1706</v>
      </c>
      <c r="B13" s="2">
        <v>11</v>
      </c>
      <c r="C13" s="2">
        <f>_xlfn.XLOOKUP(练度预期!D13,装备养成!$B$3:$B$303,装备养成!$D$3:$D$303)*6</f>
        <v>888</v>
      </c>
      <c r="D13" s="2" cm="1">
        <f ca="1" t="array" ref="D13">_xlfn.XLOOKUP(练度预期!E13&amp;"_"&amp;INT(练度预期!C13/10)*10+10,装备养成!$N$4:$N$219&amp;"_"&amp;装备养成!$K$4:$K$219,装备养成!$P$4:$P$219)*练度预期!F13+_xlfn.XLOOKUP(练度预期!E13-1&amp;"_"&amp;INT(练度预期!C13/10)*10+10,装备养成!$N$4:$N$219&amp;"_"&amp;装备养成!$K$4:$K$219,装备养成!$P$4:$P$219)*(6-练度预期!F13)</f>
        <v>530</v>
      </c>
      <c r="E13" s="2">
        <f ca="1">练度预期!N13*4*练度预期!M13</f>
        <v>288</v>
      </c>
      <c r="F13" s="103">
        <f ca="1">INT(练度预期!D13/10)*0.02+1+_xlfn.XLOOKUP(练度预期!E13,装备养成!$U$3:$U$11,装备养成!$V$3:$V$11)*练度预期!F13+_xlfn.XLOOKUP(练度预期!E13-1,装备养成!$U$3:$U$11,装备养成!$V$3:$V$11)*(6-练度预期!F13)</f>
        <v>1.27704</v>
      </c>
      <c r="G13" s="48">
        <f ca="1">OFFSET(梦灵养成!$K$20,_xlfn.XLOOKUP(练度预期!H13,梦灵养成!$D$10:$D$28,梦灵养成!$H$10:$H$28),MATCH(OFFSET(梦灵养成!$C$33,B13,MATCH(练度预期!H13,梦灵养成!$D$33:$V$33,0)),梦灵养成!$L$20:$R$20,1))*(1+(OFFSET(梦灵养成!$C$33,B13,MATCH(练度预期!H13,梦灵养成!$D$33:$V$33,0))-1)*_xlfn.XLOOKUP(练度预期!H13,梦灵养成!$D$9:$D$28,梦灵养成!$G$9:$G$28))</f>
        <v>2.754</v>
      </c>
      <c r="H13" s="46">
        <f ca="1">符文养成!AC14</f>
        <v>2.60577091538857</v>
      </c>
      <c r="I13" s="46">
        <f>MAX(_xlfn.XLOOKUP(练度预期!O13,秘宝养成!$B$3:$B$15,秘宝养成!$E$3:$E$15),1)</f>
        <v>1.41666666666667</v>
      </c>
      <c r="J13" s="104">
        <f ca="1" t="shared" si="1"/>
        <v>22148.8596446065</v>
      </c>
      <c r="K13" s="104">
        <f ca="1">MATCH(J13,关卡预期!$E$4:$E$303,1)</f>
        <v>56</v>
      </c>
      <c r="L13" s="48">
        <f ca="1" t="shared" si="2"/>
        <v>0.520515826494724</v>
      </c>
      <c r="M13" s="48">
        <f ca="1" t="shared" si="3"/>
        <v>0.310668229777257</v>
      </c>
      <c r="N13" s="48">
        <f ca="1" t="shared" si="4"/>
        <v>0.168815943728019</v>
      </c>
      <c r="O13" s="48">
        <f ca="1" t="shared" si="5"/>
        <v>0.095389921607481</v>
      </c>
      <c r="P13" s="48">
        <f ca="1" t="shared" si="6"/>
        <v>0.395163341536001</v>
      </c>
      <c r="Q13" s="48">
        <f ca="1" t="shared" si="7"/>
        <v>0.373582328050091</v>
      </c>
      <c r="R13" s="48">
        <f ca="1" t="shared" si="8"/>
        <v>0.135864408806427</v>
      </c>
      <c r="S13" s="46">
        <f ca="1" t="shared" si="9"/>
        <v>0.520515826494725</v>
      </c>
      <c r="T13" s="46">
        <f ca="1" t="shared" si="10"/>
        <v>0.310668229777257</v>
      </c>
      <c r="U13" s="46">
        <f ca="1" t="shared" si="11"/>
        <v>0.168815943728019</v>
      </c>
      <c r="V13" s="48">
        <f ca="1" t="shared" si="12"/>
        <v>0.244544899974087</v>
      </c>
      <c r="W13" s="48">
        <f ca="1" t="shared" si="13"/>
        <v>1.01305440030646</v>
      </c>
      <c r="X13" s="48">
        <f ca="1" t="shared" si="14"/>
        <v>0.957728568234102</v>
      </c>
      <c r="Y13" s="48">
        <f t="shared" si="15"/>
        <v>0.348306694268218</v>
      </c>
      <c r="Z13" s="105">
        <f ca="1" t="shared" si="16"/>
        <v>0.095389921607481</v>
      </c>
      <c r="AA13" s="105">
        <f ca="1" t="shared" si="17"/>
        <v>0.395163341536001</v>
      </c>
      <c r="AB13" s="105">
        <f ca="1" t="shared" si="18"/>
        <v>0.373582328050091</v>
      </c>
      <c r="AC13" s="105">
        <f ca="1" t="shared" si="19"/>
        <v>0.135864408806427</v>
      </c>
      <c r="AD13" s="105">
        <f ca="1" t="shared" si="20"/>
        <v>0.520515826494724</v>
      </c>
      <c r="AE13" s="105">
        <f ca="1" t="shared" si="21"/>
        <v>0.310668229777257</v>
      </c>
      <c r="AF13" s="105">
        <f ca="1" t="shared" si="22"/>
        <v>0.168815943728019</v>
      </c>
    </row>
    <row r="14" ht="16.5" spans="1:32">
      <c r="A14">
        <f ca="1" t="shared" si="0"/>
        <v>1778</v>
      </c>
      <c r="B14" s="2">
        <v>12</v>
      </c>
      <c r="C14" s="2">
        <f>_xlfn.XLOOKUP(练度预期!D14,装备养成!$B$3:$B$303,装备养成!$D$3:$D$303)*6</f>
        <v>960</v>
      </c>
      <c r="D14" s="2" cm="1">
        <f ca="1" t="array" ref="D14">_xlfn.XLOOKUP(练度预期!E14&amp;"_"&amp;INT(练度预期!C14/10)*10+10,装备养成!$N$4:$N$219&amp;"_"&amp;装备养成!$K$4:$K$219,装备养成!$P$4:$P$219)*练度预期!F14+_xlfn.XLOOKUP(练度预期!E14-1&amp;"_"&amp;INT(练度预期!C14/10)*10+10,装备养成!$N$4:$N$219&amp;"_"&amp;装备养成!$K$4:$K$219,装备养成!$P$4:$P$219)*(6-练度预期!F14)</f>
        <v>530</v>
      </c>
      <c r="E14" s="2">
        <f ca="1">练度预期!N14*4*练度预期!M14</f>
        <v>288</v>
      </c>
      <c r="F14" s="103">
        <f ca="1">INT(练度预期!D14/10)*0.02+1+_xlfn.XLOOKUP(练度预期!E14,装备养成!$U$3:$U$11,装备养成!$V$3:$V$11)*练度预期!F14+_xlfn.XLOOKUP(练度预期!E14-1,装备养成!$U$3:$U$11,装备养成!$V$3:$V$11)*(6-练度预期!F14)</f>
        <v>1.27704</v>
      </c>
      <c r="G14" s="48">
        <f ca="1">OFFSET(梦灵养成!$K$20,_xlfn.XLOOKUP(练度预期!H14,梦灵养成!$D$10:$D$28,梦灵养成!$H$10:$H$28),MATCH(OFFSET(梦灵养成!$C$33,B14,MATCH(练度预期!H14,梦灵养成!$D$33:$V$33,0)),梦灵养成!$L$20:$R$20,1))*(1+(OFFSET(梦灵养成!$C$33,B14,MATCH(练度预期!H14,梦灵养成!$D$33:$V$33,0))-1)*_xlfn.XLOOKUP(练度预期!H14,梦灵养成!$D$9:$D$28,梦灵养成!$G$9:$G$28))</f>
        <v>2.754</v>
      </c>
      <c r="H14" s="46">
        <f ca="1">符文养成!AC15</f>
        <v>2.66124807531525</v>
      </c>
      <c r="I14" s="46">
        <f>MAX(_xlfn.XLOOKUP(练度预期!O14,秘宝养成!$B$3:$B$15,秘宝养成!$E$3:$E$15),1)</f>
        <v>1.41666666666667</v>
      </c>
      <c r="J14" s="104">
        <f ca="1" t="shared" si="1"/>
        <v>23575.0829162596</v>
      </c>
      <c r="K14" s="104">
        <f ca="1">MATCH(J14,关卡预期!$E$4:$E$303,1)</f>
        <v>57</v>
      </c>
      <c r="L14" s="48">
        <f ca="1" t="shared" si="2"/>
        <v>0.539932508436445</v>
      </c>
      <c r="M14" s="48">
        <f ca="1" t="shared" si="3"/>
        <v>0.298087739032621</v>
      </c>
      <c r="N14" s="48">
        <f ca="1" t="shared" si="4"/>
        <v>0.161979752530934</v>
      </c>
      <c r="O14" s="48">
        <f ca="1" t="shared" si="5"/>
        <v>0.0946124446281521</v>
      </c>
      <c r="P14" s="48">
        <f ca="1" t="shared" si="6"/>
        <v>0.39194255682477</v>
      </c>
      <c r="Q14" s="48">
        <f ca="1" t="shared" si="7"/>
        <v>0.378687954631795</v>
      </c>
      <c r="R14" s="48">
        <f ca="1" t="shared" si="8"/>
        <v>0.134757043915283</v>
      </c>
      <c r="S14" s="46">
        <f ca="1" t="shared" si="9"/>
        <v>0.539932508436445</v>
      </c>
      <c r="T14" s="46">
        <f ca="1" t="shared" si="10"/>
        <v>0.298087739032621</v>
      </c>
      <c r="U14" s="46">
        <f ca="1" t="shared" si="11"/>
        <v>0.161979752530934</v>
      </c>
      <c r="V14" s="48">
        <f ca="1" t="shared" si="12"/>
        <v>0.244544899974087</v>
      </c>
      <c r="W14" s="48">
        <f ca="1" t="shared" si="13"/>
        <v>1.01305440030646</v>
      </c>
      <c r="X14" s="48">
        <f ca="1" t="shared" si="14"/>
        <v>0.978795213999456</v>
      </c>
      <c r="Y14" s="48">
        <f t="shared" si="15"/>
        <v>0.348306694268218</v>
      </c>
      <c r="Z14" s="105">
        <f ca="1" t="shared" si="16"/>
        <v>0.0946124446281521</v>
      </c>
      <c r="AA14" s="105">
        <f ca="1" t="shared" si="17"/>
        <v>0.39194255682477</v>
      </c>
      <c r="AB14" s="105">
        <f ca="1" t="shared" si="18"/>
        <v>0.378687954631795</v>
      </c>
      <c r="AC14" s="105">
        <f ca="1" t="shared" si="19"/>
        <v>0.134757043915283</v>
      </c>
      <c r="AD14" s="105">
        <f ca="1" t="shared" si="20"/>
        <v>0.539932508436445</v>
      </c>
      <c r="AE14" s="105">
        <f ca="1" t="shared" si="21"/>
        <v>0.298087739032621</v>
      </c>
      <c r="AF14" s="105">
        <f ca="1" t="shared" si="22"/>
        <v>0.161979752530934</v>
      </c>
    </row>
    <row r="15" ht="16.5" spans="1:32">
      <c r="A15">
        <f ca="1" t="shared" si="0"/>
        <v>1930</v>
      </c>
      <c r="B15" s="2">
        <v>13</v>
      </c>
      <c r="C15" s="2">
        <f>_xlfn.XLOOKUP(练度预期!D15,装备养成!$B$3:$B$303,装备养成!$D$3:$D$303)*6</f>
        <v>996</v>
      </c>
      <c r="D15" s="2" cm="1">
        <f ca="1" t="array" ref="D15">_xlfn.XLOOKUP(练度预期!E15&amp;"_"&amp;INT(练度预期!C15/10)*10+10,装备养成!$N$4:$N$219&amp;"_"&amp;装备养成!$K$4:$K$219,装备养成!$P$4:$P$219)*练度预期!F15+_xlfn.XLOOKUP(练度预期!E15-1&amp;"_"&amp;INT(练度预期!C15/10)*10+10,装备养成!$N$4:$N$219&amp;"_"&amp;装备养成!$K$4:$K$219,装备养成!$P$4:$P$219)*(6-练度预期!F15)</f>
        <v>634</v>
      </c>
      <c r="E15" s="2">
        <f ca="1">练度预期!N15*4*练度预期!M15</f>
        <v>300</v>
      </c>
      <c r="F15" s="103">
        <f ca="1">INT(练度预期!D15/10)*0.02+1+_xlfn.XLOOKUP(练度预期!E15,装备养成!$U$3:$U$11,装备养成!$V$3:$V$11)*练度预期!F15+_xlfn.XLOOKUP(练度预期!E15-1,装备养成!$U$3:$U$11,装备养成!$V$3:$V$11)*(6-练度预期!F15)</f>
        <v>1.29152</v>
      </c>
      <c r="G15" s="48">
        <f ca="1">OFFSET(梦灵养成!$K$20,_xlfn.XLOOKUP(练度预期!H15,梦灵养成!$D$10:$D$28,梦灵养成!$H$10:$H$28),MATCH(OFFSET(梦灵养成!$C$33,B15,MATCH(练度预期!H15,梦灵养成!$D$33:$V$33,0)),梦灵养成!$L$20:$R$20,1))*(1+(OFFSET(梦灵养成!$C$33,B15,MATCH(练度预期!H15,梦灵养成!$D$33:$V$33,0))-1)*_xlfn.XLOOKUP(练度预期!H15,梦灵养成!$D$9:$D$28,梦灵养成!$G$9:$G$28))</f>
        <v>2.8755</v>
      </c>
      <c r="H15" s="46">
        <f ca="1">符文养成!AC16</f>
        <v>2.99389291529845</v>
      </c>
      <c r="I15" s="46">
        <f>MAX(_xlfn.XLOOKUP(练度预期!O15,秘宝养成!$B$3:$B$15,秘宝养成!$E$3:$E$15),1)</f>
        <v>1.5</v>
      </c>
      <c r="J15" s="104">
        <f ca="1" t="shared" si="1"/>
        <v>32188.396209042</v>
      </c>
      <c r="K15" s="104">
        <f ca="1">MATCH(J15,关卡预期!$E$4:$E$303,1)</f>
        <v>61</v>
      </c>
      <c r="L15" s="48">
        <f ca="1" t="shared" si="2"/>
        <v>0.516062176165803</v>
      </c>
      <c r="M15" s="48">
        <f ca="1" t="shared" si="3"/>
        <v>0.328497409326425</v>
      </c>
      <c r="N15" s="48">
        <f ca="1" t="shared" si="4"/>
        <v>0.155440414507772</v>
      </c>
      <c r="O15" s="48">
        <f ca="1" t="shared" si="5"/>
        <v>0.0909068939686139</v>
      </c>
      <c r="P15" s="48">
        <f ca="1" t="shared" si="6"/>
        <v>0.375335567294404</v>
      </c>
      <c r="Q15" s="48">
        <f ca="1" t="shared" si="7"/>
        <v>0.389673418549623</v>
      </c>
      <c r="R15" s="48">
        <f ca="1" t="shared" si="8"/>
        <v>0.144084120187358</v>
      </c>
      <c r="S15" s="46">
        <f ca="1" t="shared" si="9"/>
        <v>0.516062176165803</v>
      </c>
      <c r="T15" s="46">
        <f ca="1" t="shared" si="10"/>
        <v>0.328497409326425</v>
      </c>
      <c r="U15" s="46">
        <f ca="1" t="shared" si="11"/>
        <v>0.155440414507772</v>
      </c>
      <c r="V15" s="48">
        <f ca="1" t="shared" si="12"/>
        <v>0.255819819302998</v>
      </c>
      <c r="W15" s="48">
        <f ca="1" t="shared" si="13"/>
        <v>1.05622657217167</v>
      </c>
      <c r="X15" s="48">
        <f ca="1" t="shared" si="14"/>
        <v>1.09657451892442</v>
      </c>
      <c r="Y15" s="48">
        <f t="shared" si="15"/>
        <v>0.405465108108164</v>
      </c>
      <c r="Z15" s="105">
        <f ca="1" t="shared" si="16"/>
        <v>0.0909068939686139</v>
      </c>
      <c r="AA15" s="105">
        <f ca="1" t="shared" si="17"/>
        <v>0.375335567294404</v>
      </c>
      <c r="AB15" s="105">
        <f ca="1" t="shared" si="18"/>
        <v>0.389673418549623</v>
      </c>
      <c r="AC15" s="105">
        <f ca="1" t="shared" si="19"/>
        <v>0.144084120187358</v>
      </c>
      <c r="AD15" s="105">
        <f ca="1" t="shared" si="20"/>
        <v>0.516062176165803</v>
      </c>
      <c r="AE15" s="105">
        <f ca="1" t="shared" si="21"/>
        <v>0.328497409326425</v>
      </c>
      <c r="AF15" s="105">
        <f ca="1" t="shared" si="22"/>
        <v>0.155440414507772</v>
      </c>
    </row>
    <row r="16" ht="16.5" spans="1:32">
      <c r="A16">
        <f ca="1" t="shared" si="0"/>
        <v>1989</v>
      </c>
      <c r="B16" s="2">
        <v>14</v>
      </c>
      <c r="C16" s="2">
        <f>_xlfn.XLOOKUP(练度预期!D16,装备养成!$B$3:$B$303,装备养成!$D$3:$D$303)*6</f>
        <v>1032</v>
      </c>
      <c r="D16" s="2" cm="1">
        <f ca="1" t="array" ref="D16">_xlfn.XLOOKUP(练度预期!E16&amp;"_"&amp;INT(练度预期!C16/10)*10+10,装备养成!$N$4:$N$219&amp;"_"&amp;装备养成!$K$4:$K$219,装备养成!$P$4:$P$219)*练度预期!F16+_xlfn.XLOOKUP(练度预期!E16-1&amp;"_"&amp;INT(练度预期!C16/10)*10+10,装备养成!$N$4:$N$219&amp;"_"&amp;装备养成!$K$4:$K$219,装备养成!$P$4:$P$219)*(6-练度预期!F16)</f>
        <v>657</v>
      </c>
      <c r="E16" s="2">
        <f ca="1">练度预期!N16*4*练度预期!M16</f>
        <v>300</v>
      </c>
      <c r="F16" s="103">
        <f ca="1">INT(练度预期!D16/10)*0.02+1+_xlfn.XLOOKUP(练度预期!E16,装备养成!$U$3:$U$11,装备养成!$V$3:$V$11)*练度预期!F16+_xlfn.XLOOKUP(练度预期!E16-1,装备养成!$U$3:$U$11,装备养成!$V$3:$V$11)*(6-练度预期!F16)</f>
        <v>1.306</v>
      </c>
      <c r="G16" s="48">
        <f ca="1">OFFSET(梦灵养成!$K$20,_xlfn.XLOOKUP(练度预期!H16,梦灵养成!$D$10:$D$28,梦灵养成!$H$10:$H$28),MATCH(OFFSET(梦灵养成!$C$33,B16,MATCH(练度预期!H16,梦灵养成!$D$33:$V$33,0)),梦灵养成!$L$20:$R$20,1))*(1+(OFFSET(梦灵养成!$C$33,B16,MATCH(练度预期!H16,梦灵养成!$D$33:$V$33,0))-1)*_xlfn.XLOOKUP(练度预期!H16,梦灵养成!$D$9:$D$28,梦灵养成!$G$9:$G$28))</f>
        <v>2.8755</v>
      </c>
      <c r="H16" s="46">
        <f ca="1">符文养成!AC17</f>
        <v>3.04019489007413</v>
      </c>
      <c r="I16" s="46">
        <f>MAX(_xlfn.XLOOKUP(练度预期!O16,秘宝养成!$B$3:$B$15,秘宝养成!$E$3:$E$15),1)</f>
        <v>1.5</v>
      </c>
      <c r="J16" s="104">
        <f ca="1" t="shared" si="1"/>
        <v>34063.0879416295</v>
      </c>
      <c r="K16" s="104">
        <f ca="1">MATCH(J16,关卡预期!$E$4:$E$303,1)</f>
        <v>62</v>
      </c>
      <c r="L16" s="48">
        <f ca="1" t="shared" si="2"/>
        <v>0.518853695324283</v>
      </c>
      <c r="M16" s="48">
        <f ca="1" t="shared" si="3"/>
        <v>0.330316742081448</v>
      </c>
      <c r="N16" s="48">
        <f ca="1" t="shared" si="4"/>
        <v>0.150829562594269</v>
      </c>
      <c r="O16" s="48">
        <f ca="1" t="shared" si="5"/>
        <v>0.0939839087731351</v>
      </c>
      <c r="P16" s="48">
        <f ca="1" t="shared" si="6"/>
        <v>0.371834521349191</v>
      </c>
      <c r="Q16" s="48">
        <f ca="1" t="shared" si="7"/>
        <v>0.391441434030483</v>
      </c>
      <c r="R16" s="48">
        <f ca="1" t="shared" si="8"/>
        <v>0.142740135847191</v>
      </c>
      <c r="S16" s="46">
        <f ca="1" t="shared" si="9"/>
        <v>0.518853695324284</v>
      </c>
      <c r="T16" s="46">
        <f ca="1" t="shared" si="10"/>
        <v>0.330316742081448</v>
      </c>
      <c r="U16" s="46">
        <f ca="1" t="shared" si="11"/>
        <v>0.150829562594269</v>
      </c>
      <c r="V16" s="48">
        <f ca="1" t="shared" si="12"/>
        <v>0.266969030854239</v>
      </c>
      <c r="W16" s="48">
        <f ca="1" t="shared" si="13"/>
        <v>1.05622657217167</v>
      </c>
      <c r="X16" s="48">
        <f ca="1" t="shared" si="14"/>
        <v>1.11192162194028</v>
      </c>
      <c r="Y16" s="48">
        <f t="shared" si="15"/>
        <v>0.405465108108164</v>
      </c>
      <c r="Z16" s="105">
        <f ca="1" t="shared" si="16"/>
        <v>0.0939839087731351</v>
      </c>
      <c r="AA16" s="105">
        <f ca="1" t="shared" si="17"/>
        <v>0.371834521349191</v>
      </c>
      <c r="AB16" s="105">
        <f ca="1" t="shared" si="18"/>
        <v>0.391441434030483</v>
      </c>
      <c r="AC16" s="105">
        <f ca="1" t="shared" si="19"/>
        <v>0.142740135847191</v>
      </c>
      <c r="AD16" s="105">
        <f ca="1" t="shared" si="20"/>
        <v>0.518853695324284</v>
      </c>
      <c r="AE16" s="105">
        <f ca="1" t="shared" si="21"/>
        <v>0.330316742081448</v>
      </c>
      <c r="AF16" s="105">
        <f ca="1" t="shared" si="22"/>
        <v>0.150829562594268</v>
      </c>
    </row>
    <row r="17" ht="16.5" spans="1:32">
      <c r="A17">
        <f ca="1" t="shared" si="0"/>
        <v>2085</v>
      </c>
      <c r="B17" s="2">
        <v>15</v>
      </c>
      <c r="C17" s="2">
        <f>_xlfn.XLOOKUP(练度预期!D17,装备养成!$B$3:$B$303,装备养成!$D$3:$D$303)*6</f>
        <v>1116</v>
      </c>
      <c r="D17" s="2" cm="1">
        <f ca="1" t="array" ref="D17">_xlfn.XLOOKUP(练度预期!E17&amp;"_"&amp;INT(练度预期!C17/10)*10+10,装备养成!$N$4:$N$219&amp;"_"&amp;装备养成!$K$4:$K$219,装备养成!$P$4:$P$219)*练度预期!F17+_xlfn.XLOOKUP(练度预期!E17-1&amp;"_"&amp;INT(练度预期!C17/10)*10+10,装备养成!$N$4:$N$219&amp;"_"&amp;装备养成!$K$4:$K$219,装备养成!$P$4:$P$219)*(6-练度预期!F17)</f>
        <v>657</v>
      </c>
      <c r="E17" s="2">
        <f ca="1">练度预期!N17*4*练度预期!M17</f>
        <v>312</v>
      </c>
      <c r="F17" s="103">
        <f ca="1">INT(练度预期!D17/10)*0.02+1+_xlfn.XLOOKUP(练度预期!E17,装备养成!$U$3:$U$11,装备养成!$V$3:$V$11)*练度预期!F17+_xlfn.XLOOKUP(练度预期!E17-1,装备养成!$U$3:$U$11,装备养成!$V$3:$V$11)*(6-练度预期!F17)</f>
        <v>1.326</v>
      </c>
      <c r="G17" s="48">
        <f ca="1">OFFSET(梦灵养成!$K$20,_xlfn.XLOOKUP(练度预期!H17,梦灵养成!$D$10:$D$28,梦灵养成!$H$10:$H$28),MATCH(OFFSET(梦灵养成!$C$33,B17,MATCH(练度预期!H17,梦灵养成!$D$33:$V$33,0)),梦灵养成!$L$20:$R$20,1))*(1+(OFFSET(梦灵养成!$C$33,B17,MATCH(练度预期!H17,梦灵养成!$D$33:$V$33,0))-1)*_xlfn.XLOOKUP(练度预期!H17,梦灵养成!$D$9:$D$28,梦灵养成!$G$9:$G$28))</f>
        <v>2.8755</v>
      </c>
      <c r="H17" s="46">
        <f ca="1">符文养成!AC18</f>
        <v>3.14420499412782</v>
      </c>
      <c r="I17" s="46">
        <f>MAX(_xlfn.XLOOKUP(练度预期!O17,秘宝养成!$B$3:$B$15,秘宝养成!$E$3:$E$15),1)</f>
        <v>1.6</v>
      </c>
      <c r="J17" s="104">
        <f ca="1" t="shared" si="1"/>
        <v>39993.903202841</v>
      </c>
      <c r="K17" s="104">
        <f ca="1">MATCH(J17,关卡预期!$E$4:$E$303,1)</f>
        <v>65</v>
      </c>
      <c r="L17" s="48">
        <f ca="1" t="shared" si="2"/>
        <v>0.535251798561151</v>
      </c>
      <c r="M17" s="48">
        <f ca="1" t="shared" si="3"/>
        <v>0.315107913669065</v>
      </c>
      <c r="N17" s="48">
        <f ca="1" t="shared" si="4"/>
        <v>0.149640287769784</v>
      </c>
      <c r="O17" s="48">
        <f ca="1" t="shared" si="5"/>
        <v>0.0955216275184918</v>
      </c>
      <c r="P17" s="48">
        <f ca="1" t="shared" si="6"/>
        <v>0.357563144887383</v>
      </c>
      <c r="Q17" s="48">
        <f ca="1" t="shared" si="7"/>
        <v>0.387805449247937</v>
      </c>
      <c r="R17" s="48">
        <f ca="1" t="shared" si="8"/>
        <v>0.159109778346188</v>
      </c>
      <c r="S17" s="46">
        <f ca="1" t="shared" si="9"/>
        <v>0.535251798561151</v>
      </c>
      <c r="T17" s="46">
        <f ca="1" t="shared" si="10"/>
        <v>0.315107913669065</v>
      </c>
      <c r="U17" s="46">
        <f ca="1" t="shared" si="11"/>
        <v>0.149640287769784</v>
      </c>
      <c r="V17" s="48">
        <f ca="1" t="shared" si="12"/>
        <v>0.282166891763671</v>
      </c>
      <c r="W17" s="48">
        <f ca="1" t="shared" si="13"/>
        <v>1.05622657217167</v>
      </c>
      <c r="X17" s="48">
        <f ca="1" t="shared" si="14"/>
        <v>1.14556107413602</v>
      </c>
      <c r="Y17" s="48">
        <f t="shared" si="15"/>
        <v>0.470003629245736</v>
      </c>
      <c r="Z17" s="105">
        <f ca="1" t="shared" si="16"/>
        <v>0.0955216275184919</v>
      </c>
      <c r="AA17" s="105">
        <f ca="1" t="shared" si="17"/>
        <v>0.357563144887383</v>
      </c>
      <c r="AB17" s="105">
        <f ca="1" t="shared" si="18"/>
        <v>0.387805449247937</v>
      </c>
      <c r="AC17" s="105">
        <f ca="1" t="shared" si="19"/>
        <v>0.159109778346188</v>
      </c>
      <c r="AD17" s="105">
        <f ca="1" t="shared" si="20"/>
        <v>0.535251798561151</v>
      </c>
      <c r="AE17" s="105">
        <f ca="1" t="shared" si="21"/>
        <v>0.315107913669065</v>
      </c>
      <c r="AF17" s="105">
        <f ca="1" t="shared" si="22"/>
        <v>0.149640287769784</v>
      </c>
    </row>
    <row r="18" ht="16.5" spans="1:32">
      <c r="A18">
        <f ca="1" t="shared" si="0"/>
        <v>2127</v>
      </c>
      <c r="B18" s="2">
        <v>16</v>
      </c>
      <c r="C18" s="2">
        <f>_xlfn.XLOOKUP(练度预期!D18,装备养成!$B$3:$B$303,装备养成!$D$3:$D$303)*6</f>
        <v>1158</v>
      </c>
      <c r="D18" s="2" cm="1">
        <f ca="1" t="array" ref="D18">_xlfn.XLOOKUP(练度预期!E18&amp;"_"&amp;INT(练度预期!C18/10)*10+10,装备养成!$N$4:$N$219&amp;"_"&amp;装备养成!$K$4:$K$219,装备养成!$P$4:$P$219)*练度预期!F18+_xlfn.XLOOKUP(练度预期!E18-1&amp;"_"&amp;INT(练度预期!C18/10)*10+10,装备养成!$N$4:$N$219&amp;"_"&amp;装备养成!$K$4:$K$219,装备养成!$P$4:$P$219)*(6-练度预期!F18)</f>
        <v>657</v>
      </c>
      <c r="E18" s="2">
        <f ca="1">练度预期!N18*4*练度预期!M18</f>
        <v>312</v>
      </c>
      <c r="F18" s="103">
        <f ca="1">INT(练度预期!D18/10)*0.02+1+_xlfn.XLOOKUP(练度预期!E18,装备养成!$U$3:$U$11,装备养成!$V$3:$V$11)*练度预期!F18+_xlfn.XLOOKUP(练度预期!E18-1,装备养成!$U$3:$U$11,装备养成!$V$3:$V$11)*(6-练度预期!F18)</f>
        <v>1.326</v>
      </c>
      <c r="G18" s="48">
        <f ca="1">OFFSET(梦灵养成!$K$20,_xlfn.XLOOKUP(练度预期!H18,梦灵养成!$D$10:$D$28,梦灵养成!$H$10:$H$28),MATCH(OFFSET(梦灵养成!$C$33,B18,MATCH(练度预期!H18,梦灵养成!$D$33:$V$33,0)),梦灵养成!$L$20:$R$20,1))*(1+(OFFSET(梦灵养成!$C$33,B18,MATCH(练度预期!H18,梦灵养成!$D$33:$V$33,0))-1)*_xlfn.XLOOKUP(练度预期!H18,梦灵养成!$D$9:$D$28,梦灵养成!$G$9:$G$28))</f>
        <v>2.997</v>
      </c>
      <c r="H18" s="46">
        <f ca="1">符文养成!AC19</f>
        <v>3.19120227117722</v>
      </c>
      <c r="I18" s="46">
        <f>MAX(_xlfn.XLOOKUP(练度预期!O18,秘宝养成!$B$3:$B$15,秘宝养成!$E$3:$E$15),1)</f>
        <v>1.6</v>
      </c>
      <c r="J18" s="104">
        <f ca="1" t="shared" si="1"/>
        <v>43159.0694148708</v>
      </c>
      <c r="K18" s="104">
        <f ca="1">MATCH(J18,关卡预期!$E$4:$E$303,1)</f>
        <v>66</v>
      </c>
      <c r="L18" s="48">
        <f ca="1" t="shared" si="2"/>
        <v>0.544428772919605</v>
      </c>
      <c r="M18" s="48">
        <f ca="1" t="shared" si="3"/>
        <v>0.308885754583921</v>
      </c>
      <c r="N18" s="48">
        <f ca="1" t="shared" si="4"/>
        <v>0.146685472496474</v>
      </c>
      <c r="O18" s="48">
        <f ca="1" t="shared" si="5"/>
        <v>0.0937375465139966</v>
      </c>
      <c r="P18" s="48">
        <f ca="1" t="shared" si="6"/>
        <v>0.36463326870217</v>
      </c>
      <c r="Q18" s="48">
        <f ca="1" t="shared" si="7"/>
        <v>0.385491139023775</v>
      </c>
      <c r="R18" s="48">
        <f ca="1" t="shared" si="8"/>
        <v>0.156138045760058</v>
      </c>
      <c r="S18" s="46">
        <f ca="1" t="shared" si="9"/>
        <v>0.544428772919605</v>
      </c>
      <c r="T18" s="46">
        <f ca="1" t="shared" si="10"/>
        <v>0.308885754583921</v>
      </c>
      <c r="U18" s="46">
        <f ca="1" t="shared" si="11"/>
        <v>0.146685472496474</v>
      </c>
      <c r="V18" s="48">
        <f ca="1" t="shared" si="12"/>
        <v>0.282166891763671</v>
      </c>
      <c r="W18" s="48">
        <f ca="1" t="shared" si="13"/>
        <v>1.09761178833453</v>
      </c>
      <c r="X18" s="48">
        <f ca="1" t="shared" si="14"/>
        <v>1.16039773330886</v>
      </c>
      <c r="Y18" s="48">
        <f t="shared" si="15"/>
        <v>0.470003629245736</v>
      </c>
      <c r="Z18" s="105">
        <f ca="1" t="shared" si="16"/>
        <v>0.0937375465139966</v>
      </c>
      <c r="AA18" s="105">
        <f ca="1" t="shared" si="17"/>
        <v>0.36463326870217</v>
      </c>
      <c r="AB18" s="105">
        <f ca="1" t="shared" si="18"/>
        <v>0.385491139023775</v>
      </c>
      <c r="AC18" s="105">
        <f ca="1" t="shared" si="19"/>
        <v>0.156138045760058</v>
      </c>
      <c r="AD18" s="105">
        <f ca="1" t="shared" si="20"/>
        <v>0.544428772919605</v>
      </c>
      <c r="AE18" s="105">
        <f ca="1" t="shared" si="21"/>
        <v>0.308885754583921</v>
      </c>
      <c r="AF18" s="105">
        <f ca="1" t="shared" si="22"/>
        <v>0.146685472496474</v>
      </c>
    </row>
    <row r="19" ht="16.5" spans="1:32">
      <c r="A19">
        <f ca="1" t="shared" si="0"/>
        <v>2204</v>
      </c>
      <c r="B19" s="2">
        <v>17</v>
      </c>
      <c r="C19" s="2">
        <f>_xlfn.XLOOKUP(练度预期!D19,装备养成!$B$3:$B$303,装备养成!$D$3:$D$303)*6</f>
        <v>1200</v>
      </c>
      <c r="D19" s="2" cm="1">
        <f ca="1" t="array" ref="D19">_xlfn.XLOOKUP(练度预期!E19&amp;"_"&amp;INT(练度预期!C19/10)*10+10,装备养成!$N$4:$N$219&amp;"_"&amp;装备养成!$K$4:$K$219,装备养成!$P$4:$P$219)*练度预期!F19+_xlfn.XLOOKUP(练度预期!E19-1&amp;"_"&amp;INT(练度预期!C19/10)*10+10,装备养成!$N$4:$N$219&amp;"_"&amp;装备养成!$K$4:$K$219,装备养成!$P$4:$P$219)*(6-练度预期!F19)</f>
        <v>680</v>
      </c>
      <c r="E19" s="2">
        <f ca="1">练度预期!N19*4*练度预期!M19</f>
        <v>324</v>
      </c>
      <c r="F19" s="103">
        <f ca="1">INT(练度预期!D19/10)*0.02+1+_xlfn.XLOOKUP(练度预期!E19,装备养成!$U$3:$U$11,装备养成!$V$3:$V$11)*练度预期!F19+_xlfn.XLOOKUP(练度预期!E19-1,装备养成!$U$3:$U$11,装备养成!$V$3:$V$11)*(6-练度预期!F19)</f>
        <v>1.34048</v>
      </c>
      <c r="G19" s="48">
        <f ca="1">OFFSET(梦灵养成!$K$20,_xlfn.XLOOKUP(练度预期!H19,梦灵养成!$D$10:$D$28,梦灵养成!$H$10:$H$28),MATCH(OFFSET(梦灵养成!$C$33,B19,MATCH(练度预期!H19,梦灵养成!$D$33:$V$33,0)),梦灵养成!$L$20:$R$20,1))*(1+(OFFSET(梦灵养成!$C$33,B19,MATCH(练度预期!H19,梦灵养成!$D$33:$V$33,0))-1)*_xlfn.XLOOKUP(练度预期!H19,梦灵养成!$D$9:$D$28,梦灵养成!$G$9:$G$28))</f>
        <v>2.997</v>
      </c>
      <c r="H19" s="46">
        <f ca="1">符文养成!AC20</f>
        <v>3.30530906650198</v>
      </c>
      <c r="I19" s="46">
        <f>MAX(_xlfn.XLOOKUP(练度预期!O19,秘宝养成!$B$3:$B$15,秘宝养成!$E$3:$E$15),1)</f>
        <v>1.72</v>
      </c>
      <c r="J19" s="104">
        <f ca="1" t="shared" si="1"/>
        <v>50338.3752160335</v>
      </c>
      <c r="K19" s="104">
        <f ca="1">MATCH(J19,关卡预期!$E$4:$E$303,1)</f>
        <v>68</v>
      </c>
      <c r="L19" s="48">
        <f ca="1" t="shared" si="2"/>
        <v>0.544464609800363</v>
      </c>
      <c r="M19" s="48">
        <f ca="1" t="shared" si="3"/>
        <v>0.308529945553539</v>
      </c>
      <c r="N19" s="48">
        <f ca="1" t="shared" si="4"/>
        <v>0.147005444646098</v>
      </c>
      <c r="O19" s="48">
        <f ca="1" t="shared" si="5"/>
        <v>0.0936641641241355</v>
      </c>
      <c r="P19" s="48">
        <f ca="1" t="shared" si="6"/>
        <v>0.350843521161259</v>
      </c>
      <c r="Q19" s="48">
        <f ca="1" t="shared" si="7"/>
        <v>0.382142350887083</v>
      </c>
      <c r="R19" s="48">
        <f ca="1" t="shared" si="8"/>
        <v>0.173349963827523</v>
      </c>
      <c r="S19" s="46">
        <f ca="1" t="shared" si="9"/>
        <v>0.544464609800363</v>
      </c>
      <c r="T19" s="46">
        <f ca="1" t="shared" si="10"/>
        <v>0.308529945553539</v>
      </c>
      <c r="U19" s="46">
        <f ca="1" t="shared" si="11"/>
        <v>0.147005444646098</v>
      </c>
      <c r="V19" s="48">
        <f ca="1" t="shared" si="12"/>
        <v>0.293027758776533</v>
      </c>
      <c r="W19" s="48">
        <f ca="1" t="shared" si="13"/>
        <v>1.09761178833453</v>
      </c>
      <c r="X19" s="48">
        <f ca="1" t="shared" si="14"/>
        <v>1.19552998375803</v>
      </c>
      <c r="Y19" s="48">
        <f t="shared" si="15"/>
        <v>0.542324290825362</v>
      </c>
      <c r="Z19" s="105">
        <f ca="1" t="shared" si="16"/>
        <v>0.0936641641241355</v>
      </c>
      <c r="AA19" s="105">
        <f ca="1" t="shared" si="17"/>
        <v>0.350843521161259</v>
      </c>
      <c r="AB19" s="105">
        <f ca="1" t="shared" si="18"/>
        <v>0.382142350887083</v>
      </c>
      <c r="AC19" s="105">
        <f ca="1" t="shared" si="19"/>
        <v>0.173349963827523</v>
      </c>
      <c r="AD19" s="105">
        <f ca="1" t="shared" si="20"/>
        <v>0.544464609800363</v>
      </c>
      <c r="AE19" s="105">
        <f ca="1" t="shared" si="21"/>
        <v>0.308529945553539</v>
      </c>
      <c r="AF19" s="105">
        <f ca="1" t="shared" si="22"/>
        <v>0.147005444646098</v>
      </c>
    </row>
    <row r="20" ht="16.5" spans="1:32">
      <c r="A20">
        <f ca="1" t="shared" si="0"/>
        <v>2288</v>
      </c>
      <c r="B20" s="2">
        <v>18</v>
      </c>
      <c r="C20" s="2">
        <f>_xlfn.XLOOKUP(练度预期!D20,装备养成!$B$3:$B$303,装备养成!$D$3:$D$303)*6</f>
        <v>1284</v>
      </c>
      <c r="D20" s="2" cm="1">
        <f ca="1" t="array" ref="D20">_xlfn.XLOOKUP(练度预期!E20&amp;"_"&amp;INT(练度预期!C20/10)*10+10,装备养成!$N$4:$N$219&amp;"_"&amp;装备养成!$K$4:$K$219,装备养成!$P$4:$P$219)*练度预期!F20+_xlfn.XLOOKUP(练度预期!E20-1&amp;"_"&amp;INT(练度预期!C20/10)*10+10,装备养成!$N$4:$N$219&amp;"_"&amp;装备养成!$K$4:$K$219,装备养成!$P$4:$P$219)*(6-练度预期!F20)</f>
        <v>680</v>
      </c>
      <c r="E20" s="2">
        <f ca="1">练度预期!N20*4*练度预期!M20</f>
        <v>324</v>
      </c>
      <c r="F20" s="103">
        <f ca="1">INT(练度预期!D20/10)*0.02+1+_xlfn.XLOOKUP(练度预期!E20,装备养成!$U$3:$U$11,装备养成!$V$3:$V$11)*练度预期!F20+_xlfn.XLOOKUP(练度预期!E20-1,装备养成!$U$3:$U$11,装备养成!$V$3:$V$11)*(6-练度预期!F20)</f>
        <v>1.34048</v>
      </c>
      <c r="G20" s="48">
        <f ca="1">OFFSET(梦灵养成!$K$20,_xlfn.XLOOKUP(练度预期!H20,梦灵养成!$D$10:$D$28,梦灵养成!$H$10:$H$28),MATCH(OFFSET(梦灵养成!$C$33,B20,MATCH(练度预期!H20,梦灵养成!$D$33:$V$33,0)),梦灵养成!$L$20:$R$20,1))*(1+(OFFSET(梦灵养成!$C$33,B20,MATCH(练度预期!H20,梦灵养成!$D$33:$V$33,0))-1)*_xlfn.XLOOKUP(练度预期!H20,梦灵养成!$D$9:$D$28,梦灵养成!$G$9:$G$28))</f>
        <v>2.997</v>
      </c>
      <c r="H20" s="46">
        <f ca="1">符文养成!AC21</f>
        <v>3.35539006240732</v>
      </c>
      <c r="I20" s="46">
        <f>MAX(_xlfn.XLOOKUP(练度预期!O20,秘宝养成!$B$3:$B$15,秘宝养成!$E$3:$E$15),1)</f>
        <v>1.72</v>
      </c>
      <c r="J20" s="104">
        <f ca="1" t="shared" si="1"/>
        <v>53048.6776429625</v>
      </c>
      <c r="K20" s="104">
        <f ca="1">MATCH(J20,关卡预期!$E$4:$E$303,1)</f>
        <v>69</v>
      </c>
      <c r="L20" s="48">
        <f ca="1" t="shared" si="2"/>
        <v>0.561188811188811</v>
      </c>
      <c r="M20" s="48">
        <f ca="1" t="shared" si="3"/>
        <v>0.297202797202797</v>
      </c>
      <c r="N20" s="48">
        <f ca="1" t="shared" si="4"/>
        <v>0.141608391608392</v>
      </c>
      <c r="O20" s="48">
        <f ca="1" t="shared" si="5"/>
        <v>0.093216093043311</v>
      </c>
      <c r="P20" s="48">
        <f ca="1" t="shared" si="6"/>
        <v>0.349165154229818</v>
      </c>
      <c r="Q20" s="48">
        <f ca="1" t="shared" si="7"/>
        <v>0.385098061293752</v>
      </c>
      <c r="R20" s="48">
        <f ca="1" t="shared" si="8"/>
        <v>0.172520691433119</v>
      </c>
      <c r="S20" s="46">
        <f ca="1" t="shared" si="9"/>
        <v>0.561188811188811</v>
      </c>
      <c r="T20" s="46">
        <f ca="1" t="shared" si="10"/>
        <v>0.297202797202797</v>
      </c>
      <c r="U20" s="46">
        <f ca="1" t="shared" si="11"/>
        <v>0.141608391608392</v>
      </c>
      <c r="V20" s="48">
        <f ca="1" t="shared" si="12"/>
        <v>0.293027758776533</v>
      </c>
      <c r="W20" s="48">
        <f ca="1" t="shared" si="13"/>
        <v>1.09761178833453</v>
      </c>
      <c r="X20" s="48">
        <f ca="1" t="shared" si="14"/>
        <v>1.21056802667824</v>
      </c>
      <c r="Y20" s="48">
        <f t="shared" si="15"/>
        <v>0.542324290825362</v>
      </c>
      <c r="Z20" s="105">
        <f ca="1" t="shared" si="16"/>
        <v>0.093216093043311</v>
      </c>
      <c r="AA20" s="105">
        <f ca="1" t="shared" si="17"/>
        <v>0.349165154229818</v>
      </c>
      <c r="AB20" s="105">
        <f ca="1" t="shared" si="18"/>
        <v>0.385098061293752</v>
      </c>
      <c r="AC20" s="105">
        <f ca="1" t="shared" si="19"/>
        <v>0.172520691433119</v>
      </c>
      <c r="AD20" s="105">
        <f ca="1" t="shared" si="20"/>
        <v>0.561188811188811</v>
      </c>
      <c r="AE20" s="105">
        <f ca="1" t="shared" si="21"/>
        <v>0.297202797202797</v>
      </c>
      <c r="AF20" s="105">
        <f ca="1" t="shared" si="22"/>
        <v>0.141608391608392</v>
      </c>
    </row>
    <row r="21" ht="16.5" spans="1:32">
      <c r="A21">
        <f ca="1" t="shared" si="0"/>
        <v>2342</v>
      </c>
      <c r="B21" s="2">
        <v>19</v>
      </c>
      <c r="C21" s="2">
        <f>_xlfn.XLOOKUP(练度预期!D21,装备养成!$B$3:$B$303,装备养成!$D$3:$D$303)*6</f>
        <v>1326</v>
      </c>
      <c r="D21" s="2" cm="1">
        <f ca="1" t="array" ref="D21">_xlfn.XLOOKUP(练度预期!E21&amp;"_"&amp;INT(练度预期!C21/10)*10+10,装备养成!$N$4:$N$219&amp;"_"&amp;装备养成!$K$4:$K$219,装备养成!$P$4:$P$219)*练度预期!F21+_xlfn.XLOOKUP(练度预期!E21-1&amp;"_"&amp;INT(练度预期!C21/10)*10+10,装备养成!$N$4:$N$219&amp;"_"&amp;装备养成!$K$4:$K$219,装备养成!$P$4:$P$219)*(6-练度预期!F21)</f>
        <v>680</v>
      </c>
      <c r="E21" s="2">
        <f ca="1">练度预期!N21*4*练度预期!M21</f>
        <v>336</v>
      </c>
      <c r="F21" s="103">
        <f ca="1">INT(练度预期!D21/10)*0.02+1+_xlfn.XLOOKUP(练度预期!E21,装备养成!$U$3:$U$11,装备养成!$V$3:$V$11)*练度预期!F21+_xlfn.XLOOKUP(练度预期!E21-1,装备养成!$U$3:$U$11,装备养成!$V$3:$V$11)*(6-练度预期!F21)</f>
        <v>1.34048</v>
      </c>
      <c r="G21" s="48">
        <f ca="1">OFFSET(梦灵养成!$K$20,_xlfn.XLOOKUP(练度预期!H21,梦灵养成!$D$10:$D$28,梦灵养成!$H$10:$H$28),MATCH(OFFSET(梦灵养成!$C$33,B21,MATCH(练度预期!H21,梦灵养成!$D$33:$V$33,0)),梦灵养成!$L$20:$R$20,1))*(1+(OFFSET(梦灵养成!$C$33,B21,MATCH(练度预期!H21,梦灵养成!$D$33:$V$33,0))-1)*_xlfn.XLOOKUP(练度预期!H21,梦灵养成!$D$9:$D$28,梦灵养成!$G$9:$G$28))</f>
        <v>2.997</v>
      </c>
      <c r="H21" s="46">
        <f ca="1">符文养成!AC22</f>
        <v>3.47248128597056</v>
      </c>
      <c r="I21" s="46">
        <f>MAX(_xlfn.XLOOKUP(练度预期!O21,秘宝养成!$B$3:$B$15,秘宝养成!$E$3:$E$15),1)</f>
        <v>1.864</v>
      </c>
      <c r="J21" s="104">
        <f ca="1" t="shared" si="1"/>
        <v>60900.3508006392</v>
      </c>
      <c r="K21" s="104">
        <f ca="1">MATCH(J21,关卡预期!$E$4:$E$303,1)</f>
        <v>71</v>
      </c>
      <c r="L21" s="48">
        <f ca="1" t="shared" si="2"/>
        <v>0.566182749786507</v>
      </c>
      <c r="M21" s="48">
        <f ca="1" t="shared" si="3"/>
        <v>0.290350128095645</v>
      </c>
      <c r="N21" s="48">
        <f ca="1" t="shared" si="4"/>
        <v>0.143467122117848</v>
      </c>
      <c r="O21" s="48">
        <f ca="1" t="shared" si="5"/>
        <v>0.0899345438274823</v>
      </c>
      <c r="P21" s="48">
        <f ca="1" t="shared" si="6"/>
        <v>0.336873256976356</v>
      </c>
      <c r="Q21" s="48">
        <f ca="1" t="shared" si="7"/>
        <v>0.382068793273527</v>
      </c>
      <c r="R21" s="48">
        <f ca="1" t="shared" si="8"/>
        <v>0.191123405922635</v>
      </c>
      <c r="S21" s="46">
        <f ca="1" t="shared" si="9"/>
        <v>0.566182749786507</v>
      </c>
      <c r="T21" s="46">
        <f ca="1" t="shared" si="10"/>
        <v>0.290350128095645</v>
      </c>
      <c r="U21" s="46">
        <f ca="1" t="shared" si="11"/>
        <v>0.143467122117848</v>
      </c>
      <c r="V21" s="48">
        <f ca="1" t="shared" si="12"/>
        <v>0.293027758776533</v>
      </c>
      <c r="W21" s="48">
        <f ca="1" t="shared" si="13"/>
        <v>1.09761178833453</v>
      </c>
      <c r="X21" s="48">
        <f ca="1" t="shared" si="14"/>
        <v>1.2448694064225</v>
      </c>
      <c r="Y21" s="48">
        <f t="shared" si="15"/>
        <v>0.6227247162634</v>
      </c>
      <c r="Z21" s="105">
        <f ca="1" t="shared" si="16"/>
        <v>0.0899345438274823</v>
      </c>
      <c r="AA21" s="105">
        <f ca="1" t="shared" si="17"/>
        <v>0.336873256976356</v>
      </c>
      <c r="AB21" s="105">
        <f ca="1" t="shared" si="18"/>
        <v>0.382068793273527</v>
      </c>
      <c r="AC21" s="105">
        <f ca="1" t="shared" si="19"/>
        <v>0.191123405922635</v>
      </c>
      <c r="AD21" s="105">
        <f ca="1" t="shared" si="20"/>
        <v>0.566182749786507</v>
      </c>
      <c r="AE21" s="105">
        <f ca="1" t="shared" si="21"/>
        <v>0.290350128095645</v>
      </c>
      <c r="AF21" s="105">
        <f ca="1" t="shared" si="22"/>
        <v>0.143467122117848</v>
      </c>
    </row>
    <row r="22" ht="16.5" spans="1:32">
      <c r="A22">
        <f ca="1" t="shared" si="0"/>
        <v>2407</v>
      </c>
      <c r="B22" s="2">
        <v>20</v>
      </c>
      <c r="C22" s="2">
        <f>_xlfn.XLOOKUP(练度预期!D22,装备养成!$B$3:$B$303,装备养成!$D$3:$D$303)*6</f>
        <v>1368</v>
      </c>
      <c r="D22" s="2" cm="1">
        <f ca="1" t="array" ref="D22">_xlfn.XLOOKUP(练度预期!E22&amp;"_"&amp;INT(练度预期!C22/10)*10+10,装备养成!$N$4:$N$219&amp;"_"&amp;装备养成!$K$4:$K$219,装备养成!$P$4:$P$219)*练度预期!F22+_xlfn.XLOOKUP(练度预期!E22-1&amp;"_"&amp;INT(练度预期!C22/10)*10+10,装备养成!$N$4:$N$219&amp;"_"&amp;装备养成!$K$4:$K$219,装备养成!$P$4:$P$219)*(6-练度预期!F22)</f>
        <v>703</v>
      </c>
      <c r="E22" s="2">
        <f ca="1">练度预期!N22*4*练度预期!M22</f>
        <v>336</v>
      </c>
      <c r="F22" s="103">
        <f ca="1">INT(练度预期!D22/10)*0.02+1+_xlfn.XLOOKUP(练度预期!E22,装备养成!$U$3:$U$11,装备养成!$V$3:$V$11)*练度预期!F22+_xlfn.XLOOKUP(练度预期!E22-1,装备养成!$U$3:$U$11,装备养成!$V$3:$V$11)*(6-练度预期!F22)</f>
        <v>1.35496</v>
      </c>
      <c r="G22" s="48">
        <f ca="1">OFFSET(梦灵养成!$K$20,_xlfn.XLOOKUP(练度预期!H22,梦灵养成!$D$10:$D$28,梦灵养成!$H$10:$H$28),MATCH(OFFSET(梦灵养成!$C$33,B22,MATCH(练度预期!H22,梦灵养成!$D$33:$V$33,0)),梦灵养成!$L$20:$R$20,1))*(1+(OFFSET(梦灵养成!$C$33,B22,MATCH(练度预期!H22,梦灵养成!$D$33:$V$33,0))-1)*_xlfn.XLOOKUP(练度预期!H22,梦灵养成!$D$9:$D$28,梦灵养成!$G$9:$G$28))</f>
        <v>2.511</v>
      </c>
      <c r="H22" s="46">
        <f ca="1">符文养成!AC23</f>
        <v>3.52466673408587</v>
      </c>
      <c r="I22" s="46">
        <f>MAX(_xlfn.XLOOKUP(练度预期!O22,秘宝养成!$B$3:$B$15,秘宝养成!$E$3:$E$15),1)</f>
        <v>1.864</v>
      </c>
      <c r="J22" s="104">
        <f ca="1" t="shared" si="1"/>
        <v>53803.8366118738</v>
      </c>
      <c r="K22" s="104">
        <f ca="1">MATCH(J22,关卡预期!$E$4:$E$303,1)</f>
        <v>69</v>
      </c>
      <c r="L22" s="48">
        <f ca="1" t="shared" si="2"/>
        <v>0.568342334856668</v>
      </c>
      <c r="M22" s="48">
        <f ca="1" t="shared" si="3"/>
        <v>0.29206481096801</v>
      </c>
      <c r="N22" s="48">
        <f ca="1" t="shared" si="4"/>
        <v>0.139592854175322</v>
      </c>
      <c r="O22" s="48">
        <f ca="1" t="shared" si="5"/>
        <v>0.0977713198217986</v>
      </c>
      <c r="P22" s="48">
        <f ca="1" t="shared" si="6"/>
        <v>0.296328246249464</v>
      </c>
      <c r="Q22" s="48">
        <f ca="1" t="shared" si="7"/>
        <v>0.405471721924181</v>
      </c>
      <c r="R22" s="48">
        <f ca="1" t="shared" si="8"/>
        <v>0.200428712004556</v>
      </c>
      <c r="S22" s="46">
        <f ca="1" t="shared" si="9"/>
        <v>0.568342334856668</v>
      </c>
      <c r="T22" s="46">
        <f ca="1" t="shared" si="10"/>
        <v>0.29206481096801</v>
      </c>
      <c r="U22" s="46">
        <f ca="1" t="shared" si="11"/>
        <v>0.139592854175322</v>
      </c>
      <c r="V22" s="48">
        <f ca="1" t="shared" si="12"/>
        <v>0.303771933600729</v>
      </c>
      <c r="W22" s="48">
        <f ca="1" t="shared" si="13"/>
        <v>0.920681080175448</v>
      </c>
      <c r="X22" s="48">
        <f ca="1" t="shared" si="14"/>
        <v>1.25978588827297</v>
      </c>
      <c r="Y22" s="48">
        <f t="shared" si="15"/>
        <v>0.6227247162634</v>
      </c>
      <c r="Z22" s="105">
        <f ca="1" t="shared" si="16"/>
        <v>0.0977713198217986</v>
      </c>
      <c r="AA22" s="105">
        <f ca="1" t="shared" si="17"/>
        <v>0.296328246249464</v>
      </c>
      <c r="AB22" s="105">
        <f ca="1" t="shared" si="18"/>
        <v>0.405471721924181</v>
      </c>
      <c r="AC22" s="105">
        <f ca="1" t="shared" si="19"/>
        <v>0.200428712004556</v>
      </c>
      <c r="AD22" s="105">
        <f ca="1" t="shared" si="20"/>
        <v>0.568342334856668</v>
      </c>
      <c r="AE22" s="105">
        <f ca="1" t="shared" si="21"/>
        <v>0.29206481096801</v>
      </c>
      <c r="AF22" s="105">
        <f ca="1" t="shared" si="22"/>
        <v>0.139592854175322</v>
      </c>
    </row>
    <row r="23" ht="16.5" spans="1:32">
      <c r="A23">
        <f ca="1" t="shared" si="0"/>
        <v>2515</v>
      </c>
      <c r="B23" s="2">
        <v>21</v>
      </c>
      <c r="C23" s="2">
        <f>_xlfn.XLOOKUP(练度预期!D23,装备养成!$B$3:$B$303,装备养成!$D$3:$D$303)*6</f>
        <v>1464</v>
      </c>
      <c r="D23" s="2" cm="1">
        <f ca="1" t="array" ref="D23">_xlfn.XLOOKUP(练度预期!E23&amp;"_"&amp;INT(练度预期!C23/10)*10+10,装备养成!$N$4:$N$219&amp;"_"&amp;装备养成!$K$4:$K$219,装备养成!$P$4:$P$219)*练度预期!F23+_xlfn.XLOOKUP(练度预期!E23-1&amp;"_"&amp;INT(练度预期!C23/10)*10+10,装备养成!$N$4:$N$219&amp;"_"&amp;装备养成!$K$4:$K$219,装备养成!$P$4:$P$219)*(6-练度预期!F23)</f>
        <v>703</v>
      </c>
      <c r="E23" s="2">
        <f ca="1">练度预期!N23*4*练度预期!M23</f>
        <v>348</v>
      </c>
      <c r="F23" s="103">
        <f ca="1">INT(练度预期!D23/10)*0.02+1+_xlfn.XLOOKUP(练度预期!E23,装备养成!$U$3:$U$11,装备养成!$V$3:$V$11)*练度预期!F23+_xlfn.XLOOKUP(练度预期!E23-1,装备养成!$U$3:$U$11,装备养成!$V$3:$V$11)*(6-练度预期!F23)</f>
        <v>1.35496</v>
      </c>
      <c r="G23" s="48">
        <f ca="1">OFFSET(梦灵养成!$K$20,_xlfn.XLOOKUP(练度预期!H23,梦灵养成!$D$10:$D$28,梦灵养成!$H$10:$H$28),MATCH(OFFSET(梦灵养成!$C$33,B23,MATCH(练度预期!H23,梦灵养成!$D$33:$V$33,0)),梦灵养成!$L$20:$R$20,1))*(1+(OFFSET(梦灵养成!$C$33,B23,MATCH(练度预期!H23,梦灵养成!$D$33:$V$33,0))-1)*_xlfn.XLOOKUP(练度预期!H23,梦灵养成!$D$9:$D$28,梦灵养成!$G$9:$G$28))</f>
        <v>3.0375</v>
      </c>
      <c r="H23" s="46">
        <f ca="1">符文养成!AC24</f>
        <v>3.64578415934237</v>
      </c>
      <c r="I23" s="46">
        <f>MAX(_xlfn.XLOOKUP(练度预期!O23,秘宝养成!$B$3:$B$15,秘宝养成!$E$3:$E$15),1)</f>
        <v>2.0368</v>
      </c>
      <c r="J23" s="104">
        <f ca="1" t="shared" si="1"/>
        <v>76863.4883475716</v>
      </c>
      <c r="K23" s="104">
        <f ca="1">MATCH(J23,关卡预期!$E$4:$E$303,1)</f>
        <v>74</v>
      </c>
      <c r="L23" s="48">
        <f ca="1" t="shared" si="2"/>
        <v>0.582107355864811</v>
      </c>
      <c r="M23" s="48">
        <f ca="1" t="shared" si="3"/>
        <v>0.279522862823062</v>
      </c>
      <c r="N23" s="48">
        <f ca="1" t="shared" si="4"/>
        <v>0.138369781312127</v>
      </c>
      <c r="O23" s="48">
        <f ca="1" t="shared" si="5"/>
        <v>0.0888284840124522</v>
      </c>
      <c r="P23" s="48">
        <f ca="1" t="shared" si="6"/>
        <v>0.324886952422151</v>
      </c>
      <c r="Q23" s="48">
        <f ca="1" t="shared" si="7"/>
        <v>0.378264021109087</v>
      </c>
      <c r="R23" s="48">
        <f ca="1" t="shared" si="8"/>
        <v>0.20802054245631</v>
      </c>
      <c r="S23" s="46">
        <f ca="1" t="shared" si="9"/>
        <v>0.582107355864811</v>
      </c>
      <c r="T23" s="46">
        <f ca="1" t="shared" si="10"/>
        <v>0.279522862823062</v>
      </c>
      <c r="U23" s="46">
        <f ca="1" t="shared" si="11"/>
        <v>0.138369781312127</v>
      </c>
      <c r="V23" s="48">
        <f ca="1" t="shared" si="12"/>
        <v>0.303771933600729</v>
      </c>
      <c r="W23" s="48">
        <f ca="1" t="shared" si="13"/>
        <v>1.11103480866667</v>
      </c>
      <c r="X23" s="48">
        <f ca="1" t="shared" si="14"/>
        <v>1.29357147520143</v>
      </c>
      <c r="Y23" s="48">
        <f t="shared" si="15"/>
        <v>0.711379948821005</v>
      </c>
      <c r="Z23" s="105">
        <f ca="1" t="shared" si="16"/>
        <v>0.0888284840124522</v>
      </c>
      <c r="AA23" s="105">
        <f ca="1" t="shared" si="17"/>
        <v>0.324886952422151</v>
      </c>
      <c r="AB23" s="105">
        <f ca="1" t="shared" si="18"/>
        <v>0.378264021109087</v>
      </c>
      <c r="AC23" s="105">
        <f ca="1" t="shared" si="19"/>
        <v>0.20802054245631</v>
      </c>
      <c r="AD23" s="105">
        <f ca="1" t="shared" si="20"/>
        <v>0.582107355864811</v>
      </c>
      <c r="AE23" s="105">
        <f ca="1" t="shared" si="21"/>
        <v>0.279522862823062</v>
      </c>
      <c r="AF23" s="105">
        <f ca="1" t="shared" si="22"/>
        <v>0.138369781312127</v>
      </c>
    </row>
    <row r="24" ht="16.5" spans="1:32">
      <c r="A24">
        <f ca="1" t="shared" si="0"/>
        <v>2679</v>
      </c>
      <c r="B24" s="2">
        <v>22</v>
      </c>
      <c r="C24" s="2">
        <f>_xlfn.XLOOKUP(练度预期!D24,装备养成!$B$3:$B$303,装备养成!$D$3:$D$303)*6</f>
        <v>1512</v>
      </c>
      <c r="D24" s="2" cm="1">
        <f ca="1" t="array" ref="D24">_xlfn.XLOOKUP(练度预期!E24&amp;"_"&amp;INT(练度预期!C24/10)*10+10,装备养成!$N$4:$N$219&amp;"_"&amp;装备养成!$K$4:$K$219,装备养成!$P$4:$P$219)*练度预期!F24+_xlfn.XLOOKUP(练度预期!E24-1&amp;"_"&amp;INT(练度预期!C24/10)*10+10,装备养成!$N$4:$N$219&amp;"_"&amp;装备养成!$K$4:$K$219,装备养成!$P$4:$P$219)*(6-练度预期!F24)</f>
        <v>703</v>
      </c>
      <c r="E24" s="2">
        <f ca="1">练度预期!N24*4*练度预期!M24</f>
        <v>464</v>
      </c>
      <c r="F24" s="103">
        <f ca="1">INT(练度预期!D24/10)*0.02+1+_xlfn.XLOOKUP(练度预期!E24,装备养成!$U$3:$U$11,装备养成!$V$3:$V$11)*练度预期!F24+_xlfn.XLOOKUP(练度预期!E24-1,装备养成!$U$3:$U$11,装备养成!$V$3:$V$11)*(6-练度预期!F24)</f>
        <v>1.37496</v>
      </c>
      <c r="G24" s="48">
        <f ca="1">OFFSET(梦灵养成!$K$20,_xlfn.XLOOKUP(练度预期!H24,梦灵养成!$D$10:$D$28,梦灵养成!$H$10:$H$28),MATCH(OFFSET(梦灵养成!$C$33,B24,MATCH(练度预期!H24,梦灵养成!$D$33:$V$33,0)),梦灵养成!$L$20:$R$20,1))*(1+(OFFSET(梦灵养成!$C$33,B24,MATCH(练度预期!H24,梦灵养成!$D$33:$V$33,0))-1)*_xlfn.XLOOKUP(练度预期!H24,梦灵养成!$D$9:$D$28,梦灵养成!$G$9:$G$28))</f>
        <v>3.0375</v>
      </c>
      <c r="H24" s="46">
        <f ca="1">符文养成!AC25</f>
        <v>3.69356839028164</v>
      </c>
      <c r="I24" s="46">
        <f>MAX(_xlfn.XLOOKUP(练度预期!O24,秘宝养成!$B$3:$B$15,秘宝养成!$E$3:$E$15),1)</f>
        <v>2.0368</v>
      </c>
      <c r="J24" s="104">
        <f ca="1" t="shared" si="1"/>
        <v>84173.1529676694</v>
      </c>
      <c r="K24" s="104">
        <f ca="1">MATCH(J24,关卡预期!$E$4:$E$303,1)</f>
        <v>76</v>
      </c>
      <c r="L24" s="48">
        <f ca="1" t="shared" si="2"/>
        <v>0.564389697648376</v>
      </c>
      <c r="M24" s="48">
        <f ca="1" t="shared" si="3"/>
        <v>0.26241134751773</v>
      </c>
      <c r="N24" s="48">
        <f ca="1" t="shared" si="4"/>
        <v>0.173198954833893</v>
      </c>
      <c r="O24" s="48">
        <f ca="1" t="shared" si="5"/>
        <v>0.092365737723767</v>
      </c>
      <c r="P24" s="48">
        <f ca="1" t="shared" si="6"/>
        <v>0.322278922284888</v>
      </c>
      <c r="Q24" s="48">
        <f ca="1" t="shared" si="7"/>
        <v>0.379004682520724</v>
      </c>
      <c r="R24" s="48">
        <f ca="1" t="shared" si="8"/>
        <v>0.206350657470621</v>
      </c>
      <c r="S24" s="46">
        <f ca="1" t="shared" si="9"/>
        <v>0.564389697648376</v>
      </c>
      <c r="T24" s="46">
        <f ca="1" t="shared" si="10"/>
        <v>0.26241134751773</v>
      </c>
      <c r="U24" s="46">
        <f ca="1" t="shared" si="11"/>
        <v>0.173198954833893</v>
      </c>
      <c r="V24" s="48">
        <f ca="1" t="shared" si="12"/>
        <v>0.318424639786295</v>
      </c>
      <c r="W24" s="48">
        <f ca="1" t="shared" si="13"/>
        <v>1.11103480866667</v>
      </c>
      <c r="X24" s="48">
        <f ca="1" t="shared" si="14"/>
        <v>1.30659303420392</v>
      </c>
      <c r="Y24" s="48">
        <f t="shared" si="15"/>
        <v>0.711379948821005</v>
      </c>
      <c r="Z24" s="105">
        <f ca="1" t="shared" si="16"/>
        <v>0.092365737723767</v>
      </c>
      <c r="AA24" s="105">
        <f ca="1" t="shared" si="17"/>
        <v>0.322278922284888</v>
      </c>
      <c r="AB24" s="105">
        <f ca="1" t="shared" si="18"/>
        <v>0.379004682520724</v>
      </c>
      <c r="AC24" s="105">
        <f ca="1" t="shared" si="19"/>
        <v>0.206350657470621</v>
      </c>
      <c r="AD24" s="105">
        <f ca="1" t="shared" si="20"/>
        <v>0.564389697648376</v>
      </c>
      <c r="AE24" s="105">
        <f ca="1" t="shared" si="21"/>
        <v>0.26241134751773</v>
      </c>
      <c r="AF24" s="105">
        <f ca="1" t="shared" si="22"/>
        <v>0.173198954833893</v>
      </c>
    </row>
    <row r="25" ht="16.5" spans="1:32">
      <c r="A25">
        <f ca="1" t="shared" si="0"/>
        <v>2739</v>
      </c>
      <c r="B25" s="2">
        <v>23</v>
      </c>
      <c r="C25" s="2">
        <f>_xlfn.XLOOKUP(练度预期!D25,装备养成!$B$3:$B$303,装备养成!$D$3:$D$303)*6</f>
        <v>1572</v>
      </c>
      <c r="D25" s="2" cm="1">
        <f ca="1" t="array" ref="D25">_xlfn.XLOOKUP(练度预期!E25&amp;"_"&amp;INT(练度预期!C25/10)*10+10,装备养成!$N$4:$N$219&amp;"_"&amp;装备养成!$K$4:$K$219,装备养成!$P$4:$P$219)*练度预期!F25+_xlfn.XLOOKUP(练度预期!E25-1&amp;"_"&amp;INT(练度预期!C25/10)*10+10,装备养成!$N$4:$N$219&amp;"_"&amp;装备养成!$K$4:$K$219,装备养成!$P$4:$P$219)*(6-练度预期!F25)</f>
        <v>703</v>
      </c>
      <c r="E25" s="2">
        <f ca="1">练度预期!N25*4*练度预期!M25</f>
        <v>464</v>
      </c>
      <c r="F25" s="103">
        <f ca="1">INT(练度预期!D25/10)*0.02+1+_xlfn.XLOOKUP(练度预期!E25,装备养成!$U$3:$U$11,装备养成!$V$3:$V$11)*练度预期!F25+_xlfn.XLOOKUP(练度预期!E25-1,装备养成!$U$3:$U$11,装备养成!$V$3:$V$11)*(6-练度预期!F25)</f>
        <v>1.37496</v>
      </c>
      <c r="G25" s="48">
        <f ca="1">OFFSET(梦灵养成!$K$20,_xlfn.XLOOKUP(练度预期!H25,梦灵养成!$D$10:$D$28,梦灵养成!$H$10:$H$28),MATCH(OFFSET(梦灵养成!$C$33,B25,MATCH(练度预期!H25,梦灵养成!$D$33:$V$33,0)),梦灵养成!$L$20:$R$20,1))*(1+(OFFSET(梦灵养成!$C$33,B25,MATCH(练度预期!H25,梦灵养成!$D$33:$V$33,0))-1)*_xlfn.XLOOKUP(练度预期!H25,梦灵养成!$D$9:$D$28,梦灵养成!$G$9:$G$28))</f>
        <v>3.0375</v>
      </c>
      <c r="H25" s="46">
        <f ca="1">符文养成!AC26</f>
        <v>3.74842448377068</v>
      </c>
      <c r="I25" s="46">
        <f>MAX(_xlfn.XLOOKUP(练度预期!O25,秘宝养成!$B$3:$B$15,秘宝养成!$E$3:$E$15),1)</f>
        <v>2.0368</v>
      </c>
      <c r="J25" s="104">
        <f ca="1" t="shared" si="1"/>
        <v>87336.4500099912</v>
      </c>
      <c r="K25" s="104">
        <f ca="1">MATCH(J25,关卡预期!$E$4:$E$303,1)</f>
        <v>76</v>
      </c>
      <c r="L25" s="48">
        <f ca="1" t="shared" si="2"/>
        <v>0.573932092004381</v>
      </c>
      <c r="M25" s="48">
        <f ca="1" t="shared" si="3"/>
        <v>0.25666301569916</v>
      </c>
      <c r="N25" s="48">
        <f ca="1" t="shared" si="4"/>
        <v>0.169404892296459</v>
      </c>
      <c r="O25" s="48">
        <f ca="1" t="shared" si="5"/>
        <v>0.091972427374656</v>
      </c>
      <c r="P25" s="48">
        <f ca="1" t="shared" si="6"/>
        <v>0.320906599185883</v>
      </c>
      <c r="Q25" s="48">
        <f ca="1" t="shared" si="7"/>
        <v>0.381648995132013</v>
      </c>
      <c r="R25" s="48">
        <f ca="1" t="shared" si="8"/>
        <v>0.205471978307448</v>
      </c>
      <c r="S25" s="46">
        <f ca="1" t="shared" si="9"/>
        <v>0.573932092004381</v>
      </c>
      <c r="T25" s="46">
        <f ca="1" t="shared" si="10"/>
        <v>0.25666301569916</v>
      </c>
      <c r="U25" s="46">
        <f ca="1" t="shared" si="11"/>
        <v>0.169404892296459</v>
      </c>
      <c r="V25" s="48">
        <f ca="1" t="shared" si="12"/>
        <v>0.318424639786295</v>
      </c>
      <c r="W25" s="48">
        <f ca="1" t="shared" si="13"/>
        <v>1.11103480866667</v>
      </c>
      <c r="X25" s="48">
        <f ca="1" t="shared" si="14"/>
        <v>1.32133561403861</v>
      </c>
      <c r="Y25" s="48">
        <f t="shared" si="15"/>
        <v>0.711379948821005</v>
      </c>
      <c r="Z25" s="105">
        <f ca="1" t="shared" si="16"/>
        <v>0.091972427374656</v>
      </c>
      <c r="AA25" s="105">
        <f ca="1" t="shared" si="17"/>
        <v>0.320906599185883</v>
      </c>
      <c r="AB25" s="105">
        <f ca="1" t="shared" si="18"/>
        <v>0.381648995132013</v>
      </c>
      <c r="AC25" s="105">
        <f ca="1" t="shared" si="19"/>
        <v>0.205471978307448</v>
      </c>
      <c r="AD25" s="105">
        <f ca="1" t="shared" si="20"/>
        <v>0.573932092004381</v>
      </c>
      <c r="AE25" s="105">
        <f ca="1" t="shared" si="21"/>
        <v>0.25666301569916</v>
      </c>
      <c r="AF25" s="105">
        <f ca="1" t="shared" si="22"/>
        <v>0.169404892296459</v>
      </c>
    </row>
    <row r="26" ht="16.5" spans="1:32">
      <c r="A26">
        <f ca="1" t="shared" si="0"/>
        <v>2920</v>
      </c>
      <c r="B26" s="2">
        <v>24</v>
      </c>
      <c r="C26" s="2">
        <f>_xlfn.XLOOKUP(练度预期!D26,装备养成!$B$3:$B$303,装备养成!$D$3:$D$303)*6</f>
        <v>1632</v>
      </c>
      <c r="D26" s="2" cm="1">
        <f ca="1" t="array" ref="D26">_xlfn.XLOOKUP(练度预期!E26&amp;"_"&amp;INT(练度预期!C26/10)*10+10,装备养成!$N$4:$N$219&amp;"_"&amp;装备养成!$K$4:$K$219,装备养成!$P$4:$P$219)*练度预期!F26+_xlfn.XLOOKUP(练度预期!E26-1&amp;"_"&amp;INT(练度预期!C26/10)*10+10,装备养成!$N$4:$N$219&amp;"_"&amp;装备养成!$K$4:$K$219,装备养成!$P$4:$P$219)*(6-练度预期!F26)</f>
        <v>808</v>
      </c>
      <c r="E26" s="2">
        <f ca="1">练度预期!N26*4*练度预期!M26</f>
        <v>480</v>
      </c>
      <c r="F26" s="103">
        <f ca="1">INT(练度预期!D26/10)*0.02+1+_xlfn.XLOOKUP(练度预期!E26,装备养成!$U$3:$U$11,装备养成!$V$3:$V$11)*练度预期!F26+_xlfn.XLOOKUP(练度预期!E26-1,装备养成!$U$3:$U$11,装备养成!$V$3:$V$11)*(6-练度预期!F26)</f>
        <v>1.37496</v>
      </c>
      <c r="G26" s="48">
        <f ca="1">OFFSET(梦灵养成!$K$20,_xlfn.XLOOKUP(练度预期!H26,梦灵养成!$D$10:$D$28,梦灵养成!$H$10:$H$28),MATCH(OFFSET(梦灵养成!$C$33,B26,MATCH(练度预期!H26,梦灵养成!$D$33:$V$33,0)),梦灵养成!$L$20:$R$20,1))*(1+(OFFSET(梦灵养成!$C$33,B26,MATCH(练度预期!H26,梦灵养成!$D$33:$V$33,0))-1)*_xlfn.XLOOKUP(练度预期!H26,梦灵养成!$D$9:$D$28,梦灵养成!$G$9:$G$28))</f>
        <v>3.24</v>
      </c>
      <c r="H26" s="46">
        <f ca="1">符文养成!AC27</f>
        <v>3.87721694212976</v>
      </c>
      <c r="I26" s="46">
        <f>MAX(_xlfn.XLOOKUP(练度预期!O26,秘宝养成!$B$3:$B$15,秘宝养成!$E$3:$E$15),1)</f>
        <v>2.0368</v>
      </c>
      <c r="J26" s="104">
        <f ca="1" t="shared" si="1"/>
        <v>102727.42775231</v>
      </c>
      <c r="K26" s="104">
        <f ca="1">MATCH(J26,关卡预期!$E$4:$E$303,1)</f>
        <v>79</v>
      </c>
      <c r="L26" s="48">
        <f ca="1" t="shared" si="2"/>
        <v>0.558904109589041</v>
      </c>
      <c r="M26" s="48">
        <f ca="1" t="shared" si="3"/>
        <v>0.276712328767123</v>
      </c>
      <c r="N26" s="48">
        <f ca="1" t="shared" si="4"/>
        <v>0.164383561643836</v>
      </c>
      <c r="O26" s="48">
        <f ca="1" t="shared" si="5"/>
        <v>0.0894326750165793</v>
      </c>
      <c r="P26" s="48">
        <f ca="1" t="shared" si="6"/>
        <v>0.33017126951325</v>
      </c>
      <c r="Q26" s="48">
        <f ca="1" t="shared" si="7"/>
        <v>0.380598037895533</v>
      </c>
      <c r="R26" s="48">
        <f ca="1" t="shared" si="8"/>
        <v>0.199798017574637</v>
      </c>
      <c r="S26" s="46">
        <f ca="1" t="shared" si="9"/>
        <v>0.558904109589041</v>
      </c>
      <c r="T26" s="46">
        <f ca="1" t="shared" si="10"/>
        <v>0.276712328767123</v>
      </c>
      <c r="U26" s="46">
        <f ca="1" t="shared" si="11"/>
        <v>0.164383561643836</v>
      </c>
      <c r="V26" s="48">
        <f ca="1" t="shared" si="12"/>
        <v>0.318424639786295</v>
      </c>
      <c r="W26" s="48">
        <f ca="1" t="shared" si="13"/>
        <v>1.17557332980424</v>
      </c>
      <c r="X26" s="48">
        <f ca="1" t="shared" si="14"/>
        <v>1.35511761330843</v>
      </c>
      <c r="Y26" s="48">
        <f t="shared" si="15"/>
        <v>0.711379948821005</v>
      </c>
      <c r="Z26" s="105">
        <f ca="1" t="shared" si="16"/>
        <v>0.0894326750165793</v>
      </c>
      <c r="AA26" s="105">
        <f ca="1" t="shared" si="17"/>
        <v>0.33017126951325</v>
      </c>
      <c r="AB26" s="105">
        <f ca="1" t="shared" si="18"/>
        <v>0.380598037895533</v>
      </c>
      <c r="AC26" s="105">
        <f ca="1" t="shared" si="19"/>
        <v>0.199798017574637</v>
      </c>
      <c r="AD26" s="105">
        <f ca="1" t="shared" si="20"/>
        <v>0.558904109589041</v>
      </c>
      <c r="AE26" s="105">
        <f ca="1" t="shared" si="21"/>
        <v>0.276712328767123</v>
      </c>
      <c r="AF26" s="105">
        <f ca="1" t="shared" si="22"/>
        <v>0.164383561643836</v>
      </c>
    </row>
    <row r="27" ht="16.5" spans="1:32">
      <c r="A27">
        <f ca="1" t="shared" si="0"/>
        <v>3006</v>
      </c>
      <c r="B27" s="2">
        <v>25</v>
      </c>
      <c r="C27" s="2">
        <f>_xlfn.XLOOKUP(练度预期!D27,装备养成!$B$3:$B$303,装备养成!$D$3:$D$303)*6</f>
        <v>1692</v>
      </c>
      <c r="D27" s="2" cm="1">
        <f ca="1" t="array" ref="D27">_xlfn.XLOOKUP(练度预期!E27&amp;"_"&amp;INT(练度预期!C27/10)*10+10,装备养成!$N$4:$N$219&amp;"_"&amp;装备养成!$K$4:$K$219,装备养成!$P$4:$P$219)*练度预期!F27+_xlfn.XLOOKUP(练度预期!E27-1&amp;"_"&amp;INT(练度预期!C27/10)*10+10,装备养成!$N$4:$N$219&amp;"_"&amp;装备养成!$K$4:$K$219,装备养成!$P$4:$P$219)*(6-练度预期!F27)</f>
        <v>834</v>
      </c>
      <c r="E27" s="2">
        <f ca="1">练度预期!N27*4*练度预期!M27</f>
        <v>480</v>
      </c>
      <c r="F27" s="103">
        <f ca="1">INT(练度预期!D27/10)*0.02+1+_xlfn.XLOOKUP(练度预期!E27,装备养成!$U$3:$U$11,装备养成!$V$3:$V$11)*练度预期!F27+_xlfn.XLOOKUP(练度预期!E27-1,装备养成!$U$3:$U$11,装备养成!$V$3:$V$11)*(6-练度预期!F27)</f>
        <v>1.38944</v>
      </c>
      <c r="G27" s="48">
        <f ca="1">OFFSET(梦灵养成!$K$20,_xlfn.XLOOKUP(练度预期!H27,梦灵养成!$D$10:$D$28,梦灵养成!$H$10:$H$28),MATCH(OFFSET(梦灵养成!$C$33,B27,MATCH(练度预期!H27,梦灵养成!$D$33:$V$33,0)),梦灵养成!$L$20:$R$20,1))*(1+(OFFSET(梦灵养成!$C$33,B27,MATCH(练度预期!H27,梦灵养成!$D$33:$V$33,0))-1)*_xlfn.XLOOKUP(练度预期!H27,梦灵养成!$D$9:$D$28,梦灵养成!$G$9:$G$28))</f>
        <v>3.24</v>
      </c>
      <c r="H27" s="46">
        <f ca="1">符文养成!AC28</f>
        <v>3.93321683546617</v>
      </c>
      <c r="I27" s="46">
        <f>MAX(_xlfn.XLOOKUP(练度预期!O27,秘宝养成!$B$3:$B$15,秘宝养成!$E$3:$E$15),1)</f>
        <v>2.0368</v>
      </c>
      <c r="J27" s="104">
        <f ca="1" t="shared" si="1"/>
        <v>108410.178531212</v>
      </c>
      <c r="K27" s="104">
        <f ca="1">MATCH(J27,关卡预期!$E$4:$E$303,1)</f>
        <v>79</v>
      </c>
      <c r="L27" s="48">
        <f ca="1" t="shared" si="2"/>
        <v>0.562874251497006</v>
      </c>
      <c r="M27" s="48">
        <f ca="1" t="shared" si="3"/>
        <v>0.277445109780439</v>
      </c>
      <c r="N27" s="48">
        <f ca="1" t="shared" si="4"/>
        <v>0.159680638722555</v>
      </c>
      <c r="O27" s="48">
        <f ca="1" t="shared" si="5"/>
        <v>0.0917356192709943</v>
      </c>
      <c r="P27" s="48">
        <f ca="1" t="shared" si="6"/>
        <v>0.327885949973066</v>
      </c>
      <c r="Q27" s="48">
        <f ca="1" t="shared" si="7"/>
        <v>0.381963338819643</v>
      </c>
      <c r="R27" s="48">
        <f ca="1" t="shared" si="8"/>
        <v>0.198415091936297</v>
      </c>
      <c r="S27" s="46">
        <f ca="1" t="shared" si="9"/>
        <v>0.562874251497006</v>
      </c>
      <c r="T27" s="46">
        <f ca="1" t="shared" si="10"/>
        <v>0.277445109780439</v>
      </c>
      <c r="U27" s="46">
        <f ca="1" t="shared" si="11"/>
        <v>0.159680638722555</v>
      </c>
      <c r="V27" s="48">
        <f ca="1" t="shared" si="12"/>
        <v>0.328900788267735</v>
      </c>
      <c r="W27" s="48">
        <f ca="1" t="shared" si="13"/>
        <v>1.17557332980424</v>
      </c>
      <c r="X27" s="48">
        <f ca="1" t="shared" si="14"/>
        <v>1.36945762426306</v>
      </c>
      <c r="Y27" s="48">
        <f t="shared" si="15"/>
        <v>0.711379948821005</v>
      </c>
      <c r="Z27" s="105">
        <f ca="1" t="shared" si="16"/>
        <v>0.0917356192709943</v>
      </c>
      <c r="AA27" s="105">
        <f ca="1" t="shared" si="17"/>
        <v>0.327885949973066</v>
      </c>
      <c r="AB27" s="105">
        <f ca="1" t="shared" si="18"/>
        <v>0.381963338819643</v>
      </c>
      <c r="AC27" s="105">
        <f ca="1" t="shared" si="19"/>
        <v>0.198415091936297</v>
      </c>
      <c r="AD27" s="105">
        <f ca="1" t="shared" si="20"/>
        <v>0.562874251497006</v>
      </c>
      <c r="AE27" s="105">
        <f ca="1" t="shared" si="21"/>
        <v>0.277445109780439</v>
      </c>
      <c r="AF27" s="105">
        <f ca="1" t="shared" si="22"/>
        <v>0.159680638722555</v>
      </c>
    </row>
    <row r="28" ht="16.5" spans="1:32">
      <c r="A28">
        <f ca="1" t="shared" si="0"/>
        <v>3066</v>
      </c>
      <c r="B28" s="2">
        <v>26</v>
      </c>
      <c r="C28" s="2">
        <f>_xlfn.XLOOKUP(练度预期!D28,装备养成!$B$3:$B$303,装备养成!$D$3:$D$303)*6</f>
        <v>1752</v>
      </c>
      <c r="D28" s="2" cm="1">
        <f ca="1" t="array" ref="D28">_xlfn.XLOOKUP(练度预期!E28&amp;"_"&amp;INT(练度预期!C28/10)*10+10,装备养成!$N$4:$N$219&amp;"_"&amp;装备养成!$K$4:$K$219,装备养成!$P$4:$P$219)*练度预期!F28+_xlfn.XLOOKUP(练度预期!E28-1&amp;"_"&amp;INT(练度预期!C28/10)*10+10,装备养成!$N$4:$N$219&amp;"_"&amp;装备养成!$K$4:$K$219,装备养成!$P$4:$P$219)*(6-练度预期!F28)</f>
        <v>834</v>
      </c>
      <c r="E28" s="2">
        <f ca="1">练度预期!N28*4*练度预期!M28</f>
        <v>480</v>
      </c>
      <c r="F28" s="103">
        <f ca="1">INT(练度预期!D28/10)*0.02+1+_xlfn.XLOOKUP(练度预期!E28,装备养成!$U$3:$U$11,装备养成!$V$3:$V$11)*练度预期!F28+_xlfn.XLOOKUP(练度预期!E28-1,装备养成!$U$3:$U$11,装备养成!$V$3:$V$11)*(6-练度预期!F28)</f>
        <v>1.38944</v>
      </c>
      <c r="G28" s="48">
        <f ca="1">OFFSET(梦灵养成!$K$20,_xlfn.XLOOKUP(练度预期!H28,梦灵养成!$D$10:$D$28,梦灵养成!$H$10:$H$28),MATCH(OFFSET(梦灵养成!$C$33,B28,MATCH(练度预期!H28,梦灵养成!$D$33:$V$33,0)),梦灵养成!$L$20:$R$20,1))*(1+(OFFSET(梦灵养成!$C$33,B28,MATCH(练度预期!H28,梦灵养成!$D$33:$V$33,0))-1)*_xlfn.XLOOKUP(练度预期!H28,梦灵养成!$D$9:$D$28,梦灵养成!$G$9:$G$28))</f>
        <v>3.24</v>
      </c>
      <c r="H28" s="46">
        <f ca="1">符文养成!AC29</f>
        <v>3.98248306999704</v>
      </c>
      <c r="I28" s="46">
        <f>MAX(_xlfn.XLOOKUP(练度预期!O28,秘宝养成!$B$3:$B$15,秘宝养成!$E$3:$E$15),1)</f>
        <v>2.0368</v>
      </c>
      <c r="J28" s="104">
        <f ca="1" t="shared" si="1"/>
        <v>111959.070107663</v>
      </c>
      <c r="K28" s="104">
        <f ca="1">MATCH(J28,关卡预期!$E$4:$E$303,1)</f>
        <v>80</v>
      </c>
      <c r="L28" s="48">
        <f ca="1" t="shared" si="2"/>
        <v>0.571428571428572</v>
      </c>
      <c r="M28" s="48">
        <f ca="1" t="shared" si="3"/>
        <v>0.2720156555773</v>
      </c>
      <c r="N28" s="48">
        <f ca="1" t="shared" si="4"/>
        <v>0.156555772994129</v>
      </c>
      <c r="O28" s="48">
        <f ca="1" t="shared" si="5"/>
        <v>0.0914182232257265</v>
      </c>
      <c r="P28" s="48">
        <f ca="1" t="shared" si="6"/>
        <v>0.326751497459992</v>
      </c>
      <c r="Q28" s="48">
        <f ca="1" t="shared" si="7"/>
        <v>0.384101683702994</v>
      </c>
      <c r="R28" s="48">
        <f ca="1" t="shared" si="8"/>
        <v>0.197728595611287</v>
      </c>
      <c r="S28" s="46">
        <f ca="1" t="shared" si="9"/>
        <v>0.571428571428571</v>
      </c>
      <c r="T28" s="46">
        <f ca="1" t="shared" si="10"/>
        <v>0.272015655577299</v>
      </c>
      <c r="U28" s="46">
        <f ca="1" t="shared" si="11"/>
        <v>0.156555772994129</v>
      </c>
      <c r="V28" s="48">
        <f ca="1" t="shared" si="12"/>
        <v>0.328900788267735</v>
      </c>
      <c r="W28" s="48">
        <f ca="1" t="shared" si="13"/>
        <v>1.17557332980424</v>
      </c>
      <c r="X28" s="48">
        <f ca="1" t="shared" si="14"/>
        <v>1.38190551169373</v>
      </c>
      <c r="Y28" s="48">
        <f t="shared" si="15"/>
        <v>0.711379948821005</v>
      </c>
      <c r="Z28" s="105">
        <f ca="1" t="shared" si="16"/>
        <v>0.0914182232257265</v>
      </c>
      <c r="AA28" s="105">
        <f ca="1" t="shared" si="17"/>
        <v>0.326751497459992</v>
      </c>
      <c r="AB28" s="105">
        <f ca="1" t="shared" si="18"/>
        <v>0.384101683702994</v>
      </c>
      <c r="AC28" s="105">
        <f ca="1" t="shared" si="19"/>
        <v>0.197728595611287</v>
      </c>
      <c r="AD28" s="105">
        <f ca="1" t="shared" si="20"/>
        <v>0.571428571428571</v>
      </c>
      <c r="AE28" s="105">
        <f ca="1" t="shared" si="21"/>
        <v>0.272015655577299</v>
      </c>
      <c r="AF28" s="105">
        <f ca="1" t="shared" si="22"/>
        <v>0.156555772994129</v>
      </c>
    </row>
    <row r="29" ht="16.5" spans="1:32">
      <c r="A29">
        <f ca="1" t="shared" si="0"/>
        <v>3126</v>
      </c>
      <c r="B29" s="2">
        <v>27</v>
      </c>
      <c r="C29" s="2">
        <f>_xlfn.XLOOKUP(练度预期!D29,装备养成!$B$3:$B$303,装备养成!$D$3:$D$303)*6</f>
        <v>1812</v>
      </c>
      <c r="D29" s="2" cm="1">
        <f ca="1" t="array" ref="D29">_xlfn.XLOOKUP(练度预期!E29&amp;"_"&amp;INT(练度预期!C29/10)*10+10,装备养成!$N$4:$N$219&amp;"_"&amp;装备养成!$K$4:$K$219,装备养成!$P$4:$P$219)*练度预期!F29+_xlfn.XLOOKUP(练度预期!E29-1&amp;"_"&amp;INT(练度预期!C29/10)*10+10,装备养成!$N$4:$N$219&amp;"_"&amp;装备养成!$K$4:$K$219,装备养成!$P$4:$P$219)*(6-练度预期!F29)</f>
        <v>834</v>
      </c>
      <c r="E29" s="2">
        <f ca="1">练度预期!N29*4*练度预期!M29</f>
        <v>480</v>
      </c>
      <c r="F29" s="103">
        <f ca="1">INT(练度预期!D29/10)*0.02+1+_xlfn.XLOOKUP(练度预期!E29,装备养成!$U$3:$U$11,装备养成!$V$3:$V$11)*练度预期!F29+_xlfn.XLOOKUP(练度预期!E29-1,装备养成!$U$3:$U$11,装备养成!$V$3:$V$11)*(6-练度预期!F29)</f>
        <v>1.38944</v>
      </c>
      <c r="G29" s="48">
        <f ca="1">OFFSET(梦灵养成!$K$20,_xlfn.XLOOKUP(练度预期!H29,梦灵养成!$D$10:$D$28,梦灵养成!$H$10:$H$28),MATCH(OFFSET(梦灵养成!$C$33,B29,MATCH(练度预期!H29,梦灵养成!$D$33:$V$33,0)),梦灵养成!$L$20:$R$20,1))*(1+(OFFSET(梦灵养成!$C$33,B29,MATCH(练度预期!H29,梦灵养成!$D$33:$V$33,0))-1)*_xlfn.XLOOKUP(练度预期!H29,梦灵养成!$D$9:$D$28,梦灵养成!$G$9:$G$28))</f>
        <v>3.24</v>
      </c>
      <c r="H29" s="46">
        <f ca="1">符文养成!AC30</f>
        <v>4.03347076658727</v>
      </c>
      <c r="I29" s="46">
        <f>MAX(_xlfn.XLOOKUP(练度预期!O29,秘宝养成!$B$3:$B$15,秘宝养成!$E$3:$E$15),1)</f>
        <v>2.0368</v>
      </c>
      <c r="J29" s="104">
        <f ca="1" t="shared" si="1"/>
        <v>115611.512063781</v>
      </c>
      <c r="K29" s="104">
        <f ca="1">MATCH(J29,关卡预期!$E$4:$E$303,1)</f>
        <v>80</v>
      </c>
      <c r="L29" s="48">
        <f ca="1" t="shared" si="2"/>
        <v>0.579654510556622</v>
      </c>
      <c r="M29" s="48">
        <f ca="1" t="shared" si="3"/>
        <v>0.26679462571977</v>
      </c>
      <c r="N29" s="48">
        <f ca="1" t="shared" si="4"/>
        <v>0.153550863723608</v>
      </c>
      <c r="O29" s="48">
        <f ca="1" t="shared" si="5"/>
        <v>0.0910961061750985</v>
      </c>
      <c r="P29" s="48">
        <f ca="1" t="shared" si="6"/>
        <v>0.325600170897998</v>
      </c>
      <c r="Q29" s="48">
        <f ca="1" t="shared" si="7"/>
        <v>0.386271834709347</v>
      </c>
      <c r="R29" s="48">
        <f ca="1" t="shared" si="8"/>
        <v>0.197031888217556</v>
      </c>
      <c r="S29" s="46">
        <f ca="1" t="shared" si="9"/>
        <v>0.579654510556622</v>
      </c>
      <c r="T29" s="46">
        <f ca="1" t="shared" si="10"/>
        <v>0.26679462571977</v>
      </c>
      <c r="U29" s="46">
        <f ca="1" t="shared" si="11"/>
        <v>0.153550863723608</v>
      </c>
      <c r="V29" s="48">
        <f ca="1" t="shared" si="12"/>
        <v>0.328900788267735</v>
      </c>
      <c r="W29" s="48">
        <f ca="1" t="shared" si="13"/>
        <v>1.17557332980424</v>
      </c>
      <c r="X29" s="48">
        <f ca="1" t="shared" si="14"/>
        <v>1.39462723771455</v>
      </c>
      <c r="Y29" s="48">
        <f t="shared" si="15"/>
        <v>0.711379948821005</v>
      </c>
      <c r="Z29" s="105">
        <f ca="1" t="shared" si="16"/>
        <v>0.0910961061750985</v>
      </c>
      <c r="AA29" s="105">
        <f ca="1" t="shared" si="17"/>
        <v>0.325600170897998</v>
      </c>
      <c r="AB29" s="105">
        <f ca="1" t="shared" si="18"/>
        <v>0.386271834709347</v>
      </c>
      <c r="AC29" s="105">
        <f ca="1" t="shared" si="19"/>
        <v>0.197031888217556</v>
      </c>
      <c r="AD29" s="105">
        <f ca="1" t="shared" si="20"/>
        <v>0.579654510556622</v>
      </c>
      <c r="AE29" s="105">
        <f ca="1" t="shared" si="21"/>
        <v>0.26679462571977</v>
      </c>
      <c r="AF29" s="105">
        <f ca="1" t="shared" si="22"/>
        <v>0.153550863723608</v>
      </c>
    </row>
    <row r="30" ht="16.5" spans="1:32">
      <c r="A30">
        <f ca="1" t="shared" si="0"/>
        <v>3186</v>
      </c>
      <c r="B30" s="2">
        <v>28</v>
      </c>
      <c r="C30" s="2">
        <f>_xlfn.XLOOKUP(练度预期!D30,装备养成!$B$3:$B$303,装备养成!$D$3:$D$303)*6</f>
        <v>1872</v>
      </c>
      <c r="D30" s="2" cm="1">
        <f ca="1" t="array" ref="D30">_xlfn.XLOOKUP(练度预期!E30&amp;"_"&amp;INT(练度预期!C30/10)*10+10,装备养成!$N$4:$N$219&amp;"_"&amp;装备养成!$K$4:$K$219,装备养成!$P$4:$P$219)*练度预期!F30+_xlfn.XLOOKUP(练度预期!E30-1&amp;"_"&amp;INT(练度预期!C30/10)*10+10,装备养成!$N$4:$N$219&amp;"_"&amp;装备养成!$K$4:$K$219,装备养成!$P$4:$P$219)*(6-练度预期!F30)</f>
        <v>834</v>
      </c>
      <c r="E30" s="2">
        <f ca="1">练度预期!N30*4*练度预期!M30</f>
        <v>480</v>
      </c>
      <c r="F30" s="103">
        <f ca="1">INT(练度预期!D30/10)*0.02+1+_xlfn.XLOOKUP(练度预期!E30,装备养成!$U$3:$U$11,装备养成!$V$3:$V$11)*练度预期!F30+_xlfn.XLOOKUP(练度预期!E30-1,装备养成!$U$3:$U$11,装备养成!$V$3:$V$11)*(6-练度预期!F30)</f>
        <v>1.38944</v>
      </c>
      <c r="G30" s="48">
        <f ca="1">OFFSET(梦灵养成!$K$20,_xlfn.XLOOKUP(练度预期!H30,梦灵养成!$D$10:$D$28,梦灵养成!$H$10:$H$28),MATCH(OFFSET(梦灵养成!$C$33,B30,MATCH(练度预期!H30,梦灵养成!$D$33:$V$33,0)),梦灵养成!$L$20:$R$20,1))*(1+(OFFSET(梦灵养成!$C$33,B30,MATCH(练度预期!H30,梦灵养成!$D$33:$V$33,0))-1)*_xlfn.XLOOKUP(练度预期!H30,梦灵养成!$D$9:$D$28,梦灵养成!$G$9:$G$28))</f>
        <v>3.4425</v>
      </c>
      <c r="H30" s="46">
        <f ca="1">符文养成!AC31</f>
        <v>4.08478502781281</v>
      </c>
      <c r="I30" s="46">
        <f>MAX(_xlfn.XLOOKUP(练度预期!O30,秘宝养成!$B$3:$B$15,秘宝养成!$E$3:$E$15),1)</f>
        <v>2.0368</v>
      </c>
      <c r="J30" s="104">
        <f ca="1" t="shared" si="1"/>
        <v>126787.6959695</v>
      </c>
      <c r="K30" s="104">
        <f ca="1">MATCH(J30,关卡预期!$E$4:$E$303,1)</f>
        <v>82</v>
      </c>
      <c r="L30" s="48">
        <f ca="1" t="shared" si="2"/>
        <v>0.587570621468927</v>
      </c>
      <c r="M30" s="48">
        <f ca="1" t="shared" si="3"/>
        <v>0.261770244821092</v>
      </c>
      <c r="N30" s="48">
        <f ca="1" t="shared" si="4"/>
        <v>0.150659133709981</v>
      </c>
      <c r="O30" s="48">
        <f ca="1" t="shared" si="5"/>
        <v>0.0892842851737131</v>
      </c>
      <c r="P30" s="48">
        <f ca="1" t="shared" si="6"/>
        <v>0.335581592932557</v>
      </c>
      <c r="Q30" s="48">
        <f ca="1" t="shared" si="7"/>
        <v>0.382021023710175</v>
      </c>
      <c r="R30" s="48">
        <f ca="1" t="shared" si="8"/>
        <v>0.193113098183556</v>
      </c>
      <c r="S30" s="46">
        <f ca="1" t="shared" si="9"/>
        <v>0.587570621468926</v>
      </c>
      <c r="T30" s="46">
        <f ca="1" t="shared" si="10"/>
        <v>0.261770244821092</v>
      </c>
      <c r="U30" s="46">
        <f ca="1" t="shared" si="11"/>
        <v>0.150659133709981</v>
      </c>
      <c r="V30" s="48">
        <f ca="1" t="shared" si="12"/>
        <v>0.328900788267735</v>
      </c>
      <c r="W30" s="48">
        <f ca="1" t="shared" si="13"/>
        <v>1.23619795162067</v>
      </c>
      <c r="X30" s="48">
        <f ca="1" t="shared" si="14"/>
        <v>1.40726910215681</v>
      </c>
      <c r="Y30" s="48">
        <f t="shared" si="15"/>
        <v>0.711379948821005</v>
      </c>
      <c r="Z30" s="105">
        <f ca="1" t="shared" si="16"/>
        <v>0.0892842851737131</v>
      </c>
      <c r="AA30" s="105">
        <f ca="1" t="shared" si="17"/>
        <v>0.335581592932557</v>
      </c>
      <c r="AB30" s="105">
        <f ca="1" t="shared" si="18"/>
        <v>0.382021023710175</v>
      </c>
      <c r="AC30" s="105">
        <f ca="1" t="shared" si="19"/>
        <v>0.193113098183556</v>
      </c>
      <c r="AD30" s="105">
        <f ca="1" t="shared" si="20"/>
        <v>0.587570621468927</v>
      </c>
      <c r="AE30" s="105">
        <f ca="1" t="shared" si="21"/>
        <v>0.261770244821092</v>
      </c>
      <c r="AF30" s="105">
        <f ca="1" t="shared" si="22"/>
        <v>0.150659133709981</v>
      </c>
    </row>
    <row r="31" ht="16.5" spans="1:32">
      <c r="A31">
        <f ca="1" t="shared" si="0"/>
        <v>3246</v>
      </c>
      <c r="B31" s="2">
        <v>29</v>
      </c>
      <c r="C31" s="2">
        <f>_xlfn.XLOOKUP(练度预期!D31,装备养成!$B$3:$B$303,装备养成!$D$3:$D$303)*6</f>
        <v>1932</v>
      </c>
      <c r="D31" s="2" cm="1">
        <f ca="1" t="array" ref="D31">_xlfn.XLOOKUP(练度预期!E31&amp;"_"&amp;INT(练度预期!C31/10)*10+10,装备养成!$N$4:$N$219&amp;"_"&amp;装备养成!$K$4:$K$219,装备养成!$P$4:$P$219)*练度预期!F31+_xlfn.XLOOKUP(练度预期!E31-1&amp;"_"&amp;INT(练度预期!C31/10)*10+10,装备养成!$N$4:$N$219&amp;"_"&amp;装备养成!$K$4:$K$219,装备养成!$P$4:$P$219)*(6-练度预期!F31)</f>
        <v>834</v>
      </c>
      <c r="E31" s="2">
        <f ca="1">练度预期!N31*4*练度预期!M31</f>
        <v>480</v>
      </c>
      <c r="F31" s="103">
        <f ca="1">INT(练度预期!D31/10)*0.02+1+_xlfn.XLOOKUP(练度预期!E31,装备养成!$U$3:$U$11,装备养成!$V$3:$V$11)*练度预期!F31+_xlfn.XLOOKUP(练度预期!E31-1,装备养成!$U$3:$U$11,装备养成!$V$3:$V$11)*(6-练度预期!F31)</f>
        <v>1.38944</v>
      </c>
      <c r="G31" s="48">
        <f ca="1">OFFSET(梦灵养成!$K$20,_xlfn.XLOOKUP(练度预期!H31,梦灵养成!$D$10:$D$28,梦灵养成!$H$10:$H$28),MATCH(OFFSET(梦灵养成!$C$33,B31,MATCH(练度预期!H31,梦灵养成!$D$33:$V$33,0)),梦灵养成!$L$20:$R$20,1))*(1+(OFFSET(梦灵养成!$C$33,B31,MATCH(练度预期!H31,梦灵养成!$D$33:$V$33,0))-1)*_xlfn.XLOOKUP(练度预期!H31,梦灵养成!$D$9:$D$28,梦灵养成!$G$9:$G$28))</f>
        <v>3.4425</v>
      </c>
      <c r="H31" s="46">
        <f ca="1">符文养成!AC32</f>
        <v>4.15856373973629</v>
      </c>
      <c r="I31" s="46">
        <f>MAX(_xlfn.XLOOKUP(练度预期!O31,秘宝养成!$B$3:$B$15,秘宝养成!$E$3:$E$15),1)</f>
        <v>2.0368</v>
      </c>
      <c r="J31" s="104">
        <f ca="1" t="shared" si="1"/>
        <v>131508.556453668</v>
      </c>
      <c r="K31" s="104">
        <f ca="1">MATCH(J31,关卡预期!$E$4:$E$303,1)</f>
        <v>82</v>
      </c>
      <c r="L31" s="48">
        <f ca="1" t="shared" si="2"/>
        <v>0.595194085027727</v>
      </c>
      <c r="M31" s="48">
        <f ca="1" t="shared" si="3"/>
        <v>0.256931608133087</v>
      </c>
      <c r="N31" s="48">
        <f ca="1" t="shared" si="4"/>
        <v>0.147874306839187</v>
      </c>
      <c r="O31" s="48">
        <f ca="1" t="shared" si="5"/>
        <v>0.0888525187747779</v>
      </c>
      <c r="P31" s="48">
        <f ca="1" t="shared" si="6"/>
        <v>0.333958766971106</v>
      </c>
      <c r="Q31" s="48">
        <f ca="1" t="shared" si="7"/>
        <v>0.385009484184391</v>
      </c>
      <c r="R31" s="48">
        <f ca="1" t="shared" si="8"/>
        <v>0.192179230069725</v>
      </c>
      <c r="S31" s="46">
        <f ca="1" t="shared" si="9"/>
        <v>0.595194085027726</v>
      </c>
      <c r="T31" s="46">
        <f ca="1" t="shared" si="10"/>
        <v>0.256931608133087</v>
      </c>
      <c r="U31" s="46">
        <f ca="1" t="shared" si="11"/>
        <v>0.147874306839187</v>
      </c>
      <c r="V31" s="48">
        <f ca="1" t="shared" si="12"/>
        <v>0.328900788267735</v>
      </c>
      <c r="W31" s="48">
        <f ca="1" t="shared" si="13"/>
        <v>1.23619795162067</v>
      </c>
      <c r="X31" s="48">
        <f ca="1" t="shared" si="14"/>
        <v>1.4251697597879</v>
      </c>
      <c r="Y31" s="48">
        <f t="shared" si="15"/>
        <v>0.711379948821005</v>
      </c>
      <c r="Z31" s="105">
        <f ca="1" t="shared" si="16"/>
        <v>0.0888525187747779</v>
      </c>
      <c r="AA31" s="105">
        <f ca="1" t="shared" si="17"/>
        <v>0.333958766971106</v>
      </c>
      <c r="AB31" s="105">
        <f ca="1" t="shared" si="18"/>
        <v>0.385009484184391</v>
      </c>
      <c r="AC31" s="105">
        <f ca="1" t="shared" si="19"/>
        <v>0.192179230069725</v>
      </c>
      <c r="AD31" s="105">
        <f ca="1" t="shared" si="20"/>
        <v>0.595194085027726</v>
      </c>
      <c r="AE31" s="105">
        <f ca="1" t="shared" si="21"/>
        <v>0.256931608133087</v>
      </c>
      <c r="AF31" s="105">
        <f ca="1" t="shared" si="22"/>
        <v>0.147874306839187</v>
      </c>
    </row>
    <row r="32" ht="16.5" spans="1:32">
      <c r="A32">
        <f ca="1" t="shared" si="0"/>
        <v>3306</v>
      </c>
      <c r="B32" s="2">
        <v>30</v>
      </c>
      <c r="C32" s="2">
        <f>_xlfn.XLOOKUP(练度预期!D32,装备养成!$B$3:$B$303,装备养成!$D$3:$D$303)*6</f>
        <v>1992</v>
      </c>
      <c r="D32" s="2" cm="1">
        <f ca="1" t="array" ref="D32">_xlfn.XLOOKUP(练度预期!E32&amp;"_"&amp;INT(练度预期!C32/10)*10+10,装备养成!$N$4:$N$219&amp;"_"&amp;装备养成!$K$4:$K$219,装备养成!$P$4:$P$219)*练度预期!F32+_xlfn.XLOOKUP(练度预期!E32-1&amp;"_"&amp;INT(练度预期!C32/10)*10+10,装备养成!$N$4:$N$219&amp;"_"&amp;装备养成!$K$4:$K$219,装备养成!$P$4:$P$219)*(6-练度预期!F32)</f>
        <v>834</v>
      </c>
      <c r="E32" s="2">
        <f ca="1">练度预期!N32*4*练度预期!M32</f>
        <v>480</v>
      </c>
      <c r="F32" s="103">
        <f ca="1">INT(练度预期!D32/10)*0.02+1+_xlfn.XLOOKUP(练度预期!E32,装备养成!$U$3:$U$11,装备养成!$V$3:$V$11)*练度预期!F32+_xlfn.XLOOKUP(练度预期!E32-1,装备养成!$U$3:$U$11,装备养成!$V$3:$V$11)*(6-练度预期!F32)</f>
        <v>1.38944</v>
      </c>
      <c r="G32" s="48">
        <f ca="1">OFFSET(梦灵养成!$K$20,_xlfn.XLOOKUP(练度预期!H32,梦灵养成!$D$10:$D$28,梦灵养成!$H$10:$H$28),MATCH(OFFSET(梦灵养成!$C$33,B32,MATCH(练度预期!H32,梦灵养成!$D$33:$V$33,0)),梦灵养成!$L$20:$R$20,1))*(1+(OFFSET(梦灵养成!$C$33,B32,MATCH(练度预期!H32,梦灵养成!$D$33:$V$33,0))-1)*_xlfn.XLOOKUP(练度预期!H32,梦灵养成!$D$9:$D$28,梦灵养成!$G$9:$G$28))</f>
        <v>3.4425</v>
      </c>
      <c r="H32" s="46">
        <f ca="1">符文养成!AC33</f>
        <v>4.2094672358726</v>
      </c>
      <c r="I32" s="46">
        <f>MAX(_xlfn.XLOOKUP(练度预期!O32,秘宝养成!$B$3:$B$15,秘宝养成!$E$3:$E$15),1)</f>
        <v>2.0368</v>
      </c>
      <c r="J32" s="104">
        <f ca="1" t="shared" si="1"/>
        <v>135578.902957955</v>
      </c>
      <c r="K32" s="104">
        <f ca="1">MATCH(J32,关卡预期!$E$4:$E$303,1)</f>
        <v>83</v>
      </c>
      <c r="L32" s="48">
        <f ca="1" t="shared" si="2"/>
        <v>0.602540834845735</v>
      </c>
      <c r="M32" s="48">
        <f ca="1" t="shared" si="3"/>
        <v>0.252268602540835</v>
      </c>
      <c r="N32" s="48">
        <f ca="1" t="shared" si="4"/>
        <v>0.14519056261343</v>
      </c>
      <c r="O32" s="48">
        <f ca="1" t="shared" si="5"/>
        <v>0.0885614409048589</v>
      </c>
      <c r="P32" s="48">
        <f ca="1" t="shared" si="6"/>
        <v>0.332864729257025</v>
      </c>
      <c r="Q32" s="48">
        <f ca="1" t="shared" si="7"/>
        <v>0.387024172477221</v>
      </c>
      <c r="R32" s="48">
        <f ca="1" t="shared" si="8"/>
        <v>0.191549657360895</v>
      </c>
      <c r="S32" s="46">
        <f ca="1" t="shared" si="9"/>
        <v>0.602540834845735</v>
      </c>
      <c r="T32" s="46">
        <f ca="1" t="shared" si="10"/>
        <v>0.252268602540835</v>
      </c>
      <c r="U32" s="46">
        <f ca="1" t="shared" si="11"/>
        <v>0.14519056261343</v>
      </c>
      <c r="V32" s="48">
        <f ca="1" t="shared" si="12"/>
        <v>0.328900788267735</v>
      </c>
      <c r="W32" s="48">
        <f ca="1" t="shared" si="13"/>
        <v>1.23619795162067</v>
      </c>
      <c r="X32" s="48">
        <f ca="1" t="shared" si="14"/>
        <v>1.43733609238783</v>
      </c>
      <c r="Y32" s="48">
        <f t="shared" si="15"/>
        <v>0.711379948821005</v>
      </c>
      <c r="Z32" s="105">
        <f ca="1" t="shared" si="16"/>
        <v>0.0885614409048589</v>
      </c>
      <c r="AA32" s="105">
        <f ca="1" t="shared" si="17"/>
        <v>0.332864729257025</v>
      </c>
      <c r="AB32" s="105">
        <f ca="1" t="shared" si="18"/>
        <v>0.387024172477221</v>
      </c>
      <c r="AC32" s="105">
        <f ca="1" t="shared" si="19"/>
        <v>0.191549657360895</v>
      </c>
      <c r="AD32" s="105">
        <f ca="1" t="shared" si="20"/>
        <v>0.602540834845735</v>
      </c>
      <c r="AE32" s="105">
        <f ca="1" t="shared" si="21"/>
        <v>0.252268602540835</v>
      </c>
      <c r="AF32" s="105">
        <f ca="1" t="shared" si="22"/>
        <v>0.14519056261343</v>
      </c>
    </row>
    <row r="33" ht="16.5" spans="1:32">
      <c r="A33">
        <f ca="1" t="shared" si="0"/>
        <v>3444</v>
      </c>
      <c r="B33" s="2">
        <v>31</v>
      </c>
      <c r="C33" s="2">
        <f>_xlfn.XLOOKUP(练度预期!D33,装备养成!$B$3:$B$303,装备养成!$D$3:$D$303)*6</f>
        <v>2052</v>
      </c>
      <c r="D33" s="2" cm="1">
        <f ca="1" t="array" ref="D33">_xlfn.XLOOKUP(练度预期!E33&amp;"_"&amp;INT(练度预期!C33/10)*10+10,装备养成!$N$4:$N$219&amp;"_"&amp;装备养成!$K$4:$K$219,装备养成!$P$4:$P$219)*练度预期!F33+_xlfn.XLOOKUP(练度预期!E33-1&amp;"_"&amp;INT(练度预期!C33/10)*10+10,装备养成!$N$4:$N$219&amp;"_"&amp;装备养成!$K$4:$K$219,装备养成!$P$4:$P$219)*(6-练度预期!F33)</f>
        <v>912</v>
      </c>
      <c r="E33" s="2">
        <f ca="1">练度预期!N33*4*练度预期!M33</f>
        <v>480</v>
      </c>
      <c r="F33" s="103">
        <f ca="1">INT(练度预期!D33/10)*0.02+1+_xlfn.XLOOKUP(练度预期!E33,装备养成!$U$3:$U$11,装备养成!$V$3:$V$11)*练度预期!F33+_xlfn.XLOOKUP(练度预期!E33-1,装备养成!$U$3:$U$11,装备养成!$V$3:$V$11)*(6-练度预期!F33)</f>
        <v>1.39472</v>
      </c>
      <c r="G33" s="48">
        <f ca="1">OFFSET(梦灵养成!$K$20,_xlfn.XLOOKUP(练度预期!H33,梦灵养成!$D$10:$D$28,梦灵养成!$H$10:$H$28),MATCH(OFFSET(梦灵养成!$C$33,B33,MATCH(练度预期!H33,梦灵养成!$D$33:$V$33,0)),梦灵养成!$L$20:$R$20,1))*(1+(OFFSET(梦灵养成!$C$33,B33,MATCH(练度预期!H33,梦灵养成!$D$33:$V$33,0))-1)*_xlfn.XLOOKUP(练度预期!H33,梦灵养成!$D$9:$D$28,梦灵养成!$G$9:$G$28))</f>
        <v>3.4425</v>
      </c>
      <c r="H33" s="46">
        <f ca="1">符文养成!AC34</f>
        <v>4.26975195085504</v>
      </c>
      <c r="I33" s="46">
        <f>MAX(_xlfn.XLOOKUP(练度预期!O33,秘宝养成!$B$3:$B$15,秘宝养成!$E$3:$E$15),1)</f>
        <v>2.0368</v>
      </c>
      <c r="J33" s="104">
        <f ca="1" t="shared" si="1"/>
        <v>143805.386046443</v>
      </c>
      <c r="K33" s="104">
        <f ca="1">MATCH(J33,关卡预期!$E$4:$E$303,1)</f>
        <v>84</v>
      </c>
      <c r="L33" s="48">
        <f ca="1" t="shared" si="2"/>
        <v>0.59581881533101</v>
      </c>
      <c r="M33" s="48">
        <f ca="1" t="shared" si="3"/>
        <v>0.264808362369338</v>
      </c>
      <c r="N33" s="48">
        <f ca="1" t="shared" si="4"/>
        <v>0.139372822299652</v>
      </c>
      <c r="O33" s="48">
        <f ca="1" t="shared" si="5"/>
        <v>0.0891503412040462</v>
      </c>
      <c r="P33" s="48">
        <f ca="1" t="shared" si="6"/>
        <v>0.331258080262048</v>
      </c>
      <c r="Q33" s="48">
        <f ca="1" t="shared" si="7"/>
        <v>0.388966480122751</v>
      </c>
      <c r="R33" s="48">
        <f ca="1" t="shared" si="8"/>
        <v>0.190625098411156</v>
      </c>
      <c r="S33" s="46">
        <f ca="1" t="shared" si="9"/>
        <v>0.59581881533101</v>
      </c>
      <c r="T33" s="46">
        <f ca="1" t="shared" si="10"/>
        <v>0.264808362369338</v>
      </c>
      <c r="U33" s="46">
        <f ca="1" t="shared" si="11"/>
        <v>0.139372822299652</v>
      </c>
      <c r="V33" s="48">
        <f ca="1" t="shared" si="12"/>
        <v>0.332693678281129</v>
      </c>
      <c r="W33" s="48">
        <f ca="1" t="shared" si="13"/>
        <v>1.23619795162067</v>
      </c>
      <c r="X33" s="48">
        <f ca="1" t="shared" si="14"/>
        <v>1.45155573441853</v>
      </c>
      <c r="Y33" s="48">
        <f t="shared" si="15"/>
        <v>0.711379948821005</v>
      </c>
      <c r="Z33" s="105">
        <f ca="1" t="shared" si="16"/>
        <v>0.0891503412040462</v>
      </c>
      <c r="AA33" s="105">
        <f ca="1" t="shared" si="17"/>
        <v>0.331258080262048</v>
      </c>
      <c r="AB33" s="105">
        <f ca="1" t="shared" si="18"/>
        <v>0.388966480122751</v>
      </c>
      <c r="AC33" s="105">
        <f ca="1" t="shared" si="19"/>
        <v>0.190625098411156</v>
      </c>
      <c r="AD33" s="105">
        <f ca="1" t="shared" si="20"/>
        <v>0.59581881533101</v>
      </c>
      <c r="AE33" s="105">
        <f ca="1" t="shared" si="21"/>
        <v>0.264808362369338</v>
      </c>
      <c r="AF33" s="105">
        <f ca="1" t="shared" si="22"/>
        <v>0.139372822299652</v>
      </c>
    </row>
    <row r="34" ht="16.5" spans="1:32">
      <c r="A34">
        <f ca="1" t="shared" si="0"/>
        <v>3504</v>
      </c>
      <c r="B34" s="2">
        <v>32</v>
      </c>
      <c r="C34" s="2">
        <f>_xlfn.XLOOKUP(练度预期!D34,装备养成!$B$3:$B$303,装备养成!$D$3:$D$303)*6</f>
        <v>2112</v>
      </c>
      <c r="D34" s="2" cm="1">
        <f ca="1" t="array" ref="D34">_xlfn.XLOOKUP(练度预期!E34&amp;"_"&amp;INT(练度预期!C34/10)*10+10,装备养成!$N$4:$N$219&amp;"_"&amp;装备养成!$K$4:$K$219,装备养成!$P$4:$P$219)*练度预期!F34+_xlfn.XLOOKUP(练度预期!E34-1&amp;"_"&amp;INT(练度预期!C34/10)*10+10,装备养成!$N$4:$N$219&amp;"_"&amp;装备养成!$K$4:$K$219,装备养成!$P$4:$P$219)*(6-练度预期!F34)</f>
        <v>912</v>
      </c>
      <c r="E34" s="2">
        <f ca="1">练度预期!N34*4*练度预期!M34</f>
        <v>480</v>
      </c>
      <c r="F34" s="103">
        <f ca="1">INT(练度预期!D34/10)*0.02+1+_xlfn.XLOOKUP(练度预期!E34,装备养成!$U$3:$U$11,装备养成!$V$3:$V$11)*练度预期!F34+_xlfn.XLOOKUP(练度预期!E34-1,装备养成!$U$3:$U$11,装备养成!$V$3:$V$11)*(6-练度预期!F34)</f>
        <v>1.41472</v>
      </c>
      <c r="G34" s="48">
        <f ca="1">OFFSET(梦灵养成!$K$20,_xlfn.XLOOKUP(练度预期!H34,梦灵养成!$D$10:$D$28,梦灵养成!$H$10:$H$28),MATCH(OFFSET(梦灵养成!$C$33,B34,MATCH(练度预期!H34,梦灵养成!$D$33:$V$33,0)),梦灵养成!$L$20:$R$20,1))*(1+(OFFSET(梦灵养成!$C$33,B34,MATCH(练度预期!H34,梦灵养成!$D$33:$V$33,0))-1)*_xlfn.XLOOKUP(练度预期!H34,梦灵养成!$D$9:$D$28,梦灵养成!$G$9:$G$28))</f>
        <v>3.4425</v>
      </c>
      <c r="H34" s="46">
        <f ca="1">符文养成!AC35</f>
        <v>4.32928850252718</v>
      </c>
      <c r="I34" s="46">
        <f>MAX(_xlfn.XLOOKUP(练度预期!O34,秘宝养成!$B$3:$B$15,秘宝养成!$E$3:$E$15),1)</f>
        <v>2.0368</v>
      </c>
      <c r="J34" s="104">
        <f ca="1" t="shared" si="1"/>
        <v>150478.153707264</v>
      </c>
      <c r="K34" s="104">
        <f ca="1">MATCH(J34,关卡预期!$E$4:$E$303,1)</f>
        <v>84</v>
      </c>
      <c r="L34" s="48">
        <f ca="1" t="shared" si="2"/>
        <v>0.602739726027397</v>
      </c>
      <c r="M34" s="48">
        <f ca="1" t="shared" si="3"/>
        <v>0.26027397260274</v>
      </c>
      <c r="N34" s="48">
        <f ca="1" t="shared" si="4"/>
        <v>0.136986301369863</v>
      </c>
      <c r="O34" s="48">
        <f ca="1" t="shared" si="5"/>
        <v>0.0922711922900256</v>
      </c>
      <c r="P34" s="48">
        <f ca="1" t="shared" si="6"/>
        <v>0.328783680975258</v>
      </c>
      <c r="Q34" s="48">
        <f ca="1" t="shared" si="7"/>
        <v>0.389743941084209</v>
      </c>
      <c r="R34" s="48">
        <f ca="1" t="shared" si="8"/>
        <v>0.189201185650508</v>
      </c>
      <c r="S34" s="46">
        <f ca="1" t="shared" si="9"/>
        <v>0.602739726027397</v>
      </c>
      <c r="T34" s="46">
        <f ca="1" t="shared" si="10"/>
        <v>0.26027397260274</v>
      </c>
      <c r="U34" s="46">
        <f ca="1" t="shared" si="11"/>
        <v>0.136986301369863</v>
      </c>
      <c r="V34" s="48">
        <f ca="1" t="shared" si="12"/>
        <v>0.346931631655741</v>
      </c>
      <c r="W34" s="48">
        <f ca="1" t="shared" si="13"/>
        <v>1.23619795162067</v>
      </c>
      <c r="X34" s="48">
        <f ca="1" t="shared" si="14"/>
        <v>1.46540321038964</v>
      </c>
      <c r="Y34" s="48">
        <f t="shared" si="15"/>
        <v>0.711379948821005</v>
      </c>
      <c r="Z34" s="105">
        <f ca="1" t="shared" si="16"/>
        <v>0.0922711922900256</v>
      </c>
      <c r="AA34" s="105">
        <f ca="1" t="shared" si="17"/>
        <v>0.328783680975258</v>
      </c>
      <c r="AB34" s="105">
        <f ca="1" t="shared" si="18"/>
        <v>0.389743941084209</v>
      </c>
      <c r="AC34" s="105">
        <f ca="1" t="shared" si="19"/>
        <v>0.189201185650508</v>
      </c>
      <c r="AD34" s="105">
        <f ca="1" t="shared" si="20"/>
        <v>0.602739726027397</v>
      </c>
      <c r="AE34" s="105">
        <f ca="1" t="shared" si="21"/>
        <v>0.26027397260274</v>
      </c>
      <c r="AF34" s="105">
        <f ca="1" t="shared" si="22"/>
        <v>0.136986301369863</v>
      </c>
    </row>
    <row r="35" ht="16.5" spans="1:32">
      <c r="A35">
        <f ca="1" t="shared" si="0"/>
        <v>3564</v>
      </c>
      <c r="B35" s="2">
        <v>33</v>
      </c>
      <c r="C35" s="2">
        <f>_xlfn.XLOOKUP(练度预期!D35,装备养成!$B$3:$B$303,装备养成!$D$3:$D$303)*6</f>
        <v>2172</v>
      </c>
      <c r="D35" s="2" cm="1">
        <f ca="1" t="array" ref="D35">_xlfn.XLOOKUP(练度预期!E35&amp;"_"&amp;INT(练度预期!C35/10)*10+10,装备养成!$N$4:$N$219&amp;"_"&amp;装备养成!$K$4:$K$219,装备养成!$P$4:$P$219)*练度预期!F35+_xlfn.XLOOKUP(练度预期!E35-1&amp;"_"&amp;INT(练度预期!C35/10)*10+10,装备养成!$N$4:$N$219&amp;"_"&amp;装备养成!$K$4:$K$219,装备养成!$P$4:$P$219)*(6-练度预期!F35)</f>
        <v>912</v>
      </c>
      <c r="E35" s="2">
        <f ca="1">练度预期!N35*4*练度预期!M35</f>
        <v>480</v>
      </c>
      <c r="F35" s="103">
        <f ca="1">INT(练度预期!D35/10)*0.02+1+_xlfn.XLOOKUP(练度预期!E35,装备养成!$U$3:$U$11,装备养成!$V$3:$V$11)*练度预期!F35+_xlfn.XLOOKUP(练度预期!E35-1,装备养成!$U$3:$U$11,装备养成!$V$3:$V$11)*(6-练度预期!F35)</f>
        <v>1.41472</v>
      </c>
      <c r="G35" s="48">
        <f ca="1">OFFSET(梦灵养成!$K$20,_xlfn.XLOOKUP(练度预期!H35,梦灵养成!$D$10:$D$28,梦灵养成!$H$10:$H$28),MATCH(OFFSET(梦灵养成!$C$33,B35,MATCH(练度预期!H35,梦灵养成!$D$33:$V$33,0)),梦灵养成!$L$20:$R$20,1))*(1+(OFFSET(梦灵养成!$C$33,B35,MATCH(练度预期!H35,梦灵养成!$D$33:$V$33,0))-1)*_xlfn.XLOOKUP(练度预期!H35,梦灵养成!$D$9:$D$28,梦灵养成!$G$9:$G$28))</f>
        <v>3.645</v>
      </c>
      <c r="H35" s="46">
        <f ca="1">符文养成!AC36</f>
        <v>4.3767157767876</v>
      </c>
      <c r="I35" s="46">
        <f>MAX(_xlfn.XLOOKUP(练度预期!O35,秘宝养成!$B$3:$B$15,秘宝养成!$E$3:$E$15),1)</f>
        <v>2.0368</v>
      </c>
      <c r="J35" s="104">
        <f ca="1" t="shared" si="1"/>
        <v>163833.402979935</v>
      </c>
      <c r="K35" s="104">
        <f ca="1">MATCH(J35,关卡预期!$E$4:$E$303,1)</f>
        <v>85</v>
      </c>
      <c r="L35" s="48">
        <f ca="1" t="shared" si="2"/>
        <v>0.609427609427609</v>
      </c>
      <c r="M35" s="48">
        <f ca="1" t="shared" si="3"/>
        <v>0.255892255892256</v>
      </c>
      <c r="N35" s="48">
        <f ca="1" t="shared" si="4"/>
        <v>0.134680134680135</v>
      </c>
      <c r="O35" s="48">
        <f ca="1" t="shared" si="5"/>
        <v>0.0906307893855203</v>
      </c>
      <c r="P35" s="48">
        <f ca="1" t="shared" si="6"/>
        <v>0.33787034004094</v>
      </c>
      <c r="Q35" s="48">
        <f ca="1" t="shared" si="7"/>
        <v>0.385661315182641</v>
      </c>
      <c r="R35" s="48">
        <f ca="1" t="shared" si="8"/>
        <v>0.185837555390899</v>
      </c>
      <c r="S35" s="46">
        <f ca="1" t="shared" si="9"/>
        <v>0.609427609427609</v>
      </c>
      <c r="T35" s="46">
        <f ca="1" t="shared" si="10"/>
        <v>0.255892255892256</v>
      </c>
      <c r="U35" s="46">
        <f ca="1" t="shared" si="11"/>
        <v>0.134680134680135</v>
      </c>
      <c r="V35" s="48">
        <f ca="1" t="shared" si="12"/>
        <v>0.346931631655741</v>
      </c>
      <c r="W35" s="48">
        <f ca="1" t="shared" si="13"/>
        <v>1.29335636546062</v>
      </c>
      <c r="X35" s="48">
        <f ca="1" t="shared" si="14"/>
        <v>1.47629862047951</v>
      </c>
      <c r="Y35" s="48">
        <f t="shared" si="15"/>
        <v>0.711379948821005</v>
      </c>
      <c r="Z35" s="105">
        <f ca="1" t="shared" si="16"/>
        <v>0.0906307893855203</v>
      </c>
      <c r="AA35" s="105">
        <f ca="1" t="shared" si="17"/>
        <v>0.33787034004094</v>
      </c>
      <c r="AB35" s="105">
        <f ca="1" t="shared" si="18"/>
        <v>0.385661315182641</v>
      </c>
      <c r="AC35" s="105">
        <f ca="1" t="shared" si="19"/>
        <v>0.185837555390899</v>
      </c>
      <c r="AD35" s="105">
        <f ca="1" t="shared" si="20"/>
        <v>0.609427609427609</v>
      </c>
      <c r="AE35" s="105">
        <f ca="1" t="shared" si="21"/>
        <v>0.255892255892256</v>
      </c>
      <c r="AF35" s="105">
        <f ca="1" t="shared" si="22"/>
        <v>0.134680134680135</v>
      </c>
    </row>
    <row r="36" ht="16.5" spans="1:32">
      <c r="A36">
        <f ca="1" t="shared" si="0"/>
        <v>3624</v>
      </c>
      <c r="B36" s="2">
        <v>34</v>
      </c>
      <c r="C36" s="2">
        <f>_xlfn.XLOOKUP(练度预期!D36,装备养成!$B$3:$B$303,装备养成!$D$3:$D$303)*6</f>
        <v>2232</v>
      </c>
      <c r="D36" s="2" cm="1">
        <f ca="1" t="array" ref="D36">_xlfn.XLOOKUP(练度预期!E36&amp;"_"&amp;INT(练度预期!C36/10)*10+10,装备养成!$N$4:$N$219&amp;"_"&amp;装备养成!$K$4:$K$219,装备养成!$P$4:$P$219)*练度预期!F36+_xlfn.XLOOKUP(练度预期!E36-1&amp;"_"&amp;INT(练度预期!C36/10)*10+10,装备养成!$N$4:$N$219&amp;"_"&amp;装备养成!$K$4:$K$219,装备养成!$P$4:$P$219)*(6-练度预期!F36)</f>
        <v>912</v>
      </c>
      <c r="E36" s="2">
        <f ca="1">练度预期!N36*4*练度预期!M36</f>
        <v>480</v>
      </c>
      <c r="F36" s="103">
        <f ca="1">INT(练度预期!D36/10)*0.02+1+_xlfn.XLOOKUP(练度预期!E36,装备养成!$U$3:$U$11,装备养成!$V$3:$V$11)*练度预期!F36+_xlfn.XLOOKUP(练度预期!E36-1,装备养成!$U$3:$U$11,装备养成!$V$3:$V$11)*(6-练度预期!F36)</f>
        <v>1.41472</v>
      </c>
      <c r="G36" s="48">
        <f ca="1">OFFSET(梦灵养成!$K$20,_xlfn.XLOOKUP(练度预期!H36,梦灵养成!$D$10:$D$28,梦灵养成!$H$10:$H$28),MATCH(OFFSET(梦灵养成!$C$33,B36,MATCH(练度预期!H36,梦灵养成!$D$33:$V$33,0)),梦灵养成!$L$20:$R$20,1))*(1+(OFFSET(梦灵养成!$C$33,B36,MATCH(练度预期!H36,梦灵养成!$D$33:$V$33,0))-1)*_xlfn.XLOOKUP(练度预期!H36,梦灵养成!$D$9:$D$28,梦灵养成!$G$9:$G$28))</f>
        <v>3.645</v>
      </c>
      <c r="H36" s="46">
        <f ca="1">符文养成!AC37</f>
        <v>4.43727150830424</v>
      </c>
      <c r="I36" s="46">
        <f>MAX(_xlfn.XLOOKUP(练度预期!O36,秘宝养成!$B$3:$B$15,秘宝养成!$E$3:$E$15),1)</f>
        <v>2.0368</v>
      </c>
      <c r="J36" s="104">
        <f ca="1" t="shared" si="1"/>
        <v>168896.482304615</v>
      </c>
      <c r="K36" s="104">
        <f ca="1">MATCH(J36,关卡预期!$E$4:$E$303,1)</f>
        <v>86</v>
      </c>
      <c r="L36" s="48">
        <f ca="1" t="shared" si="2"/>
        <v>0.615894039735099</v>
      </c>
      <c r="M36" s="48">
        <f ca="1" t="shared" si="3"/>
        <v>0.251655629139073</v>
      </c>
      <c r="N36" s="48">
        <f ca="1" t="shared" si="4"/>
        <v>0.132450331125828</v>
      </c>
      <c r="O36" s="48">
        <f ca="1" t="shared" si="5"/>
        <v>0.0903066206558184</v>
      </c>
      <c r="P36" s="48">
        <f ca="1" t="shared" si="6"/>
        <v>0.336661843461824</v>
      </c>
      <c r="Q36" s="48">
        <f ca="1" t="shared" si="7"/>
        <v>0.387858685330404</v>
      </c>
      <c r="R36" s="48">
        <f ca="1" t="shared" si="8"/>
        <v>0.185172850551953</v>
      </c>
      <c r="S36" s="46">
        <f ca="1" t="shared" si="9"/>
        <v>0.615894039735099</v>
      </c>
      <c r="T36" s="46">
        <f ca="1" t="shared" si="10"/>
        <v>0.251655629139073</v>
      </c>
      <c r="U36" s="46">
        <f ca="1" t="shared" si="11"/>
        <v>0.132450331125828</v>
      </c>
      <c r="V36" s="48">
        <f ca="1" t="shared" si="12"/>
        <v>0.346931631655741</v>
      </c>
      <c r="W36" s="48">
        <f ca="1" t="shared" si="13"/>
        <v>1.29335636546062</v>
      </c>
      <c r="X36" s="48">
        <f ca="1" t="shared" si="14"/>
        <v>1.49003966238945</v>
      </c>
      <c r="Y36" s="48">
        <f t="shared" si="15"/>
        <v>0.711379948821005</v>
      </c>
      <c r="Z36" s="105">
        <f ca="1" t="shared" si="16"/>
        <v>0.0903066206558184</v>
      </c>
      <c r="AA36" s="105">
        <f ca="1" t="shared" si="17"/>
        <v>0.336661843461824</v>
      </c>
      <c r="AB36" s="105">
        <f ca="1" t="shared" si="18"/>
        <v>0.387858685330404</v>
      </c>
      <c r="AC36" s="105">
        <f ca="1" t="shared" si="19"/>
        <v>0.185172850551953</v>
      </c>
      <c r="AD36" s="105">
        <f ca="1" t="shared" si="20"/>
        <v>0.615894039735099</v>
      </c>
      <c r="AE36" s="105">
        <f ca="1" t="shared" si="21"/>
        <v>0.251655629139073</v>
      </c>
      <c r="AF36" s="105">
        <f ca="1" t="shared" si="22"/>
        <v>0.132450331125828</v>
      </c>
    </row>
    <row r="37" ht="16.5" spans="1:32">
      <c r="A37">
        <f ca="1" t="shared" si="0"/>
        <v>3684</v>
      </c>
      <c r="B37" s="2">
        <v>35</v>
      </c>
      <c r="C37" s="2">
        <f>_xlfn.XLOOKUP(练度预期!D37,装备养成!$B$3:$B$303,装备养成!$D$3:$D$303)*6</f>
        <v>2292</v>
      </c>
      <c r="D37" s="2" cm="1">
        <f ca="1" t="array" ref="D37">_xlfn.XLOOKUP(练度预期!E37&amp;"_"&amp;INT(练度预期!C37/10)*10+10,装备养成!$N$4:$N$219&amp;"_"&amp;装备养成!$K$4:$K$219,装备养成!$P$4:$P$219)*练度预期!F37+_xlfn.XLOOKUP(练度预期!E37-1&amp;"_"&amp;INT(练度预期!C37/10)*10+10,装备养成!$N$4:$N$219&amp;"_"&amp;装备养成!$K$4:$K$219,装备养成!$P$4:$P$219)*(6-练度预期!F37)</f>
        <v>912</v>
      </c>
      <c r="E37" s="2">
        <f ca="1">练度预期!N37*4*练度预期!M37</f>
        <v>480</v>
      </c>
      <c r="F37" s="103">
        <f ca="1">INT(练度预期!D37/10)*0.02+1+_xlfn.XLOOKUP(练度预期!E37,装备养成!$U$3:$U$11,装备养成!$V$3:$V$11)*练度预期!F37+_xlfn.XLOOKUP(练度预期!E37-1,装备养成!$U$3:$U$11,装备养成!$V$3:$V$11)*(6-练度预期!F37)</f>
        <v>1.41472</v>
      </c>
      <c r="G37" s="48">
        <f ca="1">OFFSET(梦灵养成!$K$20,_xlfn.XLOOKUP(练度预期!H37,梦灵养成!$D$10:$D$28,梦灵养成!$H$10:$H$28),MATCH(OFFSET(梦灵养成!$C$33,B37,MATCH(练度预期!H37,梦灵养成!$D$33:$V$33,0)),梦灵养成!$L$20:$R$20,1))*(1+(OFFSET(梦灵养成!$C$33,B37,MATCH(练度预期!H37,梦灵养成!$D$33:$V$33,0))-1)*_xlfn.XLOOKUP(练度预期!H37,梦灵养成!$D$9:$D$28,梦灵养成!$G$9:$G$28))</f>
        <v>3.645</v>
      </c>
      <c r="H37" s="46">
        <f ca="1">符文养成!AC38</f>
        <v>4.49036202621446</v>
      </c>
      <c r="I37" s="46">
        <f>MAX(_xlfn.XLOOKUP(练度预期!O37,秘宝养成!$B$3:$B$15,秘宝养成!$E$3:$E$15),1)</f>
        <v>2.0368</v>
      </c>
      <c r="J37" s="104">
        <f ca="1" t="shared" si="1"/>
        <v>173747.030261839</v>
      </c>
      <c r="K37" s="104">
        <f ca="1">MATCH(J37,关卡预期!$E$4:$E$303,1)</f>
        <v>86</v>
      </c>
      <c r="L37" s="48">
        <f ca="1" t="shared" si="2"/>
        <v>0.622149837133551</v>
      </c>
      <c r="M37" s="48">
        <f ca="1" t="shared" si="3"/>
        <v>0.247557003257329</v>
      </c>
      <c r="N37" s="48">
        <f ca="1" t="shared" si="4"/>
        <v>0.13029315960912</v>
      </c>
      <c r="O37" s="48">
        <f ca="1" t="shared" si="5"/>
        <v>0.0900279003971137</v>
      </c>
      <c r="P37" s="48">
        <f ca="1" t="shared" si="6"/>
        <v>0.335622778159366</v>
      </c>
      <c r="Q37" s="48">
        <f ca="1" t="shared" si="7"/>
        <v>0.389747984081144</v>
      </c>
      <c r="R37" s="48">
        <f ca="1" t="shared" si="8"/>
        <v>0.184601337362377</v>
      </c>
      <c r="S37" s="46">
        <f ca="1" t="shared" si="9"/>
        <v>0.622149837133551</v>
      </c>
      <c r="T37" s="46">
        <f ca="1" t="shared" si="10"/>
        <v>0.247557003257329</v>
      </c>
      <c r="U37" s="46">
        <f ca="1" t="shared" si="11"/>
        <v>0.13029315960912</v>
      </c>
      <c r="V37" s="48">
        <f ca="1" t="shared" si="12"/>
        <v>0.346931631655741</v>
      </c>
      <c r="W37" s="48">
        <f ca="1" t="shared" si="13"/>
        <v>1.29335636546062</v>
      </c>
      <c r="X37" s="48">
        <f ca="1" t="shared" si="14"/>
        <v>1.50193332795021</v>
      </c>
      <c r="Y37" s="48">
        <f t="shared" si="15"/>
        <v>0.711379948821005</v>
      </c>
      <c r="Z37" s="105">
        <f ca="1" t="shared" si="16"/>
        <v>0.0900279003971137</v>
      </c>
      <c r="AA37" s="105">
        <f ca="1" t="shared" si="17"/>
        <v>0.335622778159366</v>
      </c>
      <c r="AB37" s="105">
        <f ca="1" t="shared" si="18"/>
        <v>0.389747984081144</v>
      </c>
      <c r="AC37" s="105">
        <f ca="1" t="shared" si="19"/>
        <v>0.184601337362377</v>
      </c>
      <c r="AD37" s="105">
        <f ca="1" t="shared" si="20"/>
        <v>0.622149837133551</v>
      </c>
      <c r="AE37" s="105">
        <f ca="1" t="shared" si="21"/>
        <v>0.247557003257329</v>
      </c>
      <c r="AF37" s="105">
        <f ca="1" t="shared" si="22"/>
        <v>0.130293159609121</v>
      </c>
    </row>
    <row r="38" ht="16.5" spans="1:32">
      <c r="A38">
        <f ca="1" t="shared" si="0"/>
        <v>3822</v>
      </c>
      <c r="B38" s="2">
        <v>36</v>
      </c>
      <c r="C38" s="2">
        <f>_xlfn.XLOOKUP(练度预期!D38,装备养成!$B$3:$B$303,装备养成!$D$3:$D$303)*6</f>
        <v>2352</v>
      </c>
      <c r="D38" s="2" cm="1">
        <f ca="1" t="array" ref="D38">_xlfn.XLOOKUP(练度预期!E38&amp;"_"&amp;INT(练度预期!C38/10)*10+10,装备养成!$N$4:$N$219&amp;"_"&amp;装备养成!$K$4:$K$219,装备养成!$P$4:$P$219)*练度预期!F38+_xlfn.XLOOKUP(练度预期!E38-1&amp;"_"&amp;INT(练度预期!C38/10)*10+10,装备养成!$N$4:$N$219&amp;"_"&amp;装备养成!$K$4:$K$219,装备养成!$P$4:$P$219)*(6-练度预期!F38)</f>
        <v>990</v>
      </c>
      <c r="E38" s="2">
        <f ca="1">练度预期!N38*4*练度预期!M38</f>
        <v>480</v>
      </c>
      <c r="F38" s="103">
        <f ca="1">INT(练度预期!D38/10)*0.02+1+_xlfn.XLOOKUP(练度预期!E38,装备养成!$U$3:$U$11,装备养成!$V$3:$V$11)*练度预期!F38+_xlfn.XLOOKUP(练度预期!E38-1,装备养成!$U$3:$U$11,装备养成!$V$3:$V$11)*(6-练度预期!F38)</f>
        <v>1.42</v>
      </c>
      <c r="G38" s="48">
        <f ca="1">OFFSET(梦灵养成!$K$20,_xlfn.XLOOKUP(练度预期!H38,梦灵养成!$D$10:$D$28,梦灵养成!$H$10:$H$28),MATCH(OFFSET(梦灵养成!$C$33,B38,MATCH(练度预期!H38,梦灵养成!$D$33:$V$33,0)),梦灵养成!$L$20:$R$20,1))*(1+(OFFSET(梦灵养成!$C$33,B38,MATCH(练度预期!H38,梦灵养成!$D$33:$V$33,0))-1)*_xlfn.XLOOKUP(练度预期!H38,梦灵养成!$D$9:$D$28,梦灵养成!$G$9:$G$28))</f>
        <v>3.645</v>
      </c>
      <c r="H38" s="46">
        <f ca="1">符文养成!AC39</f>
        <v>4.55335564020299</v>
      </c>
      <c r="I38" s="46">
        <f>MAX(_xlfn.XLOOKUP(练度预期!O38,秘宝养成!$B$3:$B$15,秘宝养成!$E$3:$E$15),1)</f>
        <v>2.0368</v>
      </c>
      <c r="J38" s="104">
        <f ca="1" t="shared" si="1"/>
        <v>183466.39114472</v>
      </c>
      <c r="K38" s="104">
        <f ca="1">MATCH(J38,关卡预期!$E$4:$E$303,1)</f>
        <v>87</v>
      </c>
      <c r="L38" s="48">
        <f ca="1" t="shared" si="2"/>
        <v>0.615384615384615</v>
      </c>
      <c r="M38" s="48">
        <f ca="1" t="shared" si="3"/>
        <v>0.259026687598116</v>
      </c>
      <c r="N38" s="48">
        <f ca="1" t="shared" si="4"/>
        <v>0.125588697017268</v>
      </c>
      <c r="O38" s="48">
        <f ca="1" t="shared" si="5"/>
        <v>0.0905795747227052</v>
      </c>
      <c r="P38" s="48">
        <f ca="1" t="shared" si="6"/>
        <v>0.334092039917483</v>
      </c>
      <c r="Q38" s="48">
        <f ca="1" t="shared" si="7"/>
        <v>0.391568994209051</v>
      </c>
      <c r="R38" s="48">
        <f ca="1" t="shared" si="8"/>
        <v>0.183759391150761</v>
      </c>
      <c r="S38" s="46">
        <f ca="1" t="shared" si="9"/>
        <v>0.615384615384615</v>
      </c>
      <c r="T38" s="46">
        <f ca="1" t="shared" si="10"/>
        <v>0.259026687598116</v>
      </c>
      <c r="U38" s="46">
        <f ca="1" t="shared" si="11"/>
        <v>0.125588697017268</v>
      </c>
      <c r="V38" s="48">
        <f ca="1" t="shared" si="12"/>
        <v>0.350656871613169</v>
      </c>
      <c r="W38" s="48">
        <f ca="1" t="shared" si="13"/>
        <v>1.29335636546062</v>
      </c>
      <c r="X38" s="48">
        <f ca="1" t="shared" si="14"/>
        <v>1.51586446448222</v>
      </c>
      <c r="Y38" s="48">
        <f t="shared" si="15"/>
        <v>0.711379948821005</v>
      </c>
      <c r="Z38" s="105">
        <f ca="1" t="shared" si="16"/>
        <v>0.0905795747227052</v>
      </c>
      <c r="AA38" s="105">
        <f ca="1" t="shared" si="17"/>
        <v>0.334092039917483</v>
      </c>
      <c r="AB38" s="105">
        <f ca="1" t="shared" si="18"/>
        <v>0.391568994209051</v>
      </c>
      <c r="AC38" s="105">
        <f ca="1" t="shared" si="19"/>
        <v>0.183759391150761</v>
      </c>
      <c r="AD38" s="105">
        <f ca="1" t="shared" si="20"/>
        <v>0.615384615384615</v>
      </c>
      <c r="AE38" s="105">
        <f ca="1" t="shared" si="21"/>
        <v>0.259026687598116</v>
      </c>
      <c r="AF38" s="105">
        <f ca="1" t="shared" si="22"/>
        <v>0.125588697017268</v>
      </c>
    </row>
    <row r="39" ht="16.5" spans="1:32">
      <c r="A39">
        <f ca="1" t="shared" si="0"/>
        <v>3882</v>
      </c>
      <c r="B39" s="2">
        <v>37</v>
      </c>
      <c r="C39" s="2">
        <f>_xlfn.XLOOKUP(练度预期!D39,装备养成!$B$3:$B$303,装备养成!$D$3:$D$303)*6</f>
        <v>2412</v>
      </c>
      <c r="D39" s="2" cm="1">
        <f ca="1" t="array" ref="D39">_xlfn.XLOOKUP(练度预期!E39&amp;"_"&amp;INT(练度预期!C39/10)*10+10,装备养成!$N$4:$N$219&amp;"_"&amp;装备养成!$K$4:$K$219,装备养成!$P$4:$P$219)*练度预期!F39+_xlfn.XLOOKUP(练度预期!E39-1&amp;"_"&amp;INT(练度预期!C39/10)*10+10,装备养成!$N$4:$N$219&amp;"_"&amp;装备养成!$K$4:$K$219,装备养成!$P$4:$P$219)*(6-练度预期!F39)</f>
        <v>990</v>
      </c>
      <c r="E39" s="2">
        <f ca="1">练度预期!N39*4*练度预期!M39</f>
        <v>480</v>
      </c>
      <c r="F39" s="103">
        <f ca="1">INT(练度预期!D39/10)*0.02+1+_xlfn.XLOOKUP(练度预期!E39,装备养成!$U$3:$U$11,装备养成!$V$3:$V$11)*练度预期!F39+_xlfn.XLOOKUP(练度预期!E39-1,装备养成!$U$3:$U$11,装备养成!$V$3:$V$11)*(6-练度预期!F39)</f>
        <v>1.42</v>
      </c>
      <c r="G39" s="48">
        <f ca="1">OFFSET(梦灵养成!$K$20,_xlfn.XLOOKUP(练度预期!H39,梦灵养成!$D$10:$D$28,梦灵养成!$H$10:$H$28),MATCH(OFFSET(梦灵养成!$C$33,B39,MATCH(练度预期!H39,梦灵养成!$D$33:$V$33,0)),梦灵养成!$L$20:$R$20,1))*(1+(OFFSET(梦灵养成!$C$33,B39,MATCH(练度预期!H39,梦灵养成!$D$33:$V$33,0))-1)*_xlfn.XLOOKUP(练度预期!H39,梦灵养成!$D$9:$D$28,梦灵养成!$G$9:$G$28))</f>
        <v>3.645</v>
      </c>
      <c r="H39" s="46">
        <f ca="1">符文养成!AC40</f>
        <v>4.60736373204397</v>
      </c>
      <c r="I39" s="46">
        <f>MAX(_xlfn.XLOOKUP(练度预期!O39,秘宝养成!$B$3:$B$15,秘宝养成!$E$3:$E$15),1)</f>
        <v>2.0368</v>
      </c>
      <c r="J39" s="104">
        <f ca="1" t="shared" si="1"/>
        <v>188556.841060046</v>
      </c>
      <c r="K39" s="104">
        <f ca="1">MATCH(J39,关卡预期!$E$4:$E$303,1)</f>
        <v>88</v>
      </c>
      <c r="L39" s="48">
        <f ca="1" t="shared" si="2"/>
        <v>0.621329211746522</v>
      </c>
      <c r="M39" s="48">
        <f ca="1" t="shared" si="3"/>
        <v>0.255023183925812</v>
      </c>
      <c r="N39" s="48">
        <f ca="1" t="shared" si="4"/>
        <v>0.123647604327666</v>
      </c>
      <c r="O39" s="48">
        <f ca="1" t="shared" si="5"/>
        <v>0.0903045183662235</v>
      </c>
      <c r="P39" s="48">
        <f ca="1" t="shared" si="6"/>
        <v>0.333077527103634</v>
      </c>
      <c r="Q39" s="48">
        <f ca="1" t="shared" si="7"/>
        <v>0.393416572055775</v>
      </c>
      <c r="R39" s="48">
        <f ca="1" t="shared" si="8"/>
        <v>0.183201382474368</v>
      </c>
      <c r="S39" s="46">
        <f ca="1" t="shared" si="9"/>
        <v>0.621329211746522</v>
      </c>
      <c r="T39" s="46">
        <f ca="1" t="shared" si="10"/>
        <v>0.255023183925811</v>
      </c>
      <c r="U39" s="46">
        <f ca="1" t="shared" si="11"/>
        <v>0.123647604327666</v>
      </c>
      <c r="V39" s="48">
        <f ca="1" t="shared" si="12"/>
        <v>0.350656871613169</v>
      </c>
      <c r="W39" s="48">
        <f ca="1" t="shared" si="13"/>
        <v>1.29335636546062</v>
      </c>
      <c r="X39" s="48">
        <f ca="1" t="shared" si="14"/>
        <v>1.5276558348763</v>
      </c>
      <c r="Y39" s="48">
        <f t="shared" si="15"/>
        <v>0.711379948821005</v>
      </c>
      <c r="Z39" s="105">
        <f ca="1" t="shared" si="16"/>
        <v>0.0903045183662235</v>
      </c>
      <c r="AA39" s="105">
        <f ca="1" t="shared" si="17"/>
        <v>0.333077527103634</v>
      </c>
      <c r="AB39" s="105">
        <f ca="1" t="shared" si="18"/>
        <v>0.393416572055775</v>
      </c>
      <c r="AC39" s="105">
        <f ca="1" t="shared" si="19"/>
        <v>0.183201382474368</v>
      </c>
      <c r="AD39" s="105">
        <f ca="1" t="shared" si="20"/>
        <v>0.621329211746522</v>
      </c>
      <c r="AE39" s="105">
        <f ca="1" t="shared" si="21"/>
        <v>0.255023183925811</v>
      </c>
      <c r="AF39" s="105">
        <f ca="1" t="shared" si="22"/>
        <v>0.123647604327666</v>
      </c>
    </row>
    <row r="40" ht="16.5" spans="1:32">
      <c r="A40">
        <f ca="1" t="shared" si="0"/>
        <v>3942</v>
      </c>
      <c r="B40" s="2">
        <v>38</v>
      </c>
      <c r="C40" s="2">
        <f>_xlfn.XLOOKUP(练度预期!D40,装备养成!$B$3:$B$303,装备养成!$D$3:$D$303)*6</f>
        <v>2472</v>
      </c>
      <c r="D40" s="2" cm="1">
        <f ca="1" t="array" ref="D40">_xlfn.XLOOKUP(练度预期!E40&amp;"_"&amp;INT(练度预期!C40/10)*10+10,装备养成!$N$4:$N$219&amp;"_"&amp;装备养成!$K$4:$K$219,装备养成!$P$4:$P$219)*练度预期!F40+_xlfn.XLOOKUP(练度预期!E40-1&amp;"_"&amp;INT(练度预期!C40/10)*10+10,装备养成!$N$4:$N$219&amp;"_"&amp;装备养成!$K$4:$K$219,装备养成!$P$4:$P$219)*(6-练度预期!F40)</f>
        <v>990</v>
      </c>
      <c r="E40" s="2">
        <f ca="1">练度预期!N40*4*练度预期!M40</f>
        <v>480</v>
      </c>
      <c r="F40" s="103">
        <f ca="1">INT(练度预期!D40/10)*0.02+1+_xlfn.XLOOKUP(练度预期!E40,装备养成!$U$3:$U$11,装备养成!$V$3:$V$11)*练度预期!F40+_xlfn.XLOOKUP(练度预期!E40-1,装备养成!$U$3:$U$11,装备养成!$V$3:$V$11)*(6-练度预期!F40)</f>
        <v>1.42</v>
      </c>
      <c r="G40" s="48">
        <f ca="1">OFFSET(梦灵养成!$K$20,_xlfn.XLOOKUP(练度预期!H40,梦灵养成!$D$10:$D$28,梦灵养成!$H$10:$H$28),MATCH(OFFSET(梦灵养成!$C$33,B40,MATCH(练度预期!H40,梦灵养成!$D$33:$V$33,0)),梦灵养成!$L$20:$R$20,1))*(1+(OFFSET(梦灵养成!$C$33,B40,MATCH(练度预期!H40,梦灵养成!$D$33:$V$33,0))-1)*_xlfn.XLOOKUP(练度预期!H40,梦灵养成!$D$9:$D$28,梦灵养成!$G$9:$G$28))</f>
        <v>3.645</v>
      </c>
      <c r="H40" s="46">
        <f ca="1">符文养成!AC41</f>
        <v>4.67286655778281</v>
      </c>
      <c r="I40" s="46">
        <f>MAX(_xlfn.XLOOKUP(练度预期!O40,秘宝养成!$B$3:$B$15,秘宝养成!$E$3:$E$15),1)</f>
        <v>2.0368</v>
      </c>
      <c r="J40" s="104">
        <f ca="1" t="shared" si="1"/>
        <v>194193.309162526</v>
      </c>
      <c r="K40" s="104">
        <f ca="1">MATCH(J40,关卡预期!$E$4:$E$303,1)</f>
        <v>88</v>
      </c>
      <c r="L40" s="48">
        <f ca="1" t="shared" si="2"/>
        <v>0.627092846270929</v>
      </c>
      <c r="M40" s="48">
        <f ca="1" t="shared" si="3"/>
        <v>0.251141552511416</v>
      </c>
      <c r="N40" s="48">
        <f ca="1" t="shared" si="4"/>
        <v>0.121765601217656</v>
      </c>
      <c r="O40" s="48">
        <f ca="1" t="shared" si="5"/>
        <v>0.089977404406904</v>
      </c>
      <c r="P40" s="48">
        <f ca="1" t="shared" si="6"/>
        <v>0.331871005983512</v>
      </c>
      <c r="Q40" s="48">
        <f ca="1" t="shared" si="7"/>
        <v>0.395613825419862</v>
      </c>
      <c r="R40" s="48">
        <f ca="1" t="shared" si="8"/>
        <v>0.182537764189722</v>
      </c>
      <c r="S40" s="46">
        <f ca="1" t="shared" si="9"/>
        <v>0.627092846270928</v>
      </c>
      <c r="T40" s="46">
        <f ca="1" t="shared" si="10"/>
        <v>0.251141552511415</v>
      </c>
      <c r="U40" s="46">
        <f ca="1" t="shared" si="11"/>
        <v>0.121765601217656</v>
      </c>
      <c r="V40" s="48">
        <f ca="1" t="shared" si="12"/>
        <v>0.350656871613169</v>
      </c>
      <c r="W40" s="48">
        <f ca="1" t="shared" si="13"/>
        <v>1.29335636546062</v>
      </c>
      <c r="X40" s="48">
        <f ca="1" t="shared" si="14"/>
        <v>1.54177270730431</v>
      </c>
      <c r="Y40" s="48">
        <f t="shared" si="15"/>
        <v>0.711379948821005</v>
      </c>
      <c r="Z40" s="105">
        <f ca="1" t="shared" si="16"/>
        <v>0.089977404406904</v>
      </c>
      <c r="AA40" s="105">
        <f ca="1" t="shared" si="17"/>
        <v>0.331871005983512</v>
      </c>
      <c r="AB40" s="105">
        <f ca="1" t="shared" si="18"/>
        <v>0.395613825419862</v>
      </c>
      <c r="AC40" s="105">
        <f ca="1" t="shared" si="19"/>
        <v>0.182537764189722</v>
      </c>
      <c r="AD40" s="105">
        <f ca="1" t="shared" si="20"/>
        <v>0.627092846270928</v>
      </c>
      <c r="AE40" s="105">
        <f ca="1" t="shared" si="21"/>
        <v>0.251141552511416</v>
      </c>
      <c r="AF40" s="105">
        <f ca="1" t="shared" si="22"/>
        <v>0.121765601217656</v>
      </c>
    </row>
    <row r="41" ht="16.5" spans="1:32">
      <c r="A41">
        <f ca="1" t="shared" si="0"/>
        <v>4020</v>
      </c>
      <c r="B41" s="2">
        <v>39</v>
      </c>
      <c r="C41" s="2">
        <f>_xlfn.XLOOKUP(练度预期!D41,装备养成!$B$3:$B$303,装备养成!$D$3:$D$303)*6</f>
        <v>2472</v>
      </c>
      <c r="D41" s="2" cm="1">
        <f ca="1" t="array" ref="D41">_xlfn.XLOOKUP(练度预期!E41&amp;"_"&amp;INT(练度预期!C41/10)*10+10,装备养成!$N$4:$N$219&amp;"_"&amp;装备养成!$K$4:$K$219,装备养成!$P$4:$P$219)*练度预期!F41+_xlfn.XLOOKUP(练度预期!E41-1&amp;"_"&amp;INT(练度预期!C41/10)*10+10,装备养成!$N$4:$N$219&amp;"_"&amp;装备养成!$K$4:$K$219,装备养成!$P$4:$P$219)*(6-练度预期!F41)</f>
        <v>1068</v>
      </c>
      <c r="E41" s="2">
        <f ca="1">练度预期!N41*4*练度预期!M41</f>
        <v>480</v>
      </c>
      <c r="F41" s="103">
        <f ca="1">INT(练度预期!D41/10)*0.02+1+_xlfn.XLOOKUP(练度预期!E41,装备养成!$U$3:$U$11,装备养成!$V$3:$V$11)*练度预期!F41+_xlfn.XLOOKUP(练度预期!E41-1,装备养成!$U$3:$U$11,装备养成!$V$3:$V$11)*(6-练度预期!F41)</f>
        <v>1.42528</v>
      </c>
      <c r="G41" s="48">
        <f ca="1">OFFSET(梦灵养成!$K$20,_xlfn.XLOOKUP(练度预期!H41,梦灵养成!$D$10:$D$28,梦灵养成!$H$10:$H$28),MATCH(OFFSET(梦灵养成!$C$33,B41,MATCH(练度预期!H41,梦灵养成!$D$33:$V$33,0)),梦灵养成!$L$20:$R$20,1))*(1+(OFFSET(梦灵养成!$C$33,B41,MATCH(练度预期!H41,梦灵养成!$D$33:$V$33,0))-1)*_xlfn.XLOOKUP(练度预期!H41,梦灵养成!$D$9:$D$28,梦灵养成!$G$9:$G$28))</f>
        <v>6.9255</v>
      </c>
      <c r="H41" s="46">
        <f ca="1">符文养成!AC42</f>
        <v>4.72782416589279</v>
      </c>
      <c r="I41" s="46">
        <f>MAX(_xlfn.XLOOKUP(练度预期!O41,秘宝养成!$B$3:$B$15,秘宝养成!$E$3:$E$15),1)</f>
        <v>2.0368</v>
      </c>
      <c r="J41" s="104">
        <f ca="1" t="shared" si="1"/>
        <v>382108.835681739</v>
      </c>
      <c r="K41" s="104">
        <f ca="1">MATCH(J41,关卡预期!$E$4:$E$303,1)</f>
        <v>98</v>
      </c>
      <c r="L41" s="48">
        <f ca="1" t="shared" si="2"/>
        <v>0.614925373134328</v>
      </c>
      <c r="M41" s="48">
        <f ca="1" t="shared" si="3"/>
        <v>0.265671641791045</v>
      </c>
      <c r="N41" s="48">
        <f ca="1" t="shared" si="4"/>
        <v>0.119402985074627</v>
      </c>
      <c r="O41" s="48">
        <f ca="1" t="shared" si="5"/>
        <v>0.0778074941357181</v>
      </c>
      <c r="P41" s="48">
        <f ca="1" t="shared" si="6"/>
        <v>0.424907832907458</v>
      </c>
      <c r="Q41" s="48">
        <f ca="1" t="shared" si="7"/>
        <v>0.341089286862583</v>
      </c>
      <c r="R41" s="48">
        <f ca="1" t="shared" si="8"/>
        <v>0.156195386094241</v>
      </c>
      <c r="S41" s="46">
        <f ca="1" t="shared" si="9"/>
        <v>0.614925373134328</v>
      </c>
      <c r="T41" s="46">
        <f ca="1" t="shared" si="10"/>
        <v>0.265671641791045</v>
      </c>
      <c r="U41" s="46">
        <f ca="1" t="shared" si="11"/>
        <v>0.119402985074627</v>
      </c>
      <c r="V41" s="48">
        <f ca="1" t="shared" si="12"/>
        <v>0.354368285646811</v>
      </c>
      <c r="W41" s="48">
        <f ca="1" t="shared" si="13"/>
        <v>1.93521025163302</v>
      </c>
      <c r="X41" s="48">
        <f ca="1" t="shared" si="14"/>
        <v>1.55346508945724</v>
      </c>
      <c r="Y41" s="48">
        <f t="shared" si="15"/>
        <v>0.711379948821005</v>
      </c>
      <c r="Z41" s="105">
        <f ca="1" t="shared" si="16"/>
        <v>0.0778074941357181</v>
      </c>
      <c r="AA41" s="105">
        <f ca="1" t="shared" si="17"/>
        <v>0.424907832907458</v>
      </c>
      <c r="AB41" s="105">
        <f ca="1" t="shared" si="18"/>
        <v>0.341089286862583</v>
      </c>
      <c r="AC41" s="105">
        <f ca="1" t="shared" si="19"/>
        <v>0.156195386094241</v>
      </c>
      <c r="AD41" s="105">
        <f ca="1" t="shared" si="20"/>
        <v>0.614925373134328</v>
      </c>
      <c r="AE41" s="105">
        <f ca="1" t="shared" si="21"/>
        <v>0.265671641791045</v>
      </c>
      <c r="AF41" s="105">
        <f ca="1" t="shared" si="22"/>
        <v>0.119402985074627</v>
      </c>
    </row>
    <row r="42" ht="16.5" spans="1:32">
      <c r="A42">
        <f ca="1" t="shared" si="0"/>
        <v>4242</v>
      </c>
      <c r="B42" s="2">
        <v>40</v>
      </c>
      <c r="C42" s="2">
        <f>_xlfn.XLOOKUP(练度预期!D42,装备养成!$B$3:$B$303,装备养成!$D$3:$D$303)*6</f>
        <v>2532</v>
      </c>
      <c r="D42" s="2" cm="1">
        <f ca="1" t="array" ref="D42">_xlfn.XLOOKUP(练度预期!E42&amp;"_"&amp;INT(练度预期!C42/10)*10+10,装备养成!$N$4:$N$219&amp;"_"&amp;装备养成!$K$4:$K$219,装备养成!$P$4:$P$219)*练度预期!F42+_xlfn.XLOOKUP(练度预期!E42-1&amp;"_"&amp;INT(练度预期!C42/10)*10+10,装备养成!$N$4:$N$219&amp;"_"&amp;装备养成!$K$4:$K$219,装备养成!$P$4:$P$219)*(6-练度预期!F42)</f>
        <v>1230</v>
      </c>
      <c r="E42" s="2">
        <f ca="1">练度预期!N42*4*练度预期!M42</f>
        <v>480</v>
      </c>
      <c r="F42" s="103">
        <f ca="1">INT(练度预期!D42/10)*0.02+1+_xlfn.XLOOKUP(练度预期!E42,装备养成!$U$3:$U$11,装备养成!$V$3:$V$11)*练度预期!F42+_xlfn.XLOOKUP(练度预期!E42-1,装备养成!$U$3:$U$11,装备养成!$V$3:$V$11)*(6-练度预期!F42)</f>
        <v>1.42528</v>
      </c>
      <c r="G42" s="48">
        <f ca="1">OFFSET(梦灵养成!$K$20,_xlfn.XLOOKUP(练度预期!H42,梦灵养成!$D$10:$D$28,梦灵养成!$H$10:$H$28),MATCH(OFFSET(梦灵养成!$C$33,B42,MATCH(练度预期!H42,梦灵养成!$D$33:$V$33,0)),梦灵养成!$L$20:$R$20,1))*(1+(OFFSET(梦灵养成!$C$33,B42,MATCH(练度预期!H42,梦灵养成!$D$33:$V$33,0))-1)*_xlfn.XLOOKUP(练度预期!H42,梦灵养成!$D$9:$D$28,梦灵养成!$G$9:$G$28))</f>
        <v>6.9255</v>
      </c>
      <c r="H42" s="46">
        <f ca="1">符文养成!AC43</f>
        <v>4.78530173157596</v>
      </c>
      <c r="I42" s="46">
        <f>MAX(_xlfn.XLOOKUP(练度预期!O42,秘宝养成!$B$3:$B$15,秘宝养成!$E$3:$E$15),1)</f>
        <v>2.0368</v>
      </c>
      <c r="J42" s="104">
        <f ca="1" t="shared" si="1"/>
        <v>408112.316867927</v>
      </c>
      <c r="K42" s="104">
        <f ca="1">MATCH(J42,关卡预期!$E$4:$E$303,1)</f>
        <v>99</v>
      </c>
      <c r="L42" s="48">
        <f ca="1" t="shared" si="2"/>
        <v>0.596888260254597</v>
      </c>
      <c r="M42" s="48">
        <f ca="1" t="shared" si="3"/>
        <v>0.28995756718529</v>
      </c>
      <c r="N42" s="48">
        <f ca="1" t="shared" si="4"/>
        <v>0.113154172560113</v>
      </c>
      <c r="O42" s="48">
        <f ca="1" t="shared" si="5"/>
        <v>0.0776015982589766</v>
      </c>
      <c r="P42" s="48">
        <f ca="1" t="shared" si="6"/>
        <v>0.423783432594061</v>
      </c>
      <c r="Q42" s="48">
        <f ca="1" t="shared" si="7"/>
        <v>0.342832910667498</v>
      </c>
      <c r="R42" s="48">
        <f ca="1" t="shared" si="8"/>
        <v>0.155782058479464</v>
      </c>
      <c r="S42" s="46">
        <f ca="1" t="shared" si="9"/>
        <v>0.596888260254597</v>
      </c>
      <c r="T42" s="46">
        <f ca="1" t="shared" si="10"/>
        <v>0.28995756718529</v>
      </c>
      <c r="U42" s="46">
        <f ca="1" t="shared" si="11"/>
        <v>0.113154172560113</v>
      </c>
      <c r="V42" s="48">
        <f ca="1" t="shared" si="12"/>
        <v>0.354368285646811</v>
      </c>
      <c r="W42" s="48">
        <f ca="1" t="shared" si="13"/>
        <v>1.93521025163302</v>
      </c>
      <c r="X42" s="48">
        <f ca="1" t="shared" si="14"/>
        <v>1.56554908071748</v>
      </c>
      <c r="Y42" s="48">
        <f t="shared" si="15"/>
        <v>0.711379948821005</v>
      </c>
      <c r="Z42" s="105">
        <f ca="1" t="shared" si="16"/>
        <v>0.0776015982589766</v>
      </c>
      <c r="AA42" s="105">
        <f ca="1" t="shared" si="17"/>
        <v>0.423783432594061</v>
      </c>
      <c r="AB42" s="105">
        <f ca="1" t="shared" si="18"/>
        <v>0.342832910667498</v>
      </c>
      <c r="AC42" s="105">
        <f ca="1" t="shared" si="19"/>
        <v>0.155782058479464</v>
      </c>
      <c r="AD42" s="105">
        <f ca="1" t="shared" si="20"/>
        <v>0.596888260254597</v>
      </c>
      <c r="AE42" s="105">
        <f ca="1" t="shared" si="21"/>
        <v>0.28995756718529</v>
      </c>
      <c r="AF42" s="105">
        <f ca="1" t="shared" si="22"/>
        <v>0.113154172560113</v>
      </c>
    </row>
    <row r="43" ht="16.5" spans="1:32">
      <c r="A43">
        <f ca="1" t="shared" si="0"/>
        <v>4302</v>
      </c>
      <c r="B43" s="2">
        <v>41</v>
      </c>
      <c r="C43" s="2">
        <f>_xlfn.XLOOKUP(练度预期!D43,装备养成!$B$3:$B$303,装备养成!$D$3:$D$303)*6</f>
        <v>2592</v>
      </c>
      <c r="D43" s="2" cm="1">
        <f ca="1" t="array" ref="D43">_xlfn.XLOOKUP(练度预期!E43&amp;"_"&amp;INT(练度预期!C43/10)*10+10,装备养成!$N$4:$N$219&amp;"_"&amp;装备养成!$K$4:$K$219,装备养成!$P$4:$P$219)*练度预期!F43+_xlfn.XLOOKUP(练度预期!E43-1&amp;"_"&amp;INT(练度预期!C43/10)*10+10,装备养成!$N$4:$N$219&amp;"_"&amp;装备养成!$K$4:$K$219,装备养成!$P$4:$P$219)*(6-练度预期!F43)</f>
        <v>1230</v>
      </c>
      <c r="E43" s="2">
        <f ca="1">练度预期!N43*4*练度预期!M43</f>
        <v>480</v>
      </c>
      <c r="F43" s="103">
        <f ca="1">INT(练度预期!D43/10)*0.02+1+_xlfn.XLOOKUP(练度预期!E43,装备养成!$U$3:$U$11,装备养成!$V$3:$V$11)*练度预期!F43+_xlfn.XLOOKUP(练度预期!E43-1,装备养成!$U$3:$U$11,装备养成!$V$3:$V$11)*(6-练度预期!F43)</f>
        <v>1.42528</v>
      </c>
      <c r="G43" s="48">
        <f ca="1">OFFSET(梦灵养成!$K$20,_xlfn.XLOOKUP(练度预期!H43,梦灵养成!$D$10:$D$28,梦灵养成!$H$10:$H$28),MATCH(OFFSET(梦灵养成!$C$33,B43,MATCH(练度预期!H43,梦灵养成!$D$33:$V$33,0)),梦灵养成!$L$20:$R$20,1))*(1+(OFFSET(梦灵养成!$C$33,B43,MATCH(练度预期!H43,梦灵养成!$D$33:$V$33,0))-1)*_xlfn.XLOOKUP(练度预期!H43,梦灵养成!$D$9:$D$28,梦灵养成!$G$9:$G$28))</f>
        <v>6.9255</v>
      </c>
      <c r="H43" s="46">
        <f ca="1">符文养成!AC44</f>
        <v>4.84117704019814</v>
      </c>
      <c r="I43" s="46">
        <f>MAX(_xlfn.XLOOKUP(练度预期!O43,秘宝养成!$B$3:$B$15,秘宝养成!$E$3:$E$15),1)</f>
        <v>2.24416</v>
      </c>
      <c r="J43" s="104">
        <f ca="1" t="shared" si="1"/>
        <v>461345.737954622</v>
      </c>
      <c r="K43" s="104">
        <f ca="1">MATCH(J43,关卡预期!$E$4:$E$303,1)</f>
        <v>101</v>
      </c>
      <c r="L43" s="48">
        <f ca="1" t="shared" si="2"/>
        <v>0.602510460251046</v>
      </c>
      <c r="M43" s="48">
        <f ca="1" t="shared" si="3"/>
        <v>0.285913528591353</v>
      </c>
      <c r="N43" s="48">
        <f ca="1" t="shared" si="4"/>
        <v>0.111576011157601</v>
      </c>
      <c r="O43" s="48">
        <f ca="1" t="shared" si="5"/>
        <v>0.0757996050566144</v>
      </c>
      <c r="P43" s="48">
        <f ca="1" t="shared" si="6"/>
        <v>0.413942722068232</v>
      </c>
      <c r="Q43" s="48">
        <f ca="1" t="shared" si="7"/>
        <v>0.337355088916085</v>
      </c>
      <c r="R43" s="48">
        <f ca="1" t="shared" si="8"/>
        <v>0.172902583959068</v>
      </c>
      <c r="S43" s="46">
        <f ca="1" t="shared" si="9"/>
        <v>0.602510460251046</v>
      </c>
      <c r="T43" s="46">
        <f ca="1" t="shared" si="10"/>
        <v>0.285913528591353</v>
      </c>
      <c r="U43" s="46">
        <f ca="1" t="shared" si="11"/>
        <v>0.111576011157601</v>
      </c>
      <c r="V43" s="48">
        <f ca="1" t="shared" si="12"/>
        <v>0.354368285646811</v>
      </c>
      <c r="W43" s="48">
        <f ca="1" t="shared" si="13"/>
        <v>1.93521025163302</v>
      </c>
      <c r="X43" s="48">
        <f ca="1" t="shared" si="14"/>
        <v>1.5771578812862</v>
      </c>
      <c r="Y43" s="48">
        <f t="shared" si="15"/>
        <v>0.808331286366409</v>
      </c>
      <c r="Z43" s="105">
        <f ca="1" t="shared" si="16"/>
        <v>0.0757996050566144</v>
      </c>
      <c r="AA43" s="105">
        <f ca="1" t="shared" si="17"/>
        <v>0.413942722068232</v>
      </c>
      <c r="AB43" s="105">
        <f ca="1" t="shared" si="18"/>
        <v>0.337355088916085</v>
      </c>
      <c r="AC43" s="105">
        <f ca="1" t="shared" si="19"/>
        <v>0.172902583959068</v>
      </c>
      <c r="AD43" s="105">
        <f ca="1" t="shared" si="20"/>
        <v>0.602510460251046</v>
      </c>
      <c r="AE43" s="105">
        <f ca="1" t="shared" si="21"/>
        <v>0.285913528591353</v>
      </c>
      <c r="AF43" s="105">
        <f ca="1" t="shared" si="22"/>
        <v>0.111576011157601</v>
      </c>
    </row>
    <row r="44" ht="16.5" spans="1:32">
      <c r="A44">
        <f ca="1" t="shared" si="0"/>
        <v>4452</v>
      </c>
      <c r="B44" s="2">
        <v>42</v>
      </c>
      <c r="C44" s="2">
        <f>_xlfn.XLOOKUP(练度预期!D44,装备养成!$B$3:$B$303,装备养成!$D$3:$D$303)*6</f>
        <v>2652</v>
      </c>
      <c r="D44" s="2" cm="1">
        <f ca="1" t="array" ref="D44">_xlfn.XLOOKUP(练度预期!E44&amp;"_"&amp;INT(练度预期!C44/10)*10+10,装备养成!$N$4:$N$219&amp;"_"&amp;装备养成!$K$4:$K$219,装备养成!$P$4:$P$219)*练度预期!F44+_xlfn.XLOOKUP(练度预期!E44-1&amp;"_"&amp;INT(练度预期!C44/10)*10+10,装备养成!$N$4:$N$219&amp;"_"&amp;装备养成!$K$4:$K$219,装备养成!$P$4:$P$219)*(6-练度预期!F44)</f>
        <v>1320</v>
      </c>
      <c r="E44" s="2">
        <f ca="1">练度预期!N44*4*练度预期!M44</f>
        <v>480</v>
      </c>
      <c r="F44" s="103">
        <f ca="1">INT(练度预期!D44/10)*0.02+1+_xlfn.XLOOKUP(练度预期!E44,装备养成!$U$3:$U$11,装备养成!$V$3:$V$11)*练度预期!F44+_xlfn.XLOOKUP(练度预期!E44-1,装备养成!$U$3:$U$11,装备养成!$V$3:$V$11)*(6-练度预期!F44)</f>
        <v>1.43056</v>
      </c>
      <c r="G44" s="48">
        <f ca="1">OFFSET(梦灵养成!$K$20,_xlfn.XLOOKUP(练度预期!H44,梦灵养成!$D$10:$D$28,梦灵养成!$H$10:$H$28),MATCH(OFFSET(梦灵养成!$C$33,B44,MATCH(练度预期!H44,梦灵养成!$D$33:$V$33,0)),梦灵养成!$L$20:$R$20,1))*(1+(OFFSET(梦灵养成!$C$33,B44,MATCH(练度预期!H44,梦灵养成!$D$33:$V$33,0))-1)*_xlfn.XLOOKUP(练度预期!H44,梦灵养成!$D$9:$D$28,梦灵养成!$G$9:$G$28))</f>
        <v>6.9255</v>
      </c>
      <c r="H44" s="46">
        <f ca="1">符文养成!AC45</f>
        <v>4.90617911072064</v>
      </c>
      <c r="I44" s="46">
        <f>MAX(_xlfn.XLOOKUP(练度预期!O44,秘宝养成!$B$3:$B$15,秘宝养成!$E$3:$E$15),1)</f>
        <v>2.24416</v>
      </c>
      <c r="J44" s="104">
        <f ca="1" t="shared" si="1"/>
        <v>485634.557179261</v>
      </c>
      <c r="K44" s="104">
        <f ca="1">MATCH(J44,关卡预期!$E$4:$E$303,1)</f>
        <v>102</v>
      </c>
      <c r="L44" s="48">
        <f ca="1" t="shared" si="2"/>
        <v>0.595687331536388</v>
      </c>
      <c r="M44" s="48">
        <f ca="1" t="shared" si="3"/>
        <v>0.296495956873315</v>
      </c>
      <c r="N44" s="48">
        <f ca="1" t="shared" si="4"/>
        <v>0.107816711590296</v>
      </c>
      <c r="O44" s="48">
        <f ca="1" t="shared" si="5"/>
        <v>0.0763124719281374</v>
      </c>
      <c r="P44" s="48">
        <f ca="1" t="shared" si="6"/>
        <v>0.412439851589751</v>
      </c>
      <c r="Q44" s="48">
        <f ca="1" t="shared" si="7"/>
        <v>0.338972836834592</v>
      </c>
      <c r="R44" s="48">
        <f ca="1" t="shared" si="8"/>
        <v>0.17227483964752</v>
      </c>
      <c r="S44" s="46">
        <f ca="1" t="shared" si="9"/>
        <v>0.595687331536388</v>
      </c>
      <c r="T44" s="46">
        <f ca="1" t="shared" si="10"/>
        <v>0.296495956873315</v>
      </c>
      <c r="U44" s="46">
        <f ca="1" t="shared" si="11"/>
        <v>0.107816711590296</v>
      </c>
      <c r="V44" s="48">
        <f ca="1" t="shared" si="12"/>
        <v>0.358065976004871</v>
      </c>
      <c r="W44" s="48">
        <f ca="1" t="shared" si="13"/>
        <v>1.93521025163302</v>
      </c>
      <c r="X44" s="48">
        <f ca="1" t="shared" si="14"/>
        <v>1.59049545367388</v>
      </c>
      <c r="Y44" s="48">
        <f t="shared" si="15"/>
        <v>0.808331286366409</v>
      </c>
      <c r="Z44" s="105">
        <f ca="1" t="shared" si="16"/>
        <v>0.0763124719281374</v>
      </c>
      <c r="AA44" s="105">
        <f ca="1" t="shared" si="17"/>
        <v>0.412439851589751</v>
      </c>
      <c r="AB44" s="105">
        <f ca="1" t="shared" si="18"/>
        <v>0.338972836834592</v>
      </c>
      <c r="AC44" s="105">
        <f ca="1" t="shared" si="19"/>
        <v>0.17227483964752</v>
      </c>
      <c r="AD44" s="105">
        <f ca="1" t="shared" si="20"/>
        <v>0.595687331536388</v>
      </c>
      <c r="AE44" s="105">
        <f ca="1" t="shared" si="21"/>
        <v>0.296495956873315</v>
      </c>
      <c r="AF44" s="105">
        <f ca="1" t="shared" si="22"/>
        <v>0.107816711590297</v>
      </c>
    </row>
    <row r="45" ht="16.5" spans="1:32">
      <c r="A45">
        <f ca="1" t="shared" si="0"/>
        <v>4452</v>
      </c>
      <c r="B45" s="2">
        <v>43</v>
      </c>
      <c r="C45" s="2">
        <f>_xlfn.XLOOKUP(练度预期!D45,装备养成!$B$3:$B$303,装备养成!$D$3:$D$303)*6</f>
        <v>2652</v>
      </c>
      <c r="D45" s="2" cm="1">
        <f ca="1" t="array" ref="D45">_xlfn.XLOOKUP(练度预期!E45&amp;"_"&amp;INT(练度预期!C45/10)*10+10,装备养成!$N$4:$N$219&amp;"_"&amp;装备养成!$K$4:$K$219,装备养成!$P$4:$P$219)*练度预期!F45+_xlfn.XLOOKUP(练度预期!E45-1&amp;"_"&amp;INT(练度预期!C45/10)*10+10,装备养成!$N$4:$N$219&amp;"_"&amp;装备养成!$K$4:$K$219,装备养成!$P$4:$P$219)*(6-练度预期!F45)</f>
        <v>1320</v>
      </c>
      <c r="E45" s="2">
        <f ca="1">练度预期!N45*4*练度预期!M45</f>
        <v>480</v>
      </c>
      <c r="F45" s="103">
        <f ca="1">INT(练度预期!D45/10)*0.02+1+_xlfn.XLOOKUP(练度预期!E45,装备养成!$U$3:$U$11,装备养成!$V$3:$V$11)*练度预期!F45+_xlfn.XLOOKUP(练度预期!E45-1,装备养成!$U$3:$U$11,装备养成!$V$3:$V$11)*(6-练度预期!F45)</f>
        <v>1.43056</v>
      </c>
      <c r="G45" s="48">
        <f ca="1">OFFSET(梦灵养成!$K$20,_xlfn.XLOOKUP(练度预期!H45,梦灵养成!$D$10:$D$28,梦灵养成!$H$10:$H$28),MATCH(OFFSET(梦灵养成!$C$33,B45,MATCH(练度预期!H45,梦灵养成!$D$33:$V$33,0)),梦灵养成!$L$20:$R$20,1))*(1+(OFFSET(梦灵养成!$C$33,B45,MATCH(练度预期!H45,梦灵养成!$D$33:$V$33,0))-1)*_xlfn.XLOOKUP(练度预期!H45,梦灵养成!$D$9:$D$28,梦灵养成!$G$9:$G$28))</f>
        <v>6.9255</v>
      </c>
      <c r="H45" s="46">
        <f ca="1">符文养成!AC46</f>
        <v>4.96445264541841</v>
      </c>
      <c r="I45" s="46">
        <f>MAX(_xlfn.XLOOKUP(练度预期!O45,秘宝养成!$B$3:$B$15,秘宝养成!$E$3:$E$15),1)</f>
        <v>2.24416</v>
      </c>
      <c r="J45" s="104">
        <f ca="1" t="shared" si="1"/>
        <v>491402.720464696</v>
      </c>
      <c r="K45" s="104">
        <f ca="1">MATCH(J45,关卡预期!$E$4:$E$303,1)</f>
        <v>102</v>
      </c>
      <c r="L45" s="48">
        <f ca="1" t="shared" si="2"/>
        <v>0.595687331536388</v>
      </c>
      <c r="M45" s="48">
        <f ca="1" t="shared" si="3"/>
        <v>0.296495956873315</v>
      </c>
      <c r="N45" s="48">
        <f ca="1" t="shared" si="4"/>
        <v>0.107816711590296</v>
      </c>
      <c r="O45" s="48">
        <f ca="1" t="shared" si="5"/>
        <v>0.0761209149756874</v>
      </c>
      <c r="P45" s="48">
        <f ca="1" t="shared" si="6"/>
        <v>0.411404559205121</v>
      </c>
      <c r="Q45" s="48">
        <f ca="1" t="shared" si="7"/>
        <v>0.340632124571751</v>
      </c>
      <c r="R45" s="48">
        <f ca="1" t="shared" si="8"/>
        <v>0.17184240124744</v>
      </c>
      <c r="S45" s="46">
        <f ca="1" t="shared" si="9"/>
        <v>0.595687331536388</v>
      </c>
      <c r="T45" s="46">
        <f ca="1" t="shared" si="10"/>
        <v>0.296495956873315</v>
      </c>
      <c r="U45" s="46">
        <f ca="1" t="shared" si="11"/>
        <v>0.107816711590296</v>
      </c>
      <c r="V45" s="48">
        <f ca="1" t="shared" si="12"/>
        <v>0.358065976004871</v>
      </c>
      <c r="W45" s="48">
        <f ca="1" t="shared" si="13"/>
        <v>1.93521025163302</v>
      </c>
      <c r="X45" s="48">
        <f ca="1" t="shared" si="14"/>
        <v>1.60230304880535</v>
      </c>
      <c r="Y45" s="48">
        <f t="shared" si="15"/>
        <v>0.808331286366409</v>
      </c>
      <c r="Z45" s="105">
        <f ca="1" t="shared" si="16"/>
        <v>0.0761209149756874</v>
      </c>
      <c r="AA45" s="105">
        <f ca="1" t="shared" si="17"/>
        <v>0.411404559205121</v>
      </c>
      <c r="AB45" s="105">
        <f ca="1" t="shared" si="18"/>
        <v>0.340632124571751</v>
      </c>
      <c r="AC45" s="105">
        <f ca="1" t="shared" si="19"/>
        <v>0.17184240124744</v>
      </c>
      <c r="AD45" s="105">
        <f ca="1" t="shared" si="20"/>
        <v>0.595687331536388</v>
      </c>
      <c r="AE45" s="105">
        <f ca="1" t="shared" si="21"/>
        <v>0.296495956873315</v>
      </c>
      <c r="AF45" s="105">
        <f ca="1" t="shared" si="22"/>
        <v>0.107816711590297</v>
      </c>
    </row>
    <row r="46" ht="16.5" spans="1:32">
      <c r="A46">
        <f ca="1" t="shared" si="0"/>
        <v>4524</v>
      </c>
      <c r="B46" s="2">
        <v>44</v>
      </c>
      <c r="C46" s="2">
        <f>_xlfn.XLOOKUP(练度预期!D46,装备养成!$B$3:$B$303,装备养成!$D$3:$D$303)*6</f>
        <v>2724</v>
      </c>
      <c r="D46" s="2" cm="1">
        <f ca="1" t="array" ref="D46">_xlfn.XLOOKUP(练度预期!E46&amp;"_"&amp;INT(练度预期!C46/10)*10+10,装备养成!$N$4:$N$219&amp;"_"&amp;装备养成!$K$4:$K$219,装备养成!$P$4:$P$219)*练度预期!F46+_xlfn.XLOOKUP(练度预期!E46-1&amp;"_"&amp;INT(练度预期!C46/10)*10+10,装备养成!$N$4:$N$219&amp;"_"&amp;装备养成!$K$4:$K$219,装备养成!$P$4:$P$219)*(6-练度预期!F46)</f>
        <v>1320</v>
      </c>
      <c r="E46" s="2">
        <f ca="1">练度预期!N46*4*练度预期!M46</f>
        <v>480</v>
      </c>
      <c r="F46" s="103">
        <f ca="1">INT(练度预期!D46/10)*0.02+1+_xlfn.XLOOKUP(练度预期!E46,装备养成!$U$3:$U$11,装备养成!$V$3:$V$11)*练度预期!F46+_xlfn.XLOOKUP(练度预期!E46-1,装备养成!$U$3:$U$11,装备养成!$V$3:$V$11)*(6-练度预期!F46)</f>
        <v>1.45056</v>
      </c>
      <c r="G46" s="48">
        <f ca="1">OFFSET(梦灵养成!$K$20,_xlfn.XLOOKUP(练度预期!H46,梦灵养成!$D$10:$D$28,梦灵养成!$H$10:$H$28),MATCH(OFFSET(梦灵养成!$C$33,B46,MATCH(练度预期!H46,梦灵养成!$D$33:$V$33,0)),梦灵养成!$L$20:$R$20,1))*(1+(OFFSET(梦灵养成!$C$33,B46,MATCH(练度预期!H46,梦灵养成!$D$33:$V$33,0))-1)*_xlfn.XLOOKUP(练度预期!H46,梦灵养成!$D$9:$D$28,梦灵养成!$G$9:$G$28))</f>
        <v>6.9255</v>
      </c>
      <c r="H46" s="46">
        <f ca="1">符文养成!AC47</f>
        <v>5.03063972130673</v>
      </c>
      <c r="I46" s="46">
        <f>MAX(_xlfn.XLOOKUP(练度预期!O46,秘宝养成!$B$3:$B$15,秘宝养成!$E$3:$E$15),1)</f>
        <v>2.24416</v>
      </c>
      <c r="J46" s="104">
        <f ca="1" t="shared" si="1"/>
        <v>513081.623280508</v>
      </c>
      <c r="K46" s="104">
        <f ca="1">MATCH(J46,关卡预期!$E$4:$E$303,1)</f>
        <v>102</v>
      </c>
      <c r="L46" s="48">
        <f ca="1" t="shared" si="2"/>
        <v>0.602122015915119</v>
      </c>
      <c r="M46" s="48">
        <f ca="1" t="shared" si="3"/>
        <v>0.291777188328912</v>
      </c>
      <c r="N46" s="48">
        <f ca="1" t="shared" si="4"/>
        <v>0.106100795755968</v>
      </c>
      <c r="O46" s="48">
        <f ca="1" t="shared" si="5"/>
        <v>0.0786190384822703</v>
      </c>
      <c r="P46" s="48">
        <f ca="1" t="shared" si="6"/>
        <v>0.409045561369883</v>
      </c>
      <c r="Q46" s="48">
        <f ca="1" t="shared" si="7"/>
        <v>0.34147834493869</v>
      </c>
      <c r="R46" s="48">
        <f ca="1" t="shared" si="8"/>
        <v>0.170857055209156</v>
      </c>
      <c r="S46" s="46">
        <f ca="1" t="shared" si="9"/>
        <v>0.602122015915119</v>
      </c>
      <c r="T46" s="46">
        <f ca="1" t="shared" si="10"/>
        <v>0.291777188328912</v>
      </c>
      <c r="U46" s="46">
        <f ca="1" t="shared" si="11"/>
        <v>0.106100795755968</v>
      </c>
      <c r="V46" s="48">
        <f ca="1" t="shared" si="12"/>
        <v>0.371949688770347</v>
      </c>
      <c r="W46" s="48">
        <f ca="1" t="shared" si="13"/>
        <v>1.93521025163302</v>
      </c>
      <c r="X46" s="48">
        <f ca="1" t="shared" si="14"/>
        <v>1.61554715719911</v>
      </c>
      <c r="Y46" s="48">
        <f t="shared" si="15"/>
        <v>0.808331286366409</v>
      </c>
      <c r="Z46" s="105">
        <f ca="1" t="shared" si="16"/>
        <v>0.0786190384822703</v>
      </c>
      <c r="AA46" s="105">
        <f ca="1" t="shared" si="17"/>
        <v>0.409045561369883</v>
      </c>
      <c r="AB46" s="105">
        <f ca="1" t="shared" si="18"/>
        <v>0.34147834493869</v>
      </c>
      <c r="AC46" s="105">
        <f ca="1" t="shared" si="19"/>
        <v>0.170857055209156</v>
      </c>
      <c r="AD46" s="105">
        <f ca="1" t="shared" si="20"/>
        <v>0.602122015915119</v>
      </c>
      <c r="AE46" s="105">
        <f ca="1" t="shared" si="21"/>
        <v>0.291777188328912</v>
      </c>
      <c r="AF46" s="105">
        <f ca="1" t="shared" si="22"/>
        <v>0.106100795755968</v>
      </c>
    </row>
    <row r="47" ht="16.5" spans="1:32">
      <c r="A47">
        <f ca="1" t="shared" si="0"/>
        <v>4596</v>
      </c>
      <c r="B47" s="2">
        <v>45</v>
      </c>
      <c r="C47" s="2">
        <f>_xlfn.XLOOKUP(练度预期!D47,装备养成!$B$3:$B$303,装备养成!$D$3:$D$303)*6</f>
        <v>2796</v>
      </c>
      <c r="D47" s="2" cm="1">
        <f ca="1" t="array" ref="D47">_xlfn.XLOOKUP(练度预期!E47&amp;"_"&amp;INT(练度预期!C47/10)*10+10,装备养成!$N$4:$N$219&amp;"_"&amp;装备养成!$K$4:$K$219,装备养成!$P$4:$P$219)*练度预期!F47+_xlfn.XLOOKUP(练度预期!E47-1&amp;"_"&amp;INT(练度预期!C47/10)*10+10,装备养成!$N$4:$N$219&amp;"_"&amp;装备养成!$K$4:$K$219,装备养成!$P$4:$P$219)*(6-练度预期!F47)</f>
        <v>1320</v>
      </c>
      <c r="E47" s="2">
        <f ca="1">练度预期!N47*4*练度预期!M47</f>
        <v>480</v>
      </c>
      <c r="F47" s="103">
        <f ca="1">INT(练度预期!D47/10)*0.02+1+_xlfn.XLOOKUP(练度预期!E47,装备养成!$U$3:$U$11,装备养成!$V$3:$V$11)*练度预期!F47+_xlfn.XLOOKUP(练度预期!E47-1,装备养成!$U$3:$U$11,装备养成!$V$3:$V$11)*(6-练度预期!F47)</f>
        <v>1.45056</v>
      </c>
      <c r="G47" s="48">
        <f ca="1">OFFSET(梦灵养成!$K$20,_xlfn.XLOOKUP(练度预期!H47,梦灵养成!$D$10:$D$28,梦灵养成!$H$10:$H$28),MATCH(OFFSET(梦灵养成!$C$33,B47,MATCH(练度预期!H47,梦灵养成!$D$33:$V$33,0)),梦灵养成!$L$20:$R$20,1))*(1+(OFFSET(梦灵养成!$C$33,B47,MATCH(练度预期!H47,梦灵养成!$D$33:$V$33,0))-1)*_xlfn.XLOOKUP(练度预期!H47,梦灵养成!$D$9:$D$28,梦灵养成!$G$9:$G$28))</f>
        <v>6.9255</v>
      </c>
      <c r="H47" s="46">
        <f ca="1">符文养成!AC48</f>
        <v>5.09891850020482</v>
      </c>
      <c r="I47" s="46">
        <f>MAX(_xlfn.XLOOKUP(练度预期!O47,秘宝养成!$B$3:$B$15,秘宝养成!$E$3:$E$15),1)</f>
        <v>2.24416</v>
      </c>
      <c r="J47" s="104">
        <f ca="1" t="shared" si="1"/>
        <v>528322.05225446</v>
      </c>
      <c r="K47" s="104">
        <f ca="1">MATCH(J47,关卡预期!$E$4:$E$303,1)</f>
        <v>103</v>
      </c>
      <c r="L47" s="48">
        <f ca="1" t="shared" si="2"/>
        <v>0.608355091383812</v>
      </c>
      <c r="M47" s="48">
        <f ca="1" t="shared" si="3"/>
        <v>0.287206266318538</v>
      </c>
      <c r="N47" s="48">
        <f ca="1" t="shared" si="4"/>
        <v>0.10443864229765</v>
      </c>
      <c r="O47" s="48">
        <f ca="1" t="shared" si="5"/>
        <v>0.0783956466506665</v>
      </c>
      <c r="P47" s="48">
        <f ca="1" t="shared" si="6"/>
        <v>0.407883280083723</v>
      </c>
      <c r="Q47" s="48">
        <f ca="1" t="shared" si="7"/>
        <v>0.343349499324635</v>
      </c>
      <c r="R47" s="48">
        <f ca="1" t="shared" si="8"/>
        <v>0.170371573940975</v>
      </c>
      <c r="S47" s="46">
        <f ca="1" t="shared" si="9"/>
        <v>0.608355091383812</v>
      </c>
      <c r="T47" s="46">
        <f ca="1" t="shared" si="10"/>
        <v>0.287206266318538</v>
      </c>
      <c r="U47" s="46">
        <f ca="1" t="shared" si="11"/>
        <v>0.10443864229765</v>
      </c>
      <c r="V47" s="48">
        <f ca="1" t="shared" si="12"/>
        <v>0.371949688770347</v>
      </c>
      <c r="W47" s="48">
        <f ca="1" t="shared" si="13"/>
        <v>1.93521025163302</v>
      </c>
      <c r="X47" s="48">
        <f ca="1" t="shared" si="14"/>
        <v>1.62902845845927</v>
      </c>
      <c r="Y47" s="48">
        <f t="shared" si="15"/>
        <v>0.808331286366409</v>
      </c>
      <c r="Z47" s="105">
        <f ca="1" t="shared" si="16"/>
        <v>0.0783956466506665</v>
      </c>
      <c r="AA47" s="105">
        <f ca="1" t="shared" si="17"/>
        <v>0.407883280083723</v>
      </c>
      <c r="AB47" s="105">
        <f ca="1" t="shared" si="18"/>
        <v>0.343349499324635</v>
      </c>
      <c r="AC47" s="105">
        <f ca="1" t="shared" si="19"/>
        <v>0.170371573940975</v>
      </c>
      <c r="AD47" s="105">
        <f ca="1" t="shared" si="20"/>
        <v>0.608355091383812</v>
      </c>
      <c r="AE47" s="105">
        <f ca="1" t="shared" si="21"/>
        <v>0.287206266318538</v>
      </c>
      <c r="AF47" s="105">
        <f ca="1" t="shared" si="22"/>
        <v>0.10443864229765</v>
      </c>
    </row>
    <row r="48" ht="16.5" spans="1:32">
      <c r="A48">
        <f ca="1" t="shared" si="0"/>
        <v>4668</v>
      </c>
      <c r="B48" s="2">
        <v>46</v>
      </c>
      <c r="C48" s="2">
        <f>_xlfn.XLOOKUP(练度预期!D48,装备养成!$B$3:$B$303,装备养成!$D$3:$D$303)*6</f>
        <v>2868</v>
      </c>
      <c r="D48" s="2" cm="1">
        <f ca="1" t="array" ref="D48">_xlfn.XLOOKUP(练度预期!E48&amp;"_"&amp;INT(练度预期!C48/10)*10+10,装备养成!$N$4:$N$219&amp;"_"&amp;装备养成!$K$4:$K$219,装备养成!$P$4:$P$219)*练度预期!F48+_xlfn.XLOOKUP(练度预期!E48-1&amp;"_"&amp;INT(练度预期!C48/10)*10+10,装备养成!$N$4:$N$219&amp;"_"&amp;装备养成!$K$4:$K$219,装备养成!$P$4:$P$219)*(6-练度预期!F48)</f>
        <v>1320</v>
      </c>
      <c r="E48" s="2">
        <f ca="1">练度预期!N48*4*练度预期!M48</f>
        <v>480</v>
      </c>
      <c r="F48" s="103">
        <f ca="1">INT(练度预期!D48/10)*0.02+1+_xlfn.XLOOKUP(练度预期!E48,装备养成!$U$3:$U$11,装备养成!$V$3:$V$11)*练度预期!F48+_xlfn.XLOOKUP(练度预期!E48-1,装备养成!$U$3:$U$11,装备养成!$V$3:$V$11)*(6-练度预期!F48)</f>
        <v>1.45056</v>
      </c>
      <c r="G48" s="48">
        <f ca="1">OFFSET(梦灵养成!$K$20,_xlfn.XLOOKUP(练度预期!H48,梦灵养成!$D$10:$D$28,梦灵养成!$H$10:$H$28),MATCH(OFFSET(梦灵养成!$C$33,B48,MATCH(练度预期!H48,梦灵养成!$D$33:$V$33,0)),梦灵养成!$L$20:$R$20,1))*(1+(OFFSET(梦灵养成!$C$33,B48,MATCH(练度预期!H48,梦灵养成!$D$33:$V$33,0))-1)*_xlfn.XLOOKUP(练度预期!H48,梦灵养成!$D$9:$D$28,梦灵养成!$G$9:$G$28))</f>
        <v>7.29</v>
      </c>
      <c r="H48" s="46">
        <f ca="1">符文养成!AC49</f>
        <v>5.15064288940456</v>
      </c>
      <c r="I48" s="46">
        <f>MAX(_xlfn.XLOOKUP(练度预期!O48,秘宝养成!$B$3:$B$15,秘宝养成!$E$3:$E$15),1)</f>
        <v>2.24416</v>
      </c>
      <c r="J48" s="104">
        <f ca="1" t="shared" si="1"/>
        <v>570570.521614597</v>
      </c>
      <c r="K48" s="104">
        <f ca="1">MATCH(J48,关卡预期!$E$4:$E$303,1)</f>
        <v>104</v>
      </c>
      <c r="L48" s="48">
        <f ca="1" t="shared" si="2"/>
        <v>0.61439588688946</v>
      </c>
      <c r="M48" s="48">
        <f ca="1" t="shared" si="3"/>
        <v>0.282776349614396</v>
      </c>
      <c r="N48" s="48">
        <f ca="1" t="shared" si="4"/>
        <v>0.102827763496144</v>
      </c>
      <c r="O48" s="48">
        <f ca="1" t="shared" si="5"/>
        <v>0.0773942902866271</v>
      </c>
      <c r="P48" s="48">
        <f ca="1" t="shared" si="6"/>
        <v>0.413346311982145</v>
      </c>
      <c r="Q48" s="48">
        <f ca="1" t="shared" si="7"/>
        <v>0.341063998962038</v>
      </c>
      <c r="R48" s="48">
        <f ca="1" t="shared" si="8"/>
        <v>0.16819539876919</v>
      </c>
      <c r="S48" s="46">
        <f ca="1" t="shared" si="9"/>
        <v>0.61439588688946</v>
      </c>
      <c r="T48" s="46">
        <f ca="1" t="shared" si="10"/>
        <v>0.282776349614396</v>
      </c>
      <c r="U48" s="46">
        <f ca="1" t="shared" si="11"/>
        <v>0.102827763496144</v>
      </c>
      <c r="V48" s="48">
        <f ca="1" t="shared" si="12"/>
        <v>0.371949688770347</v>
      </c>
      <c r="W48" s="48">
        <f ca="1" t="shared" si="13"/>
        <v>1.98650354602057</v>
      </c>
      <c r="X48" s="48">
        <f ca="1" t="shared" si="14"/>
        <v>1.63912153977876</v>
      </c>
      <c r="Y48" s="48">
        <f t="shared" si="15"/>
        <v>0.808331286366409</v>
      </c>
      <c r="Z48" s="105">
        <f ca="1" t="shared" si="16"/>
        <v>0.0773942902866271</v>
      </c>
      <c r="AA48" s="105">
        <f ca="1" t="shared" si="17"/>
        <v>0.413346311982145</v>
      </c>
      <c r="AB48" s="105">
        <f ca="1" t="shared" si="18"/>
        <v>0.341063998962038</v>
      </c>
      <c r="AC48" s="105">
        <f ca="1" t="shared" si="19"/>
        <v>0.16819539876919</v>
      </c>
      <c r="AD48" s="105">
        <f ca="1" t="shared" si="20"/>
        <v>0.61439588688946</v>
      </c>
      <c r="AE48" s="105">
        <f ca="1" t="shared" si="21"/>
        <v>0.282776349614396</v>
      </c>
      <c r="AF48" s="105">
        <f ca="1" t="shared" si="22"/>
        <v>0.102827763496144</v>
      </c>
    </row>
    <row r="49" ht="16.5" spans="1:32">
      <c r="A49">
        <f ca="1" t="shared" si="0"/>
        <v>4758</v>
      </c>
      <c r="B49" s="2">
        <v>47</v>
      </c>
      <c r="C49" s="2">
        <f>_xlfn.XLOOKUP(练度预期!D49,装备养成!$B$3:$B$303,装备养成!$D$3:$D$303)*6</f>
        <v>2868</v>
      </c>
      <c r="D49" s="2" cm="1">
        <f ca="1" t="array" ref="D49">_xlfn.XLOOKUP(练度预期!E49&amp;"_"&amp;INT(练度预期!C49/10)*10+10,装备养成!$N$4:$N$219&amp;"_"&amp;装备养成!$K$4:$K$219,装备养成!$P$4:$P$219)*练度预期!F49+_xlfn.XLOOKUP(练度预期!E49-1&amp;"_"&amp;INT(练度预期!C49/10)*10+10,装备养成!$N$4:$N$219&amp;"_"&amp;装备养成!$K$4:$K$219,装备养成!$P$4:$P$219)*(6-练度预期!F49)</f>
        <v>1410</v>
      </c>
      <c r="E49" s="2">
        <f ca="1">练度预期!N49*4*练度预期!M49</f>
        <v>480</v>
      </c>
      <c r="F49" s="103">
        <f ca="1">INT(练度预期!D49/10)*0.02+1+_xlfn.XLOOKUP(练度预期!E49,装备养成!$U$3:$U$11,装备养成!$V$3:$V$11)*练度预期!F49+_xlfn.XLOOKUP(练度预期!E49-1,装备养成!$U$3:$U$11,装备养成!$V$3:$V$11)*(6-练度预期!F49)</f>
        <v>1.45584</v>
      </c>
      <c r="G49" s="48">
        <f ca="1">OFFSET(梦灵养成!$K$20,_xlfn.XLOOKUP(练度预期!H49,梦灵养成!$D$10:$D$28,梦灵养成!$H$10:$H$28),MATCH(OFFSET(梦灵养成!$C$33,B49,MATCH(练度预期!H49,梦灵养成!$D$33:$V$33,0)),梦灵养成!$L$20:$R$20,1))*(1+(OFFSET(梦灵养成!$C$33,B49,MATCH(练度预期!H49,梦灵养成!$D$33:$V$33,0))-1)*_xlfn.XLOOKUP(练度预期!H49,梦灵养成!$D$9:$D$28,梦灵养成!$G$9:$G$28))</f>
        <v>7.29</v>
      </c>
      <c r="H49" s="46">
        <f ca="1">符文养成!AC50</f>
        <v>5.22010754201303</v>
      </c>
      <c r="I49" s="46">
        <f>MAX(_xlfn.XLOOKUP(练度预期!O49,秘宝养成!$B$3:$B$15,秘宝养成!$E$3:$E$15),1)</f>
        <v>2.24416</v>
      </c>
      <c r="J49" s="104">
        <f ca="1" t="shared" si="1"/>
        <v>591560.110146088</v>
      </c>
      <c r="K49" s="104">
        <f ca="1">MATCH(J49,关卡预期!$E$4:$E$303,1)</f>
        <v>104</v>
      </c>
      <c r="L49" s="48">
        <f ca="1" t="shared" si="2"/>
        <v>0.602774274905422</v>
      </c>
      <c r="M49" s="48">
        <f ca="1" t="shared" si="3"/>
        <v>0.296343001261034</v>
      </c>
      <c r="N49" s="48">
        <f ca="1" t="shared" si="4"/>
        <v>0.100882723833543</v>
      </c>
      <c r="O49" s="48">
        <f ca="1" t="shared" si="5"/>
        <v>0.0778743616383261</v>
      </c>
      <c r="P49" s="48">
        <f ca="1" t="shared" si="6"/>
        <v>0.411886782550546</v>
      </c>
      <c r="Q49" s="48">
        <f ca="1" t="shared" si="7"/>
        <v>0.342637356461497</v>
      </c>
      <c r="R49" s="48">
        <f ca="1" t="shared" si="8"/>
        <v>0.16760149934963</v>
      </c>
      <c r="S49" s="46">
        <f ca="1" t="shared" si="9"/>
        <v>0.602774274905422</v>
      </c>
      <c r="T49" s="46">
        <f ca="1" t="shared" si="10"/>
        <v>0.296343001261034</v>
      </c>
      <c r="U49" s="46">
        <f ca="1" t="shared" si="11"/>
        <v>0.100882723833543</v>
      </c>
      <c r="V49" s="48">
        <f ca="1" t="shared" si="12"/>
        <v>0.375583053626244</v>
      </c>
      <c r="W49" s="48">
        <f ca="1" t="shared" si="13"/>
        <v>1.98650354602057</v>
      </c>
      <c r="X49" s="48">
        <f ca="1" t="shared" si="14"/>
        <v>1.65251800360054</v>
      </c>
      <c r="Y49" s="48">
        <f t="shared" si="15"/>
        <v>0.808331286366409</v>
      </c>
      <c r="Z49" s="105">
        <f ca="1" t="shared" si="16"/>
        <v>0.0778743616383261</v>
      </c>
      <c r="AA49" s="105">
        <f ca="1" t="shared" si="17"/>
        <v>0.411886782550546</v>
      </c>
      <c r="AB49" s="105">
        <f ca="1" t="shared" si="18"/>
        <v>0.342637356461497</v>
      </c>
      <c r="AC49" s="105">
        <f ca="1" t="shared" si="19"/>
        <v>0.16760149934963</v>
      </c>
      <c r="AD49" s="105">
        <f ca="1" t="shared" si="20"/>
        <v>0.602774274905422</v>
      </c>
      <c r="AE49" s="105">
        <f ca="1" t="shared" si="21"/>
        <v>0.296343001261034</v>
      </c>
      <c r="AF49" s="105">
        <f ca="1" t="shared" si="22"/>
        <v>0.100882723833544</v>
      </c>
    </row>
    <row r="50" ht="16.5" spans="1:32">
      <c r="A50">
        <f ca="1" t="shared" si="0"/>
        <v>4830</v>
      </c>
      <c r="B50" s="2">
        <v>48</v>
      </c>
      <c r="C50" s="2">
        <f>_xlfn.XLOOKUP(练度预期!D50,装备养成!$B$3:$B$303,装备养成!$D$3:$D$303)*6</f>
        <v>2940</v>
      </c>
      <c r="D50" s="2" cm="1">
        <f ca="1" t="array" ref="D50">_xlfn.XLOOKUP(练度预期!E50&amp;"_"&amp;INT(练度预期!C50/10)*10+10,装备养成!$N$4:$N$219&amp;"_"&amp;装备养成!$K$4:$K$219,装备养成!$P$4:$P$219)*练度预期!F50+_xlfn.XLOOKUP(练度预期!E50-1&amp;"_"&amp;INT(练度预期!C50/10)*10+10,装备养成!$N$4:$N$219&amp;"_"&amp;装备养成!$K$4:$K$219,装备养成!$P$4:$P$219)*(6-练度预期!F50)</f>
        <v>1410</v>
      </c>
      <c r="E50" s="2">
        <f ca="1">练度预期!N50*4*练度预期!M50</f>
        <v>480</v>
      </c>
      <c r="F50" s="103">
        <f ca="1">INT(练度预期!D50/10)*0.02+1+_xlfn.XLOOKUP(练度预期!E50,装备养成!$U$3:$U$11,装备养成!$V$3:$V$11)*练度预期!F50+_xlfn.XLOOKUP(练度预期!E50-1,装备养成!$U$3:$U$11,装备养成!$V$3:$V$11)*(6-练度预期!F50)</f>
        <v>1.45584</v>
      </c>
      <c r="G50" s="48">
        <f ca="1">OFFSET(梦灵养成!$K$20,_xlfn.XLOOKUP(练度预期!H50,梦灵养成!$D$10:$D$28,梦灵养成!$H$10:$H$28),MATCH(OFFSET(梦灵养成!$C$33,B50,MATCH(练度预期!H50,梦灵养成!$D$33:$V$33,0)),梦灵养成!$L$20:$R$20,1))*(1+(OFFSET(梦灵养成!$C$33,B50,MATCH(练度预期!H50,梦灵养成!$D$33:$V$33,0))-1)*_xlfn.XLOOKUP(练度预期!H50,梦灵养成!$D$9:$D$28,梦灵养成!$G$9:$G$28))</f>
        <v>7.29</v>
      </c>
      <c r="H50" s="46">
        <f ca="1">符文养成!AC51</f>
        <v>5.27951034440794</v>
      </c>
      <c r="I50" s="46">
        <f>MAX(_xlfn.XLOOKUP(练度预期!O50,秘宝养成!$B$3:$B$15,秘宝养成!$E$3:$E$15),1)</f>
        <v>2.24416</v>
      </c>
      <c r="J50" s="104">
        <f ca="1" t="shared" si="1"/>
        <v>607345.431620156</v>
      </c>
      <c r="K50" s="104">
        <f ca="1">MATCH(J50,关卡预期!$E$4:$E$303,1)</f>
        <v>105</v>
      </c>
      <c r="L50" s="48">
        <f ca="1" t="shared" si="2"/>
        <v>0.608695652173913</v>
      </c>
      <c r="M50" s="48">
        <f ca="1" t="shared" si="3"/>
        <v>0.291925465838509</v>
      </c>
      <c r="N50" s="48">
        <f ca="1" t="shared" si="4"/>
        <v>0.0993788819875777</v>
      </c>
      <c r="O50" s="48">
        <f ca="1" t="shared" si="5"/>
        <v>0.0776920840174721</v>
      </c>
      <c r="P50" s="48">
        <f ca="1" t="shared" si="6"/>
        <v>0.410922694483498</v>
      </c>
      <c r="Q50" s="48">
        <f ca="1" t="shared" si="7"/>
        <v>0.344176020743062</v>
      </c>
      <c r="R50" s="48">
        <f ca="1" t="shared" si="8"/>
        <v>0.167209200755969</v>
      </c>
      <c r="S50" s="46">
        <f ca="1" t="shared" si="9"/>
        <v>0.608695652173913</v>
      </c>
      <c r="T50" s="46">
        <f ca="1" t="shared" si="10"/>
        <v>0.291925465838509</v>
      </c>
      <c r="U50" s="46">
        <f ca="1" t="shared" si="11"/>
        <v>0.0993788819875777</v>
      </c>
      <c r="V50" s="48">
        <f ca="1" t="shared" si="12"/>
        <v>0.375583053626244</v>
      </c>
      <c r="W50" s="48">
        <f ca="1" t="shared" si="13"/>
        <v>1.98650354602057</v>
      </c>
      <c r="X50" s="48">
        <f ca="1" t="shared" si="14"/>
        <v>1.66383335561623</v>
      </c>
      <c r="Y50" s="48">
        <f t="shared" si="15"/>
        <v>0.808331286366409</v>
      </c>
      <c r="Z50" s="105">
        <f ca="1" t="shared" si="16"/>
        <v>0.0776920840174721</v>
      </c>
      <c r="AA50" s="105">
        <f ca="1" t="shared" si="17"/>
        <v>0.410922694483498</v>
      </c>
      <c r="AB50" s="105">
        <f ca="1" t="shared" si="18"/>
        <v>0.344176020743062</v>
      </c>
      <c r="AC50" s="105">
        <f ca="1" t="shared" si="19"/>
        <v>0.167209200755969</v>
      </c>
      <c r="AD50" s="105">
        <f ca="1" t="shared" si="20"/>
        <v>0.608695652173913</v>
      </c>
      <c r="AE50" s="105">
        <f ca="1" t="shared" si="21"/>
        <v>0.291925465838509</v>
      </c>
      <c r="AF50" s="105">
        <f ca="1" t="shared" si="22"/>
        <v>0.0993788819875776</v>
      </c>
    </row>
    <row r="51" ht="16.5" spans="1:32">
      <c r="A51">
        <f ca="1" t="shared" si="0"/>
        <v>4902</v>
      </c>
      <c r="B51" s="2">
        <v>49</v>
      </c>
      <c r="C51" s="2">
        <f>_xlfn.XLOOKUP(练度预期!D51,装备养成!$B$3:$B$303,装备养成!$D$3:$D$303)*6</f>
        <v>3012</v>
      </c>
      <c r="D51" s="2" cm="1">
        <f ca="1" t="array" ref="D51">_xlfn.XLOOKUP(练度预期!E51&amp;"_"&amp;INT(练度预期!C51/10)*10+10,装备养成!$N$4:$N$219&amp;"_"&amp;装备养成!$K$4:$K$219,装备养成!$P$4:$P$219)*练度预期!F51+_xlfn.XLOOKUP(练度预期!E51-1&amp;"_"&amp;INT(练度预期!C51/10)*10+10,装备养成!$N$4:$N$219&amp;"_"&amp;装备养成!$K$4:$K$219,装备养成!$P$4:$P$219)*(6-练度预期!F51)</f>
        <v>1410</v>
      </c>
      <c r="E51" s="2">
        <f ca="1">练度预期!N51*4*练度预期!M51</f>
        <v>480</v>
      </c>
      <c r="F51" s="103">
        <f ca="1">INT(练度预期!D51/10)*0.02+1+_xlfn.XLOOKUP(练度预期!E51,装备养成!$U$3:$U$11,装备养成!$V$3:$V$11)*练度预期!F51+_xlfn.XLOOKUP(练度预期!E51-1,装备养成!$U$3:$U$11,装备养成!$V$3:$V$11)*(6-练度预期!F51)</f>
        <v>1.45584</v>
      </c>
      <c r="G51" s="48">
        <f ca="1">OFFSET(梦灵养成!$K$20,_xlfn.XLOOKUP(练度预期!H51,梦灵养成!$D$10:$D$28,梦灵养成!$H$10:$H$28),MATCH(OFFSET(梦灵养成!$C$33,B51,MATCH(练度预期!H51,梦灵养成!$D$33:$V$33,0)),梦灵养成!$L$20:$R$20,1))*(1+(OFFSET(梦灵养成!$C$33,B51,MATCH(练度预期!H51,梦灵养成!$D$33:$V$33,0))-1)*_xlfn.XLOOKUP(练度预期!H51,梦灵养成!$D$9:$D$28,梦灵养成!$G$9:$G$28))</f>
        <v>7.29</v>
      </c>
      <c r="H51" s="46">
        <f ca="1">符文养成!AC52</f>
        <v>5.34874740075533</v>
      </c>
      <c r="I51" s="46">
        <f>MAX(_xlfn.XLOOKUP(练度预期!O51,秘宝养成!$B$3:$B$15,秘宝养成!$E$3:$E$15),1)</f>
        <v>2.24416</v>
      </c>
      <c r="J51" s="104">
        <f ca="1" t="shared" si="1"/>
        <v>624482.666836257</v>
      </c>
      <c r="K51" s="104">
        <f ca="1">MATCH(J51,关卡预期!$E$4:$E$303,1)</f>
        <v>105</v>
      </c>
      <c r="L51" s="48">
        <f ca="1" t="shared" si="2"/>
        <v>0.614443084455324</v>
      </c>
      <c r="M51" s="48">
        <f ca="1" t="shared" si="3"/>
        <v>0.287637698898409</v>
      </c>
      <c r="N51" s="48">
        <f ca="1" t="shared" si="4"/>
        <v>0.0979192166462671</v>
      </c>
      <c r="O51" s="48">
        <f ca="1" t="shared" si="5"/>
        <v>0.0774832547838034</v>
      </c>
      <c r="P51" s="48">
        <f ca="1" t="shared" si="6"/>
        <v>0.409818171770904</v>
      </c>
      <c r="Q51" s="48">
        <f ca="1" t="shared" si="7"/>
        <v>0.345938815765769</v>
      </c>
      <c r="R51" s="48">
        <f ca="1" t="shared" si="8"/>
        <v>0.166759757679524</v>
      </c>
      <c r="S51" s="46">
        <f ca="1" t="shared" si="9"/>
        <v>0.614443084455324</v>
      </c>
      <c r="T51" s="46">
        <f ca="1" t="shared" si="10"/>
        <v>0.287637698898409</v>
      </c>
      <c r="U51" s="46">
        <f ca="1" t="shared" si="11"/>
        <v>0.0979192166462671</v>
      </c>
      <c r="V51" s="48">
        <f ca="1" t="shared" si="12"/>
        <v>0.375583053626244</v>
      </c>
      <c r="W51" s="48">
        <f ca="1" t="shared" si="13"/>
        <v>1.98650354602057</v>
      </c>
      <c r="X51" s="48">
        <f ca="1" t="shared" si="14"/>
        <v>1.67686240279511</v>
      </c>
      <c r="Y51" s="48">
        <f t="shared" si="15"/>
        <v>0.808331286366409</v>
      </c>
      <c r="Z51" s="105">
        <f ca="1" t="shared" si="16"/>
        <v>0.0774832547838034</v>
      </c>
      <c r="AA51" s="105">
        <f ca="1" t="shared" si="17"/>
        <v>0.409818171770904</v>
      </c>
      <c r="AB51" s="105">
        <f ca="1" t="shared" si="18"/>
        <v>0.345938815765769</v>
      </c>
      <c r="AC51" s="105">
        <f ca="1" t="shared" si="19"/>
        <v>0.166759757679524</v>
      </c>
      <c r="AD51" s="105">
        <f ca="1" t="shared" si="20"/>
        <v>0.614443084455324</v>
      </c>
      <c r="AE51" s="105">
        <f ca="1" t="shared" si="21"/>
        <v>0.287637698898409</v>
      </c>
      <c r="AF51" s="105">
        <f ca="1" t="shared" si="22"/>
        <v>0.0979192166462668</v>
      </c>
    </row>
    <row r="52" ht="16.5" spans="1:32">
      <c r="A52">
        <f ca="1" t="shared" si="0"/>
        <v>4974</v>
      </c>
      <c r="B52" s="2">
        <v>50</v>
      </c>
      <c r="C52" s="2">
        <f>_xlfn.XLOOKUP(练度预期!D52,装备养成!$B$3:$B$303,装备养成!$D$3:$D$303)*6</f>
        <v>3084</v>
      </c>
      <c r="D52" s="2" cm="1">
        <f ca="1" t="array" ref="D52">_xlfn.XLOOKUP(练度预期!E52&amp;"_"&amp;INT(练度预期!C52/10)*10+10,装备养成!$N$4:$N$219&amp;"_"&amp;装备养成!$K$4:$K$219,装备养成!$P$4:$P$219)*练度预期!F52+_xlfn.XLOOKUP(练度预期!E52-1&amp;"_"&amp;INT(练度预期!C52/10)*10+10,装备养成!$N$4:$N$219&amp;"_"&amp;装备养成!$K$4:$K$219,装备养成!$P$4:$P$219)*(6-练度预期!F52)</f>
        <v>1410</v>
      </c>
      <c r="E52" s="2">
        <f ca="1">练度预期!N52*4*练度预期!M52</f>
        <v>480</v>
      </c>
      <c r="F52" s="103">
        <f ca="1">INT(练度预期!D52/10)*0.02+1+_xlfn.XLOOKUP(练度预期!E52,装备养成!$U$3:$U$11,装备养成!$V$3:$V$11)*练度预期!F52+_xlfn.XLOOKUP(练度预期!E52-1,装备养成!$U$3:$U$11,装备养成!$V$3:$V$11)*(6-练度预期!F52)</f>
        <v>1.45584</v>
      </c>
      <c r="G52" s="48">
        <f ca="1">OFFSET(梦灵养成!$K$20,_xlfn.XLOOKUP(练度预期!H52,梦灵养成!$D$10:$D$28,梦灵养成!$H$10:$H$28),MATCH(OFFSET(梦灵养成!$C$33,B52,MATCH(练度预期!H52,梦灵养成!$D$33:$V$33,0)),梦灵养成!$L$20:$R$20,1))*(1+(OFFSET(梦灵养成!$C$33,B52,MATCH(练度预期!H52,梦灵养成!$D$33:$V$33,0))-1)*_xlfn.XLOOKUP(练度预期!H52,梦灵养成!$D$9:$D$28,梦灵养成!$G$9:$G$28))</f>
        <v>7.29</v>
      </c>
      <c r="H52" s="46">
        <f ca="1">符文养成!AC53</f>
        <v>5.41068619810129</v>
      </c>
      <c r="I52" s="46">
        <f>MAX(_xlfn.XLOOKUP(练度预期!O52,秘宝养成!$B$3:$B$15,秘宝养成!$E$3:$E$15),1)</f>
        <v>2.24416</v>
      </c>
      <c r="J52" s="104">
        <f ca="1" t="shared" si="1"/>
        <v>640992.755538753</v>
      </c>
      <c r="K52" s="104">
        <f ca="1">MATCH(J52,关卡预期!$E$4:$E$303,1)</f>
        <v>106</v>
      </c>
      <c r="L52" s="48">
        <f ca="1" t="shared" si="2"/>
        <v>0.620024125452352</v>
      </c>
      <c r="M52" s="48">
        <f ca="1" t="shared" si="3"/>
        <v>0.283474065138721</v>
      </c>
      <c r="N52" s="48">
        <f ca="1" t="shared" si="4"/>
        <v>0.0965018094089265</v>
      </c>
      <c r="O52" s="48">
        <f ca="1" t="shared" si="5"/>
        <v>0.077299648501079</v>
      </c>
      <c r="P52" s="48">
        <f ca="1" t="shared" si="6"/>
        <v>0.408847056252826</v>
      </c>
      <c r="Q52" s="48">
        <f ca="1" t="shared" si="7"/>
        <v>0.347488695711399</v>
      </c>
      <c r="R52" s="48">
        <f ca="1" t="shared" si="8"/>
        <v>0.166364599534696</v>
      </c>
      <c r="S52" s="46">
        <f ca="1" t="shared" si="9"/>
        <v>0.620024125452352</v>
      </c>
      <c r="T52" s="46">
        <f ca="1" t="shared" si="10"/>
        <v>0.283474065138721</v>
      </c>
      <c r="U52" s="46">
        <f ca="1" t="shared" si="11"/>
        <v>0.0965018094089265</v>
      </c>
      <c r="V52" s="48">
        <f ca="1" t="shared" si="12"/>
        <v>0.375583053626244</v>
      </c>
      <c r="W52" s="48">
        <f ca="1" t="shared" si="13"/>
        <v>1.98650354602057</v>
      </c>
      <c r="X52" s="48">
        <f ca="1" t="shared" si="14"/>
        <v>1.68837592365075</v>
      </c>
      <c r="Y52" s="48">
        <f t="shared" si="15"/>
        <v>0.808331286366409</v>
      </c>
      <c r="Z52" s="105">
        <f ca="1" t="shared" si="16"/>
        <v>0.077299648501079</v>
      </c>
      <c r="AA52" s="105">
        <f ca="1" t="shared" si="17"/>
        <v>0.408847056252826</v>
      </c>
      <c r="AB52" s="105">
        <f ca="1" t="shared" si="18"/>
        <v>0.347488695711399</v>
      </c>
      <c r="AC52" s="105">
        <f ca="1" t="shared" si="19"/>
        <v>0.166364599534696</v>
      </c>
      <c r="AD52" s="105">
        <f ca="1" t="shared" si="20"/>
        <v>0.620024125452352</v>
      </c>
      <c r="AE52" s="105">
        <f ca="1" t="shared" si="21"/>
        <v>0.283474065138721</v>
      </c>
      <c r="AF52" s="105">
        <f ca="1" t="shared" si="22"/>
        <v>0.0965018094089264</v>
      </c>
    </row>
    <row r="53" ht="16.5" spans="1:32">
      <c r="A53">
        <f ca="1" t="shared" si="0"/>
        <v>4974</v>
      </c>
      <c r="B53" s="2">
        <v>51</v>
      </c>
      <c r="C53" s="2">
        <f>_xlfn.XLOOKUP(练度预期!D53,装备养成!$B$3:$B$303,装备养成!$D$3:$D$303)*6</f>
        <v>3084</v>
      </c>
      <c r="D53" s="2" cm="1">
        <f ca="1" t="array" ref="D53">_xlfn.XLOOKUP(练度预期!E53&amp;"_"&amp;INT(练度预期!C53/10)*10+10,装备养成!$N$4:$N$219&amp;"_"&amp;装备养成!$K$4:$K$219,装备养成!$P$4:$P$219)*练度预期!F53+_xlfn.XLOOKUP(练度预期!E53-1&amp;"_"&amp;INT(练度预期!C53/10)*10+10,装备养成!$N$4:$N$219&amp;"_"&amp;装备养成!$K$4:$K$219,装备养成!$P$4:$P$219)*(6-练度预期!F53)</f>
        <v>1410</v>
      </c>
      <c r="E53" s="2">
        <f ca="1">练度预期!N53*4*练度预期!M53</f>
        <v>480</v>
      </c>
      <c r="F53" s="103">
        <f ca="1">INT(练度预期!D53/10)*0.02+1+_xlfn.XLOOKUP(练度预期!E53,装备养成!$U$3:$U$11,装备养成!$V$3:$V$11)*练度预期!F53+_xlfn.XLOOKUP(练度预期!E53-1,装备养成!$U$3:$U$11,装备养成!$V$3:$V$11)*(6-练度预期!F53)</f>
        <v>1.45584</v>
      </c>
      <c r="G53" s="48">
        <f ca="1">OFFSET(梦灵养成!$K$20,_xlfn.XLOOKUP(练度预期!H53,梦灵养成!$D$10:$D$28,梦灵养成!$H$10:$H$28),MATCH(OFFSET(梦灵养成!$C$33,B53,MATCH(练度预期!H53,梦灵养成!$D$33:$V$33,0)),梦灵养成!$L$20:$R$20,1))*(1+(OFFSET(梦灵养成!$C$33,B53,MATCH(练度预期!H53,梦灵养成!$D$33:$V$33,0))-1)*_xlfn.XLOOKUP(练度预期!H53,梦灵养成!$D$9:$D$28,梦灵养成!$G$9:$G$28))</f>
        <v>7.29</v>
      </c>
      <c r="H53" s="46">
        <f ca="1">符文养成!AC54</f>
        <v>5.48118057405237</v>
      </c>
      <c r="I53" s="46">
        <f>MAX(_xlfn.XLOOKUP(练度预期!O53,秘宝养成!$B$3:$B$15,秘宝养成!$E$3:$E$15),1)</f>
        <v>2.24416</v>
      </c>
      <c r="J53" s="104">
        <f ca="1" t="shared" si="1"/>
        <v>649344.077836232</v>
      </c>
      <c r="K53" s="104">
        <f ca="1">MATCH(J53,关卡预期!$E$4:$E$303,1)</f>
        <v>106</v>
      </c>
      <c r="L53" s="48">
        <f ca="1" t="shared" si="2"/>
        <v>0.620024125452352</v>
      </c>
      <c r="M53" s="48">
        <f ca="1" t="shared" si="3"/>
        <v>0.283474065138721</v>
      </c>
      <c r="N53" s="48">
        <f ca="1" t="shared" si="4"/>
        <v>0.0965018094089265</v>
      </c>
      <c r="O53" s="48">
        <f ca="1" t="shared" si="5"/>
        <v>0.0770942573308421</v>
      </c>
      <c r="P53" s="48">
        <f ca="1" t="shared" si="6"/>
        <v>0.407760717867593</v>
      </c>
      <c r="Q53" s="48">
        <f ca="1" t="shared" si="7"/>
        <v>0.349222468930028</v>
      </c>
      <c r="R53" s="48">
        <f ca="1" t="shared" si="8"/>
        <v>0.165922555871536</v>
      </c>
      <c r="S53" s="46">
        <f ca="1" t="shared" si="9"/>
        <v>0.620024125452352</v>
      </c>
      <c r="T53" s="46">
        <f ca="1" t="shared" si="10"/>
        <v>0.283474065138721</v>
      </c>
      <c r="U53" s="46">
        <f ca="1" t="shared" si="11"/>
        <v>0.0965018094089265</v>
      </c>
      <c r="V53" s="48">
        <f ca="1" t="shared" si="12"/>
        <v>0.375583053626244</v>
      </c>
      <c r="W53" s="48">
        <f ca="1" t="shared" si="13"/>
        <v>1.98650354602057</v>
      </c>
      <c r="X53" s="48">
        <f ca="1" t="shared" si="14"/>
        <v>1.70132051097876</v>
      </c>
      <c r="Y53" s="48">
        <f t="shared" si="15"/>
        <v>0.808331286366409</v>
      </c>
      <c r="Z53" s="105">
        <f ca="1" t="shared" si="16"/>
        <v>0.0770942573308421</v>
      </c>
      <c r="AA53" s="105">
        <f ca="1" t="shared" si="17"/>
        <v>0.407760717867593</v>
      </c>
      <c r="AB53" s="105">
        <f ca="1" t="shared" si="18"/>
        <v>0.349222468930028</v>
      </c>
      <c r="AC53" s="105">
        <f ca="1" t="shared" si="19"/>
        <v>0.165922555871536</v>
      </c>
      <c r="AD53" s="105">
        <f ca="1" t="shared" si="20"/>
        <v>0.620024125452352</v>
      </c>
      <c r="AE53" s="105">
        <f ca="1" t="shared" si="21"/>
        <v>0.283474065138721</v>
      </c>
      <c r="AF53" s="105">
        <f ca="1" t="shared" si="22"/>
        <v>0.0965018094089264</v>
      </c>
    </row>
    <row r="54" ht="16.5" spans="1:32">
      <c r="A54">
        <f ca="1" t="shared" si="0"/>
        <v>5046</v>
      </c>
      <c r="B54" s="2">
        <v>52</v>
      </c>
      <c r="C54" s="2">
        <f>_xlfn.XLOOKUP(练度预期!D54,装备养成!$B$3:$B$303,装备养成!$D$3:$D$303)*6</f>
        <v>3156</v>
      </c>
      <c r="D54" s="2" cm="1">
        <f ca="1" t="array" ref="D54">_xlfn.XLOOKUP(练度预期!E54&amp;"_"&amp;INT(练度预期!C54/10)*10+10,装备养成!$N$4:$N$219&amp;"_"&amp;装备养成!$K$4:$K$219,装备养成!$P$4:$P$219)*练度预期!F54+_xlfn.XLOOKUP(练度预期!E54-1&amp;"_"&amp;INT(练度预期!C54/10)*10+10,装备养成!$N$4:$N$219&amp;"_"&amp;装备养成!$K$4:$K$219,装备养成!$P$4:$P$219)*(6-练度预期!F54)</f>
        <v>1410</v>
      </c>
      <c r="E54" s="2">
        <f ca="1">练度预期!N54*4*练度预期!M54</f>
        <v>480</v>
      </c>
      <c r="F54" s="103">
        <f ca="1">INT(练度预期!D54/10)*0.02+1+_xlfn.XLOOKUP(练度预期!E54,装备养成!$U$3:$U$11,装备养成!$V$3:$V$11)*练度预期!F54+_xlfn.XLOOKUP(练度预期!E54-1,装备养成!$U$3:$U$11,装备养成!$V$3:$V$11)*(6-练度预期!F54)</f>
        <v>1.45584</v>
      </c>
      <c r="G54" s="48">
        <f ca="1">OFFSET(梦灵养成!$K$20,_xlfn.XLOOKUP(练度预期!H54,梦灵养成!$D$10:$D$28,梦灵养成!$H$10:$H$28),MATCH(OFFSET(梦灵养成!$C$33,B54,MATCH(练度预期!H54,梦灵养成!$D$33:$V$33,0)),梦灵养成!$L$20:$R$20,1))*(1+(OFFSET(梦灵养成!$C$33,B54,MATCH(练度预期!H54,梦灵养成!$D$33:$V$33,0))-1)*_xlfn.XLOOKUP(练度预期!H54,梦灵养成!$D$9:$D$28,梦灵养成!$G$9:$G$28))</f>
        <v>7.6545</v>
      </c>
      <c r="H54" s="46">
        <f ca="1">符文养成!AC55</f>
        <v>5.5357127115507</v>
      </c>
      <c r="I54" s="46">
        <f>MAX(_xlfn.XLOOKUP(练度预期!O54,秘宝养成!$B$3:$B$15,秘宝养成!$E$3:$E$15),1)</f>
        <v>2.24416</v>
      </c>
      <c r="J54" s="104">
        <f ca="1" t="shared" si="1"/>
        <v>698562.200061536</v>
      </c>
      <c r="K54" s="104">
        <f ca="1">MATCH(J54,关卡预期!$E$4:$E$303,1)</f>
        <v>107</v>
      </c>
      <c r="L54" s="48">
        <f ca="1" t="shared" si="2"/>
        <v>0.625445897740785</v>
      </c>
      <c r="M54" s="48">
        <f ca="1" t="shared" si="3"/>
        <v>0.279429250891795</v>
      </c>
      <c r="N54" s="48">
        <f ca="1" t="shared" si="4"/>
        <v>0.0951248513674197</v>
      </c>
      <c r="O54" s="48">
        <f ca="1" t="shared" si="5"/>
        <v>0.0761765561216557</v>
      </c>
      <c r="P54" s="48">
        <f ca="1" t="shared" si="6"/>
        <v>0.412802611942734</v>
      </c>
      <c r="Q54" s="48">
        <f ca="1" t="shared" si="7"/>
        <v>0.347073356120961</v>
      </c>
      <c r="R54" s="48">
        <f ca="1" t="shared" si="8"/>
        <v>0.16394747581465</v>
      </c>
      <c r="S54" s="46">
        <f ca="1" t="shared" si="9"/>
        <v>0.625445897740785</v>
      </c>
      <c r="T54" s="46">
        <f ca="1" t="shared" si="10"/>
        <v>0.279429250891795</v>
      </c>
      <c r="U54" s="46">
        <f ca="1" t="shared" si="11"/>
        <v>0.0951248513674197</v>
      </c>
      <c r="V54" s="48">
        <f ca="1" t="shared" si="12"/>
        <v>0.375583053626244</v>
      </c>
      <c r="W54" s="48">
        <f ca="1" t="shared" si="13"/>
        <v>2.03529371019</v>
      </c>
      <c r="X54" s="48">
        <f ca="1" t="shared" si="14"/>
        <v>1.71122032237897</v>
      </c>
      <c r="Y54" s="48">
        <f t="shared" si="15"/>
        <v>0.808331286366409</v>
      </c>
      <c r="Z54" s="105">
        <f ca="1" t="shared" si="16"/>
        <v>0.0761765561216557</v>
      </c>
      <c r="AA54" s="105">
        <f ca="1" t="shared" si="17"/>
        <v>0.412802611942734</v>
      </c>
      <c r="AB54" s="105">
        <f ca="1" t="shared" si="18"/>
        <v>0.347073356120961</v>
      </c>
      <c r="AC54" s="105">
        <f ca="1" t="shared" si="19"/>
        <v>0.16394747581465</v>
      </c>
      <c r="AD54" s="105">
        <f ca="1" t="shared" si="20"/>
        <v>0.625445897740785</v>
      </c>
      <c r="AE54" s="105">
        <f ca="1" t="shared" si="21"/>
        <v>0.279429250891795</v>
      </c>
      <c r="AF54" s="105">
        <f ca="1" t="shared" si="22"/>
        <v>0.0951248513674197</v>
      </c>
    </row>
    <row r="55" ht="16.5" spans="1:32">
      <c r="A55">
        <f ca="1" t="shared" si="0"/>
        <v>5118</v>
      </c>
      <c r="B55" s="2">
        <v>53</v>
      </c>
      <c r="C55" s="2">
        <f>_xlfn.XLOOKUP(练度预期!D55,装备养成!$B$3:$B$303,装备养成!$D$3:$D$303)*6</f>
        <v>3228</v>
      </c>
      <c r="D55" s="2" cm="1">
        <f ca="1" t="array" ref="D55">_xlfn.XLOOKUP(练度预期!E55&amp;"_"&amp;INT(练度预期!C55/10)*10+10,装备养成!$N$4:$N$219&amp;"_"&amp;装备养成!$K$4:$K$219,装备养成!$P$4:$P$219)*练度预期!F55+_xlfn.XLOOKUP(练度预期!E55-1&amp;"_"&amp;INT(练度预期!C55/10)*10+10,装备养成!$N$4:$N$219&amp;"_"&amp;装备养成!$K$4:$K$219,装备养成!$P$4:$P$219)*(6-练度预期!F55)</f>
        <v>1410</v>
      </c>
      <c r="E55" s="2">
        <f ca="1">练度预期!N55*4*练度预期!M55</f>
        <v>480</v>
      </c>
      <c r="F55" s="103">
        <f ca="1">INT(练度预期!D55/10)*0.02+1+_xlfn.XLOOKUP(练度预期!E55,装备养成!$U$3:$U$11,装备养成!$V$3:$V$11)*练度预期!F55+_xlfn.XLOOKUP(练度预期!E55-1,装备养成!$U$3:$U$11,装备养成!$V$3:$V$11)*(6-练度预期!F55)</f>
        <v>1.45584</v>
      </c>
      <c r="G55" s="48">
        <f ca="1">OFFSET(梦灵养成!$K$20,_xlfn.XLOOKUP(练度预期!H55,梦灵养成!$D$10:$D$28,梦灵养成!$H$10:$H$28),MATCH(OFFSET(梦灵养成!$C$33,B55,MATCH(练度预期!H55,梦灵养成!$D$33:$V$33,0)),梦灵养成!$L$20:$R$20,1))*(1+(OFFSET(梦灵养成!$C$33,B55,MATCH(练度预期!H55,梦灵养成!$D$33:$V$33,0))-1)*_xlfn.XLOOKUP(练度预期!H55,梦灵养成!$D$9:$D$28,梦灵养成!$G$9:$G$28))</f>
        <v>7.6545</v>
      </c>
      <c r="H55" s="46">
        <f ca="1">符文养成!AC56</f>
        <v>5.60741583344808</v>
      </c>
      <c r="I55" s="46">
        <f>MAX(_xlfn.XLOOKUP(练度预期!O55,秘宝养成!$B$3:$B$15,秘宝养成!$E$3:$E$15),1)</f>
        <v>2.24416</v>
      </c>
      <c r="J55" s="104">
        <f ca="1" t="shared" si="1"/>
        <v>717707.256805155</v>
      </c>
      <c r="K55" s="104">
        <f ca="1">MATCH(J55,关卡预期!$E$4:$E$303,1)</f>
        <v>107</v>
      </c>
      <c r="L55" s="48">
        <f ca="1" t="shared" si="2"/>
        <v>0.630715123094959</v>
      </c>
      <c r="M55" s="48">
        <f ca="1" t="shared" si="3"/>
        <v>0.275498241500586</v>
      </c>
      <c r="N55" s="48">
        <f ca="1" t="shared" si="4"/>
        <v>0.0937866354044547</v>
      </c>
      <c r="O55" s="48">
        <f ca="1" t="shared" si="5"/>
        <v>0.0759782338654843</v>
      </c>
      <c r="P55" s="48">
        <f ca="1" t="shared" si="6"/>
        <v>0.411727898808903</v>
      </c>
      <c r="Q55" s="48">
        <f ca="1" t="shared" si="7"/>
        <v>0.3487732214302</v>
      </c>
      <c r="R55" s="48">
        <f ca="1" t="shared" si="8"/>
        <v>0.163520645895413</v>
      </c>
      <c r="S55" s="46">
        <f ca="1" t="shared" si="9"/>
        <v>0.630715123094959</v>
      </c>
      <c r="T55" s="46">
        <f ca="1" t="shared" si="10"/>
        <v>0.275498241500586</v>
      </c>
      <c r="U55" s="46">
        <f ca="1" t="shared" si="11"/>
        <v>0.0937866354044546</v>
      </c>
      <c r="V55" s="48">
        <f ca="1" t="shared" si="12"/>
        <v>0.375583053626244</v>
      </c>
      <c r="W55" s="48">
        <f ca="1" t="shared" si="13"/>
        <v>2.03529371019</v>
      </c>
      <c r="X55" s="48">
        <f ca="1" t="shared" si="14"/>
        <v>1.72408997766036</v>
      </c>
      <c r="Y55" s="48">
        <f t="shared" si="15"/>
        <v>0.808331286366409</v>
      </c>
      <c r="Z55" s="105">
        <f ca="1" t="shared" si="16"/>
        <v>0.0759782338654843</v>
      </c>
      <c r="AA55" s="105">
        <f ca="1" t="shared" si="17"/>
        <v>0.411727898808903</v>
      </c>
      <c r="AB55" s="105">
        <f ca="1" t="shared" si="18"/>
        <v>0.3487732214302</v>
      </c>
      <c r="AC55" s="105">
        <f ca="1" t="shared" si="19"/>
        <v>0.163520645895413</v>
      </c>
      <c r="AD55" s="105">
        <f ca="1" t="shared" si="20"/>
        <v>0.630715123094959</v>
      </c>
      <c r="AE55" s="105">
        <f ca="1" t="shared" si="21"/>
        <v>0.275498241500586</v>
      </c>
      <c r="AF55" s="105">
        <f ca="1" t="shared" si="22"/>
        <v>0.0937866354044549</v>
      </c>
    </row>
    <row r="56" ht="16.5" spans="1:32">
      <c r="A56">
        <f ca="1" t="shared" si="0"/>
        <v>5118</v>
      </c>
      <c r="B56" s="2">
        <v>54</v>
      </c>
      <c r="C56" s="2">
        <f>_xlfn.XLOOKUP(练度预期!D56,装备养成!$B$3:$B$303,装备养成!$D$3:$D$303)*6</f>
        <v>3228</v>
      </c>
      <c r="D56" s="2" cm="1">
        <f ca="1" t="array" ref="D56">_xlfn.XLOOKUP(练度预期!E56&amp;"_"&amp;INT(练度预期!C56/10)*10+10,装备养成!$N$4:$N$219&amp;"_"&amp;装备养成!$K$4:$K$219,装备养成!$P$4:$P$219)*练度预期!F56+_xlfn.XLOOKUP(练度预期!E56-1&amp;"_"&amp;INT(练度预期!C56/10)*10+10,装备养成!$N$4:$N$219&amp;"_"&amp;装备养成!$K$4:$K$219,装备养成!$P$4:$P$219)*(6-练度预期!F56)</f>
        <v>1410</v>
      </c>
      <c r="E56" s="2">
        <f ca="1">练度预期!N56*4*练度预期!M56</f>
        <v>480</v>
      </c>
      <c r="F56" s="103">
        <f ca="1">INT(练度预期!D56/10)*0.02+1+_xlfn.XLOOKUP(练度预期!E56,装备养成!$U$3:$U$11,装备养成!$V$3:$V$11)*练度预期!F56+_xlfn.XLOOKUP(练度预期!E56-1,装备养成!$U$3:$U$11,装备养成!$V$3:$V$11)*(6-练度预期!F56)</f>
        <v>1.45584</v>
      </c>
      <c r="G56" s="48">
        <f ca="1">OFFSET(梦灵养成!$K$20,_xlfn.XLOOKUP(练度预期!H56,梦灵养成!$D$10:$D$28,梦灵养成!$H$10:$H$28),MATCH(OFFSET(梦灵养成!$C$33,B56,MATCH(练度预期!H56,梦灵养成!$D$33:$V$33,0)),梦灵养成!$L$20:$R$20,1))*(1+(OFFSET(梦灵养成!$C$33,B56,MATCH(练度预期!H56,梦灵养成!$D$33:$V$33,0))-1)*_xlfn.XLOOKUP(练度预期!H56,梦灵养成!$D$9:$D$28,梦灵养成!$G$9:$G$28))</f>
        <v>7.6545</v>
      </c>
      <c r="H56" s="46">
        <f ca="1">符文养成!AC57</f>
        <v>5.67149240001476</v>
      </c>
      <c r="I56" s="46">
        <f>MAX(_xlfn.XLOOKUP(练度预期!O56,秘宝养成!$B$3:$B$15,秘宝养成!$E$3:$E$15),1)</f>
        <v>2.24416</v>
      </c>
      <c r="J56" s="104">
        <f ca="1" t="shared" si="1"/>
        <v>725908.57773123</v>
      </c>
      <c r="K56" s="104">
        <f ca="1">MATCH(J56,关卡预期!$E$4:$E$303,1)</f>
        <v>107</v>
      </c>
      <c r="L56" s="48">
        <f ca="1" t="shared" si="2"/>
        <v>0.630715123094959</v>
      </c>
      <c r="M56" s="48">
        <f ca="1" t="shared" si="3"/>
        <v>0.275498241500586</v>
      </c>
      <c r="N56" s="48">
        <f ca="1" t="shared" si="4"/>
        <v>0.0937866354044548</v>
      </c>
      <c r="O56" s="48">
        <f ca="1" t="shared" si="5"/>
        <v>0.0758039961597268</v>
      </c>
      <c r="P56" s="48">
        <f ca="1" t="shared" si="6"/>
        <v>0.410783700440041</v>
      </c>
      <c r="Q56" s="48">
        <f ca="1" t="shared" si="7"/>
        <v>0.35026665256242</v>
      </c>
      <c r="R56" s="48">
        <f ca="1" t="shared" si="8"/>
        <v>0.163145650837812</v>
      </c>
      <c r="S56" s="46">
        <f ca="1" t="shared" si="9"/>
        <v>0.630715123094959</v>
      </c>
      <c r="T56" s="46">
        <f ca="1" t="shared" si="10"/>
        <v>0.275498241500586</v>
      </c>
      <c r="U56" s="46">
        <f ca="1" t="shared" si="11"/>
        <v>0.0937866354044548</v>
      </c>
      <c r="V56" s="48">
        <f ca="1" t="shared" si="12"/>
        <v>0.375583053626244</v>
      </c>
      <c r="W56" s="48">
        <f ca="1" t="shared" si="13"/>
        <v>2.03529371019</v>
      </c>
      <c r="X56" s="48">
        <f ca="1" t="shared" si="14"/>
        <v>1.73545229298516</v>
      </c>
      <c r="Y56" s="48">
        <f t="shared" si="15"/>
        <v>0.808331286366409</v>
      </c>
      <c r="Z56" s="105">
        <f ca="1" t="shared" si="16"/>
        <v>0.0758039961597268</v>
      </c>
      <c r="AA56" s="105">
        <f ca="1" t="shared" si="17"/>
        <v>0.410783700440041</v>
      </c>
      <c r="AB56" s="105">
        <f ca="1" t="shared" si="18"/>
        <v>0.35026665256242</v>
      </c>
      <c r="AC56" s="105">
        <f ca="1" t="shared" si="19"/>
        <v>0.163145650837812</v>
      </c>
      <c r="AD56" s="105">
        <f ca="1" t="shared" si="20"/>
        <v>0.630715123094959</v>
      </c>
      <c r="AE56" s="105">
        <f ca="1" t="shared" si="21"/>
        <v>0.275498241500586</v>
      </c>
      <c r="AF56" s="105">
        <f ca="1" t="shared" si="22"/>
        <v>0.0937866354044549</v>
      </c>
    </row>
    <row r="57" ht="16.5" spans="1:32">
      <c r="A57">
        <f ca="1" t="shared" si="0"/>
        <v>5190</v>
      </c>
      <c r="B57" s="2">
        <v>55</v>
      </c>
      <c r="C57" s="2">
        <f>_xlfn.XLOOKUP(练度预期!D57,装备养成!$B$3:$B$303,装备养成!$D$3:$D$303)*6</f>
        <v>3300</v>
      </c>
      <c r="D57" s="2" cm="1">
        <f ca="1" t="array" ref="D57">_xlfn.XLOOKUP(练度预期!E57&amp;"_"&amp;INT(练度预期!C57/10)*10+10,装备养成!$N$4:$N$219&amp;"_"&amp;装备养成!$K$4:$K$219,装备养成!$P$4:$P$219)*练度预期!F57+_xlfn.XLOOKUP(练度预期!E57-1&amp;"_"&amp;INT(练度预期!C57/10)*10+10,装备养成!$N$4:$N$219&amp;"_"&amp;装备养成!$K$4:$K$219,装备养成!$P$4:$P$219)*(6-练度预期!F57)</f>
        <v>1410</v>
      </c>
      <c r="E57" s="2">
        <f ca="1">练度预期!N57*4*练度预期!M57</f>
        <v>480</v>
      </c>
      <c r="F57" s="103">
        <f ca="1">INT(练度预期!D57/10)*0.02+1+_xlfn.XLOOKUP(练度预期!E57,装备养成!$U$3:$U$11,装备养成!$V$3:$V$11)*练度预期!F57+_xlfn.XLOOKUP(练度预期!E57-1,装备养成!$U$3:$U$11,装备养成!$V$3:$V$11)*(6-练度预期!F57)</f>
        <v>1.45584</v>
      </c>
      <c r="G57" s="48">
        <f ca="1">OFFSET(梦灵养成!$K$20,_xlfn.XLOOKUP(练度预期!H57,梦灵养成!$D$10:$D$28,梦灵养成!$H$10:$H$28),MATCH(OFFSET(梦灵养成!$C$33,B57,MATCH(练度预期!H57,梦灵养成!$D$33:$V$33,0)),梦灵养成!$L$20:$R$20,1))*(1+(OFFSET(梦灵养成!$C$33,B57,MATCH(练度预期!H57,梦灵养成!$D$33:$V$33,0))-1)*_xlfn.XLOOKUP(练度预期!H57,梦灵养成!$D$9:$D$28,梦灵养成!$G$9:$G$28))</f>
        <v>7.6545</v>
      </c>
      <c r="H57" s="46">
        <f ca="1">符文养成!AC58</f>
        <v>5.74448895052404</v>
      </c>
      <c r="I57" s="46">
        <f>MAX(_xlfn.XLOOKUP(练度预期!O57,秘宝养成!$B$3:$B$15,秘宝养成!$E$3:$E$15),1)</f>
        <v>2.24416</v>
      </c>
      <c r="J57" s="104">
        <f ca="1" t="shared" si="1"/>
        <v>745595.105756483</v>
      </c>
      <c r="K57" s="104">
        <f ca="1">MATCH(J57,关卡预期!$E$4:$E$303,1)</f>
        <v>108</v>
      </c>
      <c r="L57" s="48">
        <f ca="1" t="shared" si="2"/>
        <v>0.635838150289017</v>
      </c>
      <c r="M57" s="48">
        <f ca="1" t="shared" si="3"/>
        <v>0.271676300578035</v>
      </c>
      <c r="N57" s="48">
        <f ca="1" t="shared" si="4"/>
        <v>0.0924855491329482</v>
      </c>
      <c r="O57" s="48">
        <f ca="1" t="shared" si="5"/>
        <v>0.0756088393609489</v>
      </c>
      <c r="P57" s="48">
        <f ca="1" t="shared" si="6"/>
        <v>0.40972614099688</v>
      </c>
      <c r="Q57" s="48">
        <f ca="1" t="shared" si="7"/>
        <v>0.351939386014071</v>
      </c>
      <c r="R57" s="48">
        <f ca="1" t="shared" si="8"/>
        <v>0.162725633628099</v>
      </c>
      <c r="S57" s="46">
        <f ca="1" t="shared" si="9"/>
        <v>0.635838150289017</v>
      </c>
      <c r="T57" s="46">
        <f ca="1" t="shared" si="10"/>
        <v>0.271676300578035</v>
      </c>
      <c r="U57" s="46">
        <f ca="1" t="shared" si="11"/>
        <v>0.0924855491329483</v>
      </c>
      <c r="V57" s="48">
        <f ca="1" t="shared" si="12"/>
        <v>0.375583053626244</v>
      </c>
      <c r="W57" s="48">
        <f ca="1" t="shared" si="13"/>
        <v>2.03529371019</v>
      </c>
      <c r="X57" s="48">
        <f ca="1" t="shared" si="14"/>
        <v>1.74824095182158</v>
      </c>
      <c r="Y57" s="48">
        <f t="shared" si="15"/>
        <v>0.808331286366409</v>
      </c>
      <c r="Z57" s="105">
        <f ca="1" t="shared" si="16"/>
        <v>0.0756088393609489</v>
      </c>
      <c r="AA57" s="105">
        <f ca="1" t="shared" si="17"/>
        <v>0.40972614099688</v>
      </c>
      <c r="AB57" s="105">
        <f ca="1" t="shared" si="18"/>
        <v>0.351939386014071</v>
      </c>
      <c r="AC57" s="105">
        <f ca="1" t="shared" si="19"/>
        <v>0.162725633628099</v>
      </c>
      <c r="AD57" s="105">
        <f ca="1" t="shared" si="20"/>
        <v>0.635838150289017</v>
      </c>
      <c r="AE57" s="105">
        <f ca="1" t="shared" si="21"/>
        <v>0.271676300578035</v>
      </c>
      <c r="AF57" s="105">
        <f ca="1" t="shared" si="22"/>
        <v>0.092485549132948</v>
      </c>
    </row>
    <row r="58" ht="16.5" spans="1:32">
      <c r="A58">
        <f ca="1" t="shared" si="0"/>
        <v>5262</v>
      </c>
      <c r="B58" s="2">
        <v>56</v>
      </c>
      <c r="C58" s="2">
        <f>_xlfn.XLOOKUP(练度预期!D58,装备养成!$B$3:$B$303,装备养成!$D$3:$D$303)*6</f>
        <v>3372</v>
      </c>
      <c r="D58" s="2" cm="1">
        <f ca="1" t="array" ref="D58">_xlfn.XLOOKUP(练度预期!E58&amp;"_"&amp;INT(练度预期!C58/10)*10+10,装备养成!$N$4:$N$219&amp;"_"&amp;装备养成!$K$4:$K$219,装备养成!$P$4:$P$219)*练度预期!F58+_xlfn.XLOOKUP(练度预期!E58-1&amp;"_"&amp;INT(练度预期!C58/10)*10+10,装备养成!$N$4:$N$219&amp;"_"&amp;装备养成!$K$4:$K$219,装备养成!$P$4:$P$219)*(6-练度预期!F58)</f>
        <v>1410</v>
      </c>
      <c r="E58" s="2">
        <f ca="1">练度预期!N58*4*练度预期!M58</f>
        <v>480</v>
      </c>
      <c r="F58" s="103">
        <f ca="1">INT(练度预期!D58/10)*0.02+1+_xlfn.XLOOKUP(练度预期!E58,装备养成!$U$3:$U$11,装备养成!$V$3:$V$11)*练度预期!F58+_xlfn.XLOOKUP(练度预期!E58-1,装备养成!$U$3:$U$11,装备养成!$V$3:$V$11)*(6-练度预期!F58)</f>
        <v>1.45584</v>
      </c>
      <c r="G58" s="48">
        <f ca="1">OFFSET(梦灵养成!$K$20,_xlfn.XLOOKUP(练度预期!H58,梦灵养成!$D$10:$D$28,梦灵养成!$H$10:$H$28),MATCH(OFFSET(梦灵养成!$C$33,B58,MATCH(练度预期!H58,梦灵养成!$D$33:$V$33,0)),梦灵养成!$L$20:$R$20,1))*(1+(OFFSET(梦灵养成!$C$33,B58,MATCH(练度预期!H58,梦灵养成!$D$33:$V$33,0))-1)*_xlfn.XLOOKUP(练度预期!H58,梦灵养成!$D$9:$D$28,梦灵养成!$G$9:$G$28))</f>
        <v>7.6545</v>
      </c>
      <c r="H58" s="46">
        <f ca="1">符文养成!AC59</f>
        <v>5.82131450342854</v>
      </c>
      <c r="I58" s="46">
        <f>MAX(_xlfn.XLOOKUP(练度预期!O58,秘宝养成!$B$3:$B$15,秘宝养成!$E$3:$E$15),1)</f>
        <v>2.24416</v>
      </c>
      <c r="J58" s="104">
        <f ca="1" t="shared" si="1"/>
        <v>766048.381319292</v>
      </c>
      <c r="K58" s="104">
        <f ca="1">MATCH(J58,关卡预期!$E$4:$E$303,1)</f>
        <v>108</v>
      </c>
      <c r="L58" s="48">
        <f ca="1" t="shared" si="2"/>
        <v>0.640820980615736</v>
      </c>
      <c r="M58" s="48">
        <f ca="1" t="shared" si="3"/>
        <v>0.267958950969213</v>
      </c>
      <c r="N58" s="48">
        <f ca="1" t="shared" si="4"/>
        <v>0.0912200684150512</v>
      </c>
      <c r="O58" s="48">
        <f ca="1" t="shared" si="5"/>
        <v>0.0754071674190615</v>
      </c>
      <c r="P58" s="48">
        <f ca="1" t="shared" si="6"/>
        <v>0.408633275834615</v>
      </c>
      <c r="Q58" s="48">
        <f ca="1" t="shared" si="7"/>
        <v>0.353667962243887</v>
      </c>
      <c r="R58" s="48">
        <f ca="1" t="shared" si="8"/>
        <v>0.162291594502436</v>
      </c>
      <c r="S58" s="46">
        <f ca="1" t="shared" si="9"/>
        <v>0.640820980615735</v>
      </c>
      <c r="T58" s="46">
        <f ca="1" t="shared" si="10"/>
        <v>0.267958950969213</v>
      </c>
      <c r="U58" s="46">
        <f ca="1" t="shared" si="11"/>
        <v>0.0912200684150511</v>
      </c>
      <c r="V58" s="48">
        <f ca="1" t="shared" si="12"/>
        <v>0.375583053626244</v>
      </c>
      <c r="W58" s="48">
        <f ca="1" t="shared" si="13"/>
        <v>2.03529371019</v>
      </c>
      <c r="X58" s="48">
        <f ca="1" t="shared" si="14"/>
        <v>1.76152609593651</v>
      </c>
      <c r="Y58" s="48">
        <f t="shared" si="15"/>
        <v>0.808331286366409</v>
      </c>
      <c r="Z58" s="105">
        <f ca="1" t="shared" si="16"/>
        <v>0.0754071674190615</v>
      </c>
      <c r="AA58" s="105">
        <f ca="1" t="shared" si="17"/>
        <v>0.408633275834615</v>
      </c>
      <c r="AB58" s="105">
        <f ca="1" t="shared" si="18"/>
        <v>0.353667962243887</v>
      </c>
      <c r="AC58" s="105">
        <f ca="1" t="shared" si="19"/>
        <v>0.162291594502436</v>
      </c>
      <c r="AD58" s="105">
        <f ca="1" t="shared" si="20"/>
        <v>0.640820980615735</v>
      </c>
      <c r="AE58" s="105">
        <f ca="1" t="shared" si="21"/>
        <v>0.267958950969213</v>
      </c>
      <c r="AF58" s="105">
        <f ca="1" t="shared" si="22"/>
        <v>0.0912200684150513</v>
      </c>
    </row>
    <row r="59" ht="16.5" spans="1:32">
      <c r="A59">
        <f ca="1" t="shared" si="0"/>
        <v>5352</v>
      </c>
      <c r="B59" s="2">
        <v>57</v>
      </c>
      <c r="C59" s="2">
        <f>_xlfn.XLOOKUP(练度预期!D59,装备养成!$B$3:$B$303,装备养成!$D$3:$D$303)*6</f>
        <v>3372</v>
      </c>
      <c r="D59" s="2" cm="1">
        <f ca="1" t="array" ref="D59">_xlfn.XLOOKUP(练度预期!E59&amp;"_"&amp;INT(练度预期!C59/10)*10+10,装备养成!$N$4:$N$219&amp;"_"&amp;装备养成!$K$4:$K$219,装备养成!$P$4:$P$219)*练度预期!F59+_xlfn.XLOOKUP(练度预期!E59-1&amp;"_"&amp;INT(练度预期!C59/10)*10+10,装备养成!$N$4:$N$219&amp;"_"&amp;装备养成!$K$4:$K$219,装备养成!$P$4:$P$219)*(6-练度预期!F59)</f>
        <v>1500</v>
      </c>
      <c r="E59" s="2">
        <f ca="1">练度预期!N59*4*练度预期!M59</f>
        <v>480</v>
      </c>
      <c r="F59" s="103">
        <f ca="1">INT(练度预期!D59/10)*0.02+1+_xlfn.XLOOKUP(练度预期!E59,装备养成!$U$3:$U$11,装备养成!$V$3:$V$11)*练度预期!F59+_xlfn.XLOOKUP(练度预期!E59-1,装备养成!$U$3:$U$11,装备养成!$V$3:$V$11)*(6-练度预期!F59)</f>
        <v>1.46112</v>
      </c>
      <c r="G59" s="48">
        <f ca="1">OFFSET(梦灵养成!$K$20,_xlfn.XLOOKUP(练度预期!H59,梦灵养成!$D$10:$D$28,梦灵养成!$H$10:$H$28),MATCH(OFFSET(梦灵养成!$C$33,B59,MATCH(练度预期!H59,梦灵养成!$D$33:$V$33,0)),梦灵养成!$L$20:$R$20,1))*(1+(OFFSET(梦灵养成!$C$33,B59,MATCH(练度预期!H59,梦灵养成!$D$33:$V$33,0))-1)*_xlfn.XLOOKUP(练度预期!H59,梦灵养成!$D$9:$D$28,梦灵养成!$G$9:$G$28))</f>
        <v>7.6545</v>
      </c>
      <c r="H59" s="46">
        <f ca="1">符文养成!AC60</f>
        <v>5.88556796811864</v>
      </c>
      <c r="I59" s="46">
        <f>MAX(_xlfn.XLOOKUP(练度预期!O59,秘宝养成!$B$3:$B$15,秘宝养成!$E$3:$E$15),1)</f>
        <v>2.24416</v>
      </c>
      <c r="J59" s="104">
        <f ca="1" t="shared" si="1"/>
        <v>790607.65355457</v>
      </c>
      <c r="K59" s="104">
        <f ca="1">MATCH(J59,关卡预期!$E$4:$E$303,1)</f>
        <v>109</v>
      </c>
      <c r="L59" s="48">
        <f ca="1" t="shared" si="2"/>
        <v>0.630044843049327</v>
      </c>
      <c r="M59" s="48">
        <f ca="1" t="shared" si="3"/>
        <v>0.280269058295964</v>
      </c>
      <c r="N59" s="48">
        <f ca="1" t="shared" si="4"/>
        <v>0.0896860986547084</v>
      </c>
      <c r="O59" s="48">
        <f ca="1" t="shared" si="5"/>
        <v>0.075911531448962</v>
      </c>
      <c r="P59" s="48">
        <f ca="1" t="shared" si="6"/>
        <v>0.407439167281083</v>
      </c>
      <c r="Q59" s="48">
        <f ca="1" t="shared" si="7"/>
        <v>0.354831955421806</v>
      </c>
      <c r="R59" s="48">
        <f ca="1" t="shared" si="8"/>
        <v>0.161817345848149</v>
      </c>
      <c r="S59" s="46">
        <f ca="1" t="shared" si="9"/>
        <v>0.630044843049327</v>
      </c>
      <c r="T59" s="46">
        <f ca="1" t="shared" si="10"/>
        <v>0.280269058295964</v>
      </c>
      <c r="U59" s="46">
        <f ca="1" t="shared" si="11"/>
        <v>0.0896860986547084</v>
      </c>
      <c r="V59" s="48">
        <f ca="1" t="shared" si="12"/>
        <v>0.379203264919239</v>
      </c>
      <c r="W59" s="48">
        <f ca="1" t="shared" si="13"/>
        <v>2.03529371019</v>
      </c>
      <c r="X59" s="48">
        <f ca="1" t="shared" si="14"/>
        <v>1.77250324720549</v>
      </c>
      <c r="Y59" s="48">
        <f t="shared" si="15"/>
        <v>0.808331286366409</v>
      </c>
      <c r="Z59" s="105">
        <f ca="1" t="shared" si="16"/>
        <v>0.075911531448962</v>
      </c>
      <c r="AA59" s="105">
        <f ca="1" t="shared" si="17"/>
        <v>0.407439167281083</v>
      </c>
      <c r="AB59" s="105">
        <f ca="1" t="shared" si="18"/>
        <v>0.354831955421806</v>
      </c>
      <c r="AC59" s="105">
        <f ca="1" t="shared" si="19"/>
        <v>0.161817345848149</v>
      </c>
      <c r="AD59" s="105">
        <f ca="1" t="shared" si="20"/>
        <v>0.630044843049327</v>
      </c>
      <c r="AE59" s="105">
        <f ca="1" t="shared" si="21"/>
        <v>0.280269058295964</v>
      </c>
      <c r="AF59" s="105">
        <f ca="1" t="shared" si="22"/>
        <v>0.0896860986547085</v>
      </c>
    </row>
    <row r="60" ht="16.5" spans="1:32">
      <c r="A60">
        <f ca="1" t="shared" si="0"/>
        <v>5448</v>
      </c>
      <c r="B60" s="2">
        <v>58</v>
      </c>
      <c r="C60" s="2">
        <f>_xlfn.XLOOKUP(练度预期!D60,装备养成!$B$3:$B$303,装备养成!$D$3:$D$303)*6</f>
        <v>3468</v>
      </c>
      <c r="D60" s="2" cm="1">
        <f ca="1" t="array" ref="D60">_xlfn.XLOOKUP(练度预期!E60&amp;"_"&amp;INT(练度预期!C60/10)*10+10,装备养成!$N$4:$N$219&amp;"_"&amp;装备养成!$K$4:$K$219,装备养成!$P$4:$P$219)*练度预期!F60+_xlfn.XLOOKUP(练度预期!E60-1&amp;"_"&amp;INT(练度预期!C60/10)*10+10,装备养成!$N$4:$N$219&amp;"_"&amp;装备养成!$K$4:$K$219,装备养成!$P$4:$P$219)*(6-练度预期!F60)</f>
        <v>1500</v>
      </c>
      <c r="E60" s="2">
        <f ca="1">练度预期!N60*4*练度预期!M60</f>
        <v>480</v>
      </c>
      <c r="F60" s="103">
        <f ca="1">INT(练度预期!D60/10)*0.02+1+_xlfn.XLOOKUP(练度预期!E60,装备养成!$U$3:$U$11,装备养成!$V$3:$V$11)*练度预期!F60+_xlfn.XLOOKUP(练度预期!E60-1,装备养成!$U$3:$U$11,装备养成!$V$3:$V$11)*(6-练度预期!F60)</f>
        <v>1.48112</v>
      </c>
      <c r="G60" s="48">
        <f ca="1">OFFSET(梦灵养成!$K$20,_xlfn.XLOOKUP(练度预期!H60,梦灵养成!$D$10:$D$28,梦灵养成!$H$10:$H$28),MATCH(OFFSET(梦灵养成!$C$33,B60,MATCH(练度预期!H60,梦灵养成!$D$33:$V$33,0)),梦灵养成!$L$20:$R$20,1))*(1+(OFFSET(梦灵养成!$C$33,B60,MATCH(练度预期!H60,梦灵养成!$D$33:$V$33,0))-1)*_xlfn.XLOOKUP(练度预期!H60,梦灵养成!$D$9:$D$28,梦灵养成!$G$9:$G$28))</f>
        <v>8.019</v>
      </c>
      <c r="H60" s="46">
        <f ca="1">符文养成!AC61</f>
        <v>5.9694870415348</v>
      </c>
      <c r="I60" s="46">
        <f>MAX(_xlfn.XLOOKUP(练度预期!O60,秘宝养成!$B$3:$B$15,秘宝养成!$E$3:$E$15),1)</f>
        <v>2.24416</v>
      </c>
      <c r="J60" s="104">
        <f ca="1" t="shared" si="1"/>
        <v>866838.894825735</v>
      </c>
      <c r="K60" s="104">
        <f ca="1">MATCH(J60,关卡预期!$E$4:$E$303,1)</f>
        <v>110</v>
      </c>
      <c r="L60" s="48">
        <f ca="1" t="shared" si="2"/>
        <v>0.636563876651982</v>
      </c>
      <c r="M60" s="48">
        <f ca="1" t="shared" si="3"/>
        <v>0.275330396475771</v>
      </c>
      <c r="N60" s="48">
        <f ca="1" t="shared" si="4"/>
        <v>0.0881057268722466</v>
      </c>
      <c r="O60" s="48">
        <f ca="1" t="shared" si="5"/>
        <v>0.0774811038598749</v>
      </c>
      <c r="P60" s="48">
        <f ca="1" t="shared" si="6"/>
        <v>0.410646174951744</v>
      </c>
      <c r="Q60" s="48">
        <f ca="1" t="shared" si="7"/>
        <v>0.352426106574164</v>
      </c>
      <c r="R60" s="48">
        <f ca="1" t="shared" si="8"/>
        <v>0.159446614614217</v>
      </c>
      <c r="S60" s="46">
        <f ca="1" t="shared" si="9"/>
        <v>0.636563876651982</v>
      </c>
      <c r="T60" s="46">
        <f ca="1" t="shared" si="10"/>
        <v>0.275330396475771</v>
      </c>
      <c r="U60" s="46">
        <f ca="1" t="shared" si="11"/>
        <v>0.0881057268722466</v>
      </c>
      <c r="V60" s="48">
        <f ca="1" t="shared" si="12"/>
        <v>0.392798558336764</v>
      </c>
      <c r="W60" s="48">
        <f ca="1" t="shared" si="13"/>
        <v>2.08181372582489</v>
      </c>
      <c r="X60" s="48">
        <f ca="1" t="shared" si="14"/>
        <v>1.78666100102196</v>
      </c>
      <c r="Y60" s="48">
        <f t="shared" si="15"/>
        <v>0.808331286366409</v>
      </c>
      <c r="Z60" s="105">
        <f ca="1" t="shared" si="16"/>
        <v>0.0774811038598749</v>
      </c>
      <c r="AA60" s="105">
        <f ca="1" t="shared" si="17"/>
        <v>0.410646174951744</v>
      </c>
      <c r="AB60" s="105">
        <f ca="1" t="shared" si="18"/>
        <v>0.352426106574164</v>
      </c>
      <c r="AC60" s="105">
        <f ca="1" t="shared" si="19"/>
        <v>0.159446614614217</v>
      </c>
      <c r="AD60" s="105">
        <f ca="1" t="shared" si="20"/>
        <v>0.636563876651982</v>
      </c>
      <c r="AE60" s="105">
        <f ca="1" t="shared" si="21"/>
        <v>0.275330396475771</v>
      </c>
      <c r="AF60" s="105">
        <f ca="1" t="shared" si="22"/>
        <v>0.0881057268722467</v>
      </c>
    </row>
    <row r="61" ht="16.5" spans="1:32">
      <c r="A61">
        <f ca="1" t="shared" si="0"/>
        <v>5544</v>
      </c>
      <c r="B61" s="2">
        <v>59</v>
      </c>
      <c r="C61" s="2">
        <f>_xlfn.XLOOKUP(练度预期!D61,装备养成!$B$3:$B$303,装备养成!$D$3:$D$303)*6</f>
        <v>3564</v>
      </c>
      <c r="D61" s="2" cm="1">
        <f ca="1" t="array" ref="D61">_xlfn.XLOOKUP(练度预期!E61&amp;"_"&amp;INT(练度预期!C61/10)*10+10,装备养成!$N$4:$N$219&amp;"_"&amp;装备养成!$K$4:$K$219,装备养成!$P$4:$P$219)*练度预期!F61+_xlfn.XLOOKUP(练度预期!E61-1&amp;"_"&amp;INT(练度预期!C61/10)*10+10,装备养成!$N$4:$N$219&amp;"_"&amp;装备养成!$K$4:$K$219,装备养成!$P$4:$P$219)*(6-练度预期!F61)</f>
        <v>1500</v>
      </c>
      <c r="E61" s="2">
        <f ca="1">练度预期!N61*4*练度预期!M61</f>
        <v>480</v>
      </c>
      <c r="F61" s="103">
        <f ca="1">INT(练度预期!D61/10)*0.02+1+_xlfn.XLOOKUP(练度预期!E61,装备养成!$U$3:$U$11,装备养成!$V$3:$V$11)*练度预期!F61+_xlfn.XLOOKUP(练度预期!E61-1,装备养成!$U$3:$U$11,装备养成!$V$3:$V$11)*(6-练度预期!F61)</f>
        <v>1.48112</v>
      </c>
      <c r="G61" s="48">
        <f ca="1">OFFSET(梦灵养成!$K$20,_xlfn.XLOOKUP(练度预期!H61,梦灵养成!$D$10:$D$28,梦灵养成!$H$10:$H$28),MATCH(OFFSET(梦灵养成!$C$33,B61,MATCH(练度预期!H61,梦灵养成!$D$33:$V$33,0)),梦灵养成!$L$20:$R$20,1))*(1+(OFFSET(梦灵养成!$C$33,B61,MATCH(练度预期!H61,梦灵养成!$D$33:$V$33,0))-1)*_xlfn.XLOOKUP(练度预期!H61,梦灵养成!$D$9:$D$28,梦灵养成!$G$9:$G$28))</f>
        <v>8.019</v>
      </c>
      <c r="H61" s="46">
        <f ca="1">符文养成!AC62</f>
        <v>6.03650831203863</v>
      </c>
      <c r="I61" s="46">
        <f>MAX(_xlfn.XLOOKUP(练度预期!O61,秘宝养成!$B$3:$B$15,秘宝养成!$E$3:$E$15),1)</f>
        <v>2.24416</v>
      </c>
      <c r="J61" s="104">
        <f ca="1" t="shared" si="1"/>
        <v>892017.350093461</v>
      </c>
      <c r="K61" s="104">
        <f ca="1">MATCH(J61,关卡预期!$E$4:$E$303,1)</f>
        <v>111</v>
      </c>
      <c r="L61" s="48">
        <f ca="1" t="shared" si="2"/>
        <v>0.642857142857143</v>
      </c>
      <c r="M61" s="48">
        <f ca="1" t="shared" si="3"/>
        <v>0.270562770562771</v>
      </c>
      <c r="N61" s="48">
        <f ca="1" t="shared" si="4"/>
        <v>0.0865800865800868</v>
      </c>
      <c r="O61" s="48">
        <f ca="1" t="shared" si="5"/>
        <v>0.0773108428071193</v>
      </c>
      <c r="P61" s="48">
        <f ca="1" t="shared" si="6"/>
        <v>0.409743799448889</v>
      </c>
      <c r="Q61" s="48">
        <f ca="1" t="shared" si="7"/>
        <v>0.353849119506854</v>
      </c>
      <c r="R61" s="48">
        <f ca="1" t="shared" si="8"/>
        <v>0.159096238237138</v>
      </c>
      <c r="S61" s="46">
        <f ca="1" t="shared" si="9"/>
        <v>0.642857142857143</v>
      </c>
      <c r="T61" s="46">
        <f ca="1" t="shared" si="10"/>
        <v>0.270562770562771</v>
      </c>
      <c r="U61" s="46">
        <f ca="1" t="shared" si="11"/>
        <v>0.0865800865800868</v>
      </c>
      <c r="V61" s="48">
        <f ca="1" t="shared" si="12"/>
        <v>0.392798558336764</v>
      </c>
      <c r="W61" s="48">
        <f ca="1" t="shared" si="13"/>
        <v>2.08181372582489</v>
      </c>
      <c r="X61" s="48">
        <f ca="1" t="shared" si="14"/>
        <v>1.7978257507526</v>
      </c>
      <c r="Y61" s="48">
        <f t="shared" si="15"/>
        <v>0.808331286366409</v>
      </c>
      <c r="Z61" s="105">
        <f ca="1" t="shared" si="16"/>
        <v>0.0773108428071193</v>
      </c>
      <c r="AA61" s="105">
        <f ca="1" t="shared" si="17"/>
        <v>0.409743799448889</v>
      </c>
      <c r="AB61" s="105">
        <f ca="1" t="shared" si="18"/>
        <v>0.353849119506854</v>
      </c>
      <c r="AC61" s="105">
        <f ca="1" t="shared" si="19"/>
        <v>0.159096238237138</v>
      </c>
      <c r="AD61" s="105">
        <f ca="1" t="shared" si="20"/>
        <v>0.642857142857143</v>
      </c>
      <c r="AE61" s="105">
        <f ca="1" t="shared" si="21"/>
        <v>0.270562770562771</v>
      </c>
      <c r="AF61" s="105">
        <f ca="1" t="shared" si="22"/>
        <v>0.0865800865800866</v>
      </c>
    </row>
    <row r="62" ht="16.5" spans="1:32">
      <c r="A62">
        <f ca="1" t="shared" si="0"/>
        <v>5544</v>
      </c>
      <c r="B62" s="2">
        <v>60</v>
      </c>
      <c r="C62" s="2">
        <f>_xlfn.XLOOKUP(练度预期!D62,装备养成!$B$3:$B$303,装备养成!$D$3:$D$303)*6</f>
        <v>3564</v>
      </c>
      <c r="D62" s="2" cm="1">
        <f ca="1" t="array" ref="D62">_xlfn.XLOOKUP(练度预期!E62&amp;"_"&amp;INT(练度预期!C62/10)*10+10,装备养成!$N$4:$N$219&amp;"_"&amp;装备养成!$K$4:$K$219,装备养成!$P$4:$P$219)*练度预期!F62+_xlfn.XLOOKUP(练度预期!E62-1&amp;"_"&amp;INT(练度预期!C62/10)*10+10,装备养成!$N$4:$N$219&amp;"_"&amp;装备养成!$K$4:$K$219,装备养成!$P$4:$P$219)*(6-练度预期!F62)</f>
        <v>1500</v>
      </c>
      <c r="E62" s="2">
        <f ca="1">练度预期!N62*4*练度预期!M62</f>
        <v>480</v>
      </c>
      <c r="F62" s="103">
        <f ca="1">INT(练度预期!D62/10)*0.02+1+_xlfn.XLOOKUP(练度预期!E62,装备养成!$U$3:$U$11,装备养成!$V$3:$V$11)*练度预期!F62+_xlfn.XLOOKUP(练度预期!E62-1,装备养成!$U$3:$U$11,装备养成!$V$3:$V$11)*(6-练度预期!F62)</f>
        <v>1.48112</v>
      </c>
      <c r="G62" s="48">
        <f ca="1">OFFSET(梦灵养成!$K$20,_xlfn.XLOOKUP(练度预期!H62,梦灵养成!$D$10:$D$28,梦灵养成!$H$10:$H$28),MATCH(OFFSET(梦灵养成!$C$33,B62,MATCH(练度预期!H62,梦灵养成!$D$33:$V$33,0)),梦灵养成!$L$20:$R$20,1))*(1+(OFFSET(梦灵养成!$C$33,B62,MATCH(练度预期!H62,梦灵养成!$D$33:$V$33,0))-1)*_xlfn.XLOOKUP(练度预期!H62,梦灵养成!$D$9:$D$28,梦灵养成!$G$9:$G$28))</f>
        <v>8.019</v>
      </c>
      <c r="H62" s="46">
        <f ca="1">符文养成!AC63</f>
        <v>6.11294780802007</v>
      </c>
      <c r="I62" s="46">
        <f>MAX(_xlfn.XLOOKUP(练度预期!O62,秘宝养成!$B$3:$B$15,秘宝养成!$E$3:$E$15),1)</f>
        <v>2.24416</v>
      </c>
      <c r="J62" s="104">
        <f ca="1" t="shared" si="1"/>
        <v>903312.846284838</v>
      </c>
      <c r="K62" s="104">
        <f ca="1">MATCH(J62,关卡预期!$E$4:$E$303,1)</f>
        <v>111</v>
      </c>
      <c r="L62" s="48">
        <f ca="1" t="shared" si="2"/>
        <v>0.642857142857143</v>
      </c>
      <c r="M62" s="48">
        <f ca="1" t="shared" si="3"/>
        <v>0.270562770562771</v>
      </c>
      <c r="N62" s="48">
        <f ca="1" t="shared" si="4"/>
        <v>0.0865800865800865</v>
      </c>
      <c r="O62" s="48">
        <f ca="1" t="shared" si="5"/>
        <v>0.0771198428092413</v>
      </c>
      <c r="P62" s="48">
        <f ca="1" t="shared" si="6"/>
        <v>0.408731508520687</v>
      </c>
      <c r="Q62" s="48">
        <f ca="1" t="shared" si="7"/>
        <v>0.35544546501703</v>
      </c>
      <c r="R62" s="48">
        <f ca="1" t="shared" si="8"/>
        <v>0.158703183653041</v>
      </c>
      <c r="S62" s="46">
        <f ca="1" t="shared" si="9"/>
        <v>0.642857142857143</v>
      </c>
      <c r="T62" s="46">
        <f ca="1" t="shared" si="10"/>
        <v>0.27056277056277</v>
      </c>
      <c r="U62" s="46">
        <f ca="1" t="shared" si="11"/>
        <v>0.0865800865800864</v>
      </c>
      <c r="V62" s="48">
        <f ca="1" t="shared" si="12"/>
        <v>0.392798558336764</v>
      </c>
      <c r="W62" s="48">
        <f ca="1" t="shared" si="13"/>
        <v>2.08181372582489</v>
      </c>
      <c r="X62" s="48">
        <f ca="1" t="shared" si="14"/>
        <v>1.81040911314331</v>
      </c>
      <c r="Y62" s="48">
        <f t="shared" si="15"/>
        <v>0.808331286366409</v>
      </c>
      <c r="Z62" s="105">
        <f ca="1" t="shared" si="16"/>
        <v>0.0771198428092413</v>
      </c>
      <c r="AA62" s="105">
        <f ca="1" t="shared" si="17"/>
        <v>0.408731508520687</v>
      </c>
      <c r="AB62" s="105">
        <f ca="1" t="shared" si="18"/>
        <v>0.35544546501703</v>
      </c>
      <c r="AC62" s="105">
        <f ca="1" t="shared" si="19"/>
        <v>0.158703183653041</v>
      </c>
      <c r="AD62" s="105">
        <f ca="1" t="shared" si="20"/>
        <v>0.642857142857143</v>
      </c>
      <c r="AE62" s="105">
        <f ca="1" t="shared" si="21"/>
        <v>0.270562770562771</v>
      </c>
      <c r="AF62" s="105">
        <f ca="1" t="shared" si="22"/>
        <v>0.0865800865800866</v>
      </c>
    </row>
    <row r="63" ht="16.5" spans="1:32">
      <c r="A63">
        <f ca="1" t="shared" si="0"/>
        <v>5640</v>
      </c>
      <c r="B63" s="2">
        <v>61</v>
      </c>
      <c r="C63" s="2">
        <f>_xlfn.XLOOKUP(练度预期!D63,装备养成!$B$3:$B$303,装备养成!$D$3:$D$303)*6</f>
        <v>3660</v>
      </c>
      <c r="D63" s="2" cm="1">
        <f ca="1" t="array" ref="D63">_xlfn.XLOOKUP(练度预期!E63&amp;"_"&amp;INT(练度预期!C63/10)*10+10,装备养成!$N$4:$N$219&amp;"_"&amp;装备养成!$K$4:$K$219,装备养成!$P$4:$P$219)*练度预期!F63+_xlfn.XLOOKUP(练度预期!E63-1&amp;"_"&amp;INT(练度预期!C63/10)*10+10,装备养成!$N$4:$N$219&amp;"_"&amp;装备养成!$K$4:$K$219,装备养成!$P$4:$P$219)*(6-练度预期!F63)</f>
        <v>1500</v>
      </c>
      <c r="E63" s="2">
        <f ca="1">练度预期!N63*4*练度预期!M63</f>
        <v>480</v>
      </c>
      <c r="F63" s="103">
        <f ca="1">INT(练度预期!D63/10)*0.02+1+_xlfn.XLOOKUP(练度预期!E63,装备养成!$U$3:$U$11,装备养成!$V$3:$V$11)*练度预期!F63+_xlfn.XLOOKUP(练度预期!E63-1,装备养成!$U$3:$U$11,装备养成!$V$3:$V$11)*(6-练度预期!F63)</f>
        <v>1.48112</v>
      </c>
      <c r="G63" s="48">
        <f ca="1">OFFSET(梦灵养成!$K$20,_xlfn.XLOOKUP(练度预期!H63,梦灵养成!$D$10:$D$28,梦灵养成!$H$10:$H$28),MATCH(OFFSET(梦灵养成!$C$33,B63,MATCH(练度预期!H63,梦灵养成!$D$33:$V$33,0)),梦灵养成!$L$20:$R$20,1))*(1+(OFFSET(梦灵养成!$C$33,B63,MATCH(练度预期!H63,梦灵养成!$D$33:$V$33,0))-1)*_xlfn.XLOOKUP(练度预期!H63,梦灵养成!$D$9:$D$28,梦灵养成!$G$9:$G$28))</f>
        <v>8.019</v>
      </c>
      <c r="H63" s="46">
        <f ca="1">符文养成!AC64</f>
        <v>6.18112917892935</v>
      </c>
      <c r="I63" s="46">
        <f>MAX(_xlfn.XLOOKUP(练度预期!O63,秘宝养成!$B$3:$B$15,秘宝养成!$E$3:$E$15),1)</f>
        <v>2.24416</v>
      </c>
      <c r="J63" s="104">
        <f ca="1" t="shared" si="1"/>
        <v>929204.278936946</v>
      </c>
      <c r="K63" s="104">
        <f ca="1">MATCH(J63,关卡预期!$E$4:$E$303,1)</f>
        <v>111</v>
      </c>
      <c r="L63" s="48">
        <f ca="1" t="shared" si="2"/>
        <v>0.648936170212766</v>
      </c>
      <c r="M63" s="48">
        <f ca="1" t="shared" si="3"/>
        <v>0.265957446808511</v>
      </c>
      <c r="N63" s="48">
        <f ca="1" t="shared" si="4"/>
        <v>0.0851063829787234</v>
      </c>
      <c r="O63" s="48">
        <f ca="1" t="shared" si="5"/>
        <v>0.0769522629214932</v>
      </c>
      <c r="P63" s="48">
        <f ca="1" t="shared" si="6"/>
        <v>0.407843343065184</v>
      </c>
      <c r="Q63" s="48">
        <f ca="1" t="shared" si="7"/>
        <v>0.356846069228416</v>
      </c>
      <c r="R63" s="48">
        <f ca="1" t="shared" si="8"/>
        <v>0.158358324784908</v>
      </c>
      <c r="S63" s="46">
        <f ca="1" t="shared" si="9"/>
        <v>0.648936170212766</v>
      </c>
      <c r="T63" s="46">
        <f ca="1" t="shared" si="10"/>
        <v>0.265957446808511</v>
      </c>
      <c r="U63" s="46">
        <f ca="1" t="shared" si="11"/>
        <v>0.0851063829787234</v>
      </c>
      <c r="V63" s="48">
        <f ca="1" t="shared" si="12"/>
        <v>0.392798558336764</v>
      </c>
      <c r="W63" s="48">
        <f ca="1" t="shared" si="13"/>
        <v>2.08181372582489</v>
      </c>
      <c r="X63" s="48">
        <f ca="1" t="shared" si="14"/>
        <v>1.82150096981635</v>
      </c>
      <c r="Y63" s="48">
        <f t="shared" si="15"/>
        <v>0.808331286366409</v>
      </c>
      <c r="Z63" s="105">
        <f ca="1" t="shared" si="16"/>
        <v>0.0769522629214932</v>
      </c>
      <c r="AA63" s="105">
        <f ca="1" t="shared" si="17"/>
        <v>0.407843343065184</v>
      </c>
      <c r="AB63" s="105">
        <f ca="1" t="shared" si="18"/>
        <v>0.356846069228416</v>
      </c>
      <c r="AC63" s="105">
        <f ca="1" t="shared" si="19"/>
        <v>0.158358324784908</v>
      </c>
      <c r="AD63" s="105">
        <f ca="1" t="shared" si="20"/>
        <v>0.648936170212766</v>
      </c>
      <c r="AE63" s="105">
        <f ca="1" t="shared" si="21"/>
        <v>0.265957446808511</v>
      </c>
      <c r="AF63" s="105">
        <f ca="1" t="shared" si="22"/>
        <v>0.0851063829787234</v>
      </c>
    </row>
    <row r="64" ht="16.5" spans="1:32">
      <c r="A64">
        <f ca="1" t="shared" si="0"/>
        <v>5736</v>
      </c>
      <c r="B64" s="2">
        <v>62</v>
      </c>
      <c r="C64" s="2">
        <f>_xlfn.XLOOKUP(练度预期!D64,装备养成!$B$3:$B$303,装备养成!$D$3:$D$303)*6</f>
        <v>3756</v>
      </c>
      <c r="D64" s="2" cm="1">
        <f ca="1" t="array" ref="D64">_xlfn.XLOOKUP(练度预期!E64&amp;"_"&amp;INT(练度预期!C64/10)*10+10,装备养成!$N$4:$N$219&amp;"_"&amp;装备养成!$K$4:$K$219,装备养成!$P$4:$P$219)*练度预期!F64+_xlfn.XLOOKUP(练度预期!E64-1&amp;"_"&amp;INT(练度预期!C64/10)*10+10,装备养成!$N$4:$N$219&amp;"_"&amp;装备养成!$K$4:$K$219,装备养成!$P$4:$P$219)*(6-练度预期!F64)</f>
        <v>1500</v>
      </c>
      <c r="E64" s="2">
        <f ca="1">练度预期!N64*4*练度预期!M64</f>
        <v>480</v>
      </c>
      <c r="F64" s="103">
        <f ca="1">INT(练度预期!D64/10)*0.02+1+_xlfn.XLOOKUP(练度预期!E64,装备养成!$U$3:$U$11,装备养成!$V$3:$V$11)*练度预期!F64+_xlfn.XLOOKUP(练度预期!E64-1,装备养成!$U$3:$U$11,装备养成!$V$3:$V$11)*(6-练度预期!F64)</f>
        <v>1.48112</v>
      </c>
      <c r="G64" s="48">
        <f ca="1">OFFSET(梦灵养成!$K$20,_xlfn.XLOOKUP(练度预期!H64,梦灵养成!$D$10:$D$28,梦灵养成!$H$10:$H$28),MATCH(OFFSET(梦灵养成!$C$33,B64,MATCH(练度预期!H64,梦灵养成!$D$33:$V$33,0)),梦灵养成!$L$20:$R$20,1))*(1+(OFFSET(梦灵养成!$C$33,B64,MATCH(练度预期!H64,梦灵养成!$D$33:$V$33,0))-1)*_xlfn.XLOOKUP(练度预期!H64,梦灵养成!$D$9:$D$28,梦灵养成!$G$9:$G$28))</f>
        <v>8.3835</v>
      </c>
      <c r="H64" s="46">
        <f ca="1">符文养成!AC65</f>
        <v>6.25892230575219</v>
      </c>
      <c r="I64" s="46">
        <f>MAX(_xlfn.XLOOKUP(练度预期!O64,秘宝养成!$B$3:$B$15,秘宝养成!$E$3:$E$15),1)</f>
        <v>2.492992</v>
      </c>
      <c r="J64" s="104">
        <f ca="1" t="shared" si="1"/>
        <v>1111335.53999808</v>
      </c>
      <c r="K64" s="104">
        <f ca="1">MATCH(J64,关卡预期!$E$4:$E$303,1)</f>
        <v>114</v>
      </c>
      <c r="L64" s="48">
        <f ca="1" t="shared" si="2"/>
        <v>0.654811715481172</v>
      </c>
      <c r="M64" s="48">
        <f ca="1" t="shared" si="3"/>
        <v>0.261506276150628</v>
      </c>
      <c r="N64" s="48">
        <f ca="1" t="shared" si="4"/>
        <v>0.0836820083682007</v>
      </c>
      <c r="O64" s="48">
        <f ca="1" t="shared" si="5"/>
        <v>0.0745835768048552</v>
      </c>
      <c r="P64" s="48">
        <f ca="1" t="shared" si="6"/>
        <v>0.403729804999218</v>
      </c>
      <c r="Q64" s="48">
        <f ca="1" t="shared" si="7"/>
        <v>0.348236709934425</v>
      </c>
      <c r="R64" s="48">
        <f ca="1" t="shared" si="8"/>
        <v>0.173449908261502</v>
      </c>
      <c r="S64" s="46">
        <f ca="1" t="shared" si="9"/>
        <v>0.654811715481171</v>
      </c>
      <c r="T64" s="46">
        <f ca="1" t="shared" si="10"/>
        <v>0.261506276150627</v>
      </c>
      <c r="U64" s="46">
        <f ca="1" t="shared" si="11"/>
        <v>0.0836820083682007</v>
      </c>
      <c r="V64" s="48">
        <f ca="1" t="shared" si="12"/>
        <v>0.392798558336764</v>
      </c>
      <c r="W64" s="48">
        <f ca="1" t="shared" si="13"/>
        <v>2.12626548839573</v>
      </c>
      <c r="X64" s="48">
        <f ca="1" t="shared" si="14"/>
        <v>1.83400801466089</v>
      </c>
      <c r="Y64" s="48">
        <f t="shared" si="15"/>
        <v>0.913483595551114</v>
      </c>
      <c r="Z64" s="105">
        <f ca="1" t="shared" si="16"/>
        <v>0.0745835768048552</v>
      </c>
      <c r="AA64" s="105">
        <f ca="1" t="shared" si="17"/>
        <v>0.403729804999218</v>
      </c>
      <c r="AB64" s="105">
        <f ca="1" t="shared" si="18"/>
        <v>0.348236709934425</v>
      </c>
      <c r="AC64" s="105">
        <f ca="1" t="shared" si="19"/>
        <v>0.173449908261502</v>
      </c>
      <c r="AD64" s="105">
        <f ca="1" t="shared" si="20"/>
        <v>0.654811715481172</v>
      </c>
      <c r="AE64" s="105">
        <f ca="1" t="shared" si="21"/>
        <v>0.261506276150628</v>
      </c>
      <c r="AF64" s="105">
        <f ca="1" t="shared" si="22"/>
        <v>0.0836820083682008</v>
      </c>
    </row>
    <row r="65" ht="16.5" spans="1:32">
      <c r="A65">
        <f ca="1" t="shared" si="0"/>
        <v>5736</v>
      </c>
      <c r="B65" s="2">
        <v>63</v>
      </c>
      <c r="C65" s="2">
        <f>_xlfn.XLOOKUP(练度预期!D65,装备养成!$B$3:$B$303,装备养成!$D$3:$D$303)*6</f>
        <v>3756</v>
      </c>
      <c r="D65" s="2" cm="1">
        <f ca="1" t="array" ref="D65">_xlfn.XLOOKUP(练度预期!E65&amp;"_"&amp;INT(练度预期!C65/10)*10+10,装备养成!$N$4:$N$219&amp;"_"&amp;装备养成!$K$4:$K$219,装备养成!$P$4:$P$219)*练度预期!F65+_xlfn.XLOOKUP(练度预期!E65-1&amp;"_"&amp;INT(练度预期!C65/10)*10+10,装备养成!$N$4:$N$219&amp;"_"&amp;装备养成!$K$4:$K$219,装备养成!$P$4:$P$219)*(6-练度预期!F65)</f>
        <v>1500</v>
      </c>
      <c r="E65" s="2">
        <f ca="1">练度预期!N65*4*练度预期!M65</f>
        <v>480</v>
      </c>
      <c r="F65" s="103">
        <f ca="1">INT(练度预期!D65/10)*0.02+1+_xlfn.XLOOKUP(练度预期!E65,装备养成!$U$3:$U$11,装备养成!$V$3:$V$11)*练度预期!F65+_xlfn.XLOOKUP(练度预期!E65-1,装备养成!$U$3:$U$11,装备养成!$V$3:$V$11)*(6-练度预期!F65)</f>
        <v>1.48112</v>
      </c>
      <c r="G65" s="48">
        <f ca="1">OFFSET(梦灵养成!$K$20,_xlfn.XLOOKUP(练度预期!H65,梦灵养成!$D$10:$D$28,梦灵养成!$H$10:$H$28),MATCH(OFFSET(梦灵养成!$C$33,B65,MATCH(练度预期!H65,梦灵养成!$D$33:$V$33,0)),梦灵养成!$L$20:$R$20,1))*(1+(OFFSET(梦灵养成!$C$33,B65,MATCH(练度预期!H65,梦灵养成!$D$33:$V$33,0))-1)*_xlfn.XLOOKUP(练度预期!H65,梦灵养成!$D$9:$D$28,梦灵养成!$G$9:$G$28))</f>
        <v>10.512</v>
      </c>
      <c r="H65" s="46">
        <f ca="1">符文养成!AC66</f>
        <v>6.32827756117619</v>
      </c>
      <c r="I65" s="46">
        <f>MAX(_xlfn.XLOOKUP(练度预期!O65,秘宝养成!$B$3:$B$15,秘宝养成!$E$3:$E$15),1)</f>
        <v>2.492992</v>
      </c>
      <c r="J65" s="104">
        <f ca="1" t="shared" si="1"/>
        <v>1408935.60864659</v>
      </c>
      <c r="K65" s="104">
        <f ca="1">MATCH(J65,关卡预期!$E$4:$E$303,1)</f>
        <v>117</v>
      </c>
      <c r="L65" s="48">
        <f ca="1" t="shared" si="2"/>
        <v>0.654811715481171</v>
      </c>
      <c r="M65" s="48">
        <f ca="1" t="shared" si="3"/>
        <v>0.261506276150627</v>
      </c>
      <c r="N65" s="48">
        <f ca="1" t="shared" si="4"/>
        <v>0.0836820083682011</v>
      </c>
      <c r="O65" s="48">
        <f ca="1" t="shared" si="5"/>
        <v>0.0713682511900097</v>
      </c>
      <c r="P65" s="48">
        <f ca="1" t="shared" si="6"/>
        <v>0.427432976967704</v>
      </c>
      <c r="Q65" s="48">
        <f ca="1" t="shared" si="7"/>
        <v>0.335226353355578</v>
      </c>
      <c r="R65" s="48">
        <f ca="1" t="shared" si="8"/>
        <v>0.165972418486708</v>
      </c>
      <c r="S65" s="46">
        <f ca="1" t="shared" si="9"/>
        <v>0.654811715481171</v>
      </c>
      <c r="T65" s="46">
        <f ca="1" t="shared" si="10"/>
        <v>0.261506276150627</v>
      </c>
      <c r="U65" s="46">
        <f ca="1" t="shared" si="11"/>
        <v>0.0836820083682011</v>
      </c>
      <c r="V65" s="48">
        <f ca="1" t="shared" si="12"/>
        <v>0.392798558336764</v>
      </c>
      <c r="W65" s="48">
        <f ca="1" t="shared" si="13"/>
        <v>2.35251746174225</v>
      </c>
      <c r="X65" s="48">
        <f ca="1" t="shared" si="14"/>
        <v>1.84502809188904</v>
      </c>
      <c r="Y65" s="48">
        <f t="shared" si="15"/>
        <v>0.913483595551114</v>
      </c>
      <c r="Z65" s="105">
        <f ca="1" t="shared" si="16"/>
        <v>0.0713682511900097</v>
      </c>
      <c r="AA65" s="105">
        <f ca="1" t="shared" si="17"/>
        <v>0.427432976967704</v>
      </c>
      <c r="AB65" s="105">
        <f ca="1" t="shared" si="18"/>
        <v>0.335226353355578</v>
      </c>
      <c r="AC65" s="105">
        <f ca="1" t="shared" si="19"/>
        <v>0.165972418486708</v>
      </c>
      <c r="AD65" s="105">
        <f ca="1" t="shared" si="20"/>
        <v>0.654811715481172</v>
      </c>
      <c r="AE65" s="105">
        <f ca="1" t="shared" si="21"/>
        <v>0.261506276150628</v>
      </c>
      <c r="AF65" s="105">
        <f ca="1" t="shared" si="22"/>
        <v>0.0836820083682008</v>
      </c>
    </row>
    <row r="66" ht="16.5" spans="1:32">
      <c r="A66">
        <f ca="1" t="shared" si="0"/>
        <v>6054</v>
      </c>
      <c r="B66" s="2">
        <v>64</v>
      </c>
      <c r="C66" s="2">
        <f>_xlfn.XLOOKUP(练度预期!D66,装备养成!$B$3:$B$303,装备养成!$D$3:$D$303)*6</f>
        <v>3852</v>
      </c>
      <c r="D66" s="2" cm="1">
        <f ca="1" t="array" ref="D66">_xlfn.XLOOKUP(练度预期!E66&amp;"_"&amp;INT(练度预期!C66/10)*10+10,装备养成!$N$4:$N$219&amp;"_"&amp;装备养成!$K$4:$K$219,装备养成!$P$4:$P$219)*练度预期!F66+_xlfn.XLOOKUP(练度预期!E66-1&amp;"_"&amp;INT(练度预期!C66/10)*10+10,装备养成!$N$4:$N$219&amp;"_"&amp;装备养成!$K$4:$K$219,装备养成!$P$4:$P$219)*(6-练度预期!F66)</f>
        <v>1722</v>
      </c>
      <c r="E66" s="2">
        <f ca="1">练度预期!N66*4*练度预期!M66</f>
        <v>480</v>
      </c>
      <c r="F66" s="103">
        <f ca="1">INT(练度预期!D66/10)*0.02+1+_xlfn.XLOOKUP(练度预期!E66,装备养成!$U$3:$U$11,装备养成!$V$3:$V$11)*练度预期!F66+_xlfn.XLOOKUP(练度预期!E66-1,装备养成!$U$3:$U$11,装备养成!$V$3:$V$11)*(6-练度预期!F66)</f>
        <v>1.48112</v>
      </c>
      <c r="G66" s="48">
        <f ca="1">OFFSET(梦灵养成!$K$20,_xlfn.XLOOKUP(练度预期!H66,梦灵养成!$D$10:$D$28,梦灵养成!$H$10:$H$28),MATCH(OFFSET(梦灵养成!$C$33,B66,MATCH(练度预期!H66,梦灵养成!$D$33:$V$33,0)),梦灵养成!$L$20:$R$20,1))*(1+(OFFSET(梦灵养成!$C$33,B66,MATCH(练度预期!H66,梦灵养成!$D$33:$V$33,0))-1)*_xlfn.XLOOKUP(练度预期!H66,梦灵养成!$D$9:$D$28,梦灵养成!$G$9:$G$28))</f>
        <v>10.512</v>
      </c>
      <c r="H66" s="46">
        <f ca="1">符文养成!AC67</f>
        <v>6.40743932179245</v>
      </c>
      <c r="I66" s="46">
        <f>MAX(_xlfn.XLOOKUP(练度预期!O66,秘宝养成!$B$3:$B$15,秘宝养成!$E$3:$E$15),1)</f>
        <v>2.492992</v>
      </c>
      <c r="J66" s="104">
        <f ca="1" t="shared" si="1"/>
        <v>1505647.82875946</v>
      </c>
      <c r="K66" s="104">
        <f ca="1">MATCH(J66,关卡预期!$E$4:$E$303,1)</f>
        <v>118</v>
      </c>
      <c r="L66" s="48">
        <f ca="1" t="shared" si="2"/>
        <v>0.636273538156591</v>
      </c>
      <c r="M66" s="48">
        <f ca="1" t="shared" si="3"/>
        <v>0.284440039643211</v>
      </c>
      <c r="N66" s="48">
        <f ca="1" t="shared" si="4"/>
        <v>0.0792864222001983</v>
      </c>
      <c r="O66" s="48">
        <f ca="1" t="shared" si="5"/>
        <v>0.0712074134293848</v>
      </c>
      <c r="P66" s="48">
        <f ca="1" t="shared" si="6"/>
        <v>0.426469700417047</v>
      </c>
      <c r="Q66" s="48">
        <f ca="1" t="shared" si="7"/>
        <v>0.336724508387625</v>
      </c>
      <c r="R66" s="48">
        <f ca="1" t="shared" si="8"/>
        <v>0.165598377765943</v>
      </c>
      <c r="S66" s="46">
        <f ca="1" t="shared" si="9"/>
        <v>0.636273538156591</v>
      </c>
      <c r="T66" s="46">
        <f ca="1" t="shared" si="10"/>
        <v>0.284440039643211</v>
      </c>
      <c r="U66" s="46">
        <f ca="1" t="shared" si="11"/>
        <v>0.0792864222001983</v>
      </c>
      <c r="V66" s="48">
        <f ca="1" t="shared" si="12"/>
        <v>0.392798558336764</v>
      </c>
      <c r="W66" s="48">
        <f ca="1" t="shared" si="13"/>
        <v>2.35251746174225</v>
      </c>
      <c r="X66" s="48">
        <f ca="1" t="shared" si="14"/>
        <v>1.85745970933883</v>
      </c>
      <c r="Y66" s="48">
        <f t="shared" si="15"/>
        <v>0.913483595551114</v>
      </c>
      <c r="Z66" s="105">
        <f ca="1" t="shared" si="16"/>
        <v>0.0712074134293848</v>
      </c>
      <c r="AA66" s="105">
        <f ca="1" t="shared" si="17"/>
        <v>0.426469700417047</v>
      </c>
      <c r="AB66" s="105">
        <f ca="1" t="shared" si="18"/>
        <v>0.336724508387625</v>
      </c>
      <c r="AC66" s="105">
        <f ca="1" t="shared" si="19"/>
        <v>0.165598377765943</v>
      </c>
      <c r="AD66" s="105">
        <f ca="1" t="shared" si="20"/>
        <v>0.636273538156591</v>
      </c>
      <c r="AE66" s="105">
        <f ca="1" t="shared" si="21"/>
        <v>0.284440039643211</v>
      </c>
      <c r="AF66" s="105">
        <f ca="1" t="shared" si="22"/>
        <v>0.0792864222001982</v>
      </c>
    </row>
    <row r="67" ht="16.5" spans="1:32">
      <c r="A67">
        <f ca="1" t="shared" si="0"/>
        <v>6054</v>
      </c>
      <c r="B67" s="2">
        <v>65</v>
      </c>
      <c r="C67" s="2">
        <f>_xlfn.XLOOKUP(练度预期!D67,装备养成!$B$3:$B$303,装备养成!$D$3:$D$303)*6</f>
        <v>3852</v>
      </c>
      <c r="D67" s="2" cm="1">
        <f ca="1" t="array" ref="D67">_xlfn.XLOOKUP(练度预期!E67&amp;"_"&amp;INT(练度预期!C67/10)*10+10,装备养成!$N$4:$N$219&amp;"_"&amp;装备养成!$K$4:$K$219,装备养成!$P$4:$P$219)*练度预期!F67+_xlfn.XLOOKUP(练度预期!E67-1&amp;"_"&amp;INT(练度预期!C67/10)*10+10,装备养成!$N$4:$N$219&amp;"_"&amp;装备养成!$K$4:$K$219,装备养成!$P$4:$P$219)*(6-练度预期!F67)</f>
        <v>1722</v>
      </c>
      <c r="E67" s="2">
        <f ca="1">练度预期!N67*4*练度预期!M67</f>
        <v>480</v>
      </c>
      <c r="F67" s="103">
        <f ca="1">INT(练度预期!D67/10)*0.02+1+_xlfn.XLOOKUP(练度预期!E67,装备养成!$U$3:$U$11,装备养成!$V$3:$V$11)*练度预期!F67+_xlfn.XLOOKUP(练度预期!E67-1,装备养成!$U$3:$U$11,装备养成!$V$3:$V$11)*(6-练度预期!F67)</f>
        <v>1.48112</v>
      </c>
      <c r="G67" s="48">
        <f ca="1">OFFSET(梦灵养成!$K$20,_xlfn.XLOOKUP(练度预期!H67,梦灵养成!$D$10:$D$28,梦灵养成!$H$10:$H$28),MATCH(OFFSET(梦灵养成!$C$33,B67,MATCH(练度预期!H67,梦灵养成!$D$33:$V$33,0)),梦灵养成!$L$20:$R$20,1))*(1+(OFFSET(梦灵养成!$C$33,B67,MATCH(练度预期!H67,梦灵养成!$D$33:$V$33,0))-1)*_xlfn.XLOOKUP(练度预期!H67,梦灵养成!$D$9:$D$28,梦灵养成!$G$9:$G$28))</f>
        <v>10.512</v>
      </c>
      <c r="H67" s="46">
        <f ca="1">符文养成!AC68</f>
        <v>6.46696227700162</v>
      </c>
      <c r="I67" s="46">
        <f>MAX(_xlfn.XLOOKUP(练度预期!O67,秘宝养成!$B$3:$B$15,秘宝养成!$E$3:$E$15),1)</f>
        <v>2.492992</v>
      </c>
      <c r="J67" s="104">
        <f ca="1" t="shared" si="1"/>
        <v>1519634.79044121</v>
      </c>
      <c r="K67" s="104">
        <f ca="1">MATCH(J67,关卡预期!$E$4:$E$303,1)</f>
        <v>119</v>
      </c>
      <c r="L67" s="48">
        <f ca="1" t="shared" si="2"/>
        <v>0.636273538156591</v>
      </c>
      <c r="M67" s="48">
        <f ca="1" t="shared" si="3"/>
        <v>0.284440039643211</v>
      </c>
      <c r="N67" s="48">
        <f ca="1" t="shared" si="4"/>
        <v>0.0792864222001981</v>
      </c>
      <c r="O67" s="48">
        <f ca="1" t="shared" si="5"/>
        <v>0.0710882498141956</v>
      </c>
      <c r="P67" s="48">
        <f ca="1" t="shared" si="6"/>
        <v>0.425756015298843</v>
      </c>
      <c r="Q67" s="48">
        <f ca="1" t="shared" si="7"/>
        <v>0.337834481375555</v>
      </c>
      <c r="R67" s="48">
        <f ca="1" t="shared" si="8"/>
        <v>0.165321253511407</v>
      </c>
      <c r="S67" s="46">
        <f ca="1" t="shared" si="9"/>
        <v>0.636273538156591</v>
      </c>
      <c r="T67" s="46">
        <f ca="1" t="shared" si="10"/>
        <v>0.284440039643211</v>
      </c>
      <c r="U67" s="46">
        <f ca="1" t="shared" si="11"/>
        <v>0.0792864222001981</v>
      </c>
      <c r="V67" s="48">
        <f ca="1" t="shared" si="12"/>
        <v>0.392798558336764</v>
      </c>
      <c r="W67" s="48">
        <f ca="1" t="shared" si="13"/>
        <v>2.35251746174225</v>
      </c>
      <c r="X67" s="48">
        <f ca="1" t="shared" si="14"/>
        <v>1.86670648929476</v>
      </c>
      <c r="Y67" s="48">
        <f t="shared" si="15"/>
        <v>0.913483595551114</v>
      </c>
      <c r="Z67" s="105">
        <f ca="1" t="shared" si="16"/>
        <v>0.0710882498141956</v>
      </c>
      <c r="AA67" s="105">
        <f ca="1" t="shared" si="17"/>
        <v>0.425756015298843</v>
      </c>
      <c r="AB67" s="105">
        <f ca="1" t="shared" si="18"/>
        <v>0.337834481375555</v>
      </c>
      <c r="AC67" s="105">
        <f ca="1" t="shared" si="19"/>
        <v>0.165321253511407</v>
      </c>
      <c r="AD67" s="105">
        <f ca="1" t="shared" si="20"/>
        <v>0.636273538156591</v>
      </c>
      <c r="AE67" s="105">
        <f ca="1" t="shared" si="21"/>
        <v>0.284440039643211</v>
      </c>
      <c r="AF67" s="105">
        <f ca="1" t="shared" si="22"/>
        <v>0.0792864222001982</v>
      </c>
    </row>
    <row r="68" ht="16.5" spans="1:32">
      <c r="A68">
        <f ca="1" t="shared" ref="A68:A131" si="23">SUM(C68:E68)</f>
        <v>6150</v>
      </c>
      <c r="B68" s="2">
        <v>66</v>
      </c>
      <c r="C68" s="2">
        <f>_xlfn.XLOOKUP(练度预期!D68,装备养成!$B$3:$B$303,装备养成!$D$3:$D$303)*6</f>
        <v>3948</v>
      </c>
      <c r="D68" s="2" cm="1">
        <f ca="1" t="array" ref="D68">_xlfn.XLOOKUP(练度预期!E68&amp;"_"&amp;INT(练度预期!C68/10)*10+10,装备养成!$N$4:$N$219&amp;"_"&amp;装备养成!$K$4:$K$219,装备养成!$P$4:$P$219)*练度预期!F68+_xlfn.XLOOKUP(练度预期!E68-1&amp;"_"&amp;INT(练度预期!C68/10)*10+10,装备养成!$N$4:$N$219&amp;"_"&amp;装备养成!$K$4:$K$219,装备养成!$P$4:$P$219)*(6-练度预期!F68)</f>
        <v>1722</v>
      </c>
      <c r="E68" s="2">
        <f ca="1">练度预期!N68*4*练度预期!M68</f>
        <v>480</v>
      </c>
      <c r="F68" s="103">
        <f ca="1">INT(练度预期!D68/10)*0.02+1+_xlfn.XLOOKUP(练度预期!E68,装备养成!$U$3:$U$11,装备养成!$V$3:$V$11)*练度预期!F68+_xlfn.XLOOKUP(练度预期!E68-1,装备养成!$U$3:$U$11,装备养成!$V$3:$V$11)*(6-练度预期!F68)</f>
        <v>1.48112</v>
      </c>
      <c r="G68" s="48">
        <f ca="1">OFFSET(梦灵养成!$K$20,_xlfn.XLOOKUP(练度预期!H68,梦灵养成!$D$10:$D$28,梦灵养成!$H$10:$H$28),MATCH(OFFSET(梦灵养成!$C$33,B68,MATCH(练度预期!H68,梦灵养成!$D$33:$V$33,0)),梦灵养成!$L$20:$R$20,1))*(1+(OFFSET(梦灵养成!$C$33,B68,MATCH(练度预期!H68,梦灵养成!$D$33:$V$33,0))-1)*_xlfn.XLOOKUP(练度预期!H68,梦灵养成!$D$9:$D$28,梦灵养成!$G$9:$G$28))</f>
        <v>10.512</v>
      </c>
      <c r="H68" s="46">
        <f ca="1">符文养成!AC69</f>
        <v>6.55078393926196</v>
      </c>
      <c r="I68" s="46">
        <f>MAX(_xlfn.XLOOKUP(练度预期!O68,秘宝养成!$B$3:$B$15,秘宝养成!$E$3:$E$15),1)</f>
        <v>2.492992</v>
      </c>
      <c r="J68" s="104">
        <f ca="1" t="shared" ref="J68:J131" si="24">(C68+D68+E68)*G68*H68*I68*F68</f>
        <v>1563741.18600485</v>
      </c>
      <c r="K68" s="104">
        <f ca="1">MATCH(J68,关卡预期!$E$4:$E$303,1)</f>
        <v>119</v>
      </c>
      <c r="L68" s="48">
        <f ca="1" t="shared" ref="L68:L131" si="25">S68/SUM($S68:$U68)</f>
        <v>0.641951219512195</v>
      </c>
      <c r="M68" s="48">
        <f ca="1" t="shared" ref="M68:M131" si="26">T68/SUM($S68:$U68)</f>
        <v>0.28</v>
      </c>
      <c r="N68" s="48">
        <f ca="1" t="shared" ref="N68:N131" si="27">U68/SUM($S68:$U68)</f>
        <v>0.0780487804878047</v>
      </c>
      <c r="O68" s="48">
        <f ca="1" t="shared" ref="O68:O131" si="28">V68/SUM($V68:$Y68)</f>
        <v>0.0709229504445333</v>
      </c>
      <c r="P68" s="48">
        <f ca="1" t="shared" ref="P68:P131" si="29">W68/SUM($V68:$Y68)</f>
        <v>0.424766017638994</v>
      </c>
      <c r="Q68" s="48">
        <f ca="1" t="shared" ref="Q68:Q131" si="30">X68/SUM($V68:$Y68)</f>
        <v>0.33937419494463</v>
      </c>
      <c r="R68" s="48">
        <f ca="1" t="shared" ref="R68:R131" si="31">Y68/SUM($V68:$Y68)</f>
        <v>0.164936836971843</v>
      </c>
      <c r="S68" s="46">
        <f ca="1" t="shared" ref="S68:S131" si="32">1-($C68+$D68+$E68-C68)*$G68*$H68*$F68*$I68/$J68</f>
        <v>0.641951219512195</v>
      </c>
      <c r="T68" s="46">
        <f ca="1" t="shared" ref="T68:T131" si="33">1-($C68+$D68+$E68-D68)*$G68*$H68*$F68*$I68/$J68</f>
        <v>0.28</v>
      </c>
      <c r="U68" s="46">
        <f ca="1" t="shared" ref="U68:U131" si="34">1-($C68+$D68+$E68-E68)*$G68*$H68*$F68*$I68/$J68</f>
        <v>0.0780487804878047</v>
      </c>
      <c r="V68" s="48">
        <f ca="1" t="shared" ref="V68:V131" si="35">LOG(F68,EXP(1))</f>
        <v>0.392798558336764</v>
      </c>
      <c r="W68" s="48">
        <f ca="1" t="shared" ref="W68:W131" si="36">LOG(G68,EXP(1))</f>
        <v>2.35251746174225</v>
      </c>
      <c r="X68" s="48">
        <f ca="1" t="shared" ref="X68:X131" si="37">LOG(H68,EXP(1))</f>
        <v>1.87958472786894</v>
      </c>
      <c r="Y68" s="48">
        <f t="shared" ref="Y68:Y131" si="38">LOG(I68,EXP(1))</f>
        <v>0.913483595551114</v>
      </c>
      <c r="Z68" s="105">
        <f ca="1" t="shared" ref="Z68:Z131" si="39">O68/SUM($O68:$R68)</f>
        <v>0.0709229504445333</v>
      </c>
      <c r="AA68" s="105">
        <f ca="1" t="shared" ref="AA68:AA131" si="40">P68/SUM($O68:$R68)</f>
        <v>0.424766017638994</v>
      </c>
      <c r="AB68" s="105">
        <f ca="1" t="shared" ref="AB68:AB131" si="41">Q68/SUM($O68:$R68)</f>
        <v>0.33937419494463</v>
      </c>
      <c r="AC68" s="105">
        <f ca="1" t="shared" ref="AC68:AC131" si="42">R68/SUM($O68:$R68)</f>
        <v>0.164936836971843</v>
      </c>
      <c r="AD68" s="105">
        <f ca="1" t="shared" ref="AD68:AD131" si="43">C68/SUM($C68:$E68)</f>
        <v>0.641951219512195</v>
      </c>
      <c r="AE68" s="105">
        <f ca="1" t="shared" ref="AE68:AE131" si="44">D68/SUM($C68:$E68)</f>
        <v>0.28</v>
      </c>
      <c r="AF68" s="105">
        <f ca="1" t="shared" ref="AF68:AF131" si="45">E68/SUM($C68:$E68)</f>
        <v>0.0780487804878049</v>
      </c>
    </row>
    <row r="69" ht="16.5" spans="1:32">
      <c r="A69">
        <f ca="1" t="shared" si="23"/>
        <v>6246</v>
      </c>
      <c r="B69" s="2">
        <v>67</v>
      </c>
      <c r="C69" s="2">
        <f>_xlfn.XLOOKUP(练度预期!D69,装备养成!$B$3:$B$303,装备养成!$D$3:$D$303)*6</f>
        <v>4044</v>
      </c>
      <c r="D69" s="2" cm="1">
        <f ca="1" t="array" ref="D69">_xlfn.XLOOKUP(练度预期!E69&amp;"_"&amp;INT(练度预期!C69/10)*10+10,装备养成!$N$4:$N$219&amp;"_"&amp;装备养成!$K$4:$K$219,装备养成!$P$4:$P$219)*练度预期!F69+_xlfn.XLOOKUP(练度预期!E69-1&amp;"_"&amp;INT(练度预期!C69/10)*10+10,装备养成!$N$4:$N$219&amp;"_"&amp;装备养成!$K$4:$K$219,装备养成!$P$4:$P$219)*(6-练度预期!F69)</f>
        <v>1722</v>
      </c>
      <c r="E69" s="2">
        <f ca="1">练度预期!N69*4*练度预期!M69</f>
        <v>480</v>
      </c>
      <c r="F69" s="103">
        <f ca="1">INT(练度预期!D69/10)*0.02+1+_xlfn.XLOOKUP(练度预期!E69,装备养成!$U$3:$U$11,装备养成!$V$3:$V$11)*练度预期!F69+_xlfn.XLOOKUP(练度预期!E69-1,装备养成!$U$3:$U$11,装备养成!$V$3:$V$11)*(6-练度预期!F69)</f>
        <v>1.48112</v>
      </c>
      <c r="G69" s="48">
        <f ca="1">OFFSET(梦灵养成!$K$20,_xlfn.XLOOKUP(练度预期!H69,梦灵养成!$D$10:$D$28,梦灵养成!$H$10:$H$28),MATCH(OFFSET(梦灵养成!$C$33,B69,MATCH(练度预期!H69,梦灵养成!$D$33:$V$33,0)),梦灵养成!$L$20:$R$20,1))*(1+(OFFSET(梦灵养成!$C$33,B69,MATCH(练度预期!H69,梦灵养成!$D$33:$V$33,0))-1)*_xlfn.XLOOKUP(练度预期!H69,梦灵养成!$D$9:$D$28,梦灵养成!$G$9:$G$28))</f>
        <v>10.512</v>
      </c>
      <c r="H69" s="46">
        <f ca="1">符文养成!AC70</f>
        <v>6.63201421733344</v>
      </c>
      <c r="I69" s="46">
        <f>MAX(_xlfn.XLOOKUP(练度预期!O69,秘宝养成!$B$3:$B$15,秘宝养成!$E$3:$E$15),1)</f>
        <v>2.492992</v>
      </c>
      <c r="J69" s="104">
        <f ca="1" t="shared" si="24"/>
        <v>1607844.00958586</v>
      </c>
      <c r="K69" s="104">
        <f ca="1">MATCH(J69,关卡预期!$E$4:$E$303,1)</f>
        <v>119</v>
      </c>
      <c r="L69" s="48">
        <f ca="1" t="shared" si="25"/>
        <v>0.64745437079731</v>
      </c>
      <c r="M69" s="48">
        <f ca="1" t="shared" si="26"/>
        <v>0.275696445725264</v>
      </c>
      <c r="N69" s="48">
        <f ca="1" t="shared" si="27"/>
        <v>0.0768491834774256</v>
      </c>
      <c r="O69" s="48">
        <f ca="1" t="shared" si="28"/>
        <v>0.0707654853752945</v>
      </c>
      <c r="P69" s="48">
        <f ca="1" t="shared" si="29"/>
        <v>0.423822940539711</v>
      </c>
      <c r="Q69" s="48">
        <f ca="1" t="shared" si="30"/>
        <v>0.340840934377803</v>
      </c>
      <c r="R69" s="48">
        <f ca="1" t="shared" si="31"/>
        <v>0.164570639707191</v>
      </c>
      <c r="S69" s="46">
        <f ca="1" t="shared" si="32"/>
        <v>0.64745437079731</v>
      </c>
      <c r="T69" s="46">
        <f ca="1" t="shared" si="33"/>
        <v>0.275696445725264</v>
      </c>
      <c r="U69" s="46">
        <f ca="1" t="shared" si="34"/>
        <v>0.0768491834774256</v>
      </c>
      <c r="V69" s="48">
        <f ca="1" t="shared" si="35"/>
        <v>0.392798558336764</v>
      </c>
      <c r="W69" s="48">
        <f ca="1" t="shared" si="36"/>
        <v>2.35251746174225</v>
      </c>
      <c r="X69" s="48">
        <f ca="1" t="shared" si="37"/>
        <v>1.8919085615782</v>
      </c>
      <c r="Y69" s="48">
        <f t="shared" si="38"/>
        <v>0.913483595551114</v>
      </c>
      <c r="Z69" s="105">
        <f ca="1" t="shared" si="39"/>
        <v>0.0707654853752945</v>
      </c>
      <c r="AA69" s="105">
        <f ca="1" t="shared" si="40"/>
        <v>0.423822940539711</v>
      </c>
      <c r="AB69" s="105">
        <f ca="1" t="shared" si="41"/>
        <v>0.340840934377803</v>
      </c>
      <c r="AC69" s="105">
        <f ca="1" t="shared" si="42"/>
        <v>0.164570639707191</v>
      </c>
      <c r="AD69" s="105">
        <f ca="1" t="shared" si="43"/>
        <v>0.64745437079731</v>
      </c>
      <c r="AE69" s="105">
        <f ca="1" t="shared" si="44"/>
        <v>0.275696445725264</v>
      </c>
      <c r="AF69" s="105">
        <f ca="1" t="shared" si="45"/>
        <v>0.0768491834774256</v>
      </c>
    </row>
    <row r="70" ht="16.5" spans="1:32">
      <c r="A70">
        <f ca="1" t="shared" si="23"/>
        <v>6246</v>
      </c>
      <c r="B70" s="2">
        <v>68</v>
      </c>
      <c r="C70" s="2">
        <f>_xlfn.XLOOKUP(练度预期!D70,装备养成!$B$3:$B$303,装备养成!$D$3:$D$303)*6</f>
        <v>4044</v>
      </c>
      <c r="D70" s="2" cm="1">
        <f ca="1" t="array" ref="D70">_xlfn.XLOOKUP(练度预期!E70&amp;"_"&amp;INT(练度预期!C70/10)*10+10,装备养成!$N$4:$N$219&amp;"_"&amp;装备养成!$K$4:$K$219,装备养成!$P$4:$P$219)*练度预期!F70+_xlfn.XLOOKUP(练度预期!E70-1&amp;"_"&amp;INT(练度预期!C70/10)*10+10,装备养成!$N$4:$N$219&amp;"_"&amp;装备养成!$K$4:$K$219,装备养成!$P$4:$P$219)*(6-练度预期!F70)</f>
        <v>1722</v>
      </c>
      <c r="E70" s="2">
        <f ca="1">练度预期!N70*4*练度预期!M70</f>
        <v>480</v>
      </c>
      <c r="F70" s="103">
        <f ca="1">INT(练度预期!D70/10)*0.02+1+_xlfn.XLOOKUP(练度预期!E70,装备养成!$U$3:$U$11,装备养成!$V$3:$V$11)*练度预期!F70+_xlfn.XLOOKUP(练度预期!E70-1,装备养成!$U$3:$U$11,装备养成!$V$3:$V$11)*(6-练度预期!F70)</f>
        <v>1.48112</v>
      </c>
      <c r="G70" s="48">
        <f ca="1">OFFSET(梦灵养成!$K$20,_xlfn.XLOOKUP(练度预期!H70,梦灵养成!$D$10:$D$28,梦灵养成!$H$10:$H$28),MATCH(OFFSET(梦灵养成!$C$33,B70,MATCH(练度预期!H70,梦灵养成!$D$33:$V$33,0)),梦灵养成!$L$20:$R$20,1))*(1+(OFFSET(梦灵养成!$C$33,B70,MATCH(练度预期!H70,梦灵养成!$D$33:$V$33,0))-1)*_xlfn.XLOOKUP(练度预期!H70,梦灵养成!$D$9:$D$28,梦灵养成!$G$9:$G$28))</f>
        <v>10.512</v>
      </c>
      <c r="H70" s="46">
        <f ca="1">符文养成!AC71</f>
        <v>6.70435267899681</v>
      </c>
      <c r="I70" s="46">
        <f>MAX(_xlfn.XLOOKUP(练度预期!O70,秘宝养成!$B$3:$B$15,秘宝养成!$E$3:$E$15),1)</f>
        <v>2.492992</v>
      </c>
      <c r="J70" s="104">
        <f ca="1" t="shared" si="24"/>
        <v>1625381.51153272</v>
      </c>
      <c r="K70" s="104">
        <f ca="1">MATCH(J70,关卡预期!$E$4:$E$303,1)</f>
        <v>120</v>
      </c>
      <c r="L70" s="48">
        <f ca="1" t="shared" si="25"/>
        <v>0.64745437079731</v>
      </c>
      <c r="M70" s="48">
        <f ca="1" t="shared" si="26"/>
        <v>0.275696445725264</v>
      </c>
      <c r="N70" s="48">
        <f ca="1" t="shared" si="27"/>
        <v>0.0768491834774256</v>
      </c>
      <c r="O70" s="48">
        <f ca="1" t="shared" si="28"/>
        <v>0.0706274497717277</v>
      </c>
      <c r="P70" s="48">
        <f ca="1" t="shared" si="29"/>
        <v>0.422996228830004</v>
      </c>
      <c r="Q70" s="48">
        <f ca="1" t="shared" si="30"/>
        <v>0.342126694222269</v>
      </c>
      <c r="R70" s="48">
        <f ca="1" t="shared" si="31"/>
        <v>0.164249627175999</v>
      </c>
      <c r="S70" s="46">
        <f ca="1" t="shared" si="32"/>
        <v>0.64745437079731</v>
      </c>
      <c r="T70" s="46">
        <f ca="1" t="shared" si="33"/>
        <v>0.275696445725264</v>
      </c>
      <c r="U70" s="46">
        <f ca="1" t="shared" si="34"/>
        <v>0.0768491834774256</v>
      </c>
      <c r="V70" s="48">
        <f ca="1" t="shared" si="35"/>
        <v>0.392798558336764</v>
      </c>
      <c r="W70" s="48">
        <f ca="1" t="shared" si="36"/>
        <v>2.35251746174225</v>
      </c>
      <c r="X70" s="48">
        <f ca="1" t="shared" si="37"/>
        <v>1.902756969045</v>
      </c>
      <c r="Y70" s="48">
        <f t="shared" si="38"/>
        <v>0.913483595551114</v>
      </c>
      <c r="Z70" s="105">
        <f ca="1" t="shared" si="39"/>
        <v>0.0706274497717277</v>
      </c>
      <c r="AA70" s="105">
        <f ca="1" t="shared" si="40"/>
        <v>0.422996228830004</v>
      </c>
      <c r="AB70" s="105">
        <f ca="1" t="shared" si="41"/>
        <v>0.342126694222269</v>
      </c>
      <c r="AC70" s="105">
        <f ca="1" t="shared" si="42"/>
        <v>0.164249627175999</v>
      </c>
      <c r="AD70" s="105">
        <f ca="1" t="shared" si="43"/>
        <v>0.64745437079731</v>
      </c>
      <c r="AE70" s="105">
        <f ca="1" t="shared" si="44"/>
        <v>0.275696445725264</v>
      </c>
      <c r="AF70" s="105">
        <f ca="1" t="shared" si="45"/>
        <v>0.0768491834774256</v>
      </c>
    </row>
    <row r="71" ht="16.5" spans="1:32">
      <c r="A71">
        <f ca="1" t="shared" si="23"/>
        <v>6342</v>
      </c>
      <c r="B71" s="2">
        <v>69</v>
      </c>
      <c r="C71" s="2">
        <f>_xlfn.XLOOKUP(练度预期!D71,装备养成!$B$3:$B$303,装备养成!$D$3:$D$303)*6</f>
        <v>4140</v>
      </c>
      <c r="D71" s="2" cm="1">
        <f ca="1" t="array" ref="D71">_xlfn.XLOOKUP(练度预期!E71&amp;"_"&amp;INT(练度预期!C71/10)*10+10,装备养成!$N$4:$N$219&amp;"_"&amp;装备养成!$K$4:$K$219,装备养成!$P$4:$P$219)*练度预期!F71+_xlfn.XLOOKUP(练度预期!E71-1&amp;"_"&amp;INT(练度预期!C71/10)*10+10,装备养成!$N$4:$N$219&amp;"_"&amp;装备养成!$K$4:$K$219,装备养成!$P$4:$P$219)*(6-练度预期!F71)</f>
        <v>1722</v>
      </c>
      <c r="E71" s="2">
        <f ca="1">练度预期!N71*4*练度预期!M71</f>
        <v>480</v>
      </c>
      <c r="F71" s="103">
        <f ca="1">INT(练度预期!D71/10)*0.02+1+_xlfn.XLOOKUP(练度预期!E71,装备养成!$U$3:$U$11,装备养成!$V$3:$V$11)*练度预期!F71+_xlfn.XLOOKUP(练度预期!E71-1,装备养成!$U$3:$U$11,装备养成!$V$3:$V$11)*(6-练度预期!F71)</f>
        <v>1.48112</v>
      </c>
      <c r="G71" s="48">
        <f ca="1">OFFSET(梦灵养成!$K$20,_xlfn.XLOOKUP(练度预期!H71,梦灵养成!$D$10:$D$28,梦灵养成!$H$10:$H$28),MATCH(OFFSET(梦灵养成!$C$33,B71,MATCH(练度预期!H71,梦灵养成!$D$33:$V$33,0)),梦灵养成!$L$20:$R$20,1))*(1+(OFFSET(梦灵养成!$C$33,B71,MATCH(练度预期!H71,梦灵养成!$D$33:$V$33,0))-1)*_xlfn.XLOOKUP(练度预期!H71,梦灵养成!$D$9:$D$28,梦灵养成!$G$9:$G$28))</f>
        <v>10.95</v>
      </c>
      <c r="H71" s="46">
        <f ca="1">符文养成!AC72</f>
        <v>9.59308829318349</v>
      </c>
      <c r="I71" s="46">
        <f>MAX(_xlfn.XLOOKUP(练度预期!O71,秘宝养成!$B$3:$B$15,秘宝养成!$E$3:$E$15),1)</f>
        <v>2.492992</v>
      </c>
      <c r="J71" s="104">
        <f ca="1" t="shared" si="24"/>
        <v>2459857.39068021</v>
      </c>
      <c r="K71" s="104">
        <f ca="1">MATCH(J71,关卡预期!$E$4:$E$303,1)</f>
        <v>126</v>
      </c>
      <c r="L71" s="48">
        <f ca="1" t="shared" si="25"/>
        <v>0.65279091769158</v>
      </c>
      <c r="M71" s="48">
        <f ca="1" t="shared" si="26"/>
        <v>0.271523178807947</v>
      </c>
      <c r="N71" s="48">
        <f ca="1" t="shared" si="27"/>
        <v>0.0756859035004729</v>
      </c>
      <c r="O71" s="48">
        <f ca="1" t="shared" si="28"/>
        <v>0.0658984513662613</v>
      </c>
      <c r="P71" s="48">
        <f ca="1" t="shared" si="29"/>
        <v>0.401522257182653</v>
      </c>
      <c r="Q71" s="48">
        <f ca="1" t="shared" si="30"/>
        <v>0.379327317843554</v>
      </c>
      <c r="R71" s="48">
        <f ca="1" t="shared" si="31"/>
        <v>0.153251973607533</v>
      </c>
      <c r="S71" s="46">
        <f ca="1" t="shared" si="32"/>
        <v>0.65279091769158</v>
      </c>
      <c r="T71" s="46">
        <f ca="1" t="shared" si="33"/>
        <v>0.271523178807947</v>
      </c>
      <c r="U71" s="46">
        <f ca="1" t="shared" si="34"/>
        <v>0.0756859035004729</v>
      </c>
      <c r="V71" s="48">
        <f ca="1" t="shared" si="35"/>
        <v>0.392798558336764</v>
      </c>
      <c r="W71" s="48">
        <f ca="1" t="shared" si="36"/>
        <v>2.39333945626251</v>
      </c>
      <c r="X71" s="48">
        <f ca="1" t="shared" si="37"/>
        <v>2.26104286971126</v>
      </c>
      <c r="Y71" s="48">
        <f t="shared" si="38"/>
        <v>0.913483595551114</v>
      </c>
      <c r="Z71" s="105">
        <f ca="1" t="shared" si="39"/>
        <v>0.0658984513662613</v>
      </c>
      <c r="AA71" s="105">
        <f ca="1" t="shared" si="40"/>
        <v>0.401522257182653</v>
      </c>
      <c r="AB71" s="105">
        <f ca="1" t="shared" si="41"/>
        <v>0.379327317843554</v>
      </c>
      <c r="AC71" s="105">
        <f ca="1" t="shared" si="42"/>
        <v>0.153251973607533</v>
      </c>
      <c r="AD71" s="105">
        <f ca="1" t="shared" si="43"/>
        <v>0.65279091769158</v>
      </c>
      <c r="AE71" s="105">
        <f ca="1" t="shared" si="44"/>
        <v>0.271523178807947</v>
      </c>
      <c r="AF71" s="105">
        <f ca="1" t="shared" si="45"/>
        <v>0.075685903500473</v>
      </c>
    </row>
    <row r="72" ht="16.5" spans="1:32">
      <c r="A72">
        <f ca="1" t="shared" si="23"/>
        <v>6342</v>
      </c>
      <c r="B72" s="2">
        <v>70</v>
      </c>
      <c r="C72" s="2">
        <f>_xlfn.XLOOKUP(练度预期!D72,装备养成!$B$3:$B$303,装备养成!$D$3:$D$303)*6</f>
        <v>4140</v>
      </c>
      <c r="D72" s="2" cm="1">
        <f ca="1" t="array" ref="D72">_xlfn.XLOOKUP(练度预期!E72&amp;"_"&amp;INT(练度预期!C72/10)*10+10,装备养成!$N$4:$N$219&amp;"_"&amp;装备养成!$K$4:$K$219,装备养成!$P$4:$P$219)*练度预期!F72+_xlfn.XLOOKUP(练度预期!E72-1&amp;"_"&amp;INT(练度预期!C72/10)*10+10,装备养成!$N$4:$N$219&amp;"_"&amp;装备养成!$K$4:$K$219,装备养成!$P$4:$P$219)*(6-练度预期!F72)</f>
        <v>1722</v>
      </c>
      <c r="E72" s="2">
        <f ca="1">练度预期!N72*4*练度预期!M72</f>
        <v>480</v>
      </c>
      <c r="F72" s="103">
        <f ca="1">INT(练度预期!D72/10)*0.02+1+_xlfn.XLOOKUP(练度预期!E72,装备养成!$U$3:$U$11,装备养成!$V$3:$V$11)*练度预期!F72+_xlfn.XLOOKUP(练度预期!E72-1,装备养成!$U$3:$U$11,装备养成!$V$3:$V$11)*(6-练度预期!F72)</f>
        <v>1.48112</v>
      </c>
      <c r="G72" s="48">
        <f ca="1">OFFSET(梦灵养成!$K$20,_xlfn.XLOOKUP(练度预期!H72,梦灵养成!$D$10:$D$28,梦灵养成!$H$10:$H$28),MATCH(OFFSET(梦灵养成!$C$33,B72,MATCH(练度预期!H72,梦灵养成!$D$33:$V$33,0)),梦灵养成!$L$20:$R$20,1))*(1+(OFFSET(梦灵养成!$C$33,B72,MATCH(练度预期!H72,梦灵养成!$D$33:$V$33,0))-1)*_xlfn.XLOOKUP(练度预期!H72,梦灵养成!$D$9:$D$28,梦灵养成!$G$9:$G$28))</f>
        <v>10.95</v>
      </c>
      <c r="H72" s="46">
        <f ca="1">符文养成!AC73</f>
        <v>9.72311567472796</v>
      </c>
      <c r="I72" s="46">
        <f>MAX(_xlfn.XLOOKUP(练度预期!O72,秘宝养成!$B$3:$B$15,秘宝养成!$E$3:$E$15),1)</f>
        <v>2.492992</v>
      </c>
      <c r="J72" s="104">
        <f ca="1" t="shared" si="24"/>
        <v>2493198.98055281</v>
      </c>
      <c r="K72" s="104">
        <f ca="1">MATCH(J72,关卡预期!$E$4:$E$303,1)</f>
        <v>126</v>
      </c>
      <c r="L72" s="48">
        <f ca="1" t="shared" si="25"/>
        <v>0.65279091769158</v>
      </c>
      <c r="M72" s="48">
        <f ca="1" t="shared" si="26"/>
        <v>0.271523178807947</v>
      </c>
      <c r="N72" s="48">
        <f ca="1" t="shared" si="27"/>
        <v>0.075685903500473</v>
      </c>
      <c r="O72" s="48">
        <f ca="1" t="shared" si="28"/>
        <v>0.0657499432137245</v>
      </c>
      <c r="P72" s="48">
        <f ca="1" t="shared" si="29"/>
        <v>0.40061739026423</v>
      </c>
      <c r="Q72" s="48">
        <f ca="1" t="shared" si="30"/>
        <v>0.38072606017279</v>
      </c>
      <c r="R72" s="48">
        <f ca="1" t="shared" si="31"/>
        <v>0.152906606349256</v>
      </c>
      <c r="S72" s="46">
        <f ca="1" t="shared" si="32"/>
        <v>0.65279091769158</v>
      </c>
      <c r="T72" s="46">
        <f ca="1" t="shared" si="33"/>
        <v>0.271523178807947</v>
      </c>
      <c r="U72" s="46">
        <f ca="1" t="shared" si="34"/>
        <v>0.075685903500473</v>
      </c>
      <c r="V72" s="48">
        <f ca="1" t="shared" si="35"/>
        <v>0.392798558336764</v>
      </c>
      <c r="W72" s="48">
        <f ca="1" t="shared" si="36"/>
        <v>2.39333945626251</v>
      </c>
      <c r="X72" s="48">
        <f ca="1" t="shared" si="37"/>
        <v>2.27450610977701</v>
      </c>
      <c r="Y72" s="48">
        <f t="shared" si="38"/>
        <v>0.913483595551114</v>
      </c>
      <c r="Z72" s="105">
        <f ca="1" t="shared" si="39"/>
        <v>0.0657499432137245</v>
      </c>
      <c r="AA72" s="105">
        <f ca="1" t="shared" si="40"/>
        <v>0.40061739026423</v>
      </c>
      <c r="AB72" s="105">
        <f ca="1" t="shared" si="41"/>
        <v>0.38072606017279</v>
      </c>
      <c r="AC72" s="105">
        <f ca="1" t="shared" si="42"/>
        <v>0.152906606349256</v>
      </c>
      <c r="AD72" s="105">
        <f ca="1" t="shared" si="43"/>
        <v>0.65279091769158</v>
      </c>
      <c r="AE72" s="105">
        <f ca="1" t="shared" si="44"/>
        <v>0.271523178807947</v>
      </c>
      <c r="AF72" s="105">
        <f ca="1" t="shared" si="45"/>
        <v>0.075685903500473</v>
      </c>
    </row>
    <row r="73" ht="16.5" spans="1:32">
      <c r="A73">
        <f ca="1" t="shared" si="23"/>
        <v>6438</v>
      </c>
      <c r="B73" s="2">
        <v>71</v>
      </c>
      <c r="C73" s="2">
        <f>_xlfn.XLOOKUP(练度预期!D73,装备养成!$B$3:$B$303,装备养成!$D$3:$D$303)*6</f>
        <v>4236</v>
      </c>
      <c r="D73" s="2" cm="1">
        <f ca="1" t="array" ref="D73">_xlfn.XLOOKUP(练度预期!E73&amp;"_"&amp;INT(练度预期!C73/10)*10+10,装备养成!$N$4:$N$219&amp;"_"&amp;装备养成!$K$4:$K$219,装备养成!$P$4:$P$219)*练度预期!F73+_xlfn.XLOOKUP(练度预期!E73-1&amp;"_"&amp;INT(练度预期!C73/10)*10+10,装备养成!$N$4:$N$219&amp;"_"&amp;装备养成!$K$4:$K$219,装备养成!$P$4:$P$219)*(6-练度预期!F73)</f>
        <v>1722</v>
      </c>
      <c r="E73" s="2">
        <f ca="1">练度预期!N73*4*练度预期!M73</f>
        <v>480</v>
      </c>
      <c r="F73" s="103">
        <f ca="1">INT(练度预期!D73/10)*0.02+1+_xlfn.XLOOKUP(练度预期!E73,装备养成!$U$3:$U$11,装备养成!$V$3:$V$11)*练度预期!F73+_xlfn.XLOOKUP(练度预期!E73-1,装备养成!$U$3:$U$11,装备养成!$V$3:$V$11)*(6-练度预期!F73)</f>
        <v>1.48112</v>
      </c>
      <c r="G73" s="48">
        <f ca="1">OFFSET(梦灵养成!$K$20,_xlfn.XLOOKUP(练度预期!H73,梦灵养成!$D$10:$D$28,梦灵养成!$H$10:$H$28),MATCH(OFFSET(梦灵养成!$C$33,B73,MATCH(练度预期!H73,梦灵养成!$D$33:$V$33,0)),梦灵养成!$L$20:$R$20,1))*(1+(OFFSET(梦灵养成!$C$33,B73,MATCH(练度预期!H73,梦灵养成!$D$33:$V$33,0))-1)*_xlfn.XLOOKUP(练度预期!H73,梦灵养成!$D$9:$D$28,梦灵养成!$G$9:$G$28))</f>
        <v>10.95</v>
      </c>
      <c r="H73" s="46">
        <f ca="1">符文养成!AC74</f>
        <v>9.86017582003073</v>
      </c>
      <c r="I73" s="46">
        <f>MAX(_xlfn.XLOOKUP(练度预期!O73,秘宝养成!$B$3:$B$15,秘宝养成!$E$3:$E$15),1)</f>
        <v>2.492992</v>
      </c>
      <c r="J73" s="104">
        <f ca="1" t="shared" si="24"/>
        <v>2566615.90865311</v>
      </c>
      <c r="K73" s="104">
        <f ca="1">MATCH(J73,关卡预期!$E$4:$E$303,1)</f>
        <v>127</v>
      </c>
      <c r="L73" s="48">
        <f ca="1" t="shared" si="25"/>
        <v>0.657968313140727</v>
      </c>
      <c r="M73" s="48">
        <f ca="1" t="shared" si="26"/>
        <v>0.267474370922647</v>
      </c>
      <c r="N73" s="48">
        <f ca="1" t="shared" si="27"/>
        <v>0.0745573159366262</v>
      </c>
      <c r="O73" s="48">
        <f ca="1" t="shared" si="28"/>
        <v>0.0655962456205439</v>
      </c>
      <c r="P73" s="48">
        <f ca="1" t="shared" si="29"/>
        <v>0.399680903848268</v>
      </c>
      <c r="Q73" s="48">
        <f ca="1" t="shared" si="30"/>
        <v>0.382173679888012</v>
      </c>
      <c r="R73" s="48">
        <f ca="1" t="shared" si="31"/>
        <v>0.152549170643176</v>
      </c>
      <c r="S73" s="46">
        <f ca="1" t="shared" si="32"/>
        <v>0.657968313140727</v>
      </c>
      <c r="T73" s="46">
        <f ca="1" t="shared" si="33"/>
        <v>0.267474370922647</v>
      </c>
      <c r="U73" s="46">
        <f ca="1" t="shared" si="34"/>
        <v>0.0745573159366262</v>
      </c>
      <c r="V73" s="48">
        <f ca="1" t="shared" si="35"/>
        <v>0.392798558336764</v>
      </c>
      <c r="W73" s="48">
        <f ca="1" t="shared" si="36"/>
        <v>2.39333945626251</v>
      </c>
      <c r="X73" s="48">
        <f ca="1" t="shared" si="37"/>
        <v>2.28850400010168</v>
      </c>
      <c r="Y73" s="48">
        <f t="shared" si="38"/>
        <v>0.913483595551114</v>
      </c>
      <c r="Z73" s="105">
        <f ca="1" t="shared" si="39"/>
        <v>0.0655962456205439</v>
      </c>
      <c r="AA73" s="105">
        <f ca="1" t="shared" si="40"/>
        <v>0.399680903848268</v>
      </c>
      <c r="AB73" s="105">
        <f ca="1" t="shared" si="41"/>
        <v>0.382173679888012</v>
      </c>
      <c r="AC73" s="105">
        <f ca="1" t="shared" si="42"/>
        <v>0.152549170643176</v>
      </c>
      <c r="AD73" s="105">
        <f ca="1" t="shared" si="43"/>
        <v>0.657968313140727</v>
      </c>
      <c r="AE73" s="105">
        <f ca="1" t="shared" si="44"/>
        <v>0.267474370922647</v>
      </c>
      <c r="AF73" s="105">
        <f ca="1" t="shared" si="45"/>
        <v>0.0745573159366263</v>
      </c>
    </row>
    <row r="74" ht="16.5" spans="1:32">
      <c r="A74">
        <f ca="1" t="shared" si="23"/>
        <v>6438</v>
      </c>
      <c r="B74" s="2">
        <v>72</v>
      </c>
      <c r="C74" s="2">
        <f>_xlfn.XLOOKUP(练度预期!D74,装备养成!$B$3:$B$303,装备养成!$D$3:$D$303)*6</f>
        <v>4236</v>
      </c>
      <c r="D74" s="2" cm="1">
        <f ca="1" t="array" ref="D74">_xlfn.XLOOKUP(练度预期!E74&amp;"_"&amp;INT(练度预期!C74/10)*10+10,装备养成!$N$4:$N$219&amp;"_"&amp;装备养成!$K$4:$K$219,装备养成!$P$4:$P$219)*练度预期!F74+_xlfn.XLOOKUP(练度预期!E74-1&amp;"_"&amp;INT(练度预期!C74/10)*10+10,装备养成!$N$4:$N$219&amp;"_"&amp;装备养成!$K$4:$K$219,装备养成!$P$4:$P$219)*(6-练度预期!F74)</f>
        <v>1722</v>
      </c>
      <c r="E74" s="2">
        <f ca="1">练度预期!N74*4*练度预期!M74</f>
        <v>480</v>
      </c>
      <c r="F74" s="103">
        <f ca="1">INT(练度预期!D74/10)*0.02+1+_xlfn.XLOOKUP(练度预期!E74,装备养成!$U$3:$U$11,装备养成!$V$3:$V$11)*练度预期!F74+_xlfn.XLOOKUP(练度预期!E74-1,装备养成!$U$3:$U$11,装备养成!$V$3:$V$11)*(6-练度预期!F74)</f>
        <v>1.48112</v>
      </c>
      <c r="G74" s="48">
        <f ca="1">OFFSET(梦灵养成!$K$20,_xlfn.XLOOKUP(练度预期!H74,梦灵养成!$D$10:$D$28,梦灵养成!$H$10:$H$28),MATCH(OFFSET(梦灵养成!$C$33,B74,MATCH(练度预期!H74,梦灵养成!$D$33:$V$33,0)),梦灵养成!$L$20:$R$20,1))*(1+(OFFSET(梦灵养成!$C$33,B74,MATCH(练度预期!H74,梦灵养成!$D$33:$V$33,0))-1)*_xlfn.XLOOKUP(练度预期!H74,梦灵养成!$D$9:$D$28,梦灵养成!$G$9:$G$28))</f>
        <v>10.95</v>
      </c>
      <c r="H74" s="46">
        <f ca="1">符文养成!AC75</f>
        <v>9.99076275207387</v>
      </c>
      <c r="I74" s="46">
        <f>MAX(_xlfn.XLOOKUP(练度预期!O74,秘宝养成!$B$3:$B$15,秘宝养成!$E$3:$E$15),1)</f>
        <v>2.492992</v>
      </c>
      <c r="J74" s="104">
        <f ca="1" t="shared" si="24"/>
        <v>2600607.84788033</v>
      </c>
      <c r="K74" s="104">
        <f ca="1">MATCH(J74,关卡预期!$E$4:$E$303,1)</f>
        <v>127</v>
      </c>
      <c r="L74" s="48">
        <f ca="1" t="shared" si="25"/>
        <v>0.657968313140727</v>
      </c>
      <c r="M74" s="48">
        <f ca="1" t="shared" si="26"/>
        <v>0.267474370922647</v>
      </c>
      <c r="N74" s="48">
        <f ca="1" t="shared" si="27"/>
        <v>0.0745573159366261</v>
      </c>
      <c r="O74" s="48">
        <f ca="1" t="shared" si="28"/>
        <v>0.0654524353700893</v>
      </c>
      <c r="P74" s="48">
        <f ca="1" t="shared" si="29"/>
        <v>0.398804661460605</v>
      </c>
      <c r="Q74" s="48">
        <f ca="1" t="shared" si="30"/>
        <v>0.383528174447757</v>
      </c>
      <c r="R74" s="48">
        <f ca="1" t="shared" si="31"/>
        <v>0.152214728721549</v>
      </c>
      <c r="S74" s="46">
        <f ca="1" t="shared" si="32"/>
        <v>0.657968313140727</v>
      </c>
      <c r="T74" s="46">
        <f ca="1" t="shared" si="33"/>
        <v>0.267474370922647</v>
      </c>
      <c r="U74" s="46">
        <f ca="1" t="shared" si="34"/>
        <v>0.0745573159366261</v>
      </c>
      <c r="V74" s="48">
        <f ca="1" t="shared" si="35"/>
        <v>0.392798558336764</v>
      </c>
      <c r="W74" s="48">
        <f ca="1" t="shared" si="36"/>
        <v>2.39333945626251</v>
      </c>
      <c r="X74" s="48">
        <f ca="1" t="shared" si="37"/>
        <v>2.30166094130478</v>
      </c>
      <c r="Y74" s="48">
        <f t="shared" si="38"/>
        <v>0.913483595551114</v>
      </c>
      <c r="Z74" s="105">
        <f ca="1" t="shared" si="39"/>
        <v>0.0654524353700893</v>
      </c>
      <c r="AA74" s="105">
        <f ca="1" t="shared" si="40"/>
        <v>0.398804661460605</v>
      </c>
      <c r="AB74" s="105">
        <f ca="1" t="shared" si="41"/>
        <v>0.383528174447757</v>
      </c>
      <c r="AC74" s="105">
        <f ca="1" t="shared" si="42"/>
        <v>0.152214728721549</v>
      </c>
      <c r="AD74" s="105">
        <f ca="1" t="shared" si="43"/>
        <v>0.657968313140727</v>
      </c>
      <c r="AE74" s="105">
        <f ca="1" t="shared" si="44"/>
        <v>0.267474370922647</v>
      </c>
      <c r="AF74" s="105">
        <f ca="1" t="shared" si="45"/>
        <v>0.0745573159366263</v>
      </c>
    </row>
    <row r="75" ht="16.5" spans="1:32">
      <c r="A75">
        <f ca="1" t="shared" si="23"/>
        <v>6534</v>
      </c>
      <c r="B75" s="2">
        <v>73</v>
      </c>
      <c r="C75" s="2">
        <f>_xlfn.XLOOKUP(练度预期!D75,装备养成!$B$3:$B$303,装备养成!$D$3:$D$303)*6</f>
        <v>4332</v>
      </c>
      <c r="D75" s="2" cm="1">
        <f ca="1" t="array" ref="D75">_xlfn.XLOOKUP(练度预期!E75&amp;"_"&amp;INT(练度预期!C75/10)*10+10,装备养成!$N$4:$N$219&amp;"_"&amp;装备养成!$K$4:$K$219,装备养成!$P$4:$P$219)*练度预期!F75+_xlfn.XLOOKUP(练度预期!E75-1&amp;"_"&amp;INT(练度预期!C75/10)*10+10,装备养成!$N$4:$N$219&amp;"_"&amp;装备养成!$K$4:$K$219,装备养成!$P$4:$P$219)*(6-练度预期!F75)</f>
        <v>1722</v>
      </c>
      <c r="E75" s="2">
        <f ca="1">练度预期!N75*4*练度预期!M75</f>
        <v>480</v>
      </c>
      <c r="F75" s="103">
        <f ca="1">INT(练度预期!D75/10)*0.02+1+_xlfn.XLOOKUP(练度预期!E75,装备养成!$U$3:$U$11,装备养成!$V$3:$V$11)*练度预期!F75+_xlfn.XLOOKUP(练度预期!E75-1,装备养成!$U$3:$U$11,装备养成!$V$3:$V$11)*(6-练度预期!F75)</f>
        <v>1.48112</v>
      </c>
      <c r="G75" s="48">
        <f ca="1">OFFSET(梦灵养成!$K$20,_xlfn.XLOOKUP(练度预期!H75,梦灵养成!$D$10:$D$28,梦灵养成!$H$10:$H$28),MATCH(OFFSET(梦灵养成!$C$33,B75,MATCH(练度预期!H75,梦灵养成!$D$33:$V$33,0)),梦灵养成!$L$20:$R$20,1))*(1+(OFFSET(梦灵养成!$C$33,B75,MATCH(练度预期!H75,梦灵养成!$D$33:$V$33,0))-1)*_xlfn.XLOOKUP(练度预期!H75,梦灵养成!$D$9:$D$28,梦灵养成!$G$9:$G$28))</f>
        <v>10.95</v>
      </c>
      <c r="H75" s="46">
        <f ca="1">符文养成!AC76</f>
        <v>10.1498771795303</v>
      </c>
      <c r="I75" s="46">
        <f>MAX(_xlfn.XLOOKUP(练度预期!O75,秘宝养成!$B$3:$B$15,秘宝养成!$E$3:$E$15),1)</f>
        <v>2.492992</v>
      </c>
      <c r="J75" s="104">
        <f ca="1" t="shared" si="24"/>
        <v>2681421.99571497</v>
      </c>
      <c r="K75" s="104">
        <f ca="1">MATCH(J75,关卡预期!$E$4:$E$303,1)</f>
        <v>127</v>
      </c>
      <c r="L75" s="48">
        <f ca="1" t="shared" si="25"/>
        <v>0.662993572084481</v>
      </c>
      <c r="M75" s="48">
        <f ca="1" t="shared" si="26"/>
        <v>0.263544536271809</v>
      </c>
      <c r="N75" s="48">
        <f ca="1" t="shared" si="27"/>
        <v>0.0734618916437097</v>
      </c>
      <c r="O75" s="48">
        <f ca="1" t="shared" si="28"/>
        <v>0.0652805594172028</v>
      </c>
      <c r="P75" s="48">
        <f ca="1" t="shared" si="29"/>
        <v>0.397757413473321</v>
      </c>
      <c r="Q75" s="48">
        <f ca="1" t="shared" si="30"/>
        <v>0.385147009283243</v>
      </c>
      <c r="R75" s="48">
        <f ca="1" t="shared" si="31"/>
        <v>0.151815017826233</v>
      </c>
      <c r="S75" s="46">
        <f ca="1" t="shared" si="32"/>
        <v>0.662993572084481</v>
      </c>
      <c r="T75" s="46">
        <f ca="1" t="shared" si="33"/>
        <v>0.263544536271809</v>
      </c>
      <c r="U75" s="46">
        <f ca="1" t="shared" si="34"/>
        <v>0.0734618916437096</v>
      </c>
      <c r="V75" s="48">
        <f ca="1" t="shared" si="35"/>
        <v>0.392798558336764</v>
      </c>
      <c r="W75" s="48">
        <f ca="1" t="shared" si="36"/>
        <v>2.39333945626251</v>
      </c>
      <c r="X75" s="48">
        <f ca="1" t="shared" si="37"/>
        <v>2.3174616048757</v>
      </c>
      <c r="Y75" s="48">
        <f t="shared" si="38"/>
        <v>0.913483595551114</v>
      </c>
      <c r="Z75" s="105">
        <f ca="1" t="shared" si="39"/>
        <v>0.0652805594172028</v>
      </c>
      <c r="AA75" s="105">
        <f ca="1" t="shared" si="40"/>
        <v>0.397757413473321</v>
      </c>
      <c r="AB75" s="105">
        <f ca="1" t="shared" si="41"/>
        <v>0.385147009283243</v>
      </c>
      <c r="AC75" s="105">
        <f ca="1" t="shared" si="42"/>
        <v>0.151815017826233</v>
      </c>
      <c r="AD75" s="105">
        <f ca="1" t="shared" si="43"/>
        <v>0.662993572084481</v>
      </c>
      <c r="AE75" s="105">
        <f ca="1" t="shared" si="44"/>
        <v>0.263544536271809</v>
      </c>
      <c r="AF75" s="105">
        <f ca="1" t="shared" si="45"/>
        <v>0.0734618916437098</v>
      </c>
    </row>
    <row r="76" ht="16.5" spans="1:32">
      <c r="A76">
        <f ca="1" t="shared" si="23"/>
        <v>6654</v>
      </c>
      <c r="B76" s="2">
        <v>74</v>
      </c>
      <c r="C76" s="2">
        <f>_xlfn.XLOOKUP(练度预期!D76,装备养成!$B$3:$B$303,装备养成!$D$3:$D$303)*6</f>
        <v>4452</v>
      </c>
      <c r="D76" s="2" cm="1">
        <f ca="1" t="array" ref="D76">_xlfn.XLOOKUP(练度预期!E76&amp;"_"&amp;INT(练度预期!C76/10)*10+10,装备养成!$N$4:$N$219&amp;"_"&amp;装备养成!$K$4:$K$219,装备养成!$P$4:$P$219)*练度预期!F76+_xlfn.XLOOKUP(练度预期!E76-1&amp;"_"&amp;INT(练度预期!C76/10)*10+10,装备养成!$N$4:$N$219&amp;"_"&amp;装备养成!$K$4:$K$219,装备养成!$P$4:$P$219)*(6-练度预期!F76)</f>
        <v>1722</v>
      </c>
      <c r="E76" s="2">
        <f ca="1">练度预期!N76*4*练度预期!M76</f>
        <v>480</v>
      </c>
      <c r="F76" s="103">
        <f ca="1">INT(练度预期!D76/10)*0.02+1+_xlfn.XLOOKUP(练度预期!E76,装备养成!$U$3:$U$11,装备养成!$V$3:$V$11)*练度预期!F76+_xlfn.XLOOKUP(练度预期!E76-1,装备养成!$U$3:$U$11,装备养成!$V$3:$V$11)*(6-练度预期!F76)</f>
        <v>1.50112</v>
      </c>
      <c r="G76" s="48">
        <f ca="1">OFFSET(梦灵养成!$K$20,_xlfn.XLOOKUP(练度预期!H76,梦灵养成!$D$10:$D$28,梦灵养成!$H$10:$H$28),MATCH(OFFSET(梦灵养成!$C$33,B76,MATCH(练度预期!H76,梦灵养成!$D$33:$V$33,0)),梦灵养成!$L$20:$R$20,1))*(1+(OFFSET(梦灵养成!$C$33,B76,MATCH(练度预期!H76,梦灵养成!$D$33:$V$33,0))-1)*_xlfn.XLOOKUP(练度预期!H76,梦灵养成!$D$9:$D$28,梦灵养成!$G$9:$G$28))</f>
        <v>11.388</v>
      </c>
      <c r="H76" s="46">
        <f ca="1">符文养成!AC77</f>
        <v>10.2839941875133</v>
      </c>
      <c r="I76" s="46">
        <f>MAX(_xlfn.XLOOKUP(练度预期!O76,秘宝养成!$B$3:$B$15,秘宝养成!$E$3:$E$15),1)</f>
        <v>2.492992</v>
      </c>
      <c r="J76" s="104">
        <f ca="1" t="shared" si="24"/>
        <v>2916274.32043635</v>
      </c>
      <c r="K76" s="104">
        <f ca="1">MATCH(J76,关卡预期!$E$4:$E$303,1)</f>
        <v>129</v>
      </c>
      <c r="L76" s="48">
        <f ca="1" t="shared" si="25"/>
        <v>0.66907123534716</v>
      </c>
      <c r="M76" s="48">
        <f ca="1" t="shared" si="26"/>
        <v>0.258791704238052</v>
      </c>
      <c r="N76" s="48">
        <f ca="1" t="shared" si="27"/>
        <v>0.072137060414788</v>
      </c>
      <c r="O76" s="48">
        <f ca="1" t="shared" si="28"/>
        <v>0.0667798643426548</v>
      </c>
      <c r="P76" s="48">
        <f ca="1" t="shared" si="29"/>
        <v>0.399905073232503</v>
      </c>
      <c r="Q76" s="48">
        <f ca="1" t="shared" si="30"/>
        <v>0.383141295391861</v>
      </c>
      <c r="R76" s="48">
        <f ca="1" t="shared" si="31"/>
        <v>0.150173767032982</v>
      </c>
      <c r="S76" s="46">
        <f ca="1" t="shared" si="32"/>
        <v>0.66907123534716</v>
      </c>
      <c r="T76" s="46">
        <f ca="1" t="shared" si="33"/>
        <v>0.258791704238052</v>
      </c>
      <c r="U76" s="46">
        <f ca="1" t="shared" si="34"/>
        <v>0.072137060414788</v>
      </c>
      <c r="V76" s="48">
        <f ca="1" t="shared" si="35"/>
        <v>0.406211496157956</v>
      </c>
      <c r="W76" s="48">
        <f ca="1" t="shared" si="36"/>
        <v>2.43256016941579</v>
      </c>
      <c r="X76" s="48">
        <f ca="1" t="shared" si="37"/>
        <v>2.33058872420641</v>
      </c>
      <c r="Y76" s="48">
        <f t="shared" si="38"/>
        <v>0.913483595551114</v>
      </c>
      <c r="Z76" s="105">
        <f ca="1" t="shared" si="39"/>
        <v>0.0667798643426548</v>
      </c>
      <c r="AA76" s="105">
        <f ca="1" t="shared" si="40"/>
        <v>0.399905073232503</v>
      </c>
      <c r="AB76" s="105">
        <f ca="1" t="shared" si="41"/>
        <v>0.383141295391861</v>
      </c>
      <c r="AC76" s="105">
        <f ca="1" t="shared" si="42"/>
        <v>0.150173767032982</v>
      </c>
      <c r="AD76" s="105">
        <f ca="1" t="shared" si="43"/>
        <v>0.66907123534716</v>
      </c>
      <c r="AE76" s="105">
        <f ca="1" t="shared" si="44"/>
        <v>0.258791704238052</v>
      </c>
      <c r="AF76" s="105">
        <f ca="1" t="shared" si="45"/>
        <v>0.0721370604147881</v>
      </c>
    </row>
    <row r="77" ht="16.5" spans="1:32">
      <c r="A77">
        <f ca="1" t="shared" si="23"/>
        <v>6654</v>
      </c>
      <c r="B77" s="2">
        <v>75</v>
      </c>
      <c r="C77" s="2">
        <f>_xlfn.XLOOKUP(练度预期!D77,装备养成!$B$3:$B$303,装备养成!$D$3:$D$303)*6</f>
        <v>4452</v>
      </c>
      <c r="D77" s="2" cm="1">
        <f ca="1" t="array" ref="D77">_xlfn.XLOOKUP(练度预期!E77&amp;"_"&amp;INT(练度预期!C77/10)*10+10,装备养成!$N$4:$N$219&amp;"_"&amp;装备养成!$K$4:$K$219,装备养成!$P$4:$P$219)*练度预期!F77+_xlfn.XLOOKUP(练度预期!E77-1&amp;"_"&amp;INT(练度预期!C77/10)*10+10,装备养成!$N$4:$N$219&amp;"_"&amp;装备养成!$K$4:$K$219,装备养成!$P$4:$P$219)*(6-练度预期!F77)</f>
        <v>1722</v>
      </c>
      <c r="E77" s="2">
        <f ca="1">练度预期!N77*4*练度预期!M77</f>
        <v>480</v>
      </c>
      <c r="F77" s="103">
        <f ca="1">INT(练度预期!D77/10)*0.02+1+_xlfn.XLOOKUP(练度预期!E77,装备养成!$U$3:$U$11,装备养成!$V$3:$V$11)*练度预期!F77+_xlfn.XLOOKUP(练度预期!E77-1,装备养成!$U$3:$U$11,装备养成!$V$3:$V$11)*(6-练度预期!F77)</f>
        <v>1.50112</v>
      </c>
      <c r="G77" s="48">
        <f ca="1">OFFSET(梦灵养成!$K$20,_xlfn.XLOOKUP(练度预期!H77,梦灵养成!$D$10:$D$28,梦灵养成!$H$10:$H$28),MATCH(OFFSET(梦灵养成!$C$33,B77,MATCH(练度预期!H77,梦灵养成!$D$33:$V$33,0)),梦灵养成!$L$20:$R$20,1))*(1+(OFFSET(梦灵养成!$C$33,B77,MATCH(练度预期!H77,梦灵养成!$D$33:$V$33,0))-1)*_xlfn.XLOOKUP(练度预期!H77,梦灵养成!$D$9:$D$28,梦灵养成!$G$9:$G$28))</f>
        <v>11.388</v>
      </c>
      <c r="H77" s="46">
        <f ca="1">符文养成!AC78</f>
        <v>10.447401014115</v>
      </c>
      <c r="I77" s="46">
        <f>MAX(_xlfn.XLOOKUP(练度预期!O77,秘宝养成!$B$3:$B$15,秘宝养成!$E$3:$E$15),1)</f>
        <v>2.492992</v>
      </c>
      <c r="J77" s="104">
        <f ca="1" t="shared" si="24"/>
        <v>2962612.26302105</v>
      </c>
      <c r="K77" s="104">
        <f ca="1">MATCH(J77,关卡预期!$E$4:$E$303,1)</f>
        <v>129</v>
      </c>
      <c r="L77" s="48">
        <f ca="1" t="shared" si="25"/>
        <v>0.66907123534716</v>
      </c>
      <c r="M77" s="48">
        <f ca="1" t="shared" si="26"/>
        <v>0.258791704238052</v>
      </c>
      <c r="N77" s="48">
        <f ca="1" t="shared" si="27"/>
        <v>0.072137060414788</v>
      </c>
      <c r="O77" s="48">
        <f ca="1" t="shared" si="28"/>
        <v>0.0666072426253868</v>
      </c>
      <c r="P77" s="48">
        <f ca="1" t="shared" si="29"/>
        <v>0.398871343961485</v>
      </c>
      <c r="Q77" s="48">
        <f ca="1" t="shared" si="30"/>
        <v>0.384735836050925</v>
      </c>
      <c r="R77" s="48">
        <f ca="1" t="shared" si="31"/>
        <v>0.149785577362203</v>
      </c>
      <c r="S77" s="46">
        <f ca="1" t="shared" si="32"/>
        <v>0.66907123534716</v>
      </c>
      <c r="T77" s="46">
        <f ca="1" t="shared" si="33"/>
        <v>0.258791704238052</v>
      </c>
      <c r="U77" s="46">
        <f ca="1" t="shared" si="34"/>
        <v>0.072137060414788</v>
      </c>
      <c r="V77" s="48">
        <f ca="1" t="shared" si="35"/>
        <v>0.406211496157956</v>
      </c>
      <c r="W77" s="48">
        <f ca="1" t="shared" si="36"/>
        <v>2.43256016941579</v>
      </c>
      <c r="X77" s="48">
        <f ca="1" t="shared" si="37"/>
        <v>2.34635324069491</v>
      </c>
      <c r="Y77" s="48">
        <f t="shared" si="38"/>
        <v>0.913483595551114</v>
      </c>
      <c r="Z77" s="105">
        <f ca="1" t="shared" si="39"/>
        <v>0.0666072426253868</v>
      </c>
      <c r="AA77" s="105">
        <f ca="1" t="shared" si="40"/>
        <v>0.398871343961485</v>
      </c>
      <c r="AB77" s="105">
        <f ca="1" t="shared" si="41"/>
        <v>0.384735836050925</v>
      </c>
      <c r="AC77" s="105">
        <f ca="1" t="shared" si="42"/>
        <v>0.149785577362203</v>
      </c>
      <c r="AD77" s="105">
        <f ca="1" t="shared" si="43"/>
        <v>0.66907123534716</v>
      </c>
      <c r="AE77" s="105">
        <f ca="1" t="shared" si="44"/>
        <v>0.258791704238052</v>
      </c>
      <c r="AF77" s="105">
        <f ca="1" t="shared" si="45"/>
        <v>0.0721370604147881</v>
      </c>
    </row>
    <row r="78" ht="16.5" spans="1:32">
      <c r="A78">
        <f ca="1" t="shared" si="23"/>
        <v>6774</v>
      </c>
      <c r="B78" s="2">
        <v>76</v>
      </c>
      <c r="C78" s="2">
        <f>_xlfn.XLOOKUP(练度预期!D78,装备养成!$B$3:$B$303,装备养成!$D$3:$D$303)*6</f>
        <v>4572</v>
      </c>
      <c r="D78" s="2" cm="1">
        <f ca="1" t="array" ref="D78">_xlfn.XLOOKUP(练度预期!E78&amp;"_"&amp;INT(练度预期!C78/10)*10+10,装备养成!$N$4:$N$219&amp;"_"&amp;装备养成!$K$4:$K$219,装备养成!$P$4:$P$219)*练度预期!F78+_xlfn.XLOOKUP(练度预期!E78-1&amp;"_"&amp;INT(练度预期!C78/10)*10+10,装备养成!$N$4:$N$219&amp;"_"&amp;装备养成!$K$4:$K$219,装备养成!$P$4:$P$219)*(6-练度预期!F78)</f>
        <v>1722</v>
      </c>
      <c r="E78" s="2">
        <f ca="1">练度预期!N78*4*练度预期!M78</f>
        <v>480</v>
      </c>
      <c r="F78" s="103">
        <f ca="1">INT(练度预期!D78/10)*0.02+1+_xlfn.XLOOKUP(练度预期!E78,装备养成!$U$3:$U$11,装备养成!$V$3:$V$11)*练度预期!F78+_xlfn.XLOOKUP(练度预期!E78-1,装备养成!$U$3:$U$11,装备养成!$V$3:$V$11)*(6-练度预期!F78)</f>
        <v>1.50112</v>
      </c>
      <c r="G78" s="48">
        <f ca="1">OFFSET(梦灵养成!$K$20,_xlfn.XLOOKUP(练度预期!H78,梦灵养成!$D$10:$D$28,梦灵养成!$H$10:$H$28),MATCH(OFFSET(梦灵养成!$C$33,B78,MATCH(练度预期!H78,梦灵养成!$D$33:$V$33,0)),梦灵养成!$L$20:$R$20,1))*(1+(OFFSET(梦灵养成!$C$33,B78,MATCH(练度预期!H78,梦灵养成!$D$33:$V$33,0))-1)*_xlfn.XLOOKUP(练度预期!H78,梦灵养成!$D$9:$D$28,梦灵养成!$G$9:$G$28))</f>
        <v>11.826</v>
      </c>
      <c r="H78" s="46">
        <f ca="1">符文养成!AC79</f>
        <v>10.5851285477964</v>
      </c>
      <c r="I78" s="46">
        <f>MAX(_xlfn.XLOOKUP(练度预期!O78,秘宝养成!$B$3:$B$15,秘宝养成!$E$3:$E$15),1)</f>
        <v>2.492992</v>
      </c>
      <c r="J78" s="104">
        <f ca="1" t="shared" si="24"/>
        <v>3173331.91559957</v>
      </c>
      <c r="K78" s="104">
        <f ca="1">MATCH(J78,关卡预期!$E$4:$E$303,1)</f>
        <v>130</v>
      </c>
      <c r="L78" s="48">
        <f ca="1" t="shared" si="25"/>
        <v>0.674933569530558</v>
      </c>
      <c r="M78" s="48">
        <f ca="1" t="shared" si="26"/>
        <v>0.254207263064659</v>
      </c>
      <c r="N78" s="48">
        <f ca="1" t="shared" si="27"/>
        <v>0.070859167404783</v>
      </c>
      <c r="O78" s="48">
        <f ca="1" t="shared" si="28"/>
        <v>0.0660566041352833</v>
      </c>
      <c r="P78" s="48">
        <f ca="1" t="shared" si="29"/>
        <v>0.401711087931403</v>
      </c>
      <c r="Q78" s="48">
        <f ca="1" t="shared" si="30"/>
        <v>0.383684999877977</v>
      </c>
      <c r="R78" s="48">
        <f ca="1" t="shared" si="31"/>
        <v>0.148547308055337</v>
      </c>
      <c r="S78" s="46">
        <f ca="1" t="shared" si="32"/>
        <v>0.674933569530558</v>
      </c>
      <c r="T78" s="46">
        <f ca="1" t="shared" si="33"/>
        <v>0.254207263064659</v>
      </c>
      <c r="U78" s="46">
        <f ca="1" t="shared" si="34"/>
        <v>0.0708591674047829</v>
      </c>
      <c r="V78" s="48">
        <f ca="1" t="shared" si="35"/>
        <v>0.406211496157956</v>
      </c>
      <c r="W78" s="48">
        <f ca="1" t="shared" si="36"/>
        <v>2.47030049739864</v>
      </c>
      <c r="X78" s="48">
        <f ca="1" t="shared" si="37"/>
        <v>2.35945004884907</v>
      </c>
      <c r="Y78" s="48">
        <f t="shared" si="38"/>
        <v>0.913483595551114</v>
      </c>
      <c r="Z78" s="105">
        <f ca="1" t="shared" si="39"/>
        <v>0.0660566041352833</v>
      </c>
      <c r="AA78" s="105">
        <f ca="1" t="shared" si="40"/>
        <v>0.401711087931403</v>
      </c>
      <c r="AB78" s="105">
        <f ca="1" t="shared" si="41"/>
        <v>0.383684999877977</v>
      </c>
      <c r="AC78" s="105">
        <f ca="1" t="shared" si="42"/>
        <v>0.148547308055337</v>
      </c>
      <c r="AD78" s="105">
        <f ca="1" t="shared" si="43"/>
        <v>0.674933569530558</v>
      </c>
      <c r="AE78" s="105">
        <f ca="1" t="shared" si="44"/>
        <v>0.254207263064659</v>
      </c>
      <c r="AF78" s="105">
        <f ca="1" t="shared" si="45"/>
        <v>0.070859167404783</v>
      </c>
    </row>
    <row r="79" ht="16.5" spans="1:32">
      <c r="A79">
        <f ca="1" t="shared" si="23"/>
        <v>6774</v>
      </c>
      <c r="B79" s="2">
        <v>77</v>
      </c>
      <c r="C79" s="2">
        <f>_xlfn.XLOOKUP(练度预期!D79,装备养成!$B$3:$B$303,装备养成!$D$3:$D$303)*6</f>
        <v>4572</v>
      </c>
      <c r="D79" s="2" cm="1">
        <f ca="1" t="array" ref="D79">_xlfn.XLOOKUP(练度预期!E79&amp;"_"&amp;INT(练度预期!C79/10)*10+10,装备养成!$N$4:$N$219&amp;"_"&amp;装备养成!$K$4:$K$219,装备养成!$P$4:$P$219)*练度预期!F79+_xlfn.XLOOKUP(练度预期!E79-1&amp;"_"&amp;INT(练度预期!C79/10)*10+10,装备养成!$N$4:$N$219&amp;"_"&amp;装备养成!$K$4:$K$219,装备养成!$P$4:$P$219)*(6-练度预期!F79)</f>
        <v>1722</v>
      </c>
      <c r="E79" s="2">
        <f ca="1">练度预期!N79*4*练度预期!M79</f>
        <v>480</v>
      </c>
      <c r="F79" s="103">
        <f ca="1">INT(练度预期!D79/10)*0.02+1+_xlfn.XLOOKUP(练度预期!E79,装备养成!$U$3:$U$11,装备养成!$V$3:$V$11)*练度预期!F79+_xlfn.XLOOKUP(练度预期!E79-1,装备养成!$U$3:$U$11,装备养成!$V$3:$V$11)*(6-练度预期!F79)</f>
        <v>1.50112</v>
      </c>
      <c r="G79" s="48">
        <f ca="1">OFFSET(梦灵养成!$K$20,_xlfn.XLOOKUP(练度预期!H79,梦灵养成!$D$10:$D$28,梦灵养成!$H$10:$H$28),MATCH(OFFSET(梦灵养成!$C$33,B79,MATCH(练度预期!H79,梦灵养成!$D$33:$V$33,0)),梦灵养成!$L$20:$R$20,1))*(1+(OFFSET(梦灵养成!$C$33,B79,MATCH(练度预期!H79,梦灵养成!$D$33:$V$33,0))-1)*_xlfn.XLOOKUP(练度预期!H79,梦灵养成!$D$9:$D$28,梦灵养成!$G$9:$G$28))</f>
        <v>11.826</v>
      </c>
      <c r="H79" s="46">
        <f ca="1">符文养成!AC80</f>
        <v>10.7362990221403</v>
      </c>
      <c r="I79" s="46">
        <f>MAX(_xlfn.XLOOKUP(练度预期!O79,秘宝养成!$B$3:$B$15,秘宝养成!$E$3:$E$15),1)</f>
        <v>2.492992</v>
      </c>
      <c r="J79" s="104">
        <f ca="1" t="shared" si="24"/>
        <v>3218651.54386538</v>
      </c>
      <c r="K79" s="104">
        <f ca="1">MATCH(J79,关卡预期!$E$4:$E$303,1)</f>
        <v>130</v>
      </c>
      <c r="L79" s="48">
        <f ca="1" t="shared" si="25"/>
        <v>0.674933569530558</v>
      </c>
      <c r="M79" s="48">
        <f ca="1" t="shared" si="26"/>
        <v>0.254207263064659</v>
      </c>
      <c r="N79" s="48">
        <f ca="1" t="shared" si="27"/>
        <v>0.0708591674047832</v>
      </c>
      <c r="O79" s="48">
        <f ca="1" t="shared" si="28"/>
        <v>0.0659046306116681</v>
      </c>
      <c r="P79" s="48">
        <f ca="1" t="shared" si="29"/>
        <v>0.400786888900777</v>
      </c>
      <c r="Q79" s="48">
        <f ca="1" t="shared" si="30"/>
        <v>0.385102928689964</v>
      </c>
      <c r="R79" s="48">
        <f ca="1" t="shared" si="31"/>
        <v>0.14820555179759</v>
      </c>
      <c r="S79" s="46">
        <f ca="1" t="shared" si="32"/>
        <v>0.674933569530558</v>
      </c>
      <c r="T79" s="46">
        <f ca="1" t="shared" si="33"/>
        <v>0.254207263064659</v>
      </c>
      <c r="U79" s="46">
        <f ca="1" t="shared" si="34"/>
        <v>0.0708591674047833</v>
      </c>
      <c r="V79" s="48">
        <f ca="1" t="shared" si="35"/>
        <v>0.406211496157956</v>
      </c>
      <c r="W79" s="48">
        <f ca="1" t="shared" si="36"/>
        <v>2.47030049739864</v>
      </c>
      <c r="X79" s="48">
        <f ca="1" t="shared" si="37"/>
        <v>2.37363043212726</v>
      </c>
      <c r="Y79" s="48">
        <f t="shared" si="38"/>
        <v>0.913483595551114</v>
      </c>
      <c r="Z79" s="105">
        <f ca="1" t="shared" si="39"/>
        <v>0.0659046306116681</v>
      </c>
      <c r="AA79" s="105">
        <f ca="1" t="shared" si="40"/>
        <v>0.400786888900777</v>
      </c>
      <c r="AB79" s="105">
        <f ca="1" t="shared" si="41"/>
        <v>0.385102928689964</v>
      </c>
      <c r="AC79" s="105">
        <f ca="1" t="shared" si="42"/>
        <v>0.14820555179759</v>
      </c>
      <c r="AD79" s="105">
        <f ca="1" t="shared" si="43"/>
        <v>0.674933569530558</v>
      </c>
      <c r="AE79" s="105">
        <f ca="1" t="shared" si="44"/>
        <v>0.254207263064659</v>
      </c>
      <c r="AF79" s="105">
        <f ca="1" t="shared" si="45"/>
        <v>0.070859167404783</v>
      </c>
    </row>
    <row r="80" ht="16.5" spans="1:32">
      <c r="A80">
        <f ca="1" t="shared" si="23"/>
        <v>6894</v>
      </c>
      <c r="B80" s="2">
        <v>78</v>
      </c>
      <c r="C80" s="2">
        <f>_xlfn.XLOOKUP(练度预期!D80,装备养成!$B$3:$B$303,装备养成!$D$3:$D$303)*6</f>
        <v>4692</v>
      </c>
      <c r="D80" s="2" cm="1">
        <f ca="1" t="array" ref="D80">_xlfn.XLOOKUP(练度预期!E80&amp;"_"&amp;INT(练度预期!C80/10)*10+10,装备养成!$N$4:$N$219&amp;"_"&amp;装备养成!$K$4:$K$219,装备养成!$P$4:$P$219)*练度预期!F80+_xlfn.XLOOKUP(练度预期!E80-1&amp;"_"&amp;INT(练度预期!C80/10)*10+10,装备养成!$N$4:$N$219&amp;"_"&amp;装备养成!$K$4:$K$219,装备养成!$P$4:$P$219)*(6-练度预期!F80)</f>
        <v>1722</v>
      </c>
      <c r="E80" s="2">
        <f ca="1">练度预期!N80*4*练度预期!M80</f>
        <v>480</v>
      </c>
      <c r="F80" s="103">
        <f ca="1">INT(练度预期!D80/10)*0.02+1+_xlfn.XLOOKUP(练度预期!E80,装备养成!$U$3:$U$11,装备养成!$V$3:$V$11)*练度预期!F80+_xlfn.XLOOKUP(练度预期!E80-1,装备养成!$U$3:$U$11,装备养成!$V$3:$V$11)*(6-练度预期!F80)</f>
        <v>1.50112</v>
      </c>
      <c r="G80" s="48">
        <f ca="1">OFFSET(梦灵养成!$K$20,_xlfn.XLOOKUP(练度预期!H80,梦灵养成!$D$10:$D$28,梦灵养成!$H$10:$H$28),MATCH(OFFSET(梦灵养成!$C$33,B80,MATCH(练度预期!H80,梦灵养成!$D$33:$V$33,0)),梦灵养成!$L$20:$R$20,1))*(1+(OFFSET(梦灵养成!$C$33,B80,MATCH(练度预期!H80,梦灵养成!$D$33:$V$33,0))-1)*_xlfn.XLOOKUP(练度预期!H80,梦灵养成!$D$9:$D$28,梦灵养成!$G$9:$G$28))</f>
        <v>11.826</v>
      </c>
      <c r="H80" s="46">
        <f ca="1">符文养成!AC81</f>
        <v>10.877518067088</v>
      </c>
      <c r="I80" s="46">
        <f>MAX(_xlfn.XLOOKUP(练度预期!O80,秘宝养成!$B$3:$B$15,秘宝养成!$E$3:$E$15),1)</f>
        <v>2.492992</v>
      </c>
      <c r="J80" s="104">
        <f ca="1" t="shared" si="24"/>
        <v>3318755.53827837</v>
      </c>
      <c r="K80" s="104">
        <f ca="1">MATCH(J80,关卡预期!$E$4:$E$303,1)</f>
        <v>131</v>
      </c>
      <c r="L80" s="48">
        <f ca="1" t="shared" si="25"/>
        <v>0.68059181897302</v>
      </c>
      <c r="M80" s="48">
        <f ca="1" t="shared" si="26"/>
        <v>0.249782419495213</v>
      </c>
      <c r="N80" s="48">
        <f ca="1" t="shared" si="27"/>
        <v>0.0696257615317668</v>
      </c>
      <c r="O80" s="48">
        <f ca="1" t="shared" si="28"/>
        <v>0.0657652000939927</v>
      </c>
      <c r="P80" s="48">
        <f ca="1" t="shared" si="29"/>
        <v>0.399938967853678</v>
      </c>
      <c r="Q80" s="48">
        <f ca="1" t="shared" si="30"/>
        <v>0.386403829949468</v>
      </c>
      <c r="R80" s="48">
        <f ca="1" t="shared" si="31"/>
        <v>0.147892002102861</v>
      </c>
      <c r="S80" s="46">
        <f ca="1" t="shared" si="32"/>
        <v>0.68059181897302</v>
      </c>
      <c r="T80" s="46">
        <f ca="1" t="shared" si="33"/>
        <v>0.249782419495213</v>
      </c>
      <c r="U80" s="46">
        <f ca="1" t="shared" si="34"/>
        <v>0.0696257615317668</v>
      </c>
      <c r="V80" s="48">
        <f ca="1" t="shared" si="35"/>
        <v>0.406211496157956</v>
      </c>
      <c r="W80" s="48">
        <f ca="1" t="shared" si="36"/>
        <v>2.47030049739864</v>
      </c>
      <c r="X80" s="48">
        <f ca="1" t="shared" si="37"/>
        <v>2.38669809657092</v>
      </c>
      <c r="Y80" s="48">
        <f t="shared" si="38"/>
        <v>0.913483595551114</v>
      </c>
      <c r="Z80" s="105">
        <f ca="1" t="shared" si="39"/>
        <v>0.0657652000939927</v>
      </c>
      <c r="AA80" s="105">
        <f ca="1" t="shared" si="40"/>
        <v>0.399938967853678</v>
      </c>
      <c r="AB80" s="105">
        <f ca="1" t="shared" si="41"/>
        <v>0.386403829949468</v>
      </c>
      <c r="AC80" s="105">
        <f ca="1" t="shared" si="42"/>
        <v>0.147892002102861</v>
      </c>
      <c r="AD80" s="105">
        <f ca="1" t="shared" si="43"/>
        <v>0.68059181897302</v>
      </c>
      <c r="AE80" s="105">
        <f ca="1" t="shared" si="44"/>
        <v>0.249782419495213</v>
      </c>
      <c r="AF80" s="105">
        <f ca="1" t="shared" si="45"/>
        <v>0.0696257615317667</v>
      </c>
    </row>
    <row r="81" ht="16.5" spans="1:32">
      <c r="A81">
        <f ca="1" t="shared" si="23"/>
        <v>6894</v>
      </c>
      <c r="B81" s="2">
        <v>79</v>
      </c>
      <c r="C81" s="2">
        <f>_xlfn.XLOOKUP(练度预期!D81,装备养成!$B$3:$B$303,装备养成!$D$3:$D$303)*6</f>
        <v>4692</v>
      </c>
      <c r="D81" s="2" cm="1">
        <f ca="1" t="array" ref="D81">_xlfn.XLOOKUP(练度预期!E81&amp;"_"&amp;INT(练度预期!C81/10)*10+10,装备养成!$N$4:$N$219&amp;"_"&amp;装备养成!$K$4:$K$219,装备养成!$P$4:$P$219)*练度预期!F81+_xlfn.XLOOKUP(练度预期!E81-1&amp;"_"&amp;INT(练度预期!C81/10)*10+10,装备养成!$N$4:$N$219&amp;"_"&amp;装备养成!$K$4:$K$219,装备养成!$P$4:$P$219)*(6-练度预期!F81)</f>
        <v>1722</v>
      </c>
      <c r="E81" s="2">
        <f ca="1">练度预期!N81*4*练度预期!M81</f>
        <v>480</v>
      </c>
      <c r="F81" s="103">
        <f ca="1">INT(练度预期!D81/10)*0.02+1+_xlfn.XLOOKUP(练度预期!E81,装备养成!$U$3:$U$11,装备养成!$V$3:$V$11)*练度预期!F81+_xlfn.XLOOKUP(练度预期!E81-1,装备养成!$U$3:$U$11,装备养成!$V$3:$V$11)*(6-练度预期!F81)</f>
        <v>1.50112</v>
      </c>
      <c r="G81" s="48">
        <f ca="1">OFFSET(梦灵养成!$K$20,_xlfn.XLOOKUP(练度预期!H81,梦灵养成!$D$10:$D$28,梦灵养成!$H$10:$H$28),MATCH(OFFSET(梦灵养成!$C$33,B81,MATCH(练度预期!H81,梦灵养成!$D$33:$V$33,0)),梦灵养成!$L$20:$R$20,1))*(1+(OFFSET(梦灵养成!$C$33,B81,MATCH(练度预期!H81,梦灵养成!$D$33:$V$33,0))-1)*_xlfn.XLOOKUP(练度预期!H81,梦灵养成!$D$9:$D$28,梦灵养成!$G$9:$G$28))</f>
        <v>11.826</v>
      </c>
      <c r="H81" s="46">
        <f ca="1">符文养成!AC82</f>
        <v>11.0465135153338</v>
      </c>
      <c r="I81" s="46">
        <f>MAX(_xlfn.XLOOKUP(练度预期!O81,秘宝养成!$B$3:$B$15,秘宝养成!$E$3:$E$15),1)</f>
        <v>2.492992</v>
      </c>
      <c r="J81" s="104">
        <f ca="1" t="shared" si="24"/>
        <v>3370316.43446353</v>
      </c>
      <c r="K81" s="104">
        <f ca="1">MATCH(J81,关卡预期!$E$4:$E$303,1)</f>
        <v>131</v>
      </c>
      <c r="L81" s="48">
        <f ca="1" t="shared" si="25"/>
        <v>0.68059181897302</v>
      </c>
      <c r="M81" s="48">
        <f ca="1" t="shared" si="26"/>
        <v>0.249782419495213</v>
      </c>
      <c r="N81" s="48">
        <f ca="1" t="shared" si="27"/>
        <v>0.0696257615317665</v>
      </c>
      <c r="O81" s="48">
        <f ca="1" t="shared" si="28"/>
        <v>0.065601461658163</v>
      </c>
      <c r="P81" s="48">
        <f ca="1" t="shared" si="29"/>
        <v>0.398943222673398</v>
      </c>
      <c r="Q81" s="48">
        <f ca="1" t="shared" si="30"/>
        <v>0.387931526618399</v>
      </c>
      <c r="R81" s="48">
        <f ca="1" t="shared" si="31"/>
        <v>0.14752378905004</v>
      </c>
      <c r="S81" s="46">
        <f ca="1" t="shared" si="32"/>
        <v>0.68059181897302</v>
      </c>
      <c r="T81" s="46">
        <f ca="1" t="shared" si="33"/>
        <v>0.249782419495213</v>
      </c>
      <c r="U81" s="46">
        <f ca="1" t="shared" si="34"/>
        <v>0.0696257615317665</v>
      </c>
      <c r="V81" s="48">
        <f ca="1" t="shared" si="35"/>
        <v>0.406211496157956</v>
      </c>
      <c r="W81" s="48">
        <f ca="1" t="shared" si="36"/>
        <v>2.47030049739864</v>
      </c>
      <c r="X81" s="48">
        <f ca="1" t="shared" si="37"/>
        <v>2.40211485920286</v>
      </c>
      <c r="Y81" s="48">
        <f t="shared" si="38"/>
        <v>0.913483595551114</v>
      </c>
      <c r="Z81" s="105">
        <f ca="1" t="shared" si="39"/>
        <v>0.065601461658163</v>
      </c>
      <c r="AA81" s="105">
        <f ca="1" t="shared" si="40"/>
        <v>0.398943222673398</v>
      </c>
      <c r="AB81" s="105">
        <f ca="1" t="shared" si="41"/>
        <v>0.387931526618399</v>
      </c>
      <c r="AC81" s="105">
        <f ca="1" t="shared" si="42"/>
        <v>0.14752378905004</v>
      </c>
      <c r="AD81" s="105">
        <f ca="1" t="shared" si="43"/>
        <v>0.68059181897302</v>
      </c>
      <c r="AE81" s="105">
        <f ca="1" t="shared" si="44"/>
        <v>0.249782419495213</v>
      </c>
      <c r="AF81" s="105">
        <f ca="1" t="shared" si="45"/>
        <v>0.0696257615317667</v>
      </c>
    </row>
    <row r="82" ht="16.5" spans="1:32">
      <c r="A82">
        <f ca="1" t="shared" si="23"/>
        <v>7014</v>
      </c>
      <c r="B82" s="2">
        <v>80</v>
      </c>
      <c r="C82" s="2">
        <f>_xlfn.XLOOKUP(练度预期!D82,装备养成!$B$3:$B$303,装备养成!$D$3:$D$303)*6</f>
        <v>4812</v>
      </c>
      <c r="D82" s="2" cm="1">
        <f ca="1" t="array" ref="D82">_xlfn.XLOOKUP(练度预期!E82&amp;"_"&amp;INT(练度预期!C82/10)*10+10,装备养成!$N$4:$N$219&amp;"_"&amp;装备养成!$K$4:$K$219,装备养成!$P$4:$P$219)*练度预期!F82+_xlfn.XLOOKUP(练度预期!E82-1&amp;"_"&amp;INT(练度预期!C82/10)*10+10,装备养成!$N$4:$N$219&amp;"_"&amp;装备养成!$K$4:$K$219,装备养成!$P$4:$P$219)*(6-练度预期!F82)</f>
        <v>1722</v>
      </c>
      <c r="E82" s="2">
        <f ca="1">练度预期!N82*4*练度预期!M82</f>
        <v>480</v>
      </c>
      <c r="F82" s="103">
        <f ca="1">INT(练度预期!D82/10)*0.02+1+_xlfn.XLOOKUP(练度预期!E82,装备养成!$U$3:$U$11,装备养成!$V$3:$V$11)*练度预期!F82+_xlfn.XLOOKUP(练度预期!E82-1,装备养成!$U$3:$U$11,装备养成!$V$3:$V$11)*(6-练度预期!F82)</f>
        <v>1.50112</v>
      </c>
      <c r="G82" s="48">
        <f ca="1">OFFSET(梦灵养成!$K$20,_xlfn.XLOOKUP(练度预期!H82,梦灵养成!$D$10:$D$28,梦灵养成!$H$10:$H$28),MATCH(OFFSET(梦灵养成!$C$33,B82,MATCH(练度预期!H82,梦灵养成!$D$33:$V$33,0)),梦灵养成!$L$20:$R$20,1))*(1+(OFFSET(梦灵养成!$C$33,B82,MATCH(练度预期!H82,梦灵养成!$D$33:$V$33,0))-1)*_xlfn.XLOOKUP(练度预期!H82,梦灵养成!$D$9:$D$28,梦灵养成!$G$9:$G$28))</f>
        <v>11.826</v>
      </c>
      <c r="H82" s="46">
        <f ca="1">符文养成!AC83</f>
        <v>11.2210000945586</v>
      </c>
      <c r="I82" s="46">
        <f>MAX(_xlfn.XLOOKUP(练度预期!O82,秘宝养成!$B$3:$B$15,秘宝养成!$E$3:$E$15),1)</f>
        <v>2.492992</v>
      </c>
      <c r="J82" s="104">
        <f ca="1" t="shared" si="24"/>
        <v>3483144.55296563</v>
      </c>
      <c r="K82" s="104">
        <f ca="1">MATCH(J82,关卡预期!$E$4:$E$303,1)</f>
        <v>132</v>
      </c>
      <c r="L82" s="48">
        <f ca="1" t="shared" si="25"/>
        <v>0.686056458511548</v>
      </c>
      <c r="M82" s="48">
        <f ca="1" t="shared" si="26"/>
        <v>0.245508982035928</v>
      </c>
      <c r="N82" s="48">
        <f ca="1" t="shared" si="27"/>
        <v>0.0684345594525235</v>
      </c>
      <c r="O82" s="48">
        <f ca="1" t="shared" si="28"/>
        <v>0.0654358441668069</v>
      </c>
      <c r="P82" s="48">
        <f ca="1" t="shared" si="29"/>
        <v>0.397936050362559</v>
      </c>
      <c r="Q82" s="48">
        <f ca="1" t="shared" si="30"/>
        <v>0.389476755071202</v>
      </c>
      <c r="R82" s="48">
        <f ca="1" t="shared" si="31"/>
        <v>0.147151350399433</v>
      </c>
      <c r="S82" s="46">
        <f ca="1" t="shared" si="32"/>
        <v>0.686056458511548</v>
      </c>
      <c r="T82" s="46">
        <f ca="1" t="shared" si="33"/>
        <v>0.245508982035928</v>
      </c>
      <c r="U82" s="46">
        <f ca="1" t="shared" si="34"/>
        <v>0.0684345594525235</v>
      </c>
      <c r="V82" s="48">
        <f ca="1" t="shared" si="35"/>
        <v>0.406211496157956</v>
      </c>
      <c r="W82" s="48">
        <f ca="1" t="shared" si="36"/>
        <v>2.47030049739864</v>
      </c>
      <c r="X82" s="48">
        <f ca="1" t="shared" si="37"/>
        <v>2.41778703110966</v>
      </c>
      <c r="Y82" s="48">
        <f t="shared" si="38"/>
        <v>0.913483595551114</v>
      </c>
      <c r="Z82" s="105">
        <f ca="1" t="shared" si="39"/>
        <v>0.0654358441668069</v>
      </c>
      <c r="AA82" s="105">
        <f ca="1" t="shared" si="40"/>
        <v>0.397936050362559</v>
      </c>
      <c r="AB82" s="105">
        <f ca="1" t="shared" si="41"/>
        <v>0.389476755071202</v>
      </c>
      <c r="AC82" s="105">
        <f ca="1" t="shared" si="42"/>
        <v>0.147151350399433</v>
      </c>
      <c r="AD82" s="105">
        <f ca="1" t="shared" si="43"/>
        <v>0.686056458511548</v>
      </c>
      <c r="AE82" s="105">
        <f ca="1" t="shared" si="44"/>
        <v>0.245508982035928</v>
      </c>
      <c r="AF82" s="105">
        <f ca="1" t="shared" si="45"/>
        <v>0.0684345594525235</v>
      </c>
    </row>
    <row r="83" ht="16.5" spans="1:32">
      <c r="A83">
        <f ca="1" t="shared" si="23"/>
        <v>7014</v>
      </c>
      <c r="B83" s="2">
        <v>81</v>
      </c>
      <c r="C83" s="2">
        <f>_xlfn.XLOOKUP(练度预期!D83,装备养成!$B$3:$B$303,装备养成!$D$3:$D$303)*6</f>
        <v>4812</v>
      </c>
      <c r="D83" s="2" cm="1">
        <f ca="1" t="array" ref="D83">_xlfn.XLOOKUP(练度预期!E83&amp;"_"&amp;INT(练度预期!C83/10)*10+10,装备养成!$N$4:$N$219&amp;"_"&amp;装备养成!$K$4:$K$219,装备养成!$P$4:$P$219)*练度预期!F83+_xlfn.XLOOKUP(练度预期!E83-1&amp;"_"&amp;INT(练度预期!C83/10)*10+10,装备养成!$N$4:$N$219&amp;"_"&amp;装备养成!$K$4:$K$219,装备养成!$P$4:$P$219)*(6-练度预期!F83)</f>
        <v>1722</v>
      </c>
      <c r="E83" s="2">
        <f ca="1">练度预期!N83*4*练度预期!M83</f>
        <v>480</v>
      </c>
      <c r="F83" s="103">
        <f ca="1">INT(练度预期!D83/10)*0.02+1+_xlfn.XLOOKUP(练度预期!E83,装备养成!$U$3:$U$11,装备养成!$V$3:$V$11)*练度预期!F83+_xlfn.XLOOKUP(练度预期!E83-1,装备养成!$U$3:$U$11,装备养成!$V$3:$V$11)*(6-练度预期!F83)</f>
        <v>1.50112</v>
      </c>
      <c r="G83" s="48">
        <f ca="1">OFFSET(梦灵养成!$K$20,_xlfn.XLOOKUP(练度预期!H83,梦灵养成!$D$10:$D$28,梦灵养成!$H$10:$H$28),MATCH(OFFSET(梦灵养成!$C$33,B83,MATCH(练度预期!H83,梦灵养成!$D$33:$V$33,0)),梦灵养成!$L$20:$R$20,1))*(1+(OFFSET(梦灵养成!$C$33,B83,MATCH(练度预期!H83,梦灵养成!$D$33:$V$33,0))-1)*_xlfn.XLOOKUP(练度预期!H83,梦灵养成!$D$9:$D$28,梦灵养成!$G$9:$G$28))</f>
        <v>11.826</v>
      </c>
      <c r="H83" s="46">
        <f ca="1">符文养成!AC84</f>
        <v>11.3711722866026</v>
      </c>
      <c r="I83" s="46">
        <f>MAX(_xlfn.XLOOKUP(练度预期!O83,秘宝养成!$B$3:$B$15,秘宝养成!$E$3:$E$15),1)</f>
        <v>2.492992</v>
      </c>
      <c r="J83" s="104">
        <f ca="1" t="shared" si="24"/>
        <v>3529759.95696857</v>
      </c>
      <c r="K83" s="104">
        <f ca="1">MATCH(J83,关卡预期!$E$4:$E$303,1)</f>
        <v>132</v>
      </c>
      <c r="L83" s="48">
        <f ca="1" t="shared" si="25"/>
        <v>0.686056458511548</v>
      </c>
      <c r="M83" s="48">
        <f ca="1" t="shared" si="26"/>
        <v>0.245508982035928</v>
      </c>
      <c r="N83" s="48">
        <f ca="1" t="shared" si="27"/>
        <v>0.0684345594525236</v>
      </c>
      <c r="O83" s="48">
        <f ca="1" t="shared" si="28"/>
        <v>0.0652960084695828</v>
      </c>
      <c r="P83" s="48">
        <f ca="1" t="shared" si="29"/>
        <v>0.397085665290561</v>
      </c>
      <c r="Q83" s="48">
        <f ca="1" t="shared" si="30"/>
        <v>0.390781436698117</v>
      </c>
      <c r="R83" s="48">
        <f ca="1" t="shared" si="31"/>
        <v>0.146836889541739</v>
      </c>
      <c r="S83" s="46">
        <f ca="1" t="shared" si="32"/>
        <v>0.686056458511548</v>
      </c>
      <c r="T83" s="46">
        <f ca="1" t="shared" si="33"/>
        <v>0.245508982035928</v>
      </c>
      <c r="U83" s="46">
        <f ca="1" t="shared" si="34"/>
        <v>0.0684345594525236</v>
      </c>
      <c r="V83" s="48">
        <f ca="1" t="shared" si="35"/>
        <v>0.406211496157956</v>
      </c>
      <c r="W83" s="48">
        <f ca="1" t="shared" si="36"/>
        <v>2.47030049739864</v>
      </c>
      <c r="X83" s="48">
        <f ca="1" t="shared" si="37"/>
        <v>2.43108140593072</v>
      </c>
      <c r="Y83" s="48">
        <f t="shared" si="38"/>
        <v>0.913483595551114</v>
      </c>
      <c r="Z83" s="105">
        <f ca="1" t="shared" si="39"/>
        <v>0.0652960084695828</v>
      </c>
      <c r="AA83" s="105">
        <f ca="1" t="shared" si="40"/>
        <v>0.397085665290561</v>
      </c>
      <c r="AB83" s="105">
        <f ca="1" t="shared" si="41"/>
        <v>0.390781436698117</v>
      </c>
      <c r="AC83" s="105">
        <f ca="1" t="shared" si="42"/>
        <v>0.146836889541739</v>
      </c>
      <c r="AD83" s="105">
        <f ca="1" t="shared" si="43"/>
        <v>0.686056458511548</v>
      </c>
      <c r="AE83" s="105">
        <f ca="1" t="shared" si="44"/>
        <v>0.245508982035928</v>
      </c>
      <c r="AF83" s="105">
        <f ca="1" t="shared" si="45"/>
        <v>0.0684345594525235</v>
      </c>
    </row>
    <row r="84" ht="16.5" spans="1:32">
      <c r="A84">
        <f ca="1" t="shared" si="23"/>
        <v>7158</v>
      </c>
      <c r="B84" s="2">
        <v>82</v>
      </c>
      <c r="C84" s="2">
        <f>_xlfn.XLOOKUP(练度预期!D84,装备养成!$B$3:$B$303,装备养成!$D$3:$D$303)*6</f>
        <v>4956</v>
      </c>
      <c r="D84" s="2" cm="1">
        <f ca="1" t="array" ref="D84">_xlfn.XLOOKUP(练度预期!E84&amp;"_"&amp;INT(练度预期!C84/10)*10+10,装备养成!$N$4:$N$219&amp;"_"&amp;装备养成!$K$4:$K$219,装备养成!$P$4:$P$219)*练度预期!F84+_xlfn.XLOOKUP(练度预期!E84-1&amp;"_"&amp;INT(练度预期!C84/10)*10+10,装备养成!$N$4:$N$219&amp;"_"&amp;装备养成!$K$4:$K$219,装备养成!$P$4:$P$219)*(6-练度预期!F84)</f>
        <v>1722</v>
      </c>
      <c r="E84" s="2">
        <f ca="1">练度预期!N84*4*练度预期!M84</f>
        <v>480</v>
      </c>
      <c r="F84" s="103">
        <f ca="1">INT(练度预期!D84/10)*0.02+1+_xlfn.XLOOKUP(练度预期!E84,装备养成!$U$3:$U$11,装备养成!$V$3:$V$11)*练度预期!F84+_xlfn.XLOOKUP(练度预期!E84-1,装备养成!$U$3:$U$11,装备养成!$V$3:$V$11)*(6-练度预期!F84)</f>
        <v>1.50112</v>
      </c>
      <c r="G84" s="48">
        <f ca="1">OFFSET(梦灵养成!$K$20,_xlfn.XLOOKUP(练度预期!H84,梦灵养成!$D$10:$D$28,梦灵养成!$H$10:$H$28),MATCH(OFFSET(梦灵养成!$C$33,B84,MATCH(练度预期!H84,梦灵养成!$D$33:$V$33,0)),梦灵养成!$L$20:$R$20,1))*(1+(OFFSET(梦灵养成!$C$33,B84,MATCH(练度预期!H84,梦灵养成!$D$33:$V$33,0))-1)*_xlfn.XLOOKUP(练度预期!H84,梦灵养成!$D$9:$D$28,梦灵养成!$G$9:$G$28))</f>
        <v>12.264</v>
      </c>
      <c r="H84" s="46">
        <f ca="1">符文养成!AC85</f>
        <v>11.5503405456438</v>
      </c>
      <c r="I84" s="46">
        <f>MAX(_xlfn.XLOOKUP(练度预期!O84,秘宝养成!$B$3:$B$15,秘宝养成!$E$3:$E$15),1)</f>
        <v>2.7915904</v>
      </c>
      <c r="J84" s="104">
        <f ca="1" t="shared" si="24"/>
        <v>4248990.22827923</v>
      </c>
      <c r="K84" s="104">
        <f ca="1">MATCH(J84,关卡预期!$E$4:$E$303,1)</f>
        <v>135</v>
      </c>
      <c r="L84" s="48">
        <f ca="1" t="shared" si="25"/>
        <v>0.692372170997485</v>
      </c>
      <c r="M84" s="48">
        <f ca="1" t="shared" si="26"/>
        <v>0.24056999161777</v>
      </c>
      <c r="N84" s="48">
        <f ca="1" t="shared" si="27"/>
        <v>0.0670578373847445</v>
      </c>
      <c r="O84" s="48">
        <f ca="1" t="shared" si="28"/>
        <v>0.0636076403387268</v>
      </c>
      <c r="P84" s="48">
        <f ca="1" t="shared" si="29"/>
        <v>0.392512883326912</v>
      </c>
      <c r="Q84" s="48">
        <f ca="1" t="shared" si="30"/>
        <v>0.383124958743491</v>
      </c>
      <c r="R84" s="48">
        <f ca="1" t="shared" si="31"/>
        <v>0.16075451759087</v>
      </c>
      <c r="S84" s="46">
        <f ca="1" t="shared" si="32"/>
        <v>0.692372170997485</v>
      </c>
      <c r="T84" s="46">
        <f ca="1" t="shared" si="33"/>
        <v>0.240569991617771</v>
      </c>
      <c r="U84" s="46">
        <f ca="1" t="shared" si="34"/>
        <v>0.0670578373847446</v>
      </c>
      <c r="V84" s="48">
        <f ca="1" t="shared" si="35"/>
        <v>0.406211496157956</v>
      </c>
      <c r="W84" s="48">
        <f ca="1" t="shared" si="36"/>
        <v>2.50666814156951</v>
      </c>
      <c r="X84" s="48">
        <f ca="1" t="shared" si="37"/>
        <v>2.44671492100447</v>
      </c>
      <c r="Y84" s="48">
        <f t="shared" si="38"/>
        <v>1.02661146926685</v>
      </c>
      <c r="Z84" s="105">
        <f ca="1" t="shared" si="39"/>
        <v>0.0636076403387268</v>
      </c>
      <c r="AA84" s="105">
        <f ca="1" t="shared" si="40"/>
        <v>0.392512883326912</v>
      </c>
      <c r="AB84" s="105">
        <f ca="1" t="shared" si="41"/>
        <v>0.383124958743491</v>
      </c>
      <c r="AC84" s="105">
        <f ca="1" t="shared" si="42"/>
        <v>0.16075451759087</v>
      </c>
      <c r="AD84" s="105">
        <f ca="1" t="shared" si="43"/>
        <v>0.692372170997485</v>
      </c>
      <c r="AE84" s="105">
        <f ca="1" t="shared" si="44"/>
        <v>0.24056999161777</v>
      </c>
      <c r="AF84" s="105">
        <f ca="1" t="shared" si="45"/>
        <v>0.0670578373847443</v>
      </c>
    </row>
    <row r="85" ht="16.5" spans="1:32">
      <c r="A85">
        <f ca="1" t="shared" si="23"/>
        <v>7158</v>
      </c>
      <c r="B85" s="2">
        <v>83</v>
      </c>
      <c r="C85" s="2">
        <f>_xlfn.XLOOKUP(练度预期!D85,装备养成!$B$3:$B$303,装备养成!$D$3:$D$303)*6</f>
        <v>4956</v>
      </c>
      <c r="D85" s="2" cm="1">
        <f ca="1" t="array" ref="D85">_xlfn.XLOOKUP(练度预期!E85&amp;"_"&amp;INT(练度预期!C85/10)*10+10,装备养成!$N$4:$N$219&amp;"_"&amp;装备养成!$K$4:$K$219,装备养成!$P$4:$P$219)*练度预期!F85+_xlfn.XLOOKUP(练度预期!E85-1&amp;"_"&amp;INT(练度预期!C85/10)*10+10,装备养成!$N$4:$N$219&amp;"_"&amp;装备养成!$K$4:$K$219,装备养成!$P$4:$P$219)*(6-练度预期!F85)</f>
        <v>1722</v>
      </c>
      <c r="E85" s="2">
        <f ca="1">练度预期!N85*4*练度预期!M85</f>
        <v>480</v>
      </c>
      <c r="F85" s="103">
        <f ca="1">INT(练度预期!D85/10)*0.02+1+_xlfn.XLOOKUP(练度预期!E85,装备养成!$U$3:$U$11,装备养成!$V$3:$V$11)*练度预期!F85+_xlfn.XLOOKUP(练度预期!E85-1,装备养成!$U$3:$U$11,装备养成!$V$3:$V$11)*(6-练度预期!F85)</f>
        <v>1.50112</v>
      </c>
      <c r="G85" s="48">
        <f ca="1">OFFSET(梦灵养成!$K$20,_xlfn.XLOOKUP(练度预期!H85,梦灵养成!$D$10:$D$28,梦灵养成!$H$10:$H$28),MATCH(OFFSET(梦灵养成!$C$33,B85,MATCH(练度预期!H85,梦灵养成!$D$33:$V$33,0)),梦灵养成!$L$20:$R$20,1))*(1+(OFFSET(梦灵养成!$C$33,B85,MATCH(练度预期!H85,梦灵养成!$D$33:$V$33,0))-1)*_xlfn.XLOOKUP(练度预期!H85,梦灵养成!$D$9:$D$28,梦灵养成!$G$9:$G$28))</f>
        <v>12.264</v>
      </c>
      <c r="H85" s="46">
        <f ca="1">符文养成!AC86</f>
        <v>11.6833590668072</v>
      </c>
      <c r="I85" s="46">
        <f>MAX(_xlfn.XLOOKUP(练度预期!O85,秘宝养成!$B$3:$B$15,秘宝养成!$E$3:$E$15),1)</f>
        <v>2.7915904</v>
      </c>
      <c r="J85" s="104">
        <f ca="1" t="shared" si="24"/>
        <v>4297923.36530406</v>
      </c>
      <c r="K85" s="104">
        <f ca="1">MATCH(J85,关卡预期!$E$4:$E$303,1)</f>
        <v>135</v>
      </c>
      <c r="L85" s="48">
        <f ca="1" t="shared" si="25"/>
        <v>0.692372170997485</v>
      </c>
      <c r="M85" s="48">
        <f ca="1" t="shared" si="26"/>
        <v>0.24056999161777</v>
      </c>
      <c r="N85" s="48">
        <f ca="1" t="shared" si="27"/>
        <v>0.0670578373847443</v>
      </c>
      <c r="O85" s="48">
        <f ca="1" t="shared" si="28"/>
        <v>0.0634937945832814</v>
      </c>
      <c r="P85" s="48">
        <f ca="1" t="shared" si="29"/>
        <v>0.391810358826924</v>
      </c>
      <c r="Q85" s="48">
        <f ca="1" t="shared" si="30"/>
        <v>0.384229049458275</v>
      </c>
      <c r="R85" s="48">
        <f ca="1" t="shared" si="31"/>
        <v>0.16046679713152</v>
      </c>
      <c r="S85" s="46">
        <f ca="1" t="shared" si="32"/>
        <v>0.692372170997485</v>
      </c>
      <c r="T85" s="46">
        <f ca="1" t="shared" si="33"/>
        <v>0.240569991617771</v>
      </c>
      <c r="U85" s="46">
        <f ca="1" t="shared" si="34"/>
        <v>0.0670578373847444</v>
      </c>
      <c r="V85" s="48">
        <f ca="1" t="shared" si="35"/>
        <v>0.406211496157956</v>
      </c>
      <c r="W85" s="48">
        <f ca="1" t="shared" si="36"/>
        <v>2.50666814156951</v>
      </c>
      <c r="X85" s="48">
        <f ca="1" t="shared" si="37"/>
        <v>2.45816552738986</v>
      </c>
      <c r="Y85" s="48">
        <f t="shared" si="38"/>
        <v>1.02661146926685</v>
      </c>
      <c r="Z85" s="105">
        <f ca="1" t="shared" si="39"/>
        <v>0.0634937945832814</v>
      </c>
      <c r="AA85" s="105">
        <f ca="1" t="shared" si="40"/>
        <v>0.391810358826924</v>
      </c>
      <c r="AB85" s="105">
        <f ca="1" t="shared" si="41"/>
        <v>0.384229049458275</v>
      </c>
      <c r="AC85" s="105">
        <f ca="1" t="shared" si="42"/>
        <v>0.16046679713152</v>
      </c>
      <c r="AD85" s="105">
        <f ca="1" t="shared" si="43"/>
        <v>0.692372170997485</v>
      </c>
      <c r="AE85" s="105">
        <f ca="1" t="shared" si="44"/>
        <v>0.24056999161777</v>
      </c>
      <c r="AF85" s="105">
        <f ca="1" t="shared" si="45"/>
        <v>0.0670578373847443</v>
      </c>
    </row>
    <row r="86" ht="16.5" spans="1:32">
      <c r="A86">
        <f ca="1" t="shared" si="23"/>
        <v>7302</v>
      </c>
      <c r="B86" s="2">
        <v>84</v>
      </c>
      <c r="C86" s="2">
        <f>_xlfn.XLOOKUP(练度预期!D86,装备养成!$B$3:$B$303,装备养成!$D$3:$D$303)*6</f>
        <v>5100</v>
      </c>
      <c r="D86" s="2" cm="1">
        <f ca="1" t="array" ref="D86">_xlfn.XLOOKUP(练度预期!E86&amp;"_"&amp;INT(练度预期!C86/10)*10+10,装备养成!$N$4:$N$219&amp;"_"&amp;装备养成!$K$4:$K$219,装备养成!$P$4:$P$219)*练度预期!F86+_xlfn.XLOOKUP(练度预期!E86-1&amp;"_"&amp;INT(练度预期!C86/10)*10+10,装备养成!$N$4:$N$219&amp;"_"&amp;装备养成!$K$4:$K$219,装备养成!$P$4:$P$219)*(6-练度预期!F86)</f>
        <v>1722</v>
      </c>
      <c r="E86" s="2">
        <f ca="1">练度预期!N86*4*练度预期!M86</f>
        <v>480</v>
      </c>
      <c r="F86" s="103">
        <f ca="1">INT(练度预期!D86/10)*0.02+1+_xlfn.XLOOKUP(练度预期!E86,装备养成!$U$3:$U$11,装备养成!$V$3:$V$11)*练度预期!F86+_xlfn.XLOOKUP(练度预期!E86-1,装备养成!$U$3:$U$11,装备养成!$V$3:$V$11)*(6-练度预期!F86)</f>
        <v>1.50112</v>
      </c>
      <c r="G86" s="48">
        <f ca="1">OFFSET(梦灵养成!$K$20,_xlfn.XLOOKUP(练度预期!H86,梦灵养成!$D$10:$D$28,梦灵养成!$H$10:$H$28),MATCH(OFFSET(梦灵养成!$C$33,B86,MATCH(练度预期!H86,梦灵养成!$D$33:$V$33,0)),梦灵养成!$L$20:$R$20,1))*(1+(OFFSET(梦灵养成!$C$33,B86,MATCH(练度预期!H86,梦灵养成!$D$33:$V$33,0))-1)*_xlfn.XLOOKUP(练度预期!H86,梦灵养成!$D$9:$D$28,梦灵养成!$G$9:$G$28))</f>
        <v>16.4865</v>
      </c>
      <c r="H86" s="46">
        <f ca="1">符文养成!AC87</f>
        <v>11.8670091544931</v>
      </c>
      <c r="I86" s="46">
        <f>MAX(_xlfn.XLOOKUP(练度预期!O86,秘宝养成!$B$3:$B$15,秘宝养成!$E$3:$E$15),1)</f>
        <v>2.7915904</v>
      </c>
      <c r="J86" s="104">
        <f ca="1" t="shared" si="24"/>
        <v>5986578.4823523</v>
      </c>
      <c r="K86" s="104">
        <f ca="1">MATCH(J86,关卡预期!$E$4:$E$303,1)</f>
        <v>140</v>
      </c>
      <c r="L86" s="48">
        <f ca="1" t="shared" si="25"/>
        <v>0.698438783894823</v>
      </c>
      <c r="M86" s="48">
        <f ca="1" t="shared" si="26"/>
        <v>0.23582580115037</v>
      </c>
      <c r="N86" s="48">
        <f ca="1" t="shared" si="27"/>
        <v>0.065735414954807</v>
      </c>
      <c r="O86" s="48">
        <f ca="1" t="shared" si="28"/>
        <v>0.0605461029061832</v>
      </c>
      <c r="P86" s="48">
        <f ca="1" t="shared" si="29"/>
        <v>0.417720792526391</v>
      </c>
      <c r="Q86" s="48">
        <f ca="1" t="shared" si="30"/>
        <v>0.368715958940585</v>
      </c>
      <c r="R86" s="48">
        <f ca="1" t="shared" si="31"/>
        <v>0.15301714562684</v>
      </c>
      <c r="S86" s="46">
        <f ca="1" t="shared" si="32"/>
        <v>0.698438783894823</v>
      </c>
      <c r="T86" s="46">
        <f ca="1" t="shared" si="33"/>
        <v>0.23582580115037</v>
      </c>
      <c r="U86" s="46">
        <f ca="1" t="shared" si="34"/>
        <v>0.0657354149548071</v>
      </c>
      <c r="V86" s="48">
        <f ca="1" t="shared" si="35"/>
        <v>0.406211496157956</v>
      </c>
      <c r="W86" s="48">
        <f ca="1" t="shared" si="36"/>
        <v>2.80254186419493</v>
      </c>
      <c r="X86" s="48">
        <f ca="1" t="shared" si="37"/>
        <v>2.47376221010708</v>
      </c>
      <c r="Y86" s="48">
        <f t="shared" si="38"/>
        <v>1.02661146926685</v>
      </c>
      <c r="Z86" s="105">
        <f ca="1" t="shared" si="39"/>
        <v>0.0605461029061832</v>
      </c>
      <c r="AA86" s="105">
        <f ca="1" t="shared" si="40"/>
        <v>0.417720792526391</v>
      </c>
      <c r="AB86" s="105">
        <f ca="1" t="shared" si="41"/>
        <v>0.368715958940585</v>
      </c>
      <c r="AC86" s="105">
        <f ca="1" t="shared" si="42"/>
        <v>0.15301714562684</v>
      </c>
      <c r="AD86" s="105">
        <f ca="1" t="shared" si="43"/>
        <v>0.698438783894823</v>
      </c>
      <c r="AE86" s="105">
        <f ca="1" t="shared" si="44"/>
        <v>0.23582580115037</v>
      </c>
      <c r="AF86" s="105">
        <f ca="1" t="shared" si="45"/>
        <v>0.0657354149548069</v>
      </c>
    </row>
    <row r="87" ht="16.5" spans="1:32">
      <c r="A87">
        <f ca="1" t="shared" si="23"/>
        <v>7302</v>
      </c>
      <c r="B87" s="2">
        <v>85</v>
      </c>
      <c r="C87" s="2">
        <f>_xlfn.XLOOKUP(练度预期!D87,装备养成!$B$3:$B$303,装备养成!$D$3:$D$303)*6</f>
        <v>5100</v>
      </c>
      <c r="D87" s="2" cm="1">
        <f ca="1" t="array" ref="D87">_xlfn.XLOOKUP(练度预期!E87&amp;"_"&amp;INT(练度预期!C87/10)*10+10,装备养成!$N$4:$N$219&amp;"_"&amp;装备养成!$K$4:$K$219,装备养成!$P$4:$P$219)*练度预期!F87+_xlfn.XLOOKUP(练度预期!E87-1&amp;"_"&amp;INT(练度预期!C87/10)*10+10,装备养成!$N$4:$N$219&amp;"_"&amp;装备养成!$K$4:$K$219,装备养成!$P$4:$P$219)*(6-练度预期!F87)</f>
        <v>1722</v>
      </c>
      <c r="E87" s="2">
        <f ca="1">练度预期!N87*4*练度预期!M87</f>
        <v>480</v>
      </c>
      <c r="F87" s="103">
        <f ca="1">INT(练度预期!D87/10)*0.02+1+_xlfn.XLOOKUP(练度预期!E87,装备养成!$U$3:$U$11,装备养成!$V$3:$V$11)*练度预期!F87+_xlfn.XLOOKUP(练度预期!E87-1,装备养成!$U$3:$U$11,装备养成!$V$3:$V$11)*(6-练度预期!F87)</f>
        <v>1.50112</v>
      </c>
      <c r="G87" s="48">
        <f ca="1">OFFSET(梦灵养成!$K$20,_xlfn.XLOOKUP(练度预期!H87,梦灵养成!$D$10:$D$28,梦灵养成!$H$10:$H$28),MATCH(OFFSET(梦灵养成!$C$33,B87,MATCH(练度预期!H87,梦灵养成!$D$33:$V$33,0)),梦灵养成!$L$20:$R$20,1))*(1+(OFFSET(梦灵养成!$C$33,B87,MATCH(练度预期!H87,梦灵养成!$D$33:$V$33,0))-1)*_xlfn.XLOOKUP(练度预期!H87,梦灵养成!$D$9:$D$28,梦灵养成!$G$9:$G$28))</f>
        <v>16.4865</v>
      </c>
      <c r="H87" s="46">
        <f ca="1">符文养成!AC88</f>
        <v>12.0217589619453</v>
      </c>
      <c r="I87" s="46">
        <f>MAX(_xlfn.XLOOKUP(练度预期!O87,秘宝养成!$B$3:$B$15,秘宝养成!$E$3:$E$15),1)</f>
        <v>2.7915904</v>
      </c>
      <c r="J87" s="104">
        <f ca="1" t="shared" si="24"/>
        <v>6064645.48772668</v>
      </c>
      <c r="K87" s="104">
        <f ca="1">MATCH(J87,关卡预期!$E$4:$E$303,1)</f>
        <v>141</v>
      </c>
      <c r="L87" s="48">
        <f ca="1" t="shared" si="25"/>
        <v>0.698438783894823</v>
      </c>
      <c r="M87" s="48">
        <f ca="1" t="shared" si="26"/>
        <v>0.23582580115037</v>
      </c>
      <c r="N87" s="48">
        <f ca="1" t="shared" si="27"/>
        <v>0.0657354149548071</v>
      </c>
      <c r="O87" s="48">
        <f ca="1" t="shared" si="28"/>
        <v>0.0604294072335049</v>
      </c>
      <c r="P87" s="48">
        <f ca="1" t="shared" si="29"/>
        <v>0.416915683584019</v>
      </c>
      <c r="Q87" s="48">
        <f ca="1" t="shared" si="30"/>
        <v>0.369932686562784</v>
      </c>
      <c r="R87" s="48">
        <f ca="1" t="shared" si="31"/>
        <v>0.152722222619692</v>
      </c>
      <c r="S87" s="46">
        <f ca="1" t="shared" si="32"/>
        <v>0.698438783894823</v>
      </c>
      <c r="T87" s="46">
        <f ca="1" t="shared" si="33"/>
        <v>0.23582580115037</v>
      </c>
      <c r="U87" s="46">
        <f ca="1" t="shared" si="34"/>
        <v>0.0657354149548071</v>
      </c>
      <c r="V87" s="48">
        <f ca="1" t="shared" si="35"/>
        <v>0.406211496157956</v>
      </c>
      <c r="W87" s="48">
        <f ca="1" t="shared" si="36"/>
        <v>2.80254186419493</v>
      </c>
      <c r="X87" s="48">
        <f ca="1" t="shared" si="37"/>
        <v>2.48671825466928</v>
      </c>
      <c r="Y87" s="48">
        <f t="shared" si="38"/>
        <v>1.02661146926685</v>
      </c>
      <c r="Z87" s="105">
        <f ca="1" t="shared" si="39"/>
        <v>0.0604294072335049</v>
      </c>
      <c r="AA87" s="105">
        <f ca="1" t="shared" si="40"/>
        <v>0.416915683584019</v>
      </c>
      <c r="AB87" s="105">
        <f ca="1" t="shared" si="41"/>
        <v>0.369932686562784</v>
      </c>
      <c r="AC87" s="105">
        <f ca="1" t="shared" si="42"/>
        <v>0.152722222619692</v>
      </c>
      <c r="AD87" s="105">
        <f ca="1" t="shared" si="43"/>
        <v>0.698438783894823</v>
      </c>
      <c r="AE87" s="105">
        <f ca="1" t="shared" si="44"/>
        <v>0.23582580115037</v>
      </c>
      <c r="AF87" s="105">
        <f ca="1" t="shared" si="45"/>
        <v>0.0657354149548069</v>
      </c>
    </row>
    <row r="88" ht="16.5" spans="1:32">
      <c r="A88">
        <f ca="1" t="shared" si="23"/>
        <v>7446</v>
      </c>
      <c r="B88" s="2">
        <v>86</v>
      </c>
      <c r="C88" s="2">
        <f>_xlfn.XLOOKUP(练度预期!D88,装备养成!$B$3:$B$303,装备养成!$D$3:$D$303)*6</f>
        <v>5244</v>
      </c>
      <c r="D88" s="2" cm="1">
        <f ca="1" t="array" ref="D88">_xlfn.XLOOKUP(练度预期!E88&amp;"_"&amp;INT(练度预期!C88/10)*10+10,装备养成!$N$4:$N$219&amp;"_"&amp;装备养成!$K$4:$K$219,装备养成!$P$4:$P$219)*练度预期!F88+_xlfn.XLOOKUP(练度预期!E88-1&amp;"_"&amp;INT(练度预期!C88/10)*10+10,装备养成!$N$4:$N$219&amp;"_"&amp;装备养成!$K$4:$K$219,装备养成!$P$4:$P$219)*(6-练度预期!F88)</f>
        <v>1722</v>
      </c>
      <c r="E88" s="2">
        <f ca="1">练度预期!N88*4*练度预期!M88</f>
        <v>480</v>
      </c>
      <c r="F88" s="103">
        <f ca="1">INT(练度预期!D88/10)*0.02+1+_xlfn.XLOOKUP(练度预期!E88,装备养成!$U$3:$U$11,装备养成!$V$3:$V$11)*练度预期!F88+_xlfn.XLOOKUP(练度预期!E88-1,装备养成!$U$3:$U$11,装备养成!$V$3:$V$11)*(6-练度预期!F88)</f>
        <v>1.50112</v>
      </c>
      <c r="G88" s="48">
        <f ca="1">OFFSET(梦灵养成!$K$20,_xlfn.XLOOKUP(练度预期!H88,梦灵养成!$D$10:$D$28,梦灵养成!$H$10:$H$28),MATCH(OFFSET(梦灵养成!$C$33,B88,MATCH(练度预期!H88,梦灵养成!$D$33:$V$33,0)),梦灵养成!$L$20:$R$20,1))*(1+(OFFSET(梦灵养成!$C$33,B88,MATCH(练度预期!H88,梦灵养成!$D$33:$V$33,0))-1)*_xlfn.XLOOKUP(练度预期!H88,梦灵养成!$D$9:$D$28,梦灵养成!$G$9:$G$28))</f>
        <v>16.4865</v>
      </c>
      <c r="H88" s="46">
        <f ca="1">符文养成!AC89</f>
        <v>12.2102451459873</v>
      </c>
      <c r="I88" s="46">
        <f>MAX(_xlfn.XLOOKUP(练度预期!O88,秘宝养成!$B$3:$B$15,秘宝养成!$E$3:$E$15),1)</f>
        <v>2.7915904</v>
      </c>
      <c r="J88" s="104">
        <f ca="1" t="shared" si="24"/>
        <v>6281205.31676775</v>
      </c>
      <c r="K88" s="104">
        <f ca="1">MATCH(J88,关卡预期!$E$4:$E$303,1)</f>
        <v>141</v>
      </c>
      <c r="L88" s="48">
        <f ca="1" t="shared" si="25"/>
        <v>0.704270749395649</v>
      </c>
      <c r="M88" s="48">
        <f ca="1" t="shared" si="26"/>
        <v>0.231265108783239</v>
      </c>
      <c r="N88" s="48">
        <f ca="1" t="shared" si="27"/>
        <v>0.0644641418211121</v>
      </c>
      <c r="O88" s="48">
        <f ca="1" t="shared" si="28"/>
        <v>0.0602898766334192</v>
      </c>
      <c r="P88" s="48">
        <f ca="1" t="shared" si="29"/>
        <v>0.415953031488313</v>
      </c>
      <c r="Q88" s="48">
        <f ca="1" t="shared" si="30"/>
        <v>0.371387502592976</v>
      </c>
      <c r="R88" s="48">
        <f ca="1" t="shared" si="31"/>
        <v>0.152369589285292</v>
      </c>
      <c r="S88" s="46">
        <f ca="1" t="shared" si="32"/>
        <v>0.704270749395649</v>
      </c>
      <c r="T88" s="46">
        <f ca="1" t="shared" si="33"/>
        <v>0.231265108783239</v>
      </c>
      <c r="U88" s="46">
        <f ca="1" t="shared" si="34"/>
        <v>0.064464141821112</v>
      </c>
      <c r="V88" s="48">
        <f ca="1" t="shared" si="35"/>
        <v>0.406211496157956</v>
      </c>
      <c r="W88" s="48">
        <f ca="1" t="shared" si="36"/>
        <v>2.80254186419493</v>
      </c>
      <c r="X88" s="48">
        <f ca="1" t="shared" si="37"/>
        <v>2.5022753653975</v>
      </c>
      <c r="Y88" s="48">
        <f t="shared" si="38"/>
        <v>1.02661146926685</v>
      </c>
      <c r="Z88" s="105">
        <f ca="1" t="shared" si="39"/>
        <v>0.0602898766334192</v>
      </c>
      <c r="AA88" s="105">
        <f ca="1" t="shared" si="40"/>
        <v>0.415953031488313</v>
      </c>
      <c r="AB88" s="105">
        <f ca="1" t="shared" si="41"/>
        <v>0.371387502592976</v>
      </c>
      <c r="AC88" s="105">
        <f ca="1" t="shared" si="42"/>
        <v>0.152369589285292</v>
      </c>
      <c r="AD88" s="105">
        <f ca="1" t="shared" si="43"/>
        <v>0.704270749395649</v>
      </c>
      <c r="AE88" s="105">
        <f ca="1" t="shared" si="44"/>
        <v>0.231265108783239</v>
      </c>
      <c r="AF88" s="105">
        <f ca="1" t="shared" si="45"/>
        <v>0.064464141821112</v>
      </c>
    </row>
    <row r="89" ht="16.5" spans="1:32">
      <c r="A89">
        <f ca="1" t="shared" si="23"/>
        <v>7446</v>
      </c>
      <c r="B89" s="2">
        <v>87</v>
      </c>
      <c r="C89" s="2">
        <f>_xlfn.XLOOKUP(练度预期!D89,装备养成!$B$3:$B$303,装备养成!$D$3:$D$303)*6</f>
        <v>5244</v>
      </c>
      <c r="D89" s="2" cm="1">
        <f ca="1" t="array" ref="D89">_xlfn.XLOOKUP(练度预期!E89&amp;"_"&amp;INT(练度预期!C89/10)*10+10,装备养成!$N$4:$N$219&amp;"_"&amp;装备养成!$K$4:$K$219,装备养成!$P$4:$P$219)*练度预期!F89+_xlfn.XLOOKUP(练度预期!E89-1&amp;"_"&amp;INT(练度预期!C89/10)*10+10,装备养成!$N$4:$N$219&amp;"_"&amp;装备养成!$K$4:$K$219,装备养成!$P$4:$P$219)*(6-练度预期!F89)</f>
        <v>1722</v>
      </c>
      <c r="E89" s="2">
        <f ca="1">练度预期!N89*4*练度预期!M89</f>
        <v>480</v>
      </c>
      <c r="F89" s="103">
        <f ca="1">INT(练度预期!D89/10)*0.02+1+_xlfn.XLOOKUP(练度预期!E89,装备养成!$U$3:$U$11,装备养成!$V$3:$V$11)*练度预期!F89+_xlfn.XLOOKUP(练度预期!E89-1,装备养成!$U$3:$U$11,装备养成!$V$3:$V$11)*(6-练度预期!F89)</f>
        <v>1.50112</v>
      </c>
      <c r="G89" s="48">
        <f ca="1">OFFSET(梦灵养成!$K$20,_xlfn.XLOOKUP(练度预期!H89,梦灵养成!$D$10:$D$28,梦灵养成!$H$10:$H$28),MATCH(OFFSET(梦灵养成!$C$33,B89,MATCH(练度预期!H89,梦灵养成!$D$33:$V$33,0)),梦灵养成!$L$20:$R$20,1))*(1+(OFFSET(梦灵养成!$C$33,B89,MATCH(练度预期!H89,梦灵养成!$D$33:$V$33,0))-1)*_xlfn.XLOOKUP(练度预期!H89,梦灵养成!$D$9:$D$28,梦灵养成!$G$9:$G$28))</f>
        <v>16.4865</v>
      </c>
      <c r="H89" s="46">
        <f ca="1">符文养成!AC90</f>
        <v>12.3690602604113</v>
      </c>
      <c r="I89" s="46">
        <f>MAX(_xlfn.XLOOKUP(练度预期!O89,秘宝养成!$B$3:$B$15,秘宝养成!$E$3:$E$15),1)</f>
        <v>2.7915904</v>
      </c>
      <c r="J89" s="104">
        <f ca="1" t="shared" si="24"/>
        <v>6362903.13111759</v>
      </c>
      <c r="K89" s="104">
        <f ca="1">MATCH(J89,关卡预期!$E$4:$E$303,1)</f>
        <v>141</v>
      </c>
      <c r="L89" s="48">
        <f ca="1" t="shared" si="25"/>
        <v>0.704270749395649</v>
      </c>
      <c r="M89" s="48">
        <f ca="1" t="shared" si="26"/>
        <v>0.231265108783239</v>
      </c>
      <c r="N89" s="48">
        <f ca="1" t="shared" si="27"/>
        <v>0.0644641418211119</v>
      </c>
      <c r="O89" s="48">
        <f ca="1" t="shared" si="28"/>
        <v>0.0601744615251847</v>
      </c>
      <c r="P89" s="48">
        <f ca="1" t="shared" si="29"/>
        <v>0.415156757439825</v>
      </c>
      <c r="Q89" s="48">
        <f ca="1" t="shared" si="30"/>
        <v>0.372590878407907</v>
      </c>
      <c r="R89" s="48">
        <f ca="1" t="shared" si="31"/>
        <v>0.152077902627083</v>
      </c>
      <c r="S89" s="46">
        <f ca="1" t="shared" si="32"/>
        <v>0.704270749395649</v>
      </c>
      <c r="T89" s="46">
        <f ca="1" t="shared" si="33"/>
        <v>0.231265108783239</v>
      </c>
      <c r="U89" s="46">
        <f ca="1" t="shared" si="34"/>
        <v>0.0644641418211119</v>
      </c>
      <c r="V89" s="48">
        <f ca="1" t="shared" si="35"/>
        <v>0.406211496157956</v>
      </c>
      <c r="W89" s="48">
        <f ca="1" t="shared" si="36"/>
        <v>2.80254186419493</v>
      </c>
      <c r="X89" s="48">
        <f ca="1" t="shared" si="37"/>
        <v>2.51519821427132</v>
      </c>
      <c r="Y89" s="48">
        <f t="shared" si="38"/>
        <v>1.02661146926685</v>
      </c>
      <c r="Z89" s="105">
        <f ca="1" t="shared" si="39"/>
        <v>0.0601744615251847</v>
      </c>
      <c r="AA89" s="105">
        <f ca="1" t="shared" si="40"/>
        <v>0.415156757439825</v>
      </c>
      <c r="AB89" s="105">
        <f ca="1" t="shared" si="41"/>
        <v>0.372590878407907</v>
      </c>
      <c r="AC89" s="105">
        <f ca="1" t="shared" si="42"/>
        <v>0.152077902627083</v>
      </c>
      <c r="AD89" s="105">
        <f ca="1" t="shared" si="43"/>
        <v>0.704270749395649</v>
      </c>
      <c r="AE89" s="105">
        <f ca="1" t="shared" si="44"/>
        <v>0.231265108783239</v>
      </c>
      <c r="AF89" s="105">
        <f ca="1" t="shared" si="45"/>
        <v>0.064464141821112</v>
      </c>
    </row>
    <row r="90" ht="16.5" spans="1:32">
      <c r="A90">
        <f ca="1" t="shared" si="23"/>
        <v>7590</v>
      </c>
      <c r="B90" s="2">
        <v>88</v>
      </c>
      <c r="C90" s="2">
        <f>_xlfn.XLOOKUP(练度预期!D90,装备养成!$B$3:$B$303,装备养成!$D$3:$D$303)*6</f>
        <v>5388</v>
      </c>
      <c r="D90" s="2" cm="1">
        <f ca="1" t="array" ref="D90">_xlfn.XLOOKUP(练度预期!E90&amp;"_"&amp;INT(练度预期!C90/10)*10+10,装备养成!$N$4:$N$219&amp;"_"&amp;装备养成!$K$4:$K$219,装备养成!$P$4:$P$219)*练度预期!F90+_xlfn.XLOOKUP(练度预期!E90-1&amp;"_"&amp;INT(练度预期!C90/10)*10+10,装备养成!$N$4:$N$219&amp;"_"&amp;装备养成!$K$4:$K$219,装备养成!$P$4:$P$219)*(6-练度预期!F90)</f>
        <v>1722</v>
      </c>
      <c r="E90" s="2">
        <f ca="1">练度预期!N90*4*练度预期!M90</f>
        <v>480</v>
      </c>
      <c r="F90" s="103">
        <f ca="1">INT(练度预期!D90/10)*0.02+1+_xlfn.XLOOKUP(练度预期!E90,装备养成!$U$3:$U$11,装备养成!$V$3:$V$11)*练度预期!F90+_xlfn.XLOOKUP(练度预期!E90-1,装备养成!$U$3:$U$11,装备养成!$V$3:$V$11)*(6-练度预期!F90)</f>
        <v>1.50112</v>
      </c>
      <c r="G90" s="48">
        <f ca="1">OFFSET(梦灵养成!$K$20,_xlfn.XLOOKUP(练度预期!H90,梦灵养成!$D$10:$D$28,梦灵养成!$H$10:$H$28),MATCH(OFFSET(梦灵养成!$C$33,B90,MATCH(练度预期!H90,梦灵养成!$D$33:$V$33,0)),梦灵养成!$L$20:$R$20,1))*(1+(OFFSET(梦灵养成!$C$33,B90,MATCH(练度预期!H90,梦灵养成!$D$33:$V$33,0))-1)*_xlfn.XLOOKUP(练度预期!H90,梦灵养成!$D$9:$D$28,梦灵养成!$G$9:$G$28))</f>
        <v>16.4865</v>
      </c>
      <c r="H90" s="46">
        <f ca="1">符文养成!AC91</f>
        <v>12.5590621630976</v>
      </c>
      <c r="I90" s="46">
        <f>MAX(_xlfn.XLOOKUP(练度预期!O90,秘宝养成!$B$3:$B$15,秘宝养成!$E$3:$E$15),1)</f>
        <v>2.7915904</v>
      </c>
      <c r="J90" s="104">
        <f ca="1" t="shared" si="24"/>
        <v>6585588.04409533</v>
      </c>
      <c r="K90" s="104">
        <f ca="1">MATCH(J90,关卡预期!$E$4:$E$303,1)</f>
        <v>142</v>
      </c>
      <c r="L90" s="48">
        <f ca="1" t="shared" si="25"/>
        <v>0.709881422924901</v>
      </c>
      <c r="M90" s="48">
        <f ca="1" t="shared" si="26"/>
        <v>0.226877470355731</v>
      </c>
      <c r="N90" s="48">
        <f ca="1" t="shared" si="27"/>
        <v>0.0632411067193676</v>
      </c>
      <c r="O90" s="48">
        <f ca="1" t="shared" si="28"/>
        <v>0.0600388803561518</v>
      </c>
      <c r="P90" s="48">
        <f ca="1" t="shared" si="29"/>
        <v>0.414221353331854</v>
      </c>
      <c r="Q90" s="48">
        <f ca="1" t="shared" si="30"/>
        <v>0.374004515688762</v>
      </c>
      <c r="R90" s="48">
        <f ca="1" t="shared" si="31"/>
        <v>0.151735250623232</v>
      </c>
      <c r="S90" s="46">
        <f ca="1" t="shared" si="32"/>
        <v>0.709881422924901</v>
      </c>
      <c r="T90" s="46">
        <f ca="1" t="shared" si="33"/>
        <v>0.226877470355731</v>
      </c>
      <c r="U90" s="46">
        <f ca="1" t="shared" si="34"/>
        <v>0.0632411067193676</v>
      </c>
      <c r="V90" s="48">
        <f ca="1" t="shared" si="35"/>
        <v>0.406211496157956</v>
      </c>
      <c r="W90" s="48">
        <f ca="1" t="shared" si="36"/>
        <v>2.80254186419493</v>
      </c>
      <c r="X90" s="48">
        <f ca="1" t="shared" si="37"/>
        <v>2.53044248970904</v>
      </c>
      <c r="Y90" s="48">
        <f t="shared" si="38"/>
        <v>1.02661146926685</v>
      </c>
      <c r="Z90" s="105">
        <f ca="1" t="shared" si="39"/>
        <v>0.0600388803561518</v>
      </c>
      <c r="AA90" s="105">
        <f ca="1" t="shared" si="40"/>
        <v>0.414221353331854</v>
      </c>
      <c r="AB90" s="105">
        <f ca="1" t="shared" si="41"/>
        <v>0.374004515688762</v>
      </c>
      <c r="AC90" s="105">
        <f ca="1" t="shared" si="42"/>
        <v>0.151735250623232</v>
      </c>
      <c r="AD90" s="105">
        <f ca="1" t="shared" si="43"/>
        <v>0.709881422924901</v>
      </c>
      <c r="AE90" s="105">
        <f ca="1" t="shared" si="44"/>
        <v>0.226877470355731</v>
      </c>
      <c r="AF90" s="105">
        <f ca="1" t="shared" si="45"/>
        <v>0.0632411067193676</v>
      </c>
    </row>
    <row r="91" ht="16.5" spans="1:32">
      <c r="A91">
        <f ca="1" t="shared" si="23"/>
        <v>7590</v>
      </c>
      <c r="B91" s="2">
        <v>89</v>
      </c>
      <c r="C91" s="2">
        <f>_xlfn.XLOOKUP(练度预期!D91,装备养成!$B$3:$B$303,装备养成!$D$3:$D$303)*6</f>
        <v>5388</v>
      </c>
      <c r="D91" s="2" cm="1">
        <f ca="1" t="array" ref="D91">_xlfn.XLOOKUP(练度预期!E91&amp;"_"&amp;INT(练度预期!C91/10)*10+10,装备养成!$N$4:$N$219&amp;"_"&amp;装备养成!$K$4:$K$219,装备养成!$P$4:$P$219)*练度预期!F91+_xlfn.XLOOKUP(练度预期!E91-1&amp;"_"&amp;INT(练度预期!C91/10)*10+10,装备养成!$N$4:$N$219&amp;"_"&amp;装备养成!$K$4:$K$219,装备养成!$P$4:$P$219)*(6-练度预期!F91)</f>
        <v>1722</v>
      </c>
      <c r="E91" s="2">
        <f ca="1">练度预期!N91*4*练度预期!M91</f>
        <v>480</v>
      </c>
      <c r="F91" s="103">
        <f ca="1">INT(练度预期!D91/10)*0.02+1+_xlfn.XLOOKUP(练度预期!E91,装备养成!$U$3:$U$11,装备养成!$V$3:$V$11)*练度预期!F91+_xlfn.XLOOKUP(练度预期!E91-1,装备养成!$U$3:$U$11,装备养成!$V$3:$V$11)*(6-练度预期!F91)</f>
        <v>1.50112</v>
      </c>
      <c r="G91" s="48">
        <f ca="1">OFFSET(梦灵养成!$K$20,_xlfn.XLOOKUP(练度预期!H91,梦灵养成!$D$10:$D$28,梦灵养成!$H$10:$H$28),MATCH(OFFSET(梦灵养成!$C$33,B91,MATCH(练度预期!H91,梦灵养成!$D$33:$V$33,0)),梦灵养成!$L$20:$R$20,1))*(1+(OFFSET(梦灵养成!$C$33,B91,MATCH(练度预期!H91,梦灵养成!$D$33:$V$33,0))-1)*_xlfn.XLOOKUP(练度预期!H91,梦灵养成!$D$9:$D$28,梦灵养成!$G$9:$G$28))</f>
        <v>16.4865</v>
      </c>
      <c r="H91" s="46">
        <f ca="1">符文养成!AC92</f>
        <v>12.7254528423707</v>
      </c>
      <c r="I91" s="46">
        <f>MAX(_xlfn.XLOOKUP(练度预期!O91,秘宝养成!$B$3:$B$15,秘宝养成!$E$3:$E$15),1)</f>
        <v>2.7915904</v>
      </c>
      <c r="J91" s="104">
        <f ca="1" t="shared" si="24"/>
        <v>6672838.2267793</v>
      </c>
      <c r="K91" s="104">
        <f ca="1">MATCH(J91,关卡预期!$E$4:$E$303,1)</f>
        <v>142</v>
      </c>
      <c r="L91" s="48">
        <f ca="1" t="shared" si="25"/>
        <v>0.709881422924901</v>
      </c>
      <c r="M91" s="48">
        <f ca="1" t="shared" si="26"/>
        <v>0.226877470355731</v>
      </c>
      <c r="N91" s="48">
        <f ca="1" t="shared" si="27"/>
        <v>0.0632411067193675</v>
      </c>
      <c r="O91" s="48">
        <f ca="1" t="shared" si="28"/>
        <v>0.0599223122957595</v>
      </c>
      <c r="P91" s="48">
        <f ca="1" t="shared" si="29"/>
        <v>0.413417124814524</v>
      </c>
      <c r="Q91" s="48">
        <f ca="1" t="shared" si="30"/>
        <v>0.375219912761253</v>
      </c>
      <c r="R91" s="48">
        <f ca="1" t="shared" si="31"/>
        <v>0.151440650128463</v>
      </c>
      <c r="S91" s="46">
        <f ca="1" t="shared" si="32"/>
        <v>0.709881422924901</v>
      </c>
      <c r="T91" s="46">
        <f ca="1" t="shared" si="33"/>
        <v>0.226877470355731</v>
      </c>
      <c r="U91" s="46">
        <f ca="1" t="shared" si="34"/>
        <v>0.0632411067193674</v>
      </c>
      <c r="V91" s="48">
        <f ca="1" t="shared" si="35"/>
        <v>0.406211496157956</v>
      </c>
      <c r="W91" s="48">
        <f ca="1" t="shared" si="36"/>
        <v>2.80254186419493</v>
      </c>
      <c r="X91" s="48">
        <f ca="1" t="shared" si="37"/>
        <v>2.54360414863017</v>
      </c>
      <c r="Y91" s="48">
        <f t="shared" si="38"/>
        <v>1.02661146926685</v>
      </c>
      <c r="Z91" s="105">
        <f ca="1" t="shared" si="39"/>
        <v>0.0599223122957595</v>
      </c>
      <c r="AA91" s="105">
        <f ca="1" t="shared" si="40"/>
        <v>0.413417124814524</v>
      </c>
      <c r="AB91" s="105">
        <f ca="1" t="shared" si="41"/>
        <v>0.375219912761253</v>
      </c>
      <c r="AC91" s="105">
        <f ca="1" t="shared" si="42"/>
        <v>0.151440650128463</v>
      </c>
      <c r="AD91" s="105">
        <f ca="1" t="shared" si="43"/>
        <v>0.709881422924901</v>
      </c>
      <c r="AE91" s="105">
        <f ca="1" t="shared" si="44"/>
        <v>0.226877470355731</v>
      </c>
      <c r="AF91" s="105">
        <f ca="1" t="shared" si="45"/>
        <v>0.0632411067193676</v>
      </c>
    </row>
    <row r="92" ht="16.5" spans="1:32">
      <c r="A92">
        <f ca="1" t="shared" si="23"/>
        <v>7590</v>
      </c>
      <c r="B92" s="2">
        <v>90</v>
      </c>
      <c r="C92" s="2">
        <f>_xlfn.XLOOKUP(练度预期!D92,装备养成!$B$3:$B$303,装备养成!$D$3:$D$303)*6</f>
        <v>5388</v>
      </c>
      <c r="D92" s="2" cm="1">
        <f ca="1" t="array" ref="D92">_xlfn.XLOOKUP(练度预期!E92&amp;"_"&amp;INT(练度预期!C92/10)*10+10,装备养成!$N$4:$N$219&amp;"_"&amp;装备养成!$K$4:$K$219,装备养成!$P$4:$P$219)*练度预期!F92+_xlfn.XLOOKUP(练度预期!E92-1&amp;"_"&amp;INT(练度预期!C92/10)*10+10,装备养成!$N$4:$N$219&amp;"_"&amp;装备养成!$K$4:$K$219,装备养成!$P$4:$P$219)*(6-练度预期!F92)</f>
        <v>1722</v>
      </c>
      <c r="E92" s="2">
        <f ca="1">练度预期!N92*4*练度预期!M92</f>
        <v>480</v>
      </c>
      <c r="F92" s="103">
        <f ca="1">INT(练度预期!D92/10)*0.02+1+_xlfn.XLOOKUP(练度预期!E92,装备养成!$U$3:$U$11,装备养成!$V$3:$V$11)*练度预期!F92+_xlfn.XLOOKUP(练度预期!E92-1,装备养成!$U$3:$U$11,装备养成!$V$3:$V$11)*(6-练度预期!F92)</f>
        <v>1.50112</v>
      </c>
      <c r="G92" s="48">
        <f ca="1">OFFSET(梦灵养成!$K$20,_xlfn.XLOOKUP(练度预期!H92,梦灵养成!$D$10:$D$28,梦灵养成!$H$10:$H$28),MATCH(OFFSET(梦灵养成!$C$33,B92,MATCH(练度预期!H92,梦灵养成!$D$33:$V$33,0)),梦灵养成!$L$20:$R$20,1))*(1+(OFFSET(梦灵养成!$C$33,B92,MATCH(练度预期!H92,梦灵养成!$D$33:$V$33,0))-1)*_xlfn.XLOOKUP(练度预期!H92,梦灵养成!$D$9:$D$28,梦灵养成!$G$9:$G$28))</f>
        <v>17.055</v>
      </c>
      <c r="H92" s="46">
        <f ca="1">符文养成!AC93</f>
        <v>12.9007527365463</v>
      </c>
      <c r="I92" s="46">
        <f>MAX(_xlfn.XLOOKUP(练度预期!O92,秘宝养成!$B$3:$B$15,秘宝养成!$E$3:$E$15),1)</f>
        <v>2.7915904</v>
      </c>
      <c r="J92" s="104">
        <f ca="1" t="shared" si="24"/>
        <v>6998027.7199084</v>
      </c>
      <c r="K92" s="104">
        <f ca="1">MATCH(J92,关卡预期!$E$4:$E$303,1)</f>
        <v>143</v>
      </c>
      <c r="L92" s="48">
        <f ca="1" t="shared" si="25"/>
        <v>0.709881422924901</v>
      </c>
      <c r="M92" s="48">
        <f ca="1" t="shared" si="26"/>
        <v>0.226877470355731</v>
      </c>
      <c r="N92" s="48">
        <f ca="1" t="shared" si="27"/>
        <v>0.0632411067193678</v>
      </c>
      <c r="O92" s="48">
        <f ca="1" t="shared" si="28"/>
        <v>0.0595046362528578</v>
      </c>
      <c r="P92" s="48">
        <f ca="1" t="shared" si="29"/>
        <v>0.415501617530694</v>
      </c>
      <c r="Q92" s="48">
        <f ca="1" t="shared" si="30"/>
        <v>0.37460868171305</v>
      </c>
      <c r="R92" s="48">
        <f ca="1" t="shared" si="31"/>
        <v>0.150385064503398</v>
      </c>
      <c r="S92" s="46">
        <f ca="1" t="shared" si="32"/>
        <v>0.709881422924901</v>
      </c>
      <c r="T92" s="46">
        <f ca="1" t="shared" si="33"/>
        <v>0.226877470355731</v>
      </c>
      <c r="U92" s="46">
        <f ca="1" t="shared" si="34"/>
        <v>0.0632411067193678</v>
      </c>
      <c r="V92" s="48">
        <f ca="1" t="shared" si="35"/>
        <v>0.406211496157956</v>
      </c>
      <c r="W92" s="48">
        <f ca="1" t="shared" si="36"/>
        <v>2.83644341587061</v>
      </c>
      <c r="X92" s="48">
        <f ca="1" t="shared" si="37"/>
        <v>2.55728566133549</v>
      </c>
      <c r="Y92" s="48">
        <f t="shared" si="38"/>
        <v>1.02661146926685</v>
      </c>
      <c r="Z92" s="105">
        <f ca="1" t="shared" si="39"/>
        <v>0.0595046362528578</v>
      </c>
      <c r="AA92" s="105">
        <f ca="1" t="shared" si="40"/>
        <v>0.415501617530695</v>
      </c>
      <c r="AB92" s="105">
        <f ca="1" t="shared" si="41"/>
        <v>0.37460868171305</v>
      </c>
      <c r="AC92" s="105">
        <f ca="1" t="shared" si="42"/>
        <v>0.150385064503398</v>
      </c>
      <c r="AD92" s="105">
        <f ca="1" t="shared" si="43"/>
        <v>0.709881422924901</v>
      </c>
      <c r="AE92" s="105">
        <f ca="1" t="shared" si="44"/>
        <v>0.226877470355731</v>
      </c>
      <c r="AF92" s="105">
        <f ca="1" t="shared" si="45"/>
        <v>0.0632411067193676</v>
      </c>
    </row>
    <row r="93" ht="16.5" spans="1:32">
      <c r="A93">
        <f ca="1" t="shared" si="23"/>
        <v>7734</v>
      </c>
      <c r="B93" s="2">
        <v>91</v>
      </c>
      <c r="C93" s="2">
        <f>_xlfn.XLOOKUP(练度预期!D93,装备养成!$B$3:$B$303,装备养成!$D$3:$D$303)*6</f>
        <v>5532</v>
      </c>
      <c r="D93" s="2" cm="1">
        <f ca="1" t="array" ref="D93">_xlfn.XLOOKUP(练度预期!E93&amp;"_"&amp;INT(练度预期!C93/10)*10+10,装备养成!$N$4:$N$219&amp;"_"&amp;装备养成!$K$4:$K$219,装备养成!$P$4:$P$219)*练度预期!F93+_xlfn.XLOOKUP(练度预期!E93-1&amp;"_"&amp;INT(练度预期!C93/10)*10+10,装备养成!$N$4:$N$219&amp;"_"&amp;装备养成!$K$4:$K$219,装备养成!$P$4:$P$219)*(6-练度预期!F93)</f>
        <v>1722</v>
      </c>
      <c r="E93" s="2">
        <f ca="1">练度预期!N93*4*练度预期!M93</f>
        <v>480</v>
      </c>
      <c r="F93" s="103">
        <f ca="1">INT(练度预期!D93/10)*0.02+1+_xlfn.XLOOKUP(练度预期!E93,装备养成!$U$3:$U$11,装备养成!$V$3:$V$11)*练度预期!F93+_xlfn.XLOOKUP(练度预期!E93-1,装备养成!$U$3:$U$11,装备养成!$V$3:$V$11)*(6-练度预期!F93)</f>
        <v>1.50112</v>
      </c>
      <c r="G93" s="48">
        <f ca="1">OFFSET(梦灵养成!$K$20,_xlfn.XLOOKUP(练度预期!H93,梦灵养成!$D$10:$D$28,梦灵养成!$H$10:$H$28),MATCH(OFFSET(梦灵养成!$C$33,B93,MATCH(练度预期!H93,梦灵养成!$D$33:$V$33,0)),梦灵养成!$L$20:$R$20,1))*(1+(OFFSET(梦灵养成!$C$33,B93,MATCH(练度预期!H93,梦灵养成!$D$33:$V$33,0))-1)*_xlfn.XLOOKUP(练度预期!H93,梦灵养成!$D$9:$D$28,梦灵养成!$G$9:$G$28))</f>
        <v>17.055</v>
      </c>
      <c r="H93" s="46">
        <f ca="1">符文养成!AC94</f>
        <v>13.1016940987008</v>
      </c>
      <c r="I93" s="46">
        <f>MAX(_xlfn.XLOOKUP(练度预期!O93,秘宝养成!$B$3:$B$15,秘宝养成!$E$3:$E$15),1)</f>
        <v>2.7915904</v>
      </c>
      <c r="J93" s="104">
        <f ca="1" t="shared" si="24"/>
        <v>7241865.49205176</v>
      </c>
      <c r="K93" s="104">
        <f ca="1">MATCH(J93,关卡预期!$E$4:$E$303,1)</f>
        <v>143</v>
      </c>
      <c r="L93" s="48">
        <f ca="1" t="shared" si="25"/>
        <v>0.715283165244376</v>
      </c>
      <c r="M93" s="48">
        <f ca="1" t="shared" si="26"/>
        <v>0.222653219550039</v>
      </c>
      <c r="N93" s="48">
        <f ca="1" t="shared" si="27"/>
        <v>0.0620636152055857</v>
      </c>
      <c r="O93" s="48">
        <f ca="1" t="shared" si="28"/>
        <v>0.0593702171483434</v>
      </c>
      <c r="P93" s="48">
        <f ca="1" t="shared" si="29"/>
        <v>0.414563012425784</v>
      </c>
      <c r="Q93" s="48">
        <f ca="1" t="shared" si="30"/>
        <v>0.37602142106025</v>
      </c>
      <c r="R93" s="48">
        <f ca="1" t="shared" si="31"/>
        <v>0.150045349365623</v>
      </c>
      <c r="S93" s="46">
        <f ca="1" t="shared" si="32"/>
        <v>0.715283165244375</v>
      </c>
      <c r="T93" s="46">
        <f ca="1" t="shared" si="33"/>
        <v>0.222653219550039</v>
      </c>
      <c r="U93" s="46">
        <f ca="1" t="shared" si="34"/>
        <v>0.0620636152055857</v>
      </c>
      <c r="V93" s="48">
        <f ca="1" t="shared" si="35"/>
        <v>0.406211496157956</v>
      </c>
      <c r="W93" s="48">
        <f ca="1" t="shared" si="36"/>
        <v>2.83644341587061</v>
      </c>
      <c r="X93" s="48">
        <f ca="1" t="shared" si="37"/>
        <v>2.57274154235744</v>
      </c>
      <c r="Y93" s="48">
        <f t="shared" si="38"/>
        <v>1.02661146926685</v>
      </c>
      <c r="Z93" s="105">
        <f ca="1" t="shared" si="39"/>
        <v>0.0593702171483434</v>
      </c>
      <c r="AA93" s="105">
        <f ca="1" t="shared" si="40"/>
        <v>0.414563012425784</v>
      </c>
      <c r="AB93" s="105">
        <f ca="1" t="shared" si="41"/>
        <v>0.37602142106025</v>
      </c>
      <c r="AC93" s="105">
        <f ca="1" t="shared" si="42"/>
        <v>0.150045349365623</v>
      </c>
      <c r="AD93" s="105">
        <f ca="1" t="shared" si="43"/>
        <v>0.715283165244376</v>
      </c>
      <c r="AE93" s="105">
        <f ca="1" t="shared" si="44"/>
        <v>0.222653219550039</v>
      </c>
      <c r="AF93" s="105">
        <f ca="1" t="shared" si="45"/>
        <v>0.0620636152055857</v>
      </c>
    </row>
    <row r="94" ht="16.5" spans="1:32">
      <c r="A94">
        <f ca="1" t="shared" si="23"/>
        <v>7734</v>
      </c>
      <c r="B94" s="2">
        <v>92</v>
      </c>
      <c r="C94" s="2">
        <f>_xlfn.XLOOKUP(练度预期!D94,装备养成!$B$3:$B$303,装备养成!$D$3:$D$303)*6</f>
        <v>5532</v>
      </c>
      <c r="D94" s="2" cm="1">
        <f ca="1" t="array" ref="D94">_xlfn.XLOOKUP(练度预期!E94&amp;"_"&amp;INT(练度预期!C94/10)*10+10,装备养成!$N$4:$N$219&amp;"_"&amp;装备养成!$K$4:$K$219,装备养成!$P$4:$P$219)*练度预期!F94+_xlfn.XLOOKUP(练度预期!E94-1&amp;"_"&amp;INT(练度预期!C94/10)*10+10,装备养成!$N$4:$N$219&amp;"_"&amp;装备养成!$K$4:$K$219,装备养成!$P$4:$P$219)*(6-练度预期!F94)</f>
        <v>1722</v>
      </c>
      <c r="E94" s="2">
        <f ca="1">练度预期!N94*4*练度预期!M94</f>
        <v>480</v>
      </c>
      <c r="F94" s="103">
        <f ca="1">INT(练度预期!D94/10)*0.02+1+_xlfn.XLOOKUP(练度预期!E94,装备养成!$U$3:$U$11,装备养成!$V$3:$V$11)*练度预期!F94+_xlfn.XLOOKUP(练度预期!E94-1,装备养成!$U$3:$U$11,装备养成!$V$3:$V$11)*(6-练度预期!F94)</f>
        <v>1.50112</v>
      </c>
      <c r="G94" s="48">
        <f ca="1">OFFSET(梦灵养成!$K$20,_xlfn.XLOOKUP(练度预期!H94,梦灵养成!$D$10:$D$28,梦灵养成!$H$10:$H$28),MATCH(OFFSET(梦灵养成!$C$33,B94,MATCH(练度预期!H94,梦灵养成!$D$33:$V$33,0)),梦灵养成!$L$20:$R$20,1))*(1+(OFFSET(梦灵养成!$C$33,B94,MATCH(练度预期!H94,梦灵养成!$D$33:$V$33,0))-1)*_xlfn.XLOOKUP(练度预期!H94,梦灵养成!$D$9:$D$28,梦灵养成!$G$9:$G$28))</f>
        <v>17.055</v>
      </c>
      <c r="H94" s="46">
        <f ca="1">符文养成!AC95</f>
        <v>13.2709768870715</v>
      </c>
      <c r="I94" s="46">
        <f>MAX(_xlfn.XLOOKUP(练度预期!O94,秘宝养成!$B$3:$B$15,秘宝养成!$E$3:$E$15),1)</f>
        <v>2.7915904</v>
      </c>
      <c r="J94" s="104">
        <f ca="1" t="shared" si="24"/>
        <v>7335435.31395916</v>
      </c>
      <c r="K94" s="104">
        <f ca="1">MATCH(J94,关卡预期!$E$4:$E$303,1)</f>
        <v>144</v>
      </c>
      <c r="L94" s="48">
        <f ca="1" t="shared" si="25"/>
        <v>0.715283165244376</v>
      </c>
      <c r="M94" s="48">
        <f ca="1" t="shared" si="26"/>
        <v>0.222653219550039</v>
      </c>
      <c r="N94" s="48">
        <f ca="1" t="shared" si="27"/>
        <v>0.0620636152055858</v>
      </c>
      <c r="O94" s="48">
        <f ca="1" t="shared" si="28"/>
        <v>0.0592590271836135</v>
      </c>
      <c r="P94" s="48">
        <f ca="1" t="shared" si="29"/>
        <v>0.413786608886367</v>
      </c>
      <c r="Q94" s="48">
        <f ca="1" t="shared" si="30"/>
        <v>0.377190023088623</v>
      </c>
      <c r="R94" s="48">
        <f ca="1" t="shared" si="31"/>
        <v>0.149764340841396</v>
      </c>
      <c r="S94" s="46">
        <f ca="1" t="shared" si="32"/>
        <v>0.715283165244375</v>
      </c>
      <c r="T94" s="46">
        <f ca="1" t="shared" si="33"/>
        <v>0.222653219550039</v>
      </c>
      <c r="U94" s="46">
        <f ca="1" t="shared" si="34"/>
        <v>0.0620636152055858</v>
      </c>
      <c r="V94" s="48">
        <f ca="1" t="shared" si="35"/>
        <v>0.406211496157956</v>
      </c>
      <c r="W94" s="48">
        <f ca="1" t="shared" si="36"/>
        <v>2.83644341587061</v>
      </c>
      <c r="X94" s="48">
        <f ca="1" t="shared" si="37"/>
        <v>2.58557946184193</v>
      </c>
      <c r="Y94" s="48">
        <f t="shared" si="38"/>
        <v>1.02661146926685</v>
      </c>
      <c r="Z94" s="105">
        <f ca="1" t="shared" si="39"/>
        <v>0.0592590271836135</v>
      </c>
      <c r="AA94" s="105">
        <f ca="1" t="shared" si="40"/>
        <v>0.413786608886367</v>
      </c>
      <c r="AB94" s="105">
        <f ca="1" t="shared" si="41"/>
        <v>0.377190023088623</v>
      </c>
      <c r="AC94" s="105">
        <f ca="1" t="shared" si="42"/>
        <v>0.149764340841396</v>
      </c>
      <c r="AD94" s="105">
        <f ca="1" t="shared" si="43"/>
        <v>0.715283165244376</v>
      </c>
      <c r="AE94" s="105">
        <f ca="1" t="shared" si="44"/>
        <v>0.222653219550039</v>
      </c>
      <c r="AF94" s="105">
        <f ca="1" t="shared" si="45"/>
        <v>0.0620636152055857</v>
      </c>
    </row>
    <row r="95" ht="16.5" spans="1:32">
      <c r="A95">
        <f ca="1" t="shared" si="23"/>
        <v>7878</v>
      </c>
      <c r="B95" s="2">
        <v>93</v>
      </c>
      <c r="C95" s="2">
        <f>_xlfn.XLOOKUP(练度预期!D95,装备养成!$B$3:$B$303,装备养成!$D$3:$D$303)*6</f>
        <v>5676</v>
      </c>
      <c r="D95" s="2" cm="1">
        <f ca="1" t="array" ref="D95">_xlfn.XLOOKUP(练度预期!E95&amp;"_"&amp;INT(练度预期!C95/10)*10+10,装备养成!$N$4:$N$219&amp;"_"&amp;装备养成!$K$4:$K$219,装备养成!$P$4:$P$219)*练度预期!F95+_xlfn.XLOOKUP(练度预期!E95-1&amp;"_"&amp;INT(练度预期!C95/10)*10+10,装备养成!$N$4:$N$219&amp;"_"&amp;装备养成!$K$4:$K$219,装备养成!$P$4:$P$219)*(6-练度预期!F95)</f>
        <v>1722</v>
      </c>
      <c r="E95" s="2">
        <f ca="1">练度预期!N95*4*练度预期!M95</f>
        <v>480</v>
      </c>
      <c r="F95" s="103">
        <f ca="1">INT(练度预期!D95/10)*0.02+1+_xlfn.XLOOKUP(练度预期!E95,装备养成!$U$3:$U$11,装备养成!$V$3:$V$11)*练度预期!F95+_xlfn.XLOOKUP(练度预期!E95-1,装备养成!$U$3:$U$11,装备养成!$V$3:$V$11)*(6-练度预期!F95)</f>
        <v>1.50112</v>
      </c>
      <c r="G95" s="48">
        <f ca="1">OFFSET(梦灵养成!$K$20,_xlfn.XLOOKUP(练度预期!H95,梦灵养成!$D$10:$D$28,梦灵养成!$H$10:$H$28),MATCH(OFFSET(梦灵养成!$C$33,B95,MATCH(练度预期!H95,梦灵养成!$D$33:$V$33,0)),梦灵养成!$L$20:$R$20,1))*(1+(OFFSET(梦灵养成!$C$33,B95,MATCH(练度预期!H95,梦灵养成!$D$33:$V$33,0))-1)*_xlfn.XLOOKUP(练度预期!H95,梦灵养成!$D$9:$D$28,梦灵养成!$G$9:$G$28))</f>
        <v>17.055</v>
      </c>
      <c r="H95" s="46">
        <f ca="1">符文养成!AC96</f>
        <v>13.4771184197634</v>
      </c>
      <c r="I95" s="46">
        <f>MAX(_xlfn.XLOOKUP(练度预期!O95,秘宝养成!$B$3:$B$15,秘宝养成!$E$3:$E$15),1)</f>
        <v>2.7915904</v>
      </c>
      <c r="J95" s="104">
        <f ca="1" t="shared" si="24"/>
        <v>7588079.14584849</v>
      </c>
      <c r="K95" s="104">
        <f ca="1">MATCH(J95,关卡预期!$E$4:$E$303,1)</f>
        <v>144</v>
      </c>
      <c r="L95" s="48">
        <f ca="1" t="shared" si="25"/>
        <v>0.720487433358721</v>
      </c>
      <c r="M95" s="48">
        <f ca="1" t="shared" si="26"/>
        <v>0.218583396801219</v>
      </c>
      <c r="N95" s="48">
        <f ca="1" t="shared" si="27"/>
        <v>0.0609291698400609</v>
      </c>
      <c r="O95" s="48">
        <f ca="1" t="shared" si="28"/>
        <v>0.0591260758809897</v>
      </c>
      <c r="P95" s="48">
        <f ca="1" t="shared" si="29"/>
        <v>0.412858252967035</v>
      </c>
      <c r="Q95" s="48">
        <f ca="1" t="shared" si="30"/>
        <v>0.378587335897369</v>
      </c>
      <c r="R95" s="48">
        <f ca="1" t="shared" si="31"/>
        <v>0.149428335254606</v>
      </c>
      <c r="S95" s="46">
        <f ca="1" t="shared" si="32"/>
        <v>0.720487433358721</v>
      </c>
      <c r="T95" s="46">
        <f ca="1" t="shared" si="33"/>
        <v>0.218583396801219</v>
      </c>
      <c r="U95" s="46">
        <f ca="1" t="shared" si="34"/>
        <v>0.0609291698400609</v>
      </c>
      <c r="V95" s="48">
        <f ca="1" t="shared" si="35"/>
        <v>0.406211496157956</v>
      </c>
      <c r="W95" s="48">
        <f ca="1" t="shared" si="36"/>
        <v>2.83644341587061</v>
      </c>
      <c r="X95" s="48">
        <f ca="1" t="shared" si="37"/>
        <v>2.60099331555286</v>
      </c>
      <c r="Y95" s="48">
        <f t="shared" si="38"/>
        <v>1.02661146926685</v>
      </c>
      <c r="Z95" s="105">
        <f ca="1" t="shared" si="39"/>
        <v>0.0591260758809897</v>
      </c>
      <c r="AA95" s="105">
        <f ca="1" t="shared" si="40"/>
        <v>0.412858252967035</v>
      </c>
      <c r="AB95" s="105">
        <f ca="1" t="shared" si="41"/>
        <v>0.378587335897369</v>
      </c>
      <c r="AC95" s="105">
        <f ca="1" t="shared" si="42"/>
        <v>0.149428335254606</v>
      </c>
      <c r="AD95" s="105">
        <f ca="1" t="shared" si="43"/>
        <v>0.72048743335872</v>
      </c>
      <c r="AE95" s="105">
        <f ca="1" t="shared" si="44"/>
        <v>0.218583396801219</v>
      </c>
      <c r="AF95" s="105">
        <f ca="1" t="shared" si="45"/>
        <v>0.0609291698400609</v>
      </c>
    </row>
    <row r="96" ht="16.5" spans="1:32">
      <c r="A96">
        <f ca="1" t="shared" si="23"/>
        <v>7878</v>
      </c>
      <c r="B96" s="2">
        <v>94</v>
      </c>
      <c r="C96" s="2">
        <f>_xlfn.XLOOKUP(练度预期!D96,装备养成!$B$3:$B$303,装备养成!$D$3:$D$303)*6</f>
        <v>5676</v>
      </c>
      <c r="D96" s="2" cm="1">
        <f ca="1" t="array" ref="D96">_xlfn.XLOOKUP(练度预期!E96&amp;"_"&amp;INT(练度预期!C96/10)*10+10,装备养成!$N$4:$N$219&amp;"_"&amp;装备养成!$K$4:$K$219,装备养成!$P$4:$P$219)*练度预期!F96+_xlfn.XLOOKUP(练度预期!E96-1&amp;"_"&amp;INT(练度预期!C96/10)*10+10,装备养成!$N$4:$N$219&amp;"_"&amp;装备养成!$K$4:$K$219,装备养成!$P$4:$P$219)*(6-练度预期!F96)</f>
        <v>1722</v>
      </c>
      <c r="E96" s="2">
        <f ca="1">练度预期!N96*4*练度预期!M96</f>
        <v>480</v>
      </c>
      <c r="F96" s="103">
        <f ca="1">INT(练度预期!D96/10)*0.02+1+_xlfn.XLOOKUP(练度预期!E96,装备养成!$U$3:$U$11,装备养成!$V$3:$V$11)*练度预期!F96+_xlfn.XLOOKUP(练度预期!E96-1,装备养成!$U$3:$U$11,装备养成!$V$3:$V$11)*(6-练度预期!F96)</f>
        <v>1.50112</v>
      </c>
      <c r="G96" s="48">
        <f ca="1">OFFSET(梦灵养成!$K$20,_xlfn.XLOOKUP(练度预期!H96,梦灵养成!$D$10:$D$28,梦灵养成!$H$10:$H$28),MATCH(OFFSET(梦灵养成!$C$33,B96,MATCH(练度预期!H96,梦灵养成!$D$33:$V$33,0)),梦灵养成!$L$20:$R$20,1))*(1+(OFFSET(梦灵养成!$C$33,B96,MATCH(练度预期!H96,梦灵养成!$D$33:$V$33,0))-1)*_xlfn.XLOOKUP(练度预期!H96,梦灵养成!$D$9:$D$28,梦灵养成!$G$9:$G$28))</f>
        <v>17.055</v>
      </c>
      <c r="H96" s="46">
        <f ca="1">符文养成!AC97</f>
        <v>13.6507705480947</v>
      </c>
      <c r="I96" s="46">
        <f>MAX(_xlfn.XLOOKUP(练度预期!O96,秘宝养成!$B$3:$B$15,秘宝养成!$E$3:$E$15),1)</f>
        <v>2.7915904</v>
      </c>
      <c r="J96" s="104">
        <f ca="1" t="shared" si="24"/>
        <v>7685851.24019252</v>
      </c>
      <c r="K96" s="104">
        <f ca="1">MATCH(J96,关卡预期!$E$4:$E$303,1)</f>
        <v>144</v>
      </c>
      <c r="L96" s="48">
        <f ca="1" t="shared" si="25"/>
        <v>0.72048743335872</v>
      </c>
      <c r="M96" s="48">
        <f ca="1" t="shared" si="26"/>
        <v>0.218583396801219</v>
      </c>
      <c r="N96" s="48">
        <f ca="1" t="shared" si="27"/>
        <v>0.0609291698400609</v>
      </c>
      <c r="O96" s="48">
        <f ca="1" t="shared" si="28"/>
        <v>0.059016100014711</v>
      </c>
      <c r="P96" s="48">
        <f ca="1" t="shared" si="29"/>
        <v>0.412090327084185</v>
      </c>
      <c r="Q96" s="48">
        <f ca="1" t="shared" si="30"/>
        <v>0.379743177800167</v>
      </c>
      <c r="R96" s="48">
        <f ca="1" t="shared" si="31"/>
        <v>0.149150395100937</v>
      </c>
      <c r="S96" s="46">
        <f ca="1" t="shared" si="32"/>
        <v>0.72048743335872</v>
      </c>
      <c r="T96" s="46">
        <f ca="1" t="shared" si="33"/>
        <v>0.218583396801219</v>
      </c>
      <c r="U96" s="46">
        <f ca="1" t="shared" si="34"/>
        <v>0.0609291698400609</v>
      </c>
      <c r="V96" s="48">
        <f ca="1" t="shared" si="35"/>
        <v>0.406211496157956</v>
      </c>
      <c r="W96" s="48">
        <f ca="1" t="shared" si="36"/>
        <v>2.83644341587061</v>
      </c>
      <c r="X96" s="48">
        <f ca="1" t="shared" si="37"/>
        <v>2.61379597044757</v>
      </c>
      <c r="Y96" s="48">
        <f t="shared" si="38"/>
        <v>1.02661146926685</v>
      </c>
      <c r="Z96" s="105">
        <f ca="1" t="shared" si="39"/>
        <v>0.059016100014711</v>
      </c>
      <c r="AA96" s="105">
        <f ca="1" t="shared" si="40"/>
        <v>0.412090327084185</v>
      </c>
      <c r="AB96" s="105">
        <f ca="1" t="shared" si="41"/>
        <v>0.379743177800167</v>
      </c>
      <c r="AC96" s="105">
        <f ca="1" t="shared" si="42"/>
        <v>0.149150395100937</v>
      </c>
      <c r="AD96" s="105">
        <f ca="1" t="shared" si="43"/>
        <v>0.72048743335872</v>
      </c>
      <c r="AE96" s="105">
        <f ca="1" t="shared" si="44"/>
        <v>0.218583396801219</v>
      </c>
      <c r="AF96" s="105">
        <f ca="1" t="shared" si="45"/>
        <v>0.0609291698400609</v>
      </c>
    </row>
    <row r="97" ht="16.5" spans="1:32">
      <c r="A97">
        <f ca="1" t="shared" si="23"/>
        <v>8304</v>
      </c>
      <c r="B97" s="2">
        <v>95</v>
      </c>
      <c r="C97" s="2">
        <f>_xlfn.XLOOKUP(练度预期!D97,装备养成!$B$3:$B$303,装备养成!$D$3:$D$303)*6</f>
        <v>5844</v>
      </c>
      <c r="D97" s="2" cm="1">
        <f ca="1" t="array" ref="D97">_xlfn.XLOOKUP(练度预期!E97&amp;"_"&amp;INT(练度预期!C97/10)*10+10,装备养成!$N$4:$N$219&amp;"_"&amp;装备养成!$K$4:$K$219,装备养成!$P$4:$P$219)*练度预期!F97+_xlfn.XLOOKUP(练度预期!E97-1&amp;"_"&amp;INT(练度预期!C97/10)*10+10,装备养成!$N$4:$N$219&amp;"_"&amp;装备养成!$K$4:$K$219,装备养成!$P$4:$P$219)*(6-练度预期!F97)</f>
        <v>1980</v>
      </c>
      <c r="E97" s="2">
        <f ca="1">练度预期!N97*4*练度预期!M97</f>
        <v>480</v>
      </c>
      <c r="F97" s="103">
        <f ca="1">INT(练度预期!D97/10)*0.02+1+_xlfn.XLOOKUP(练度预期!E97,装备养成!$U$3:$U$11,装备养成!$V$3:$V$11)*练度预期!F97+_xlfn.XLOOKUP(练度预期!E97-1,装备养成!$U$3:$U$11,装备养成!$V$3:$V$11)*(6-练度预期!F97)</f>
        <v>1.52112</v>
      </c>
      <c r="G97" s="48">
        <f ca="1">OFFSET(梦灵养成!$K$20,_xlfn.XLOOKUP(练度预期!H97,梦灵养成!$D$10:$D$28,梦灵养成!$H$10:$H$28),MATCH(OFFSET(梦灵养成!$C$33,B97,MATCH(练度预期!H97,梦灵养成!$D$33:$V$33,0)),梦灵养成!$L$20:$R$20,1))*(1+(OFFSET(梦灵养成!$C$33,B97,MATCH(练度预期!H97,梦灵养成!$D$33:$V$33,0))-1)*_xlfn.XLOOKUP(练度预期!H97,梦灵养成!$D$9:$D$28,梦灵养成!$G$9:$G$28))</f>
        <v>17.6235</v>
      </c>
      <c r="H97" s="46">
        <f ca="1">符文养成!AC98</f>
        <v>13.8584761724217</v>
      </c>
      <c r="I97" s="46">
        <f>MAX(_xlfn.XLOOKUP(练度预期!O97,秘宝养成!$B$3:$B$15,秘宝养成!$E$3:$E$15),1)</f>
        <v>2.7915904</v>
      </c>
      <c r="J97" s="104">
        <f ca="1" t="shared" si="24"/>
        <v>8612121.6451528</v>
      </c>
      <c r="K97" s="104">
        <f ca="1">MATCH(J97,关卡预期!$E$4:$E$303,1)</f>
        <v>146</v>
      </c>
      <c r="L97" s="48">
        <f ca="1" t="shared" si="25"/>
        <v>0.703757225433526</v>
      </c>
      <c r="M97" s="48">
        <f ca="1" t="shared" si="26"/>
        <v>0.238439306358382</v>
      </c>
      <c r="N97" s="48">
        <f ca="1" t="shared" si="27"/>
        <v>0.0578034682080925</v>
      </c>
      <c r="O97" s="48">
        <f ca="1" t="shared" si="28"/>
        <v>0.0604025792420753</v>
      </c>
      <c r="P97" s="48">
        <f ca="1" t="shared" si="29"/>
        <v>0.413184805367596</v>
      </c>
      <c r="Q97" s="48">
        <f ca="1" t="shared" si="30"/>
        <v>0.378575118460208</v>
      </c>
      <c r="R97" s="48">
        <f ca="1" t="shared" si="31"/>
        <v>0.147837496930121</v>
      </c>
      <c r="S97" s="46">
        <f ca="1" t="shared" si="32"/>
        <v>0.703757225433526</v>
      </c>
      <c r="T97" s="46">
        <f ca="1" t="shared" si="33"/>
        <v>0.238439306358382</v>
      </c>
      <c r="U97" s="46">
        <f ca="1" t="shared" si="34"/>
        <v>0.0578034682080925</v>
      </c>
      <c r="V97" s="48">
        <f ca="1" t="shared" si="35"/>
        <v>0.419446905628583</v>
      </c>
      <c r="W97" s="48">
        <f ca="1" t="shared" si="36"/>
        <v>2.8692332386936</v>
      </c>
      <c r="X97" s="48">
        <f ca="1" t="shared" si="37"/>
        <v>2.62889704344773</v>
      </c>
      <c r="Y97" s="48">
        <f t="shared" si="38"/>
        <v>1.02661146926685</v>
      </c>
      <c r="Z97" s="105">
        <f ca="1" t="shared" si="39"/>
        <v>0.0604025792420753</v>
      </c>
      <c r="AA97" s="105">
        <f ca="1" t="shared" si="40"/>
        <v>0.413184805367596</v>
      </c>
      <c r="AB97" s="105">
        <f ca="1" t="shared" si="41"/>
        <v>0.378575118460209</v>
      </c>
      <c r="AC97" s="105">
        <f ca="1" t="shared" si="42"/>
        <v>0.147837496930121</v>
      </c>
      <c r="AD97" s="105">
        <f ca="1" t="shared" si="43"/>
        <v>0.703757225433526</v>
      </c>
      <c r="AE97" s="105">
        <f ca="1" t="shared" si="44"/>
        <v>0.238439306358382</v>
      </c>
      <c r="AF97" s="105">
        <f ca="1" t="shared" si="45"/>
        <v>0.0578034682080925</v>
      </c>
    </row>
    <row r="98" ht="16.5" spans="1:32">
      <c r="A98">
        <f ca="1" t="shared" si="23"/>
        <v>8304</v>
      </c>
      <c r="B98" s="2">
        <v>96</v>
      </c>
      <c r="C98" s="2">
        <f>_xlfn.XLOOKUP(练度预期!D98,装备养成!$B$3:$B$303,装备养成!$D$3:$D$303)*6</f>
        <v>5844</v>
      </c>
      <c r="D98" s="2" cm="1">
        <f ca="1" t="array" ref="D98">_xlfn.XLOOKUP(练度预期!E98&amp;"_"&amp;INT(练度预期!C98/10)*10+10,装备养成!$N$4:$N$219&amp;"_"&amp;装备养成!$K$4:$K$219,装备养成!$P$4:$P$219)*练度预期!F98+_xlfn.XLOOKUP(练度预期!E98-1&amp;"_"&amp;INT(练度预期!C98/10)*10+10,装备养成!$N$4:$N$219&amp;"_"&amp;装备养成!$K$4:$K$219,装备养成!$P$4:$P$219)*(6-练度预期!F98)</f>
        <v>1980</v>
      </c>
      <c r="E98" s="2">
        <f ca="1">练度预期!N98*4*练度预期!M98</f>
        <v>480</v>
      </c>
      <c r="F98" s="103">
        <f ca="1">INT(练度预期!D98/10)*0.02+1+_xlfn.XLOOKUP(练度预期!E98,装备养成!$U$3:$U$11,装备养成!$V$3:$V$11)*练度预期!F98+_xlfn.XLOOKUP(练度预期!E98-1,装备养成!$U$3:$U$11,装备养成!$V$3:$V$11)*(6-练度预期!F98)</f>
        <v>1.52112</v>
      </c>
      <c r="G98" s="48">
        <f ca="1">OFFSET(梦灵养成!$K$20,_xlfn.XLOOKUP(练度预期!H98,梦灵养成!$D$10:$D$28,梦灵养成!$H$10:$H$28),MATCH(OFFSET(梦灵养成!$C$33,B98,MATCH(练度预期!H98,梦灵养成!$D$33:$V$33,0)),梦灵养成!$L$20:$R$20,1))*(1+(OFFSET(梦灵养成!$C$33,B98,MATCH(练度预期!H98,梦灵养成!$D$33:$V$33,0))-1)*_xlfn.XLOOKUP(练度预期!H98,梦灵养成!$D$9:$D$28,梦灵养成!$G$9:$G$28))</f>
        <v>17.6235</v>
      </c>
      <c r="H98" s="46">
        <f ca="1">符文养成!AC99</f>
        <v>13.9667341259776</v>
      </c>
      <c r="I98" s="46">
        <f>MAX(_xlfn.XLOOKUP(练度预期!O98,秘宝养成!$B$3:$B$15,秘宝养成!$E$3:$E$15),1)</f>
        <v>2.7915904</v>
      </c>
      <c r="J98" s="104">
        <f ca="1" t="shared" si="24"/>
        <v>8679396.76642003</v>
      </c>
      <c r="K98" s="104">
        <f ca="1">MATCH(J98,关卡预期!$E$4:$E$303,1)</f>
        <v>146</v>
      </c>
      <c r="L98" s="48">
        <f ca="1" t="shared" si="25"/>
        <v>0.703757225433526</v>
      </c>
      <c r="M98" s="48">
        <f ca="1" t="shared" si="26"/>
        <v>0.238439306358382</v>
      </c>
      <c r="N98" s="48">
        <f ca="1" t="shared" si="27"/>
        <v>0.0578034682080926</v>
      </c>
      <c r="O98" s="48">
        <f ca="1" t="shared" si="28"/>
        <v>0.0603349707670031</v>
      </c>
      <c r="P98" s="48">
        <f ca="1" t="shared" si="29"/>
        <v>0.412722328517031</v>
      </c>
      <c r="Q98" s="48">
        <f ca="1" t="shared" si="30"/>
        <v>0.379270677973394</v>
      </c>
      <c r="R98" s="48">
        <f ca="1" t="shared" si="31"/>
        <v>0.147672022742572</v>
      </c>
      <c r="S98" s="46">
        <f ca="1" t="shared" si="32"/>
        <v>0.703757225433526</v>
      </c>
      <c r="T98" s="46">
        <f ca="1" t="shared" si="33"/>
        <v>0.238439306358382</v>
      </c>
      <c r="U98" s="46">
        <f ca="1" t="shared" si="34"/>
        <v>0.0578034682080926</v>
      </c>
      <c r="V98" s="48">
        <f ca="1" t="shared" si="35"/>
        <v>0.419446905628583</v>
      </c>
      <c r="W98" s="48">
        <f ca="1" t="shared" si="36"/>
        <v>2.8692332386936</v>
      </c>
      <c r="X98" s="48">
        <f ca="1" t="shared" si="37"/>
        <v>2.63667836827058</v>
      </c>
      <c r="Y98" s="48">
        <f t="shared" si="38"/>
        <v>1.02661146926685</v>
      </c>
      <c r="Z98" s="105">
        <f ca="1" t="shared" si="39"/>
        <v>0.0603349707670031</v>
      </c>
      <c r="AA98" s="105">
        <f ca="1" t="shared" si="40"/>
        <v>0.412722328517031</v>
      </c>
      <c r="AB98" s="105">
        <f ca="1" t="shared" si="41"/>
        <v>0.379270677973394</v>
      </c>
      <c r="AC98" s="105">
        <f ca="1" t="shared" si="42"/>
        <v>0.147672022742572</v>
      </c>
      <c r="AD98" s="105">
        <f ca="1" t="shared" si="43"/>
        <v>0.703757225433526</v>
      </c>
      <c r="AE98" s="105">
        <f ca="1" t="shared" si="44"/>
        <v>0.238439306358382</v>
      </c>
      <c r="AF98" s="105">
        <f ca="1" t="shared" si="45"/>
        <v>0.0578034682080925</v>
      </c>
    </row>
    <row r="99" ht="16.5" spans="1:32">
      <c r="A99">
        <f ca="1" t="shared" si="23"/>
        <v>8592</v>
      </c>
      <c r="B99" s="2">
        <v>97</v>
      </c>
      <c r="C99" s="2">
        <f>_xlfn.XLOOKUP(练度预期!D99,装备养成!$B$3:$B$303,装备养成!$D$3:$D$303)*6</f>
        <v>6012</v>
      </c>
      <c r="D99" s="2" cm="1">
        <f ca="1" t="array" ref="D99">_xlfn.XLOOKUP(练度预期!E99&amp;"_"&amp;INT(练度预期!C99/10)*10+10,装备养成!$N$4:$N$219&amp;"_"&amp;装备养成!$K$4:$K$219,装备养成!$P$4:$P$219)*练度预期!F99+_xlfn.XLOOKUP(练度预期!E99-1&amp;"_"&amp;INT(练度预期!C99/10)*10+10,装备养成!$N$4:$N$219&amp;"_"&amp;装备养成!$K$4:$K$219,装备养成!$P$4:$P$219)*(6-练度预期!F99)</f>
        <v>1980</v>
      </c>
      <c r="E99" s="2">
        <f ca="1">练度预期!N99*4*练度预期!M99</f>
        <v>600</v>
      </c>
      <c r="F99" s="103">
        <f ca="1">INT(练度预期!D99/10)*0.02+1+_xlfn.XLOOKUP(练度预期!E99,装备养成!$U$3:$U$11,装备养成!$V$3:$V$11)*练度预期!F99+_xlfn.XLOOKUP(练度预期!E99-1,装备养成!$U$3:$U$11,装备养成!$V$3:$V$11)*(6-练度预期!F99)</f>
        <v>1.52112</v>
      </c>
      <c r="G99" s="48">
        <f ca="1">OFFSET(梦灵养成!$K$20,_xlfn.XLOOKUP(练度预期!H99,梦灵养成!$D$10:$D$28,梦灵养成!$H$10:$H$28),MATCH(OFFSET(梦灵养成!$C$33,B99,MATCH(练度预期!H99,梦灵养成!$D$33:$V$33,0)),梦灵养成!$L$20:$R$20,1))*(1+(OFFSET(梦灵养成!$C$33,B99,MATCH(练度预期!H99,梦灵养成!$D$33:$V$33,0))-1)*_xlfn.XLOOKUP(练度预期!H99,梦灵养成!$D$9:$D$28,梦灵养成!$G$9:$G$28))</f>
        <v>17.6235</v>
      </c>
      <c r="H99" s="46">
        <f ca="1">符文养成!AC100</f>
        <v>14.0942181462887</v>
      </c>
      <c r="I99" s="46">
        <f>MAX(_xlfn.XLOOKUP(练度预期!O99,秘宝养成!$B$3:$B$15,秘宝养成!$E$3:$E$15),1)</f>
        <v>2.7915904</v>
      </c>
      <c r="J99" s="104">
        <f ca="1" t="shared" si="24"/>
        <v>9062386.7641539</v>
      </c>
      <c r="K99" s="104">
        <f ca="1">MATCH(J99,关卡预期!$E$4:$E$303,1)</f>
        <v>147</v>
      </c>
      <c r="L99" s="48">
        <f ca="1" t="shared" si="25"/>
        <v>0.699720670391061</v>
      </c>
      <c r="M99" s="48">
        <f ca="1" t="shared" si="26"/>
        <v>0.230446927374302</v>
      </c>
      <c r="N99" s="48">
        <f ca="1" t="shared" si="27"/>
        <v>0.0698324022346369</v>
      </c>
      <c r="O99" s="48">
        <f ca="1" t="shared" si="28"/>
        <v>0.0602562153760348</v>
      </c>
      <c r="P99" s="48">
        <f ca="1" t="shared" si="29"/>
        <v>0.412183601010735</v>
      </c>
      <c r="Q99" s="48">
        <f ca="1" t="shared" si="30"/>
        <v>0.38008091753795</v>
      </c>
      <c r="R99" s="48">
        <f ca="1" t="shared" si="31"/>
        <v>0.14747926607528</v>
      </c>
      <c r="S99" s="46">
        <f ca="1" t="shared" si="32"/>
        <v>0.699720670391061</v>
      </c>
      <c r="T99" s="46">
        <f ca="1" t="shared" si="33"/>
        <v>0.230446927374302</v>
      </c>
      <c r="U99" s="46">
        <f ca="1" t="shared" si="34"/>
        <v>0.0698324022346369</v>
      </c>
      <c r="V99" s="48">
        <f ca="1" t="shared" si="35"/>
        <v>0.419446905628583</v>
      </c>
      <c r="W99" s="48">
        <f ca="1" t="shared" si="36"/>
        <v>2.8692332386936</v>
      </c>
      <c r="X99" s="48">
        <f ca="1" t="shared" si="37"/>
        <v>2.64576465273941</v>
      </c>
      <c r="Y99" s="48">
        <f t="shared" si="38"/>
        <v>1.02661146926685</v>
      </c>
      <c r="Z99" s="105">
        <f ca="1" t="shared" si="39"/>
        <v>0.0602562153760348</v>
      </c>
      <c r="AA99" s="105">
        <f ca="1" t="shared" si="40"/>
        <v>0.412183601010735</v>
      </c>
      <c r="AB99" s="105">
        <f ca="1" t="shared" si="41"/>
        <v>0.38008091753795</v>
      </c>
      <c r="AC99" s="105">
        <f ca="1" t="shared" si="42"/>
        <v>0.14747926607528</v>
      </c>
      <c r="AD99" s="105">
        <f ca="1" t="shared" si="43"/>
        <v>0.699720670391061</v>
      </c>
      <c r="AE99" s="105">
        <f ca="1" t="shared" si="44"/>
        <v>0.230446927374302</v>
      </c>
      <c r="AF99" s="105">
        <f ca="1" t="shared" si="45"/>
        <v>0.0698324022346369</v>
      </c>
    </row>
    <row r="100" ht="16.5" spans="1:32">
      <c r="A100">
        <f ca="1" t="shared" si="23"/>
        <v>8592</v>
      </c>
      <c r="B100" s="2">
        <v>98</v>
      </c>
      <c r="C100" s="2">
        <f>_xlfn.XLOOKUP(练度预期!D100,装备养成!$B$3:$B$303,装备养成!$D$3:$D$303)*6</f>
        <v>6012</v>
      </c>
      <c r="D100" s="2" cm="1">
        <f ca="1" t="array" ref="D100">_xlfn.XLOOKUP(练度预期!E100&amp;"_"&amp;INT(练度预期!C100/10)*10+10,装备养成!$N$4:$N$219&amp;"_"&amp;装备养成!$K$4:$K$219,装备养成!$P$4:$P$219)*练度预期!F100+_xlfn.XLOOKUP(练度预期!E100-1&amp;"_"&amp;INT(练度预期!C100/10)*10+10,装备养成!$N$4:$N$219&amp;"_"&amp;装备养成!$K$4:$K$219,装备养成!$P$4:$P$219)*(6-练度预期!F100)</f>
        <v>1980</v>
      </c>
      <c r="E100" s="2">
        <f ca="1">练度预期!N100*4*练度预期!M100</f>
        <v>600</v>
      </c>
      <c r="F100" s="103">
        <f ca="1">INT(练度预期!D100/10)*0.02+1+_xlfn.XLOOKUP(练度预期!E100,装备养成!$U$3:$U$11,装备养成!$V$3:$V$11)*练度预期!F100+_xlfn.XLOOKUP(练度预期!E100-1,装备养成!$U$3:$U$11,装备养成!$V$3:$V$11)*(6-练度预期!F100)</f>
        <v>1.52112</v>
      </c>
      <c r="G100" s="48">
        <f ca="1">OFFSET(梦灵养成!$K$20,_xlfn.XLOOKUP(练度预期!H100,梦灵养成!$D$10:$D$28,梦灵养成!$H$10:$H$28),MATCH(OFFSET(梦灵养成!$C$33,B100,MATCH(练度预期!H100,梦灵养成!$D$33:$V$33,0)),梦灵养成!$L$20:$R$20,1))*(1+(OFFSET(梦灵养成!$C$33,B100,MATCH(练度预期!H100,梦灵养成!$D$33:$V$33,0))-1)*_xlfn.XLOOKUP(练度预期!H100,梦灵养成!$D$9:$D$28,梦灵养成!$G$9:$G$28))</f>
        <v>17.6235</v>
      </c>
      <c r="H100" s="46">
        <f ca="1">符文养成!AC101</f>
        <v>14.2052021549674</v>
      </c>
      <c r="I100" s="46">
        <f>MAX(_xlfn.XLOOKUP(练度预期!O100,秘宝养成!$B$3:$B$15,秘宝养成!$E$3:$E$15),1)</f>
        <v>2.7915904</v>
      </c>
      <c r="J100" s="104">
        <f ca="1" t="shared" si="24"/>
        <v>9133747.94225142</v>
      </c>
      <c r="K100" s="104">
        <f ca="1">MATCH(J100,关卡预期!$E$4:$E$303,1)</f>
        <v>147</v>
      </c>
      <c r="L100" s="48">
        <f ca="1" t="shared" si="25"/>
        <v>0.699720670391062</v>
      </c>
      <c r="M100" s="48">
        <f ca="1" t="shared" si="26"/>
        <v>0.230446927374302</v>
      </c>
      <c r="N100" s="48">
        <f ca="1" t="shared" si="27"/>
        <v>0.0698324022346367</v>
      </c>
      <c r="O100" s="48">
        <f ca="1" t="shared" si="28"/>
        <v>0.0601883961675524</v>
      </c>
      <c r="P100" s="48">
        <f ca="1" t="shared" si="29"/>
        <v>0.411719682634921</v>
      </c>
      <c r="Q100" s="48">
        <f ca="1" t="shared" si="30"/>
        <v>0.380778645087437</v>
      </c>
      <c r="R100" s="48">
        <f ca="1" t="shared" si="31"/>
        <v>0.14731327611009</v>
      </c>
      <c r="S100" s="46">
        <f ca="1" t="shared" si="32"/>
        <v>0.699720670391061</v>
      </c>
      <c r="T100" s="46">
        <f ca="1" t="shared" si="33"/>
        <v>0.230446927374302</v>
      </c>
      <c r="U100" s="46">
        <f ca="1" t="shared" si="34"/>
        <v>0.0698324022346367</v>
      </c>
      <c r="V100" s="48">
        <f ca="1" t="shared" si="35"/>
        <v>0.419446905628583</v>
      </c>
      <c r="W100" s="48">
        <f ca="1" t="shared" si="36"/>
        <v>2.8692332386936</v>
      </c>
      <c r="X100" s="48">
        <f ca="1" t="shared" si="37"/>
        <v>2.65360824645919</v>
      </c>
      <c r="Y100" s="48">
        <f t="shared" si="38"/>
        <v>1.02661146926685</v>
      </c>
      <c r="Z100" s="105">
        <f ca="1" t="shared" si="39"/>
        <v>0.0601883961675524</v>
      </c>
      <c r="AA100" s="105">
        <f ca="1" t="shared" si="40"/>
        <v>0.411719682634921</v>
      </c>
      <c r="AB100" s="105">
        <f ca="1" t="shared" si="41"/>
        <v>0.380778645087437</v>
      </c>
      <c r="AC100" s="105">
        <f ca="1" t="shared" si="42"/>
        <v>0.14731327611009</v>
      </c>
      <c r="AD100" s="105">
        <f ca="1" t="shared" si="43"/>
        <v>0.699720670391061</v>
      </c>
      <c r="AE100" s="105">
        <f ca="1" t="shared" si="44"/>
        <v>0.230446927374302</v>
      </c>
      <c r="AF100" s="105">
        <f ca="1" t="shared" si="45"/>
        <v>0.0698324022346369</v>
      </c>
    </row>
    <row r="101" ht="16.5" spans="1:32">
      <c r="A101">
        <f ca="1" t="shared" si="23"/>
        <v>8592</v>
      </c>
      <c r="B101" s="2">
        <v>99</v>
      </c>
      <c r="C101" s="2">
        <f>_xlfn.XLOOKUP(练度预期!D101,装备养成!$B$3:$B$303,装备养成!$D$3:$D$303)*6</f>
        <v>6012</v>
      </c>
      <c r="D101" s="2" cm="1">
        <f ca="1" t="array" ref="D101">_xlfn.XLOOKUP(练度预期!E101&amp;"_"&amp;INT(练度预期!C101/10)*10+10,装备养成!$N$4:$N$219&amp;"_"&amp;装备养成!$K$4:$K$219,装备养成!$P$4:$P$219)*练度预期!F101+_xlfn.XLOOKUP(练度预期!E101-1&amp;"_"&amp;INT(练度预期!C101/10)*10+10,装备养成!$N$4:$N$219&amp;"_"&amp;装备养成!$K$4:$K$219,装备养成!$P$4:$P$219)*(6-练度预期!F101)</f>
        <v>1980</v>
      </c>
      <c r="E101" s="2">
        <f ca="1">练度预期!N101*4*练度预期!M101</f>
        <v>600</v>
      </c>
      <c r="F101" s="103">
        <f ca="1">INT(练度预期!D101/10)*0.02+1+_xlfn.XLOOKUP(练度预期!E101,装备养成!$U$3:$U$11,装备养成!$V$3:$V$11)*练度预期!F101+_xlfn.XLOOKUP(练度预期!E101-1,装备养成!$U$3:$U$11,装备养成!$V$3:$V$11)*(6-练度预期!F101)</f>
        <v>1.52112</v>
      </c>
      <c r="G101" s="48">
        <f ca="1">OFFSET(梦灵养成!$K$20,_xlfn.XLOOKUP(练度预期!H101,梦灵养成!$D$10:$D$28,梦灵养成!$H$10:$H$28),MATCH(OFFSET(梦灵养成!$C$33,B101,MATCH(练度预期!H101,梦灵养成!$D$33:$V$33,0)),梦灵养成!$L$20:$R$20,1))*(1+(OFFSET(梦灵养成!$C$33,B101,MATCH(练度预期!H101,梦灵养成!$D$33:$V$33,0))-1)*_xlfn.XLOOKUP(练度预期!H101,梦灵养成!$D$9:$D$28,梦灵养成!$G$9:$G$28))</f>
        <v>18.192</v>
      </c>
      <c r="H101" s="46">
        <f ca="1">符文养成!AC102</f>
        <v>14.3344742302825</v>
      </c>
      <c r="I101" s="46">
        <f>MAX(_xlfn.XLOOKUP(练度预期!O101,秘宝养成!$B$3:$B$15,秘宝养成!$E$3:$E$15),1)</f>
        <v>2.7915904</v>
      </c>
      <c r="J101" s="104">
        <f ca="1" t="shared" si="24"/>
        <v>9514186.41911583</v>
      </c>
      <c r="K101" s="104">
        <f ca="1">MATCH(J101,关卡预期!$E$4:$E$303,1)</f>
        <v>148</v>
      </c>
      <c r="L101" s="48">
        <f ca="1" t="shared" si="25"/>
        <v>0.699720670391062</v>
      </c>
      <c r="M101" s="48">
        <f ca="1" t="shared" si="26"/>
        <v>0.230446927374302</v>
      </c>
      <c r="N101" s="48">
        <f ca="1" t="shared" si="27"/>
        <v>0.0698324022346366</v>
      </c>
      <c r="O101" s="48">
        <f ca="1" t="shared" si="28"/>
        <v>0.0598380020383146</v>
      </c>
      <c r="P101" s="48">
        <f ca="1" t="shared" si="29"/>
        <v>0.413852053097564</v>
      </c>
      <c r="Q101" s="48">
        <f ca="1" t="shared" si="30"/>
        <v>0.379854271056045</v>
      </c>
      <c r="R101" s="48">
        <f ca="1" t="shared" si="31"/>
        <v>0.146455673808077</v>
      </c>
      <c r="S101" s="46">
        <f ca="1" t="shared" si="32"/>
        <v>0.699720670391061</v>
      </c>
      <c r="T101" s="46">
        <f ca="1" t="shared" si="33"/>
        <v>0.230446927374302</v>
      </c>
      <c r="U101" s="46">
        <f ca="1" t="shared" si="34"/>
        <v>0.0698324022346366</v>
      </c>
      <c r="V101" s="48">
        <f ca="1" t="shared" si="35"/>
        <v>0.419446905628583</v>
      </c>
      <c r="W101" s="48">
        <f ca="1" t="shared" si="36"/>
        <v>2.90098193700818</v>
      </c>
      <c r="X101" s="48">
        <f ca="1" t="shared" si="37"/>
        <v>2.66266742131931</v>
      </c>
      <c r="Y101" s="48">
        <f t="shared" si="38"/>
        <v>1.02661146926685</v>
      </c>
      <c r="Z101" s="105">
        <f ca="1" t="shared" si="39"/>
        <v>0.0598380020383146</v>
      </c>
      <c r="AA101" s="105">
        <f ca="1" t="shared" si="40"/>
        <v>0.413852053097564</v>
      </c>
      <c r="AB101" s="105">
        <f ca="1" t="shared" si="41"/>
        <v>0.379854271056045</v>
      </c>
      <c r="AC101" s="105">
        <f ca="1" t="shared" si="42"/>
        <v>0.146455673808077</v>
      </c>
      <c r="AD101" s="105">
        <f ca="1" t="shared" si="43"/>
        <v>0.699720670391061</v>
      </c>
      <c r="AE101" s="105">
        <f ca="1" t="shared" si="44"/>
        <v>0.230446927374302</v>
      </c>
      <c r="AF101" s="105">
        <f ca="1" t="shared" si="45"/>
        <v>0.0698324022346369</v>
      </c>
    </row>
    <row r="102" ht="16.5" spans="1:32">
      <c r="A102">
        <f ca="1" t="shared" si="23"/>
        <v>8760</v>
      </c>
      <c r="B102" s="2">
        <v>100</v>
      </c>
      <c r="C102" s="2">
        <f>_xlfn.XLOOKUP(练度预期!D102,装备养成!$B$3:$B$303,装备养成!$D$3:$D$303)*6</f>
        <v>6180</v>
      </c>
      <c r="D102" s="2" cm="1">
        <f ca="1" t="array" ref="D102">_xlfn.XLOOKUP(练度预期!E102&amp;"_"&amp;INT(练度预期!C102/10)*10+10,装备养成!$N$4:$N$219&amp;"_"&amp;装备养成!$K$4:$K$219,装备养成!$P$4:$P$219)*练度预期!F102+_xlfn.XLOOKUP(练度预期!E102-1&amp;"_"&amp;INT(练度预期!C102/10)*10+10,装备养成!$N$4:$N$219&amp;"_"&amp;装备养成!$K$4:$K$219,装备养成!$P$4:$P$219)*(6-练度预期!F102)</f>
        <v>1980</v>
      </c>
      <c r="E102" s="2">
        <f ca="1">练度预期!N102*4*练度预期!M102</f>
        <v>600</v>
      </c>
      <c r="F102" s="103">
        <f ca="1">INT(练度预期!D102/10)*0.02+1+_xlfn.XLOOKUP(练度预期!E102,装备养成!$U$3:$U$11,装备养成!$V$3:$V$11)*练度预期!F102+_xlfn.XLOOKUP(练度预期!E102-1,装备养成!$U$3:$U$11,装备养成!$V$3:$V$11)*(6-练度预期!F102)</f>
        <v>1.52112</v>
      </c>
      <c r="G102" s="48">
        <f ca="1">OFFSET(梦灵养成!$K$20,_xlfn.XLOOKUP(练度预期!H102,梦灵养成!$D$10:$D$28,梦灵养成!$H$10:$H$28),MATCH(OFFSET(梦灵养成!$C$33,B102,MATCH(练度预期!H102,梦灵养成!$D$33:$V$33,0)),梦灵养成!$L$20:$R$20,1))*(1+(OFFSET(梦灵养成!$C$33,B102,MATCH(练度预期!H102,梦灵养成!$D$33:$V$33,0))-1)*_xlfn.XLOOKUP(练度预期!H102,梦灵养成!$D$9:$D$28,梦灵养成!$G$9:$G$28))</f>
        <v>18.192</v>
      </c>
      <c r="H102" s="46">
        <f ca="1">符文养成!AC103</f>
        <v>14.4470091046479</v>
      </c>
      <c r="I102" s="46">
        <f>MAX(_xlfn.XLOOKUP(练度预期!O102,秘宝养成!$B$3:$B$15,秘宝养成!$E$3:$E$15),1)</f>
        <v>2.7915904</v>
      </c>
      <c r="J102" s="104">
        <f ca="1" t="shared" si="24"/>
        <v>9776370.96906874</v>
      </c>
      <c r="K102" s="104">
        <f ca="1">MATCH(J102,关卡预期!$E$4:$E$303,1)</f>
        <v>148</v>
      </c>
      <c r="L102" s="48">
        <f ca="1" t="shared" si="25"/>
        <v>0.705479452054795</v>
      </c>
      <c r="M102" s="48">
        <f ca="1" t="shared" si="26"/>
        <v>0.226027397260274</v>
      </c>
      <c r="N102" s="48">
        <f ca="1" t="shared" si="27"/>
        <v>0.0684931506849314</v>
      </c>
      <c r="O102" s="48">
        <f ca="1" t="shared" si="28"/>
        <v>0.0597713214974711</v>
      </c>
      <c r="P102" s="48">
        <f ca="1" t="shared" si="29"/>
        <v>0.413390876624592</v>
      </c>
      <c r="Q102" s="48">
        <f ca="1" t="shared" si="30"/>
        <v>0.380545331104829</v>
      </c>
      <c r="R102" s="48">
        <f ca="1" t="shared" si="31"/>
        <v>0.146292470773108</v>
      </c>
      <c r="S102" s="46">
        <f ca="1" t="shared" si="32"/>
        <v>0.705479452054795</v>
      </c>
      <c r="T102" s="46">
        <f ca="1" t="shared" si="33"/>
        <v>0.226027397260274</v>
      </c>
      <c r="U102" s="46">
        <f ca="1" t="shared" si="34"/>
        <v>0.0684931506849314</v>
      </c>
      <c r="V102" s="48">
        <f ca="1" t="shared" si="35"/>
        <v>0.419446905628583</v>
      </c>
      <c r="W102" s="48">
        <f ca="1" t="shared" si="36"/>
        <v>2.90098193700818</v>
      </c>
      <c r="X102" s="48">
        <f ca="1" t="shared" si="37"/>
        <v>2.67048741075733</v>
      </c>
      <c r="Y102" s="48">
        <f t="shared" si="38"/>
        <v>1.02661146926685</v>
      </c>
      <c r="Z102" s="105">
        <f ca="1" t="shared" si="39"/>
        <v>0.0597713214974711</v>
      </c>
      <c r="AA102" s="105">
        <f ca="1" t="shared" si="40"/>
        <v>0.413390876624592</v>
      </c>
      <c r="AB102" s="105">
        <f ca="1" t="shared" si="41"/>
        <v>0.380545331104829</v>
      </c>
      <c r="AC102" s="105">
        <f ca="1" t="shared" si="42"/>
        <v>0.146292470773108</v>
      </c>
      <c r="AD102" s="105">
        <f ca="1" t="shared" si="43"/>
        <v>0.705479452054795</v>
      </c>
      <c r="AE102" s="105">
        <f ca="1" t="shared" si="44"/>
        <v>0.226027397260274</v>
      </c>
      <c r="AF102" s="105">
        <f ca="1" t="shared" si="45"/>
        <v>0.0684931506849315</v>
      </c>
    </row>
    <row r="103" ht="16.5" spans="1:32">
      <c r="A103">
        <f ca="1" t="shared" si="23"/>
        <v>8760</v>
      </c>
      <c r="B103" s="2">
        <v>101</v>
      </c>
      <c r="C103" s="2">
        <f>_xlfn.XLOOKUP(练度预期!D103,装备养成!$B$3:$B$303,装备养成!$D$3:$D$303)*6</f>
        <v>6180</v>
      </c>
      <c r="D103" s="2" cm="1">
        <f ca="1" t="array" ref="D103">_xlfn.XLOOKUP(练度预期!E103&amp;"_"&amp;INT(练度预期!C103/10)*10+10,装备养成!$N$4:$N$219&amp;"_"&amp;装备养成!$K$4:$K$219,装备养成!$P$4:$P$219)*练度预期!F103+_xlfn.XLOOKUP(练度预期!E103-1&amp;"_"&amp;INT(练度预期!C103/10)*10+10,装备养成!$N$4:$N$219&amp;"_"&amp;装备养成!$K$4:$K$219,装备养成!$P$4:$P$219)*(6-练度预期!F103)</f>
        <v>1980</v>
      </c>
      <c r="E103" s="2">
        <f ca="1">练度预期!N103*4*练度预期!M103</f>
        <v>600</v>
      </c>
      <c r="F103" s="103">
        <f ca="1">INT(练度预期!D103/10)*0.02+1+_xlfn.XLOOKUP(练度预期!E103,装备养成!$U$3:$U$11,装备养成!$V$3:$V$11)*练度预期!F103+_xlfn.XLOOKUP(练度预期!E103-1,装备养成!$U$3:$U$11,装备养成!$V$3:$V$11)*(6-练度预期!F103)</f>
        <v>1.52112</v>
      </c>
      <c r="G103" s="48">
        <f ca="1">OFFSET(梦灵养成!$K$20,_xlfn.XLOOKUP(练度预期!H103,梦灵养成!$D$10:$D$28,梦灵养成!$H$10:$H$28),MATCH(OFFSET(梦灵养成!$C$33,B103,MATCH(练度预期!H103,梦灵养成!$D$33:$V$33,0)),梦灵养成!$L$20:$R$20,1))*(1+(OFFSET(梦灵养成!$C$33,B103,MATCH(练度预期!H103,梦灵养成!$D$33:$V$33,0))-1)*_xlfn.XLOOKUP(练度预期!H103,梦灵养成!$D$9:$D$28,梦灵养成!$G$9:$G$28))</f>
        <v>18.192</v>
      </c>
      <c r="H103" s="46">
        <f ca="1">符文养成!AC104</f>
        <v>14.5780808121778</v>
      </c>
      <c r="I103" s="46">
        <f>MAX(_xlfn.XLOOKUP(练度预期!O103,秘宝养成!$B$3:$B$15,秘宝养成!$E$3:$E$15),1)</f>
        <v>2.7915904</v>
      </c>
      <c r="J103" s="104">
        <f ca="1" t="shared" si="24"/>
        <v>9865067.91852584</v>
      </c>
      <c r="K103" s="104">
        <f ca="1">MATCH(J103,关卡预期!$E$4:$E$303,1)</f>
        <v>149</v>
      </c>
      <c r="L103" s="48">
        <f ca="1" t="shared" si="25"/>
        <v>0.705479452054794</v>
      </c>
      <c r="M103" s="48">
        <f ca="1" t="shared" si="26"/>
        <v>0.226027397260274</v>
      </c>
      <c r="N103" s="48">
        <f ca="1" t="shared" si="27"/>
        <v>0.0684931506849317</v>
      </c>
      <c r="O103" s="48">
        <f ca="1" t="shared" si="28"/>
        <v>0.0596944936850793</v>
      </c>
      <c r="P103" s="48">
        <f ca="1" t="shared" si="29"/>
        <v>0.412859519513554</v>
      </c>
      <c r="Q103" s="48">
        <f ca="1" t="shared" si="30"/>
        <v>0.38134155487728</v>
      </c>
      <c r="R103" s="48">
        <f ca="1" t="shared" si="31"/>
        <v>0.146104431924086</v>
      </c>
      <c r="S103" s="46">
        <f ca="1" t="shared" si="32"/>
        <v>0.705479452054794</v>
      </c>
      <c r="T103" s="46">
        <f ca="1" t="shared" si="33"/>
        <v>0.226027397260274</v>
      </c>
      <c r="U103" s="46">
        <f ca="1" t="shared" si="34"/>
        <v>0.0684931506849317</v>
      </c>
      <c r="V103" s="48">
        <f ca="1" t="shared" si="35"/>
        <v>0.419446905628583</v>
      </c>
      <c r="W103" s="48">
        <f ca="1" t="shared" si="36"/>
        <v>2.90098193700818</v>
      </c>
      <c r="X103" s="48">
        <f ca="1" t="shared" si="37"/>
        <v>2.67951908637845</v>
      </c>
      <c r="Y103" s="48">
        <f t="shared" si="38"/>
        <v>1.02661146926685</v>
      </c>
      <c r="Z103" s="105">
        <f ca="1" t="shared" si="39"/>
        <v>0.0596944936850793</v>
      </c>
      <c r="AA103" s="105">
        <f ca="1" t="shared" si="40"/>
        <v>0.412859519513554</v>
      </c>
      <c r="AB103" s="105">
        <f ca="1" t="shared" si="41"/>
        <v>0.38134155487728</v>
      </c>
      <c r="AC103" s="105">
        <f ca="1" t="shared" si="42"/>
        <v>0.146104431924086</v>
      </c>
      <c r="AD103" s="105">
        <f ca="1" t="shared" si="43"/>
        <v>0.705479452054795</v>
      </c>
      <c r="AE103" s="105">
        <f ca="1" t="shared" si="44"/>
        <v>0.226027397260274</v>
      </c>
      <c r="AF103" s="105">
        <f ca="1" t="shared" si="45"/>
        <v>0.0684931506849315</v>
      </c>
    </row>
    <row r="104" ht="16.5" spans="1:32">
      <c r="A104">
        <f ca="1" t="shared" si="23"/>
        <v>8928</v>
      </c>
      <c r="B104" s="2">
        <v>102</v>
      </c>
      <c r="C104" s="2">
        <f>_xlfn.XLOOKUP(练度预期!D104,装备养成!$B$3:$B$303,装备养成!$D$3:$D$303)*6</f>
        <v>6348</v>
      </c>
      <c r="D104" s="2" cm="1">
        <f ca="1" t="array" ref="D104">_xlfn.XLOOKUP(练度预期!E104&amp;"_"&amp;INT(练度预期!C104/10)*10+10,装备养成!$N$4:$N$219&amp;"_"&amp;装备养成!$K$4:$K$219,装备养成!$P$4:$P$219)*练度预期!F104+_xlfn.XLOOKUP(练度预期!E104-1&amp;"_"&amp;INT(练度预期!C104/10)*10+10,装备养成!$N$4:$N$219&amp;"_"&amp;装备养成!$K$4:$K$219,装备养成!$P$4:$P$219)*(6-练度预期!F104)</f>
        <v>1980</v>
      </c>
      <c r="E104" s="2">
        <f ca="1">练度预期!N104*4*练度预期!M104</f>
        <v>600</v>
      </c>
      <c r="F104" s="103">
        <f ca="1">INT(练度预期!D104/10)*0.02+1+_xlfn.XLOOKUP(练度预期!E104,装备养成!$U$3:$U$11,装备养成!$V$3:$V$11)*练度预期!F104+_xlfn.XLOOKUP(练度预期!E104-1,装备养成!$U$3:$U$11,装备养成!$V$3:$V$11)*(6-练度预期!F104)</f>
        <v>1.52112</v>
      </c>
      <c r="G104" s="48">
        <f ca="1">OFFSET(梦灵养成!$K$20,_xlfn.XLOOKUP(练度预期!H104,梦灵养成!$D$10:$D$28,梦灵养成!$H$10:$H$28),MATCH(OFFSET(梦灵养成!$C$33,B104,MATCH(练度预期!H104,梦灵养成!$D$33:$V$33,0)),梦灵养成!$L$20:$R$20,1))*(1+(OFFSET(梦灵养成!$C$33,B104,MATCH(练度预期!H104,梦灵养成!$D$33:$V$33,0))-1)*_xlfn.XLOOKUP(练度预期!H104,梦灵养成!$D$9:$D$28,梦灵养成!$G$9:$G$28))</f>
        <v>18.192</v>
      </c>
      <c r="H104" s="46">
        <f ca="1">符文养成!AC105</f>
        <v>14.6968473549796</v>
      </c>
      <c r="I104" s="46">
        <f>MAX(_xlfn.XLOOKUP(练度预期!O104,秘宝养成!$B$3:$B$15,秘宝养成!$E$3:$E$15),1)</f>
        <v>2.7915904</v>
      </c>
      <c r="J104" s="104">
        <f ca="1" t="shared" si="24"/>
        <v>10136172.3203329</v>
      </c>
      <c r="K104" s="104">
        <f ca="1">MATCH(J104,关卡预期!$E$4:$E$303,1)</f>
        <v>149</v>
      </c>
      <c r="L104" s="48">
        <f ca="1" t="shared" si="25"/>
        <v>0.711021505376344</v>
      </c>
      <c r="M104" s="48">
        <f ca="1" t="shared" si="26"/>
        <v>0.221774193548387</v>
      </c>
      <c r="N104" s="48">
        <f ca="1" t="shared" si="27"/>
        <v>0.0672043010752688</v>
      </c>
      <c r="O104" s="48">
        <f ca="1" t="shared" si="28"/>
        <v>0.0596256409821598</v>
      </c>
      <c r="P104" s="48">
        <f ca="1" t="shared" si="29"/>
        <v>0.41238331991641</v>
      </c>
      <c r="Q104" s="48">
        <f ca="1" t="shared" si="30"/>
        <v>0.382055126657542</v>
      </c>
      <c r="R104" s="48">
        <f ca="1" t="shared" si="31"/>
        <v>0.145935912443888</v>
      </c>
      <c r="S104" s="46">
        <f ca="1" t="shared" si="32"/>
        <v>0.711021505376344</v>
      </c>
      <c r="T104" s="46">
        <f ca="1" t="shared" si="33"/>
        <v>0.221774193548387</v>
      </c>
      <c r="U104" s="46">
        <f ca="1" t="shared" si="34"/>
        <v>0.0672043010752688</v>
      </c>
      <c r="V104" s="48">
        <f ca="1" t="shared" si="35"/>
        <v>0.419446905628583</v>
      </c>
      <c r="W104" s="48">
        <f ca="1" t="shared" si="36"/>
        <v>2.90098193700818</v>
      </c>
      <c r="X104" s="48">
        <f ca="1" t="shared" si="37"/>
        <v>2.687633005136</v>
      </c>
      <c r="Y104" s="48">
        <f t="shared" si="38"/>
        <v>1.02661146926685</v>
      </c>
      <c r="Z104" s="105">
        <f ca="1" t="shared" si="39"/>
        <v>0.0596256409821598</v>
      </c>
      <c r="AA104" s="105">
        <f ca="1" t="shared" si="40"/>
        <v>0.41238331991641</v>
      </c>
      <c r="AB104" s="105">
        <f ca="1" t="shared" si="41"/>
        <v>0.382055126657542</v>
      </c>
      <c r="AC104" s="105">
        <f ca="1" t="shared" si="42"/>
        <v>0.145935912443888</v>
      </c>
      <c r="AD104" s="105">
        <f ca="1" t="shared" si="43"/>
        <v>0.711021505376344</v>
      </c>
      <c r="AE104" s="105">
        <f ca="1" t="shared" si="44"/>
        <v>0.221774193548387</v>
      </c>
      <c r="AF104" s="105">
        <f ca="1" t="shared" si="45"/>
        <v>0.0672043010752688</v>
      </c>
    </row>
    <row r="105" ht="16.5" spans="1:32">
      <c r="A105">
        <f ca="1" t="shared" si="23"/>
        <v>8928</v>
      </c>
      <c r="B105" s="2">
        <v>103</v>
      </c>
      <c r="C105" s="2">
        <f>_xlfn.XLOOKUP(练度预期!D105,装备养成!$B$3:$B$303,装备养成!$D$3:$D$303)*6</f>
        <v>6348</v>
      </c>
      <c r="D105" s="2" cm="1">
        <f ca="1" t="array" ref="D105">_xlfn.XLOOKUP(练度预期!E105&amp;"_"&amp;INT(练度预期!C105/10)*10+10,装备养成!$N$4:$N$219&amp;"_"&amp;装备养成!$K$4:$K$219,装备养成!$P$4:$P$219)*练度预期!F105+_xlfn.XLOOKUP(练度预期!E105-1&amp;"_"&amp;INT(练度预期!C105/10)*10+10,装备养成!$N$4:$N$219&amp;"_"&amp;装备养成!$K$4:$K$219,装备养成!$P$4:$P$219)*(6-练度预期!F105)</f>
        <v>1980</v>
      </c>
      <c r="E105" s="2">
        <f ca="1">练度预期!N105*4*练度预期!M105</f>
        <v>600</v>
      </c>
      <c r="F105" s="103">
        <f ca="1">INT(练度预期!D105/10)*0.02+1+_xlfn.XLOOKUP(练度预期!E105,装备养成!$U$3:$U$11,装备养成!$V$3:$V$11)*练度预期!F105+_xlfn.XLOOKUP(练度预期!E105-1,装备养成!$U$3:$U$11,装备养成!$V$3:$V$11)*(6-练度预期!F105)</f>
        <v>1.52112</v>
      </c>
      <c r="G105" s="48">
        <f ca="1">OFFSET(梦灵养成!$K$20,_xlfn.XLOOKUP(练度预期!H105,梦灵养成!$D$10:$D$28,梦灵养成!$H$10:$H$28),MATCH(OFFSET(梦灵养成!$C$33,B105,MATCH(练度预期!H105,梦灵养成!$D$33:$V$33,0)),梦灵养成!$L$20:$R$20,1))*(1+(OFFSET(梦灵养成!$C$33,B105,MATCH(练度预期!H105,梦灵养成!$D$33:$V$33,0))-1)*_xlfn.XLOOKUP(练度预期!H105,梦灵养成!$D$9:$D$28,梦灵养成!$G$9:$G$28))</f>
        <v>18.192</v>
      </c>
      <c r="H105" s="46">
        <f ca="1">符文养成!AC106</f>
        <v>14.81169942782</v>
      </c>
      <c r="I105" s="46">
        <f>MAX(_xlfn.XLOOKUP(练度预期!O105,秘宝养成!$B$3:$B$15,秘宝养成!$E$3:$E$15),1)</f>
        <v>2.7915904</v>
      </c>
      <c r="J105" s="104">
        <f ca="1" t="shared" si="24"/>
        <v>10215383.893641</v>
      </c>
      <c r="K105" s="104">
        <f ca="1">MATCH(J105,关卡预期!$E$4:$E$303,1)</f>
        <v>149</v>
      </c>
      <c r="L105" s="48">
        <f ca="1" t="shared" si="25"/>
        <v>0.711021505376344</v>
      </c>
      <c r="M105" s="48">
        <f ca="1" t="shared" si="26"/>
        <v>0.221774193548387</v>
      </c>
      <c r="N105" s="48">
        <f ca="1" t="shared" si="27"/>
        <v>0.067204301075269</v>
      </c>
      <c r="O105" s="48">
        <f ca="1" t="shared" si="28"/>
        <v>0.0595597339100093</v>
      </c>
      <c r="P105" s="48">
        <f ca="1" t="shared" si="29"/>
        <v>0.411927492913602</v>
      </c>
      <c r="Q105" s="48">
        <f ca="1" t="shared" si="30"/>
        <v>0.382738170674873</v>
      </c>
      <c r="R105" s="48">
        <f ca="1" t="shared" si="31"/>
        <v>0.145774602501515</v>
      </c>
      <c r="S105" s="46">
        <f ca="1" t="shared" si="32"/>
        <v>0.711021505376344</v>
      </c>
      <c r="T105" s="46">
        <f ca="1" t="shared" si="33"/>
        <v>0.221774193548387</v>
      </c>
      <c r="U105" s="46">
        <f ca="1" t="shared" si="34"/>
        <v>0.067204301075269</v>
      </c>
      <c r="V105" s="48">
        <f ca="1" t="shared" si="35"/>
        <v>0.419446905628583</v>
      </c>
      <c r="W105" s="48">
        <f ca="1" t="shared" si="36"/>
        <v>2.90098193700818</v>
      </c>
      <c r="X105" s="48">
        <f ca="1" t="shared" si="37"/>
        <v>2.69541737036775</v>
      </c>
      <c r="Y105" s="48">
        <f t="shared" si="38"/>
        <v>1.02661146926685</v>
      </c>
      <c r="Z105" s="105">
        <f ca="1" t="shared" si="39"/>
        <v>0.0595597339100093</v>
      </c>
      <c r="AA105" s="105">
        <f ca="1" t="shared" si="40"/>
        <v>0.411927492913602</v>
      </c>
      <c r="AB105" s="105">
        <f ca="1" t="shared" si="41"/>
        <v>0.382738170674873</v>
      </c>
      <c r="AC105" s="105">
        <f ca="1" t="shared" si="42"/>
        <v>0.145774602501515</v>
      </c>
      <c r="AD105" s="105">
        <f ca="1" t="shared" si="43"/>
        <v>0.711021505376344</v>
      </c>
      <c r="AE105" s="105">
        <f ca="1" t="shared" si="44"/>
        <v>0.221774193548387</v>
      </c>
      <c r="AF105" s="105">
        <f ca="1" t="shared" si="45"/>
        <v>0.0672043010752688</v>
      </c>
    </row>
    <row r="106" ht="16.5" spans="1:32">
      <c r="A106">
        <f ca="1" t="shared" si="23"/>
        <v>8928</v>
      </c>
      <c r="B106" s="2">
        <v>104</v>
      </c>
      <c r="C106" s="2">
        <f>_xlfn.XLOOKUP(练度预期!D106,装备养成!$B$3:$B$303,装备养成!$D$3:$D$303)*6</f>
        <v>6348</v>
      </c>
      <c r="D106" s="2" cm="1">
        <f ca="1" t="array" ref="D106">_xlfn.XLOOKUP(练度预期!E106&amp;"_"&amp;INT(练度预期!C106/10)*10+10,装备养成!$N$4:$N$219&amp;"_"&amp;装备养成!$K$4:$K$219,装备养成!$P$4:$P$219)*练度预期!F106+_xlfn.XLOOKUP(练度预期!E106-1&amp;"_"&amp;INT(练度预期!C106/10)*10+10,装备养成!$N$4:$N$219&amp;"_"&amp;装备养成!$K$4:$K$219,装备养成!$P$4:$P$219)*(6-练度预期!F106)</f>
        <v>1980</v>
      </c>
      <c r="E106" s="2">
        <f ca="1">练度预期!N106*4*练度预期!M106</f>
        <v>600</v>
      </c>
      <c r="F106" s="103">
        <f ca="1">INT(练度预期!D106/10)*0.02+1+_xlfn.XLOOKUP(练度预期!E106,装备养成!$U$3:$U$11,装备养成!$V$3:$V$11)*练度预期!F106+_xlfn.XLOOKUP(练度预期!E106-1,装备养成!$U$3:$U$11,装备养成!$V$3:$V$11)*(6-练度预期!F106)</f>
        <v>1.52112</v>
      </c>
      <c r="G106" s="48">
        <f ca="1">OFFSET(梦灵养成!$K$20,_xlfn.XLOOKUP(练度预期!H106,梦灵养成!$D$10:$D$28,梦灵养成!$H$10:$H$28),MATCH(OFFSET(梦灵养成!$C$33,B106,MATCH(练度预期!H106,梦灵养成!$D$33:$V$33,0)),梦灵养成!$L$20:$R$20,1))*(1+(OFFSET(梦灵养成!$C$33,B106,MATCH(练度预期!H106,梦灵养成!$D$33:$V$33,0))-1)*_xlfn.XLOOKUP(练度预期!H106,梦灵养成!$D$9:$D$28,梦灵养成!$G$9:$G$28))</f>
        <v>18.7605</v>
      </c>
      <c r="H106" s="46">
        <f ca="1">符文养成!AC107</f>
        <v>14.9454594912855</v>
      </c>
      <c r="I106" s="46">
        <f>MAX(_xlfn.XLOOKUP(练度预期!O106,秘宝养成!$B$3:$B$15,秘宝养成!$E$3:$E$15),1)</f>
        <v>2.7915904</v>
      </c>
      <c r="J106" s="104">
        <f ca="1" t="shared" si="24"/>
        <v>10629749.619915</v>
      </c>
      <c r="K106" s="104">
        <f ca="1">MATCH(J106,关卡预期!$E$4:$E$303,1)</f>
        <v>150</v>
      </c>
      <c r="L106" s="48">
        <f ca="1" t="shared" si="25"/>
        <v>0.711021505376344</v>
      </c>
      <c r="M106" s="48">
        <f ca="1" t="shared" si="26"/>
        <v>0.221774193548387</v>
      </c>
      <c r="N106" s="48">
        <f ca="1" t="shared" si="27"/>
        <v>0.0672043010752688</v>
      </c>
      <c r="O106" s="48">
        <f ca="1" t="shared" si="28"/>
        <v>0.0592253466527244</v>
      </c>
      <c r="P106" s="48">
        <f ca="1" t="shared" si="29"/>
        <v>0.413959718558446</v>
      </c>
      <c r="Q106" s="48">
        <f ca="1" t="shared" si="30"/>
        <v>0.381858757191393</v>
      </c>
      <c r="R106" s="48">
        <f ca="1" t="shared" si="31"/>
        <v>0.144956177597436</v>
      </c>
      <c r="S106" s="46">
        <f ca="1" t="shared" si="32"/>
        <v>0.711021505376344</v>
      </c>
      <c r="T106" s="46">
        <f ca="1" t="shared" si="33"/>
        <v>0.221774193548387</v>
      </c>
      <c r="U106" s="46">
        <f ca="1" t="shared" si="34"/>
        <v>0.0672043010752688</v>
      </c>
      <c r="V106" s="48">
        <f ca="1" t="shared" si="35"/>
        <v>0.419446905628583</v>
      </c>
      <c r="W106" s="48">
        <f ca="1" t="shared" si="36"/>
        <v>2.93175359567493</v>
      </c>
      <c r="X106" s="48">
        <f ca="1" t="shared" si="37"/>
        <v>2.70440754074908</v>
      </c>
      <c r="Y106" s="48">
        <f t="shared" si="38"/>
        <v>1.02661146926685</v>
      </c>
      <c r="Z106" s="105">
        <f ca="1" t="shared" si="39"/>
        <v>0.0592253466527244</v>
      </c>
      <c r="AA106" s="105">
        <f ca="1" t="shared" si="40"/>
        <v>0.413959718558446</v>
      </c>
      <c r="AB106" s="105">
        <f ca="1" t="shared" si="41"/>
        <v>0.381858757191393</v>
      </c>
      <c r="AC106" s="105">
        <f ca="1" t="shared" si="42"/>
        <v>0.144956177597436</v>
      </c>
      <c r="AD106" s="105">
        <f ca="1" t="shared" si="43"/>
        <v>0.711021505376344</v>
      </c>
      <c r="AE106" s="105">
        <f ca="1" t="shared" si="44"/>
        <v>0.221774193548387</v>
      </c>
      <c r="AF106" s="105">
        <f ca="1" t="shared" si="45"/>
        <v>0.0672043010752688</v>
      </c>
    </row>
    <row r="107" ht="16.5" spans="1:32">
      <c r="A107">
        <f ca="1" t="shared" si="23"/>
        <v>9096</v>
      </c>
      <c r="B107" s="2">
        <v>105</v>
      </c>
      <c r="C107" s="2">
        <f>_xlfn.XLOOKUP(练度预期!D107,装备养成!$B$3:$B$303,装备养成!$D$3:$D$303)*6</f>
        <v>6516</v>
      </c>
      <c r="D107" s="2" cm="1">
        <f ca="1" t="array" ref="D107">_xlfn.XLOOKUP(练度预期!E107&amp;"_"&amp;INT(练度预期!C107/10)*10+10,装备养成!$N$4:$N$219&amp;"_"&amp;装备养成!$K$4:$K$219,装备养成!$P$4:$P$219)*练度预期!F107+_xlfn.XLOOKUP(练度预期!E107-1&amp;"_"&amp;INT(练度预期!C107/10)*10+10,装备养成!$N$4:$N$219&amp;"_"&amp;装备养成!$K$4:$K$219,装备养成!$P$4:$P$219)*(6-练度预期!F107)</f>
        <v>1980</v>
      </c>
      <c r="E107" s="2">
        <f ca="1">练度预期!N107*4*练度预期!M107</f>
        <v>600</v>
      </c>
      <c r="F107" s="103">
        <f ca="1">INT(练度预期!D107/10)*0.02+1+_xlfn.XLOOKUP(练度预期!E107,装备养成!$U$3:$U$11,装备养成!$V$3:$V$11)*练度预期!F107+_xlfn.XLOOKUP(练度预期!E107-1,装备养成!$U$3:$U$11,装备养成!$V$3:$V$11)*(6-练度预期!F107)</f>
        <v>1.52112</v>
      </c>
      <c r="G107" s="48">
        <f ca="1">OFFSET(梦灵养成!$K$20,_xlfn.XLOOKUP(练度预期!H107,梦灵养成!$D$10:$D$28,梦灵养成!$H$10:$H$28),MATCH(OFFSET(梦灵养成!$C$33,B107,MATCH(练度预期!H107,梦灵养成!$D$33:$V$33,0)),梦灵养成!$L$20:$R$20,1))*(1+(OFFSET(梦灵养成!$C$33,B107,MATCH(练度预期!H107,梦灵养成!$D$33:$V$33,0))-1)*_xlfn.XLOOKUP(练度预期!H107,梦灵养成!$D$9:$D$28,梦灵养成!$G$9:$G$28))</f>
        <v>18.7605</v>
      </c>
      <c r="H107" s="46">
        <f ca="1">符文养成!AC108</f>
        <v>15.0618859365872</v>
      </c>
      <c r="I107" s="46">
        <f>MAX(_xlfn.XLOOKUP(练度预期!O107,秘宝养成!$B$3:$B$15,秘宝养成!$E$3:$E$15),1)</f>
        <v>2.7915904</v>
      </c>
      <c r="J107" s="104">
        <f ca="1" t="shared" si="24"/>
        <v>10914136.665929</v>
      </c>
      <c r="K107" s="104">
        <f ca="1">MATCH(J107,关卡预期!$E$4:$E$303,1)</f>
        <v>150</v>
      </c>
      <c r="L107" s="48">
        <f ca="1" t="shared" si="25"/>
        <v>0.716358839050132</v>
      </c>
      <c r="M107" s="48">
        <f ca="1" t="shared" si="26"/>
        <v>0.217678100263852</v>
      </c>
      <c r="N107" s="48">
        <f ca="1" t="shared" si="27"/>
        <v>0.0659630606860159</v>
      </c>
      <c r="O107" s="48">
        <f ca="1" t="shared" si="28"/>
        <v>0.0591605251831984</v>
      </c>
      <c r="P107" s="48">
        <f ca="1" t="shared" si="29"/>
        <v>0.413506644346168</v>
      </c>
      <c r="Q107" s="48">
        <f ca="1" t="shared" si="30"/>
        <v>0.38253530576389</v>
      </c>
      <c r="R107" s="48">
        <f ca="1" t="shared" si="31"/>
        <v>0.144797524706743</v>
      </c>
      <c r="S107" s="46">
        <f ca="1" t="shared" si="32"/>
        <v>0.716358839050132</v>
      </c>
      <c r="T107" s="46">
        <f ca="1" t="shared" si="33"/>
        <v>0.217678100263852</v>
      </c>
      <c r="U107" s="46">
        <f ca="1" t="shared" si="34"/>
        <v>0.0659630606860159</v>
      </c>
      <c r="V107" s="48">
        <f ca="1" t="shared" si="35"/>
        <v>0.419446905628583</v>
      </c>
      <c r="W107" s="48">
        <f ca="1" t="shared" si="36"/>
        <v>2.93175359567493</v>
      </c>
      <c r="X107" s="48">
        <f ca="1" t="shared" si="37"/>
        <v>2.7121674427244</v>
      </c>
      <c r="Y107" s="48">
        <f t="shared" si="38"/>
        <v>1.02661146926685</v>
      </c>
      <c r="Z107" s="105">
        <f ca="1" t="shared" si="39"/>
        <v>0.0591605251831984</v>
      </c>
      <c r="AA107" s="105">
        <f ca="1" t="shared" si="40"/>
        <v>0.413506644346169</v>
      </c>
      <c r="AB107" s="105">
        <f ca="1" t="shared" si="41"/>
        <v>0.38253530576389</v>
      </c>
      <c r="AC107" s="105">
        <f ca="1" t="shared" si="42"/>
        <v>0.144797524706743</v>
      </c>
      <c r="AD107" s="105">
        <f ca="1" t="shared" si="43"/>
        <v>0.716358839050132</v>
      </c>
      <c r="AE107" s="105">
        <f ca="1" t="shared" si="44"/>
        <v>0.217678100263852</v>
      </c>
      <c r="AF107" s="105">
        <f ca="1" t="shared" si="45"/>
        <v>0.0659630606860158</v>
      </c>
    </row>
    <row r="108" ht="16.5" spans="1:32">
      <c r="A108">
        <f ca="1" t="shared" si="23"/>
        <v>9096</v>
      </c>
      <c r="B108" s="2">
        <v>106</v>
      </c>
      <c r="C108" s="2">
        <f>_xlfn.XLOOKUP(练度预期!D108,装备养成!$B$3:$B$303,装备养成!$D$3:$D$303)*6</f>
        <v>6516</v>
      </c>
      <c r="D108" s="2" cm="1">
        <f ca="1" t="array" ref="D108">_xlfn.XLOOKUP(练度预期!E108&amp;"_"&amp;INT(练度预期!C108/10)*10+10,装备养成!$N$4:$N$219&amp;"_"&amp;装备养成!$K$4:$K$219,装备养成!$P$4:$P$219)*练度预期!F108+_xlfn.XLOOKUP(练度预期!E108-1&amp;"_"&amp;INT(练度预期!C108/10)*10+10,装备养成!$N$4:$N$219&amp;"_"&amp;装备养成!$K$4:$K$219,装备养成!$P$4:$P$219)*(6-练度预期!F108)</f>
        <v>1980</v>
      </c>
      <c r="E108" s="2">
        <f ca="1">练度预期!N108*4*练度预期!M108</f>
        <v>600</v>
      </c>
      <c r="F108" s="103">
        <f ca="1">INT(练度预期!D108/10)*0.02+1+_xlfn.XLOOKUP(练度预期!E108,装备养成!$U$3:$U$11,装备养成!$V$3:$V$11)*练度预期!F108+_xlfn.XLOOKUP(练度预期!E108-1,装备养成!$U$3:$U$11,装备养成!$V$3:$V$11)*(6-练度预期!F108)</f>
        <v>1.52112</v>
      </c>
      <c r="G108" s="48">
        <f ca="1">OFFSET(梦灵养成!$K$20,_xlfn.XLOOKUP(练度预期!H108,梦灵养成!$D$10:$D$28,梦灵养成!$H$10:$H$28),MATCH(OFFSET(梦灵养成!$C$33,B108,MATCH(练度预期!H108,梦灵养成!$D$33:$V$33,0)),梦灵养成!$L$20:$R$20,1))*(1+(OFFSET(梦灵养成!$C$33,B108,MATCH(练度预期!H108,梦灵养成!$D$33:$V$33,0))-1)*_xlfn.XLOOKUP(练度预期!H108,梦灵养成!$D$9:$D$28,梦灵养成!$G$9:$G$28))</f>
        <v>18.7605</v>
      </c>
      <c r="H108" s="46">
        <f ca="1">符文养成!AC109</f>
        <v>15.1974721708188</v>
      </c>
      <c r="I108" s="46">
        <f>MAX(_xlfn.XLOOKUP(练度预期!O108,秘宝养成!$B$3:$B$15,秘宝养成!$E$3:$E$15),1)</f>
        <v>2.7915904</v>
      </c>
      <c r="J108" s="104">
        <f ca="1" t="shared" si="24"/>
        <v>11012385.0988711</v>
      </c>
      <c r="K108" s="104">
        <f ca="1">MATCH(J108,关卡预期!$E$4:$E$303,1)</f>
        <v>150</v>
      </c>
      <c r="L108" s="48">
        <f ca="1" t="shared" si="25"/>
        <v>0.716358839050132</v>
      </c>
      <c r="M108" s="48">
        <f ca="1" t="shared" si="26"/>
        <v>0.217678100263852</v>
      </c>
      <c r="N108" s="48">
        <f ca="1" t="shared" si="27"/>
        <v>0.0659630606860158</v>
      </c>
      <c r="O108" s="48">
        <f ca="1" t="shared" si="28"/>
        <v>0.0590858412401638</v>
      </c>
      <c r="P108" s="48">
        <f ca="1" t="shared" si="29"/>
        <v>0.412984635682872</v>
      </c>
      <c r="Q108" s="48">
        <f ca="1" t="shared" si="30"/>
        <v>0.383314790021466</v>
      </c>
      <c r="R108" s="48">
        <f ca="1" t="shared" si="31"/>
        <v>0.144614733055498</v>
      </c>
      <c r="S108" s="46">
        <f ca="1" t="shared" si="32"/>
        <v>0.716358839050132</v>
      </c>
      <c r="T108" s="46">
        <f ca="1" t="shared" si="33"/>
        <v>0.217678100263852</v>
      </c>
      <c r="U108" s="46">
        <f ca="1" t="shared" si="34"/>
        <v>0.0659630606860158</v>
      </c>
      <c r="V108" s="48">
        <f ca="1" t="shared" si="35"/>
        <v>0.419446905628583</v>
      </c>
      <c r="W108" s="48">
        <f ca="1" t="shared" si="36"/>
        <v>2.93175359567493</v>
      </c>
      <c r="X108" s="48">
        <f ca="1" t="shared" si="37"/>
        <v>2.7211291094707</v>
      </c>
      <c r="Y108" s="48">
        <f t="shared" si="38"/>
        <v>1.02661146926685</v>
      </c>
      <c r="Z108" s="105">
        <f ca="1" t="shared" si="39"/>
        <v>0.0590858412401638</v>
      </c>
      <c r="AA108" s="105">
        <f ca="1" t="shared" si="40"/>
        <v>0.412984635682872</v>
      </c>
      <c r="AB108" s="105">
        <f ca="1" t="shared" si="41"/>
        <v>0.383314790021466</v>
      </c>
      <c r="AC108" s="105">
        <f ca="1" t="shared" si="42"/>
        <v>0.144614733055498</v>
      </c>
      <c r="AD108" s="105">
        <f ca="1" t="shared" si="43"/>
        <v>0.716358839050132</v>
      </c>
      <c r="AE108" s="105">
        <f ca="1" t="shared" si="44"/>
        <v>0.217678100263852</v>
      </c>
      <c r="AF108" s="105">
        <f ca="1" t="shared" si="45"/>
        <v>0.0659630606860158</v>
      </c>
    </row>
    <row r="109" ht="16.5" spans="1:32">
      <c r="A109">
        <f ca="1" t="shared" si="23"/>
        <v>9264</v>
      </c>
      <c r="B109" s="2">
        <v>107</v>
      </c>
      <c r="C109" s="2">
        <f>_xlfn.XLOOKUP(练度预期!D109,装备养成!$B$3:$B$303,装备养成!$D$3:$D$303)*6</f>
        <v>6684</v>
      </c>
      <c r="D109" s="2" cm="1">
        <f ca="1" t="array" ref="D109">_xlfn.XLOOKUP(练度预期!E109&amp;"_"&amp;INT(练度预期!C109/10)*10+10,装备养成!$N$4:$N$219&amp;"_"&amp;装备养成!$K$4:$K$219,装备养成!$P$4:$P$219)*练度预期!F109+_xlfn.XLOOKUP(练度预期!E109-1&amp;"_"&amp;INT(练度预期!C109/10)*10+10,装备养成!$N$4:$N$219&amp;"_"&amp;装备养成!$K$4:$K$219,装备养成!$P$4:$P$219)*(6-练度预期!F109)</f>
        <v>1980</v>
      </c>
      <c r="E109" s="2">
        <f ca="1">练度预期!N109*4*练度预期!M109</f>
        <v>600</v>
      </c>
      <c r="F109" s="103">
        <f ca="1">INT(练度预期!D109/10)*0.02+1+_xlfn.XLOOKUP(练度预期!E109,装备养成!$U$3:$U$11,装备养成!$V$3:$V$11)*练度预期!F109+_xlfn.XLOOKUP(练度预期!E109-1,装备养成!$U$3:$U$11,装备养成!$V$3:$V$11)*(6-练度预期!F109)</f>
        <v>1.52112</v>
      </c>
      <c r="G109" s="48">
        <f ca="1">OFFSET(梦灵养成!$K$20,_xlfn.XLOOKUP(练度预期!H109,梦灵养成!$D$10:$D$28,梦灵养成!$H$10:$H$28),MATCH(OFFSET(梦灵养成!$C$33,B109,MATCH(练度预期!H109,梦灵养成!$D$33:$V$33,0)),梦灵养成!$L$20:$R$20,1))*(1+(OFFSET(梦灵养成!$C$33,B109,MATCH(练度预期!H109,梦灵养成!$D$33:$V$33,0))-1)*_xlfn.XLOOKUP(练度预期!H109,梦灵养成!$D$9:$D$28,梦灵养成!$G$9:$G$28))</f>
        <v>18.7605</v>
      </c>
      <c r="H109" s="46">
        <f ca="1">符文养成!AC110</f>
        <v>15.31548164301</v>
      </c>
      <c r="I109" s="46">
        <f>MAX(_xlfn.XLOOKUP(练度预期!O109,秘宝养成!$B$3:$B$15,秘宝养成!$E$3:$E$15),1)</f>
        <v>2.7915904</v>
      </c>
      <c r="J109" s="104">
        <f ca="1" t="shared" si="24"/>
        <v>11302871.4189715</v>
      </c>
      <c r="K109" s="104">
        <f ca="1">MATCH(J109,关卡预期!$E$4:$E$303,1)</f>
        <v>151</v>
      </c>
      <c r="L109" s="48">
        <f ca="1" t="shared" si="25"/>
        <v>0.721502590673575</v>
      </c>
      <c r="M109" s="48">
        <f ca="1" t="shared" si="26"/>
        <v>0.213730569948187</v>
      </c>
      <c r="N109" s="48">
        <f ca="1" t="shared" si="27"/>
        <v>0.0647668393782382</v>
      </c>
      <c r="O109" s="48">
        <f ca="1" t="shared" si="28"/>
        <v>0.0590215307714615</v>
      </c>
      <c r="P109" s="48">
        <f ca="1" t="shared" si="29"/>
        <v>0.412535133146729</v>
      </c>
      <c r="Q109" s="48">
        <f ca="1" t="shared" si="30"/>
        <v>0.383986005224009</v>
      </c>
      <c r="R109" s="48">
        <f ca="1" t="shared" si="31"/>
        <v>0.1444573308578</v>
      </c>
      <c r="S109" s="46">
        <f ca="1" t="shared" si="32"/>
        <v>0.721502590673575</v>
      </c>
      <c r="T109" s="46">
        <f ca="1" t="shared" si="33"/>
        <v>0.213730569948187</v>
      </c>
      <c r="U109" s="46">
        <f ca="1" t="shared" si="34"/>
        <v>0.0647668393782381</v>
      </c>
      <c r="V109" s="48">
        <f ca="1" t="shared" si="35"/>
        <v>0.419446905628583</v>
      </c>
      <c r="W109" s="48">
        <f ca="1" t="shared" si="36"/>
        <v>2.93175359567493</v>
      </c>
      <c r="X109" s="48">
        <f ca="1" t="shared" si="37"/>
        <v>2.72886418889307</v>
      </c>
      <c r="Y109" s="48">
        <f t="shared" si="38"/>
        <v>1.02661146926685</v>
      </c>
      <c r="Z109" s="105">
        <f ca="1" t="shared" si="39"/>
        <v>0.0590215307714615</v>
      </c>
      <c r="AA109" s="105">
        <f ca="1" t="shared" si="40"/>
        <v>0.412535133146729</v>
      </c>
      <c r="AB109" s="105">
        <f ca="1" t="shared" si="41"/>
        <v>0.383986005224009</v>
      </c>
      <c r="AC109" s="105">
        <f ca="1" t="shared" si="42"/>
        <v>0.1444573308578</v>
      </c>
      <c r="AD109" s="105">
        <f ca="1" t="shared" si="43"/>
        <v>0.721502590673575</v>
      </c>
      <c r="AE109" s="105">
        <f ca="1" t="shared" si="44"/>
        <v>0.213730569948187</v>
      </c>
      <c r="AF109" s="105">
        <f ca="1" t="shared" si="45"/>
        <v>0.0647668393782383</v>
      </c>
    </row>
    <row r="110" ht="16.5" spans="1:32">
      <c r="A110">
        <f ca="1" t="shared" si="23"/>
        <v>9264</v>
      </c>
      <c r="B110" s="2">
        <v>108</v>
      </c>
      <c r="C110" s="2">
        <f>_xlfn.XLOOKUP(练度预期!D110,装备养成!$B$3:$B$303,装备养成!$D$3:$D$303)*6</f>
        <v>6684</v>
      </c>
      <c r="D110" s="2" cm="1">
        <f ca="1" t="array" ref="D110">_xlfn.XLOOKUP(练度预期!E110&amp;"_"&amp;INT(练度预期!C110/10)*10+10,装备养成!$N$4:$N$219&amp;"_"&amp;装备养成!$K$4:$K$219,装备养成!$P$4:$P$219)*练度预期!F110+_xlfn.XLOOKUP(练度预期!E110-1&amp;"_"&amp;INT(练度预期!C110/10)*10+10,装备养成!$N$4:$N$219&amp;"_"&amp;装备养成!$K$4:$K$219,装备养成!$P$4:$P$219)*(6-练度预期!F110)</f>
        <v>1980</v>
      </c>
      <c r="E110" s="2">
        <f ca="1">练度预期!N110*4*练度预期!M110</f>
        <v>600</v>
      </c>
      <c r="F110" s="103">
        <f ca="1">INT(练度预期!D110/10)*0.02+1+_xlfn.XLOOKUP(练度预期!E110,装备养成!$U$3:$U$11,装备养成!$V$3:$V$11)*练度预期!F110+_xlfn.XLOOKUP(练度预期!E110-1,装备养成!$U$3:$U$11,装备养成!$V$3:$V$11)*(6-练度预期!F110)</f>
        <v>1.52112</v>
      </c>
      <c r="G110" s="48">
        <f ca="1">OFFSET(梦灵养成!$K$20,_xlfn.XLOOKUP(练度预期!H110,梦灵养成!$D$10:$D$28,梦灵养成!$H$10:$H$28),MATCH(OFFSET(梦灵养成!$C$33,B110,MATCH(练度预期!H110,梦灵养成!$D$33:$V$33,0)),梦灵养成!$L$20:$R$20,1))*(1+(OFFSET(梦灵养成!$C$33,B110,MATCH(练度预期!H110,梦灵养成!$D$33:$V$33,0))-1)*_xlfn.XLOOKUP(练度预期!H110,梦灵养成!$D$9:$D$28,梦灵养成!$G$9:$G$28))</f>
        <v>18.7605</v>
      </c>
      <c r="H110" s="46">
        <f ca="1">符文养成!AC111</f>
        <v>15.4390889346366</v>
      </c>
      <c r="I110" s="46">
        <f>MAX(_xlfn.XLOOKUP(练度预期!O110,秘宝养成!$B$3:$B$15,秘宝养成!$E$3:$E$15),1)</f>
        <v>2.7915904</v>
      </c>
      <c r="J110" s="104">
        <f ca="1" t="shared" si="24"/>
        <v>11394093.9711751</v>
      </c>
      <c r="K110" s="104">
        <f ca="1">MATCH(J110,关卡预期!$E$4:$E$303,1)</f>
        <v>151</v>
      </c>
      <c r="L110" s="48">
        <f ca="1" t="shared" si="25"/>
        <v>0.721502590673575</v>
      </c>
      <c r="M110" s="48">
        <f ca="1" t="shared" si="26"/>
        <v>0.213730569948187</v>
      </c>
      <c r="N110" s="48">
        <f ca="1" t="shared" si="27"/>
        <v>0.0647668393782381</v>
      </c>
      <c r="O110" s="48">
        <f ca="1" t="shared" si="28"/>
        <v>0.0589548470622911</v>
      </c>
      <c r="P110" s="48">
        <f ca="1" t="shared" si="29"/>
        <v>0.412069042679712</v>
      </c>
      <c r="Q110" s="48">
        <f ca="1" t="shared" si="30"/>
        <v>0.38468199018976</v>
      </c>
      <c r="R110" s="48">
        <f ca="1" t="shared" si="31"/>
        <v>0.144294120068237</v>
      </c>
      <c r="S110" s="46">
        <f ca="1" t="shared" si="32"/>
        <v>0.721502590673575</v>
      </c>
      <c r="T110" s="46">
        <f ca="1" t="shared" si="33"/>
        <v>0.213730569948187</v>
      </c>
      <c r="U110" s="46">
        <f ca="1" t="shared" si="34"/>
        <v>0.0647668393782381</v>
      </c>
      <c r="V110" s="48">
        <f ca="1" t="shared" si="35"/>
        <v>0.419446905628583</v>
      </c>
      <c r="W110" s="48">
        <f ca="1" t="shared" si="36"/>
        <v>2.93175359567493</v>
      </c>
      <c r="X110" s="48">
        <f ca="1" t="shared" si="37"/>
        <v>2.7369025360316</v>
      </c>
      <c r="Y110" s="48">
        <f t="shared" si="38"/>
        <v>1.02661146926685</v>
      </c>
      <c r="Z110" s="105">
        <f ca="1" t="shared" si="39"/>
        <v>0.0589548470622911</v>
      </c>
      <c r="AA110" s="105">
        <f ca="1" t="shared" si="40"/>
        <v>0.412069042679712</v>
      </c>
      <c r="AB110" s="105">
        <f ca="1" t="shared" si="41"/>
        <v>0.38468199018976</v>
      </c>
      <c r="AC110" s="105">
        <f ca="1" t="shared" si="42"/>
        <v>0.144294120068237</v>
      </c>
      <c r="AD110" s="105">
        <f ca="1" t="shared" si="43"/>
        <v>0.721502590673575</v>
      </c>
      <c r="AE110" s="105">
        <f ca="1" t="shared" si="44"/>
        <v>0.213730569948187</v>
      </c>
      <c r="AF110" s="105">
        <f ca="1" t="shared" si="45"/>
        <v>0.0647668393782383</v>
      </c>
    </row>
    <row r="111" ht="16.5" spans="1:32">
      <c r="A111">
        <f ca="1" t="shared" si="23"/>
        <v>9264</v>
      </c>
      <c r="B111" s="2">
        <v>109</v>
      </c>
      <c r="C111" s="2">
        <f>_xlfn.XLOOKUP(练度预期!D111,装备养成!$B$3:$B$303,装备养成!$D$3:$D$303)*6</f>
        <v>6684</v>
      </c>
      <c r="D111" s="2" cm="1">
        <f ca="1" t="array" ref="D111">_xlfn.XLOOKUP(练度预期!E111&amp;"_"&amp;INT(练度预期!C111/10)*10+10,装备养成!$N$4:$N$219&amp;"_"&amp;装备养成!$K$4:$K$219,装备养成!$P$4:$P$219)*练度预期!F111+_xlfn.XLOOKUP(练度预期!E111-1&amp;"_"&amp;INT(练度预期!C111/10)*10+10,装备养成!$N$4:$N$219&amp;"_"&amp;装备养成!$K$4:$K$219,装备养成!$P$4:$P$219)*(6-练度预期!F111)</f>
        <v>1980</v>
      </c>
      <c r="E111" s="2">
        <f ca="1">练度预期!N111*4*练度预期!M111</f>
        <v>600</v>
      </c>
      <c r="F111" s="103">
        <f ca="1">INT(练度预期!D111/10)*0.02+1+_xlfn.XLOOKUP(练度预期!E111,装备养成!$U$3:$U$11,装备养成!$V$3:$V$11)*练度预期!F111+_xlfn.XLOOKUP(练度预期!E111-1,装备养成!$U$3:$U$11,装备养成!$V$3:$V$11)*(6-练度预期!F111)</f>
        <v>1.52112</v>
      </c>
      <c r="G111" s="48">
        <f ca="1">OFFSET(梦灵养成!$K$20,_xlfn.XLOOKUP(练度预期!H111,梦灵养成!$D$10:$D$28,梦灵养成!$H$10:$H$28),MATCH(OFFSET(梦灵养成!$C$33,B111,MATCH(练度预期!H111,梦灵养成!$D$33:$V$33,0)),梦灵养成!$L$20:$R$20,1))*(1+(OFFSET(梦灵养成!$C$33,B111,MATCH(练度预期!H111,梦灵养成!$D$33:$V$33,0))-1)*_xlfn.XLOOKUP(练度预期!H111,梦灵养成!$D$9:$D$28,梦灵养成!$G$9:$G$28))</f>
        <v>18.7605</v>
      </c>
      <c r="H111" s="46">
        <f ca="1">符文养成!AC112</f>
        <v>15.5586038657822</v>
      </c>
      <c r="I111" s="46">
        <f>MAX(_xlfn.XLOOKUP(练度预期!O111,秘宝养成!$B$3:$B$15,秘宝养成!$E$3:$E$15),1)</f>
        <v>2.7915904</v>
      </c>
      <c r="J111" s="104">
        <f ca="1" t="shared" si="24"/>
        <v>11482296.3490613</v>
      </c>
      <c r="K111" s="104">
        <f ca="1">MATCH(J111,关卡预期!$E$4:$E$303,1)</f>
        <v>151</v>
      </c>
      <c r="L111" s="48">
        <f ca="1" t="shared" si="25"/>
        <v>0.721502590673575</v>
      </c>
      <c r="M111" s="48">
        <f ca="1" t="shared" si="26"/>
        <v>0.213730569948187</v>
      </c>
      <c r="N111" s="48">
        <f ca="1" t="shared" si="27"/>
        <v>0.0647668393782382</v>
      </c>
      <c r="O111" s="48">
        <f ca="1" t="shared" si="28"/>
        <v>0.0588910182843712</v>
      </c>
      <c r="P111" s="48">
        <f ca="1" t="shared" si="29"/>
        <v>0.411622906955111</v>
      </c>
      <c r="Q111" s="48">
        <f ca="1" t="shared" si="30"/>
        <v>0.385348177934371</v>
      </c>
      <c r="R111" s="48">
        <f ca="1" t="shared" si="31"/>
        <v>0.144137896826147</v>
      </c>
      <c r="S111" s="46">
        <f ca="1" t="shared" si="32"/>
        <v>0.721502590673575</v>
      </c>
      <c r="T111" s="46">
        <f ca="1" t="shared" si="33"/>
        <v>0.213730569948187</v>
      </c>
      <c r="U111" s="46">
        <f ca="1" t="shared" si="34"/>
        <v>0.0647668393782381</v>
      </c>
      <c r="V111" s="48">
        <f ca="1" t="shared" si="35"/>
        <v>0.419446905628583</v>
      </c>
      <c r="W111" s="48">
        <f ca="1" t="shared" si="36"/>
        <v>2.93175359567493</v>
      </c>
      <c r="X111" s="48">
        <f ca="1" t="shared" si="37"/>
        <v>2.74461378887517</v>
      </c>
      <c r="Y111" s="48">
        <f t="shared" si="38"/>
        <v>1.02661146926685</v>
      </c>
      <c r="Z111" s="105">
        <f ca="1" t="shared" si="39"/>
        <v>0.0588910182843712</v>
      </c>
      <c r="AA111" s="105">
        <f ca="1" t="shared" si="40"/>
        <v>0.411622906955111</v>
      </c>
      <c r="AB111" s="105">
        <f ca="1" t="shared" si="41"/>
        <v>0.385348177934371</v>
      </c>
      <c r="AC111" s="105">
        <f ca="1" t="shared" si="42"/>
        <v>0.144137896826147</v>
      </c>
      <c r="AD111" s="105">
        <f ca="1" t="shared" si="43"/>
        <v>0.721502590673575</v>
      </c>
      <c r="AE111" s="105">
        <f ca="1" t="shared" si="44"/>
        <v>0.213730569948187</v>
      </c>
      <c r="AF111" s="105">
        <f ca="1" t="shared" si="45"/>
        <v>0.0647668393782383</v>
      </c>
    </row>
    <row r="112" ht="16.5" spans="1:32">
      <c r="A112">
        <f ca="1" t="shared" si="23"/>
        <v>9432</v>
      </c>
      <c r="B112" s="2">
        <v>110</v>
      </c>
      <c r="C112" s="2">
        <f>_xlfn.XLOOKUP(练度预期!D112,装备养成!$B$3:$B$303,装备养成!$D$3:$D$303)*6</f>
        <v>6852</v>
      </c>
      <c r="D112" s="2" cm="1">
        <f ca="1" t="array" ref="D112">_xlfn.XLOOKUP(练度预期!E112&amp;"_"&amp;INT(练度预期!C112/10)*10+10,装备养成!$N$4:$N$219&amp;"_"&amp;装备养成!$K$4:$K$219,装备养成!$P$4:$P$219)*练度预期!F112+_xlfn.XLOOKUP(练度预期!E112-1&amp;"_"&amp;INT(练度预期!C112/10)*10+10,装备养成!$N$4:$N$219&amp;"_"&amp;装备养成!$K$4:$K$219,装备养成!$P$4:$P$219)*(6-练度预期!F112)</f>
        <v>1980</v>
      </c>
      <c r="E112" s="2">
        <f ca="1">练度预期!N112*4*练度预期!M112</f>
        <v>600</v>
      </c>
      <c r="F112" s="103">
        <f ca="1">INT(练度预期!D112/10)*0.02+1+_xlfn.XLOOKUP(练度预期!E112,装备养成!$U$3:$U$11,装备养成!$V$3:$V$11)*练度预期!F112+_xlfn.XLOOKUP(练度预期!E112-1,装备养成!$U$3:$U$11,装备养成!$V$3:$V$11)*(6-练度预期!F112)</f>
        <v>1.52112</v>
      </c>
      <c r="G112" s="48">
        <f ca="1">OFFSET(梦灵养成!$K$20,_xlfn.XLOOKUP(练度预期!H112,梦灵养成!$D$10:$D$28,梦灵养成!$H$10:$H$28),MATCH(OFFSET(梦灵养成!$C$33,B112,MATCH(练度预期!H112,梦灵养成!$D$33:$V$33,0)),梦灵养成!$L$20:$R$20,1))*(1+(OFFSET(梦灵养成!$C$33,B112,MATCH(练度预期!H112,梦灵养成!$D$33:$V$33,0))-1)*_xlfn.XLOOKUP(练度预期!H112,梦灵养成!$D$9:$D$28,梦灵养成!$G$9:$G$28))</f>
        <v>29.019</v>
      </c>
      <c r="H112" s="46">
        <f ca="1">符文养成!AC113</f>
        <v>15.6977716170108</v>
      </c>
      <c r="I112" s="46">
        <f>MAX(_xlfn.XLOOKUP(练度预期!O112,秘宝养成!$B$3:$B$15,秘宝养成!$E$3:$E$15),1)</f>
        <v>2.7915904</v>
      </c>
      <c r="J112" s="104">
        <f ca="1" t="shared" si="24"/>
        <v>18244812.8836466</v>
      </c>
      <c r="K112" s="104">
        <f ca="1">MATCH(J112,关卡预期!$E$4:$E$303,1)</f>
        <v>159</v>
      </c>
      <c r="L112" s="48">
        <f ca="1" t="shared" si="25"/>
        <v>0.7264631043257</v>
      </c>
      <c r="M112" s="48">
        <f ca="1" t="shared" si="26"/>
        <v>0.209923664122137</v>
      </c>
      <c r="N112" s="48">
        <f ca="1" t="shared" si="27"/>
        <v>0.0636132315521629</v>
      </c>
      <c r="O112" s="48">
        <f ca="1" t="shared" si="28"/>
        <v>0.0554272028485843</v>
      </c>
      <c r="P112" s="48">
        <f ca="1" t="shared" si="29"/>
        <v>0.445052970943927</v>
      </c>
      <c r="Q112" s="48">
        <f ca="1" t="shared" si="30"/>
        <v>0.363859742916463</v>
      </c>
      <c r="R112" s="48">
        <f ca="1" t="shared" si="31"/>
        <v>0.135660083291026</v>
      </c>
      <c r="S112" s="46">
        <f ca="1" t="shared" si="32"/>
        <v>0.7264631043257</v>
      </c>
      <c r="T112" s="46">
        <f ca="1" t="shared" si="33"/>
        <v>0.209923664122137</v>
      </c>
      <c r="U112" s="46">
        <f ca="1" t="shared" si="34"/>
        <v>0.0636132315521629</v>
      </c>
      <c r="V112" s="48">
        <f ca="1" t="shared" si="35"/>
        <v>0.419446905628583</v>
      </c>
      <c r="W112" s="48">
        <f ca="1" t="shared" si="36"/>
        <v>3.36795078786852</v>
      </c>
      <c r="X112" s="48">
        <f ca="1" t="shared" si="37"/>
        <v>2.75351876705826</v>
      </c>
      <c r="Y112" s="48">
        <f t="shared" si="38"/>
        <v>1.02661146926685</v>
      </c>
      <c r="Z112" s="105">
        <f ca="1" t="shared" si="39"/>
        <v>0.0554272028485843</v>
      </c>
      <c r="AA112" s="105">
        <f ca="1" t="shared" si="40"/>
        <v>0.445052970943927</v>
      </c>
      <c r="AB112" s="105">
        <f ca="1" t="shared" si="41"/>
        <v>0.363859742916463</v>
      </c>
      <c r="AC112" s="105">
        <f ca="1" t="shared" si="42"/>
        <v>0.135660083291026</v>
      </c>
      <c r="AD112" s="105">
        <f ca="1" t="shared" si="43"/>
        <v>0.7264631043257</v>
      </c>
      <c r="AE112" s="105">
        <f ca="1" t="shared" si="44"/>
        <v>0.209923664122137</v>
      </c>
      <c r="AF112" s="105">
        <f ca="1" t="shared" si="45"/>
        <v>0.0636132315521628</v>
      </c>
    </row>
    <row r="113" ht="16.5" spans="1:32">
      <c r="A113">
        <f ca="1" t="shared" si="23"/>
        <v>9432</v>
      </c>
      <c r="B113" s="2">
        <v>111</v>
      </c>
      <c r="C113" s="2">
        <f>_xlfn.XLOOKUP(练度预期!D113,装备养成!$B$3:$B$303,装备养成!$D$3:$D$303)*6</f>
        <v>6852</v>
      </c>
      <c r="D113" s="2" cm="1">
        <f ca="1" t="array" ref="D113">_xlfn.XLOOKUP(练度预期!E113&amp;"_"&amp;INT(练度预期!C113/10)*10+10,装备养成!$N$4:$N$219&amp;"_"&amp;装备养成!$K$4:$K$219,装备养成!$P$4:$P$219)*练度预期!F113+_xlfn.XLOOKUP(练度预期!E113-1&amp;"_"&amp;INT(练度预期!C113/10)*10+10,装备养成!$N$4:$N$219&amp;"_"&amp;装备养成!$K$4:$K$219,装备养成!$P$4:$P$219)*(6-练度预期!F113)</f>
        <v>1980</v>
      </c>
      <c r="E113" s="2">
        <f ca="1">练度预期!N113*4*练度预期!M113</f>
        <v>600</v>
      </c>
      <c r="F113" s="103">
        <f ca="1">INT(练度预期!D113/10)*0.02+1+_xlfn.XLOOKUP(练度预期!E113,装备养成!$U$3:$U$11,装备养成!$V$3:$V$11)*练度预期!F113+_xlfn.XLOOKUP(练度预期!E113-1,装备养成!$U$3:$U$11,装备养成!$V$3:$V$11)*(6-练度预期!F113)</f>
        <v>1.52112</v>
      </c>
      <c r="G113" s="48">
        <f ca="1">OFFSET(梦灵养成!$K$20,_xlfn.XLOOKUP(练度预期!H113,梦灵养成!$D$10:$D$28,梦灵养成!$H$10:$H$28),MATCH(OFFSET(梦灵养成!$C$33,B113,MATCH(练度预期!H113,梦灵养成!$D$33:$V$33,0)),梦灵养成!$L$20:$R$20,1))*(1+(OFFSET(梦灵养成!$C$33,B113,MATCH(练度预期!H113,梦灵养成!$D$33:$V$33,0))-1)*_xlfn.XLOOKUP(练度预期!H113,梦灵养成!$D$9:$D$28,梦灵养成!$G$9:$G$28))</f>
        <v>29.019</v>
      </c>
      <c r="H113" s="46">
        <f ca="1">符文养成!AC114</f>
        <v>15.8188849293987</v>
      </c>
      <c r="I113" s="46">
        <f>MAX(_xlfn.XLOOKUP(练度预期!O113,秘宝养成!$B$3:$B$15,秘宝养成!$E$3:$E$15),1)</f>
        <v>2.7915904</v>
      </c>
      <c r="J113" s="104">
        <f ca="1" t="shared" si="24"/>
        <v>18385577.4313893</v>
      </c>
      <c r="K113" s="104">
        <f ca="1">MATCH(J113,关卡预期!$E$4:$E$303,1)</f>
        <v>159</v>
      </c>
      <c r="L113" s="48">
        <f ca="1" t="shared" si="25"/>
        <v>0.7264631043257</v>
      </c>
      <c r="M113" s="48">
        <f ca="1" t="shared" si="26"/>
        <v>0.209923664122138</v>
      </c>
      <c r="N113" s="48">
        <f ca="1" t="shared" si="27"/>
        <v>0.0636132315521629</v>
      </c>
      <c r="O113" s="48">
        <f ca="1" t="shared" si="28"/>
        <v>0.0553709671682685</v>
      </c>
      <c r="P113" s="48">
        <f ca="1" t="shared" si="29"/>
        <v>0.444601426299577</v>
      </c>
      <c r="Q113" s="48">
        <f ca="1" t="shared" si="30"/>
        <v>0.364505162102256</v>
      </c>
      <c r="R113" s="48">
        <f ca="1" t="shared" si="31"/>
        <v>0.135522444429899</v>
      </c>
      <c r="S113" s="46">
        <f ca="1" t="shared" si="32"/>
        <v>0.7264631043257</v>
      </c>
      <c r="T113" s="46">
        <f ca="1" t="shared" si="33"/>
        <v>0.209923664122138</v>
      </c>
      <c r="U113" s="46">
        <f ca="1" t="shared" si="34"/>
        <v>0.0636132315521629</v>
      </c>
      <c r="V113" s="48">
        <f ca="1" t="shared" si="35"/>
        <v>0.419446905628583</v>
      </c>
      <c r="W113" s="48">
        <f ca="1" t="shared" si="36"/>
        <v>3.36795078786852</v>
      </c>
      <c r="X113" s="48">
        <f ca="1" t="shared" si="37"/>
        <v>2.76120447498799</v>
      </c>
      <c r="Y113" s="48">
        <f t="shared" si="38"/>
        <v>1.02661146926685</v>
      </c>
      <c r="Z113" s="105">
        <f ca="1" t="shared" si="39"/>
        <v>0.0553709671682685</v>
      </c>
      <c r="AA113" s="105">
        <f ca="1" t="shared" si="40"/>
        <v>0.444601426299577</v>
      </c>
      <c r="AB113" s="105">
        <f ca="1" t="shared" si="41"/>
        <v>0.364505162102256</v>
      </c>
      <c r="AC113" s="105">
        <f ca="1" t="shared" si="42"/>
        <v>0.135522444429899</v>
      </c>
      <c r="AD113" s="105">
        <f ca="1" t="shared" si="43"/>
        <v>0.7264631043257</v>
      </c>
      <c r="AE113" s="105">
        <f ca="1" t="shared" si="44"/>
        <v>0.209923664122137</v>
      </c>
      <c r="AF113" s="105">
        <f ca="1" t="shared" si="45"/>
        <v>0.0636132315521628</v>
      </c>
    </row>
    <row r="114" ht="16.5" spans="1:32">
      <c r="A114">
        <f ca="1" t="shared" si="23"/>
        <v>9624</v>
      </c>
      <c r="B114" s="2">
        <v>112</v>
      </c>
      <c r="C114" s="2">
        <f>_xlfn.XLOOKUP(练度预期!D114,装备养成!$B$3:$B$303,装备养成!$D$3:$D$303)*6</f>
        <v>7044</v>
      </c>
      <c r="D114" s="2" cm="1">
        <f ca="1" t="array" ref="D114">_xlfn.XLOOKUP(练度预期!E114&amp;"_"&amp;INT(练度预期!C114/10)*10+10,装备养成!$N$4:$N$219&amp;"_"&amp;装备养成!$K$4:$K$219,装备养成!$P$4:$P$219)*练度预期!F114+_xlfn.XLOOKUP(练度预期!E114-1&amp;"_"&amp;INT(练度预期!C114/10)*10+10,装备养成!$N$4:$N$219&amp;"_"&amp;装备养成!$K$4:$K$219,装备养成!$P$4:$P$219)*(6-练度预期!F114)</f>
        <v>1980</v>
      </c>
      <c r="E114" s="2">
        <f ca="1">练度预期!N114*4*练度预期!M114</f>
        <v>600</v>
      </c>
      <c r="F114" s="103">
        <f ca="1">INT(练度预期!D114/10)*0.02+1+_xlfn.XLOOKUP(练度预期!E114,装备养成!$U$3:$U$11,装备养成!$V$3:$V$11)*练度预期!F114+_xlfn.XLOOKUP(练度预期!E114-1,装备养成!$U$3:$U$11,装备养成!$V$3:$V$11)*(6-练度预期!F114)</f>
        <v>1.52112</v>
      </c>
      <c r="G114" s="48">
        <f ca="1">OFFSET(梦灵养成!$K$20,_xlfn.XLOOKUP(练度预期!H114,梦灵养成!$D$10:$D$28,梦灵养成!$H$10:$H$28),MATCH(OFFSET(梦灵养成!$C$33,B114,MATCH(练度预期!H114,梦灵养成!$D$33:$V$33,0)),梦灵养成!$L$20:$R$20,1))*(1+(OFFSET(梦灵养成!$C$33,B114,MATCH(练度预期!H114,梦灵养成!$D$33:$V$33,0))-1)*_xlfn.XLOOKUP(练度预期!H114,梦灵养成!$D$9:$D$28,梦灵养成!$G$9:$G$28))</f>
        <v>29.019</v>
      </c>
      <c r="H114" s="46">
        <f ca="1">符文养成!AC115</f>
        <v>15.9624381681137</v>
      </c>
      <c r="I114" s="46">
        <f>MAX(_xlfn.XLOOKUP(练度预期!O114,秘宝养成!$B$3:$B$15,秘宝养成!$E$3:$E$15),1)</f>
        <v>2.7915904</v>
      </c>
      <c r="J114" s="104">
        <f ca="1" t="shared" si="24"/>
        <v>18930080.358258</v>
      </c>
      <c r="K114" s="104">
        <f ca="1">MATCH(J114,关卡预期!$E$4:$E$303,1)</f>
        <v>160</v>
      </c>
      <c r="L114" s="48">
        <f ca="1" t="shared" si="25"/>
        <v>0.731920199501247</v>
      </c>
      <c r="M114" s="48">
        <f ca="1" t="shared" si="26"/>
        <v>0.20573566084788</v>
      </c>
      <c r="N114" s="48">
        <f ca="1" t="shared" si="27"/>
        <v>0.0623441396508729</v>
      </c>
      <c r="O114" s="48">
        <f ca="1" t="shared" si="28"/>
        <v>0.0553050127973109</v>
      </c>
      <c r="P114" s="48">
        <f ca="1" t="shared" si="29"/>
        <v>0.444071845385641</v>
      </c>
      <c r="Q114" s="48">
        <f ca="1" t="shared" si="30"/>
        <v>0.365262123095063</v>
      </c>
      <c r="R114" s="48">
        <f ca="1" t="shared" si="31"/>
        <v>0.135361018721985</v>
      </c>
      <c r="S114" s="46">
        <f ca="1" t="shared" si="32"/>
        <v>0.731920199501247</v>
      </c>
      <c r="T114" s="46">
        <f ca="1" t="shared" si="33"/>
        <v>0.20573566084788</v>
      </c>
      <c r="U114" s="46">
        <f ca="1" t="shared" si="34"/>
        <v>0.0623441396508729</v>
      </c>
      <c r="V114" s="48">
        <f ca="1" t="shared" si="35"/>
        <v>0.419446905628583</v>
      </c>
      <c r="W114" s="48">
        <f ca="1" t="shared" si="36"/>
        <v>3.36795078786852</v>
      </c>
      <c r="X114" s="48">
        <f ca="1" t="shared" si="37"/>
        <v>2.77023834777958</v>
      </c>
      <c r="Y114" s="48">
        <f t="shared" si="38"/>
        <v>1.02661146926685</v>
      </c>
      <c r="Z114" s="105">
        <f ca="1" t="shared" si="39"/>
        <v>0.0553050127973109</v>
      </c>
      <c r="AA114" s="105">
        <f ca="1" t="shared" si="40"/>
        <v>0.444071845385641</v>
      </c>
      <c r="AB114" s="105">
        <f ca="1" t="shared" si="41"/>
        <v>0.365262123095063</v>
      </c>
      <c r="AC114" s="105">
        <f ca="1" t="shared" si="42"/>
        <v>0.135361018721985</v>
      </c>
      <c r="AD114" s="105">
        <f ca="1" t="shared" si="43"/>
        <v>0.731920199501247</v>
      </c>
      <c r="AE114" s="105">
        <f ca="1" t="shared" si="44"/>
        <v>0.20573566084788</v>
      </c>
      <c r="AF114" s="105">
        <f ca="1" t="shared" si="45"/>
        <v>0.0623441396508728</v>
      </c>
    </row>
    <row r="115" ht="16.5" spans="1:32">
      <c r="A115">
        <f ca="1" t="shared" si="23"/>
        <v>9624</v>
      </c>
      <c r="B115" s="2">
        <v>113</v>
      </c>
      <c r="C115" s="2">
        <f>_xlfn.XLOOKUP(练度预期!D115,装备养成!$B$3:$B$303,装备养成!$D$3:$D$303)*6</f>
        <v>7044</v>
      </c>
      <c r="D115" s="2" cm="1">
        <f ca="1" t="array" ref="D115">_xlfn.XLOOKUP(练度预期!E115&amp;"_"&amp;INT(练度预期!C115/10)*10+10,装备养成!$N$4:$N$219&amp;"_"&amp;装备养成!$K$4:$K$219,装备养成!$P$4:$P$219)*练度预期!F115+_xlfn.XLOOKUP(练度预期!E115-1&amp;"_"&amp;INT(练度预期!C115/10)*10+10,装备养成!$N$4:$N$219&amp;"_"&amp;装备养成!$K$4:$K$219,装备养成!$P$4:$P$219)*(6-练度预期!F115)</f>
        <v>1980</v>
      </c>
      <c r="E115" s="2">
        <f ca="1">练度预期!N115*4*练度预期!M115</f>
        <v>600</v>
      </c>
      <c r="F115" s="103">
        <f ca="1">INT(练度预期!D115/10)*0.02+1+_xlfn.XLOOKUP(练度预期!E115,装备养成!$U$3:$U$11,装备养成!$V$3:$V$11)*练度预期!F115+_xlfn.XLOOKUP(练度预期!E115-1,装备养成!$U$3:$U$11,装备养成!$V$3:$V$11)*(6-练度预期!F115)</f>
        <v>1.52112</v>
      </c>
      <c r="G115" s="48">
        <f ca="1">OFFSET(梦灵养成!$K$20,_xlfn.XLOOKUP(练度预期!H115,梦灵养成!$D$10:$D$28,梦灵养成!$H$10:$H$28),MATCH(OFFSET(梦灵养成!$C$33,B115,MATCH(练度预期!H115,梦灵养成!$D$33:$V$33,0)),梦灵养成!$L$20:$R$20,1))*(1+(OFFSET(梦灵养成!$C$33,B115,MATCH(练度预期!H115,梦灵养成!$D$33:$V$33,0))-1)*_xlfn.XLOOKUP(练度预期!H115,梦灵养成!$D$9:$D$28,梦灵养成!$G$9:$G$28))</f>
        <v>29.019</v>
      </c>
      <c r="H115" s="46">
        <f ca="1">符文养成!AC116</f>
        <v>16.0826244744752</v>
      </c>
      <c r="I115" s="46">
        <f>MAX(_xlfn.XLOOKUP(练度预期!O115,秘宝养成!$B$3:$B$15,秘宝养成!$E$3:$E$15),1)</f>
        <v>2.7915904</v>
      </c>
      <c r="J115" s="104">
        <f ca="1" t="shared" si="24"/>
        <v>19072610.9925774</v>
      </c>
      <c r="K115" s="104">
        <f ca="1">MATCH(J115,关卡预期!$E$4:$E$303,1)</f>
        <v>160</v>
      </c>
      <c r="L115" s="48">
        <f ca="1" t="shared" si="25"/>
        <v>0.731920199501247</v>
      </c>
      <c r="M115" s="48">
        <f ca="1" t="shared" si="26"/>
        <v>0.20573566084788</v>
      </c>
      <c r="N115" s="48">
        <f ca="1" t="shared" si="27"/>
        <v>0.0623441396508728</v>
      </c>
      <c r="O115" s="48">
        <f ca="1" t="shared" si="28"/>
        <v>0.0552503680309931</v>
      </c>
      <c r="P115" s="48">
        <f ca="1" t="shared" si="29"/>
        <v>0.443633074992289</v>
      </c>
      <c r="Q115" s="48">
        <f ca="1" t="shared" si="30"/>
        <v>0.365889283296321</v>
      </c>
      <c r="R115" s="48">
        <f ca="1" t="shared" si="31"/>
        <v>0.135227273680397</v>
      </c>
      <c r="S115" s="46">
        <f ca="1" t="shared" si="32"/>
        <v>0.731920199501247</v>
      </c>
      <c r="T115" s="46">
        <f ca="1" t="shared" si="33"/>
        <v>0.20573566084788</v>
      </c>
      <c r="U115" s="46">
        <f ca="1" t="shared" si="34"/>
        <v>0.0623441396508728</v>
      </c>
      <c r="V115" s="48">
        <f ca="1" t="shared" si="35"/>
        <v>0.419446905628583</v>
      </c>
      <c r="W115" s="48">
        <f ca="1" t="shared" si="36"/>
        <v>3.36795078786852</v>
      </c>
      <c r="X115" s="48">
        <f ca="1" t="shared" si="37"/>
        <v>2.7777394640197</v>
      </c>
      <c r="Y115" s="48">
        <f t="shared" si="38"/>
        <v>1.02661146926685</v>
      </c>
      <c r="Z115" s="105">
        <f ca="1" t="shared" si="39"/>
        <v>0.0552503680309931</v>
      </c>
      <c r="AA115" s="105">
        <f ca="1" t="shared" si="40"/>
        <v>0.443633074992289</v>
      </c>
      <c r="AB115" s="105">
        <f ca="1" t="shared" si="41"/>
        <v>0.365889283296321</v>
      </c>
      <c r="AC115" s="105">
        <f ca="1" t="shared" si="42"/>
        <v>0.135227273680397</v>
      </c>
      <c r="AD115" s="105">
        <f ca="1" t="shared" si="43"/>
        <v>0.731920199501247</v>
      </c>
      <c r="AE115" s="105">
        <f ca="1" t="shared" si="44"/>
        <v>0.20573566084788</v>
      </c>
      <c r="AF115" s="105">
        <f ca="1" t="shared" si="45"/>
        <v>0.0623441396508728</v>
      </c>
    </row>
    <row r="116" ht="16.5" spans="1:32">
      <c r="A116">
        <f ca="1" t="shared" si="23"/>
        <v>9624</v>
      </c>
      <c r="B116" s="2">
        <v>114</v>
      </c>
      <c r="C116" s="2">
        <f>_xlfn.XLOOKUP(练度预期!D116,装备养成!$B$3:$B$303,装备养成!$D$3:$D$303)*6</f>
        <v>7044</v>
      </c>
      <c r="D116" s="2" cm="1">
        <f ca="1" t="array" ref="D116">_xlfn.XLOOKUP(练度预期!E116&amp;"_"&amp;INT(练度预期!C116/10)*10+10,装备养成!$N$4:$N$219&amp;"_"&amp;装备养成!$K$4:$K$219,装备养成!$P$4:$P$219)*练度预期!F116+_xlfn.XLOOKUP(练度预期!E116-1&amp;"_"&amp;INT(练度预期!C116/10)*10+10,装备养成!$N$4:$N$219&amp;"_"&amp;装备养成!$K$4:$K$219,装备养成!$P$4:$P$219)*(6-练度预期!F116)</f>
        <v>1980</v>
      </c>
      <c r="E116" s="2">
        <f ca="1">练度预期!N116*4*练度预期!M116</f>
        <v>600</v>
      </c>
      <c r="F116" s="103">
        <f ca="1">INT(练度预期!D116/10)*0.02+1+_xlfn.XLOOKUP(练度预期!E116,装备养成!$U$3:$U$11,装备养成!$V$3:$V$11)*练度预期!F116+_xlfn.XLOOKUP(练度预期!E116-1,装备养成!$U$3:$U$11,装备养成!$V$3:$V$11)*(6-练度预期!F116)</f>
        <v>1.52112</v>
      </c>
      <c r="G116" s="48">
        <f ca="1">OFFSET(梦灵养成!$K$20,_xlfn.XLOOKUP(练度预期!H116,梦灵养成!$D$10:$D$28,梦灵养成!$H$10:$H$28),MATCH(OFFSET(梦灵养成!$C$33,B116,MATCH(练度预期!H116,梦灵养成!$D$33:$V$33,0)),梦灵养成!$L$20:$R$20,1))*(1+(OFFSET(梦灵养成!$C$33,B116,MATCH(练度预期!H116,梦灵养成!$D$33:$V$33,0))-1)*_xlfn.XLOOKUP(练度预期!H116,梦灵养成!$D$9:$D$28,梦灵养成!$G$9:$G$28))</f>
        <v>29.019</v>
      </c>
      <c r="H116" s="46">
        <f ca="1">符文养成!AC117</f>
        <v>16.2568306152403</v>
      </c>
      <c r="I116" s="46">
        <f>MAX(_xlfn.XLOOKUP(练度预期!O116,秘宝养成!$B$3:$B$15,秘宝养成!$E$3:$E$15),1)</f>
        <v>2.7915904</v>
      </c>
      <c r="J116" s="104">
        <f ca="1" t="shared" si="24"/>
        <v>19279204.5097365</v>
      </c>
      <c r="K116" s="104">
        <f ca="1">MATCH(J116,关卡预期!$E$4:$E$303,1)</f>
        <v>160</v>
      </c>
      <c r="L116" s="48">
        <f ca="1" t="shared" si="25"/>
        <v>0.731920199501247</v>
      </c>
      <c r="M116" s="48">
        <f ca="1" t="shared" si="26"/>
        <v>0.20573566084788</v>
      </c>
      <c r="N116" s="48">
        <f ca="1" t="shared" si="27"/>
        <v>0.0623441396508726</v>
      </c>
      <c r="O116" s="48">
        <f ca="1" t="shared" si="28"/>
        <v>0.0551720715164682</v>
      </c>
      <c r="P116" s="48">
        <f ca="1" t="shared" si="29"/>
        <v>0.443004392781876</v>
      </c>
      <c r="Q116" s="48">
        <f ca="1" t="shared" si="30"/>
        <v>0.366787895571861</v>
      </c>
      <c r="R116" s="48">
        <f ca="1" t="shared" si="31"/>
        <v>0.135035640129794</v>
      </c>
      <c r="S116" s="46">
        <f ca="1" t="shared" si="32"/>
        <v>0.731920199501247</v>
      </c>
      <c r="T116" s="46">
        <f ca="1" t="shared" si="33"/>
        <v>0.20573566084788</v>
      </c>
      <c r="U116" s="46">
        <f ca="1" t="shared" si="34"/>
        <v>0.0623441396508726</v>
      </c>
      <c r="V116" s="48">
        <f ca="1" t="shared" si="35"/>
        <v>0.419446905628583</v>
      </c>
      <c r="W116" s="48">
        <f ca="1" t="shared" si="36"/>
        <v>3.36795078786852</v>
      </c>
      <c r="X116" s="48">
        <f ca="1" t="shared" si="37"/>
        <v>2.78851316600855</v>
      </c>
      <c r="Y116" s="48">
        <f t="shared" si="38"/>
        <v>1.02661146926685</v>
      </c>
      <c r="Z116" s="105">
        <f ca="1" t="shared" si="39"/>
        <v>0.0551720715164682</v>
      </c>
      <c r="AA116" s="105">
        <f ca="1" t="shared" si="40"/>
        <v>0.443004392781876</v>
      </c>
      <c r="AB116" s="105">
        <f ca="1" t="shared" si="41"/>
        <v>0.366787895571861</v>
      </c>
      <c r="AC116" s="105">
        <f ca="1" t="shared" si="42"/>
        <v>0.135035640129794</v>
      </c>
      <c r="AD116" s="105">
        <f ca="1" t="shared" si="43"/>
        <v>0.731920199501247</v>
      </c>
      <c r="AE116" s="105">
        <f ca="1" t="shared" si="44"/>
        <v>0.20573566084788</v>
      </c>
      <c r="AF116" s="105">
        <f ca="1" t="shared" si="45"/>
        <v>0.0623441396508728</v>
      </c>
    </row>
    <row r="117" ht="16.5" spans="1:32">
      <c r="A117">
        <f ca="1" t="shared" si="23"/>
        <v>9816</v>
      </c>
      <c r="B117" s="2">
        <v>115</v>
      </c>
      <c r="C117" s="2">
        <f>_xlfn.XLOOKUP(练度预期!D117,装备养成!$B$3:$B$303,装备养成!$D$3:$D$303)*6</f>
        <v>7236</v>
      </c>
      <c r="D117" s="2" cm="1">
        <f ca="1" t="array" ref="D117">_xlfn.XLOOKUP(练度预期!E117&amp;"_"&amp;INT(练度预期!C117/10)*10+10,装备养成!$N$4:$N$219&amp;"_"&amp;装备养成!$K$4:$K$219,装备养成!$P$4:$P$219)*练度预期!F117+_xlfn.XLOOKUP(练度预期!E117-1&amp;"_"&amp;INT(练度预期!C117/10)*10+10,装备养成!$N$4:$N$219&amp;"_"&amp;装备养成!$K$4:$K$219,装备养成!$P$4:$P$219)*(6-练度预期!F117)</f>
        <v>1980</v>
      </c>
      <c r="E117" s="2">
        <f ca="1">练度预期!N117*4*练度预期!M117</f>
        <v>600</v>
      </c>
      <c r="F117" s="103">
        <f ca="1">INT(练度预期!D117/10)*0.02+1+_xlfn.XLOOKUP(练度预期!E117,装备养成!$U$3:$U$11,装备养成!$V$3:$V$11)*练度预期!F117+_xlfn.XLOOKUP(练度预期!E117-1,装备养成!$U$3:$U$11,装备养成!$V$3:$V$11)*(6-练度预期!F117)</f>
        <v>1.52112</v>
      </c>
      <c r="G117" s="48">
        <f ca="1">OFFSET(梦灵养成!$K$20,_xlfn.XLOOKUP(练度预期!H117,梦灵养成!$D$10:$D$28,梦灵养成!$H$10:$H$28),MATCH(OFFSET(梦灵养成!$C$33,B117,MATCH(练度预期!H117,梦灵养成!$D$33:$V$33,0)),梦灵养成!$L$20:$R$20,1))*(1+(OFFSET(梦灵养成!$C$33,B117,MATCH(练度预期!H117,梦灵养成!$D$33:$V$33,0))-1)*_xlfn.XLOOKUP(练度预期!H117,梦灵养成!$D$9:$D$28,梦灵养成!$G$9:$G$28))</f>
        <v>29.019</v>
      </c>
      <c r="H117" s="46">
        <f ca="1">符文养成!AC118</f>
        <v>16.38644725263</v>
      </c>
      <c r="I117" s="46">
        <f>MAX(_xlfn.XLOOKUP(练度预期!O117,秘宝养成!$B$3:$B$15,秘宝养成!$E$3:$E$15),1)</f>
        <v>2.7915904</v>
      </c>
      <c r="J117" s="104">
        <f ca="1" t="shared" si="24"/>
        <v>19820607.8577618</v>
      </c>
      <c r="K117" s="104">
        <f ca="1">MATCH(J117,关卡预期!$E$4:$E$303,1)</f>
        <v>161</v>
      </c>
      <c r="L117" s="48">
        <f ca="1" t="shared" si="25"/>
        <v>0.737163814180929</v>
      </c>
      <c r="M117" s="48">
        <f ca="1" t="shared" si="26"/>
        <v>0.201711491442543</v>
      </c>
      <c r="N117" s="48">
        <f ca="1" t="shared" si="27"/>
        <v>0.0611246943765282</v>
      </c>
      <c r="O117" s="48">
        <f ca="1" t="shared" si="28"/>
        <v>0.0551145000311161</v>
      </c>
      <c r="P117" s="48">
        <f ca="1" t="shared" si="29"/>
        <v>0.442542122285067</v>
      </c>
      <c r="Q117" s="48">
        <f ca="1" t="shared" si="30"/>
        <v>0.367448645846281</v>
      </c>
      <c r="R117" s="48">
        <f ca="1" t="shared" si="31"/>
        <v>0.134894731837536</v>
      </c>
      <c r="S117" s="46">
        <f ca="1" t="shared" si="32"/>
        <v>0.737163814180929</v>
      </c>
      <c r="T117" s="46">
        <f ca="1" t="shared" si="33"/>
        <v>0.201711491442543</v>
      </c>
      <c r="U117" s="46">
        <f ca="1" t="shared" si="34"/>
        <v>0.0611246943765282</v>
      </c>
      <c r="V117" s="48">
        <f ca="1" t="shared" si="35"/>
        <v>0.419446905628583</v>
      </c>
      <c r="W117" s="48">
        <f ca="1" t="shared" si="36"/>
        <v>3.36795078786852</v>
      </c>
      <c r="X117" s="48">
        <f ca="1" t="shared" si="37"/>
        <v>2.7964546061494</v>
      </c>
      <c r="Y117" s="48">
        <f t="shared" si="38"/>
        <v>1.02661146926685</v>
      </c>
      <c r="Z117" s="105">
        <f ca="1" t="shared" si="39"/>
        <v>0.0551145000311161</v>
      </c>
      <c r="AA117" s="105">
        <f ca="1" t="shared" si="40"/>
        <v>0.442542122285067</v>
      </c>
      <c r="AB117" s="105">
        <f ca="1" t="shared" si="41"/>
        <v>0.367448645846281</v>
      </c>
      <c r="AC117" s="105">
        <f ca="1" t="shared" si="42"/>
        <v>0.134894731837536</v>
      </c>
      <c r="AD117" s="105">
        <f ca="1" t="shared" si="43"/>
        <v>0.737163814180929</v>
      </c>
      <c r="AE117" s="105">
        <f ca="1" t="shared" si="44"/>
        <v>0.201711491442543</v>
      </c>
      <c r="AF117" s="105">
        <f ca="1" t="shared" si="45"/>
        <v>0.0611246943765281</v>
      </c>
    </row>
    <row r="118" ht="16.5" spans="1:32">
      <c r="A118">
        <f ca="1" t="shared" si="23"/>
        <v>9816</v>
      </c>
      <c r="B118" s="2">
        <v>116</v>
      </c>
      <c r="C118" s="2">
        <f>_xlfn.XLOOKUP(练度预期!D118,装备养成!$B$3:$B$303,装备养成!$D$3:$D$303)*6</f>
        <v>7236</v>
      </c>
      <c r="D118" s="2" cm="1">
        <f ca="1" t="array" ref="D118">_xlfn.XLOOKUP(练度预期!E118&amp;"_"&amp;INT(练度预期!C118/10)*10+10,装备养成!$N$4:$N$219&amp;"_"&amp;装备养成!$K$4:$K$219,装备养成!$P$4:$P$219)*练度预期!F118+_xlfn.XLOOKUP(练度预期!E118-1&amp;"_"&amp;INT(练度预期!C118/10)*10+10,装备养成!$N$4:$N$219&amp;"_"&amp;装备养成!$K$4:$K$219,装备养成!$P$4:$P$219)*(6-练度预期!F118)</f>
        <v>1980</v>
      </c>
      <c r="E118" s="2">
        <f ca="1">练度预期!N118*4*练度预期!M118</f>
        <v>600</v>
      </c>
      <c r="F118" s="103">
        <f ca="1">INT(练度预期!D118/10)*0.02+1+_xlfn.XLOOKUP(练度预期!E118,装备养成!$U$3:$U$11,装备养成!$V$3:$V$11)*练度预期!F118+_xlfn.XLOOKUP(练度预期!E118-1,装备养成!$U$3:$U$11,装备养成!$V$3:$V$11)*(6-练度预期!F118)</f>
        <v>1.52112</v>
      </c>
      <c r="G118" s="48">
        <f ca="1">OFFSET(梦灵养成!$K$20,_xlfn.XLOOKUP(练度预期!H118,梦灵养成!$D$10:$D$28,梦灵养成!$H$10:$H$28),MATCH(OFFSET(梦灵养成!$C$33,B118,MATCH(练度预期!H118,梦灵养成!$D$33:$V$33,0)),梦灵养成!$L$20:$R$20,1))*(1+(OFFSET(梦灵养成!$C$33,B118,MATCH(练度预期!H118,梦灵养成!$D$33:$V$33,0))-1)*_xlfn.XLOOKUP(练度预期!H118,梦灵养成!$D$9:$D$28,梦灵养成!$G$9:$G$28))</f>
        <v>29.8725</v>
      </c>
      <c r="H118" s="46">
        <f ca="1">符文养成!AC119</f>
        <v>16.5117473734102</v>
      </c>
      <c r="I118" s="46">
        <f>MAX(_xlfn.XLOOKUP(练度预期!O118,秘宝养成!$B$3:$B$15,秘宝养成!$E$3:$E$15),1)</f>
        <v>2.7915904</v>
      </c>
      <c r="J118" s="104">
        <f ca="1" t="shared" si="24"/>
        <v>20559584.2210384</v>
      </c>
      <c r="K118" s="104">
        <f ca="1">MATCH(J118,关卡预期!$E$4:$E$303,1)</f>
        <v>161</v>
      </c>
      <c r="L118" s="48">
        <f ca="1" t="shared" si="25"/>
        <v>0.737163814180929</v>
      </c>
      <c r="M118" s="48">
        <f ca="1" t="shared" si="26"/>
        <v>0.201711491442543</v>
      </c>
      <c r="N118" s="48">
        <f ca="1" t="shared" si="27"/>
        <v>0.061124694376528</v>
      </c>
      <c r="O118" s="48">
        <f ca="1" t="shared" si="28"/>
        <v>0.0548506777156973</v>
      </c>
      <c r="P118" s="48">
        <f ca="1" t="shared" si="29"/>
        <v>0.444214432792837</v>
      </c>
      <c r="Q118" s="48">
        <f ca="1" t="shared" si="30"/>
        <v>0.366685872311072</v>
      </c>
      <c r="R118" s="48">
        <f ca="1" t="shared" si="31"/>
        <v>0.134249017180393</v>
      </c>
      <c r="S118" s="46">
        <f ca="1" t="shared" si="32"/>
        <v>0.737163814180929</v>
      </c>
      <c r="T118" s="46">
        <f ca="1" t="shared" si="33"/>
        <v>0.201711491442543</v>
      </c>
      <c r="U118" s="46">
        <f ca="1" t="shared" si="34"/>
        <v>0.061124694376528</v>
      </c>
      <c r="V118" s="48">
        <f ca="1" t="shared" si="35"/>
        <v>0.419446905628583</v>
      </c>
      <c r="W118" s="48">
        <f ca="1" t="shared" si="36"/>
        <v>3.39693832474177</v>
      </c>
      <c r="X118" s="48">
        <f ca="1" t="shared" si="37"/>
        <v>2.80407208960666</v>
      </c>
      <c r="Y118" s="48">
        <f t="shared" si="38"/>
        <v>1.02661146926685</v>
      </c>
      <c r="Z118" s="105">
        <f ca="1" t="shared" si="39"/>
        <v>0.0548506777156973</v>
      </c>
      <c r="AA118" s="105">
        <f ca="1" t="shared" si="40"/>
        <v>0.444214432792837</v>
      </c>
      <c r="AB118" s="105">
        <f ca="1" t="shared" si="41"/>
        <v>0.366685872311072</v>
      </c>
      <c r="AC118" s="105">
        <f ca="1" t="shared" si="42"/>
        <v>0.134249017180393</v>
      </c>
      <c r="AD118" s="105">
        <f ca="1" t="shared" si="43"/>
        <v>0.737163814180929</v>
      </c>
      <c r="AE118" s="105">
        <f ca="1" t="shared" si="44"/>
        <v>0.201711491442543</v>
      </c>
      <c r="AF118" s="105">
        <f ca="1" t="shared" si="45"/>
        <v>0.0611246943765281</v>
      </c>
    </row>
    <row r="119" ht="16.5" spans="1:32">
      <c r="A119">
        <f ca="1" t="shared" si="23"/>
        <v>9816</v>
      </c>
      <c r="B119" s="2">
        <v>117</v>
      </c>
      <c r="C119" s="2">
        <f>_xlfn.XLOOKUP(练度预期!D119,装备养成!$B$3:$B$303,装备养成!$D$3:$D$303)*6</f>
        <v>7236</v>
      </c>
      <c r="D119" s="2" cm="1">
        <f ca="1" t="array" ref="D119">_xlfn.XLOOKUP(练度预期!E119&amp;"_"&amp;INT(练度预期!C119/10)*10+10,装备养成!$N$4:$N$219&amp;"_"&amp;装备养成!$K$4:$K$219,装备养成!$P$4:$P$219)*练度预期!F119+_xlfn.XLOOKUP(练度预期!E119-1&amp;"_"&amp;INT(练度预期!C119/10)*10+10,装备养成!$N$4:$N$219&amp;"_"&amp;装备养成!$K$4:$K$219,装备养成!$P$4:$P$219)*(6-练度预期!F119)</f>
        <v>1980</v>
      </c>
      <c r="E119" s="2">
        <f ca="1">练度预期!N119*4*练度预期!M119</f>
        <v>600</v>
      </c>
      <c r="F119" s="103">
        <f ca="1">INT(练度预期!D119/10)*0.02+1+_xlfn.XLOOKUP(练度预期!E119,装备养成!$U$3:$U$11,装备养成!$V$3:$V$11)*练度预期!F119+_xlfn.XLOOKUP(练度预期!E119-1,装备养成!$U$3:$U$11,装备养成!$V$3:$V$11)*(6-练度预期!F119)</f>
        <v>1.52112</v>
      </c>
      <c r="G119" s="48">
        <f ca="1">OFFSET(梦灵养成!$K$20,_xlfn.XLOOKUP(练度预期!H119,梦灵养成!$D$10:$D$28,梦灵养成!$H$10:$H$28),MATCH(OFFSET(梦灵养成!$C$33,B119,MATCH(练度预期!H119,梦灵养成!$D$33:$V$33,0)),梦灵养成!$L$20:$R$20,1))*(1+(OFFSET(梦灵养成!$C$33,B119,MATCH(练度预期!H119,梦灵养成!$D$33:$V$33,0))-1)*_xlfn.XLOOKUP(练度预期!H119,梦灵养成!$D$9:$D$28,梦灵养成!$G$9:$G$28))</f>
        <v>29.8725</v>
      </c>
      <c r="H119" s="46">
        <f ca="1">符文养成!AC120</f>
        <v>16.6576202741699</v>
      </c>
      <c r="I119" s="46">
        <f>MAX(_xlfn.XLOOKUP(练度预期!O119,秘宝养成!$B$3:$B$15,秘宝养成!$E$3:$E$15),1)</f>
        <v>2.7915904</v>
      </c>
      <c r="J119" s="104">
        <f ca="1" t="shared" si="24"/>
        <v>20741217.7042134</v>
      </c>
      <c r="K119" s="104">
        <f ca="1">MATCH(J119,关卡预期!$E$4:$E$303,1)</f>
        <v>161</v>
      </c>
      <c r="L119" s="48">
        <f ca="1" t="shared" si="25"/>
        <v>0.737163814180929</v>
      </c>
      <c r="M119" s="48">
        <f ca="1" t="shared" si="26"/>
        <v>0.201711491442543</v>
      </c>
      <c r="N119" s="48">
        <f ca="1" t="shared" si="27"/>
        <v>0.0611246943765281</v>
      </c>
      <c r="O119" s="48">
        <f ca="1" t="shared" si="28"/>
        <v>0.0547876606781259</v>
      </c>
      <c r="P119" s="48">
        <f ca="1" t="shared" si="29"/>
        <v>0.4437040821688</v>
      </c>
      <c r="Q119" s="48">
        <f ca="1" t="shared" si="30"/>
        <v>0.367413476450915</v>
      </c>
      <c r="R119" s="48">
        <f ca="1" t="shared" si="31"/>
        <v>0.13409478070216</v>
      </c>
      <c r="S119" s="46">
        <f ca="1" t="shared" si="32"/>
        <v>0.737163814180929</v>
      </c>
      <c r="T119" s="46">
        <f ca="1" t="shared" si="33"/>
        <v>0.201711491442543</v>
      </c>
      <c r="U119" s="46">
        <f ca="1" t="shared" si="34"/>
        <v>0.0611246943765281</v>
      </c>
      <c r="V119" s="48">
        <f ca="1" t="shared" si="35"/>
        <v>0.419446905628583</v>
      </c>
      <c r="W119" s="48">
        <f ca="1" t="shared" si="36"/>
        <v>3.39693832474177</v>
      </c>
      <c r="X119" s="48">
        <f ca="1" t="shared" si="37"/>
        <v>2.81286778584991</v>
      </c>
      <c r="Y119" s="48">
        <f t="shared" si="38"/>
        <v>1.02661146926685</v>
      </c>
      <c r="Z119" s="105">
        <f ca="1" t="shared" si="39"/>
        <v>0.0547876606781259</v>
      </c>
      <c r="AA119" s="105">
        <f ca="1" t="shared" si="40"/>
        <v>0.4437040821688</v>
      </c>
      <c r="AB119" s="105">
        <f ca="1" t="shared" si="41"/>
        <v>0.367413476450915</v>
      </c>
      <c r="AC119" s="105">
        <f ca="1" t="shared" si="42"/>
        <v>0.13409478070216</v>
      </c>
      <c r="AD119" s="105">
        <f ca="1" t="shared" si="43"/>
        <v>0.737163814180929</v>
      </c>
      <c r="AE119" s="105">
        <f ca="1" t="shared" si="44"/>
        <v>0.201711491442543</v>
      </c>
      <c r="AF119" s="105">
        <f ca="1" t="shared" si="45"/>
        <v>0.0611246943765281</v>
      </c>
    </row>
    <row r="120" ht="16.5" spans="1:32">
      <c r="A120">
        <f ca="1" t="shared" si="23"/>
        <v>10075</v>
      </c>
      <c r="B120" s="2">
        <v>118</v>
      </c>
      <c r="C120" s="2">
        <f>_xlfn.XLOOKUP(练度预期!D120,装备养成!$B$3:$B$303,装备养成!$D$3:$D$303)*6</f>
        <v>7428</v>
      </c>
      <c r="D120" s="2" cm="1">
        <f ca="1" t="array" ref="D120">_xlfn.XLOOKUP(练度预期!E120&amp;"_"&amp;INT(练度预期!C120/10)*10+10,装备养成!$N$4:$N$219&amp;"_"&amp;装备养成!$K$4:$K$219,装备养成!$P$4:$P$219)*练度预期!F120+_xlfn.XLOOKUP(练度预期!E120-1&amp;"_"&amp;INT(练度预期!C120/10)*10+10,装备养成!$N$4:$N$219&amp;"_"&amp;装备养成!$K$4:$K$219,装备养成!$P$4:$P$219)*(6-练度预期!F120)</f>
        <v>2047</v>
      </c>
      <c r="E120" s="2">
        <f ca="1">练度预期!N120*4*练度预期!M120</f>
        <v>600</v>
      </c>
      <c r="F120" s="103">
        <f ca="1">INT(练度预期!D120/10)*0.02+1+_xlfn.XLOOKUP(练度预期!E120,装备养成!$U$3:$U$11,装备养成!$V$3:$V$11)*练度预期!F120+_xlfn.XLOOKUP(练度预期!E120-1,装备养成!$U$3:$U$11,装备养成!$V$3:$V$11)*(6-练度预期!F120)</f>
        <v>1.53008</v>
      </c>
      <c r="G120" s="48">
        <f ca="1">OFFSET(梦灵养成!$K$20,_xlfn.XLOOKUP(练度预期!H120,梦灵养成!$D$10:$D$28,梦灵养成!$H$10:$H$28),MATCH(OFFSET(梦灵养成!$C$33,B120,MATCH(练度预期!H120,梦灵养成!$D$33:$V$33,0)),梦灵养成!$L$20:$R$20,1))*(1+(OFFSET(梦灵养成!$C$33,B120,MATCH(练度预期!H120,梦灵养成!$D$33:$V$33,0))-1)*_xlfn.XLOOKUP(练度预期!H120,梦灵养成!$D$9:$D$28,梦灵养成!$G$9:$G$28))</f>
        <v>29.8725</v>
      </c>
      <c r="H120" s="46">
        <f ca="1">符文养成!AC121</f>
        <v>16.7819066909156</v>
      </c>
      <c r="I120" s="46">
        <f>MAX(_xlfn.XLOOKUP(练度预期!O120,秘宝养成!$B$3:$B$15,秘宝养成!$E$3:$E$15),1)</f>
        <v>2.7915904</v>
      </c>
      <c r="J120" s="104">
        <f ca="1" t="shared" si="24"/>
        <v>21573656.5853878</v>
      </c>
      <c r="K120" s="104">
        <f ca="1">MATCH(J120,关卡预期!$E$4:$E$303,1)</f>
        <v>162</v>
      </c>
      <c r="L120" s="48">
        <f ca="1" t="shared" si="25"/>
        <v>0.73727047146402</v>
      </c>
      <c r="M120" s="48">
        <f ca="1" t="shared" si="26"/>
        <v>0.20317617866005</v>
      </c>
      <c r="N120" s="48">
        <f ca="1" t="shared" si="27"/>
        <v>0.0595533498759305</v>
      </c>
      <c r="O120" s="48">
        <f ca="1" t="shared" si="28"/>
        <v>0.0554584079440776</v>
      </c>
      <c r="P120" s="48">
        <f ca="1" t="shared" si="29"/>
        <v>0.442934218467421</v>
      </c>
      <c r="Q120" s="48">
        <f ca="1" t="shared" si="30"/>
        <v>0.367745258548785</v>
      </c>
      <c r="R120" s="48">
        <f ca="1" t="shared" si="31"/>
        <v>0.133862115039716</v>
      </c>
      <c r="S120" s="46">
        <f ca="1" t="shared" si="32"/>
        <v>0.73727047146402</v>
      </c>
      <c r="T120" s="46">
        <f ca="1" t="shared" si="33"/>
        <v>0.20317617866005</v>
      </c>
      <c r="U120" s="46">
        <f ca="1" t="shared" si="34"/>
        <v>0.0595533498759305</v>
      </c>
      <c r="V120" s="48">
        <f ca="1" t="shared" si="35"/>
        <v>0.425320021619096</v>
      </c>
      <c r="W120" s="48">
        <f ca="1" t="shared" si="36"/>
        <v>3.39693832474177</v>
      </c>
      <c r="X120" s="48">
        <f ca="1" t="shared" si="37"/>
        <v>2.82030132336304</v>
      </c>
      <c r="Y120" s="48">
        <f t="shared" si="38"/>
        <v>1.02661146926685</v>
      </c>
      <c r="Z120" s="105">
        <f ca="1" t="shared" si="39"/>
        <v>0.0554584079440776</v>
      </c>
      <c r="AA120" s="105">
        <f ca="1" t="shared" si="40"/>
        <v>0.442934218467421</v>
      </c>
      <c r="AB120" s="105">
        <f ca="1" t="shared" si="41"/>
        <v>0.367745258548785</v>
      </c>
      <c r="AC120" s="105">
        <f ca="1" t="shared" si="42"/>
        <v>0.133862115039716</v>
      </c>
      <c r="AD120" s="105">
        <f ca="1" t="shared" si="43"/>
        <v>0.73727047146402</v>
      </c>
      <c r="AE120" s="105">
        <f ca="1" t="shared" si="44"/>
        <v>0.20317617866005</v>
      </c>
      <c r="AF120" s="105">
        <f ca="1" t="shared" si="45"/>
        <v>0.0595533498759305</v>
      </c>
    </row>
    <row r="121" ht="16.5" spans="1:32">
      <c r="A121">
        <f ca="1" t="shared" si="23"/>
        <v>10075</v>
      </c>
      <c r="B121" s="2">
        <v>119</v>
      </c>
      <c r="C121" s="2">
        <f>_xlfn.XLOOKUP(练度预期!D121,装备养成!$B$3:$B$303,装备养成!$D$3:$D$303)*6</f>
        <v>7428</v>
      </c>
      <c r="D121" s="2" cm="1">
        <f ca="1" t="array" ref="D121">_xlfn.XLOOKUP(练度预期!E121&amp;"_"&amp;INT(练度预期!C121/10)*10+10,装备养成!$N$4:$N$219&amp;"_"&amp;装备养成!$K$4:$K$219,装备养成!$P$4:$P$219)*练度预期!F121+_xlfn.XLOOKUP(练度预期!E121-1&amp;"_"&amp;INT(练度预期!C121/10)*10+10,装备养成!$N$4:$N$219&amp;"_"&amp;装备养成!$K$4:$K$219,装备养成!$P$4:$P$219)*(6-练度预期!F121)</f>
        <v>2047</v>
      </c>
      <c r="E121" s="2">
        <f ca="1">练度预期!N121*4*练度预期!M121</f>
        <v>600</v>
      </c>
      <c r="F121" s="103">
        <f ca="1">INT(练度预期!D121/10)*0.02+1+_xlfn.XLOOKUP(练度预期!E121,装备养成!$U$3:$U$11,装备养成!$V$3:$V$11)*练度预期!F121+_xlfn.XLOOKUP(练度预期!E121-1,装备养成!$U$3:$U$11,装备养成!$V$3:$V$11)*(6-练度预期!F121)</f>
        <v>1.53008</v>
      </c>
      <c r="G121" s="48">
        <f ca="1">OFFSET(梦灵养成!$K$20,_xlfn.XLOOKUP(练度预期!H121,梦灵养成!$D$10:$D$28,梦灵养成!$H$10:$H$28),MATCH(OFFSET(梦灵养成!$C$33,B121,MATCH(练度预期!H121,梦灵养成!$D$33:$V$33,0)),梦灵养成!$L$20:$R$20,1))*(1+(OFFSET(梦灵养成!$C$33,B121,MATCH(练度预期!H121,梦灵养成!$D$33:$V$33,0))-1)*_xlfn.XLOOKUP(练度预期!H121,梦灵养成!$D$9:$D$28,梦灵养成!$G$9:$G$28))</f>
        <v>29.8725</v>
      </c>
      <c r="H121" s="46">
        <f ca="1">符文养成!AC122</f>
        <v>16.93229198165</v>
      </c>
      <c r="I121" s="46">
        <f>MAX(_xlfn.XLOOKUP(练度预期!O121,秘宝养成!$B$3:$B$15,秘宝养成!$E$3:$E$15),1)</f>
        <v>2.7915904</v>
      </c>
      <c r="J121" s="104">
        <f ca="1" t="shared" si="24"/>
        <v>21766981.4964096</v>
      </c>
      <c r="K121" s="104">
        <f ca="1">MATCH(J121,关卡预期!$E$4:$E$303,1)</f>
        <v>162</v>
      </c>
      <c r="L121" s="48">
        <f ca="1" t="shared" si="25"/>
        <v>0.73727047146402</v>
      </c>
      <c r="M121" s="48">
        <f ca="1" t="shared" si="26"/>
        <v>0.20317617866005</v>
      </c>
      <c r="N121" s="48">
        <f ca="1" t="shared" si="27"/>
        <v>0.0595533498759306</v>
      </c>
      <c r="O121" s="48">
        <f ca="1" t="shared" si="28"/>
        <v>0.055393970328898</v>
      </c>
      <c r="P121" s="48">
        <f ca="1" t="shared" si="29"/>
        <v>0.442419569277559</v>
      </c>
      <c r="Q121" s="48">
        <f ca="1" t="shared" si="30"/>
        <v>0.368479880930412</v>
      </c>
      <c r="R121" s="48">
        <f ca="1" t="shared" si="31"/>
        <v>0.133706579463131</v>
      </c>
      <c r="S121" s="46">
        <f ca="1" t="shared" si="32"/>
        <v>0.73727047146402</v>
      </c>
      <c r="T121" s="46">
        <f ca="1" t="shared" si="33"/>
        <v>0.20317617866005</v>
      </c>
      <c r="U121" s="46">
        <f ca="1" t="shared" si="34"/>
        <v>0.0595533498759306</v>
      </c>
      <c r="V121" s="48">
        <f ca="1" t="shared" si="35"/>
        <v>0.425320021619096</v>
      </c>
      <c r="W121" s="48">
        <f ca="1" t="shared" si="36"/>
        <v>3.39693832474177</v>
      </c>
      <c r="X121" s="48">
        <f ca="1" t="shared" si="37"/>
        <v>2.82922256687864</v>
      </c>
      <c r="Y121" s="48">
        <f t="shared" si="38"/>
        <v>1.02661146926685</v>
      </c>
      <c r="Z121" s="105">
        <f ca="1" t="shared" si="39"/>
        <v>0.055393970328898</v>
      </c>
      <c r="AA121" s="105">
        <f ca="1" t="shared" si="40"/>
        <v>0.442419569277559</v>
      </c>
      <c r="AB121" s="105">
        <f ca="1" t="shared" si="41"/>
        <v>0.368479880930412</v>
      </c>
      <c r="AC121" s="105">
        <f ca="1" t="shared" si="42"/>
        <v>0.133706579463131</v>
      </c>
      <c r="AD121" s="105">
        <f ca="1" t="shared" si="43"/>
        <v>0.73727047146402</v>
      </c>
      <c r="AE121" s="105">
        <f ca="1" t="shared" si="44"/>
        <v>0.20317617866005</v>
      </c>
      <c r="AF121" s="105">
        <f ca="1" t="shared" si="45"/>
        <v>0.0595533498759305</v>
      </c>
    </row>
    <row r="122" ht="16.5" spans="1:32">
      <c r="A122">
        <f ca="1" t="shared" si="23"/>
        <v>10267</v>
      </c>
      <c r="B122" s="2">
        <v>120</v>
      </c>
      <c r="C122" s="2">
        <f>_xlfn.XLOOKUP(练度预期!D122,装备养成!$B$3:$B$303,装备养成!$D$3:$D$303)*6</f>
        <v>7620</v>
      </c>
      <c r="D122" s="2" cm="1">
        <f ca="1" t="array" ref="D122">_xlfn.XLOOKUP(练度预期!E122&amp;"_"&amp;INT(练度预期!C122/10)*10+10,装备养成!$N$4:$N$219&amp;"_"&amp;装备养成!$K$4:$K$219,装备养成!$P$4:$P$219)*练度预期!F122+_xlfn.XLOOKUP(练度预期!E122-1&amp;"_"&amp;INT(练度预期!C122/10)*10+10,装备养成!$N$4:$N$219&amp;"_"&amp;装备养成!$K$4:$K$219,装备养成!$P$4:$P$219)*(6-练度预期!F122)</f>
        <v>2047</v>
      </c>
      <c r="E122" s="2">
        <f ca="1">练度预期!N122*4*练度预期!M122</f>
        <v>600</v>
      </c>
      <c r="F122" s="103">
        <f ca="1">INT(练度预期!D122/10)*0.02+1+_xlfn.XLOOKUP(练度预期!E122,装备养成!$U$3:$U$11,装备养成!$V$3:$V$11)*练度预期!F122+_xlfn.XLOOKUP(练度预期!E122-1,装备养成!$U$3:$U$11,装备养成!$V$3:$V$11)*(6-练度预期!F122)</f>
        <v>1.55008</v>
      </c>
      <c r="G122" s="48">
        <f ca="1">OFFSET(梦灵养成!$K$20,_xlfn.XLOOKUP(练度预期!H122,梦灵养成!$D$10:$D$28,梦灵养成!$H$10:$H$28),MATCH(OFFSET(梦灵养成!$C$33,B122,MATCH(练度预期!H122,梦灵养成!$D$33:$V$33,0)),梦灵养成!$L$20:$R$20,1))*(1+(OFFSET(梦灵养成!$C$33,B122,MATCH(练度预期!H122,梦灵养成!$D$33:$V$33,0))-1)*_xlfn.XLOOKUP(练度预期!H122,梦灵养成!$D$9:$D$28,梦灵养成!$G$9:$G$28))</f>
        <v>29.8725</v>
      </c>
      <c r="H122" s="46">
        <f ca="1">符文养成!AC123</f>
        <v>17.0581703843884</v>
      </c>
      <c r="I122" s="46">
        <f>MAX(_xlfn.XLOOKUP(练度预期!O122,秘宝养成!$B$3:$B$15,秘宝养成!$E$3:$E$15),1)</f>
        <v>2.7915904</v>
      </c>
      <c r="J122" s="104">
        <f ca="1" t="shared" si="24"/>
        <v>22638799.2716807</v>
      </c>
      <c r="K122" s="104">
        <f ca="1">MATCH(J122,关卡预期!$E$4:$E$303,1)</f>
        <v>163</v>
      </c>
      <c r="L122" s="48">
        <f ca="1" t="shared" si="25"/>
        <v>0.742183695334567</v>
      </c>
      <c r="M122" s="48">
        <f ca="1" t="shared" si="26"/>
        <v>0.199376643615467</v>
      </c>
      <c r="N122" s="48">
        <f ca="1" t="shared" si="27"/>
        <v>0.0584396610499658</v>
      </c>
      <c r="O122" s="48">
        <f ca="1" t="shared" si="28"/>
        <v>0.0569341249364008</v>
      </c>
      <c r="P122" s="48">
        <f ca="1" t="shared" si="29"/>
        <v>0.441247602369525</v>
      </c>
      <c r="Q122" s="48">
        <f ca="1" t="shared" si="30"/>
        <v>0.368465881195035</v>
      </c>
      <c r="R122" s="48">
        <f ca="1" t="shared" si="31"/>
        <v>0.133352391499039</v>
      </c>
      <c r="S122" s="46">
        <f ca="1" t="shared" si="32"/>
        <v>0.742183695334567</v>
      </c>
      <c r="T122" s="46">
        <f ca="1" t="shared" si="33"/>
        <v>0.199376643615467</v>
      </c>
      <c r="U122" s="46">
        <f ca="1" t="shared" si="34"/>
        <v>0.0584396610499658</v>
      </c>
      <c r="V122" s="48">
        <f ca="1" t="shared" si="35"/>
        <v>0.438306542502481</v>
      </c>
      <c r="W122" s="48">
        <f ca="1" t="shared" si="36"/>
        <v>3.39693832474177</v>
      </c>
      <c r="X122" s="48">
        <f ca="1" t="shared" si="37"/>
        <v>2.83662929037959</v>
      </c>
      <c r="Y122" s="48">
        <f t="shared" si="38"/>
        <v>1.02661146926685</v>
      </c>
      <c r="Z122" s="105">
        <f ca="1" t="shared" si="39"/>
        <v>0.0569341249364008</v>
      </c>
      <c r="AA122" s="105">
        <f ca="1" t="shared" si="40"/>
        <v>0.441247602369525</v>
      </c>
      <c r="AB122" s="105">
        <f ca="1" t="shared" si="41"/>
        <v>0.368465881195035</v>
      </c>
      <c r="AC122" s="105">
        <f ca="1" t="shared" si="42"/>
        <v>0.133352391499039</v>
      </c>
      <c r="AD122" s="105">
        <f ca="1" t="shared" si="43"/>
        <v>0.742183695334567</v>
      </c>
      <c r="AE122" s="105">
        <f ca="1" t="shared" si="44"/>
        <v>0.199376643615467</v>
      </c>
      <c r="AF122" s="105">
        <f ca="1" t="shared" si="45"/>
        <v>0.0584396610499659</v>
      </c>
    </row>
    <row r="123" ht="16.5" spans="1:32">
      <c r="A123">
        <f ca="1" t="shared" si="23"/>
        <v>10267</v>
      </c>
      <c r="B123" s="2">
        <v>121</v>
      </c>
      <c r="C123" s="2">
        <f>_xlfn.XLOOKUP(练度预期!D123,装备养成!$B$3:$B$303,装备养成!$D$3:$D$303)*6</f>
        <v>7620</v>
      </c>
      <c r="D123" s="2" cm="1">
        <f ca="1" t="array" ref="D123">_xlfn.XLOOKUP(练度预期!E123&amp;"_"&amp;INT(练度预期!C123/10)*10+10,装备养成!$N$4:$N$219&amp;"_"&amp;装备养成!$K$4:$K$219,装备养成!$P$4:$P$219)*练度预期!F123+_xlfn.XLOOKUP(练度预期!E123-1&amp;"_"&amp;INT(练度预期!C123/10)*10+10,装备养成!$N$4:$N$219&amp;"_"&amp;装备养成!$K$4:$K$219,装备养成!$P$4:$P$219)*(6-练度预期!F123)</f>
        <v>2047</v>
      </c>
      <c r="E123" s="2">
        <f ca="1">练度预期!N123*4*练度预期!M123</f>
        <v>600</v>
      </c>
      <c r="F123" s="103">
        <f ca="1">INT(练度预期!D123/10)*0.02+1+_xlfn.XLOOKUP(练度预期!E123,装备养成!$U$3:$U$11,装备养成!$V$3:$V$11)*练度预期!F123+_xlfn.XLOOKUP(练度预期!E123-1,装备养成!$U$3:$U$11,装备养成!$V$3:$V$11)*(6-练度预期!F123)</f>
        <v>1.55008</v>
      </c>
      <c r="G123" s="48">
        <f ca="1">OFFSET(梦灵养成!$K$20,_xlfn.XLOOKUP(练度预期!H123,梦灵养成!$D$10:$D$28,梦灵养成!$H$10:$H$28),MATCH(OFFSET(梦灵养成!$C$33,B123,MATCH(练度预期!H123,梦灵养成!$D$33:$V$33,0)),梦灵养成!$L$20:$R$20,1))*(1+(OFFSET(梦灵养成!$C$33,B123,MATCH(练度预期!H123,梦灵养成!$D$33:$V$33,0))-1)*_xlfn.XLOOKUP(练度预期!H123,梦灵养成!$D$9:$D$28,梦灵养成!$G$9:$G$28))</f>
        <v>29.8725</v>
      </c>
      <c r="H123" s="46">
        <f ca="1">符文养成!AC124</f>
        <v>17.1954326444064</v>
      </c>
      <c r="I123" s="46">
        <f>MAX(_xlfn.XLOOKUP(练度预期!O123,秘宝养成!$B$3:$B$15,秘宝养成!$E$3:$E$15),1)</f>
        <v>2.7915904</v>
      </c>
      <c r="J123" s="104">
        <f ca="1" t="shared" si="24"/>
        <v>22820967.2698952</v>
      </c>
      <c r="K123" s="104">
        <f ca="1">MATCH(J123,关卡预期!$E$4:$E$303,1)</f>
        <v>163</v>
      </c>
      <c r="L123" s="48">
        <f ca="1" t="shared" si="25"/>
        <v>0.742183695334567</v>
      </c>
      <c r="M123" s="48">
        <f ca="1" t="shared" si="26"/>
        <v>0.199376643615467</v>
      </c>
      <c r="N123" s="48">
        <f ca="1" t="shared" si="27"/>
        <v>0.0584396610499662</v>
      </c>
      <c r="O123" s="48">
        <f ca="1" t="shared" si="28"/>
        <v>0.0568749152631274</v>
      </c>
      <c r="P123" s="48">
        <f ca="1" t="shared" si="29"/>
        <v>0.440788718942438</v>
      </c>
      <c r="Q123" s="48">
        <f ca="1" t="shared" si="30"/>
        <v>0.369122656527532</v>
      </c>
      <c r="R123" s="48">
        <f ca="1" t="shared" si="31"/>
        <v>0.133213709266903</v>
      </c>
      <c r="S123" s="46">
        <f ca="1" t="shared" si="32"/>
        <v>0.742183695334567</v>
      </c>
      <c r="T123" s="46">
        <f ca="1" t="shared" si="33"/>
        <v>0.199376643615467</v>
      </c>
      <c r="U123" s="46">
        <f ca="1" t="shared" si="34"/>
        <v>0.0584396610499662</v>
      </c>
      <c r="V123" s="48">
        <f ca="1" t="shared" si="35"/>
        <v>0.438306542502481</v>
      </c>
      <c r="W123" s="48">
        <f ca="1" t="shared" si="36"/>
        <v>3.39693832474177</v>
      </c>
      <c r="X123" s="48">
        <f ca="1" t="shared" si="37"/>
        <v>2.84464380462652</v>
      </c>
      <c r="Y123" s="48">
        <f t="shared" si="38"/>
        <v>1.02661146926685</v>
      </c>
      <c r="Z123" s="105">
        <f ca="1" t="shared" si="39"/>
        <v>0.0568749152631274</v>
      </c>
      <c r="AA123" s="105">
        <f ca="1" t="shared" si="40"/>
        <v>0.440788718942438</v>
      </c>
      <c r="AB123" s="105">
        <f ca="1" t="shared" si="41"/>
        <v>0.369122656527532</v>
      </c>
      <c r="AC123" s="105">
        <f ca="1" t="shared" si="42"/>
        <v>0.133213709266903</v>
      </c>
      <c r="AD123" s="105">
        <f ca="1" t="shared" si="43"/>
        <v>0.742183695334567</v>
      </c>
      <c r="AE123" s="105">
        <f ca="1" t="shared" si="44"/>
        <v>0.199376643615467</v>
      </c>
      <c r="AF123" s="105">
        <f ca="1" t="shared" si="45"/>
        <v>0.0584396610499659</v>
      </c>
    </row>
    <row r="124" ht="16.5" spans="1:32">
      <c r="A124">
        <f ca="1" t="shared" si="23"/>
        <v>10267</v>
      </c>
      <c r="B124" s="2">
        <v>122</v>
      </c>
      <c r="C124" s="2">
        <f>_xlfn.XLOOKUP(练度预期!D124,装备养成!$B$3:$B$303,装备养成!$D$3:$D$303)*6</f>
        <v>7620</v>
      </c>
      <c r="D124" s="2" cm="1">
        <f ca="1" t="array" ref="D124">_xlfn.XLOOKUP(练度预期!E124&amp;"_"&amp;INT(练度预期!C124/10)*10+10,装备养成!$N$4:$N$219&amp;"_"&amp;装备养成!$K$4:$K$219,装备养成!$P$4:$P$219)*练度预期!F124+_xlfn.XLOOKUP(练度预期!E124-1&amp;"_"&amp;INT(练度预期!C124/10)*10+10,装备养成!$N$4:$N$219&amp;"_"&amp;装备养成!$K$4:$K$219,装备养成!$P$4:$P$219)*(6-练度预期!F124)</f>
        <v>2047</v>
      </c>
      <c r="E124" s="2">
        <f ca="1">练度预期!N124*4*练度预期!M124</f>
        <v>600</v>
      </c>
      <c r="F124" s="103">
        <f ca="1">INT(练度预期!D124/10)*0.02+1+_xlfn.XLOOKUP(练度预期!E124,装备养成!$U$3:$U$11,装备养成!$V$3:$V$11)*练度预期!F124+_xlfn.XLOOKUP(练度预期!E124-1,装备养成!$U$3:$U$11,装备养成!$V$3:$V$11)*(6-练度预期!F124)</f>
        <v>1.55008</v>
      </c>
      <c r="G124" s="48">
        <f ca="1">OFFSET(梦灵养成!$K$20,_xlfn.XLOOKUP(练度预期!H124,梦灵养成!$D$10:$D$28,梦灵养成!$H$10:$H$28),MATCH(OFFSET(梦灵养成!$C$33,B124,MATCH(练度预期!H124,梦灵养成!$D$33:$V$33,0)),梦灵养成!$L$20:$R$20,1))*(1+(OFFSET(梦灵养成!$C$33,B124,MATCH(练度预期!H124,梦灵养成!$D$33:$V$33,0))-1)*_xlfn.XLOOKUP(练度预期!H124,梦灵养成!$D$9:$D$28,梦灵养成!$G$9:$G$28))</f>
        <v>29.8725</v>
      </c>
      <c r="H124" s="46">
        <f ca="1">符文养成!AC125</f>
        <v>17.3228211086446</v>
      </c>
      <c r="I124" s="46">
        <f>MAX(_xlfn.XLOOKUP(练度预期!O124,秘宝养成!$B$3:$B$15,秘宝养成!$E$3:$E$15),1)</f>
        <v>2.7915904</v>
      </c>
      <c r="J124" s="104">
        <f ca="1" t="shared" si="24"/>
        <v>22990031.2319983</v>
      </c>
      <c r="K124" s="104">
        <f ca="1">MATCH(J124,关卡预期!$E$4:$E$303,1)</f>
        <v>163</v>
      </c>
      <c r="L124" s="48">
        <f ca="1" t="shared" si="25"/>
        <v>0.742183695334567</v>
      </c>
      <c r="M124" s="48">
        <f ca="1" t="shared" si="26"/>
        <v>0.199376643615467</v>
      </c>
      <c r="N124" s="48">
        <f ca="1" t="shared" si="27"/>
        <v>0.058439661049966</v>
      </c>
      <c r="O124" s="48">
        <f ca="1" t="shared" si="28"/>
        <v>0.0568204949452942</v>
      </c>
      <c r="P124" s="48">
        <f ca="1" t="shared" si="29"/>
        <v>0.440366953704264</v>
      </c>
      <c r="Q124" s="48">
        <f ca="1" t="shared" si="30"/>
        <v>0.369726306579346</v>
      </c>
      <c r="R124" s="48">
        <f ca="1" t="shared" si="31"/>
        <v>0.133086244771096</v>
      </c>
      <c r="S124" s="46">
        <f ca="1" t="shared" si="32"/>
        <v>0.742183695334567</v>
      </c>
      <c r="T124" s="46">
        <f ca="1" t="shared" si="33"/>
        <v>0.199376643615467</v>
      </c>
      <c r="U124" s="46">
        <f ca="1" t="shared" si="34"/>
        <v>0.058439661049966</v>
      </c>
      <c r="V124" s="48">
        <f ca="1" t="shared" si="35"/>
        <v>0.438306542502481</v>
      </c>
      <c r="W124" s="48">
        <f ca="1" t="shared" si="36"/>
        <v>3.39693832474177</v>
      </c>
      <c r="X124" s="48">
        <f ca="1" t="shared" si="37"/>
        <v>2.85202477143199</v>
      </c>
      <c r="Y124" s="48">
        <f t="shared" si="38"/>
        <v>1.02661146926685</v>
      </c>
      <c r="Z124" s="105">
        <f ca="1" t="shared" si="39"/>
        <v>0.0568204949452942</v>
      </c>
      <c r="AA124" s="105">
        <f ca="1" t="shared" si="40"/>
        <v>0.440366953704264</v>
      </c>
      <c r="AB124" s="105">
        <f ca="1" t="shared" si="41"/>
        <v>0.369726306579346</v>
      </c>
      <c r="AC124" s="105">
        <f ca="1" t="shared" si="42"/>
        <v>0.133086244771096</v>
      </c>
      <c r="AD124" s="105">
        <f ca="1" t="shared" si="43"/>
        <v>0.742183695334567</v>
      </c>
      <c r="AE124" s="105">
        <f ca="1" t="shared" si="44"/>
        <v>0.199376643615467</v>
      </c>
      <c r="AF124" s="105">
        <f ca="1" t="shared" si="45"/>
        <v>0.0584396610499659</v>
      </c>
    </row>
    <row r="125" ht="16.5" spans="1:32">
      <c r="A125">
        <f ca="1" t="shared" si="23"/>
        <v>10459</v>
      </c>
      <c r="B125" s="2">
        <v>123</v>
      </c>
      <c r="C125" s="2">
        <f>_xlfn.XLOOKUP(练度预期!D125,装备养成!$B$3:$B$303,装备养成!$D$3:$D$303)*6</f>
        <v>7812</v>
      </c>
      <c r="D125" s="2" cm="1">
        <f ca="1" t="array" ref="D125">_xlfn.XLOOKUP(练度预期!E125&amp;"_"&amp;INT(练度预期!C125/10)*10+10,装备养成!$N$4:$N$219&amp;"_"&amp;装备养成!$K$4:$K$219,装备养成!$P$4:$P$219)*练度预期!F125+_xlfn.XLOOKUP(练度预期!E125-1&amp;"_"&amp;INT(练度预期!C125/10)*10+10,装备养成!$N$4:$N$219&amp;"_"&amp;装备养成!$K$4:$K$219,装备养成!$P$4:$P$219)*(6-练度预期!F125)</f>
        <v>2047</v>
      </c>
      <c r="E125" s="2">
        <f ca="1">练度预期!N125*4*练度预期!M125</f>
        <v>600</v>
      </c>
      <c r="F125" s="103">
        <f ca="1">INT(练度预期!D125/10)*0.02+1+_xlfn.XLOOKUP(练度预期!E125,装备养成!$U$3:$U$11,装备养成!$V$3:$V$11)*练度预期!F125+_xlfn.XLOOKUP(练度预期!E125-1,装备养成!$U$3:$U$11,装备养成!$V$3:$V$11)*(6-练度预期!F125)</f>
        <v>1.55008</v>
      </c>
      <c r="G125" s="48">
        <f ca="1">OFFSET(梦灵养成!$K$20,_xlfn.XLOOKUP(练度预期!H125,梦灵养成!$D$10:$D$28,梦灵养成!$H$10:$H$28),MATCH(OFFSET(梦灵养成!$C$33,B125,MATCH(练度预期!H125,梦灵养成!$D$33:$V$33,0)),梦灵养成!$L$20:$R$20,1))*(1+(OFFSET(梦灵养成!$C$33,B125,MATCH(练度预期!H125,梦灵养成!$D$33:$V$33,0))-1)*_xlfn.XLOOKUP(练度预期!H125,梦灵养成!$D$9:$D$28,梦灵养成!$G$9:$G$28))</f>
        <v>29.8725</v>
      </c>
      <c r="H125" s="46">
        <f ca="1">符文养成!AC126</f>
        <v>17.4769403730464</v>
      </c>
      <c r="I125" s="46">
        <f>MAX(_xlfn.XLOOKUP(练度预期!O125,秘宝养成!$B$3:$B$15,秘宝养成!$E$3:$E$15),1)</f>
        <v>2.7915904</v>
      </c>
      <c r="J125" s="104">
        <f ca="1" t="shared" si="24"/>
        <v>23628325.5699983</v>
      </c>
      <c r="K125" s="104">
        <f ca="1">MATCH(J125,关卡预期!$E$4:$E$303,1)</f>
        <v>164</v>
      </c>
      <c r="L125" s="48">
        <f ca="1" t="shared" si="25"/>
        <v>0.746916531217133</v>
      </c>
      <c r="M125" s="48">
        <f ca="1" t="shared" si="26"/>
        <v>0.195716607706282</v>
      </c>
      <c r="N125" s="48">
        <f ca="1" t="shared" si="27"/>
        <v>0.0573668610765848</v>
      </c>
      <c r="O125" s="48">
        <f ca="1" t="shared" si="28"/>
        <v>0.0567553250280497</v>
      </c>
      <c r="P125" s="48">
        <f ca="1" t="shared" si="29"/>
        <v>0.439861877534868</v>
      </c>
      <c r="Q125" s="48">
        <f ca="1" t="shared" si="30"/>
        <v>0.370449195115977</v>
      </c>
      <c r="R125" s="48">
        <f ca="1" t="shared" si="31"/>
        <v>0.132933602321106</v>
      </c>
      <c r="S125" s="46">
        <f ca="1" t="shared" si="32"/>
        <v>0.746916531217134</v>
      </c>
      <c r="T125" s="46">
        <f ca="1" t="shared" si="33"/>
        <v>0.195716607706282</v>
      </c>
      <c r="U125" s="46">
        <f ca="1" t="shared" si="34"/>
        <v>0.0573668610765848</v>
      </c>
      <c r="V125" s="48">
        <f ca="1" t="shared" si="35"/>
        <v>0.438306542502481</v>
      </c>
      <c r="W125" s="48">
        <f ca="1" t="shared" si="36"/>
        <v>3.39693832474177</v>
      </c>
      <c r="X125" s="48">
        <f ca="1" t="shared" si="37"/>
        <v>2.86088231903991</v>
      </c>
      <c r="Y125" s="48">
        <f t="shared" si="38"/>
        <v>1.02661146926685</v>
      </c>
      <c r="Z125" s="105">
        <f ca="1" t="shared" si="39"/>
        <v>0.0567553250280497</v>
      </c>
      <c r="AA125" s="105">
        <f ca="1" t="shared" si="40"/>
        <v>0.439861877534868</v>
      </c>
      <c r="AB125" s="105">
        <f ca="1" t="shared" si="41"/>
        <v>0.370449195115977</v>
      </c>
      <c r="AC125" s="105">
        <f ca="1" t="shared" si="42"/>
        <v>0.132933602321106</v>
      </c>
      <c r="AD125" s="105">
        <f ca="1" t="shared" si="43"/>
        <v>0.746916531217134</v>
      </c>
      <c r="AE125" s="105">
        <f ca="1" t="shared" si="44"/>
        <v>0.195716607706282</v>
      </c>
      <c r="AF125" s="105">
        <f ca="1" t="shared" si="45"/>
        <v>0.0573668610765848</v>
      </c>
    </row>
    <row r="126" ht="16.5" spans="1:32">
      <c r="A126">
        <f ca="1" t="shared" si="23"/>
        <v>10459</v>
      </c>
      <c r="B126" s="2">
        <v>124</v>
      </c>
      <c r="C126" s="2">
        <f>_xlfn.XLOOKUP(练度预期!D126,装备养成!$B$3:$B$303,装备养成!$D$3:$D$303)*6</f>
        <v>7812</v>
      </c>
      <c r="D126" s="2" cm="1">
        <f ca="1" t="array" ref="D126">_xlfn.XLOOKUP(练度预期!E126&amp;"_"&amp;INT(练度预期!C126/10)*10+10,装备养成!$N$4:$N$219&amp;"_"&amp;装备养成!$K$4:$K$219,装备养成!$P$4:$P$219)*练度预期!F126+_xlfn.XLOOKUP(练度预期!E126-1&amp;"_"&amp;INT(练度预期!C126/10)*10+10,装备养成!$N$4:$N$219&amp;"_"&amp;装备养成!$K$4:$K$219,装备养成!$P$4:$P$219)*(6-练度预期!F126)</f>
        <v>2047</v>
      </c>
      <c r="E126" s="2">
        <f ca="1">练度预期!N126*4*练度预期!M126</f>
        <v>600</v>
      </c>
      <c r="F126" s="103">
        <f ca="1">INT(练度预期!D126/10)*0.02+1+_xlfn.XLOOKUP(练度预期!E126,装备养成!$U$3:$U$11,装备养成!$V$3:$V$11)*练度预期!F126+_xlfn.XLOOKUP(练度预期!E126-1,装备养成!$U$3:$U$11,装备养成!$V$3:$V$11)*(6-练度预期!F126)</f>
        <v>1.55008</v>
      </c>
      <c r="G126" s="48">
        <f ca="1">OFFSET(梦灵养成!$K$20,_xlfn.XLOOKUP(练度预期!H126,梦灵养成!$D$10:$D$28,梦灵养成!$H$10:$H$28),MATCH(OFFSET(梦灵养成!$C$33,B126,MATCH(练度预期!H126,梦灵养成!$D$33:$V$33,0)),梦灵养成!$L$20:$R$20,1))*(1+(OFFSET(梦灵养成!$C$33,B126,MATCH(练度预期!H126,梦灵养成!$D$33:$V$33,0))-1)*_xlfn.XLOOKUP(练度预期!H126,梦灵养成!$D$9:$D$28,梦灵养成!$G$9:$G$28))</f>
        <v>29.8725</v>
      </c>
      <c r="H126" s="46">
        <f ca="1">符文养成!AC127</f>
        <v>17.6059277866841</v>
      </c>
      <c r="I126" s="46">
        <f>MAX(_xlfn.XLOOKUP(练度预期!O126,秘宝养成!$B$3:$B$15,秘宝养成!$E$3:$E$15),1)</f>
        <v>2.7915904</v>
      </c>
      <c r="J126" s="104">
        <f ca="1" t="shared" si="24"/>
        <v>23802712.8791501</v>
      </c>
      <c r="K126" s="104">
        <f ca="1">MATCH(J126,关卡预期!$E$4:$E$303,1)</f>
        <v>164</v>
      </c>
      <c r="L126" s="48">
        <f ca="1" t="shared" si="25"/>
        <v>0.746916531217134</v>
      </c>
      <c r="M126" s="48">
        <f ca="1" t="shared" si="26"/>
        <v>0.195716607706282</v>
      </c>
      <c r="N126" s="48">
        <f ca="1" t="shared" si="27"/>
        <v>0.0573668610765848</v>
      </c>
      <c r="O126" s="48">
        <f ca="1" t="shared" si="28"/>
        <v>0.0567013359204495</v>
      </c>
      <c r="P126" s="48">
        <f ca="1" t="shared" si="29"/>
        <v>0.439443454237605</v>
      </c>
      <c r="Q126" s="48">
        <f ca="1" t="shared" si="30"/>
        <v>0.371048062026313</v>
      </c>
      <c r="R126" s="48">
        <f ca="1" t="shared" si="31"/>
        <v>0.132807147815633</v>
      </c>
      <c r="S126" s="46">
        <f ca="1" t="shared" si="32"/>
        <v>0.746916531217134</v>
      </c>
      <c r="T126" s="46">
        <f ca="1" t="shared" si="33"/>
        <v>0.195716607706282</v>
      </c>
      <c r="U126" s="46">
        <f ca="1" t="shared" si="34"/>
        <v>0.0573668610765848</v>
      </c>
      <c r="V126" s="48">
        <f ca="1" t="shared" si="35"/>
        <v>0.438306542502481</v>
      </c>
      <c r="W126" s="48">
        <f ca="1" t="shared" si="36"/>
        <v>3.39693832474177</v>
      </c>
      <c r="X126" s="48">
        <f ca="1" t="shared" si="37"/>
        <v>2.86823565139927</v>
      </c>
      <c r="Y126" s="48">
        <f t="shared" si="38"/>
        <v>1.02661146926685</v>
      </c>
      <c r="Z126" s="105">
        <f ca="1" t="shared" si="39"/>
        <v>0.0567013359204495</v>
      </c>
      <c r="AA126" s="105">
        <f ca="1" t="shared" si="40"/>
        <v>0.439443454237605</v>
      </c>
      <c r="AB126" s="105">
        <f ca="1" t="shared" si="41"/>
        <v>0.371048062026313</v>
      </c>
      <c r="AC126" s="105">
        <f ca="1" t="shared" si="42"/>
        <v>0.132807147815633</v>
      </c>
      <c r="AD126" s="105">
        <f ca="1" t="shared" si="43"/>
        <v>0.746916531217134</v>
      </c>
      <c r="AE126" s="105">
        <f ca="1" t="shared" si="44"/>
        <v>0.195716607706282</v>
      </c>
      <c r="AF126" s="105">
        <f ca="1" t="shared" si="45"/>
        <v>0.0573668610765848</v>
      </c>
    </row>
    <row r="127" ht="16.5" spans="1:32">
      <c r="A127">
        <f ca="1" t="shared" si="23"/>
        <v>10459</v>
      </c>
      <c r="B127" s="2">
        <v>125</v>
      </c>
      <c r="C127" s="2">
        <f>_xlfn.XLOOKUP(练度预期!D127,装备养成!$B$3:$B$303,装备养成!$D$3:$D$303)*6</f>
        <v>7812</v>
      </c>
      <c r="D127" s="2" cm="1">
        <f ca="1" t="array" ref="D127">_xlfn.XLOOKUP(练度预期!E127&amp;"_"&amp;INT(练度预期!C127/10)*10+10,装备养成!$N$4:$N$219&amp;"_"&amp;装备养成!$K$4:$K$219,装备养成!$P$4:$P$219)*练度预期!F127+_xlfn.XLOOKUP(练度预期!E127-1&amp;"_"&amp;INT(练度预期!C127/10)*10+10,装备养成!$N$4:$N$219&amp;"_"&amp;装备养成!$K$4:$K$219,装备养成!$P$4:$P$219)*(6-练度预期!F127)</f>
        <v>2047</v>
      </c>
      <c r="E127" s="2">
        <f ca="1">练度预期!N127*4*练度预期!M127</f>
        <v>600</v>
      </c>
      <c r="F127" s="103">
        <f ca="1">INT(练度预期!D127/10)*0.02+1+_xlfn.XLOOKUP(练度预期!E127,装备养成!$U$3:$U$11,装备养成!$V$3:$V$11)*练度预期!F127+_xlfn.XLOOKUP(练度预期!E127-1,装备养成!$U$3:$U$11,装备养成!$V$3:$V$11)*(6-练度预期!F127)</f>
        <v>1.55008</v>
      </c>
      <c r="G127" s="48">
        <f ca="1">OFFSET(梦灵养成!$K$20,_xlfn.XLOOKUP(练度预期!H127,梦灵养成!$D$10:$D$28,梦灵养成!$H$10:$H$28),MATCH(OFFSET(梦灵养成!$C$33,B127,MATCH(练度预期!H127,梦灵养成!$D$33:$V$33,0)),梦灵养成!$L$20:$R$20,1))*(1+(OFFSET(梦灵养成!$C$33,B127,MATCH(练度预期!H127,梦灵养成!$D$33:$V$33,0))-1)*_xlfn.XLOOKUP(练度预期!H127,梦灵养成!$D$9:$D$28,梦灵养成!$G$9:$G$28))</f>
        <v>29.8725</v>
      </c>
      <c r="H127" s="46">
        <f ca="1">符文养成!AC128</f>
        <v>17.7592188634708</v>
      </c>
      <c r="I127" s="46">
        <f>MAX(_xlfn.XLOOKUP(练度预期!O127,秘宝养成!$B$3:$B$15,秘宝养成!$E$3:$E$15),1)</f>
        <v>2.7915904</v>
      </c>
      <c r="J127" s="104">
        <f ca="1" t="shared" si="24"/>
        <v>24009958.0486124</v>
      </c>
      <c r="K127" s="104">
        <f ca="1">MATCH(J127,关卡预期!$E$4:$E$303,1)</f>
        <v>164</v>
      </c>
      <c r="L127" s="48">
        <f ca="1" t="shared" si="25"/>
        <v>0.746916531217134</v>
      </c>
      <c r="M127" s="48">
        <f ca="1" t="shared" si="26"/>
        <v>0.195716607706282</v>
      </c>
      <c r="N127" s="48">
        <f ca="1" t="shared" si="27"/>
        <v>0.0573668610765847</v>
      </c>
      <c r="O127" s="48">
        <f ca="1" t="shared" si="28"/>
        <v>0.0566378180427104</v>
      </c>
      <c r="P127" s="48">
        <f ca="1" t="shared" si="29"/>
        <v>0.438951181610402</v>
      </c>
      <c r="Q127" s="48">
        <f ca="1" t="shared" si="30"/>
        <v>0.371752625537057</v>
      </c>
      <c r="R127" s="48">
        <f ca="1" t="shared" si="31"/>
        <v>0.132658374809831</v>
      </c>
      <c r="S127" s="46">
        <f ca="1" t="shared" si="32"/>
        <v>0.746916531217134</v>
      </c>
      <c r="T127" s="46">
        <f ca="1" t="shared" si="33"/>
        <v>0.195716607706282</v>
      </c>
      <c r="U127" s="46">
        <f ca="1" t="shared" si="34"/>
        <v>0.0573668610765847</v>
      </c>
      <c r="V127" s="48">
        <f ca="1" t="shared" si="35"/>
        <v>0.438306542502481</v>
      </c>
      <c r="W127" s="48">
        <f ca="1" t="shared" si="36"/>
        <v>3.39693832474177</v>
      </c>
      <c r="X127" s="48">
        <f ca="1" t="shared" si="37"/>
        <v>2.87690475368407</v>
      </c>
      <c r="Y127" s="48">
        <f t="shared" si="38"/>
        <v>1.02661146926685</v>
      </c>
      <c r="Z127" s="105">
        <f ca="1" t="shared" si="39"/>
        <v>0.0566378180427104</v>
      </c>
      <c r="AA127" s="105">
        <f ca="1" t="shared" si="40"/>
        <v>0.438951181610402</v>
      </c>
      <c r="AB127" s="105">
        <f ca="1" t="shared" si="41"/>
        <v>0.371752625537057</v>
      </c>
      <c r="AC127" s="105">
        <f ca="1" t="shared" si="42"/>
        <v>0.132658374809831</v>
      </c>
      <c r="AD127" s="105">
        <f ca="1" t="shared" si="43"/>
        <v>0.746916531217134</v>
      </c>
      <c r="AE127" s="105">
        <f ca="1" t="shared" si="44"/>
        <v>0.195716607706282</v>
      </c>
      <c r="AF127" s="105">
        <f ca="1" t="shared" si="45"/>
        <v>0.0573668610765848</v>
      </c>
    </row>
    <row r="128" ht="16.5" spans="1:32">
      <c r="A128">
        <f ca="1" t="shared" si="23"/>
        <v>10960</v>
      </c>
      <c r="B128" s="2">
        <v>126</v>
      </c>
      <c r="C128" s="2">
        <f>_xlfn.XLOOKUP(练度预期!D128,装备养成!$B$3:$B$303,装备养成!$D$3:$D$303)*6</f>
        <v>8004</v>
      </c>
      <c r="D128" s="2" cm="1">
        <f ca="1" t="array" ref="D128">_xlfn.XLOOKUP(练度预期!E128&amp;"_"&amp;INT(练度预期!C128/10)*10+10,装备养成!$N$4:$N$219&amp;"_"&amp;装备养成!$K$4:$K$219,装备养成!$P$4:$P$219)*练度预期!F128+_xlfn.XLOOKUP(练度预期!E128-1&amp;"_"&amp;INT(练度预期!C128/10)*10+10,装备养成!$N$4:$N$219&amp;"_"&amp;装备养成!$K$4:$K$219,装备养成!$P$4:$P$219)*(6-练度预期!F128)</f>
        <v>2356</v>
      </c>
      <c r="E128" s="2">
        <f ca="1">练度预期!N128*4*练度预期!M128</f>
        <v>600</v>
      </c>
      <c r="F128" s="103">
        <f ca="1">INT(练度预期!D128/10)*0.02+1+_xlfn.XLOOKUP(练度预期!E128,装备养成!$U$3:$U$11,装备养成!$V$3:$V$11)*练度预期!F128+_xlfn.XLOOKUP(练度预期!E128-1,装备养成!$U$3:$U$11,装备养成!$V$3:$V$11)*(6-练度预期!F128)</f>
        <v>1.55008</v>
      </c>
      <c r="G128" s="48">
        <f ca="1">OFFSET(梦灵养成!$K$20,_xlfn.XLOOKUP(练度预期!H128,梦灵养成!$D$10:$D$28,梦灵养成!$H$10:$H$28),MATCH(OFFSET(梦灵养成!$C$33,B128,MATCH(练度预期!H128,梦灵养成!$D$33:$V$33,0)),梦灵养成!$L$20:$R$20,1))*(1+(OFFSET(梦灵养成!$C$33,B128,MATCH(练度预期!H128,梦灵养成!$D$33:$V$33,0))-1)*_xlfn.XLOOKUP(练度预期!H128,梦灵养成!$D$9:$D$28,梦灵养成!$G$9:$G$28))</f>
        <v>29.8725</v>
      </c>
      <c r="H128" s="46">
        <f ca="1">符文养成!AC129</f>
        <v>17.9190657506946</v>
      </c>
      <c r="I128" s="46">
        <f>MAX(_xlfn.XLOOKUP(练度预期!O128,秘宝养成!$B$3:$B$15,秘宝养成!$E$3:$E$15),1)</f>
        <v>2.7915904</v>
      </c>
      <c r="J128" s="104">
        <f ca="1" t="shared" si="24"/>
        <v>25386527.2681958</v>
      </c>
      <c r="K128" s="104">
        <f ca="1">MATCH(J128,关卡预期!$E$4:$E$303,1)</f>
        <v>165</v>
      </c>
      <c r="L128" s="48">
        <f ca="1" t="shared" si="25"/>
        <v>0.73029197080292</v>
      </c>
      <c r="M128" s="48">
        <f ca="1" t="shared" si="26"/>
        <v>0.214963503649635</v>
      </c>
      <c r="N128" s="48">
        <f ca="1" t="shared" si="27"/>
        <v>0.0547445255474452</v>
      </c>
      <c r="O128" s="48">
        <f ca="1" t="shared" si="28"/>
        <v>0.0565723143737771</v>
      </c>
      <c r="P128" s="48">
        <f ca="1" t="shared" si="29"/>
        <v>0.438443518817736</v>
      </c>
      <c r="Q128" s="48">
        <f ca="1" t="shared" si="30"/>
        <v>0.372479216169379</v>
      </c>
      <c r="R128" s="48">
        <f ca="1" t="shared" si="31"/>
        <v>0.132504950639108</v>
      </c>
      <c r="S128" s="46">
        <f ca="1" t="shared" si="32"/>
        <v>0.73029197080292</v>
      </c>
      <c r="T128" s="46">
        <f ca="1" t="shared" si="33"/>
        <v>0.214963503649635</v>
      </c>
      <c r="U128" s="46">
        <f ca="1" t="shared" si="34"/>
        <v>0.0547445255474452</v>
      </c>
      <c r="V128" s="48">
        <f ca="1" t="shared" si="35"/>
        <v>0.438306542502481</v>
      </c>
      <c r="W128" s="48">
        <f ca="1" t="shared" si="36"/>
        <v>3.39693832474177</v>
      </c>
      <c r="X128" s="48">
        <f ca="1" t="shared" si="37"/>
        <v>2.88586527173989</v>
      </c>
      <c r="Y128" s="48">
        <f t="shared" si="38"/>
        <v>1.02661146926685</v>
      </c>
      <c r="Z128" s="105">
        <f ca="1" t="shared" si="39"/>
        <v>0.0565723143737771</v>
      </c>
      <c r="AA128" s="105">
        <f ca="1" t="shared" si="40"/>
        <v>0.438443518817736</v>
      </c>
      <c r="AB128" s="105">
        <f ca="1" t="shared" si="41"/>
        <v>0.372479216169379</v>
      </c>
      <c r="AC128" s="105">
        <f ca="1" t="shared" si="42"/>
        <v>0.132504950639108</v>
      </c>
      <c r="AD128" s="105">
        <f ca="1" t="shared" si="43"/>
        <v>0.73029197080292</v>
      </c>
      <c r="AE128" s="105">
        <f ca="1" t="shared" si="44"/>
        <v>0.214963503649635</v>
      </c>
      <c r="AF128" s="105">
        <f ca="1" t="shared" si="45"/>
        <v>0.0547445255474453</v>
      </c>
    </row>
    <row r="129" ht="16.5" spans="1:32">
      <c r="A129">
        <f ca="1" t="shared" si="23"/>
        <v>11036</v>
      </c>
      <c r="B129" s="2">
        <v>127</v>
      </c>
      <c r="C129" s="2">
        <f>_xlfn.XLOOKUP(练度预期!D129,装备养成!$B$3:$B$303,装备养成!$D$3:$D$303)*6</f>
        <v>8004</v>
      </c>
      <c r="D129" s="2" cm="1">
        <f ca="1" t="array" ref="D129">_xlfn.XLOOKUP(练度预期!E129&amp;"_"&amp;INT(练度预期!C129/10)*10+10,装备养成!$N$4:$N$219&amp;"_"&amp;装备养成!$K$4:$K$219,装备养成!$P$4:$P$219)*练度预期!F129+_xlfn.XLOOKUP(练度预期!E129-1&amp;"_"&amp;INT(练度预期!C129/10)*10+10,装备养成!$N$4:$N$219&amp;"_"&amp;装备养成!$K$4:$K$219,装备养成!$P$4:$P$219)*(6-练度预期!F129)</f>
        <v>2432</v>
      </c>
      <c r="E129" s="2">
        <f ca="1">练度预期!N129*4*练度预期!M129</f>
        <v>600</v>
      </c>
      <c r="F129" s="103">
        <f ca="1">INT(练度预期!D129/10)*0.02+1+_xlfn.XLOOKUP(练度预期!E129,装备养成!$U$3:$U$11,装备养成!$V$3:$V$11)*练度预期!F129+_xlfn.XLOOKUP(练度预期!E129-1,装备养成!$U$3:$U$11,装备养成!$V$3:$V$11)*(6-练度预期!F129)</f>
        <v>1.55904</v>
      </c>
      <c r="G129" s="48">
        <f ca="1">OFFSET(梦灵养成!$K$20,_xlfn.XLOOKUP(练度预期!H129,梦灵养成!$D$10:$D$28,梦灵养成!$H$10:$H$28),MATCH(OFFSET(梦灵养成!$C$33,B129,MATCH(练度预期!H129,梦灵养成!$D$33:$V$33,0)),梦灵养成!$L$20:$R$20,1))*(1+(OFFSET(梦灵养成!$C$33,B129,MATCH(练度预期!H129,梦灵养成!$D$33:$V$33,0))-1)*_xlfn.XLOOKUP(练度预期!H129,梦灵养成!$D$9:$D$28,梦灵养成!$G$9:$G$28))</f>
        <v>29.8725</v>
      </c>
      <c r="H129" s="46">
        <f ca="1">符文养成!AC130</f>
        <v>18.0349318236979</v>
      </c>
      <c r="I129" s="46">
        <f>MAX(_xlfn.XLOOKUP(练度预期!O129,秘宝养成!$B$3:$B$15,秘宝养成!$E$3:$E$15),1)</f>
        <v>2.7915904</v>
      </c>
      <c r="J129" s="104">
        <f ca="1" t="shared" si="24"/>
        <v>25876570.6897117</v>
      </c>
      <c r="K129" s="104">
        <f ca="1">MATCH(J129,关卡预期!$E$4:$E$303,1)</f>
        <v>165</v>
      </c>
      <c r="L129" s="48">
        <f ca="1" t="shared" si="25"/>
        <v>0.72526277636825</v>
      </c>
      <c r="M129" s="48">
        <f ca="1" t="shared" si="26"/>
        <v>0.220369699166365</v>
      </c>
      <c r="N129" s="48">
        <f ca="1" t="shared" si="27"/>
        <v>0.0543675244653859</v>
      </c>
      <c r="O129" s="48">
        <f ca="1" t="shared" si="28"/>
        <v>0.0572260592935725</v>
      </c>
      <c r="P129" s="48">
        <f ca="1" t="shared" si="29"/>
        <v>0.437753700468728</v>
      </c>
      <c r="Q129" s="48">
        <f ca="1" t="shared" si="30"/>
        <v>0.372723764219294</v>
      </c>
      <c r="R129" s="48">
        <f ca="1" t="shared" si="31"/>
        <v>0.132296476018405</v>
      </c>
      <c r="S129" s="46">
        <f ca="1" t="shared" si="32"/>
        <v>0.725262776368249</v>
      </c>
      <c r="T129" s="46">
        <f ca="1" t="shared" si="33"/>
        <v>0.220369699166365</v>
      </c>
      <c r="U129" s="46">
        <f ca="1" t="shared" si="34"/>
        <v>0.0543675244653858</v>
      </c>
      <c r="V129" s="48">
        <f ca="1" t="shared" si="35"/>
        <v>0.444070247219231</v>
      </c>
      <c r="W129" s="48">
        <f ca="1" t="shared" si="36"/>
        <v>3.39693832474177</v>
      </c>
      <c r="X129" s="48">
        <f ca="1" t="shared" si="37"/>
        <v>2.89231053412645</v>
      </c>
      <c r="Y129" s="48">
        <f t="shared" si="38"/>
        <v>1.02661146926685</v>
      </c>
      <c r="Z129" s="105">
        <f ca="1" t="shared" si="39"/>
        <v>0.0572260592935725</v>
      </c>
      <c r="AA129" s="105">
        <f ca="1" t="shared" si="40"/>
        <v>0.437753700468728</v>
      </c>
      <c r="AB129" s="105">
        <f ca="1" t="shared" si="41"/>
        <v>0.372723764219294</v>
      </c>
      <c r="AC129" s="105">
        <f ca="1" t="shared" si="42"/>
        <v>0.132296476018405</v>
      </c>
      <c r="AD129" s="105">
        <f ca="1" t="shared" si="43"/>
        <v>0.725262776368249</v>
      </c>
      <c r="AE129" s="105">
        <f ca="1" t="shared" si="44"/>
        <v>0.220369699166365</v>
      </c>
      <c r="AF129" s="105">
        <f ca="1" t="shared" si="45"/>
        <v>0.054367524465386</v>
      </c>
    </row>
    <row r="130" ht="16.5" spans="1:32">
      <c r="A130">
        <f ca="1" t="shared" si="23"/>
        <v>11036</v>
      </c>
      <c r="B130" s="2">
        <v>128</v>
      </c>
      <c r="C130" s="2">
        <f>_xlfn.XLOOKUP(练度预期!D130,装备养成!$B$3:$B$303,装备养成!$D$3:$D$303)*6</f>
        <v>8004</v>
      </c>
      <c r="D130" s="2" cm="1">
        <f ca="1" t="array" ref="D130">_xlfn.XLOOKUP(练度预期!E130&amp;"_"&amp;INT(练度预期!C130/10)*10+10,装备养成!$N$4:$N$219&amp;"_"&amp;装备养成!$K$4:$K$219,装备养成!$P$4:$P$219)*练度预期!F130+_xlfn.XLOOKUP(练度预期!E130-1&amp;"_"&amp;INT(练度预期!C130/10)*10+10,装备养成!$N$4:$N$219&amp;"_"&amp;装备养成!$K$4:$K$219,装备养成!$P$4:$P$219)*(6-练度预期!F130)</f>
        <v>2432</v>
      </c>
      <c r="E130" s="2">
        <f ca="1">练度预期!N130*4*练度预期!M130</f>
        <v>600</v>
      </c>
      <c r="F130" s="103">
        <f ca="1">INT(练度预期!D130/10)*0.02+1+_xlfn.XLOOKUP(练度预期!E130,装备养成!$U$3:$U$11,装备养成!$V$3:$V$11)*练度预期!F130+_xlfn.XLOOKUP(练度预期!E130-1,装备养成!$U$3:$U$11,装备养成!$V$3:$V$11)*(6-练度预期!F130)</f>
        <v>1.55904</v>
      </c>
      <c r="G130" s="48">
        <f ca="1">OFFSET(梦灵养成!$K$20,_xlfn.XLOOKUP(练度预期!H130,梦灵养成!$D$10:$D$28,梦灵养成!$H$10:$H$28),MATCH(OFFSET(梦灵养成!$C$33,B130,MATCH(练度预期!H130,梦灵养成!$D$33:$V$33,0)),梦灵养成!$L$20:$R$20,1))*(1+(OFFSET(梦灵养成!$C$33,B130,MATCH(练度预期!H130,梦灵养成!$D$33:$V$33,0))-1)*_xlfn.XLOOKUP(练度预期!H130,梦灵养成!$D$9:$D$28,梦灵养成!$G$9:$G$28))</f>
        <v>29.8725</v>
      </c>
      <c r="H130" s="46">
        <f ca="1">符文养成!AC131</f>
        <v>18.1938502550725</v>
      </c>
      <c r="I130" s="46">
        <f>MAX(_xlfn.XLOOKUP(练度预期!O130,秘宝养成!$B$3:$B$15,秘宝养成!$E$3:$E$15),1)</f>
        <v>2.7915904</v>
      </c>
      <c r="J130" s="104">
        <f ca="1" t="shared" si="24"/>
        <v>26104587.3001188</v>
      </c>
      <c r="K130" s="104">
        <f ca="1">MATCH(J130,关卡预期!$E$4:$E$303,1)</f>
        <v>165</v>
      </c>
      <c r="L130" s="48">
        <f ca="1" t="shared" si="25"/>
        <v>0.725262776368249</v>
      </c>
      <c r="M130" s="48">
        <f ca="1" t="shared" si="26"/>
        <v>0.220369699166365</v>
      </c>
      <c r="N130" s="48">
        <f ca="1" t="shared" si="27"/>
        <v>0.0543675244653861</v>
      </c>
      <c r="O130" s="48">
        <f ca="1" t="shared" si="28"/>
        <v>0.0571614345845903</v>
      </c>
      <c r="P130" s="48">
        <f ca="1" t="shared" si="29"/>
        <v>0.437259350414786</v>
      </c>
      <c r="Q130" s="48">
        <f ca="1" t="shared" si="30"/>
        <v>0.37343213982106</v>
      </c>
      <c r="R130" s="48">
        <f ca="1" t="shared" si="31"/>
        <v>0.132147075179564</v>
      </c>
      <c r="S130" s="46">
        <f ca="1" t="shared" si="32"/>
        <v>0.725262776368249</v>
      </c>
      <c r="T130" s="46">
        <f ca="1" t="shared" si="33"/>
        <v>0.220369699166365</v>
      </c>
      <c r="U130" s="46">
        <f ca="1" t="shared" si="34"/>
        <v>0.0543675244653861</v>
      </c>
      <c r="V130" s="48">
        <f ca="1" t="shared" si="35"/>
        <v>0.444070247219231</v>
      </c>
      <c r="W130" s="48">
        <f ca="1" t="shared" si="36"/>
        <v>3.39693832474177</v>
      </c>
      <c r="X130" s="48">
        <f ca="1" t="shared" si="37"/>
        <v>2.90108363890939</v>
      </c>
      <c r="Y130" s="48">
        <f t="shared" si="38"/>
        <v>1.02661146926685</v>
      </c>
      <c r="Z130" s="105">
        <f ca="1" t="shared" si="39"/>
        <v>0.0571614345845903</v>
      </c>
      <c r="AA130" s="105">
        <f ca="1" t="shared" si="40"/>
        <v>0.437259350414786</v>
      </c>
      <c r="AB130" s="105">
        <f ca="1" t="shared" si="41"/>
        <v>0.37343213982106</v>
      </c>
      <c r="AC130" s="105">
        <f ca="1" t="shared" si="42"/>
        <v>0.132147075179564</v>
      </c>
      <c r="AD130" s="105">
        <f ca="1" t="shared" si="43"/>
        <v>0.725262776368249</v>
      </c>
      <c r="AE130" s="105">
        <f ca="1" t="shared" si="44"/>
        <v>0.220369699166365</v>
      </c>
      <c r="AF130" s="105">
        <f ca="1" t="shared" si="45"/>
        <v>0.054367524465386</v>
      </c>
    </row>
    <row r="131" ht="16.5" spans="1:32">
      <c r="A131">
        <f ca="1" t="shared" si="23"/>
        <v>11228</v>
      </c>
      <c r="B131" s="2">
        <v>129</v>
      </c>
      <c r="C131" s="2">
        <f>_xlfn.XLOOKUP(练度预期!D131,装备养成!$B$3:$B$303,装备养成!$D$3:$D$303)*6</f>
        <v>8196</v>
      </c>
      <c r="D131" s="2" cm="1">
        <f ca="1" t="array" ref="D131">_xlfn.XLOOKUP(练度预期!E131&amp;"_"&amp;INT(练度预期!C131/10)*10+10,装备养成!$N$4:$N$219&amp;"_"&amp;装备养成!$K$4:$K$219,装备养成!$P$4:$P$219)*练度预期!F131+_xlfn.XLOOKUP(练度预期!E131-1&amp;"_"&amp;INT(练度预期!C131/10)*10+10,装备养成!$N$4:$N$219&amp;"_"&amp;装备养成!$K$4:$K$219,装备养成!$P$4:$P$219)*(6-练度预期!F131)</f>
        <v>2432</v>
      </c>
      <c r="E131" s="2">
        <f ca="1">练度预期!N131*4*练度预期!M131</f>
        <v>600</v>
      </c>
      <c r="F131" s="103">
        <f ca="1">INT(练度预期!D131/10)*0.02+1+_xlfn.XLOOKUP(练度预期!E131,装备养成!$U$3:$U$11,装备养成!$V$3:$V$11)*练度预期!F131+_xlfn.XLOOKUP(练度预期!E131-1,装备养成!$U$3:$U$11,装备养成!$V$3:$V$11)*(6-练度预期!F131)</f>
        <v>1.55904</v>
      </c>
      <c r="G131" s="48">
        <f ca="1">OFFSET(梦灵养成!$K$20,_xlfn.XLOOKUP(练度预期!H131,梦灵养成!$D$10:$D$28,梦灵养成!$H$10:$H$28),MATCH(OFFSET(梦灵养成!$C$33,B131,MATCH(练度预期!H131,梦灵养成!$D$33:$V$33,0)),梦灵养成!$L$20:$R$20,1))*(1+(OFFSET(梦灵养成!$C$33,B131,MATCH(练度预期!H131,梦灵养成!$D$33:$V$33,0))-1)*_xlfn.XLOOKUP(练度预期!H131,梦灵养成!$D$9:$D$28,梦灵养成!$G$9:$G$28))</f>
        <v>29.8725</v>
      </c>
      <c r="H131" s="46">
        <f ca="1">符文养成!AC132</f>
        <v>18.3268313499641</v>
      </c>
      <c r="I131" s="46">
        <f>MAX(_xlfn.XLOOKUP(练度预期!O131,秘宝养成!$B$3:$B$15,秘宝养成!$E$3:$E$15),1)</f>
        <v>2.7915904</v>
      </c>
      <c r="J131" s="104">
        <f ca="1" t="shared" si="24"/>
        <v>26752865.812117</v>
      </c>
      <c r="K131" s="104">
        <f ca="1">MATCH(J131,关卡预期!$E$4:$E$303,1)</f>
        <v>166</v>
      </c>
      <c r="L131" s="48">
        <f ca="1" t="shared" si="25"/>
        <v>0.729960812255077</v>
      </c>
      <c r="M131" s="48">
        <f ca="1" t="shared" si="26"/>
        <v>0.216601353758461</v>
      </c>
      <c r="N131" s="48">
        <f ca="1" t="shared" si="27"/>
        <v>0.0534378339864624</v>
      </c>
      <c r="O131" s="48">
        <f ca="1" t="shared" si="28"/>
        <v>0.0571079004751476</v>
      </c>
      <c r="P131" s="48">
        <f ca="1" t="shared" si="29"/>
        <v>0.436849838475661</v>
      </c>
      <c r="Q131" s="48">
        <f ca="1" t="shared" si="30"/>
        <v>0.374018947213908</v>
      </c>
      <c r="R131" s="48">
        <f ca="1" t="shared" si="31"/>
        <v>0.132023313835283</v>
      </c>
      <c r="S131" s="46">
        <f ca="1" t="shared" si="32"/>
        <v>0.729960812255077</v>
      </c>
      <c r="T131" s="46">
        <f ca="1" t="shared" si="33"/>
        <v>0.216601353758461</v>
      </c>
      <c r="U131" s="46">
        <f ca="1" t="shared" si="34"/>
        <v>0.0534378339864624</v>
      </c>
      <c r="V131" s="48">
        <f ca="1" t="shared" si="35"/>
        <v>0.444070247219231</v>
      </c>
      <c r="W131" s="48">
        <f ca="1" t="shared" si="36"/>
        <v>3.39693832474177</v>
      </c>
      <c r="X131" s="48">
        <f ca="1" t="shared" si="37"/>
        <v>2.90836618002156</v>
      </c>
      <c r="Y131" s="48">
        <f t="shared" si="38"/>
        <v>1.02661146926685</v>
      </c>
      <c r="Z131" s="105">
        <f ca="1" t="shared" si="39"/>
        <v>0.0571079004751476</v>
      </c>
      <c r="AA131" s="105">
        <f ca="1" t="shared" si="40"/>
        <v>0.436849838475661</v>
      </c>
      <c r="AB131" s="105">
        <f ca="1" t="shared" si="41"/>
        <v>0.374018947213908</v>
      </c>
      <c r="AC131" s="105">
        <f ca="1" t="shared" si="42"/>
        <v>0.132023313835283</v>
      </c>
      <c r="AD131" s="105">
        <f ca="1" t="shared" si="43"/>
        <v>0.729960812255077</v>
      </c>
      <c r="AE131" s="105">
        <f ca="1" t="shared" si="44"/>
        <v>0.216601353758461</v>
      </c>
      <c r="AF131" s="105">
        <f ca="1" t="shared" si="45"/>
        <v>0.0534378339864624</v>
      </c>
    </row>
    <row r="132" ht="16.5" spans="1:32">
      <c r="A132">
        <f ca="1" t="shared" ref="A132:A195" si="46">SUM(C132:E132)</f>
        <v>11228</v>
      </c>
      <c r="B132" s="2">
        <v>130</v>
      </c>
      <c r="C132" s="2">
        <f>_xlfn.XLOOKUP(练度预期!D132,装备养成!$B$3:$B$303,装备养成!$D$3:$D$303)*6</f>
        <v>8196</v>
      </c>
      <c r="D132" s="2" cm="1">
        <f ca="1" t="array" ref="D132">_xlfn.XLOOKUP(练度预期!E132&amp;"_"&amp;INT(练度预期!C132/10)*10+10,装备养成!$N$4:$N$219&amp;"_"&amp;装备养成!$K$4:$K$219,装备养成!$P$4:$P$219)*练度预期!F132+_xlfn.XLOOKUP(练度预期!E132-1&amp;"_"&amp;INT(练度预期!C132/10)*10+10,装备养成!$N$4:$N$219&amp;"_"&amp;装备养成!$K$4:$K$219,装备养成!$P$4:$P$219)*(6-练度预期!F132)</f>
        <v>2432</v>
      </c>
      <c r="E132" s="2">
        <f ca="1">练度预期!N132*4*练度预期!M132</f>
        <v>600</v>
      </c>
      <c r="F132" s="103">
        <f ca="1">INT(练度预期!D132/10)*0.02+1+_xlfn.XLOOKUP(练度预期!E132,装备养成!$U$3:$U$11,装备养成!$V$3:$V$11)*练度预期!F132+_xlfn.XLOOKUP(练度预期!E132-1,装备养成!$U$3:$U$11,装备养成!$V$3:$V$11)*(6-练度预期!F132)</f>
        <v>1.55904</v>
      </c>
      <c r="G132" s="48">
        <f ca="1">OFFSET(梦灵养成!$K$20,_xlfn.XLOOKUP(练度预期!H132,梦灵养成!$D$10:$D$28,梦灵养成!$H$10:$H$28),MATCH(OFFSET(梦灵养成!$C$33,B132,MATCH(练度预期!H132,梦灵养成!$D$33:$V$33,0)),梦灵养成!$L$20:$R$20,1))*(1+(OFFSET(梦灵养成!$C$33,B132,MATCH(练度预期!H132,梦灵养成!$D$33:$V$33,0))-1)*_xlfn.XLOOKUP(练度预期!H132,梦灵养成!$D$9:$D$28,梦灵养成!$G$9:$G$28))</f>
        <v>29.8725</v>
      </c>
      <c r="H132" s="46">
        <f ca="1">符文养成!AC133</f>
        <v>18.4876779391407</v>
      </c>
      <c r="I132" s="46">
        <f>MAX(_xlfn.XLOOKUP(练度预期!O132,秘宝养成!$B$3:$B$15,秘宝养成!$E$3:$E$15),1)</f>
        <v>2.7915904</v>
      </c>
      <c r="J132" s="104">
        <f ca="1" t="shared" ref="J132:J195" si="47">(C132+D132+E132)*G132*H132*I132*F132</f>
        <v>26987664.023243</v>
      </c>
      <c r="K132" s="104">
        <f ca="1">MATCH(J132,关卡预期!$E$4:$E$303,1)</f>
        <v>166</v>
      </c>
      <c r="L132" s="48">
        <f ca="1" t="shared" ref="L132:L195" si="48">S132/SUM($S132:$U132)</f>
        <v>0.729960812255077</v>
      </c>
      <c r="M132" s="48">
        <f ca="1" t="shared" ref="M132:M195" si="49">T132/SUM($S132:$U132)</f>
        <v>0.216601353758461</v>
      </c>
      <c r="N132" s="48">
        <f ca="1" t="shared" ref="N132:N195" si="50">U132/SUM($S132:$U132)</f>
        <v>0.0534378339864623</v>
      </c>
      <c r="O132" s="48">
        <f ca="1" t="shared" ref="O132:O195" si="51">V132/SUM($V132:$Y132)</f>
        <v>0.057043797446966</v>
      </c>
      <c r="P132" s="48">
        <f ca="1" t="shared" ref="P132:P195" si="52">W132/SUM($V132:$Y132)</f>
        <v>0.436359479045985</v>
      </c>
      <c r="Q132" s="48">
        <f ca="1" t="shared" ref="Q132:Q195" si="53">X132/SUM($V132:$Y132)</f>
        <v>0.374721604477335</v>
      </c>
      <c r="R132" s="48">
        <f ca="1" t="shared" ref="R132:R195" si="54">Y132/SUM($V132:$Y132)</f>
        <v>0.131875119029713</v>
      </c>
      <c r="S132" s="46">
        <f ca="1" t="shared" ref="S132:S195" si="55">1-($C132+$D132+$E132-C132)*$G132*$H132*$F132*$I132/$J132</f>
        <v>0.729960812255077</v>
      </c>
      <c r="T132" s="46">
        <f ca="1" t="shared" ref="T132:T195" si="56">1-($C132+$D132+$E132-D132)*$G132*$H132*$F132*$I132/$J132</f>
        <v>0.216601353758461</v>
      </c>
      <c r="U132" s="46">
        <f ca="1" t="shared" ref="U132:U195" si="57">1-($C132+$D132+$E132-E132)*$G132*$H132*$F132*$I132/$J132</f>
        <v>0.0534378339864623</v>
      </c>
      <c r="V132" s="48">
        <f ca="1" t="shared" ref="V132:V195" si="58">LOG(F132,EXP(1))</f>
        <v>0.444070247219231</v>
      </c>
      <c r="W132" s="48">
        <f ca="1" t="shared" ref="W132:W195" si="59">LOG(G132,EXP(1))</f>
        <v>3.39693832474177</v>
      </c>
      <c r="X132" s="48">
        <f ca="1" t="shared" ref="X132:X195" si="60">LOG(H132,EXP(1))</f>
        <v>2.9171044528258</v>
      </c>
      <c r="Y132" s="48">
        <f t="shared" ref="Y132:Y195" si="61">LOG(I132,EXP(1))</f>
        <v>1.02661146926685</v>
      </c>
      <c r="Z132" s="105">
        <f ca="1" t="shared" ref="Z132:Z195" si="62">O132/SUM($O132:$R132)</f>
        <v>0.057043797446966</v>
      </c>
      <c r="AA132" s="105">
        <f ca="1" t="shared" ref="AA132:AA195" si="63">P132/SUM($O132:$R132)</f>
        <v>0.436359479045985</v>
      </c>
      <c r="AB132" s="105">
        <f ca="1" t="shared" ref="AB132:AB195" si="64">Q132/SUM($O132:$R132)</f>
        <v>0.374721604477336</v>
      </c>
      <c r="AC132" s="105">
        <f ca="1" t="shared" ref="AC132:AC195" si="65">R132/SUM($O132:$R132)</f>
        <v>0.131875119029713</v>
      </c>
      <c r="AD132" s="105">
        <f ca="1" t="shared" ref="AD132:AD195" si="66">C132/SUM($C132:$E132)</f>
        <v>0.729960812255077</v>
      </c>
      <c r="AE132" s="105">
        <f ca="1" t="shared" ref="AE132:AE195" si="67">D132/SUM($C132:$E132)</f>
        <v>0.216601353758461</v>
      </c>
      <c r="AF132" s="105">
        <f ca="1" t="shared" ref="AF132:AF195" si="68">E132/SUM($C132:$E132)</f>
        <v>0.0534378339864624</v>
      </c>
    </row>
    <row r="133" ht="16.5" spans="1:32">
      <c r="A133">
        <f ca="1" t="shared" si="46"/>
        <v>11304</v>
      </c>
      <c r="B133" s="2">
        <v>131</v>
      </c>
      <c r="C133" s="2">
        <f>_xlfn.XLOOKUP(练度预期!D133,装备养成!$B$3:$B$303,装备养成!$D$3:$D$303)*6</f>
        <v>8196</v>
      </c>
      <c r="D133" s="2" cm="1">
        <f ca="1" t="array" ref="D133">_xlfn.XLOOKUP(练度预期!E133&amp;"_"&amp;INT(练度预期!C133/10)*10+10,装备养成!$N$4:$N$219&amp;"_"&amp;装备养成!$K$4:$K$219,装备养成!$P$4:$P$219)*练度预期!F133+_xlfn.XLOOKUP(练度预期!E133-1&amp;"_"&amp;INT(练度预期!C133/10)*10+10,装备养成!$N$4:$N$219&amp;"_"&amp;装备养成!$K$4:$K$219,装备养成!$P$4:$P$219)*(6-练度预期!F133)</f>
        <v>2508</v>
      </c>
      <c r="E133" s="2">
        <f ca="1">练度预期!N133*4*练度预期!M133</f>
        <v>600</v>
      </c>
      <c r="F133" s="103">
        <f ca="1">INT(练度预期!D133/10)*0.02+1+_xlfn.XLOOKUP(练度预期!E133,装备养成!$U$3:$U$11,装备养成!$V$3:$V$11)*练度预期!F133+_xlfn.XLOOKUP(练度预期!E133-1,装备养成!$U$3:$U$11,装备养成!$V$3:$V$11)*(6-练度预期!F133)</f>
        <v>1.568</v>
      </c>
      <c r="G133" s="48">
        <f ca="1">OFFSET(梦灵养成!$K$20,_xlfn.XLOOKUP(练度预期!H133,梦灵养成!$D$10:$D$28,梦灵养成!$H$10:$H$28),MATCH(OFFSET(梦灵养成!$C$33,B133,MATCH(练度预期!H133,梦灵养成!$D$33:$V$33,0)),梦灵养成!$L$20:$R$20,1))*(1+(OFFSET(梦灵养成!$C$33,B133,MATCH(练度预期!H133,梦灵养成!$D$33:$V$33,0))-1)*_xlfn.XLOOKUP(练度预期!H133,梦灵养成!$D$9:$D$28,梦灵养成!$G$9:$G$28))</f>
        <v>29.8725</v>
      </c>
      <c r="H133" s="46">
        <f ca="1">符文养成!AC134</f>
        <v>18.6222628040129</v>
      </c>
      <c r="I133" s="46">
        <f>MAX(_xlfn.XLOOKUP(练度预期!O133,秘宝养成!$B$3:$B$15,秘宝养成!$E$3:$E$15),1)</f>
        <v>2.7915904</v>
      </c>
      <c r="J133" s="104">
        <f ca="1" t="shared" si="47"/>
        <v>27525418.0983103</v>
      </c>
      <c r="K133" s="104">
        <f ca="1">MATCH(J133,关卡预期!$E$4:$E$303,1)</f>
        <v>166</v>
      </c>
      <c r="L133" s="48">
        <f ca="1" t="shared" si="48"/>
        <v>0.725053078556263</v>
      </c>
      <c r="M133" s="48">
        <f ca="1" t="shared" si="49"/>
        <v>0.221868365180467</v>
      </c>
      <c r="N133" s="48">
        <f ca="1" t="shared" si="50"/>
        <v>0.0530785562632696</v>
      </c>
      <c r="O133" s="48">
        <f ca="1" t="shared" si="51"/>
        <v>0.0576837312641564</v>
      </c>
      <c r="P133" s="48">
        <f ca="1" t="shared" si="52"/>
        <v>0.435632894226458</v>
      </c>
      <c r="Q133" s="48">
        <f ca="1" t="shared" si="53"/>
        <v>0.375027841541535</v>
      </c>
      <c r="R133" s="48">
        <f ca="1" t="shared" si="54"/>
        <v>0.13165553296785</v>
      </c>
      <c r="S133" s="46">
        <f ca="1" t="shared" si="55"/>
        <v>0.725053078556263</v>
      </c>
      <c r="T133" s="46">
        <f ca="1" t="shared" si="56"/>
        <v>0.221868365180467</v>
      </c>
      <c r="U133" s="46">
        <f ca="1" t="shared" si="57"/>
        <v>0.0530785562632696</v>
      </c>
      <c r="V133" s="48">
        <f ca="1" t="shared" si="58"/>
        <v>0.449800921928216</v>
      </c>
      <c r="W133" s="48">
        <f ca="1" t="shared" si="59"/>
        <v>3.39693832474177</v>
      </c>
      <c r="X133" s="48">
        <f ca="1" t="shared" si="60"/>
        <v>2.92435778992249</v>
      </c>
      <c r="Y133" s="48">
        <f t="shared" si="61"/>
        <v>1.02661146926685</v>
      </c>
      <c r="Z133" s="105">
        <f ca="1" t="shared" si="62"/>
        <v>0.0576837312641564</v>
      </c>
      <c r="AA133" s="105">
        <f ca="1" t="shared" si="63"/>
        <v>0.435632894226458</v>
      </c>
      <c r="AB133" s="105">
        <f ca="1" t="shared" si="64"/>
        <v>0.375027841541535</v>
      </c>
      <c r="AC133" s="105">
        <f ca="1" t="shared" si="65"/>
        <v>0.13165553296785</v>
      </c>
      <c r="AD133" s="105">
        <f ca="1" t="shared" si="66"/>
        <v>0.725053078556263</v>
      </c>
      <c r="AE133" s="105">
        <f ca="1" t="shared" si="67"/>
        <v>0.221868365180467</v>
      </c>
      <c r="AF133" s="105">
        <f ca="1" t="shared" si="68"/>
        <v>0.0530785562632696</v>
      </c>
    </row>
    <row r="134" ht="16.5" spans="1:32">
      <c r="A134">
        <f ca="1" t="shared" si="46"/>
        <v>11496</v>
      </c>
      <c r="B134" s="2">
        <v>132</v>
      </c>
      <c r="C134" s="2">
        <f>_xlfn.XLOOKUP(练度预期!D134,装备养成!$B$3:$B$303,装备养成!$D$3:$D$303)*6</f>
        <v>8388</v>
      </c>
      <c r="D134" s="2" cm="1">
        <f ca="1" t="array" ref="D134">_xlfn.XLOOKUP(练度预期!E134&amp;"_"&amp;INT(练度预期!C134/10)*10+10,装备养成!$N$4:$N$219&amp;"_"&amp;装备养成!$K$4:$K$219,装备养成!$P$4:$P$219)*练度预期!F134+_xlfn.XLOOKUP(练度预期!E134-1&amp;"_"&amp;INT(练度预期!C134/10)*10+10,装备养成!$N$4:$N$219&amp;"_"&amp;装备养成!$K$4:$K$219,装备养成!$P$4:$P$219)*(6-练度预期!F134)</f>
        <v>2508</v>
      </c>
      <c r="E134" s="2">
        <f ca="1">练度预期!N134*4*练度预期!M134</f>
        <v>600</v>
      </c>
      <c r="F134" s="103">
        <f ca="1">INT(练度预期!D134/10)*0.02+1+_xlfn.XLOOKUP(练度预期!E134,装备养成!$U$3:$U$11,装备养成!$V$3:$V$11)*练度预期!F134+_xlfn.XLOOKUP(练度预期!E134-1,装备养成!$U$3:$U$11,装备养成!$V$3:$V$11)*(6-练度预期!F134)</f>
        <v>1.568</v>
      </c>
      <c r="G134" s="48">
        <f ca="1">OFFSET(梦灵养成!$K$20,_xlfn.XLOOKUP(练度预期!H134,梦灵养成!$D$10:$D$28,梦灵养成!$H$10:$H$28),MATCH(OFFSET(梦灵养成!$C$33,B134,MATCH(练度预期!H134,梦灵养成!$D$33:$V$33,0)),梦灵养成!$L$20:$R$20,1))*(1+(OFFSET(梦灵养成!$C$33,B134,MATCH(练度预期!H134,梦灵养成!$D$33:$V$33,0))-1)*_xlfn.XLOOKUP(练度预期!H134,梦灵养成!$D$9:$D$28,梦灵养成!$G$9:$G$28))</f>
        <v>29.8725</v>
      </c>
      <c r="H134" s="46">
        <f ca="1">符文养成!AC135</f>
        <v>18.7850373544413</v>
      </c>
      <c r="I134" s="46">
        <f>MAX(_xlfn.XLOOKUP(练度预期!O134,秘宝养成!$B$3:$B$15,秘宝养成!$E$3:$E$15),1)</f>
        <v>2.7915904</v>
      </c>
      <c r="J134" s="104">
        <f ca="1" t="shared" si="47"/>
        <v>28237623.4401118</v>
      </c>
      <c r="K134" s="104">
        <f ca="1">MATCH(J134,关卡预期!$E$4:$E$303,1)</f>
        <v>167</v>
      </c>
      <c r="L134" s="48">
        <f ca="1" t="shared" si="48"/>
        <v>0.72964509394572</v>
      </c>
      <c r="M134" s="48">
        <f ca="1" t="shared" si="49"/>
        <v>0.218162839248434</v>
      </c>
      <c r="N134" s="48">
        <f ca="1" t="shared" si="50"/>
        <v>0.0521920668058456</v>
      </c>
      <c r="O134" s="48">
        <f ca="1" t="shared" si="51"/>
        <v>0.0576194232960561</v>
      </c>
      <c r="P134" s="48">
        <f ca="1" t="shared" si="52"/>
        <v>0.43514723448061</v>
      </c>
      <c r="Q134" s="48">
        <f ca="1" t="shared" si="53"/>
        <v>0.375724583738146</v>
      </c>
      <c r="R134" s="48">
        <f ca="1" t="shared" si="54"/>
        <v>0.131508758485188</v>
      </c>
      <c r="S134" s="46">
        <f ca="1" t="shared" si="55"/>
        <v>0.72964509394572</v>
      </c>
      <c r="T134" s="46">
        <f ca="1" t="shared" si="56"/>
        <v>0.218162839248434</v>
      </c>
      <c r="U134" s="46">
        <f ca="1" t="shared" si="57"/>
        <v>0.0521920668058456</v>
      </c>
      <c r="V134" s="48">
        <f ca="1" t="shared" si="58"/>
        <v>0.449800921928216</v>
      </c>
      <c r="W134" s="48">
        <f ca="1" t="shared" si="59"/>
        <v>3.39693832474177</v>
      </c>
      <c r="X134" s="48">
        <f ca="1" t="shared" si="60"/>
        <v>2.93306066754891</v>
      </c>
      <c r="Y134" s="48">
        <f t="shared" si="61"/>
        <v>1.02661146926685</v>
      </c>
      <c r="Z134" s="105">
        <f ca="1" t="shared" si="62"/>
        <v>0.0576194232960561</v>
      </c>
      <c r="AA134" s="105">
        <f ca="1" t="shared" si="63"/>
        <v>0.43514723448061</v>
      </c>
      <c r="AB134" s="105">
        <f ca="1" t="shared" si="64"/>
        <v>0.375724583738146</v>
      </c>
      <c r="AC134" s="105">
        <f ca="1" t="shared" si="65"/>
        <v>0.131508758485188</v>
      </c>
      <c r="AD134" s="105">
        <f ca="1" t="shared" si="66"/>
        <v>0.72964509394572</v>
      </c>
      <c r="AE134" s="105">
        <f ca="1" t="shared" si="67"/>
        <v>0.218162839248434</v>
      </c>
      <c r="AF134" s="105">
        <f ca="1" t="shared" si="68"/>
        <v>0.0521920668058455</v>
      </c>
    </row>
    <row r="135" ht="16.5" spans="1:32">
      <c r="A135">
        <f ca="1" t="shared" si="46"/>
        <v>11496</v>
      </c>
      <c r="B135" s="2">
        <v>133</v>
      </c>
      <c r="C135" s="2">
        <f>_xlfn.XLOOKUP(练度预期!D135,装备养成!$B$3:$B$303,装备养成!$D$3:$D$303)*6</f>
        <v>8388</v>
      </c>
      <c r="D135" s="2" cm="1">
        <f ca="1" t="array" ref="D135">_xlfn.XLOOKUP(练度预期!E135&amp;"_"&amp;INT(练度预期!C135/10)*10+10,装备养成!$N$4:$N$219&amp;"_"&amp;装备养成!$K$4:$K$219,装备养成!$P$4:$P$219)*练度预期!F135+_xlfn.XLOOKUP(练度预期!E135-1&amp;"_"&amp;INT(练度预期!C135/10)*10+10,装备养成!$N$4:$N$219&amp;"_"&amp;装备养成!$K$4:$K$219,装备养成!$P$4:$P$219)*(6-练度预期!F135)</f>
        <v>2508</v>
      </c>
      <c r="E135" s="2">
        <f ca="1">练度预期!N135*4*练度预期!M135</f>
        <v>600</v>
      </c>
      <c r="F135" s="103">
        <f ca="1">INT(练度预期!D135/10)*0.02+1+_xlfn.XLOOKUP(练度预期!E135,装备养成!$U$3:$U$11,装备养成!$V$3:$V$11)*练度预期!F135+_xlfn.XLOOKUP(练度预期!E135-1,装备养成!$U$3:$U$11,装备养成!$V$3:$V$11)*(6-练度预期!F135)</f>
        <v>1.568</v>
      </c>
      <c r="G135" s="48">
        <f ca="1">OFFSET(梦灵养成!$K$20,_xlfn.XLOOKUP(练度预期!H135,梦灵养成!$D$10:$D$28,梦灵养成!$H$10:$H$28),MATCH(OFFSET(梦灵养成!$C$33,B135,MATCH(练度预期!H135,梦灵养成!$D$33:$V$33,0)),梦灵养成!$L$20:$R$20,1))*(1+(OFFSET(梦灵养成!$C$33,B135,MATCH(练度预期!H135,梦灵养成!$D$33:$V$33,0))-1)*_xlfn.XLOOKUP(练度预期!H135,梦灵养成!$D$9:$D$28,梦灵养成!$G$9:$G$28))</f>
        <v>29.8725</v>
      </c>
      <c r="H135" s="46">
        <f ca="1">符文养成!AC136</f>
        <v>18.905068521628</v>
      </c>
      <c r="I135" s="46">
        <f>MAX(_xlfn.XLOOKUP(练度预期!O135,秘宝养成!$B$3:$B$15,秘宝养成!$E$3:$E$15),1)</f>
        <v>2.7915904</v>
      </c>
      <c r="J135" s="104">
        <f ca="1" t="shared" si="47"/>
        <v>28418054.0049355</v>
      </c>
      <c r="K135" s="104">
        <f ca="1">MATCH(J135,关卡预期!$E$4:$E$303,1)</f>
        <v>167</v>
      </c>
      <c r="L135" s="48">
        <f ca="1" t="shared" si="48"/>
        <v>0.72964509394572</v>
      </c>
      <c r="M135" s="48">
        <f ca="1" t="shared" si="49"/>
        <v>0.218162839248434</v>
      </c>
      <c r="N135" s="48">
        <f ca="1" t="shared" si="50"/>
        <v>0.0521920668058455</v>
      </c>
      <c r="O135" s="48">
        <f ca="1" t="shared" si="51"/>
        <v>0.0575724488784432</v>
      </c>
      <c r="P135" s="48">
        <f ca="1" t="shared" si="52"/>
        <v>0.434792479317397</v>
      </c>
      <c r="Q135" s="48">
        <f ca="1" t="shared" si="53"/>
        <v>0.376233526251477</v>
      </c>
      <c r="R135" s="48">
        <f ca="1" t="shared" si="54"/>
        <v>0.131401545552683</v>
      </c>
      <c r="S135" s="46">
        <f ca="1" t="shared" si="55"/>
        <v>0.72964509394572</v>
      </c>
      <c r="T135" s="46">
        <f ca="1" t="shared" si="56"/>
        <v>0.218162839248434</v>
      </c>
      <c r="U135" s="46">
        <f ca="1" t="shared" si="57"/>
        <v>0.0521920668058455</v>
      </c>
      <c r="V135" s="48">
        <f ca="1" t="shared" si="58"/>
        <v>0.449800921928216</v>
      </c>
      <c r="W135" s="48">
        <f ca="1" t="shared" si="59"/>
        <v>3.39693832474177</v>
      </c>
      <c r="X135" s="48">
        <f ca="1" t="shared" si="60"/>
        <v>2.93943006186042</v>
      </c>
      <c r="Y135" s="48">
        <f t="shared" si="61"/>
        <v>1.02661146926685</v>
      </c>
      <c r="Z135" s="105">
        <f ca="1" t="shared" si="62"/>
        <v>0.0575724488784432</v>
      </c>
      <c r="AA135" s="105">
        <f ca="1" t="shared" si="63"/>
        <v>0.434792479317397</v>
      </c>
      <c r="AB135" s="105">
        <f ca="1" t="shared" si="64"/>
        <v>0.376233526251477</v>
      </c>
      <c r="AC135" s="105">
        <f ca="1" t="shared" si="65"/>
        <v>0.131401545552683</v>
      </c>
      <c r="AD135" s="105">
        <f ca="1" t="shared" si="66"/>
        <v>0.72964509394572</v>
      </c>
      <c r="AE135" s="105">
        <f ca="1" t="shared" si="67"/>
        <v>0.218162839248434</v>
      </c>
      <c r="AF135" s="105">
        <f ca="1" t="shared" si="68"/>
        <v>0.0521920668058455</v>
      </c>
    </row>
    <row r="136" ht="16.5" spans="1:32">
      <c r="A136">
        <f ca="1" t="shared" si="46"/>
        <v>11496</v>
      </c>
      <c r="B136" s="2">
        <v>134</v>
      </c>
      <c r="C136" s="2">
        <f>_xlfn.XLOOKUP(练度预期!D136,装备养成!$B$3:$B$303,装备养成!$D$3:$D$303)*6</f>
        <v>8388</v>
      </c>
      <c r="D136" s="2" cm="1">
        <f ca="1" t="array" ref="D136">_xlfn.XLOOKUP(练度预期!E136&amp;"_"&amp;INT(练度预期!C136/10)*10+10,装备养成!$N$4:$N$219&amp;"_"&amp;装备养成!$K$4:$K$219,装备养成!$P$4:$P$219)*练度预期!F136+_xlfn.XLOOKUP(练度预期!E136-1&amp;"_"&amp;INT(练度预期!C136/10)*10+10,装备养成!$N$4:$N$219&amp;"_"&amp;装备养成!$K$4:$K$219,装备养成!$P$4:$P$219)*(6-练度预期!F136)</f>
        <v>2508</v>
      </c>
      <c r="E136" s="2">
        <f ca="1">练度预期!N136*4*练度预期!M136</f>
        <v>600</v>
      </c>
      <c r="F136" s="103">
        <f ca="1">INT(练度预期!D136/10)*0.02+1+_xlfn.XLOOKUP(练度预期!E136,装备养成!$U$3:$U$11,装备养成!$V$3:$V$11)*练度预期!F136+_xlfn.XLOOKUP(练度预期!E136-1,装备养成!$U$3:$U$11,装备养成!$V$3:$V$11)*(6-练度预期!F136)</f>
        <v>1.568</v>
      </c>
      <c r="G136" s="48">
        <f ca="1">OFFSET(梦灵养成!$K$20,_xlfn.XLOOKUP(练度预期!H136,梦灵养成!$D$10:$D$28,梦灵养成!$H$10:$H$28),MATCH(OFFSET(梦灵养成!$C$33,B136,MATCH(练度预期!H136,梦灵养成!$D$33:$V$33,0)),梦灵养成!$L$20:$R$20,1))*(1+(OFFSET(梦灵养成!$C$33,B136,MATCH(练度预期!H136,梦灵养成!$D$33:$V$33,0))-1)*_xlfn.XLOOKUP(练度预期!H136,梦灵养成!$D$9:$D$28,梦灵养成!$G$9:$G$28))</f>
        <v>29.8725</v>
      </c>
      <c r="H136" s="46">
        <f ca="1">符文养成!AC137</f>
        <v>19.0667636423757</v>
      </c>
      <c r="I136" s="46">
        <f>MAX(_xlfn.XLOOKUP(练度预期!O136,秘宝养成!$B$3:$B$15,秘宝养成!$E$3:$E$15),1)</f>
        <v>2.7915904</v>
      </c>
      <c r="J136" s="104">
        <f ca="1" t="shared" si="47"/>
        <v>28661113.7255858</v>
      </c>
      <c r="K136" s="104">
        <f ca="1">MATCH(J136,关卡预期!$E$4:$E$303,1)</f>
        <v>167</v>
      </c>
      <c r="L136" s="48">
        <f ca="1" t="shared" si="48"/>
        <v>0.72964509394572</v>
      </c>
      <c r="M136" s="48">
        <f ca="1" t="shared" si="49"/>
        <v>0.218162839248434</v>
      </c>
      <c r="N136" s="48">
        <f ca="1" t="shared" si="50"/>
        <v>0.0521920668058455</v>
      </c>
      <c r="O136" s="48">
        <f ca="1" t="shared" si="51"/>
        <v>0.057509758067855</v>
      </c>
      <c r="P136" s="48">
        <f ca="1" t="shared" si="52"/>
        <v>0.434319032495227</v>
      </c>
      <c r="Q136" s="48">
        <f ca="1" t="shared" si="53"/>
        <v>0.376912747417482</v>
      </c>
      <c r="R136" s="48">
        <f ca="1" t="shared" si="54"/>
        <v>0.131258462019435</v>
      </c>
      <c r="S136" s="46">
        <f ca="1" t="shared" si="55"/>
        <v>0.72964509394572</v>
      </c>
      <c r="T136" s="46">
        <f ca="1" t="shared" si="56"/>
        <v>0.218162839248434</v>
      </c>
      <c r="U136" s="46">
        <f ca="1" t="shared" si="57"/>
        <v>0.0521920668058455</v>
      </c>
      <c r="V136" s="48">
        <f ca="1" t="shared" si="58"/>
        <v>0.449800921928216</v>
      </c>
      <c r="W136" s="48">
        <f ca="1" t="shared" si="59"/>
        <v>3.39693832474177</v>
      </c>
      <c r="X136" s="48">
        <f ca="1" t="shared" si="60"/>
        <v>2.94794669584329</v>
      </c>
      <c r="Y136" s="48">
        <f t="shared" si="61"/>
        <v>1.02661146926685</v>
      </c>
      <c r="Z136" s="105">
        <f ca="1" t="shared" si="62"/>
        <v>0.057509758067855</v>
      </c>
      <c r="AA136" s="105">
        <f ca="1" t="shared" si="63"/>
        <v>0.434319032495227</v>
      </c>
      <c r="AB136" s="105">
        <f ca="1" t="shared" si="64"/>
        <v>0.376912747417482</v>
      </c>
      <c r="AC136" s="105">
        <f ca="1" t="shared" si="65"/>
        <v>0.131258462019435</v>
      </c>
      <c r="AD136" s="105">
        <f ca="1" t="shared" si="66"/>
        <v>0.72964509394572</v>
      </c>
      <c r="AE136" s="105">
        <f ca="1" t="shared" si="67"/>
        <v>0.218162839248434</v>
      </c>
      <c r="AF136" s="105">
        <f ca="1" t="shared" si="68"/>
        <v>0.0521920668058455</v>
      </c>
    </row>
    <row r="137" ht="16.5" spans="1:32">
      <c r="A137">
        <f ca="1" t="shared" si="46"/>
        <v>11712</v>
      </c>
      <c r="B137" s="2">
        <v>135</v>
      </c>
      <c r="C137" s="2">
        <f>_xlfn.XLOOKUP(练度预期!D137,装备养成!$B$3:$B$303,装备养成!$D$3:$D$303)*6</f>
        <v>8604</v>
      </c>
      <c r="D137" s="2" cm="1">
        <f ca="1" t="array" ref="D137">_xlfn.XLOOKUP(练度预期!E137&amp;"_"&amp;INT(练度预期!C137/10)*10+10,装备养成!$N$4:$N$219&amp;"_"&amp;装备养成!$K$4:$K$219,装备养成!$P$4:$P$219)*练度预期!F137+_xlfn.XLOOKUP(练度预期!E137-1&amp;"_"&amp;INT(练度预期!C137/10)*10+10,装备养成!$N$4:$N$219&amp;"_"&amp;装备养成!$K$4:$K$219,装备养成!$P$4:$P$219)*(6-练度预期!F137)</f>
        <v>2508</v>
      </c>
      <c r="E137" s="2">
        <f ca="1">练度预期!N137*4*练度预期!M137</f>
        <v>600</v>
      </c>
      <c r="F137" s="103">
        <f ca="1">INT(练度预期!D137/10)*0.02+1+_xlfn.XLOOKUP(练度预期!E137,装备养成!$U$3:$U$11,装备养成!$V$3:$V$11)*练度预期!F137+_xlfn.XLOOKUP(练度预期!E137-1,装备养成!$U$3:$U$11,装备养成!$V$3:$V$11)*(6-练度预期!F137)</f>
        <v>1.568</v>
      </c>
      <c r="G137" s="48">
        <f ca="1">OFFSET(梦灵养成!$K$20,_xlfn.XLOOKUP(练度预期!H137,梦灵养成!$D$10:$D$28,梦灵养成!$H$10:$H$28),MATCH(OFFSET(梦灵养成!$C$33,B137,MATCH(练度预期!H137,梦灵养成!$D$33:$V$33,0)),梦灵养成!$L$20:$R$20,1))*(1+(OFFSET(梦灵养成!$C$33,B137,MATCH(练度预期!H137,梦灵养成!$D$33:$V$33,0))-1)*_xlfn.XLOOKUP(练度预期!H137,梦灵养成!$D$9:$D$28,梦灵养成!$G$9:$G$28))</f>
        <v>29.8725</v>
      </c>
      <c r="H137" s="46">
        <f ca="1">符文养成!AC138</f>
        <v>19.2073697052828</v>
      </c>
      <c r="I137" s="46">
        <f>MAX(_xlfn.XLOOKUP(练度预期!O137,秘宝养成!$B$3:$B$15,秘宝养成!$E$3:$E$15),1)</f>
        <v>2.7915904</v>
      </c>
      <c r="J137" s="104">
        <f ca="1" t="shared" si="47"/>
        <v>29414961.4681554</v>
      </c>
      <c r="K137" s="104">
        <f ca="1">MATCH(J137,关卡预期!$E$4:$E$303,1)</f>
        <v>168</v>
      </c>
      <c r="L137" s="48">
        <f ca="1" t="shared" si="48"/>
        <v>0.734631147540984</v>
      </c>
      <c r="M137" s="48">
        <f ca="1" t="shared" si="49"/>
        <v>0.214139344262295</v>
      </c>
      <c r="N137" s="48">
        <f ca="1" t="shared" si="50"/>
        <v>0.0512295081967213</v>
      </c>
      <c r="O137" s="48">
        <f ca="1" t="shared" si="51"/>
        <v>0.0574557839459515</v>
      </c>
      <c r="P137" s="48">
        <f ca="1" t="shared" si="52"/>
        <v>0.433911414915316</v>
      </c>
      <c r="Q137" s="48">
        <f ca="1" t="shared" si="53"/>
        <v>0.377497527956599</v>
      </c>
      <c r="R137" s="48">
        <f ca="1" t="shared" si="54"/>
        <v>0.131135273182133</v>
      </c>
      <c r="S137" s="46">
        <f ca="1" t="shared" si="55"/>
        <v>0.734631147540984</v>
      </c>
      <c r="T137" s="46">
        <f ca="1" t="shared" si="56"/>
        <v>0.214139344262295</v>
      </c>
      <c r="U137" s="46">
        <f ca="1" t="shared" si="57"/>
        <v>0.0512295081967213</v>
      </c>
      <c r="V137" s="48">
        <f ca="1" t="shared" si="58"/>
        <v>0.449800921928216</v>
      </c>
      <c r="W137" s="48">
        <f ca="1" t="shared" si="59"/>
        <v>3.39693832474177</v>
      </c>
      <c r="X137" s="48">
        <f ca="1" t="shared" si="60"/>
        <v>2.95529404420328</v>
      </c>
      <c r="Y137" s="48">
        <f t="shared" si="61"/>
        <v>1.02661146926685</v>
      </c>
      <c r="Z137" s="105">
        <f ca="1" t="shared" si="62"/>
        <v>0.0574557839459516</v>
      </c>
      <c r="AA137" s="105">
        <f ca="1" t="shared" si="63"/>
        <v>0.433911414915316</v>
      </c>
      <c r="AB137" s="105">
        <f ca="1" t="shared" si="64"/>
        <v>0.377497527956599</v>
      </c>
      <c r="AC137" s="105">
        <f ca="1" t="shared" si="65"/>
        <v>0.131135273182133</v>
      </c>
      <c r="AD137" s="105">
        <f ca="1" t="shared" si="66"/>
        <v>0.734631147540984</v>
      </c>
      <c r="AE137" s="105">
        <f ca="1" t="shared" si="67"/>
        <v>0.214139344262295</v>
      </c>
      <c r="AF137" s="105">
        <f ca="1" t="shared" si="68"/>
        <v>0.0512295081967213</v>
      </c>
    </row>
    <row r="138" ht="16.5" spans="1:32">
      <c r="A138">
        <f ca="1" t="shared" si="46"/>
        <v>11712</v>
      </c>
      <c r="B138" s="2">
        <v>136</v>
      </c>
      <c r="C138" s="2">
        <f>_xlfn.XLOOKUP(练度预期!D138,装备养成!$B$3:$B$303,装备养成!$D$3:$D$303)*6</f>
        <v>8604</v>
      </c>
      <c r="D138" s="2" cm="1">
        <f ca="1" t="array" ref="D138">_xlfn.XLOOKUP(练度预期!E138&amp;"_"&amp;INT(练度预期!C138/10)*10+10,装备养成!$N$4:$N$219&amp;"_"&amp;装备养成!$K$4:$K$219,装备养成!$P$4:$P$219)*练度预期!F138+_xlfn.XLOOKUP(练度预期!E138-1&amp;"_"&amp;INT(练度预期!C138/10)*10+10,装备养成!$N$4:$N$219&amp;"_"&amp;装备养成!$K$4:$K$219,装备养成!$P$4:$P$219)*(6-练度预期!F138)</f>
        <v>2508</v>
      </c>
      <c r="E138" s="2">
        <f ca="1">练度预期!N138*4*练度预期!M138</f>
        <v>600</v>
      </c>
      <c r="F138" s="103">
        <f ca="1">INT(练度预期!D138/10)*0.02+1+_xlfn.XLOOKUP(练度预期!E138,装备养成!$U$3:$U$11,装备养成!$V$3:$V$11)*练度预期!F138+_xlfn.XLOOKUP(练度预期!E138-1,装备养成!$U$3:$U$11,装备养成!$V$3:$V$11)*(6-练度预期!F138)</f>
        <v>1.568</v>
      </c>
      <c r="G138" s="48">
        <f ca="1">OFFSET(梦灵养成!$K$20,_xlfn.XLOOKUP(练度预期!H138,梦灵养成!$D$10:$D$28,梦灵养成!$H$10:$H$28),MATCH(OFFSET(梦灵养成!$C$33,B138,MATCH(练度预期!H138,梦灵养成!$D$33:$V$33,0)),梦灵养成!$L$20:$R$20,1))*(1+(OFFSET(梦灵养成!$C$33,B138,MATCH(练度预期!H138,梦灵养成!$D$33:$V$33,0))-1)*_xlfn.XLOOKUP(练度预期!H138,梦灵养成!$D$9:$D$28,梦灵养成!$G$9:$G$28))</f>
        <v>29.8725</v>
      </c>
      <c r="H138" s="46">
        <f ca="1">符文养成!AC139</f>
        <v>19.3709552469093</v>
      </c>
      <c r="I138" s="46">
        <f>MAX(_xlfn.XLOOKUP(练度预期!O138,秘宝养成!$B$3:$B$15,秘宝养成!$E$3:$E$15),1)</f>
        <v>2.7915904</v>
      </c>
      <c r="J138" s="104">
        <f ca="1" t="shared" si="47"/>
        <v>29665483.141738</v>
      </c>
      <c r="K138" s="104">
        <f ca="1">MATCH(J138,关卡预期!$E$4:$E$303,1)</f>
        <v>168</v>
      </c>
      <c r="L138" s="48">
        <f ca="1" t="shared" si="48"/>
        <v>0.734631147540984</v>
      </c>
      <c r="M138" s="48">
        <f ca="1" t="shared" si="49"/>
        <v>0.214139344262295</v>
      </c>
      <c r="N138" s="48">
        <f ca="1" t="shared" si="50"/>
        <v>0.0512295081967215</v>
      </c>
      <c r="O138" s="48">
        <f ca="1" t="shared" si="51"/>
        <v>0.0573936096178286</v>
      </c>
      <c r="P138" s="48">
        <f ca="1" t="shared" si="52"/>
        <v>0.433441868616677</v>
      </c>
      <c r="Q138" s="48">
        <f ca="1" t="shared" si="53"/>
        <v>0.378171153313283</v>
      </c>
      <c r="R138" s="48">
        <f ca="1" t="shared" si="54"/>
        <v>0.130993368452211</v>
      </c>
      <c r="S138" s="46">
        <f ca="1" t="shared" si="55"/>
        <v>0.734631147540984</v>
      </c>
      <c r="T138" s="46">
        <f ca="1" t="shared" si="56"/>
        <v>0.214139344262295</v>
      </c>
      <c r="U138" s="46">
        <f ca="1" t="shared" si="57"/>
        <v>0.0512295081967215</v>
      </c>
      <c r="V138" s="48">
        <f ca="1" t="shared" si="58"/>
        <v>0.449800921928216</v>
      </c>
      <c r="W138" s="48">
        <f ca="1" t="shared" si="59"/>
        <v>3.39693832474177</v>
      </c>
      <c r="X138" s="48">
        <f ca="1" t="shared" si="60"/>
        <v>2.96377479199586</v>
      </c>
      <c r="Y138" s="48">
        <f t="shared" si="61"/>
        <v>1.02661146926685</v>
      </c>
      <c r="Z138" s="105">
        <f ca="1" t="shared" si="62"/>
        <v>0.0573936096178286</v>
      </c>
      <c r="AA138" s="105">
        <f ca="1" t="shared" si="63"/>
        <v>0.433441868616677</v>
      </c>
      <c r="AB138" s="105">
        <f ca="1" t="shared" si="64"/>
        <v>0.378171153313283</v>
      </c>
      <c r="AC138" s="105">
        <f ca="1" t="shared" si="65"/>
        <v>0.130993368452211</v>
      </c>
      <c r="AD138" s="105">
        <f ca="1" t="shared" si="66"/>
        <v>0.734631147540984</v>
      </c>
      <c r="AE138" s="105">
        <f ca="1" t="shared" si="67"/>
        <v>0.214139344262295</v>
      </c>
      <c r="AF138" s="105">
        <f ca="1" t="shared" si="68"/>
        <v>0.0512295081967213</v>
      </c>
    </row>
    <row r="139" ht="16.5" spans="1:32">
      <c r="A139">
        <f ca="1" t="shared" si="46"/>
        <v>11712</v>
      </c>
      <c r="B139" s="2">
        <v>137</v>
      </c>
      <c r="C139" s="2">
        <f>_xlfn.XLOOKUP(练度预期!D139,装备养成!$B$3:$B$303,装备养成!$D$3:$D$303)*6</f>
        <v>8604</v>
      </c>
      <c r="D139" s="2" cm="1">
        <f ca="1" t="array" ref="D139">_xlfn.XLOOKUP(练度预期!E139&amp;"_"&amp;INT(练度预期!C139/10)*10+10,装备养成!$N$4:$N$219&amp;"_"&amp;装备养成!$K$4:$K$219,装备养成!$P$4:$P$219)*练度预期!F139+_xlfn.XLOOKUP(练度预期!E139-1&amp;"_"&amp;INT(练度预期!C139/10)*10+10,装备养成!$N$4:$N$219&amp;"_"&amp;装备养成!$K$4:$K$219,装备养成!$P$4:$P$219)*(6-练度预期!F139)</f>
        <v>2508</v>
      </c>
      <c r="E139" s="2">
        <f ca="1">练度预期!N139*4*练度预期!M139</f>
        <v>600</v>
      </c>
      <c r="F139" s="103">
        <f ca="1">INT(练度预期!D139/10)*0.02+1+_xlfn.XLOOKUP(练度预期!E139,装备养成!$U$3:$U$11,装备养成!$V$3:$V$11)*练度预期!F139+_xlfn.XLOOKUP(练度预期!E139-1,装备养成!$U$3:$U$11,装备养成!$V$3:$V$11)*(6-练度预期!F139)</f>
        <v>1.568</v>
      </c>
      <c r="G139" s="48">
        <f ca="1">OFFSET(梦灵养成!$K$20,_xlfn.XLOOKUP(练度预期!H139,梦灵养成!$D$10:$D$28,梦灵养成!$H$10:$H$28),MATCH(OFFSET(梦灵养成!$C$33,B139,MATCH(练度预期!H139,梦灵养成!$D$33:$V$33,0)),梦灵养成!$L$20:$R$20,1))*(1+(OFFSET(梦灵养成!$C$33,B139,MATCH(练度预期!H139,梦灵养成!$D$33:$V$33,0))-1)*_xlfn.XLOOKUP(练度预期!H139,梦灵养成!$D$9:$D$28,梦灵养成!$G$9:$G$28))</f>
        <v>29.8725</v>
      </c>
      <c r="H139" s="46">
        <f ca="1">符文养成!AC140</f>
        <v>19.5385077216786</v>
      </c>
      <c r="I139" s="46">
        <f>MAX(_xlfn.XLOOKUP(练度预期!O139,秘宝养成!$B$3:$B$15,秘宝养成!$E$3:$E$15),1)</f>
        <v>2.7915904</v>
      </c>
      <c r="J139" s="104">
        <f ca="1" t="shared" si="47"/>
        <v>29922079.9410322</v>
      </c>
      <c r="K139" s="104">
        <f ca="1">MATCH(J139,关卡预期!$E$4:$E$303,1)</f>
        <v>168</v>
      </c>
      <c r="L139" s="48">
        <f ca="1" t="shared" si="48"/>
        <v>0.734631147540984</v>
      </c>
      <c r="M139" s="48">
        <f ca="1" t="shared" si="49"/>
        <v>0.214139344262295</v>
      </c>
      <c r="N139" s="48">
        <f ca="1" t="shared" si="50"/>
        <v>0.0512295081967212</v>
      </c>
      <c r="O139" s="48">
        <f ca="1" t="shared" si="51"/>
        <v>0.0573306070821437</v>
      </c>
      <c r="P139" s="48">
        <f ca="1" t="shared" si="52"/>
        <v>0.432966067617633</v>
      </c>
      <c r="Q139" s="48">
        <f ca="1" t="shared" si="53"/>
        <v>0.37885375185281</v>
      </c>
      <c r="R139" s="48">
        <f ca="1" t="shared" si="54"/>
        <v>0.130849573447413</v>
      </c>
      <c r="S139" s="46">
        <f ca="1" t="shared" si="55"/>
        <v>0.734631147540984</v>
      </c>
      <c r="T139" s="46">
        <f ca="1" t="shared" si="56"/>
        <v>0.214139344262295</v>
      </c>
      <c r="U139" s="46">
        <f ca="1" t="shared" si="57"/>
        <v>0.0512295081967212</v>
      </c>
      <c r="V139" s="48">
        <f ca="1" t="shared" si="58"/>
        <v>0.449800921928216</v>
      </c>
      <c r="W139" s="48">
        <f ca="1" t="shared" si="59"/>
        <v>3.39693832474177</v>
      </c>
      <c r="X139" s="48">
        <f ca="1" t="shared" si="60"/>
        <v>2.97238727326217</v>
      </c>
      <c r="Y139" s="48">
        <f t="shared" si="61"/>
        <v>1.02661146926685</v>
      </c>
      <c r="Z139" s="105">
        <f ca="1" t="shared" si="62"/>
        <v>0.0573306070821437</v>
      </c>
      <c r="AA139" s="105">
        <f ca="1" t="shared" si="63"/>
        <v>0.432966067617633</v>
      </c>
      <c r="AB139" s="105">
        <f ca="1" t="shared" si="64"/>
        <v>0.37885375185281</v>
      </c>
      <c r="AC139" s="105">
        <f ca="1" t="shared" si="65"/>
        <v>0.130849573447413</v>
      </c>
      <c r="AD139" s="105">
        <f ca="1" t="shared" si="66"/>
        <v>0.734631147540984</v>
      </c>
      <c r="AE139" s="105">
        <f ca="1" t="shared" si="67"/>
        <v>0.214139344262295</v>
      </c>
      <c r="AF139" s="105">
        <f ca="1" t="shared" si="68"/>
        <v>0.0512295081967213</v>
      </c>
    </row>
    <row r="140" ht="16.5" spans="1:32">
      <c r="A140">
        <f ca="1" t="shared" si="46"/>
        <v>11928</v>
      </c>
      <c r="B140" s="2">
        <v>138</v>
      </c>
      <c r="C140" s="2">
        <f>_xlfn.XLOOKUP(练度预期!D140,装备养成!$B$3:$B$303,装备养成!$D$3:$D$303)*6</f>
        <v>8820</v>
      </c>
      <c r="D140" s="2" cm="1">
        <f ca="1" t="array" ref="D140">_xlfn.XLOOKUP(练度预期!E140&amp;"_"&amp;INT(练度预期!C140/10)*10+10,装备养成!$N$4:$N$219&amp;"_"&amp;装备养成!$K$4:$K$219,装备养成!$P$4:$P$219)*练度预期!F140+_xlfn.XLOOKUP(练度预期!E140-1&amp;"_"&amp;INT(练度预期!C140/10)*10+10,装备养成!$N$4:$N$219&amp;"_"&amp;装备养成!$K$4:$K$219,装备养成!$P$4:$P$219)*(6-练度预期!F140)</f>
        <v>2508</v>
      </c>
      <c r="E140" s="2">
        <f ca="1">练度预期!N140*4*练度预期!M140</f>
        <v>600</v>
      </c>
      <c r="F140" s="103">
        <f ca="1">INT(练度预期!D140/10)*0.02+1+_xlfn.XLOOKUP(练度预期!E140,装备养成!$U$3:$U$11,装备养成!$V$3:$V$11)*练度预期!F140+_xlfn.XLOOKUP(练度预期!E140-1,装备养成!$U$3:$U$11,装备养成!$V$3:$V$11)*(6-练度预期!F140)</f>
        <v>1.568</v>
      </c>
      <c r="G140" s="48">
        <f ca="1">OFFSET(梦灵养成!$K$20,_xlfn.XLOOKUP(练度预期!H140,梦灵养成!$D$10:$D$28,梦灵养成!$H$10:$H$28),MATCH(OFFSET(梦灵养成!$C$33,B140,MATCH(练度预期!H140,梦灵养成!$D$33:$V$33,0)),梦灵养成!$L$20:$R$20,1))*(1+(OFFSET(梦灵养成!$C$33,B140,MATCH(练度预期!H140,梦灵养成!$D$33:$V$33,0))-1)*_xlfn.XLOOKUP(练度预期!H140,梦灵养成!$D$9:$D$28,梦灵养成!$G$9:$G$28))</f>
        <v>29.8725</v>
      </c>
      <c r="H140" s="46">
        <f ca="1">符文养成!AC141</f>
        <v>19.6786664563766</v>
      </c>
      <c r="I140" s="46">
        <f>MAX(_xlfn.XLOOKUP(练度预期!O140,秘宝养成!$B$3:$B$15,秘宝养成!$E$3:$E$15),1)</f>
        <v>2.7915904</v>
      </c>
      <c r="J140" s="104">
        <f ca="1" t="shared" si="47"/>
        <v>30692525.0852824</v>
      </c>
      <c r="K140" s="104">
        <f ca="1">MATCH(J140,关卡预期!$E$4:$E$303,1)</f>
        <v>168</v>
      </c>
      <c r="L140" s="48">
        <f ca="1" t="shared" si="48"/>
        <v>0.73943661971831</v>
      </c>
      <c r="M140" s="48">
        <f ca="1" t="shared" si="49"/>
        <v>0.210261569416499</v>
      </c>
      <c r="N140" s="48">
        <f ca="1" t="shared" si="50"/>
        <v>0.0503018108651914</v>
      </c>
      <c r="O140" s="48">
        <f ca="1" t="shared" si="51"/>
        <v>0.0572784236100282</v>
      </c>
      <c r="P140" s="48">
        <f ca="1" t="shared" si="52"/>
        <v>0.432571973191176</v>
      </c>
      <c r="Q140" s="48">
        <f ca="1" t="shared" si="53"/>
        <v>0.379419131665959</v>
      </c>
      <c r="R140" s="48">
        <f ca="1" t="shared" si="54"/>
        <v>0.130730471532836</v>
      </c>
      <c r="S140" s="46">
        <f ca="1" t="shared" si="55"/>
        <v>0.73943661971831</v>
      </c>
      <c r="T140" s="46">
        <f ca="1" t="shared" si="56"/>
        <v>0.210261569416499</v>
      </c>
      <c r="U140" s="46">
        <f ca="1" t="shared" si="57"/>
        <v>0.0503018108651914</v>
      </c>
      <c r="V140" s="48">
        <f ca="1" t="shared" si="58"/>
        <v>0.449800921928216</v>
      </c>
      <c r="W140" s="48">
        <f ca="1" t="shared" si="59"/>
        <v>3.39693832474177</v>
      </c>
      <c r="X140" s="48">
        <f ca="1" t="shared" si="60"/>
        <v>2.97953512796523</v>
      </c>
      <c r="Y140" s="48">
        <f t="shared" si="61"/>
        <v>1.02661146926685</v>
      </c>
      <c r="Z140" s="105">
        <f ca="1" t="shared" si="62"/>
        <v>0.0572784236100282</v>
      </c>
      <c r="AA140" s="105">
        <f ca="1" t="shared" si="63"/>
        <v>0.432571973191176</v>
      </c>
      <c r="AB140" s="105">
        <f ca="1" t="shared" si="64"/>
        <v>0.37941913166596</v>
      </c>
      <c r="AC140" s="105">
        <f ca="1" t="shared" si="65"/>
        <v>0.130730471532836</v>
      </c>
      <c r="AD140" s="105">
        <f ca="1" t="shared" si="66"/>
        <v>0.73943661971831</v>
      </c>
      <c r="AE140" s="105">
        <f ca="1" t="shared" si="67"/>
        <v>0.210261569416499</v>
      </c>
      <c r="AF140" s="105">
        <f ca="1" t="shared" si="68"/>
        <v>0.0503018108651912</v>
      </c>
    </row>
    <row r="141" ht="16.5" spans="1:32">
      <c r="A141">
        <f ca="1" t="shared" si="46"/>
        <v>11928</v>
      </c>
      <c r="B141" s="2">
        <v>139</v>
      </c>
      <c r="C141" s="2">
        <f>_xlfn.XLOOKUP(练度预期!D141,装备养成!$B$3:$B$303,装备养成!$D$3:$D$303)*6</f>
        <v>8820</v>
      </c>
      <c r="D141" s="2" cm="1">
        <f ca="1" t="array" ref="D141">_xlfn.XLOOKUP(练度预期!E141&amp;"_"&amp;INT(练度预期!C141/10)*10+10,装备养成!$N$4:$N$219&amp;"_"&amp;装备养成!$K$4:$K$219,装备养成!$P$4:$P$219)*练度预期!F141+_xlfn.XLOOKUP(练度预期!E141-1&amp;"_"&amp;INT(练度预期!C141/10)*10+10,装备养成!$N$4:$N$219&amp;"_"&amp;装备养成!$K$4:$K$219,装备养成!$P$4:$P$219)*(6-练度预期!F141)</f>
        <v>2508</v>
      </c>
      <c r="E141" s="2">
        <f ca="1">练度预期!N141*4*练度预期!M141</f>
        <v>600</v>
      </c>
      <c r="F141" s="103">
        <f ca="1">INT(练度预期!D141/10)*0.02+1+_xlfn.XLOOKUP(练度预期!E141,装备养成!$U$3:$U$11,装备养成!$V$3:$V$11)*练度预期!F141+_xlfn.XLOOKUP(练度预期!E141-1,装备养成!$U$3:$U$11,装备养成!$V$3:$V$11)*(6-练度预期!F141)</f>
        <v>1.568</v>
      </c>
      <c r="G141" s="48">
        <f ca="1">OFFSET(梦灵养成!$K$20,_xlfn.XLOOKUP(练度预期!H141,梦灵养成!$D$10:$D$28,梦灵养成!$H$10:$H$28),MATCH(OFFSET(梦灵养成!$C$33,B141,MATCH(练度预期!H141,梦灵养成!$D$33:$V$33,0)),梦灵养成!$L$20:$R$20,1))*(1+(OFFSET(梦灵养成!$C$33,B141,MATCH(练度预期!H141,梦灵养成!$D$33:$V$33,0))-1)*_xlfn.XLOOKUP(练度预期!H141,梦灵养成!$D$9:$D$28,梦灵养成!$G$9:$G$28))</f>
        <v>29.8725</v>
      </c>
      <c r="H141" s="46">
        <f ca="1">符文养成!AC142</f>
        <v>19.8481368686209</v>
      </c>
      <c r="I141" s="46">
        <f>MAX(_xlfn.XLOOKUP(练度预期!O141,秘宝养成!$B$3:$B$15,秘宝养成!$E$3:$E$15),1)</f>
        <v>2.7915904</v>
      </c>
      <c r="J141" s="104">
        <f ca="1" t="shared" si="47"/>
        <v>30956845.5813155</v>
      </c>
      <c r="K141" s="104">
        <f ca="1">MATCH(J141,关卡预期!$E$4:$E$303,1)</f>
        <v>169</v>
      </c>
      <c r="L141" s="48">
        <f ca="1" t="shared" si="48"/>
        <v>0.73943661971831</v>
      </c>
      <c r="M141" s="48">
        <f ca="1" t="shared" si="49"/>
        <v>0.210261569416499</v>
      </c>
      <c r="N141" s="48">
        <f ca="1" t="shared" si="50"/>
        <v>0.0503018108651912</v>
      </c>
      <c r="O141" s="48">
        <f ca="1" t="shared" si="51"/>
        <v>0.0572159462528348</v>
      </c>
      <c r="P141" s="48">
        <f ca="1" t="shared" si="52"/>
        <v>0.432100138388862</v>
      </c>
      <c r="Q141" s="48">
        <f ca="1" t="shared" si="53"/>
        <v>0.380096040179404</v>
      </c>
      <c r="R141" s="48">
        <f ca="1" t="shared" si="54"/>
        <v>0.1305878751789</v>
      </c>
      <c r="S141" s="46">
        <f ca="1" t="shared" si="55"/>
        <v>0.73943661971831</v>
      </c>
      <c r="T141" s="46">
        <f ca="1" t="shared" si="56"/>
        <v>0.210261569416499</v>
      </c>
      <c r="U141" s="46">
        <f ca="1" t="shared" si="57"/>
        <v>0.0503018108651913</v>
      </c>
      <c r="V141" s="48">
        <f ca="1" t="shared" si="58"/>
        <v>0.449800921928216</v>
      </c>
      <c r="W141" s="48">
        <f ca="1" t="shared" si="59"/>
        <v>3.39693832474177</v>
      </c>
      <c r="X141" s="48">
        <f ca="1" t="shared" si="60"/>
        <v>2.98811014220515</v>
      </c>
      <c r="Y141" s="48">
        <f t="shared" si="61"/>
        <v>1.02661146926685</v>
      </c>
      <c r="Z141" s="105">
        <f ca="1" t="shared" si="62"/>
        <v>0.0572159462528348</v>
      </c>
      <c r="AA141" s="105">
        <f ca="1" t="shared" si="63"/>
        <v>0.432100138388862</v>
      </c>
      <c r="AB141" s="105">
        <f ca="1" t="shared" si="64"/>
        <v>0.380096040179404</v>
      </c>
      <c r="AC141" s="105">
        <f ca="1" t="shared" si="65"/>
        <v>0.1305878751789</v>
      </c>
      <c r="AD141" s="105">
        <f ca="1" t="shared" si="66"/>
        <v>0.73943661971831</v>
      </c>
      <c r="AE141" s="105">
        <f ca="1" t="shared" si="67"/>
        <v>0.210261569416499</v>
      </c>
      <c r="AF141" s="105">
        <f ca="1" t="shared" si="68"/>
        <v>0.0503018108651912</v>
      </c>
    </row>
    <row r="142" ht="16.5" spans="1:32">
      <c r="A142">
        <f ca="1" t="shared" si="46"/>
        <v>12004</v>
      </c>
      <c r="B142" s="2">
        <v>140</v>
      </c>
      <c r="C142" s="2">
        <f>_xlfn.XLOOKUP(练度预期!D142,装备养成!$B$3:$B$303,装备养成!$D$3:$D$303)*6</f>
        <v>8820</v>
      </c>
      <c r="D142" s="2" cm="1">
        <f ca="1" t="array" ref="D142">_xlfn.XLOOKUP(练度预期!E142&amp;"_"&amp;INT(练度预期!C142/10)*10+10,装备养成!$N$4:$N$219&amp;"_"&amp;装备养成!$K$4:$K$219,装备养成!$P$4:$P$219)*练度预期!F142+_xlfn.XLOOKUP(练度预期!E142-1&amp;"_"&amp;INT(练度预期!C142/10)*10+10,装备养成!$N$4:$N$219&amp;"_"&amp;装备养成!$K$4:$K$219,装备养成!$P$4:$P$219)*(6-练度预期!F142)</f>
        <v>2584</v>
      </c>
      <c r="E142" s="2">
        <f ca="1">练度预期!N142*4*练度预期!M142</f>
        <v>600</v>
      </c>
      <c r="F142" s="103">
        <f ca="1">INT(练度预期!D142/10)*0.02+1+_xlfn.XLOOKUP(练度预期!E142,装备养成!$U$3:$U$11,装备养成!$V$3:$V$11)*练度预期!F142+_xlfn.XLOOKUP(练度预期!E142-1,装备养成!$U$3:$U$11,装备养成!$V$3:$V$11)*(6-练度预期!F142)</f>
        <v>1.57696</v>
      </c>
      <c r="G142" s="48">
        <f ca="1">OFFSET(梦灵养成!$K$20,_xlfn.XLOOKUP(练度预期!H142,梦灵养成!$D$10:$D$28,梦灵养成!$H$10:$H$28),MATCH(OFFSET(梦灵养成!$C$33,B142,MATCH(练度预期!H142,梦灵养成!$D$33:$V$33,0)),梦灵养成!$L$20:$R$20,1))*(1+(OFFSET(梦灵养成!$C$33,B142,MATCH(练度预期!H142,梦灵养成!$D$33:$V$33,0))-1)*_xlfn.XLOOKUP(练度预期!H142,梦灵养成!$D$9:$D$28,梦灵养成!$G$9:$G$28))</f>
        <v>29.8725</v>
      </c>
      <c r="H142" s="46">
        <f ca="1">符文养成!AC143</f>
        <v>19.9730735231603</v>
      </c>
      <c r="I142" s="46">
        <f>MAX(_xlfn.XLOOKUP(练度预期!O142,秘宝养成!$B$3:$B$15,秘宝养成!$E$3:$E$15),1)</f>
        <v>2.7915904</v>
      </c>
      <c r="J142" s="104">
        <f ca="1" t="shared" si="47"/>
        <v>31529336.4484933</v>
      </c>
      <c r="K142" s="104">
        <f ca="1">MATCH(J142,关卡预期!$E$4:$E$303,1)</f>
        <v>169</v>
      </c>
      <c r="L142" s="48">
        <f ca="1" t="shared" si="48"/>
        <v>0.734755081639454</v>
      </c>
      <c r="M142" s="48">
        <f ca="1" t="shared" si="49"/>
        <v>0.215261579473509</v>
      </c>
      <c r="N142" s="48">
        <f ca="1" t="shared" si="50"/>
        <v>0.0499833388870376</v>
      </c>
      <c r="O142" s="48">
        <f ca="1" t="shared" si="51"/>
        <v>0.0578526416542488</v>
      </c>
      <c r="P142" s="48">
        <f ca="1" t="shared" si="52"/>
        <v>0.431443055191417</v>
      </c>
      <c r="Q142" s="48">
        <f ca="1" t="shared" si="53"/>
        <v>0.380315009486865</v>
      </c>
      <c r="R142" s="48">
        <f ca="1" t="shared" si="54"/>
        <v>0.13038929366747</v>
      </c>
      <c r="S142" s="46">
        <f ca="1" t="shared" si="55"/>
        <v>0.734755081639453</v>
      </c>
      <c r="T142" s="46">
        <f ca="1" t="shared" si="56"/>
        <v>0.215261579473509</v>
      </c>
      <c r="U142" s="46">
        <f ca="1" t="shared" si="57"/>
        <v>0.0499833388870375</v>
      </c>
      <c r="V142" s="48">
        <f ca="1" t="shared" si="58"/>
        <v>0.455498943042854</v>
      </c>
      <c r="W142" s="48">
        <f ca="1" t="shared" si="59"/>
        <v>3.39693832474177</v>
      </c>
      <c r="X142" s="48">
        <f ca="1" t="shared" si="60"/>
        <v>2.99438504260379</v>
      </c>
      <c r="Y142" s="48">
        <f t="shared" si="61"/>
        <v>1.02661146926685</v>
      </c>
      <c r="Z142" s="105">
        <f ca="1" t="shared" si="62"/>
        <v>0.0578526416542488</v>
      </c>
      <c r="AA142" s="105">
        <f ca="1" t="shared" si="63"/>
        <v>0.431443055191417</v>
      </c>
      <c r="AB142" s="105">
        <f ca="1" t="shared" si="64"/>
        <v>0.380315009486865</v>
      </c>
      <c r="AC142" s="105">
        <f ca="1" t="shared" si="65"/>
        <v>0.13038929366747</v>
      </c>
      <c r="AD142" s="105">
        <f ca="1" t="shared" si="66"/>
        <v>0.734755081639453</v>
      </c>
      <c r="AE142" s="105">
        <f ca="1" t="shared" si="67"/>
        <v>0.215261579473509</v>
      </c>
      <c r="AF142" s="105">
        <f ca="1" t="shared" si="68"/>
        <v>0.0499833388870377</v>
      </c>
    </row>
    <row r="143" ht="16.5" spans="1:32">
      <c r="A143">
        <f ca="1" t="shared" si="46"/>
        <v>12220</v>
      </c>
      <c r="B143" s="2">
        <v>141</v>
      </c>
      <c r="C143" s="2">
        <f>_xlfn.XLOOKUP(练度预期!D143,装备养成!$B$3:$B$303,装备养成!$D$3:$D$303)*6</f>
        <v>9036</v>
      </c>
      <c r="D143" s="2" cm="1">
        <f ca="1" t="array" ref="D143">_xlfn.XLOOKUP(练度预期!E143&amp;"_"&amp;INT(练度预期!C143/10)*10+10,装备养成!$N$4:$N$219&amp;"_"&amp;装备养成!$K$4:$K$219,装备养成!$P$4:$P$219)*练度预期!F143+_xlfn.XLOOKUP(练度预期!E143-1&amp;"_"&amp;INT(练度预期!C143/10)*10+10,装备养成!$N$4:$N$219&amp;"_"&amp;装备养成!$K$4:$K$219,装备养成!$P$4:$P$219)*(6-练度预期!F143)</f>
        <v>2584</v>
      </c>
      <c r="E143" s="2">
        <f ca="1">练度预期!N143*4*练度预期!M143</f>
        <v>600</v>
      </c>
      <c r="F143" s="103">
        <f ca="1">INT(练度预期!D143/10)*0.02+1+_xlfn.XLOOKUP(练度预期!E143,装备养成!$U$3:$U$11,装备养成!$V$3:$V$11)*练度预期!F143+_xlfn.XLOOKUP(练度预期!E143-1,装备养成!$U$3:$U$11,装备养成!$V$3:$V$11)*(6-练度预期!F143)</f>
        <v>1.57696</v>
      </c>
      <c r="G143" s="48">
        <f ca="1">OFFSET(梦灵养成!$K$20,_xlfn.XLOOKUP(练度预期!H143,梦灵养成!$D$10:$D$28,梦灵养成!$H$10:$H$28),MATCH(OFFSET(梦灵养成!$C$33,B143,MATCH(练度预期!H143,梦灵养成!$D$33:$V$33,0)),梦灵养成!$L$20:$R$20,1))*(1+(OFFSET(梦灵养成!$C$33,B143,MATCH(练度预期!H143,梦灵养成!$D$33:$V$33,0))-1)*_xlfn.XLOOKUP(练度预期!H143,梦灵养成!$D$9:$D$28,梦灵养成!$G$9:$G$28))</f>
        <v>29.8725</v>
      </c>
      <c r="H143" s="46">
        <f ca="1">符文养成!AC144</f>
        <v>20.1443534807324</v>
      </c>
      <c r="I143" s="46">
        <f>MAX(_xlfn.XLOOKUP(练度预期!O143,秘宝养成!$B$3:$B$15,秘宝养成!$E$3:$E$15),1)</f>
        <v>2.7915904</v>
      </c>
      <c r="J143" s="104">
        <f ca="1" t="shared" si="47"/>
        <v>32371921.8223812</v>
      </c>
      <c r="K143" s="104">
        <f ca="1">MATCH(J143,关卡预期!$E$4:$E$303,1)</f>
        <v>169</v>
      </c>
      <c r="L143" s="48">
        <f ca="1" t="shared" si="48"/>
        <v>0.739443535188216</v>
      </c>
      <c r="M143" s="48">
        <f ca="1" t="shared" si="49"/>
        <v>0.211456628477905</v>
      </c>
      <c r="N143" s="48">
        <f ca="1" t="shared" si="50"/>
        <v>0.0490998363338789</v>
      </c>
      <c r="O143" s="48">
        <f ca="1" t="shared" si="51"/>
        <v>0.0577899666496021</v>
      </c>
      <c r="P143" s="48">
        <f ca="1" t="shared" si="52"/>
        <v>0.43097564878238</v>
      </c>
      <c r="Q143" s="48">
        <f ca="1" t="shared" si="53"/>
        <v>0.380986348920109</v>
      </c>
      <c r="R143" s="48">
        <f ca="1" t="shared" si="54"/>
        <v>0.130248035647909</v>
      </c>
      <c r="S143" s="46">
        <f ca="1" t="shared" si="55"/>
        <v>0.739443535188216</v>
      </c>
      <c r="T143" s="46">
        <f ca="1" t="shared" si="56"/>
        <v>0.211456628477905</v>
      </c>
      <c r="U143" s="46">
        <f ca="1" t="shared" si="57"/>
        <v>0.0490998363338789</v>
      </c>
      <c r="V143" s="48">
        <f ca="1" t="shared" si="58"/>
        <v>0.455498943042854</v>
      </c>
      <c r="W143" s="48">
        <f ca="1" t="shared" si="59"/>
        <v>3.39693832474177</v>
      </c>
      <c r="X143" s="48">
        <f ca="1" t="shared" si="60"/>
        <v>3.00292402484126</v>
      </c>
      <c r="Y143" s="48">
        <f t="shared" si="61"/>
        <v>1.02661146926685</v>
      </c>
      <c r="Z143" s="105">
        <f ca="1" t="shared" si="62"/>
        <v>0.0577899666496021</v>
      </c>
      <c r="AA143" s="105">
        <f ca="1" t="shared" si="63"/>
        <v>0.43097564878238</v>
      </c>
      <c r="AB143" s="105">
        <f ca="1" t="shared" si="64"/>
        <v>0.380986348920109</v>
      </c>
      <c r="AC143" s="105">
        <f ca="1" t="shared" si="65"/>
        <v>0.130248035647909</v>
      </c>
      <c r="AD143" s="105">
        <f ca="1" t="shared" si="66"/>
        <v>0.739443535188216</v>
      </c>
      <c r="AE143" s="105">
        <f ca="1" t="shared" si="67"/>
        <v>0.211456628477905</v>
      </c>
      <c r="AF143" s="105">
        <f ca="1" t="shared" si="68"/>
        <v>0.0490998363338789</v>
      </c>
    </row>
    <row r="144" ht="16.5" spans="1:32">
      <c r="A144">
        <f ca="1" t="shared" si="46"/>
        <v>12220</v>
      </c>
      <c r="B144" s="2">
        <v>142</v>
      </c>
      <c r="C144" s="2">
        <f>_xlfn.XLOOKUP(练度预期!D144,装备养成!$B$3:$B$303,装备养成!$D$3:$D$303)*6</f>
        <v>9036</v>
      </c>
      <c r="D144" s="2" cm="1">
        <f ca="1" t="array" ref="D144">_xlfn.XLOOKUP(练度预期!E144&amp;"_"&amp;INT(练度预期!C144/10)*10+10,装备养成!$N$4:$N$219&amp;"_"&amp;装备养成!$K$4:$K$219,装备养成!$P$4:$P$219)*练度预期!F144+_xlfn.XLOOKUP(练度预期!E144-1&amp;"_"&amp;INT(练度预期!C144/10)*10+10,装备养成!$N$4:$N$219&amp;"_"&amp;装备养成!$K$4:$K$219,装备养成!$P$4:$P$219)*(6-练度预期!F144)</f>
        <v>2584</v>
      </c>
      <c r="E144" s="2">
        <f ca="1">练度预期!N144*4*练度预期!M144</f>
        <v>600</v>
      </c>
      <c r="F144" s="103">
        <f ca="1">INT(练度预期!D144/10)*0.02+1+_xlfn.XLOOKUP(练度预期!E144,装备养成!$U$3:$U$11,装备养成!$V$3:$V$11)*练度预期!F144+_xlfn.XLOOKUP(练度预期!E144-1,装备养成!$U$3:$U$11,装备养成!$V$3:$V$11)*(6-练度预期!F144)</f>
        <v>1.57696</v>
      </c>
      <c r="G144" s="48">
        <f ca="1">OFFSET(梦灵养成!$K$20,_xlfn.XLOOKUP(练度预期!H144,梦灵养成!$D$10:$D$28,梦灵养成!$H$10:$H$28),MATCH(OFFSET(梦灵养成!$C$33,B144,MATCH(练度预期!H144,梦灵养成!$D$33:$V$33,0)),梦灵养成!$L$20:$R$20,1))*(1+(OFFSET(梦灵养成!$C$33,B144,MATCH(练度预期!H144,梦灵养成!$D$33:$V$33,0))-1)*_xlfn.XLOOKUP(练度预期!H144,梦灵养成!$D$9:$D$28,梦灵养成!$G$9:$G$28))</f>
        <v>29.8725</v>
      </c>
      <c r="H144" s="46">
        <f ca="1">符文养成!AC145</f>
        <v>20.2906430584114</v>
      </c>
      <c r="I144" s="46">
        <f>MAX(_xlfn.XLOOKUP(练度预期!O144,秘宝养成!$B$3:$B$15,秘宝养成!$E$3:$E$15),1)</f>
        <v>2.7915904</v>
      </c>
      <c r="J144" s="104">
        <f ca="1" t="shared" si="47"/>
        <v>32607008.7799538</v>
      </c>
      <c r="K144" s="104">
        <f ca="1">MATCH(J144,关卡预期!$E$4:$E$303,1)</f>
        <v>170</v>
      </c>
      <c r="L144" s="48">
        <f ca="1" t="shared" si="48"/>
        <v>0.739443535188216</v>
      </c>
      <c r="M144" s="48">
        <f ca="1" t="shared" si="49"/>
        <v>0.211456628477905</v>
      </c>
      <c r="N144" s="48">
        <f ca="1" t="shared" si="50"/>
        <v>0.0490998363338789</v>
      </c>
      <c r="O144" s="48">
        <f ca="1" t="shared" si="51"/>
        <v>0.057736962866068</v>
      </c>
      <c r="P144" s="48">
        <f ca="1" t="shared" si="52"/>
        <v>0.430580366671645</v>
      </c>
      <c r="Q144" s="48">
        <f ca="1" t="shared" si="53"/>
        <v>0.38155409566697</v>
      </c>
      <c r="R144" s="48">
        <f ca="1" t="shared" si="54"/>
        <v>0.130128574795317</v>
      </c>
      <c r="S144" s="46">
        <f ca="1" t="shared" si="55"/>
        <v>0.739443535188216</v>
      </c>
      <c r="T144" s="46">
        <f ca="1" t="shared" si="56"/>
        <v>0.211456628477905</v>
      </c>
      <c r="U144" s="46">
        <f ca="1" t="shared" si="57"/>
        <v>0.0490998363338789</v>
      </c>
      <c r="V144" s="48">
        <f ca="1" t="shared" si="58"/>
        <v>0.455498943042854</v>
      </c>
      <c r="W144" s="48">
        <f ca="1" t="shared" si="59"/>
        <v>3.39693832474177</v>
      </c>
      <c r="X144" s="48">
        <f ca="1" t="shared" si="60"/>
        <v>3.01015984670225</v>
      </c>
      <c r="Y144" s="48">
        <f t="shared" si="61"/>
        <v>1.02661146926685</v>
      </c>
      <c r="Z144" s="105">
        <f ca="1" t="shared" si="62"/>
        <v>0.057736962866068</v>
      </c>
      <c r="AA144" s="105">
        <f ca="1" t="shared" si="63"/>
        <v>0.430580366671645</v>
      </c>
      <c r="AB144" s="105">
        <f ca="1" t="shared" si="64"/>
        <v>0.38155409566697</v>
      </c>
      <c r="AC144" s="105">
        <f ca="1" t="shared" si="65"/>
        <v>0.130128574795317</v>
      </c>
      <c r="AD144" s="105">
        <f ca="1" t="shared" si="66"/>
        <v>0.739443535188216</v>
      </c>
      <c r="AE144" s="105">
        <f ca="1" t="shared" si="67"/>
        <v>0.211456628477905</v>
      </c>
      <c r="AF144" s="105">
        <f ca="1" t="shared" si="68"/>
        <v>0.0490998363338789</v>
      </c>
    </row>
    <row r="145" ht="16.5" spans="1:32">
      <c r="A145">
        <f ca="1" t="shared" si="46"/>
        <v>12220</v>
      </c>
      <c r="B145" s="2">
        <v>143</v>
      </c>
      <c r="C145" s="2">
        <f>_xlfn.XLOOKUP(练度预期!D145,装备养成!$B$3:$B$303,装备养成!$D$3:$D$303)*6</f>
        <v>9036</v>
      </c>
      <c r="D145" s="2" cm="1">
        <f ca="1" t="array" ref="D145">_xlfn.XLOOKUP(练度预期!E145&amp;"_"&amp;INT(练度预期!C145/10)*10+10,装备养成!$N$4:$N$219&amp;"_"&amp;装备养成!$K$4:$K$219,装备养成!$P$4:$P$219)*练度预期!F145+_xlfn.XLOOKUP(练度预期!E145-1&amp;"_"&amp;INT(练度预期!C145/10)*10+10,装备养成!$N$4:$N$219&amp;"_"&amp;装备养成!$K$4:$K$219,装备养成!$P$4:$P$219)*(6-练度预期!F145)</f>
        <v>2584</v>
      </c>
      <c r="E145" s="2">
        <f ca="1">练度预期!N145*4*练度预期!M145</f>
        <v>600</v>
      </c>
      <c r="F145" s="103">
        <f ca="1">INT(练度预期!D145/10)*0.02+1+_xlfn.XLOOKUP(练度预期!E145,装备养成!$U$3:$U$11,装备养成!$V$3:$V$11)*练度预期!F145+_xlfn.XLOOKUP(练度预期!E145-1,装备养成!$U$3:$U$11,装备养成!$V$3:$V$11)*(6-练度预期!F145)</f>
        <v>1.57696</v>
      </c>
      <c r="G145" s="48">
        <f ca="1">OFFSET(梦灵养成!$K$20,_xlfn.XLOOKUP(练度预期!H145,梦灵养成!$D$10:$D$28,梦灵养成!$H$10:$H$28),MATCH(OFFSET(梦灵养成!$C$33,B145,MATCH(练度预期!H145,梦灵养成!$D$33:$V$33,0)),梦灵养成!$L$20:$R$20,1))*(1+(OFFSET(梦灵养成!$C$33,B145,MATCH(练度预期!H145,梦灵养成!$D$33:$V$33,0))-1)*_xlfn.XLOOKUP(练度预期!H145,梦灵养成!$D$9:$D$28,梦灵养成!$G$9:$G$28))</f>
        <v>29.8725</v>
      </c>
      <c r="H145" s="46">
        <f ca="1">符文养成!AC146</f>
        <v>20.4607928878022</v>
      </c>
      <c r="I145" s="46">
        <f>MAX(_xlfn.XLOOKUP(练度预期!O145,秘宝养成!$B$3:$B$15,秘宝养成!$E$3:$E$15),1)</f>
        <v>2.7915904</v>
      </c>
      <c r="J145" s="104">
        <f ca="1" t="shared" si="47"/>
        <v>32880439.0978044</v>
      </c>
      <c r="K145" s="104">
        <f ca="1">MATCH(J145,关卡预期!$E$4:$E$303,1)</f>
        <v>170</v>
      </c>
      <c r="L145" s="48">
        <f ca="1" t="shared" si="48"/>
        <v>0.739443535188216</v>
      </c>
      <c r="M145" s="48">
        <f ca="1" t="shared" si="49"/>
        <v>0.211456628477905</v>
      </c>
      <c r="N145" s="48">
        <f ca="1" t="shared" si="50"/>
        <v>0.0490998363338789</v>
      </c>
      <c r="O145" s="48">
        <f ca="1" t="shared" si="51"/>
        <v>0.0576759133588002</v>
      </c>
      <c r="P145" s="48">
        <f ca="1" t="shared" si="52"/>
        <v>0.430125082605432</v>
      </c>
      <c r="Q145" s="48">
        <f ca="1" t="shared" si="53"/>
        <v>0.382208023685645</v>
      </c>
      <c r="R145" s="48">
        <f ca="1" t="shared" si="54"/>
        <v>0.129990980350123</v>
      </c>
      <c r="S145" s="46">
        <f ca="1" t="shared" si="55"/>
        <v>0.739443535188216</v>
      </c>
      <c r="T145" s="46">
        <f ca="1" t="shared" si="56"/>
        <v>0.211456628477905</v>
      </c>
      <c r="U145" s="46">
        <f ca="1" t="shared" si="57"/>
        <v>0.0490998363338789</v>
      </c>
      <c r="V145" s="48">
        <f ca="1" t="shared" si="58"/>
        <v>0.455498943042854</v>
      </c>
      <c r="W145" s="48">
        <f ca="1" t="shared" si="59"/>
        <v>3.39693832474177</v>
      </c>
      <c r="X145" s="48">
        <f ca="1" t="shared" si="60"/>
        <v>3.01851051284211</v>
      </c>
      <c r="Y145" s="48">
        <f t="shared" si="61"/>
        <v>1.02661146926685</v>
      </c>
      <c r="Z145" s="105">
        <f ca="1" t="shared" si="62"/>
        <v>0.0576759133588002</v>
      </c>
      <c r="AA145" s="105">
        <f ca="1" t="shared" si="63"/>
        <v>0.430125082605432</v>
      </c>
      <c r="AB145" s="105">
        <f ca="1" t="shared" si="64"/>
        <v>0.382208023685645</v>
      </c>
      <c r="AC145" s="105">
        <f ca="1" t="shared" si="65"/>
        <v>0.129990980350123</v>
      </c>
      <c r="AD145" s="105">
        <f ca="1" t="shared" si="66"/>
        <v>0.739443535188216</v>
      </c>
      <c r="AE145" s="105">
        <f ca="1" t="shared" si="67"/>
        <v>0.211456628477905</v>
      </c>
      <c r="AF145" s="105">
        <f ca="1" t="shared" si="68"/>
        <v>0.0490998363338789</v>
      </c>
    </row>
    <row r="146" ht="16.5" spans="1:32">
      <c r="A146">
        <f ca="1" t="shared" si="46"/>
        <v>12436</v>
      </c>
      <c r="B146" s="2">
        <v>144</v>
      </c>
      <c r="C146" s="2">
        <f>_xlfn.XLOOKUP(练度预期!D146,装备养成!$B$3:$B$303,装备养成!$D$3:$D$303)*6</f>
        <v>9252</v>
      </c>
      <c r="D146" s="2" cm="1">
        <f ca="1" t="array" ref="D146">_xlfn.XLOOKUP(练度预期!E146&amp;"_"&amp;INT(练度预期!C146/10)*10+10,装备养成!$N$4:$N$219&amp;"_"&amp;装备养成!$K$4:$K$219,装备养成!$P$4:$P$219)*练度预期!F146+_xlfn.XLOOKUP(练度预期!E146-1&amp;"_"&amp;INT(练度预期!C146/10)*10+10,装备养成!$N$4:$N$219&amp;"_"&amp;装备养成!$K$4:$K$219,装备养成!$P$4:$P$219)*(6-练度预期!F146)</f>
        <v>2584</v>
      </c>
      <c r="E146" s="2">
        <f ca="1">练度预期!N146*4*练度预期!M146</f>
        <v>600</v>
      </c>
      <c r="F146" s="103">
        <f ca="1">INT(练度预期!D146/10)*0.02+1+_xlfn.XLOOKUP(练度预期!E146,装备养成!$U$3:$U$11,装备养成!$V$3:$V$11)*练度预期!F146+_xlfn.XLOOKUP(练度预期!E146-1,装备养成!$U$3:$U$11,装备养成!$V$3:$V$11)*(6-练度预期!F146)</f>
        <v>1.57696</v>
      </c>
      <c r="G146" s="48">
        <f ca="1">OFFSET(梦灵养成!$K$20,_xlfn.XLOOKUP(练度预期!H146,梦灵养成!$D$10:$D$28,梦灵养成!$H$10:$H$28),MATCH(OFFSET(梦灵养成!$C$33,B146,MATCH(练度预期!H146,梦灵养成!$D$33:$V$33,0)),梦灵养成!$L$20:$R$20,1))*(1+(OFFSET(梦灵养成!$C$33,B146,MATCH(练度预期!H146,梦灵养成!$D$33:$V$33,0))-1)*_xlfn.XLOOKUP(练度预期!H146,梦灵养成!$D$9:$D$28,梦灵养成!$G$9:$G$28))</f>
        <v>29.8725</v>
      </c>
      <c r="H146" s="46">
        <f ca="1">符文养成!AC147</f>
        <v>20.6086971906955</v>
      </c>
      <c r="I146" s="46">
        <f>MAX(_xlfn.XLOOKUP(练度预期!O146,秘宝养成!$B$3:$B$15,秘宝养成!$E$3:$E$15),1)</f>
        <v>2.7915904</v>
      </c>
      <c r="J146" s="104">
        <f ca="1" t="shared" si="47"/>
        <v>33703514.8684209</v>
      </c>
      <c r="K146" s="104">
        <f ca="1">MATCH(J146,关卡预期!$E$4:$E$303,1)</f>
        <v>170</v>
      </c>
      <c r="L146" s="48">
        <f ca="1" t="shared" si="48"/>
        <v>0.743969121904149</v>
      </c>
      <c r="M146" s="48">
        <f ca="1" t="shared" si="49"/>
        <v>0.207783853329045</v>
      </c>
      <c r="N146" s="48">
        <f ca="1" t="shared" si="50"/>
        <v>0.0482470247668062</v>
      </c>
      <c r="O146" s="48">
        <f ca="1" t="shared" si="51"/>
        <v>0.0576233601718089</v>
      </c>
      <c r="P146" s="48">
        <f ca="1" t="shared" si="52"/>
        <v>0.429733160872781</v>
      </c>
      <c r="Q146" s="48">
        <f ca="1" t="shared" si="53"/>
        <v>0.382770943895525</v>
      </c>
      <c r="R146" s="48">
        <f ca="1" t="shared" si="54"/>
        <v>0.129872535059885</v>
      </c>
      <c r="S146" s="46">
        <f ca="1" t="shared" si="55"/>
        <v>0.743969121904149</v>
      </c>
      <c r="T146" s="46">
        <f ca="1" t="shared" si="56"/>
        <v>0.207783853329045</v>
      </c>
      <c r="U146" s="46">
        <f ca="1" t="shared" si="57"/>
        <v>0.0482470247668062</v>
      </c>
      <c r="V146" s="48">
        <f ca="1" t="shared" si="58"/>
        <v>0.455498943042854</v>
      </c>
      <c r="W146" s="48">
        <f ca="1" t="shared" si="59"/>
        <v>3.39693832474177</v>
      </c>
      <c r="X146" s="48">
        <f ca="1" t="shared" si="60"/>
        <v>3.02571318041993</v>
      </c>
      <c r="Y146" s="48">
        <f t="shared" si="61"/>
        <v>1.02661146926685</v>
      </c>
      <c r="Z146" s="105">
        <f ca="1" t="shared" si="62"/>
        <v>0.0576233601718089</v>
      </c>
      <c r="AA146" s="105">
        <f ca="1" t="shared" si="63"/>
        <v>0.429733160872781</v>
      </c>
      <c r="AB146" s="105">
        <f ca="1" t="shared" si="64"/>
        <v>0.382770943895525</v>
      </c>
      <c r="AC146" s="105">
        <f ca="1" t="shared" si="65"/>
        <v>0.129872535059885</v>
      </c>
      <c r="AD146" s="105">
        <f ca="1" t="shared" si="66"/>
        <v>0.743969121904149</v>
      </c>
      <c r="AE146" s="105">
        <f ca="1" t="shared" si="67"/>
        <v>0.207783853329045</v>
      </c>
      <c r="AF146" s="105">
        <f ca="1" t="shared" si="68"/>
        <v>0.048247024766806</v>
      </c>
    </row>
    <row r="147" ht="16.5" spans="1:32">
      <c r="A147">
        <f ca="1" t="shared" si="46"/>
        <v>12436</v>
      </c>
      <c r="B147" s="2">
        <v>145</v>
      </c>
      <c r="C147" s="2">
        <f>_xlfn.XLOOKUP(练度预期!D147,装备养成!$B$3:$B$303,装备养成!$D$3:$D$303)*6</f>
        <v>9252</v>
      </c>
      <c r="D147" s="2" cm="1">
        <f ca="1" t="array" ref="D147">_xlfn.XLOOKUP(练度预期!E147&amp;"_"&amp;INT(练度预期!C147/10)*10+10,装备养成!$N$4:$N$219&amp;"_"&amp;装备养成!$K$4:$K$219,装备养成!$P$4:$P$219)*练度预期!F147+_xlfn.XLOOKUP(练度预期!E147-1&amp;"_"&amp;INT(练度预期!C147/10)*10+10,装备养成!$N$4:$N$219&amp;"_"&amp;装备养成!$K$4:$K$219,装备养成!$P$4:$P$219)*(6-练度预期!F147)</f>
        <v>2584</v>
      </c>
      <c r="E147" s="2">
        <f ca="1">练度预期!N147*4*练度预期!M147</f>
        <v>600</v>
      </c>
      <c r="F147" s="103">
        <f ca="1">INT(练度预期!D147/10)*0.02+1+_xlfn.XLOOKUP(练度预期!E147,装备养成!$U$3:$U$11,装备养成!$V$3:$V$11)*练度预期!F147+_xlfn.XLOOKUP(练度预期!E147-1,装备养成!$U$3:$U$11,装备养成!$V$3:$V$11)*(6-练度预期!F147)</f>
        <v>1.57696</v>
      </c>
      <c r="G147" s="48">
        <f ca="1">OFFSET(梦灵养成!$K$20,_xlfn.XLOOKUP(练度预期!H147,梦灵养成!$D$10:$D$28,梦灵养成!$H$10:$H$28),MATCH(OFFSET(梦灵养成!$C$33,B147,MATCH(练度预期!H147,梦灵养成!$D$33:$V$33,0)),梦灵养成!$L$20:$R$20,1))*(1+(OFFSET(梦灵养成!$C$33,B147,MATCH(练度预期!H147,梦灵养成!$D$33:$V$33,0))-1)*_xlfn.XLOOKUP(练度预期!H147,梦灵养成!$D$9:$D$28,梦灵养成!$G$9:$G$28))</f>
        <v>29.8725</v>
      </c>
      <c r="H147" s="46">
        <f ca="1">符文养成!AC148</f>
        <v>20.7807103664856</v>
      </c>
      <c r="I147" s="46">
        <f>MAX(_xlfn.XLOOKUP(练度预期!O147,秘宝养成!$B$3:$B$15,秘宝养成!$E$3:$E$15),1)</f>
        <v>2.7915904</v>
      </c>
      <c r="J147" s="104">
        <f ca="1" t="shared" si="47"/>
        <v>33984825.6458155</v>
      </c>
      <c r="K147" s="104">
        <f ca="1">MATCH(J147,关卡预期!$E$4:$E$303,1)</f>
        <v>170</v>
      </c>
      <c r="L147" s="48">
        <f ca="1" t="shared" si="48"/>
        <v>0.743969121904149</v>
      </c>
      <c r="M147" s="48">
        <f ca="1" t="shared" si="49"/>
        <v>0.207783853329045</v>
      </c>
      <c r="N147" s="48">
        <f ca="1" t="shared" si="50"/>
        <v>0.0482470247668059</v>
      </c>
      <c r="O147" s="48">
        <f ca="1" t="shared" si="51"/>
        <v>0.057562831888364</v>
      </c>
      <c r="P147" s="48">
        <f ca="1" t="shared" si="52"/>
        <v>0.429281763896113</v>
      </c>
      <c r="Q147" s="48">
        <f ca="1" t="shared" si="53"/>
        <v>0.38341928885748</v>
      </c>
      <c r="R147" s="48">
        <f ca="1" t="shared" si="54"/>
        <v>0.129736115358042</v>
      </c>
      <c r="S147" s="46">
        <f ca="1" t="shared" si="55"/>
        <v>0.743969121904149</v>
      </c>
      <c r="T147" s="46">
        <f ca="1" t="shared" si="56"/>
        <v>0.207783853329045</v>
      </c>
      <c r="U147" s="46">
        <f ca="1" t="shared" si="57"/>
        <v>0.0482470247668059</v>
      </c>
      <c r="V147" s="48">
        <f ca="1" t="shared" si="58"/>
        <v>0.455498943042854</v>
      </c>
      <c r="W147" s="48">
        <f ca="1" t="shared" si="59"/>
        <v>3.39693832474177</v>
      </c>
      <c r="X147" s="48">
        <f ca="1" t="shared" si="60"/>
        <v>3.03402517019196</v>
      </c>
      <c r="Y147" s="48">
        <f t="shared" si="61"/>
        <v>1.02661146926685</v>
      </c>
      <c r="Z147" s="105">
        <f ca="1" t="shared" si="62"/>
        <v>0.057562831888364</v>
      </c>
      <c r="AA147" s="105">
        <f ca="1" t="shared" si="63"/>
        <v>0.429281763896113</v>
      </c>
      <c r="AB147" s="105">
        <f ca="1" t="shared" si="64"/>
        <v>0.38341928885748</v>
      </c>
      <c r="AC147" s="105">
        <f ca="1" t="shared" si="65"/>
        <v>0.129736115358042</v>
      </c>
      <c r="AD147" s="105">
        <f ca="1" t="shared" si="66"/>
        <v>0.743969121904149</v>
      </c>
      <c r="AE147" s="105">
        <f ca="1" t="shared" si="67"/>
        <v>0.207783853329045</v>
      </c>
      <c r="AF147" s="105">
        <f ca="1" t="shared" si="68"/>
        <v>0.048247024766806</v>
      </c>
    </row>
    <row r="148" ht="16.5" spans="1:32">
      <c r="A148">
        <f ca="1" t="shared" si="46"/>
        <v>12436</v>
      </c>
      <c r="B148" s="2">
        <v>146</v>
      </c>
      <c r="C148" s="2">
        <f>_xlfn.XLOOKUP(练度预期!D148,装备养成!$B$3:$B$303,装备养成!$D$3:$D$303)*6</f>
        <v>9252</v>
      </c>
      <c r="D148" s="2" cm="1">
        <f ca="1" t="array" ref="D148">_xlfn.XLOOKUP(练度预期!E148&amp;"_"&amp;INT(练度预期!C148/10)*10+10,装备养成!$N$4:$N$219&amp;"_"&amp;装备养成!$K$4:$K$219,装备养成!$P$4:$P$219)*练度预期!F148+_xlfn.XLOOKUP(练度预期!E148-1&amp;"_"&amp;INT(练度预期!C148/10)*10+10,装备养成!$N$4:$N$219&amp;"_"&amp;装备养成!$K$4:$K$219,装备养成!$P$4:$P$219)*(6-练度预期!F148)</f>
        <v>2584</v>
      </c>
      <c r="E148" s="2">
        <f ca="1">练度预期!N148*4*练度预期!M148</f>
        <v>600</v>
      </c>
      <c r="F148" s="103">
        <f ca="1">INT(练度预期!D148/10)*0.02+1+_xlfn.XLOOKUP(练度预期!E148,装备养成!$U$3:$U$11,装备养成!$V$3:$V$11)*练度预期!F148+_xlfn.XLOOKUP(练度预期!E148-1,装备养成!$U$3:$U$11,装备养成!$V$3:$V$11)*(6-练度预期!F148)</f>
        <v>1.57696</v>
      </c>
      <c r="G148" s="48">
        <f ca="1">OFFSET(梦灵养成!$K$20,_xlfn.XLOOKUP(练度预期!H148,梦灵养成!$D$10:$D$28,梦灵养成!$H$10:$H$28),MATCH(OFFSET(梦灵养成!$C$33,B148,MATCH(练度预期!H148,梦灵养成!$D$33:$V$33,0)),梦灵养成!$L$20:$R$20,1))*(1+(OFFSET(梦灵养成!$C$33,B148,MATCH(练度预期!H148,梦灵养成!$D$33:$V$33,0))-1)*_xlfn.XLOOKUP(练度预期!H148,梦灵养成!$D$9:$D$28,梦灵养成!$G$9:$G$28))</f>
        <v>29.8725</v>
      </c>
      <c r="H148" s="46">
        <f ca="1">符文养成!AC149</f>
        <v>20.9128538795881</v>
      </c>
      <c r="I148" s="46">
        <f>MAX(_xlfn.XLOOKUP(练度预期!O148,秘宝养成!$B$3:$B$15,秘宝养成!$E$3:$E$15),1)</f>
        <v>2.7915904</v>
      </c>
      <c r="J148" s="104">
        <f ca="1" t="shared" si="47"/>
        <v>34200933.4772521</v>
      </c>
      <c r="K148" s="104">
        <f ca="1">MATCH(J148,关卡预期!$E$4:$E$303,1)</f>
        <v>170</v>
      </c>
      <c r="L148" s="48">
        <f ca="1" t="shared" si="48"/>
        <v>0.743969121904149</v>
      </c>
      <c r="M148" s="48">
        <f ca="1" t="shared" si="49"/>
        <v>0.207783853329045</v>
      </c>
      <c r="N148" s="48">
        <f ca="1" t="shared" si="50"/>
        <v>0.0482470247668061</v>
      </c>
      <c r="O148" s="48">
        <f ca="1" t="shared" si="51"/>
        <v>0.0575167577258585</v>
      </c>
      <c r="P148" s="48">
        <f ca="1" t="shared" si="52"/>
        <v>0.428938160270274</v>
      </c>
      <c r="Q148" s="48">
        <f ca="1" t="shared" si="53"/>
        <v>0.383912809397576</v>
      </c>
      <c r="R148" s="48">
        <f ca="1" t="shared" si="54"/>
        <v>0.129632272606292</v>
      </c>
      <c r="S148" s="46">
        <f ca="1" t="shared" si="55"/>
        <v>0.743969121904149</v>
      </c>
      <c r="T148" s="46">
        <f ca="1" t="shared" si="56"/>
        <v>0.207783853329045</v>
      </c>
      <c r="U148" s="46">
        <f ca="1" t="shared" si="57"/>
        <v>0.0482470247668061</v>
      </c>
      <c r="V148" s="48">
        <f ca="1" t="shared" si="58"/>
        <v>0.455498943042854</v>
      </c>
      <c r="W148" s="48">
        <f ca="1" t="shared" si="59"/>
        <v>3.39693832474177</v>
      </c>
      <c r="X148" s="48">
        <f ca="1" t="shared" si="60"/>
        <v>3.04036398808671</v>
      </c>
      <c r="Y148" s="48">
        <f t="shared" si="61"/>
        <v>1.02661146926685</v>
      </c>
      <c r="Z148" s="105">
        <f ca="1" t="shared" si="62"/>
        <v>0.0575167577258585</v>
      </c>
      <c r="AA148" s="105">
        <f ca="1" t="shared" si="63"/>
        <v>0.428938160270274</v>
      </c>
      <c r="AB148" s="105">
        <f ca="1" t="shared" si="64"/>
        <v>0.383912809397576</v>
      </c>
      <c r="AC148" s="105">
        <f ca="1" t="shared" si="65"/>
        <v>0.129632272606292</v>
      </c>
      <c r="AD148" s="105">
        <f ca="1" t="shared" si="66"/>
        <v>0.743969121904149</v>
      </c>
      <c r="AE148" s="105">
        <f ca="1" t="shared" si="67"/>
        <v>0.207783853329045</v>
      </c>
      <c r="AF148" s="105">
        <f ca="1" t="shared" si="68"/>
        <v>0.048247024766806</v>
      </c>
    </row>
    <row r="149" ht="16.5" spans="1:32">
      <c r="A149">
        <f ca="1" t="shared" si="46"/>
        <v>12652</v>
      </c>
      <c r="B149" s="2">
        <v>147</v>
      </c>
      <c r="C149" s="2">
        <f>_xlfn.XLOOKUP(练度预期!D149,装备养成!$B$3:$B$303,装备养成!$D$3:$D$303)*6</f>
        <v>9468</v>
      </c>
      <c r="D149" s="2" cm="1">
        <f ca="1" t="array" ref="D149">_xlfn.XLOOKUP(练度预期!E149&amp;"_"&amp;INT(练度预期!C149/10)*10+10,装备养成!$N$4:$N$219&amp;"_"&amp;装备养成!$K$4:$K$219,装备养成!$P$4:$P$219)*练度预期!F149+_xlfn.XLOOKUP(练度预期!E149-1&amp;"_"&amp;INT(练度预期!C149/10)*10+10,装备养成!$N$4:$N$219&amp;"_"&amp;装备养成!$K$4:$K$219,装备养成!$P$4:$P$219)*(6-练度预期!F149)</f>
        <v>2584</v>
      </c>
      <c r="E149" s="2">
        <f ca="1">练度预期!N149*4*练度预期!M149</f>
        <v>600</v>
      </c>
      <c r="F149" s="103">
        <f ca="1">INT(练度预期!D149/10)*0.02+1+_xlfn.XLOOKUP(练度预期!E149,装备养成!$U$3:$U$11,装备养成!$V$3:$V$11)*练度预期!F149+_xlfn.XLOOKUP(练度预期!E149-1,装备养成!$U$3:$U$11,装备养成!$V$3:$V$11)*(6-练度预期!F149)</f>
        <v>1.57696</v>
      </c>
      <c r="G149" s="48">
        <f ca="1">OFFSET(梦灵养成!$K$20,_xlfn.XLOOKUP(练度预期!H149,梦灵养成!$D$10:$D$28,梦灵养成!$H$10:$H$28),MATCH(OFFSET(梦灵养成!$C$33,B149,MATCH(练度预期!H149,梦灵养成!$D$33:$V$33,0)),梦灵养成!$L$20:$R$20,1))*(1+(OFFSET(梦灵养成!$C$33,B149,MATCH(练度预期!H149,梦灵养成!$D$33:$V$33,0))-1)*_xlfn.XLOOKUP(练度预期!H149,梦灵养成!$D$9:$D$28,梦灵养成!$G$9:$G$28))</f>
        <v>29.8725</v>
      </c>
      <c r="H149" s="46">
        <f ca="1">符文养成!AC150</f>
        <v>21.0866210872891</v>
      </c>
      <c r="I149" s="46">
        <f>MAX(_xlfn.XLOOKUP(练度预期!O149,秘宝养成!$B$3:$B$15,秘宝养成!$E$3:$E$15),1)</f>
        <v>2.7915904</v>
      </c>
      <c r="J149" s="104">
        <f ca="1" t="shared" si="47"/>
        <v>35084082.2757498</v>
      </c>
      <c r="K149" s="104">
        <f ca="1">MATCH(J149,关卡预期!$E$4:$E$303,1)</f>
        <v>171</v>
      </c>
      <c r="L149" s="48">
        <f ca="1" t="shared" si="48"/>
        <v>0.748340183370218</v>
      </c>
      <c r="M149" s="48">
        <f ca="1" t="shared" si="49"/>
        <v>0.2042364843503</v>
      </c>
      <c r="N149" s="48">
        <f ca="1" t="shared" si="50"/>
        <v>0.0474233322794816</v>
      </c>
      <c r="O149" s="48">
        <f ca="1" t="shared" si="51"/>
        <v>0.0574567227543891</v>
      </c>
      <c r="P149" s="48">
        <f ca="1" t="shared" si="52"/>
        <v>0.428490442227183</v>
      </c>
      <c r="Q149" s="48">
        <f ca="1" t="shared" si="53"/>
        <v>0.384555870278837</v>
      </c>
      <c r="R149" s="48">
        <f ca="1" t="shared" si="54"/>
        <v>0.129496964739591</v>
      </c>
      <c r="S149" s="46">
        <f ca="1" t="shared" si="55"/>
        <v>0.748340183370218</v>
      </c>
      <c r="T149" s="46">
        <f ca="1" t="shared" si="56"/>
        <v>0.204236484350301</v>
      </c>
      <c r="U149" s="46">
        <f ca="1" t="shared" si="57"/>
        <v>0.0474233322794816</v>
      </c>
      <c r="V149" s="48">
        <f ca="1" t="shared" si="58"/>
        <v>0.455498943042854</v>
      </c>
      <c r="W149" s="48">
        <f ca="1" t="shared" si="59"/>
        <v>3.39693832474177</v>
      </c>
      <c r="X149" s="48">
        <f ca="1" t="shared" si="60"/>
        <v>3.04863876768109</v>
      </c>
      <c r="Y149" s="48">
        <f t="shared" si="61"/>
        <v>1.02661146926685</v>
      </c>
      <c r="Z149" s="105">
        <f ca="1" t="shared" si="62"/>
        <v>0.0574567227543891</v>
      </c>
      <c r="AA149" s="105">
        <f ca="1" t="shared" si="63"/>
        <v>0.428490442227183</v>
      </c>
      <c r="AB149" s="105">
        <f ca="1" t="shared" si="64"/>
        <v>0.384555870278837</v>
      </c>
      <c r="AC149" s="105">
        <f ca="1" t="shared" si="65"/>
        <v>0.129496964739591</v>
      </c>
      <c r="AD149" s="105">
        <f ca="1" t="shared" si="66"/>
        <v>0.748340183370218</v>
      </c>
      <c r="AE149" s="105">
        <f ca="1" t="shared" si="67"/>
        <v>0.2042364843503</v>
      </c>
      <c r="AF149" s="105">
        <f ca="1" t="shared" si="68"/>
        <v>0.0474233322794815</v>
      </c>
    </row>
    <row r="150" ht="16.5" spans="1:32">
      <c r="A150">
        <f ca="1" t="shared" si="46"/>
        <v>12652</v>
      </c>
      <c r="B150" s="2">
        <v>148</v>
      </c>
      <c r="C150" s="2">
        <f>_xlfn.XLOOKUP(练度预期!D150,装备养成!$B$3:$B$303,装备养成!$D$3:$D$303)*6</f>
        <v>9468</v>
      </c>
      <c r="D150" s="2" cm="1">
        <f ca="1" t="array" ref="D150">_xlfn.XLOOKUP(练度预期!E150&amp;"_"&amp;INT(练度预期!C150/10)*10+10,装备养成!$N$4:$N$219&amp;"_"&amp;装备养成!$K$4:$K$219,装备养成!$P$4:$P$219)*练度预期!F150+_xlfn.XLOOKUP(练度预期!E150-1&amp;"_"&amp;INT(练度预期!C150/10)*10+10,装备养成!$N$4:$N$219&amp;"_"&amp;装备养成!$K$4:$K$219,装备养成!$P$4:$P$219)*(6-练度预期!F150)</f>
        <v>2584</v>
      </c>
      <c r="E150" s="2">
        <f ca="1">练度预期!N150*4*练度预期!M150</f>
        <v>600</v>
      </c>
      <c r="F150" s="103">
        <f ca="1">INT(练度预期!D150/10)*0.02+1+_xlfn.XLOOKUP(练度预期!E150,装备养成!$U$3:$U$11,装备养成!$V$3:$V$11)*练度预期!F150+_xlfn.XLOOKUP(练度预期!E150-1,装备养成!$U$3:$U$11,装备养成!$V$3:$V$11)*(6-练度预期!F150)</f>
        <v>1.57696</v>
      </c>
      <c r="G150" s="48">
        <f ca="1">OFFSET(梦灵养成!$K$20,_xlfn.XLOOKUP(练度预期!H150,梦灵养成!$D$10:$D$28,梦灵养成!$H$10:$H$28),MATCH(OFFSET(梦灵养成!$C$33,B150,MATCH(练度预期!H150,梦灵养成!$D$33:$V$33,0)),梦灵养成!$L$20:$R$20,1))*(1+(OFFSET(梦灵养成!$C$33,B150,MATCH(练度预期!H150,梦灵养成!$D$33:$V$33,0))-1)*_xlfn.XLOOKUP(练度预期!H150,梦灵养成!$D$9:$D$28,梦灵养成!$G$9:$G$28))</f>
        <v>29.8725</v>
      </c>
      <c r="H150" s="46">
        <f ca="1">符文养成!AC151</f>
        <v>21.2345106647127</v>
      </c>
      <c r="I150" s="46">
        <f>MAX(_xlfn.XLOOKUP(练度预期!O150,秘宝养成!$B$3:$B$15,秘宝养成!$E$3:$E$15),1)</f>
        <v>2.7915904</v>
      </c>
      <c r="J150" s="104">
        <f ca="1" t="shared" si="47"/>
        <v>35330142.0916196</v>
      </c>
      <c r="K150" s="104">
        <f ca="1">MATCH(J150,关卡预期!$E$4:$E$303,1)</f>
        <v>171</v>
      </c>
      <c r="L150" s="48">
        <f ca="1" t="shared" si="48"/>
        <v>0.748340183370218</v>
      </c>
      <c r="M150" s="48">
        <f ca="1" t="shared" si="49"/>
        <v>0.2042364843503</v>
      </c>
      <c r="N150" s="48">
        <f ca="1" t="shared" si="50"/>
        <v>0.0474233322794816</v>
      </c>
      <c r="O150" s="48">
        <f ca="1" t="shared" si="51"/>
        <v>0.0574061142286172</v>
      </c>
      <c r="P150" s="48">
        <f ca="1" t="shared" si="52"/>
        <v>0.428113023040204</v>
      </c>
      <c r="Q150" s="48">
        <f ca="1" t="shared" si="53"/>
        <v>0.385097960370422</v>
      </c>
      <c r="R150" s="48">
        <f ca="1" t="shared" si="54"/>
        <v>0.129382902360757</v>
      </c>
      <c r="S150" s="46">
        <f ca="1" t="shared" si="55"/>
        <v>0.748340183370218</v>
      </c>
      <c r="T150" s="46">
        <f ca="1" t="shared" si="56"/>
        <v>0.204236484350301</v>
      </c>
      <c r="U150" s="46">
        <f ca="1" t="shared" si="57"/>
        <v>0.0474233322794816</v>
      </c>
      <c r="V150" s="48">
        <f ca="1" t="shared" si="58"/>
        <v>0.455498943042854</v>
      </c>
      <c r="W150" s="48">
        <f ca="1" t="shared" si="59"/>
        <v>3.39693832474177</v>
      </c>
      <c r="X150" s="48">
        <f ca="1" t="shared" si="60"/>
        <v>3.05562771969057</v>
      </c>
      <c r="Y150" s="48">
        <f t="shared" si="61"/>
        <v>1.02661146926685</v>
      </c>
      <c r="Z150" s="105">
        <f ca="1" t="shared" si="62"/>
        <v>0.0574061142286172</v>
      </c>
      <c r="AA150" s="105">
        <f ca="1" t="shared" si="63"/>
        <v>0.428113023040204</v>
      </c>
      <c r="AB150" s="105">
        <f ca="1" t="shared" si="64"/>
        <v>0.385097960370422</v>
      </c>
      <c r="AC150" s="105">
        <f ca="1" t="shared" si="65"/>
        <v>0.129382902360757</v>
      </c>
      <c r="AD150" s="105">
        <f ca="1" t="shared" si="66"/>
        <v>0.748340183370218</v>
      </c>
      <c r="AE150" s="105">
        <f ca="1" t="shared" si="67"/>
        <v>0.2042364843503</v>
      </c>
      <c r="AF150" s="105">
        <f ca="1" t="shared" si="68"/>
        <v>0.0474233322794815</v>
      </c>
    </row>
    <row r="151" ht="16.5" spans="1:32">
      <c r="A151">
        <f ca="1" t="shared" si="46"/>
        <v>12652</v>
      </c>
      <c r="B151" s="2">
        <v>149</v>
      </c>
      <c r="C151" s="2">
        <f>_xlfn.XLOOKUP(练度预期!D151,装备养成!$B$3:$B$303,装备养成!$D$3:$D$303)*6</f>
        <v>9468</v>
      </c>
      <c r="D151" s="2" cm="1">
        <f ca="1" t="array" ref="D151">_xlfn.XLOOKUP(练度预期!E151&amp;"_"&amp;INT(练度预期!C151/10)*10+10,装备养成!$N$4:$N$219&amp;"_"&amp;装备养成!$K$4:$K$219,装备养成!$P$4:$P$219)*练度预期!F151+_xlfn.XLOOKUP(练度预期!E151-1&amp;"_"&amp;INT(练度预期!C151/10)*10+10,装备养成!$N$4:$N$219&amp;"_"&amp;装备养成!$K$4:$K$219,装备养成!$P$4:$P$219)*(6-练度预期!F151)</f>
        <v>2584</v>
      </c>
      <c r="E151" s="2">
        <f ca="1">练度预期!N151*4*练度预期!M151</f>
        <v>600</v>
      </c>
      <c r="F151" s="103">
        <f ca="1">INT(练度预期!D151/10)*0.02+1+_xlfn.XLOOKUP(练度预期!E151,装备养成!$U$3:$U$11,装备养成!$V$3:$V$11)*练度预期!F151+_xlfn.XLOOKUP(练度预期!E151-1,装备养成!$U$3:$U$11,装备养成!$V$3:$V$11)*(6-练度预期!F151)</f>
        <v>1.57696</v>
      </c>
      <c r="G151" s="48">
        <f ca="1">OFFSET(梦灵养成!$K$20,_xlfn.XLOOKUP(练度预期!H151,梦灵养成!$D$10:$D$28,梦灵养成!$H$10:$H$28),MATCH(OFFSET(梦灵养成!$C$33,B151,MATCH(练度预期!H151,梦灵养成!$D$33:$V$33,0)),梦灵养成!$L$20:$R$20,1))*(1+(OFFSET(梦灵养成!$C$33,B151,MATCH(练度预期!H151,梦灵养成!$D$33:$V$33,0))-1)*_xlfn.XLOOKUP(练度预期!H151,梦灵养成!$D$9:$D$28,梦灵养成!$G$9:$G$28))</f>
        <v>29.8725</v>
      </c>
      <c r="H151" s="46">
        <f ca="1">符文养成!AC152</f>
        <v>21.4132536404463</v>
      </c>
      <c r="I151" s="46">
        <f>MAX(_xlfn.XLOOKUP(练度预期!O151,秘宝养成!$B$3:$B$15,秘宝养成!$E$3:$E$15),1)</f>
        <v>2.7915904</v>
      </c>
      <c r="J151" s="104">
        <f ca="1" t="shared" si="47"/>
        <v>35627536.0287938</v>
      </c>
      <c r="K151" s="104">
        <f ca="1">MATCH(J151,关卡预期!$E$4:$E$303,1)</f>
        <v>171</v>
      </c>
      <c r="L151" s="48">
        <f ca="1" t="shared" si="48"/>
        <v>0.748340183370218</v>
      </c>
      <c r="M151" s="48">
        <f ca="1" t="shared" si="49"/>
        <v>0.204236484350301</v>
      </c>
      <c r="N151" s="48">
        <f ca="1" t="shared" si="50"/>
        <v>0.0474233322794816</v>
      </c>
      <c r="O151" s="48">
        <f ca="1" t="shared" si="51"/>
        <v>0.0573455333417886</v>
      </c>
      <c r="P151" s="48">
        <f ca="1" t="shared" si="52"/>
        <v>0.427661233767456</v>
      </c>
      <c r="Q151" s="48">
        <f ca="1" t="shared" si="53"/>
        <v>0.385746868790266</v>
      </c>
      <c r="R151" s="48">
        <f ca="1" t="shared" si="54"/>
        <v>0.129246364100489</v>
      </c>
      <c r="S151" s="46">
        <f ca="1" t="shared" si="55"/>
        <v>0.748340183370218</v>
      </c>
      <c r="T151" s="46">
        <f ca="1" t="shared" si="56"/>
        <v>0.204236484350301</v>
      </c>
      <c r="U151" s="46">
        <f ca="1" t="shared" si="57"/>
        <v>0.0474233322794816</v>
      </c>
      <c r="V151" s="48">
        <f ca="1" t="shared" si="58"/>
        <v>0.455498943042854</v>
      </c>
      <c r="W151" s="48">
        <f ca="1" t="shared" si="59"/>
        <v>3.39693832474177</v>
      </c>
      <c r="X151" s="48">
        <f ca="1" t="shared" si="60"/>
        <v>3.06401005931557</v>
      </c>
      <c r="Y151" s="48">
        <f t="shared" si="61"/>
        <v>1.02661146926685</v>
      </c>
      <c r="Z151" s="105">
        <f ca="1" t="shared" si="62"/>
        <v>0.0573455333417886</v>
      </c>
      <c r="AA151" s="105">
        <f ca="1" t="shared" si="63"/>
        <v>0.427661233767456</v>
      </c>
      <c r="AB151" s="105">
        <f ca="1" t="shared" si="64"/>
        <v>0.385746868790266</v>
      </c>
      <c r="AC151" s="105">
        <f ca="1" t="shared" si="65"/>
        <v>0.129246364100489</v>
      </c>
      <c r="AD151" s="105">
        <f ca="1" t="shared" si="66"/>
        <v>0.748340183370218</v>
      </c>
      <c r="AE151" s="105">
        <f ca="1" t="shared" si="67"/>
        <v>0.2042364843503</v>
      </c>
      <c r="AF151" s="105">
        <f ca="1" t="shared" si="68"/>
        <v>0.0474233322794815</v>
      </c>
    </row>
    <row r="152" ht="16.5" spans="1:32">
      <c r="A152">
        <f ca="1" t="shared" si="46"/>
        <v>12944</v>
      </c>
      <c r="B152" s="2">
        <v>150</v>
      </c>
      <c r="C152" s="2">
        <f>_xlfn.XLOOKUP(练度预期!D152,装备养成!$B$3:$B$303,装备养成!$D$3:$D$303)*6</f>
        <v>9684</v>
      </c>
      <c r="D152" s="2" cm="1">
        <f ca="1" t="array" ref="D152">_xlfn.XLOOKUP(练度预期!E152&amp;"_"&amp;INT(练度预期!C152/10)*10+10,装备养成!$N$4:$N$219&amp;"_"&amp;装备养成!$K$4:$K$219,装备养成!$P$4:$P$219)*练度预期!F152+_xlfn.XLOOKUP(练度预期!E152-1&amp;"_"&amp;INT(练度预期!C152/10)*10+10,装备养成!$N$4:$N$219&amp;"_"&amp;装备养成!$K$4:$K$219,装备养成!$P$4:$P$219)*(6-练度预期!F152)</f>
        <v>2660</v>
      </c>
      <c r="E152" s="2">
        <f ca="1">练度预期!N152*4*练度预期!M152</f>
        <v>600</v>
      </c>
      <c r="F152" s="103">
        <f ca="1">INT(练度预期!D152/10)*0.02+1+_xlfn.XLOOKUP(练度预期!E152,装备养成!$U$3:$U$11,装备养成!$V$3:$V$11)*练度预期!F152+_xlfn.XLOOKUP(练度预期!E152-1,装备养成!$U$3:$U$11,装备养成!$V$3:$V$11)*(6-练度预期!F152)</f>
        <v>1.60592</v>
      </c>
      <c r="G152" s="48">
        <f ca="1">OFFSET(梦灵养成!$K$20,_xlfn.XLOOKUP(练度预期!H152,梦灵养成!$D$10:$D$28,梦灵养成!$H$10:$H$28),MATCH(OFFSET(梦灵养成!$C$33,B152,MATCH(练度预期!H152,梦灵养成!$D$33:$V$33,0)),梦灵养成!$L$20:$R$20,1))*(1+(OFFSET(梦灵养成!$C$33,B152,MATCH(练度预期!H152,梦灵养成!$D$33:$V$33,0))-1)*_xlfn.XLOOKUP(练度预期!H152,梦灵养成!$D$9:$D$28,梦灵养成!$G$9:$G$28))</f>
        <v>29.8725</v>
      </c>
      <c r="H152" s="46">
        <f ca="1">符文养成!AC153</f>
        <v>21.5898461431966</v>
      </c>
      <c r="I152" s="46">
        <f>MAX(_xlfn.XLOOKUP(练度预期!O152,秘宝养成!$B$3:$B$15,秘宝养成!$E$3:$E$15),1)</f>
        <v>2.7915904</v>
      </c>
      <c r="J152" s="104">
        <f ca="1" t="shared" si="47"/>
        <v>37425294.3234172</v>
      </c>
      <c r="K152" s="104">
        <f ca="1">MATCH(J152,关卡预期!$E$4:$E$303,1)</f>
        <v>172</v>
      </c>
      <c r="L152" s="48">
        <f ca="1" t="shared" si="48"/>
        <v>0.748145859085291</v>
      </c>
      <c r="M152" s="48">
        <f ca="1" t="shared" si="49"/>
        <v>0.205500618046972</v>
      </c>
      <c r="N152" s="48">
        <f ca="1" t="shared" si="50"/>
        <v>0.046353522867738</v>
      </c>
      <c r="O152" s="48">
        <f ca="1" t="shared" si="51"/>
        <v>0.0594389361055198</v>
      </c>
      <c r="P152" s="48">
        <f ca="1" t="shared" si="52"/>
        <v>0.426243959378541</v>
      </c>
      <c r="Q152" s="48">
        <f ca="1" t="shared" si="53"/>
        <v>0.385499064395358</v>
      </c>
      <c r="R152" s="48">
        <f ca="1" t="shared" si="54"/>
        <v>0.128818040120581</v>
      </c>
      <c r="S152" s="46">
        <f ca="1" t="shared" si="55"/>
        <v>0.748145859085291</v>
      </c>
      <c r="T152" s="46">
        <f ca="1" t="shared" si="56"/>
        <v>0.205500618046972</v>
      </c>
      <c r="U152" s="46">
        <f ca="1" t="shared" si="57"/>
        <v>0.046353522867738</v>
      </c>
      <c r="V152" s="48">
        <f ca="1" t="shared" si="58"/>
        <v>0.473696801083353</v>
      </c>
      <c r="W152" s="48">
        <f ca="1" t="shared" si="59"/>
        <v>3.39693832474177</v>
      </c>
      <c r="X152" s="48">
        <f ca="1" t="shared" si="60"/>
        <v>3.07222311820196</v>
      </c>
      <c r="Y152" s="48">
        <f t="shared" si="61"/>
        <v>1.02661146926685</v>
      </c>
      <c r="Z152" s="105">
        <f ca="1" t="shared" si="62"/>
        <v>0.0594389361055198</v>
      </c>
      <c r="AA152" s="105">
        <f ca="1" t="shared" si="63"/>
        <v>0.426243959378541</v>
      </c>
      <c r="AB152" s="105">
        <f ca="1" t="shared" si="64"/>
        <v>0.385499064395358</v>
      </c>
      <c r="AC152" s="105">
        <f ca="1" t="shared" si="65"/>
        <v>0.128818040120581</v>
      </c>
      <c r="AD152" s="105">
        <f ca="1" t="shared" si="66"/>
        <v>0.748145859085291</v>
      </c>
      <c r="AE152" s="105">
        <f ca="1" t="shared" si="67"/>
        <v>0.205500618046972</v>
      </c>
      <c r="AF152" s="105">
        <f ca="1" t="shared" si="68"/>
        <v>0.0463535228677379</v>
      </c>
    </row>
    <row r="153" ht="16.5" spans="1:32">
      <c r="A153">
        <f ca="1" t="shared" si="46"/>
        <v>12944</v>
      </c>
      <c r="B153" s="2">
        <v>151</v>
      </c>
      <c r="C153" s="2">
        <f>_xlfn.XLOOKUP(练度预期!D153,装备养成!$B$3:$B$303,装备养成!$D$3:$D$303)*6</f>
        <v>9684</v>
      </c>
      <c r="D153" s="2" cm="1">
        <f ca="1" t="array" ref="D153">_xlfn.XLOOKUP(练度预期!E153&amp;"_"&amp;INT(练度预期!C153/10)*10+10,装备养成!$N$4:$N$219&amp;"_"&amp;装备养成!$K$4:$K$219,装备养成!$P$4:$P$219)*练度预期!F153+_xlfn.XLOOKUP(练度预期!E153-1&amp;"_"&amp;INT(练度预期!C153/10)*10+10,装备养成!$N$4:$N$219&amp;"_"&amp;装备养成!$K$4:$K$219,装备养成!$P$4:$P$219)*(6-练度预期!F153)</f>
        <v>2660</v>
      </c>
      <c r="E153" s="2">
        <f ca="1">练度预期!N153*4*练度预期!M153</f>
        <v>600</v>
      </c>
      <c r="F153" s="103">
        <f ca="1">INT(练度预期!D153/10)*0.02+1+_xlfn.XLOOKUP(练度预期!E153,装备养成!$U$3:$U$11,装备养成!$V$3:$V$11)*练度预期!F153+_xlfn.XLOOKUP(练度预期!E153-1,装备养成!$U$3:$U$11,装备养成!$V$3:$V$11)*(6-练度预期!F153)</f>
        <v>1.60592</v>
      </c>
      <c r="G153" s="48">
        <f ca="1">OFFSET(梦灵养成!$K$20,_xlfn.XLOOKUP(练度预期!H153,梦灵养成!$D$10:$D$28,梦灵养成!$H$10:$H$28),MATCH(OFFSET(梦灵养成!$C$33,B153,MATCH(练度预期!H153,梦灵养成!$D$33:$V$33,0)),梦灵养成!$L$20:$R$20,1))*(1+(OFFSET(梦灵养成!$C$33,B153,MATCH(练度预期!H153,梦灵养成!$D$33:$V$33,0))-1)*_xlfn.XLOOKUP(练度预期!H153,梦灵养成!$D$9:$D$28,梦灵养成!$G$9:$G$28))</f>
        <v>29.8725</v>
      </c>
      <c r="H153" s="46">
        <f ca="1">符文养成!AC154</f>
        <v>21.7433028236753</v>
      </c>
      <c r="I153" s="46">
        <f>MAX(_xlfn.XLOOKUP(练度预期!O153,秘宝养成!$B$3:$B$15,秘宝养成!$E$3:$E$15),1)</f>
        <v>2.7915904</v>
      </c>
      <c r="J153" s="104">
        <f ca="1" t="shared" si="47"/>
        <v>37691306.4753666</v>
      </c>
      <c r="K153" s="104">
        <f ca="1">MATCH(J153,关卡预期!$E$4:$E$303,1)</f>
        <v>172</v>
      </c>
      <c r="L153" s="48">
        <f ca="1" t="shared" si="48"/>
        <v>0.748145859085291</v>
      </c>
      <c r="M153" s="48">
        <f ca="1" t="shared" si="49"/>
        <v>0.205500618046971</v>
      </c>
      <c r="N153" s="48">
        <f ca="1" t="shared" si="50"/>
        <v>0.0463535228677379</v>
      </c>
      <c r="O153" s="48">
        <f ca="1" t="shared" si="51"/>
        <v>0.0593861580766601</v>
      </c>
      <c r="P153" s="48">
        <f ca="1" t="shared" si="52"/>
        <v>0.425865481608525</v>
      </c>
      <c r="Q153" s="48">
        <f ca="1" t="shared" si="53"/>
        <v>0.386044702494534</v>
      </c>
      <c r="R153" s="48">
        <f ca="1" t="shared" si="54"/>
        <v>0.128703657820281</v>
      </c>
      <c r="S153" s="46">
        <f ca="1" t="shared" si="55"/>
        <v>0.748145859085291</v>
      </c>
      <c r="T153" s="46">
        <f ca="1" t="shared" si="56"/>
        <v>0.205500618046971</v>
      </c>
      <c r="U153" s="46">
        <f ca="1" t="shared" si="57"/>
        <v>0.0463535228677379</v>
      </c>
      <c r="V153" s="48">
        <f ca="1" t="shared" si="58"/>
        <v>0.473696801083353</v>
      </c>
      <c r="W153" s="48">
        <f ca="1" t="shared" si="59"/>
        <v>3.39693832474177</v>
      </c>
      <c r="X153" s="48">
        <f ca="1" t="shared" si="60"/>
        <v>3.07930579396592</v>
      </c>
      <c r="Y153" s="48">
        <f t="shared" si="61"/>
        <v>1.02661146926685</v>
      </c>
      <c r="Z153" s="105">
        <f ca="1" t="shared" si="62"/>
        <v>0.0593861580766601</v>
      </c>
      <c r="AA153" s="105">
        <f ca="1" t="shared" si="63"/>
        <v>0.425865481608525</v>
      </c>
      <c r="AB153" s="105">
        <f ca="1" t="shared" si="64"/>
        <v>0.386044702494534</v>
      </c>
      <c r="AC153" s="105">
        <f ca="1" t="shared" si="65"/>
        <v>0.128703657820281</v>
      </c>
      <c r="AD153" s="105">
        <f ca="1" t="shared" si="66"/>
        <v>0.748145859085291</v>
      </c>
      <c r="AE153" s="105">
        <f ca="1" t="shared" si="67"/>
        <v>0.205500618046972</v>
      </c>
      <c r="AF153" s="105">
        <f ca="1" t="shared" si="68"/>
        <v>0.0463535228677379</v>
      </c>
    </row>
    <row r="154" ht="16.5" spans="1:32">
      <c r="A154">
        <f ca="1" t="shared" si="46"/>
        <v>12944</v>
      </c>
      <c r="B154" s="2">
        <v>152</v>
      </c>
      <c r="C154" s="2">
        <f>_xlfn.XLOOKUP(练度预期!D154,装备养成!$B$3:$B$303,装备养成!$D$3:$D$303)*6</f>
        <v>9684</v>
      </c>
      <c r="D154" s="2" cm="1">
        <f ca="1" t="array" ref="D154">_xlfn.XLOOKUP(练度预期!E154&amp;"_"&amp;INT(练度预期!C154/10)*10+10,装备养成!$N$4:$N$219&amp;"_"&amp;装备养成!$K$4:$K$219,装备养成!$P$4:$P$219)*练度预期!F154+_xlfn.XLOOKUP(练度预期!E154-1&amp;"_"&amp;INT(练度预期!C154/10)*10+10,装备养成!$N$4:$N$219&amp;"_"&amp;装备养成!$K$4:$K$219,装备养成!$P$4:$P$219)*(6-练度预期!F154)</f>
        <v>2660</v>
      </c>
      <c r="E154" s="2">
        <f ca="1">练度预期!N154*4*练度预期!M154</f>
        <v>600</v>
      </c>
      <c r="F154" s="103">
        <f ca="1">INT(练度预期!D154/10)*0.02+1+_xlfn.XLOOKUP(练度预期!E154,装备养成!$U$3:$U$11,装备养成!$V$3:$V$11)*练度预期!F154+_xlfn.XLOOKUP(练度预期!E154-1,装备养成!$U$3:$U$11,装备养成!$V$3:$V$11)*(6-练度预期!F154)</f>
        <v>1.60592</v>
      </c>
      <c r="G154" s="48">
        <f ca="1">OFFSET(梦灵养成!$K$20,_xlfn.XLOOKUP(练度预期!H154,梦灵养成!$D$10:$D$28,梦灵养成!$H$10:$H$28),MATCH(OFFSET(梦灵养成!$C$33,B154,MATCH(练度预期!H154,梦灵养成!$D$33:$V$33,0)),梦灵养成!$L$20:$R$20,1))*(1+(OFFSET(梦灵养成!$C$33,B154,MATCH(练度预期!H154,梦灵养成!$D$33:$V$33,0))-1)*_xlfn.XLOOKUP(练度预期!H154,梦灵养成!$D$9:$D$28,梦灵养成!$G$9:$G$28))</f>
        <v>29.8725</v>
      </c>
      <c r="H154" s="46">
        <f ca="1">符文养成!AC155</f>
        <v>21.9037951451929</v>
      </c>
      <c r="I154" s="46">
        <f>MAX(_xlfn.XLOOKUP(练度预期!O154,秘宝养成!$B$3:$B$15,秘宝养成!$E$3:$E$15),1)</f>
        <v>2.7915904</v>
      </c>
      <c r="J154" s="104">
        <f ca="1" t="shared" si="47"/>
        <v>37969514.6816506</v>
      </c>
      <c r="K154" s="104">
        <f ca="1">MATCH(J154,关卡预期!$E$4:$E$303,1)</f>
        <v>172</v>
      </c>
      <c r="L154" s="48">
        <f ca="1" t="shared" si="48"/>
        <v>0.748145859085291</v>
      </c>
      <c r="M154" s="48">
        <f ca="1" t="shared" si="49"/>
        <v>0.205500618046972</v>
      </c>
      <c r="N154" s="48">
        <f ca="1" t="shared" si="50"/>
        <v>0.0463535228677379</v>
      </c>
      <c r="O154" s="48">
        <f ca="1" t="shared" si="51"/>
        <v>0.0593314564015419</v>
      </c>
      <c r="P154" s="48">
        <f ca="1" t="shared" si="52"/>
        <v>0.425473209133364</v>
      </c>
      <c r="Q154" s="48">
        <f ca="1" t="shared" si="53"/>
        <v>0.386610227935293</v>
      </c>
      <c r="R154" s="48">
        <f ca="1" t="shared" si="54"/>
        <v>0.128585106529801</v>
      </c>
      <c r="S154" s="46">
        <f ca="1" t="shared" si="55"/>
        <v>0.74814585908529</v>
      </c>
      <c r="T154" s="46">
        <f ca="1" t="shared" si="56"/>
        <v>0.205500618046972</v>
      </c>
      <c r="U154" s="46">
        <f ca="1" t="shared" si="57"/>
        <v>0.0463535228677379</v>
      </c>
      <c r="V154" s="48">
        <f ca="1" t="shared" si="58"/>
        <v>0.473696801083353</v>
      </c>
      <c r="W154" s="48">
        <f ca="1" t="shared" si="59"/>
        <v>3.39693832474177</v>
      </c>
      <c r="X154" s="48">
        <f ca="1" t="shared" si="60"/>
        <v>3.08665991610978</v>
      </c>
      <c r="Y154" s="48">
        <f t="shared" si="61"/>
        <v>1.02661146926685</v>
      </c>
      <c r="Z154" s="105">
        <f ca="1" t="shared" si="62"/>
        <v>0.0593314564015419</v>
      </c>
      <c r="AA154" s="105">
        <f ca="1" t="shared" si="63"/>
        <v>0.425473209133364</v>
      </c>
      <c r="AB154" s="105">
        <f ca="1" t="shared" si="64"/>
        <v>0.386610227935293</v>
      </c>
      <c r="AC154" s="105">
        <f ca="1" t="shared" si="65"/>
        <v>0.128585106529801</v>
      </c>
      <c r="AD154" s="105">
        <f ca="1" t="shared" si="66"/>
        <v>0.748145859085291</v>
      </c>
      <c r="AE154" s="105">
        <f ca="1" t="shared" si="67"/>
        <v>0.205500618046972</v>
      </c>
      <c r="AF154" s="105">
        <f ca="1" t="shared" si="68"/>
        <v>0.0463535228677379</v>
      </c>
    </row>
    <row r="155" ht="16.5" spans="1:32">
      <c r="A155">
        <f ca="1" t="shared" si="46"/>
        <v>13160</v>
      </c>
      <c r="B155" s="2">
        <v>153</v>
      </c>
      <c r="C155" s="2">
        <f>_xlfn.XLOOKUP(练度预期!D155,装备养成!$B$3:$B$303,装备养成!$D$3:$D$303)*6</f>
        <v>9900</v>
      </c>
      <c r="D155" s="2" cm="1">
        <f ca="1" t="array" ref="D155">_xlfn.XLOOKUP(练度预期!E155&amp;"_"&amp;INT(练度预期!C155/10)*10+10,装备养成!$N$4:$N$219&amp;"_"&amp;装备养成!$K$4:$K$219,装备养成!$P$4:$P$219)*练度预期!F155+_xlfn.XLOOKUP(练度预期!E155-1&amp;"_"&amp;INT(练度预期!C155/10)*10+10,装备养成!$N$4:$N$219&amp;"_"&amp;装备养成!$K$4:$K$219,装备养成!$P$4:$P$219)*(6-练度预期!F155)</f>
        <v>2660</v>
      </c>
      <c r="E155" s="2">
        <f ca="1">练度预期!N155*4*练度预期!M155</f>
        <v>600</v>
      </c>
      <c r="F155" s="103">
        <f ca="1">INT(练度预期!D155/10)*0.02+1+_xlfn.XLOOKUP(练度预期!E155,装备养成!$U$3:$U$11,装备养成!$V$3:$V$11)*练度预期!F155+_xlfn.XLOOKUP(练度预期!E155-1,装备养成!$U$3:$U$11,装备养成!$V$3:$V$11)*(6-练度预期!F155)</f>
        <v>1.60592</v>
      </c>
      <c r="G155" s="48">
        <f ca="1">OFFSET(梦灵养成!$K$20,_xlfn.XLOOKUP(练度预期!H155,梦灵养成!$D$10:$D$28,梦灵养成!$H$10:$H$28),MATCH(OFFSET(梦灵养成!$C$33,B155,MATCH(练度预期!H155,梦灵养成!$D$33:$V$33,0)),梦灵养成!$L$20:$R$20,1))*(1+(OFFSET(梦灵养成!$C$33,B155,MATCH(练度预期!H155,梦灵养成!$D$33:$V$33,0))-1)*_xlfn.XLOOKUP(练度预期!H155,梦灵养成!$D$9:$D$28,梦灵养成!$G$9:$G$28))</f>
        <v>29.8725</v>
      </c>
      <c r="H155" s="46">
        <f ca="1">符文养成!AC156</f>
        <v>22.0587360174989</v>
      </c>
      <c r="I155" s="46">
        <f>MAX(_xlfn.XLOOKUP(练度预期!O155,秘宝养成!$B$3:$B$15,秘宝养成!$E$3:$E$15),1)</f>
        <v>2.7915904</v>
      </c>
      <c r="J155" s="104">
        <f ca="1" t="shared" si="47"/>
        <v>38876189.05699</v>
      </c>
      <c r="K155" s="104">
        <f ca="1">MATCH(J155,关卡预期!$E$4:$E$303,1)</f>
        <v>173</v>
      </c>
      <c r="L155" s="48">
        <f ca="1" t="shared" si="48"/>
        <v>0.752279635258359</v>
      </c>
      <c r="M155" s="48">
        <f ca="1" t="shared" si="49"/>
        <v>0.202127659574468</v>
      </c>
      <c r="N155" s="48">
        <f ca="1" t="shared" si="50"/>
        <v>0.0455927051671731</v>
      </c>
      <c r="O155" s="48">
        <f ca="1" t="shared" si="51"/>
        <v>0.0592791202952814</v>
      </c>
      <c r="P155" s="48">
        <f ca="1" t="shared" si="52"/>
        <v>0.425097900444943</v>
      </c>
      <c r="Q155" s="48">
        <f ca="1" t="shared" si="53"/>
        <v>0.387151297280912</v>
      </c>
      <c r="R155" s="48">
        <f ca="1" t="shared" si="54"/>
        <v>0.128471681978863</v>
      </c>
      <c r="S155" s="46">
        <f ca="1" t="shared" si="55"/>
        <v>0.752279635258359</v>
      </c>
      <c r="T155" s="46">
        <f ca="1" t="shared" si="56"/>
        <v>0.202127659574468</v>
      </c>
      <c r="U155" s="46">
        <f ca="1" t="shared" si="57"/>
        <v>0.0455927051671731</v>
      </c>
      <c r="V155" s="48">
        <f ca="1" t="shared" si="58"/>
        <v>0.473696801083353</v>
      </c>
      <c r="W155" s="48">
        <f ca="1" t="shared" si="59"/>
        <v>3.39693832474177</v>
      </c>
      <c r="X155" s="48">
        <f ca="1" t="shared" si="60"/>
        <v>3.09370871469961</v>
      </c>
      <c r="Y155" s="48">
        <f t="shared" si="61"/>
        <v>1.02661146926685</v>
      </c>
      <c r="Z155" s="105">
        <f ca="1" t="shared" si="62"/>
        <v>0.0592791202952814</v>
      </c>
      <c r="AA155" s="105">
        <f ca="1" t="shared" si="63"/>
        <v>0.425097900444943</v>
      </c>
      <c r="AB155" s="105">
        <f ca="1" t="shared" si="64"/>
        <v>0.387151297280912</v>
      </c>
      <c r="AC155" s="105">
        <f ca="1" t="shared" si="65"/>
        <v>0.128471681978863</v>
      </c>
      <c r="AD155" s="105">
        <f ca="1" t="shared" si="66"/>
        <v>0.752279635258359</v>
      </c>
      <c r="AE155" s="105">
        <f ca="1" t="shared" si="67"/>
        <v>0.202127659574468</v>
      </c>
      <c r="AF155" s="105">
        <f ca="1" t="shared" si="68"/>
        <v>0.0455927051671733</v>
      </c>
    </row>
    <row r="156" ht="16.5" spans="1:32">
      <c r="A156">
        <f ca="1" t="shared" si="46"/>
        <v>13160</v>
      </c>
      <c r="B156" s="2">
        <v>154</v>
      </c>
      <c r="C156" s="2">
        <f>_xlfn.XLOOKUP(练度预期!D156,装备养成!$B$3:$B$303,装备养成!$D$3:$D$303)*6</f>
        <v>9900</v>
      </c>
      <c r="D156" s="2" cm="1">
        <f ca="1" t="array" ref="D156">_xlfn.XLOOKUP(练度预期!E156&amp;"_"&amp;INT(练度预期!C156/10)*10+10,装备养成!$N$4:$N$219&amp;"_"&amp;装备养成!$K$4:$K$219,装备养成!$P$4:$P$219)*练度预期!F156+_xlfn.XLOOKUP(练度预期!E156-1&amp;"_"&amp;INT(练度预期!C156/10)*10+10,装备养成!$N$4:$N$219&amp;"_"&amp;装备养成!$K$4:$K$219,装备养成!$P$4:$P$219)*(6-练度预期!F156)</f>
        <v>2660</v>
      </c>
      <c r="E156" s="2">
        <f ca="1">练度预期!N156*4*练度预期!M156</f>
        <v>600</v>
      </c>
      <c r="F156" s="103">
        <f ca="1">INT(练度预期!D156/10)*0.02+1+_xlfn.XLOOKUP(练度预期!E156,装备养成!$U$3:$U$11,装备养成!$V$3:$V$11)*练度预期!F156+_xlfn.XLOOKUP(练度预期!E156-1,装备养成!$U$3:$U$11,装备养成!$V$3:$V$11)*(6-练度预期!F156)</f>
        <v>1.60592</v>
      </c>
      <c r="G156" s="48">
        <f ca="1">OFFSET(梦灵养成!$K$20,_xlfn.XLOOKUP(练度预期!H156,梦灵养成!$D$10:$D$28,梦灵养成!$H$10:$H$28),MATCH(OFFSET(梦灵养成!$C$33,B156,MATCH(练度预期!H156,梦灵养成!$D$33:$V$33,0)),梦灵养成!$L$20:$R$20,1))*(1+(OFFSET(梦灵养成!$C$33,B156,MATCH(练度预期!H156,梦灵养成!$D$33:$V$33,0))-1)*_xlfn.XLOOKUP(练度预期!H156,梦灵养成!$D$9:$D$28,梦灵养成!$G$9:$G$28))</f>
        <v>29.8725</v>
      </c>
      <c r="H156" s="46">
        <f ca="1">符文养成!AC157</f>
        <v>22.2388591559689</v>
      </c>
      <c r="I156" s="46">
        <f>MAX(_xlfn.XLOOKUP(练度预期!O156,秘宝养成!$B$3:$B$15,秘宝养成!$E$3:$E$15),1)</f>
        <v>2.7915904</v>
      </c>
      <c r="J156" s="104">
        <f ca="1" t="shared" si="47"/>
        <v>39193637.0367448</v>
      </c>
      <c r="K156" s="104">
        <f ca="1">MATCH(J156,关卡预期!$E$4:$E$303,1)</f>
        <v>173</v>
      </c>
      <c r="L156" s="48">
        <f ca="1" t="shared" si="48"/>
        <v>0.752279635258358</v>
      </c>
      <c r="M156" s="48">
        <f ca="1" t="shared" si="49"/>
        <v>0.202127659574468</v>
      </c>
      <c r="N156" s="48">
        <f ca="1" t="shared" si="50"/>
        <v>0.0455927051671734</v>
      </c>
      <c r="O156" s="48">
        <f ca="1" t="shared" si="51"/>
        <v>0.0592188528152016</v>
      </c>
      <c r="P156" s="48">
        <f ca="1" t="shared" si="52"/>
        <v>0.42466571489429</v>
      </c>
      <c r="Q156" s="48">
        <f ca="1" t="shared" si="53"/>
        <v>0.387774363999836</v>
      </c>
      <c r="R156" s="48">
        <f ca="1" t="shared" si="54"/>
        <v>0.128341068290672</v>
      </c>
      <c r="S156" s="46">
        <f ca="1" t="shared" si="55"/>
        <v>0.752279635258359</v>
      </c>
      <c r="T156" s="46">
        <f ca="1" t="shared" si="56"/>
        <v>0.202127659574468</v>
      </c>
      <c r="U156" s="46">
        <f ca="1" t="shared" si="57"/>
        <v>0.0455927051671734</v>
      </c>
      <c r="V156" s="48">
        <f ca="1" t="shared" si="58"/>
        <v>0.473696801083353</v>
      </c>
      <c r="W156" s="48">
        <f ca="1" t="shared" si="59"/>
        <v>3.39693832474177</v>
      </c>
      <c r="X156" s="48">
        <f ca="1" t="shared" si="60"/>
        <v>3.1018411711228</v>
      </c>
      <c r="Y156" s="48">
        <f t="shared" si="61"/>
        <v>1.02661146926685</v>
      </c>
      <c r="Z156" s="105">
        <f ca="1" t="shared" si="62"/>
        <v>0.0592188528152016</v>
      </c>
      <c r="AA156" s="105">
        <f ca="1" t="shared" si="63"/>
        <v>0.42466571489429</v>
      </c>
      <c r="AB156" s="105">
        <f ca="1" t="shared" si="64"/>
        <v>0.387774363999836</v>
      </c>
      <c r="AC156" s="105">
        <f ca="1" t="shared" si="65"/>
        <v>0.128341068290672</v>
      </c>
      <c r="AD156" s="105">
        <f ca="1" t="shared" si="66"/>
        <v>0.752279635258359</v>
      </c>
      <c r="AE156" s="105">
        <f ca="1" t="shared" si="67"/>
        <v>0.202127659574468</v>
      </c>
      <c r="AF156" s="105">
        <f ca="1" t="shared" si="68"/>
        <v>0.0455927051671733</v>
      </c>
    </row>
    <row r="157" ht="16.5" spans="1:32">
      <c r="A157">
        <f ca="1" t="shared" si="46"/>
        <v>13160</v>
      </c>
      <c r="B157" s="2">
        <v>155</v>
      </c>
      <c r="C157" s="2">
        <f>_xlfn.XLOOKUP(练度预期!D157,装备养成!$B$3:$B$303,装备养成!$D$3:$D$303)*6</f>
        <v>9900</v>
      </c>
      <c r="D157" s="2" cm="1">
        <f ca="1" t="array" ref="D157">_xlfn.XLOOKUP(练度预期!E157&amp;"_"&amp;INT(练度预期!C157/10)*10+10,装备养成!$N$4:$N$219&amp;"_"&amp;装备养成!$K$4:$K$219,装备养成!$P$4:$P$219)*练度预期!F157+_xlfn.XLOOKUP(练度预期!E157-1&amp;"_"&amp;INT(练度预期!C157/10)*10+10,装备养成!$N$4:$N$219&amp;"_"&amp;装备养成!$K$4:$K$219,装备养成!$P$4:$P$219)*(6-练度预期!F157)</f>
        <v>2660</v>
      </c>
      <c r="E157" s="2">
        <f ca="1">练度预期!N157*4*练度预期!M157</f>
        <v>600</v>
      </c>
      <c r="F157" s="103">
        <f ca="1">INT(练度预期!D157/10)*0.02+1+_xlfn.XLOOKUP(练度预期!E157,装备养成!$U$3:$U$11,装备养成!$V$3:$V$11)*练度预期!F157+_xlfn.XLOOKUP(练度预期!E157-1,装备养成!$U$3:$U$11,装备养成!$V$3:$V$11)*(6-练度预期!F157)</f>
        <v>1.60592</v>
      </c>
      <c r="G157" s="48">
        <f ca="1">OFFSET(梦灵养成!$K$20,_xlfn.XLOOKUP(练度预期!H157,梦灵养成!$D$10:$D$28,梦灵养成!$H$10:$H$28),MATCH(OFFSET(梦灵养成!$C$33,B157,MATCH(练度预期!H157,梦灵养成!$D$33:$V$33,0)),梦灵养成!$L$20:$R$20,1))*(1+(OFFSET(梦灵养成!$C$33,B157,MATCH(练度预期!H157,梦灵养成!$D$33:$V$33,0))-1)*_xlfn.XLOOKUP(练度预期!H157,梦灵养成!$D$9:$D$28,梦灵养成!$G$9:$G$28))</f>
        <v>29.8725</v>
      </c>
      <c r="H157" s="46">
        <f ca="1">符文养成!AC158</f>
        <v>22.39535448262</v>
      </c>
      <c r="I157" s="46">
        <f>MAX(_xlfn.XLOOKUP(练度预期!O157,秘宝养成!$B$3:$B$15,秘宝养成!$E$3:$E$15),1)</f>
        <v>2.7915904</v>
      </c>
      <c r="J157" s="104">
        <f ca="1" t="shared" si="47"/>
        <v>39469443.4973053</v>
      </c>
      <c r="K157" s="104">
        <f ca="1">MATCH(J157,关卡预期!$E$4:$E$303,1)</f>
        <v>173</v>
      </c>
      <c r="L157" s="48">
        <f ca="1" t="shared" si="48"/>
        <v>0.752279635258359</v>
      </c>
      <c r="M157" s="48">
        <f ca="1" t="shared" si="49"/>
        <v>0.202127659574468</v>
      </c>
      <c r="N157" s="48">
        <f ca="1" t="shared" si="50"/>
        <v>0.0455927051671731</v>
      </c>
      <c r="O157" s="48">
        <f ca="1" t="shared" si="51"/>
        <v>0.0591669842502764</v>
      </c>
      <c r="P157" s="48">
        <f ca="1" t="shared" si="52"/>
        <v>0.424293759002587</v>
      </c>
      <c r="Q157" s="48">
        <f ca="1" t="shared" si="53"/>
        <v>0.388310599736264</v>
      </c>
      <c r="R157" s="48">
        <f ca="1" t="shared" si="54"/>
        <v>0.128228657010873</v>
      </c>
      <c r="S157" s="46">
        <f ca="1" t="shared" si="55"/>
        <v>0.752279635258359</v>
      </c>
      <c r="T157" s="46">
        <f ca="1" t="shared" si="56"/>
        <v>0.202127659574468</v>
      </c>
      <c r="U157" s="46">
        <f ca="1" t="shared" si="57"/>
        <v>0.0455927051671731</v>
      </c>
      <c r="V157" s="48">
        <f ca="1" t="shared" si="58"/>
        <v>0.473696801083353</v>
      </c>
      <c r="W157" s="48">
        <f ca="1" t="shared" si="59"/>
        <v>3.39693832474177</v>
      </c>
      <c r="X157" s="48">
        <f ca="1" t="shared" si="60"/>
        <v>3.10885354818414</v>
      </c>
      <c r="Y157" s="48">
        <f t="shared" si="61"/>
        <v>1.02661146926685</v>
      </c>
      <c r="Z157" s="105">
        <f ca="1" t="shared" si="62"/>
        <v>0.0591669842502764</v>
      </c>
      <c r="AA157" s="105">
        <f ca="1" t="shared" si="63"/>
        <v>0.424293759002587</v>
      </c>
      <c r="AB157" s="105">
        <f ca="1" t="shared" si="64"/>
        <v>0.388310599736264</v>
      </c>
      <c r="AC157" s="105">
        <f ca="1" t="shared" si="65"/>
        <v>0.128228657010873</v>
      </c>
      <c r="AD157" s="105">
        <f ca="1" t="shared" si="66"/>
        <v>0.752279635258359</v>
      </c>
      <c r="AE157" s="105">
        <f ca="1" t="shared" si="67"/>
        <v>0.202127659574468</v>
      </c>
      <c r="AF157" s="105">
        <f ca="1" t="shared" si="68"/>
        <v>0.0455927051671733</v>
      </c>
    </row>
    <row r="158" ht="16.5" spans="1:32">
      <c r="A158">
        <f ca="1" t="shared" si="46"/>
        <v>13160</v>
      </c>
      <c r="B158" s="2">
        <v>156</v>
      </c>
      <c r="C158" s="2">
        <f>_xlfn.XLOOKUP(练度预期!D158,装备养成!$B$3:$B$303,装备养成!$D$3:$D$303)*6</f>
        <v>9900</v>
      </c>
      <c r="D158" s="2" cm="1">
        <f ca="1" t="array" ref="D158">_xlfn.XLOOKUP(练度预期!E158&amp;"_"&amp;INT(练度预期!C158/10)*10+10,装备养成!$N$4:$N$219&amp;"_"&amp;装备养成!$K$4:$K$219,装备养成!$P$4:$P$219)*练度预期!F158+_xlfn.XLOOKUP(练度预期!E158-1&amp;"_"&amp;INT(练度预期!C158/10)*10+10,装备养成!$N$4:$N$219&amp;"_"&amp;装备养成!$K$4:$K$219,装备养成!$P$4:$P$219)*(6-练度预期!F158)</f>
        <v>2660</v>
      </c>
      <c r="E158" s="2">
        <f ca="1">练度预期!N158*4*练度预期!M158</f>
        <v>600</v>
      </c>
      <c r="F158" s="103">
        <f ca="1">INT(练度预期!D158/10)*0.02+1+_xlfn.XLOOKUP(练度预期!E158,装备养成!$U$3:$U$11,装备养成!$V$3:$V$11)*练度预期!F158+_xlfn.XLOOKUP(练度预期!E158-1,装备养成!$U$3:$U$11,装备养成!$V$3:$V$11)*(6-练度预期!F158)</f>
        <v>1.60592</v>
      </c>
      <c r="G158" s="48">
        <f ca="1">OFFSET(梦灵养成!$K$20,_xlfn.XLOOKUP(练度预期!H158,梦灵养成!$D$10:$D$28,梦灵养成!$H$10:$H$28),MATCH(OFFSET(梦灵养成!$C$33,B158,MATCH(练度预期!H158,梦灵养成!$D$33:$V$33,0)),梦灵养成!$L$20:$R$20,1))*(1+(OFFSET(梦灵养成!$C$33,B158,MATCH(练度预期!H158,梦灵养成!$D$33:$V$33,0))-1)*_xlfn.XLOOKUP(练度预期!H158,梦灵养成!$D$9:$D$28,梦灵养成!$G$9:$G$28))</f>
        <v>29.8725</v>
      </c>
      <c r="H158" s="46">
        <f ca="1">符文养成!AC159</f>
        <v>22.5805304047096</v>
      </c>
      <c r="I158" s="46">
        <f>MAX(_xlfn.XLOOKUP(练度预期!O158,秘宝养成!$B$3:$B$15,秘宝养成!$E$3:$E$15),1)</f>
        <v>2.7915904</v>
      </c>
      <c r="J158" s="104">
        <f ca="1" t="shared" si="47"/>
        <v>39795796.4737518</v>
      </c>
      <c r="K158" s="104">
        <f ca="1">MATCH(J158,关卡预期!$E$4:$E$303,1)</f>
        <v>173</v>
      </c>
      <c r="L158" s="48">
        <f ca="1" t="shared" si="48"/>
        <v>0.752279635258358</v>
      </c>
      <c r="M158" s="48">
        <f ca="1" t="shared" si="49"/>
        <v>0.202127659574468</v>
      </c>
      <c r="N158" s="48">
        <f ca="1" t="shared" si="50"/>
        <v>0.0455927051671734</v>
      </c>
      <c r="O158" s="48">
        <f ca="1" t="shared" si="51"/>
        <v>0.0591061918613527</v>
      </c>
      <c r="P158" s="48">
        <f ca="1" t="shared" si="52"/>
        <v>0.423857809265719</v>
      </c>
      <c r="Q158" s="48">
        <f ca="1" t="shared" si="53"/>
        <v>0.388939093150159</v>
      </c>
      <c r="R158" s="48">
        <f ca="1" t="shared" si="54"/>
        <v>0.128096905722769</v>
      </c>
      <c r="S158" s="46">
        <f ca="1" t="shared" si="55"/>
        <v>0.752279635258359</v>
      </c>
      <c r="T158" s="46">
        <f ca="1" t="shared" si="56"/>
        <v>0.202127659574468</v>
      </c>
      <c r="U158" s="46">
        <f ca="1" t="shared" si="57"/>
        <v>0.0455927051671734</v>
      </c>
      <c r="V158" s="48">
        <f ca="1" t="shared" si="58"/>
        <v>0.473696801083353</v>
      </c>
      <c r="W158" s="48">
        <f ca="1" t="shared" si="59"/>
        <v>3.39693832474177</v>
      </c>
      <c r="X158" s="48">
        <f ca="1" t="shared" si="60"/>
        <v>3.1170880484682</v>
      </c>
      <c r="Y158" s="48">
        <f t="shared" si="61"/>
        <v>1.02661146926685</v>
      </c>
      <c r="Z158" s="105">
        <f ca="1" t="shared" si="62"/>
        <v>0.0591061918613527</v>
      </c>
      <c r="AA158" s="105">
        <f ca="1" t="shared" si="63"/>
        <v>0.423857809265719</v>
      </c>
      <c r="AB158" s="105">
        <f ca="1" t="shared" si="64"/>
        <v>0.388939093150159</v>
      </c>
      <c r="AC158" s="105">
        <f ca="1" t="shared" si="65"/>
        <v>0.128096905722769</v>
      </c>
      <c r="AD158" s="105">
        <f ca="1" t="shared" si="66"/>
        <v>0.752279635258359</v>
      </c>
      <c r="AE158" s="105">
        <f ca="1" t="shared" si="67"/>
        <v>0.202127659574468</v>
      </c>
      <c r="AF158" s="105">
        <f ca="1" t="shared" si="68"/>
        <v>0.0455927051671733</v>
      </c>
    </row>
    <row r="159" ht="16.5" spans="1:32">
      <c r="A159">
        <f ca="1" t="shared" si="46"/>
        <v>13376</v>
      </c>
      <c r="B159" s="2">
        <v>157</v>
      </c>
      <c r="C159" s="2">
        <f>_xlfn.XLOOKUP(练度预期!D159,装备养成!$B$3:$B$303,装备养成!$D$3:$D$303)*6</f>
        <v>10116</v>
      </c>
      <c r="D159" s="2" cm="1">
        <f ca="1" t="array" ref="D159">_xlfn.XLOOKUP(练度预期!E159&amp;"_"&amp;INT(练度预期!C159/10)*10+10,装备养成!$N$4:$N$219&amp;"_"&amp;装备养成!$K$4:$K$219,装备养成!$P$4:$P$219)*练度预期!F159+_xlfn.XLOOKUP(练度预期!E159-1&amp;"_"&amp;INT(练度预期!C159/10)*10+10,装备养成!$N$4:$N$219&amp;"_"&amp;装备养成!$K$4:$K$219,装备养成!$P$4:$P$219)*(6-练度预期!F159)</f>
        <v>2660</v>
      </c>
      <c r="E159" s="2">
        <f ca="1">练度预期!N159*4*练度预期!M159</f>
        <v>600</v>
      </c>
      <c r="F159" s="103">
        <f ca="1">INT(练度预期!D159/10)*0.02+1+_xlfn.XLOOKUP(练度预期!E159,装备养成!$U$3:$U$11,装备养成!$V$3:$V$11)*练度预期!F159+_xlfn.XLOOKUP(练度预期!E159-1,装备养成!$U$3:$U$11,装备养成!$V$3:$V$11)*(6-练度预期!F159)</f>
        <v>1.60592</v>
      </c>
      <c r="G159" s="48">
        <f ca="1">OFFSET(梦灵养成!$K$20,_xlfn.XLOOKUP(练度预期!H159,梦灵养成!$D$10:$D$28,梦灵养成!$H$10:$H$28),MATCH(OFFSET(梦灵养成!$C$33,B159,MATCH(练度预期!H159,梦灵养成!$D$33:$V$33,0)),梦灵养成!$L$20:$R$20,1))*(1+(OFFSET(梦灵养成!$C$33,B159,MATCH(练度预期!H159,梦灵养成!$D$33:$V$33,0))-1)*_xlfn.XLOOKUP(练度预期!H159,梦灵养成!$D$9:$D$28,梦灵养成!$G$9:$G$28))</f>
        <v>29.8725</v>
      </c>
      <c r="H159" s="46">
        <f ca="1">符文养成!AC160</f>
        <v>22.7353004086789</v>
      </c>
      <c r="I159" s="46">
        <f>MAX(_xlfn.XLOOKUP(练度预期!O159,秘宝养成!$B$3:$B$15,秘宝养成!$E$3:$E$15),1)</f>
        <v>2.7915904</v>
      </c>
      <c r="J159" s="104">
        <f ca="1" t="shared" si="47"/>
        <v>40726222.527587</v>
      </c>
      <c r="K159" s="104">
        <f ca="1">MATCH(J159,关卡预期!$E$4:$E$303,1)</f>
        <v>174</v>
      </c>
      <c r="L159" s="48">
        <f ca="1" t="shared" si="48"/>
        <v>0.75627990430622</v>
      </c>
      <c r="M159" s="48">
        <f ca="1" t="shared" si="49"/>
        <v>0.198863636363636</v>
      </c>
      <c r="N159" s="48">
        <f ca="1" t="shared" si="50"/>
        <v>0.0448564593301435</v>
      </c>
      <c r="O159" s="48">
        <f ca="1" t="shared" si="51"/>
        <v>0.0590558575606861</v>
      </c>
      <c r="P159" s="48">
        <f ca="1" t="shared" si="52"/>
        <v>0.423496855772699</v>
      </c>
      <c r="Q159" s="48">
        <f ca="1" t="shared" si="53"/>
        <v>0.389459467115091</v>
      </c>
      <c r="R159" s="48">
        <f ca="1" t="shared" si="54"/>
        <v>0.127987819551523</v>
      </c>
      <c r="S159" s="46">
        <f ca="1" t="shared" si="55"/>
        <v>0.75627990430622</v>
      </c>
      <c r="T159" s="46">
        <f ca="1" t="shared" si="56"/>
        <v>0.198863636363636</v>
      </c>
      <c r="U159" s="46">
        <f ca="1" t="shared" si="57"/>
        <v>0.0448564593301435</v>
      </c>
      <c r="V159" s="48">
        <f ca="1" t="shared" si="58"/>
        <v>0.473696801083353</v>
      </c>
      <c r="W159" s="48">
        <f ca="1" t="shared" si="59"/>
        <v>3.39693832474177</v>
      </c>
      <c r="X159" s="48">
        <f ca="1" t="shared" si="60"/>
        <v>3.12391880067896</v>
      </c>
      <c r="Y159" s="48">
        <f t="shared" si="61"/>
        <v>1.02661146926685</v>
      </c>
      <c r="Z159" s="105">
        <f ca="1" t="shared" si="62"/>
        <v>0.0590558575606861</v>
      </c>
      <c r="AA159" s="105">
        <f ca="1" t="shared" si="63"/>
        <v>0.423496855772699</v>
      </c>
      <c r="AB159" s="105">
        <f ca="1" t="shared" si="64"/>
        <v>0.389459467115092</v>
      </c>
      <c r="AC159" s="105">
        <f ca="1" t="shared" si="65"/>
        <v>0.127987819551523</v>
      </c>
      <c r="AD159" s="105">
        <f ca="1" t="shared" si="66"/>
        <v>0.75627990430622</v>
      </c>
      <c r="AE159" s="105">
        <f ca="1" t="shared" si="67"/>
        <v>0.198863636363636</v>
      </c>
      <c r="AF159" s="105">
        <f ca="1" t="shared" si="68"/>
        <v>0.0448564593301435</v>
      </c>
    </row>
    <row r="160" ht="16.5" spans="1:32">
      <c r="A160">
        <f ca="1" t="shared" si="46"/>
        <v>13376</v>
      </c>
      <c r="B160" s="2">
        <v>158</v>
      </c>
      <c r="C160" s="2">
        <f>_xlfn.XLOOKUP(练度预期!D160,装备养成!$B$3:$B$303,装备养成!$D$3:$D$303)*6</f>
        <v>10116</v>
      </c>
      <c r="D160" s="2" cm="1">
        <f ca="1" t="array" ref="D160">_xlfn.XLOOKUP(练度预期!E160&amp;"_"&amp;INT(练度预期!C160/10)*10+10,装备养成!$N$4:$N$219&amp;"_"&amp;装备养成!$K$4:$K$219,装备养成!$P$4:$P$219)*练度预期!F160+_xlfn.XLOOKUP(练度预期!E160-1&amp;"_"&amp;INT(练度预期!C160/10)*10+10,装备养成!$N$4:$N$219&amp;"_"&amp;装备养成!$K$4:$K$219,装备养成!$P$4:$P$219)*(6-练度预期!F160)</f>
        <v>2660</v>
      </c>
      <c r="E160" s="2">
        <f ca="1">练度预期!N160*4*练度预期!M160</f>
        <v>600</v>
      </c>
      <c r="F160" s="103">
        <f ca="1">INT(练度预期!D160/10)*0.02+1+_xlfn.XLOOKUP(练度预期!E160,装备养成!$U$3:$U$11,装备养成!$V$3:$V$11)*练度预期!F160+_xlfn.XLOOKUP(练度预期!E160-1,装备养成!$U$3:$U$11,装备养成!$V$3:$V$11)*(6-练度预期!F160)</f>
        <v>1.60592</v>
      </c>
      <c r="G160" s="48">
        <f ca="1">OFFSET(梦灵养成!$K$20,_xlfn.XLOOKUP(练度预期!H160,梦灵养成!$D$10:$D$28,梦灵养成!$H$10:$H$28),MATCH(OFFSET(梦灵养成!$C$33,B160,MATCH(练度预期!H160,梦灵养成!$D$33:$V$33,0)),梦灵养成!$L$20:$R$20,1))*(1+(OFFSET(梦灵养成!$C$33,B160,MATCH(练度预期!H160,梦灵养成!$D$33:$V$33,0))-1)*_xlfn.XLOOKUP(练度预期!H160,梦灵养成!$D$9:$D$28,梦灵养成!$G$9:$G$28))</f>
        <v>29.8725</v>
      </c>
      <c r="H160" s="46">
        <f ca="1">符文养成!AC161</f>
        <v>22.9038275030015</v>
      </c>
      <c r="I160" s="46">
        <f>MAX(_xlfn.XLOOKUP(练度预期!O160,秘宝养成!$B$3:$B$15,秘宝养成!$E$3:$E$15),1)</f>
        <v>2.7915904</v>
      </c>
      <c r="J160" s="104">
        <f ca="1" t="shared" si="47"/>
        <v>41028108.6615697</v>
      </c>
      <c r="K160" s="104">
        <f ca="1">MATCH(J160,关卡预期!$E$4:$E$303,1)</f>
        <v>174</v>
      </c>
      <c r="L160" s="48">
        <f ca="1" t="shared" si="48"/>
        <v>0.75627990430622</v>
      </c>
      <c r="M160" s="48">
        <f ca="1" t="shared" si="49"/>
        <v>0.198863636363636</v>
      </c>
      <c r="N160" s="48">
        <f ca="1" t="shared" si="50"/>
        <v>0.0448564593301436</v>
      </c>
      <c r="O160" s="48">
        <f ca="1" t="shared" si="51"/>
        <v>0.059001533753996</v>
      </c>
      <c r="P160" s="48">
        <f ca="1" t="shared" si="52"/>
        <v>0.423107293038753</v>
      </c>
      <c r="Q160" s="48">
        <f ca="1" t="shared" si="53"/>
        <v>0.390021086017177</v>
      </c>
      <c r="R160" s="48">
        <f ca="1" t="shared" si="54"/>
        <v>0.127870087190074</v>
      </c>
      <c r="S160" s="46">
        <f ca="1" t="shared" si="55"/>
        <v>0.75627990430622</v>
      </c>
      <c r="T160" s="46">
        <f ca="1" t="shared" si="56"/>
        <v>0.198863636363636</v>
      </c>
      <c r="U160" s="46">
        <f ca="1" t="shared" si="57"/>
        <v>0.0448564593301436</v>
      </c>
      <c r="V160" s="48">
        <f ca="1" t="shared" si="58"/>
        <v>0.473696801083353</v>
      </c>
      <c r="W160" s="48">
        <f ca="1" t="shared" si="59"/>
        <v>3.39693832474177</v>
      </c>
      <c r="X160" s="48">
        <f ca="1" t="shared" si="60"/>
        <v>3.13130403646294</v>
      </c>
      <c r="Y160" s="48">
        <f t="shared" si="61"/>
        <v>1.02661146926685</v>
      </c>
      <c r="Z160" s="105">
        <f ca="1" t="shared" si="62"/>
        <v>0.059001533753996</v>
      </c>
      <c r="AA160" s="105">
        <f ca="1" t="shared" si="63"/>
        <v>0.423107293038753</v>
      </c>
      <c r="AB160" s="105">
        <f ca="1" t="shared" si="64"/>
        <v>0.390021086017177</v>
      </c>
      <c r="AC160" s="105">
        <f ca="1" t="shared" si="65"/>
        <v>0.127870087190074</v>
      </c>
      <c r="AD160" s="105">
        <f ca="1" t="shared" si="66"/>
        <v>0.75627990430622</v>
      </c>
      <c r="AE160" s="105">
        <f ca="1" t="shared" si="67"/>
        <v>0.198863636363636</v>
      </c>
      <c r="AF160" s="105">
        <f ca="1" t="shared" si="68"/>
        <v>0.0448564593301435</v>
      </c>
    </row>
    <row r="161" ht="16.5" spans="1:32">
      <c r="A161">
        <f ca="1" t="shared" si="46"/>
        <v>13376</v>
      </c>
      <c r="B161" s="2">
        <v>159</v>
      </c>
      <c r="C161" s="2">
        <f>_xlfn.XLOOKUP(练度预期!D161,装备养成!$B$3:$B$303,装备养成!$D$3:$D$303)*6</f>
        <v>10116</v>
      </c>
      <c r="D161" s="2" cm="1">
        <f ca="1" t="array" ref="D161">_xlfn.XLOOKUP(练度预期!E161&amp;"_"&amp;INT(练度预期!C161/10)*10+10,装备养成!$N$4:$N$219&amp;"_"&amp;装备养成!$K$4:$K$219,装备养成!$P$4:$P$219)*练度预期!F161+_xlfn.XLOOKUP(练度预期!E161-1&amp;"_"&amp;INT(练度预期!C161/10)*10+10,装备养成!$N$4:$N$219&amp;"_"&amp;装备养成!$K$4:$K$219,装备养成!$P$4:$P$219)*(6-练度预期!F161)</f>
        <v>2660</v>
      </c>
      <c r="E161" s="2">
        <f ca="1">练度预期!N161*4*练度预期!M161</f>
        <v>600</v>
      </c>
      <c r="F161" s="103">
        <f ca="1">INT(练度预期!D161/10)*0.02+1+_xlfn.XLOOKUP(练度预期!E161,装备养成!$U$3:$U$11,装备养成!$V$3:$V$11)*练度预期!F161+_xlfn.XLOOKUP(练度预期!E161-1,装备养成!$U$3:$U$11,装备养成!$V$3:$V$11)*(6-练度预期!F161)</f>
        <v>1.60592</v>
      </c>
      <c r="G161" s="48">
        <f ca="1">OFFSET(梦灵养成!$K$20,_xlfn.XLOOKUP(练度预期!H161,梦灵养成!$D$10:$D$28,梦灵养成!$H$10:$H$28),MATCH(OFFSET(梦灵养成!$C$33,B161,MATCH(练度预期!H161,梦灵养成!$D$33:$V$33,0)),梦灵养成!$L$20:$R$20,1))*(1+(OFFSET(梦灵养成!$C$33,B161,MATCH(练度预期!H161,梦灵养成!$D$33:$V$33,0))-1)*_xlfn.XLOOKUP(练度预期!H161,梦灵养成!$D$9:$D$28,梦灵养成!$G$9:$G$28))</f>
        <v>29.8725</v>
      </c>
      <c r="H161" s="46">
        <f ca="1">符文养成!AC162</f>
        <v>23.0600071007581</v>
      </c>
      <c r="I161" s="46">
        <f>MAX(_xlfn.XLOOKUP(练度预期!O161,秘宝养成!$B$3:$B$15,秘宝养成!$E$3:$E$15),1)</f>
        <v>2.7915904</v>
      </c>
      <c r="J161" s="104">
        <f ca="1" t="shared" si="47"/>
        <v>41307876.4648611</v>
      </c>
      <c r="K161" s="104">
        <f ca="1">MATCH(J161,关卡预期!$E$4:$E$303,1)</f>
        <v>174</v>
      </c>
      <c r="L161" s="48">
        <f ca="1" t="shared" si="48"/>
        <v>0.75627990430622</v>
      </c>
      <c r="M161" s="48">
        <f ca="1" t="shared" si="49"/>
        <v>0.198863636363636</v>
      </c>
      <c r="N161" s="48">
        <f ca="1" t="shared" si="50"/>
        <v>0.0448564593301434</v>
      </c>
      <c r="O161" s="48">
        <f ca="1" t="shared" si="51"/>
        <v>0.0589516339993239</v>
      </c>
      <c r="P161" s="48">
        <f ca="1" t="shared" si="52"/>
        <v>0.422749455728783</v>
      </c>
      <c r="Q161" s="48">
        <f ca="1" t="shared" si="53"/>
        <v>0.390536967490527</v>
      </c>
      <c r="R161" s="48">
        <f ca="1" t="shared" si="54"/>
        <v>0.127761942781366</v>
      </c>
      <c r="S161" s="46">
        <f ca="1" t="shared" si="55"/>
        <v>0.75627990430622</v>
      </c>
      <c r="T161" s="46">
        <f ca="1" t="shared" si="56"/>
        <v>0.198863636363636</v>
      </c>
      <c r="U161" s="46">
        <f ca="1" t="shared" si="57"/>
        <v>0.0448564593301434</v>
      </c>
      <c r="V161" s="48">
        <f ca="1" t="shared" si="58"/>
        <v>0.473696801083353</v>
      </c>
      <c r="W161" s="48">
        <f ca="1" t="shared" si="59"/>
        <v>3.39693832474177</v>
      </c>
      <c r="X161" s="48">
        <f ca="1" t="shared" si="60"/>
        <v>3.1380998227662</v>
      </c>
      <c r="Y161" s="48">
        <f t="shared" si="61"/>
        <v>1.02661146926685</v>
      </c>
      <c r="Z161" s="105">
        <f ca="1" t="shared" si="62"/>
        <v>0.0589516339993239</v>
      </c>
      <c r="AA161" s="105">
        <f ca="1" t="shared" si="63"/>
        <v>0.422749455728783</v>
      </c>
      <c r="AB161" s="105">
        <f ca="1" t="shared" si="64"/>
        <v>0.390536967490527</v>
      </c>
      <c r="AC161" s="105">
        <f ca="1" t="shared" si="65"/>
        <v>0.127761942781366</v>
      </c>
      <c r="AD161" s="105">
        <f ca="1" t="shared" si="66"/>
        <v>0.75627990430622</v>
      </c>
      <c r="AE161" s="105">
        <f ca="1" t="shared" si="67"/>
        <v>0.198863636363636</v>
      </c>
      <c r="AF161" s="105">
        <f ca="1" t="shared" si="68"/>
        <v>0.0448564593301435</v>
      </c>
    </row>
    <row r="162" ht="16.5" spans="1:32">
      <c r="A162">
        <f ca="1" t="shared" si="46"/>
        <v>13592</v>
      </c>
      <c r="B162" s="2">
        <v>160</v>
      </c>
      <c r="C162" s="2">
        <f>_xlfn.XLOOKUP(练度预期!D162,装备养成!$B$3:$B$303,装备养成!$D$3:$D$303)*6</f>
        <v>10332</v>
      </c>
      <c r="D162" s="2" cm="1">
        <f ca="1" t="array" ref="D162">_xlfn.XLOOKUP(练度预期!E162&amp;"_"&amp;INT(练度预期!C162/10)*10+10,装备养成!$N$4:$N$219&amp;"_"&amp;装备养成!$K$4:$K$219,装备养成!$P$4:$P$219)*练度预期!F162+_xlfn.XLOOKUP(练度预期!E162-1&amp;"_"&amp;INT(练度预期!C162/10)*10+10,装备养成!$N$4:$N$219&amp;"_"&amp;装备养成!$K$4:$K$219,装备养成!$P$4:$P$219)*(6-练度预期!F162)</f>
        <v>2660</v>
      </c>
      <c r="E162" s="2">
        <f ca="1">练度预期!N162*4*练度预期!M162</f>
        <v>600</v>
      </c>
      <c r="F162" s="103">
        <f ca="1">INT(练度预期!D162/10)*0.02+1+_xlfn.XLOOKUP(练度预期!E162,装备养成!$U$3:$U$11,装备养成!$V$3:$V$11)*练度预期!F162+_xlfn.XLOOKUP(练度预期!E162-1,装备养成!$U$3:$U$11,装备养成!$V$3:$V$11)*(6-练度预期!F162)</f>
        <v>1.60592</v>
      </c>
      <c r="G162" s="48">
        <f ca="1">OFFSET(梦灵养成!$K$20,_xlfn.XLOOKUP(练度预期!H162,梦灵养成!$D$10:$D$28,梦灵养成!$H$10:$H$28),MATCH(OFFSET(梦灵养成!$C$33,B162,MATCH(练度预期!H162,梦灵养成!$D$33:$V$33,0)),梦灵养成!$L$20:$R$20,1))*(1+(OFFSET(梦灵养成!$C$33,B162,MATCH(练度预期!H162,梦灵养成!$D$33:$V$33,0))-1)*_xlfn.XLOOKUP(练度预期!H162,梦灵养成!$D$9:$D$28,梦灵养成!$G$9:$G$28))</f>
        <v>29.8725</v>
      </c>
      <c r="H162" s="46">
        <f ca="1">符文养成!AC163</f>
        <v>23.2486682662389</v>
      </c>
      <c r="I162" s="46">
        <f>MAX(_xlfn.XLOOKUP(练度预期!O162,秘宝养成!$B$3:$B$15,秘宝养成!$E$3:$E$15),1)</f>
        <v>2.7915904</v>
      </c>
      <c r="J162" s="104">
        <f ca="1" t="shared" si="47"/>
        <v>42318339.5841338</v>
      </c>
      <c r="K162" s="104">
        <f ca="1">MATCH(J162,关卡预期!$E$4:$E$303,1)</f>
        <v>174</v>
      </c>
      <c r="L162" s="48">
        <f ca="1" t="shared" si="48"/>
        <v>0.760153031194821</v>
      </c>
      <c r="M162" s="48">
        <f ca="1" t="shared" si="49"/>
        <v>0.195703354914655</v>
      </c>
      <c r="N162" s="48">
        <f ca="1" t="shared" si="50"/>
        <v>0.0441436138905238</v>
      </c>
      <c r="O162" s="48">
        <f ca="1" t="shared" si="51"/>
        <v>0.0588919162221585</v>
      </c>
      <c r="P162" s="48">
        <f ca="1" t="shared" si="52"/>
        <v>0.422321212165691</v>
      </c>
      <c r="Q162" s="48">
        <f ca="1" t="shared" si="53"/>
        <v>0.391154351184529</v>
      </c>
      <c r="R162" s="48">
        <f ca="1" t="shared" si="54"/>
        <v>0.127632520427622</v>
      </c>
      <c r="S162" s="46">
        <f ca="1" t="shared" si="55"/>
        <v>0.76015303119482</v>
      </c>
      <c r="T162" s="46">
        <f ca="1" t="shared" si="56"/>
        <v>0.195703354914655</v>
      </c>
      <c r="U162" s="46">
        <f ca="1" t="shared" si="57"/>
        <v>0.0441436138905238</v>
      </c>
      <c r="V162" s="48">
        <f ca="1" t="shared" si="58"/>
        <v>0.473696801083353</v>
      </c>
      <c r="W162" s="48">
        <f ca="1" t="shared" si="59"/>
        <v>3.39693832474177</v>
      </c>
      <c r="X162" s="48">
        <f ca="1" t="shared" si="60"/>
        <v>3.14624785152142</v>
      </c>
      <c r="Y162" s="48">
        <f t="shared" si="61"/>
        <v>1.02661146926685</v>
      </c>
      <c r="Z162" s="105">
        <f ca="1" t="shared" si="62"/>
        <v>0.0588919162221585</v>
      </c>
      <c r="AA162" s="105">
        <f ca="1" t="shared" si="63"/>
        <v>0.422321212165691</v>
      </c>
      <c r="AB162" s="105">
        <f ca="1" t="shared" si="64"/>
        <v>0.391154351184529</v>
      </c>
      <c r="AC162" s="105">
        <f ca="1" t="shared" si="65"/>
        <v>0.127632520427622</v>
      </c>
      <c r="AD162" s="105">
        <f ca="1" t="shared" si="66"/>
        <v>0.76015303119482</v>
      </c>
      <c r="AE162" s="105">
        <f ca="1" t="shared" si="67"/>
        <v>0.195703354914656</v>
      </c>
      <c r="AF162" s="105">
        <f ca="1" t="shared" si="68"/>
        <v>0.0441436138905238</v>
      </c>
    </row>
    <row r="163" ht="16.5" spans="1:32">
      <c r="A163">
        <f ca="1" t="shared" si="46"/>
        <v>13592</v>
      </c>
      <c r="B163" s="2">
        <v>161</v>
      </c>
      <c r="C163" s="2">
        <f>_xlfn.XLOOKUP(练度预期!D163,装备养成!$B$3:$B$303,装备养成!$D$3:$D$303)*6</f>
        <v>10332</v>
      </c>
      <c r="D163" s="2" cm="1">
        <f ca="1" t="array" ref="D163">_xlfn.XLOOKUP(练度预期!E163&amp;"_"&amp;INT(练度预期!C163/10)*10+10,装备养成!$N$4:$N$219&amp;"_"&amp;装备养成!$K$4:$K$219,装备养成!$P$4:$P$219)*练度预期!F163+_xlfn.XLOOKUP(练度预期!E163-1&amp;"_"&amp;INT(练度预期!C163/10)*10+10,装备养成!$N$4:$N$219&amp;"_"&amp;装备养成!$K$4:$K$219,装备养成!$P$4:$P$219)*(6-练度预期!F163)</f>
        <v>2660</v>
      </c>
      <c r="E163" s="2">
        <f ca="1">练度预期!N163*4*练度预期!M163</f>
        <v>600</v>
      </c>
      <c r="F163" s="103">
        <f ca="1">INT(练度预期!D163/10)*0.02+1+_xlfn.XLOOKUP(练度预期!E163,装备养成!$U$3:$U$11,装备养成!$V$3:$V$11)*练度预期!F163+_xlfn.XLOOKUP(练度预期!E163-1,装备养成!$U$3:$U$11,装备养成!$V$3:$V$11)*(6-练度预期!F163)</f>
        <v>1.60592</v>
      </c>
      <c r="G163" s="48">
        <f ca="1">OFFSET(梦灵养成!$K$20,_xlfn.XLOOKUP(练度预期!H163,梦灵养成!$D$10:$D$28,梦灵养成!$H$10:$H$28),MATCH(OFFSET(梦灵养成!$C$33,B163,MATCH(练度预期!H163,梦灵养成!$D$33:$V$33,0)),梦灵养成!$L$20:$R$20,1))*(1+(OFFSET(梦灵养成!$C$33,B163,MATCH(练度预期!H163,梦灵养成!$D$33:$V$33,0))-1)*_xlfn.XLOOKUP(练度预期!H163,梦灵养成!$D$9:$D$28,梦灵养成!$G$9:$G$28))</f>
        <v>29.8725</v>
      </c>
      <c r="H163" s="46">
        <f ca="1">符文养成!AC164</f>
        <v>23.3785961369461</v>
      </c>
      <c r="I163" s="46">
        <f>MAX(_xlfn.XLOOKUP(练度预期!O163,秘宝养成!$B$3:$B$15,秘宝养成!$E$3:$E$15),1)</f>
        <v>2.7915904</v>
      </c>
      <c r="J163" s="104">
        <f ca="1" t="shared" si="47"/>
        <v>42554840.5179107</v>
      </c>
      <c r="K163" s="104">
        <f ca="1">MATCH(J163,关卡预期!$E$4:$E$303,1)</f>
        <v>174</v>
      </c>
      <c r="L163" s="48">
        <f ca="1" t="shared" si="48"/>
        <v>0.760153031194821</v>
      </c>
      <c r="M163" s="48">
        <f ca="1" t="shared" si="49"/>
        <v>0.195703354914656</v>
      </c>
      <c r="N163" s="48">
        <f ca="1" t="shared" si="50"/>
        <v>0.0441436138905237</v>
      </c>
      <c r="O163" s="48">
        <f ca="1" t="shared" si="51"/>
        <v>0.0588511403160575</v>
      </c>
      <c r="P163" s="48">
        <f ca="1" t="shared" si="52"/>
        <v>0.422028803101826</v>
      </c>
      <c r="Q163" s="48">
        <f ca="1" t="shared" si="53"/>
        <v>0.391575907054989</v>
      </c>
      <c r="R163" s="48">
        <f ca="1" t="shared" si="54"/>
        <v>0.127544149527128</v>
      </c>
      <c r="S163" s="46">
        <f ca="1" t="shared" si="55"/>
        <v>0.76015303119482</v>
      </c>
      <c r="T163" s="46">
        <f ca="1" t="shared" si="56"/>
        <v>0.195703354914656</v>
      </c>
      <c r="U163" s="46">
        <f ca="1" t="shared" si="57"/>
        <v>0.0441436138905237</v>
      </c>
      <c r="V163" s="48">
        <f ca="1" t="shared" si="58"/>
        <v>0.473696801083353</v>
      </c>
      <c r="W163" s="48">
        <f ca="1" t="shared" si="59"/>
        <v>3.39693832474177</v>
      </c>
      <c r="X163" s="48">
        <f ca="1" t="shared" si="60"/>
        <v>3.15182090877261</v>
      </c>
      <c r="Y163" s="48">
        <f t="shared" si="61"/>
        <v>1.02661146926685</v>
      </c>
      <c r="Z163" s="105">
        <f ca="1" t="shared" si="62"/>
        <v>0.0588511403160575</v>
      </c>
      <c r="AA163" s="105">
        <f ca="1" t="shared" si="63"/>
        <v>0.422028803101826</v>
      </c>
      <c r="AB163" s="105">
        <f ca="1" t="shared" si="64"/>
        <v>0.391575907054989</v>
      </c>
      <c r="AC163" s="105">
        <f ca="1" t="shared" si="65"/>
        <v>0.127544149527128</v>
      </c>
      <c r="AD163" s="105">
        <f ca="1" t="shared" si="66"/>
        <v>0.76015303119482</v>
      </c>
      <c r="AE163" s="105">
        <f ca="1" t="shared" si="67"/>
        <v>0.195703354914656</v>
      </c>
      <c r="AF163" s="105">
        <f ca="1" t="shared" si="68"/>
        <v>0.0441436138905238</v>
      </c>
    </row>
    <row r="164" ht="16.5" spans="1:32">
      <c r="A164">
        <f ca="1" t="shared" si="46"/>
        <v>13592</v>
      </c>
      <c r="B164" s="2">
        <v>162</v>
      </c>
      <c r="C164" s="2">
        <f>_xlfn.XLOOKUP(练度预期!D164,装备养成!$B$3:$B$303,装备养成!$D$3:$D$303)*6</f>
        <v>10332</v>
      </c>
      <c r="D164" s="2" cm="1">
        <f ca="1" t="array" ref="D164">_xlfn.XLOOKUP(练度预期!E164&amp;"_"&amp;INT(练度预期!C164/10)*10+10,装备养成!$N$4:$N$219&amp;"_"&amp;装备养成!$K$4:$K$219,装备养成!$P$4:$P$219)*练度预期!F164+_xlfn.XLOOKUP(练度预期!E164-1&amp;"_"&amp;INT(练度预期!C164/10)*10+10,装备养成!$N$4:$N$219&amp;"_"&amp;装备养成!$K$4:$K$219,装备养成!$P$4:$P$219)*(6-练度预期!F164)</f>
        <v>2660</v>
      </c>
      <c r="E164" s="2">
        <f ca="1">练度预期!N164*4*练度预期!M164</f>
        <v>600</v>
      </c>
      <c r="F164" s="103">
        <f ca="1">INT(练度预期!D164/10)*0.02+1+_xlfn.XLOOKUP(练度预期!E164,装备养成!$U$3:$U$11,装备养成!$V$3:$V$11)*练度预期!F164+_xlfn.XLOOKUP(练度预期!E164-1,装备养成!$U$3:$U$11,装备养成!$V$3:$V$11)*(6-练度预期!F164)</f>
        <v>1.60592</v>
      </c>
      <c r="G164" s="48">
        <f ca="1">OFFSET(梦灵养成!$K$20,_xlfn.XLOOKUP(练度预期!H164,梦灵养成!$D$10:$D$28,梦灵养成!$H$10:$H$28),MATCH(OFFSET(梦灵养成!$C$33,B164,MATCH(练度预期!H164,梦灵养成!$D$33:$V$33,0)),梦灵养成!$L$20:$R$20,1))*(1+(OFFSET(梦灵养成!$C$33,B164,MATCH(练度预期!H164,梦灵养成!$D$33:$V$33,0))-1)*_xlfn.XLOOKUP(练度预期!H164,梦灵养成!$D$9:$D$28,梦灵养成!$G$9:$G$28))</f>
        <v>29.8725</v>
      </c>
      <c r="H164" s="46">
        <f ca="1">符文养成!AC165</f>
        <v>23.4215537504514</v>
      </c>
      <c r="I164" s="46">
        <f>MAX(_xlfn.XLOOKUP(练度预期!O164,秘宝养成!$B$3:$B$15,秘宝养成!$E$3:$E$15),1)</f>
        <v>2.7915904</v>
      </c>
      <c r="J164" s="104">
        <f ca="1" t="shared" si="47"/>
        <v>42633034.0236728</v>
      </c>
      <c r="K164" s="104">
        <f ca="1">MATCH(J164,关卡预期!$E$4:$E$303,1)</f>
        <v>174</v>
      </c>
      <c r="L164" s="48">
        <f ca="1" t="shared" si="48"/>
        <v>0.760153031194821</v>
      </c>
      <c r="M164" s="48">
        <f ca="1" t="shared" si="49"/>
        <v>0.195703354914656</v>
      </c>
      <c r="N164" s="48">
        <f ca="1" t="shared" si="50"/>
        <v>0.0441436138905238</v>
      </c>
      <c r="O164" s="48">
        <f ca="1" t="shared" si="51"/>
        <v>0.0588377209100682</v>
      </c>
      <c r="P164" s="48">
        <f ca="1" t="shared" si="52"/>
        <v>0.421932570882406</v>
      </c>
      <c r="Q164" s="48">
        <f ca="1" t="shared" si="53"/>
        <v>0.39171464166358</v>
      </c>
      <c r="R164" s="48">
        <f ca="1" t="shared" si="54"/>
        <v>0.127515066543946</v>
      </c>
      <c r="S164" s="46">
        <f ca="1" t="shared" si="55"/>
        <v>0.76015303119482</v>
      </c>
      <c r="T164" s="46">
        <f ca="1" t="shared" si="56"/>
        <v>0.195703354914656</v>
      </c>
      <c r="U164" s="46">
        <f ca="1" t="shared" si="57"/>
        <v>0.0441436138905238</v>
      </c>
      <c r="V164" s="48">
        <f ca="1" t="shared" si="58"/>
        <v>0.473696801083353</v>
      </c>
      <c r="W164" s="48">
        <f ca="1" t="shared" si="59"/>
        <v>3.39693832474177</v>
      </c>
      <c r="X164" s="48">
        <f ca="1" t="shared" si="60"/>
        <v>3.15365669885759</v>
      </c>
      <c r="Y164" s="48">
        <f t="shared" si="61"/>
        <v>1.02661146926685</v>
      </c>
      <c r="Z164" s="105">
        <f ca="1" t="shared" si="62"/>
        <v>0.0588377209100682</v>
      </c>
      <c r="AA164" s="105">
        <f ca="1" t="shared" si="63"/>
        <v>0.421932570882406</v>
      </c>
      <c r="AB164" s="105">
        <f ca="1" t="shared" si="64"/>
        <v>0.39171464166358</v>
      </c>
      <c r="AC164" s="105">
        <f ca="1" t="shared" si="65"/>
        <v>0.127515066543946</v>
      </c>
      <c r="AD164" s="105">
        <f ca="1" t="shared" si="66"/>
        <v>0.76015303119482</v>
      </c>
      <c r="AE164" s="105">
        <f ca="1" t="shared" si="67"/>
        <v>0.195703354914656</v>
      </c>
      <c r="AF164" s="105">
        <f ca="1" t="shared" si="68"/>
        <v>0.0441436138905238</v>
      </c>
    </row>
    <row r="165" ht="16.5" spans="1:32">
      <c r="A165">
        <f ca="1" t="shared" si="46"/>
        <v>13808</v>
      </c>
      <c r="B165" s="2">
        <v>163</v>
      </c>
      <c r="C165" s="2">
        <f>_xlfn.XLOOKUP(练度预期!D165,装备养成!$B$3:$B$303,装备养成!$D$3:$D$303)*6</f>
        <v>10548</v>
      </c>
      <c r="D165" s="2" cm="1">
        <f ca="1" t="array" ref="D165">_xlfn.XLOOKUP(练度预期!E165&amp;"_"&amp;INT(练度预期!C165/10)*10+10,装备养成!$N$4:$N$219&amp;"_"&amp;装备养成!$K$4:$K$219,装备养成!$P$4:$P$219)*练度预期!F165+_xlfn.XLOOKUP(练度预期!E165-1&amp;"_"&amp;INT(练度预期!C165/10)*10+10,装备养成!$N$4:$N$219&amp;"_"&amp;装备养成!$K$4:$K$219,装备养成!$P$4:$P$219)*(6-练度预期!F165)</f>
        <v>2660</v>
      </c>
      <c r="E165" s="2">
        <f ca="1">练度预期!N165*4*练度预期!M165</f>
        <v>600</v>
      </c>
      <c r="F165" s="103">
        <f ca="1">INT(练度预期!D165/10)*0.02+1+_xlfn.XLOOKUP(练度预期!E165,装备养成!$U$3:$U$11,装备养成!$V$3:$V$11)*练度预期!F165+_xlfn.XLOOKUP(练度预期!E165-1,装备养成!$U$3:$U$11,装备养成!$V$3:$V$11)*(6-练度预期!F165)</f>
        <v>1.60592</v>
      </c>
      <c r="G165" s="48">
        <f ca="1">OFFSET(梦灵养成!$K$20,_xlfn.XLOOKUP(练度预期!H165,梦灵养成!$D$10:$D$28,梦灵养成!$H$10:$H$28),MATCH(OFFSET(梦灵养成!$C$33,B165,MATCH(练度预期!H165,梦灵养成!$D$33:$V$33,0)),梦灵养成!$L$20:$R$20,1))*(1+(OFFSET(梦灵养成!$C$33,B165,MATCH(练度预期!H165,梦灵养成!$D$33:$V$33,0))-1)*_xlfn.XLOOKUP(练度预期!H165,梦灵养成!$D$9:$D$28,梦灵养成!$G$9:$G$28))</f>
        <v>29.8725</v>
      </c>
      <c r="H165" s="46">
        <f ca="1">符文养成!AC166</f>
        <v>23.4713382083797</v>
      </c>
      <c r="I165" s="46">
        <f>MAX(_xlfn.XLOOKUP(练度预期!O165,秘宝养成!$B$3:$B$15,秘宝养成!$E$3:$E$15),1)</f>
        <v>2.7915904</v>
      </c>
      <c r="J165" s="104">
        <f ca="1" t="shared" si="47"/>
        <v>43402605.6149289</v>
      </c>
      <c r="K165" s="104">
        <f ca="1">MATCH(J165,关卡预期!$E$4:$E$303,1)</f>
        <v>175</v>
      </c>
      <c r="L165" s="48">
        <f ca="1" t="shared" si="48"/>
        <v>0.763904982618771</v>
      </c>
      <c r="M165" s="48">
        <f ca="1" t="shared" si="49"/>
        <v>0.192641946697567</v>
      </c>
      <c r="N165" s="48">
        <f ca="1" t="shared" si="50"/>
        <v>0.0434530706836618</v>
      </c>
      <c r="O165" s="48">
        <f ca="1" t="shared" si="51"/>
        <v>0.058822207272845</v>
      </c>
      <c r="P165" s="48">
        <f ca="1" t="shared" si="52"/>
        <v>0.421821320671893</v>
      </c>
      <c r="Q165" s="48">
        <f ca="1" t="shared" si="53"/>
        <v>0.391875027182113</v>
      </c>
      <c r="R165" s="48">
        <f ca="1" t="shared" si="54"/>
        <v>0.127481444873149</v>
      </c>
      <c r="S165" s="46">
        <f ca="1" t="shared" si="55"/>
        <v>0.763904982618772</v>
      </c>
      <c r="T165" s="46">
        <f ca="1" t="shared" si="56"/>
        <v>0.192641946697567</v>
      </c>
      <c r="U165" s="46">
        <f ca="1" t="shared" si="57"/>
        <v>0.0434530706836618</v>
      </c>
      <c r="V165" s="48">
        <f ca="1" t="shared" si="58"/>
        <v>0.473696801083353</v>
      </c>
      <c r="W165" s="48">
        <f ca="1" t="shared" si="59"/>
        <v>3.39693832474177</v>
      </c>
      <c r="X165" s="48">
        <f ca="1" t="shared" si="60"/>
        <v>3.15578002606363</v>
      </c>
      <c r="Y165" s="48">
        <f t="shared" si="61"/>
        <v>1.02661146926685</v>
      </c>
      <c r="Z165" s="105">
        <f ca="1" t="shared" si="62"/>
        <v>0.0588222072728449</v>
      </c>
      <c r="AA165" s="105">
        <f ca="1" t="shared" si="63"/>
        <v>0.421821320671893</v>
      </c>
      <c r="AB165" s="105">
        <f ca="1" t="shared" si="64"/>
        <v>0.391875027182112</v>
      </c>
      <c r="AC165" s="105">
        <f ca="1" t="shared" si="65"/>
        <v>0.127481444873149</v>
      </c>
      <c r="AD165" s="105">
        <f ca="1" t="shared" si="66"/>
        <v>0.763904982618772</v>
      </c>
      <c r="AE165" s="105">
        <f ca="1" t="shared" si="67"/>
        <v>0.192641946697567</v>
      </c>
      <c r="AF165" s="105">
        <f ca="1" t="shared" si="68"/>
        <v>0.0434530706836616</v>
      </c>
    </row>
    <row r="166" ht="16.5" spans="1:32">
      <c r="A166">
        <f ca="1" t="shared" si="46"/>
        <v>13808</v>
      </c>
      <c r="B166" s="2">
        <v>164</v>
      </c>
      <c r="C166" s="2">
        <f>_xlfn.XLOOKUP(练度预期!D166,装备养成!$B$3:$B$303,装备养成!$D$3:$D$303)*6</f>
        <v>10548</v>
      </c>
      <c r="D166" s="2" cm="1">
        <f ca="1" t="array" ref="D166">_xlfn.XLOOKUP(练度预期!E166&amp;"_"&amp;INT(练度预期!C166/10)*10+10,装备养成!$N$4:$N$219&amp;"_"&amp;装备养成!$K$4:$K$219,装备养成!$P$4:$P$219)*练度预期!F166+_xlfn.XLOOKUP(练度预期!E166-1&amp;"_"&amp;INT(练度预期!C166/10)*10+10,装备养成!$N$4:$N$219&amp;"_"&amp;装备养成!$K$4:$K$219,装备养成!$P$4:$P$219)*(6-练度预期!F166)</f>
        <v>2660</v>
      </c>
      <c r="E166" s="2">
        <f ca="1">练度预期!N166*4*练度预期!M166</f>
        <v>600</v>
      </c>
      <c r="F166" s="103">
        <f ca="1">INT(练度预期!D166/10)*0.02+1+_xlfn.XLOOKUP(练度预期!E166,装备养成!$U$3:$U$11,装备养成!$V$3:$V$11)*练度预期!F166+_xlfn.XLOOKUP(练度预期!E166-1,装备养成!$U$3:$U$11,装备养成!$V$3:$V$11)*(6-练度预期!F166)</f>
        <v>1.60592</v>
      </c>
      <c r="G166" s="48">
        <f ca="1">OFFSET(梦灵养成!$K$20,_xlfn.XLOOKUP(练度预期!H166,梦灵养成!$D$10:$D$28,梦灵养成!$H$10:$H$28),MATCH(OFFSET(梦灵养成!$C$33,B166,MATCH(练度预期!H166,梦灵养成!$D$33:$V$33,0)),梦灵养成!$L$20:$R$20,1))*(1+(OFFSET(梦灵养成!$C$33,B166,MATCH(练度预期!H166,梦灵养成!$D$33:$V$33,0))-1)*_xlfn.XLOOKUP(练度预期!H166,梦灵养成!$D$9:$D$28,梦灵养成!$G$9:$G$28))</f>
        <v>29.8725</v>
      </c>
      <c r="H166" s="46">
        <f ca="1">符文养成!AC167</f>
        <v>23.5085648263963</v>
      </c>
      <c r="I166" s="46">
        <f>MAX(_xlfn.XLOOKUP(练度预期!O166,秘宝养成!$B$3:$B$15,秘宝养成!$E$3:$E$15),1)</f>
        <v>2.7915904</v>
      </c>
      <c r="J166" s="104">
        <f ca="1" t="shared" si="47"/>
        <v>43471444.1364399</v>
      </c>
      <c r="K166" s="104">
        <f ca="1">MATCH(J166,关卡预期!$E$4:$E$303,1)</f>
        <v>175</v>
      </c>
      <c r="L166" s="48">
        <f ca="1" t="shared" si="48"/>
        <v>0.763904982618772</v>
      </c>
      <c r="M166" s="48">
        <f ca="1" t="shared" si="49"/>
        <v>0.192641946697567</v>
      </c>
      <c r="N166" s="48">
        <f ca="1" t="shared" si="50"/>
        <v>0.0434530706836615</v>
      </c>
      <c r="O166" s="48">
        <f ca="1" t="shared" si="51"/>
        <v>0.0588106336779303</v>
      </c>
      <c r="P166" s="48">
        <f ca="1" t="shared" si="52"/>
        <v>0.421738324991891</v>
      </c>
      <c r="Q166" s="48">
        <f ca="1" t="shared" si="53"/>
        <v>0.391994679137032</v>
      </c>
      <c r="R166" s="48">
        <f ca="1" t="shared" si="54"/>
        <v>0.127456362193146</v>
      </c>
      <c r="S166" s="46">
        <f ca="1" t="shared" si="55"/>
        <v>0.763904982618772</v>
      </c>
      <c r="T166" s="46">
        <f ca="1" t="shared" si="56"/>
        <v>0.192641946697567</v>
      </c>
      <c r="U166" s="46">
        <f ca="1" t="shared" si="57"/>
        <v>0.0434530706836614</v>
      </c>
      <c r="V166" s="48">
        <f ca="1" t="shared" si="58"/>
        <v>0.473696801083353</v>
      </c>
      <c r="W166" s="48">
        <f ca="1" t="shared" si="59"/>
        <v>3.39693832474177</v>
      </c>
      <c r="X166" s="48">
        <f ca="1" t="shared" si="60"/>
        <v>3.15736481544816</v>
      </c>
      <c r="Y166" s="48">
        <f t="shared" si="61"/>
        <v>1.02661146926685</v>
      </c>
      <c r="Z166" s="105">
        <f ca="1" t="shared" si="62"/>
        <v>0.0588106336779303</v>
      </c>
      <c r="AA166" s="105">
        <f ca="1" t="shared" si="63"/>
        <v>0.421738324991891</v>
      </c>
      <c r="AB166" s="105">
        <f ca="1" t="shared" si="64"/>
        <v>0.391994679137032</v>
      </c>
      <c r="AC166" s="105">
        <f ca="1" t="shared" si="65"/>
        <v>0.127456362193146</v>
      </c>
      <c r="AD166" s="105">
        <f ca="1" t="shared" si="66"/>
        <v>0.763904982618772</v>
      </c>
      <c r="AE166" s="105">
        <f ca="1" t="shared" si="67"/>
        <v>0.192641946697567</v>
      </c>
      <c r="AF166" s="105">
        <f ca="1" t="shared" si="68"/>
        <v>0.0434530706836616</v>
      </c>
    </row>
    <row r="167" ht="16.5" spans="1:32">
      <c r="A167">
        <f ca="1" t="shared" si="46"/>
        <v>13808</v>
      </c>
      <c r="B167" s="2">
        <v>165</v>
      </c>
      <c r="C167" s="2">
        <f>_xlfn.XLOOKUP(练度预期!D167,装备养成!$B$3:$B$303,装备养成!$D$3:$D$303)*6</f>
        <v>10548</v>
      </c>
      <c r="D167" s="2" cm="1">
        <f ca="1" t="array" ref="D167">_xlfn.XLOOKUP(练度预期!E167&amp;"_"&amp;INT(练度预期!C167/10)*10+10,装备养成!$N$4:$N$219&amp;"_"&amp;装备养成!$K$4:$K$219,装备养成!$P$4:$P$219)*练度预期!F167+_xlfn.XLOOKUP(练度预期!E167-1&amp;"_"&amp;INT(练度预期!C167/10)*10+10,装备养成!$N$4:$N$219&amp;"_"&amp;装备养成!$K$4:$K$219,装备养成!$P$4:$P$219)*(6-练度预期!F167)</f>
        <v>2660</v>
      </c>
      <c r="E167" s="2">
        <f ca="1">练度预期!N167*4*练度预期!M167</f>
        <v>600</v>
      </c>
      <c r="F167" s="103">
        <f ca="1">INT(练度预期!D167/10)*0.02+1+_xlfn.XLOOKUP(练度预期!E167,装备养成!$U$3:$U$11,装备养成!$V$3:$V$11)*练度预期!F167+_xlfn.XLOOKUP(练度预期!E167-1,装备养成!$U$3:$U$11,装备养成!$V$3:$V$11)*(6-练度预期!F167)</f>
        <v>1.60592</v>
      </c>
      <c r="G167" s="48">
        <f ca="1">OFFSET(梦灵养成!$K$20,_xlfn.XLOOKUP(练度预期!H167,梦灵养成!$D$10:$D$28,梦灵养成!$H$10:$H$28),MATCH(OFFSET(梦灵养成!$C$33,B167,MATCH(练度预期!H167,梦灵养成!$D$33:$V$33,0)),梦灵养成!$L$20:$R$20,1))*(1+(OFFSET(梦灵养成!$C$33,B167,MATCH(练度预期!H167,梦灵养成!$D$33:$V$33,0))-1)*_xlfn.XLOOKUP(练度预期!H167,梦灵养成!$D$9:$D$28,梦灵养成!$G$9:$G$28))</f>
        <v>29.8725</v>
      </c>
      <c r="H167" s="46">
        <f ca="1">符文养成!AC168</f>
        <v>23.5594224096422</v>
      </c>
      <c r="I167" s="46">
        <f>MAX(_xlfn.XLOOKUP(练度预期!O167,秘宝养成!$B$3:$B$15,秘宝养成!$E$3:$E$15),1)</f>
        <v>2.7915904</v>
      </c>
      <c r="J167" s="104">
        <f ca="1" t="shared" si="47"/>
        <v>43565488.6944687</v>
      </c>
      <c r="K167" s="104">
        <f ca="1">MATCH(J167,关卡预期!$E$4:$E$303,1)</f>
        <v>175</v>
      </c>
      <c r="L167" s="48">
        <f ca="1" t="shared" si="48"/>
        <v>0.763904982618772</v>
      </c>
      <c r="M167" s="48">
        <f ca="1" t="shared" si="49"/>
        <v>0.192641946697567</v>
      </c>
      <c r="N167" s="48">
        <f ca="1" t="shared" si="50"/>
        <v>0.0434530706836617</v>
      </c>
      <c r="O167" s="48">
        <f ca="1" t="shared" si="51"/>
        <v>0.0587948591991589</v>
      </c>
      <c r="P167" s="48">
        <f ca="1" t="shared" si="52"/>
        <v>0.421625204254388</v>
      </c>
      <c r="Q167" s="48">
        <f ca="1" t="shared" si="53"/>
        <v>0.392157761328586</v>
      </c>
      <c r="R167" s="48">
        <f ca="1" t="shared" si="54"/>
        <v>0.127422175217867</v>
      </c>
      <c r="S167" s="46">
        <f ca="1" t="shared" si="55"/>
        <v>0.763904982618772</v>
      </c>
      <c r="T167" s="46">
        <f ca="1" t="shared" si="56"/>
        <v>0.192641946697567</v>
      </c>
      <c r="U167" s="46">
        <f ca="1" t="shared" si="57"/>
        <v>0.0434530706836617</v>
      </c>
      <c r="V167" s="48">
        <f ca="1" t="shared" si="58"/>
        <v>0.473696801083353</v>
      </c>
      <c r="W167" s="48">
        <f ca="1" t="shared" si="59"/>
        <v>3.39693832474177</v>
      </c>
      <c r="X167" s="48">
        <f ca="1" t="shared" si="60"/>
        <v>3.1595258427631</v>
      </c>
      <c r="Y167" s="48">
        <f t="shared" si="61"/>
        <v>1.02661146926685</v>
      </c>
      <c r="Z167" s="105">
        <f ca="1" t="shared" si="62"/>
        <v>0.0587948591991589</v>
      </c>
      <c r="AA167" s="105">
        <f ca="1" t="shared" si="63"/>
        <v>0.421625204254388</v>
      </c>
      <c r="AB167" s="105">
        <f ca="1" t="shared" si="64"/>
        <v>0.392157761328586</v>
      </c>
      <c r="AC167" s="105">
        <f ca="1" t="shared" si="65"/>
        <v>0.127422175217867</v>
      </c>
      <c r="AD167" s="105">
        <f ca="1" t="shared" si="66"/>
        <v>0.763904982618772</v>
      </c>
      <c r="AE167" s="105">
        <f ca="1" t="shared" si="67"/>
        <v>0.192641946697567</v>
      </c>
      <c r="AF167" s="105">
        <f ca="1" t="shared" si="68"/>
        <v>0.0434530706836616</v>
      </c>
    </row>
    <row r="168" ht="16.5" spans="1:32">
      <c r="A168">
        <f ca="1" t="shared" si="46"/>
        <v>13884</v>
      </c>
      <c r="B168" s="2">
        <v>166</v>
      </c>
      <c r="C168" s="2">
        <f>_xlfn.XLOOKUP(练度预期!D168,装备养成!$B$3:$B$303,装备养成!$D$3:$D$303)*6</f>
        <v>10548</v>
      </c>
      <c r="D168" s="2" cm="1">
        <f ca="1" t="array" ref="D168">_xlfn.XLOOKUP(练度预期!E168&amp;"_"&amp;INT(练度预期!C168/10)*10+10,装备养成!$N$4:$N$219&amp;"_"&amp;装备养成!$K$4:$K$219,装备养成!$P$4:$P$219)*练度预期!F168+_xlfn.XLOOKUP(练度预期!E168-1&amp;"_"&amp;INT(练度预期!C168/10)*10+10,装备养成!$N$4:$N$219&amp;"_"&amp;装备养成!$K$4:$K$219,装备养成!$P$4:$P$219)*(6-练度预期!F168)</f>
        <v>2736</v>
      </c>
      <c r="E168" s="2">
        <f ca="1">练度预期!N168*4*练度预期!M168</f>
        <v>600</v>
      </c>
      <c r="F168" s="103">
        <f ca="1">INT(练度预期!D168/10)*0.02+1+_xlfn.XLOOKUP(练度预期!E168,装备养成!$U$3:$U$11,装备养成!$V$3:$V$11)*练度预期!F168+_xlfn.XLOOKUP(练度预期!E168-1,装备养成!$U$3:$U$11,装备养成!$V$3:$V$11)*(6-练度预期!F168)</f>
        <v>1.61488</v>
      </c>
      <c r="G168" s="48">
        <f ca="1">OFFSET(梦灵养成!$K$20,_xlfn.XLOOKUP(练度预期!H168,梦灵养成!$D$10:$D$28,梦灵养成!$H$10:$H$28),MATCH(OFFSET(梦灵养成!$C$33,B168,MATCH(练度预期!H168,梦灵养成!$D$33:$V$33,0)),梦灵养成!$L$20:$R$20,1))*(1+(OFFSET(梦灵养成!$C$33,B168,MATCH(练度预期!H168,梦灵养成!$D$33:$V$33,0))-1)*_xlfn.XLOOKUP(练度预期!H168,梦灵养成!$D$9:$D$28,梦灵养成!$G$9:$G$28))</f>
        <v>29.8725</v>
      </c>
      <c r="H168" s="46">
        <f ca="1">符文养成!AC169</f>
        <v>23.6018035745522</v>
      </c>
      <c r="I168" s="46">
        <f>MAX(_xlfn.XLOOKUP(练度预期!O168,秘宝养成!$B$3:$B$15,秘宝养成!$E$3:$E$15),1)</f>
        <v>2.7915904</v>
      </c>
      <c r="J168" s="104">
        <f ca="1" t="shared" si="47"/>
        <v>44128922.0061887</v>
      </c>
      <c r="K168" s="104">
        <f ca="1">MATCH(J168,关卡预期!$E$4:$E$303,1)</f>
        <v>175</v>
      </c>
      <c r="L168" s="48">
        <f ca="1" t="shared" si="48"/>
        <v>0.759723422644771</v>
      </c>
      <c r="M168" s="48">
        <f ca="1" t="shared" si="49"/>
        <v>0.197061365600691</v>
      </c>
      <c r="N168" s="48">
        <f ca="1" t="shared" si="50"/>
        <v>0.0432152117545376</v>
      </c>
      <c r="O168" s="48">
        <f ca="1" t="shared" si="51"/>
        <v>0.0594311398707699</v>
      </c>
      <c r="P168" s="48">
        <f ca="1" t="shared" si="52"/>
        <v>0.421240334452543</v>
      </c>
      <c r="Q168" s="48">
        <f ca="1" t="shared" si="53"/>
        <v>0.392022664537845</v>
      </c>
      <c r="R168" s="48">
        <f ca="1" t="shared" si="54"/>
        <v>0.127305861138841</v>
      </c>
      <c r="S168" s="46">
        <f ca="1" t="shared" si="55"/>
        <v>0.759723422644771</v>
      </c>
      <c r="T168" s="46">
        <f ca="1" t="shared" si="56"/>
        <v>0.197061365600691</v>
      </c>
      <c r="U168" s="46">
        <f ca="1" t="shared" si="57"/>
        <v>0.0432152117545376</v>
      </c>
      <c r="V168" s="48">
        <f ca="1" t="shared" si="58"/>
        <v>0.479260650508412</v>
      </c>
      <c r="W168" s="48">
        <f ca="1" t="shared" si="59"/>
        <v>3.39693832474177</v>
      </c>
      <c r="X168" s="48">
        <f ca="1" t="shared" si="60"/>
        <v>3.16132313176202</v>
      </c>
      <c r="Y168" s="48">
        <f t="shared" si="61"/>
        <v>1.02661146926685</v>
      </c>
      <c r="Z168" s="105">
        <f ca="1" t="shared" si="62"/>
        <v>0.0594311398707699</v>
      </c>
      <c r="AA168" s="105">
        <f ca="1" t="shared" si="63"/>
        <v>0.421240334452543</v>
      </c>
      <c r="AB168" s="105">
        <f ca="1" t="shared" si="64"/>
        <v>0.392022664537845</v>
      </c>
      <c r="AC168" s="105">
        <f ca="1" t="shared" si="65"/>
        <v>0.127305861138841</v>
      </c>
      <c r="AD168" s="105">
        <f ca="1" t="shared" si="66"/>
        <v>0.759723422644771</v>
      </c>
      <c r="AE168" s="105">
        <f ca="1" t="shared" si="67"/>
        <v>0.197061365600691</v>
      </c>
      <c r="AF168" s="105">
        <f ca="1" t="shared" si="68"/>
        <v>0.0432152117545376</v>
      </c>
    </row>
    <row r="169" ht="16.5" spans="1:32">
      <c r="A169">
        <f ca="1" t="shared" si="46"/>
        <v>14124</v>
      </c>
      <c r="B169" s="2">
        <v>167</v>
      </c>
      <c r="C169" s="2">
        <f>_xlfn.XLOOKUP(练度预期!D169,装备养成!$B$3:$B$303,装备养成!$D$3:$D$303)*6</f>
        <v>10788</v>
      </c>
      <c r="D169" s="2" cm="1">
        <f ca="1" t="array" ref="D169">_xlfn.XLOOKUP(练度预期!E169&amp;"_"&amp;INT(练度预期!C169/10)*10+10,装备养成!$N$4:$N$219&amp;"_"&amp;装备养成!$K$4:$K$219,装备养成!$P$4:$P$219)*练度预期!F169+_xlfn.XLOOKUP(练度预期!E169-1&amp;"_"&amp;INT(练度预期!C169/10)*10+10,装备养成!$N$4:$N$219&amp;"_"&amp;装备养成!$K$4:$K$219,装备养成!$P$4:$P$219)*(6-练度预期!F169)</f>
        <v>2736</v>
      </c>
      <c r="E169" s="2">
        <f ca="1">练度预期!N169*4*练度预期!M169</f>
        <v>600</v>
      </c>
      <c r="F169" s="103">
        <f ca="1">INT(练度预期!D169/10)*0.02+1+_xlfn.XLOOKUP(练度预期!E169,装备养成!$U$3:$U$11,装备养成!$V$3:$V$11)*练度预期!F169+_xlfn.XLOOKUP(练度预期!E169-1,装备养成!$U$3:$U$11,装备养成!$V$3:$V$11)*(6-练度预期!F169)</f>
        <v>1.61488</v>
      </c>
      <c r="G169" s="48">
        <f ca="1">OFFSET(梦灵养成!$K$20,_xlfn.XLOOKUP(练度预期!H169,梦灵养成!$D$10:$D$28,梦灵养成!$H$10:$H$28),MATCH(OFFSET(梦灵养成!$C$33,B169,MATCH(练度预期!H169,梦灵养成!$D$33:$V$33,0)),梦灵养成!$L$20:$R$20,1))*(1+(OFFSET(梦灵养成!$C$33,B169,MATCH(练度预期!H169,梦灵养成!$D$33:$V$33,0))-1)*_xlfn.XLOOKUP(练度预期!H169,梦灵养成!$D$9:$D$28,梦灵养成!$G$9:$G$28))</f>
        <v>29.8725</v>
      </c>
      <c r="H169" s="46">
        <f ca="1">符文养成!AC170</f>
        <v>23.6528554702709</v>
      </c>
      <c r="I169" s="46">
        <f>MAX(_xlfn.XLOOKUP(练度预期!O169,秘宝养成!$B$3:$B$15,秘宝养成!$E$3:$E$15),1)</f>
        <v>2.7915904</v>
      </c>
      <c r="J169" s="104">
        <f ca="1" t="shared" si="47"/>
        <v>44988841.3918687</v>
      </c>
      <c r="K169" s="104">
        <f ca="1">MATCH(J169,关卡预期!$E$4:$E$303,1)</f>
        <v>175</v>
      </c>
      <c r="L169" s="48">
        <f ca="1" t="shared" si="48"/>
        <v>0.763806287170773</v>
      </c>
      <c r="M169" s="48">
        <f ca="1" t="shared" si="49"/>
        <v>0.193712829226848</v>
      </c>
      <c r="N169" s="48">
        <f ca="1" t="shared" si="50"/>
        <v>0.0424808836023791</v>
      </c>
      <c r="O169" s="48">
        <f ca="1" t="shared" si="51"/>
        <v>0.0594152200783243</v>
      </c>
      <c r="P169" s="48">
        <f ca="1" t="shared" si="52"/>
        <v>0.421127496995466</v>
      </c>
      <c r="Q169" s="48">
        <f ca="1" t="shared" si="53"/>
        <v>0.392185523150573</v>
      </c>
      <c r="R169" s="48">
        <f ca="1" t="shared" si="54"/>
        <v>0.127271759775636</v>
      </c>
      <c r="S169" s="46">
        <f ca="1" t="shared" si="55"/>
        <v>0.763806287170773</v>
      </c>
      <c r="T169" s="46">
        <f ca="1" t="shared" si="56"/>
        <v>0.193712829226848</v>
      </c>
      <c r="U169" s="46">
        <f ca="1" t="shared" si="57"/>
        <v>0.0424808836023791</v>
      </c>
      <c r="V169" s="48">
        <f ca="1" t="shared" si="58"/>
        <v>0.479260650508412</v>
      </c>
      <c r="W169" s="48">
        <f ca="1" t="shared" si="59"/>
        <v>3.39693832474177</v>
      </c>
      <c r="X169" s="48">
        <f ca="1" t="shared" si="60"/>
        <v>3.16348384635028</v>
      </c>
      <c r="Y169" s="48">
        <f t="shared" si="61"/>
        <v>1.02661146926685</v>
      </c>
      <c r="Z169" s="105">
        <f ca="1" t="shared" si="62"/>
        <v>0.0594152200783243</v>
      </c>
      <c r="AA169" s="105">
        <f ca="1" t="shared" si="63"/>
        <v>0.421127496995466</v>
      </c>
      <c r="AB169" s="105">
        <f ca="1" t="shared" si="64"/>
        <v>0.392185523150573</v>
      </c>
      <c r="AC169" s="105">
        <f ca="1" t="shared" si="65"/>
        <v>0.127271759775636</v>
      </c>
      <c r="AD169" s="105">
        <f ca="1" t="shared" si="66"/>
        <v>0.763806287170773</v>
      </c>
      <c r="AE169" s="105">
        <f ca="1" t="shared" si="67"/>
        <v>0.193712829226848</v>
      </c>
      <c r="AF169" s="105">
        <f ca="1" t="shared" si="68"/>
        <v>0.0424808836023789</v>
      </c>
    </row>
    <row r="170" ht="16.5" spans="1:32">
      <c r="A170">
        <f ca="1" t="shared" si="46"/>
        <v>14124</v>
      </c>
      <c r="B170" s="2">
        <v>168</v>
      </c>
      <c r="C170" s="2">
        <f>_xlfn.XLOOKUP(练度预期!D170,装备养成!$B$3:$B$303,装备养成!$D$3:$D$303)*6</f>
        <v>10788</v>
      </c>
      <c r="D170" s="2" cm="1">
        <f ca="1" t="array" ref="D170">_xlfn.XLOOKUP(练度预期!E170&amp;"_"&amp;INT(练度预期!C170/10)*10+10,装备养成!$N$4:$N$219&amp;"_"&amp;装备养成!$K$4:$K$219,装备养成!$P$4:$P$219)*练度预期!F170+_xlfn.XLOOKUP(练度预期!E170-1&amp;"_"&amp;INT(练度预期!C170/10)*10+10,装备养成!$N$4:$N$219&amp;"_"&amp;装备养成!$K$4:$K$219,装备养成!$P$4:$P$219)*(6-练度预期!F170)</f>
        <v>2736</v>
      </c>
      <c r="E170" s="2">
        <f ca="1">练度预期!N170*4*练度预期!M170</f>
        <v>600</v>
      </c>
      <c r="F170" s="103">
        <f ca="1">INT(练度预期!D170/10)*0.02+1+_xlfn.XLOOKUP(练度预期!E170,装备养成!$U$3:$U$11,装备养成!$V$3:$V$11)*练度预期!F170+_xlfn.XLOOKUP(练度预期!E170-1,装备养成!$U$3:$U$11,装备养成!$V$3:$V$11)*(6-练度预期!F170)</f>
        <v>1.61488</v>
      </c>
      <c r="G170" s="48">
        <f ca="1">OFFSET(梦灵养成!$K$20,_xlfn.XLOOKUP(练度预期!H170,梦灵养成!$D$10:$D$28,梦灵养成!$H$10:$H$28),MATCH(OFFSET(梦灵养成!$C$33,B170,MATCH(练度预期!H170,梦灵养成!$D$33:$V$33,0)),梦灵养成!$L$20:$R$20,1))*(1+(OFFSET(梦灵养成!$C$33,B170,MATCH(练度预期!H170,梦灵养成!$D$33:$V$33,0))-1)*_xlfn.XLOOKUP(练度预期!H170,梦灵养成!$D$9:$D$28,梦灵养成!$G$9:$G$28))</f>
        <v>29.8725</v>
      </c>
      <c r="H170" s="46">
        <f ca="1">符文养成!AC171</f>
        <v>23.6953985443542</v>
      </c>
      <c r="I170" s="46">
        <f>MAX(_xlfn.XLOOKUP(练度预期!O170,秘宝养成!$B$3:$B$15,秘宝养成!$E$3:$E$15),1)</f>
        <v>2.7915904</v>
      </c>
      <c r="J170" s="104">
        <f ca="1" t="shared" si="47"/>
        <v>45069760.3157873</v>
      </c>
      <c r="K170" s="104">
        <f ca="1">MATCH(J170,关卡预期!$E$4:$E$303,1)</f>
        <v>175</v>
      </c>
      <c r="L170" s="48">
        <f ca="1" t="shared" si="48"/>
        <v>0.763806287170773</v>
      </c>
      <c r="M170" s="48">
        <f ca="1" t="shared" si="49"/>
        <v>0.193712829226848</v>
      </c>
      <c r="N170" s="48">
        <f ca="1" t="shared" si="50"/>
        <v>0.0424808836023792</v>
      </c>
      <c r="O170" s="48">
        <f ca="1" t="shared" si="51"/>
        <v>0.0594019863590841</v>
      </c>
      <c r="P170" s="48">
        <f ca="1" t="shared" si="52"/>
        <v>0.421033698082457</v>
      </c>
      <c r="Q170" s="48">
        <f ca="1" t="shared" si="53"/>
        <v>0.392320903380187</v>
      </c>
      <c r="R170" s="48">
        <f ca="1" t="shared" si="54"/>
        <v>0.127243412178272</v>
      </c>
      <c r="S170" s="46">
        <f ca="1" t="shared" si="55"/>
        <v>0.763806287170773</v>
      </c>
      <c r="T170" s="46">
        <f ca="1" t="shared" si="56"/>
        <v>0.193712829226848</v>
      </c>
      <c r="U170" s="46">
        <f ca="1" t="shared" si="57"/>
        <v>0.0424808836023792</v>
      </c>
      <c r="V170" s="48">
        <f ca="1" t="shared" si="58"/>
        <v>0.479260650508412</v>
      </c>
      <c r="W170" s="48">
        <f ca="1" t="shared" si="59"/>
        <v>3.39693832474177</v>
      </c>
      <c r="X170" s="48">
        <f ca="1" t="shared" si="60"/>
        <v>3.16528087504405</v>
      </c>
      <c r="Y170" s="48">
        <f t="shared" si="61"/>
        <v>1.02661146926685</v>
      </c>
      <c r="Z170" s="105">
        <f ca="1" t="shared" si="62"/>
        <v>0.0594019863590841</v>
      </c>
      <c r="AA170" s="105">
        <f ca="1" t="shared" si="63"/>
        <v>0.421033698082457</v>
      </c>
      <c r="AB170" s="105">
        <f ca="1" t="shared" si="64"/>
        <v>0.392320903380187</v>
      </c>
      <c r="AC170" s="105">
        <f ca="1" t="shared" si="65"/>
        <v>0.127243412178272</v>
      </c>
      <c r="AD170" s="105">
        <f ca="1" t="shared" si="66"/>
        <v>0.763806287170773</v>
      </c>
      <c r="AE170" s="105">
        <f ca="1" t="shared" si="67"/>
        <v>0.193712829226848</v>
      </c>
      <c r="AF170" s="105">
        <f ca="1" t="shared" si="68"/>
        <v>0.0424808836023789</v>
      </c>
    </row>
    <row r="171" ht="16.5" spans="1:32">
      <c r="A171">
        <f ca="1" t="shared" si="46"/>
        <v>14124</v>
      </c>
      <c r="B171" s="2">
        <v>169</v>
      </c>
      <c r="C171" s="2">
        <f>_xlfn.XLOOKUP(练度预期!D171,装备养成!$B$3:$B$303,装备养成!$D$3:$D$303)*6</f>
        <v>10788</v>
      </c>
      <c r="D171" s="2" cm="1">
        <f ca="1" t="array" ref="D171">_xlfn.XLOOKUP(练度预期!E171&amp;"_"&amp;INT(练度预期!C171/10)*10+10,装备养成!$N$4:$N$219&amp;"_"&amp;装备养成!$K$4:$K$219,装备养成!$P$4:$P$219)*练度预期!F171+_xlfn.XLOOKUP(练度预期!E171-1&amp;"_"&amp;INT(练度预期!C171/10)*10+10,装备养成!$N$4:$N$219&amp;"_"&amp;装备养成!$K$4:$K$219,装备养成!$P$4:$P$219)*(6-练度预期!F171)</f>
        <v>2736</v>
      </c>
      <c r="E171" s="2">
        <f ca="1">练度预期!N171*4*练度预期!M171</f>
        <v>600</v>
      </c>
      <c r="F171" s="103">
        <f ca="1">INT(练度预期!D171/10)*0.02+1+_xlfn.XLOOKUP(练度预期!E171,装备养成!$U$3:$U$11,装备养成!$V$3:$V$11)*练度预期!F171+_xlfn.XLOOKUP(练度预期!E171-1,装备养成!$U$3:$U$11,装备养成!$V$3:$V$11)*(6-练度预期!F171)</f>
        <v>1.61488</v>
      </c>
      <c r="G171" s="48">
        <f ca="1">OFFSET(梦灵养成!$K$20,_xlfn.XLOOKUP(练度预期!H171,梦灵养成!$D$10:$D$28,梦灵养成!$H$10:$H$28),MATCH(OFFSET(梦灵养成!$C$33,B171,MATCH(练度预期!H171,梦灵养成!$D$33:$V$33,0)),梦灵养成!$L$20:$R$20,1))*(1+(OFFSET(梦灵养成!$C$33,B171,MATCH(练度预期!H171,梦灵养成!$D$33:$V$33,0))-1)*_xlfn.XLOOKUP(练度预期!H171,梦灵养成!$D$9:$D$28,梦灵养成!$G$9:$G$28))</f>
        <v>29.8725</v>
      </c>
      <c r="H171" s="46">
        <f ca="1">符文养成!AC172</f>
        <v>23.7466454532651</v>
      </c>
      <c r="I171" s="46">
        <f>MAX(_xlfn.XLOOKUP(练度预期!O171,秘宝养成!$B$3:$B$15,秘宝养成!$E$3:$E$15),1)</f>
        <v>2.7915904</v>
      </c>
      <c r="J171" s="104">
        <f ca="1" t="shared" si="47"/>
        <v>45167234.3421143</v>
      </c>
      <c r="K171" s="104">
        <f ca="1">MATCH(J171,关卡预期!$E$4:$E$303,1)</f>
        <v>175</v>
      </c>
      <c r="L171" s="48">
        <f ca="1" t="shared" si="48"/>
        <v>0.763806287170773</v>
      </c>
      <c r="M171" s="48">
        <f ca="1" t="shared" si="49"/>
        <v>0.193712829226848</v>
      </c>
      <c r="N171" s="48">
        <f ca="1" t="shared" si="50"/>
        <v>0.0424808836023789</v>
      </c>
      <c r="O171" s="48">
        <f ca="1" t="shared" si="51"/>
        <v>0.0593860844841243</v>
      </c>
      <c r="P171" s="48">
        <f ca="1" t="shared" si="52"/>
        <v>0.420920987622233</v>
      </c>
      <c r="Q171" s="48">
        <f ca="1" t="shared" si="53"/>
        <v>0.392483578698007</v>
      </c>
      <c r="R171" s="48">
        <f ca="1" t="shared" si="54"/>
        <v>0.127209349195636</v>
      </c>
      <c r="S171" s="46">
        <f ca="1" t="shared" si="55"/>
        <v>0.763806287170773</v>
      </c>
      <c r="T171" s="46">
        <f ca="1" t="shared" si="56"/>
        <v>0.193712829226848</v>
      </c>
      <c r="U171" s="46">
        <f ca="1" t="shared" si="57"/>
        <v>0.0424808836023789</v>
      </c>
      <c r="V171" s="48">
        <f ca="1" t="shared" si="58"/>
        <v>0.479260650508412</v>
      </c>
      <c r="W171" s="48">
        <f ca="1" t="shared" si="59"/>
        <v>3.39693832474177</v>
      </c>
      <c r="X171" s="48">
        <f ca="1" t="shared" si="60"/>
        <v>3.16744127643172</v>
      </c>
      <c r="Y171" s="48">
        <f t="shared" si="61"/>
        <v>1.02661146926685</v>
      </c>
      <c r="Z171" s="105">
        <f ca="1" t="shared" si="62"/>
        <v>0.0593860844841243</v>
      </c>
      <c r="AA171" s="105">
        <f ca="1" t="shared" si="63"/>
        <v>0.420920987622233</v>
      </c>
      <c r="AB171" s="105">
        <f ca="1" t="shared" si="64"/>
        <v>0.392483578698007</v>
      </c>
      <c r="AC171" s="105">
        <f ca="1" t="shared" si="65"/>
        <v>0.127209349195636</v>
      </c>
      <c r="AD171" s="105">
        <f ca="1" t="shared" si="66"/>
        <v>0.763806287170773</v>
      </c>
      <c r="AE171" s="105">
        <f ca="1" t="shared" si="67"/>
        <v>0.193712829226848</v>
      </c>
      <c r="AF171" s="105">
        <f ca="1" t="shared" si="68"/>
        <v>0.0424808836023789</v>
      </c>
    </row>
    <row r="172" ht="16.5" spans="1:32">
      <c r="A172">
        <f ca="1" t="shared" si="46"/>
        <v>14364</v>
      </c>
      <c r="B172" s="2">
        <v>170</v>
      </c>
      <c r="C172" s="2">
        <f>_xlfn.XLOOKUP(练度预期!D172,装备养成!$B$3:$B$303,装备养成!$D$3:$D$303)*6</f>
        <v>11028</v>
      </c>
      <c r="D172" s="2" cm="1">
        <f ca="1" t="array" ref="D172">_xlfn.XLOOKUP(练度预期!E172&amp;"_"&amp;INT(练度预期!C172/10)*10+10,装备养成!$N$4:$N$219&amp;"_"&amp;装备养成!$K$4:$K$219,装备养成!$P$4:$P$219)*练度预期!F172+_xlfn.XLOOKUP(练度预期!E172-1&amp;"_"&amp;INT(练度预期!C172/10)*10+10,装备养成!$N$4:$N$219&amp;"_"&amp;装备养成!$K$4:$K$219,装备养成!$P$4:$P$219)*(6-练度预期!F172)</f>
        <v>2736</v>
      </c>
      <c r="E172" s="2">
        <f ca="1">练度预期!N172*4*练度预期!M172</f>
        <v>600</v>
      </c>
      <c r="F172" s="103">
        <f ca="1">INT(练度预期!D172/10)*0.02+1+_xlfn.XLOOKUP(练度预期!E172,装备养成!$U$3:$U$11,装备养成!$V$3:$V$11)*练度预期!F172+_xlfn.XLOOKUP(练度预期!E172-1,装备养成!$U$3:$U$11,装备养成!$V$3:$V$11)*(6-练度预期!F172)</f>
        <v>1.61488</v>
      </c>
      <c r="G172" s="48">
        <f ca="1">OFFSET(梦灵养成!$K$20,_xlfn.XLOOKUP(练度预期!H172,梦灵养成!$D$10:$D$28,梦灵养成!$H$10:$H$28),MATCH(OFFSET(梦灵养成!$C$33,B172,MATCH(练度预期!H172,梦灵养成!$D$33:$V$33,0)),梦灵养成!$L$20:$R$20,1))*(1+(OFFSET(梦灵养成!$C$33,B172,MATCH(练度预期!H172,梦灵养成!$D$33:$V$33,0))-1)*_xlfn.XLOOKUP(练度预期!H172,梦灵养成!$D$9:$D$28,梦灵养成!$G$9:$G$28))</f>
        <v>29.8725</v>
      </c>
      <c r="H172" s="46">
        <f ca="1">符文养成!AC173</f>
        <v>23.7893510202891</v>
      </c>
      <c r="I172" s="46">
        <f>MAX(_xlfn.XLOOKUP(练度预期!O172,秘宝养成!$B$3:$B$15,秘宝养成!$E$3:$E$15),1)</f>
        <v>2.7915904</v>
      </c>
      <c r="J172" s="104">
        <f ca="1" t="shared" si="47"/>
        <v>46017340.1998936</v>
      </c>
      <c r="K172" s="104">
        <f ca="1">MATCH(J172,关卡预期!$E$4:$E$303,1)</f>
        <v>176</v>
      </c>
      <c r="L172" s="48">
        <f ca="1" t="shared" si="48"/>
        <v>0.767752715121136</v>
      </c>
      <c r="M172" s="48">
        <f ca="1" t="shared" si="49"/>
        <v>0.19047619047619</v>
      </c>
      <c r="N172" s="48">
        <f ca="1" t="shared" si="50"/>
        <v>0.0417710944026733</v>
      </c>
      <c r="O172" s="48">
        <f ca="1" t="shared" si="51"/>
        <v>0.0593728656567057</v>
      </c>
      <c r="P172" s="48">
        <f ca="1" t="shared" si="52"/>
        <v>0.420827294260554</v>
      </c>
      <c r="Q172" s="48">
        <f ca="1" t="shared" si="53"/>
        <v>0.392618806585094</v>
      </c>
      <c r="R172" s="48">
        <f ca="1" t="shared" si="54"/>
        <v>0.127181033497646</v>
      </c>
      <c r="S172" s="46">
        <f ca="1" t="shared" si="55"/>
        <v>0.767752715121136</v>
      </c>
      <c r="T172" s="46">
        <f ca="1" t="shared" si="56"/>
        <v>0.19047619047619</v>
      </c>
      <c r="U172" s="46">
        <f ca="1" t="shared" si="57"/>
        <v>0.0417710944026733</v>
      </c>
      <c r="V172" s="48">
        <f ca="1" t="shared" si="58"/>
        <v>0.479260650508412</v>
      </c>
      <c r="W172" s="48">
        <f ca="1" t="shared" si="59"/>
        <v>3.39693832474177</v>
      </c>
      <c r="X172" s="48">
        <f ca="1" t="shared" si="60"/>
        <v>3.16923804442571</v>
      </c>
      <c r="Y172" s="48">
        <f t="shared" si="61"/>
        <v>1.02661146926685</v>
      </c>
      <c r="Z172" s="105">
        <f ca="1" t="shared" si="62"/>
        <v>0.0593728656567057</v>
      </c>
      <c r="AA172" s="105">
        <f ca="1" t="shared" si="63"/>
        <v>0.420827294260554</v>
      </c>
      <c r="AB172" s="105">
        <f ca="1" t="shared" si="64"/>
        <v>0.392618806585094</v>
      </c>
      <c r="AC172" s="105">
        <f ca="1" t="shared" si="65"/>
        <v>0.127181033497646</v>
      </c>
      <c r="AD172" s="105">
        <f ca="1" t="shared" si="66"/>
        <v>0.767752715121136</v>
      </c>
      <c r="AE172" s="105">
        <f ca="1" t="shared" si="67"/>
        <v>0.19047619047619</v>
      </c>
      <c r="AF172" s="105">
        <f ca="1" t="shared" si="68"/>
        <v>0.0417710944026733</v>
      </c>
    </row>
    <row r="173" ht="16.5" spans="1:32">
      <c r="A173">
        <f ca="1" t="shared" si="46"/>
        <v>14364</v>
      </c>
      <c r="B173" s="2">
        <v>171</v>
      </c>
      <c r="C173" s="2">
        <f>_xlfn.XLOOKUP(练度预期!D173,装备养成!$B$3:$B$303,装备养成!$D$3:$D$303)*6</f>
        <v>11028</v>
      </c>
      <c r="D173" s="2" cm="1">
        <f ca="1" t="array" ref="D173">_xlfn.XLOOKUP(练度预期!E173&amp;"_"&amp;INT(练度预期!C173/10)*10+10,装备养成!$N$4:$N$219&amp;"_"&amp;装备养成!$K$4:$K$219,装备养成!$P$4:$P$219)*练度预期!F173+_xlfn.XLOOKUP(练度预期!E173-1&amp;"_"&amp;INT(练度预期!C173/10)*10+10,装备养成!$N$4:$N$219&amp;"_"&amp;装备养成!$K$4:$K$219,装备养成!$P$4:$P$219)*(6-练度预期!F173)</f>
        <v>2736</v>
      </c>
      <c r="E173" s="2">
        <f ca="1">练度预期!N173*4*练度预期!M173</f>
        <v>600</v>
      </c>
      <c r="F173" s="103">
        <f ca="1">INT(练度预期!D173/10)*0.02+1+_xlfn.XLOOKUP(练度预期!E173,装备养成!$U$3:$U$11,装备养成!$V$3:$V$11)*练度预期!F173+_xlfn.XLOOKUP(练度预期!E173-1,装备养成!$U$3:$U$11,装备养成!$V$3:$V$11)*(6-练度预期!F173)</f>
        <v>1.61488</v>
      </c>
      <c r="G173" s="48">
        <f ca="1">OFFSET(梦灵养成!$K$20,_xlfn.XLOOKUP(练度预期!H173,梦灵养成!$D$10:$D$28,梦灵养成!$H$10:$H$28),MATCH(OFFSET(梦灵养成!$C$33,B173,MATCH(练度预期!H173,梦灵养成!$D$33:$V$33,0)),梦灵养成!$L$20:$R$20,1))*(1+(OFFSET(梦灵养成!$C$33,B173,MATCH(练度预期!H173,梦灵养成!$D$33:$V$33,0))-1)*_xlfn.XLOOKUP(练度预期!H173,梦灵养成!$D$9:$D$28,梦灵养成!$G$9:$G$28))</f>
        <v>29.8725</v>
      </c>
      <c r="H173" s="46">
        <f ca="1">符文养成!AC174</f>
        <v>23.8357247281651</v>
      </c>
      <c r="I173" s="46">
        <f>MAX(_xlfn.XLOOKUP(练度预期!O173,秘宝养成!$B$3:$B$15,秘宝养成!$E$3:$E$15),1)</f>
        <v>2.7915904</v>
      </c>
      <c r="J173" s="104">
        <f ca="1" t="shared" si="47"/>
        <v>46107043.9791113</v>
      </c>
      <c r="K173" s="104">
        <f ca="1">MATCH(J173,关卡预期!$E$4:$E$303,1)</f>
        <v>176</v>
      </c>
      <c r="L173" s="48">
        <f ca="1" t="shared" si="48"/>
        <v>0.767752715121136</v>
      </c>
      <c r="M173" s="48">
        <f ca="1" t="shared" si="49"/>
        <v>0.19047619047619</v>
      </c>
      <c r="N173" s="48">
        <f ca="1" t="shared" si="50"/>
        <v>0.0417710944026735</v>
      </c>
      <c r="O173" s="48">
        <f ca="1" t="shared" si="51"/>
        <v>0.0593585449068253</v>
      </c>
      <c r="P173" s="48">
        <f ca="1" t="shared" si="52"/>
        <v>0.4207257906131</v>
      </c>
      <c r="Q173" s="48">
        <f ca="1" t="shared" si="53"/>
        <v>0.392765307079163</v>
      </c>
      <c r="R173" s="48">
        <f ca="1" t="shared" si="54"/>
        <v>0.127150357400912</v>
      </c>
      <c r="S173" s="46">
        <f ca="1" t="shared" si="55"/>
        <v>0.767752715121136</v>
      </c>
      <c r="T173" s="46">
        <f ca="1" t="shared" si="56"/>
        <v>0.19047619047619</v>
      </c>
      <c r="U173" s="46">
        <f ca="1" t="shared" si="57"/>
        <v>0.0417710944026735</v>
      </c>
      <c r="V173" s="48">
        <f ca="1" t="shared" si="58"/>
        <v>0.479260650508412</v>
      </c>
      <c r="W173" s="48">
        <f ca="1" t="shared" si="59"/>
        <v>3.39693832474177</v>
      </c>
      <c r="X173" s="48">
        <f ca="1" t="shared" si="60"/>
        <v>3.17118549424299</v>
      </c>
      <c r="Y173" s="48">
        <f t="shared" si="61"/>
        <v>1.02661146926685</v>
      </c>
      <c r="Z173" s="105">
        <f ca="1" t="shared" si="62"/>
        <v>0.0593585449068253</v>
      </c>
      <c r="AA173" s="105">
        <f ca="1" t="shared" si="63"/>
        <v>0.4207257906131</v>
      </c>
      <c r="AB173" s="105">
        <f ca="1" t="shared" si="64"/>
        <v>0.392765307079163</v>
      </c>
      <c r="AC173" s="105">
        <f ca="1" t="shared" si="65"/>
        <v>0.127150357400912</v>
      </c>
      <c r="AD173" s="105">
        <f ca="1" t="shared" si="66"/>
        <v>0.767752715121136</v>
      </c>
      <c r="AE173" s="105">
        <f ca="1" t="shared" si="67"/>
        <v>0.19047619047619</v>
      </c>
      <c r="AF173" s="105">
        <f ca="1" t="shared" si="68"/>
        <v>0.0417710944026733</v>
      </c>
    </row>
    <row r="174" ht="16.5" spans="1:32">
      <c r="A174">
        <f ca="1" t="shared" si="46"/>
        <v>14364</v>
      </c>
      <c r="B174" s="2">
        <v>172</v>
      </c>
      <c r="C174" s="2">
        <f>_xlfn.XLOOKUP(练度预期!D174,装备养成!$B$3:$B$303,装备养成!$D$3:$D$303)*6</f>
        <v>11028</v>
      </c>
      <c r="D174" s="2" cm="1">
        <f ca="1" t="array" ref="D174">_xlfn.XLOOKUP(练度预期!E174&amp;"_"&amp;INT(练度预期!C174/10)*10+10,装备养成!$N$4:$N$219&amp;"_"&amp;装备养成!$K$4:$K$219,装备养成!$P$4:$P$219)*练度预期!F174+_xlfn.XLOOKUP(练度预期!E174-1&amp;"_"&amp;INT(练度预期!C174/10)*10+10,装备养成!$N$4:$N$219&amp;"_"&amp;装备养成!$K$4:$K$219,装备养成!$P$4:$P$219)*(6-练度预期!F174)</f>
        <v>2736</v>
      </c>
      <c r="E174" s="2">
        <f ca="1">练度预期!N174*4*练度预期!M174</f>
        <v>600</v>
      </c>
      <c r="F174" s="103">
        <f ca="1">INT(练度预期!D174/10)*0.02+1+_xlfn.XLOOKUP(练度预期!E174,装备养成!$U$3:$U$11,装备养成!$V$3:$V$11)*练度预期!F174+_xlfn.XLOOKUP(练度预期!E174-1,装备养成!$U$3:$U$11,装备养成!$V$3:$V$11)*(6-练度预期!F174)</f>
        <v>1.61488</v>
      </c>
      <c r="G174" s="48">
        <f ca="1">OFFSET(梦灵养成!$K$20,_xlfn.XLOOKUP(练度预期!H174,梦灵养成!$D$10:$D$28,梦灵养成!$H$10:$H$28),MATCH(OFFSET(梦灵养成!$C$33,B174,MATCH(练度预期!H174,梦灵养成!$D$33:$V$33,0)),梦灵养成!$L$20:$R$20,1))*(1+(OFFSET(梦灵养成!$C$33,B174,MATCH(练度预期!H174,梦灵养成!$D$33:$V$33,0))-1)*_xlfn.XLOOKUP(练度预期!H174,梦灵养成!$D$9:$D$28,梦灵养成!$G$9:$G$28))</f>
        <v>29.8725</v>
      </c>
      <c r="H174" s="46">
        <f ca="1">符文养成!AC175</f>
        <v>23.8872639407682</v>
      </c>
      <c r="I174" s="46">
        <f>MAX(_xlfn.XLOOKUP(练度预期!O174,秘宝养成!$B$3:$B$15,秘宝养成!$E$3:$E$15),1)</f>
        <v>2.7915904</v>
      </c>
      <c r="J174" s="104">
        <f ca="1" t="shared" si="47"/>
        <v>46206739.7412182</v>
      </c>
      <c r="K174" s="104">
        <f ca="1">MATCH(J174,关卡预期!$E$4:$E$303,1)</f>
        <v>176</v>
      </c>
      <c r="L174" s="48">
        <f ca="1" t="shared" si="48"/>
        <v>0.767752715121136</v>
      </c>
      <c r="M174" s="48">
        <f ca="1" t="shared" si="49"/>
        <v>0.19047619047619</v>
      </c>
      <c r="N174" s="48">
        <f ca="1" t="shared" si="50"/>
        <v>0.0417710944026735</v>
      </c>
      <c r="O174" s="48">
        <f ca="1" t="shared" si="51"/>
        <v>0.0593426697193029</v>
      </c>
      <c r="P174" s="48">
        <f ca="1" t="shared" si="52"/>
        <v>0.420613269310026</v>
      </c>
      <c r="Q174" s="48">
        <f ca="1" t="shared" si="53"/>
        <v>0.392927709385947</v>
      </c>
      <c r="R174" s="48">
        <f ca="1" t="shared" si="54"/>
        <v>0.127116351584724</v>
      </c>
      <c r="S174" s="46">
        <f ca="1" t="shared" si="55"/>
        <v>0.767752715121136</v>
      </c>
      <c r="T174" s="46">
        <f ca="1" t="shared" si="56"/>
        <v>0.19047619047619</v>
      </c>
      <c r="U174" s="46">
        <f ca="1" t="shared" si="57"/>
        <v>0.0417710944026735</v>
      </c>
      <c r="V174" s="48">
        <f ca="1" t="shared" si="58"/>
        <v>0.479260650508412</v>
      </c>
      <c r="W174" s="48">
        <f ca="1" t="shared" si="59"/>
        <v>3.39693832474177</v>
      </c>
      <c r="X174" s="48">
        <f ca="1" t="shared" si="60"/>
        <v>3.17334542739378</v>
      </c>
      <c r="Y174" s="48">
        <f t="shared" si="61"/>
        <v>1.02661146926685</v>
      </c>
      <c r="Z174" s="105">
        <f ca="1" t="shared" si="62"/>
        <v>0.0593426697193029</v>
      </c>
      <c r="AA174" s="105">
        <f ca="1" t="shared" si="63"/>
        <v>0.420613269310026</v>
      </c>
      <c r="AB174" s="105">
        <f ca="1" t="shared" si="64"/>
        <v>0.392927709385947</v>
      </c>
      <c r="AC174" s="105">
        <f ca="1" t="shared" si="65"/>
        <v>0.127116351584724</v>
      </c>
      <c r="AD174" s="105">
        <f ca="1" t="shared" si="66"/>
        <v>0.767752715121136</v>
      </c>
      <c r="AE174" s="105">
        <f ca="1" t="shared" si="67"/>
        <v>0.19047619047619</v>
      </c>
      <c r="AF174" s="105">
        <f ca="1" t="shared" si="68"/>
        <v>0.0417710944026733</v>
      </c>
    </row>
    <row r="175" ht="16.5" spans="1:32">
      <c r="A175">
        <f ca="1" t="shared" si="46"/>
        <v>14364</v>
      </c>
      <c r="B175" s="2">
        <v>173</v>
      </c>
      <c r="C175" s="2">
        <f>_xlfn.XLOOKUP(练度预期!D175,装备养成!$B$3:$B$303,装备养成!$D$3:$D$303)*6</f>
        <v>11028</v>
      </c>
      <c r="D175" s="2" cm="1">
        <f ca="1" t="array" ref="D175">_xlfn.XLOOKUP(练度预期!E175&amp;"_"&amp;INT(练度预期!C175/10)*10+10,装备养成!$N$4:$N$219&amp;"_"&amp;装备养成!$K$4:$K$219,装备养成!$P$4:$P$219)*练度预期!F175+_xlfn.XLOOKUP(练度预期!E175-1&amp;"_"&amp;INT(练度预期!C175/10)*10+10,装备养成!$N$4:$N$219&amp;"_"&amp;装备养成!$K$4:$K$219,装备养成!$P$4:$P$219)*(6-练度预期!F175)</f>
        <v>2736</v>
      </c>
      <c r="E175" s="2">
        <f ca="1">练度预期!N175*4*练度预期!M175</f>
        <v>600</v>
      </c>
      <c r="F175" s="103">
        <f ca="1">INT(练度预期!D175/10)*0.02+1+_xlfn.XLOOKUP(练度预期!E175,装备养成!$U$3:$U$11,装备养成!$V$3:$V$11)*练度预期!F175+_xlfn.XLOOKUP(练度预期!E175-1,装备养成!$U$3:$U$11,装备养成!$V$3:$V$11)*(6-练度预期!F175)</f>
        <v>1.61488</v>
      </c>
      <c r="G175" s="48">
        <f ca="1">OFFSET(梦灵养成!$K$20,_xlfn.XLOOKUP(练度预期!H175,梦灵养成!$D$10:$D$28,梦灵养成!$H$10:$H$28),MATCH(OFFSET(梦灵养成!$C$33,B175,MATCH(练度预期!H175,梦灵养成!$D$33:$V$33,0)),梦灵养成!$L$20:$R$20,1))*(1+(OFFSET(梦灵养成!$C$33,B175,MATCH(练度预期!H175,梦灵养成!$D$33:$V$33,0))-1)*_xlfn.XLOOKUP(练度预期!H175,梦灵养成!$D$9:$D$28,梦灵养成!$G$9:$G$28))</f>
        <v>29.8725</v>
      </c>
      <c r="H175" s="46">
        <f ca="1">符文养成!AC176</f>
        <v>23.9302130669537</v>
      </c>
      <c r="I175" s="46">
        <f>MAX(_xlfn.XLOOKUP(练度预期!O175,秘宝养成!$B$3:$B$15,秘宝养成!$E$3:$E$15),1)</f>
        <v>2.7915904</v>
      </c>
      <c r="J175" s="104">
        <f ca="1" t="shared" si="47"/>
        <v>46289819.1219578</v>
      </c>
      <c r="K175" s="104">
        <f ca="1">MATCH(J175,关卡预期!$E$4:$E$303,1)</f>
        <v>176</v>
      </c>
      <c r="L175" s="48">
        <f ca="1" t="shared" si="48"/>
        <v>0.767752715121136</v>
      </c>
      <c r="M175" s="48">
        <f ca="1" t="shared" si="49"/>
        <v>0.19047619047619</v>
      </c>
      <c r="N175" s="48">
        <f ca="1" t="shared" si="50"/>
        <v>0.0417710944026733</v>
      </c>
      <c r="O175" s="48">
        <f ca="1" t="shared" si="51"/>
        <v>0.0593294730727227</v>
      </c>
      <c r="P175" s="48">
        <f ca="1" t="shared" si="52"/>
        <v>0.420519733163299</v>
      </c>
      <c r="Q175" s="48">
        <f ca="1" t="shared" si="53"/>
        <v>0.393062710364261</v>
      </c>
      <c r="R175" s="48">
        <f ca="1" t="shared" si="54"/>
        <v>0.127088083399717</v>
      </c>
      <c r="S175" s="46">
        <f ca="1" t="shared" si="55"/>
        <v>0.767752715121136</v>
      </c>
      <c r="T175" s="46">
        <f ca="1" t="shared" si="56"/>
        <v>0.19047619047619</v>
      </c>
      <c r="U175" s="46">
        <f ca="1" t="shared" si="57"/>
        <v>0.0417710944026732</v>
      </c>
      <c r="V175" s="48">
        <f ca="1" t="shared" si="58"/>
        <v>0.479260650508412</v>
      </c>
      <c r="W175" s="48">
        <f ca="1" t="shared" si="59"/>
        <v>3.39693832474177</v>
      </c>
      <c r="X175" s="48">
        <f ca="1" t="shared" si="60"/>
        <v>3.17514180563968</v>
      </c>
      <c r="Y175" s="48">
        <f t="shared" si="61"/>
        <v>1.02661146926685</v>
      </c>
      <c r="Z175" s="105">
        <f ca="1" t="shared" si="62"/>
        <v>0.0593294730727227</v>
      </c>
      <c r="AA175" s="105">
        <f ca="1" t="shared" si="63"/>
        <v>0.420519733163299</v>
      </c>
      <c r="AB175" s="105">
        <f ca="1" t="shared" si="64"/>
        <v>0.393062710364261</v>
      </c>
      <c r="AC175" s="105">
        <f ca="1" t="shared" si="65"/>
        <v>0.127088083399717</v>
      </c>
      <c r="AD175" s="105">
        <f ca="1" t="shared" si="66"/>
        <v>0.767752715121136</v>
      </c>
      <c r="AE175" s="105">
        <f ca="1" t="shared" si="67"/>
        <v>0.19047619047619</v>
      </c>
      <c r="AF175" s="105">
        <f ca="1" t="shared" si="68"/>
        <v>0.0417710944026733</v>
      </c>
    </row>
    <row r="176" ht="16.5" spans="1:32">
      <c r="A176">
        <f ca="1" t="shared" si="46"/>
        <v>14604</v>
      </c>
      <c r="B176" s="2">
        <v>174</v>
      </c>
      <c r="C176" s="2">
        <f>_xlfn.XLOOKUP(练度预期!D176,装备养成!$B$3:$B$303,装备养成!$D$3:$D$303)*6</f>
        <v>11268</v>
      </c>
      <c r="D176" s="2" cm="1">
        <f ca="1" t="array" ref="D176">_xlfn.XLOOKUP(练度预期!E176&amp;"_"&amp;INT(练度预期!C176/10)*10+10,装备养成!$N$4:$N$219&amp;"_"&amp;装备养成!$K$4:$K$219,装备养成!$P$4:$P$219)*练度预期!F176+_xlfn.XLOOKUP(练度预期!E176-1&amp;"_"&amp;INT(练度预期!C176/10)*10+10,装备养成!$N$4:$N$219&amp;"_"&amp;装备养成!$K$4:$K$219,装备养成!$P$4:$P$219)*(6-练度预期!F176)</f>
        <v>2736</v>
      </c>
      <c r="E176" s="2">
        <f ca="1">练度预期!N176*4*练度预期!M176</f>
        <v>600</v>
      </c>
      <c r="F176" s="103">
        <f ca="1">INT(练度预期!D176/10)*0.02+1+_xlfn.XLOOKUP(练度预期!E176,装备养成!$U$3:$U$11,装备养成!$V$3:$V$11)*练度预期!F176+_xlfn.XLOOKUP(练度预期!E176-1,装备养成!$U$3:$U$11,装备养成!$V$3:$V$11)*(6-练度预期!F176)</f>
        <v>1.61488</v>
      </c>
      <c r="G176" s="48">
        <f ca="1">OFFSET(梦灵养成!$K$20,_xlfn.XLOOKUP(练度预期!H176,梦灵养成!$D$10:$D$28,梦灵养成!$H$10:$H$28),MATCH(OFFSET(梦灵养成!$C$33,B176,MATCH(练度预期!H176,梦灵养成!$D$33:$V$33,0)),梦灵养成!$L$20:$R$20,1))*(1+(OFFSET(梦灵养成!$C$33,B176,MATCH(练度预期!H176,梦灵养成!$D$33:$V$33,0))-1)*_xlfn.XLOOKUP(练度预期!H176,梦灵养成!$D$9:$D$28,梦灵养成!$G$9:$G$28))</f>
        <v>29.8725</v>
      </c>
      <c r="H176" s="46">
        <f ca="1">符文养成!AC177</f>
        <v>23.9921478244614</v>
      </c>
      <c r="I176" s="46">
        <f>MAX(_xlfn.XLOOKUP(练度预期!O176,秘宝养成!$B$3:$B$15,秘宝养成!$E$3:$E$15),1)</f>
        <v>2.7915904</v>
      </c>
      <c r="J176" s="104">
        <f ca="1" t="shared" si="47"/>
        <v>47185055.9939576</v>
      </c>
      <c r="K176" s="104">
        <f ca="1">MATCH(J176,关卡预期!$E$4:$E$303,1)</f>
        <v>176</v>
      </c>
      <c r="L176" s="48">
        <f ca="1" t="shared" si="48"/>
        <v>0.771569433032046</v>
      </c>
      <c r="M176" s="48">
        <f ca="1" t="shared" si="49"/>
        <v>0.1873459326212</v>
      </c>
      <c r="N176" s="48">
        <f ca="1" t="shared" si="50"/>
        <v>0.0410846343467541</v>
      </c>
      <c r="O176" s="48">
        <f ca="1" t="shared" si="51"/>
        <v>0.0593104947975603</v>
      </c>
      <c r="P176" s="48">
        <f ca="1" t="shared" si="52"/>
        <v>0.420385217571067</v>
      </c>
      <c r="Q176" s="48">
        <f ca="1" t="shared" si="53"/>
        <v>0.393256857089193</v>
      </c>
      <c r="R176" s="48">
        <f ca="1" t="shared" si="54"/>
        <v>0.12704743054218</v>
      </c>
      <c r="S176" s="46">
        <f ca="1" t="shared" si="55"/>
        <v>0.771569433032046</v>
      </c>
      <c r="T176" s="46">
        <f ca="1" t="shared" si="56"/>
        <v>0.1873459326212</v>
      </c>
      <c r="U176" s="46">
        <f ca="1" t="shared" si="57"/>
        <v>0.0410846343467541</v>
      </c>
      <c r="V176" s="48">
        <f ca="1" t="shared" si="58"/>
        <v>0.479260650508412</v>
      </c>
      <c r="W176" s="48">
        <f ca="1" t="shared" si="59"/>
        <v>3.39693832474177</v>
      </c>
      <c r="X176" s="48">
        <f ca="1" t="shared" si="60"/>
        <v>3.17772660283409</v>
      </c>
      <c r="Y176" s="48">
        <f t="shared" si="61"/>
        <v>1.02661146926685</v>
      </c>
      <c r="Z176" s="105">
        <f ca="1" t="shared" si="62"/>
        <v>0.0593104947975603</v>
      </c>
      <c r="AA176" s="105">
        <f ca="1" t="shared" si="63"/>
        <v>0.420385217571068</v>
      </c>
      <c r="AB176" s="105">
        <f ca="1" t="shared" si="64"/>
        <v>0.393256857089193</v>
      </c>
      <c r="AC176" s="105">
        <f ca="1" t="shared" si="65"/>
        <v>0.12704743054218</v>
      </c>
      <c r="AD176" s="105">
        <f ca="1" t="shared" si="66"/>
        <v>0.771569433032046</v>
      </c>
      <c r="AE176" s="105">
        <f ca="1" t="shared" si="67"/>
        <v>0.1873459326212</v>
      </c>
      <c r="AF176" s="105">
        <f ca="1" t="shared" si="68"/>
        <v>0.0410846343467543</v>
      </c>
    </row>
    <row r="177" ht="16.5" spans="1:32">
      <c r="A177">
        <f ca="1" t="shared" si="46"/>
        <v>14604</v>
      </c>
      <c r="B177" s="2">
        <v>175</v>
      </c>
      <c r="C177" s="2">
        <f>_xlfn.XLOOKUP(练度预期!D177,装备养成!$B$3:$B$303,装备养成!$D$3:$D$303)*6</f>
        <v>11268</v>
      </c>
      <c r="D177" s="2" cm="1">
        <f ca="1" t="array" ref="D177">_xlfn.XLOOKUP(练度预期!E177&amp;"_"&amp;INT(练度预期!C177/10)*10+10,装备养成!$N$4:$N$219&amp;"_"&amp;装备养成!$K$4:$K$219,装备养成!$P$4:$P$219)*练度预期!F177+_xlfn.XLOOKUP(练度预期!E177-1&amp;"_"&amp;INT(练度预期!C177/10)*10+10,装备养成!$N$4:$N$219&amp;"_"&amp;装备养成!$K$4:$K$219,装备养成!$P$4:$P$219)*(6-练度预期!F177)</f>
        <v>2736</v>
      </c>
      <c r="E177" s="2">
        <f ca="1">练度预期!N177*4*练度预期!M177</f>
        <v>600</v>
      </c>
      <c r="F177" s="103">
        <f ca="1">INT(练度预期!D177/10)*0.02+1+_xlfn.XLOOKUP(练度预期!E177,装备养成!$U$3:$U$11,装备养成!$V$3:$V$11)*练度预期!F177+_xlfn.XLOOKUP(练度预期!E177-1,装备养成!$U$3:$U$11,装备养成!$V$3:$V$11)*(6-练度预期!F177)</f>
        <v>1.61488</v>
      </c>
      <c r="G177" s="48">
        <f ca="1">OFFSET(梦灵养成!$K$20,_xlfn.XLOOKUP(练度预期!H177,梦灵养成!$D$10:$D$28,梦灵养成!$H$10:$H$28),MATCH(OFFSET(梦灵养成!$C$33,B177,MATCH(练度预期!H177,梦灵养成!$D$33:$V$33,0)),梦灵养成!$L$20:$R$20,1))*(1+(OFFSET(梦灵养成!$C$33,B177,MATCH(练度预期!H177,梦灵养成!$D$33:$V$33,0))-1)*_xlfn.XLOOKUP(练度预期!H177,梦灵养成!$D$9:$D$28,梦灵养成!$G$9:$G$28))</f>
        <v>29.8725</v>
      </c>
      <c r="H177" s="46">
        <f ca="1">符文养成!AC178</f>
        <v>24.0352785647556</v>
      </c>
      <c r="I177" s="46">
        <f>MAX(_xlfn.XLOOKUP(练度预期!O177,秘宝养成!$B$3:$B$15,秘宝养成!$E$3:$E$15),1)</f>
        <v>2.7915904</v>
      </c>
      <c r="J177" s="104">
        <f ca="1" t="shared" si="47"/>
        <v>47269880.6795477</v>
      </c>
      <c r="K177" s="104">
        <f ca="1">MATCH(J177,关卡预期!$E$4:$E$303,1)</f>
        <v>176</v>
      </c>
      <c r="L177" s="48">
        <f ca="1" t="shared" si="48"/>
        <v>0.771569433032046</v>
      </c>
      <c r="M177" s="48">
        <f ca="1" t="shared" si="49"/>
        <v>0.1873459326212</v>
      </c>
      <c r="N177" s="48">
        <f ca="1" t="shared" si="50"/>
        <v>0.0410846343467545</v>
      </c>
      <c r="O177" s="48">
        <f ca="1" t="shared" si="51"/>
        <v>0.0592973145821006</v>
      </c>
      <c r="P177" s="48">
        <f ca="1" t="shared" si="52"/>
        <v>0.420291797886025</v>
      </c>
      <c r="Q177" s="48">
        <f ca="1" t="shared" si="53"/>
        <v>0.393391689978036</v>
      </c>
      <c r="R177" s="48">
        <f ca="1" t="shared" si="54"/>
        <v>0.127019197553838</v>
      </c>
      <c r="S177" s="46">
        <f ca="1" t="shared" si="55"/>
        <v>0.771569433032046</v>
      </c>
      <c r="T177" s="46">
        <f ca="1" t="shared" si="56"/>
        <v>0.1873459326212</v>
      </c>
      <c r="U177" s="46">
        <f ca="1" t="shared" si="57"/>
        <v>0.0410846343467545</v>
      </c>
      <c r="V177" s="48">
        <f ca="1" t="shared" si="58"/>
        <v>0.479260650508412</v>
      </c>
      <c r="W177" s="48">
        <f ca="1" t="shared" si="59"/>
        <v>3.39693832474177</v>
      </c>
      <c r="X177" s="48">
        <f ca="1" t="shared" si="60"/>
        <v>3.17952269124155</v>
      </c>
      <c r="Y177" s="48">
        <f t="shared" si="61"/>
        <v>1.02661146926685</v>
      </c>
      <c r="Z177" s="105">
        <f ca="1" t="shared" si="62"/>
        <v>0.0592973145821006</v>
      </c>
      <c r="AA177" s="105">
        <f ca="1" t="shared" si="63"/>
        <v>0.420291797886025</v>
      </c>
      <c r="AB177" s="105">
        <f ca="1" t="shared" si="64"/>
        <v>0.393391689978036</v>
      </c>
      <c r="AC177" s="105">
        <f ca="1" t="shared" si="65"/>
        <v>0.127019197553838</v>
      </c>
      <c r="AD177" s="105">
        <f ca="1" t="shared" si="66"/>
        <v>0.771569433032046</v>
      </c>
      <c r="AE177" s="105">
        <f ca="1" t="shared" si="67"/>
        <v>0.1873459326212</v>
      </c>
      <c r="AF177" s="105">
        <f ca="1" t="shared" si="68"/>
        <v>0.0410846343467543</v>
      </c>
    </row>
    <row r="178" ht="16.5" spans="1:32">
      <c r="A178">
        <f ca="1" t="shared" si="46"/>
        <v>14604</v>
      </c>
      <c r="B178" s="2">
        <v>176</v>
      </c>
      <c r="C178" s="2">
        <f>_xlfn.XLOOKUP(练度预期!D178,装备养成!$B$3:$B$303,装备养成!$D$3:$D$303)*6</f>
        <v>11268</v>
      </c>
      <c r="D178" s="2" cm="1">
        <f ca="1" t="array" ref="D178">_xlfn.XLOOKUP(练度预期!E178&amp;"_"&amp;INT(练度预期!C178/10)*10+10,装备养成!$N$4:$N$219&amp;"_"&amp;装备养成!$K$4:$K$219,装备养成!$P$4:$P$219)*练度预期!F178+_xlfn.XLOOKUP(练度预期!E178-1&amp;"_"&amp;INT(练度预期!C178/10)*10+10,装备养成!$N$4:$N$219&amp;"_"&amp;装备养成!$K$4:$K$219,装备养成!$P$4:$P$219)*(6-练度预期!F178)</f>
        <v>2736</v>
      </c>
      <c r="E178" s="2">
        <f ca="1">练度预期!N178*4*练度预期!M178</f>
        <v>600</v>
      </c>
      <c r="F178" s="103">
        <f ca="1">INT(练度预期!D178/10)*0.02+1+_xlfn.XLOOKUP(练度预期!E178,装备养成!$U$3:$U$11,装备养成!$V$3:$V$11)*练度预期!F178+_xlfn.XLOOKUP(练度预期!E178-1,装备养成!$U$3:$U$11,装备养成!$V$3:$V$11)*(6-练度预期!F178)</f>
        <v>1.61488</v>
      </c>
      <c r="G178" s="48">
        <f ca="1">OFFSET(梦灵养成!$K$20,_xlfn.XLOOKUP(练度预期!H178,梦灵养成!$D$10:$D$28,梦灵养成!$H$10:$H$28),MATCH(OFFSET(梦灵养成!$C$33,B178,MATCH(练度预期!H178,梦灵养成!$D$33:$V$33,0)),梦灵养成!$L$20:$R$20,1))*(1+(OFFSET(梦灵养成!$C$33,B178,MATCH(练度预期!H178,梦灵养成!$D$33:$V$33,0))-1)*_xlfn.XLOOKUP(练度预期!H178,梦灵养成!$D$9:$D$28,梦灵养成!$G$9:$G$28))</f>
        <v>29.8725</v>
      </c>
      <c r="H178" s="46">
        <f ca="1">符文养成!AC179</f>
        <v>24.0872332933447</v>
      </c>
      <c r="I178" s="46">
        <f>MAX(_xlfn.XLOOKUP(练度预期!O178,秘宝养成!$B$3:$B$15,秘宝养成!$E$3:$E$15),1)</f>
        <v>2.7915904</v>
      </c>
      <c r="J178" s="104">
        <f ca="1" t="shared" si="47"/>
        <v>47372059.3921649</v>
      </c>
      <c r="K178" s="104">
        <f ca="1">MATCH(J178,关卡预期!$E$4:$E$303,1)</f>
        <v>176</v>
      </c>
      <c r="L178" s="48">
        <f ca="1" t="shared" si="48"/>
        <v>0.771569433032046</v>
      </c>
      <c r="M178" s="48">
        <f ca="1" t="shared" si="49"/>
        <v>0.1873459326212</v>
      </c>
      <c r="N178" s="48">
        <f ca="1" t="shared" si="50"/>
        <v>0.0410846343467543</v>
      </c>
      <c r="O178" s="48">
        <f ca="1" t="shared" si="51"/>
        <v>0.0592814769873921</v>
      </c>
      <c r="P178" s="48">
        <f ca="1" t="shared" si="52"/>
        <v>0.420179543036018</v>
      </c>
      <c r="Q178" s="48">
        <f ca="1" t="shared" si="53"/>
        <v>0.393553707712375</v>
      </c>
      <c r="R178" s="48">
        <f ca="1" t="shared" si="54"/>
        <v>0.126985272264215</v>
      </c>
      <c r="S178" s="46">
        <f ca="1" t="shared" si="55"/>
        <v>0.771569433032046</v>
      </c>
      <c r="T178" s="46">
        <f ca="1" t="shared" si="56"/>
        <v>0.1873459326212</v>
      </c>
      <c r="U178" s="46">
        <f ca="1" t="shared" si="57"/>
        <v>0.0410846343467544</v>
      </c>
      <c r="V178" s="48">
        <f ca="1" t="shared" si="58"/>
        <v>0.479260650508412</v>
      </c>
      <c r="W178" s="48">
        <f ca="1" t="shared" si="59"/>
        <v>3.39693832474177</v>
      </c>
      <c r="X178" s="48">
        <f ca="1" t="shared" si="60"/>
        <v>3.18168196127004</v>
      </c>
      <c r="Y178" s="48">
        <f t="shared" si="61"/>
        <v>1.02661146926685</v>
      </c>
      <c r="Z178" s="105">
        <f ca="1" t="shared" si="62"/>
        <v>0.0592814769873921</v>
      </c>
      <c r="AA178" s="105">
        <f ca="1" t="shared" si="63"/>
        <v>0.420179543036018</v>
      </c>
      <c r="AB178" s="105">
        <f ca="1" t="shared" si="64"/>
        <v>0.393553707712375</v>
      </c>
      <c r="AC178" s="105">
        <f ca="1" t="shared" si="65"/>
        <v>0.126985272264215</v>
      </c>
      <c r="AD178" s="105">
        <f ca="1" t="shared" si="66"/>
        <v>0.771569433032046</v>
      </c>
      <c r="AE178" s="105">
        <f ca="1" t="shared" si="67"/>
        <v>0.1873459326212</v>
      </c>
      <c r="AF178" s="105">
        <f ca="1" t="shared" si="68"/>
        <v>0.0410846343467543</v>
      </c>
    </row>
    <row r="179" ht="16.5" spans="1:32">
      <c r="A179">
        <f ca="1" t="shared" si="46"/>
        <v>14844</v>
      </c>
      <c r="B179" s="2">
        <v>177</v>
      </c>
      <c r="C179" s="2">
        <f>_xlfn.XLOOKUP(练度预期!D179,装备养成!$B$3:$B$303,装备养成!$D$3:$D$303)*6</f>
        <v>11508</v>
      </c>
      <c r="D179" s="2" cm="1">
        <f ca="1" t="array" ref="D179">_xlfn.XLOOKUP(练度预期!E179&amp;"_"&amp;INT(练度预期!C179/10)*10+10,装备养成!$N$4:$N$219&amp;"_"&amp;装备养成!$K$4:$K$219,装备养成!$P$4:$P$219)*练度预期!F179+_xlfn.XLOOKUP(练度预期!E179-1&amp;"_"&amp;INT(练度预期!C179/10)*10+10,装备养成!$N$4:$N$219&amp;"_"&amp;装备养成!$K$4:$K$219,装备养成!$P$4:$P$219)*(6-练度预期!F179)</f>
        <v>2736</v>
      </c>
      <c r="E179" s="2">
        <f ca="1">练度预期!N179*4*练度预期!M179</f>
        <v>600</v>
      </c>
      <c r="F179" s="103">
        <f ca="1">INT(练度预期!D179/10)*0.02+1+_xlfn.XLOOKUP(练度预期!E179,装备养成!$U$3:$U$11,装备养成!$V$3:$V$11)*练度预期!F179+_xlfn.XLOOKUP(练度预期!E179-1,装备养成!$U$3:$U$11,装备养成!$V$3:$V$11)*(6-练度预期!F179)</f>
        <v>1.61488</v>
      </c>
      <c r="G179" s="48">
        <f ca="1">OFFSET(梦灵养成!$K$20,_xlfn.XLOOKUP(练度预期!H179,梦灵养成!$D$10:$D$28,梦灵养成!$H$10:$H$28),MATCH(OFFSET(梦灵养成!$C$33,B179,MATCH(练度预期!H179,梦灵养成!$D$33:$V$33,0)),梦灵养成!$L$20:$R$20,1))*(1+(OFFSET(梦灵养成!$C$33,B179,MATCH(练度预期!H179,梦灵养成!$D$33:$V$33,0))-1)*_xlfn.XLOOKUP(练度预期!H179,梦灵养成!$D$9:$D$28,梦灵养成!$G$9:$G$28))</f>
        <v>29.8725</v>
      </c>
      <c r="H179" s="46">
        <f ca="1">符文养成!AC180</f>
        <v>24.1254004072219</v>
      </c>
      <c r="I179" s="46">
        <f>MAX(_xlfn.XLOOKUP(练度预期!O179,秘宝养成!$B$3:$B$15,秘宝养成!$E$3:$E$15),1)</f>
        <v>2.7915904</v>
      </c>
      <c r="J179" s="104">
        <f ca="1" t="shared" si="47"/>
        <v>48226861.2421431</v>
      </c>
      <c r="K179" s="104">
        <f ca="1">MATCH(J179,关卡预期!$E$4:$E$303,1)</f>
        <v>177</v>
      </c>
      <c r="L179" s="48">
        <f ca="1" t="shared" si="48"/>
        <v>0.775262732417138</v>
      </c>
      <c r="M179" s="48">
        <f ca="1" t="shared" si="49"/>
        <v>0.184316895715441</v>
      </c>
      <c r="N179" s="48">
        <f ca="1" t="shared" si="50"/>
        <v>0.0404203718674213</v>
      </c>
      <c r="O179" s="48">
        <f ca="1" t="shared" si="51"/>
        <v>0.0592698694587459</v>
      </c>
      <c r="P179" s="48">
        <f ca="1" t="shared" si="52"/>
        <v>0.420097270354395</v>
      </c>
      <c r="Q179" s="48">
        <f ca="1" t="shared" si="53"/>
        <v>0.393672452100467</v>
      </c>
      <c r="R179" s="48">
        <f ca="1" t="shared" si="54"/>
        <v>0.126960408086392</v>
      </c>
      <c r="S179" s="46">
        <f ca="1" t="shared" si="55"/>
        <v>0.775262732417138</v>
      </c>
      <c r="T179" s="46">
        <f ca="1" t="shared" si="56"/>
        <v>0.184316895715441</v>
      </c>
      <c r="U179" s="46">
        <f ca="1" t="shared" si="57"/>
        <v>0.0404203718674213</v>
      </c>
      <c r="V179" s="48">
        <f ca="1" t="shared" si="58"/>
        <v>0.479260650508412</v>
      </c>
      <c r="W179" s="48">
        <f ca="1" t="shared" si="59"/>
        <v>3.39693832474177</v>
      </c>
      <c r="X179" s="48">
        <f ca="1" t="shared" si="60"/>
        <v>3.18326524427786</v>
      </c>
      <c r="Y179" s="48">
        <f t="shared" si="61"/>
        <v>1.02661146926685</v>
      </c>
      <c r="Z179" s="105">
        <f ca="1" t="shared" si="62"/>
        <v>0.0592698694587459</v>
      </c>
      <c r="AA179" s="105">
        <f ca="1" t="shared" si="63"/>
        <v>0.420097270354395</v>
      </c>
      <c r="AB179" s="105">
        <f ca="1" t="shared" si="64"/>
        <v>0.393672452100467</v>
      </c>
      <c r="AC179" s="105">
        <f ca="1" t="shared" si="65"/>
        <v>0.126960408086392</v>
      </c>
      <c r="AD179" s="105">
        <f ca="1" t="shared" si="66"/>
        <v>0.775262732417138</v>
      </c>
      <c r="AE179" s="105">
        <f ca="1" t="shared" si="67"/>
        <v>0.184316895715441</v>
      </c>
      <c r="AF179" s="105">
        <f ca="1" t="shared" si="68"/>
        <v>0.0404203718674212</v>
      </c>
    </row>
    <row r="180" ht="16.5" spans="1:32">
      <c r="A180">
        <f ca="1" t="shared" si="46"/>
        <v>15252</v>
      </c>
      <c r="B180" s="2">
        <v>178</v>
      </c>
      <c r="C180" s="2">
        <f>_xlfn.XLOOKUP(练度预期!D180,装备养成!$B$3:$B$303,装备养成!$D$3:$D$303)*6</f>
        <v>11508</v>
      </c>
      <c r="D180" s="2" cm="1">
        <f ca="1" t="array" ref="D180">_xlfn.XLOOKUP(练度预期!E180&amp;"_"&amp;INT(练度预期!C180/10)*10+10,装备养成!$N$4:$N$219&amp;"_"&amp;装备养成!$K$4:$K$219,装备养成!$P$4:$P$219)*练度预期!F180+_xlfn.XLOOKUP(练度预期!E180-1&amp;"_"&amp;INT(练度预期!C180/10)*10+10,装备养成!$N$4:$N$219&amp;"_"&amp;装备养成!$K$4:$K$219,装备养成!$P$4:$P$219)*(6-练度预期!F180)</f>
        <v>3144</v>
      </c>
      <c r="E180" s="2">
        <f ca="1">练度预期!N180*4*练度预期!M180</f>
        <v>600</v>
      </c>
      <c r="F180" s="103">
        <f ca="1">INT(练度预期!D180/10)*0.02+1+_xlfn.XLOOKUP(练度预期!E180,装备养成!$U$3:$U$11,装备养成!$V$3:$V$11)*练度预期!F180+_xlfn.XLOOKUP(练度预期!E180-1,装备养成!$U$3:$U$11,装备养成!$V$3:$V$11)*(6-练度预期!F180)</f>
        <v>1.61488</v>
      </c>
      <c r="G180" s="48">
        <f ca="1">OFFSET(梦灵养成!$K$20,_xlfn.XLOOKUP(练度预期!H180,梦灵养成!$D$10:$D$28,梦灵养成!$H$10:$H$28),MATCH(OFFSET(梦灵养成!$C$33,B180,MATCH(练度预期!H180,梦灵养成!$D$33:$V$33,0)),梦灵养成!$L$20:$R$20,1))*(1+(OFFSET(梦灵养成!$C$33,B180,MATCH(练度预期!H180,梦灵养成!$D$33:$V$33,0))-1)*_xlfn.XLOOKUP(练度预期!H180,梦灵养成!$D$9:$D$28,梦灵养成!$G$9:$G$28))</f>
        <v>29.8725</v>
      </c>
      <c r="H180" s="46">
        <f ca="1">符文养成!AC181</f>
        <v>24.1775427280957</v>
      </c>
      <c r="I180" s="46">
        <f>MAX(_xlfn.XLOOKUP(练度预期!O180,秘宝养成!$B$3:$B$15,秘宝养成!$E$3:$E$15),1)</f>
        <v>2.7915904</v>
      </c>
      <c r="J180" s="104">
        <f ca="1" t="shared" si="47"/>
        <v>49659515.4858596</v>
      </c>
      <c r="K180" s="104">
        <f ca="1">MATCH(J180,关卡预期!$E$4:$E$303,1)</f>
        <v>177</v>
      </c>
      <c r="L180" s="48">
        <f ca="1" t="shared" si="48"/>
        <v>0.754523996852872</v>
      </c>
      <c r="M180" s="48">
        <f ca="1" t="shared" si="49"/>
        <v>0.206136900078678</v>
      </c>
      <c r="N180" s="48">
        <f ca="1" t="shared" si="50"/>
        <v>0.0393391030684501</v>
      </c>
      <c r="O180" s="48">
        <f ca="1" t="shared" si="51"/>
        <v>0.0592540487055086</v>
      </c>
      <c r="P180" s="48">
        <f ca="1" t="shared" si="52"/>
        <v>0.419985134874587</v>
      </c>
      <c r="Q180" s="48">
        <f ca="1" t="shared" si="53"/>
        <v>0.39383429754747</v>
      </c>
      <c r="R180" s="48">
        <f ca="1" t="shared" si="54"/>
        <v>0.126926518872435</v>
      </c>
      <c r="S180" s="46">
        <f ca="1" t="shared" si="55"/>
        <v>0.754523996852872</v>
      </c>
      <c r="T180" s="46">
        <f ca="1" t="shared" si="56"/>
        <v>0.206136900078678</v>
      </c>
      <c r="U180" s="46">
        <f ca="1" t="shared" si="57"/>
        <v>0.0393391030684501</v>
      </c>
      <c r="V180" s="48">
        <f ca="1" t="shared" si="58"/>
        <v>0.479260650508412</v>
      </c>
      <c r="W180" s="48">
        <f ca="1" t="shared" si="59"/>
        <v>3.39693832474177</v>
      </c>
      <c r="X180" s="48">
        <f ca="1" t="shared" si="60"/>
        <v>3.18542421587433</v>
      </c>
      <c r="Y180" s="48">
        <f t="shared" si="61"/>
        <v>1.02661146926685</v>
      </c>
      <c r="Z180" s="105">
        <f ca="1" t="shared" si="62"/>
        <v>0.0592540487055086</v>
      </c>
      <c r="AA180" s="105">
        <f ca="1" t="shared" si="63"/>
        <v>0.419985134874587</v>
      </c>
      <c r="AB180" s="105">
        <f ca="1" t="shared" si="64"/>
        <v>0.39383429754747</v>
      </c>
      <c r="AC180" s="105">
        <f ca="1" t="shared" si="65"/>
        <v>0.126926518872435</v>
      </c>
      <c r="AD180" s="105">
        <f ca="1" t="shared" si="66"/>
        <v>0.754523996852872</v>
      </c>
      <c r="AE180" s="105">
        <f ca="1" t="shared" si="67"/>
        <v>0.206136900078678</v>
      </c>
      <c r="AF180" s="105">
        <f ca="1" t="shared" si="68"/>
        <v>0.03933910306845</v>
      </c>
    </row>
    <row r="181" ht="16.5" spans="1:32">
      <c r="A181">
        <f ca="1" t="shared" si="46"/>
        <v>15252</v>
      </c>
      <c r="B181" s="2">
        <v>179</v>
      </c>
      <c r="C181" s="2">
        <f>_xlfn.XLOOKUP(练度预期!D181,装备养成!$B$3:$B$303,装备养成!$D$3:$D$303)*6</f>
        <v>11508</v>
      </c>
      <c r="D181" s="2" cm="1">
        <f ca="1" t="array" ref="D181">_xlfn.XLOOKUP(练度预期!E181&amp;"_"&amp;INT(练度预期!C181/10)*10+10,装备养成!$N$4:$N$219&amp;"_"&amp;装备养成!$K$4:$K$219,装备养成!$P$4:$P$219)*练度预期!F181+_xlfn.XLOOKUP(练度预期!E181-1&amp;"_"&amp;INT(练度预期!C181/10)*10+10,装备养成!$N$4:$N$219&amp;"_"&amp;装备养成!$K$4:$K$219,装备养成!$P$4:$P$219)*(6-练度预期!F181)</f>
        <v>3144</v>
      </c>
      <c r="E181" s="2">
        <f ca="1">练度预期!N181*4*练度预期!M181</f>
        <v>600</v>
      </c>
      <c r="F181" s="103">
        <f ca="1">INT(练度预期!D181/10)*0.02+1+_xlfn.XLOOKUP(练度预期!E181,装备养成!$U$3:$U$11,装备养成!$V$3:$V$11)*练度预期!F181+_xlfn.XLOOKUP(练度预期!E181-1,装备养成!$U$3:$U$11,装备养成!$V$3:$V$11)*(6-练度预期!F181)</f>
        <v>1.61488</v>
      </c>
      <c r="G181" s="48">
        <f ca="1">OFFSET(梦灵养成!$K$20,_xlfn.XLOOKUP(练度预期!H181,梦灵养成!$D$10:$D$28,梦灵养成!$H$10:$H$28),MATCH(OFFSET(梦灵养成!$C$33,B181,MATCH(练度预期!H181,梦灵养成!$D$33:$V$33,0)),梦灵养成!$L$20:$R$20,1))*(1+(OFFSET(梦灵养成!$C$33,B181,MATCH(练度预期!H181,梦灵养成!$D$33:$V$33,0))-1)*_xlfn.XLOOKUP(练度预期!H181,梦灵养成!$D$9:$D$28,梦灵养成!$G$9:$G$28))</f>
        <v>29.8725</v>
      </c>
      <c r="H181" s="46">
        <f ca="1">符文养成!AC182</f>
        <v>24.2209943875683</v>
      </c>
      <c r="I181" s="46">
        <f>MAX(_xlfn.XLOOKUP(练度预期!O181,秘宝养成!$B$3:$B$15,秘宝养成!$E$3:$E$15),1)</f>
        <v>2.7915904</v>
      </c>
      <c r="J181" s="104">
        <f ca="1" t="shared" si="47"/>
        <v>49748763.1145674</v>
      </c>
      <c r="K181" s="104">
        <f ca="1">MATCH(J181,关卡预期!$E$4:$E$303,1)</f>
        <v>177</v>
      </c>
      <c r="L181" s="48">
        <f ca="1" t="shared" si="48"/>
        <v>0.754523996852872</v>
      </c>
      <c r="M181" s="48">
        <f ca="1" t="shared" si="49"/>
        <v>0.206136900078678</v>
      </c>
      <c r="N181" s="48">
        <f ca="1" t="shared" si="50"/>
        <v>0.0393391030684499</v>
      </c>
      <c r="O181" s="48">
        <f ca="1" t="shared" si="51"/>
        <v>0.0592408973011796</v>
      </c>
      <c r="P181" s="48">
        <f ca="1" t="shared" si="52"/>
        <v>0.419891919399163</v>
      </c>
      <c r="Q181" s="48">
        <f ca="1" t="shared" si="53"/>
        <v>0.393968835700008</v>
      </c>
      <c r="R181" s="48">
        <f ca="1" t="shared" si="54"/>
        <v>0.126898347599649</v>
      </c>
      <c r="S181" s="46">
        <f ca="1" t="shared" si="55"/>
        <v>0.754523996852872</v>
      </c>
      <c r="T181" s="46">
        <f ca="1" t="shared" si="56"/>
        <v>0.206136900078678</v>
      </c>
      <c r="U181" s="46">
        <f ca="1" t="shared" si="57"/>
        <v>0.0393391030684499</v>
      </c>
      <c r="V181" s="48">
        <f ca="1" t="shared" si="58"/>
        <v>0.479260650508412</v>
      </c>
      <c r="W181" s="48">
        <f ca="1" t="shared" si="59"/>
        <v>3.39693832474177</v>
      </c>
      <c r="X181" s="48">
        <f ca="1" t="shared" si="60"/>
        <v>3.18721979374657</v>
      </c>
      <c r="Y181" s="48">
        <f t="shared" si="61"/>
        <v>1.02661146926685</v>
      </c>
      <c r="Z181" s="105">
        <f ca="1" t="shared" si="62"/>
        <v>0.0592408973011796</v>
      </c>
      <c r="AA181" s="105">
        <f ca="1" t="shared" si="63"/>
        <v>0.419891919399163</v>
      </c>
      <c r="AB181" s="105">
        <f ca="1" t="shared" si="64"/>
        <v>0.393968835700008</v>
      </c>
      <c r="AC181" s="105">
        <f ca="1" t="shared" si="65"/>
        <v>0.126898347599649</v>
      </c>
      <c r="AD181" s="105">
        <f ca="1" t="shared" si="66"/>
        <v>0.754523996852872</v>
      </c>
      <c r="AE181" s="105">
        <f ca="1" t="shared" si="67"/>
        <v>0.206136900078678</v>
      </c>
      <c r="AF181" s="105">
        <f ca="1" t="shared" si="68"/>
        <v>0.03933910306845</v>
      </c>
    </row>
    <row r="182" ht="16.5" spans="1:32">
      <c r="A182">
        <f ca="1" t="shared" si="46"/>
        <v>15252</v>
      </c>
      <c r="B182" s="2">
        <v>180</v>
      </c>
      <c r="C182" s="2">
        <f>_xlfn.XLOOKUP(练度预期!D182,装备养成!$B$3:$B$303,装备养成!$D$3:$D$303)*6</f>
        <v>11508</v>
      </c>
      <c r="D182" s="2" cm="1">
        <f ca="1" t="array" ref="D182">_xlfn.XLOOKUP(练度预期!E182&amp;"_"&amp;INT(练度预期!C182/10)*10+10,装备养成!$N$4:$N$219&amp;"_"&amp;装备养成!$K$4:$K$219,装备养成!$P$4:$P$219)*练度预期!F182+_xlfn.XLOOKUP(练度预期!E182-1&amp;"_"&amp;INT(练度预期!C182/10)*10+10,装备养成!$N$4:$N$219&amp;"_"&amp;装备养成!$K$4:$K$219,装备养成!$P$4:$P$219)*(6-练度预期!F182)</f>
        <v>3144</v>
      </c>
      <c r="E182" s="2">
        <f ca="1">练度预期!N182*4*练度预期!M182</f>
        <v>600</v>
      </c>
      <c r="F182" s="103">
        <f ca="1">INT(练度预期!D182/10)*0.02+1+_xlfn.XLOOKUP(练度预期!E182,装备养成!$U$3:$U$11,装备养成!$V$3:$V$11)*练度预期!F182+_xlfn.XLOOKUP(练度预期!E182-1,装备养成!$U$3:$U$11,装备养成!$V$3:$V$11)*(6-练度预期!F182)</f>
        <v>1.61488</v>
      </c>
      <c r="G182" s="48">
        <f ca="1">OFFSET(梦灵养成!$K$20,_xlfn.XLOOKUP(练度预期!H182,梦灵养成!$D$10:$D$28,梦灵养成!$H$10:$H$28),MATCH(OFFSET(梦灵养成!$C$33,B182,MATCH(练度预期!H182,梦灵养成!$D$33:$V$33,0)),梦灵养成!$L$20:$R$20,1))*(1+(OFFSET(梦灵养成!$C$33,B182,MATCH(练度预期!H182,梦灵养成!$D$33:$V$33,0))-1)*_xlfn.XLOOKUP(练度预期!H182,梦灵养成!$D$9:$D$28,梦灵养成!$G$9:$G$28))</f>
        <v>29.8725</v>
      </c>
      <c r="H182" s="46">
        <f ca="1">符文养成!AC183</f>
        <v>24.272414596981</v>
      </c>
      <c r="I182" s="46">
        <f>MAX(_xlfn.XLOOKUP(练度预期!O182,秘宝养成!$B$3:$B$15,秘宝养成!$E$3:$E$15),1)</f>
        <v>2.7915904</v>
      </c>
      <c r="J182" s="104">
        <f ca="1" t="shared" si="47"/>
        <v>49854377.7634312</v>
      </c>
      <c r="K182" s="104">
        <f ca="1">MATCH(J182,关卡预期!$E$4:$E$303,1)</f>
        <v>177</v>
      </c>
      <c r="L182" s="48">
        <f ca="1" t="shared" si="48"/>
        <v>0.754523996852872</v>
      </c>
      <c r="M182" s="48">
        <f ca="1" t="shared" si="49"/>
        <v>0.206136900078678</v>
      </c>
      <c r="N182" s="48">
        <f ca="1" t="shared" si="50"/>
        <v>0.0393391030684501</v>
      </c>
      <c r="O182" s="48">
        <f ca="1" t="shared" si="51"/>
        <v>0.0592253720392166</v>
      </c>
      <c r="P182" s="48">
        <f ca="1" t="shared" si="52"/>
        <v>0.419781878323794</v>
      </c>
      <c r="Q182" s="48">
        <f ca="1" t="shared" si="53"/>
        <v>0.394127658287312</v>
      </c>
      <c r="R182" s="48">
        <f ca="1" t="shared" si="54"/>
        <v>0.126865091349678</v>
      </c>
      <c r="S182" s="46">
        <f ca="1" t="shared" si="55"/>
        <v>0.754523996852872</v>
      </c>
      <c r="T182" s="46">
        <f ca="1" t="shared" si="56"/>
        <v>0.206136900078678</v>
      </c>
      <c r="U182" s="46">
        <f ca="1" t="shared" si="57"/>
        <v>0.0393391030684501</v>
      </c>
      <c r="V182" s="48">
        <f ca="1" t="shared" si="58"/>
        <v>0.479260650508412</v>
      </c>
      <c r="W182" s="48">
        <f ca="1" t="shared" si="59"/>
        <v>3.39693832474177</v>
      </c>
      <c r="X182" s="48">
        <f ca="1" t="shared" si="60"/>
        <v>3.18934050374659</v>
      </c>
      <c r="Y182" s="48">
        <f t="shared" si="61"/>
        <v>1.02661146926685</v>
      </c>
      <c r="Z182" s="105">
        <f ca="1" t="shared" si="62"/>
        <v>0.0592253720392166</v>
      </c>
      <c r="AA182" s="105">
        <f ca="1" t="shared" si="63"/>
        <v>0.419781878323794</v>
      </c>
      <c r="AB182" s="105">
        <f ca="1" t="shared" si="64"/>
        <v>0.394127658287311</v>
      </c>
      <c r="AC182" s="105">
        <f ca="1" t="shared" si="65"/>
        <v>0.126865091349678</v>
      </c>
      <c r="AD182" s="105">
        <f ca="1" t="shared" si="66"/>
        <v>0.754523996852872</v>
      </c>
      <c r="AE182" s="105">
        <f ca="1" t="shared" si="67"/>
        <v>0.206136900078678</v>
      </c>
      <c r="AF182" s="105">
        <f ca="1" t="shared" si="68"/>
        <v>0.03933910306845</v>
      </c>
    </row>
    <row r="183" ht="16.5" spans="1:32">
      <c r="A183">
        <f ca="1" t="shared" si="46"/>
        <v>15492</v>
      </c>
      <c r="B183" s="2">
        <v>181</v>
      </c>
      <c r="C183" s="2">
        <f>_xlfn.XLOOKUP(练度预期!D183,装备养成!$B$3:$B$303,装备养成!$D$3:$D$303)*6</f>
        <v>11748</v>
      </c>
      <c r="D183" s="2" cm="1">
        <f ca="1" t="array" ref="D183">_xlfn.XLOOKUP(练度预期!E183&amp;"_"&amp;INT(练度预期!C183/10)*10+10,装备养成!$N$4:$N$219&amp;"_"&amp;装备养成!$K$4:$K$219,装备养成!$P$4:$P$219)*练度预期!F183+_xlfn.XLOOKUP(练度预期!E183-1&amp;"_"&amp;INT(练度预期!C183/10)*10+10,装备养成!$N$4:$N$219&amp;"_"&amp;装备养成!$K$4:$K$219,装备养成!$P$4:$P$219)*(6-练度预期!F183)</f>
        <v>3144</v>
      </c>
      <c r="E183" s="2">
        <f ca="1">练度预期!N183*4*练度预期!M183</f>
        <v>600</v>
      </c>
      <c r="F183" s="103">
        <f ca="1">INT(练度预期!D183/10)*0.02+1+_xlfn.XLOOKUP(练度预期!E183,装备养成!$U$3:$U$11,装备养成!$V$3:$V$11)*练度预期!F183+_xlfn.XLOOKUP(练度预期!E183-1,装备养成!$U$3:$U$11,装备养成!$V$3:$V$11)*(6-练度预期!F183)</f>
        <v>1.61488</v>
      </c>
      <c r="G183" s="48">
        <f ca="1">OFFSET(梦灵养成!$K$20,_xlfn.XLOOKUP(练度预期!H183,梦灵养成!$D$10:$D$28,梦灵养成!$H$10:$H$28),MATCH(OFFSET(梦灵养成!$C$33,B183,MATCH(练度预期!H183,梦灵养成!$D$33:$V$33,0)),梦灵养成!$L$20:$R$20,1))*(1+(OFFSET(梦灵养成!$C$33,B183,MATCH(练度预期!H183,梦灵养成!$D$33:$V$33,0))-1)*_xlfn.XLOOKUP(练度预期!H183,梦灵养成!$D$9:$D$28,梦灵养成!$G$9:$G$28))</f>
        <v>29.8725</v>
      </c>
      <c r="H183" s="46">
        <f ca="1">符文养成!AC184</f>
        <v>24.316953073976</v>
      </c>
      <c r="I183" s="46">
        <f>MAX(_xlfn.XLOOKUP(练度预期!O183,秘宝养成!$B$3:$B$15,秘宝养成!$E$3:$E$15),1)</f>
        <v>2.7915904</v>
      </c>
      <c r="J183" s="104">
        <f ca="1" t="shared" si="47"/>
        <v>50731787.7602923</v>
      </c>
      <c r="K183" s="104">
        <f ca="1">MATCH(J183,关卡预期!$E$4:$E$303,1)</f>
        <v>178</v>
      </c>
      <c r="L183" s="48">
        <f ca="1" t="shared" si="48"/>
        <v>0.758326878388846</v>
      </c>
      <c r="M183" s="48">
        <f ca="1" t="shared" si="49"/>
        <v>0.20294345468629</v>
      </c>
      <c r="N183" s="48">
        <f ca="1" t="shared" si="50"/>
        <v>0.0387296669248644</v>
      </c>
      <c r="O183" s="48">
        <f ca="1" t="shared" si="51"/>
        <v>0.0592119576878771</v>
      </c>
      <c r="P183" s="48">
        <f ca="1" t="shared" si="52"/>
        <v>0.419686799113518</v>
      </c>
      <c r="Q183" s="48">
        <f ca="1" t="shared" si="53"/>
        <v>0.394264886373497</v>
      </c>
      <c r="R183" s="48">
        <f ca="1" t="shared" si="54"/>
        <v>0.126836356825107</v>
      </c>
      <c r="S183" s="46">
        <f ca="1" t="shared" si="55"/>
        <v>0.758326878388846</v>
      </c>
      <c r="T183" s="46">
        <f ca="1" t="shared" si="56"/>
        <v>0.20294345468629</v>
      </c>
      <c r="U183" s="46">
        <f ca="1" t="shared" si="57"/>
        <v>0.0387296669248643</v>
      </c>
      <c r="V183" s="48">
        <f ca="1" t="shared" si="58"/>
        <v>0.479260650508412</v>
      </c>
      <c r="W183" s="48">
        <f ca="1" t="shared" si="59"/>
        <v>3.39693832474177</v>
      </c>
      <c r="X183" s="48">
        <f ca="1" t="shared" si="60"/>
        <v>3.191173764462</v>
      </c>
      <c r="Y183" s="48">
        <f t="shared" si="61"/>
        <v>1.02661146926685</v>
      </c>
      <c r="Z183" s="105">
        <f ca="1" t="shared" si="62"/>
        <v>0.0592119576878771</v>
      </c>
      <c r="AA183" s="105">
        <f ca="1" t="shared" si="63"/>
        <v>0.419686799113518</v>
      </c>
      <c r="AB183" s="105">
        <f ca="1" t="shared" si="64"/>
        <v>0.394264886373497</v>
      </c>
      <c r="AC183" s="105">
        <f ca="1" t="shared" si="65"/>
        <v>0.126836356825107</v>
      </c>
      <c r="AD183" s="105">
        <f ca="1" t="shared" si="66"/>
        <v>0.758326878388846</v>
      </c>
      <c r="AE183" s="105">
        <f ca="1" t="shared" si="67"/>
        <v>0.20294345468629</v>
      </c>
      <c r="AF183" s="105">
        <f ca="1" t="shared" si="68"/>
        <v>0.0387296669248644</v>
      </c>
    </row>
    <row r="184" ht="16.5" spans="1:32">
      <c r="A184">
        <f ca="1" t="shared" si="46"/>
        <v>15492</v>
      </c>
      <c r="B184" s="2">
        <v>182</v>
      </c>
      <c r="C184" s="2">
        <f>_xlfn.XLOOKUP(练度预期!D184,装备养成!$B$3:$B$303,装备养成!$D$3:$D$303)*6</f>
        <v>11748</v>
      </c>
      <c r="D184" s="2" cm="1">
        <f ca="1" t="array" ref="D184">_xlfn.XLOOKUP(练度预期!E184&amp;"_"&amp;INT(练度预期!C184/10)*10+10,装备养成!$N$4:$N$219&amp;"_"&amp;装备养成!$K$4:$K$219,装备养成!$P$4:$P$219)*练度预期!F184+_xlfn.XLOOKUP(练度预期!E184-1&amp;"_"&amp;INT(练度预期!C184/10)*10+10,装备养成!$N$4:$N$219&amp;"_"&amp;装备养成!$K$4:$K$219,装备养成!$P$4:$P$219)*(6-练度预期!F184)</f>
        <v>3144</v>
      </c>
      <c r="E184" s="2">
        <f ca="1">练度预期!N184*4*练度预期!M184</f>
        <v>600</v>
      </c>
      <c r="F184" s="103">
        <f ca="1">INT(练度预期!D184/10)*0.02+1+_xlfn.XLOOKUP(练度预期!E184,装备养成!$U$3:$U$11,装备养成!$V$3:$V$11)*练度预期!F184+_xlfn.XLOOKUP(练度预期!E184-1,装备养成!$U$3:$U$11,装备养成!$V$3:$V$11)*(6-练度预期!F184)</f>
        <v>1.61488</v>
      </c>
      <c r="G184" s="48">
        <f ca="1">OFFSET(梦灵养成!$K$20,_xlfn.XLOOKUP(练度预期!H184,梦灵养成!$D$10:$D$28,梦灵养成!$H$10:$H$28),MATCH(OFFSET(梦灵养成!$C$33,B184,MATCH(练度预期!H184,梦灵养成!$D$33:$V$33,0)),梦灵养成!$L$20:$R$20,1))*(1+(OFFSET(梦灵养成!$C$33,B184,MATCH(练度预期!H184,梦灵养成!$D$33:$V$33,0))-1)*_xlfn.XLOOKUP(练度预期!H184,梦灵养成!$D$9:$D$28,梦灵养成!$G$9:$G$28))</f>
        <v>29.8725</v>
      </c>
      <c r="H184" s="46">
        <f ca="1">符文养成!AC185</f>
        <v>24.3685694269328</v>
      </c>
      <c r="I184" s="46">
        <f>MAX(_xlfn.XLOOKUP(练度预期!O184,秘宝养成!$B$3:$B$15,秘宝养成!$E$3:$E$15),1)</f>
        <v>2.7915904</v>
      </c>
      <c r="J184" s="104">
        <f ca="1" t="shared" si="47"/>
        <v>50839473.532239</v>
      </c>
      <c r="K184" s="104">
        <f ca="1">MATCH(J184,关卡预期!$E$4:$E$303,1)</f>
        <v>178</v>
      </c>
      <c r="L184" s="48">
        <f ca="1" t="shared" si="48"/>
        <v>0.758326878388846</v>
      </c>
      <c r="M184" s="48">
        <f ca="1" t="shared" si="49"/>
        <v>0.20294345468629</v>
      </c>
      <c r="N184" s="48">
        <f ca="1" t="shared" si="50"/>
        <v>0.0387296669248644</v>
      </c>
      <c r="O184" s="48">
        <f ca="1" t="shared" si="51"/>
        <v>0.0591964498608702</v>
      </c>
      <c r="P184" s="48">
        <f ca="1" t="shared" si="52"/>
        <v>0.419576881614893</v>
      </c>
      <c r="Q184" s="48">
        <f ca="1" t="shared" si="53"/>
        <v>0.394423530602145</v>
      </c>
      <c r="R184" s="48">
        <f ca="1" t="shared" si="54"/>
        <v>0.126803137922091</v>
      </c>
      <c r="S184" s="46">
        <f ca="1" t="shared" si="55"/>
        <v>0.758326878388846</v>
      </c>
      <c r="T184" s="46">
        <f ca="1" t="shared" si="56"/>
        <v>0.20294345468629</v>
      </c>
      <c r="U184" s="46">
        <f ca="1" t="shared" si="57"/>
        <v>0.0387296669248643</v>
      </c>
      <c r="V184" s="48">
        <f ca="1" t="shared" si="58"/>
        <v>0.479260650508412</v>
      </c>
      <c r="W184" s="48">
        <f ca="1" t="shared" si="59"/>
        <v>3.39693832474177</v>
      </c>
      <c r="X184" s="48">
        <f ca="1" t="shared" si="60"/>
        <v>3.19329416369547</v>
      </c>
      <c r="Y184" s="48">
        <f t="shared" si="61"/>
        <v>1.02661146926685</v>
      </c>
      <c r="Z184" s="105">
        <f ca="1" t="shared" si="62"/>
        <v>0.0591964498608702</v>
      </c>
      <c r="AA184" s="105">
        <f ca="1" t="shared" si="63"/>
        <v>0.419576881614893</v>
      </c>
      <c r="AB184" s="105">
        <f ca="1" t="shared" si="64"/>
        <v>0.394423530602145</v>
      </c>
      <c r="AC184" s="105">
        <f ca="1" t="shared" si="65"/>
        <v>0.126803137922091</v>
      </c>
      <c r="AD184" s="105">
        <f ca="1" t="shared" si="66"/>
        <v>0.758326878388846</v>
      </c>
      <c r="AE184" s="105">
        <f ca="1" t="shared" si="67"/>
        <v>0.20294345468629</v>
      </c>
      <c r="AF184" s="105">
        <f ca="1" t="shared" si="68"/>
        <v>0.0387296669248644</v>
      </c>
    </row>
    <row r="185" ht="16.5" spans="1:32">
      <c r="A185">
        <f ca="1" t="shared" si="46"/>
        <v>15492</v>
      </c>
      <c r="B185" s="2">
        <v>183</v>
      </c>
      <c r="C185" s="2">
        <f>_xlfn.XLOOKUP(练度预期!D185,装备养成!$B$3:$B$303,装备养成!$D$3:$D$303)*6</f>
        <v>11748</v>
      </c>
      <c r="D185" s="2" cm="1">
        <f ca="1" t="array" ref="D185">_xlfn.XLOOKUP(练度预期!E185&amp;"_"&amp;INT(练度预期!C185/10)*10+10,装备养成!$N$4:$N$219&amp;"_"&amp;装备养成!$K$4:$K$219,装备养成!$P$4:$P$219)*练度预期!F185+_xlfn.XLOOKUP(练度预期!E185-1&amp;"_"&amp;INT(练度预期!C185/10)*10+10,装备养成!$N$4:$N$219&amp;"_"&amp;装备养成!$K$4:$K$219,装备养成!$P$4:$P$219)*(6-练度预期!F185)</f>
        <v>3144</v>
      </c>
      <c r="E185" s="2">
        <f ca="1">练度预期!N185*4*练度预期!M185</f>
        <v>600</v>
      </c>
      <c r="F185" s="103">
        <f ca="1">INT(练度预期!D185/10)*0.02+1+_xlfn.XLOOKUP(练度预期!E185,装备养成!$U$3:$U$11,装备养成!$V$3:$V$11)*练度预期!F185+_xlfn.XLOOKUP(练度预期!E185-1,装备养成!$U$3:$U$11,装备养成!$V$3:$V$11)*(6-练度预期!F185)</f>
        <v>1.61488</v>
      </c>
      <c r="G185" s="48">
        <f ca="1">OFFSET(梦灵养成!$K$20,_xlfn.XLOOKUP(练度预期!H185,梦灵养成!$D$10:$D$28,梦灵养成!$H$10:$H$28),MATCH(OFFSET(梦灵养成!$C$33,B185,MATCH(练度预期!H185,梦灵养成!$D$33:$V$33,0)),梦灵养成!$L$20:$R$20,1))*(1+(OFFSET(梦灵养成!$C$33,B185,MATCH(练度预期!H185,梦灵养成!$D$33:$V$33,0))-1)*_xlfn.XLOOKUP(练度预期!H185,梦灵养成!$D$9:$D$28,梦灵养成!$G$9:$G$28))</f>
        <v>29.8725</v>
      </c>
      <c r="H185" s="46">
        <f ca="1">符文养成!AC186</f>
        <v>24.4080916904353</v>
      </c>
      <c r="I185" s="46">
        <f>MAX(_xlfn.XLOOKUP(练度预期!O185,秘宝养成!$B$3:$B$15,秘宝养成!$E$3:$E$15),1)</f>
        <v>2.7915904</v>
      </c>
      <c r="J185" s="104">
        <f ca="1" t="shared" si="47"/>
        <v>50921927.7392984</v>
      </c>
      <c r="K185" s="104">
        <f ca="1">MATCH(J185,关卡预期!$E$4:$E$303,1)</f>
        <v>178</v>
      </c>
      <c r="L185" s="48">
        <f ca="1" t="shared" si="48"/>
        <v>0.758326878388846</v>
      </c>
      <c r="M185" s="48">
        <f ca="1" t="shared" si="49"/>
        <v>0.20294345468629</v>
      </c>
      <c r="N185" s="48">
        <f ca="1" t="shared" si="50"/>
        <v>0.0387296669248644</v>
      </c>
      <c r="O185" s="48">
        <f ca="1" t="shared" si="51"/>
        <v>0.059184603295327</v>
      </c>
      <c r="P185" s="48">
        <f ca="1" t="shared" si="52"/>
        <v>0.419492914670251</v>
      </c>
      <c r="Q185" s="48">
        <f ca="1" t="shared" si="53"/>
        <v>0.394544720324721</v>
      </c>
      <c r="R185" s="48">
        <f ca="1" t="shared" si="54"/>
        <v>0.1267777617097</v>
      </c>
      <c r="S185" s="46">
        <f ca="1" t="shared" si="55"/>
        <v>0.758326878388846</v>
      </c>
      <c r="T185" s="46">
        <f ca="1" t="shared" si="56"/>
        <v>0.20294345468629</v>
      </c>
      <c r="U185" s="46">
        <f ca="1" t="shared" si="57"/>
        <v>0.0387296669248643</v>
      </c>
      <c r="V185" s="48">
        <f ca="1" t="shared" si="58"/>
        <v>0.479260650508412</v>
      </c>
      <c r="W185" s="48">
        <f ca="1" t="shared" si="59"/>
        <v>3.39693832474177</v>
      </c>
      <c r="X185" s="48">
        <f ca="1" t="shared" si="60"/>
        <v>3.19491470398037</v>
      </c>
      <c r="Y185" s="48">
        <f t="shared" si="61"/>
        <v>1.02661146926685</v>
      </c>
      <c r="Z185" s="105">
        <f ca="1" t="shared" si="62"/>
        <v>0.059184603295327</v>
      </c>
      <c r="AA185" s="105">
        <f ca="1" t="shared" si="63"/>
        <v>0.419492914670251</v>
      </c>
      <c r="AB185" s="105">
        <f ca="1" t="shared" si="64"/>
        <v>0.394544720324721</v>
      </c>
      <c r="AC185" s="105">
        <f ca="1" t="shared" si="65"/>
        <v>0.1267777617097</v>
      </c>
      <c r="AD185" s="105">
        <f ca="1" t="shared" si="66"/>
        <v>0.758326878388846</v>
      </c>
      <c r="AE185" s="105">
        <f ca="1" t="shared" si="67"/>
        <v>0.20294345468629</v>
      </c>
      <c r="AF185" s="105">
        <f ca="1" t="shared" si="68"/>
        <v>0.0387296669248644</v>
      </c>
    </row>
    <row r="186" ht="16.5" spans="1:32">
      <c r="A186">
        <f ca="1" t="shared" si="46"/>
        <v>15732</v>
      </c>
      <c r="B186" s="2">
        <v>184</v>
      </c>
      <c r="C186" s="2">
        <f>_xlfn.XLOOKUP(练度预期!D186,装备养成!$B$3:$B$303,装备养成!$D$3:$D$303)*6</f>
        <v>11988</v>
      </c>
      <c r="D186" s="2" cm="1">
        <f ca="1" t="array" ref="D186">_xlfn.XLOOKUP(练度预期!E186&amp;"_"&amp;INT(练度预期!C186/10)*10+10,装备养成!$N$4:$N$219&amp;"_"&amp;装备养成!$K$4:$K$219,装备养成!$P$4:$P$219)*练度预期!F186+_xlfn.XLOOKUP(练度预期!E186-1&amp;"_"&amp;INT(练度预期!C186/10)*10+10,装备养成!$N$4:$N$219&amp;"_"&amp;装备养成!$K$4:$K$219,装备养成!$P$4:$P$219)*(6-练度预期!F186)</f>
        <v>3144</v>
      </c>
      <c r="E186" s="2">
        <f ca="1">练度预期!N186*4*练度预期!M186</f>
        <v>600</v>
      </c>
      <c r="F186" s="103">
        <f ca="1">INT(练度预期!D186/10)*0.02+1+_xlfn.XLOOKUP(练度预期!E186,装备养成!$U$3:$U$11,装备养成!$V$3:$V$11)*练度预期!F186+_xlfn.XLOOKUP(练度预期!E186-1,装备养成!$U$3:$U$11,装备养成!$V$3:$V$11)*(6-练度预期!F186)</f>
        <v>1.63488</v>
      </c>
      <c r="G186" s="48">
        <f ca="1">OFFSET(梦灵养成!$K$20,_xlfn.XLOOKUP(练度预期!H186,梦灵养成!$D$10:$D$28,梦灵养成!$H$10:$H$28),MATCH(OFFSET(梦灵养成!$C$33,B186,MATCH(练度预期!H186,梦灵养成!$D$33:$V$33,0)),梦灵养成!$L$20:$R$20,1))*(1+(OFFSET(梦灵养成!$C$33,B186,MATCH(练度预期!H186,梦灵养成!$D$33:$V$33,0))-1)*_xlfn.XLOOKUP(练度预期!H186,梦灵养成!$D$9:$D$28,梦灵养成!$G$9:$G$28))</f>
        <v>29.8725</v>
      </c>
      <c r="H186" s="46">
        <f ca="1">符文养成!AC187</f>
        <v>24.4598942952037</v>
      </c>
      <c r="I186" s="46">
        <f>MAX(_xlfn.XLOOKUP(练度预期!O186,秘宝养成!$B$3:$B$15,秘宝养成!$E$3:$E$15),1)</f>
        <v>2.7915904</v>
      </c>
      <c r="J186" s="104">
        <f ca="1" t="shared" si="47"/>
        <v>52462340.3468494</v>
      </c>
      <c r="K186" s="104">
        <f ca="1">MATCH(J186,关卡预期!$E$4:$E$303,1)</f>
        <v>178</v>
      </c>
      <c r="L186" s="48">
        <f ca="1" t="shared" si="48"/>
        <v>0.762013729977117</v>
      </c>
      <c r="M186" s="48">
        <f ca="1" t="shared" si="49"/>
        <v>0.199847444698703</v>
      </c>
      <c r="N186" s="48">
        <f ca="1" t="shared" si="50"/>
        <v>0.03813882532418</v>
      </c>
      <c r="O186" s="48">
        <f ca="1" t="shared" si="51"/>
        <v>0.0605966561484788</v>
      </c>
      <c r="P186" s="48">
        <f ca="1" t="shared" si="52"/>
        <v>0.418746774359055</v>
      </c>
      <c r="Q186" s="48">
        <f ca="1" t="shared" si="53"/>
        <v>0.394104303840666</v>
      </c>
      <c r="R186" s="48">
        <f ca="1" t="shared" si="54"/>
        <v>0.126552265651801</v>
      </c>
      <c r="S186" s="46">
        <f ca="1" t="shared" si="55"/>
        <v>0.762013729977117</v>
      </c>
      <c r="T186" s="46">
        <f ca="1" t="shared" si="56"/>
        <v>0.199847444698703</v>
      </c>
      <c r="U186" s="46">
        <f ca="1" t="shared" si="57"/>
        <v>0.03813882532418</v>
      </c>
      <c r="V186" s="48">
        <f ca="1" t="shared" si="58"/>
        <v>0.491569407160296</v>
      </c>
      <c r="W186" s="48">
        <f ca="1" t="shared" si="59"/>
        <v>3.39693832474177</v>
      </c>
      <c r="X186" s="48">
        <f ca="1" t="shared" si="60"/>
        <v>3.19703480871263</v>
      </c>
      <c r="Y186" s="48">
        <f t="shared" si="61"/>
        <v>1.02661146926685</v>
      </c>
      <c r="Z186" s="105">
        <f ca="1" t="shared" si="62"/>
        <v>0.0605966561484788</v>
      </c>
      <c r="AA186" s="105">
        <f ca="1" t="shared" si="63"/>
        <v>0.418746774359055</v>
      </c>
      <c r="AB186" s="105">
        <f ca="1" t="shared" si="64"/>
        <v>0.394104303840666</v>
      </c>
      <c r="AC186" s="105">
        <f ca="1" t="shared" si="65"/>
        <v>0.126552265651801</v>
      </c>
      <c r="AD186" s="105">
        <f ca="1" t="shared" si="66"/>
        <v>0.762013729977117</v>
      </c>
      <c r="AE186" s="105">
        <f ca="1" t="shared" si="67"/>
        <v>0.199847444698703</v>
      </c>
      <c r="AF186" s="105">
        <f ca="1" t="shared" si="68"/>
        <v>0.03813882532418</v>
      </c>
    </row>
    <row r="187" ht="16.5" spans="1:32">
      <c r="A187">
        <f ca="1" t="shared" si="46"/>
        <v>15732</v>
      </c>
      <c r="B187" s="2">
        <v>185</v>
      </c>
      <c r="C187" s="2">
        <f>_xlfn.XLOOKUP(练度预期!D187,装备养成!$B$3:$B$303,装备养成!$D$3:$D$303)*6</f>
        <v>11988</v>
      </c>
      <c r="D187" s="2" cm="1">
        <f ca="1" t="array" ref="D187">_xlfn.XLOOKUP(练度预期!E187&amp;"_"&amp;INT(练度预期!C187/10)*10+10,装备养成!$N$4:$N$219&amp;"_"&amp;装备养成!$K$4:$K$219,装备养成!$P$4:$P$219)*练度预期!F187+_xlfn.XLOOKUP(练度预期!E187-1&amp;"_"&amp;INT(练度预期!C187/10)*10+10,装备养成!$N$4:$N$219&amp;"_"&amp;装备养成!$K$4:$K$219,装备养成!$P$4:$P$219)*(6-练度预期!F187)</f>
        <v>3144</v>
      </c>
      <c r="E187" s="2">
        <f ca="1">练度预期!N187*4*练度预期!M187</f>
        <v>600</v>
      </c>
      <c r="F187" s="103">
        <f ca="1">INT(练度预期!D187/10)*0.02+1+_xlfn.XLOOKUP(练度预期!E187,装备养成!$U$3:$U$11,装备养成!$V$3:$V$11)*练度预期!F187+_xlfn.XLOOKUP(练度预期!E187-1,装备养成!$U$3:$U$11,装备养成!$V$3:$V$11)*(6-练度预期!F187)</f>
        <v>1.63488</v>
      </c>
      <c r="G187" s="48">
        <f ca="1">OFFSET(梦灵养成!$K$20,_xlfn.XLOOKUP(练度预期!H187,梦灵养成!$D$10:$D$28,梦灵养成!$H$10:$H$28),MATCH(OFFSET(梦灵养成!$C$33,B187,MATCH(练度预期!H187,梦灵养成!$D$33:$V$33,0)),梦灵养成!$L$20:$R$20,1))*(1+(OFFSET(梦灵养成!$C$33,B187,MATCH(练度预期!H187,梦灵养成!$D$33:$V$33,0))-1)*_xlfn.XLOOKUP(练度预期!H187,梦灵养成!$D$9:$D$28,梦灵养成!$G$9:$G$28))</f>
        <v>29.8725</v>
      </c>
      <c r="H187" s="46">
        <f ca="1">符文养成!AC188</f>
        <v>24.5127325446762</v>
      </c>
      <c r="I187" s="46">
        <f>MAX(_xlfn.XLOOKUP(练度预期!O187,秘宝养成!$B$3:$B$15,秘宝养成!$E$3:$E$15),1)</f>
        <v>2.7915904</v>
      </c>
      <c r="J187" s="104">
        <f ca="1" t="shared" si="47"/>
        <v>52575669.4640444</v>
      </c>
      <c r="K187" s="104">
        <f ca="1">MATCH(J187,关卡预期!$E$4:$E$303,1)</f>
        <v>178</v>
      </c>
      <c r="L187" s="48">
        <f ca="1" t="shared" si="48"/>
        <v>0.762013729977117</v>
      </c>
      <c r="M187" s="48">
        <f ca="1" t="shared" si="49"/>
        <v>0.199847444698703</v>
      </c>
      <c r="N187" s="48">
        <f ca="1" t="shared" si="50"/>
        <v>0.0381388253241801</v>
      </c>
      <c r="O187" s="48">
        <f ca="1" t="shared" si="51"/>
        <v>0.060580541451297</v>
      </c>
      <c r="P187" s="48">
        <f ca="1" t="shared" si="52"/>
        <v>0.418635415450931</v>
      </c>
      <c r="Q187" s="48">
        <f ca="1" t="shared" si="53"/>
        <v>0.394265431967001</v>
      </c>
      <c r="R187" s="48">
        <f ca="1" t="shared" si="54"/>
        <v>0.126518611130771</v>
      </c>
      <c r="S187" s="46">
        <f ca="1" t="shared" si="55"/>
        <v>0.762013729977117</v>
      </c>
      <c r="T187" s="46">
        <f ca="1" t="shared" si="56"/>
        <v>0.199847444698703</v>
      </c>
      <c r="U187" s="46">
        <f ca="1" t="shared" si="57"/>
        <v>0.0381388253241801</v>
      </c>
      <c r="V187" s="48">
        <f ca="1" t="shared" si="58"/>
        <v>0.491569407160296</v>
      </c>
      <c r="W187" s="48">
        <f ca="1" t="shared" si="59"/>
        <v>3.39693832474177</v>
      </c>
      <c r="X187" s="48">
        <f ca="1" t="shared" si="60"/>
        <v>3.19919267825671</v>
      </c>
      <c r="Y187" s="48">
        <f t="shared" si="61"/>
        <v>1.02661146926685</v>
      </c>
      <c r="Z187" s="105">
        <f ca="1" t="shared" si="62"/>
        <v>0.060580541451297</v>
      </c>
      <c r="AA187" s="105">
        <f ca="1" t="shared" si="63"/>
        <v>0.418635415450931</v>
      </c>
      <c r="AB187" s="105">
        <f ca="1" t="shared" si="64"/>
        <v>0.394265431967001</v>
      </c>
      <c r="AC187" s="105">
        <f ca="1" t="shared" si="65"/>
        <v>0.126518611130771</v>
      </c>
      <c r="AD187" s="105">
        <f ca="1" t="shared" si="66"/>
        <v>0.762013729977117</v>
      </c>
      <c r="AE187" s="105">
        <f ca="1" t="shared" si="67"/>
        <v>0.199847444698703</v>
      </c>
      <c r="AF187" s="105">
        <f ca="1" t="shared" si="68"/>
        <v>0.03813882532418</v>
      </c>
    </row>
    <row r="188" ht="16.5" spans="1:32">
      <c r="A188">
        <f ca="1" t="shared" si="46"/>
        <v>15732</v>
      </c>
      <c r="B188" s="2">
        <v>186</v>
      </c>
      <c r="C188" s="2">
        <f>_xlfn.XLOOKUP(练度预期!D188,装备养成!$B$3:$B$303,装备养成!$D$3:$D$303)*6</f>
        <v>11988</v>
      </c>
      <c r="D188" s="2" cm="1">
        <f ca="1" t="array" ref="D188">_xlfn.XLOOKUP(练度预期!E188&amp;"_"&amp;INT(练度预期!C188/10)*10+10,装备养成!$N$4:$N$219&amp;"_"&amp;装备养成!$K$4:$K$219,装备养成!$P$4:$P$219)*练度预期!F188+_xlfn.XLOOKUP(练度预期!E188-1&amp;"_"&amp;INT(练度预期!C188/10)*10+10,装备养成!$N$4:$N$219&amp;"_"&amp;装备养成!$K$4:$K$219,装备养成!$P$4:$P$219)*(6-练度预期!F188)</f>
        <v>3144</v>
      </c>
      <c r="E188" s="2">
        <f ca="1">练度预期!N188*4*练度预期!M188</f>
        <v>600</v>
      </c>
      <c r="F188" s="103">
        <f ca="1">INT(练度预期!D188/10)*0.02+1+_xlfn.XLOOKUP(练度预期!E188,装备养成!$U$3:$U$11,装备养成!$V$3:$V$11)*练度预期!F188+_xlfn.XLOOKUP(练度预期!E188-1,装备养成!$U$3:$U$11,装备养成!$V$3:$V$11)*(6-练度预期!F188)</f>
        <v>1.63488</v>
      </c>
      <c r="G188" s="48">
        <f ca="1">OFFSET(梦灵养成!$K$20,_xlfn.XLOOKUP(练度预期!H188,梦灵养成!$D$10:$D$28,梦灵养成!$H$10:$H$28),MATCH(OFFSET(梦灵养成!$C$33,B188,MATCH(练度预期!H188,梦灵养成!$D$33:$V$33,0)),梦灵养成!$L$20:$R$20,1))*(1+(OFFSET(梦灵养成!$C$33,B188,MATCH(练度预期!H188,梦灵养成!$D$33:$V$33,0))-1)*_xlfn.XLOOKUP(练度预期!H188,梦灵养成!$D$9:$D$28,梦灵养成!$G$9:$G$28))</f>
        <v>29.8725</v>
      </c>
      <c r="H188" s="46">
        <f ca="1">符文养成!AC189</f>
        <v>24.5576955171062</v>
      </c>
      <c r="I188" s="46">
        <f>MAX(_xlfn.XLOOKUP(练度预期!O188,秘宝养成!$B$3:$B$15,秘宝养成!$E$3:$E$15),1)</f>
        <v>2.7915904</v>
      </c>
      <c r="J188" s="104">
        <f ca="1" t="shared" si="47"/>
        <v>52672107.4426457</v>
      </c>
      <c r="K188" s="104">
        <f ca="1">MATCH(J188,关卡预期!$E$4:$E$303,1)</f>
        <v>178</v>
      </c>
      <c r="L188" s="48">
        <f ca="1" t="shared" si="48"/>
        <v>0.762013729977117</v>
      </c>
      <c r="M188" s="48">
        <f ca="1" t="shared" si="49"/>
        <v>0.199847444698703</v>
      </c>
      <c r="N188" s="48">
        <f ca="1" t="shared" si="50"/>
        <v>0.0381388253241799</v>
      </c>
      <c r="O188" s="48">
        <f ca="1" t="shared" si="51"/>
        <v>0.0605668626303004</v>
      </c>
      <c r="P188" s="48">
        <f ca="1" t="shared" si="52"/>
        <v>0.418540889407194</v>
      </c>
      <c r="Q188" s="48">
        <f ca="1" t="shared" si="53"/>
        <v>0.394402204180142</v>
      </c>
      <c r="R188" s="48">
        <f ca="1" t="shared" si="54"/>
        <v>0.126490043782363</v>
      </c>
      <c r="S188" s="46">
        <f ca="1" t="shared" si="55"/>
        <v>0.762013729977117</v>
      </c>
      <c r="T188" s="46">
        <f ca="1" t="shared" si="56"/>
        <v>0.199847444698703</v>
      </c>
      <c r="U188" s="46">
        <f ca="1" t="shared" si="57"/>
        <v>0.0381388253241799</v>
      </c>
      <c r="V188" s="48">
        <f ca="1" t="shared" si="58"/>
        <v>0.491569407160296</v>
      </c>
      <c r="W188" s="48">
        <f ca="1" t="shared" si="59"/>
        <v>3.39693832474177</v>
      </c>
      <c r="X188" s="48">
        <f ca="1" t="shared" si="60"/>
        <v>3.20102526813984</v>
      </c>
      <c r="Y188" s="48">
        <f t="shared" si="61"/>
        <v>1.02661146926685</v>
      </c>
      <c r="Z188" s="105">
        <f ca="1" t="shared" si="62"/>
        <v>0.0605668626303004</v>
      </c>
      <c r="AA188" s="105">
        <f ca="1" t="shared" si="63"/>
        <v>0.418540889407195</v>
      </c>
      <c r="AB188" s="105">
        <f ca="1" t="shared" si="64"/>
        <v>0.394402204180142</v>
      </c>
      <c r="AC188" s="105">
        <f ca="1" t="shared" si="65"/>
        <v>0.126490043782363</v>
      </c>
      <c r="AD188" s="105">
        <f ca="1" t="shared" si="66"/>
        <v>0.762013729977117</v>
      </c>
      <c r="AE188" s="105">
        <f ca="1" t="shared" si="67"/>
        <v>0.199847444698703</v>
      </c>
      <c r="AF188" s="105">
        <f ca="1" t="shared" si="68"/>
        <v>0.03813882532418</v>
      </c>
    </row>
    <row r="189" ht="16.5" spans="1:32">
      <c r="A189">
        <f ca="1" t="shared" si="46"/>
        <v>15732</v>
      </c>
      <c r="B189" s="2">
        <v>187</v>
      </c>
      <c r="C189" s="2">
        <f>_xlfn.XLOOKUP(练度预期!D189,装备养成!$B$3:$B$303,装备养成!$D$3:$D$303)*6</f>
        <v>11988</v>
      </c>
      <c r="D189" s="2" cm="1">
        <f ca="1" t="array" ref="D189">_xlfn.XLOOKUP(练度预期!E189&amp;"_"&amp;INT(练度预期!C189/10)*10+10,装备养成!$N$4:$N$219&amp;"_"&amp;装备养成!$K$4:$K$219,装备养成!$P$4:$P$219)*练度预期!F189+_xlfn.XLOOKUP(练度预期!E189-1&amp;"_"&amp;INT(练度预期!C189/10)*10+10,装备养成!$N$4:$N$219&amp;"_"&amp;装备养成!$K$4:$K$219,装备养成!$P$4:$P$219)*(6-练度预期!F189)</f>
        <v>3144</v>
      </c>
      <c r="E189" s="2">
        <f ca="1">练度预期!N189*4*练度预期!M189</f>
        <v>600</v>
      </c>
      <c r="F189" s="103">
        <f ca="1">INT(练度预期!D189/10)*0.02+1+_xlfn.XLOOKUP(练度预期!E189,装备养成!$U$3:$U$11,装备养成!$V$3:$V$11)*练度预期!F189+_xlfn.XLOOKUP(练度预期!E189-1,装备养成!$U$3:$U$11,装备养成!$V$3:$V$11)*(6-练度预期!F189)</f>
        <v>1.63488</v>
      </c>
      <c r="G189" s="48">
        <f ca="1">OFFSET(梦灵养成!$K$20,_xlfn.XLOOKUP(练度预期!H189,梦灵养成!$D$10:$D$28,梦灵养成!$H$10:$H$28),MATCH(OFFSET(梦灵养成!$C$33,B189,MATCH(练度预期!H189,梦灵养成!$D$33:$V$33,0)),梦灵养成!$L$20:$R$20,1))*(1+(OFFSET(梦灵养成!$C$33,B189,MATCH(练度预期!H189,梦灵养成!$D$33:$V$33,0))-1)*_xlfn.XLOOKUP(练度预期!H189,梦灵养成!$D$9:$D$28,梦灵养成!$G$9:$G$28))</f>
        <v>29.8725</v>
      </c>
      <c r="H189" s="46">
        <f ca="1">符文养成!AC190</f>
        <v>24.6098037709549</v>
      </c>
      <c r="I189" s="46">
        <f>MAX(_xlfn.XLOOKUP(练度预期!O189,秘宝养成!$B$3:$B$15,秘宝养成!$E$3:$E$15),1)</f>
        <v>2.7915904</v>
      </c>
      <c r="J189" s="104">
        <f ca="1" t="shared" si="47"/>
        <v>52783870.8425728</v>
      </c>
      <c r="K189" s="104">
        <f ca="1">MATCH(J189,关卡预期!$E$4:$E$303,1)</f>
        <v>178</v>
      </c>
      <c r="L189" s="48">
        <f ca="1" t="shared" si="48"/>
        <v>0.762013729977117</v>
      </c>
      <c r="M189" s="48">
        <f ca="1" t="shared" si="49"/>
        <v>0.199847444698703</v>
      </c>
      <c r="N189" s="48">
        <f ca="1" t="shared" si="50"/>
        <v>0.0381388253241799</v>
      </c>
      <c r="O189" s="48">
        <f ca="1" t="shared" si="51"/>
        <v>0.0605510490407985</v>
      </c>
      <c r="P189" s="48">
        <f ca="1" t="shared" si="52"/>
        <v>0.418431611271802</v>
      </c>
      <c r="Q189" s="48">
        <f ca="1" t="shared" si="53"/>
        <v>0.394560321581811</v>
      </c>
      <c r="R189" s="48">
        <f ca="1" t="shared" si="54"/>
        <v>0.126457018105589</v>
      </c>
      <c r="S189" s="46">
        <f ca="1" t="shared" si="55"/>
        <v>0.762013729977117</v>
      </c>
      <c r="T189" s="46">
        <f ca="1" t="shared" si="56"/>
        <v>0.199847444698703</v>
      </c>
      <c r="U189" s="46">
        <f ca="1" t="shared" si="57"/>
        <v>0.0381388253241799</v>
      </c>
      <c r="V189" s="48">
        <f ca="1" t="shared" si="58"/>
        <v>0.491569407160296</v>
      </c>
      <c r="W189" s="48">
        <f ca="1" t="shared" si="59"/>
        <v>3.39693832474177</v>
      </c>
      <c r="X189" s="48">
        <f ca="1" t="shared" si="60"/>
        <v>3.203144890822</v>
      </c>
      <c r="Y189" s="48">
        <f t="shared" si="61"/>
        <v>1.02661146926685</v>
      </c>
      <c r="Z189" s="105">
        <f ca="1" t="shared" si="62"/>
        <v>0.0605510490407985</v>
      </c>
      <c r="AA189" s="105">
        <f ca="1" t="shared" si="63"/>
        <v>0.418431611271802</v>
      </c>
      <c r="AB189" s="105">
        <f ca="1" t="shared" si="64"/>
        <v>0.394560321581811</v>
      </c>
      <c r="AC189" s="105">
        <f ca="1" t="shared" si="65"/>
        <v>0.126457018105589</v>
      </c>
      <c r="AD189" s="105">
        <f ca="1" t="shared" si="66"/>
        <v>0.762013729977117</v>
      </c>
      <c r="AE189" s="105">
        <f ca="1" t="shared" si="67"/>
        <v>0.199847444698703</v>
      </c>
      <c r="AF189" s="105">
        <f ca="1" t="shared" si="68"/>
        <v>0.03813882532418</v>
      </c>
    </row>
    <row r="190" ht="16.5" spans="1:32">
      <c r="A190">
        <f ca="1" t="shared" si="46"/>
        <v>15972</v>
      </c>
      <c r="B190" s="2">
        <v>188</v>
      </c>
      <c r="C190" s="2">
        <f>_xlfn.XLOOKUP(练度预期!D190,装备养成!$B$3:$B$303,装备养成!$D$3:$D$303)*6</f>
        <v>12228</v>
      </c>
      <c r="D190" s="2" cm="1">
        <f ca="1" t="array" ref="D190">_xlfn.XLOOKUP(练度预期!E190&amp;"_"&amp;INT(练度预期!C190/10)*10+10,装备养成!$N$4:$N$219&amp;"_"&amp;装备养成!$K$4:$K$219,装备养成!$P$4:$P$219)*练度预期!F190+_xlfn.XLOOKUP(练度预期!E190-1&amp;"_"&amp;INT(练度预期!C190/10)*10+10,装备养成!$N$4:$N$219&amp;"_"&amp;装备养成!$K$4:$K$219,装备养成!$P$4:$P$219)*(6-练度预期!F190)</f>
        <v>3144</v>
      </c>
      <c r="E190" s="2">
        <f ca="1">练度预期!N190*4*练度预期!M190</f>
        <v>600</v>
      </c>
      <c r="F190" s="103">
        <f ca="1">INT(练度预期!D190/10)*0.02+1+_xlfn.XLOOKUP(练度预期!E190,装备养成!$U$3:$U$11,装备养成!$V$3:$V$11)*练度预期!F190+_xlfn.XLOOKUP(练度预期!E190-1,装备养成!$U$3:$U$11,装备养成!$V$3:$V$11)*(6-练度预期!F190)</f>
        <v>1.63488</v>
      </c>
      <c r="G190" s="48">
        <f ca="1">OFFSET(梦灵养成!$K$20,_xlfn.XLOOKUP(练度预期!H190,梦灵养成!$D$10:$D$28,梦灵养成!$H$10:$H$28),MATCH(OFFSET(梦灵养成!$C$33,B190,MATCH(练度预期!H190,梦灵养成!$D$33:$V$33,0)),梦灵养成!$L$20:$R$20,1))*(1+(OFFSET(梦灵养成!$C$33,B190,MATCH(练度预期!H190,梦灵养成!$D$33:$V$33,0))-1)*_xlfn.XLOOKUP(练度预期!H190,梦灵养成!$D$9:$D$28,梦灵养成!$G$9:$G$28))</f>
        <v>29.8725</v>
      </c>
      <c r="H190" s="46">
        <f ca="1">符文养成!AC191</f>
        <v>24.6549381440677</v>
      </c>
      <c r="I190" s="46">
        <f>MAX(_xlfn.XLOOKUP(练度预期!O190,秘宝养成!$B$3:$B$15,秘宝养成!$E$3:$E$15),1)</f>
        <v>2.7915904</v>
      </c>
      <c r="J190" s="104">
        <f ca="1" t="shared" si="47"/>
        <v>53687399.1994873</v>
      </c>
      <c r="K190" s="104">
        <f ca="1">MATCH(J190,关卡预期!$E$4:$E$303,1)</f>
        <v>179</v>
      </c>
      <c r="L190" s="48">
        <f ca="1" t="shared" si="48"/>
        <v>0.765589782118707</v>
      </c>
      <c r="M190" s="48">
        <f ca="1" t="shared" si="49"/>
        <v>0.196844477836213</v>
      </c>
      <c r="N190" s="48">
        <f ca="1" t="shared" si="50"/>
        <v>0.0375657400450792</v>
      </c>
      <c r="O190" s="48">
        <f ca="1" t="shared" si="51"/>
        <v>0.0605373855456837</v>
      </c>
      <c r="P190" s="48">
        <f ca="1" t="shared" si="52"/>
        <v>0.418337191135949</v>
      </c>
      <c r="Q190" s="48">
        <f ca="1" t="shared" si="53"/>
        <v>0.394696940554056</v>
      </c>
      <c r="R190" s="48">
        <f ca="1" t="shared" si="54"/>
        <v>0.126428482764311</v>
      </c>
      <c r="S190" s="46">
        <f ca="1" t="shared" si="55"/>
        <v>0.765589782118708</v>
      </c>
      <c r="T190" s="46">
        <f ca="1" t="shared" si="56"/>
        <v>0.196844477836213</v>
      </c>
      <c r="U190" s="46">
        <f ca="1" t="shared" si="57"/>
        <v>0.0375657400450792</v>
      </c>
      <c r="V190" s="48">
        <f ca="1" t="shared" si="58"/>
        <v>0.491569407160296</v>
      </c>
      <c r="W190" s="48">
        <f ca="1" t="shared" si="59"/>
        <v>3.39693832474177</v>
      </c>
      <c r="X190" s="48">
        <f ca="1" t="shared" si="60"/>
        <v>3.20497721081339</v>
      </c>
      <c r="Y190" s="48">
        <f t="shared" si="61"/>
        <v>1.02661146926685</v>
      </c>
      <c r="Z190" s="105">
        <f ca="1" t="shared" si="62"/>
        <v>0.0605373855456837</v>
      </c>
      <c r="AA190" s="105">
        <f ca="1" t="shared" si="63"/>
        <v>0.418337191135949</v>
      </c>
      <c r="AB190" s="105">
        <f ca="1" t="shared" si="64"/>
        <v>0.394696940554056</v>
      </c>
      <c r="AC190" s="105">
        <f ca="1" t="shared" si="65"/>
        <v>0.126428482764311</v>
      </c>
      <c r="AD190" s="105">
        <f ca="1" t="shared" si="66"/>
        <v>0.765589782118708</v>
      </c>
      <c r="AE190" s="105">
        <f ca="1" t="shared" si="67"/>
        <v>0.196844477836213</v>
      </c>
      <c r="AF190" s="105">
        <f ca="1" t="shared" si="68"/>
        <v>0.0375657400450789</v>
      </c>
    </row>
    <row r="191" ht="16.5" spans="1:32">
      <c r="A191">
        <f ca="1" t="shared" si="46"/>
        <v>15972</v>
      </c>
      <c r="B191" s="2">
        <v>189</v>
      </c>
      <c r="C191" s="2">
        <f>_xlfn.XLOOKUP(练度预期!D191,装备养成!$B$3:$B$303,装备养成!$D$3:$D$303)*6</f>
        <v>12228</v>
      </c>
      <c r="D191" s="2" cm="1">
        <f ca="1" t="array" ref="D191">_xlfn.XLOOKUP(练度预期!E191&amp;"_"&amp;INT(练度预期!C191/10)*10+10,装备养成!$N$4:$N$219&amp;"_"&amp;装备养成!$K$4:$K$219,装备养成!$P$4:$P$219)*练度预期!F191+_xlfn.XLOOKUP(练度预期!E191-1&amp;"_"&amp;INT(练度预期!C191/10)*10+10,装备养成!$N$4:$N$219&amp;"_"&amp;装备养成!$K$4:$K$219,装备养成!$P$4:$P$219)*(6-练度预期!F191)</f>
        <v>3144</v>
      </c>
      <c r="E191" s="2">
        <f ca="1">练度预期!N191*4*练度预期!M191</f>
        <v>600</v>
      </c>
      <c r="F191" s="103">
        <f ca="1">INT(练度预期!D191/10)*0.02+1+_xlfn.XLOOKUP(练度预期!E191,装备养成!$U$3:$U$11,装备养成!$V$3:$V$11)*练度预期!F191+_xlfn.XLOOKUP(练度预期!E191-1,装备养成!$U$3:$U$11,装备养成!$V$3:$V$11)*(6-练度预期!F191)</f>
        <v>1.63488</v>
      </c>
      <c r="G191" s="48">
        <f ca="1">OFFSET(梦灵养成!$K$20,_xlfn.XLOOKUP(练度预期!H191,梦灵养成!$D$10:$D$28,梦灵养成!$H$10:$H$28),MATCH(OFFSET(梦灵养成!$C$33,B191,MATCH(练度预期!H191,梦灵养成!$D$33:$V$33,0)),梦灵养成!$L$20:$R$20,1))*(1+(OFFSET(梦灵养成!$C$33,B191,MATCH(练度预期!H191,梦灵养成!$D$33:$V$33,0))-1)*_xlfn.XLOOKUP(练度预期!H191,梦灵养成!$D$9:$D$28,梦灵养成!$G$9:$G$28))</f>
        <v>29.8725</v>
      </c>
      <c r="H191" s="46">
        <f ca="1">符文养成!AC192</f>
        <v>24.7019988190608</v>
      </c>
      <c r="I191" s="46">
        <f>MAX(_xlfn.XLOOKUP(练度预期!O191,秘宝养成!$B$3:$B$15,秘宝养成!$E$3:$E$15),1)</f>
        <v>2.7915904</v>
      </c>
      <c r="J191" s="104">
        <f ca="1" t="shared" si="47"/>
        <v>53789876.2460808</v>
      </c>
      <c r="K191" s="104">
        <f ca="1">MATCH(J191,关卡预期!$E$4:$E$303,1)</f>
        <v>179</v>
      </c>
      <c r="L191" s="48">
        <f ca="1" t="shared" si="48"/>
        <v>0.765589782118708</v>
      </c>
      <c r="M191" s="48">
        <f ca="1" t="shared" si="49"/>
        <v>0.196844477836213</v>
      </c>
      <c r="N191" s="48">
        <f ca="1" t="shared" si="50"/>
        <v>0.0375657400450791</v>
      </c>
      <c r="O191" s="48">
        <f ca="1" t="shared" si="51"/>
        <v>0.0605231720606977</v>
      </c>
      <c r="P191" s="48">
        <f ca="1" t="shared" si="52"/>
        <v>0.418238970353341</v>
      </c>
      <c r="Q191" s="48">
        <f ca="1" t="shared" si="53"/>
        <v>0.394839058781825</v>
      </c>
      <c r="R191" s="48">
        <f ca="1" t="shared" si="54"/>
        <v>0.126398798804137</v>
      </c>
      <c r="S191" s="46">
        <f ca="1" t="shared" si="55"/>
        <v>0.765589782118708</v>
      </c>
      <c r="T191" s="46">
        <f ca="1" t="shared" si="56"/>
        <v>0.196844477836213</v>
      </c>
      <c r="U191" s="46">
        <f ca="1" t="shared" si="57"/>
        <v>0.0375657400450791</v>
      </c>
      <c r="V191" s="48">
        <f ca="1" t="shared" si="58"/>
        <v>0.491569407160296</v>
      </c>
      <c r="W191" s="48">
        <f ca="1" t="shared" si="59"/>
        <v>3.39693832474177</v>
      </c>
      <c r="X191" s="48">
        <f ca="1" t="shared" si="60"/>
        <v>3.20688416420839</v>
      </c>
      <c r="Y191" s="48">
        <f t="shared" si="61"/>
        <v>1.02661146926685</v>
      </c>
      <c r="Z191" s="105">
        <f ca="1" t="shared" si="62"/>
        <v>0.0605231720606977</v>
      </c>
      <c r="AA191" s="105">
        <f ca="1" t="shared" si="63"/>
        <v>0.418238970353341</v>
      </c>
      <c r="AB191" s="105">
        <f ca="1" t="shared" si="64"/>
        <v>0.394839058781825</v>
      </c>
      <c r="AC191" s="105">
        <f ca="1" t="shared" si="65"/>
        <v>0.126398798804137</v>
      </c>
      <c r="AD191" s="105">
        <f ca="1" t="shared" si="66"/>
        <v>0.765589782118708</v>
      </c>
      <c r="AE191" s="105">
        <f ca="1" t="shared" si="67"/>
        <v>0.196844477836213</v>
      </c>
      <c r="AF191" s="105">
        <f ca="1" t="shared" si="68"/>
        <v>0.0375657400450789</v>
      </c>
    </row>
    <row r="192" ht="16.5" spans="1:32">
      <c r="A192">
        <f ca="1" t="shared" si="46"/>
        <v>15972</v>
      </c>
      <c r="B192" s="2">
        <v>190</v>
      </c>
      <c r="C192" s="2">
        <f>_xlfn.XLOOKUP(练度预期!D192,装备养成!$B$3:$B$303,装备养成!$D$3:$D$303)*6</f>
        <v>12228</v>
      </c>
      <c r="D192" s="2" cm="1">
        <f ca="1" t="array" ref="D192">_xlfn.XLOOKUP(练度预期!E192&amp;"_"&amp;INT(练度预期!C192/10)*10+10,装备养成!$N$4:$N$219&amp;"_"&amp;装备养成!$K$4:$K$219,装备养成!$P$4:$P$219)*练度预期!F192+_xlfn.XLOOKUP(练度预期!E192-1&amp;"_"&amp;INT(练度预期!C192/10)*10+10,装备养成!$N$4:$N$219&amp;"_"&amp;装备养成!$K$4:$K$219,装备养成!$P$4:$P$219)*(6-练度预期!F192)</f>
        <v>3144</v>
      </c>
      <c r="E192" s="2">
        <f ca="1">练度预期!N192*4*练度预期!M192</f>
        <v>600</v>
      </c>
      <c r="F192" s="103">
        <f ca="1">INT(练度预期!D192/10)*0.02+1+_xlfn.XLOOKUP(练度预期!E192,装备养成!$U$3:$U$11,装备养成!$V$3:$V$11)*练度预期!F192+_xlfn.XLOOKUP(练度预期!E192-1,装备养成!$U$3:$U$11,装备养成!$V$3:$V$11)*(6-练度预期!F192)</f>
        <v>1.63488</v>
      </c>
      <c r="G192" s="48">
        <f ca="1">OFFSET(梦灵养成!$K$20,_xlfn.XLOOKUP(练度预期!H192,梦灵养成!$D$10:$D$28,梦灵养成!$H$10:$H$28),MATCH(OFFSET(梦灵养成!$C$33,B192,MATCH(练度预期!H192,梦灵养成!$D$33:$V$33,0)),梦灵养成!$L$20:$R$20,1))*(1+(OFFSET(梦灵养成!$C$33,B192,MATCH(练度预期!H192,梦灵养成!$D$33:$V$33,0))-1)*_xlfn.XLOOKUP(练度预期!H192,梦灵养成!$D$9:$D$28,梦灵养成!$G$9:$G$28))</f>
        <v>29.8725</v>
      </c>
      <c r="H192" s="46">
        <f ca="1">符文养成!AC193</f>
        <v>24.7472959483317</v>
      </c>
      <c r="I192" s="46">
        <f>MAX(_xlfn.XLOOKUP(练度预期!O192,秘宝养成!$B$3:$B$15,秘宝养成!$E$3:$E$15),1)</f>
        <v>2.7915904</v>
      </c>
      <c r="J192" s="104">
        <f ca="1" t="shared" si="47"/>
        <v>53888513.080923</v>
      </c>
      <c r="K192" s="104">
        <f ca="1">MATCH(J192,关卡预期!$E$4:$E$303,1)</f>
        <v>179</v>
      </c>
      <c r="L192" s="48">
        <f ca="1" t="shared" si="48"/>
        <v>0.765589782118708</v>
      </c>
      <c r="M192" s="48">
        <f ca="1" t="shared" si="49"/>
        <v>0.196844477836213</v>
      </c>
      <c r="N192" s="48">
        <f ca="1" t="shared" si="50"/>
        <v>0.0375657400450791</v>
      </c>
      <c r="O192" s="48">
        <f ca="1" t="shared" si="51"/>
        <v>0.0605095230473393</v>
      </c>
      <c r="P192" s="48">
        <f ca="1" t="shared" si="52"/>
        <v>0.418144650292132</v>
      </c>
      <c r="Q192" s="48">
        <f ca="1" t="shared" si="53"/>
        <v>0.394975532953442</v>
      </c>
      <c r="R192" s="48">
        <f ca="1" t="shared" si="54"/>
        <v>0.126370293707087</v>
      </c>
      <c r="S192" s="46">
        <f ca="1" t="shared" si="55"/>
        <v>0.765589782118708</v>
      </c>
      <c r="T192" s="46">
        <f ca="1" t="shared" si="56"/>
        <v>0.196844477836213</v>
      </c>
      <c r="U192" s="46">
        <f ca="1" t="shared" si="57"/>
        <v>0.0375657400450791</v>
      </c>
      <c r="V192" s="48">
        <f ca="1" t="shared" si="58"/>
        <v>0.491569407160296</v>
      </c>
      <c r="W192" s="48">
        <f ca="1" t="shared" si="59"/>
        <v>3.39693832474177</v>
      </c>
      <c r="X192" s="48">
        <f ca="1" t="shared" si="60"/>
        <v>3.20871622843312</v>
      </c>
      <c r="Y192" s="48">
        <f t="shared" si="61"/>
        <v>1.02661146926685</v>
      </c>
      <c r="Z192" s="105">
        <f ca="1" t="shared" si="62"/>
        <v>0.0605095230473393</v>
      </c>
      <c r="AA192" s="105">
        <f ca="1" t="shared" si="63"/>
        <v>0.418144650292132</v>
      </c>
      <c r="AB192" s="105">
        <f ca="1" t="shared" si="64"/>
        <v>0.394975532953442</v>
      </c>
      <c r="AC192" s="105">
        <f ca="1" t="shared" si="65"/>
        <v>0.126370293707087</v>
      </c>
      <c r="AD192" s="105">
        <f ca="1" t="shared" si="66"/>
        <v>0.765589782118708</v>
      </c>
      <c r="AE192" s="105">
        <f ca="1" t="shared" si="67"/>
        <v>0.196844477836213</v>
      </c>
      <c r="AF192" s="105">
        <f ca="1" t="shared" si="68"/>
        <v>0.0375657400450789</v>
      </c>
    </row>
    <row r="193" ht="16.5" spans="1:32">
      <c r="A193">
        <f ca="1" t="shared" si="46"/>
        <v>15972</v>
      </c>
      <c r="B193" s="2">
        <v>191</v>
      </c>
      <c r="C193" s="2">
        <f>_xlfn.XLOOKUP(练度预期!D193,装备养成!$B$3:$B$303,装备养成!$D$3:$D$303)*6</f>
        <v>12228</v>
      </c>
      <c r="D193" s="2" cm="1">
        <f ca="1" t="array" ref="D193">_xlfn.XLOOKUP(练度预期!E193&amp;"_"&amp;INT(练度预期!C193/10)*10+10,装备养成!$N$4:$N$219&amp;"_"&amp;装备养成!$K$4:$K$219,装备养成!$P$4:$P$219)*练度预期!F193+_xlfn.XLOOKUP(练度预期!E193-1&amp;"_"&amp;INT(练度预期!C193/10)*10+10,装备养成!$N$4:$N$219&amp;"_"&amp;装备养成!$K$4:$K$219,装备养成!$P$4:$P$219)*(6-练度预期!F193)</f>
        <v>3144</v>
      </c>
      <c r="E193" s="2">
        <f ca="1">练度预期!N193*4*练度预期!M193</f>
        <v>600</v>
      </c>
      <c r="F193" s="103">
        <f ca="1">INT(练度预期!D193/10)*0.02+1+_xlfn.XLOOKUP(练度预期!E193,装备养成!$U$3:$U$11,装备养成!$V$3:$V$11)*练度预期!F193+_xlfn.XLOOKUP(练度预期!E193-1,装备养成!$U$3:$U$11,装备养成!$V$3:$V$11)*(6-练度预期!F193)</f>
        <v>1.63488</v>
      </c>
      <c r="G193" s="48">
        <f ca="1">OFFSET(梦灵养成!$K$20,_xlfn.XLOOKUP(练度预期!H193,梦灵养成!$D$10:$D$28,梦灵养成!$H$10:$H$28),MATCH(OFFSET(梦灵养成!$C$33,B193,MATCH(练度预期!H193,梦灵养成!$D$33:$V$33,0)),梦灵养成!$L$20:$R$20,1))*(1+(OFFSET(梦灵养成!$C$33,B193,MATCH(练度预期!H193,梦灵养成!$D$33:$V$33,0))-1)*_xlfn.XLOOKUP(练度预期!H193,梦灵养成!$D$9:$D$28,梦灵养成!$G$9:$G$28))</f>
        <v>29.8725</v>
      </c>
      <c r="H193" s="46">
        <f ca="1">符文养成!AC194</f>
        <v>24.7997914191037</v>
      </c>
      <c r="I193" s="46">
        <f>MAX(_xlfn.XLOOKUP(练度预期!O193,秘宝养成!$B$3:$B$15,秘宝养成!$E$3:$E$15),1)</f>
        <v>2.7915904</v>
      </c>
      <c r="J193" s="104">
        <f ca="1" t="shared" si="47"/>
        <v>54002824.6755834</v>
      </c>
      <c r="K193" s="104">
        <f ca="1">MATCH(J193,关卡预期!$E$4:$E$303,1)</f>
        <v>179</v>
      </c>
      <c r="L193" s="48">
        <f ca="1" t="shared" si="48"/>
        <v>0.765589782118708</v>
      </c>
      <c r="M193" s="48">
        <f ca="1" t="shared" si="49"/>
        <v>0.196844477836213</v>
      </c>
      <c r="N193" s="48">
        <f ca="1" t="shared" si="50"/>
        <v>0.037565740045079</v>
      </c>
      <c r="O193" s="48">
        <f ca="1" t="shared" si="51"/>
        <v>0.0604937439116825</v>
      </c>
      <c r="P193" s="48">
        <f ca="1" t="shared" si="52"/>
        <v>0.418035610246386</v>
      </c>
      <c r="Q193" s="48">
        <f ca="1" t="shared" si="53"/>
        <v>0.395133305856953</v>
      </c>
      <c r="R193" s="48">
        <f ca="1" t="shared" si="54"/>
        <v>0.126337339984979</v>
      </c>
      <c r="S193" s="46">
        <f ca="1" t="shared" si="55"/>
        <v>0.765589782118708</v>
      </c>
      <c r="T193" s="46">
        <f ca="1" t="shared" si="56"/>
        <v>0.196844477836213</v>
      </c>
      <c r="U193" s="46">
        <f ca="1" t="shared" si="57"/>
        <v>0.037565740045079</v>
      </c>
      <c r="V193" s="48">
        <f ca="1" t="shared" si="58"/>
        <v>0.491569407160296</v>
      </c>
      <c r="W193" s="48">
        <f ca="1" t="shared" si="59"/>
        <v>3.39693832474177</v>
      </c>
      <c r="X193" s="48">
        <f ca="1" t="shared" si="60"/>
        <v>3.21083524261556</v>
      </c>
      <c r="Y193" s="48">
        <f t="shared" si="61"/>
        <v>1.02661146926685</v>
      </c>
      <c r="Z193" s="105">
        <f ca="1" t="shared" si="62"/>
        <v>0.0604937439116825</v>
      </c>
      <c r="AA193" s="105">
        <f ca="1" t="shared" si="63"/>
        <v>0.418035610246386</v>
      </c>
      <c r="AB193" s="105">
        <f ca="1" t="shared" si="64"/>
        <v>0.395133305856953</v>
      </c>
      <c r="AC193" s="105">
        <f ca="1" t="shared" si="65"/>
        <v>0.126337339984979</v>
      </c>
      <c r="AD193" s="105">
        <f ca="1" t="shared" si="66"/>
        <v>0.765589782118708</v>
      </c>
      <c r="AE193" s="105">
        <f ca="1" t="shared" si="67"/>
        <v>0.196844477836213</v>
      </c>
      <c r="AF193" s="105">
        <f ca="1" t="shared" si="68"/>
        <v>0.0375657400450789</v>
      </c>
    </row>
    <row r="194" ht="16.5" spans="1:32">
      <c r="A194">
        <f ca="1" t="shared" si="46"/>
        <v>16212</v>
      </c>
      <c r="B194" s="2">
        <v>192</v>
      </c>
      <c r="C194" s="2">
        <f>_xlfn.XLOOKUP(练度预期!D194,装备养成!$B$3:$B$303,装备养成!$D$3:$D$303)*6</f>
        <v>12468</v>
      </c>
      <c r="D194" s="2" cm="1">
        <f ca="1" t="array" ref="D194">_xlfn.XLOOKUP(练度预期!E194&amp;"_"&amp;INT(练度预期!C194/10)*10+10,装备养成!$N$4:$N$219&amp;"_"&amp;装备养成!$K$4:$K$219,装备养成!$P$4:$P$219)*练度预期!F194+_xlfn.XLOOKUP(练度预期!E194-1&amp;"_"&amp;INT(练度预期!C194/10)*10+10,装备养成!$N$4:$N$219&amp;"_"&amp;装备养成!$K$4:$K$219,装备养成!$P$4:$P$219)*(6-练度预期!F194)</f>
        <v>3144</v>
      </c>
      <c r="E194" s="2">
        <f ca="1">练度预期!N194*4*练度预期!M194</f>
        <v>600</v>
      </c>
      <c r="F194" s="103">
        <f ca="1">INT(练度预期!D194/10)*0.02+1+_xlfn.XLOOKUP(练度预期!E194,装备养成!$U$3:$U$11,装备养成!$V$3:$V$11)*练度预期!F194+_xlfn.XLOOKUP(练度预期!E194-1,装备养成!$U$3:$U$11,装备养成!$V$3:$V$11)*(6-练度预期!F194)</f>
        <v>1.63488</v>
      </c>
      <c r="G194" s="48">
        <f ca="1">OFFSET(梦灵养成!$K$20,_xlfn.XLOOKUP(练度预期!H194,梦灵养成!$D$10:$D$28,梦灵养成!$H$10:$H$28),MATCH(OFFSET(梦灵养成!$C$33,B194,MATCH(练度预期!H194,梦灵养成!$D$33:$V$33,0)),梦灵养成!$L$20:$R$20,1))*(1+(OFFSET(梦灵养成!$C$33,B194,MATCH(练度预期!H194,梦灵养成!$D$33:$V$33,0))-1)*_xlfn.XLOOKUP(练度预期!H194,梦灵养成!$D$9:$D$28,梦灵养成!$G$9:$G$28))</f>
        <v>29.8725</v>
      </c>
      <c r="H194" s="46">
        <f ca="1">符文养成!AC195</f>
        <v>24.8452611494271</v>
      </c>
      <c r="I194" s="46">
        <f>MAX(_xlfn.XLOOKUP(练度预期!O194,秘宝养成!$B$3:$B$15,秘宝养成!$E$3:$E$15),1)</f>
        <v>2.7915904</v>
      </c>
      <c r="J194" s="104">
        <f ca="1" t="shared" si="47"/>
        <v>54914787.5813803</v>
      </c>
      <c r="K194" s="104">
        <f ca="1">MATCH(J194,关卡预期!$E$4:$E$303,1)</f>
        <v>179</v>
      </c>
      <c r="L194" s="48">
        <f ca="1" t="shared" si="48"/>
        <v>0.769059955588453</v>
      </c>
      <c r="M194" s="48">
        <f ca="1" t="shared" si="49"/>
        <v>0.193930421909697</v>
      </c>
      <c r="N194" s="48">
        <f ca="1" t="shared" si="50"/>
        <v>0.0370096225018505</v>
      </c>
      <c r="O194" s="48">
        <f ca="1" t="shared" si="51"/>
        <v>0.0604801101809902</v>
      </c>
      <c r="P194" s="48">
        <f ca="1" t="shared" si="52"/>
        <v>0.417941395794422</v>
      </c>
      <c r="Q194" s="48">
        <f ca="1" t="shared" si="53"/>
        <v>0.395269627219781</v>
      </c>
      <c r="R194" s="48">
        <f ca="1" t="shared" si="54"/>
        <v>0.126308866804806</v>
      </c>
      <c r="S194" s="46">
        <f ca="1" t="shared" si="55"/>
        <v>0.769059955588453</v>
      </c>
      <c r="T194" s="46">
        <f ca="1" t="shared" si="56"/>
        <v>0.193930421909697</v>
      </c>
      <c r="U194" s="46">
        <f ca="1" t="shared" si="57"/>
        <v>0.0370096225018505</v>
      </c>
      <c r="V194" s="48">
        <f ca="1" t="shared" si="58"/>
        <v>0.491569407160296</v>
      </c>
      <c r="W194" s="48">
        <f ca="1" t="shared" si="59"/>
        <v>3.39693832474177</v>
      </c>
      <c r="X194" s="48">
        <f ca="1" t="shared" si="60"/>
        <v>3.21266703614523</v>
      </c>
      <c r="Y194" s="48">
        <f t="shared" si="61"/>
        <v>1.02661146926685</v>
      </c>
      <c r="Z194" s="105">
        <f ca="1" t="shared" si="62"/>
        <v>0.0604801101809902</v>
      </c>
      <c r="AA194" s="105">
        <f ca="1" t="shared" si="63"/>
        <v>0.417941395794422</v>
      </c>
      <c r="AB194" s="105">
        <f ca="1" t="shared" si="64"/>
        <v>0.395269627219781</v>
      </c>
      <c r="AC194" s="105">
        <f ca="1" t="shared" si="65"/>
        <v>0.126308866804806</v>
      </c>
      <c r="AD194" s="105">
        <f ca="1" t="shared" si="66"/>
        <v>0.769059955588453</v>
      </c>
      <c r="AE194" s="105">
        <f ca="1" t="shared" si="67"/>
        <v>0.193930421909697</v>
      </c>
      <c r="AF194" s="105">
        <f ca="1" t="shared" si="68"/>
        <v>0.0370096225018505</v>
      </c>
    </row>
    <row r="195" ht="16.5" spans="1:32">
      <c r="A195">
        <f ca="1" t="shared" si="46"/>
        <v>16212</v>
      </c>
      <c r="B195" s="2">
        <v>193</v>
      </c>
      <c r="C195" s="2">
        <f>_xlfn.XLOOKUP(练度预期!D195,装备养成!$B$3:$B$303,装备养成!$D$3:$D$303)*6</f>
        <v>12468</v>
      </c>
      <c r="D195" s="2" cm="1">
        <f ca="1" t="array" ref="D195">_xlfn.XLOOKUP(练度预期!E195&amp;"_"&amp;INT(练度预期!C195/10)*10+10,装备养成!$N$4:$N$219&amp;"_"&amp;装备养成!$K$4:$K$219,装备养成!$P$4:$P$219)*练度预期!F195+_xlfn.XLOOKUP(练度预期!E195-1&amp;"_"&amp;INT(练度预期!C195/10)*10+10,装备养成!$N$4:$N$219&amp;"_"&amp;装备养成!$K$4:$K$219,装备养成!$P$4:$P$219)*(6-练度预期!F195)</f>
        <v>3144</v>
      </c>
      <c r="E195" s="2">
        <f ca="1">练度预期!N195*4*练度预期!M195</f>
        <v>600</v>
      </c>
      <c r="F195" s="103">
        <f ca="1">INT(练度预期!D195/10)*0.02+1+_xlfn.XLOOKUP(练度预期!E195,装备养成!$U$3:$U$11,装备养成!$V$3:$V$11)*练度预期!F195+_xlfn.XLOOKUP(练度预期!E195-1,装备养成!$U$3:$U$11,装备养成!$V$3:$V$11)*(6-练度预期!F195)</f>
        <v>1.63488</v>
      </c>
      <c r="G195" s="48">
        <f ca="1">OFFSET(梦灵养成!$K$20,_xlfn.XLOOKUP(练度预期!H195,梦灵养成!$D$10:$D$28,梦灵养成!$H$10:$H$28),MATCH(OFFSET(梦灵养成!$C$33,B195,MATCH(练度预期!H195,梦灵养成!$D$33:$V$33,0)),梦灵养成!$L$20:$R$20,1))*(1+(OFFSET(梦灵养成!$C$33,B195,MATCH(练度预期!H195,梦灵养成!$D$33:$V$33,0))-1)*_xlfn.XLOOKUP(练度预期!H195,梦灵养成!$D$9:$D$28,梦灵养成!$G$9:$G$28))</f>
        <v>29.8725</v>
      </c>
      <c r="H195" s="46">
        <f ca="1">符文养成!AC196</f>
        <v>24.8979566280323</v>
      </c>
      <c r="I195" s="46">
        <f>MAX(_xlfn.XLOOKUP(练度预期!O195,秘宝养成!$B$3:$B$15,秘宝养成!$E$3:$E$15),1)</f>
        <v>2.7915904</v>
      </c>
      <c r="J195" s="104">
        <f ca="1" t="shared" si="47"/>
        <v>55031258.9276342</v>
      </c>
      <c r="K195" s="104">
        <f ca="1">MATCH(J195,关卡预期!$E$4:$E$303,1)</f>
        <v>179</v>
      </c>
      <c r="L195" s="48">
        <f ca="1" t="shared" si="48"/>
        <v>0.769059955588453</v>
      </c>
      <c r="M195" s="48">
        <f ca="1" t="shared" si="49"/>
        <v>0.193930421909696</v>
      </c>
      <c r="N195" s="48">
        <f ca="1" t="shared" si="50"/>
        <v>0.0370096225018506</v>
      </c>
      <c r="O195" s="48">
        <f ca="1" t="shared" si="51"/>
        <v>0.0604643487101708</v>
      </c>
      <c r="P195" s="48">
        <f ca="1" t="shared" si="52"/>
        <v>0.417832477819664</v>
      </c>
      <c r="Q195" s="48">
        <f ca="1" t="shared" si="53"/>
        <v>0.395427223495577</v>
      </c>
      <c r="R195" s="48">
        <f ca="1" t="shared" si="54"/>
        <v>0.126275949974588</v>
      </c>
      <c r="S195" s="46">
        <f ca="1" t="shared" si="55"/>
        <v>0.769059955588453</v>
      </c>
      <c r="T195" s="46">
        <f ca="1" t="shared" si="56"/>
        <v>0.193930421909696</v>
      </c>
      <c r="U195" s="46">
        <f ca="1" t="shared" si="57"/>
        <v>0.0370096225018506</v>
      </c>
      <c r="V195" s="48">
        <f ca="1" t="shared" si="58"/>
        <v>0.491569407160296</v>
      </c>
      <c r="W195" s="48">
        <f ca="1" t="shared" si="59"/>
        <v>3.39693832474177</v>
      </c>
      <c r="X195" s="48">
        <f ca="1" t="shared" si="60"/>
        <v>3.21478573697207</v>
      </c>
      <c r="Y195" s="48">
        <f t="shared" si="61"/>
        <v>1.02661146926685</v>
      </c>
      <c r="Z195" s="105">
        <f ca="1" t="shared" si="62"/>
        <v>0.0604643487101708</v>
      </c>
      <c r="AA195" s="105">
        <f ca="1" t="shared" si="63"/>
        <v>0.417832477819664</v>
      </c>
      <c r="AB195" s="105">
        <f ca="1" t="shared" si="64"/>
        <v>0.395427223495576</v>
      </c>
      <c r="AC195" s="105">
        <f ca="1" t="shared" si="65"/>
        <v>0.126275949974588</v>
      </c>
      <c r="AD195" s="105">
        <f ca="1" t="shared" si="66"/>
        <v>0.769059955588453</v>
      </c>
      <c r="AE195" s="105">
        <f ca="1" t="shared" si="67"/>
        <v>0.193930421909697</v>
      </c>
      <c r="AF195" s="105">
        <f ca="1" t="shared" si="68"/>
        <v>0.0370096225018505</v>
      </c>
    </row>
    <row r="196" ht="16.5" spans="1:32">
      <c r="A196">
        <f ca="1" t="shared" ref="A196:A259" si="69">SUM(C196:E196)</f>
        <v>16212</v>
      </c>
      <c r="B196" s="2">
        <v>194</v>
      </c>
      <c r="C196" s="2">
        <f>_xlfn.XLOOKUP(练度预期!D196,装备养成!$B$3:$B$303,装备养成!$D$3:$D$303)*6</f>
        <v>12468</v>
      </c>
      <c r="D196" s="2" cm="1">
        <f ca="1" t="array" ref="D196">_xlfn.XLOOKUP(练度预期!E196&amp;"_"&amp;INT(练度预期!C196/10)*10+10,装备养成!$N$4:$N$219&amp;"_"&amp;装备养成!$K$4:$K$219,装备养成!$P$4:$P$219)*练度预期!F196+_xlfn.XLOOKUP(练度预期!E196-1&amp;"_"&amp;INT(练度预期!C196/10)*10+10,装备养成!$N$4:$N$219&amp;"_"&amp;装备养成!$K$4:$K$219,装备养成!$P$4:$P$219)*(6-练度预期!F196)</f>
        <v>3144</v>
      </c>
      <c r="E196" s="2">
        <f ca="1">练度预期!N196*4*练度预期!M196</f>
        <v>600</v>
      </c>
      <c r="F196" s="103">
        <f ca="1">INT(练度预期!D196/10)*0.02+1+_xlfn.XLOOKUP(练度预期!E196,装备养成!$U$3:$U$11,装备养成!$V$3:$V$11)*练度预期!F196+_xlfn.XLOOKUP(练度预期!E196-1,装备养成!$U$3:$U$11,装备养成!$V$3:$V$11)*(6-练度预期!F196)</f>
        <v>1.63488</v>
      </c>
      <c r="G196" s="48">
        <f ca="1">OFFSET(梦灵养成!$K$20,_xlfn.XLOOKUP(练度预期!H196,梦灵养成!$D$10:$D$28,梦灵养成!$H$10:$H$28),MATCH(OFFSET(梦灵养成!$C$33,B196,MATCH(练度预期!H196,梦灵养成!$D$33:$V$33,0)),梦灵养成!$L$20:$R$20,1))*(1+(OFFSET(梦灵养成!$C$33,B196,MATCH(练度预期!H196,梦灵养成!$D$33:$V$33,0))-1)*_xlfn.XLOOKUP(练度预期!H196,梦灵养成!$D$9:$D$28,梦灵养成!$G$9:$G$28))</f>
        <v>29.8725</v>
      </c>
      <c r="H196" s="46">
        <f ca="1">符文养成!AC197</f>
        <v>24.9426540542226</v>
      </c>
      <c r="I196" s="46">
        <f>MAX(_xlfn.XLOOKUP(练度预期!O196,秘宝养成!$B$3:$B$15,秘宝养成!$E$3:$E$15),1)</f>
        <v>2.7915904</v>
      </c>
      <c r="J196" s="104">
        <f ca="1" t="shared" ref="J196:J259" si="70">(C196+D196+E196)*G196*H196*I196*F196</f>
        <v>55130052.4017665</v>
      </c>
      <c r="K196" s="104">
        <f ca="1">MATCH(J196,关卡预期!$E$4:$E$303,1)</f>
        <v>179</v>
      </c>
      <c r="L196" s="48">
        <f ca="1" t="shared" ref="L196:L259" si="71">S196/SUM($S196:$U196)</f>
        <v>0.769059955588453</v>
      </c>
      <c r="M196" s="48">
        <f ca="1" t="shared" ref="M196:M259" si="72">T196/SUM($S196:$U196)</f>
        <v>0.193930421909697</v>
      </c>
      <c r="N196" s="48">
        <f ca="1" t="shared" ref="N196:N259" si="73">U196/SUM($S196:$U196)</f>
        <v>0.0370096225018506</v>
      </c>
      <c r="O196" s="48">
        <f ca="1" t="shared" ref="O196:O259" si="74">V196/SUM($V196:$Y196)</f>
        <v>0.0604510120408974</v>
      </c>
      <c r="P196" s="48">
        <f ca="1" t="shared" ref="P196:P259" si="75">W196/SUM($V196:$Y196)</f>
        <v>0.417740316179173</v>
      </c>
      <c r="Q196" s="48">
        <f ca="1" t="shared" ref="Q196:Q259" si="76">X196/SUM($V196:$Y196)</f>
        <v>0.395560574591618</v>
      </c>
      <c r="R196" s="48">
        <f ca="1" t="shared" ref="R196:R259" si="77">Y196/SUM($V196:$Y196)</f>
        <v>0.126248097188312</v>
      </c>
      <c r="S196" s="46">
        <f ca="1" t="shared" ref="S196:S259" si="78">1-($C196+$D196+$E196-C196)*$G196*$H196*$F196*$I196/$J196</f>
        <v>0.769059955588453</v>
      </c>
      <c r="T196" s="46">
        <f ca="1" t="shared" ref="T196:T259" si="79">1-($C196+$D196+$E196-D196)*$G196*$H196*$F196*$I196/$J196</f>
        <v>0.193930421909697</v>
      </c>
      <c r="U196" s="46">
        <f ca="1" t="shared" ref="U196:U259" si="80">1-($C196+$D196+$E196-E196)*$G196*$H196*$F196*$I196/$J196</f>
        <v>0.0370096225018506</v>
      </c>
      <c r="V196" s="48">
        <f ca="1" t="shared" ref="V196:V259" si="81">LOG(F196,EXP(1))</f>
        <v>0.491569407160296</v>
      </c>
      <c r="W196" s="48">
        <f ca="1" t="shared" ref="W196:W259" si="82">LOG(G196,EXP(1))</f>
        <v>3.39693832474177</v>
      </c>
      <c r="X196" s="48">
        <f ca="1" t="shared" ref="X196:X259" si="83">LOG(H196,EXP(1))</f>
        <v>3.21657935216102</v>
      </c>
      <c r="Y196" s="48">
        <f t="shared" ref="Y196:Y259" si="84">LOG(I196,EXP(1))</f>
        <v>1.02661146926685</v>
      </c>
      <c r="Z196" s="105">
        <f ca="1" t="shared" ref="Z196:Z259" si="85">O196/SUM($O196:$R196)</f>
        <v>0.0604510120408974</v>
      </c>
      <c r="AA196" s="105">
        <f ca="1" t="shared" ref="AA196:AA259" si="86">P196/SUM($O196:$R196)</f>
        <v>0.417740316179173</v>
      </c>
      <c r="AB196" s="105">
        <f ca="1" t="shared" ref="AB196:AB259" si="87">Q196/SUM($O196:$R196)</f>
        <v>0.395560574591618</v>
      </c>
      <c r="AC196" s="105">
        <f ca="1" t="shared" ref="AC196:AC259" si="88">R196/SUM($O196:$R196)</f>
        <v>0.126248097188312</v>
      </c>
      <c r="AD196" s="105">
        <f ca="1" t="shared" ref="AD196:AD259" si="89">C196/SUM($C196:$E196)</f>
        <v>0.769059955588453</v>
      </c>
      <c r="AE196" s="105">
        <f ca="1" t="shared" ref="AE196:AE259" si="90">D196/SUM($C196:$E196)</f>
        <v>0.193930421909697</v>
      </c>
      <c r="AF196" s="105">
        <f ca="1" t="shared" ref="AF196:AF259" si="91">E196/SUM($C196:$E196)</f>
        <v>0.0370096225018505</v>
      </c>
    </row>
    <row r="197" ht="16.5" spans="1:32">
      <c r="A197">
        <f ca="1" t="shared" si="69"/>
        <v>16212</v>
      </c>
      <c r="B197" s="2">
        <v>195</v>
      </c>
      <c r="C197" s="2">
        <f>_xlfn.XLOOKUP(练度预期!D197,装备养成!$B$3:$B$303,装备养成!$D$3:$D$303)*6</f>
        <v>12468</v>
      </c>
      <c r="D197" s="2" cm="1">
        <f ca="1" t="array" ref="D197">_xlfn.XLOOKUP(练度预期!E197&amp;"_"&amp;INT(练度预期!C197/10)*10+10,装备养成!$N$4:$N$219&amp;"_"&amp;装备养成!$K$4:$K$219,装备养成!$P$4:$P$219)*练度预期!F197+_xlfn.XLOOKUP(练度预期!E197-1&amp;"_"&amp;INT(练度预期!C197/10)*10+10,装备养成!$N$4:$N$219&amp;"_"&amp;装备养成!$K$4:$K$219,装备养成!$P$4:$P$219)*(6-练度预期!F197)</f>
        <v>3144</v>
      </c>
      <c r="E197" s="2">
        <f ca="1">练度预期!N197*4*练度预期!M197</f>
        <v>600</v>
      </c>
      <c r="F197" s="103">
        <f ca="1">INT(练度预期!D197/10)*0.02+1+_xlfn.XLOOKUP(练度预期!E197,装备养成!$U$3:$U$11,装备养成!$V$3:$V$11)*练度预期!F197+_xlfn.XLOOKUP(练度预期!E197-1,装备养成!$U$3:$U$11,装备养成!$V$3:$V$11)*(6-练度预期!F197)</f>
        <v>1.63488</v>
      </c>
      <c r="G197" s="48">
        <f ca="1">OFFSET(梦灵养成!$K$20,_xlfn.XLOOKUP(练度预期!H197,梦灵养成!$D$10:$D$28,梦灵养成!$H$10:$H$28),MATCH(OFFSET(梦灵养成!$C$33,B197,MATCH(练度预期!H197,梦灵养成!$D$33:$V$33,0)),梦灵养成!$L$20:$R$20,1))*(1+(OFFSET(梦灵养成!$C$33,B197,MATCH(练度预期!H197,梦灵养成!$D$33:$V$33,0))-1)*_xlfn.XLOOKUP(练度预期!H197,梦灵养成!$D$9:$D$28,梦灵养成!$G$9:$G$28))</f>
        <v>29.8725</v>
      </c>
      <c r="H197" s="46">
        <f ca="1">符文养成!AC198</f>
        <v>24.9964957835134</v>
      </c>
      <c r="I197" s="46">
        <f>MAX(_xlfn.XLOOKUP(练度预期!O197,秘宝养成!$B$3:$B$15,秘宝养成!$E$3:$E$15),1)</f>
        <v>2.7915904</v>
      </c>
      <c r="J197" s="104">
        <f ca="1" t="shared" si="70"/>
        <v>55249057.2739323</v>
      </c>
      <c r="K197" s="104">
        <f ca="1">MATCH(J197,关卡预期!$E$4:$E$303,1)</f>
        <v>179</v>
      </c>
      <c r="L197" s="48">
        <f ca="1" t="shared" si="71"/>
        <v>0.769059955588453</v>
      </c>
      <c r="M197" s="48">
        <f ca="1" t="shared" si="72"/>
        <v>0.193930421909697</v>
      </c>
      <c r="N197" s="48">
        <f ca="1" t="shared" si="73"/>
        <v>0.0370096225018507</v>
      </c>
      <c r="O197" s="48">
        <f ca="1" t="shared" si="74"/>
        <v>0.0604349864084646</v>
      </c>
      <c r="P197" s="48">
        <f ca="1" t="shared" si="75"/>
        <v>0.417629572743564</v>
      </c>
      <c r="Q197" s="48">
        <f ca="1" t="shared" si="76"/>
        <v>0.395720812174621</v>
      </c>
      <c r="R197" s="48">
        <f ca="1" t="shared" si="77"/>
        <v>0.126214628673351</v>
      </c>
      <c r="S197" s="46">
        <f ca="1" t="shared" si="78"/>
        <v>0.769059955588453</v>
      </c>
      <c r="T197" s="46">
        <f ca="1" t="shared" si="79"/>
        <v>0.193930421909697</v>
      </c>
      <c r="U197" s="46">
        <f ca="1" t="shared" si="80"/>
        <v>0.0370096225018507</v>
      </c>
      <c r="V197" s="48">
        <f ca="1" t="shared" si="81"/>
        <v>0.491569407160296</v>
      </c>
      <c r="W197" s="48">
        <f ca="1" t="shared" si="82"/>
        <v>3.39693832474177</v>
      </c>
      <c r="X197" s="48">
        <f ca="1" t="shared" si="83"/>
        <v>3.21873564638419</v>
      </c>
      <c r="Y197" s="48">
        <f t="shared" si="84"/>
        <v>1.02661146926685</v>
      </c>
      <c r="Z197" s="105">
        <f ca="1" t="shared" si="85"/>
        <v>0.0604349864084646</v>
      </c>
      <c r="AA197" s="105">
        <f ca="1" t="shared" si="86"/>
        <v>0.417629572743564</v>
      </c>
      <c r="AB197" s="105">
        <f ca="1" t="shared" si="87"/>
        <v>0.395720812174621</v>
      </c>
      <c r="AC197" s="105">
        <f ca="1" t="shared" si="88"/>
        <v>0.126214628673351</v>
      </c>
      <c r="AD197" s="105">
        <f ca="1" t="shared" si="89"/>
        <v>0.769059955588453</v>
      </c>
      <c r="AE197" s="105">
        <f ca="1" t="shared" si="90"/>
        <v>0.193930421909697</v>
      </c>
      <c r="AF197" s="105">
        <f ca="1" t="shared" si="91"/>
        <v>0.0370096225018505</v>
      </c>
    </row>
    <row r="198" ht="16.5" spans="1:32">
      <c r="A198">
        <f ca="1" t="shared" si="69"/>
        <v>16452</v>
      </c>
      <c r="B198" s="2">
        <v>196</v>
      </c>
      <c r="C198" s="2">
        <f>_xlfn.XLOOKUP(练度预期!D198,装备养成!$B$3:$B$303,装备养成!$D$3:$D$303)*6</f>
        <v>12708</v>
      </c>
      <c r="D198" s="2" cm="1">
        <f ca="1" t="array" ref="D198">_xlfn.XLOOKUP(练度预期!E198&amp;"_"&amp;INT(练度预期!C198/10)*10+10,装备养成!$N$4:$N$219&amp;"_"&amp;装备养成!$K$4:$K$219,装备养成!$P$4:$P$219)*练度预期!F198+_xlfn.XLOOKUP(练度预期!E198-1&amp;"_"&amp;INT(练度预期!C198/10)*10+10,装备养成!$N$4:$N$219&amp;"_"&amp;装备养成!$K$4:$K$219,装备养成!$P$4:$P$219)*(6-练度预期!F198)</f>
        <v>3144</v>
      </c>
      <c r="E198" s="2">
        <f ca="1">练度预期!N198*4*练度预期!M198</f>
        <v>600</v>
      </c>
      <c r="F198" s="103">
        <f ca="1">INT(练度预期!D198/10)*0.02+1+_xlfn.XLOOKUP(练度预期!E198,装备养成!$U$3:$U$11,装备养成!$V$3:$V$11)*练度预期!F198+_xlfn.XLOOKUP(练度预期!E198-1,装备养成!$U$3:$U$11,装备养成!$V$3:$V$11)*(6-练度预期!F198)</f>
        <v>1.63488</v>
      </c>
      <c r="G198" s="48">
        <f ca="1">OFFSET(梦灵养成!$K$20,_xlfn.XLOOKUP(练度预期!H198,梦灵养成!$D$10:$D$28,梦灵养成!$H$10:$H$28),MATCH(OFFSET(梦灵养成!$C$33,B198,MATCH(练度预期!H198,梦灵养成!$D$33:$V$33,0)),梦灵养成!$L$20:$R$20,1))*(1+(OFFSET(梦灵养成!$C$33,B198,MATCH(练度预期!H198,梦灵养成!$D$33:$V$33,0))-1)*_xlfn.XLOOKUP(练度预期!H198,梦灵养成!$D$9:$D$28,梦灵养成!$G$9:$G$28))</f>
        <v>29.8725</v>
      </c>
      <c r="H198" s="46">
        <f ca="1">符文养成!AC199</f>
        <v>25.0441838124972</v>
      </c>
      <c r="I198" s="46">
        <f>MAX(_xlfn.XLOOKUP(练度预期!O198,秘宝养成!$B$3:$B$15,秘宝养成!$E$3:$E$15),1)</f>
        <v>2.7915904</v>
      </c>
      <c r="J198" s="104">
        <f ca="1" t="shared" si="70"/>
        <v>56173919.8730984</v>
      </c>
      <c r="K198" s="104">
        <f ca="1">MATCH(J198,关卡预期!$E$4:$E$303,1)</f>
        <v>180</v>
      </c>
      <c r="L198" s="48">
        <f ca="1" t="shared" si="71"/>
        <v>0.772428884026258</v>
      </c>
      <c r="M198" s="48">
        <f ca="1" t="shared" si="72"/>
        <v>0.191101385849745</v>
      </c>
      <c r="N198" s="48">
        <f ca="1" t="shared" si="73"/>
        <v>0.036469730123997</v>
      </c>
      <c r="O198" s="48">
        <f ca="1" t="shared" si="74"/>
        <v>0.0604208282569012</v>
      </c>
      <c r="P198" s="48">
        <f ca="1" t="shared" si="75"/>
        <v>0.417531734336713</v>
      </c>
      <c r="Q198" s="48">
        <f ca="1" t="shared" si="76"/>
        <v>0.395862377132872</v>
      </c>
      <c r="R198" s="48">
        <f ca="1" t="shared" si="77"/>
        <v>0.126185060273514</v>
      </c>
      <c r="S198" s="46">
        <f ca="1" t="shared" si="78"/>
        <v>0.772428884026258</v>
      </c>
      <c r="T198" s="46">
        <f ca="1" t="shared" si="79"/>
        <v>0.191101385849745</v>
      </c>
      <c r="U198" s="46">
        <f ca="1" t="shared" si="80"/>
        <v>0.036469730123997</v>
      </c>
      <c r="V198" s="48">
        <f ca="1" t="shared" si="81"/>
        <v>0.491569407160296</v>
      </c>
      <c r="W198" s="48">
        <f ca="1" t="shared" si="82"/>
        <v>3.39693832474177</v>
      </c>
      <c r="X198" s="48">
        <f ca="1" t="shared" si="83"/>
        <v>3.22064161743835</v>
      </c>
      <c r="Y198" s="48">
        <f t="shared" si="84"/>
        <v>1.02661146926685</v>
      </c>
      <c r="Z198" s="105">
        <f ca="1" t="shared" si="85"/>
        <v>0.0604208282569012</v>
      </c>
      <c r="AA198" s="105">
        <f ca="1" t="shared" si="86"/>
        <v>0.417531734336713</v>
      </c>
      <c r="AB198" s="105">
        <f ca="1" t="shared" si="87"/>
        <v>0.395862377132872</v>
      </c>
      <c r="AC198" s="105">
        <f ca="1" t="shared" si="88"/>
        <v>0.126185060273514</v>
      </c>
      <c r="AD198" s="105">
        <f ca="1" t="shared" si="89"/>
        <v>0.772428884026258</v>
      </c>
      <c r="AE198" s="105">
        <f ca="1" t="shared" si="90"/>
        <v>0.191101385849745</v>
      </c>
      <c r="AF198" s="105">
        <f ca="1" t="shared" si="91"/>
        <v>0.0364697301239971</v>
      </c>
    </row>
    <row r="199" ht="16.5" spans="1:32">
      <c r="A199">
        <f ca="1" t="shared" si="69"/>
        <v>16452</v>
      </c>
      <c r="B199" s="2">
        <v>197</v>
      </c>
      <c r="C199" s="2">
        <f>_xlfn.XLOOKUP(练度预期!D199,装备养成!$B$3:$B$303,装备养成!$D$3:$D$303)*6</f>
        <v>12708</v>
      </c>
      <c r="D199" s="2" cm="1">
        <f ca="1" t="array" ref="D199">_xlfn.XLOOKUP(练度预期!E199&amp;"_"&amp;INT(练度预期!C199/10)*10+10,装备养成!$N$4:$N$219&amp;"_"&amp;装备养成!$K$4:$K$219,装备养成!$P$4:$P$219)*练度预期!F199+_xlfn.XLOOKUP(练度预期!E199-1&amp;"_"&amp;INT(练度预期!C199/10)*10+10,装备养成!$N$4:$N$219&amp;"_"&amp;装备养成!$K$4:$K$219,装备养成!$P$4:$P$219)*(6-练度预期!F199)</f>
        <v>3144</v>
      </c>
      <c r="E199" s="2">
        <f ca="1">练度预期!N199*4*练度预期!M199</f>
        <v>600</v>
      </c>
      <c r="F199" s="103">
        <f ca="1">INT(练度预期!D199/10)*0.02+1+_xlfn.XLOOKUP(练度预期!E199,装备养成!$U$3:$U$11,装备养成!$V$3:$V$11)*练度预期!F199+_xlfn.XLOOKUP(练度预期!E199-1,装备养成!$U$3:$U$11,装备养成!$V$3:$V$11)*(6-练度预期!F199)</f>
        <v>1.63488</v>
      </c>
      <c r="G199" s="48">
        <f ca="1">OFFSET(梦灵养成!$K$20,_xlfn.XLOOKUP(练度预期!H199,梦灵养成!$D$10:$D$28,梦灵养成!$H$10:$H$28),MATCH(OFFSET(梦灵养成!$C$33,B199,MATCH(练度预期!H199,梦灵养成!$D$33:$V$33,0)),梦灵养成!$L$20:$R$20,1))*(1+(OFFSET(梦灵养成!$C$33,B199,MATCH(练度预期!H199,梦灵养成!$D$33:$V$33,0))-1)*_xlfn.XLOOKUP(练度预期!H199,梦灵养成!$D$9:$D$28,梦灵养成!$G$9:$G$28))</f>
        <v>29.8725</v>
      </c>
      <c r="H199" s="46">
        <f ca="1">符文养成!AC200</f>
        <v>25.0900847233769</v>
      </c>
      <c r="I199" s="46">
        <f>MAX(_xlfn.XLOOKUP(练度预期!O199,秘宝养成!$B$3:$B$15,秘宝养成!$E$3:$E$15),1)</f>
        <v>2.7915904</v>
      </c>
      <c r="J199" s="104">
        <f ca="1" t="shared" si="70"/>
        <v>56276875.2782001</v>
      </c>
      <c r="K199" s="104">
        <f ca="1">MATCH(J199,关卡预期!$E$4:$E$303,1)</f>
        <v>180</v>
      </c>
      <c r="L199" s="48">
        <f ca="1" t="shared" si="71"/>
        <v>0.772428884026258</v>
      </c>
      <c r="M199" s="48">
        <f ca="1" t="shared" si="72"/>
        <v>0.191101385849745</v>
      </c>
      <c r="N199" s="48">
        <f ca="1" t="shared" si="73"/>
        <v>0.0364697301239971</v>
      </c>
      <c r="O199" s="48">
        <f ca="1" t="shared" si="74"/>
        <v>0.0604072323712224</v>
      </c>
      <c r="P199" s="48">
        <f ca="1" t="shared" si="75"/>
        <v>0.417437781408707</v>
      </c>
      <c r="Q199" s="48">
        <f ca="1" t="shared" si="76"/>
        <v>0.395998320089824</v>
      </c>
      <c r="R199" s="48">
        <f ca="1" t="shared" si="77"/>
        <v>0.126156666130247</v>
      </c>
      <c r="S199" s="46">
        <f ca="1" t="shared" si="78"/>
        <v>0.772428884026258</v>
      </c>
      <c r="T199" s="46">
        <f ca="1" t="shared" si="79"/>
        <v>0.191101385849745</v>
      </c>
      <c r="U199" s="46">
        <f ca="1" t="shared" si="80"/>
        <v>0.0364697301239971</v>
      </c>
      <c r="V199" s="48">
        <f ca="1" t="shared" si="81"/>
        <v>0.491569407160296</v>
      </c>
      <c r="W199" s="48">
        <f ca="1" t="shared" si="82"/>
        <v>3.39693832474177</v>
      </c>
      <c r="X199" s="48">
        <f ca="1" t="shared" si="83"/>
        <v>3.2224727371513</v>
      </c>
      <c r="Y199" s="48">
        <f t="shared" si="84"/>
        <v>1.02661146926685</v>
      </c>
      <c r="Z199" s="105">
        <f ca="1" t="shared" si="85"/>
        <v>0.0604072323712225</v>
      </c>
      <c r="AA199" s="105">
        <f ca="1" t="shared" si="86"/>
        <v>0.417437781408707</v>
      </c>
      <c r="AB199" s="105">
        <f ca="1" t="shared" si="87"/>
        <v>0.395998320089824</v>
      </c>
      <c r="AC199" s="105">
        <f ca="1" t="shared" si="88"/>
        <v>0.126156666130247</v>
      </c>
      <c r="AD199" s="105">
        <f ca="1" t="shared" si="89"/>
        <v>0.772428884026258</v>
      </c>
      <c r="AE199" s="105">
        <f ca="1" t="shared" si="90"/>
        <v>0.191101385849745</v>
      </c>
      <c r="AF199" s="105">
        <f ca="1" t="shared" si="91"/>
        <v>0.0364697301239971</v>
      </c>
    </row>
    <row r="200" ht="16.5" spans="1:32">
      <c r="A200">
        <f ca="1" t="shared" si="69"/>
        <v>16452</v>
      </c>
      <c r="B200" s="2">
        <v>198</v>
      </c>
      <c r="C200" s="2">
        <f>_xlfn.XLOOKUP(练度预期!D200,装备养成!$B$3:$B$303,装备养成!$D$3:$D$303)*6</f>
        <v>12708</v>
      </c>
      <c r="D200" s="2" cm="1">
        <f ca="1" t="array" ref="D200">_xlfn.XLOOKUP(练度预期!E200&amp;"_"&amp;INT(练度预期!C200/10)*10+10,装备养成!$N$4:$N$219&amp;"_"&amp;装备养成!$K$4:$K$219,装备养成!$P$4:$P$219)*练度预期!F200+_xlfn.XLOOKUP(练度预期!E200-1&amp;"_"&amp;INT(练度预期!C200/10)*10+10,装备养成!$N$4:$N$219&amp;"_"&amp;装备养成!$K$4:$K$219,装备养成!$P$4:$P$219)*(6-练度预期!F200)</f>
        <v>3144</v>
      </c>
      <c r="E200" s="2">
        <f ca="1">练度预期!N200*4*练度预期!M200</f>
        <v>600</v>
      </c>
      <c r="F200" s="103">
        <f ca="1">INT(练度预期!D200/10)*0.02+1+_xlfn.XLOOKUP(练度预期!E200,装备养成!$U$3:$U$11,装备养成!$V$3:$V$11)*练度预期!F200+_xlfn.XLOOKUP(练度预期!E200-1,装备养成!$U$3:$U$11,装备养成!$V$3:$V$11)*(6-练度预期!F200)</f>
        <v>1.63488</v>
      </c>
      <c r="G200" s="48">
        <f ca="1">OFFSET(梦灵养成!$K$20,_xlfn.XLOOKUP(练度预期!H200,梦灵养成!$D$10:$D$28,梦灵养成!$H$10:$H$28),MATCH(OFFSET(梦灵养成!$C$33,B200,MATCH(练度预期!H200,梦灵养成!$D$33:$V$33,0)),梦灵养成!$L$20:$R$20,1))*(1+(OFFSET(梦灵养成!$C$33,B200,MATCH(练度预期!H200,梦灵养成!$D$33:$V$33,0))-1)*_xlfn.XLOOKUP(练度预期!H200,梦灵养成!$D$9:$D$28,梦灵养成!$G$9:$G$28))</f>
        <v>29.8725</v>
      </c>
      <c r="H200" s="46">
        <f ca="1">符文养成!AC201</f>
        <v>25.1432798477909</v>
      </c>
      <c r="I200" s="46">
        <f>MAX(_xlfn.XLOOKUP(练度预期!O200,秘宝养成!$B$3:$B$15,秘宝养成!$E$3:$E$15),1)</f>
        <v>2.7915904</v>
      </c>
      <c r="J200" s="104">
        <f ca="1" t="shared" si="70"/>
        <v>56396191.5505469</v>
      </c>
      <c r="K200" s="104">
        <f ca="1">MATCH(J200,关卡预期!$E$4:$E$303,1)</f>
        <v>180</v>
      </c>
      <c r="L200" s="48">
        <f ca="1" t="shared" si="71"/>
        <v>0.772428884026258</v>
      </c>
      <c r="M200" s="48">
        <f ca="1" t="shared" si="72"/>
        <v>0.191101385849745</v>
      </c>
      <c r="N200" s="48">
        <f ca="1" t="shared" si="73"/>
        <v>0.0364697301239969</v>
      </c>
      <c r="O200" s="48">
        <f ca="1" t="shared" si="74"/>
        <v>0.0603915146445188</v>
      </c>
      <c r="P200" s="48">
        <f ca="1" t="shared" si="75"/>
        <v>0.417329165723028</v>
      </c>
      <c r="Q200" s="48">
        <f ca="1" t="shared" si="76"/>
        <v>0.396155478975618</v>
      </c>
      <c r="R200" s="48">
        <f ca="1" t="shared" si="77"/>
        <v>0.126123840656835</v>
      </c>
      <c r="S200" s="46">
        <f ca="1" t="shared" si="78"/>
        <v>0.772428884026258</v>
      </c>
      <c r="T200" s="46">
        <f ca="1" t="shared" si="79"/>
        <v>0.191101385849745</v>
      </c>
      <c r="U200" s="46">
        <f ca="1" t="shared" si="80"/>
        <v>0.0364697301239969</v>
      </c>
      <c r="V200" s="48">
        <f ca="1" t="shared" si="81"/>
        <v>0.491569407160296</v>
      </c>
      <c r="W200" s="48">
        <f ca="1" t="shared" si="82"/>
        <v>3.39693832474177</v>
      </c>
      <c r="X200" s="48">
        <f ca="1" t="shared" si="83"/>
        <v>3.22459065796956</v>
      </c>
      <c r="Y200" s="48">
        <f t="shared" si="84"/>
        <v>1.02661146926685</v>
      </c>
      <c r="Z200" s="105">
        <f ca="1" t="shared" si="85"/>
        <v>0.0603915146445188</v>
      </c>
      <c r="AA200" s="105">
        <f ca="1" t="shared" si="86"/>
        <v>0.417329165723028</v>
      </c>
      <c r="AB200" s="105">
        <f ca="1" t="shared" si="87"/>
        <v>0.396155478975618</v>
      </c>
      <c r="AC200" s="105">
        <f ca="1" t="shared" si="88"/>
        <v>0.126123840656835</v>
      </c>
      <c r="AD200" s="105">
        <f ca="1" t="shared" si="89"/>
        <v>0.772428884026258</v>
      </c>
      <c r="AE200" s="105">
        <f ca="1" t="shared" si="90"/>
        <v>0.191101385849745</v>
      </c>
      <c r="AF200" s="105">
        <f ca="1" t="shared" si="91"/>
        <v>0.0364697301239971</v>
      </c>
    </row>
    <row r="201" ht="16.5" spans="1:32">
      <c r="A201">
        <f ca="1" t="shared" si="69"/>
        <v>16692</v>
      </c>
      <c r="B201" s="2">
        <v>199</v>
      </c>
      <c r="C201" s="2">
        <f>_xlfn.XLOOKUP(练度预期!D201,装备养成!$B$3:$B$303,装备养成!$D$3:$D$303)*6</f>
        <v>12948</v>
      </c>
      <c r="D201" s="2" cm="1">
        <f ca="1" t="array" ref="D201">_xlfn.XLOOKUP(练度预期!E201&amp;"_"&amp;INT(练度预期!C201/10)*10+10,装备养成!$N$4:$N$219&amp;"_"&amp;装备养成!$K$4:$K$219,装备养成!$P$4:$P$219)*练度预期!F201+_xlfn.XLOOKUP(练度预期!E201-1&amp;"_"&amp;INT(练度预期!C201/10)*10+10,装备养成!$N$4:$N$219&amp;"_"&amp;装备养成!$K$4:$K$219,装备养成!$P$4:$P$219)*(6-练度预期!F201)</f>
        <v>3144</v>
      </c>
      <c r="E201" s="2">
        <f ca="1">练度预期!N201*4*练度预期!M201</f>
        <v>600</v>
      </c>
      <c r="F201" s="103">
        <f ca="1">INT(练度预期!D201/10)*0.02+1+_xlfn.XLOOKUP(练度预期!E201,装备养成!$U$3:$U$11,装备养成!$V$3:$V$11)*练度预期!F201+_xlfn.XLOOKUP(练度预期!E201-1,装备养成!$U$3:$U$11,装备养成!$V$3:$V$11)*(6-练度预期!F201)</f>
        <v>1.63488</v>
      </c>
      <c r="G201" s="48">
        <f ca="1">OFFSET(梦灵养成!$K$20,_xlfn.XLOOKUP(练度预期!H201,梦灵养成!$D$10:$D$28,梦灵养成!$H$10:$H$28),MATCH(OFFSET(梦灵养成!$C$33,B201,MATCH(练度预期!H201,梦灵养成!$D$33:$V$33,0)),梦灵养成!$L$20:$R$20,1))*(1+(OFFSET(梦灵养成!$C$33,B201,MATCH(练度预期!H201,梦灵养成!$D$33:$V$33,0))-1)*_xlfn.XLOOKUP(练度预期!H201,梦灵养成!$D$9:$D$28,梦灵养成!$G$9:$G$28))</f>
        <v>29.8725</v>
      </c>
      <c r="H201" s="46">
        <f ca="1">符文养成!AC202</f>
        <v>25.1893555265418</v>
      </c>
      <c r="I201" s="46">
        <f>MAX(_xlfn.XLOOKUP(练度预期!O201,秘宝养成!$B$3:$B$15,秘宝养成!$E$3:$E$15),1)</f>
        <v>2.7915904</v>
      </c>
      <c r="J201" s="104">
        <f ca="1" t="shared" si="70"/>
        <v>57323748.1338782</v>
      </c>
      <c r="K201" s="104">
        <f ca="1">MATCH(J201,关卡预期!$E$4:$E$303,1)</f>
        <v>180</v>
      </c>
      <c r="L201" s="48">
        <f ca="1" t="shared" si="71"/>
        <v>0.775700934579439</v>
      </c>
      <c r="M201" s="48">
        <f ca="1" t="shared" si="72"/>
        <v>0.188353702372394</v>
      </c>
      <c r="N201" s="48">
        <f ca="1" t="shared" si="73"/>
        <v>0.0359453630481668</v>
      </c>
      <c r="O201" s="48">
        <f ca="1" t="shared" si="74"/>
        <v>0.0603779339646562</v>
      </c>
      <c r="P201" s="48">
        <f ca="1" t="shared" si="75"/>
        <v>0.417235317873204</v>
      </c>
      <c r="Q201" s="48">
        <f ca="1" t="shared" si="76"/>
        <v>0.396291269892191</v>
      </c>
      <c r="R201" s="48">
        <f ca="1" t="shared" si="77"/>
        <v>0.126095478269948</v>
      </c>
      <c r="S201" s="46">
        <f ca="1" t="shared" si="78"/>
        <v>0.775700934579439</v>
      </c>
      <c r="T201" s="46">
        <f ca="1" t="shared" si="79"/>
        <v>0.188353702372394</v>
      </c>
      <c r="U201" s="46">
        <f ca="1" t="shared" si="80"/>
        <v>0.0359453630481668</v>
      </c>
      <c r="V201" s="48">
        <f ca="1" t="shared" si="81"/>
        <v>0.491569407160296</v>
      </c>
      <c r="W201" s="48">
        <f ca="1" t="shared" si="82"/>
        <v>3.39693832474177</v>
      </c>
      <c r="X201" s="48">
        <f ca="1" t="shared" si="83"/>
        <v>3.22642150554107</v>
      </c>
      <c r="Y201" s="48">
        <f t="shared" si="84"/>
        <v>1.02661146926685</v>
      </c>
      <c r="Z201" s="105">
        <f ca="1" t="shared" si="85"/>
        <v>0.0603779339646562</v>
      </c>
      <c r="AA201" s="105">
        <f ca="1" t="shared" si="86"/>
        <v>0.417235317873204</v>
      </c>
      <c r="AB201" s="105">
        <f ca="1" t="shared" si="87"/>
        <v>0.396291269892191</v>
      </c>
      <c r="AC201" s="105">
        <f ca="1" t="shared" si="88"/>
        <v>0.126095478269948</v>
      </c>
      <c r="AD201" s="105">
        <f ca="1" t="shared" si="89"/>
        <v>0.775700934579439</v>
      </c>
      <c r="AE201" s="105">
        <f ca="1" t="shared" si="90"/>
        <v>0.188353702372394</v>
      </c>
      <c r="AF201" s="105">
        <f ca="1" t="shared" si="91"/>
        <v>0.0359453630481668</v>
      </c>
    </row>
    <row r="202" ht="16.5" spans="1:32">
      <c r="A202">
        <f ca="1" t="shared" si="69"/>
        <v>16692</v>
      </c>
      <c r="B202" s="2">
        <v>200</v>
      </c>
      <c r="C202" s="2">
        <f>_xlfn.XLOOKUP(练度预期!D202,装备养成!$B$3:$B$303,装备养成!$D$3:$D$303)*6</f>
        <v>12948</v>
      </c>
      <c r="D202" s="2" cm="1">
        <f ca="1" t="array" ref="D202">_xlfn.XLOOKUP(练度预期!E202&amp;"_"&amp;INT(练度预期!C202/10)*10+10,装备养成!$N$4:$N$219&amp;"_"&amp;装备养成!$K$4:$K$219,装备养成!$P$4:$P$219)*练度预期!F202+_xlfn.XLOOKUP(练度预期!E202-1&amp;"_"&amp;INT(练度预期!C202/10)*10+10,装备养成!$N$4:$N$219&amp;"_"&amp;装备养成!$K$4:$K$219,装备养成!$P$4:$P$219)*(6-练度预期!F202)</f>
        <v>3144</v>
      </c>
      <c r="E202" s="2">
        <f ca="1">练度预期!N202*4*练度预期!M202</f>
        <v>600</v>
      </c>
      <c r="F202" s="103">
        <f ca="1">INT(练度预期!D202/10)*0.02+1+_xlfn.XLOOKUP(练度预期!E202,装备养成!$U$3:$U$11,装备养成!$V$3:$V$11)*练度预期!F202+_xlfn.XLOOKUP(练度预期!E202-1,装备养成!$U$3:$U$11,装备养成!$V$3:$V$11)*(6-练度预期!F202)</f>
        <v>1.63488</v>
      </c>
      <c r="G202" s="48">
        <f ca="1">OFFSET(梦灵养成!$K$20,_xlfn.XLOOKUP(练度预期!H202,梦灵养成!$D$10:$D$28,梦灵养成!$H$10:$H$28),MATCH(OFFSET(梦灵养成!$C$33,B202,MATCH(练度预期!H202,梦灵养成!$D$33:$V$33,0)),梦灵养成!$L$20:$R$20,1))*(1+(OFFSET(梦灵养成!$C$33,B202,MATCH(练度预期!H202,梦灵养成!$D$33:$V$33,0))-1)*_xlfn.XLOOKUP(练度预期!H202,梦灵养成!$D$9:$D$28,梦灵养成!$G$9:$G$28))</f>
        <v>29.8725</v>
      </c>
      <c r="H202" s="46">
        <f ca="1">符文养成!AC203</f>
        <v>25.2427531692173</v>
      </c>
      <c r="I202" s="46">
        <f>MAX(_xlfn.XLOOKUP(练度预期!O202,秘宝养成!$B$3:$B$15,秘宝养成!$E$3:$E$15),1)</f>
        <v>2.7915904</v>
      </c>
      <c r="J202" s="104">
        <f ca="1" t="shared" si="70"/>
        <v>57445265.8526006</v>
      </c>
      <c r="K202" s="104">
        <f ca="1">MATCH(J202,关卡预期!$E$4:$E$303,1)</f>
        <v>180</v>
      </c>
      <c r="L202" s="48">
        <f ca="1" t="shared" si="71"/>
        <v>0.775700934579439</v>
      </c>
      <c r="M202" s="48">
        <f ca="1" t="shared" si="72"/>
        <v>0.188353702372394</v>
      </c>
      <c r="N202" s="48">
        <f ca="1" t="shared" si="73"/>
        <v>0.0359453630481667</v>
      </c>
      <c r="O202" s="48">
        <f ca="1" t="shared" si="74"/>
        <v>0.0603622338139984</v>
      </c>
      <c r="P202" s="48">
        <f ca="1" t="shared" si="75"/>
        <v>0.417126823644929</v>
      </c>
      <c r="Q202" s="48">
        <f ca="1" t="shared" si="76"/>
        <v>0.396448253038081</v>
      </c>
      <c r="R202" s="48">
        <f ca="1" t="shared" si="77"/>
        <v>0.126062689502992</v>
      </c>
      <c r="S202" s="46">
        <f ca="1" t="shared" si="78"/>
        <v>0.775700934579439</v>
      </c>
      <c r="T202" s="46">
        <f ca="1" t="shared" si="79"/>
        <v>0.188353702372394</v>
      </c>
      <c r="U202" s="46">
        <f ca="1" t="shared" si="80"/>
        <v>0.0359453630481666</v>
      </c>
      <c r="V202" s="48">
        <f ca="1" t="shared" si="81"/>
        <v>0.491569407160296</v>
      </c>
      <c r="W202" s="48">
        <f ca="1" t="shared" si="82"/>
        <v>3.39693832474177</v>
      </c>
      <c r="X202" s="48">
        <f ca="1" t="shared" si="83"/>
        <v>3.22853911132875</v>
      </c>
      <c r="Y202" s="48">
        <f t="shared" si="84"/>
        <v>1.02661146926685</v>
      </c>
      <c r="Z202" s="105">
        <f ca="1" t="shared" si="85"/>
        <v>0.0603622338139984</v>
      </c>
      <c r="AA202" s="105">
        <f ca="1" t="shared" si="86"/>
        <v>0.417126823644929</v>
      </c>
      <c r="AB202" s="105">
        <f ca="1" t="shared" si="87"/>
        <v>0.396448253038081</v>
      </c>
      <c r="AC202" s="105">
        <f ca="1" t="shared" si="88"/>
        <v>0.126062689502992</v>
      </c>
      <c r="AD202" s="105">
        <f ca="1" t="shared" si="89"/>
        <v>0.775700934579439</v>
      </c>
      <c r="AE202" s="105">
        <f ca="1" t="shared" si="90"/>
        <v>0.188353702372394</v>
      </c>
      <c r="AF202" s="105">
        <f ca="1" t="shared" si="91"/>
        <v>0.0359453630481668</v>
      </c>
    </row>
    <row r="203" ht="16.5" spans="1:32">
      <c r="A203">
        <f ca="1" t="shared" si="69"/>
        <v>16692</v>
      </c>
      <c r="B203" s="2">
        <v>201</v>
      </c>
      <c r="C203" s="2">
        <f>_xlfn.XLOOKUP(练度预期!D203,装备养成!$B$3:$B$303,装备养成!$D$3:$D$303)*6</f>
        <v>12948</v>
      </c>
      <c r="D203" s="2" cm="1">
        <f ca="1" t="array" ref="D203">_xlfn.XLOOKUP(练度预期!E203&amp;"_"&amp;INT(练度预期!C203/10)*10+10,装备养成!$N$4:$N$219&amp;"_"&amp;装备养成!$K$4:$K$219,装备养成!$P$4:$P$219)*练度预期!F203+_xlfn.XLOOKUP(练度预期!E203-1&amp;"_"&amp;INT(练度预期!C203/10)*10+10,装备养成!$N$4:$N$219&amp;"_"&amp;装备养成!$K$4:$K$219,装备养成!$P$4:$P$219)*(6-练度预期!F203)</f>
        <v>3144</v>
      </c>
      <c r="E203" s="2">
        <f ca="1">练度预期!N203*4*练度预期!M203</f>
        <v>600</v>
      </c>
      <c r="F203" s="103">
        <f ca="1">INT(练度预期!D203/10)*0.02+1+_xlfn.XLOOKUP(练度预期!E203,装备养成!$U$3:$U$11,装备养成!$V$3:$V$11)*练度预期!F203+_xlfn.XLOOKUP(练度预期!E203-1,装备养成!$U$3:$U$11,装备养成!$V$3:$V$11)*(6-练度预期!F203)</f>
        <v>1.63488</v>
      </c>
      <c r="G203" s="48">
        <f ca="1">OFFSET(梦灵养成!$K$20,_xlfn.XLOOKUP(练度预期!H203,梦灵养成!$D$10:$D$28,梦灵养成!$H$10:$H$28),MATCH(OFFSET(梦灵养成!$C$33,B203,MATCH(练度预期!H203,梦灵养成!$D$33:$V$33,0)),梦灵养成!$L$20:$R$20,1))*(1+(OFFSET(梦灵养成!$C$33,B203,MATCH(练度预期!H203,梦灵养成!$D$33:$V$33,0))-1)*_xlfn.XLOOKUP(练度预期!H203,梦灵养成!$D$9:$D$28,梦灵养成!$G$9:$G$28))</f>
        <v>29.8725</v>
      </c>
      <c r="H203" s="46">
        <f ca="1">符文养成!AC204</f>
        <v>25.2899623993799</v>
      </c>
      <c r="I203" s="46">
        <f>MAX(_xlfn.XLOOKUP(练度预期!O203,秘宝养成!$B$3:$B$15,秘宝养成!$E$3:$E$15),1)</f>
        <v>2.7915904</v>
      </c>
      <c r="J203" s="104">
        <f ca="1" t="shared" si="70"/>
        <v>57552700.5194617</v>
      </c>
      <c r="K203" s="104">
        <f ca="1">MATCH(J203,关卡预期!$E$4:$E$303,1)</f>
        <v>180</v>
      </c>
      <c r="L203" s="48">
        <f ca="1" t="shared" si="71"/>
        <v>0.775700934579439</v>
      </c>
      <c r="M203" s="48">
        <f ca="1" t="shared" si="72"/>
        <v>0.188353702372394</v>
      </c>
      <c r="N203" s="48">
        <f ca="1" t="shared" si="73"/>
        <v>0.0359453630481667</v>
      </c>
      <c r="O203" s="48">
        <f ca="1" t="shared" si="74"/>
        <v>0.0603483876162178</v>
      </c>
      <c r="P203" s="48">
        <f ca="1" t="shared" si="75"/>
        <v>0.417031140961654</v>
      </c>
      <c r="Q203" s="48">
        <f ca="1" t="shared" si="76"/>
        <v>0.396586698823322</v>
      </c>
      <c r="R203" s="48">
        <f ca="1" t="shared" si="77"/>
        <v>0.126033772598806</v>
      </c>
      <c r="S203" s="46">
        <f ca="1" t="shared" si="78"/>
        <v>0.775700934579439</v>
      </c>
      <c r="T203" s="46">
        <f ca="1" t="shared" si="79"/>
        <v>0.188353702372394</v>
      </c>
      <c r="U203" s="46">
        <f ca="1" t="shared" si="80"/>
        <v>0.0359453630481666</v>
      </c>
      <c r="V203" s="48">
        <f ca="1" t="shared" si="81"/>
        <v>0.491569407160296</v>
      </c>
      <c r="W203" s="48">
        <f ca="1" t="shared" si="82"/>
        <v>3.39693832474177</v>
      </c>
      <c r="X203" s="48">
        <f ca="1" t="shared" si="83"/>
        <v>3.23040757390259</v>
      </c>
      <c r="Y203" s="48">
        <f t="shared" si="84"/>
        <v>1.02661146926685</v>
      </c>
      <c r="Z203" s="105">
        <f ca="1" t="shared" si="85"/>
        <v>0.0603483876162178</v>
      </c>
      <c r="AA203" s="105">
        <f ca="1" t="shared" si="86"/>
        <v>0.417031140961654</v>
      </c>
      <c r="AB203" s="105">
        <f ca="1" t="shared" si="87"/>
        <v>0.396586698823322</v>
      </c>
      <c r="AC203" s="105">
        <f ca="1" t="shared" si="88"/>
        <v>0.126033772598806</v>
      </c>
      <c r="AD203" s="105">
        <f ca="1" t="shared" si="89"/>
        <v>0.775700934579439</v>
      </c>
      <c r="AE203" s="105">
        <f ca="1" t="shared" si="90"/>
        <v>0.188353702372394</v>
      </c>
      <c r="AF203" s="105">
        <f ca="1" t="shared" si="91"/>
        <v>0.0359453630481668</v>
      </c>
    </row>
    <row r="204" ht="16.5" spans="1:32">
      <c r="A204">
        <f ca="1" t="shared" si="69"/>
        <v>16692</v>
      </c>
      <c r="B204" s="2">
        <v>202</v>
      </c>
      <c r="C204" s="2">
        <f>_xlfn.XLOOKUP(练度预期!D204,装备养成!$B$3:$B$303,装备养成!$D$3:$D$303)*6</f>
        <v>12948</v>
      </c>
      <c r="D204" s="2" cm="1">
        <f ca="1" t="array" ref="D204">_xlfn.XLOOKUP(练度预期!E204&amp;"_"&amp;INT(练度预期!C204/10)*10+10,装备养成!$N$4:$N$219&amp;"_"&amp;装备养成!$K$4:$K$219,装备养成!$P$4:$P$219)*练度预期!F204+_xlfn.XLOOKUP(练度预期!E204-1&amp;"_"&amp;INT(练度预期!C204/10)*10+10,装备养成!$N$4:$N$219&amp;"_"&amp;装备养成!$K$4:$K$219,装备养成!$P$4:$P$219)*(6-练度预期!F204)</f>
        <v>3144</v>
      </c>
      <c r="E204" s="2">
        <f ca="1">练度预期!N204*4*练度预期!M204</f>
        <v>600</v>
      </c>
      <c r="F204" s="103">
        <f ca="1">INT(练度预期!D204/10)*0.02+1+_xlfn.XLOOKUP(练度预期!E204,装备养成!$U$3:$U$11,装备养成!$V$3:$V$11)*练度预期!F204+_xlfn.XLOOKUP(练度预期!E204-1,装备养成!$U$3:$U$11,装备养成!$V$3:$V$11)*(6-练度预期!F204)</f>
        <v>1.63488</v>
      </c>
      <c r="G204" s="48">
        <f ca="1">OFFSET(梦灵养成!$K$20,_xlfn.XLOOKUP(练度预期!H204,梦灵养成!$D$10:$D$28,梦灵养成!$H$10:$H$28),MATCH(OFFSET(梦灵养成!$C$33,B204,MATCH(练度预期!H204,梦灵养成!$D$33:$V$33,0)),梦灵养成!$L$20:$R$20,1))*(1+(OFFSET(梦灵养成!$C$33,B204,MATCH(练度预期!H204,梦灵养成!$D$33:$V$33,0))-1)*_xlfn.XLOOKUP(练度预期!H204,梦灵养成!$D$9:$D$28,梦灵养成!$G$9:$G$28))</f>
        <v>29.8725</v>
      </c>
      <c r="H204" s="46">
        <f ca="1">符文养成!AC205</f>
        <v>25.338189070181</v>
      </c>
      <c r="I204" s="46">
        <f>MAX(_xlfn.XLOOKUP(练度预期!O204,秘宝养成!$B$3:$B$15,秘宝养成!$E$3:$E$15),1)</f>
        <v>2.7915904</v>
      </c>
      <c r="J204" s="104">
        <f ca="1" t="shared" si="70"/>
        <v>57662450.5893839</v>
      </c>
      <c r="K204" s="104">
        <f ca="1">MATCH(J204,关卡预期!$E$4:$E$303,1)</f>
        <v>180</v>
      </c>
      <c r="L204" s="48">
        <f ca="1" t="shared" si="71"/>
        <v>0.775700934579439</v>
      </c>
      <c r="M204" s="48">
        <f ca="1" t="shared" si="72"/>
        <v>0.188353702372394</v>
      </c>
      <c r="N204" s="48">
        <f ca="1" t="shared" si="73"/>
        <v>0.0359453630481668</v>
      </c>
      <c r="O204" s="48">
        <f ca="1" t="shared" si="74"/>
        <v>0.0603342762107605</v>
      </c>
      <c r="P204" s="48">
        <f ca="1" t="shared" si="75"/>
        <v>0.416933625588818</v>
      </c>
      <c r="Q204" s="48">
        <f ca="1" t="shared" si="76"/>
        <v>0.396727796375181</v>
      </c>
      <c r="R204" s="48">
        <f ca="1" t="shared" si="77"/>
        <v>0.126004301825241</v>
      </c>
      <c r="S204" s="46">
        <f ca="1" t="shared" si="78"/>
        <v>0.775700934579439</v>
      </c>
      <c r="T204" s="46">
        <f ca="1" t="shared" si="79"/>
        <v>0.188353702372394</v>
      </c>
      <c r="U204" s="46">
        <f ca="1" t="shared" si="80"/>
        <v>0.0359453630481668</v>
      </c>
      <c r="V204" s="48">
        <f ca="1" t="shared" si="81"/>
        <v>0.491569407160296</v>
      </c>
      <c r="W204" s="48">
        <f ca="1" t="shared" si="82"/>
        <v>3.39693832474177</v>
      </c>
      <c r="X204" s="48">
        <f ca="1" t="shared" si="83"/>
        <v>3.23231270707407</v>
      </c>
      <c r="Y204" s="48">
        <f t="shared" si="84"/>
        <v>1.02661146926685</v>
      </c>
      <c r="Z204" s="105">
        <f ca="1" t="shared" si="85"/>
        <v>0.0603342762107605</v>
      </c>
      <c r="AA204" s="105">
        <f ca="1" t="shared" si="86"/>
        <v>0.416933625588818</v>
      </c>
      <c r="AB204" s="105">
        <f ca="1" t="shared" si="87"/>
        <v>0.396727796375181</v>
      </c>
      <c r="AC204" s="105">
        <f ca="1" t="shared" si="88"/>
        <v>0.126004301825241</v>
      </c>
      <c r="AD204" s="105">
        <f ca="1" t="shared" si="89"/>
        <v>0.775700934579439</v>
      </c>
      <c r="AE204" s="105">
        <f ca="1" t="shared" si="90"/>
        <v>0.188353702372394</v>
      </c>
      <c r="AF204" s="105">
        <f ca="1" t="shared" si="91"/>
        <v>0.0359453630481668</v>
      </c>
    </row>
    <row r="205" ht="16.5" spans="1:32">
      <c r="A205">
        <f ca="1" t="shared" si="69"/>
        <v>16962</v>
      </c>
      <c r="B205" s="2">
        <v>203</v>
      </c>
      <c r="C205" s="2">
        <f>_xlfn.XLOOKUP(练度预期!D205,装备养成!$B$3:$B$303,装备养成!$D$3:$D$303)*6</f>
        <v>13218</v>
      </c>
      <c r="D205" s="2" cm="1">
        <f ca="1" t="array" ref="D205">_xlfn.XLOOKUP(练度预期!E205&amp;"_"&amp;INT(练度预期!C205/10)*10+10,装备养成!$N$4:$N$219&amp;"_"&amp;装备养成!$K$4:$K$219,装备养成!$P$4:$P$219)*练度预期!F205+_xlfn.XLOOKUP(练度预期!E205-1&amp;"_"&amp;INT(练度预期!C205/10)*10+10,装备养成!$N$4:$N$219&amp;"_"&amp;装备养成!$K$4:$K$219,装备养成!$P$4:$P$219)*(6-练度预期!F205)</f>
        <v>3144</v>
      </c>
      <c r="E205" s="2">
        <f ca="1">练度预期!N205*4*练度预期!M205</f>
        <v>600</v>
      </c>
      <c r="F205" s="103">
        <f ca="1">INT(练度预期!D205/10)*0.02+1+_xlfn.XLOOKUP(练度预期!E205,装备养成!$U$3:$U$11,装备养成!$V$3:$V$11)*练度预期!F205+_xlfn.XLOOKUP(练度预期!E205-1,装备养成!$U$3:$U$11,装备养成!$V$3:$V$11)*(6-练度预期!F205)</f>
        <v>1.63488</v>
      </c>
      <c r="G205" s="48">
        <f ca="1">OFFSET(梦灵养成!$K$20,_xlfn.XLOOKUP(练度预期!H205,梦灵养成!$D$10:$D$28,梦灵养成!$H$10:$H$28),MATCH(OFFSET(梦灵养成!$C$33,B205,MATCH(练度预期!H205,梦灵养成!$D$33:$V$33,0)),梦灵养成!$L$20:$R$20,1))*(1+(OFFSET(梦灵养成!$C$33,B205,MATCH(练度预期!H205,梦灵养成!$D$33:$V$33,0))-1)*_xlfn.XLOOKUP(练度预期!H205,梦灵养成!$D$9:$D$28,梦灵养成!$G$9:$G$28))</f>
        <v>29.8725</v>
      </c>
      <c r="H205" s="46">
        <f ca="1">符文养成!AC206</f>
        <v>25.3836467758473</v>
      </c>
      <c r="I205" s="46">
        <f>MAX(_xlfn.XLOOKUP(练度预期!O205,秘宝养成!$B$3:$B$15,秘宝养成!$E$3:$E$15),1)</f>
        <v>2.7915904</v>
      </c>
      <c r="J205" s="104">
        <f ca="1" t="shared" si="70"/>
        <v>58700286.5886641</v>
      </c>
      <c r="K205" s="104">
        <f ca="1">MATCH(J205,关卡预期!$E$4:$E$303,1)</f>
        <v>180</v>
      </c>
      <c r="L205" s="48">
        <f ca="1" t="shared" si="71"/>
        <v>0.779271312345242</v>
      </c>
      <c r="M205" s="48">
        <f ca="1" t="shared" si="72"/>
        <v>0.185355500530598</v>
      </c>
      <c r="N205" s="48">
        <f ca="1" t="shared" si="73"/>
        <v>0.0353731871241599</v>
      </c>
      <c r="O205" s="48">
        <f ca="1" t="shared" si="74"/>
        <v>0.0603210056127585</v>
      </c>
      <c r="P205" s="48">
        <f ca="1" t="shared" si="75"/>
        <v>0.41684192052685</v>
      </c>
      <c r="Q205" s="48">
        <f ca="1" t="shared" si="76"/>
        <v>0.396860486835775</v>
      </c>
      <c r="R205" s="48">
        <f ca="1" t="shared" si="77"/>
        <v>0.125976587024616</v>
      </c>
      <c r="S205" s="46">
        <f ca="1" t="shared" si="78"/>
        <v>0.779271312345242</v>
      </c>
      <c r="T205" s="46">
        <f ca="1" t="shared" si="79"/>
        <v>0.185355500530598</v>
      </c>
      <c r="U205" s="46">
        <f ca="1" t="shared" si="80"/>
        <v>0.0353731871241599</v>
      </c>
      <c r="V205" s="48">
        <f ca="1" t="shared" si="81"/>
        <v>0.491569407160296</v>
      </c>
      <c r="W205" s="48">
        <f ca="1" t="shared" si="82"/>
        <v>3.39693832474177</v>
      </c>
      <c r="X205" s="48">
        <f ca="1" t="shared" si="83"/>
        <v>3.23410513895587</v>
      </c>
      <c r="Y205" s="48">
        <f t="shared" si="84"/>
        <v>1.02661146926685</v>
      </c>
      <c r="Z205" s="105">
        <f ca="1" t="shared" si="85"/>
        <v>0.0603210056127585</v>
      </c>
      <c r="AA205" s="105">
        <f ca="1" t="shared" si="86"/>
        <v>0.41684192052685</v>
      </c>
      <c r="AB205" s="105">
        <f ca="1" t="shared" si="87"/>
        <v>0.396860486835775</v>
      </c>
      <c r="AC205" s="105">
        <f ca="1" t="shared" si="88"/>
        <v>0.125976587024616</v>
      </c>
      <c r="AD205" s="105">
        <f ca="1" t="shared" si="89"/>
        <v>0.779271312345242</v>
      </c>
      <c r="AE205" s="105">
        <f ca="1" t="shared" si="90"/>
        <v>0.185355500530598</v>
      </c>
      <c r="AF205" s="105">
        <f ca="1" t="shared" si="91"/>
        <v>0.0353731871241599</v>
      </c>
    </row>
    <row r="206" ht="16.5" spans="1:32">
      <c r="A206">
        <f ca="1" t="shared" si="69"/>
        <v>16962</v>
      </c>
      <c r="B206" s="2">
        <v>204</v>
      </c>
      <c r="C206" s="2">
        <f>_xlfn.XLOOKUP(练度预期!D206,装备养成!$B$3:$B$303,装备养成!$D$3:$D$303)*6</f>
        <v>13218</v>
      </c>
      <c r="D206" s="2" cm="1">
        <f ca="1" t="array" ref="D206">_xlfn.XLOOKUP(练度预期!E206&amp;"_"&amp;INT(练度预期!C206/10)*10+10,装备养成!$N$4:$N$219&amp;"_"&amp;装备养成!$K$4:$K$219,装备养成!$P$4:$P$219)*练度预期!F206+_xlfn.XLOOKUP(练度预期!E206-1&amp;"_"&amp;INT(练度预期!C206/10)*10+10,装备养成!$N$4:$N$219&amp;"_"&amp;装备养成!$K$4:$K$219,装备养成!$P$4:$P$219)*(6-练度预期!F206)</f>
        <v>3144</v>
      </c>
      <c r="E206" s="2">
        <f ca="1">练度预期!N206*4*练度预期!M206</f>
        <v>600</v>
      </c>
      <c r="F206" s="103">
        <f ca="1">INT(练度预期!D206/10)*0.02+1+_xlfn.XLOOKUP(练度预期!E206,装备养成!$U$3:$U$11,装备养成!$V$3:$V$11)*练度预期!F206+_xlfn.XLOOKUP(练度预期!E206-1,装备养成!$U$3:$U$11,装备养成!$V$3:$V$11)*(6-练度预期!F206)</f>
        <v>1.63488</v>
      </c>
      <c r="G206" s="48">
        <f ca="1">OFFSET(梦灵养成!$K$20,_xlfn.XLOOKUP(练度预期!H206,梦灵养成!$D$10:$D$28,梦灵养成!$H$10:$H$28),MATCH(OFFSET(梦灵养成!$C$33,B206,MATCH(练度预期!H206,梦灵养成!$D$33:$V$33,0)),梦灵养成!$L$20:$R$20,1))*(1+(OFFSET(梦灵养成!$C$33,B206,MATCH(练度预期!H206,梦灵养成!$D$33:$V$33,0))-1)*_xlfn.XLOOKUP(练度预期!H206,梦灵养成!$D$9:$D$28,梦灵养成!$G$9:$G$28))</f>
        <v>29.8725</v>
      </c>
      <c r="H206" s="46">
        <f ca="1">符文养成!AC207</f>
        <v>25.4384042225728</v>
      </c>
      <c r="I206" s="46">
        <f>MAX(_xlfn.XLOOKUP(练度预期!O206,秘宝养成!$B$3:$B$15,秘宝养成!$E$3:$E$15),1)</f>
        <v>2.7915904</v>
      </c>
      <c r="J206" s="104">
        <f ca="1" t="shared" si="70"/>
        <v>58826914.4859096</v>
      </c>
      <c r="K206" s="104">
        <f ca="1">MATCH(J206,关卡预期!$E$4:$E$303,1)</f>
        <v>180</v>
      </c>
      <c r="L206" s="48">
        <f ca="1" t="shared" si="71"/>
        <v>0.779271312345242</v>
      </c>
      <c r="M206" s="48">
        <f ca="1" t="shared" si="72"/>
        <v>0.185355500530598</v>
      </c>
      <c r="N206" s="48">
        <f ca="1" t="shared" si="73"/>
        <v>0.03537318712416</v>
      </c>
      <c r="O206" s="48">
        <f ca="1" t="shared" si="74"/>
        <v>0.0603050593600986</v>
      </c>
      <c r="P206" s="48">
        <f ca="1" t="shared" si="75"/>
        <v>0.416731725636755</v>
      </c>
      <c r="Q206" s="48">
        <f ca="1" t="shared" si="76"/>
        <v>0.39701993071388</v>
      </c>
      <c r="R206" s="48">
        <f ca="1" t="shared" si="77"/>
        <v>0.125943284289267</v>
      </c>
      <c r="S206" s="46">
        <f ca="1" t="shared" si="78"/>
        <v>0.779271312345242</v>
      </c>
      <c r="T206" s="46">
        <f ca="1" t="shared" si="79"/>
        <v>0.185355500530598</v>
      </c>
      <c r="U206" s="46">
        <f ca="1" t="shared" si="80"/>
        <v>0.03537318712416</v>
      </c>
      <c r="V206" s="48">
        <f ca="1" t="shared" si="81"/>
        <v>0.491569407160296</v>
      </c>
      <c r="W206" s="48">
        <f ca="1" t="shared" si="82"/>
        <v>3.39693832474177</v>
      </c>
      <c r="X206" s="48">
        <f ca="1" t="shared" si="83"/>
        <v>3.23626000940437</v>
      </c>
      <c r="Y206" s="48">
        <f t="shared" si="84"/>
        <v>1.02661146926685</v>
      </c>
      <c r="Z206" s="105">
        <f ca="1" t="shared" si="85"/>
        <v>0.0603050593600986</v>
      </c>
      <c r="AA206" s="105">
        <f ca="1" t="shared" si="86"/>
        <v>0.416731725636755</v>
      </c>
      <c r="AB206" s="105">
        <f ca="1" t="shared" si="87"/>
        <v>0.39701993071388</v>
      </c>
      <c r="AC206" s="105">
        <f ca="1" t="shared" si="88"/>
        <v>0.125943284289267</v>
      </c>
      <c r="AD206" s="105">
        <f ca="1" t="shared" si="89"/>
        <v>0.779271312345242</v>
      </c>
      <c r="AE206" s="105">
        <f ca="1" t="shared" si="90"/>
        <v>0.185355500530598</v>
      </c>
      <c r="AF206" s="105">
        <f ca="1" t="shared" si="91"/>
        <v>0.0353731871241599</v>
      </c>
    </row>
    <row r="207" ht="16.5" spans="1:32">
      <c r="A207">
        <f ca="1" t="shared" si="69"/>
        <v>16962</v>
      </c>
      <c r="B207" s="2">
        <v>205</v>
      </c>
      <c r="C207" s="2">
        <f>_xlfn.XLOOKUP(练度预期!D207,装备养成!$B$3:$B$303,装备养成!$D$3:$D$303)*6</f>
        <v>13218</v>
      </c>
      <c r="D207" s="2" cm="1">
        <f ca="1" t="array" ref="D207">_xlfn.XLOOKUP(练度预期!E207&amp;"_"&amp;INT(练度预期!C207/10)*10+10,装备养成!$N$4:$N$219&amp;"_"&amp;装备养成!$K$4:$K$219,装备养成!$P$4:$P$219)*练度预期!F207+_xlfn.XLOOKUP(练度预期!E207-1&amp;"_"&amp;INT(练度预期!C207/10)*10+10,装备养成!$N$4:$N$219&amp;"_"&amp;装备养成!$K$4:$K$219,装备养成!$P$4:$P$219)*(6-练度预期!F207)</f>
        <v>3144</v>
      </c>
      <c r="E207" s="2">
        <f ca="1">练度预期!N207*4*练度预期!M207</f>
        <v>600</v>
      </c>
      <c r="F207" s="103">
        <f ca="1">INT(练度预期!D207/10)*0.02+1+_xlfn.XLOOKUP(练度预期!E207,装备养成!$U$3:$U$11,装备养成!$V$3:$V$11)*练度预期!F207+_xlfn.XLOOKUP(练度预期!E207-1,装备养成!$U$3:$U$11,装备养成!$V$3:$V$11)*(6-练度预期!F207)</f>
        <v>1.63488</v>
      </c>
      <c r="G207" s="48">
        <f ca="1">OFFSET(梦灵养成!$K$20,_xlfn.XLOOKUP(练度预期!H207,梦灵养成!$D$10:$D$28,梦灵养成!$H$10:$H$28),MATCH(OFFSET(梦灵养成!$C$33,B207,MATCH(练度预期!H207,梦灵养成!$D$33:$V$33,0)),梦灵养成!$L$20:$R$20,1))*(1+(OFFSET(梦灵养成!$C$33,B207,MATCH(练度预期!H207,梦灵养成!$D$33:$V$33,0))-1)*_xlfn.XLOOKUP(练度预期!H207,梦灵养成!$D$9:$D$28,梦灵养成!$G$9:$G$28))</f>
        <v>29.8725</v>
      </c>
      <c r="H207" s="46">
        <f ca="1">符文养成!AC208</f>
        <v>25.4840348956231</v>
      </c>
      <c r="I207" s="46">
        <f>MAX(_xlfn.XLOOKUP(练度预期!O207,秘宝养成!$B$3:$B$15,秘宝养成!$E$3:$E$15),1)</f>
        <v>2.7915904</v>
      </c>
      <c r="J207" s="104">
        <f ca="1" t="shared" si="70"/>
        <v>58932436.5020698</v>
      </c>
      <c r="K207" s="104">
        <f ca="1">MATCH(J207,关卡预期!$E$4:$E$303,1)</f>
        <v>180</v>
      </c>
      <c r="L207" s="48">
        <f ca="1" t="shared" si="71"/>
        <v>0.779271312345242</v>
      </c>
      <c r="M207" s="48">
        <f ca="1" t="shared" si="72"/>
        <v>0.185355500530598</v>
      </c>
      <c r="N207" s="48">
        <f ca="1" t="shared" si="73"/>
        <v>0.0353731871241597</v>
      </c>
      <c r="O207" s="48">
        <f ca="1" t="shared" si="74"/>
        <v>0.060291803589881</v>
      </c>
      <c r="P207" s="48">
        <f ca="1" t="shared" si="75"/>
        <v>0.41664012304062</v>
      </c>
      <c r="Q207" s="48">
        <f ca="1" t="shared" si="76"/>
        <v>0.397152472913972</v>
      </c>
      <c r="R207" s="48">
        <f ca="1" t="shared" si="77"/>
        <v>0.125915600455527</v>
      </c>
      <c r="S207" s="46">
        <f ca="1" t="shared" si="78"/>
        <v>0.779271312345242</v>
      </c>
      <c r="T207" s="46">
        <f ca="1" t="shared" si="79"/>
        <v>0.185355500530598</v>
      </c>
      <c r="U207" s="46">
        <f ca="1" t="shared" si="80"/>
        <v>0.0353731871241597</v>
      </c>
      <c r="V207" s="48">
        <f ca="1" t="shared" si="81"/>
        <v>0.491569407160296</v>
      </c>
      <c r="W207" s="48">
        <f ca="1" t="shared" si="82"/>
        <v>3.39693832474177</v>
      </c>
      <c r="X207" s="48">
        <f ca="1" t="shared" si="83"/>
        <v>3.23805217356829</v>
      </c>
      <c r="Y207" s="48">
        <f t="shared" si="84"/>
        <v>1.02661146926685</v>
      </c>
      <c r="Z207" s="105">
        <f ca="1" t="shared" si="85"/>
        <v>0.060291803589881</v>
      </c>
      <c r="AA207" s="105">
        <f ca="1" t="shared" si="86"/>
        <v>0.41664012304062</v>
      </c>
      <c r="AB207" s="105">
        <f ca="1" t="shared" si="87"/>
        <v>0.397152472913972</v>
      </c>
      <c r="AC207" s="105">
        <f ca="1" t="shared" si="88"/>
        <v>0.125915600455527</v>
      </c>
      <c r="AD207" s="105">
        <f ca="1" t="shared" si="89"/>
        <v>0.779271312345242</v>
      </c>
      <c r="AE207" s="105">
        <f ca="1" t="shared" si="90"/>
        <v>0.185355500530598</v>
      </c>
      <c r="AF207" s="105">
        <f ca="1" t="shared" si="91"/>
        <v>0.0353731871241599</v>
      </c>
    </row>
    <row r="208" ht="16.5" spans="1:32">
      <c r="A208">
        <f ca="1" t="shared" si="69"/>
        <v>16962</v>
      </c>
      <c r="B208" s="2">
        <v>206</v>
      </c>
      <c r="C208" s="2">
        <f>_xlfn.XLOOKUP(练度预期!D208,装备养成!$B$3:$B$303,装备养成!$D$3:$D$303)*6</f>
        <v>13218</v>
      </c>
      <c r="D208" s="2" cm="1">
        <f ca="1" t="array" ref="D208">_xlfn.XLOOKUP(练度预期!E208&amp;"_"&amp;INT(练度预期!C208/10)*10+10,装备养成!$N$4:$N$219&amp;"_"&amp;装备养成!$K$4:$K$219,装备养成!$P$4:$P$219)*练度预期!F208+_xlfn.XLOOKUP(练度预期!E208-1&amp;"_"&amp;INT(练度预期!C208/10)*10+10,装备养成!$N$4:$N$219&amp;"_"&amp;装备养成!$K$4:$K$219,装备养成!$P$4:$P$219)*(6-练度预期!F208)</f>
        <v>3144</v>
      </c>
      <c r="E208" s="2">
        <f ca="1">练度预期!N208*4*练度预期!M208</f>
        <v>600</v>
      </c>
      <c r="F208" s="103">
        <f ca="1">INT(练度预期!D208/10)*0.02+1+_xlfn.XLOOKUP(练度预期!E208,装备养成!$U$3:$U$11,装备养成!$V$3:$V$11)*练度预期!F208+_xlfn.XLOOKUP(练度预期!E208-1,装备养成!$U$3:$U$11,装备养成!$V$3:$V$11)*(6-练度预期!F208)</f>
        <v>1.63488</v>
      </c>
      <c r="G208" s="48">
        <f ca="1">OFFSET(梦灵养成!$K$20,_xlfn.XLOOKUP(练度预期!H208,梦灵养成!$D$10:$D$28,梦灵养成!$H$10:$H$28),MATCH(OFFSET(梦灵养成!$C$33,B208,MATCH(练度预期!H208,梦灵养成!$D$33:$V$33,0)),梦灵养成!$L$20:$R$20,1))*(1+(OFFSET(梦灵养成!$C$33,B208,MATCH(练度预期!H208,梦灵养成!$D$33:$V$33,0))-1)*_xlfn.XLOOKUP(练度预期!H208,梦灵养成!$D$9:$D$28,梦灵养成!$G$9:$G$28))</f>
        <v>29.8725</v>
      </c>
      <c r="H208" s="46">
        <f ca="1">符文养成!AC209</f>
        <v>25.5390006722802</v>
      </c>
      <c r="I208" s="46">
        <f>MAX(_xlfn.XLOOKUP(练度预期!O208,秘宝养成!$B$3:$B$15,秘宝养成!$E$3:$E$15),1)</f>
        <v>2.7915904</v>
      </c>
      <c r="J208" s="104">
        <f ca="1" t="shared" si="70"/>
        <v>59059546.1672346</v>
      </c>
      <c r="K208" s="104">
        <f ca="1">MATCH(J208,关卡预期!$E$4:$E$303,1)</f>
        <v>180</v>
      </c>
      <c r="L208" s="48">
        <f ca="1" t="shared" si="71"/>
        <v>0.779271312345242</v>
      </c>
      <c r="M208" s="48">
        <f ca="1" t="shared" si="72"/>
        <v>0.185355500530598</v>
      </c>
      <c r="N208" s="48">
        <f ca="1" t="shared" si="73"/>
        <v>0.0353731871241599</v>
      </c>
      <c r="O208" s="48">
        <f ca="1" t="shared" si="74"/>
        <v>0.0602758751517431</v>
      </c>
      <c r="P208" s="48">
        <f ca="1" t="shared" si="75"/>
        <v>0.416530051255891</v>
      </c>
      <c r="Q208" s="48">
        <f ca="1" t="shared" si="76"/>
        <v>0.397311738667691</v>
      </c>
      <c r="R208" s="48">
        <f ca="1" t="shared" si="77"/>
        <v>0.125882334924675</v>
      </c>
      <c r="S208" s="46">
        <f ca="1" t="shared" si="78"/>
        <v>0.779271312345242</v>
      </c>
      <c r="T208" s="46">
        <f ca="1" t="shared" si="79"/>
        <v>0.185355500530598</v>
      </c>
      <c r="U208" s="46">
        <f ca="1" t="shared" si="80"/>
        <v>0.0353731871241599</v>
      </c>
      <c r="V208" s="48">
        <f ca="1" t="shared" si="81"/>
        <v>0.491569407160296</v>
      </c>
      <c r="W208" s="48">
        <f ca="1" t="shared" si="82"/>
        <v>3.39693832474177</v>
      </c>
      <c r="X208" s="48">
        <f ca="1" t="shared" si="83"/>
        <v>3.2402067218937</v>
      </c>
      <c r="Y208" s="48">
        <f t="shared" si="84"/>
        <v>1.02661146926685</v>
      </c>
      <c r="Z208" s="105">
        <f ca="1" t="shared" si="85"/>
        <v>0.0602758751517431</v>
      </c>
      <c r="AA208" s="105">
        <f ca="1" t="shared" si="86"/>
        <v>0.416530051255891</v>
      </c>
      <c r="AB208" s="105">
        <f ca="1" t="shared" si="87"/>
        <v>0.397311738667691</v>
      </c>
      <c r="AC208" s="105">
        <f ca="1" t="shared" si="88"/>
        <v>0.125882334924675</v>
      </c>
      <c r="AD208" s="105">
        <f ca="1" t="shared" si="89"/>
        <v>0.779271312345242</v>
      </c>
      <c r="AE208" s="105">
        <f ca="1" t="shared" si="90"/>
        <v>0.185355500530598</v>
      </c>
      <c r="AF208" s="105">
        <f ca="1" t="shared" si="91"/>
        <v>0.0353731871241599</v>
      </c>
    </row>
    <row r="209" ht="16.5" spans="1:32">
      <c r="A209">
        <f ca="1" t="shared" si="69"/>
        <v>17232</v>
      </c>
      <c r="B209" s="2">
        <v>207</v>
      </c>
      <c r="C209" s="2">
        <f>_xlfn.XLOOKUP(练度预期!D209,装备养成!$B$3:$B$303,装备养成!$D$3:$D$303)*6</f>
        <v>13488</v>
      </c>
      <c r="D209" s="2" cm="1">
        <f ca="1" t="array" ref="D209">_xlfn.XLOOKUP(练度预期!E209&amp;"_"&amp;INT(练度预期!C209/10)*10+10,装备养成!$N$4:$N$219&amp;"_"&amp;装备养成!$K$4:$K$219,装备养成!$P$4:$P$219)*练度预期!F209+_xlfn.XLOOKUP(练度预期!E209-1&amp;"_"&amp;INT(练度预期!C209/10)*10+10,装备养成!$N$4:$N$219&amp;"_"&amp;装备养成!$K$4:$K$219,装备养成!$P$4:$P$219)*(6-练度预期!F209)</f>
        <v>3144</v>
      </c>
      <c r="E209" s="2">
        <f ca="1">练度预期!N209*4*练度预期!M209</f>
        <v>600</v>
      </c>
      <c r="F209" s="103">
        <f ca="1">INT(练度预期!D209/10)*0.02+1+_xlfn.XLOOKUP(练度预期!E209,装备养成!$U$3:$U$11,装备养成!$V$3:$V$11)*练度预期!F209+_xlfn.XLOOKUP(练度预期!E209-1,装备养成!$U$3:$U$11,装备养成!$V$3:$V$11)*(6-练度预期!F209)</f>
        <v>1.63488</v>
      </c>
      <c r="G209" s="48">
        <f ca="1">OFFSET(梦灵养成!$K$20,_xlfn.XLOOKUP(练度预期!H209,梦灵养成!$D$10:$D$28,梦灵养成!$H$10:$H$28),MATCH(OFFSET(梦灵养成!$C$33,B209,MATCH(练度预期!H209,梦灵养成!$D$33:$V$33,0)),梦灵养成!$L$20:$R$20,1))*(1+(OFFSET(梦灵养成!$C$33,B209,MATCH(练度预期!H209,梦灵养成!$D$33:$V$33,0))-1)*_xlfn.XLOOKUP(练度预期!H209,梦灵养成!$D$9:$D$28,梦灵养成!$G$9:$G$28))</f>
        <v>29.8725</v>
      </c>
      <c r="H209" s="46">
        <f ca="1">符文养成!AC210</f>
        <v>25.5931112566541</v>
      </c>
      <c r="I209" s="46">
        <f>MAX(_xlfn.XLOOKUP(练度预期!O209,秘宝养成!$B$3:$B$15,秘宝养成!$E$3:$E$15),1)</f>
        <v>2.7915904</v>
      </c>
      <c r="J209" s="104">
        <f ca="1" t="shared" si="70"/>
        <v>60126775.9931785</v>
      </c>
      <c r="K209" s="104">
        <f ca="1">MATCH(J209,关卡预期!$E$4:$E$303,1)</f>
        <v>181</v>
      </c>
      <c r="L209" s="48">
        <f ca="1" t="shared" si="71"/>
        <v>0.782729805013928</v>
      </c>
      <c r="M209" s="48">
        <f ca="1" t="shared" si="72"/>
        <v>0.182451253481894</v>
      </c>
      <c r="N209" s="48">
        <f ca="1" t="shared" si="73"/>
        <v>0.034818941504178</v>
      </c>
      <c r="O209" s="48">
        <f ca="1" t="shared" si="74"/>
        <v>0.0602602361813138</v>
      </c>
      <c r="P209" s="48">
        <f ca="1" t="shared" si="75"/>
        <v>0.416421979807105</v>
      </c>
      <c r="Q209" s="48">
        <f ca="1" t="shared" si="76"/>
        <v>0.397468110082844</v>
      </c>
      <c r="R209" s="48">
        <f ca="1" t="shared" si="77"/>
        <v>0.125849673928737</v>
      </c>
      <c r="S209" s="46">
        <f ca="1" t="shared" si="78"/>
        <v>0.782729805013928</v>
      </c>
      <c r="T209" s="46">
        <f ca="1" t="shared" si="79"/>
        <v>0.182451253481894</v>
      </c>
      <c r="U209" s="46">
        <f ca="1" t="shared" si="80"/>
        <v>0.034818941504178</v>
      </c>
      <c r="V209" s="48">
        <f ca="1" t="shared" si="81"/>
        <v>0.491569407160296</v>
      </c>
      <c r="W209" s="48">
        <f ca="1" t="shared" si="82"/>
        <v>3.39693832474177</v>
      </c>
      <c r="X209" s="48">
        <f ca="1" t="shared" si="83"/>
        <v>3.24232322373694</v>
      </c>
      <c r="Y209" s="48">
        <f t="shared" si="84"/>
        <v>1.02661146926685</v>
      </c>
      <c r="Z209" s="105">
        <f ca="1" t="shared" si="85"/>
        <v>0.0602602361813138</v>
      </c>
      <c r="AA209" s="105">
        <f ca="1" t="shared" si="86"/>
        <v>0.416421979807105</v>
      </c>
      <c r="AB209" s="105">
        <f ca="1" t="shared" si="87"/>
        <v>0.397468110082844</v>
      </c>
      <c r="AC209" s="105">
        <f ca="1" t="shared" si="88"/>
        <v>0.125849673928737</v>
      </c>
      <c r="AD209" s="105">
        <f ca="1" t="shared" si="89"/>
        <v>0.782729805013928</v>
      </c>
      <c r="AE209" s="105">
        <f ca="1" t="shared" si="90"/>
        <v>0.182451253481894</v>
      </c>
      <c r="AF209" s="105">
        <f ca="1" t="shared" si="91"/>
        <v>0.0348189415041783</v>
      </c>
    </row>
    <row r="210" ht="16.5" spans="1:32">
      <c r="A210">
        <f ca="1" t="shared" si="69"/>
        <v>17232</v>
      </c>
      <c r="B210" s="2">
        <v>208</v>
      </c>
      <c r="C210" s="2">
        <f>_xlfn.XLOOKUP(练度预期!D210,装备养成!$B$3:$B$303,装备养成!$D$3:$D$303)*6</f>
        <v>13488</v>
      </c>
      <c r="D210" s="2" cm="1">
        <f ca="1" t="array" ref="D210">_xlfn.XLOOKUP(练度预期!E210&amp;"_"&amp;INT(练度预期!C210/10)*10+10,装备养成!$N$4:$N$219&amp;"_"&amp;装备养成!$K$4:$K$219,装备养成!$P$4:$P$219)*练度预期!F210+_xlfn.XLOOKUP(练度预期!E210-1&amp;"_"&amp;INT(练度预期!C210/10)*10+10,装备养成!$N$4:$N$219&amp;"_"&amp;装备养成!$K$4:$K$219,装备养成!$P$4:$P$219)*(6-练度预期!F210)</f>
        <v>3144</v>
      </c>
      <c r="E210" s="2">
        <f ca="1">练度预期!N210*4*练度预期!M210</f>
        <v>600</v>
      </c>
      <c r="F210" s="103">
        <f ca="1">INT(练度预期!D210/10)*0.02+1+_xlfn.XLOOKUP(练度预期!E210,装备养成!$U$3:$U$11,装备养成!$V$3:$V$11)*练度预期!F210+_xlfn.XLOOKUP(练度预期!E210-1,装备养成!$U$3:$U$11,装备养成!$V$3:$V$11)*(6-练度预期!F210)</f>
        <v>1.63488</v>
      </c>
      <c r="G210" s="48">
        <f ca="1">OFFSET(梦灵养成!$K$20,_xlfn.XLOOKUP(练度预期!H210,梦灵养成!$D$10:$D$28,梦灵养成!$H$10:$H$28),MATCH(OFFSET(梦灵养成!$C$33,B210,MATCH(练度预期!H210,梦灵养成!$D$33:$V$33,0)),梦灵养成!$L$20:$R$20,1))*(1+(OFFSET(梦灵养成!$C$33,B210,MATCH(练度预期!H210,梦灵养成!$D$33:$V$33,0))-1)*_xlfn.XLOOKUP(练度预期!H210,梦灵养成!$D$9:$D$28,梦灵养成!$G$9:$G$28))</f>
        <v>29.8725</v>
      </c>
      <c r="H210" s="46">
        <f ca="1">符文养成!AC211</f>
        <v>25.6345431318417</v>
      </c>
      <c r="I210" s="46">
        <f>MAX(_xlfn.XLOOKUP(练度预期!O210,秘宝养成!$B$3:$B$15,秘宝养成!$E$3:$E$15),1)</f>
        <v>2.7915904</v>
      </c>
      <c r="J210" s="104">
        <f ca="1" t="shared" si="70"/>
        <v>60224113.3217042</v>
      </c>
      <c r="K210" s="104">
        <f ca="1">MATCH(J210,关卡预期!$E$4:$E$303,1)</f>
        <v>181</v>
      </c>
      <c r="L210" s="48">
        <f ca="1" t="shared" si="71"/>
        <v>0.782729805013928</v>
      </c>
      <c r="M210" s="48">
        <f ca="1" t="shared" si="72"/>
        <v>0.182451253481894</v>
      </c>
      <c r="N210" s="48">
        <f ca="1" t="shared" si="73"/>
        <v>0.0348189415041783</v>
      </c>
      <c r="O210" s="48">
        <f ca="1" t="shared" si="74"/>
        <v>0.0602482894000356</v>
      </c>
      <c r="P210" s="48">
        <f ca="1" t="shared" si="75"/>
        <v>0.416339422840398</v>
      </c>
      <c r="Q210" s="48">
        <f ca="1" t="shared" si="76"/>
        <v>0.397587563924351</v>
      </c>
      <c r="R210" s="48">
        <f ca="1" t="shared" si="77"/>
        <v>0.125824723835216</v>
      </c>
      <c r="S210" s="46">
        <f ca="1" t="shared" si="78"/>
        <v>0.782729805013928</v>
      </c>
      <c r="T210" s="46">
        <f ca="1" t="shared" si="79"/>
        <v>0.182451253481894</v>
      </c>
      <c r="U210" s="46">
        <f ca="1" t="shared" si="80"/>
        <v>0.0348189415041783</v>
      </c>
      <c r="V210" s="48">
        <f ca="1" t="shared" si="81"/>
        <v>0.491569407160296</v>
      </c>
      <c r="W210" s="48">
        <f ca="1" t="shared" si="82"/>
        <v>3.39693832474177</v>
      </c>
      <c r="X210" s="48">
        <f ca="1" t="shared" si="83"/>
        <v>3.24394078303049</v>
      </c>
      <c r="Y210" s="48">
        <f t="shared" si="84"/>
        <v>1.02661146926685</v>
      </c>
      <c r="Z210" s="105">
        <f ca="1" t="shared" si="85"/>
        <v>0.0602482894000356</v>
      </c>
      <c r="AA210" s="105">
        <f ca="1" t="shared" si="86"/>
        <v>0.416339422840398</v>
      </c>
      <c r="AB210" s="105">
        <f ca="1" t="shared" si="87"/>
        <v>0.397587563924351</v>
      </c>
      <c r="AC210" s="105">
        <f ca="1" t="shared" si="88"/>
        <v>0.125824723835216</v>
      </c>
      <c r="AD210" s="105">
        <f ca="1" t="shared" si="89"/>
        <v>0.782729805013928</v>
      </c>
      <c r="AE210" s="105">
        <f ca="1" t="shared" si="90"/>
        <v>0.182451253481894</v>
      </c>
      <c r="AF210" s="105">
        <f ca="1" t="shared" si="91"/>
        <v>0.0348189415041783</v>
      </c>
    </row>
    <row r="211" ht="16.5" spans="1:32">
      <c r="A211">
        <f ca="1" t="shared" si="69"/>
        <v>17232</v>
      </c>
      <c r="B211" s="2">
        <v>209</v>
      </c>
      <c r="C211" s="2">
        <f>_xlfn.XLOOKUP(练度预期!D211,装备养成!$B$3:$B$303,装备养成!$D$3:$D$303)*6</f>
        <v>13488</v>
      </c>
      <c r="D211" s="2" cm="1">
        <f ca="1" t="array" ref="D211">_xlfn.XLOOKUP(练度预期!E211&amp;"_"&amp;INT(练度预期!C211/10)*10+10,装备养成!$N$4:$N$219&amp;"_"&amp;装备养成!$K$4:$K$219,装备养成!$P$4:$P$219)*练度预期!F211+_xlfn.XLOOKUP(练度预期!E211-1&amp;"_"&amp;INT(练度预期!C211/10)*10+10,装备养成!$N$4:$N$219&amp;"_"&amp;装备养成!$K$4:$K$219,装备养成!$P$4:$P$219)*(6-练度预期!F211)</f>
        <v>3144</v>
      </c>
      <c r="E211" s="2">
        <f ca="1">练度预期!N211*4*练度预期!M211</f>
        <v>600</v>
      </c>
      <c r="F211" s="103">
        <f ca="1">INT(练度预期!D211/10)*0.02+1+_xlfn.XLOOKUP(练度预期!E211,装备养成!$U$3:$U$11,装备养成!$V$3:$V$11)*练度预期!F211+_xlfn.XLOOKUP(练度预期!E211-1,装备养成!$U$3:$U$11,装备养成!$V$3:$V$11)*(6-练度预期!F211)</f>
        <v>1.63488</v>
      </c>
      <c r="G211" s="48">
        <f ca="1">OFFSET(梦灵养成!$K$20,_xlfn.XLOOKUP(练度预期!H211,梦灵养成!$D$10:$D$28,梦灵养成!$H$10:$H$28),MATCH(OFFSET(梦灵养成!$C$33,B211,MATCH(练度预期!H211,梦灵养成!$D$33:$V$33,0)),梦灵养成!$L$20:$R$20,1))*(1+(OFFSET(梦灵养成!$C$33,B211,MATCH(练度预期!H211,梦灵养成!$D$33:$V$33,0))-1)*_xlfn.XLOOKUP(练度预期!H211,梦灵养成!$D$9:$D$28,梦灵养成!$G$9:$G$28))</f>
        <v>29.8725</v>
      </c>
      <c r="H211" s="46">
        <f ca="1">符文养成!AC212</f>
        <v>25.6888484356234</v>
      </c>
      <c r="I211" s="46">
        <f>MAX(_xlfn.XLOOKUP(练度预期!O211,秘宝养成!$B$3:$B$15,秘宝养成!$E$3:$E$15),1)</f>
        <v>2.7915904</v>
      </c>
      <c r="J211" s="104">
        <f ca="1" t="shared" si="70"/>
        <v>60351694.6385274</v>
      </c>
      <c r="K211" s="104">
        <f ca="1">MATCH(J211,关卡预期!$E$4:$E$303,1)</f>
        <v>181</v>
      </c>
      <c r="L211" s="48">
        <f ca="1" t="shared" si="71"/>
        <v>0.782729805013928</v>
      </c>
      <c r="M211" s="48">
        <f ca="1" t="shared" si="72"/>
        <v>0.182451253481894</v>
      </c>
      <c r="N211" s="48">
        <f ca="1" t="shared" si="73"/>
        <v>0.0348189415041783</v>
      </c>
      <c r="O211" s="48">
        <f ca="1" t="shared" si="74"/>
        <v>0.0602326669543133</v>
      </c>
      <c r="P211" s="48">
        <f ca="1" t="shared" si="75"/>
        <v>0.41623146558385</v>
      </c>
      <c r="Q211" s="48">
        <f ca="1" t="shared" si="76"/>
        <v>0.397743770111758</v>
      </c>
      <c r="R211" s="48">
        <f ca="1" t="shared" si="77"/>
        <v>0.125792097350079</v>
      </c>
      <c r="S211" s="46">
        <f ca="1" t="shared" si="78"/>
        <v>0.782729805013928</v>
      </c>
      <c r="T211" s="46">
        <f ca="1" t="shared" si="79"/>
        <v>0.182451253481894</v>
      </c>
      <c r="U211" s="46">
        <f ca="1" t="shared" si="80"/>
        <v>0.0348189415041783</v>
      </c>
      <c r="V211" s="48">
        <f ca="1" t="shared" si="81"/>
        <v>0.491569407160296</v>
      </c>
      <c r="W211" s="48">
        <f ca="1" t="shared" si="82"/>
        <v>3.39693832474177</v>
      </c>
      <c r="X211" s="48">
        <f ca="1" t="shared" si="83"/>
        <v>3.24605698472292</v>
      </c>
      <c r="Y211" s="48">
        <f t="shared" si="84"/>
        <v>1.02661146926685</v>
      </c>
      <c r="Z211" s="105">
        <f ca="1" t="shared" si="85"/>
        <v>0.0602326669543133</v>
      </c>
      <c r="AA211" s="105">
        <f ca="1" t="shared" si="86"/>
        <v>0.41623146558385</v>
      </c>
      <c r="AB211" s="105">
        <f ca="1" t="shared" si="87"/>
        <v>0.397743770111758</v>
      </c>
      <c r="AC211" s="105">
        <f ca="1" t="shared" si="88"/>
        <v>0.125792097350079</v>
      </c>
      <c r="AD211" s="105">
        <f ca="1" t="shared" si="89"/>
        <v>0.782729805013928</v>
      </c>
      <c r="AE211" s="105">
        <f ca="1" t="shared" si="90"/>
        <v>0.182451253481894</v>
      </c>
      <c r="AF211" s="105">
        <f ca="1" t="shared" si="91"/>
        <v>0.0348189415041783</v>
      </c>
    </row>
    <row r="212" ht="16.5" spans="1:32">
      <c r="A212">
        <f ca="1" t="shared" si="69"/>
        <v>17232</v>
      </c>
      <c r="B212" s="2">
        <v>210</v>
      </c>
      <c r="C212" s="2">
        <f>_xlfn.XLOOKUP(练度预期!D212,装备养成!$B$3:$B$303,装备养成!$D$3:$D$303)*6</f>
        <v>13488</v>
      </c>
      <c r="D212" s="2" cm="1">
        <f ca="1" t="array" ref="D212">_xlfn.XLOOKUP(练度预期!E212&amp;"_"&amp;INT(练度预期!C212/10)*10+10,装备养成!$N$4:$N$219&amp;"_"&amp;装备养成!$K$4:$K$219,装备养成!$P$4:$P$219)*练度预期!F212+_xlfn.XLOOKUP(练度预期!E212-1&amp;"_"&amp;INT(练度预期!C212/10)*10+10,装备养成!$N$4:$N$219&amp;"_"&amp;装备养成!$K$4:$K$219,装备养成!$P$4:$P$219)*(6-练度预期!F212)</f>
        <v>3144</v>
      </c>
      <c r="E212" s="2">
        <f ca="1">练度预期!N212*4*练度预期!M212</f>
        <v>600</v>
      </c>
      <c r="F212" s="103">
        <f ca="1">INT(练度预期!D212/10)*0.02+1+_xlfn.XLOOKUP(练度预期!E212,装备养成!$U$3:$U$11,装备养成!$V$3:$V$11)*练度预期!F212+_xlfn.XLOOKUP(练度预期!E212-1,装备养成!$U$3:$U$11,装备养成!$V$3:$V$11)*(6-练度预期!F212)</f>
        <v>1.63488</v>
      </c>
      <c r="G212" s="48">
        <f ca="1">OFFSET(梦灵养成!$K$20,_xlfn.XLOOKUP(练度预期!H212,梦灵养成!$D$10:$D$28,梦灵养成!$H$10:$H$28),MATCH(OFFSET(梦灵养成!$C$33,B212,MATCH(练度预期!H212,梦灵养成!$D$33:$V$33,0)),梦灵养成!$L$20:$R$20,1))*(1+(OFFSET(梦灵养成!$C$33,B212,MATCH(练度预期!H212,梦灵养成!$D$33:$V$33,0))-1)*_xlfn.XLOOKUP(练度预期!H212,梦灵养成!$D$9:$D$28,梦灵养成!$G$9:$G$28))</f>
        <v>29.8725</v>
      </c>
      <c r="H212" s="46">
        <f ca="1">符文养成!AC213</f>
        <v>25.7349111981241</v>
      </c>
      <c r="I212" s="46">
        <f>MAX(_xlfn.XLOOKUP(练度预期!O212,秘宝养成!$B$3:$B$15,秘宝养成!$E$3:$E$15),1)</f>
        <v>2.7915904</v>
      </c>
      <c r="J212" s="104">
        <f ca="1" t="shared" si="70"/>
        <v>60459911.4697962</v>
      </c>
      <c r="K212" s="104">
        <f ca="1">MATCH(J212,关卡预期!$E$4:$E$303,1)</f>
        <v>181</v>
      </c>
      <c r="L212" s="48">
        <f ca="1" t="shared" si="71"/>
        <v>0.782729805013928</v>
      </c>
      <c r="M212" s="48">
        <f ca="1" t="shared" si="72"/>
        <v>0.182451253481894</v>
      </c>
      <c r="N212" s="48">
        <f ca="1" t="shared" si="73"/>
        <v>0.0348189415041782</v>
      </c>
      <c r="O212" s="48">
        <f ca="1" t="shared" si="74"/>
        <v>0.0602194479031715</v>
      </c>
      <c r="P212" s="48">
        <f ca="1" t="shared" si="75"/>
        <v>0.416140116731</v>
      </c>
      <c r="Q212" s="48">
        <f ca="1" t="shared" si="76"/>
        <v>0.397875945164034</v>
      </c>
      <c r="R212" s="48">
        <f ca="1" t="shared" si="77"/>
        <v>0.125764490201795</v>
      </c>
      <c r="S212" s="46">
        <f ca="1" t="shared" si="78"/>
        <v>0.782729805013928</v>
      </c>
      <c r="T212" s="46">
        <f ca="1" t="shared" si="79"/>
        <v>0.182451253481894</v>
      </c>
      <c r="U212" s="46">
        <f ca="1" t="shared" si="80"/>
        <v>0.0348189415041782</v>
      </c>
      <c r="V212" s="48">
        <f ca="1" t="shared" si="81"/>
        <v>0.491569407160296</v>
      </c>
      <c r="W212" s="48">
        <f ca="1" t="shared" si="82"/>
        <v>3.39693832474177</v>
      </c>
      <c r="X212" s="48">
        <f ca="1" t="shared" si="83"/>
        <v>3.24784848247215</v>
      </c>
      <c r="Y212" s="48">
        <f t="shared" si="84"/>
        <v>1.02661146926685</v>
      </c>
      <c r="Z212" s="105">
        <f ca="1" t="shared" si="85"/>
        <v>0.0602194479031715</v>
      </c>
      <c r="AA212" s="105">
        <f ca="1" t="shared" si="86"/>
        <v>0.416140116731</v>
      </c>
      <c r="AB212" s="105">
        <f ca="1" t="shared" si="87"/>
        <v>0.397875945164034</v>
      </c>
      <c r="AC212" s="105">
        <f ca="1" t="shared" si="88"/>
        <v>0.125764490201795</v>
      </c>
      <c r="AD212" s="105">
        <f ca="1" t="shared" si="89"/>
        <v>0.782729805013928</v>
      </c>
      <c r="AE212" s="105">
        <f ca="1" t="shared" si="90"/>
        <v>0.182451253481894</v>
      </c>
      <c r="AF212" s="105">
        <f ca="1" t="shared" si="91"/>
        <v>0.0348189415041783</v>
      </c>
    </row>
    <row r="213" ht="16.5" spans="1:32">
      <c r="A213">
        <f ca="1" t="shared" si="69"/>
        <v>17502</v>
      </c>
      <c r="B213" s="2">
        <v>211</v>
      </c>
      <c r="C213" s="2">
        <f>_xlfn.XLOOKUP(练度预期!D213,装备养成!$B$3:$B$303,装备养成!$D$3:$D$303)*6</f>
        <v>13758</v>
      </c>
      <c r="D213" s="2" cm="1">
        <f ca="1" t="array" ref="D213">_xlfn.XLOOKUP(练度预期!E213&amp;"_"&amp;INT(练度预期!C213/10)*10+10,装备养成!$N$4:$N$219&amp;"_"&amp;装备养成!$K$4:$K$219,装备养成!$P$4:$P$219)*练度预期!F213+_xlfn.XLOOKUP(练度预期!E213-1&amp;"_"&amp;INT(练度预期!C213/10)*10+10,装备养成!$N$4:$N$219&amp;"_"&amp;装备养成!$K$4:$K$219,装备养成!$P$4:$P$219)*(6-练度预期!F213)</f>
        <v>3144</v>
      </c>
      <c r="E213" s="2">
        <f ca="1">练度预期!N213*4*练度预期!M213</f>
        <v>600</v>
      </c>
      <c r="F213" s="103">
        <f ca="1">INT(练度预期!D213/10)*0.02+1+_xlfn.XLOOKUP(练度预期!E213,装备养成!$U$3:$U$11,装备养成!$V$3:$V$11)*练度预期!F213+_xlfn.XLOOKUP(练度预期!E213-1,装备养成!$U$3:$U$11,装备养成!$V$3:$V$11)*(6-练度预期!F213)</f>
        <v>1.63488</v>
      </c>
      <c r="G213" s="48">
        <f ca="1">OFFSET(梦灵养成!$K$20,_xlfn.XLOOKUP(练度预期!H213,梦灵养成!$D$10:$D$28,梦灵养成!$H$10:$H$28),MATCH(OFFSET(梦灵养成!$C$33,B213,MATCH(练度预期!H213,梦灵养成!$D$33:$V$33,0)),梦灵养成!$L$20:$R$20,1))*(1+(OFFSET(梦灵养成!$C$33,B213,MATCH(练度预期!H213,梦灵养成!$D$33:$V$33,0))-1)*_xlfn.XLOOKUP(练度预期!H213,梦灵养成!$D$9:$D$28,梦灵养成!$G$9:$G$28))</f>
        <v>29.8725</v>
      </c>
      <c r="H213" s="46">
        <f ca="1">符文养成!AC214</f>
        <v>25.7903974027464</v>
      </c>
      <c r="I213" s="46">
        <f>MAX(_xlfn.XLOOKUP(练度预期!O213,秘宝养成!$B$3:$B$15,秘宝养成!$E$3:$E$15),1)</f>
        <v>2.7915904</v>
      </c>
      <c r="J213" s="104">
        <f ca="1" t="shared" si="70"/>
        <v>61539627.1524754</v>
      </c>
      <c r="K213" s="104">
        <f ca="1">MATCH(J213,关卡预期!$E$4:$E$303,1)</f>
        <v>181</v>
      </c>
      <c r="L213" s="48">
        <f ca="1" t="shared" si="71"/>
        <v>0.786081590675351</v>
      </c>
      <c r="M213" s="48">
        <f ca="1" t="shared" si="72"/>
        <v>0.179636612958519</v>
      </c>
      <c r="N213" s="48">
        <f ca="1" t="shared" si="73"/>
        <v>0.0342817963661296</v>
      </c>
      <c r="O213" s="48">
        <f ca="1" t="shared" si="74"/>
        <v>0.0602035635804227</v>
      </c>
      <c r="P213" s="48">
        <f ca="1" t="shared" si="75"/>
        <v>0.416030349800996</v>
      </c>
      <c r="Q213" s="48">
        <f ca="1" t="shared" si="76"/>
        <v>0.398034769815452</v>
      </c>
      <c r="R213" s="48">
        <f ca="1" t="shared" si="77"/>
        <v>0.12573131680313</v>
      </c>
      <c r="S213" s="46">
        <f ca="1" t="shared" si="78"/>
        <v>0.786081590675351</v>
      </c>
      <c r="T213" s="46">
        <f ca="1" t="shared" si="79"/>
        <v>0.179636612958519</v>
      </c>
      <c r="U213" s="46">
        <f ca="1" t="shared" si="80"/>
        <v>0.0342817963661296</v>
      </c>
      <c r="V213" s="48">
        <f ca="1" t="shared" si="81"/>
        <v>0.491569407160296</v>
      </c>
      <c r="W213" s="48">
        <f ca="1" t="shared" si="82"/>
        <v>3.39693832474177</v>
      </c>
      <c r="X213" s="48">
        <f ca="1" t="shared" si="83"/>
        <v>3.25000222895431</v>
      </c>
      <c r="Y213" s="48">
        <f t="shared" si="84"/>
        <v>1.02661146926685</v>
      </c>
      <c r="Z213" s="105">
        <f ca="1" t="shared" si="85"/>
        <v>0.0602035635804227</v>
      </c>
      <c r="AA213" s="105">
        <f ca="1" t="shared" si="86"/>
        <v>0.416030349800996</v>
      </c>
      <c r="AB213" s="105">
        <f ca="1" t="shared" si="87"/>
        <v>0.398034769815452</v>
      </c>
      <c r="AC213" s="105">
        <f ca="1" t="shared" si="88"/>
        <v>0.12573131680313</v>
      </c>
      <c r="AD213" s="105">
        <f ca="1" t="shared" si="89"/>
        <v>0.786081590675351</v>
      </c>
      <c r="AE213" s="105">
        <f ca="1" t="shared" si="90"/>
        <v>0.179636612958519</v>
      </c>
      <c r="AF213" s="105">
        <f ca="1" t="shared" si="91"/>
        <v>0.0342817963661296</v>
      </c>
    </row>
    <row r="214" ht="16.5" spans="1:32">
      <c r="A214">
        <f ca="1" t="shared" si="69"/>
        <v>17502</v>
      </c>
      <c r="B214" s="2">
        <v>212</v>
      </c>
      <c r="C214" s="2">
        <f>_xlfn.XLOOKUP(练度预期!D214,装备养成!$B$3:$B$303,装备养成!$D$3:$D$303)*6</f>
        <v>13758</v>
      </c>
      <c r="D214" s="2" cm="1">
        <f ca="1" t="array" ref="D214">_xlfn.XLOOKUP(练度预期!E214&amp;"_"&amp;INT(练度预期!C214/10)*10+10,装备养成!$N$4:$N$219&amp;"_"&amp;装备养成!$K$4:$K$219,装备养成!$P$4:$P$219)*练度预期!F214+_xlfn.XLOOKUP(练度预期!E214-1&amp;"_"&amp;INT(练度预期!C214/10)*10+10,装备养成!$N$4:$N$219&amp;"_"&amp;装备养成!$K$4:$K$219,装备养成!$P$4:$P$219)*(6-练度预期!F214)</f>
        <v>3144</v>
      </c>
      <c r="E214" s="2">
        <f ca="1">练度预期!N214*4*练度预期!M214</f>
        <v>600</v>
      </c>
      <c r="F214" s="103">
        <f ca="1">INT(练度预期!D214/10)*0.02+1+_xlfn.XLOOKUP(练度预期!E214,装备养成!$U$3:$U$11,装备养成!$V$3:$V$11)*练度预期!F214+_xlfn.XLOOKUP(练度预期!E214-1,装备养成!$U$3:$U$11,装备养成!$V$3:$V$11)*(6-练度预期!F214)</f>
        <v>1.63488</v>
      </c>
      <c r="G214" s="48">
        <f ca="1">OFFSET(梦灵养成!$K$20,_xlfn.XLOOKUP(练度预期!H214,梦灵养成!$D$10:$D$28,梦灵养成!$H$10:$H$28),MATCH(OFFSET(梦灵养成!$C$33,B214,MATCH(练度预期!H214,梦灵养成!$D$33:$V$33,0)),梦灵养成!$L$20:$R$20,1))*(1+(OFFSET(梦灵养成!$C$33,B214,MATCH(练度预期!H214,梦灵养成!$D$33:$V$33,0))-1)*_xlfn.XLOOKUP(练度预期!H214,梦灵养成!$D$9:$D$28,梦灵养成!$G$9:$G$28))</f>
        <v>29.8725</v>
      </c>
      <c r="H214" s="46">
        <f ca="1">符文养成!AC215</f>
        <v>25.8366352989771</v>
      </c>
      <c r="I214" s="46">
        <f>MAX(_xlfn.XLOOKUP(练度预期!O214,秘宝养成!$B$3:$B$15,秘宝养成!$E$3:$E$15),1)</f>
        <v>2.7915904</v>
      </c>
      <c r="J214" s="104">
        <f ca="1" t="shared" si="70"/>
        <v>61649957.476197</v>
      </c>
      <c r="K214" s="104">
        <f ca="1">MATCH(J214,关卡预期!$E$4:$E$303,1)</f>
        <v>181</v>
      </c>
      <c r="L214" s="48">
        <f ca="1" t="shared" si="71"/>
        <v>0.786081590675351</v>
      </c>
      <c r="M214" s="48">
        <f ca="1" t="shared" si="72"/>
        <v>0.179636612958519</v>
      </c>
      <c r="N214" s="48">
        <f ca="1" t="shared" si="73"/>
        <v>0.0342817963661297</v>
      </c>
      <c r="O214" s="48">
        <f ca="1" t="shared" si="74"/>
        <v>0.0601903592829068</v>
      </c>
      <c r="P214" s="48">
        <f ca="1" t="shared" si="75"/>
        <v>0.415939102901514</v>
      </c>
      <c r="Q214" s="48">
        <f ca="1" t="shared" si="76"/>
        <v>0.398166797348722</v>
      </c>
      <c r="R214" s="48">
        <f ca="1" t="shared" si="77"/>
        <v>0.125703740466857</v>
      </c>
      <c r="S214" s="46">
        <f ca="1" t="shared" si="78"/>
        <v>0.786081590675351</v>
      </c>
      <c r="T214" s="46">
        <f ca="1" t="shared" si="79"/>
        <v>0.179636612958519</v>
      </c>
      <c r="U214" s="46">
        <f ca="1" t="shared" si="80"/>
        <v>0.0342817963661297</v>
      </c>
      <c r="V214" s="48">
        <f ca="1" t="shared" si="81"/>
        <v>0.491569407160296</v>
      </c>
      <c r="W214" s="48">
        <f ca="1" t="shared" si="82"/>
        <v>3.39693832474177</v>
      </c>
      <c r="X214" s="48">
        <f ca="1" t="shared" si="83"/>
        <v>3.25179345754809</v>
      </c>
      <c r="Y214" s="48">
        <f t="shared" si="84"/>
        <v>1.02661146926685</v>
      </c>
      <c r="Z214" s="105">
        <f ca="1" t="shared" si="85"/>
        <v>0.0601903592829068</v>
      </c>
      <c r="AA214" s="105">
        <f ca="1" t="shared" si="86"/>
        <v>0.415939102901514</v>
      </c>
      <c r="AB214" s="105">
        <f ca="1" t="shared" si="87"/>
        <v>0.398166797348722</v>
      </c>
      <c r="AC214" s="105">
        <f ca="1" t="shared" si="88"/>
        <v>0.125703740466857</v>
      </c>
      <c r="AD214" s="105">
        <f ca="1" t="shared" si="89"/>
        <v>0.786081590675351</v>
      </c>
      <c r="AE214" s="105">
        <f ca="1" t="shared" si="90"/>
        <v>0.179636612958519</v>
      </c>
      <c r="AF214" s="105">
        <f ca="1" t="shared" si="91"/>
        <v>0.0342817963661296</v>
      </c>
    </row>
    <row r="215" ht="16.5" spans="1:32">
      <c r="A215">
        <f ca="1" t="shared" si="69"/>
        <v>17502</v>
      </c>
      <c r="B215" s="2">
        <v>213</v>
      </c>
      <c r="C215" s="2">
        <f>_xlfn.XLOOKUP(练度预期!D215,装备养成!$B$3:$B$303,装备养成!$D$3:$D$303)*6</f>
        <v>13758</v>
      </c>
      <c r="D215" s="2" cm="1">
        <f ca="1" t="array" ref="D215">_xlfn.XLOOKUP(练度预期!E215&amp;"_"&amp;INT(练度预期!C215/10)*10+10,装备养成!$N$4:$N$219&amp;"_"&amp;装备养成!$K$4:$K$219,装备养成!$P$4:$P$219)*练度预期!F215+_xlfn.XLOOKUP(练度预期!E215-1&amp;"_"&amp;INT(练度预期!C215/10)*10+10,装备养成!$N$4:$N$219&amp;"_"&amp;装备养成!$K$4:$K$219,装备养成!$P$4:$P$219)*(6-练度预期!F215)</f>
        <v>3144</v>
      </c>
      <c r="E215" s="2">
        <f ca="1">练度预期!N215*4*练度预期!M215</f>
        <v>600</v>
      </c>
      <c r="F215" s="103">
        <f ca="1">INT(练度预期!D215/10)*0.02+1+_xlfn.XLOOKUP(练度预期!E215,装备养成!$U$3:$U$11,装备养成!$V$3:$V$11)*练度预期!F215+_xlfn.XLOOKUP(练度预期!E215-1,装备养成!$U$3:$U$11,装备养成!$V$3:$V$11)*(6-练度预期!F215)</f>
        <v>1.63488</v>
      </c>
      <c r="G215" s="48">
        <f ca="1">OFFSET(梦灵养成!$K$20,_xlfn.XLOOKUP(练度预期!H215,梦灵养成!$D$10:$D$28,梦灵养成!$H$10:$H$28),MATCH(OFFSET(梦灵养成!$C$33,B215,MATCH(练度预期!H215,梦灵养成!$D$33:$V$33,0)),梦灵养成!$L$20:$R$20,1))*(1+(OFFSET(梦灵养成!$C$33,B215,MATCH(练度预期!H215,梦灵养成!$D$33:$V$33,0))-1)*_xlfn.XLOOKUP(练度预期!H215,梦灵养成!$D$9:$D$28,梦灵养成!$G$9:$G$28))</f>
        <v>29.8725</v>
      </c>
      <c r="H215" s="46">
        <f ca="1">符文养成!AC216</f>
        <v>25.8923324423002</v>
      </c>
      <c r="I215" s="46">
        <f>MAX(_xlfn.XLOOKUP(练度预期!O215,秘宝养成!$B$3:$B$15,秘宝养成!$E$3:$E$15),1)</f>
        <v>2.7915904</v>
      </c>
      <c r="J215" s="104">
        <f ca="1" t="shared" si="70"/>
        <v>61782858.9348303</v>
      </c>
      <c r="K215" s="104">
        <f ca="1">MATCH(J215,关卡预期!$E$4:$E$303,1)</f>
        <v>181</v>
      </c>
      <c r="L215" s="48">
        <f ca="1" t="shared" si="71"/>
        <v>0.786081590675351</v>
      </c>
      <c r="M215" s="48">
        <f ca="1" t="shared" si="72"/>
        <v>0.179636612958519</v>
      </c>
      <c r="N215" s="48">
        <f ca="1" t="shared" si="73"/>
        <v>0.0342817963661296</v>
      </c>
      <c r="O215" s="48">
        <f ca="1" t="shared" si="74"/>
        <v>0.0601744926856216</v>
      </c>
      <c r="P215" s="48">
        <f ca="1" t="shared" si="75"/>
        <v>0.415829458461449</v>
      </c>
      <c r="Q215" s="48">
        <f ca="1" t="shared" si="76"/>
        <v>0.398325444766233</v>
      </c>
      <c r="R215" s="48">
        <f ca="1" t="shared" si="77"/>
        <v>0.125670604086696</v>
      </c>
      <c r="S215" s="46">
        <f ca="1" t="shared" si="78"/>
        <v>0.786081590675351</v>
      </c>
      <c r="T215" s="46">
        <f ca="1" t="shared" si="79"/>
        <v>0.179636612958519</v>
      </c>
      <c r="U215" s="46">
        <f ca="1" t="shared" si="80"/>
        <v>0.0342817963661296</v>
      </c>
      <c r="V215" s="48">
        <f ca="1" t="shared" si="81"/>
        <v>0.491569407160296</v>
      </c>
      <c r="W215" s="48">
        <f ca="1" t="shared" si="82"/>
        <v>3.39693832474177</v>
      </c>
      <c r="X215" s="48">
        <f ca="1" t="shared" si="83"/>
        <v>3.25394688017677</v>
      </c>
      <c r="Y215" s="48">
        <f t="shared" si="84"/>
        <v>1.02661146926685</v>
      </c>
      <c r="Z215" s="105">
        <f ca="1" t="shared" si="85"/>
        <v>0.0601744926856216</v>
      </c>
      <c r="AA215" s="105">
        <f ca="1" t="shared" si="86"/>
        <v>0.415829458461449</v>
      </c>
      <c r="AB215" s="105">
        <f ca="1" t="shared" si="87"/>
        <v>0.398325444766233</v>
      </c>
      <c r="AC215" s="105">
        <f ca="1" t="shared" si="88"/>
        <v>0.125670604086696</v>
      </c>
      <c r="AD215" s="105">
        <f ca="1" t="shared" si="89"/>
        <v>0.786081590675351</v>
      </c>
      <c r="AE215" s="105">
        <f ca="1" t="shared" si="90"/>
        <v>0.179636612958519</v>
      </c>
      <c r="AF215" s="105">
        <f ca="1" t="shared" si="91"/>
        <v>0.0342817963661296</v>
      </c>
    </row>
    <row r="216" ht="16.5" spans="1:32">
      <c r="A216">
        <f ca="1" t="shared" si="69"/>
        <v>17502</v>
      </c>
      <c r="B216" s="2">
        <v>214</v>
      </c>
      <c r="C216" s="2">
        <f>_xlfn.XLOOKUP(练度预期!D216,装备养成!$B$3:$B$303,装备养成!$D$3:$D$303)*6</f>
        <v>13758</v>
      </c>
      <c r="D216" s="2" cm="1">
        <f ca="1" t="array" ref="D216">_xlfn.XLOOKUP(练度预期!E216&amp;"_"&amp;INT(练度预期!C216/10)*10+10,装备养成!$N$4:$N$219&amp;"_"&amp;装备养成!$K$4:$K$219,装备养成!$P$4:$P$219)*练度预期!F216+_xlfn.XLOOKUP(练度预期!E216-1&amp;"_"&amp;INT(练度预期!C216/10)*10+10,装备养成!$N$4:$N$219&amp;"_"&amp;装备养成!$K$4:$K$219,装备养成!$P$4:$P$219)*(6-练度预期!F216)</f>
        <v>3144</v>
      </c>
      <c r="E216" s="2">
        <f ca="1">练度预期!N216*4*练度预期!M216</f>
        <v>600</v>
      </c>
      <c r="F216" s="103">
        <f ca="1">INT(练度预期!D216/10)*0.02+1+_xlfn.XLOOKUP(练度预期!E216,装备养成!$U$3:$U$11,装备养成!$V$3:$V$11)*练度预期!F216+_xlfn.XLOOKUP(练度预期!E216-1,装备养成!$U$3:$U$11,装备养成!$V$3:$V$11)*(6-练度预期!F216)</f>
        <v>1.63488</v>
      </c>
      <c r="G216" s="48">
        <f ca="1">OFFSET(梦灵养成!$K$20,_xlfn.XLOOKUP(练度预期!H216,梦灵养成!$D$10:$D$28,梦灵养成!$H$10:$H$28),MATCH(OFFSET(梦灵养成!$C$33,B216,MATCH(练度预期!H216,梦灵养成!$D$33:$V$33,0)),梦灵养成!$L$20:$R$20,1))*(1+(OFFSET(梦灵养成!$C$33,B216,MATCH(练度预期!H216,梦灵养成!$D$33:$V$33,0))-1)*_xlfn.XLOOKUP(练度预期!H216,梦灵养成!$D$9:$D$28,梦灵养成!$G$9:$G$28))</f>
        <v>29.8725</v>
      </c>
      <c r="H216" s="46">
        <f ca="1">符文养成!AC217</f>
        <v>25.9332485227798</v>
      </c>
      <c r="I216" s="46">
        <f>MAX(_xlfn.XLOOKUP(练度预期!O216,秘宝养成!$B$3:$B$15,秘宝养成!$E$3:$E$15),1)</f>
        <v>2.7915904</v>
      </c>
      <c r="J216" s="104">
        <f ca="1" t="shared" si="70"/>
        <v>61880490.6346422</v>
      </c>
      <c r="K216" s="104">
        <f ca="1">MATCH(J216,关卡预期!$E$4:$E$303,1)</f>
        <v>181</v>
      </c>
      <c r="L216" s="48">
        <f ca="1" t="shared" si="71"/>
        <v>0.786081590675352</v>
      </c>
      <c r="M216" s="48">
        <f ca="1" t="shared" si="72"/>
        <v>0.179636612958519</v>
      </c>
      <c r="N216" s="48">
        <f ca="1" t="shared" si="73"/>
        <v>0.0342817963661294</v>
      </c>
      <c r="O216" s="48">
        <f ca="1" t="shared" si="74"/>
        <v>0.0601628638555893</v>
      </c>
      <c r="P216" s="48">
        <f ca="1" t="shared" si="75"/>
        <v>0.415749098663151</v>
      </c>
      <c r="Q216" s="48">
        <f ca="1" t="shared" si="76"/>
        <v>0.398441719467113</v>
      </c>
      <c r="R216" s="48">
        <f ca="1" t="shared" si="77"/>
        <v>0.125646318014146</v>
      </c>
      <c r="S216" s="46">
        <f ca="1" t="shared" si="78"/>
        <v>0.786081590675351</v>
      </c>
      <c r="T216" s="46">
        <f ca="1" t="shared" si="79"/>
        <v>0.179636612958519</v>
      </c>
      <c r="U216" s="46">
        <f ca="1" t="shared" si="80"/>
        <v>0.0342817963661294</v>
      </c>
      <c r="V216" s="48">
        <f ca="1" t="shared" si="81"/>
        <v>0.491569407160296</v>
      </c>
      <c r="W216" s="48">
        <f ca="1" t="shared" si="82"/>
        <v>3.39693832474177</v>
      </c>
      <c r="X216" s="48">
        <f ca="1" t="shared" si="83"/>
        <v>3.25552587218106</v>
      </c>
      <c r="Y216" s="48">
        <f t="shared" si="84"/>
        <v>1.02661146926685</v>
      </c>
      <c r="Z216" s="105">
        <f ca="1" t="shared" si="85"/>
        <v>0.0601628638555893</v>
      </c>
      <c r="AA216" s="105">
        <f ca="1" t="shared" si="86"/>
        <v>0.415749098663151</v>
      </c>
      <c r="AB216" s="105">
        <f ca="1" t="shared" si="87"/>
        <v>0.398441719467113</v>
      </c>
      <c r="AC216" s="105">
        <f ca="1" t="shared" si="88"/>
        <v>0.125646318014146</v>
      </c>
      <c r="AD216" s="105">
        <f ca="1" t="shared" si="89"/>
        <v>0.786081590675351</v>
      </c>
      <c r="AE216" s="105">
        <f ca="1" t="shared" si="90"/>
        <v>0.179636612958519</v>
      </c>
      <c r="AF216" s="105">
        <f ca="1" t="shared" si="91"/>
        <v>0.0342817963661296</v>
      </c>
    </row>
    <row r="217" ht="16.5" spans="1:32">
      <c r="A217">
        <f ca="1" t="shared" si="69"/>
        <v>17772</v>
      </c>
      <c r="B217" s="2">
        <v>215</v>
      </c>
      <c r="C217" s="2">
        <f>_xlfn.XLOOKUP(练度预期!D217,装备养成!$B$3:$B$303,装备养成!$D$3:$D$303)*6</f>
        <v>14028</v>
      </c>
      <c r="D217" s="2" cm="1">
        <f ca="1" t="array" ref="D217">_xlfn.XLOOKUP(练度预期!E217&amp;"_"&amp;INT(练度预期!C217/10)*10+10,装备养成!$N$4:$N$219&amp;"_"&amp;装备养成!$K$4:$K$219,装备养成!$P$4:$P$219)*练度预期!F217+_xlfn.XLOOKUP(练度预期!E217-1&amp;"_"&amp;INT(练度预期!C217/10)*10+10,装备养成!$N$4:$N$219&amp;"_"&amp;装备养成!$K$4:$K$219,装备养成!$P$4:$P$219)*(6-练度预期!F217)</f>
        <v>3144</v>
      </c>
      <c r="E217" s="2">
        <f ca="1">练度预期!N217*4*练度预期!M217</f>
        <v>600</v>
      </c>
      <c r="F217" s="103">
        <f ca="1">INT(练度预期!D217/10)*0.02+1+_xlfn.XLOOKUP(练度预期!E217,装备养成!$U$3:$U$11,装备养成!$V$3:$V$11)*练度预期!F217+_xlfn.XLOOKUP(练度预期!E217-1,装备养成!$U$3:$U$11,装备养成!$V$3:$V$11)*(6-练度预期!F217)</f>
        <v>1.63488</v>
      </c>
      <c r="G217" s="48">
        <f ca="1">OFFSET(梦灵养成!$K$20,_xlfn.XLOOKUP(练度预期!H217,梦灵养成!$D$10:$D$28,梦灵养成!$H$10:$H$28),MATCH(OFFSET(梦灵养成!$C$33,B217,MATCH(练度预期!H217,梦灵养成!$D$33:$V$33,0)),梦灵养成!$L$20:$R$20,1))*(1+(OFFSET(梦灵养成!$C$33,B217,MATCH(练度预期!H217,梦灵养成!$D$33:$V$33,0))-1)*_xlfn.XLOOKUP(练度预期!H217,梦灵养成!$D$9:$D$28,梦灵养成!$G$9:$G$28))</f>
        <v>29.8725</v>
      </c>
      <c r="H217" s="46">
        <f ca="1">符文养成!AC218</f>
        <v>25.9891459630823</v>
      </c>
      <c r="I217" s="46">
        <f>MAX(_xlfn.XLOOKUP(练度预期!O217,秘宝养成!$B$3:$B$15,秘宝养成!$E$3:$E$15),1)</f>
        <v>2.7915904</v>
      </c>
      <c r="J217" s="104">
        <f ca="1" t="shared" si="70"/>
        <v>62970546.1198304</v>
      </c>
      <c r="K217" s="104">
        <f ca="1">MATCH(J217,关卡预期!$E$4:$E$303,1)</f>
        <v>182</v>
      </c>
      <c r="L217" s="48">
        <f ca="1" t="shared" si="71"/>
        <v>0.789331532748143</v>
      </c>
      <c r="M217" s="48">
        <f ca="1" t="shared" si="72"/>
        <v>0.176907494935854</v>
      </c>
      <c r="N217" s="48">
        <f ca="1" t="shared" si="73"/>
        <v>0.0337609723160028</v>
      </c>
      <c r="O217" s="48">
        <f ca="1" t="shared" si="74"/>
        <v>0.0601470140077234</v>
      </c>
      <c r="P217" s="48">
        <f ca="1" t="shared" si="75"/>
        <v>0.415639569968174</v>
      </c>
      <c r="Q217" s="48">
        <f ca="1" t="shared" si="76"/>
        <v>0.398600199410019</v>
      </c>
      <c r="R217" s="48">
        <f ca="1" t="shared" si="77"/>
        <v>0.125613216614083</v>
      </c>
      <c r="S217" s="46">
        <f ca="1" t="shared" si="78"/>
        <v>0.789331532748143</v>
      </c>
      <c r="T217" s="46">
        <f ca="1" t="shared" si="79"/>
        <v>0.176907494935854</v>
      </c>
      <c r="U217" s="46">
        <f ca="1" t="shared" si="80"/>
        <v>0.0337609723160028</v>
      </c>
      <c r="V217" s="48">
        <f ca="1" t="shared" si="81"/>
        <v>0.491569407160296</v>
      </c>
      <c r="W217" s="48">
        <f ca="1" t="shared" si="82"/>
        <v>3.39693832474177</v>
      </c>
      <c r="X217" s="48">
        <f ca="1" t="shared" si="83"/>
        <v>3.25767898790119</v>
      </c>
      <c r="Y217" s="48">
        <f t="shared" si="84"/>
        <v>1.02661146926685</v>
      </c>
      <c r="Z217" s="105">
        <f ca="1" t="shared" si="85"/>
        <v>0.0601470140077234</v>
      </c>
      <c r="AA217" s="105">
        <f ca="1" t="shared" si="86"/>
        <v>0.415639569968174</v>
      </c>
      <c r="AB217" s="105">
        <f ca="1" t="shared" si="87"/>
        <v>0.398600199410019</v>
      </c>
      <c r="AC217" s="105">
        <f ca="1" t="shared" si="88"/>
        <v>0.125613216614083</v>
      </c>
      <c r="AD217" s="105">
        <f ca="1" t="shared" si="89"/>
        <v>0.789331532748143</v>
      </c>
      <c r="AE217" s="105">
        <f ca="1" t="shared" si="90"/>
        <v>0.176907494935854</v>
      </c>
      <c r="AF217" s="105">
        <f ca="1" t="shared" si="91"/>
        <v>0.0337609723160027</v>
      </c>
    </row>
    <row r="218" ht="16.5" spans="1:32">
      <c r="A218">
        <f ca="1" t="shared" si="69"/>
        <v>17772</v>
      </c>
      <c r="B218" s="2">
        <v>216</v>
      </c>
      <c r="C218" s="2">
        <f>_xlfn.XLOOKUP(练度预期!D218,装备养成!$B$3:$B$303,装备养成!$D$3:$D$303)*6</f>
        <v>14028</v>
      </c>
      <c r="D218" s="2" cm="1">
        <f ca="1" t="array" ref="D218">_xlfn.XLOOKUP(练度预期!E218&amp;"_"&amp;INT(练度预期!C218/10)*10+10,装备养成!$N$4:$N$219&amp;"_"&amp;装备养成!$K$4:$K$219,装备养成!$P$4:$P$219)*练度预期!F218+_xlfn.XLOOKUP(练度预期!E218-1&amp;"_"&amp;INT(练度预期!C218/10)*10+10,装备养成!$N$4:$N$219&amp;"_"&amp;装备养成!$K$4:$K$219,装备养成!$P$4:$P$219)*(6-练度预期!F218)</f>
        <v>3144</v>
      </c>
      <c r="E218" s="2">
        <f ca="1">练度预期!N218*4*练度预期!M218</f>
        <v>600</v>
      </c>
      <c r="F218" s="103">
        <f ca="1">INT(练度预期!D218/10)*0.02+1+_xlfn.XLOOKUP(练度预期!E218,装备养成!$U$3:$U$11,装备养成!$V$3:$V$11)*练度预期!F218+_xlfn.XLOOKUP(练度预期!E218-1,装备养成!$U$3:$U$11,装备养成!$V$3:$V$11)*(6-练度预期!F218)</f>
        <v>1.63488</v>
      </c>
      <c r="G218" s="48">
        <f ca="1">OFFSET(梦灵养成!$K$20,_xlfn.XLOOKUP(练度预期!H218,梦灵养成!$D$10:$D$28,梦灵养成!$H$10:$H$28),MATCH(OFFSET(梦灵养成!$C$33,B218,MATCH(练度预期!H218,梦灵养成!$D$33:$V$33,0)),梦灵养成!$L$20:$R$20,1))*(1+(OFFSET(梦灵养成!$C$33,B218,MATCH(练度预期!H218,梦灵养成!$D$33:$V$33,0))-1)*_xlfn.XLOOKUP(练度预期!H218,梦灵养成!$D$9:$D$28,梦灵养成!$G$9:$G$28))</f>
        <v>29.8725</v>
      </c>
      <c r="H218" s="46">
        <f ca="1">符文养成!AC219</f>
        <v>26.036711870945</v>
      </c>
      <c r="I218" s="46">
        <f>MAX(_xlfn.XLOOKUP(练度预期!O218,秘宝养成!$B$3:$B$15,秘宝养成!$E$3:$E$15),1)</f>
        <v>2.7915904</v>
      </c>
      <c r="J218" s="104">
        <f ca="1" t="shared" si="70"/>
        <v>63085796.2015011</v>
      </c>
      <c r="K218" s="104">
        <f ca="1">MATCH(J218,关卡预期!$E$4:$E$303,1)</f>
        <v>182</v>
      </c>
      <c r="L218" s="48">
        <f ca="1" t="shared" si="71"/>
        <v>0.789331532748143</v>
      </c>
      <c r="M218" s="48">
        <f ca="1" t="shared" si="72"/>
        <v>0.176907494935854</v>
      </c>
      <c r="N218" s="48">
        <f ca="1" t="shared" si="73"/>
        <v>0.0337609723160027</v>
      </c>
      <c r="O218" s="48">
        <f ca="1" t="shared" si="74"/>
        <v>0.0601335599651581</v>
      </c>
      <c r="P218" s="48">
        <f ca="1" t="shared" si="75"/>
        <v>0.415546597231981</v>
      </c>
      <c r="Q218" s="48">
        <f ca="1" t="shared" si="76"/>
        <v>0.398734724101717</v>
      </c>
      <c r="R218" s="48">
        <f ca="1" t="shared" si="77"/>
        <v>0.125585118701145</v>
      </c>
      <c r="S218" s="46">
        <f ca="1" t="shared" si="78"/>
        <v>0.789331532748143</v>
      </c>
      <c r="T218" s="46">
        <f ca="1" t="shared" si="79"/>
        <v>0.176907494935854</v>
      </c>
      <c r="U218" s="46">
        <f ca="1" t="shared" si="80"/>
        <v>0.0337609723160027</v>
      </c>
      <c r="V218" s="48">
        <f ca="1" t="shared" si="81"/>
        <v>0.491569407160296</v>
      </c>
      <c r="W218" s="48">
        <f ca="1" t="shared" si="82"/>
        <v>3.39693832474177</v>
      </c>
      <c r="X218" s="48">
        <f ca="1" t="shared" si="83"/>
        <v>3.25950753713022</v>
      </c>
      <c r="Y218" s="48">
        <f t="shared" si="84"/>
        <v>1.02661146926685</v>
      </c>
      <c r="Z218" s="105">
        <f ca="1" t="shared" si="85"/>
        <v>0.0601335599651581</v>
      </c>
      <c r="AA218" s="105">
        <f ca="1" t="shared" si="86"/>
        <v>0.415546597231981</v>
      </c>
      <c r="AB218" s="105">
        <f ca="1" t="shared" si="87"/>
        <v>0.398734724101717</v>
      </c>
      <c r="AC218" s="105">
        <f ca="1" t="shared" si="88"/>
        <v>0.125585118701145</v>
      </c>
      <c r="AD218" s="105">
        <f ca="1" t="shared" si="89"/>
        <v>0.789331532748143</v>
      </c>
      <c r="AE218" s="105">
        <f ca="1" t="shared" si="90"/>
        <v>0.176907494935854</v>
      </c>
      <c r="AF218" s="105">
        <f ca="1" t="shared" si="91"/>
        <v>0.0337609723160027</v>
      </c>
    </row>
    <row r="219" ht="16.5" spans="1:32">
      <c r="A219">
        <f ca="1" t="shared" si="69"/>
        <v>17772</v>
      </c>
      <c r="B219" s="2">
        <v>217</v>
      </c>
      <c r="C219" s="2">
        <f>_xlfn.XLOOKUP(练度预期!D219,装备养成!$B$3:$B$303,装备养成!$D$3:$D$303)*6</f>
        <v>14028</v>
      </c>
      <c r="D219" s="2" cm="1">
        <f ca="1" t="array" ref="D219">_xlfn.XLOOKUP(练度预期!E219&amp;"_"&amp;INT(练度预期!C219/10)*10+10,装备养成!$N$4:$N$219&amp;"_"&amp;装备养成!$K$4:$K$219,装备养成!$P$4:$P$219)*练度预期!F219+_xlfn.XLOOKUP(练度预期!E219-1&amp;"_"&amp;INT(练度预期!C219/10)*10+10,装备养成!$N$4:$N$219&amp;"_"&amp;装备养成!$K$4:$K$219,装备养成!$P$4:$P$219)*(6-练度预期!F219)</f>
        <v>3144</v>
      </c>
      <c r="E219" s="2">
        <f ca="1">练度预期!N219*4*练度预期!M219</f>
        <v>600</v>
      </c>
      <c r="F219" s="103">
        <f ca="1">INT(练度预期!D219/10)*0.02+1+_xlfn.XLOOKUP(练度预期!E219,装备养成!$U$3:$U$11,装备养成!$V$3:$V$11)*练度预期!F219+_xlfn.XLOOKUP(练度预期!E219-1,装备养成!$U$3:$U$11,装备养成!$V$3:$V$11)*(6-练度预期!F219)</f>
        <v>1.63488</v>
      </c>
      <c r="G219" s="48">
        <f ca="1">OFFSET(梦灵养成!$K$20,_xlfn.XLOOKUP(练度预期!H219,梦灵养成!$D$10:$D$28,梦灵养成!$H$10:$H$28),MATCH(OFFSET(梦灵养成!$C$33,B219,MATCH(练度预期!H219,梦灵养成!$D$33:$V$33,0)),梦灵养成!$L$20:$R$20,1))*(1+(OFFSET(梦灵养成!$C$33,B219,MATCH(练度预期!H219,梦灵养成!$D$33:$V$33,0))-1)*_xlfn.XLOOKUP(练度预期!H219,梦灵养成!$D$9:$D$28,梦灵养成!$G$9:$G$28))</f>
        <v>29.8725</v>
      </c>
      <c r="H219" s="46">
        <f ca="1">符文养成!AC220</f>
        <v>26.0918363624065</v>
      </c>
      <c r="I219" s="46">
        <f>MAX(_xlfn.XLOOKUP(练度预期!O219,秘宝养成!$B$3:$B$15,秘宝养成!$E$3:$E$15),1)</f>
        <v>2.7915904</v>
      </c>
      <c r="J219" s="104">
        <f ca="1" t="shared" si="70"/>
        <v>63219360.3954472</v>
      </c>
      <c r="K219" s="104">
        <f ca="1">MATCH(J219,关卡预期!$E$4:$E$303,1)</f>
        <v>182</v>
      </c>
      <c r="L219" s="48">
        <f ca="1" t="shared" si="71"/>
        <v>0.789331532748143</v>
      </c>
      <c r="M219" s="48">
        <f ca="1" t="shared" si="72"/>
        <v>0.176907494935854</v>
      </c>
      <c r="N219" s="48">
        <f ca="1" t="shared" si="73"/>
        <v>0.0337609723160027</v>
      </c>
      <c r="O219" s="48">
        <f ca="1" t="shared" si="74"/>
        <v>0.0601180061919982</v>
      </c>
      <c r="P219" s="48">
        <f ca="1" t="shared" si="75"/>
        <v>0.415439114529901</v>
      </c>
      <c r="Q219" s="48">
        <f ca="1" t="shared" si="76"/>
        <v>0.39889024364381</v>
      </c>
      <c r="R219" s="48">
        <f ca="1" t="shared" si="77"/>
        <v>0.12555263563429</v>
      </c>
      <c r="S219" s="46">
        <f ca="1" t="shared" si="78"/>
        <v>0.789331532748143</v>
      </c>
      <c r="T219" s="46">
        <f ca="1" t="shared" si="79"/>
        <v>0.176907494935854</v>
      </c>
      <c r="U219" s="46">
        <f ca="1" t="shared" si="80"/>
        <v>0.0337609723160027</v>
      </c>
      <c r="V219" s="48">
        <f ca="1" t="shared" si="81"/>
        <v>0.491569407160296</v>
      </c>
      <c r="W219" s="48">
        <f ca="1" t="shared" si="82"/>
        <v>3.39693832474177</v>
      </c>
      <c r="X219" s="48">
        <f ca="1" t="shared" si="83"/>
        <v>3.26162248235227</v>
      </c>
      <c r="Y219" s="48">
        <f t="shared" si="84"/>
        <v>1.02661146926685</v>
      </c>
      <c r="Z219" s="105">
        <f ca="1" t="shared" si="85"/>
        <v>0.0601180061919982</v>
      </c>
      <c r="AA219" s="105">
        <f ca="1" t="shared" si="86"/>
        <v>0.415439114529901</v>
      </c>
      <c r="AB219" s="105">
        <f ca="1" t="shared" si="87"/>
        <v>0.39889024364381</v>
      </c>
      <c r="AC219" s="105">
        <f ca="1" t="shared" si="88"/>
        <v>0.12555263563429</v>
      </c>
      <c r="AD219" s="105">
        <f ca="1" t="shared" si="89"/>
        <v>0.789331532748143</v>
      </c>
      <c r="AE219" s="105">
        <f ca="1" t="shared" si="90"/>
        <v>0.176907494935854</v>
      </c>
      <c r="AF219" s="105">
        <f ca="1" t="shared" si="91"/>
        <v>0.0337609723160027</v>
      </c>
    </row>
    <row r="220" ht="16.5" spans="1:32">
      <c r="A220">
        <f ca="1" t="shared" si="69"/>
        <v>17772</v>
      </c>
      <c r="B220" s="2">
        <v>218</v>
      </c>
      <c r="C220" s="2">
        <f>_xlfn.XLOOKUP(练度预期!D220,装备养成!$B$3:$B$303,装备养成!$D$3:$D$303)*6</f>
        <v>14028</v>
      </c>
      <c r="D220" s="2" cm="1">
        <f ca="1" t="array" ref="D220">_xlfn.XLOOKUP(练度预期!E220&amp;"_"&amp;INT(练度预期!C220/10)*10+10,装备养成!$N$4:$N$219&amp;"_"&amp;装备养成!$K$4:$K$219,装备养成!$P$4:$P$219)*练度预期!F220+_xlfn.XLOOKUP(练度预期!E220-1&amp;"_"&amp;INT(练度预期!C220/10)*10+10,装备养成!$N$4:$N$219&amp;"_"&amp;装备养成!$K$4:$K$219,装备养成!$P$4:$P$219)*(6-练度预期!F220)</f>
        <v>3144</v>
      </c>
      <c r="E220" s="2">
        <f ca="1">练度预期!N220*4*练度预期!M220</f>
        <v>600</v>
      </c>
      <c r="F220" s="103">
        <f ca="1">INT(练度预期!D220/10)*0.02+1+_xlfn.XLOOKUP(练度预期!E220,装备养成!$U$3:$U$11,装备养成!$V$3:$V$11)*练度预期!F220+_xlfn.XLOOKUP(练度预期!E220-1,装备养成!$U$3:$U$11,装备养成!$V$3:$V$11)*(6-练度预期!F220)</f>
        <v>1.63488</v>
      </c>
      <c r="G220" s="48">
        <f ca="1">OFFSET(梦灵养成!$K$20,_xlfn.XLOOKUP(练度预期!H220,梦灵养成!$D$10:$D$28,梦灵养成!$H$10:$H$28),MATCH(OFFSET(梦灵养成!$C$33,B220,MATCH(练度预期!H220,梦灵养成!$D$33:$V$33,0)),梦灵养成!$L$20:$R$20,1))*(1+(OFFSET(梦灵养成!$C$33,B220,MATCH(练度预期!H220,梦灵养成!$D$33:$V$33,0))-1)*_xlfn.XLOOKUP(练度预期!H220,梦灵养成!$D$9:$D$28,梦灵养成!$G$9:$G$28))</f>
        <v>29.8725</v>
      </c>
      <c r="H220" s="46">
        <f ca="1">符文养成!AC221</f>
        <v>26.1395829994321</v>
      </c>
      <c r="I220" s="46">
        <f>MAX(_xlfn.XLOOKUP(练度预期!O220,秘宝养成!$B$3:$B$15,秘宝养成!$E$3:$E$15),1)</f>
        <v>2.7915904</v>
      </c>
      <c r="J220" s="104">
        <f ca="1" t="shared" si="70"/>
        <v>63335048.3758512</v>
      </c>
      <c r="K220" s="104">
        <f ca="1">MATCH(J220,关卡预期!$E$4:$E$303,1)</f>
        <v>182</v>
      </c>
      <c r="L220" s="48">
        <f ca="1" t="shared" si="71"/>
        <v>0.789331532748143</v>
      </c>
      <c r="M220" s="48">
        <f ca="1" t="shared" si="72"/>
        <v>0.176907494935854</v>
      </c>
      <c r="N220" s="48">
        <f ca="1" t="shared" si="73"/>
        <v>0.0337609723160028</v>
      </c>
      <c r="O220" s="48">
        <f ca="1" t="shared" si="74"/>
        <v>0.0601045671511835</v>
      </c>
      <c r="P220" s="48">
        <f ca="1" t="shared" si="75"/>
        <v>0.415346245461716</v>
      </c>
      <c r="Q220" s="48">
        <f ca="1" t="shared" si="76"/>
        <v>0.399024618335546</v>
      </c>
      <c r="R220" s="48">
        <f ca="1" t="shared" si="77"/>
        <v>0.125524569051555</v>
      </c>
      <c r="S220" s="46">
        <f ca="1" t="shared" si="78"/>
        <v>0.789331532748143</v>
      </c>
      <c r="T220" s="46">
        <f ca="1" t="shared" si="79"/>
        <v>0.176907494935854</v>
      </c>
      <c r="U220" s="46">
        <f ca="1" t="shared" si="80"/>
        <v>0.0337609723160028</v>
      </c>
      <c r="V220" s="48">
        <f ca="1" t="shared" si="81"/>
        <v>0.491569407160296</v>
      </c>
      <c r="W220" s="48">
        <f ca="1" t="shared" si="82"/>
        <v>3.39693832474177</v>
      </c>
      <c r="X220" s="48">
        <f ca="1" t="shared" si="83"/>
        <v>3.26345075548399</v>
      </c>
      <c r="Y220" s="48">
        <f t="shared" si="84"/>
        <v>1.02661146926685</v>
      </c>
      <c r="Z220" s="105">
        <f ca="1" t="shared" si="85"/>
        <v>0.0601045671511835</v>
      </c>
      <c r="AA220" s="105">
        <f ca="1" t="shared" si="86"/>
        <v>0.415346245461716</v>
      </c>
      <c r="AB220" s="105">
        <f ca="1" t="shared" si="87"/>
        <v>0.399024618335546</v>
      </c>
      <c r="AC220" s="105">
        <f ca="1" t="shared" si="88"/>
        <v>0.125524569051555</v>
      </c>
      <c r="AD220" s="105">
        <f ca="1" t="shared" si="89"/>
        <v>0.789331532748143</v>
      </c>
      <c r="AE220" s="105">
        <f ca="1" t="shared" si="90"/>
        <v>0.176907494935854</v>
      </c>
      <c r="AF220" s="105">
        <f ca="1" t="shared" si="91"/>
        <v>0.0337609723160027</v>
      </c>
    </row>
    <row r="221" ht="16.5" spans="1:32">
      <c r="A221">
        <f ca="1" t="shared" si="69"/>
        <v>18042</v>
      </c>
      <c r="B221" s="2">
        <v>219</v>
      </c>
      <c r="C221" s="2">
        <f>_xlfn.XLOOKUP(练度预期!D221,装备养成!$B$3:$B$303,装备养成!$D$3:$D$303)*6</f>
        <v>14298</v>
      </c>
      <c r="D221" s="2" cm="1">
        <f ca="1" t="array" ref="D221">_xlfn.XLOOKUP(练度预期!E221&amp;"_"&amp;INT(练度预期!C221/10)*10+10,装备养成!$N$4:$N$219&amp;"_"&amp;装备养成!$K$4:$K$219,装备养成!$P$4:$P$219)*练度预期!F221+_xlfn.XLOOKUP(练度预期!E221-1&amp;"_"&amp;INT(练度预期!C221/10)*10+10,装备养成!$N$4:$N$219&amp;"_"&amp;装备养成!$K$4:$K$219,装备养成!$P$4:$P$219)*(6-练度预期!F221)</f>
        <v>3144</v>
      </c>
      <c r="E221" s="2">
        <f ca="1">练度预期!N221*4*练度预期!M221</f>
        <v>600</v>
      </c>
      <c r="F221" s="103">
        <f ca="1">INT(练度预期!D221/10)*0.02+1+_xlfn.XLOOKUP(练度预期!E221,装备养成!$U$3:$U$11,装备养成!$V$3:$V$11)*练度预期!F221+_xlfn.XLOOKUP(练度预期!E221-1,装备养成!$U$3:$U$11,装备养成!$V$3:$V$11)*(6-练度预期!F221)</f>
        <v>1.63488</v>
      </c>
      <c r="G221" s="48">
        <f ca="1">OFFSET(梦灵养成!$K$20,_xlfn.XLOOKUP(练度预期!H221,梦灵养成!$D$10:$D$28,梦灵养成!$H$10:$H$28),MATCH(OFFSET(梦灵养成!$C$33,B221,MATCH(练度预期!H221,梦灵养成!$D$33:$V$33,0)),梦灵养成!$L$20:$R$20,1))*(1+(OFFSET(梦灵养成!$C$33,B221,MATCH(练度预期!H221,梦灵养成!$D$33:$V$33,0))-1)*_xlfn.XLOOKUP(练度预期!H221,梦灵养成!$D$9:$D$28,梦灵养成!$G$9:$G$28))</f>
        <v>29.8725</v>
      </c>
      <c r="H221" s="46">
        <f ca="1">符文养成!AC222</f>
        <v>26.1949169157262</v>
      </c>
      <c r="I221" s="46">
        <f>MAX(_xlfn.XLOOKUP(练度预期!O221,秘宝养成!$B$3:$B$15,秘宝养成!$E$3:$E$15),1)</f>
        <v>2.7915904</v>
      </c>
      <c r="J221" s="104">
        <f ca="1" t="shared" si="70"/>
        <v>64433370.6382738</v>
      </c>
      <c r="K221" s="104">
        <f ca="1">MATCH(J221,关卡预期!$E$4:$E$303,1)</f>
        <v>182</v>
      </c>
      <c r="L221" s="48">
        <f ca="1" t="shared" si="71"/>
        <v>0.792484203525108</v>
      </c>
      <c r="M221" s="48">
        <f ca="1" t="shared" si="72"/>
        <v>0.174260059860326</v>
      </c>
      <c r="N221" s="48">
        <f ca="1" t="shared" si="73"/>
        <v>0.0332557366145659</v>
      </c>
      <c r="O221" s="48">
        <f ca="1" t="shared" si="74"/>
        <v>0.0600890307182944</v>
      </c>
      <c r="P221" s="48">
        <f ca="1" t="shared" si="75"/>
        <v>0.415238882587742</v>
      </c>
      <c r="Q221" s="48">
        <f ca="1" t="shared" si="76"/>
        <v>0.39917996449521</v>
      </c>
      <c r="R221" s="48">
        <f ca="1" t="shared" si="77"/>
        <v>0.125492122198754</v>
      </c>
      <c r="S221" s="46">
        <f ca="1" t="shared" si="78"/>
        <v>0.792484203525108</v>
      </c>
      <c r="T221" s="46">
        <f ca="1" t="shared" si="79"/>
        <v>0.174260059860326</v>
      </c>
      <c r="U221" s="46">
        <f ca="1" t="shared" si="80"/>
        <v>0.0332557366145659</v>
      </c>
      <c r="V221" s="48">
        <f ca="1" t="shared" si="81"/>
        <v>0.491569407160296</v>
      </c>
      <c r="W221" s="48">
        <f ca="1" t="shared" si="82"/>
        <v>3.39693832474177</v>
      </c>
      <c r="X221" s="48">
        <f ca="1" t="shared" si="83"/>
        <v>3.26556538109436</v>
      </c>
      <c r="Y221" s="48">
        <f t="shared" si="84"/>
        <v>1.02661146926685</v>
      </c>
      <c r="Z221" s="105">
        <f ca="1" t="shared" si="85"/>
        <v>0.0600890307182944</v>
      </c>
      <c r="AA221" s="105">
        <f ca="1" t="shared" si="86"/>
        <v>0.415238882587742</v>
      </c>
      <c r="AB221" s="105">
        <f ca="1" t="shared" si="87"/>
        <v>0.39917996449521</v>
      </c>
      <c r="AC221" s="105">
        <f ca="1" t="shared" si="88"/>
        <v>0.125492122198754</v>
      </c>
      <c r="AD221" s="105">
        <f ca="1" t="shared" si="89"/>
        <v>0.792484203525108</v>
      </c>
      <c r="AE221" s="105">
        <f ca="1" t="shared" si="90"/>
        <v>0.174260059860326</v>
      </c>
      <c r="AF221" s="105">
        <f ca="1" t="shared" si="91"/>
        <v>0.033255736614566</v>
      </c>
    </row>
    <row r="222" ht="16.5" spans="1:32">
      <c r="A222">
        <f ca="1" t="shared" si="69"/>
        <v>18042</v>
      </c>
      <c r="B222" s="2">
        <v>220</v>
      </c>
      <c r="C222" s="2">
        <f>_xlfn.XLOOKUP(练度预期!D222,装备养成!$B$3:$B$303,装备养成!$D$3:$D$303)*6</f>
        <v>14298</v>
      </c>
      <c r="D222" s="2" cm="1">
        <f ca="1" t="array" ref="D222">_xlfn.XLOOKUP(练度预期!E222&amp;"_"&amp;INT(练度预期!C222/10)*10+10,装备养成!$N$4:$N$219&amp;"_"&amp;装备养成!$K$4:$K$219,装备养成!$P$4:$P$219)*练度预期!F222+_xlfn.XLOOKUP(练度预期!E222-1&amp;"_"&amp;INT(练度预期!C222/10)*10+10,装备养成!$N$4:$N$219&amp;"_"&amp;装备养成!$K$4:$K$219,装备养成!$P$4:$P$219)*(6-练度预期!F222)</f>
        <v>3144</v>
      </c>
      <c r="E222" s="2">
        <f ca="1">练度预期!N222*4*练度预期!M222</f>
        <v>600</v>
      </c>
      <c r="F222" s="103">
        <f ca="1">INT(练度预期!D222/10)*0.02+1+_xlfn.XLOOKUP(练度预期!E222,装备养成!$U$3:$U$11,装备养成!$V$3:$V$11)*练度预期!F222+_xlfn.XLOOKUP(练度预期!E222-1,装备养成!$U$3:$U$11,装备养成!$V$3:$V$11)*(6-练度预期!F222)</f>
        <v>1.63488</v>
      </c>
      <c r="G222" s="48">
        <f ca="1">OFFSET(梦灵养成!$K$20,_xlfn.XLOOKUP(练度预期!H222,梦灵养成!$D$10:$D$28,梦灵养成!$H$10:$H$28),MATCH(OFFSET(梦灵养成!$C$33,B222,MATCH(练度预期!H222,梦灵养成!$D$33:$V$33,0)),梦灵养成!$L$20:$R$20,1))*(1+(OFFSET(梦灵养成!$C$33,B222,MATCH(练度预期!H222,梦灵养成!$D$33:$V$33,0))-1)*_xlfn.XLOOKUP(练度预期!H222,梦灵养成!$D$9:$D$28,梦灵养成!$G$9:$G$28))</f>
        <v>29.8725</v>
      </c>
      <c r="H222" s="46">
        <f ca="1">符文养成!AC223</f>
        <v>26.2513566299102</v>
      </c>
      <c r="I222" s="46">
        <f>MAX(_xlfn.XLOOKUP(练度预期!O222,秘宝养成!$B$3:$B$15,秘宝养成!$E$3:$E$15),1)</f>
        <v>2.7915904</v>
      </c>
      <c r="J222" s="104">
        <f ca="1" t="shared" si="70"/>
        <v>64572199.1382625</v>
      </c>
      <c r="K222" s="104">
        <f ca="1">MATCH(J222,关卡预期!$E$4:$E$303,1)</f>
        <v>182</v>
      </c>
      <c r="L222" s="48">
        <f ca="1" t="shared" si="71"/>
        <v>0.792484203525108</v>
      </c>
      <c r="M222" s="48">
        <f ca="1" t="shared" si="72"/>
        <v>0.174260059860326</v>
      </c>
      <c r="N222" s="48">
        <f ca="1" t="shared" si="73"/>
        <v>0.0332557366145659</v>
      </c>
      <c r="O222" s="48">
        <f ca="1" t="shared" si="74"/>
        <v>0.0600732258224355</v>
      </c>
      <c r="P222" s="48">
        <f ca="1" t="shared" si="75"/>
        <v>0.415129664528848</v>
      </c>
      <c r="Q222" s="48">
        <f ca="1" t="shared" si="76"/>
        <v>0.399337994970615</v>
      </c>
      <c r="R222" s="48">
        <f ca="1" t="shared" si="77"/>
        <v>0.125459114678101</v>
      </c>
      <c r="S222" s="46">
        <f ca="1" t="shared" si="78"/>
        <v>0.792484203525108</v>
      </c>
      <c r="T222" s="46">
        <f ca="1" t="shared" si="79"/>
        <v>0.174260059860326</v>
      </c>
      <c r="U222" s="46">
        <f ca="1" t="shared" si="80"/>
        <v>0.0332557366145659</v>
      </c>
      <c r="V222" s="48">
        <f ca="1" t="shared" si="81"/>
        <v>0.491569407160296</v>
      </c>
      <c r="W222" s="48">
        <f ca="1" t="shared" si="82"/>
        <v>3.39693832474177</v>
      </c>
      <c r="X222" s="48">
        <f ca="1" t="shared" si="83"/>
        <v>3.26771766884164</v>
      </c>
      <c r="Y222" s="48">
        <f t="shared" si="84"/>
        <v>1.02661146926685</v>
      </c>
      <c r="Z222" s="105">
        <f ca="1" t="shared" si="85"/>
        <v>0.0600732258224355</v>
      </c>
      <c r="AA222" s="105">
        <f ca="1" t="shared" si="86"/>
        <v>0.415129664528848</v>
      </c>
      <c r="AB222" s="105">
        <f ca="1" t="shared" si="87"/>
        <v>0.399337994970615</v>
      </c>
      <c r="AC222" s="105">
        <f ca="1" t="shared" si="88"/>
        <v>0.125459114678101</v>
      </c>
      <c r="AD222" s="105">
        <f ca="1" t="shared" si="89"/>
        <v>0.792484203525108</v>
      </c>
      <c r="AE222" s="105">
        <f ca="1" t="shared" si="90"/>
        <v>0.174260059860326</v>
      </c>
      <c r="AF222" s="105">
        <f ca="1" t="shared" si="91"/>
        <v>0.033255736614566</v>
      </c>
    </row>
    <row r="223" ht="16.5" spans="1:32">
      <c r="A223">
        <f ca="1" t="shared" si="69"/>
        <v>18042</v>
      </c>
      <c r="B223" s="2">
        <v>221</v>
      </c>
      <c r="C223" s="2">
        <f>_xlfn.XLOOKUP(练度预期!D223,装备养成!$B$3:$B$303,装备养成!$D$3:$D$303)*6</f>
        <v>14298</v>
      </c>
      <c r="D223" s="2" cm="1">
        <f ca="1" t="array" ref="D223">_xlfn.XLOOKUP(练度预期!E223&amp;"_"&amp;INT(练度预期!C223/10)*10+10,装备养成!$N$4:$N$219&amp;"_"&amp;装备养成!$K$4:$K$219,装备养成!$P$4:$P$219)*练度预期!F223+_xlfn.XLOOKUP(练度预期!E223-1&amp;"_"&amp;INT(练度预期!C223/10)*10+10,装备养成!$N$4:$N$219&amp;"_"&amp;装备养成!$K$4:$K$219,装备养成!$P$4:$P$219)*(6-练度预期!F223)</f>
        <v>3144</v>
      </c>
      <c r="E223" s="2">
        <f ca="1">练度预期!N223*4*练度预期!M223</f>
        <v>600</v>
      </c>
      <c r="F223" s="103">
        <f ca="1">INT(练度预期!D223/10)*0.02+1+_xlfn.XLOOKUP(练度预期!E223,装备养成!$U$3:$U$11,装备养成!$V$3:$V$11)*练度预期!F223+_xlfn.XLOOKUP(练度预期!E223-1,装备养成!$U$3:$U$11,装备养成!$V$3:$V$11)*(6-练度预期!F223)</f>
        <v>1.63488</v>
      </c>
      <c r="G223" s="48">
        <f ca="1">OFFSET(梦灵养成!$K$20,_xlfn.XLOOKUP(练度预期!H223,梦灵养成!$D$10:$D$28,梦灵养成!$H$10:$H$28),MATCH(OFFSET(梦灵养成!$C$33,B223,MATCH(练度预期!H223,梦灵养成!$D$33:$V$33,0)),梦灵养成!$L$20:$R$20,1))*(1+(OFFSET(梦灵养成!$C$33,B223,MATCH(练度预期!H223,梦灵养成!$D$33:$V$33,0))-1)*_xlfn.XLOOKUP(练度预期!H223,梦灵养成!$D$9:$D$28,梦灵养成!$G$9:$G$28))</f>
        <v>29.8725</v>
      </c>
      <c r="H223" s="46">
        <f ca="1">符文养成!AC224</f>
        <v>26.2928181574139</v>
      </c>
      <c r="I223" s="46">
        <f>MAX(_xlfn.XLOOKUP(练度预期!O223,秘宝养成!$B$3:$B$15,秘宝养成!$E$3:$E$15),1)</f>
        <v>2.7915904</v>
      </c>
      <c r="J223" s="104">
        <f ca="1" t="shared" si="70"/>
        <v>64674184.8012623</v>
      </c>
      <c r="K223" s="104">
        <f ca="1">MATCH(J223,关卡预期!$E$4:$E$303,1)</f>
        <v>182</v>
      </c>
      <c r="L223" s="48">
        <f ca="1" t="shared" si="71"/>
        <v>0.792484203525108</v>
      </c>
      <c r="M223" s="48">
        <f ca="1" t="shared" si="72"/>
        <v>0.174260059860326</v>
      </c>
      <c r="N223" s="48">
        <f ca="1" t="shared" si="73"/>
        <v>0.033255736614566</v>
      </c>
      <c r="O223" s="48">
        <f ca="1" t="shared" si="74"/>
        <v>0.0600616422073637</v>
      </c>
      <c r="P223" s="48">
        <f ca="1" t="shared" si="75"/>
        <v>0.415049617183746</v>
      </c>
      <c r="Q223" s="48">
        <f ca="1" t="shared" si="76"/>
        <v>0.399453817574767</v>
      </c>
      <c r="R223" s="48">
        <f ca="1" t="shared" si="77"/>
        <v>0.125434923034124</v>
      </c>
      <c r="S223" s="46">
        <f ca="1" t="shared" si="78"/>
        <v>0.792484203525108</v>
      </c>
      <c r="T223" s="46">
        <f ca="1" t="shared" si="79"/>
        <v>0.174260059860326</v>
      </c>
      <c r="U223" s="46">
        <f ca="1" t="shared" si="80"/>
        <v>0.033255736614566</v>
      </c>
      <c r="V223" s="48">
        <f ca="1" t="shared" si="81"/>
        <v>0.491569407160296</v>
      </c>
      <c r="W223" s="48">
        <f ca="1" t="shared" si="82"/>
        <v>3.39693832474177</v>
      </c>
      <c r="X223" s="48">
        <f ca="1" t="shared" si="83"/>
        <v>3.26929582802967</v>
      </c>
      <c r="Y223" s="48">
        <f t="shared" si="84"/>
        <v>1.02661146926685</v>
      </c>
      <c r="Z223" s="105">
        <f ca="1" t="shared" si="85"/>
        <v>0.0600616422073637</v>
      </c>
      <c r="AA223" s="105">
        <f ca="1" t="shared" si="86"/>
        <v>0.415049617183746</v>
      </c>
      <c r="AB223" s="105">
        <f ca="1" t="shared" si="87"/>
        <v>0.399453817574767</v>
      </c>
      <c r="AC223" s="105">
        <f ca="1" t="shared" si="88"/>
        <v>0.125434923034124</v>
      </c>
      <c r="AD223" s="105">
        <f ca="1" t="shared" si="89"/>
        <v>0.792484203525108</v>
      </c>
      <c r="AE223" s="105">
        <f ca="1" t="shared" si="90"/>
        <v>0.174260059860326</v>
      </c>
      <c r="AF223" s="105">
        <f ca="1" t="shared" si="91"/>
        <v>0.033255736614566</v>
      </c>
    </row>
    <row r="224" ht="16.5" spans="1:32">
      <c r="A224">
        <f ca="1" t="shared" si="69"/>
        <v>18042</v>
      </c>
      <c r="B224" s="2">
        <v>222</v>
      </c>
      <c r="C224" s="2">
        <f>_xlfn.XLOOKUP(练度预期!D224,装备养成!$B$3:$B$303,装备养成!$D$3:$D$303)*6</f>
        <v>14298</v>
      </c>
      <c r="D224" s="2" cm="1">
        <f ca="1" t="array" ref="D224">_xlfn.XLOOKUP(练度预期!E224&amp;"_"&amp;INT(练度预期!C224/10)*10+10,装备养成!$N$4:$N$219&amp;"_"&amp;装备养成!$K$4:$K$219,装备养成!$P$4:$P$219)*练度预期!F224+_xlfn.XLOOKUP(练度预期!E224-1&amp;"_"&amp;INT(练度预期!C224/10)*10+10,装备养成!$N$4:$N$219&amp;"_"&amp;装备养成!$K$4:$K$219,装备养成!$P$4:$P$219)*(6-练度预期!F224)</f>
        <v>3144</v>
      </c>
      <c r="E224" s="2">
        <f ca="1">练度预期!N224*4*练度预期!M224</f>
        <v>600</v>
      </c>
      <c r="F224" s="103">
        <f ca="1">INT(练度预期!D224/10)*0.02+1+_xlfn.XLOOKUP(练度预期!E224,装备养成!$U$3:$U$11,装备养成!$V$3:$V$11)*练度预期!F224+_xlfn.XLOOKUP(练度预期!E224-1,装备养成!$U$3:$U$11,装备养成!$V$3:$V$11)*(6-练度预期!F224)</f>
        <v>1.63488</v>
      </c>
      <c r="G224" s="48">
        <f ca="1">OFFSET(梦灵养成!$K$20,_xlfn.XLOOKUP(练度预期!H224,梦灵养成!$D$10:$D$28,梦灵养成!$H$10:$H$28),MATCH(OFFSET(梦灵养成!$C$33,B224,MATCH(练度预期!H224,梦灵养成!$D$33:$V$33,0)),梦灵养成!$L$20:$R$20,1))*(1+(OFFSET(梦灵养成!$C$33,B224,MATCH(练度预期!H224,梦灵养成!$D$33:$V$33,0))-1)*_xlfn.XLOOKUP(练度预期!H224,梦灵养成!$D$9:$D$28,梦灵养成!$G$9:$G$28))</f>
        <v>29.8725</v>
      </c>
      <c r="H224" s="46">
        <f ca="1">符文养成!AC225</f>
        <v>26.3494606795718</v>
      </c>
      <c r="I224" s="46">
        <f>MAX(_xlfn.XLOOKUP(练度预期!O224,秘宝养成!$B$3:$B$15,秘宝养成!$E$3:$E$15),1)</f>
        <v>2.7915904</v>
      </c>
      <c r="J224" s="104">
        <f ca="1" t="shared" si="70"/>
        <v>64813512.1614456</v>
      </c>
      <c r="K224" s="104">
        <f ca="1">MATCH(J224,关卡预期!$E$4:$E$303,1)</f>
        <v>182</v>
      </c>
      <c r="L224" s="48">
        <f ca="1" t="shared" si="71"/>
        <v>0.792484203525108</v>
      </c>
      <c r="M224" s="48">
        <f ca="1" t="shared" si="72"/>
        <v>0.174260059860326</v>
      </c>
      <c r="N224" s="48">
        <f ca="1" t="shared" si="73"/>
        <v>0.0332557366145659</v>
      </c>
      <c r="O224" s="48">
        <f ca="1" t="shared" si="74"/>
        <v>0.0600458539772787</v>
      </c>
      <c r="P224" s="48">
        <f ca="1" t="shared" si="75"/>
        <v>0.414940514291917</v>
      </c>
      <c r="Q224" s="48">
        <f ca="1" t="shared" si="76"/>
        <v>0.399611681411924</v>
      </c>
      <c r="R224" s="48">
        <f ca="1" t="shared" si="77"/>
        <v>0.12540195031888</v>
      </c>
      <c r="S224" s="46">
        <f ca="1" t="shared" si="78"/>
        <v>0.792484203525108</v>
      </c>
      <c r="T224" s="46">
        <f ca="1" t="shared" si="79"/>
        <v>0.174260059860326</v>
      </c>
      <c r="U224" s="46">
        <f ca="1" t="shared" si="80"/>
        <v>0.0332557366145659</v>
      </c>
      <c r="V224" s="48">
        <f ca="1" t="shared" si="81"/>
        <v>0.491569407160296</v>
      </c>
      <c r="W224" s="48">
        <f ca="1" t="shared" si="82"/>
        <v>3.39693832474177</v>
      </c>
      <c r="X224" s="48">
        <f ca="1" t="shared" si="83"/>
        <v>3.27144780720948</v>
      </c>
      <c r="Y224" s="48">
        <f t="shared" si="84"/>
        <v>1.02661146926685</v>
      </c>
      <c r="Z224" s="105">
        <f ca="1" t="shared" si="85"/>
        <v>0.0600458539772787</v>
      </c>
      <c r="AA224" s="105">
        <f ca="1" t="shared" si="86"/>
        <v>0.414940514291917</v>
      </c>
      <c r="AB224" s="105">
        <f ca="1" t="shared" si="87"/>
        <v>0.399611681411924</v>
      </c>
      <c r="AC224" s="105">
        <f ca="1" t="shared" si="88"/>
        <v>0.12540195031888</v>
      </c>
      <c r="AD224" s="105">
        <f ca="1" t="shared" si="89"/>
        <v>0.792484203525108</v>
      </c>
      <c r="AE224" s="105">
        <f ca="1" t="shared" si="90"/>
        <v>0.174260059860326</v>
      </c>
      <c r="AF224" s="105">
        <f ca="1" t="shared" si="91"/>
        <v>0.033255736614566</v>
      </c>
    </row>
    <row r="225" ht="16.5" spans="1:32">
      <c r="A225">
        <f ca="1" t="shared" si="69"/>
        <v>18312</v>
      </c>
      <c r="B225" s="2">
        <v>223</v>
      </c>
      <c r="C225" s="2">
        <f>_xlfn.XLOOKUP(练度预期!D225,装备养成!$B$3:$B$303,装备养成!$D$3:$D$303)*6</f>
        <v>14568</v>
      </c>
      <c r="D225" s="2" cm="1">
        <f ca="1" t="array" ref="D225">_xlfn.XLOOKUP(练度预期!E225&amp;"_"&amp;INT(练度预期!C225/10)*10+10,装备养成!$N$4:$N$219&amp;"_"&amp;装备养成!$K$4:$K$219,装备养成!$P$4:$P$219)*练度预期!F225+_xlfn.XLOOKUP(练度预期!E225-1&amp;"_"&amp;INT(练度预期!C225/10)*10+10,装备养成!$N$4:$N$219&amp;"_"&amp;装备养成!$K$4:$K$219,装备养成!$P$4:$P$219)*(6-练度预期!F225)</f>
        <v>3144</v>
      </c>
      <c r="E225" s="2">
        <f ca="1">练度预期!N225*4*练度预期!M225</f>
        <v>600</v>
      </c>
      <c r="F225" s="103">
        <f ca="1">INT(练度预期!D225/10)*0.02+1+_xlfn.XLOOKUP(练度预期!E225,装备养成!$U$3:$U$11,装备养成!$V$3:$V$11)*练度预期!F225+_xlfn.XLOOKUP(练度预期!E225-1,装备养成!$U$3:$U$11,装备养成!$V$3:$V$11)*(6-练度预期!F225)</f>
        <v>1.65488</v>
      </c>
      <c r="G225" s="48">
        <f ca="1">OFFSET(梦灵养成!$K$20,_xlfn.XLOOKUP(练度预期!H225,梦灵养成!$D$10:$D$28,梦灵养成!$H$10:$H$28),MATCH(OFFSET(梦灵养成!$C$33,B225,MATCH(练度预期!H225,梦灵养成!$D$33:$V$33,0)),梦灵养成!$L$20:$R$20,1))*(1+(OFFSET(梦灵养成!$C$33,B225,MATCH(练度预期!H225,梦灵养成!$D$33:$V$33,0))-1)*_xlfn.XLOOKUP(练度预期!H225,梦灵养成!$D$9:$D$28,梦灵养成!$G$9:$G$28))</f>
        <v>29.8725</v>
      </c>
      <c r="H225" s="46">
        <f ca="1">符文养成!AC226</f>
        <v>26.3966620518229</v>
      </c>
      <c r="I225" s="46">
        <f>MAX(_xlfn.XLOOKUP(练度预期!O225,秘宝养成!$B$3:$B$15,秘宝养成!$E$3:$E$15),1)</f>
        <v>2.7915904</v>
      </c>
      <c r="J225" s="104">
        <f ca="1" t="shared" si="70"/>
        <v>66707484.7021831</v>
      </c>
      <c r="K225" s="104">
        <f ca="1">MATCH(J225,关卡预期!$E$4:$E$303,1)</f>
        <v>183</v>
      </c>
      <c r="L225" s="48">
        <f ca="1" t="shared" si="71"/>
        <v>0.795543905635649</v>
      </c>
      <c r="M225" s="48">
        <f ca="1" t="shared" si="72"/>
        <v>0.171690694626475</v>
      </c>
      <c r="N225" s="48">
        <f ca="1" t="shared" si="73"/>
        <v>0.0327653997378768</v>
      </c>
      <c r="O225" s="48">
        <f ca="1" t="shared" si="74"/>
        <v>0.061426440410309</v>
      </c>
      <c r="P225" s="48">
        <f ca="1" t="shared" si="75"/>
        <v>0.414234712037451</v>
      </c>
      <c r="Q225" s="48">
        <f ca="1" t="shared" si="76"/>
        <v>0.399150202457123</v>
      </c>
      <c r="R225" s="48">
        <f ca="1" t="shared" si="77"/>
        <v>0.125188645095117</v>
      </c>
      <c r="S225" s="46">
        <f ca="1" t="shared" si="78"/>
        <v>0.795543905635649</v>
      </c>
      <c r="T225" s="46">
        <f ca="1" t="shared" si="79"/>
        <v>0.171690694626475</v>
      </c>
      <c r="U225" s="46">
        <f ca="1" t="shared" si="80"/>
        <v>0.0327653997378768</v>
      </c>
      <c r="V225" s="48">
        <f ca="1" t="shared" si="81"/>
        <v>0.503728498647356</v>
      </c>
      <c r="W225" s="48">
        <f ca="1" t="shared" si="82"/>
        <v>3.39693832474177</v>
      </c>
      <c r="X225" s="48">
        <f ca="1" t="shared" si="83"/>
        <v>3.27323756472743</v>
      </c>
      <c r="Y225" s="48">
        <f t="shared" si="84"/>
        <v>1.02661146926685</v>
      </c>
      <c r="Z225" s="105">
        <f ca="1" t="shared" si="85"/>
        <v>0.061426440410309</v>
      </c>
      <c r="AA225" s="105">
        <f ca="1" t="shared" si="86"/>
        <v>0.414234712037451</v>
      </c>
      <c r="AB225" s="105">
        <f ca="1" t="shared" si="87"/>
        <v>0.399150202457123</v>
      </c>
      <c r="AC225" s="105">
        <f ca="1" t="shared" si="88"/>
        <v>0.125188645095117</v>
      </c>
      <c r="AD225" s="105">
        <f ca="1" t="shared" si="89"/>
        <v>0.795543905635649</v>
      </c>
      <c r="AE225" s="105">
        <f ca="1" t="shared" si="90"/>
        <v>0.171690694626474</v>
      </c>
      <c r="AF225" s="105">
        <f ca="1" t="shared" si="91"/>
        <v>0.0327653997378768</v>
      </c>
    </row>
    <row r="226" ht="16.5" spans="1:32">
      <c r="A226">
        <f ca="1" t="shared" si="69"/>
        <v>18312</v>
      </c>
      <c r="B226" s="2">
        <v>224</v>
      </c>
      <c r="C226" s="2">
        <f>_xlfn.XLOOKUP(练度预期!D226,装备养成!$B$3:$B$303,装备养成!$D$3:$D$303)*6</f>
        <v>14568</v>
      </c>
      <c r="D226" s="2" cm="1">
        <f ca="1" t="array" ref="D226">_xlfn.XLOOKUP(练度预期!E226&amp;"_"&amp;INT(练度预期!C226/10)*10+10,装备养成!$N$4:$N$219&amp;"_"&amp;装备养成!$K$4:$K$219,装备养成!$P$4:$P$219)*练度预期!F226+_xlfn.XLOOKUP(练度预期!E226-1&amp;"_"&amp;INT(练度预期!C226/10)*10+10,装备养成!$N$4:$N$219&amp;"_"&amp;装备养成!$K$4:$K$219,装备养成!$P$4:$P$219)*(6-练度预期!F226)</f>
        <v>3144</v>
      </c>
      <c r="E226" s="2">
        <f ca="1">练度预期!N226*4*练度预期!M226</f>
        <v>600</v>
      </c>
      <c r="F226" s="103">
        <f ca="1">INT(练度预期!D226/10)*0.02+1+_xlfn.XLOOKUP(练度预期!E226,装备养成!$U$3:$U$11,装备养成!$V$3:$V$11)*练度预期!F226+_xlfn.XLOOKUP(练度预期!E226-1,装备养成!$U$3:$U$11,装备养成!$V$3:$V$11)*(6-练度预期!F226)</f>
        <v>1.65488</v>
      </c>
      <c r="G226" s="48">
        <f ca="1">OFFSET(梦灵养成!$K$20,_xlfn.XLOOKUP(练度预期!H226,梦灵养成!$D$10:$D$28,梦灵养成!$H$10:$H$28),MATCH(OFFSET(梦灵养成!$C$33,B226,MATCH(练度预期!H226,梦灵养成!$D$33:$V$33,0)),梦灵养成!$L$20:$R$20,1))*(1+(OFFSET(梦灵养成!$C$33,B226,MATCH(练度预期!H226,梦灵养成!$D$33:$V$33,0))-1)*_xlfn.XLOOKUP(练度预期!H226,梦灵养成!$D$9:$D$28,梦灵养成!$G$9:$G$28))</f>
        <v>29.8725</v>
      </c>
      <c r="H226" s="46">
        <f ca="1">符文养成!AC227</f>
        <v>26.4525191235594</v>
      </c>
      <c r="I226" s="46">
        <f>MAX(_xlfn.XLOOKUP(练度预期!O226,秘宝养成!$B$3:$B$15,秘宝养成!$E$3:$E$15),1)</f>
        <v>2.7915904</v>
      </c>
      <c r="J226" s="104">
        <f ca="1" t="shared" si="70"/>
        <v>66848642.1239457</v>
      </c>
      <c r="K226" s="104">
        <f ca="1">MATCH(J226,关卡预期!$E$4:$E$303,1)</f>
        <v>183</v>
      </c>
      <c r="L226" s="48">
        <f ca="1" t="shared" si="71"/>
        <v>0.795543905635649</v>
      </c>
      <c r="M226" s="48">
        <f ca="1" t="shared" si="72"/>
        <v>0.171690694626474</v>
      </c>
      <c r="N226" s="48">
        <f ca="1" t="shared" si="73"/>
        <v>0.0327653997378766</v>
      </c>
      <c r="O226" s="48">
        <f ca="1" t="shared" si="74"/>
        <v>0.0614106107242234</v>
      </c>
      <c r="P226" s="48">
        <f ca="1" t="shared" si="75"/>
        <v>0.414127963129106</v>
      </c>
      <c r="Q226" s="48">
        <f ca="1" t="shared" si="76"/>
        <v>0.399305042353692</v>
      </c>
      <c r="R226" s="48">
        <f ca="1" t="shared" si="77"/>
        <v>0.125156383792979</v>
      </c>
      <c r="S226" s="46">
        <f ca="1" t="shared" si="78"/>
        <v>0.795543905635649</v>
      </c>
      <c r="T226" s="46">
        <f ca="1" t="shared" si="79"/>
        <v>0.171690694626474</v>
      </c>
      <c r="U226" s="46">
        <f ca="1" t="shared" si="80"/>
        <v>0.0327653997378766</v>
      </c>
      <c r="V226" s="48">
        <f ca="1" t="shared" si="81"/>
        <v>0.503728498647356</v>
      </c>
      <c r="W226" s="48">
        <f ca="1" t="shared" si="82"/>
        <v>3.39693832474177</v>
      </c>
      <c r="X226" s="48">
        <f ca="1" t="shared" si="83"/>
        <v>3.27535139473551</v>
      </c>
      <c r="Y226" s="48">
        <f t="shared" si="84"/>
        <v>1.02661146926685</v>
      </c>
      <c r="Z226" s="105">
        <f ca="1" t="shared" si="85"/>
        <v>0.0614106107242234</v>
      </c>
      <c r="AA226" s="105">
        <f ca="1" t="shared" si="86"/>
        <v>0.414127963129106</v>
      </c>
      <c r="AB226" s="105">
        <f ca="1" t="shared" si="87"/>
        <v>0.399305042353692</v>
      </c>
      <c r="AC226" s="105">
        <f ca="1" t="shared" si="88"/>
        <v>0.125156383792979</v>
      </c>
      <c r="AD226" s="105">
        <f ca="1" t="shared" si="89"/>
        <v>0.795543905635649</v>
      </c>
      <c r="AE226" s="105">
        <f ca="1" t="shared" si="90"/>
        <v>0.171690694626474</v>
      </c>
      <c r="AF226" s="105">
        <f ca="1" t="shared" si="91"/>
        <v>0.0327653997378768</v>
      </c>
    </row>
    <row r="227" ht="16.5" spans="1:32">
      <c r="A227">
        <f ca="1" t="shared" si="69"/>
        <v>18312</v>
      </c>
      <c r="B227" s="2">
        <v>225</v>
      </c>
      <c r="C227" s="2">
        <f>_xlfn.XLOOKUP(练度预期!D227,装备养成!$B$3:$B$303,装备养成!$D$3:$D$303)*6</f>
        <v>14568</v>
      </c>
      <c r="D227" s="2" cm="1">
        <f ca="1" t="array" ref="D227">_xlfn.XLOOKUP(练度预期!E227&amp;"_"&amp;INT(练度预期!C227/10)*10+10,装备养成!$N$4:$N$219&amp;"_"&amp;装备养成!$K$4:$K$219,装备养成!$P$4:$P$219)*练度预期!F227+_xlfn.XLOOKUP(练度预期!E227-1&amp;"_"&amp;INT(练度预期!C227/10)*10+10,装备养成!$N$4:$N$219&amp;"_"&amp;装备养成!$K$4:$K$219,装备养成!$P$4:$P$219)*(6-练度预期!F227)</f>
        <v>3144</v>
      </c>
      <c r="E227" s="2">
        <f ca="1">练度预期!N227*4*练度预期!M227</f>
        <v>600</v>
      </c>
      <c r="F227" s="103">
        <f ca="1">INT(练度预期!D227/10)*0.02+1+_xlfn.XLOOKUP(练度预期!E227,装备养成!$U$3:$U$11,装备养成!$V$3:$V$11)*练度预期!F227+_xlfn.XLOOKUP(练度预期!E227-1,装备养成!$U$3:$U$11,装备养成!$V$3:$V$11)*(6-练度预期!F227)</f>
        <v>1.65488</v>
      </c>
      <c r="G227" s="48">
        <f ca="1">OFFSET(梦灵养成!$K$20,_xlfn.XLOOKUP(练度预期!H227,梦灵养成!$D$10:$D$28,梦灵养成!$H$10:$H$28),MATCH(OFFSET(梦灵养成!$C$33,B227,MATCH(练度预期!H227,梦灵养成!$D$33:$V$33,0)),梦灵养成!$L$20:$R$20,1))*(1+(OFFSET(梦灵养成!$C$33,B227,MATCH(练度预期!H227,梦灵养成!$D$33:$V$33,0))-1)*_xlfn.XLOOKUP(练度预期!H227,梦灵养成!$D$9:$D$28,梦灵养成!$G$9:$G$28))</f>
        <v>29.8725</v>
      </c>
      <c r="H227" s="46">
        <f ca="1">符文养成!AC228</f>
        <v>26.500900220436</v>
      </c>
      <c r="I227" s="46">
        <f>MAX(_xlfn.XLOOKUP(练度预期!O227,秘宝养成!$B$3:$B$15,秘宝养成!$E$3:$E$15),1)</f>
        <v>2.7915904</v>
      </c>
      <c r="J227" s="104">
        <f ca="1" t="shared" si="70"/>
        <v>66970906.8736868</v>
      </c>
      <c r="K227" s="104">
        <f ca="1">MATCH(J227,关卡预期!$E$4:$E$303,1)</f>
        <v>183</v>
      </c>
      <c r="L227" s="48">
        <f ca="1" t="shared" si="71"/>
        <v>0.795543905635649</v>
      </c>
      <c r="M227" s="48">
        <f ca="1" t="shared" si="72"/>
        <v>0.171690694626475</v>
      </c>
      <c r="N227" s="48">
        <f ca="1" t="shared" si="73"/>
        <v>0.0327653997378767</v>
      </c>
      <c r="O227" s="48">
        <f ca="1" t="shared" si="74"/>
        <v>0.0613969332661757</v>
      </c>
      <c r="P227" s="48">
        <f ca="1" t="shared" si="75"/>
        <v>0.414035727963632</v>
      </c>
      <c r="Q227" s="48">
        <f ca="1" t="shared" si="76"/>
        <v>0.399438829983968</v>
      </c>
      <c r="R227" s="48">
        <f ca="1" t="shared" si="77"/>
        <v>0.125128508786225</v>
      </c>
      <c r="S227" s="46">
        <f ca="1" t="shared" si="78"/>
        <v>0.795543905635649</v>
      </c>
      <c r="T227" s="46">
        <f ca="1" t="shared" si="79"/>
        <v>0.171690694626475</v>
      </c>
      <c r="U227" s="46">
        <f ca="1" t="shared" si="80"/>
        <v>0.0327653997378767</v>
      </c>
      <c r="V227" s="48">
        <f ca="1" t="shared" si="81"/>
        <v>0.503728498647356</v>
      </c>
      <c r="W227" s="48">
        <f ca="1" t="shared" si="82"/>
        <v>3.39693832474177</v>
      </c>
      <c r="X227" s="48">
        <f ca="1" t="shared" si="83"/>
        <v>3.27717870299768</v>
      </c>
      <c r="Y227" s="48">
        <f t="shared" si="84"/>
        <v>1.02661146926685</v>
      </c>
      <c r="Z227" s="105">
        <f ca="1" t="shared" si="85"/>
        <v>0.0613969332661757</v>
      </c>
      <c r="AA227" s="105">
        <f ca="1" t="shared" si="86"/>
        <v>0.414035727963632</v>
      </c>
      <c r="AB227" s="105">
        <f ca="1" t="shared" si="87"/>
        <v>0.399438829983968</v>
      </c>
      <c r="AC227" s="105">
        <f ca="1" t="shared" si="88"/>
        <v>0.125128508786225</v>
      </c>
      <c r="AD227" s="105">
        <f ca="1" t="shared" si="89"/>
        <v>0.795543905635649</v>
      </c>
      <c r="AE227" s="105">
        <f ca="1" t="shared" si="90"/>
        <v>0.171690694626474</v>
      </c>
      <c r="AF227" s="105">
        <f ca="1" t="shared" si="91"/>
        <v>0.0327653997378768</v>
      </c>
    </row>
    <row r="228" ht="16.5" spans="1:32">
      <c r="A228">
        <f ca="1" t="shared" si="69"/>
        <v>18312</v>
      </c>
      <c r="B228" s="2">
        <v>226</v>
      </c>
      <c r="C228" s="2">
        <f>_xlfn.XLOOKUP(练度预期!D228,装备养成!$B$3:$B$303,装备养成!$D$3:$D$303)*6</f>
        <v>14568</v>
      </c>
      <c r="D228" s="2" cm="1">
        <f ca="1" t="array" ref="D228">_xlfn.XLOOKUP(练度预期!E228&amp;"_"&amp;INT(练度预期!C228/10)*10+10,装备养成!$N$4:$N$219&amp;"_"&amp;装备养成!$K$4:$K$219,装备养成!$P$4:$P$219)*练度预期!F228+_xlfn.XLOOKUP(练度预期!E228-1&amp;"_"&amp;INT(练度预期!C228/10)*10+10,装备养成!$N$4:$N$219&amp;"_"&amp;装备养成!$K$4:$K$219,装备养成!$P$4:$P$219)*(6-练度预期!F228)</f>
        <v>3144</v>
      </c>
      <c r="E228" s="2">
        <f ca="1">练度预期!N228*4*练度预期!M228</f>
        <v>600</v>
      </c>
      <c r="F228" s="103">
        <f ca="1">INT(练度预期!D228/10)*0.02+1+_xlfn.XLOOKUP(练度预期!E228,装备养成!$U$3:$U$11,装备养成!$V$3:$V$11)*练度预期!F228+_xlfn.XLOOKUP(练度预期!E228-1,装备养成!$U$3:$U$11,装备养成!$V$3:$V$11)*(6-练度预期!F228)</f>
        <v>1.65488</v>
      </c>
      <c r="G228" s="48">
        <f ca="1">OFFSET(梦灵养成!$K$20,_xlfn.XLOOKUP(练度预期!H228,梦灵养成!$D$10:$D$28,梦灵养成!$H$10:$H$28),MATCH(OFFSET(梦灵养成!$C$33,B228,MATCH(练度预期!H228,梦灵养成!$D$33:$V$33,0)),梦灵养成!$L$20:$R$20,1))*(1+(OFFSET(梦灵养成!$C$33,B228,MATCH(练度预期!H228,梦灵养成!$D$33:$V$33,0))-1)*_xlfn.XLOOKUP(练度预期!H228,梦灵养成!$D$9:$D$28,梦灵养成!$G$9:$G$28))</f>
        <v>29.8725</v>
      </c>
      <c r="H228" s="46">
        <f ca="1">符文养成!AC229</f>
        <v>26.5569693332466</v>
      </c>
      <c r="I228" s="46">
        <f>MAX(_xlfn.XLOOKUP(练度预期!O228,秘宝养成!$B$3:$B$15,秘宝养成!$E$3:$E$15),1)</f>
        <v>2.7915904</v>
      </c>
      <c r="J228" s="104">
        <f ca="1" t="shared" si="70"/>
        <v>67112600.1483037</v>
      </c>
      <c r="K228" s="104">
        <f ca="1">MATCH(J228,关卡预期!$E$4:$E$303,1)</f>
        <v>183</v>
      </c>
      <c r="L228" s="48">
        <f ca="1" t="shared" si="71"/>
        <v>0.795543905635649</v>
      </c>
      <c r="M228" s="48">
        <f ca="1" t="shared" si="72"/>
        <v>0.171690694626474</v>
      </c>
      <c r="N228" s="48">
        <f ca="1" t="shared" si="73"/>
        <v>0.0327653997378767</v>
      </c>
      <c r="O228" s="48">
        <f ca="1" t="shared" si="74"/>
        <v>0.0613811211859944</v>
      </c>
      <c r="P228" s="48">
        <f ca="1" t="shared" si="75"/>
        <v>0.413929097782282</v>
      </c>
      <c r="Q228" s="48">
        <f ca="1" t="shared" si="76"/>
        <v>0.399593497666357</v>
      </c>
      <c r="R228" s="48">
        <f ca="1" t="shared" si="77"/>
        <v>0.125096283365366</v>
      </c>
      <c r="S228" s="46">
        <f ca="1" t="shared" si="78"/>
        <v>0.795543905635649</v>
      </c>
      <c r="T228" s="46">
        <f ca="1" t="shared" si="79"/>
        <v>0.171690694626474</v>
      </c>
      <c r="U228" s="46">
        <f ca="1" t="shared" si="80"/>
        <v>0.0327653997378767</v>
      </c>
      <c r="V228" s="48">
        <f ca="1" t="shared" si="81"/>
        <v>0.503728498647356</v>
      </c>
      <c r="W228" s="48">
        <f ca="1" t="shared" si="82"/>
        <v>3.39693832474177</v>
      </c>
      <c r="X228" s="48">
        <f ca="1" t="shared" si="83"/>
        <v>3.27929221166863</v>
      </c>
      <c r="Y228" s="48">
        <f t="shared" si="84"/>
        <v>1.02661146926685</v>
      </c>
      <c r="Z228" s="105">
        <f ca="1" t="shared" si="85"/>
        <v>0.0613811211859944</v>
      </c>
      <c r="AA228" s="105">
        <f ca="1" t="shared" si="86"/>
        <v>0.413929097782282</v>
      </c>
      <c r="AB228" s="105">
        <f ca="1" t="shared" si="87"/>
        <v>0.399593497666357</v>
      </c>
      <c r="AC228" s="105">
        <f ca="1" t="shared" si="88"/>
        <v>0.125096283365367</v>
      </c>
      <c r="AD228" s="105">
        <f ca="1" t="shared" si="89"/>
        <v>0.795543905635649</v>
      </c>
      <c r="AE228" s="105">
        <f ca="1" t="shared" si="90"/>
        <v>0.171690694626474</v>
      </c>
      <c r="AF228" s="105">
        <f ca="1" t="shared" si="91"/>
        <v>0.0327653997378768</v>
      </c>
    </row>
    <row r="229" ht="16.5" spans="1:32">
      <c r="A229">
        <f ca="1" t="shared" si="69"/>
        <v>18312</v>
      </c>
      <c r="B229" s="2">
        <v>227</v>
      </c>
      <c r="C229" s="2">
        <f>_xlfn.XLOOKUP(练度预期!D229,装备养成!$B$3:$B$303,装备养成!$D$3:$D$303)*6</f>
        <v>14568</v>
      </c>
      <c r="D229" s="2" cm="1">
        <f ca="1" t="array" ref="D229">_xlfn.XLOOKUP(练度预期!E229&amp;"_"&amp;INT(练度预期!C229/10)*10+10,装备养成!$N$4:$N$219&amp;"_"&amp;装备养成!$K$4:$K$219,装备养成!$P$4:$P$219)*练度预期!F229+_xlfn.XLOOKUP(练度预期!E229-1&amp;"_"&amp;INT(练度预期!C229/10)*10+10,装备养成!$N$4:$N$219&amp;"_"&amp;装备养成!$K$4:$K$219,装备养成!$P$4:$P$219)*(6-练度预期!F229)</f>
        <v>3144</v>
      </c>
      <c r="E229" s="2">
        <f ca="1">练度预期!N229*4*练度预期!M229</f>
        <v>600</v>
      </c>
      <c r="F229" s="103">
        <f ca="1">INT(练度预期!D229/10)*0.02+1+_xlfn.XLOOKUP(练度预期!E229,装备养成!$U$3:$U$11,装备养成!$V$3:$V$11)*练度预期!F229+_xlfn.XLOOKUP(练度预期!E229-1,装备养成!$U$3:$U$11,装备养成!$V$3:$V$11)*(6-练度预期!F229)</f>
        <v>1.65488</v>
      </c>
      <c r="G229" s="48">
        <f ca="1">OFFSET(梦灵养成!$K$20,_xlfn.XLOOKUP(练度预期!H229,梦灵养成!$D$10:$D$28,梦灵养成!$H$10:$H$28),MATCH(OFFSET(梦灵养成!$C$33,B229,MATCH(练度预期!H229,梦灵养成!$D$33:$V$33,0)),梦灵养成!$L$20:$R$20,1))*(1+(OFFSET(梦灵养成!$C$33,B229,MATCH(练度预期!H229,梦灵养成!$D$33:$V$33,0))-1)*_xlfn.XLOOKUP(练度预期!H229,梦灵养成!$D$9:$D$28,梦灵养成!$G$9:$G$28))</f>
        <v>29.8725</v>
      </c>
      <c r="H229" s="46">
        <f ca="1">符文养成!AC230</f>
        <v>26.5999006698577</v>
      </c>
      <c r="I229" s="46">
        <f>MAX(_xlfn.XLOOKUP(练度预期!O229,秘宝养成!$B$3:$B$15,秘宝养成!$E$3:$E$15),1)</f>
        <v>2.7915904</v>
      </c>
      <c r="J229" s="104">
        <f ca="1" t="shared" si="70"/>
        <v>67221092.7097727</v>
      </c>
      <c r="K229" s="104">
        <f ca="1">MATCH(J229,关卡预期!$E$4:$E$303,1)</f>
        <v>183</v>
      </c>
      <c r="L229" s="48">
        <f ca="1" t="shared" si="71"/>
        <v>0.795543905635649</v>
      </c>
      <c r="M229" s="48">
        <f ca="1" t="shared" si="72"/>
        <v>0.171690694626475</v>
      </c>
      <c r="N229" s="48">
        <f ca="1" t="shared" si="73"/>
        <v>0.0327653997378768</v>
      </c>
      <c r="O229" s="48">
        <f ca="1" t="shared" si="74"/>
        <v>0.0613690421371068</v>
      </c>
      <c r="P229" s="48">
        <f ca="1" t="shared" si="75"/>
        <v>0.413847641632386</v>
      </c>
      <c r="Q229" s="48">
        <f ca="1" t="shared" si="76"/>
        <v>0.399711650273445</v>
      </c>
      <c r="R229" s="48">
        <f ca="1" t="shared" si="77"/>
        <v>0.125071665957062</v>
      </c>
      <c r="S229" s="46">
        <f ca="1" t="shared" si="78"/>
        <v>0.795543905635649</v>
      </c>
      <c r="T229" s="46">
        <f ca="1" t="shared" si="79"/>
        <v>0.171690694626475</v>
      </c>
      <c r="U229" s="46">
        <f ca="1" t="shared" si="80"/>
        <v>0.0327653997378768</v>
      </c>
      <c r="V229" s="48">
        <f ca="1" t="shared" si="81"/>
        <v>0.503728498647356</v>
      </c>
      <c r="W229" s="48">
        <f ca="1" t="shared" si="82"/>
        <v>3.39693832474177</v>
      </c>
      <c r="X229" s="48">
        <f ca="1" t="shared" si="83"/>
        <v>3.28090748156481</v>
      </c>
      <c r="Y229" s="48">
        <f t="shared" si="84"/>
        <v>1.02661146926685</v>
      </c>
      <c r="Z229" s="105">
        <f ca="1" t="shared" si="85"/>
        <v>0.0613690421371069</v>
      </c>
      <c r="AA229" s="105">
        <f ca="1" t="shared" si="86"/>
        <v>0.413847641632386</v>
      </c>
      <c r="AB229" s="105">
        <f ca="1" t="shared" si="87"/>
        <v>0.399711650273445</v>
      </c>
      <c r="AC229" s="105">
        <f ca="1" t="shared" si="88"/>
        <v>0.125071665957062</v>
      </c>
      <c r="AD229" s="105">
        <f ca="1" t="shared" si="89"/>
        <v>0.795543905635649</v>
      </c>
      <c r="AE229" s="105">
        <f ca="1" t="shared" si="90"/>
        <v>0.171690694626474</v>
      </c>
      <c r="AF229" s="105">
        <f ca="1" t="shared" si="91"/>
        <v>0.0327653997378768</v>
      </c>
    </row>
    <row r="230" ht="16.5" spans="1:32">
      <c r="A230">
        <f ca="1" t="shared" si="69"/>
        <v>18582</v>
      </c>
      <c r="B230" s="2">
        <v>228</v>
      </c>
      <c r="C230" s="2">
        <f>_xlfn.XLOOKUP(练度预期!D230,装备养成!$B$3:$B$303,装备养成!$D$3:$D$303)*6</f>
        <v>14838</v>
      </c>
      <c r="D230" s="2" cm="1">
        <f ca="1" t="array" ref="D230">_xlfn.XLOOKUP(练度预期!E230&amp;"_"&amp;INT(练度预期!C230/10)*10+10,装备养成!$N$4:$N$219&amp;"_"&amp;装备养成!$K$4:$K$219,装备养成!$P$4:$P$219)*练度预期!F230+_xlfn.XLOOKUP(练度预期!E230-1&amp;"_"&amp;INT(练度预期!C230/10)*10+10,装备养成!$N$4:$N$219&amp;"_"&amp;装备养成!$K$4:$K$219,装备养成!$P$4:$P$219)*(6-练度预期!F230)</f>
        <v>3144</v>
      </c>
      <c r="E230" s="2">
        <f ca="1">练度预期!N230*4*练度预期!M230</f>
        <v>600</v>
      </c>
      <c r="F230" s="103">
        <f ca="1">INT(练度预期!D230/10)*0.02+1+_xlfn.XLOOKUP(练度预期!E230,装备养成!$U$3:$U$11,装备养成!$V$3:$V$11)*练度预期!F230+_xlfn.XLOOKUP(练度预期!E230-1,装备养成!$U$3:$U$11,装备养成!$V$3:$V$11)*(6-练度预期!F230)</f>
        <v>1.65488</v>
      </c>
      <c r="G230" s="48">
        <f ca="1">OFFSET(梦灵养成!$K$20,_xlfn.XLOOKUP(练度预期!H230,梦灵养成!$D$10:$D$28,梦灵养成!$H$10:$H$28),MATCH(OFFSET(梦灵养成!$C$33,B230,MATCH(练度预期!H230,梦灵养成!$D$33:$V$33,0)),梦灵养成!$L$20:$R$20,1))*(1+(OFFSET(梦灵养成!$C$33,B230,MATCH(练度预期!H230,梦灵养成!$D$33:$V$33,0))-1)*_xlfn.XLOOKUP(练度预期!H230,梦灵养成!$D$9:$D$28,梦灵养成!$G$9:$G$28))</f>
        <v>29.8725</v>
      </c>
      <c r="H230" s="46">
        <f ca="1">符文养成!AC231</f>
        <v>26.6561711247436</v>
      </c>
      <c r="I230" s="46">
        <f>MAX(_xlfn.XLOOKUP(练度预期!O230,秘宝养成!$B$3:$B$15,秘宝养成!$E$3:$E$15),1)</f>
        <v>2.7915904</v>
      </c>
      <c r="J230" s="104">
        <f ca="1" t="shared" si="70"/>
        <v>68356528.1764058</v>
      </c>
      <c r="K230" s="104">
        <f ca="1">MATCH(J230,关卡预期!$E$4:$E$303,1)</f>
        <v>183</v>
      </c>
      <c r="L230" s="48">
        <f ca="1" t="shared" si="71"/>
        <v>0.798514691637068</v>
      </c>
      <c r="M230" s="48">
        <f ca="1" t="shared" si="72"/>
        <v>0.169195996125283</v>
      </c>
      <c r="N230" s="48">
        <f ca="1" t="shared" si="73"/>
        <v>0.0322893122376494</v>
      </c>
      <c r="O230" s="48">
        <f ca="1" t="shared" si="74"/>
        <v>0.0613532466935367</v>
      </c>
      <c r="P230" s="48">
        <f ca="1" t="shared" si="75"/>
        <v>0.413741123641516</v>
      </c>
      <c r="Q230" s="48">
        <f ca="1" t="shared" si="76"/>
        <v>0.399866155222907</v>
      </c>
      <c r="R230" s="48">
        <f ca="1" t="shared" si="77"/>
        <v>0.12503947444204</v>
      </c>
      <c r="S230" s="46">
        <f ca="1" t="shared" si="78"/>
        <v>0.798514691637068</v>
      </c>
      <c r="T230" s="46">
        <f ca="1" t="shared" si="79"/>
        <v>0.169195996125283</v>
      </c>
      <c r="U230" s="46">
        <f ca="1" t="shared" si="80"/>
        <v>0.0322893122376494</v>
      </c>
      <c r="V230" s="48">
        <f ca="1" t="shared" si="81"/>
        <v>0.503728498647356</v>
      </c>
      <c r="W230" s="48">
        <f ca="1" t="shared" si="82"/>
        <v>3.39693832474177</v>
      </c>
      <c r="X230" s="48">
        <f ca="1" t="shared" si="83"/>
        <v>3.28302068570961</v>
      </c>
      <c r="Y230" s="48">
        <f t="shared" si="84"/>
        <v>1.02661146926685</v>
      </c>
      <c r="Z230" s="105">
        <f ca="1" t="shared" si="85"/>
        <v>0.0613532466935367</v>
      </c>
      <c r="AA230" s="105">
        <f ca="1" t="shared" si="86"/>
        <v>0.413741123641516</v>
      </c>
      <c r="AB230" s="105">
        <f ca="1" t="shared" si="87"/>
        <v>0.399866155222907</v>
      </c>
      <c r="AC230" s="105">
        <f ca="1" t="shared" si="88"/>
        <v>0.12503947444204</v>
      </c>
      <c r="AD230" s="105">
        <f ca="1" t="shared" si="89"/>
        <v>0.798514691637068</v>
      </c>
      <c r="AE230" s="105">
        <f ca="1" t="shared" si="90"/>
        <v>0.169195996125283</v>
      </c>
      <c r="AF230" s="105">
        <f ca="1" t="shared" si="91"/>
        <v>0.0322893122376493</v>
      </c>
    </row>
    <row r="231" ht="16.5" spans="1:32">
      <c r="A231">
        <f ca="1" t="shared" si="69"/>
        <v>18582</v>
      </c>
      <c r="B231" s="2">
        <v>229</v>
      </c>
      <c r="C231" s="2">
        <f>_xlfn.XLOOKUP(练度预期!D231,装备养成!$B$3:$B$303,装备养成!$D$3:$D$303)*6</f>
        <v>14838</v>
      </c>
      <c r="D231" s="2" cm="1">
        <f ca="1" t="array" ref="D231">_xlfn.XLOOKUP(练度预期!E231&amp;"_"&amp;INT(练度预期!C231/10)*10+10,装备养成!$N$4:$N$219&amp;"_"&amp;装备养成!$K$4:$K$219,装备养成!$P$4:$P$219)*练度预期!F231+_xlfn.XLOOKUP(练度预期!E231-1&amp;"_"&amp;INT(练度预期!C231/10)*10+10,装备养成!$N$4:$N$219&amp;"_"&amp;装备养成!$K$4:$K$219,装备养成!$P$4:$P$219)*(6-练度预期!F231)</f>
        <v>3144</v>
      </c>
      <c r="E231" s="2">
        <f ca="1">练度预期!N231*4*练度预期!M231</f>
        <v>600</v>
      </c>
      <c r="F231" s="103">
        <f ca="1">INT(练度预期!D231/10)*0.02+1+_xlfn.XLOOKUP(练度预期!E231,装备养成!$U$3:$U$11,装备养成!$V$3:$V$11)*练度预期!F231+_xlfn.XLOOKUP(练度预期!E231-1,装备养成!$U$3:$U$11,装备养成!$V$3:$V$11)*(6-练度预期!F231)</f>
        <v>1.65488</v>
      </c>
      <c r="G231" s="48">
        <f ca="1">OFFSET(梦灵养成!$K$20,_xlfn.XLOOKUP(练度预期!H231,梦灵养成!$D$10:$D$28,梦灵养成!$H$10:$H$28),MATCH(OFFSET(梦灵养成!$C$33,B231,MATCH(练度预期!H231,梦灵养成!$D$33:$V$33,0)),梦灵养成!$L$20:$R$20,1))*(1+(OFFSET(梦灵养成!$C$33,B231,MATCH(练度预期!H231,梦灵养成!$D$33:$V$33,0))-1)*_xlfn.XLOOKUP(练度预期!H231,梦灵养成!$D$9:$D$28,梦灵养成!$G$9:$G$28))</f>
        <v>29.8725</v>
      </c>
      <c r="H231" s="46">
        <f ca="1">符文养成!AC232</f>
        <v>26.7049102363645</v>
      </c>
      <c r="I231" s="46">
        <f>MAX(_xlfn.XLOOKUP(练度预期!O231,秘宝养成!$B$3:$B$15,秘宝养成!$E$3:$E$15),1)</f>
        <v>2.7915904</v>
      </c>
      <c r="J231" s="104">
        <f ca="1" t="shared" si="70"/>
        <v>68481513.7357051</v>
      </c>
      <c r="K231" s="104">
        <f ca="1">MATCH(J231,关卡预期!$E$4:$E$303,1)</f>
        <v>183</v>
      </c>
      <c r="L231" s="48">
        <f ca="1" t="shared" si="71"/>
        <v>0.798514691637068</v>
      </c>
      <c r="M231" s="48">
        <f ca="1" t="shared" si="72"/>
        <v>0.169195996125282</v>
      </c>
      <c r="N231" s="48">
        <f ca="1" t="shared" si="73"/>
        <v>0.0322893122376493</v>
      </c>
      <c r="O231" s="48">
        <f ca="1" t="shared" si="74"/>
        <v>0.0613395988177134</v>
      </c>
      <c r="P231" s="48">
        <f ca="1" t="shared" si="75"/>
        <v>0.413649087966425</v>
      </c>
      <c r="Q231" s="48">
        <f ca="1" t="shared" si="76"/>
        <v>0.399999653491251</v>
      </c>
      <c r="R231" s="48">
        <f ca="1" t="shared" si="77"/>
        <v>0.12501165972461</v>
      </c>
      <c r="S231" s="46">
        <f ca="1" t="shared" si="78"/>
        <v>0.798514691637068</v>
      </c>
      <c r="T231" s="46">
        <f ca="1" t="shared" si="79"/>
        <v>0.169195996125282</v>
      </c>
      <c r="U231" s="46">
        <f ca="1" t="shared" si="80"/>
        <v>0.0322893122376493</v>
      </c>
      <c r="V231" s="48">
        <f ca="1" t="shared" si="81"/>
        <v>0.503728498647356</v>
      </c>
      <c r="W231" s="48">
        <f ca="1" t="shared" si="82"/>
        <v>3.39693832474177</v>
      </c>
      <c r="X231" s="48">
        <f ca="1" t="shared" si="83"/>
        <v>3.28484745248163</v>
      </c>
      <c r="Y231" s="48">
        <f t="shared" si="84"/>
        <v>1.02661146926685</v>
      </c>
      <c r="Z231" s="105">
        <f ca="1" t="shared" si="85"/>
        <v>0.0613395988177134</v>
      </c>
      <c r="AA231" s="105">
        <f ca="1" t="shared" si="86"/>
        <v>0.413649087966425</v>
      </c>
      <c r="AB231" s="105">
        <f ca="1" t="shared" si="87"/>
        <v>0.399999653491251</v>
      </c>
      <c r="AC231" s="105">
        <f ca="1" t="shared" si="88"/>
        <v>0.12501165972461</v>
      </c>
      <c r="AD231" s="105">
        <f ca="1" t="shared" si="89"/>
        <v>0.798514691637068</v>
      </c>
      <c r="AE231" s="105">
        <f ca="1" t="shared" si="90"/>
        <v>0.169195996125283</v>
      </c>
      <c r="AF231" s="105">
        <f ca="1" t="shared" si="91"/>
        <v>0.0322893122376493</v>
      </c>
    </row>
    <row r="232" ht="16.5" spans="1:32">
      <c r="A232">
        <f ca="1" t="shared" si="69"/>
        <v>18582</v>
      </c>
      <c r="B232" s="2">
        <v>230</v>
      </c>
      <c r="C232" s="2">
        <f>_xlfn.XLOOKUP(练度预期!D232,装备养成!$B$3:$B$303,装备养成!$D$3:$D$303)*6</f>
        <v>14838</v>
      </c>
      <c r="D232" s="2" cm="1">
        <f ca="1" t="array" ref="D232">_xlfn.XLOOKUP(练度预期!E232&amp;"_"&amp;INT(练度预期!C232/10)*10+10,装备养成!$N$4:$N$219&amp;"_"&amp;装备养成!$K$4:$K$219,装备养成!$P$4:$P$219)*练度预期!F232+_xlfn.XLOOKUP(练度预期!E232-1&amp;"_"&amp;INT(练度预期!C232/10)*10+10,装备养成!$N$4:$N$219&amp;"_"&amp;装备养成!$K$4:$K$219,装备养成!$P$4:$P$219)*(6-练度预期!F232)</f>
        <v>3144</v>
      </c>
      <c r="E232" s="2">
        <f ca="1">练度预期!N232*4*练度预期!M232</f>
        <v>600</v>
      </c>
      <c r="F232" s="103">
        <f ca="1">INT(练度预期!D232/10)*0.02+1+_xlfn.XLOOKUP(练度预期!E232,装备养成!$U$3:$U$11,装备养成!$V$3:$V$11)*练度预期!F232+_xlfn.XLOOKUP(练度预期!E232-1,装备养成!$U$3:$U$11,装备养成!$V$3:$V$11)*(6-练度预期!F232)</f>
        <v>1.65488</v>
      </c>
      <c r="G232" s="48">
        <f ca="1">OFFSET(梦灵养成!$K$20,_xlfn.XLOOKUP(练度预期!H232,梦灵养成!$D$10:$D$28,梦灵养成!$H$10:$H$28),MATCH(OFFSET(梦灵养成!$C$33,B232,MATCH(练度预期!H232,梦灵养成!$D$33:$V$33,0)),梦灵养成!$L$20:$R$20,1))*(1+(OFFSET(梦灵养成!$C$33,B232,MATCH(练度预期!H232,梦灵养成!$D$33:$V$33,0))-1)*_xlfn.XLOOKUP(练度预期!H232,梦灵养成!$D$9:$D$28,梦灵养成!$G$9:$G$28))</f>
        <v>29.8725</v>
      </c>
      <c r="H232" s="46">
        <f ca="1">符文养成!AC233</f>
        <v>26.7613942071346</v>
      </c>
      <c r="I232" s="46">
        <f>MAX(_xlfn.XLOOKUP(练度预期!O232,秘宝养成!$B$3:$B$15,秘宝养成!$E$3:$E$15),1)</f>
        <v>2.7915904</v>
      </c>
      <c r="J232" s="104">
        <f ca="1" t="shared" si="70"/>
        <v>68626360.0499562</v>
      </c>
      <c r="K232" s="104">
        <f ca="1">MATCH(J232,关卡预期!$E$4:$E$303,1)</f>
        <v>183</v>
      </c>
      <c r="L232" s="48">
        <f ca="1" t="shared" si="71"/>
        <v>0.798514691637068</v>
      </c>
      <c r="M232" s="48">
        <f ca="1" t="shared" si="72"/>
        <v>0.169195996125283</v>
      </c>
      <c r="N232" s="48">
        <f ca="1" t="shared" si="73"/>
        <v>0.0322893122376495</v>
      </c>
      <c r="O232" s="48">
        <f ca="1" t="shared" si="74"/>
        <v>0.0613238209312731</v>
      </c>
      <c r="P232" s="48">
        <f ca="1" t="shared" si="75"/>
        <v>0.413542688373636</v>
      </c>
      <c r="Q232" s="48">
        <f ca="1" t="shared" si="76"/>
        <v>0.400153986703627</v>
      </c>
      <c r="R232" s="48">
        <f ca="1" t="shared" si="77"/>
        <v>0.124979503991464</v>
      </c>
      <c r="S232" s="46">
        <f ca="1" t="shared" si="78"/>
        <v>0.798514691637068</v>
      </c>
      <c r="T232" s="46">
        <f ca="1" t="shared" si="79"/>
        <v>0.169195996125283</v>
      </c>
      <c r="U232" s="46">
        <f ca="1" t="shared" si="80"/>
        <v>0.0322893122376495</v>
      </c>
      <c r="V232" s="48">
        <f ca="1" t="shared" si="81"/>
        <v>0.503728498647356</v>
      </c>
      <c r="W232" s="48">
        <f ca="1" t="shared" si="82"/>
        <v>3.39693832474177</v>
      </c>
      <c r="X232" s="48">
        <f ca="1" t="shared" si="83"/>
        <v>3.28696033431894</v>
      </c>
      <c r="Y232" s="48">
        <f t="shared" si="84"/>
        <v>1.02661146926685</v>
      </c>
      <c r="Z232" s="105">
        <f ca="1" t="shared" si="85"/>
        <v>0.0613238209312731</v>
      </c>
      <c r="AA232" s="105">
        <f ca="1" t="shared" si="86"/>
        <v>0.413542688373636</v>
      </c>
      <c r="AB232" s="105">
        <f ca="1" t="shared" si="87"/>
        <v>0.400153986703627</v>
      </c>
      <c r="AC232" s="105">
        <f ca="1" t="shared" si="88"/>
        <v>0.124979503991464</v>
      </c>
      <c r="AD232" s="105">
        <f ca="1" t="shared" si="89"/>
        <v>0.798514691637068</v>
      </c>
      <c r="AE232" s="105">
        <f ca="1" t="shared" si="90"/>
        <v>0.169195996125283</v>
      </c>
      <c r="AF232" s="105">
        <f ca="1" t="shared" si="91"/>
        <v>0.0322893122376493</v>
      </c>
    </row>
    <row r="233" ht="16.5" spans="1:32">
      <c r="A233">
        <f ca="1" t="shared" si="69"/>
        <v>18582</v>
      </c>
      <c r="B233" s="2">
        <v>231</v>
      </c>
      <c r="C233" s="2">
        <f>_xlfn.XLOOKUP(练度预期!D233,装备养成!$B$3:$B$303,装备养成!$D$3:$D$303)*6</f>
        <v>14838</v>
      </c>
      <c r="D233" s="2" cm="1">
        <f ca="1" t="array" ref="D233">_xlfn.XLOOKUP(练度预期!E233&amp;"_"&amp;INT(练度预期!C233/10)*10+10,装备养成!$N$4:$N$219&amp;"_"&amp;装备养成!$K$4:$K$219,装备养成!$P$4:$P$219)*练度预期!F233+_xlfn.XLOOKUP(练度预期!E233-1&amp;"_"&amp;INT(练度预期!C233/10)*10+10,装备养成!$N$4:$N$219&amp;"_"&amp;装备养成!$K$4:$K$219,装备养成!$P$4:$P$219)*(6-练度预期!F233)</f>
        <v>3144</v>
      </c>
      <c r="E233" s="2">
        <f ca="1">练度预期!N233*4*练度预期!M233</f>
        <v>600</v>
      </c>
      <c r="F233" s="103">
        <f ca="1">INT(练度预期!D233/10)*0.02+1+_xlfn.XLOOKUP(练度预期!E233,装备养成!$U$3:$U$11,装备养成!$V$3:$V$11)*练度预期!F233+_xlfn.XLOOKUP(练度预期!E233-1,装备养成!$U$3:$U$11,装备养成!$V$3:$V$11)*(6-练度预期!F233)</f>
        <v>1.65488</v>
      </c>
      <c r="G233" s="48">
        <f ca="1">OFFSET(梦灵养成!$K$20,_xlfn.XLOOKUP(练度预期!H233,梦灵养成!$D$10:$D$28,梦灵养成!$H$10:$H$28),MATCH(OFFSET(梦灵养成!$C$33,B233,MATCH(练度预期!H233,梦灵养成!$D$33:$V$33,0)),梦灵养成!$L$20:$R$20,1))*(1+(OFFSET(梦灵养成!$C$33,B233,MATCH(练度预期!H233,梦灵养成!$D$33:$V$33,0))-1)*_xlfn.XLOOKUP(练度预期!H233,梦灵养成!$D$9:$D$28,梦灵养成!$G$9:$G$28))</f>
        <v>29.8725</v>
      </c>
      <c r="H233" s="46">
        <f ca="1">符文养成!AC234</f>
        <v>26.8200206570563</v>
      </c>
      <c r="I233" s="46">
        <f>MAX(_xlfn.XLOOKUP(练度预期!O233,秘宝养成!$B$3:$B$15,秘宝养成!$E$3:$E$15),1)</f>
        <v>2.7915904</v>
      </c>
      <c r="J233" s="104">
        <f ca="1" t="shared" si="70"/>
        <v>68776700.4929703</v>
      </c>
      <c r="K233" s="104">
        <f ca="1">MATCH(J233,关卡预期!$E$4:$E$303,1)</f>
        <v>183</v>
      </c>
      <c r="L233" s="48">
        <f ca="1" t="shared" si="71"/>
        <v>0.798514691637068</v>
      </c>
      <c r="M233" s="48">
        <f ca="1" t="shared" si="72"/>
        <v>0.169195996125283</v>
      </c>
      <c r="N233" s="48">
        <f ca="1" t="shared" si="73"/>
        <v>0.0322893122376495</v>
      </c>
      <c r="O233" s="48">
        <f ca="1" t="shared" si="74"/>
        <v>0.0613074883135525</v>
      </c>
      <c r="P233" s="48">
        <f ca="1" t="shared" si="75"/>
        <v>0.413432547900688</v>
      </c>
      <c r="Q233" s="48">
        <f ca="1" t="shared" si="76"/>
        <v>0.400313746083874</v>
      </c>
      <c r="R233" s="48">
        <f ca="1" t="shared" si="77"/>
        <v>0.124946217701885</v>
      </c>
      <c r="S233" s="46">
        <f ca="1" t="shared" si="78"/>
        <v>0.798514691637068</v>
      </c>
      <c r="T233" s="46">
        <f ca="1" t="shared" si="79"/>
        <v>0.169195996125283</v>
      </c>
      <c r="U233" s="46">
        <f ca="1" t="shared" si="80"/>
        <v>0.0322893122376495</v>
      </c>
      <c r="V233" s="48">
        <f ca="1" t="shared" si="81"/>
        <v>0.503728498647356</v>
      </c>
      <c r="W233" s="48">
        <f ca="1" t="shared" si="82"/>
        <v>3.39693832474177</v>
      </c>
      <c r="X233" s="48">
        <f ca="1" t="shared" si="83"/>
        <v>3.28914864806413</v>
      </c>
      <c r="Y233" s="48">
        <f t="shared" si="84"/>
        <v>1.02661146926685</v>
      </c>
      <c r="Z233" s="105">
        <f ca="1" t="shared" si="85"/>
        <v>0.0613074883135525</v>
      </c>
      <c r="AA233" s="105">
        <f ca="1" t="shared" si="86"/>
        <v>0.413432547900688</v>
      </c>
      <c r="AB233" s="105">
        <f ca="1" t="shared" si="87"/>
        <v>0.400313746083874</v>
      </c>
      <c r="AC233" s="105">
        <f ca="1" t="shared" si="88"/>
        <v>0.124946217701885</v>
      </c>
      <c r="AD233" s="105">
        <f ca="1" t="shared" si="89"/>
        <v>0.798514691637068</v>
      </c>
      <c r="AE233" s="105">
        <f ca="1" t="shared" si="90"/>
        <v>0.169195996125283</v>
      </c>
      <c r="AF233" s="105">
        <f ca="1" t="shared" si="91"/>
        <v>0.0322893122376493</v>
      </c>
    </row>
    <row r="234" ht="16.5" spans="1:32">
      <c r="A234">
        <f ca="1" t="shared" si="69"/>
        <v>18852</v>
      </c>
      <c r="B234" s="2">
        <v>232</v>
      </c>
      <c r="C234" s="2">
        <f>_xlfn.XLOOKUP(练度预期!D234,装备养成!$B$3:$B$303,装备养成!$D$3:$D$303)*6</f>
        <v>15108</v>
      </c>
      <c r="D234" s="2" cm="1">
        <f ca="1" t="array" ref="D234">_xlfn.XLOOKUP(练度预期!E234&amp;"_"&amp;INT(练度预期!C234/10)*10+10,装备养成!$N$4:$N$219&amp;"_"&amp;装备养成!$K$4:$K$219,装备养成!$P$4:$P$219)*练度预期!F234+_xlfn.XLOOKUP(练度预期!E234-1&amp;"_"&amp;INT(练度预期!C234/10)*10+10,装备养成!$N$4:$N$219&amp;"_"&amp;装备养成!$K$4:$K$219,装备养成!$P$4:$P$219)*(6-练度预期!F234)</f>
        <v>3144</v>
      </c>
      <c r="E234" s="2">
        <f ca="1">练度预期!N234*4*练度预期!M234</f>
        <v>600</v>
      </c>
      <c r="F234" s="103">
        <f ca="1">INT(练度预期!D234/10)*0.02+1+_xlfn.XLOOKUP(练度预期!E234,装备养成!$U$3:$U$11,装备养成!$V$3:$V$11)*练度预期!F234+_xlfn.XLOOKUP(练度预期!E234-1,装备养成!$U$3:$U$11,装备养成!$V$3:$V$11)*(6-练度预期!F234)</f>
        <v>1.65488</v>
      </c>
      <c r="G234" s="48">
        <f ca="1">OFFSET(梦灵养成!$K$20,_xlfn.XLOOKUP(练度预期!H234,梦灵养成!$D$10:$D$28,梦灵养成!$H$10:$H$28),MATCH(OFFSET(梦灵养成!$C$33,B234,MATCH(练度预期!H234,梦灵养成!$D$33:$V$33,0)),梦灵养成!$L$20:$R$20,1))*(1+(OFFSET(梦灵养成!$C$33,B234,MATCH(练度预期!H234,梦灵养成!$D$33:$V$33,0))-1)*_xlfn.XLOOKUP(练度预期!H234,梦灵养成!$D$9:$D$28,梦灵养成!$G$9:$G$28))</f>
        <v>29.8725</v>
      </c>
      <c r="H234" s="46">
        <f ca="1">符文养成!AC235</f>
        <v>26.8680320722066</v>
      </c>
      <c r="I234" s="46">
        <f>MAX(_xlfn.XLOOKUP(练度预期!O234,秘宝养成!$B$3:$B$15,秘宝养成!$E$3:$E$15),1)</f>
        <v>2.7915904</v>
      </c>
      <c r="J234" s="104">
        <f ca="1" t="shared" si="70"/>
        <v>69900947.4725991</v>
      </c>
      <c r="K234" s="104">
        <f ca="1">MATCH(J234,关卡预期!$E$4:$E$303,1)</f>
        <v>184</v>
      </c>
      <c r="L234" s="48">
        <f ca="1" t="shared" si="71"/>
        <v>0.801400381922343</v>
      </c>
      <c r="M234" s="48">
        <f ca="1" t="shared" si="72"/>
        <v>0.166772756206238</v>
      </c>
      <c r="N234" s="48">
        <f ca="1" t="shared" si="73"/>
        <v>0.0318268618714194</v>
      </c>
      <c r="O234" s="48">
        <f ca="1" t="shared" si="74"/>
        <v>0.0612941459439713</v>
      </c>
      <c r="P234" s="48">
        <f ca="1" t="shared" si="75"/>
        <v>0.41334257243435</v>
      </c>
      <c r="Q234" s="48">
        <f ca="1" t="shared" si="76"/>
        <v>0.400444256007745</v>
      </c>
      <c r="R234" s="48">
        <f ca="1" t="shared" si="77"/>
        <v>0.124919025613933</v>
      </c>
      <c r="S234" s="46">
        <f ca="1" t="shared" si="78"/>
        <v>0.801400381922342</v>
      </c>
      <c r="T234" s="46">
        <f ca="1" t="shared" si="79"/>
        <v>0.166772756206238</v>
      </c>
      <c r="U234" s="46">
        <f ca="1" t="shared" si="80"/>
        <v>0.0318268618714194</v>
      </c>
      <c r="V234" s="48">
        <f ca="1" t="shared" si="81"/>
        <v>0.503728498647356</v>
      </c>
      <c r="W234" s="48">
        <f ca="1" t="shared" si="82"/>
        <v>3.39693832474177</v>
      </c>
      <c r="X234" s="48">
        <f ca="1" t="shared" si="83"/>
        <v>3.29093718109925</v>
      </c>
      <c r="Y234" s="48">
        <f t="shared" si="84"/>
        <v>1.02661146926685</v>
      </c>
      <c r="Z234" s="105">
        <f ca="1" t="shared" si="85"/>
        <v>0.0612941459439713</v>
      </c>
      <c r="AA234" s="105">
        <f ca="1" t="shared" si="86"/>
        <v>0.41334257243435</v>
      </c>
      <c r="AB234" s="105">
        <f ca="1" t="shared" si="87"/>
        <v>0.400444256007745</v>
      </c>
      <c r="AC234" s="105">
        <f ca="1" t="shared" si="88"/>
        <v>0.124919025613933</v>
      </c>
      <c r="AD234" s="105">
        <f ca="1" t="shared" si="89"/>
        <v>0.801400381922342</v>
      </c>
      <c r="AE234" s="105">
        <f ca="1" t="shared" si="90"/>
        <v>0.166772756206238</v>
      </c>
      <c r="AF234" s="105">
        <f ca="1" t="shared" si="91"/>
        <v>0.0318268618714195</v>
      </c>
    </row>
    <row r="235" ht="16.5" spans="1:32">
      <c r="A235">
        <f ca="1" t="shared" si="69"/>
        <v>18852</v>
      </c>
      <c r="B235" s="2">
        <v>233</v>
      </c>
      <c r="C235" s="2">
        <f>_xlfn.XLOOKUP(练度预期!D235,装备养成!$B$3:$B$303,装备养成!$D$3:$D$303)*6</f>
        <v>15108</v>
      </c>
      <c r="D235" s="2" cm="1">
        <f ca="1" t="array" ref="D235">_xlfn.XLOOKUP(练度预期!E235&amp;"_"&amp;INT(练度预期!C235/10)*10+10,装备养成!$N$4:$N$219&amp;"_"&amp;装备养成!$K$4:$K$219,装备养成!$P$4:$P$219)*练度预期!F235+_xlfn.XLOOKUP(练度预期!E235-1&amp;"_"&amp;INT(练度预期!C235/10)*10+10,装备养成!$N$4:$N$219&amp;"_"&amp;装备养成!$K$4:$K$219,装备养成!$P$4:$P$219)*(6-练度预期!F235)</f>
        <v>3144</v>
      </c>
      <c r="E235" s="2">
        <f ca="1">练度预期!N235*4*练度预期!M235</f>
        <v>600</v>
      </c>
      <c r="F235" s="103">
        <f ca="1">INT(练度预期!D235/10)*0.02+1+_xlfn.XLOOKUP(练度预期!E235,装备养成!$U$3:$U$11,装备养成!$V$3:$V$11)*练度预期!F235+_xlfn.XLOOKUP(练度预期!E235-1,装备养成!$U$3:$U$11,装备养成!$V$3:$V$11)*(6-练度预期!F235)</f>
        <v>1.65488</v>
      </c>
      <c r="G235" s="48">
        <f ca="1">OFFSET(梦灵养成!$K$20,_xlfn.XLOOKUP(练度预期!H235,梦灵养成!$D$10:$D$28,梦灵养成!$H$10:$H$28),MATCH(OFFSET(梦灵养成!$C$33,B235,MATCH(练度预期!H235,梦灵养成!$D$33:$V$33,0)),梦灵养成!$L$20:$R$20,1))*(1+(OFFSET(梦灵养成!$C$33,B235,MATCH(练度预期!H235,梦灵养成!$D$33:$V$33,0))-1)*_xlfn.XLOOKUP(练度预期!H235,梦灵养成!$D$9:$D$28,梦灵养成!$G$9:$G$28))</f>
        <v>29.8725</v>
      </c>
      <c r="H235" s="46">
        <f ca="1">符文养成!AC236</f>
        <v>26.9191492469708</v>
      </c>
      <c r="I235" s="46">
        <f>MAX(_xlfn.XLOOKUP(练度预期!O235,秘宝养成!$B$3:$B$15,秘宝养成!$E$3:$E$15),1)</f>
        <v>2.7915904</v>
      </c>
      <c r="J235" s="104">
        <f ca="1" t="shared" si="70"/>
        <v>70033935.9601273</v>
      </c>
      <c r="K235" s="104">
        <f ca="1">MATCH(J235,关卡预期!$E$4:$E$303,1)</f>
        <v>184</v>
      </c>
      <c r="L235" s="48">
        <f ca="1" t="shared" si="71"/>
        <v>0.801400381922343</v>
      </c>
      <c r="M235" s="48">
        <f ca="1" t="shared" si="72"/>
        <v>0.166772756206238</v>
      </c>
      <c r="N235" s="48">
        <f ca="1" t="shared" si="73"/>
        <v>0.0318268618714194</v>
      </c>
      <c r="O235" s="48">
        <f ca="1" t="shared" si="74"/>
        <v>0.0612799730276012</v>
      </c>
      <c r="P235" s="48">
        <f ca="1" t="shared" si="75"/>
        <v>0.413246996101226</v>
      </c>
      <c r="Q235" s="48">
        <f ca="1" t="shared" si="76"/>
        <v>0.400582890020635</v>
      </c>
      <c r="R235" s="48">
        <f ca="1" t="shared" si="77"/>
        <v>0.124890140850538</v>
      </c>
      <c r="S235" s="46">
        <f ca="1" t="shared" si="78"/>
        <v>0.801400381922342</v>
      </c>
      <c r="T235" s="46">
        <f ca="1" t="shared" si="79"/>
        <v>0.166772756206238</v>
      </c>
      <c r="U235" s="46">
        <f ca="1" t="shared" si="80"/>
        <v>0.0318268618714194</v>
      </c>
      <c r="V235" s="48">
        <f ca="1" t="shared" si="81"/>
        <v>0.503728498647356</v>
      </c>
      <c r="W235" s="48">
        <f ca="1" t="shared" si="82"/>
        <v>3.39693832474177</v>
      </c>
      <c r="X235" s="48">
        <f ca="1" t="shared" si="83"/>
        <v>3.29283790126714</v>
      </c>
      <c r="Y235" s="48">
        <f t="shared" si="84"/>
        <v>1.02661146926685</v>
      </c>
      <c r="Z235" s="105">
        <f ca="1" t="shared" si="85"/>
        <v>0.0612799730276012</v>
      </c>
      <c r="AA235" s="105">
        <f ca="1" t="shared" si="86"/>
        <v>0.413246996101226</v>
      </c>
      <c r="AB235" s="105">
        <f ca="1" t="shared" si="87"/>
        <v>0.400582890020635</v>
      </c>
      <c r="AC235" s="105">
        <f ca="1" t="shared" si="88"/>
        <v>0.124890140850538</v>
      </c>
      <c r="AD235" s="105">
        <f ca="1" t="shared" si="89"/>
        <v>0.801400381922342</v>
      </c>
      <c r="AE235" s="105">
        <f ca="1" t="shared" si="90"/>
        <v>0.166772756206238</v>
      </c>
      <c r="AF235" s="105">
        <f ca="1" t="shared" si="91"/>
        <v>0.0318268618714195</v>
      </c>
    </row>
    <row r="236" ht="16.5" spans="1:32">
      <c r="A236">
        <f ca="1" t="shared" si="69"/>
        <v>18852</v>
      </c>
      <c r="B236" s="2">
        <v>234</v>
      </c>
      <c r="C236" s="2">
        <f>_xlfn.XLOOKUP(练度预期!D236,装备养成!$B$3:$B$303,装备养成!$D$3:$D$303)*6</f>
        <v>15108</v>
      </c>
      <c r="D236" s="2" cm="1">
        <f ca="1" t="array" ref="D236">_xlfn.XLOOKUP(练度预期!E236&amp;"_"&amp;INT(练度预期!C236/10)*10+10,装备养成!$N$4:$N$219&amp;"_"&amp;装备养成!$K$4:$K$219,装备养成!$P$4:$P$219)*练度预期!F236+_xlfn.XLOOKUP(练度预期!E236-1&amp;"_"&amp;INT(练度预期!C236/10)*10+10,装备养成!$N$4:$N$219&amp;"_"&amp;装备养成!$K$4:$K$219,装备养成!$P$4:$P$219)*(6-练度预期!F236)</f>
        <v>3144</v>
      </c>
      <c r="E236" s="2">
        <f ca="1">练度预期!N236*4*练度预期!M236</f>
        <v>600</v>
      </c>
      <c r="F236" s="103">
        <f ca="1">INT(练度预期!D236/10)*0.02+1+_xlfn.XLOOKUP(练度预期!E236,装备养成!$U$3:$U$11,装备养成!$V$3:$V$11)*练度预期!F236+_xlfn.XLOOKUP(练度预期!E236-1,装备养成!$U$3:$U$11,装备养成!$V$3:$V$11)*(6-练度预期!F236)</f>
        <v>1.65488</v>
      </c>
      <c r="G236" s="48">
        <f ca="1">OFFSET(梦灵养成!$K$20,_xlfn.XLOOKUP(练度预期!H236,梦灵养成!$D$10:$D$28,梦灵养成!$H$10:$H$28),MATCH(OFFSET(梦灵养成!$C$33,B236,MATCH(练度预期!H236,梦灵养成!$D$33:$V$33,0)),梦灵养成!$L$20:$R$20,1))*(1+(OFFSET(梦灵养成!$C$33,B236,MATCH(练度预期!H236,梦灵养成!$D$33:$V$33,0))-1)*_xlfn.XLOOKUP(练度预期!H236,梦灵养成!$D$9:$D$28,梦灵养成!$G$9:$G$28))</f>
        <v>29.8725</v>
      </c>
      <c r="H236" s="46">
        <f ca="1">符文养成!AC237</f>
        <v>26.979768364752</v>
      </c>
      <c r="I236" s="46">
        <f>MAX(_xlfn.XLOOKUP(练度预期!O236,秘宝养成!$B$3:$B$15,秘宝养成!$E$3:$E$15),1)</f>
        <v>2.7915904</v>
      </c>
      <c r="J236" s="104">
        <f ca="1" t="shared" si="70"/>
        <v>70191645.0828672</v>
      </c>
      <c r="K236" s="104">
        <f ca="1">MATCH(J236,关卡预期!$E$4:$E$303,1)</f>
        <v>184</v>
      </c>
      <c r="L236" s="48">
        <f ca="1" t="shared" si="71"/>
        <v>0.801400381922343</v>
      </c>
      <c r="M236" s="48">
        <f ca="1" t="shared" si="72"/>
        <v>0.166772756206238</v>
      </c>
      <c r="N236" s="48">
        <f ca="1" t="shared" si="73"/>
        <v>0.0318268618714193</v>
      </c>
      <c r="O236" s="48">
        <f ca="1" t="shared" si="74"/>
        <v>0.0612632088778823</v>
      </c>
      <c r="P236" s="48">
        <f ca="1" t="shared" si="75"/>
        <v>0.413133945553531</v>
      </c>
      <c r="Q236" s="48">
        <f ca="1" t="shared" si="76"/>
        <v>0.400746870480796</v>
      </c>
      <c r="R236" s="48">
        <f ca="1" t="shared" si="77"/>
        <v>0.124855975087791</v>
      </c>
      <c r="S236" s="46">
        <f ca="1" t="shared" si="78"/>
        <v>0.801400381922342</v>
      </c>
      <c r="T236" s="46">
        <f ca="1" t="shared" si="79"/>
        <v>0.166772756206238</v>
      </c>
      <c r="U236" s="46">
        <f ca="1" t="shared" si="80"/>
        <v>0.0318268618714193</v>
      </c>
      <c r="V236" s="48">
        <f ca="1" t="shared" si="81"/>
        <v>0.503728498647356</v>
      </c>
      <c r="W236" s="48">
        <f ca="1" t="shared" si="82"/>
        <v>3.39693832474177</v>
      </c>
      <c r="X236" s="48">
        <f ca="1" t="shared" si="83"/>
        <v>3.29508726529991</v>
      </c>
      <c r="Y236" s="48">
        <f t="shared" si="84"/>
        <v>1.02661146926685</v>
      </c>
      <c r="Z236" s="105">
        <f ca="1" t="shared" si="85"/>
        <v>0.0612632088778823</v>
      </c>
      <c r="AA236" s="105">
        <f ca="1" t="shared" si="86"/>
        <v>0.413133945553531</v>
      </c>
      <c r="AB236" s="105">
        <f ca="1" t="shared" si="87"/>
        <v>0.400746870480796</v>
      </c>
      <c r="AC236" s="105">
        <f ca="1" t="shared" si="88"/>
        <v>0.124855975087791</v>
      </c>
      <c r="AD236" s="105">
        <f ca="1" t="shared" si="89"/>
        <v>0.801400381922342</v>
      </c>
      <c r="AE236" s="105">
        <f ca="1" t="shared" si="90"/>
        <v>0.166772756206238</v>
      </c>
      <c r="AF236" s="105">
        <f ca="1" t="shared" si="91"/>
        <v>0.0318268618714195</v>
      </c>
    </row>
    <row r="237" ht="16.5" spans="1:32">
      <c r="A237">
        <f ca="1" t="shared" si="69"/>
        <v>18852</v>
      </c>
      <c r="B237" s="2">
        <v>235</v>
      </c>
      <c r="C237" s="2">
        <f>_xlfn.XLOOKUP(练度预期!D237,装备养成!$B$3:$B$303,装备养成!$D$3:$D$303)*6</f>
        <v>15108</v>
      </c>
      <c r="D237" s="2" cm="1">
        <f ca="1" t="array" ref="D237">_xlfn.XLOOKUP(练度预期!E237&amp;"_"&amp;INT(练度预期!C237/10)*10+10,装备养成!$N$4:$N$219&amp;"_"&amp;装备养成!$K$4:$K$219,装备养成!$P$4:$P$219)*练度预期!F237+_xlfn.XLOOKUP(练度预期!E237-1&amp;"_"&amp;INT(练度预期!C237/10)*10+10,装备养成!$N$4:$N$219&amp;"_"&amp;装备养成!$K$4:$K$219,装备养成!$P$4:$P$219)*(6-练度预期!F237)</f>
        <v>3144</v>
      </c>
      <c r="E237" s="2">
        <f ca="1">练度预期!N237*4*练度预期!M237</f>
        <v>600</v>
      </c>
      <c r="F237" s="103">
        <f ca="1">INT(练度预期!D237/10)*0.02+1+_xlfn.XLOOKUP(练度预期!E237,装备养成!$U$3:$U$11,装备养成!$V$3:$V$11)*练度预期!F237+_xlfn.XLOOKUP(练度预期!E237-1,装备养成!$U$3:$U$11,装备养成!$V$3:$V$11)*(6-练度预期!F237)</f>
        <v>1.65488</v>
      </c>
      <c r="G237" s="48">
        <f ca="1">OFFSET(梦灵养成!$K$20,_xlfn.XLOOKUP(练度预期!H237,梦灵养成!$D$10:$D$28,梦灵养成!$H$10:$H$28),MATCH(OFFSET(梦灵养成!$C$33,B237,MATCH(练度预期!H237,梦灵养成!$D$33:$V$33,0)),梦灵养成!$L$20:$R$20,1))*(1+(OFFSET(梦灵养成!$C$33,B237,MATCH(练度预期!H237,梦灵养成!$D$33:$V$33,0))-1)*_xlfn.XLOOKUP(练度预期!H237,梦灵养成!$D$9:$D$28,梦灵养成!$G$9:$G$28))</f>
        <v>29.8725</v>
      </c>
      <c r="H237" s="46">
        <f ca="1">符文养成!AC238</f>
        <v>27.0368109748785</v>
      </c>
      <c r="I237" s="46">
        <f>MAX(_xlfn.XLOOKUP(练度预期!O237,秘宝养成!$B$3:$B$15,秘宝养成!$E$3:$E$15),1)</f>
        <v>2.7915904</v>
      </c>
      <c r="J237" s="104">
        <f ca="1" t="shared" si="70"/>
        <v>70340049.4201644</v>
      </c>
      <c r="K237" s="104">
        <f ca="1">MATCH(J237,关卡预期!$E$4:$E$303,1)</f>
        <v>184</v>
      </c>
      <c r="L237" s="48">
        <f ca="1" t="shared" si="71"/>
        <v>0.801400381922343</v>
      </c>
      <c r="M237" s="48">
        <f ca="1" t="shared" si="72"/>
        <v>0.166772756206238</v>
      </c>
      <c r="N237" s="48">
        <f ca="1" t="shared" si="73"/>
        <v>0.0318268618714195</v>
      </c>
      <c r="O237" s="48">
        <f ca="1" t="shared" si="74"/>
        <v>0.0612474765174812</v>
      </c>
      <c r="P237" s="48">
        <f ca="1" t="shared" si="75"/>
        <v>0.413027852969671</v>
      </c>
      <c r="Q237" s="48">
        <f ca="1" t="shared" si="76"/>
        <v>0.400900758374979</v>
      </c>
      <c r="R237" s="48">
        <f ca="1" t="shared" si="77"/>
        <v>0.124823912137869</v>
      </c>
      <c r="S237" s="46">
        <f ca="1" t="shared" si="78"/>
        <v>0.801400381922342</v>
      </c>
      <c r="T237" s="46">
        <f ca="1" t="shared" si="79"/>
        <v>0.166772756206238</v>
      </c>
      <c r="U237" s="46">
        <f ca="1" t="shared" si="80"/>
        <v>0.0318268618714195</v>
      </c>
      <c r="V237" s="48">
        <f ca="1" t="shared" si="81"/>
        <v>0.503728498647356</v>
      </c>
      <c r="W237" s="48">
        <f ca="1" t="shared" si="82"/>
        <v>3.39693832474177</v>
      </c>
      <c r="X237" s="48">
        <f ca="1" t="shared" si="83"/>
        <v>3.29719930690003</v>
      </c>
      <c r="Y237" s="48">
        <f t="shared" si="84"/>
        <v>1.02661146926685</v>
      </c>
      <c r="Z237" s="105">
        <f ca="1" t="shared" si="85"/>
        <v>0.0612474765174812</v>
      </c>
      <c r="AA237" s="105">
        <f ca="1" t="shared" si="86"/>
        <v>0.413027852969671</v>
      </c>
      <c r="AB237" s="105">
        <f ca="1" t="shared" si="87"/>
        <v>0.400900758374979</v>
      </c>
      <c r="AC237" s="105">
        <f ca="1" t="shared" si="88"/>
        <v>0.124823912137869</v>
      </c>
      <c r="AD237" s="105">
        <f ca="1" t="shared" si="89"/>
        <v>0.801400381922342</v>
      </c>
      <c r="AE237" s="105">
        <f ca="1" t="shared" si="90"/>
        <v>0.166772756206238</v>
      </c>
      <c r="AF237" s="105">
        <f ca="1" t="shared" si="91"/>
        <v>0.0318268618714195</v>
      </c>
    </row>
    <row r="238" ht="16.5" spans="1:32">
      <c r="A238">
        <f ca="1" t="shared" si="69"/>
        <v>19122</v>
      </c>
      <c r="B238" s="2">
        <v>236</v>
      </c>
      <c r="C238" s="2">
        <f>_xlfn.XLOOKUP(练度预期!D238,装备养成!$B$3:$B$303,装备养成!$D$3:$D$303)*6</f>
        <v>15378</v>
      </c>
      <c r="D238" s="2" cm="1">
        <f ca="1" t="array" ref="D238">_xlfn.XLOOKUP(练度预期!E238&amp;"_"&amp;INT(练度预期!C238/10)*10+10,装备养成!$N$4:$N$219&amp;"_"&amp;装备养成!$K$4:$K$219,装备养成!$P$4:$P$219)*练度预期!F238+_xlfn.XLOOKUP(练度预期!E238-1&amp;"_"&amp;INT(练度预期!C238/10)*10+10,装备养成!$N$4:$N$219&amp;"_"&amp;装备养成!$K$4:$K$219,装备养成!$P$4:$P$219)*(6-练度预期!F238)</f>
        <v>3144</v>
      </c>
      <c r="E238" s="2">
        <f ca="1">练度预期!N238*4*练度预期!M238</f>
        <v>600</v>
      </c>
      <c r="F238" s="103">
        <f ca="1">INT(练度预期!D238/10)*0.02+1+_xlfn.XLOOKUP(练度预期!E238,装备养成!$U$3:$U$11,装备养成!$V$3:$V$11)*练度预期!F238+_xlfn.XLOOKUP(练度预期!E238-1,装备养成!$U$3:$U$11,装备养成!$V$3:$V$11)*(6-练度预期!F238)</f>
        <v>1.65488</v>
      </c>
      <c r="G238" s="48">
        <f ca="1">OFFSET(梦灵养成!$K$20,_xlfn.XLOOKUP(练度预期!H238,梦灵养成!$D$10:$D$28,梦灵养成!$H$10:$H$28),MATCH(OFFSET(梦灵养成!$C$33,B238,MATCH(练度预期!H238,梦灵养成!$D$33:$V$33,0)),梦灵养成!$L$20:$R$20,1))*(1+(OFFSET(梦灵养成!$C$33,B238,MATCH(练度预期!H238,梦灵养成!$D$33:$V$33,0))-1)*_xlfn.XLOOKUP(练度预期!H238,梦灵养成!$D$9:$D$28,梦灵养成!$G$9:$G$28))</f>
        <v>29.8725</v>
      </c>
      <c r="H238" s="46">
        <f ca="1">符文养成!AC239</f>
        <v>27.0862188182784</v>
      </c>
      <c r="I238" s="46">
        <f>MAX(_xlfn.XLOOKUP(练度预期!O238,秘宝养成!$B$3:$B$15,秘宝养成!$E$3:$E$15),1)</f>
        <v>2.7915904</v>
      </c>
      <c r="J238" s="104">
        <f ca="1" t="shared" si="70"/>
        <v>71477848.1909716</v>
      </c>
      <c r="K238" s="104">
        <f ca="1">MATCH(J238,关卡预期!$E$4:$E$303,1)</f>
        <v>184</v>
      </c>
      <c r="L238" s="48">
        <f ca="1" t="shared" si="71"/>
        <v>0.804204581110763</v>
      </c>
      <c r="M238" s="48">
        <f ca="1" t="shared" si="72"/>
        <v>0.164417947913398</v>
      </c>
      <c r="N238" s="48">
        <f ca="1" t="shared" si="73"/>
        <v>0.0313774709758393</v>
      </c>
      <c r="O238" s="48">
        <f ca="1" t="shared" si="74"/>
        <v>0.0612338831395126</v>
      </c>
      <c r="P238" s="48">
        <f ca="1" t="shared" si="75"/>
        <v>0.412936184805753</v>
      </c>
      <c r="Q238" s="48">
        <f ca="1" t="shared" si="76"/>
        <v>0.401033723566283</v>
      </c>
      <c r="R238" s="48">
        <f ca="1" t="shared" si="77"/>
        <v>0.124796208488451</v>
      </c>
      <c r="S238" s="46">
        <f ca="1" t="shared" si="78"/>
        <v>0.804204581110762</v>
      </c>
      <c r="T238" s="46">
        <f ca="1" t="shared" si="79"/>
        <v>0.164417947913398</v>
      </c>
      <c r="U238" s="46">
        <f ca="1" t="shared" si="80"/>
        <v>0.0313774709758393</v>
      </c>
      <c r="V238" s="48">
        <f ca="1" t="shared" si="81"/>
        <v>0.503728498647356</v>
      </c>
      <c r="W238" s="48">
        <f ca="1" t="shared" si="82"/>
        <v>3.39693832474177</v>
      </c>
      <c r="X238" s="48">
        <f ca="1" t="shared" si="83"/>
        <v>3.29902506784924</v>
      </c>
      <c r="Y238" s="48">
        <f t="shared" si="84"/>
        <v>1.02661146926685</v>
      </c>
      <c r="Z238" s="105">
        <f ca="1" t="shared" si="85"/>
        <v>0.0612338831395126</v>
      </c>
      <c r="AA238" s="105">
        <f ca="1" t="shared" si="86"/>
        <v>0.412936184805754</v>
      </c>
      <c r="AB238" s="105">
        <f ca="1" t="shared" si="87"/>
        <v>0.401033723566283</v>
      </c>
      <c r="AC238" s="105">
        <f ca="1" t="shared" si="88"/>
        <v>0.124796208488451</v>
      </c>
      <c r="AD238" s="105">
        <f ca="1" t="shared" si="89"/>
        <v>0.804204581110762</v>
      </c>
      <c r="AE238" s="105">
        <f ca="1" t="shared" si="90"/>
        <v>0.164417947913398</v>
      </c>
      <c r="AF238" s="105">
        <f ca="1" t="shared" si="91"/>
        <v>0.0313774709758393</v>
      </c>
    </row>
    <row r="239" ht="16.5" spans="1:32">
      <c r="A239">
        <f ca="1" t="shared" si="69"/>
        <v>19122</v>
      </c>
      <c r="B239" s="2">
        <v>237</v>
      </c>
      <c r="C239" s="2">
        <f>_xlfn.XLOOKUP(练度预期!D239,装备养成!$B$3:$B$303,装备养成!$D$3:$D$303)*6</f>
        <v>15378</v>
      </c>
      <c r="D239" s="2" cm="1">
        <f ca="1" t="array" ref="D239">_xlfn.XLOOKUP(练度预期!E239&amp;"_"&amp;INT(练度预期!C239/10)*10+10,装备养成!$N$4:$N$219&amp;"_"&amp;装备养成!$K$4:$K$219,装备养成!$P$4:$P$219)*练度预期!F239+_xlfn.XLOOKUP(练度预期!E239-1&amp;"_"&amp;INT(练度预期!C239/10)*10+10,装备养成!$N$4:$N$219&amp;"_"&amp;装备养成!$K$4:$K$219,装备养成!$P$4:$P$219)*(6-练度预期!F239)</f>
        <v>3144</v>
      </c>
      <c r="E239" s="2">
        <f ca="1">练度预期!N239*4*练度预期!M239</f>
        <v>600</v>
      </c>
      <c r="F239" s="103">
        <f ca="1">INT(练度预期!D239/10)*0.02+1+_xlfn.XLOOKUP(练度预期!E239,装备养成!$U$3:$U$11,装备养成!$V$3:$V$11)*练度预期!F239+_xlfn.XLOOKUP(练度预期!E239-1,装备养成!$U$3:$U$11,装备养成!$V$3:$V$11)*(6-练度预期!F239)</f>
        <v>1.65488</v>
      </c>
      <c r="G239" s="48">
        <f ca="1">OFFSET(梦灵养成!$K$20,_xlfn.XLOOKUP(练度预期!H239,梦灵养成!$D$10:$D$28,梦灵养成!$H$10:$H$28),MATCH(OFFSET(梦灵养成!$C$33,B239,MATCH(练度预期!H239,梦灵养成!$D$33:$V$33,0)),梦灵养成!$L$20:$R$20,1))*(1+(OFFSET(梦灵养成!$C$33,B239,MATCH(练度预期!H239,梦灵养成!$D$33:$V$33,0))-1)*_xlfn.XLOOKUP(练度预期!H239,梦灵养成!$D$9:$D$28,梦灵养成!$G$9:$G$28))</f>
        <v>29.8725</v>
      </c>
      <c r="H239" s="46">
        <f ca="1">符文养成!AC240</f>
        <v>27.1434776962029</v>
      </c>
      <c r="I239" s="46">
        <f>MAX(_xlfn.XLOOKUP(练度预期!O239,秘宝养成!$B$3:$B$15,秘宝养成!$E$3:$E$15),1)</f>
        <v>2.7915904</v>
      </c>
      <c r="J239" s="104">
        <f ca="1" t="shared" si="70"/>
        <v>71628948.6975182</v>
      </c>
      <c r="K239" s="104">
        <f ca="1">MATCH(J239,关卡预期!$E$4:$E$303,1)</f>
        <v>184</v>
      </c>
      <c r="L239" s="48">
        <f ca="1" t="shared" si="71"/>
        <v>0.804204581110762</v>
      </c>
      <c r="M239" s="48">
        <f ca="1" t="shared" si="72"/>
        <v>0.164417947913398</v>
      </c>
      <c r="N239" s="48">
        <f ca="1" t="shared" si="73"/>
        <v>0.0313774709758393</v>
      </c>
      <c r="O239" s="48">
        <f ca="1" t="shared" si="74"/>
        <v>0.0612181682466016</v>
      </c>
      <c r="P239" s="48">
        <f ca="1" t="shared" si="75"/>
        <v>0.41283021001548</v>
      </c>
      <c r="Q239" s="48">
        <f ca="1" t="shared" si="76"/>
        <v>0.401187440600202</v>
      </c>
      <c r="R239" s="48">
        <f ca="1" t="shared" si="77"/>
        <v>0.124764181137717</v>
      </c>
      <c r="S239" s="46">
        <f ca="1" t="shared" si="78"/>
        <v>0.804204581110762</v>
      </c>
      <c r="T239" s="46">
        <f ca="1" t="shared" si="79"/>
        <v>0.164417947913398</v>
      </c>
      <c r="U239" s="46">
        <f ca="1" t="shared" si="80"/>
        <v>0.0313774709758393</v>
      </c>
      <c r="V239" s="48">
        <f ca="1" t="shared" si="81"/>
        <v>0.503728498647356</v>
      </c>
      <c r="W239" s="48">
        <f ca="1" t="shared" si="82"/>
        <v>3.39693832474177</v>
      </c>
      <c r="X239" s="48">
        <f ca="1" t="shared" si="83"/>
        <v>3.30113678533551</v>
      </c>
      <c r="Y239" s="48">
        <f t="shared" si="84"/>
        <v>1.02661146926685</v>
      </c>
      <c r="Z239" s="105">
        <f ca="1" t="shared" si="85"/>
        <v>0.0612181682466016</v>
      </c>
      <c r="AA239" s="105">
        <f ca="1" t="shared" si="86"/>
        <v>0.41283021001548</v>
      </c>
      <c r="AB239" s="105">
        <f ca="1" t="shared" si="87"/>
        <v>0.401187440600202</v>
      </c>
      <c r="AC239" s="105">
        <f ca="1" t="shared" si="88"/>
        <v>0.124764181137717</v>
      </c>
      <c r="AD239" s="105">
        <f ca="1" t="shared" si="89"/>
        <v>0.804204581110762</v>
      </c>
      <c r="AE239" s="105">
        <f ca="1" t="shared" si="90"/>
        <v>0.164417947913398</v>
      </c>
      <c r="AF239" s="105">
        <f ca="1" t="shared" si="91"/>
        <v>0.0313774709758393</v>
      </c>
    </row>
    <row r="240" ht="16.5" spans="1:32">
      <c r="A240">
        <f ca="1" t="shared" si="69"/>
        <v>19122</v>
      </c>
      <c r="B240" s="2">
        <v>238</v>
      </c>
      <c r="C240" s="2">
        <f>_xlfn.XLOOKUP(练度预期!D240,装备养成!$B$3:$B$303,装备养成!$D$3:$D$303)*6</f>
        <v>15378</v>
      </c>
      <c r="D240" s="2" cm="1">
        <f ca="1" t="array" ref="D240">_xlfn.XLOOKUP(练度预期!E240&amp;"_"&amp;INT(练度预期!C240/10)*10+10,装备养成!$N$4:$N$219&amp;"_"&amp;装备养成!$K$4:$K$219,装备养成!$P$4:$P$219)*练度预期!F240+_xlfn.XLOOKUP(练度预期!E240-1&amp;"_"&amp;INT(练度预期!C240/10)*10+10,装备养成!$N$4:$N$219&amp;"_"&amp;装备养成!$K$4:$K$219,装备养成!$P$4:$P$219)*(6-练度预期!F240)</f>
        <v>3144</v>
      </c>
      <c r="E240" s="2">
        <f ca="1">练度预期!N240*4*练度预期!M240</f>
        <v>600</v>
      </c>
      <c r="F240" s="103">
        <f ca="1">INT(练度预期!D240/10)*0.02+1+_xlfn.XLOOKUP(练度预期!E240,装备养成!$U$3:$U$11,装备养成!$V$3:$V$11)*练度预期!F240+_xlfn.XLOOKUP(练度预期!E240-1,装备养成!$U$3:$U$11,装备养成!$V$3:$V$11)*(6-练度预期!F240)</f>
        <v>1.65488</v>
      </c>
      <c r="G240" s="48">
        <f ca="1">OFFSET(梦灵养成!$K$20,_xlfn.XLOOKUP(练度预期!H240,梦灵养成!$D$10:$D$28,梦灵养成!$H$10:$H$28),MATCH(OFFSET(梦灵养成!$C$33,B240,MATCH(练度预期!H240,梦灵养成!$D$33:$V$33,0)),梦灵养成!$L$20:$R$20,1))*(1+(OFFSET(梦灵养成!$C$33,B240,MATCH(练度预期!H240,梦灵养成!$D$33:$V$33,0))-1)*_xlfn.XLOOKUP(练度预期!H240,梦灵养成!$D$9:$D$28,梦灵养成!$G$9:$G$28))</f>
        <v>29.8725</v>
      </c>
      <c r="H240" s="46">
        <f ca="1">符文养成!AC241</f>
        <v>27.1930728399264</v>
      </c>
      <c r="I240" s="46">
        <f>MAX(_xlfn.XLOOKUP(练度预期!O240,秘宝养成!$B$3:$B$15,秘宝养成!$E$3:$E$15),1)</f>
        <v>2.7915904</v>
      </c>
      <c r="J240" s="104">
        <f ca="1" t="shared" si="70"/>
        <v>71759825.3687088</v>
      </c>
      <c r="K240" s="104">
        <f ca="1">MATCH(J240,关卡预期!$E$4:$E$303,1)</f>
        <v>184</v>
      </c>
      <c r="L240" s="48">
        <f ca="1" t="shared" si="71"/>
        <v>0.804204581110763</v>
      </c>
      <c r="M240" s="48">
        <f ca="1" t="shared" si="72"/>
        <v>0.164417947913398</v>
      </c>
      <c r="N240" s="48">
        <f ca="1" t="shared" si="73"/>
        <v>0.0313774709758393</v>
      </c>
      <c r="O240" s="48">
        <f ca="1" t="shared" si="74"/>
        <v>0.0612045899589036</v>
      </c>
      <c r="P240" s="48">
        <f ca="1" t="shared" si="75"/>
        <v>0.412738643614156</v>
      </c>
      <c r="Q240" s="48">
        <f ca="1" t="shared" si="76"/>
        <v>0.401320258184288</v>
      </c>
      <c r="R240" s="48">
        <f ca="1" t="shared" si="77"/>
        <v>0.124736508242653</v>
      </c>
      <c r="S240" s="46">
        <f ca="1" t="shared" si="78"/>
        <v>0.804204581110763</v>
      </c>
      <c r="T240" s="46">
        <f ca="1" t="shared" si="79"/>
        <v>0.164417947913398</v>
      </c>
      <c r="U240" s="46">
        <f ca="1" t="shared" si="80"/>
        <v>0.0313774709758393</v>
      </c>
      <c r="V240" s="48">
        <f ca="1" t="shared" si="81"/>
        <v>0.503728498647356</v>
      </c>
      <c r="W240" s="48">
        <f ca="1" t="shared" si="82"/>
        <v>3.39693832474177</v>
      </c>
      <c r="X240" s="48">
        <f ca="1" t="shared" si="83"/>
        <v>3.30296226586406</v>
      </c>
      <c r="Y240" s="48">
        <f t="shared" si="84"/>
        <v>1.02661146926685</v>
      </c>
      <c r="Z240" s="105">
        <f ca="1" t="shared" si="85"/>
        <v>0.0612045899589036</v>
      </c>
      <c r="AA240" s="105">
        <f ca="1" t="shared" si="86"/>
        <v>0.412738643614156</v>
      </c>
      <c r="AB240" s="105">
        <f ca="1" t="shared" si="87"/>
        <v>0.401320258184288</v>
      </c>
      <c r="AC240" s="105">
        <f ca="1" t="shared" si="88"/>
        <v>0.124736508242653</v>
      </c>
      <c r="AD240" s="105">
        <f ca="1" t="shared" si="89"/>
        <v>0.804204581110762</v>
      </c>
      <c r="AE240" s="105">
        <f ca="1" t="shared" si="90"/>
        <v>0.164417947913398</v>
      </c>
      <c r="AF240" s="105">
        <f ca="1" t="shared" si="91"/>
        <v>0.0313774709758393</v>
      </c>
    </row>
    <row r="241" ht="16.5" spans="1:32">
      <c r="A241">
        <f ca="1" t="shared" si="69"/>
        <v>19596</v>
      </c>
      <c r="B241" s="2">
        <v>239</v>
      </c>
      <c r="C241" s="2">
        <f>_xlfn.XLOOKUP(练度预期!D241,装备养成!$B$3:$B$303,装备养成!$D$3:$D$303)*6</f>
        <v>15378</v>
      </c>
      <c r="D241" s="2" cm="1">
        <f ca="1" t="array" ref="D241">_xlfn.XLOOKUP(练度预期!E241&amp;"_"&amp;INT(练度预期!C241/10)*10+10,装备养成!$N$4:$N$219&amp;"_"&amp;装备养成!$K$4:$K$219,装备养成!$P$4:$P$219)*练度预期!F241+_xlfn.XLOOKUP(练度预期!E241-1&amp;"_"&amp;INT(练度预期!C241/10)*10+10,装备养成!$N$4:$N$219&amp;"_"&amp;装备养成!$K$4:$K$219,装备养成!$P$4:$P$219)*(6-练度预期!F241)</f>
        <v>3618</v>
      </c>
      <c r="E241" s="2">
        <f ca="1">练度预期!N241*4*练度预期!M241</f>
        <v>600</v>
      </c>
      <c r="F241" s="103">
        <f ca="1">INT(练度预期!D241/10)*0.02+1+_xlfn.XLOOKUP(练度预期!E241,装备养成!$U$3:$U$11,装备养成!$V$3:$V$11)*练度预期!F241+_xlfn.XLOOKUP(练度预期!E241-1,装备养成!$U$3:$U$11,装备养成!$V$3:$V$11)*(6-练度预期!F241)</f>
        <v>1.65488</v>
      </c>
      <c r="G241" s="48">
        <f ca="1">OFFSET(梦灵养成!$K$20,_xlfn.XLOOKUP(练度预期!H241,梦灵养成!$D$10:$D$28,梦灵养成!$H$10:$H$28),MATCH(OFFSET(梦灵养成!$C$33,B241,MATCH(练度预期!H241,梦灵养成!$D$33:$V$33,0)),梦灵养成!$L$20:$R$20,1))*(1+(OFFSET(梦灵养成!$C$33,B241,MATCH(练度预期!H241,梦灵养成!$D$33:$V$33,0))-1)*_xlfn.XLOOKUP(练度预期!H241,梦灵养成!$D$9:$D$28,梦灵养成!$G$9:$G$28))</f>
        <v>29.8725</v>
      </c>
      <c r="H241" s="46">
        <f ca="1">符文养成!AC242</f>
        <v>27.2447841520239</v>
      </c>
      <c r="I241" s="46">
        <f>MAX(_xlfn.XLOOKUP(练度预期!O241,秘宝养成!$B$3:$B$15,秘宝养成!$E$3:$E$15),1)</f>
        <v>2.7915904</v>
      </c>
      <c r="J241" s="104">
        <f ca="1" t="shared" si="70"/>
        <v>73678466.0739991</v>
      </c>
      <c r="K241" s="104">
        <f ca="1">MATCH(J241,关卡预期!$E$4:$E$303,1)</f>
        <v>185</v>
      </c>
      <c r="L241" s="48">
        <f ca="1" t="shared" si="71"/>
        <v>0.784751990202082</v>
      </c>
      <c r="M241" s="48">
        <f ca="1" t="shared" si="72"/>
        <v>0.184629516227802</v>
      </c>
      <c r="N241" s="48">
        <f ca="1" t="shared" si="73"/>
        <v>0.0306184935701164</v>
      </c>
      <c r="O241" s="48">
        <f ca="1" t="shared" si="74"/>
        <v>0.0611904650424412</v>
      </c>
      <c r="P241" s="48">
        <f ca="1" t="shared" si="75"/>
        <v>0.412643390972716</v>
      </c>
      <c r="Q241" s="48">
        <f ca="1" t="shared" si="76"/>
        <v>0.401458422680554</v>
      </c>
      <c r="R241" s="48">
        <f ca="1" t="shared" si="77"/>
        <v>0.124707721304289</v>
      </c>
      <c r="S241" s="46">
        <f ca="1" t="shared" si="78"/>
        <v>0.784751990202082</v>
      </c>
      <c r="T241" s="46">
        <f ca="1" t="shared" si="79"/>
        <v>0.184629516227802</v>
      </c>
      <c r="U241" s="46">
        <f ca="1" t="shared" si="80"/>
        <v>0.0306184935701164</v>
      </c>
      <c r="V241" s="48">
        <f ca="1" t="shared" si="81"/>
        <v>0.503728498647356</v>
      </c>
      <c r="W241" s="48">
        <f ca="1" t="shared" si="82"/>
        <v>3.39693832474177</v>
      </c>
      <c r="X241" s="48">
        <f ca="1" t="shared" si="83"/>
        <v>3.30486209552337</v>
      </c>
      <c r="Y241" s="48">
        <f t="shared" si="84"/>
        <v>1.02661146926685</v>
      </c>
      <c r="Z241" s="105">
        <f ca="1" t="shared" si="85"/>
        <v>0.0611904650424412</v>
      </c>
      <c r="AA241" s="105">
        <f ca="1" t="shared" si="86"/>
        <v>0.412643390972716</v>
      </c>
      <c r="AB241" s="105">
        <f ca="1" t="shared" si="87"/>
        <v>0.401458422680554</v>
      </c>
      <c r="AC241" s="105">
        <f ca="1" t="shared" si="88"/>
        <v>0.124707721304289</v>
      </c>
      <c r="AD241" s="105">
        <f ca="1" t="shared" si="89"/>
        <v>0.784751990202082</v>
      </c>
      <c r="AE241" s="105">
        <f ca="1" t="shared" si="90"/>
        <v>0.184629516227802</v>
      </c>
      <c r="AF241" s="105">
        <f ca="1" t="shared" si="91"/>
        <v>0.0306184935701164</v>
      </c>
    </row>
    <row r="242" ht="16.5" spans="1:32">
      <c r="A242">
        <f ca="1" t="shared" si="69"/>
        <v>19866</v>
      </c>
      <c r="B242" s="2">
        <v>240</v>
      </c>
      <c r="C242" s="2">
        <f>_xlfn.XLOOKUP(练度预期!D242,装备养成!$B$3:$B$303,装备养成!$D$3:$D$303)*6</f>
        <v>15648</v>
      </c>
      <c r="D242" s="2" cm="1">
        <f ca="1" t="array" ref="D242">_xlfn.XLOOKUP(练度预期!E242&amp;"_"&amp;INT(练度预期!C242/10)*10+10,装备养成!$N$4:$N$219&amp;"_"&amp;装备养成!$K$4:$K$219,装备养成!$P$4:$P$219)*练度预期!F242+_xlfn.XLOOKUP(练度预期!E242-1&amp;"_"&amp;INT(练度预期!C242/10)*10+10,装备养成!$N$4:$N$219&amp;"_"&amp;装备养成!$K$4:$K$219,装备养成!$P$4:$P$219)*(6-练度预期!F242)</f>
        <v>3618</v>
      </c>
      <c r="E242" s="2">
        <f ca="1">练度预期!N242*4*练度预期!M242</f>
        <v>600</v>
      </c>
      <c r="F242" s="103">
        <f ca="1">INT(练度预期!D242/10)*0.02+1+_xlfn.XLOOKUP(练度预期!E242,装备养成!$U$3:$U$11,装备养成!$V$3:$V$11)*练度预期!F242+_xlfn.XLOOKUP(练度预期!E242-1,装备养成!$U$3:$U$11,装备养成!$V$3:$V$11)*(6-练度预期!F242)</f>
        <v>1.65488</v>
      </c>
      <c r="G242" s="48">
        <f ca="1">OFFSET(梦灵养成!$K$20,_xlfn.XLOOKUP(练度预期!H242,梦灵养成!$D$10:$D$28,梦灵养成!$H$10:$H$28),MATCH(OFFSET(梦灵养成!$C$33,B242,MATCH(练度预期!H242,梦灵养成!$D$33:$V$33,0)),梦灵养成!$L$20:$R$20,1))*(1+(OFFSET(梦灵养成!$C$33,B242,MATCH(练度预期!H242,梦灵养成!$D$33:$V$33,0))-1)*_xlfn.XLOOKUP(练度预期!H242,梦灵养成!$D$9:$D$28,梦灵养成!$G$9:$G$28))</f>
        <v>29.8725</v>
      </c>
      <c r="H242" s="46">
        <f ca="1">符文养成!AC243</f>
        <v>27.2935260670729</v>
      </c>
      <c r="I242" s="46">
        <f>MAX(_xlfn.XLOOKUP(练度预期!O242,秘宝养成!$B$3:$B$15,秘宝养成!$E$3:$E$15),1)</f>
        <v>2.7915904</v>
      </c>
      <c r="J242" s="104">
        <f ca="1" t="shared" si="70"/>
        <v>74827261.3501762</v>
      </c>
      <c r="K242" s="104">
        <f ca="1">MATCH(J242,关卡预期!$E$4:$E$303,1)</f>
        <v>185</v>
      </c>
      <c r="L242" s="48">
        <f ca="1" t="shared" si="71"/>
        <v>0.78767743884023</v>
      </c>
      <c r="M242" s="48">
        <f ca="1" t="shared" si="72"/>
        <v>0.182120205376019</v>
      </c>
      <c r="N242" s="48">
        <f ca="1" t="shared" si="73"/>
        <v>0.030202355783751</v>
      </c>
      <c r="O242" s="48">
        <f ca="1" t="shared" si="74"/>
        <v>0.0611771816892667</v>
      </c>
      <c r="P242" s="48">
        <f ca="1" t="shared" si="75"/>
        <v>0.412553813488812</v>
      </c>
      <c r="Q242" s="48">
        <f ca="1" t="shared" si="76"/>
        <v>0.40158835532865</v>
      </c>
      <c r="R242" s="48">
        <f ca="1" t="shared" si="77"/>
        <v>0.124680649493272</v>
      </c>
      <c r="S242" s="46">
        <f ca="1" t="shared" si="78"/>
        <v>0.787677438840229</v>
      </c>
      <c r="T242" s="46">
        <f ca="1" t="shared" si="79"/>
        <v>0.182120205376019</v>
      </c>
      <c r="U242" s="46">
        <f ca="1" t="shared" si="80"/>
        <v>0.030202355783751</v>
      </c>
      <c r="V242" s="48">
        <f ca="1" t="shared" si="81"/>
        <v>0.503728498647356</v>
      </c>
      <c r="W242" s="48">
        <f ca="1" t="shared" si="82"/>
        <v>3.39693832474177</v>
      </c>
      <c r="X242" s="48">
        <f ca="1" t="shared" si="83"/>
        <v>3.30664953366842</v>
      </c>
      <c r="Y242" s="48">
        <f t="shared" si="84"/>
        <v>1.02661146926685</v>
      </c>
      <c r="Z242" s="105">
        <f ca="1" t="shared" si="85"/>
        <v>0.0611771816892667</v>
      </c>
      <c r="AA242" s="105">
        <f ca="1" t="shared" si="86"/>
        <v>0.412553813488812</v>
      </c>
      <c r="AB242" s="105">
        <f ca="1" t="shared" si="87"/>
        <v>0.40158835532865</v>
      </c>
      <c r="AC242" s="105">
        <f ca="1" t="shared" si="88"/>
        <v>0.124680649493272</v>
      </c>
      <c r="AD242" s="105">
        <f ca="1" t="shared" si="89"/>
        <v>0.78767743884023</v>
      </c>
      <c r="AE242" s="105">
        <f ca="1" t="shared" si="90"/>
        <v>0.182120205376019</v>
      </c>
      <c r="AF242" s="105">
        <f ca="1" t="shared" si="91"/>
        <v>0.0302023557837511</v>
      </c>
    </row>
    <row r="243" ht="16.5" spans="1:32">
      <c r="A243">
        <f ca="1" t="shared" si="69"/>
        <v>19866</v>
      </c>
      <c r="B243" s="2">
        <v>241</v>
      </c>
      <c r="C243" s="2">
        <f>_xlfn.XLOOKUP(练度预期!D243,装备养成!$B$3:$B$303,装备养成!$D$3:$D$303)*6</f>
        <v>15648</v>
      </c>
      <c r="D243" s="2" cm="1">
        <f ca="1" t="array" ref="D243">_xlfn.XLOOKUP(练度预期!E243&amp;"_"&amp;INT(练度预期!C243/10)*10+10,装备养成!$N$4:$N$219&amp;"_"&amp;装备养成!$K$4:$K$219,装备养成!$P$4:$P$219)*练度预期!F243+_xlfn.XLOOKUP(练度预期!E243-1&amp;"_"&amp;INT(练度预期!C243/10)*10+10,装备养成!$N$4:$N$219&amp;"_"&amp;装备养成!$K$4:$K$219,装备养成!$P$4:$P$219)*(6-练度预期!F243)</f>
        <v>3618</v>
      </c>
      <c r="E243" s="2">
        <f ca="1">练度预期!N243*4*练度预期!M243</f>
        <v>600</v>
      </c>
      <c r="F243" s="103">
        <f ca="1">INT(练度预期!D243/10)*0.02+1+_xlfn.XLOOKUP(练度预期!E243,装备养成!$U$3:$U$11,装备养成!$V$3:$V$11)*练度预期!F243+_xlfn.XLOOKUP(练度预期!E243-1,装备养成!$U$3:$U$11,装备养成!$V$3:$V$11)*(6-练度预期!F243)</f>
        <v>1.65488</v>
      </c>
      <c r="G243" s="48">
        <f ca="1">OFFSET(梦灵养成!$K$20,_xlfn.XLOOKUP(练度预期!H243,梦灵养成!$D$10:$D$28,梦灵养成!$H$10:$H$28),MATCH(OFFSET(梦灵养成!$C$33,B243,MATCH(练度预期!H243,梦灵养成!$D$33:$V$33,0)),梦灵养成!$L$20:$R$20,1))*(1+(OFFSET(梦灵养成!$C$33,B243,MATCH(练度预期!H243,梦灵养成!$D$33:$V$33,0))-1)*_xlfn.XLOOKUP(练度预期!H243,梦灵养成!$D$9:$D$28,梦灵养成!$G$9:$G$28))</f>
        <v>29.8725</v>
      </c>
      <c r="H243" s="46">
        <f ca="1">符文养成!AC244</f>
        <v>27.3522391448498</v>
      </c>
      <c r="I243" s="46">
        <f>MAX(_xlfn.XLOOKUP(练度预期!O243,秘宝养成!$B$3:$B$15,秘宝养成!$E$3:$E$15),1)</f>
        <v>2.7915904</v>
      </c>
      <c r="J243" s="104">
        <f ca="1" t="shared" si="70"/>
        <v>74988227.6835365</v>
      </c>
      <c r="K243" s="104">
        <f ca="1">MATCH(J243,关卡预期!$E$4:$E$303,1)</f>
        <v>185</v>
      </c>
      <c r="L243" s="48">
        <f ca="1" t="shared" si="71"/>
        <v>0.78767743884023</v>
      </c>
      <c r="M243" s="48">
        <f ca="1" t="shared" si="72"/>
        <v>0.182120205376019</v>
      </c>
      <c r="N243" s="48">
        <f ca="1" t="shared" si="73"/>
        <v>0.0302023557837512</v>
      </c>
      <c r="O243" s="48">
        <f ca="1" t="shared" si="74"/>
        <v>0.0611612200466686</v>
      </c>
      <c r="P243" s="48">
        <f ca="1" t="shared" si="75"/>
        <v>0.412446174719886</v>
      </c>
      <c r="Q243" s="48">
        <f ca="1" t="shared" si="76"/>
        <v>0.401744485973035</v>
      </c>
      <c r="R243" s="48">
        <f ca="1" t="shared" si="77"/>
        <v>0.124648119260411</v>
      </c>
      <c r="S243" s="46">
        <f ca="1" t="shared" si="78"/>
        <v>0.78767743884023</v>
      </c>
      <c r="T243" s="46">
        <f ca="1" t="shared" si="79"/>
        <v>0.182120205376019</v>
      </c>
      <c r="U243" s="46">
        <f ca="1" t="shared" si="80"/>
        <v>0.0302023557837512</v>
      </c>
      <c r="V243" s="48">
        <f ca="1" t="shared" si="81"/>
        <v>0.503728498647356</v>
      </c>
      <c r="W243" s="48">
        <f ca="1" t="shared" si="82"/>
        <v>3.39693832474177</v>
      </c>
      <c r="X243" s="48">
        <f ca="1" t="shared" si="83"/>
        <v>3.30879839552962</v>
      </c>
      <c r="Y243" s="48">
        <f t="shared" si="84"/>
        <v>1.02661146926685</v>
      </c>
      <c r="Z243" s="105">
        <f ca="1" t="shared" si="85"/>
        <v>0.0611612200466686</v>
      </c>
      <c r="AA243" s="105">
        <f ca="1" t="shared" si="86"/>
        <v>0.412446174719886</v>
      </c>
      <c r="AB243" s="105">
        <f ca="1" t="shared" si="87"/>
        <v>0.401744485973035</v>
      </c>
      <c r="AC243" s="105">
        <f ca="1" t="shared" si="88"/>
        <v>0.124648119260411</v>
      </c>
      <c r="AD243" s="105">
        <f ca="1" t="shared" si="89"/>
        <v>0.78767743884023</v>
      </c>
      <c r="AE243" s="105">
        <f ca="1" t="shared" si="90"/>
        <v>0.182120205376019</v>
      </c>
      <c r="AF243" s="105">
        <f ca="1" t="shared" si="91"/>
        <v>0.0302023557837511</v>
      </c>
    </row>
    <row r="244" ht="16.5" spans="1:32">
      <c r="A244">
        <f ca="1" t="shared" si="69"/>
        <v>19866</v>
      </c>
      <c r="B244" s="2">
        <v>242</v>
      </c>
      <c r="C244" s="2">
        <f>_xlfn.XLOOKUP(练度预期!D244,装备养成!$B$3:$B$303,装备养成!$D$3:$D$303)*6</f>
        <v>15648</v>
      </c>
      <c r="D244" s="2" cm="1">
        <f ca="1" t="array" ref="D244">_xlfn.XLOOKUP(练度预期!E244&amp;"_"&amp;INT(练度预期!C244/10)*10+10,装备养成!$N$4:$N$219&amp;"_"&amp;装备养成!$K$4:$K$219,装备养成!$P$4:$P$219)*练度预期!F244+_xlfn.XLOOKUP(练度预期!E244-1&amp;"_"&amp;INT(练度预期!C244/10)*10+10,装备养成!$N$4:$N$219&amp;"_"&amp;装备养成!$K$4:$K$219,装备养成!$P$4:$P$219)*(6-练度预期!F244)</f>
        <v>3618</v>
      </c>
      <c r="E244" s="2">
        <f ca="1">练度预期!N244*4*练度预期!M244</f>
        <v>600</v>
      </c>
      <c r="F244" s="103">
        <f ca="1">INT(练度预期!D244/10)*0.02+1+_xlfn.XLOOKUP(练度预期!E244,装备养成!$U$3:$U$11,装备养成!$V$3:$V$11)*练度预期!F244+_xlfn.XLOOKUP(练度预期!E244-1,装备养成!$U$3:$U$11,装备养成!$V$3:$V$11)*(6-练度预期!F244)</f>
        <v>1.65488</v>
      </c>
      <c r="G244" s="48">
        <f ca="1">OFFSET(梦灵养成!$K$20,_xlfn.XLOOKUP(练度预期!H244,梦灵养成!$D$10:$D$28,梦灵养成!$H$10:$H$28),MATCH(OFFSET(梦灵养成!$C$33,B244,MATCH(练度预期!H244,梦灵养成!$D$33:$V$33,0)),梦灵养成!$L$20:$R$20,1))*(1+(OFFSET(梦灵养成!$C$33,B244,MATCH(练度预期!H244,梦灵养成!$D$33:$V$33,0))-1)*_xlfn.XLOOKUP(练度预期!H244,梦灵养成!$D$9:$D$28,梦灵养成!$G$9:$G$28))</f>
        <v>29.8725</v>
      </c>
      <c r="H244" s="46">
        <f ca="1">符文养成!AC245</f>
        <v>27.4100382610006</v>
      </c>
      <c r="I244" s="46">
        <f>MAX(_xlfn.XLOOKUP(练度预期!O244,秘宝养成!$B$3:$B$15,秘宝养成!$E$3:$E$15),1)</f>
        <v>2.7915904</v>
      </c>
      <c r="J244" s="104">
        <f ca="1" t="shared" si="70"/>
        <v>75146688.3221287</v>
      </c>
      <c r="K244" s="104">
        <f ca="1">MATCH(J244,关卡预期!$E$4:$E$303,1)</f>
        <v>185</v>
      </c>
      <c r="L244" s="48">
        <f ca="1" t="shared" si="71"/>
        <v>0.78767743884023</v>
      </c>
      <c r="M244" s="48">
        <f ca="1" t="shared" si="72"/>
        <v>0.182120205376019</v>
      </c>
      <c r="N244" s="48">
        <f ca="1" t="shared" si="73"/>
        <v>0.0302023557837512</v>
      </c>
      <c r="O244" s="48">
        <f ca="1" t="shared" si="74"/>
        <v>0.0611455484113822</v>
      </c>
      <c r="P244" s="48">
        <f ca="1" t="shared" si="75"/>
        <v>0.412340491641286</v>
      </c>
      <c r="Q244" s="48">
        <f ca="1" t="shared" si="76"/>
        <v>0.401897779877517</v>
      </c>
      <c r="R244" s="48">
        <f ca="1" t="shared" si="77"/>
        <v>0.124616180069815</v>
      </c>
      <c r="S244" s="46">
        <f ca="1" t="shared" si="78"/>
        <v>0.78767743884023</v>
      </c>
      <c r="T244" s="46">
        <f ca="1" t="shared" si="79"/>
        <v>0.182120205376019</v>
      </c>
      <c r="U244" s="46">
        <f ca="1" t="shared" si="80"/>
        <v>0.0302023557837512</v>
      </c>
      <c r="V244" s="48">
        <f ca="1" t="shared" si="81"/>
        <v>0.503728498647356</v>
      </c>
      <c r="W244" s="48">
        <f ca="1" t="shared" si="82"/>
        <v>3.39693832474177</v>
      </c>
      <c r="X244" s="48">
        <f ca="1" t="shared" si="83"/>
        <v>3.31090930619116</v>
      </c>
      <c r="Y244" s="48">
        <f t="shared" si="84"/>
        <v>1.02661146926685</v>
      </c>
      <c r="Z244" s="105">
        <f ca="1" t="shared" si="85"/>
        <v>0.0611455484113822</v>
      </c>
      <c r="AA244" s="105">
        <f ca="1" t="shared" si="86"/>
        <v>0.412340491641286</v>
      </c>
      <c r="AB244" s="105">
        <f ca="1" t="shared" si="87"/>
        <v>0.401897779877517</v>
      </c>
      <c r="AC244" s="105">
        <f ca="1" t="shared" si="88"/>
        <v>0.124616180069815</v>
      </c>
      <c r="AD244" s="105">
        <f ca="1" t="shared" si="89"/>
        <v>0.78767743884023</v>
      </c>
      <c r="AE244" s="105">
        <f ca="1" t="shared" si="90"/>
        <v>0.182120205376019</v>
      </c>
      <c r="AF244" s="105">
        <f ca="1" t="shared" si="91"/>
        <v>0.0302023557837511</v>
      </c>
    </row>
    <row r="245" ht="16.5" spans="1:32">
      <c r="A245">
        <f ca="1" t="shared" si="69"/>
        <v>19866</v>
      </c>
      <c r="B245" s="2">
        <v>243</v>
      </c>
      <c r="C245" s="2">
        <f>_xlfn.XLOOKUP(练度预期!D245,装备养成!$B$3:$B$303,装备养成!$D$3:$D$303)*6</f>
        <v>15648</v>
      </c>
      <c r="D245" s="2" cm="1">
        <f ca="1" t="array" ref="D245">_xlfn.XLOOKUP(练度预期!E245&amp;"_"&amp;INT(练度预期!C245/10)*10+10,装备养成!$N$4:$N$219&amp;"_"&amp;装备养成!$K$4:$K$219,装备养成!$P$4:$P$219)*练度预期!F245+_xlfn.XLOOKUP(练度预期!E245-1&amp;"_"&amp;INT(练度预期!C245/10)*10+10,装备养成!$N$4:$N$219&amp;"_"&amp;装备养成!$K$4:$K$219,装备养成!$P$4:$P$219)*(6-练度预期!F245)</f>
        <v>3618</v>
      </c>
      <c r="E245" s="2">
        <f ca="1">练度预期!N245*4*练度预期!M245</f>
        <v>600</v>
      </c>
      <c r="F245" s="103">
        <f ca="1">INT(练度预期!D245/10)*0.02+1+_xlfn.XLOOKUP(练度预期!E245,装备养成!$U$3:$U$11,装备养成!$V$3:$V$11)*练度预期!F245+_xlfn.XLOOKUP(练度预期!E245-1,装备养成!$U$3:$U$11,装备养成!$V$3:$V$11)*(6-练度预期!F245)</f>
        <v>1.65488</v>
      </c>
      <c r="G245" s="48">
        <f ca="1">OFFSET(梦灵养成!$K$20,_xlfn.XLOOKUP(练度预期!H245,梦灵养成!$D$10:$D$28,梦灵养成!$H$10:$H$28),MATCH(OFFSET(梦灵养成!$C$33,B245,MATCH(练度预期!H245,梦灵养成!$D$33:$V$33,0)),梦灵养成!$L$20:$R$20,1))*(1+(OFFSET(梦灵养成!$C$33,B245,MATCH(练度预期!H245,梦灵养成!$D$33:$V$33,0))-1)*_xlfn.XLOOKUP(练度预期!H245,梦灵养成!$D$9:$D$28,梦灵养成!$G$9:$G$28))</f>
        <v>29.8725</v>
      </c>
      <c r="H245" s="46">
        <f ca="1">符文养成!AC246</f>
        <v>27.4601012814799</v>
      </c>
      <c r="I245" s="46">
        <f>MAX(_xlfn.XLOOKUP(练度预期!O245,秘宝养成!$B$3:$B$15,秘宝养成!$E$3:$E$15),1)</f>
        <v>2.7915904</v>
      </c>
      <c r="J245" s="104">
        <f ca="1" t="shared" si="70"/>
        <v>75283939.8706526</v>
      </c>
      <c r="K245" s="104">
        <f ca="1">MATCH(J245,关卡预期!$E$4:$E$303,1)</f>
        <v>185</v>
      </c>
      <c r="L245" s="48">
        <f ca="1" t="shared" si="71"/>
        <v>0.787677438840229</v>
      </c>
      <c r="M245" s="48">
        <f ca="1" t="shared" si="72"/>
        <v>0.182120205376019</v>
      </c>
      <c r="N245" s="48">
        <f ca="1" t="shared" si="73"/>
        <v>0.0302023557837513</v>
      </c>
      <c r="O245" s="48">
        <f ca="1" t="shared" si="74"/>
        <v>0.0611320074942486</v>
      </c>
      <c r="P245" s="48">
        <f ca="1" t="shared" si="75"/>
        <v>0.412249177251715</v>
      </c>
      <c r="Q245" s="48">
        <f ca="1" t="shared" si="76"/>
        <v>0.402030231917127</v>
      </c>
      <c r="R245" s="48">
        <f ca="1" t="shared" si="77"/>
        <v>0.12458858333691</v>
      </c>
      <c r="S245" s="46">
        <f ca="1" t="shared" si="78"/>
        <v>0.78767743884023</v>
      </c>
      <c r="T245" s="46">
        <f ca="1" t="shared" si="79"/>
        <v>0.182120205376019</v>
      </c>
      <c r="U245" s="46">
        <f ca="1" t="shared" si="80"/>
        <v>0.0302023557837513</v>
      </c>
      <c r="V245" s="48">
        <f ca="1" t="shared" si="81"/>
        <v>0.503728498647356</v>
      </c>
      <c r="W245" s="48">
        <f ca="1" t="shared" si="82"/>
        <v>3.39693832474177</v>
      </c>
      <c r="X245" s="48">
        <f ca="1" t="shared" si="83"/>
        <v>3.31273408866077</v>
      </c>
      <c r="Y245" s="48">
        <f t="shared" si="84"/>
        <v>1.02661146926685</v>
      </c>
      <c r="Z245" s="105">
        <f ca="1" t="shared" si="85"/>
        <v>0.0611320074942486</v>
      </c>
      <c r="AA245" s="105">
        <f ca="1" t="shared" si="86"/>
        <v>0.412249177251715</v>
      </c>
      <c r="AB245" s="105">
        <f ca="1" t="shared" si="87"/>
        <v>0.402030231917127</v>
      </c>
      <c r="AC245" s="105">
        <f ca="1" t="shared" si="88"/>
        <v>0.12458858333691</v>
      </c>
      <c r="AD245" s="105">
        <f ca="1" t="shared" si="89"/>
        <v>0.78767743884023</v>
      </c>
      <c r="AE245" s="105">
        <f ca="1" t="shared" si="90"/>
        <v>0.182120205376019</v>
      </c>
      <c r="AF245" s="105">
        <f ca="1" t="shared" si="91"/>
        <v>0.0302023557837511</v>
      </c>
    </row>
    <row r="246" ht="16.5" spans="1:32">
      <c r="A246">
        <f ca="1" t="shared" si="69"/>
        <v>19866</v>
      </c>
      <c r="B246" s="2">
        <v>244</v>
      </c>
      <c r="C246" s="2">
        <f>_xlfn.XLOOKUP(练度预期!D246,装备养成!$B$3:$B$303,装备养成!$D$3:$D$303)*6</f>
        <v>15648</v>
      </c>
      <c r="D246" s="2" cm="1">
        <f ca="1" t="array" ref="D246">_xlfn.XLOOKUP(练度预期!E246&amp;"_"&amp;INT(练度预期!C246/10)*10+10,装备养成!$N$4:$N$219&amp;"_"&amp;装备养成!$K$4:$K$219,装备养成!$P$4:$P$219)*练度预期!F246+_xlfn.XLOOKUP(练度预期!E246-1&amp;"_"&amp;INT(练度预期!C246/10)*10+10,装备养成!$N$4:$N$219&amp;"_"&amp;装备养成!$K$4:$K$219,装备养成!$P$4:$P$219)*(6-练度预期!F246)</f>
        <v>3618</v>
      </c>
      <c r="E246" s="2">
        <f ca="1">练度预期!N246*4*练度预期!M246</f>
        <v>600</v>
      </c>
      <c r="F246" s="103">
        <f ca="1">INT(练度预期!D246/10)*0.02+1+_xlfn.XLOOKUP(练度预期!E246,装备养成!$U$3:$U$11,装备养成!$V$3:$V$11)*练度预期!F246+_xlfn.XLOOKUP(练度预期!E246-1,装备养成!$U$3:$U$11,装备养成!$V$3:$V$11)*(6-练度预期!F246)</f>
        <v>1.65488</v>
      </c>
      <c r="G246" s="48">
        <f ca="1">OFFSET(梦灵养成!$K$20,_xlfn.XLOOKUP(练度预期!H246,梦灵养成!$D$10:$D$28,梦灵养成!$H$10:$H$28),MATCH(OFFSET(梦灵养成!$C$33,B246,MATCH(练度预期!H246,梦灵养成!$D$33:$V$33,0)),梦灵养成!$L$20:$R$20,1))*(1+(OFFSET(梦灵养成!$C$33,B246,MATCH(练度预期!H246,梦灵养成!$D$33:$V$33,0))-1)*_xlfn.XLOOKUP(练度预期!H246,梦灵养成!$D$9:$D$28,梦灵养成!$G$9:$G$28))</f>
        <v>29.8725</v>
      </c>
      <c r="H246" s="46">
        <f ca="1">符文养成!AC247</f>
        <v>27.5181193579535</v>
      </c>
      <c r="I246" s="46">
        <f>MAX(_xlfn.XLOOKUP(练度预期!O246,秘宝养成!$B$3:$B$15,秘宝养成!$E$3:$E$15),1)</f>
        <v>2.7915904</v>
      </c>
      <c r="J246" s="104">
        <f ca="1" t="shared" si="70"/>
        <v>75443000.8054932</v>
      </c>
      <c r="K246" s="104">
        <f ca="1">MATCH(J246,关卡预期!$E$4:$E$303,1)</f>
        <v>185</v>
      </c>
      <c r="L246" s="48">
        <f ca="1" t="shared" si="71"/>
        <v>0.78767743884023</v>
      </c>
      <c r="M246" s="48">
        <f ca="1" t="shared" si="72"/>
        <v>0.182120205376019</v>
      </c>
      <c r="N246" s="48">
        <f ca="1" t="shared" si="73"/>
        <v>0.030202355783751</v>
      </c>
      <c r="O246" s="48">
        <f ca="1" t="shared" si="74"/>
        <v>0.0611163532404281</v>
      </c>
      <c r="P246" s="48">
        <f ca="1" t="shared" si="75"/>
        <v>0.412143611386589</v>
      </c>
      <c r="Q246" s="48">
        <f ca="1" t="shared" si="76"/>
        <v>0.402183355802801</v>
      </c>
      <c r="R246" s="48">
        <f ca="1" t="shared" si="77"/>
        <v>0.124556679570182</v>
      </c>
      <c r="S246" s="46">
        <f ca="1" t="shared" si="78"/>
        <v>0.78767743884023</v>
      </c>
      <c r="T246" s="46">
        <f ca="1" t="shared" si="79"/>
        <v>0.182120205376019</v>
      </c>
      <c r="U246" s="46">
        <f ca="1" t="shared" si="80"/>
        <v>0.030202355783751</v>
      </c>
      <c r="V246" s="48">
        <f ca="1" t="shared" si="81"/>
        <v>0.503728498647356</v>
      </c>
      <c r="W246" s="48">
        <f ca="1" t="shared" si="82"/>
        <v>3.39693832474177</v>
      </c>
      <c r="X246" s="48">
        <f ca="1" t="shared" si="83"/>
        <v>3.31484467344638</v>
      </c>
      <c r="Y246" s="48">
        <f t="shared" si="84"/>
        <v>1.02661146926685</v>
      </c>
      <c r="Z246" s="105">
        <f ca="1" t="shared" si="85"/>
        <v>0.0611163532404281</v>
      </c>
      <c r="AA246" s="105">
        <f ca="1" t="shared" si="86"/>
        <v>0.412143611386589</v>
      </c>
      <c r="AB246" s="105">
        <f ca="1" t="shared" si="87"/>
        <v>0.402183355802801</v>
      </c>
      <c r="AC246" s="105">
        <f ca="1" t="shared" si="88"/>
        <v>0.124556679570182</v>
      </c>
      <c r="AD246" s="105">
        <f ca="1" t="shared" si="89"/>
        <v>0.78767743884023</v>
      </c>
      <c r="AE246" s="105">
        <f ca="1" t="shared" si="90"/>
        <v>0.182120205376019</v>
      </c>
      <c r="AF246" s="105">
        <f ca="1" t="shared" si="91"/>
        <v>0.0302023557837511</v>
      </c>
    </row>
    <row r="247" ht="16.5" spans="1:32">
      <c r="A247">
        <f ca="1" t="shared" si="69"/>
        <v>20166</v>
      </c>
      <c r="B247" s="2">
        <v>245</v>
      </c>
      <c r="C247" s="2">
        <f>_xlfn.XLOOKUP(练度预期!D247,装备养成!$B$3:$B$303,装备养成!$D$3:$D$303)*6</f>
        <v>15948</v>
      </c>
      <c r="D247" s="2" cm="1">
        <f ca="1" t="array" ref="D247">_xlfn.XLOOKUP(练度预期!E247&amp;"_"&amp;INT(练度预期!C247/10)*10+10,装备养成!$N$4:$N$219&amp;"_"&amp;装备养成!$K$4:$K$219,装备养成!$P$4:$P$219)*练度预期!F247+_xlfn.XLOOKUP(练度预期!E247-1&amp;"_"&amp;INT(练度预期!C247/10)*10+10,装备养成!$N$4:$N$219&amp;"_"&amp;装备养成!$K$4:$K$219,装备养成!$P$4:$P$219)*(6-练度预期!F247)</f>
        <v>3618</v>
      </c>
      <c r="E247" s="2">
        <f ca="1">练度预期!N247*4*练度预期!M247</f>
        <v>600</v>
      </c>
      <c r="F247" s="103">
        <f ca="1">INT(练度预期!D247/10)*0.02+1+_xlfn.XLOOKUP(练度预期!E247,装备养成!$U$3:$U$11,装备养成!$V$3:$V$11)*练度预期!F247+_xlfn.XLOOKUP(练度预期!E247-1,装备养成!$U$3:$U$11,装备养成!$V$3:$V$11)*(6-练度预期!F247)</f>
        <v>1.65488</v>
      </c>
      <c r="G247" s="48">
        <f ca="1">OFFSET(梦灵养成!$K$20,_xlfn.XLOOKUP(练度预期!H247,梦灵养成!$D$10:$D$28,梦灵养成!$H$10:$H$28),MATCH(OFFSET(梦灵养成!$C$33,B247,MATCH(练度预期!H247,梦灵养成!$D$33:$V$33,0)),梦灵养成!$L$20:$R$20,1))*(1+(OFFSET(梦灵养成!$C$33,B247,MATCH(练度预期!H247,梦灵养成!$D$33:$V$33,0))-1)*_xlfn.XLOOKUP(练度预期!H247,梦灵养成!$D$9:$D$28,梦灵养成!$G$9:$G$28))</f>
        <v>29.8725</v>
      </c>
      <c r="H247" s="46">
        <f ca="1">符文养成!AC248</f>
        <v>27.5683720101913</v>
      </c>
      <c r="I247" s="46">
        <f>MAX(_xlfn.XLOOKUP(练度预期!O247,秘宝养成!$B$3:$B$15,秘宝养成!$E$3:$E$15),1)</f>
        <v>2.7915904</v>
      </c>
      <c r="J247" s="104">
        <f ca="1" t="shared" si="70"/>
        <v>76722130.930652</v>
      </c>
      <c r="K247" s="104">
        <f ca="1">MATCH(J247,关卡预期!$E$4:$E$303,1)</f>
        <v>185</v>
      </c>
      <c r="L247" s="48">
        <f ca="1" t="shared" si="71"/>
        <v>0.790836060696221</v>
      </c>
      <c r="M247" s="48">
        <f ca="1" t="shared" si="72"/>
        <v>0.179410889616186</v>
      </c>
      <c r="N247" s="48">
        <f ca="1" t="shared" si="73"/>
        <v>0.0297530496875929</v>
      </c>
      <c r="O247" s="48">
        <f ca="1" t="shared" si="74"/>
        <v>0.0611028273392804</v>
      </c>
      <c r="P247" s="48">
        <f ca="1" t="shared" si="75"/>
        <v>0.412052398258667</v>
      </c>
      <c r="Q247" s="48">
        <f ca="1" t="shared" si="76"/>
        <v>0.402315660961815</v>
      </c>
      <c r="R247" s="48">
        <f ca="1" t="shared" si="77"/>
        <v>0.124529113440238</v>
      </c>
      <c r="S247" s="46">
        <f ca="1" t="shared" si="78"/>
        <v>0.790836060696221</v>
      </c>
      <c r="T247" s="46">
        <f ca="1" t="shared" si="79"/>
        <v>0.179410889616186</v>
      </c>
      <c r="U247" s="46">
        <f ca="1" t="shared" si="80"/>
        <v>0.0297530496875928</v>
      </c>
      <c r="V247" s="48">
        <f ca="1" t="shared" si="81"/>
        <v>0.503728498647356</v>
      </c>
      <c r="W247" s="48">
        <f ca="1" t="shared" si="82"/>
        <v>3.39693832474177</v>
      </c>
      <c r="X247" s="48">
        <f ca="1" t="shared" si="83"/>
        <v>3.31666917397018</v>
      </c>
      <c r="Y247" s="48">
        <f t="shared" si="84"/>
        <v>1.02661146926685</v>
      </c>
      <c r="Z247" s="105">
        <f ca="1" t="shared" si="85"/>
        <v>0.0611028273392804</v>
      </c>
      <c r="AA247" s="105">
        <f ca="1" t="shared" si="86"/>
        <v>0.412052398258667</v>
      </c>
      <c r="AB247" s="105">
        <f ca="1" t="shared" si="87"/>
        <v>0.402315660961815</v>
      </c>
      <c r="AC247" s="105">
        <f ca="1" t="shared" si="88"/>
        <v>0.124529113440238</v>
      </c>
      <c r="AD247" s="105">
        <f ca="1" t="shared" si="89"/>
        <v>0.790836060696221</v>
      </c>
      <c r="AE247" s="105">
        <f ca="1" t="shared" si="90"/>
        <v>0.179410889616186</v>
      </c>
      <c r="AF247" s="105">
        <f ca="1" t="shared" si="91"/>
        <v>0.029753049687593</v>
      </c>
    </row>
    <row r="248" ht="16.5" spans="1:32">
      <c r="A248">
        <f ca="1" t="shared" si="69"/>
        <v>20166</v>
      </c>
      <c r="B248" s="2">
        <v>246</v>
      </c>
      <c r="C248" s="2">
        <f>_xlfn.XLOOKUP(练度预期!D248,装备养成!$B$3:$B$303,装备养成!$D$3:$D$303)*6</f>
        <v>15948</v>
      </c>
      <c r="D248" s="2" cm="1">
        <f ca="1" t="array" ref="D248">_xlfn.XLOOKUP(练度预期!E248&amp;"_"&amp;INT(练度预期!C248/10)*10+10,装备养成!$N$4:$N$219&amp;"_"&amp;装备养成!$K$4:$K$219,装备养成!$P$4:$P$219)*练度预期!F248+_xlfn.XLOOKUP(练度预期!E248-1&amp;"_"&amp;INT(练度预期!C248/10)*10+10,装备养成!$N$4:$N$219&amp;"_"&amp;装备养成!$K$4:$K$219,装备养成!$P$4:$P$219)*(6-练度预期!F248)</f>
        <v>3618</v>
      </c>
      <c r="E248" s="2">
        <f ca="1">练度预期!N248*4*练度预期!M248</f>
        <v>600</v>
      </c>
      <c r="F248" s="103">
        <f ca="1">INT(练度预期!D248/10)*0.02+1+_xlfn.XLOOKUP(练度预期!E248,装备养成!$U$3:$U$11,装备养成!$V$3:$V$11)*练度预期!F248+_xlfn.XLOOKUP(练度预期!E248-1,装备养成!$U$3:$U$11,装备养成!$V$3:$V$11)*(6-练度预期!F248)</f>
        <v>1.65488</v>
      </c>
      <c r="G248" s="48">
        <f ca="1">OFFSET(梦灵养成!$K$20,_xlfn.XLOOKUP(练度预期!H248,梦灵养成!$D$10:$D$28,梦灵养成!$H$10:$H$28),MATCH(OFFSET(梦灵养成!$C$33,B248,MATCH(练度预期!H248,梦灵养成!$D$33:$V$33,0)),梦灵养成!$L$20:$R$20,1))*(1+(OFFSET(梦灵养成!$C$33,B248,MATCH(练度预期!H248,梦灵养成!$D$33:$V$33,0))-1)*_xlfn.XLOOKUP(练度预期!H248,梦灵养成!$D$9:$D$28,梦灵养成!$G$9:$G$28))</f>
        <v>29.8725</v>
      </c>
      <c r="H248" s="46">
        <f ca="1">符文养成!AC249</f>
        <v>27.6218117620804</v>
      </c>
      <c r="I248" s="46">
        <f>MAX(_xlfn.XLOOKUP(练度预期!O248,秘宝养成!$B$3:$B$15,秘宝养成!$E$3:$E$15),1)</f>
        <v>2.7915904</v>
      </c>
      <c r="J248" s="104">
        <f ca="1" t="shared" si="70"/>
        <v>76870852.5033231</v>
      </c>
      <c r="K248" s="104">
        <f ca="1">MATCH(J248,关卡预期!$E$4:$E$303,1)</f>
        <v>186</v>
      </c>
      <c r="L248" s="48">
        <f ca="1" t="shared" si="71"/>
        <v>0.790836060696221</v>
      </c>
      <c r="M248" s="48">
        <f ca="1" t="shared" si="72"/>
        <v>0.179410889616186</v>
      </c>
      <c r="N248" s="48">
        <f ca="1" t="shared" si="73"/>
        <v>0.0297530496875931</v>
      </c>
      <c r="O248" s="48">
        <f ca="1" t="shared" si="74"/>
        <v>0.0610884771771507</v>
      </c>
      <c r="P248" s="48">
        <f ca="1" t="shared" si="75"/>
        <v>0.41195562665286</v>
      </c>
      <c r="Q248" s="48">
        <f ca="1" t="shared" si="76"/>
        <v>0.402456028724504</v>
      </c>
      <c r="R248" s="48">
        <f ca="1" t="shared" si="77"/>
        <v>0.124499867445485</v>
      </c>
      <c r="S248" s="46">
        <f ca="1" t="shared" si="78"/>
        <v>0.790836060696221</v>
      </c>
      <c r="T248" s="46">
        <f ca="1" t="shared" si="79"/>
        <v>0.179410889616186</v>
      </c>
      <c r="U248" s="46">
        <f ca="1" t="shared" si="80"/>
        <v>0.0297530496875931</v>
      </c>
      <c r="V248" s="48">
        <f ca="1" t="shared" si="81"/>
        <v>0.503728498647356</v>
      </c>
      <c r="W248" s="48">
        <f ca="1" t="shared" si="82"/>
        <v>3.39693832474177</v>
      </c>
      <c r="X248" s="48">
        <f ca="1" t="shared" si="83"/>
        <v>3.31860574185011</v>
      </c>
      <c r="Y248" s="48">
        <f t="shared" si="84"/>
        <v>1.02661146926685</v>
      </c>
      <c r="Z248" s="105">
        <f ca="1" t="shared" si="85"/>
        <v>0.0610884771771507</v>
      </c>
      <c r="AA248" s="105">
        <f ca="1" t="shared" si="86"/>
        <v>0.41195562665286</v>
      </c>
      <c r="AB248" s="105">
        <f ca="1" t="shared" si="87"/>
        <v>0.402456028724504</v>
      </c>
      <c r="AC248" s="105">
        <f ca="1" t="shared" si="88"/>
        <v>0.124499867445485</v>
      </c>
      <c r="AD248" s="105">
        <f ca="1" t="shared" si="89"/>
        <v>0.790836060696221</v>
      </c>
      <c r="AE248" s="105">
        <f ca="1" t="shared" si="90"/>
        <v>0.179410889616186</v>
      </c>
      <c r="AF248" s="105">
        <f ca="1" t="shared" si="91"/>
        <v>0.029753049687593</v>
      </c>
    </row>
    <row r="249" ht="16.5" spans="1:32">
      <c r="A249">
        <f ca="1" t="shared" si="69"/>
        <v>20166</v>
      </c>
      <c r="B249" s="2">
        <v>247</v>
      </c>
      <c r="C249" s="2">
        <f>_xlfn.XLOOKUP(练度预期!D249,装备养成!$B$3:$B$303,装备养成!$D$3:$D$303)*6</f>
        <v>15948</v>
      </c>
      <c r="D249" s="2" cm="1">
        <f ca="1" t="array" ref="D249">_xlfn.XLOOKUP(练度预期!E249&amp;"_"&amp;INT(练度预期!C249/10)*10+10,装备养成!$N$4:$N$219&amp;"_"&amp;装备养成!$K$4:$K$219,装备养成!$P$4:$P$219)*练度预期!F249+_xlfn.XLOOKUP(练度预期!E249-1&amp;"_"&amp;INT(练度预期!C249/10)*10+10,装备养成!$N$4:$N$219&amp;"_"&amp;装备养成!$K$4:$K$219,装备养成!$P$4:$P$219)*(6-练度预期!F249)</f>
        <v>3618</v>
      </c>
      <c r="E249" s="2">
        <f ca="1">练度预期!N249*4*练度预期!M249</f>
        <v>600</v>
      </c>
      <c r="F249" s="103">
        <f ca="1">INT(练度预期!D249/10)*0.02+1+_xlfn.XLOOKUP(练度预期!E249,装备养成!$U$3:$U$11,装备养成!$V$3:$V$11)*练度预期!F249+_xlfn.XLOOKUP(练度预期!E249-1,装备养成!$U$3:$U$11,装备养成!$V$3:$V$11)*(6-练度预期!F249)</f>
        <v>1.65488</v>
      </c>
      <c r="G249" s="48">
        <f ca="1">OFFSET(梦灵养成!$K$20,_xlfn.XLOOKUP(练度预期!H249,梦灵养成!$D$10:$D$28,梦灵养成!$H$10:$H$28),MATCH(OFFSET(梦灵养成!$C$33,B249,MATCH(练度预期!H249,梦灵养成!$D$33:$V$33,0)),梦灵养成!$L$20:$R$20,1))*(1+(OFFSET(梦灵养成!$C$33,B249,MATCH(练度预期!H249,梦灵养成!$D$33:$V$33,0))-1)*_xlfn.XLOOKUP(练度预期!H249,梦灵养成!$D$9:$D$28,梦灵养成!$G$9:$G$28))</f>
        <v>29.8725</v>
      </c>
      <c r="H249" s="46">
        <f ca="1">符文养成!AC250</f>
        <v>27.6712015241826</v>
      </c>
      <c r="I249" s="46">
        <f>MAX(_xlfn.XLOOKUP(练度预期!O249,秘宝养成!$B$3:$B$15,秘宝养成!$E$3:$E$15),1)</f>
        <v>2.7915904</v>
      </c>
      <c r="J249" s="104">
        <f ca="1" t="shared" si="70"/>
        <v>77008303.049668</v>
      </c>
      <c r="K249" s="104">
        <f ca="1">MATCH(J249,关卡预期!$E$4:$E$303,1)</f>
        <v>186</v>
      </c>
      <c r="L249" s="48">
        <f ca="1" t="shared" si="71"/>
        <v>0.790836060696221</v>
      </c>
      <c r="M249" s="48">
        <f ca="1" t="shared" si="72"/>
        <v>0.179410889616186</v>
      </c>
      <c r="N249" s="48">
        <f ca="1" t="shared" si="73"/>
        <v>0.0297530496875932</v>
      </c>
      <c r="O249" s="48">
        <f ca="1" t="shared" si="74"/>
        <v>0.0610752451987395</v>
      </c>
      <c r="P249" s="48">
        <f ca="1" t="shared" si="75"/>
        <v>0.411866395619282</v>
      </c>
      <c r="Q249" s="48">
        <f ca="1" t="shared" si="76"/>
        <v>0.402585458844439</v>
      </c>
      <c r="R249" s="48">
        <f ca="1" t="shared" si="77"/>
        <v>0.12447290033754</v>
      </c>
      <c r="S249" s="46">
        <f ca="1" t="shared" si="78"/>
        <v>0.790836060696221</v>
      </c>
      <c r="T249" s="46">
        <f ca="1" t="shared" si="79"/>
        <v>0.179410889616186</v>
      </c>
      <c r="U249" s="46">
        <f ca="1" t="shared" si="80"/>
        <v>0.0297530496875932</v>
      </c>
      <c r="V249" s="48">
        <f ca="1" t="shared" si="81"/>
        <v>0.503728498647356</v>
      </c>
      <c r="W249" s="48">
        <f ca="1" t="shared" si="82"/>
        <v>3.39693832474177</v>
      </c>
      <c r="X249" s="48">
        <f ca="1" t="shared" si="83"/>
        <v>3.32039221620925</v>
      </c>
      <c r="Y249" s="48">
        <f t="shared" si="84"/>
        <v>1.02661146926685</v>
      </c>
      <c r="Z249" s="105">
        <f ca="1" t="shared" si="85"/>
        <v>0.0610752451987395</v>
      </c>
      <c r="AA249" s="105">
        <f ca="1" t="shared" si="86"/>
        <v>0.411866395619282</v>
      </c>
      <c r="AB249" s="105">
        <f ca="1" t="shared" si="87"/>
        <v>0.402585458844439</v>
      </c>
      <c r="AC249" s="105">
        <f ca="1" t="shared" si="88"/>
        <v>0.12447290033754</v>
      </c>
      <c r="AD249" s="105">
        <f ca="1" t="shared" si="89"/>
        <v>0.790836060696221</v>
      </c>
      <c r="AE249" s="105">
        <f ca="1" t="shared" si="90"/>
        <v>0.179410889616186</v>
      </c>
      <c r="AF249" s="105">
        <f ca="1" t="shared" si="91"/>
        <v>0.029753049687593</v>
      </c>
    </row>
    <row r="250" ht="16.5" spans="1:32">
      <c r="A250">
        <f ca="1" t="shared" si="69"/>
        <v>20166</v>
      </c>
      <c r="B250" s="2">
        <v>248</v>
      </c>
      <c r="C250" s="2">
        <f>_xlfn.XLOOKUP(练度预期!D250,装备养成!$B$3:$B$303,装备养成!$D$3:$D$303)*6</f>
        <v>15948</v>
      </c>
      <c r="D250" s="2" cm="1">
        <f ca="1" t="array" ref="D250">_xlfn.XLOOKUP(练度预期!E250&amp;"_"&amp;INT(练度预期!C250/10)*10+10,装备养成!$N$4:$N$219&amp;"_"&amp;装备养成!$K$4:$K$219,装备养成!$P$4:$P$219)*练度预期!F250+_xlfn.XLOOKUP(练度预期!E250-1&amp;"_"&amp;INT(练度预期!C250/10)*10+10,装备养成!$N$4:$N$219&amp;"_"&amp;装备养成!$K$4:$K$219,装备养成!$P$4:$P$219)*(6-练度预期!F250)</f>
        <v>3618</v>
      </c>
      <c r="E250" s="2">
        <f ca="1">练度预期!N250*4*练度预期!M250</f>
        <v>600</v>
      </c>
      <c r="F250" s="103">
        <f ca="1">INT(练度预期!D250/10)*0.02+1+_xlfn.XLOOKUP(练度预期!E250,装备养成!$U$3:$U$11,装备养成!$V$3:$V$11)*练度预期!F250+_xlfn.XLOOKUP(练度预期!E250-1,装备养成!$U$3:$U$11,装备养成!$V$3:$V$11)*(6-练度预期!F250)</f>
        <v>1.65488</v>
      </c>
      <c r="G250" s="48">
        <f ca="1">OFFSET(梦灵养成!$K$20,_xlfn.XLOOKUP(练度预期!H250,梦灵养成!$D$10:$D$28,梦灵养成!$H$10:$H$28),MATCH(OFFSET(梦灵养成!$C$33,B250,MATCH(练度预期!H250,梦灵养成!$D$33:$V$33,0)),梦灵养成!$L$20:$R$20,1))*(1+(OFFSET(梦灵养成!$C$33,B250,MATCH(练度预期!H250,梦灵养成!$D$33:$V$33,0))-1)*_xlfn.XLOOKUP(练度预期!H250,梦灵养成!$D$9:$D$28,梦灵养成!$G$9:$G$28))</f>
        <v>29.8725</v>
      </c>
      <c r="H250" s="46">
        <f ca="1">符文养成!AC251</f>
        <v>27.730694888791</v>
      </c>
      <c r="I250" s="46">
        <f>MAX(_xlfn.XLOOKUP(练度预期!O250,秘宝养成!$B$3:$B$15,秘宝养成!$E$3:$E$15),1)</f>
        <v>2.7915904</v>
      </c>
      <c r="J250" s="104">
        <f ca="1" t="shared" si="70"/>
        <v>77173871.6841634</v>
      </c>
      <c r="K250" s="104">
        <f ca="1">MATCH(J250,关卡预期!$E$4:$E$303,1)</f>
        <v>186</v>
      </c>
      <c r="L250" s="48">
        <f ca="1" t="shared" si="71"/>
        <v>0.790836060696221</v>
      </c>
      <c r="M250" s="48">
        <f ca="1" t="shared" si="72"/>
        <v>0.179410889616186</v>
      </c>
      <c r="N250" s="48">
        <f ca="1" t="shared" si="73"/>
        <v>0.0297530496875931</v>
      </c>
      <c r="O250" s="48">
        <f ca="1" t="shared" si="74"/>
        <v>0.0610593452800648</v>
      </c>
      <c r="P250" s="48">
        <f ca="1" t="shared" si="75"/>
        <v>0.411759173091171</v>
      </c>
      <c r="Q250" s="48">
        <f ca="1" t="shared" si="76"/>
        <v>0.402740985729161</v>
      </c>
      <c r="R250" s="48">
        <f ca="1" t="shared" si="77"/>
        <v>0.124440495899602</v>
      </c>
      <c r="S250" s="46">
        <f ca="1" t="shared" si="78"/>
        <v>0.790836060696221</v>
      </c>
      <c r="T250" s="46">
        <f ca="1" t="shared" si="79"/>
        <v>0.179410889616186</v>
      </c>
      <c r="U250" s="46">
        <f ca="1" t="shared" si="80"/>
        <v>0.0297530496875931</v>
      </c>
      <c r="V250" s="48">
        <f ca="1" t="shared" si="81"/>
        <v>0.503728498647356</v>
      </c>
      <c r="W250" s="48">
        <f ca="1" t="shared" si="82"/>
        <v>3.39693832474177</v>
      </c>
      <c r="X250" s="48">
        <f ca="1" t="shared" si="83"/>
        <v>3.32253991841184</v>
      </c>
      <c r="Y250" s="48">
        <f t="shared" si="84"/>
        <v>1.02661146926685</v>
      </c>
      <c r="Z250" s="105">
        <f ca="1" t="shared" si="85"/>
        <v>0.0610593452800648</v>
      </c>
      <c r="AA250" s="105">
        <f ca="1" t="shared" si="86"/>
        <v>0.411759173091172</v>
      </c>
      <c r="AB250" s="105">
        <f ca="1" t="shared" si="87"/>
        <v>0.402740985729161</v>
      </c>
      <c r="AC250" s="105">
        <f ca="1" t="shared" si="88"/>
        <v>0.124440495899602</v>
      </c>
      <c r="AD250" s="105">
        <f ca="1" t="shared" si="89"/>
        <v>0.790836060696221</v>
      </c>
      <c r="AE250" s="105">
        <f ca="1" t="shared" si="90"/>
        <v>0.179410889616186</v>
      </c>
      <c r="AF250" s="105">
        <f ca="1" t="shared" si="91"/>
        <v>0.029753049687593</v>
      </c>
    </row>
    <row r="251" ht="16.5" spans="1:32">
      <c r="A251">
        <f ca="1" t="shared" si="69"/>
        <v>20466</v>
      </c>
      <c r="B251" s="2">
        <v>249</v>
      </c>
      <c r="C251" s="2">
        <f>_xlfn.XLOOKUP(练度预期!D251,装备养成!$B$3:$B$303,装备养成!$D$3:$D$303)*6</f>
        <v>16248</v>
      </c>
      <c r="D251" s="2" cm="1">
        <f ca="1" t="array" ref="D251">_xlfn.XLOOKUP(练度预期!E251&amp;"_"&amp;INT(练度预期!C251/10)*10+10,装备养成!$N$4:$N$219&amp;"_"&amp;装备养成!$K$4:$K$219,装备养成!$P$4:$P$219)*练度预期!F251+_xlfn.XLOOKUP(练度预期!E251-1&amp;"_"&amp;INT(练度预期!C251/10)*10+10,装备养成!$N$4:$N$219&amp;"_"&amp;装备养成!$K$4:$K$219,装备养成!$P$4:$P$219)*(6-练度预期!F251)</f>
        <v>3618</v>
      </c>
      <c r="E251" s="2">
        <f ca="1">练度预期!N251*4*练度预期!M251</f>
        <v>600</v>
      </c>
      <c r="F251" s="103">
        <f ca="1">INT(练度预期!D251/10)*0.02+1+_xlfn.XLOOKUP(练度预期!E251,装备养成!$U$3:$U$11,装备养成!$V$3:$V$11)*练度预期!F251+_xlfn.XLOOKUP(练度预期!E251-1,装备养成!$U$3:$U$11,装备养成!$V$3:$V$11)*(6-练度预期!F251)</f>
        <v>1.65488</v>
      </c>
      <c r="G251" s="48">
        <f ca="1">OFFSET(梦灵养成!$K$20,_xlfn.XLOOKUP(练度预期!H251,梦灵养成!$D$10:$D$28,梦灵养成!$H$10:$H$28),MATCH(OFFSET(梦灵养成!$C$33,B251,MATCH(练度预期!H251,梦灵养成!$D$33:$V$33,0)),梦灵养成!$L$20:$R$20,1))*(1+(OFFSET(梦灵养成!$C$33,B251,MATCH(练度预期!H251,梦灵养成!$D$33:$V$33,0))-1)*_xlfn.XLOOKUP(练度预期!H251,梦灵养成!$D$9:$D$28,梦灵养成!$G$9:$G$28))</f>
        <v>29.8725</v>
      </c>
      <c r="H251" s="46">
        <f ca="1">符文养成!AC252</f>
        <v>27.7802716478515</v>
      </c>
      <c r="I251" s="46">
        <f>MAX(_xlfn.XLOOKUP(练度预期!O251,秘宝养成!$B$3:$B$15,秘宝养成!$E$3:$E$15),1)</f>
        <v>2.7915904</v>
      </c>
      <c r="J251" s="104">
        <f ca="1" t="shared" si="70"/>
        <v>78461974.1863787</v>
      </c>
      <c r="K251" s="104">
        <f ca="1">MATCH(J251,关卡预期!$E$4:$E$303,1)</f>
        <v>186</v>
      </c>
      <c r="L251" s="48">
        <f ca="1" t="shared" si="71"/>
        <v>0.793902081501026</v>
      </c>
      <c r="M251" s="48">
        <f ca="1" t="shared" si="72"/>
        <v>0.176781002638522</v>
      </c>
      <c r="N251" s="48">
        <f ca="1" t="shared" si="73"/>
        <v>0.0293169158604516</v>
      </c>
      <c r="O251" s="48">
        <f ca="1" t="shared" si="74"/>
        <v>0.0610461279663391</v>
      </c>
      <c r="P251" s="48">
        <f ca="1" t="shared" si="75"/>
        <v>0.411670040950215</v>
      </c>
      <c r="Q251" s="48">
        <f ca="1" t="shared" si="76"/>
        <v>0.402870272404787</v>
      </c>
      <c r="R251" s="48">
        <f ca="1" t="shared" si="77"/>
        <v>0.124413558678659</v>
      </c>
      <c r="S251" s="46">
        <f ca="1" t="shared" si="78"/>
        <v>0.793902081501026</v>
      </c>
      <c r="T251" s="46">
        <f ca="1" t="shared" si="79"/>
        <v>0.176781002638522</v>
      </c>
      <c r="U251" s="46">
        <f ca="1" t="shared" si="80"/>
        <v>0.0293169158604516</v>
      </c>
      <c r="V251" s="48">
        <f ca="1" t="shared" si="81"/>
        <v>0.503728498647356</v>
      </c>
      <c r="W251" s="48">
        <f ca="1" t="shared" si="82"/>
        <v>3.39693832474177</v>
      </c>
      <c r="X251" s="48">
        <f ca="1" t="shared" si="83"/>
        <v>3.32432611581876</v>
      </c>
      <c r="Y251" s="48">
        <f t="shared" si="84"/>
        <v>1.02661146926685</v>
      </c>
      <c r="Z251" s="105">
        <f ca="1" t="shared" si="85"/>
        <v>0.0610461279663391</v>
      </c>
      <c r="AA251" s="105">
        <f ca="1" t="shared" si="86"/>
        <v>0.411670040950215</v>
      </c>
      <c r="AB251" s="105">
        <f ca="1" t="shared" si="87"/>
        <v>0.402870272404787</v>
      </c>
      <c r="AC251" s="105">
        <f ca="1" t="shared" si="88"/>
        <v>0.124413558678659</v>
      </c>
      <c r="AD251" s="105">
        <f ca="1" t="shared" si="89"/>
        <v>0.793902081501026</v>
      </c>
      <c r="AE251" s="105">
        <f ca="1" t="shared" si="90"/>
        <v>0.176781002638522</v>
      </c>
      <c r="AF251" s="105">
        <f ca="1" t="shared" si="91"/>
        <v>0.0293169158604515</v>
      </c>
    </row>
    <row r="252" ht="16.5" spans="1:32">
      <c r="A252">
        <f ca="1" t="shared" si="69"/>
        <v>20466</v>
      </c>
      <c r="B252" s="2">
        <v>250</v>
      </c>
      <c r="C252" s="2">
        <f>_xlfn.XLOOKUP(练度预期!D252,装备养成!$B$3:$B$303,装备养成!$D$3:$D$303)*6</f>
        <v>16248</v>
      </c>
      <c r="D252" s="2" cm="1">
        <f ca="1" t="array" ref="D252">_xlfn.XLOOKUP(练度预期!E252&amp;"_"&amp;INT(练度预期!C252/10)*10+10,装备养成!$N$4:$N$219&amp;"_"&amp;装备养成!$K$4:$K$219,装备养成!$P$4:$P$219)*练度预期!F252+_xlfn.XLOOKUP(练度预期!E252-1&amp;"_"&amp;INT(练度预期!C252/10)*10+10,装备养成!$N$4:$N$219&amp;"_"&amp;装备养成!$K$4:$K$219,装备养成!$P$4:$P$219)*(6-练度预期!F252)</f>
        <v>3618</v>
      </c>
      <c r="E252" s="2">
        <f ca="1">练度预期!N252*4*练度预期!M252</f>
        <v>600</v>
      </c>
      <c r="F252" s="103">
        <f ca="1">INT(练度预期!D252/10)*0.02+1+_xlfn.XLOOKUP(练度预期!E252,装备养成!$U$3:$U$11,装备养成!$V$3:$V$11)*练度预期!F252+_xlfn.XLOOKUP(练度预期!E252-1,装备养成!$U$3:$U$11,装备养成!$V$3:$V$11)*(6-练度预期!F252)</f>
        <v>1.65488</v>
      </c>
      <c r="G252" s="48">
        <f ca="1">OFFSET(梦灵养成!$K$20,_xlfn.XLOOKUP(练度预期!H252,梦灵养成!$D$10:$D$28,梦灵养成!$H$10:$H$28),MATCH(OFFSET(梦灵养成!$C$33,B252,MATCH(练度预期!H252,梦灵养成!$D$33:$V$33,0)),梦灵养成!$L$20:$R$20,1))*(1+(OFFSET(梦灵养成!$C$33,B252,MATCH(练度预期!H252,梦灵养成!$D$33:$V$33,0))-1)*_xlfn.XLOOKUP(练度预期!H252,梦灵养成!$D$9:$D$28,梦灵养成!$G$9:$G$28))</f>
        <v>29.8725</v>
      </c>
      <c r="H252" s="46">
        <f ca="1">符文养成!AC253</f>
        <v>27.8399902369795</v>
      </c>
      <c r="I252" s="46">
        <f>MAX(_xlfn.XLOOKUP(练度预期!O252,秘宝养成!$B$3:$B$15,秘宝养成!$E$3:$E$15),1)</f>
        <v>2.7915904</v>
      </c>
      <c r="J252" s="104">
        <f ca="1" t="shared" si="70"/>
        <v>78630642.0258444</v>
      </c>
      <c r="K252" s="104">
        <f ca="1">MATCH(J252,关卡预期!$E$4:$E$303,1)</f>
        <v>186</v>
      </c>
      <c r="L252" s="48">
        <f ca="1" t="shared" si="71"/>
        <v>0.793902081501026</v>
      </c>
      <c r="M252" s="48">
        <f ca="1" t="shared" si="72"/>
        <v>0.176781002638522</v>
      </c>
      <c r="N252" s="48">
        <f ca="1" t="shared" si="73"/>
        <v>0.0293169158604515</v>
      </c>
      <c r="O252" s="48">
        <f ca="1" t="shared" si="74"/>
        <v>0.0610302456664936</v>
      </c>
      <c r="P252" s="48">
        <f ca="1" t="shared" si="75"/>
        <v>0.411562937236261</v>
      </c>
      <c r="Q252" s="48">
        <f ca="1" t="shared" si="76"/>
        <v>0.403025626948903</v>
      </c>
      <c r="R252" s="48">
        <f ca="1" t="shared" si="77"/>
        <v>0.124381190148342</v>
      </c>
      <c r="S252" s="46">
        <f ca="1" t="shared" si="78"/>
        <v>0.793902081501026</v>
      </c>
      <c r="T252" s="46">
        <f ca="1" t="shared" si="79"/>
        <v>0.176781002638522</v>
      </c>
      <c r="U252" s="46">
        <f ca="1" t="shared" si="80"/>
        <v>0.0293169158604515</v>
      </c>
      <c r="V252" s="48">
        <f ca="1" t="shared" si="81"/>
        <v>0.503728498647356</v>
      </c>
      <c r="W252" s="48">
        <f ca="1" t="shared" si="82"/>
        <v>3.39693832474177</v>
      </c>
      <c r="X252" s="48">
        <f ca="1" t="shared" si="83"/>
        <v>3.32647348478295</v>
      </c>
      <c r="Y252" s="48">
        <f t="shared" si="84"/>
        <v>1.02661146926685</v>
      </c>
      <c r="Z252" s="105">
        <f ca="1" t="shared" si="85"/>
        <v>0.0610302456664936</v>
      </c>
      <c r="AA252" s="105">
        <f ca="1" t="shared" si="86"/>
        <v>0.411562937236261</v>
      </c>
      <c r="AB252" s="105">
        <f ca="1" t="shared" si="87"/>
        <v>0.403025626948903</v>
      </c>
      <c r="AC252" s="105">
        <f ca="1" t="shared" si="88"/>
        <v>0.124381190148342</v>
      </c>
      <c r="AD252" s="105">
        <f ca="1" t="shared" si="89"/>
        <v>0.793902081501026</v>
      </c>
      <c r="AE252" s="105">
        <f ca="1" t="shared" si="90"/>
        <v>0.176781002638522</v>
      </c>
      <c r="AF252" s="105">
        <f ca="1" t="shared" si="91"/>
        <v>0.0293169158604515</v>
      </c>
    </row>
    <row r="253" ht="16.5" spans="1:32">
      <c r="A253">
        <f ca="1" t="shared" si="69"/>
        <v>20466</v>
      </c>
      <c r="B253" s="2">
        <v>251</v>
      </c>
      <c r="C253" s="2">
        <f>_xlfn.XLOOKUP(练度预期!D253,装备养成!$B$3:$B$303,装备养成!$D$3:$D$303)*6</f>
        <v>16248</v>
      </c>
      <c r="D253" s="2" cm="1">
        <f ca="1" t="array" ref="D253">_xlfn.XLOOKUP(练度预期!E253&amp;"_"&amp;INT(练度预期!C253/10)*10+10,装备养成!$N$4:$N$219&amp;"_"&amp;装备养成!$K$4:$K$219,装备养成!$P$4:$P$219)*练度预期!F253+_xlfn.XLOOKUP(练度预期!E253-1&amp;"_"&amp;INT(练度预期!C253/10)*10+10,装备养成!$N$4:$N$219&amp;"_"&amp;装备养成!$K$4:$K$219,装备养成!$P$4:$P$219)*(6-练度预期!F253)</f>
        <v>3618</v>
      </c>
      <c r="E253" s="2">
        <f ca="1">练度预期!N253*4*练度预期!M253</f>
        <v>600</v>
      </c>
      <c r="F253" s="103">
        <f ca="1">INT(练度预期!D253/10)*0.02+1+_xlfn.XLOOKUP(练度预期!E253,装备养成!$U$3:$U$11,装备养成!$V$3:$V$11)*练度预期!F253+_xlfn.XLOOKUP(练度预期!E253-1,装备养成!$U$3:$U$11,装备养成!$V$3:$V$11)*(6-练度预期!F253)</f>
        <v>1.65488</v>
      </c>
      <c r="G253" s="48">
        <f ca="1">OFFSET(梦灵养成!$K$20,_xlfn.XLOOKUP(练度预期!H253,梦灵养成!$D$10:$D$28,梦灵养成!$H$10:$H$28),MATCH(OFFSET(梦灵养成!$C$33,B253,MATCH(练度预期!H253,梦灵养成!$D$33:$V$33,0)),梦灵养成!$L$20:$R$20,1))*(1+(OFFSET(梦灵养成!$C$33,B253,MATCH(练度预期!H253,梦灵养成!$D$33:$V$33,0))-1)*_xlfn.XLOOKUP(练度预期!H253,梦灵养成!$D$9:$D$28,梦灵养成!$G$9:$G$28))</f>
        <v>29.8725</v>
      </c>
      <c r="H253" s="46">
        <f ca="1">符文养成!AC254</f>
        <v>27.8897546573553</v>
      </c>
      <c r="I253" s="46">
        <f>MAX(_xlfn.XLOOKUP(练度预期!O253,秘宝养成!$B$3:$B$15,秘宝养成!$E$3:$E$15),1)</f>
        <v>2.7915904</v>
      </c>
      <c r="J253" s="104">
        <f ca="1" t="shared" si="70"/>
        <v>78771195.5350548</v>
      </c>
      <c r="K253" s="104">
        <f ca="1">MATCH(J253,关卡预期!$E$4:$E$303,1)</f>
        <v>186</v>
      </c>
      <c r="L253" s="48">
        <f ca="1" t="shared" si="71"/>
        <v>0.793902081501026</v>
      </c>
      <c r="M253" s="48">
        <f ca="1" t="shared" si="72"/>
        <v>0.176781002638522</v>
      </c>
      <c r="N253" s="48">
        <f ca="1" t="shared" si="73"/>
        <v>0.0293169158604513</v>
      </c>
      <c r="O253" s="48">
        <f ca="1" t="shared" si="74"/>
        <v>0.0610170429967641</v>
      </c>
      <c r="P253" s="48">
        <f ca="1" t="shared" si="75"/>
        <v>0.411473903848407</v>
      </c>
      <c r="Q253" s="48">
        <f ca="1" t="shared" si="76"/>
        <v>0.403154770382595</v>
      </c>
      <c r="R253" s="48">
        <f ca="1" t="shared" si="77"/>
        <v>0.124354282772235</v>
      </c>
      <c r="S253" s="46">
        <f ca="1" t="shared" si="78"/>
        <v>0.793902081501026</v>
      </c>
      <c r="T253" s="46">
        <f ca="1" t="shared" si="79"/>
        <v>0.176781002638522</v>
      </c>
      <c r="U253" s="46">
        <f ca="1" t="shared" si="80"/>
        <v>0.0293169158604513</v>
      </c>
      <c r="V253" s="48">
        <f ca="1" t="shared" si="81"/>
        <v>0.503728498647356</v>
      </c>
      <c r="W253" s="48">
        <f ca="1" t="shared" si="82"/>
        <v>3.39693832474177</v>
      </c>
      <c r="X253" s="48">
        <f ca="1" t="shared" si="83"/>
        <v>3.32825940480455</v>
      </c>
      <c r="Y253" s="48">
        <f t="shared" si="84"/>
        <v>1.02661146926685</v>
      </c>
      <c r="Z253" s="105">
        <f ca="1" t="shared" si="85"/>
        <v>0.0610170429967641</v>
      </c>
      <c r="AA253" s="105">
        <f ca="1" t="shared" si="86"/>
        <v>0.411473903848407</v>
      </c>
      <c r="AB253" s="105">
        <f ca="1" t="shared" si="87"/>
        <v>0.403154770382595</v>
      </c>
      <c r="AC253" s="105">
        <f ca="1" t="shared" si="88"/>
        <v>0.124354282772235</v>
      </c>
      <c r="AD253" s="105">
        <f ca="1" t="shared" si="89"/>
        <v>0.793902081501026</v>
      </c>
      <c r="AE253" s="105">
        <f ca="1" t="shared" si="90"/>
        <v>0.176781002638522</v>
      </c>
      <c r="AF253" s="105">
        <f ca="1" t="shared" si="91"/>
        <v>0.0293169158604515</v>
      </c>
    </row>
    <row r="254" ht="16.5" spans="1:32">
      <c r="A254">
        <f ca="1" t="shared" si="69"/>
        <v>20466</v>
      </c>
      <c r="B254" s="2">
        <v>252</v>
      </c>
      <c r="C254" s="2">
        <f>_xlfn.XLOOKUP(练度预期!D254,装备养成!$B$3:$B$303,装备养成!$D$3:$D$303)*6</f>
        <v>16248</v>
      </c>
      <c r="D254" s="2" cm="1">
        <f ca="1" t="array" ref="D254">_xlfn.XLOOKUP(练度预期!E254&amp;"_"&amp;INT(练度预期!C254/10)*10+10,装备养成!$N$4:$N$219&amp;"_"&amp;装备养成!$K$4:$K$219,装备养成!$P$4:$P$219)*练度预期!F254+_xlfn.XLOOKUP(练度预期!E254-1&amp;"_"&amp;INT(练度预期!C254/10)*10+10,装备养成!$N$4:$N$219&amp;"_"&amp;装备养成!$K$4:$K$219,装备养成!$P$4:$P$219)*(6-练度预期!F254)</f>
        <v>3618</v>
      </c>
      <c r="E254" s="2">
        <f ca="1">练度预期!N254*4*练度预期!M254</f>
        <v>600</v>
      </c>
      <c r="F254" s="103">
        <f ca="1">INT(练度预期!D254/10)*0.02+1+_xlfn.XLOOKUP(练度预期!E254,装备养成!$U$3:$U$11,装备养成!$V$3:$V$11)*练度预期!F254+_xlfn.XLOOKUP(练度预期!E254-1,装备养成!$U$3:$U$11,装备养成!$V$3:$V$11)*(6-练度预期!F254)</f>
        <v>1.65488</v>
      </c>
      <c r="G254" s="48">
        <f ca="1">OFFSET(梦灵养成!$K$20,_xlfn.XLOOKUP(练度预期!H254,梦灵养成!$D$10:$D$28,梦灵养成!$H$10:$H$28),MATCH(OFFSET(梦灵养成!$C$33,B254,MATCH(练度预期!H254,梦灵养成!$D$33:$V$33,0)),梦灵养成!$L$20:$R$20,1))*(1+(OFFSET(梦灵养成!$C$33,B254,MATCH(练度预期!H254,梦灵养成!$D$33:$V$33,0))-1)*_xlfn.XLOOKUP(练度预期!H254,梦灵养成!$D$9:$D$28,梦灵养成!$G$9:$G$28))</f>
        <v>29.8725</v>
      </c>
      <c r="H254" s="46">
        <f ca="1">符文养成!AC255</f>
        <v>27.9437926569833</v>
      </c>
      <c r="I254" s="46">
        <f>MAX(_xlfn.XLOOKUP(练度预期!O254,秘宝养成!$B$3:$B$15,秘宝养成!$E$3:$E$15),1)</f>
        <v>2.7915904</v>
      </c>
      <c r="J254" s="104">
        <f ca="1" t="shared" si="70"/>
        <v>78923819.2453496</v>
      </c>
      <c r="K254" s="104">
        <f ca="1">MATCH(J254,关卡预期!$E$4:$E$303,1)</f>
        <v>186</v>
      </c>
      <c r="L254" s="48">
        <f ca="1" t="shared" si="71"/>
        <v>0.793902081501026</v>
      </c>
      <c r="M254" s="48">
        <f ca="1" t="shared" si="72"/>
        <v>0.176781002638522</v>
      </c>
      <c r="N254" s="48">
        <f ca="1" t="shared" si="73"/>
        <v>0.0293169158604515</v>
      </c>
      <c r="O254" s="48">
        <f ca="1" t="shared" si="74"/>
        <v>0.0610027396341482</v>
      </c>
      <c r="P254" s="48">
        <f ca="1" t="shared" si="75"/>
        <v>0.41137744783932</v>
      </c>
      <c r="Q254" s="48">
        <f ca="1" t="shared" si="76"/>
        <v>0.403294680370452</v>
      </c>
      <c r="R254" s="48">
        <f ca="1" t="shared" si="77"/>
        <v>0.124325132156079</v>
      </c>
      <c r="S254" s="46">
        <f ca="1" t="shared" si="78"/>
        <v>0.793902081501026</v>
      </c>
      <c r="T254" s="46">
        <f ca="1" t="shared" si="79"/>
        <v>0.176781002638522</v>
      </c>
      <c r="U254" s="46">
        <f ca="1" t="shared" si="80"/>
        <v>0.0293169158604515</v>
      </c>
      <c r="V254" s="48">
        <f ca="1" t="shared" si="81"/>
        <v>0.503728498647356</v>
      </c>
      <c r="W254" s="48">
        <f ca="1" t="shared" si="82"/>
        <v>3.39693832474177</v>
      </c>
      <c r="X254" s="48">
        <f ca="1" t="shared" si="83"/>
        <v>3.33019508752937</v>
      </c>
      <c r="Y254" s="48">
        <f t="shared" si="84"/>
        <v>1.02661146926685</v>
      </c>
      <c r="Z254" s="105">
        <f ca="1" t="shared" si="85"/>
        <v>0.0610027396341482</v>
      </c>
      <c r="AA254" s="105">
        <f ca="1" t="shared" si="86"/>
        <v>0.41137744783932</v>
      </c>
      <c r="AB254" s="105">
        <f ca="1" t="shared" si="87"/>
        <v>0.403294680370452</v>
      </c>
      <c r="AC254" s="105">
        <f ca="1" t="shared" si="88"/>
        <v>0.124325132156079</v>
      </c>
      <c r="AD254" s="105">
        <f ca="1" t="shared" si="89"/>
        <v>0.793902081501026</v>
      </c>
      <c r="AE254" s="105">
        <f ca="1" t="shared" si="90"/>
        <v>0.176781002638522</v>
      </c>
      <c r="AF254" s="105">
        <f ca="1" t="shared" si="91"/>
        <v>0.0293169158604515</v>
      </c>
    </row>
    <row r="255" ht="16.5" spans="1:32">
      <c r="A255">
        <f ca="1" t="shared" si="69"/>
        <v>20766</v>
      </c>
      <c r="B255" s="2">
        <v>253</v>
      </c>
      <c r="C255" s="2">
        <f>_xlfn.XLOOKUP(练度预期!D255,装备养成!$B$3:$B$303,装备养成!$D$3:$D$303)*6</f>
        <v>16548</v>
      </c>
      <c r="D255" s="2" cm="1">
        <f ca="1" t="array" ref="D255">_xlfn.XLOOKUP(练度预期!E255&amp;"_"&amp;INT(练度预期!C255/10)*10+10,装备养成!$N$4:$N$219&amp;"_"&amp;装备养成!$K$4:$K$219,装备养成!$P$4:$P$219)*练度预期!F255+_xlfn.XLOOKUP(练度预期!E255-1&amp;"_"&amp;INT(练度预期!C255/10)*10+10,装备养成!$N$4:$N$219&amp;"_"&amp;装备养成!$K$4:$K$219,装备养成!$P$4:$P$219)*(6-练度预期!F255)</f>
        <v>3618</v>
      </c>
      <c r="E255" s="2">
        <f ca="1">练度预期!N255*4*练度预期!M255</f>
        <v>600</v>
      </c>
      <c r="F255" s="103">
        <f ca="1">INT(练度预期!D255/10)*0.02+1+_xlfn.XLOOKUP(练度预期!E255,装备养成!$U$3:$U$11,装备养成!$V$3:$V$11)*练度预期!F255+_xlfn.XLOOKUP(练度预期!E255-1,装备养成!$U$3:$U$11,装备养成!$V$3:$V$11)*(6-练度预期!F255)</f>
        <v>1.65488</v>
      </c>
      <c r="G255" s="48">
        <f ca="1">OFFSET(梦灵养成!$K$20,_xlfn.XLOOKUP(练度预期!H255,梦灵养成!$D$10:$D$28,梦灵养成!$H$10:$H$28),MATCH(OFFSET(梦灵养成!$C$33,B255,MATCH(练度预期!H255,梦灵养成!$D$33:$V$33,0)),梦灵养成!$L$20:$R$20,1))*(1+(OFFSET(梦灵养成!$C$33,B255,MATCH(练度预期!H255,梦灵养成!$D$33:$V$33,0))-1)*_xlfn.XLOOKUP(练度预期!H255,梦灵养成!$D$9:$D$28,梦灵养成!$G$9:$G$28))</f>
        <v>29.8725</v>
      </c>
      <c r="H255" s="46">
        <f ca="1">符文养成!AC256</f>
        <v>27.9937352668909</v>
      </c>
      <c r="I255" s="46">
        <f>MAX(_xlfn.XLOOKUP(练度预期!O255,秘宝养成!$B$3:$B$15,秘宝养成!$E$3:$E$15),1)</f>
        <v>2.7915904</v>
      </c>
      <c r="J255" s="104">
        <f ca="1" t="shared" si="70"/>
        <v>80223845.1880951</v>
      </c>
      <c r="K255" s="104">
        <f ca="1">MATCH(J255,关卡预期!$E$4:$E$303,1)</f>
        <v>186</v>
      </c>
      <c r="L255" s="48">
        <f ca="1" t="shared" si="71"/>
        <v>0.796879514591159</v>
      </c>
      <c r="M255" s="48">
        <f ca="1" t="shared" si="72"/>
        <v>0.174227101993643</v>
      </c>
      <c r="N255" s="48">
        <f ca="1" t="shared" si="73"/>
        <v>0.0288933834151979</v>
      </c>
      <c r="O255" s="48">
        <f ca="1" t="shared" si="74"/>
        <v>0.060989550802397</v>
      </c>
      <c r="P255" s="48">
        <f ca="1" t="shared" si="75"/>
        <v>0.411288507769115</v>
      </c>
      <c r="Q255" s="48">
        <f ca="1" t="shared" si="76"/>
        <v>0.403423688446365</v>
      </c>
      <c r="R255" s="48">
        <f ca="1" t="shared" si="77"/>
        <v>0.124298252982123</v>
      </c>
      <c r="S255" s="46">
        <f ca="1" t="shared" si="78"/>
        <v>0.796879514591159</v>
      </c>
      <c r="T255" s="46">
        <f ca="1" t="shared" si="79"/>
        <v>0.174227101993643</v>
      </c>
      <c r="U255" s="46">
        <f ca="1" t="shared" si="80"/>
        <v>0.0288933834151979</v>
      </c>
      <c r="V255" s="48">
        <f ca="1" t="shared" si="81"/>
        <v>0.503728498647356</v>
      </c>
      <c r="W255" s="48">
        <f ca="1" t="shared" si="82"/>
        <v>3.39693832474177</v>
      </c>
      <c r="X255" s="48">
        <f ca="1" t="shared" si="83"/>
        <v>3.33198074467339</v>
      </c>
      <c r="Y255" s="48">
        <f t="shared" si="84"/>
        <v>1.02661146926685</v>
      </c>
      <c r="Z255" s="105">
        <f ca="1" t="shared" si="85"/>
        <v>0.060989550802397</v>
      </c>
      <c r="AA255" s="105">
        <f ca="1" t="shared" si="86"/>
        <v>0.411288507769115</v>
      </c>
      <c r="AB255" s="105">
        <f ca="1" t="shared" si="87"/>
        <v>0.403423688446365</v>
      </c>
      <c r="AC255" s="105">
        <f ca="1" t="shared" si="88"/>
        <v>0.124298252982123</v>
      </c>
      <c r="AD255" s="105">
        <f ca="1" t="shared" si="89"/>
        <v>0.796879514591159</v>
      </c>
      <c r="AE255" s="105">
        <f ca="1" t="shared" si="90"/>
        <v>0.174227101993643</v>
      </c>
      <c r="AF255" s="105">
        <f ca="1" t="shared" si="91"/>
        <v>0.0288933834151979</v>
      </c>
    </row>
    <row r="256" ht="16.5" spans="1:32">
      <c r="A256">
        <f ca="1" t="shared" si="69"/>
        <v>20766</v>
      </c>
      <c r="B256" s="2">
        <v>254</v>
      </c>
      <c r="C256" s="2">
        <f>_xlfn.XLOOKUP(练度预期!D256,装备养成!$B$3:$B$303,装备养成!$D$3:$D$303)*6</f>
        <v>16548</v>
      </c>
      <c r="D256" s="2" cm="1">
        <f ca="1" t="array" ref="D256">_xlfn.XLOOKUP(练度预期!E256&amp;"_"&amp;INT(练度预期!C256/10)*10+10,装备养成!$N$4:$N$219&amp;"_"&amp;装备养成!$K$4:$K$219,装备养成!$P$4:$P$219)*练度预期!F256+_xlfn.XLOOKUP(练度预期!E256-1&amp;"_"&amp;INT(练度预期!C256/10)*10+10,装备养成!$N$4:$N$219&amp;"_"&amp;装备养成!$K$4:$K$219,装备养成!$P$4:$P$219)*(6-练度预期!F256)</f>
        <v>3618</v>
      </c>
      <c r="E256" s="2">
        <f ca="1">练度预期!N256*4*练度预期!M256</f>
        <v>600</v>
      </c>
      <c r="F256" s="103">
        <f ca="1">INT(练度预期!D256/10)*0.02+1+_xlfn.XLOOKUP(练度预期!E256,装备养成!$U$3:$U$11,装备养成!$V$3:$V$11)*练度预期!F256+_xlfn.XLOOKUP(练度预期!E256-1,装备养成!$U$3:$U$11,装备养成!$V$3:$V$11)*(6-练度预期!F256)</f>
        <v>1.65488</v>
      </c>
      <c r="G256" s="48">
        <f ca="1">OFFSET(梦灵养成!$K$20,_xlfn.XLOOKUP(练度预期!H256,梦灵养成!$D$10:$D$28,梦灵养成!$H$10:$H$28),MATCH(OFFSET(梦灵养成!$C$33,B256,MATCH(练度预期!H256,梦灵养成!$D$33:$V$33,0)),梦灵养成!$L$20:$R$20,1))*(1+(OFFSET(梦灵养成!$C$33,B256,MATCH(练度预期!H256,梦灵养成!$D$33:$V$33,0))-1)*_xlfn.XLOOKUP(练度预期!H256,梦灵养成!$D$9:$D$28,梦灵养成!$G$9:$G$28))</f>
        <v>29.8725</v>
      </c>
      <c r="H256" s="46">
        <f ca="1">符文养成!AC257</f>
        <v>28.0538944968673</v>
      </c>
      <c r="I256" s="46">
        <f>MAX(_xlfn.XLOOKUP(练度预期!O256,秘宝养成!$B$3:$B$15,秘宝养成!$E$3:$E$15),1)</f>
        <v>2.7915904</v>
      </c>
      <c r="J256" s="104">
        <f ca="1" t="shared" si="70"/>
        <v>80396248.2170672</v>
      </c>
      <c r="K256" s="104">
        <f ca="1">MATCH(J256,关卡预期!$E$4:$E$303,1)</f>
        <v>186</v>
      </c>
      <c r="L256" s="48">
        <f ca="1" t="shared" si="71"/>
        <v>0.796879514591159</v>
      </c>
      <c r="M256" s="48">
        <f ca="1" t="shared" si="72"/>
        <v>0.174227101993643</v>
      </c>
      <c r="N256" s="48">
        <f ca="1" t="shared" si="73"/>
        <v>0.028893383415198</v>
      </c>
      <c r="O256" s="48">
        <f ca="1" t="shared" si="74"/>
        <v>0.0609737027221402</v>
      </c>
      <c r="P256" s="48">
        <f ca="1" t="shared" si="75"/>
        <v>0.411181634818026</v>
      </c>
      <c r="Q256" s="48">
        <f ca="1" t="shared" si="76"/>
        <v>0.403578708267637</v>
      </c>
      <c r="R256" s="48">
        <f ca="1" t="shared" si="77"/>
        <v>0.124265954192197</v>
      </c>
      <c r="S256" s="46">
        <f ca="1" t="shared" si="78"/>
        <v>0.796879514591159</v>
      </c>
      <c r="T256" s="46">
        <f ca="1" t="shared" si="79"/>
        <v>0.174227101993643</v>
      </c>
      <c r="U256" s="46">
        <f ca="1" t="shared" si="80"/>
        <v>0.028893383415198</v>
      </c>
      <c r="V256" s="48">
        <f ca="1" t="shared" si="81"/>
        <v>0.503728498647356</v>
      </c>
      <c r="W256" s="48">
        <f ca="1" t="shared" si="82"/>
        <v>3.39693832474177</v>
      </c>
      <c r="X256" s="48">
        <f ca="1" t="shared" si="83"/>
        <v>3.33412746357419</v>
      </c>
      <c r="Y256" s="48">
        <f t="shared" si="84"/>
        <v>1.02661146926685</v>
      </c>
      <c r="Z256" s="105">
        <f ca="1" t="shared" si="85"/>
        <v>0.0609737027221402</v>
      </c>
      <c r="AA256" s="105">
        <f ca="1" t="shared" si="86"/>
        <v>0.411181634818026</v>
      </c>
      <c r="AB256" s="105">
        <f ca="1" t="shared" si="87"/>
        <v>0.403578708267637</v>
      </c>
      <c r="AC256" s="105">
        <f ca="1" t="shared" si="88"/>
        <v>0.124265954192197</v>
      </c>
      <c r="AD256" s="105">
        <f ca="1" t="shared" si="89"/>
        <v>0.796879514591159</v>
      </c>
      <c r="AE256" s="105">
        <f ca="1" t="shared" si="90"/>
        <v>0.174227101993643</v>
      </c>
      <c r="AF256" s="105">
        <f ca="1" t="shared" si="91"/>
        <v>0.0288933834151979</v>
      </c>
    </row>
    <row r="257" ht="16.5" spans="1:32">
      <c r="A257">
        <f ca="1" t="shared" si="69"/>
        <v>20766</v>
      </c>
      <c r="B257" s="2">
        <v>255</v>
      </c>
      <c r="C257" s="2">
        <f>_xlfn.XLOOKUP(练度预期!D257,装备养成!$B$3:$B$303,装备养成!$D$3:$D$303)*6</f>
        <v>16548</v>
      </c>
      <c r="D257" s="2" cm="1">
        <f ca="1" t="array" ref="D257">_xlfn.XLOOKUP(练度预期!E257&amp;"_"&amp;INT(练度预期!C257/10)*10+10,装备养成!$N$4:$N$219&amp;"_"&amp;装备养成!$K$4:$K$219,装备养成!$P$4:$P$219)*练度预期!F257+_xlfn.XLOOKUP(练度预期!E257-1&amp;"_"&amp;INT(练度预期!C257/10)*10+10,装备养成!$N$4:$N$219&amp;"_"&amp;装备养成!$K$4:$K$219,装备养成!$P$4:$P$219)*(6-练度预期!F257)</f>
        <v>3618</v>
      </c>
      <c r="E257" s="2">
        <f ca="1">练度预期!N257*4*练度预期!M257</f>
        <v>600</v>
      </c>
      <c r="F257" s="103">
        <f ca="1">INT(练度预期!D257/10)*0.02+1+_xlfn.XLOOKUP(练度预期!E257,装备养成!$U$3:$U$11,装备养成!$V$3:$V$11)*练度预期!F257+_xlfn.XLOOKUP(练度预期!E257-1,装备养成!$U$3:$U$11,装备养成!$V$3:$V$11)*(6-练度预期!F257)</f>
        <v>1.65488</v>
      </c>
      <c r="G257" s="48">
        <f ca="1">OFFSET(梦灵养成!$K$20,_xlfn.XLOOKUP(练度预期!H257,梦灵养成!$D$10:$D$28,梦灵养成!$H$10:$H$28),MATCH(OFFSET(梦灵养成!$C$33,B257,MATCH(练度预期!H257,梦灵养成!$D$33:$V$33,0)),梦灵养成!$L$20:$R$20,1))*(1+(OFFSET(梦灵养成!$C$33,B257,MATCH(练度预期!H257,梦灵养成!$D$33:$V$33,0))-1)*_xlfn.XLOOKUP(练度预期!H257,梦灵养成!$D$9:$D$28,梦灵养成!$G$9:$G$28))</f>
        <v>29.8725</v>
      </c>
      <c r="H257" s="46">
        <f ca="1">符文养成!AC258</f>
        <v>28.1131170728031</v>
      </c>
      <c r="I257" s="46">
        <f>MAX(_xlfn.XLOOKUP(练度预期!O257,秘宝养成!$B$3:$B$15,秘宝养成!$E$3:$E$15),1)</f>
        <v>2.7915904</v>
      </c>
      <c r="J257" s="104">
        <f ca="1" t="shared" si="70"/>
        <v>80565967.0030107</v>
      </c>
      <c r="K257" s="104">
        <f ca="1">MATCH(J257,关卡预期!$E$4:$E$303,1)</f>
        <v>186</v>
      </c>
      <c r="L257" s="48">
        <f ca="1" t="shared" si="71"/>
        <v>0.796879514591159</v>
      </c>
      <c r="M257" s="48">
        <f ca="1" t="shared" si="72"/>
        <v>0.174227101993644</v>
      </c>
      <c r="N257" s="48">
        <f ca="1" t="shared" si="73"/>
        <v>0.0288933834151979</v>
      </c>
      <c r="O257" s="48">
        <f ca="1" t="shared" si="74"/>
        <v>0.0609581425676316</v>
      </c>
      <c r="P257" s="48">
        <f ca="1" t="shared" si="75"/>
        <v>0.411076703520052</v>
      </c>
      <c r="Q257" s="48">
        <f ca="1" t="shared" si="76"/>
        <v>0.40373091171006</v>
      </c>
      <c r="R257" s="48">
        <f ca="1" t="shared" si="77"/>
        <v>0.124234242202256</v>
      </c>
      <c r="S257" s="46">
        <f ca="1" t="shared" si="78"/>
        <v>0.796879514591159</v>
      </c>
      <c r="T257" s="46">
        <f ca="1" t="shared" si="79"/>
        <v>0.174227101993644</v>
      </c>
      <c r="U257" s="46">
        <f ca="1" t="shared" si="80"/>
        <v>0.0288933834151979</v>
      </c>
      <c r="V257" s="48">
        <f ca="1" t="shared" si="81"/>
        <v>0.503728498647356</v>
      </c>
      <c r="W257" s="48">
        <f ca="1" t="shared" si="82"/>
        <v>3.39693832474177</v>
      </c>
      <c r="X257" s="48">
        <f ca="1" t="shared" si="83"/>
        <v>3.33623626716648</v>
      </c>
      <c r="Y257" s="48">
        <f t="shared" si="84"/>
        <v>1.02661146926685</v>
      </c>
      <c r="Z257" s="105">
        <f ca="1" t="shared" si="85"/>
        <v>0.0609581425676316</v>
      </c>
      <c r="AA257" s="105">
        <f ca="1" t="shared" si="86"/>
        <v>0.411076703520052</v>
      </c>
      <c r="AB257" s="105">
        <f ca="1" t="shared" si="87"/>
        <v>0.40373091171006</v>
      </c>
      <c r="AC257" s="105">
        <f ca="1" t="shared" si="88"/>
        <v>0.124234242202256</v>
      </c>
      <c r="AD257" s="105">
        <f ca="1" t="shared" si="89"/>
        <v>0.796879514591159</v>
      </c>
      <c r="AE257" s="105">
        <f ca="1" t="shared" si="90"/>
        <v>0.174227101993643</v>
      </c>
      <c r="AF257" s="105">
        <f ca="1" t="shared" si="91"/>
        <v>0.0288933834151979</v>
      </c>
    </row>
    <row r="258" ht="16.5" spans="1:32">
      <c r="A258">
        <f ca="1" t="shared" si="69"/>
        <v>20766</v>
      </c>
      <c r="B258" s="2">
        <v>256</v>
      </c>
      <c r="C258" s="2">
        <f>_xlfn.XLOOKUP(练度预期!D258,装备养成!$B$3:$B$303,装备养成!$D$3:$D$303)*6</f>
        <v>16548</v>
      </c>
      <c r="D258" s="2" cm="1">
        <f ca="1" t="array" ref="D258">_xlfn.XLOOKUP(练度预期!E258&amp;"_"&amp;INT(练度预期!C258/10)*10+10,装备养成!$N$4:$N$219&amp;"_"&amp;装备养成!$K$4:$K$219,装备养成!$P$4:$P$219)*练度预期!F258+_xlfn.XLOOKUP(练度预期!E258-1&amp;"_"&amp;INT(练度预期!C258/10)*10+10,装备养成!$N$4:$N$219&amp;"_"&amp;装备养成!$K$4:$K$219,装备养成!$P$4:$P$219)*(6-练度预期!F258)</f>
        <v>3618</v>
      </c>
      <c r="E258" s="2">
        <f ca="1">练度预期!N258*4*练度预期!M258</f>
        <v>600</v>
      </c>
      <c r="F258" s="103">
        <f ca="1">INT(练度预期!D258/10)*0.02+1+_xlfn.XLOOKUP(练度预期!E258,装备养成!$U$3:$U$11,装备养成!$V$3:$V$11)*练度预期!F258+_xlfn.XLOOKUP(练度预期!E258-1,装备养成!$U$3:$U$11,装备养成!$V$3:$V$11)*(6-练度预期!F258)</f>
        <v>1.65488</v>
      </c>
      <c r="G258" s="48">
        <f ca="1">OFFSET(梦灵养成!$K$20,_xlfn.XLOOKUP(练度预期!H258,梦灵养成!$D$10:$D$28,梦灵养成!$H$10:$H$28),MATCH(OFFSET(梦灵养成!$C$33,B258,MATCH(练度预期!H258,梦灵养成!$D$33:$V$33,0)),梦灵养成!$L$20:$R$20,1))*(1+(OFFSET(梦灵养成!$C$33,B258,MATCH(练度预期!H258,梦灵养成!$D$33:$V$33,0))-1)*_xlfn.XLOOKUP(练度预期!H258,梦灵养成!$D$9:$D$28,梦灵养成!$G$9:$G$28))</f>
        <v>29.8725</v>
      </c>
      <c r="H258" s="46">
        <f ca="1">符文养成!AC259</f>
        <v>28.1633502645442</v>
      </c>
      <c r="I258" s="46">
        <f>MAX(_xlfn.XLOOKUP(练度预期!O258,秘宝养成!$B$3:$B$15,秘宝养成!$E$3:$E$15),1)</f>
        <v>2.7915904</v>
      </c>
      <c r="J258" s="104">
        <f ca="1" t="shared" si="70"/>
        <v>80709924.2048319</v>
      </c>
      <c r="K258" s="104">
        <f ca="1">MATCH(J258,关卡预期!$E$4:$E$303,1)</f>
        <v>186</v>
      </c>
      <c r="L258" s="48">
        <f ca="1" t="shared" si="71"/>
        <v>0.796879514591159</v>
      </c>
      <c r="M258" s="48">
        <f ca="1" t="shared" si="72"/>
        <v>0.174227101993643</v>
      </c>
      <c r="N258" s="48">
        <f ca="1" t="shared" si="73"/>
        <v>0.0288933834151979</v>
      </c>
      <c r="O258" s="48">
        <f ca="1" t="shared" si="74"/>
        <v>0.0609449761637851</v>
      </c>
      <c r="P258" s="48">
        <f ca="1" t="shared" si="75"/>
        <v>0.410987914694435</v>
      </c>
      <c r="Q258" s="48">
        <f ca="1" t="shared" si="76"/>
        <v>0.403859700404842</v>
      </c>
      <c r="R258" s="48">
        <f ca="1" t="shared" si="77"/>
        <v>0.124207408736938</v>
      </c>
      <c r="S258" s="46">
        <f ca="1" t="shared" si="78"/>
        <v>0.796879514591159</v>
      </c>
      <c r="T258" s="46">
        <f ca="1" t="shared" si="79"/>
        <v>0.174227101993643</v>
      </c>
      <c r="U258" s="46">
        <f ca="1" t="shared" si="80"/>
        <v>0.0288933834151979</v>
      </c>
      <c r="V258" s="48">
        <f ca="1" t="shared" si="81"/>
        <v>0.503728498647356</v>
      </c>
      <c r="W258" s="48">
        <f ca="1" t="shared" si="82"/>
        <v>3.39693832474177</v>
      </c>
      <c r="X258" s="48">
        <f ca="1" t="shared" si="83"/>
        <v>3.33802149667569</v>
      </c>
      <c r="Y258" s="48">
        <f t="shared" si="84"/>
        <v>1.02661146926685</v>
      </c>
      <c r="Z258" s="105">
        <f ca="1" t="shared" si="85"/>
        <v>0.0609449761637851</v>
      </c>
      <c r="AA258" s="105">
        <f ca="1" t="shared" si="86"/>
        <v>0.410987914694435</v>
      </c>
      <c r="AB258" s="105">
        <f ca="1" t="shared" si="87"/>
        <v>0.403859700404842</v>
      </c>
      <c r="AC258" s="105">
        <f ca="1" t="shared" si="88"/>
        <v>0.124207408736939</v>
      </c>
      <c r="AD258" s="105">
        <f ca="1" t="shared" si="89"/>
        <v>0.796879514591159</v>
      </c>
      <c r="AE258" s="105">
        <f ca="1" t="shared" si="90"/>
        <v>0.174227101993643</v>
      </c>
      <c r="AF258" s="105">
        <f ca="1" t="shared" si="91"/>
        <v>0.0288933834151979</v>
      </c>
    </row>
    <row r="259" ht="16.5" spans="1:32">
      <c r="A259">
        <f ca="1" t="shared" si="69"/>
        <v>20766</v>
      </c>
      <c r="B259" s="2">
        <v>257</v>
      </c>
      <c r="C259" s="2">
        <f>_xlfn.XLOOKUP(练度预期!D259,装备养成!$B$3:$B$303,装备养成!$D$3:$D$303)*6</f>
        <v>16548</v>
      </c>
      <c r="D259" s="2" cm="1">
        <f ca="1" t="array" ref="D259">_xlfn.XLOOKUP(练度预期!E259&amp;"_"&amp;INT(练度预期!C259/10)*10+10,装备养成!$N$4:$N$219&amp;"_"&amp;装备养成!$K$4:$K$219,装备养成!$P$4:$P$219)*练度预期!F259+_xlfn.XLOOKUP(练度预期!E259-1&amp;"_"&amp;INT(练度预期!C259/10)*10+10,装备养成!$N$4:$N$219&amp;"_"&amp;装备养成!$K$4:$K$219,装备养成!$P$4:$P$219)*(6-练度预期!F259)</f>
        <v>3618</v>
      </c>
      <c r="E259" s="2">
        <f ca="1">练度预期!N259*4*练度预期!M259</f>
        <v>600</v>
      </c>
      <c r="F259" s="103">
        <f ca="1">INT(练度预期!D259/10)*0.02+1+_xlfn.XLOOKUP(练度预期!E259,装备养成!$U$3:$U$11,装备养成!$V$3:$V$11)*练度预期!F259+_xlfn.XLOOKUP(练度预期!E259-1,装备养成!$U$3:$U$11,装备养成!$V$3:$V$11)*(6-练度预期!F259)</f>
        <v>1.65488</v>
      </c>
      <c r="G259" s="48">
        <f ca="1">OFFSET(梦灵养成!$K$20,_xlfn.XLOOKUP(练度预期!H259,梦灵养成!$D$10:$D$28,梦灵养成!$H$10:$H$28),MATCH(OFFSET(梦灵养成!$C$33,B259,MATCH(练度预期!H259,梦灵养成!$D$33:$V$33,0)),梦灵养成!$L$20:$R$20,1))*(1+(OFFSET(梦灵养成!$C$33,B259,MATCH(练度预期!H259,梦灵养成!$D$33:$V$33,0))-1)*_xlfn.XLOOKUP(练度预期!H259,梦灵养成!$D$9:$D$28,梦灵养成!$G$9:$G$28))</f>
        <v>29.8725</v>
      </c>
      <c r="H259" s="46">
        <f ca="1">符文养成!AC260</f>
        <v>28.2238594788752</v>
      </c>
      <c r="I259" s="46">
        <f>MAX(_xlfn.XLOOKUP(练度预期!O259,秘宝养成!$B$3:$B$15,秘宝养成!$E$3:$E$15),1)</f>
        <v>2.7915904</v>
      </c>
      <c r="J259" s="104">
        <f ca="1" t="shared" si="70"/>
        <v>80883330.2114494</v>
      </c>
      <c r="K259" s="104">
        <f ca="1">MATCH(J259,关卡预期!$E$4:$E$303,1)</f>
        <v>186</v>
      </c>
      <c r="L259" s="48">
        <f ca="1" t="shared" si="71"/>
        <v>0.796879514591159</v>
      </c>
      <c r="M259" s="48">
        <f ca="1" t="shared" si="72"/>
        <v>0.174227101993644</v>
      </c>
      <c r="N259" s="48">
        <f ca="1" t="shared" si="73"/>
        <v>0.0288933834151978</v>
      </c>
      <c r="O259" s="48">
        <f ca="1" t="shared" si="74"/>
        <v>0.0609291550295007</v>
      </c>
      <c r="P259" s="48">
        <f ca="1" t="shared" si="75"/>
        <v>0.410881223455929</v>
      </c>
      <c r="Q259" s="48">
        <f ca="1" t="shared" si="76"/>
        <v>0.404014456650982</v>
      </c>
      <c r="R259" s="48">
        <f ca="1" t="shared" si="77"/>
        <v>0.124175164863589</v>
      </c>
      <c r="S259" s="46">
        <f ca="1" t="shared" si="78"/>
        <v>0.796879514591159</v>
      </c>
      <c r="T259" s="46">
        <f ca="1" t="shared" si="79"/>
        <v>0.174227101993644</v>
      </c>
      <c r="U259" s="46">
        <f ca="1" t="shared" si="80"/>
        <v>0.0288933834151978</v>
      </c>
      <c r="V259" s="48">
        <f ca="1" t="shared" si="81"/>
        <v>0.503728498647356</v>
      </c>
      <c r="W259" s="48">
        <f ca="1" t="shared" si="82"/>
        <v>3.39693832474177</v>
      </c>
      <c r="X259" s="48">
        <f ca="1" t="shared" si="83"/>
        <v>3.34016770103064</v>
      </c>
      <c r="Y259" s="48">
        <f t="shared" si="84"/>
        <v>1.02661146926685</v>
      </c>
      <c r="Z259" s="105">
        <f ca="1" t="shared" si="85"/>
        <v>0.0609291550295007</v>
      </c>
      <c r="AA259" s="105">
        <f ca="1" t="shared" si="86"/>
        <v>0.410881223455929</v>
      </c>
      <c r="AB259" s="105">
        <f ca="1" t="shared" si="87"/>
        <v>0.404014456650982</v>
      </c>
      <c r="AC259" s="105">
        <f ca="1" t="shared" si="88"/>
        <v>0.124175164863589</v>
      </c>
      <c r="AD259" s="105">
        <f ca="1" t="shared" si="89"/>
        <v>0.796879514591159</v>
      </c>
      <c r="AE259" s="105">
        <f ca="1" t="shared" si="90"/>
        <v>0.174227101993643</v>
      </c>
      <c r="AF259" s="105">
        <f ca="1" t="shared" si="91"/>
        <v>0.0288933834151979</v>
      </c>
    </row>
    <row r="260" ht="16.5" spans="1:32">
      <c r="A260">
        <f ca="1" t="shared" ref="A260:A302" si="92">SUM(C260:E260)</f>
        <v>21066</v>
      </c>
      <c r="B260" s="2">
        <v>258</v>
      </c>
      <c r="C260" s="2">
        <f>_xlfn.XLOOKUP(练度预期!D260,装备养成!$B$3:$B$303,装备养成!$D$3:$D$303)*6</f>
        <v>16848</v>
      </c>
      <c r="D260" s="2" cm="1">
        <f ca="1" t="array" ref="D260">_xlfn.XLOOKUP(练度预期!E260&amp;"_"&amp;INT(练度预期!C260/10)*10+10,装备养成!$N$4:$N$219&amp;"_"&amp;装备养成!$K$4:$K$219,装备养成!$P$4:$P$219)*练度预期!F260+_xlfn.XLOOKUP(练度预期!E260-1&amp;"_"&amp;INT(练度预期!C260/10)*10+10,装备养成!$N$4:$N$219&amp;"_"&amp;装备养成!$K$4:$K$219,装备养成!$P$4:$P$219)*(6-练度预期!F260)</f>
        <v>3618</v>
      </c>
      <c r="E260" s="2">
        <f ca="1">练度预期!N260*4*练度预期!M260</f>
        <v>600</v>
      </c>
      <c r="F260" s="103">
        <f ca="1">INT(练度预期!D260/10)*0.02+1+_xlfn.XLOOKUP(练度预期!E260,装备养成!$U$3:$U$11,装备养成!$V$3:$V$11)*练度预期!F260+_xlfn.XLOOKUP(练度预期!E260-1,装备养成!$U$3:$U$11,装备养成!$V$3:$V$11)*(6-练度预期!F260)</f>
        <v>1.65488</v>
      </c>
      <c r="G260" s="48">
        <f ca="1">OFFSET(梦灵养成!$K$20,_xlfn.XLOOKUP(练度预期!H260,梦灵养成!$D$10:$D$28,梦灵养成!$H$10:$H$28),MATCH(OFFSET(梦灵养成!$C$33,B260,MATCH(练度预期!H260,梦灵养成!$D$33:$V$33,0)),梦灵养成!$L$20:$R$20,1))*(1+(OFFSET(梦灵养成!$C$33,B260,MATCH(练度预期!H260,梦灵养成!$D$33:$V$33,0))-1)*_xlfn.XLOOKUP(练度预期!H260,梦灵养成!$D$9:$D$28,梦灵养成!$G$9:$G$28))</f>
        <v>29.8725</v>
      </c>
      <c r="H260" s="46">
        <f ca="1">符文养成!AC261</f>
        <v>28.2683101907885</v>
      </c>
      <c r="I260" s="46">
        <f>MAX(_xlfn.XLOOKUP(练度预期!O260,秘宝养成!$B$3:$B$15,秘宝养成!$E$3:$E$15),1)</f>
        <v>2.7915904</v>
      </c>
      <c r="J260" s="104">
        <f ca="1" t="shared" ref="J260:J302" si="93">(C260+D260+E260)*G260*H260*I260*F260</f>
        <v>82181052.9474013</v>
      </c>
      <c r="K260" s="104">
        <f ca="1">MATCH(J260,关卡预期!$E$4:$E$303,1)</f>
        <v>187</v>
      </c>
      <c r="L260" s="48">
        <f ca="1" t="shared" ref="L260:L302" si="94">S260/SUM($S260:$U260)</f>
        <v>0.799772144688123</v>
      </c>
      <c r="M260" s="48">
        <f ca="1" t="shared" ref="M260:M302" si="95">T260/SUM($S260:$U260)</f>
        <v>0.171745941327257</v>
      </c>
      <c r="N260" s="48">
        <f ca="1" t="shared" ref="N260:N302" si="96">U260/SUM($S260:$U260)</f>
        <v>0.0284819139846197</v>
      </c>
      <c r="O260" s="48">
        <f ca="1" t="shared" ref="O260:O302" si="97">V260/SUM($V260:$Y260)</f>
        <v>0.0609175594707474</v>
      </c>
      <c r="P260" s="48">
        <f ca="1" t="shared" ref="P260:P302" si="98">W260/SUM($V260:$Y260)</f>
        <v>0.410803027765132</v>
      </c>
      <c r="Q260" s="48">
        <f ca="1" t="shared" ref="Q260:Q302" si="99">X260/SUM($V260:$Y260)</f>
        <v>0.404127879943668</v>
      </c>
      <c r="R260" s="48">
        <f ca="1" t="shared" ref="R260:R302" si="100">Y260/SUM($V260:$Y260)</f>
        <v>0.124151532820453</v>
      </c>
      <c r="S260" s="46">
        <f ca="1" t="shared" ref="S260:S302" si="101">1-($C260+$D260+$E260-C260)*$G260*$H260*$F260*$I260/$J260</f>
        <v>0.799772144688123</v>
      </c>
      <c r="T260" s="46">
        <f ca="1" t="shared" ref="T260:T302" si="102">1-($C260+$D260+$E260-D260)*$G260*$H260*$F260*$I260/$J260</f>
        <v>0.171745941327257</v>
      </c>
      <c r="U260" s="46">
        <f ca="1" t="shared" ref="U260:U302" si="103">1-($C260+$D260+$E260-E260)*$G260*$H260*$F260*$I260/$J260</f>
        <v>0.0284819139846197</v>
      </c>
      <c r="V260" s="48">
        <f ca="1" t="shared" ref="V260:V302" si="104">LOG(F260,EXP(1))</f>
        <v>0.503728498647356</v>
      </c>
      <c r="W260" s="48">
        <f ca="1" t="shared" ref="W260:W302" si="105">LOG(G260,EXP(1))</f>
        <v>3.39693832474177</v>
      </c>
      <c r="X260" s="48">
        <f ca="1" t="shared" ref="X260:X302" si="106">LOG(H260,EXP(1))</f>
        <v>3.34174139598152</v>
      </c>
      <c r="Y260" s="48">
        <f t="shared" ref="Y260:Y302" si="107">LOG(I260,EXP(1))</f>
        <v>1.02661146926685</v>
      </c>
      <c r="Z260" s="105">
        <f ca="1" t="shared" ref="Z260:Z302" si="108">O260/SUM($O260:$R260)</f>
        <v>0.0609175594707474</v>
      </c>
      <c r="AA260" s="105">
        <f ca="1" t="shared" ref="AA260:AA302" si="109">P260/SUM($O260:$R260)</f>
        <v>0.410803027765132</v>
      </c>
      <c r="AB260" s="105">
        <f ca="1" t="shared" ref="AB260:AB302" si="110">Q260/SUM($O260:$R260)</f>
        <v>0.404127879943668</v>
      </c>
      <c r="AC260" s="105">
        <f ca="1" t="shared" ref="AC260:AC302" si="111">R260/SUM($O260:$R260)</f>
        <v>0.124151532820453</v>
      </c>
      <c r="AD260" s="105">
        <f ca="1" t="shared" ref="AD260:AD302" si="112">C260/SUM($C260:$E260)</f>
        <v>0.799772144688123</v>
      </c>
      <c r="AE260" s="105">
        <f ca="1" t="shared" ref="AE260:AE302" si="113">D260/SUM($C260:$E260)</f>
        <v>0.171745941327257</v>
      </c>
      <c r="AF260" s="105">
        <f ca="1" t="shared" ref="AF260:AF302" si="114">E260/SUM($C260:$E260)</f>
        <v>0.0284819139846198</v>
      </c>
    </row>
    <row r="261" ht="16.5" spans="1:32">
      <c r="A261">
        <f ca="1" t="shared" si="92"/>
        <v>21066</v>
      </c>
      <c r="B261" s="2">
        <v>259</v>
      </c>
      <c r="C261" s="2">
        <f>_xlfn.XLOOKUP(练度预期!D261,装备养成!$B$3:$B$303,装备养成!$D$3:$D$303)*6</f>
        <v>16848</v>
      </c>
      <c r="D261" s="2" cm="1">
        <f ca="1" t="array" ref="D261">_xlfn.XLOOKUP(练度预期!E261&amp;"_"&amp;INT(练度预期!C261/10)*10+10,装备养成!$N$4:$N$219&amp;"_"&amp;装备养成!$K$4:$K$219,装备养成!$P$4:$P$219)*练度预期!F261+_xlfn.XLOOKUP(练度预期!E261-1&amp;"_"&amp;INT(练度预期!C261/10)*10+10,装备养成!$N$4:$N$219&amp;"_"&amp;装备养成!$K$4:$K$219,装备养成!$P$4:$P$219)*(6-练度预期!F261)</f>
        <v>3618</v>
      </c>
      <c r="E261" s="2">
        <f ca="1">练度预期!N261*4*练度预期!M261</f>
        <v>600</v>
      </c>
      <c r="F261" s="103">
        <f ca="1">INT(练度预期!D261/10)*0.02+1+_xlfn.XLOOKUP(练度预期!E261,装备养成!$U$3:$U$11,装备养成!$V$3:$V$11)*练度预期!F261+_xlfn.XLOOKUP(练度预期!E261-1,装备养成!$U$3:$U$11,装备养成!$V$3:$V$11)*(6-练度预期!F261)</f>
        <v>1.65488</v>
      </c>
      <c r="G261" s="48">
        <f ca="1">OFFSET(梦灵养成!$K$20,_xlfn.XLOOKUP(练度预期!H261,梦灵养成!$D$10:$D$28,梦灵养成!$H$10:$H$28),MATCH(OFFSET(梦灵养成!$C$33,B261,MATCH(练度预期!H261,梦灵养成!$D$33:$V$33,0)),梦灵养成!$L$20:$R$20,1))*(1+(OFFSET(梦灵养成!$C$33,B261,MATCH(练度预期!H261,梦灵养成!$D$33:$V$33,0))-1)*_xlfn.XLOOKUP(练度预期!H261,梦灵养成!$D$9:$D$28,梦灵养成!$G$9:$G$28))</f>
        <v>29.8725</v>
      </c>
      <c r="H261" s="46">
        <f ca="1">符文养成!AC262</f>
        <v>28.3290359169809</v>
      </c>
      <c r="I261" s="46">
        <f>MAX(_xlfn.XLOOKUP(练度预期!O261,秘宝养成!$B$3:$B$15,秘宝养成!$E$3:$E$15),1)</f>
        <v>2.7915904</v>
      </c>
      <c r="J261" s="104">
        <f ca="1" t="shared" si="93"/>
        <v>82357593.53599</v>
      </c>
      <c r="K261" s="104">
        <f ca="1">MATCH(J261,关卡预期!$E$4:$E$303,1)</f>
        <v>187</v>
      </c>
      <c r="L261" s="48">
        <f ca="1" t="shared" si="94"/>
        <v>0.799772144688123</v>
      </c>
      <c r="M261" s="48">
        <f ca="1" t="shared" si="95"/>
        <v>0.171745941327257</v>
      </c>
      <c r="N261" s="48">
        <f ca="1" t="shared" si="96"/>
        <v>0.0284819139846197</v>
      </c>
      <c r="O261" s="48">
        <f ca="1" t="shared" si="97"/>
        <v>0.0609017549040624</v>
      </c>
      <c r="P261" s="48">
        <f ca="1" t="shared" si="98"/>
        <v>0.410696448251718</v>
      </c>
      <c r="Q261" s="48">
        <f ca="1" t="shared" si="99"/>
        <v>0.404282474131928</v>
      </c>
      <c r="R261" s="48">
        <f ca="1" t="shared" si="100"/>
        <v>0.124119322712291</v>
      </c>
      <c r="S261" s="46">
        <f ca="1" t="shared" si="101"/>
        <v>0.799772144688123</v>
      </c>
      <c r="T261" s="46">
        <f ca="1" t="shared" si="102"/>
        <v>0.171745941327257</v>
      </c>
      <c r="U261" s="46">
        <f ca="1" t="shared" si="103"/>
        <v>0.0284819139846197</v>
      </c>
      <c r="V261" s="48">
        <f ca="1" t="shared" si="104"/>
        <v>0.503728498647356</v>
      </c>
      <c r="W261" s="48">
        <f ca="1" t="shared" si="105"/>
        <v>3.39693832474177</v>
      </c>
      <c r="X261" s="48">
        <f ca="1" t="shared" si="106"/>
        <v>3.34388728280029</v>
      </c>
      <c r="Y261" s="48">
        <f t="shared" si="107"/>
        <v>1.02661146926685</v>
      </c>
      <c r="Z261" s="105">
        <f ca="1" t="shared" si="108"/>
        <v>0.0609017549040624</v>
      </c>
      <c r="AA261" s="105">
        <f ca="1" t="shared" si="109"/>
        <v>0.410696448251718</v>
      </c>
      <c r="AB261" s="105">
        <f ca="1" t="shared" si="110"/>
        <v>0.404282474131928</v>
      </c>
      <c r="AC261" s="105">
        <f ca="1" t="shared" si="111"/>
        <v>0.124119322712291</v>
      </c>
      <c r="AD261" s="105">
        <f ca="1" t="shared" si="112"/>
        <v>0.799772144688123</v>
      </c>
      <c r="AE261" s="105">
        <f ca="1" t="shared" si="113"/>
        <v>0.171745941327257</v>
      </c>
      <c r="AF261" s="105">
        <f ca="1" t="shared" si="114"/>
        <v>0.0284819139846198</v>
      </c>
    </row>
    <row r="262" ht="16.5" spans="1:32">
      <c r="A262">
        <f ca="1" t="shared" si="92"/>
        <v>21066</v>
      </c>
      <c r="B262" s="2">
        <v>260</v>
      </c>
      <c r="C262" s="2">
        <f>_xlfn.XLOOKUP(练度预期!D262,装备养成!$B$3:$B$303,装备养成!$D$3:$D$303)*6</f>
        <v>16848</v>
      </c>
      <c r="D262" s="2" cm="1">
        <f ca="1" t="array" ref="D262">_xlfn.XLOOKUP(练度预期!E262&amp;"_"&amp;INT(练度预期!C262/10)*10+10,装备养成!$N$4:$N$219&amp;"_"&amp;装备养成!$K$4:$K$219,装备养成!$P$4:$P$219)*练度预期!F262+_xlfn.XLOOKUP(练度预期!E262-1&amp;"_"&amp;INT(练度预期!C262/10)*10+10,装备养成!$N$4:$N$219&amp;"_"&amp;装备养成!$K$4:$K$219,装备养成!$P$4:$P$219)*(6-练度预期!F262)</f>
        <v>3618</v>
      </c>
      <c r="E262" s="2">
        <f ca="1">练度预期!N262*4*练度预期!M262</f>
        <v>600</v>
      </c>
      <c r="F262" s="103">
        <f ca="1">INT(练度预期!D262/10)*0.02+1+_xlfn.XLOOKUP(练度预期!E262,装备养成!$U$3:$U$11,装备养成!$V$3:$V$11)*练度预期!F262+_xlfn.XLOOKUP(练度预期!E262-1,装备养成!$U$3:$U$11,装备养成!$V$3:$V$11)*(6-练度预期!F262)</f>
        <v>1.65488</v>
      </c>
      <c r="G262" s="48">
        <f ca="1">OFFSET(梦灵养成!$K$20,_xlfn.XLOOKUP(练度预期!H262,梦灵养成!$D$10:$D$28,梦灵养成!$H$10:$H$28),MATCH(OFFSET(梦灵养成!$C$33,B262,MATCH(练度预期!H262,梦灵养成!$D$33:$V$33,0)),梦灵养成!$L$20:$R$20,1))*(1+(OFFSET(梦灵养成!$C$33,B262,MATCH(练度预期!H262,梦灵养成!$D$33:$V$33,0))-1)*_xlfn.XLOOKUP(练度预期!H262,梦灵养成!$D$9:$D$28,梦灵养成!$G$9:$G$28))</f>
        <v>29.8725</v>
      </c>
      <c r="H262" s="46">
        <f ca="1">符文养成!AC263</f>
        <v>28.3796395013782</v>
      </c>
      <c r="I262" s="46">
        <f>MAX(_xlfn.XLOOKUP(练度预期!O262,秘宝养成!$B$3:$B$15,秘宝养成!$E$3:$E$15),1)</f>
        <v>2.7915904</v>
      </c>
      <c r="J262" s="104">
        <f ca="1" t="shared" si="93"/>
        <v>82504707.2410759</v>
      </c>
      <c r="K262" s="104">
        <f ca="1">MATCH(J262,关卡预期!$E$4:$E$303,1)</f>
        <v>187</v>
      </c>
      <c r="L262" s="48">
        <f ca="1" t="shared" si="94"/>
        <v>0.799772144688123</v>
      </c>
      <c r="M262" s="48">
        <f ca="1" t="shared" si="95"/>
        <v>0.171745941327257</v>
      </c>
      <c r="N262" s="48">
        <f ca="1" t="shared" si="96"/>
        <v>0.0284819139846197</v>
      </c>
      <c r="O262" s="48">
        <f ca="1" t="shared" si="97"/>
        <v>0.0608886168428269</v>
      </c>
      <c r="P262" s="48">
        <f ca="1" t="shared" si="98"/>
        <v>0.410607850557041</v>
      </c>
      <c r="Q262" s="48">
        <f ca="1" t="shared" si="99"/>
        <v>0.404410985590198</v>
      </c>
      <c r="R262" s="48">
        <f ca="1" t="shared" si="100"/>
        <v>0.124092547009935</v>
      </c>
      <c r="S262" s="46">
        <f ca="1" t="shared" si="101"/>
        <v>0.799772144688123</v>
      </c>
      <c r="T262" s="46">
        <f ca="1" t="shared" si="102"/>
        <v>0.171745941327257</v>
      </c>
      <c r="U262" s="46">
        <f ca="1" t="shared" si="103"/>
        <v>0.0284819139846197</v>
      </c>
      <c r="V262" s="48">
        <f ca="1" t="shared" si="104"/>
        <v>0.503728498647356</v>
      </c>
      <c r="W262" s="48">
        <f ca="1" t="shared" si="105"/>
        <v>3.39693832474177</v>
      </c>
      <c r="X262" s="48">
        <f ca="1" t="shared" si="106"/>
        <v>3.34567196909231</v>
      </c>
      <c r="Y262" s="48">
        <f t="shared" si="107"/>
        <v>1.02661146926685</v>
      </c>
      <c r="Z262" s="105">
        <f ca="1" t="shared" si="108"/>
        <v>0.0608886168428269</v>
      </c>
      <c r="AA262" s="105">
        <f ca="1" t="shared" si="109"/>
        <v>0.410607850557041</v>
      </c>
      <c r="AB262" s="105">
        <f ca="1" t="shared" si="110"/>
        <v>0.404410985590198</v>
      </c>
      <c r="AC262" s="105">
        <f ca="1" t="shared" si="111"/>
        <v>0.124092547009935</v>
      </c>
      <c r="AD262" s="105">
        <f ca="1" t="shared" si="112"/>
        <v>0.799772144688123</v>
      </c>
      <c r="AE262" s="105">
        <f ca="1" t="shared" si="113"/>
        <v>0.171745941327257</v>
      </c>
      <c r="AF262" s="105">
        <f ca="1" t="shared" si="114"/>
        <v>0.0284819139846198</v>
      </c>
    </row>
    <row r="263" ht="16.5" spans="1:32">
      <c r="A263">
        <f ca="1" t="shared" si="92"/>
        <v>21066</v>
      </c>
      <c r="B263" s="2">
        <v>261</v>
      </c>
      <c r="C263" s="2">
        <f>_xlfn.XLOOKUP(练度预期!D263,装备养成!$B$3:$B$303,装备养成!$D$3:$D$303)*6</f>
        <v>16848</v>
      </c>
      <c r="D263" s="2" cm="1">
        <f ca="1" t="array" ref="D263">_xlfn.XLOOKUP(练度预期!E263&amp;"_"&amp;INT(练度预期!C263/10)*10+10,装备养成!$N$4:$N$219&amp;"_"&amp;装备养成!$K$4:$K$219,装备养成!$P$4:$P$219)*练度预期!F263+_xlfn.XLOOKUP(练度预期!E263-1&amp;"_"&amp;INT(练度预期!C263/10)*10+10,装备养成!$N$4:$N$219&amp;"_"&amp;装备养成!$K$4:$K$219,装备养成!$P$4:$P$219)*(6-练度预期!F263)</f>
        <v>3618</v>
      </c>
      <c r="E263" s="2">
        <f ca="1">练度预期!N263*4*练度预期!M263</f>
        <v>600</v>
      </c>
      <c r="F263" s="103">
        <f ca="1">INT(练度预期!D263/10)*0.02+1+_xlfn.XLOOKUP(练度预期!E263,装备养成!$U$3:$U$11,装备养成!$V$3:$V$11)*练度预期!F263+_xlfn.XLOOKUP(练度预期!E263-1,装备养成!$U$3:$U$11,装备养成!$V$3:$V$11)*(6-练度预期!F263)</f>
        <v>1.65488</v>
      </c>
      <c r="G263" s="48">
        <f ca="1">OFFSET(梦灵养成!$K$20,_xlfn.XLOOKUP(练度预期!H263,梦灵养成!$D$10:$D$28,梦灵养成!$H$10:$H$28),MATCH(OFFSET(梦灵养成!$C$33,B263,MATCH(练度预期!H263,梦灵养成!$D$33:$V$33,0)),梦灵养成!$L$20:$R$20,1))*(1+(OFFSET(梦灵养成!$C$33,B263,MATCH(练度预期!H263,梦灵养成!$D$33:$V$33,0))-1)*_xlfn.XLOOKUP(练度预期!H263,梦灵养成!$D$9:$D$28,梦灵养成!$G$9:$G$28))</f>
        <v>29.8725</v>
      </c>
      <c r="H263" s="46">
        <f ca="1">符文养成!AC264</f>
        <v>28.4405948257692</v>
      </c>
      <c r="I263" s="46">
        <f>MAX(_xlfn.XLOOKUP(练度预期!O263,秘宝养成!$B$3:$B$15,秘宝养成!$E$3:$E$15),1)</f>
        <v>2.7915904</v>
      </c>
      <c r="J263" s="104">
        <f ca="1" t="shared" si="93"/>
        <v>82681915.3128493</v>
      </c>
      <c r="K263" s="104">
        <f ca="1">MATCH(J263,关卡预期!$E$4:$E$303,1)</f>
        <v>187</v>
      </c>
      <c r="L263" s="48">
        <f ca="1" t="shared" si="94"/>
        <v>0.799772144688123</v>
      </c>
      <c r="M263" s="48">
        <f ca="1" t="shared" si="95"/>
        <v>0.171745941327257</v>
      </c>
      <c r="N263" s="48">
        <f ca="1" t="shared" si="96"/>
        <v>0.0284819139846197</v>
      </c>
      <c r="O263" s="48">
        <f ca="1" t="shared" si="97"/>
        <v>0.0608728297607668</v>
      </c>
      <c r="P263" s="48">
        <f ca="1" t="shared" si="98"/>
        <v>0.410501388952764</v>
      </c>
      <c r="Q263" s="48">
        <f ca="1" t="shared" si="99"/>
        <v>0.404565408750588</v>
      </c>
      <c r="R263" s="48">
        <f ca="1" t="shared" si="100"/>
        <v>0.124060372535882</v>
      </c>
      <c r="S263" s="46">
        <f ca="1" t="shared" si="101"/>
        <v>0.799772144688123</v>
      </c>
      <c r="T263" s="46">
        <f ca="1" t="shared" si="102"/>
        <v>0.171745941327257</v>
      </c>
      <c r="U263" s="46">
        <f ca="1" t="shared" si="103"/>
        <v>0.0284819139846197</v>
      </c>
      <c r="V263" s="48">
        <f ca="1" t="shared" si="104"/>
        <v>0.503728498647356</v>
      </c>
      <c r="W263" s="48">
        <f ca="1" t="shared" si="105"/>
        <v>3.39693832474177</v>
      </c>
      <c r="X263" s="48">
        <f ca="1" t="shared" si="106"/>
        <v>3.34781751982776</v>
      </c>
      <c r="Y263" s="48">
        <f t="shared" si="107"/>
        <v>1.02661146926685</v>
      </c>
      <c r="Z263" s="105">
        <f ca="1" t="shared" si="108"/>
        <v>0.0608728297607668</v>
      </c>
      <c r="AA263" s="105">
        <f ca="1" t="shared" si="109"/>
        <v>0.410501388952764</v>
      </c>
      <c r="AB263" s="105">
        <f ca="1" t="shared" si="110"/>
        <v>0.404565408750588</v>
      </c>
      <c r="AC263" s="105">
        <f ca="1" t="shared" si="111"/>
        <v>0.124060372535882</v>
      </c>
      <c r="AD263" s="105">
        <f ca="1" t="shared" si="112"/>
        <v>0.799772144688123</v>
      </c>
      <c r="AE263" s="105">
        <f ca="1" t="shared" si="113"/>
        <v>0.171745941327257</v>
      </c>
      <c r="AF263" s="105">
        <f ca="1" t="shared" si="114"/>
        <v>0.0284819139846198</v>
      </c>
    </row>
    <row r="264" ht="16.5" spans="1:32">
      <c r="A264">
        <f ca="1" t="shared" si="92"/>
        <v>21066</v>
      </c>
      <c r="B264" s="2">
        <v>262</v>
      </c>
      <c r="C264" s="2">
        <f>_xlfn.XLOOKUP(练度预期!D264,装备养成!$B$3:$B$303,装备养成!$D$3:$D$303)*6</f>
        <v>16848</v>
      </c>
      <c r="D264" s="2" cm="1">
        <f ca="1" t="array" ref="D264">_xlfn.XLOOKUP(练度预期!E264&amp;"_"&amp;INT(练度预期!C264/10)*10+10,装备养成!$N$4:$N$219&amp;"_"&amp;装备养成!$K$4:$K$219,装备养成!$P$4:$P$219)*练度预期!F264+_xlfn.XLOOKUP(练度预期!E264-1&amp;"_"&amp;INT(练度预期!C264/10)*10+10,装备养成!$N$4:$N$219&amp;"_"&amp;装备养成!$K$4:$K$219,装备养成!$P$4:$P$219)*(6-练度预期!F264)</f>
        <v>3618</v>
      </c>
      <c r="E264" s="2">
        <f ca="1">练度预期!N264*4*练度预期!M264</f>
        <v>600</v>
      </c>
      <c r="F264" s="103">
        <f ca="1">INT(练度预期!D264/10)*0.02+1+_xlfn.XLOOKUP(练度预期!E264,装备养成!$U$3:$U$11,装备养成!$V$3:$V$11)*练度预期!F264+_xlfn.XLOOKUP(练度预期!E264-1,装备养成!$U$3:$U$11,装备养成!$V$3:$V$11)*(6-练度预期!F264)</f>
        <v>1.65488</v>
      </c>
      <c r="G264" s="48">
        <f ca="1">OFFSET(梦灵养成!$K$20,_xlfn.XLOOKUP(练度预期!H264,梦灵养成!$D$10:$D$28,梦灵养成!$H$10:$H$28),MATCH(OFFSET(梦灵养成!$C$33,B264,MATCH(练度预期!H264,梦灵养成!$D$33:$V$33,0)),梦灵养成!$L$20:$R$20,1))*(1+(OFFSET(梦灵养成!$C$33,B264,MATCH(练度预期!H264,梦灵养成!$D$33:$V$33,0))-1)*_xlfn.XLOOKUP(练度预期!H264,梦灵养成!$D$9:$D$28,梦灵养成!$G$9:$G$28))</f>
        <v>29.8725</v>
      </c>
      <c r="H264" s="46">
        <f ca="1">符文养成!AC265</f>
        <v>28.4913897149996</v>
      </c>
      <c r="I264" s="46">
        <f>MAX(_xlfn.XLOOKUP(练度预期!O264,秘宝养成!$B$3:$B$15,秘宝养成!$E$3:$E$15),1)</f>
        <v>2.7915904</v>
      </c>
      <c r="J264" s="104">
        <f ca="1" t="shared" si="93"/>
        <v>82829585.1754313</v>
      </c>
      <c r="K264" s="104">
        <f ca="1">MATCH(J264,关卡预期!$E$4:$E$303,1)</f>
        <v>187</v>
      </c>
      <c r="L264" s="48">
        <f ca="1" t="shared" si="94"/>
        <v>0.799772144688123</v>
      </c>
      <c r="M264" s="48">
        <f ca="1" t="shared" si="95"/>
        <v>0.171745941327257</v>
      </c>
      <c r="N264" s="48">
        <f ca="1" t="shared" si="96"/>
        <v>0.0284819139846199</v>
      </c>
      <c r="O264" s="48">
        <f ca="1" t="shared" si="97"/>
        <v>0.0608597062320317</v>
      </c>
      <c r="P264" s="48">
        <f ca="1" t="shared" si="98"/>
        <v>0.410412889259306</v>
      </c>
      <c r="Q264" s="48">
        <f ca="1" t="shared" si="99"/>
        <v>0.404693778057532</v>
      </c>
      <c r="R264" s="48">
        <f ca="1" t="shared" si="100"/>
        <v>0.12403362645113</v>
      </c>
      <c r="S264" s="46">
        <f ca="1" t="shared" si="101"/>
        <v>0.799772144688123</v>
      </c>
      <c r="T264" s="46">
        <f ca="1" t="shared" si="102"/>
        <v>0.171745941327257</v>
      </c>
      <c r="U264" s="46">
        <f ca="1" t="shared" si="103"/>
        <v>0.0284819139846199</v>
      </c>
      <c r="V264" s="48">
        <f ca="1" t="shared" si="104"/>
        <v>0.503728498647356</v>
      </c>
      <c r="W264" s="48">
        <f ca="1" t="shared" si="105"/>
        <v>3.39693832474177</v>
      </c>
      <c r="X264" s="48">
        <f ca="1" t="shared" si="106"/>
        <v>3.34960192636542</v>
      </c>
      <c r="Y264" s="48">
        <f t="shared" si="107"/>
        <v>1.02661146926685</v>
      </c>
      <c r="Z264" s="105">
        <f ca="1" t="shared" si="108"/>
        <v>0.0608597062320317</v>
      </c>
      <c r="AA264" s="105">
        <f ca="1" t="shared" si="109"/>
        <v>0.410412889259306</v>
      </c>
      <c r="AB264" s="105">
        <f ca="1" t="shared" si="110"/>
        <v>0.404693778057532</v>
      </c>
      <c r="AC264" s="105">
        <f ca="1" t="shared" si="111"/>
        <v>0.12403362645113</v>
      </c>
      <c r="AD264" s="105">
        <f ca="1" t="shared" si="112"/>
        <v>0.799772144688123</v>
      </c>
      <c r="AE264" s="105">
        <f ca="1" t="shared" si="113"/>
        <v>0.171745941327257</v>
      </c>
      <c r="AF264" s="105">
        <f ca="1" t="shared" si="114"/>
        <v>0.0284819139846198</v>
      </c>
    </row>
    <row r="265" ht="16.5" spans="1:32">
      <c r="A265">
        <f ca="1" t="shared" si="92"/>
        <v>21366</v>
      </c>
      <c r="B265" s="2">
        <v>263</v>
      </c>
      <c r="C265" s="2">
        <f>_xlfn.XLOOKUP(练度预期!D265,装备养成!$B$3:$B$303,装备养成!$D$3:$D$303)*6</f>
        <v>17148</v>
      </c>
      <c r="D265" s="2" cm="1">
        <f ca="1" t="array" ref="D265">_xlfn.XLOOKUP(练度预期!E265&amp;"_"&amp;INT(练度预期!C265/10)*10+10,装备养成!$N$4:$N$219&amp;"_"&amp;装备养成!$K$4:$K$219,装备养成!$P$4:$P$219)*练度预期!F265+_xlfn.XLOOKUP(练度预期!E265-1&amp;"_"&amp;INT(练度预期!C265/10)*10+10,装备养成!$N$4:$N$219&amp;"_"&amp;装备养成!$K$4:$K$219,装备养成!$P$4:$P$219)*(6-练度预期!F265)</f>
        <v>3618</v>
      </c>
      <c r="E265" s="2">
        <f ca="1">练度预期!N265*4*练度预期!M265</f>
        <v>600</v>
      </c>
      <c r="F265" s="103">
        <f ca="1">INT(练度预期!D265/10)*0.02+1+_xlfn.XLOOKUP(练度预期!E265,装备养成!$U$3:$U$11,装备养成!$V$3:$V$11)*练度预期!F265+_xlfn.XLOOKUP(练度预期!E265-1,装备养成!$U$3:$U$11,装备养成!$V$3:$V$11)*(6-练度预期!F265)</f>
        <v>1.65488</v>
      </c>
      <c r="G265" s="48">
        <f ca="1">OFFSET(梦灵养成!$K$20,_xlfn.XLOOKUP(练度预期!H265,梦灵养成!$D$10:$D$28,梦灵养成!$H$10:$H$28),MATCH(OFFSET(梦灵养成!$C$33,B265,MATCH(练度预期!H265,梦灵养成!$D$33:$V$33,0)),梦灵养成!$L$20:$R$20,1))*(1+(OFFSET(梦灵养成!$C$33,B265,MATCH(练度预期!H265,梦灵养成!$D$33:$V$33,0))-1)*_xlfn.XLOOKUP(练度预期!H265,梦灵养成!$D$9:$D$28,梦灵养成!$G$9:$G$28))</f>
        <v>29.8725</v>
      </c>
      <c r="H265" s="46">
        <f ca="1">符文养成!AC266</f>
        <v>28.5514987724272</v>
      </c>
      <c r="I265" s="46">
        <f>MAX(_xlfn.XLOOKUP(练度预期!O265,秘宝养成!$B$3:$B$15,秘宝养成!$E$3:$E$15),1)</f>
        <v>2.7915904</v>
      </c>
      <c r="J265" s="104">
        <f ca="1" t="shared" si="93"/>
        <v>84186394.1335941</v>
      </c>
      <c r="K265" s="104">
        <f ca="1">MATCH(J265,关卡预期!$E$4:$E$303,1)</f>
        <v>187</v>
      </c>
      <c r="L265" s="48">
        <f ca="1" t="shared" si="94"/>
        <v>0.802583543948329</v>
      </c>
      <c r="M265" s="48">
        <f ca="1" t="shared" si="95"/>
        <v>0.169334456613311</v>
      </c>
      <c r="N265" s="48">
        <f ca="1" t="shared" si="96"/>
        <v>0.02808199943836</v>
      </c>
      <c r="O265" s="48">
        <f ca="1" t="shared" si="97"/>
        <v>0.0608442137436722</v>
      </c>
      <c r="P265" s="48">
        <f ca="1" t="shared" si="98"/>
        <v>0.41030841427408</v>
      </c>
      <c r="Q265" s="48">
        <f ca="1" t="shared" si="99"/>
        <v>0.404845319615728</v>
      </c>
      <c r="R265" s="48">
        <f ca="1" t="shared" si="100"/>
        <v>0.124002052366519</v>
      </c>
      <c r="S265" s="46">
        <f ca="1" t="shared" si="101"/>
        <v>0.802583543948329</v>
      </c>
      <c r="T265" s="46">
        <f ca="1" t="shared" si="102"/>
        <v>0.169334456613311</v>
      </c>
      <c r="U265" s="46">
        <f ca="1" t="shared" si="103"/>
        <v>0.02808199943836</v>
      </c>
      <c r="V265" s="48">
        <f ca="1" t="shared" si="104"/>
        <v>0.503728498647356</v>
      </c>
      <c r="W265" s="48">
        <f ca="1" t="shared" si="105"/>
        <v>3.39693832474177</v>
      </c>
      <c r="X265" s="48">
        <f ca="1" t="shared" si="106"/>
        <v>3.35170943113139</v>
      </c>
      <c r="Y265" s="48">
        <f t="shared" si="107"/>
        <v>1.02661146926685</v>
      </c>
      <c r="Z265" s="105">
        <f ca="1" t="shared" si="108"/>
        <v>0.0608442137436722</v>
      </c>
      <c r="AA265" s="105">
        <f ca="1" t="shared" si="109"/>
        <v>0.41030841427408</v>
      </c>
      <c r="AB265" s="105">
        <f ca="1" t="shared" si="110"/>
        <v>0.404845319615728</v>
      </c>
      <c r="AC265" s="105">
        <f ca="1" t="shared" si="111"/>
        <v>0.124002052366519</v>
      </c>
      <c r="AD265" s="105">
        <f ca="1" t="shared" si="112"/>
        <v>0.802583543948329</v>
      </c>
      <c r="AE265" s="105">
        <f ca="1" t="shared" si="113"/>
        <v>0.169334456613311</v>
      </c>
      <c r="AF265" s="105">
        <f ca="1" t="shared" si="114"/>
        <v>0.02808199943836</v>
      </c>
    </row>
    <row r="266" ht="16.5" spans="1:32">
      <c r="A266">
        <f ca="1" t="shared" si="92"/>
        <v>21366</v>
      </c>
      <c r="B266" s="2">
        <v>264</v>
      </c>
      <c r="C266" s="2">
        <f>_xlfn.XLOOKUP(练度预期!D266,装备养成!$B$3:$B$303,装备养成!$D$3:$D$303)*6</f>
        <v>17148</v>
      </c>
      <c r="D266" s="2" cm="1">
        <f ca="1" t="array" ref="D266">_xlfn.XLOOKUP(练度预期!E266&amp;"_"&amp;INT(练度预期!C266/10)*10+10,装备养成!$N$4:$N$219&amp;"_"&amp;装备养成!$K$4:$K$219,装备养成!$P$4:$P$219)*练度预期!F266+_xlfn.XLOOKUP(练度预期!E266-1&amp;"_"&amp;INT(练度预期!C266/10)*10+10,装备养成!$N$4:$N$219&amp;"_"&amp;装备养成!$K$4:$K$219,装备养成!$P$4:$P$219)*(6-练度预期!F266)</f>
        <v>3618</v>
      </c>
      <c r="E266" s="2">
        <f ca="1">练度预期!N266*4*练度预期!M266</f>
        <v>600</v>
      </c>
      <c r="F266" s="103">
        <f ca="1">INT(练度预期!D266/10)*0.02+1+_xlfn.XLOOKUP(练度预期!E266,装备养成!$U$3:$U$11,装备养成!$V$3:$V$11)*练度预期!F266+_xlfn.XLOOKUP(练度预期!E266-1,装备养成!$U$3:$U$11,装备养成!$V$3:$V$11)*(6-练度预期!F266)</f>
        <v>1.65488</v>
      </c>
      <c r="G266" s="48">
        <f ca="1">OFFSET(梦灵养成!$K$20,_xlfn.XLOOKUP(练度预期!H266,梦灵养成!$D$10:$D$28,梦灵养成!$H$10:$H$28),MATCH(OFFSET(梦灵养成!$C$33,B266,MATCH(练度预期!H266,梦灵养成!$D$33:$V$33,0)),梦灵养成!$L$20:$R$20,1))*(1+(OFFSET(梦灵养成!$C$33,B266,MATCH(练度预期!H266,梦灵养成!$D$33:$V$33,0))-1)*_xlfn.XLOOKUP(练度预期!H266,梦灵养成!$D$9:$D$28,梦灵养成!$G$9:$G$28))</f>
        <v>29.8725</v>
      </c>
      <c r="H266" s="46">
        <f ca="1">符文养成!AC267</f>
        <v>28.5975230881204</v>
      </c>
      <c r="I266" s="46">
        <f>MAX(_xlfn.XLOOKUP(练度预期!O266,秘宝养成!$B$3:$B$15,秘宝养成!$E$3:$E$15),1)</f>
        <v>2.7915904</v>
      </c>
      <c r="J266" s="104">
        <f ca="1" t="shared" si="93"/>
        <v>84322100.535964</v>
      </c>
      <c r="K266" s="104">
        <f ca="1">MATCH(J266,关卡预期!$E$4:$E$303,1)</f>
        <v>187</v>
      </c>
      <c r="L266" s="48">
        <f ca="1" t="shared" si="94"/>
        <v>0.802583543948329</v>
      </c>
      <c r="M266" s="48">
        <f ca="1" t="shared" si="95"/>
        <v>0.169334456613311</v>
      </c>
      <c r="N266" s="48">
        <f ca="1" t="shared" si="96"/>
        <v>0.02808199943836</v>
      </c>
      <c r="O266" s="48">
        <f ca="1" t="shared" si="97"/>
        <v>0.0608323788001749</v>
      </c>
      <c r="P266" s="48">
        <f ca="1" t="shared" si="98"/>
        <v>0.410228604270785</v>
      </c>
      <c r="Q266" s="48">
        <f ca="1" t="shared" si="99"/>
        <v>0.404961084477842</v>
      </c>
      <c r="R266" s="48">
        <f ca="1" t="shared" si="100"/>
        <v>0.123977932451198</v>
      </c>
      <c r="S266" s="46">
        <f ca="1" t="shared" si="101"/>
        <v>0.802583543948329</v>
      </c>
      <c r="T266" s="46">
        <f ca="1" t="shared" si="102"/>
        <v>0.169334456613311</v>
      </c>
      <c r="U266" s="46">
        <f ca="1" t="shared" si="103"/>
        <v>0.02808199943836</v>
      </c>
      <c r="V266" s="48">
        <f ca="1" t="shared" si="104"/>
        <v>0.503728498647356</v>
      </c>
      <c r="W266" s="48">
        <f ca="1" t="shared" si="105"/>
        <v>3.39693832474177</v>
      </c>
      <c r="X266" s="48">
        <f ca="1" t="shared" si="106"/>
        <v>3.35332010876488</v>
      </c>
      <c r="Y266" s="48">
        <f t="shared" si="107"/>
        <v>1.02661146926685</v>
      </c>
      <c r="Z266" s="105">
        <f ca="1" t="shared" si="108"/>
        <v>0.0608323788001749</v>
      </c>
      <c r="AA266" s="105">
        <f ca="1" t="shared" si="109"/>
        <v>0.410228604270785</v>
      </c>
      <c r="AB266" s="105">
        <f ca="1" t="shared" si="110"/>
        <v>0.404961084477842</v>
      </c>
      <c r="AC266" s="105">
        <f ca="1" t="shared" si="111"/>
        <v>0.123977932451198</v>
      </c>
      <c r="AD266" s="105">
        <f ca="1" t="shared" si="112"/>
        <v>0.802583543948329</v>
      </c>
      <c r="AE266" s="105">
        <f ca="1" t="shared" si="113"/>
        <v>0.169334456613311</v>
      </c>
      <c r="AF266" s="105">
        <f ca="1" t="shared" si="114"/>
        <v>0.02808199943836</v>
      </c>
    </row>
    <row r="267" ht="16.5" spans="1:32">
      <c r="A267">
        <f ca="1" t="shared" si="92"/>
        <v>21366</v>
      </c>
      <c r="B267" s="2">
        <v>265</v>
      </c>
      <c r="C267" s="2">
        <f>_xlfn.XLOOKUP(练度预期!D267,装备养成!$B$3:$B$303,装备养成!$D$3:$D$303)*6</f>
        <v>17148</v>
      </c>
      <c r="D267" s="2" cm="1">
        <f ca="1" t="array" ref="D267">_xlfn.XLOOKUP(练度预期!E267&amp;"_"&amp;INT(练度预期!C267/10)*10+10,装备养成!$N$4:$N$219&amp;"_"&amp;装备养成!$K$4:$K$219,装备养成!$P$4:$P$219)*练度预期!F267+_xlfn.XLOOKUP(练度预期!E267-1&amp;"_"&amp;INT(练度预期!C267/10)*10+10,装备养成!$N$4:$N$219&amp;"_"&amp;装备养成!$K$4:$K$219,装备养成!$P$4:$P$219)*(6-练度预期!F267)</f>
        <v>3618</v>
      </c>
      <c r="E267" s="2">
        <f ca="1">练度预期!N267*4*练度预期!M267</f>
        <v>600</v>
      </c>
      <c r="F267" s="103">
        <f ca="1">INT(练度预期!D267/10)*0.02+1+_xlfn.XLOOKUP(练度预期!E267,装备养成!$U$3:$U$11,装备养成!$V$3:$V$11)*练度预期!F267+_xlfn.XLOOKUP(练度预期!E267-1,装备养成!$U$3:$U$11,装备养成!$V$3:$V$11)*(6-练度预期!F267)</f>
        <v>1.65488</v>
      </c>
      <c r="G267" s="48">
        <f ca="1">OFFSET(梦灵养成!$K$20,_xlfn.XLOOKUP(练度预期!H267,梦灵养成!$D$10:$D$28,梦灵养成!$H$10:$H$28),MATCH(OFFSET(梦灵养成!$C$33,B267,MATCH(练度预期!H267,梦灵养成!$D$33:$V$33,0)),梦灵养成!$L$20:$R$20,1))*(1+(OFFSET(梦灵养成!$C$33,B267,MATCH(练度预期!H267,梦灵养成!$D$33:$V$33,0))-1)*_xlfn.XLOOKUP(练度预期!H267,梦灵养成!$D$9:$D$28,梦灵养成!$G$9:$G$28))</f>
        <v>29.8725</v>
      </c>
      <c r="H267" s="46">
        <f ca="1">符文养成!AC268</f>
        <v>28.65784707669</v>
      </c>
      <c r="I267" s="46">
        <f>MAX(_xlfn.XLOOKUP(练度预期!O267,秘宝养成!$B$3:$B$15,秘宝养成!$E$3:$E$15),1)</f>
        <v>2.7915904</v>
      </c>
      <c r="J267" s="104">
        <f ca="1" t="shared" si="93"/>
        <v>84499970.6757387</v>
      </c>
      <c r="K267" s="104">
        <f ca="1">MATCH(J267,关卡预期!$E$4:$E$303,1)</f>
        <v>187</v>
      </c>
      <c r="L267" s="48">
        <f ca="1" t="shared" si="94"/>
        <v>0.802583543948329</v>
      </c>
      <c r="M267" s="48">
        <f ca="1" t="shared" si="95"/>
        <v>0.169334456613311</v>
      </c>
      <c r="N267" s="48">
        <f ca="1" t="shared" si="96"/>
        <v>0.02808199943836</v>
      </c>
      <c r="O267" s="48">
        <f ca="1" t="shared" si="97"/>
        <v>0.0608169025210696</v>
      </c>
      <c r="P267" s="48">
        <f ca="1" t="shared" si="98"/>
        <v>0.410124238594119</v>
      </c>
      <c r="Q267" s="48">
        <f ca="1" t="shared" si="99"/>
        <v>0.405112467483353</v>
      </c>
      <c r="R267" s="48">
        <f ca="1" t="shared" si="100"/>
        <v>0.123946391401458</v>
      </c>
      <c r="S267" s="46">
        <f ca="1" t="shared" si="101"/>
        <v>0.802583543948329</v>
      </c>
      <c r="T267" s="46">
        <f ca="1" t="shared" si="102"/>
        <v>0.169334456613311</v>
      </c>
      <c r="U267" s="46">
        <f ca="1" t="shared" si="103"/>
        <v>0.02808199943836</v>
      </c>
      <c r="V267" s="48">
        <f ca="1" t="shared" si="104"/>
        <v>0.503728498647356</v>
      </c>
      <c r="W267" s="48">
        <f ca="1" t="shared" si="105"/>
        <v>3.39693832474177</v>
      </c>
      <c r="X267" s="48">
        <f ca="1" t="shared" si="106"/>
        <v>3.35542730013285</v>
      </c>
      <c r="Y267" s="48">
        <f t="shared" si="107"/>
        <v>1.02661146926685</v>
      </c>
      <c r="Z267" s="105">
        <f ca="1" t="shared" si="108"/>
        <v>0.0608169025210696</v>
      </c>
      <c r="AA267" s="105">
        <f ca="1" t="shared" si="109"/>
        <v>0.410124238594119</v>
      </c>
      <c r="AB267" s="105">
        <f ca="1" t="shared" si="110"/>
        <v>0.405112467483353</v>
      </c>
      <c r="AC267" s="105">
        <f ca="1" t="shared" si="111"/>
        <v>0.123946391401458</v>
      </c>
      <c r="AD267" s="105">
        <f ca="1" t="shared" si="112"/>
        <v>0.802583543948329</v>
      </c>
      <c r="AE267" s="105">
        <f ca="1" t="shared" si="113"/>
        <v>0.169334456613311</v>
      </c>
      <c r="AF267" s="105">
        <f ca="1" t="shared" si="114"/>
        <v>0.02808199943836</v>
      </c>
    </row>
    <row r="268" ht="16.5" spans="1:32">
      <c r="A268">
        <f ca="1" t="shared" si="92"/>
        <v>21366</v>
      </c>
      <c r="B268" s="2">
        <v>266</v>
      </c>
      <c r="C268" s="2">
        <f>_xlfn.XLOOKUP(练度预期!D268,装备养成!$B$3:$B$303,装备养成!$D$3:$D$303)*6</f>
        <v>17148</v>
      </c>
      <c r="D268" s="2" cm="1">
        <f ca="1" t="array" ref="D268">_xlfn.XLOOKUP(练度预期!E268&amp;"_"&amp;INT(练度预期!C268/10)*10+10,装备养成!$N$4:$N$219&amp;"_"&amp;装备养成!$K$4:$K$219,装备养成!$P$4:$P$219)*练度预期!F268+_xlfn.XLOOKUP(练度预期!E268-1&amp;"_"&amp;INT(练度预期!C268/10)*10+10,装备养成!$N$4:$N$219&amp;"_"&amp;装备养成!$K$4:$K$219,装备养成!$P$4:$P$219)*(6-练度预期!F268)</f>
        <v>3618</v>
      </c>
      <c r="E268" s="2">
        <f ca="1">练度预期!N268*4*练度预期!M268</f>
        <v>600</v>
      </c>
      <c r="F268" s="103">
        <f ca="1">INT(练度预期!D268/10)*0.02+1+_xlfn.XLOOKUP(练度预期!E268,装备养成!$U$3:$U$11,装备养成!$V$3:$V$11)*练度预期!F268+_xlfn.XLOOKUP(练度预期!E268-1,装备养成!$U$3:$U$11,装备养成!$V$3:$V$11)*(6-练度预期!F268)</f>
        <v>1.65488</v>
      </c>
      <c r="G268" s="48">
        <f ca="1">OFFSET(梦灵养成!$K$20,_xlfn.XLOOKUP(练度预期!H268,梦灵养成!$D$10:$D$28,梦灵养成!$H$10:$H$28),MATCH(OFFSET(梦灵养成!$C$33,B268,MATCH(练度预期!H268,梦灵养成!$D$33:$V$33,0)),梦灵养成!$L$20:$R$20,1))*(1+(OFFSET(梦灵养成!$C$33,B268,MATCH(练度预期!H268,梦灵养成!$D$33:$V$33,0))-1)*_xlfn.XLOOKUP(练度预期!H268,梦灵养成!$D$9:$D$28,梦灵养成!$G$9:$G$28))</f>
        <v>29.8725</v>
      </c>
      <c r="H268" s="46">
        <f ca="1">符文养成!AC269</f>
        <v>28.7193759225156</v>
      </c>
      <c r="I268" s="46">
        <f>MAX(_xlfn.XLOOKUP(练度预期!O268,秘宝养成!$B$3:$B$15,秘宝养成!$E$3:$E$15),1)</f>
        <v>2.7915904</v>
      </c>
      <c r="J268" s="104">
        <f ca="1" t="shared" si="93"/>
        <v>84681393.4341917</v>
      </c>
      <c r="K268" s="104">
        <f ca="1">MATCH(J268,关卡预期!$E$4:$E$303,1)</f>
        <v>187</v>
      </c>
      <c r="L268" s="48">
        <f ca="1" t="shared" si="94"/>
        <v>0.802583543948329</v>
      </c>
      <c r="M268" s="48">
        <f ca="1" t="shared" si="95"/>
        <v>0.169334456613311</v>
      </c>
      <c r="N268" s="48">
        <f ca="1" t="shared" si="96"/>
        <v>0.0280819994383601</v>
      </c>
      <c r="O268" s="48">
        <f ca="1" t="shared" si="97"/>
        <v>0.0608011587401758</v>
      </c>
      <c r="P268" s="48">
        <f ca="1" t="shared" si="98"/>
        <v>0.410018068995143</v>
      </c>
      <c r="Q268" s="48">
        <f ca="1" t="shared" si="99"/>
        <v>0.405266467088399</v>
      </c>
      <c r="R268" s="48">
        <f ca="1" t="shared" si="100"/>
        <v>0.123914305176282</v>
      </c>
      <c r="S268" s="46">
        <f ca="1" t="shared" si="101"/>
        <v>0.802583543948329</v>
      </c>
      <c r="T268" s="46">
        <f ca="1" t="shared" si="102"/>
        <v>0.169334456613311</v>
      </c>
      <c r="U268" s="46">
        <f ca="1" t="shared" si="103"/>
        <v>0.0280819994383601</v>
      </c>
      <c r="V268" s="48">
        <f ca="1" t="shared" si="104"/>
        <v>0.503728498647356</v>
      </c>
      <c r="W268" s="48">
        <f ca="1" t="shared" si="105"/>
        <v>3.39693832474177</v>
      </c>
      <c r="X268" s="48">
        <f ca="1" t="shared" si="106"/>
        <v>3.35757201422651</v>
      </c>
      <c r="Y268" s="48">
        <f t="shared" si="107"/>
        <v>1.02661146926685</v>
      </c>
      <c r="Z268" s="105">
        <f ca="1" t="shared" si="108"/>
        <v>0.0608011587401758</v>
      </c>
      <c r="AA268" s="105">
        <f ca="1" t="shared" si="109"/>
        <v>0.410018068995143</v>
      </c>
      <c r="AB268" s="105">
        <f ca="1" t="shared" si="110"/>
        <v>0.405266467088399</v>
      </c>
      <c r="AC268" s="105">
        <f ca="1" t="shared" si="111"/>
        <v>0.123914305176282</v>
      </c>
      <c r="AD268" s="105">
        <f ca="1" t="shared" si="112"/>
        <v>0.802583543948329</v>
      </c>
      <c r="AE268" s="105">
        <f ca="1" t="shared" si="113"/>
        <v>0.169334456613311</v>
      </c>
      <c r="AF268" s="105">
        <f ca="1" t="shared" si="114"/>
        <v>0.02808199943836</v>
      </c>
    </row>
    <row r="269" ht="16.5" spans="1:32">
      <c r="A269">
        <f ca="1" t="shared" si="92"/>
        <v>21666</v>
      </c>
      <c r="B269" s="2">
        <v>267</v>
      </c>
      <c r="C269" s="2">
        <f>_xlfn.XLOOKUP(练度预期!D269,装备养成!$B$3:$B$303,装备养成!$D$3:$D$303)*6</f>
        <v>17448</v>
      </c>
      <c r="D269" s="2" cm="1">
        <f ca="1" t="array" ref="D269">_xlfn.XLOOKUP(练度预期!E269&amp;"_"&amp;INT(练度预期!C269/10)*10+10,装备养成!$N$4:$N$219&amp;"_"&amp;装备养成!$K$4:$K$219,装备养成!$P$4:$P$219)*练度预期!F269+_xlfn.XLOOKUP(练度预期!E269-1&amp;"_"&amp;INT(练度预期!C269/10)*10+10,装备养成!$N$4:$N$219&amp;"_"&amp;装备养成!$K$4:$K$219,装备养成!$P$4:$P$219)*(6-练度预期!F269)</f>
        <v>3618</v>
      </c>
      <c r="E269" s="2">
        <f ca="1">练度预期!N269*4*练度预期!M269</f>
        <v>600</v>
      </c>
      <c r="F269" s="103">
        <f ca="1">INT(练度预期!D269/10)*0.02+1+_xlfn.XLOOKUP(练度预期!E269,装备养成!$U$3:$U$11,装备养成!$V$3:$V$11)*练度预期!F269+_xlfn.XLOOKUP(练度预期!E269-1,装备养成!$U$3:$U$11,装备养成!$V$3:$V$11)*(6-练度预期!F269)</f>
        <v>1.67488</v>
      </c>
      <c r="G269" s="48">
        <f ca="1">OFFSET(梦灵养成!$K$20,_xlfn.XLOOKUP(练度预期!H269,梦灵养成!$D$10:$D$28,梦灵养成!$H$10:$H$28),MATCH(OFFSET(梦灵养成!$C$33,B269,MATCH(练度预期!H269,梦灵养成!$D$33:$V$33,0)),梦灵养成!$L$20:$R$20,1))*(1+(OFFSET(梦灵养成!$C$33,B269,MATCH(练度预期!H269,梦灵养成!$D$33:$V$33,0))-1)*_xlfn.XLOOKUP(练度预期!H269,梦灵养成!$D$9:$D$28,梦灵养成!$G$9:$G$28))</f>
        <v>29.8725</v>
      </c>
      <c r="H269" s="46">
        <f ca="1">符文养成!AC270</f>
        <v>28.7706486782552</v>
      </c>
      <c r="I269" s="46">
        <f>MAX(_xlfn.XLOOKUP(练度预期!O269,秘宝养成!$B$3:$B$15,秘宝养成!$E$3:$E$15),1)</f>
        <v>2.7915904</v>
      </c>
      <c r="J269" s="104">
        <f ca="1" t="shared" si="93"/>
        <v>87063346.2756188</v>
      </c>
      <c r="K269" s="104">
        <f ca="1">MATCH(J269,关卡预期!$E$4:$E$303,1)</f>
        <v>188</v>
      </c>
      <c r="L269" s="48">
        <f ca="1" t="shared" si="94"/>
        <v>0.80531708667959</v>
      </c>
      <c r="M269" s="48">
        <f ca="1" t="shared" si="95"/>
        <v>0.166989753530878</v>
      </c>
      <c r="N269" s="48">
        <f ca="1" t="shared" si="96"/>
        <v>0.027693159789532</v>
      </c>
      <c r="O269" s="48">
        <f ca="1" t="shared" si="97"/>
        <v>0.0621476631647026</v>
      </c>
      <c r="P269" s="48">
        <f ca="1" t="shared" si="98"/>
        <v>0.409336402508178</v>
      </c>
      <c r="Q269" s="48">
        <f ca="1" t="shared" si="99"/>
        <v>0.404807640142746</v>
      </c>
      <c r="R269" s="48">
        <f ca="1" t="shared" si="100"/>
        <v>0.123708294184373</v>
      </c>
      <c r="S269" s="46">
        <f ca="1" t="shared" si="101"/>
        <v>0.80531708667959</v>
      </c>
      <c r="T269" s="46">
        <f ca="1" t="shared" si="102"/>
        <v>0.166989753530878</v>
      </c>
      <c r="U269" s="46">
        <f ca="1" t="shared" si="103"/>
        <v>0.027693159789532</v>
      </c>
      <c r="V269" s="48">
        <f ca="1" t="shared" si="104"/>
        <v>0.515741520919589</v>
      </c>
      <c r="W269" s="48">
        <f ca="1" t="shared" si="105"/>
        <v>3.39693832474177</v>
      </c>
      <c r="X269" s="48">
        <f ca="1" t="shared" si="106"/>
        <v>3.3593557243463</v>
      </c>
      <c r="Y269" s="48">
        <f t="shared" si="107"/>
        <v>1.02661146926685</v>
      </c>
      <c r="Z269" s="105">
        <f ca="1" t="shared" si="108"/>
        <v>0.0621476631647026</v>
      </c>
      <c r="AA269" s="105">
        <f ca="1" t="shared" si="109"/>
        <v>0.409336402508178</v>
      </c>
      <c r="AB269" s="105">
        <f ca="1" t="shared" si="110"/>
        <v>0.404807640142746</v>
      </c>
      <c r="AC269" s="105">
        <f ca="1" t="shared" si="111"/>
        <v>0.123708294184373</v>
      </c>
      <c r="AD269" s="105">
        <f ca="1" t="shared" si="112"/>
        <v>0.80531708667959</v>
      </c>
      <c r="AE269" s="105">
        <f ca="1" t="shared" si="113"/>
        <v>0.166989753530878</v>
      </c>
      <c r="AF269" s="105">
        <f ca="1" t="shared" si="114"/>
        <v>0.027693159789532</v>
      </c>
    </row>
    <row r="270" ht="16.5" spans="1:32">
      <c r="A270">
        <f ca="1" t="shared" si="92"/>
        <v>21666</v>
      </c>
      <c r="B270" s="2">
        <v>268</v>
      </c>
      <c r="C270" s="2">
        <f>_xlfn.XLOOKUP(练度预期!D270,装备养成!$B$3:$B$303,装备养成!$D$3:$D$303)*6</f>
        <v>17448</v>
      </c>
      <c r="D270" s="2" cm="1">
        <f ca="1" t="array" ref="D270">_xlfn.XLOOKUP(练度预期!E270&amp;"_"&amp;INT(练度预期!C270/10)*10+10,装备养成!$N$4:$N$219&amp;"_"&amp;装备养成!$K$4:$K$219,装备养成!$P$4:$P$219)*练度预期!F270+_xlfn.XLOOKUP(练度预期!E270-1&amp;"_"&amp;INT(练度预期!C270/10)*10+10,装备养成!$N$4:$N$219&amp;"_"&amp;装备养成!$K$4:$K$219,装备养成!$P$4:$P$219)*(6-练度预期!F270)</f>
        <v>3618</v>
      </c>
      <c r="E270" s="2">
        <f ca="1">练度预期!N270*4*练度预期!M270</f>
        <v>600</v>
      </c>
      <c r="F270" s="103">
        <f ca="1">INT(练度预期!D270/10)*0.02+1+_xlfn.XLOOKUP(练度预期!E270,装备养成!$U$3:$U$11,装备养成!$V$3:$V$11)*练度预期!F270+_xlfn.XLOOKUP(练度预期!E270-1,装备养成!$U$3:$U$11,装备养成!$V$3:$V$11)*(6-练度预期!F270)</f>
        <v>1.67488</v>
      </c>
      <c r="G270" s="48">
        <f ca="1">OFFSET(梦灵养成!$K$20,_xlfn.XLOOKUP(练度预期!H270,梦灵养成!$D$10:$D$28,梦灵养成!$H$10:$H$28),MATCH(OFFSET(梦灵养成!$C$33,B270,MATCH(练度预期!H270,梦灵养成!$D$33:$V$33,0)),梦灵养成!$L$20:$R$20,1))*(1+(OFFSET(梦灵养成!$C$33,B270,MATCH(练度预期!H270,梦灵养成!$D$33:$V$33,0))-1)*_xlfn.XLOOKUP(练度预期!H270,梦灵养成!$D$9:$D$28,梦灵养成!$G$9:$G$28))</f>
        <v>29.8725</v>
      </c>
      <c r="H270" s="46">
        <f ca="1">符文养成!AC271</f>
        <v>28.8324099676156</v>
      </c>
      <c r="I270" s="46">
        <f>MAX(_xlfn.XLOOKUP(练度预期!O270,秘宝养成!$B$3:$B$15,秘宝养成!$E$3:$E$15),1)</f>
        <v>2.7915904</v>
      </c>
      <c r="J270" s="104">
        <f ca="1" t="shared" si="93"/>
        <v>87250243.1573036</v>
      </c>
      <c r="K270" s="104">
        <f ca="1">MATCH(J270,关卡预期!$E$4:$E$303,1)</f>
        <v>188</v>
      </c>
      <c r="L270" s="48">
        <f ca="1" t="shared" si="94"/>
        <v>0.80531708667959</v>
      </c>
      <c r="M270" s="48">
        <f ca="1" t="shared" si="95"/>
        <v>0.166989753530878</v>
      </c>
      <c r="N270" s="48">
        <f ca="1" t="shared" si="96"/>
        <v>0.0276931597895321</v>
      </c>
      <c r="O270" s="48">
        <f ca="1" t="shared" si="97"/>
        <v>0.062131608313906</v>
      </c>
      <c r="P270" s="48">
        <f ca="1" t="shared" si="98"/>
        <v>0.409230657021812</v>
      </c>
      <c r="Q270" s="48">
        <f ca="1" t="shared" si="99"/>
        <v>0.404961398531174</v>
      </c>
      <c r="R270" s="48">
        <f ca="1" t="shared" si="100"/>
        <v>0.123676336133108</v>
      </c>
      <c r="S270" s="46">
        <f ca="1" t="shared" si="101"/>
        <v>0.80531708667959</v>
      </c>
      <c r="T270" s="46">
        <f ca="1" t="shared" si="102"/>
        <v>0.166989753530878</v>
      </c>
      <c r="U270" s="46">
        <f ca="1" t="shared" si="103"/>
        <v>0.0276931597895321</v>
      </c>
      <c r="V270" s="48">
        <f ca="1" t="shared" si="104"/>
        <v>0.515741520919589</v>
      </c>
      <c r="W270" s="48">
        <f ca="1" t="shared" si="105"/>
        <v>3.39693832474177</v>
      </c>
      <c r="X270" s="48">
        <f ca="1" t="shared" si="106"/>
        <v>3.36150010051239</v>
      </c>
      <c r="Y270" s="48">
        <f t="shared" si="107"/>
        <v>1.02661146926685</v>
      </c>
      <c r="Z270" s="105">
        <f ca="1" t="shared" si="108"/>
        <v>0.062131608313906</v>
      </c>
      <c r="AA270" s="105">
        <f ca="1" t="shared" si="109"/>
        <v>0.409230657021812</v>
      </c>
      <c r="AB270" s="105">
        <f ca="1" t="shared" si="110"/>
        <v>0.404961398531174</v>
      </c>
      <c r="AC270" s="105">
        <f ca="1" t="shared" si="111"/>
        <v>0.123676336133108</v>
      </c>
      <c r="AD270" s="105">
        <f ca="1" t="shared" si="112"/>
        <v>0.80531708667959</v>
      </c>
      <c r="AE270" s="105">
        <f ca="1" t="shared" si="113"/>
        <v>0.166989753530878</v>
      </c>
      <c r="AF270" s="105">
        <f ca="1" t="shared" si="114"/>
        <v>0.027693159789532</v>
      </c>
    </row>
    <row r="271" ht="16.5" spans="1:32">
      <c r="A271">
        <f ca="1" t="shared" si="92"/>
        <v>21666</v>
      </c>
      <c r="B271" s="2">
        <v>269</v>
      </c>
      <c r="C271" s="2">
        <f>_xlfn.XLOOKUP(练度预期!D271,装备养成!$B$3:$B$303,装备养成!$D$3:$D$303)*6</f>
        <v>17448</v>
      </c>
      <c r="D271" s="2" cm="1">
        <f ca="1" t="array" ref="D271">_xlfn.XLOOKUP(练度预期!E271&amp;"_"&amp;INT(练度预期!C271/10)*10+10,装备养成!$N$4:$N$219&amp;"_"&amp;装备养成!$K$4:$K$219,装备养成!$P$4:$P$219)*练度预期!F271+_xlfn.XLOOKUP(练度预期!E271-1&amp;"_"&amp;INT(练度预期!C271/10)*10+10,装备养成!$N$4:$N$219&amp;"_"&amp;装备养成!$K$4:$K$219,装备养成!$P$4:$P$219)*(6-练度预期!F271)</f>
        <v>3618</v>
      </c>
      <c r="E271" s="2">
        <f ca="1">练度预期!N271*4*练度预期!M271</f>
        <v>600</v>
      </c>
      <c r="F271" s="103">
        <f ca="1">INT(练度预期!D271/10)*0.02+1+_xlfn.XLOOKUP(练度预期!E271,装备养成!$U$3:$U$11,装备养成!$V$3:$V$11)*练度预期!F271+_xlfn.XLOOKUP(练度预期!E271-1,装备养成!$U$3:$U$11,装备养成!$V$3:$V$11)*(6-练度预期!F271)</f>
        <v>1.67488</v>
      </c>
      <c r="G271" s="48">
        <f ca="1">OFFSET(梦灵养成!$K$20,_xlfn.XLOOKUP(练度预期!H271,梦灵养成!$D$10:$D$28,梦灵养成!$H$10:$H$28),MATCH(OFFSET(梦灵养成!$C$33,B271,MATCH(练度预期!H271,梦灵养成!$D$33:$V$33,0)),梦灵养成!$L$20:$R$20,1))*(1+(OFFSET(梦灵养成!$C$33,B271,MATCH(练度预期!H271,梦灵养成!$D$33:$V$33,0))-1)*_xlfn.XLOOKUP(练度预期!H271,梦灵养成!$D$9:$D$28,梦灵养成!$G$9:$G$28))</f>
        <v>29.8725</v>
      </c>
      <c r="H271" s="46">
        <f ca="1">符文养成!AC272</f>
        <v>28.8838763984986</v>
      </c>
      <c r="I271" s="46">
        <f>MAX(_xlfn.XLOOKUP(练度预期!O271,秘宝养成!$B$3:$B$15,秘宝养成!$E$3:$E$15),1)</f>
        <v>2.7915904</v>
      </c>
      <c r="J271" s="104">
        <f ca="1" t="shared" si="93"/>
        <v>87405986.5937358</v>
      </c>
      <c r="K271" s="104">
        <f ca="1">MATCH(J271,关卡预期!$E$4:$E$303,1)</f>
        <v>188</v>
      </c>
      <c r="L271" s="48">
        <f ca="1" t="shared" si="94"/>
        <v>0.80531708667959</v>
      </c>
      <c r="M271" s="48">
        <f ca="1" t="shared" si="95"/>
        <v>0.166989753530878</v>
      </c>
      <c r="N271" s="48">
        <f ca="1" t="shared" si="96"/>
        <v>0.0276931597895321</v>
      </c>
      <c r="O271" s="48">
        <f ca="1" t="shared" si="97"/>
        <v>0.0621182621768846</v>
      </c>
      <c r="P271" s="48">
        <f ca="1" t="shared" si="98"/>
        <v>0.409142752514425</v>
      </c>
      <c r="Q271" s="48">
        <f ca="1" t="shared" si="99"/>
        <v>0.405089215385168</v>
      </c>
      <c r="R271" s="48">
        <f ca="1" t="shared" si="100"/>
        <v>0.123649769923523</v>
      </c>
      <c r="S271" s="46">
        <f ca="1" t="shared" si="101"/>
        <v>0.80531708667959</v>
      </c>
      <c r="T271" s="46">
        <f ca="1" t="shared" si="102"/>
        <v>0.166989753530878</v>
      </c>
      <c r="U271" s="46">
        <f ca="1" t="shared" si="103"/>
        <v>0.0276931597895321</v>
      </c>
      <c r="V271" s="48">
        <f ca="1" t="shared" si="104"/>
        <v>0.515741520919589</v>
      </c>
      <c r="W271" s="48">
        <f ca="1" t="shared" si="105"/>
        <v>3.39693832474177</v>
      </c>
      <c r="X271" s="48">
        <f ca="1" t="shared" si="106"/>
        <v>3.36328352934209</v>
      </c>
      <c r="Y271" s="48">
        <f t="shared" si="107"/>
        <v>1.02661146926685</v>
      </c>
      <c r="Z271" s="105">
        <f ca="1" t="shared" si="108"/>
        <v>0.0621182621768846</v>
      </c>
      <c r="AA271" s="105">
        <f ca="1" t="shared" si="109"/>
        <v>0.409142752514425</v>
      </c>
      <c r="AB271" s="105">
        <f ca="1" t="shared" si="110"/>
        <v>0.405089215385168</v>
      </c>
      <c r="AC271" s="105">
        <f ca="1" t="shared" si="111"/>
        <v>0.123649769923523</v>
      </c>
      <c r="AD271" s="105">
        <f ca="1" t="shared" si="112"/>
        <v>0.80531708667959</v>
      </c>
      <c r="AE271" s="105">
        <f ca="1" t="shared" si="113"/>
        <v>0.166989753530878</v>
      </c>
      <c r="AF271" s="105">
        <f ca="1" t="shared" si="114"/>
        <v>0.027693159789532</v>
      </c>
    </row>
    <row r="272" ht="16.5" spans="1:32">
      <c r="A272">
        <f ca="1" t="shared" si="92"/>
        <v>21666</v>
      </c>
      <c r="B272" s="2">
        <v>270</v>
      </c>
      <c r="C272" s="2">
        <f>_xlfn.XLOOKUP(练度预期!D272,装备养成!$B$3:$B$303,装备养成!$D$3:$D$303)*6</f>
        <v>17448</v>
      </c>
      <c r="D272" s="2" cm="1">
        <f ca="1" t="array" ref="D272">_xlfn.XLOOKUP(练度预期!E272&amp;"_"&amp;INT(练度预期!C272/10)*10+10,装备养成!$N$4:$N$219&amp;"_"&amp;装备养成!$K$4:$K$219,装备养成!$P$4:$P$219)*练度预期!F272+_xlfn.XLOOKUP(练度预期!E272-1&amp;"_"&amp;INT(练度预期!C272/10)*10+10,装备养成!$N$4:$N$219&amp;"_"&amp;装备养成!$K$4:$K$219,装备养成!$P$4:$P$219)*(6-练度预期!F272)</f>
        <v>3618</v>
      </c>
      <c r="E272" s="2">
        <f ca="1">练度预期!N272*4*练度预期!M272</f>
        <v>600</v>
      </c>
      <c r="F272" s="103">
        <f ca="1">INT(练度预期!D272/10)*0.02+1+_xlfn.XLOOKUP(练度预期!E272,装备养成!$U$3:$U$11,装备养成!$V$3:$V$11)*练度预期!F272+_xlfn.XLOOKUP(练度预期!E272-1,装备养成!$U$3:$U$11,装备养成!$V$3:$V$11)*(6-练度预期!F272)</f>
        <v>1.67488</v>
      </c>
      <c r="G272" s="48">
        <f ca="1">OFFSET(梦灵养成!$K$20,_xlfn.XLOOKUP(练度预期!H272,梦灵养成!$D$10:$D$28,梦灵养成!$H$10:$H$28),MATCH(OFFSET(梦灵养成!$C$33,B272,MATCH(练度预期!H272,梦灵养成!$D$33:$V$33,0)),梦灵养成!$L$20:$R$20,1))*(1+(OFFSET(梦灵养成!$C$33,B272,MATCH(练度预期!H272,梦灵养成!$D$33:$V$33,0))-1)*_xlfn.XLOOKUP(练度预期!H272,梦灵养成!$D$9:$D$28,梦灵养成!$G$9:$G$28))</f>
        <v>29.8725</v>
      </c>
      <c r="H272" s="46">
        <f ca="1">符文养成!AC273</f>
        <v>28.9447800433881</v>
      </c>
      <c r="I272" s="46">
        <f>MAX(_xlfn.XLOOKUP(练度预期!O272,秘宝养成!$B$3:$B$15,秘宝养成!$E$3:$E$15),1)</f>
        <v>2.7915904</v>
      </c>
      <c r="J272" s="104">
        <f ca="1" t="shared" si="93"/>
        <v>87590288.1429904</v>
      </c>
      <c r="K272" s="104">
        <f ca="1">MATCH(J272,关卡预期!$E$4:$E$303,1)</f>
        <v>188</v>
      </c>
      <c r="L272" s="48">
        <f ca="1" t="shared" si="94"/>
        <v>0.80531708667959</v>
      </c>
      <c r="M272" s="48">
        <f ca="1" t="shared" si="95"/>
        <v>0.166989753530878</v>
      </c>
      <c r="N272" s="48">
        <f ca="1" t="shared" si="96"/>
        <v>0.0276931597895318</v>
      </c>
      <c r="O272" s="48">
        <f ca="1" t="shared" si="97"/>
        <v>0.0621025068771111</v>
      </c>
      <c r="P272" s="48">
        <f ca="1" t="shared" si="98"/>
        <v>0.40903898002482</v>
      </c>
      <c r="Q272" s="48">
        <f ca="1" t="shared" si="99"/>
        <v>0.405240104953254</v>
      </c>
      <c r="R272" s="48">
        <f ca="1" t="shared" si="100"/>
        <v>0.123618408144815</v>
      </c>
      <c r="S272" s="46">
        <f ca="1" t="shared" si="101"/>
        <v>0.80531708667959</v>
      </c>
      <c r="T272" s="46">
        <f ca="1" t="shared" si="102"/>
        <v>0.166989753530878</v>
      </c>
      <c r="U272" s="46">
        <f ca="1" t="shared" si="103"/>
        <v>0.0276931597895318</v>
      </c>
      <c r="V272" s="48">
        <f ca="1" t="shared" si="104"/>
        <v>0.515741520919589</v>
      </c>
      <c r="W272" s="48">
        <f ca="1" t="shared" si="105"/>
        <v>3.39693832474177</v>
      </c>
      <c r="X272" s="48">
        <f ca="1" t="shared" si="106"/>
        <v>3.36538987837921</v>
      </c>
      <c r="Y272" s="48">
        <f t="shared" si="107"/>
        <v>1.02661146926685</v>
      </c>
      <c r="Z272" s="105">
        <f ca="1" t="shared" si="108"/>
        <v>0.0621025068771111</v>
      </c>
      <c r="AA272" s="105">
        <f ca="1" t="shared" si="109"/>
        <v>0.40903898002482</v>
      </c>
      <c r="AB272" s="105">
        <f ca="1" t="shared" si="110"/>
        <v>0.405240104953254</v>
      </c>
      <c r="AC272" s="105">
        <f ca="1" t="shared" si="111"/>
        <v>0.123618408144815</v>
      </c>
      <c r="AD272" s="105">
        <f ca="1" t="shared" si="112"/>
        <v>0.80531708667959</v>
      </c>
      <c r="AE272" s="105">
        <f ca="1" t="shared" si="113"/>
        <v>0.166989753530878</v>
      </c>
      <c r="AF272" s="105">
        <f ca="1" t="shared" si="114"/>
        <v>0.027693159789532</v>
      </c>
    </row>
    <row r="273" ht="16.5" spans="1:32">
      <c r="A273">
        <f ca="1" t="shared" si="92"/>
        <v>21666</v>
      </c>
      <c r="B273" s="2">
        <v>271</v>
      </c>
      <c r="C273" s="2">
        <f>_xlfn.XLOOKUP(练度预期!D273,装备养成!$B$3:$B$303,装备养成!$D$3:$D$303)*6</f>
        <v>17448</v>
      </c>
      <c r="D273" s="2" cm="1">
        <f ca="1" t="array" ref="D273">_xlfn.XLOOKUP(练度预期!E273&amp;"_"&amp;INT(练度预期!C273/10)*10+10,装备养成!$N$4:$N$219&amp;"_"&amp;装备养成!$K$4:$K$219,装备养成!$P$4:$P$219)*练度预期!F273+_xlfn.XLOOKUP(练度预期!E273-1&amp;"_"&amp;INT(练度预期!C273/10)*10+10,装备养成!$N$4:$N$219&amp;"_"&amp;装备养成!$K$4:$K$219,装备养成!$P$4:$P$219)*(6-练度预期!F273)</f>
        <v>3618</v>
      </c>
      <c r="E273" s="2">
        <f ca="1">练度预期!N273*4*练度预期!M273</f>
        <v>600</v>
      </c>
      <c r="F273" s="103">
        <f ca="1">INT(练度预期!D273/10)*0.02+1+_xlfn.XLOOKUP(练度预期!E273,装备养成!$U$3:$U$11,装备养成!$V$3:$V$11)*练度预期!F273+_xlfn.XLOOKUP(练度预期!E273-1,装备养成!$U$3:$U$11,装备养成!$V$3:$V$11)*(6-练度预期!F273)</f>
        <v>1.67488</v>
      </c>
      <c r="G273" s="48">
        <f ca="1">OFFSET(梦灵养成!$K$20,_xlfn.XLOOKUP(练度预期!H273,梦灵养成!$D$10:$D$28,梦灵养成!$H$10:$H$28),MATCH(OFFSET(梦灵养成!$C$33,B273,MATCH(练度预期!H273,梦灵养成!$D$33:$V$33,0)),梦灵养成!$L$20:$R$20,1))*(1+(OFFSET(梦灵养成!$C$33,B273,MATCH(练度预期!H273,梦灵养成!$D$33:$V$33,0))-1)*_xlfn.XLOOKUP(练度预期!H273,梦灵养成!$D$9:$D$28,梦灵养成!$G$9:$G$28))</f>
        <v>29.8725</v>
      </c>
      <c r="H273" s="46">
        <f ca="1">符文养成!AC274</f>
        <v>28.991412690462</v>
      </c>
      <c r="I273" s="46">
        <f>MAX(_xlfn.XLOOKUP(练度预期!O273,秘宝养成!$B$3:$B$15,秘宝养成!$E$3:$E$15),1)</f>
        <v>2.7915904</v>
      </c>
      <c r="J273" s="104">
        <f ca="1" t="shared" si="93"/>
        <v>87731403.9845323</v>
      </c>
      <c r="K273" s="104">
        <f ca="1">MATCH(J273,关卡预期!$E$4:$E$303,1)</f>
        <v>188</v>
      </c>
      <c r="L273" s="48">
        <f ca="1" t="shared" si="94"/>
        <v>0.80531708667959</v>
      </c>
      <c r="M273" s="48">
        <f ca="1" t="shared" si="95"/>
        <v>0.166989753530878</v>
      </c>
      <c r="N273" s="48">
        <f ca="1" t="shared" si="96"/>
        <v>0.027693159789532</v>
      </c>
      <c r="O273" s="48">
        <f ca="1" t="shared" si="97"/>
        <v>0.0620904711537739</v>
      </c>
      <c r="P273" s="48">
        <f ca="1" t="shared" si="98"/>
        <v>0.408959706574435</v>
      </c>
      <c r="Q273" s="48">
        <f ca="1" t="shared" si="99"/>
        <v>0.405355371887051</v>
      </c>
      <c r="R273" s="48">
        <f ca="1" t="shared" si="100"/>
        <v>0.12359445038474</v>
      </c>
      <c r="S273" s="46">
        <f ca="1" t="shared" si="101"/>
        <v>0.80531708667959</v>
      </c>
      <c r="T273" s="46">
        <f ca="1" t="shared" si="102"/>
        <v>0.166989753530878</v>
      </c>
      <c r="U273" s="46">
        <f ca="1" t="shared" si="103"/>
        <v>0.027693159789532</v>
      </c>
      <c r="V273" s="48">
        <f ca="1" t="shared" si="104"/>
        <v>0.515741520919589</v>
      </c>
      <c r="W273" s="48">
        <f ca="1" t="shared" si="105"/>
        <v>3.39693832474177</v>
      </c>
      <c r="X273" s="48">
        <f ca="1" t="shared" si="106"/>
        <v>3.36699967201403</v>
      </c>
      <c r="Y273" s="48">
        <f t="shared" si="107"/>
        <v>1.02661146926685</v>
      </c>
      <c r="Z273" s="105">
        <f ca="1" t="shared" si="108"/>
        <v>0.0620904711537739</v>
      </c>
      <c r="AA273" s="105">
        <f ca="1" t="shared" si="109"/>
        <v>0.408959706574435</v>
      </c>
      <c r="AB273" s="105">
        <f ca="1" t="shared" si="110"/>
        <v>0.405355371887051</v>
      </c>
      <c r="AC273" s="105">
        <f ca="1" t="shared" si="111"/>
        <v>0.123594450384741</v>
      </c>
      <c r="AD273" s="105">
        <f ca="1" t="shared" si="112"/>
        <v>0.80531708667959</v>
      </c>
      <c r="AE273" s="105">
        <f ca="1" t="shared" si="113"/>
        <v>0.166989753530878</v>
      </c>
      <c r="AF273" s="105">
        <f ca="1" t="shared" si="114"/>
        <v>0.027693159789532</v>
      </c>
    </row>
    <row r="274" ht="16.5" spans="1:32">
      <c r="A274">
        <f ca="1" t="shared" si="92"/>
        <v>21966</v>
      </c>
      <c r="B274" s="2">
        <v>272</v>
      </c>
      <c r="C274" s="2">
        <f>_xlfn.XLOOKUP(练度预期!D274,装备养成!$B$3:$B$303,装备养成!$D$3:$D$303)*6</f>
        <v>17748</v>
      </c>
      <c r="D274" s="2" cm="1">
        <f ca="1" t="array" ref="D274">_xlfn.XLOOKUP(练度预期!E274&amp;"_"&amp;INT(练度预期!C274/10)*10+10,装备养成!$N$4:$N$219&amp;"_"&amp;装备养成!$K$4:$K$219,装备养成!$P$4:$P$219)*练度预期!F274+_xlfn.XLOOKUP(练度预期!E274-1&amp;"_"&amp;INT(练度预期!C274/10)*10+10,装备养成!$N$4:$N$219&amp;"_"&amp;装备养成!$K$4:$K$219,装备养成!$P$4:$P$219)*(6-练度预期!F274)</f>
        <v>3618</v>
      </c>
      <c r="E274" s="2">
        <f ca="1">练度预期!N274*4*练度预期!M274</f>
        <v>600</v>
      </c>
      <c r="F274" s="103">
        <f ca="1">INT(练度预期!D274/10)*0.02+1+_xlfn.XLOOKUP(练度预期!E274,装备养成!$U$3:$U$11,装备养成!$V$3:$V$11)*练度预期!F274+_xlfn.XLOOKUP(练度预期!E274-1,装备养成!$U$3:$U$11,装备养成!$V$3:$V$11)*(6-练度预期!F274)</f>
        <v>1.67488</v>
      </c>
      <c r="G274" s="48">
        <f ca="1">OFFSET(梦灵养成!$K$20,_xlfn.XLOOKUP(练度预期!H274,梦灵养成!$D$10:$D$28,梦灵养成!$H$10:$H$28),MATCH(OFFSET(梦灵养成!$C$33,B274,MATCH(练度预期!H274,梦灵养成!$D$33:$V$33,0)),梦灵养成!$L$20:$R$20,1))*(1+(OFFSET(梦灵养成!$C$33,B274,MATCH(练度预期!H274,梦灵养成!$D$33:$V$33,0))-1)*_xlfn.XLOOKUP(练度预期!H274,梦灵养成!$D$9:$D$28,梦灵养成!$G$9:$G$28))</f>
        <v>29.8725</v>
      </c>
      <c r="H274" s="46">
        <f ca="1">符文养成!AC275</f>
        <v>29.0525339279894</v>
      </c>
      <c r="I274" s="46">
        <f>MAX(_xlfn.XLOOKUP(练度预期!O274,秘宝养成!$B$3:$B$15,秘宝养成!$E$3:$E$15),1)</f>
        <v>2.7915904</v>
      </c>
      <c r="J274" s="104">
        <f ca="1" t="shared" si="93"/>
        <v>89133704.9526542</v>
      </c>
      <c r="K274" s="104">
        <f ca="1">MATCH(J274,关卡预期!$E$4:$E$303,1)</f>
        <v>188</v>
      </c>
      <c r="L274" s="48">
        <f ca="1" t="shared" si="94"/>
        <v>0.80797596285168</v>
      </c>
      <c r="M274" s="48">
        <f ca="1" t="shared" si="95"/>
        <v>0.164709095875444</v>
      </c>
      <c r="N274" s="48">
        <f ca="1" t="shared" si="96"/>
        <v>0.027314941272876</v>
      </c>
      <c r="O274" s="48">
        <f ca="1" t="shared" si="97"/>
        <v>0.0620747323009211</v>
      </c>
      <c r="P274" s="48">
        <f ca="1" t="shared" si="98"/>
        <v>0.40885604241269</v>
      </c>
      <c r="Q274" s="48">
        <f ca="1" t="shared" si="99"/>
        <v>0.405506103941867</v>
      </c>
      <c r="R274" s="48">
        <f ca="1" t="shared" si="100"/>
        <v>0.123563121344521</v>
      </c>
      <c r="S274" s="46">
        <f ca="1" t="shared" si="101"/>
        <v>0.80797596285168</v>
      </c>
      <c r="T274" s="46">
        <f ca="1" t="shared" si="102"/>
        <v>0.164709095875444</v>
      </c>
      <c r="U274" s="46">
        <f ca="1" t="shared" si="103"/>
        <v>0.027314941272876</v>
      </c>
      <c r="V274" s="48">
        <f ca="1" t="shared" si="104"/>
        <v>0.515741520919589</v>
      </c>
      <c r="W274" s="48">
        <f ca="1" t="shared" si="105"/>
        <v>3.39693832474177</v>
      </c>
      <c r="X274" s="48">
        <f ca="1" t="shared" si="106"/>
        <v>3.36910570593073</v>
      </c>
      <c r="Y274" s="48">
        <f t="shared" si="107"/>
        <v>1.02661146926685</v>
      </c>
      <c r="Z274" s="105">
        <f ca="1" t="shared" si="108"/>
        <v>0.0620747323009211</v>
      </c>
      <c r="AA274" s="105">
        <f ca="1" t="shared" si="109"/>
        <v>0.40885604241269</v>
      </c>
      <c r="AB274" s="105">
        <f ca="1" t="shared" si="110"/>
        <v>0.405506103941867</v>
      </c>
      <c r="AC274" s="105">
        <f ca="1" t="shared" si="111"/>
        <v>0.123563121344521</v>
      </c>
      <c r="AD274" s="105">
        <f ca="1" t="shared" si="112"/>
        <v>0.80797596285168</v>
      </c>
      <c r="AE274" s="105">
        <f ca="1" t="shared" si="113"/>
        <v>0.164709095875444</v>
      </c>
      <c r="AF274" s="105">
        <f ca="1" t="shared" si="114"/>
        <v>0.0273149412728763</v>
      </c>
    </row>
    <row r="275" ht="16.5" spans="1:32">
      <c r="A275">
        <f ca="1" t="shared" si="92"/>
        <v>21966</v>
      </c>
      <c r="B275" s="2">
        <v>273</v>
      </c>
      <c r="C275" s="2">
        <f>_xlfn.XLOOKUP(练度预期!D275,装备养成!$B$3:$B$303,装备养成!$D$3:$D$303)*6</f>
        <v>17748</v>
      </c>
      <c r="D275" s="2" cm="1">
        <f ca="1" t="array" ref="D275">_xlfn.XLOOKUP(练度预期!E275&amp;"_"&amp;INT(练度预期!C275/10)*10+10,装备养成!$N$4:$N$219&amp;"_"&amp;装备养成!$K$4:$K$219,装备养成!$P$4:$P$219)*练度预期!F275+_xlfn.XLOOKUP(练度预期!E275-1&amp;"_"&amp;INT(练度预期!C275/10)*10+10,装备养成!$N$4:$N$219&amp;"_"&amp;装备养成!$K$4:$K$219,装备养成!$P$4:$P$219)*(6-练度预期!F275)</f>
        <v>3618</v>
      </c>
      <c r="E275" s="2">
        <f ca="1">练度预期!N275*4*练度预期!M275</f>
        <v>600</v>
      </c>
      <c r="F275" s="103">
        <f ca="1">INT(练度预期!D275/10)*0.02+1+_xlfn.XLOOKUP(练度预期!E275,装备养成!$U$3:$U$11,装备养成!$V$3:$V$11)*练度预期!F275+_xlfn.XLOOKUP(练度预期!E275-1,装备养成!$U$3:$U$11,装备养成!$V$3:$V$11)*(6-练度预期!F275)</f>
        <v>1.67488</v>
      </c>
      <c r="G275" s="48">
        <f ca="1">OFFSET(梦灵养成!$K$20,_xlfn.XLOOKUP(练度预期!H275,梦灵养成!$D$10:$D$28,梦灵养成!$H$10:$H$28),MATCH(OFFSET(梦灵养成!$C$33,B275,MATCH(练度预期!H275,梦灵养成!$D$33:$V$33,0)),梦灵养成!$L$20:$R$20,1))*(1+(OFFSET(梦灵养成!$C$33,B275,MATCH(练度预期!H275,梦灵养成!$D$33:$V$33,0))-1)*_xlfn.XLOOKUP(练度预期!H275,梦灵养成!$D$9:$D$28,梦灵养成!$G$9:$G$28))</f>
        <v>29.8725</v>
      </c>
      <c r="H275" s="46">
        <f ca="1">符文养成!AC276</f>
        <v>29.1054740757009</v>
      </c>
      <c r="I275" s="46">
        <f>MAX(_xlfn.XLOOKUP(练度预期!O275,秘宝养成!$B$3:$B$15,秘宝养成!$E$3:$E$15),1)</f>
        <v>2.7915904</v>
      </c>
      <c r="J275" s="104">
        <f ca="1" t="shared" si="93"/>
        <v>89296126.2931804</v>
      </c>
      <c r="K275" s="104">
        <f ca="1">MATCH(J275,关卡预期!$E$4:$E$303,1)</f>
        <v>188</v>
      </c>
      <c r="L275" s="48">
        <f ca="1" t="shared" si="94"/>
        <v>0.80797596285168</v>
      </c>
      <c r="M275" s="48">
        <f ca="1" t="shared" si="95"/>
        <v>0.164709095875444</v>
      </c>
      <c r="N275" s="48">
        <f ca="1" t="shared" si="96"/>
        <v>0.0273149412728763</v>
      </c>
      <c r="O275" s="48">
        <f ca="1" t="shared" si="97"/>
        <v>0.0620611332624672</v>
      </c>
      <c r="P275" s="48">
        <f ca="1" t="shared" si="98"/>
        <v>0.408766472166685</v>
      </c>
      <c r="Q275" s="48">
        <f ca="1" t="shared" si="99"/>
        <v>0.40563634284993</v>
      </c>
      <c r="R275" s="48">
        <f ca="1" t="shared" si="100"/>
        <v>0.123536051720918</v>
      </c>
      <c r="S275" s="46">
        <f ca="1" t="shared" si="101"/>
        <v>0.80797596285168</v>
      </c>
      <c r="T275" s="46">
        <f ca="1" t="shared" si="102"/>
        <v>0.164709095875444</v>
      </c>
      <c r="U275" s="46">
        <f ca="1" t="shared" si="103"/>
        <v>0.0273149412728763</v>
      </c>
      <c r="V275" s="48">
        <f ca="1" t="shared" si="104"/>
        <v>0.515741520919589</v>
      </c>
      <c r="W275" s="48">
        <f ca="1" t="shared" si="105"/>
        <v>3.39693832474177</v>
      </c>
      <c r="X275" s="48">
        <f ca="1" t="shared" si="106"/>
        <v>3.37092626905354</v>
      </c>
      <c r="Y275" s="48">
        <f t="shared" si="107"/>
        <v>1.02661146926685</v>
      </c>
      <c r="Z275" s="105">
        <f ca="1" t="shared" si="108"/>
        <v>0.0620611332624672</v>
      </c>
      <c r="AA275" s="105">
        <f ca="1" t="shared" si="109"/>
        <v>0.408766472166685</v>
      </c>
      <c r="AB275" s="105">
        <f ca="1" t="shared" si="110"/>
        <v>0.40563634284993</v>
      </c>
      <c r="AC275" s="105">
        <f ca="1" t="shared" si="111"/>
        <v>0.123536051720918</v>
      </c>
      <c r="AD275" s="105">
        <f ca="1" t="shared" si="112"/>
        <v>0.80797596285168</v>
      </c>
      <c r="AE275" s="105">
        <f ca="1" t="shared" si="113"/>
        <v>0.164709095875444</v>
      </c>
      <c r="AF275" s="105">
        <f ca="1" t="shared" si="114"/>
        <v>0.0273149412728763</v>
      </c>
    </row>
    <row r="276" ht="16.5" spans="1:32">
      <c r="A276">
        <f ca="1" t="shared" si="92"/>
        <v>21966</v>
      </c>
      <c r="B276" s="2">
        <v>274</v>
      </c>
      <c r="C276" s="2">
        <f>_xlfn.XLOOKUP(练度预期!D276,装备养成!$B$3:$B$303,装备养成!$D$3:$D$303)*6</f>
        <v>17748</v>
      </c>
      <c r="D276" s="2" cm="1">
        <f ca="1" t="array" ref="D276">_xlfn.XLOOKUP(练度预期!E276&amp;"_"&amp;INT(练度预期!C276/10)*10+10,装备养成!$N$4:$N$219&amp;"_"&amp;装备养成!$K$4:$K$219,装备养成!$P$4:$P$219)*练度预期!F276+_xlfn.XLOOKUP(练度预期!E276-1&amp;"_"&amp;INT(练度预期!C276/10)*10+10,装备养成!$N$4:$N$219&amp;"_"&amp;装备养成!$K$4:$K$219,装备养成!$P$4:$P$219)*(6-练度预期!F276)</f>
        <v>3618</v>
      </c>
      <c r="E276" s="2">
        <f ca="1">练度预期!N276*4*练度预期!M276</f>
        <v>600</v>
      </c>
      <c r="F276" s="103">
        <f ca="1">INT(练度预期!D276/10)*0.02+1+_xlfn.XLOOKUP(练度预期!E276,装备养成!$U$3:$U$11,装备养成!$V$3:$V$11)*练度预期!F276+_xlfn.XLOOKUP(练度预期!E276-1,装备养成!$U$3:$U$11,装备养成!$V$3:$V$11)*(6-练度预期!F276)</f>
        <v>1.67488</v>
      </c>
      <c r="G276" s="48">
        <f ca="1">OFFSET(梦灵养成!$K$20,_xlfn.XLOOKUP(练度预期!H276,梦灵养成!$D$10:$D$28,梦灵养成!$H$10:$H$28),MATCH(OFFSET(梦灵养成!$C$33,B276,MATCH(练度预期!H276,梦灵养成!$D$33:$V$33,0)),梦灵养成!$L$20:$R$20,1))*(1+(OFFSET(梦灵养成!$C$33,B276,MATCH(练度预期!H276,梦灵养成!$D$33:$V$33,0))-1)*_xlfn.XLOOKUP(练度预期!H276,梦灵养成!$D$9:$D$28,梦灵养成!$G$9:$G$28))</f>
        <v>29.8725</v>
      </c>
      <c r="H276" s="46">
        <f ca="1">符文养成!AC277</f>
        <v>29.1668260555194</v>
      </c>
      <c r="I276" s="46">
        <f>MAX(_xlfn.XLOOKUP(练度预期!O276,秘宝养成!$B$3:$B$15,秘宝养成!$E$3:$E$15),1)</f>
        <v>2.7915904</v>
      </c>
      <c r="J276" s="104">
        <f ca="1" t="shared" si="93"/>
        <v>89484355.2883159</v>
      </c>
      <c r="K276" s="104">
        <f ca="1">MATCH(J276,关卡预期!$E$4:$E$303,1)</f>
        <v>188</v>
      </c>
      <c r="L276" s="48">
        <f ca="1" t="shared" si="94"/>
        <v>0.807975962851679</v>
      </c>
      <c r="M276" s="48">
        <f ca="1" t="shared" si="95"/>
        <v>0.164709095875444</v>
      </c>
      <c r="N276" s="48">
        <f ca="1" t="shared" si="96"/>
        <v>0.0273149412728765</v>
      </c>
      <c r="O276" s="48">
        <f ca="1" t="shared" si="97"/>
        <v>0.0620454117670563</v>
      </c>
      <c r="P276" s="48">
        <f ca="1" t="shared" si="98"/>
        <v>0.40866292232996</v>
      </c>
      <c r="Q276" s="48">
        <f ca="1" t="shared" si="99"/>
        <v>0.405786908671356</v>
      </c>
      <c r="R276" s="48">
        <f ca="1" t="shared" si="100"/>
        <v>0.123504757231628</v>
      </c>
      <c r="S276" s="46">
        <f ca="1" t="shared" si="101"/>
        <v>0.80797596285168</v>
      </c>
      <c r="T276" s="46">
        <f ca="1" t="shared" si="102"/>
        <v>0.164709095875444</v>
      </c>
      <c r="U276" s="46">
        <f ca="1" t="shared" si="103"/>
        <v>0.0273149412728765</v>
      </c>
      <c r="V276" s="48">
        <f ca="1" t="shared" si="104"/>
        <v>0.515741520919589</v>
      </c>
      <c r="W276" s="48">
        <f ca="1" t="shared" si="105"/>
        <v>3.39693832474177</v>
      </c>
      <c r="X276" s="48">
        <f ca="1" t="shared" si="106"/>
        <v>3.37303196944119</v>
      </c>
      <c r="Y276" s="48">
        <f t="shared" si="107"/>
        <v>1.02661146926685</v>
      </c>
      <c r="Z276" s="105">
        <f ca="1" t="shared" si="108"/>
        <v>0.0620454117670563</v>
      </c>
      <c r="AA276" s="105">
        <f ca="1" t="shared" si="109"/>
        <v>0.40866292232996</v>
      </c>
      <c r="AB276" s="105">
        <f ca="1" t="shared" si="110"/>
        <v>0.405786908671356</v>
      </c>
      <c r="AC276" s="105">
        <f ca="1" t="shared" si="111"/>
        <v>0.123504757231628</v>
      </c>
      <c r="AD276" s="105">
        <f ca="1" t="shared" si="112"/>
        <v>0.80797596285168</v>
      </c>
      <c r="AE276" s="105">
        <f ca="1" t="shared" si="113"/>
        <v>0.164709095875444</v>
      </c>
      <c r="AF276" s="105">
        <f ca="1" t="shared" si="114"/>
        <v>0.0273149412728763</v>
      </c>
    </row>
    <row r="277" ht="16.5" spans="1:32">
      <c r="A277">
        <f ca="1" t="shared" si="92"/>
        <v>21966</v>
      </c>
      <c r="B277" s="2">
        <v>275</v>
      </c>
      <c r="C277" s="2">
        <f>_xlfn.XLOOKUP(练度预期!D277,装备养成!$B$3:$B$303,装备养成!$D$3:$D$303)*6</f>
        <v>17748</v>
      </c>
      <c r="D277" s="2" cm="1">
        <f ca="1" t="array" ref="D277">_xlfn.XLOOKUP(练度预期!E277&amp;"_"&amp;INT(练度预期!C277/10)*10+10,装备养成!$N$4:$N$219&amp;"_"&amp;装备养成!$K$4:$K$219,装备养成!$P$4:$P$219)*练度预期!F277+_xlfn.XLOOKUP(练度预期!E277-1&amp;"_"&amp;INT(练度预期!C277/10)*10+10,装备养成!$N$4:$N$219&amp;"_"&amp;装备养成!$K$4:$K$219,装备养成!$P$4:$P$219)*(6-练度预期!F277)</f>
        <v>3618</v>
      </c>
      <c r="E277" s="2">
        <f ca="1">练度预期!N277*4*练度预期!M277</f>
        <v>600</v>
      </c>
      <c r="F277" s="103">
        <f ca="1">INT(练度预期!D277/10)*0.02+1+_xlfn.XLOOKUP(练度预期!E277,装备养成!$U$3:$U$11,装备养成!$V$3:$V$11)*练度预期!F277+_xlfn.XLOOKUP(练度预期!E277-1,装备养成!$U$3:$U$11,装备养成!$V$3:$V$11)*(6-练度预期!F277)</f>
        <v>1.67488</v>
      </c>
      <c r="G277" s="48">
        <f ca="1">OFFSET(梦灵养成!$K$20,_xlfn.XLOOKUP(练度预期!H277,梦灵养成!$D$10:$D$28,梦灵养成!$H$10:$H$28),MATCH(OFFSET(梦灵养成!$C$33,B277,MATCH(练度预期!H277,梦灵养成!$D$33:$V$33,0)),梦灵养成!$L$20:$R$20,1))*(1+(OFFSET(梦灵养成!$C$33,B277,MATCH(练度预期!H277,梦灵养成!$D$33:$V$33,0))-1)*_xlfn.XLOOKUP(练度预期!H277,梦灵养成!$D$9:$D$28,梦灵养成!$G$9:$G$28))</f>
        <v>29.8725</v>
      </c>
      <c r="H277" s="46">
        <f ca="1">符文养成!AC278</f>
        <v>29.2199660367838</v>
      </c>
      <c r="I277" s="46">
        <f>MAX(_xlfn.XLOOKUP(练度预期!O277,秘宝养成!$B$3:$B$15,秘宝养成!$E$3:$E$15),1)</f>
        <v>2.7915904</v>
      </c>
      <c r="J277" s="104">
        <f ca="1" t="shared" si="93"/>
        <v>89647389.7218338</v>
      </c>
      <c r="K277" s="104">
        <f ca="1">MATCH(J277,关卡预期!$E$4:$E$303,1)</f>
        <v>188</v>
      </c>
      <c r="L277" s="48">
        <f ca="1" t="shared" si="94"/>
        <v>0.80797596285168</v>
      </c>
      <c r="M277" s="48">
        <f ca="1" t="shared" si="95"/>
        <v>0.164709095875444</v>
      </c>
      <c r="N277" s="48">
        <f ca="1" t="shared" si="96"/>
        <v>0.0273149412728764</v>
      </c>
      <c r="O277" s="48">
        <f ca="1" t="shared" si="97"/>
        <v>0.0620318277239896</v>
      </c>
      <c r="P277" s="48">
        <f ca="1" t="shared" si="98"/>
        <v>0.408573450851271</v>
      </c>
      <c r="Q277" s="48">
        <f ca="1" t="shared" si="99"/>
        <v>0.405917003967584</v>
      </c>
      <c r="R277" s="48">
        <f ca="1" t="shared" si="100"/>
        <v>0.123477717457156</v>
      </c>
      <c r="S277" s="46">
        <f ca="1" t="shared" si="101"/>
        <v>0.80797596285168</v>
      </c>
      <c r="T277" s="46">
        <f ca="1" t="shared" si="102"/>
        <v>0.164709095875444</v>
      </c>
      <c r="U277" s="46">
        <f ca="1" t="shared" si="103"/>
        <v>0.0273149412728764</v>
      </c>
      <c r="V277" s="48">
        <f ca="1" t="shared" si="104"/>
        <v>0.515741520919589</v>
      </c>
      <c r="W277" s="48">
        <f ca="1" t="shared" si="105"/>
        <v>3.39693832474177</v>
      </c>
      <c r="X277" s="48">
        <f ca="1" t="shared" si="106"/>
        <v>3.37485224399415</v>
      </c>
      <c r="Y277" s="48">
        <f t="shared" si="107"/>
        <v>1.02661146926685</v>
      </c>
      <c r="Z277" s="105">
        <f ca="1" t="shared" si="108"/>
        <v>0.0620318277239896</v>
      </c>
      <c r="AA277" s="105">
        <f ca="1" t="shared" si="109"/>
        <v>0.408573450851271</v>
      </c>
      <c r="AB277" s="105">
        <f ca="1" t="shared" si="110"/>
        <v>0.405917003967584</v>
      </c>
      <c r="AC277" s="105">
        <f ca="1" t="shared" si="111"/>
        <v>0.123477717457156</v>
      </c>
      <c r="AD277" s="105">
        <f ca="1" t="shared" si="112"/>
        <v>0.80797596285168</v>
      </c>
      <c r="AE277" s="105">
        <f ca="1" t="shared" si="113"/>
        <v>0.164709095875444</v>
      </c>
      <c r="AF277" s="105">
        <f ca="1" t="shared" si="114"/>
        <v>0.0273149412728763</v>
      </c>
    </row>
    <row r="278" ht="16.5" spans="1:32">
      <c r="A278">
        <f ca="1" t="shared" si="92"/>
        <v>21966</v>
      </c>
      <c r="B278" s="2">
        <v>276</v>
      </c>
      <c r="C278" s="2">
        <f>_xlfn.XLOOKUP(练度预期!D278,装备养成!$B$3:$B$303,装备养成!$D$3:$D$303)*6</f>
        <v>17748</v>
      </c>
      <c r="D278" s="2" cm="1">
        <f ca="1" t="array" ref="D278">_xlfn.XLOOKUP(练度预期!E278&amp;"_"&amp;INT(练度预期!C278/10)*10+10,装备养成!$N$4:$N$219&amp;"_"&amp;装备养成!$K$4:$K$219,装备养成!$P$4:$P$219)*练度预期!F278+_xlfn.XLOOKUP(练度预期!E278-1&amp;"_"&amp;INT(练度预期!C278/10)*10+10,装备养成!$N$4:$N$219&amp;"_"&amp;装备养成!$K$4:$K$219,装备养成!$P$4:$P$219)*(6-练度预期!F278)</f>
        <v>3618</v>
      </c>
      <c r="E278" s="2">
        <f ca="1">练度预期!N278*4*练度预期!M278</f>
        <v>600</v>
      </c>
      <c r="F278" s="103">
        <f ca="1">INT(练度预期!D278/10)*0.02+1+_xlfn.XLOOKUP(练度预期!E278,装备养成!$U$3:$U$11,装备养成!$V$3:$V$11)*练度预期!F278+_xlfn.XLOOKUP(练度预期!E278-1,装备养成!$U$3:$U$11,装备养成!$V$3:$V$11)*(6-练度预期!F278)</f>
        <v>1.67488</v>
      </c>
      <c r="G278" s="48">
        <f ca="1">OFFSET(梦灵养成!$K$20,_xlfn.XLOOKUP(练度预期!H278,梦灵养成!$D$10:$D$28,梦灵养成!$H$10:$H$28),MATCH(OFFSET(梦灵养成!$C$33,B278,MATCH(练度预期!H278,梦灵养成!$D$33:$V$33,0)),梦灵养成!$L$20:$R$20,1))*(1+(OFFSET(梦灵养成!$C$33,B278,MATCH(练度预期!H278,梦灵养成!$D$33:$V$33,0))-1)*_xlfn.XLOOKUP(练度预期!H278,梦灵养成!$D$9:$D$28,梦灵养成!$G$9:$G$28))</f>
        <v>29.8725</v>
      </c>
      <c r="H278" s="46">
        <f ca="1">符文养成!AC279</f>
        <v>29.2815495747044</v>
      </c>
      <c r="I278" s="46">
        <f>MAX(_xlfn.XLOOKUP(练度预期!O278,秘宝养成!$B$3:$B$15,秘宝养成!$E$3:$E$15),1)</f>
        <v>2.7915904</v>
      </c>
      <c r="J278" s="104">
        <f ca="1" t="shared" si="93"/>
        <v>89836329.1414578</v>
      </c>
      <c r="K278" s="104">
        <f ca="1">MATCH(J278,关卡预期!$E$4:$E$303,1)</f>
        <v>189</v>
      </c>
      <c r="L278" s="48">
        <f ca="1" t="shared" si="94"/>
        <v>0.80797596285168</v>
      </c>
      <c r="M278" s="48">
        <f ca="1" t="shared" si="95"/>
        <v>0.164709095875444</v>
      </c>
      <c r="N278" s="48">
        <f ca="1" t="shared" si="96"/>
        <v>0.0273149412728764</v>
      </c>
      <c r="O278" s="48">
        <f ca="1" t="shared" si="97"/>
        <v>0.0620161235618398</v>
      </c>
      <c r="P278" s="48">
        <f ca="1" t="shared" si="98"/>
        <v>0.408470015180299</v>
      </c>
      <c r="Q278" s="48">
        <f ca="1" t="shared" si="99"/>
        <v>0.406067403787199</v>
      </c>
      <c r="R278" s="48">
        <f ca="1" t="shared" si="100"/>
        <v>0.123446457470663</v>
      </c>
      <c r="S278" s="46">
        <f ca="1" t="shared" si="101"/>
        <v>0.80797596285168</v>
      </c>
      <c r="T278" s="46">
        <f ca="1" t="shared" si="102"/>
        <v>0.164709095875444</v>
      </c>
      <c r="U278" s="46">
        <f ca="1" t="shared" si="103"/>
        <v>0.0273149412728764</v>
      </c>
      <c r="V278" s="48">
        <f ca="1" t="shared" si="104"/>
        <v>0.515741520919589</v>
      </c>
      <c r="W278" s="48">
        <f ca="1" t="shared" si="105"/>
        <v>3.39693832474177</v>
      </c>
      <c r="X278" s="48">
        <f ca="1" t="shared" si="106"/>
        <v>3.37695761032611</v>
      </c>
      <c r="Y278" s="48">
        <f t="shared" si="107"/>
        <v>1.02661146926685</v>
      </c>
      <c r="Z278" s="105">
        <f ca="1" t="shared" si="108"/>
        <v>0.0620161235618398</v>
      </c>
      <c r="AA278" s="105">
        <f ca="1" t="shared" si="109"/>
        <v>0.408470015180298</v>
      </c>
      <c r="AB278" s="105">
        <f ca="1" t="shared" si="110"/>
        <v>0.406067403787199</v>
      </c>
      <c r="AC278" s="105">
        <f ca="1" t="shared" si="111"/>
        <v>0.123446457470663</v>
      </c>
      <c r="AD278" s="105">
        <f ca="1" t="shared" si="112"/>
        <v>0.80797596285168</v>
      </c>
      <c r="AE278" s="105">
        <f ca="1" t="shared" si="113"/>
        <v>0.164709095875444</v>
      </c>
      <c r="AF278" s="105">
        <f ca="1" t="shared" si="114"/>
        <v>0.0273149412728763</v>
      </c>
    </row>
    <row r="279" ht="16.5" spans="1:32">
      <c r="A279">
        <f ca="1" t="shared" si="92"/>
        <v>22266</v>
      </c>
      <c r="B279" s="2">
        <v>277</v>
      </c>
      <c r="C279" s="2">
        <f>_xlfn.XLOOKUP(练度预期!D279,装备养成!$B$3:$B$303,装备养成!$D$3:$D$303)*6</f>
        <v>18048</v>
      </c>
      <c r="D279" s="2" cm="1">
        <f ca="1" t="array" ref="D279">_xlfn.XLOOKUP(练度预期!E279&amp;"_"&amp;INT(练度预期!C279/10)*10+10,装备养成!$N$4:$N$219&amp;"_"&amp;装备养成!$K$4:$K$219,装备养成!$P$4:$P$219)*练度预期!F279+_xlfn.XLOOKUP(练度预期!E279-1&amp;"_"&amp;INT(练度预期!C279/10)*10+10,装备养成!$N$4:$N$219&amp;"_"&amp;装备养成!$K$4:$K$219,装备养成!$P$4:$P$219)*(6-练度预期!F279)</f>
        <v>3618</v>
      </c>
      <c r="E279" s="2">
        <f ca="1">练度预期!N279*4*练度预期!M279</f>
        <v>600</v>
      </c>
      <c r="F279" s="103">
        <f ca="1">INT(练度预期!D279/10)*0.02+1+_xlfn.XLOOKUP(练度预期!E279,装备养成!$U$3:$U$11,装备养成!$V$3:$V$11)*练度预期!F279+_xlfn.XLOOKUP(练度预期!E279-1,装备养成!$U$3:$U$11,装备养成!$V$3:$V$11)*(6-练度预期!F279)</f>
        <v>1.67488</v>
      </c>
      <c r="G279" s="48">
        <f ca="1">OFFSET(梦灵养成!$K$20,_xlfn.XLOOKUP(练度预期!H279,梦灵养成!$D$10:$D$28,梦灵养成!$H$10:$H$28),MATCH(OFFSET(梦灵养成!$C$33,B279,MATCH(练度预期!H279,梦灵养成!$D$33:$V$33,0)),梦灵养成!$L$20:$R$20,1))*(1+(OFFSET(梦灵养成!$C$33,B279,MATCH(练度预期!H279,梦灵养成!$D$33:$V$33,0))-1)*_xlfn.XLOOKUP(练度预期!H279,梦灵养成!$D$9:$D$28,梦灵养成!$G$9:$G$28))</f>
        <v>29.8725</v>
      </c>
      <c r="H279" s="46">
        <f ca="1">符文养成!AC280</f>
        <v>29.3381736898699</v>
      </c>
      <c r="I279" s="46">
        <f>MAX(_xlfn.XLOOKUP(练度预期!O279,秘宝养成!$B$3:$B$15,秘宝养成!$E$3:$E$15),1)</f>
        <v>2.7915904</v>
      </c>
      <c r="J279" s="104">
        <f ca="1" t="shared" si="93"/>
        <v>91239362.6167533</v>
      </c>
      <c r="K279" s="104">
        <f ca="1">MATCH(J279,关卡预期!$E$4:$E$303,1)</f>
        <v>189</v>
      </c>
      <c r="L279" s="48">
        <f ca="1" t="shared" si="94"/>
        <v>0.810563190514686</v>
      </c>
      <c r="M279" s="48">
        <f ca="1" t="shared" si="95"/>
        <v>0.162489894907033</v>
      </c>
      <c r="N279" s="48">
        <f ca="1" t="shared" si="96"/>
        <v>0.0269469145782809</v>
      </c>
      <c r="O279" s="48">
        <f ca="1" t="shared" si="97"/>
        <v>0.0620017201939352</v>
      </c>
      <c r="P279" s="48">
        <f ca="1" t="shared" si="98"/>
        <v>0.408375147207766</v>
      </c>
      <c r="Q279" s="48">
        <f ca="1" t="shared" si="99"/>
        <v>0.406205345812635</v>
      </c>
      <c r="R279" s="48">
        <f ca="1" t="shared" si="100"/>
        <v>0.123417786785664</v>
      </c>
      <c r="S279" s="46">
        <f ca="1" t="shared" si="101"/>
        <v>0.810563190514686</v>
      </c>
      <c r="T279" s="46">
        <f ca="1" t="shared" si="102"/>
        <v>0.162489894907033</v>
      </c>
      <c r="U279" s="46">
        <f ca="1" t="shared" si="103"/>
        <v>0.0269469145782809</v>
      </c>
      <c r="V279" s="48">
        <f ca="1" t="shared" si="104"/>
        <v>0.515741520919589</v>
      </c>
      <c r="W279" s="48">
        <f ca="1" t="shared" si="105"/>
        <v>3.39693832474177</v>
      </c>
      <c r="X279" s="48">
        <f ca="1" t="shared" si="106"/>
        <v>3.37888952435175</v>
      </c>
      <c r="Y279" s="48">
        <f t="shared" si="107"/>
        <v>1.02661146926685</v>
      </c>
      <c r="Z279" s="105">
        <f ca="1" t="shared" si="108"/>
        <v>0.0620017201939352</v>
      </c>
      <c r="AA279" s="105">
        <f ca="1" t="shared" si="109"/>
        <v>0.408375147207766</v>
      </c>
      <c r="AB279" s="105">
        <f ca="1" t="shared" si="110"/>
        <v>0.406205345812635</v>
      </c>
      <c r="AC279" s="105">
        <f ca="1" t="shared" si="111"/>
        <v>0.123417786785664</v>
      </c>
      <c r="AD279" s="105">
        <f ca="1" t="shared" si="112"/>
        <v>0.810563190514686</v>
      </c>
      <c r="AE279" s="105">
        <f ca="1" t="shared" si="113"/>
        <v>0.162489894907033</v>
      </c>
      <c r="AF279" s="105">
        <f ca="1" t="shared" si="114"/>
        <v>0.0269469145782808</v>
      </c>
    </row>
    <row r="280" ht="16.5" spans="1:32">
      <c r="A280">
        <f ca="1" t="shared" si="92"/>
        <v>22266</v>
      </c>
      <c r="B280" s="2">
        <v>278</v>
      </c>
      <c r="C280" s="2">
        <f>_xlfn.XLOOKUP(练度预期!D280,装备养成!$B$3:$B$303,装备养成!$D$3:$D$303)*6</f>
        <v>18048</v>
      </c>
      <c r="D280" s="2" cm="1">
        <f ca="1" t="array" ref="D280">_xlfn.XLOOKUP(练度预期!E280&amp;"_"&amp;INT(练度预期!C280/10)*10+10,装备养成!$N$4:$N$219&amp;"_"&amp;装备养成!$K$4:$K$219,装备养成!$P$4:$P$219)*练度预期!F280+_xlfn.XLOOKUP(练度预期!E280-1&amp;"_"&amp;INT(练度预期!C280/10)*10+10,装备养成!$N$4:$N$219&amp;"_"&amp;装备养成!$K$4:$K$219,装备养成!$P$4:$P$219)*(6-练度预期!F280)</f>
        <v>3618</v>
      </c>
      <c r="E280" s="2">
        <f ca="1">练度预期!N280*4*练度预期!M280</f>
        <v>600</v>
      </c>
      <c r="F280" s="103">
        <f ca="1">INT(练度预期!D280/10)*0.02+1+_xlfn.XLOOKUP(练度预期!E280,装备养成!$U$3:$U$11,装备养成!$V$3:$V$11)*练度预期!F280+_xlfn.XLOOKUP(练度预期!E280-1,装备养成!$U$3:$U$11,装备养成!$V$3:$V$11)*(6-练度预期!F280)</f>
        <v>1.67488</v>
      </c>
      <c r="G280" s="48">
        <f ca="1">OFFSET(梦灵养成!$K$20,_xlfn.XLOOKUP(练度预期!H280,梦灵养成!$D$10:$D$28,梦灵养成!$H$10:$H$28),MATCH(OFFSET(梦灵养成!$C$33,B280,MATCH(练度预期!H280,梦灵养成!$D$33:$V$33,0)),梦灵养成!$L$20:$R$20,1))*(1+(OFFSET(梦灵养成!$C$33,B280,MATCH(练度预期!H280,梦灵养成!$D$33:$V$33,0))-1)*_xlfn.XLOOKUP(练度预期!H280,梦灵养成!$D$9:$D$28,梦灵养成!$G$9:$G$28))</f>
        <v>29.8725</v>
      </c>
      <c r="H280" s="46">
        <f ca="1">符文养成!AC281</f>
        <v>29.3905061476626</v>
      </c>
      <c r="I280" s="46">
        <f>MAX(_xlfn.XLOOKUP(练度预期!O280,秘宝养成!$B$3:$B$15,秘宝养成!$E$3:$E$15),1)</f>
        <v>2.7915904</v>
      </c>
      <c r="J280" s="104">
        <f ca="1" t="shared" si="93"/>
        <v>91402112.3551537</v>
      </c>
      <c r="K280" s="104">
        <f ca="1">MATCH(J280,关卡预期!$E$4:$E$303,1)</f>
        <v>189</v>
      </c>
      <c r="L280" s="48">
        <f ca="1" t="shared" si="94"/>
        <v>0.810563190514686</v>
      </c>
      <c r="M280" s="48">
        <f ca="1" t="shared" si="95"/>
        <v>0.162489894907033</v>
      </c>
      <c r="N280" s="48">
        <f ca="1" t="shared" si="96"/>
        <v>0.0269469145782808</v>
      </c>
      <c r="O280" s="48">
        <f ca="1" t="shared" si="97"/>
        <v>0.0619884391153316</v>
      </c>
      <c r="P280" s="48">
        <f ca="1" t="shared" si="98"/>
        <v>0.408287671208506</v>
      </c>
      <c r="Q280" s="48">
        <f ca="1" t="shared" si="99"/>
        <v>0.406332539597775</v>
      </c>
      <c r="R280" s="48">
        <f ca="1" t="shared" si="100"/>
        <v>0.123391350078388</v>
      </c>
      <c r="S280" s="46">
        <f ca="1" t="shared" si="101"/>
        <v>0.810563190514686</v>
      </c>
      <c r="T280" s="46">
        <f ca="1" t="shared" si="102"/>
        <v>0.162489894907033</v>
      </c>
      <c r="U280" s="46">
        <f ca="1" t="shared" si="103"/>
        <v>0.0269469145782808</v>
      </c>
      <c r="V280" s="48">
        <f ca="1" t="shared" si="104"/>
        <v>0.515741520919589</v>
      </c>
      <c r="W280" s="48">
        <f ca="1" t="shared" si="105"/>
        <v>3.39693832474177</v>
      </c>
      <c r="X280" s="48">
        <f ca="1" t="shared" si="106"/>
        <v>3.38067170204717</v>
      </c>
      <c r="Y280" s="48">
        <f t="shared" si="107"/>
        <v>1.02661146926685</v>
      </c>
      <c r="Z280" s="105">
        <f ca="1" t="shared" si="108"/>
        <v>0.0619884391153316</v>
      </c>
      <c r="AA280" s="105">
        <f ca="1" t="shared" si="109"/>
        <v>0.408287671208506</v>
      </c>
      <c r="AB280" s="105">
        <f ca="1" t="shared" si="110"/>
        <v>0.406332539597775</v>
      </c>
      <c r="AC280" s="105">
        <f ca="1" t="shared" si="111"/>
        <v>0.123391350078388</v>
      </c>
      <c r="AD280" s="105">
        <f ca="1" t="shared" si="112"/>
        <v>0.810563190514686</v>
      </c>
      <c r="AE280" s="105">
        <f ca="1" t="shared" si="113"/>
        <v>0.162489894907033</v>
      </c>
      <c r="AF280" s="105">
        <f ca="1" t="shared" si="114"/>
        <v>0.0269469145782808</v>
      </c>
    </row>
    <row r="281" ht="16.5" spans="1:32">
      <c r="A281">
        <f ca="1" t="shared" si="92"/>
        <v>22266</v>
      </c>
      <c r="B281" s="2">
        <v>279</v>
      </c>
      <c r="C281" s="2">
        <f>_xlfn.XLOOKUP(练度预期!D281,装备养成!$B$3:$B$303,装备养成!$D$3:$D$303)*6</f>
        <v>18048</v>
      </c>
      <c r="D281" s="2" cm="1">
        <f ca="1" t="array" ref="D281">_xlfn.XLOOKUP(练度预期!E281&amp;"_"&amp;INT(练度预期!C281/10)*10+10,装备养成!$N$4:$N$219&amp;"_"&amp;装备养成!$K$4:$K$219,装备养成!$P$4:$P$219)*练度预期!F281+_xlfn.XLOOKUP(练度预期!E281-1&amp;"_"&amp;INT(练度预期!C281/10)*10+10,装备养成!$N$4:$N$219&amp;"_"&amp;装备养成!$K$4:$K$219,装备养成!$P$4:$P$219)*(6-练度预期!F281)</f>
        <v>3618</v>
      </c>
      <c r="E281" s="2">
        <f ca="1">练度预期!N281*4*练度预期!M281</f>
        <v>600</v>
      </c>
      <c r="F281" s="103">
        <f ca="1">INT(练度预期!D281/10)*0.02+1+_xlfn.XLOOKUP(练度预期!E281,装备养成!$U$3:$U$11,装备养成!$V$3:$V$11)*练度预期!F281+_xlfn.XLOOKUP(练度预期!E281-1,装备养成!$U$3:$U$11,装备养成!$V$3:$V$11)*(6-练度预期!F281)</f>
        <v>1.67488</v>
      </c>
      <c r="G281" s="48">
        <f ca="1">OFFSET(梦灵养成!$K$20,_xlfn.XLOOKUP(练度预期!H281,梦灵养成!$D$10:$D$28,梦灵养成!$H$10:$H$28),MATCH(OFFSET(梦灵养成!$C$33,B281,MATCH(练度预期!H281,梦灵养成!$D$33:$V$33,0)),梦灵养成!$L$20:$R$20,1))*(1+(OFFSET(梦灵养成!$C$33,B281,MATCH(练度预期!H281,梦灵养成!$D$33:$V$33,0))-1)*_xlfn.XLOOKUP(练度预期!H281,梦灵养成!$D$9:$D$28,梦灵养成!$G$9:$G$28))</f>
        <v>29.8725</v>
      </c>
      <c r="H281" s="46">
        <f ca="1">符文养成!AC282</f>
        <v>29.4524344977712</v>
      </c>
      <c r="I281" s="46">
        <f>MAX(_xlfn.XLOOKUP(练度预期!O281,秘宝养成!$B$3:$B$15,秘宝养成!$E$3:$E$15),1)</f>
        <v>2.7915904</v>
      </c>
      <c r="J281" s="104">
        <f ca="1" t="shared" si="93"/>
        <v>91594704.5475494</v>
      </c>
      <c r="K281" s="104">
        <f ca="1">MATCH(J281,关卡预期!$E$4:$E$303,1)</f>
        <v>189</v>
      </c>
      <c r="L281" s="48">
        <f ca="1" t="shared" si="94"/>
        <v>0.810563190514686</v>
      </c>
      <c r="M281" s="48">
        <f ca="1" t="shared" si="95"/>
        <v>0.162489894907033</v>
      </c>
      <c r="N281" s="48">
        <f ca="1" t="shared" si="96"/>
        <v>0.0269469145782809</v>
      </c>
      <c r="O281" s="48">
        <f ca="1" t="shared" si="97"/>
        <v>0.061972760606892</v>
      </c>
      <c r="P281" s="48">
        <f ca="1" t="shared" si="98"/>
        <v>0.408184404506034</v>
      </c>
      <c r="Q281" s="48">
        <f ca="1" t="shared" si="99"/>
        <v>0.406482693730079</v>
      </c>
      <c r="R281" s="48">
        <f ca="1" t="shared" si="100"/>
        <v>0.123360141156996</v>
      </c>
      <c r="S281" s="46">
        <f ca="1" t="shared" si="101"/>
        <v>0.810563190514686</v>
      </c>
      <c r="T281" s="46">
        <f ca="1" t="shared" si="102"/>
        <v>0.162489894907033</v>
      </c>
      <c r="U281" s="46">
        <f ca="1" t="shared" si="103"/>
        <v>0.0269469145782809</v>
      </c>
      <c r="V281" s="48">
        <f ca="1" t="shared" si="104"/>
        <v>0.515741520919589</v>
      </c>
      <c r="W281" s="48">
        <f ca="1" t="shared" si="105"/>
        <v>3.39693832474177</v>
      </c>
      <c r="X281" s="48">
        <f ca="1" t="shared" si="106"/>
        <v>3.38277657214012</v>
      </c>
      <c r="Y281" s="48">
        <f t="shared" si="107"/>
        <v>1.02661146926685</v>
      </c>
      <c r="Z281" s="105">
        <f ca="1" t="shared" si="108"/>
        <v>0.061972760606892</v>
      </c>
      <c r="AA281" s="105">
        <f ca="1" t="shared" si="109"/>
        <v>0.408184404506034</v>
      </c>
      <c r="AB281" s="105">
        <f ca="1" t="shared" si="110"/>
        <v>0.406482693730079</v>
      </c>
      <c r="AC281" s="105">
        <f ca="1" t="shared" si="111"/>
        <v>0.123360141156996</v>
      </c>
      <c r="AD281" s="105">
        <f ca="1" t="shared" si="112"/>
        <v>0.810563190514686</v>
      </c>
      <c r="AE281" s="105">
        <f ca="1" t="shared" si="113"/>
        <v>0.162489894907033</v>
      </c>
      <c r="AF281" s="105">
        <f ca="1" t="shared" si="114"/>
        <v>0.0269469145782808</v>
      </c>
    </row>
    <row r="282" ht="16.5" spans="1:32">
      <c r="A282">
        <f ca="1" t="shared" si="92"/>
        <v>22266</v>
      </c>
      <c r="B282" s="2">
        <v>280</v>
      </c>
      <c r="C282" s="2">
        <f>_xlfn.XLOOKUP(练度预期!D282,装备养成!$B$3:$B$303,装备养成!$D$3:$D$303)*6</f>
        <v>18048</v>
      </c>
      <c r="D282" s="2" cm="1">
        <f ca="1" t="array" ref="D282">_xlfn.XLOOKUP(练度预期!E282&amp;"_"&amp;INT(练度预期!C282/10)*10+10,装备养成!$N$4:$N$219&amp;"_"&amp;装备养成!$K$4:$K$219,装备养成!$P$4:$P$219)*练度预期!F282+_xlfn.XLOOKUP(练度预期!E282-1&amp;"_"&amp;INT(练度预期!C282/10)*10+10,装备养成!$N$4:$N$219&amp;"_"&amp;装备养成!$K$4:$K$219,装备养成!$P$4:$P$219)*(6-练度预期!F282)</f>
        <v>3618</v>
      </c>
      <c r="E282" s="2">
        <f ca="1">练度预期!N282*4*练度预期!M282</f>
        <v>600</v>
      </c>
      <c r="F282" s="103">
        <f ca="1">INT(练度预期!D282/10)*0.02+1+_xlfn.XLOOKUP(练度预期!E282,装备养成!$U$3:$U$11,装备养成!$V$3:$V$11)*练度预期!F282+_xlfn.XLOOKUP(练度预期!E282-1,装备养成!$U$3:$U$11,装备养成!$V$3:$V$11)*(6-练度预期!F282)</f>
        <v>1.67488</v>
      </c>
      <c r="G282" s="48">
        <f ca="1">OFFSET(梦灵养成!$K$20,_xlfn.XLOOKUP(练度预期!H282,梦灵养成!$D$10:$D$28,梦灵养成!$H$10:$H$28),MATCH(OFFSET(梦灵养成!$C$33,B282,MATCH(练度预期!H282,梦灵养成!$D$33:$V$33,0)),梦灵养成!$L$20:$R$20,1))*(1+(OFFSET(梦灵养成!$C$33,B282,MATCH(练度预期!H282,梦灵养成!$D$33:$V$33,0))-1)*_xlfn.XLOOKUP(练度预期!H282,梦灵养成!$D$9:$D$28,梦灵养成!$G$9:$G$28))</f>
        <v>29.8725</v>
      </c>
      <c r="H282" s="46">
        <f ca="1">符文养成!AC283</f>
        <v>29.5060736418937</v>
      </c>
      <c r="I282" s="46">
        <f>MAX(_xlfn.XLOOKUP(练度预期!O282,秘宝养成!$B$3:$B$15,秘宝养成!$E$3:$E$15),1)</f>
        <v>2.7915904</v>
      </c>
      <c r="J282" s="104">
        <f ca="1" t="shared" si="93"/>
        <v>91761517.9754327</v>
      </c>
      <c r="K282" s="104">
        <f ca="1">MATCH(J282,关卡预期!$E$4:$E$303,1)</f>
        <v>189</v>
      </c>
      <c r="L282" s="48">
        <f ca="1" t="shared" si="94"/>
        <v>0.810563190514686</v>
      </c>
      <c r="M282" s="48">
        <f ca="1" t="shared" si="95"/>
        <v>0.162489894907033</v>
      </c>
      <c r="N282" s="48">
        <f ca="1" t="shared" si="96"/>
        <v>0.0269469145782808</v>
      </c>
      <c r="O282" s="48">
        <f ca="1" t="shared" si="97"/>
        <v>0.0619592137010363</v>
      </c>
      <c r="P282" s="48">
        <f ca="1" t="shared" si="98"/>
        <v>0.408095177632074</v>
      </c>
      <c r="Q282" s="48">
        <f ca="1" t="shared" si="99"/>
        <v>0.406612433360733</v>
      </c>
      <c r="R282" s="48">
        <f ca="1" t="shared" si="100"/>
        <v>0.123333175306157</v>
      </c>
      <c r="S282" s="46">
        <f ca="1" t="shared" si="101"/>
        <v>0.810563190514686</v>
      </c>
      <c r="T282" s="46">
        <f ca="1" t="shared" si="102"/>
        <v>0.162489894907033</v>
      </c>
      <c r="U282" s="46">
        <f ca="1" t="shared" si="103"/>
        <v>0.0269469145782808</v>
      </c>
      <c r="V282" s="48">
        <f ca="1" t="shared" si="104"/>
        <v>0.515741520919589</v>
      </c>
      <c r="W282" s="48">
        <f ca="1" t="shared" si="105"/>
        <v>3.39693832474177</v>
      </c>
      <c r="X282" s="48">
        <f ca="1" t="shared" si="106"/>
        <v>3.38459612832002</v>
      </c>
      <c r="Y282" s="48">
        <f t="shared" si="107"/>
        <v>1.02661146926685</v>
      </c>
      <c r="Z282" s="105">
        <f ca="1" t="shared" si="108"/>
        <v>0.0619592137010363</v>
      </c>
      <c r="AA282" s="105">
        <f ca="1" t="shared" si="109"/>
        <v>0.408095177632074</v>
      </c>
      <c r="AB282" s="105">
        <f ca="1" t="shared" si="110"/>
        <v>0.406612433360733</v>
      </c>
      <c r="AC282" s="105">
        <f ca="1" t="shared" si="111"/>
        <v>0.123333175306157</v>
      </c>
      <c r="AD282" s="105">
        <f ca="1" t="shared" si="112"/>
        <v>0.810563190514686</v>
      </c>
      <c r="AE282" s="105">
        <f ca="1" t="shared" si="113"/>
        <v>0.162489894907033</v>
      </c>
      <c r="AF282" s="105">
        <f ca="1" t="shared" si="114"/>
        <v>0.0269469145782808</v>
      </c>
    </row>
    <row r="283" ht="16.5" spans="1:32">
      <c r="A283">
        <f ca="1" t="shared" si="92"/>
        <v>22566</v>
      </c>
      <c r="B283" s="2">
        <v>281</v>
      </c>
      <c r="C283" s="2">
        <f>_xlfn.XLOOKUP(练度预期!D283,装备养成!$B$3:$B$303,装备养成!$D$3:$D$303)*6</f>
        <v>18348</v>
      </c>
      <c r="D283" s="2" cm="1">
        <f ca="1" t="array" ref="D283">_xlfn.XLOOKUP(练度预期!E283&amp;"_"&amp;INT(练度预期!C283/10)*10+10,装备养成!$N$4:$N$219&amp;"_"&amp;装备养成!$K$4:$K$219,装备养成!$P$4:$P$219)*练度预期!F283+_xlfn.XLOOKUP(练度预期!E283-1&amp;"_"&amp;INT(练度预期!C283/10)*10+10,装备养成!$N$4:$N$219&amp;"_"&amp;装备养成!$K$4:$K$219,装备养成!$P$4:$P$219)*(6-练度预期!F283)</f>
        <v>3618</v>
      </c>
      <c r="E283" s="2">
        <f ca="1">练度预期!N283*4*练度预期!M283</f>
        <v>600</v>
      </c>
      <c r="F283" s="103">
        <f ca="1">INT(练度预期!D283/10)*0.02+1+_xlfn.XLOOKUP(练度预期!E283,装备养成!$U$3:$U$11,装备养成!$V$3:$V$11)*练度预期!F283+_xlfn.XLOOKUP(练度预期!E283-1,装备养成!$U$3:$U$11,装备养成!$V$3:$V$11)*(6-练度预期!F283)</f>
        <v>1.67488</v>
      </c>
      <c r="G283" s="48">
        <f ca="1">OFFSET(梦灵养成!$K$20,_xlfn.XLOOKUP(练度预期!H283,梦灵养成!$D$10:$D$28,梦灵养成!$H$10:$H$28),MATCH(OFFSET(梦灵养成!$C$33,B283,MATCH(练度预期!H283,梦灵养成!$D$33:$V$33,0)),梦灵养成!$L$20:$R$20,1))*(1+(OFFSET(梦灵养成!$C$33,B283,MATCH(练度预期!H283,梦灵养成!$D$33:$V$33,0))-1)*_xlfn.XLOOKUP(练度预期!H283,梦灵养成!$D$9:$D$28,梦灵养成!$G$9:$G$28))</f>
        <v>29.8725</v>
      </c>
      <c r="H283" s="46">
        <f ca="1">符文养成!AC284</f>
        <v>29.5682355864952</v>
      </c>
      <c r="I283" s="46">
        <f>MAX(_xlfn.XLOOKUP(练度预期!O283,秘宝养成!$B$3:$B$15,秘宝养成!$E$3:$E$15),1)</f>
        <v>2.7915904</v>
      </c>
      <c r="J283" s="104">
        <f ca="1" t="shared" si="93"/>
        <v>93193786.1917664</v>
      </c>
      <c r="K283" s="104">
        <f ca="1">MATCH(J283,关卡预期!$E$4:$E$303,1)</f>
        <v>189</v>
      </c>
      <c r="L283" s="48">
        <f ca="1" t="shared" si="94"/>
        <v>0.813081627226801</v>
      </c>
      <c r="M283" s="48">
        <f ca="1" t="shared" si="95"/>
        <v>0.160329699547993</v>
      </c>
      <c r="N283" s="48">
        <f ca="1" t="shared" si="96"/>
        <v>0.0265886732252062</v>
      </c>
      <c r="O283" s="48">
        <f ca="1" t="shared" si="97"/>
        <v>0.0619435524660659</v>
      </c>
      <c r="P283" s="48">
        <f ca="1" t="shared" si="98"/>
        <v>0.407992024701534</v>
      </c>
      <c r="Q283" s="48">
        <f ca="1" t="shared" si="99"/>
        <v>0.406762422063858</v>
      </c>
      <c r="R283" s="48">
        <f ca="1" t="shared" si="100"/>
        <v>0.123302000768542</v>
      </c>
      <c r="S283" s="46">
        <f ca="1" t="shared" si="101"/>
        <v>0.813081627226801</v>
      </c>
      <c r="T283" s="46">
        <f ca="1" t="shared" si="102"/>
        <v>0.160329699547993</v>
      </c>
      <c r="U283" s="46">
        <f ca="1" t="shared" si="103"/>
        <v>0.0265886732252062</v>
      </c>
      <c r="V283" s="48">
        <f ca="1" t="shared" si="104"/>
        <v>0.515741520919589</v>
      </c>
      <c r="W283" s="48">
        <f ca="1" t="shared" si="105"/>
        <v>3.39693832474177</v>
      </c>
      <c r="X283" s="48">
        <f ca="1" t="shared" si="106"/>
        <v>3.38670066304439</v>
      </c>
      <c r="Y283" s="48">
        <f t="shared" si="107"/>
        <v>1.02661146926685</v>
      </c>
      <c r="Z283" s="105">
        <f ca="1" t="shared" si="108"/>
        <v>0.0619435524660659</v>
      </c>
      <c r="AA283" s="105">
        <f ca="1" t="shared" si="109"/>
        <v>0.407992024701534</v>
      </c>
      <c r="AB283" s="105">
        <f ca="1" t="shared" si="110"/>
        <v>0.406762422063858</v>
      </c>
      <c r="AC283" s="105">
        <f ca="1" t="shared" si="111"/>
        <v>0.123302000768542</v>
      </c>
      <c r="AD283" s="105">
        <f ca="1" t="shared" si="112"/>
        <v>0.813081627226801</v>
      </c>
      <c r="AE283" s="105">
        <f ca="1" t="shared" si="113"/>
        <v>0.160329699547993</v>
      </c>
      <c r="AF283" s="105">
        <f ca="1" t="shared" si="114"/>
        <v>0.0265886732252061</v>
      </c>
    </row>
    <row r="284" ht="16.5" spans="1:32">
      <c r="A284">
        <f ca="1" t="shared" si="92"/>
        <v>22566</v>
      </c>
      <c r="B284" s="2">
        <v>282</v>
      </c>
      <c r="C284" s="2">
        <f>_xlfn.XLOOKUP(练度预期!D284,装备养成!$B$3:$B$303,装备养成!$D$3:$D$303)*6</f>
        <v>18348</v>
      </c>
      <c r="D284" s="2" cm="1">
        <f ca="1" t="array" ref="D284">_xlfn.XLOOKUP(练度预期!E284&amp;"_"&amp;INT(练度预期!C284/10)*10+10,装备养成!$N$4:$N$219&amp;"_"&amp;装备养成!$K$4:$K$219,装备养成!$P$4:$P$219)*练度预期!F284+_xlfn.XLOOKUP(练度预期!E284-1&amp;"_"&amp;INT(练度预期!C284/10)*10+10,装备养成!$N$4:$N$219&amp;"_"&amp;装备养成!$K$4:$K$219,装备养成!$P$4:$P$219)*(6-练度预期!F284)</f>
        <v>3618</v>
      </c>
      <c r="E284" s="2">
        <f ca="1">练度预期!N284*4*练度预期!M284</f>
        <v>600</v>
      </c>
      <c r="F284" s="103">
        <f ca="1">INT(练度预期!D284/10)*0.02+1+_xlfn.XLOOKUP(练度预期!E284,装备养成!$U$3:$U$11,装备养成!$V$3:$V$11)*练度预期!F284+_xlfn.XLOOKUP(练度预期!E284-1,装备养成!$U$3:$U$11,装备养成!$V$3:$V$11)*(6-练度预期!F284)</f>
        <v>1.67488</v>
      </c>
      <c r="G284" s="48">
        <f ca="1">OFFSET(梦灵养成!$K$20,_xlfn.XLOOKUP(练度预期!H284,梦灵养成!$D$10:$D$28,梦灵养成!$H$10:$H$28),MATCH(OFFSET(梦灵养成!$C$33,B284,MATCH(练度预期!H284,梦灵养成!$D$33:$V$33,0)),梦灵养成!$L$20:$R$20,1))*(1+(OFFSET(梦灵养成!$C$33,B284,MATCH(练度预期!H284,梦灵养成!$D$33:$V$33,0))-1)*_xlfn.XLOOKUP(练度预期!H284,梦灵养成!$D$9:$D$28,梦灵养成!$G$9:$G$28))</f>
        <v>29.8725</v>
      </c>
      <c r="H284" s="46">
        <f ca="1">符文养成!AC285</f>
        <v>29.622077033813</v>
      </c>
      <c r="I284" s="46">
        <f>MAX(_xlfn.XLOOKUP(练度预期!O284,秘宝养成!$B$3:$B$15,秘宝养成!$E$3:$E$15),1)</f>
        <v>2.7915904</v>
      </c>
      <c r="J284" s="104">
        <f ca="1" t="shared" si="93"/>
        <v>93363484.7967073</v>
      </c>
      <c r="K284" s="104">
        <f ca="1">MATCH(J284,关卡预期!$E$4:$E$303,1)</f>
        <v>189</v>
      </c>
      <c r="L284" s="48">
        <f ca="1" t="shared" si="94"/>
        <v>0.813081627226801</v>
      </c>
      <c r="M284" s="48">
        <f ca="1" t="shared" si="95"/>
        <v>0.160329699547993</v>
      </c>
      <c r="N284" s="48">
        <f ca="1" t="shared" si="96"/>
        <v>0.026588673225206</v>
      </c>
      <c r="O284" s="48">
        <f ca="1" t="shared" si="97"/>
        <v>0.0619300204830845</v>
      </c>
      <c r="P284" s="48">
        <f ca="1" t="shared" si="98"/>
        <v>0.407902896117283</v>
      </c>
      <c r="Q284" s="48">
        <f ca="1" t="shared" si="99"/>
        <v>0.40689201877714</v>
      </c>
      <c r="R284" s="48">
        <f ca="1" t="shared" si="100"/>
        <v>0.123275064622493</v>
      </c>
      <c r="S284" s="46">
        <f ca="1" t="shared" si="101"/>
        <v>0.813081627226801</v>
      </c>
      <c r="T284" s="46">
        <f ca="1" t="shared" si="102"/>
        <v>0.160329699547993</v>
      </c>
      <c r="U284" s="46">
        <f ca="1" t="shared" si="103"/>
        <v>0.026588673225206</v>
      </c>
      <c r="V284" s="48">
        <f ca="1" t="shared" si="104"/>
        <v>0.515741520919589</v>
      </c>
      <c r="W284" s="48">
        <f ca="1" t="shared" si="105"/>
        <v>3.39693832474177</v>
      </c>
      <c r="X284" s="48">
        <f ca="1" t="shared" si="106"/>
        <v>3.38851992906223</v>
      </c>
      <c r="Y284" s="48">
        <f t="shared" si="107"/>
        <v>1.02661146926685</v>
      </c>
      <c r="Z284" s="105">
        <f ca="1" t="shared" si="108"/>
        <v>0.0619300204830845</v>
      </c>
      <c r="AA284" s="105">
        <f ca="1" t="shared" si="109"/>
        <v>0.407902896117283</v>
      </c>
      <c r="AB284" s="105">
        <f ca="1" t="shared" si="110"/>
        <v>0.40689201877714</v>
      </c>
      <c r="AC284" s="105">
        <f ca="1" t="shared" si="111"/>
        <v>0.123275064622493</v>
      </c>
      <c r="AD284" s="105">
        <f ca="1" t="shared" si="112"/>
        <v>0.813081627226801</v>
      </c>
      <c r="AE284" s="105">
        <f ca="1" t="shared" si="113"/>
        <v>0.160329699547993</v>
      </c>
      <c r="AF284" s="105">
        <f ca="1" t="shared" si="114"/>
        <v>0.0265886732252061</v>
      </c>
    </row>
    <row r="285" ht="16.5" spans="1:32">
      <c r="A285">
        <f ca="1" t="shared" si="92"/>
        <v>22566</v>
      </c>
      <c r="B285" s="2">
        <v>283</v>
      </c>
      <c r="C285" s="2">
        <f>_xlfn.XLOOKUP(练度预期!D285,装备养成!$B$3:$B$303,装备养成!$D$3:$D$303)*6</f>
        <v>18348</v>
      </c>
      <c r="D285" s="2" cm="1">
        <f ca="1" t="array" ref="D285">_xlfn.XLOOKUP(练度预期!E285&amp;"_"&amp;INT(练度预期!C285/10)*10+10,装备养成!$N$4:$N$219&amp;"_"&amp;装备养成!$K$4:$K$219,装备养成!$P$4:$P$219)*练度预期!F285+_xlfn.XLOOKUP(练度预期!E285-1&amp;"_"&amp;INT(练度预期!C285/10)*10+10,装备养成!$N$4:$N$219&amp;"_"&amp;装备养成!$K$4:$K$219,装备养成!$P$4:$P$219)*(6-练度预期!F285)</f>
        <v>3618</v>
      </c>
      <c r="E285" s="2">
        <f ca="1">练度预期!N285*4*练度预期!M285</f>
        <v>600</v>
      </c>
      <c r="F285" s="103">
        <f ca="1">INT(练度预期!D285/10)*0.02+1+_xlfn.XLOOKUP(练度预期!E285,装备养成!$U$3:$U$11,装备养成!$V$3:$V$11)*练度预期!F285+_xlfn.XLOOKUP(练度预期!E285-1,装备养成!$U$3:$U$11,装备养成!$V$3:$V$11)*(6-练度预期!F285)</f>
        <v>1.67488</v>
      </c>
      <c r="G285" s="48">
        <f ca="1">OFFSET(梦灵养成!$K$20,_xlfn.XLOOKUP(练度预期!H285,梦灵养成!$D$10:$D$28,梦灵养成!$H$10:$H$28),MATCH(OFFSET(梦灵养成!$C$33,B285,MATCH(练度预期!H285,梦灵养成!$D$33:$V$33,0)),梦灵养成!$L$20:$R$20,1))*(1+(OFFSET(梦灵养成!$C$33,B285,MATCH(练度预期!H285,梦灵养成!$D$33:$V$33,0))-1)*_xlfn.XLOOKUP(练度预期!H285,梦灵养成!$D$9:$D$28,梦灵养成!$G$9:$G$28))</f>
        <v>29.8725</v>
      </c>
      <c r="H285" s="46">
        <f ca="1">符文养成!AC286</f>
        <v>29.6782153218851</v>
      </c>
      <c r="I285" s="46">
        <f>MAX(_xlfn.XLOOKUP(练度预期!O285,秘宝养成!$B$3:$B$15,秘宝养成!$E$3:$E$15),1)</f>
        <v>2.7915904</v>
      </c>
      <c r="J285" s="104">
        <f ca="1" t="shared" si="93"/>
        <v>93540422.6325972</v>
      </c>
      <c r="K285" s="104">
        <f ca="1">MATCH(J285,关卡预期!$E$4:$E$303,1)</f>
        <v>189</v>
      </c>
      <c r="L285" s="48">
        <f ca="1" t="shared" si="94"/>
        <v>0.813081627226802</v>
      </c>
      <c r="M285" s="48">
        <f ca="1" t="shared" si="95"/>
        <v>0.160329699547993</v>
      </c>
      <c r="N285" s="48">
        <f ca="1" t="shared" si="96"/>
        <v>0.0265886732252059</v>
      </c>
      <c r="O285" s="48">
        <f ca="1" t="shared" si="97"/>
        <v>0.0619159436785824</v>
      </c>
      <c r="P285" s="48">
        <f ca="1" t="shared" si="98"/>
        <v>0.407810179058905</v>
      </c>
      <c r="Q285" s="48">
        <f ca="1" t="shared" si="99"/>
        <v>0.407026833282853</v>
      </c>
      <c r="R285" s="48">
        <f ca="1" t="shared" si="100"/>
        <v>0.123247043979659</v>
      </c>
      <c r="S285" s="46">
        <f ca="1" t="shared" si="101"/>
        <v>0.813081627226801</v>
      </c>
      <c r="T285" s="46">
        <f ca="1" t="shared" si="102"/>
        <v>0.160329699547993</v>
      </c>
      <c r="U285" s="46">
        <f ca="1" t="shared" si="103"/>
        <v>0.0265886732252059</v>
      </c>
      <c r="V285" s="48">
        <f ca="1" t="shared" si="104"/>
        <v>0.515741520919589</v>
      </c>
      <c r="W285" s="48">
        <f ca="1" t="shared" si="105"/>
        <v>3.39693832474177</v>
      </c>
      <c r="X285" s="48">
        <f ca="1" t="shared" si="106"/>
        <v>3.39041328582701</v>
      </c>
      <c r="Y285" s="48">
        <f t="shared" si="107"/>
        <v>1.02661146926685</v>
      </c>
      <c r="Z285" s="105">
        <f ca="1" t="shared" si="108"/>
        <v>0.0619159436785824</v>
      </c>
      <c r="AA285" s="105">
        <f ca="1" t="shared" si="109"/>
        <v>0.407810179058905</v>
      </c>
      <c r="AB285" s="105">
        <f ca="1" t="shared" si="110"/>
        <v>0.407026833282853</v>
      </c>
      <c r="AC285" s="105">
        <f ca="1" t="shared" si="111"/>
        <v>0.123247043979659</v>
      </c>
      <c r="AD285" s="105">
        <f ca="1" t="shared" si="112"/>
        <v>0.813081627226801</v>
      </c>
      <c r="AE285" s="105">
        <f ca="1" t="shared" si="113"/>
        <v>0.160329699547993</v>
      </c>
      <c r="AF285" s="105">
        <f ca="1" t="shared" si="114"/>
        <v>0.0265886732252061</v>
      </c>
    </row>
    <row r="286" ht="16.5" spans="1:32">
      <c r="A286">
        <f ca="1" t="shared" si="92"/>
        <v>22566</v>
      </c>
      <c r="B286" s="2">
        <v>284</v>
      </c>
      <c r="C286" s="2">
        <f>_xlfn.XLOOKUP(练度预期!D286,装备养成!$B$3:$B$303,装备养成!$D$3:$D$303)*6</f>
        <v>18348</v>
      </c>
      <c r="D286" s="2" cm="1">
        <f ca="1" t="array" ref="D286">_xlfn.XLOOKUP(练度预期!E286&amp;"_"&amp;INT(练度预期!C286/10)*10+10,装备养成!$N$4:$N$219&amp;"_"&amp;装备养成!$K$4:$K$219,装备养成!$P$4:$P$219)*练度预期!F286+_xlfn.XLOOKUP(练度预期!E286-1&amp;"_"&amp;INT(练度预期!C286/10)*10+10,装备养成!$N$4:$N$219&amp;"_"&amp;装备养成!$K$4:$K$219,装备养成!$P$4:$P$219)*(6-练度预期!F286)</f>
        <v>3618</v>
      </c>
      <c r="E286" s="2">
        <f ca="1">练度预期!N286*4*练度预期!M286</f>
        <v>600</v>
      </c>
      <c r="F286" s="103">
        <f ca="1">INT(练度预期!D286/10)*0.02+1+_xlfn.XLOOKUP(练度预期!E286,装备养成!$U$3:$U$11,装备养成!$V$3:$V$11)*练度预期!F286+_xlfn.XLOOKUP(练度预期!E286-1,装备养成!$U$3:$U$11,装备养成!$V$3:$V$11)*(6-练度预期!F286)</f>
        <v>1.67488</v>
      </c>
      <c r="G286" s="48">
        <f ca="1">OFFSET(梦灵养成!$K$20,_xlfn.XLOOKUP(练度预期!H286,梦灵养成!$D$10:$D$28,梦灵养成!$H$10:$H$28),MATCH(OFFSET(梦灵养成!$C$33,B286,MATCH(练度预期!H286,梦灵养成!$D$33:$V$33,0)),梦灵养成!$L$20:$R$20,1))*(1+(OFFSET(梦灵养成!$C$33,B286,MATCH(练度预期!H286,梦灵养成!$D$33:$V$33,0))-1)*_xlfn.XLOOKUP(练度预期!H286,梦灵养成!$D$9:$D$28,梦灵养成!$G$9:$G$28))</f>
        <v>29.8725</v>
      </c>
      <c r="H286" s="46">
        <f ca="1">符文养成!AC287</f>
        <v>29.7322488576038</v>
      </c>
      <c r="I286" s="46">
        <f>MAX(_xlfn.XLOOKUP(练度预期!O286,秘宝养成!$B$3:$B$15,秘宝养成!$E$3:$E$15),1)</f>
        <v>2.7915904</v>
      </c>
      <c r="J286" s="104">
        <f ca="1" t="shared" si="93"/>
        <v>93710726.6657962</v>
      </c>
      <c r="K286" s="104">
        <f ca="1">MATCH(J286,关卡预期!$E$4:$E$303,1)</f>
        <v>189</v>
      </c>
      <c r="L286" s="48">
        <f ca="1" t="shared" si="94"/>
        <v>0.813081627226801</v>
      </c>
      <c r="M286" s="48">
        <f ca="1" t="shared" si="95"/>
        <v>0.160329699547993</v>
      </c>
      <c r="N286" s="48">
        <f ca="1" t="shared" si="96"/>
        <v>0.026588673225206</v>
      </c>
      <c r="O286" s="48">
        <f ca="1" t="shared" si="97"/>
        <v>0.0619024257974026</v>
      </c>
      <c r="P286" s="48">
        <f ca="1" t="shared" si="98"/>
        <v>0.407721143356355</v>
      </c>
      <c r="Q286" s="48">
        <f ca="1" t="shared" si="99"/>
        <v>0.40715629494223</v>
      </c>
      <c r="R286" s="48">
        <f ca="1" t="shared" si="100"/>
        <v>0.123220135904012</v>
      </c>
      <c r="S286" s="46">
        <f ca="1" t="shared" si="101"/>
        <v>0.813081627226801</v>
      </c>
      <c r="T286" s="46">
        <f ca="1" t="shared" si="102"/>
        <v>0.160329699547993</v>
      </c>
      <c r="U286" s="46">
        <f ca="1" t="shared" si="103"/>
        <v>0.026588673225206</v>
      </c>
      <c r="V286" s="48">
        <f ca="1" t="shared" si="104"/>
        <v>0.515741520919589</v>
      </c>
      <c r="W286" s="48">
        <f ca="1" t="shared" si="105"/>
        <v>3.39693832474177</v>
      </c>
      <c r="X286" s="48">
        <f ca="1" t="shared" si="106"/>
        <v>3.39223227685371</v>
      </c>
      <c r="Y286" s="48">
        <f t="shared" si="107"/>
        <v>1.02661146926685</v>
      </c>
      <c r="Z286" s="105">
        <f ca="1" t="shared" si="108"/>
        <v>0.0619024257974026</v>
      </c>
      <c r="AA286" s="105">
        <f ca="1" t="shared" si="109"/>
        <v>0.407721143356355</v>
      </c>
      <c r="AB286" s="105">
        <f ca="1" t="shared" si="110"/>
        <v>0.40715629494223</v>
      </c>
      <c r="AC286" s="105">
        <f ca="1" t="shared" si="111"/>
        <v>0.123220135904012</v>
      </c>
      <c r="AD286" s="105">
        <f ca="1" t="shared" si="112"/>
        <v>0.813081627226801</v>
      </c>
      <c r="AE286" s="105">
        <f ca="1" t="shared" si="113"/>
        <v>0.160329699547993</v>
      </c>
      <c r="AF286" s="105">
        <f ca="1" t="shared" si="114"/>
        <v>0.0265886732252061</v>
      </c>
    </row>
    <row r="287" ht="16.5" spans="1:32">
      <c r="A287">
        <f ca="1" t="shared" si="92"/>
        <v>22566</v>
      </c>
      <c r="B287" s="2">
        <v>285</v>
      </c>
      <c r="C287" s="2">
        <f>_xlfn.XLOOKUP(练度预期!D287,装备养成!$B$3:$B$303,装备养成!$D$3:$D$303)*6</f>
        <v>18348</v>
      </c>
      <c r="D287" s="2" cm="1">
        <f ca="1" t="array" ref="D287">_xlfn.XLOOKUP(练度预期!E287&amp;"_"&amp;INT(练度预期!C287/10)*10+10,装备养成!$N$4:$N$219&amp;"_"&amp;装备养成!$K$4:$K$219,装备养成!$P$4:$P$219)*练度预期!F287+_xlfn.XLOOKUP(练度预期!E287-1&amp;"_"&amp;INT(练度预期!C287/10)*10+10,装备养成!$N$4:$N$219&amp;"_"&amp;装备养成!$K$4:$K$219,装备养成!$P$4:$P$219)*(6-练度预期!F287)</f>
        <v>3618</v>
      </c>
      <c r="E287" s="2">
        <f ca="1">练度预期!N287*4*练度预期!M287</f>
        <v>600</v>
      </c>
      <c r="F287" s="103">
        <f ca="1">INT(练度预期!D287/10)*0.02+1+_xlfn.XLOOKUP(练度预期!E287,装备养成!$U$3:$U$11,装备养成!$V$3:$V$11)*练度预期!F287+_xlfn.XLOOKUP(练度预期!E287-1,装备养成!$U$3:$U$11,装备养成!$V$3:$V$11)*(6-练度预期!F287)</f>
        <v>1.67488</v>
      </c>
      <c r="G287" s="48">
        <f ca="1">OFFSET(梦灵养成!$K$20,_xlfn.XLOOKUP(练度预期!H287,梦灵养成!$D$10:$D$28,梦灵养成!$H$10:$H$28),MATCH(OFFSET(梦灵养成!$C$33,B287,MATCH(练度预期!H287,梦灵养成!$D$33:$V$33,0)),梦灵养成!$L$20:$R$20,1))*(1+(OFFSET(梦灵养成!$C$33,B287,MATCH(练度预期!H287,梦灵养成!$D$33:$V$33,0))-1)*_xlfn.XLOOKUP(练度预期!H287,梦灵养成!$D$9:$D$28,梦灵养成!$G$9:$G$28))</f>
        <v>29.8725</v>
      </c>
      <c r="H287" s="46">
        <f ca="1">符文养成!AC288</f>
        <v>72.0110034023097</v>
      </c>
      <c r="I287" s="46">
        <f>MAX(_xlfn.XLOOKUP(练度预期!O287,秘宝养成!$B$3:$B$15,秘宝养成!$E$3:$E$15),1)</f>
        <v>2.7915904</v>
      </c>
      <c r="J287" s="104">
        <f ca="1" t="shared" si="93"/>
        <v>226965793.575946</v>
      </c>
      <c r="K287" s="104">
        <f ca="1">MATCH(J287,关卡预期!$E$4:$E$303,1)</f>
        <v>207</v>
      </c>
      <c r="L287" s="48">
        <f ca="1" t="shared" si="94"/>
        <v>0.813081627226802</v>
      </c>
      <c r="M287" s="48">
        <f ca="1" t="shared" si="95"/>
        <v>0.160329699547993</v>
      </c>
      <c r="N287" s="48">
        <f ca="1" t="shared" si="96"/>
        <v>0.0265886732252059</v>
      </c>
      <c r="O287" s="48">
        <f ca="1" t="shared" si="97"/>
        <v>0.0559608671207786</v>
      </c>
      <c r="P287" s="48">
        <f ca="1" t="shared" si="98"/>
        <v>0.368586988826119</v>
      </c>
      <c r="Q287" s="48">
        <f ca="1" t="shared" si="99"/>
        <v>0.464059002942661</v>
      </c>
      <c r="R287" s="48">
        <f ca="1" t="shared" si="100"/>
        <v>0.111393141110441</v>
      </c>
      <c r="S287" s="46">
        <f ca="1" t="shared" si="101"/>
        <v>0.813081627226801</v>
      </c>
      <c r="T287" s="46">
        <f ca="1" t="shared" si="102"/>
        <v>0.160329699547993</v>
      </c>
      <c r="U287" s="46">
        <f ca="1" t="shared" si="103"/>
        <v>0.0265886732252059</v>
      </c>
      <c r="V287" s="48">
        <f ca="1" t="shared" si="104"/>
        <v>0.515741520919589</v>
      </c>
      <c r="W287" s="48">
        <f ca="1" t="shared" si="105"/>
        <v>3.39693832474177</v>
      </c>
      <c r="X287" s="48">
        <f ca="1" t="shared" si="106"/>
        <v>4.27681893237158</v>
      </c>
      <c r="Y287" s="48">
        <f t="shared" si="107"/>
        <v>1.02661146926685</v>
      </c>
      <c r="Z287" s="105">
        <f ca="1" t="shared" si="108"/>
        <v>0.0559608671207786</v>
      </c>
      <c r="AA287" s="105">
        <f ca="1" t="shared" si="109"/>
        <v>0.368586988826119</v>
      </c>
      <c r="AB287" s="105">
        <f ca="1" t="shared" si="110"/>
        <v>0.464059002942661</v>
      </c>
      <c r="AC287" s="105">
        <f ca="1" t="shared" si="111"/>
        <v>0.111393141110441</v>
      </c>
      <c r="AD287" s="105">
        <f ca="1" t="shared" si="112"/>
        <v>0.813081627226801</v>
      </c>
      <c r="AE287" s="105">
        <f ca="1" t="shared" si="113"/>
        <v>0.160329699547993</v>
      </c>
      <c r="AF287" s="105">
        <f ca="1" t="shared" si="114"/>
        <v>0.0265886732252061</v>
      </c>
    </row>
    <row r="288" ht="16.5" spans="1:32">
      <c r="A288">
        <f ca="1" t="shared" si="92"/>
        <v>22866</v>
      </c>
      <c r="B288" s="2">
        <v>286</v>
      </c>
      <c r="C288" s="2">
        <f>_xlfn.XLOOKUP(练度预期!D288,装备养成!$B$3:$B$303,装备养成!$D$3:$D$303)*6</f>
        <v>18648</v>
      </c>
      <c r="D288" s="2" cm="1">
        <f ca="1" t="array" ref="D288">_xlfn.XLOOKUP(练度预期!E288&amp;"_"&amp;INT(练度预期!C288/10)*10+10,装备养成!$N$4:$N$219&amp;"_"&amp;装备养成!$K$4:$K$219,装备养成!$P$4:$P$219)*练度预期!F288+_xlfn.XLOOKUP(练度预期!E288-1&amp;"_"&amp;INT(练度预期!C288/10)*10+10,装备养成!$N$4:$N$219&amp;"_"&amp;装备养成!$K$4:$K$219,装备养成!$P$4:$P$219)*(6-练度预期!F288)</f>
        <v>3618</v>
      </c>
      <c r="E288" s="2">
        <f ca="1">练度预期!N288*4*练度预期!M288</f>
        <v>600</v>
      </c>
      <c r="F288" s="103">
        <f ca="1">INT(练度预期!D288/10)*0.02+1+_xlfn.XLOOKUP(练度预期!E288,装备养成!$U$3:$U$11,装备养成!$V$3:$V$11)*练度预期!F288+_xlfn.XLOOKUP(练度预期!E288-1,装备养成!$U$3:$U$11,装备养成!$V$3:$V$11)*(6-练度预期!F288)</f>
        <v>1.67488</v>
      </c>
      <c r="G288" s="48">
        <f ca="1">OFFSET(梦灵养成!$K$20,_xlfn.XLOOKUP(练度预期!H288,梦灵养成!$D$10:$D$28,梦灵养成!$H$10:$H$28),MATCH(OFFSET(梦灵养成!$C$33,B288,MATCH(练度预期!H288,梦灵养成!$D$33:$V$33,0)),梦灵养成!$L$20:$R$20,1))*(1+(OFFSET(梦灵养成!$C$33,B288,MATCH(练度预期!H288,梦灵养成!$D$33:$V$33,0))-1)*_xlfn.XLOOKUP(练度预期!H288,梦灵养成!$D$9:$D$28,梦灵养成!$G$9:$G$28))</f>
        <v>29.8725</v>
      </c>
      <c r="H288" s="46">
        <f ca="1">符文养成!AC289</f>
        <v>72.1772777235571</v>
      </c>
      <c r="I288" s="46">
        <f>MAX(_xlfn.XLOOKUP(练度预期!O288,秘宝养成!$B$3:$B$15,秘宝养成!$E$3:$E$15),1)</f>
        <v>2.7915904</v>
      </c>
      <c r="J288" s="104">
        <f ca="1" t="shared" si="93"/>
        <v>230514187.256424</v>
      </c>
      <c r="K288" s="104">
        <f ca="1">MATCH(J288,关卡预期!$E$4:$E$303,1)</f>
        <v>208</v>
      </c>
      <c r="L288" s="48">
        <f ca="1" t="shared" si="94"/>
        <v>0.815533980582524</v>
      </c>
      <c r="M288" s="48">
        <f ca="1" t="shared" si="95"/>
        <v>0.158226187352401</v>
      </c>
      <c r="N288" s="48">
        <f ca="1" t="shared" si="96"/>
        <v>0.0262398320650747</v>
      </c>
      <c r="O288" s="48">
        <f ca="1" t="shared" si="97"/>
        <v>0.0559468662995049</v>
      </c>
      <c r="P288" s="48">
        <f ca="1" t="shared" si="98"/>
        <v>0.368494772232277</v>
      </c>
      <c r="Q288" s="48">
        <f ca="1" t="shared" si="99"/>
        <v>0.464193089751874</v>
      </c>
      <c r="R288" s="48">
        <f ca="1" t="shared" si="100"/>
        <v>0.111365271716344</v>
      </c>
      <c r="S288" s="46">
        <f ca="1" t="shared" si="101"/>
        <v>0.815533980582524</v>
      </c>
      <c r="T288" s="46">
        <f ca="1" t="shared" si="102"/>
        <v>0.158226187352401</v>
      </c>
      <c r="U288" s="46">
        <f ca="1" t="shared" si="103"/>
        <v>0.0262398320650747</v>
      </c>
      <c r="V288" s="48">
        <f ca="1" t="shared" si="104"/>
        <v>0.515741520919589</v>
      </c>
      <c r="W288" s="48">
        <f ca="1" t="shared" si="105"/>
        <v>3.39693832474177</v>
      </c>
      <c r="X288" s="48">
        <f ca="1" t="shared" si="106"/>
        <v>4.27912528339614</v>
      </c>
      <c r="Y288" s="48">
        <f t="shared" si="107"/>
        <v>1.02661146926685</v>
      </c>
      <c r="Z288" s="105">
        <f ca="1" t="shared" si="108"/>
        <v>0.0559468662995049</v>
      </c>
      <c r="AA288" s="105">
        <f ca="1" t="shared" si="109"/>
        <v>0.368494772232277</v>
      </c>
      <c r="AB288" s="105">
        <f ca="1" t="shared" si="110"/>
        <v>0.464193089751874</v>
      </c>
      <c r="AC288" s="105">
        <f ca="1" t="shared" si="111"/>
        <v>0.111365271716344</v>
      </c>
      <c r="AD288" s="105">
        <f ca="1" t="shared" si="112"/>
        <v>0.815533980582524</v>
      </c>
      <c r="AE288" s="105">
        <f ca="1" t="shared" si="113"/>
        <v>0.158226187352401</v>
      </c>
      <c r="AF288" s="105">
        <f ca="1" t="shared" si="114"/>
        <v>0.0262398320650748</v>
      </c>
    </row>
    <row r="289" ht="16.5" spans="1:32">
      <c r="A289">
        <f ca="1" t="shared" si="92"/>
        <v>22866</v>
      </c>
      <c r="B289" s="2">
        <v>287</v>
      </c>
      <c r="C289" s="2">
        <f>_xlfn.XLOOKUP(练度预期!D289,装备养成!$B$3:$B$303,装备养成!$D$3:$D$303)*6</f>
        <v>18648</v>
      </c>
      <c r="D289" s="2" cm="1">
        <f ca="1" t="array" ref="D289">_xlfn.XLOOKUP(练度预期!E289&amp;"_"&amp;INT(练度预期!C289/10)*10+10,装备养成!$N$4:$N$219&amp;"_"&amp;装备养成!$K$4:$K$219,装备养成!$P$4:$P$219)*练度预期!F289+_xlfn.XLOOKUP(练度预期!E289-1&amp;"_"&amp;INT(练度预期!C289/10)*10+10,装备养成!$N$4:$N$219&amp;"_"&amp;装备养成!$K$4:$K$219,装备养成!$P$4:$P$219)*(6-练度预期!F289)</f>
        <v>3618</v>
      </c>
      <c r="E289" s="2">
        <f ca="1">练度预期!N289*4*练度预期!M289</f>
        <v>600</v>
      </c>
      <c r="F289" s="103">
        <f ca="1">INT(练度预期!D289/10)*0.02+1+_xlfn.XLOOKUP(练度预期!E289,装备养成!$U$3:$U$11,装备养成!$V$3:$V$11)*练度预期!F289+_xlfn.XLOOKUP(练度预期!E289-1,装备养成!$U$3:$U$11,装备养成!$V$3:$V$11)*(6-练度预期!F289)</f>
        <v>1.67488</v>
      </c>
      <c r="G289" s="48">
        <f ca="1">OFFSET(梦灵养成!$K$20,_xlfn.XLOOKUP(练度预期!H289,梦灵养成!$D$10:$D$28,梦灵养成!$H$10:$H$28),MATCH(OFFSET(梦灵养成!$C$33,B289,MATCH(练度预期!H289,梦灵养成!$D$33:$V$33,0)),梦灵养成!$L$20:$R$20,1))*(1+(OFFSET(梦灵养成!$C$33,B289,MATCH(练度预期!H289,梦灵养成!$D$33:$V$33,0))-1)*_xlfn.XLOOKUP(练度预期!H289,梦灵养成!$D$9:$D$28,梦灵养成!$G$9:$G$28))</f>
        <v>29.8725</v>
      </c>
      <c r="H289" s="46">
        <f ca="1">符文养成!AC290</f>
        <v>72.3759676401956</v>
      </c>
      <c r="I289" s="46">
        <f>MAX(_xlfn.XLOOKUP(练度预期!O289,秘宝养成!$B$3:$B$15,秘宝养成!$E$3:$E$15),1)</f>
        <v>2.7915904</v>
      </c>
      <c r="J289" s="104">
        <f ca="1" t="shared" si="93"/>
        <v>231148747.690047</v>
      </c>
      <c r="K289" s="104">
        <f ca="1">MATCH(J289,关卡预期!$E$4:$E$303,1)</f>
        <v>208</v>
      </c>
      <c r="L289" s="48">
        <f ca="1" t="shared" si="94"/>
        <v>0.815533980582524</v>
      </c>
      <c r="M289" s="48">
        <f ca="1" t="shared" si="95"/>
        <v>0.158226187352401</v>
      </c>
      <c r="N289" s="48">
        <f ca="1" t="shared" si="96"/>
        <v>0.026239832065075</v>
      </c>
      <c r="O289" s="48">
        <f ca="1" t="shared" si="97"/>
        <v>0.0559301873692106</v>
      </c>
      <c r="P289" s="48">
        <f ca="1" t="shared" si="98"/>
        <v>0.368384916238074</v>
      </c>
      <c r="Q289" s="48">
        <f ca="1" t="shared" si="99"/>
        <v>0.464352824991724</v>
      </c>
      <c r="R289" s="48">
        <f ca="1" t="shared" si="100"/>
        <v>0.111332071400991</v>
      </c>
      <c r="S289" s="46">
        <f ca="1" t="shared" si="101"/>
        <v>0.815533980582524</v>
      </c>
      <c r="T289" s="46">
        <f ca="1" t="shared" si="102"/>
        <v>0.158226187352401</v>
      </c>
      <c r="U289" s="46">
        <f ca="1" t="shared" si="103"/>
        <v>0.026239832065075</v>
      </c>
      <c r="V289" s="48">
        <f ca="1" t="shared" si="104"/>
        <v>0.515741520919589</v>
      </c>
      <c r="W289" s="48">
        <f ca="1" t="shared" si="105"/>
        <v>3.39693832474177</v>
      </c>
      <c r="X289" s="48">
        <f ca="1" t="shared" si="106"/>
        <v>4.2818743056165</v>
      </c>
      <c r="Y289" s="48">
        <f t="shared" si="107"/>
        <v>1.02661146926685</v>
      </c>
      <c r="Z289" s="105">
        <f ca="1" t="shared" si="108"/>
        <v>0.0559301873692106</v>
      </c>
      <c r="AA289" s="105">
        <f ca="1" t="shared" si="109"/>
        <v>0.368384916238074</v>
      </c>
      <c r="AB289" s="105">
        <f ca="1" t="shared" si="110"/>
        <v>0.464352824991724</v>
      </c>
      <c r="AC289" s="105">
        <f ca="1" t="shared" si="111"/>
        <v>0.111332071400991</v>
      </c>
      <c r="AD289" s="105">
        <f ca="1" t="shared" si="112"/>
        <v>0.815533980582524</v>
      </c>
      <c r="AE289" s="105">
        <f ca="1" t="shared" si="113"/>
        <v>0.158226187352401</v>
      </c>
      <c r="AF289" s="105">
        <f ca="1" t="shared" si="114"/>
        <v>0.0262398320650748</v>
      </c>
    </row>
    <row r="290" ht="16.5" spans="1:32">
      <c r="A290">
        <f ca="1" t="shared" si="92"/>
        <v>22866</v>
      </c>
      <c r="B290" s="2">
        <v>288</v>
      </c>
      <c r="C290" s="2">
        <f>_xlfn.XLOOKUP(练度预期!D290,装备养成!$B$3:$B$303,装备养成!$D$3:$D$303)*6</f>
        <v>18648</v>
      </c>
      <c r="D290" s="2" cm="1">
        <f ca="1" t="array" ref="D290">_xlfn.XLOOKUP(练度预期!E290&amp;"_"&amp;INT(练度预期!C290/10)*10+10,装备养成!$N$4:$N$219&amp;"_"&amp;装备养成!$K$4:$K$219,装备养成!$P$4:$P$219)*练度预期!F290+_xlfn.XLOOKUP(练度预期!E290-1&amp;"_"&amp;INT(练度预期!C290/10)*10+10,装备养成!$N$4:$N$219&amp;"_"&amp;装备养成!$K$4:$K$219,装备养成!$P$4:$P$219)*(6-练度预期!F290)</f>
        <v>3618</v>
      </c>
      <c r="E290" s="2">
        <f ca="1">练度预期!N290*4*练度预期!M290</f>
        <v>600</v>
      </c>
      <c r="F290" s="103">
        <f ca="1">INT(练度预期!D290/10)*0.02+1+_xlfn.XLOOKUP(练度预期!E290,装备养成!$U$3:$U$11,装备养成!$V$3:$V$11)*练度预期!F290+_xlfn.XLOOKUP(练度预期!E290-1,装备养成!$U$3:$U$11,装备养成!$V$3:$V$11)*(6-练度预期!F290)</f>
        <v>1.67488</v>
      </c>
      <c r="G290" s="48">
        <f ca="1">OFFSET(梦灵养成!$K$20,_xlfn.XLOOKUP(练度预期!H290,梦灵养成!$D$10:$D$28,梦灵养成!$H$10:$H$28),MATCH(OFFSET(梦灵养成!$C$33,B290,MATCH(练度预期!H290,梦灵养成!$D$33:$V$33,0)),梦灵养成!$L$20:$R$20,1))*(1+(OFFSET(梦灵养成!$C$33,B290,MATCH(练度预期!H290,梦灵养成!$D$33:$V$33,0))-1)*_xlfn.XLOOKUP(练度预期!H290,梦灵养成!$D$9:$D$28,梦灵养成!$G$9:$G$28))</f>
        <v>29.8725</v>
      </c>
      <c r="H290" s="46">
        <f ca="1">符文养成!AC291</f>
        <v>72.5429729870344</v>
      </c>
      <c r="I290" s="46">
        <f>MAX(_xlfn.XLOOKUP(练度预期!O290,秘宝养成!$B$3:$B$15,秘宝养成!$E$3:$E$15),1)</f>
        <v>2.7915904</v>
      </c>
      <c r="J290" s="104">
        <f ca="1" t="shared" si="93"/>
        <v>231682116.403972</v>
      </c>
      <c r="K290" s="104">
        <f ca="1">MATCH(J290,关卡预期!$E$4:$E$303,1)</f>
        <v>208</v>
      </c>
      <c r="L290" s="48">
        <f ca="1" t="shared" si="94"/>
        <v>0.815533980582524</v>
      </c>
      <c r="M290" s="48">
        <f ca="1" t="shared" si="95"/>
        <v>0.158226187352401</v>
      </c>
      <c r="N290" s="48">
        <f ca="1" t="shared" si="96"/>
        <v>0.0262398320650749</v>
      </c>
      <c r="O290" s="48">
        <f ca="1" t="shared" si="97"/>
        <v>0.0559162112264744</v>
      </c>
      <c r="P290" s="48">
        <f ca="1" t="shared" si="98"/>
        <v>0.368292862189743</v>
      </c>
      <c r="Q290" s="48">
        <f ca="1" t="shared" si="99"/>
        <v>0.464486675452921</v>
      </c>
      <c r="R290" s="48">
        <f ca="1" t="shared" si="100"/>
        <v>0.111304251130861</v>
      </c>
      <c r="S290" s="46">
        <f ca="1" t="shared" si="101"/>
        <v>0.815533980582524</v>
      </c>
      <c r="T290" s="46">
        <f ca="1" t="shared" si="102"/>
        <v>0.158226187352401</v>
      </c>
      <c r="U290" s="46">
        <f ca="1" t="shared" si="103"/>
        <v>0.0262398320650749</v>
      </c>
      <c r="V290" s="48">
        <f ca="1" t="shared" si="104"/>
        <v>0.515741520919589</v>
      </c>
      <c r="W290" s="48">
        <f ca="1" t="shared" si="105"/>
        <v>3.39693832474177</v>
      </c>
      <c r="X290" s="48">
        <f ca="1" t="shared" si="106"/>
        <v>4.28417911712073</v>
      </c>
      <c r="Y290" s="48">
        <f t="shared" si="107"/>
        <v>1.02661146926685</v>
      </c>
      <c r="Z290" s="105">
        <f ca="1" t="shared" si="108"/>
        <v>0.0559162112264744</v>
      </c>
      <c r="AA290" s="105">
        <f ca="1" t="shared" si="109"/>
        <v>0.368292862189743</v>
      </c>
      <c r="AB290" s="105">
        <f ca="1" t="shared" si="110"/>
        <v>0.464486675452921</v>
      </c>
      <c r="AC290" s="105">
        <f ca="1" t="shared" si="111"/>
        <v>0.111304251130861</v>
      </c>
      <c r="AD290" s="105">
        <f ca="1" t="shared" si="112"/>
        <v>0.815533980582524</v>
      </c>
      <c r="AE290" s="105">
        <f ca="1" t="shared" si="113"/>
        <v>0.158226187352401</v>
      </c>
      <c r="AF290" s="105">
        <f ca="1" t="shared" si="114"/>
        <v>0.0262398320650748</v>
      </c>
    </row>
    <row r="291" ht="16.5" spans="1:32">
      <c r="A291">
        <f ca="1" t="shared" si="92"/>
        <v>22866</v>
      </c>
      <c r="B291" s="2">
        <v>289</v>
      </c>
      <c r="C291" s="2">
        <f>_xlfn.XLOOKUP(练度预期!D291,装备养成!$B$3:$B$303,装备养成!$D$3:$D$303)*6</f>
        <v>18648</v>
      </c>
      <c r="D291" s="2" cm="1">
        <f ca="1" t="array" ref="D291">_xlfn.XLOOKUP(练度预期!E291&amp;"_"&amp;INT(练度预期!C291/10)*10+10,装备养成!$N$4:$N$219&amp;"_"&amp;装备养成!$K$4:$K$219,装备养成!$P$4:$P$219)*练度预期!F291+_xlfn.XLOOKUP(练度预期!E291-1&amp;"_"&amp;INT(练度预期!C291/10)*10+10,装备养成!$N$4:$N$219&amp;"_"&amp;装备养成!$K$4:$K$219,装备养成!$P$4:$P$219)*(6-练度预期!F291)</f>
        <v>3618</v>
      </c>
      <c r="E291" s="2">
        <f ca="1">练度预期!N291*4*练度预期!M291</f>
        <v>600</v>
      </c>
      <c r="F291" s="103">
        <f ca="1">INT(练度预期!D291/10)*0.02+1+_xlfn.XLOOKUP(练度预期!E291,装备养成!$U$3:$U$11,装备养成!$V$3:$V$11)*练度预期!F291+_xlfn.XLOOKUP(练度预期!E291-1,装备养成!$U$3:$U$11,装备养成!$V$3:$V$11)*(6-练度预期!F291)</f>
        <v>1.67488</v>
      </c>
      <c r="G291" s="48">
        <f ca="1">OFFSET(梦灵养成!$K$20,_xlfn.XLOOKUP(练度预期!H291,梦灵养成!$D$10:$D$28,梦灵养成!$H$10:$H$28),MATCH(OFFSET(梦灵养成!$C$33,B291,MATCH(练度预期!H291,梦灵养成!$D$33:$V$33,0)),梦灵养成!$L$20:$R$20,1))*(1+(OFFSET(梦灵养成!$C$33,B291,MATCH(练度预期!H291,梦灵养成!$D$33:$V$33,0))-1)*_xlfn.XLOOKUP(练度预期!H291,梦灵养成!$D$9:$D$28,梦灵养成!$G$9:$G$28))</f>
        <v>29.8725</v>
      </c>
      <c r="H291" s="46">
        <f ca="1">符文养成!AC292</f>
        <v>72.7212155679997</v>
      </c>
      <c r="I291" s="46">
        <f>MAX(_xlfn.XLOOKUP(练度预期!O291,秘宝养成!$B$3:$B$15,秘宝养成!$E$3:$E$15),1)</f>
        <v>2.7915904</v>
      </c>
      <c r="J291" s="104">
        <f ca="1" t="shared" si="93"/>
        <v>232251373.724026</v>
      </c>
      <c r="K291" s="104">
        <f ca="1">MATCH(J291,关卡预期!$E$4:$E$303,1)</f>
        <v>208</v>
      </c>
      <c r="L291" s="48">
        <f ca="1" t="shared" si="94"/>
        <v>0.815533980582524</v>
      </c>
      <c r="M291" s="48">
        <f ca="1" t="shared" si="95"/>
        <v>0.158226187352401</v>
      </c>
      <c r="N291" s="48">
        <f ca="1" t="shared" si="96"/>
        <v>0.0262398320650747</v>
      </c>
      <c r="O291" s="48">
        <f ca="1" t="shared" si="97"/>
        <v>0.0559013378026076</v>
      </c>
      <c r="P291" s="48">
        <f ca="1" t="shared" si="98"/>
        <v>0.368194898187421</v>
      </c>
      <c r="Q291" s="48">
        <f ca="1" t="shared" si="99"/>
        <v>0.464629119235995</v>
      </c>
      <c r="R291" s="48">
        <f ca="1" t="shared" si="100"/>
        <v>0.111274644773976</v>
      </c>
      <c r="S291" s="46">
        <f ca="1" t="shared" si="101"/>
        <v>0.815533980582524</v>
      </c>
      <c r="T291" s="46">
        <f ca="1" t="shared" si="102"/>
        <v>0.158226187352401</v>
      </c>
      <c r="U291" s="46">
        <f ca="1" t="shared" si="103"/>
        <v>0.0262398320650747</v>
      </c>
      <c r="V291" s="48">
        <f ca="1" t="shared" si="104"/>
        <v>0.515741520919589</v>
      </c>
      <c r="W291" s="48">
        <f ca="1" t="shared" si="105"/>
        <v>3.39693832474177</v>
      </c>
      <c r="X291" s="48">
        <f ca="1" t="shared" si="106"/>
        <v>4.28663316546109</v>
      </c>
      <c r="Y291" s="48">
        <f t="shared" si="107"/>
        <v>1.02661146926685</v>
      </c>
      <c r="Z291" s="105">
        <f ca="1" t="shared" si="108"/>
        <v>0.0559013378026076</v>
      </c>
      <c r="AA291" s="105">
        <f ca="1" t="shared" si="109"/>
        <v>0.368194898187421</v>
      </c>
      <c r="AB291" s="105">
        <f ca="1" t="shared" si="110"/>
        <v>0.464629119235995</v>
      </c>
      <c r="AC291" s="105">
        <f ca="1" t="shared" si="111"/>
        <v>0.111274644773976</v>
      </c>
      <c r="AD291" s="105">
        <f ca="1" t="shared" si="112"/>
        <v>0.815533980582524</v>
      </c>
      <c r="AE291" s="105">
        <f ca="1" t="shared" si="113"/>
        <v>0.158226187352401</v>
      </c>
      <c r="AF291" s="105">
        <f ca="1" t="shared" si="114"/>
        <v>0.0262398320650748</v>
      </c>
    </row>
    <row r="292" ht="16.5" spans="1:32">
      <c r="A292">
        <f ca="1" t="shared" si="92"/>
        <v>22866</v>
      </c>
      <c r="B292" s="2">
        <v>290</v>
      </c>
      <c r="C292" s="2">
        <f>_xlfn.XLOOKUP(练度预期!D292,装备养成!$B$3:$B$303,装备养成!$D$3:$D$303)*6</f>
        <v>18648</v>
      </c>
      <c r="D292" s="2" cm="1">
        <f ca="1" t="array" ref="D292">_xlfn.XLOOKUP(练度预期!E292&amp;"_"&amp;INT(练度预期!C292/10)*10+10,装备养成!$N$4:$N$219&amp;"_"&amp;装备养成!$K$4:$K$219,装备养成!$P$4:$P$219)*练度预期!F292+_xlfn.XLOOKUP(练度预期!E292-1&amp;"_"&amp;INT(练度预期!C292/10)*10+10,装备养成!$N$4:$N$219&amp;"_"&amp;装备养成!$K$4:$K$219,装备养成!$P$4:$P$219)*(6-练度预期!F292)</f>
        <v>3618</v>
      </c>
      <c r="E292" s="2">
        <f ca="1">练度预期!N292*4*练度预期!M292</f>
        <v>600</v>
      </c>
      <c r="F292" s="103">
        <f ca="1">INT(练度预期!D292/10)*0.02+1+_xlfn.XLOOKUP(练度预期!E292,装备养成!$U$3:$U$11,装备养成!$V$3:$V$11)*练度预期!F292+_xlfn.XLOOKUP(练度预期!E292-1,装备养成!$U$3:$U$11,装备养成!$V$3:$V$11)*(6-练度预期!F292)</f>
        <v>1.67488</v>
      </c>
      <c r="G292" s="48">
        <f ca="1">OFFSET(梦灵养成!$K$20,_xlfn.XLOOKUP(练度预期!H292,梦灵养成!$D$10:$D$28,梦灵养成!$H$10:$H$28),MATCH(OFFSET(梦灵养成!$C$33,B292,MATCH(练度预期!H292,梦灵养成!$D$33:$V$33,0)),梦灵养成!$L$20:$R$20,1))*(1+(OFFSET(梦灵养成!$C$33,B292,MATCH(练度预期!H292,梦灵养成!$D$33:$V$33,0))-1)*_xlfn.XLOOKUP(练度预期!H292,梦灵养成!$D$9:$D$28,梦灵养成!$G$9:$G$28))</f>
        <v>29.8725</v>
      </c>
      <c r="H292" s="46">
        <f ca="1">符文养成!AC293</f>
        <v>72.9174067470406</v>
      </c>
      <c r="I292" s="46">
        <f>MAX(_xlfn.XLOOKUP(练度预期!O292,秘宝养成!$B$3:$B$15,秘宝养成!$E$3:$E$15),1)</f>
        <v>2.7915904</v>
      </c>
      <c r="J292" s="104">
        <f ca="1" t="shared" si="93"/>
        <v>232877953.883459</v>
      </c>
      <c r="K292" s="104">
        <f ca="1">MATCH(J292,关卡预期!$E$4:$E$303,1)</f>
        <v>208</v>
      </c>
      <c r="L292" s="48">
        <f ca="1" t="shared" si="94"/>
        <v>0.815533980582524</v>
      </c>
      <c r="M292" s="48">
        <f ca="1" t="shared" si="95"/>
        <v>0.158226187352401</v>
      </c>
      <c r="N292" s="48">
        <f ca="1" t="shared" si="96"/>
        <v>0.026239832065075</v>
      </c>
      <c r="O292" s="48">
        <f ca="1" t="shared" si="97"/>
        <v>0.055885017858306</v>
      </c>
      <c r="P292" s="48">
        <f ca="1" t="shared" si="98"/>
        <v>0.36808740665919</v>
      </c>
      <c r="Q292" s="48">
        <f ca="1" t="shared" si="99"/>
        <v>0.464785416442792</v>
      </c>
      <c r="R292" s="48">
        <f ca="1" t="shared" si="100"/>
        <v>0.111242159039712</v>
      </c>
      <c r="S292" s="46">
        <f ca="1" t="shared" si="101"/>
        <v>0.815533980582524</v>
      </c>
      <c r="T292" s="46">
        <f ca="1" t="shared" si="102"/>
        <v>0.158226187352401</v>
      </c>
      <c r="U292" s="46">
        <f ca="1" t="shared" si="103"/>
        <v>0.026239832065075</v>
      </c>
      <c r="V292" s="48">
        <f ca="1" t="shared" si="104"/>
        <v>0.515741520919589</v>
      </c>
      <c r="W292" s="48">
        <f ca="1" t="shared" si="105"/>
        <v>3.39693832474177</v>
      </c>
      <c r="X292" s="48">
        <f ca="1" t="shared" si="106"/>
        <v>4.28932738619181</v>
      </c>
      <c r="Y292" s="48">
        <f t="shared" si="107"/>
        <v>1.02661146926685</v>
      </c>
      <c r="Z292" s="105">
        <f ca="1" t="shared" si="108"/>
        <v>0.055885017858306</v>
      </c>
      <c r="AA292" s="105">
        <f ca="1" t="shared" si="109"/>
        <v>0.36808740665919</v>
      </c>
      <c r="AB292" s="105">
        <f ca="1" t="shared" si="110"/>
        <v>0.464785416442792</v>
      </c>
      <c r="AC292" s="105">
        <f ca="1" t="shared" si="111"/>
        <v>0.111242159039712</v>
      </c>
      <c r="AD292" s="105">
        <f ca="1" t="shared" si="112"/>
        <v>0.815533980582524</v>
      </c>
      <c r="AE292" s="105">
        <f ca="1" t="shared" si="113"/>
        <v>0.158226187352401</v>
      </c>
      <c r="AF292" s="105">
        <f ca="1" t="shared" si="114"/>
        <v>0.0262398320650748</v>
      </c>
    </row>
    <row r="293" ht="16.5" spans="1:32">
      <c r="A293">
        <f ca="1" t="shared" si="92"/>
        <v>23196</v>
      </c>
      <c r="B293" s="2">
        <v>291</v>
      </c>
      <c r="C293" s="2">
        <f>_xlfn.XLOOKUP(练度预期!D293,装备养成!$B$3:$B$303,装备养成!$D$3:$D$303)*6</f>
        <v>18978</v>
      </c>
      <c r="D293" s="2" cm="1">
        <f ca="1" t="array" ref="D293">_xlfn.XLOOKUP(练度预期!E293&amp;"_"&amp;INT(练度预期!C293/10)*10+10,装备养成!$N$4:$N$219&amp;"_"&amp;装备养成!$K$4:$K$219,装备养成!$P$4:$P$219)*练度预期!F293+_xlfn.XLOOKUP(练度预期!E293-1&amp;"_"&amp;INT(练度预期!C293/10)*10+10,装备养成!$N$4:$N$219&amp;"_"&amp;装备养成!$K$4:$K$219,装备养成!$P$4:$P$219)*(6-练度预期!F293)</f>
        <v>3618</v>
      </c>
      <c r="E293" s="2">
        <f ca="1">练度预期!N293*4*练度预期!M293</f>
        <v>600</v>
      </c>
      <c r="F293" s="103">
        <f ca="1">INT(练度预期!D293/10)*0.02+1+_xlfn.XLOOKUP(练度预期!E293,装备养成!$U$3:$U$11,装备养成!$V$3:$V$11)*练度预期!F293+_xlfn.XLOOKUP(练度预期!E293-1,装备养成!$U$3:$U$11,装备养成!$V$3:$V$11)*(6-练度预期!F293)</f>
        <v>1.67488</v>
      </c>
      <c r="G293" s="48">
        <f ca="1">OFFSET(梦灵养成!$K$20,_xlfn.XLOOKUP(练度预期!H293,梦灵养成!$D$10:$D$28,梦灵养成!$H$10:$H$28),MATCH(OFFSET(梦灵养成!$C$33,B293,MATCH(练度预期!H293,梦灵养成!$D$33:$V$33,0)),梦灵养成!$L$20:$R$20,1))*(1+(OFFSET(梦灵养成!$C$33,B293,MATCH(练度预期!H293,梦灵养成!$D$33:$V$33,0))-1)*_xlfn.XLOOKUP(练度预期!H293,梦灵养成!$D$9:$D$28,梦灵养成!$G$9:$G$28))</f>
        <v>29.8725</v>
      </c>
      <c r="H293" s="46">
        <f ca="1">符文养成!AC294</f>
        <v>73.0893265306133</v>
      </c>
      <c r="I293" s="46">
        <f>MAX(_xlfn.XLOOKUP(练度预期!O293,秘宝养成!$B$3:$B$15,秘宝养成!$E$3:$E$15),1)</f>
        <v>2.7915904</v>
      </c>
      <c r="J293" s="104">
        <f ca="1" t="shared" si="93"/>
        <v>236795815.106636</v>
      </c>
      <c r="K293" s="104">
        <f ca="1">MATCH(J293,关卡预期!$E$4:$E$303,1)</f>
        <v>208</v>
      </c>
      <c r="L293" s="48">
        <f ca="1" t="shared" si="94"/>
        <v>0.818158303155717</v>
      </c>
      <c r="M293" s="48">
        <f ca="1" t="shared" si="95"/>
        <v>0.155975168132437</v>
      </c>
      <c r="N293" s="48">
        <f ca="1" t="shared" si="96"/>
        <v>0.0258665287118469</v>
      </c>
      <c r="O293" s="48">
        <f ca="1" t="shared" si="97"/>
        <v>0.0558707607630844</v>
      </c>
      <c r="P293" s="48">
        <f ca="1" t="shared" si="98"/>
        <v>0.367993502113612</v>
      </c>
      <c r="Q293" s="48">
        <f ca="1" t="shared" si="99"/>
        <v>0.464921957604882</v>
      </c>
      <c r="R293" s="48">
        <f ca="1" t="shared" si="100"/>
        <v>0.111213779518422</v>
      </c>
      <c r="S293" s="46">
        <f ca="1" t="shared" si="101"/>
        <v>0.818158303155716</v>
      </c>
      <c r="T293" s="46">
        <f ca="1" t="shared" si="102"/>
        <v>0.155975168132437</v>
      </c>
      <c r="U293" s="46">
        <f ca="1" t="shared" si="103"/>
        <v>0.0258665287118469</v>
      </c>
      <c r="V293" s="48">
        <f ca="1" t="shared" si="104"/>
        <v>0.515741520919589</v>
      </c>
      <c r="W293" s="48">
        <f ca="1" t="shared" si="105"/>
        <v>3.39693832474177</v>
      </c>
      <c r="X293" s="48">
        <f ca="1" t="shared" si="106"/>
        <v>4.29168234420184</v>
      </c>
      <c r="Y293" s="48">
        <f t="shared" si="107"/>
        <v>1.02661146926685</v>
      </c>
      <c r="Z293" s="105">
        <f ca="1" t="shared" si="108"/>
        <v>0.0558707607630844</v>
      </c>
      <c r="AA293" s="105">
        <f ca="1" t="shared" si="109"/>
        <v>0.367993502113612</v>
      </c>
      <c r="AB293" s="105">
        <f ca="1" t="shared" si="110"/>
        <v>0.464921957604882</v>
      </c>
      <c r="AC293" s="105">
        <f ca="1" t="shared" si="111"/>
        <v>0.111213779518422</v>
      </c>
      <c r="AD293" s="105">
        <f ca="1" t="shared" si="112"/>
        <v>0.818158303155716</v>
      </c>
      <c r="AE293" s="105">
        <f ca="1" t="shared" si="113"/>
        <v>0.155975168132437</v>
      </c>
      <c r="AF293" s="105">
        <f ca="1" t="shared" si="114"/>
        <v>0.0258665287118469</v>
      </c>
    </row>
    <row r="294" ht="16.5" spans="1:32">
      <c r="A294">
        <f ca="1" t="shared" si="92"/>
        <v>23196</v>
      </c>
      <c r="B294" s="2">
        <v>292</v>
      </c>
      <c r="C294" s="2">
        <f>_xlfn.XLOOKUP(练度预期!D294,装备养成!$B$3:$B$303,装备养成!$D$3:$D$303)*6</f>
        <v>18978</v>
      </c>
      <c r="D294" s="2" cm="1">
        <f ca="1" t="array" ref="D294">_xlfn.XLOOKUP(练度预期!E294&amp;"_"&amp;INT(练度预期!C294/10)*10+10,装备养成!$N$4:$N$219&amp;"_"&amp;装备养成!$K$4:$K$219,装备养成!$P$4:$P$219)*练度预期!F294+_xlfn.XLOOKUP(练度预期!E294-1&amp;"_"&amp;INT(练度预期!C294/10)*10+10,装备养成!$N$4:$N$219&amp;"_"&amp;装备养成!$K$4:$K$219,装备养成!$P$4:$P$219)*(6-练度预期!F294)</f>
        <v>3618</v>
      </c>
      <c r="E294" s="2">
        <f ca="1">练度预期!N294*4*练度预期!M294</f>
        <v>600</v>
      </c>
      <c r="F294" s="103">
        <f ca="1">INT(练度预期!D294/10)*0.02+1+_xlfn.XLOOKUP(练度预期!E294,装备养成!$U$3:$U$11,装备养成!$V$3:$V$11)*练度预期!F294+_xlfn.XLOOKUP(练度预期!E294-1,装备养成!$U$3:$U$11,装备养成!$V$3:$V$11)*(6-练度预期!F294)</f>
        <v>1.67488</v>
      </c>
      <c r="G294" s="48">
        <f ca="1">OFFSET(梦灵养成!$K$20,_xlfn.XLOOKUP(练度预期!H294,梦灵养成!$D$10:$D$28,梦灵养成!$H$10:$H$28),MATCH(OFFSET(梦灵养成!$C$33,B294,MATCH(练度预期!H294,梦灵养成!$D$33:$V$33,0)),梦灵养成!$L$20:$R$20,1))*(1+(OFFSET(梦灵养成!$C$33,B294,MATCH(练度预期!H294,梦灵养成!$D$33:$V$33,0))-1)*_xlfn.XLOOKUP(练度预期!H294,梦灵养成!$D$9:$D$28,梦灵养成!$G$9:$G$28))</f>
        <v>29.8725</v>
      </c>
      <c r="H294" s="46">
        <f ca="1">符文养成!AC295</f>
        <v>73.2863898037596</v>
      </c>
      <c r="I294" s="46">
        <f>MAX(_xlfn.XLOOKUP(练度预期!O294,秘宝养成!$B$3:$B$15,秘宝养成!$E$3:$E$15),1)</f>
        <v>2.7915904</v>
      </c>
      <c r="J294" s="104">
        <f ca="1" t="shared" si="93"/>
        <v>237434263.43565</v>
      </c>
      <c r="K294" s="104">
        <f ca="1">MATCH(J294,关卡预期!$E$4:$E$303,1)</f>
        <v>208</v>
      </c>
      <c r="L294" s="48">
        <f ca="1" t="shared" si="94"/>
        <v>0.818158303155716</v>
      </c>
      <c r="M294" s="48">
        <f ca="1" t="shared" si="95"/>
        <v>0.155975168132437</v>
      </c>
      <c r="N294" s="48">
        <f ca="1" t="shared" si="96"/>
        <v>0.025866528711847</v>
      </c>
      <c r="O294" s="48">
        <f ca="1" t="shared" si="97"/>
        <v>0.0558544686532372</v>
      </c>
      <c r="P294" s="48">
        <f ca="1" t="shared" si="98"/>
        <v>0.367886193917382</v>
      </c>
      <c r="Q294" s="48">
        <f ca="1" t="shared" si="99"/>
        <v>0.465077988239233</v>
      </c>
      <c r="R294" s="48">
        <f ca="1" t="shared" si="100"/>
        <v>0.111181349190148</v>
      </c>
      <c r="S294" s="46">
        <f ca="1" t="shared" si="101"/>
        <v>0.818158303155716</v>
      </c>
      <c r="T294" s="46">
        <f ca="1" t="shared" si="102"/>
        <v>0.155975168132437</v>
      </c>
      <c r="U294" s="46">
        <f ca="1" t="shared" si="103"/>
        <v>0.025866528711847</v>
      </c>
      <c r="V294" s="48">
        <f ca="1" t="shared" si="104"/>
        <v>0.515741520919589</v>
      </c>
      <c r="W294" s="48">
        <f ca="1" t="shared" si="105"/>
        <v>3.39693832474177</v>
      </c>
      <c r="X294" s="48">
        <f ca="1" t="shared" si="106"/>
        <v>4.29437491366813</v>
      </c>
      <c r="Y294" s="48">
        <f t="shared" si="107"/>
        <v>1.02661146926685</v>
      </c>
      <c r="Z294" s="105">
        <f ca="1" t="shared" si="108"/>
        <v>0.0558544686532372</v>
      </c>
      <c r="AA294" s="105">
        <f ca="1" t="shared" si="109"/>
        <v>0.367886193917382</v>
      </c>
      <c r="AB294" s="105">
        <f ca="1" t="shared" si="110"/>
        <v>0.465077988239233</v>
      </c>
      <c r="AC294" s="105">
        <f ca="1" t="shared" si="111"/>
        <v>0.111181349190148</v>
      </c>
      <c r="AD294" s="105">
        <f ca="1" t="shared" si="112"/>
        <v>0.818158303155716</v>
      </c>
      <c r="AE294" s="105">
        <f ca="1" t="shared" si="113"/>
        <v>0.155975168132437</v>
      </c>
      <c r="AF294" s="105">
        <f ca="1" t="shared" si="114"/>
        <v>0.0258665287118469</v>
      </c>
    </row>
    <row r="295" ht="16.5" spans="1:32">
      <c r="A295">
        <f ca="1" t="shared" si="92"/>
        <v>23196</v>
      </c>
      <c r="B295" s="2">
        <v>293</v>
      </c>
      <c r="C295" s="2">
        <f>_xlfn.XLOOKUP(练度预期!D295,装备养成!$B$3:$B$303,装备养成!$D$3:$D$303)*6</f>
        <v>18978</v>
      </c>
      <c r="D295" s="2" cm="1">
        <f ca="1" t="array" ref="D295">_xlfn.XLOOKUP(练度预期!E295&amp;"_"&amp;INT(练度预期!C295/10)*10+10,装备养成!$N$4:$N$219&amp;"_"&amp;装备养成!$K$4:$K$219,装备养成!$P$4:$P$219)*练度预期!F295+_xlfn.XLOOKUP(练度预期!E295-1&amp;"_"&amp;INT(练度预期!C295/10)*10+10,装备养成!$N$4:$N$219&amp;"_"&amp;装备养成!$K$4:$K$219,装备养成!$P$4:$P$219)*(6-练度预期!F295)</f>
        <v>3618</v>
      </c>
      <c r="E295" s="2">
        <f ca="1">练度预期!N295*4*练度预期!M295</f>
        <v>600</v>
      </c>
      <c r="F295" s="103">
        <f ca="1">INT(练度预期!D295/10)*0.02+1+_xlfn.XLOOKUP(练度预期!E295,装备养成!$U$3:$U$11,装备养成!$V$3:$V$11)*练度预期!F295+_xlfn.XLOOKUP(练度预期!E295-1,装备养成!$U$3:$U$11,装备养成!$V$3:$V$11)*(6-练度预期!F295)</f>
        <v>1.67488</v>
      </c>
      <c r="G295" s="48">
        <f ca="1">OFFSET(梦灵养成!$K$20,_xlfn.XLOOKUP(练度预期!H295,梦灵养成!$D$10:$D$28,梦灵养成!$H$10:$H$28),MATCH(OFFSET(梦灵养成!$C$33,B295,MATCH(练度预期!H295,梦灵养成!$D$33:$V$33,0)),梦灵养成!$L$20:$R$20,1))*(1+(OFFSET(梦灵养成!$C$33,B295,MATCH(练度预期!H295,梦灵养成!$D$33:$V$33,0))-1)*_xlfn.XLOOKUP(练度预期!H295,梦灵养成!$D$9:$D$28,梦灵养成!$G$9:$G$28))</f>
        <v>29.8725</v>
      </c>
      <c r="H295" s="46">
        <f ca="1">符文养成!AC296</f>
        <v>73.4552245825435</v>
      </c>
      <c r="I295" s="46">
        <f>MAX(_xlfn.XLOOKUP(练度预期!O295,秘宝养成!$B$3:$B$15,秘宝养成!$E$3:$E$15),1)</f>
        <v>2.7915904</v>
      </c>
      <c r="J295" s="104">
        <f ca="1" t="shared" si="93"/>
        <v>237981256.696612</v>
      </c>
      <c r="K295" s="104">
        <f ca="1">MATCH(J295,关卡预期!$E$4:$E$303,1)</f>
        <v>208</v>
      </c>
      <c r="L295" s="48">
        <f ca="1" t="shared" si="94"/>
        <v>0.818158303155716</v>
      </c>
      <c r="M295" s="48">
        <f ca="1" t="shared" si="95"/>
        <v>0.155975168132437</v>
      </c>
      <c r="N295" s="48">
        <f ca="1" t="shared" si="96"/>
        <v>0.0258665287118469</v>
      </c>
      <c r="O295" s="48">
        <f ca="1" t="shared" si="97"/>
        <v>0.0558405526556859</v>
      </c>
      <c r="P295" s="48">
        <f ca="1" t="shared" si="98"/>
        <v>0.367794536016104</v>
      </c>
      <c r="Q295" s="48">
        <f ca="1" t="shared" si="99"/>
        <v>0.465211262685939</v>
      </c>
      <c r="R295" s="48">
        <f ca="1" t="shared" si="100"/>
        <v>0.111153648642271</v>
      </c>
      <c r="S295" s="46">
        <f ca="1" t="shared" si="101"/>
        <v>0.818158303155716</v>
      </c>
      <c r="T295" s="46">
        <f ca="1" t="shared" si="102"/>
        <v>0.155975168132437</v>
      </c>
      <c r="U295" s="46">
        <f ca="1" t="shared" si="103"/>
        <v>0.0258665287118469</v>
      </c>
      <c r="V295" s="48">
        <f ca="1" t="shared" si="104"/>
        <v>0.515741520919589</v>
      </c>
      <c r="W295" s="48">
        <f ca="1" t="shared" si="105"/>
        <v>3.39693832474177</v>
      </c>
      <c r="X295" s="48">
        <f ca="1" t="shared" si="106"/>
        <v>4.29667603123441</v>
      </c>
      <c r="Y295" s="48">
        <f t="shared" si="107"/>
        <v>1.02661146926685</v>
      </c>
      <c r="Z295" s="105">
        <f ca="1" t="shared" si="108"/>
        <v>0.0558405526556859</v>
      </c>
      <c r="AA295" s="105">
        <f ca="1" t="shared" si="109"/>
        <v>0.367794536016104</v>
      </c>
      <c r="AB295" s="105">
        <f ca="1" t="shared" si="110"/>
        <v>0.465211262685939</v>
      </c>
      <c r="AC295" s="105">
        <f ca="1" t="shared" si="111"/>
        <v>0.111153648642271</v>
      </c>
      <c r="AD295" s="105">
        <f ca="1" t="shared" si="112"/>
        <v>0.818158303155716</v>
      </c>
      <c r="AE295" s="105">
        <f ca="1" t="shared" si="113"/>
        <v>0.155975168132437</v>
      </c>
      <c r="AF295" s="105">
        <f ca="1" t="shared" si="114"/>
        <v>0.0258665287118469</v>
      </c>
    </row>
    <row r="296" ht="16.5" spans="1:32">
      <c r="A296">
        <f ca="1" t="shared" si="92"/>
        <v>23196</v>
      </c>
      <c r="B296" s="2">
        <v>294</v>
      </c>
      <c r="C296" s="2">
        <f>_xlfn.XLOOKUP(练度预期!D296,装备养成!$B$3:$B$303,装备养成!$D$3:$D$303)*6</f>
        <v>18978</v>
      </c>
      <c r="D296" s="2" cm="1">
        <f ca="1" t="array" ref="D296">_xlfn.XLOOKUP(练度预期!E296&amp;"_"&amp;INT(练度预期!C296/10)*10+10,装备养成!$N$4:$N$219&amp;"_"&amp;装备养成!$K$4:$K$219,装备养成!$P$4:$P$219)*练度预期!F296+_xlfn.XLOOKUP(练度预期!E296-1&amp;"_"&amp;INT(练度预期!C296/10)*10+10,装备养成!$N$4:$N$219&amp;"_"&amp;装备养成!$K$4:$K$219,装备养成!$P$4:$P$219)*(6-练度预期!F296)</f>
        <v>3618</v>
      </c>
      <c r="E296" s="2">
        <f ca="1">练度预期!N296*4*练度预期!M296</f>
        <v>600</v>
      </c>
      <c r="F296" s="103">
        <f ca="1">INT(练度预期!D296/10)*0.02+1+_xlfn.XLOOKUP(练度预期!E296,装备养成!$U$3:$U$11,装备养成!$V$3:$V$11)*练度预期!F296+_xlfn.XLOOKUP(练度预期!E296-1,装备养成!$U$3:$U$11,装备养成!$V$3:$V$11)*(6-练度预期!F296)</f>
        <v>1.67488</v>
      </c>
      <c r="G296" s="48">
        <f ca="1">OFFSET(梦灵养成!$K$20,_xlfn.XLOOKUP(练度预期!H296,梦灵养成!$D$10:$D$28,梦灵养成!$H$10:$H$28),MATCH(OFFSET(梦灵养成!$C$33,B296,MATCH(练度预期!H296,梦灵养成!$D$33:$V$33,0)),梦灵养成!$L$20:$R$20,1))*(1+(OFFSET(梦灵养成!$C$33,B296,MATCH(练度预期!H296,梦灵养成!$D$33:$V$33,0))-1)*_xlfn.XLOOKUP(练度预期!H296,梦灵养成!$D$9:$D$28,梦灵养成!$G$9:$G$28))</f>
        <v>29.8725</v>
      </c>
      <c r="H296" s="46">
        <f ca="1">符文养成!AC297</f>
        <v>73.6570027950053</v>
      </c>
      <c r="I296" s="46">
        <f>MAX(_xlfn.XLOOKUP(练度预期!O296,秘宝养成!$B$3:$B$15,秘宝养成!$E$3:$E$15),1)</f>
        <v>2.7915904</v>
      </c>
      <c r="J296" s="104">
        <f ca="1" t="shared" si="93"/>
        <v>238634980.551499</v>
      </c>
      <c r="K296" s="104">
        <f ca="1">MATCH(J296,关卡预期!$E$4:$E$303,1)</f>
        <v>208</v>
      </c>
      <c r="L296" s="48">
        <f ca="1" t="shared" si="94"/>
        <v>0.818158303155717</v>
      </c>
      <c r="M296" s="48">
        <f ca="1" t="shared" si="95"/>
        <v>0.155975168132437</v>
      </c>
      <c r="N296" s="48">
        <f ca="1" t="shared" si="96"/>
        <v>0.0258665287118468</v>
      </c>
      <c r="O296" s="48">
        <f ca="1" t="shared" si="97"/>
        <v>0.0558239722896111</v>
      </c>
      <c r="P296" s="48">
        <f ca="1" t="shared" si="98"/>
        <v>0.367685329216432</v>
      </c>
      <c r="Q296" s="48">
        <f ca="1" t="shared" si="99"/>
        <v>0.465370053969614</v>
      </c>
      <c r="R296" s="48">
        <f ca="1" t="shared" si="100"/>
        <v>0.111120644524343</v>
      </c>
      <c r="S296" s="46">
        <f ca="1" t="shared" si="101"/>
        <v>0.818158303155716</v>
      </c>
      <c r="T296" s="46">
        <f ca="1" t="shared" si="102"/>
        <v>0.155975168132437</v>
      </c>
      <c r="U296" s="46">
        <f ca="1" t="shared" si="103"/>
        <v>0.0258665287118468</v>
      </c>
      <c r="V296" s="48">
        <f ca="1" t="shared" si="104"/>
        <v>0.515741520919589</v>
      </c>
      <c r="W296" s="48">
        <f ca="1" t="shared" si="105"/>
        <v>3.39693832474177</v>
      </c>
      <c r="X296" s="48">
        <f ca="1" t="shared" si="106"/>
        <v>4.29941922046609</v>
      </c>
      <c r="Y296" s="48">
        <f t="shared" si="107"/>
        <v>1.02661146926685</v>
      </c>
      <c r="Z296" s="105">
        <f ca="1" t="shared" si="108"/>
        <v>0.0558239722896111</v>
      </c>
      <c r="AA296" s="105">
        <f ca="1" t="shared" si="109"/>
        <v>0.367685329216432</v>
      </c>
      <c r="AB296" s="105">
        <f ca="1" t="shared" si="110"/>
        <v>0.465370053969614</v>
      </c>
      <c r="AC296" s="105">
        <f ca="1" t="shared" si="111"/>
        <v>0.111120644524343</v>
      </c>
      <c r="AD296" s="105">
        <f ca="1" t="shared" si="112"/>
        <v>0.818158303155716</v>
      </c>
      <c r="AE296" s="105">
        <f ca="1" t="shared" si="113"/>
        <v>0.155975168132437</v>
      </c>
      <c r="AF296" s="105">
        <f ca="1" t="shared" si="114"/>
        <v>0.0258665287118469</v>
      </c>
    </row>
    <row r="297" ht="16.5" spans="1:32">
      <c r="A297">
        <f ca="1" t="shared" si="92"/>
        <v>23196</v>
      </c>
      <c r="B297" s="2">
        <v>295</v>
      </c>
      <c r="C297" s="2">
        <f>_xlfn.XLOOKUP(练度预期!D297,装备养成!$B$3:$B$303,装备养成!$D$3:$D$303)*6</f>
        <v>18978</v>
      </c>
      <c r="D297" s="2" cm="1">
        <f ca="1" t="array" ref="D297">_xlfn.XLOOKUP(练度预期!E297&amp;"_"&amp;INT(练度预期!C297/10)*10+10,装备养成!$N$4:$N$219&amp;"_"&amp;装备养成!$K$4:$K$219,装备养成!$P$4:$P$219)*练度预期!F297+_xlfn.XLOOKUP(练度预期!E297-1&amp;"_"&amp;INT(练度预期!C297/10)*10+10,装备养成!$N$4:$N$219&amp;"_"&amp;装备养成!$K$4:$K$219,装备养成!$P$4:$P$219)*(6-练度预期!F297)</f>
        <v>3618</v>
      </c>
      <c r="E297" s="2">
        <f ca="1">练度预期!N297*4*练度预期!M297</f>
        <v>600</v>
      </c>
      <c r="F297" s="103">
        <f ca="1">INT(练度预期!D297/10)*0.02+1+_xlfn.XLOOKUP(练度预期!E297,装备养成!$U$3:$U$11,装备养成!$V$3:$V$11)*练度预期!F297+_xlfn.XLOOKUP(练度预期!E297-1,装备养成!$U$3:$U$11,装备养成!$V$3:$V$11)*(6-练度预期!F297)</f>
        <v>1.67488</v>
      </c>
      <c r="G297" s="48">
        <f ca="1">OFFSET(梦灵养成!$K$20,_xlfn.XLOOKUP(练度预期!H297,梦灵养成!$D$10:$D$28,梦灵养成!$H$10:$H$28),MATCH(OFFSET(梦灵养成!$C$33,B297,MATCH(练度预期!H297,梦灵养成!$D$33:$V$33,0)),梦灵养成!$L$20:$R$20,1))*(1+(OFFSET(梦灵养成!$C$33,B297,MATCH(练度预期!H297,梦灵养成!$D$33:$V$33,0))-1)*_xlfn.XLOOKUP(练度预期!H297,梦灵养成!$D$9:$D$28,梦灵养成!$G$9:$G$28))</f>
        <v>29.8725</v>
      </c>
      <c r="H297" s="46">
        <f ca="1">符文养成!AC298</f>
        <v>73.8265794384621</v>
      </c>
      <c r="I297" s="46">
        <f>MAX(_xlfn.XLOOKUP(练度预期!O297,秘宝养成!$B$3:$B$15,秘宝养成!$E$3:$E$15),1)</f>
        <v>2.7915904</v>
      </c>
      <c r="J297" s="104">
        <f ca="1" t="shared" si="93"/>
        <v>239184377.31593</v>
      </c>
      <c r="K297" s="104">
        <f ca="1">MATCH(J297,关卡预期!$E$4:$E$303,1)</f>
        <v>208</v>
      </c>
      <c r="L297" s="48">
        <f ca="1" t="shared" si="94"/>
        <v>0.818158303155716</v>
      </c>
      <c r="M297" s="48">
        <f ca="1" t="shared" si="95"/>
        <v>0.155975168132437</v>
      </c>
      <c r="N297" s="48">
        <f ca="1" t="shared" si="96"/>
        <v>0.025866528711847</v>
      </c>
      <c r="O297" s="48">
        <f ca="1" t="shared" si="97"/>
        <v>0.0558100806395698</v>
      </c>
      <c r="P297" s="48">
        <f ca="1" t="shared" si="98"/>
        <v>0.36759383168035</v>
      </c>
      <c r="Q297" s="48">
        <f ca="1" t="shared" si="99"/>
        <v>0.465503095238575</v>
      </c>
      <c r="R297" s="48">
        <f ca="1" t="shared" si="100"/>
        <v>0.111092992441505</v>
      </c>
      <c r="S297" s="46">
        <f ca="1" t="shared" si="101"/>
        <v>0.818158303155716</v>
      </c>
      <c r="T297" s="46">
        <f ca="1" t="shared" si="102"/>
        <v>0.155975168132437</v>
      </c>
      <c r="U297" s="46">
        <f ca="1" t="shared" si="103"/>
        <v>0.025866528711847</v>
      </c>
      <c r="V297" s="48">
        <f ca="1" t="shared" si="104"/>
        <v>0.515741520919589</v>
      </c>
      <c r="W297" s="48">
        <f ca="1" t="shared" si="105"/>
        <v>3.39693832474177</v>
      </c>
      <c r="X297" s="48">
        <f ca="1" t="shared" si="106"/>
        <v>4.3017188217589</v>
      </c>
      <c r="Y297" s="48">
        <f t="shared" si="107"/>
        <v>1.02661146926685</v>
      </c>
      <c r="Z297" s="105">
        <f ca="1" t="shared" si="108"/>
        <v>0.0558100806395698</v>
      </c>
      <c r="AA297" s="105">
        <f ca="1" t="shared" si="109"/>
        <v>0.36759383168035</v>
      </c>
      <c r="AB297" s="105">
        <f ca="1" t="shared" si="110"/>
        <v>0.465503095238575</v>
      </c>
      <c r="AC297" s="105">
        <f ca="1" t="shared" si="111"/>
        <v>0.111092992441505</v>
      </c>
      <c r="AD297" s="105">
        <f ca="1" t="shared" si="112"/>
        <v>0.818158303155716</v>
      </c>
      <c r="AE297" s="105">
        <f ca="1" t="shared" si="113"/>
        <v>0.155975168132437</v>
      </c>
      <c r="AF297" s="105">
        <f ca="1" t="shared" si="114"/>
        <v>0.0258665287118469</v>
      </c>
    </row>
    <row r="298" ht="16.5" spans="1:32">
      <c r="A298">
        <f ca="1" t="shared" si="92"/>
        <v>23526</v>
      </c>
      <c r="B298" s="2">
        <v>296</v>
      </c>
      <c r="C298" s="2">
        <f>_xlfn.XLOOKUP(练度预期!D298,装备养成!$B$3:$B$303,装备养成!$D$3:$D$303)*6</f>
        <v>19308</v>
      </c>
      <c r="D298" s="2" cm="1">
        <f ca="1" t="array" ref="D298">_xlfn.XLOOKUP(练度预期!E298&amp;"_"&amp;INT(练度预期!C298/10)*10+10,装备养成!$N$4:$N$219&amp;"_"&amp;装备养成!$K$4:$K$219,装备养成!$P$4:$P$219)*练度预期!F298+_xlfn.XLOOKUP(练度预期!E298-1&amp;"_"&amp;INT(练度预期!C298/10)*10+10,装备养成!$N$4:$N$219&amp;"_"&amp;装备养成!$K$4:$K$219,装备养成!$P$4:$P$219)*(6-练度预期!F298)</f>
        <v>3618</v>
      </c>
      <c r="E298" s="2">
        <f ca="1">练度预期!N298*4*练度预期!M298</f>
        <v>600</v>
      </c>
      <c r="F298" s="103">
        <f ca="1">INT(练度预期!D298/10)*0.02+1+_xlfn.XLOOKUP(练度预期!E298,装备养成!$U$3:$U$11,装备养成!$V$3:$V$11)*练度预期!F298+_xlfn.XLOOKUP(练度预期!E298-1,装备养成!$U$3:$U$11,装备养成!$V$3:$V$11)*(6-练度预期!F298)</f>
        <v>1.67488</v>
      </c>
      <c r="G298" s="48">
        <f ca="1">OFFSET(梦灵养成!$K$20,_xlfn.XLOOKUP(练度预期!H298,梦灵养成!$D$10:$D$28,梦灵养成!$H$10:$H$28),MATCH(OFFSET(梦灵养成!$C$33,B298,MATCH(练度预期!H298,梦灵养成!$D$33:$V$33,0)),梦灵养成!$L$20:$R$20,1))*(1+(OFFSET(梦灵养成!$C$33,B298,MATCH(练度预期!H298,梦灵养成!$D$33:$V$33,0))-1)*_xlfn.XLOOKUP(练度预期!H298,梦灵养成!$D$9:$D$28,梦灵养成!$G$9:$G$28))</f>
        <v>29.8725</v>
      </c>
      <c r="H298" s="46">
        <f ca="1">符文养成!AC299</f>
        <v>74.0076209163464</v>
      </c>
      <c r="I298" s="46">
        <f>MAX(_xlfn.XLOOKUP(练度预期!O298,秘宝养成!$B$3:$B$15,秘宝养成!$E$3:$E$15),1)</f>
        <v>2.7915904</v>
      </c>
      <c r="J298" s="104">
        <f ca="1" t="shared" si="93"/>
        <v>243182040.744392</v>
      </c>
      <c r="K298" s="104">
        <f ca="1">MATCH(J298,关卡预期!$E$4:$E$303,1)</f>
        <v>209</v>
      </c>
      <c r="L298" s="48">
        <f ca="1" t="shared" si="94"/>
        <v>0.820709002805407</v>
      </c>
      <c r="M298" s="48">
        <f ca="1" t="shared" si="95"/>
        <v>0.153787299158378</v>
      </c>
      <c r="N298" s="48">
        <f ca="1" t="shared" si="96"/>
        <v>0.0255036980362152</v>
      </c>
      <c r="O298" s="48">
        <f ca="1" t="shared" si="97"/>
        <v>0.0557952925696592</v>
      </c>
      <c r="P298" s="48">
        <f ca="1" t="shared" si="98"/>
        <v>0.367496429862985</v>
      </c>
      <c r="Q298" s="48">
        <f ca="1" t="shared" si="99"/>
        <v>0.465644721581057</v>
      </c>
      <c r="R298" s="48">
        <f ca="1" t="shared" si="100"/>
        <v>0.111063555986299</v>
      </c>
      <c r="S298" s="46">
        <f ca="1" t="shared" si="101"/>
        <v>0.820709002805407</v>
      </c>
      <c r="T298" s="46">
        <f ca="1" t="shared" si="102"/>
        <v>0.153787299158378</v>
      </c>
      <c r="U298" s="46">
        <f ca="1" t="shared" si="103"/>
        <v>0.0255036980362152</v>
      </c>
      <c r="V298" s="48">
        <f ca="1" t="shared" si="104"/>
        <v>0.515741520919589</v>
      </c>
      <c r="W298" s="48">
        <f ca="1" t="shared" si="105"/>
        <v>3.39693832474177</v>
      </c>
      <c r="X298" s="48">
        <f ca="1" t="shared" si="106"/>
        <v>4.30416807325757</v>
      </c>
      <c r="Y298" s="48">
        <f t="shared" si="107"/>
        <v>1.02661146926685</v>
      </c>
      <c r="Z298" s="105">
        <f ca="1" t="shared" si="108"/>
        <v>0.0557952925696592</v>
      </c>
      <c r="AA298" s="105">
        <f ca="1" t="shared" si="109"/>
        <v>0.367496429862985</v>
      </c>
      <c r="AB298" s="105">
        <f ca="1" t="shared" si="110"/>
        <v>0.465644721581057</v>
      </c>
      <c r="AC298" s="105">
        <f ca="1" t="shared" si="111"/>
        <v>0.111063555986299</v>
      </c>
      <c r="AD298" s="105">
        <f ca="1" t="shared" si="112"/>
        <v>0.820709002805407</v>
      </c>
      <c r="AE298" s="105">
        <f ca="1" t="shared" si="113"/>
        <v>0.153787299158378</v>
      </c>
      <c r="AF298" s="105">
        <f ca="1" t="shared" si="114"/>
        <v>0.0255036980362153</v>
      </c>
    </row>
    <row r="299" ht="16.5" spans="1:32">
      <c r="A299">
        <f ca="1" t="shared" si="92"/>
        <v>23526</v>
      </c>
      <c r="B299" s="2">
        <v>297</v>
      </c>
      <c r="C299" s="2">
        <f>_xlfn.XLOOKUP(练度预期!D299,装备养成!$B$3:$B$303,装备养成!$D$3:$D$303)*6</f>
        <v>19308</v>
      </c>
      <c r="D299" s="2" cm="1">
        <f ca="1" t="array" ref="D299">_xlfn.XLOOKUP(练度预期!E299&amp;"_"&amp;INT(练度预期!C299/10)*10+10,装备养成!$N$4:$N$219&amp;"_"&amp;装备养成!$K$4:$K$219,装备养成!$P$4:$P$219)*练度预期!F299+_xlfn.XLOOKUP(练度预期!E299-1&amp;"_"&amp;INT(练度预期!C299/10)*10+10,装备养成!$N$4:$N$219&amp;"_"&amp;装备养成!$K$4:$K$219,装备养成!$P$4:$P$219)*(6-练度预期!F299)</f>
        <v>3618</v>
      </c>
      <c r="E299" s="2">
        <f ca="1">练度预期!N299*4*练度预期!M299</f>
        <v>600</v>
      </c>
      <c r="F299" s="103">
        <f ca="1">INT(练度预期!D299/10)*0.02+1+_xlfn.XLOOKUP(练度预期!E299,装备养成!$U$3:$U$11,装备养成!$V$3:$V$11)*练度预期!F299+_xlfn.XLOOKUP(练度预期!E299-1,装备养成!$U$3:$U$11,装备养成!$V$3:$V$11)*(6-练度预期!F299)</f>
        <v>1.67488</v>
      </c>
      <c r="G299" s="48">
        <f ca="1">OFFSET(梦灵养成!$K$20,_xlfn.XLOOKUP(练度预期!H299,梦灵养成!$D$10:$D$28,梦灵养成!$H$10:$H$28),MATCH(OFFSET(梦灵养成!$C$33,B299,MATCH(练度预期!H299,梦灵养成!$D$33:$V$33,0)),梦灵养成!$L$20:$R$20,1))*(1+(OFFSET(梦灵养成!$C$33,B299,MATCH(练度预期!H299,梦灵养成!$D$33:$V$33,0))-1)*_xlfn.XLOOKUP(练度预期!H299,梦灵养成!$D$9:$D$28,梦灵养成!$G$9:$G$28))</f>
        <v>29.8725</v>
      </c>
      <c r="H299" s="46">
        <f ca="1">符文养成!AC300</f>
        <v>74.1779030977642</v>
      </c>
      <c r="I299" s="46">
        <f>MAX(_xlfn.XLOOKUP(练度预期!O299,秘宝养成!$B$3:$B$15,秘宝养成!$E$3:$E$15),1)</f>
        <v>2.7915904</v>
      </c>
      <c r="J299" s="104">
        <f ca="1" t="shared" si="93"/>
        <v>243741571.882765</v>
      </c>
      <c r="K299" s="104">
        <f ca="1">MATCH(J299,关卡预期!$E$4:$E$303,1)</f>
        <v>209</v>
      </c>
      <c r="L299" s="48">
        <f ca="1" t="shared" si="94"/>
        <v>0.820709002805407</v>
      </c>
      <c r="M299" s="48">
        <f ca="1" t="shared" si="95"/>
        <v>0.153787299158378</v>
      </c>
      <c r="N299" s="48">
        <f ca="1" t="shared" si="96"/>
        <v>0.0255036980362153</v>
      </c>
      <c r="O299" s="48">
        <f ca="1" t="shared" si="97"/>
        <v>0.0557814234572911</v>
      </c>
      <c r="P299" s="48">
        <f ca="1" t="shared" si="98"/>
        <v>0.367405080771585</v>
      </c>
      <c r="Q299" s="48">
        <f ca="1" t="shared" si="99"/>
        <v>0.465777547005202</v>
      </c>
      <c r="R299" s="48">
        <f ca="1" t="shared" si="100"/>
        <v>0.111035948765922</v>
      </c>
      <c r="S299" s="46">
        <f ca="1" t="shared" si="101"/>
        <v>0.820709002805407</v>
      </c>
      <c r="T299" s="46">
        <f ca="1" t="shared" si="102"/>
        <v>0.153787299158378</v>
      </c>
      <c r="U299" s="46">
        <f ca="1" t="shared" si="103"/>
        <v>0.0255036980362153</v>
      </c>
      <c r="V299" s="48">
        <f ca="1" t="shared" si="104"/>
        <v>0.515741520919589</v>
      </c>
      <c r="W299" s="48">
        <f ca="1" t="shared" si="105"/>
        <v>3.39693832474177</v>
      </c>
      <c r="X299" s="48">
        <f ca="1" t="shared" si="106"/>
        <v>4.30646630390461</v>
      </c>
      <c r="Y299" s="48">
        <f t="shared" si="107"/>
        <v>1.02661146926685</v>
      </c>
      <c r="Z299" s="105">
        <f ca="1" t="shared" si="108"/>
        <v>0.0557814234572911</v>
      </c>
      <c r="AA299" s="105">
        <f ca="1" t="shared" si="109"/>
        <v>0.367405080771585</v>
      </c>
      <c r="AB299" s="105">
        <f ca="1" t="shared" si="110"/>
        <v>0.465777547005202</v>
      </c>
      <c r="AC299" s="105">
        <f ca="1" t="shared" si="111"/>
        <v>0.111035948765922</v>
      </c>
      <c r="AD299" s="105">
        <f ca="1" t="shared" si="112"/>
        <v>0.820709002805407</v>
      </c>
      <c r="AE299" s="105">
        <f ca="1" t="shared" si="113"/>
        <v>0.153787299158378</v>
      </c>
      <c r="AF299" s="105">
        <f ca="1" t="shared" si="114"/>
        <v>0.0255036980362153</v>
      </c>
    </row>
    <row r="300" ht="16.5" spans="1:32">
      <c r="A300">
        <f ca="1" t="shared" si="92"/>
        <v>23526</v>
      </c>
      <c r="B300" s="2">
        <v>298</v>
      </c>
      <c r="C300" s="2">
        <f>_xlfn.XLOOKUP(练度预期!D300,装备养成!$B$3:$B$303,装备养成!$D$3:$D$303)*6</f>
        <v>19308</v>
      </c>
      <c r="D300" s="2" cm="1">
        <f ca="1" t="array" ref="D300">_xlfn.XLOOKUP(练度预期!E300&amp;"_"&amp;INT(练度预期!C300/10)*10+10,装备养成!$N$4:$N$219&amp;"_"&amp;装备养成!$K$4:$K$219,装备养成!$P$4:$P$219)*练度预期!F300+_xlfn.XLOOKUP(练度预期!E300-1&amp;"_"&amp;INT(练度预期!C300/10)*10+10,装备养成!$N$4:$N$219&amp;"_"&amp;装备养成!$K$4:$K$219,装备养成!$P$4:$P$219)*(6-练度预期!F300)</f>
        <v>3618</v>
      </c>
      <c r="E300" s="2">
        <f ca="1">练度预期!N300*4*练度预期!M300</f>
        <v>600</v>
      </c>
      <c r="F300" s="103">
        <f ca="1">INT(练度预期!D300/10)*0.02+1+_xlfn.XLOOKUP(练度预期!E300,装备养成!$U$3:$U$11,装备养成!$V$3:$V$11)*练度预期!F300+_xlfn.XLOOKUP(练度预期!E300-1,装备养成!$U$3:$U$11,装备养成!$V$3:$V$11)*(6-练度预期!F300)</f>
        <v>1.67488</v>
      </c>
      <c r="G300" s="48">
        <f ca="1">OFFSET(梦灵养成!$K$20,_xlfn.XLOOKUP(练度预期!H300,梦灵养成!$D$10:$D$28,梦灵养成!$H$10:$H$28),MATCH(OFFSET(梦灵养成!$C$33,B300,MATCH(练度预期!H300,梦灵养成!$D$33:$V$33,0)),梦灵养成!$L$20:$R$20,1))*(1+(OFFSET(梦灵养成!$C$33,B300,MATCH(练度预期!H300,梦灵养成!$D$33:$V$33,0))-1)*_xlfn.XLOOKUP(练度预期!H300,梦灵养成!$D$9:$D$28,梦灵养成!$G$9:$G$28))</f>
        <v>29.8725</v>
      </c>
      <c r="H300" s="46">
        <f ca="1">符文养成!AC301</f>
        <v>74.3814268871155</v>
      </c>
      <c r="I300" s="46">
        <f>MAX(_xlfn.XLOOKUP(练度预期!O300,秘宝养成!$B$3:$B$15,秘宝养成!$E$3:$E$15),1)</f>
        <v>2.7915904</v>
      </c>
      <c r="J300" s="104">
        <f ca="1" t="shared" si="93"/>
        <v>244410331.799942</v>
      </c>
      <c r="K300" s="104">
        <f ca="1">MATCH(J300,关卡预期!$E$4:$E$303,1)</f>
        <v>209</v>
      </c>
      <c r="L300" s="48">
        <f ca="1" t="shared" si="94"/>
        <v>0.820709002805407</v>
      </c>
      <c r="M300" s="48">
        <f ca="1" t="shared" si="95"/>
        <v>0.153787299158378</v>
      </c>
      <c r="N300" s="48">
        <f ca="1" t="shared" si="96"/>
        <v>0.0255036980362152</v>
      </c>
      <c r="O300" s="48">
        <f ca="1" t="shared" si="97"/>
        <v>0.055764897602956</v>
      </c>
      <c r="P300" s="48">
        <f ca="1" t="shared" si="98"/>
        <v>0.367296233014205</v>
      </c>
      <c r="Q300" s="48">
        <f ca="1" t="shared" si="99"/>
        <v>0.465935816226271</v>
      </c>
      <c r="R300" s="48">
        <f ca="1" t="shared" si="100"/>
        <v>0.111003053156568</v>
      </c>
      <c r="S300" s="46">
        <f ca="1" t="shared" si="101"/>
        <v>0.820709002805407</v>
      </c>
      <c r="T300" s="46">
        <f ca="1" t="shared" si="102"/>
        <v>0.153787299158378</v>
      </c>
      <c r="U300" s="46">
        <f ca="1" t="shared" si="103"/>
        <v>0.0255036980362152</v>
      </c>
      <c r="V300" s="48">
        <f ca="1" t="shared" si="104"/>
        <v>0.515741520919589</v>
      </c>
      <c r="W300" s="48">
        <f ca="1" t="shared" si="105"/>
        <v>3.39693832474177</v>
      </c>
      <c r="X300" s="48">
        <f ca="1" t="shared" si="106"/>
        <v>4.3092062720601</v>
      </c>
      <c r="Y300" s="48">
        <f t="shared" si="107"/>
        <v>1.02661146926685</v>
      </c>
      <c r="Z300" s="105">
        <f ca="1" t="shared" si="108"/>
        <v>0.055764897602956</v>
      </c>
      <c r="AA300" s="105">
        <f ca="1" t="shared" si="109"/>
        <v>0.367296233014205</v>
      </c>
      <c r="AB300" s="105">
        <f ca="1" t="shared" si="110"/>
        <v>0.465935816226271</v>
      </c>
      <c r="AC300" s="105">
        <f ca="1" t="shared" si="111"/>
        <v>0.111003053156568</v>
      </c>
      <c r="AD300" s="105">
        <f ca="1" t="shared" si="112"/>
        <v>0.820709002805407</v>
      </c>
      <c r="AE300" s="105">
        <f ca="1" t="shared" si="113"/>
        <v>0.153787299158378</v>
      </c>
      <c r="AF300" s="105">
        <f ca="1" t="shared" si="114"/>
        <v>0.0255036980362153</v>
      </c>
    </row>
    <row r="301" ht="16.5" spans="1:32">
      <c r="A301">
        <f ca="1" t="shared" si="92"/>
        <v>23526</v>
      </c>
      <c r="B301" s="2">
        <v>299</v>
      </c>
      <c r="C301" s="2">
        <f>_xlfn.XLOOKUP(练度预期!D301,装备养成!$B$3:$B$303,装备养成!$D$3:$D$303)*6</f>
        <v>19308</v>
      </c>
      <c r="D301" s="2" cm="1">
        <f ca="1" t="array" ref="D301">_xlfn.XLOOKUP(练度预期!E301&amp;"_"&amp;INT(练度预期!C301/10)*10+10,装备养成!$N$4:$N$219&amp;"_"&amp;装备养成!$K$4:$K$219,装备养成!$P$4:$P$219)*练度预期!F301+_xlfn.XLOOKUP(练度预期!E301-1&amp;"_"&amp;INT(练度预期!C301/10)*10+10,装备养成!$N$4:$N$219&amp;"_"&amp;装备养成!$K$4:$K$219,装备养成!$P$4:$P$219)*(6-练度预期!F301)</f>
        <v>3618</v>
      </c>
      <c r="E301" s="2">
        <f ca="1">练度预期!N301*4*练度预期!M301</f>
        <v>600</v>
      </c>
      <c r="F301" s="103">
        <f ca="1">INT(练度预期!D301/10)*0.02+1+_xlfn.XLOOKUP(练度预期!E301,装备养成!$U$3:$U$11,装备养成!$V$3:$V$11)*练度预期!F301+_xlfn.XLOOKUP(练度预期!E301-1,装备养成!$U$3:$U$11,装备养成!$V$3:$V$11)*(6-练度预期!F301)</f>
        <v>1.67488</v>
      </c>
      <c r="G301" s="48">
        <f ca="1">OFFSET(梦灵养成!$K$20,_xlfn.XLOOKUP(练度预期!H301,梦灵养成!$D$10:$D$28,梦灵养成!$H$10:$H$28),MATCH(OFFSET(梦灵养成!$C$33,B301,MATCH(练度预期!H301,梦灵养成!$D$33:$V$33,0)),梦灵养成!$L$20:$R$20,1))*(1+(OFFSET(梦灵养成!$C$33,B301,MATCH(练度预期!H301,梦灵养成!$D$33:$V$33,0))-1)*_xlfn.XLOOKUP(练度预期!H301,梦灵养成!$D$9:$D$28,梦灵养成!$G$9:$G$28))</f>
        <v>29.8725</v>
      </c>
      <c r="H301" s="46">
        <f ca="1">符文养成!AC302</f>
        <v>74.5524570180829</v>
      </c>
      <c r="I301" s="46">
        <f>MAX(_xlfn.XLOOKUP(练度预期!O301,秘宝养成!$B$3:$B$15,秘宝养成!$E$3:$E$15),1)</f>
        <v>2.7915904</v>
      </c>
      <c r="J301" s="104">
        <f ca="1" t="shared" si="93"/>
        <v>244972320.629774</v>
      </c>
      <c r="K301" s="104">
        <f ca="1">MATCH(J301,关卡预期!$E$4:$E$303,1)</f>
        <v>209</v>
      </c>
      <c r="L301" s="48">
        <f ca="1" t="shared" si="94"/>
        <v>0.820709002805406</v>
      </c>
      <c r="M301" s="48">
        <f ca="1" t="shared" si="95"/>
        <v>0.153787299158378</v>
      </c>
      <c r="N301" s="48">
        <f ca="1" t="shared" si="96"/>
        <v>0.0255036980362153</v>
      </c>
      <c r="O301" s="48">
        <f ca="1" t="shared" si="97"/>
        <v>0.0557510526595772</v>
      </c>
      <c r="P301" s="48">
        <f ca="1" t="shared" si="98"/>
        <v>0.367205043112171</v>
      </c>
      <c r="Q301" s="48">
        <f ca="1" t="shared" si="99"/>
        <v>0.466068410182377</v>
      </c>
      <c r="R301" s="48">
        <f ca="1" t="shared" si="100"/>
        <v>0.110975494045874</v>
      </c>
      <c r="S301" s="46">
        <f ca="1" t="shared" si="101"/>
        <v>0.820709002805407</v>
      </c>
      <c r="T301" s="46">
        <f ca="1" t="shared" si="102"/>
        <v>0.153787299158378</v>
      </c>
      <c r="U301" s="46">
        <f ca="1" t="shared" si="103"/>
        <v>0.0255036980362153</v>
      </c>
      <c r="V301" s="48">
        <f ca="1" t="shared" si="104"/>
        <v>0.515741520919589</v>
      </c>
      <c r="W301" s="48">
        <f ca="1" t="shared" si="105"/>
        <v>3.39693832474177</v>
      </c>
      <c r="X301" s="48">
        <f ca="1" t="shared" si="106"/>
        <v>4.31150299865668</v>
      </c>
      <c r="Y301" s="48">
        <f t="shared" si="107"/>
        <v>1.02661146926685</v>
      </c>
      <c r="Z301" s="105">
        <f ca="1" t="shared" si="108"/>
        <v>0.0557510526595772</v>
      </c>
      <c r="AA301" s="105">
        <f ca="1" t="shared" si="109"/>
        <v>0.367205043112171</v>
      </c>
      <c r="AB301" s="105">
        <f ca="1" t="shared" si="110"/>
        <v>0.466068410182377</v>
      </c>
      <c r="AC301" s="105">
        <f ca="1" t="shared" si="111"/>
        <v>0.110975494045874</v>
      </c>
      <c r="AD301" s="105">
        <f ca="1" t="shared" si="112"/>
        <v>0.820709002805407</v>
      </c>
      <c r="AE301" s="105">
        <f ca="1" t="shared" si="113"/>
        <v>0.153787299158378</v>
      </c>
      <c r="AF301" s="105">
        <f ca="1" t="shared" si="114"/>
        <v>0.0255036980362153</v>
      </c>
    </row>
    <row r="302" ht="16.5" spans="1:32">
      <c r="A302">
        <f ca="1" t="shared" si="92"/>
        <v>23526</v>
      </c>
      <c r="B302" s="2">
        <v>300</v>
      </c>
      <c r="C302" s="2">
        <f>_xlfn.XLOOKUP(练度预期!D302,装备养成!$B$3:$B$303,装备养成!$D$3:$D$303)*6</f>
        <v>19308</v>
      </c>
      <c r="D302" s="2" cm="1">
        <f ca="1" t="array" ref="D302">_xlfn.XLOOKUP(练度预期!E302&amp;"_"&amp;INT(练度预期!C302/10)*10+10,装备养成!$N$4:$N$219&amp;"_"&amp;装备养成!$K$4:$K$219,装备养成!$P$4:$P$219)*练度预期!F302+_xlfn.XLOOKUP(练度预期!E302-1&amp;"_"&amp;INT(练度预期!C302/10)*10+10,装备养成!$N$4:$N$219&amp;"_"&amp;装备养成!$K$4:$K$219,装备养成!$P$4:$P$219)*(6-练度预期!F302)</f>
        <v>3618</v>
      </c>
      <c r="E302" s="2">
        <f ca="1">练度预期!N302*4*练度预期!M302</f>
        <v>600</v>
      </c>
      <c r="F302" s="103">
        <f ca="1">INT(练度预期!D302/10)*0.02+1+_xlfn.XLOOKUP(练度预期!E302,装备养成!$U$3:$U$11,装备养成!$V$3:$V$11)*练度预期!F302+_xlfn.XLOOKUP(练度预期!E302-1,装备养成!$U$3:$U$11,装备养成!$V$3:$V$11)*(6-练度预期!F302)</f>
        <v>1.67488</v>
      </c>
      <c r="G302" s="48">
        <f ca="1">OFFSET(梦灵养成!$K$20,_xlfn.XLOOKUP(练度预期!H302,梦灵养成!$D$10:$D$28,梦灵养成!$H$10:$H$28),MATCH(OFFSET(梦灵养成!$C$33,B302,MATCH(练度预期!H302,梦灵养成!$D$33:$V$33,0)),梦灵养成!$L$20:$R$20,1))*(1+(OFFSET(梦灵养成!$C$33,B302,MATCH(练度预期!H302,梦灵养成!$D$33:$V$33,0))-1)*_xlfn.XLOOKUP(练度预期!H302,梦灵养成!$D$9:$D$28,梦灵养成!$G$9:$G$28))</f>
        <v>29.8725</v>
      </c>
      <c r="H302" s="46">
        <f ca="1">符文养成!AC303</f>
        <v>74.7568830107376</v>
      </c>
      <c r="I302" s="46">
        <f>MAX(_xlfn.XLOOKUP(练度预期!O302,秘宝养成!$B$3:$B$15,秘宝养成!$E$3:$E$15),1)</f>
        <v>2.7915904</v>
      </c>
      <c r="J302" s="104">
        <f ca="1" t="shared" si="93"/>
        <v>245644045.101652</v>
      </c>
      <c r="K302" s="104">
        <f ca="1">MATCH(J302,关卡预期!$E$4:$E$303,1)</f>
        <v>209</v>
      </c>
      <c r="L302" s="48">
        <f ca="1" t="shared" si="94"/>
        <v>0.820709002805407</v>
      </c>
      <c r="M302" s="48">
        <f ca="1" t="shared" si="95"/>
        <v>0.153787299158378</v>
      </c>
      <c r="N302" s="48">
        <f ca="1" t="shared" si="96"/>
        <v>0.0255036980362152</v>
      </c>
      <c r="O302" s="48">
        <f ca="1" t="shared" si="97"/>
        <v>0.0557345549019522</v>
      </c>
      <c r="P302" s="48">
        <f ca="1" t="shared" si="98"/>
        <v>0.367096380414142</v>
      </c>
      <c r="Q302" s="48">
        <f ca="1" t="shared" si="99"/>
        <v>0.46622641031936</v>
      </c>
      <c r="R302" s="48">
        <f ca="1" t="shared" si="100"/>
        <v>0.110942654364546</v>
      </c>
      <c r="S302" s="46">
        <f ca="1" t="shared" si="101"/>
        <v>0.820709002805407</v>
      </c>
      <c r="T302" s="46">
        <f ca="1" t="shared" si="102"/>
        <v>0.153787299158378</v>
      </c>
      <c r="U302" s="46">
        <f ca="1" t="shared" si="103"/>
        <v>0.0255036980362152</v>
      </c>
      <c r="V302" s="48">
        <f ca="1" t="shared" si="104"/>
        <v>0.515741520919589</v>
      </c>
      <c r="W302" s="48">
        <f ca="1" t="shared" si="105"/>
        <v>3.39693832474177</v>
      </c>
      <c r="X302" s="48">
        <f ca="1" t="shared" si="106"/>
        <v>4.31424128844286</v>
      </c>
      <c r="Y302" s="48">
        <f t="shared" si="107"/>
        <v>1.02661146926685</v>
      </c>
      <c r="Z302" s="105">
        <f ca="1" t="shared" si="108"/>
        <v>0.0557345549019522</v>
      </c>
      <c r="AA302" s="105">
        <f ca="1" t="shared" si="109"/>
        <v>0.367096380414142</v>
      </c>
      <c r="AB302" s="105">
        <f ca="1" t="shared" si="110"/>
        <v>0.46622641031936</v>
      </c>
      <c r="AC302" s="105">
        <f ca="1" t="shared" si="111"/>
        <v>0.110942654364546</v>
      </c>
      <c r="AD302" s="105">
        <f ca="1" t="shared" si="112"/>
        <v>0.820709002805407</v>
      </c>
      <c r="AE302" s="105">
        <f ca="1" t="shared" si="113"/>
        <v>0.153787299158378</v>
      </c>
      <c r="AF302" s="105">
        <f ca="1" t="shared" si="114"/>
        <v>0.0255036980362153</v>
      </c>
    </row>
  </sheetData>
  <pageMargins left="0.75" right="0.75" top="1" bottom="1" header="0.5" footer="0.5"/>
  <headerFooter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/>
  </sheetPr>
  <dimension ref="B2:E303"/>
  <sheetViews>
    <sheetView tabSelected="1" workbookViewId="0">
      <selection activeCell="G38" sqref="D3:G38"/>
    </sheetView>
  </sheetViews>
  <sheetFormatPr defaultColWidth="9" defaultRowHeight="13.5" outlineLevelCol="4"/>
  <sheetData>
    <row r="2" ht="14.25" spans="2:5">
      <c r="B2" s="95" t="s">
        <v>73</v>
      </c>
      <c r="C2" s="95" t="s">
        <v>101</v>
      </c>
      <c r="D2" s="95" t="s">
        <v>102</v>
      </c>
      <c r="E2" s="95" t="s">
        <v>103</v>
      </c>
    </row>
    <row r="3" ht="14.25" spans="2:5">
      <c r="B3" s="96">
        <v>1</v>
      </c>
      <c r="C3" s="96">
        <v>1</v>
      </c>
      <c r="D3" s="97">
        <v>60</v>
      </c>
      <c r="E3" s="97">
        <v>0</v>
      </c>
    </row>
    <row r="4" ht="14.25" spans="2:5">
      <c r="B4" s="98">
        <v>2</v>
      </c>
      <c r="C4" s="96">
        <v>1</v>
      </c>
      <c r="D4" s="97">
        <v>80</v>
      </c>
      <c r="E4" s="99">
        <v>60</v>
      </c>
    </row>
    <row r="5" ht="14.25" spans="2:5">
      <c r="B5" s="98">
        <v>3</v>
      </c>
      <c r="C5" s="96">
        <v>1</v>
      </c>
      <c r="D5" s="97">
        <v>100</v>
      </c>
      <c r="E5" s="99">
        <v>140</v>
      </c>
    </row>
    <row r="6" ht="14.25" spans="2:5">
      <c r="B6" s="98">
        <v>4</v>
      </c>
      <c r="C6" s="96">
        <v>1</v>
      </c>
      <c r="D6" s="97">
        <v>120</v>
      </c>
      <c r="E6" s="99">
        <v>240</v>
      </c>
    </row>
    <row r="7" ht="14.25" spans="2:5">
      <c r="B7" s="98">
        <v>5</v>
      </c>
      <c r="C7" s="96">
        <v>1</v>
      </c>
      <c r="D7" s="97">
        <v>165</v>
      </c>
      <c r="E7" s="99">
        <v>360</v>
      </c>
    </row>
    <row r="8" ht="14.25" spans="2:5">
      <c r="B8" s="98">
        <v>6</v>
      </c>
      <c r="C8" s="96">
        <v>1</v>
      </c>
      <c r="D8" s="97">
        <v>205</v>
      </c>
      <c r="E8" s="99">
        <v>525</v>
      </c>
    </row>
    <row r="9" ht="14.25" spans="2:5">
      <c r="B9" s="98">
        <v>7</v>
      </c>
      <c r="C9" s="96">
        <v>1</v>
      </c>
      <c r="D9" s="97">
        <v>255</v>
      </c>
      <c r="E9" s="99">
        <v>730</v>
      </c>
    </row>
    <row r="10" ht="14.25" spans="2:5">
      <c r="B10" s="98">
        <v>8</v>
      </c>
      <c r="C10" s="96">
        <v>1</v>
      </c>
      <c r="D10" s="97">
        <v>280</v>
      </c>
      <c r="E10" s="99">
        <v>985</v>
      </c>
    </row>
    <row r="11" ht="14.25" spans="2:5">
      <c r="B11" s="98">
        <v>9</v>
      </c>
      <c r="C11" s="96">
        <v>1</v>
      </c>
      <c r="D11" s="97">
        <v>290</v>
      </c>
      <c r="E11" s="99">
        <v>1265</v>
      </c>
    </row>
    <row r="12" ht="14.25" spans="2:5">
      <c r="B12" s="98">
        <v>10</v>
      </c>
      <c r="C12" s="96">
        <v>1</v>
      </c>
      <c r="D12" s="97">
        <v>300</v>
      </c>
      <c r="E12" s="99">
        <v>1555</v>
      </c>
    </row>
    <row r="13" ht="14.25" spans="2:5">
      <c r="B13" s="98">
        <v>11</v>
      </c>
      <c r="C13" s="96">
        <v>1</v>
      </c>
      <c r="D13" s="97">
        <v>465</v>
      </c>
      <c r="E13" s="99">
        <v>1855</v>
      </c>
    </row>
    <row r="14" ht="14.25" spans="2:5">
      <c r="B14" s="98">
        <v>12</v>
      </c>
      <c r="C14" s="96">
        <v>1</v>
      </c>
      <c r="D14" s="97">
        <v>465</v>
      </c>
      <c r="E14" s="99">
        <v>2320</v>
      </c>
    </row>
    <row r="15" ht="14.25" spans="2:5">
      <c r="B15" s="98">
        <v>13</v>
      </c>
      <c r="C15" s="96">
        <v>2</v>
      </c>
      <c r="D15" s="97">
        <v>460</v>
      </c>
      <c r="E15" s="99">
        <v>2785</v>
      </c>
    </row>
    <row r="16" ht="14.25" spans="2:5">
      <c r="B16" s="98">
        <v>14</v>
      </c>
      <c r="C16" s="96">
        <v>2</v>
      </c>
      <c r="D16" s="97">
        <v>460</v>
      </c>
      <c r="E16" s="99">
        <v>3245</v>
      </c>
    </row>
    <row r="17" ht="14.25" spans="2:5">
      <c r="B17" s="98">
        <v>15</v>
      </c>
      <c r="C17" s="96">
        <v>2</v>
      </c>
      <c r="D17" s="97">
        <v>460</v>
      </c>
      <c r="E17" s="99">
        <v>3705</v>
      </c>
    </row>
    <row r="18" ht="14.25" spans="2:5">
      <c r="B18" s="98">
        <v>16</v>
      </c>
      <c r="C18" s="96">
        <v>2</v>
      </c>
      <c r="D18" s="97">
        <v>460</v>
      </c>
      <c r="E18" s="99">
        <v>4165</v>
      </c>
    </row>
    <row r="19" ht="14.25" spans="2:5">
      <c r="B19" s="98">
        <v>17</v>
      </c>
      <c r="C19" s="96">
        <v>2</v>
      </c>
      <c r="D19" s="97">
        <v>460</v>
      </c>
      <c r="E19" s="99">
        <v>4625</v>
      </c>
    </row>
    <row r="20" ht="14.25" spans="2:5">
      <c r="B20" s="98">
        <v>18</v>
      </c>
      <c r="C20" s="96">
        <v>2</v>
      </c>
      <c r="D20" s="97">
        <v>460</v>
      </c>
      <c r="E20" s="99">
        <v>5085</v>
      </c>
    </row>
    <row r="21" ht="14.25" spans="2:5">
      <c r="B21" s="98">
        <v>19</v>
      </c>
      <c r="C21" s="96">
        <v>3</v>
      </c>
      <c r="D21" s="97">
        <v>690</v>
      </c>
      <c r="E21" s="99">
        <v>5545</v>
      </c>
    </row>
    <row r="22" ht="14.25" spans="2:5">
      <c r="B22" s="98">
        <v>20</v>
      </c>
      <c r="C22" s="96">
        <v>3</v>
      </c>
      <c r="D22" s="97">
        <v>690</v>
      </c>
      <c r="E22" s="99">
        <v>6235</v>
      </c>
    </row>
    <row r="23" ht="14.25" spans="2:5">
      <c r="B23" s="98">
        <v>21</v>
      </c>
      <c r="C23" s="96">
        <v>3</v>
      </c>
      <c r="D23" s="97">
        <v>690</v>
      </c>
      <c r="E23" s="99">
        <v>6925</v>
      </c>
    </row>
    <row r="24" ht="14.25" spans="2:5">
      <c r="B24" s="98">
        <v>22</v>
      </c>
      <c r="C24" s="96">
        <v>3</v>
      </c>
      <c r="D24" s="97">
        <v>690</v>
      </c>
      <c r="E24" s="99">
        <v>7615</v>
      </c>
    </row>
    <row r="25" ht="14.25" spans="2:5">
      <c r="B25" s="98">
        <v>23</v>
      </c>
      <c r="C25" s="96">
        <v>4</v>
      </c>
      <c r="D25" s="97">
        <v>920</v>
      </c>
      <c r="E25" s="99">
        <v>8305</v>
      </c>
    </row>
    <row r="26" ht="14.25" spans="2:5">
      <c r="B26" s="98">
        <v>24</v>
      </c>
      <c r="C26" s="96">
        <v>4</v>
      </c>
      <c r="D26" s="97">
        <v>920</v>
      </c>
      <c r="E26" s="99">
        <v>9225</v>
      </c>
    </row>
    <row r="27" ht="14.25" spans="2:5">
      <c r="B27" s="98">
        <v>25</v>
      </c>
      <c r="C27" s="96">
        <v>4</v>
      </c>
      <c r="D27" s="97">
        <v>920</v>
      </c>
      <c r="E27" s="99">
        <v>10145</v>
      </c>
    </row>
    <row r="28" ht="14.25" spans="2:5">
      <c r="B28" s="98">
        <v>26</v>
      </c>
      <c r="C28" s="96">
        <v>5</v>
      </c>
      <c r="D28" s="97">
        <v>920</v>
      </c>
      <c r="E28" s="99">
        <v>11065</v>
      </c>
    </row>
    <row r="29" ht="14.25" spans="2:5">
      <c r="B29" s="98">
        <v>27</v>
      </c>
      <c r="C29" s="96">
        <v>5</v>
      </c>
      <c r="D29" s="97">
        <v>920</v>
      </c>
      <c r="E29" s="99">
        <v>11985</v>
      </c>
    </row>
    <row r="30" ht="14.25" spans="2:5">
      <c r="B30" s="98">
        <v>28</v>
      </c>
      <c r="C30" s="96">
        <v>5</v>
      </c>
      <c r="D30" s="97">
        <v>920</v>
      </c>
      <c r="E30" s="99">
        <v>12905</v>
      </c>
    </row>
    <row r="31" ht="14.25" spans="2:5">
      <c r="B31" s="98">
        <v>29</v>
      </c>
      <c r="C31" s="96">
        <v>6</v>
      </c>
      <c r="D31" s="97">
        <v>1380</v>
      </c>
      <c r="E31" s="99">
        <v>13825</v>
      </c>
    </row>
    <row r="32" ht="14.25" spans="2:5">
      <c r="B32" s="98">
        <v>30</v>
      </c>
      <c r="C32" s="96">
        <v>6</v>
      </c>
      <c r="D32" s="97">
        <v>1380</v>
      </c>
      <c r="E32" s="99">
        <v>15205</v>
      </c>
    </row>
    <row r="33" ht="14.25" spans="2:5">
      <c r="B33" s="98">
        <v>31</v>
      </c>
      <c r="C33" s="96">
        <v>7</v>
      </c>
      <c r="D33" s="97">
        <v>1380</v>
      </c>
      <c r="E33" s="99">
        <v>16585</v>
      </c>
    </row>
    <row r="34" ht="14.25" spans="2:5">
      <c r="B34" s="98">
        <v>32</v>
      </c>
      <c r="C34" s="96">
        <v>7</v>
      </c>
      <c r="D34" s="97">
        <v>1380</v>
      </c>
      <c r="E34" s="99">
        <v>17965</v>
      </c>
    </row>
    <row r="35" ht="14.25" spans="2:5">
      <c r="B35" s="98">
        <v>33</v>
      </c>
      <c r="C35" s="96">
        <v>8</v>
      </c>
      <c r="D35" s="97">
        <v>1380</v>
      </c>
      <c r="E35" s="99">
        <v>19345</v>
      </c>
    </row>
    <row r="36" ht="14.25" spans="2:5">
      <c r="B36" s="98">
        <v>34</v>
      </c>
      <c r="C36" s="96">
        <v>8</v>
      </c>
      <c r="D36" s="97">
        <v>1380</v>
      </c>
      <c r="E36" s="99">
        <v>20725</v>
      </c>
    </row>
    <row r="37" ht="14.25" spans="2:5">
      <c r="B37" s="98">
        <v>35</v>
      </c>
      <c r="C37" s="96">
        <v>9</v>
      </c>
      <c r="D37" s="97">
        <v>1380</v>
      </c>
      <c r="E37" s="99">
        <v>22105</v>
      </c>
    </row>
    <row r="38" ht="14.25" spans="2:5">
      <c r="B38" s="98">
        <v>36</v>
      </c>
      <c r="C38" s="96">
        <v>9</v>
      </c>
      <c r="D38" s="97">
        <v>1380</v>
      </c>
      <c r="E38" s="99">
        <v>23485</v>
      </c>
    </row>
    <row r="39" ht="14.25" spans="2:5">
      <c r="B39" s="98">
        <v>37</v>
      </c>
      <c r="C39" s="96">
        <v>10</v>
      </c>
      <c r="D39" s="97">
        <v>1380</v>
      </c>
      <c r="E39" s="99">
        <v>24865</v>
      </c>
    </row>
    <row r="40" ht="14.25" spans="2:5">
      <c r="B40" s="98">
        <v>38</v>
      </c>
      <c r="C40" s="96">
        <v>10</v>
      </c>
      <c r="D40" s="97">
        <v>1380</v>
      </c>
      <c r="E40" s="99">
        <v>26245</v>
      </c>
    </row>
    <row r="41" ht="14.25" spans="2:5">
      <c r="B41" s="98">
        <v>39</v>
      </c>
      <c r="C41" s="96">
        <v>11</v>
      </c>
      <c r="D41" s="97">
        <v>1380</v>
      </c>
      <c r="E41" s="99">
        <v>27625</v>
      </c>
    </row>
    <row r="42" ht="14.25" spans="2:5">
      <c r="B42" s="98">
        <v>40</v>
      </c>
      <c r="C42" s="96">
        <v>11</v>
      </c>
      <c r="D42" s="97">
        <v>1380</v>
      </c>
      <c r="E42" s="99">
        <v>29005</v>
      </c>
    </row>
    <row r="43" ht="14.25" spans="2:5">
      <c r="B43" s="98">
        <v>41</v>
      </c>
      <c r="C43" s="96">
        <v>12</v>
      </c>
      <c r="D43" s="97">
        <v>1380</v>
      </c>
      <c r="E43" s="99">
        <v>30385</v>
      </c>
    </row>
    <row r="44" ht="14.25" spans="2:5">
      <c r="B44" s="98">
        <v>42</v>
      </c>
      <c r="C44" s="96">
        <v>12</v>
      </c>
      <c r="D44" s="97">
        <v>1380</v>
      </c>
      <c r="E44" s="99">
        <v>31765</v>
      </c>
    </row>
    <row r="45" ht="14.25" spans="2:5">
      <c r="B45" s="98">
        <v>43</v>
      </c>
      <c r="C45" s="96">
        <v>13</v>
      </c>
      <c r="D45" s="97">
        <v>1380</v>
      </c>
      <c r="E45" s="99">
        <v>33145</v>
      </c>
    </row>
    <row r="46" ht="14.25" spans="2:5">
      <c r="B46" s="98">
        <v>44</v>
      </c>
      <c r="C46" s="96">
        <v>13</v>
      </c>
      <c r="D46" s="97">
        <v>1380</v>
      </c>
      <c r="E46" s="99">
        <v>34525</v>
      </c>
    </row>
    <row r="47" ht="14.25" spans="2:5">
      <c r="B47" s="98">
        <v>45</v>
      </c>
      <c r="C47" s="96">
        <v>14</v>
      </c>
      <c r="D47" s="97">
        <v>2760</v>
      </c>
      <c r="E47" s="99">
        <v>35905</v>
      </c>
    </row>
    <row r="48" ht="14.25" spans="2:5">
      <c r="B48" s="98">
        <v>46</v>
      </c>
      <c r="C48" s="96">
        <v>15</v>
      </c>
      <c r="D48" s="97">
        <v>2760</v>
      </c>
      <c r="E48" s="99">
        <v>38665</v>
      </c>
    </row>
    <row r="49" ht="14.25" spans="2:5">
      <c r="B49" s="98">
        <v>47</v>
      </c>
      <c r="C49" s="96">
        <v>16</v>
      </c>
      <c r="D49" s="97">
        <v>2760</v>
      </c>
      <c r="E49" s="99">
        <v>41425</v>
      </c>
    </row>
    <row r="50" ht="14.25" spans="2:5">
      <c r="B50" s="98">
        <v>48</v>
      </c>
      <c r="C50" s="96">
        <v>17</v>
      </c>
      <c r="D50" s="97">
        <v>2760</v>
      </c>
      <c r="E50" s="99">
        <v>44185</v>
      </c>
    </row>
    <row r="51" ht="14.25" spans="2:5">
      <c r="B51" s="98">
        <v>49</v>
      </c>
      <c r="C51" s="96">
        <v>18</v>
      </c>
      <c r="D51" s="97">
        <v>2760</v>
      </c>
      <c r="E51" s="99">
        <v>46945</v>
      </c>
    </row>
    <row r="52" ht="14.25" spans="2:5">
      <c r="B52" s="98">
        <v>50</v>
      </c>
      <c r="C52" s="96">
        <v>19</v>
      </c>
      <c r="D52" s="97">
        <v>2760</v>
      </c>
      <c r="E52" s="99">
        <v>49705</v>
      </c>
    </row>
    <row r="53" ht="14.25" spans="2:5">
      <c r="B53" s="98">
        <v>51</v>
      </c>
      <c r="C53" s="96">
        <v>20</v>
      </c>
      <c r="D53" s="97">
        <v>2760</v>
      </c>
      <c r="E53" s="99">
        <v>52465</v>
      </c>
    </row>
    <row r="54" ht="14.25" spans="2:5">
      <c r="B54" s="98">
        <v>52</v>
      </c>
      <c r="C54" s="96">
        <v>21</v>
      </c>
      <c r="D54" s="97">
        <v>2760</v>
      </c>
      <c r="E54" s="99">
        <v>55225</v>
      </c>
    </row>
    <row r="55" ht="14.25" spans="2:5">
      <c r="B55" s="98">
        <v>53</v>
      </c>
      <c r="C55" s="96">
        <v>22</v>
      </c>
      <c r="D55" s="97">
        <v>2760</v>
      </c>
      <c r="E55" s="99">
        <v>57985</v>
      </c>
    </row>
    <row r="56" ht="14.25" spans="2:5">
      <c r="B56" s="98">
        <v>54</v>
      </c>
      <c r="C56" s="96">
        <v>23</v>
      </c>
      <c r="D56" s="97">
        <v>2760</v>
      </c>
      <c r="E56" s="99">
        <v>60745</v>
      </c>
    </row>
    <row r="57" ht="14.25" spans="2:5">
      <c r="B57" s="98">
        <v>55</v>
      </c>
      <c r="C57" s="96">
        <v>24</v>
      </c>
      <c r="D57" s="97">
        <v>2760</v>
      </c>
      <c r="E57" s="99">
        <v>63505</v>
      </c>
    </row>
    <row r="58" ht="14.25" spans="2:5">
      <c r="B58" s="98">
        <v>56</v>
      </c>
      <c r="C58" s="96">
        <v>25</v>
      </c>
      <c r="D58" s="97">
        <v>2760</v>
      </c>
      <c r="E58" s="99">
        <v>66265</v>
      </c>
    </row>
    <row r="59" ht="14.25" spans="2:5">
      <c r="B59" s="98">
        <v>57</v>
      </c>
      <c r="C59" s="96">
        <v>26</v>
      </c>
      <c r="D59" s="97">
        <v>2760</v>
      </c>
      <c r="E59" s="99">
        <v>69025</v>
      </c>
    </row>
    <row r="60" ht="14.25" spans="2:5">
      <c r="B60" s="98">
        <v>58</v>
      </c>
      <c r="C60" s="96">
        <v>28</v>
      </c>
      <c r="D60" s="97">
        <v>5520</v>
      </c>
      <c r="E60" s="99">
        <v>71785</v>
      </c>
    </row>
    <row r="61" ht="14.25" spans="2:5">
      <c r="B61" s="98">
        <v>59</v>
      </c>
      <c r="C61" s="96">
        <v>29</v>
      </c>
      <c r="D61" s="97">
        <v>2760</v>
      </c>
      <c r="E61" s="99">
        <v>77305</v>
      </c>
    </row>
    <row r="62" ht="14.25" spans="2:5">
      <c r="B62" s="98">
        <v>60</v>
      </c>
      <c r="C62" s="96">
        <v>31</v>
      </c>
      <c r="D62" s="97">
        <v>5520</v>
      </c>
      <c r="E62" s="99">
        <v>80065</v>
      </c>
    </row>
    <row r="63" ht="14.25" spans="2:5">
      <c r="B63" s="98">
        <v>61</v>
      </c>
      <c r="C63" s="96">
        <v>32</v>
      </c>
      <c r="D63" s="97">
        <v>2760</v>
      </c>
      <c r="E63" s="99">
        <v>85585</v>
      </c>
    </row>
    <row r="64" ht="14.25" spans="2:5">
      <c r="B64" s="98">
        <v>62</v>
      </c>
      <c r="C64" s="96">
        <v>33</v>
      </c>
      <c r="D64" s="97">
        <v>2760</v>
      </c>
      <c r="E64" s="99">
        <v>88345</v>
      </c>
    </row>
    <row r="65" ht="14.25" spans="2:5">
      <c r="B65" s="98">
        <v>63</v>
      </c>
      <c r="C65" s="96">
        <v>35</v>
      </c>
      <c r="D65" s="97">
        <v>5520</v>
      </c>
      <c r="E65" s="99">
        <v>91105</v>
      </c>
    </row>
    <row r="66" ht="14.25" spans="2:5">
      <c r="B66" s="98">
        <v>64</v>
      </c>
      <c r="C66" s="96">
        <v>36</v>
      </c>
      <c r="D66" s="97">
        <v>2760</v>
      </c>
      <c r="E66" s="99">
        <v>96625</v>
      </c>
    </row>
    <row r="67" ht="14.25" spans="2:5">
      <c r="B67" s="98">
        <v>65</v>
      </c>
      <c r="C67" s="96">
        <v>38</v>
      </c>
      <c r="D67" s="97">
        <v>5520</v>
      </c>
      <c r="E67" s="99">
        <v>99385</v>
      </c>
    </row>
    <row r="68" ht="14.25" spans="2:5">
      <c r="B68" s="98">
        <v>66</v>
      </c>
      <c r="C68" s="96">
        <v>39</v>
      </c>
      <c r="D68" s="97">
        <v>2760</v>
      </c>
      <c r="E68" s="99">
        <v>104905</v>
      </c>
    </row>
    <row r="69" ht="14.25" spans="2:5">
      <c r="B69" s="98">
        <v>67</v>
      </c>
      <c r="C69" s="96">
        <v>40</v>
      </c>
      <c r="D69" s="97">
        <v>2760</v>
      </c>
      <c r="E69" s="99">
        <v>107665</v>
      </c>
    </row>
    <row r="70" ht="14.25" spans="2:5">
      <c r="B70" s="98">
        <v>68</v>
      </c>
      <c r="C70" s="96">
        <v>42</v>
      </c>
      <c r="D70" s="97">
        <v>5520</v>
      </c>
      <c r="E70" s="99">
        <v>110425</v>
      </c>
    </row>
    <row r="71" ht="14.25" spans="2:5">
      <c r="B71" s="98">
        <v>69</v>
      </c>
      <c r="C71" s="96">
        <v>43</v>
      </c>
      <c r="D71" s="97">
        <v>2760</v>
      </c>
      <c r="E71" s="99">
        <v>115945</v>
      </c>
    </row>
    <row r="72" ht="14.25" spans="2:5">
      <c r="B72" s="98">
        <v>70</v>
      </c>
      <c r="C72" s="96">
        <v>45</v>
      </c>
      <c r="D72" s="97">
        <v>5520</v>
      </c>
      <c r="E72" s="99">
        <v>118705</v>
      </c>
    </row>
    <row r="73" ht="14.25" spans="2:5">
      <c r="B73" s="98">
        <v>71</v>
      </c>
      <c r="C73" s="96">
        <v>46</v>
      </c>
      <c r="D73" s="97">
        <v>2760</v>
      </c>
      <c r="E73" s="99">
        <v>124225</v>
      </c>
    </row>
    <row r="74" ht="14.25" spans="2:5">
      <c r="B74" s="98">
        <v>72</v>
      </c>
      <c r="C74" s="96">
        <v>48</v>
      </c>
      <c r="D74" s="97">
        <v>5520</v>
      </c>
      <c r="E74" s="99">
        <v>126985</v>
      </c>
    </row>
    <row r="75" ht="14.25" spans="2:5">
      <c r="B75" s="98">
        <v>73</v>
      </c>
      <c r="C75" s="96">
        <v>49</v>
      </c>
      <c r="D75" s="97">
        <v>2760</v>
      </c>
      <c r="E75" s="99">
        <v>132505</v>
      </c>
    </row>
    <row r="76" ht="14.25" spans="2:5">
      <c r="B76" s="98">
        <v>74</v>
      </c>
      <c r="C76" s="96">
        <v>50</v>
      </c>
      <c r="D76" s="97">
        <v>4140</v>
      </c>
      <c r="E76" s="99">
        <v>135265</v>
      </c>
    </row>
    <row r="77" ht="14.25" spans="2:5">
      <c r="B77" s="98">
        <v>75</v>
      </c>
      <c r="C77" s="96">
        <v>52</v>
      </c>
      <c r="D77" s="97">
        <v>4140</v>
      </c>
      <c r="E77" s="99">
        <v>139405</v>
      </c>
    </row>
    <row r="78" ht="14.25" spans="2:5">
      <c r="B78" s="98">
        <v>76</v>
      </c>
      <c r="C78" s="96">
        <v>53</v>
      </c>
      <c r="D78" s="97">
        <v>4140</v>
      </c>
      <c r="E78" s="99">
        <v>143545</v>
      </c>
    </row>
    <row r="79" ht="14.25" spans="2:5">
      <c r="B79" s="98">
        <v>77</v>
      </c>
      <c r="C79" s="96">
        <v>55</v>
      </c>
      <c r="D79" s="97">
        <v>4140</v>
      </c>
      <c r="E79" s="99">
        <v>147685</v>
      </c>
    </row>
    <row r="80" ht="14.25" spans="2:5">
      <c r="B80" s="98">
        <v>78</v>
      </c>
      <c r="C80" s="96">
        <v>56</v>
      </c>
      <c r="D80" s="97">
        <v>2760</v>
      </c>
      <c r="E80" s="99">
        <v>151825</v>
      </c>
    </row>
    <row r="81" ht="14.25" spans="2:5">
      <c r="B81" s="98">
        <v>79</v>
      </c>
      <c r="C81" s="96">
        <v>57</v>
      </c>
      <c r="D81" s="97">
        <v>4140</v>
      </c>
      <c r="E81" s="99">
        <v>154585</v>
      </c>
    </row>
    <row r="82" ht="14.25" spans="2:5">
      <c r="B82" s="98">
        <v>80</v>
      </c>
      <c r="C82" s="96">
        <v>59</v>
      </c>
      <c r="D82" s="97">
        <v>4140</v>
      </c>
      <c r="E82" s="99">
        <v>158725</v>
      </c>
    </row>
    <row r="83" ht="14.25" spans="2:5">
      <c r="B83" s="98">
        <v>81</v>
      </c>
      <c r="C83" s="96">
        <v>60</v>
      </c>
      <c r="D83" s="97">
        <v>4140</v>
      </c>
      <c r="E83" s="99">
        <v>162865</v>
      </c>
    </row>
    <row r="84" ht="14.25" spans="2:5">
      <c r="B84" s="98">
        <v>82</v>
      </c>
      <c r="C84" s="96">
        <v>62</v>
      </c>
      <c r="D84" s="97">
        <v>4140</v>
      </c>
      <c r="E84" s="99">
        <v>167005</v>
      </c>
    </row>
    <row r="85" ht="14.25" spans="2:5">
      <c r="B85" s="98">
        <v>83</v>
      </c>
      <c r="C85" s="96">
        <v>64</v>
      </c>
      <c r="D85" s="97">
        <v>6900</v>
      </c>
      <c r="E85" s="99">
        <v>171145</v>
      </c>
    </row>
    <row r="86" ht="14.25" spans="2:5">
      <c r="B86" s="98">
        <v>84</v>
      </c>
      <c r="C86" s="96">
        <v>67</v>
      </c>
      <c r="D86" s="97">
        <v>6900</v>
      </c>
      <c r="E86" s="99">
        <v>178045</v>
      </c>
    </row>
    <row r="87" ht="14.25" spans="2:5">
      <c r="B87" s="98">
        <v>85</v>
      </c>
      <c r="C87" s="96">
        <v>70</v>
      </c>
      <c r="D87" s="97">
        <v>8280</v>
      </c>
      <c r="E87" s="99">
        <v>184945</v>
      </c>
    </row>
    <row r="88" ht="14.25" spans="2:5">
      <c r="B88" s="98">
        <v>86</v>
      </c>
      <c r="C88" s="96">
        <v>73</v>
      </c>
      <c r="D88" s="97">
        <v>8280</v>
      </c>
      <c r="E88" s="99">
        <v>193225</v>
      </c>
    </row>
    <row r="89" ht="14.25" spans="2:5">
      <c r="B89" s="98">
        <v>87</v>
      </c>
      <c r="C89" s="96">
        <v>76</v>
      </c>
      <c r="D89" s="97">
        <v>6900</v>
      </c>
      <c r="E89" s="99">
        <v>201505</v>
      </c>
    </row>
    <row r="90" ht="14.25" spans="2:5">
      <c r="B90" s="98">
        <v>88</v>
      </c>
      <c r="C90" s="96">
        <v>78</v>
      </c>
      <c r="D90" s="97">
        <v>6900</v>
      </c>
      <c r="E90" s="99">
        <v>208405</v>
      </c>
    </row>
    <row r="91" ht="14.25" spans="2:5">
      <c r="B91" s="98">
        <v>89</v>
      </c>
      <c r="C91" s="96">
        <v>81</v>
      </c>
      <c r="D91" s="97">
        <v>8280</v>
      </c>
      <c r="E91" s="99">
        <v>215305</v>
      </c>
    </row>
    <row r="92" ht="14.25" spans="2:5">
      <c r="B92" s="98">
        <v>90</v>
      </c>
      <c r="C92" s="96">
        <v>84</v>
      </c>
      <c r="D92" s="97">
        <v>8280</v>
      </c>
      <c r="E92" s="99">
        <v>223585</v>
      </c>
    </row>
    <row r="93" ht="14.25" spans="2:5">
      <c r="B93" s="98">
        <v>91</v>
      </c>
      <c r="C93" s="96">
        <v>87</v>
      </c>
      <c r="D93" s="97">
        <v>6900</v>
      </c>
      <c r="E93" s="99">
        <v>231865</v>
      </c>
    </row>
    <row r="94" ht="14.25" spans="2:5">
      <c r="B94" s="98">
        <v>92</v>
      </c>
      <c r="C94" s="96">
        <v>89</v>
      </c>
      <c r="D94" s="97">
        <v>6900</v>
      </c>
      <c r="E94" s="99">
        <v>238765</v>
      </c>
    </row>
    <row r="95" ht="14.25" spans="2:5">
      <c r="B95" s="98">
        <v>93</v>
      </c>
      <c r="C95" s="96">
        <v>92</v>
      </c>
      <c r="D95" s="97">
        <v>8280</v>
      </c>
      <c r="E95" s="99">
        <v>245665</v>
      </c>
    </row>
    <row r="96" ht="14.25" spans="2:5">
      <c r="B96" s="98">
        <v>94</v>
      </c>
      <c r="C96" s="96">
        <v>95</v>
      </c>
      <c r="D96" s="97">
        <v>8280</v>
      </c>
      <c r="E96" s="99">
        <v>253945</v>
      </c>
    </row>
    <row r="97" ht="14.25" spans="2:5">
      <c r="B97" s="98">
        <v>95</v>
      </c>
      <c r="C97" s="96">
        <v>98</v>
      </c>
      <c r="D97" s="97">
        <v>8280</v>
      </c>
      <c r="E97" s="99">
        <v>262225</v>
      </c>
    </row>
    <row r="98" ht="14.25" spans="2:5">
      <c r="B98" s="98">
        <v>96</v>
      </c>
      <c r="C98" s="96">
        <v>101</v>
      </c>
      <c r="D98" s="97">
        <v>6900</v>
      </c>
      <c r="E98" s="99">
        <v>270505</v>
      </c>
    </row>
    <row r="99" ht="14.25" spans="2:5">
      <c r="B99" s="98">
        <v>97</v>
      </c>
      <c r="C99" s="96">
        <v>103</v>
      </c>
      <c r="D99" s="97">
        <v>6900</v>
      </c>
      <c r="E99" s="99">
        <v>277405</v>
      </c>
    </row>
    <row r="100" ht="14.25" spans="2:5">
      <c r="B100" s="98">
        <v>98</v>
      </c>
      <c r="C100" s="96">
        <v>106</v>
      </c>
      <c r="D100" s="97">
        <v>8280</v>
      </c>
      <c r="E100" s="99">
        <v>284305</v>
      </c>
    </row>
    <row r="101" ht="14.25" spans="2:5">
      <c r="B101" s="98">
        <v>99</v>
      </c>
      <c r="C101" s="96">
        <v>109</v>
      </c>
      <c r="D101" s="97">
        <v>8280</v>
      </c>
      <c r="E101" s="99">
        <v>292585</v>
      </c>
    </row>
    <row r="102" ht="14.25" spans="2:5">
      <c r="B102" s="98">
        <v>100</v>
      </c>
      <c r="C102" s="96">
        <v>112</v>
      </c>
      <c r="D102" s="97">
        <v>8280</v>
      </c>
      <c r="E102" s="99">
        <v>300865</v>
      </c>
    </row>
    <row r="103" ht="14.25" spans="2:5">
      <c r="B103" s="98">
        <v>101</v>
      </c>
      <c r="C103" s="96">
        <v>115</v>
      </c>
      <c r="D103" s="97">
        <v>8280</v>
      </c>
      <c r="E103" s="99">
        <v>309145</v>
      </c>
    </row>
    <row r="104" ht="14.25" spans="2:5">
      <c r="B104" s="98">
        <v>102</v>
      </c>
      <c r="C104" s="96">
        <v>117</v>
      </c>
      <c r="D104" s="97">
        <v>5520</v>
      </c>
      <c r="E104" s="99">
        <v>317425</v>
      </c>
    </row>
    <row r="105" ht="14.25" spans="2:5">
      <c r="B105" s="98">
        <v>103</v>
      </c>
      <c r="C105" s="96">
        <v>121</v>
      </c>
      <c r="D105" s="97">
        <v>11040</v>
      </c>
      <c r="E105" s="99">
        <v>322945</v>
      </c>
    </row>
    <row r="106" ht="14.25" spans="2:5">
      <c r="B106" s="98">
        <v>104</v>
      </c>
      <c r="C106" s="96">
        <v>127</v>
      </c>
      <c r="D106" s="97">
        <v>16560</v>
      </c>
      <c r="E106" s="99">
        <v>333985</v>
      </c>
    </row>
    <row r="107" ht="14.25" spans="2:5">
      <c r="B107" s="98">
        <v>105</v>
      </c>
      <c r="C107" s="96">
        <v>132</v>
      </c>
      <c r="D107" s="97">
        <v>13800</v>
      </c>
      <c r="E107" s="99">
        <v>350545</v>
      </c>
    </row>
    <row r="108" ht="14.25" spans="2:5">
      <c r="B108" s="98">
        <v>106</v>
      </c>
      <c r="C108" s="96">
        <v>138</v>
      </c>
      <c r="D108" s="97">
        <v>16560</v>
      </c>
      <c r="E108" s="99">
        <v>364345</v>
      </c>
    </row>
    <row r="109" ht="14.25" spans="2:5">
      <c r="B109" s="98">
        <v>107</v>
      </c>
      <c r="C109" s="96">
        <v>143</v>
      </c>
      <c r="D109" s="97">
        <v>13800</v>
      </c>
      <c r="E109" s="99">
        <v>380905</v>
      </c>
    </row>
    <row r="110" ht="14.25" spans="2:5">
      <c r="B110" s="98">
        <v>108</v>
      </c>
      <c r="C110" s="96">
        <v>149</v>
      </c>
      <c r="D110" s="97">
        <v>16560</v>
      </c>
      <c r="E110" s="99">
        <v>394705</v>
      </c>
    </row>
    <row r="111" ht="14.25" spans="2:5">
      <c r="B111" s="98">
        <v>109</v>
      </c>
      <c r="C111" s="96">
        <v>155</v>
      </c>
      <c r="D111" s="97">
        <v>16560</v>
      </c>
      <c r="E111" s="99">
        <v>411265</v>
      </c>
    </row>
    <row r="112" ht="14.25" spans="2:5">
      <c r="B112" s="98">
        <v>110</v>
      </c>
      <c r="C112" s="96">
        <v>160</v>
      </c>
      <c r="D112" s="97">
        <v>13800</v>
      </c>
      <c r="E112" s="99">
        <v>427825</v>
      </c>
    </row>
    <row r="113" ht="14.25" spans="2:5">
      <c r="B113" s="98">
        <v>111</v>
      </c>
      <c r="C113" s="96">
        <v>166</v>
      </c>
      <c r="D113" s="97">
        <v>16560</v>
      </c>
      <c r="E113" s="99">
        <v>441625</v>
      </c>
    </row>
    <row r="114" ht="14.25" spans="2:5">
      <c r="B114" s="98">
        <v>112</v>
      </c>
      <c r="C114" s="96">
        <v>171</v>
      </c>
      <c r="D114" s="97">
        <v>13800</v>
      </c>
      <c r="E114" s="99">
        <v>458185</v>
      </c>
    </row>
    <row r="115" ht="14.25" spans="2:5">
      <c r="B115" s="98">
        <v>113</v>
      </c>
      <c r="C115" s="96">
        <v>177</v>
      </c>
      <c r="D115" s="97">
        <v>16560</v>
      </c>
      <c r="E115" s="99">
        <v>471985</v>
      </c>
    </row>
    <row r="116" ht="14.25" spans="2:5">
      <c r="B116" s="98">
        <v>114</v>
      </c>
      <c r="C116" s="96">
        <v>183</v>
      </c>
      <c r="D116" s="97">
        <v>16560</v>
      </c>
      <c r="E116" s="99">
        <v>488545</v>
      </c>
    </row>
    <row r="117" ht="14.25" spans="2:5">
      <c r="B117" s="98">
        <v>115</v>
      </c>
      <c r="C117" s="96">
        <v>188</v>
      </c>
      <c r="D117" s="97">
        <v>13800</v>
      </c>
      <c r="E117" s="99">
        <v>505105</v>
      </c>
    </row>
    <row r="118" ht="14.25" spans="2:5">
      <c r="B118" s="98">
        <v>116</v>
      </c>
      <c r="C118" s="96">
        <v>194</v>
      </c>
      <c r="D118" s="97">
        <v>16560</v>
      </c>
      <c r="E118" s="99">
        <v>518905</v>
      </c>
    </row>
    <row r="119" ht="14.25" spans="2:5">
      <c r="B119" s="98">
        <v>117</v>
      </c>
      <c r="C119" s="96">
        <v>199</v>
      </c>
      <c r="D119" s="97">
        <v>13800</v>
      </c>
      <c r="E119" s="99">
        <v>535465</v>
      </c>
    </row>
    <row r="120" ht="14.25" spans="2:5">
      <c r="B120" s="98">
        <v>118</v>
      </c>
      <c r="C120" s="96">
        <v>205</v>
      </c>
      <c r="D120" s="97">
        <v>16560</v>
      </c>
      <c r="E120" s="99">
        <v>549265</v>
      </c>
    </row>
    <row r="121" ht="14.25" spans="2:5">
      <c r="B121" s="98">
        <v>119</v>
      </c>
      <c r="C121" s="96">
        <v>211</v>
      </c>
      <c r="D121" s="97">
        <v>16560</v>
      </c>
      <c r="E121" s="99">
        <v>565825</v>
      </c>
    </row>
    <row r="122" ht="14.25" spans="2:5">
      <c r="B122" s="98">
        <v>120</v>
      </c>
      <c r="C122" s="96">
        <v>216</v>
      </c>
      <c r="D122" s="97">
        <v>13800</v>
      </c>
      <c r="E122" s="99">
        <v>582385</v>
      </c>
    </row>
    <row r="123" ht="14.25" spans="2:5">
      <c r="B123" s="98">
        <v>121</v>
      </c>
      <c r="C123" s="96">
        <v>222</v>
      </c>
      <c r="D123" s="97">
        <v>16560</v>
      </c>
      <c r="E123" s="99">
        <v>596185</v>
      </c>
    </row>
    <row r="124" ht="14.25" spans="2:5">
      <c r="B124" s="98">
        <v>122</v>
      </c>
      <c r="C124" s="96">
        <v>227</v>
      </c>
      <c r="D124" s="97">
        <v>13800</v>
      </c>
      <c r="E124" s="99">
        <v>612745</v>
      </c>
    </row>
    <row r="125" ht="14.25" spans="2:5">
      <c r="B125" s="98">
        <v>123</v>
      </c>
      <c r="C125" s="96">
        <v>233</v>
      </c>
      <c r="D125" s="97">
        <v>16560</v>
      </c>
      <c r="E125" s="99">
        <v>626545</v>
      </c>
    </row>
    <row r="126" ht="14.25" spans="2:5">
      <c r="B126" s="98">
        <v>124</v>
      </c>
      <c r="C126" s="96">
        <v>239</v>
      </c>
      <c r="D126" s="97">
        <v>16560</v>
      </c>
      <c r="E126" s="99">
        <v>643105</v>
      </c>
    </row>
    <row r="127" ht="14.25" spans="2:5">
      <c r="B127" s="98">
        <v>125</v>
      </c>
      <c r="C127" s="96">
        <v>244</v>
      </c>
      <c r="D127" s="97">
        <v>13800</v>
      </c>
      <c r="E127" s="99">
        <v>659665</v>
      </c>
    </row>
    <row r="128" ht="14.25" spans="2:5">
      <c r="B128" s="98">
        <v>126</v>
      </c>
      <c r="C128" s="96">
        <v>250</v>
      </c>
      <c r="D128" s="97">
        <v>16560</v>
      </c>
      <c r="E128" s="99">
        <v>673465</v>
      </c>
    </row>
    <row r="129" ht="14.25" spans="2:5">
      <c r="B129" s="98">
        <v>127</v>
      </c>
      <c r="C129" s="96">
        <v>255</v>
      </c>
      <c r="D129" s="97">
        <v>13800</v>
      </c>
      <c r="E129" s="99">
        <v>690025</v>
      </c>
    </row>
    <row r="130" ht="14.25" spans="2:5">
      <c r="B130" s="98">
        <v>128</v>
      </c>
      <c r="C130" s="96">
        <v>261</v>
      </c>
      <c r="D130" s="97">
        <v>16560</v>
      </c>
      <c r="E130" s="99">
        <v>703825</v>
      </c>
    </row>
    <row r="131" ht="14.25" spans="2:5">
      <c r="B131" s="98">
        <v>129</v>
      </c>
      <c r="C131" s="96">
        <v>267</v>
      </c>
      <c r="D131" s="97">
        <v>16560</v>
      </c>
      <c r="E131" s="99">
        <v>720385</v>
      </c>
    </row>
    <row r="132" ht="14.25" spans="2:5">
      <c r="B132" s="98">
        <v>130</v>
      </c>
      <c r="C132" s="96">
        <v>272</v>
      </c>
      <c r="D132" s="97">
        <v>13800</v>
      </c>
      <c r="E132" s="99">
        <v>736945</v>
      </c>
    </row>
    <row r="133" ht="14.25" spans="2:5">
      <c r="B133" s="98">
        <v>131</v>
      </c>
      <c r="C133" s="96">
        <v>278</v>
      </c>
      <c r="D133" s="97">
        <v>16560</v>
      </c>
      <c r="E133" s="99">
        <v>750745</v>
      </c>
    </row>
    <row r="134" ht="14.25" spans="2:5">
      <c r="B134" s="98">
        <v>132</v>
      </c>
      <c r="C134" s="96">
        <v>283</v>
      </c>
      <c r="D134" s="97">
        <v>13800</v>
      </c>
      <c r="E134" s="99">
        <v>767305</v>
      </c>
    </row>
    <row r="135" ht="14.25" spans="2:5">
      <c r="B135" s="98">
        <v>133</v>
      </c>
      <c r="C135" s="96">
        <v>289</v>
      </c>
      <c r="D135" s="97">
        <v>16560</v>
      </c>
      <c r="E135" s="99">
        <v>781105</v>
      </c>
    </row>
    <row r="136" ht="14.25" spans="2:5">
      <c r="B136" s="98">
        <v>134</v>
      </c>
      <c r="C136" s="96">
        <v>295</v>
      </c>
      <c r="D136" s="97">
        <v>16560</v>
      </c>
      <c r="E136" s="99">
        <v>797665</v>
      </c>
    </row>
    <row r="137" ht="14.25" spans="2:5">
      <c r="B137" s="98">
        <v>135</v>
      </c>
      <c r="C137" s="96">
        <v>300</v>
      </c>
      <c r="D137" s="97">
        <v>13800</v>
      </c>
      <c r="E137" s="99">
        <v>814225</v>
      </c>
    </row>
    <row r="138" ht="14.25" spans="2:5">
      <c r="B138" s="98">
        <v>136</v>
      </c>
      <c r="C138" s="96">
        <v>306</v>
      </c>
      <c r="D138" s="97">
        <v>16560</v>
      </c>
      <c r="E138" s="99">
        <v>828025</v>
      </c>
    </row>
    <row r="139" ht="14.25" spans="2:5">
      <c r="B139" s="98">
        <v>137</v>
      </c>
      <c r="C139" s="96">
        <v>311</v>
      </c>
      <c r="D139" s="97">
        <v>13800</v>
      </c>
      <c r="E139" s="99">
        <v>844585</v>
      </c>
    </row>
    <row r="140" ht="14.25" spans="2:5">
      <c r="B140" s="98">
        <v>138</v>
      </c>
      <c r="C140" s="96">
        <v>317</v>
      </c>
      <c r="D140" s="97">
        <v>16560</v>
      </c>
      <c r="E140" s="99">
        <v>858385</v>
      </c>
    </row>
    <row r="141" ht="14.25" spans="2:5">
      <c r="B141" s="98">
        <v>139</v>
      </c>
      <c r="C141" s="96">
        <v>323</v>
      </c>
      <c r="D141" s="97">
        <v>16560</v>
      </c>
      <c r="E141" s="99">
        <v>874945</v>
      </c>
    </row>
    <row r="142" ht="14.25" spans="2:5">
      <c r="B142" s="98">
        <v>140</v>
      </c>
      <c r="C142" s="96">
        <v>328</v>
      </c>
      <c r="D142" s="97">
        <v>13800</v>
      </c>
      <c r="E142" s="99">
        <v>891505</v>
      </c>
    </row>
    <row r="143" ht="14.25" spans="2:5">
      <c r="B143" s="98">
        <v>141</v>
      </c>
      <c r="C143" s="96">
        <v>334</v>
      </c>
      <c r="D143" s="97">
        <v>16560</v>
      </c>
      <c r="E143" s="99">
        <v>905305</v>
      </c>
    </row>
    <row r="144" ht="14.25" spans="2:5">
      <c r="B144" s="98">
        <v>142</v>
      </c>
      <c r="C144" s="96">
        <v>340</v>
      </c>
      <c r="D144" s="97">
        <v>16560</v>
      </c>
      <c r="E144" s="99">
        <v>921865</v>
      </c>
    </row>
    <row r="145" ht="14.25" spans="2:5">
      <c r="B145" s="98">
        <v>143</v>
      </c>
      <c r="C145" s="96">
        <v>345</v>
      </c>
      <c r="D145" s="97">
        <v>13800</v>
      </c>
      <c r="E145" s="99">
        <v>938425</v>
      </c>
    </row>
    <row r="146" ht="14.25" spans="2:5">
      <c r="B146" s="98">
        <v>144</v>
      </c>
      <c r="C146" s="96">
        <v>351</v>
      </c>
      <c r="D146" s="97">
        <v>16560</v>
      </c>
      <c r="E146" s="99">
        <v>952225</v>
      </c>
    </row>
    <row r="147" ht="14.25" spans="2:5">
      <c r="B147" s="98">
        <v>145</v>
      </c>
      <c r="C147" s="96">
        <v>356</v>
      </c>
      <c r="D147" s="97">
        <v>13800</v>
      </c>
      <c r="E147" s="99">
        <v>968785</v>
      </c>
    </row>
    <row r="148" ht="14.25" spans="2:5">
      <c r="B148" s="98">
        <v>146</v>
      </c>
      <c r="C148" s="96">
        <v>362</v>
      </c>
      <c r="D148" s="97">
        <v>16560</v>
      </c>
      <c r="E148" s="99">
        <v>982585</v>
      </c>
    </row>
    <row r="149" ht="14.25" spans="2:5">
      <c r="B149" s="98">
        <v>147</v>
      </c>
      <c r="C149" s="96">
        <v>368</v>
      </c>
      <c r="D149" s="97">
        <v>16560</v>
      </c>
      <c r="E149" s="99">
        <v>999145</v>
      </c>
    </row>
    <row r="150" ht="14.25" spans="2:5">
      <c r="B150" s="98">
        <v>148</v>
      </c>
      <c r="C150" s="96">
        <v>373</v>
      </c>
      <c r="D150" s="97">
        <v>13800</v>
      </c>
      <c r="E150" s="99">
        <v>1015705</v>
      </c>
    </row>
    <row r="151" ht="14.25" spans="2:5">
      <c r="B151" s="98">
        <v>149</v>
      </c>
      <c r="C151" s="96">
        <v>379</v>
      </c>
      <c r="D151" s="97">
        <v>16560</v>
      </c>
      <c r="E151" s="99">
        <v>1029505</v>
      </c>
    </row>
    <row r="152" ht="14.25" spans="2:5">
      <c r="B152" s="98">
        <v>150</v>
      </c>
      <c r="C152" s="96">
        <v>384</v>
      </c>
      <c r="D152" s="97">
        <v>13800</v>
      </c>
      <c r="E152" s="99">
        <v>1046065</v>
      </c>
    </row>
    <row r="153" ht="14.25" spans="2:5">
      <c r="B153" s="98">
        <v>151</v>
      </c>
      <c r="C153" s="96">
        <v>390</v>
      </c>
      <c r="D153" s="97">
        <v>16560</v>
      </c>
      <c r="E153" s="99">
        <v>1059865</v>
      </c>
    </row>
    <row r="154" ht="14.25" spans="2:5">
      <c r="B154" s="98">
        <v>152</v>
      </c>
      <c r="C154" s="96">
        <v>396</v>
      </c>
      <c r="D154" s="97">
        <v>16560</v>
      </c>
      <c r="E154" s="99">
        <v>1076425</v>
      </c>
    </row>
    <row r="155" ht="14.25" spans="2:5">
      <c r="B155" s="98">
        <v>153</v>
      </c>
      <c r="C155" s="96">
        <v>401</v>
      </c>
      <c r="D155" s="97">
        <v>13800</v>
      </c>
      <c r="E155" s="99">
        <v>1092985</v>
      </c>
    </row>
    <row r="156" ht="14.25" spans="2:5">
      <c r="B156" s="98">
        <v>154</v>
      </c>
      <c r="C156" s="96">
        <v>407</v>
      </c>
      <c r="D156" s="97">
        <v>16560</v>
      </c>
      <c r="E156" s="99">
        <v>1106785</v>
      </c>
    </row>
    <row r="157" ht="14.25" spans="2:5">
      <c r="B157" s="98">
        <v>155</v>
      </c>
      <c r="C157" s="96">
        <v>412</v>
      </c>
      <c r="D157" s="97">
        <v>13800</v>
      </c>
      <c r="E157" s="99">
        <v>1123345</v>
      </c>
    </row>
    <row r="158" ht="14.25" spans="2:5">
      <c r="B158" s="98">
        <v>156</v>
      </c>
      <c r="C158" s="96">
        <v>418</v>
      </c>
      <c r="D158" s="97">
        <v>16560</v>
      </c>
      <c r="E158" s="99">
        <v>1137145</v>
      </c>
    </row>
    <row r="159" ht="14.25" spans="2:5">
      <c r="B159" s="98">
        <v>157</v>
      </c>
      <c r="C159" s="96">
        <v>424</v>
      </c>
      <c r="D159" s="97">
        <v>16560</v>
      </c>
      <c r="E159" s="99">
        <v>1153705</v>
      </c>
    </row>
    <row r="160" ht="14.25" spans="2:5">
      <c r="B160" s="98">
        <v>158</v>
      </c>
      <c r="C160" s="96">
        <v>429</v>
      </c>
      <c r="D160" s="97">
        <v>13800</v>
      </c>
      <c r="E160" s="99">
        <v>1170265</v>
      </c>
    </row>
    <row r="161" ht="14.25" spans="2:5">
      <c r="B161" s="98">
        <v>159</v>
      </c>
      <c r="C161" s="96">
        <v>435</v>
      </c>
      <c r="D161" s="97">
        <v>16560</v>
      </c>
      <c r="E161" s="99">
        <v>1184065</v>
      </c>
    </row>
    <row r="162" ht="14.25" spans="2:5">
      <c r="B162" s="98">
        <v>160</v>
      </c>
      <c r="C162" s="96">
        <v>440</v>
      </c>
      <c r="D162" s="97">
        <v>13800</v>
      </c>
      <c r="E162" s="99">
        <v>1200625</v>
      </c>
    </row>
    <row r="163" ht="14.25" spans="2:5">
      <c r="B163" s="98">
        <v>161</v>
      </c>
      <c r="C163" s="96">
        <v>446</v>
      </c>
      <c r="D163" s="97">
        <v>16560</v>
      </c>
      <c r="E163" s="99">
        <v>1214425</v>
      </c>
    </row>
    <row r="164" ht="14.25" spans="2:5">
      <c r="B164" s="98">
        <v>162</v>
      </c>
      <c r="C164" s="96">
        <v>452</v>
      </c>
      <c r="D164" s="97">
        <v>16560</v>
      </c>
      <c r="E164" s="99">
        <v>1230985</v>
      </c>
    </row>
    <row r="165" ht="14.25" spans="2:5">
      <c r="B165" s="98">
        <v>163</v>
      </c>
      <c r="C165" s="96">
        <v>457</v>
      </c>
      <c r="D165" s="97">
        <v>13800</v>
      </c>
      <c r="E165" s="99">
        <v>1247545</v>
      </c>
    </row>
    <row r="166" ht="14.25" spans="2:5">
      <c r="B166" s="98">
        <v>164</v>
      </c>
      <c r="C166" s="96">
        <v>463</v>
      </c>
      <c r="D166" s="97">
        <v>16560</v>
      </c>
      <c r="E166" s="99">
        <v>1261345</v>
      </c>
    </row>
    <row r="167" ht="14.25" spans="2:5">
      <c r="B167" s="98">
        <v>165</v>
      </c>
      <c r="C167" s="96">
        <v>468</v>
      </c>
      <c r="D167" s="97">
        <v>13800</v>
      </c>
      <c r="E167" s="99">
        <v>1277905</v>
      </c>
    </row>
    <row r="168" ht="14.25" spans="2:5">
      <c r="B168" s="98">
        <v>166</v>
      </c>
      <c r="C168" s="96">
        <v>474</v>
      </c>
      <c r="D168" s="97">
        <v>16560</v>
      </c>
      <c r="E168" s="99">
        <v>1291705</v>
      </c>
    </row>
    <row r="169" ht="14.25" spans="2:5">
      <c r="B169" s="98">
        <v>167</v>
      </c>
      <c r="C169" s="96">
        <v>480</v>
      </c>
      <c r="D169" s="97">
        <v>16560</v>
      </c>
      <c r="E169" s="99">
        <v>1308265</v>
      </c>
    </row>
    <row r="170" ht="14.25" spans="2:5">
      <c r="B170" s="98">
        <v>168</v>
      </c>
      <c r="C170" s="96">
        <v>485</v>
      </c>
      <c r="D170" s="97">
        <v>13800</v>
      </c>
      <c r="E170" s="99">
        <v>1324825</v>
      </c>
    </row>
    <row r="171" ht="14.25" spans="2:5">
      <c r="B171" s="98">
        <v>169</v>
      </c>
      <c r="C171" s="96">
        <v>491</v>
      </c>
      <c r="D171" s="97">
        <v>16560</v>
      </c>
      <c r="E171" s="99">
        <v>1338625</v>
      </c>
    </row>
    <row r="172" ht="14.25" spans="2:5">
      <c r="B172" s="98">
        <v>170</v>
      </c>
      <c r="C172" s="96">
        <v>496</v>
      </c>
      <c r="D172" s="97">
        <v>13800</v>
      </c>
      <c r="E172" s="99">
        <v>1355185</v>
      </c>
    </row>
    <row r="173" ht="14.25" spans="2:5">
      <c r="B173" s="98">
        <v>171</v>
      </c>
      <c r="C173" s="96">
        <v>730</v>
      </c>
      <c r="D173" s="97">
        <v>4970</v>
      </c>
      <c r="E173" s="99">
        <v>1368985</v>
      </c>
    </row>
    <row r="174" ht="14.25" spans="2:5">
      <c r="B174" s="98">
        <v>172</v>
      </c>
      <c r="C174" s="96">
        <v>730</v>
      </c>
      <c r="D174" s="97">
        <v>4970</v>
      </c>
      <c r="E174" s="99">
        <v>1373955</v>
      </c>
    </row>
    <row r="175" ht="14.25" spans="2:5">
      <c r="B175" s="98">
        <v>173</v>
      </c>
      <c r="C175" s="96">
        <v>730</v>
      </c>
      <c r="D175" s="97">
        <v>4970</v>
      </c>
      <c r="E175" s="99">
        <v>1378925</v>
      </c>
    </row>
    <row r="176" ht="14.25" spans="2:5">
      <c r="B176" s="98">
        <v>174</v>
      </c>
      <c r="C176" s="96">
        <v>730</v>
      </c>
      <c r="D176" s="97">
        <v>4970</v>
      </c>
      <c r="E176" s="99">
        <v>1383895</v>
      </c>
    </row>
    <row r="177" ht="14.25" spans="2:5">
      <c r="B177" s="98">
        <v>175</v>
      </c>
      <c r="C177" s="96">
        <v>730</v>
      </c>
      <c r="D177" s="97">
        <v>4970</v>
      </c>
      <c r="E177" s="99">
        <v>1388865</v>
      </c>
    </row>
    <row r="178" ht="14.25" spans="2:5">
      <c r="B178" s="98">
        <v>176</v>
      </c>
      <c r="C178" s="96">
        <v>730</v>
      </c>
      <c r="D178" s="97">
        <v>4970</v>
      </c>
      <c r="E178" s="99">
        <v>1393835</v>
      </c>
    </row>
    <row r="179" ht="14.25" spans="2:5">
      <c r="B179" s="98">
        <v>177</v>
      </c>
      <c r="C179" s="96">
        <v>730</v>
      </c>
      <c r="D179" s="97">
        <v>4970</v>
      </c>
      <c r="E179" s="99">
        <v>1398805</v>
      </c>
    </row>
    <row r="180" ht="14.25" spans="2:5">
      <c r="B180" s="98">
        <v>178</v>
      </c>
      <c r="C180" s="96">
        <v>730</v>
      </c>
      <c r="D180" s="97">
        <v>4970</v>
      </c>
      <c r="E180" s="99">
        <v>1403775</v>
      </c>
    </row>
    <row r="181" ht="14.25" spans="2:5">
      <c r="B181" s="98">
        <v>179</v>
      </c>
      <c r="C181" s="96">
        <v>730</v>
      </c>
      <c r="D181" s="97">
        <v>4970</v>
      </c>
      <c r="E181" s="99">
        <v>1408745</v>
      </c>
    </row>
    <row r="182" ht="14.25" spans="2:5">
      <c r="B182" s="98">
        <v>180</v>
      </c>
      <c r="C182" s="96">
        <v>730</v>
      </c>
      <c r="D182" s="97">
        <v>4970</v>
      </c>
      <c r="E182" s="99">
        <v>1413715</v>
      </c>
    </row>
    <row r="183" ht="14.25" spans="2:5">
      <c r="B183" s="98">
        <v>181</v>
      </c>
      <c r="C183" s="96">
        <v>730</v>
      </c>
      <c r="D183" s="97">
        <v>4970</v>
      </c>
      <c r="E183" s="99">
        <v>1418685</v>
      </c>
    </row>
    <row r="184" ht="14.25" spans="2:5">
      <c r="B184" s="98">
        <v>182</v>
      </c>
      <c r="C184" s="96">
        <v>730</v>
      </c>
      <c r="D184" s="97">
        <v>4970</v>
      </c>
      <c r="E184" s="99">
        <v>1423655</v>
      </c>
    </row>
    <row r="185" ht="14.25" spans="2:5">
      <c r="B185" s="98">
        <v>183</v>
      </c>
      <c r="C185" s="96">
        <v>730</v>
      </c>
      <c r="D185" s="97">
        <v>4970</v>
      </c>
      <c r="E185" s="99">
        <v>1428625</v>
      </c>
    </row>
    <row r="186" ht="14.25" spans="2:5">
      <c r="B186" s="98">
        <v>184</v>
      </c>
      <c r="C186" s="96">
        <v>730</v>
      </c>
      <c r="D186" s="97">
        <v>4970</v>
      </c>
      <c r="E186" s="99">
        <v>1433595</v>
      </c>
    </row>
    <row r="187" ht="14.25" spans="2:5">
      <c r="B187" s="98">
        <v>185</v>
      </c>
      <c r="C187" s="96">
        <v>730</v>
      </c>
      <c r="D187" s="97">
        <v>4970</v>
      </c>
      <c r="E187" s="99">
        <v>1438565</v>
      </c>
    </row>
    <row r="188" ht="14.25" spans="2:5">
      <c r="B188" s="98">
        <v>186</v>
      </c>
      <c r="C188" s="96">
        <v>730</v>
      </c>
      <c r="D188" s="97">
        <v>4970</v>
      </c>
      <c r="E188" s="99">
        <v>1443535</v>
      </c>
    </row>
    <row r="189" ht="14.25" spans="2:5">
      <c r="B189" s="98">
        <v>187</v>
      </c>
      <c r="C189" s="96">
        <v>730</v>
      </c>
      <c r="D189" s="97">
        <v>4970</v>
      </c>
      <c r="E189" s="99">
        <v>1448505</v>
      </c>
    </row>
    <row r="190" ht="14.25" spans="2:5">
      <c r="B190" s="98">
        <v>188</v>
      </c>
      <c r="C190" s="96">
        <v>730</v>
      </c>
      <c r="D190" s="97">
        <v>4970</v>
      </c>
      <c r="E190" s="99">
        <v>1453475</v>
      </c>
    </row>
    <row r="191" ht="14.25" spans="2:5">
      <c r="B191" s="98">
        <v>189</v>
      </c>
      <c r="C191" s="96">
        <v>730</v>
      </c>
      <c r="D191" s="97">
        <v>4970</v>
      </c>
      <c r="E191" s="99">
        <v>1458445</v>
      </c>
    </row>
    <row r="192" ht="14.25" spans="2:5">
      <c r="B192" s="100">
        <v>190</v>
      </c>
      <c r="C192" s="96">
        <v>730</v>
      </c>
      <c r="D192" s="97">
        <v>4970</v>
      </c>
      <c r="E192" s="99">
        <v>1463415</v>
      </c>
    </row>
    <row r="193" ht="14.25" spans="2:5">
      <c r="B193" s="98">
        <v>191</v>
      </c>
      <c r="C193" s="96">
        <v>730</v>
      </c>
      <c r="D193" s="97">
        <v>4970</v>
      </c>
      <c r="E193" s="99">
        <v>1468385</v>
      </c>
    </row>
    <row r="194" ht="14.25" spans="2:5">
      <c r="B194" s="98">
        <v>192</v>
      </c>
      <c r="C194" s="96">
        <v>730</v>
      </c>
      <c r="D194" s="97">
        <v>4970</v>
      </c>
      <c r="E194" s="99">
        <v>1473355</v>
      </c>
    </row>
    <row r="195" ht="14.25" spans="2:5">
      <c r="B195" s="98">
        <v>193</v>
      </c>
      <c r="C195" s="96">
        <v>730</v>
      </c>
      <c r="D195" s="97">
        <v>4970</v>
      </c>
      <c r="E195" s="99">
        <v>1478325</v>
      </c>
    </row>
    <row r="196" ht="14.25" spans="2:5">
      <c r="B196" s="98">
        <v>194</v>
      </c>
      <c r="C196" s="96">
        <v>730</v>
      </c>
      <c r="D196" s="97">
        <v>4970</v>
      </c>
      <c r="E196" s="99">
        <v>1483295</v>
      </c>
    </row>
    <row r="197" ht="14.25" spans="2:5">
      <c r="B197" s="98">
        <v>195</v>
      </c>
      <c r="C197" s="96">
        <v>730</v>
      </c>
      <c r="D197" s="97">
        <v>4970</v>
      </c>
      <c r="E197" s="99">
        <v>1488265</v>
      </c>
    </row>
    <row r="198" ht="14.25" spans="2:5">
      <c r="B198" s="98">
        <v>196</v>
      </c>
      <c r="C198" s="96">
        <v>730</v>
      </c>
      <c r="D198" s="97">
        <v>4970</v>
      </c>
      <c r="E198" s="99">
        <v>1493235</v>
      </c>
    </row>
    <row r="199" ht="14.25" spans="2:5">
      <c r="B199" s="98">
        <v>197</v>
      </c>
      <c r="C199" s="96">
        <v>730</v>
      </c>
      <c r="D199" s="97">
        <v>4970</v>
      </c>
      <c r="E199" s="99">
        <v>1498205</v>
      </c>
    </row>
    <row r="200" ht="14.25" spans="2:5">
      <c r="B200" s="98">
        <v>198</v>
      </c>
      <c r="C200" s="96">
        <v>730</v>
      </c>
      <c r="D200" s="97">
        <v>4970</v>
      </c>
      <c r="E200" s="99">
        <v>1503175</v>
      </c>
    </row>
    <row r="201" ht="14.25" spans="2:5">
      <c r="B201" s="98">
        <v>199</v>
      </c>
      <c r="C201" s="96">
        <v>730</v>
      </c>
      <c r="D201" s="97">
        <v>4970</v>
      </c>
      <c r="E201" s="99">
        <v>1508145</v>
      </c>
    </row>
    <row r="202" ht="14.25" spans="2:5">
      <c r="B202" s="98">
        <v>200</v>
      </c>
      <c r="C202" s="96">
        <v>730</v>
      </c>
      <c r="D202" s="97">
        <v>4970</v>
      </c>
      <c r="E202" s="99">
        <v>1513115</v>
      </c>
    </row>
    <row r="203" ht="14.25" spans="2:5">
      <c r="B203" s="98">
        <v>201</v>
      </c>
      <c r="C203" s="96">
        <v>730</v>
      </c>
      <c r="D203" s="97">
        <v>4970</v>
      </c>
      <c r="E203" s="99">
        <v>1518085</v>
      </c>
    </row>
    <row r="204" ht="14.25" spans="2:5">
      <c r="B204" s="98">
        <v>202</v>
      </c>
      <c r="C204" s="96">
        <v>730</v>
      </c>
      <c r="D204" s="97">
        <v>4970</v>
      </c>
      <c r="E204" s="99">
        <v>1523055</v>
      </c>
    </row>
    <row r="205" ht="14.25" spans="2:5">
      <c r="B205" s="98">
        <v>203</v>
      </c>
      <c r="C205" s="96">
        <v>730</v>
      </c>
      <c r="D205" s="97">
        <v>4970</v>
      </c>
      <c r="E205" s="99">
        <v>1528025</v>
      </c>
    </row>
    <row r="206" ht="14.25" spans="2:5">
      <c r="B206" s="98">
        <v>204</v>
      </c>
      <c r="C206" s="96">
        <v>730</v>
      </c>
      <c r="D206" s="97">
        <v>4970</v>
      </c>
      <c r="E206" s="99">
        <v>1532995</v>
      </c>
    </row>
    <row r="207" ht="14.25" spans="2:5">
      <c r="B207" s="98">
        <v>205</v>
      </c>
      <c r="C207" s="96">
        <v>730</v>
      </c>
      <c r="D207" s="97">
        <v>4970</v>
      </c>
      <c r="E207" s="99">
        <v>1537965</v>
      </c>
    </row>
    <row r="208" ht="14.25" spans="2:5">
      <c r="B208" s="98">
        <v>206</v>
      </c>
      <c r="C208" s="96">
        <v>730</v>
      </c>
      <c r="D208" s="97">
        <v>4970</v>
      </c>
      <c r="E208" s="99">
        <v>1542935</v>
      </c>
    </row>
    <row r="209" ht="14.25" spans="2:5">
      <c r="B209" s="98">
        <v>207</v>
      </c>
      <c r="C209" s="96">
        <v>730</v>
      </c>
      <c r="D209" s="97">
        <v>4970</v>
      </c>
      <c r="E209" s="99">
        <v>1547905</v>
      </c>
    </row>
    <row r="210" ht="14.25" spans="2:5">
      <c r="B210" s="98">
        <v>208</v>
      </c>
      <c r="C210" s="96">
        <v>730</v>
      </c>
      <c r="D210" s="97">
        <v>4970</v>
      </c>
      <c r="E210" s="99">
        <v>1552875</v>
      </c>
    </row>
    <row r="211" ht="14.25" spans="2:5">
      <c r="B211" s="98">
        <v>209</v>
      </c>
      <c r="C211" s="96">
        <v>730</v>
      </c>
      <c r="D211" s="97">
        <v>4970</v>
      </c>
      <c r="E211" s="99">
        <v>1557845</v>
      </c>
    </row>
    <row r="212" ht="14.25" spans="2:5">
      <c r="B212" s="98">
        <v>210</v>
      </c>
      <c r="C212" s="96">
        <v>730</v>
      </c>
      <c r="D212" s="97">
        <v>4970</v>
      </c>
      <c r="E212" s="99">
        <v>1562815</v>
      </c>
    </row>
    <row r="213" ht="14.25" spans="2:5">
      <c r="B213" s="98">
        <v>211</v>
      </c>
      <c r="C213" s="96">
        <v>730</v>
      </c>
      <c r="D213" s="97">
        <v>4970</v>
      </c>
      <c r="E213" s="99">
        <v>1567785</v>
      </c>
    </row>
    <row r="214" ht="14.25" spans="2:5">
      <c r="B214" s="98">
        <v>212</v>
      </c>
      <c r="C214" s="96">
        <v>730</v>
      </c>
      <c r="D214" s="97">
        <v>4970</v>
      </c>
      <c r="E214" s="99">
        <v>1572755</v>
      </c>
    </row>
    <row r="215" ht="14.25" spans="2:5">
      <c r="B215" s="98">
        <v>213</v>
      </c>
      <c r="C215" s="96">
        <v>730</v>
      </c>
      <c r="D215" s="97">
        <v>4970</v>
      </c>
      <c r="E215" s="99">
        <v>1577725</v>
      </c>
    </row>
    <row r="216" ht="14.25" spans="2:5">
      <c r="B216" s="98">
        <v>214</v>
      </c>
      <c r="C216" s="96">
        <v>730</v>
      </c>
      <c r="D216" s="97">
        <v>4970</v>
      </c>
      <c r="E216" s="99">
        <v>1582695</v>
      </c>
    </row>
    <row r="217" ht="14.25" spans="2:5">
      <c r="B217" s="98">
        <v>215</v>
      </c>
      <c r="C217" s="96">
        <v>730</v>
      </c>
      <c r="D217" s="97">
        <v>4970</v>
      </c>
      <c r="E217" s="99">
        <v>1587665</v>
      </c>
    </row>
    <row r="218" ht="14.25" spans="2:5">
      <c r="B218" s="98">
        <v>216</v>
      </c>
      <c r="C218" s="96">
        <v>730</v>
      </c>
      <c r="D218" s="97">
        <v>4970</v>
      </c>
      <c r="E218" s="99">
        <v>1592635</v>
      </c>
    </row>
    <row r="219" ht="14.25" spans="2:5">
      <c r="B219" s="98">
        <v>217</v>
      </c>
      <c r="C219" s="96">
        <v>730</v>
      </c>
      <c r="D219" s="97">
        <v>4970</v>
      </c>
      <c r="E219" s="99">
        <v>1597605</v>
      </c>
    </row>
    <row r="220" ht="14.25" spans="2:5">
      <c r="B220" s="98">
        <v>218</v>
      </c>
      <c r="C220" s="96">
        <v>730</v>
      </c>
      <c r="D220" s="97">
        <v>4970</v>
      </c>
      <c r="E220" s="99">
        <v>1602575</v>
      </c>
    </row>
    <row r="221" ht="14.25" spans="2:5">
      <c r="B221" s="98">
        <v>219</v>
      </c>
      <c r="C221" s="96">
        <v>730</v>
      </c>
      <c r="D221" s="97">
        <v>4970</v>
      </c>
      <c r="E221" s="99">
        <v>1607545</v>
      </c>
    </row>
    <row r="222" ht="14.25" spans="2:5">
      <c r="B222" s="98">
        <v>220</v>
      </c>
      <c r="C222" s="96">
        <v>730</v>
      </c>
      <c r="D222" s="97">
        <v>4970</v>
      </c>
      <c r="E222" s="99">
        <v>1612515</v>
      </c>
    </row>
    <row r="223" ht="14.25" spans="2:5">
      <c r="B223" s="98">
        <v>221</v>
      </c>
      <c r="C223" s="96">
        <v>730</v>
      </c>
      <c r="D223" s="97">
        <v>4970</v>
      </c>
      <c r="E223" s="99">
        <v>1617485</v>
      </c>
    </row>
    <row r="224" ht="14.25" spans="2:5">
      <c r="B224" s="98">
        <v>222</v>
      </c>
      <c r="C224" s="96">
        <v>730</v>
      </c>
      <c r="D224" s="97">
        <v>4970</v>
      </c>
      <c r="E224" s="99">
        <v>1622455</v>
      </c>
    </row>
    <row r="225" ht="14.25" spans="2:5">
      <c r="B225" s="98">
        <v>223</v>
      </c>
      <c r="C225" s="96">
        <v>730</v>
      </c>
      <c r="D225" s="97">
        <v>4970</v>
      </c>
      <c r="E225" s="99">
        <v>1627425</v>
      </c>
    </row>
    <row r="226" ht="14.25" spans="2:5">
      <c r="B226" s="98">
        <v>224</v>
      </c>
      <c r="C226" s="96">
        <v>730</v>
      </c>
      <c r="D226" s="97">
        <v>4970</v>
      </c>
      <c r="E226" s="99">
        <v>1632395</v>
      </c>
    </row>
    <row r="227" ht="14.25" spans="2:5">
      <c r="B227" s="98">
        <v>225</v>
      </c>
      <c r="C227" s="96">
        <v>730</v>
      </c>
      <c r="D227" s="97">
        <v>4970</v>
      </c>
      <c r="E227" s="99">
        <v>1637365</v>
      </c>
    </row>
    <row r="228" ht="14.25" spans="2:5">
      <c r="B228" s="98">
        <v>226</v>
      </c>
      <c r="C228" s="96">
        <v>730</v>
      </c>
      <c r="D228" s="97">
        <v>4970</v>
      </c>
      <c r="E228" s="99">
        <v>1642335</v>
      </c>
    </row>
    <row r="229" ht="14.25" spans="2:5">
      <c r="B229" s="98">
        <v>227</v>
      </c>
      <c r="C229" s="96">
        <v>730</v>
      </c>
      <c r="D229" s="97">
        <v>4970</v>
      </c>
      <c r="E229" s="99">
        <v>1647305</v>
      </c>
    </row>
    <row r="230" ht="14.25" spans="2:5">
      <c r="B230" s="98">
        <v>228</v>
      </c>
      <c r="C230" s="96">
        <v>730</v>
      </c>
      <c r="D230" s="97">
        <v>4970</v>
      </c>
      <c r="E230" s="99">
        <v>1652275</v>
      </c>
    </row>
    <row r="231" ht="14.25" spans="2:5">
      <c r="B231" s="98">
        <v>229</v>
      </c>
      <c r="C231" s="96">
        <v>730</v>
      </c>
      <c r="D231" s="97">
        <v>4970</v>
      </c>
      <c r="E231" s="99">
        <v>1657245</v>
      </c>
    </row>
    <row r="232" ht="14.25" spans="2:5">
      <c r="B232" s="98">
        <v>230</v>
      </c>
      <c r="C232" s="96">
        <v>730</v>
      </c>
      <c r="D232" s="97">
        <v>4970</v>
      </c>
      <c r="E232" s="99">
        <v>1662215</v>
      </c>
    </row>
    <row r="233" ht="14.25" spans="2:5">
      <c r="B233" s="98">
        <v>231</v>
      </c>
      <c r="C233" s="96">
        <v>730</v>
      </c>
      <c r="D233" s="97">
        <v>4970</v>
      </c>
      <c r="E233" s="99">
        <v>1667185</v>
      </c>
    </row>
    <row r="234" ht="14.25" spans="2:5">
      <c r="B234" s="98">
        <v>232</v>
      </c>
      <c r="C234" s="96">
        <v>730</v>
      </c>
      <c r="D234" s="97">
        <v>4970</v>
      </c>
      <c r="E234" s="99">
        <v>1672155</v>
      </c>
    </row>
    <row r="235" ht="14.25" spans="2:5">
      <c r="B235" s="98">
        <v>233</v>
      </c>
      <c r="C235" s="96">
        <v>730</v>
      </c>
      <c r="D235" s="97">
        <v>4970</v>
      </c>
      <c r="E235" s="99">
        <v>1677125</v>
      </c>
    </row>
    <row r="236" ht="14.25" spans="2:5">
      <c r="B236" s="98">
        <v>234</v>
      </c>
      <c r="C236" s="96">
        <v>730</v>
      </c>
      <c r="D236" s="97">
        <v>4970</v>
      </c>
      <c r="E236" s="99">
        <v>1682095</v>
      </c>
    </row>
    <row r="237" ht="14.25" spans="2:5">
      <c r="B237" s="98">
        <v>235</v>
      </c>
      <c r="C237" s="96">
        <v>730</v>
      </c>
      <c r="D237" s="97">
        <v>4970</v>
      </c>
      <c r="E237" s="99">
        <v>1687065</v>
      </c>
    </row>
    <row r="238" ht="14.25" spans="2:5">
      <c r="B238" s="98">
        <v>236</v>
      </c>
      <c r="C238" s="96">
        <v>730</v>
      </c>
      <c r="D238" s="97">
        <v>4970</v>
      </c>
      <c r="E238" s="99">
        <v>1692035</v>
      </c>
    </row>
    <row r="239" ht="14.25" spans="2:5">
      <c r="B239" s="98">
        <v>237</v>
      </c>
      <c r="C239" s="96">
        <v>730</v>
      </c>
      <c r="D239" s="97">
        <v>4970</v>
      </c>
      <c r="E239" s="99">
        <v>1697005</v>
      </c>
    </row>
    <row r="240" ht="14.25" spans="2:5">
      <c r="B240" s="98">
        <v>238</v>
      </c>
      <c r="C240" s="96">
        <v>730</v>
      </c>
      <c r="D240" s="97">
        <v>4970</v>
      </c>
      <c r="E240" s="99">
        <v>1701975</v>
      </c>
    </row>
    <row r="241" ht="14.25" spans="2:5">
      <c r="B241" s="98">
        <v>239</v>
      </c>
      <c r="C241" s="96">
        <v>730</v>
      </c>
      <c r="D241" s="97">
        <v>4970</v>
      </c>
      <c r="E241" s="99">
        <v>1706945</v>
      </c>
    </row>
    <row r="242" ht="14.25" spans="2:5">
      <c r="B242" s="98">
        <v>240</v>
      </c>
      <c r="C242" s="96">
        <v>730</v>
      </c>
      <c r="D242" s="97">
        <v>4970</v>
      </c>
      <c r="E242" s="99">
        <v>1711915</v>
      </c>
    </row>
    <row r="243" ht="14.25" spans="2:5">
      <c r="B243" s="98">
        <v>241</v>
      </c>
      <c r="C243" s="96">
        <v>730</v>
      </c>
      <c r="D243" s="97">
        <v>4970</v>
      </c>
      <c r="E243" s="99">
        <v>1716885</v>
      </c>
    </row>
    <row r="244" ht="14.25" spans="2:5">
      <c r="B244" s="98">
        <v>242</v>
      </c>
      <c r="C244" s="96">
        <v>730</v>
      </c>
      <c r="D244" s="97">
        <v>4970</v>
      </c>
      <c r="E244" s="99">
        <v>1721855</v>
      </c>
    </row>
    <row r="245" ht="14.25" spans="2:5">
      <c r="B245" s="98">
        <v>243</v>
      </c>
      <c r="C245" s="96">
        <v>730</v>
      </c>
      <c r="D245" s="97">
        <v>4970</v>
      </c>
      <c r="E245" s="99">
        <v>1726825</v>
      </c>
    </row>
    <row r="246" ht="14.25" spans="2:5">
      <c r="B246" s="98">
        <v>244</v>
      </c>
      <c r="C246" s="96">
        <v>730</v>
      </c>
      <c r="D246" s="97">
        <v>4970</v>
      </c>
      <c r="E246" s="99">
        <v>1731795</v>
      </c>
    </row>
    <row r="247" ht="14.25" spans="2:5">
      <c r="B247" s="98">
        <v>245</v>
      </c>
      <c r="C247" s="96">
        <v>730</v>
      </c>
      <c r="D247" s="97">
        <v>4970</v>
      </c>
      <c r="E247" s="99">
        <v>1736765</v>
      </c>
    </row>
    <row r="248" ht="14.25" spans="2:5">
      <c r="B248" s="98">
        <v>246</v>
      </c>
      <c r="C248" s="96">
        <v>730</v>
      </c>
      <c r="D248" s="97">
        <v>4970</v>
      </c>
      <c r="E248" s="99">
        <v>1741735</v>
      </c>
    </row>
    <row r="249" ht="14.25" spans="2:5">
      <c r="B249" s="98">
        <v>247</v>
      </c>
      <c r="C249" s="96">
        <v>730</v>
      </c>
      <c r="D249" s="97">
        <v>4970</v>
      </c>
      <c r="E249" s="99">
        <v>1746705</v>
      </c>
    </row>
    <row r="250" ht="14.25" spans="2:5">
      <c r="B250" s="98">
        <v>248</v>
      </c>
      <c r="C250" s="96">
        <v>730</v>
      </c>
      <c r="D250" s="97">
        <v>4970</v>
      </c>
      <c r="E250" s="99">
        <v>1751675</v>
      </c>
    </row>
    <row r="251" ht="14.25" spans="2:5">
      <c r="B251" s="98">
        <v>249</v>
      </c>
      <c r="C251" s="96">
        <v>730</v>
      </c>
      <c r="D251" s="97">
        <v>4970</v>
      </c>
      <c r="E251" s="99">
        <v>1756645</v>
      </c>
    </row>
    <row r="252" ht="14.25" spans="2:5">
      <c r="B252" s="98">
        <v>250</v>
      </c>
      <c r="C252" s="96">
        <v>730</v>
      </c>
      <c r="D252" s="97">
        <v>4970</v>
      </c>
      <c r="E252" s="99">
        <v>1761615</v>
      </c>
    </row>
    <row r="253" ht="14.25" spans="2:5">
      <c r="B253" s="98">
        <v>251</v>
      </c>
      <c r="C253" s="96">
        <v>730</v>
      </c>
      <c r="D253" s="97">
        <v>4970</v>
      </c>
      <c r="E253" s="99">
        <v>1766585</v>
      </c>
    </row>
    <row r="254" ht="14.25" spans="2:5">
      <c r="B254" s="98">
        <v>252</v>
      </c>
      <c r="C254" s="96">
        <v>730</v>
      </c>
      <c r="D254" s="97">
        <v>4970</v>
      </c>
      <c r="E254" s="99">
        <v>1771555</v>
      </c>
    </row>
    <row r="255" ht="14.25" spans="2:5">
      <c r="B255" s="98">
        <v>253</v>
      </c>
      <c r="C255" s="96">
        <v>730</v>
      </c>
      <c r="D255" s="97">
        <v>4970</v>
      </c>
      <c r="E255" s="99">
        <v>1776525</v>
      </c>
    </row>
    <row r="256" ht="14.25" spans="2:5">
      <c r="B256" s="98">
        <v>254</v>
      </c>
      <c r="C256" s="96">
        <v>730</v>
      </c>
      <c r="D256" s="97">
        <v>4970</v>
      </c>
      <c r="E256" s="99">
        <v>1781495</v>
      </c>
    </row>
    <row r="257" ht="14.25" spans="2:5">
      <c r="B257" s="98">
        <v>255</v>
      </c>
      <c r="C257" s="96">
        <v>730</v>
      </c>
      <c r="D257" s="97">
        <v>4970</v>
      </c>
      <c r="E257" s="99">
        <v>1786465</v>
      </c>
    </row>
    <row r="258" ht="14.25" spans="2:5">
      <c r="B258" s="98">
        <v>256</v>
      </c>
      <c r="C258" s="96">
        <v>730</v>
      </c>
      <c r="D258" s="97">
        <v>4970</v>
      </c>
      <c r="E258" s="99">
        <v>1791435</v>
      </c>
    </row>
    <row r="259" ht="14.25" spans="2:5">
      <c r="B259" s="98">
        <v>257</v>
      </c>
      <c r="C259" s="96">
        <v>730</v>
      </c>
      <c r="D259" s="97">
        <v>4970</v>
      </c>
      <c r="E259" s="99">
        <v>1796405</v>
      </c>
    </row>
    <row r="260" ht="14.25" spans="2:5">
      <c r="B260" s="98">
        <v>258</v>
      </c>
      <c r="C260" s="96">
        <v>730</v>
      </c>
      <c r="D260" s="97">
        <v>4970</v>
      </c>
      <c r="E260" s="99">
        <v>1801375</v>
      </c>
    </row>
    <row r="261" ht="14.25" spans="2:5">
      <c r="B261" s="98">
        <v>259</v>
      </c>
      <c r="C261" s="96">
        <v>730</v>
      </c>
      <c r="D261" s="97">
        <v>4970</v>
      </c>
      <c r="E261" s="99">
        <v>1806345</v>
      </c>
    </row>
    <row r="262" ht="14.25" spans="2:5">
      <c r="B262" s="98">
        <v>260</v>
      </c>
      <c r="C262" s="96">
        <v>730</v>
      </c>
      <c r="D262" s="97">
        <v>4970</v>
      </c>
      <c r="E262" s="99">
        <v>1811315</v>
      </c>
    </row>
    <row r="263" ht="14.25" spans="2:5">
      <c r="B263" s="98">
        <v>261</v>
      </c>
      <c r="C263" s="96">
        <v>730</v>
      </c>
      <c r="D263" s="97">
        <v>4970</v>
      </c>
      <c r="E263" s="99">
        <v>1816285</v>
      </c>
    </row>
    <row r="264" ht="14.25" spans="2:5">
      <c r="B264" s="98">
        <v>262</v>
      </c>
      <c r="C264" s="96">
        <v>730</v>
      </c>
      <c r="D264" s="97">
        <v>4970</v>
      </c>
      <c r="E264" s="99">
        <v>1821255</v>
      </c>
    </row>
    <row r="265" ht="14.25" spans="2:5">
      <c r="B265" s="98">
        <v>263</v>
      </c>
      <c r="C265" s="96">
        <v>730</v>
      </c>
      <c r="D265" s="97">
        <v>4970</v>
      </c>
      <c r="E265" s="99">
        <v>1826225</v>
      </c>
    </row>
    <row r="266" ht="14.25" spans="2:5">
      <c r="B266" s="98">
        <v>264</v>
      </c>
      <c r="C266" s="96">
        <v>730</v>
      </c>
      <c r="D266" s="97">
        <v>4970</v>
      </c>
      <c r="E266" s="99">
        <v>1831195</v>
      </c>
    </row>
    <row r="267" ht="14.25" spans="2:5">
      <c r="B267" s="98">
        <v>265</v>
      </c>
      <c r="C267" s="96">
        <v>730</v>
      </c>
      <c r="D267" s="97">
        <v>4970</v>
      </c>
      <c r="E267" s="99">
        <v>1836165</v>
      </c>
    </row>
    <row r="268" ht="14.25" spans="2:5">
      <c r="B268" s="98">
        <v>266</v>
      </c>
      <c r="C268" s="96">
        <v>730</v>
      </c>
      <c r="D268" s="97">
        <v>4970</v>
      </c>
      <c r="E268" s="99">
        <v>1841135</v>
      </c>
    </row>
    <row r="269" ht="14.25" spans="2:5">
      <c r="B269" s="98">
        <v>267</v>
      </c>
      <c r="C269" s="96">
        <v>730</v>
      </c>
      <c r="D269" s="97">
        <v>4970</v>
      </c>
      <c r="E269" s="99">
        <v>1846105</v>
      </c>
    </row>
    <row r="270" ht="14.25" spans="2:5">
      <c r="B270" s="98">
        <v>268</v>
      </c>
      <c r="C270" s="96">
        <v>730</v>
      </c>
      <c r="D270" s="97">
        <v>4970</v>
      </c>
      <c r="E270" s="99">
        <v>1851075</v>
      </c>
    </row>
    <row r="271" ht="14.25" spans="2:5">
      <c r="B271" s="98">
        <v>269</v>
      </c>
      <c r="C271" s="96">
        <v>730</v>
      </c>
      <c r="D271" s="97">
        <v>4970</v>
      </c>
      <c r="E271" s="99">
        <v>1856045</v>
      </c>
    </row>
    <row r="272" ht="14.25" spans="2:5">
      <c r="B272" s="98">
        <v>270</v>
      </c>
      <c r="C272" s="96">
        <v>730</v>
      </c>
      <c r="D272" s="97">
        <v>4970</v>
      </c>
      <c r="E272" s="99">
        <v>1861015</v>
      </c>
    </row>
    <row r="273" ht="14.25" spans="2:5">
      <c r="B273" s="98">
        <v>271</v>
      </c>
      <c r="C273" s="96">
        <v>730</v>
      </c>
      <c r="D273" s="97">
        <v>4970</v>
      </c>
      <c r="E273" s="99">
        <v>1865985</v>
      </c>
    </row>
    <row r="274" ht="14.25" spans="2:5">
      <c r="B274" s="98">
        <v>272</v>
      </c>
      <c r="C274" s="96">
        <v>730</v>
      </c>
      <c r="D274" s="97">
        <v>4970</v>
      </c>
      <c r="E274" s="99">
        <v>1870955</v>
      </c>
    </row>
    <row r="275" ht="14.25" spans="2:5">
      <c r="B275" s="98">
        <v>273</v>
      </c>
      <c r="C275" s="96">
        <v>730</v>
      </c>
      <c r="D275" s="97">
        <v>4970</v>
      </c>
      <c r="E275" s="99">
        <v>1875925</v>
      </c>
    </row>
    <row r="276" ht="14.25" spans="2:5">
      <c r="B276" s="98">
        <v>274</v>
      </c>
      <c r="C276" s="96">
        <v>730</v>
      </c>
      <c r="D276" s="97">
        <v>4970</v>
      </c>
      <c r="E276" s="99">
        <v>1880895</v>
      </c>
    </row>
    <row r="277" ht="14.25" spans="2:5">
      <c r="B277" s="98">
        <v>275</v>
      </c>
      <c r="C277" s="96">
        <v>730</v>
      </c>
      <c r="D277" s="97">
        <v>4970</v>
      </c>
      <c r="E277" s="99">
        <v>1885865</v>
      </c>
    </row>
    <row r="278" ht="14.25" spans="2:5">
      <c r="B278" s="98">
        <v>276</v>
      </c>
      <c r="C278" s="96">
        <v>730</v>
      </c>
      <c r="D278" s="97">
        <v>4970</v>
      </c>
      <c r="E278" s="99">
        <v>1890835</v>
      </c>
    </row>
    <row r="279" ht="14.25" spans="2:5">
      <c r="B279" s="98">
        <v>277</v>
      </c>
      <c r="C279" s="96">
        <v>730</v>
      </c>
      <c r="D279" s="97">
        <v>4970</v>
      </c>
      <c r="E279" s="99">
        <v>1895805</v>
      </c>
    </row>
    <row r="280" ht="14.25" spans="2:5">
      <c r="B280" s="98">
        <v>278</v>
      </c>
      <c r="C280" s="96">
        <v>730</v>
      </c>
      <c r="D280" s="97">
        <v>4970</v>
      </c>
      <c r="E280" s="99">
        <v>1900775</v>
      </c>
    </row>
    <row r="281" ht="14.25" spans="2:5">
      <c r="B281" s="98">
        <v>279</v>
      </c>
      <c r="C281" s="96">
        <v>730</v>
      </c>
      <c r="D281" s="97">
        <v>4970</v>
      </c>
      <c r="E281" s="99">
        <v>1905745</v>
      </c>
    </row>
    <row r="282" ht="14.25" spans="2:5">
      <c r="B282" s="98">
        <v>280</v>
      </c>
      <c r="C282" s="96">
        <v>730</v>
      </c>
      <c r="D282" s="97">
        <v>4970</v>
      </c>
      <c r="E282" s="99">
        <v>1910715</v>
      </c>
    </row>
    <row r="283" ht="14.25" spans="2:5">
      <c r="B283" s="98">
        <v>281</v>
      </c>
      <c r="C283" s="96">
        <v>730</v>
      </c>
      <c r="D283" s="97">
        <v>4970</v>
      </c>
      <c r="E283" s="99">
        <v>1915685</v>
      </c>
    </row>
    <row r="284" ht="14.25" spans="2:5">
      <c r="B284" s="98">
        <v>282</v>
      </c>
      <c r="C284" s="96">
        <v>730</v>
      </c>
      <c r="D284" s="97">
        <v>4970</v>
      </c>
      <c r="E284" s="99">
        <v>1920655</v>
      </c>
    </row>
    <row r="285" ht="14.25" spans="2:5">
      <c r="B285" s="98">
        <v>283</v>
      </c>
      <c r="C285" s="96">
        <v>730</v>
      </c>
      <c r="D285" s="97">
        <v>4970</v>
      </c>
      <c r="E285" s="99">
        <v>1925625</v>
      </c>
    </row>
    <row r="286" ht="14.25" spans="2:5">
      <c r="B286" s="98">
        <v>284</v>
      </c>
      <c r="C286" s="96">
        <v>730</v>
      </c>
      <c r="D286" s="97">
        <v>4970</v>
      </c>
      <c r="E286" s="99">
        <v>1930595</v>
      </c>
    </row>
    <row r="287" ht="14.25" spans="2:5">
      <c r="B287" s="98">
        <v>285</v>
      </c>
      <c r="C287" s="96">
        <v>730</v>
      </c>
      <c r="D287" s="97">
        <v>4970</v>
      </c>
      <c r="E287" s="99">
        <v>1935565</v>
      </c>
    </row>
    <row r="288" ht="14.25" spans="2:5">
      <c r="B288" s="98">
        <v>286</v>
      </c>
      <c r="C288" s="96">
        <v>730</v>
      </c>
      <c r="D288" s="97">
        <v>4970</v>
      </c>
      <c r="E288" s="99">
        <v>1940535</v>
      </c>
    </row>
    <row r="289" ht="14.25" spans="2:5">
      <c r="B289" s="98">
        <v>287</v>
      </c>
      <c r="C289" s="96">
        <v>730</v>
      </c>
      <c r="D289" s="97">
        <v>4970</v>
      </c>
      <c r="E289" s="99">
        <v>1945505</v>
      </c>
    </row>
    <row r="290" ht="14.25" spans="2:5">
      <c r="B290" s="98">
        <v>288</v>
      </c>
      <c r="C290" s="96">
        <v>730</v>
      </c>
      <c r="D290" s="97">
        <v>4970</v>
      </c>
      <c r="E290" s="99">
        <v>1950475</v>
      </c>
    </row>
    <row r="291" ht="14.25" spans="2:5">
      <c r="B291" s="98">
        <v>289</v>
      </c>
      <c r="C291" s="96">
        <v>730</v>
      </c>
      <c r="D291" s="97">
        <v>4970</v>
      </c>
      <c r="E291" s="99">
        <v>1955445</v>
      </c>
    </row>
    <row r="292" ht="14.25" spans="2:5">
      <c r="B292" s="98">
        <v>290</v>
      </c>
      <c r="C292" s="96">
        <v>730</v>
      </c>
      <c r="D292" s="97">
        <v>4970</v>
      </c>
      <c r="E292" s="99">
        <v>1960415</v>
      </c>
    </row>
    <row r="293" ht="14.25" spans="2:5">
      <c r="B293" s="98">
        <v>291</v>
      </c>
      <c r="C293" s="96">
        <v>730</v>
      </c>
      <c r="D293" s="97">
        <v>4970</v>
      </c>
      <c r="E293" s="99">
        <v>1965385</v>
      </c>
    </row>
    <row r="294" ht="14.25" spans="2:5">
      <c r="B294" s="98">
        <v>292</v>
      </c>
      <c r="C294" s="96">
        <v>730</v>
      </c>
      <c r="D294" s="97">
        <v>4970</v>
      </c>
      <c r="E294" s="99">
        <v>1970355</v>
      </c>
    </row>
    <row r="295" ht="14.25" spans="2:5">
      <c r="B295" s="98">
        <v>293</v>
      </c>
      <c r="C295" s="96">
        <v>730</v>
      </c>
      <c r="D295" s="97">
        <v>4970</v>
      </c>
      <c r="E295" s="99">
        <v>1975325</v>
      </c>
    </row>
    <row r="296" ht="14.25" spans="2:5">
      <c r="B296" s="98">
        <v>294</v>
      </c>
      <c r="C296" s="96">
        <v>730</v>
      </c>
      <c r="D296" s="97">
        <v>4970</v>
      </c>
      <c r="E296" s="99">
        <v>1980295</v>
      </c>
    </row>
    <row r="297" ht="14.25" spans="2:5">
      <c r="B297" s="98">
        <v>295</v>
      </c>
      <c r="C297" s="96">
        <v>730</v>
      </c>
      <c r="D297" s="97">
        <v>4970</v>
      </c>
      <c r="E297" s="99">
        <v>1985265</v>
      </c>
    </row>
    <row r="298" ht="14.25" spans="2:5">
      <c r="B298" s="98">
        <v>296</v>
      </c>
      <c r="C298" s="96">
        <v>730</v>
      </c>
      <c r="D298" s="97">
        <v>4970</v>
      </c>
      <c r="E298" s="99">
        <v>1990235</v>
      </c>
    </row>
    <row r="299" ht="14.25" spans="2:5">
      <c r="B299" s="98">
        <v>297</v>
      </c>
      <c r="C299" s="96">
        <v>730</v>
      </c>
      <c r="D299" s="97">
        <v>4970</v>
      </c>
      <c r="E299" s="99">
        <v>1995205</v>
      </c>
    </row>
    <row r="300" ht="14.25" spans="2:5">
      <c r="B300" s="98">
        <v>298</v>
      </c>
      <c r="C300" s="96">
        <v>730</v>
      </c>
      <c r="D300" s="97">
        <v>4970</v>
      </c>
      <c r="E300" s="99">
        <v>2000175</v>
      </c>
    </row>
    <row r="301" ht="14.25" spans="2:5">
      <c r="B301" s="98">
        <v>299</v>
      </c>
      <c r="C301" s="96">
        <v>730</v>
      </c>
      <c r="D301" s="97">
        <v>4970</v>
      </c>
      <c r="E301" s="99">
        <v>2005145</v>
      </c>
    </row>
    <row r="302" ht="14.25" spans="2:5">
      <c r="B302" s="98">
        <v>300</v>
      </c>
      <c r="C302" s="96">
        <v>730</v>
      </c>
      <c r="D302" s="97">
        <v>4970</v>
      </c>
      <c r="E302" s="99">
        <v>2010115</v>
      </c>
    </row>
    <row r="303" ht="14.25" spans="2:5">
      <c r="B303" s="101"/>
      <c r="C303" s="102">
        <v>730</v>
      </c>
      <c r="D303" s="101"/>
      <c r="E303" s="101"/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4"/>
  </sheetPr>
  <dimension ref="B3:V303"/>
  <sheetViews>
    <sheetView workbookViewId="0">
      <selection activeCell="H39" sqref="H39"/>
    </sheetView>
  </sheetViews>
  <sheetFormatPr defaultColWidth="9" defaultRowHeight="13.5"/>
  <cols>
    <col min="4" max="4" width="9.25"/>
  </cols>
  <sheetData>
    <row r="3" ht="18" spans="2:22">
      <c r="B3" s="84" t="s">
        <v>74</v>
      </c>
      <c r="C3" s="84" t="s">
        <v>104</v>
      </c>
      <c r="D3" s="84" t="s">
        <v>105</v>
      </c>
      <c r="E3" s="84" t="s">
        <v>106</v>
      </c>
      <c r="F3" s="84" t="s">
        <v>107</v>
      </c>
      <c r="G3" s="84" t="s">
        <v>108</v>
      </c>
      <c r="H3" s="84" t="s">
        <v>109</v>
      </c>
      <c r="J3" s="85" t="s">
        <v>110</v>
      </c>
      <c r="K3" s="85" t="s">
        <v>74</v>
      </c>
      <c r="L3" s="85" t="s">
        <v>111</v>
      </c>
      <c r="M3" s="85" t="s">
        <v>75</v>
      </c>
      <c r="N3" s="85" t="s">
        <v>112</v>
      </c>
      <c r="O3" s="85" t="s">
        <v>104</v>
      </c>
      <c r="P3" s="85" t="s">
        <v>105</v>
      </c>
      <c r="R3" s="86" t="s">
        <v>110</v>
      </c>
      <c r="S3" s="87" t="s">
        <v>74</v>
      </c>
      <c r="U3" s="86" t="s">
        <v>113</v>
      </c>
      <c r="V3" s="87" t="s">
        <v>114</v>
      </c>
    </row>
    <row r="4" ht="18" spans="2:22">
      <c r="B4" s="88">
        <v>1</v>
      </c>
      <c r="C4" s="88">
        <v>30</v>
      </c>
      <c r="D4" s="89">
        <v>3</v>
      </c>
      <c r="E4" s="88">
        <v>5</v>
      </c>
      <c r="F4" s="88">
        <v>600</v>
      </c>
      <c r="G4" s="88">
        <v>5</v>
      </c>
      <c r="H4" s="88">
        <v>600</v>
      </c>
      <c r="J4" s="90">
        <v>1</v>
      </c>
      <c r="K4" s="90">
        <v>0</v>
      </c>
      <c r="L4" s="90" t="s">
        <v>115</v>
      </c>
      <c r="M4" s="90" t="s">
        <v>116</v>
      </c>
      <c r="N4" s="91">
        <f t="shared" ref="N4:N67" si="0">MATCH(M4,$M$4:$M$11,0)</f>
        <v>1</v>
      </c>
      <c r="O4" s="91">
        <v>167</v>
      </c>
      <c r="P4" s="91">
        <v>16</v>
      </c>
      <c r="R4" s="92">
        <v>1</v>
      </c>
      <c r="S4" s="93">
        <v>1</v>
      </c>
      <c r="U4" s="92">
        <v>1</v>
      </c>
      <c r="V4" s="94"/>
    </row>
    <row r="5" ht="18" spans="2:22">
      <c r="B5" s="88">
        <v>2</v>
      </c>
      <c r="C5" s="88">
        <v>60</v>
      </c>
      <c r="D5" s="89">
        <v>6</v>
      </c>
      <c r="E5" s="88">
        <v>8</v>
      </c>
      <c r="F5" s="88">
        <v>600</v>
      </c>
      <c r="G5" s="88">
        <v>13</v>
      </c>
      <c r="H5" s="88">
        <v>1200</v>
      </c>
      <c r="J5" s="90">
        <v>2</v>
      </c>
      <c r="K5" s="90">
        <v>0</v>
      </c>
      <c r="L5" s="90" t="s">
        <v>115</v>
      </c>
      <c r="M5" s="90" t="s">
        <v>117</v>
      </c>
      <c r="N5" s="91">
        <f t="shared" si="0"/>
        <v>2</v>
      </c>
      <c r="O5" s="91">
        <v>208</v>
      </c>
      <c r="P5" s="91">
        <v>20</v>
      </c>
      <c r="R5" s="92">
        <v>2</v>
      </c>
      <c r="S5" s="93">
        <f>6/6+6/5</f>
        <v>2.2</v>
      </c>
      <c r="U5" s="92">
        <v>2</v>
      </c>
      <c r="V5" s="94"/>
    </row>
    <row r="6" ht="18" spans="2:22">
      <c r="B6" s="88">
        <v>3</v>
      </c>
      <c r="C6" s="88">
        <v>90</v>
      </c>
      <c r="D6" s="89">
        <v>9</v>
      </c>
      <c r="E6" s="88">
        <v>11</v>
      </c>
      <c r="F6" s="88">
        <v>600</v>
      </c>
      <c r="G6" s="88">
        <v>24</v>
      </c>
      <c r="H6" s="88">
        <v>1800</v>
      </c>
      <c r="J6" s="90">
        <v>3</v>
      </c>
      <c r="K6" s="90">
        <v>0</v>
      </c>
      <c r="L6" s="90" t="s">
        <v>115</v>
      </c>
      <c r="M6" s="90" t="s">
        <v>118</v>
      </c>
      <c r="N6" s="91">
        <f t="shared" si="0"/>
        <v>3</v>
      </c>
      <c r="O6" s="91">
        <v>250</v>
      </c>
      <c r="P6" s="91">
        <v>25</v>
      </c>
      <c r="R6" s="92">
        <v>3</v>
      </c>
      <c r="S6" s="93">
        <f>6/6+6/5+6/4</f>
        <v>3.7</v>
      </c>
      <c r="U6" s="92">
        <v>3</v>
      </c>
      <c r="V6" s="94"/>
    </row>
    <row r="7" ht="18" spans="2:22">
      <c r="B7" s="88">
        <v>4</v>
      </c>
      <c r="C7" s="88">
        <v>120</v>
      </c>
      <c r="D7" s="89">
        <v>12</v>
      </c>
      <c r="E7" s="88">
        <v>14</v>
      </c>
      <c r="F7" s="88">
        <v>900</v>
      </c>
      <c r="G7" s="88">
        <v>38</v>
      </c>
      <c r="H7" s="88">
        <v>2700</v>
      </c>
      <c r="J7" s="90">
        <v>4</v>
      </c>
      <c r="K7" s="90">
        <v>0</v>
      </c>
      <c r="L7" s="90" t="s">
        <v>115</v>
      </c>
      <c r="M7" s="90" t="s">
        <v>119</v>
      </c>
      <c r="N7" s="91">
        <f t="shared" si="0"/>
        <v>4</v>
      </c>
      <c r="O7" s="91">
        <v>300</v>
      </c>
      <c r="P7" s="91">
        <v>30</v>
      </c>
      <c r="R7" s="92">
        <v>4</v>
      </c>
      <c r="S7" s="93">
        <f>S6+6/3</f>
        <v>5.7</v>
      </c>
      <c r="U7" s="92">
        <v>4</v>
      </c>
      <c r="V7" s="94"/>
    </row>
    <row r="8" ht="18" spans="2:22">
      <c r="B8" s="88">
        <v>5</v>
      </c>
      <c r="C8" s="88">
        <v>150</v>
      </c>
      <c r="D8" s="89">
        <v>15</v>
      </c>
      <c r="E8" s="88">
        <v>17</v>
      </c>
      <c r="F8" s="88">
        <v>900</v>
      </c>
      <c r="G8" s="88">
        <v>55</v>
      </c>
      <c r="H8" s="88">
        <v>3600</v>
      </c>
      <c r="J8" s="90">
        <v>5</v>
      </c>
      <c r="K8" s="90">
        <v>0</v>
      </c>
      <c r="L8" s="90" t="s">
        <v>115</v>
      </c>
      <c r="M8" s="90" t="s">
        <v>120</v>
      </c>
      <c r="N8" s="91">
        <f t="shared" si="0"/>
        <v>5</v>
      </c>
      <c r="O8" s="91">
        <v>361</v>
      </c>
      <c r="P8" s="91">
        <v>36</v>
      </c>
      <c r="R8" s="92">
        <v>5</v>
      </c>
      <c r="S8" s="93">
        <f>S7+6/2</f>
        <v>8.7</v>
      </c>
      <c r="U8" s="92">
        <v>5</v>
      </c>
      <c r="V8" s="94">
        <v>0.03376</v>
      </c>
    </row>
    <row r="9" ht="18" spans="2:22">
      <c r="B9" s="88">
        <v>6</v>
      </c>
      <c r="C9" s="88">
        <v>180</v>
      </c>
      <c r="D9" s="89">
        <v>18</v>
      </c>
      <c r="E9" s="88">
        <v>20</v>
      </c>
      <c r="F9" s="88">
        <v>900</v>
      </c>
      <c r="G9" s="88">
        <v>75</v>
      </c>
      <c r="H9" s="88">
        <v>4500</v>
      </c>
      <c r="J9" s="90">
        <v>6</v>
      </c>
      <c r="K9" s="90">
        <v>0</v>
      </c>
      <c r="L9" s="90" t="s">
        <v>115</v>
      </c>
      <c r="M9" s="90" t="s">
        <v>121</v>
      </c>
      <c r="N9" s="91">
        <f t="shared" si="0"/>
        <v>6</v>
      </c>
      <c r="O9" s="91">
        <v>445</v>
      </c>
      <c r="P9" s="91">
        <v>44</v>
      </c>
      <c r="R9" s="92">
        <v>6</v>
      </c>
      <c r="S9" s="93">
        <f>S8+6/1</f>
        <v>14.7</v>
      </c>
      <c r="U9" s="92">
        <v>6</v>
      </c>
      <c r="V9" s="94">
        <v>0.04824</v>
      </c>
    </row>
    <row r="10" ht="18" spans="2:22">
      <c r="B10" s="88">
        <v>7</v>
      </c>
      <c r="C10" s="88">
        <v>210</v>
      </c>
      <c r="D10" s="89">
        <v>21</v>
      </c>
      <c r="E10" s="88">
        <v>23</v>
      </c>
      <c r="F10" s="88">
        <v>900</v>
      </c>
      <c r="G10" s="88">
        <v>98</v>
      </c>
      <c r="H10" s="88">
        <v>5400</v>
      </c>
      <c r="J10" s="90">
        <v>7</v>
      </c>
      <c r="K10" s="90">
        <v>0</v>
      </c>
      <c r="L10" s="90" t="s">
        <v>115</v>
      </c>
      <c r="M10" s="90" t="s">
        <v>122</v>
      </c>
      <c r="N10" s="91">
        <f t="shared" si="0"/>
        <v>7</v>
      </c>
      <c r="O10" s="91">
        <v>695</v>
      </c>
      <c r="P10" s="91">
        <v>69</v>
      </c>
      <c r="R10" s="92"/>
      <c r="S10" s="93"/>
      <c r="U10" s="92">
        <v>7</v>
      </c>
      <c r="V10" s="94">
        <v>0.05352</v>
      </c>
    </row>
    <row r="11" ht="18" spans="2:22">
      <c r="B11" s="88">
        <v>8</v>
      </c>
      <c r="C11" s="88">
        <v>240</v>
      </c>
      <c r="D11" s="89">
        <v>24</v>
      </c>
      <c r="E11" s="88">
        <v>26</v>
      </c>
      <c r="F11" s="88">
        <v>900</v>
      </c>
      <c r="G11" s="88">
        <v>124</v>
      </c>
      <c r="H11" s="88">
        <v>6300</v>
      </c>
      <c r="J11" s="90">
        <v>8</v>
      </c>
      <c r="K11" s="90">
        <v>0</v>
      </c>
      <c r="L11" s="90" t="s">
        <v>115</v>
      </c>
      <c r="M11" s="90" t="s">
        <v>123</v>
      </c>
      <c r="N11" s="91">
        <f t="shared" si="0"/>
        <v>8</v>
      </c>
      <c r="O11" s="91">
        <v>835</v>
      </c>
      <c r="P11" s="91">
        <v>83</v>
      </c>
      <c r="U11" s="92">
        <v>8</v>
      </c>
      <c r="V11" s="94">
        <v>0.06248</v>
      </c>
    </row>
    <row r="12" ht="17.25" spans="2:22">
      <c r="B12" s="88">
        <v>9</v>
      </c>
      <c r="C12" s="88">
        <v>270</v>
      </c>
      <c r="D12" s="89">
        <v>27</v>
      </c>
      <c r="E12" s="88">
        <v>29</v>
      </c>
      <c r="F12" s="88">
        <v>900</v>
      </c>
      <c r="G12" s="88">
        <v>153</v>
      </c>
      <c r="H12" s="88">
        <v>7200</v>
      </c>
      <c r="J12" s="90">
        <v>9</v>
      </c>
      <c r="K12" s="90">
        <v>1</v>
      </c>
      <c r="L12" s="90" t="s">
        <v>115</v>
      </c>
      <c r="M12" s="90" t="s">
        <v>116</v>
      </c>
      <c r="N12" s="91">
        <f t="shared" si="0"/>
        <v>1</v>
      </c>
      <c r="O12" s="91">
        <v>167</v>
      </c>
      <c r="P12" s="91">
        <v>16</v>
      </c>
    </row>
    <row r="13" ht="17.25" spans="2:22">
      <c r="B13" s="88">
        <v>10</v>
      </c>
      <c r="C13" s="88">
        <v>310</v>
      </c>
      <c r="D13" s="89">
        <v>31</v>
      </c>
      <c r="E13" s="88">
        <v>32</v>
      </c>
      <c r="F13" s="88">
        <v>1200</v>
      </c>
      <c r="G13" s="88">
        <v>185</v>
      </c>
      <c r="H13" s="88">
        <v>8400</v>
      </c>
      <c r="J13" s="90">
        <v>10</v>
      </c>
      <c r="K13" s="90">
        <v>1</v>
      </c>
      <c r="L13" s="90" t="s">
        <v>115</v>
      </c>
      <c r="M13" s="90" t="s">
        <v>117</v>
      </c>
      <c r="N13" s="91">
        <f t="shared" si="0"/>
        <v>2</v>
      </c>
      <c r="O13" s="91">
        <v>208</v>
      </c>
      <c r="P13" s="91">
        <v>20</v>
      </c>
    </row>
    <row r="14" ht="17.25" spans="2:22">
      <c r="B14" s="88">
        <v>11</v>
      </c>
      <c r="C14" s="88">
        <v>350</v>
      </c>
      <c r="D14" s="89">
        <v>35</v>
      </c>
      <c r="E14" s="88">
        <v>35</v>
      </c>
      <c r="F14" s="88">
        <v>1200</v>
      </c>
      <c r="G14" s="88">
        <v>220</v>
      </c>
      <c r="H14" s="88">
        <v>9600</v>
      </c>
      <c r="J14" s="90">
        <v>11</v>
      </c>
      <c r="K14" s="90">
        <v>1</v>
      </c>
      <c r="L14" s="90" t="s">
        <v>115</v>
      </c>
      <c r="M14" s="90" t="s">
        <v>118</v>
      </c>
      <c r="N14" s="91">
        <f t="shared" si="0"/>
        <v>3</v>
      </c>
      <c r="O14" s="91">
        <v>250</v>
      </c>
      <c r="P14" s="91">
        <v>25</v>
      </c>
    </row>
    <row r="15" ht="17.25" spans="2:22">
      <c r="B15" s="88">
        <v>12</v>
      </c>
      <c r="C15" s="88">
        <v>390</v>
      </c>
      <c r="D15" s="89">
        <v>39</v>
      </c>
      <c r="E15" s="88">
        <v>38</v>
      </c>
      <c r="F15" s="88">
        <v>1200</v>
      </c>
      <c r="G15" s="88">
        <v>258</v>
      </c>
      <c r="H15" s="88">
        <v>10800</v>
      </c>
      <c r="J15" s="90">
        <v>12</v>
      </c>
      <c r="K15" s="90">
        <v>1</v>
      </c>
      <c r="L15" s="90" t="s">
        <v>115</v>
      </c>
      <c r="M15" s="90" t="s">
        <v>119</v>
      </c>
      <c r="N15" s="91">
        <f t="shared" si="0"/>
        <v>4</v>
      </c>
      <c r="O15" s="91">
        <v>300</v>
      </c>
      <c r="P15" s="91">
        <v>30</v>
      </c>
    </row>
    <row r="16" ht="17.25" spans="2:22">
      <c r="B16" s="88">
        <v>13</v>
      </c>
      <c r="C16" s="88">
        <v>430</v>
      </c>
      <c r="D16" s="89">
        <v>43</v>
      </c>
      <c r="E16" s="88">
        <v>41</v>
      </c>
      <c r="F16" s="88">
        <v>1200</v>
      </c>
      <c r="G16" s="88">
        <v>299</v>
      </c>
      <c r="H16" s="88">
        <v>12000</v>
      </c>
      <c r="J16" s="90">
        <v>13</v>
      </c>
      <c r="K16" s="90">
        <v>1</v>
      </c>
      <c r="L16" s="90" t="s">
        <v>115</v>
      </c>
      <c r="M16" s="90" t="s">
        <v>120</v>
      </c>
      <c r="N16" s="91">
        <f t="shared" si="0"/>
        <v>5</v>
      </c>
      <c r="O16" s="91">
        <v>361</v>
      </c>
      <c r="P16" s="91">
        <v>36</v>
      </c>
    </row>
    <row r="17" ht="17.25" spans="2:16">
      <c r="B17" s="88">
        <v>14</v>
      </c>
      <c r="C17" s="88">
        <v>470</v>
      </c>
      <c r="D17" s="89">
        <v>47</v>
      </c>
      <c r="E17" s="88">
        <v>44</v>
      </c>
      <c r="F17" s="88">
        <v>1200</v>
      </c>
      <c r="G17" s="88">
        <v>343</v>
      </c>
      <c r="H17" s="88">
        <v>13200</v>
      </c>
      <c r="J17" s="90">
        <v>14</v>
      </c>
      <c r="K17" s="90">
        <v>1</v>
      </c>
      <c r="L17" s="90" t="s">
        <v>115</v>
      </c>
      <c r="M17" s="90" t="s">
        <v>121</v>
      </c>
      <c r="N17" s="91">
        <f t="shared" si="0"/>
        <v>6</v>
      </c>
      <c r="O17" s="91">
        <v>445</v>
      </c>
      <c r="P17" s="91">
        <v>44</v>
      </c>
    </row>
    <row r="18" ht="17.25" spans="2:16">
      <c r="B18" s="88">
        <v>15</v>
      </c>
      <c r="C18" s="88">
        <v>510</v>
      </c>
      <c r="D18" s="89">
        <v>51</v>
      </c>
      <c r="E18" s="88">
        <v>47</v>
      </c>
      <c r="F18" s="88">
        <v>1200</v>
      </c>
      <c r="G18" s="88">
        <v>390</v>
      </c>
      <c r="H18" s="88">
        <v>14400</v>
      </c>
      <c r="J18" s="90">
        <v>15</v>
      </c>
      <c r="K18" s="90">
        <v>1</v>
      </c>
      <c r="L18" s="90" t="s">
        <v>115</v>
      </c>
      <c r="M18" s="90" t="s">
        <v>122</v>
      </c>
      <c r="N18" s="91">
        <f t="shared" si="0"/>
        <v>7</v>
      </c>
      <c r="O18" s="91">
        <v>695</v>
      </c>
      <c r="P18" s="91">
        <v>69</v>
      </c>
    </row>
    <row r="19" ht="17.25" spans="2:16">
      <c r="B19" s="88">
        <v>16</v>
      </c>
      <c r="C19" s="88">
        <v>550</v>
      </c>
      <c r="D19" s="89">
        <v>55</v>
      </c>
      <c r="E19" s="88">
        <v>49</v>
      </c>
      <c r="F19" s="88">
        <v>1800</v>
      </c>
      <c r="G19" s="88">
        <v>439</v>
      </c>
      <c r="H19" s="88">
        <v>16200</v>
      </c>
      <c r="J19" s="90">
        <v>16</v>
      </c>
      <c r="K19" s="90">
        <v>1</v>
      </c>
      <c r="L19" s="90" t="s">
        <v>115</v>
      </c>
      <c r="M19" s="90" t="s">
        <v>123</v>
      </c>
      <c r="N19" s="91">
        <f t="shared" si="0"/>
        <v>8</v>
      </c>
      <c r="O19" s="91">
        <v>835</v>
      </c>
      <c r="P19" s="91">
        <v>83</v>
      </c>
    </row>
    <row r="20" ht="17.25" spans="2:16">
      <c r="B20" s="88">
        <v>17</v>
      </c>
      <c r="C20" s="88">
        <v>590</v>
      </c>
      <c r="D20" s="89">
        <v>59</v>
      </c>
      <c r="E20" s="88">
        <v>51</v>
      </c>
      <c r="F20" s="88">
        <v>1800</v>
      </c>
      <c r="G20" s="88">
        <v>490</v>
      </c>
      <c r="H20" s="88">
        <v>18000</v>
      </c>
      <c r="J20" s="90">
        <v>17</v>
      </c>
      <c r="K20" s="90">
        <v>10</v>
      </c>
      <c r="L20" s="90" t="s">
        <v>115</v>
      </c>
      <c r="M20" s="90" t="s">
        <v>116</v>
      </c>
      <c r="N20" s="91">
        <f t="shared" si="0"/>
        <v>1</v>
      </c>
      <c r="O20" s="91">
        <v>300</v>
      </c>
      <c r="P20" s="91">
        <v>30</v>
      </c>
    </row>
    <row r="21" ht="17.25" spans="2:16">
      <c r="B21" s="88">
        <v>18</v>
      </c>
      <c r="C21" s="88">
        <v>630</v>
      </c>
      <c r="D21" s="89">
        <v>63</v>
      </c>
      <c r="E21" s="88">
        <v>53</v>
      </c>
      <c r="F21" s="88">
        <v>1800</v>
      </c>
      <c r="G21" s="88">
        <v>543</v>
      </c>
      <c r="H21" s="88">
        <v>19800</v>
      </c>
      <c r="J21" s="90">
        <v>18</v>
      </c>
      <c r="K21" s="90">
        <v>10</v>
      </c>
      <c r="L21" s="90" t="s">
        <v>115</v>
      </c>
      <c r="M21" s="90" t="s">
        <v>117</v>
      </c>
      <c r="N21" s="91">
        <f t="shared" si="0"/>
        <v>2</v>
      </c>
      <c r="O21" s="91">
        <v>375</v>
      </c>
      <c r="P21" s="91">
        <v>37</v>
      </c>
    </row>
    <row r="22" ht="17.25" spans="2:16">
      <c r="B22" s="88">
        <v>19</v>
      </c>
      <c r="C22" s="88">
        <v>670</v>
      </c>
      <c r="D22" s="89">
        <v>67</v>
      </c>
      <c r="E22" s="88">
        <v>55</v>
      </c>
      <c r="F22" s="88">
        <v>1800</v>
      </c>
      <c r="G22" s="88">
        <v>598</v>
      </c>
      <c r="H22" s="88">
        <v>21600</v>
      </c>
      <c r="J22" s="90">
        <v>19</v>
      </c>
      <c r="K22" s="90">
        <v>10</v>
      </c>
      <c r="L22" s="90" t="s">
        <v>115</v>
      </c>
      <c r="M22" s="90" t="s">
        <v>118</v>
      </c>
      <c r="N22" s="91">
        <f t="shared" si="0"/>
        <v>3</v>
      </c>
      <c r="O22" s="91">
        <v>450</v>
      </c>
      <c r="P22" s="91">
        <v>45</v>
      </c>
    </row>
    <row r="23" ht="17.25" spans="2:16">
      <c r="B23" s="88">
        <v>20</v>
      </c>
      <c r="C23" s="88">
        <v>720</v>
      </c>
      <c r="D23" s="89">
        <v>72</v>
      </c>
      <c r="E23" s="88">
        <v>57</v>
      </c>
      <c r="F23" s="88">
        <v>1800</v>
      </c>
      <c r="G23" s="88">
        <v>655</v>
      </c>
      <c r="H23" s="88">
        <v>23400</v>
      </c>
      <c r="J23" s="90">
        <v>20</v>
      </c>
      <c r="K23" s="90">
        <v>10</v>
      </c>
      <c r="L23" s="90" t="s">
        <v>115</v>
      </c>
      <c r="M23" s="90" t="s">
        <v>119</v>
      </c>
      <c r="N23" s="91">
        <f t="shared" si="0"/>
        <v>4</v>
      </c>
      <c r="O23" s="91">
        <v>540</v>
      </c>
      <c r="P23" s="91">
        <v>54</v>
      </c>
    </row>
    <row r="24" ht="17.25" spans="2:16">
      <c r="B24" s="88">
        <v>21</v>
      </c>
      <c r="C24" s="88">
        <v>770</v>
      </c>
      <c r="D24" s="89">
        <v>77</v>
      </c>
      <c r="E24" s="88">
        <v>59</v>
      </c>
      <c r="F24" s="88">
        <v>1800</v>
      </c>
      <c r="G24" s="88">
        <v>714</v>
      </c>
      <c r="H24" s="88">
        <v>25200</v>
      </c>
      <c r="J24" s="90">
        <v>21</v>
      </c>
      <c r="K24" s="90">
        <v>10</v>
      </c>
      <c r="L24" s="90" t="s">
        <v>115</v>
      </c>
      <c r="M24" s="90" t="s">
        <v>120</v>
      </c>
      <c r="N24" s="91">
        <f t="shared" si="0"/>
        <v>5</v>
      </c>
      <c r="O24" s="91">
        <v>650</v>
      </c>
      <c r="P24" s="91">
        <v>65</v>
      </c>
    </row>
    <row r="25" ht="17.25" spans="2:16">
      <c r="B25" s="88">
        <v>22</v>
      </c>
      <c r="C25" s="88">
        <v>820</v>
      </c>
      <c r="D25" s="89">
        <v>82</v>
      </c>
      <c r="E25" s="88">
        <v>61</v>
      </c>
      <c r="F25" s="88">
        <v>2400</v>
      </c>
      <c r="G25" s="88">
        <v>775</v>
      </c>
      <c r="H25" s="88">
        <v>27600</v>
      </c>
      <c r="J25" s="90">
        <v>22</v>
      </c>
      <c r="K25" s="90">
        <v>10</v>
      </c>
      <c r="L25" s="90" t="s">
        <v>115</v>
      </c>
      <c r="M25" s="90" t="s">
        <v>121</v>
      </c>
      <c r="N25" s="91">
        <f t="shared" si="0"/>
        <v>6</v>
      </c>
      <c r="O25" s="91">
        <v>800</v>
      </c>
      <c r="P25" s="91">
        <v>80</v>
      </c>
    </row>
    <row r="26" ht="17.25" spans="2:16">
      <c r="B26" s="88">
        <v>23</v>
      </c>
      <c r="C26" s="88">
        <v>870</v>
      </c>
      <c r="D26" s="89">
        <v>87</v>
      </c>
      <c r="E26" s="88">
        <v>63</v>
      </c>
      <c r="F26" s="88">
        <v>2400</v>
      </c>
      <c r="G26" s="88">
        <v>838</v>
      </c>
      <c r="H26" s="88">
        <v>30000</v>
      </c>
      <c r="J26" s="90">
        <v>23</v>
      </c>
      <c r="K26" s="90">
        <v>10</v>
      </c>
      <c r="L26" s="90" t="s">
        <v>115</v>
      </c>
      <c r="M26" s="90" t="s">
        <v>122</v>
      </c>
      <c r="N26" s="91">
        <f t="shared" si="0"/>
        <v>7</v>
      </c>
      <c r="O26" s="91">
        <v>1250</v>
      </c>
      <c r="P26" s="91">
        <v>125</v>
      </c>
    </row>
    <row r="27" ht="17.25" spans="2:16">
      <c r="B27" s="88">
        <v>24</v>
      </c>
      <c r="C27" s="88">
        <v>920</v>
      </c>
      <c r="D27" s="89">
        <v>92</v>
      </c>
      <c r="E27" s="88">
        <v>65</v>
      </c>
      <c r="F27" s="88">
        <v>2400</v>
      </c>
      <c r="G27" s="88">
        <v>903</v>
      </c>
      <c r="H27" s="88">
        <v>32400</v>
      </c>
      <c r="J27" s="90">
        <v>24</v>
      </c>
      <c r="K27" s="90">
        <v>10</v>
      </c>
      <c r="L27" s="90" t="s">
        <v>115</v>
      </c>
      <c r="M27" s="90" t="s">
        <v>123</v>
      </c>
      <c r="N27" s="91">
        <f t="shared" si="0"/>
        <v>8</v>
      </c>
      <c r="O27" s="91">
        <v>1500</v>
      </c>
      <c r="P27" s="91">
        <v>150</v>
      </c>
    </row>
    <row r="28" ht="17.25" spans="2:16">
      <c r="B28" s="88">
        <v>25</v>
      </c>
      <c r="C28" s="88">
        <v>970</v>
      </c>
      <c r="D28" s="89">
        <v>97</v>
      </c>
      <c r="E28" s="88">
        <v>67</v>
      </c>
      <c r="F28" s="88">
        <v>2400</v>
      </c>
      <c r="G28" s="88">
        <v>970</v>
      </c>
      <c r="H28" s="88">
        <v>34800</v>
      </c>
      <c r="J28" s="90">
        <v>25</v>
      </c>
      <c r="K28" s="90">
        <v>20</v>
      </c>
      <c r="L28" s="90" t="s">
        <v>115</v>
      </c>
      <c r="M28" s="90" t="s">
        <v>116</v>
      </c>
      <c r="N28" s="91">
        <f t="shared" si="0"/>
        <v>1</v>
      </c>
      <c r="O28" s="91">
        <v>345</v>
      </c>
      <c r="P28" s="91">
        <v>34</v>
      </c>
    </row>
    <row r="29" ht="17.25" spans="2:16">
      <c r="B29" s="88">
        <v>26</v>
      </c>
      <c r="C29" s="88">
        <v>1020</v>
      </c>
      <c r="D29" s="89">
        <v>102</v>
      </c>
      <c r="E29" s="88">
        <v>69</v>
      </c>
      <c r="F29" s="88">
        <v>2400</v>
      </c>
      <c r="G29" s="88">
        <v>1039</v>
      </c>
      <c r="H29" s="88">
        <v>37200</v>
      </c>
      <c r="J29" s="90">
        <v>26</v>
      </c>
      <c r="K29" s="90">
        <v>20</v>
      </c>
      <c r="L29" s="90" t="s">
        <v>115</v>
      </c>
      <c r="M29" s="90" t="s">
        <v>117</v>
      </c>
      <c r="N29" s="91">
        <f t="shared" si="0"/>
        <v>2</v>
      </c>
      <c r="O29" s="91">
        <v>431</v>
      </c>
      <c r="P29" s="91">
        <v>43</v>
      </c>
    </row>
    <row r="30" ht="17.25" spans="2:16">
      <c r="B30" s="88">
        <v>27</v>
      </c>
      <c r="C30" s="88">
        <v>1070</v>
      </c>
      <c r="D30" s="89">
        <v>107</v>
      </c>
      <c r="E30" s="88">
        <v>71</v>
      </c>
      <c r="F30" s="88">
        <v>2400</v>
      </c>
      <c r="G30" s="88">
        <v>1110</v>
      </c>
      <c r="H30" s="88">
        <v>39600</v>
      </c>
      <c r="J30" s="90">
        <v>27</v>
      </c>
      <c r="K30" s="90">
        <v>20</v>
      </c>
      <c r="L30" s="90" t="s">
        <v>115</v>
      </c>
      <c r="M30" s="90" t="s">
        <v>118</v>
      </c>
      <c r="N30" s="91">
        <f t="shared" si="0"/>
        <v>3</v>
      </c>
      <c r="O30" s="91">
        <v>517</v>
      </c>
      <c r="P30" s="91">
        <v>51</v>
      </c>
    </row>
    <row r="31" ht="17.25" spans="2:16">
      <c r="B31" s="88">
        <v>28</v>
      </c>
      <c r="C31" s="88">
        <v>1120</v>
      </c>
      <c r="D31" s="89">
        <v>112</v>
      </c>
      <c r="E31" s="88">
        <v>73</v>
      </c>
      <c r="F31" s="88">
        <v>3000</v>
      </c>
      <c r="G31" s="88">
        <v>1183</v>
      </c>
      <c r="H31" s="88">
        <v>42600</v>
      </c>
      <c r="J31" s="90">
        <v>28</v>
      </c>
      <c r="K31" s="90">
        <v>20</v>
      </c>
      <c r="L31" s="90" t="s">
        <v>115</v>
      </c>
      <c r="M31" s="90" t="s">
        <v>119</v>
      </c>
      <c r="N31" s="91">
        <f t="shared" si="0"/>
        <v>4</v>
      </c>
      <c r="O31" s="91">
        <v>621</v>
      </c>
      <c r="P31" s="91">
        <v>62</v>
      </c>
    </row>
    <row r="32" ht="17.25" spans="2:16">
      <c r="B32" s="88">
        <v>29</v>
      </c>
      <c r="C32" s="88">
        <v>1170</v>
      </c>
      <c r="D32" s="89">
        <v>117</v>
      </c>
      <c r="E32" s="88">
        <v>75</v>
      </c>
      <c r="F32" s="88">
        <v>3000</v>
      </c>
      <c r="G32" s="88">
        <v>1258</v>
      </c>
      <c r="H32" s="88">
        <v>45600</v>
      </c>
      <c r="J32" s="90">
        <v>29</v>
      </c>
      <c r="K32" s="90">
        <v>20</v>
      </c>
      <c r="L32" s="90" t="s">
        <v>115</v>
      </c>
      <c r="M32" s="90" t="s">
        <v>120</v>
      </c>
      <c r="N32" s="91">
        <f t="shared" si="0"/>
        <v>5</v>
      </c>
      <c r="O32" s="91">
        <v>747</v>
      </c>
      <c r="P32" s="91">
        <v>74</v>
      </c>
    </row>
    <row r="33" ht="17.25" spans="2:16">
      <c r="B33" s="88">
        <v>30</v>
      </c>
      <c r="C33" s="88">
        <v>1220</v>
      </c>
      <c r="D33" s="89">
        <v>122</v>
      </c>
      <c r="E33" s="88">
        <v>78</v>
      </c>
      <c r="F33" s="88">
        <v>3000</v>
      </c>
      <c r="G33" s="88">
        <v>1336</v>
      </c>
      <c r="H33" s="88">
        <v>48600</v>
      </c>
      <c r="J33" s="90">
        <v>30</v>
      </c>
      <c r="K33" s="90">
        <v>20</v>
      </c>
      <c r="L33" s="90" t="s">
        <v>115</v>
      </c>
      <c r="M33" s="90" t="s">
        <v>121</v>
      </c>
      <c r="N33" s="91">
        <f t="shared" si="0"/>
        <v>6</v>
      </c>
      <c r="O33" s="91">
        <v>920</v>
      </c>
      <c r="P33" s="91">
        <v>92</v>
      </c>
    </row>
    <row r="34" ht="17.25" spans="2:16">
      <c r="B34" s="88">
        <v>31</v>
      </c>
      <c r="C34" s="88">
        <v>1270</v>
      </c>
      <c r="D34" s="89">
        <v>127</v>
      </c>
      <c r="E34" s="88">
        <v>81</v>
      </c>
      <c r="F34" s="88">
        <v>3000</v>
      </c>
      <c r="G34" s="88">
        <v>1417</v>
      </c>
      <c r="H34" s="88">
        <v>51600</v>
      </c>
      <c r="J34" s="90">
        <v>31</v>
      </c>
      <c r="K34" s="90">
        <v>20</v>
      </c>
      <c r="L34" s="90" t="s">
        <v>115</v>
      </c>
      <c r="M34" s="90" t="s">
        <v>122</v>
      </c>
      <c r="N34" s="91">
        <f t="shared" si="0"/>
        <v>7</v>
      </c>
      <c r="O34" s="91">
        <v>1437</v>
      </c>
      <c r="P34" s="91">
        <v>143</v>
      </c>
    </row>
    <row r="35" ht="17.25" spans="2:16">
      <c r="B35" s="88">
        <v>32</v>
      </c>
      <c r="C35" s="88">
        <v>1320</v>
      </c>
      <c r="D35" s="89">
        <v>132</v>
      </c>
      <c r="E35" s="88">
        <v>84</v>
      </c>
      <c r="F35" s="88">
        <v>3000</v>
      </c>
      <c r="G35" s="88">
        <v>1501</v>
      </c>
      <c r="H35" s="88">
        <v>54600</v>
      </c>
      <c r="J35" s="90">
        <v>32</v>
      </c>
      <c r="K35" s="90">
        <v>20</v>
      </c>
      <c r="L35" s="90" t="s">
        <v>115</v>
      </c>
      <c r="M35" s="90" t="s">
        <v>123</v>
      </c>
      <c r="N35" s="91">
        <f t="shared" si="0"/>
        <v>8</v>
      </c>
      <c r="O35" s="91">
        <v>1725</v>
      </c>
      <c r="P35" s="91">
        <v>172</v>
      </c>
    </row>
    <row r="36" ht="17.25" spans="2:16">
      <c r="B36" s="88">
        <v>33</v>
      </c>
      <c r="C36" s="88">
        <v>1370</v>
      </c>
      <c r="D36" s="89">
        <v>137</v>
      </c>
      <c r="E36" s="88">
        <v>87</v>
      </c>
      <c r="F36" s="88">
        <v>3000</v>
      </c>
      <c r="G36" s="88">
        <v>1588</v>
      </c>
      <c r="H36" s="88">
        <v>57600</v>
      </c>
      <c r="J36" s="90">
        <v>33</v>
      </c>
      <c r="K36" s="90">
        <v>30</v>
      </c>
      <c r="L36" s="90" t="s">
        <v>115</v>
      </c>
      <c r="M36" s="90" t="s">
        <v>116</v>
      </c>
      <c r="N36" s="91">
        <f t="shared" si="0"/>
        <v>1</v>
      </c>
      <c r="O36" s="91">
        <v>396</v>
      </c>
      <c r="P36" s="91">
        <v>39</v>
      </c>
    </row>
    <row r="37" ht="17.25" spans="2:16">
      <c r="B37" s="88">
        <v>34</v>
      </c>
      <c r="C37" s="88">
        <v>1420</v>
      </c>
      <c r="D37" s="89">
        <v>142</v>
      </c>
      <c r="E37" s="88">
        <v>90</v>
      </c>
      <c r="F37" s="88">
        <v>3000</v>
      </c>
      <c r="G37" s="88">
        <v>1678</v>
      </c>
      <c r="H37" s="88">
        <v>60600</v>
      </c>
      <c r="J37" s="90">
        <v>34</v>
      </c>
      <c r="K37" s="90">
        <v>30</v>
      </c>
      <c r="L37" s="90" t="s">
        <v>115</v>
      </c>
      <c r="M37" s="90" t="s">
        <v>117</v>
      </c>
      <c r="N37" s="91">
        <f t="shared" si="0"/>
        <v>2</v>
      </c>
      <c r="O37" s="91">
        <v>495</v>
      </c>
      <c r="P37" s="91">
        <v>49</v>
      </c>
    </row>
    <row r="38" ht="17.25" spans="2:16">
      <c r="B38" s="88">
        <v>35</v>
      </c>
      <c r="C38" s="88">
        <v>1480</v>
      </c>
      <c r="D38" s="89">
        <v>148</v>
      </c>
      <c r="E38" s="88">
        <v>93</v>
      </c>
      <c r="F38" s="88">
        <v>3600</v>
      </c>
      <c r="G38" s="88">
        <v>1771</v>
      </c>
      <c r="H38" s="88">
        <v>64200</v>
      </c>
      <c r="J38" s="90">
        <v>35</v>
      </c>
      <c r="K38" s="90">
        <v>30</v>
      </c>
      <c r="L38" s="90" t="s">
        <v>115</v>
      </c>
      <c r="M38" s="90" t="s">
        <v>118</v>
      </c>
      <c r="N38" s="91">
        <f t="shared" si="0"/>
        <v>3</v>
      </c>
      <c r="O38" s="91">
        <v>594</v>
      </c>
      <c r="P38" s="91">
        <v>59</v>
      </c>
    </row>
    <row r="39" ht="17.25" spans="2:16">
      <c r="B39" s="88">
        <v>36</v>
      </c>
      <c r="C39" s="88">
        <v>1540</v>
      </c>
      <c r="D39" s="89">
        <v>154</v>
      </c>
      <c r="E39" s="88">
        <v>96</v>
      </c>
      <c r="F39" s="88">
        <v>3600</v>
      </c>
      <c r="G39" s="88">
        <v>1867</v>
      </c>
      <c r="H39" s="88">
        <v>67800</v>
      </c>
      <c r="J39" s="90">
        <v>36</v>
      </c>
      <c r="K39" s="90">
        <v>30</v>
      </c>
      <c r="L39" s="90" t="s">
        <v>115</v>
      </c>
      <c r="M39" s="90" t="s">
        <v>119</v>
      </c>
      <c r="N39" s="91">
        <f t="shared" si="0"/>
        <v>4</v>
      </c>
      <c r="O39" s="91">
        <v>712</v>
      </c>
      <c r="P39" s="91">
        <v>71</v>
      </c>
    </row>
    <row r="40" ht="17.25" spans="2:16">
      <c r="B40" s="88">
        <v>37</v>
      </c>
      <c r="C40" s="88">
        <v>1600</v>
      </c>
      <c r="D40" s="89">
        <v>160</v>
      </c>
      <c r="E40" s="88">
        <v>99</v>
      </c>
      <c r="F40" s="88">
        <v>3600</v>
      </c>
      <c r="G40" s="88">
        <v>1966</v>
      </c>
      <c r="H40" s="88">
        <v>71400</v>
      </c>
      <c r="J40" s="90">
        <v>37</v>
      </c>
      <c r="K40" s="90">
        <v>30</v>
      </c>
      <c r="L40" s="90" t="s">
        <v>115</v>
      </c>
      <c r="M40" s="90" t="s">
        <v>120</v>
      </c>
      <c r="N40" s="91">
        <f t="shared" si="0"/>
        <v>5</v>
      </c>
      <c r="O40" s="91">
        <v>858</v>
      </c>
      <c r="P40" s="91">
        <v>85</v>
      </c>
    </row>
    <row r="41" ht="17.25" spans="2:16">
      <c r="B41" s="88">
        <v>38</v>
      </c>
      <c r="C41" s="88">
        <v>1660</v>
      </c>
      <c r="D41" s="89">
        <v>166</v>
      </c>
      <c r="E41" s="88">
        <v>102</v>
      </c>
      <c r="F41" s="88">
        <v>3600</v>
      </c>
      <c r="G41" s="88">
        <v>2068</v>
      </c>
      <c r="H41" s="88">
        <v>75000</v>
      </c>
      <c r="J41" s="90">
        <v>38</v>
      </c>
      <c r="K41" s="90">
        <v>30</v>
      </c>
      <c r="L41" s="90" t="s">
        <v>115</v>
      </c>
      <c r="M41" s="90" t="s">
        <v>121</v>
      </c>
      <c r="N41" s="91">
        <f t="shared" si="0"/>
        <v>6</v>
      </c>
      <c r="O41" s="91">
        <v>1056</v>
      </c>
      <c r="P41" s="91">
        <v>105</v>
      </c>
    </row>
    <row r="42" ht="17.25" spans="2:16">
      <c r="B42" s="88">
        <v>39</v>
      </c>
      <c r="C42" s="88">
        <v>1720</v>
      </c>
      <c r="D42" s="89">
        <v>172</v>
      </c>
      <c r="E42" s="88">
        <v>105</v>
      </c>
      <c r="F42" s="88">
        <v>3600</v>
      </c>
      <c r="G42" s="88">
        <v>2173</v>
      </c>
      <c r="H42" s="88">
        <v>78600</v>
      </c>
      <c r="J42" s="90">
        <v>39</v>
      </c>
      <c r="K42" s="90">
        <v>30</v>
      </c>
      <c r="L42" s="90" t="s">
        <v>115</v>
      </c>
      <c r="M42" s="90" t="s">
        <v>122</v>
      </c>
      <c r="N42" s="91">
        <f t="shared" si="0"/>
        <v>7</v>
      </c>
      <c r="O42" s="91">
        <v>1650</v>
      </c>
      <c r="P42" s="91">
        <v>165</v>
      </c>
    </row>
    <row r="43" ht="17.25" spans="2:16">
      <c r="B43" s="88">
        <v>40</v>
      </c>
      <c r="C43" s="88">
        <v>1790</v>
      </c>
      <c r="D43" s="89">
        <v>179</v>
      </c>
      <c r="E43" s="88">
        <v>108</v>
      </c>
      <c r="F43" s="88">
        <v>3600</v>
      </c>
      <c r="G43" s="88">
        <v>2281</v>
      </c>
      <c r="H43" s="88">
        <v>82200</v>
      </c>
      <c r="J43" s="90">
        <v>40</v>
      </c>
      <c r="K43" s="90">
        <v>30</v>
      </c>
      <c r="L43" s="90" t="s">
        <v>115</v>
      </c>
      <c r="M43" s="90" t="s">
        <v>123</v>
      </c>
      <c r="N43" s="91">
        <f t="shared" si="0"/>
        <v>8</v>
      </c>
      <c r="O43" s="91">
        <v>1980</v>
      </c>
      <c r="P43" s="91">
        <v>198</v>
      </c>
    </row>
    <row r="44" ht="17.25" spans="2:16">
      <c r="B44" s="88">
        <v>41</v>
      </c>
      <c r="C44" s="88">
        <v>1860</v>
      </c>
      <c r="D44" s="89">
        <v>186</v>
      </c>
      <c r="E44" s="88">
        <v>112</v>
      </c>
      <c r="F44" s="88">
        <v>4200</v>
      </c>
      <c r="G44" s="88">
        <v>2393</v>
      </c>
      <c r="H44" s="88">
        <v>86400</v>
      </c>
      <c r="J44" s="90">
        <v>41</v>
      </c>
      <c r="K44" s="90">
        <v>40</v>
      </c>
      <c r="L44" s="90" t="s">
        <v>115</v>
      </c>
      <c r="M44" s="90" t="s">
        <v>116</v>
      </c>
      <c r="N44" s="91">
        <f t="shared" si="0"/>
        <v>1</v>
      </c>
      <c r="O44" s="91">
        <v>455</v>
      </c>
      <c r="P44" s="91">
        <v>45</v>
      </c>
    </row>
    <row r="45" ht="17.25" spans="2:16">
      <c r="B45" s="88">
        <v>42</v>
      </c>
      <c r="C45" s="88">
        <v>1930</v>
      </c>
      <c r="D45" s="89">
        <v>193</v>
      </c>
      <c r="E45" s="88">
        <v>116</v>
      </c>
      <c r="F45" s="88">
        <v>4200</v>
      </c>
      <c r="G45" s="88">
        <v>2509</v>
      </c>
      <c r="H45" s="88">
        <v>90600</v>
      </c>
      <c r="J45" s="90">
        <v>42</v>
      </c>
      <c r="K45" s="90">
        <v>40</v>
      </c>
      <c r="L45" s="90" t="s">
        <v>115</v>
      </c>
      <c r="M45" s="90" t="s">
        <v>117</v>
      </c>
      <c r="N45" s="91">
        <f t="shared" si="0"/>
        <v>2</v>
      </c>
      <c r="O45" s="91">
        <v>568</v>
      </c>
      <c r="P45" s="91">
        <v>56</v>
      </c>
    </row>
    <row r="46" ht="17.25" spans="2:16">
      <c r="B46" s="88">
        <v>43</v>
      </c>
      <c r="C46" s="88">
        <v>2000</v>
      </c>
      <c r="D46" s="89">
        <v>200</v>
      </c>
      <c r="E46" s="88">
        <v>120</v>
      </c>
      <c r="F46" s="88">
        <v>4200</v>
      </c>
      <c r="G46" s="88">
        <v>2629</v>
      </c>
      <c r="H46" s="88">
        <v>94800</v>
      </c>
      <c r="J46" s="90">
        <v>43</v>
      </c>
      <c r="K46" s="90">
        <v>40</v>
      </c>
      <c r="L46" s="90" t="s">
        <v>115</v>
      </c>
      <c r="M46" s="90" t="s">
        <v>118</v>
      </c>
      <c r="N46" s="91">
        <f t="shared" si="0"/>
        <v>3</v>
      </c>
      <c r="O46" s="91">
        <v>682</v>
      </c>
      <c r="P46" s="91">
        <v>68</v>
      </c>
    </row>
    <row r="47" ht="17.25" spans="2:16">
      <c r="B47" s="88">
        <v>44</v>
      </c>
      <c r="C47" s="88">
        <v>2070</v>
      </c>
      <c r="D47" s="89">
        <v>207</v>
      </c>
      <c r="E47" s="88">
        <v>124</v>
      </c>
      <c r="F47" s="88">
        <v>4800</v>
      </c>
      <c r="G47" s="88">
        <v>2753</v>
      </c>
      <c r="H47" s="88">
        <v>99600</v>
      </c>
      <c r="J47" s="90">
        <v>44</v>
      </c>
      <c r="K47" s="90">
        <v>40</v>
      </c>
      <c r="L47" s="90" t="s">
        <v>115</v>
      </c>
      <c r="M47" s="90" t="s">
        <v>119</v>
      </c>
      <c r="N47" s="91">
        <f t="shared" si="0"/>
        <v>4</v>
      </c>
      <c r="O47" s="91">
        <v>819</v>
      </c>
      <c r="P47" s="91">
        <v>81</v>
      </c>
    </row>
    <row r="48" ht="17.25" spans="2:16">
      <c r="B48" s="88">
        <v>45</v>
      </c>
      <c r="C48" s="88">
        <v>2140</v>
      </c>
      <c r="D48" s="89">
        <v>214</v>
      </c>
      <c r="E48" s="88">
        <v>128</v>
      </c>
      <c r="F48" s="88">
        <v>4800</v>
      </c>
      <c r="G48" s="88">
        <v>2881</v>
      </c>
      <c r="H48" s="88">
        <v>104400</v>
      </c>
      <c r="J48" s="90">
        <v>45</v>
      </c>
      <c r="K48" s="90">
        <v>40</v>
      </c>
      <c r="L48" s="90" t="s">
        <v>115</v>
      </c>
      <c r="M48" s="90" t="s">
        <v>120</v>
      </c>
      <c r="N48" s="91">
        <f t="shared" si="0"/>
        <v>5</v>
      </c>
      <c r="O48" s="91">
        <v>985</v>
      </c>
      <c r="P48" s="91">
        <v>98</v>
      </c>
    </row>
    <row r="49" ht="17.25" spans="2:16">
      <c r="B49" s="88">
        <v>46</v>
      </c>
      <c r="C49" s="88">
        <v>2210</v>
      </c>
      <c r="D49" s="89">
        <v>221</v>
      </c>
      <c r="E49" s="88">
        <v>132</v>
      </c>
      <c r="F49" s="88">
        <v>4800</v>
      </c>
      <c r="G49" s="88">
        <v>3013</v>
      </c>
      <c r="H49" s="88">
        <v>109200</v>
      </c>
      <c r="J49" s="90">
        <v>46</v>
      </c>
      <c r="K49" s="90">
        <v>40</v>
      </c>
      <c r="L49" s="90" t="s">
        <v>115</v>
      </c>
      <c r="M49" s="90" t="s">
        <v>121</v>
      </c>
      <c r="N49" s="91">
        <f t="shared" si="0"/>
        <v>6</v>
      </c>
      <c r="O49" s="91">
        <v>1213</v>
      </c>
      <c r="P49" s="91">
        <v>121</v>
      </c>
    </row>
    <row r="50" ht="17.25" spans="2:16">
      <c r="B50" s="88">
        <v>47</v>
      </c>
      <c r="C50" s="88">
        <v>2280</v>
      </c>
      <c r="D50" s="89">
        <v>228</v>
      </c>
      <c r="E50" s="88">
        <v>136</v>
      </c>
      <c r="F50" s="88">
        <v>5400</v>
      </c>
      <c r="G50" s="88">
        <v>3149</v>
      </c>
      <c r="H50" s="88">
        <v>114600</v>
      </c>
      <c r="J50" s="90">
        <v>47</v>
      </c>
      <c r="K50" s="90">
        <v>40</v>
      </c>
      <c r="L50" s="90" t="s">
        <v>115</v>
      </c>
      <c r="M50" s="90" t="s">
        <v>122</v>
      </c>
      <c r="N50" s="91">
        <f t="shared" si="0"/>
        <v>7</v>
      </c>
      <c r="O50" s="91">
        <v>1895</v>
      </c>
      <c r="P50" s="91">
        <v>189</v>
      </c>
    </row>
    <row r="51" ht="17.25" spans="2:16">
      <c r="B51" s="88">
        <v>48</v>
      </c>
      <c r="C51" s="88">
        <v>2360</v>
      </c>
      <c r="D51" s="89">
        <v>236</v>
      </c>
      <c r="E51" s="88">
        <v>140</v>
      </c>
      <c r="F51" s="88">
        <v>5400</v>
      </c>
      <c r="G51" s="88">
        <v>3289</v>
      </c>
      <c r="H51" s="88">
        <v>120000</v>
      </c>
      <c r="J51" s="90">
        <v>48</v>
      </c>
      <c r="K51" s="90">
        <v>40</v>
      </c>
      <c r="L51" s="90" t="s">
        <v>115</v>
      </c>
      <c r="M51" s="90" t="s">
        <v>123</v>
      </c>
      <c r="N51" s="91">
        <f t="shared" si="0"/>
        <v>8</v>
      </c>
      <c r="O51" s="91">
        <v>2275</v>
      </c>
      <c r="P51" s="91">
        <v>227</v>
      </c>
    </row>
    <row r="52" ht="17.25" spans="2:16">
      <c r="B52" s="88">
        <v>49</v>
      </c>
      <c r="C52" s="88">
        <v>2440</v>
      </c>
      <c r="D52" s="89">
        <v>244</v>
      </c>
      <c r="E52" s="88">
        <v>144</v>
      </c>
      <c r="F52" s="88">
        <v>5400</v>
      </c>
      <c r="G52" s="88">
        <v>3433</v>
      </c>
      <c r="H52" s="88">
        <v>125400</v>
      </c>
      <c r="J52" s="90">
        <v>49</v>
      </c>
      <c r="K52" s="90">
        <v>50</v>
      </c>
      <c r="L52" s="90" t="s">
        <v>115</v>
      </c>
      <c r="M52" s="90" t="s">
        <v>116</v>
      </c>
      <c r="N52" s="91">
        <f t="shared" si="0"/>
        <v>1</v>
      </c>
      <c r="O52" s="91">
        <v>523</v>
      </c>
      <c r="P52" s="91">
        <v>52</v>
      </c>
    </row>
    <row r="53" ht="17.25" spans="2:16">
      <c r="B53" s="88">
        <v>50</v>
      </c>
      <c r="C53" s="88">
        <v>2520</v>
      </c>
      <c r="D53" s="89">
        <v>252</v>
      </c>
      <c r="E53" s="88">
        <v>148</v>
      </c>
      <c r="F53" s="88">
        <v>6000</v>
      </c>
      <c r="G53" s="88">
        <v>3581</v>
      </c>
      <c r="H53" s="88">
        <v>131400</v>
      </c>
      <c r="J53" s="90">
        <v>50</v>
      </c>
      <c r="K53" s="90">
        <v>50</v>
      </c>
      <c r="L53" s="90" t="s">
        <v>115</v>
      </c>
      <c r="M53" s="90" t="s">
        <v>117</v>
      </c>
      <c r="N53" s="91">
        <f t="shared" si="0"/>
        <v>2</v>
      </c>
      <c r="O53" s="91">
        <v>653</v>
      </c>
      <c r="P53" s="91">
        <v>65</v>
      </c>
    </row>
    <row r="54" ht="17.25" spans="2:16">
      <c r="B54" s="88">
        <v>51</v>
      </c>
      <c r="C54" s="88">
        <v>2620</v>
      </c>
      <c r="D54" s="89">
        <v>262</v>
      </c>
      <c r="E54" s="88">
        <v>152</v>
      </c>
      <c r="F54" s="88">
        <v>6000</v>
      </c>
      <c r="G54" s="88">
        <v>3733</v>
      </c>
      <c r="H54" s="88">
        <v>137400</v>
      </c>
      <c r="J54" s="90">
        <v>51</v>
      </c>
      <c r="K54" s="90">
        <v>50</v>
      </c>
      <c r="L54" s="90" t="s">
        <v>115</v>
      </c>
      <c r="M54" s="90" t="s">
        <v>118</v>
      </c>
      <c r="N54" s="91">
        <f t="shared" si="0"/>
        <v>3</v>
      </c>
      <c r="O54" s="91">
        <v>784</v>
      </c>
      <c r="P54" s="91">
        <v>78</v>
      </c>
    </row>
    <row r="55" ht="17.25" spans="2:16">
      <c r="B55" s="88">
        <v>52</v>
      </c>
      <c r="C55" s="88">
        <v>2720</v>
      </c>
      <c r="D55" s="89">
        <v>272</v>
      </c>
      <c r="E55" s="88">
        <v>156</v>
      </c>
      <c r="F55" s="88">
        <v>6600</v>
      </c>
      <c r="G55" s="88">
        <v>3889</v>
      </c>
      <c r="H55" s="88">
        <v>144000</v>
      </c>
      <c r="J55" s="90">
        <v>52</v>
      </c>
      <c r="K55" s="90">
        <v>50</v>
      </c>
      <c r="L55" s="90" t="s">
        <v>115</v>
      </c>
      <c r="M55" s="90" t="s">
        <v>119</v>
      </c>
      <c r="N55" s="91">
        <f t="shared" si="0"/>
        <v>4</v>
      </c>
      <c r="O55" s="91">
        <v>941</v>
      </c>
      <c r="P55" s="91">
        <v>94</v>
      </c>
    </row>
    <row r="56" ht="17.25" spans="2:16">
      <c r="B56" s="88">
        <v>53</v>
      </c>
      <c r="C56" s="88">
        <v>2820</v>
      </c>
      <c r="D56" s="89">
        <v>282</v>
      </c>
      <c r="E56" s="88">
        <v>160</v>
      </c>
      <c r="F56" s="88">
        <v>6600</v>
      </c>
      <c r="G56" s="88">
        <v>4049</v>
      </c>
      <c r="H56" s="88">
        <v>150600</v>
      </c>
      <c r="J56" s="90">
        <v>53</v>
      </c>
      <c r="K56" s="90">
        <v>50</v>
      </c>
      <c r="L56" s="90" t="s">
        <v>115</v>
      </c>
      <c r="M56" s="90" t="s">
        <v>120</v>
      </c>
      <c r="N56" s="91">
        <f t="shared" si="0"/>
        <v>5</v>
      </c>
      <c r="O56" s="91">
        <v>1133</v>
      </c>
      <c r="P56" s="91">
        <v>113</v>
      </c>
    </row>
    <row r="57" ht="17.25" spans="2:16">
      <c r="B57" s="88">
        <v>54</v>
      </c>
      <c r="C57" s="88">
        <v>2920</v>
      </c>
      <c r="D57" s="89">
        <v>292</v>
      </c>
      <c r="E57" s="88">
        <v>164</v>
      </c>
      <c r="F57" s="88">
        <v>7200</v>
      </c>
      <c r="G57" s="88">
        <v>4213</v>
      </c>
      <c r="H57" s="88">
        <v>157800</v>
      </c>
      <c r="J57" s="90">
        <v>54</v>
      </c>
      <c r="K57" s="90">
        <v>50</v>
      </c>
      <c r="L57" s="90" t="s">
        <v>115</v>
      </c>
      <c r="M57" s="90" t="s">
        <v>121</v>
      </c>
      <c r="N57" s="91">
        <f t="shared" si="0"/>
        <v>6</v>
      </c>
      <c r="O57" s="91">
        <v>1394</v>
      </c>
      <c r="P57" s="91">
        <v>139</v>
      </c>
    </row>
    <row r="58" ht="17.25" spans="2:16">
      <c r="B58" s="88">
        <v>55</v>
      </c>
      <c r="C58" s="88">
        <v>3020</v>
      </c>
      <c r="D58" s="89">
        <v>302</v>
      </c>
      <c r="E58" s="88">
        <v>168</v>
      </c>
      <c r="F58" s="88">
        <v>7200</v>
      </c>
      <c r="G58" s="88">
        <v>4381</v>
      </c>
      <c r="H58" s="88">
        <v>165000</v>
      </c>
      <c r="J58" s="90">
        <v>55</v>
      </c>
      <c r="K58" s="90">
        <v>50</v>
      </c>
      <c r="L58" s="90" t="s">
        <v>115</v>
      </c>
      <c r="M58" s="90" t="s">
        <v>122</v>
      </c>
      <c r="N58" s="91">
        <f t="shared" si="0"/>
        <v>7</v>
      </c>
      <c r="O58" s="91">
        <v>2179</v>
      </c>
      <c r="P58" s="91">
        <v>217</v>
      </c>
    </row>
    <row r="59" ht="17.25" spans="2:16">
      <c r="B59" s="88">
        <v>56</v>
      </c>
      <c r="C59" s="88">
        <v>3120</v>
      </c>
      <c r="D59" s="89">
        <v>312</v>
      </c>
      <c r="E59" s="88">
        <v>172</v>
      </c>
      <c r="F59" s="88">
        <v>7800</v>
      </c>
      <c r="G59" s="88">
        <v>4553</v>
      </c>
      <c r="H59" s="88">
        <v>172800</v>
      </c>
      <c r="J59" s="90">
        <v>56</v>
      </c>
      <c r="K59" s="90">
        <v>50</v>
      </c>
      <c r="L59" s="90" t="s">
        <v>115</v>
      </c>
      <c r="M59" s="90" t="s">
        <v>123</v>
      </c>
      <c r="N59" s="91">
        <f t="shared" si="0"/>
        <v>8</v>
      </c>
      <c r="O59" s="91">
        <v>2615</v>
      </c>
      <c r="P59" s="91">
        <v>261</v>
      </c>
    </row>
    <row r="60" ht="17.25" spans="2:16">
      <c r="B60" s="88">
        <v>57</v>
      </c>
      <c r="C60" s="88">
        <v>3220</v>
      </c>
      <c r="D60" s="89">
        <v>322</v>
      </c>
      <c r="E60" s="88">
        <v>176</v>
      </c>
      <c r="F60" s="88">
        <v>7800</v>
      </c>
      <c r="G60" s="88">
        <v>4729</v>
      </c>
      <c r="H60" s="88">
        <v>180600</v>
      </c>
      <c r="J60" s="90">
        <v>57</v>
      </c>
      <c r="K60" s="90">
        <v>60</v>
      </c>
      <c r="L60" s="90" t="s">
        <v>115</v>
      </c>
      <c r="M60" s="90" t="s">
        <v>116</v>
      </c>
      <c r="N60" s="91">
        <f t="shared" si="0"/>
        <v>1</v>
      </c>
      <c r="O60" s="91">
        <v>601</v>
      </c>
      <c r="P60" s="91">
        <v>60</v>
      </c>
    </row>
    <row r="61" ht="17.25" spans="2:16">
      <c r="B61" s="88">
        <v>58</v>
      </c>
      <c r="C61" s="88">
        <v>3320</v>
      </c>
      <c r="D61" s="89">
        <v>332</v>
      </c>
      <c r="E61" s="88">
        <v>180</v>
      </c>
      <c r="F61" s="88">
        <v>8400</v>
      </c>
      <c r="G61" s="88">
        <v>4909</v>
      </c>
      <c r="H61" s="88">
        <v>189000</v>
      </c>
      <c r="J61" s="90">
        <v>58</v>
      </c>
      <c r="K61" s="90">
        <v>60</v>
      </c>
      <c r="L61" s="90" t="s">
        <v>115</v>
      </c>
      <c r="M61" s="90" t="s">
        <v>117</v>
      </c>
      <c r="N61" s="91">
        <f t="shared" si="0"/>
        <v>2</v>
      </c>
      <c r="O61" s="91">
        <v>751</v>
      </c>
      <c r="P61" s="91">
        <v>75</v>
      </c>
    </row>
    <row r="62" ht="17.25" spans="2:16">
      <c r="B62" s="88">
        <v>59</v>
      </c>
      <c r="C62" s="88">
        <v>3420</v>
      </c>
      <c r="D62" s="89">
        <v>342</v>
      </c>
      <c r="E62" s="88">
        <v>184</v>
      </c>
      <c r="F62" s="88">
        <v>8400</v>
      </c>
      <c r="G62" s="88">
        <v>5093</v>
      </c>
      <c r="H62" s="88">
        <v>197400</v>
      </c>
      <c r="J62" s="90">
        <v>59</v>
      </c>
      <c r="K62" s="90">
        <v>60</v>
      </c>
      <c r="L62" s="90" t="s">
        <v>115</v>
      </c>
      <c r="M62" s="90" t="s">
        <v>118</v>
      </c>
      <c r="N62" s="91">
        <f t="shared" si="0"/>
        <v>3</v>
      </c>
      <c r="O62" s="91">
        <v>901</v>
      </c>
      <c r="P62" s="91">
        <v>90</v>
      </c>
    </row>
    <row r="63" ht="17.25" spans="2:16">
      <c r="B63" s="88">
        <v>60</v>
      </c>
      <c r="C63" s="88">
        <v>3520</v>
      </c>
      <c r="D63" s="89">
        <v>352</v>
      </c>
      <c r="E63" s="88">
        <v>188</v>
      </c>
      <c r="F63" s="88">
        <v>9000</v>
      </c>
      <c r="G63" s="88">
        <v>5281</v>
      </c>
      <c r="H63" s="88">
        <v>206400</v>
      </c>
      <c r="J63" s="90">
        <v>60</v>
      </c>
      <c r="K63" s="90">
        <v>60</v>
      </c>
      <c r="L63" s="90" t="s">
        <v>115</v>
      </c>
      <c r="M63" s="90" t="s">
        <v>119</v>
      </c>
      <c r="N63" s="91">
        <f t="shared" si="0"/>
        <v>4</v>
      </c>
      <c r="O63" s="91">
        <v>1081</v>
      </c>
      <c r="P63" s="91">
        <v>108</v>
      </c>
    </row>
    <row r="64" ht="17.25" spans="2:16">
      <c r="B64" s="88">
        <v>61</v>
      </c>
      <c r="C64" s="88">
        <v>3620</v>
      </c>
      <c r="D64" s="89">
        <v>362</v>
      </c>
      <c r="E64" s="88">
        <v>192</v>
      </c>
      <c r="F64" s="88">
        <v>9000</v>
      </c>
      <c r="G64" s="88">
        <v>5473</v>
      </c>
      <c r="H64" s="88">
        <v>215400</v>
      </c>
      <c r="J64" s="90">
        <v>61</v>
      </c>
      <c r="K64" s="90">
        <v>60</v>
      </c>
      <c r="L64" s="90" t="s">
        <v>115</v>
      </c>
      <c r="M64" s="90" t="s">
        <v>120</v>
      </c>
      <c r="N64" s="91">
        <f t="shared" si="0"/>
        <v>5</v>
      </c>
      <c r="O64" s="91">
        <v>1302</v>
      </c>
      <c r="P64" s="91">
        <v>130</v>
      </c>
    </row>
    <row r="65" ht="17.25" spans="2:16">
      <c r="B65" s="88">
        <v>62</v>
      </c>
      <c r="C65" s="88">
        <v>3720</v>
      </c>
      <c r="D65" s="89">
        <v>372</v>
      </c>
      <c r="E65" s="88">
        <v>196</v>
      </c>
      <c r="F65" s="88">
        <v>9600</v>
      </c>
      <c r="G65" s="88">
        <v>5669</v>
      </c>
      <c r="H65" s="88">
        <v>225000</v>
      </c>
      <c r="J65" s="90">
        <v>62</v>
      </c>
      <c r="K65" s="90">
        <v>60</v>
      </c>
      <c r="L65" s="90" t="s">
        <v>115</v>
      </c>
      <c r="M65" s="90" t="s">
        <v>121</v>
      </c>
      <c r="N65" s="91">
        <f t="shared" si="0"/>
        <v>6</v>
      </c>
      <c r="O65" s="91">
        <v>1602</v>
      </c>
      <c r="P65" s="91">
        <v>160</v>
      </c>
    </row>
    <row r="66" ht="17.25" spans="2:16">
      <c r="B66" s="88">
        <v>63</v>
      </c>
      <c r="C66" s="88">
        <v>3820</v>
      </c>
      <c r="D66" s="89">
        <v>382</v>
      </c>
      <c r="E66" s="88">
        <v>200</v>
      </c>
      <c r="F66" s="88">
        <v>9600</v>
      </c>
      <c r="G66" s="88">
        <v>5869</v>
      </c>
      <c r="H66" s="88">
        <v>234600</v>
      </c>
      <c r="J66" s="90">
        <v>63</v>
      </c>
      <c r="K66" s="90">
        <v>60</v>
      </c>
      <c r="L66" s="90" t="s">
        <v>115</v>
      </c>
      <c r="M66" s="90" t="s">
        <v>122</v>
      </c>
      <c r="N66" s="91">
        <f t="shared" si="0"/>
        <v>7</v>
      </c>
      <c r="O66" s="91">
        <v>2504</v>
      </c>
      <c r="P66" s="91">
        <v>250</v>
      </c>
    </row>
    <row r="67" ht="17.25" spans="2:16">
      <c r="B67" s="88">
        <v>64</v>
      </c>
      <c r="C67" s="88">
        <v>3920</v>
      </c>
      <c r="D67" s="89">
        <v>392</v>
      </c>
      <c r="E67" s="88">
        <v>204</v>
      </c>
      <c r="F67" s="88">
        <v>10200</v>
      </c>
      <c r="G67" s="88">
        <v>6073</v>
      </c>
      <c r="H67" s="88">
        <v>244800</v>
      </c>
      <c r="J67" s="90">
        <v>64</v>
      </c>
      <c r="K67" s="90">
        <v>60</v>
      </c>
      <c r="L67" s="90" t="s">
        <v>115</v>
      </c>
      <c r="M67" s="90" t="s">
        <v>123</v>
      </c>
      <c r="N67" s="91">
        <f t="shared" si="0"/>
        <v>8</v>
      </c>
      <c r="O67" s="91">
        <v>3005</v>
      </c>
      <c r="P67" s="91">
        <v>300</v>
      </c>
    </row>
    <row r="68" ht="17.25" spans="2:16">
      <c r="B68" s="88">
        <v>65</v>
      </c>
      <c r="C68" s="88">
        <v>4020</v>
      </c>
      <c r="D68" s="89">
        <v>402</v>
      </c>
      <c r="E68" s="88">
        <v>208</v>
      </c>
      <c r="F68" s="88">
        <v>10200</v>
      </c>
      <c r="G68" s="88">
        <v>6281</v>
      </c>
      <c r="H68" s="88">
        <v>255000</v>
      </c>
      <c r="J68" s="90">
        <v>65</v>
      </c>
      <c r="K68" s="90">
        <v>70</v>
      </c>
      <c r="L68" s="90" t="s">
        <v>115</v>
      </c>
      <c r="M68" s="90" t="s">
        <v>116</v>
      </c>
      <c r="N68" s="91">
        <f t="shared" ref="N68:N131" si="1">MATCH(M68,$M$4:$M$11,0)</f>
        <v>1</v>
      </c>
      <c r="O68" s="91">
        <v>691</v>
      </c>
      <c r="P68" s="91">
        <v>69</v>
      </c>
    </row>
    <row r="69" ht="17.25" spans="2:16">
      <c r="B69" s="88">
        <v>66</v>
      </c>
      <c r="C69" s="88">
        <v>4120</v>
      </c>
      <c r="D69" s="89">
        <v>412</v>
      </c>
      <c r="E69" s="88">
        <v>212</v>
      </c>
      <c r="F69" s="88">
        <v>10800</v>
      </c>
      <c r="G69" s="88">
        <v>6493</v>
      </c>
      <c r="H69" s="88">
        <v>265800</v>
      </c>
      <c r="J69" s="90">
        <v>66</v>
      </c>
      <c r="K69" s="90">
        <v>70</v>
      </c>
      <c r="L69" s="90" t="s">
        <v>115</v>
      </c>
      <c r="M69" s="90" t="s">
        <v>117</v>
      </c>
      <c r="N69" s="91">
        <f t="shared" si="1"/>
        <v>2</v>
      </c>
      <c r="O69" s="91">
        <v>863</v>
      </c>
      <c r="P69" s="91">
        <v>86</v>
      </c>
    </row>
    <row r="70" ht="17.25" spans="2:16">
      <c r="B70" s="88">
        <v>67</v>
      </c>
      <c r="C70" s="88">
        <v>4220</v>
      </c>
      <c r="D70" s="89">
        <v>422</v>
      </c>
      <c r="E70" s="88">
        <v>216</v>
      </c>
      <c r="F70" s="88">
        <v>10800</v>
      </c>
      <c r="G70" s="88">
        <v>6709</v>
      </c>
      <c r="H70" s="88">
        <v>276600</v>
      </c>
      <c r="J70" s="90">
        <v>67</v>
      </c>
      <c r="K70" s="90">
        <v>70</v>
      </c>
      <c r="L70" s="90" t="s">
        <v>115</v>
      </c>
      <c r="M70" s="90" t="s">
        <v>118</v>
      </c>
      <c r="N70" s="91">
        <f t="shared" si="1"/>
        <v>3</v>
      </c>
      <c r="O70" s="91">
        <v>1036</v>
      </c>
      <c r="P70" s="91">
        <v>103</v>
      </c>
    </row>
    <row r="71" ht="17.25" spans="2:16">
      <c r="B71" s="88">
        <v>68</v>
      </c>
      <c r="C71" s="88">
        <v>4320</v>
      </c>
      <c r="D71" s="89">
        <v>432</v>
      </c>
      <c r="E71" s="88">
        <v>220</v>
      </c>
      <c r="F71" s="88">
        <v>11400</v>
      </c>
      <c r="G71" s="88">
        <v>6929</v>
      </c>
      <c r="H71" s="88">
        <v>288000</v>
      </c>
      <c r="J71" s="90">
        <v>68</v>
      </c>
      <c r="K71" s="90">
        <v>70</v>
      </c>
      <c r="L71" s="90" t="s">
        <v>115</v>
      </c>
      <c r="M71" s="90" t="s">
        <v>119</v>
      </c>
      <c r="N71" s="91">
        <f t="shared" si="1"/>
        <v>4</v>
      </c>
      <c r="O71" s="91">
        <v>1243</v>
      </c>
      <c r="P71" s="91">
        <v>124</v>
      </c>
    </row>
    <row r="72" ht="17.25" spans="2:16">
      <c r="B72" s="88">
        <v>69</v>
      </c>
      <c r="C72" s="88">
        <v>4420</v>
      </c>
      <c r="D72" s="89">
        <v>442</v>
      </c>
      <c r="E72" s="88">
        <v>224</v>
      </c>
      <c r="F72" s="88">
        <v>11400</v>
      </c>
      <c r="G72" s="88">
        <v>7153</v>
      </c>
      <c r="H72" s="88">
        <v>299400</v>
      </c>
      <c r="J72" s="90">
        <v>69</v>
      </c>
      <c r="K72" s="90">
        <v>70</v>
      </c>
      <c r="L72" s="90" t="s">
        <v>115</v>
      </c>
      <c r="M72" s="90" t="s">
        <v>120</v>
      </c>
      <c r="N72" s="91">
        <f t="shared" si="1"/>
        <v>5</v>
      </c>
      <c r="O72" s="91">
        <v>1497</v>
      </c>
      <c r="P72" s="91">
        <v>149</v>
      </c>
    </row>
    <row r="73" ht="17.25" spans="2:16">
      <c r="B73" s="88">
        <v>70</v>
      </c>
      <c r="C73" s="88">
        <v>4540</v>
      </c>
      <c r="D73" s="89">
        <v>454</v>
      </c>
      <c r="E73" s="88">
        <v>228</v>
      </c>
      <c r="F73" s="88">
        <v>12000</v>
      </c>
      <c r="G73" s="88">
        <v>7381</v>
      </c>
      <c r="H73" s="88">
        <v>311400</v>
      </c>
      <c r="J73" s="90">
        <v>70</v>
      </c>
      <c r="K73" s="90">
        <v>70</v>
      </c>
      <c r="L73" s="90" t="s">
        <v>115</v>
      </c>
      <c r="M73" s="90" t="s">
        <v>121</v>
      </c>
      <c r="N73" s="91">
        <f t="shared" si="1"/>
        <v>6</v>
      </c>
      <c r="O73" s="91">
        <v>1842</v>
      </c>
      <c r="P73" s="91">
        <v>184</v>
      </c>
    </row>
    <row r="74" ht="17.25" spans="2:16">
      <c r="B74" s="88">
        <v>71</v>
      </c>
      <c r="C74" s="88">
        <v>4660</v>
      </c>
      <c r="D74" s="89">
        <v>466</v>
      </c>
      <c r="E74" s="88">
        <v>232</v>
      </c>
      <c r="F74" s="88">
        <v>12000</v>
      </c>
      <c r="G74" s="88">
        <v>7613</v>
      </c>
      <c r="H74" s="88">
        <v>323400</v>
      </c>
      <c r="J74" s="90">
        <v>71</v>
      </c>
      <c r="K74" s="90">
        <v>70</v>
      </c>
      <c r="L74" s="90" t="s">
        <v>115</v>
      </c>
      <c r="M74" s="90" t="s">
        <v>122</v>
      </c>
      <c r="N74" s="91">
        <f t="shared" si="1"/>
        <v>7</v>
      </c>
      <c r="O74" s="91">
        <v>2879</v>
      </c>
      <c r="P74" s="91">
        <v>287</v>
      </c>
    </row>
    <row r="75" ht="17.25" spans="2:16">
      <c r="B75" s="88">
        <v>72</v>
      </c>
      <c r="C75" s="88">
        <v>4780</v>
      </c>
      <c r="D75" s="89">
        <v>478</v>
      </c>
      <c r="E75" s="88">
        <v>236</v>
      </c>
      <c r="F75" s="88">
        <v>12600</v>
      </c>
      <c r="G75" s="88">
        <v>7849</v>
      </c>
      <c r="H75" s="88">
        <v>336000</v>
      </c>
      <c r="J75" s="90">
        <v>72</v>
      </c>
      <c r="K75" s="90">
        <v>70</v>
      </c>
      <c r="L75" s="90" t="s">
        <v>115</v>
      </c>
      <c r="M75" s="90" t="s">
        <v>123</v>
      </c>
      <c r="N75" s="91">
        <f t="shared" si="1"/>
        <v>8</v>
      </c>
      <c r="O75" s="91">
        <v>3455</v>
      </c>
      <c r="P75" s="91">
        <v>345</v>
      </c>
    </row>
    <row r="76" ht="17.25" spans="2:16">
      <c r="B76" s="88">
        <v>73</v>
      </c>
      <c r="C76" s="88">
        <v>4900</v>
      </c>
      <c r="D76" s="89">
        <v>490</v>
      </c>
      <c r="E76" s="88">
        <v>240</v>
      </c>
      <c r="F76" s="88">
        <v>12600</v>
      </c>
      <c r="G76" s="88">
        <v>8089</v>
      </c>
      <c r="H76" s="88">
        <v>348600</v>
      </c>
      <c r="J76" s="90">
        <v>73</v>
      </c>
      <c r="K76" s="90">
        <v>80</v>
      </c>
      <c r="L76" s="90" t="s">
        <v>115</v>
      </c>
      <c r="M76" s="90" t="s">
        <v>116</v>
      </c>
      <c r="N76" s="91">
        <f t="shared" si="1"/>
        <v>1</v>
      </c>
      <c r="O76" s="91">
        <v>794</v>
      </c>
      <c r="P76" s="91">
        <v>79</v>
      </c>
    </row>
    <row r="77" ht="17.25" spans="2:16">
      <c r="B77" s="88">
        <v>74</v>
      </c>
      <c r="C77" s="88">
        <v>5020</v>
      </c>
      <c r="D77" s="89">
        <v>502</v>
      </c>
      <c r="E77" s="88">
        <v>244</v>
      </c>
      <c r="F77" s="88">
        <v>13200</v>
      </c>
      <c r="G77" s="88">
        <v>8333</v>
      </c>
      <c r="H77" s="88">
        <v>361800</v>
      </c>
      <c r="J77" s="90">
        <v>74</v>
      </c>
      <c r="K77" s="90">
        <v>80</v>
      </c>
      <c r="L77" s="90" t="s">
        <v>115</v>
      </c>
      <c r="M77" s="90" t="s">
        <v>117</v>
      </c>
      <c r="N77" s="91">
        <f t="shared" si="1"/>
        <v>2</v>
      </c>
      <c r="O77" s="91">
        <v>992</v>
      </c>
      <c r="P77" s="91">
        <v>99</v>
      </c>
    </row>
    <row r="78" ht="17.25" spans="2:16">
      <c r="B78" s="88">
        <v>75</v>
      </c>
      <c r="C78" s="88">
        <v>5140</v>
      </c>
      <c r="D78" s="89">
        <v>514</v>
      </c>
      <c r="E78" s="88">
        <v>248</v>
      </c>
      <c r="F78" s="88">
        <v>13200</v>
      </c>
      <c r="G78" s="88">
        <v>8581</v>
      </c>
      <c r="H78" s="88">
        <v>375000</v>
      </c>
      <c r="J78" s="90">
        <v>75</v>
      </c>
      <c r="K78" s="90">
        <v>80</v>
      </c>
      <c r="L78" s="90" t="s">
        <v>115</v>
      </c>
      <c r="M78" s="90" t="s">
        <v>118</v>
      </c>
      <c r="N78" s="91">
        <f t="shared" si="1"/>
        <v>3</v>
      </c>
      <c r="O78" s="91">
        <v>1191</v>
      </c>
      <c r="P78" s="91">
        <v>119</v>
      </c>
    </row>
    <row r="79" ht="17.25" spans="2:16">
      <c r="B79" s="88">
        <v>76</v>
      </c>
      <c r="C79" s="88">
        <v>5260</v>
      </c>
      <c r="D79" s="89">
        <v>526</v>
      </c>
      <c r="E79" s="88">
        <v>252</v>
      </c>
      <c r="F79" s="88">
        <v>13800</v>
      </c>
      <c r="G79" s="88">
        <v>8833</v>
      </c>
      <c r="H79" s="88">
        <v>388800</v>
      </c>
      <c r="J79" s="90">
        <v>76</v>
      </c>
      <c r="K79" s="90">
        <v>80</v>
      </c>
      <c r="L79" s="90" t="s">
        <v>115</v>
      </c>
      <c r="M79" s="90" t="s">
        <v>119</v>
      </c>
      <c r="N79" s="91">
        <f t="shared" si="1"/>
        <v>4</v>
      </c>
      <c r="O79" s="91">
        <v>1429</v>
      </c>
      <c r="P79" s="91">
        <v>142</v>
      </c>
    </row>
    <row r="80" ht="17.25" spans="2:16">
      <c r="B80" s="88">
        <v>77</v>
      </c>
      <c r="C80" s="88">
        <v>5380</v>
      </c>
      <c r="D80" s="89">
        <v>538</v>
      </c>
      <c r="E80" s="88">
        <v>256</v>
      </c>
      <c r="F80" s="88">
        <v>13800</v>
      </c>
      <c r="G80" s="88">
        <v>9089</v>
      </c>
      <c r="H80" s="88">
        <v>402600</v>
      </c>
      <c r="J80" s="90">
        <v>77</v>
      </c>
      <c r="K80" s="90">
        <v>80</v>
      </c>
      <c r="L80" s="90" t="s">
        <v>115</v>
      </c>
      <c r="M80" s="90" t="s">
        <v>120</v>
      </c>
      <c r="N80" s="91">
        <f t="shared" si="1"/>
        <v>5</v>
      </c>
      <c r="O80" s="91">
        <v>1720</v>
      </c>
      <c r="P80" s="91">
        <v>172</v>
      </c>
    </row>
    <row r="81" ht="17.25" spans="2:16">
      <c r="B81" s="88">
        <v>78</v>
      </c>
      <c r="C81" s="88">
        <v>5500</v>
      </c>
      <c r="D81" s="89">
        <v>550</v>
      </c>
      <c r="E81" s="88">
        <v>260</v>
      </c>
      <c r="F81" s="88">
        <v>14400</v>
      </c>
      <c r="G81" s="88">
        <v>9349</v>
      </c>
      <c r="H81" s="88">
        <v>417000</v>
      </c>
      <c r="J81" s="90">
        <v>78</v>
      </c>
      <c r="K81" s="90">
        <v>80</v>
      </c>
      <c r="L81" s="90" t="s">
        <v>115</v>
      </c>
      <c r="M81" s="90" t="s">
        <v>121</v>
      </c>
      <c r="N81" s="91">
        <f t="shared" si="1"/>
        <v>6</v>
      </c>
      <c r="O81" s="91">
        <v>2117</v>
      </c>
      <c r="P81" s="91">
        <v>211</v>
      </c>
    </row>
    <row r="82" ht="17.25" spans="2:16">
      <c r="B82" s="88">
        <v>79</v>
      </c>
      <c r="C82" s="88">
        <v>5620</v>
      </c>
      <c r="D82" s="89">
        <v>562</v>
      </c>
      <c r="E82" s="88">
        <v>264</v>
      </c>
      <c r="F82" s="88">
        <v>14400</v>
      </c>
      <c r="G82" s="88">
        <v>9613</v>
      </c>
      <c r="H82" s="88">
        <v>431400</v>
      </c>
      <c r="J82" s="90">
        <v>79</v>
      </c>
      <c r="K82" s="90">
        <v>80</v>
      </c>
      <c r="L82" s="90" t="s">
        <v>115</v>
      </c>
      <c r="M82" s="90" t="s">
        <v>122</v>
      </c>
      <c r="N82" s="91">
        <f t="shared" si="1"/>
        <v>7</v>
      </c>
      <c r="O82" s="91">
        <v>3308</v>
      </c>
      <c r="P82" s="91">
        <v>330</v>
      </c>
    </row>
    <row r="83" ht="17.25" spans="2:16">
      <c r="B83" s="88">
        <v>80</v>
      </c>
      <c r="C83" s="88">
        <v>5780</v>
      </c>
      <c r="D83" s="89">
        <v>578</v>
      </c>
      <c r="E83" s="88">
        <v>268</v>
      </c>
      <c r="F83" s="88">
        <v>15000</v>
      </c>
      <c r="G83" s="88">
        <v>9881</v>
      </c>
      <c r="H83" s="88">
        <v>446400</v>
      </c>
      <c r="J83" s="90">
        <v>80</v>
      </c>
      <c r="K83" s="90">
        <v>80</v>
      </c>
      <c r="L83" s="90" t="s">
        <v>115</v>
      </c>
      <c r="M83" s="90" t="s">
        <v>123</v>
      </c>
      <c r="N83" s="91">
        <f t="shared" si="1"/>
        <v>8</v>
      </c>
      <c r="O83" s="91">
        <v>3970</v>
      </c>
      <c r="P83" s="91">
        <v>397</v>
      </c>
    </row>
    <row r="84" ht="17.25" spans="2:16">
      <c r="B84" s="88">
        <v>81</v>
      </c>
      <c r="C84" s="88">
        <v>5940</v>
      </c>
      <c r="D84" s="89">
        <v>594</v>
      </c>
      <c r="E84" s="88">
        <v>272</v>
      </c>
      <c r="F84" s="88">
        <v>15800</v>
      </c>
      <c r="G84" s="88">
        <v>10153</v>
      </c>
      <c r="H84" s="88">
        <v>462200</v>
      </c>
      <c r="J84" s="90">
        <v>81</v>
      </c>
      <c r="K84" s="90">
        <v>90</v>
      </c>
      <c r="L84" s="90" t="s">
        <v>115</v>
      </c>
      <c r="M84" s="90" t="s">
        <v>116</v>
      </c>
      <c r="N84" s="91">
        <f t="shared" si="1"/>
        <v>1</v>
      </c>
      <c r="O84" s="91">
        <v>913</v>
      </c>
      <c r="P84" s="91">
        <v>91</v>
      </c>
    </row>
    <row r="85" ht="17.25" spans="2:16">
      <c r="B85" s="88">
        <v>82</v>
      </c>
      <c r="C85" s="88">
        <v>6100</v>
      </c>
      <c r="D85" s="89">
        <v>610</v>
      </c>
      <c r="E85" s="88">
        <v>276</v>
      </c>
      <c r="F85" s="88">
        <v>16600</v>
      </c>
      <c r="G85" s="88">
        <v>10429</v>
      </c>
      <c r="H85" s="88">
        <v>478800</v>
      </c>
      <c r="J85" s="90">
        <v>82</v>
      </c>
      <c r="K85" s="90">
        <v>90</v>
      </c>
      <c r="L85" s="90" t="s">
        <v>115</v>
      </c>
      <c r="M85" s="90" t="s">
        <v>117</v>
      </c>
      <c r="N85" s="91">
        <f t="shared" si="1"/>
        <v>2</v>
      </c>
      <c r="O85" s="91">
        <v>1141</v>
      </c>
      <c r="P85" s="91">
        <v>114</v>
      </c>
    </row>
    <row r="86" ht="17.25" spans="2:16">
      <c r="B86" s="88">
        <v>83</v>
      </c>
      <c r="C86" s="88">
        <v>6260</v>
      </c>
      <c r="D86" s="89">
        <v>626</v>
      </c>
      <c r="E86" s="88">
        <v>280</v>
      </c>
      <c r="F86" s="88">
        <v>17400</v>
      </c>
      <c r="G86" s="88">
        <v>10709</v>
      </c>
      <c r="H86" s="88">
        <v>496200</v>
      </c>
      <c r="J86" s="90">
        <v>83</v>
      </c>
      <c r="K86" s="90">
        <v>90</v>
      </c>
      <c r="L86" s="90" t="s">
        <v>115</v>
      </c>
      <c r="M86" s="90" t="s">
        <v>118</v>
      </c>
      <c r="N86" s="91">
        <f t="shared" si="1"/>
        <v>3</v>
      </c>
      <c r="O86" s="91">
        <v>1369</v>
      </c>
      <c r="P86" s="91">
        <v>136</v>
      </c>
    </row>
    <row r="87" ht="17.25" spans="2:16">
      <c r="B87" s="88">
        <v>84</v>
      </c>
      <c r="C87" s="88">
        <v>6420</v>
      </c>
      <c r="D87" s="89">
        <v>642</v>
      </c>
      <c r="E87" s="88">
        <v>284</v>
      </c>
      <c r="F87" s="88">
        <v>18200</v>
      </c>
      <c r="G87" s="88">
        <v>10993</v>
      </c>
      <c r="H87" s="88">
        <v>514400</v>
      </c>
      <c r="J87" s="90">
        <v>84</v>
      </c>
      <c r="K87" s="90">
        <v>90</v>
      </c>
      <c r="L87" s="90" t="s">
        <v>115</v>
      </c>
      <c r="M87" s="90" t="s">
        <v>119</v>
      </c>
      <c r="N87" s="91">
        <f t="shared" si="1"/>
        <v>4</v>
      </c>
      <c r="O87" s="91">
        <v>1643</v>
      </c>
      <c r="P87" s="91">
        <v>164</v>
      </c>
    </row>
    <row r="88" ht="17.25" spans="2:16">
      <c r="B88" s="88">
        <v>85</v>
      </c>
      <c r="C88" s="88">
        <v>6580</v>
      </c>
      <c r="D88" s="89">
        <v>658</v>
      </c>
      <c r="E88" s="88">
        <v>288</v>
      </c>
      <c r="F88" s="88">
        <v>19000</v>
      </c>
      <c r="G88" s="88">
        <v>11281</v>
      </c>
      <c r="H88" s="88">
        <v>533400</v>
      </c>
      <c r="J88" s="90">
        <v>85</v>
      </c>
      <c r="K88" s="90">
        <v>90</v>
      </c>
      <c r="L88" s="90" t="s">
        <v>115</v>
      </c>
      <c r="M88" s="90" t="s">
        <v>120</v>
      </c>
      <c r="N88" s="91">
        <f t="shared" si="1"/>
        <v>5</v>
      </c>
      <c r="O88" s="91">
        <v>1978</v>
      </c>
      <c r="P88" s="91">
        <v>197</v>
      </c>
    </row>
    <row r="89" ht="17.25" spans="2:16">
      <c r="B89" s="88">
        <v>86</v>
      </c>
      <c r="C89" s="88">
        <v>6740</v>
      </c>
      <c r="D89" s="89">
        <v>674</v>
      </c>
      <c r="E89" s="88">
        <v>293</v>
      </c>
      <c r="F89" s="88">
        <v>19800</v>
      </c>
      <c r="G89" s="88">
        <v>11574</v>
      </c>
      <c r="H89" s="88">
        <v>553200</v>
      </c>
      <c r="J89" s="90">
        <v>86</v>
      </c>
      <c r="K89" s="90">
        <v>90</v>
      </c>
      <c r="L89" s="90" t="s">
        <v>115</v>
      </c>
      <c r="M89" s="90" t="s">
        <v>121</v>
      </c>
      <c r="N89" s="91">
        <f t="shared" si="1"/>
        <v>6</v>
      </c>
      <c r="O89" s="91">
        <v>2434</v>
      </c>
      <c r="P89" s="91">
        <v>243</v>
      </c>
    </row>
    <row r="90" ht="17.25" spans="2:16">
      <c r="B90" s="88">
        <v>87</v>
      </c>
      <c r="C90" s="88">
        <v>6900</v>
      </c>
      <c r="D90" s="89">
        <v>690</v>
      </c>
      <c r="E90" s="88">
        <v>298</v>
      </c>
      <c r="F90" s="88">
        <v>20600</v>
      </c>
      <c r="G90" s="88">
        <v>11872</v>
      </c>
      <c r="H90" s="88">
        <v>573800</v>
      </c>
      <c r="J90" s="90">
        <v>87</v>
      </c>
      <c r="K90" s="90">
        <v>90</v>
      </c>
      <c r="L90" s="90" t="s">
        <v>115</v>
      </c>
      <c r="M90" s="90" t="s">
        <v>122</v>
      </c>
      <c r="N90" s="91">
        <f t="shared" si="1"/>
        <v>7</v>
      </c>
      <c r="O90" s="91">
        <v>3804</v>
      </c>
      <c r="P90" s="91">
        <v>380</v>
      </c>
    </row>
    <row r="91" ht="17.25" spans="2:16">
      <c r="B91" s="88">
        <v>88</v>
      </c>
      <c r="C91" s="88">
        <v>7060</v>
      </c>
      <c r="D91" s="89">
        <v>706</v>
      </c>
      <c r="E91" s="88">
        <v>303</v>
      </c>
      <c r="F91" s="88">
        <v>21400</v>
      </c>
      <c r="G91" s="88">
        <v>12175</v>
      </c>
      <c r="H91" s="88">
        <v>595200</v>
      </c>
      <c r="J91" s="90">
        <v>88</v>
      </c>
      <c r="K91" s="90">
        <v>90</v>
      </c>
      <c r="L91" s="90" t="s">
        <v>115</v>
      </c>
      <c r="M91" s="90" t="s">
        <v>123</v>
      </c>
      <c r="N91" s="91">
        <f t="shared" si="1"/>
        <v>8</v>
      </c>
      <c r="O91" s="91">
        <v>4565</v>
      </c>
      <c r="P91" s="91">
        <v>456</v>
      </c>
    </row>
    <row r="92" ht="17.25" spans="2:16">
      <c r="B92" s="88">
        <v>89</v>
      </c>
      <c r="C92" s="88">
        <v>7220</v>
      </c>
      <c r="D92" s="89">
        <v>722</v>
      </c>
      <c r="E92" s="88">
        <v>308</v>
      </c>
      <c r="F92" s="88">
        <v>22200</v>
      </c>
      <c r="G92" s="88">
        <v>12483</v>
      </c>
      <c r="H92" s="88">
        <v>617400</v>
      </c>
      <c r="J92" s="90">
        <v>89</v>
      </c>
      <c r="K92" s="90">
        <v>100</v>
      </c>
      <c r="L92" s="90" t="s">
        <v>115</v>
      </c>
      <c r="M92" s="90" t="s">
        <v>116</v>
      </c>
      <c r="N92" s="91">
        <f t="shared" si="1"/>
        <v>1</v>
      </c>
      <c r="O92" s="91">
        <v>1049</v>
      </c>
      <c r="P92" s="91">
        <v>104</v>
      </c>
    </row>
    <row r="93" ht="17.25" spans="2:16">
      <c r="B93" s="88">
        <v>90</v>
      </c>
      <c r="C93" s="88">
        <v>7420</v>
      </c>
      <c r="D93" s="89">
        <v>742</v>
      </c>
      <c r="E93" s="88">
        <v>316</v>
      </c>
      <c r="F93" s="88">
        <v>23000</v>
      </c>
      <c r="G93" s="88">
        <v>12799</v>
      </c>
      <c r="H93" s="88">
        <v>640400</v>
      </c>
      <c r="J93" s="90">
        <v>90</v>
      </c>
      <c r="K93" s="90">
        <v>100</v>
      </c>
      <c r="L93" s="90" t="s">
        <v>115</v>
      </c>
      <c r="M93" s="90" t="s">
        <v>117</v>
      </c>
      <c r="N93" s="91">
        <f t="shared" si="1"/>
        <v>2</v>
      </c>
      <c r="O93" s="91">
        <v>1311</v>
      </c>
      <c r="P93" s="91">
        <v>131</v>
      </c>
    </row>
    <row r="94" ht="17.25" spans="2:16">
      <c r="B94" s="88">
        <v>91</v>
      </c>
      <c r="C94" s="88">
        <v>7620</v>
      </c>
      <c r="D94" s="89">
        <v>762</v>
      </c>
      <c r="E94" s="88">
        <v>324</v>
      </c>
      <c r="F94" s="88">
        <v>23800</v>
      </c>
      <c r="G94" s="88">
        <v>13123</v>
      </c>
      <c r="H94" s="88">
        <v>664200</v>
      </c>
      <c r="J94" s="90">
        <v>91</v>
      </c>
      <c r="K94" s="90">
        <v>100</v>
      </c>
      <c r="L94" s="90" t="s">
        <v>115</v>
      </c>
      <c r="M94" s="90" t="s">
        <v>118</v>
      </c>
      <c r="N94" s="91">
        <f t="shared" si="1"/>
        <v>3</v>
      </c>
      <c r="O94" s="91">
        <v>1573</v>
      </c>
      <c r="P94" s="91">
        <v>157</v>
      </c>
    </row>
    <row r="95" ht="17.25" spans="2:16">
      <c r="B95" s="88">
        <v>92</v>
      </c>
      <c r="C95" s="88">
        <v>7820</v>
      </c>
      <c r="D95" s="89">
        <v>782</v>
      </c>
      <c r="E95" s="88">
        <v>332</v>
      </c>
      <c r="F95" s="88">
        <v>24600</v>
      </c>
      <c r="G95" s="88">
        <v>13455</v>
      </c>
      <c r="H95" s="88">
        <v>688800</v>
      </c>
      <c r="J95" s="90">
        <v>92</v>
      </c>
      <c r="K95" s="90">
        <v>100</v>
      </c>
      <c r="L95" s="90" t="s">
        <v>115</v>
      </c>
      <c r="M95" s="90" t="s">
        <v>119</v>
      </c>
      <c r="N95" s="91">
        <f t="shared" si="1"/>
        <v>4</v>
      </c>
      <c r="O95" s="91">
        <v>1888</v>
      </c>
      <c r="P95" s="91">
        <v>188</v>
      </c>
    </row>
    <row r="96" ht="17.25" spans="2:16">
      <c r="B96" s="88">
        <v>93</v>
      </c>
      <c r="C96" s="88">
        <v>8020</v>
      </c>
      <c r="D96" s="89">
        <v>802</v>
      </c>
      <c r="E96" s="88">
        <v>340</v>
      </c>
      <c r="F96" s="88">
        <v>25400</v>
      </c>
      <c r="G96" s="88">
        <v>13795</v>
      </c>
      <c r="H96" s="88">
        <v>714200</v>
      </c>
      <c r="J96" s="90">
        <v>93</v>
      </c>
      <c r="K96" s="90">
        <v>100</v>
      </c>
      <c r="L96" s="90" t="s">
        <v>115</v>
      </c>
      <c r="M96" s="90" t="s">
        <v>120</v>
      </c>
      <c r="N96" s="91">
        <f t="shared" si="1"/>
        <v>5</v>
      </c>
      <c r="O96" s="91">
        <v>2272</v>
      </c>
      <c r="P96" s="91">
        <v>227</v>
      </c>
    </row>
    <row r="97" ht="17.25" spans="2:16">
      <c r="B97" s="88">
        <v>94</v>
      </c>
      <c r="C97" s="88">
        <v>8260</v>
      </c>
      <c r="D97" s="89">
        <v>826</v>
      </c>
      <c r="E97" s="88">
        <v>348</v>
      </c>
      <c r="F97" s="88">
        <v>26200</v>
      </c>
      <c r="G97" s="88">
        <v>14143</v>
      </c>
      <c r="H97" s="88">
        <v>740400</v>
      </c>
      <c r="J97" s="90">
        <v>94</v>
      </c>
      <c r="K97" s="90">
        <v>100</v>
      </c>
      <c r="L97" s="90" t="s">
        <v>115</v>
      </c>
      <c r="M97" s="90" t="s">
        <v>121</v>
      </c>
      <c r="N97" s="91">
        <f t="shared" si="1"/>
        <v>6</v>
      </c>
      <c r="O97" s="91">
        <v>2797</v>
      </c>
      <c r="P97" s="91">
        <v>279</v>
      </c>
    </row>
    <row r="98" ht="17.25" spans="2:16">
      <c r="B98" s="88">
        <v>95</v>
      </c>
      <c r="C98" s="88">
        <v>8500</v>
      </c>
      <c r="D98" s="89">
        <v>850</v>
      </c>
      <c r="E98" s="88">
        <v>356</v>
      </c>
      <c r="F98" s="88">
        <v>27000</v>
      </c>
      <c r="G98" s="88">
        <v>14499</v>
      </c>
      <c r="H98" s="88">
        <v>767400</v>
      </c>
      <c r="J98" s="90">
        <v>95</v>
      </c>
      <c r="K98" s="90">
        <v>100</v>
      </c>
      <c r="L98" s="90" t="s">
        <v>115</v>
      </c>
      <c r="M98" s="90" t="s">
        <v>122</v>
      </c>
      <c r="N98" s="91">
        <f t="shared" si="1"/>
        <v>7</v>
      </c>
      <c r="O98" s="91">
        <v>4370</v>
      </c>
      <c r="P98" s="91">
        <v>437</v>
      </c>
    </row>
    <row r="99" ht="17.25" spans="2:16">
      <c r="B99" s="88">
        <v>96</v>
      </c>
      <c r="C99" s="88">
        <v>8740</v>
      </c>
      <c r="D99" s="89">
        <v>874</v>
      </c>
      <c r="E99" s="88">
        <v>364</v>
      </c>
      <c r="F99" s="88">
        <v>27800</v>
      </c>
      <c r="G99" s="88">
        <v>14863</v>
      </c>
      <c r="H99" s="88">
        <v>795200</v>
      </c>
      <c r="J99" s="90">
        <v>96</v>
      </c>
      <c r="K99" s="90">
        <v>100</v>
      </c>
      <c r="L99" s="90" t="s">
        <v>115</v>
      </c>
      <c r="M99" s="90" t="s">
        <v>123</v>
      </c>
      <c r="N99" s="91">
        <f t="shared" si="1"/>
        <v>8</v>
      </c>
      <c r="O99" s="91">
        <v>5245</v>
      </c>
      <c r="P99" s="91">
        <v>524</v>
      </c>
    </row>
    <row r="100" ht="17.25" spans="2:16">
      <c r="B100" s="88">
        <v>97</v>
      </c>
      <c r="C100" s="88">
        <v>8980</v>
      </c>
      <c r="D100" s="89">
        <v>898</v>
      </c>
      <c r="E100" s="88">
        <v>372</v>
      </c>
      <c r="F100" s="88">
        <v>28600</v>
      </c>
      <c r="G100" s="88">
        <v>15235</v>
      </c>
      <c r="H100" s="88">
        <v>823800</v>
      </c>
      <c r="J100" s="90">
        <v>97</v>
      </c>
      <c r="K100" s="90">
        <v>110</v>
      </c>
      <c r="L100" s="90" t="s">
        <v>115</v>
      </c>
      <c r="M100" s="90" t="s">
        <v>116</v>
      </c>
      <c r="N100" s="91">
        <f t="shared" si="1"/>
        <v>1</v>
      </c>
      <c r="O100" s="91">
        <v>1206</v>
      </c>
      <c r="P100" s="91">
        <v>120</v>
      </c>
    </row>
    <row r="101" ht="17.25" spans="2:16">
      <c r="B101" s="88">
        <v>98</v>
      </c>
      <c r="C101" s="88">
        <v>9220</v>
      </c>
      <c r="D101" s="89">
        <v>922</v>
      </c>
      <c r="E101" s="88">
        <v>380</v>
      </c>
      <c r="F101" s="88">
        <v>29400</v>
      </c>
      <c r="G101" s="88">
        <v>15615</v>
      </c>
      <c r="H101" s="88">
        <v>853200</v>
      </c>
      <c r="J101" s="90">
        <v>98</v>
      </c>
      <c r="K101" s="90">
        <v>110</v>
      </c>
      <c r="L101" s="90" t="s">
        <v>115</v>
      </c>
      <c r="M101" s="90" t="s">
        <v>117</v>
      </c>
      <c r="N101" s="91">
        <f t="shared" si="1"/>
        <v>2</v>
      </c>
      <c r="O101" s="91">
        <v>1507</v>
      </c>
      <c r="P101" s="91">
        <v>150</v>
      </c>
    </row>
    <row r="102" ht="17.25" spans="2:16">
      <c r="B102" s="88">
        <v>99</v>
      </c>
      <c r="C102" s="88">
        <v>9460</v>
      </c>
      <c r="D102" s="89">
        <v>946</v>
      </c>
      <c r="E102" s="88">
        <v>388</v>
      </c>
      <c r="F102" s="88">
        <v>30200</v>
      </c>
      <c r="G102" s="88">
        <v>16003</v>
      </c>
      <c r="H102" s="88">
        <v>883400</v>
      </c>
      <c r="J102" s="90">
        <v>99</v>
      </c>
      <c r="K102" s="90">
        <v>110</v>
      </c>
      <c r="L102" s="90" t="s">
        <v>115</v>
      </c>
      <c r="M102" s="90" t="s">
        <v>118</v>
      </c>
      <c r="N102" s="91">
        <f t="shared" si="1"/>
        <v>3</v>
      </c>
      <c r="O102" s="91">
        <v>1809</v>
      </c>
      <c r="P102" s="91">
        <v>180</v>
      </c>
    </row>
    <row r="103" ht="17.25" spans="2:16">
      <c r="B103" s="88">
        <v>100</v>
      </c>
      <c r="C103" s="88">
        <v>9740</v>
      </c>
      <c r="D103" s="89">
        <v>974</v>
      </c>
      <c r="E103" s="88">
        <v>396</v>
      </c>
      <c r="F103" s="88">
        <v>31000</v>
      </c>
      <c r="G103" s="88">
        <v>16399</v>
      </c>
      <c r="H103" s="88">
        <v>914400</v>
      </c>
      <c r="J103" s="90">
        <v>100</v>
      </c>
      <c r="K103" s="90">
        <v>110</v>
      </c>
      <c r="L103" s="90" t="s">
        <v>115</v>
      </c>
      <c r="M103" s="90" t="s">
        <v>119</v>
      </c>
      <c r="N103" s="91">
        <f t="shared" si="1"/>
        <v>4</v>
      </c>
      <c r="O103" s="91">
        <v>2170</v>
      </c>
      <c r="P103" s="91">
        <v>217</v>
      </c>
    </row>
    <row r="104" ht="17.25" spans="2:16">
      <c r="B104" s="88">
        <v>101</v>
      </c>
      <c r="C104" s="88">
        <v>10020</v>
      </c>
      <c r="D104" s="89">
        <v>1002</v>
      </c>
      <c r="E104" s="88">
        <v>404</v>
      </c>
      <c r="F104" s="88">
        <v>31800</v>
      </c>
      <c r="G104" s="88">
        <v>16803</v>
      </c>
      <c r="H104" s="88">
        <v>946200</v>
      </c>
      <c r="J104" s="90">
        <v>101</v>
      </c>
      <c r="K104" s="90">
        <v>110</v>
      </c>
      <c r="L104" s="90" t="s">
        <v>115</v>
      </c>
      <c r="M104" s="90" t="s">
        <v>120</v>
      </c>
      <c r="N104" s="91">
        <f t="shared" si="1"/>
        <v>5</v>
      </c>
      <c r="O104" s="91">
        <v>2613</v>
      </c>
      <c r="P104" s="91">
        <v>261</v>
      </c>
    </row>
    <row r="105" ht="17.25" spans="2:16">
      <c r="B105" s="88">
        <v>102</v>
      </c>
      <c r="C105" s="88">
        <v>10300</v>
      </c>
      <c r="D105" s="89">
        <v>1030</v>
      </c>
      <c r="E105" s="88">
        <v>412</v>
      </c>
      <c r="F105" s="88">
        <v>32600</v>
      </c>
      <c r="G105" s="88">
        <v>17215</v>
      </c>
      <c r="H105" s="88">
        <v>978800</v>
      </c>
      <c r="J105" s="90">
        <v>102</v>
      </c>
      <c r="K105" s="90">
        <v>110</v>
      </c>
      <c r="L105" s="90" t="s">
        <v>115</v>
      </c>
      <c r="M105" s="91" t="s">
        <v>121</v>
      </c>
      <c r="N105" s="91">
        <f t="shared" si="1"/>
        <v>6</v>
      </c>
      <c r="O105" s="91">
        <v>3216</v>
      </c>
      <c r="P105" s="91">
        <v>321</v>
      </c>
    </row>
    <row r="106" ht="17.25" spans="2:16">
      <c r="B106" s="88">
        <v>103</v>
      </c>
      <c r="C106" s="88">
        <v>10580</v>
      </c>
      <c r="D106" s="89">
        <v>1058</v>
      </c>
      <c r="E106" s="88">
        <v>420</v>
      </c>
      <c r="F106" s="88">
        <v>33400</v>
      </c>
      <c r="G106" s="88">
        <v>17635</v>
      </c>
      <c r="H106" s="88">
        <v>1012200</v>
      </c>
      <c r="J106" s="90">
        <v>103</v>
      </c>
      <c r="K106" s="90">
        <v>110</v>
      </c>
      <c r="L106" s="90" t="s">
        <v>115</v>
      </c>
      <c r="M106" s="91" t="s">
        <v>122</v>
      </c>
      <c r="N106" s="91">
        <f t="shared" si="1"/>
        <v>7</v>
      </c>
      <c r="O106" s="91">
        <v>5025</v>
      </c>
      <c r="P106" s="91">
        <v>502</v>
      </c>
    </row>
    <row r="107" ht="17.25" spans="2:16">
      <c r="B107" s="88">
        <v>104</v>
      </c>
      <c r="C107" s="88">
        <v>10860</v>
      </c>
      <c r="D107" s="89">
        <v>1086</v>
      </c>
      <c r="E107" s="88">
        <v>428</v>
      </c>
      <c r="F107" s="88">
        <v>34200</v>
      </c>
      <c r="G107" s="88">
        <v>18063</v>
      </c>
      <c r="H107" s="88">
        <v>1046400</v>
      </c>
      <c r="J107" s="90">
        <v>104</v>
      </c>
      <c r="K107" s="90">
        <v>110</v>
      </c>
      <c r="L107" s="90" t="s">
        <v>115</v>
      </c>
      <c r="M107" s="91" t="s">
        <v>123</v>
      </c>
      <c r="N107" s="91">
        <f t="shared" si="1"/>
        <v>8</v>
      </c>
      <c r="O107" s="91">
        <v>6030</v>
      </c>
      <c r="P107" s="91">
        <v>603</v>
      </c>
    </row>
    <row r="108" ht="17.25" spans="2:16">
      <c r="B108" s="88">
        <v>105</v>
      </c>
      <c r="C108" s="88">
        <v>11140</v>
      </c>
      <c r="D108" s="89">
        <v>1114</v>
      </c>
      <c r="E108" s="88">
        <v>436</v>
      </c>
      <c r="F108" s="88">
        <v>35000</v>
      </c>
      <c r="G108" s="88">
        <v>18499</v>
      </c>
      <c r="H108" s="88">
        <v>1081400</v>
      </c>
      <c r="J108" s="90">
        <v>105</v>
      </c>
      <c r="K108" s="90">
        <v>120</v>
      </c>
      <c r="L108" s="90" t="s">
        <v>115</v>
      </c>
      <c r="M108" s="91" t="s">
        <v>116</v>
      </c>
      <c r="N108" s="91">
        <f t="shared" si="1"/>
        <v>1</v>
      </c>
      <c r="O108" s="91">
        <v>1386</v>
      </c>
      <c r="P108" s="91">
        <v>138</v>
      </c>
    </row>
    <row r="109" ht="17.25" spans="2:16">
      <c r="B109" s="88">
        <v>106</v>
      </c>
      <c r="C109" s="88">
        <v>11420</v>
      </c>
      <c r="D109" s="89">
        <v>1142</v>
      </c>
      <c r="E109" s="88">
        <v>444</v>
      </c>
      <c r="F109" s="88">
        <v>35800</v>
      </c>
      <c r="G109" s="88">
        <v>18943</v>
      </c>
      <c r="H109" s="88">
        <v>1117200</v>
      </c>
      <c r="J109" s="90">
        <v>106</v>
      </c>
      <c r="K109" s="90">
        <v>120</v>
      </c>
      <c r="L109" s="90" t="s">
        <v>115</v>
      </c>
      <c r="M109" s="91" t="s">
        <v>117</v>
      </c>
      <c r="N109" s="91">
        <f t="shared" si="1"/>
        <v>2</v>
      </c>
      <c r="O109" s="91">
        <v>1732</v>
      </c>
      <c r="P109" s="91">
        <v>173</v>
      </c>
    </row>
    <row r="110" ht="17.25" spans="2:16">
      <c r="B110" s="88">
        <v>107</v>
      </c>
      <c r="C110" s="88">
        <v>11740</v>
      </c>
      <c r="D110" s="89">
        <v>1174</v>
      </c>
      <c r="E110" s="88">
        <v>452</v>
      </c>
      <c r="F110" s="88">
        <v>36600</v>
      </c>
      <c r="G110" s="88">
        <v>19395</v>
      </c>
      <c r="H110" s="88">
        <v>1153800</v>
      </c>
      <c r="J110" s="90">
        <v>107</v>
      </c>
      <c r="K110" s="90">
        <v>120</v>
      </c>
      <c r="L110" s="90" t="s">
        <v>115</v>
      </c>
      <c r="M110" s="91" t="s">
        <v>118</v>
      </c>
      <c r="N110" s="91">
        <f t="shared" si="1"/>
        <v>3</v>
      </c>
      <c r="O110" s="91">
        <v>2079</v>
      </c>
      <c r="P110" s="91">
        <v>207</v>
      </c>
    </row>
    <row r="111" ht="17.25" spans="2:16">
      <c r="B111" s="88">
        <v>108</v>
      </c>
      <c r="C111" s="88">
        <v>12060</v>
      </c>
      <c r="D111" s="89">
        <v>1206</v>
      </c>
      <c r="E111" s="88">
        <v>460</v>
      </c>
      <c r="F111" s="88">
        <v>37400</v>
      </c>
      <c r="G111" s="88">
        <v>19855</v>
      </c>
      <c r="H111" s="88">
        <v>1191200</v>
      </c>
      <c r="J111" s="90">
        <v>108</v>
      </c>
      <c r="K111" s="90">
        <v>120</v>
      </c>
      <c r="L111" s="90" t="s">
        <v>115</v>
      </c>
      <c r="M111" s="91" t="s">
        <v>119</v>
      </c>
      <c r="N111" s="91">
        <f t="shared" si="1"/>
        <v>4</v>
      </c>
      <c r="O111" s="91">
        <v>2494</v>
      </c>
      <c r="P111" s="91">
        <v>249</v>
      </c>
    </row>
    <row r="112" ht="17.25" spans="2:16">
      <c r="B112" s="88">
        <v>109</v>
      </c>
      <c r="C112" s="88">
        <v>12380</v>
      </c>
      <c r="D112" s="89">
        <v>1238</v>
      </c>
      <c r="E112" s="88">
        <v>468</v>
      </c>
      <c r="F112" s="88">
        <v>38200</v>
      </c>
      <c r="G112" s="88">
        <v>20323</v>
      </c>
      <c r="H112" s="88">
        <v>1229400</v>
      </c>
      <c r="J112" s="90">
        <v>109</v>
      </c>
      <c r="K112" s="90">
        <v>120</v>
      </c>
      <c r="L112" s="90" t="s">
        <v>115</v>
      </c>
      <c r="M112" s="91" t="s">
        <v>120</v>
      </c>
      <c r="N112" s="91">
        <f t="shared" si="1"/>
        <v>5</v>
      </c>
      <c r="O112" s="91">
        <v>3003</v>
      </c>
      <c r="P112" s="91">
        <v>300</v>
      </c>
    </row>
    <row r="113" ht="17.25" spans="2:16">
      <c r="B113" s="88">
        <v>110</v>
      </c>
      <c r="C113" s="88">
        <v>12700</v>
      </c>
      <c r="D113" s="89">
        <v>1270</v>
      </c>
      <c r="E113" s="88">
        <v>476</v>
      </c>
      <c r="F113" s="88">
        <v>39000</v>
      </c>
      <c r="G113" s="88">
        <v>20799</v>
      </c>
      <c r="H113" s="88">
        <v>1268400</v>
      </c>
      <c r="J113" s="90">
        <v>110</v>
      </c>
      <c r="K113" s="90">
        <v>120</v>
      </c>
      <c r="L113" s="90" t="s">
        <v>115</v>
      </c>
      <c r="M113" s="91" t="s">
        <v>121</v>
      </c>
      <c r="N113" s="91">
        <f t="shared" si="1"/>
        <v>6</v>
      </c>
      <c r="O113" s="91">
        <v>3696</v>
      </c>
      <c r="P113" s="91">
        <v>369</v>
      </c>
    </row>
    <row r="114" ht="17.25" spans="2:16">
      <c r="B114" s="88">
        <v>111</v>
      </c>
      <c r="C114" s="88">
        <v>13020</v>
      </c>
      <c r="D114" s="89">
        <v>1302</v>
      </c>
      <c r="E114" s="88">
        <v>484</v>
      </c>
      <c r="F114" s="88">
        <v>39800</v>
      </c>
      <c r="G114" s="88">
        <v>21283</v>
      </c>
      <c r="H114" s="88">
        <v>1308200</v>
      </c>
      <c r="J114" s="90">
        <v>111</v>
      </c>
      <c r="K114" s="90">
        <v>120</v>
      </c>
      <c r="L114" s="90" t="s">
        <v>115</v>
      </c>
      <c r="M114" s="91" t="s">
        <v>122</v>
      </c>
      <c r="N114" s="91">
        <f t="shared" si="1"/>
        <v>7</v>
      </c>
      <c r="O114" s="91">
        <v>5775</v>
      </c>
      <c r="P114" s="91">
        <v>577</v>
      </c>
    </row>
    <row r="115" ht="17.25" spans="2:16">
      <c r="B115" s="88">
        <v>112</v>
      </c>
      <c r="C115" s="88">
        <v>13340</v>
      </c>
      <c r="D115" s="89">
        <v>1334</v>
      </c>
      <c r="E115" s="88">
        <v>492</v>
      </c>
      <c r="F115" s="88">
        <v>40600</v>
      </c>
      <c r="G115" s="88">
        <v>21775</v>
      </c>
      <c r="H115" s="88">
        <v>1348800</v>
      </c>
      <c r="J115" s="90">
        <v>112</v>
      </c>
      <c r="K115" s="90">
        <v>120</v>
      </c>
      <c r="L115" s="90" t="s">
        <v>115</v>
      </c>
      <c r="M115" s="91" t="s">
        <v>123</v>
      </c>
      <c r="N115" s="91">
        <f t="shared" si="1"/>
        <v>8</v>
      </c>
      <c r="O115" s="91">
        <v>6930</v>
      </c>
      <c r="P115" s="91">
        <v>693</v>
      </c>
    </row>
    <row r="116" ht="17.25" spans="2:16">
      <c r="B116" s="88">
        <v>113</v>
      </c>
      <c r="C116" s="88">
        <v>13660</v>
      </c>
      <c r="D116" s="89">
        <v>1366</v>
      </c>
      <c r="E116" s="88">
        <v>500</v>
      </c>
      <c r="F116" s="88">
        <v>41400</v>
      </c>
      <c r="G116" s="88">
        <v>22275</v>
      </c>
      <c r="H116" s="88">
        <v>1390200</v>
      </c>
      <c r="J116" s="90">
        <v>113</v>
      </c>
      <c r="K116" s="90">
        <v>130</v>
      </c>
      <c r="L116" s="90" t="s">
        <v>115</v>
      </c>
      <c r="M116" s="91" t="s">
        <v>116</v>
      </c>
      <c r="N116" s="91">
        <f t="shared" si="1"/>
        <v>1</v>
      </c>
      <c r="O116" s="91">
        <v>1593</v>
      </c>
      <c r="P116" s="91">
        <v>159</v>
      </c>
    </row>
    <row r="117" ht="17.25" spans="2:16">
      <c r="B117" s="88">
        <v>114</v>
      </c>
      <c r="C117" s="88">
        <v>13980</v>
      </c>
      <c r="D117" s="89">
        <v>1398</v>
      </c>
      <c r="E117" s="88">
        <v>508</v>
      </c>
      <c r="F117" s="88">
        <v>42200</v>
      </c>
      <c r="G117" s="88">
        <v>22783</v>
      </c>
      <c r="H117" s="88">
        <v>1432400</v>
      </c>
      <c r="J117" s="90">
        <v>114</v>
      </c>
      <c r="K117" s="90">
        <v>130</v>
      </c>
      <c r="L117" s="90" t="s">
        <v>115</v>
      </c>
      <c r="M117" s="91" t="s">
        <v>117</v>
      </c>
      <c r="N117" s="91">
        <f t="shared" si="1"/>
        <v>2</v>
      </c>
      <c r="O117" s="91">
        <v>1991</v>
      </c>
      <c r="P117" s="91">
        <v>199</v>
      </c>
    </row>
    <row r="118" ht="17.25" spans="2:16">
      <c r="B118" s="88">
        <v>115</v>
      </c>
      <c r="C118" s="88">
        <v>14340</v>
      </c>
      <c r="D118" s="89">
        <v>1434</v>
      </c>
      <c r="E118" s="88">
        <v>516</v>
      </c>
      <c r="F118" s="88">
        <v>43000</v>
      </c>
      <c r="G118" s="88">
        <v>23299</v>
      </c>
      <c r="H118" s="88">
        <v>1475400</v>
      </c>
      <c r="J118" s="90">
        <v>115</v>
      </c>
      <c r="K118" s="90">
        <v>130</v>
      </c>
      <c r="L118" s="90" t="s">
        <v>115</v>
      </c>
      <c r="M118" s="91" t="s">
        <v>118</v>
      </c>
      <c r="N118" s="91">
        <f t="shared" si="1"/>
        <v>3</v>
      </c>
      <c r="O118" s="91">
        <v>2389</v>
      </c>
      <c r="P118" s="91">
        <v>238</v>
      </c>
    </row>
    <row r="119" ht="17.25" spans="2:16">
      <c r="B119" s="88">
        <v>116</v>
      </c>
      <c r="C119" s="88">
        <v>14700</v>
      </c>
      <c r="D119" s="89">
        <v>1470</v>
      </c>
      <c r="E119" s="88">
        <v>524</v>
      </c>
      <c r="F119" s="88">
        <v>43800</v>
      </c>
      <c r="G119" s="88">
        <v>23823</v>
      </c>
      <c r="H119" s="88">
        <v>1519200</v>
      </c>
      <c r="J119" s="90">
        <v>116</v>
      </c>
      <c r="K119" s="90">
        <v>130</v>
      </c>
      <c r="L119" s="90" t="s">
        <v>115</v>
      </c>
      <c r="M119" s="91" t="s">
        <v>119</v>
      </c>
      <c r="N119" s="91">
        <f t="shared" si="1"/>
        <v>4</v>
      </c>
      <c r="O119" s="91">
        <v>2867</v>
      </c>
      <c r="P119" s="91">
        <v>286</v>
      </c>
    </row>
    <row r="120" ht="17.25" spans="2:16">
      <c r="B120" s="88">
        <v>117</v>
      </c>
      <c r="C120" s="88">
        <v>15060</v>
      </c>
      <c r="D120" s="89">
        <v>1506</v>
      </c>
      <c r="E120" s="88">
        <v>532</v>
      </c>
      <c r="F120" s="88">
        <v>44600</v>
      </c>
      <c r="G120" s="88">
        <v>24355</v>
      </c>
      <c r="H120" s="88">
        <v>1563800</v>
      </c>
      <c r="J120" s="90">
        <v>117</v>
      </c>
      <c r="K120" s="90">
        <v>130</v>
      </c>
      <c r="L120" s="90" t="s">
        <v>115</v>
      </c>
      <c r="M120" s="91" t="s">
        <v>120</v>
      </c>
      <c r="N120" s="91">
        <f t="shared" si="1"/>
        <v>5</v>
      </c>
      <c r="O120" s="91">
        <v>3451</v>
      </c>
      <c r="P120" s="91">
        <v>345</v>
      </c>
    </row>
    <row r="121" ht="17.25" spans="2:16">
      <c r="B121" s="88">
        <v>118</v>
      </c>
      <c r="C121" s="88">
        <v>15420</v>
      </c>
      <c r="D121" s="89">
        <v>1542</v>
      </c>
      <c r="E121" s="88">
        <v>540</v>
      </c>
      <c r="F121" s="88">
        <v>45400</v>
      </c>
      <c r="G121" s="88">
        <v>24895</v>
      </c>
      <c r="H121" s="88">
        <v>1609200</v>
      </c>
      <c r="J121" s="90">
        <v>118</v>
      </c>
      <c r="K121" s="90">
        <v>130</v>
      </c>
      <c r="L121" s="90" t="s">
        <v>115</v>
      </c>
      <c r="M121" s="91" t="s">
        <v>121</v>
      </c>
      <c r="N121" s="91">
        <f t="shared" si="1"/>
        <v>6</v>
      </c>
      <c r="O121" s="91">
        <v>4248</v>
      </c>
      <c r="P121" s="91">
        <v>424</v>
      </c>
    </row>
    <row r="122" ht="17.25" spans="2:16">
      <c r="B122" s="88">
        <v>119</v>
      </c>
      <c r="C122" s="88">
        <v>15780</v>
      </c>
      <c r="D122" s="89">
        <v>1578</v>
      </c>
      <c r="E122" s="88">
        <v>548</v>
      </c>
      <c r="F122" s="88">
        <v>46200</v>
      </c>
      <c r="G122" s="88">
        <v>25443</v>
      </c>
      <c r="H122" s="88">
        <v>1655400</v>
      </c>
      <c r="J122" s="90">
        <v>119</v>
      </c>
      <c r="K122" s="90">
        <v>130</v>
      </c>
      <c r="L122" s="90" t="s">
        <v>115</v>
      </c>
      <c r="M122" s="91" t="s">
        <v>122</v>
      </c>
      <c r="N122" s="91">
        <f t="shared" si="1"/>
        <v>7</v>
      </c>
      <c r="O122" s="91">
        <v>6637</v>
      </c>
      <c r="P122" s="91">
        <v>663</v>
      </c>
    </row>
    <row r="123" ht="17.25" spans="2:16">
      <c r="B123" s="88">
        <v>120</v>
      </c>
      <c r="C123" s="88">
        <v>16140</v>
      </c>
      <c r="D123" s="89">
        <v>1614</v>
      </c>
      <c r="E123" s="88">
        <v>556</v>
      </c>
      <c r="F123" s="88">
        <v>47000</v>
      </c>
      <c r="G123" s="88">
        <v>25999</v>
      </c>
      <c r="H123" s="88">
        <v>1702400</v>
      </c>
      <c r="J123" s="90">
        <v>120</v>
      </c>
      <c r="K123" s="90">
        <v>130</v>
      </c>
      <c r="L123" s="90" t="s">
        <v>115</v>
      </c>
      <c r="M123" s="91" t="s">
        <v>123</v>
      </c>
      <c r="N123" s="91">
        <f t="shared" si="1"/>
        <v>8</v>
      </c>
      <c r="O123" s="91">
        <v>7965</v>
      </c>
      <c r="P123" s="91">
        <v>796</v>
      </c>
    </row>
    <row r="124" ht="17.25" spans="2:16">
      <c r="B124" s="88">
        <v>121</v>
      </c>
      <c r="C124" s="88">
        <v>16500</v>
      </c>
      <c r="D124" s="89">
        <v>1650</v>
      </c>
      <c r="E124" s="88">
        <v>564</v>
      </c>
      <c r="F124" s="88">
        <v>47800</v>
      </c>
      <c r="G124" s="88">
        <v>26563</v>
      </c>
      <c r="H124" s="88">
        <v>1750200</v>
      </c>
      <c r="J124" s="90">
        <v>121</v>
      </c>
      <c r="K124" s="90">
        <v>140</v>
      </c>
      <c r="L124" s="90" t="s">
        <v>115</v>
      </c>
      <c r="M124" s="91" t="s">
        <v>116</v>
      </c>
      <c r="N124" s="91">
        <f t="shared" si="1"/>
        <v>1</v>
      </c>
      <c r="O124" s="91">
        <v>1831</v>
      </c>
      <c r="P124" s="91">
        <v>183</v>
      </c>
    </row>
    <row r="125" ht="17.25" spans="2:16">
      <c r="B125" s="88">
        <v>122</v>
      </c>
      <c r="C125" s="88">
        <v>16860</v>
      </c>
      <c r="D125" s="89">
        <v>1686</v>
      </c>
      <c r="E125" s="88">
        <v>572</v>
      </c>
      <c r="F125" s="88">
        <v>48600</v>
      </c>
      <c r="G125" s="88">
        <v>27135</v>
      </c>
      <c r="H125" s="88">
        <v>1798800</v>
      </c>
      <c r="J125" s="90">
        <v>122</v>
      </c>
      <c r="K125" s="90">
        <v>140</v>
      </c>
      <c r="L125" s="90" t="s">
        <v>115</v>
      </c>
      <c r="M125" s="91" t="s">
        <v>117</v>
      </c>
      <c r="N125" s="91">
        <f t="shared" si="1"/>
        <v>2</v>
      </c>
      <c r="O125" s="91">
        <v>2288</v>
      </c>
      <c r="P125" s="91">
        <v>228</v>
      </c>
    </row>
    <row r="126" ht="17.25" spans="2:16">
      <c r="B126" s="88">
        <v>123</v>
      </c>
      <c r="C126" s="88">
        <v>17220</v>
      </c>
      <c r="D126" s="89">
        <v>1722</v>
      </c>
      <c r="E126" s="88">
        <v>580</v>
      </c>
      <c r="F126" s="88">
        <v>49400</v>
      </c>
      <c r="G126" s="88">
        <v>27715</v>
      </c>
      <c r="H126" s="88">
        <v>1848200</v>
      </c>
      <c r="J126" s="90">
        <v>123</v>
      </c>
      <c r="K126" s="90">
        <v>140</v>
      </c>
      <c r="L126" s="90" t="s">
        <v>115</v>
      </c>
      <c r="M126" s="91" t="s">
        <v>118</v>
      </c>
      <c r="N126" s="91">
        <f t="shared" si="1"/>
        <v>3</v>
      </c>
      <c r="O126" s="91">
        <v>2746</v>
      </c>
      <c r="P126" s="91">
        <v>274</v>
      </c>
    </row>
    <row r="127" ht="17.25" spans="2:16">
      <c r="B127" s="88">
        <v>124</v>
      </c>
      <c r="C127" s="88">
        <v>17580</v>
      </c>
      <c r="D127" s="89">
        <v>1758</v>
      </c>
      <c r="E127" s="88">
        <v>588</v>
      </c>
      <c r="F127" s="88">
        <v>50200</v>
      </c>
      <c r="G127" s="88">
        <v>28303</v>
      </c>
      <c r="H127" s="88">
        <v>1898400</v>
      </c>
      <c r="J127" s="90">
        <v>124</v>
      </c>
      <c r="K127" s="90">
        <v>140</v>
      </c>
      <c r="L127" s="90" t="s">
        <v>115</v>
      </c>
      <c r="M127" s="91" t="s">
        <v>119</v>
      </c>
      <c r="N127" s="91">
        <f t="shared" si="1"/>
        <v>4</v>
      </c>
      <c r="O127" s="91">
        <v>3295</v>
      </c>
      <c r="P127" s="91">
        <v>329</v>
      </c>
    </row>
    <row r="128" ht="17.25" spans="2:16">
      <c r="B128" s="88">
        <v>125</v>
      </c>
      <c r="C128" s="88">
        <v>17980</v>
      </c>
      <c r="D128" s="89">
        <v>1798</v>
      </c>
      <c r="E128" s="88">
        <v>596</v>
      </c>
      <c r="F128" s="88">
        <v>51000</v>
      </c>
      <c r="G128" s="88">
        <v>28899</v>
      </c>
      <c r="H128" s="88">
        <v>1949400</v>
      </c>
      <c r="J128" s="90">
        <v>125</v>
      </c>
      <c r="K128" s="90">
        <v>140</v>
      </c>
      <c r="L128" s="90" t="s">
        <v>115</v>
      </c>
      <c r="M128" s="91" t="s">
        <v>120</v>
      </c>
      <c r="N128" s="91">
        <f t="shared" si="1"/>
        <v>5</v>
      </c>
      <c r="O128" s="91">
        <v>3967</v>
      </c>
      <c r="P128" s="91">
        <v>396</v>
      </c>
    </row>
    <row r="129" ht="17.25" spans="2:16">
      <c r="B129" s="88">
        <v>126</v>
      </c>
      <c r="C129" s="88">
        <v>18380</v>
      </c>
      <c r="D129" s="89">
        <v>1838</v>
      </c>
      <c r="E129" s="88">
        <v>604</v>
      </c>
      <c r="F129" s="88">
        <v>51800</v>
      </c>
      <c r="G129" s="88">
        <v>29503</v>
      </c>
      <c r="H129" s="88">
        <v>2001200</v>
      </c>
      <c r="J129" s="90">
        <v>126</v>
      </c>
      <c r="K129" s="90">
        <v>140</v>
      </c>
      <c r="L129" s="90" t="s">
        <v>115</v>
      </c>
      <c r="M129" s="91" t="s">
        <v>121</v>
      </c>
      <c r="N129" s="91">
        <f t="shared" si="1"/>
        <v>6</v>
      </c>
      <c r="O129" s="91">
        <v>4882</v>
      </c>
      <c r="P129" s="91">
        <v>488</v>
      </c>
    </row>
    <row r="130" ht="17.25" spans="2:16">
      <c r="B130" s="88">
        <v>127</v>
      </c>
      <c r="C130" s="88">
        <v>18780</v>
      </c>
      <c r="D130" s="89">
        <v>1878</v>
      </c>
      <c r="E130" s="88">
        <v>612</v>
      </c>
      <c r="F130" s="88">
        <v>52600</v>
      </c>
      <c r="G130" s="88">
        <v>30115</v>
      </c>
      <c r="H130" s="88">
        <v>2053800</v>
      </c>
      <c r="J130" s="90">
        <v>127</v>
      </c>
      <c r="K130" s="90">
        <v>140</v>
      </c>
      <c r="L130" s="90" t="s">
        <v>115</v>
      </c>
      <c r="M130" s="91" t="s">
        <v>122</v>
      </c>
      <c r="N130" s="91">
        <f t="shared" si="1"/>
        <v>7</v>
      </c>
      <c r="O130" s="91">
        <v>7629</v>
      </c>
      <c r="P130" s="91">
        <v>762</v>
      </c>
    </row>
    <row r="131" ht="17.25" spans="2:16">
      <c r="B131" s="88">
        <v>128</v>
      </c>
      <c r="C131" s="88">
        <v>19180</v>
      </c>
      <c r="D131" s="89">
        <v>1918</v>
      </c>
      <c r="E131" s="88">
        <v>620</v>
      </c>
      <c r="F131" s="88">
        <v>53400</v>
      </c>
      <c r="G131" s="88">
        <v>30735</v>
      </c>
      <c r="H131" s="88">
        <v>2107200</v>
      </c>
      <c r="J131" s="90">
        <v>128</v>
      </c>
      <c r="K131" s="90">
        <v>140</v>
      </c>
      <c r="L131" s="90" t="s">
        <v>115</v>
      </c>
      <c r="M131" s="91" t="s">
        <v>123</v>
      </c>
      <c r="N131" s="91">
        <f t="shared" si="1"/>
        <v>8</v>
      </c>
      <c r="O131" s="91">
        <v>9155</v>
      </c>
      <c r="P131" s="91">
        <v>915</v>
      </c>
    </row>
    <row r="132" ht="17.25" spans="2:16">
      <c r="B132" s="88">
        <v>129</v>
      </c>
      <c r="C132" s="88">
        <v>19580</v>
      </c>
      <c r="D132" s="89">
        <v>1958</v>
      </c>
      <c r="E132" s="88">
        <v>628</v>
      </c>
      <c r="F132" s="88">
        <v>54200</v>
      </c>
      <c r="G132" s="88">
        <v>31363</v>
      </c>
      <c r="H132" s="88">
        <v>2161400</v>
      </c>
      <c r="J132" s="90">
        <v>129</v>
      </c>
      <c r="K132" s="90">
        <v>150</v>
      </c>
      <c r="L132" s="90" t="s">
        <v>115</v>
      </c>
      <c r="M132" s="91" t="s">
        <v>116</v>
      </c>
      <c r="N132" s="91">
        <f t="shared" ref="N132:N195" si="2">MATCH(M132,$M$4:$M$11,0)</f>
        <v>1</v>
      </c>
      <c r="O132" s="91">
        <v>2105</v>
      </c>
      <c r="P132" s="91">
        <v>210</v>
      </c>
    </row>
    <row r="133" ht="17.25" spans="2:16">
      <c r="B133" s="88">
        <v>130</v>
      </c>
      <c r="C133" s="88">
        <v>19980</v>
      </c>
      <c r="D133" s="89">
        <v>1998</v>
      </c>
      <c r="E133" s="88">
        <v>636</v>
      </c>
      <c r="F133" s="88">
        <v>55000</v>
      </c>
      <c r="G133" s="88">
        <v>31999</v>
      </c>
      <c r="H133" s="88">
        <v>2216400</v>
      </c>
      <c r="J133" s="90">
        <v>130</v>
      </c>
      <c r="K133" s="90">
        <v>150</v>
      </c>
      <c r="L133" s="90" t="s">
        <v>115</v>
      </c>
      <c r="M133" s="91" t="s">
        <v>117</v>
      </c>
      <c r="N133" s="91">
        <f t="shared" si="2"/>
        <v>2</v>
      </c>
      <c r="O133" s="91">
        <v>2631</v>
      </c>
      <c r="P133" s="91">
        <v>263</v>
      </c>
    </row>
    <row r="134" ht="17.25" spans="2:16">
      <c r="B134" s="88">
        <v>131</v>
      </c>
      <c r="C134" s="88">
        <v>20380</v>
      </c>
      <c r="D134" s="89">
        <v>2038</v>
      </c>
      <c r="E134" s="88">
        <v>644</v>
      </c>
      <c r="F134" s="88">
        <v>55800</v>
      </c>
      <c r="G134" s="88">
        <v>32643</v>
      </c>
      <c r="H134" s="88">
        <v>2272200</v>
      </c>
      <c r="J134" s="90">
        <v>131</v>
      </c>
      <c r="K134" s="90">
        <v>150</v>
      </c>
      <c r="L134" s="90" t="s">
        <v>115</v>
      </c>
      <c r="M134" s="91" t="s">
        <v>118</v>
      </c>
      <c r="N134" s="91">
        <f t="shared" si="2"/>
        <v>3</v>
      </c>
      <c r="O134" s="91">
        <v>3157</v>
      </c>
      <c r="P134" s="91">
        <v>315</v>
      </c>
    </row>
    <row r="135" ht="17.25" spans="2:16">
      <c r="B135" s="88">
        <v>132</v>
      </c>
      <c r="C135" s="88">
        <v>20780</v>
      </c>
      <c r="D135" s="89">
        <v>2078</v>
      </c>
      <c r="E135" s="88">
        <v>652</v>
      </c>
      <c r="F135" s="88">
        <v>56600</v>
      </c>
      <c r="G135" s="88">
        <v>33295</v>
      </c>
      <c r="H135" s="88">
        <v>2328800</v>
      </c>
      <c r="J135" s="90">
        <v>132</v>
      </c>
      <c r="K135" s="90">
        <v>150</v>
      </c>
      <c r="L135" s="90" t="s">
        <v>115</v>
      </c>
      <c r="M135" s="91" t="s">
        <v>119</v>
      </c>
      <c r="N135" s="91">
        <f t="shared" si="2"/>
        <v>4</v>
      </c>
      <c r="O135" s="91">
        <v>3789</v>
      </c>
      <c r="P135" s="91">
        <v>378</v>
      </c>
    </row>
    <row r="136" ht="17.25" spans="2:16">
      <c r="B136" s="88">
        <v>133</v>
      </c>
      <c r="C136" s="88">
        <v>21180</v>
      </c>
      <c r="D136" s="89">
        <v>2118</v>
      </c>
      <c r="E136" s="88">
        <v>660</v>
      </c>
      <c r="F136" s="88">
        <v>57400</v>
      </c>
      <c r="G136" s="88">
        <v>33955</v>
      </c>
      <c r="H136" s="88">
        <v>2386200</v>
      </c>
      <c r="J136" s="90">
        <v>133</v>
      </c>
      <c r="K136" s="90">
        <v>150</v>
      </c>
      <c r="L136" s="90" t="s">
        <v>115</v>
      </c>
      <c r="M136" s="91" t="s">
        <v>120</v>
      </c>
      <c r="N136" s="91">
        <f t="shared" si="2"/>
        <v>5</v>
      </c>
      <c r="O136" s="91">
        <v>4560</v>
      </c>
      <c r="P136" s="91">
        <v>456</v>
      </c>
    </row>
    <row r="137" ht="17.25" spans="2:16">
      <c r="B137" s="88">
        <v>134</v>
      </c>
      <c r="C137" s="88">
        <v>21580</v>
      </c>
      <c r="D137" s="89">
        <v>2158</v>
      </c>
      <c r="E137" s="88">
        <v>668</v>
      </c>
      <c r="F137" s="88">
        <v>58200</v>
      </c>
      <c r="G137" s="88">
        <v>34623</v>
      </c>
      <c r="H137" s="88">
        <v>2444400</v>
      </c>
      <c r="J137" s="90">
        <v>134</v>
      </c>
      <c r="K137" s="90">
        <v>150</v>
      </c>
      <c r="L137" s="90" t="s">
        <v>115</v>
      </c>
      <c r="M137" s="91" t="s">
        <v>121</v>
      </c>
      <c r="N137" s="91">
        <f t="shared" si="2"/>
        <v>6</v>
      </c>
      <c r="O137" s="91">
        <v>5613</v>
      </c>
      <c r="P137" s="91">
        <v>561</v>
      </c>
    </row>
    <row r="138" ht="17.25" spans="2:16">
      <c r="B138" s="88">
        <v>135</v>
      </c>
      <c r="C138" s="88">
        <v>22030</v>
      </c>
      <c r="D138" s="89">
        <v>2203</v>
      </c>
      <c r="E138" s="88">
        <v>676</v>
      </c>
      <c r="F138" s="88">
        <v>59000</v>
      </c>
      <c r="G138" s="88">
        <v>35299</v>
      </c>
      <c r="H138" s="88">
        <v>2503400</v>
      </c>
      <c r="J138" s="90">
        <v>135</v>
      </c>
      <c r="K138" s="90">
        <v>150</v>
      </c>
      <c r="L138" s="90" t="s">
        <v>115</v>
      </c>
      <c r="M138" s="91" t="s">
        <v>122</v>
      </c>
      <c r="N138" s="91">
        <f t="shared" si="2"/>
        <v>7</v>
      </c>
      <c r="O138" s="91">
        <v>8770</v>
      </c>
      <c r="P138" s="91">
        <v>877</v>
      </c>
    </row>
    <row r="139" ht="17.25" spans="2:16">
      <c r="B139" s="88">
        <v>136</v>
      </c>
      <c r="C139" s="88">
        <v>22480</v>
      </c>
      <c r="D139" s="89">
        <v>2248</v>
      </c>
      <c r="E139" s="88">
        <v>684</v>
      </c>
      <c r="F139" s="88">
        <v>59800</v>
      </c>
      <c r="G139" s="88">
        <v>35983</v>
      </c>
      <c r="H139" s="88">
        <v>2563200</v>
      </c>
      <c r="J139" s="90">
        <v>136</v>
      </c>
      <c r="K139" s="90">
        <v>150</v>
      </c>
      <c r="L139" s="90" t="s">
        <v>115</v>
      </c>
      <c r="M139" s="91" t="s">
        <v>123</v>
      </c>
      <c r="N139" s="91">
        <f t="shared" si="2"/>
        <v>8</v>
      </c>
      <c r="O139" s="91">
        <v>10525</v>
      </c>
      <c r="P139" s="91">
        <v>1052</v>
      </c>
    </row>
    <row r="140" ht="17.25" spans="2:16">
      <c r="B140" s="88">
        <v>137</v>
      </c>
      <c r="C140" s="88">
        <v>22930</v>
      </c>
      <c r="D140" s="89">
        <v>2293</v>
      </c>
      <c r="E140" s="88">
        <v>692</v>
      </c>
      <c r="F140" s="88">
        <v>60600</v>
      </c>
      <c r="G140" s="88">
        <v>36675</v>
      </c>
      <c r="H140" s="88">
        <v>2623800</v>
      </c>
      <c r="J140" s="90">
        <v>137</v>
      </c>
      <c r="K140" s="90">
        <v>160</v>
      </c>
      <c r="L140" s="90" t="s">
        <v>115</v>
      </c>
      <c r="M140" s="91" t="s">
        <v>116</v>
      </c>
      <c r="N140" s="91">
        <f t="shared" si="2"/>
        <v>1</v>
      </c>
      <c r="O140" s="91">
        <v>2420</v>
      </c>
      <c r="P140" s="91">
        <v>242</v>
      </c>
    </row>
    <row r="141" ht="17.25" spans="2:16">
      <c r="B141" s="88">
        <v>138</v>
      </c>
      <c r="C141" s="88">
        <v>23380</v>
      </c>
      <c r="D141" s="89">
        <v>2338</v>
      </c>
      <c r="E141" s="88">
        <v>700</v>
      </c>
      <c r="F141" s="88">
        <v>61400</v>
      </c>
      <c r="G141" s="88">
        <v>37375</v>
      </c>
      <c r="H141" s="88">
        <v>2685200</v>
      </c>
      <c r="J141" s="90">
        <v>138</v>
      </c>
      <c r="K141" s="90">
        <v>160</v>
      </c>
      <c r="L141" s="90" t="s">
        <v>115</v>
      </c>
      <c r="M141" s="91" t="s">
        <v>117</v>
      </c>
      <c r="N141" s="91">
        <f t="shared" si="2"/>
        <v>2</v>
      </c>
      <c r="O141" s="91">
        <v>3025</v>
      </c>
      <c r="P141" s="91">
        <v>302</v>
      </c>
    </row>
    <row r="142" ht="17.25" spans="2:16">
      <c r="B142" s="88">
        <v>139</v>
      </c>
      <c r="C142" s="88">
        <v>23830</v>
      </c>
      <c r="D142" s="89">
        <v>2383</v>
      </c>
      <c r="E142" s="88">
        <v>708</v>
      </c>
      <c r="F142" s="88">
        <v>62200</v>
      </c>
      <c r="G142" s="88">
        <v>38083</v>
      </c>
      <c r="H142" s="88">
        <v>2747400</v>
      </c>
      <c r="J142" s="90">
        <v>139</v>
      </c>
      <c r="K142" s="90">
        <v>160</v>
      </c>
      <c r="L142" s="90" t="s">
        <v>115</v>
      </c>
      <c r="M142" s="91" t="s">
        <v>118</v>
      </c>
      <c r="N142" s="91">
        <f t="shared" si="2"/>
        <v>3</v>
      </c>
      <c r="O142" s="91">
        <v>3630</v>
      </c>
      <c r="P142" s="91">
        <v>363</v>
      </c>
    </row>
    <row r="143" ht="17.25" spans="2:16">
      <c r="B143" s="88">
        <v>140</v>
      </c>
      <c r="C143" s="88">
        <v>24280</v>
      </c>
      <c r="D143" s="89">
        <v>2428</v>
      </c>
      <c r="E143" s="88">
        <v>716</v>
      </c>
      <c r="F143" s="88">
        <v>63000</v>
      </c>
      <c r="G143" s="88">
        <v>38799</v>
      </c>
      <c r="H143" s="88">
        <v>2810400</v>
      </c>
      <c r="J143" s="90">
        <v>140</v>
      </c>
      <c r="K143" s="90">
        <v>160</v>
      </c>
      <c r="L143" s="90" t="s">
        <v>115</v>
      </c>
      <c r="M143" s="91" t="s">
        <v>119</v>
      </c>
      <c r="N143" s="91">
        <f t="shared" si="2"/>
        <v>4</v>
      </c>
      <c r="O143" s="91">
        <v>4356</v>
      </c>
      <c r="P143" s="91">
        <v>435</v>
      </c>
    </row>
    <row r="144" ht="17.25" spans="2:16">
      <c r="B144" s="88">
        <v>141</v>
      </c>
      <c r="C144" s="88">
        <v>24730</v>
      </c>
      <c r="D144" s="89">
        <v>2473</v>
      </c>
      <c r="E144" s="88">
        <v>724</v>
      </c>
      <c r="F144" s="88">
        <v>63800</v>
      </c>
      <c r="G144" s="88">
        <v>39523</v>
      </c>
      <c r="H144" s="88">
        <v>2874200</v>
      </c>
      <c r="J144" s="90">
        <v>141</v>
      </c>
      <c r="K144" s="90">
        <v>160</v>
      </c>
      <c r="L144" s="90" t="s">
        <v>115</v>
      </c>
      <c r="M144" s="91" t="s">
        <v>120</v>
      </c>
      <c r="N144" s="91">
        <f t="shared" si="2"/>
        <v>5</v>
      </c>
      <c r="O144" s="91">
        <v>5243</v>
      </c>
      <c r="P144" s="91">
        <v>524</v>
      </c>
    </row>
    <row r="145" ht="17.25" spans="2:16">
      <c r="B145" s="88">
        <v>142</v>
      </c>
      <c r="C145" s="88">
        <v>25180</v>
      </c>
      <c r="D145" s="89">
        <v>2518</v>
      </c>
      <c r="E145" s="88">
        <v>732</v>
      </c>
      <c r="F145" s="88">
        <v>64600</v>
      </c>
      <c r="G145" s="88">
        <v>40255</v>
      </c>
      <c r="H145" s="88">
        <v>2938800</v>
      </c>
      <c r="J145" s="90">
        <v>142</v>
      </c>
      <c r="K145" s="90">
        <v>160</v>
      </c>
      <c r="L145" s="90" t="s">
        <v>115</v>
      </c>
      <c r="M145" s="91" t="s">
        <v>121</v>
      </c>
      <c r="N145" s="91">
        <f t="shared" si="2"/>
        <v>6</v>
      </c>
      <c r="O145" s="91">
        <v>6453</v>
      </c>
      <c r="P145" s="91">
        <v>645</v>
      </c>
    </row>
    <row r="146" ht="17.25" spans="2:16">
      <c r="B146" s="88">
        <v>143</v>
      </c>
      <c r="C146" s="88">
        <v>25630</v>
      </c>
      <c r="D146" s="89">
        <v>2563</v>
      </c>
      <c r="E146" s="88">
        <v>740</v>
      </c>
      <c r="F146" s="88">
        <v>65400</v>
      </c>
      <c r="G146" s="88">
        <v>40995</v>
      </c>
      <c r="H146" s="88">
        <v>3004200</v>
      </c>
      <c r="J146" s="90">
        <v>143</v>
      </c>
      <c r="K146" s="90">
        <v>160</v>
      </c>
      <c r="L146" s="90" t="s">
        <v>115</v>
      </c>
      <c r="M146" s="91" t="s">
        <v>122</v>
      </c>
      <c r="N146" s="91">
        <f t="shared" si="2"/>
        <v>7</v>
      </c>
      <c r="O146" s="91">
        <v>10083</v>
      </c>
      <c r="P146" s="91">
        <v>1008</v>
      </c>
    </row>
    <row r="147" ht="17.25" spans="2:16">
      <c r="B147" s="88">
        <v>144</v>
      </c>
      <c r="C147" s="88">
        <v>26080</v>
      </c>
      <c r="D147" s="89">
        <v>2608</v>
      </c>
      <c r="E147" s="88">
        <v>748</v>
      </c>
      <c r="F147" s="88">
        <v>66200</v>
      </c>
      <c r="G147" s="88">
        <v>41743</v>
      </c>
      <c r="H147" s="88">
        <v>3070400</v>
      </c>
      <c r="J147" s="90">
        <v>144</v>
      </c>
      <c r="K147" s="90">
        <v>160</v>
      </c>
      <c r="L147" s="90" t="s">
        <v>115</v>
      </c>
      <c r="M147" s="91" t="s">
        <v>123</v>
      </c>
      <c r="N147" s="91">
        <f t="shared" si="2"/>
        <v>8</v>
      </c>
      <c r="O147" s="91">
        <v>12100</v>
      </c>
      <c r="P147" s="91">
        <v>1210</v>
      </c>
    </row>
    <row r="148" ht="17.25" spans="2:16">
      <c r="B148" s="88">
        <v>145</v>
      </c>
      <c r="C148" s="88">
        <v>26580</v>
      </c>
      <c r="D148" s="89">
        <v>2658</v>
      </c>
      <c r="E148" s="88">
        <v>756</v>
      </c>
      <c r="F148" s="88">
        <v>67000</v>
      </c>
      <c r="G148" s="88">
        <v>42499</v>
      </c>
      <c r="H148" s="88">
        <v>3137400</v>
      </c>
      <c r="J148" s="90">
        <v>145</v>
      </c>
      <c r="K148" s="90">
        <v>170</v>
      </c>
      <c r="L148" s="90" t="s">
        <v>115</v>
      </c>
      <c r="M148" s="91" t="s">
        <v>116</v>
      </c>
      <c r="N148" s="91">
        <f t="shared" si="2"/>
        <v>1</v>
      </c>
      <c r="O148" s="91">
        <v>2783</v>
      </c>
      <c r="P148" s="91">
        <v>278</v>
      </c>
    </row>
    <row r="149" ht="17.25" spans="2:16">
      <c r="B149" s="88">
        <v>146</v>
      </c>
      <c r="C149" s="88">
        <v>27080</v>
      </c>
      <c r="D149" s="89">
        <v>2708</v>
      </c>
      <c r="E149" s="88">
        <v>764</v>
      </c>
      <c r="F149" s="88">
        <v>67800</v>
      </c>
      <c r="G149" s="88">
        <v>43263</v>
      </c>
      <c r="H149" s="88">
        <v>3205200</v>
      </c>
      <c r="J149" s="90">
        <v>146</v>
      </c>
      <c r="K149" s="90">
        <v>170</v>
      </c>
      <c r="L149" s="90" t="s">
        <v>115</v>
      </c>
      <c r="M149" s="91" t="s">
        <v>117</v>
      </c>
      <c r="N149" s="91">
        <f t="shared" si="2"/>
        <v>2</v>
      </c>
      <c r="O149" s="91">
        <v>3478</v>
      </c>
      <c r="P149" s="91">
        <v>347</v>
      </c>
    </row>
    <row r="150" ht="17.25" spans="2:16">
      <c r="B150" s="88">
        <v>147</v>
      </c>
      <c r="C150" s="88">
        <v>27580</v>
      </c>
      <c r="D150" s="89">
        <v>2758</v>
      </c>
      <c r="E150" s="88">
        <v>772</v>
      </c>
      <c r="F150" s="88">
        <v>68600</v>
      </c>
      <c r="G150" s="88">
        <v>44035</v>
      </c>
      <c r="H150" s="88">
        <v>3273800</v>
      </c>
      <c r="J150" s="90">
        <v>147</v>
      </c>
      <c r="K150" s="90">
        <v>170</v>
      </c>
      <c r="L150" s="90" t="s">
        <v>115</v>
      </c>
      <c r="M150" s="91" t="s">
        <v>118</v>
      </c>
      <c r="N150" s="91">
        <f t="shared" si="2"/>
        <v>3</v>
      </c>
      <c r="O150" s="91">
        <v>4174</v>
      </c>
      <c r="P150" s="91">
        <v>417</v>
      </c>
    </row>
    <row r="151" ht="17.25" spans="2:16">
      <c r="B151" s="88">
        <v>148</v>
      </c>
      <c r="C151" s="88">
        <v>28080</v>
      </c>
      <c r="D151" s="89">
        <v>2808</v>
      </c>
      <c r="E151" s="88">
        <v>780</v>
      </c>
      <c r="F151" s="88">
        <v>69400</v>
      </c>
      <c r="G151" s="88">
        <v>44815</v>
      </c>
      <c r="H151" s="88">
        <v>3343200</v>
      </c>
      <c r="J151" s="90">
        <v>148</v>
      </c>
      <c r="K151" s="90">
        <v>170</v>
      </c>
      <c r="L151" s="90" t="s">
        <v>115</v>
      </c>
      <c r="M151" s="91" t="s">
        <v>119</v>
      </c>
      <c r="N151" s="91">
        <f t="shared" si="2"/>
        <v>4</v>
      </c>
      <c r="O151" s="91">
        <v>5009</v>
      </c>
      <c r="P151" s="91">
        <v>500</v>
      </c>
    </row>
    <row r="152" ht="17.25" spans="2:16">
      <c r="B152" s="88">
        <v>149</v>
      </c>
      <c r="C152" s="88">
        <v>28580</v>
      </c>
      <c r="D152" s="89">
        <v>2858</v>
      </c>
      <c r="E152" s="88">
        <v>788</v>
      </c>
      <c r="F152" s="88">
        <v>70200</v>
      </c>
      <c r="G152" s="88">
        <v>45603</v>
      </c>
      <c r="H152" s="88">
        <v>3413400</v>
      </c>
      <c r="J152" s="90">
        <v>149</v>
      </c>
      <c r="K152" s="90">
        <v>170</v>
      </c>
      <c r="L152" s="90" t="s">
        <v>115</v>
      </c>
      <c r="M152" s="91" t="s">
        <v>120</v>
      </c>
      <c r="N152" s="91">
        <f t="shared" si="2"/>
        <v>5</v>
      </c>
      <c r="O152" s="91">
        <v>6029</v>
      </c>
      <c r="P152" s="91">
        <v>602</v>
      </c>
    </row>
    <row r="153" ht="17.25" spans="2:16">
      <c r="B153" s="88">
        <v>150</v>
      </c>
      <c r="C153" s="88">
        <v>29080</v>
      </c>
      <c r="D153" s="89">
        <v>2908</v>
      </c>
      <c r="E153" s="88">
        <v>796</v>
      </c>
      <c r="F153" s="88">
        <v>71000</v>
      </c>
      <c r="G153" s="88">
        <v>46399</v>
      </c>
      <c r="H153" s="88">
        <v>3484400</v>
      </c>
      <c r="J153" s="90">
        <v>150</v>
      </c>
      <c r="K153" s="90">
        <v>170</v>
      </c>
      <c r="L153" s="90" t="s">
        <v>115</v>
      </c>
      <c r="M153" s="91" t="s">
        <v>121</v>
      </c>
      <c r="N153" s="91">
        <f t="shared" si="2"/>
        <v>6</v>
      </c>
      <c r="O153" s="91">
        <v>7421</v>
      </c>
      <c r="P153" s="91">
        <v>742</v>
      </c>
    </row>
    <row r="154" ht="17.25" spans="2:16">
      <c r="B154" s="88">
        <v>151</v>
      </c>
      <c r="C154" s="88">
        <v>29580</v>
      </c>
      <c r="D154" s="89">
        <v>2958</v>
      </c>
      <c r="E154" s="88">
        <v>804</v>
      </c>
      <c r="F154" s="88">
        <v>71800</v>
      </c>
      <c r="G154" s="88">
        <v>47203</v>
      </c>
      <c r="H154" s="88">
        <v>3556200</v>
      </c>
      <c r="J154" s="90">
        <v>151</v>
      </c>
      <c r="K154" s="90">
        <v>170</v>
      </c>
      <c r="L154" s="90" t="s">
        <v>115</v>
      </c>
      <c r="M154" s="91" t="s">
        <v>122</v>
      </c>
      <c r="N154" s="91">
        <f t="shared" si="2"/>
        <v>7</v>
      </c>
      <c r="O154" s="91">
        <v>11595</v>
      </c>
      <c r="P154" s="91">
        <v>1159</v>
      </c>
    </row>
    <row r="155" ht="17.25" spans="2:16">
      <c r="B155" s="88">
        <v>152</v>
      </c>
      <c r="C155" s="88">
        <v>30080</v>
      </c>
      <c r="D155" s="89">
        <v>3008</v>
      </c>
      <c r="E155" s="88">
        <v>812</v>
      </c>
      <c r="F155" s="88">
        <v>72600</v>
      </c>
      <c r="G155" s="88">
        <v>48015</v>
      </c>
      <c r="H155" s="88">
        <v>3628800</v>
      </c>
      <c r="J155" s="90">
        <v>152</v>
      </c>
      <c r="K155" s="90">
        <v>170</v>
      </c>
      <c r="L155" s="90" t="s">
        <v>115</v>
      </c>
      <c r="M155" s="91" t="s">
        <v>123</v>
      </c>
      <c r="N155" s="91">
        <f t="shared" si="2"/>
        <v>8</v>
      </c>
      <c r="O155" s="91">
        <v>13915</v>
      </c>
      <c r="P155" s="91">
        <v>1391</v>
      </c>
    </row>
    <row r="156" ht="17.25" spans="2:16">
      <c r="B156" s="88">
        <v>153</v>
      </c>
      <c r="C156" s="88">
        <v>30580</v>
      </c>
      <c r="D156" s="89">
        <v>3058</v>
      </c>
      <c r="E156" s="88">
        <v>820</v>
      </c>
      <c r="F156" s="88">
        <v>73400</v>
      </c>
      <c r="G156" s="88">
        <v>48835</v>
      </c>
      <c r="H156" s="88">
        <v>3702200</v>
      </c>
      <c r="J156" s="90">
        <v>153</v>
      </c>
      <c r="K156" s="90">
        <v>180</v>
      </c>
      <c r="L156" s="90" t="s">
        <v>115</v>
      </c>
      <c r="M156" s="91" t="s">
        <v>116</v>
      </c>
      <c r="N156" s="91">
        <f t="shared" si="2"/>
        <v>1</v>
      </c>
      <c r="O156" s="91">
        <v>3200</v>
      </c>
      <c r="P156" s="91">
        <v>320</v>
      </c>
    </row>
    <row r="157" ht="17.25" spans="2:16">
      <c r="B157" s="88">
        <v>154</v>
      </c>
      <c r="C157" s="88">
        <v>31080</v>
      </c>
      <c r="D157" s="89">
        <v>3108</v>
      </c>
      <c r="E157" s="88">
        <v>828</v>
      </c>
      <c r="F157" s="88">
        <v>74200</v>
      </c>
      <c r="G157" s="88">
        <v>49663</v>
      </c>
      <c r="H157" s="88">
        <v>3776400</v>
      </c>
      <c r="J157" s="90">
        <v>154</v>
      </c>
      <c r="K157" s="90">
        <v>180</v>
      </c>
      <c r="L157" s="90" t="s">
        <v>115</v>
      </c>
      <c r="M157" s="91" t="s">
        <v>117</v>
      </c>
      <c r="N157" s="91">
        <f t="shared" si="2"/>
        <v>2</v>
      </c>
      <c r="O157" s="91">
        <v>4000</v>
      </c>
      <c r="P157" s="91">
        <v>400</v>
      </c>
    </row>
    <row r="158" ht="17.25" spans="2:16">
      <c r="B158" s="88">
        <v>155</v>
      </c>
      <c r="C158" s="88">
        <v>31630</v>
      </c>
      <c r="D158" s="89">
        <v>3163</v>
      </c>
      <c r="E158" s="88">
        <v>836</v>
      </c>
      <c r="F158" s="88">
        <v>75000</v>
      </c>
      <c r="G158" s="88">
        <v>50499</v>
      </c>
      <c r="H158" s="88">
        <v>3851400</v>
      </c>
      <c r="J158" s="90">
        <v>155</v>
      </c>
      <c r="K158" s="90">
        <v>180</v>
      </c>
      <c r="L158" s="90" t="s">
        <v>115</v>
      </c>
      <c r="M158" s="91" t="s">
        <v>118</v>
      </c>
      <c r="N158" s="91">
        <f t="shared" si="2"/>
        <v>3</v>
      </c>
      <c r="O158" s="91">
        <v>4800</v>
      </c>
      <c r="P158" s="91">
        <v>480</v>
      </c>
    </row>
    <row r="159" ht="17.25" spans="2:16">
      <c r="B159" s="88">
        <v>156</v>
      </c>
      <c r="C159" s="88">
        <v>32180</v>
      </c>
      <c r="D159" s="89">
        <v>3218</v>
      </c>
      <c r="E159" s="88">
        <v>844</v>
      </c>
      <c r="F159" s="88">
        <v>75800</v>
      </c>
      <c r="G159" s="88">
        <v>51343</v>
      </c>
      <c r="H159" s="88">
        <v>3927200</v>
      </c>
      <c r="J159" s="90">
        <v>156</v>
      </c>
      <c r="K159" s="90">
        <v>180</v>
      </c>
      <c r="L159" s="90" t="s">
        <v>115</v>
      </c>
      <c r="M159" s="91" t="s">
        <v>119</v>
      </c>
      <c r="N159" s="91">
        <f t="shared" si="2"/>
        <v>4</v>
      </c>
      <c r="O159" s="91">
        <v>5760</v>
      </c>
      <c r="P159" s="91">
        <v>576</v>
      </c>
    </row>
    <row r="160" ht="17.25" spans="2:16">
      <c r="B160" s="88">
        <v>157</v>
      </c>
      <c r="C160" s="88">
        <v>32730</v>
      </c>
      <c r="D160" s="89">
        <v>3273</v>
      </c>
      <c r="E160" s="88">
        <v>852</v>
      </c>
      <c r="F160" s="88">
        <v>76600</v>
      </c>
      <c r="G160" s="88">
        <v>52195</v>
      </c>
      <c r="H160" s="88">
        <v>4003800</v>
      </c>
      <c r="J160" s="90">
        <v>157</v>
      </c>
      <c r="K160" s="90">
        <v>180</v>
      </c>
      <c r="L160" s="90" t="s">
        <v>115</v>
      </c>
      <c r="M160" s="91" t="s">
        <v>120</v>
      </c>
      <c r="N160" s="91">
        <f t="shared" si="2"/>
        <v>5</v>
      </c>
      <c r="O160" s="91">
        <v>6933</v>
      </c>
      <c r="P160" s="91">
        <v>693</v>
      </c>
    </row>
    <row r="161" ht="17.25" spans="2:16">
      <c r="B161" s="88">
        <v>158</v>
      </c>
      <c r="C161" s="88">
        <v>33280</v>
      </c>
      <c r="D161" s="89">
        <v>3328</v>
      </c>
      <c r="E161" s="88">
        <v>860</v>
      </c>
      <c r="F161" s="88">
        <v>77400</v>
      </c>
      <c r="G161" s="88">
        <v>53055</v>
      </c>
      <c r="H161" s="88">
        <v>4081200</v>
      </c>
      <c r="J161" s="90">
        <v>158</v>
      </c>
      <c r="K161" s="90">
        <v>180</v>
      </c>
      <c r="L161" s="90" t="s">
        <v>115</v>
      </c>
      <c r="M161" s="91" t="s">
        <v>121</v>
      </c>
      <c r="N161" s="91">
        <f t="shared" si="2"/>
        <v>6</v>
      </c>
      <c r="O161" s="91">
        <v>8533</v>
      </c>
      <c r="P161" s="91">
        <v>853</v>
      </c>
    </row>
    <row r="162" ht="17.25" spans="2:16">
      <c r="B162" s="88">
        <v>159</v>
      </c>
      <c r="C162" s="88">
        <v>33830</v>
      </c>
      <c r="D162" s="89">
        <v>3383</v>
      </c>
      <c r="E162" s="88">
        <v>868</v>
      </c>
      <c r="F162" s="88">
        <v>78200</v>
      </c>
      <c r="G162" s="88">
        <v>53923</v>
      </c>
      <c r="H162" s="88">
        <v>4159400</v>
      </c>
      <c r="J162" s="90">
        <v>159</v>
      </c>
      <c r="K162" s="90">
        <v>180</v>
      </c>
      <c r="L162" s="90" t="s">
        <v>115</v>
      </c>
      <c r="M162" s="91" t="s">
        <v>122</v>
      </c>
      <c r="N162" s="91">
        <f t="shared" si="2"/>
        <v>7</v>
      </c>
      <c r="O162" s="91">
        <v>13333</v>
      </c>
      <c r="P162" s="91">
        <v>1333</v>
      </c>
    </row>
    <row r="163" ht="17.25" spans="2:16">
      <c r="B163" s="88">
        <v>160</v>
      </c>
      <c r="C163" s="88">
        <v>34380</v>
      </c>
      <c r="D163" s="89">
        <v>3438</v>
      </c>
      <c r="E163" s="88">
        <v>876</v>
      </c>
      <c r="F163" s="88">
        <v>79000</v>
      </c>
      <c r="G163" s="88">
        <v>54799</v>
      </c>
      <c r="H163" s="88">
        <v>4238400</v>
      </c>
      <c r="J163" s="90">
        <v>160</v>
      </c>
      <c r="K163" s="90">
        <v>180</v>
      </c>
      <c r="L163" s="90" t="s">
        <v>115</v>
      </c>
      <c r="M163" s="91" t="s">
        <v>123</v>
      </c>
      <c r="N163" s="91">
        <f t="shared" si="2"/>
        <v>8</v>
      </c>
      <c r="O163" s="91">
        <v>16000</v>
      </c>
      <c r="P163" s="91">
        <v>1600</v>
      </c>
    </row>
    <row r="164" ht="17.25" spans="2:16">
      <c r="B164" s="88">
        <v>161</v>
      </c>
      <c r="C164" s="88">
        <v>34930</v>
      </c>
      <c r="D164" s="89">
        <v>3493</v>
      </c>
      <c r="E164" s="88">
        <v>884</v>
      </c>
      <c r="F164" s="88">
        <v>79800</v>
      </c>
      <c r="G164" s="88">
        <v>55683</v>
      </c>
      <c r="H164" s="88">
        <v>4318200</v>
      </c>
      <c r="J164" s="90">
        <v>161</v>
      </c>
      <c r="K164" s="90">
        <v>190</v>
      </c>
      <c r="L164" s="90" t="s">
        <v>115</v>
      </c>
      <c r="M164" s="91" t="s">
        <v>116</v>
      </c>
      <c r="N164" s="91">
        <f t="shared" si="2"/>
        <v>1</v>
      </c>
      <c r="O164" s="91">
        <v>3680</v>
      </c>
      <c r="P164" s="91">
        <v>368</v>
      </c>
    </row>
    <row r="165" ht="17.25" spans="2:16">
      <c r="B165" s="88">
        <v>162</v>
      </c>
      <c r="C165" s="88">
        <v>35480</v>
      </c>
      <c r="D165" s="89">
        <v>3548</v>
      </c>
      <c r="E165" s="88">
        <v>892</v>
      </c>
      <c r="F165" s="88">
        <v>80600</v>
      </c>
      <c r="G165" s="88">
        <v>56575</v>
      </c>
      <c r="H165" s="88">
        <v>4398800</v>
      </c>
      <c r="J165" s="90">
        <v>162</v>
      </c>
      <c r="K165" s="90">
        <v>190</v>
      </c>
      <c r="L165" s="90" t="s">
        <v>115</v>
      </c>
      <c r="M165" s="91" t="s">
        <v>117</v>
      </c>
      <c r="N165" s="91">
        <f t="shared" si="2"/>
        <v>2</v>
      </c>
      <c r="O165" s="91">
        <v>4600</v>
      </c>
      <c r="P165" s="91">
        <v>460</v>
      </c>
    </row>
    <row r="166" ht="17.25" spans="2:16">
      <c r="B166" s="88">
        <v>163</v>
      </c>
      <c r="C166" s="88">
        <v>36030</v>
      </c>
      <c r="D166" s="89">
        <v>3603</v>
      </c>
      <c r="E166" s="88">
        <v>900</v>
      </c>
      <c r="F166" s="88">
        <v>81400</v>
      </c>
      <c r="G166" s="88">
        <v>57475</v>
      </c>
      <c r="H166" s="88">
        <v>4480200</v>
      </c>
      <c r="J166" s="90">
        <v>163</v>
      </c>
      <c r="K166" s="90">
        <v>190</v>
      </c>
      <c r="L166" s="90" t="s">
        <v>115</v>
      </c>
      <c r="M166" s="91" t="s">
        <v>118</v>
      </c>
      <c r="N166" s="91">
        <f t="shared" si="2"/>
        <v>3</v>
      </c>
      <c r="O166" s="91">
        <v>5520</v>
      </c>
      <c r="P166" s="91">
        <v>552</v>
      </c>
    </row>
    <row r="167" ht="17.25" spans="2:16">
      <c r="B167" s="88">
        <v>164</v>
      </c>
      <c r="C167" s="88">
        <v>36580</v>
      </c>
      <c r="D167" s="89">
        <v>3658</v>
      </c>
      <c r="E167" s="88">
        <v>908</v>
      </c>
      <c r="F167" s="88">
        <v>82200</v>
      </c>
      <c r="G167" s="88">
        <v>58383</v>
      </c>
      <c r="H167" s="88">
        <v>4562400</v>
      </c>
      <c r="J167" s="90">
        <v>164</v>
      </c>
      <c r="K167" s="90">
        <v>190</v>
      </c>
      <c r="L167" s="90" t="s">
        <v>115</v>
      </c>
      <c r="M167" s="91" t="s">
        <v>119</v>
      </c>
      <c r="N167" s="91">
        <f t="shared" si="2"/>
        <v>4</v>
      </c>
      <c r="O167" s="91">
        <v>6624</v>
      </c>
      <c r="P167" s="91">
        <v>662</v>
      </c>
    </row>
    <row r="168" ht="17.25" spans="2:16">
      <c r="B168" s="88">
        <v>165</v>
      </c>
      <c r="C168" s="88">
        <v>37180</v>
      </c>
      <c r="D168" s="89">
        <v>3718</v>
      </c>
      <c r="E168" s="88">
        <v>916</v>
      </c>
      <c r="F168" s="88">
        <v>83000</v>
      </c>
      <c r="G168" s="88">
        <v>59299</v>
      </c>
      <c r="H168" s="88">
        <v>4645400</v>
      </c>
      <c r="J168" s="90">
        <v>165</v>
      </c>
      <c r="K168" s="90">
        <v>190</v>
      </c>
      <c r="L168" s="90" t="s">
        <v>115</v>
      </c>
      <c r="M168" s="91" t="s">
        <v>120</v>
      </c>
      <c r="N168" s="91">
        <f t="shared" si="2"/>
        <v>5</v>
      </c>
      <c r="O168" s="91">
        <v>7973</v>
      </c>
      <c r="P168" s="91">
        <v>797</v>
      </c>
    </row>
    <row r="169" ht="17.25" spans="2:16">
      <c r="B169" s="88">
        <v>166</v>
      </c>
      <c r="C169" s="88">
        <v>37780</v>
      </c>
      <c r="D169" s="89">
        <v>3778</v>
      </c>
      <c r="E169" s="88">
        <v>924</v>
      </c>
      <c r="F169" s="88">
        <v>83800</v>
      </c>
      <c r="G169" s="88">
        <v>60223</v>
      </c>
      <c r="H169" s="88">
        <v>4729200</v>
      </c>
      <c r="J169" s="90">
        <v>166</v>
      </c>
      <c r="K169" s="90">
        <v>190</v>
      </c>
      <c r="L169" s="90" t="s">
        <v>115</v>
      </c>
      <c r="M169" s="91" t="s">
        <v>121</v>
      </c>
      <c r="N169" s="91">
        <f t="shared" si="2"/>
        <v>6</v>
      </c>
      <c r="O169" s="91">
        <v>9813</v>
      </c>
      <c r="P169" s="91">
        <v>981</v>
      </c>
    </row>
    <row r="170" ht="17.25" spans="2:16">
      <c r="B170" s="88">
        <v>167</v>
      </c>
      <c r="C170" s="88">
        <v>38380</v>
      </c>
      <c r="D170" s="89">
        <v>3838</v>
      </c>
      <c r="E170" s="88">
        <v>932</v>
      </c>
      <c r="F170" s="88">
        <v>84600</v>
      </c>
      <c r="G170" s="88">
        <v>61155</v>
      </c>
      <c r="H170" s="88">
        <v>4813800</v>
      </c>
      <c r="J170" s="90">
        <v>167</v>
      </c>
      <c r="K170" s="90">
        <v>190</v>
      </c>
      <c r="L170" s="90" t="s">
        <v>115</v>
      </c>
      <c r="M170" s="91" t="s">
        <v>122</v>
      </c>
      <c r="N170" s="91">
        <f t="shared" si="2"/>
        <v>7</v>
      </c>
      <c r="O170" s="91">
        <v>15333</v>
      </c>
      <c r="P170" s="91">
        <v>1533</v>
      </c>
    </row>
    <row r="171" ht="17.25" spans="2:16">
      <c r="B171" s="88">
        <v>168</v>
      </c>
      <c r="C171" s="88">
        <v>38980</v>
      </c>
      <c r="D171" s="89">
        <v>3898</v>
      </c>
      <c r="E171" s="88">
        <v>940</v>
      </c>
      <c r="F171" s="88">
        <v>85400</v>
      </c>
      <c r="G171" s="88">
        <v>62095</v>
      </c>
      <c r="H171" s="88">
        <v>4899200</v>
      </c>
      <c r="J171" s="90">
        <v>168</v>
      </c>
      <c r="K171" s="90">
        <v>190</v>
      </c>
      <c r="L171" s="90" t="s">
        <v>115</v>
      </c>
      <c r="M171" s="91" t="s">
        <v>123</v>
      </c>
      <c r="N171" s="91">
        <f t="shared" si="2"/>
        <v>8</v>
      </c>
      <c r="O171" s="91">
        <v>18400</v>
      </c>
      <c r="P171" s="91">
        <v>1840</v>
      </c>
    </row>
    <row r="172" ht="17.25" spans="2:16">
      <c r="B172" s="88">
        <v>169</v>
      </c>
      <c r="C172" s="88">
        <v>39580</v>
      </c>
      <c r="D172" s="89">
        <v>3958</v>
      </c>
      <c r="E172" s="88">
        <v>948</v>
      </c>
      <c r="F172" s="88">
        <v>86200</v>
      </c>
      <c r="G172" s="88">
        <v>63043</v>
      </c>
      <c r="H172" s="88">
        <v>4985400</v>
      </c>
      <c r="J172" s="90">
        <v>167</v>
      </c>
      <c r="K172" s="90">
        <v>200</v>
      </c>
      <c r="L172" s="90" t="s">
        <v>115</v>
      </c>
      <c r="M172" s="91" t="s">
        <v>116</v>
      </c>
      <c r="N172" s="91">
        <f t="shared" si="2"/>
        <v>1</v>
      </c>
      <c r="O172" s="91">
        <v>4232</v>
      </c>
      <c r="P172" s="91">
        <v>423</v>
      </c>
    </row>
    <row r="173" ht="17.25" spans="2:16">
      <c r="B173" s="88">
        <v>170</v>
      </c>
      <c r="C173" s="88">
        <v>40180</v>
      </c>
      <c r="D173" s="89">
        <v>4018</v>
      </c>
      <c r="E173" s="88">
        <v>956</v>
      </c>
      <c r="F173" s="88">
        <v>87000</v>
      </c>
      <c r="G173" s="88">
        <v>63999</v>
      </c>
      <c r="H173" s="88">
        <v>5072400</v>
      </c>
      <c r="J173" s="90">
        <v>168</v>
      </c>
      <c r="K173" s="90">
        <v>200</v>
      </c>
      <c r="L173" s="90" t="s">
        <v>115</v>
      </c>
      <c r="M173" s="91" t="s">
        <v>117</v>
      </c>
      <c r="N173" s="91">
        <f t="shared" si="2"/>
        <v>2</v>
      </c>
      <c r="O173" s="91">
        <v>5290</v>
      </c>
      <c r="P173" s="91">
        <v>529</v>
      </c>
    </row>
    <row r="174" ht="17.25" spans="2:16">
      <c r="B174" s="88">
        <v>171</v>
      </c>
      <c r="C174" s="88">
        <v>40780</v>
      </c>
      <c r="D174" s="89">
        <v>4078</v>
      </c>
      <c r="E174" s="88">
        <v>964</v>
      </c>
      <c r="F174" s="88">
        <v>87800</v>
      </c>
      <c r="G174" s="88">
        <v>64963</v>
      </c>
      <c r="H174" s="88">
        <v>5160200</v>
      </c>
      <c r="J174" s="90">
        <v>167</v>
      </c>
      <c r="K174" s="90">
        <v>200</v>
      </c>
      <c r="L174" s="90" t="s">
        <v>115</v>
      </c>
      <c r="M174" s="91" t="s">
        <v>118</v>
      </c>
      <c r="N174" s="91">
        <f t="shared" si="2"/>
        <v>3</v>
      </c>
      <c r="O174" s="91">
        <v>6348</v>
      </c>
      <c r="P174" s="91">
        <v>634</v>
      </c>
    </row>
    <row r="175" ht="17.25" spans="2:16">
      <c r="B175" s="88">
        <v>172</v>
      </c>
      <c r="C175" s="88">
        <v>41380</v>
      </c>
      <c r="D175" s="89">
        <v>4138</v>
      </c>
      <c r="E175" s="88">
        <v>972</v>
      </c>
      <c r="F175" s="88">
        <v>88600</v>
      </c>
      <c r="G175" s="88">
        <v>65935</v>
      </c>
      <c r="H175" s="88">
        <v>5248800</v>
      </c>
      <c r="J175" s="90">
        <v>168</v>
      </c>
      <c r="K175" s="90">
        <v>200</v>
      </c>
      <c r="L175" s="90" t="s">
        <v>115</v>
      </c>
      <c r="M175" s="91" t="s">
        <v>119</v>
      </c>
      <c r="N175" s="91">
        <f t="shared" si="2"/>
        <v>4</v>
      </c>
      <c r="O175" s="91">
        <v>7617</v>
      </c>
      <c r="P175" s="91">
        <v>761</v>
      </c>
    </row>
    <row r="176" ht="17.25" spans="2:16">
      <c r="B176" s="88">
        <v>173</v>
      </c>
      <c r="C176" s="88">
        <v>41980</v>
      </c>
      <c r="D176" s="89">
        <v>4198</v>
      </c>
      <c r="E176" s="88">
        <v>980</v>
      </c>
      <c r="F176" s="88">
        <v>89400</v>
      </c>
      <c r="G176" s="88">
        <v>66915</v>
      </c>
      <c r="H176" s="88">
        <v>5338200</v>
      </c>
      <c r="J176" s="90">
        <v>167</v>
      </c>
      <c r="K176" s="90">
        <v>200</v>
      </c>
      <c r="L176" s="90" t="s">
        <v>115</v>
      </c>
      <c r="M176" s="91" t="s">
        <v>120</v>
      </c>
      <c r="N176" s="91">
        <f t="shared" si="2"/>
        <v>5</v>
      </c>
      <c r="O176" s="91">
        <v>9169</v>
      </c>
      <c r="P176" s="91">
        <v>916</v>
      </c>
    </row>
    <row r="177" ht="17.25" spans="2:16">
      <c r="B177" s="88">
        <v>174</v>
      </c>
      <c r="C177" s="88">
        <v>42580</v>
      </c>
      <c r="D177" s="89">
        <v>4258</v>
      </c>
      <c r="E177" s="88">
        <v>988</v>
      </c>
      <c r="F177" s="88">
        <v>90200</v>
      </c>
      <c r="G177" s="88">
        <v>67903</v>
      </c>
      <c r="H177" s="88">
        <v>5428400</v>
      </c>
      <c r="J177" s="90">
        <v>168</v>
      </c>
      <c r="K177" s="90">
        <v>200</v>
      </c>
      <c r="L177" s="90" t="s">
        <v>115</v>
      </c>
      <c r="M177" s="91" t="s">
        <v>121</v>
      </c>
      <c r="N177" s="91">
        <f t="shared" si="2"/>
        <v>6</v>
      </c>
      <c r="O177" s="91">
        <v>11285</v>
      </c>
      <c r="P177" s="91">
        <v>1128</v>
      </c>
    </row>
    <row r="178" ht="17.25" spans="2:16">
      <c r="B178" s="88">
        <v>175</v>
      </c>
      <c r="C178" s="88">
        <v>43230</v>
      </c>
      <c r="D178" s="89">
        <v>4323</v>
      </c>
      <c r="E178" s="88">
        <v>996</v>
      </c>
      <c r="F178" s="88">
        <v>91000</v>
      </c>
      <c r="G178" s="88">
        <v>68899</v>
      </c>
      <c r="H178" s="88">
        <v>5519400</v>
      </c>
      <c r="J178" s="90">
        <v>167</v>
      </c>
      <c r="K178" s="90">
        <v>200</v>
      </c>
      <c r="L178" s="90" t="s">
        <v>115</v>
      </c>
      <c r="M178" s="91" t="s">
        <v>122</v>
      </c>
      <c r="N178" s="91">
        <f t="shared" si="2"/>
        <v>7</v>
      </c>
      <c r="O178" s="91">
        <v>17633</v>
      </c>
      <c r="P178" s="91">
        <v>1763</v>
      </c>
    </row>
    <row r="179" ht="17.25" spans="2:16">
      <c r="B179" s="88">
        <v>176</v>
      </c>
      <c r="C179" s="88">
        <v>43880</v>
      </c>
      <c r="D179" s="89">
        <v>4388</v>
      </c>
      <c r="E179" s="88">
        <v>1004</v>
      </c>
      <c r="F179" s="88">
        <v>91800</v>
      </c>
      <c r="G179" s="88">
        <v>69903</v>
      </c>
      <c r="H179" s="88">
        <v>5611200</v>
      </c>
      <c r="J179" s="90">
        <v>168</v>
      </c>
      <c r="K179" s="90">
        <v>200</v>
      </c>
      <c r="L179" s="90" t="s">
        <v>115</v>
      </c>
      <c r="M179" s="91" t="s">
        <v>123</v>
      </c>
      <c r="N179" s="91">
        <f t="shared" si="2"/>
        <v>8</v>
      </c>
      <c r="O179" s="91">
        <v>21160</v>
      </c>
      <c r="P179" s="91">
        <v>2116</v>
      </c>
    </row>
    <row r="180" ht="17.25" spans="2:16">
      <c r="B180" s="88">
        <v>177</v>
      </c>
      <c r="C180" s="88">
        <v>44530</v>
      </c>
      <c r="D180" s="89">
        <v>4453</v>
      </c>
      <c r="E180" s="88">
        <v>1012</v>
      </c>
      <c r="F180" s="88">
        <v>92600</v>
      </c>
      <c r="G180" s="88">
        <v>70915</v>
      </c>
      <c r="H180" s="88">
        <v>5703800</v>
      </c>
      <c r="J180" s="90">
        <v>169</v>
      </c>
      <c r="K180" s="90">
        <v>210</v>
      </c>
      <c r="L180" s="90" t="s">
        <v>115</v>
      </c>
      <c r="M180" s="90" t="s">
        <v>116</v>
      </c>
      <c r="N180" s="91">
        <f t="shared" si="2"/>
        <v>1</v>
      </c>
      <c r="O180" s="91">
        <v>4866</v>
      </c>
      <c r="P180" s="91">
        <v>486</v>
      </c>
    </row>
    <row r="181" ht="17.25" spans="2:16">
      <c r="B181" s="88">
        <v>178</v>
      </c>
      <c r="C181" s="88">
        <v>45180</v>
      </c>
      <c r="D181" s="89">
        <v>4518</v>
      </c>
      <c r="E181" s="88">
        <v>1020</v>
      </c>
      <c r="F181" s="88">
        <v>93400</v>
      </c>
      <c r="G181" s="88">
        <v>71935</v>
      </c>
      <c r="H181" s="88">
        <v>5797200</v>
      </c>
      <c r="J181" s="90">
        <v>170</v>
      </c>
      <c r="K181" s="90">
        <v>210</v>
      </c>
      <c r="L181" s="90" t="s">
        <v>115</v>
      </c>
      <c r="M181" s="90" t="s">
        <v>117</v>
      </c>
      <c r="N181" s="91">
        <f t="shared" si="2"/>
        <v>2</v>
      </c>
      <c r="O181" s="91">
        <v>6082</v>
      </c>
      <c r="P181" s="91">
        <v>608</v>
      </c>
    </row>
    <row r="182" ht="17.25" spans="2:16">
      <c r="B182" s="88">
        <v>179</v>
      </c>
      <c r="C182" s="88">
        <v>45830</v>
      </c>
      <c r="D182" s="89">
        <v>4583</v>
      </c>
      <c r="E182" s="88">
        <v>1028</v>
      </c>
      <c r="F182" s="88">
        <v>94200</v>
      </c>
      <c r="G182" s="88">
        <v>72963</v>
      </c>
      <c r="H182" s="88">
        <v>5891400</v>
      </c>
      <c r="J182" s="90">
        <v>171</v>
      </c>
      <c r="K182" s="90">
        <v>210</v>
      </c>
      <c r="L182" s="90" t="s">
        <v>115</v>
      </c>
      <c r="M182" s="90" t="s">
        <v>118</v>
      </c>
      <c r="N182" s="91">
        <f t="shared" si="2"/>
        <v>3</v>
      </c>
      <c r="O182" s="91">
        <v>7299</v>
      </c>
      <c r="P182" s="91">
        <v>729</v>
      </c>
    </row>
    <row r="183" ht="17.25" spans="2:16">
      <c r="B183" s="88">
        <v>180</v>
      </c>
      <c r="C183" s="88">
        <v>46480</v>
      </c>
      <c r="D183" s="89">
        <v>4648</v>
      </c>
      <c r="E183" s="88">
        <v>1036</v>
      </c>
      <c r="F183" s="88">
        <v>95000</v>
      </c>
      <c r="G183" s="88">
        <v>73999</v>
      </c>
      <c r="H183" s="88">
        <v>5986400</v>
      </c>
      <c r="J183" s="90">
        <v>172</v>
      </c>
      <c r="K183" s="90">
        <v>210</v>
      </c>
      <c r="L183" s="90" t="s">
        <v>115</v>
      </c>
      <c r="M183" s="90" t="s">
        <v>119</v>
      </c>
      <c r="N183" s="91">
        <f t="shared" si="2"/>
        <v>4</v>
      </c>
      <c r="O183" s="91">
        <v>8758</v>
      </c>
      <c r="P183" s="91">
        <v>875</v>
      </c>
    </row>
    <row r="184" ht="17.25" spans="2:16">
      <c r="B184" s="88">
        <v>181</v>
      </c>
      <c r="C184" s="88">
        <v>47130</v>
      </c>
      <c r="D184" s="89">
        <v>4713</v>
      </c>
      <c r="E184" s="88">
        <v>1044</v>
      </c>
      <c r="F184" s="88">
        <v>95800</v>
      </c>
      <c r="G184" s="88">
        <v>75043</v>
      </c>
      <c r="H184" s="88">
        <v>6082200</v>
      </c>
      <c r="J184" s="90">
        <v>173</v>
      </c>
      <c r="K184" s="90">
        <v>210</v>
      </c>
      <c r="L184" s="90" t="s">
        <v>115</v>
      </c>
      <c r="M184" s="90" t="s">
        <v>120</v>
      </c>
      <c r="N184" s="91">
        <f t="shared" si="2"/>
        <v>5</v>
      </c>
      <c r="O184" s="91">
        <v>10543</v>
      </c>
      <c r="P184" s="91">
        <v>1054</v>
      </c>
    </row>
    <row r="185" ht="17.25" spans="2:16">
      <c r="B185" s="88">
        <v>182</v>
      </c>
      <c r="C185" s="88">
        <v>47780</v>
      </c>
      <c r="D185" s="89">
        <v>4778</v>
      </c>
      <c r="E185" s="88">
        <v>1052</v>
      </c>
      <c r="F185" s="88">
        <v>96600</v>
      </c>
      <c r="G185" s="88">
        <v>76095</v>
      </c>
      <c r="H185" s="88">
        <v>6178800</v>
      </c>
      <c r="J185" s="90">
        <v>174</v>
      </c>
      <c r="K185" s="90">
        <v>210</v>
      </c>
      <c r="L185" s="90" t="s">
        <v>115</v>
      </c>
      <c r="M185" s="90" t="s">
        <v>121</v>
      </c>
      <c r="N185" s="91">
        <f t="shared" si="2"/>
        <v>6</v>
      </c>
      <c r="O185" s="91">
        <v>12976</v>
      </c>
      <c r="P185" s="91">
        <v>1297</v>
      </c>
    </row>
    <row r="186" ht="17.25" spans="2:16">
      <c r="B186" s="88">
        <v>183</v>
      </c>
      <c r="C186" s="88">
        <v>48430</v>
      </c>
      <c r="D186" s="89">
        <v>4843</v>
      </c>
      <c r="E186" s="88">
        <v>1060</v>
      </c>
      <c r="F186" s="88">
        <v>97400</v>
      </c>
      <c r="G186" s="88">
        <v>77155</v>
      </c>
      <c r="H186" s="88">
        <v>6276200</v>
      </c>
      <c r="J186" s="90">
        <v>175</v>
      </c>
      <c r="K186" s="90">
        <v>210</v>
      </c>
      <c r="L186" s="90" t="s">
        <v>115</v>
      </c>
      <c r="M186" s="90" t="s">
        <v>122</v>
      </c>
      <c r="N186" s="91">
        <f t="shared" si="2"/>
        <v>7</v>
      </c>
      <c r="O186" s="91">
        <v>20275</v>
      </c>
      <c r="P186" s="91">
        <v>2027</v>
      </c>
    </row>
    <row r="187" ht="17.25" spans="2:16">
      <c r="B187" s="88">
        <v>184</v>
      </c>
      <c r="C187" s="88">
        <v>49080</v>
      </c>
      <c r="D187" s="89">
        <v>4908</v>
      </c>
      <c r="E187" s="88">
        <v>1068</v>
      </c>
      <c r="F187" s="88">
        <v>98200</v>
      </c>
      <c r="G187" s="88">
        <v>78223</v>
      </c>
      <c r="H187" s="88">
        <v>6374400</v>
      </c>
      <c r="J187" s="90">
        <v>176</v>
      </c>
      <c r="K187" s="90">
        <v>210</v>
      </c>
      <c r="L187" s="90" t="s">
        <v>115</v>
      </c>
      <c r="M187" s="90" t="s">
        <v>123</v>
      </c>
      <c r="N187" s="91">
        <f t="shared" si="2"/>
        <v>8</v>
      </c>
      <c r="O187" s="91">
        <v>24330</v>
      </c>
      <c r="P187" s="91">
        <v>2433</v>
      </c>
    </row>
    <row r="188" ht="17.25" spans="2:16">
      <c r="B188" s="88">
        <v>185</v>
      </c>
      <c r="C188" s="88">
        <v>49780</v>
      </c>
      <c r="D188" s="89">
        <v>4978</v>
      </c>
      <c r="E188" s="88">
        <v>1076</v>
      </c>
      <c r="F188" s="88">
        <v>99000</v>
      </c>
      <c r="G188" s="88">
        <v>79299</v>
      </c>
      <c r="H188" s="88">
        <v>6473400</v>
      </c>
      <c r="J188" s="90">
        <v>177</v>
      </c>
      <c r="K188" s="90">
        <v>220</v>
      </c>
      <c r="L188" s="90" t="s">
        <v>115</v>
      </c>
      <c r="M188" s="90" t="s">
        <v>116</v>
      </c>
      <c r="N188" s="91">
        <f t="shared" si="2"/>
        <v>1</v>
      </c>
      <c r="O188" s="91">
        <v>5595</v>
      </c>
      <c r="P188" s="91">
        <v>559</v>
      </c>
    </row>
    <row r="189" ht="17.25" spans="2:16">
      <c r="B189" s="88">
        <v>186</v>
      </c>
      <c r="C189" s="88">
        <v>50480</v>
      </c>
      <c r="D189" s="89">
        <v>5048</v>
      </c>
      <c r="E189" s="88">
        <v>1084</v>
      </c>
      <c r="F189" s="88">
        <v>99800</v>
      </c>
      <c r="G189" s="88">
        <v>80383</v>
      </c>
      <c r="H189" s="88">
        <v>6573200</v>
      </c>
      <c r="J189" s="90">
        <v>178</v>
      </c>
      <c r="K189" s="90">
        <v>220</v>
      </c>
      <c r="L189" s="90" t="s">
        <v>115</v>
      </c>
      <c r="M189" s="90" t="s">
        <v>117</v>
      </c>
      <c r="N189" s="91">
        <f t="shared" si="2"/>
        <v>2</v>
      </c>
      <c r="O189" s="91">
        <v>6993</v>
      </c>
      <c r="P189" s="91">
        <v>699</v>
      </c>
    </row>
    <row r="190" ht="17.25" spans="2:16">
      <c r="B190" s="88">
        <v>187</v>
      </c>
      <c r="C190" s="88">
        <v>51180</v>
      </c>
      <c r="D190" s="89">
        <v>5118</v>
      </c>
      <c r="E190" s="88">
        <v>1092</v>
      </c>
      <c r="F190" s="88">
        <v>100600</v>
      </c>
      <c r="G190" s="88">
        <v>81475</v>
      </c>
      <c r="H190" s="88">
        <v>6673800</v>
      </c>
      <c r="J190" s="90">
        <v>179</v>
      </c>
      <c r="K190" s="90">
        <v>220</v>
      </c>
      <c r="L190" s="90" t="s">
        <v>115</v>
      </c>
      <c r="M190" s="90" t="s">
        <v>118</v>
      </c>
      <c r="N190" s="91">
        <f t="shared" si="2"/>
        <v>3</v>
      </c>
      <c r="O190" s="91">
        <v>8392</v>
      </c>
      <c r="P190" s="91">
        <v>839</v>
      </c>
    </row>
    <row r="191" ht="17.25" spans="2:16">
      <c r="B191" s="88">
        <v>188</v>
      </c>
      <c r="C191" s="88">
        <v>51880</v>
      </c>
      <c r="D191" s="89">
        <v>5188</v>
      </c>
      <c r="E191" s="88">
        <v>1100</v>
      </c>
      <c r="F191" s="88">
        <v>101400</v>
      </c>
      <c r="G191" s="88">
        <v>82575</v>
      </c>
      <c r="H191" s="88">
        <v>6775200</v>
      </c>
      <c r="J191" s="90">
        <v>180</v>
      </c>
      <c r="K191" s="90">
        <v>220</v>
      </c>
      <c r="L191" s="90" t="s">
        <v>115</v>
      </c>
      <c r="M191" s="90" t="s">
        <v>119</v>
      </c>
      <c r="N191" s="91">
        <f t="shared" si="2"/>
        <v>4</v>
      </c>
      <c r="O191" s="91">
        <v>10071</v>
      </c>
      <c r="P191" s="91">
        <v>1007</v>
      </c>
    </row>
    <row r="192" ht="17.25" spans="2:16">
      <c r="B192" s="88">
        <v>189</v>
      </c>
      <c r="C192" s="88">
        <v>52580</v>
      </c>
      <c r="D192" s="89">
        <v>5258</v>
      </c>
      <c r="E192" s="88">
        <v>1108</v>
      </c>
      <c r="F192" s="88">
        <v>102200</v>
      </c>
      <c r="G192" s="88">
        <v>83683</v>
      </c>
      <c r="H192" s="88">
        <v>6877400</v>
      </c>
      <c r="J192" s="90">
        <v>181</v>
      </c>
      <c r="K192" s="90">
        <v>220</v>
      </c>
      <c r="L192" s="90" t="s">
        <v>115</v>
      </c>
      <c r="M192" s="90" t="s">
        <v>120</v>
      </c>
      <c r="N192" s="91">
        <f t="shared" si="2"/>
        <v>5</v>
      </c>
      <c r="O192" s="91">
        <v>12122</v>
      </c>
      <c r="P192" s="91">
        <v>1212</v>
      </c>
    </row>
    <row r="193" ht="17.25" spans="2:16">
      <c r="B193" s="88">
        <v>190</v>
      </c>
      <c r="C193" s="88">
        <v>53280</v>
      </c>
      <c r="D193" s="89">
        <v>5328</v>
      </c>
      <c r="E193" s="88">
        <v>1116</v>
      </c>
      <c r="F193" s="88">
        <v>103000</v>
      </c>
      <c r="G193" s="88">
        <v>84799</v>
      </c>
      <c r="H193" s="88">
        <v>6980400</v>
      </c>
      <c r="J193" s="90">
        <v>182</v>
      </c>
      <c r="K193" s="90">
        <v>220</v>
      </c>
      <c r="L193" s="90" t="s">
        <v>115</v>
      </c>
      <c r="M193" s="90" t="s">
        <v>121</v>
      </c>
      <c r="N193" s="91">
        <f t="shared" si="2"/>
        <v>6</v>
      </c>
      <c r="O193" s="91">
        <v>14920</v>
      </c>
      <c r="P193" s="91">
        <v>1492</v>
      </c>
    </row>
    <row r="194" ht="17.25" spans="2:16">
      <c r="B194" s="88">
        <v>191</v>
      </c>
      <c r="C194" s="88">
        <v>53980</v>
      </c>
      <c r="D194" s="89">
        <v>5398</v>
      </c>
      <c r="E194" s="88">
        <v>1124</v>
      </c>
      <c r="F194" s="88">
        <v>103800</v>
      </c>
      <c r="G194" s="88">
        <v>85923</v>
      </c>
      <c r="H194" s="88">
        <v>7084200</v>
      </c>
      <c r="J194" s="90">
        <v>183</v>
      </c>
      <c r="K194" s="90">
        <v>220</v>
      </c>
      <c r="L194" s="90" t="s">
        <v>115</v>
      </c>
      <c r="M194" s="90" t="s">
        <v>122</v>
      </c>
      <c r="N194" s="91">
        <f t="shared" si="2"/>
        <v>7</v>
      </c>
      <c r="O194" s="91">
        <v>23312</v>
      </c>
      <c r="P194" s="91">
        <v>2331</v>
      </c>
    </row>
    <row r="195" ht="17.25" spans="2:16">
      <c r="B195" s="88">
        <v>192</v>
      </c>
      <c r="C195" s="88">
        <v>54680</v>
      </c>
      <c r="D195" s="89">
        <v>5468</v>
      </c>
      <c r="E195" s="88">
        <v>1132</v>
      </c>
      <c r="F195" s="88">
        <v>104600</v>
      </c>
      <c r="G195" s="88">
        <v>87055</v>
      </c>
      <c r="H195" s="88">
        <v>7188800</v>
      </c>
      <c r="J195" s="90">
        <v>184</v>
      </c>
      <c r="K195" s="90">
        <v>220</v>
      </c>
      <c r="L195" s="90" t="s">
        <v>115</v>
      </c>
      <c r="M195" s="90" t="s">
        <v>123</v>
      </c>
      <c r="N195" s="91">
        <f t="shared" si="2"/>
        <v>8</v>
      </c>
      <c r="O195" s="91">
        <v>27975</v>
      </c>
      <c r="P195" s="91">
        <v>2797</v>
      </c>
    </row>
    <row r="196" ht="17.25" spans="2:16">
      <c r="B196" s="88">
        <v>193</v>
      </c>
      <c r="C196" s="88">
        <v>55380</v>
      </c>
      <c r="D196" s="89">
        <v>5538</v>
      </c>
      <c r="E196" s="88">
        <v>1140</v>
      </c>
      <c r="F196" s="88">
        <v>105400</v>
      </c>
      <c r="G196" s="88">
        <v>88195</v>
      </c>
      <c r="H196" s="88">
        <v>7294200</v>
      </c>
      <c r="J196" s="90">
        <v>185</v>
      </c>
      <c r="K196" s="90">
        <v>230</v>
      </c>
      <c r="L196" s="90" t="s">
        <v>115</v>
      </c>
      <c r="M196" s="90" t="s">
        <v>116</v>
      </c>
      <c r="N196" s="91">
        <f t="shared" ref="N196:N219" si="3">MATCH(M196,$M$4:$M$11,0)</f>
        <v>1</v>
      </c>
      <c r="O196" s="91">
        <v>6434</v>
      </c>
      <c r="P196" s="91">
        <v>643</v>
      </c>
    </row>
    <row r="197" ht="17.25" spans="2:16">
      <c r="B197" s="88">
        <v>194</v>
      </c>
      <c r="C197" s="88">
        <v>56080</v>
      </c>
      <c r="D197" s="89">
        <v>5608</v>
      </c>
      <c r="E197" s="88">
        <v>1148</v>
      </c>
      <c r="F197" s="88">
        <v>106200</v>
      </c>
      <c r="G197" s="88">
        <v>89343</v>
      </c>
      <c r="H197" s="88">
        <v>7400400</v>
      </c>
      <c r="J197" s="90">
        <v>186</v>
      </c>
      <c r="K197" s="90">
        <v>230</v>
      </c>
      <c r="L197" s="90" t="s">
        <v>115</v>
      </c>
      <c r="M197" s="90" t="s">
        <v>117</v>
      </c>
      <c r="N197" s="91">
        <f t="shared" si="3"/>
        <v>2</v>
      </c>
      <c r="O197" s="91">
        <v>8042</v>
      </c>
      <c r="P197" s="91">
        <v>804</v>
      </c>
    </row>
    <row r="198" ht="17.25" spans="2:16">
      <c r="B198" s="88">
        <v>195</v>
      </c>
      <c r="C198" s="88">
        <v>56830</v>
      </c>
      <c r="D198" s="89">
        <v>5683</v>
      </c>
      <c r="E198" s="88">
        <v>1156</v>
      </c>
      <c r="F198" s="88">
        <v>107000</v>
      </c>
      <c r="G198" s="88">
        <v>90499</v>
      </c>
      <c r="H198" s="88">
        <v>7507400</v>
      </c>
      <c r="J198" s="90">
        <v>187</v>
      </c>
      <c r="K198" s="90">
        <v>230</v>
      </c>
      <c r="L198" s="90" t="s">
        <v>115</v>
      </c>
      <c r="M198" s="90" t="s">
        <v>118</v>
      </c>
      <c r="N198" s="91">
        <f t="shared" si="3"/>
        <v>3</v>
      </c>
      <c r="O198" s="91">
        <v>9651</v>
      </c>
      <c r="P198" s="91">
        <v>965</v>
      </c>
    </row>
    <row r="199" ht="17.25" spans="2:16">
      <c r="B199" s="88">
        <v>196</v>
      </c>
      <c r="C199" s="88">
        <v>57580</v>
      </c>
      <c r="D199" s="89">
        <v>5758</v>
      </c>
      <c r="E199" s="88">
        <v>1164</v>
      </c>
      <c r="F199" s="88">
        <v>107800</v>
      </c>
      <c r="G199" s="88">
        <v>91663</v>
      </c>
      <c r="H199" s="88">
        <v>7615200</v>
      </c>
      <c r="J199" s="90">
        <v>188</v>
      </c>
      <c r="K199" s="90">
        <v>230</v>
      </c>
      <c r="L199" s="90" t="s">
        <v>115</v>
      </c>
      <c r="M199" s="90" t="s">
        <v>119</v>
      </c>
      <c r="N199" s="91">
        <f t="shared" si="3"/>
        <v>4</v>
      </c>
      <c r="O199" s="91">
        <v>11581</v>
      </c>
      <c r="P199" s="91">
        <v>1158</v>
      </c>
    </row>
    <row r="200" ht="17.25" spans="2:16">
      <c r="B200" s="88">
        <v>197</v>
      </c>
      <c r="C200" s="88">
        <v>58330</v>
      </c>
      <c r="D200" s="89">
        <v>5833</v>
      </c>
      <c r="E200" s="88">
        <v>1172</v>
      </c>
      <c r="F200" s="88">
        <v>108600</v>
      </c>
      <c r="G200" s="88">
        <v>92835</v>
      </c>
      <c r="H200" s="88">
        <v>7723800</v>
      </c>
      <c r="J200" s="90">
        <v>189</v>
      </c>
      <c r="K200" s="90">
        <v>230</v>
      </c>
      <c r="L200" s="90" t="s">
        <v>115</v>
      </c>
      <c r="M200" s="90" t="s">
        <v>120</v>
      </c>
      <c r="N200" s="91">
        <f t="shared" si="3"/>
        <v>5</v>
      </c>
      <c r="O200" s="91">
        <v>13940</v>
      </c>
      <c r="P200" s="91">
        <v>1394</v>
      </c>
    </row>
    <row r="201" ht="17.25" spans="2:16">
      <c r="B201" s="88">
        <v>198</v>
      </c>
      <c r="C201" s="88">
        <v>59080</v>
      </c>
      <c r="D201" s="89">
        <v>5908</v>
      </c>
      <c r="E201" s="88">
        <v>1180</v>
      </c>
      <c r="F201" s="88">
        <v>109400</v>
      </c>
      <c r="G201" s="88">
        <v>94015</v>
      </c>
      <c r="H201" s="88">
        <v>7833200</v>
      </c>
      <c r="J201" s="90">
        <v>190</v>
      </c>
      <c r="K201" s="90">
        <v>230</v>
      </c>
      <c r="L201" s="90" t="s">
        <v>115</v>
      </c>
      <c r="M201" s="90" t="s">
        <v>121</v>
      </c>
      <c r="N201" s="91">
        <f t="shared" si="3"/>
        <v>6</v>
      </c>
      <c r="O201" s="91">
        <v>17157</v>
      </c>
      <c r="P201" s="91">
        <v>1715</v>
      </c>
    </row>
    <row r="202" ht="17.25" spans="2:16">
      <c r="B202" s="88">
        <v>199</v>
      </c>
      <c r="C202" s="88">
        <v>59830</v>
      </c>
      <c r="D202" s="89">
        <v>5983</v>
      </c>
      <c r="E202" s="88">
        <v>1188</v>
      </c>
      <c r="F202" s="88">
        <v>110200</v>
      </c>
      <c r="G202" s="88">
        <v>95203</v>
      </c>
      <c r="H202" s="88">
        <v>7943400</v>
      </c>
      <c r="J202" s="90">
        <v>191</v>
      </c>
      <c r="K202" s="90">
        <v>230</v>
      </c>
      <c r="L202" s="90" t="s">
        <v>115</v>
      </c>
      <c r="M202" s="90" t="s">
        <v>122</v>
      </c>
      <c r="N202" s="91">
        <f t="shared" si="3"/>
        <v>7</v>
      </c>
      <c r="O202" s="91">
        <v>26808</v>
      </c>
      <c r="P202" s="91">
        <v>2680</v>
      </c>
    </row>
    <row r="203" ht="17.25" spans="2:16">
      <c r="B203" s="88">
        <v>200</v>
      </c>
      <c r="C203" s="88">
        <v>60580</v>
      </c>
      <c r="D203" s="89">
        <v>6058</v>
      </c>
      <c r="E203" s="88">
        <v>1196</v>
      </c>
      <c r="F203" s="88">
        <v>111000</v>
      </c>
      <c r="G203" s="88">
        <v>96399</v>
      </c>
      <c r="H203" s="88">
        <v>8054400</v>
      </c>
      <c r="J203" s="90">
        <v>192</v>
      </c>
      <c r="K203" s="90">
        <v>230</v>
      </c>
      <c r="L203" s="90" t="s">
        <v>115</v>
      </c>
      <c r="M203" s="90" t="s">
        <v>123</v>
      </c>
      <c r="N203" s="91">
        <f t="shared" si="3"/>
        <v>8</v>
      </c>
      <c r="O203" s="91">
        <v>32170</v>
      </c>
      <c r="P203" s="91">
        <v>3217</v>
      </c>
    </row>
    <row r="204" ht="17.25" spans="2:16">
      <c r="B204" s="88">
        <v>201</v>
      </c>
      <c r="C204" s="88">
        <v>61330</v>
      </c>
      <c r="D204" s="89">
        <v>6133</v>
      </c>
      <c r="E204" s="88">
        <v>1204</v>
      </c>
      <c r="F204" s="88">
        <v>111800</v>
      </c>
      <c r="G204" s="88">
        <v>97603</v>
      </c>
      <c r="H204" s="88">
        <v>8166200</v>
      </c>
      <c r="J204" s="90">
        <v>193</v>
      </c>
      <c r="K204" s="90">
        <v>240</v>
      </c>
      <c r="L204" s="90" t="s">
        <v>115</v>
      </c>
      <c r="M204" s="90" t="s">
        <v>116</v>
      </c>
      <c r="N204" s="91">
        <f t="shared" si="3"/>
        <v>1</v>
      </c>
      <c r="O204" s="91">
        <v>7399</v>
      </c>
      <c r="P204" s="91">
        <v>739</v>
      </c>
    </row>
    <row r="205" ht="17.25" spans="2:16">
      <c r="B205" s="88">
        <v>202</v>
      </c>
      <c r="C205" s="88">
        <v>62080</v>
      </c>
      <c r="D205" s="89">
        <v>6208</v>
      </c>
      <c r="E205" s="88">
        <v>1212</v>
      </c>
      <c r="F205" s="88">
        <v>112600</v>
      </c>
      <c r="G205" s="88">
        <v>98815</v>
      </c>
      <c r="H205" s="88">
        <v>8278800</v>
      </c>
      <c r="J205" s="90">
        <v>194</v>
      </c>
      <c r="K205" s="90">
        <v>240</v>
      </c>
      <c r="L205" s="90" t="s">
        <v>115</v>
      </c>
      <c r="M205" s="90" t="s">
        <v>117</v>
      </c>
      <c r="N205" s="91">
        <f t="shared" si="3"/>
        <v>2</v>
      </c>
      <c r="O205" s="91">
        <v>9248</v>
      </c>
      <c r="P205" s="91">
        <v>924</v>
      </c>
    </row>
    <row r="206" ht="17.25" spans="2:16">
      <c r="B206" s="88">
        <v>203</v>
      </c>
      <c r="C206" s="88">
        <v>62830</v>
      </c>
      <c r="D206" s="89">
        <v>6283</v>
      </c>
      <c r="E206" s="88">
        <v>1220</v>
      </c>
      <c r="F206" s="88">
        <v>113400</v>
      </c>
      <c r="G206" s="88">
        <v>100035</v>
      </c>
      <c r="H206" s="88">
        <v>8392200</v>
      </c>
      <c r="J206" s="90">
        <v>195</v>
      </c>
      <c r="K206" s="90">
        <v>240</v>
      </c>
      <c r="L206" s="90" t="s">
        <v>115</v>
      </c>
      <c r="M206" s="90" t="s">
        <v>118</v>
      </c>
      <c r="N206" s="91">
        <f t="shared" si="3"/>
        <v>3</v>
      </c>
      <c r="O206" s="91">
        <v>11098</v>
      </c>
      <c r="P206" s="91">
        <v>1109</v>
      </c>
    </row>
    <row r="207" ht="17.25" spans="2:16">
      <c r="B207" s="88">
        <v>204</v>
      </c>
      <c r="C207" s="88">
        <v>63580</v>
      </c>
      <c r="D207" s="89">
        <v>6358</v>
      </c>
      <c r="E207" s="88">
        <v>1228</v>
      </c>
      <c r="F207" s="88">
        <v>114200</v>
      </c>
      <c r="G207" s="88">
        <v>101263</v>
      </c>
      <c r="H207" s="88">
        <v>8506400</v>
      </c>
      <c r="J207" s="90">
        <v>196</v>
      </c>
      <c r="K207" s="90">
        <v>240</v>
      </c>
      <c r="L207" s="90" t="s">
        <v>115</v>
      </c>
      <c r="M207" s="90" t="s">
        <v>119</v>
      </c>
      <c r="N207" s="91">
        <f t="shared" si="3"/>
        <v>4</v>
      </c>
      <c r="O207" s="91">
        <v>13318</v>
      </c>
      <c r="P207" s="91">
        <v>1331</v>
      </c>
    </row>
    <row r="208" ht="17.25" spans="2:16">
      <c r="B208" s="88">
        <v>205</v>
      </c>
      <c r="C208" s="88">
        <v>64380</v>
      </c>
      <c r="D208" s="89">
        <v>6438</v>
      </c>
      <c r="E208" s="88">
        <v>1236</v>
      </c>
      <c r="F208" s="88">
        <v>115000</v>
      </c>
      <c r="G208" s="88">
        <v>102499</v>
      </c>
      <c r="H208" s="88">
        <v>8621400</v>
      </c>
      <c r="J208" s="90">
        <v>197</v>
      </c>
      <c r="K208" s="90">
        <v>240</v>
      </c>
      <c r="L208" s="90" t="s">
        <v>115</v>
      </c>
      <c r="M208" s="90" t="s">
        <v>120</v>
      </c>
      <c r="N208" s="91">
        <f t="shared" si="3"/>
        <v>5</v>
      </c>
      <c r="O208" s="91">
        <v>16031</v>
      </c>
      <c r="P208" s="91">
        <v>1603</v>
      </c>
    </row>
    <row r="209" ht="17.25" spans="2:16">
      <c r="B209" s="88">
        <v>206</v>
      </c>
      <c r="C209" s="88">
        <v>65180</v>
      </c>
      <c r="D209" s="89">
        <v>6518</v>
      </c>
      <c r="E209" s="88">
        <v>1244</v>
      </c>
      <c r="F209" s="88">
        <v>115800</v>
      </c>
      <c r="G209" s="88">
        <v>103743</v>
      </c>
      <c r="H209" s="88">
        <v>8737200</v>
      </c>
      <c r="J209" s="90">
        <v>198</v>
      </c>
      <c r="K209" s="90">
        <v>240</v>
      </c>
      <c r="L209" s="90" t="s">
        <v>115</v>
      </c>
      <c r="M209" s="90" t="s">
        <v>121</v>
      </c>
      <c r="N209" s="91">
        <f t="shared" si="3"/>
        <v>6</v>
      </c>
      <c r="O209" s="91">
        <v>19730</v>
      </c>
      <c r="P209" s="91">
        <v>1973</v>
      </c>
    </row>
    <row r="210" ht="17.25" spans="2:16">
      <c r="B210" s="88">
        <v>207</v>
      </c>
      <c r="C210" s="88">
        <v>65980</v>
      </c>
      <c r="D210" s="89">
        <v>6598</v>
      </c>
      <c r="E210" s="88">
        <v>1252</v>
      </c>
      <c r="F210" s="88">
        <v>116600</v>
      </c>
      <c r="G210" s="88">
        <v>104995</v>
      </c>
      <c r="H210" s="88">
        <v>8853800</v>
      </c>
      <c r="J210" s="90">
        <v>199</v>
      </c>
      <c r="K210" s="90">
        <v>240</v>
      </c>
      <c r="L210" s="90" t="s">
        <v>115</v>
      </c>
      <c r="M210" s="90" t="s">
        <v>122</v>
      </c>
      <c r="N210" s="91">
        <f t="shared" si="3"/>
        <v>7</v>
      </c>
      <c r="O210" s="91">
        <v>30829</v>
      </c>
      <c r="P210" s="91">
        <v>3082</v>
      </c>
    </row>
    <row r="211" ht="17.25" spans="2:16">
      <c r="B211" s="88">
        <v>208</v>
      </c>
      <c r="C211" s="88">
        <v>66780</v>
      </c>
      <c r="D211" s="89">
        <v>6678</v>
      </c>
      <c r="E211" s="88">
        <v>1260</v>
      </c>
      <c r="F211" s="88">
        <v>117400</v>
      </c>
      <c r="G211" s="88">
        <v>106255</v>
      </c>
      <c r="H211" s="88">
        <v>8971200</v>
      </c>
      <c r="J211" s="90">
        <v>200</v>
      </c>
      <c r="K211" s="90">
        <v>240</v>
      </c>
      <c r="L211" s="90" t="s">
        <v>115</v>
      </c>
      <c r="M211" s="90" t="s">
        <v>123</v>
      </c>
      <c r="N211" s="91">
        <f t="shared" si="3"/>
        <v>8</v>
      </c>
      <c r="O211" s="91">
        <v>36995</v>
      </c>
      <c r="P211" s="91">
        <v>3699</v>
      </c>
    </row>
    <row r="212" ht="17.25" spans="2:16">
      <c r="B212" s="88">
        <v>209</v>
      </c>
      <c r="C212" s="88">
        <v>67580</v>
      </c>
      <c r="D212" s="89">
        <v>6758</v>
      </c>
      <c r="E212" s="88">
        <v>1268</v>
      </c>
      <c r="F212" s="88">
        <v>118200</v>
      </c>
      <c r="G212" s="88">
        <v>107523</v>
      </c>
      <c r="H212" s="88">
        <v>9089400</v>
      </c>
      <c r="J212" s="90">
        <v>201</v>
      </c>
      <c r="K212" s="90">
        <v>250</v>
      </c>
      <c r="L212" s="90" t="s">
        <v>115</v>
      </c>
      <c r="M212" s="90" t="s">
        <v>116</v>
      </c>
      <c r="N212" s="91">
        <f t="shared" si="3"/>
        <v>1</v>
      </c>
      <c r="O212" s="91">
        <v>8508</v>
      </c>
      <c r="P212" s="91">
        <v>850</v>
      </c>
    </row>
    <row r="213" ht="17.25" spans="2:16">
      <c r="B213" s="88">
        <v>210</v>
      </c>
      <c r="C213" s="88">
        <v>68380</v>
      </c>
      <c r="D213" s="89">
        <v>6838</v>
      </c>
      <c r="E213" s="88">
        <v>1276</v>
      </c>
      <c r="F213" s="88">
        <v>119000</v>
      </c>
      <c r="G213" s="88">
        <v>108799</v>
      </c>
      <c r="H213" s="88">
        <v>9208400</v>
      </c>
      <c r="J213" s="90">
        <v>202</v>
      </c>
      <c r="K213" s="90">
        <v>250</v>
      </c>
      <c r="L213" s="90" t="s">
        <v>115</v>
      </c>
      <c r="M213" s="90" t="s">
        <v>117</v>
      </c>
      <c r="N213" s="91">
        <f t="shared" si="3"/>
        <v>2</v>
      </c>
      <c r="O213" s="91">
        <v>10635</v>
      </c>
      <c r="P213" s="91">
        <v>1063</v>
      </c>
    </row>
    <row r="214" ht="17.25" spans="2:16">
      <c r="B214" s="88">
        <v>211</v>
      </c>
      <c r="C214" s="88">
        <v>69180</v>
      </c>
      <c r="D214" s="89">
        <v>6918</v>
      </c>
      <c r="E214" s="88">
        <v>1284</v>
      </c>
      <c r="F214" s="88">
        <v>119800</v>
      </c>
      <c r="G214" s="88">
        <v>110083</v>
      </c>
      <c r="H214" s="88">
        <v>9328200</v>
      </c>
      <c r="J214" s="90">
        <v>203</v>
      </c>
      <c r="K214" s="90">
        <v>250</v>
      </c>
      <c r="L214" s="90" t="s">
        <v>115</v>
      </c>
      <c r="M214" s="90" t="s">
        <v>118</v>
      </c>
      <c r="N214" s="91">
        <f t="shared" si="3"/>
        <v>3</v>
      </c>
      <c r="O214" s="91">
        <v>12762</v>
      </c>
      <c r="P214" s="91">
        <v>1276</v>
      </c>
    </row>
    <row r="215" ht="17.25" spans="2:16">
      <c r="B215" s="88">
        <v>212</v>
      </c>
      <c r="C215" s="88">
        <v>69980</v>
      </c>
      <c r="D215" s="89">
        <v>6998</v>
      </c>
      <c r="E215" s="88">
        <v>1292</v>
      </c>
      <c r="F215" s="88">
        <v>120600</v>
      </c>
      <c r="G215" s="88">
        <v>111375</v>
      </c>
      <c r="H215" s="88">
        <v>9448800</v>
      </c>
      <c r="J215" s="90">
        <v>204</v>
      </c>
      <c r="K215" s="90">
        <v>250</v>
      </c>
      <c r="L215" s="90" t="s">
        <v>115</v>
      </c>
      <c r="M215" s="90" t="s">
        <v>119</v>
      </c>
      <c r="N215" s="91">
        <f t="shared" si="3"/>
        <v>4</v>
      </c>
      <c r="O215" s="91">
        <v>15314</v>
      </c>
      <c r="P215" s="91">
        <v>1531</v>
      </c>
    </row>
    <row r="216" ht="17.25" spans="2:16">
      <c r="B216" s="88">
        <v>213</v>
      </c>
      <c r="C216" s="88">
        <v>70780</v>
      </c>
      <c r="D216" s="89">
        <v>7078</v>
      </c>
      <c r="E216" s="88">
        <v>1300</v>
      </c>
      <c r="F216" s="88">
        <v>121400</v>
      </c>
      <c r="G216" s="88">
        <v>112675</v>
      </c>
      <c r="H216" s="88">
        <v>9570200</v>
      </c>
      <c r="J216" s="90">
        <v>205</v>
      </c>
      <c r="K216" s="90">
        <v>250</v>
      </c>
      <c r="L216" s="90" t="s">
        <v>115</v>
      </c>
      <c r="M216" s="90" t="s">
        <v>120</v>
      </c>
      <c r="N216" s="91">
        <f t="shared" si="3"/>
        <v>5</v>
      </c>
      <c r="O216" s="91">
        <v>18434</v>
      </c>
      <c r="P216" s="91">
        <v>1843</v>
      </c>
    </row>
    <row r="217" ht="17.25" spans="2:16">
      <c r="B217" s="88">
        <v>214</v>
      </c>
      <c r="C217" s="88">
        <v>71580</v>
      </c>
      <c r="D217" s="89">
        <v>7158</v>
      </c>
      <c r="E217" s="88">
        <v>1308</v>
      </c>
      <c r="F217" s="88">
        <v>122200</v>
      </c>
      <c r="G217" s="88">
        <v>113983</v>
      </c>
      <c r="H217" s="88">
        <v>9692400</v>
      </c>
      <c r="J217" s="90">
        <v>206</v>
      </c>
      <c r="K217" s="90">
        <v>250</v>
      </c>
      <c r="L217" s="90" t="s">
        <v>115</v>
      </c>
      <c r="M217" s="90" t="s">
        <v>121</v>
      </c>
      <c r="N217" s="91">
        <f t="shared" si="3"/>
        <v>6</v>
      </c>
      <c r="O217" s="91">
        <v>22688</v>
      </c>
      <c r="P217" s="91">
        <v>2268</v>
      </c>
    </row>
    <row r="218" ht="17.25" spans="2:16">
      <c r="B218" s="88">
        <v>215</v>
      </c>
      <c r="C218" s="88">
        <v>72430</v>
      </c>
      <c r="D218" s="89">
        <v>7243</v>
      </c>
      <c r="E218" s="88">
        <v>1316</v>
      </c>
      <c r="F218" s="88">
        <v>123000</v>
      </c>
      <c r="G218" s="88">
        <v>115299</v>
      </c>
      <c r="H218" s="88">
        <v>9815400</v>
      </c>
      <c r="J218" s="90">
        <v>207</v>
      </c>
      <c r="K218" s="90">
        <v>250</v>
      </c>
      <c r="L218" s="90" t="s">
        <v>115</v>
      </c>
      <c r="M218" s="90" t="s">
        <v>122</v>
      </c>
      <c r="N218" s="91">
        <f t="shared" si="3"/>
        <v>7</v>
      </c>
      <c r="O218" s="91">
        <v>35450</v>
      </c>
      <c r="P218" s="91">
        <v>3545</v>
      </c>
    </row>
    <row r="219" ht="17.25" spans="2:16">
      <c r="B219" s="88">
        <v>216</v>
      </c>
      <c r="C219" s="88">
        <v>73280</v>
      </c>
      <c r="D219" s="89">
        <v>7328</v>
      </c>
      <c r="E219" s="88">
        <v>1324</v>
      </c>
      <c r="F219" s="88">
        <v>123800</v>
      </c>
      <c r="G219" s="88">
        <v>116623</v>
      </c>
      <c r="H219" s="88">
        <v>9939200</v>
      </c>
      <c r="J219" s="90">
        <v>208</v>
      </c>
      <c r="K219" s="90">
        <v>250</v>
      </c>
      <c r="L219" s="90" t="s">
        <v>115</v>
      </c>
      <c r="M219" s="90" t="s">
        <v>123</v>
      </c>
      <c r="N219" s="91">
        <f t="shared" si="3"/>
        <v>8</v>
      </c>
      <c r="O219" s="91">
        <v>42540</v>
      </c>
      <c r="P219" s="91">
        <v>4254</v>
      </c>
    </row>
    <row r="220" ht="17.25" spans="2:16">
      <c r="B220" s="88">
        <v>217</v>
      </c>
      <c r="C220" s="88">
        <v>74130</v>
      </c>
      <c r="D220" s="89">
        <v>7413</v>
      </c>
      <c r="E220" s="88">
        <v>1332</v>
      </c>
      <c r="F220" s="88">
        <v>124600</v>
      </c>
      <c r="G220" s="88">
        <v>117955</v>
      </c>
      <c r="H220" s="88">
        <v>10063800</v>
      </c>
    </row>
    <row r="221" ht="17.25" spans="2:16">
      <c r="B221" s="88">
        <v>218</v>
      </c>
      <c r="C221" s="88">
        <v>74980</v>
      </c>
      <c r="D221" s="89">
        <v>7498</v>
      </c>
      <c r="E221" s="88">
        <v>1340</v>
      </c>
      <c r="F221" s="88">
        <v>125400</v>
      </c>
      <c r="G221" s="88">
        <v>119295</v>
      </c>
      <c r="H221" s="88">
        <v>10189200</v>
      </c>
    </row>
    <row r="222" ht="17.25" spans="2:16">
      <c r="B222" s="88">
        <v>219</v>
      </c>
      <c r="C222" s="88">
        <v>75830</v>
      </c>
      <c r="D222" s="89">
        <v>7583</v>
      </c>
      <c r="E222" s="88">
        <v>1348</v>
      </c>
      <c r="F222" s="88">
        <v>126200</v>
      </c>
      <c r="G222" s="88">
        <v>120643</v>
      </c>
      <c r="H222" s="88">
        <v>10315400</v>
      </c>
    </row>
    <row r="223" ht="17.25" spans="2:16">
      <c r="B223" s="88">
        <v>220</v>
      </c>
      <c r="C223" s="88">
        <v>76680</v>
      </c>
      <c r="D223" s="89">
        <v>7668</v>
      </c>
      <c r="E223" s="88">
        <v>1356</v>
      </c>
      <c r="F223" s="88">
        <v>127000</v>
      </c>
      <c r="G223" s="88">
        <v>121999</v>
      </c>
      <c r="H223" s="88">
        <v>10442400</v>
      </c>
    </row>
    <row r="224" ht="17.25" spans="2:16">
      <c r="B224" s="88">
        <v>221</v>
      </c>
      <c r="C224" s="88">
        <v>77530</v>
      </c>
      <c r="D224" s="89">
        <v>7753</v>
      </c>
      <c r="E224" s="88">
        <v>1364</v>
      </c>
      <c r="F224" s="88">
        <v>127800</v>
      </c>
      <c r="G224" s="88">
        <v>123363</v>
      </c>
      <c r="H224" s="88">
        <v>10570200</v>
      </c>
    </row>
    <row r="225" ht="17.25" spans="2:8">
      <c r="B225" s="88">
        <v>222</v>
      </c>
      <c r="C225" s="88">
        <v>78380</v>
      </c>
      <c r="D225" s="89">
        <v>7838</v>
      </c>
      <c r="E225" s="88">
        <v>1372</v>
      </c>
      <c r="F225" s="88">
        <v>128600</v>
      </c>
      <c r="G225" s="88">
        <v>124735</v>
      </c>
      <c r="H225" s="88">
        <v>10698800</v>
      </c>
    </row>
    <row r="226" ht="17.25" spans="2:8">
      <c r="B226" s="88">
        <v>223</v>
      </c>
      <c r="C226" s="88">
        <v>79230</v>
      </c>
      <c r="D226" s="89">
        <v>7923</v>
      </c>
      <c r="E226" s="88">
        <v>1380</v>
      </c>
      <c r="F226" s="88">
        <v>129400</v>
      </c>
      <c r="G226" s="88">
        <v>126115</v>
      </c>
      <c r="H226" s="88">
        <v>10828200</v>
      </c>
    </row>
    <row r="227" ht="17.25" spans="2:8">
      <c r="B227" s="88">
        <v>224</v>
      </c>
      <c r="C227" s="88">
        <v>80080</v>
      </c>
      <c r="D227" s="89">
        <v>8008</v>
      </c>
      <c r="E227" s="88">
        <v>1388</v>
      </c>
      <c r="F227" s="88">
        <v>130200</v>
      </c>
      <c r="G227" s="88">
        <v>127503</v>
      </c>
      <c r="H227" s="88">
        <v>10958400</v>
      </c>
    </row>
    <row r="228" ht="17.25" spans="2:8">
      <c r="B228" s="88">
        <v>225</v>
      </c>
      <c r="C228" s="88">
        <v>80980</v>
      </c>
      <c r="D228" s="89">
        <v>8098</v>
      </c>
      <c r="E228" s="88">
        <v>1396</v>
      </c>
      <c r="F228" s="88">
        <v>131000</v>
      </c>
      <c r="G228" s="88">
        <v>128899</v>
      </c>
      <c r="H228" s="88">
        <v>11089400</v>
      </c>
    </row>
    <row r="229" ht="17.25" spans="2:8">
      <c r="B229" s="88">
        <v>226</v>
      </c>
      <c r="C229" s="88">
        <v>81880</v>
      </c>
      <c r="D229" s="89">
        <v>8188</v>
      </c>
      <c r="E229" s="88">
        <v>1404</v>
      </c>
      <c r="F229" s="88">
        <v>131800</v>
      </c>
      <c r="G229" s="88">
        <v>130303</v>
      </c>
      <c r="H229" s="88">
        <v>11221200</v>
      </c>
    </row>
    <row r="230" ht="17.25" spans="2:8">
      <c r="B230" s="88">
        <v>227</v>
      </c>
      <c r="C230" s="88">
        <v>82780</v>
      </c>
      <c r="D230" s="89">
        <v>8278</v>
      </c>
      <c r="E230" s="88">
        <v>1412</v>
      </c>
      <c r="F230" s="88">
        <v>132600</v>
      </c>
      <c r="G230" s="88">
        <v>131715</v>
      </c>
      <c r="H230" s="88">
        <v>11353800</v>
      </c>
    </row>
    <row r="231" ht="17.25" spans="2:8">
      <c r="B231" s="88">
        <v>228</v>
      </c>
      <c r="C231" s="88">
        <v>83680</v>
      </c>
      <c r="D231" s="89">
        <v>8368</v>
      </c>
      <c r="E231" s="88">
        <v>1420</v>
      </c>
      <c r="F231" s="88">
        <v>133400</v>
      </c>
      <c r="G231" s="88">
        <v>133135</v>
      </c>
      <c r="H231" s="88">
        <v>11487200</v>
      </c>
    </row>
    <row r="232" ht="17.25" spans="2:8">
      <c r="B232" s="88">
        <v>229</v>
      </c>
      <c r="C232" s="88">
        <v>84580</v>
      </c>
      <c r="D232" s="89">
        <v>8458</v>
      </c>
      <c r="E232" s="88">
        <v>1428</v>
      </c>
      <c r="F232" s="88">
        <v>134200</v>
      </c>
      <c r="G232" s="88">
        <v>134563</v>
      </c>
      <c r="H232" s="88">
        <v>11621400</v>
      </c>
    </row>
    <row r="233" ht="17.25" spans="2:8">
      <c r="B233" s="88">
        <v>230</v>
      </c>
      <c r="C233" s="88">
        <v>85480</v>
      </c>
      <c r="D233" s="89">
        <v>8548</v>
      </c>
      <c r="E233" s="88">
        <v>1436</v>
      </c>
      <c r="F233" s="88">
        <v>135000</v>
      </c>
      <c r="G233" s="88">
        <v>135999</v>
      </c>
      <c r="H233" s="88">
        <v>11756400</v>
      </c>
    </row>
    <row r="234" ht="17.25" spans="2:8">
      <c r="B234" s="88">
        <v>231</v>
      </c>
      <c r="C234" s="88">
        <v>86380</v>
      </c>
      <c r="D234" s="89">
        <v>8638</v>
      </c>
      <c r="E234" s="88">
        <v>1444</v>
      </c>
      <c r="F234" s="88">
        <v>135800</v>
      </c>
      <c r="G234" s="88">
        <v>137443</v>
      </c>
      <c r="H234" s="88">
        <v>11892200</v>
      </c>
    </row>
    <row r="235" ht="17.25" spans="2:8">
      <c r="B235" s="88">
        <v>232</v>
      </c>
      <c r="C235" s="88">
        <v>87280</v>
      </c>
      <c r="D235" s="89">
        <v>8728</v>
      </c>
      <c r="E235" s="88">
        <v>1452</v>
      </c>
      <c r="F235" s="88">
        <v>136600</v>
      </c>
      <c r="G235" s="88">
        <v>138895</v>
      </c>
      <c r="H235" s="88">
        <v>12028800</v>
      </c>
    </row>
    <row r="236" ht="17.25" spans="2:8">
      <c r="B236" s="88">
        <v>233</v>
      </c>
      <c r="C236" s="88">
        <v>88180</v>
      </c>
      <c r="D236" s="89">
        <v>8818</v>
      </c>
      <c r="E236" s="88">
        <v>1460</v>
      </c>
      <c r="F236" s="88">
        <v>137400</v>
      </c>
      <c r="G236" s="88">
        <v>140355</v>
      </c>
      <c r="H236" s="88">
        <v>12166200</v>
      </c>
    </row>
    <row r="237" ht="17.25" spans="2:8">
      <c r="B237" s="88">
        <v>234</v>
      </c>
      <c r="C237" s="88">
        <v>89080</v>
      </c>
      <c r="D237" s="89">
        <v>8908</v>
      </c>
      <c r="E237" s="88">
        <v>1468</v>
      </c>
      <c r="F237" s="88">
        <v>138200</v>
      </c>
      <c r="G237" s="88">
        <v>141823</v>
      </c>
      <c r="H237" s="88">
        <v>12304400</v>
      </c>
    </row>
    <row r="238" ht="17.25" spans="2:8">
      <c r="B238" s="88">
        <v>235</v>
      </c>
      <c r="C238" s="88">
        <v>90030</v>
      </c>
      <c r="D238" s="89">
        <v>9003</v>
      </c>
      <c r="E238" s="88">
        <v>1476</v>
      </c>
      <c r="F238" s="88">
        <v>139000</v>
      </c>
      <c r="G238" s="88">
        <v>143299</v>
      </c>
      <c r="H238" s="88">
        <v>12443400</v>
      </c>
    </row>
    <row r="239" ht="17.25" spans="2:8">
      <c r="B239" s="88">
        <v>236</v>
      </c>
      <c r="C239" s="88">
        <v>90980</v>
      </c>
      <c r="D239" s="89">
        <v>9098</v>
      </c>
      <c r="E239" s="88">
        <v>1484</v>
      </c>
      <c r="F239" s="88">
        <v>139800</v>
      </c>
      <c r="G239" s="88">
        <v>144783</v>
      </c>
      <c r="H239" s="88">
        <v>12583200</v>
      </c>
    </row>
    <row r="240" ht="17.25" spans="2:8">
      <c r="B240" s="88">
        <v>237</v>
      </c>
      <c r="C240" s="88">
        <v>91930</v>
      </c>
      <c r="D240" s="89">
        <v>9193</v>
      </c>
      <c r="E240" s="88">
        <v>1492</v>
      </c>
      <c r="F240" s="88">
        <v>140600</v>
      </c>
      <c r="G240" s="88">
        <v>146275</v>
      </c>
      <c r="H240" s="88">
        <v>12723800</v>
      </c>
    </row>
    <row r="241" ht="17.25" spans="2:8">
      <c r="B241" s="88">
        <v>238</v>
      </c>
      <c r="C241" s="88">
        <v>92880</v>
      </c>
      <c r="D241" s="89">
        <v>9288</v>
      </c>
      <c r="E241" s="88">
        <v>1500</v>
      </c>
      <c r="F241" s="88">
        <v>141400</v>
      </c>
      <c r="G241" s="88">
        <v>147775</v>
      </c>
      <c r="H241" s="88">
        <v>12865200</v>
      </c>
    </row>
    <row r="242" ht="17.25" spans="2:8">
      <c r="B242" s="88">
        <v>239</v>
      </c>
      <c r="C242" s="88">
        <v>93830</v>
      </c>
      <c r="D242" s="89">
        <v>9383</v>
      </c>
      <c r="E242" s="88">
        <v>1508</v>
      </c>
      <c r="F242" s="88">
        <v>142200</v>
      </c>
      <c r="G242" s="88">
        <v>149283</v>
      </c>
      <c r="H242" s="88">
        <v>13007400</v>
      </c>
    </row>
    <row r="243" ht="17.25" spans="2:8">
      <c r="B243" s="88">
        <v>240</v>
      </c>
      <c r="C243" s="88">
        <v>94780</v>
      </c>
      <c r="D243" s="89">
        <v>9478</v>
      </c>
      <c r="E243" s="88">
        <v>1516</v>
      </c>
      <c r="F243" s="88">
        <v>143000</v>
      </c>
      <c r="G243" s="88">
        <v>150799</v>
      </c>
      <c r="H243" s="88">
        <v>13150400</v>
      </c>
    </row>
    <row r="244" ht="17.25" spans="2:8">
      <c r="B244" s="88">
        <v>241</v>
      </c>
      <c r="C244" s="88">
        <v>95730</v>
      </c>
      <c r="D244" s="89">
        <v>9573</v>
      </c>
      <c r="E244" s="88">
        <v>1524</v>
      </c>
      <c r="F244" s="88">
        <v>143800</v>
      </c>
      <c r="G244" s="88">
        <v>152323</v>
      </c>
      <c r="H244" s="88">
        <v>13294200</v>
      </c>
    </row>
    <row r="245" ht="17.25" spans="2:8">
      <c r="B245" s="88">
        <v>242</v>
      </c>
      <c r="C245" s="88">
        <v>96680</v>
      </c>
      <c r="D245" s="89">
        <v>9668</v>
      </c>
      <c r="E245" s="88">
        <v>1532</v>
      </c>
      <c r="F245" s="88">
        <v>144600</v>
      </c>
      <c r="G245" s="88">
        <v>153855</v>
      </c>
      <c r="H245" s="88">
        <v>13438800</v>
      </c>
    </row>
    <row r="246" ht="17.25" spans="2:8">
      <c r="B246" s="88">
        <v>243</v>
      </c>
      <c r="C246" s="88">
        <v>97630</v>
      </c>
      <c r="D246" s="89">
        <v>9763</v>
      </c>
      <c r="E246" s="88">
        <v>1540</v>
      </c>
      <c r="F246" s="88">
        <v>145400</v>
      </c>
      <c r="G246" s="88">
        <v>155395</v>
      </c>
      <c r="H246" s="88">
        <v>13584200</v>
      </c>
    </row>
    <row r="247" ht="17.25" spans="2:8">
      <c r="B247" s="88">
        <v>244</v>
      </c>
      <c r="C247" s="88">
        <v>98580</v>
      </c>
      <c r="D247" s="89">
        <v>9858</v>
      </c>
      <c r="E247" s="88">
        <v>1548</v>
      </c>
      <c r="F247" s="88">
        <v>146200</v>
      </c>
      <c r="G247" s="88">
        <v>156943</v>
      </c>
      <c r="H247" s="88">
        <v>13730400</v>
      </c>
    </row>
    <row r="248" ht="17.25" spans="2:8">
      <c r="B248" s="88">
        <v>245</v>
      </c>
      <c r="C248" s="88">
        <v>99580</v>
      </c>
      <c r="D248" s="89">
        <v>9958</v>
      </c>
      <c r="E248" s="88">
        <v>1556</v>
      </c>
      <c r="F248" s="88">
        <v>147000</v>
      </c>
      <c r="G248" s="88">
        <v>158499</v>
      </c>
      <c r="H248" s="88">
        <v>13877400</v>
      </c>
    </row>
    <row r="249" ht="17.25" spans="2:8">
      <c r="B249" s="88">
        <v>246</v>
      </c>
      <c r="C249" s="88">
        <v>100580</v>
      </c>
      <c r="D249" s="89">
        <v>10058</v>
      </c>
      <c r="E249" s="88">
        <v>1564</v>
      </c>
      <c r="F249" s="88">
        <v>147800</v>
      </c>
      <c r="G249" s="88">
        <v>160063</v>
      </c>
      <c r="H249" s="88">
        <v>14025200</v>
      </c>
    </row>
    <row r="250" ht="17.25" spans="2:8">
      <c r="B250" s="88">
        <v>247</v>
      </c>
      <c r="C250" s="88">
        <v>101580</v>
      </c>
      <c r="D250" s="89">
        <v>10158</v>
      </c>
      <c r="E250" s="88">
        <v>1572</v>
      </c>
      <c r="F250" s="88">
        <v>148600</v>
      </c>
      <c r="G250" s="88">
        <v>161635</v>
      </c>
      <c r="H250" s="88">
        <v>14173800</v>
      </c>
    </row>
    <row r="251" ht="17.25" spans="2:8">
      <c r="B251" s="88">
        <v>248</v>
      </c>
      <c r="C251" s="88">
        <v>102580</v>
      </c>
      <c r="D251" s="89">
        <v>10258</v>
      </c>
      <c r="E251" s="88">
        <v>1580</v>
      </c>
      <c r="F251" s="88">
        <v>149400</v>
      </c>
      <c r="G251" s="88">
        <v>163215</v>
      </c>
      <c r="H251" s="88">
        <v>14323200</v>
      </c>
    </row>
    <row r="252" ht="17.25" spans="2:8">
      <c r="B252" s="88">
        <v>249</v>
      </c>
      <c r="C252" s="88">
        <v>103580</v>
      </c>
      <c r="D252" s="89">
        <v>10358</v>
      </c>
      <c r="E252" s="88">
        <v>1588</v>
      </c>
      <c r="F252" s="88">
        <v>150200</v>
      </c>
      <c r="G252" s="88">
        <v>164803</v>
      </c>
      <c r="H252" s="88">
        <v>14473400</v>
      </c>
    </row>
    <row r="253" ht="17.25" spans="2:8">
      <c r="B253" s="88">
        <v>250</v>
      </c>
      <c r="C253" s="88">
        <v>104580</v>
      </c>
      <c r="D253" s="89">
        <v>10458</v>
      </c>
      <c r="E253" s="88">
        <v>1596</v>
      </c>
      <c r="F253" s="88">
        <v>151000</v>
      </c>
      <c r="G253" s="88">
        <v>166399</v>
      </c>
      <c r="H253" s="88">
        <v>14624400</v>
      </c>
    </row>
    <row r="254" ht="17.25" spans="2:8">
      <c r="B254" s="88">
        <v>251</v>
      </c>
      <c r="C254" s="88">
        <v>105580</v>
      </c>
      <c r="D254" s="89">
        <v>10558</v>
      </c>
      <c r="E254" s="88">
        <v>1604</v>
      </c>
      <c r="F254" s="88">
        <v>151800</v>
      </c>
      <c r="G254" s="88">
        <v>168003</v>
      </c>
      <c r="H254" s="88">
        <v>14776200</v>
      </c>
    </row>
    <row r="255" ht="17.25" spans="2:8">
      <c r="B255" s="88">
        <v>252</v>
      </c>
      <c r="C255" s="88">
        <v>106580</v>
      </c>
      <c r="D255" s="89">
        <v>10658</v>
      </c>
      <c r="E255" s="88">
        <v>1612</v>
      </c>
      <c r="F255" s="88">
        <v>152600</v>
      </c>
      <c r="G255" s="88">
        <v>169615</v>
      </c>
      <c r="H255" s="88">
        <v>14928800</v>
      </c>
    </row>
    <row r="256" ht="17.25" spans="2:8">
      <c r="B256" s="88">
        <v>253</v>
      </c>
      <c r="C256" s="88">
        <v>107580</v>
      </c>
      <c r="D256" s="89">
        <v>10758</v>
      </c>
      <c r="E256" s="88">
        <v>1620</v>
      </c>
      <c r="F256" s="88">
        <v>153400</v>
      </c>
      <c r="G256" s="88">
        <v>171235</v>
      </c>
      <c r="H256" s="88">
        <v>15082200</v>
      </c>
    </row>
    <row r="257" ht="17.25" spans="2:8">
      <c r="B257" s="88">
        <v>254</v>
      </c>
      <c r="C257" s="88">
        <v>108580</v>
      </c>
      <c r="D257" s="89">
        <v>10858</v>
      </c>
      <c r="E257" s="88">
        <v>1628</v>
      </c>
      <c r="F257" s="88">
        <v>154200</v>
      </c>
      <c r="G257" s="88">
        <v>172863</v>
      </c>
      <c r="H257" s="88">
        <v>15236400</v>
      </c>
    </row>
    <row r="258" ht="17.25" spans="2:8">
      <c r="B258" s="88">
        <v>255</v>
      </c>
      <c r="C258" s="88">
        <v>109630</v>
      </c>
      <c r="D258" s="89">
        <v>10963</v>
      </c>
      <c r="E258" s="88">
        <v>1636</v>
      </c>
      <c r="F258" s="88">
        <v>155000</v>
      </c>
      <c r="G258" s="88">
        <v>174499</v>
      </c>
      <c r="H258" s="88">
        <v>15391400</v>
      </c>
    </row>
    <row r="259" ht="17.25" spans="2:8">
      <c r="B259" s="88">
        <v>256</v>
      </c>
      <c r="C259" s="88">
        <v>110680</v>
      </c>
      <c r="D259" s="89">
        <v>11068</v>
      </c>
      <c r="E259" s="88">
        <v>1644</v>
      </c>
      <c r="F259" s="88">
        <v>155800</v>
      </c>
      <c r="G259" s="88">
        <v>176143</v>
      </c>
      <c r="H259" s="88">
        <v>15547200</v>
      </c>
    </row>
    <row r="260" ht="17.25" spans="2:8">
      <c r="B260" s="88">
        <v>257</v>
      </c>
      <c r="C260" s="88">
        <v>111730</v>
      </c>
      <c r="D260" s="89">
        <v>11173</v>
      </c>
      <c r="E260" s="88">
        <v>1652</v>
      </c>
      <c r="F260" s="88">
        <v>156600</v>
      </c>
      <c r="G260" s="88">
        <v>177795</v>
      </c>
      <c r="H260" s="88">
        <v>15703800</v>
      </c>
    </row>
    <row r="261" ht="17.25" spans="2:8">
      <c r="B261" s="88">
        <v>258</v>
      </c>
      <c r="C261" s="88">
        <v>112780</v>
      </c>
      <c r="D261" s="89">
        <v>11278</v>
      </c>
      <c r="E261" s="88">
        <v>1660</v>
      </c>
      <c r="F261" s="88">
        <v>157400</v>
      </c>
      <c r="G261" s="88">
        <v>179455</v>
      </c>
      <c r="H261" s="88">
        <v>15861200</v>
      </c>
    </row>
    <row r="262" ht="17.25" spans="2:8">
      <c r="B262" s="88">
        <v>259</v>
      </c>
      <c r="C262" s="88">
        <v>113830</v>
      </c>
      <c r="D262" s="89">
        <v>11383</v>
      </c>
      <c r="E262" s="88">
        <v>1668</v>
      </c>
      <c r="F262" s="88">
        <v>158200</v>
      </c>
      <c r="G262" s="88">
        <v>181123</v>
      </c>
      <c r="H262" s="88">
        <v>16019400</v>
      </c>
    </row>
    <row r="263" ht="17.25" spans="2:8">
      <c r="B263" s="88">
        <v>260</v>
      </c>
      <c r="C263" s="88">
        <v>114880</v>
      </c>
      <c r="D263" s="89">
        <v>11488</v>
      </c>
      <c r="E263" s="88">
        <v>1676</v>
      </c>
      <c r="F263" s="88">
        <v>159000</v>
      </c>
      <c r="G263" s="88">
        <v>182799</v>
      </c>
      <c r="H263" s="88">
        <v>16178400</v>
      </c>
    </row>
    <row r="264" ht="17.25" spans="2:8">
      <c r="B264" s="88">
        <v>261</v>
      </c>
      <c r="C264" s="88">
        <v>115930</v>
      </c>
      <c r="D264" s="89">
        <v>11593</v>
      </c>
      <c r="E264" s="88">
        <v>1684</v>
      </c>
      <c r="F264" s="88">
        <v>159800</v>
      </c>
      <c r="G264" s="88">
        <v>184483</v>
      </c>
      <c r="H264" s="88">
        <v>16338200</v>
      </c>
    </row>
    <row r="265" ht="17.25" spans="2:8">
      <c r="B265" s="88">
        <v>262</v>
      </c>
      <c r="C265" s="88">
        <v>116980</v>
      </c>
      <c r="D265" s="89">
        <v>11698</v>
      </c>
      <c r="E265" s="88">
        <v>1692</v>
      </c>
      <c r="F265" s="88">
        <v>160600</v>
      </c>
      <c r="G265" s="88">
        <v>186175</v>
      </c>
      <c r="H265" s="88">
        <v>16498800</v>
      </c>
    </row>
    <row r="266" ht="17.25" spans="2:8">
      <c r="B266" s="88">
        <v>263</v>
      </c>
      <c r="C266" s="88">
        <v>118030</v>
      </c>
      <c r="D266" s="89">
        <v>11803</v>
      </c>
      <c r="E266" s="88">
        <v>1700</v>
      </c>
      <c r="F266" s="88">
        <v>161400</v>
      </c>
      <c r="G266" s="88">
        <v>187875</v>
      </c>
      <c r="H266" s="88">
        <v>16660200</v>
      </c>
    </row>
    <row r="267" ht="17.25" spans="2:8">
      <c r="B267" s="88">
        <v>264</v>
      </c>
      <c r="C267" s="88">
        <v>119080</v>
      </c>
      <c r="D267" s="89">
        <v>11908</v>
      </c>
      <c r="E267" s="88">
        <v>1708</v>
      </c>
      <c r="F267" s="88">
        <v>162200</v>
      </c>
      <c r="G267" s="88">
        <v>189583</v>
      </c>
      <c r="H267" s="88">
        <v>16822400</v>
      </c>
    </row>
    <row r="268" ht="17.25" spans="2:8">
      <c r="B268" s="88">
        <v>265</v>
      </c>
      <c r="C268" s="88">
        <v>120180</v>
      </c>
      <c r="D268" s="89">
        <v>12018</v>
      </c>
      <c r="E268" s="88">
        <v>1716</v>
      </c>
      <c r="F268" s="88">
        <v>163000</v>
      </c>
      <c r="G268" s="88">
        <v>191299</v>
      </c>
      <c r="H268" s="88">
        <v>16985400</v>
      </c>
    </row>
    <row r="269" ht="17.25" spans="2:8">
      <c r="B269" s="88">
        <v>266</v>
      </c>
      <c r="C269" s="88">
        <v>121280</v>
      </c>
      <c r="D269" s="89">
        <v>12128</v>
      </c>
      <c r="E269" s="88">
        <v>1724</v>
      </c>
      <c r="F269" s="88">
        <v>163800</v>
      </c>
      <c r="G269" s="88">
        <v>193023</v>
      </c>
      <c r="H269" s="88">
        <v>17149200</v>
      </c>
    </row>
    <row r="270" ht="17.25" spans="2:8">
      <c r="B270" s="88">
        <v>267</v>
      </c>
      <c r="C270" s="88">
        <v>122380</v>
      </c>
      <c r="D270" s="89">
        <v>12238</v>
      </c>
      <c r="E270" s="88">
        <v>1732</v>
      </c>
      <c r="F270" s="88">
        <v>164600</v>
      </c>
      <c r="G270" s="88">
        <v>194755</v>
      </c>
      <c r="H270" s="88">
        <v>17313800</v>
      </c>
    </row>
    <row r="271" ht="17.25" spans="2:8">
      <c r="B271" s="88">
        <v>268</v>
      </c>
      <c r="C271" s="88">
        <v>123480</v>
      </c>
      <c r="D271" s="89">
        <v>12348</v>
      </c>
      <c r="E271" s="88">
        <v>1740</v>
      </c>
      <c r="F271" s="88">
        <v>165400</v>
      </c>
      <c r="G271" s="88">
        <v>196495</v>
      </c>
      <c r="H271" s="88">
        <v>17479200</v>
      </c>
    </row>
    <row r="272" ht="17.25" spans="2:8">
      <c r="B272" s="88">
        <v>269</v>
      </c>
      <c r="C272" s="88">
        <v>124580</v>
      </c>
      <c r="D272" s="89">
        <v>12458</v>
      </c>
      <c r="E272" s="88">
        <v>1748</v>
      </c>
      <c r="F272" s="88">
        <v>166200</v>
      </c>
      <c r="G272" s="88">
        <v>198243</v>
      </c>
      <c r="H272" s="88">
        <v>17645400</v>
      </c>
    </row>
    <row r="273" ht="17.25" spans="2:8">
      <c r="B273" s="88">
        <v>270</v>
      </c>
      <c r="C273" s="88">
        <v>125680</v>
      </c>
      <c r="D273" s="89">
        <v>12568</v>
      </c>
      <c r="E273" s="88">
        <v>1756</v>
      </c>
      <c r="F273" s="88">
        <v>167000</v>
      </c>
      <c r="G273" s="88">
        <v>199999</v>
      </c>
      <c r="H273" s="88">
        <v>17812400</v>
      </c>
    </row>
    <row r="274" ht="17.25" spans="2:8">
      <c r="B274" s="88">
        <v>271</v>
      </c>
      <c r="C274" s="88">
        <v>126780</v>
      </c>
      <c r="D274" s="89">
        <v>12678</v>
      </c>
      <c r="E274" s="88">
        <v>1764</v>
      </c>
      <c r="F274" s="88">
        <v>167800</v>
      </c>
      <c r="G274" s="88">
        <v>201763</v>
      </c>
      <c r="H274" s="88">
        <v>17980200</v>
      </c>
    </row>
    <row r="275" ht="17.25" spans="2:8">
      <c r="B275" s="88">
        <v>272</v>
      </c>
      <c r="C275" s="88">
        <v>127880</v>
      </c>
      <c r="D275" s="89">
        <v>12788</v>
      </c>
      <c r="E275" s="88">
        <v>1772</v>
      </c>
      <c r="F275" s="88">
        <v>168600</v>
      </c>
      <c r="G275" s="88">
        <v>203535</v>
      </c>
      <c r="H275" s="88">
        <v>18148800</v>
      </c>
    </row>
    <row r="276" ht="17.25" spans="2:8">
      <c r="B276" s="88">
        <v>273</v>
      </c>
      <c r="C276" s="88">
        <v>128980</v>
      </c>
      <c r="D276" s="89">
        <v>12898</v>
      </c>
      <c r="E276" s="88">
        <v>1780</v>
      </c>
      <c r="F276" s="88">
        <v>169400</v>
      </c>
      <c r="G276" s="88">
        <v>205315</v>
      </c>
      <c r="H276" s="88">
        <v>18318200</v>
      </c>
    </row>
    <row r="277" ht="17.25" spans="2:8">
      <c r="B277" s="88">
        <v>274</v>
      </c>
      <c r="C277" s="88">
        <v>130080</v>
      </c>
      <c r="D277" s="89">
        <v>13008</v>
      </c>
      <c r="E277" s="88">
        <v>1788</v>
      </c>
      <c r="F277" s="88">
        <v>170200</v>
      </c>
      <c r="G277" s="88">
        <v>207103</v>
      </c>
      <c r="H277" s="88">
        <v>18488400</v>
      </c>
    </row>
    <row r="278" ht="17.25" spans="2:8">
      <c r="B278" s="88">
        <v>275</v>
      </c>
      <c r="C278" s="88">
        <v>131230</v>
      </c>
      <c r="D278" s="89">
        <v>13123</v>
      </c>
      <c r="E278" s="88">
        <v>1796</v>
      </c>
      <c r="F278" s="88">
        <v>171000</v>
      </c>
      <c r="G278" s="88">
        <v>208899</v>
      </c>
      <c r="H278" s="88">
        <v>18659400</v>
      </c>
    </row>
    <row r="279" ht="17.25" spans="2:8">
      <c r="B279" s="88">
        <v>276</v>
      </c>
      <c r="C279" s="88">
        <v>132380</v>
      </c>
      <c r="D279" s="89">
        <v>13238</v>
      </c>
      <c r="E279" s="88">
        <v>1804</v>
      </c>
      <c r="F279" s="88">
        <v>171800</v>
      </c>
      <c r="G279" s="88">
        <v>210703</v>
      </c>
      <c r="H279" s="88">
        <v>18831200</v>
      </c>
    </row>
    <row r="280" ht="17.25" spans="2:8">
      <c r="B280" s="88">
        <v>277</v>
      </c>
      <c r="C280" s="88">
        <v>133530</v>
      </c>
      <c r="D280" s="89">
        <v>13353</v>
      </c>
      <c r="E280" s="88">
        <v>1812</v>
      </c>
      <c r="F280" s="88">
        <v>172600</v>
      </c>
      <c r="G280" s="88">
        <v>212515</v>
      </c>
      <c r="H280" s="88">
        <v>19003800</v>
      </c>
    </row>
    <row r="281" ht="17.25" spans="2:8">
      <c r="B281" s="88">
        <v>278</v>
      </c>
      <c r="C281" s="88">
        <v>134680</v>
      </c>
      <c r="D281" s="89">
        <v>13468</v>
      </c>
      <c r="E281" s="88">
        <v>1820</v>
      </c>
      <c r="F281" s="88">
        <v>173400</v>
      </c>
      <c r="G281" s="88">
        <v>214335</v>
      </c>
      <c r="H281" s="88">
        <v>19177200</v>
      </c>
    </row>
    <row r="282" ht="17.25" spans="2:8">
      <c r="B282" s="88">
        <v>279</v>
      </c>
      <c r="C282" s="88">
        <v>135830</v>
      </c>
      <c r="D282" s="89">
        <v>13583</v>
      </c>
      <c r="E282" s="88">
        <v>1828</v>
      </c>
      <c r="F282" s="88">
        <v>174200</v>
      </c>
      <c r="G282" s="88">
        <v>216163</v>
      </c>
      <c r="H282" s="88">
        <v>19351400</v>
      </c>
    </row>
    <row r="283" ht="17.25" spans="2:8">
      <c r="B283" s="88">
        <v>280</v>
      </c>
      <c r="C283" s="88">
        <v>136980</v>
      </c>
      <c r="D283" s="89">
        <v>13698</v>
      </c>
      <c r="E283" s="88">
        <v>1836</v>
      </c>
      <c r="F283" s="88">
        <v>175000</v>
      </c>
      <c r="G283" s="88">
        <v>217999</v>
      </c>
      <c r="H283" s="88">
        <v>19526400</v>
      </c>
    </row>
    <row r="284" ht="17.25" spans="2:8">
      <c r="B284" s="88">
        <v>281</v>
      </c>
      <c r="C284" s="88">
        <v>138130</v>
      </c>
      <c r="D284" s="89">
        <v>13813</v>
      </c>
      <c r="E284" s="88">
        <v>1844</v>
      </c>
      <c r="F284" s="88">
        <v>175800</v>
      </c>
      <c r="G284" s="88">
        <v>219843</v>
      </c>
      <c r="H284" s="88">
        <v>19702200</v>
      </c>
    </row>
    <row r="285" ht="17.25" spans="2:8">
      <c r="B285" s="88">
        <v>282</v>
      </c>
      <c r="C285" s="88">
        <v>139280</v>
      </c>
      <c r="D285" s="89">
        <v>13928</v>
      </c>
      <c r="E285" s="88">
        <v>1852</v>
      </c>
      <c r="F285" s="88">
        <v>176600</v>
      </c>
      <c r="G285" s="88">
        <v>221695</v>
      </c>
      <c r="H285" s="88">
        <v>19878800</v>
      </c>
    </row>
    <row r="286" ht="17.25" spans="2:8">
      <c r="B286" s="88">
        <v>283</v>
      </c>
      <c r="C286" s="88">
        <v>140430</v>
      </c>
      <c r="D286" s="89">
        <v>14043</v>
      </c>
      <c r="E286" s="88">
        <v>1860</v>
      </c>
      <c r="F286" s="88">
        <v>177400</v>
      </c>
      <c r="G286" s="88">
        <v>223555</v>
      </c>
      <c r="H286" s="88">
        <v>20056200</v>
      </c>
    </row>
    <row r="287" ht="17.25" spans="2:8">
      <c r="B287" s="88">
        <v>284</v>
      </c>
      <c r="C287" s="88">
        <v>141580</v>
      </c>
      <c r="D287" s="89">
        <v>14158</v>
      </c>
      <c r="E287" s="88">
        <v>1868</v>
      </c>
      <c r="F287" s="88">
        <v>178200</v>
      </c>
      <c r="G287" s="88">
        <v>225423</v>
      </c>
      <c r="H287" s="88">
        <v>20234400</v>
      </c>
    </row>
    <row r="288" ht="17.25" spans="2:8">
      <c r="B288" s="88">
        <v>285</v>
      </c>
      <c r="C288" s="88">
        <v>142780</v>
      </c>
      <c r="D288" s="89">
        <v>14278</v>
      </c>
      <c r="E288" s="88">
        <v>1876</v>
      </c>
      <c r="F288" s="88">
        <v>179000</v>
      </c>
      <c r="G288" s="88">
        <v>227299</v>
      </c>
      <c r="H288" s="88">
        <v>20413400</v>
      </c>
    </row>
    <row r="289" ht="17.25" spans="2:8">
      <c r="B289" s="88">
        <v>286</v>
      </c>
      <c r="C289" s="88">
        <v>143980</v>
      </c>
      <c r="D289" s="89">
        <v>14398</v>
      </c>
      <c r="E289" s="88">
        <v>1884</v>
      </c>
      <c r="F289" s="88">
        <v>179800</v>
      </c>
      <c r="G289" s="88">
        <v>229183</v>
      </c>
      <c r="H289" s="88">
        <v>20593200</v>
      </c>
    </row>
    <row r="290" ht="17.25" spans="2:8">
      <c r="B290" s="88">
        <v>287</v>
      </c>
      <c r="C290" s="88">
        <v>145180</v>
      </c>
      <c r="D290" s="89">
        <v>14518</v>
      </c>
      <c r="E290" s="88">
        <v>1892</v>
      </c>
      <c r="F290" s="88">
        <v>180600</v>
      </c>
      <c r="G290" s="88">
        <v>231075</v>
      </c>
      <c r="H290" s="88">
        <v>20773800</v>
      </c>
    </row>
    <row r="291" ht="17.25" spans="2:8">
      <c r="B291" s="88">
        <v>288</v>
      </c>
      <c r="C291" s="88">
        <v>146380</v>
      </c>
      <c r="D291" s="89">
        <v>14638</v>
      </c>
      <c r="E291" s="88">
        <v>1900</v>
      </c>
      <c r="F291" s="88">
        <v>181400</v>
      </c>
      <c r="G291" s="88">
        <v>232975</v>
      </c>
      <c r="H291" s="88">
        <v>20955200</v>
      </c>
    </row>
    <row r="292" ht="17.25" spans="2:8">
      <c r="B292" s="88">
        <v>289</v>
      </c>
      <c r="C292" s="88">
        <v>147580</v>
      </c>
      <c r="D292" s="89">
        <v>14758</v>
      </c>
      <c r="E292" s="88">
        <v>1908</v>
      </c>
      <c r="F292" s="88">
        <v>182200</v>
      </c>
      <c r="G292" s="88">
        <v>234883</v>
      </c>
      <c r="H292" s="88">
        <v>21137400</v>
      </c>
    </row>
    <row r="293" ht="17.25" spans="2:8">
      <c r="B293" s="88">
        <v>290</v>
      </c>
      <c r="C293" s="88">
        <v>148780</v>
      </c>
      <c r="D293" s="89">
        <v>14878</v>
      </c>
      <c r="E293" s="88">
        <v>1916</v>
      </c>
      <c r="F293" s="88">
        <v>183000</v>
      </c>
      <c r="G293" s="88">
        <v>236799</v>
      </c>
      <c r="H293" s="88">
        <v>21320400</v>
      </c>
    </row>
    <row r="294" ht="17.25" spans="2:8">
      <c r="B294" s="88">
        <v>291</v>
      </c>
      <c r="C294" s="88">
        <v>149980</v>
      </c>
      <c r="D294" s="89">
        <v>14998</v>
      </c>
      <c r="E294" s="88">
        <v>1924</v>
      </c>
      <c r="F294" s="88">
        <v>183800</v>
      </c>
      <c r="G294" s="88">
        <v>238723</v>
      </c>
      <c r="H294" s="88">
        <v>21504200</v>
      </c>
    </row>
    <row r="295" ht="17.25" spans="2:8">
      <c r="B295" s="88">
        <v>292</v>
      </c>
      <c r="C295" s="88">
        <v>151180</v>
      </c>
      <c r="D295" s="89">
        <v>15118</v>
      </c>
      <c r="E295" s="88">
        <v>1932</v>
      </c>
      <c r="F295" s="88">
        <v>184600</v>
      </c>
      <c r="G295" s="88">
        <v>240655</v>
      </c>
      <c r="H295" s="88">
        <v>21688800</v>
      </c>
    </row>
    <row r="296" ht="17.25" spans="2:8">
      <c r="B296" s="88">
        <v>293</v>
      </c>
      <c r="C296" s="88">
        <v>152380</v>
      </c>
      <c r="D296" s="89">
        <v>15238</v>
      </c>
      <c r="E296" s="88">
        <v>1940</v>
      </c>
      <c r="F296" s="88">
        <v>185400</v>
      </c>
      <c r="G296" s="88">
        <v>242595</v>
      </c>
      <c r="H296" s="88">
        <v>21874200</v>
      </c>
    </row>
    <row r="297" ht="17.25" spans="2:8">
      <c r="B297" s="88">
        <v>294</v>
      </c>
      <c r="C297" s="88">
        <v>153580</v>
      </c>
      <c r="D297" s="89">
        <v>15358</v>
      </c>
      <c r="E297" s="88">
        <v>1948</v>
      </c>
      <c r="F297" s="88">
        <v>186200</v>
      </c>
      <c r="G297" s="88">
        <v>244543</v>
      </c>
      <c r="H297" s="88">
        <v>22060400</v>
      </c>
    </row>
    <row r="298" ht="17.25" spans="2:8">
      <c r="B298" s="88">
        <v>295</v>
      </c>
      <c r="C298" s="88">
        <v>154830</v>
      </c>
      <c r="D298" s="89">
        <v>15483</v>
      </c>
      <c r="E298" s="88">
        <v>1956</v>
      </c>
      <c r="F298" s="88">
        <v>187000</v>
      </c>
      <c r="G298" s="88">
        <v>246499</v>
      </c>
      <c r="H298" s="88">
        <v>22247400</v>
      </c>
    </row>
    <row r="299" ht="17.25" spans="2:8">
      <c r="B299" s="88">
        <v>296</v>
      </c>
      <c r="C299" s="88">
        <v>156080</v>
      </c>
      <c r="D299" s="89">
        <v>15608</v>
      </c>
      <c r="E299" s="88">
        <v>1964</v>
      </c>
      <c r="F299" s="88">
        <v>187800</v>
      </c>
      <c r="G299" s="88">
        <v>248463</v>
      </c>
      <c r="H299" s="88">
        <v>22435200</v>
      </c>
    </row>
    <row r="300" ht="17.25" spans="2:8">
      <c r="B300" s="88">
        <v>297</v>
      </c>
      <c r="C300" s="88">
        <v>157330</v>
      </c>
      <c r="D300" s="89">
        <v>15733</v>
      </c>
      <c r="E300" s="88">
        <v>1972</v>
      </c>
      <c r="F300" s="88">
        <v>188600</v>
      </c>
      <c r="G300" s="88">
        <v>250435</v>
      </c>
      <c r="H300" s="88">
        <v>22623800</v>
      </c>
    </row>
    <row r="301" ht="17.25" spans="2:8">
      <c r="B301" s="88">
        <v>298</v>
      </c>
      <c r="C301" s="88">
        <v>158580</v>
      </c>
      <c r="D301" s="89">
        <v>15858</v>
      </c>
      <c r="E301" s="88">
        <v>1980</v>
      </c>
      <c r="F301" s="88">
        <v>189400</v>
      </c>
      <c r="G301" s="88">
        <v>252415</v>
      </c>
      <c r="H301" s="88">
        <v>22813200</v>
      </c>
    </row>
    <row r="302" ht="17.25" spans="2:8">
      <c r="B302" s="88">
        <v>299</v>
      </c>
      <c r="C302" s="88">
        <v>159830</v>
      </c>
      <c r="D302" s="89">
        <v>15983</v>
      </c>
      <c r="E302" s="88">
        <v>1988</v>
      </c>
      <c r="F302" s="88">
        <v>190200</v>
      </c>
      <c r="G302" s="88">
        <v>254403</v>
      </c>
      <c r="H302" s="88">
        <v>23003400</v>
      </c>
    </row>
    <row r="303" ht="17.25" spans="2:8">
      <c r="B303" s="88">
        <v>300</v>
      </c>
      <c r="C303" s="88">
        <v>161080</v>
      </c>
      <c r="D303" s="89">
        <v>16108</v>
      </c>
      <c r="E303" s="88">
        <v>1996</v>
      </c>
      <c r="F303" s="88">
        <v>191000</v>
      </c>
      <c r="G303" s="88">
        <v>256399</v>
      </c>
      <c r="H303" s="88">
        <v>23194400</v>
      </c>
    </row>
  </sheetData>
  <pageMargins left="0.75" right="0.75" top="1" bottom="1" header="0.5" footer="0.5"/>
  <headerFooter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theme="4"/>
  </sheetPr>
  <dimension ref="A2:AW940"/>
  <sheetViews>
    <sheetView topLeftCell="A15" workbookViewId="0">
      <selection activeCell="G38" sqref="D3:G38"/>
    </sheetView>
  </sheetViews>
  <sheetFormatPr defaultColWidth="9" defaultRowHeight="13.5"/>
  <cols>
    <col min="3" max="3" width="12.625"/>
    <col min="4" max="4" width="14.25" customWidth="1"/>
    <col min="5" max="6" width="12.625"/>
    <col min="12" max="12" width="9" customWidth="1"/>
    <col min="23" max="25" width="9" customWidth="1"/>
    <col min="34" max="40" width="9" customWidth="1"/>
  </cols>
  <sheetData>
    <row r="2" ht="16.5" spans="2:22">
      <c r="B2" s="54" t="s">
        <v>124</v>
      </c>
      <c r="C2" s="54"/>
    </row>
    <row r="3" ht="16.5" spans="2:22">
      <c r="B3" s="55" t="s">
        <v>125</v>
      </c>
      <c r="C3" s="56">
        <v>0.5</v>
      </c>
    </row>
    <row r="4" ht="16.5" spans="2:22">
      <c r="B4" s="55" t="s">
        <v>126</v>
      </c>
      <c r="C4" s="57">
        <v>5</v>
      </c>
    </row>
    <row r="8" ht="16.5" spans="2:22">
      <c r="L8" s="3" t="s">
        <v>127</v>
      </c>
      <c r="M8" s="3"/>
      <c r="N8" s="3"/>
      <c r="O8" s="3"/>
    </row>
    <row r="9" ht="16.5" spans="2:22">
      <c r="B9" s="58" t="s">
        <v>128</v>
      </c>
      <c r="C9" s="58" t="s">
        <v>129</v>
      </c>
      <c r="D9" s="58" t="s">
        <v>130</v>
      </c>
      <c r="E9" s="58" t="s">
        <v>131</v>
      </c>
      <c r="F9" s="58" t="s">
        <v>132</v>
      </c>
      <c r="G9" s="58" t="s">
        <v>133</v>
      </c>
      <c r="H9" s="58" t="s">
        <v>134</v>
      </c>
      <c r="I9" s="58" t="s">
        <v>135</v>
      </c>
      <c r="K9" s="54" t="s">
        <v>136</v>
      </c>
      <c r="L9" s="54" t="s">
        <v>137</v>
      </c>
      <c r="M9" s="54" t="s">
        <v>138</v>
      </c>
      <c r="N9" s="54" t="s">
        <v>139</v>
      </c>
      <c r="O9" s="54" t="s">
        <v>140</v>
      </c>
      <c r="P9" s="54" t="s">
        <v>141</v>
      </c>
      <c r="Q9" s="54" t="s">
        <v>142</v>
      </c>
      <c r="R9" s="59" t="s">
        <v>143</v>
      </c>
    </row>
    <row r="10" ht="16.5" spans="2:22">
      <c r="B10" s="60" t="s">
        <v>144</v>
      </c>
      <c r="C10" s="61">
        <v>0</v>
      </c>
      <c r="D10" s="61" t="s">
        <v>145</v>
      </c>
      <c r="E10" s="61">
        <v>1</v>
      </c>
      <c r="F10" s="62">
        <v>1</v>
      </c>
      <c r="G10" s="63">
        <v>0.04</v>
      </c>
      <c r="H10" s="64">
        <v>1</v>
      </c>
      <c r="I10" s="63" t="str">
        <f>D10</f>
        <v>寒冰射手</v>
      </c>
      <c r="K10" s="65">
        <v>1</v>
      </c>
      <c r="L10" s="66">
        <v>0.4</v>
      </c>
      <c r="M10" s="66">
        <v>0.1</v>
      </c>
      <c r="N10" s="67"/>
      <c r="O10" s="66"/>
      <c r="P10" s="68">
        <v>450</v>
      </c>
      <c r="Q10" s="68">
        <f>SUM($P$10:P10)</f>
        <v>450</v>
      </c>
      <c r="R10" s="69"/>
    </row>
    <row r="11" ht="16.5" spans="2:22">
      <c r="B11" s="60" t="s">
        <v>144</v>
      </c>
      <c r="C11" s="61">
        <v>0</v>
      </c>
      <c r="D11" s="61" t="s">
        <v>146</v>
      </c>
      <c r="E11" s="61">
        <v>1</v>
      </c>
      <c r="F11" s="62">
        <v>1</v>
      </c>
      <c r="G11" s="63">
        <v>0.04</v>
      </c>
      <c r="H11" s="64">
        <v>1</v>
      </c>
      <c r="I11" s="63" t="str">
        <f>I10</f>
        <v>寒冰射手</v>
      </c>
      <c r="K11" s="65">
        <v>2</v>
      </c>
      <c r="L11" s="66">
        <v>0.355</v>
      </c>
      <c r="M11" s="66">
        <v>0.12</v>
      </c>
      <c r="N11" s="67">
        <v>0.025</v>
      </c>
      <c r="O11" s="67"/>
      <c r="P11" s="68">
        <v>909</v>
      </c>
      <c r="Q11" s="68">
        <f>SUM($P$10:P11)</f>
        <v>1359</v>
      </c>
      <c r="R11" s="69"/>
    </row>
    <row r="12" ht="16.5" spans="2:22">
      <c r="B12" s="60" t="s">
        <v>144</v>
      </c>
      <c r="C12" s="61">
        <v>0</v>
      </c>
      <c r="D12" s="61" t="s">
        <v>147</v>
      </c>
      <c r="E12" s="61">
        <v>1</v>
      </c>
      <c r="F12" s="62">
        <v>1</v>
      </c>
      <c r="G12" s="63">
        <v>0.04</v>
      </c>
      <c r="H12" s="64">
        <v>1</v>
      </c>
      <c r="I12" s="63" t="str">
        <f>I11</f>
        <v>寒冰射手</v>
      </c>
      <c r="K12" s="65">
        <v>3</v>
      </c>
      <c r="L12" s="66">
        <v>0.31</v>
      </c>
      <c r="M12" s="66">
        <v>0.14</v>
      </c>
      <c r="N12" s="67">
        <v>0.05</v>
      </c>
      <c r="O12" s="67"/>
      <c r="P12" s="68">
        <v>1818</v>
      </c>
      <c r="Q12" s="68">
        <f>SUM($P$10:P12)</f>
        <v>3177</v>
      </c>
      <c r="R12" s="69"/>
    </row>
    <row r="13" ht="16.5" spans="2:22">
      <c r="B13" s="60" t="s">
        <v>144</v>
      </c>
      <c r="C13" s="61">
        <v>10</v>
      </c>
      <c r="D13" s="61" t="s">
        <v>148</v>
      </c>
      <c r="E13" s="61">
        <v>2</v>
      </c>
      <c r="F13" s="62">
        <v>1.15</v>
      </c>
      <c r="G13" s="63">
        <v>0.05</v>
      </c>
      <c r="H13" s="64">
        <v>2</v>
      </c>
      <c r="I13" s="63" t="str">
        <f>D13</f>
        <v>摇滚巨石</v>
      </c>
      <c r="K13" s="65">
        <v>4</v>
      </c>
      <c r="L13" s="66">
        <v>0.264226324699144</v>
      </c>
      <c r="M13" s="66">
        <v>0.16</v>
      </c>
      <c r="N13" s="67">
        <v>0.06</v>
      </c>
      <c r="O13" s="67">
        <v>0.0157736753008561</v>
      </c>
      <c r="P13" s="68">
        <v>2727</v>
      </c>
      <c r="Q13" s="68">
        <f>SUM($P$10:P13)</f>
        <v>5904</v>
      </c>
      <c r="R13" s="69"/>
      <c r="V13">
        <f>1/1.25</f>
        <v>0.8</v>
      </c>
    </row>
    <row r="14" ht="16.5" spans="2:22">
      <c r="B14" s="60" t="s">
        <v>144</v>
      </c>
      <c r="C14" s="61">
        <v>40</v>
      </c>
      <c r="D14" s="61" t="s">
        <v>149</v>
      </c>
      <c r="E14" s="61">
        <v>2</v>
      </c>
      <c r="F14" s="62">
        <v>1.15</v>
      </c>
      <c r="G14" s="63">
        <v>0.05</v>
      </c>
      <c r="H14" s="64">
        <v>2</v>
      </c>
      <c r="I14" s="63" t="str">
        <f>D14</f>
        <v>泥巴少女</v>
      </c>
      <c r="K14" s="65">
        <v>5</v>
      </c>
      <c r="L14" s="66">
        <v>0.216942067191022</v>
      </c>
      <c r="M14" s="66">
        <v>0.18</v>
      </c>
      <c r="N14" s="67">
        <v>0.08</v>
      </c>
      <c r="O14" s="67">
        <v>0.0230579328089777</v>
      </c>
      <c r="P14" s="68">
        <v>3636</v>
      </c>
      <c r="Q14" s="68">
        <f>SUM($P$10:P14)</f>
        <v>9540</v>
      </c>
      <c r="R14" s="69"/>
    </row>
    <row r="15" ht="16.5" spans="2:22">
      <c r="B15" s="60" t="s">
        <v>144</v>
      </c>
      <c r="C15" s="61">
        <v>100</v>
      </c>
      <c r="D15" s="61" t="s">
        <v>150</v>
      </c>
      <c r="E15" s="61">
        <v>2</v>
      </c>
      <c r="F15" s="62">
        <v>1.15</v>
      </c>
      <c r="G15" s="63">
        <v>0.05</v>
      </c>
      <c r="H15" s="64">
        <v>2</v>
      </c>
      <c r="I15" s="63" t="str">
        <f>D15</f>
        <v>雷震子</v>
      </c>
      <c r="K15" s="65">
        <v>6</v>
      </c>
      <c r="L15" s="66">
        <v>0.168502200646615</v>
      </c>
      <c r="M15" s="66">
        <v>0.2</v>
      </c>
      <c r="N15" s="67">
        <v>0.1</v>
      </c>
      <c r="O15" s="67">
        <v>0.0314977993533847</v>
      </c>
      <c r="P15" s="68">
        <v>4545</v>
      </c>
      <c r="Q15" s="68">
        <f>SUM($P$10:P15)</f>
        <v>14085</v>
      </c>
      <c r="R15" s="69"/>
      <c r="V15">
        <f>6200+1200+1500</f>
        <v>8900</v>
      </c>
    </row>
    <row r="16" ht="16.5" spans="2:22">
      <c r="B16" s="60" t="s">
        <v>144</v>
      </c>
      <c r="C16" s="61">
        <v>150</v>
      </c>
      <c r="D16" s="61" t="s">
        <v>151</v>
      </c>
      <c r="E16" s="61">
        <v>2</v>
      </c>
      <c r="F16" s="62">
        <v>1.15</v>
      </c>
      <c r="G16" s="63">
        <v>0.05</v>
      </c>
      <c r="H16" s="64">
        <v>2</v>
      </c>
      <c r="I16" s="63" t="str">
        <f>D16</f>
        <v>忍者鲨手</v>
      </c>
      <c r="K16" s="65"/>
      <c r="L16" s="66">
        <v>0.168502200646615</v>
      </c>
      <c r="M16" s="66">
        <v>0.2</v>
      </c>
      <c r="N16" s="67">
        <v>0.1</v>
      </c>
      <c r="O16" s="67">
        <v>0.0314977993533847</v>
      </c>
      <c r="V16">
        <f>V15*1.5</f>
        <v>13350</v>
      </c>
    </row>
    <row r="17" ht="16.5" spans="2:22">
      <c r="B17" s="60" t="s">
        <v>144</v>
      </c>
      <c r="C17" s="61">
        <v>185</v>
      </c>
      <c r="D17" s="61" t="s">
        <v>152</v>
      </c>
      <c r="E17" s="61">
        <v>2</v>
      </c>
      <c r="F17" s="62">
        <v>1.15</v>
      </c>
      <c r="G17" s="63">
        <v>0.05</v>
      </c>
      <c r="H17" s="64">
        <v>2</v>
      </c>
      <c r="I17" s="63" t="str">
        <f>I16</f>
        <v>忍者鲨手</v>
      </c>
    </row>
    <row r="18" ht="16.5" spans="2:22">
      <c r="B18" s="60" t="s">
        <v>144</v>
      </c>
      <c r="C18" s="61">
        <v>350</v>
      </c>
      <c r="D18" s="61" t="s">
        <v>153</v>
      </c>
      <c r="E18" s="61">
        <v>2</v>
      </c>
      <c r="F18" s="62">
        <v>1.15</v>
      </c>
      <c r="G18" s="63">
        <v>0.05</v>
      </c>
      <c r="H18" s="64">
        <v>3</v>
      </c>
      <c r="I18" s="63" t="str">
        <f>D18</f>
        <v>路飞</v>
      </c>
    </row>
    <row r="19" ht="16.5" spans="2:22">
      <c r="B19" s="60" t="s">
        <v>144</v>
      </c>
      <c r="C19" s="61">
        <v>500</v>
      </c>
      <c r="D19" s="60" t="s">
        <v>154</v>
      </c>
      <c r="E19" s="60">
        <v>3</v>
      </c>
      <c r="F19" s="62">
        <v>1.35</v>
      </c>
      <c r="G19" s="63">
        <v>0.06</v>
      </c>
      <c r="H19" s="64">
        <v>4</v>
      </c>
      <c r="I19" s="63" t="str">
        <f>D19</f>
        <v>镭射眼</v>
      </c>
    </row>
    <row r="20" ht="16.5" spans="2:22">
      <c r="B20" s="60" t="s">
        <v>155</v>
      </c>
      <c r="C20" s="70">
        <v>600</v>
      </c>
      <c r="D20" s="71" t="s">
        <v>156</v>
      </c>
      <c r="E20" s="60">
        <v>3</v>
      </c>
      <c r="F20" s="72">
        <v>1.35</v>
      </c>
      <c r="G20" s="63">
        <v>0.06</v>
      </c>
      <c r="H20" s="64">
        <v>4</v>
      </c>
      <c r="I20" s="63" t="str">
        <f>D19</f>
        <v>镭射眼</v>
      </c>
      <c r="K20" s="54"/>
      <c r="L20" s="54">
        <v>1</v>
      </c>
      <c r="M20" s="54">
        <v>5</v>
      </c>
      <c r="N20" s="54">
        <v>10</v>
      </c>
      <c r="O20" s="54">
        <v>15</v>
      </c>
      <c r="P20" s="54">
        <v>20</v>
      </c>
      <c r="Q20" s="54">
        <v>25</v>
      </c>
      <c r="R20" s="54">
        <v>30</v>
      </c>
    </row>
    <row r="21" ht="16.5" spans="2:22">
      <c r="B21" s="60" t="s">
        <v>144</v>
      </c>
      <c r="C21" s="61">
        <v>800</v>
      </c>
      <c r="D21" s="60" t="s">
        <v>157</v>
      </c>
      <c r="E21" s="60">
        <v>3</v>
      </c>
      <c r="F21" s="62">
        <v>1.35</v>
      </c>
      <c r="G21" s="63">
        <v>0.06</v>
      </c>
      <c r="H21" s="64">
        <v>4</v>
      </c>
      <c r="I21" s="63" t="str">
        <f>I20</f>
        <v>镭射眼</v>
      </c>
      <c r="K21" s="65">
        <v>1</v>
      </c>
      <c r="L21" s="73">
        <v>1</v>
      </c>
      <c r="M21" s="73">
        <v>1</v>
      </c>
      <c r="N21" s="73">
        <v>1.1</v>
      </c>
      <c r="O21" s="73">
        <v>1.98</v>
      </c>
      <c r="P21" s="73">
        <v>2.2</v>
      </c>
      <c r="Q21" s="73">
        <v>2.64</v>
      </c>
      <c r="R21" s="73">
        <v>2.88</v>
      </c>
    </row>
    <row r="22" ht="16.5" spans="2:22">
      <c r="B22" s="60" t="s">
        <v>155</v>
      </c>
      <c r="C22" s="70">
        <v>1200</v>
      </c>
      <c r="D22" s="71" t="s">
        <v>158</v>
      </c>
      <c r="E22" s="60">
        <v>3</v>
      </c>
      <c r="F22" s="72">
        <v>1.35</v>
      </c>
      <c r="G22" s="63">
        <v>0.06</v>
      </c>
      <c r="H22" s="64">
        <v>5</v>
      </c>
      <c r="I22" s="63" t="str">
        <f>D22</f>
        <v>蜘蛛女王</v>
      </c>
      <c r="K22" s="65">
        <v>2</v>
      </c>
      <c r="L22" s="73">
        <v>1.15</v>
      </c>
      <c r="M22" s="73">
        <v>1.15</v>
      </c>
      <c r="N22" s="73">
        <v>1.39</v>
      </c>
      <c r="O22" s="73">
        <v>1.95</v>
      </c>
      <c r="P22" s="73">
        <v>2.36</v>
      </c>
      <c r="Q22" s="73">
        <v>3.3</v>
      </c>
      <c r="R22" s="73">
        <v>3.63</v>
      </c>
    </row>
    <row r="23" ht="16.5" spans="2:22">
      <c r="B23" s="60" t="s">
        <v>144</v>
      </c>
      <c r="C23" s="61">
        <v>1400</v>
      </c>
      <c r="D23" s="60" t="s">
        <v>159</v>
      </c>
      <c r="E23" s="60">
        <v>3</v>
      </c>
      <c r="F23" s="62">
        <v>1.35</v>
      </c>
      <c r="G23" s="63">
        <v>0.06</v>
      </c>
      <c r="H23" s="64">
        <v>4</v>
      </c>
      <c r="I23" s="63" t="str">
        <f>I22</f>
        <v>蜘蛛女王</v>
      </c>
      <c r="K23" s="65">
        <v>3</v>
      </c>
      <c r="L23" s="73">
        <v>1.15</v>
      </c>
      <c r="M23" s="73">
        <v>1.15</v>
      </c>
      <c r="N23" s="73">
        <v>1.61</v>
      </c>
      <c r="O23" s="73">
        <v>1.95</v>
      </c>
      <c r="P23" s="73">
        <v>2.73</v>
      </c>
      <c r="Q23" s="73">
        <v>3.3</v>
      </c>
      <c r="R23" s="73">
        <v>3.63</v>
      </c>
      <c r="V23" s="53">
        <v>0.8</v>
      </c>
    </row>
    <row r="24" ht="16.5" spans="2:22">
      <c r="B24" s="60" t="s">
        <v>144</v>
      </c>
      <c r="C24" s="61">
        <v>2300</v>
      </c>
      <c r="D24" s="60" t="s">
        <v>160</v>
      </c>
      <c r="E24" s="60">
        <v>3</v>
      </c>
      <c r="F24" s="62">
        <v>1.35</v>
      </c>
      <c r="G24" s="63">
        <v>0.06</v>
      </c>
      <c r="H24" s="64">
        <v>4</v>
      </c>
      <c r="I24" s="63" t="str">
        <f>I23</f>
        <v>蜘蛛女王</v>
      </c>
      <c r="K24" s="65">
        <v>4</v>
      </c>
      <c r="L24" s="73">
        <v>1.35</v>
      </c>
      <c r="M24" s="73">
        <v>1.35</v>
      </c>
      <c r="N24" s="73">
        <v>1.76</v>
      </c>
      <c r="O24" s="73">
        <v>3.16</v>
      </c>
      <c r="P24" s="73">
        <v>3.79</v>
      </c>
      <c r="Q24" s="73">
        <v>5.05</v>
      </c>
      <c r="R24" s="73">
        <v>7.28</v>
      </c>
      <c r="V24">
        <v>1200</v>
      </c>
    </row>
    <row r="25" ht="16.5" spans="2:22">
      <c r="B25" s="60" t="s">
        <v>144</v>
      </c>
      <c r="C25" s="61">
        <v>2800</v>
      </c>
      <c r="D25" s="60" t="s">
        <v>161</v>
      </c>
      <c r="E25" s="60">
        <v>3</v>
      </c>
      <c r="F25" s="62">
        <v>1.35</v>
      </c>
      <c r="G25" s="63">
        <v>0.06</v>
      </c>
      <c r="H25" s="64">
        <v>6</v>
      </c>
      <c r="I25" s="63" t="str">
        <f>D25</f>
        <v>关羽</v>
      </c>
      <c r="K25" s="65">
        <v>5</v>
      </c>
      <c r="L25" s="73">
        <v>2.025</v>
      </c>
      <c r="M25" s="73">
        <v>2.025</v>
      </c>
      <c r="N25" s="73">
        <v>2.43</v>
      </c>
      <c r="O25" s="73">
        <v>4.38</v>
      </c>
      <c r="P25" s="73">
        <v>5.685</v>
      </c>
      <c r="Q25" s="73">
        <v>7.575</v>
      </c>
      <c r="R25" s="73">
        <v>10.92</v>
      </c>
    </row>
    <row r="26" ht="16.5" spans="2:22">
      <c r="B26" s="60" t="s">
        <v>155</v>
      </c>
      <c r="C26" s="61">
        <v>3000</v>
      </c>
      <c r="D26" s="60" t="s">
        <v>162</v>
      </c>
      <c r="E26" s="60">
        <v>4</v>
      </c>
      <c r="F26" s="62">
        <v>1.6</v>
      </c>
      <c r="G26" s="63">
        <v>0.1</v>
      </c>
      <c r="H26" s="64">
        <v>7</v>
      </c>
      <c r="I26" s="63" t="str">
        <f>D26</f>
        <v>后羿</v>
      </c>
      <c r="K26" s="65">
        <v>6</v>
      </c>
      <c r="L26" s="73">
        <v>2.025</v>
      </c>
      <c r="M26" s="73">
        <v>2.025</v>
      </c>
      <c r="N26" s="73">
        <v>3.645</v>
      </c>
      <c r="O26" s="73">
        <v>4.38</v>
      </c>
      <c r="P26" s="73">
        <v>5.685</v>
      </c>
      <c r="Q26" s="73">
        <v>8.535</v>
      </c>
      <c r="R26" s="73">
        <v>10.92</v>
      </c>
      <c r="V26" s="53">
        <v>0.5</v>
      </c>
    </row>
    <row r="27" ht="16.5" spans="2:22">
      <c r="B27" s="60" t="s">
        <v>144</v>
      </c>
      <c r="C27" s="61">
        <v>3450</v>
      </c>
      <c r="D27" s="60" t="s">
        <v>163</v>
      </c>
      <c r="E27" s="60">
        <v>4</v>
      </c>
      <c r="F27" s="62">
        <v>1.6</v>
      </c>
      <c r="G27" s="63">
        <v>0.1</v>
      </c>
      <c r="H27" s="64">
        <v>7</v>
      </c>
      <c r="I27" s="63" t="str">
        <f>I26</f>
        <v>后羿</v>
      </c>
      <c r="K27" s="65">
        <v>7</v>
      </c>
      <c r="L27" s="73">
        <v>2.025</v>
      </c>
      <c r="M27" s="73">
        <v>2.025</v>
      </c>
      <c r="N27" s="73">
        <v>3.645</v>
      </c>
      <c r="O27" s="73">
        <v>4.38</v>
      </c>
      <c r="P27" s="73">
        <v>5.685</v>
      </c>
      <c r="Q27" s="73">
        <v>8.535</v>
      </c>
      <c r="R27" s="73">
        <v>10.92</v>
      </c>
      <c r="U27">
        <v>7000</v>
      </c>
      <c r="V27">
        <v>3200</v>
      </c>
    </row>
    <row r="28" ht="16.5" spans="2:22">
      <c r="B28" s="60" t="s">
        <v>144</v>
      </c>
      <c r="C28" s="61">
        <v>4250</v>
      </c>
      <c r="D28" s="60" t="s">
        <v>164</v>
      </c>
      <c r="E28" s="60">
        <v>4</v>
      </c>
      <c r="F28" s="62">
        <v>1.6</v>
      </c>
      <c r="G28" s="63">
        <v>0.1</v>
      </c>
      <c r="H28" s="64">
        <v>7</v>
      </c>
      <c r="I28" s="63" t="str">
        <f>I27</f>
        <v>后羿</v>
      </c>
    </row>
    <row r="29" ht="16.5" spans="2:22">
      <c r="B29" s="60" t="s">
        <v>144</v>
      </c>
      <c r="C29" s="61">
        <v>6000</v>
      </c>
      <c r="D29" s="60" t="s">
        <v>165</v>
      </c>
      <c r="E29" s="60">
        <v>4</v>
      </c>
      <c r="F29" s="62">
        <v>1.6</v>
      </c>
      <c r="G29" s="63">
        <v>0.1</v>
      </c>
      <c r="H29" s="64">
        <v>7</v>
      </c>
      <c r="I29" s="63" t="str">
        <f>D29</f>
        <v>海拉</v>
      </c>
    </row>
    <row r="30" ht="16.5" spans="2:22">
      <c r="B30" s="60" t="s">
        <v>144</v>
      </c>
      <c r="C30" s="61">
        <v>6900</v>
      </c>
      <c r="D30" s="60" t="s">
        <v>166</v>
      </c>
      <c r="E30" s="60">
        <v>4</v>
      </c>
      <c r="F30" s="62">
        <v>1.6</v>
      </c>
      <c r="G30" s="63">
        <v>0.1</v>
      </c>
      <c r="H30" s="64">
        <v>7</v>
      </c>
      <c r="I30" s="63" t="str">
        <f>I29</f>
        <v>海拉</v>
      </c>
    </row>
    <row r="31" ht="16.5" spans="2:22">
      <c r="B31" s="60" t="s">
        <v>144</v>
      </c>
      <c r="C31" s="61">
        <v>7800</v>
      </c>
      <c r="D31" s="60" t="s">
        <v>167</v>
      </c>
      <c r="E31" s="60">
        <v>4</v>
      </c>
      <c r="F31" s="62">
        <v>1.6</v>
      </c>
      <c r="G31" s="63">
        <v>0.1</v>
      </c>
      <c r="H31" s="64">
        <v>7</v>
      </c>
      <c r="I31" s="63" t="str">
        <f>I30</f>
        <v>海拉</v>
      </c>
    </row>
    <row r="33" ht="16.5" spans="1:25">
      <c r="A33" s="52" t="s">
        <v>168</v>
      </c>
      <c r="B33" s="54" t="s">
        <v>40</v>
      </c>
      <c r="C33" s="54" t="s">
        <v>169</v>
      </c>
      <c r="D33" s="54" t="s">
        <v>145</v>
      </c>
      <c r="E33" s="54" t="s">
        <v>146</v>
      </c>
      <c r="F33" s="54" t="s">
        <v>147</v>
      </c>
      <c r="G33" s="54" t="s">
        <v>148</v>
      </c>
      <c r="H33" s="54" t="s">
        <v>149</v>
      </c>
      <c r="I33" s="54" t="s">
        <v>150</v>
      </c>
      <c r="J33" s="54" t="s">
        <v>151</v>
      </c>
      <c r="K33" s="54" t="s">
        <v>152</v>
      </c>
      <c r="L33" s="54" t="s">
        <v>153</v>
      </c>
      <c r="M33" s="54" t="s">
        <v>154</v>
      </c>
      <c r="N33" s="54" t="s">
        <v>156</v>
      </c>
      <c r="O33" s="54" t="s">
        <v>157</v>
      </c>
      <c r="P33" s="54" t="s">
        <v>158</v>
      </c>
      <c r="Q33" s="54" t="s">
        <v>159</v>
      </c>
      <c r="R33" s="54" t="s">
        <v>160</v>
      </c>
      <c r="S33" s="54" t="s">
        <v>161</v>
      </c>
      <c r="T33" s="54" t="s">
        <v>162</v>
      </c>
      <c r="U33" s="54" t="s">
        <v>163</v>
      </c>
      <c r="V33" s="54" t="s">
        <v>164</v>
      </c>
      <c r="W33" s="54" t="s">
        <v>165</v>
      </c>
      <c r="X33" s="54" t="s">
        <v>166</v>
      </c>
      <c r="Y33" s="54" t="s">
        <v>167</v>
      </c>
    </row>
    <row r="34" ht="16.5" spans="1:25">
      <c r="A34" s="74">
        <v>12</v>
      </c>
      <c r="B34" s="65">
        <v>1</v>
      </c>
      <c r="C34" s="75">
        <f>INT(产出预期!M20)</f>
        <v>335</v>
      </c>
      <c r="D34" s="75">
        <f ca="1" t="shared" ref="D34:Y34" si="0">IFERROR(MATCH(D339*10,OFFSET($AS$339:$AS$388,0,D$335),1),0)</f>
        <v>14</v>
      </c>
      <c r="E34" s="75">
        <f ca="1" t="shared" si="0"/>
        <v>14</v>
      </c>
      <c r="F34" s="75">
        <f ca="1" t="shared" si="0"/>
        <v>14</v>
      </c>
      <c r="G34" s="75">
        <f ca="1" t="shared" si="0"/>
        <v>7</v>
      </c>
      <c r="H34" s="75">
        <f ca="1" t="shared" si="0"/>
        <v>7</v>
      </c>
      <c r="I34" s="75">
        <f ca="1" t="shared" si="0"/>
        <v>7</v>
      </c>
      <c r="J34" s="75">
        <f ca="1" t="shared" si="0"/>
        <v>7</v>
      </c>
      <c r="K34" s="75">
        <f ca="1" t="shared" si="0"/>
        <v>7</v>
      </c>
      <c r="L34" s="75">
        <f ca="1" t="shared" si="0"/>
        <v>0</v>
      </c>
      <c r="M34" s="75">
        <f ca="1" t="shared" si="0"/>
        <v>0</v>
      </c>
      <c r="N34" s="75">
        <f ca="1" t="shared" si="0"/>
        <v>0</v>
      </c>
      <c r="O34" s="75">
        <f ca="1" t="shared" si="0"/>
        <v>0</v>
      </c>
      <c r="P34" s="75">
        <f ca="1" t="shared" si="0"/>
        <v>0</v>
      </c>
      <c r="Q34" s="75">
        <f ca="1" t="shared" si="0"/>
        <v>0</v>
      </c>
      <c r="R34" s="75">
        <f ca="1" t="shared" si="0"/>
        <v>0</v>
      </c>
      <c r="S34" s="75">
        <f ca="1" t="shared" si="0"/>
        <v>0</v>
      </c>
      <c r="T34" s="75">
        <f ca="1" t="shared" si="0"/>
        <v>0</v>
      </c>
      <c r="U34" s="75">
        <f ca="1" t="shared" si="0"/>
        <v>0</v>
      </c>
      <c r="V34" s="75">
        <f ca="1" t="shared" si="0"/>
        <v>0</v>
      </c>
      <c r="W34" s="75">
        <f ca="1" t="shared" si="0"/>
        <v>0</v>
      </c>
      <c r="X34" s="75">
        <f ca="1" t="shared" si="0"/>
        <v>0</v>
      </c>
      <c r="Y34" s="75">
        <f ca="1" t="shared" si="0"/>
        <v>0</v>
      </c>
    </row>
    <row r="35" ht="16.5" spans="1:25">
      <c r="A35" s="74">
        <v>18</v>
      </c>
      <c r="B35" s="65">
        <v>2</v>
      </c>
      <c r="C35" s="75">
        <f>INT(产出预期!M21)</f>
        <v>559</v>
      </c>
      <c r="D35" s="75">
        <f ca="1" t="shared" ref="D35:V35" si="1">IFERROR(MATCH(D340*10,OFFSET($AS$339:$AS$388,0,D$335),1),0)</f>
        <v>18</v>
      </c>
      <c r="E35" s="75">
        <f ca="1" t="shared" si="1"/>
        <v>18</v>
      </c>
      <c r="F35" s="75">
        <f ca="1" t="shared" si="1"/>
        <v>18</v>
      </c>
      <c r="G35" s="75">
        <f ca="1" t="shared" si="1"/>
        <v>8</v>
      </c>
      <c r="H35" s="75">
        <f ca="1" t="shared" si="1"/>
        <v>8</v>
      </c>
      <c r="I35" s="75">
        <f ca="1" t="shared" si="1"/>
        <v>8</v>
      </c>
      <c r="J35" s="75">
        <f ca="1" t="shared" si="1"/>
        <v>8</v>
      </c>
      <c r="K35" s="75">
        <f ca="1" t="shared" si="1"/>
        <v>8</v>
      </c>
      <c r="L35" s="75">
        <f ca="1" t="shared" si="1"/>
        <v>6</v>
      </c>
      <c r="M35" s="75">
        <f ca="1" t="shared" si="1"/>
        <v>5</v>
      </c>
      <c r="N35" s="75">
        <f ca="1" t="shared" si="1"/>
        <v>0</v>
      </c>
      <c r="O35" s="75">
        <f ca="1" t="shared" si="1"/>
        <v>0</v>
      </c>
      <c r="P35" s="75">
        <f ca="1" t="shared" si="1"/>
        <v>0</v>
      </c>
      <c r="Q35" s="75">
        <f ca="1" t="shared" si="1"/>
        <v>0</v>
      </c>
      <c r="R35" s="75">
        <f ca="1" t="shared" si="1"/>
        <v>0</v>
      </c>
      <c r="S35" s="75">
        <f ca="1" t="shared" si="1"/>
        <v>0</v>
      </c>
      <c r="T35" s="75">
        <f ca="1" t="shared" si="1"/>
        <v>0</v>
      </c>
      <c r="U35" s="75">
        <f ca="1" t="shared" si="1"/>
        <v>0</v>
      </c>
      <c r="V35" s="75">
        <f ca="1" t="shared" si="1"/>
        <v>0</v>
      </c>
      <c r="W35" s="75">
        <f ca="1" t="shared" ref="W35:W98" si="2">IFERROR(MATCH(W340*10,OFFSET($AS$339:$AS$388,0,W$335),1),0)</f>
        <v>0</v>
      </c>
      <c r="X35" s="75">
        <f ca="1" t="shared" ref="X35:X98" si="3">IFERROR(MATCH(X340*10,OFFSET($AS$339:$AS$388,0,X$335),1),0)</f>
        <v>0</v>
      </c>
      <c r="Y35" s="75">
        <f ca="1" t="shared" ref="Y35:Y98" si="4">IFERROR(MATCH(Y340*10,OFFSET($AS$339:$AS$388,0,Y$335),1),0)</f>
        <v>0</v>
      </c>
    </row>
    <row r="36" ht="16.5" spans="1:25">
      <c r="A36" s="74">
        <v>23</v>
      </c>
      <c r="B36" s="65">
        <v>3</v>
      </c>
      <c r="C36" s="75">
        <f>INT(产出预期!M22)</f>
        <v>753</v>
      </c>
      <c r="D36" s="75">
        <f ca="1" t="shared" ref="D36:V36" si="5">IFERROR(MATCH(D341*10,OFFSET($AS$339:$AS$388,0,D$335),1),0)</f>
        <v>20</v>
      </c>
      <c r="E36" s="75">
        <f ca="1" t="shared" si="5"/>
        <v>20</v>
      </c>
      <c r="F36" s="75">
        <f ca="1" t="shared" si="5"/>
        <v>20</v>
      </c>
      <c r="G36" s="75">
        <f ca="1" t="shared" si="5"/>
        <v>9</v>
      </c>
      <c r="H36" s="75">
        <f ca="1" t="shared" si="5"/>
        <v>9</v>
      </c>
      <c r="I36" s="75">
        <f ca="1" t="shared" si="5"/>
        <v>9</v>
      </c>
      <c r="J36" s="75">
        <f ca="1" t="shared" si="5"/>
        <v>9</v>
      </c>
      <c r="K36" s="75">
        <f ca="1" t="shared" si="5"/>
        <v>9</v>
      </c>
      <c r="L36" s="75">
        <f ca="1" t="shared" si="5"/>
        <v>7</v>
      </c>
      <c r="M36" s="75">
        <f ca="1" t="shared" si="5"/>
        <v>6</v>
      </c>
      <c r="N36" s="75">
        <f ca="1" t="shared" si="5"/>
        <v>5</v>
      </c>
      <c r="O36" s="75">
        <f ca="1" t="shared" si="5"/>
        <v>0</v>
      </c>
      <c r="P36" s="75">
        <f ca="1" t="shared" si="5"/>
        <v>0</v>
      </c>
      <c r="Q36" s="75">
        <f ca="1" t="shared" si="5"/>
        <v>0</v>
      </c>
      <c r="R36" s="75">
        <f ca="1" t="shared" si="5"/>
        <v>0</v>
      </c>
      <c r="S36" s="75">
        <f ca="1" t="shared" si="5"/>
        <v>0</v>
      </c>
      <c r="T36" s="75">
        <f ca="1" t="shared" si="5"/>
        <v>0</v>
      </c>
      <c r="U36" s="75">
        <f ca="1" t="shared" si="5"/>
        <v>0</v>
      </c>
      <c r="V36" s="75">
        <f ca="1" t="shared" si="5"/>
        <v>0</v>
      </c>
      <c r="W36" s="75">
        <f ca="1" t="shared" si="2"/>
        <v>0</v>
      </c>
      <c r="X36" s="75">
        <f ca="1" t="shared" si="3"/>
        <v>0</v>
      </c>
      <c r="Y36" s="75">
        <f ca="1" t="shared" si="4"/>
        <v>0</v>
      </c>
    </row>
    <row r="37" ht="16.5" spans="1:25">
      <c r="A37" s="74">
        <v>26</v>
      </c>
      <c r="B37" s="65">
        <v>4</v>
      </c>
      <c r="C37" s="75">
        <f>INT(产出预期!M23)</f>
        <v>929</v>
      </c>
      <c r="D37" s="75">
        <f ca="1" t="shared" ref="D37:V37" si="6">IFERROR(MATCH(D342*10,OFFSET($AS$339:$AS$388,0,D$335),1),0)</f>
        <v>22</v>
      </c>
      <c r="E37" s="75">
        <f ca="1" t="shared" si="6"/>
        <v>22</v>
      </c>
      <c r="F37" s="75">
        <f ca="1" t="shared" si="6"/>
        <v>22</v>
      </c>
      <c r="G37" s="75">
        <f ca="1" t="shared" si="6"/>
        <v>10</v>
      </c>
      <c r="H37" s="75">
        <f ca="1" t="shared" si="6"/>
        <v>10</v>
      </c>
      <c r="I37" s="75">
        <f ca="1" t="shared" si="6"/>
        <v>10</v>
      </c>
      <c r="J37" s="75">
        <f ca="1" t="shared" si="6"/>
        <v>10</v>
      </c>
      <c r="K37" s="75">
        <f ca="1" t="shared" si="6"/>
        <v>10</v>
      </c>
      <c r="L37" s="75">
        <f ca="1" t="shared" si="6"/>
        <v>8</v>
      </c>
      <c r="M37" s="75">
        <f ca="1" t="shared" si="6"/>
        <v>7</v>
      </c>
      <c r="N37" s="75">
        <f ca="1" t="shared" si="6"/>
        <v>6</v>
      </c>
      <c r="O37" s="75">
        <f ca="1" t="shared" si="6"/>
        <v>5</v>
      </c>
      <c r="P37" s="75">
        <f ca="1" t="shared" si="6"/>
        <v>0</v>
      </c>
      <c r="Q37" s="75">
        <f ca="1" t="shared" si="6"/>
        <v>0</v>
      </c>
      <c r="R37" s="75">
        <f ca="1" t="shared" si="6"/>
        <v>0</v>
      </c>
      <c r="S37" s="75">
        <f ca="1" t="shared" si="6"/>
        <v>0</v>
      </c>
      <c r="T37" s="75">
        <f ca="1" t="shared" si="6"/>
        <v>0</v>
      </c>
      <c r="U37" s="75">
        <f ca="1" t="shared" si="6"/>
        <v>0</v>
      </c>
      <c r="V37" s="75">
        <f ca="1" t="shared" si="6"/>
        <v>0</v>
      </c>
      <c r="W37" s="75">
        <f ca="1" t="shared" si="2"/>
        <v>0</v>
      </c>
      <c r="X37" s="75">
        <f ca="1" t="shared" si="3"/>
        <v>0</v>
      </c>
      <c r="Y37" s="75">
        <f ca="1" t="shared" si="4"/>
        <v>0</v>
      </c>
    </row>
    <row r="38" ht="16.5" spans="1:25">
      <c r="A38" s="74">
        <v>29</v>
      </c>
      <c r="B38" s="65">
        <v>5</v>
      </c>
      <c r="C38" s="75">
        <f>INT(产出预期!M24)</f>
        <v>1105</v>
      </c>
      <c r="D38" s="75">
        <f ca="1" t="shared" ref="D38:V38" si="7">IFERROR(MATCH(D343*10,OFFSET($AS$339:$AS$388,0,D$335),1),0)</f>
        <v>23</v>
      </c>
      <c r="E38" s="75">
        <f ca="1" t="shared" si="7"/>
        <v>23</v>
      </c>
      <c r="F38" s="75">
        <f ca="1" t="shared" si="7"/>
        <v>23</v>
      </c>
      <c r="G38" s="75">
        <f ca="1" t="shared" si="7"/>
        <v>11</v>
      </c>
      <c r="H38" s="75">
        <f ca="1" t="shared" si="7"/>
        <v>11</v>
      </c>
      <c r="I38" s="75">
        <f ca="1" t="shared" si="7"/>
        <v>11</v>
      </c>
      <c r="J38" s="75">
        <f ca="1" t="shared" si="7"/>
        <v>11</v>
      </c>
      <c r="K38" s="75">
        <f ca="1" t="shared" si="7"/>
        <v>11</v>
      </c>
      <c r="L38" s="75">
        <f ca="1" t="shared" si="7"/>
        <v>10</v>
      </c>
      <c r="M38" s="75">
        <f ca="1" t="shared" si="7"/>
        <v>7</v>
      </c>
      <c r="N38" s="75">
        <f ca="1" t="shared" si="7"/>
        <v>6</v>
      </c>
      <c r="O38" s="75">
        <f ca="1" t="shared" si="7"/>
        <v>5</v>
      </c>
      <c r="P38" s="75">
        <f ca="1" t="shared" si="7"/>
        <v>0</v>
      </c>
      <c r="Q38" s="75">
        <f ca="1" t="shared" si="7"/>
        <v>0</v>
      </c>
      <c r="R38" s="75">
        <f ca="1" t="shared" si="7"/>
        <v>0</v>
      </c>
      <c r="S38" s="75">
        <f ca="1" t="shared" si="7"/>
        <v>0</v>
      </c>
      <c r="T38" s="75">
        <f ca="1" t="shared" si="7"/>
        <v>0</v>
      </c>
      <c r="U38" s="75">
        <f ca="1" t="shared" si="7"/>
        <v>0</v>
      </c>
      <c r="V38" s="75">
        <f ca="1" t="shared" si="7"/>
        <v>0</v>
      </c>
      <c r="W38" s="75">
        <f ca="1" t="shared" si="2"/>
        <v>0</v>
      </c>
      <c r="X38" s="75">
        <f ca="1" t="shared" si="3"/>
        <v>0</v>
      </c>
      <c r="Y38" s="75">
        <f ca="1" t="shared" si="4"/>
        <v>0</v>
      </c>
    </row>
    <row r="39" ht="16.5" spans="1:25">
      <c r="A39" s="76">
        <v>31</v>
      </c>
      <c r="B39" s="65">
        <v>6</v>
      </c>
      <c r="C39" s="75">
        <f>INT(产出预期!M25)</f>
        <v>1250</v>
      </c>
      <c r="D39" s="75">
        <f ca="1" t="shared" ref="D39:V39" si="8">IFERROR(MATCH(D344*10,OFFSET($AS$339:$AS$388,0,D$335),1),0)</f>
        <v>25</v>
      </c>
      <c r="E39" s="75">
        <f ca="1" t="shared" si="8"/>
        <v>25</v>
      </c>
      <c r="F39" s="75">
        <f ca="1" t="shared" si="8"/>
        <v>25</v>
      </c>
      <c r="G39" s="75">
        <f ca="1" t="shared" si="8"/>
        <v>11</v>
      </c>
      <c r="H39" s="75">
        <f ca="1" t="shared" si="8"/>
        <v>11</v>
      </c>
      <c r="I39" s="75">
        <f ca="1" t="shared" si="8"/>
        <v>11</v>
      </c>
      <c r="J39" s="75">
        <f ca="1" t="shared" si="8"/>
        <v>11</v>
      </c>
      <c r="K39" s="75">
        <f ca="1" t="shared" si="8"/>
        <v>11</v>
      </c>
      <c r="L39" s="75">
        <f ca="1" t="shared" si="8"/>
        <v>10</v>
      </c>
      <c r="M39" s="75">
        <f ca="1" t="shared" si="8"/>
        <v>7</v>
      </c>
      <c r="N39" s="75">
        <f ca="1" t="shared" si="8"/>
        <v>7</v>
      </c>
      <c r="O39" s="75">
        <f ca="1" t="shared" si="8"/>
        <v>6</v>
      </c>
      <c r="P39" s="75">
        <f ca="1" t="shared" si="8"/>
        <v>5</v>
      </c>
      <c r="Q39" s="75">
        <f ca="1" t="shared" si="8"/>
        <v>0</v>
      </c>
      <c r="R39" s="75">
        <f ca="1" t="shared" si="8"/>
        <v>0</v>
      </c>
      <c r="S39" s="75">
        <f ca="1" t="shared" si="8"/>
        <v>0</v>
      </c>
      <c r="T39" s="75">
        <f ca="1" t="shared" si="8"/>
        <v>0</v>
      </c>
      <c r="U39" s="75">
        <f ca="1" t="shared" si="8"/>
        <v>0</v>
      </c>
      <c r="V39" s="75">
        <f ca="1" t="shared" si="8"/>
        <v>0</v>
      </c>
      <c r="W39" s="75">
        <f ca="1" t="shared" si="2"/>
        <v>0</v>
      </c>
      <c r="X39" s="75">
        <f ca="1" t="shared" si="3"/>
        <v>0</v>
      </c>
      <c r="Y39" s="75">
        <f ca="1" t="shared" si="4"/>
        <v>0</v>
      </c>
    </row>
    <row r="40" ht="16.5" spans="1:25">
      <c r="A40" s="74">
        <v>33</v>
      </c>
      <c r="B40" s="65">
        <v>7</v>
      </c>
      <c r="C40" s="75">
        <f>INT(产出预期!M26)</f>
        <v>1420</v>
      </c>
      <c r="D40" s="75">
        <f ca="1" t="shared" ref="D40:V40" si="9">IFERROR(MATCH(D345*10,OFFSET($AS$339:$AS$388,0,D$335),1),0)</f>
        <v>26</v>
      </c>
      <c r="E40" s="75">
        <f ca="1" t="shared" si="9"/>
        <v>26</v>
      </c>
      <c r="F40" s="75">
        <f ca="1" t="shared" si="9"/>
        <v>26</v>
      </c>
      <c r="G40" s="75">
        <f ca="1" t="shared" si="9"/>
        <v>13</v>
      </c>
      <c r="H40" s="75">
        <f ca="1" t="shared" si="9"/>
        <v>13</v>
      </c>
      <c r="I40" s="75">
        <f ca="1" t="shared" si="9"/>
        <v>13</v>
      </c>
      <c r="J40" s="75">
        <f ca="1" t="shared" si="9"/>
        <v>13</v>
      </c>
      <c r="K40" s="75">
        <f ca="1" t="shared" si="9"/>
        <v>13</v>
      </c>
      <c r="L40" s="75">
        <f ca="1" t="shared" si="9"/>
        <v>11</v>
      </c>
      <c r="M40" s="75">
        <f ca="1" t="shared" si="9"/>
        <v>8</v>
      </c>
      <c r="N40" s="75">
        <f ca="1" t="shared" si="9"/>
        <v>7</v>
      </c>
      <c r="O40" s="75">
        <f ca="1" t="shared" si="9"/>
        <v>6</v>
      </c>
      <c r="P40" s="75">
        <f ca="1" t="shared" si="9"/>
        <v>5</v>
      </c>
      <c r="Q40" s="75">
        <f ca="1" t="shared" si="9"/>
        <v>5</v>
      </c>
      <c r="R40" s="75">
        <f ca="1" t="shared" si="9"/>
        <v>0</v>
      </c>
      <c r="S40" s="75">
        <f ca="1" t="shared" si="9"/>
        <v>0</v>
      </c>
      <c r="T40" s="75">
        <f ca="1" t="shared" si="9"/>
        <v>0</v>
      </c>
      <c r="U40" s="75">
        <f ca="1" t="shared" si="9"/>
        <v>0</v>
      </c>
      <c r="V40" s="75">
        <f ca="1" t="shared" si="9"/>
        <v>0</v>
      </c>
      <c r="W40" s="75">
        <f ca="1" t="shared" si="2"/>
        <v>0</v>
      </c>
      <c r="X40" s="75">
        <f ca="1" t="shared" si="3"/>
        <v>0</v>
      </c>
      <c r="Y40" s="75">
        <f ca="1" t="shared" si="4"/>
        <v>0</v>
      </c>
    </row>
    <row r="41" ht="16.5" spans="1:25">
      <c r="A41" s="74">
        <v>36</v>
      </c>
      <c r="B41" s="65">
        <v>8</v>
      </c>
      <c r="C41" s="75">
        <f>INT(产出预期!M27)</f>
        <v>1560</v>
      </c>
      <c r="D41" s="75">
        <f ca="1" t="shared" ref="D41:V41" si="10">IFERROR(MATCH(D346*10,OFFSET($AS$339:$AS$388,0,D$335),1),0)</f>
        <v>26</v>
      </c>
      <c r="E41" s="75">
        <f ca="1" t="shared" si="10"/>
        <v>26</v>
      </c>
      <c r="F41" s="75">
        <f ca="1" t="shared" si="10"/>
        <v>26</v>
      </c>
      <c r="G41" s="75">
        <f ca="1" t="shared" si="10"/>
        <v>13</v>
      </c>
      <c r="H41" s="75">
        <f ca="1" t="shared" si="10"/>
        <v>13</v>
      </c>
      <c r="I41" s="75">
        <f ca="1" t="shared" si="10"/>
        <v>13</v>
      </c>
      <c r="J41" s="75">
        <f ca="1" t="shared" si="10"/>
        <v>13</v>
      </c>
      <c r="K41" s="75">
        <f ca="1" t="shared" si="10"/>
        <v>13</v>
      </c>
      <c r="L41" s="75">
        <f ca="1" t="shared" si="10"/>
        <v>12</v>
      </c>
      <c r="M41" s="75">
        <f ca="1" t="shared" si="10"/>
        <v>8</v>
      </c>
      <c r="N41" s="75">
        <f ca="1" t="shared" si="10"/>
        <v>7</v>
      </c>
      <c r="O41" s="75">
        <f ca="1" t="shared" si="10"/>
        <v>7</v>
      </c>
      <c r="P41" s="75">
        <f ca="1" t="shared" si="10"/>
        <v>6</v>
      </c>
      <c r="Q41" s="75">
        <f ca="1" t="shared" si="10"/>
        <v>5</v>
      </c>
      <c r="R41" s="75">
        <f ca="1" t="shared" si="10"/>
        <v>0</v>
      </c>
      <c r="S41" s="75">
        <f ca="1" t="shared" si="10"/>
        <v>0</v>
      </c>
      <c r="T41" s="75">
        <f ca="1" t="shared" si="10"/>
        <v>0</v>
      </c>
      <c r="U41" s="75">
        <f ca="1" t="shared" si="10"/>
        <v>0</v>
      </c>
      <c r="V41" s="75">
        <f ca="1" t="shared" si="10"/>
        <v>0</v>
      </c>
      <c r="W41" s="75">
        <f ca="1" t="shared" si="2"/>
        <v>0</v>
      </c>
      <c r="X41" s="75">
        <f ca="1" t="shared" si="3"/>
        <v>0</v>
      </c>
      <c r="Y41" s="75">
        <f ca="1" t="shared" si="4"/>
        <v>0</v>
      </c>
    </row>
    <row r="42" ht="16.5" spans="1:25">
      <c r="A42" s="74">
        <v>39</v>
      </c>
      <c r="B42" s="65">
        <v>9</v>
      </c>
      <c r="C42" s="75">
        <f>INT(产出预期!M28)</f>
        <v>1680</v>
      </c>
      <c r="D42" s="75">
        <f ca="1" t="shared" ref="D42:V42" si="11">IFERROR(MATCH(D347*10,OFFSET($AS$339:$AS$388,0,D$335),1),0)</f>
        <v>27</v>
      </c>
      <c r="E42" s="75">
        <f ca="1" t="shared" si="11"/>
        <v>27</v>
      </c>
      <c r="F42" s="75">
        <f ca="1" t="shared" si="11"/>
        <v>27</v>
      </c>
      <c r="G42" s="75">
        <f ca="1" t="shared" si="11"/>
        <v>14</v>
      </c>
      <c r="H42" s="75">
        <f ca="1" t="shared" si="11"/>
        <v>14</v>
      </c>
      <c r="I42" s="75">
        <f ca="1" t="shared" si="11"/>
        <v>14</v>
      </c>
      <c r="J42" s="75">
        <f ca="1" t="shared" si="11"/>
        <v>14</v>
      </c>
      <c r="K42" s="75">
        <f ca="1" t="shared" si="11"/>
        <v>14</v>
      </c>
      <c r="L42" s="75">
        <f ca="1" t="shared" si="11"/>
        <v>12</v>
      </c>
      <c r="M42" s="75">
        <f ca="1" t="shared" si="11"/>
        <v>9</v>
      </c>
      <c r="N42" s="75">
        <f ca="1" t="shared" si="11"/>
        <v>8</v>
      </c>
      <c r="O42" s="75">
        <f ca="1" t="shared" si="11"/>
        <v>7</v>
      </c>
      <c r="P42" s="75">
        <f ca="1" t="shared" si="11"/>
        <v>6</v>
      </c>
      <c r="Q42" s="75">
        <f ca="1" t="shared" si="11"/>
        <v>6</v>
      </c>
      <c r="R42" s="75">
        <f ca="1" t="shared" si="11"/>
        <v>0</v>
      </c>
      <c r="S42" s="75">
        <f ca="1" t="shared" si="11"/>
        <v>0</v>
      </c>
      <c r="T42" s="75">
        <f ca="1" t="shared" si="11"/>
        <v>0</v>
      </c>
      <c r="U42" s="75">
        <f ca="1" t="shared" si="11"/>
        <v>0</v>
      </c>
      <c r="V42" s="75">
        <f ca="1" t="shared" si="11"/>
        <v>0</v>
      </c>
      <c r="W42" s="75">
        <f ca="1" t="shared" si="2"/>
        <v>0</v>
      </c>
      <c r="X42" s="75">
        <f ca="1" t="shared" si="3"/>
        <v>0</v>
      </c>
      <c r="Y42" s="75">
        <f ca="1" t="shared" si="4"/>
        <v>0</v>
      </c>
    </row>
    <row r="43" ht="16.5" spans="1:25">
      <c r="A43" s="74">
        <v>41</v>
      </c>
      <c r="B43" s="65">
        <v>10</v>
      </c>
      <c r="C43" s="75">
        <f>INT(产出预期!M29)</f>
        <v>1821</v>
      </c>
      <c r="D43" s="75">
        <f ca="1" t="shared" ref="D43:V43" si="12">IFERROR(MATCH(D348*10,OFFSET($AS$339:$AS$388,0,D$335),1),0)</f>
        <v>27</v>
      </c>
      <c r="E43" s="75">
        <f ca="1" t="shared" si="12"/>
        <v>27</v>
      </c>
      <c r="F43" s="75">
        <f ca="1" t="shared" si="12"/>
        <v>27</v>
      </c>
      <c r="G43" s="75">
        <f ca="1" t="shared" si="12"/>
        <v>14</v>
      </c>
      <c r="H43" s="75">
        <f ca="1" t="shared" si="12"/>
        <v>14</v>
      </c>
      <c r="I43" s="75">
        <f ca="1" t="shared" si="12"/>
        <v>14</v>
      </c>
      <c r="J43" s="75">
        <f ca="1" t="shared" si="12"/>
        <v>14</v>
      </c>
      <c r="K43" s="75">
        <f ca="1" t="shared" si="12"/>
        <v>14</v>
      </c>
      <c r="L43" s="75">
        <f ca="1" t="shared" si="12"/>
        <v>13</v>
      </c>
      <c r="M43" s="75">
        <f ca="1" t="shared" si="12"/>
        <v>9</v>
      </c>
      <c r="N43" s="75">
        <f ca="1" t="shared" si="12"/>
        <v>8</v>
      </c>
      <c r="O43" s="75">
        <f ca="1" t="shared" si="12"/>
        <v>8</v>
      </c>
      <c r="P43" s="75">
        <f ca="1" t="shared" si="12"/>
        <v>7</v>
      </c>
      <c r="Q43" s="75">
        <f ca="1" t="shared" si="12"/>
        <v>6</v>
      </c>
      <c r="R43" s="75">
        <f ca="1" t="shared" si="12"/>
        <v>0</v>
      </c>
      <c r="S43" s="75">
        <f ca="1" t="shared" si="12"/>
        <v>0</v>
      </c>
      <c r="T43" s="75">
        <f ca="1" t="shared" si="12"/>
        <v>0</v>
      </c>
      <c r="U43" s="75">
        <f ca="1" t="shared" si="12"/>
        <v>0</v>
      </c>
      <c r="V43" s="75">
        <f ca="1" t="shared" si="12"/>
        <v>0</v>
      </c>
      <c r="W43" s="75">
        <f ca="1" t="shared" si="2"/>
        <v>0</v>
      </c>
      <c r="X43" s="75">
        <f ca="1" t="shared" si="3"/>
        <v>0</v>
      </c>
      <c r="Y43" s="75">
        <f ca="1" t="shared" si="4"/>
        <v>0</v>
      </c>
    </row>
    <row r="44" ht="16.5" spans="1:25">
      <c r="A44" s="74">
        <v>43</v>
      </c>
      <c r="B44" s="65">
        <v>11</v>
      </c>
      <c r="C44" s="75">
        <f>INT(产出预期!M30)</f>
        <v>1946</v>
      </c>
      <c r="D44" s="75">
        <f ca="1" t="shared" ref="D44:V44" si="13">IFERROR(MATCH(D349*10,OFFSET($AS$339:$AS$388,0,D$335),1),0)</f>
        <v>28</v>
      </c>
      <c r="E44" s="75">
        <f ca="1" t="shared" si="13"/>
        <v>28</v>
      </c>
      <c r="F44" s="75">
        <f ca="1" t="shared" si="13"/>
        <v>28</v>
      </c>
      <c r="G44" s="75">
        <f ca="1" t="shared" si="13"/>
        <v>15</v>
      </c>
      <c r="H44" s="75">
        <f ca="1" t="shared" si="13"/>
        <v>15</v>
      </c>
      <c r="I44" s="75">
        <f ca="1" t="shared" si="13"/>
        <v>15</v>
      </c>
      <c r="J44" s="75">
        <f ca="1" t="shared" si="13"/>
        <v>15</v>
      </c>
      <c r="K44" s="75">
        <f ca="1" t="shared" si="13"/>
        <v>15</v>
      </c>
      <c r="L44" s="75">
        <f ca="1" t="shared" si="13"/>
        <v>13</v>
      </c>
      <c r="M44" s="75">
        <f ca="1" t="shared" si="13"/>
        <v>10</v>
      </c>
      <c r="N44" s="75">
        <f ca="1" t="shared" si="13"/>
        <v>9</v>
      </c>
      <c r="O44" s="75">
        <f ca="1" t="shared" si="13"/>
        <v>8</v>
      </c>
      <c r="P44" s="75">
        <f ca="1" t="shared" si="13"/>
        <v>7</v>
      </c>
      <c r="Q44" s="75">
        <f ca="1" t="shared" si="13"/>
        <v>7</v>
      </c>
      <c r="R44" s="75">
        <f ca="1" t="shared" si="13"/>
        <v>0</v>
      </c>
      <c r="S44" s="75">
        <f ca="1" t="shared" si="13"/>
        <v>0</v>
      </c>
      <c r="T44" s="75">
        <f ca="1" t="shared" si="13"/>
        <v>0</v>
      </c>
      <c r="U44" s="75">
        <f ca="1" t="shared" si="13"/>
        <v>0</v>
      </c>
      <c r="V44" s="75">
        <f ca="1" t="shared" si="13"/>
        <v>0</v>
      </c>
      <c r="W44" s="75">
        <f ca="1" t="shared" si="2"/>
        <v>0</v>
      </c>
      <c r="X44" s="75">
        <f ca="1" t="shared" si="3"/>
        <v>0</v>
      </c>
      <c r="Y44" s="75">
        <f ca="1" t="shared" si="4"/>
        <v>0</v>
      </c>
    </row>
    <row r="45" ht="16.5" spans="1:25">
      <c r="A45" s="74">
        <v>45</v>
      </c>
      <c r="B45" s="65">
        <v>12</v>
      </c>
      <c r="C45" s="75">
        <f>INT(产出预期!M31)</f>
        <v>2042</v>
      </c>
      <c r="D45" s="75">
        <f ca="1" t="shared" ref="D45:V45" si="14">IFERROR(MATCH(D350*10,OFFSET($AS$339:$AS$388,0,D$335),1),0)</f>
        <v>28</v>
      </c>
      <c r="E45" s="75">
        <f ca="1" t="shared" si="14"/>
        <v>28</v>
      </c>
      <c r="F45" s="75">
        <f ca="1" t="shared" si="14"/>
        <v>28</v>
      </c>
      <c r="G45" s="75">
        <f ca="1" t="shared" si="14"/>
        <v>15</v>
      </c>
      <c r="H45" s="75">
        <f ca="1" t="shared" si="14"/>
        <v>15</v>
      </c>
      <c r="I45" s="75">
        <f ca="1" t="shared" si="14"/>
        <v>15</v>
      </c>
      <c r="J45" s="75">
        <f ca="1" t="shared" si="14"/>
        <v>15</v>
      </c>
      <c r="K45" s="75">
        <f ca="1" t="shared" si="14"/>
        <v>15</v>
      </c>
      <c r="L45" s="75">
        <f ca="1" t="shared" si="14"/>
        <v>14</v>
      </c>
      <c r="M45" s="75">
        <f ca="1" t="shared" si="14"/>
        <v>10</v>
      </c>
      <c r="N45" s="75">
        <f ca="1" t="shared" si="14"/>
        <v>9</v>
      </c>
      <c r="O45" s="75">
        <f ca="1" t="shared" si="14"/>
        <v>8</v>
      </c>
      <c r="P45" s="75">
        <f ca="1" t="shared" si="14"/>
        <v>7</v>
      </c>
      <c r="Q45" s="75">
        <f ca="1" t="shared" si="14"/>
        <v>7</v>
      </c>
      <c r="R45" s="75">
        <f ca="1" t="shared" si="14"/>
        <v>0</v>
      </c>
      <c r="S45" s="75">
        <f ca="1" t="shared" si="14"/>
        <v>0</v>
      </c>
      <c r="T45" s="75">
        <f ca="1" t="shared" si="14"/>
        <v>0</v>
      </c>
      <c r="U45" s="75">
        <f ca="1" t="shared" si="14"/>
        <v>0</v>
      </c>
      <c r="V45" s="75">
        <f ca="1" t="shared" si="14"/>
        <v>0</v>
      </c>
      <c r="W45" s="75">
        <f ca="1" t="shared" si="2"/>
        <v>0</v>
      </c>
      <c r="X45" s="75">
        <f ca="1" t="shared" si="3"/>
        <v>0</v>
      </c>
      <c r="Y45" s="75">
        <f ca="1" t="shared" si="4"/>
        <v>0</v>
      </c>
    </row>
    <row r="46" ht="16.5" spans="1:25">
      <c r="A46" s="74">
        <v>47</v>
      </c>
      <c r="B46" s="65">
        <v>13</v>
      </c>
      <c r="C46" s="75">
        <f>INT(产出预期!M32)</f>
        <v>2153</v>
      </c>
      <c r="D46" s="75">
        <f ca="1" t="shared" ref="D46:V46" si="15">IFERROR(MATCH(D351*10,OFFSET($AS$339:$AS$388,0,D$335),1),0)</f>
        <v>29</v>
      </c>
      <c r="E46" s="75">
        <f ca="1" t="shared" si="15"/>
        <v>29</v>
      </c>
      <c r="F46" s="75">
        <f ca="1" t="shared" si="15"/>
        <v>29</v>
      </c>
      <c r="G46" s="75">
        <f ca="1" t="shared" si="15"/>
        <v>15</v>
      </c>
      <c r="H46" s="75">
        <f ca="1" t="shared" si="15"/>
        <v>15</v>
      </c>
      <c r="I46" s="75">
        <f ca="1" t="shared" si="15"/>
        <v>15</v>
      </c>
      <c r="J46" s="75">
        <f ca="1" t="shared" si="15"/>
        <v>15</v>
      </c>
      <c r="K46" s="75">
        <f ca="1" t="shared" si="15"/>
        <v>15</v>
      </c>
      <c r="L46" s="75">
        <f ca="1" t="shared" si="15"/>
        <v>14</v>
      </c>
      <c r="M46" s="75">
        <f ca="1" t="shared" si="15"/>
        <v>10</v>
      </c>
      <c r="N46" s="75">
        <f ca="1" t="shared" si="15"/>
        <v>9</v>
      </c>
      <c r="O46" s="75">
        <f ca="1" t="shared" si="15"/>
        <v>9</v>
      </c>
      <c r="P46" s="75">
        <f ca="1" t="shared" si="15"/>
        <v>8</v>
      </c>
      <c r="Q46" s="75">
        <f ca="1" t="shared" si="15"/>
        <v>7</v>
      </c>
      <c r="R46" s="75">
        <f ca="1" t="shared" si="15"/>
        <v>0</v>
      </c>
      <c r="S46" s="75">
        <f ca="1" t="shared" si="15"/>
        <v>0</v>
      </c>
      <c r="T46" s="75">
        <f ca="1" t="shared" si="15"/>
        <v>0</v>
      </c>
      <c r="U46" s="75">
        <f ca="1" t="shared" si="15"/>
        <v>0</v>
      </c>
      <c r="V46" s="75">
        <f ca="1" t="shared" si="15"/>
        <v>0</v>
      </c>
      <c r="W46" s="75">
        <f ca="1" t="shared" si="2"/>
        <v>0</v>
      </c>
      <c r="X46" s="75">
        <f ca="1" t="shared" si="3"/>
        <v>0</v>
      </c>
      <c r="Y46" s="75">
        <f ca="1" t="shared" si="4"/>
        <v>0</v>
      </c>
    </row>
    <row r="47" ht="16.5" spans="1:25">
      <c r="A47" s="74">
        <v>48</v>
      </c>
      <c r="B47" s="65">
        <v>14</v>
      </c>
      <c r="C47" s="75">
        <f>INT(产出预期!M33)</f>
        <v>2294</v>
      </c>
      <c r="D47" s="75">
        <f ca="1" t="shared" ref="D47:V47" si="16">IFERROR(MATCH(D352*10,OFFSET($AS$339:$AS$388,0,D$335),1),0)</f>
        <v>30</v>
      </c>
      <c r="E47" s="75">
        <f ca="1" t="shared" si="16"/>
        <v>30</v>
      </c>
      <c r="F47" s="75">
        <f ca="1" t="shared" si="16"/>
        <v>30</v>
      </c>
      <c r="G47" s="75">
        <f ca="1" t="shared" si="16"/>
        <v>16</v>
      </c>
      <c r="H47" s="75">
        <f ca="1" t="shared" si="16"/>
        <v>16</v>
      </c>
      <c r="I47" s="75">
        <f ca="1" t="shared" si="16"/>
        <v>16</v>
      </c>
      <c r="J47" s="75">
        <f ca="1" t="shared" si="16"/>
        <v>16</v>
      </c>
      <c r="K47" s="75">
        <f ca="1" t="shared" si="16"/>
        <v>16</v>
      </c>
      <c r="L47" s="75">
        <f ca="1" t="shared" si="16"/>
        <v>15</v>
      </c>
      <c r="M47" s="75">
        <f ca="1" t="shared" si="16"/>
        <v>10</v>
      </c>
      <c r="N47" s="75">
        <f ca="1" t="shared" si="16"/>
        <v>10</v>
      </c>
      <c r="O47" s="75">
        <f ca="1" t="shared" si="16"/>
        <v>9</v>
      </c>
      <c r="P47" s="75">
        <f ca="1" t="shared" si="16"/>
        <v>8</v>
      </c>
      <c r="Q47" s="75">
        <f ca="1" t="shared" si="16"/>
        <v>8</v>
      </c>
      <c r="R47" s="75">
        <f ca="1" t="shared" si="16"/>
        <v>0</v>
      </c>
      <c r="S47" s="75">
        <f ca="1" t="shared" si="16"/>
        <v>0</v>
      </c>
      <c r="T47" s="75">
        <f ca="1" t="shared" si="16"/>
        <v>0</v>
      </c>
      <c r="U47" s="75">
        <f ca="1" t="shared" si="16"/>
        <v>0</v>
      </c>
      <c r="V47" s="75">
        <f ca="1" t="shared" si="16"/>
        <v>0</v>
      </c>
      <c r="W47" s="75">
        <f ca="1" t="shared" si="2"/>
        <v>0</v>
      </c>
      <c r="X47" s="75">
        <f ca="1" t="shared" si="3"/>
        <v>0</v>
      </c>
      <c r="Y47" s="75">
        <f ca="1" t="shared" si="4"/>
        <v>0</v>
      </c>
    </row>
    <row r="48" ht="16.5" spans="1:25">
      <c r="A48" s="74">
        <v>50</v>
      </c>
      <c r="B48" s="65">
        <v>15</v>
      </c>
      <c r="C48" s="75">
        <f>INT(产出预期!M34)</f>
        <v>2394</v>
      </c>
      <c r="D48" s="75">
        <f ca="1" t="shared" ref="D48:V48" si="17">IFERROR(MATCH(D353*10,OFFSET($AS$339:$AS$388,0,D$335),1),0)</f>
        <v>30</v>
      </c>
      <c r="E48" s="75">
        <f ca="1" t="shared" si="17"/>
        <v>30</v>
      </c>
      <c r="F48" s="75">
        <f ca="1" t="shared" si="17"/>
        <v>30</v>
      </c>
      <c r="G48" s="75">
        <f ca="1" t="shared" si="17"/>
        <v>16</v>
      </c>
      <c r="H48" s="75">
        <f ca="1" t="shared" si="17"/>
        <v>16</v>
      </c>
      <c r="I48" s="75">
        <f ca="1" t="shared" si="17"/>
        <v>16</v>
      </c>
      <c r="J48" s="75">
        <f ca="1" t="shared" si="17"/>
        <v>16</v>
      </c>
      <c r="K48" s="75">
        <f ca="1" t="shared" si="17"/>
        <v>16</v>
      </c>
      <c r="L48" s="75">
        <f ca="1" t="shared" si="17"/>
        <v>16</v>
      </c>
      <c r="M48" s="75">
        <f ca="1" t="shared" si="17"/>
        <v>11</v>
      </c>
      <c r="N48" s="75">
        <f ca="1" t="shared" si="17"/>
        <v>10</v>
      </c>
      <c r="O48" s="75">
        <f ca="1" t="shared" si="17"/>
        <v>9</v>
      </c>
      <c r="P48" s="75">
        <f ca="1" t="shared" si="17"/>
        <v>8</v>
      </c>
      <c r="Q48" s="75">
        <f ca="1" t="shared" si="17"/>
        <v>8</v>
      </c>
      <c r="R48" s="75">
        <f ca="1" t="shared" si="17"/>
        <v>5</v>
      </c>
      <c r="S48" s="75">
        <f ca="1" t="shared" si="17"/>
        <v>0</v>
      </c>
      <c r="T48" s="75">
        <f ca="1" t="shared" si="17"/>
        <v>0</v>
      </c>
      <c r="U48" s="75">
        <f ca="1" t="shared" si="17"/>
        <v>0</v>
      </c>
      <c r="V48" s="75">
        <f ca="1" t="shared" si="17"/>
        <v>0</v>
      </c>
      <c r="W48" s="75">
        <f ca="1" t="shared" si="2"/>
        <v>0</v>
      </c>
      <c r="X48" s="75">
        <f ca="1" t="shared" si="3"/>
        <v>0</v>
      </c>
      <c r="Y48" s="75">
        <f ca="1" t="shared" si="4"/>
        <v>0</v>
      </c>
    </row>
    <row r="49" ht="16.5" spans="1:25">
      <c r="A49" s="74">
        <v>51</v>
      </c>
      <c r="B49" s="65">
        <v>16</v>
      </c>
      <c r="C49" s="75">
        <f>INT(产出预期!M35)</f>
        <v>2494</v>
      </c>
      <c r="D49" s="75">
        <f ca="1" t="shared" ref="D49:V49" si="18">IFERROR(MATCH(D354*10,OFFSET($AS$339:$AS$388,0,D$335),1),0)</f>
        <v>30</v>
      </c>
      <c r="E49" s="75">
        <f ca="1" t="shared" si="18"/>
        <v>30</v>
      </c>
      <c r="F49" s="75">
        <f ca="1" t="shared" si="18"/>
        <v>30</v>
      </c>
      <c r="G49" s="75">
        <f ca="1" t="shared" si="18"/>
        <v>17</v>
      </c>
      <c r="H49" s="75">
        <f ca="1" t="shared" si="18"/>
        <v>17</v>
      </c>
      <c r="I49" s="75">
        <f ca="1" t="shared" si="18"/>
        <v>17</v>
      </c>
      <c r="J49" s="75">
        <f ca="1" t="shared" si="18"/>
        <v>17</v>
      </c>
      <c r="K49" s="75">
        <f ca="1" t="shared" si="18"/>
        <v>17</v>
      </c>
      <c r="L49" s="75">
        <f ca="1" t="shared" si="18"/>
        <v>16</v>
      </c>
      <c r="M49" s="75">
        <f ca="1" t="shared" si="18"/>
        <v>11</v>
      </c>
      <c r="N49" s="75">
        <f ca="1" t="shared" si="18"/>
        <v>10</v>
      </c>
      <c r="O49" s="75">
        <f ca="1" t="shared" si="18"/>
        <v>10</v>
      </c>
      <c r="P49" s="75">
        <f ca="1" t="shared" si="18"/>
        <v>9</v>
      </c>
      <c r="Q49" s="75">
        <f ca="1" t="shared" si="18"/>
        <v>8</v>
      </c>
      <c r="R49" s="75">
        <f ca="1" t="shared" si="18"/>
        <v>5</v>
      </c>
      <c r="S49" s="75">
        <f ca="1" t="shared" si="18"/>
        <v>0</v>
      </c>
      <c r="T49" s="75">
        <f ca="1" t="shared" si="18"/>
        <v>0</v>
      </c>
      <c r="U49" s="75">
        <f ca="1" t="shared" si="18"/>
        <v>0</v>
      </c>
      <c r="V49" s="75">
        <f ca="1" t="shared" si="18"/>
        <v>0</v>
      </c>
      <c r="W49" s="75">
        <f ca="1" t="shared" si="2"/>
        <v>0</v>
      </c>
      <c r="X49" s="75">
        <f ca="1" t="shared" si="3"/>
        <v>0</v>
      </c>
      <c r="Y49" s="75">
        <f ca="1" t="shared" si="4"/>
        <v>0</v>
      </c>
    </row>
    <row r="50" ht="16.5" spans="1:25">
      <c r="A50" s="74">
        <v>53</v>
      </c>
      <c r="B50" s="65">
        <v>17</v>
      </c>
      <c r="C50" s="75">
        <f>INT(产出预期!M36)</f>
        <v>2594</v>
      </c>
      <c r="D50" s="75">
        <f ca="1" t="shared" ref="D50:V50" si="19">IFERROR(MATCH(D355*10,OFFSET($AS$339:$AS$388,0,D$335),1),0)</f>
        <v>30</v>
      </c>
      <c r="E50" s="75">
        <f ca="1" t="shared" si="19"/>
        <v>30</v>
      </c>
      <c r="F50" s="75">
        <f ca="1" t="shared" si="19"/>
        <v>30</v>
      </c>
      <c r="G50" s="75">
        <f ca="1" t="shared" si="19"/>
        <v>17</v>
      </c>
      <c r="H50" s="75">
        <f ca="1" t="shared" si="19"/>
        <v>17</v>
      </c>
      <c r="I50" s="75">
        <f ca="1" t="shared" si="19"/>
        <v>17</v>
      </c>
      <c r="J50" s="75">
        <f ca="1" t="shared" si="19"/>
        <v>17</v>
      </c>
      <c r="K50" s="75">
        <f ca="1" t="shared" si="19"/>
        <v>17</v>
      </c>
      <c r="L50" s="75">
        <f ca="1" t="shared" si="19"/>
        <v>16</v>
      </c>
      <c r="M50" s="75">
        <f ca="1" t="shared" si="19"/>
        <v>11</v>
      </c>
      <c r="N50" s="75">
        <f ca="1" t="shared" si="19"/>
        <v>10</v>
      </c>
      <c r="O50" s="75">
        <f ca="1" t="shared" si="19"/>
        <v>10</v>
      </c>
      <c r="P50" s="75">
        <f ca="1" t="shared" si="19"/>
        <v>9</v>
      </c>
      <c r="Q50" s="75">
        <f ca="1" t="shared" si="19"/>
        <v>9</v>
      </c>
      <c r="R50" s="75">
        <f ca="1" t="shared" si="19"/>
        <v>5</v>
      </c>
      <c r="S50" s="75">
        <f ca="1" t="shared" si="19"/>
        <v>0</v>
      </c>
      <c r="T50" s="75">
        <f ca="1" t="shared" si="19"/>
        <v>0</v>
      </c>
      <c r="U50" s="75">
        <f ca="1" t="shared" si="19"/>
        <v>0</v>
      </c>
      <c r="V50" s="75">
        <f ca="1" t="shared" si="19"/>
        <v>0</v>
      </c>
      <c r="W50" s="75">
        <f ca="1" t="shared" si="2"/>
        <v>0</v>
      </c>
      <c r="X50" s="75">
        <f ca="1" t="shared" si="3"/>
        <v>0</v>
      </c>
      <c r="Y50" s="75">
        <f ca="1" t="shared" si="4"/>
        <v>0</v>
      </c>
    </row>
    <row r="51" ht="16.5" spans="1:25">
      <c r="A51" s="74">
        <v>54</v>
      </c>
      <c r="B51" s="65">
        <v>18</v>
      </c>
      <c r="C51" s="75">
        <f>INT(产出预期!M37)</f>
        <v>2694</v>
      </c>
      <c r="D51" s="75">
        <f ca="1" t="shared" ref="D51:V51" si="20">IFERROR(MATCH(D356*10,OFFSET($AS$339:$AS$388,0,D$335),1),0)</f>
        <v>30</v>
      </c>
      <c r="E51" s="75">
        <f ca="1" t="shared" si="20"/>
        <v>30</v>
      </c>
      <c r="F51" s="75">
        <f ca="1" t="shared" si="20"/>
        <v>30</v>
      </c>
      <c r="G51" s="75">
        <f ca="1" t="shared" si="20"/>
        <v>17</v>
      </c>
      <c r="H51" s="75">
        <f ca="1" t="shared" si="20"/>
        <v>17</v>
      </c>
      <c r="I51" s="75">
        <f ca="1" t="shared" si="20"/>
        <v>17</v>
      </c>
      <c r="J51" s="75">
        <f ca="1" t="shared" si="20"/>
        <v>17</v>
      </c>
      <c r="K51" s="75">
        <f ca="1" t="shared" si="20"/>
        <v>17</v>
      </c>
      <c r="L51" s="75">
        <f ca="1" t="shared" si="20"/>
        <v>16</v>
      </c>
      <c r="M51" s="75">
        <f ca="1" t="shared" si="20"/>
        <v>12</v>
      </c>
      <c r="N51" s="75">
        <f ca="1" t="shared" si="20"/>
        <v>10</v>
      </c>
      <c r="O51" s="75">
        <f ca="1" t="shared" si="20"/>
        <v>10</v>
      </c>
      <c r="P51" s="75">
        <f ca="1" t="shared" si="20"/>
        <v>9</v>
      </c>
      <c r="Q51" s="75">
        <f ca="1" t="shared" si="20"/>
        <v>9</v>
      </c>
      <c r="R51" s="75">
        <f ca="1" t="shared" si="20"/>
        <v>6</v>
      </c>
      <c r="S51" s="75">
        <f ca="1" t="shared" si="20"/>
        <v>0</v>
      </c>
      <c r="T51" s="75">
        <f ca="1" t="shared" si="20"/>
        <v>0</v>
      </c>
      <c r="U51" s="75">
        <f ca="1" t="shared" si="20"/>
        <v>0</v>
      </c>
      <c r="V51" s="75">
        <f ca="1" t="shared" si="20"/>
        <v>0</v>
      </c>
      <c r="W51" s="75">
        <f ca="1" t="shared" si="2"/>
        <v>0</v>
      </c>
      <c r="X51" s="75">
        <f ca="1" t="shared" si="3"/>
        <v>0</v>
      </c>
      <c r="Y51" s="75">
        <f ca="1" t="shared" si="4"/>
        <v>0</v>
      </c>
    </row>
    <row r="52" ht="16.5" spans="1:25">
      <c r="A52" s="74">
        <v>55</v>
      </c>
      <c r="B52" s="65">
        <v>19</v>
      </c>
      <c r="C52" s="75">
        <f>INT(产出预期!M38)</f>
        <v>2794</v>
      </c>
      <c r="D52" s="75">
        <f ca="1" t="shared" ref="D52:V52" si="21">IFERROR(MATCH(D357*10,OFFSET($AS$339:$AS$388,0,D$335),1),0)</f>
        <v>31</v>
      </c>
      <c r="E52" s="75">
        <f ca="1" t="shared" si="21"/>
        <v>31</v>
      </c>
      <c r="F52" s="75">
        <f ca="1" t="shared" si="21"/>
        <v>31</v>
      </c>
      <c r="G52" s="75">
        <f ca="1" t="shared" si="21"/>
        <v>17</v>
      </c>
      <c r="H52" s="75">
        <f ca="1" t="shared" si="21"/>
        <v>17</v>
      </c>
      <c r="I52" s="75">
        <f ca="1" t="shared" si="21"/>
        <v>17</v>
      </c>
      <c r="J52" s="75">
        <f ca="1" t="shared" si="21"/>
        <v>17</v>
      </c>
      <c r="K52" s="75">
        <f ca="1" t="shared" si="21"/>
        <v>17</v>
      </c>
      <c r="L52" s="75">
        <f ca="1" t="shared" si="21"/>
        <v>17</v>
      </c>
      <c r="M52" s="75">
        <f ca="1" t="shared" si="21"/>
        <v>12</v>
      </c>
      <c r="N52" s="75">
        <f ca="1" t="shared" si="21"/>
        <v>10</v>
      </c>
      <c r="O52" s="75">
        <f ca="1" t="shared" si="21"/>
        <v>10</v>
      </c>
      <c r="P52" s="75">
        <f ca="1" t="shared" si="21"/>
        <v>9</v>
      </c>
      <c r="Q52" s="75">
        <f ca="1" t="shared" si="21"/>
        <v>9</v>
      </c>
      <c r="R52" s="75">
        <f ca="1" t="shared" si="21"/>
        <v>6</v>
      </c>
      <c r="S52" s="75">
        <f ca="1" t="shared" si="21"/>
        <v>0</v>
      </c>
      <c r="T52" s="75">
        <f ca="1" t="shared" si="21"/>
        <v>0</v>
      </c>
      <c r="U52" s="75">
        <f ca="1" t="shared" si="21"/>
        <v>0</v>
      </c>
      <c r="V52" s="75">
        <f ca="1" t="shared" si="21"/>
        <v>0</v>
      </c>
      <c r="W52" s="75">
        <f ca="1" t="shared" si="2"/>
        <v>0</v>
      </c>
      <c r="X52" s="75">
        <f ca="1" t="shared" si="3"/>
        <v>0</v>
      </c>
      <c r="Y52" s="75">
        <f ca="1" t="shared" si="4"/>
        <v>0</v>
      </c>
    </row>
    <row r="53" ht="16.5" spans="1:25">
      <c r="A53" s="74">
        <v>56</v>
      </c>
      <c r="B53" s="65">
        <v>20</v>
      </c>
      <c r="C53" s="75">
        <f>INT(产出预期!M39)</f>
        <v>2894</v>
      </c>
      <c r="D53" s="75">
        <f ca="1" t="shared" ref="D53:V53" si="22">IFERROR(MATCH(D358*10,OFFSET($AS$339:$AS$388,0,D$335),1),0)</f>
        <v>31</v>
      </c>
      <c r="E53" s="75">
        <f ca="1" t="shared" si="22"/>
        <v>31</v>
      </c>
      <c r="F53" s="75">
        <f ca="1" t="shared" si="22"/>
        <v>31</v>
      </c>
      <c r="G53" s="75">
        <f ca="1" t="shared" si="22"/>
        <v>18</v>
      </c>
      <c r="H53" s="75">
        <f ca="1" t="shared" si="22"/>
        <v>18</v>
      </c>
      <c r="I53" s="75">
        <f ca="1" t="shared" si="22"/>
        <v>18</v>
      </c>
      <c r="J53" s="75">
        <f ca="1" t="shared" si="22"/>
        <v>18</v>
      </c>
      <c r="K53" s="75">
        <f ca="1" t="shared" si="22"/>
        <v>18</v>
      </c>
      <c r="L53" s="75">
        <f ca="1" t="shared" si="22"/>
        <v>17</v>
      </c>
      <c r="M53" s="75">
        <f ca="1" t="shared" si="22"/>
        <v>12</v>
      </c>
      <c r="N53" s="75">
        <f ca="1" t="shared" si="22"/>
        <v>11</v>
      </c>
      <c r="O53" s="75">
        <f ca="1" t="shared" si="22"/>
        <v>10</v>
      </c>
      <c r="P53" s="75">
        <f ca="1" t="shared" si="22"/>
        <v>10</v>
      </c>
      <c r="Q53" s="75">
        <f ca="1" t="shared" si="22"/>
        <v>9</v>
      </c>
      <c r="R53" s="75">
        <f ca="1" t="shared" si="22"/>
        <v>6</v>
      </c>
      <c r="S53" s="75">
        <f ca="1" t="shared" si="22"/>
        <v>5</v>
      </c>
      <c r="T53" s="75">
        <f ca="1" t="shared" si="22"/>
        <v>0</v>
      </c>
      <c r="U53" s="75">
        <f ca="1" t="shared" si="22"/>
        <v>0</v>
      </c>
      <c r="V53" s="75">
        <f ca="1" t="shared" si="22"/>
        <v>0</v>
      </c>
      <c r="W53" s="75">
        <f ca="1" t="shared" si="2"/>
        <v>0</v>
      </c>
      <c r="X53" s="75">
        <f ca="1" t="shared" si="3"/>
        <v>0</v>
      </c>
      <c r="Y53" s="75">
        <f ca="1" t="shared" si="4"/>
        <v>0</v>
      </c>
    </row>
    <row r="54" ht="16.5" spans="1:25">
      <c r="A54" s="74">
        <v>57</v>
      </c>
      <c r="B54" s="65">
        <v>21</v>
      </c>
      <c r="C54" s="75">
        <f>INT(产出预期!M40)</f>
        <v>3636</v>
      </c>
      <c r="D54" s="75">
        <f ca="1" t="shared" ref="D54:V54" si="23">IFERROR(MATCH(D359*10,OFFSET($AS$339:$AS$388,0,D$335),1),0)</f>
        <v>32</v>
      </c>
      <c r="E54" s="75">
        <f ca="1" t="shared" si="23"/>
        <v>32</v>
      </c>
      <c r="F54" s="75">
        <f ca="1" t="shared" si="23"/>
        <v>32</v>
      </c>
      <c r="G54" s="75">
        <f ca="1" t="shared" si="23"/>
        <v>20</v>
      </c>
      <c r="H54" s="75">
        <f ca="1" t="shared" si="23"/>
        <v>20</v>
      </c>
      <c r="I54" s="75">
        <f ca="1" t="shared" si="23"/>
        <v>20</v>
      </c>
      <c r="J54" s="75">
        <f ca="1" t="shared" si="23"/>
        <v>20</v>
      </c>
      <c r="K54" s="75">
        <f ca="1" t="shared" si="23"/>
        <v>20</v>
      </c>
      <c r="L54" s="75">
        <f ca="1" t="shared" si="23"/>
        <v>19</v>
      </c>
      <c r="M54" s="75">
        <f ca="1" t="shared" si="23"/>
        <v>13</v>
      </c>
      <c r="N54" s="75">
        <f ca="1" t="shared" si="23"/>
        <v>11</v>
      </c>
      <c r="O54" s="75">
        <f ca="1" t="shared" si="23"/>
        <v>11</v>
      </c>
      <c r="P54" s="75">
        <f ca="1" t="shared" si="23"/>
        <v>11</v>
      </c>
      <c r="Q54" s="75">
        <f ca="1" t="shared" si="23"/>
        <v>10</v>
      </c>
      <c r="R54" s="75">
        <f ca="1" t="shared" si="23"/>
        <v>8</v>
      </c>
      <c r="S54" s="75">
        <f ca="1" t="shared" si="23"/>
        <v>7</v>
      </c>
      <c r="T54" s="75">
        <f ca="1" t="shared" si="23"/>
        <v>6</v>
      </c>
      <c r="U54" s="75">
        <f ca="1" t="shared" si="23"/>
        <v>6</v>
      </c>
      <c r="V54" s="75">
        <f ca="1" t="shared" si="23"/>
        <v>0</v>
      </c>
      <c r="W54" s="75">
        <f ca="1" t="shared" si="2"/>
        <v>0</v>
      </c>
      <c r="X54" s="75">
        <f ca="1" t="shared" si="3"/>
        <v>0</v>
      </c>
      <c r="Y54" s="75">
        <f ca="1" t="shared" si="4"/>
        <v>0</v>
      </c>
    </row>
    <row r="55" ht="16.5" spans="1:25">
      <c r="A55" s="74">
        <v>58</v>
      </c>
      <c r="B55" s="65">
        <v>22</v>
      </c>
      <c r="C55" s="75">
        <f>INT(产出预期!M41)</f>
        <v>3746</v>
      </c>
      <c r="D55" s="75">
        <f ca="1" t="shared" ref="D55:V55" si="24">IFERROR(MATCH(D360*10,OFFSET($AS$339:$AS$388,0,D$335),1),0)</f>
        <v>33</v>
      </c>
      <c r="E55" s="75">
        <f ca="1" t="shared" si="24"/>
        <v>33</v>
      </c>
      <c r="F55" s="75">
        <f ca="1" t="shared" si="24"/>
        <v>33</v>
      </c>
      <c r="G55" s="75">
        <f ca="1" t="shared" si="24"/>
        <v>20</v>
      </c>
      <c r="H55" s="75">
        <f ca="1" t="shared" si="24"/>
        <v>20</v>
      </c>
      <c r="I55" s="75">
        <f ca="1" t="shared" si="24"/>
        <v>20</v>
      </c>
      <c r="J55" s="75">
        <f ca="1" t="shared" si="24"/>
        <v>20</v>
      </c>
      <c r="K55" s="75">
        <f ca="1" t="shared" si="24"/>
        <v>20</v>
      </c>
      <c r="L55" s="75">
        <f ca="1" t="shared" si="24"/>
        <v>20</v>
      </c>
      <c r="M55" s="75">
        <f ca="1" t="shared" si="24"/>
        <v>14</v>
      </c>
      <c r="N55" s="75">
        <f ca="1" t="shared" si="24"/>
        <v>12</v>
      </c>
      <c r="O55" s="75">
        <f ca="1" t="shared" si="24"/>
        <v>11</v>
      </c>
      <c r="P55" s="75">
        <f ca="1" t="shared" si="24"/>
        <v>11</v>
      </c>
      <c r="Q55" s="75">
        <f ca="1" t="shared" si="24"/>
        <v>11</v>
      </c>
      <c r="R55" s="75">
        <f ca="1" t="shared" si="24"/>
        <v>8</v>
      </c>
      <c r="S55" s="75">
        <f ca="1" t="shared" si="24"/>
        <v>7</v>
      </c>
      <c r="T55" s="75">
        <f ca="1" t="shared" si="24"/>
        <v>6</v>
      </c>
      <c r="U55" s="75">
        <f ca="1" t="shared" si="24"/>
        <v>6</v>
      </c>
      <c r="V55" s="75">
        <f ca="1" t="shared" si="24"/>
        <v>0</v>
      </c>
      <c r="W55" s="75">
        <f ca="1" t="shared" si="2"/>
        <v>0</v>
      </c>
      <c r="X55" s="75">
        <f ca="1" t="shared" si="3"/>
        <v>0</v>
      </c>
      <c r="Y55" s="75">
        <f ca="1" t="shared" si="4"/>
        <v>0</v>
      </c>
    </row>
    <row r="56" ht="16.5" spans="1:25">
      <c r="A56" s="74">
        <v>59</v>
      </c>
      <c r="B56" s="65">
        <v>23</v>
      </c>
      <c r="C56" s="75">
        <f>INT(产出预期!M42)</f>
        <v>3856</v>
      </c>
      <c r="D56" s="75">
        <f ca="1" t="shared" ref="D56:V56" si="25">IFERROR(MATCH(D361*10,OFFSET($AS$339:$AS$388,0,D$335),1),0)</f>
        <v>33</v>
      </c>
      <c r="E56" s="75">
        <f ca="1" t="shared" si="25"/>
        <v>33</v>
      </c>
      <c r="F56" s="75">
        <f ca="1" t="shared" si="25"/>
        <v>33</v>
      </c>
      <c r="G56" s="75">
        <f ca="1" t="shared" si="25"/>
        <v>21</v>
      </c>
      <c r="H56" s="75">
        <f ca="1" t="shared" si="25"/>
        <v>21</v>
      </c>
      <c r="I56" s="75">
        <f ca="1" t="shared" si="25"/>
        <v>21</v>
      </c>
      <c r="J56" s="75">
        <f ca="1" t="shared" si="25"/>
        <v>21</v>
      </c>
      <c r="K56" s="75">
        <f ca="1" t="shared" si="25"/>
        <v>21</v>
      </c>
      <c r="L56" s="75">
        <f ca="1" t="shared" si="25"/>
        <v>20</v>
      </c>
      <c r="M56" s="75">
        <f ca="1" t="shared" si="25"/>
        <v>14</v>
      </c>
      <c r="N56" s="75">
        <f ca="1" t="shared" si="25"/>
        <v>13</v>
      </c>
      <c r="O56" s="75">
        <f ca="1" t="shared" si="25"/>
        <v>11</v>
      </c>
      <c r="P56" s="75">
        <f ca="1" t="shared" si="25"/>
        <v>11</v>
      </c>
      <c r="Q56" s="75">
        <f ca="1" t="shared" si="25"/>
        <v>11</v>
      </c>
      <c r="R56" s="75">
        <f ca="1" t="shared" si="25"/>
        <v>9</v>
      </c>
      <c r="S56" s="75">
        <f ca="1" t="shared" si="25"/>
        <v>7</v>
      </c>
      <c r="T56" s="75">
        <f ca="1" t="shared" si="25"/>
        <v>6</v>
      </c>
      <c r="U56" s="75">
        <f ca="1" t="shared" si="25"/>
        <v>6</v>
      </c>
      <c r="V56" s="75">
        <f ca="1" t="shared" si="25"/>
        <v>0</v>
      </c>
      <c r="W56" s="75">
        <f ca="1" t="shared" si="2"/>
        <v>0</v>
      </c>
      <c r="X56" s="75">
        <f ca="1" t="shared" si="3"/>
        <v>0</v>
      </c>
      <c r="Y56" s="75">
        <f ca="1" t="shared" si="4"/>
        <v>0</v>
      </c>
    </row>
    <row r="57" ht="16.5" spans="1:25">
      <c r="A57" s="74">
        <v>60</v>
      </c>
      <c r="B57" s="65">
        <v>24</v>
      </c>
      <c r="C57" s="75">
        <f>INT(产出预期!M43)</f>
        <v>3966</v>
      </c>
      <c r="D57" s="75">
        <f ca="1" t="shared" ref="D57:V57" si="26">IFERROR(MATCH(D362*10,OFFSET($AS$339:$AS$388,0,D$335),1),0)</f>
        <v>33</v>
      </c>
      <c r="E57" s="75">
        <f ca="1" t="shared" si="26"/>
        <v>33</v>
      </c>
      <c r="F57" s="75">
        <f ca="1" t="shared" si="26"/>
        <v>33</v>
      </c>
      <c r="G57" s="75">
        <f ca="1" t="shared" si="26"/>
        <v>21</v>
      </c>
      <c r="H57" s="75">
        <f ca="1" t="shared" si="26"/>
        <v>21</v>
      </c>
      <c r="I57" s="75">
        <f ca="1" t="shared" si="26"/>
        <v>21</v>
      </c>
      <c r="J57" s="75">
        <f ca="1" t="shared" si="26"/>
        <v>21</v>
      </c>
      <c r="K57" s="75">
        <f ca="1" t="shared" si="26"/>
        <v>21</v>
      </c>
      <c r="L57" s="75">
        <f ca="1" t="shared" si="26"/>
        <v>20</v>
      </c>
      <c r="M57" s="75">
        <f ca="1" t="shared" si="26"/>
        <v>14</v>
      </c>
      <c r="N57" s="75">
        <f ca="1" t="shared" si="26"/>
        <v>13</v>
      </c>
      <c r="O57" s="75">
        <f ca="1" t="shared" si="26"/>
        <v>12</v>
      </c>
      <c r="P57" s="75">
        <f ca="1" t="shared" si="26"/>
        <v>11</v>
      </c>
      <c r="Q57" s="75">
        <f ca="1" t="shared" si="26"/>
        <v>11</v>
      </c>
      <c r="R57" s="75">
        <f ca="1" t="shared" si="26"/>
        <v>9</v>
      </c>
      <c r="S57" s="75">
        <f ca="1" t="shared" si="26"/>
        <v>8</v>
      </c>
      <c r="T57" s="75">
        <f ca="1" t="shared" si="26"/>
        <v>7</v>
      </c>
      <c r="U57" s="75">
        <f ca="1" t="shared" si="26"/>
        <v>7</v>
      </c>
      <c r="V57" s="75">
        <f ca="1" t="shared" si="26"/>
        <v>0</v>
      </c>
      <c r="W57" s="75">
        <f ca="1" t="shared" si="2"/>
        <v>0</v>
      </c>
      <c r="X57" s="75">
        <f ca="1" t="shared" si="3"/>
        <v>0</v>
      </c>
      <c r="Y57" s="75">
        <f ca="1" t="shared" si="4"/>
        <v>0</v>
      </c>
    </row>
    <row r="58" ht="16.5" spans="1:25">
      <c r="A58" s="74">
        <v>61</v>
      </c>
      <c r="B58" s="65">
        <v>25</v>
      </c>
      <c r="C58" s="75">
        <f>INT(产出预期!M44)</f>
        <v>4076</v>
      </c>
      <c r="D58" s="75">
        <f ca="1" t="shared" ref="D58:V58" si="27">IFERROR(MATCH(D363*10,OFFSET($AS$339:$AS$388,0,D$335),1),0)</f>
        <v>33</v>
      </c>
      <c r="E58" s="75">
        <f ca="1" t="shared" si="27"/>
        <v>33</v>
      </c>
      <c r="F58" s="75">
        <f ca="1" t="shared" si="27"/>
        <v>33</v>
      </c>
      <c r="G58" s="75">
        <f ca="1" t="shared" si="27"/>
        <v>21</v>
      </c>
      <c r="H58" s="75">
        <f ca="1" t="shared" si="27"/>
        <v>21</v>
      </c>
      <c r="I58" s="75">
        <f ca="1" t="shared" si="27"/>
        <v>21</v>
      </c>
      <c r="J58" s="75">
        <f ca="1" t="shared" si="27"/>
        <v>21</v>
      </c>
      <c r="K58" s="75">
        <f ca="1" t="shared" si="27"/>
        <v>21</v>
      </c>
      <c r="L58" s="75">
        <f ca="1" t="shared" si="27"/>
        <v>20</v>
      </c>
      <c r="M58" s="75">
        <f ca="1" t="shared" si="27"/>
        <v>14</v>
      </c>
      <c r="N58" s="75">
        <f ca="1" t="shared" si="27"/>
        <v>13</v>
      </c>
      <c r="O58" s="75">
        <f ca="1" t="shared" si="27"/>
        <v>13</v>
      </c>
      <c r="P58" s="75">
        <f ca="1" t="shared" si="27"/>
        <v>11</v>
      </c>
      <c r="Q58" s="75">
        <f ca="1" t="shared" si="27"/>
        <v>11</v>
      </c>
      <c r="R58" s="75">
        <f ca="1" t="shared" si="27"/>
        <v>9</v>
      </c>
      <c r="S58" s="75">
        <f ca="1" t="shared" si="27"/>
        <v>8</v>
      </c>
      <c r="T58" s="75">
        <f ca="1" t="shared" si="27"/>
        <v>7</v>
      </c>
      <c r="U58" s="75">
        <f ca="1" t="shared" si="27"/>
        <v>7</v>
      </c>
      <c r="V58" s="75">
        <f ca="1" t="shared" si="27"/>
        <v>0</v>
      </c>
      <c r="W58" s="75">
        <f ca="1" t="shared" si="2"/>
        <v>0</v>
      </c>
      <c r="X58" s="75">
        <f ca="1" t="shared" si="3"/>
        <v>0</v>
      </c>
      <c r="Y58" s="75">
        <f ca="1" t="shared" si="4"/>
        <v>0</v>
      </c>
    </row>
    <row r="59" ht="16.5" spans="1:25">
      <c r="A59" s="74">
        <v>62</v>
      </c>
      <c r="B59" s="65">
        <v>26</v>
      </c>
      <c r="C59" s="75">
        <f>INT(产出预期!M45)</f>
        <v>4186</v>
      </c>
      <c r="D59" s="75">
        <f ca="1" t="shared" ref="D59:V59" si="28">IFERROR(MATCH(D364*10,OFFSET($AS$339:$AS$388,0,D$335),1),0)</f>
        <v>33</v>
      </c>
      <c r="E59" s="75">
        <f ca="1" t="shared" si="28"/>
        <v>33</v>
      </c>
      <c r="F59" s="75">
        <f ca="1" t="shared" si="28"/>
        <v>33</v>
      </c>
      <c r="G59" s="75">
        <f ca="1" t="shared" si="28"/>
        <v>21</v>
      </c>
      <c r="H59" s="75">
        <f ca="1" t="shared" si="28"/>
        <v>21</v>
      </c>
      <c r="I59" s="75">
        <f ca="1" t="shared" si="28"/>
        <v>21</v>
      </c>
      <c r="J59" s="75">
        <f ca="1" t="shared" si="28"/>
        <v>21</v>
      </c>
      <c r="K59" s="75">
        <f ca="1" t="shared" si="28"/>
        <v>21</v>
      </c>
      <c r="L59" s="75">
        <f ca="1" t="shared" si="28"/>
        <v>21</v>
      </c>
      <c r="M59" s="75">
        <f ca="1" t="shared" si="28"/>
        <v>14</v>
      </c>
      <c r="N59" s="75">
        <f ca="1" t="shared" si="28"/>
        <v>13</v>
      </c>
      <c r="O59" s="75">
        <f ca="1" t="shared" si="28"/>
        <v>13</v>
      </c>
      <c r="P59" s="75">
        <f ca="1" t="shared" si="28"/>
        <v>12</v>
      </c>
      <c r="Q59" s="75">
        <f ca="1" t="shared" si="28"/>
        <v>11</v>
      </c>
      <c r="R59" s="75">
        <f ca="1" t="shared" si="28"/>
        <v>10</v>
      </c>
      <c r="S59" s="75">
        <f ca="1" t="shared" si="28"/>
        <v>8</v>
      </c>
      <c r="T59" s="75">
        <f ca="1" t="shared" si="28"/>
        <v>7</v>
      </c>
      <c r="U59" s="75">
        <f ca="1" t="shared" si="28"/>
        <v>7</v>
      </c>
      <c r="V59" s="75">
        <f ca="1" t="shared" si="28"/>
        <v>0</v>
      </c>
      <c r="W59" s="75">
        <f ca="1" t="shared" si="2"/>
        <v>0</v>
      </c>
      <c r="X59" s="75">
        <f ca="1" t="shared" si="3"/>
        <v>0</v>
      </c>
      <c r="Y59" s="75">
        <f ca="1" t="shared" si="4"/>
        <v>0</v>
      </c>
    </row>
    <row r="60" ht="16.5" spans="1:25">
      <c r="A60" s="74">
        <v>63</v>
      </c>
      <c r="B60" s="65">
        <v>27</v>
      </c>
      <c r="C60" s="75">
        <f>INT(产出预期!M46)</f>
        <v>4296</v>
      </c>
      <c r="D60" s="75">
        <f ca="1" t="shared" ref="D60:V60" si="29">IFERROR(MATCH(D365*10,OFFSET($AS$339:$AS$388,0,D$335),1),0)</f>
        <v>34</v>
      </c>
      <c r="E60" s="75">
        <f ca="1" t="shared" si="29"/>
        <v>34</v>
      </c>
      <c r="F60" s="75">
        <f ca="1" t="shared" si="29"/>
        <v>34</v>
      </c>
      <c r="G60" s="75">
        <f ca="1" t="shared" si="29"/>
        <v>22</v>
      </c>
      <c r="H60" s="75">
        <f ca="1" t="shared" si="29"/>
        <v>22</v>
      </c>
      <c r="I60" s="75">
        <f ca="1" t="shared" si="29"/>
        <v>22</v>
      </c>
      <c r="J60" s="75">
        <f ca="1" t="shared" si="29"/>
        <v>22</v>
      </c>
      <c r="K60" s="75">
        <f ca="1" t="shared" si="29"/>
        <v>22</v>
      </c>
      <c r="L60" s="75">
        <f ca="1" t="shared" si="29"/>
        <v>21</v>
      </c>
      <c r="M60" s="75">
        <f ca="1" t="shared" si="29"/>
        <v>15</v>
      </c>
      <c r="N60" s="75">
        <f ca="1" t="shared" si="29"/>
        <v>13</v>
      </c>
      <c r="O60" s="75">
        <f ca="1" t="shared" si="29"/>
        <v>13</v>
      </c>
      <c r="P60" s="75">
        <f ca="1" t="shared" si="29"/>
        <v>12</v>
      </c>
      <c r="Q60" s="75">
        <f ca="1" t="shared" si="29"/>
        <v>12</v>
      </c>
      <c r="R60" s="75">
        <f ca="1" t="shared" si="29"/>
        <v>10</v>
      </c>
      <c r="S60" s="75">
        <f ca="1" t="shared" si="29"/>
        <v>9</v>
      </c>
      <c r="T60" s="75">
        <f ca="1" t="shared" si="29"/>
        <v>7</v>
      </c>
      <c r="U60" s="75">
        <f ca="1" t="shared" si="29"/>
        <v>7</v>
      </c>
      <c r="V60" s="75">
        <f ca="1" t="shared" si="29"/>
        <v>5</v>
      </c>
      <c r="W60" s="75">
        <f ca="1" t="shared" si="2"/>
        <v>0</v>
      </c>
      <c r="X60" s="75">
        <f ca="1" t="shared" si="3"/>
        <v>0</v>
      </c>
      <c r="Y60" s="75">
        <f ca="1" t="shared" si="4"/>
        <v>0</v>
      </c>
    </row>
    <row r="61" ht="16.5" spans="1:25">
      <c r="A61" s="74">
        <v>64</v>
      </c>
      <c r="B61" s="65">
        <v>28</v>
      </c>
      <c r="C61" s="75">
        <f>INT(产出预期!M47)</f>
        <v>4406</v>
      </c>
      <c r="D61" s="75">
        <f ca="1" t="shared" ref="D61:V61" si="30">IFERROR(MATCH(D366*10,OFFSET($AS$339:$AS$388,0,D$335),1),0)</f>
        <v>34</v>
      </c>
      <c r="E61" s="75">
        <f ca="1" t="shared" si="30"/>
        <v>34</v>
      </c>
      <c r="F61" s="75">
        <f ca="1" t="shared" si="30"/>
        <v>34</v>
      </c>
      <c r="G61" s="75">
        <f ca="1" t="shared" si="30"/>
        <v>22</v>
      </c>
      <c r="H61" s="75">
        <f ca="1" t="shared" si="30"/>
        <v>22</v>
      </c>
      <c r="I61" s="75">
        <f ca="1" t="shared" si="30"/>
        <v>22</v>
      </c>
      <c r="J61" s="75">
        <f ca="1" t="shared" si="30"/>
        <v>22</v>
      </c>
      <c r="K61" s="75">
        <f ca="1" t="shared" si="30"/>
        <v>22</v>
      </c>
      <c r="L61" s="75">
        <f ca="1" t="shared" si="30"/>
        <v>21</v>
      </c>
      <c r="M61" s="75">
        <f ca="1" t="shared" si="30"/>
        <v>15</v>
      </c>
      <c r="N61" s="75">
        <f ca="1" t="shared" si="30"/>
        <v>13</v>
      </c>
      <c r="O61" s="75">
        <f ca="1" t="shared" si="30"/>
        <v>13</v>
      </c>
      <c r="P61" s="75">
        <f ca="1" t="shared" si="30"/>
        <v>13</v>
      </c>
      <c r="Q61" s="75">
        <f ca="1" t="shared" si="30"/>
        <v>12</v>
      </c>
      <c r="R61" s="75">
        <f ca="1" t="shared" si="30"/>
        <v>10</v>
      </c>
      <c r="S61" s="75">
        <f ca="1" t="shared" si="30"/>
        <v>9</v>
      </c>
      <c r="T61" s="75">
        <f ca="1" t="shared" si="30"/>
        <v>8</v>
      </c>
      <c r="U61" s="75">
        <f ca="1" t="shared" si="30"/>
        <v>8</v>
      </c>
      <c r="V61" s="75">
        <f ca="1" t="shared" si="30"/>
        <v>5</v>
      </c>
      <c r="W61" s="75">
        <f ca="1" t="shared" si="2"/>
        <v>0</v>
      </c>
      <c r="X61" s="75">
        <f ca="1" t="shared" si="3"/>
        <v>0</v>
      </c>
      <c r="Y61" s="75">
        <f ca="1" t="shared" si="4"/>
        <v>0</v>
      </c>
    </row>
    <row r="62" ht="16.5" spans="1:25">
      <c r="A62" s="74">
        <v>65</v>
      </c>
      <c r="B62" s="65">
        <v>29</v>
      </c>
      <c r="C62" s="75">
        <f>INT(产出预期!M48)</f>
        <v>4516</v>
      </c>
      <c r="D62" s="75">
        <f ca="1" t="shared" ref="D62:V62" si="31">IFERROR(MATCH(D367*10,OFFSET($AS$339:$AS$388,0,D$335),1),0)</f>
        <v>34</v>
      </c>
      <c r="E62" s="75">
        <f ca="1" t="shared" si="31"/>
        <v>34</v>
      </c>
      <c r="F62" s="75">
        <f ca="1" t="shared" si="31"/>
        <v>34</v>
      </c>
      <c r="G62" s="75">
        <f ca="1" t="shared" si="31"/>
        <v>22</v>
      </c>
      <c r="H62" s="75">
        <f ca="1" t="shared" si="31"/>
        <v>22</v>
      </c>
      <c r="I62" s="75">
        <f ca="1" t="shared" si="31"/>
        <v>22</v>
      </c>
      <c r="J62" s="75">
        <f ca="1" t="shared" si="31"/>
        <v>22</v>
      </c>
      <c r="K62" s="75">
        <f ca="1" t="shared" si="31"/>
        <v>22</v>
      </c>
      <c r="L62" s="75">
        <f ca="1" t="shared" si="31"/>
        <v>22</v>
      </c>
      <c r="M62" s="75">
        <f ca="1" t="shared" si="31"/>
        <v>15</v>
      </c>
      <c r="N62" s="75">
        <f ca="1" t="shared" si="31"/>
        <v>14</v>
      </c>
      <c r="O62" s="75">
        <f ca="1" t="shared" si="31"/>
        <v>13</v>
      </c>
      <c r="P62" s="75">
        <f ca="1" t="shared" si="31"/>
        <v>13</v>
      </c>
      <c r="Q62" s="75">
        <f ca="1" t="shared" si="31"/>
        <v>13</v>
      </c>
      <c r="R62" s="75">
        <f ca="1" t="shared" si="31"/>
        <v>10</v>
      </c>
      <c r="S62" s="75">
        <f ca="1" t="shared" si="31"/>
        <v>9</v>
      </c>
      <c r="T62" s="75">
        <f ca="1" t="shared" si="31"/>
        <v>8</v>
      </c>
      <c r="U62" s="75">
        <f ca="1" t="shared" si="31"/>
        <v>8</v>
      </c>
      <c r="V62" s="75">
        <f ca="1" t="shared" si="31"/>
        <v>5</v>
      </c>
      <c r="W62" s="75">
        <f ca="1" t="shared" si="2"/>
        <v>0</v>
      </c>
      <c r="X62" s="75">
        <f ca="1" t="shared" si="3"/>
        <v>0</v>
      </c>
      <c r="Y62" s="75">
        <f ca="1" t="shared" si="4"/>
        <v>0</v>
      </c>
    </row>
    <row r="63" ht="16.5" spans="1:25">
      <c r="A63" s="74">
        <v>66</v>
      </c>
      <c r="B63" s="65">
        <v>30</v>
      </c>
      <c r="C63" s="75">
        <f>INT(产出预期!M49)</f>
        <v>4626</v>
      </c>
      <c r="D63" s="75">
        <f ca="1" t="shared" ref="D63:V63" si="32">IFERROR(MATCH(D368*10,OFFSET($AS$339:$AS$388,0,D$335),1),0)</f>
        <v>34</v>
      </c>
      <c r="E63" s="75">
        <f ca="1" t="shared" si="32"/>
        <v>34</v>
      </c>
      <c r="F63" s="75">
        <f ca="1" t="shared" si="32"/>
        <v>34</v>
      </c>
      <c r="G63" s="75">
        <f ca="1" t="shared" si="32"/>
        <v>23</v>
      </c>
      <c r="H63" s="75">
        <f ca="1" t="shared" si="32"/>
        <v>23</v>
      </c>
      <c r="I63" s="75">
        <f ca="1" t="shared" si="32"/>
        <v>23</v>
      </c>
      <c r="J63" s="75">
        <f ca="1" t="shared" si="32"/>
        <v>23</v>
      </c>
      <c r="K63" s="75">
        <f ca="1" t="shared" si="32"/>
        <v>23</v>
      </c>
      <c r="L63" s="75">
        <f ca="1" t="shared" si="32"/>
        <v>22</v>
      </c>
      <c r="M63" s="75">
        <f ca="1" t="shared" si="32"/>
        <v>15</v>
      </c>
      <c r="N63" s="75">
        <f ca="1" t="shared" si="32"/>
        <v>15</v>
      </c>
      <c r="O63" s="75">
        <f ca="1" t="shared" si="32"/>
        <v>13</v>
      </c>
      <c r="P63" s="75">
        <f ca="1" t="shared" si="32"/>
        <v>13</v>
      </c>
      <c r="Q63" s="75">
        <f ca="1" t="shared" si="32"/>
        <v>13</v>
      </c>
      <c r="R63" s="75">
        <f ca="1" t="shared" si="32"/>
        <v>10</v>
      </c>
      <c r="S63" s="75">
        <f ca="1" t="shared" si="32"/>
        <v>10</v>
      </c>
      <c r="T63" s="75">
        <f ca="1" t="shared" si="32"/>
        <v>8</v>
      </c>
      <c r="U63" s="75">
        <f ca="1" t="shared" si="32"/>
        <v>8</v>
      </c>
      <c r="V63" s="75">
        <f ca="1" t="shared" si="32"/>
        <v>5</v>
      </c>
      <c r="W63" s="75">
        <f ca="1" t="shared" si="2"/>
        <v>0</v>
      </c>
      <c r="X63" s="75">
        <f ca="1" t="shared" si="3"/>
        <v>0</v>
      </c>
      <c r="Y63" s="75">
        <f ca="1" t="shared" si="4"/>
        <v>0</v>
      </c>
    </row>
    <row r="64" ht="16.5" spans="1:25">
      <c r="A64" s="74">
        <v>67</v>
      </c>
      <c r="B64" s="65">
        <v>31</v>
      </c>
      <c r="C64" s="75">
        <f>INT(产出预期!M50)</f>
        <v>4736</v>
      </c>
      <c r="D64" s="75">
        <f ca="1" t="shared" ref="D64:V64" si="33">IFERROR(MATCH(D369*10,OFFSET($AS$339:$AS$388,0,D$335),1),0)</f>
        <v>35</v>
      </c>
      <c r="E64" s="75">
        <f ca="1" t="shared" si="33"/>
        <v>35</v>
      </c>
      <c r="F64" s="75">
        <f ca="1" t="shared" si="33"/>
        <v>35</v>
      </c>
      <c r="G64" s="75">
        <f ca="1" t="shared" si="33"/>
        <v>23</v>
      </c>
      <c r="H64" s="75">
        <f ca="1" t="shared" si="33"/>
        <v>23</v>
      </c>
      <c r="I64" s="75">
        <f ca="1" t="shared" si="33"/>
        <v>23</v>
      </c>
      <c r="J64" s="75">
        <f ca="1" t="shared" si="33"/>
        <v>23</v>
      </c>
      <c r="K64" s="75">
        <f ca="1" t="shared" si="33"/>
        <v>23</v>
      </c>
      <c r="L64" s="75">
        <f ca="1" t="shared" si="33"/>
        <v>22</v>
      </c>
      <c r="M64" s="75">
        <f ca="1" t="shared" si="33"/>
        <v>16</v>
      </c>
      <c r="N64" s="75">
        <f ca="1" t="shared" si="33"/>
        <v>15</v>
      </c>
      <c r="O64" s="75">
        <f ca="1" t="shared" si="33"/>
        <v>14</v>
      </c>
      <c r="P64" s="75">
        <f ca="1" t="shared" si="33"/>
        <v>13</v>
      </c>
      <c r="Q64" s="75">
        <f ca="1" t="shared" si="33"/>
        <v>13</v>
      </c>
      <c r="R64" s="75">
        <f ca="1" t="shared" si="33"/>
        <v>10</v>
      </c>
      <c r="S64" s="75">
        <f ca="1" t="shared" si="33"/>
        <v>10</v>
      </c>
      <c r="T64" s="75">
        <f ca="1" t="shared" si="33"/>
        <v>8</v>
      </c>
      <c r="U64" s="75">
        <f ca="1" t="shared" si="33"/>
        <v>8</v>
      </c>
      <c r="V64" s="75">
        <f ca="1" t="shared" si="33"/>
        <v>5</v>
      </c>
      <c r="W64" s="75">
        <f ca="1" t="shared" si="2"/>
        <v>0</v>
      </c>
      <c r="X64" s="75">
        <f ca="1" t="shared" si="3"/>
        <v>0</v>
      </c>
      <c r="Y64" s="75">
        <f ca="1" t="shared" si="4"/>
        <v>0</v>
      </c>
    </row>
    <row r="65" ht="16.5" spans="1:25">
      <c r="A65" s="74">
        <v>68</v>
      </c>
      <c r="B65" s="65">
        <v>32</v>
      </c>
      <c r="C65" s="75">
        <f>INT(产出预期!M51)</f>
        <v>4846</v>
      </c>
      <c r="D65" s="75">
        <f ca="1" t="shared" ref="D65:V65" si="34">IFERROR(MATCH(D370*10,OFFSET($AS$339:$AS$388,0,D$335),1),0)</f>
        <v>35</v>
      </c>
      <c r="E65" s="75">
        <f ca="1" t="shared" si="34"/>
        <v>35</v>
      </c>
      <c r="F65" s="75">
        <f ca="1" t="shared" si="34"/>
        <v>35</v>
      </c>
      <c r="G65" s="75">
        <f ca="1" t="shared" si="34"/>
        <v>23</v>
      </c>
      <c r="H65" s="75">
        <f ca="1" t="shared" si="34"/>
        <v>23</v>
      </c>
      <c r="I65" s="75">
        <f ca="1" t="shared" si="34"/>
        <v>23</v>
      </c>
      <c r="J65" s="75">
        <f ca="1" t="shared" si="34"/>
        <v>23</v>
      </c>
      <c r="K65" s="75">
        <f ca="1" t="shared" si="34"/>
        <v>23</v>
      </c>
      <c r="L65" s="75">
        <f ca="1" t="shared" si="34"/>
        <v>23</v>
      </c>
      <c r="M65" s="75">
        <f ca="1" t="shared" si="34"/>
        <v>16</v>
      </c>
      <c r="N65" s="75">
        <f ca="1" t="shared" si="34"/>
        <v>15</v>
      </c>
      <c r="O65" s="75">
        <f ca="1" t="shared" si="34"/>
        <v>14</v>
      </c>
      <c r="P65" s="75">
        <f ca="1" t="shared" si="34"/>
        <v>13</v>
      </c>
      <c r="Q65" s="75">
        <f ca="1" t="shared" si="34"/>
        <v>13</v>
      </c>
      <c r="R65" s="75">
        <f ca="1" t="shared" si="34"/>
        <v>11</v>
      </c>
      <c r="S65" s="75">
        <f ca="1" t="shared" si="34"/>
        <v>10</v>
      </c>
      <c r="T65" s="75">
        <f ca="1" t="shared" si="34"/>
        <v>8</v>
      </c>
      <c r="U65" s="75">
        <f ca="1" t="shared" si="34"/>
        <v>8</v>
      </c>
      <c r="V65" s="75">
        <f ca="1" t="shared" si="34"/>
        <v>6</v>
      </c>
      <c r="W65" s="75">
        <f ca="1" t="shared" si="2"/>
        <v>0</v>
      </c>
      <c r="X65" s="75">
        <f ca="1" t="shared" si="3"/>
        <v>0</v>
      </c>
      <c r="Y65" s="75">
        <f ca="1" t="shared" si="4"/>
        <v>0</v>
      </c>
    </row>
    <row r="66" ht="16.5" spans="1:25">
      <c r="A66" s="74">
        <v>69</v>
      </c>
      <c r="B66" s="65">
        <v>33</v>
      </c>
      <c r="C66" s="75">
        <f>INT(产出预期!M52)</f>
        <v>4956</v>
      </c>
      <c r="D66" s="75">
        <f ca="1" t="shared" ref="D66:V66" si="35">IFERROR(MATCH(D371*10,OFFSET($AS$339:$AS$388,0,D$335),1),0)</f>
        <v>35</v>
      </c>
      <c r="E66" s="75">
        <f ca="1" t="shared" si="35"/>
        <v>35</v>
      </c>
      <c r="F66" s="75">
        <f ca="1" t="shared" si="35"/>
        <v>35</v>
      </c>
      <c r="G66" s="75">
        <f ca="1" t="shared" si="35"/>
        <v>23</v>
      </c>
      <c r="H66" s="75">
        <f ca="1" t="shared" si="35"/>
        <v>23</v>
      </c>
      <c r="I66" s="75">
        <f ca="1" t="shared" si="35"/>
        <v>23</v>
      </c>
      <c r="J66" s="75">
        <f ca="1" t="shared" si="35"/>
        <v>23</v>
      </c>
      <c r="K66" s="75">
        <f ca="1" t="shared" si="35"/>
        <v>23</v>
      </c>
      <c r="L66" s="75">
        <f ca="1" t="shared" si="35"/>
        <v>23</v>
      </c>
      <c r="M66" s="75">
        <f ca="1" t="shared" si="35"/>
        <v>16</v>
      </c>
      <c r="N66" s="75">
        <f ca="1" t="shared" si="35"/>
        <v>15</v>
      </c>
      <c r="O66" s="75">
        <f ca="1" t="shared" si="35"/>
        <v>15</v>
      </c>
      <c r="P66" s="75">
        <f ca="1" t="shared" si="35"/>
        <v>14</v>
      </c>
      <c r="Q66" s="75">
        <f ca="1" t="shared" si="35"/>
        <v>13</v>
      </c>
      <c r="R66" s="75">
        <f ca="1" t="shared" si="35"/>
        <v>11</v>
      </c>
      <c r="S66" s="75">
        <f ca="1" t="shared" si="35"/>
        <v>10</v>
      </c>
      <c r="T66" s="75">
        <f ca="1" t="shared" si="35"/>
        <v>9</v>
      </c>
      <c r="U66" s="75">
        <f ca="1" t="shared" si="35"/>
        <v>9</v>
      </c>
      <c r="V66" s="75">
        <f ca="1" t="shared" si="35"/>
        <v>6</v>
      </c>
      <c r="W66" s="75">
        <f ca="1" t="shared" si="2"/>
        <v>0</v>
      </c>
      <c r="X66" s="75">
        <f ca="1" t="shared" si="3"/>
        <v>0</v>
      </c>
      <c r="Y66" s="75">
        <f ca="1" t="shared" si="4"/>
        <v>0</v>
      </c>
    </row>
    <row r="67" ht="16.5" spans="1:25">
      <c r="A67" s="74">
        <v>70</v>
      </c>
      <c r="B67" s="65">
        <v>34</v>
      </c>
      <c r="C67" s="75">
        <f>INT(产出预期!M53)</f>
        <v>5066</v>
      </c>
      <c r="D67" s="75">
        <f ca="1" t="shared" ref="D67:V67" si="36">IFERROR(MATCH(D372*10,OFFSET($AS$339:$AS$388,0,D$335),1),0)</f>
        <v>35</v>
      </c>
      <c r="E67" s="75">
        <f ca="1" t="shared" si="36"/>
        <v>35</v>
      </c>
      <c r="F67" s="75">
        <f ca="1" t="shared" si="36"/>
        <v>35</v>
      </c>
      <c r="G67" s="75">
        <f ca="1" t="shared" si="36"/>
        <v>24</v>
      </c>
      <c r="H67" s="75">
        <f ca="1" t="shared" si="36"/>
        <v>24</v>
      </c>
      <c r="I67" s="75">
        <f ca="1" t="shared" si="36"/>
        <v>24</v>
      </c>
      <c r="J67" s="75">
        <f ca="1" t="shared" si="36"/>
        <v>24</v>
      </c>
      <c r="K67" s="75">
        <f ca="1" t="shared" si="36"/>
        <v>24</v>
      </c>
      <c r="L67" s="75">
        <f ca="1" t="shared" si="36"/>
        <v>23</v>
      </c>
      <c r="M67" s="75">
        <f ca="1" t="shared" si="36"/>
        <v>16</v>
      </c>
      <c r="N67" s="75">
        <f ca="1" t="shared" si="36"/>
        <v>15</v>
      </c>
      <c r="O67" s="75">
        <f ca="1" t="shared" si="36"/>
        <v>15</v>
      </c>
      <c r="P67" s="75">
        <f ca="1" t="shared" si="36"/>
        <v>14</v>
      </c>
      <c r="Q67" s="75">
        <f ca="1" t="shared" si="36"/>
        <v>14</v>
      </c>
      <c r="R67" s="75">
        <f ca="1" t="shared" si="36"/>
        <v>11</v>
      </c>
      <c r="S67" s="75">
        <f ca="1" t="shared" si="36"/>
        <v>10</v>
      </c>
      <c r="T67" s="75">
        <f ca="1" t="shared" si="36"/>
        <v>9</v>
      </c>
      <c r="U67" s="75">
        <f ca="1" t="shared" si="36"/>
        <v>9</v>
      </c>
      <c r="V67" s="75">
        <f ca="1" t="shared" si="36"/>
        <v>6</v>
      </c>
      <c r="W67" s="75">
        <f ca="1" t="shared" si="2"/>
        <v>0</v>
      </c>
      <c r="X67" s="75">
        <f ca="1" t="shared" si="3"/>
        <v>0</v>
      </c>
      <c r="Y67" s="75">
        <f ca="1" t="shared" si="4"/>
        <v>0</v>
      </c>
    </row>
    <row r="68" ht="16.5" spans="1:25">
      <c r="A68" s="74">
        <v>71</v>
      </c>
      <c r="B68" s="65">
        <v>35</v>
      </c>
      <c r="C68" s="75">
        <f>INT(产出预期!M54)</f>
        <v>5176</v>
      </c>
      <c r="D68" s="75">
        <f ca="1" t="shared" ref="D68:V68" si="37">IFERROR(MATCH(D373*10,OFFSET($AS$339:$AS$388,0,D$335),1),0)</f>
        <v>35</v>
      </c>
      <c r="E68" s="75">
        <f ca="1" t="shared" si="37"/>
        <v>35</v>
      </c>
      <c r="F68" s="75">
        <f ca="1" t="shared" si="37"/>
        <v>35</v>
      </c>
      <c r="G68" s="75">
        <f ca="1" t="shared" si="37"/>
        <v>24</v>
      </c>
      <c r="H68" s="75">
        <f ca="1" t="shared" si="37"/>
        <v>24</v>
      </c>
      <c r="I68" s="75">
        <f ca="1" t="shared" si="37"/>
        <v>24</v>
      </c>
      <c r="J68" s="75">
        <f ca="1" t="shared" si="37"/>
        <v>24</v>
      </c>
      <c r="K68" s="75">
        <f ca="1" t="shared" si="37"/>
        <v>24</v>
      </c>
      <c r="L68" s="75">
        <f ca="1" t="shared" si="37"/>
        <v>23</v>
      </c>
      <c r="M68" s="75">
        <f ca="1" t="shared" si="37"/>
        <v>16</v>
      </c>
      <c r="N68" s="75">
        <f ca="1" t="shared" si="37"/>
        <v>15</v>
      </c>
      <c r="O68" s="75">
        <f ca="1" t="shared" si="37"/>
        <v>15</v>
      </c>
      <c r="P68" s="75">
        <f ca="1" t="shared" si="37"/>
        <v>14</v>
      </c>
      <c r="Q68" s="75">
        <f ca="1" t="shared" si="37"/>
        <v>14</v>
      </c>
      <c r="R68" s="75">
        <f ca="1" t="shared" si="37"/>
        <v>11</v>
      </c>
      <c r="S68" s="75">
        <f ca="1" t="shared" si="37"/>
        <v>10</v>
      </c>
      <c r="T68" s="75">
        <f ca="1" t="shared" si="37"/>
        <v>9</v>
      </c>
      <c r="U68" s="75">
        <f ca="1" t="shared" si="37"/>
        <v>9</v>
      </c>
      <c r="V68" s="75">
        <f ca="1" t="shared" si="37"/>
        <v>6</v>
      </c>
      <c r="W68" s="75">
        <f ca="1" t="shared" si="2"/>
        <v>0</v>
      </c>
      <c r="X68" s="75">
        <f ca="1" t="shared" si="3"/>
        <v>0</v>
      </c>
      <c r="Y68" s="75">
        <f ca="1" t="shared" si="4"/>
        <v>0</v>
      </c>
    </row>
    <row r="69" ht="16.5" spans="1:25">
      <c r="A69" s="74">
        <v>72</v>
      </c>
      <c r="B69" s="65">
        <v>36</v>
      </c>
      <c r="C69" s="75">
        <f>INT(产出预期!M55)</f>
        <v>5286</v>
      </c>
      <c r="D69" s="75">
        <f ca="1" t="shared" ref="D69:V69" si="38">IFERROR(MATCH(D374*10,OFFSET($AS$339:$AS$388,0,D$335),1),0)</f>
        <v>35</v>
      </c>
      <c r="E69" s="75">
        <f ca="1" t="shared" si="38"/>
        <v>35</v>
      </c>
      <c r="F69" s="75">
        <f ca="1" t="shared" si="38"/>
        <v>35</v>
      </c>
      <c r="G69" s="75">
        <f ca="1" t="shared" si="38"/>
        <v>25</v>
      </c>
      <c r="H69" s="75">
        <f ca="1" t="shared" si="38"/>
        <v>25</v>
      </c>
      <c r="I69" s="75">
        <f ca="1" t="shared" si="38"/>
        <v>25</v>
      </c>
      <c r="J69" s="75">
        <f ca="1" t="shared" si="38"/>
        <v>25</v>
      </c>
      <c r="K69" s="75">
        <f ca="1" t="shared" si="38"/>
        <v>25</v>
      </c>
      <c r="L69" s="75">
        <f ca="1" t="shared" si="38"/>
        <v>24</v>
      </c>
      <c r="M69" s="75">
        <f ca="1" t="shared" si="38"/>
        <v>17</v>
      </c>
      <c r="N69" s="75">
        <f ca="1" t="shared" si="38"/>
        <v>15</v>
      </c>
      <c r="O69" s="75">
        <f ca="1" t="shared" si="38"/>
        <v>15</v>
      </c>
      <c r="P69" s="75">
        <f ca="1" t="shared" si="38"/>
        <v>15</v>
      </c>
      <c r="Q69" s="75">
        <f ca="1" t="shared" si="38"/>
        <v>14</v>
      </c>
      <c r="R69" s="75">
        <f ca="1" t="shared" si="38"/>
        <v>11</v>
      </c>
      <c r="S69" s="75">
        <f ca="1" t="shared" si="38"/>
        <v>10</v>
      </c>
      <c r="T69" s="75">
        <f ca="1" t="shared" si="38"/>
        <v>9</v>
      </c>
      <c r="U69" s="75">
        <f ca="1" t="shared" si="38"/>
        <v>9</v>
      </c>
      <c r="V69" s="75">
        <f ca="1" t="shared" si="38"/>
        <v>6</v>
      </c>
      <c r="W69" s="75">
        <f ca="1" t="shared" si="2"/>
        <v>0</v>
      </c>
      <c r="X69" s="75">
        <f ca="1" t="shared" si="3"/>
        <v>0</v>
      </c>
      <c r="Y69" s="75">
        <f ca="1" t="shared" si="4"/>
        <v>0</v>
      </c>
    </row>
    <row r="70" ht="16.5" spans="1:25">
      <c r="A70" s="74">
        <v>73</v>
      </c>
      <c r="B70" s="65">
        <v>37</v>
      </c>
      <c r="C70" s="75">
        <f>INT(产出预期!M56)</f>
        <v>5396</v>
      </c>
      <c r="D70" s="75">
        <f ca="1" t="shared" ref="D70:V70" si="39">IFERROR(MATCH(D375*10,OFFSET($AS$339:$AS$388,0,D$335),1),0)</f>
        <v>35</v>
      </c>
      <c r="E70" s="75">
        <f ca="1" t="shared" si="39"/>
        <v>35</v>
      </c>
      <c r="F70" s="75">
        <f ca="1" t="shared" si="39"/>
        <v>35</v>
      </c>
      <c r="G70" s="75">
        <f ca="1" t="shared" si="39"/>
        <v>25</v>
      </c>
      <c r="H70" s="75">
        <f ca="1" t="shared" si="39"/>
        <v>25</v>
      </c>
      <c r="I70" s="75">
        <f ca="1" t="shared" si="39"/>
        <v>25</v>
      </c>
      <c r="J70" s="75">
        <f ca="1" t="shared" si="39"/>
        <v>25</v>
      </c>
      <c r="K70" s="75">
        <f ca="1" t="shared" si="39"/>
        <v>25</v>
      </c>
      <c r="L70" s="75">
        <f ca="1" t="shared" si="39"/>
        <v>24</v>
      </c>
      <c r="M70" s="75">
        <f ca="1" t="shared" si="39"/>
        <v>17</v>
      </c>
      <c r="N70" s="75">
        <f ca="1" t="shared" si="39"/>
        <v>16</v>
      </c>
      <c r="O70" s="75">
        <f ca="1" t="shared" si="39"/>
        <v>15</v>
      </c>
      <c r="P70" s="75">
        <f ca="1" t="shared" si="39"/>
        <v>15</v>
      </c>
      <c r="Q70" s="75">
        <f ca="1" t="shared" si="39"/>
        <v>15</v>
      </c>
      <c r="R70" s="75">
        <f ca="1" t="shared" si="39"/>
        <v>11</v>
      </c>
      <c r="S70" s="75">
        <f ca="1" t="shared" si="39"/>
        <v>11</v>
      </c>
      <c r="T70" s="75">
        <f ca="1" t="shared" si="39"/>
        <v>9</v>
      </c>
      <c r="U70" s="75">
        <f ca="1" t="shared" si="39"/>
        <v>9</v>
      </c>
      <c r="V70" s="75">
        <f ca="1" t="shared" si="39"/>
        <v>7</v>
      </c>
      <c r="W70" s="75">
        <f ca="1" t="shared" si="2"/>
        <v>0</v>
      </c>
      <c r="X70" s="75">
        <f ca="1" t="shared" si="3"/>
        <v>0</v>
      </c>
      <c r="Y70" s="75">
        <f ca="1" t="shared" si="4"/>
        <v>0</v>
      </c>
    </row>
    <row r="71" ht="16.5" spans="1:25">
      <c r="A71" s="74">
        <v>74</v>
      </c>
      <c r="B71" s="65">
        <v>38</v>
      </c>
      <c r="C71" s="75">
        <f>INT(产出预期!M57)</f>
        <v>5506</v>
      </c>
      <c r="D71" s="75">
        <f ca="1" t="shared" ref="D71:V71" si="40">IFERROR(MATCH(D376*10,OFFSET($AS$339:$AS$388,0,D$335),1),0)</f>
        <v>36</v>
      </c>
      <c r="E71" s="75">
        <f ca="1" t="shared" si="40"/>
        <v>36</v>
      </c>
      <c r="F71" s="75">
        <f ca="1" t="shared" si="40"/>
        <v>36</v>
      </c>
      <c r="G71" s="75">
        <f ca="1" t="shared" si="40"/>
        <v>25</v>
      </c>
      <c r="H71" s="75">
        <f ca="1" t="shared" si="40"/>
        <v>25</v>
      </c>
      <c r="I71" s="75">
        <f ca="1" t="shared" si="40"/>
        <v>25</v>
      </c>
      <c r="J71" s="75">
        <f ca="1" t="shared" si="40"/>
        <v>25</v>
      </c>
      <c r="K71" s="75">
        <f ca="1" t="shared" si="40"/>
        <v>25</v>
      </c>
      <c r="L71" s="75">
        <f ca="1" t="shared" si="40"/>
        <v>24</v>
      </c>
      <c r="M71" s="75">
        <f ca="1" t="shared" si="40"/>
        <v>17</v>
      </c>
      <c r="N71" s="75">
        <f ca="1" t="shared" si="40"/>
        <v>16</v>
      </c>
      <c r="O71" s="75">
        <f ca="1" t="shared" si="40"/>
        <v>16</v>
      </c>
      <c r="P71" s="75">
        <f ca="1" t="shared" si="40"/>
        <v>15</v>
      </c>
      <c r="Q71" s="75">
        <f ca="1" t="shared" si="40"/>
        <v>15</v>
      </c>
      <c r="R71" s="75">
        <f ca="1" t="shared" si="40"/>
        <v>11</v>
      </c>
      <c r="S71" s="75">
        <f ca="1" t="shared" si="40"/>
        <v>11</v>
      </c>
      <c r="T71" s="75">
        <f ca="1" t="shared" si="40"/>
        <v>9</v>
      </c>
      <c r="U71" s="75">
        <f ca="1" t="shared" si="40"/>
        <v>9</v>
      </c>
      <c r="V71" s="75">
        <f ca="1" t="shared" si="40"/>
        <v>7</v>
      </c>
      <c r="W71" s="75">
        <f ca="1" t="shared" si="2"/>
        <v>0</v>
      </c>
      <c r="X71" s="75">
        <f ca="1" t="shared" si="3"/>
        <v>0</v>
      </c>
      <c r="Y71" s="75">
        <f ca="1" t="shared" si="4"/>
        <v>0</v>
      </c>
    </row>
    <row r="72" ht="16.5" spans="1:25">
      <c r="A72" s="74">
        <v>75</v>
      </c>
      <c r="B72" s="65">
        <v>39</v>
      </c>
      <c r="C72" s="75">
        <f>INT(产出预期!M58)</f>
        <v>5616</v>
      </c>
      <c r="D72" s="75">
        <f ca="1" t="shared" ref="D72:V72" si="41">IFERROR(MATCH(D377*10,OFFSET($AS$339:$AS$388,0,D$335),1),0)</f>
        <v>36</v>
      </c>
      <c r="E72" s="75">
        <f ca="1" t="shared" si="41"/>
        <v>36</v>
      </c>
      <c r="F72" s="75">
        <f ca="1" t="shared" si="41"/>
        <v>36</v>
      </c>
      <c r="G72" s="75">
        <f ca="1" t="shared" si="41"/>
        <v>25</v>
      </c>
      <c r="H72" s="75">
        <f ca="1" t="shared" si="41"/>
        <v>25</v>
      </c>
      <c r="I72" s="75">
        <f ca="1" t="shared" si="41"/>
        <v>25</v>
      </c>
      <c r="J72" s="75">
        <f ca="1" t="shared" si="41"/>
        <v>25</v>
      </c>
      <c r="K72" s="75">
        <f ca="1" t="shared" si="41"/>
        <v>25</v>
      </c>
      <c r="L72" s="75">
        <f ca="1" t="shared" si="41"/>
        <v>25</v>
      </c>
      <c r="M72" s="75">
        <f ca="1" t="shared" si="41"/>
        <v>17</v>
      </c>
      <c r="N72" s="75">
        <f ca="1" t="shared" si="41"/>
        <v>16</v>
      </c>
      <c r="O72" s="75">
        <f ca="1" t="shared" si="41"/>
        <v>16</v>
      </c>
      <c r="P72" s="75">
        <f ca="1" t="shared" si="41"/>
        <v>15</v>
      </c>
      <c r="Q72" s="75">
        <f ca="1" t="shared" si="41"/>
        <v>15</v>
      </c>
      <c r="R72" s="75">
        <f ca="1" t="shared" si="41"/>
        <v>12</v>
      </c>
      <c r="S72" s="75">
        <f ca="1" t="shared" si="41"/>
        <v>11</v>
      </c>
      <c r="T72" s="75">
        <f ca="1" t="shared" si="41"/>
        <v>10</v>
      </c>
      <c r="U72" s="75">
        <f ca="1" t="shared" si="41"/>
        <v>10</v>
      </c>
      <c r="V72" s="75">
        <f ca="1" t="shared" si="41"/>
        <v>7</v>
      </c>
      <c r="W72" s="75">
        <f ca="1" t="shared" si="2"/>
        <v>0</v>
      </c>
      <c r="X72" s="75">
        <f ca="1" t="shared" si="3"/>
        <v>0</v>
      </c>
      <c r="Y72" s="75">
        <f ca="1" t="shared" si="4"/>
        <v>0</v>
      </c>
    </row>
    <row r="73" ht="16.5" spans="1:25">
      <c r="A73" s="74">
        <v>76</v>
      </c>
      <c r="B73" s="65">
        <v>40</v>
      </c>
      <c r="C73" s="75">
        <f>INT(产出预期!M59)</f>
        <v>5726</v>
      </c>
      <c r="D73" s="75">
        <f ca="1" t="shared" ref="D73:V73" si="42">IFERROR(MATCH(D378*10,OFFSET($AS$339:$AS$388,0,D$335),1),0)</f>
        <v>36</v>
      </c>
      <c r="E73" s="75">
        <f ca="1" t="shared" si="42"/>
        <v>36</v>
      </c>
      <c r="F73" s="75">
        <f ca="1" t="shared" si="42"/>
        <v>36</v>
      </c>
      <c r="G73" s="75">
        <f ca="1" t="shared" si="42"/>
        <v>25</v>
      </c>
      <c r="H73" s="75">
        <f ca="1" t="shared" si="42"/>
        <v>25</v>
      </c>
      <c r="I73" s="75">
        <f ca="1" t="shared" si="42"/>
        <v>25</v>
      </c>
      <c r="J73" s="75">
        <f ca="1" t="shared" si="42"/>
        <v>25</v>
      </c>
      <c r="K73" s="75">
        <f ca="1" t="shared" si="42"/>
        <v>25</v>
      </c>
      <c r="L73" s="75">
        <f ca="1" t="shared" si="42"/>
        <v>25</v>
      </c>
      <c r="M73" s="75">
        <f ca="1" t="shared" si="42"/>
        <v>17</v>
      </c>
      <c r="N73" s="75">
        <f ca="1" t="shared" si="42"/>
        <v>16</v>
      </c>
      <c r="O73" s="75">
        <f ca="1" t="shared" si="42"/>
        <v>16</v>
      </c>
      <c r="P73" s="75">
        <f ca="1" t="shared" si="42"/>
        <v>16</v>
      </c>
      <c r="Q73" s="75">
        <f ca="1" t="shared" si="42"/>
        <v>15</v>
      </c>
      <c r="R73" s="75">
        <f ca="1" t="shared" si="42"/>
        <v>12</v>
      </c>
      <c r="S73" s="75">
        <f ca="1" t="shared" si="42"/>
        <v>11</v>
      </c>
      <c r="T73" s="75">
        <f ca="1" t="shared" si="42"/>
        <v>10</v>
      </c>
      <c r="U73" s="75">
        <f ca="1" t="shared" si="42"/>
        <v>10</v>
      </c>
      <c r="V73" s="75">
        <f ca="1" t="shared" si="42"/>
        <v>7</v>
      </c>
      <c r="W73" s="75">
        <f ca="1" t="shared" si="2"/>
        <v>0</v>
      </c>
      <c r="X73" s="75">
        <f ca="1" t="shared" si="3"/>
        <v>0</v>
      </c>
      <c r="Y73" s="75">
        <f ca="1" t="shared" si="4"/>
        <v>0</v>
      </c>
    </row>
    <row r="74" ht="16.5" spans="1:25">
      <c r="A74" s="74">
        <v>77</v>
      </c>
      <c r="B74" s="65">
        <v>41</v>
      </c>
      <c r="C74" s="75">
        <f>INT(产出预期!M60)</f>
        <v>5836</v>
      </c>
      <c r="D74" s="75">
        <f ca="1" t="shared" ref="D74:V74" si="43">IFERROR(MATCH(D379*10,OFFSET($AS$339:$AS$388,0,D$335),1),0)</f>
        <v>36</v>
      </c>
      <c r="E74" s="75">
        <f ca="1" t="shared" si="43"/>
        <v>36</v>
      </c>
      <c r="F74" s="75">
        <f ca="1" t="shared" si="43"/>
        <v>36</v>
      </c>
      <c r="G74" s="75">
        <f ca="1" t="shared" si="43"/>
        <v>25</v>
      </c>
      <c r="H74" s="75">
        <f ca="1" t="shared" si="43"/>
        <v>25</v>
      </c>
      <c r="I74" s="75">
        <f ca="1" t="shared" si="43"/>
        <v>25</v>
      </c>
      <c r="J74" s="75">
        <f ca="1" t="shared" si="43"/>
        <v>25</v>
      </c>
      <c r="K74" s="75">
        <f ca="1" t="shared" si="43"/>
        <v>25</v>
      </c>
      <c r="L74" s="75">
        <f ca="1" t="shared" si="43"/>
        <v>25</v>
      </c>
      <c r="M74" s="75">
        <f ca="1" t="shared" si="43"/>
        <v>17</v>
      </c>
      <c r="N74" s="75">
        <f ca="1" t="shared" si="43"/>
        <v>16</v>
      </c>
      <c r="O74" s="75">
        <f ca="1" t="shared" si="43"/>
        <v>16</v>
      </c>
      <c r="P74" s="75">
        <f ca="1" t="shared" si="43"/>
        <v>16</v>
      </c>
      <c r="Q74" s="75">
        <f ca="1" t="shared" si="43"/>
        <v>16</v>
      </c>
      <c r="R74" s="75">
        <f ca="1" t="shared" si="43"/>
        <v>12</v>
      </c>
      <c r="S74" s="75">
        <f ca="1" t="shared" si="43"/>
        <v>11</v>
      </c>
      <c r="T74" s="75">
        <f ca="1" t="shared" si="43"/>
        <v>10</v>
      </c>
      <c r="U74" s="75">
        <f ca="1" t="shared" si="43"/>
        <v>10</v>
      </c>
      <c r="V74" s="75">
        <f ca="1" t="shared" si="43"/>
        <v>7</v>
      </c>
      <c r="W74" s="75">
        <f ca="1" t="shared" si="2"/>
        <v>0</v>
      </c>
      <c r="X74" s="75">
        <f ca="1" t="shared" si="3"/>
        <v>0</v>
      </c>
      <c r="Y74" s="75">
        <f ca="1" t="shared" si="4"/>
        <v>0</v>
      </c>
    </row>
    <row r="75" ht="16.5" spans="1:25">
      <c r="A75" s="74">
        <v>77</v>
      </c>
      <c r="B75" s="65">
        <v>42</v>
      </c>
      <c r="C75" s="75">
        <f>INT(产出预期!M61)</f>
        <v>5946</v>
      </c>
      <c r="D75" s="75">
        <f ca="1" t="shared" ref="D75:V75" si="44">IFERROR(MATCH(D380*10,OFFSET($AS$339:$AS$388,0,D$335),1),0)</f>
        <v>36</v>
      </c>
      <c r="E75" s="75">
        <f ca="1" t="shared" si="44"/>
        <v>36</v>
      </c>
      <c r="F75" s="75">
        <f ca="1" t="shared" si="44"/>
        <v>36</v>
      </c>
      <c r="G75" s="75">
        <f ca="1" t="shared" si="44"/>
        <v>25</v>
      </c>
      <c r="H75" s="75">
        <f ca="1" t="shared" si="44"/>
        <v>25</v>
      </c>
      <c r="I75" s="75">
        <f ca="1" t="shared" si="44"/>
        <v>25</v>
      </c>
      <c r="J75" s="75">
        <f ca="1" t="shared" si="44"/>
        <v>25</v>
      </c>
      <c r="K75" s="75">
        <f ca="1" t="shared" si="44"/>
        <v>25</v>
      </c>
      <c r="L75" s="75">
        <f ca="1" t="shared" si="44"/>
        <v>25</v>
      </c>
      <c r="M75" s="75">
        <f ca="1" t="shared" si="44"/>
        <v>17</v>
      </c>
      <c r="N75" s="75">
        <f ca="1" t="shared" si="44"/>
        <v>16</v>
      </c>
      <c r="O75" s="75">
        <f ca="1" t="shared" si="44"/>
        <v>16</v>
      </c>
      <c r="P75" s="75">
        <f ca="1" t="shared" si="44"/>
        <v>16</v>
      </c>
      <c r="Q75" s="75">
        <f ca="1" t="shared" si="44"/>
        <v>16</v>
      </c>
      <c r="R75" s="75">
        <f ca="1" t="shared" si="44"/>
        <v>12</v>
      </c>
      <c r="S75" s="75">
        <f ca="1" t="shared" si="44"/>
        <v>11</v>
      </c>
      <c r="T75" s="75">
        <f ca="1" t="shared" si="44"/>
        <v>10</v>
      </c>
      <c r="U75" s="75">
        <f ca="1" t="shared" si="44"/>
        <v>10</v>
      </c>
      <c r="V75" s="75">
        <f ca="1" t="shared" si="44"/>
        <v>8</v>
      </c>
      <c r="W75" s="75">
        <f ca="1" t="shared" si="2"/>
        <v>0</v>
      </c>
      <c r="X75" s="75">
        <f ca="1" t="shared" si="3"/>
        <v>0</v>
      </c>
      <c r="Y75" s="75">
        <f ca="1" t="shared" si="4"/>
        <v>0</v>
      </c>
    </row>
    <row r="76" ht="16.5" spans="1:25">
      <c r="A76" s="74">
        <v>78</v>
      </c>
      <c r="B76" s="65">
        <v>43</v>
      </c>
      <c r="C76" s="75">
        <f>INT(产出预期!M62)</f>
        <v>6056</v>
      </c>
      <c r="D76" s="75">
        <f ca="1" t="shared" ref="D76:V76" si="45">IFERROR(MATCH(D381*10,OFFSET($AS$339:$AS$388,0,D$335),1),0)</f>
        <v>36</v>
      </c>
      <c r="E76" s="75">
        <f ca="1" t="shared" si="45"/>
        <v>36</v>
      </c>
      <c r="F76" s="75">
        <f ca="1" t="shared" si="45"/>
        <v>36</v>
      </c>
      <c r="G76" s="75">
        <f ca="1" t="shared" si="45"/>
        <v>26</v>
      </c>
      <c r="H76" s="75">
        <f ca="1" t="shared" si="45"/>
        <v>26</v>
      </c>
      <c r="I76" s="75">
        <f ca="1" t="shared" si="45"/>
        <v>26</v>
      </c>
      <c r="J76" s="75">
        <f ca="1" t="shared" si="45"/>
        <v>26</v>
      </c>
      <c r="K76" s="75">
        <f ca="1" t="shared" si="45"/>
        <v>26</v>
      </c>
      <c r="L76" s="75">
        <f ca="1" t="shared" si="45"/>
        <v>25</v>
      </c>
      <c r="M76" s="75">
        <f ca="1" t="shared" si="45"/>
        <v>18</v>
      </c>
      <c r="N76" s="75">
        <f ca="1" t="shared" si="45"/>
        <v>17</v>
      </c>
      <c r="O76" s="75">
        <f ca="1" t="shared" si="45"/>
        <v>16</v>
      </c>
      <c r="P76" s="75">
        <f ca="1" t="shared" si="45"/>
        <v>16</v>
      </c>
      <c r="Q76" s="75">
        <f ca="1" t="shared" si="45"/>
        <v>16</v>
      </c>
      <c r="R76" s="75">
        <f ca="1" t="shared" si="45"/>
        <v>12</v>
      </c>
      <c r="S76" s="75">
        <f ca="1" t="shared" si="45"/>
        <v>12</v>
      </c>
      <c r="T76" s="75">
        <f ca="1" t="shared" si="45"/>
        <v>10</v>
      </c>
      <c r="U76" s="75">
        <f ca="1" t="shared" si="45"/>
        <v>10</v>
      </c>
      <c r="V76" s="75">
        <f ca="1" t="shared" si="45"/>
        <v>8</v>
      </c>
      <c r="W76" s="75">
        <f ca="1" t="shared" si="2"/>
        <v>5</v>
      </c>
      <c r="X76" s="75">
        <f ca="1" t="shared" si="3"/>
        <v>0</v>
      </c>
      <c r="Y76" s="75">
        <f ca="1" t="shared" si="4"/>
        <v>0</v>
      </c>
    </row>
    <row r="77" ht="16.5" spans="1:25">
      <c r="A77" s="74">
        <v>78</v>
      </c>
      <c r="B77" s="65">
        <v>44</v>
      </c>
      <c r="C77" s="75">
        <f>INT(产出预期!M63)</f>
        <v>6166</v>
      </c>
      <c r="D77" s="75">
        <f ca="1" t="shared" ref="D77:V77" si="46">IFERROR(MATCH(D382*10,OFFSET($AS$339:$AS$388,0,D$335),1),0)</f>
        <v>36</v>
      </c>
      <c r="E77" s="75">
        <f ca="1" t="shared" si="46"/>
        <v>36</v>
      </c>
      <c r="F77" s="75">
        <f ca="1" t="shared" si="46"/>
        <v>36</v>
      </c>
      <c r="G77" s="75">
        <f ca="1" t="shared" si="46"/>
        <v>26</v>
      </c>
      <c r="H77" s="75">
        <f ca="1" t="shared" si="46"/>
        <v>26</v>
      </c>
      <c r="I77" s="75">
        <f ca="1" t="shared" si="46"/>
        <v>26</v>
      </c>
      <c r="J77" s="75">
        <f ca="1" t="shared" si="46"/>
        <v>26</v>
      </c>
      <c r="K77" s="75">
        <f ca="1" t="shared" si="46"/>
        <v>26</v>
      </c>
      <c r="L77" s="75">
        <f ca="1" t="shared" si="46"/>
        <v>25</v>
      </c>
      <c r="M77" s="75">
        <f ca="1" t="shared" si="46"/>
        <v>18</v>
      </c>
      <c r="N77" s="75">
        <f ca="1" t="shared" si="46"/>
        <v>17</v>
      </c>
      <c r="O77" s="75">
        <f ca="1" t="shared" si="46"/>
        <v>16</v>
      </c>
      <c r="P77" s="75">
        <f ca="1" t="shared" si="46"/>
        <v>16</v>
      </c>
      <c r="Q77" s="75">
        <f ca="1" t="shared" si="46"/>
        <v>16</v>
      </c>
      <c r="R77" s="75">
        <f ca="1" t="shared" si="46"/>
        <v>13</v>
      </c>
      <c r="S77" s="75">
        <f ca="1" t="shared" si="46"/>
        <v>12</v>
      </c>
      <c r="T77" s="75">
        <f ca="1" t="shared" si="46"/>
        <v>10</v>
      </c>
      <c r="U77" s="75">
        <f ca="1" t="shared" si="46"/>
        <v>10</v>
      </c>
      <c r="V77" s="75">
        <f ca="1" t="shared" si="46"/>
        <v>8</v>
      </c>
      <c r="W77" s="75">
        <f ca="1" t="shared" si="2"/>
        <v>5</v>
      </c>
      <c r="X77" s="75">
        <f ca="1" t="shared" si="3"/>
        <v>0</v>
      </c>
      <c r="Y77" s="75">
        <f ca="1" t="shared" si="4"/>
        <v>0</v>
      </c>
    </row>
    <row r="78" ht="16.5" spans="1:25">
      <c r="A78" s="74">
        <v>79</v>
      </c>
      <c r="B78" s="65">
        <v>45</v>
      </c>
      <c r="C78" s="75">
        <f>INT(产出预期!M64)</f>
        <v>6276</v>
      </c>
      <c r="D78" s="75">
        <f ca="1" t="shared" ref="D78:V78" si="47">IFERROR(MATCH(D383*10,OFFSET($AS$339:$AS$388,0,D$335),1),0)</f>
        <v>36</v>
      </c>
      <c r="E78" s="75">
        <f ca="1" t="shared" si="47"/>
        <v>36</v>
      </c>
      <c r="F78" s="75">
        <f ca="1" t="shared" si="47"/>
        <v>36</v>
      </c>
      <c r="G78" s="75">
        <f ca="1" t="shared" si="47"/>
        <v>26</v>
      </c>
      <c r="H78" s="75">
        <f ca="1" t="shared" si="47"/>
        <v>26</v>
      </c>
      <c r="I78" s="75">
        <f ca="1" t="shared" si="47"/>
        <v>26</v>
      </c>
      <c r="J78" s="75">
        <f ca="1" t="shared" si="47"/>
        <v>26</v>
      </c>
      <c r="K78" s="75">
        <f ca="1" t="shared" si="47"/>
        <v>26</v>
      </c>
      <c r="L78" s="75">
        <f ca="1" t="shared" si="47"/>
        <v>26</v>
      </c>
      <c r="M78" s="75">
        <f ca="1" t="shared" si="47"/>
        <v>18</v>
      </c>
      <c r="N78" s="75">
        <f ca="1" t="shared" si="47"/>
        <v>17</v>
      </c>
      <c r="O78" s="75">
        <f ca="1" t="shared" si="47"/>
        <v>17</v>
      </c>
      <c r="P78" s="75">
        <f ca="1" t="shared" si="47"/>
        <v>16</v>
      </c>
      <c r="Q78" s="75">
        <f ca="1" t="shared" si="47"/>
        <v>16</v>
      </c>
      <c r="R78" s="75">
        <f ca="1" t="shared" si="47"/>
        <v>13</v>
      </c>
      <c r="S78" s="75">
        <f ca="1" t="shared" si="47"/>
        <v>12</v>
      </c>
      <c r="T78" s="75">
        <f ca="1" t="shared" si="47"/>
        <v>10</v>
      </c>
      <c r="U78" s="75">
        <f ca="1" t="shared" si="47"/>
        <v>10</v>
      </c>
      <c r="V78" s="75">
        <f ca="1" t="shared" si="47"/>
        <v>8</v>
      </c>
      <c r="W78" s="75">
        <f ca="1" t="shared" si="2"/>
        <v>5</v>
      </c>
      <c r="X78" s="75">
        <f ca="1" t="shared" si="3"/>
        <v>0</v>
      </c>
      <c r="Y78" s="75">
        <f ca="1" t="shared" si="4"/>
        <v>0</v>
      </c>
    </row>
    <row r="79" ht="16.5" spans="1:25">
      <c r="A79" s="74">
        <v>79</v>
      </c>
      <c r="B79" s="65">
        <v>46</v>
      </c>
      <c r="C79" s="75">
        <f>INT(产出预期!M65)</f>
        <v>6386</v>
      </c>
      <c r="D79" s="75">
        <f ca="1" t="shared" ref="D79:V79" si="48">IFERROR(MATCH(D384*10,OFFSET($AS$339:$AS$388,0,D$335),1),0)</f>
        <v>37</v>
      </c>
      <c r="E79" s="75">
        <f ca="1" t="shared" si="48"/>
        <v>37</v>
      </c>
      <c r="F79" s="75">
        <f ca="1" t="shared" si="48"/>
        <v>37</v>
      </c>
      <c r="G79" s="75">
        <f ca="1" t="shared" si="48"/>
        <v>26</v>
      </c>
      <c r="H79" s="75">
        <f ca="1" t="shared" si="48"/>
        <v>26</v>
      </c>
      <c r="I79" s="75">
        <f ca="1" t="shared" si="48"/>
        <v>26</v>
      </c>
      <c r="J79" s="75">
        <f ca="1" t="shared" si="48"/>
        <v>26</v>
      </c>
      <c r="K79" s="75">
        <f ca="1" t="shared" si="48"/>
        <v>26</v>
      </c>
      <c r="L79" s="75">
        <f ca="1" t="shared" si="48"/>
        <v>26</v>
      </c>
      <c r="M79" s="75">
        <f ca="1" t="shared" si="48"/>
        <v>18</v>
      </c>
      <c r="N79" s="75">
        <f ca="1" t="shared" si="48"/>
        <v>17</v>
      </c>
      <c r="O79" s="75">
        <f ca="1" t="shared" si="48"/>
        <v>17</v>
      </c>
      <c r="P79" s="75">
        <f ca="1" t="shared" si="48"/>
        <v>16</v>
      </c>
      <c r="Q79" s="75">
        <f ca="1" t="shared" si="48"/>
        <v>16</v>
      </c>
      <c r="R79" s="75">
        <f ca="1" t="shared" si="48"/>
        <v>13</v>
      </c>
      <c r="S79" s="75">
        <f ca="1" t="shared" si="48"/>
        <v>12</v>
      </c>
      <c r="T79" s="75">
        <f ca="1" t="shared" si="48"/>
        <v>11</v>
      </c>
      <c r="U79" s="75">
        <f ca="1" t="shared" si="48"/>
        <v>11</v>
      </c>
      <c r="V79" s="75">
        <f ca="1" t="shared" si="48"/>
        <v>9</v>
      </c>
      <c r="W79" s="75">
        <f ca="1" t="shared" si="2"/>
        <v>6</v>
      </c>
      <c r="X79" s="75">
        <f ca="1" t="shared" si="3"/>
        <v>0</v>
      </c>
      <c r="Y79" s="75">
        <f ca="1" t="shared" si="4"/>
        <v>0</v>
      </c>
    </row>
    <row r="80" ht="16.5" spans="1:25">
      <c r="A80" s="74">
        <v>80</v>
      </c>
      <c r="B80" s="65">
        <v>47</v>
      </c>
      <c r="C80" s="75">
        <f>INT(产出预期!M66)</f>
        <v>6496</v>
      </c>
      <c r="D80" s="75">
        <f ca="1" t="shared" ref="D80:V80" si="49">IFERROR(MATCH(D385*10,OFFSET($AS$339:$AS$388,0,D$335),1),0)</f>
        <v>37</v>
      </c>
      <c r="E80" s="75">
        <f ca="1" t="shared" si="49"/>
        <v>37</v>
      </c>
      <c r="F80" s="75">
        <f ca="1" t="shared" si="49"/>
        <v>37</v>
      </c>
      <c r="G80" s="75">
        <f ca="1" t="shared" si="49"/>
        <v>26</v>
      </c>
      <c r="H80" s="75">
        <f ca="1" t="shared" si="49"/>
        <v>26</v>
      </c>
      <c r="I80" s="75">
        <f ca="1" t="shared" si="49"/>
        <v>26</v>
      </c>
      <c r="J80" s="75">
        <f ca="1" t="shared" si="49"/>
        <v>26</v>
      </c>
      <c r="K80" s="75">
        <f ca="1" t="shared" si="49"/>
        <v>26</v>
      </c>
      <c r="L80" s="75">
        <f ca="1" t="shared" si="49"/>
        <v>26</v>
      </c>
      <c r="M80" s="75">
        <f ca="1" t="shared" si="49"/>
        <v>18</v>
      </c>
      <c r="N80" s="75">
        <f ca="1" t="shared" si="49"/>
        <v>18</v>
      </c>
      <c r="O80" s="75">
        <f ca="1" t="shared" si="49"/>
        <v>17</v>
      </c>
      <c r="P80" s="75">
        <f ca="1" t="shared" si="49"/>
        <v>17</v>
      </c>
      <c r="Q80" s="75">
        <f ca="1" t="shared" si="49"/>
        <v>16</v>
      </c>
      <c r="R80" s="75">
        <f ca="1" t="shared" si="49"/>
        <v>13</v>
      </c>
      <c r="S80" s="75">
        <f ca="1" t="shared" si="49"/>
        <v>12</v>
      </c>
      <c r="T80" s="75">
        <f ca="1" t="shared" si="49"/>
        <v>11</v>
      </c>
      <c r="U80" s="75">
        <f ca="1" t="shared" si="49"/>
        <v>11</v>
      </c>
      <c r="V80" s="75">
        <f ca="1" t="shared" si="49"/>
        <v>9</v>
      </c>
      <c r="W80" s="75">
        <f ca="1" t="shared" si="2"/>
        <v>6</v>
      </c>
      <c r="X80" s="75">
        <f ca="1" t="shared" si="3"/>
        <v>0</v>
      </c>
      <c r="Y80" s="75">
        <f ca="1" t="shared" si="4"/>
        <v>0</v>
      </c>
    </row>
    <row r="81" ht="16.5" spans="1:25">
      <c r="A81" s="74">
        <v>80</v>
      </c>
      <c r="B81" s="65">
        <v>48</v>
      </c>
      <c r="C81" s="75">
        <f>INT(产出预期!M67)</f>
        <v>6606</v>
      </c>
      <c r="D81" s="75">
        <f ca="1" t="shared" ref="D81:V81" si="50">IFERROR(MATCH(D386*10,OFFSET($AS$339:$AS$388,0,D$335),1),0)</f>
        <v>37</v>
      </c>
      <c r="E81" s="75">
        <f ca="1" t="shared" si="50"/>
        <v>37</v>
      </c>
      <c r="F81" s="75">
        <f ca="1" t="shared" si="50"/>
        <v>37</v>
      </c>
      <c r="G81" s="75">
        <f ca="1" t="shared" si="50"/>
        <v>26</v>
      </c>
      <c r="H81" s="75">
        <f ca="1" t="shared" si="50"/>
        <v>26</v>
      </c>
      <c r="I81" s="75">
        <f ca="1" t="shared" si="50"/>
        <v>26</v>
      </c>
      <c r="J81" s="75">
        <f ca="1" t="shared" si="50"/>
        <v>26</v>
      </c>
      <c r="K81" s="75">
        <f ca="1" t="shared" si="50"/>
        <v>26</v>
      </c>
      <c r="L81" s="75">
        <f ca="1" t="shared" si="50"/>
        <v>26</v>
      </c>
      <c r="M81" s="75">
        <f ca="1" t="shared" si="50"/>
        <v>19</v>
      </c>
      <c r="N81" s="75">
        <f ca="1" t="shared" si="50"/>
        <v>18</v>
      </c>
      <c r="O81" s="75">
        <f ca="1" t="shared" si="50"/>
        <v>18</v>
      </c>
      <c r="P81" s="75">
        <f ca="1" t="shared" si="50"/>
        <v>17</v>
      </c>
      <c r="Q81" s="75">
        <f ca="1" t="shared" si="50"/>
        <v>17</v>
      </c>
      <c r="R81" s="75">
        <f ca="1" t="shared" si="50"/>
        <v>13</v>
      </c>
      <c r="S81" s="75">
        <f ca="1" t="shared" si="50"/>
        <v>13</v>
      </c>
      <c r="T81" s="75">
        <f ca="1" t="shared" si="50"/>
        <v>11</v>
      </c>
      <c r="U81" s="75">
        <f ca="1" t="shared" si="50"/>
        <v>11</v>
      </c>
      <c r="V81" s="75">
        <f ca="1" t="shared" si="50"/>
        <v>9</v>
      </c>
      <c r="W81" s="75">
        <f ca="1" t="shared" si="2"/>
        <v>6</v>
      </c>
      <c r="X81" s="75">
        <f ca="1" t="shared" si="3"/>
        <v>0</v>
      </c>
      <c r="Y81" s="75">
        <f ca="1" t="shared" si="4"/>
        <v>0</v>
      </c>
    </row>
    <row r="82" ht="16.5" spans="1:25">
      <c r="A82" s="74">
        <v>81</v>
      </c>
      <c r="B82" s="65">
        <v>49</v>
      </c>
      <c r="C82" s="75">
        <f>INT(产出预期!M68)</f>
        <v>6716</v>
      </c>
      <c r="D82" s="75">
        <f ca="1" t="shared" ref="D82:V82" si="51">IFERROR(MATCH(D387*10,OFFSET($AS$339:$AS$388,0,D$335),1),0)</f>
        <v>37</v>
      </c>
      <c r="E82" s="75">
        <f ca="1" t="shared" si="51"/>
        <v>37</v>
      </c>
      <c r="F82" s="75">
        <f ca="1" t="shared" si="51"/>
        <v>37</v>
      </c>
      <c r="G82" s="75">
        <f ca="1" t="shared" si="51"/>
        <v>27</v>
      </c>
      <c r="H82" s="75">
        <f ca="1" t="shared" si="51"/>
        <v>27</v>
      </c>
      <c r="I82" s="75">
        <f ca="1" t="shared" si="51"/>
        <v>27</v>
      </c>
      <c r="J82" s="75">
        <f ca="1" t="shared" si="51"/>
        <v>27</v>
      </c>
      <c r="K82" s="75">
        <f ca="1" t="shared" si="51"/>
        <v>27</v>
      </c>
      <c r="L82" s="75">
        <f ca="1" t="shared" si="51"/>
        <v>26</v>
      </c>
      <c r="M82" s="75">
        <f ca="1" t="shared" si="51"/>
        <v>19</v>
      </c>
      <c r="N82" s="75">
        <f ca="1" t="shared" si="51"/>
        <v>18</v>
      </c>
      <c r="O82" s="75">
        <f ca="1" t="shared" si="51"/>
        <v>18</v>
      </c>
      <c r="P82" s="75">
        <f ca="1" t="shared" si="51"/>
        <v>17</v>
      </c>
      <c r="Q82" s="75">
        <f ca="1" t="shared" si="51"/>
        <v>17</v>
      </c>
      <c r="R82" s="75">
        <f ca="1" t="shared" si="51"/>
        <v>14</v>
      </c>
      <c r="S82" s="75">
        <f ca="1" t="shared" si="51"/>
        <v>13</v>
      </c>
      <c r="T82" s="75">
        <f ca="1" t="shared" si="51"/>
        <v>11</v>
      </c>
      <c r="U82" s="75">
        <f ca="1" t="shared" si="51"/>
        <v>11</v>
      </c>
      <c r="V82" s="75">
        <f ca="1" t="shared" si="51"/>
        <v>10</v>
      </c>
      <c r="W82" s="75">
        <f ca="1" t="shared" si="2"/>
        <v>6</v>
      </c>
      <c r="X82" s="75">
        <f ca="1" t="shared" si="3"/>
        <v>0</v>
      </c>
      <c r="Y82" s="75">
        <f ca="1" t="shared" si="4"/>
        <v>0</v>
      </c>
    </row>
    <row r="83" ht="16.5" spans="1:25">
      <c r="A83" s="74">
        <v>81</v>
      </c>
      <c r="B83" s="65">
        <v>50</v>
      </c>
      <c r="C83" s="75">
        <f>INT(产出预期!M69)</f>
        <v>6826</v>
      </c>
      <c r="D83" s="75">
        <f ca="1" t="shared" ref="D83:V83" si="52">IFERROR(MATCH(D388*10,OFFSET($AS$339:$AS$388,0,D$335),1),0)</f>
        <v>37</v>
      </c>
      <c r="E83" s="75">
        <f ca="1" t="shared" si="52"/>
        <v>37</v>
      </c>
      <c r="F83" s="75">
        <f ca="1" t="shared" si="52"/>
        <v>37</v>
      </c>
      <c r="G83" s="75">
        <f ca="1" t="shared" si="52"/>
        <v>27</v>
      </c>
      <c r="H83" s="75">
        <f ca="1" t="shared" si="52"/>
        <v>27</v>
      </c>
      <c r="I83" s="75">
        <f ca="1" t="shared" si="52"/>
        <v>27</v>
      </c>
      <c r="J83" s="75">
        <f ca="1" t="shared" si="52"/>
        <v>27</v>
      </c>
      <c r="K83" s="75">
        <f ca="1" t="shared" si="52"/>
        <v>27</v>
      </c>
      <c r="L83" s="75">
        <f ca="1" t="shared" si="52"/>
        <v>26</v>
      </c>
      <c r="M83" s="75">
        <f ca="1" t="shared" si="52"/>
        <v>19</v>
      </c>
      <c r="N83" s="75">
        <f ca="1" t="shared" si="52"/>
        <v>18</v>
      </c>
      <c r="O83" s="75">
        <f ca="1" t="shared" si="52"/>
        <v>18</v>
      </c>
      <c r="P83" s="75">
        <f ca="1" t="shared" si="52"/>
        <v>17</v>
      </c>
      <c r="Q83" s="75">
        <f ca="1" t="shared" si="52"/>
        <v>17</v>
      </c>
      <c r="R83" s="75">
        <f ca="1" t="shared" si="52"/>
        <v>15</v>
      </c>
      <c r="S83" s="75">
        <f ca="1" t="shared" si="52"/>
        <v>13</v>
      </c>
      <c r="T83" s="75">
        <f ca="1" t="shared" si="52"/>
        <v>11</v>
      </c>
      <c r="U83" s="75">
        <f ca="1" t="shared" si="52"/>
        <v>11</v>
      </c>
      <c r="V83" s="75">
        <f ca="1" t="shared" si="52"/>
        <v>10</v>
      </c>
      <c r="W83" s="75">
        <f ca="1" t="shared" si="2"/>
        <v>7</v>
      </c>
      <c r="X83" s="75">
        <f ca="1" t="shared" si="3"/>
        <v>0</v>
      </c>
      <c r="Y83" s="75">
        <f ca="1" t="shared" si="4"/>
        <v>0</v>
      </c>
    </row>
    <row r="84" ht="16.5" spans="1:25">
      <c r="A84" s="74">
        <v>82</v>
      </c>
      <c r="B84" s="65">
        <v>51</v>
      </c>
      <c r="C84" s="75">
        <f>INT(产出预期!M70)</f>
        <v>6936</v>
      </c>
      <c r="D84" s="75">
        <f ca="1" t="shared" ref="D84:V84" si="53">IFERROR(MATCH(D389*10,OFFSET($AS$339:$AS$388,0,D$335),1),0)</f>
        <v>37</v>
      </c>
      <c r="E84" s="75">
        <f ca="1" t="shared" si="53"/>
        <v>37</v>
      </c>
      <c r="F84" s="75">
        <f ca="1" t="shared" si="53"/>
        <v>37</v>
      </c>
      <c r="G84" s="75">
        <f ca="1" t="shared" si="53"/>
        <v>27</v>
      </c>
      <c r="H84" s="75">
        <f ca="1" t="shared" si="53"/>
        <v>27</v>
      </c>
      <c r="I84" s="75">
        <f ca="1" t="shared" si="53"/>
        <v>27</v>
      </c>
      <c r="J84" s="75">
        <f ca="1" t="shared" si="53"/>
        <v>27</v>
      </c>
      <c r="K84" s="75">
        <f ca="1" t="shared" si="53"/>
        <v>27</v>
      </c>
      <c r="L84" s="75">
        <f ca="1" t="shared" si="53"/>
        <v>27</v>
      </c>
      <c r="M84" s="75">
        <f ca="1" t="shared" si="53"/>
        <v>20</v>
      </c>
      <c r="N84" s="75">
        <f ca="1" t="shared" si="53"/>
        <v>19</v>
      </c>
      <c r="O84" s="75">
        <f ca="1" t="shared" si="53"/>
        <v>18</v>
      </c>
      <c r="P84" s="75">
        <f ca="1" t="shared" si="53"/>
        <v>18</v>
      </c>
      <c r="Q84" s="75">
        <f ca="1" t="shared" si="53"/>
        <v>17</v>
      </c>
      <c r="R84" s="75">
        <f ca="1" t="shared" si="53"/>
        <v>15</v>
      </c>
      <c r="S84" s="75">
        <f ca="1" t="shared" si="53"/>
        <v>13</v>
      </c>
      <c r="T84" s="75">
        <f ca="1" t="shared" si="53"/>
        <v>11</v>
      </c>
      <c r="U84" s="75">
        <f ca="1" t="shared" si="53"/>
        <v>11</v>
      </c>
      <c r="V84" s="75">
        <f ca="1" t="shared" si="53"/>
        <v>10</v>
      </c>
      <c r="W84" s="75">
        <f ca="1" t="shared" si="2"/>
        <v>7</v>
      </c>
      <c r="X84" s="75">
        <f ca="1" t="shared" si="3"/>
        <v>5</v>
      </c>
      <c r="Y84" s="75">
        <f ca="1" t="shared" si="4"/>
        <v>0</v>
      </c>
    </row>
    <row r="85" ht="16.5" spans="1:25">
      <c r="A85" s="74">
        <v>82</v>
      </c>
      <c r="B85" s="65">
        <v>52</v>
      </c>
      <c r="C85" s="75">
        <f>INT(产出预期!M71)</f>
        <v>7046</v>
      </c>
      <c r="D85" s="75">
        <f ca="1" t="shared" ref="D85:V85" si="54">IFERROR(MATCH(D390*10,OFFSET($AS$339:$AS$388,0,D$335),1),0)</f>
        <v>37</v>
      </c>
      <c r="E85" s="75">
        <f ca="1" t="shared" si="54"/>
        <v>37</v>
      </c>
      <c r="F85" s="75">
        <f ca="1" t="shared" si="54"/>
        <v>37</v>
      </c>
      <c r="G85" s="75">
        <f ca="1" t="shared" si="54"/>
        <v>27</v>
      </c>
      <c r="H85" s="75">
        <f ca="1" t="shared" si="54"/>
        <v>27</v>
      </c>
      <c r="I85" s="75">
        <f ca="1" t="shared" si="54"/>
        <v>27</v>
      </c>
      <c r="J85" s="75">
        <f ca="1" t="shared" si="54"/>
        <v>27</v>
      </c>
      <c r="K85" s="75">
        <f ca="1" t="shared" si="54"/>
        <v>27</v>
      </c>
      <c r="L85" s="75">
        <f ca="1" t="shared" si="54"/>
        <v>27</v>
      </c>
      <c r="M85" s="75">
        <f ca="1" t="shared" si="54"/>
        <v>20</v>
      </c>
      <c r="N85" s="75">
        <f ca="1" t="shared" si="54"/>
        <v>19</v>
      </c>
      <c r="O85" s="75">
        <f ca="1" t="shared" si="54"/>
        <v>19</v>
      </c>
      <c r="P85" s="75">
        <f ca="1" t="shared" si="54"/>
        <v>18</v>
      </c>
      <c r="Q85" s="75">
        <f ca="1" t="shared" si="54"/>
        <v>18</v>
      </c>
      <c r="R85" s="75">
        <f ca="1" t="shared" si="54"/>
        <v>15</v>
      </c>
      <c r="S85" s="75">
        <f ca="1" t="shared" si="54"/>
        <v>14</v>
      </c>
      <c r="T85" s="75">
        <f ca="1" t="shared" si="54"/>
        <v>12</v>
      </c>
      <c r="U85" s="75">
        <f ca="1" t="shared" si="54"/>
        <v>12</v>
      </c>
      <c r="V85" s="75">
        <f ca="1" t="shared" si="54"/>
        <v>10</v>
      </c>
      <c r="W85" s="75">
        <f ca="1" t="shared" si="2"/>
        <v>7</v>
      </c>
      <c r="X85" s="75">
        <f ca="1" t="shared" si="3"/>
        <v>5</v>
      </c>
      <c r="Y85" s="75">
        <f ca="1" t="shared" si="4"/>
        <v>0</v>
      </c>
    </row>
    <row r="86" ht="16.5" spans="1:25">
      <c r="A86" s="74">
        <v>83</v>
      </c>
      <c r="B86" s="65">
        <v>53</v>
      </c>
      <c r="C86" s="75">
        <f>INT(产出预期!M72)</f>
        <v>7156</v>
      </c>
      <c r="D86" s="75">
        <f ca="1" t="shared" ref="D86:V86" si="55">IFERROR(MATCH(D391*10,OFFSET($AS$339:$AS$388,0,D$335),1),0)</f>
        <v>37</v>
      </c>
      <c r="E86" s="75">
        <f ca="1" t="shared" si="55"/>
        <v>37</v>
      </c>
      <c r="F86" s="75">
        <f ca="1" t="shared" si="55"/>
        <v>37</v>
      </c>
      <c r="G86" s="75">
        <f ca="1" t="shared" si="55"/>
        <v>27</v>
      </c>
      <c r="H86" s="75">
        <f ca="1" t="shared" si="55"/>
        <v>27</v>
      </c>
      <c r="I86" s="75">
        <f ca="1" t="shared" si="55"/>
        <v>27</v>
      </c>
      <c r="J86" s="75">
        <f ca="1" t="shared" si="55"/>
        <v>27</v>
      </c>
      <c r="K86" s="75">
        <f ca="1" t="shared" si="55"/>
        <v>27</v>
      </c>
      <c r="L86" s="75">
        <f ca="1" t="shared" si="55"/>
        <v>27</v>
      </c>
      <c r="M86" s="75">
        <f ca="1" t="shared" si="55"/>
        <v>20</v>
      </c>
      <c r="N86" s="75">
        <f ca="1" t="shared" si="55"/>
        <v>19</v>
      </c>
      <c r="O86" s="75">
        <f ca="1" t="shared" si="55"/>
        <v>19</v>
      </c>
      <c r="P86" s="75">
        <f ca="1" t="shared" si="55"/>
        <v>18</v>
      </c>
      <c r="Q86" s="75">
        <f ca="1" t="shared" si="55"/>
        <v>18</v>
      </c>
      <c r="R86" s="75">
        <f ca="1" t="shared" si="55"/>
        <v>15</v>
      </c>
      <c r="S86" s="75">
        <f ca="1" t="shared" si="55"/>
        <v>14</v>
      </c>
      <c r="T86" s="75">
        <f ca="1" t="shared" si="55"/>
        <v>12</v>
      </c>
      <c r="U86" s="75">
        <f ca="1" t="shared" si="55"/>
        <v>12</v>
      </c>
      <c r="V86" s="75">
        <f ca="1" t="shared" si="55"/>
        <v>10</v>
      </c>
      <c r="W86" s="75">
        <f ca="1" t="shared" si="2"/>
        <v>8</v>
      </c>
      <c r="X86" s="75">
        <f ca="1" t="shared" si="3"/>
        <v>5</v>
      </c>
      <c r="Y86" s="75">
        <f ca="1" t="shared" si="4"/>
        <v>0</v>
      </c>
    </row>
    <row r="87" ht="16.5" spans="1:25">
      <c r="A87" s="74">
        <v>83</v>
      </c>
      <c r="B87" s="65">
        <v>54</v>
      </c>
      <c r="C87" s="75">
        <f>INT(产出预期!M73)</f>
        <v>7266</v>
      </c>
      <c r="D87" s="75">
        <f ca="1" t="shared" ref="D87:V87" si="56">IFERROR(MATCH(D392*10,OFFSET($AS$339:$AS$388,0,D$335),1),0)</f>
        <v>38</v>
      </c>
      <c r="E87" s="75">
        <f ca="1" t="shared" si="56"/>
        <v>38</v>
      </c>
      <c r="F87" s="75">
        <f ca="1" t="shared" si="56"/>
        <v>38</v>
      </c>
      <c r="G87" s="75">
        <f ca="1" t="shared" si="56"/>
        <v>27</v>
      </c>
      <c r="H87" s="75">
        <f ca="1" t="shared" si="56"/>
        <v>27</v>
      </c>
      <c r="I87" s="75">
        <f ca="1" t="shared" si="56"/>
        <v>27</v>
      </c>
      <c r="J87" s="75">
        <f ca="1" t="shared" si="56"/>
        <v>27</v>
      </c>
      <c r="K87" s="75">
        <f ca="1" t="shared" si="56"/>
        <v>27</v>
      </c>
      <c r="L87" s="75">
        <f ca="1" t="shared" si="56"/>
        <v>27</v>
      </c>
      <c r="M87" s="75">
        <f ca="1" t="shared" si="56"/>
        <v>20</v>
      </c>
      <c r="N87" s="75">
        <f ca="1" t="shared" si="56"/>
        <v>19</v>
      </c>
      <c r="O87" s="75">
        <f ca="1" t="shared" si="56"/>
        <v>19</v>
      </c>
      <c r="P87" s="75">
        <f ca="1" t="shared" si="56"/>
        <v>19</v>
      </c>
      <c r="Q87" s="75">
        <f ca="1" t="shared" si="56"/>
        <v>18</v>
      </c>
      <c r="R87" s="75">
        <f ca="1" t="shared" si="56"/>
        <v>15</v>
      </c>
      <c r="S87" s="75">
        <f ca="1" t="shared" si="56"/>
        <v>15</v>
      </c>
      <c r="T87" s="75">
        <f ca="1" t="shared" si="56"/>
        <v>12</v>
      </c>
      <c r="U87" s="75">
        <f ca="1" t="shared" si="56"/>
        <v>12</v>
      </c>
      <c r="V87" s="75">
        <f ca="1" t="shared" si="56"/>
        <v>10</v>
      </c>
      <c r="W87" s="75">
        <f ca="1" t="shared" si="2"/>
        <v>8</v>
      </c>
      <c r="X87" s="75">
        <f ca="1" t="shared" si="3"/>
        <v>6</v>
      </c>
      <c r="Y87" s="75">
        <f ca="1" t="shared" si="4"/>
        <v>0</v>
      </c>
    </row>
    <row r="88" ht="16.5" spans="1:25">
      <c r="A88" s="74">
        <v>84</v>
      </c>
      <c r="B88" s="65">
        <v>55</v>
      </c>
      <c r="C88" s="75">
        <f>INT(产出预期!M74)</f>
        <v>7376</v>
      </c>
      <c r="D88" s="75">
        <f ca="1" t="shared" ref="D88:V88" si="57">IFERROR(MATCH(D393*10,OFFSET($AS$339:$AS$388,0,D$335),1),0)</f>
        <v>38</v>
      </c>
      <c r="E88" s="75">
        <f ca="1" t="shared" si="57"/>
        <v>38</v>
      </c>
      <c r="F88" s="75">
        <f ca="1" t="shared" si="57"/>
        <v>38</v>
      </c>
      <c r="G88" s="75">
        <f ca="1" t="shared" si="57"/>
        <v>27</v>
      </c>
      <c r="H88" s="75">
        <f ca="1" t="shared" si="57"/>
        <v>27</v>
      </c>
      <c r="I88" s="75">
        <f ca="1" t="shared" si="57"/>
        <v>27</v>
      </c>
      <c r="J88" s="75">
        <f ca="1" t="shared" si="57"/>
        <v>27</v>
      </c>
      <c r="K88" s="75">
        <f ca="1" t="shared" si="57"/>
        <v>27</v>
      </c>
      <c r="L88" s="75">
        <f ca="1" t="shared" si="57"/>
        <v>27</v>
      </c>
      <c r="M88" s="75">
        <f ca="1" t="shared" si="57"/>
        <v>20</v>
      </c>
      <c r="N88" s="75">
        <f ca="1" t="shared" si="57"/>
        <v>19</v>
      </c>
      <c r="O88" s="75">
        <f ca="1" t="shared" si="57"/>
        <v>19</v>
      </c>
      <c r="P88" s="75">
        <f ca="1" t="shared" si="57"/>
        <v>19</v>
      </c>
      <c r="Q88" s="75">
        <f ca="1" t="shared" si="57"/>
        <v>19</v>
      </c>
      <c r="R88" s="75">
        <f ca="1" t="shared" si="57"/>
        <v>15</v>
      </c>
      <c r="S88" s="75">
        <f ca="1" t="shared" si="57"/>
        <v>15</v>
      </c>
      <c r="T88" s="75">
        <f ca="1" t="shared" si="57"/>
        <v>12</v>
      </c>
      <c r="U88" s="75">
        <f ca="1" t="shared" si="57"/>
        <v>12</v>
      </c>
      <c r="V88" s="75">
        <f ca="1" t="shared" si="57"/>
        <v>11</v>
      </c>
      <c r="W88" s="75">
        <f ca="1" t="shared" si="2"/>
        <v>8</v>
      </c>
      <c r="X88" s="75">
        <f ca="1" t="shared" si="3"/>
        <v>6</v>
      </c>
      <c r="Y88" s="75">
        <f ca="1" t="shared" si="4"/>
        <v>0</v>
      </c>
    </row>
    <row r="89" ht="16.5" spans="1:25">
      <c r="A89" s="74">
        <v>84</v>
      </c>
      <c r="B89" s="65">
        <v>56</v>
      </c>
      <c r="C89" s="75">
        <f>INT(产出预期!M75)</f>
        <v>7486</v>
      </c>
      <c r="D89" s="75">
        <f ca="1" t="shared" ref="D89:V89" si="58">IFERROR(MATCH(D394*10,OFFSET($AS$339:$AS$388,0,D$335),1),0)</f>
        <v>38</v>
      </c>
      <c r="E89" s="75">
        <f ca="1" t="shared" si="58"/>
        <v>38</v>
      </c>
      <c r="F89" s="75">
        <f ca="1" t="shared" si="58"/>
        <v>38</v>
      </c>
      <c r="G89" s="75">
        <f ca="1" t="shared" si="58"/>
        <v>28</v>
      </c>
      <c r="H89" s="75">
        <f ca="1" t="shared" si="58"/>
        <v>28</v>
      </c>
      <c r="I89" s="75">
        <f ca="1" t="shared" si="58"/>
        <v>28</v>
      </c>
      <c r="J89" s="75">
        <f ca="1" t="shared" si="58"/>
        <v>28</v>
      </c>
      <c r="K89" s="75">
        <f ca="1" t="shared" si="58"/>
        <v>28</v>
      </c>
      <c r="L89" s="75">
        <f ca="1" t="shared" si="58"/>
        <v>27</v>
      </c>
      <c r="M89" s="75">
        <f ca="1" t="shared" si="58"/>
        <v>20</v>
      </c>
      <c r="N89" s="75">
        <f ca="1" t="shared" si="58"/>
        <v>19</v>
      </c>
      <c r="O89" s="75">
        <f ca="1" t="shared" si="58"/>
        <v>19</v>
      </c>
      <c r="P89" s="75">
        <f ca="1" t="shared" si="58"/>
        <v>19</v>
      </c>
      <c r="Q89" s="75">
        <f ca="1" t="shared" si="58"/>
        <v>19</v>
      </c>
      <c r="R89" s="75">
        <f ca="1" t="shared" si="58"/>
        <v>16</v>
      </c>
      <c r="S89" s="75">
        <f ca="1" t="shared" si="58"/>
        <v>15</v>
      </c>
      <c r="T89" s="75">
        <f ca="1" t="shared" si="58"/>
        <v>12</v>
      </c>
      <c r="U89" s="75">
        <f ca="1" t="shared" si="58"/>
        <v>12</v>
      </c>
      <c r="V89" s="75">
        <f ca="1" t="shared" si="58"/>
        <v>11</v>
      </c>
      <c r="W89" s="75">
        <f ca="1" t="shared" si="2"/>
        <v>8</v>
      </c>
      <c r="X89" s="75">
        <f ca="1" t="shared" si="3"/>
        <v>6</v>
      </c>
      <c r="Y89" s="75">
        <f ca="1" t="shared" si="4"/>
        <v>0</v>
      </c>
    </row>
    <row r="90" ht="16.5" spans="1:25">
      <c r="A90" s="74">
        <v>85</v>
      </c>
      <c r="B90" s="65">
        <v>57</v>
      </c>
      <c r="C90" s="75">
        <f>INT(产出预期!M76)</f>
        <v>7596</v>
      </c>
      <c r="D90" s="75">
        <f ca="1" t="shared" ref="D90:V90" si="59">IFERROR(MATCH(D395*10,OFFSET($AS$339:$AS$388,0,D$335),1),0)</f>
        <v>38</v>
      </c>
      <c r="E90" s="75">
        <f ca="1" t="shared" si="59"/>
        <v>38</v>
      </c>
      <c r="F90" s="75">
        <f ca="1" t="shared" si="59"/>
        <v>38</v>
      </c>
      <c r="G90" s="75">
        <f ca="1" t="shared" si="59"/>
        <v>28</v>
      </c>
      <c r="H90" s="75">
        <f ca="1" t="shared" si="59"/>
        <v>28</v>
      </c>
      <c r="I90" s="75">
        <f ca="1" t="shared" si="59"/>
        <v>28</v>
      </c>
      <c r="J90" s="75">
        <f ca="1" t="shared" si="59"/>
        <v>28</v>
      </c>
      <c r="K90" s="75">
        <f ca="1" t="shared" si="59"/>
        <v>28</v>
      </c>
      <c r="L90" s="75">
        <f ca="1" t="shared" si="59"/>
        <v>28</v>
      </c>
      <c r="M90" s="75">
        <f ca="1" t="shared" si="59"/>
        <v>21</v>
      </c>
      <c r="N90" s="75">
        <f ca="1" t="shared" si="59"/>
        <v>20</v>
      </c>
      <c r="O90" s="75">
        <f ca="1" t="shared" si="59"/>
        <v>19</v>
      </c>
      <c r="P90" s="75">
        <f ca="1" t="shared" si="59"/>
        <v>19</v>
      </c>
      <c r="Q90" s="75">
        <f ca="1" t="shared" si="59"/>
        <v>19</v>
      </c>
      <c r="R90" s="75">
        <f ca="1" t="shared" si="59"/>
        <v>16</v>
      </c>
      <c r="S90" s="75">
        <f ca="1" t="shared" si="59"/>
        <v>15</v>
      </c>
      <c r="T90" s="75">
        <f ca="1" t="shared" si="59"/>
        <v>12</v>
      </c>
      <c r="U90" s="75">
        <f ca="1" t="shared" si="59"/>
        <v>12</v>
      </c>
      <c r="V90" s="75">
        <f ca="1" t="shared" si="59"/>
        <v>11</v>
      </c>
      <c r="W90" s="75">
        <f ca="1" t="shared" si="2"/>
        <v>9</v>
      </c>
      <c r="X90" s="75">
        <f ca="1" t="shared" si="3"/>
        <v>6</v>
      </c>
      <c r="Y90" s="75">
        <f ca="1" t="shared" si="4"/>
        <v>0</v>
      </c>
    </row>
    <row r="91" ht="16.5" spans="1:25">
      <c r="A91" s="74">
        <v>85</v>
      </c>
      <c r="B91" s="65">
        <v>58</v>
      </c>
      <c r="C91" s="75">
        <f>INT(产出预期!M77)</f>
        <v>7706</v>
      </c>
      <c r="D91" s="75">
        <f ca="1" t="shared" ref="D91:V91" si="60">IFERROR(MATCH(D396*10,OFFSET($AS$339:$AS$388,0,D$335),1),0)</f>
        <v>38</v>
      </c>
      <c r="E91" s="75">
        <f ca="1" t="shared" si="60"/>
        <v>38</v>
      </c>
      <c r="F91" s="75">
        <f ca="1" t="shared" si="60"/>
        <v>38</v>
      </c>
      <c r="G91" s="75">
        <f ca="1" t="shared" si="60"/>
        <v>28</v>
      </c>
      <c r="H91" s="75">
        <f ca="1" t="shared" si="60"/>
        <v>28</v>
      </c>
      <c r="I91" s="75">
        <f ca="1" t="shared" si="60"/>
        <v>28</v>
      </c>
      <c r="J91" s="75">
        <f ca="1" t="shared" si="60"/>
        <v>28</v>
      </c>
      <c r="K91" s="75">
        <f ca="1" t="shared" si="60"/>
        <v>28</v>
      </c>
      <c r="L91" s="75">
        <f ca="1" t="shared" si="60"/>
        <v>28</v>
      </c>
      <c r="M91" s="75">
        <f ca="1" t="shared" si="60"/>
        <v>21</v>
      </c>
      <c r="N91" s="75">
        <f ca="1" t="shared" si="60"/>
        <v>20</v>
      </c>
      <c r="O91" s="75">
        <f ca="1" t="shared" si="60"/>
        <v>19</v>
      </c>
      <c r="P91" s="75">
        <f ca="1" t="shared" si="60"/>
        <v>19</v>
      </c>
      <c r="Q91" s="75">
        <f ca="1" t="shared" si="60"/>
        <v>19</v>
      </c>
      <c r="R91" s="75">
        <f ca="1" t="shared" si="60"/>
        <v>16</v>
      </c>
      <c r="S91" s="75">
        <f ca="1" t="shared" si="60"/>
        <v>15</v>
      </c>
      <c r="T91" s="75">
        <f ca="1" t="shared" si="60"/>
        <v>13</v>
      </c>
      <c r="U91" s="75">
        <f ca="1" t="shared" si="60"/>
        <v>13</v>
      </c>
      <c r="V91" s="75">
        <f ca="1" t="shared" si="60"/>
        <v>11</v>
      </c>
      <c r="W91" s="75">
        <f ca="1" t="shared" si="2"/>
        <v>9</v>
      </c>
      <c r="X91" s="75">
        <f ca="1" t="shared" si="3"/>
        <v>7</v>
      </c>
      <c r="Y91" s="75">
        <f ca="1" t="shared" si="4"/>
        <v>0</v>
      </c>
    </row>
    <row r="92" ht="16.5" spans="1:25">
      <c r="A92" s="74">
        <v>86</v>
      </c>
      <c r="B92" s="65">
        <v>59</v>
      </c>
      <c r="C92" s="75">
        <f>INT(产出预期!M78)</f>
        <v>7816</v>
      </c>
      <c r="D92" s="75">
        <f ca="1" t="shared" ref="D92:V92" si="61">IFERROR(MATCH(D397*10,OFFSET($AS$339:$AS$388,0,D$335),1),0)</f>
        <v>38</v>
      </c>
      <c r="E92" s="75">
        <f ca="1" t="shared" si="61"/>
        <v>38</v>
      </c>
      <c r="F92" s="75">
        <f ca="1" t="shared" si="61"/>
        <v>38</v>
      </c>
      <c r="G92" s="75">
        <f ca="1" t="shared" si="61"/>
        <v>28</v>
      </c>
      <c r="H92" s="75">
        <f ca="1" t="shared" si="61"/>
        <v>28</v>
      </c>
      <c r="I92" s="75">
        <f ca="1" t="shared" si="61"/>
        <v>28</v>
      </c>
      <c r="J92" s="75">
        <f ca="1" t="shared" si="61"/>
        <v>28</v>
      </c>
      <c r="K92" s="75">
        <f ca="1" t="shared" si="61"/>
        <v>28</v>
      </c>
      <c r="L92" s="75">
        <f ca="1" t="shared" si="61"/>
        <v>28</v>
      </c>
      <c r="M92" s="75">
        <f ca="1" t="shared" si="61"/>
        <v>21</v>
      </c>
      <c r="N92" s="75">
        <f ca="1" t="shared" si="61"/>
        <v>20</v>
      </c>
      <c r="O92" s="75">
        <f ca="1" t="shared" si="61"/>
        <v>20</v>
      </c>
      <c r="P92" s="75">
        <f ca="1" t="shared" si="61"/>
        <v>19</v>
      </c>
      <c r="Q92" s="75">
        <f ca="1" t="shared" si="61"/>
        <v>19</v>
      </c>
      <c r="R92" s="75">
        <f ca="1" t="shared" si="61"/>
        <v>16</v>
      </c>
      <c r="S92" s="75">
        <f ca="1" t="shared" si="61"/>
        <v>15</v>
      </c>
      <c r="T92" s="75">
        <f ca="1" t="shared" si="61"/>
        <v>13</v>
      </c>
      <c r="U92" s="75">
        <f ca="1" t="shared" si="61"/>
        <v>13</v>
      </c>
      <c r="V92" s="75">
        <f ca="1" t="shared" si="61"/>
        <v>11</v>
      </c>
      <c r="W92" s="75">
        <f ca="1" t="shared" si="2"/>
        <v>9</v>
      </c>
      <c r="X92" s="75">
        <f ca="1" t="shared" si="3"/>
        <v>7</v>
      </c>
      <c r="Y92" s="75">
        <f ca="1" t="shared" si="4"/>
        <v>5</v>
      </c>
    </row>
    <row r="93" ht="16.5" spans="1:25">
      <c r="A93" s="74">
        <v>86</v>
      </c>
      <c r="B93" s="65">
        <v>60</v>
      </c>
      <c r="C93" s="75">
        <f>INT(产出预期!M79)</f>
        <v>7926</v>
      </c>
      <c r="D93" s="75">
        <f ca="1" t="shared" ref="D93:V93" si="62">IFERROR(MATCH(D398*10,OFFSET($AS$339:$AS$388,0,D$335),1),0)</f>
        <v>38</v>
      </c>
      <c r="E93" s="75">
        <f ca="1" t="shared" si="62"/>
        <v>38</v>
      </c>
      <c r="F93" s="75">
        <f ca="1" t="shared" si="62"/>
        <v>38</v>
      </c>
      <c r="G93" s="75">
        <f ca="1" t="shared" si="62"/>
        <v>28</v>
      </c>
      <c r="H93" s="75">
        <f ca="1" t="shared" si="62"/>
        <v>28</v>
      </c>
      <c r="I93" s="75">
        <f ca="1" t="shared" si="62"/>
        <v>28</v>
      </c>
      <c r="J93" s="75">
        <f ca="1" t="shared" si="62"/>
        <v>28</v>
      </c>
      <c r="K93" s="75">
        <f ca="1" t="shared" si="62"/>
        <v>28</v>
      </c>
      <c r="L93" s="75">
        <f ca="1" t="shared" si="62"/>
        <v>28</v>
      </c>
      <c r="M93" s="75">
        <f ca="1" t="shared" si="62"/>
        <v>21</v>
      </c>
      <c r="N93" s="75">
        <f ca="1" t="shared" si="62"/>
        <v>20</v>
      </c>
      <c r="O93" s="75">
        <f ca="1" t="shared" si="62"/>
        <v>20</v>
      </c>
      <c r="P93" s="75">
        <f ca="1" t="shared" si="62"/>
        <v>19</v>
      </c>
      <c r="Q93" s="75">
        <f ca="1" t="shared" si="62"/>
        <v>19</v>
      </c>
      <c r="R93" s="75">
        <f ca="1" t="shared" si="62"/>
        <v>17</v>
      </c>
      <c r="S93" s="75">
        <f ca="1" t="shared" si="62"/>
        <v>16</v>
      </c>
      <c r="T93" s="75">
        <f ca="1" t="shared" si="62"/>
        <v>13</v>
      </c>
      <c r="U93" s="75">
        <f ca="1" t="shared" si="62"/>
        <v>13</v>
      </c>
      <c r="V93" s="75">
        <f ca="1" t="shared" si="62"/>
        <v>11</v>
      </c>
      <c r="W93" s="75">
        <f ca="1" t="shared" si="2"/>
        <v>10</v>
      </c>
      <c r="X93" s="75">
        <f ca="1" t="shared" si="3"/>
        <v>7</v>
      </c>
      <c r="Y93" s="75">
        <f ca="1" t="shared" si="4"/>
        <v>5</v>
      </c>
    </row>
    <row r="94" ht="16.5" spans="1:25">
      <c r="A94" s="74">
        <v>87</v>
      </c>
      <c r="B94" s="65">
        <v>61</v>
      </c>
      <c r="C94" s="75">
        <f>INT(产出预期!M80)</f>
        <v>8036</v>
      </c>
      <c r="D94" s="75">
        <f ca="1" t="shared" ref="D94:V94" si="63">IFERROR(MATCH(D399*10,OFFSET($AS$339:$AS$388,0,D$335),1),0)</f>
        <v>38</v>
      </c>
      <c r="E94" s="75">
        <f ca="1" t="shared" si="63"/>
        <v>38</v>
      </c>
      <c r="F94" s="75">
        <f ca="1" t="shared" si="63"/>
        <v>38</v>
      </c>
      <c r="G94" s="75">
        <f ca="1" t="shared" si="63"/>
        <v>28</v>
      </c>
      <c r="H94" s="75">
        <f ca="1" t="shared" si="63"/>
        <v>28</v>
      </c>
      <c r="I94" s="75">
        <f ca="1" t="shared" si="63"/>
        <v>28</v>
      </c>
      <c r="J94" s="75">
        <f ca="1" t="shared" si="63"/>
        <v>28</v>
      </c>
      <c r="K94" s="75">
        <f ca="1" t="shared" si="63"/>
        <v>28</v>
      </c>
      <c r="L94" s="75">
        <f ca="1" t="shared" si="63"/>
        <v>28</v>
      </c>
      <c r="M94" s="75">
        <f ca="1" t="shared" si="63"/>
        <v>21</v>
      </c>
      <c r="N94" s="75">
        <f ca="1" t="shared" si="63"/>
        <v>20</v>
      </c>
      <c r="O94" s="75">
        <f ca="1" t="shared" si="63"/>
        <v>20</v>
      </c>
      <c r="P94" s="75">
        <f ca="1" t="shared" si="63"/>
        <v>20</v>
      </c>
      <c r="Q94" s="75">
        <f ca="1" t="shared" si="63"/>
        <v>19</v>
      </c>
      <c r="R94" s="75">
        <f ca="1" t="shared" si="63"/>
        <v>17</v>
      </c>
      <c r="S94" s="75">
        <f ca="1" t="shared" si="63"/>
        <v>16</v>
      </c>
      <c r="T94" s="75">
        <f ca="1" t="shared" si="63"/>
        <v>13</v>
      </c>
      <c r="U94" s="75">
        <f ca="1" t="shared" si="63"/>
        <v>13</v>
      </c>
      <c r="V94" s="75">
        <f ca="1" t="shared" si="63"/>
        <v>12</v>
      </c>
      <c r="W94" s="75">
        <f ca="1" t="shared" si="2"/>
        <v>10</v>
      </c>
      <c r="X94" s="75">
        <f ca="1" t="shared" si="3"/>
        <v>8</v>
      </c>
      <c r="Y94" s="75">
        <f ca="1" t="shared" si="4"/>
        <v>5</v>
      </c>
    </row>
    <row r="95" ht="16.5" spans="1:25">
      <c r="A95" s="74">
        <v>87</v>
      </c>
      <c r="B95" s="65">
        <v>62</v>
      </c>
      <c r="C95" s="75">
        <f>INT(产出预期!M81)</f>
        <v>8146</v>
      </c>
      <c r="D95" s="75">
        <f ca="1" t="shared" ref="D95:V95" si="64">IFERROR(MATCH(D400*10,OFFSET($AS$339:$AS$388,0,D$335),1),0)</f>
        <v>38</v>
      </c>
      <c r="E95" s="75">
        <f ca="1" t="shared" si="64"/>
        <v>38</v>
      </c>
      <c r="F95" s="75">
        <f ca="1" t="shared" si="64"/>
        <v>38</v>
      </c>
      <c r="G95" s="75">
        <f ca="1" t="shared" si="64"/>
        <v>29</v>
      </c>
      <c r="H95" s="75">
        <f ca="1" t="shared" si="64"/>
        <v>29</v>
      </c>
      <c r="I95" s="75">
        <f ca="1" t="shared" si="64"/>
        <v>29</v>
      </c>
      <c r="J95" s="75">
        <f ca="1" t="shared" si="64"/>
        <v>29</v>
      </c>
      <c r="K95" s="75">
        <f ca="1" t="shared" si="64"/>
        <v>29</v>
      </c>
      <c r="L95" s="75">
        <f ca="1" t="shared" si="64"/>
        <v>28</v>
      </c>
      <c r="M95" s="75">
        <f ca="1" t="shared" si="64"/>
        <v>21</v>
      </c>
      <c r="N95" s="75">
        <f ca="1" t="shared" si="64"/>
        <v>21</v>
      </c>
      <c r="O95" s="75">
        <f ca="1" t="shared" si="64"/>
        <v>20</v>
      </c>
      <c r="P95" s="75">
        <f ca="1" t="shared" si="64"/>
        <v>20</v>
      </c>
      <c r="Q95" s="75">
        <f ca="1" t="shared" si="64"/>
        <v>20</v>
      </c>
      <c r="R95" s="75">
        <f ca="1" t="shared" si="64"/>
        <v>17</v>
      </c>
      <c r="S95" s="75">
        <f ca="1" t="shared" si="64"/>
        <v>16</v>
      </c>
      <c r="T95" s="75">
        <f ca="1" t="shared" si="64"/>
        <v>14</v>
      </c>
      <c r="U95" s="75">
        <f ca="1" t="shared" si="64"/>
        <v>13</v>
      </c>
      <c r="V95" s="75">
        <f ca="1" t="shared" si="64"/>
        <v>12</v>
      </c>
      <c r="W95" s="75">
        <f ca="1" t="shared" si="2"/>
        <v>10</v>
      </c>
      <c r="X95" s="75">
        <f ca="1" t="shared" si="3"/>
        <v>8</v>
      </c>
      <c r="Y95" s="75">
        <f ca="1" t="shared" si="4"/>
        <v>6</v>
      </c>
    </row>
    <row r="96" ht="16.5" spans="1:25">
      <c r="A96" s="74">
        <v>88</v>
      </c>
      <c r="B96" s="65">
        <v>63</v>
      </c>
      <c r="C96" s="75">
        <f>INT(产出预期!M82)</f>
        <v>8256</v>
      </c>
      <c r="D96" s="75">
        <f ca="1" t="shared" ref="D96:V96" si="65">IFERROR(MATCH(D401*10,OFFSET($AS$339:$AS$388,0,D$335),1),0)</f>
        <v>39</v>
      </c>
      <c r="E96" s="75">
        <f ca="1" t="shared" si="65"/>
        <v>39</v>
      </c>
      <c r="F96" s="75">
        <f ca="1" t="shared" si="65"/>
        <v>39</v>
      </c>
      <c r="G96" s="75">
        <f ca="1" t="shared" si="65"/>
        <v>29</v>
      </c>
      <c r="H96" s="75">
        <f ca="1" t="shared" si="65"/>
        <v>29</v>
      </c>
      <c r="I96" s="75">
        <f ca="1" t="shared" si="65"/>
        <v>29</v>
      </c>
      <c r="J96" s="75">
        <f ca="1" t="shared" si="65"/>
        <v>29</v>
      </c>
      <c r="K96" s="75">
        <f ca="1" t="shared" si="65"/>
        <v>29</v>
      </c>
      <c r="L96" s="75">
        <f ca="1" t="shared" si="65"/>
        <v>28</v>
      </c>
      <c r="M96" s="75">
        <f ca="1" t="shared" si="65"/>
        <v>21</v>
      </c>
      <c r="N96" s="75">
        <f ca="1" t="shared" si="65"/>
        <v>21</v>
      </c>
      <c r="O96" s="75">
        <f ca="1" t="shared" si="65"/>
        <v>20</v>
      </c>
      <c r="P96" s="75">
        <f ca="1" t="shared" si="65"/>
        <v>20</v>
      </c>
      <c r="Q96" s="75">
        <f ca="1" t="shared" si="65"/>
        <v>20</v>
      </c>
      <c r="R96" s="75">
        <f ca="1" t="shared" si="65"/>
        <v>18</v>
      </c>
      <c r="S96" s="75">
        <f ca="1" t="shared" si="65"/>
        <v>16</v>
      </c>
      <c r="T96" s="75">
        <f ca="1" t="shared" si="65"/>
        <v>15</v>
      </c>
      <c r="U96" s="75">
        <f ca="1" t="shared" si="65"/>
        <v>14</v>
      </c>
      <c r="V96" s="75">
        <f ca="1" t="shared" si="65"/>
        <v>12</v>
      </c>
      <c r="W96" s="75">
        <f ca="1" t="shared" si="2"/>
        <v>10</v>
      </c>
      <c r="X96" s="75">
        <f ca="1" t="shared" si="3"/>
        <v>8</v>
      </c>
      <c r="Y96" s="75">
        <f ca="1" t="shared" si="4"/>
        <v>6</v>
      </c>
    </row>
    <row r="97" ht="16.5" spans="1:25">
      <c r="A97" s="74">
        <v>88</v>
      </c>
      <c r="B97" s="65">
        <v>64</v>
      </c>
      <c r="C97" s="75">
        <f>INT(产出预期!M83)</f>
        <v>8366</v>
      </c>
      <c r="D97" s="75">
        <f ca="1" t="shared" ref="D97:V97" si="66">IFERROR(MATCH(D402*10,OFFSET($AS$339:$AS$388,0,D$335),1),0)</f>
        <v>39</v>
      </c>
      <c r="E97" s="75">
        <f ca="1" t="shared" si="66"/>
        <v>39</v>
      </c>
      <c r="F97" s="75">
        <f ca="1" t="shared" si="66"/>
        <v>39</v>
      </c>
      <c r="G97" s="75">
        <f ca="1" t="shared" si="66"/>
        <v>29</v>
      </c>
      <c r="H97" s="75">
        <f ca="1" t="shared" si="66"/>
        <v>29</v>
      </c>
      <c r="I97" s="75">
        <f ca="1" t="shared" si="66"/>
        <v>29</v>
      </c>
      <c r="J97" s="75">
        <f ca="1" t="shared" si="66"/>
        <v>29</v>
      </c>
      <c r="K97" s="75">
        <f ca="1" t="shared" si="66"/>
        <v>29</v>
      </c>
      <c r="L97" s="75">
        <f ca="1" t="shared" si="66"/>
        <v>29</v>
      </c>
      <c r="M97" s="75">
        <f ca="1" t="shared" si="66"/>
        <v>22</v>
      </c>
      <c r="N97" s="75">
        <f ca="1" t="shared" si="66"/>
        <v>21</v>
      </c>
      <c r="O97" s="75">
        <f ca="1" t="shared" si="66"/>
        <v>21</v>
      </c>
      <c r="P97" s="75">
        <f ca="1" t="shared" si="66"/>
        <v>20</v>
      </c>
      <c r="Q97" s="75">
        <f ca="1" t="shared" si="66"/>
        <v>20</v>
      </c>
      <c r="R97" s="75">
        <f ca="1" t="shared" si="66"/>
        <v>18</v>
      </c>
      <c r="S97" s="75">
        <f ca="1" t="shared" si="66"/>
        <v>17</v>
      </c>
      <c r="T97" s="75">
        <f ca="1" t="shared" si="66"/>
        <v>15</v>
      </c>
      <c r="U97" s="75">
        <f ca="1" t="shared" si="66"/>
        <v>14</v>
      </c>
      <c r="V97" s="75">
        <f ca="1" t="shared" si="66"/>
        <v>12</v>
      </c>
      <c r="W97" s="75">
        <f ca="1" t="shared" si="2"/>
        <v>10</v>
      </c>
      <c r="X97" s="75">
        <f ca="1" t="shared" si="3"/>
        <v>8</v>
      </c>
      <c r="Y97" s="75">
        <f ca="1" t="shared" si="4"/>
        <v>6</v>
      </c>
    </row>
    <row r="98" ht="16.5" spans="1:25">
      <c r="A98" s="74">
        <v>89</v>
      </c>
      <c r="B98" s="65">
        <v>65</v>
      </c>
      <c r="C98" s="75">
        <f>INT(产出预期!M84)</f>
        <v>8476</v>
      </c>
      <c r="D98" s="75">
        <f ca="1" t="shared" ref="D98:V98" si="67">IFERROR(MATCH(D403*10,OFFSET($AS$339:$AS$388,0,D$335),1),0)</f>
        <v>39</v>
      </c>
      <c r="E98" s="75">
        <f ca="1" t="shared" si="67"/>
        <v>39</v>
      </c>
      <c r="F98" s="75">
        <f ca="1" t="shared" si="67"/>
        <v>39</v>
      </c>
      <c r="G98" s="75">
        <f ca="1" t="shared" si="67"/>
        <v>29</v>
      </c>
      <c r="H98" s="75">
        <f ca="1" t="shared" si="67"/>
        <v>29</v>
      </c>
      <c r="I98" s="75">
        <f ca="1" t="shared" si="67"/>
        <v>29</v>
      </c>
      <c r="J98" s="75">
        <f ca="1" t="shared" si="67"/>
        <v>29</v>
      </c>
      <c r="K98" s="75">
        <f ca="1" t="shared" si="67"/>
        <v>29</v>
      </c>
      <c r="L98" s="75">
        <f ca="1" t="shared" si="67"/>
        <v>29</v>
      </c>
      <c r="M98" s="75">
        <f ca="1" t="shared" si="67"/>
        <v>22</v>
      </c>
      <c r="N98" s="75">
        <f ca="1" t="shared" si="67"/>
        <v>21</v>
      </c>
      <c r="O98" s="75">
        <f ca="1" t="shared" si="67"/>
        <v>21</v>
      </c>
      <c r="P98" s="75">
        <f ca="1" t="shared" si="67"/>
        <v>20</v>
      </c>
      <c r="Q98" s="75">
        <f ca="1" t="shared" si="67"/>
        <v>20</v>
      </c>
      <c r="R98" s="75">
        <f ca="1" t="shared" si="67"/>
        <v>18</v>
      </c>
      <c r="S98" s="75">
        <f ca="1" t="shared" si="67"/>
        <v>17</v>
      </c>
      <c r="T98" s="75">
        <f ca="1" t="shared" si="67"/>
        <v>15</v>
      </c>
      <c r="U98" s="75">
        <f ca="1" t="shared" si="67"/>
        <v>14</v>
      </c>
      <c r="V98" s="75">
        <f ca="1" t="shared" si="67"/>
        <v>12</v>
      </c>
      <c r="W98" s="75">
        <f ca="1" t="shared" si="2"/>
        <v>10</v>
      </c>
      <c r="X98" s="75">
        <f ca="1" t="shared" si="3"/>
        <v>9</v>
      </c>
      <c r="Y98" s="75">
        <f ca="1" t="shared" si="4"/>
        <v>6</v>
      </c>
    </row>
    <row r="99" ht="16.5" spans="1:25">
      <c r="A99" s="74">
        <v>89</v>
      </c>
      <c r="B99" s="65">
        <v>66</v>
      </c>
      <c r="C99" s="75">
        <f>INT(产出预期!M85)</f>
        <v>8586</v>
      </c>
      <c r="D99" s="75">
        <f ca="1" t="shared" ref="D99:V99" si="68">IFERROR(MATCH(D404*10,OFFSET($AS$339:$AS$388,0,D$335),1),0)</f>
        <v>39</v>
      </c>
      <c r="E99" s="75">
        <f ca="1" t="shared" si="68"/>
        <v>39</v>
      </c>
      <c r="F99" s="75">
        <f ca="1" t="shared" si="68"/>
        <v>39</v>
      </c>
      <c r="G99" s="75">
        <f ca="1" t="shared" si="68"/>
        <v>29</v>
      </c>
      <c r="H99" s="75">
        <f ca="1" t="shared" si="68"/>
        <v>29</v>
      </c>
      <c r="I99" s="75">
        <f ca="1" t="shared" si="68"/>
        <v>29</v>
      </c>
      <c r="J99" s="75">
        <f ca="1" t="shared" si="68"/>
        <v>29</v>
      </c>
      <c r="K99" s="75">
        <f ca="1" t="shared" si="68"/>
        <v>29</v>
      </c>
      <c r="L99" s="75">
        <f ca="1" t="shared" si="68"/>
        <v>29</v>
      </c>
      <c r="M99" s="75">
        <f ca="1" t="shared" si="68"/>
        <v>22</v>
      </c>
      <c r="N99" s="75">
        <f ca="1" t="shared" si="68"/>
        <v>21</v>
      </c>
      <c r="O99" s="75">
        <f ca="1" t="shared" si="68"/>
        <v>21</v>
      </c>
      <c r="P99" s="75">
        <f ca="1" t="shared" si="68"/>
        <v>20</v>
      </c>
      <c r="Q99" s="75">
        <f ca="1" t="shared" si="68"/>
        <v>20</v>
      </c>
      <c r="R99" s="75">
        <f ca="1" t="shared" si="68"/>
        <v>18</v>
      </c>
      <c r="S99" s="75">
        <f ca="1" t="shared" si="68"/>
        <v>17</v>
      </c>
      <c r="T99" s="75">
        <f ca="1" t="shared" si="68"/>
        <v>15</v>
      </c>
      <c r="U99" s="75">
        <f ca="1" t="shared" si="68"/>
        <v>14</v>
      </c>
      <c r="V99" s="75">
        <f ca="1" t="shared" si="68"/>
        <v>12</v>
      </c>
      <c r="W99" s="75">
        <f ca="1" t="shared" ref="W99:W162" si="69">IFERROR(MATCH(W404*10,OFFSET($AS$339:$AS$388,0,W$335),1),0)</f>
        <v>11</v>
      </c>
      <c r="X99" s="75">
        <f ca="1" t="shared" ref="X99:X162" si="70">IFERROR(MATCH(X404*10,OFFSET($AS$339:$AS$388,0,X$335),1),0)</f>
        <v>9</v>
      </c>
      <c r="Y99" s="75">
        <f ca="1" t="shared" ref="Y99:Y162" si="71">IFERROR(MATCH(Y404*10,OFFSET($AS$339:$AS$388,0,Y$335),1),0)</f>
        <v>7</v>
      </c>
    </row>
    <row r="100" ht="16.5" spans="1:25">
      <c r="A100" s="74">
        <v>90</v>
      </c>
      <c r="B100" s="65">
        <v>67</v>
      </c>
      <c r="C100" s="75">
        <f>INT(产出预期!M86)</f>
        <v>8696</v>
      </c>
      <c r="D100" s="75">
        <f ca="1" t="shared" ref="D100:V100" si="72">IFERROR(MATCH(D405*10,OFFSET($AS$339:$AS$388,0,D$335),1),0)</f>
        <v>39</v>
      </c>
      <c r="E100" s="75">
        <f ca="1" t="shared" si="72"/>
        <v>39</v>
      </c>
      <c r="F100" s="75">
        <f ca="1" t="shared" si="72"/>
        <v>39</v>
      </c>
      <c r="G100" s="75">
        <f ca="1" t="shared" si="72"/>
        <v>30</v>
      </c>
      <c r="H100" s="75">
        <f ca="1" t="shared" si="72"/>
        <v>30</v>
      </c>
      <c r="I100" s="75">
        <f ca="1" t="shared" si="72"/>
        <v>30</v>
      </c>
      <c r="J100" s="75">
        <f ca="1" t="shared" si="72"/>
        <v>30</v>
      </c>
      <c r="K100" s="75">
        <f ca="1" t="shared" si="72"/>
        <v>30</v>
      </c>
      <c r="L100" s="75">
        <f ca="1" t="shared" si="72"/>
        <v>29</v>
      </c>
      <c r="M100" s="75">
        <f ca="1" t="shared" si="72"/>
        <v>22</v>
      </c>
      <c r="N100" s="75">
        <f ca="1" t="shared" si="72"/>
        <v>21</v>
      </c>
      <c r="O100" s="75">
        <f ca="1" t="shared" si="72"/>
        <v>21</v>
      </c>
      <c r="P100" s="75">
        <f ca="1" t="shared" si="72"/>
        <v>21</v>
      </c>
      <c r="Q100" s="75">
        <f ca="1" t="shared" si="72"/>
        <v>21</v>
      </c>
      <c r="R100" s="75">
        <f ca="1" t="shared" si="72"/>
        <v>18</v>
      </c>
      <c r="S100" s="75">
        <f ca="1" t="shared" si="72"/>
        <v>17</v>
      </c>
      <c r="T100" s="75">
        <f ca="1" t="shared" si="72"/>
        <v>15</v>
      </c>
      <c r="U100" s="75">
        <f ca="1" t="shared" si="72"/>
        <v>14</v>
      </c>
      <c r="V100" s="75">
        <f ca="1" t="shared" si="72"/>
        <v>13</v>
      </c>
      <c r="W100" s="75">
        <f ca="1" t="shared" si="69"/>
        <v>11</v>
      </c>
      <c r="X100" s="75">
        <f ca="1" t="shared" si="70"/>
        <v>9</v>
      </c>
      <c r="Y100" s="75">
        <f ca="1" t="shared" si="71"/>
        <v>7</v>
      </c>
    </row>
    <row r="101" ht="16.5" spans="1:25">
      <c r="A101" s="74">
        <v>90</v>
      </c>
      <c r="B101" s="65">
        <v>68</v>
      </c>
      <c r="C101" s="75">
        <f>INT(产出预期!M87)</f>
        <v>8806</v>
      </c>
      <c r="D101" s="75">
        <f ca="1" t="shared" ref="D101:V101" si="73">IFERROR(MATCH(D406*10,OFFSET($AS$339:$AS$388,0,D$335),1),0)</f>
        <v>39</v>
      </c>
      <c r="E101" s="75">
        <f ca="1" t="shared" si="73"/>
        <v>39</v>
      </c>
      <c r="F101" s="75">
        <f ca="1" t="shared" si="73"/>
        <v>39</v>
      </c>
      <c r="G101" s="75">
        <f ca="1" t="shared" si="73"/>
        <v>30</v>
      </c>
      <c r="H101" s="75">
        <f ca="1" t="shared" si="73"/>
        <v>30</v>
      </c>
      <c r="I101" s="75">
        <f ca="1" t="shared" si="73"/>
        <v>30</v>
      </c>
      <c r="J101" s="75">
        <f ca="1" t="shared" si="73"/>
        <v>30</v>
      </c>
      <c r="K101" s="75">
        <f ca="1" t="shared" si="73"/>
        <v>30</v>
      </c>
      <c r="L101" s="75">
        <f ca="1" t="shared" si="73"/>
        <v>29</v>
      </c>
      <c r="M101" s="75">
        <f ca="1" t="shared" si="73"/>
        <v>22</v>
      </c>
      <c r="N101" s="75">
        <f ca="1" t="shared" si="73"/>
        <v>22</v>
      </c>
      <c r="O101" s="75">
        <f ca="1" t="shared" si="73"/>
        <v>21</v>
      </c>
      <c r="P101" s="75">
        <f ca="1" t="shared" si="73"/>
        <v>21</v>
      </c>
      <c r="Q101" s="75">
        <f ca="1" t="shared" si="73"/>
        <v>21</v>
      </c>
      <c r="R101" s="75">
        <f ca="1" t="shared" si="73"/>
        <v>18</v>
      </c>
      <c r="S101" s="75">
        <f ca="1" t="shared" si="73"/>
        <v>18</v>
      </c>
      <c r="T101" s="75">
        <f ca="1" t="shared" si="73"/>
        <v>15</v>
      </c>
      <c r="U101" s="75">
        <f ca="1" t="shared" si="73"/>
        <v>14</v>
      </c>
      <c r="V101" s="75">
        <f ca="1" t="shared" si="73"/>
        <v>13</v>
      </c>
      <c r="W101" s="75">
        <f ca="1" t="shared" si="69"/>
        <v>11</v>
      </c>
      <c r="X101" s="75">
        <f ca="1" t="shared" si="70"/>
        <v>10</v>
      </c>
      <c r="Y101" s="75">
        <f ca="1" t="shared" si="71"/>
        <v>7</v>
      </c>
    </row>
    <row r="102" ht="16.5" spans="1:25">
      <c r="A102" s="74">
        <v>90</v>
      </c>
      <c r="B102" s="65">
        <v>69</v>
      </c>
      <c r="C102" s="75">
        <f>INT(产出预期!M88)</f>
        <v>8916</v>
      </c>
      <c r="D102" s="75">
        <f ca="1" t="shared" ref="D102:V102" si="74">IFERROR(MATCH(D407*10,OFFSET($AS$339:$AS$388,0,D$335),1),0)</f>
        <v>39</v>
      </c>
      <c r="E102" s="75">
        <f ca="1" t="shared" si="74"/>
        <v>39</v>
      </c>
      <c r="F102" s="75">
        <f ca="1" t="shared" si="74"/>
        <v>39</v>
      </c>
      <c r="G102" s="75">
        <f ca="1" t="shared" si="74"/>
        <v>30</v>
      </c>
      <c r="H102" s="75">
        <f ca="1" t="shared" si="74"/>
        <v>30</v>
      </c>
      <c r="I102" s="75">
        <f ca="1" t="shared" si="74"/>
        <v>30</v>
      </c>
      <c r="J102" s="75">
        <f ca="1" t="shared" si="74"/>
        <v>30</v>
      </c>
      <c r="K102" s="75">
        <f ca="1" t="shared" si="74"/>
        <v>30</v>
      </c>
      <c r="L102" s="75">
        <f ca="1" t="shared" si="74"/>
        <v>30</v>
      </c>
      <c r="M102" s="75">
        <f ca="1" t="shared" si="74"/>
        <v>22</v>
      </c>
      <c r="N102" s="75">
        <f ca="1" t="shared" si="74"/>
        <v>22</v>
      </c>
      <c r="O102" s="75">
        <f ca="1" t="shared" si="74"/>
        <v>21</v>
      </c>
      <c r="P102" s="75">
        <f ca="1" t="shared" si="74"/>
        <v>21</v>
      </c>
      <c r="Q102" s="75">
        <f ca="1" t="shared" si="74"/>
        <v>21</v>
      </c>
      <c r="R102" s="75">
        <f ca="1" t="shared" si="74"/>
        <v>18</v>
      </c>
      <c r="S102" s="75">
        <f ca="1" t="shared" si="74"/>
        <v>18</v>
      </c>
      <c r="T102" s="75">
        <f ca="1" t="shared" si="74"/>
        <v>16</v>
      </c>
      <c r="U102" s="75">
        <f ca="1" t="shared" si="74"/>
        <v>15</v>
      </c>
      <c r="V102" s="75">
        <f ca="1" t="shared" si="74"/>
        <v>13</v>
      </c>
      <c r="W102" s="75">
        <f ca="1" t="shared" si="69"/>
        <v>11</v>
      </c>
      <c r="X102" s="75">
        <f ca="1" t="shared" si="70"/>
        <v>10</v>
      </c>
      <c r="Y102" s="75">
        <f ca="1" t="shared" si="71"/>
        <v>8</v>
      </c>
    </row>
    <row r="103" ht="16.5" spans="1:25">
      <c r="A103" s="74">
        <v>91</v>
      </c>
      <c r="B103" s="65">
        <v>70</v>
      </c>
      <c r="C103" s="75">
        <f>INT(产出预期!M89)</f>
        <v>9026</v>
      </c>
      <c r="D103" s="75">
        <f ca="1" t="shared" ref="D103:V103" si="75">IFERROR(MATCH(D408*10,OFFSET($AS$339:$AS$388,0,D$335),1),0)</f>
        <v>40</v>
      </c>
      <c r="E103" s="75">
        <f ca="1" t="shared" si="75"/>
        <v>40</v>
      </c>
      <c r="F103" s="75">
        <f ca="1" t="shared" si="75"/>
        <v>40</v>
      </c>
      <c r="G103" s="75">
        <f ca="1" t="shared" si="75"/>
        <v>30</v>
      </c>
      <c r="H103" s="75">
        <f ca="1" t="shared" si="75"/>
        <v>30</v>
      </c>
      <c r="I103" s="75">
        <f ca="1" t="shared" si="75"/>
        <v>30</v>
      </c>
      <c r="J103" s="75">
        <f ca="1" t="shared" si="75"/>
        <v>30</v>
      </c>
      <c r="K103" s="75">
        <f ca="1" t="shared" si="75"/>
        <v>30</v>
      </c>
      <c r="L103" s="75">
        <f ca="1" t="shared" si="75"/>
        <v>30</v>
      </c>
      <c r="M103" s="75">
        <f ca="1" t="shared" si="75"/>
        <v>22</v>
      </c>
      <c r="N103" s="75">
        <f ca="1" t="shared" si="75"/>
        <v>22</v>
      </c>
      <c r="O103" s="75">
        <f ca="1" t="shared" si="75"/>
        <v>22</v>
      </c>
      <c r="P103" s="75">
        <f ca="1" t="shared" si="75"/>
        <v>21</v>
      </c>
      <c r="Q103" s="75">
        <f ca="1" t="shared" si="75"/>
        <v>21</v>
      </c>
      <c r="R103" s="75">
        <f ca="1" t="shared" si="75"/>
        <v>19</v>
      </c>
      <c r="S103" s="75">
        <f ca="1" t="shared" si="75"/>
        <v>18</v>
      </c>
      <c r="T103" s="75">
        <f ca="1" t="shared" si="75"/>
        <v>16</v>
      </c>
      <c r="U103" s="75">
        <f ca="1" t="shared" si="75"/>
        <v>15</v>
      </c>
      <c r="V103" s="75">
        <f ca="1" t="shared" si="75"/>
        <v>13</v>
      </c>
      <c r="W103" s="75">
        <f ca="1" t="shared" si="69"/>
        <v>11</v>
      </c>
      <c r="X103" s="75">
        <f ca="1" t="shared" si="70"/>
        <v>10</v>
      </c>
      <c r="Y103" s="75">
        <f ca="1" t="shared" si="71"/>
        <v>8</v>
      </c>
    </row>
    <row r="104" ht="16.5" spans="1:25">
      <c r="A104" s="74">
        <v>91</v>
      </c>
      <c r="B104" s="65">
        <v>71</v>
      </c>
      <c r="C104" s="75">
        <f>INT(产出预期!M90)</f>
        <v>9136</v>
      </c>
      <c r="D104" s="75">
        <f ca="1" t="shared" ref="D104:V104" si="76">IFERROR(MATCH(D409*10,OFFSET($AS$339:$AS$388,0,D$335),1),0)</f>
        <v>40</v>
      </c>
      <c r="E104" s="75">
        <f ca="1" t="shared" si="76"/>
        <v>40</v>
      </c>
      <c r="F104" s="75">
        <f ca="1" t="shared" si="76"/>
        <v>40</v>
      </c>
      <c r="G104" s="75">
        <f ca="1" t="shared" si="76"/>
        <v>30</v>
      </c>
      <c r="H104" s="75">
        <f ca="1" t="shared" si="76"/>
        <v>30</v>
      </c>
      <c r="I104" s="75">
        <f ca="1" t="shared" si="76"/>
        <v>30</v>
      </c>
      <c r="J104" s="75">
        <f ca="1" t="shared" si="76"/>
        <v>30</v>
      </c>
      <c r="K104" s="75">
        <f ca="1" t="shared" si="76"/>
        <v>30</v>
      </c>
      <c r="L104" s="75">
        <f ca="1" t="shared" si="76"/>
        <v>30</v>
      </c>
      <c r="M104" s="75">
        <f ca="1" t="shared" si="76"/>
        <v>23</v>
      </c>
      <c r="N104" s="75">
        <f ca="1" t="shared" si="76"/>
        <v>22</v>
      </c>
      <c r="O104" s="75">
        <f ca="1" t="shared" si="76"/>
        <v>22</v>
      </c>
      <c r="P104" s="75">
        <f ca="1" t="shared" si="76"/>
        <v>21</v>
      </c>
      <c r="Q104" s="75">
        <f ca="1" t="shared" si="76"/>
        <v>21</v>
      </c>
      <c r="R104" s="75">
        <f ca="1" t="shared" si="76"/>
        <v>19</v>
      </c>
      <c r="S104" s="75">
        <f ca="1" t="shared" si="76"/>
        <v>18</v>
      </c>
      <c r="T104" s="75">
        <f ca="1" t="shared" si="76"/>
        <v>16</v>
      </c>
      <c r="U104" s="75">
        <f ca="1" t="shared" si="76"/>
        <v>15</v>
      </c>
      <c r="V104" s="75">
        <f ca="1" t="shared" si="76"/>
        <v>13</v>
      </c>
      <c r="W104" s="75">
        <f ca="1" t="shared" si="69"/>
        <v>11</v>
      </c>
      <c r="X104" s="75">
        <f ca="1" t="shared" si="70"/>
        <v>10</v>
      </c>
      <c r="Y104" s="75">
        <f ca="1" t="shared" si="71"/>
        <v>8</v>
      </c>
    </row>
    <row r="105" ht="16.5" spans="1:25">
      <c r="A105" s="74">
        <v>91</v>
      </c>
      <c r="B105" s="65">
        <v>72</v>
      </c>
      <c r="C105" s="75">
        <f>INT(产出预期!M91)</f>
        <v>9246</v>
      </c>
      <c r="D105" s="75">
        <f ca="1" t="shared" ref="D105:V105" si="77">IFERROR(MATCH(D410*10,OFFSET($AS$339:$AS$388,0,D$335),1),0)</f>
        <v>40</v>
      </c>
      <c r="E105" s="75">
        <f ca="1" t="shared" si="77"/>
        <v>40</v>
      </c>
      <c r="F105" s="75">
        <f ca="1" t="shared" si="77"/>
        <v>40</v>
      </c>
      <c r="G105" s="75">
        <f ca="1" t="shared" si="77"/>
        <v>30</v>
      </c>
      <c r="H105" s="75">
        <f ca="1" t="shared" si="77"/>
        <v>30</v>
      </c>
      <c r="I105" s="75">
        <f ca="1" t="shared" si="77"/>
        <v>30</v>
      </c>
      <c r="J105" s="75">
        <f ca="1" t="shared" si="77"/>
        <v>30</v>
      </c>
      <c r="K105" s="75">
        <f ca="1" t="shared" si="77"/>
        <v>30</v>
      </c>
      <c r="L105" s="75">
        <f ca="1" t="shared" si="77"/>
        <v>30</v>
      </c>
      <c r="M105" s="75">
        <f ca="1" t="shared" si="77"/>
        <v>23</v>
      </c>
      <c r="N105" s="75">
        <f ca="1" t="shared" si="77"/>
        <v>22</v>
      </c>
      <c r="O105" s="75">
        <f ca="1" t="shared" si="77"/>
        <v>22</v>
      </c>
      <c r="P105" s="75">
        <f ca="1" t="shared" si="77"/>
        <v>22</v>
      </c>
      <c r="Q105" s="75">
        <f ca="1" t="shared" si="77"/>
        <v>21</v>
      </c>
      <c r="R105" s="75">
        <f ca="1" t="shared" si="77"/>
        <v>19</v>
      </c>
      <c r="S105" s="75">
        <f ca="1" t="shared" si="77"/>
        <v>18</v>
      </c>
      <c r="T105" s="75">
        <f ca="1" t="shared" si="77"/>
        <v>16</v>
      </c>
      <c r="U105" s="75">
        <f ca="1" t="shared" si="77"/>
        <v>15</v>
      </c>
      <c r="V105" s="75">
        <f ca="1" t="shared" si="77"/>
        <v>13</v>
      </c>
      <c r="W105" s="75">
        <f ca="1" t="shared" si="69"/>
        <v>12</v>
      </c>
      <c r="X105" s="75">
        <f ca="1" t="shared" si="70"/>
        <v>10</v>
      </c>
      <c r="Y105" s="75">
        <f ca="1" t="shared" si="71"/>
        <v>8</v>
      </c>
    </row>
    <row r="106" ht="16.5" spans="1:25">
      <c r="A106" s="74">
        <v>92</v>
      </c>
      <c r="B106" s="65">
        <v>73</v>
      </c>
      <c r="C106" s="75">
        <f>INT(产出预期!M92)</f>
        <v>9356</v>
      </c>
      <c r="D106" s="75">
        <f ca="1" t="shared" ref="D106:V106" si="78">IFERROR(MATCH(D411*10,OFFSET($AS$339:$AS$388,0,D$335),1),0)</f>
        <v>40</v>
      </c>
      <c r="E106" s="75">
        <f ca="1" t="shared" si="78"/>
        <v>40</v>
      </c>
      <c r="F106" s="75">
        <f ca="1" t="shared" si="78"/>
        <v>40</v>
      </c>
      <c r="G106" s="75">
        <f ca="1" t="shared" si="78"/>
        <v>30</v>
      </c>
      <c r="H106" s="75">
        <f ca="1" t="shared" si="78"/>
        <v>30</v>
      </c>
      <c r="I106" s="75">
        <f ca="1" t="shared" si="78"/>
        <v>30</v>
      </c>
      <c r="J106" s="75">
        <f ca="1" t="shared" si="78"/>
        <v>30</v>
      </c>
      <c r="K106" s="75">
        <f ca="1" t="shared" si="78"/>
        <v>30</v>
      </c>
      <c r="L106" s="75">
        <f ca="1" t="shared" si="78"/>
        <v>30</v>
      </c>
      <c r="M106" s="75">
        <f ca="1" t="shared" si="78"/>
        <v>23</v>
      </c>
      <c r="N106" s="75">
        <f ca="1" t="shared" si="78"/>
        <v>22</v>
      </c>
      <c r="O106" s="75">
        <f ca="1" t="shared" si="78"/>
        <v>22</v>
      </c>
      <c r="P106" s="75">
        <f ca="1" t="shared" si="78"/>
        <v>22</v>
      </c>
      <c r="Q106" s="75">
        <f ca="1" t="shared" si="78"/>
        <v>22</v>
      </c>
      <c r="R106" s="75">
        <f ca="1" t="shared" si="78"/>
        <v>19</v>
      </c>
      <c r="S106" s="75">
        <f ca="1" t="shared" si="78"/>
        <v>18</v>
      </c>
      <c r="T106" s="75">
        <f ca="1" t="shared" si="78"/>
        <v>16</v>
      </c>
      <c r="U106" s="75">
        <f ca="1" t="shared" si="78"/>
        <v>15</v>
      </c>
      <c r="V106" s="75">
        <f ca="1" t="shared" si="78"/>
        <v>14</v>
      </c>
      <c r="W106" s="75">
        <f ca="1" t="shared" si="69"/>
        <v>12</v>
      </c>
      <c r="X106" s="75">
        <f ca="1" t="shared" si="70"/>
        <v>10</v>
      </c>
      <c r="Y106" s="75">
        <f ca="1" t="shared" si="71"/>
        <v>9</v>
      </c>
    </row>
    <row r="107" ht="16.5" spans="1:25">
      <c r="A107" s="74">
        <v>92</v>
      </c>
      <c r="B107" s="65">
        <v>74</v>
      </c>
      <c r="C107" s="75">
        <f>INT(产出预期!M93)</f>
        <v>9466</v>
      </c>
      <c r="D107" s="75">
        <f ca="1" t="shared" ref="D107:V107" si="79">IFERROR(MATCH(D412*10,OFFSET($AS$339:$AS$388,0,D$335),1),0)</f>
        <v>40</v>
      </c>
      <c r="E107" s="75">
        <f ca="1" t="shared" si="79"/>
        <v>40</v>
      </c>
      <c r="F107" s="75">
        <f ca="1" t="shared" si="79"/>
        <v>40</v>
      </c>
      <c r="G107" s="75">
        <f ca="1" t="shared" si="79"/>
        <v>30</v>
      </c>
      <c r="H107" s="75">
        <f ca="1" t="shared" si="79"/>
        <v>30</v>
      </c>
      <c r="I107" s="75">
        <f ca="1" t="shared" si="79"/>
        <v>30</v>
      </c>
      <c r="J107" s="75">
        <f ca="1" t="shared" si="79"/>
        <v>30</v>
      </c>
      <c r="K107" s="75">
        <f ca="1" t="shared" si="79"/>
        <v>30</v>
      </c>
      <c r="L107" s="75">
        <f ca="1" t="shared" si="79"/>
        <v>30</v>
      </c>
      <c r="M107" s="75">
        <f ca="1" t="shared" si="79"/>
        <v>23</v>
      </c>
      <c r="N107" s="75">
        <f ca="1" t="shared" si="79"/>
        <v>23</v>
      </c>
      <c r="O107" s="75">
        <f ca="1" t="shared" si="79"/>
        <v>22</v>
      </c>
      <c r="P107" s="75">
        <f ca="1" t="shared" si="79"/>
        <v>22</v>
      </c>
      <c r="Q107" s="75">
        <f ca="1" t="shared" si="79"/>
        <v>22</v>
      </c>
      <c r="R107" s="75">
        <f ca="1" t="shared" si="79"/>
        <v>20</v>
      </c>
      <c r="S107" s="75">
        <f ca="1" t="shared" si="79"/>
        <v>19</v>
      </c>
      <c r="T107" s="75">
        <f ca="1" t="shared" si="79"/>
        <v>17</v>
      </c>
      <c r="U107" s="75">
        <f ca="1" t="shared" si="79"/>
        <v>15</v>
      </c>
      <c r="V107" s="75">
        <f ca="1" t="shared" si="79"/>
        <v>14</v>
      </c>
      <c r="W107" s="75">
        <f ca="1" t="shared" si="69"/>
        <v>12</v>
      </c>
      <c r="X107" s="75">
        <f ca="1" t="shared" si="70"/>
        <v>11</v>
      </c>
      <c r="Y107" s="75">
        <f ca="1" t="shared" si="71"/>
        <v>9</v>
      </c>
    </row>
    <row r="108" ht="16.5" spans="1:25">
      <c r="A108" s="74">
        <v>92</v>
      </c>
      <c r="B108" s="65">
        <v>75</v>
      </c>
      <c r="C108" s="75">
        <f>INT(产出预期!M94)</f>
        <v>9576</v>
      </c>
      <c r="D108" s="75">
        <f ca="1" t="shared" ref="D108:V108" si="80">IFERROR(MATCH(D413*10,OFFSET($AS$339:$AS$388,0,D$335),1),0)</f>
        <v>40</v>
      </c>
      <c r="E108" s="75">
        <f ca="1" t="shared" si="80"/>
        <v>40</v>
      </c>
      <c r="F108" s="75">
        <f ca="1" t="shared" si="80"/>
        <v>40</v>
      </c>
      <c r="G108" s="75">
        <f ca="1" t="shared" si="80"/>
        <v>30</v>
      </c>
      <c r="H108" s="75">
        <f ca="1" t="shared" si="80"/>
        <v>30</v>
      </c>
      <c r="I108" s="75">
        <f ca="1" t="shared" si="80"/>
        <v>30</v>
      </c>
      <c r="J108" s="75">
        <f ca="1" t="shared" si="80"/>
        <v>30</v>
      </c>
      <c r="K108" s="75">
        <f ca="1" t="shared" si="80"/>
        <v>30</v>
      </c>
      <c r="L108" s="75">
        <f ca="1" t="shared" si="80"/>
        <v>30</v>
      </c>
      <c r="M108" s="75">
        <f ca="1" t="shared" si="80"/>
        <v>23</v>
      </c>
      <c r="N108" s="75">
        <f ca="1" t="shared" si="80"/>
        <v>23</v>
      </c>
      <c r="O108" s="75">
        <f ca="1" t="shared" si="80"/>
        <v>23</v>
      </c>
      <c r="P108" s="75">
        <f ca="1" t="shared" si="80"/>
        <v>22</v>
      </c>
      <c r="Q108" s="75">
        <f ca="1" t="shared" si="80"/>
        <v>22</v>
      </c>
      <c r="R108" s="75">
        <f ca="1" t="shared" si="80"/>
        <v>20</v>
      </c>
      <c r="S108" s="75">
        <f ca="1" t="shared" si="80"/>
        <v>19</v>
      </c>
      <c r="T108" s="75">
        <f ca="1" t="shared" si="80"/>
        <v>17</v>
      </c>
      <c r="U108" s="75">
        <f ca="1" t="shared" si="80"/>
        <v>15</v>
      </c>
      <c r="V108" s="75">
        <f ca="1" t="shared" si="80"/>
        <v>14</v>
      </c>
      <c r="W108" s="75">
        <f ca="1" t="shared" si="69"/>
        <v>12</v>
      </c>
      <c r="X108" s="75">
        <f ca="1" t="shared" si="70"/>
        <v>11</v>
      </c>
      <c r="Y108" s="75">
        <f ca="1" t="shared" si="71"/>
        <v>9</v>
      </c>
    </row>
    <row r="109" ht="16.5" spans="1:25">
      <c r="A109" s="74">
        <v>93</v>
      </c>
      <c r="B109" s="65">
        <v>76</v>
      </c>
      <c r="C109" s="75">
        <f>INT(产出预期!M95)</f>
        <v>9686</v>
      </c>
      <c r="D109" s="75">
        <f ca="1" t="shared" ref="D109:V109" si="81">IFERROR(MATCH(D414*10,OFFSET($AS$339:$AS$388,0,D$335),1),0)</f>
        <v>40</v>
      </c>
      <c r="E109" s="75">
        <f ca="1" t="shared" si="81"/>
        <v>40</v>
      </c>
      <c r="F109" s="75">
        <f ca="1" t="shared" si="81"/>
        <v>40</v>
      </c>
      <c r="G109" s="75">
        <f ca="1" t="shared" si="81"/>
        <v>30</v>
      </c>
      <c r="H109" s="75">
        <f ca="1" t="shared" si="81"/>
        <v>30</v>
      </c>
      <c r="I109" s="75">
        <f ca="1" t="shared" si="81"/>
        <v>30</v>
      </c>
      <c r="J109" s="75">
        <f ca="1" t="shared" si="81"/>
        <v>30</v>
      </c>
      <c r="K109" s="75">
        <f ca="1" t="shared" si="81"/>
        <v>30</v>
      </c>
      <c r="L109" s="75">
        <f ca="1" t="shared" si="81"/>
        <v>30</v>
      </c>
      <c r="M109" s="75">
        <f ca="1" t="shared" si="81"/>
        <v>23</v>
      </c>
      <c r="N109" s="75">
        <f ca="1" t="shared" si="81"/>
        <v>23</v>
      </c>
      <c r="O109" s="75">
        <f ca="1" t="shared" si="81"/>
        <v>23</v>
      </c>
      <c r="P109" s="75">
        <f ca="1" t="shared" si="81"/>
        <v>22</v>
      </c>
      <c r="Q109" s="75">
        <f ca="1" t="shared" si="81"/>
        <v>22</v>
      </c>
      <c r="R109" s="75">
        <f ca="1" t="shared" si="81"/>
        <v>20</v>
      </c>
      <c r="S109" s="75">
        <f ca="1" t="shared" si="81"/>
        <v>19</v>
      </c>
      <c r="T109" s="75">
        <f ca="1" t="shared" si="81"/>
        <v>18</v>
      </c>
      <c r="U109" s="75">
        <f ca="1" t="shared" si="81"/>
        <v>15</v>
      </c>
      <c r="V109" s="75">
        <f ca="1" t="shared" si="81"/>
        <v>14</v>
      </c>
      <c r="W109" s="75">
        <f ca="1" t="shared" si="69"/>
        <v>12</v>
      </c>
      <c r="X109" s="75">
        <f ca="1" t="shared" si="70"/>
        <v>11</v>
      </c>
      <c r="Y109" s="75">
        <f ca="1" t="shared" si="71"/>
        <v>10</v>
      </c>
    </row>
    <row r="110" ht="16.5" spans="1:25">
      <c r="A110" s="74">
        <v>93</v>
      </c>
      <c r="B110" s="65">
        <v>77</v>
      </c>
      <c r="C110" s="75">
        <f>INT(产出预期!M96)</f>
        <v>9796</v>
      </c>
      <c r="D110" s="75">
        <f ca="1" t="shared" ref="D110:V110" si="82">IFERROR(MATCH(D415*10,OFFSET($AS$339:$AS$388,0,D$335),1),0)</f>
        <v>40</v>
      </c>
      <c r="E110" s="75">
        <f ca="1" t="shared" si="82"/>
        <v>40</v>
      </c>
      <c r="F110" s="75">
        <f ca="1" t="shared" si="82"/>
        <v>40</v>
      </c>
      <c r="G110" s="75">
        <f ca="1" t="shared" si="82"/>
        <v>30</v>
      </c>
      <c r="H110" s="75">
        <f ca="1" t="shared" si="82"/>
        <v>30</v>
      </c>
      <c r="I110" s="75">
        <f ca="1" t="shared" si="82"/>
        <v>30</v>
      </c>
      <c r="J110" s="75">
        <f ca="1" t="shared" si="82"/>
        <v>30</v>
      </c>
      <c r="K110" s="75">
        <f ca="1" t="shared" si="82"/>
        <v>30</v>
      </c>
      <c r="L110" s="75">
        <f ca="1" t="shared" si="82"/>
        <v>30</v>
      </c>
      <c r="M110" s="75">
        <f ca="1" t="shared" si="82"/>
        <v>24</v>
      </c>
      <c r="N110" s="75">
        <f ca="1" t="shared" si="82"/>
        <v>23</v>
      </c>
      <c r="O110" s="75">
        <f ca="1" t="shared" si="82"/>
        <v>23</v>
      </c>
      <c r="P110" s="75">
        <f ca="1" t="shared" si="82"/>
        <v>23</v>
      </c>
      <c r="Q110" s="75">
        <f ca="1" t="shared" si="82"/>
        <v>22</v>
      </c>
      <c r="R110" s="75">
        <f ca="1" t="shared" si="82"/>
        <v>20</v>
      </c>
      <c r="S110" s="75">
        <f ca="1" t="shared" si="82"/>
        <v>20</v>
      </c>
      <c r="T110" s="75">
        <f ca="1" t="shared" si="82"/>
        <v>18</v>
      </c>
      <c r="U110" s="75">
        <f ca="1" t="shared" si="82"/>
        <v>16</v>
      </c>
      <c r="V110" s="75">
        <f ca="1" t="shared" si="82"/>
        <v>14</v>
      </c>
      <c r="W110" s="75">
        <f ca="1" t="shared" si="69"/>
        <v>13</v>
      </c>
      <c r="X110" s="75">
        <f ca="1" t="shared" si="70"/>
        <v>11</v>
      </c>
      <c r="Y110" s="75">
        <f ca="1" t="shared" si="71"/>
        <v>10</v>
      </c>
    </row>
    <row r="111" ht="16.5" spans="1:25">
      <c r="A111" s="74">
        <v>93</v>
      </c>
      <c r="B111" s="65">
        <v>78</v>
      </c>
      <c r="C111" s="75">
        <f>INT(产出预期!M97)</f>
        <v>9906</v>
      </c>
      <c r="D111" s="75">
        <f ca="1" t="shared" ref="D111:V111" si="83">IFERROR(MATCH(D416*10,OFFSET($AS$339:$AS$388,0,D$335),1),0)</f>
        <v>40</v>
      </c>
      <c r="E111" s="75">
        <f ca="1" t="shared" si="83"/>
        <v>40</v>
      </c>
      <c r="F111" s="75">
        <f ca="1" t="shared" si="83"/>
        <v>40</v>
      </c>
      <c r="G111" s="75">
        <f ca="1" t="shared" si="83"/>
        <v>31</v>
      </c>
      <c r="H111" s="75">
        <f ca="1" t="shared" si="83"/>
        <v>31</v>
      </c>
      <c r="I111" s="75">
        <f ca="1" t="shared" si="83"/>
        <v>31</v>
      </c>
      <c r="J111" s="75">
        <f ca="1" t="shared" si="83"/>
        <v>31</v>
      </c>
      <c r="K111" s="75">
        <f ca="1" t="shared" si="83"/>
        <v>31</v>
      </c>
      <c r="L111" s="75">
        <f ca="1" t="shared" si="83"/>
        <v>30</v>
      </c>
      <c r="M111" s="75">
        <f ca="1" t="shared" si="83"/>
        <v>24</v>
      </c>
      <c r="N111" s="75">
        <f ca="1" t="shared" si="83"/>
        <v>23</v>
      </c>
      <c r="O111" s="75">
        <f ca="1" t="shared" si="83"/>
        <v>23</v>
      </c>
      <c r="P111" s="75">
        <f ca="1" t="shared" si="83"/>
        <v>23</v>
      </c>
      <c r="Q111" s="75">
        <f ca="1" t="shared" si="83"/>
        <v>23</v>
      </c>
      <c r="R111" s="75">
        <f ca="1" t="shared" si="83"/>
        <v>21</v>
      </c>
      <c r="S111" s="75">
        <f ca="1" t="shared" si="83"/>
        <v>20</v>
      </c>
      <c r="T111" s="75">
        <f ca="1" t="shared" si="83"/>
        <v>18</v>
      </c>
      <c r="U111" s="75">
        <f ca="1" t="shared" si="83"/>
        <v>16</v>
      </c>
      <c r="V111" s="75">
        <f ca="1" t="shared" si="83"/>
        <v>15</v>
      </c>
      <c r="W111" s="75">
        <f ca="1" t="shared" si="69"/>
        <v>13</v>
      </c>
      <c r="X111" s="75">
        <f ca="1" t="shared" si="70"/>
        <v>11</v>
      </c>
      <c r="Y111" s="75">
        <f ca="1" t="shared" si="71"/>
        <v>10</v>
      </c>
    </row>
    <row r="112" ht="16.5" spans="1:25">
      <c r="A112" s="74">
        <v>94</v>
      </c>
      <c r="B112" s="65">
        <v>79</v>
      </c>
      <c r="C112" s="75">
        <f>INT(产出预期!M98)</f>
        <v>10016</v>
      </c>
      <c r="D112" s="75">
        <f ca="1" t="shared" ref="D112:V112" si="84">IFERROR(MATCH(D417*10,OFFSET($AS$339:$AS$388,0,D$335),1),0)</f>
        <v>40</v>
      </c>
      <c r="E112" s="75">
        <f ca="1" t="shared" si="84"/>
        <v>40</v>
      </c>
      <c r="F112" s="75">
        <f ca="1" t="shared" si="84"/>
        <v>40</v>
      </c>
      <c r="G112" s="75">
        <f ca="1" t="shared" si="84"/>
        <v>31</v>
      </c>
      <c r="H112" s="75">
        <f ca="1" t="shared" si="84"/>
        <v>31</v>
      </c>
      <c r="I112" s="75">
        <f ca="1" t="shared" si="84"/>
        <v>31</v>
      </c>
      <c r="J112" s="75">
        <f ca="1" t="shared" si="84"/>
        <v>31</v>
      </c>
      <c r="K112" s="75">
        <f ca="1" t="shared" si="84"/>
        <v>31</v>
      </c>
      <c r="L112" s="75">
        <f ca="1" t="shared" si="84"/>
        <v>30</v>
      </c>
      <c r="M112" s="75">
        <f ca="1" t="shared" si="84"/>
        <v>24</v>
      </c>
      <c r="N112" s="75">
        <f ca="1" t="shared" si="84"/>
        <v>24</v>
      </c>
      <c r="O112" s="75">
        <f ca="1" t="shared" si="84"/>
        <v>23</v>
      </c>
      <c r="P112" s="75">
        <f ca="1" t="shared" si="84"/>
        <v>23</v>
      </c>
      <c r="Q112" s="75">
        <f ca="1" t="shared" si="84"/>
        <v>23</v>
      </c>
      <c r="R112" s="75">
        <f ca="1" t="shared" si="84"/>
        <v>21</v>
      </c>
      <c r="S112" s="75">
        <f ca="1" t="shared" si="84"/>
        <v>20</v>
      </c>
      <c r="T112" s="75">
        <f ca="1" t="shared" si="84"/>
        <v>18</v>
      </c>
      <c r="U112" s="75">
        <f ca="1" t="shared" si="84"/>
        <v>16</v>
      </c>
      <c r="V112" s="75">
        <f ca="1" t="shared" si="84"/>
        <v>15</v>
      </c>
      <c r="W112" s="75">
        <f ca="1" t="shared" si="69"/>
        <v>13</v>
      </c>
      <c r="X112" s="75">
        <f ca="1" t="shared" si="70"/>
        <v>12</v>
      </c>
      <c r="Y112" s="75">
        <f ca="1" t="shared" si="71"/>
        <v>10</v>
      </c>
    </row>
    <row r="113" ht="16.5" spans="1:25">
      <c r="A113" s="74">
        <v>94</v>
      </c>
      <c r="B113" s="65">
        <v>80</v>
      </c>
      <c r="C113" s="75">
        <f>INT(产出预期!M99)</f>
        <v>10126</v>
      </c>
      <c r="D113" s="75">
        <f ca="1" t="shared" ref="D113:V113" si="85">IFERROR(MATCH(D418*10,OFFSET($AS$339:$AS$388,0,D$335),1),0)</f>
        <v>40</v>
      </c>
      <c r="E113" s="75">
        <f ca="1" t="shared" si="85"/>
        <v>40</v>
      </c>
      <c r="F113" s="75">
        <f ca="1" t="shared" si="85"/>
        <v>40</v>
      </c>
      <c r="G113" s="75">
        <f ca="1" t="shared" si="85"/>
        <v>31</v>
      </c>
      <c r="H113" s="75">
        <f ca="1" t="shared" si="85"/>
        <v>31</v>
      </c>
      <c r="I113" s="75">
        <f ca="1" t="shared" si="85"/>
        <v>31</v>
      </c>
      <c r="J113" s="75">
        <f ca="1" t="shared" si="85"/>
        <v>31</v>
      </c>
      <c r="K113" s="75">
        <f ca="1" t="shared" si="85"/>
        <v>31</v>
      </c>
      <c r="L113" s="75">
        <f ca="1" t="shared" si="85"/>
        <v>31</v>
      </c>
      <c r="M113" s="75">
        <f ca="1" t="shared" si="85"/>
        <v>24</v>
      </c>
      <c r="N113" s="75">
        <f ca="1" t="shared" si="85"/>
        <v>24</v>
      </c>
      <c r="O113" s="75">
        <f ca="1" t="shared" si="85"/>
        <v>24</v>
      </c>
      <c r="P113" s="75">
        <f ca="1" t="shared" si="85"/>
        <v>23</v>
      </c>
      <c r="Q113" s="75">
        <f ca="1" t="shared" si="85"/>
        <v>23</v>
      </c>
      <c r="R113" s="75">
        <f ca="1" t="shared" si="85"/>
        <v>21</v>
      </c>
      <c r="S113" s="75">
        <f ca="1" t="shared" si="85"/>
        <v>20</v>
      </c>
      <c r="T113" s="75">
        <f ca="1" t="shared" si="85"/>
        <v>18</v>
      </c>
      <c r="U113" s="75">
        <f ca="1" t="shared" si="85"/>
        <v>16</v>
      </c>
      <c r="V113" s="75">
        <f ca="1" t="shared" si="85"/>
        <v>15</v>
      </c>
      <c r="W113" s="75">
        <f ca="1" t="shared" si="69"/>
        <v>13</v>
      </c>
      <c r="X113" s="75">
        <f ca="1" t="shared" si="70"/>
        <v>12</v>
      </c>
      <c r="Y113" s="75">
        <f ca="1" t="shared" si="71"/>
        <v>11</v>
      </c>
    </row>
    <row r="114" ht="16.5" spans="1:25">
      <c r="A114" s="74">
        <v>94</v>
      </c>
      <c r="B114" s="65">
        <v>81</v>
      </c>
      <c r="C114" s="75">
        <f>INT(产出预期!M100)</f>
        <v>10236</v>
      </c>
      <c r="D114" s="75">
        <f ca="1" t="shared" ref="D114:V114" si="86">IFERROR(MATCH(D419*10,OFFSET($AS$339:$AS$388,0,D$335),1),0)</f>
        <v>40</v>
      </c>
      <c r="E114" s="75">
        <f ca="1" t="shared" si="86"/>
        <v>40</v>
      </c>
      <c r="F114" s="75">
        <f ca="1" t="shared" si="86"/>
        <v>40</v>
      </c>
      <c r="G114" s="75">
        <f ca="1" t="shared" si="86"/>
        <v>31</v>
      </c>
      <c r="H114" s="75">
        <f ca="1" t="shared" si="86"/>
        <v>31</v>
      </c>
      <c r="I114" s="75">
        <f ca="1" t="shared" si="86"/>
        <v>31</v>
      </c>
      <c r="J114" s="75">
        <f ca="1" t="shared" si="86"/>
        <v>31</v>
      </c>
      <c r="K114" s="75">
        <f ca="1" t="shared" si="86"/>
        <v>31</v>
      </c>
      <c r="L114" s="75">
        <f ca="1" t="shared" si="86"/>
        <v>31</v>
      </c>
      <c r="M114" s="75">
        <f ca="1" t="shared" si="86"/>
        <v>25</v>
      </c>
      <c r="N114" s="75">
        <f ca="1" t="shared" si="86"/>
        <v>24</v>
      </c>
      <c r="O114" s="75">
        <f ca="1" t="shared" si="86"/>
        <v>24</v>
      </c>
      <c r="P114" s="75">
        <f ca="1" t="shared" si="86"/>
        <v>23</v>
      </c>
      <c r="Q114" s="75">
        <f ca="1" t="shared" si="86"/>
        <v>23</v>
      </c>
      <c r="R114" s="75">
        <f ca="1" t="shared" si="86"/>
        <v>21</v>
      </c>
      <c r="S114" s="75">
        <f ca="1" t="shared" si="86"/>
        <v>20</v>
      </c>
      <c r="T114" s="75">
        <f ca="1" t="shared" si="86"/>
        <v>18</v>
      </c>
      <c r="U114" s="75">
        <f ca="1" t="shared" si="86"/>
        <v>16</v>
      </c>
      <c r="V114" s="75">
        <f ca="1" t="shared" si="86"/>
        <v>15</v>
      </c>
      <c r="W114" s="75">
        <f ca="1" t="shared" si="69"/>
        <v>13</v>
      </c>
      <c r="X114" s="75">
        <f ca="1" t="shared" si="70"/>
        <v>12</v>
      </c>
      <c r="Y114" s="75">
        <f ca="1" t="shared" si="71"/>
        <v>11</v>
      </c>
    </row>
    <row r="115" ht="16.5" spans="1:25">
      <c r="A115" s="74">
        <v>95</v>
      </c>
      <c r="B115" s="65">
        <v>82</v>
      </c>
      <c r="C115" s="75">
        <f>INT(产出预期!M101)</f>
        <v>10346</v>
      </c>
      <c r="D115" s="75">
        <f ca="1" t="shared" ref="D115:V115" si="87">IFERROR(MATCH(D420*10,OFFSET($AS$339:$AS$388,0,D$335),1),0)</f>
        <v>40</v>
      </c>
      <c r="E115" s="75">
        <f ca="1" t="shared" si="87"/>
        <v>40</v>
      </c>
      <c r="F115" s="75">
        <f ca="1" t="shared" si="87"/>
        <v>40</v>
      </c>
      <c r="G115" s="75">
        <f ca="1" t="shared" si="87"/>
        <v>31</v>
      </c>
      <c r="H115" s="75">
        <f ca="1" t="shared" si="87"/>
        <v>31</v>
      </c>
      <c r="I115" s="75">
        <f ca="1" t="shared" si="87"/>
        <v>31</v>
      </c>
      <c r="J115" s="75">
        <f ca="1" t="shared" si="87"/>
        <v>31</v>
      </c>
      <c r="K115" s="75">
        <f ca="1" t="shared" si="87"/>
        <v>31</v>
      </c>
      <c r="L115" s="75">
        <f ca="1" t="shared" si="87"/>
        <v>31</v>
      </c>
      <c r="M115" s="75">
        <f ca="1" t="shared" si="87"/>
        <v>25</v>
      </c>
      <c r="N115" s="75">
        <f ca="1" t="shared" si="87"/>
        <v>24</v>
      </c>
      <c r="O115" s="75">
        <f ca="1" t="shared" si="87"/>
        <v>24</v>
      </c>
      <c r="P115" s="75">
        <f ca="1" t="shared" si="87"/>
        <v>24</v>
      </c>
      <c r="Q115" s="75">
        <f ca="1" t="shared" si="87"/>
        <v>23</v>
      </c>
      <c r="R115" s="75">
        <f ca="1" t="shared" si="87"/>
        <v>21</v>
      </c>
      <c r="S115" s="75">
        <f ca="1" t="shared" si="87"/>
        <v>21</v>
      </c>
      <c r="T115" s="75">
        <f ca="1" t="shared" si="87"/>
        <v>19</v>
      </c>
      <c r="U115" s="75">
        <f ca="1" t="shared" si="87"/>
        <v>16</v>
      </c>
      <c r="V115" s="75">
        <f ca="1" t="shared" si="87"/>
        <v>15</v>
      </c>
      <c r="W115" s="75">
        <f ca="1" t="shared" si="69"/>
        <v>14</v>
      </c>
      <c r="X115" s="75">
        <f ca="1" t="shared" si="70"/>
        <v>12</v>
      </c>
      <c r="Y115" s="75">
        <f ca="1" t="shared" si="71"/>
        <v>11</v>
      </c>
    </row>
    <row r="116" ht="16.5" spans="1:25">
      <c r="A116" s="74">
        <v>95</v>
      </c>
      <c r="B116" s="65">
        <v>83</v>
      </c>
      <c r="C116" s="75">
        <f>INT(产出预期!M102)</f>
        <v>10456</v>
      </c>
      <c r="D116" s="75">
        <f ca="1" t="shared" ref="D116:V116" si="88">IFERROR(MATCH(D421*10,OFFSET($AS$339:$AS$388,0,D$335),1),0)</f>
        <v>40</v>
      </c>
      <c r="E116" s="75">
        <f ca="1" t="shared" si="88"/>
        <v>40</v>
      </c>
      <c r="F116" s="75">
        <f ca="1" t="shared" si="88"/>
        <v>40</v>
      </c>
      <c r="G116" s="75">
        <f ca="1" t="shared" si="88"/>
        <v>31</v>
      </c>
      <c r="H116" s="75">
        <f ca="1" t="shared" si="88"/>
        <v>31</v>
      </c>
      <c r="I116" s="75">
        <f ca="1" t="shared" si="88"/>
        <v>31</v>
      </c>
      <c r="J116" s="75">
        <f ca="1" t="shared" si="88"/>
        <v>31</v>
      </c>
      <c r="K116" s="75">
        <f ca="1" t="shared" si="88"/>
        <v>31</v>
      </c>
      <c r="L116" s="75">
        <f ca="1" t="shared" si="88"/>
        <v>31</v>
      </c>
      <c r="M116" s="75">
        <f ca="1" t="shared" si="88"/>
        <v>25</v>
      </c>
      <c r="N116" s="75">
        <f ca="1" t="shared" si="88"/>
        <v>24</v>
      </c>
      <c r="O116" s="75">
        <f ca="1" t="shared" si="88"/>
        <v>24</v>
      </c>
      <c r="P116" s="75">
        <f ca="1" t="shared" si="88"/>
        <v>24</v>
      </c>
      <c r="Q116" s="75">
        <f ca="1" t="shared" si="88"/>
        <v>24</v>
      </c>
      <c r="R116" s="75">
        <f ca="1" t="shared" si="88"/>
        <v>21</v>
      </c>
      <c r="S116" s="75">
        <f ca="1" t="shared" si="88"/>
        <v>21</v>
      </c>
      <c r="T116" s="75">
        <f ca="1" t="shared" si="88"/>
        <v>19</v>
      </c>
      <c r="U116" s="75">
        <f ca="1" t="shared" si="88"/>
        <v>17</v>
      </c>
      <c r="V116" s="75">
        <f ca="1" t="shared" si="88"/>
        <v>15</v>
      </c>
      <c r="W116" s="75">
        <f ca="1" t="shared" si="69"/>
        <v>14</v>
      </c>
      <c r="X116" s="75">
        <f ca="1" t="shared" si="70"/>
        <v>13</v>
      </c>
      <c r="Y116" s="75">
        <f ca="1" t="shared" si="71"/>
        <v>11</v>
      </c>
    </row>
    <row r="117" ht="16.5" spans="1:25">
      <c r="A117" s="74">
        <v>95</v>
      </c>
      <c r="B117" s="65">
        <v>84</v>
      </c>
      <c r="C117" s="75">
        <f>INT(产出预期!M103)</f>
        <v>10566</v>
      </c>
      <c r="D117" s="75">
        <f ca="1" t="shared" ref="D117:V117" si="89">IFERROR(MATCH(D422*10,OFFSET($AS$339:$AS$388,0,D$335),1),0)</f>
        <v>40</v>
      </c>
      <c r="E117" s="75">
        <f ca="1" t="shared" si="89"/>
        <v>40</v>
      </c>
      <c r="F117" s="75">
        <f ca="1" t="shared" si="89"/>
        <v>40</v>
      </c>
      <c r="G117" s="75">
        <f ca="1" t="shared" si="89"/>
        <v>31</v>
      </c>
      <c r="H117" s="75">
        <f ca="1" t="shared" si="89"/>
        <v>31</v>
      </c>
      <c r="I117" s="75">
        <f ca="1" t="shared" si="89"/>
        <v>31</v>
      </c>
      <c r="J117" s="75">
        <f ca="1" t="shared" si="89"/>
        <v>31</v>
      </c>
      <c r="K117" s="75">
        <f ca="1" t="shared" si="89"/>
        <v>31</v>
      </c>
      <c r="L117" s="75">
        <f ca="1" t="shared" si="89"/>
        <v>31</v>
      </c>
      <c r="M117" s="75">
        <f ca="1" t="shared" si="89"/>
        <v>25</v>
      </c>
      <c r="N117" s="75">
        <f ca="1" t="shared" si="89"/>
        <v>24</v>
      </c>
      <c r="O117" s="75">
        <f ca="1" t="shared" si="89"/>
        <v>24</v>
      </c>
      <c r="P117" s="75">
        <f ca="1" t="shared" si="89"/>
        <v>24</v>
      </c>
      <c r="Q117" s="75">
        <f ca="1" t="shared" si="89"/>
        <v>24</v>
      </c>
      <c r="R117" s="75">
        <f ca="1" t="shared" si="89"/>
        <v>22</v>
      </c>
      <c r="S117" s="75">
        <f ca="1" t="shared" si="89"/>
        <v>21</v>
      </c>
      <c r="T117" s="75">
        <f ca="1" t="shared" si="89"/>
        <v>20</v>
      </c>
      <c r="U117" s="75">
        <f ca="1" t="shared" si="89"/>
        <v>17</v>
      </c>
      <c r="V117" s="75">
        <f ca="1" t="shared" si="89"/>
        <v>16</v>
      </c>
      <c r="W117" s="75">
        <f ca="1" t="shared" si="69"/>
        <v>14</v>
      </c>
      <c r="X117" s="75">
        <f ca="1" t="shared" si="70"/>
        <v>13</v>
      </c>
      <c r="Y117" s="75">
        <f ca="1" t="shared" si="71"/>
        <v>11</v>
      </c>
    </row>
    <row r="118" ht="16.5" spans="1:25">
      <c r="A118" s="74">
        <v>96</v>
      </c>
      <c r="B118" s="65">
        <v>85</v>
      </c>
      <c r="C118" s="75">
        <f>INT(产出预期!M104)</f>
        <v>10676</v>
      </c>
      <c r="D118" s="75">
        <f ca="1" t="shared" ref="D118:V118" si="90">IFERROR(MATCH(D423*10,OFFSET($AS$339:$AS$388,0,D$335),1),0)</f>
        <v>41</v>
      </c>
      <c r="E118" s="75">
        <f ca="1" t="shared" si="90"/>
        <v>41</v>
      </c>
      <c r="F118" s="75">
        <f ca="1" t="shared" si="90"/>
        <v>41</v>
      </c>
      <c r="G118" s="75">
        <f ca="1" t="shared" si="90"/>
        <v>31</v>
      </c>
      <c r="H118" s="75">
        <f ca="1" t="shared" si="90"/>
        <v>31</v>
      </c>
      <c r="I118" s="75">
        <f ca="1" t="shared" si="90"/>
        <v>31</v>
      </c>
      <c r="J118" s="75">
        <f ca="1" t="shared" si="90"/>
        <v>31</v>
      </c>
      <c r="K118" s="75">
        <f ca="1" t="shared" si="90"/>
        <v>31</v>
      </c>
      <c r="L118" s="75">
        <f ca="1" t="shared" si="90"/>
        <v>31</v>
      </c>
      <c r="M118" s="75">
        <f ca="1" t="shared" si="90"/>
        <v>25</v>
      </c>
      <c r="N118" s="75">
        <f ca="1" t="shared" si="90"/>
        <v>24</v>
      </c>
      <c r="O118" s="75">
        <f ca="1" t="shared" si="90"/>
        <v>24</v>
      </c>
      <c r="P118" s="75">
        <f ca="1" t="shared" si="90"/>
        <v>24</v>
      </c>
      <c r="Q118" s="75">
        <f ca="1" t="shared" si="90"/>
        <v>24</v>
      </c>
      <c r="R118" s="75">
        <f ca="1" t="shared" si="90"/>
        <v>22</v>
      </c>
      <c r="S118" s="75">
        <f ca="1" t="shared" si="90"/>
        <v>21</v>
      </c>
      <c r="T118" s="75">
        <f ca="1" t="shared" si="90"/>
        <v>20</v>
      </c>
      <c r="U118" s="75">
        <f ca="1" t="shared" si="90"/>
        <v>17</v>
      </c>
      <c r="V118" s="75">
        <f ca="1" t="shared" si="90"/>
        <v>16</v>
      </c>
      <c r="W118" s="75">
        <f ca="1" t="shared" si="69"/>
        <v>14</v>
      </c>
      <c r="X118" s="75">
        <f ca="1" t="shared" si="70"/>
        <v>13</v>
      </c>
      <c r="Y118" s="75">
        <f ca="1" t="shared" si="71"/>
        <v>12</v>
      </c>
    </row>
    <row r="119" ht="16.5" spans="1:25">
      <c r="A119" s="74">
        <v>96</v>
      </c>
      <c r="B119" s="65">
        <v>86</v>
      </c>
      <c r="C119" s="75">
        <f>INT(产出预期!M105)</f>
        <v>10786</v>
      </c>
      <c r="D119" s="75">
        <f ca="1" t="shared" ref="D119:V119" si="91">IFERROR(MATCH(D424*10,OFFSET($AS$339:$AS$388,0,D$335),1),0)</f>
        <v>41</v>
      </c>
      <c r="E119" s="75">
        <f ca="1" t="shared" si="91"/>
        <v>41</v>
      </c>
      <c r="F119" s="75">
        <f ca="1" t="shared" si="91"/>
        <v>41</v>
      </c>
      <c r="G119" s="75">
        <f ca="1" t="shared" si="91"/>
        <v>31</v>
      </c>
      <c r="H119" s="75">
        <f ca="1" t="shared" si="91"/>
        <v>31</v>
      </c>
      <c r="I119" s="75">
        <f ca="1" t="shared" si="91"/>
        <v>31</v>
      </c>
      <c r="J119" s="75">
        <f ca="1" t="shared" si="91"/>
        <v>31</v>
      </c>
      <c r="K119" s="75">
        <f ca="1" t="shared" si="91"/>
        <v>31</v>
      </c>
      <c r="L119" s="75">
        <f ca="1" t="shared" si="91"/>
        <v>31</v>
      </c>
      <c r="M119" s="75">
        <f ca="1" t="shared" si="91"/>
        <v>25</v>
      </c>
      <c r="N119" s="75">
        <f ca="1" t="shared" si="91"/>
        <v>25</v>
      </c>
      <c r="O119" s="75">
        <f ca="1" t="shared" si="91"/>
        <v>24</v>
      </c>
      <c r="P119" s="75">
        <f ca="1" t="shared" si="91"/>
        <v>24</v>
      </c>
      <c r="Q119" s="75">
        <f ca="1" t="shared" si="91"/>
        <v>24</v>
      </c>
      <c r="R119" s="75">
        <f ca="1" t="shared" si="91"/>
        <v>22</v>
      </c>
      <c r="S119" s="75">
        <f ca="1" t="shared" si="91"/>
        <v>21</v>
      </c>
      <c r="T119" s="75">
        <f ca="1" t="shared" si="91"/>
        <v>20</v>
      </c>
      <c r="U119" s="75">
        <f ca="1" t="shared" si="91"/>
        <v>17</v>
      </c>
      <c r="V119" s="75">
        <f ca="1" t="shared" si="91"/>
        <v>16</v>
      </c>
      <c r="W119" s="75">
        <f ca="1" t="shared" si="69"/>
        <v>15</v>
      </c>
      <c r="X119" s="75">
        <f ca="1" t="shared" si="70"/>
        <v>13</v>
      </c>
      <c r="Y119" s="75">
        <f ca="1" t="shared" si="71"/>
        <v>12</v>
      </c>
    </row>
    <row r="120" ht="16.5" spans="1:25">
      <c r="A120" s="74">
        <v>96</v>
      </c>
      <c r="B120" s="65">
        <v>87</v>
      </c>
      <c r="C120" s="75">
        <f>INT(产出预期!M106)</f>
        <v>10896</v>
      </c>
      <c r="D120" s="75">
        <f ca="1" t="shared" ref="D120:V120" si="92">IFERROR(MATCH(D425*10,OFFSET($AS$339:$AS$388,0,D$335),1),0)</f>
        <v>41</v>
      </c>
      <c r="E120" s="75">
        <f ca="1" t="shared" si="92"/>
        <v>41</v>
      </c>
      <c r="F120" s="75">
        <f ca="1" t="shared" si="92"/>
        <v>41</v>
      </c>
      <c r="G120" s="75">
        <f ca="1" t="shared" si="92"/>
        <v>31</v>
      </c>
      <c r="H120" s="75">
        <f ca="1" t="shared" si="92"/>
        <v>31</v>
      </c>
      <c r="I120" s="75">
        <f ca="1" t="shared" si="92"/>
        <v>31</v>
      </c>
      <c r="J120" s="75">
        <f ca="1" t="shared" si="92"/>
        <v>31</v>
      </c>
      <c r="K120" s="75">
        <f ca="1" t="shared" si="92"/>
        <v>31</v>
      </c>
      <c r="L120" s="75">
        <f ca="1" t="shared" si="92"/>
        <v>31</v>
      </c>
      <c r="M120" s="75">
        <f ca="1" t="shared" si="92"/>
        <v>25</v>
      </c>
      <c r="N120" s="75">
        <f ca="1" t="shared" si="92"/>
        <v>25</v>
      </c>
      <c r="O120" s="75">
        <f ca="1" t="shared" si="92"/>
        <v>25</v>
      </c>
      <c r="P120" s="75">
        <f ca="1" t="shared" si="92"/>
        <v>24</v>
      </c>
      <c r="Q120" s="75">
        <f ca="1" t="shared" si="92"/>
        <v>24</v>
      </c>
      <c r="R120" s="75">
        <f ca="1" t="shared" si="92"/>
        <v>22</v>
      </c>
      <c r="S120" s="75">
        <f ca="1" t="shared" si="92"/>
        <v>21</v>
      </c>
      <c r="T120" s="75">
        <f ca="1" t="shared" si="92"/>
        <v>20</v>
      </c>
      <c r="U120" s="75">
        <f ca="1" t="shared" si="92"/>
        <v>17</v>
      </c>
      <c r="V120" s="75">
        <f ca="1" t="shared" si="92"/>
        <v>16</v>
      </c>
      <c r="W120" s="75">
        <f ca="1" t="shared" si="69"/>
        <v>15</v>
      </c>
      <c r="X120" s="75">
        <f ca="1" t="shared" si="70"/>
        <v>14</v>
      </c>
      <c r="Y120" s="75">
        <f ca="1" t="shared" si="71"/>
        <v>12</v>
      </c>
    </row>
    <row r="121" ht="16.5" spans="1:25">
      <c r="A121" s="74">
        <v>97</v>
      </c>
      <c r="B121" s="65">
        <v>88</v>
      </c>
      <c r="C121" s="75">
        <f>INT(产出预期!M107)</f>
        <v>11006</v>
      </c>
      <c r="D121" s="75">
        <f ca="1" t="shared" ref="D121:V121" si="93">IFERROR(MATCH(D426*10,OFFSET($AS$339:$AS$388,0,D$335),1),0)</f>
        <v>41</v>
      </c>
      <c r="E121" s="75">
        <f ca="1" t="shared" si="93"/>
        <v>41</v>
      </c>
      <c r="F121" s="75">
        <f ca="1" t="shared" si="93"/>
        <v>41</v>
      </c>
      <c r="G121" s="75">
        <f ca="1" t="shared" si="93"/>
        <v>31</v>
      </c>
      <c r="H121" s="75">
        <f ca="1" t="shared" si="93"/>
        <v>31</v>
      </c>
      <c r="I121" s="75">
        <f ca="1" t="shared" si="93"/>
        <v>31</v>
      </c>
      <c r="J121" s="75">
        <f ca="1" t="shared" si="93"/>
        <v>31</v>
      </c>
      <c r="K121" s="75">
        <f ca="1" t="shared" si="93"/>
        <v>31</v>
      </c>
      <c r="L121" s="75">
        <f ca="1" t="shared" si="93"/>
        <v>31</v>
      </c>
      <c r="M121" s="75">
        <f ca="1" t="shared" si="93"/>
        <v>25</v>
      </c>
      <c r="N121" s="75">
        <f ca="1" t="shared" si="93"/>
        <v>25</v>
      </c>
      <c r="O121" s="75">
        <f ca="1" t="shared" si="93"/>
        <v>25</v>
      </c>
      <c r="P121" s="75">
        <f ca="1" t="shared" si="93"/>
        <v>24</v>
      </c>
      <c r="Q121" s="75">
        <f ca="1" t="shared" si="93"/>
        <v>24</v>
      </c>
      <c r="R121" s="75">
        <f ca="1" t="shared" si="93"/>
        <v>22</v>
      </c>
      <c r="S121" s="75">
        <f ca="1" t="shared" si="93"/>
        <v>21</v>
      </c>
      <c r="T121" s="75">
        <f ca="1" t="shared" si="93"/>
        <v>20</v>
      </c>
      <c r="U121" s="75">
        <f ca="1" t="shared" si="93"/>
        <v>17</v>
      </c>
      <c r="V121" s="75">
        <f ca="1" t="shared" si="93"/>
        <v>16</v>
      </c>
      <c r="W121" s="75">
        <f ca="1" t="shared" si="69"/>
        <v>15</v>
      </c>
      <c r="X121" s="75">
        <f ca="1" t="shared" si="70"/>
        <v>14</v>
      </c>
      <c r="Y121" s="75">
        <f ca="1" t="shared" si="71"/>
        <v>12</v>
      </c>
    </row>
    <row r="122" ht="16.5" spans="1:25">
      <c r="A122" s="74">
        <v>97</v>
      </c>
      <c r="B122" s="65">
        <v>89</v>
      </c>
      <c r="C122" s="75">
        <f>INT(产出预期!M108)</f>
        <v>11116</v>
      </c>
      <c r="D122" s="75">
        <f ca="1" t="shared" ref="D122:V122" si="94">IFERROR(MATCH(D427*10,OFFSET($AS$339:$AS$388,0,D$335),1),0)</f>
        <v>41</v>
      </c>
      <c r="E122" s="75">
        <f ca="1" t="shared" si="94"/>
        <v>41</v>
      </c>
      <c r="F122" s="75">
        <f ca="1" t="shared" si="94"/>
        <v>41</v>
      </c>
      <c r="G122" s="75">
        <f ca="1" t="shared" si="94"/>
        <v>31</v>
      </c>
      <c r="H122" s="75">
        <f ca="1" t="shared" si="94"/>
        <v>31</v>
      </c>
      <c r="I122" s="75">
        <f ca="1" t="shared" si="94"/>
        <v>31</v>
      </c>
      <c r="J122" s="75">
        <f ca="1" t="shared" si="94"/>
        <v>31</v>
      </c>
      <c r="K122" s="75">
        <f ca="1" t="shared" si="94"/>
        <v>31</v>
      </c>
      <c r="L122" s="75">
        <f ca="1" t="shared" si="94"/>
        <v>31</v>
      </c>
      <c r="M122" s="75">
        <f ca="1" t="shared" si="94"/>
        <v>26</v>
      </c>
      <c r="N122" s="75">
        <f ca="1" t="shared" si="94"/>
        <v>25</v>
      </c>
      <c r="O122" s="75">
        <f ca="1" t="shared" si="94"/>
        <v>25</v>
      </c>
      <c r="P122" s="75">
        <f ca="1" t="shared" si="94"/>
        <v>25</v>
      </c>
      <c r="Q122" s="75">
        <f ca="1" t="shared" si="94"/>
        <v>24</v>
      </c>
      <c r="R122" s="75">
        <f ca="1" t="shared" si="94"/>
        <v>22</v>
      </c>
      <c r="S122" s="75">
        <f ca="1" t="shared" si="94"/>
        <v>22</v>
      </c>
      <c r="T122" s="75">
        <f ca="1" t="shared" si="94"/>
        <v>20</v>
      </c>
      <c r="U122" s="75">
        <f ca="1" t="shared" si="94"/>
        <v>18</v>
      </c>
      <c r="V122" s="75">
        <f ca="1" t="shared" si="94"/>
        <v>16</v>
      </c>
      <c r="W122" s="75">
        <f ca="1" t="shared" si="69"/>
        <v>15</v>
      </c>
      <c r="X122" s="75">
        <f ca="1" t="shared" si="70"/>
        <v>14</v>
      </c>
      <c r="Y122" s="75">
        <f ca="1" t="shared" si="71"/>
        <v>13</v>
      </c>
    </row>
    <row r="123" ht="16.5" spans="1:25">
      <c r="A123" s="74">
        <v>97</v>
      </c>
      <c r="B123" s="65">
        <v>90</v>
      </c>
      <c r="C123" s="75">
        <f>INT(产出预期!M109)</f>
        <v>11226</v>
      </c>
      <c r="D123" s="75">
        <f ca="1" t="shared" ref="D123:V123" si="95">IFERROR(MATCH(D428*10,OFFSET($AS$339:$AS$388,0,D$335),1),0)</f>
        <v>41</v>
      </c>
      <c r="E123" s="75">
        <f ca="1" t="shared" si="95"/>
        <v>41</v>
      </c>
      <c r="F123" s="75">
        <f ca="1" t="shared" si="95"/>
        <v>41</v>
      </c>
      <c r="G123" s="75">
        <f ca="1" t="shared" si="95"/>
        <v>32</v>
      </c>
      <c r="H123" s="75">
        <f ca="1" t="shared" si="95"/>
        <v>32</v>
      </c>
      <c r="I123" s="75">
        <f ca="1" t="shared" si="95"/>
        <v>32</v>
      </c>
      <c r="J123" s="75">
        <f ca="1" t="shared" si="95"/>
        <v>32</v>
      </c>
      <c r="K123" s="75">
        <f ca="1" t="shared" si="95"/>
        <v>32</v>
      </c>
      <c r="L123" s="75">
        <f ca="1" t="shared" si="95"/>
        <v>31</v>
      </c>
      <c r="M123" s="75">
        <f ca="1" t="shared" si="95"/>
        <v>26</v>
      </c>
      <c r="N123" s="75">
        <f ca="1" t="shared" si="95"/>
        <v>25</v>
      </c>
      <c r="O123" s="75">
        <f ca="1" t="shared" si="95"/>
        <v>25</v>
      </c>
      <c r="P123" s="75">
        <f ca="1" t="shared" si="95"/>
        <v>25</v>
      </c>
      <c r="Q123" s="75">
        <f ca="1" t="shared" si="95"/>
        <v>25</v>
      </c>
      <c r="R123" s="75">
        <f ca="1" t="shared" si="95"/>
        <v>22</v>
      </c>
      <c r="S123" s="75">
        <f ca="1" t="shared" si="95"/>
        <v>22</v>
      </c>
      <c r="T123" s="75">
        <f ca="1" t="shared" si="95"/>
        <v>21</v>
      </c>
      <c r="U123" s="75">
        <f ca="1" t="shared" si="95"/>
        <v>18</v>
      </c>
      <c r="V123" s="75">
        <f ca="1" t="shared" si="95"/>
        <v>17</v>
      </c>
      <c r="W123" s="75">
        <f ca="1" t="shared" si="69"/>
        <v>15</v>
      </c>
      <c r="X123" s="75">
        <f ca="1" t="shared" si="70"/>
        <v>14</v>
      </c>
      <c r="Y123" s="75">
        <f ca="1" t="shared" si="71"/>
        <v>13</v>
      </c>
    </row>
    <row r="124" ht="16.5" spans="1:25">
      <c r="A124" s="74">
        <v>98</v>
      </c>
      <c r="B124" s="65">
        <v>91</v>
      </c>
      <c r="C124" s="75">
        <f>INT(产出预期!M110)</f>
        <v>11336</v>
      </c>
      <c r="D124" s="75">
        <f ca="1" t="shared" ref="D124:V124" si="96">IFERROR(MATCH(D429*10,OFFSET($AS$339:$AS$388,0,D$335),1),0)</f>
        <v>41</v>
      </c>
      <c r="E124" s="75">
        <f ca="1" t="shared" si="96"/>
        <v>41</v>
      </c>
      <c r="F124" s="75">
        <f ca="1" t="shared" si="96"/>
        <v>41</v>
      </c>
      <c r="G124" s="75">
        <f ca="1" t="shared" si="96"/>
        <v>32</v>
      </c>
      <c r="H124" s="75">
        <f ca="1" t="shared" si="96"/>
        <v>32</v>
      </c>
      <c r="I124" s="75">
        <f ca="1" t="shared" si="96"/>
        <v>32</v>
      </c>
      <c r="J124" s="75">
        <f ca="1" t="shared" si="96"/>
        <v>32</v>
      </c>
      <c r="K124" s="75">
        <f ca="1" t="shared" si="96"/>
        <v>32</v>
      </c>
      <c r="L124" s="75">
        <f ca="1" t="shared" si="96"/>
        <v>31</v>
      </c>
      <c r="M124" s="75">
        <f ca="1" t="shared" si="96"/>
        <v>26</v>
      </c>
      <c r="N124" s="75">
        <f ca="1" t="shared" si="96"/>
        <v>25</v>
      </c>
      <c r="O124" s="75">
        <f ca="1" t="shared" si="96"/>
        <v>25</v>
      </c>
      <c r="P124" s="75">
        <f ca="1" t="shared" si="96"/>
        <v>25</v>
      </c>
      <c r="Q124" s="75">
        <f ca="1" t="shared" si="96"/>
        <v>25</v>
      </c>
      <c r="R124" s="75">
        <f ca="1" t="shared" si="96"/>
        <v>23</v>
      </c>
      <c r="S124" s="75">
        <f ca="1" t="shared" si="96"/>
        <v>22</v>
      </c>
      <c r="T124" s="75">
        <f ca="1" t="shared" si="96"/>
        <v>21</v>
      </c>
      <c r="U124" s="75">
        <f ca="1" t="shared" si="96"/>
        <v>18</v>
      </c>
      <c r="V124" s="75">
        <f ca="1" t="shared" si="96"/>
        <v>17</v>
      </c>
      <c r="W124" s="75">
        <f ca="1" t="shared" si="69"/>
        <v>15</v>
      </c>
      <c r="X124" s="75">
        <f ca="1" t="shared" si="70"/>
        <v>14</v>
      </c>
      <c r="Y124" s="75">
        <f ca="1" t="shared" si="71"/>
        <v>13</v>
      </c>
    </row>
    <row r="125" ht="16.5" spans="1:25">
      <c r="A125" s="74">
        <v>98</v>
      </c>
      <c r="B125" s="65">
        <v>92</v>
      </c>
      <c r="C125" s="75">
        <f>INT(产出预期!M111)</f>
        <v>11446</v>
      </c>
      <c r="D125" s="75">
        <f ca="1" t="shared" ref="D125:V125" si="97">IFERROR(MATCH(D430*10,OFFSET($AS$339:$AS$388,0,D$335),1),0)</f>
        <v>41</v>
      </c>
      <c r="E125" s="75">
        <f ca="1" t="shared" si="97"/>
        <v>41</v>
      </c>
      <c r="F125" s="75">
        <f ca="1" t="shared" si="97"/>
        <v>41</v>
      </c>
      <c r="G125" s="75">
        <f ca="1" t="shared" si="97"/>
        <v>32</v>
      </c>
      <c r="H125" s="75">
        <f ca="1" t="shared" si="97"/>
        <v>32</v>
      </c>
      <c r="I125" s="75">
        <f ca="1" t="shared" si="97"/>
        <v>32</v>
      </c>
      <c r="J125" s="75">
        <f ca="1" t="shared" si="97"/>
        <v>32</v>
      </c>
      <c r="K125" s="75">
        <f ca="1" t="shared" si="97"/>
        <v>32</v>
      </c>
      <c r="L125" s="75">
        <f ca="1" t="shared" si="97"/>
        <v>32</v>
      </c>
      <c r="M125" s="75">
        <f ca="1" t="shared" si="97"/>
        <v>26</v>
      </c>
      <c r="N125" s="75">
        <f ca="1" t="shared" si="97"/>
        <v>25</v>
      </c>
      <c r="O125" s="75">
        <f ca="1" t="shared" si="97"/>
        <v>25</v>
      </c>
      <c r="P125" s="75">
        <f ca="1" t="shared" si="97"/>
        <v>25</v>
      </c>
      <c r="Q125" s="75">
        <f ca="1" t="shared" si="97"/>
        <v>25</v>
      </c>
      <c r="R125" s="75">
        <f ca="1" t="shared" si="97"/>
        <v>23</v>
      </c>
      <c r="S125" s="75">
        <f ca="1" t="shared" si="97"/>
        <v>22</v>
      </c>
      <c r="T125" s="75">
        <f ca="1" t="shared" si="97"/>
        <v>21</v>
      </c>
      <c r="U125" s="75">
        <f ca="1" t="shared" si="97"/>
        <v>18</v>
      </c>
      <c r="V125" s="75">
        <f ca="1" t="shared" si="97"/>
        <v>17</v>
      </c>
      <c r="W125" s="75">
        <f ca="1" t="shared" si="69"/>
        <v>16</v>
      </c>
      <c r="X125" s="75">
        <f ca="1" t="shared" si="70"/>
        <v>15</v>
      </c>
      <c r="Y125" s="75">
        <f ca="1" t="shared" si="71"/>
        <v>13</v>
      </c>
    </row>
    <row r="126" ht="16.5" spans="1:25">
      <c r="A126" s="74">
        <v>98</v>
      </c>
      <c r="B126" s="65">
        <v>93</v>
      </c>
      <c r="C126" s="75">
        <f>INT(产出预期!M112)</f>
        <v>11556</v>
      </c>
      <c r="D126" s="75">
        <f ca="1" t="shared" ref="D126:V126" si="98">IFERROR(MATCH(D431*10,OFFSET($AS$339:$AS$388,0,D$335),1),0)</f>
        <v>41</v>
      </c>
      <c r="E126" s="75">
        <f ca="1" t="shared" si="98"/>
        <v>41</v>
      </c>
      <c r="F126" s="75">
        <f ca="1" t="shared" si="98"/>
        <v>41</v>
      </c>
      <c r="G126" s="75">
        <f ca="1" t="shared" si="98"/>
        <v>32</v>
      </c>
      <c r="H126" s="75">
        <f ca="1" t="shared" si="98"/>
        <v>32</v>
      </c>
      <c r="I126" s="75">
        <f ca="1" t="shared" si="98"/>
        <v>32</v>
      </c>
      <c r="J126" s="75">
        <f ca="1" t="shared" si="98"/>
        <v>32</v>
      </c>
      <c r="K126" s="75">
        <f ca="1" t="shared" si="98"/>
        <v>32</v>
      </c>
      <c r="L126" s="75">
        <f ca="1" t="shared" si="98"/>
        <v>32</v>
      </c>
      <c r="M126" s="75">
        <f ca="1" t="shared" si="98"/>
        <v>26</v>
      </c>
      <c r="N126" s="75">
        <f ca="1" t="shared" si="98"/>
        <v>26</v>
      </c>
      <c r="O126" s="75">
        <f ca="1" t="shared" si="98"/>
        <v>25</v>
      </c>
      <c r="P126" s="75">
        <f ca="1" t="shared" si="98"/>
        <v>25</v>
      </c>
      <c r="Q126" s="75">
        <f ca="1" t="shared" si="98"/>
        <v>25</v>
      </c>
      <c r="R126" s="75">
        <f ca="1" t="shared" si="98"/>
        <v>23</v>
      </c>
      <c r="S126" s="75">
        <f ca="1" t="shared" si="98"/>
        <v>23</v>
      </c>
      <c r="T126" s="75">
        <f ca="1" t="shared" si="98"/>
        <v>21</v>
      </c>
      <c r="U126" s="75">
        <f ca="1" t="shared" si="98"/>
        <v>18</v>
      </c>
      <c r="V126" s="75">
        <f ca="1" t="shared" si="98"/>
        <v>17</v>
      </c>
      <c r="W126" s="75">
        <f ca="1" t="shared" si="69"/>
        <v>16</v>
      </c>
      <c r="X126" s="75">
        <f ca="1" t="shared" si="70"/>
        <v>15</v>
      </c>
      <c r="Y126" s="75">
        <f ca="1" t="shared" si="71"/>
        <v>14</v>
      </c>
    </row>
    <row r="127" ht="16.5" spans="1:25">
      <c r="A127" s="74">
        <v>99</v>
      </c>
      <c r="B127" s="65">
        <v>94</v>
      </c>
      <c r="C127" s="75">
        <f>INT(产出预期!M113)</f>
        <v>11666</v>
      </c>
      <c r="D127" s="75">
        <f ca="1" t="shared" ref="D127:V127" si="99">IFERROR(MATCH(D432*10,OFFSET($AS$339:$AS$388,0,D$335),1),0)</f>
        <v>41</v>
      </c>
      <c r="E127" s="75">
        <f ca="1" t="shared" si="99"/>
        <v>41</v>
      </c>
      <c r="F127" s="75">
        <f ca="1" t="shared" si="99"/>
        <v>41</v>
      </c>
      <c r="G127" s="75">
        <f ca="1" t="shared" si="99"/>
        <v>32</v>
      </c>
      <c r="H127" s="75">
        <f ca="1" t="shared" si="99"/>
        <v>32</v>
      </c>
      <c r="I127" s="75">
        <f ca="1" t="shared" si="99"/>
        <v>32</v>
      </c>
      <c r="J127" s="75">
        <f ca="1" t="shared" si="99"/>
        <v>32</v>
      </c>
      <c r="K127" s="75">
        <f ca="1" t="shared" si="99"/>
        <v>32</v>
      </c>
      <c r="L127" s="75">
        <f ca="1" t="shared" si="99"/>
        <v>32</v>
      </c>
      <c r="M127" s="75">
        <f ca="1" t="shared" si="99"/>
        <v>26</v>
      </c>
      <c r="N127" s="75">
        <f ca="1" t="shared" si="99"/>
        <v>26</v>
      </c>
      <c r="O127" s="75">
        <f ca="1" t="shared" si="99"/>
        <v>26</v>
      </c>
      <c r="P127" s="75">
        <f ca="1" t="shared" si="99"/>
        <v>25</v>
      </c>
      <c r="Q127" s="75">
        <f ca="1" t="shared" si="99"/>
        <v>25</v>
      </c>
      <c r="R127" s="75">
        <f ca="1" t="shared" si="99"/>
        <v>23</v>
      </c>
      <c r="S127" s="75">
        <f ca="1" t="shared" si="99"/>
        <v>23</v>
      </c>
      <c r="T127" s="75">
        <f ca="1" t="shared" si="99"/>
        <v>21</v>
      </c>
      <c r="U127" s="75">
        <f ca="1" t="shared" si="99"/>
        <v>18</v>
      </c>
      <c r="V127" s="75">
        <f ca="1" t="shared" si="99"/>
        <v>17</v>
      </c>
      <c r="W127" s="75">
        <f ca="1" t="shared" si="69"/>
        <v>16</v>
      </c>
      <c r="X127" s="75">
        <f ca="1" t="shared" si="70"/>
        <v>15</v>
      </c>
      <c r="Y127" s="75">
        <f ca="1" t="shared" si="71"/>
        <v>14</v>
      </c>
    </row>
    <row r="128" ht="16.5" spans="1:25">
      <c r="A128" s="74">
        <v>99</v>
      </c>
      <c r="B128" s="65">
        <v>95</v>
      </c>
      <c r="C128" s="75">
        <f>INT(产出预期!M114)</f>
        <v>11776</v>
      </c>
      <c r="D128" s="75">
        <f ca="1" t="shared" ref="D128:V128" si="100">IFERROR(MATCH(D433*10,OFFSET($AS$339:$AS$388,0,D$335),1),0)</f>
        <v>41</v>
      </c>
      <c r="E128" s="75">
        <f ca="1" t="shared" si="100"/>
        <v>41</v>
      </c>
      <c r="F128" s="75">
        <f ca="1" t="shared" si="100"/>
        <v>41</v>
      </c>
      <c r="G128" s="75">
        <f ca="1" t="shared" si="100"/>
        <v>32</v>
      </c>
      <c r="H128" s="75">
        <f ca="1" t="shared" si="100"/>
        <v>32</v>
      </c>
      <c r="I128" s="75">
        <f ca="1" t="shared" si="100"/>
        <v>32</v>
      </c>
      <c r="J128" s="75">
        <f ca="1" t="shared" si="100"/>
        <v>32</v>
      </c>
      <c r="K128" s="75">
        <f ca="1" t="shared" si="100"/>
        <v>32</v>
      </c>
      <c r="L128" s="75">
        <f ca="1" t="shared" si="100"/>
        <v>32</v>
      </c>
      <c r="M128" s="75">
        <f ca="1" t="shared" si="100"/>
        <v>26</v>
      </c>
      <c r="N128" s="75">
        <f ca="1" t="shared" si="100"/>
        <v>26</v>
      </c>
      <c r="O128" s="75">
        <f ca="1" t="shared" si="100"/>
        <v>26</v>
      </c>
      <c r="P128" s="75">
        <f ca="1" t="shared" si="100"/>
        <v>25</v>
      </c>
      <c r="Q128" s="75">
        <f ca="1" t="shared" si="100"/>
        <v>25</v>
      </c>
      <c r="R128" s="75">
        <f ca="1" t="shared" si="100"/>
        <v>24</v>
      </c>
      <c r="S128" s="75">
        <f ca="1" t="shared" si="100"/>
        <v>23</v>
      </c>
      <c r="T128" s="75">
        <f ca="1" t="shared" si="100"/>
        <v>22</v>
      </c>
      <c r="U128" s="75">
        <f ca="1" t="shared" si="100"/>
        <v>19</v>
      </c>
      <c r="V128" s="75">
        <f ca="1" t="shared" si="100"/>
        <v>17</v>
      </c>
      <c r="W128" s="75">
        <f ca="1" t="shared" si="69"/>
        <v>16</v>
      </c>
      <c r="X128" s="75">
        <f ca="1" t="shared" si="70"/>
        <v>15</v>
      </c>
      <c r="Y128" s="75">
        <f ca="1" t="shared" si="71"/>
        <v>14</v>
      </c>
    </row>
    <row r="129" ht="16.5" spans="1:25">
      <c r="A129" s="74">
        <v>99</v>
      </c>
      <c r="B129" s="65">
        <v>96</v>
      </c>
      <c r="C129" s="75">
        <f>INT(产出预期!M115)</f>
        <v>11886</v>
      </c>
      <c r="D129" s="75">
        <f ca="1" t="shared" ref="D129:V129" si="101">IFERROR(MATCH(D434*10,OFFSET($AS$339:$AS$388,0,D$335),1),0)</f>
        <v>41</v>
      </c>
      <c r="E129" s="75">
        <f ca="1" t="shared" si="101"/>
        <v>41</v>
      </c>
      <c r="F129" s="75">
        <f ca="1" t="shared" si="101"/>
        <v>41</v>
      </c>
      <c r="G129" s="75">
        <f ca="1" t="shared" si="101"/>
        <v>32</v>
      </c>
      <c r="H129" s="75">
        <f ca="1" t="shared" si="101"/>
        <v>32</v>
      </c>
      <c r="I129" s="75">
        <f ca="1" t="shared" si="101"/>
        <v>32</v>
      </c>
      <c r="J129" s="75">
        <f ca="1" t="shared" si="101"/>
        <v>32</v>
      </c>
      <c r="K129" s="75">
        <f ca="1" t="shared" si="101"/>
        <v>32</v>
      </c>
      <c r="L129" s="75">
        <f ca="1" t="shared" si="101"/>
        <v>32</v>
      </c>
      <c r="M129" s="75">
        <f ca="1" t="shared" si="101"/>
        <v>26</v>
      </c>
      <c r="N129" s="75">
        <f ca="1" t="shared" si="101"/>
        <v>26</v>
      </c>
      <c r="O129" s="75">
        <f ca="1" t="shared" si="101"/>
        <v>26</v>
      </c>
      <c r="P129" s="75">
        <f ca="1" t="shared" si="101"/>
        <v>26</v>
      </c>
      <c r="Q129" s="75">
        <f ca="1" t="shared" si="101"/>
        <v>25</v>
      </c>
      <c r="R129" s="75">
        <f ca="1" t="shared" si="101"/>
        <v>24</v>
      </c>
      <c r="S129" s="75">
        <f ca="1" t="shared" si="101"/>
        <v>23</v>
      </c>
      <c r="T129" s="75">
        <f ca="1" t="shared" si="101"/>
        <v>22</v>
      </c>
      <c r="U129" s="75">
        <f ca="1" t="shared" si="101"/>
        <v>19</v>
      </c>
      <c r="V129" s="75">
        <f ca="1" t="shared" si="101"/>
        <v>18</v>
      </c>
      <c r="W129" s="75">
        <f ca="1" t="shared" si="69"/>
        <v>16</v>
      </c>
      <c r="X129" s="75">
        <f ca="1" t="shared" si="70"/>
        <v>15</v>
      </c>
      <c r="Y129" s="75">
        <f ca="1" t="shared" si="71"/>
        <v>14</v>
      </c>
    </row>
    <row r="130" ht="16.5" spans="1:25">
      <c r="A130" s="74">
        <v>100</v>
      </c>
      <c r="B130" s="65">
        <v>97</v>
      </c>
      <c r="C130" s="75">
        <f>INT(产出预期!M116)</f>
        <v>11996</v>
      </c>
      <c r="D130" s="75">
        <f ca="1" t="shared" ref="D130:V130" si="102">IFERROR(MATCH(D435*10,OFFSET($AS$339:$AS$388,0,D$335),1),0)</f>
        <v>41</v>
      </c>
      <c r="E130" s="75">
        <f ca="1" t="shared" si="102"/>
        <v>41</v>
      </c>
      <c r="F130" s="75">
        <f ca="1" t="shared" si="102"/>
        <v>41</v>
      </c>
      <c r="G130" s="75">
        <f ca="1" t="shared" si="102"/>
        <v>32</v>
      </c>
      <c r="H130" s="75">
        <f ca="1" t="shared" si="102"/>
        <v>32</v>
      </c>
      <c r="I130" s="75">
        <f ca="1" t="shared" si="102"/>
        <v>32</v>
      </c>
      <c r="J130" s="75">
        <f ca="1" t="shared" si="102"/>
        <v>32</v>
      </c>
      <c r="K130" s="75">
        <f ca="1" t="shared" si="102"/>
        <v>32</v>
      </c>
      <c r="L130" s="75">
        <f ca="1" t="shared" si="102"/>
        <v>32</v>
      </c>
      <c r="M130" s="75">
        <f ca="1" t="shared" si="102"/>
        <v>26</v>
      </c>
      <c r="N130" s="75">
        <f ca="1" t="shared" si="102"/>
        <v>26</v>
      </c>
      <c r="O130" s="75">
        <f ca="1" t="shared" si="102"/>
        <v>26</v>
      </c>
      <c r="P130" s="75">
        <f ca="1" t="shared" si="102"/>
        <v>26</v>
      </c>
      <c r="Q130" s="75">
        <f ca="1" t="shared" si="102"/>
        <v>26</v>
      </c>
      <c r="R130" s="75">
        <f ca="1" t="shared" si="102"/>
        <v>24</v>
      </c>
      <c r="S130" s="75">
        <f ca="1" t="shared" si="102"/>
        <v>23</v>
      </c>
      <c r="T130" s="75">
        <f ca="1" t="shared" si="102"/>
        <v>22</v>
      </c>
      <c r="U130" s="75">
        <f ca="1" t="shared" si="102"/>
        <v>19</v>
      </c>
      <c r="V130" s="75">
        <f ca="1" t="shared" si="102"/>
        <v>18</v>
      </c>
      <c r="W130" s="75">
        <f ca="1" t="shared" si="69"/>
        <v>16</v>
      </c>
      <c r="X130" s="75">
        <f ca="1" t="shared" si="70"/>
        <v>15</v>
      </c>
      <c r="Y130" s="75">
        <f ca="1" t="shared" si="71"/>
        <v>14</v>
      </c>
    </row>
    <row r="131" ht="16.5" spans="1:25">
      <c r="A131" s="74">
        <v>100</v>
      </c>
      <c r="B131" s="65">
        <v>98</v>
      </c>
      <c r="C131" s="75">
        <f>INT(产出预期!M117)</f>
        <v>12106</v>
      </c>
      <c r="D131" s="75">
        <f ca="1" t="shared" ref="D131:V131" si="103">IFERROR(MATCH(D436*10,OFFSET($AS$339:$AS$388,0,D$335),1),0)</f>
        <v>41</v>
      </c>
      <c r="E131" s="75">
        <f ca="1" t="shared" si="103"/>
        <v>41</v>
      </c>
      <c r="F131" s="75">
        <f ca="1" t="shared" si="103"/>
        <v>41</v>
      </c>
      <c r="G131" s="75">
        <f ca="1" t="shared" si="103"/>
        <v>32</v>
      </c>
      <c r="H131" s="75">
        <f ca="1" t="shared" si="103"/>
        <v>32</v>
      </c>
      <c r="I131" s="75">
        <f ca="1" t="shared" si="103"/>
        <v>32</v>
      </c>
      <c r="J131" s="75">
        <f ca="1" t="shared" si="103"/>
        <v>32</v>
      </c>
      <c r="K131" s="75">
        <f ca="1" t="shared" si="103"/>
        <v>32</v>
      </c>
      <c r="L131" s="75">
        <f ca="1" t="shared" si="103"/>
        <v>32</v>
      </c>
      <c r="M131" s="75">
        <f ca="1" t="shared" si="103"/>
        <v>27</v>
      </c>
      <c r="N131" s="75">
        <f ca="1" t="shared" si="103"/>
        <v>26</v>
      </c>
      <c r="O131" s="75">
        <f ca="1" t="shared" si="103"/>
        <v>26</v>
      </c>
      <c r="P131" s="75">
        <f ca="1" t="shared" si="103"/>
        <v>26</v>
      </c>
      <c r="Q131" s="75">
        <f ca="1" t="shared" si="103"/>
        <v>26</v>
      </c>
      <c r="R131" s="75">
        <f ca="1" t="shared" si="103"/>
        <v>24</v>
      </c>
      <c r="S131" s="75">
        <f ca="1" t="shared" si="103"/>
        <v>24</v>
      </c>
      <c r="T131" s="75">
        <f ca="1" t="shared" si="103"/>
        <v>22</v>
      </c>
      <c r="U131" s="75">
        <f ca="1" t="shared" si="103"/>
        <v>19</v>
      </c>
      <c r="V131" s="75">
        <f ca="1" t="shared" si="103"/>
        <v>18</v>
      </c>
      <c r="W131" s="75">
        <f ca="1" t="shared" si="69"/>
        <v>17</v>
      </c>
      <c r="X131" s="75">
        <f ca="1" t="shared" si="70"/>
        <v>16</v>
      </c>
      <c r="Y131" s="75">
        <f ca="1" t="shared" si="71"/>
        <v>15</v>
      </c>
    </row>
    <row r="132" ht="16.5" spans="1:25">
      <c r="A132" s="74">
        <v>100</v>
      </c>
      <c r="B132" s="65">
        <v>99</v>
      </c>
      <c r="C132" s="75">
        <f>INT(产出预期!M118)</f>
        <v>12216</v>
      </c>
      <c r="D132" s="75">
        <f ca="1" t="shared" ref="D132:V132" si="104">IFERROR(MATCH(D437*10,OFFSET($AS$339:$AS$388,0,D$335),1),0)</f>
        <v>41</v>
      </c>
      <c r="E132" s="75">
        <f ca="1" t="shared" si="104"/>
        <v>41</v>
      </c>
      <c r="F132" s="75">
        <f ca="1" t="shared" si="104"/>
        <v>41</v>
      </c>
      <c r="G132" s="75">
        <f ca="1" t="shared" si="104"/>
        <v>32</v>
      </c>
      <c r="H132" s="75">
        <f ca="1" t="shared" si="104"/>
        <v>32</v>
      </c>
      <c r="I132" s="75">
        <f ca="1" t="shared" si="104"/>
        <v>32</v>
      </c>
      <c r="J132" s="75">
        <f ca="1" t="shared" si="104"/>
        <v>32</v>
      </c>
      <c r="K132" s="75">
        <f ca="1" t="shared" si="104"/>
        <v>32</v>
      </c>
      <c r="L132" s="75">
        <f ca="1" t="shared" si="104"/>
        <v>32</v>
      </c>
      <c r="M132" s="75">
        <f ca="1" t="shared" si="104"/>
        <v>27</v>
      </c>
      <c r="N132" s="75">
        <f ca="1" t="shared" si="104"/>
        <v>26</v>
      </c>
      <c r="O132" s="75">
        <f ca="1" t="shared" si="104"/>
        <v>26</v>
      </c>
      <c r="P132" s="75">
        <f ca="1" t="shared" si="104"/>
        <v>26</v>
      </c>
      <c r="Q132" s="75">
        <f ca="1" t="shared" si="104"/>
        <v>26</v>
      </c>
      <c r="R132" s="75">
        <f ca="1" t="shared" si="104"/>
        <v>25</v>
      </c>
      <c r="S132" s="75">
        <f ca="1" t="shared" si="104"/>
        <v>24</v>
      </c>
      <c r="T132" s="75">
        <f ca="1" t="shared" si="104"/>
        <v>23</v>
      </c>
      <c r="U132" s="75">
        <f ca="1" t="shared" si="104"/>
        <v>19</v>
      </c>
      <c r="V132" s="75">
        <f ca="1" t="shared" si="104"/>
        <v>18</v>
      </c>
      <c r="W132" s="75">
        <f ca="1" t="shared" si="69"/>
        <v>17</v>
      </c>
      <c r="X132" s="75">
        <f ca="1" t="shared" si="70"/>
        <v>16</v>
      </c>
      <c r="Y132" s="75">
        <f ca="1" t="shared" si="71"/>
        <v>15</v>
      </c>
    </row>
    <row r="133" ht="16.5" spans="1:25">
      <c r="A133" s="74">
        <v>101</v>
      </c>
      <c r="B133" s="65">
        <v>100</v>
      </c>
      <c r="C133" s="75">
        <f>INT(产出预期!M119)</f>
        <v>12326</v>
      </c>
      <c r="D133" s="75">
        <f ca="1" t="shared" ref="D133:V133" si="105">IFERROR(MATCH(D438*10,OFFSET($AS$339:$AS$388,0,D$335),1),0)</f>
        <v>41</v>
      </c>
      <c r="E133" s="75">
        <f ca="1" t="shared" si="105"/>
        <v>41</v>
      </c>
      <c r="F133" s="75">
        <f ca="1" t="shared" si="105"/>
        <v>41</v>
      </c>
      <c r="G133" s="75">
        <f ca="1" t="shared" si="105"/>
        <v>32</v>
      </c>
      <c r="H133" s="75">
        <f ca="1" t="shared" si="105"/>
        <v>32</v>
      </c>
      <c r="I133" s="75">
        <f ca="1" t="shared" si="105"/>
        <v>32</v>
      </c>
      <c r="J133" s="75">
        <f ca="1" t="shared" si="105"/>
        <v>32</v>
      </c>
      <c r="K133" s="75">
        <f ca="1" t="shared" si="105"/>
        <v>32</v>
      </c>
      <c r="L133" s="75">
        <f ca="1" t="shared" si="105"/>
        <v>32</v>
      </c>
      <c r="M133" s="75">
        <f ca="1" t="shared" si="105"/>
        <v>27</v>
      </c>
      <c r="N133" s="75">
        <f ca="1" t="shared" si="105"/>
        <v>27</v>
      </c>
      <c r="O133" s="75">
        <f ca="1" t="shared" si="105"/>
        <v>26</v>
      </c>
      <c r="P133" s="75">
        <f ca="1" t="shared" si="105"/>
        <v>26</v>
      </c>
      <c r="Q133" s="75">
        <f ca="1" t="shared" si="105"/>
        <v>26</v>
      </c>
      <c r="R133" s="75">
        <f ca="1" t="shared" si="105"/>
        <v>25</v>
      </c>
      <c r="S133" s="75">
        <f ca="1" t="shared" si="105"/>
        <v>24</v>
      </c>
      <c r="T133" s="75">
        <f ca="1" t="shared" si="105"/>
        <v>23</v>
      </c>
      <c r="U133" s="75">
        <f ca="1" t="shared" si="105"/>
        <v>19</v>
      </c>
      <c r="V133" s="75">
        <f ca="1" t="shared" si="105"/>
        <v>18</v>
      </c>
      <c r="W133" s="75">
        <f ca="1" t="shared" si="69"/>
        <v>17</v>
      </c>
      <c r="X133" s="75">
        <f ca="1" t="shared" si="70"/>
        <v>16</v>
      </c>
      <c r="Y133" s="75">
        <f ca="1" t="shared" si="71"/>
        <v>15</v>
      </c>
    </row>
    <row r="134" ht="16.5" spans="1:25">
      <c r="A134" s="74">
        <v>101</v>
      </c>
      <c r="B134" s="65">
        <v>101</v>
      </c>
      <c r="C134" s="75">
        <f>INT(产出预期!M120)</f>
        <v>12436</v>
      </c>
      <c r="D134" s="75">
        <f ca="1" t="shared" ref="D134:V134" si="106">IFERROR(MATCH(D439*10,OFFSET($AS$339:$AS$388,0,D$335),1),0)</f>
        <v>42</v>
      </c>
      <c r="E134" s="75">
        <f ca="1" t="shared" si="106"/>
        <v>42</v>
      </c>
      <c r="F134" s="75">
        <f ca="1" t="shared" si="106"/>
        <v>42</v>
      </c>
      <c r="G134" s="75">
        <f ca="1" t="shared" si="106"/>
        <v>33</v>
      </c>
      <c r="H134" s="75">
        <f ca="1" t="shared" si="106"/>
        <v>33</v>
      </c>
      <c r="I134" s="75">
        <f ca="1" t="shared" si="106"/>
        <v>33</v>
      </c>
      <c r="J134" s="75">
        <f ca="1" t="shared" si="106"/>
        <v>33</v>
      </c>
      <c r="K134" s="75">
        <f ca="1" t="shared" si="106"/>
        <v>33</v>
      </c>
      <c r="L134" s="75">
        <f ca="1" t="shared" si="106"/>
        <v>32</v>
      </c>
      <c r="M134" s="75">
        <f ca="1" t="shared" si="106"/>
        <v>27</v>
      </c>
      <c r="N134" s="75">
        <f ca="1" t="shared" si="106"/>
        <v>27</v>
      </c>
      <c r="O134" s="75">
        <f ca="1" t="shared" si="106"/>
        <v>27</v>
      </c>
      <c r="P134" s="75">
        <f ca="1" t="shared" si="106"/>
        <v>26</v>
      </c>
      <c r="Q134" s="75">
        <f ca="1" t="shared" si="106"/>
        <v>26</v>
      </c>
      <c r="R134" s="75">
        <f ca="1" t="shared" si="106"/>
        <v>25</v>
      </c>
      <c r="S134" s="75">
        <f ca="1" t="shared" si="106"/>
        <v>24</v>
      </c>
      <c r="T134" s="75">
        <f ca="1" t="shared" si="106"/>
        <v>23</v>
      </c>
      <c r="U134" s="75">
        <f ca="1" t="shared" si="106"/>
        <v>20</v>
      </c>
      <c r="V134" s="75">
        <f ca="1" t="shared" si="106"/>
        <v>18</v>
      </c>
      <c r="W134" s="75">
        <f ca="1" t="shared" si="69"/>
        <v>17</v>
      </c>
      <c r="X134" s="75">
        <f ca="1" t="shared" si="70"/>
        <v>16</v>
      </c>
      <c r="Y134" s="75">
        <f ca="1" t="shared" si="71"/>
        <v>15</v>
      </c>
    </row>
    <row r="135" ht="16.5" spans="1:25">
      <c r="A135" s="74">
        <v>101</v>
      </c>
      <c r="B135" s="65">
        <v>102</v>
      </c>
      <c r="C135" s="75">
        <f>INT(产出预期!M121)</f>
        <v>12546</v>
      </c>
      <c r="D135" s="75">
        <f ca="1" t="shared" ref="D135:V135" si="107">IFERROR(MATCH(D440*10,OFFSET($AS$339:$AS$388,0,D$335),1),0)</f>
        <v>42</v>
      </c>
      <c r="E135" s="75">
        <f ca="1" t="shared" si="107"/>
        <v>42</v>
      </c>
      <c r="F135" s="75">
        <f ca="1" t="shared" si="107"/>
        <v>42</v>
      </c>
      <c r="G135" s="75">
        <f ca="1" t="shared" si="107"/>
        <v>33</v>
      </c>
      <c r="H135" s="75">
        <f ca="1" t="shared" si="107"/>
        <v>33</v>
      </c>
      <c r="I135" s="75">
        <f ca="1" t="shared" si="107"/>
        <v>33</v>
      </c>
      <c r="J135" s="75">
        <f ca="1" t="shared" si="107"/>
        <v>33</v>
      </c>
      <c r="K135" s="75">
        <f ca="1" t="shared" si="107"/>
        <v>33</v>
      </c>
      <c r="L135" s="75">
        <f ca="1" t="shared" si="107"/>
        <v>33</v>
      </c>
      <c r="M135" s="75">
        <f ca="1" t="shared" si="107"/>
        <v>27</v>
      </c>
      <c r="N135" s="75">
        <f ca="1" t="shared" si="107"/>
        <v>27</v>
      </c>
      <c r="O135" s="75">
        <f ca="1" t="shared" si="107"/>
        <v>27</v>
      </c>
      <c r="P135" s="75">
        <f ca="1" t="shared" si="107"/>
        <v>26</v>
      </c>
      <c r="Q135" s="75">
        <f ca="1" t="shared" si="107"/>
        <v>26</v>
      </c>
      <c r="R135" s="75">
        <f ca="1" t="shared" si="107"/>
        <v>25</v>
      </c>
      <c r="S135" s="75">
        <f ca="1" t="shared" si="107"/>
        <v>24</v>
      </c>
      <c r="T135" s="75">
        <f ca="1" t="shared" si="107"/>
        <v>23</v>
      </c>
      <c r="U135" s="75">
        <f ca="1" t="shared" si="107"/>
        <v>20</v>
      </c>
      <c r="V135" s="75">
        <f ca="1" t="shared" si="107"/>
        <v>19</v>
      </c>
      <c r="W135" s="75">
        <f ca="1" t="shared" si="69"/>
        <v>17</v>
      </c>
      <c r="X135" s="75">
        <f ca="1" t="shared" si="70"/>
        <v>16</v>
      </c>
      <c r="Y135" s="75">
        <f ca="1" t="shared" si="71"/>
        <v>15</v>
      </c>
    </row>
    <row r="136" ht="16.5" spans="1:25">
      <c r="A136" s="74">
        <v>102</v>
      </c>
      <c r="B136" s="65">
        <v>103</v>
      </c>
      <c r="C136" s="75">
        <f>INT(产出预期!M122)</f>
        <v>12656</v>
      </c>
      <c r="D136" s="75">
        <f ca="1" t="shared" ref="D136:V136" si="108">IFERROR(MATCH(D441*10,OFFSET($AS$339:$AS$388,0,D$335),1),0)</f>
        <v>42</v>
      </c>
      <c r="E136" s="75">
        <f ca="1" t="shared" si="108"/>
        <v>42</v>
      </c>
      <c r="F136" s="75">
        <f ca="1" t="shared" si="108"/>
        <v>42</v>
      </c>
      <c r="G136" s="75">
        <f ca="1" t="shared" si="108"/>
        <v>33</v>
      </c>
      <c r="H136" s="75">
        <f ca="1" t="shared" si="108"/>
        <v>33</v>
      </c>
      <c r="I136" s="75">
        <f ca="1" t="shared" si="108"/>
        <v>33</v>
      </c>
      <c r="J136" s="75">
        <f ca="1" t="shared" si="108"/>
        <v>33</v>
      </c>
      <c r="K136" s="75">
        <f ca="1" t="shared" si="108"/>
        <v>33</v>
      </c>
      <c r="L136" s="75">
        <f ca="1" t="shared" si="108"/>
        <v>33</v>
      </c>
      <c r="M136" s="75">
        <f ca="1" t="shared" si="108"/>
        <v>27</v>
      </c>
      <c r="N136" s="75">
        <f ca="1" t="shared" si="108"/>
        <v>27</v>
      </c>
      <c r="O136" s="75">
        <f ca="1" t="shared" si="108"/>
        <v>27</v>
      </c>
      <c r="P136" s="75">
        <f ca="1" t="shared" si="108"/>
        <v>27</v>
      </c>
      <c r="Q136" s="75">
        <f ca="1" t="shared" si="108"/>
        <v>26</v>
      </c>
      <c r="R136" s="75">
        <f ca="1" t="shared" si="108"/>
        <v>25</v>
      </c>
      <c r="S136" s="75">
        <f ca="1" t="shared" si="108"/>
        <v>25</v>
      </c>
      <c r="T136" s="75">
        <f ca="1" t="shared" si="108"/>
        <v>23</v>
      </c>
      <c r="U136" s="75">
        <f ca="1" t="shared" si="108"/>
        <v>20</v>
      </c>
      <c r="V136" s="75">
        <f ca="1" t="shared" si="108"/>
        <v>19</v>
      </c>
      <c r="W136" s="75">
        <f ca="1" t="shared" si="69"/>
        <v>17</v>
      </c>
      <c r="X136" s="75">
        <f ca="1" t="shared" si="70"/>
        <v>16</v>
      </c>
      <c r="Y136" s="75">
        <f ca="1" t="shared" si="71"/>
        <v>15</v>
      </c>
    </row>
    <row r="137" ht="16.5" spans="1:25">
      <c r="A137" s="74">
        <v>102</v>
      </c>
      <c r="B137" s="65">
        <v>104</v>
      </c>
      <c r="C137" s="75">
        <f>INT(产出预期!M123)</f>
        <v>12766</v>
      </c>
      <c r="D137" s="75">
        <f ca="1" t="shared" ref="D137:V137" si="109">IFERROR(MATCH(D442*10,OFFSET($AS$339:$AS$388,0,D$335),1),0)</f>
        <v>42</v>
      </c>
      <c r="E137" s="75">
        <f ca="1" t="shared" si="109"/>
        <v>42</v>
      </c>
      <c r="F137" s="75">
        <f ca="1" t="shared" si="109"/>
        <v>42</v>
      </c>
      <c r="G137" s="75">
        <f ca="1" t="shared" si="109"/>
        <v>33</v>
      </c>
      <c r="H137" s="75">
        <f ca="1" t="shared" si="109"/>
        <v>33</v>
      </c>
      <c r="I137" s="75">
        <f ca="1" t="shared" si="109"/>
        <v>33</v>
      </c>
      <c r="J137" s="75">
        <f ca="1" t="shared" si="109"/>
        <v>33</v>
      </c>
      <c r="K137" s="75">
        <f ca="1" t="shared" si="109"/>
        <v>33</v>
      </c>
      <c r="L137" s="75">
        <f ca="1" t="shared" si="109"/>
        <v>33</v>
      </c>
      <c r="M137" s="75">
        <f ca="1" t="shared" si="109"/>
        <v>27</v>
      </c>
      <c r="N137" s="75">
        <f ca="1" t="shared" si="109"/>
        <v>27</v>
      </c>
      <c r="O137" s="75">
        <f ca="1" t="shared" si="109"/>
        <v>27</v>
      </c>
      <c r="P137" s="75">
        <f ca="1" t="shared" si="109"/>
        <v>27</v>
      </c>
      <c r="Q137" s="75">
        <f ca="1" t="shared" si="109"/>
        <v>27</v>
      </c>
      <c r="R137" s="75">
        <f ca="1" t="shared" si="109"/>
        <v>25</v>
      </c>
      <c r="S137" s="75">
        <f ca="1" t="shared" si="109"/>
        <v>25</v>
      </c>
      <c r="T137" s="75">
        <f ca="1" t="shared" si="109"/>
        <v>24</v>
      </c>
      <c r="U137" s="75">
        <f ca="1" t="shared" si="109"/>
        <v>20</v>
      </c>
      <c r="V137" s="75">
        <f ca="1" t="shared" si="109"/>
        <v>19</v>
      </c>
      <c r="W137" s="75">
        <f ca="1" t="shared" si="69"/>
        <v>18</v>
      </c>
      <c r="X137" s="75">
        <f ca="1" t="shared" si="70"/>
        <v>17</v>
      </c>
      <c r="Y137" s="75">
        <f ca="1" t="shared" si="71"/>
        <v>16</v>
      </c>
    </row>
    <row r="138" ht="16.5" spans="1:25">
      <c r="A138" s="74">
        <v>102</v>
      </c>
      <c r="B138" s="65">
        <v>105</v>
      </c>
      <c r="C138" s="75">
        <f>INT(产出预期!M124)</f>
        <v>12876</v>
      </c>
      <c r="D138" s="75">
        <f ca="1" t="shared" ref="D138:V138" si="110">IFERROR(MATCH(D443*10,OFFSET($AS$339:$AS$388,0,D$335),1),0)</f>
        <v>42</v>
      </c>
      <c r="E138" s="75">
        <f ca="1" t="shared" si="110"/>
        <v>42</v>
      </c>
      <c r="F138" s="75">
        <f ca="1" t="shared" si="110"/>
        <v>42</v>
      </c>
      <c r="G138" s="75">
        <f ca="1" t="shared" si="110"/>
        <v>33</v>
      </c>
      <c r="H138" s="75">
        <f ca="1" t="shared" si="110"/>
        <v>33</v>
      </c>
      <c r="I138" s="75">
        <f ca="1" t="shared" si="110"/>
        <v>33</v>
      </c>
      <c r="J138" s="75">
        <f ca="1" t="shared" si="110"/>
        <v>33</v>
      </c>
      <c r="K138" s="75">
        <f ca="1" t="shared" si="110"/>
        <v>33</v>
      </c>
      <c r="L138" s="75">
        <f ca="1" t="shared" si="110"/>
        <v>33</v>
      </c>
      <c r="M138" s="75">
        <f ca="1" t="shared" si="110"/>
        <v>27</v>
      </c>
      <c r="N138" s="75">
        <f ca="1" t="shared" si="110"/>
        <v>27</v>
      </c>
      <c r="O138" s="75">
        <f ca="1" t="shared" si="110"/>
        <v>27</v>
      </c>
      <c r="P138" s="75">
        <f ca="1" t="shared" si="110"/>
        <v>27</v>
      </c>
      <c r="Q138" s="75">
        <f ca="1" t="shared" si="110"/>
        <v>27</v>
      </c>
      <c r="R138" s="75">
        <f ca="1" t="shared" si="110"/>
        <v>25</v>
      </c>
      <c r="S138" s="75">
        <f ca="1" t="shared" si="110"/>
        <v>25</v>
      </c>
      <c r="T138" s="75">
        <f ca="1" t="shared" si="110"/>
        <v>24</v>
      </c>
      <c r="U138" s="75">
        <f ca="1" t="shared" si="110"/>
        <v>20</v>
      </c>
      <c r="V138" s="75">
        <f ca="1" t="shared" si="110"/>
        <v>19</v>
      </c>
      <c r="W138" s="75">
        <f ca="1" t="shared" si="69"/>
        <v>18</v>
      </c>
      <c r="X138" s="75">
        <f ca="1" t="shared" si="70"/>
        <v>17</v>
      </c>
      <c r="Y138" s="75">
        <f ca="1" t="shared" si="71"/>
        <v>16</v>
      </c>
    </row>
    <row r="139" ht="16.5" spans="1:25">
      <c r="A139" s="74">
        <v>103</v>
      </c>
      <c r="B139" s="65">
        <v>106</v>
      </c>
      <c r="C139" s="75">
        <f>INT(产出预期!M125)</f>
        <v>12986</v>
      </c>
      <c r="D139" s="75">
        <f ca="1" t="shared" ref="D139:V139" si="111">IFERROR(MATCH(D444*10,OFFSET($AS$339:$AS$388,0,D$335),1),0)</f>
        <v>42</v>
      </c>
      <c r="E139" s="75">
        <f ca="1" t="shared" si="111"/>
        <v>42</v>
      </c>
      <c r="F139" s="75">
        <f ca="1" t="shared" si="111"/>
        <v>42</v>
      </c>
      <c r="G139" s="75">
        <f ca="1" t="shared" si="111"/>
        <v>33</v>
      </c>
      <c r="H139" s="75">
        <f ca="1" t="shared" si="111"/>
        <v>33</v>
      </c>
      <c r="I139" s="75">
        <f ca="1" t="shared" si="111"/>
        <v>33</v>
      </c>
      <c r="J139" s="75">
        <f ca="1" t="shared" si="111"/>
        <v>33</v>
      </c>
      <c r="K139" s="75">
        <f ca="1" t="shared" si="111"/>
        <v>33</v>
      </c>
      <c r="L139" s="75">
        <f ca="1" t="shared" si="111"/>
        <v>33</v>
      </c>
      <c r="M139" s="75">
        <f ca="1" t="shared" si="111"/>
        <v>28</v>
      </c>
      <c r="N139" s="75">
        <f ca="1" t="shared" si="111"/>
        <v>27</v>
      </c>
      <c r="O139" s="75">
        <f ca="1" t="shared" si="111"/>
        <v>27</v>
      </c>
      <c r="P139" s="75">
        <f ca="1" t="shared" si="111"/>
        <v>27</v>
      </c>
      <c r="Q139" s="75">
        <f ca="1" t="shared" si="111"/>
        <v>27</v>
      </c>
      <c r="R139" s="75">
        <f ca="1" t="shared" si="111"/>
        <v>25</v>
      </c>
      <c r="S139" s="75">
        <f ca="1" t="shared" si="111"/>
        <v>25</v>
      </c>
      <c r="T139" s="75">
        <f ca="1" t="shared" si="111"/>
        <v>24</v>
      </c>
      <c r="U139" s="75">
        <f ca="1" t="shared" si="111"/>
        <v>20</v>
      </c>
      <c r="V139" s="75">
        <f ca="1" t="shared" si="111"/>
        <v>19</v>
      </c>
      <c r="W139" s="75">
        <f ca="1" t="shared" si="69"/>
        <v>18</v>
      </c>
      <c r="X139" s="75">
        <f ca="1" t="shared" si="70"/>
        <v>17</v>
      </c>
      <c r="Y139" s="75">
        <f ca="1" t="shared" si="71"/>
        <v>16</v>
      </c>
    </row>
    <row r="140" ht="16.5" spans="1:25">
      <c r="A140" s="74">
        <v>103</v>
      </c>
      <c r="B140" s="65">
        <v>107</v>
      </c>
      <c r="C140" s="75">
        <f>INT(产出预期!M126)</f>
        <v>13096</v>
      </c>
      <c r="D140" s="75">
        <f ca="1" t="shared" ref="D140:V140" si="112">IFERROR(MATCH(D445*10,OFFSET($AS$339:$AS$388,0,D$335),1),0)</f>
        <v>42</v>
      </c>
      <c r="E140" s="75">
        <f ca="1" t="shared" si="112"/>
        <v>42</v>
      </c>
      <c r="F140" s="75">
        <f ca="1" t="shared" si="112"/>
        <v>42</v>
      </c>
      <c r="G140" s="75">
        <f ca="1" t="shared" si="112"/>
        <v>33</v>
      </c>
      <c r="H140" s="75">
        <f ca="1" t="shared" si="112"/>
        <v>33</v>
      </c>
      <c r="I140" s="75">
        <f ca="1" t="shared" si="112"/>
        <v>33</v>
      </c>
      <c r="J140" s="75">
        <f ca="1" t="shared" si="112"/>
        <v>33</v>
      </c>
      <c r="K140" s="75">
        <f ca="1" t="shared" si="112"/>
        <v>33</v>
      </c>
      <c r="L140" s="75">
        <f ca="1" t="shared" si="112"/>
        <v>33</v>
      </c>
      <c r="M140" s="75">
        <f ca="1" t="shared" si="112"/>
        <v>28</v>
      </c>
      <c r="N140" s="75">
        <f ca="1" t="shared" si="112"/>
        <v>27</v>
      </c>
      <c r="O140" s="75">
        <f ca="1" t="shared" si="112"/>
        <v>27</v>
      </c>
      <c r="P140" s="75">
        <f ca="1" t="shared" si="112"/>
        <v>27</v>
      </c>
      <c r="Q140" s="75">
        <f ca="1" t="shared" si="112"/>
        <v>27</v>
      </c>
      <c r="R140" s="75">
        <f ca="1" t="shared" si="112"/>
        <v>25</v>
      </c>
      <c r="S140" s="75">
        <f ca="1" t="shared" si="112"/>
        <v>25</v>
      </c>
      <c r="T140" s="75">
        <f ca="1" t="shared" si="112"/>
        <v>24</v>
      </c>
      <c r="U140" s="75">
        <f ca="1" t="shared" si="112"/>
        <v>20</v>
      </c>
      <c r="V140" s="75">
        <f ca="1" t="shared" si="112"/>
        <v>19</v>
      </c>
      <c r="W140" s="75">
        <f ca="1" t="shared" si="69"/>
        <v>18</v>
      </c>
      <c r="X140" s="75">
        <f ca="1" t="shared" si="70"/>
        <v>17</v>
      </c>
      <c r="Y140" s="75">
        <f ca="1" t="shared" si="71"/>
        <v>16</v>
      </c>
    </row>
    <row r="141" ht="16.5" spans="1:25">
      <c r="A141" s="74">
        <v>103</v>
      </c>
      <c r="B141" s="65">
        <v>108</v>
      </c>
      <c r="C141" s="75">
        <f>INT(产出预期!M127)</f>
        <v>13206</v>
      </c>
      <c r="D141" s="75">
        <f ca="1" t="shared" ref="D141:V141" si="113">IFERROR(MATCH(D446*10,OFFSET($AS$339:$AS$388,0,D$335),1),0)</f>
        <v>42</v>
      </c>
      <c r="E141" s="75">
        <f ca="1" t="shared" si="113"/>
        <v>42</v>
      </c>
      <c r="F141" s="75">
        <f ca="1" t="shared" si="113"/>
        <v>42</v>
      </c>
      <c r="G141" s="75">
        <f ca="1" t="shared" si="113"/>
        <v>33</v>
      </c>
      <c r="H141" s="75">
        <f ca="1" t="shared" si="113"/>
        <v>33</v>
      </c>
      <c r="I141" s="75">
        <f ca="1" t="shared" si="113"/>
        <v>33</v>
      </c>
      <c r="J141" s="75">
        <f ca="1" t="shared" si="113"/>
        <v>33</v>
      </c>
      <c r="K141" s="75">
        <f ca="1" t="shared" si="113"/>
        <v>33</v>
      </c>
      <c r="L141" s="75">
        <f ca="1" t="shared" si="113"/>
        <v>33</v>
      </c>
      <c r="M141" s="75">
        <f ca="1" t="shared" si="113"/>
        <v>28</v>
      </c>
      <c r="N141" s="75">
        <f ca="1" t="shared" si="113"/>
        <v>28</v>
      </c>
      <c r="O141" s="75">
        <f ca="1" t="shared" si="113"/>
        <v>27</v>
      </c>
      <c r="P141" s="75">
        <f ca="1" t="shared" si="113"/>
        <v>27</v>
      </c>
      <c r="Q141" s="75">
        <f ca="1" t="shared" si="113"/>
        <v>27</v>
      </c>
      <c r="R141" s="75">
        <f ca="1" t="shared" si="113"/>
        <v>26</v>
      </c>
      <c r="S141" s="75">
        <f ca="1" t="shared" si="113"/>
        <v>25</v>
      </c>
      <c r="T141" s="75">
        <f ca="1" t="shared" si="113"/>
        <v>24</v>
      </c>
      <c r="U141" s="75">
        <f ca="1" t="shared" si="113"/>
        <v>20</v>
      </c>
      <c r="V141" s="75">
        <f ca="1" t="shared" si="113"/>
        <v>20</v>
      </c>
      <c r="W141" s="75">
        <f ca="1" t="shared" si="69"/>
        <v>18</v>
      </c>
      <c r="X141" s="75">
        <f ca="1" t="shared" si="70"/>
        <v>17</v>
      </c>
      <c r="Y141" s="75">
        <f ca="1" t="shared" si="71"/>
        <v>16</v>
      </c>
    </row>
    <row r="142" ht="16.5" spans="1:25">
      <c r="A142" s="74">
        <v>104</v>
      </c>
      <c r="B142" s="65">
        <v>109</v>
      </c>
      <c r="C142" s="75">
        <f>INT(产出预期!M128)</f>
        <v>13316</v>
      </c>
      <c r="D142" s="75">
        <f ca="1" t="shared" ref="D142:V142" si="114">IFERROR(MATCH(D447*10,OFFSET($AS$339:$AS$388,0,D$335),1),0)</f>
        <v>42</v>
      </c>
      <c r="E142" s="75">
        <f ca="1" t="shared" si="114"/>
        <v>42</v>
      </c>
      <c r="F142" s="75">
        <f ca="1" t="shared" si="114"/>
        <v>42</v>
      </c>
      <c r="G142" s="75">
        <f ca="1" t="shared" si="114"/>
        <v>33</v>
      </c>
      <c r="H142" s="75">
        <f ca="1" t="shared" si="114"/>
        <v>33</v>
      </c>
      <c r="I142" s="75">
        <f ca="1" t="shared" si="114"/>
        <v>33</v>
      </c>
      <c r="J142" s="75">
        <f ca="1" t="shared" si="114"/>
        <v>33</v>
      </c>
      <c r="K142" s="75">
        <f ca="1" t="shared" si="114"/>
        <v>33</v>
      </c>
      <c r="L142" s="75">
        <f ca="1" t="shared" si="114"/>
        <v>33</v>
      </c>
      <c r="M142" s="75">
        <f ca="1" t="shared" si="114"/>
        <v>28</v>
      </c>
      <c r="N142" s="75">
        <f ca="1" t="shared" si="114"/>
        <v>28</v>
      </c>
      <c r="O142" s="75">
        <f ca="1" t="shared" si="114"/>
        <v>28</v>
      </c>
      <c r="P142" s="75">
        <f ca="1" t="shared" si="114"/>
        <v>27</v>
      </c>
      <c r="Q142" s="75">
        <f ca="1" t="shared" si="114"/>
        <v>27</v>
      </c>
      <c r="R142" s="75">
        <f ca="1" t="shared" si="114"/>
        <v>26</v>
      </c>
      <c r="S142" s="75">
        <f ca="1" t="shared" si="114"/>
        <v>25</v>
      </c>
      <c r="T142" s="75">
        <f ca="1" t="shared" si="114"/>
        <v>24</v>
      </c>
      <c r="U142" s="75">
        <f ca="1" t="shared" si="114"/>
        <v>21</v>
      </c>
      <c r="V142" s="75">
        <f ca="1" t="shared" si="114"/>
        <v>20</v>
      </c>
      <c r="W142" s="75">
        <f ca="1" t="shared" si="69"/>
        <v>18</v>
      </c>
      <c r="X142" s="75">
        <f ca="1" t="shared" si="70"/>
        <v>17</v>
      </c>
      <c r="Y142" s="75">
        <f ca="1" t="shared" si="71"/>
        <v>16</v>
      </c>
    </row>
    <row r="143" ht="16.5" spans="1:25">
      <c r="A143" s="74">
        <v>104</v>
      </c>
      <c r="B143" s="65">
        <v>110</v>
      </c>
      <c r="C143" s="75">
        <f>INT(产出预期!M129)</f>
        <v>13426</v>
      </c>
      <c r="D143" s="75">
        <f ca="1" t="shared" ref="D143:V143" si="115">IFERROR(MATCH(D448*10,OFFSET($AS$339:$AS$388,0,D$335),1),0)</f>
        <v>42</v>
      </c>
      <c r="E143" s="75">
        <f ca="1" t="shared" si="115"/>
        <v>42</v>
      </c>
      <c r="F143" s="75">
        <f ca="1" t="shared" si="115"/>
        <v>42</v>
      </c>
      <c r="G143" s="75">
        <f ca="1" t="shared" si="115"/>
        <v>33</v>
      </c>
      <c r="H143" s="75">
        <f ca="1" t="shared" si="115"/>
        <v>33</v>
      </c>
      <c r="I143" s="75">
        <f ca="1" t="shared" si="115"/>
        <v>33</v>
      </c>
      <c r="J143" s="75">
        <f ca="1" t="shared" si="115"/>
        <v>33</v>
      </c>
      <c r="K143" s="75">
        <f ca="1" t="shared" si="115"/>
        <v>33</v>
      </c>
      <c r="L143" s="75">
        <f ca="1" t="shared" si="115"/>
        <v>33</v>
      </c>
      <c r="M143" s="75">
        <f ca="1" t="shared" si="115"/>
        <v>28</v>
      </c>
      <c r="N143" s="75">
        <f ca="1" t="shared" si="115"/>
        <v>28</v>
      </c>
      <c r="O143" s="75">
        <f ca="1" t="shared" si="115"/>
        <v>28</v>
      </c>
      <c r="P143" s="75">
        <f ca="1" t="shared" si="115"/>
        <v>27</v>
      </c>
      <c r="Q143" s="75">
        <f ca="1" t="shared" si="115"/>
        <v>27</v>
      </c>
      <c r="R143" s="75">
        <f ca="1" t="shared" si="115"/>
        <v>26</v>
      </c>
      <c r="S143" s="75">
        <f ca="1" t="shared" si="115"/>
        <v>26</v>
      </c>
      <c r="T143" s="75">
        <f ca="1" t="shared" si="115"/>
        <v>25</v>
      </c>
      <c r="U143" s="75">
        <f ca="1" t="shared" si="115"/>
        <v>21</v>
      </c>
      <c r="V143" s="75">
        <f ca="1" t="shared" si="115"/>
        <v>20</v>
      </c>
      <c r="W143" s="75">
        <f ca="1" t="shared" si="69"/>
        <v>19</v>
      </c>
      <c r="X143" s="75">
        <f ca="1" t="shared" si="70"/>
        <v>18</v>
      </c>
      <c r="Y143" s="75">
        <f ca="1" t="shared" si="71"/>
        <v>17</v>
      </c>
    </row>
    <row r="144" ht="16.5" spans="1:25">
      <c r="A144" s="74">
        <v>104</v>
      </c>
      <c r="B144" s="65">
        <v>111</v>
      </c>
      <c r="C144" s="75">
        <f>INT(产出预期!M130)</f>
        <v>13536</v>
      </c>
      <c r="D144" s="75">
        <f ca="1" t="shared" ref="D144:V144" si="116">IFERROR(MATCH(D449*10,OFFSET($AS$339:$AS$388,0,D$335),1),0)</f>
        <v>42</v>
      </c>
      <c r="E144" s="75">
        <f ca="1" t="shared" si="116"/>
        <v>42</v>
      </c>
      <c r="F144" s="75">
        <f ca="1" t="shared" si="116"/>
        <v>42</v>
      </c>
      <c r="G144" s="75">
        <f ca="1" t="shared" si="116"/>
        <v>33</v>
      </c>
      <c r="H144" s="75">
        <f ca="1" t="shared" si="116"/>
        <v>33</v>
      </c>
      <c r="I144" s="75">
        <f ca="1" t="shared" si="116"/>
        <v>33</v>
      </c>
      <c r="J144" s="75">
        <f ca="1" t="shared" si="116"/>
        <v>33</v>
      </c>
      <c r="K144" s="75">
        <f ca="1" t="shared" si="116"/>
        <v>33</v>
      </c>
      <c r="L144" s="75">
        <f ca="1" t="shared" si="116"/>
        <v>33</v>
      </c>
      <c r="M144" s="75">
        <f ca="1" t="shared" si="116"/>
        <v>28</v>
      </c>
      <c r="N144" s="75">
        <f ca="1" t="shared" si="116"/>
        <v>28</v>
      </c>
      <c r="O144" s="75">
        <f ca="1" t="shared" si="116"/>
        <v>28</v>
      </c>
      <c r="P144" s="75">
        <f ca="1" t="shared" si="116"/>
        <v>28</v>
      </c>
      <c r="Q144" s="75">
        <f ca="1" t="shared" si="116"/>
        <v>27</v>
      </c>
      <c r="R144" s="75">
        <f ca="1" t="shared" si="116"/>
        <v>26</v>
      </c>
      <c r="S144" s="75">
        <f ca="1" t="shared" si="116"/>
        <v>26</v>
      </c>
      <c r="T144" s="75">
        <f ca="1" t="shared" si="116"/>
        <v>25</v>
      </c>
      <c r="U144" s="75">
        <f ca="1" t="shared" si="116"/>
        <v>21</v>
      </c>
      <c r="V144" s="75">
        <f ca="1" t="shared" si="116"/>
        <v>20</v>
      </c>
      <c r="W144" s="75">
        <f ca="1" t="shared" si="69"/>
        <v>19</v>
      </c>
      <c r="X144" s="75">
        <f ca="1" t="shared" si="70"/>
        <v>18</v>
      </c>
      <c r="Y144" s="75">
        <f ca="1" t="shared" si="71"/>
        <v>17</v>
      </c>
    </row>
    <row r="145" ht="16.5" spans="1:25">
      <c r="A145" s="74">
        <v>105</v>
      </c>
      <c r="B145" s="65">
        <v>112</v>
      </c>
      <c r="C145" s="75">
        <f>INT(产出预期!M131)</f>
        <v>13646</v>
      </c>
      <c r="D145" s="75">
        <f ca="1" t="shared" ref="D145:V145" si="117">IFERROR(MATCH(D450*10,OFFSET($AS$339:$AS$388,0,D$335),1),0)</f>
        <v>42</v>
      </c>
      <c r="E145" s="75">
        <f ca="1" t="shared" si="117"/>
        <v>42</v>
      </c>
      <c r="F145" s="75">
        <f ca="1" t="shared" si="117"/>
        <v>42</v>
      </c>
      <c r="G145" s="75">
        <f ca="1" t="shared" si="117"/>
        <v>34</v>
      </c>
      <c r="H145" s="75">
        <f ca="1" t="shared" si="117"/>
        <v>34</v>
      </c>
      <c r="I145" s="75">
        <f ca="1" t="shared" si="117"/>
        <v>34</v>
      </c>
      <c r="J145" s="75">
        <f ca="1" t="shared" si="117"/>
        <v>34</v>
      </c>
      <c r="K145" s="75">
        <f ca="1" t="shared" si="117"/>
        <v>34</v>
      </c>
      <c r="L145" s="75">
        <f ca="1" t="shared" si="117"/>
        <v>33</v>
      </c>
      <c r="M145" s="75">
        <f ca="1" t="shared" si="117"/>
        <v>28</v>
      </c>
      <c r="N145" s="75">
        <f ca="1" t="shared" si="117"/>
        <v>28</v>
      </c>
      <c r="O145" s="75">
        <f ca="1" t="shared" si="117"/>
        <v>28</v>
      </c>
      <c r="P145" s="75">
        <f ca="1" t="shared" si="117"/>
        <v>28</v>
      </c>
      <c r="Q145" s="75">
        <f ca="1" t="shared" si="117"/>
        <v>28</v>
      </c>
      <c r="R145" s="75">
        <f ca="1" t="shared" si="117"/>
        <v>26</v>
      </c>
      <c r="S145" s="75">
        <f ca="1" t="shared" si="117"/>
        <v>26</v>
      </c>
      <c r="T145" s="75">
        <f ca="1" t="shared" si="117"/>
        <v>25</v>
      </c>
      <c r="U145" s="75">
        <f ca="1" t="shared" si="117"/>
        <v>21</v>
      </c>
      <c r="V145" s="75">
        <f ca="1" t="shared" si="117"/>
        <v>20</v>
      </c>
      <c r="W145" s="75">
        <f ca="1" t="shared" si="69"/>
        <v>19</v>
      </c>
      <c r="X145" s="75">
        <f ca="1" t="shared" si="70"/>
        <v>18</v>
      </c>
      <c r="Y145" s="75">
        <f ca="1" t="shared" si="71"/>
        <v>17</v>
      </c>
    </row>
    <row r="146" ht="16.5" spans="1:25">
      <c r="A146" s="74">
        <v>105</v>
      </c>
      <c r="B146" s="65">
        <v>113</v>
      </c>
      <c r="C146" s="75">
        <f>INT(产出预期!M132)</f>
        <v>13756</v>
      </c>
      <c r="D146" s="75">
        <f ca="1" t="shared" ref="D146:V146" si="118">IFERROR(MATCH(D451*10,OFFSET($AS$339:$AS$388,0,D$335),1),0)</f>
        <v>42</v>
      </c>
      <c r="E146" s="75">
        <f ca="1" t="shared" si="118"/>
        <v>42</v>
      </c>
      <c r="F146" s="75">
        <f ca="1" t="shared" si="118"/>
        <v>42</v>
      </c>
      <c r="G146" s="75">
        <f ca="1" t="shared" si="118"/>
        <v>34</v>
      </c>
      <c r="H146" s="75">
        <f ca="1" t="shared" si="118"/>
        <v>34</v>
      </c>
      <c r="I146" s="75">
        <f ca="1" t="shared" si="118"/>
        <v>34</v>
      </c>
      <c r="J146" s="75">
        <f ca="1" t="shared" si="118"/>
        <v>34</v>
      </c>
      <c r="K146" s="75">
        <f ca="1" t="shared" si="118"/>
        <v>34</v>
      </c>
      <c r="L146" s="75">
        <f ca="1" t="shared" si="118"/>
        <v>34</v>
      </c>
      <c r="M146" s="75">
        <f ca="1" t="shared" si="118"/>
        <v>29</v>
      </c>
      <c r="N146" s="75">
        <f ca="1" t="shared" si="118"/>
        <v>28</v>
      </c>
      <c r="O146" s="75">
        <f ca="1" t="shared" si="118"/>
        <v>28</v>
      </c>
      <c r="P146" s="75">
        <f ca="1" t="shared" si="118"/>
        <v>28</v>
      </c>
      <c r="Q146" s="75">
        <f ca="1" t="shared" si="118"/>
        <v>28</v>
      </c>
      <c r="R146" s="75">
        <f ca="1" t="shared" si="118"/>
        <v>26</v>
      </c>
      <c r="S146" s="75">
        <f ca="1" t="shared" si="118"/>
        <v>26</v>
      </c>
      <c r="T146" s="75">
        <f ca="1" t="shared" si="118"/>
        <v>25</v>
      </c>
      <c r="U146" s="75">
        <f ca="1" t="shared" si="118"/>
        <v>21</v>
      </c>
      <c r="V146" s="75">
        <f ca="1" t="shared" si="118"/>
        <v>20</v>
      </c>
      <c r="W146" s="75">
        <f ca="1" t="shared" si="69"/>
        <v>19</v>
      </c>
      <c r="X146" s="75">
        <f ca="1" t="shared" si="70"/>
        <v>18</v>
      </c>
      <c r="Y146" s="75">
        <f ca="1" t="shared" si="71"/>
        <v>17</v>
      </c>
    </row>
    <row r="147" ht="16.5" spans="1:25">
      <c r="A147" s="74">
        <v>105</v>
      </c>
      <c r="B147" s="65">
        <v>114</v>
      </c>
      <c r="C147" s="75">
        <f>INT(产出预期!M133)</f>
        <v>13866</v>
      </c>
      <c r="D147" s="75">
        <f ca="1" t="shared" ref="D147:V147" si="119">IFERROR(MATCH(D452*10,OFFSET($AS$339:$AS$388,0,D$335),1),0)</f>
        <v>42</v>
      </c>
      <c r="E147" s="75">
        <f ca="1" t="shared" si="119"/>
        <v>42</v>
      </c>
      <c r="F147" s="75">
        <f ca="1" t="shared" si="119"/>
        <v>42</v>
      </c>
      <c r="G147" s="75">
        <f ca="1" t="shared" si="119"/>
        <v>34</v>
      </c>
      <c r="H147" s="75">
        <f ca="1" t="shared" si="119"/>
        <v>34</v>
      </c>
      <c r="I147" s="75">
        <f ca="1" t="shared" si="119"/>
        <v>34</v>
      </c>
      <c r="J147" s="75">
        <f ca="1" t="shared" si="119"/>
        <v>34</v>
      </c>
      <c r="K147" s="75">
        <f ca="1" t="shared" si="119"/>
        <v>34</v>
      </c>
      <c r="L147" s="75">
        <f ca="1" t="shared" si="119"/>
        <v>34</v>
      </c>
      <c r="M147" s="75">
        <f ca="1" t="shared" si="119"/>
        <v>29</v>
      </c>
      <c r="N147" s="75">
        <f ca="1" t="shared" si="119"/>
        <v>28</v>
      </c>
      <c r="O147" s="75">
        <f ca="1" t="shared" si="119"/>
        <v>28</v>
      </c>
      <c r="P147" s="75">
        <f ca="1" t="shared" si="119"/>
        <v>28</v>
      </c>
      <c r="Q147" s="75">
        <f ca="1" t="shared" si="119"/>
        <v>28</v>
      </c>
      <c r="R147" s="75">
        <f ca="1" t="shared" si="119"/>
        <v>26</v>
      </c>
      <c r="S147" s="75">
        <f ca="1" t="shared" si="119"/>
        <v>26</v>
      </c>
      <c r="T147" s="75">
        <f ca="1" t="shared" si="119"/>
        <v>25</v>
      </c>
      <c r="U147" s="75">
        <f ca="1" t="shared" si="119"/>
        <v>21</v>
      </c>
      <c r="V147" s="75">
        <f ca="1" t="shared" si="119"/>
        <v>20</v>
      </c>
      <c r="W147" s="75">
        <f ca="1" t="shared" si="69"/>
        <v>19</v>
      </c>
      <c r="X147" s="75">
        <f ca="1" t="shared" si="70"/>
        <v>18</v>
      </c>
      <c r="Y147" s="75">
        <f ca="1" t="shared" si="71"/>
        <v>17</v>
      </c>
    </row>
    <row r="148" ht="16.5" spans="1:25">
      <c r="A148" s="74">
        <v>106</v>
      </c>
      <c r="B148" s="65">
        <v>115</v>
      </c>
      <c r="C148" s="75">
        <f>INT(产出预期!M134)</f>
        <v>13976</v>
      </c>
      <c r="D148" s="75">
        <f ca="1" t="shared" ref="D148:V148" si="120">IFERROR(MATCH(D453*10,OFFSET($AS$339:$AS$388,0,D$335),1),0)</f>
        <v>42</v>
      </c>
      <c r="E148" s="75">
        <f ca="1" t="shared" si="120"/>
        <v>42</v>
      </c>
      <c r="F148" s="75">
        <f ca="1" t="shared" si="120"/>
        <v>42</v>
      </c>
      <c r="G148" s="75">
        <f ca="1" t="shared" si="120"/>
        <v>34</v>
      </c>
      <c r="H148" s="75">
        <f ca="1" t="shared" si="120"/>
        <v>34</v>
      </c>
      <c r="I148" s="75">
        <f ca="1" t="shared" si="120"/>
        <v>34</v>
      </c>
      <c r="J148" s="75">
        <f ca="1" t="shared" si="120"/>
        <v>34</v>
      </c>
      <c r="K148" s="75">
        <f ca="1" t="shared" si="120"/>
        <v>34</v>
      </c>
      <c r="L148" s="75">
        <f ca="1" t="shared" si="120"/>
        <v>34</v>
      </c>
      <c r="M148" s="75">
        <f ca="1" t="shared" si="120"/>
        <v>29</v>
      </c>
      <c r="N148" s="75">
        <f ca="1" t="shared" si="120"/>
        <v>28</v>
      </c>
      <c r="O148" s="75">
        <f ca="1" t="shared" si="120"/>
        <v>28</v>
      </c>
      <c r="P148" s="75">
        <f ca="1" t="shared" si="120"/>
        <v>28</v>
      </c>
      <c r="Q148" s="75">
        <f ca="1" t="shared" si="120"/>
        <v>28</v>
      </c>
      <c r="R148" s="75">
        <f ca="1" t="shared" si="120"/>
        <v>26</v>
      </c>
      <c r="S148" s="75">
        <f ca="1" t="shared" si="120"/>
        <v>26</v>
      </c>
      <c r="T148" s="75">
        <f ca="1" t="shared" si="120"/>
        <v>25</v>
      </c>
      <c r="U148" s="75">
        <f ca="1" t="shared" si="120"/>
        <v>21</v>
      </c>
      <c r="V148" s="75">
        <f ca="1" t="shared" si="120"/>
        <v>20</v>
      </c>
      <c r="W148" s="75">
        <f ca="1" t="shared" si="69"/>
        <v>19</v>
      </c>
      <c r="X148" s="75">
        <f ca="1" t="shared" si="70"/>
        <v>18</v>
      </c>
      <c r="Y148" s="75">
        <f ca="1" t="shared" si="71"/>
        <v>17</v>
      </c>
    </row>
    <row r="149" ht="16.5" spans="1:25">
      <c r="A149" s="74">
        <v>106</v>
      </c>
      <c r="B149" s="65">
        <v>116</v>
      </c>
      <c r="C149" s="75">
        <f>INT(产出预期!M135)</f>
        <v>14086</v>
      </c>
      <c r="D149" s="75">
        <f ca="1" t="shared" ref="D149:V149" si="121">IFERROR(MATCH(D454*10,OFFSET($AS$339:$AS$388,0,D$335),1),0)</f>
        <v>42</v>
      </c>
      <c r="E149" s="75">
        <f ca="1" t="shared" si="121"/>
        <v>42</v>
      </c>
      <c r="F149" s="75">
        <f ca="1" t="shared" si="121"/>
        <v>42</v>
      </c>
      <c r="G149" s="75">
        <f ca="1" t="shared" si="121"/>
        <v>34</v>
      </c>
      <c r="H149" s="75">
        <f ca="1" t="shared" si="121"/>
        <v>34</v>
      </c>
      <c r="I149" s="75">
        <f ca="1" t="shared" si="121"/>
        <v>34</v>
      </c>
      <c r="J149" s="75">
        <f ca="1" t="shared" si="121"/>
        <v>34</v>
      </c>
      <c r="K149" s="75">
        <f ca="1" t="shared" si="121"/>
        <v>34</v>
      </c>
      <c r="L149" s="75">
        <f ca="1" t="shared" si="121"/>
        <v>34</v>
      </c>
      <c r="M149" s="75">
        <f ca="1" t="shared" si="121"/>
        <v>29</v>
      </c>
      <c r="N149" s="75">
        <f ca="1" t="shared" si="121"/>
        <v>29</v>
      </c>
      <c r="O149" s="75">
        <f ca="1" t="shared" si="121"/>
        <v>28</v>
      </c>
      <c r="P149" s="75">
        <f ca="1" t="shared" si="121"/>
        <v>28</v>
      </c>
      <c r="Q149" s="75">
        <f ca="1" t="shared" si="121"/>
        <v>28</v>
      </c>
      <c r="R149" s="75">
        <f ca="1" t="shared" si="121"/>
        <v>27</v>
      </c>
      <c r="S149" s="75">
        <f ca="1" t="shared" si="121"/>
        <v>26</v>
      </c>
      <c r="T149" s="75">
        <f ca="1" t="shared" si="121"/>
        <v>26</v>
      </c>
      <c r="U149" s="75">
        <f ca="1" t="shared" si="121"/>
        <v>21</v>
      </c>
      <c r="V149" s="75">
        <f ca="1" t="shared" si="121"/>
        <v>21</v>
      </c>
      <c r="W149" s="75">
        <f ca="1" t="shared" si="69"/>
        <v>20</v>
      </c>
      <c r="X149" s="75">
        <f ca="1" t="shared" si="70"/>
        <v>19</v>
      </c>
      <c r="Y149" s="75">
        <f ca="1" t="shared" si="71"/>
        <v>18</v>
      </c>
    </row>
    <row r="150" ht="16.5" spans="1:25">
      <c r="A150" s="74">
        <v>106</v>
      </c>
      <c r="B150" s="65">
        <v>117</v>
      </c>
      <c r="C150" s="75">
        <f>INT(产出预期!M136)</f>
        <v>14196</v>
      </c>
      <c r="D150" s="75">
        <f ca="1" t="shared" ref="D150:V150" si="122">IFERROR(MATCH(D455*10,OFFSET($AS$339:$AS$388,0,D$335),1),0)</f>
        <v>42</v>
      </c>
      <c r="E150" s="75">
        <f ca="1" t="shared" si="122"/>
        <v>42</v>
      </c>
      <c r="F150" s="75">
        <f ca="1" t="shared" si="122"/>
        <v>42</v>
      </c>
      <c r="G150" s="75">
        <f ca="1" t="shared" si="122"/>
        <v>34</v>
      </c>
      <c r="H150" s="75">
        <f ca="1" t="shared" si="122"/>
        <v>34</v>
      </c>
      <c r="I150" s="75">
        <f ca="1" t="shared" si="122"/>
        <v>34</v>
      </c>
      <c r="J150" s="75">
        <f ca="1" t="shared" si="122"/>
        <v>34</v>
      </c>
      <c r="K150" s="75">
        <f ca="1" t="shared" si="122"/>
        <v>34</v>
      </c>
      <c r="L150" s="75">
        <f ca="1" t="shared" si="122"/>
        <v>34</v>
      </c>
      <c r="M150" s="75">
        <f ca="1" t="shared" si="122"/>
        <v>29</v>
      </c>
      <c r="N150" s="75">
        <f ca="1" t="shared" si="122"/>
        <v>29</v>
      </c>
      <c r="O150" s="75">
        <f ca="1" t="shared" si="122"/>
        <v>28</v>
      </c>
      <c r="P150" s="75">
        <f ca="1" t="shared" si="122"/>
        <v>28</v>
      </c>
      <c r="Q150" s="75">
        <f ca="1" t="shared" si="122"/>
        <v>28</v>
      </c>
      <c r="R150" s="75">
        <f ca="1" t="shared" si="122"/>
        <v>27</v>
      </c>
      <c r="S150" s="75">
        <f ca="1" t="shared" si="122"/>
        <v>26</v>
      </c>
      <c r="T150" s="75">
        <f ca="1" t="shared" si="122"/>
        <v>26</v>
      </c>
      <c r="U150" s="75">
        <f ca="1" t="shared" si="122"/>
        <v>21</v>
      </c>
      <c r="V150" s="75">
        <f ca="1" t="shared" si="122"/>
        <v>21</v>
      </c>
      <c r="W150" s="75">
        <f ca="1" t="shared" si="69"/>
        <v>20</v>
      </c>
      <c r="X150" s="75">
        <f ca="1" t="shared" si="70"/>
        <v>19</v>
      </c>
      <c r="Y150" s="75">
        <f ca="1" t="shared" si="71"/>
        <v>18</v>
      </c>
    </row>
    <row r="151" ht="16.5" spans="1:25">
      <c r="A151" s="74">
        <v>107</v>
      </c>
      <c r="B151" s="65">
        <v>118</v>
      </c>
      <c r="C151" s="75">
        <f>INT(产出预期!M137)</f>
        <v>14306</v>
      </c>
      <c r="D151" s="75">
        <f ca="1" t="shared" ref="D151:V151" si="123">IFERROR(MATCH(D456*10,OFFSET($AS$339:$AS$388,0,D$335),1),0)</f>
        <v>42</v>
      </c>
      <c r="E151" s="75">
        <f ca="1" t="shared" si="123"/>
        <v>42</v>
      </c>
      <c r="F151" s="75">
        <f ca="1" t="shared" si="123"/>
        <v>42</v>
      </c>
      <c r="G151" s="75">
        <f ca="1" t="shared" si="123"/>
        <v>34</v>
      </c>
      <c r="H151" s="75">
        <f ca="1" t="shared" si="123"/>
        <v>34</v>
      </c>
      <c r="I151" s="75">
        <f ca="1" t="shared" si="123"/>
        <v>34</v>
      </c>
      <c r="J151" s="75">
        <f ca="1" t="shared" si="123"/>
        <v>34</v>
      </c>
      <c r="K151" s="75">
        <f ca="1" t="shared" si="123"/>
        <v>34</v>
      </c>
      <c r="L151" s="75">
        <f ca="1" t="shared" si="123"/>
        <v>34</v>
      </c>
      <c r="M151" s="75">
        <f ca="1" t="shared" si="123"/>
        <v>29</v>
      </c>
      <c r="N151" s="75">
        <f ca="1" t="shared" si="123"/>
        <v>29</v>
      </c>
      <c r="O151" s="75">
        <f ca="1" t="shared" si="123"/>
        <v>28</v>
      </c>
      <c r="P151" s="75">
        <f ca="1" t="shared" si="123"/>
        <v>28</v>
      </c>
      <c r="Q151" s="75">
        <f ca="1" t="shared" si="123"/>
        <v>28</v>
      </c>
      <c r="R151" s="75">
        <f ca="1" t="shared" si="123"/>
        <v>27</v>
      </c>
      <c r="S151" s="75">
        <f ca="1" t="shared" si="123"/>
        <v>26</v>
      </c>
      <c r="T151" s="75">
        <f ca="1" t="shared" si="123"/>
        <v>26</v>
      </c>
      <c r="U151" s="75">
        <f ca="1" t="shared" si="123"/>
        <v>21</v>
      </c>
      <c r="V151" s="75">
        <f ca="1" t="shared" si="123"/>
        <v>21</v>
      </c>
      <c r="W151" s="75">
        <f ca="1" t="shared" si="69"/>
        <v>20</v>
      </c>
      <c r="X151" s="75">
        <f ca="1" t="shared" si="70"/>
        <v>19</v>
      </c>
      <c r="Y151" s="75">
        <f ca="1" t="shared" si="71"/>
        <v>18</v>
      </c>
    </row>
    <row r="152" ht="16.5" spans="1:25">
      <c r="A152" s="74">
        <v>107</v>
      </c>
      <c r="B152" s="65">
        <v>119</v>
      </c>
      <c r="C152" s="75">
        <f>INT(产出预期!M138)</f>
        <v>14416</v>
      </c>
      <c r="D152" s="75">
        <f ca="1" t="shared" ref="D152:V152" si="124">IFERROR(MATCH(D457*10,OFFSET($AS$339:$AS$388,0,D$335),1),0)</f>
        <v>43</v>
      </c>
      <c r="E152" s="75">
        <f ca="1" t="shared" si="124"/>
        <v>43</v>
      </c>
      <c r="F152" s="75">
        <f ca="1" t="shared" si="124"/>
        <v>43</v>
      </c>
      <c r="G152" s="75">
        <f ca="1" t="shared" si="124"/>
        <v>34</v>
      </c>
      <c r="H152" s="75">
        <f ca="1" t="shared" si="124"/>
        <v>34</v>
      </c>
      <c r="I152" s="75">
        <f ca="1" t="shared" si="124"/>
        <v>34</v>
      </c>
      <c r="J152" s="75">
        <f ca="1" t="shared" si="124"/>
        <v>34</v>
      </c>
      <c r="K152" s="75">
        <f ca="1" t="shared" si="124"/>
        <v>34</v>
      </c>
      <c r="L152" s="75">
        <f ca="1" t="shared" si="124"/>
        <v>34</v>
      </c>
      <c r="M152" s="75">
        <f ca="1" t="shared" si="124"/>
        <v>29</v>
      </c>
      <c r="N152" s="75">
        <f ca="1" t="shared" si="124"/>
        <v>29</v>
      </c>
      <c r="O152" s="75">
        <f ca="1" t="shared" si="124"/>
        <v>28</v>
      </c>
      <c r="P152" s="75">
        <f ca="1" t="shared" si="124"/>
        <v>28</v>
      </c>
      <c r="Q152" s="75">
        <f ca="1" t="shared" si="124"/>
        <v>28</v>
      </c>
      <c r="R152" s="75">
        <f ca="1" t="shared" si="124"/>
        <v>27</v>
      </c>
      <c r="S152" s="75">
        <f ca="1" t="shared" si="124"/>
        <v>26</v>
      </c>
      <c r="T152" s="75">
        <f ca="1" t="shared" si="124"/>
        <v>26</v>
      </c>
      <c r="U152" s="75">
        <f ca="1" t="shared" si="124"/>
        <v>21</v>
      </c>
      <c r="V152" s="75">
        <f ca="1" t="shared" si="124"/>
        <v>21</v>
      </c>
      <c r="W152" s="75">
        <f ca="1" t="shared" si="69"/>
        <v>20</v>
      </c>
      <c r="X152" s="75">
        <f ca="1" t="shared" si="70"/>
        <v>19</v>
      </c>
      <c r="Y152" s="75">
        <f ca="1" t="shared" si="71"/>
        <v>18</v>
      </c>
    </row>
    <row r="153" ht="16.5" spans="1:25">
      <c r="A153" s="74">
        <v>107</v>
      </c>
      <c r="B153" s="65">
        <v>120</v>
      </c>
      <c r="C153" s="75">
        <f>INT(产出预期!M139)</f>
        <v>14526</v>
      </c>
      <c r="D153" s="75">
        <f ca="1" t="shared" ref="D153:V153" si="125">IFERROR(MATCH(D458*10,OFFSET($AS$339:$AS$388,0,D$335),1),0)</f>
        <v>43</v>
      </c>
      <c r="E153" s="75">
        <f ca="1" t="shared" si="125"/>
        <v>43</v>
      </c>
      <c r="F153" s="75">
        <f ca="1" t="shared" si="125"/>
        <v>43</v>
      </c>
      <c r="G153" s="75">
        <f ca="1" t="shared" si="125"/>
        <v>34</v>
      </c>
      <c r="H153" s="75">
        <f ca="1" t="shared" si="125"/>
        <v>34</v>
      </c>
      <c r="I153" s="75">
        <f ca="1" t="shared" si="125"/>
        <v>34</v>
      </c>
      <c r="J153" s="75">
        <f ca="1" t="shared" si="125"/>
        <v>34</v>
      </c>
      <c r="K153" s="75">
        <f ca="1" t="shared" si="125"/>
        <v>34</v>
      </c>
      <c r="L153" s="75">
        <f ca="1" t="shared" si="125"/>
        <v>34</v>
      </c>
      <c r="M153" s="75">
        <f ca="1" t="shared" si="125"/>
        <v>29</v>
      </c>
      <c r="N153" s="75">
        <f ca="1" t="shared" si="125"/>
        <v>29</v>
      </c>
      <c r="O153" s="75">
        <f ca="1" t="shared" si="125"/>
        <v>28</v>
      </c>
      <c r="P153" s="75">
        <f ca="1" t="shared" si="125"/>
        <v>28</v>
      </c>
      <c r="Q153" s="75">
        <f ca="1" t="shared" si="125"/>
        <v>28</v>
      </c>
      <c r="R153" s="75">
        <f ca="1" t="shared" si="125"/>
        <v>27</v>
      </c>
      <c r="S153" s="75">
        <f ca="1" t="shared" si="125"/>
        <v>26</v>
      </c>
      <c r="T153" s="75">
        <f ca="1" t="shared" si="125"/>
        <v>26</v>
      </c>
      <c r="U153" s="75">
        <f ca="1" t="shared" si="125"/>
        <v>21</v>
      </c>
      <c r="V153" s="75">
        <f ca="1" t="shared" si="125"/>
        <v>21</v>
      </c>
      <c r="W153" s="75">
        <f ca="1" t="shared" si="69"/>
        <v>20</v>
      </c>
      <c r="X153" s="75">
        <f ca="1" t="shared" si="70"/>
        <v>19</v>
      </c>
      <c r="Y153" s="75">
        <f ca="1" t="shared" si="71"/>
        <v>18</v>
      </c>
    </row>
    <row r="154" ht="16.5" spans="1:25">
      <c r="A154" s="74">
        <v>108</v>
      </c>
      <c r="B154" s="65">
        <v>121</v>
      </c>
      <c r="C154" s="75">
        <f>INT(产出预期!M140)</f>
        <v>14636</v>
      </c>
      <c r="D154" s="75">
        <f ca="1" t="shared" ref="D154:V154" si="126">IFERROR(MATCH(D459*10,OFFSET($AS$339:$AS$388,0,D$335),1),0)</f>
        <v>43</v>
      </c>
      <c r="E154" s="75">
        <f ca="1" t="shared" si="126"/>
        <v>43</v>
      </c>
      <c r="F154" s="75">
        <f ca="1" t="shared" si="126"/>
        <v>43</v>
      </c>
      <c r="G154" s="75">
        <f ca="1" t="shared" si="126"/>
        <v>34</v>
      </c>
      <c r="H154" s="75">
        <f ca="1" t="shared" si="126"/>
        <v>34</v>
      </c>
      <c r="I154" s="75">
        <f ca="1" t="shared" si="126"/>
        <v>34</v>
      </c>
      <c r="J154" s="75">
        <f ca="1" t="shared" si="126"/>
        <v>34</v>
      </c>
      <c r="K154" s="75">
        <f ca="1" t="shared" si="126"/>
        <v>34</v>
      </c>
      <c r="L154" s="75">
        <f ca="1" t="shared" si="126"/>
        <v>34</v>
      </c>
      <c r="M154" s="75">
        <f ca="1" t="shared" si="126"/>
        <v>29</v>
      </c>
      <c r="N154" s="75">
        <f ca="1" t="shared" si="126"/>
        <v>29</v>
      </c>
      <c r="O154" s="75">
        <f ca="1" t="shared" si="126"/>
        <v>28</v>
      </c>
      <c r="P154" s="75">
        <f ca="1" t="shared" si="126"/>
        <v>28</v>
      </c>
      <c r="Q154" s="75">
        <f ca="1" t="shared" si="126"/>
        <v>28</v>
      </c>
      <c r="R154" s="75">
        <f ca="1" t="shared" si="126"/>
        <v>27</v>
      </c>
      <c r="S154" s="75">
        <f ca="1" t="shared" si="126"/>
        <v>26</v>
      </c>
      <c r="T154" s="75">
        <f ca="1" t="shared" si="126"/>
        <v>26</v>
      </c>
      <c r="U154" s="75">
        <f ca="1" t="shared" si="126"/>
        <v>21</v>
      </c>
      <c r="V154" s="75">
        <f ca="1" t="shared" si="126"/>
        <v>21</v>
      </c>
      <c r="W154" s="75">
        <f ca="1" t="shared" si="69"/>
        <v>20</v>
      </c>
      <c r="X154" s="75">
        <f ca="1" t="shared" si="70"/>
        <v>19</v>
      </c>
      <c r="Y154" s="75">
        <f ca="1" t="shared" si="71"/>
        <v>18</v>
      </c>
    </row>
    <row r="155" ht="16.5" spans="1:25">
      <c r="A155" s="74">
        <v>108</v>
      </c>
      <c r="B155" s="65">
        <v>122</v>
      </c>
      <c r="C155" s="75">
        <f>INT(产出预期!M141)</f>
        <v>14746</v>
      </c>
      <c r="D155" s="75">
        <f ca="1" t="shared" ref="D155:V155" si="127">IFERROR(MATCH(D460*10,OFFSET($AS$339:$AS$388,0,D$335),1),0)</f>
        <v>43</v>
      </c>
      <c r="E155" s="75">
        <f ca="1" t="shared" si="127"/>
        <v>43</v>
      </c>
      <c r="F155" s="75">
        <f ca="1" t="shared" si="127"/>
        <v>43</v>
      </c>
      <c r="G155" s="75">
        <f ca="1" t="shared" si="127"/>
        <v>34</v>
      </c>
      <c r="H155" s="75">
        <f ca="1" t="shared" si="127"/>
        <v>34</v>
      </c>
      <c r="I155" s="75">
        <f ca="1" t="shared" si="127"/>
        <v>34</v>
      </c>
      <c r="J155" s="75">
        <f ca="1" t="shared" si="127"/>
        <v>34</v>
      </c>
      <c r="K155" s="75">
        <f ca="1" t="shared" si="127"/>
        <v>34</v>
      </c>
      <c r="L155" s="75">
        <f ca="1" t="shared" si="127"/>
        <v>34</v>
      </c>
      <c r="M155" s="75">
        <f ca="1" t="shared" si="127"/>
        <v>29</v>
      </c>
      <c r="N155" s="75">
        <f ca="1" t="shared" si="127"/>
        <v>29</v>
      </c>
      <c r="O155" s="75">
        <f ca="1" t="shared" si="127"/>
        <v>29</v>
      </c>
      <c r="P155" s="75">
        <f ca="1" t="shared" si="127"/>
        <v>28</v>
      </c>
      <c r="Q155" s="75">
        <f ca="1" t="shared" si="127"/>
        <v>28</v>
      </c>
      <c r="R155" s="75">
        <f ca="1" t="shared" si="127"/>
        <v>27</v>
      </c>
      <c r="S155" s="75">
        <f ca="1" t="shared" si="127"/>
        <v>26</v>
      </c>
      <c r="T155" s="75">
        <f ca="1" t="shared" si="127"/>
        <v>26</v>
      </c>
      <c r="U155" s="75">
        <f ca="1" t="shared" si="127"/>
        <v>21</v>
      </c>
      <c r="V155" s="75">
        <f ca="1" t="shared" si="127"/>
        <v>21</v>
      </c>
      <c r="W155" s="75">
        <f ca="1" t="shared" si="69"/>
        <v>20</v>
      </c>
      <c r="X155" s="75">
        <f ca="1" t="shared" si="70"/>
        <v>19</v>
      </c>
      <c r="Y155" s="75">
        <f ca="1" t="shared" si="71"/>
        <v>18</v>
      </c>
    </row>
    <row r="156" ht="16.5" spans="1:25">
      <c r="A156" s="74">
        <v>108</v>
      </c>
      <c r="B156" s="65">
        <v>123</v>
      </c>
      <c r="C156" s="75">
        <f>INT(产出预期!M142)</f>
        <v>14856</v>
      </c>
      <c r="D156" s="75">
        <f ca="1" t="shared" ref="D156:V156" si="128">IFERROR(MATCH(D461*10,OFFSET($AS$339:$AS$388,0,D$335),1),0)</f>
        <v>43</v>
      </c>
      <c r="E156" s="75">
        <f ca="1" t="shared" si="128"/>
        <v>43</v>
      </c>
      <c r="F156" s="75">
        <f ca="1" t="shared" si="128"/>
        <v>43</v>
      </c>
      <c r="G156" s="75">
        <f ca="1" t="shared" si="128"/>
        <v>34</v>
      </c>
      <c r="H156" s="75">
        <f ca="1" t="shared" si="128"/>
        <v>34</v>
      </c>
      <c r="I156" s="75">
        <f ca="1" t="shared" si="128"/>
        <v>34</v>
      </c>
      <c r="J156" s="75">
        <f ca="1" t="shared" si="128"/>
        <v>34</v>
      </c>
      <c r="K156" s="75">
        <f ca="1" t="shared" si="128"/>
        <v>34</v>
      </c>
      <c r="L156" s="75">
        <f ca="1" t="shared" si="128"/>
        <v>34</v>
      </c>
      <c r="M156" s="75">
        <f ca="1" t="shared" si="128"/>
        <v>29</v>
      </c>
      <c r="N156" s="75">
        <f ca="1" t="shared" si="128"/>
        <v>29</v>
      </c>
      <c r="O156" s="75">
        <f ca="1" t="shared" si="128"/>
        <v>29</v>
      </c>
      <c r="P156" s="75">
        <f ca="1" t="shared" si="128"/>
        <v>28</v>
      </c>
      <c r="Q156" s="75">
        <f ca="1" t="shared" si="128"/>
        <v>28</v>
      </c>
      <c r="R156" s="75">
        <f ca="1" t="shared" si="128"/>
        <v>27</v>
      </c>
      <c r="S156" s="75">
        <f ca="1" t="shared" si="128"/>
        <v>26</v>
      </c>
      <c r="T156" s="75">
        <f ca="1" t="shared" si="128"/>
        <v>26</v>
      </c>
      <c r="U156" s="75">
        <f ca="1" t="shared" si="128"/>
        <v>21</v>
      </c>
      <c r="V156" s="75">
        <f ca="1" t="shared" si="128"/>
        <v>21</v>
      </c>
      <c r="W156" s="75">
        <f ca="1" t="shared" si="69"/>
        <v>20</v>
      </c>
      <c r="X156" s="75">
        <f ca="1" t="shared" si="70"/>
        <v>19</v>
      </c>
      <c r="Y156" s="75">
        <f ca="1" t="shared" si="71"/>
        <v>18</v>
      </c>
    </row>
    <row r="157" ht="16.5" spans="1:25">
      <c r="A157" s="74">
        <v>109</v>
      </c>
      <c r="B157" s="65">
        <v>124</v>
      </c>
      <c r="C157" s="75">
        <f>INT(产出预期!M143)</f>
        <v>14966</v>
      </c>
      <c r="D157" s="75">
        <f ca="1" t="shared" ref="D157:V157" si="129">IFERROR(MATCH(D462*10,OFFSET($AS$339:$AS$388,0,D$335),1),0)</f>
        <v>43</v>
      </c>
      <c r="E157" s="75">
        <f ca="1" t="shared" si="129"/>
        <v>43</v>
      </c>
      <c r="F157" s="75">
        <f ca="1" t="shared" si="129"/>
        <v>43</v>
      </c>
      <c r="G157" s="75">
        <f ca="1" t="shared" si="129"/>
        <v>34</v>
      </c>
      <c r="H157" s="75">
        <f ca="1" t="shared" si="129"/>
        <v>34</v>
      </c>
      <c r="I157" s="75">
        <f ca="1" t="shared" si="129"/>
        <v>34</v>
      </c>
      <c r="J157" s="75">
        <f ca="1" t="shared" si="129"/>
        <v>34</v>
      </c>
      <c r="K157" s="75">
        <f ca="1" t="shared" si="129"/>
        <v>34</v>
      </c>
      <c r="L157" s="75">
        <f ca="1" t="shared" si="129"/>
        <v>34</v>
      </c>
      <c r="M157" s="75">
        <f ca="1" t="shared" si="129"/>
        <v>29</v>
      </c>
      <c r="N157" s="75">
        <f ca="1" t="shared" si="129"/>
        <v>29</v>
      </c>
      <c r="O157" s="75">
        <f ca="1" t="shared" si="129"/>
        <v>29</v>
      </c>
      <c r="P157" s="75">
        <f ca="1" t="shared" si="129"/>
        <v>29</v>
      </c>
      <c r="Q157" s="75">
        <f ca="1" t="shared" si="129"/>
        <v>28</v>
      </c>
      <c r="R157" s="75">
        <f ca="1" t="shared" si="129"/>
        <v>27</v>
      </c>
      <c r="S157" s="75">
        <f ca="1" t="shared" si="129"/>
        <v>27</v>
      </c>
      <c r="T157" s="75">
        <f ca="1" t="shared" si="129"/>
        <v>26</v>
      </c>
      <c r="U157" s="75">
        <f ca="1" t="shared" si="129"/>
        <v>21</v>
      </c>
      <c r="V157" s="75">
        <f ca="1" t="shared" si="129"/>
        <v>21</v>
      </c>
      <c r="W157" s="75">
        <f ca="1" t="shared" si="69"/>
        <v>20</v>
      </c>
      <c r="X157" s="75">
        <f ca="1" t="shared" si="70"/>
        <v>19</v>
      </c>
      <c r="Y157" s="75">
        <f ca="1" t="shared" si="71"/>
        <v>18</v>
      </c>
    </row>
    <row r="158" ht="16.5" spans="1:25">
      <c r="A158" s="74">
        <v>109</v>
      </c>
      <c r="B158" s="65">
        <v>125</v>
      </c>
      <c r="C158" s="75">
        <f>INT(产出预期!M144)</f>
        <v>15076</v>
      </c>
      <c r="D158" s="75">
        <f ca="1" t="shared" ref="D158:V158" si="130">IFERROR(MATCH(D463*10,OFFSET($AS$339:$AS$388,0,D$335),1),0)</f>
        <v>43</v>
      </c>
      <c r="E158" s="75">
        <f ca="1" t="shared" si="130"/>
        <v>43</v>
      </c>
      <c r="F158" s="75">
        <f ca="1" t="shared" si="130"/>
        <v>43</v>
      </c>
      <c r="G158" s="75">
        <f ca="1" t="shared" si="130"/>
        <v>34</v>
      </c>
      <c r="H158" s="75">
        <f ca="1" t="shared" si="130"/>
        <v>34</v>
      </c>
      <c r="I158" s="75">
        <f ca="1" t="shared" si="130"/>
        <v>34</v>
      </c>
      <c r="J158" s="75">
        <f ca="1" t="shared" si="130"/>
        <v>34</v>
      </c>
      <c r="K158" s="75">
        <f ca="1" t="shared" si="130"/>
        <v>34</v>
      </c>
      <c r="L158" s="75">
        <f ca="1" t="shared" si="130"/>
        <v>34</v>
      </c>
      <c r="M158" s="75">
        <f ca="1" t="shared" si="130"/>
        <v>29</v>
      </c>
      <c r="N158" s="75">
        <f ca="1" t="shared" si="130"/>
        <v>29</v>
      </c>
      <c r="O158" s="75">
        <f ca="1" t="shared" si="130"/>
        <v>29</v>
      </c>
      <c r="P158" s="75">
        <f ca="1" t="shared" si="130"/>
        <v>29</v>
      </c>
      <c r="Q158" s="75">
        <f ca="1" t="shared" si="130"/>
        <v>28</v>
      </c>
      <c r="R158" s="75">
        <f ca="1" t="shared" si="130"/>
        <v>27</v>
      </c>
      <c r="S158" s="75">
        <f ca="1" t="shared" si="130"/>
        <v>27</v>
      </c>
      <c r="T158" s="75">
        <f ca="1" t="shared" si="130"/>
        <v>26</v>
      </c>
      <c r="U158" s="75">
        <f ca="1" t="shared" si="130"/>
        <v>21</v>
      </c>
      <c r="V158" s="75">
        <f ca="1" t="shared" si="130"/>
        <v>21</v>
      </c>
      <c r="W158" s="75">
        <f ca="1" t="shared" si="69"/>
        <v>20</v>
      </c>
      <c r="X158" s="75">
        <f ca="1" t="shared" si="70"/>
        <v>19</v>
      </c>
      <c r="Y158" s="75">
        <f ca="1" t="shared" si="71"/>
        <v>18</v>
      </c>
    </row>
    <row r="159" ht="16.5" spans="1:25">
      <c r="A159" s="74">
        <v>109</v>
      </c>
      <c r="B159" s="65">
        <v>126</v>
      </c>
      <c r="C159" s="75">
        <f>INT(产出预期!M145)</f>
        <v>15186</v>
      </c>
      <c r="D159" s="75">
        <f ca="1" t="shared" ref="D159:V159" si="131">IFERROR(MATCH(D464*10,OFFSET($AS$339:$AS$388,0,D$335),1),0)</f>
        <v>43</v>
      </c>
      <c r="E159" s="75">
        <f ca="1" t="shared" si="131"/>
        <v>43</v>
      </c>
      <c r="F159" s="75">
        <f ca="1" t="shared" si="131"/>
        <v>43</v>
      </c>
      <c r="G159" s="75">
        <f ca="1" t="shared" si="131"/>
        <v>34</v>
      </c>
      <c r="H159" s="75">
        <f ca="1" t="shared" si="131"/>
        <v>34</v>
      </c>
      <c r="I159" s="75">
        <f ca="1" t="shared" si="131"/>
        <v>34</v>
      </c>
      <c r="J159" s="75">
        <f ca="1" t="shared" si="131"/>
        <v>34</v>
      </c>
      <c r="K159" s="75">
        <f ca="1" t="shared" si="131"/>
        <v>34</v>
      </c>
      <c r="L159" s="75">
        <f ca="1" t="shared" si="131"/>
        <v>34</v>
      </c>
      <c r="M159" s="75">
        <f ca="1" t="shared" si="131"/>
        <v>29</v>
      </c>
      <c r="N159" s="75">
        <f ca="1" t="shared" si="131"/>
        <v>29</v>
      </c>
      <c r="O159" s="75">
        <f ca="1" t="shared" si="131"/>
        <v>29</v>
      </c>
      <c r="P159" s="75">
        <f ca="1" t="shared" si="131"/>
        <v>29</v>
      </c>
      <c r="Q159" s="75">
        <f ca="1" t="shared" si="131"/>
        <v>28</v>
      </c>
      <c r="R159" s="75">
        <f ca="1" t="shared" si="131"/>
        <v>27</v>
      </c>
      <c r="S159" s="75">
        <f ca="1" t="shared" si="131"/>
        <v>27</v>
      </c>
      <c r="T159" s="75">
        <f ca="1" t="shared" si="131"/>
        <v>26</v>
      </c>
      <c r="U159" s="75">
        <f ca="1" t="shared" si="131"/>
        <v>21</v>
      </c>
      <c r="V159" s="75">
        <f ca="1" t="shared" si="131"/>
        <v>21</v>
      </c>
      <c r="W159" s="75">
        <f ca="1" t="shared" si="69"/>
        <v>20</v>
      </c>
      <c r="X159" s="75">
        <f ca="1" t="shared" si="70"/>
        <v>19</v>
      </c>
      <c r="Y159" s="75">
        <f ca="1" t="shared" si="71"/>
        <v>18</v>
      </c>
    </row>
    <row r="160" ht="16.5" spans="1:25">
      <c r="A160" s="74">
        <v>110</v>
      </c>
      <c r="B160" s="65">
        <v>127</v>
      </c>
      <c r="C160" s="75">
        <f>INT(产出预期!M146)</f>
        <v>15296</v>
      </c>
      <c r="D160" s="75">
        <f ca="1" t="shared" ref="D160:V160" si="132">IFERROR(MATCH(D465*10,OFFSET($AS$339:$AS$388,0,D$335),1),0)</f>
        <v>43</v>
      </c>
      <c r="E160" s="75">
        <f ca="1" t="shared" si="132"/>
        <v>43</v>
      </c>
      <c r="F160" s="75">
        <f ca="1" t="shared" si="132"/>
        <v>43</v>
      </c>
      <c r="G160" s="75">
        <f ca="1" t="shared" si="132"/>
        <v>34</v>
      </c>
      <c r="H160" s="75">
        <f ca="1" t="shared" si="132"/>
        <v>34</v>
      </c>
      <c r="I160" s="75">
        <f ca="1" t="shared" si="132"/>
        <v>34</v>
      </c>
      <c r="J160" s="75">
        <f ca="1" t="shared" si="132"/>
        <v>34</v>
      </c>
      <c r="K160" s="75">
        <f ca="1" t="shared" si="132"/>
        <v>34</v>
      </c>
      <c r="L160" s="75">
        <f ca="1" t="shared" si="132"/>
        <v>34</v>
      </c>
      <c r="M160" s="75">
        <f ca="1" t="shared" si="132"/>
        <v>30</v>
      </c>
      <c r="N160" s="75">
        <f ca="1" t="shared" si="132"/>
        <v>29</v>
      </c>
      <c r="O160" s="75">
        <f ca="1" t="shared" si="132"/>
        <v>29</v>
      </c>
      <c r="P160" s="75">
        <f ca="1" t="shared" si="132"/>
        <v>29</v>
      </c>
      <c r="Q160" s="75">
        <f ca="1" t="shared" si="132"/>
        <v>28</v>
      </c>
      <c r="R160" s="75">
        <f ca="1" t="shared" si="132"/>
        <v>27</v>
      </c>
      <c r="S160" s="75">
        <f ca="1" t="shared" si="132"/>
        <v>27</v>
      </c>
      <c r="T160" s="75">
        <f ca="1" t="shared" si="132"/>
        <v>26</v>
      </c>
      <c r="U160" s="75">
        <f ca="1" t="shared" si="132"/>
        <v>21</v>
      </c>
      <c r="V160" s="75">
        <f ca="1" t="shared" si="132"/>
        <v>21</v>
      </c>
      <c r="W160" s="75">
        <f ca="1" t="shared" si="69"/>
        <v>20</v>
      </c>
      <c r="X160" s="75">
        <f ca="1" t="shared" si="70"/>
        <v>19</v>
      </c>
      <c r="Y160" s="75">
        <f ca="1" t="shared" si="71"/>
        <v>18</v>
      </c>
    </row>
    <row r="161" ht="16.5" spans="1:25">
      <c r="A161" s="74">
        <v>110</v>
      </c>
      <c r="B161" s="65">
        <v>128</v>
      </c>
      <c r="C161" s="75">
        <f>INT(产出预期!M147)</f>
        <v>15406</v>
      </c>
      <c r="D161" s="75">
        <f ca="1" t="shared" ref="D161:V161" si="133">IFERROR(MATCH(D466*10,OFFSET($AS$339:$AS$388,0,D$335),1),0)</f>
        <v>43</v>
      </c>
      <c r="E161" s="75">
        <f ca="1" t="shared" si="133"/>
        <v>43</v>
      </c>
      <c r="F161" s="75">
        <f ca="1" t="shared" si="133"/>
        <v>43</v>
      </c>
      <c r="G161" s="75">
        <f ca="1" t="shared" si="133"/>
        <v>34</v>
      </c>
      <c r="H161" s="75">
        <f ca="1" t="shared" si="133"/>
        <v>34</v>
      </c>
      <c r="I161" s="75">
        <f ca="1" t="shared" si="133"/>
        <v>34</v>
      </c>
      <c r="J161" s="75">
        <f ca="1" t="shared" si="133"/>
        <v>34</v>
      </c>
      <c r="K161" s="75">
        <f ca="1" t="shared" si="133"/>
        <v>34</v>
      </c>
      <c r="L161" s="75">
        <f ca="1" t="shared" si="133"/>
        <v>34</v>
      </c>
      <c r="M161" s="75">
        <f ca="1" t="shared" si="133"/>
        <v>30</v>
      </c>
      <c r="N161" s="75">
        <f ca="1" t="shared" si="133"/>
        <v>29</v>
      </c>
      <c r="O161" s="75">
        <f ca="1" t="shared" si="133"/>
        <v>29</v>
      </c>
      <c r="P161" s="75">
        <f ca="1" t="shared" si="133"/>
        <v>29</v>
      </c>
      <c r="Q161" s="75">
        <f ca="1" t="shared" si="133"/>
        <v>28</v>
      </c>
      <c r="R161" s="75">
        <f ca="1" t="shared" si="133"/>
        <v>27</v>
      </c>
      <c r="S161" s="75">
        <f ca="1" t="shared" si="133"/>
        <v>27</v>
      </c>
      <c r="T161" s="75">
        <f ca="1" t="shared" si="133"/>
        <v>26</v>
      </c>
      <c r="U161" s="75">
        <f ca="1" t="shared" si="133"/>
        <v>21</v>
      </c>
      <c r="V161" s="75">
        <f ca="1" t="shared" si="133"/>
        <v>21</v>
      </c>
      <c r="W161" s="75">
        <f ca="1" t="shared" si="69"/>
        <v>20</v>
      </c>
      <c r="X161" s="75">
        <f ca="1" t="shared" si="70"/>
        <v>19</v>
      </c>
      <c r="Y161" s="75">
        <f ca="1" t="shared" si="71"/>
        <v>18</v>
      </c>
    </row>
    <row r="162" ht="16.5" spans="1:25">
      <c r="A162" s="74">
        <v>110</v>
      </c>
      <c r="B162" s="65">
        <v>129</v>
      </c>
      <c r="C162" s="75">
        <f>INT(产出预期!M148)</f>
        <v>15516</v>
      </c>
      <c r="D162" s="75">
        <f ca="1" t="shared" ref="D162:V162" si="134">IFERROR(MATCH(D467*10,OFFSET($AS$339:$AS$388,0,D$335),1),0)</f>
        <v>43</v>
      </c>
      <c r="E162" s="75">
        <f ca="1" t="shared" si="134"/>
        <v>43</v>
      </c>
      <c r="F162" s="75">
        <f ca="1" t="shared" si="134"/>
        <v>43</v>
      </c>
      <c r="G162" s="75">
        <f ca="1" t="shared" si="134"/>
        <v>34</v>
      </c>
      <c r="H162" s="75">
        <f ca="1" t="shared" si="134"/>
        <v>34</v>
      </c>
      <c r="I162" s="75">
        <f ca="1" t="shared" si="134"/>
        <v>34</v>
      </c>
      <c r="J162" s="75">
        <f ca="1" t="shared" si="134"/>
        <v>34</v>
      </c>
      <c r="K162" s="75">
        <f ca="1" t="shared" si="134"/>
        <v>34</v>
      </c>
      <c r="L162" s="75">
        <f ca="1" t="shared" si="134"/>
        <v>34</v>
      </c>
      <c r="M162" s="75">
        <f ca="1" t="shared" si="134"/>
        <v>30</v>
      </c>
      <c r="N162" s="75">
        <f ca="1" t="shared" si="134"/>
        <v>29</v>
      </c>
      <c r="O162" s="75">
        <f ca="1" t="shared" si="134"/>
        <v>29</v>
      </c>
      <c r="P162" s="75">
        <f ca="1" t="shared" si="134"/>
        <v>29</v>
      </c>
      <c r="Q162" s="75">
        <f ca="1" t="shared" si="134"/>
        <v>28</v>
      </c>
      <c r="R162" s="75">
        <f ca="1" t="shared" si="134"/>
        <v>27</v>
      </c>
      <c r="S162" s="75">
        <f ca="1" t="shared" si="134"/>
        <v>27</v>
      </c>
      <c r="T162" s="75">
        <f ca="1" t="shared" si="134"/>
        <v>26</v>
      </c>
      <c r="U162" s="75">
        <f ca="1" t="shared" si="134"/>
        <v>21</v>
      </c>
      <c r="V162" s="75">
        <f ca="1" t="shared" si="134"/>
        <v>21</v>
      </c>
      <c r="W162" s="75">
        <f ca="1" t="shared" si="69"/>
        <v>20</v>
      </c>
      <c r="X162" s="75">
        <f ca="1" t="shared" si="70"/>
        <v>19</v>
      </c>
      <c r="Y162" s="75">
        <f ca="1" t="shared" si="71"/>
        <v>18</v>
      </c>
    </row>
    <row r="163" ht="16.5" spans="1:25">
      <c r="A163" s="74">
        <v>111</v>
      </c>
      <c r="B163" s="65">
        <v>130</v>
      </c>
      <c r="C163" s="75">
        <f>INT(产出预期!M149)</f>
        <v>15626</v>
      </c>
      <c r="D163" s="75">
        <f ca="1" t="shared" ref="D163:V163" si="135">IFERROR(MATCH(D468*10,OFFSET($AS$339:$AS$388,0,D$335),1),0)</f>
        <v>43</v>
      </c>
      <c r="E163" s="75">
        <f ca="1" t="shared" si="135"/>
        <v>43</v>
      </c>
      <c r="F163" s="75">
        <f ca="1" t="shared" si="135"/>
        <v>43</v>
      </c>
      <c r="G163" s="75">
        <f ca="1" t="shared" si="135"/>
        <v>34</v>
      </c>
      <c r="H163" s="75">
        <f ca="1" t="shared" si="135"/>
        <v>34</v>
      </c>
      <c r="I163" s="75">
        <f ca="1" t="shared" si="135"/>
        <v>34</v>
      </c>
      <c r="J163" s="75">
        <f ca="1" t="shared" si="135"/>
        <v>34</v>
      </c>
      <c r="K163" s="75">
        <f ca="1" t="shared" si="135"/>
        <v>34</v>
      </c>
      <c r="L163" s="75">
        <f ca="1" t="shared" si="135"/>
        <v>34</v>
      </c>
      <c r="M163" s="75">
        <f ca="1" t="shared" si="135"/>
        <v>30</v>
      </c>
      <c r="N163" s="75">
        <f ca="1" t="shared" si="135"/>
        <v>29</v>
      </c>
      <c r="O163" s="75">
        <f ca="1" t="shared" si="135"/>
        <v>29</v>
      </c>
      <c r="P163" s="75">
        <f ca="1" t="shared" si="135"/>
        <v>29</v>
      </c>
      <c r="Q163" s="75">
        <f ca="1" t="shared" si="135"/>
        <v>28</v>
      </c>
      <c r="R163" s="75">
        <f ca="1" t="shared" si="135"/>
        <v>27</v>
      </c>
      <c r="S163" s="75">
        <f ca="1" t="shared" si="135"/>
        <v>27</v>
      </c>
      <c r="T163" s="75">
        <f ca="1" t="shared" si="135"/>
        <v>26</v>
      </c>
      <c r="U163" s="75">
        <f ca="1" t="shared" si="135"/>
        <v>21</v>
      </c>
      <c r="V163" s="75">
        <f ca="1" t="shared" si="135"/>
        <v>21</v>
      </c>
      <c r="W163" s="75">
        <f ca="1" t="shared" ref="W163:W226" si="136">IFERROR(MATCH(W468*10,OFFSET($AS$339:$AS$388,0,W$335),1),0)</f>
        <v>20</v>
      </c>
      <c r="X163" s="75">
        <f ca="1" t="shared" ref="X163:X226" si="137">IFERROR(MATCH(X468*10,OFFSET($AS$339:$AS$388,0,X$335),1),0)</f>
        <v>19</v>
      </c>
      <c r="Y163" s="75">
        <f ca="1" t="shared" ref="Y163:Y226" si="138">IFERROR(MATCH(Y468*10,OFFSET($AS$339:$AS$388,0,Y$335),1),0)</f>
        <v>18</v>
      </c>
    </row>
    <row r="164" ht="16.5" spans="1:25">
      <c r="A164" s="74">
        <v>111</v>
      </c>
      <c r="B164" s="65">
        <v>131</v>
      </c>
      <c r="C164" s="75">
        <f>INT(产出预期!M150)</f>
        <v>15736</v>
      </c>
      <c r="D164" s="75">
        <f ca="1" t="shared" ref="D164:V164" si="139">IFERROR(MATCH(D469*10,OFFSET($AS$339:$AS$388,0,D$335),1),0)</f>
        <v>43</v>
      </c>
      <c r="E164" s="75">
        <f ca="1" t="shared" si="139"/>
        <v>43</v>
      </c>
      <c r="F164" s="75">
        <f ca="1" t="shared" si="139"/>
        <v>43</v>
      </c>
      <c r="G164" s="75">
        <f ca="1" t="shared" si="139"/>
        <v>34</v>
      </c>
      <c r="H164" s="75">
        <f ca="1" t="shared" si="139"/>
        <v>34</v>
      </c>
      <c r="I164" s="75">
        <f ca="1" t="shared" si="139"/>
        <v>34</v>
      </c>
      <c r="J164" s="75">
        <f ca="1" t="shared" si="139"/>
        <v>34</v>
      </c>
      <c r="K164" s="75">
        <f ca="1" t="shared" si="139"/>
        <v>34</v>
      </c>
      <c r="L164" s="75">
        <f ca="1" t="shared" si="139"/>
        <v>34</v>
      </c>
      <c r="M164" s="75">
        <f ca="1" t="shared" si="139"/>
        <v>30</v>
      </c>
      <c r="N164" s="75">
        <f ca="1" t="shared" si="139"/>
        <v>29</v>
      </c>
      <c r="O164" s="75">
        <f ca="1" t="shared" si="139"/>
        <v>29</v>
      </c>
      <c r="P164" s="75">
        <f ca="1" t="shared" si="139"/>
        <v>29</v>
      </c>
      <c r="Q164" s="75">
        <f ca="1" t="shared" si="139"/>
        <v>28</v>
      </c>
      <c r="R164" s="75">
        <f ca="1" t="shared" si="139"/>
        <v>27</v>
      </c>
      <c r="S164" s="75">
        <f ca="1" t="shared" si="139"/>
        <v>27</v>
      </c>
      <c r="T164" s="75">
        <f ca="1" t="shared" si="139"/>
        <v>26</v>
      </c>
      <c r="U164" s="75">
        <f ca="1" t="shared" si="139"/>
        <v>21</v>
      </c>
      <c r="V164" s="75">
        <f ca="1" t="shared" si="139"/>
        <v>21</v>
      </c>
      <c r="W164" s="75">
        <f ca="1" t="shared" si="136"/>
        <v>20</v>
      </c>
      <c r="X164" s="75">
        <f ca="1" t="shared" si="137"/>
        <v>19</v>
      </c>
      <c r="Y164" s="75">
        <f ca="1" t="shared" si="138"/>
        <v>18</v>
      </c>
    </row>
    <row r="165" ht="16.5" spans="1:25">
      <c r="A165" s="74">
        <v>111</v>
      </c>
      <c r="B165" s="65">
        <v>132</v>
      </c>
      <c r="C165" s="75">
        <f>INT(产出预期!M151)</f>
        <v>15846</v>
      </c>
      <c r="D165" s="75">
        <f ca="1" t="shared" ref="D165:V165" si="140">IFERROR(MATCH(D470*10,OFFSET($AS$339:$AS$388,0,D$335),1),0)</f>
        <v>43</v>
      </c>
      <c r="E165" s="75">
        <f ca="1" t="shared" si="140"/>
        <v>43</v>
      </c>
      <c r="F165" s="75">
        <f ca="1" t="shared" si="140"/>
        <v>43</v>
      </c>
      <c r="G165" s="75">
        <f ca="1" t="shared" si="140"/>
        <v>34</v>
      </c>
      <c r="H165" s="75">
        <f ca="1" t="shared" si="140"/>
        <v>34</v>
      </c>
      <c r="I165" s="75">
        <f ca="1" t="shared" si="140"/>
        <v>34</v>
      </c>
      <c r="J165" s="75">
        <f ca="1" t="shared" si="140"/>
        <v>34</v>
      </c>
      <c r="K165" s="75">
        <f ca="1" t="shared" si="140"/>
        <v>34</v>
      </c>
      <c r="L165" s="75">
        <f ca="1" t="shared" si="140"/>
        <v>34</v>
      </c>
      <c r="M165" s="75">
        <f ca="1" t="shared" si="140"/>
        <v>30</v>
      </c>
      <c r="N165" s="75">
        <f ca="1" t="shared" si="140"/>
        <v>29</v>
      </c>
      <c r="O165" s="75">
        <f ca="1" t="shared" si="140"/>
        <v>29</v>
      </c>
      <c r="P165" s="75">
        <f ca="1" t="shared" si="140"/>
        <v>29</v>
      </c>
      <c r="Q165" s="75">
        <f ca="1" t="shared" si="140"/>
        <v>29</v>
      </c>
      <c r="R165" s="75">
        <f ca="1" t="shared" si="140"/>
        <v>27</v>
      </c>
      <c r="S165" s="75">
        <f ca="1" t="shared" si="140"/>
        <v>27</v>
      </c>
      <c r="T165" s="75">
        <f ca="1" t="shared" si="140"/>
        <v>26</v>
      </c>
      <c r="U165" s="75">
        <f ca="1" t="shared" si="140"/>
        <v>21</v>
      </c>
      <c r="V165" s="75">
        <f ca="1" t="shared" si="140"/>
        <v>21</v>
      </c>
      <c r="W165" s="75">
        <f ca="1" t="shared" si="136"/>
        <v>20</v>
      </c>
      <c r="X165" s="75">
        <f ca="1" t="shared" si="137"/>
        <v>19</v>
      </c>
      <c r="Y165" s="75">
        <f ca="1" t="shared" si="138"/>
        <v>18</v>
      </c>
    </row>
    <row r="166" ht="16.5" spans="1:25">
      <c r="A166" s="74">
        <v>112</v>
      </c>
      <c r="B166" s="65">
        <v>133</v>
      </c>
      <c r="C166" s="75">
        <f>INT(产出预期!M152)</f>
        <v>15956</v>
      </c>
      <c r="D166" s="75">
        <f ca="1" t="shared" ref="D166:V166" si="141">IFERROR(MATCH(D471*10,OFFSET($AS$339:$AS$388,0,D$335),1),0)</f>
        <v>43</v>
      </c>
      <c r="E166" s="75">
        <f ca="1" t="shared" si="141"/>
        <v>43</v>
      </c>
      <c r="F166" s="75">
        <f ca="1" t="shared" si="141"/>
        <v>43</v>
      </c>
      <c r="G166" s="75">
        <f ca="1" t="shared" si="141"/>
        <v>34</v>
      </c>
      <c r="H166" s="75">
        <f ca="1" t="shared" si="141"/>
        <v>34</v>
      </c>
      <c r="I166" s="75">
        <f ca="1" t="shared" si="141"/>
        <v>34</v>
      </c>
      <c r="J166" s="75">
        <f ca="1" t="shared" si="141"/>
        <v>34</v>
      </c>
      <c r="K166" s="75">
        <f ca="1" t="shared" si="141"/>
        <v>34</v>
      </c>
      <c r="L166" s="75">
        <f ca="1" t="shared" si="141"/>
        <v>34</v>
      </c>
      <c r="M166" s="75">
        <f ca="1" t="shared" si="141"/>
        <v>30</v>
      </c>
      <c r="N166" s="75">
        <f ca="1" t="shared" si="141"/>
        <v>29</v>
      </c>
      <c r="O166" s="75">
        <f ca="1" t="shared" si="141"/>
        <v>29</v>
      </c>
      <c r="P166" s="75">
        <f ca="1" t="shared" si="141"/>
        <v>29</v>
      </c>
      <c r="Q166" s="75">
        <f ca="1" t="shared" si="141"/>
        <v>29</v>
      </c>
      <c r="R166" s="75">
        <f ca="1" t="shared" si="141"/>
        <v>27</v>
      </c>
      <c r="S166" s="75">
        <f ca="1" t="shared" si="141"/>
        <v>27</v>
      </c>
      <c r="T166" s="75">
        <f ca="1" t="shared" si="141"/>
        <v>26</v>
      </c>
      <c r="U166" s="75">
        <f ca="1" t="shared" si="141"/>
        <v>21</v>
      </c>
      <c r="V166" s="75">
        <f ca="1" t="shared" si="141"/>
        <v>21</v>
      </c>
      <c r="W166" s="75">
        <f ca="1" t="shared" si="136"/>
        <v>20</v>
      </c>
      <c r="X166" s="75">
        <f ca="1" t="shared" si="137"/>
        <v>19</v>
      </c>
      <c r="Y166" s="75">
        <f ca="1" t="shared" si="138"/>
        <v>18</v>
      </c>
    </row>
    <row r="167" ht="16.5" spans="1:25">
      <c r="A167" s="74">
        <v>112</v>
      </c>
      <c r="B167" s="65">
        <v>134</v>
      </c>
      <c r="C167" s="75">
        <f>INT(产出预期!M153)</f>
        <v>16066</v>
      </c>
      <c r="D167" s="75">
        <f ca="1" t="shared" ref="D167:V167" si="142">IFERROR(MATCH(D472*10,OFFSET($AS$339:$AS$388,0,D$335),1),0)</f>
        <v>43</v>
      </c>
      <c r="E167" s="75">
        <f ca="1" t="shared" si="142"/>
        <v>43</v>
      </c>
      <c r="F167" s="75">
        <f ca="1" t="shared" si="142"/>
        <v>43</v>
      </c>
      <c r="G167" s="75">
        <f ca="1" t="shared" si="142"/>
        <v>34</v>
      </c>
      <c r="H167" s="75">
        <f ca="1" t="shared" si="142"/>
        <v>34</v>
      </c>
      <c r="I167" s="75">
        <f ca="1" t="shared" si="142"/>
        <v>34</v>
      </c>
      <c r="J167" s="75">
        <f ca="1" t="shared" si="142"/>
        <v>34</v>
      </c>
      <c r="K167" s="75">
        <f ca="1" t="shared" si="142"/>
        <v>34</v>
      </c>
      <c r="L167" s="75">
        <f ca="1" t="shared" si="142"/>
        <v>34</v>
      </c>
      <c r="M167" s="75">
        <f ca="1" t="shared" si="142"/>
        <v>30</v>
      </c>
      <c r="N167" s="75">
        <f ca="1" t="shared" si="142"/>
        <v>29</v>
      </c>
      <c r="O167" s="75">
        <f ca="1" t="shared" si="142"/>
        <v>29</v>
      </c>
      <c r="P167" s="75">
        <f ca="1" t="shared" si="142"/>
        <v>29</v>
      </c>
      <c r="Q167" s="75">
        <f ca="1" t="shared" si="142"/>
        <v>29</v>
      </c>
      <c r="R167" s="75">
        <f ca="1" t="shared" si="142"/>
        <v>27</v>
      </c>
      <c r="S167" s="75">
        <f ca="1" t="shared" si="142"/>
        <v>27</v>
      </c>
      <c r="T167" s="75">
        <f ca="1" t="shared" si="142"/>
        <v>26</v>
      </c>
      <c r="U167" s="75">
        <f ca="1" t="shared" si="142"/>
        <v>21</v>
      </c>
      <c r="V167" s="75">
        <f ca="1" t="shared" si="142"/>
        <v>21</v>
      </c>
      <c r="W167" s="75">
        <f ca="1" t="shared" si="136"/>
        <v>20</v>
      </c>
      <c r="X167" s="75">
        <f ca="1" t="shared" si="137"/>
        <v>19</v>
      </c>
      <c r="Y167" s="75">
        <f ca="1" t="shared" si="138"/>
        <v>18</v>
      </c>
    </row>
    <row r="168" ht="16.5" spans="1:25">
      <c r="A168" s="74">
        <v>112</v>
      </c>
      <c r="B168" s="65">
        <v>135</v>
      </c>
      <c r="C168" s="75">
        <f>INT(产出预期!M154)</f>
        <v>16176</v>
      </c>
      <c r="D168" s="75">
        <f ca="1" t="shared" ref="D168:V168" si="143">IFERROR(MATCH(D473*10,OFFSET($AS$339:$AS$388,0,D$335),1),0)</f>
        <v>43</v>
      </c>
      <c r="E168" s="75">
        <f ca="1" t="shared" si="143"/>
        <v>43</v>
      </c>
      <c r="F168" s="75">
        <f ca="1" t="shared" si="143"/>
        <v>43</v>
      </c>
      <c r="G168" s="75">
        <f ca="1" t="shared" si="143"/>
        <v>34</v>
      </c>
      <c r="H168" s="75">
        <f ca="1" t="shared" si="143"/>
        <v>34</v>
      </c>
      <c r="I168" s="75">
        <f ca="1" t="shared" si="143"/>
        <v>34</v>
      </c>
      <c r="J168" s="75">
        <f ca="1" t="shared" si="143"/>
        <v>34</v>
      </c>
      <c r="K168" s="75">
        <f ca="1" t="shared" si="143"/>
        <v>34</v>
      </c>
      <c r="L168" s="75">
        <f ca="1" t="shared" si="143"/>
        <v>34</v>
      </c>
      <c r="M168" s="75">
        <f ca="1" t="shared" si="143"/>
        <v>30</v>
      </c>
      <c r="N168" s="75">
        <f ca="1" t="shared" si="143"/>
        <v>29</v>
      </c>
      <c r="O168" s="75">
        <f ca="1" t="shared" si="143"/>
        <v>29</v>
      </c>
      <c r="P168" s="75">
        <f ca="1" t="shared" si="143"/>
        <v>29</v>
      </c>
      <c r="Q168" s="75">
        <f ca="1" t="shared" si="143"/>
        <v>29</v>
      </c>
      <c r="R168" s="75">
        <f ca="1" t="shared" si="143"/>
        <v>27</v>
      </c>
      <c r="S168" s="75">
        <f ca="1" t="shared" si="143"/>
        <v>27</v>
      </c>
      <c r="T168" s="75">
        <f ca="1" t="shared" si="143"/>
        <v>26</v>
      </c>
      <c r="U168" s="75">
        <f ca="1" t="shared" si="143"/>
        <v>21</v>
      </c>
      <c r="V168" s="75">
        <f ca="1" t="shared" si="143"/>
        <v>21</v>
      </c>
      <c r="W168" s="75">
        <f ca="1" t="shared" si="136"/>
        <v>20</v>
      </c>
      <c r="X168" s="75">
        <f ca="1" t="shared" si="137"/>
        <v>19</v>
      </c>
      <c r="Y168" s="75">
        <f ca="1" t="shared" si="138"/>
        <v>18</v>
      </c>
    </row>
    <row r="169" ht="16.5" spans="1:25">
      <c r="A169" s="74">
        <v>113</v>
      </c>
      <c r="B169" s="65">
        <v>136</v>
      </c>
      <c r="C169" s="75">
        <f>INT(产出预期!M155)</f>
        <v>16286</v>
      </c>
      <c r="D169" s="75">
        <f ca="1" t="shared" ref="D169:V169" si="144">IFERROR(MATCH(D474*10,OFFSET($AS$339:$AS$388,0,D$335),1),0)</f>
        <v>43</v>
      </c>
      <c r="E169" s="75">
        <f ca="1" t="shared" si="144"/>
        <v>43</v>
      </c>
      <c r="F169" s="75">
        <f ca="1" t="shared" si="144"/>
        <v>43</v>
      </c>
      <c r="G169" s="75">
        <f ca="1" t="shared" si="144"/>
        <v>34</v>
      </c>
      <c r="H169" s="75">
        <f ca="1" t="shared" si="144"/>
        <v>34</v>
      </c>
      <c r="I169" s="75">
        <f ca="1" t="shared" si="144"/>
        <v>34</v>
      </c>
      <c r="J169" s="75">
        <f ca="1" t="shared" si="144"/>
        <v>34</v>
      </c>
      <c r="K169" s="75">
        <f ca="1" t="shared" si="144"/>
        <v>34</v>
      </c>
      <c r="L169" s="75">
        <f ca="1" t="shared" si="144"/>
        <v>34</v>
      </c>
      <c r="M169" s="75">
        <f ca="1" t="shared" si="144"/>
        <v>30</v>
      </c>
      <c r="N169" s="75">
        <f ca="1" t="shared" si="144"/>
        <v>29</v>
      </c>
      <c r="O169" s="75">
        <f ca="1" t="shared" si="144"/>
        <v>29</v>
      </c>
      <c r="P169" s="75">
        <f ca="1" t="shared" si="144"/>
        <v>29</v>
      </c>
      <c r="Q169" s="75">
        <f ca="1" t="shared" si="144"/>
        <v>29</v>
      </c>
      <c r="R169" s="75">
        <f ca="1" t="shared" si="144"/>
        <v>27</v>
      </c>
      <c r="S169" s="75">
        <f ca="1" t="shared" si="144"/>
        <v>27</v>
      </c>
      <c r="T169" s="75">
        <f ca="1" t="shared" si="144"/>
        <v>26</v>
      </c>
      <c r="U169" s="75">
        <f ca="1" t="shared" si="144"/>
        <v>21</v>
      </c>
      <c r="V169" s="75">
        <f ca="1" t="shared" si="144"/>
        <v>21</v>
      </c>
      <c r="W169" s="75">
        <f ca="1" t="shared" si="136"/>
        <v>20</v>
      </c>
      <c r="X169" s="75">
        <f ca="1" t="shared" si="137"/>
        <v>19</v>
      </c>
      <c r="Y169" s="75">
        <f ca="1" t="shared" si="138"/>
        <v>18</v>
      </c>
    </row>
    <row r="170" ht="16.5" spans="1:25">
      <c r="A170" s="74">
        <v>113</v>
      </c>
      <c r="B170" s="65">
        <v>137</v>
      </c>
      <c r="C170" s="75">
        <f>INT(产出预期!M156)</f>
        <v>16396</v>
      </c>
      <c r="D170" s="75">
        <f ca="1" t="shared" ref="D170:V170" si="145">IFERROR(MATCH(D475*10,OFFSET($AS$339:$AS$388,0,D$335),1),0)</f>
        <v>43</v>
      </c>
      <c r="E170" s="75">
        <f ca="1" t="shared" si="145"/>
        <v>43</v>
      </c>
      <c r="F170" s="75">
        <f ca="1" t="shared" si="145"/>
        <v>43</v>
      </c>
      <c r="G170" s="75">
        <f ca="1" t="shared" si="145"/>
        <v>34</v>
      </c>
      <c r="H170" s="75">
        <f ca="1" t="shared" si="145"/>
        <v>34</v>
      </c>
      <c r="I170" s="75">
        <f ca="1" t="shared" si="145"/>
        <v>34</v>
      </c>
      <c r="J170" s="75">
        <f ca="1" t="shared" si="145"/>
        <v>34</v>
      </c>
      <c r="K170" s="75">
        <f ca="1" t="shared" si="145"/>
        <v>34</v>
      </c>
      <c r="L170" s="75">
        <f ca="1" t="shared" si="145"/>
        <v>34</v>
      </c>
      <c r="M170" s="75">
        <f ca="1" t="shared" si="145"/>
        <v>30</v>
      </c>
      <c r="N170" s="75">
        <f ca="1" t="shared" si="145"/>
        <v>29</v>
      </c>
      <c r="O170" s="75">
        <f ca="1" t="shared" si="145"/>
        <v>29</v>
      </c>
      <c r="P170" s="75">
        <f ca="1" t="shared" si="145"/>
        <v>29</v>
      </c>
      <c r="Q170" s="75">
        <f ca="1" t="shared" si="145"/>
        <v>29</v>
      </c>
      <c r="R170" s="75">
        <f ca="1" t="shared" si="145"/>
        <v>27</v>
      </c>
      <c r="S170" s="75">
        <f ca="1" t="shared" si="145"/>
        <v>27</v>
      </c>
      <c r="T170" s="75">
        <f ca="1" t="shared" si="145"/>
        <v>26</v>
      </c>
      <c r="U170" s="75">
        <f ca="1" t="shared" si="145"/>
        <v>21</v>
      </c>
      <c r="V170" s="75">
        <f ca="1" t="shared" si="145"/>
        <v>21</v>
      </c>
      <c r="W170" s="75">
        <f ca="1" t="shared" si="136"/>
        <v>20</v>
      </c>
      <c r="X170" s="75">
        <f ca="1" t="shared" si="137"/>
        <v>19</v>
      </c>
      <c r="Y170" s="75">
        <f ca="1" t="shared" si="138"/>
        <v>18</v>
      </c>
    </row>
    <row r="171" ht="16.5" spans="1:25">
      <c r="A171" s="74">
        <v>113</v>
      </c>
      <c r="B171" s="65">
        <v>138</v>
      </c>
      <c r="C171" s="75">
        <f>INT(产出预期!M157)</f>
        <v>16506</v>
      </c>
      <c r="D171" s="75">
        <f ca="1" t="shared" ref="D171:V171" si="146">IFERROR(MATCH(D476*10,OFFSET($AS$339:$AS$388,0,D$335),1),0)</f>
        <v>43</v>
      </c>
      <c r="E171" s="75">
        <f ca="1" t="shared" si="146"/>
        <v>43</v>
      </c>
      <c r="F171" s="75">
        <f ca="1" t="shared" si="146"/>
        <v>43</v>
      </c>
      <c r="G171" s="75">
        <f ca="1" t="shared" si="146"/>
        <v>34</v>
      </c>
      <c r="H171" s="75">
        <f ca="1" t="shared" si="146"/>
        <v>34</v>
      </c>
      <c r="I171" s="75">
        <f ca="1" t="shared" si="146"/>
        <v>34</v>
      </c>
      <c r="J171" s="75">
        <f ca="1" t="shared" si="146"/>
        <v>34</v>
      </c>
      <c r="K171" s="75">
        <f ca="1" t="shared" si="146"/>
        <v>34</v>
      </c>
      <c r="L171" s="75">
        <f ca="1" t="shared" si="146"/>
        <v>34</v>
      </c>
      <c r="M171" s="75">
        <f ca="1" t="shared" si="146"/>
        <v>30</v>
      </c>
      <c r="N171" s="75">
        <f ca="1" t="shared" si="146"/>
        <v>29</v>
      </c>
      <c r="O171" s="75">
        <f ca="1" t="shared" si="146"/>
        <v>29</v>
      </c>
      <c r="P171" s="75">
        <f ca="1" t="shared" si="146"/>
        <v>29</v>
      </c>
      <c r="Q171" s="75">
        <f ca="1" t="shared" si="146"/>
        <v>29</v>
      </c>
      <c r="R171" s="75">
        <f ca="1" t="shared" si="146"/>
        <v>27</v>
      </c>
      <c r="S171" s="75">
        <f ca="1" t="shared" si="146"/>
        <v>27</v>
      </c>
      <c r="T171" s="75">
        <f ca="1" t="shared" si="146"/>
        <v>26</v>
      </c>
      <c r="U171" s="75">
        <f ca="1" t="shared" si="146"/>
        <v>21</v>
      </c>
      <c r="V171" s="75">
        <f ca="1" t="shared" si="146"/>
        <v>21</v>
      </c>
      <c r="W171" s="75">
        <f ca="1" t="shared" si="136"/>
        <v>20</v>
      </c>
      <c r="X171" s="75">
        <f ca="1" t="shared" si="137"/>
        <v>19</v>
      </c>
      <c r="Y171" s="75">
        <f ca="1" t="shared" si="138"/>
        <v>18</v>
      </c>
    </row>
    <row r="172" ht="16.5" spans="1:25">
      <c r="A172" s="74">
        <v>114</v>
      </c>
      <c r="B172" s="65">
        <v>139</v>
      </c>
      <c r="C172" s="75">
        <f>INT(产出预期!M158)</f>
        <v>16616</v>
      </c>
      <c r="D172" s="75">
        <f ca="1" t="shared" ref="D172:V172" si="147">IFERROR(MATCH(D477*10,OFFSET($AS$339:$AS$388,0,D$335),1),0)</f>
        <v>43</v>
      </c>
      <c r="E172" s="75">
        <f ca="1" t="shared" si="147"/>
        <v>43</v>
      </c>
      <c r="F172" s="75">
        <f ca="1" t="shared" si="147"/>
        <v>43</v>
      </c>
      <c r="G172" s="75">
        <f ca="1" t="shared" si="147"/>
        <v>34</v>
      </c>
      <c r="H172" s="75">
        <f ca="1" t="shared" si="147"/>
        <v>34</v>
      </c>
      <c r="I172" s="75">
        <f ca="1" t="shared" si="147"/>
        <v>34</v>
      </c>
      <c r="J172" s="75">
        <f ca="1" t="shared" si="147"/>
        <v>34</v>
      </c>
      <c r="K172" s="75">
        <f ca="1" t="shared" si="147"/>
        <v>34</v>
      </c>
      <c r="L172" s="75">
        <f ca="1" t="shared" si="147"/>
        <v>34</v>
      </c>
      <c r="M172" s="75">
        <f ca="1" t="shared" si="147"/>
        <v>30</v>
      </c>
      <c r="N172" s="75">
        <f ca="1" t="shared" si="147"/>
        <v>29</v>
      </c>
      <c r="O172" s="75">
        <f ca="1" t="shared" si="147"/>
        <v>29</v>
      </c>
      <c r="P172" s="75">
        <f ca="1" t="shared" si="147"/>
        <v>29</v>
      </c>
      <c r="Q172" s="75">
        <f ca="1" t="shared" si="147"/>
        <v>29</v>
      </c>
      <c r="R172" s="75">
        <f ca="1" t="shared" si="147"/>
        <v>27</v>
      </c>
      <c r="S172" s="75">
        <f ca="1" t="shared" si="147"/>
        <v>27</v>
      </c>
      <c r="T172" s="75">
        <f ca="1" t="shared" si="147"/>
        <v>26</v>
      </c>
      <c r="U172" s="75">
        <f ca="1" t="shared" si="147"/>
        <v>21</v>
      </c>
      <c r="V172" s="75">
        <f ca="1" t="shared" si="147"/>
        <v>21</v>
      </c>
      <c r="W172" s="75">
        <f ca="1" t="shared" si="136"/>
        <v>20</v>
      </c>
      <c r="X172" s="75">
        <f ca="1" t="shared" si="137"/>
        <v>19</v>
      </c>
      <c r="Y172" s="75">
        <f ca="1" t="shared" si="138"/>
        <v>18</v>
      </c>
    </row>
    <row r="173" ht="16.5" spans="1:25">
      <c r="A173" s="74">
        <v>114</v>
      </c>
      <c r="B173" s="65">
        <v>140</v>
      </c>
      <c r="C173" s="75">
        <f>INT(产出预期!M159)</f>
        <v>16726</v>
      </c>
      <c r="D173" s="75">
        <f ca="1" t="shared" ref="D173:V173" si="148">IFERROR(MATCH(D478*10,OFFSET($AS$339:$AS$388,0,D$335),1),0)</f>
        <v>43</v>
      </c>
      <c r="E173" s="75">
        <f ca="1" t="shared" si="148"/>
        <v>43</v>
      </c>
      <c r="F173" s="75">
        <f ca="1" t="shared" si="148"/>
        <v>43</v>
      </c>
      <c r="G173" s="75">
        <f ca="1" t="shared" si="148"/>
        <v>34</v>
      </c>
      <c r="H173" s="75">
        <f ca="1" t="shared" si="148"/>
        <v>34</v>
      </c>
      <c r="I173" s="75">
        <f ca="1" t="shared" si="148"/>
        <v>34</v>
      </c>
      <c r="J173" s="75">
        <f ca="1" t="shared" si="148"/>
        <v>34</v>
      </c>
      <c r="K173" s="75">
        <f ca="1" t="shared" si="148"/>
        <v>34</v>
      </c>
      <c r="L173" s="75">
        <f ca="1" t="shared" si="148"/>
        <v>34</v>
      </c>
      <c r="M173" s="75">
        <f ca="1" t="shared" si="148"/>
        <v>30</v>
      </c>
      <c r="N173" s="75">
        <f ca="1" t="shared" si="148"/>
        <v>29</v>
      </c>
      <c r="O173" s="75">
        <f ca="1" t="shared" si="148"/>
        <v>29</v>
      </c>
      <c r="P173" s="75">
        <f ca="1" t="shared" si="148"/>
        <v>29</v>
      </c>
      <c r="Q173" s="75">
        <f ca="1" t="shared" si="148"/>
        <v>29</v>
      </c>
      <c r="R173" s="75">
        <f ca="1" t="shared" si="148"/>
        <v>28</v>
      </c>
      <c r="S173" s="75">
        <f ca="1" t="shared" si="148"/>
        <v>27</v>
      </c>
      <c r="T173" s="75">
        <f ca="1" t="shared" si="148"/>
        <v>26</v>
      </c>
      <c r="U173" s="75">
        <f ca="1" t="shared" si="148"/>
        <v>21</v>
      </c>
      <c r="V173" s="75">
        <f ca="1" t="shared" si="148"/>
        <v>21</v>
      </c>
      <c r="W173" s="75">
        <f ca="1" t="shared" si="136"/>
        <v>20</v>
      </c>
      <c r="X173" s="75">
        <f ca="1" t="shared" si="137"/>
        <v>19</v>
      </c>
      <c r="Y173" s="75">
        <f ca="1" t="shared" si="138"/>
        <v>18</v>
      </c>
    </row>
    <row r="174" ht="16.5" spans="1:25">
      <c r="A174" s="74">
        <v>114</v>
      </c>
      <c r="B174" s="65">
        <v>141</v>
      </c>
      <c r="C174" s="75">
        <f>INT(产出预期!M160)</f>
        <v>16836</v>
      </c>
      <c r="D174" s="75">
        <f ca="1" t="shared" ref="D174:V174" si="149">IFERROR(MATCH(D479*10,OFFSET($AS$339:$AS$388,0,D$335),1),0)</f>
        <v>43</v>
      </c>
      <c r="E174" s="75">
        <f ca="1" t="shared" si="149"/>
        <v>43</v>
      </c>
      <c r="F174" s="75">
        <f ca="1" t="shared" si="149"/>
        <v>43</v>
      </c>
      <c r="G174" s="75">
        <f ca="1" t="shared" si="149"/>
        <v>34</v>
      </c>
      <c r="H174" s="75">
        <f ca="1" t="shared" si="149"/>
        <v>34</v>
      </c>
      <c r="I174" s="75">
        <f ca="1" t="shared" si="149"/>
        <v>34</v>
      </c>
      <c r="J174" s="75">
        <f ca="1" t="shared" si="149"/>
        <v>34</v>
      </c>
      <c r="K174" s="75">
        <f ca="1" t="shared" si="149"/>
        <v>34</v>
      </c>
      <c r="L174" s="75">
        <f ca="1" t="shared" si="149"/>
        <v>34</v>
      </c>
      <c r="M174" s="75">
        <f ca="1" t="shared" si="149"/>
        <v>30</v>
      </c>
      <c r="N174" s="75">
        <f ca="1" t="shared" si="149"/>
        <v>29</v>
      </c>
      <c r="O174" s="75">
        <f ca="1" t="shared" si="149"/>
        <v>29</v>
      </c>
      <c r="P174" s="75">
        <f ca="1" t="shared" si="149"/>
        <v>29</v>
      </c>
      <c r="Q174" s="75">
        <f ca="1" t="shared" si="149"/>
        <v>29</v>
      </c>
      <c r="R174" s="75">
        <f ca="1" t="shared" si="149"/>
        <v>28</v>
      </c>
      <c r="S174" s="75">
        <f ca="1" t="shared" si="149"/>
        <v>27</v>
      </c>
      <c r="T174" s="75">
        <f ca="1" t="shared" si="149"/>
        <v>26</v>
      </c>
      <c r="U174" s="75">
        <f ca="1" t="shared" si="149"/>
        <v>21</v>
      </c>
      <c r="V174" s="75">
        <f ca="1" t="shared" si="149"/>
        <v>21</v>
      </c>
      <c r="W174" s="75">
        <f ca="1" t="shared" si="136"/>
        <v>20</v>
      </c>
      <c r="X174" s="75">
        <f ca="1" t="shared" si="137"/>
        <v>19</v>
      </c>
      <c r="Y174" s="75">
        <f ca="1" t="shared" si="138"/>
        <v>18</v>
      </c>
    </row>
    <row r="175" ht="16.5" spans="1:25">
      <c r="A175" s="74">
        <v>115</v>
      </c>
      <c r="B175" s="65">
        <v>142</v>
      </c>
      <c r="C175" s="75">
        <f>INT(产出预期!M161)</f>
        <v>16946</v>
      </c>
      <c r="D175" s="75">
        <f ca="1" t="shared" ref="D175:V175" si="150">IFERROR(MATCH(D480*10,OFFSET($AS$339:$AS$388,0,D$335),1),0)</f>
        <v>43</v>
      </c>
      <c r="E175" s="75">
        <f ca="1" t="shared" si="150"/>
        <v>43</v>
      </c>
      <c r="F175" s="75">
        <f ca="1" t="shared" si="150"/>
        <v>43</v>
      </c>
      <c r="G175" s="75">
        <f ca="1" t="shared" si="150"/>
        <v>34</v>
      </c>
      <c r="H175" s="75">
        <f ca="1" t="shared" si="150"/>
        <v>34</v>
      </c>
      <c r="I175" s="75">
        <f ca="1" t="shared" si="150"/>
        <v>34</v>
      </c>
      <c r="J175" s="75">
        <f ca="1" t="shared" si="150"/>
        <v>34</v>
      </c>
      <c r="K175" s="75">
        <f ca="1" t="shared" si="150"/>
        <v>34</v>
      </c>
      <c r="L175" s="75">
        <f ca="1" t="shared" si="150"/>
        <v>34</v>
      </c>
      <c r="M175" s="75">
        <f ca="1" t="shared" si="150"/>
        <v>30</v>
      </c>
      <c r="N175" s="75">
        <f ca="1" t="shared" si="150"/>
        <v>30</v>
      </c>
      <c r="O175" s="75">
        <f ca="1" t="shared" si="150"/>
        <v>29</v>
      </c>
      <c r="P175" s="75">
        <f ca="1" t="shared" si="150"/>
        <v>29</v>
      </c>
      <c r="Q175" s="75">
        <f ca="1" t="shared" si="150"/>
        <v>29</v>
      </c>
      <c r="R175" s="75">
        <f ca="1" t="shared" si="150"/>
        <v>28</v>
      </c>
      <c r="S175" s="75">
        <f ca="1" t="shared" si="150"/>
        <v>27</v>
      </c>
      <c r="T175" s="75">
        <f ca="1" t="shared" si="150"/>
        <v>26</v>
      </c>
      <c r="U175" s="75">
        <f ca="1" t="shared" si="150"/>
        <v>21</v>
      </c>
      <c r="V175" s="75">
        <f ca="1" t="shared" si="150"/>
        <v>21</v>
      </c>
      <c r="W175" s="75">
        <f ca="1" t="shared" si="136"/>
        <v>20</v>
      </c>
      <c r="X175" s="75">
        <f ca="1" t="shared" si="137"/>
        <v>19</v>
      </c>
      <c r="Y175" s="75">
        <f ca="1" t="shared" si="138"/>
        <v>18</v>
      </c>
    </row>
    <row r="176" ht="16.5" spans="1:25">
      <c r="A176" s="74">
        <v>115</v>
      </c>
      <c r="B176" s="65">
        <v>143</v>
      </c>
      <c r="C176" s="75">
        <f>INT(产出预期!M162)</f>
        <v>17056</v>
      </c>
      <c r="D176" s="75">
        <f ca="1" t="shared" ref="D176:V176" si="151">IFERROR(MATCH(D481*10,OFFSET($AS$339:$AS$388,0,D$335),1),0)</f>
        <v>43</v>
      </c>
      <c r="E176" s="75">
        <f ca="1" t="shared" si="151"/>
        <v>43</v>
      </c>
      <c r="F176" s="75">
        <f ca="1" t="shared" si="151"/>
        <v>43</v>
      </c>
      <c r="G176" s="75">
        <f ca="1" t="shared" si="151"/>
        <v>34</v>
      </c>
      <c r="H176" s="75">
        <f ca="1" t="shared" si="151"/>
        <v>34</v>
      </c>
      <c r="I176" s="75">
        <f ca="1" t="shared" si="151"/>
        <v>34</v>
      </c>
      <c r="J176" s="75">
        <f ca="1" t="shared" si="151"/>
        <v>34</v>
      </c>
      <c r="K176" s="75">
        <f ca="1" t="shared" si="151"/>
        <v>34</v>
      </c>
      <c r="L176" s="75">
        <f ca="1" t="shared" si="151"/>
        <v>34</v>
      </c>
      <c r="M176" s="75">
        <f ca="1" t="shared" si="151"/>
        <v>30</v>
      </c>
      <c r="N176" s="75">
        <f ca="1" t="shared" si="151"/>
        <v>30</v>
      </c>
      <c r="O176" s="75">
        <f ca="1" t="shared" si="151"/>
        <v>30</v>
      </c>
      <c r="P176" s="75">
        <f ca="1" t="shared" si="151"/>
        <v>29</v>
      </c>
      <c r="Q176" s="75">
        <f ca="1" t="shared" si="151"/>
        <v>29</v>
      </c>
      <c r="R176" s="75">
        <f ca="1" t="shared" si="151"/>
        <v>28</v>
      </c>
      <c r="S176" s="75">
        <f ca="1" t="shared" si="151"/>
        <v>27</v>
      </c>
      <c r="T176" s="75">
        <f ca="1" t="shared" si="151"/>
        <v>26</v>
      </c>
      <c r="U176" s="75">
        <f ca="1" t="shared" si="151"/>
        <v>21</v>
      </c>
      <c r="V176" s="75">
        <f ca="1" t="shared" si="151"/>
        <v>21</v>
      </c>
      <c r="W176" s="75">
        <f ca="1" t="shared" si="136"/>
        <v>20</v>
      </c>
      <c r="X176" s="75">
        <f ca="1" t="shared" si="137"/>
        <v>19</v>
      </c>
      <c r="Y176" s="75">
        <f ca="1" t="shared" si="138"/>
        <v>18</v>
      </c>
    </row>
    <row r="177" ht="16.5" spans="1:25">
      <c r="A177" s="74">
        <v>115</v>
      </c>
      <c r="B177" s="65">
        <v>144</v>
      </c>
      <c r="C177" s="75">
        <f>INT(产出预期!M163)</f>
        <v>17166</v>
      </c>
      <c r="D177" s="75">
        <f ca="1" t="shared" ref="D177:V177" si="152">IFERROR(MATCH(D482*10,OFFSET($AS$339:$AS$388,0,D$335),1),0)</f>
        <v>43</v>
      </c>
      <c r="E177" s="75">
        <f ca="1" t="shared" si="152"/>
        <v>43</v>
      </c>
      <c r="F177" s="75">
        <f ca="1" t="shared" si="152"/>
        <v>43</v>
      </c>
      <c r="G177" s="75">
        <f ca="1" t="shared" si="152"/>
        <v>34</v>
      </c>
      <c r="H177" s="75">
        <f ca="1" t="shared" si="152"/>
        <v>34</v>
      </c>
      <c r="I177" s="75">
        <f ca="1" t="shared" si="152"/>
        <v>34</v>
      </c>
      <c r="J177" s="75">
        <f ca="1" t="shared" si="152"/>
        <v>34</v>
      </c>
      <c r="K177" s="75">
        <f ca="1" t="shared" si="152"/>
        <v>34</v>
      </c>
      <c r="L177" s="75">
        <f ca="1" t="shared" si="152"/>
        <v>34</v>
      </c>
      <c r="M177" s="75">
        <f ca="1" t="shared" si="152"/>
        <v>30</v>
      </c>
      <c r="N177" s="75">
        <f ca="1" t="shared" si="152"/>
        <v>30</v>
      </c>
      <c r="O177" s="75">
        <f ca="1" t="shared" si="152"/>
        <v>30</v>
      </c>
      <c r="P177" s="75">
        <f ca="1" t="shared" si="152"/>
        <v>29</v>
      </c>
      <c r="Q177" s="75">
        <f ca="1" t="shared" si="152"/>
        <v>29</v>
      </c>
      <c r="R177" s="75">
        <f ca="1" t="shared" si="152"/>
        <v>28</v>
      </c>
      <c r="S177" s="75">
        <f ca="1" t="shared" si="152"/>
        <v>27</v>
      </c>
      <c r="T177" s="75">
        <f ca="1" t="shared" si="152"/>
        <v>26</v>
      </c>
      <c r="U177" s="75">
        <f ca="1" t="shared" si="152"/>
        <v>21</v>
      </c>
      <c r="V177" s="75">
        <f ca="1" t="shared" si="152"/>
        <v>21</v>
      </c>
      <c r="W177" s="75">
        <f ca="1" t="shared" si="136"/>
        <v>20</v>
      </c>
      <c r="X177" s="75">
        <f ca="1" t="shared" si="137"/>
        <v>19</v>
      </c>
      <c r="Y177" s="75">
        <f ca="1" t="shared" si="138"/>
        <v>18</v>
      </c>
    </row>
    <row r="178" ht="16.5" spans="1:25">
      <c r="A178" s="74">
        <v>116</v>
      </c>
      <c r="B178" s="65">
        <v>145</v>
      </c>
      <c r="C178" s="75">
        <f>INT(产出预期!M164)</f>
        <v>17276</v>
      </c>
      <c r="D178" s="75">
        <f ca="1" t="shared" ref="D178:V178" si="153">IFERROR(MATCH(D483*10,OFFSET($AS$339:$AS$388,0,D$335),1),0)</f>
        <v>43</v>
      </c>
      <c r="E178" s="75">
        <f ca="1" t="shared" si="153"/>
        <v>43</v>
      </c>
      <c r="F178" s="75">
        <f ca="1" t="shared" si="153"/>
        <v>43</v>
      </c>
      <c r="G178" s="75">
        <f ca="1" t="shared" si="153"/>
        <v>34</v>
      </c>
      <c r="H178" s="75">
        <f ca="1" t="shared" si="153"/>
        <v>34</v>
      </c>
      <c r="I178" s="75">
        <f ca="1" t="shared" si="153"/>
        <v>34</v>
      </c>
      <c r="J178" s="75">
        <f ca="1" t="shared" si="153"/>
        <v>34</v>
      </c>
      <c r="K178" s="75">
        <f ca="1" t="shared" si="153"/>
        <v>34</v>
      </c>
      <c r="L178" s="75">
        <f ca="1" t="shared" si="153"/>
        <v>34</v>
      </c>
      <c r="M178" s="75">
        <f ca="1" t="shared" si="153"/>
        <v>30</v>
      </c>
      <c r="N178" s="75">
        <f ca="1" t="shared" si="153"/>
        <v>30</v>
      </c>
      <c r="O178" s="75">
        <f ca="1" t="shared" si="153"/>
        <v>30</v>
      </c>
      <c r="P178" s="75">
        <f ca="1" t="shared" si="153"/>
        <v>29</v>
      </c>
      <c r="Q178" s="75">
        <f ca="1" t="shared" si="153"/>
        <v>29</v>
      </c>
      <c r="R178" s="75">
        <f ca="1" t="shared" si="153"/>
        <v>28</v>
      </c>
      <c r="S178" s="75">
        <f ca="1" t="shared" si="153"/>
        <v>27</v>
      </c>
      <c r="T178" s="75">
        <f ca="1" t="shared" si="153"/>
        <v>26</v>
      </c>
      <c r="U178" s="75">
        <f ca="1" t="shared" si="153"/>
        <v>21</v>
      </c>
      <c r="V178" s="75">
        <f ca="1" t="shared" si="153"/>
        <v>21</v>
      </c>
      <c r="W178" s="75">
        <f ca="1" t="shared" si="136"/>
        <v>20</v>
      </c>
      <c r="X178" s="75">
        <f ca="1" t="shared" si="137"/>
        <v>19</v>
      </c>
      <c r="Y178" s="75">
        <f ca="1" t="shared" si="138"/>
        <v>18</v>
      </c>
    </row>
    <row r="179" ht="16.5" spans="1:25">
      <c r="A179" s="74">
        <v>116</v>
      </c>
      <c r="B179" s="65">
        <v>146</v>
      </c>
      <c r="C179" s="75">
        <f>INT(产出预期!M165)</f>
        <v>17386</v>
      </c>
      <c r="D179" s="75">
        <f ca="1" t="shared" ref="D179:V179" si="154">IFERROR(MATCH(D484*10,OFFSET($AS$339:$AS$388,0,D$335),1),0)</f>
        <v>43</v>
      </c>
      <c r="E179" s="75">
        <f ca="1" t="shared" si="154"/>
        <v>43</v>
      </c>
      <c r="F179" s="75">
        <f ca="1" t="shared" si="154"/>
        <v>43</v>
      </c>
      <c r="G179" s="75">
        <f ca="1" t="shared" si="154"/>
        <v>34</v>
      </c>
      <c r="H179" s="75">
        <f ca="1" t="shared" si="154"/>
        <v>34</v>
      </c>
      <c r="I179" s="75">
        <f ca="1" t="shared" si="154"/>
        <v>34</v>
      </c>
      <c r="J179" s="75">
        <f ca="1" t="shared" si="154"/>
        <v>34</v>
      </c>
      <c r="K179" s="75">
        <f ca="1" t="shared" si="154"/>
        <v>34</v>
      </c>
      <c r="L179" s="75">
        <f ca="1" t="shared" si="154"/>
        <v>34</v>
      </c>
      <c r="M179" s="75">
        <f ca="1" t="shared" si="154"/>
        <v>30</v>
      </c>
      <c r="N179" s="75">
        <f ca="1" t="shared" si="154"/>
        <v>30</v>
      </c>
      <c r="O179" s="75">
        <f ca="1" t="shared" si="154"/>
        <v>30</v>
      </c>
      <c r="P179" s="75">
        <f ca="1" t="shared" si="154"/>
        <v>29</v>
      </c>
      <c r="Q179" s="75">
        <f ca="1" t="shared" si="154"/>
        <v>29</v>
      </c>
      <c r="R179" s="75">
        <f ca="1" t="shared" si="154"/>
        <v>28</v>
      </c>
      <c r="S179" s="75">
        <f ca="1" t="shared" si="154"/>
        <v>27</v>
      </c>
      <c r="T179" s="75">
        <f ca="1" t="shared" si="154"/>
        <v>26</v>
      </c>
      <c r="U179" s="75">
        <f ca="1" t="shared" si="154"/>
        <v>21</v>
      </c>
      <c r="V179" s="75">
        <f ca="1" t="shared" si="154"/>
        <v>21</v>
      </c>
      <c r="W179" s="75">
        <f ca="1" t="shared" si="136"/>
        <v>20</v>
      </c>
      <c r="X179" s="75">
        <f ca="1" t="shared" si="137"/>
        <v>19</v>
      </c>
      <c r="Y179" s="75">
        <f ca="1" t="shared" si="138"/>
        <v>18</v>
      </c>
    </row>
    <row r="180" ht="16.5" spans="1:25">
      <c r="A180" s="74">
        <v>116</v>
      </c>
      <c r="B180" s="65">
        <v>147</v>
      </c>
      <c r="C180" s="75">
        <f>INT(产出预期!M166)</f>
        <v>17496</v>
      </c>
      <c r="D180" s="75">
        <f ca="1" t="shared" ref="D180:V180" si="155">IFERROR(MATCH(D485*10,OFFSET($AS$339:$AS$388,0,D$335),1),0)</f>
        <v>43</v>
      </c>
      <c r="E180" s="75">
        <f ca="1" t="shared" si="155"/>
        <v>43</v>
      </c>
      <c r="F180" s="75">
        <f ca="1" t="shared" si="155"/>
        <v>43</v>
      </c>
      <c r="G180" s="75">
        <f ca="1" t="shared" si="155"/>
        <v>34</v>
      </c>
      <c r="H180" s="75">
        <f ca="1" t="shared" si="155"/>
        <v>34</v>
      </c>
      <c r="I180" s="75">
        <f ca="1" t="shared" si="155"/>
        <v>34</v>
      </c>
      <c r="J180" s="75">
        <f ca="1" t="shared" si="155"/>
        <v>34</v>
      </c>
      <c r="K180" s="75">
        <f ca="1" t="shared" si="155"/>
        <v>34</v>
      </c>
      <c r="L180" s="75">
        <f ca="1" t="shared" si="155"/>
        <v>34</v>
      </c>
      <c r="M180" s="75">
        <f ca="1" t="shared" si="155"/>
        <v>30</v>
      </c>
      <c r="N180" s="75">
        <f ca="1" t="shared" si="155"/>
        <v>30</v>
      </c>
      <c r="O180" s="75">
        <f ca="1" t="shared" si="155"/>
        <v>30</v>
      </c>
      <c r="P180" s="75">
        <f ca="1" t="shared" si="155"/>
        <v>29</v>
      </c>
      <c r="Q180" s="75">
        <f ca="1" t="shared" si="155"/>
        <v>29</v>
      </c>
      <c r="R180" s="75">
        <f ca="1" t="shared" si="155"/>
        <v>28</v>
      </c>
      <c r="S180" s="75">
        <f ca="1" t="shared" si="155"/>
        <v>27</v>
      </c>
      <c r="T180" s="75">
        <f ca="1" t="shared" si="155"/>
        <v>26</v>
      </c>
      <c r="U180" s="75">
        <f ca="1" t="shared" si="155"/>
        <v>21</v>
      </c>
      <c r="V180" s="75">
        <f ca="1" t="shared" si="155"/>
        <v>21</v>
      </c>
      <c r="W180" s="75">
        <f ca="1" t="shared" si="136"/>
        <v>20</v>
      </c>
      <c r="X180" s="75">
        <f ca="1" t="shared" si="137"/>
        <v>19</v>
      </c>
      <c r="Y180" s="75">
        <f ca="1" t="shared" si="138"/>
        <v>18</v>
      </c>
    </row>
    <row r="181" ht="16.5" spans="1:25">
      <c r="A181" s="74">
        <v>117</v>
      </c>
      <c r="B181" s="65">
        <v>148</v>
      </c>
      <c r="C181" s="75">
        <f>INT(产出预期!M167)</f>
        <v>17606</v>
      </c>
      <c r="D181" s="75">
        <f ca="1" t="shared" ref="D181:V181" si="156">IFERROR(MATCH(D486*10,OFFSET($AS$339:$AS$388,0,D$335),1),0)</f>
        <v>43</v>
      </c>
      <c r="E181" s="75">
        <f ca="1" t="shared" si="156"/>
        <v>43</v>
      </c>
      <c r="F181" s="75">
        <f ca="1" t="shared" si="156"/>
        <v>43</v>
      </c>
      <c r="G181" s="75">
        <f ca="1" t="shared" si="156"/>
        <v>34</v>
      </c>
      <c r="H181" s="75">
        <f ca="1" t="shared" si="156"/>
        <v>34</v>
      </c>
      <c r="I181" s="75">
        <f ca="1" t="shared" si="156"/>
        <v>34</v>
      </c>
      <c r="J181" s="75">
        <f ca="1" t="shared" si="156"/>
        <v>34</v>
      </c>
      <c r="K181" s="75">
        <f ca="1" t="shared" si="156"/>
        <v>34</v>
      </c>
      <c r="L181" s="75">
        <f ca="1" t="shared" si="156"/>
        <v>34</v>
      </c>
      <c r="M181" s="75">
        <f ca="1" t="shared" si="156"/>
        <v>30</v>
      </c>
      <c r="N181" s="75">
        <f ca="1" t="shared" si="156"/>
        <v>30</v>
      </c>
      <c r="O181" s="75">
        <f ca="1" t="shared" si="156"/>
        <v>30</v>
      </c>
      <c r="P181" s="75">
        <f ca="1" t="shared" si="156"/>
        <v>29</v>
      </c>
      <c r="Q181" s="75">
        <f ca="1" t="shared" si="156"/>
        <v>29</v>
      </c>
      <c r="R181" s="75">
        <f ca="1" t="shared" si="156"/>
        <v>28</v>
      </c>
      <c r="S181" s="75">
        <f ca="1" t="shared" si="156"/>
        <v>27</v>
      </c>
      <c r="T181" s="75">
        <f ca="1" t="shared" si="156"/>
        <v>26</v>
      </c>
      <c r="U181" s="75">
        <f ca="1" t="shared" si="156"/>
        <v>21</v>
      </c>
      <c r="V181" s="75">
        <f ca="1" t="shared" si="156"/>
        <v>21</v>
      </c>
      <c r="W181" s="75">
        <f ca="1" t="shared" si="136"/>
        <v>20</v>
      </c>
      <c r="X181" s="75">
        <f ca="1" t="shared" si="137"/>
        <v>19</v>
      </c>
      <c r="Y181" s="75">
        <f ca="1" t="shared" si="138"/>
        <v>18</v>
      </c>
    </row>
    <row r="182" ht="16.5" spans="1:25">
      <c r="A182" s="74">
        <v>117</v>
      </c>
      <c r="B182" s="65">
        <v>149</v>
      </c>
      <c r="C182" s="75">
        <f>INT(产出预期!M168)</f>
        <v>17716</v>
      </c>
      <c r="D182" s="75">
        <f ca="1" t="shared" ref="D182:V182" si="157">IFERROR(MATCH(D487*10,OFFSET($AS$339:$AS$388,0,D$335),1),0)</f>
        <v>43</v>
      </c>
      <c r="E182" s="75">
        <f ca="1" t="shared" si="157"/>
        <v>43</v>
      </c>
      <c r="F182" s="75">
        <f ca="1" t="shared" si="157"/>
        <v>43</v>
      </c>
      <c r="G182" s="75">
        <f ca="1" t="shared" si="157"/>
        <v>34</v>
      </c>
      <c r="H182" s="75">
        <f ca="1" t="shared" si="157"/>
        <v>34</v>
      </c>
      <c r="I182" s="75">
        <f ca="1" t="shared" si="157"/>
        <v>34</v>
      </c>
      <c r="J182" s="75">
        <f ca="1" t="shared" si="157"/>
        <v>34</v>
      </c>
      <c r="K182" s="75">
        <f ca="1" t="shared" si="157"/>
        <v>34</v>
      </c>
      <c r="L182" s="75">
        <f ca="1" t="shared" si="157"/>
        <v>34</v>
      </c>
      <c r="M182" s="75">
        <f ca="1" t="shared" si="157"/>
        <v>30</v>
      </c>
      <c r="N182" s="75">
        <f ca="1" t="shared" si="157"/>
        <v>30</v>
      </c>
      <c r="O182" s="75">
        <f ca="1" t="shared" si="157"/>
        <v>30</v>
      </c>
      <c r="P182" s="75">
        <f ca="1" t="shared" si="157"/>
        <v>29</v>
      </c>
      <c r="Q182" s="75">
        <f ca="1" t="shared" si="157"/>
        <v>29</v>
      </c>
      <c r="R182" s="75">
        <f ca="1" t="shared" si="157"/>
        <v>28</v>
      </c>
      <c r="S182" s="75">
        <f ca="1" t="shared" si="157"/>
        <v>27</v>
      </c>
      <c r="T182" s="75">
        <f ca="1" t="shared" si="157"/>
        <v>26</v>
      </c>
      <c r="U182" s="75">
        <f ca="1" t="shared" si="157"/>
        <v>21</v>
      </c>
      <c r="V182" s="75">
        <f ca="1" t="shared" si="157"/>
        <v>21</v>
      </c>
      <c r="W182" s="75">
        <f ca="1" t="shared" si="136"/>
        <v>20</v>
      </c>
      <c r="X182" s="75">
        <f ca="1" t="shared" si="137"/>
        <v>19</v>
      </c>
      <c r="Y182" s="75">
        <f ca="1" t="shared" si="138"/>
        <v>18</v>
      </c>
    </row>
    <row r="183" ht="16.5" spans="1:25">
      <c r="A183" s="74">
        <v>117</v>
      </c>
      <c r="B183" s="65">
        <v>150</v>
      </c>
      <c r="C183" s="75">
        <f>INT(产出预期!M169)</f>
        <v>17826</v>
      </c>
      <c r="D183" s="75">
        <f ca="1" t="shared" ref="D183:V183" si="158">IFERROR(MATCH(D488*10,OFFSET($AS$339:$AS$388,0,D$335),1),0)</f>
        <v>43</v>
      </c>
      <c r="E183" s="75">
        <f ca="1" t="shared" si="158"/>
        <v>43</v>
      </c>
      <c r="F183" s="75">
        <f ca="1" t="shared" si="158"/>
        <v>43</v>
      </c>
      <c r="G183" s="75">
        <f ca="1" t="shared" si="158"/>
        <v>34</v>
      </c>
      <c r="H183" s="75">
        <f ca="1" t="shared" si="158"/>
        <v>34</v>
      </c>
      <c r="I183" s="75">
        <f ca="1" t="shared" si="158"/>
        <v>34</v>
      </c>
      <c r="J183" s="75">
        <f ca="1" t="shared" si="158"/>
        <v>34</v>
      </c>
      <c r="K183" s="75">
        <f ca="1" t="shared" si="158"/>
        <v>34</v>
      </c>
      <c r="L183" s="75">
        <f ca="1" t="shared" si="158"/>
        <v>34</v>
      </c>
      <c r="M183" s="75">
        <f ca="1" t="shared" si="158"/>
        <v>30</v>
      </c>
      <c r="N183" s="75">
        <f ca="1" t="shared" si="158"/>
        <v>30</v>
      </c>
      <c r="O183" s="75">
        <f ca="1" t="shared" si="158"/>
        <v>30</v>
      </c>
      <c r="P183" s="75">
        <f ca="1" t="shared" si="158"/>
        <v>29</v>
      </c>
      <c r="Q183" s="75">
        <f ca="1" t="shared" si="158"/>
        <v>29</v>
      </c>
      <c r="R183" s="75">
        <f ca="1" t="shared" si="158"/>
        <v>28</v>
      </c>
      <c r="S183" s="75">
        <f ca="1" t="shared" si="158"/>
        <v>27</v>
      </c>
      <c r="T183" s="75">
        <f ca="1" t="shared" si="158"/>
        <v>26</v>
      </c>
      <c r="U183" s="75">
        <f ca="1" t="shared" si="158"/>
        <v>21</v>
      </c>
      <c r="V183" s="75">
        <f ca="1" t="shared" si="158"/>
        <v>21</v>
      </c>
      <c r="W183" s="75">
        <f ca="1" t="shared" si="136"/>
        <v>20</v>
      </c>
      <c r="X183" s="75">
        <f ca="1" t="shared" si="137"/>
        <v>19</v>
      </c>
      <c r="Y183" s="75">
        <f ca="1" t="shared" si="138"/>
        <v>18</v>
      </c>
    </row>
    <row r="184" ht="16.5" spans="1:25">
      <c r="A184" s="74">
        <v>118</v>
      </c>
      <c r="B184" s="65">
        <v>151</v>
      </c>
      <c r="C184" s="75">
        <f>INT(产出预期!M170)</f>
        <v>17936</v>
      </c>
      <c r="D184" s="75">
        <f ca="1" t="shared" ref="D184:V184" si="159">IFERROR(MATCH(D489*10,OFFSET($AS$339:$AS$388,0,D$335),1),0)</f>
        <v>43</v>
      </c>
      <c r="E184" s="75">
        <f ca="1" t="shared" si="159"/>
        <v>43</v>
      </c>
      <c r="F184" s="75">
        <f ca="1" t="shared" si="159"/>
        <v>43</v>
      </c>
      <c r="G184" s="75">
        <f ca="1" t="shared" si="159"/>
        <v>34</v>
      </c>
      <c r="H184" s="75">
        <f ca="1" t="shared" si="159"/>
        <v>34</v>
      </c>
      <c r="I184" s="75">
        <f ca="1" t="shared" si="159"/>
        <v>34</v>
      </c>
      <c r="J184" s="75">
        <f ca="1" t="shared" si="159"/>
        <v>34</v>
      </c>
      <c r="K184" s="75">
        <f ca="1" t="shared" si="159"/>
        <v>34</v>
      </c>
      <c r="L184" s="75">
        <f ca="1" t="shared" si="159"/>
        <v>34</v>
      </c>
      <c r="M184" s="75">
        <f ca="1" t="shared" si="159"/>
        <v>30</v>
      </c>
      <c r="N184" s="75">
        <f ca="1" t="shared" si="159"/>
        <v>30</v>
      </c>
      <c r="O184" s="75">
        <f ca="1" t="shared" si="159"/>
        <v>30</v>
      </c>
      <c r="P184" s="75">
        <f ca="1" t="shared" si="159"/>
        <v>29</v>
      </c>
      <c r="Q184" s="75">
        <f ca="1" t="shared" si="159"/>
        <v>29</v>
      </c>
      <c r="R184" s="75">
        <f ca="1" t="shared" si="159"/>
        <v>28</v>
      </c>
      <c r="S184" s="75">
        <f ca="1" t="shared" si="159"/>
        <v>27</v>
      </c>
      <c r="T184" s="75">
        <f ca="1" t="shared" si="159"/>
        <v>26</v>
      </c>
      <c r="U184" s="75">
        <f ca="1" t="shared" si="159"/>
        <v>21</v>
      </c>
      <c r="V184" s="75">
        <f ca="1" t="shared" si="159"/>
        <v>21</v>
      </c>
      <c r="W184" s="75">
        <f ca="1" t="shared" si="136"/>
        <v>20</v>
      </c>
      <c r="X184" s="75">
        <f ca="1" t="shared" si="137"/>
        <v>19</v>
      </c>
      <c r="Y184" s="75">
        <f ca="1" t="shared" si="138"/>
        <v>18</v>
      </c>
    </row>
    <row r="185" ht="16.5" spans="1:25">
      <c r="A185" s="74">
        <v>118</v>
      </c>
      <c r="B185" s="65">
        <v>152</v>
      </c>
      <c r="C185" s="75">
        <f>INT(产出预期!M171)</f>
        <v>18046</v>
      </c>
      <c r="D185" s="75">
        <f ca="1" t="shared" ref="D185:V185" si="160">IFERROR(MATCH(D490*10,OFFSET($AS$339:$AS$388,0,D$335),1),0)</f>
        <v>43</v>
      </c>
      <c r="E185" s="75">
        <f ca="1" t="shared" si="160"/>
        <v>43</v>
      </c>
      <c r="F185" s="75">
        <f ca="1" t="shared" si="160"/>
        <v>43</v>
      </c>
      <c r="G185" s="75">
        <f ca="1" t="shared" si="160"/>
        <v>34</v>
      </c>
      <c r="H185" s="75">
        <f ca="1" t="shared" si="160"/>
        <v>34</v>
      </c>
      <c r="I185" s="75">
        <f ca="1" t="shared" si="160"/>
        <v>34</v>
      </c>
      <c r="J185" s="75">
        <f ca="1" t="shared" si="160"/>
        <v>34</v>
      </c>
      <c r="K185" s="75">
        <f ca="1" t="shared" si="160"/>
        <v>34</v>
      </c>
      <c r="L185" s="75">
        <f ca="1" t="shared" si="160"/>
        <v>34</v>
      </c>
      <c r="M185" s="75">
        <f ca="1" t="shared" si="160"/>
        <v>30</v>
      </c>
      <c r="N185" s="75">
        <f ca="1" t="shared" si="160"/>
        <v>30</v>
      </c>
      <c r="O185" s="75">
        <f ca="1" t="shared" si="160"/>
        <v>30</v>
      </c>
      <c r="P185" s="75">
        <f ca="1" t="shared" si="160"/>
        <v>30</v>
      </c>
      <c r="Q185" s="75">
        <f ca="1" t="shared" si="160"/>
        <v>29</v>
      </c>
      <c r="R185" s="75">
        <f ca="1" t="shared" si="160"/>
        <v>28</v>
      </c>
      <c r="S185" s="75">
        <f ca="1" t="shared" si="160"/>
        <v>28</v>
      </c>
      <c r="T185" s="75">
        <f ca="1" t="shared" si="160"/>
        <v>26</v>
      </c>
      <c r="U185" s="75">
        <f ca="1" t="shared" si="160"/>
        <v>21</v>
      </c>
      <c r="V185" s="75">
        <f ca="1" t="shared" si="160"/>
        <v>21</v>
      </c>
      <c r="W185" s="75">
        <f ca="1" t="shared" si="136"/>
        <v>20</v>
      </c>
      <c r="X185" s="75">
        <f ca="1" t="shared" si="137"/>
        <v>19</v>
      </c>
      <c r="Y185" s="75">
        <f ca="1" t="shared" si="138"/>
        <v>18</v>
      </c>
    </row>
    <row r="186" ht="16.5" spans="1:25">
      <c r="A186" s="74">
        <v>118</v>
      </c>
      <c r="B186" s="65">
        <v>153</v>
      </c>
      <c r="C186" s="75">
        <f>INT(产出预期!M172)</f>
        <v>18156</v>
      </c>
      <c r="D186" s="75">
        <f ca="1" t="shared" ref="D186:V186" si="161">IFERROR(MATCH(D491*10,OFFSET($AS$339:$AS$388,0,D$335),1),0)</f>
        <v>43</v>
      </c>
      <c r="E186" s="75">
        <f ca="1" t="shared" si="161"/>
        <v>43</v>
      </c>
      <c r="F186" s="75">
        <f ca="1" t="shared" si="161"/>
        <v>43</v>
      </c>
      <c r="G186" s="75">
        <f ca="1" t="shared" si="161"/>
        <v>34</v>
      </c>
      <c r="H186" s="75">
        <f ca="1" t="shared" si="161"/>
        <v>34</v>
      </c>
      <c r="I186" s="75">
        <f ca="1" t="shared" si="161"/>
        <v>34</v>
      </c>
      <c r="J186" s="75">
        <f ca="1" t="shared" si="161"/>
        <v>34</v>
      </c>
      <c r="K186" s="75">
        <f ca="1" t="shared" si="161"/>
        <v>34</v>
      </c>
      <c r="L186" s="75">
        <f ca="1" t="shared" si="161"/>
        <v>34</v>
      </c>
      <c r="M186" s="75">
        <f ca="1" t="shared" si="161"/>
        <v>30</v>
      </c>
      <c r="N186" s="75">
        <f ca="1" t="shared" si="161"/>
        <v>30</v>
      </c>
      <c r="O186" s="75">
        <f ca="1" t="shared" si="161"/>
        <v>30</v>
      </c>
      <c r="P186" s="75">
        <f ca="1" t="shared" si="161"/>
        <v>30</v>
      </c>
      <c r="Q186" s="75">
        <f ca="1" t="shared" si="161"/>
        <v>30</v>
      </c>
      <c r="R186" s="75">
        <f ca="1" t="shared" si="161"/>
        <v>28</v>
      </c>
      <c r="S186" s="75">
        <f ca="1" t="shared" si="161"/>
        <v>28</v>
      </c>
      <c r="T186" s="75">
        <f ca="1" t="shared" si="161"/>
        <v>26</v>
      </c>
      <c r="U186" s="75">
        <f ca="1" t="shared" si="161"/>
        <v>21</v>
      </c>
      <c r="V186" s="75">
        <f ca="1" t="shared" si="161"/>
        <v>21</v>
      </c>
      <c r="W186" s="75">
        <f ca="1" t="shared" si="136"/>
        <v>20</v>
      </c>
      <c r="X186" s="75">
        <f ca="1" t="shared" si="137"/>
        <v>19</v>
      </c>
      <c r="Y186" s="75">
        <f ca="1" t="shared" si="138"/>
        <v>18</v>
      </c>
    </row>
    <row r="187" ht="16.5" spans="1:25">
      <c r="A187" s="74">
        <v>119</v>
      </c>
      <c r="B187" s="65">
        <v>154</v>
      </c>
      <c r="C187" s="75">
        <f>INT(产出预期!M173)</f>
        <v>18266</v>
      </c>
      <c r="D187" s="75">
        <f ca="1" t="shared" ref="D187:V187" si="162">IFERROR(MATCH(D492*10,OFFSET($AS$339:$AS$388,0,D$335),1),0)</f>
        <v>43</v>
      </c>
      <c r="E187" s="75">
        <f ca="1" t="shared" si="162"/>
        <v>43</v>
      </c>
      <c r="F187" s="75">
        <f ca="1" t="shared" si="162"/>
        <v>43</v>
      </c>
      <c r="G187" s="75">
        <f ca="1" t="shared" si="162"/>
        <v>35</v>
      </c>
      <c r="H187" s="75">
        <f ca="1" t="shared" si="162"/>
        <v>35</v>
      </c>
      <c r="I187" s="75">
        <f ca="1" t="shared" si="162"/>
        <v>35</v>
      </c>
      <c r="J187" s="75">
        <f ca="1" t="shared" si="162"/>
        <v>35</v>
      </c>
      <c r="K187" s="75">
        <f ca="1" t="shared" si="162"/>
        <v>35</v>
      </c>
      <c r="L187" s="75">
        <f ca="1" t="shared" si="162"/>
        <v>34</v>
      </c>
      <c r="M187" s="75">
        <f ca="1" t="shared" si="162"/>
        <v>30</v>
      </c>
      <c r="N187" s="75">
        <f ca="1" t="shared" si="162"/>
        <v>30</v>
      </c>
      <c r="O187" s="75">
        <f ca="1" t="shared" si="162"/>
        <v>30</v>
      </c>
      <c r="P187" s="75">
        <f ca="1" t="shared" si="162"/>
        <v>30</v>
      </c>
      <c r="Q187" s="75">
        <f ca="1" t="shared" si="162"/>
        <v>30</v>
      </c>
      <c r="R187" s="75">
        <f ca="1" t="shared" si="162"/>
        <v>28</v>
      </c>
      <c r="S187" s="75">
        <f ca="1" t="shared" si="162"/>
        <v>28</v>
      </c>
      <c r="T187" s="75">
        <f ca="1" t="shared" si="162"/>
        <v>26</v>
      </c>
      <c r="U187" s="75">
        <f ca="1" t="shared" si="162"/>
        <v>21</v>
      </c>
      <c r="V187" s="75">
        <f ca="1" t="shared" si="162"/>
        <v>21</v>
      </c>
      <c r="W187" s="75">
        <f ca="1" t="shared" si="136"/>
        <v>20</v>
      </c>
      <c r="X187" s="75">
        <f ca="1" t="shared" si="137"/>
        <v>19</v>
      </c>
      <c r="Y187" s="75">
        <f ca="1" t="shared" si="138"/>
        <v>18</v>
      </c>
    </row>
    <row r="188" ht="16.5" spans="1:25">
      <c r="A188" s="74">
        <v>119</v>
      </c>
      <c r="B188" s="65">
        <v>155</v>
      </c>
      <c r="C188" s="75">
        <f>INT(产出预期!M174)</f>
        <v>18376</v>
      </c>
      <c r="D188" s="75">
        <f ca="1" t="shared" ref="D188:V188" si="163">IFERROR(MATCH(D493*10,OFFSET($AS$339:$AS$388,0,D$335),1),0)</f>
        <v>43</v>
      </c>
      <c r="E188" s="75">
        <f ca="1" t="shared" si="163"/>
        <v>43</v>
      </c>
      <c r="F188" s="75">
        <f ca="1" t="shared" si="163"/>
        <v>43</v>
      </c>
      <c r="G188" s="75">
        <f ca="1" t="shared" si="163"/>
        <v>35</v>
      </c>
      <c r="H188" s="75">
        <f ca="1" t="shared" si="163"/>
        <v>35</v>
      </c>
      <c r="I188" s="75">
        <f ca="1" t="shared" si="163"/>
        <v>35</v>
      </c>
      <c r="J188" s="75">
        <f ca="1" t="shared" si="163"/>
        <v>35</v>
      </c>
      <c r="K188" s="75">
        <f ca="1" t="shared" si="163"/>
        <v>35</v>
      </c>
      <c r="L188" s="75">
        <f ca="1" t="shared" si="163"/>
        <v>34</v>
      </c>
      <c r="M188" s="75">
        <f ca="1" t="shared" si="163"/>
        <v>30</v>
      </c>
      <c r="N188" s="75">
        <f ca="1" t="shared" si="163"/>
        <v>30</v>
      </c>
      <c r="O188" s="75">
        <f ca="1" t="shared" si="163"/>
        <v>30</v>
      </c>
      <c r="P188" s="75">
        <f ca="1" t="shared" si="163"/>
        <v>30</v>
      </c>
      <c r="Q188" s="75">
        <f ca="1" t="shared" si="163"/>
        <v>30</v>
      </c>
      <c r="R188" s="75">
        <f ca="1" t="shared" si="163"/>
        <v>28</v>
      </c>
      <c r="S188" s="75">
        <f ca="1" t="shared" si="163"/>
        <v>28</v>
      </c>
      <c r="T188" s="75">
        <f ca="1" t="shared" si="163"/>
        <v>26</v>
      </c>
      <c r="U188" s="75">
        <f ca="1" t="shared" si="163"/>
        <v>21</v>
      </c>
      <c r="V188" s="75">
        <f ca="1" t="shared" si="163"/>
        <v>21</v>
      </c>
      <c r="W188" s="75">
        <f ca="1" t="shared" si="136"/>
        <v>20</v>
      </c>
      <c r="X188" s="75">
        <f ca="1" t="shared" si="137"/>
        <v>19</v>
      </c>
      <c r="Y188" s="75">
        <f ca="1" t="shared" si="138"/>
        <v>18</v>
      </c>
    </row>
    <row r="189" ht="16.5" spans="1:25">
      <c r="A189" s="74">
        <v>119</v>
      </c>
      <c r="B189" s="65">
        <v>156</v>
      </c>
      <c r="C189" s="75">
        <f>INT(产出预期!M175)</f>
        <v>18486</v>
      </c>
      <c r="D189" s="75">
        <f ca="1" t="shared" ref="D189:V189" si="164">IFERROR(MATCH(D494*10,OFFSET($AS$339:$AS$388,0,D$335),1),0)</f>
        <v>43</v>
      </c>
      <c r="E189" s="75">
        <f ca="1" t="shared" si="164"/>
        <v>43</v>
      </c>
      <c r="F189" s="75">
        <f ca="1" t="shared" si="164"/>
        <v>43</v>
      </c>
      <c r="G189" s="75">
        <f ca="1" t="shared" si="164"/>
        <v>35</v>
      </c>
      <c r="H189" s="75">
        <f ca="1" t="shared" si="164"/>
        <v>35</v>
      </c>
      <c r="I189" s="75">
        <f ca="1" t="shared" si="164"/>
        <v>35</v>
      </c>
      <c r="J189" s="75">
        <f ca="1" t="shared" si="164"/>
        <v>35</v>
      </c>
      <c r="K189" s="75">
        <f ca="1" t="shared" si="164"/>
        <v>35</v>
      </c>
      <c r="L189" s="75">
        <f ca="1" t="shared" si="164"/>
        <v>34</v>
      </c>
      <c r="M189" s="75">
        <f ca="1" t="shared" si="164"/>
        <v>30</v>
      </c>
      <c r="N189" s="75">
        <f ca="1" t="shared" si="164"/>
        <v>30</v>
      </c>
      <c r="O189" s="75">
        <f ca="1" t="shared" si="164"/>
        <v>30</v>
      </c>
      <c r="P189" s="75">
        <f ca="1" t="shared" si="164"/>
        <v>30</v>
      </c>
      <c r="Q189" s="75">
        <f ca="1" t="shared" si="164"/>
        <v>30</v>
      </c>
      <c r="R189" s="75">
        <f ca="1" t="shared" si="164"/>
        <v>28</v>
      </c>
      <c r="S189" s="75">
        <f ca="1" t="shared" si="164"/>
        <v>28</v>
      </c>
      <c r="T189" s="75">
        <f ca="1" t="shared" si="164"/>
        <v>26</v>
      </c>
      <c r="U189" s="75">
        <f ca="1" t="shared" si="164"/>
        <v>21</v>
      </c>
      <c r="V189" s="75">
        <f ca="1" t="shared" si="164"/>
        <v>21</v>
      </c>
      <c r="W189" s="75">
        <f ca="1" t="shared" si="136"/>
        <v>20</v>
      </c>
      <c r="X189" s="75">
        <f ca="1" t="shared" si="137"/>
        <v>19</v>
      </c>
      <c r="Y189" s="75">
        <f ca="1" t="shared" si="138"/>
        <v>18</v>
      </c>
    </row>
    <row r="190" ht="16.5" spans="1:25">
      <c r="A190" s="74">
        <v>120</v>
      </c>
      <c r="B190" s="65">
        <v>157</v>
      </c>
      <c r="C190" s="75">
        <f>INT(产出预期!M176)</f>
        <v>18596</v>
      </c>
      <c r="D190" s="75">
        <f ca="1" t="shared" ref="D190:V190" si="165">IFERROR(MATCH(D495*10,OFFSET($AS$339:$AS$388,0,D$335),1),0)</f>
        <v>43</v>
      </c>
      <c r="E190" s="75">
        <f ca="1" t="shared" si="165"/>
        <v>43</v>
      </c>
      <c r="F190" s="75">
        <f ca="1" t="shared" si="165"/>
        <v>43</v>
      </c>
      <c r="G190" s="75">
        <f ca="1" t="shared" si="165"/>
        <v>35</v>
      </c>
      <c r="H190" s="75">
        <f ca="1" t="shared" si="165"/>
        <v>35</v>
      </c>
      <c r="I190" s="75">
        <f ca="1" t="shared" si="165"/>
        <v>35</v>
      </c>
      <c r="J190" s="75">
        <f ca="1" t="shared" si="165"/>
        <v>35</v>
      </c>
      <c r="K190" s="75">
        <f ca="1" t="shared" si="165"/>
        <v>35</v>
      </c>
      <c r="L190" s="75">
        <f ca="1" t="shared" si="165"/>
        <v>34</v>
      </c>
      <c r="M190" s="75">
        <f ca="1" t="shared" si="165"/>
        <v>30</v>
      </c>
      <c r="N190" s="75">
        <f ca="1" t="shared" si="165"/>
        <v>30</v>
      </c>
      <c r="O190" s="75">
        <f ca="1" t="shared" si="165"/>
        <v>30</v>
      </c>
      <c r="P190" s="75">
        <f ca="1" t="shared" si="165"/>
        <v>30</v>
      </c>
      <c r="Q190" s="75">
        <f ca="1" t="shared" si="165"/>
        <v>30</v>
      </c>
      <c r="R190" s="75">
        <f ca="1" t="shared" si="165"/>
        <v>28</v>
      </c>
      <c r="S190" s="75">
        <f ca="1" t="shared" si="165"/>
        <v>28</v>
      </c>
      <c r="T190" s="75">
        <f ca="1" t="shared" si="165"/>
        <v>26</v>
      </c>
      <c r="U190" s="75">
        <f ca="1" t="shared" si="165"/>
        <v>21</v>
      </c>
      <c r="V190" s="75">
        <f ca="1" t="shared" si="165"/>
        <v>21</v>
      </c>
      <c r="W190" s="75">
        <f ca="1" t="shared" si="136"/>
        <v>20</v>
      </c>
      <c r="X190" s="75">
        <f ca="1" t="shared" si="137"/>
        <v>19</v>
      </c>
      <c r="Y190" s="75">
        <f ca="1" t="shared" si="138"/>
        <v>18</v>
      </c>
    </row>
    <row r="191" ht="16.5" spans="1:25">
      <c r="A191" s="74">
        <v>120</v>
      </c>
      <c r="B191" s="65">
        <v>158</v>
      </c>
      <c r="C191" s="75">
        <f>INT(产出预期!M177)</f>
        <v>18706</v>
      </c>
      <c r="D191" s="75">
        <f ca="1" t="shared" ref="D191:V191" si="166">IFERROR(MATCH(D496*10,OFFSET($AS$339:$AS$388,0,D$335),1),0)</f>
        <v>43</v>
      </c>
      <c r="E191" s="75">
        <f ca="1" t="shared" si="166"/>
        <v>43</v>
      </c>
      <c r="F191" s="75">
        <f ca="1" t="shared" si="166"/>
        <v>43</v>
      </c>
      <c r="G191" s="75">
        <f ca="1" t="shared" si="166"/>
        <v>35</v>
      </c>
      <c r="H191" s="75">
        <f ca="1" t="shared" si="166"/>
        <v>35</v>
      </c>
      <c r="I191" s="75">
        <f ca="1" t="shared" si="166"/>
        <v>35</v>
      </c>
      <c r="J191" s="75">
        <f ca="1" t="shared" si="166"/>
        <v>35</v>
      </c>
      <c r="K191" s="75">
        <f ca="1" t="shared" si="166"/>
        <v>35</v>
      </c>
      <c r="L191" s="75">
        <f ca="1" t="shared" si="166"/>
        <v>34</v>
      </c>
      <c r="M191" s="75">
        <f ca="1" t="shared" si="166"/>
        <v>30</v>
      </c>
      <c r="N191" s="75">
        <f ca="1" t="shared" si="166"/>
        <v>30</v>
      </c>
      <c r="O191" s="75">
        <f ca="1" t="shared" si="166"/>
        <v>30</v>
      </c>
      <c r="P191" s="75">
        <f ca="1" t="shared" si="166"/>
        <v>30</v>
      </c>
      <c r="Q191" s="75">
        <f ca="1" t="shared" si="166"/>
        <v>30</v>
      </c>
      <c r="R191" s="75">
        <f ca="1" t="shared" si="166"/>
        <v>28</v>
      </c>
      <c r="S191" s="75">
        <f ca="1" t="shared" si="166"/>
        <v>28</v>
      </c>
      <c r="T191" s="75">
        <f ca="1" t="shared" si="166"/>
        <v>26</v>
      </c>
      <c r="U191" s="75">
        <f ca="1" t="shared" si="166"/>
        <v>21</v>
      </c>
      <c r="V191" s="75">
        <f ca="1" t="shared" si="166"/>
        <v>21</v>
      </c>
      <c r="W191" s="75">
        <f ca="1" t="shared" si="136"/>
        <v>20</v>
      </c>
      <c r="X191" s="75">
        <f ca="1" t="shared" si="137"/>
        <v>19</v>
      </c>
      <c r="Y191" s="75">
        <f ca="1" t="shared" si="138"/>
        <v>18</v>
      </c>
    </row>
    <row r="192" ht="16.5" spans="1:25">
      <c r="A192" s="74">
        <v>120</v>
      </c>
      <c r="B192" s="65">
        <v>159</v>
      </c>
      <c r="C192" s="75">
        <f>INT(产出预期!M178)</f>
        <v>18816</v>
      </c>
      <c r="D192" s="75">
        <f ca="1" t="shared" ref="D192:V192" si="167">IFERROR(MATCH(D497*10,OFFSET($AS$339:$AS$388,0,D$335),1),0)</f>
        <v>43</v>
      </c>
      <c r="E192" s="75">
        <f ca="1" t="shared" si="167"/>
        <v>43</v>
      </c>
      <c r="F192" s="75">
        <f ca="1" t="shared" si="167"/>
        <v>43</v>
      </c>
      <c r="G192" s="75">
        <f ca="1" t="shared" si="167"/>
        <v>35</v>
      </c>
      <c r="H192" s="75">
        <f ca="1" t="shared" si="167"/>
        <v>35</v>
      </c>
      <c r="I192" s="75">
        <f ca="1" t="shared" si="167"/>
        <v>35</v>
      </c>
      <c r="J192" s="75">
        <f ca="1" t="shared" si="167"/>
        <v>35</v>
      </c>
      <c r="K192" s="75">
        <f ca="1" t="shared" si="167"/>
        <v>35</v>
      </c>
      <c r="L192" s="75">
        <f ca="1" t="shared" si="167"/>
        <v>34</v>
      </c>
      <c r="M192" s="75">
        <f ca="1" t="shared" si="167"/>
        <v>30</v>
      </c>
      <c r="N192" s="75">
        <f ca="1" t="shared" si="167"/>
        <v>30</v>
      </c>
      <c r="O192" s="75">
        <f ca="1" t="shared" si="167"/>
        <v>30</v>
      </c>
      <c r="P192" s="75">
        <f ca="1" t="shared" si="167"/>
        <v>30</v>
      </c>
      <c r="Q192" s="75">
        <f ca="1" t="shared" si="167"/>
        <v>30</v>
      </c>
      <c r="R192" s="75">
        <f ca="1" t="shared" si="167"/>
        <v>28</v>
      </c>
      <c r="S192" s="75">
        <f ca="1" t="shared" si="167"/>
        <v>28</v>
      </c>
      <c r="T192" s="75">
        <f ca="1" t="shared" si="167"/>
        <v>26</v>
      </c>
      <c r="U192" s="75">
        <f ca="1" t="shared" si="167"/>
        <v>21</v>
      </c>
      <c r="V192" s="75">
        <f ca="1" t="shared" si="167"/>
        <v>21</v>
      </c>
      <c r="W192" s="75">
        <f ca="1" t="shared" si="136"/>
        <v>20</v>
      </c>
      <c r="X192" s="75">
        <f ca="1" t="shared" si="137"/>
        <v>19</v>
      </c>
      <c r="Y192" s="75">
        <f ca="1" t="shared" si="138"/>
        <v>18</v>
      </c>
    </row>
    <row r="193" ht="16.5" spans="1:25">
      <c r="A193" s="74">
        <v>121</v>
      </c>
      <c r="B193" s="65">
        <v>160</v>
      </c>
      <c r="C193" s="75">
        <f>INT(产出预期!M179)</f>
        <v>18926</v>
      </c>
      <c r="D193" s="75">
        <f ca="1" t="shared" ref="D193:V193" si="168">IFERROR(MATCH(D498*10,OFFSET($AS$339:$AS$388,0,D$335),1),0)</f>
        <v>43</v>
      </c>
      <c r="E193" s="75">
        <f ca="1" t="shared" si="168"/>
        <v>43</v>
      </c>
      <c r="F193" s="75">
        <f ca="1" t="shared" si="168"/>
        <v>43</v>
      </c>
      <c r="G193" s="75">
        <f ca="1" t="shared" si="168"/>
        <v>35</v>
      </c>
      <c r="H193" s="75">
        <f ca="1" t="shared" si="168"/>
        <v>35</v>
      </c>
      <c r="I193" s="75">
        <f ca="1" t="shared" si="168"/>
        <v>35</v>
      </c>
      <c r="J193" s="75">
        <f ca="1" t="shared" si="168"/>
        <v>35</v>
      </c>
      <c r="K193" s="75">
        <f ca="1" t="shared" si="168"/>
        <v>35</v>
      </c>
      <c r="L193" s="75">
        <f ca="1" t="shared" si="168"/>
        <v>34</v>
      </c>
      <c r="M193" s="75">
        <f ca="1" t="shared" si="168"/>
        <v>30</v>
      </c>
      <c r="N193" s="75">
        <f ca="1" t="shared" si="168"/>
        <v>30</v>
      </c>
      <c r="O193" s="75">
        <f ca="1" t="shared" si="168"/>
        <v>30</v>
      </c>
      <c r="P193" s="75">
        <f ca="1" t="shared" si="168"/>
        <v>30</v>
      </c>
      <c r="Q193" s="75">
        <f ca="1" t="shared" si="168"/>
        <v>30</v>
      </c>
      <c r="R193" s="75">
        <f ca="1" t="shared" si="168"/>
        <v>28</v>
      </c>
      <c r="S193" s="75">
        <f ca="1" t="shared" si="168"/>
        <v>28</v>
      </c>
      <c r="T193" s="75">
        <f ca="1" t="shared" si="168"/>
        <v>26</v>
      </c>
      <c r="U193" s="75">
        <f ca="1" t="shared" si="168"/>
        <v>21</v>
      </c>
      <c r="V193" s="75">
        <f ca="1" t="shared" si="168"/>
        <v>21</v>
      </c>
      <c r="W193" s="75">
        <f ca="1" t="shared" si="136"/>
        <v>20</v>
      </c>
      <c r="X193" s="75">
        <f ca="1" t="shared" si="137"/>
        <v>19</v>
      </c>
      <c r="Y193" s="75">
        <f ca="1" t="shared" si="138"/>
        <v>18</v>
      </c>
    </row>
    <row r="194" ht="16.5" spans="1:25">
      <c r="A194" s="74">
        <v>121</v>
      </c>
      <c r="B194" s="65">
        <v>161</v>
      </c>
      <c r="C194" s="75">
        <f>INT(产出预期!M180)</f>
        <v>19036</v>
      </c>
      <c r="D194" s="75">
        <f ca="1" t="shared" ref="D194:V194" si="169">IFERROR(MATCH(D499*10,OFFSET($AS$339:$AS$388,0,D$335),1),0)</f>
        <v>43</v>
      </c>
      <c r="E194" s="75">
        <f ca="1" t="shared" si="169"/>
        <v>43</v>
      </c>
      <c r="F194" s="75">
        <f ca="1" t="shared" si="169"/>
        <v>43</v>
      </c>
      <c r="G194" s="75">
        <f ca="1" t="shared" si="169"/>
        <v>35</v>
      </c>
      <c r="H194" s="75">
        <f ca="1" t="shared" si="169"/>
        <v>35</v>
      </c>
      <c r="I194" s="75">
        <f ca="1" t="shared" si="169"/>
        <v>35</v>
      </c>
      <c r="J194" s="75">
        <f ca="1" t="shared" si="169"/>
        <v>35</v>
      </c>
      <c r="K194" s="75">
        <f ca="1" t="shared" si="169"/>
        <v>35</v>
      </c>
      <c r="L194" s="75">
        <f ca="1" t="shared" si="169"/>
        <v>34</v>
      </c>
      <c r="M194" s="75">
        <f ca="1" t="shared" si="169"/>
        <v>30</v>
      </c>
      <c r="N194" s="75">
        <f ca="1" t="shared" si="169"/>
        <v>30</v>
      </c>
      <c r="O194" s="75">
        <f ca="1" t="shared" si="169"/>
        <v>30</v>
      </c>
      <c r="P194" s="75">
        <f ca="1" t="shared" si="169"/>
        <v>30</v>
      </c>
      <c r="Q194" s="75">
        <f ca="1" t="shared" si="169"/>
        <v>30</v>
      </c>
      <c r="R194" s="75">
        <f ca="1" t="shared" si="169"/>
        <v>28</v>
      </c>
      <c r="S194" s="75">
        <f ca="1" t="shared" si="169"/>
        <v>28</v>
      </c>
      <c r="T194" s="75">
        <f ca="1" t="shared" si="169"/>
        <v>26</v>
      </c>
      <c r="U194" s="75">
        <f ca="1" t="shared" si="169"/>
        <v>21</v>
      </c>
      <c r="V194" s="75">
        <f ca="1" t="shared" si="169"/>
        <v>21</v>
      </c>
      <c r="W194" s="75">
        <f ca="1" t="shared" si="136"/>
        <v>20</v>
      </c>
      <c r="X194" s="75">
        <f ca="1" t="shared" si="137"/>
        <v>19</v>
      </c>
      <c r="Y194" s="75">
        <f ca="1" t="shared" si="138"/>
        <v>18</v>
      </c>
    </row>
    <row r="195" ht="16.5" spans="1:25">
      <c r="A195" s="74">
        <v>121</v>
      </c>
      <c r="B195" s="65">
        <v>162</v>
      </c>
      <c r="C195" s="75">
        <f>INT(产出预期!M181)</f>
        <v>19146</v>
      </c>
      <c r="D195" s="75">
        <f ca="1" t="shared" ref="D195:V195" si="170">IFERROR(MATCH(D500*10,OFFSET($AS$339:$AS$388,0,D$335),1),0)</f>
        <v>43</v>
      </c>
      <c r="E195" s="75">
        <f ca="1" t="shared" si="170"/>
        <v>43</v>
      </c>
      <c r="F195" s="75">
        <f ca="1" t="shared" si="170"/>
        <v>43</v>
      </c>
      <c r="G195" s="75">
        <f ca="1" t="shared" si="170"/>
        <v>35</v>
      </c>
      <c r="H195" s="75">
        <f ca="1" t="shared" si="170"/>
        <v>35</v>
      </c>
      <c r="I195" s="75">
        <f ca="1" t="shared" si="170"/>
        <v>35</v>
      </c>
      <c r="J195" s="75">
        <f ca="1" t="shared" si="170"/>
        <v>35</v>
      </c>
      <c r="K195" s="75">
        <f ca="1" t="shared" si="170"/>
        <v>35</v>
      </c>
      <c r="L195" s="75">
        <f ca="1" t="shared" si="170"/>
        <v>35</v>
      </c>
      <c r="M195" s="75">
        <f ca="1" t="shared" si="170"/>
        <v>31</v>
      </c>
      <c r="N195" s="75">
        <f ca="1" t="shared" si="170"/>
        <v>30</v>
      </c>
      <c r="O195" s="75">
        <f ca="1" t="shared" si="170"/>
        <v>30</v>
      </c>
      <c r="P195" s="75">
        <f ca="1" t="shared" si="170"/>
        <v>30</v>
      </c>
      <c r="Q195" s="75">
        <f ca="1" t="shared" si="170"/>
        <v>30</v>
      </c>
      <c r="R195" s="75">
        <f ca="1" t="shared" si="170"/>
        <v>28</v>
      </c>
      <c r="S195" s="75">
        <f ca="1" t="shared" si="170"/>
        <v>28</v>
      </c>
      <c r="T195" s="75">
        <f ca="1" t="shared" si="170"/>
        <v>26</v>
      </c>
      <c r="U195" s="75">
        <f ca="1" t="shared" si="170"/>
        <v>21</v>
      </c>
      <c r="V195" s="75">
        <f ca="1" t="shared" si="170"/>
        <v>21</v>
      </c>
      <c r="W195" s="75">
        <f ca="1" t="shared" si="136"/>
        <v>20</v>
      </c>
      <c r="X195" s="75">
        <f ca="1" t="shared" si="137"/>
        <v>19</v>
      </c>
      <c r="Y195" s="75">
        <f ca="1" t="shared" si="138"/>
        <v>18</v>
      </c>
    </row>
    <row r="196" ht="16.5" spans="1:25">
      <c r="A196" s="74">
        <v>122</v>
      </c>
      <c r="B196" s="65">
        <v>163</v>
      </c>
      <c r="C196" s="75">
        <f>INT(产出预期!M182)</f>
        <v>19256</v>
      </c>
      <c r="D196" s="75">
        <f ca="1" t="shared" ref="D196:V196" si="171">IFERROR(MATCH(D501*10,OFFSET($AS$339:$AS$388,0,D$335),1),0)</f>
        <v>43</v>
      </c>
      <c r="E196" s="75">
        <f ca="1" t="shared" si="171"/>
        <v>43</v>
      </c>
      <c r="F196" s="75">
        <f ca="1" t="shared" si="171"/>
        <v>43</v>
      </c>
      <c r="G196" s="75">
        <f ca="1" t="shared" si="171"/>
        <v>35</v>
      </c>
      <c r="H196" s="75">
        <f ca="1" t="shared" si="171"/>
        <v>35</v>
      </c>
      <c r="I196" s="75">
        <f ca="1" t="shared" si="171"/>
        <v>35</v>
      </c>
      <c r="J196" s="75">
        <f ca="1" t="shared" si="171"/>
        <v>35</v>
      </c>
      <c r="K196" s="75">
        <f ca="1" t="shared" si="171"/>
        <v>35</v>
      </c>
      <c r="L196" s="75">
        <f ca="1" t="shared" si="171"/>
        <v>35</v>
      </c>
      <c r="M196" s="75">
        <f ca="1" t="shared" si="171"/>
        <v>31</v>
      </c>
      <c r="N196" s="75">
        <f ca="1" t="shared" si="171"/>
        <v>30</v>
      </c>
      <c r="O196" s="75">
        <f ca="1" t="shared" si="171"/>
        <v>30</v>
      </c>
      <c r="P196" s="75">
        <f ca="1" t="shared" si="171"/>
        <v>30</v>
      </c>
      <c r="Q196" s="75">
        <f ca="1" t="shared" si="171"/>
        <v>30</v>
      </c>
      <c r="R196" s="75">
        <f ca="1" t="shared" si="171"/>
        <v>28</v>
      </c>
      <c r="S196" s="75">
        <f ca="1" t="shared" si="171"/>
        <v>28</v>
      </c>
      <c r="T196" s="75">
        <f ca="1" t="shared" si="171"/>
        <v>26</v>
      </c>
      <c r="U196" s="75">
        <f ca="1" t="shared" si="171"/>
        <v>21</v>
      </c>
      <c r="V196" s="75">
        <f ca="1" t="shared" si="171"/>
        <v>21</v>
      </c>
      <c r="W196" s="75">
        <f ca="1" t="shared" si="136"/>
        <v>20</v>
      </c>
      <c r="X196" s="75">
        <f ca="1" t="shared" si="137"/>
        <v>19</v>
      </c>
      <c r="Y196" s="75">
        <f ca="1" t="shared" si="138"/>
        <v>18</v>
      </c>
    </row>
    <row r="197" ht="16.5" spans="1:25">
      <c r="A197" s="74">
        <v>122</v>
      </c>
      <c r="B197" s="65">
        <v>164</v>
      </c>
      <c r="C197" s="75">
        <f>INT(产出预期!M183)</f>
        <v>19366</v>
      </c>
      <c r="D197" s="75">
        <f ca="1" t="shared" ref="D197:V197" si="172">IFERROR(MATCH(D502*10,OFFSET($AS$339:$AS$388,0,D$335),1),0)</f>
        <v>43</v>
      </c>
      <c r="E197" s="75">
        <f ca="1" t="shared" si="172"/>
        <v>43</v>
      </c>
      <c r="F197" s="75">
        <f ca="1" t="shared" si="172"/>
        <v>43</v>
      </c>
      <c r="G197" s="75">
        <f ca="1" t="shared" si="172"/>
        <v>35</v>
      </c>
      <c r="H197" s="75">
        <f ca="1" t="shared" si="172"/>
        <v>35</v>
      </c>
      <c r="I197" s="75">
        <f ca="1" t="shared" si="172"/>
        <v>35</v>
      </c>
      <c r="J197" s="75">
        <f ca="1" t="shared" si="172"/>
        <v>35</v>
      </c>
      <c r="K197" s="75">
        <f ca="1" t="shared" si="172"/>
        <v>35</v>
      </c>
      <c r="L197" s="75">
        <f ca="1" t="shared" si="172"/>
        <v>35</v>
      </c>
      <c r="M197" s="75">
        <f ca="1" t="shared" si="172"/>
        <v>31</v>
      </c>
      <c r="N197" s="75">
        <f ca="1" t="shared" si="172"/>
        <v>30</v>
      </c>
      <c r="O197" s="75">
        <f ca="1" t="shared" si="172"/>
        <v>30</v>
      </c>
      <c r="P197" s="75">
        <f ca="1" t="shared" si="172"/>
        <v>30</v>
      </c>
      <c r="Q197" s="75">
        <f ca="1" t="shared" si="172"/>
        <v>30</v>
      </c>
      <c r="R197" s="75">
        <f ca="1" t="shared" si="172"/>
        <v>28</v>
      </c>
      <c r="S197" s="75">
        <f ca="1" t="shared" si="172"/>
        <v>28</v>
      </c>
      <c r="T197" s="75">
        <f ca="1" t="shared" si="172"/>
        <v>26</v>
      </c>
      <c r="U197" s="75">
        <f ca="1" t="shared" si="172"/>
        <v>21</v>
      </c>
      <c r="V197" s="75">
        <f ca="1" t="shared" si="172"/>
        <v>21</v>
      </c>
      <c r="W197" s="75">
        <f ca="1" t="shared" si="136"/>
        <v>20</v>
      </c>
      <c r="X197" s="75">
        <f ca="1" t="shared" si="137"/>
        <v>19</v>
      </c>
      <c r="Y197" s="75">
        <f ca="1" t="shared" si="138"/>
        <v>18</v>
      </c>
    </row>
    <row r="198" ht="16.5" spans="1:25">
      <c r="A198" s="74">
        <v>122</v>
      </c>
      <c r="B198" s="65">
        <v>165</v>
      </c>
      <c r="C198" s="75">
        <f>INT(产出预期!M184)</f>
        <v>19476</v>
      </c>
      <c r="D198" s="75">
        <f ca="1" t="shared" ref="D198:V198" si="173">IFERROR(MATCH(D503*10,OFFSET($AS$339:$AS$388,0,D$335),1),0)</f>
        <v>43</v>
      </c>
      <c r="E198" s="75">
        <f ca="1" t="shared" si="173"/>
        <v>43</v>
      </c>
      <c r="F198" s="75">
        <f ca="1" t="shared" si="173"/>
        <v>43</v>
      </c>
      <c r="G198" s="75">
        <f ca="1" t="shared" si="173"/>
        <v>35</v>
      </c>
      <c r="H198" s="75">
        <f ca="1" t="shared" si="173"/>
        <v>35</v>
      </c>
      <c r="I198" s="75">
        <f ca="1" t="shared" si="173"/>
        <v>35</v>
      </c>
      <c r="J198" s="75">
        <f ca="1" t="shared" si="173"/>
        <v>35</v>
      </c>
      <c r="K198" s="75">
        <f ca="1" t="shared" si="173"/>
        <v>35</v>
      </c>
      <c r="L198" s="75">
        <f ca="1" t="shared" si="173"/>
        <v>35</v>
      </c>
      <c r="M198" s="75">
        <f ca="1" t="shared" si="173"/>
        <v>31</v>
      </c>
      <c r="N198" s="75">
        <f ca="1" t="shared" si="173"/>
        <v>30</v>
      </c>
      <c r="O198" s="75">
        <f ca="1" t="shared" si="173"/>
        <v>30</v>
      </c>
      <c r="P198" s="75">
        <f ca="1" t="shared" si="173"/>
        <v>30</v>
      </c>
      <c r="Q198" s="75">
        <f ca="1" t="shared" si="173"/>
        <v>30</v>
      </c>
      <c r="R198" s="75">
        <f ca="1" t="shared" si="173"/>
        <v>28</v>
      </c>
      <c r="S198" s="75">
        <f ca="1" t="shared" si="173"/>
        <v>28</v>
      </c>
      <c r="T198" s="75">
        <f ca="1" t="shared" si="173"/>
        <v>26</v>
      </c>
      <c r="U198" s="75">
        <f ca="1" t="shared" si="173"/>
        <v>21</v>
      </c>
      <c r="V198" s="75">
        <f ca="1" t="shared" si="173"/>
        <v>21</v>
      </c>
      <c r="W198" s="75">
        <f ca="1" t="shared" si="136"/>
        <v>20</v>
      </c>
      <c r="X198" s="75">
        <f ca="1" t="shared" si="137"/>
        <v>19</v>
      </c>
      <c r="Y198" s="75">
        <f ca="1" t="shared" si="138"/>
        <v>18</v>
      </c>
    </row>
    <row r="199" ht="16.5" spans="1:25">
      <c r="A199" s="74">
        <v>123</v>
      </c>
      <c r="B199" s="65">
        <v>166</v>
      </c>
      <c r="C199" s="75">
        <f>INT(产出预期!M185)</f>
        <v>19586</v>
      </c>
      <c r="D199" s="75">
        <f ca="1" t="shared" ref="D199:V199" si="174">IFERROR(MATCH(D504*10,OFFSET($AS$339:$AS$388,0,D$335),1),0)</f>
        <v>43</v>
      </c>
      <c r="E199" s="75">
        <f ca="1" t="shared" si="174"/>
        <v>43</v>
      </c>
      <c r="F199" s="75">
        <f ca="1" t="shared" si="174"/>
        <v>43</v>
      </c>
      <c r="G199" s="75">
        <f ca="1" t="shared" si="174"/>
        <v>35</v>
      </c>
      <c r="H199" s="75">
        <f ca="1" t="shared" si="174"/>
        <v>35</v>
      </c>
      <c r="I199" s="75">
        <f ca="1" t="shared" si="174"/>
        <v>35</v>
      </c>
      <c r="J199" s="75">
        <f ca="1" t="shared" si="174"/>
        <v>35</v>
      </c>
      <c r="K199" s="75">
        <f ca="1" t="shared" si="174"/>
        <v>35</v>
      </c>
      <c r="L199" s="75">
        <f ca="1" t="shared" si="174"/>
        <v>35</v>
      </c>
      <c r="M199" s="75">
        <f ca="1" t="shared" si="174"/>
        <v>31</v>
      </c>
      <c r="N199" s="75">
        <f ca="1" t="shared" si="174"/>
        <v>30</v>
      </c>
      <c r="O199" s="75">
        <f ca="1" t="shared" si="174"/>
        <v>30</v>
      </c>
      <c r="P199" s="75">
        <f ca="1" t="shared" si="174"/>
        <v>30</v>
      </c>
      <c r="Q199" s="75">
        <f ca="1" t="shared" si="174"/>
        <v>30</v>
      </c>
      <c r="R199" s="75">
        <f ca="1" t="shared" si="174"/>
        <v>28</v>
      </c>
      <c r="S199" s="75">
        <f ca="1" t="shared" si="174"/>
        <v>28</v>
      </c>
      <c r="T199" s="75">
        <f ca="1" t="shared" si="174"/>
        <v>26</v>
      </c>
      <c r="U199" s="75">
        <f ca="1" t="shared" si="174"/>
        <v>21</v>
      </c>
      <c r="V199" s="75">
        <f ca="1" t="shared" si="174"/>
        <v>21</v>
      </c>
      <c r="W199" s="75">
        <f ca="1" t="shared" si="136"/>
        <v>20</v>
      </c>
      <c r="X199" s="75">
        <f ca="1" t="shared" si="137"/>
        <v>19</v>
      </c>
      <c r="Y199" s="75">
        <f ca="1" t="shared" si="138"/>
        <v>18</v>
      </c>
    </row>
    <row r="200" ht="16.5" spans="1:25">
      <c r="A200" s="74">
        <v>123</v>
      </c>
      <c r="B200" s="65">
        <v>167</v>
      </c>
      <c r="C200" s="75">
        <f>INT(产出预期!M186)</f>
        <v>19696</v>
      </c>
      <c r="D200" s="75">
        <f ca="1" t="shared" ref="D200:V200" si="175">IFERROR(MATCH(D505*10,OFFSET($AS$339:$AS$388,0,D$335),1),0)</f>
        <v>43</v>
      </c>
      <c r="E200" s="75">
        <f ca="1" t="shared" si="175"/>
        <v>43</v>
      </c>
      <c r="F200" s="75">
        <f ca="1" t="shared" si="175"/>
        <v>43</v>
      </c>
      <c r="G200" s="75">
        <f ca="1" t="shared" si="175"/>
        <v>35</v>
      </c>
      <c r="H200" s="75">
        <f ca="1" t="shared" si="175"/>
        <v>35</v>
      </c>
      <c r="I200" s="75">
        <f ca="1" t="shared" si="175"/>
        <v>35</v>
      </c>
      <c r="J200" s="75">
        <f ca="1" t="shared" si="175"/>
        <v>35</v>
      </c>
      <c r="K200" s="75">
        <f ca="1" t="shared" si="175"/>
        <v>35</v>
      </c>
      <c r="L200" s="75">
        <f ca="1" t="shared" si="175"/>
        <v>35</v>
      </c>
      <c r="M200" s="75">
        <f ca="1" t="shared" si="175"/>
        <v>31</v>
      </c>
      <c r="N200" s="75">
        <f ca="1" t="shared" si="175"/>
        <v>30</v>
      </c>
      <c r="O200" s="75">
        <f ca="1" t="shared" si="175"/>
        <v>30</v>
      </c>
      <c r="P200" s="75">
        <f ca="1" t="shared" si="175"/>
        <v>30</v>
      </c>
      <c r="Q200" s="75">
        <f ca="1" t="shared" si="175"/>
        <v>30</v>
      </c>
      <c r="R200" s="75">
        <f ca="1" t="shared" si="175"/>
        <v>28</v>
      </c>
      <c r="S200" s="75">
        <f ca="1" t="shared" si="175"/>
        <v>28</v>
      </c>
      <c r="T200" s="75">
        <f ca="1" t="shared" si="175"/>
        <v>26</v>
      </c>
      <c r="U200" s="75">
        <f ca="1" t="shared" si="175"/>
        <v>21</v>
      </c>
      <c r="V200" s="75">
        <f ca="1" t="shared" si="175"/>
        <v>21</v>
      </c>
      <c r="W200" s="75">
        <f ca="1" t="shared" si="136"/>
        <v>20</v>
      </c>
      <c r="X200" s="75">
        <f ca="1" t="shared" si="137"/>
        <v>19</v>
      </c>
      <c r="Y200" s="75">
        <f ca="1" t="shared" si="138"/>
        <v>18</v>
      </c>
    </row>
    <row r="201" ht="16.5" spans="1:25">
      <c r="A201" s="74">
        <v>123</v>
      </c>
      <c r="B201" s="65">
        <v>168</v>
      </c>
      <c r="C201" s="75">
        <f>INT(产出预期!M187)</f>
        <v>19806</v>
      </c>
      <c r="D201" s="75">
        <f ca="1" t="shared" ref="D201:V201" si="176">IFERROR(MATCH(D506*10,OFFSET($AS$339:$AS$388,0,D$335),1),0)</f>
        <v>43</v>
      </c>
      <c r="E201" s="75">
        <f ca="1" t="shared" si="176"/>
        <v>43</v>
      </c>
      <c r="F201" s="75">
        <f ca="1" t="shared" si="176"/>
        <v>43</v>
      </c>
      <c r="G201" s="75">
        <f ca="1" t="shared" si="176"/>
        <v>35</v>
      </c>
      <c r="H201" s="75">
        <f ca="1" t="shared" si="176"/>
        <v>35</v>
      </c>
      <c r="I201" s="75">
        <f ca="1" t="shared" si="176"/>
        <v>35</v>
      </c>
      <c r="J201" s="75">
        <f ca="1" t="shared" si="176"/>
        <v>35</v>
      </c>
      <c r="K201" s="75">
        <f ca="1" t="shared" si="176"/>
        <v>35</v>
      </c>
      <c r="L201" s="75">
        <f ca="1" t="shared" si="176"/>
        <v>35</v>
      </c>
      <c r="M201" s="75">
        <f ca="1" t="shared" si="176"/>
        <v>31</v>
      </c>
      <c r="N201" s="75">
        <f ca="1" t="shared" si="176"/>
        <v>30</v>
      </c>
      <c r="O201" s="75">
        <f ca="1" t="shared" si="176"/>
        <v>30</v>
      </c>
      <c r="P201" s="75">
        <f ca="1" t="shared" si="176"/>
        <v>30</v>
      </c>
      <c r="Q201" s="75">
        <f ca="1" t="shared" si="176"/>
        <v>30</v>
      </c>
      <c r="R201" s="75">
        <f ca="1" t="shared" si="176"/>
        <v>29</v>
      </c>
      <c r="S201" s="75">
        <f ca="1" t="shared" si="176"/>
        <v>28</v>
      </c>
      <c r="T201" s="75">
        <f ca="1" t="shared" si="176"/>
        <v>26</v>
      </c>
      <c r="U201" s="75">
        <f ca="1" t="shared" si="176"/>
        <v>21</v>
      </c>
      <c r="V201" s="75">
        <f ca="1" t="shared" si="176"/>
        <v>21</v>
      </c>
      <c r="W201" s="75">
        <f ca="1" t="shared" si="136"/>
        <v>20</v>
      </c>
      <c r="X201" s="75">
        <f ca="1" t="shared" si="137"/>
        <v>19</v>
      </c>
      <c r="Y201" s="75">
        <f ca="1" t="shared" si="138"/>
        <v>18</v>
      </c>
    </row>
    <row r="202" ht="16.5" spans="1:25">
      <c r="A202" s="74">
        <v>124</v>
      </c>
      <c r="B202" s="65">
        <v>169</v>
      </c>
      <c r="C202" s="75">
        <f>INT(产出预期!M188)</f>
        <v>19916</v>
      </c>
      <c r="D202" s="75">
        <f ca="1" t="shared" ref="D202:V202" si="177">IFERROR(MATCH(D507*10,OFFSET($AS$339:$AS$388,0,D$335),1),0)</f>
        <v>43</v>
      </c>
      <c r="E202" s="75">
        <f ca="1" t="shared" si="177"/>
        <v>43</v>
      </c>
      <c r="F202" s="75">
        <f ca="1" t="shared" si="177"/>
        <v>43</v>
      </c>
      <c r="G202" s="75">
        <f ca="1" t="shared" si="177"/>
        <v>35</v>
      </c>
      <c r="H202" s="75">
        <f ca="1" t="shared" si="177"/>
        <v>35</v>
      </c>
      <c r="I202" s="75">
        <f ca="1" t="shared" si="177"/>
        <v>35</v>
      </c>
      <c r="J202" s="75">
        <f ca="1" t="shared" si="177"/>
        <v>35</v>
      </c>
      <c r="K202" s="75">
        <f ca="1" t="shared" si="177"/>
        <v>35</v>
      </c>
      <c r="L202" s="75">
        <f ca="1" t="shared" si="177"/>
        <v>35</v>
      </c>
      <c r="M202" s="75">
        <f ca="1" t="shared" si="177"/>
        <v>31</v>
      </c>
      <c r="N202" s="75">
        <f ca="1" t="shared" si="177"/>
        <v>30</v>
      </c>
      <c r="O202" s="75">
        <f ca="1" t="shared" si="177"/>
        <v>30</v>
      </c>
      <c r="P202" s="75">
        <f ca="1" t="shared" si="177"/>
        <v>30</v>
      </c>
      <c r="Q202" s="75">
        <f ca="1" t="shared" si="177"/>
        <v>30</v>
      </c>
      <c r="R202" s="75">
        <f ca="1" t="shared" si="177"/>
        <v>29</v>
      </c>
      <c r="S202" s="75">
        <f ca="1" t="shared" si="177"/>
        <v>28</v>
      </c>
      <c r="T202" s="75">
        <f ca="1" t="shared" si="177"/>
        <v>26</v>
      </c>
      <c r="U202" s="75">
        <f ca="1" t="shared" si="177"/>
        <v>21</v>
      </c>
      <c r="V202" s="75">
        <f ca="1" t="shared" si="177"/>
        <v>21</v>
      </c>
      <c r="W202" s="75">
        <f ca="1" t="shared" si="136"/>
        <v>20</v>
      </c>
      <c r="X202" s="75">
        <f ca="1" t="shared" si="137"/>
        <v>19</v>
      </c>
      <c r="Y202" s="75">
        <f ca="1" t="shared" si="138"/>
        <v>18</v>
      </c>
    </row>
    <row r="203" ht="16.5" spans="1:25">
      <c r="A203" s="74">
        <v>124</v>
      </c>
      <c r="B203" s="65">
        <v>170</v>
      </c>
      <c r="C203" s="75">
        <f>INT(产出预期!M189)</f>
        <v>20026</v>
      </c>
      <c r="D203" s="75">
        <f ca="1" t="shared" ref="D203:V203" si="178">IFERROR(MATCH(D508*10,OFFSET($AS$339:$AS$388,0,D$335),1),0)</f>
        <v>43</v>
      </c>
      <c r="E203" s="75">
        <f ca="1" t="shared" si="178"/>
        <v>43</v>
      </c>
      <c r="F203" s="75">
        <f ca="1" t="shared" si="178"/>
        <v>43</v>
      </c>
      <c r="G203" s="75">
        <f ca="1" t="shared" si="178"/>
        <v>35</v>
      </c>
      <c r="H203" s="75">
        <f ca="1" t="shared" si="178"/>
        <v>35</v>
      </c>
      <c r="I203" s="75">
        <f ca="1" t="shared" si="178"/>
        <v>35</v>
      </c>
      <c r="J203" s="75">
        <f ca="1" t="shared" si="178"/>
        <v>35</v>
      </c>
      <c r="K203" s="75">
        <f ca="1" t="shared" si="178"/>
        <v>35</v>
      </c>
      <c r="L203" s="75">
        <f ca="1" t="shared" si="178"/>
        <v>35</v>
      </c>
      <c r="M203" s="75">
        <f ca="1" t="shared" si="178"/>
        <v>31</v>
      </c>
      <c r="N203" s="75">
        <f ca="1" t="shared" si="178"/>
        <v>30</v>
      </c>
      <c r="O203" s="75">
        <f ca="1" t="shared" si="178"/>
        <v>30</v>
      </c>
      <c r="P203" s="75">
        <f ca="1" t="shared" si="178"/>
        <v>30</v>
      </c>
      <c r="Q203" s="75">
        <f ca="1" t="shared" si="178"/>
        <v>30</v>
      </c>
      <c r="R203" s="75">
        <f ca="1" t="shared" si="178"/>
        <v>29</v>
      </c>
      <c r="S203" s="75">
        <f ca="1" t="shared" si="178"/>
        <v>28</v>
      </c>
      <c r="T203" s="75">
        <f ca="1" t="shared" si="178"/>
        <v>26</v>
      </c>
      <c r="U203" s="75">
        <f ca="1" t="shared" si="178"/>
        <v>21</v>
      </c>
      <c r="V203" s="75">
        <f ca="1" t="shared" si="178"/>
        <v>21</v>
      </c>
      <c r="W203" s="75">
        <f ca="1" t="shared" si="136"/>
        <v>20</v>
      </c>
      <c r="X203" s="75">
        <f ca="1" t="shared" si="137"/>
        <v>19</v>
      </c>
      <c r="Y203" s="75">
        <f ca="1" t="shared" si="138"/>
        <v>18</v>
      </c>
    </row>
    <row r="204" ht="16.5" spans="1:25">
      <c r="A204" s="74">
        <v>124</v>
      </c>
      <c r="B204" s="65">
        <v>171</v>
      </c>
      <c r="C204" s="75">
        <f>INT(产出预期!M190)</f>
        <v>20136</v>
      </c>
      <c r="D204" s="75">
        <f ca="1" t="shared" ref="D204:V204" si="179">IFERROR(MATCH(D509*10,OFFSET($AS$339:$AS$388,0,D$335),1),0)</f>
        <v>43</v>
      </c>
      <c r="E204" s="75">
        <f ca="1" t="shared" si="179"/>
        <v>43</v>
      </c>
      <c r="F204" s="75">
        <f ca="1" t="shared" si="179"/>
        <v>43</v>
      </c>
      <c r="G204" s="75">
        <f ca="1" t="shared" si="179"/>
        <v>35</v>
      </c>
      <c r="H204" s="75">
        <f ca="1" t="shared" si="179"/>
        <v>35</v>
      </c>
      <c r="I204" s="75">
        <f ca="1" t="shared" si="179"/>
        <v>35</v>
      </c>
      <c r="J204" s="75">
        <f ca="1" t="shared" si="179"/>
        <v>35</v>
      </c>
      <c r="K204" s="75">
        <f ca="1" t="shared" si="179"/>
        <v>35</v>
      </c>
      <c r="L204" s="75">
        <f ca="1" t="shared" si="179"/>
        <v>35</v>
      </c>
      <c r="M204" s="75">
        <f ca="1" t="shared" si="179"/>
        <v>31</v>
      </c>
      <c r="N204" s="75">
        <f ca="1" t="shared" si="179"/>
        <v>30</v>
      </c>
      <c r="O204" s="75">
        <f ca="1" t="shared" si="179"/>
        <v>30</v>
      </c>
      <c r="P204" s="75">
        <f ca="1" t="shared" si="179"/>
        <v>30</v>
      </c>
      <c r="Q204" s="75">
        <f ca="1" t="shared" si="179"/>
        <v>30</v>
      </c>
      <c r="R204" s="75">
        <f ca="1" t="shared" si="179"/>
        <v>29</v>
      </c>
      <c r="S204" s="75">
        <f ca="1" t="shared" si="179"/>
        <v>28</v>
      </c>
      <c r="T204" s="75">
        <f ca="1" t="shared" si="179"/>
        <v>26</v>
      </c>
      <c r="U204" s="75">
        <f ca="1" t="shared" si="179"/>
        <v>21</v>
      </c>
      <c r="V204" s="75">
        <f ca="1" t="shared" si="179"/>
        <v>21</v>
      </c>
      <c r="W204" s="75">
        <f ca="1" t="shared" si="136"/>
        <v>20</v>
      </c>
      <c r="X204" s="75">
        <f ca="1" t="shared" si="137"/>
        <v>19</v>
      </c>
      <c r="Y204" s="75">
        <f ca="1" t="shared" si="138"/>
        <v>18</v>
      </c>
    </row>
    <row r="205" ht="16.5" spans="1:25">
      <c r="A205" s="74">
        <v>125</v>
      </c>
      <c r="B205" s="65">
        <v>172</v>
      </c>
      <c r="C205" s="75">
        <f>INT(产出预期!M191)</f>
        <v>20246</v>
      </c>
      <c r="D205" s="75">
        <f ca="1" t="shared" ref="D205:V205" si="180">IFERROR(MATCH(D510*10,OFFSET($AS$339:$AS$388,0,D$335),1),0)</f>
        <v>43</v>
      </c>
      <c r="E205" s="75">
        <f ca="1" t="shared" si="180"/>
        <v>43</v>
      </c>
      <c r="F205" s="75">
        <f ca="1" t="shared" si="180"/>
        <v>43</v>
      </c>
      <c r="G205" s="75">
        <f ca="1" t="shared" si="180"/>
        <v>35</v>
      </c>
      <c r="H205" s="75">
        <f ca="1" t="shared" si="180"/>
        <v>35</v>
      </c>
      <c r="I205" s="75">
        <f ca="1" t="shared" si="180"/>
        <v>35</v>
      </c>
      <c r="J205" s="75">
        <f ca="1" t="shared" si="180"/>
        <v>35</v>
      </c>
      <c r="K205" s="75">
        <f ca="1" t="shared" si="180"/>
        <v>35</v>
      </c>
      <c r="L205" s="75">
        <f ca="1" t="shared" si="180"/>
        <v>35</v>
      </c>
      <c r="M205" s="75">
        <f ca="1" t="shared" si="180"/>
        <v>31</v>
      </c>
      <c r="N205" s="75">
        <f ca="1" t="shared" si="180"/>
        <v>30</v>
      </c>
      <c r="O205" s="75">
        <f ca="1" t="shared" si="180"/>
        <v>30</v>
      </c>
      <c r="P205" s="75">
        <f ca="1" t="shared" si="180"/>
        <v>30</v>
      </c>
      <c r="Q205" s="75">
        <f ca="1" t="shared" si="180"/>
        <v>30</v>
      </c>
      <c r="R205" s="75">
        <f ca="1" t="shared" si="180"/>
        <v>29</v>
      </c>
      <c r="S205" s="75">
        <f ca="1" t="shared" si="180"/>
        <v>28</v>
      </c>
      <c r="T205" s="75">
        <f ca="1" t="shared" si="180"/>
        <v>26</v>
      </c>
      <c r="U205" s="75">
        <f ca="1" t="shared" si="180"/>
        <v>21</v>
      </c>
      <c r="V205" s="75">
        <f ca="1" t="shared" si="180"/>
        <v>21</v>
      </c>
      <c r="W205" s="75">
        <f ca="1" t="shared" si="136"/>
        <v>20</v>
      </c>
      <c r="X205" s="75">
        <f ca="1" t="shared" si="137"/>
        <v>19</v>
      </c>
      <c r="Y205" s="75">
        <f ca="1" t="shared" si="138"/>
        <v>18</v>
      </c>
    </row>
    <row r="206" ht="16.5" spans="1:25">
      <c r="A206" s="74">
        <v>125</v>
      </c>
      <c r="B206" s="65">
        <v>173</v>
      </c>
      <c r="C206" s="75">
        <f>INT(产出预期!M192)</f>
        <v>20356</v>
      </c>
      <c r="D206" s="75">
        <f ca="1" t="shared" ref="D206:V206" si="181">IFERROR(MATCH(D511*10,OFFSET($AS$339:$AS$388,0,D$335),1),0)</f>
        <v>43</v>
      </c>
      <c r="E206" s="75">
        <f ca="1" t="shared" si="181"/>
        <v>43</v>
      </c>
      <c r="F206" s="75">
        <f ca="1" t="shared" si="181"/>
        <v>43</v>
      </c>
      <c r="G206" s="75">
        <f ca="1" t="shared" si="181"/>
        <v>35</v>
      </c>
      <c r="H206" s="75">
        <f ca="1" t="shared" si="181"/>
        <v>35</v>
      </c>
      <c r="I206" s="75">
        <f ca="1" t="shared" si="181"/>
        <v>35</v>
      </c>
      <c r="J206" s="75">
        <f ca="1" t="shared" si="181"/>
        <v>35</v>
      </c>
      <c r="K206" s="75">
        <f ca="1" t="shared" si="181"/>
        <v>35</v>
      </c>
      <c r="L206" s="75">
        <f ca="1" t="shared" si="181"/>
        <v>35</v>
      </c>
      <c r="M206" s="75">
        <f ca="1" t="shared" si="181"/>
        <v>31</v>
      </c>
      <c r="N206" s="75">
        <f ca="1" t="shared" si="181"/>
        <v>30</v>
      </c>
      <c r="O206" s="75">
        <f ca="1" t="shared" si="181"/>
        <v>30</v>
      </c>
      <c r="P206" s="75">
        <f ca="1" t="shared" si="181"/>
        <v>30</v>
      </c>
      <c r="Q206" s="75">
        <f ca="1" t="shared" si="181"/>
        <v>30</v>
      </c>
      <c r="R206" s="75">
        <f ca="1" t="shared" si="181"/>
        <v>29</v>
      </c>
      <c r="S206" s="75">
        <f ca="1" t="shared" si="181"/>
        <v>29</v>
      </c>
      <c r="T206" s="75">
        <f ca="1" t="shared" si="181"/>
        <v>26</v>
      </c>
      <c r="U206" s="75">
        <f ca="1" t="shared" si="181"/>
        <v>21</v>
      </c>
      <c r="V206" s="75">
        <f ca="1" t="shared" si="181"/>
        <v>21</v>
      </c>
      <c r="W206" s="75">
        <f ca="1" t="shared" si="136"/>
        <v>20</v>
      </c>
      <c r="X206" s="75">
        <f ca="1" t="shared" si="137"/>
        <v>19</v>
      </c>
      <c r="Y206" s="75">
        <f ca="1" t="shared" si="138"/>
        <v>18</v>
      </c>
    </row>
    <row r="207" ht="16.5" spans="1:25">
      <c r="A207" s="74">
        <v>125</v>
      </c>
      <c r="B207" s="65">
        <v>174</v>
      </c>
      <c r="C207" s="75">
        <f>INT(产出预期!M193)</f>
        <v>20466</v>
      </c>
      <c r="D207" s="75">
        <f ca="1" t="shared" ref="D207:V207" si="182">IFERROR(MATCH(D512*10,OFFSET($AS$339:$AS$388,0,D$335),1),0)</f>
        <v>43</v>
      </c>
      <c r="E207" s="75">
        <f ca="1" t="shared" si="182"/>
        <v>43</v>
      </c>
      <c r="F207" s="75">
        <f ca="1" t="shared" si="182"/>
        <v>43</v>
      </c>
      <c r="G207" s="75">
        <f ca="1" t="shared" si="182"/>
        <v>35</v>
      </c>
      <c r="H207" s="75">
        <f ca="1" t="shared" si="182"/>
        <v>35</v>
      </c>
      <c r="I207" s="75">
        <f ca="1" t="shared" si="182"/>
        <v>35</v>
      </c>
      <c r="J207" s="75">
        <f ca="1" t="shared" si="182"/>
        <v>35</v>
      </c>
      <c r="K207" s="75">
        <f ca="1" t="shared" si="182"/>
        <v>35</v>
      </c>
      <c r="L207" s="75">
        <f ca="1" t="shared" si="182"/>
        <v>35</v>
      </c>
      <c r="M207" s="75">
        <f ca="1" t="shared" si="182"/>
        <v>31</v>
      </c>
      <c r="N207" s="75">
        <f ca="1" t="shared" si="182"/>
        <v>30</v>
      </c>
      <c r="O207" s="75">
        <f ca="1" t="shared" si="182"/>
        <v>30</v>
      </c>
      <c r="P207" s="75">
        <f ca="1" t="shared" si="182"/>
        <v>30</v>
      </c>
      <c r="Q207" s="75">
        <f ca="1" t="shared" si="182"/>
        <v>30</v>
      </c>
      <c r="R207" s="75">
        <f ca="1" t="shared" si="182"/>
        <v>29</v>
      </c>
      <c r="S207" s="75">
        <f ca="1" t="shared" si="182"/>
        <v>29</v>
      </c>
      <c r="T207" s="75">
        <f ca="1" t="shared" si="182"/>
        <v>26</v>
      </c>
      <c r="U207" s="75">
        <f ca="1" t="shared" si="182"/>
        <v>21</v>
      </c>
      <c r="V207" s="75">
        <f ca="1" t="shared" si="182"/>
        <v>21</v>
      </c>
      <c r="W207" s="75">
        <f ca="1" t="shared" si="136"/>
        <v>20</v>
      </c>
      <c r="X207" s="75">
        <f ca="1" t="shared" si="137"/>
        <v>19</v>
      </c>
      <c r="Y207" s="75">
        <f ca="1" t="shared" si="138"/>
        <v>18</v>
      </c>
    </row>
    <row r="208" ht="16.5" spans="1:25">
      <c r="A208" s="74">
        <v>126</v>
      </c>
      <c r="B208" s="65">
        <v>175</v>
      </c>
      <c r="C208" s="75">
        <f>INT(产出预期!M194)</f>
        <v>20576</v>
      </c>
      <c r="D208" s="75">
        <f ca="1" t="shared" ref="D208:V208" si="183">IFERROR(MATCH(D513*10,OFFSET($AS$339:$AS$388,0,D$335),1),0)</f>
        <v>43</v>
      </c>
      <c r="E208" s="75">
        <f ca="1" t="shared" si="183"/>
        <v>43</v>
      </c>
      <c r="F208" s="75">
        <f ca="1" t="shared" si="183"/>
        <v>43</v>
      </c>
      <c r="G208" s="75">
        <f ca="1" t="shared" si="183"/>
        <v>35</v>
      </c>
      <c r="H208" s="75">
        <f ca="1" t="shared" si="183"/>
        <v>35</v>
      </c>
      <c r="I208" s="75">
        <f ca="1" t="shared" si="183"/>
        <v>35</v>
      </c>
      <c r="J208" s="75">
        <f ca="1" t="shared" si="183"/>
        <v>35</v>
      </c>
      <c r="K208" s="75">
        <f ca="1" t="shared" si="183"/>
        <v>35</v>
      </c>
      <c r="L208" s="75">
        <f ca="1" t="shared" si="183"/>
        <v>35</v>
      </c>
      <c r="M208" s="75">
        <f ca="1" t="shared" si="183"/>
        <v>31</v>
      </c>
      <c r="N208" s="75">
        <f ca="1" t="shared" si="183"/>
        <v>30</v>
      </c>
      <c r="O208" s="75">
        <f ca="1" t="shared" si="183"/>
        <v>30</v>
      </c>
      <c r="P208" s="75">
        <f ca="1" t="shared" si="183"/>
        <v>30</v>
      </c>
      <c r="Q208" s="75">
        <f ca="1" t="shared" si="183"/>
        <v>30</v>
      </c>
      <c r="R208" s="75">
        <f ca="1" t="shared" si="183"/>
        <v>29</v>
      </c>
      <c r="S208" s="75">
        <f ca="1" t="shared" si="183"/>
        <v>29</v>
      </c>
      <c r="T208" s="75">
        <f ca="1" t="shared" si="183"/>
        <v>26</v>
      </c>
      <c r="U208" s="75">
        <f ca="1" t="shared" si="183"/>
        <v>21</v>
      </c>
      <c r="V208" s="75">
        <f ca="1" t="shared" si="183"/>
        <v>21</v>
      </c>
      <c r="W208" s="75">
        <f ca="1" t="shared" si="136"/>
        <v>20</v>
      </c>
      <c r="X208" s="75">
        <f ca="1" t="shared" si="137"/>
        <v>19</v>
      </c>
      <c r="Y208" s="75">
        <f ca="1" t="shared" si="138"/>
        <v>18</v>
      </c>
    </row>
    <row r="209" ht="16.5" spans="1:25">
      <c r="A209" s="74">
        <v>126</v>
      </c>
      <c r="B209" s="65">
        <v>176</v>
      </c>
      <c r="C209" s="75">
        <f>INT(产出预期!M195)</f>
        <v>20686</v>
      </c>
      <c r="D209" s="75">
        <f ca="1" t="shared" ref="D209:V209" si="184">IFERROR(MATCH(D514*10,OFFSET($AS$339:$AS$388,0,D$335),1),0)</f>
        <v>43</v>
      </c>
      <c r="E209" s="75">
        <f ca="1" t="shared" si="184"/>
        <v>43</v>
      </c>
      <c r="F209" s="75">
        <f ca="1" t="shared" si="184"/>
        <v>43</v>
      </c>
      <c r="G209" s="75">
        <f ca="1" t="shared" si="184"/>
        <v>35</v>
      </c>
      <c r="H209" s="75">
        <f ca="1" t="shared" si="184"/>
        <v>35</v>
      </c>
      <c r="I209" s="75">
        <f ca="1" t="shared" si="184"/>
        <v>35</v>
      </c>
      <c r="J209" s="75">
        <f ca="1" t="shared" si="184"/>
        <v>35</v>
      </c>
      <c r="K209" s="75">
        <f ca="1" t="shared" si="184"/>
        <v>35</v>
      </c>
      <c r="L209" s="75">
        <f ca="1" t="shared" si="184"/>
        <v>35</v>
      </c>
      <c r="M209" s="75">
        <f ca="1" t="shared" si="184"/>
        <v>31</v>
      </c>
      <c r="N209" s="75">
        <f ca="1" t="shared" si="184"/>
        <v>30</v>
      </c>
      <c r="O209" s="75">
        <f ca="1" t="shared" si="184"/>
        <v>30</v>
      </c>
      <c r="P209" s="75">
        <f ca="1" t="shared" si="184"/>
        <v>30</v>
      </c>
      <c r="Q209" s="75">
        <f ca="1" t="shared" si="184"/>
        <v>30</v>
      </c>
      <c r="R209" s="75">
        <f ca="1" t="shared" si="184"/>
        <v>29</v>
      </c>
      <c r="S209" s="75">
        <f ca="1" t="shared" si="184"/>
        <v>29</v>
      </c>
      <c r="T209" s="75">
        <f ca="1" t="shared" si="184"/>
        <v>26</v>
      </c>
      <c r="U209" s="75">
        <f ca="1" t="shared" si="184"/>
        <v>21</v>
      </c>
      <c r="V209" s="75">
        <f ca="1" t="shared" si="184"/>
        <v>21</v>
      </c>
      <c r="W209" s="75">
        <f ca="1" t="shared" si="136"/>
        <v>20</v>
      </c>
      <c r="X209" s="75">
        <f ca="1" t="shared" si="137"/>
        <v>19</v>
      </c>
      <c r="Y209" s="75">
        <f ca="1" t="shared" si="138"/>
        <v>18</v>
      </c>
    </row>
    <row r="210" ht="16.5" spans="1:25">
      <c r="A210" s="74">
        <v>126</v>
      </c>
      <c r="B210" s="65">
        <v>177</v>
      </c>
      <c r="C210" s="75">
        <f>INT(产出预期!M196)</f>
        <v>20796</v>
      </c>
      <c r="D210" s="75">
        <f ca="1" t="shared" ref="D210:V210" si="185">IFERROR(MATCH(D515*10,OFFSET($AS$339:$AS$388,0,D$335),1),0)</f>
        <v>43</v>
      </c>
      <c r="E210" s="75">
        <f ca="1" t="shared" si="185"/>
        <v>43</v>
      </c>
      <c r="F210" s="75">
        <f ca="1" t="shared" si="185"/>
        <v>43</v>
      </c>
      <c r="G210" s="75">
        <f ca="1" t="shared" si="185"/>
        <v>35</v>
      </c>
      <c r="H210" s="75">
        <f ca="1" t="shared" si="185"/>
        <v>35</v>
      </c>
      <c r="I210" s="75">
        <f ca="1" t="shared" si="185"/>
        <v>35</v>
      </c>
      <c r="J210" s="75">
        <f ca="1" t="shared" si="185"/>
        <v>35</v>
      </c>
      <c r="K210" s="75">
        <f ca="1" t="shared" si="185"/>
        <v>35</v>
      </c>
      <c r="L210" s="75">
        <f ca="1" t="shared" si="185"/>
        <v>35</v>
      </c>
      <c r="M210" s="75">
        <f ca="1" t="shared" si="185"/>
        <v>31</v>
      </c>
      <c r="N210" s="75">
        <f ca="1" t="shared" si="185"/>
        <v>31</v>
      </c>
      <c r="O210" s="75">
        <f ca="1" t="shared" si="185"/>
        <v>30</v>
      </c>
      <c r="P210" s="75">
        <f ca="1" t="shared" si="185"/>
        <v>30</v>
      </c>
      <c r="Q210" s="75">
        <f ca="1" t="shared" si="185"/>
        <v>30</v>
      </c>
      <c r="R210" s="75">
        <f ca="1" t="shared" si="185"/>
        <v>29</v>
      </c>
      <c r="S210" s="75">
        <f ca="1" t="shared" si="185"/>
        <v>29</v>
      </c>
      <c r="T210" s="75">
        <f ca="1" t="shared" si="185"/>
        <v>26</v>
      </c>
      <c r="U210" s="75">
        <f ca="1" t="shared" si="185"/>
        <v>21</v>
      </c>
      <c r="V210" s="75">
        <f ca="1" t="shared" si="185"/>
        <v>21</v>
      </c>
      <c r="W210" s="75">
        <f ca="1" t="shared" si="136"/>
        <v>20</v>
      </c>
      <c r="X210" s="75">
        <f ca="1" t="shared" si="137"/>
        <v>19</v>
      </c>
      <c r="Y210" s="75">
        <f ca="1" t="shared" si="138"/>
        <v>18</v>
      </c>
    </row>
    <row r="211" ht="16.5" spans="1:25">
      <c r="A211" s="74">
        <v>127</v>
      </c>
      <c r="B211" s="65">
        <v>178</v>
      </c>
      <c r="C211" s="75">
        <f>INT(产出预期!M197)</f>
        <v>20906</v>
      </c>
      <c r="D211" s="75">
        <f ca="1" t="shared" ref="D211:V211" si="186">IFERROR(MATCH(D516*10,OFFSET($AS$339:$AS$388,0,D$335),1),0)</f>
        <v>43</v>
      </c>
      <c r="E211" s="75">
        <f ca="1" t="shared" si="186"/>
        <v>43</v>
      </c>
      <c r="F211" s="75">
        <f ca="1" t="shared" si="186"/>
        <v>43</v>
      </c>
      <c r="G211" s="75">
        <f ca="1" t="shared" si="186"/>
        <v>35</v>
      </c>
      <c r="H211" s="75">
        <f ca="1" t="shared" si="186"/>
        <v>35</v>
      </c>
      <c r="I211" s="75">
        <f ca="1" t="shared" si="186"/>
        <v>35</v>
      </c>
      <c r="J211" s="75">
        <f ca="1" t="shared" si="186"/>
        <v>35</v>
      </c>
      <c r="K211" s="75">
        <f ca="1" t="shared" si="186"/>
        <v>35</v>
      </c>
      <c r="L211" s="75">
        <f ca="1" t="shared" si="186"/>
        <v>35</v>
      </c>
      <c r="M211" s="75">
        <f ca="1" t="shared" si="186"/>
        <v>31</v>
      </c>
      <c r="N211" s="75">
        <f ca="1" t="shared" si="186"/>
        <v>31</v>
      </c>
      <c r="O211" s="75">
        <f ca="1" t="shared" si="186"/>
        <v>31</v>
      </c>
      <c r="P211" s="75">
        <f ca="1" t="shared" si="186"/>
        <v>30</v>
      </c>
      <c r="Q211" s="75">
        <f ca="1" t="shared" si="186"/>
        <v>30</v>
      </c>
      <c r="R211" s="75">
        <f ca="1" t="shared" si="186"/>
        <v>29</v>
      </c>
      <c r="S211" s="75">
        <f ca="1" t="shared" si="186"/>
        <v>29</v>
      </c>
      <c r="T211" s="75">
        <f ca="1" t="shared" si="186"/>
        <v>26</v>
      </c>
      <c r="U211" s="75">
        <f ca="1" t="shared" si="186"/>
        <v>21</v>
      </c>
      <c r="V211" s="75">
        <f ca="1" t="shared" si="186"/>
        <v>21</v>
      </c>
      <c r="W211" s="75">
        <f ca="1" t="shared" si="136"/>
        <v>20</v>
      </c>
      <c r="X211" s="75">
        <f ca="1" t="shared" si="137"/>
        <v>19</v>
      </c>
      <c r="Y211" s="75">
        <f ca="1" t="shared" si="138"/>
        <v>18</v>
      </c>
    </row>
    <row r="212" ht="16.5" spans="1:25">
      <c r="A212" s="74">
        <v>127</v>
      </c>
      <c r="B212" s="65">
        <v>179</v>
      </c>
      <c r="C212" s="75">
        <f>INT(产出预期!M198)</f>
        <v>21016</v>
      </c>
      <c r="D212" s="75">
        <f ca="1" t="shared" ref="D212:V212" si="187">IFERROR(MATCH(D517*10,OFFSET($AS$339:$AS$388,0,D$335),1),0)</f>
        <v>43</v>
      </c>
      <c r="E212" s="75">
        <f ca="1" t="shared" si="187"/>
        <v>43</v>
      </c>
      <c r="F212" s="75">
        <f ca="1" t="shared" si="187"/>
        <v>43</v>
      </c>
      <c r="G212" s="75">
        <f ca="1" t="shared" si="187"/>
        <v>35</v>
      </c>
      <c r="H212" s="75">
        <f ca="1" t="shared" si="187"/>
        <v>35</v>
      </c>
      <c r="I212" s="75">
        <f ca="1" t="shared" si="187"/>
        <v>35</v>
      </c>
      <c r="J212" s="75">
        <f ca="1" t="shared" si="187"/>
        <v>35</v>
      </c>
      <c r="K212" s="75">
        <f ca="1" t="shared" si="187"/>
        <v>35</v>
      </c>
      <c r="L212" s="75">
        <f ca="1" t="shared" si="187"/>
        <v>35</v>
      </c>
      <c r="M212" s="75">
        <f ca="1" t="shared" si="187"/>
        <v>31</v>
      </c>
      <c r="N212" s="75">
        <f ca="1" t="shared" si="187"/>
        <v>31</v>
      </c>
      <c r="O212" s="75">
        <f ca="1" t="shared" si="187"/>
        <v>31</v>
      </c>
      <c r="P212" s="75">
        <f ca="1" t="shared" si="187"/>
        <v>30</v>
      </c>
      <c r="Q212" s="75">
        <f ca="1" t="shared" si="187"/>
        <v>30</v>
      </c>
      <c r="R212" s="75">
        <f ca="1" t="shared" si="187"/>
        <v>29</v>
      </c>
      <c r="S212" s="75">
        <f ca="1" t="shared" si="187"/>
        <v>29</v>
      </c>
      <c r="T212" s="75">
        <f ca="1" t="shared" si="187"/>
        <v>26</v>
      </c>
      <c r="U212" s="75">
        <f ca="1" t="shared" si="187"/>
        <v>21</v>
      </c>
      <c r="V212" s="75">
        <f ca="1" t="shared" si="187"/>
        <v>21</v>
      </c>
      <c r="W212" s="75">
        <f ca="1" t="shared" si="136"/>
        <v>20</v>
      </c>
      <c r="X212" s="75">
        <f ca="1" t="shared" si="137"/>
        <v>19</v>
      </c>
      <c r="Y212" s="75">
        <f ca="1" t="shared" si="138"/>
        <v>18</v>
      </c>
    </row>
    <row r="213" ht="16.5" spans="1:25">
      <c r="A213" s="74">
        <v>127</v>
      </c>
      <c r="B213" s="65">
        <v>180</v>
      </c>
      <c r="C213" s="75">
        <f>INT(产出预期!M199)</f>
        <v>21126</v>
      </c>
      <c r="D213" s="75">
        <f ca="1" t="shared" ref="D213:V213" si="188">IFERROR(MATCH(D518*10,OFFSET($AS$339:$AS$388,0,D$335),1),0)</f>
        <v>43</v>
      </c>
      <c r="E213" s="75">
        <f ca="1" t="shared" si="188"/>
        <v>43</v>
      </c>
      <c r="F213" s="75">
        <f ca="1" t="shared" si="188"/>
        <v>43</v>
      </c>
      <c r="G213" s="75">
        <f ca="1" t="shared" si="188"/>
        <v>35</v>
      </c>
      <c r="H213" s="75">
        <f ca="1" t="shared" si="188"/>
        <v>35</v>
      </c>
      <c r="I213" s="75">
        <f ca="1" t="shared" si="188"/>
        <v>35</v>
      </c>
      <c r="J213" s="75">
        <f ca="1" t="shared" si="188"/>
        <v>35</v>
      </c>
      <c r="K213" s="75">
        <f ca="1" t="shared" si="188"/>
        <v>35</v>
      </c>
      <c r="L213" s="75">
        <f ca="1" t="shared" si="188"/>
        <v>35</v>
      </c>
      <c r="M213" s="75">
        <f ca="1" t="shared" si="188"/>
        <v>31</v>
      </c>
      <c r="N213" s="75">
        <f ca="1" t="shared" si="188"/>
        <v>31</v>
      </c>
      <c r="O213" s="75">
        <f ca="1" t="shared" si="188"/>
        <v>31</v>
      </c>
      <c r="P213" s="75">
        <f ca="1" t="shared" si="188"/>
        <v>30</v>
      </c>
      <c r="Q213" s="75">
        <f ca="1" t="shared" si="188"/>
        <v>30</v>
      </c>
      <c r="R213" s="75">
        <f ca="1" t="shared" si="188"/>
        <v>29</v>
      </c>
      <c r="S213" s="75">
        <f ca="1" t="shared" si="188"/>
        <v>29</v>
      </c>
      <c r="T213" s="75">
        <f ca="1" t="shared" si="188"/>
        <v>26</v>
      </c>
      <c r="U213" s="75">
        <f ca="1" t="shared" si="188"/>
        <v>21</v>
      </c>
      <c r="V213" s="75">
        <f ca="1" t="shared" si="188"/>
        <v>21</v>
      </c>
      <c r="W213" s="75">
        <f ca="1" t="shared" si="136"/>
        <v>20</v>
      </c>
      <c r="X213" s="75">
        <f ca="1" t="shared" si="137"/>
        <v>19</v>
      </c>
      <c r="Y213" s="75">
        <f ca="1" t="shared" si="138"/>
        <v>18</v>
      </c>
    </row>
    <row r="214" ht="16.5" spans="1:25">
      <c r="A214" s="74">
        <v>128</v>
      </c>
      <c r="B214" s="65">
        <v>181</v>
      </c>
      <c r="C214" s="75">
        <f>INT(产出预期!M200)</f>
        <v>21236</v>
      </c>
      <c r="D214" s="75">
        <f ca="1" t="shared" ref="D214:V214" si="189">IFERROR(MATCH(D519*10,OFFSET($AS$339:$AS$388,0,D$335),1),0)</f>
        <v>43</v>
      </c>
      <c r="E214" s="75">
        <f ca="1" t="shared" si="189"/>
        <v>43</v>
      </c>
      <c r="F214" s="75">
        <f ca="1" t="shared" si="189"/>
        <v>43</v>
      </c>
      <c r="G214" s="75">
        <f ca="1" t="shared" si="189"/>
        <v>35</v>
      </c>
      <c r="H214" s="75">
        <f ca="1" t="shared" si="189"/>
        <v>35</v>
      </c>
      <c r="I214" s="75">
        <f ca="1" t="shared" si="189"/>
        <v>35</v>
      </c>
      <c r="J214" s="75">
        <f ca="1" t="shared" si="189"/>
        <v>35</v>
      </c>
      <c r="K214" s="75">
        <f ca="1" t="shared" si="189"/>
        <v>35</v>
      </c>
      <c r="L214" s="75">
        <f ca="1" t="shared" si="189"/>
        <v>35</v>
      </c>
      <c r="M214" s="75">
        <f ca="1" t="shared" si="189"/>
        <v>31</v>
      </c>
      <c r="N214" s="75">
        <f ca="1" t="shared" si="189"/>
        <v>31</v>
      </c>
      <c r="O214" s="75">
        <f ca="1" t="shared" si="189"/>
        <v>31</v>
      </c>
      <c r="P214" s="75">
        <f ca="1" t="shared" si="189"/>
        <v>30</v>
      </c>
      <c r="Q214" s="75">
        <f ca="1" t="shared" si="189"/>
        <v>30</v>
      </c>
      <c r="R214" s="75">
        <f ca="1" t="shared" si="189"/>
        <v>29</v>
      </c>
      <c r="S214" s="75">
        <f ca="1" t="shared" si="189"/>
        <v>29</v>
      </c>
      <c r="T214" s="75">
        <f ca="1" t="shared" si="189"/>
        <v>26</v>
      </c>
      <c r="U214" s="75">
        <f ca="1" t="shared" si="189"/>
        <v>21</v>
      </c>
      <c r="V214" s="75">
        <f ca="1" t="shared" si="189"/>
        <v>21</v>
      </c>
      <c r="W214" s="75">
        <f ca="1" t="shared" si="136"/>
        <v>20</v>
      </c>
      <c r="X214" s="75">
        <f ca="1" t="shared" si="137"/>
        <v>19</v>
      </c>
      <c r="Y214" s="75">
        <f ca="1" t="shared" si="138"/>
        <v>18</v>
      </c>
    </row>
    <row r="215" ht="16.5" spans="1:25">
      <c r="A215" s="74">
        <v>128</v>
      </c>
      <c r="B215" s="65">
        <v>182</v>
      </c>
      <c r="C215" s="75">
        <f>INT(产出预期!M201)</f>
        <v>21346</v>
      </c>
      <c r="D215" s="75">
        <f ca="1" t="shared" ref="D215:V215" si="190">IFERROR(MATCH(D520*10,OFFSET($AS$339:$AS$388,0,D$335),1),0)</f>
        <v>43</v>
      </c>
      <c r="E215" s="75">
        <f ca="1" t="shared" si="190"/>
        <v>43</v>
      </c>
      <c r="F215" s="75">
        <f ca="1" t="shared" si="190"/>
        <v>43</v>
      </c>
      <c r="G215" s="75">
        <f ca="1" t="shared" si="190"/>
        <v>35</v>
      </c>
      <c r="H215" s="75">
        <f ca="1" t="shared" si="190"/>
        <v>35</v>
      </c>
      <c r="I215" s="75">
        <f ca="1" t="shared" si="190"/>
        <v>35</v>
      </c>
      <c r="J215" s="75">
        <f ca="1" t="shared" si="190"/>
        <v>35</v>
      </c>
      <c r="K215" s="75">
        <f ca="1" t="shared" si="190"/>
        <v>35</v>
      </c>
      <c r="L215" s="75">
        <f ca="1" t="shared" si="190"/>
        <v>35</v>
      </c>
      <c r="M215" s="75">
        <f ca="1" t="shared" si="190"/>
        <v>31</v>
      </c>
      <c r="N215" s="75">
        <f ca="1" t="shared" si="190"/>
        <v>31</v>
      </c>
      <c r="O215" s="75">
        <f ca="1" t="shared" si="190"/>
        <v>31</v>
      </c>
      <c r="P215" s="75">
        <f ca="1" t="shared" si="190"/>
        <v>30</v>
      </c>
      <c r="Q215" s="75">
        <f ca="1" t="shared" si="190"/>
        <v>30</v>
      </c>
      <c r="R215" s="75">
        <f ca="1" t="shared" si="190"/>
        <v>29</v>
      </c>
      <c r="S215" s="75">
        <f ca="1" t="shared" si="190"/>
        <v>29</v>
      </c>
      <c r="T215" s="75">
        <f ca="1" t="shared" si="190"/>
        <v>26</v>
      </c>
      <c r="U215" s="75">
        <f ca="1" t="shared" si="190"/>
        <v>21</v>
      </c>
      <c r="V215" s="75">
        <f ca="1" t="shared" si="190"/>
        <v>21</v>
      </c>
      <c r="W215" s="75">
        <f ca="1" t="shared" si="136"/>
        <v>20</v>
      </c>
      <c r="X215" s="75">
        <f ca="1" t="shared" si="137"/>
        <v>19</v>
      </c>
      <c r="Y215" s="75">
        <f ca="1" t="shared" si="138"/>
        <v>18</v>
      </c>
    </row>
    <row r="216" ht="16.5" spans="1:25">
      <c r="A216" s="74">
        <v>128</v>
      </c>
      <c r="B216" s="65">
        <v>183</v>
      </c>
      <c r="C216" s="75">
        <f>INT(产出预期!M202)</f>
        <v>21456</v>
      </c>
      <c r="D216" s="75">
        <f ca="1" t="shared" ref="D216:V216" si="191">IFERROR(MATCH(D521*10,OFFSET($AS$339:$AS$388,0,D$335),1),0)</f>
        <v>43</v>
      </c>
      <c r="E216" s="75">
        <f ca="1" t="shared" si="191"/>
        <v>43</v>
      </c>
      <c r="F216" s="75">
        <f ca="1" t="shared" si="191"/>
        <v>43</v>
      </c>
      <c r="G216" s="75">
        <f ca="1" t="shared" si="191"/>
        <v>35</v>
      </c>
      <c r="H216" s="75">
        <f ca="1" t="shared" si="191"/>
        <v>35</v>
      </c>
      <c r="I216" s="75">
        <f ca="1" t="shared" si="191"/>
        <v>35</v>
      </c>
      <c r="J216" s="75">
        <f ca="1" t="shared" si="191"/>
        <v>35</v>
      </c>
      <c r="K216" s="75">
        <f ca="1" t="shared" si="191"/>
        <v>35</v>
      </c>
      <c r="L216" s="75">
        <f ca="1" t="shared" si="191"/>
        <v>35</v>
      </c>
      <c r="M216" s="75">
        <f ca="1" t="shared" si="191"/>
        <v>31</v>
      </c>
      <c r="N216" s="75">
        <f ca="1" t="shared" si="191"/>
        <v>31</v>
      </c>
      <c r="O216" s="75">
        <f ca="1" t="shared" si="191"/>
        <v>31</v>
      </c>
      <c r="P216" s="75">
        <f ca="1" t="shared" si="191"/>
        <v>30</v>
      </c>
      <c r="Q216" s="75">
        <f ca="1" t="shared" si="191"/>
        <v>30</v>
      </c>
      <c r="R216" s="75">
        <f ca="1" t="shared" si="191"/>
        <v>29</v>
      </c>
      <c r="S216" s="75">
        <f ca="1" t="shared" si="191"/>
        <v>29</v>
      </c>
      <c r="T216" s="75">
        <f ca="1" t="shared" si="191"/>
        <v>26</v>
      </c>
      <c r="U216" s="75">
        <f ca="1" t="shared" si="191"/>
        <v>21</v>
      </c>
      <c r="V216" s="75">
        <f ca="1" t="shared" si="191"/>
        <v>21</v>
      </c>
      <c r="W216" s="75">
        <f ca="1" t="shared" si="136"/>
        <v>20</v>
      </c>
      <c r="X216" s="75">
        <f ca="1" t="shared" si="137"/>
        <v>19</v>
      </c>
      <c r="Y216" s="75">
        <f ca="1" t="shared" si="138"/>
        <v>18</v>
      </c>
    </row>
    <row r="217" ht="16.5" spans="1:25">
      <c r="A217" s="74">
        <v>129</v>
      </c>
      <c r="B217" s="65">
        <v>184</v>
      </c>
      <c r="C217" s="75">
        <f>INT(产出预期!M203)</f>
        <v>21566</v>
      </c>
      <c r="D217" s="75">
        <f ca="1" t="shared" ref="D217:V217" si="192">IFERROR(MATCH(D522*10,OFFSET($AS$339:$AS$388,0,D$335),1),0)</f>
        <v>43</v>
      </c>
      <c r="E217" s="75">
        <f ca="1" t="shared" si="192"/>
        <v>43</v>
      </c>
      <c r="F217" s="75">
        <f ca="1" t="shared" si="192"/>
        <v>43</v>
      </c>
      <c r="G217" s="75">
        <f ca="1" t="shared" si="192"/>
        <v>35</v>
      </c>
      <c r="H217" s="75">
        <f ca="1" t="shared" si="192"/>
        <v>35</v>
      </c>
      <c r="I217" s="75">
        <f ca="1" t="shared" si="192"/>
        <v>35</v>
      </c>
      <c r="J217" s="75">
        <f ca="1" t="shared" si="192"/>
        <v>35</v>
      </c>
      <c r="K217" s="75">
        <f ca="1" t="shared" si="192"/>
        <v>35</v>
      </c>
      <c r="L217" s="75">
        <f ca="1" t="shared" si="192"/>
        <v>35</v>
      </c>
      <c r="M217" s="75">
        <f ca="1" t="shared" si="192"/>
        <v>31</v>
      </c>
      <c r="N217" s="75">
        <f ca="1" t="shared" si="192"/>
        <v>31</v>
      </c>
      <c r="O217" s="75">
        <f ca="1" t="shared" si="192"/>
        <v>31</v>
      </c>
      <c r="P217" s="75">
        <f ca="1" t="shared" si="192"/>
        <v>30</v>
      </c>
      <c r="Q217" s="75">
        <f ca="1" t="shared" si="192"/>
        <v>30</v>
      </c>
      <c r="R217" s="75">
        <f ca="1" t="shared" si="192"/>
        <v>29</v>
      </c>
      <c r="S217" s="75">
        <f ca="1" t="shared" si="192"/>
        <v>29</v>
      </c>
      <c r="T217" s="75">
        <f ca="1" t="shared" si="192"/>
        <v>26</v>
      </c>
      <c r="U217" s="75">
        <f ca="1" t="shared" si="192"/>
        <v>21</v>
      </c>
      <c r="V217" s="75">
        <f ca="1" t="shared" si="192"/>
        <v>21</v>
      </c>
      <c r="W217" s="75">
        <f ca="1" t="shared" si="136"/>
        <v>20</v>
      </c>
      <c r="X217" s="75">
        <f ca="1" t="shared" si="137"/>
        <v>19</v>
      </c>
      <c r="Y217" s="75">
        <f ca="1" t="shared" si="138"/>
        <v>18</v>
      </c>
    </row>
    <row r="218" ht="16.5" spans="1:25">
      <c r="A218" s="74">
        <v>129</v>
      </c>
      <c r="B218" s="65">
        <v>185</v>
      </c>
      <c r="C218" s="75">
        <f>INT(产出预期!M204)</f>
        <v>21676</v>
      </c>
      <c r="D218" s="75">
        <f ca="1" t="shared" ref="D218:V218" si="193">IFERROR(MATCH(D523*10,OFFSET($AS$339:$AS$388,0,D$335),1),0)</f>
        <v>43</v>
      </c>
      <c r="E218" s="75">
        <f ca="1" t="shared" si="193"/>
        <v>43</v>
      </c>
      <c r="F218" s="75">
        <f ca="1" t="shared" si="193"/>
        <v>43</v>
      </c>
      <c r="G218" s="75">
        <f ca="1" t="shared" si="193"/>
        <v>35</v>
      </c>
      <c r="H218" s="75">
        <f ca="1" t="shared" si="193"/>
        <v>35</v>
      </c>
      <c r="I218" s="75">
        <f ca="1" t="shared" si="193"/>
        <v>35</v>
      </c>
      <c r="J218" s="75">
        <f ca="1" t="shared" si="193"/>
        <v>35</v>
      </c>
      <c r="K218" s="75">
        <f ca="1" t="shared" si="193"/>
        <v>35</v>
      </c>
      <c r="L218" s="75">
        <f ca="1" t="shared" si="193"/>
        <v>35</v>
      </c>
      <c r="M218" s="75">
        <f ca="1" t="shared" si="193"/>
        <v>31</v>
      </c>
      <c r="N218" s="75">
        <f ca="1" t="shared" si="193"/>
        <v>31</v>
      </c>
      <c r="O218" s="75">
        <f ca="1" t="shared" si="193"/>
        <v>31</v>
      </c>
      <c r="P218" s="75">
        <f ca="1" t="shared" si="193"/>
        <v>30</v>
      </c>
      <c r="Q218" s="75">
        <f ca="1" t="shared" si="193"/>
        <v>30</v>
      </c>
      <c r="R218" s="75">
        <f ca="1" t="shared" si="193"/>
        <v>29</v>
      </c>
      <c r="S218" s="75">
        <f ca="1" t="shared" si="193"/>
        <v>29</v>
      </c>
      <c r="T218" s="75">
        <f ca="1" t="shared" si="193"/>
        <v>26</v>
      </c>
      <c r="U218" s="75">
        <f ca="1" t="shared" si="193"/>
        <v>21</v>
      </c>
      <c r="V218" s="75">
        <f ca="1" t="shared" si="193"/>
        <v>21</v>
      </c>
      <c r="W218" s="75">
        <f ca="1" t="shared" si="136"/>
        <v>20</v>
      </c>
      <c r="X218" s="75">
        <f ca="1" t="shared" si="137"/>
        <v>19</v>
      </c>
      <c r="Y218" s="75">
        <f ca="1" t="shared" si="138"/>
        <v>18</v>
      </c>
    </row>
    <row r="219" ht="16.5" spans="1:25">
      <c r="A219" s="74">
        <v>129</v>
      </c>
      <c r="B219" s="65">
        <v>186</v>
      </c>
      <c r="C219" s="75">
        <f>INT(产出预期!M205)</f>
        <v>21786</v>
      </c>
      <c r="D219" s="75">
        <f ca="1" t="shared" ref="D219:V219" si="194">IFERROR(MATCH(D524*10,OFFSET($AS$339:$AS$388,0,D$335),1),0)</f>
        <v>43</v>
      </c>
      <c r="E219" s="75">
        <f ca="1" t="shared" si="194"/>
        <v>43</v>
      </c>
      <c r="F219" s="75">
        <f ca="1" t="shared" si="194"/>
        <v>43</v>
      </c>
      <c r="G219" s="75">
        <f ca="1" t="shared" si="194"/>
        <v>35</v>
      </c>
      <c r="H219" s="75">
        <f ca="1" t="shared" si="194"/>
        <v>35</v>
      </c>
      <c r="I219" s="75">
        <f ca="1" t="shared" si="194"/>
        <v>35</v>
      </c>
      <c r="J219" s="75">
        <f ca="1" t="shared" si="194"/>
        <v>35</v>
      </c>
      <c r="K219" s="75">
        <f ca="1" t="shared" si="194"/>
        <v>35</v>
      </c>
      <c r="L219" s="75">
        <f ca="1" t="shared" si="194"/>
        <v>35</v>
      </c>
      <c r="M219" s="75">
        <f ca="1" t="shared" si="194"/>
        <v>31</v>
      </c>
      <c r="N219" s="75">
        <f ca="1" t="shared" si="194"/>
        <v>31</v>
      </c>
      <c r="O219" s="75">
        <f ca="1" t="shared" si="194"/>
        <v>31</v>
      </c>
      <c r="P219" s="75">
        <f ca="1" t="shared" si="194"/>
        <v>30</v>
      </c>
      <c r="Q219" s="75">
        <f ca="1" t="shared" si="194"/>
        <v>30</v>
      </c>
      <c r="R219" s="75">
        <f ca="1" t="shared" si="194"/>
        <v>29</v>
      </c>
      <c r="S219" s="75">
        <f ca="1" t="shared" si="194"/>
        <v>29</v>
      </c>
      <c r="T219" s="75">
        <f ca="1" t="shared" si="194"/>
        <v>26</v>
      </c>
      <c r="U219" s="75">
        <f ca="1" t="shared" si="194"/>
        <v>21</v>
      </c>
      <c r="V219" s="75">
        <f ca="1" t="shared" si="194"/>
        <v>21</v>
      </c>
      <c r="W219" s="75">
        <f ca="1" t="shared" si="136"/>
        <v>20</v>
      </c>
      <c r="X219" s="75">
        <f ca="1" t="shared" si="137"/>
        <v>19</v>
      </c>
      <c r="Y219" s="75">
        <f ca="1" t="shared" si="138"/>
        <v>18</v>
      </c>
    </row>
    <row r="220" ht="16.5" spans="1:25">
      <c r="A220" s="74">
        <v>130</v>
      </c>
      <c r="B220" s="65">
        <v>187</v>
      </c>
      <c r="C220" s="75">
        <f>INT(产出预期!M206)</f>
        <v>21896</v>
      </c>
      <c r="D220" s="75">
        <f ca="1" t="shared" ref="D220:V220" si="195">IFERROR(MATCH(D525*10,OFFSET($AS$339:$AS$388,0,D$335),1),0)</f>
        <v>43</v>
      </c>
      <c r="E220" s="75">
        <f ca="1" t="shared" si="195"/>
        <v>43</v>
      </c>
      <c r="F220" s="75">
        <f ca="1" t="shared" si="195"/>
        <v>43</v>
      </c>
      <c r="G220" s="75">
        <f ca="1" t="shared" si="195"/>
        <v>35</v>
      </c>
      <c r="H220" s="75">
        <f ca="1" t="shared" si="195"/>
        <v>35</v>
      </c>
      <c r="I220" s="75">
        <f ca="1" t="shared" si="195"/>
        <v>35</v>
      </c>
      <c r="J220" s="75">
        <f ca="1" t="shared" si="195"/>
        <v>35</v>
      </c>
      <c r="K220" s="75">
        <f ca="1" t="shared" si="195"/>
        <v>35</v>
      </c>
      <c r="L220" s="75">
        <f ca="1" t="shared" si="195"/>
        <v>35</v>
      </c>
      <c r="M220" s="75">
        <f ca="1" t="shared" si="195"/>
        <v>31</v>
      </c>
      <c r="N220" s="75">
        <f ca="1" t="shared" si="195"/>
        <v>31</v>
      </c>
      <c r="O220" s="75">
        <f ca="1" t="shared" si="195"/>
        <v>31</v>
      </c>
      <c r="P220" s="75">
        <f ca="1" t="shared" si="195"/>
        <v>31</v>
      </c>
      <c r="Q220" s="75">
        <f ca="1" t="shared" si="195"/>
        <v>30</v>
      </c>
      <c r="R220" s="75">
        <f ca="1" t="shared" si="195"/>
        <v>29</v>
      </c>
      <c r="S220" s="75">
        <f ca="1" t="shared" si="195"/>
        <v>29</v>
      </c>
      <c r="T220" s="75">
        <f ca="1" t="shared" si="195"/>
        <v>26</v>
      </c>
      <c r="U220" s="75">
        <f ca="1" t="shared" si="195"/>
        <v>21</v>
      </c>
      <c r="V220" s="75">
        <f ca="1" t="shared" si="195"/>
        <v>21</v>
      </c>
      <c r="W220" s="75">
        <f ca="1" t="shared" si="136"/>
        <v>20</v>
      </c>
      <c r="X220" s="75">
        <f ca="1" t="shared" si="137"/>
        <v>19</v>
      </c>
      <c r="Y220" s="75">
        <f ca="1" t="shared" si="138"/>
        <v>18</v>
      </c>
    </row>
    <row r="221" ht="16.5" spans="1:25">
      <c r="A221" s="74">
        <v>130</v>
      </c>
      <c r="B221" s="65">
        <v>188</v>
      </c>
      <c r="C221" s="75">
        <f>INT(产出预期!M207)</f>
        <v>22006</v>
      </c>
      <c r="D221" s="75">
        <f ca="1" t="shared" ref="D221:V221" si="196">IFERROR(MATCH(D526*10,OFFSET($AS$339:$AS$388,0,D$335),1),0)</f>
        <v>43</v>
      </c>
      <c r="E221" s="75">
        <f ca="1" t="shared" si="196"/>
        <v>43</v>
      </c>
      <c r="F221" s="75">
        <f ca="1" t="shared" si="196"/>
        <v>43</v>
      </c>
      <c r="G221" s="75">
        <f ca="1" t="shared" si="196"/>
        <v>35</v>
      </c>
      <c r="H221" s="75">
        <f ca="1" t="shared" si="196"/>
        <v>35</v>
      </c>
      <c r="I221" s="75">
        <f ca="1" t="shared" si="196"/>
        <v>35</v>
      </c>
      <c r="J221" s="75">
        <f ca="1" t="shared" si="196"/>
        <v>35</v>
      </c>
      <c r="K221" s="75">
        <f ca="1" t="shared" si="196"/>
        <v>35</v>
      </c>
      <c r="L221" s="75">
        <f ca="1" t="shared" si="196"/>
        <v>35</v>
      </c>
      <c r="M221" s="75">
        <f ca="1" t="shared" si="196"/>
        <v>31</v>
      </c>
      <c r="N221" s="75">
        <f ca="1" t="shared" si="196"/>
        <v>31</v>
      </c>
      <c r="O221" s="75">
        <f ca="1" t="shared" si="196"/>
        <v>31</v>
      </c>
      <c r="P221" s="75">
        <f ca="1" t="shared" si="196"/>
        <v>31</v>
      </c>
      <c r="Q221" s="75">
        <f ca="1" t="shared" si="196"/>
        <v>31</v>
      </c>
      <c r="R221" s="75">
        <f ca="1" t="shared" si="196"/>
        <v>29</v>
      </c>
      <c r="S221" s="75">
        <f ca="1" t="shared" si="196"/>
        <v>29</v>
      </c>
      <c r="T221" s="75">
        <f ca="1" t="shared" si="196"/>
        <v>26</v>
      </c>
      <c r="U221" s="75">
        <f ca="1" t="shared" si="196"/>
        <v>21</v>
      </c>
      <c r="V221" s="75">
        <f ca="1" t="shared" si="196"/>
        <v>21</v>
      </c>
      <c r="W221" s="75">
        <f ca="1" t="shared" si="136"/>
        <v>20</v>
      </c>
      <c r="X221" s="75">
        <f ca="1" t="shared" si="137"/>
        <v>19</v>
      </c>
      <c r="Y221" s="75">
        <f ca="1" t="shared" si="138"/>
        <v>18</v>
      </c>
    </row>
    <row r="222" ht="16.5" spans="1:25">
      <c r="A222" s="74">
        <v>130</v>
      </c>
      <c r="B222" s="65">
        <v>189</v>
      </c>
      <c r="C222" s="75">
        <f>INT(产出预期!M208)</f>
        <v>22116</v>
      </c>
      <c r="D222" s="75">
        <f ca="1" t="shared" ref="D222:V222" si="197">IFERROR(MATCH(D527*10,OFFSET($AS$339:$AS$388,0,D$335),1),0)</f>
        <v>43</v>
      </c>
      <c r="E222" s="75">
        <f ca="1" t="shared" si="197"/>
        <v>43</v>
      </c>
      <c r="F222" s="75">
        <f ca="1" t="shared" si="197"/>
        <v>43</v>
      </c>
      <c r="G222" s="75">
        <f ca="1" t="shared" si="197"/>
        <v>35</v>
      </c>
      <c r="H222" s="75">
        <f ca="1" t="shared" si="197"/>
        <v>35</v>
      </c>
      <c r="I222" s="75">
        <f ca="1" t="shared" si="197"/>
        <v>35</v>
      </c>
      <c r="J222" s="75">
        <f ca="1" t="shared" si="197"/>
        <v>35</v>
      </c>
      <c r="K222" s="75">
        <f ca="1" t="shared" si="197"/>
        <v>35</v>
      </c>
      <c r="L222" s="75">
        <f ca="1" t="shared" si="197"/>
        <v>35</v>
      </c>
      <c r="M222" s="75">
        <f ca="1" t="shared" si="197"/>
        <v>31</v>
      </c>
      <c r="N222" s="75">
        <f ca="1" t="shared" si="197"/>
        <v>31</v>
      </c>
      <c r="O222" s="75">
        <f ca="1" t="shared" si="197"/>
        <v>31</v>
      </c>
      <c r="P222" s="75">
        <f ca="1" t="shared" si="197"/>
        <v>31</v>
      </c>
      <c r="Q222" s="75">
        <f ca="1" t="shared" si="197"/>
        <v>31</v>
      </c>
      <c r="R222" s="75">
        <f ca="1" t="shared" si="197"/>
        <v>30</v>
      </c>
      <c r="S222" s="75">
        <f ca="1" t="shared" si="197"/>
        <v>29</v>
      </c>
      <c r="T222" s="75">
        <f ca="1" t="shared" si="197"/>
        <v>26</v>
      </c>
      <c r="U222" s="75">
        <f ca="1" t="shared" si="197"/>
        <v>21</v>
      </c>
      <c r="V222" s="75">
        <f ca="1" t="shared" si="197"/>
        <v>21</v>
      </c>
      <c r="W222" s="75">
        <f ca="1" t="shared" si="136"/>
        <v>20</v>
      </c>
      <c r="X222" s="75">
        <f ca="1" t="shared" si="137"/>
        <v>19</v>
      </c>
      <c r="Y222" s="75">
        <f ca="1" t="shared" si="138"/>
        <v>18</v>
      </c>
    </row>
    <row r="223" ht="16.5" spans="1:25">
      <c r="A223" s="74">
        <v>131</v>
      </c>
      <c r="B223" s="65">
        <v>190</v>
      </c>
      <c r="C223" s="75">
        <f>INT(产出预期!M209)</f>
        <v>22226</v>
      </c>
      <c r="D223" s="75">
        <f ca="1" t="shared" ref="D223:V223" si="198">IFERROR(MATCH(D528*10,OFFSET($AS$339:$AS$388,0,D$335),1),0)</f>
        <v>43</v>
      </c>
      <c r="E223" s="75">
        <f ca="1" t="shared" si="198"/>
        <v>43</v>
      </c>
      <c r="F223" s="75">
        <f ca="1" t="shared" si="198"/>
        <v>43</v>
      </c>
      <c r="G223" s="75">
        <f ca="1" t="shared" si="198"/>
        <v>35</v>
      </c>
      <c r="H223" s="75">
        <f ca="1" t="shared" si="198"/>
        <v>35</v>
      </c>
      <c r="I223" s="75">
        <f ca="1" t="shared" si="198"/>
        <v>35</v>
      </c>
      <c r="J223" s="75">
        <f ca="1" t="shared" si="198"/>
        <v>35</v>
      </c>
      <c r="K223" s="75">
        <f ca="1" t="shared" si="198"/>
        <v>35</v>
      </c>
      <c r="L223" s="75">
        <f ca="1" t="shared" si="198"/>
        <v>35</v>
      </c>
      <c r="M223" s="75">
        <f ca="1" t="shared" si="198"/>
        <v>31</v>
      </c>
      <c r="N223" s="75">
        <f ca="1" t="shared" si="198"/>
        <v>31</v>
      </c>
      <c r="O223" s="75">
        <f ca="1" t="shared" si="198"/>
        <v>31</v>
      </c>
      <c r="P223" s="75">
        <f ca="1" t="shared" si="198"/>
        <v>31</v>
      </c>
      <c r="Q223" s="75">
        <f ca="1" t="shared" si="198"/>
        <v>31</v>
      </c>
      <c r="R223" s="75">
        <f ca="1" t="shared" si="198"/>
        <v>30</v>
      </c>
      <c r="S223" s="75">
        <f ca="1" t="shared" si="198"/>
        <v>29</v>
      </c>
      <c r="T223" s="75">
        <f ca="1" t="shared" si="198"/>
        <v>26</v>
      </c>
      <c r="U223" s="75">
        <f ca="1" t="shared" si="198"/>
        <v>21</v>
      </c>
      <c r="V223" s="75">
        <f ca="1" t="shared" si="198"/>
        <v>21</v>
      </c>
      <c r="W223" s="75">
        <f ca="1" t="shared" si="136"/>
        <v>20</v>
      </c>
      <c r="X223" s="75">
        <f ca="1" t="shared" si="137"/>
        <v>19</v>
      </c>
      <c r="Y223" s="75">
        <f ca="1" t="shared" si="138"/>
        <v>18</v>
      </c>
    </row>
    <row r="224" ht="16.5" spans="1:25">
      <c r="A224" s="74">
        <v>131</v>
      </c>
      <c r="B224" s="65">
        <v>191</v>
      </c>
      <c r="C224" s="75">
        <f>INT(产出预期!M210)</f>
        <v>22336</v>
      </c>
      <c r="D224" s="75">
        <f ca="1" t="shared" ref="D224:V224" si="199">IFERROR(MATCH(D529*10,OFFSET($AS$339:$AS$388,0,D$335),1),0)</f>
        <v>43</v>
      </c>
      <c r="E224" s="75">
        <f ca="1" t="shared" si="199"/>
        <v>43</v>
      </c>
      <c r="F224" s="75">
        <f ca="1" t="shared" si="199"/>
        <v>43</v>
      </c>
      <c r="G224" s="75">
        <f ca="1" t="shared" si="199"/>
        <v>35</v>
      </c>
      <c r="H224" s="75">
        <f ca="1" t="shared" si="199"/>
        <v>35</v>
      </c>
      <c r="I224" s="75">
        <f ca="1" t="shared" si="199"/>
        <v>35</v>
      </c>
      <c r="J224" s="75">
        <f ca="1" t="shared" si="199"/>
        <v>35</v>
      </c>
      <c r="K224" s="75">
        <f ca="1" t="shared" si="199"/>
        <v>35</v>
      </c>
      <c r="L224" s="75">
        <f ca="1" t="shared" si="199"/>
        <v>35</v>
      </c>
      <c r="M224" s="75">
        <f ca="1" t="shared" si="199"/>
        <v>31</v>
      </c>
      <c r="N224" s="75">
        <f ca="1" t="shared" si="199"/>
        <v>31</v>
      </c>
      <c r="O224" s="75">
        <f ca="1" t="shared" si="199"/>
        <v>31</v>
      </c>
      <c r="P224" s="75">
        <f ca="1" t="shared" si="199"/>
        <v>31</v>
      </c>
      <c r="Q224" s="75">
        <f ca="1" t="shared" si="199"/>
        <v>31</v>
      </c>
      <c r="R224" s="75">
        <f ca="1" t="shared" si="199"/>
        <v>30</v>
      </c>
      <c r="S224" s="75">
        <f ca="1" t="shared" si="199"/>
        <v>29</v>
      </c>
      <c r="T224" s="75">
        <f ca="1" t="shared" si="199"/>
        <v>26</v>
      </c>
      <c r="U224" s="75">
        <f ca="1" t="shared" si="199"/>
        <v>21</v>
      </c>
      <c r="V224" s="75">
        <f ca="1" t="shared" si="199"/>
        <v>21</v>
      </c>
      <c r="W224" s="75">
        <f ca="1" t="shared" si="136"/>
        <v>20</v>
      </c>
      <c r="X224" s="75">
        <f ca="1" t="shared" si="137"/>
        <v>19</v>
      </c>
      <c r="Y224" s="75">
        <f ca="1" t="shared" si="138"/>
        <v>18</v>
      </c>
    </row>
    <row r="225" ht="16.5" spans="1:25">
      <c r="A225" s="74">
        <v>131</v>
      </c>
      <c r="B225" s="65">
        <v>192</v>
      </c>
      <c r="C225" s="75">
        <f>INT(产出预期!M211)</f>
        <v>22446</v>
      </c>
      <c r="D225" s="75">
        <f ca="1" t="shared" ref="D225:V225" si="200">IFERROR(MATCH(D530*10,OFFSET($AS$339:$AS$388,0,D$335),1),0)</f>
        <v>43</v>
      </c>
      <c r="E225" s="75">
        <f ca="1" t="shared" si="200"/>
        <v>43</v>
      </c>
      <c r="F225" s="75">
        <f ca="1" t="shared" si="200"/>
        <v>43</v>
      </c>
      <c r="G225" s="75">
        <f ca="1" t="shared" si="200"/>
        <v>35</v>
      </c>
      <c r="H225" s="75">
        <f ca="1" t="shared" si="200"/>
        <v>35</v>
      </c>
      <c r="I225" s="75">
        <f ca="1" t="shared" si="200"/>
        <v>35</v>
      </c>
      <c r="J225" s="75">
        <f ca="1" t="shared" si="200"/>
        <v>35</v>
      </c>
      <c r="K225" s="75">
        <f ca="1" t="shared" si="200"/>
        <v>35</v>
      </c>
      <c r="L225" s="75">
        <f ca="1" t="shared" si="200"/>
        <v>35</v>
      </c>
      <c r="M225" s="75">
        <f ca="1" t="shared" si="200"/>
        <v>31</v>
      </c>
      <c r="N225" s="75">
        <f ca="1" t="shared" si="200"/>
        <v>31</v>
      </c>
      <c r="O225" s="75">
        <f ca="1" t="shared" si="200"/>
        <v>31</v>
      </c>
      <c r="P225" s="75">
        <f ca="1" t="shared" si="200"/>
        <v>31</v>
      </c>
      <c r="Q225" s="75">
        <f ca="1" t="shared" si="200"/>
        <v>31</v>
      </c>
      <c r="R225" s="75">
        <f ca="1" t="shared" si="200"/>
        <v>30</v>
      </c>
      <c r="S225" s="75">
        <f ca="1" t="shared" si="200"/>
        <v>29</v>
      </c>
      <c r="T225" s="75">
        <f ca="1" t="shared" si="200"/>
        <v>26</v>
      </c>
      <c r="U225" s="75">
        <f ca="1" t="shared" si="200"/>
        <v>21</v>
      </c>
      <c r="V225" s="75">
        <f ca="1" t="shared" si="200"/>
        <v>21</v>
      </c>
      <c r="W225" s="75">
        <f ca="1" t="shared" si="136"/>
        <v>20</v>
      </c>
      <c r="X225" s="75">
        <f ca="1" t="shared" si="137"/>
        <v>19</v>
      </c>
      <c r="Y225" s="75">
        <f ca="1" t="shared" si="138"/>
        <v>18</v>
      </c>
    </row>
    <row r="226" ht="16.5" spans="1:25">
      <c r="A226" s="74">
        <v>132</v>
      </c>
      <c r="B226" s="65">
        <v>193</v>
      </c>
      <c r="C226" s="75">
        <f>INT(产出预期!M212)</f>
        <v>22556</v>
      </c>
      <c r="D226" s="75">
        <f ca="1" t="shared" ref="D226:V226" si="201">IFERROR(MATCH(D531*10,OFFSET($AS$339:$AS$388,0,D$335),1),0)</f>
        <v>43</v>
      </c>
      <c r="E226" s="75">
        <f ca="1" t="shared" si="201"/>
        <v>43</v>
      </c>
      <c r="F226" s="75">
        <f ca="1" t="shared" si="201"/>
        <v>43</v>
      </c>
      <c r="G226" s="75">
        <f ca="1" t="shared" si="201"/>
        <v>35</v>
      </c>
      <c r="H226" s="75">
        <f ca="1" t="shared" si="201"/>
        <v>35</v>
      </c>
      <c r="I226" s="75">
        <f ca="1" t="shared" si="201"/>
        <v>35</v>
      </c>
      <c r="J226" s="75">
        <f ca="1" t="shared" si="201"/>
        <v>35</v>
      </c>
      <c r="K226" s="75">
        <f ca="1" t="shared" si="201"/>
        <v>35</v>
      </c>
      <c r="L226" s="75">
        <f ca="1" t="shared" si="201"/>
        <v>35</v>
      </c>
      <c r="M226" s="75">
        <f ca="1" t="shared" si="201"/>
        <v>31</v>
      </c>
      <c r="N226" s="75">
        <f ca="1" t="shared" si="201"/>
        <v>31</v>
      </c>
      <c r="O226" s="75">
        <f ca="1" t="shared" si="201"/>
        <v>31</v>
      </c>
      <c r="P226" s="75">
        <f ca="1" t="shared" si="201"/>
        <v>31</v>
      </c>
      <c r="Q226" s="75">
        <f ca="1" t="shared" si="201"/>
        <v>31</v>
      </c>
      <c r="R226" s="75">
        <f ca="1" t="shared" si="201"/>
        <v>30</v>
      </c>
      <c r="S226" s="75">
        <f ca="1" t="shared" si="201"/>
        <v>29</v>
      </c>
      <c r="T226" s="75">
        <f ca="1" t="shared" si="201"/>
        <v>26</v>
      </c>
      <c r="U226" s="75">
        <f ca="1" t="shared" si="201"/>
        <v>21</v>
      </c>
      <c r="V226" s="75">
        <f ca="1" t="shared" si="201"/>
        <v>21</v>
      </c>
      <c r="W226" s="75">
        <f ca="1" t="shared" si="136"/>
        <v>20</v>
      </c>
      <c r="X226" s="75">
        <f ca="1" t="shared" si="137"/>
        <v>19</v>
      </c>
      <c r="Y226" s="75">
        <f ca="1" t="shared" si="138"/>
        <v>18</v>
      </c>
    </row>
    <row r="227" ht="16.5" spans="1:25">
      <c r="A227" s="74">
        <v>132</v>
      </c>
      <c r="B227" s="65">
        <v>194</v>
      </c>
      <c r="C227" s="75">
        <f>INT(产出预期!M213)</f>
        <v>22666</v>
      </c>
      <c r="D227" s="75">
        <f ca="1" t="shared" ref="D227:V227" si="202">IFERROR(MATCH(D532*10,OFFSET($AS$339:$AS$388,0,D$335),1),0)</f>
        <v>43</v>
      </c>
      <c r="E227" s="75">
        <f ca="1" t="shared" si="202"/>
        <v>43</v>
      </c>
      <c r="F227" s="75">
        <f ca="1" t="shared" si="202"/>
        <v>43</v>
      </c>
      <c r="G227" s="75">
        <f ca="1" t="shared" si="202"/>
        <v>35</v>
      </c>
      <c r="H227" s="75">
        <f ca="1" t="shared" si="202"/>
        <v>35</v>
      </c>
      <c r="I227" s="75">
        <f ca="1" t="shared" si="202"/>
        <v>35</v>
      </c>
      <c r="J227" s="75">
        <f ca="1" t="shared" si="202"/>
        <v>35</v>
      </c>
      <c r="K227" s="75">
        <f ca="1" t="shared" si="202"/>
        <v>35</v>
      </c>
      <c r="L227" s="75">
        <f ca="1" t="shared" si="202"/>
        <v>35</v>
      </c>
      <c r="M227" s="75">
        <f ca="1" t="shared" si="202"/>
        <v>31</v>
      </c>
      <c r="N227" s="75">
        <f ca="1" t="shared" si="202"/>
        <v>31</v>
      </c>
      <c r="O227" s="75">
        <f ca="1" t="shared" si="202"/>
        <v>31</v>
      </c>
      <c r="P227" s="75">
        <f ca="1" t="shared" si="202"/>
        <v>31</v>
      </c>
      <c r="Q227" s="75">
        <f ca="1" t="shared" si="202"/>
        <v>31</v>
      </c>
      <c r="R227" s="75">
        <f ca="1" t="shared" si="202"/>
        <v>30</v>
      </c>
      <c r="S227" s="75">
        <f ca="1" t="shared" si="202"/>
        <v>29</v>
      </c>
      <c r="T227" s="75">
        <f ca="1" t="shared" si="202"/>
        <v>26</v>
      </c>
      <c r="U227" s="75">
        <f ca="1" t="shared" si="202"/>
        <v>21</v>
      </c>
      <c r="V227" s="75">
        <f ca="1" t="shared" si="202"/>
        <v>21</v>
      </c>
      <c r="W227" s="75">
        <f ca="1" t="shared" ref="W227:W290" si="203">IFERROR(MATCH(W532*10,OFFSET($AS$339:$AS$388,0,W$335),1),0)</f>
        <v>20</v>
      </c>
      <c r="X227" s="75">
        <f ca="1" t="shared" ref="X227:X290" si="204">IFERROR(MATCH(X532*10,OFFSET($AS$339:$AS$388,0,X$335),1),0)</f>
        <v>19</v>
      </c>
      <c r="Y227" s="75">
        <f ca="1" t="shared" ref="Y227:Y290" si="205">IFERROR(MATCH(Y532*10,OFFSET($AS$339:$AS$388,0,Y$335),1),0)</f>
        <v>18</v>
      </c>
    </row>
    <row r="228" ht="16.5" spans="1:25">
      <c r="A228" s="74">
        <v>132</v>
      </c>
      <c r="B228" s="65">
        <v>195</v>
      </c>
      <c r="C228" s="75">
        <f>INT(产出预期!M214)</f>
        <v>22776</v>
      </c>
      <c r="D228" s="75">
        <f ca="1" t="shared" ref="D228:V228" si="206">IFERROR(MATCH(D533*10,OFFSET($AS$339:$AS$388,0,D$335),1),0)</f>
        <v>43</v>
      </c>
      <c r="E228" s="75">
        <f ca="1" t="shared" si="206"/>
        <v>43</v>
      </c>
      <c r="F228" s="75">
        <f ca="1" t="shared" si="206"/>
        <v>43</v>
      </c>
      <c r="G228" s="75">
        <f ca="1" t="shared" si="206"/>
        <v>35</v>
      </c>
      <c r="H228" s="75">
        <f ca="1" t="shared" si="206"/>
        <v>35</v>
      </c>
      <c r="I228" s="75">
        <f ca="1" t="shared" si="206"/>
        <v>35</v>
      </c>
      <c r="J228" s="75">
        <f ca="1" t="shared" si="206"/>
        <v>35</v>
      </c>
      <c r="K228" s="75">
        <f ca="1" t="shared" si="206"/>
        <v>35</v>
      </c>
      <c r="L228" s="75">
        <f ca="1" t="shared" si="206"/>
        <v>35</v>
      </c>
      <c r="M228" s="75">
        <f ca="1" t="shared" si="206"/>
        <v>31</v>
      </c>
      <c r="N228" s="75">
        <f ca="1" t="shared" si="206"/>
        <v>31</v>
      </c>
      <c r="O228" s="75">
        <f ca="1" t="shared" si="206"/>
        <v>31</v>
      </c>
      <c r="P228" s="75">
        <f ca="1" t="shared" si="206"/>
        <v>31</v>
      </c>
      <c r="Q228" s="75">
        <f ca="1" t="shared" si="206"/>
        <v>31</v>
      </c>
      <c r="R228" s="75">
        <f ca="1" t="shared" si="206"/>
        <v>30</v>
      </c>
      <c r="S228" s="75">
        <f ca="1" t="shared" si="206"/>
        <v>29</v>
      </c>
      <c r="T228" s="75">
        <f ca="1" t="shared" si="206"/>
        <v>26</v>
      </c>
      <c r="U228" s="75">
        <f ca="1" t="shared" si="206"/>
        <v>21</v>
      </c>
      <c r="V228" s="75">
        <f ca="1" t="shared" si="206"/>
        <v>21</v>
      </c>
      <c r="W228" s="75">
        <f ca="1" t="shared" si="203"/>
        <v>20</v>
      </c>
      <c r="X228" s="75">
        <f ca="1" t="shared" si="204"/>
        <v>19</v>
      </c>
      <c r="Y228" s="75">
        <f ca="1" t="shared" si="205"/>
        <v>18</v>
      </c>
    </row>
    <row r="229" ht="16.5" spans="1:25">
      <c r="A229" s="74">
        <v>133</v>
      </c>
      <c r="B229" s="65">
        <v>196</v>
      </c>
      <c r="C229" s="75">
        <f>INT(产出预期!M215)</f>
        <v>22886</v>
      </c>
      <c r="D229" s="75">
        <f ca="1" t="shared" ref="D229:V229" si="207">IFERROR(MATCH(D534*10,OFFSET($AS$339:$AS$388,0,D$335),1),0)</f>
        <v>43</v>
      </c>
      <c r="E229" s="75">
        <f ca="1" t="shared" si="207"/>
        <v>43</v>
      </c>
      <c r="F229" s="75">
        <f ca="1" t="shared" si="207"/>
        <v>43</v>
      </c>
      <c r="G229" s="75">
        <f ca="1" t="shared" si="207"/>
        <v>35</v>
      </c>
      <c r="H229" s="75">
        <f ca="1" t="shared" si="207"/>
        <v>35</v>
      </c>
      <c r="I229" s="75">
        <f ca="1" t="shared" si="207"/>
        <v>35</v>
      </c>
      <c r="J229" s="75">
        <f ca="1" t="shared" si="207"/>
        <v>35</v>
      </c>
      <c r="K229" s="75">
        <f ca="1" t="shared" si="207"/>
        <v>35</v>
      </c>
      <c r="L229" s="75">
        <f ca="1" t="shared" si="207"/>
        <v>35</v>
      </c>
      <c r="M229" s="75">
        <f ca="1" t="shared" si="207"/>
        <v>31</v>
      </c>
      <c r="N229" s="75">
        <f ca="1" t="shared" si="207"/>
        <v>31</v>
      </c>
      <c r="O229" s="75">
        <f ca="1" t="shared" si="207"/>
        <v>31</v>
      </c>
      <c r="P229" s="75">
        <f ca="1" t="shared" si="207"/>
        <v>31</v>
      </c>
      <c r="Q229" s="75">
        <f ca="1" t="shared" si="207"/>
        <v>31</v>
      </c>
      <c r="R229" s="75">
        <f ca="1" t="shared" si="207"/>
        <v>30</v>
      </c>
      <c r="S229" s="75">
        <f ca="1" t="shared" si="207"/>
        <v>29</v>
      </c>
      <c r="T229" s="75">
        <f ca="1" t="shared" si="207"/>
        <v>26</v>
      </c>
      <c r="U229" s="75">
        <f ca="1" t="shared" si="207"/>
        <v>21</v>
      </c>
      <c r="V229" s="75">
        <f ca="1" t="shared" si="207"/>
        <v>21</v>
      </c>
      <c r="W229" s="75">
        <f ca="1" t="shared" si="203"/>
        <v>20</v>
      </c>
      <c r="X229" s="75">
        <f ca="1" t="shared" si="204"/>
        <v>19</v>
      </c>
      <c r="Y229" s="75">
        <f ca="1" t="shared" si="205"/>
        <v>18</v>
      </c>
    </row>
    <row r="230" ht="16.5" spans="1:25">
      <c r="A230" s="74">
        <v>133</v>
      </c>
      <c r="B230" s="65">
        <v>197</v>
      </c>
      <c r="C230" s="75">
        <f>INT(产出预期!M216)</f>
        <v>22996</v>
      </c>
      <c r="D230" s="75">
        <f ca="1" t="shared" ref="D230:V230" si="208">IFERROR(MATCH(D535*10,OFFSET($AS$339:$AS$388,0,D$335),1),0)</f>
        <v>43</v>
      </c>
      <c r="E230" s="75">
        <f ca="1" t="shared" si="208"/>
        <v>43</v>
      </c>
      <c r="F230" s="75">
        <f ca="1" t="shared" si="208"/>
        <v>43</v>
      </c>
      <c r="G230" s="75">
        <f ca="1" t="shared" si="208"/>
        <v>35</v>
      </c>
      <c r="H230" s="75">
        <f ca="1" t="shared" si="208"/>
        <v>35</v>
      </c>
      <c r="I230" s="75">
        <f ca="1" t="shared" si="208"/>
        <v>35</v>
      </c>
      <c r="J230" s="75">
        <f ca="1" t="shared" si="208"/>
        <v>35</v>
      </c>
      <c r="K230" s="75">
        <f ca="1" t="shared" si="208"/>
        <v>35</v>
      </c>
      <c r="L230" s="75">
        <f ca="1" t="shared" si="208"/>
        <v>35</v>
      </c>
      <c r="M230" s="75">
        <f ca="1" t="shared" si="208"/>
        <v>32</v>
      </c>
      <c r="N230" s="75">
        <f ca="1" t="shared" si="208"/>
        <v>31</v>
      </c>
      <c r="O230" s="75">
        <f ca="1" t="shared" si="208"/>
        <v>31</v>
      </c>
      <c r="P230" s="75">
        <f ca="1" t="shared" si="208"/>
        <v>31</v>
      </c>
      <c r="Q230" s="75">
        <f ca="1" t="shared" si="208"/>
        <v>31</v>
      </c>
      <c r="R230" s="75">
        <f ca="1" t="shared" si="208"/>
        <v>30</v>
      </c>
      <c r="S230" s="75">
        <f ca="1" t="shared" si="208"/>
        <v>29</v>
      </c>
      <c r="T230" s="75">
        <f ca="1" t="shared" si="208"/>
        <v>26</v>
      </c>
      <c r="U230" s="75">
        <f ca="1" t="shared" si="208"/>
        <v>21</v>
      </c>
      <c r="V230" s="75">
        <f ca="1" t="shared" si="208"/>
        <v>21</v>
      </c>
      <c r="W230" s="75">
        <f ca="1" t="shared" si="203"/>
        <v>20</v>
      </c>
      <c r="X230" s="75">
        <f ca="1" t="shared" si="204"/>
        <v>19</v>
      </c>
      <c r="Y230" s="75">
        <f ca="1" t="shared" si="205"/>
        <v>18</v>
      </c>
    </row>
    <row r="231" ht="16.5" spans="1:25">
      <c r="A231" s="74">
        <v>133</v>
      </c>
      <c r="B231" s="65">
        <v>198</v>
      </c>
      <c r="C231" s="75">
        <f>INT(产出预期!M217)</f>
        <v>23106</v>
      </c>
      <c r="D231" s="75">
        <f ca="1" t="shared" ref="D231:V231" si="209">IFERROR(MATCH(D536*10,OFFSET($AS$339:$AS$388,0,D$335),1),0)</f>
        <v>43</v>
      </c>
      <c r="E231" s="75">
        <f ca="1" t="shared" si="209"/>
        <v>43</v>
      </c>
      <c r="F231" s="75">
        <f ca="1" t="shared" si="209"/>
        <v>43</v>
      </c>
      <c r="G231" s="75">
        <f ca="1" t="shared" si="209"/>
        <v>35</v>
      </c>
      <c r="H231" s="75">
        <f ca="1" t="shared" si="209"/>
        <v>35</v>
      </c>
      <c r="I231" s="75">
        <f ca="1" t="shared" si="209"/>
        <v>35</v>
      </c>
      <c r="J231" s="75">
        <f ca="1" t="shared" si="209"/>
        <v>35</v>
      </c>
      <c r="K231" s="75">
        <f ca="1" t="shared" si="209"/>
        <v>35</v>
      </c>
      <c r="L231" s="75">
        <f ca="1" t="shared" si="209"/>
        <v>35</v>
      </c>
      <c r="M231" s="75">
        <f ca="1" t="shared" si="209"/>
        <v>32</v>
      </c>
      <c r="N231" s="75">
        <f ca="1" t="shared" si="209"/>
        <v>31</v>
      </c>
      <c r="O231" s="75">
        <f ca="1" t="shared" si="209"/>
        <v>31</v>
      </c>
      <c r="P231" s="75">
        <f ca="1" t="shared" si="209"/>
        <v>31</v>
      </c>
      <c r="Q231" s="75">
        <f ca="1" t="shared" si="209"/>
        <v>31</v>
      </c>
      <c r="R231" s="75">
        <f ca="1" t="shared" si="209"/>
        <v>30</v>
      </c>
      <c r="S231" s="75">
        <f ca="1" t="shared" si="209"/>
        <v>29</v>
      </c>
      <c r="T231" s="75">
        <f ca="1" t="shared" si="209"/>
        <v>26</v>
      </c>
      <c r="U231" s="75">
        <f ca="1" t="shared" si="209"/>
        <v>21</v>
      </c>
      <c r="V231" s="75">
        <f ca="1" t="shared" si="209"/>
        <v>21</v>
      </c>
      <c r="W231" s="75">
        <f ca="1" t="shared" si="203"/>
        <v>20</v>
      </c>
      <c r="X231" s="75">
        <f ca="1" t="shared" si="204"/>
        <v>19</v>
      </c>
      <c r="Y231" s="75">
        <f ca="1" t="shared" si="205"/>
        <v>18</v>
      </c>
    </row>
    <row r="232" ht="16.5" spans="1:25">
      <c r="A232" s="74">
        <v>134</v>
      </c>
      <c r="B232" s="65">
        <v>199</v>
      </c>
      <c r="C232" s="75">
        <f>INT(产出预期!M218)</f>
        <v>23216</v>
      </c>
      <c r="D232" s="75">
        <f ca="1" t="shared" ref="D232:V232" si="210">IFERROR(MATCH(D537*10,OFFSET($AS$339:$AS$388,0,D$335),1),0)</f>
        <v>43</v>
      </c>
      <c r="E232" s="75">
        <f ca="1" t="shared" si="210"/>
        <v>43</v>
      </c>
      <c r="F232" s="75">
        <f ca="1" t="shared" si="210"/>
        <v>43</v>
      </c>
      <c r="G232" s="75">
        <f ca="1" t="shared" si="210"/>
        <v>35</v>
      </c>
      <c r="H232" s="75">
        <f ca="1" t="shared" si="210"/>
        <v>35</v>
      </c>
      <c r="I232" s="75">
        <f ca="1" t="shared" si="210"/>
        <v>35</v>
      </c>
      <c r="J232" s="75">
        <f ca="1" t="shared" si="210"/>
        <v>35</v>
      </c>
      <c r="K232" s="75">
        <f ca="1" t="shared" si="210"/>
        <v>35</v>
      </c>
      <c r="L232" s="75">
        <f ca="1" t="shared" si="210"/>
        <v>35</v>
      </c>
      <c r="M232" s="75">
        <f ca="1" t="shared" si="210"/>
        <v>32</v>
      </c>
      <c r="N232" s="75">
        <f ca="1" t="shared" si="210"/>
        <v>31</v>
      </c>
      <c r="O232" s="75">
        <f ca="1" t="shared" si="210"/>
        <v>31</v>
      </c>
      <c r="P232" s="75">
        <f ca="1" t="shared" si="210"/>
        <v>31</v>
      </c>
      <c r="Q232" s="75">
        <f ca="1" t="shared" si="210"/>
        <v>31</v>
      </c>
      <c r="R232" s="75">
        <f ca="1" t="shared" si="210"/>
        <v>30</v>
      </c>
      <c r="S232" s="75">
        <f ca="1" t="shared" si="210"/>
        <v>29</v>
      </c>
      <c r="T232" s="75">
        <f ca="1" t="shared" si="210"/>
        <v>26</v>
      </c>
      <c r="U232" s="75">
        <f ca="1" t="shared" si="210"/>
        <v>21</v>
      </c>
      <c r="V232" s="75">
        <f ca="1" t="shared" si="210"/>
        <v>21</v>
      </c>
      <c r="W232" s="75">
        <f ca="1" t="shared" si="203"/>
        <v>20</v>
      </c>
      <c r="X232" s="75">
        <f ca="1" t="shared" si="204"/>
        <v>19</v>
      </c>
      <c r="Y232" s="75">
        <f ca="1" t="shared" si="205"/>
        <v>18</v>
      </c>
    </row>
    <row r="233" ht="16.5" spans="1:25">
      <c r="A233" s="74">
        <v>134</v>
      </c>
      <c r="B233" s="65">
        <v>200</v>
      </c>
      <c r="C233" s="75">
        <f>INT(产出预期!M219)</f>
        <v>23326</v>
      </c>
      <c r="D233" s="75">
        <f ca="1" t="shared" ref="D233:V233" si="211">IFERROR(MATCH(D538*10,OFFSET($AS$339:$AS$388,0,D$335),1),0)</f>
        <v>43</v>
      </c>
      <c r="E233" s="75">
        <f ca="1" t="shared" si="211"/>
        <v>43</v>
      </c>
      <c r="F233" s="75">
        <f ca="1" t="shared" si="211"/>
        <v>43</v>
      </c>
      <c r="G233" s="75">
        <f ca="1" t="shared" si="211"/>
        <v>35</v>
      </c>
      <c r="H233" s="75">
        <f ca="1" t="shared" si="211"/>
        <v>35</v>
      </c>
      <c r="I233" s="75">
        <f ca="1" t="shared" si="211"/>
        <v>35</v>
      </c>
      <c r="J233" s="75">
        <f ca="1" t="shared" si="211"/>
        <v>35</v>
      </c>
      <c r="K233" s="75">
        <f ca="1" t="shared" si="211"/>
        <v>35</v>
      </c>
      <c r="L233" s="75">
        <f ca="1" t="shared" si="211"/>
        <v>35</v>
      </c>
      <c r="M233" s="75">
        <f ca="1" t="shared" si="211"/>
        <v>32</v>
      </c>
      <c r="N233" s="75">
        <f ca="1" t="shared" si="211"/>
        <v>31</v>
      </c>
      <c r="O233" s="75">
        <f ca="1" t="shared" si="211"/>
        <v>31</v>
      </c>
      <c r="P233" s="75">
        <f ca="1" t="shared" si="211"/>
        <v>31</v>
      </c>
      <c r="Q233" s="75">
        <f ca="1" t="shared" si="211"/>
        <v>31</v>
      </c>
      <c r="R233" s="75">
        <f ca="1" t="shared" si="211"/>
        <v>30</v>
      </c>
      <c r="S233" s="75">
        <f ca="1" t="shared" si="211"/>
        <v>29</v>
      </c>
      <c r="T233" s="75">
        <f ca="1" t="shared" si="211"/>
        <v>26</v>
      </c>
      <c r="U233" s="75">
        <f ca="1" t="shared" si="211"/>
        <v>21</v>
      </c>
      <c r="V233" s="75">
        <f ca="1" t="shared" si="211"/>
        <v>21</v>
      </c>
      <c r="W233" s="75">
        <f ca="1" t="shared" si="203"/>
        <v>20</v>
      </c>
      <c r="X233" s="75">
        <f ca="1" t="shared" si="204"/>
        <v>19</v>
      </c>
      <c r="Y233" s="75">
        <f ca="1" t="shared" si="205"/>
        <v>18</v>
      </c>
    </row>
    <row r="234" ht="16.5" spans="1:25">
      <c r="A234" s="74">
        <v>134</v>
      </c>
      <c r="B234" s="65">
        <v>201</v>
      </c>
      <c r="C234" s="75">
        <f>INT(产出预期!M220)</f>
        <v>23436</v>
      </c>
      <c r="D234" s="75">
        <f ca="1" t="shared" ref="D234:V234" si="212">IFERROR(MATCH(D539*10,OFFSET($AS$339:$AS$388,0,D$335),1),0)</f>
        <v>43</v>
      </c>
      <c r="E234" s="75">
        <f ca="1" t="shared" si="212"/>
        <v>43</v>
      </c>
      <c r="F234" s="75">
        <f ca="1" t="shared" si="212"/>
        <v>43</v>
      </c>
      <c r="G234" s="75">
        <f ca="1" t="shared" si="212"/>
        <v>35</v>
      </c>
      <c r="H234" s="75">
        <f ca="1" t="shared" si="212"/>
        <v>35</v>
      </c>
      <c r="I234" s="75">
        <f ca="1" t="shared" si="212"/>
        <v>35</v>
      </c>
      <c r="J234" s="75">
        <f ca="1" t="shared" si="212"/>
        <v>35</v>
      </c>
      <c r="K234" s="75">
        <f ca="1" t="shared" si="212"/>
        <v>35</v>
      </c>
      <c r="L234" s="75">
        <f ca="1" t="shared" si="212"/>
        <v>35</v>
      </c>
      <c r="M234" s="75">
        <f ca="1" t="shared" si="212"/>
        <v>32</v>
      </c>
      <c r="N234" s="75">
        <f ca="1" t="shared" si="212"/>
        <v>31</v>
      </c>
      <c r="O234" s="75">
        <f ca="1" t="shared" si="212"/>
        <v>31</v>
      </c>
      <c r="P234" s="75">
        <f ca="1" t="shared" si="212"/>
        <v>31</v>
      </c>
      <c r="Q234" s="75">
        <f ca="1" t="shared" si="212"/>
        <v>31</v>
      </c>
      <c r="R234" s="75">
        <f ca="1" t="shared" si="212"/>
        <v>30</v>
      </c>
      <c r="S234" s="75">
        <f ca="1" t="shared" si="212"/>
        <v>30</v>
      </c>
      <c r="T234" s="75">
        <f ca="1" t="shared" si="212"/>
        <v>26</v>
      </c>
      <c r="U234" s="75">
        <f ca="1" t="shared" si="212"/>
        <v>21</v>
      </c>
      <c r="V234" s="75">
        <f ca="1" t="shared" si="212"/>
        <v>21</v>
      </c>
      <c r="W234" s="75">
        <f ca="1" t="shared" si="203"/>
        <v>20</v>
      </c>
      <c r="X234" s="75">
        <f ca="1" t="shared" si="204"/>
        <v>19</v>
      </c>
      <c r="Y234" s="75">
        <f ca="1" t="shared" si="205"/>
        <v>18</v>
      </c>
    </row>
    <row r="235" ht="16.5" spans="1:25">
      <c r="A235" s="74">
        <v>135</v>
      </c>
      <c r="B235" s="65">
        <v>202</v>
      </c>
      <c r="C235" s="75">
        <f>INT(产出预期!M221)</f>
        <v>23546</v>
      </c>
      <c r="D235" s="75">
        <f ca="1" t="shared" ref="D235:V235" si="213">IFERROR(MATCH(D540*10,OFFSET($AS$339:$AS$388,0,D$335),1),0)</f>
        <v>43</v>
      </c>
      <c r="E235" s="75">
        <f ca="1" t="shared" si="213"/>
        <v>43</v>
      </c>
      <c r="F235" s="75">
        <f ca="1" t="shared" si="213"/>
        <v>43</v>
      </c>
      <c r="G235" s="75">
        <f ca="1" t="shared" si="213"/>
        <v>35</v>
      </c>
      <c r="H235" s="75">
        <f ca="1" t="shared" si="213"/>
        <v>35</v>
      </c>
      <c r="I235" s="75">
        <f ca="1" t="shared" si="213"/>
        <v>35</v>
      </c>
      <c r="J235" s="75">
        <f ca="1" t="shared" si="213"/>
        <v>35</v>
      </c>
      <c r="K235" s="75">
        <f ca="1" t="shared" si="213"/>
        <v>35</v>
      </c>
      <c r="L235" s="75">
        <f ca="1" t="shared" si="213"/>
        <v>35</v>
      </c>
      <c r="M235" s="75">
        <f ca="1" t="shared" si="213"/>
        <v>32</v>
      </c>
      <c r="N235" s="75">
        <f ca="1" t="shared" si="213"/>
        <v>31</v>
      </c>
      <c r="O235" s="75">
        <f ca="1" t="shared" si="213"/>
        <v>31</v>
      </c>
      <c r="P235" s="75">
        <f ca="1" t="shared" si="213"/>
        <v>31</v>
      </c>
      <c r="Q235" s="75">
        <f ca="1" t="shared" si="213"/>
        <v>31</v>
      </c>
      <c r="R235" s="75">
        <f ca="1" t="shared" si="213"/>
        <v>30</v>
      </c>
      <c r="S235" s="75">
        <f ca="1" t="shared" si="213"/>
        <v>30</v>
      </c>
      <c r="T235" s="75">
        <f ca="1" t="shared" si="213"/>
        <v>26</v>
      </c>
      <c r="U235" s="75">
        <f ca="1" t="shared" si="213"/>
        <v>21</v>
      </c>
      <c r="V235" s="75">
        <f ca="1" t="shared" si="213"/>
        <v>21</v>
      </c>
      <c r="W235" s="75">
        <f ca="1" t="shared" si="203"/>
        <v>20</v>
      </c>
      <c r="X235" s="75">
        <f ca="1" t="shared" si="204"/>
        <v>19</v>
      </c>
      <c r="Y235" s="75">
        <f ca="1" t="shared" si="205"/>
        <v>18</v>
      </c>
    </row>
    <row r="236" ht="16.5" spans="1:25">
      <c r="A236" s="74">
        <v>135</v>
      </c>
      <c r="B236" s="65">
        <v>203</v>
      </c>
      <c r="C236" s="75">
        <f>INT(产出预期!M222)</f>
        <v>23656</v>
      </c>
      <c r="D236" s="75">
        <f ca="1" t="shared" ref="D236:V236" si="214">IFERROR(MATCH(D541*10,OFFSET($AS$339:$AS$388,0,D$335),1),0)</f>
        <v>43</v>
      </c>
      <c r="E236" s="75">
        <f ca="1" t="shared" si="214"/>
        <v>43</v>
      </c>
      <c r="F236" s="75">
        <f ca="1" t="shared" si="214"/>
        <v>43</v>
      </c>
      <c r="G236" s="75">
        <f ca="1" t="shared" si="214"/>
        <v>35</v>
      </c>
      <c r="H236" s="75">
        <f ca="1" t="shared" si="214"/>
        <v>35</v>
      </c>
      <c r="I236" s="75">
        <f ca="1" t="shared" si="214"/>
        <v>35</v>
      </c>
      <c r="J236" s="75">
        <f ca="1" t="shared" si="214"/>
        <v>35</v>
      </c>
      <c r="K236" s="75">
        <f ca="1" t="shared" si="214"/>
        <v>35</v>
      </c>
      <c r="L236" s="75">
        <f ca="1" t="shared" si="214"/>
        <v>35</v>
      </c>
      <c r="M236" s="75">
        <f ca="1" t="shared" si="214"/>
        <v>32</v>
      </c>
      <c r="N236" s="75">
        <f ca="1" t="shared" si="214"/>
        <v>31</v>
      </c>
      <c r="O236" s="75">
        <f ca="1" t="shared" si="214"/>
        <v>31</v>
      </c>
      <c r="P236" s="75">
        <f ca="1" t="shared" si="214"/>
        <v>31</v>
      </c>
      <c r="Q236" s="75">
        <f ca="1" t="shared" si="214"/>
        <v>31</v>
      </c>
      <c r="R236" s="75">
        <f ca="1" t="shared" si="214"/>
        <v>30</v>
      </c>
      <c r="S236" s="75">
        <f ca="1" t="shared" si="214"/>
        <v>30</v>
      </c>
      <c r="T236" s="75">
        <f ca="1" t="shared" si="214"/>
        <v>26</v>
      </c>
      <c r="U236" s="75">
        <f ca="1" t="shared" si="214"/>
        <v>21</v>
      </c>
      <c r="V236" s="75">
        <f ca="1" t="shared" si="214"/>
        <v>21</v>
      </c>
      <c r="W236" s="75">
        <f ca="1" t="shared" si="203"/>
        <v>20</v>
      </c>
      <c r="X236" s="75">
        <f ca="1" t="shared" si="204"/>
        <v>19</v>
      </c>
      <c r="Y236" s="75">
        <f ca="1" t="shared" si="205"/>
        <v>18</v>
      </c>
    </row>
    <row r="237" ht="16.5" spans="1:25">
      <c r="A237" s="74">
        <v>135</v>
      </c>
      <c r="B237" s="65">
        <v>204</v>
      </c>
      <c r="C237" s="75">
        <f>INT(产出预期!M223)</f>
        <v>23766</v>
      </c>
      <c r="D237" s="75">
        <f ca="1" t="shared" ref="D237:V237" si="215">IFERROR(MATCH(D542*10,OFFSET($AS$339:$AS$388,0,D$335),1),0)</f>
        <v>43</v>
      </c>
      <c r="E237" s="75">
        <f ca="1" t="shared" si="215"/>
        <v>43</v>
      </c>
      <c r="F237" s="75">
        <f ca="1" t="shared" si="215"/>
        <v>43</v>
      </c>
      <c r="G237" s="75">
        <f ca="1" t="shared" si="215"/>
        <v>35</v>
      </c>
      <c r="H237" s="75">
        <f ca="1" t="shared" si="215"/>
        <v>35</v>
      </c>
      <c r="I237" s="75">
        <f ca="1" t="shared" si="215"/>
        <v>35</v>
      </c>
      <c r="J237" s="75">
        <f ca="1" t="shared" si="215"/>
        <v>35</v>
      </c>
      <c r="K237" s="75">
        <f ca="1" t="shared" si="215"/>
        <v>35</v>
      </c>
      <c r="L237" s="75">
        <f ca="1" t="shared" si="215"/>
        <v>35</v>
      </c>
      <c r="M237" s="75">
        <f ca="1" t="shared" si="215"/>
        <v>32</v>
      </c>
      <c r="N237" s="75">
        <f ca="1" t="shared" si="215"/>
        <v>31</v>
      </c>
      <c r="O237" s="75">
        <f ca="1" t="shared" si="215"/>
        <v>31</v>
      </c>
      <c r="P237" s="75">
        <f ca="1" t="shared" si="215"/>
        <v>31</v>
      </c>
      <c r="Q237" s="75">
        <f ca="1" t="shared" si="215"/>
        <v>31</v>
      </c>
      <c r="R237" s="75">
        <f ca="1" t="shared" si="215"/>
        <v>30</v>
      </c>
      <c r="S237" s="75">
        <f ca="1" t="shared" si="215"/>
        <v>30</v>
      </c>
      <c r="T237" s="75">
        <f ca="1" t="shared" si="215"/>
        <v>26</v>
      </c>
      <c r="U237" s="75">
        <f ca="1" t="shared" si="215"/>
        <v>21</v>
      </c>
      <c r="V237" s="75">
        <f ca="1" t="shared" si="215"/>
        <v>21</v>
      </c>
      <c r="W237" s="75">
        <f ca="1" t="shared" si="203"/>
        <v>20</v>
      </c>
      <c r="X237" s="75">
        <f ca="1" t="shared" si="204"/>
        <v>19</v>
      </c>
      <c r="Y237" s="75">
        <f ca="1" t="shared" si="205"/>
        <v>18</v>
      </c>
    </row>
    <row r="238" ht="16.5" spans="1:25">
      <c r="A238" s="74">
        <v>136</v>
      </c>
      <c r="B238" s="65">
        <v>205</v>
      </c>
      <c r="C238" s="75">
        <f>INT(产出预期!M224)</f>
        <v>23876</v>
      </c>
      <c r="D238" s="75">
        <f ca="1" t="shared" ref="D238:V238" si="216">IFERROR(MATCH(D543*10,OFFSET($AS$339:$AS$388,0,D$335),1),0)</f>
        <v>43</v>
      </c>
      <c r="E238" s="75">
        <f ca="1" t="shared" si="216"/>
        <v>43</v>
      </c>
      <c r="F238" s="75">
        <f ca="1" t="shared" si="216"/>
        <v>43</v>
      </c>
      <c r="G238" s="75">
        <f ca="1" t="shared" si="216"/>
        <v>35</v>
      </c>
      <c r="H238" s="75">
        <f ca="1" t="shared" si="216"/>
        <v>35</v>
      </c>
      <c r="I238" s="75">
        <f ca="1" t="shared" si="216"/>
        <v>35</v>
      </c>
      <c r="J238" s="75">
        <f ca="1" t="shared" si="216"/>
        <v>35</v>
      </c>
      <c r="K238" s="75">
        <f ca="1" t="shared" si="216"/>
        <v>35</v>
      </c>
      <c r="L238" s="75">
        <f ca="1" t="shared" si="216"/>
        <v>35</v>
      </c>
      <c r="M238" s="75">
        <f ca="1" t="shared" si="216"/>
        <v>32</v>
      </c>
      <c r="N238" s="75">
        <f ca="1" t="shared" si="216"/>
        <v>31</v>
      </c>
      <c r="O238" s="75">
        <f ca="1" t="shared" si="216"/>
        <v>31</v>
      </c>
      <c r="P238" s="75">
        <f ca="1" t="shared" si="216"/>
        <v>31</v>
      </c>
      <c r="Q238" s="75">
        <f ca="1" t="shared" si="216"/>
        <v>31</v>
      </c>
      <c r="R238" s="75">
        <f ca="1" t="shared" si="216"/>
        <v>30</v>
      </c>
      <c r="S238" s="75">
        <f ca="1" t="shared" si="216"/>
        <v>30</v>
      </c>
      <c r="T238" s="75">
        <f ca="1" t="shared" si="216"/>
        <v>26</v>
      </c>
      <c r="U238" s="75">
        <f ca="1" t="shared" si="216"/>
        <v>21</v>
      </c>
      <c r="V238" s="75">
        <f ca="1" t="shared" si="216"/>
        <v>21</v>
      </c>
      <c r="W238" s="75">
        <f ca="1" t="shared" si="203"/>
        <v>20</v>
      </c>
      <c r="X238" s="75">
        <f ca="1" t="shared" si="204"/>
        <v>19</v>
      </c>
      <c r="Y238" s="75">
        <f ca="1" t="shared" si="205"/>
        <v>18</v>
      </c>
    </row>
    <row r="239" ht="16.5" spans="1:25">
      <c r="A239" s="74">
        <v>136</v>
      </c>
      <c r="B239" s="65">
        <v>206</v>
      </c>
      <c r="C239" s="75">
        <f>INT(产出预期!M225)</f>
        <v>23986</v>
      </c>
      <c r="D239" s="75">
        <f ca="1" t="shared" ref="D239:V239" si="217">IFERROR(MATCH(D544*10,OFFSET($AS$339:$AS$388,0,D$335),1),0)</f>
        <v>43</v>
      </c>
      <c r="E239" s="75">
        <f ca="1" t="shared" si="217"/>
        <v>43</v>
      </c>
      <c r="F239" s="75">
        <f ca="1" t="shared" si="217"/>
        <v>43</v>
      </c>
      <c r="G239" s="75">
        <f ca="1" t="shared" si="217"/>
        <v>35</v>
      </c>
      <c r="H239" s="75">
        <f ca="1" t="shared" si="217"/>
        <v>35</v>
      </c>
      <c r="I239" s="75">
        <f ca="1" t="shared" si="217"/>
        <v>35</v>
      </c>
      <c r="J239" s="75">
        <f ca="1" t="shared" si="217"/>
        <v>35</v>
      </c>
      <c r="K239" s="75">
        <f ca="1" t="shared" si="217"/>
        <v>35</v>
      </c>
      <c r="L239" s="75">
        <f ca="1" t="shared" si="217"/>
        <v>35</v>
      </c>
      <c r="M239" s="75">
        <f ca="1" t="shared" si="217"/>
        <v>32</v>
      </c>
      <c r="N239" s="75">
        <f ca="1" t="shared" si="217"/>
        <v>31</v>
      </c>
      <c r="O239" s="75">
        <f ca="1" t="shared" si="217"/>
        <v>31</v>
      </c>
      <c r="P239" s="75">
        <f ca="1" t="shared" si="217"/>
        <v>31</v>
      </c>
      <c r="Q239" s="75">
        <f ca="1" t="shared" si="217"/>
        <v>31</v>
      </c>
      <c r="R239" s="75">
        <f ca="1" t="shared" si="217"/>
        <v>30</v>
      </c>
      <c r="S239" s="75">
        <f ca="1" t="shared" si="217"/>
        <v>30</v>
      </c>
      <c r="T239" s="75">
        <f ca="1" t="shared" si="217"/>
        <v>26</v>
      </c>
      <c r="U239" s="75">
        <f ca="1" t="shared" si="217"/>
        <v>21</v>
      </c>
      <c r="V239" s="75">
        <f ca="1" t="shared" si="217"/>
        <v>21</v>
      </c>
      <c r="W239" s="75">
        <f ca="1" t="shared" si="203"/>
        <v>20</v>
      </c>
      <c r="X239" s="75">
        <f ca="1" t="shared" si="204"/>
        <v>19</v>
      </c>
      <c r="Y239" s="75">
        <f ca="1" t="shared" si="205"/>
        <v>18</v>
      </c>
    </row>
    <row r="240" ht="16.5" spans="1:25">
      <c r="A240" s="74">
        <v>136</v>
      </c>
      <c r="B240" s="65">
        <v>207</v>
      </c>
      <c r="C240" s="75">
        <f>INT(产出预期!M226)</f>
        <v>24096</v>
      </c>
      <c r="D240" s="75">
        <f ca="1" t="shared" ref="D240:V240" si="218">IFERROR(MATCH(D545*10,OFFSET($AS$339:$AS$388,0,D$335),1),0)</f>
        <v>43</v>
      </c>
      <c r="E240" s="75">
        <f ca="1" t="shared" si="218"/>
        <v>43</v>
      </c>
      <c r="F240" s="75">
        <f ca="1" t="shared" si="218"/>
        <v>43</v>
      </c>
      <c r="G240" s="75">
        <f ca="1" t="shared" si="218"/>
        <v>35</v>
      </c>
      <c r="H240" s="75">
        <f ca="1" t="shared" si="218"/>
        <v>35</v>
      </c>
      <c r="I240" s="75">
        <f ca="1" t="shared" si="218"/>
        <v>35</v>
      </c>
      <c r="J240" s="75">
        <f ca="1" t="shared" si="218"/>
        <v>35</v>
      </c>
      <c r="K240" s="75">
        <f ca="1" t="shared" si="218"/>
        <v>35</v>
      </c>
      <c r="L240" s="75">
        <f ca="1" t="shared" si="218"/>
        <v>35</v>
      </c>
      <c r="M240" s="75">
        <f ca="1" t="shared" si="218"/>
        <v>32</v>
      </c>
      <c r="N240" s="75">
        <f ca="1" t="shared" si="218"/>
        <v>31</v>
      </c>
      <c r="O240" s="75">
        <f ca="1" t="shared" si="218"/>
        <v>31</v>
      </c>
      <c r="P240" s="75">
        <f ca="1" t="shared" si="218"/>
        <v>31</v>
      </c>
      <c r="Q240" s="75">
        <f ca="1" t="shared" si="218"/>
        <v>31</v>
      </c>
      <c r="R240" s="75">
        <f ca="1" t="shared" si="218"/>
        <v>30</v>
      </c>
      <c r="S240" s="75">
        <f ca="1" t="shared" si="218"/>
        <v>30</v>
      </c>
      <c r="T240" s="75">
        <f ca="1" t="shared" si="218"/>
        <v>26</v>
      </c>
      <c r="U240" s="75">
        <f ca="1" t="shared" si="218"/>
        <v>21</v>
      </c>
      <c r="V240" s="75">
        <f ca="1" t="shared" si="218"/>
        <v>21</v>
      </c>
      <c r="W240" s="75">
        <f ca="1" t="shared" si="203"/>
        <v>20</v>
      </c>
      <c r="X240" s="75">
        <f ca="1" t="shared" si="204"/>
        <v>19</v>
      </c>
      <c r="Y240" s="75">
        <f ca="1" t="shared" si="205"/>
        <v>18</v>
      </c>
    </row>
    <row r="241" ht="16.5" spans="1:25">
      <c r="A241" s="74">
        <v>137</v>
      </c>
      <c r="B241" s="65">
        <v>208</v>
      </c>
      <c r="C241" s="75">
        <f>INT(产出预期!M227)</f>
        <v>24206</v>
      </c>
      <c r="D241" s="75">
        <f ca="1" t="shared" ref="D241:V241" si="219">IFERROR(MATCH(D546*10,OFFSET($AS$339:$AS$388,0,D$335),1),0)</f>
        <v>43</v>
      </c>
      <c r="E241" s="75">
        <f ca="1" t="shared" si="219"/>
        <v>43</v>
      </c>
      <c r="F241" s="75">
        <f ca="1" t="shared" si="219"/>
        <v>43</v>
      </c>
      <c r="G241" s="75">
        <f ca="1" t="shared" si="219"/>
        <v>35</v>
      </c>
      <c r="H241" s="75">
        <f ca="1" t="shared" si="219"/>
        <v>35</v>
      </c>
      <c r="I241" s="75">
        <f ca="1" t="shared" si="219"/>
        <v>35</v>
      </c>
      <c r="J241" s="75">
        <f ca="1" t="shared" si="219"/>
        <v>35</v>
      </c>
      <c r="K241" s="75">
        <f ca="1" t="shared" si="219"/>
        <v>35</v>
      </c>
      <c r="L241" s="75">
        <f ca="1" t="shared" si="219"/>
        <v>35</v>
      </c>
      <c r="M241" s="75">
        <f ca="1" t="shared" si="219"/>
        <v>32</v>
      </c>
      <c r="N241" s="75">
        <f ca="1" t="shared" si="219"/>
        <v>31</v>
      </c>
      <c r="O241" s="75">
        <f ca="1" t="shared" si="219"/>
        <v>31</v>
      </c>
      <c r="P241" s="75">
        <f ca="1" t="shared" si="219"/>
        <v>31</v>
      </c>
      <c r="Q241" s="75">
        <f ca="1" t="shared" si="219"/>
        <v>31</v>
      </c>
      <c r="R241" s="75">
        <f ca="1" t="shared" si="219"/>
        <v>30</v>
      </c>
      <c r="S241" s="75">
        <f ca="1" t="shared" si="219"/>
        <v>30</v>
      </c>
      <c r="T241" s="75">
        <f ca="1" t="shared" si="219"/>
        <v>26</v>
      </c>
      <c r="U241" s="75">
        <f ca="1" t="shared" si="219"/>
        <v>21</v>
      </c>
      <c r="V241" s="75">
        <f ca="1" t="shared" si="219"/>
        <v>21</v>
      </c>
      <c r="W241" s="75">
        <f ca="1" t="shared" si="203"/>
        <v>20</v>
      </c>
      <c r="X241" s="75">
        <f ca="1" t="shared" si="204"/>
        <v>19</v>
      </c>
      <c r="Y241" s="75">
        <f ca="1" t="shared" si="205"/>
        <v>18</v>
      </c>
    </row>
    <row r="242" ht="16.5" spans="1:25">
      <c r="A242" s="74">
        <v>137</v>
      </c>
      <c r="B242" s="65">
        <v>209</v>
      </c>
      <c r="C242" s="75">
        <f>INT(产出预期!M228)</f>
        <v>24316</v>
      </c>
      <c r="D242" s="75">
        <f ca="1" t="shared" ref="D242:V242" si="220">IFERROR(MATCH(D547*10,OFFSET($AS$339:$AS$388,0,D$335),1),0)</f>
        <v>43</v>
      </c>
      <c r="E242" s="75">
        <f ca="1" t="shared" si="220"/>
        <v>43</v>
      </c>
      <c r="F242" s="75">
        <f ca="1" t="shared" si="220"/>
        <v>43</v>
      </c>
      <c r="G242" s="75">
        <f ca="1" t="shared" si="220"/>
        <v>35</v>
      </c>
      <c r="H242" s="75">
        <f ca="1" t="shared" si="220"/>
        <v>35</v>
      </c>
      <c r="I242" s="75">
        <f ca="1" t="shared" si="220"/>
        <v>35</v>
      </c>
      <c r="J242" s="75">
        <f ca="1" t="shared" si="220"/>
        <v>35</v>
      </c>
      <c r="K242" s="75">
        <f ca="1" t="shared" si="220"/>
        <v>35</v>
      </c>
      <c r="L242" s="75">
        <f ca="1" t="shared" si="220"/>
        <v>35</v>
      </c>
      <c r="M242" s="75">
        <f ca="1" t="shared" si="220"/>
        <v>32</v>
      </c>
      <c r="N242" s="75">
        <f ca="1" t="shared" si="220"/>
        <v>31</v>
      </c>
      <c r="O242" s="75">
        <f ca="1" t="shared" si="220"/>
        <v>31</v>
      </c>
      <c r="P242" s="75">
        <f ca="1" t="shared" si="220"/>
        <v>31</v>
      </c>
      <c r="Q242" s="75">
        <f ca="1" t="shared" si="220"/>
        <v>31</v>
      </c>
      <c r="R242" s="75">
        <f ca="1" t="shared" si="220"/>
        <v>30</v>
      </c>
      <c r="S242" s="75">
        <f ca="1" t="shared" si="220"/>
        <v>30</v>
      </c>
      <c r="T242" s="75">
        <f ca="1" t="shared" si="220"/>
        <v>26</v>
      </c>
      <c r="U242" s="75">
        <f ca="1" t="shared" si="220"/>
        <v>21</v>
      </c>
      <c r="V242" s="75">
        <f ca="1" t="shared" si="220"/>
        <v>21</v>
      </c>
      <c r="W242" s="75">
        <f ca="1" t="shared" si="203"/>
        <v>20</v>
      </c>
      <c r="X242" s="75">
        <f ca="1" t="shared" si="204"/>
        <v>19</v>
      </c>
      <c r="Y242" s="75">
        <f ca="1" t="shared" si="205"/>
        <v>18</v>
      </c>
    </row>
    <row r="243" ht="16.5" spans="1:25">
      <c r="A243" s="74">
        <v>137</v>
      </c>
      <c r="B243" s="65">
        <v>210</v>
      </c>
      <c r="C243" s="75">
        <f>INT(产出预期!M229)</f>
        <v>24426</v>
      </c>
      <c r="D243" s="75">
        <f ca="1" t="shared" ref="D243:V243" si="221">IFERROR(MATCH(D548*10,OFFSET($AS$339:$AS$388,0,D$335),1),0)</f>
        <v>43</v>
      </c>
      <c r="E243" s="75">
        <f ca="1" t="shared" si="221"/>
        <v>43</v>
      </c>
      <c r="F243" s="75">
        <f ca="1" t="shared" si="221"/>
        <v>43</v>
      </c>
      <c r="G243" s="75">
        <f ca="1" t="shared" si="221"/>
        <v>35</v>
      </c>
      <c r="H243" s="75">
        <f ca="1" t="shared" si="221"/>
        <v>35</v>
      </c>
      <c r="I243" s="75">
        <f ca="1" t="shared" si="221"/>
        <v>35</v>
      </c>
      <c r="J243" s="75">
        <f ca="1" t="shared" si="221"/>
        <v>35</v>
      </c>
      <c r="K243" s="75">
        <f ca="1" t="shared" si="221"/>
        <v>35</v>
      </c>
      <c r="L243" s="75">
        <f ca="1" t="shared" si="221"/>
        <v>35</v>
      </c>
      <c r="M243" s="75">
        <f ca="1" t="shared" si="221"/>
        <v>32</v>
      </c>
      <c r="N243" s="75">
        <f ca="1" t="shared" si="221"/>
        <v>31</v>
      </c>
      <c r="O243" s="75">
        <f ca="1" t="shared" si="221"/>
        <v>31</v>
      </c>
      <c r="P243" s="75">
        <f ca="1" t="shared" si="221"/>
        <v>31</v>
      </c>
      <c r="Q243" s="75">
        <f ca="1" t="shared" si="221"/>
        <v>31</v>
      </c>
      <c r="R243" s="75">
        <f ca="1" t="shared" si="221"/>
        <v>30</v>
      </c>
      <c r="S243" s="75">
        <f ca="1" t="shared" si="221"/>
        <v>30</v>
      </c>
      <c r="T243" s="75">
        <f ca="1" t="shared" si="221"/>
        <v>26</v>
      </c>
      <c r="U243" s="75">
        <f ca="1" t="shared" si="221"/>
        <v>21</v>
      </c>
      <c r="V243" s="75">
        <f ca="1" t="shared" si="221"/>
        <v>21</v>
      </c>
      <c r="W243" s="75">
        <f ca="1" t="shared" si="203"/>
        <v>20</v>
      </c>
      <c r="X243" s="75">
        <f ca="1" t="shared" si="204"/>
        <v>19</v>
      </c>
      <c r="Y243" s="75">
        <f ca="1" t="shared" si="205"/>
        <v>18</v>
      </c>
    </row>
    <row r="244" ht="16.5" spans="1:25">
      <c r="A244" s="74">
        <v>138</v>
      </c>
      <c r="B244" s="65">
        <v>211</v>
      </c>
      <c r="C244" s="75">
        <f>INT(产出预期!M230)</f>
        <v>24536</v>
      </c>
      <c r="D244" s="75">
        <f ca="1" t="shared" ref="D244:V244" si="222">IFERROR(MATCH(D549*10,OFFSET($AS$339:$AS$388,0,D$335),1),0)</f>
        <v>43</v>
      </c>
      <c r="E244" s="75">
        <f ca="1" t="shared" si="222"/>
        <v>43</v>
      </c>
      <c r="F244" s="75">
        <f ca="1" t="shared" si="222"/>
        <v>43</v>
      </c>
      <c r="G244" s="75">
        <f ca="1" t="shared" si="222"/>
        <v>35</v>
      </c>
      <c r="H244" s="75">
        <f ca="1" t="shared" si="222"/>
        <v>35</v>
      </c>
      <c r="I244" s="75">
        <f ca="1" t="shared" si="222"/>
        <v>35</v>
      </c>
      <c r="J244" s="75">
        <f ca="1" t="shared" si="222"/>
        <v>35</v>
      </c>
      <c r="K244" s="75">
        <f ca="1" t="shared" si="222"/>
        <v>35</v>
      </c>
      <c r="L244" s="75">
        <f ca="1" t="shared" si="222"/>
        <v>35</v>
      </c>
      <c r="M244" s="75">
        <f ca="1" t="shared" si="222"/>
        <v>32</v>
      </c>
      <c r="N244" s="75">
        <f ca="1" t="shared" si="222"/>
        <v>31</v>
      </c>
      <c r="O244" s="75">
        <f ca="1" t="shared" si="222"/>
        <v>31</v>
      </c>
      <c r="P244" s="75">
        <f ca="1" t="shared" si="222"/>
        <v>31</v>
      </c>
      <c r="Q244" s="75">
        <f ca="1" t="shared" si="222"/>
        <v>31</v>
      </c>
      <c r="R244" s="75">
        <f ca="1" t="shared" si="222"/>
        <v>30</v>
      </c>
      <c r="S244" s="75">
        <f ca="1" t="shared" si="222"/>
        <v>30</v>
      </c>
      <c r="T244" s="75">
        <f ca="1" t="shared" si="222"/>
        <v>26</v>
      </c>
      <c r="U244" s="75">
        <f ca="1" t="shared" si="222"/>
        <v>21</v>
      </c>
      <c r="V244" s="75">
        <f ca="1" t="shared" si="222"/>
        <v>21</v>
      </c>
      <c r="W244" s="75">
        <f ca="1" t="shared" si="203"/>
        <v>20</v>
      </c>
      <c r="X244" s="75">
        <f ca="1" t="shared" si="204"/>
        <v>19</v>
      </c>
      <c r="Y244" s="75">
        <f ca="1" t="shared" si="205"/>
        <v>18</v>
      </c>
    </row>
    <row r="245" ht="16.5" spans="1:25">
      <c r="A245" s="74">
        <v>138</v>
      </c>
      <c r="B245" s="65">
        <v>212</v>
      </c>
      <c r="C245" s="75">
        <f>INT(产出预期!M231)</f>
        <v>24646</v>
      </c>
      <c r="D245" s="75">
        <f ca="1" t="shared" ref="D245:V245" si="223">IFERROR(MATCH(D550*10,OFFSET($AS$339:$AS$388,0,D$335),1),0)</f>
        <v>43</v>
      </c>
      <c r="E245" s="75">
        <f ca="1" t="shared" si="223"/>
        <v>43</v>
      </c>
      <c r="F245" s="75">
        <f ca="1" t="shared" si="223"/>
        <v>43</v>
      </c>
      <c r="G245" s="75">
        <f ca="1" t="shared" si="223"/>
        <v>35</v>
      </c>
      <c r="H245" s="75">
        <f ca="1" t="shared" si="223"/>
        <v>35</v>
      </c>
      <c r="I245" s="75">
        <f ca="1" t="shared" si="223"/>
        <v>35</v>
      </c>
      <c r="J245" s="75">
        <f ca="1" t="shared" si="223"/>
        <v>35</v>
      </c>
      <c r="K245" s="75">
        <f ca="1" t="shared" si="223"/>
        <v>35</v>
      </c>
      <c r="L245" s="75">
        <f ca="1" t="shared" si="223"/>
        <v>35</v>
      </c>
      <c r="M245" s="75">
        <f ca="1" t="shared" si="223"/>
        <v>32</v>
      </c>
      <c r="N245" s="75">
        <f ca="1" t="shared" si="223"/>
        <v>32</v>
      </c>
      <c r="O245" s="75">
        <f ca="1" t="shared" si="223"/>
        <v>31</v>
      </c>
      <c r="P245" s="75">
        <f ca="1" t="shared" si="223"/>
        <v>31</v>
      </c>
      <c r="Q245" s="75">
        <f ca="1" t="shared" si="223"/>
        <v>31</v>
      </c>
      <c r="R245" s="75">
        <f ca="1" t="shared" si="223"/>
        <v>30</v>
      </c>
      <c r="S245" s="75">
        <f ca="1" t="shared" si="223"/>
        <v>30</v>
      </c>
      <c r="T245" s="75">
        <f ca="1" t="shared" si="223"/>
        <v>26</v>
      </c>
      <c r="U245" s="75">
        <f ca="1" t="shared" si="223"/>
        <v>21</v>
      </c>
      <c r="V245" s="75">
        <f ca="1" t="shared" si="223"/>
        <v>21</v>
      </c>
      <c r="W245" s="75">
        <f ca="1" t="shared" si="203"/>
        <v>20</v>
      </c>
      <c r="X245" s="75">
        <f ca="1" t="shared" si="204"/>
        <v>19</v>
      </c>
      <c r="Y245" s="75">
        <f ca="1" t="shared" si="205"/>
        <v>18</v>
      </c>
    </row>
    <row r="246" ht="16.5" spans="1:25">
      <c r="A246" s="74">
        <v>138</v>
      </c>
      <c r="B246" s="65">
        <v>213</v>
      </c>
      <c r="C246" s="75">
        <f>INT(产出预期!M232)</f>
        <v>24756</v>
      </c>
      <c r="D246" s="75">
        <f ca="1" t="shared" ref="D246:V246" si="224">IFERROR(MATCH(D551*10,OFFSET($AS$339:$AS$388,0,D$335),1),0)</f>
        <v>43</v>
      </c>
      <c r="E246" s="75">
        <f ca="1" t="shared" si="224"/>
        <v>43</v>
      </c>
      <c r="F246" s="75">
        <f ca="1" t="shared" si="224"/>
        <v>43</v>
      </c>
      <c r="G246" s="75">
        <f ca="1" t="shared" si="224"/>
        <v>35</v>
      </c>
      <c r="H246" s="75">
        <f ca="1" t="shared" si="224"/>
        <v>35</v>
      </c>
      <c r="I246" s="75">
        <f ca="1" t="shared" si="224"/>
        <v>35</v>
      </c>
      <c r="J246" s="75">
        <f ca="1" t="shared" si="224"/>
        <v>35</v>
      </c>
      <c r="K246" s="75">
        <f ca="1" t="shared" si="224"/>
        <v>35</v>
      </c>
      <c r="L246" s="75">
        <f ca="1" t="shared" si="224"/>
        <v>35</v>
      </c>
      <c r="M246" s="75">
        <f ca="1" t="shared" si="224"/>
        <v>32</v>
      </c>
      <c r="N246" s="75">
        <f ca="1" t="shared" si="224"/>
        <v>32</v>
      </c>
      <c r="O246" s="75">
        <f ca="1" t="shared" si="224"/>
        <v>32</v>
      </c>
      <c r="P246" s="75">
        <f ca="1" t="shared" si="224"/>
        <v>31</v>
      </c>
      <c r="Q246" s="75">
        <f ca="1" t="shared" si="224"/>
        <v>31</v>
      </c>
      <c r="R246" s="75">
        <f ca="1" t="shared" si="224"/>
        <v>30</v>
      </c>
      <c r="S246" s="75">
        <f ca="1" t="shared" si="224"/>
        <v>30</v>
      </c>
      <c r="T246" s="75">
        <f ca="1" t="shared" si="224"/>
        <v>26</v>
      </c>
      <c r="U246" s="75">
        <f ca="1" t="shared" si="224"/>
        <v>21</v>
      </c>
      <c r="V246" s="75">
        <f ca="1" t="shared" si="224"/>
        <v>21</v>
      </c>
      <c r="W246" s="75">
        <f ca="1" t="shared" si="203"/>
        <v>20</v>
      </c>
      <c r="X246" s="75">
        <f ca="1" t="shared" si="204"/>
        <v>19</v>
      </c>
      <c r="Y246" s="75">
        <f ca="1" t="shared" si="205"/>
        <v>18</v>
      </c>
    </row>
    <row r="247" ht="16.5" spans="1:25">
      <c r="A247" s="74">
        <v>139</v>
      </c>
      <c r="B247" s="65">
        <v>214</v>
      </c>
      <c r="C247" s="75">
        <f>INT(产出预期!M233)</f>
        <v>24866</v>
      </c>
      <c r="D247" s="75">
        <f ca="1" t="shared" ref="D247:V247" si="225">IFERROR(MATCH(D552*10,OFFSET($AS$339:$AS$388,0,D$335),1),0)</f>
        <v>43</v>
      </c>
      <c r="E247" s="75">
        <f ca="1" t="shared" si="225"/>
        <v>43</v>
      </c>
      <c r="F247" s="75">
        <f ca="1" t="shared" si="225"/>
        <v>43</v>
      </c>
      <c r="G247" s="75">
        <f ca="1" t="shared" si="225"/>
        <v>35</v>
      </c>
      <c r="H247" s="75">
        <f ca="1" t="shared" si="225"/>
        <v>35</v>
      </c>
      <c r="I247" s="75">
        <f ca="1" t="shared" si="225"/>
        <v>35</v>
      </c>
      <c r="J247" s="75">
        <f ca="1" t="shared" si="225"/>
        <v>35</v>
      </c>
      <c r="K247" s="75">
        <f ca="1" t="shared" si="225"/>
        <v>35</v>
      </c>
      <c r="L247" s="75">
        <f ca="1" t="shared" si="225"/>
        <v>35</v>
      </c>
      <c r="M247" s="75">
        <f ca="1" t="shared" si="225"/>
        <v>32</v>
      </c>
      <c r="N247" s="75">
        <f ca="1" t="shared" si="225"/>
        <v>32</v>
      </c>
      <c r="O247" s="75">
        <f ca="1" t="shared" si="225"/>
        <v>32</v>
      </c>
      <c r="P247" s="75">
        <f ca="1" t="shared" si="225"/>
        <v>31</v>
      </c>
      <c r="Q247" s="75">
        <f ca="1" t="shared" si="225"/>
        <v>31</v>
      </c>
      <c r="R247" s="75">
        <f ca="1" t="shared" si="225"/>
        <v>30</v>
      </c>
      <c r="S247" s="75">
        <f ca="1" t="shared" si="225"/>
        <v>30</v>
      </c>
      <c r="T247" s="75">
        <f ca="1" t="shared" si="225"/>
        <v>26</v>
      </c>
      <c r="U247" s="75">
        <f ca="1" t="shared" si="225"/>
        <v>21</v>
      </c>
      <c r="V247" s="75">
        <f ca="1" t="shared" si="225"/>
        <v>21</v>
      </c>
      <c r="W247" s="75">
        <f ca="1" t="shared" si="203"/>
        <v>20</v>
      </c>
      <c r="X247" s="75">
        <f ca="1" t="shared" si="204"/>
        <v>19</v>
      </c>
      <c r="Y247" s="75">
        <f ca="1" t="shared" si="205"/>
        <v>18</v>
      </c>
    </row>
    <row r="248" ht="16.5" spans="1:25">
      <c r="A248" s="74">
        <v>139</v>
      </c>
      <c r="B248" s="65">
        <v>215</v>
      </c>
      <c r="C248" s="75">
        <f>INT(产出预期!M234)</f>
        <v>24976</v>
      </c>
      <c r="D248" s="75">
        <f ca="1" t="shared" ref="D248:V248" si="226">IFERROR(MATCH(D553*10,OFFSET($AS$339:$AS$388,0,D$335),1),0)</f>
        <v>43</v>
      </c>
      <c r="E248" s="75">
        <f ca="1" t="shared" si="226"/>
        <v>43</v>
      </c>
      <c r="F248" s="75">
        <f ca="1" t="shared" si="226"/>
        <v>43</v>
      </c>
      <c r="G248" s="75">
        <f ca="1" t="shared" si="226"/>
        <v>35</v>
      </c>
      <c r="H248" s="75">
        <f ca="1" t="shared" si="226"/>
        <v>35</v>
      </c>
      <c r="I248" s="75">
        <f ca="1" t="shared" si="226"/>
        <v>35</v>
      </c>
      <c r="J248" s="75">
        <f ca="1" t="shared" si="226"/>
        <v>35</v>
      </c>
      <c r="K248" s="75">
        <f ca="1" t="shared" si="226"/>
        <v>35</v>
      </c>
      <c r="L248" s="75">
        <f ca="1" t="shared" si="226"/>
        <v>35</v>
      </c>
      <c r="M248" s="75">
        <f ca="1" t="shared" si="226"/>
        <v>32</v>
      </c>
      <c r="N248" s="75">
        <f ca="1" t="shared" si="226"/>
        <v>32</v>
      </c>
      <c r="O248" s="75">
        <f ca="1" t="shared" si="226"/>
        <v>32</v>
      </c>
      <c r="P248" s="75">
        <f ca="1" t="shared" si="226"/>
        <v>31</v>
      </c>
      <c r="Q248" s="75">
        <f ca="1" t="shared" si="226"/>
        <v>31</v>
      </c>
      <c r="R248" s="75">
        <f ca="1" t="shared" si="226"/>
        <v>30</v>
      </c>
      <c r="S248" s="75">
        <f ca="1" t="shared" si="226"/>
        <v>30</v>
      </c>
      <c r="T248" s="75">
        <f ca="1" t="shared" si="226"/>
        <v>26</v>
      </c>
      <c r="U248" s="75">
        <f ca="1" t="shared" si="226"/>
        <v>21</v>
      </c>
      <c r="V248" s="75">
        <f ca="1" t="shared" si="226"/>
        <v>21</v>
      </c>
      <c r="W248" s="75">
        <f ca="1" t="shared" si="203"/>
        <v>20</v>
      </c>
      <c r="X248" s="75">
        <f ca="1" t="shared" si="204"/>
        <v>19</v>
      </c>
      <c r="Y248" s="75">
        <f ca="1" t="shared" si="205"/>
        <v>18</v>
      </c>
    </row>
    <row r="249" ht="16.5" spans="1:25">
      <c r="A249" s="74">
        <v>139</v>
      </c>
      <c r="B249" s="65">
        <v>216</v>
      </c>
      <c r="C249" s="75">
        <f>INT(产出预期!M235)</f>
        <v>25086</v>
      </c>
      <c r="D249" s="75">
        <f ca="1" t="shared" ref="D249:V249" si="227">IFERROR(MATCH(D554*10,OFFSET($AS$339:$AS$388,0,D$335),1),0)</f>
        <v>43</v>
      </c>
      <c r="E249" s="75">
        <f ca="1" t="shared" si="227"/>
        <v>43</v>
      </c>
      <c r="F249" s="75">
        <f ca="1" t="shared" si="227"/>
        <v>43</v>
      </c>
      <c r="G249" s="75">
        <f ca="1" t="shared" si="227"/>
        <v>35</v>
      </c>
      <c r="H249" s="75">
        <f ca="1" t="shared" si="227"/>
        <v>35</v>
      </c>
      <c r="I249" s="75">
        <f ca="1" t="shared" si="227"/>
        <v>35</v>
      </c>
      <c r="J249" s="75">
        <f ca="1" t="shared" si="227"/>
        <v>35</v>
      </c>
      <c r="K249" s="75">
        <f ca="1" t="shared" si="227"/>
        <v>35</v>
      </c>
      <c r="L249" s="75">
        <f ca="1" t="shared" si="227"/>
        <v>35</v>
      </c>
      <c r="M249" s="75">
        <f ca="1" t="shared" si="227"/>
        <v>32</v>
      </c>
      <c r="N249" s="75">
        <f ca="1" t="shared" si="227"/>
        <v>32</v>
      </c>
      <c r="O249" s="75">
        <f ca="1" t="shared" si="227"/>
        <v>32</v>
      </c>
      <c r="P249" s="75">
        <f ca="1" t="shared" si="227"/>
        <v>31</v>
      </c>
      <c r="Q249" s="75">
        <f ca="1" t="shared" si="227"/>
        <v>31</v>
      </c>
      <c r="R249" s="75">
        <f ca="1" t="shared" si="227"/>
        <v>30</v>
      </c>
      <c r="S249" s="75">
        <f ca="1" t="shared" si="227"/>
        <v>30</v>
      </c>
      <c r="T249" s="75">
        <f ca="1" t="shared" si="227"/>
        <v>26</v>
      </c>
      <c r="U249" s="75">
        <f ca="1" t="shared" si="227"/>
        <v>21</v>
      </c>
      <c r="V249" s="75">
        <f ca="1" t="shared" si="227"/>
        <v>21</v>
      </c>
      <c r="W249" s="75">
        <f ca="1" t="shared" si="203"/>
        <v>20</v>
      </c>
      <c r="X249" s="75">
        <f ca="1" t="shared" si="204"/>
        <v>19</v>
      </c>
      <c r="Y249" s="75">
        <f ca="1" t="shared" si="205"/>
        <v>18</v>
      </c>
    </row>
    <row r="250" ht="16.5" spans="1:25">
      <c r="A250" s="74">
        <v>140</v>
      </c>
      <c r="B250" s="65">
        <v>217</v>
      </c>
      <c r="C250" s="75">
        <f>INT(产出预期!M236)</f>
        <v>25196</v>
      </c>
      <c r="D250" s="75">
        <f ca="1" t="shared" ref="D250:V250" si="228">IFERROR(MATCH(D555*10,OFFSET($AS$339:$AS$388,0,D$335),1),0)</f>
        <v>43</v>
      </c>
      <c r="E250" s="75">
        <f ca="1" t="shared" si="228"/>
        <v>43</v>
      </c>
      <c r="F250" s="75">
        <f ca="1" t="shared" si="228"/>
        <v>43</v>
      </c>
      <c r="G250" s="75">
        <f ca="1" t="shared" si="228"/>
        <v>35</v>
      </c>
      <c r="H250" s="75">
        <f ca="1" t="shared" si="228"/>
        <v>35</v>
      </c>
      <c r="I250" s="75">
        <f ca="1" t="shared" si="228"/>
        <v>35</v>
      </c>
      <c r="J250" s="75">
        <f ca="1" t="shared" si="228"/>
        <v>35</v>
      </c>
      <c r="K250" s="75">
        <f ca="1" t="shared" si="228"/>
        <v>35</v>
      </c>
      <c r="L250" s="75">
        <f ca="1" t="shared" si="228"/>
        <v>35</v>
      </c>
      <c r="M250" s="75">
        <f ca="1" t="shared" si="228"/>
        <v>32</v>
      </c>
      <c r="N250" s="75">
        <f ca="1" t="shared" si="228"/>
        <v>32</v>
      </c>
      <c r="O250" s="75">
        <f ca="1" t="shared" si="228"/>
        <v>32</v>
      </c>
      <c r="P250" s="75">
        <f ca="1" t="shared" si="228"/>
        <v>31</v>
      </c>
      <c r="Q250" s="75">
        <f ca="1" t="shared" si="228"/>
        <v>31</v>
      </c>
      <c r="R250" s="75">
        <f ca="1" t="shared" si="228"/>
        <v>30</v>
      </c>
      <c r="S250" s="75">
        <f ca="1" t="shared" si="228"/>
        <v>30</v>
      </c>
      <c r="T250" s="75">
        <f ca="1" t="shared" si="228"/>
        <v>26</v>
      </c>
      <c r="U250" s="75">
        <f ca="1" t="shared" si="228"/>
        <v>21</v>
      </c>
      <c r="V250" s="75">
        <f ca="1" t="shared" si="228"/>
        <v>21</v>
      </c>
      <c r="W250" s="75">
        <f ca="1" t="shared" si="203"/>
        <v>20</v>
      </c>
      <c r="X250" s="75">
        <f ca="1" t="shared" si="204"/>
        <v>19</v>
      </c>
      <c r="Y250" s="75">
        <f ca="1" t="shared" si="205"/>
        <v>18</v>
      </c>
    </row>
    <row r="251" ht="16.5" spans="1:25">
      <c r="A251" s="74">
        <v>140</v>
      </c>
      <c r="B251" s="65">
        <v>218</v>
      </c>
      <c r="C251" s="75">
        <f>INT(产出预期!M237)</f>
        <v>25306</v>
      </c>
      <c r="D251" s="75">
        <f ca="1" t="shared" ref="D251:V251" si="229">IFERROR(MATCH(D556*10,OFFSET($AS$339:$AS$388,0,D$335),1),0)</f>
        <v>43</v>
      </c>
      <c r="E251" s="75">
        <f ca="1" t="shared" si="229"/>
        <v>43</v>
      </c>
      <c r="F251" s="75">
        <f ca="1" t="shared" si="229"/>
        <v>43</v>
      </c>
      <c r="G251" s="75">
        <f ca="1" t="shared" si="229"/>
        <v>35</v>
      </c>
      <c r="H251" s="75">
        <f ca="1" t="shared" si="229"/>
        <v>35</v>
      </c>
      <c r="I251" s="75">
        <f ca="1" t="shared" si="229"/>
        <v>35</v>
      </c>
      <c r="J251" s="75">
        <f ca="1" t="shared" si="229"/>
        <v>35</v>
      </c>
      <c r="K251" s="75">
        <f ca="1" t="shared" si="229"/>
        <v>35</v>
      </c>
      <c r="L251" s="75">
        <f ca="1" t="shared" si="229"/>
        <v>35</v>
      </c>
      <c r="M251" s="75">
        <f ca="1" t="shared" si="229"/>
        <v>32</v>
      </c>
      <c r="N251" s="75">
        <f ca="1" t="shared" si="229"/>
        <v>32</v>
      </c>
      <c r="O251" s="75">
        <f ca="1" t="shared" si="229"/>
        <v>32</v>
      </c>
      <c r="P251" s="75">
        <f ca="1" t="shared" si="229"/>
        <v>31</v>
      </c>
      <c r="Q251" s="75">
        <f ca="1" t="shared" si="229"/>
        <v>31</v>
      </c>
      <c r="R251" s="75">
        <f ca="1" t="shared" si="229"/>
        <v>30</v>
      </c>
      <c r="S251" s="75">
        <f ca="1" t="shared" si="229"/>
        <v>30</v>
      </c>
      <c r="T251" s="75">
        <f ca="1" t="shared" si="229"/>
        <v>26</v>
      </c>
      <c r="U251" s="75">
        <f ca="1" t="shared" si="229"/>
        <v>21</v>
      </c>
      <c r="V251" s="75">
        <f ca="1" t="shared" si="229"/>
        <v>21</v>
      </c>
      <c r="W251" s="75">
        <f ca="1" t="shared" si="203"/>
        <v>20</v>
      </c>
      <c r="X251" s="75">
        <f ca="1" t="shared" si="204"/>
        <v>19</v>
      </c>
      <c r="Y251" s="75">
        <f ca="1" t="shared" si="205"/>
        <v>18</v>
      </c>
    </row>
    <row r="252" ht="16.5" spans="1:25">
      <c r="A252" s="74">
        <v>140</v>
      </c>
      <c r="B252" s="65">
        <v>219</v>
      </c>
      <c r="C252" s="75">
        <f>INT(产出预期!M238)</f>
        <v>25416</v>
      </c>
      <c r="D252" s="75">
        <f ca="1" t="shared" ref="D252:V252" si="230">IFERROR(MATCH(D557*10,OFFSET($AS$339:$AS$388,0,D$335),1),0)</f>
        <v>43</v>
      </c>
      <c r="E252" s="75">
        <f ca="1" t="shared" si="230"/>
        <v>43</v>
      </c>
      <c r="F252" s="75">
        <f ca="1" t="shared" si="230"/>
        <v>43</v>
      </c>
      <c r="G252" s="75">
        <f ca="1" t="shared" si="230"/>
        <v>35</v>
      </c>
      <c r="H252" s="75">
        <f ca="1" t="shared" si="230"/>
        <v>35</v>
      </c>
      <c r="I252" s="75">
        <f ca="1" t="shared" si="230"/>
        <v>35</v>
      </c>
      <c r="J252" s="75">
        <f ca="1" t="shared" si="230"/>
        <v>35</v>
      </c>
      <c r="K252" s="75">
        <f ca="1" t="shared" si="230"/>
        <v>35</v>
      </c>
      <c r="L252" s="75">
        <f ca="1" t="shared" si="230"/>
        <v>35</v>
      </c>
      <c r="M252" s="75">
        <f ca="1" t="shared" si="230"/>
        <v>32</v>
      </c>
      <c r="N252" s="75">
        <f ca="1" t="shared" si="230"/>
        <v>32</v>
      </c>
      <c r="O252" s="75">
        <f ca="1" t="shared" si="230"/>
        <v>32</v>
      </c>
      <c r="P252" s="75">
        <f ca="1" t="shared" si="230"/>
        <v>31</v>
      </c>
      <c r="Q252" s="75">
        <f ca="1" t="shared" si="230"/>
        <v>31</v>
      </c>
      <c r="R252" s="75">
        <f ca="1" t="shared" si="230"/>
        <v>30</v>
      </c>
      <c r="S252" s="75">
        <f ca="1" t="shared" si="230"/>
        <v>30</v>
      </c>
      <c r="T252" s="75">
        <f ca="1" t="shared" si="230"/>
        <v>26</v>
      </c>
      <c r="U252" s="75">
        <f ca="1" t="shared" si="230"/>
        <v>21</v>
      </c>
      <c r="V252" s="75">
        <f ca="1" t="shared" si="230"/>
        <v>21</v>
      </c>
      <c r="W252" s="75">
        <f ca="1" t="shared" si="203"/>
        <v>20</v>
      </c>
      <c r="X252" s="75">
        <f ca="1" t="shared" si="204"/>
        <v>19</v>
      </c>
      <c r="Y252" s="75">
        <f ca="1" t="shared" si="205"/>
        <v>18</v>
      </c>
    </row>
    <row r="253" ht="16.5" spans="1:25">
      <c r="A253" s="74">
        <v>141</v>
      </c>
      <c r="B253" s="65">
        <v>220</v>
      </c>
      <c r="C253" s="75">
        <f>INT(产出预期!M239)</f>
        <v>25526</v>
      </c>
      <c r="D253" s="75">
        <f ca="1" t="shared" ref="D253:V253" si="231">IFERROR(MATCH(D558*10,OFFSET($AS$339:$AS$388,0,D$335),1),0)</f>
        <v>43</v>
      </c>
      <c r="E253" s="75">
        <f ca="1" t="shared" si="231"/>
        <v>43</v>
      </c>
      <c r="F253" s="75">
        <f ca="1" t="shared" si="231"/>
        <v>43</v>
      </c>
      <c r="G253" s="75">
        <f ca="1" t="shared" si="231"/>
        <v>35</v>
      </c>
      <c r="H253" s="75">
        <f ca="1" t="shared" si="231"/>
        <v>35</v>
      </c>
      <c r="I253" s="75">
        <f ca="1" t="shared" si="231"/>
        <v>35</v>
      </c>
      <c r="J253" s="75">
        <f ca="1" t="shared" si="231"/>
        <v>35</v>
      </c>
      <c r="K253" s="75">
        <f ca="1" t="shared" si="231"/>
        <v>35</v>
      </c>
      <c r="L253" s="75">
        <f ca="1" t="shared" si="231"/>
        <v>35</v>
      </c>
      <c r="M253" s="75">
        <f ca="1" t="shared" si="231"/>
        <v>32</v>
      </c>
      <c r="N253" s="75">
        <f ca="1" t="shared" si="231"/>
        <v>32</v>
      </c>
      <c r="O253" s="75">
        <f ca="1" t="shared" si="231"/>
        <v>32</v>
      </c>
      <c r="P253" s="75">
        <f ca="1" t="shared" si="231"/>
        <v>31</v>
      </c>
      <c r="Q253" s="75">
        <f ca="1" t="shared" si="231"/>
        <v>31</v>
      </c>
      <c r="R253" s="75">
        <f ca="1" t="shared" si="231"/>
        <v>30</v>
      </c>
      <c r="S253" s="75">
        <f ca="1" t="shared" si="231"/>
        <v>30</v>
      </c>
      <c r="T253" s="75">
        <f ca="1" t="shared" si="231"/>
        <v>26</v>
      </c>
      <c r="U253" s="75">
        <f ca="1" t="shared" si="231"/>
        <v>21</v>
      </c>
      <c r="V253" s="75">
        <f ca="1" t="shared" si="231"/>
        <v>21</v>
      </c>
      <c r="W253" s="75">
        <f ca="1" t="shared" si="203"/>
        <v>20</v>
      </c>
      <c r="X253" s="75">
        <f ca="1" t="shared" si="204"/>
        <v>19</v>
      </c>
      <c r="Y253" s="75">
        <f ca="1" t="shared" si="205"/>
        <v>18</v>
      </c>
    </row>
    <row r="254" ht="16.5" spans="1:25">
      <c r="A254" s="74">
        <v>141</v>
      </c>
      <c r="B254" s="65">
        <v>221</v>
      </c>
      <c r="C254" s="75">
        <f>INT(产出预期!M240)</f>
        <v>25636</v>
      </c>
      <c r="D254" s="75">
        <f ca="1" t="shared" ref="D254:V254" si="232">IFERROR(MATCH(D559*10,OFFSET($AS$339:$AS$388,0,D$335),1),0)</f>
        <v>43</v>
      </c>
      <c r="E254" s="75">
        <f ca="1" t="shared" si="232"/>
        <v>43</v>
      </c>
      <c r="F254" s="75">
        <f ca="1" t="shared" si="232"/>
        <v>43</v>
      </c>
      <c r="G254" s="75">
        <f ca="1" t="shared" si="232"/>
        <v>35</v>
      </c>
      <c r="H254" s="75">
        <f ca="1" t="shared" si="232"/>
        <v>35</v>
      </c>
      <c r="I254" s="75">
        <f ca="1" t="shared" si="232"/>
        <v>35</v>
      </c>
      <c r="J254" s="75">
        <f ca="1" t="shared" si="232"/>
        <v>35</v>
      </c>
      <c r="K254" s="75">
        <f ca="1" t="shared" si="232"/>
        <v>35</v>
      </c>
      <c r="L254" s="75">
        <f ca="1" t="shared" si="232"/>
        <v>35</v>
      </c>
      <c r="M254" s="75">
        <f ca="1" t="shared" si="232"/>
        <v>32</v>
      </c>
      <c r="N254" s="75">
        <f ca="1" t="shared" si="232"/>
        <v>32</v>
      </c>
      <c r="O254" s="75">
        <f ca="1" t="shared" si="232"/>
        <v>32</v>
      </c>
      <c r="P254" s="75">
        <f ca="1" t="shared" si="232"/>
        <v>31</v>
      </c>
      <c r="Q254" s="75">
        <f ca="1" t="shared" si="232"/>
        <v>31</v>
      </c>
      <c r="R254" s="75">
        <f ca="1" t="shared" si="232"/>
        <v>30</v>
      </c>
      <c r="S254" s="75">
        <f ca="1" t="shared" si="232"/>
        <v>30</v>
      </c>
      <c r="T254" s="75">
        <f ca="1" t="shared" si="232"/>
        <v>26</v>
      </c>
      <c r="U254" s="75">
        <f ca="1" t="shared" si="232"/>
        <v>21</v>
      </c>
      <c r="V254" s="75">
        <f ca="1" t="shared" si="232"/>
        <v>21</v>
      </c>
      <c r="W254" s="75">
        <f ca="1" t="shared" si="203"/>
        <v>20</v>
      </c>
      <c r="X254" s="75">
        <f ca="1" t="shared" si="204"/>
        <v>19</v>
      </c>
      <c r="Y254" s="75">
        <f ca="1" t="shared" si="205"/>
        <v>18</v>
      </c>
    </row>
    <row r="255" ht="16.5" spans="1:25">
      <c r="A255" s="74">
        <v>141</v>
      </c>
      <c r="B255" s="65">
        <v>222</v>
      </c>
      <c r="C255" s="75">
        <f>INT(产出预期!M241)</f>
        <v>25746</v>
      </c>
      <c r="D255" s="75">
        <f ca="1" t="shared" ref="D255:V255" si="233">IFERROR(MATCH(D560*10,OFFSET($AS$339:$AS$388,0,D$335),1),0)</f>
        <v>43</v>
      </c>
      <c r="E255" s="75">
        <f ca="1" t="shared" si="233"/>
        <v>43</v>
      </c>
      <c r="F255" s="75">
        <f ca="1" t="shared" si="233"/>
        <v>43</v>
      </c>
      <c r="G255" s="75">
        <f ca="1" t="shared" si="233"/>
        <v>35</v>
      </c>
      <c r="H255" s="75">
        <f ca="1" t="shared" si="233"/>
        <v>35</v>
      </c>
      <c r="I255" s="75">
        <f ca="1" t="shared" si="233"/>
        <v>35</v>
      </c>
      <c r="J255" s="75">
        <f ca="1" t="shared" si="233"/>
        <v>35</v>
      </c>
      <c r="K255" s="75">
        <f ca="1" t="shared" si="233"/>
        <v>35</v>
      </c>
      <c r="L255" s="75">
        <f ca="1" t="shared" si="233"/>
        <v>35</v>
      </c>
      <c r="M255" s="75">
        <f ca="1" t="shared" si="233"/>
        <v>32</v>
      </c>
      <c r="N255" s="75">
        <f ca="1" t="shared" si="233"/>
        <v>32</v>
      </c>
      <c r="O255" s="75">
        <f ca="1" t="shared" si="233"/>
        <v>32</v>
      </c>
      <c r="P255" s="75">
        <f ca="1" t="shared" si="233"/>
        <v>32</v>
      </c>
      <c r="Q255" s="75">
        <f ca="1" t="shared" si="233"/>
        <v>31</v>
      </c>
      <c r="R255" s="75">
        <f ca="1" t="shared" si="233"/>
        <v>30</v>
      </c>
      <c r="S255" s="75">
        <f ca="1" t="shared" si="233"/>
        <v>30</v>
      </c>
      <c r="T255" s="75">
        <f ca="1" t="shared" si="233"/>
        <v>26</v>
      </c>
      <c r="U255" s="75">
        <f ca="1" t="shared" si="233"/>
        <v>21</v>
      </c>
      <c r="V255" s="75">
        <f ca="1" t="shared" si="233"/>
        <v>21</v>
      </c>
      <c r="W255" s="75">
        <f ca="1" t="shared" si="203"/>
        <v>20</v>
      </c>
      <c r="X255" s="75">
        <f ca="1" t="shared" si="204"/>
        <v>19</v>
      </c>
      <c r="Y255" s="75">
        <f ca="1" t="shared" si="205"/>
        <v>18</v>
      </c>
    </row>
    <row r="256" ht="16.5" spans="1:25">
      <c r="A256" s="74">
        <v>142</v>
      </c>
      <c r="B256" s="65">
        <v>223</v>
      </c>
      <c r="C256" s="75">
        <f>INT(产出预期!M242)</f>
        <v>25856</v>
      </c>
      <c r="D256" s="75">
        <f ca="1" t="shared" ref="D256:V256" si="234">IFERROR(MATCH(D561*10,OFFSET($AS$339:$AS$388,0,D$335),1),0)</f>
        <v>43</v>
      </c>
      <c r="E256" s="75">
        <f ca="1" t="shared" si="234"/>
        <v>43</v>
      </c>
      <c r="F256" s="75">
        <f ca="1" t="shared" si="234"/>
        <v>43</v>
      </c>
      <c r="G256" s="75">
        <f ca="1" t="shared" si="234"/>
        <v>35</v>
      </c>
      <c r="H256" s="75">
        <f ca="1" t="shared" si="234"/>
        <v>35</v>
      </c>
      <c r="I256" s="75">
        <f ca="1" t="shared" si="234"/>
        <v>35</v>
      </c>
      <c r="J256" s="75">
        <f ca="1" t="shared" si="234"/>
        <v>35</v>
      </c>
      <c r="K256" s="75">
        <f ca="1" t="shared" si="234"/>
        <v>35</v>
      </c>
      <c r="L256" s="75">
        <f ca="1" t="shared" si="234"/>
        <v>35</v>
      </c>
      <c r="M256" s="75">
        <f ca="1" t="shared" si="234"/>
        <v>32</v>
      </c>
      <c r="N256" s="75">
        <f ca="1" t="shared" si="234"/>
        <v>32</v>
      </c>
      <c r="O256" s="75">
        <f ca="1" t="shared" si="234"/>
        <v>32</v>
      </c>
      <c r="P256" s="75">
        <f ca="1" t="shared" si="234"/>
        <v>32</v>
      </c>
      <c r="Q256" s="75">
        <f ca="1" t="shared" si="234"/>
        <v>32</v>
      </c>
      <c r="R256" s="75">
        <f ca="1" t="shared" si="234"/>
        <v>30</v>
      </c>
      <c r="S256" s="75">
        <f ca="1" t="shared" si="234"/>
        <v>30</v>
      </c>
      <c r="T256" s="75">
        <f ca="1" t="shared" si="234"/>
        <v>26</v>
      </c>
      <c r="U256" s="75">
        <f ca="1" t="shared" si="234"/>
        <v>21</v>
      </c>
      <c r="V256" s="75">
        <f ca="1" t="shared" si="234"/>
        <v>21</v>
      </c>
      <c r="W256" s="75">
        <f ca="1" t="shared" si="203"/>
        <v>20</v>
      </c>
      <c r="X256" s="75">
        <f ca="1" t="shared" si="204"/>
        <v>19</v>
      </c>
      <c r="Y256" s="75">
        <f ca="1" t="shared" si="205"/>
        <v>18</v>
      </c>
    </row>
    <row r="257" ht="16.5" spans="1:25">
      <c r="A257" s="74">
        <v>142</v>
      </c>
      <c r="B257" s="65">
        <v>224</v>
      </c>
      <c r="C257" s="75">
        <f>INT(产出预期!M243)</f>
        <v>25966</v>
      </c>
      <c r="D257" s="75">
        <f ca="1" t="shared" ref="D257:V257" si="235">IFERROR(MATCH(D562*10,OFFSET($AS$339:$AS$388,0,D$335),1),0)</f>
        <v>43</v>
      </c>
      <c r="E257" s="75">
        <f ca="1" t="shared" si="235"/>
        <v>43</v>
      </c>
      <c r="F257" s="75">
        <f ca="1" t="shared" si="235"/>
        <v>43</v>
      </c>
      <c r="G257" s="75">
        <f ca="1" t="shared" si="235"/>
        <v>35</v>
      </c>
      <c r="H257" s="75">
        <f ca="1" t="shared" si="235"/>
        <v>35</v>
      </c>
      <c r="I257" s="75">
        <f ca="1" t="shared" si="235"/>
        <v>35</v>
      </c>
      <c r="J257" s="75">
        <f ca="1" t="shared" si="235"/>
        <v>35</v>
      </c>
      <c r="K257" s="75">
        <f ca="1" t="shared" si="235"/>
        <v>35</v>
      </c>
      <c r="L257" s="75">
        <f ca="1" t="shared" si="235"/>
        <v>35</v>
      </c>
      <c r="M257" s="75">
        <f ca="1" t="shared" si="235"/>
        <v>32</v>
      </c>
      <c r="N257" s="75">
        <f ca="1" t="shared" si="235"/>
        <v>32</v>
      </c>
      <c r="O257" s="75">
        <f ca="1" t="shared" si="235"/>
        <v>32</v>
      </c>
      <c r="P257" s="75">
        <f ca="1" t="shared" si="235"/>
        <v>32</v>
      </c>
      <c r="Q257" s="75">
        <f ca="1" t="shared" si="235"/>
        <v>32</v>
      </c>
      <c r="R257" s="75">
        <f ca="1" t="shared" si="235"/>
        <v>31</v>
      </c>
      <c r="S257" s="75">
        <f ca="1" t="shared" si="235"/>
        <v>30</v>
      </c>
      <c r="T257" s="75">
        <f ca="1" t="shared" si="235"/>
        <v>26</v>
      </c>
      <c r="U257" s="75">
        <f ca="1" t="shared" si="235"/>
        <v>21</v>
      </c>
      <c r="V257" s="75">
        <f ca="1" t="shared" si="235"/>
        <v>21</v>
      </c>
      <c r="W257" s="75">
        <f ca="1" t="shared" si="203"/>
        <v>20</v>
      </c>
      <c r="X257" s="75">
        <f ca="1" t="shared" si="204"/>
        <v>19</v>
      </c>
      <c r="Y257" s="75">
        <f ca="1" t="shared" si="205"/>
        <v>18</v>
      </c>
    </row>
    <row r="258" ht="16.5" spans="1:25">
      <c r="A258" s="74">
        <v>142</v>
      </c>
      <c r="B258" s="65">
        <v>225</v>
      </c>
      <c r="C258" s="75">
        <f>INT(产出预期!M244)</f>
        <v>26076</v>
      </c>
      <c r="D258" s="75">
        <f ca="1" t="shared" ref="D258:V258" si="236">IFERROR(MATCH(D563*10,OFFSET($AS$339:$AS$388,0,D$335),1),0)</f>
        <v>43</v>
      </c>
      <c r="E258" s="75">
        <f ca="1" t="shared" si="236"/>
        <v>43</v>
      </c>
      <c r="F258" s="75">
        <f ca="1" t="shared" si="236"/>
        <v>43</v>
      </c>
      <c r="G258" s="75">
        <f ca="1" t="shared" si="236"/>
        <v>35</v>
      </c>
      <c r="H258" s="75">
        <f ca="1" t="shared" si="236"/>
        <v>35</v>
      </c>
      <c r="I258" s="75">
        <f ca="1" t="shared" si="236"/>
        <v>35</v>
      </c>
      <c r="J258" s="75">
        <f ca="1" t="shared" si="236"/>
        <v>35</v>
      </c>
      <c r="K258" s="75">
        <f ca="1" t="shared" si="236"/>
        <v>35</v>
      </c>
      <c r="L258" s="75">
        <f ca="1" t="shared" si="236"/>
        <v>35</v>
      </c>
      <c r="M258" s="75">
        <f ca="1" t="shared" si="236"/>
        <v>32</v>
      </c>
      <c r="N258" s="75">
        <f ca="1" t="shared" si="236"/>
        <v>32</v>
      </c>
      <c r="O258" s="75">
        <f ca="1" t="shared" si="236"/>
        <v>32</v>
      </c>
      <c r="P258" s="75">
        <f ca="1" t="shared" si="236"/>
        <v>32</v>
      </c>
      <c r="Q258" s="75">
        <f ca="1" t="shared" si="236"/>
        <v>32</v>
      </c>
      <c r="R258" s="75">
        <f ca="1" t="shared" si="236"/>
        <v>31</v>
      </c>
      <c r="S258" s="75">
        <f ca="1" t="shared" si="236"/>
        <v>30</v>
      </c>
      <c r="T258" s="75">
        <f ca="1" t="shared" si="236"/>
        <v>26</v>
      </c>
      <c r="U258" s="75">
        <f ca="1" t="shared" si="236"/>
        <v>21</v>
      </c>
      <c r="V258" s="75">
        <f ca="1" t="shared" si="236"/>
        <v>21</v>
      </c>
      <c r="W258" s="75">
        <f ca="1" t="shared" si="203"/>
        <v>20</v>
      </c>
      <c r="X258" s="75">
        <f ca="1" t="shared" si="204"/>
        <v>19</v>
      </c>
      <c r="Y258" s="75">
        <f ca="1" t="shared" si="205"/>
        <v>18</v>
      </c>
    </row>
    <row r="259" ht="16.5" spans="1:25">
      <c r="A259" s="74">
        <v>143</v>
      </c>
      <c r="B259" s="65">
        <v>226</v>
      </c>
      <c r="C259" s="75">
        <f>INT(产出预期!M245)</f>
        <v>26186</v>
      </c>
      <c r="D259" s="75">
        <f ca="1" t="shared" ref="D259:V259" si="237">IFERROR(MATCH(D564*10,OFFSET($AS$339:$AS$388,0,D$335),1),0)</f>
        <v>43</v>
      </c>
      <c r="E259" s="75">
        <f ca="1" t="shared" si="237"/>
        <v>43</v>
      </c>
      <c r="F259" s="75">
        <f ca="1" t="shared" si="237"/>
        <v>43</v>
      </c>
      <c r="G259" s="75">
        <f ca="1" t="shared" si="237"/>
        <v>35</v>
      </c>
      <c r="H259" s="75">
        <f ca="1" t="shared" si="237"/>
        <v>35</v>
      </c>
      <c r="I259" s="75">
        <f ca="1" t="shared" si="237"/>
        <v>35</v>
      </c>
      <c r="J259" s="75">
        <f ca="1" t="shared" si="237"/>
        <v>35</v>
      </c>
      <c r="K259" s="75">
        <f ca="1" t="shared" si="237"/>
        <v>35</v>
      </c>
      <c r="L259" s="75">
        <f ca="1" t="shared" si="237"/>
        <v>35</v>
      </c>
      <c r="M259" s="75">
        <f ca="1" t="shared" si="237"/>
        <v>32</v>
      </c>
      <c r="N259" s="75">
        <f ca="1" t="shared" si="237"/>
        <v>32</v>
      </c>
      <c r="O259" s="75">
        <f ca="1" t="shared" si="237"/>
        <v>32</v>
      </c>
      <c r="P259" s="75">
        <f ca="1" t="shared" si="237"/>
        <v>32</v>
      </c>
      <c r="Q259" s="75">
        <f ca="1" t="shared" si="237"/>
        <v>32</v>
      </c>
      <c r="R259" s="75">
        <f ca="1" t="shared" si="237"/>
        <v>31</v>
      </c>
      <c r="S259" s="75">
        <f ca="1" t="shared" si="237"/>
        <v>30</v>
      </c>
      <c r="T259" s="75">
        <f ca="1" t="shared" si="237"/>
        <v>26</v>
      </c>
      <c r="U259" s="75">
        <f ca="1" t="shared" si="237"/>
        <v>21</v>
      </c>
      <c r="V259" s="75">
        <f ca="1" t="shared" si="237"/>
        <v>21</v>
      </c>
      <c r="W259" s="75">
        <f ca="1" t="shared" si="203"/>
        <v>20</v>
      </c>
      <c r="X259" s="75">
        <f ca="1" t="shared" si="204"/>
        <v>19</v>
      </c>
      <c r="Y259" s="75">
        <f ca="1" t="shared" si="205"/>
        <v>18</v>
      </c>
    </row>
    <row r="260" ht="16.5" spans="1:25">
      <c r="A260" s="74">
        <v>143</v>
      </c>
      <c r="B260" s="65">
        <v>227</v>
      </c>
      <c r="C260" s="75">
        <f>INT(产出预期!M246)</f>
        <v>26296</v>
      </c>
      <c r="D260" s="75">
        <f ca="1" t="shared" ref="D260:V260" si="238">IFERROR(MATCH(D565*10,OFFSET($AS$339:$AS$388,0,D$335),1),0)</f>
        <v>43</v>
      </c>
      <c r="E260" s="75">
        <f ca="1" t="shared" si="238"/>
        <v>43</v>
      </c>
      <c r="F260" s="75">
        <f ca="1" t="shared" si="238"/>
        <v>43</v>
      </c>
      <c r="G260" s="75">
        <f ca="1" t="shared" si="238"/>
        <v>35</v>
      </c>
      <c r="H260" s="75">
        <f ca="1" t="shared" si="238"/>
        <v>35</v>
      </c>
      <c r="I260" s="75">
        <f ca="1" t="shared" si="238"/>
        <v>35</v>
      </c>
      <c r="J260" s="75">
        <f ca="1" t="shared" si="238"/>
        <v>35</v>
      </c>
      <c r="K260" s="75">
        <f ca="1" t="shared" si="238"/>
        <v>35</v>
      </c>
      <c r="L260" s="75">
        <f ca="1" t="shared" si="238"/>
        <v>35</v>
      </c>
      <c r="M260" s="75">
        <f ca="1" t="shared" si="238"/>
        <v>32</v>
      </c>
      <c r="N260" s="75">
        <f ca="1" t="shared" si="238"/>
        <v>32</v>
      </c>
      <c r="O260" s="75">
        <f ca="1" t="shared" si="238"/>
        <v>32</v>
      </c>
      <c r="P260" s="75">
        <f ca="1" t="shared" si="238"/>
        <v>32</v>
      </c>
      <c r="Q260" s="75">
        <f ca="1" t="shared" si="238"/>
        <v>32</v>
      </c>
      <c r="R260" s="75">
        <f ca="1" t="shared" si="238"/>
        <v>31</v>
      </c>
      <c r="S260" s="75">
        <f ca="1" t="shared" si="238"/>
        <v>30</v>
      </c>
      <c r="T260" s="75">
        <f ca="1" t="shared" si="238"/>
        <v>26</v>
      </c>
      <c r="U260" s="75">
        <f ca="1" t="shared" si="238"/>
        <v>21</v>
      </c>
      <c r="V260" s="75">
        <f ca="1" t="shared" si="238"/>
        <v>21</v>
      </c>
      <c r="W260" s="75">
        <f ca="1" t="shared" si="203"/>
        <v>20</v>
      </c>
      <c r="X260" s="75">
        <f ca="1" t="shared" si="204"/>
        <v>19</v>
      </c>
      <c r="Y260" s="75">
        <f ca="1" t="shared" si="205"/>
        <v>18</v>
      </c>
    </row>
    <row r="261" ht="16.5" spans="1:25">
      <c r="A261" s="74">
        <v>143</v>
      </c>
      <c r="B261" s="65">
        <v>228</v>
      </c>
      <c r="C261" s="75">
        <f>INT(产出预期!M247)</f>
        <v>26406</v>
      </c>
      <c r="D261" s="75">
        <f ca="1" t="shared" ref="D261:V261" si="239">IFERROR(MATCH(D566*10,OFFSET($AS$339:$AS$388,0,D$335),1),0)</f>
        <v>43</v>
      </c>
      <c r="E261" s="75">
        <f ca="1" t="shared" si="239"/>
        <v>43</v>
      </c>
      <c r="F261" s="75">
        <f ca="1" t="shared" si="239"/>
        <v>43</v>
      </c>
      <c r="G261" s="75">
        <f ca="1" t="shared" si="239"/>
        <v>35</v>
      </c>
      <c r="H261" s="75">
        <f ca="1" t="shared" si="239"/>
        <v>35</v>
      </c>
      <c r="I261" s="75">
        <f ca="1" t="shared" si="239"/>
        <v>35</v>
      </c>
      <c r="J261" s="75">
        <f ca="1" t="shared" si="239"/>
        <v>35</v>
      </c>
      <c r="K261" s="75">
        <f ca="1" t="shared" si="239"/>
        <v>35</v>
      </c>
      <c r="L261" s="75">
        <f ca="1" t="shared" si="239"/>
        <v>35</v>
      </c>
      <c r="M261" s="75">
        <f ca="1" t="shared" si="239"/>
        <v>32</v>
      </c>
      <c r="N261" s="75">
        <f ca="1" t="shared" si="239"/>
        <v>32</v>
      </c>
      <c r="O261" s="75">
        <f ca="1" t="shared" si="239"/>
        <v>32</v>
      </c>
      <c r="P261" s="75">
        <f ca="1" t="shared" si="239"/>
        <v>32</v>
      </c>
      <c r="Q261" s="75">
        <f ca="1" t="shared" si="239"/>
        <v>32</v>
      </c>
      <c r="R261" s="75">
        <f ca="1" t="shared" si="239"/>
        <v>31</v>
      </c>
      <c r="S261" s="75">
        <f ca="1" t="shared" si="239"/>
        <v>30</v>
      </c>
      <c r="T261" s="75">
        <f ca="1" t="shared" si="239"/>
        <v>26</v>
      </c>
      <c r="U261" s="75">
        <f ca="1" t="shared" si="239"/>
        <v>21</v>
      </c>
      <c r="V261" s="75">
        <f ca="1" t="shared" si="239"/>
        <v>21</v>
      </c>
      <c r="W261" s="75">
        <f ca="1" t="shared" si="203"/>
        <v>20</v>
      </c>
      <c r="X261" s="75">
        <f ca="1" t="shared" si="204"/>
        <v>19</v>
      </c>
      <c r="Y261" s="75">
        <f ca="1" t="shared" si="205"/>
        <v>18</v>
      </c>
    </row>
    <row r="262" ht="16.5" spans="1:25">
      <c r="A262" s="74">
        <v>144</v>
      </c>
      <c r="B262" s="65">
        <v>229</v>
      </c>
      <c r="C262" s="75">
        <f>INT(产出预期!M248)</f>
        <v>26516</v>
      </c>
      <c r="D262" s="75">
        <f ca="1" t="shared" ref="D262:V262" si="240">IFERROR(MATCH(D567*10,OFFSET($AS$339:$AS$388,0,D$335),1),0)</f>
        <v>43</v>
      </c>
      <c r="E262" s="75">
        <f ca="1" t="shared" si="240"/>
        <v>43</v>
      </c>
      <c r="F262" s="75">
        <f ca="1" t="shared" si="240"/>
        <v>43</v>
      </c>
      <c r="G262" s="75">
        <f ca="1" t="shared" si="240"/>
        <v>35</v>
      </c>
      <c r="H262" s="75">
        <f ca="1" t="shared" si="240"/>
        <v>35</v>
      </c>
      <c r="I262" s="75">
        <f ca="1" t="shared" si="240"/>
        <v>35</v>
      </c>
      <c r="J262" s="75">
        <f ca="1" t="shared" si="240"/>
        <v>35</v>
      </c>
      <c r="K262" s="75">
        <f ca="1" t="shared" si="240"/>
        <v>35</v>
      </c>
      <c r="L262" s="75">
        <f ca="1" t="shared" si="240"/>
        <v>35</v>
      </c>
      <c r="M262" s="75">
        <f ca="1" t="shared" si="240"/>
        <v>32</v>
      </c>
      <c r="N262" s="75">
        <f ca="1" t="shared" si="240"/>
        <v>32</v>
      </c>
      <c r="O262" s="75">
        <f ca="1" t="shared" si="240"/>
        <v>32</v>
      </c>
      <c r="P262" s="75">
        <f ca="1" t="shared" si="240"/>
        <v>32</v>
      </c>
      <c r="Q262" s="75">
        <f ca="1" t="shared" si="240"/>
        <v>32</v>
      </c>
      <c r="R262" s="75">
        <f ca="1" t="shared" si="240"/>
        <v>31</v>
      </c>
      <c r="S262" s="75">
        <f ca="1" t="shared" si="240"/>
        <v>30</v>
      </c>
      <c r="T262" s="75">
        <f ca="1" t="shared" si="240"/>
        <v>26</v>
      </c>
      <c r="U262" s="75">
        <f ca="1" t="shared" si="240"/>
        <v>21</v>
      </c>
      <c r="V262" s="75">
        <f ca="1" t="shared" si="240"/>
        <v>21</v>
      </c>
      <c r="W262" s="75">
        <f ca="1" t="shared" si="203"/>
        <v>20</v>
      </c>
      <c r="X262" s="75">
        <f ca="1" t="shared" si="204"/>
        <v>19</v>
      </c>
      <c r="Y262" s="75">
        <f ca="1" t="shared" si="205"/>
        <v>18</v>
      </c>
    </row>
    <row r="263" ht="16.5" spans="1:25">
      <c r="A263" s="74">
        <v>144</v>
      </c>
      <c r="B263" s="65">
        <v>230</v>
      </c>
      <c r="C263" s="75">
        <f>INT(产出预期!M249)</f>
        <v>26626</v>
      </c>
      <c r="D263" s="75">
        <f ca="1" t="shared" ref="D263:V263" si="241">IFERROR(MATCH(D568*10,OFFSET($AS$339:$AS$388,0,D$335),1),0)</f>
        <v>43</v>
      </c>
      <c r="E263" s="75">
        <f ca="1" t="shared" si="241"/>
        <v>43</v>
      </c>
      <c r="F263" s="75">
        <f ca="1" t="shared" si="241"/>
        <v>43</v>
      </c>
      <c r="G263" s="75">
        <f ca="1" t="shared" si="241"/>
        <v>35</v>
      </c>
      <c r="H263" s="75">
        <f ca="1" t="shared" si="241"/>
        <v>35</v>
      </c>
      <c r="I263" s="75">
        <f ca="1" t="shared" si="241"/>
        <v>35</v>
      </c>
      <c r="J263" s="75">
        <f ca="1" t="shared" si="241"/>
        <v>35</v>
      </c>
      <c r="K263" s="75">
        <f ca="1" t="shared" si="241"/>
        <v>35</v>
      </c>
      <c r="L263" s="75">
        <f ca="1" t="shared" si="241"/>
        <v>35</v>
      </c>
      <c r="M263" s="75">
        <f ca="1" t="shared" si="241"/>
        <v>32</v>
      </c>
      <c r="N263" s="75">
        <f ca="1" t="shared" si="241"/>
        <v>32</v>
      </c>
      <c r="O263" s="75">
        <f ca="1" t="shared" si="241"/>
        <v>32</v>
      </c>
      <c r="P263" s="75">
        <f ca="1" t="shared" si="241"/>
        <v>32</v>
      </c>
      <c r="Q263" s="75">
        <f ca="1" t="shared" si="241"/>
        <v>32</v>
      </c>
      <c r="R263" s="75">
        <f ca="1" t="shared" si="241"/>
        <v>31</v>
      </c>
      <c r="S263" s="75">
        <f ca="1" t="shared" si="241"/>
        <v>30</v>
      </c>
      <c r="T263" s="75">
        <f ca="1" t="shared" si="241"/>
        <v>26</v>
      </c>
      <c r="U263" s="75">
        <f ca="1" t="shared" si="241"/>
        <v>21</v>
      </c>
      <c r="V263" s="75">
        <f ca="1" t="shared" si="241"/>
        <v>21</v>
      </c>
      <c r="W263" s="75">
        <f ca="1" t="shared" si="203"/>
        <v>20</v>
      </c>
      <c r="X263" s="75">
        <f ca="1" t="shared" si="204"/>
        <v>19</v>
      </c>
      <c r="Y263" s="75">
        <f ca="1" t="shared" si="205"/>
        <v>18</v>
      </c>
    </row>
    <row r="264" ht="16.5" spans="1:25">
      <c r="A264" s="74">
        <v>144</v>
      </c>
      <c r="B264" s="65">
        <v>231</v>
      </c>
      <c r="C264" s="75">
        <f>INT(产出预期!M250)</f>
        <v>26736</v>
      </c>
      <c r="D264" s="75">
        <f ca="1" t="shared" ref="D264:V264" si="242">IFERROR(MATCH(D569*10,OFFSET($AS$339:$AS$388,0,D$335),1),0)</f>
        <v>43</v>
      </c>
      <c r="E264" s="75">
        <f ca="1" t="shared" si="242"/>
        <v>43</v>
      </c>
      <c r="F264" s="75">
        <f ca="1" t="shared" si="242"/>
        <v>43</v>
      </c>
      <c r="G264" s="75">
        <f ca="1" t="shared" si="242"/>
        <v>35</v>
      </c>
      <c r="H264" s="75">
        <f ca="1" t="shared" si="242"/>
        <v>35</v>
      </c>
      <c r="I264" s="75">
        <f ca="1" t="shared" si="242"/>
        <v>35</v>
      </c>
      <c r="J264" s="75">
        <f ca="1" t="shared" si="242"/>
        <v>35</v>
      </c>
      <c r="K264" s="75">
        <f ca="1" t="shared" si="242"/>
        <v>35</v>
      </c>
      <c r="L264" s="75">
        <f ca="1" t="shared" si="242"/>
        <v>35</v>
      </c>
      <c r="M264" s="75">
        <f ca="1" t="shared" si="242"/>
        <v>32</v>
      </c>
      <c r="N264" s="75">
        <f ca="1" t="shared" si="242"/>
        <v>32</v>
      </c>
      <c r="O264" s="75">
        <f ca="1" t="shared" si="242"/>
        <v>32</v>
      </c>
      <c r="P264" s="75">
        <f ca="1" t="shared" si="242"/>
        <v>32</v>
      </c>
      <c r="Q264" s="75">
        <f ca="1" t="shared" si="242"/>
        <v>32</v>
      </c>
      <c r="R264" s="75">
        <f ca="1" t="shared" si="242"/>
        <v>31</v>
      </c>
      <c r="S264" s="75">
        <f ca="1" t="shared" si="242"/>
        <v>30</v>
      </c>
      <c r="T264" s="75">
        <f ca="1" t="shared" si="242"/>
        <v>26</v>
      </c>
      <c r="U264" s="75">
        <f ca="1" t="shared" si="242"/>
        <v>21</v>
      </c>
      <c r="V264" s="75">
        <f ca="1" t="shared" si="242"/>
        <v>21</v>
      </c>
      <c r="W264" s="75">
        <f ca="1" t="shared" si="203"/>
        <v>20</v>
      </c>
      <c r="X264" s="75">
        <f ca="1" t="shared" si="204"/>
        <v>19</v>
      </c>
      <c r="Y264" s="75">
        <f ca="1" t="shared" si="205"/>
        <v>18</v>
      </c>
    </row>
    <row r="265" ht="16.5" spans="1:25">
      <c r="A265" s="74">
        <v>145</v>
      </c>
      <c r="B265" s="65">
        <v>232</v>
      </c>
      <c r="C265" s="75">
        <f>INT(产出预期!M251)</f>
        <v>26846</v>
      </c>
      <c r="D265" s="75">
        <f ca="1" t="shared" ref="D265:V265" si="243">IFERROR(MATCH(D570*10,OFFSET($AS$339:$AS$388,0,D$335),1),0)</f>
        <v>43</v>
      </c>
      <c r="E265" s="75">
        <f ca="1" t="shared" si="243"/>
        <v>43</v>
      </c>
      <c r="F265" s="75">
        <f ca="1" t="shared" si="243"/>
        <v>43</v>
      </c>
      <c r="G265" s="75">
        <f ca="1" t="shared" si="243"/>
        <v>35</v>
      </c>
      <c r="H265" s="75">
        <f ca="1" t="shared" si="243"/>
        <v>35</v>
      </c>
      <c r="I265" s="75">
        <f ca="1" t="shared" si="243"/>
        <v>35</v>
      </c>
      <c r="J265" s="75">
        <f ca="1" t="shared" si="243"/>
        <v>35</v>
      </c>
      <c r="K265" s="75">
        <f ca="1" t="shared" si="243"/>
        <v>35</v>
      </c>
      <c r="L265" s="75">
        <f ca="1" t="shared" si="243"/>
        <v>35</v>
      </c>
      <c r="M265" s="75">
        <f ca="1" t="shared" si="243"/>
        <v>33</v>
      </c>
      <c r="N265" s="75">
        <f ca="1" t="shared" si="243"/>
        <v>32</v>
      </c>
      <c r="O265" s="75">
        <f ca="1" t="shared" si="243"/>
        <v>32</v>
      </c>
      <c r="P265" s="75">
        <f ca="1" t="shared" si="243"/>
        <v>32</v>
      </c>
      <c r="Q265" s="75">
        <f ca="1" t="shared" si="243"/>
        <v>32</v>
      </c>
      <c r="R265" s="75">
        <f ca="1" t="shared" si="243"/>
        <v>31</v>
      </c>
      <c r="S265" s="75">
        <f ca="1" t="shared" si="243"/>
        <v>30</v>
      </c>
      <c r="T265" s="75">
        <f ca="1" t="shared" si="243"/>
        <v>26</v>
      </c>
      <c r="U265" s="75">
        <f ca="1" t="shared" si="243"/>
        <v>21</v>
      </c>
      <c r="V265" s="75">
        <f ca="1" t="shared" si="243"/>
        <v>21</v>
      </c>
      <c r="W265" s="75">
        <f ca="1" t="shared" si="203"/>
        <v>20</v>
      </c>
      <c r="X265" s="75">
        <f ca="1" t="shared" si="204"/>
        <v>19</v>
      </c>
      <c r="Y265" s="75">
        <f ca="1" t="shared" si="205"/>
        <v>18</v>
      </c>
    </row>
    <row r="266" ht="16.5" spans="1:25">
      <c r="A266" s="74">
        <v>145</v>
      </c>
      <c r="B266" s="65">
        <v>233</v>
      </c>
      <c r="C266" s="75">
        <f>INT(产出预期!M252)</f>
        <v>26956</v>
      </c>
      <c r="D266" s="75">
        <f ca="1" t="shared" ref="D266:V266" si="244">IFERROR(MATCH(D571*10,OFFSET($AS$339:$AS$388,0,D$335),1),0)</f>
        <v>43</v>
      </c>
      <c r="E266" s="75">
        <f ca="1" t="shared" si="244"/>
        <v>43</v>
      </c>
      <c r="F266" s="75">
        <f ca="1" t="shared" si="244"/>
        <v>43</v>
      </c>
      <c r="G266" s="75">
        <f ca="1" t="shared" si="244"/>
        <v>35</v>
      </c>
      <c r="H266" s="75">
        <f ca="1" t="shared" si="244"/>
        <v>35</v>
      </c>
      <c r="I266" s="75">
        <f ca="1" t="shared" si="244"/>
        <v>35</v>
      </c>
      <c r="J266" s="75">
        <f ca="1" t="shared" si="244"/>
        <v>35</v>
      </c>
      <c r="K266" s="75">
        <f ca="1" t="shared" si="244"/>
        <v>35</v>
      </c>
      <c r="L266" s="75">
        <f ca="1" t="shared" si="244"/>
        <v>35</v>
      </c>
      <c r="M266" s="75">
        <f ca="1" t="shared" si="244"/>
        <v>33</v>
      </c>
      <c r="N266" s="75">
        <f ca="1" t="shared" si="244"/>
        <v>32</v>
      </c>
      <c r="O266" s="75">
        <f ca="1" t="shared" si="244"/>
        <v>32</v>
      </c>
      <c r="P266" s="75">
        <f ca="1" t="shared" si="244"/>
        <v>32</v>
      </c>
      <c r="Q266" s="75">
        <f ca="1" t="shared" si="244"/>
        <v>32</v>
      </c>
      <c r="R266" s="75">
        <f ca="1" t="shared" si="244"/>
        <v>31</v>
      </c>
      <c r="S266" s="75">
        <f ca="1" t="shared" si="244"/>
        <v>30</v>
      </c>
      <c r="T266" s="75">
        <f ca="1" t="shared" si="244"/>
        <v>26</v>
      </c>
      <c r="U266" s="75">
        <f ca="1" t="shared" si="244"/>
        <v>21</v>
      </c>
      <c r="V266" s="75">
        <f ca="1" t="shared" si="244"/>
        <v>21</v>
      </c>
      <c r="W266" s="75">
        <f ca="1" t="shared" si="203"/>
        <v>20</v>
      </c>
      <c r="X266" s="75">
        <f ca="1" t="shared" si="204"/>
        <v>19</v>
      </c>
      <c r="Y266" s="75">
        <f ca="1" t="shared" si="205"/>
        <v>18</v>
      </c>
    </row>
    <row r="267" ht="16.5" spans="1:25">
      <c r="A267" s="74">
        <v>145</v>
      </c>
      <c r="B267" s="65">
        <v>234</v>
      </c>
      <c r="C267" s="75">
        <f>INT(产出预期!M253)</f>
        <v>27066</v>
      </c>
      <c r="D267" s="75">
        <f ca="1" t="shared" ref="D267:V267" si="245">IFERROR(MATCH(D572*10,OFFSET($AS$339:$AS$388,0,D$335),1),0)</f>
        <v>43</v>
      </c>
      <c r="E267" s="75">
        <f ca="1" t="shared" si="245"/>
        <v>43</v>
      </c>
      <c r="F267" s="75">
        <f ca="1" t="shared" si="245"/>
        <v>43</v>
      </c>
      <c r="G267" s="75">
        <f ca="1" t="shared" si="245"/>
        <v>35</v>
      </c>
      <c r="H267" s="75">
        <f ca="1" t="shared" si="245"/>
        <v>35</v>
      </c>
      <c r="I267" s="75">
        <f ca="1" t="shared" si="245"/>
        <v>35</v>
      </c>
      <c r="J267" s="75">
        <f ca="1" t="shared" si="245"/>
        <v>35</v>
      </c>
      <c r="K267" s="75">
        <f ca="1" t="shared" si="245"/>
        <v>35</v>
      </c>
      <c r="L267" s="75">
        <f ca="1" t="shared" si="245"/>
        <v>35</v>
      </c>
      <c r="M267" s="75">
        <f ca="1" t="shared" si="245"/>
        <v>33</v>
      </c>
      <c r="N267" s="75">
        <f ca="1" t="shared" si="245"/>
        <v>32</v>
      </c>
      <c r="O267" s="75">
        <f ca="1" t="shared" si="245"/>
        <v>32</v>
      </c>
      <c r="P267" s="75">
        <f ca="1" t="shared" si="245"/>
        <v>32</v>
      </c>
      <c r="Q267" s="75">
        <f ca="1" t="shared" si="245"/>
        <v>32</v>
      </c>
      <c r="R267" s="75">
        <f ca="1" t="shared" si="245"/>
        <v>31</v>
      </c>
      <c r="S267" s="75">
        <f ca="1" t="shared" si="245"/>
        <v>30</v>
      </c>
      <c r="T267" s="75">
        <f ca="1" t="shared" si="245"/>
        <v>26</v>
      </c>
      <c r="U267" s="75">
        <f ca="1" t="shared" si="245"/>
        <v>21</v>
      </c>
      <c r="V267" s="75">
        <f ca="1" t="shared" si="245"/>
        <v>21</v>
      </c>
      <c r="W267" s="75">
        <f ca="1" t="shared" si="203"/>
        <v>20</v>
      </c>
      <c r="X267" s="75">
        <f ca="1" t="shared" si="204"/>
        <v>19</v>
      </c>
      <c r="Y267" s="75">
        <f ca="1" t="shared" si="205"/>
        <v>18</v>
      </c>
    </row>
    <row r="268" ht="16.5" spans="1:25">
      <c r="A268" s="74">
        <v>146</v>
      </c>
      <c r="B268" s="65">
        <v>235</v>
      </c>
      <c r="C268" s="75">
        <f>INT(产出预期!M254)</f>
        <v>27176</v>
      </c>
      <c r="D268" s="75">
        <f ca="1" t="shared" ref="D268:V268" si="246">IFERROR(MATCH(D573*10,OFFSET($AS$339:$AS$388,0,D$335),1),0)</f>
        <v>43</v>
      </c>
      <c r="E268" s="75">
        <f ca="1" t="shared" si="246"/>
        <v>43</v>
      </c>
      <c r="F268" s="75">
        <f ca="1" t="shared" si="246"/>
        <v>43</v>
      </c>
      <c r="G268" s="75">
        <f ca="1" t="shared" si="246"/>
        <v>35</v>
      </c>
      <c r="H268" s="75">
        <f ca="1" t="shared" si="246"/>
        <v>35</v>
      </c>
      <c r="I268" s="75">
        <f ca="1" t="shared" si="246"/>
        <v>35</v>
      </c>
      <c r="J268" s="75">
        <f ca="1" t="shared" si="246"/>
        <v>35</v>
      </c>
      <c r="K268" s="75">
        <f ca="1" t="shared" si="246"/>
        <v>35</v>
      </c>
      <c r="L268" s="75">
        <f ca="1" t="shared" si="246"/>
        <v>35</v>
      </c>
      <c r="M268" s="75">
        <f ca="1" t="shared" si="246"/>
        <v>33</v>
      </c>
      <c r="N268" s="75">
        <f ca="1" t="shared" si="246"/>
        <v>32</v>
      </c>
      <c r="O268" s="75">
        <f ca="1" t="shared" si="246"/>
        <v>32</v>
      </c>
      <c r="P268" s="75">
        <f ca="1" t="shared" si="246"/>
        <v>32</v>
      </c>
      <c r="Q268" s="75">
        <f ca="1" t="shared" si="246"/>
        <v>32</v>
      </c>
      <c r="R268" s="75">
        <f ca="1" t="shared" si="246"/>
        <v>31</v>
      </c>
      <c r="S268" s="75">
        <f ca="1" t="shared" si="246"/>
        <v>30</v>
      </c>
      <c r="T268" s="75">
        <f ca="1" t="shared" si="246"/>
        <v>26</v>
      </c>
      <c r="U268" s="75">
        <f ca="1" t="shared" si="246"/>
        <v>21</v>
      </c>
      <c r="V268" s="75">
        <f ca="1" t="shared" si="246"/>
        <v>21</v>
      </c>
      <c r="W268" s="75">
        <f ca="1" t="shared" si="203"/>
        <v>20</v>
      </c>
      <c r="X268" s="75">
        <f ca="1" t="shared" si="204"/>
        <v>19</v>
      </c>
      <c r="Y268" s="75">
        <f ca="1" t="shared" si="205"/>
        <v>18</v>
      </c>
    </row>
    <row r="269" ht="16.5" spans="1:25">
      <c r="A269" s="74">
        <v>146</v>
      </c>
      <c r="B269" s="65">
        <v>236</v>
      </c>
      <c r="C269" s="75">
        <f>INT(产出预期!M255)</f>
        <v>27286</v>
      </c>
      <c r="D269" s="75">
        <f ca="1" t="shared" ref="D269:V269" si="247">IFERROR(MATCH(D574*10,OFFSET($AS$339:$AS$388,0,D$335),1),0)</f>
        <v>43</v>
      </c>
      <c r="E269" s="75">
        <f ca="1" t="shared" si="247"/>
        <v>43</v>
      </c>
      <c r="F269" s="75">
        <f ca="1" t="shared" si="247"/>
        <v>43</v>
      </c>
      <c r="G269" s="75">
        <f ca="1" t="shared" si="247"/>
        <v>35</v>
      </c>
      <c r="H269" s="75">
        <f ca="1" t="shared" si="247"/>
        <v>35</v>
      </c>
      <c r="I269" s="75">
        <f ca="1" t="shared" si="247"/>
        <v>35</v>
      </c>
      <c r="J269" s="75">
        <f ca="1" t="shared" si="247"/>
        <v>35</v>
      </c>
      <c r="K269" s="75">
        <f ca="1" t="shared" si="247"/>
        <v>35</v>
      </c>
      <c r="L269" s="75">
        <f ca="1" t="shared" si="247"/>
        <v>35</v>
      </c>
      <c r="M269" s="75">
        <f ca="1" t="shared" si="247"/>
        <v>33</v>
      </c>
      <c r="N269" s="75">
        <f ca="1" t="shared" si="247"/>
        <v>32</v>
      </c>
      <c r="O269" s="75">
        <f ca="1" t="shared" si="247"/>
        <v>32</v>
      </c>
      <c r="P269" s="75">
        <f ca="1" t="shared" si="247"/>
        <v>32</v>
      </c>
      <c r="Q269" s="75">
        <f ca="1" t="shared" si="247"/>
        <v>32</v>
      </c>
      <c r="R269" s="75">
        <f ca="1" t="shared" si="247"/>
        <v>31</v>
      </c>
      <c r="S269" s="75">
        <f ca="1" t="shared" si="247"/>
        <v>31</v>
      </c>
      <c r="T269" s="75">
        <f ca="1" t="shared" si="247"/>
        <v>26</v>
      </c>
      <c r="U269" s="75">
        <f ca="1" t="shared" si="247"/>
        <v>21</v>
      </c>
      <c r="V269" s="75">
        <f ca="1" t="shared" si="247"/>
        <v>21</v>
      </c>
      <c r="W269" s="75">
        <f ca="1" t="shared" si="203"/>
        <v>20</v>
      </c>
      <c r="X269" s="75">
        <f ca="1" t="shared" si="204"/>
        <v>19</v>
      </c>
      <c r="Y269" s="75">
        <f ca="1" t="shared" si="205"/>
        <v>18</v>
      </c>
    </row>
    <row r="270" ht="16.5" spans="1:25">
      <c r="A270" s="74">
        <v>146</v>
      </c>
      <c r="B270" s="65">
        <v>237</v>
      </c>
      <c r="C270" s="75">
        <f>INT(产出预期!M256)</f>
        <v>27396</v>
      </c>
      <c r="D270" s="75">
        <f ca="1" t="shared" ref="D270:V270" si="248">IFERROR(MATCH(D575*10,OFFSET($AS$339:$AS$388,0,D$335),1),0)</f>
        <v>43</v>
      </c>
      <c r="E270" s="75">
        <f ca="1" t="shared" si="248"/>
        <v>43</v>
      </c>
      <c r="F270" s="75">
        <f ca="1" t="shared" si="248"/>
        <v>43</v>
      </c>
      <c r="G270" s="75">
        <f ca="1" t="shared" si="248"/>
        <v>35</v>
      </c>
      <c r="H270" s="75">
        <f ca="1" t="shared" si="248"/>
        <v>35</v>
      </c>
      <c r="I270" s="75">
        <f ca="1" t="shared" si="248"/>
        <v>35</v>
      </c>
      <c r="J270" s="75">
        <f ca="1" t="shared" si="248"/>
        <v>35</v>
      </c>
      <c r="K270" s="75">
        <f ca="1" t="shared" si="248"/>
        <v>35</v>
      </c>
      <c r="L270" s="75">
        <f ca="1" t="shared" si="248"/>
        <v>35</v>
      </c>
      <c r="M270" s="75">
        <f ca="1" t="shared" si="248"/>
        <v>33</v>
      </c>
      <c r="N270" s="75">
        <f ca="1" t="shared" si="248"/>
        <v>32</v>
      </c>
      <c r="O270" s="75">
        <f ca="1" t="shared" si="248"/>
        <v>32</v>
      </c>
      <c r="P270" s="75">
        <f ca="1" t="shared" si="248"/>
        <v>32</v>
      </c>
      <c r="Q270" s="75">
        <f ca="1" t="shared" si="248"/>
        <v>32</v>
      </c>
      <c r="R270" s="75">
        <f ca="1" t="shared" si="248"/>
        <v>31</v>
      </c>
      <c r="S270" s="75">
        <f ca="1" t="shared" si="248"/>
        <v>31</v>
      </c>
      <c r="T270" s="75">
        <f ca="1" t="shared" si="248"/>
        <v>26</v>
      </c>
      <c r="U270" s="75">
        <f ca="1" t="shared" si="248"/>
        <v>21</v>
      </c>
      <c r="V270" s="75">
        <f ca="1" t="shared" si="248"/>
        <v>21</v>
      </c>
      <c r="W270" s="75">
        <f ca="1" t="shared" si="203"/>
        <v>20</v>
      </c>
      <c r="X270" s="75">
        <f ca="1" t="shared" si="204"/>
        <v>19</v>
      </c>
      <c r="Y270" s="75">
        <f ca="1" t="shared" si="205"/>
        <v>18</v>
      </c>
    </row>
    <row r="271" ht="16.5" spans="1:25">
      <c r="A271" s="74">
        <v>147</v>
      </c>
      <c r="B271" s="65">
        <v>238</v>
      </c>
      <c r="C271" s="75">
        <f>INT(产出预期!M257)</f>
        <v>27506</v>
      </c>
      <c r="D271" s="75">
        <f ca="1" t="shared" ref="D271:V271" si="249">IFERROR(MATCH(D576*10,OFFSET($AS$339:$AS$388,0,D$335),1),0)</f>
        <v>43</v>
      </c>
      <c r="E271" s="75">
        <f ca="1" t="shared" si="249"/>
        <v>43</v>
      </c>
      <c r="F271" s="75">
        <f ca="1" t="shared" si="249"/>
        <v>43</v>
      </c>
      <c r="G271" s="75">
        <f ca="1" t="shared" si="249"/>
        <v>35</v>
      </c>
      <c r="H271" s="75">
        <f ca="1" t="shared" si="249"/>
        <v>35</v>
      </c>
      <c r="I271" s="75">
        <f ca="1" t="shared" si="249"/>
        <v>35</v>
      </c>
      <c r="J271" s="75">
        <f ca="1" t="shared" si="249"/>
        <v>35</v>
      </c>
      <c r="K271" s="75">
        <f ca="1" t="shared" si="249"/>
        <v>35</v>
      </c>
      <c r="L271" s="75">
        <f ca="1" t="shared" si="249"/>
        <v>35</v>
      </c>
      <c r="M271" s="75">
        <f ca="1" t="shared" si="249"/>
        <v>33</v>
      </c>
      <c r="N271" s="75">
        <f ca="1" t="shared" si="249"/>
        <v>32</v>
      </c>
      <c r="O271" s="75">
        <f ca="1" t="shared" si="249"/>
        <v>32</v>
      </c>
      <c r="P271" s="75">
        <f ca="1" t="shared" si="249"/>
        <v>32</v>
      </c>
      <c r="Q271" s="75">
        <f ca="1" t="shared" si="249"/>
        <v>32</v>
      </c>
      <c r="R271" s="75">
        <f ca="1" t="shared" si="249"/>
        <v>31</v>
      </c>
      <c r="S271" s="75">
        <f ca="1" t="shared" si="249"/>
        <v>31</v>
      </c>
      <c r="T271" s="75">
        <f ca="1" t="shared" si="249"/>
        <v>26</v>
      </c>
      <c r="U271" s="75">
        <f ca="1" t="shared" si="249"/>
        <v>21</v>
      </c>
      <c r="V271" s="75">
        <f ca="1" t="shared" si="249"/>
        <v>21</v>
      </c>
      <c r="W271" s="75">
        <f ca="1" t="shared" si="203"/>
        <v>20</v>
      </c>
      <c r="X271" s="75">
        <f ca="1" t="shared" si="204"/>
        <v>19</v>
      </c>
      <c r="Y271" s="75">
        <f ca="1" t="shared" si="205"/>
        <v>18</v>
      </c>
    </row>
    <row r="272" ht="16.5" spans="1:25">
      <c r="A272" s="74">
        <v>147</v>
      </c>
      <c r="B272" s="65">
        <v>239</v>
      </c>
      <c r="C272" s="75">
        <f>INT(产出预期!M258)</f>
        <v>27616</v>
      </c>
      <c r="D272" s="75">
        <f ca="1" t="shared" ref="D272:V272" si="250">IFERROR(MATCH(D577*10,OFFSET($AS$339:$AS$388,0,D$335),1),0)</f>
        <v>43</v>
      </c>
      <c r="E272" s="75">
        <f ca="1" t="shared" si="250"/>
        <v>43</v>
      </c>
      <c r="F272" s="75">
        <f ca="1" t="shared" si="250"/>
        <v>43</v>
      </c>
      <c r="G272" s="75">
        <f ca="1" t="shared" si="250"/>
        <v>35</v>
      </c>
      <c r="H272" s="75">
        <f ca="1" t="shared" si="250"/>
        <v>35</v>
      </c>
      <c r="I272" s="75">
        <f ca="1" t="shared" si="250"/>
        <v>35</v>
      </c>
      <c r="J272" s="75">
        <f ca="1" t="shared" si="250"/>
        <v>35</v>
      </c>
      <c r="K272" s="75">
        <f ca="1" t="shared" si="250"/>
        <v>35</v>
      </c>
      <c r="L272" s="75">
        <f ca="1" t="shared" si="250"/>
        <v>35</v>
      </c>
      <c r="M272" s="75">
        <f ca="1" t="shared" si="250"/>
        <v>33</v>
      </c>
      <c r="N272" s="75">
        <f ca="1" t="shared" si="250"/>
        <v>32</v>
      </c>
      <c r="O272" s="75">
        <f ca="1" t="shared" si="250"/>
        <v>32</v>
      </c>
      <c r="P272" s="75">
        <f ca="1" t="shared" si="250"/>
        <v>32</v>
      </c>
      <c r="Q272" s="75">
        <f ca="1" t="shared" si="250"/>
        <v>32</v>
      </c>
      <c r="R272" s="75">
        <f ca="1" t="shared" si="250"/>
        <v>31</v>
      </c>
      <c r="S272" s="75">
        <f ca="1" t="shared" si="250"/>
        <v>31</v>
      </c>
      <c r="T272" s="75">
        <f ca="1" t="shared" si="250"/>
        <v>26</v>
      </c>
      <c r="U272" s="75">
        <f ca="1" t="shared" si="250"/>
        <v>21</v>
      </c>
      <c r="V272" s="75">
        <f ca="1" t="shared" si="250"/>
        <v>21</v>
      </c>
      <c r="W272" s="75">
        <f ca="1" t="shared" si="203"/>
        <v>20</v>
      </c>
      <c r="X272" s="75">
        <f ca="1" t="shared" si="204"/>
        <v>19</v>
      </c>
      <c r="Y272" s="75">
        <f ca="1" t="shared" si="205"/>
        <v>18</v>
      </c>
    </row>
    <row r="273" ht="16.5" spans="1:25">
      <c r="A273" s="74">
        <v>147</v>
      </c>
      <c r="B273" s="65">
        <v>240</v>
      </c>
      <c r="C273" s="75">
        <f>INT(产出预期!M259)</f>
        <v>27726</v>
      </c>
      <c r="D273" s="75">
        <f ca="1" t="shared" ref="D273:V273" si="251">IFERROR(MATCH(D578*10,OFFSET($AS$339:$AS$388,0,D$335),1),0)</f>
        <v>43</v>
      </c>
      <c r="E273" s="75">
        <f ca="1" t="shared" si="251"/>
        <v>43</v>
      </c>
      <c r="F273" s="75">
        <f ca="1" t="shared" si="251"/>
        <v>43</v>
      </c>
      <c r="G273" s="75">
        <f ca="1" t="shared" si="251"/>
        <v>35</v>
      </c>
      <c r="H273" s="75">
        <f ca="1" t="shared" si="251"/>
        <v>35</v>
      </c>
      <c r="I273" s="75">
        <f ca="1" t="shared" si="251"/>
        <v>35</v>
      </c>
      <c r="J273" s="75">
        <f ca="1" t="shared" si="251"/>
        <v>35</v>
      </c>
      <c r="K273" s="75">
        <f ca="1" t="shared" si="251"/>
        <v>35</v>
      </c>
      <c r="L273" s="75">
        <f ca="1" t="shared" si="251"/>
        <v>35</v>
      </c>
      <c r="M273" s="75">
        <f ca="1" t="shared" si="251"/>
        <v>33</v>
      </c>
      <c r="N273" s="75">
        <f ca="1" t="shared" si="251"/>
        <v>33</v>
      </c>
      <c r="O273" s="75">
        <f ca="1" t="shared" si="251"/>
        <v>32</v>
      </c>
      <c r="P273" s="75">
        <f ca="1" t="shared" si="251"/>
        <v>32</v>
      </c>
      <c r="Q273" s="75">
        <f ca="1" t="shared" si="251"/>
        <v>32</v>
      </c>
      <c r="R273" s="75">
        <f ca="1" t="shared" si="251"/>
        <v>31</v>
      </c>
      <c r="S273" s="75">
        <f ca="1" t="shared" si="251"/>
        <v>31</v>
      </c>
      <c r="T273" s="75">
        <f ca="1" t="shared" si="251"/>
        <v>26</v>
      </c>
      <c r="U273" s="75">
        <f ca="1" t="shared" si="251"/>
        <v>21</v>
      </c>
      <c r="V273" s="75">
        <f ca="1" t="shared" si="251"/>
        <v>21</v>
      </c>
      <c r="W273" s="75">
        <f ca="1" t="shared" si="203"/>
        <v>20</v>
      </c>
      <c r="X273" s="75">
        <f ca="1" t="shared" si="204"/>
        <v>19</v>
      </c>
      <c r="Y273" s="75">
        <f ca="1" t="shared" si="205"/>
        <v>18</v>
      </c>
    </row>
    <row r="274" ht="16.5" spans="1:25">
      <c r="A274" s="74">
        <v>148</v>
      </c>
      <c r="B274" s="65">
        <v>241</v>
      </c>
      <c r="C274" s="75">
        <f>INT(产出预期!M260)</f>
        <v>27836</v>
      </c>
      <c r="D274" s="75">
        <f ca="1" t="shared" ref="D274:V274" si="252">IFERROR(MATCH(D579*10,OFFSET($AS$339:$AS$388,0,D$335),1),0)</f>
        <v>43</v>
      </c>
      <c r="E274" s="75">
        <f ca="1" t="shared" si="252"/>
        <v>43</v>
      </c>
      <c r="F274" s="75">
        <f ca="1" t="shared" si="252"/>
        <v>43</v>
      </c>
      <c r="G274" s="75">
        <f ca="1" t="shared" si="252"/>
        <v>35</v>
      </c>
      <c r="H274" s="75">
        <f ca="1" t="shared" si="252"/>
        <v>35</v>
      </c>
      <c r="I274" s="75">
        <f ca="1" t="shared" si="252"/>
        <v>35</v>
      </c>
      <c r="J274" s="75">
        <f ca="1" t="shared" si="252"/>
        <v>35</v>
      </c>
      <c r="K274" s="75">
        <f ca="1" t="shared" si="252"/>
        <v>35</v>
      </c>
      <c r="L274" s="75">
        <f ca="1" t="shared" si="252"/>
        <v>35</v>
      </c>
      <c r="M274" s="75">
        <f ca="1" t="shared" si="252"/>
        <v>33</v>
      </c>
      <c r="N274" s="75">
        <f ca="1" t="shared" si="252"/>
        <v>33</v>
      </c>
      <c r="O274" s="75">
        <f ca="1" t="shared" si="252"/>
        <v>32</v>
      </c>
      <c r="P274" s="75">
        <f ca="1" t="shared" si="252"/>
        <v>32</v>
      </c>
      <c r="Q274" s="75">
        <f ca="1" t="shared" si="252"/>
        <v>32</v>
      </c>
      <c r="R274" s="75">
        <f ca="1" t="shared" si="252"/>
        <v>31</v>
      </c>
      <c r="S274" s="75">
        <f ca="1" t="shared" si="252"/>
        <v>31</v>
      </c>
      <c r="T274" s="75">
        <f ca="1" t="shared" si="252"/>
        <v>26</v>
      </c>
      <c r="U274" s="75">
        <f ca="1" t="shared" si="252"/>
        <v>21</v>
      </c>
      <c r="V274" s="75">
        <f ca="1" t="shared" si="252"/>
        <v>21</v>
      </c>
      <c r="W274" s="75">
        <f ca="1" t="shared" si="203"/>
        <v>20</v>
      </c>
      <c r="X274" s="75">
        <f ca="1" t="shared" si="204"/>
        <v>19</v>
      </c>
      <c r="Y274" s="75">
        <f ca="1" t="shared" si="205"/>
        <v>18</v>
      </c>
    </row>
    <row r="275" ht="16.5" spans="1:25">
      <c r="A275" s="74">
        <v>148</v>
      </c>
      <c r="B275" s="65">
        <v>242</v>
      </c>
      <c r="C275" s="75">
        <f>INT(产出预期!M261)</f>
        <v>27946</v>
      </c>
      <c r="D275" s="75">
        <f ca="1" t="shared" ref="D275:V275" si="253">IFERROR(MATCH(D580*10,OFFSET($AS$339:$AS$388,0,D$335),1),0)</f>
        <v>43</v>
      </c>
      <c r="E275" s="75">
        <f ca="1" t="shared" si="253"/>
        <v>43</v>
      </c>
      <c r="F275" s="75">
        <f ca="1" t="shared" si="253"/>
        <v>43</v>
      </c>
      <c r="G275" s="75">
        <f ca="1" t="shared" si="253"/>
        <v>35</v>
      </c>
      <c r="H275" s="75">
        <f ca="1" t="shared" si="253"/>
        <v>35</v>
      </c>
      <c r="I275" s="75">
        <f ca="1" t="shared" si="253"/>
        <v>35</v>
      </c>
      <c r="J275" s="75">
        <f ca="1" t="shared" si="253"/>
        <v>35</v>
      </c>
      <c r="K275" s="75">
        <f ca="1" t="shared" si="253"/>
        <v>35</v>
      </c>
      <c r="L275" s="75">
        <f ca="1" t="shared" si="253"/>
        <v>35</v>
      </c>
      <c r="M275" s="75">
        <f ca="1" t="shared" si="253"/>
        <v>33</v>
      </c>
      <c r="N275" s="75">
        <f ca="1" t="shared" si="253"/>
        <v>33</v>
      </c>
      <c r="O275" s="75">
        <f ca="1" t="shared" si="253"/>
        <v>32</v>
      </c>
      <c r="P275" s="75">
        <f ca="1" t="shared" si="253"/>
        <v>32</v>
      </c>
      <c r="Q275" s="75">
        <f ca="1" t="shared" si="253"/>
        <v>32</v>
      </c>
      <c r="R275" s="75">
        <f ca="1" t="shared" si="253"/>
        <v>31</v>
      </c>
      <c r="S275" s="75">
        <f ca="1" t="shared" si="253"/>
        <v>31</v>
      </c>
      <c r="T275" s="75">
        <f ca="1" t="shared" si="253"/>
        <v>26</v>
      </c>
      <c r="U275" s="75">
        <f ca="1" t="shared" si="253"/>
        <v>21</v>
      </c>
      <c r="V275" s="75">
        <f ca="1" t="shared" si="253"/>
        <v>21</v>
      </c>
      <c r="W275" s="75">
        <f ca="1" t="shared" si="203"/>
        <v>20</v>
      </c>
      <c r="X275" s="75">
        <f ca="1" t="shared" si="204"/>
        <v>19</v>
      </c>
      <c r="Y275" s="75">
        <f ca="1" t="shared" si="205"/>
        <v>18</v>
      </c>
    </row>
    <row r="276" ht="16.5" spans="1:25">
      <c r="A276" s="74">
        <v>148</v>
      </c>
      <c r="B276" s="65">
        <v>243</v>
      </c>
      <c r="C276" s="75">
        <f>INT(产出预期!M262)</f>
        <v>28056</v>
      </c>
      <c r="D276" s="75">
        <f ca="1" t="shared" ref="D276:V276" si="254">IFERROR(MATCH(D581*10,OFFSET($AS$339:$AS$388,0,D$335),1),0)</f>
        <v>43</v>
      </c>
      <c r="E276" s="75">
        <f ca="1" t="shared" si="254"/>
        <v>43</v>
      </c>
      <c r="F276" s="75">
        <f ca="1" t="shared" si="254"/>
        <v>43</v>
      </c>
      <c r="G276" s="75">
        <f ca="1" t="shared" si="254"/>
        <v>35</v>
      </c>
      <c r="H276" s="75">
        <f ca="1" t="shared" si="254"/>
        <v>35</v>
      </c>
      <c r="I276" s="75">
        <f ca="1" t="shared" si="254"/>
        <v>35</v>
      </c>
      <c r="J276" s="75">
        <f ca="1" t="shared" si="254"/>
        <v>35</v>
      </c>
      <c r="K276" s="75">
        <f ca="1" t="shared" si="254"/>
        <v>35</v>
      </c>
      <c r="L276" s="75">
        <f ca="1" t="shared" si="254"/>
        <v>35</v>
      </c>
      <c r="M276" s="75">
        <f ca="1" t="shared" si="254"/>
        <v>33</v>
      </c>
      <c r="N276" s="75">
        <f ca="1" t="shared" si="254"/>
        <v>33</v>
      </c>
      <c r="O276" s="75">
        <f ca="1" t="shared" si="254"/>
        <v>32</v>
      </c>
      <c r="P276" s="75">
        <f ca="1" t="shared" si="254"/>
        <v>32</v>
      </c>
      <c r="Q276" s="75">
        <f ca="1" t="shared" si="254"/>
        <v>32</v>
      </c>
      <c r="R276" s="75">
        <f ca="1" t="shared" si="254"/>
        <v>31</v>
      </c>
      <c r="S276" s="75">
        <f ca="1" t="shared" si="254"/>
        <v>31</v>
      </c>
      <c r="T276" s="75">
        <f ca="1" t="shared" si="254"/>
        <v>26</v>
      </c>
      <c r="U276" s="75">
        <f ca="1" t="shared" si="254"/>
        <v>21</v>
      </c>
      <c r="V276" s="75">
        <f ca="1" t="shared" si="254"/>
        <v>21</v>
      </c>
      <c r="W276" s="75">
        <f ca="1" t="shared" si="203"/>
        <v>20</v>
      </c>
      <c r="X276" s="75">
        <f ca="1" t="shared" si="204"/>
        <v>19</v>
      </c>
      <c r="Y276" s="75">
        <f ca="1" t="shared" si="205"/>
        <v>18</v>
      </c>
    </row>
    <row r="277" ht="16.5" spans="1:25">
      <c r="A277" s="74">
        <v>149</v>
      </c>
      <c r="B277" s="65">
        <v>244</v>
      </c>
      <c r="C277" s="75">
        <f>INT(产出预期!M263)</f>
        <v>28166</v>
      </c>
      <c r="D277" s="75">
        <f ca="1" t="shared" ref="D277:V277" si="255">IFERROR(MATCH(D582*10,OFFSET($AS$339:$AS$388,0,D$335),1),0)</f>
        <v>43</v>
      </c>
      <c r="E277" s="75">
        <f ca="1" t="shared" si="255"/>
        <v>43</v>
      </c>
      <c r="F277" s="75">
        <f ca="1" t="shared" si="255"/>
        <v>43</v>
      </c>
      <c r="G277" s="75">
        <f ca="1" t="shared" si="255"/>
        <v>35</v>
      </c>
      <c r="H277" s="75">
        <f ca="1" t="shared" si="255"/>
        <v>35</v>
      </c>
      <c r="I277" s="75">
        <f ca="1" t="shared" si="255"/>
        <v>35</v>
      </c>
      <c r="J277" s="75">
        <f ca="1" t="shared" si="255"/>
        <v>35</v>
      </c>
      <c r="K277" s="75">
        <f ca="1" t="shared" si="255"/>
        <v>35</v>
      </c>
      <c r="L277" s="75">
        <f ca="1" t="shared" si="255"/>
        <v>35</v>
      </c>
      <c r="M277" s="75">
        <f ca="1" t="shared" si="255"/>
        <v>33</v>
      </c>
      <c r="N277" s="75">
        <f ca="1" t="shared" si="255"/>
        <v>33</v>
      </c>
      <c r="O277" s="75">
        <f ca="1" t="shared" si="255"/>
        <v>32</v>
      </c>
      <c r="P277" s="75">
        <f ca="1" t="shared" si="255"/>
        <v>32</v>
      </c>
      <c r="Q277" s="75">
        <f ca="1" t="shared" si="255"/>
        <v>32</v>
      </c>
      <c r="R277" s="75">
        <f ca="1" t="shared" si="255"/>
        <v>31</v>
      </c>
      <c r="S277" s="75">
        <f ca="1" t="shared" si="255"/>
        <v>31</v>
      </c>
      <c r="T277" s="75">
        <f ca="1" t="shared" si="255"/>
        <v>26</v>
      </c>
      <c r="U277" s="75">
        <f ca="1" t="shared" si="255"/>
        <v>21</v>
      </c>
      <c r="V277" s="75">
        <f ca="1" t="shared" si="255"/>
        <v>21</v>
      </c>
      <c r="W277" s="75">
        <f ca="1" t="shared" si="203"/>
        <v>20</v>
      </c>
      <c r="X277" s="75">
        <f ca="1" t="shared" si="204"/>
        <v>19</v>
      </c>
      <c r="Y277" s="75">
        <f ca="1" t="shared" si="205"/>
        <v>18</v>
      </c>
    </row>
    <row r="278" ht="16.5" spans="1:25">
      <c r="A278" s="74">
        <v>149</v>
      </c>
      <c r="B278" s="65">
        <v>245</v>
      </c>
      <c r="C278" s="75">
        <f>INT(产出预期!M264)</f>
        <v>28276</v>
      </c>
      <c r="D278" s="75">
        <f ca="1" t="shared" ref="D278:V278" si="256">IFERROR(MATCH(D583*10,OFFSET($AS$339:$AS$388,0,D$335),1),0)</f>
        <v>43</v>
      </c>
      <c r="E278" s="75">
        <f ca="1" t="shared" si="256"/>
        <v>43</v>
      </c>
      <c r="F278" s="75">
        <f ca="1" t="shared" si="256"/>
        <v>43</v>
      </c>
      <c r="G278" s="75">
        <f ca="1" t="shared" si="256"/>
        <v>35</v>
      </c>
      <c r="H278" s="75">
        <f ca="1" t="shared" si="256"/>
        <v>35</v>
      </c>
      <c r="I278" s="75">
        <f ca="1" t="shared" si="256"/>
        <v>35</v>
      </c>
      <c r="J278" s="75">
        <f ca="1" t="shared" si="256"/>
        <v>35</v>
      </c>
      <c r="K278" s="75">
        <f ca="1" t="shared" si="256"/>
        <v>35</v>
      </c>
      <c r="L278" s="75">
        <f ca="1" t="shared" si="256"/>
        <v>35</v>
      </c>
      <c r="M278" s="75">
        <f ca="1" t="shared" si="256"/>
        <v>33</v>
      </c>
      <c r="N278" s="75">
        <f ca="1" t="shared" si="256"/>
        <v>33</v>
      </c>
      <c r="O278" s="75">
        <f ca="1" t="shared" si="256"/>
        <v>32</v>
      </c>
      <c r="P278" s="75">
        <f ca="1" t="shared" si="256"/>
        <v>32</v>
      </c>
      <c r="Q278" s="75">
        <f ca="1" t="shared" si="256"/>
        <v>32</v>
      </c>
      <c r="R278" s="75">
        <f ca="1" t="shared" si="256"/>
        <v>31</v>
      </c>
      <c r="S278" s="75">
        <f ca="1" t="shared" si="256"/>
        <v>31</v>
      </c>
      <c r="T278" s="75">
        <f ca="1" t="shared" si="256"/>
        <v>26</v>
      </c>
      <c r="U278" s="75">
        <f ca="1" t="shared" si="256"/>
        <v>21</v>
      </c>
      <c r="V278" s="75">
        <f ca="1" t="shared" si="256"/>
        <v>21</v>
      </c>
      <c r="W278" s="75">
        <f ca="1" t="shared" si="203"/>
        <v>20</v>
      </c>
      <c r="X278" s="75">
        <f ca="1" t="shared" si="204"/>
        <v>19</v>
      </c>
      <c r="Y278" s="75">
        <f ca="1" t="shared" si="205"/>
        <v>18</v>
      </c>
    </row>
    <row r="279" ht="16.5" spans="1:25">
      <c r="A279" s="74">
        <v>149</v>
      </c>
      <c r="B279" s="65">
        <v>246</v>
      </c>
      <c r="C279" s="75">
        <f>INT(产出预期!M265)</f>
        <v>28386</v>
      </c>
      <c r="D279" s="75">
        <f ca="1" t="shared" ref="D279:V279" si="257">IFERROR(MATCH(D584*10,OFFSET($AS$339:$AS$388,0,D$335),1),0)</f>
        <v>43</v>
      </c>
      <c r="E279" s="75">
        <f ca="1" t="shared" si="257"/>
        <v>43</v>
      </c>
      <c r="F279" s="75">
        <f ca="1" t="shared" si="257"/>
        <v>43</v>
      </c>
      <c r="G279" s="75">
        <f ca="1" t="shared" si="257"/>
        <v>35</v>
      </c>
      <c r="H279" s="75">
        <f ca="1" t="shared" si="257"/>
        <v>35</v>
      </c>
      <c r="I279" s="75">
        <f ca="1" t="shared" si="257"/>
        <v>35</v>
      </c>
      <c r="J279" s="75">
        <f ca="1" t="shared" si="257"/>
        <v>35</v>
      </c>
      <c r="K279" s="75">
        <f ca="1" t="shared" si="257"/>
        <v>35</v>
      </c>
      <c r="L279" s="75">
        <f ca="1" t="shared" si="257"/>
        <v>35</v>
      </c>
      <c r="M279" s="75">
        <f ca="1" t="shared" si="257"/>
        <v>33</v>
      </c>
      <c r="N279" s="75">
        <f ca="1" t="shared" si="257"/>
        <v>33</v>
      </c>
      <c r="O279" s="75">
        <f ca="1" t="shared" si="257"/>
        <v>32</v>
      </c>
      <c r="P279" s="75">
        <f ca="1" t="shared" si="257"/>
        <v>32</v>
      </c>
      <c r="Q279" s="75">
        <f ca="1" t="shared" si="257"/>
        <v>32</v>
      </c>
      <c r="R279" s="75">
        <f ca="1" t="shared" si="257"/>
        <v>31</v>
      </c>
      <c r="S279" s="75">
        <f ca="1" t="shared" si="257"/>
        <v>31</v>
      </c>
      <c r="T279" s="75">
        <f ca="1" t="shared" si="257"/>
        <v>26</v>
      </c>
      <c r="U279" s="75">
        <f ca="1" t="shared" si="257"/>
        <v>21</v>
      </c>
      <c r="V279" s="75">
        <f ca="1" t="shared" si="257"/>
        <v>21</v>
      </c>
      <c r="W279" s="75">
        <f ca="1" t="shared" si="203"/>
        <v>20</v>
      </c>
      <c r="X279" s="75">
        <f ca="1" t="shared" si="204"/>
        <v>19</v>
      </c>
      <c r="Y279" s="75">
        <f ca="1" t="shared" si="205"/>
        <v>18</v>
      </c>
    </row>
    <row r="280" ht="16.5" spans="1:25">
      <c r="A280" s="74">
        <f>A277+1</f>
        <v>150</v>
      </c>
      <c r="B280" s="65">
        <v>247</v>
      </c>
      <c r="C280" s="75">
        <f>INT(产出预期!M266)</f>
        <v>28496</v>
      </c>
      <c r="D280" s="75">
        <f ca="1" t="shared" ref="D280:V280" si="258">IFERROR(MATCH(D585*10,OFFSET($AS$339:$AS$388,0,D$335),1),0)</f>
        <v>43</v>
      </c>
      <c r="E280" s="75">
        <f ca="1" t="shared" si="258"/>
        <v>43</v>
      </c>
      <c r="F280" s="75">
        <f ca="1" t="shared" si="258"/>
        <v>43</v>
      </c>
      <c r="G280" s="75">
        <f ca="1" t="shared" si="258"/>
        <v>35</v>
      </c>
      <c r="H280" s="75">
        <f ca="1" t="shared" si="258"/>
        <v>35</v>
      </c>
      <c r="I280" s="75">
        <f ca="1" t="shared" si="258"/>
        <v>35</v>
      </c>
      <c r="J280" s="75">
        <f ca="1" t="shared" si="258"/>
        <v>35</v>
      </c>
      <c r="K280" s="75">
        <f ca="1" t="shared" si="258"/>
        <v>35</v>
      </c>
      <c r="L280" s="75">
        <f ca="1" t="shared" si="258"/>
        <v>35</v>
      </c>
      <c r="M280" s="75">
        <f ca="1" t="shared" si="258"/>
        <v>33</v>
      </c>
      <c r="N280" s="75">
        <f ca="1" t="shared" si="258"/>
        <v>33</v>
      </c>
      <c r="O280" s="75">
        <f ca="1" t="shared" si="258"/>
        <v>32</v>
      </c>
      <c r="P280" s="75">
        <f ca="1" t="shared" si="258"/>
        <v>32</v>
      </c>
      <c r="Q280" s="75">
        <f ca="1" t="shared" si="258"/>
        <v>32</v>
      </c>
      <c r="R280" s="75">
        <f ca="1" t="shared" si="258"/>
        <v>31</v>
      </c>
      <c r="S280" s="75">
        <f ca="1" t="shared" si="258"/>
        <v>31</v>
      </c>
      <c r="T280" s="75">
        <f ca="1" t="shared" si="258"/>
        <v>26</v>
      </c>
      <c r="U280" s="75">
        <f ca="1" t="shared" si="258"/>
        <v>21</v>
      </c>
      <c r="V280" s="75">
        <f ca="1" t="shared" si="258"/>
        <v>21</v>
      </c>
      <c r="W280" s="75">
        <f ca="1" t="shared" si="203"/>
        <v>20</v>
      </c>
      <c r="X280" s="75">
        <f ca="1" t="shared" si="204"/>
        <v>19</v>
      </c>
      <c r="Y280" s="75">
        <f ca="1" t="shared" si="205"/>
        <v>18</v>
      </c>
    </row>
    <row r="281" ht="16.5" spans="1:25">
      <c r="A281" s="74">
        <f t="shared" ref="A281:A312" si="259">A278+1</f>
        <v>150</v>
      </c>
      <c r="B281" s="65">
        <v>248</v>
      </c>
      <c r="C281" s="75">
        <f>INT(产出预期!M267)</f>
        <v>28606</v>
      </c>
      <c r="D281" s="75">
        <f ca="1" t="shared" ref="D281:V281" si="260">IFERROR(MATCH(D586*10,OFFSET($AS$339:$AS$388,0,D$335),1),0)</f>
        <v>43</v>
      </c>
      <c r="E281" s="75">
        <f ca="1" t="shared" si="260"/>
        <v>43</v>
      </c>
      <c r="F281" s="75">
        <f ca="1" t="shared" si="260"/>
        <v>43</v>
      </c>
      <c r="G281" s="75">
        <f ca="1" t="shared" si="260"/>
        <v>35</v>
      </c>
      <c r="H281" s="75">
        <f ca="1" t="shared" si="260"/>
        <v>35</v>
      </c>
      <c r="I281" s="75">
        <f ca="1" t="shared" si="260"/>
        <v>35</v>
      </c>
      <c r="J281" s="75">
        <f ca="1" t="shared" si="260"/>
        <v>35</v>
      </c>
      <c r="K281" s="75">
        <f ca="1" t="shared" si="260"/>
        <v>35</v>
      </c>
      <c r="L281" s="75">
        <f ca="1" t="shared" si="260"/>
        <v>35</v>
      </c>
      <c r="M281" s="75">
        <f ca="1" t="shared" si="260"/>
        <v>33</v>
      </c>
      <c r="N281" s="75">
        <f ca="1" t="shared" si="260"/>
        <v>33</v>
      </c>
      <c r="O281" s="75">
        <f ca="1" t="shared" si="260"/>
        <v>33</v>
      </c>
      <c r="P281" s="75">
        <f ca="1" t="shared" si="260"/>
        <v>32</v>
      </c>
      <c r="Q281" s="75">
        <f ca="1" t="shared" si="260"/>
        <v>32</v>
      </c>
      <c r="R281" s="75">
        <f ca="1" t="shared" si="260"/>
        <v>31</v>
      </c>
      <c r="S281" s="75">
        <f ca="1" t="shared" si="260"/>
        <v>31</v>
      </c>
      <c r="T281" s="75">
        <f ca="1" t="shared" si="260"/>
        <v>26</v>
      </c>
      <c r="U281" s="75">
        <f ca="1" t="shared" si="260"/>
        <v>21</v>
      </c>
      <c r="V281" s="75">
        <f ca="1" t="shared" si="260"/>
        <v>21</v>
      </c>
      <c r="W281" s="75">
        <f ca="1" t="shared" si="203"/>
        <v>20</v>
      </c>
      <c r="X281" s="75">
        <f ca="1" t="shared" si="204"/>
        <v>19</v>
      </c>
      <c r="Y281" s="75">
        <f ca="1" t="shared" si="205"/>
        <v>18</v>
      </c>
    </row>
    <row r="282" ht="16.5" spans="1:25">
      <c r="A282" s="74">
        <f t="shared" si="259"/>
        <v>150</v>
      </c>
      <c r="B282" s="65">
        <v>249</v>
      </c>
      <c r="C282" s="75">
        <f>INT(产出预期!M268)</f>
        <v>28716</v>
      </c>
      <c r="D282" s="75">
        <f ca="1" t="shared" ref="D282:V282" si="261">IFERROR(MATCH(D587*10,OFFSET($AS$339:$AS$388,0,D$335),1),0)</f>
        <v>43</v>
      </c>
      <c r="E282" s="75">
        <f ca="1" t="shared" si="261"/>
        <v>43</v>
      </c>
      <c r="F282" s="75">
        <f ca="1" t="shared" si="261"/>
        <v>43</v>
      </c>
      <c r="G282" s="75">
        <f ca="1" t="shared" si="261"/>
        <v>35</v>
      </c>
      <c r="H282" s="75">
        <f ca="1" t="shared" si="261"/>
        <v>35</v>
      </c>
      <c r="I282" s="75">
        <f ca="1" t="shared" si="261"/>
        <v>35</v>
      </c>
      <c r="J282" s="75">
        <f ca="1" t="shared" si="261"/>
        <v>35</v>
      </c>
      <c r="K282" s="75">
        <f ca="1" t="shared" si="261"/>
        <v>35</v>
      </c>
      <c r="L282" s="75">
        <f ca="1" t="shared" si="261"/>
        <v>35</v>
      </c>
      <c r="M282" s="75">
        <f ca="1" t="shared" si="261"/>
        <v>33</v>
      </c>
      <c r="N282" s="75">
        <f ca="1" t="shared" si="261"/>
        <v>33</v>
      </c>
      <c r="O282" s="75">
        <f ca="1" t="shared" si="261"/>
        <v>33</v>
      </c>
      <c r="P282" s="75">
        <f ca="1" t="shared" si="261"/>
        <v>32</v>
      </c>
      <c r="Q282" s="75">
        <f ca="1" t="shared" si="261"/>
        <v>32</v>
      </c>
      <c r="R282" s="75">
        <f ca="1" t="shared" si="261"/>
        <v>31</v>
      </c>
      <c r="S282" s="75">
        <f ca="1" t="shared" si="261"/>
        <v>31</v>
      </c>
      <c r="T282" s="75">
        <f ca="1" t="shared" si="261"/>
        <v>26</v>
      </c>
      <c r="U282" s="75">
        <f ca="1" t="shared" si="261"/>
        <v>21</v>
      </c>
      <c r="V282" s="75">
        <f ca="1" t="shared" si="261"/>
        <v>21</v>
      </c>
      <c r="W282" s="75">
        <f ca="1" t="shared" si="203"/>
        <v>20</v>
      </c>
      <c r="X282" s="75">
        <f ca="1" t="shared" si="204"/>
        <v>19</v>
      </c>
      <c r="Y282" s="75">
        <f ca="1" t="shared" si="205"/>
        <v>18</v>
      </c>
    </row>
    <row r="283" ht="16.5" spans="1:25">
      <c r="A283" s="74">
        <f t="shared" si="259"/>
        <v>151</v>
      </c>
      <c r="B283" s="65">
        <v>250</v>
      </c>
      <c r="C283" s="75">
        <f>INT(产出预期!M269)</f>
        <v>28826</v>
      </c>
      <c r="D283" s="75">
        <f ca="1" t="shared" ref="D283:V283" si="262">IFERROR(MATCH(D588*10,OFFSET($AS$339:$AS$388,0,D$335),1),0)</f>
        <v>43</v>
      </c>
      <c r="E283" s="75">
        <f ca="1" t="shared" si="262"/>
        <v>43</v>
      </c>
      <c r="F283" s="75">
        <f ca="1" t="shared" si="262"/>
        <v>43</v>
      </c>
      <c r="G283" s="75">
        <f ca="1" t="shared" si="262"/>
        <v>35</v>
      </c>
      <c r="H283" s="75">
        <f ca="1" t="shared" si="262"/>
        <v>35</v>
      </c>
      <c r="I283" s="75">
        <f ca="1" t="shared" si="262"/>
        <v>35</v>
      </c>
      <c r="J283" s="75">
        <f ca="1" t="shared" si="262"/>
        <v>35</v>
      </c>
      <c r="K283" s="75">
        <f ca="1" t="shared" si="262"/>
        <v>35</v>
      </c>
      <c r="L283" s="75">
        <f ca="1" t="shared" si="262"/>
        <v>35</v>
      </c>
      <c r="M283" s="75">
        <f ca="1" t="shared" si="262"/>
        <v>33</v>
      </c>
      <c r="N283" s="75">
        <f ca="1" t="shared" si="262"/>
        <v>33</v>
      </c>
      <c r="O283" s="75">
        <f ca="1" t="shared" si="262"/>
        <v>33</v>
      </c>
      <c r="P283" s="75">
        <f ca="1" t="shared" si="262"/>
        <v>33</v>
      </c>
      <c r="Q283" s="75">
        <f ca="1" t="shared" si="262"/>
        <v>32</v>
      </c>
      <c r="R283" s="75">
        <f ca="1" t="shared" si="262"/>
        <v>31</v>
      </c>
      <c r="S283" s="75">
        <f ca="1" t="shared" si="262"/>
        <v>31</v>
      </c>
      <c r="T283" s="75">
        <f ca="1" t="shared" si="262"/>
        <v>26</v>
      </c>
      <c r="U283" s="75">
        <f ca="1" t="shared" si="262"/>
        <v>21</v>
      </c>
      <c r="V283" s="75">
        <f ca="1" t="shared" si="262"/>
        <v>21</v>
      </c>
      <c r="W283" s="75">
        <f ca="1" t="shared" si="203"/>
        <v>20</v>
      </c>
      <c r="X283" s="75">
        <f ca="1" t="shared" si="204"/>
        <v>19</v>
      </c>
      <c r="Y283" s="75">
        <f ca="1" t="shared" si="205"/>
        <v>18</v>
      </c>
    </row>
    <row r="284" ht="16.5" spans="1:25">
      <c r="A284" s="74">
        <f t="shared" si="259"/>
        <v>151</v>
      </c>
      <c r="B284" s="65">
        <v>251</v>
      </c>
      <c r="C284" s="75">
        <f>INT(产出预期!M270)</f>
        <v>28936</v>
      </c>
      <c r="D284" s="75">
        <f ca="1" t="shared" ref="D284:V284" si="263">IFERROR(MATCH(D589*10,OFFSET($AS$339:$AS$388,0,D$335),1),0)</f>
        <v>43</v>
      </c>
      <c r="E284" s="75">
        <f ca="1" t="shared" si="263"/>
        <v>43</v>
      </c>
      <c r="F284" s="75">
        <f ca="1" t="shared" si="263"/>
        <v>43</v>
      </c>
      <c r="G284" s="75">
        <f ca="1" t="shared" si="263"/>
        <v>35</v>
      </c>
      <c r="H284" s="75">
        <f ca="1" t="shared" si="263"/>
        <v>35</v>
      </c>
      <c r="I284" s="75">
        <f ca="1" t="shared" si="263"/>
        <v>35</v>
      </c>
      <c r="J284" s="75">
        <f ca="1" t="shared" si="263"/>
        <v>35</v>
      </c>
      <c r="K284" s="75">
        <f ca="1" t="shared" si="263"/>
        <v>35</v>
      </c>
      <c r="L284" s="75">
        <f ca="1" t="shared" si="263"/>
        <v>35</v>
      </c>
      <c r="M284" s="75">
        <f ca="1" t="shared" si="263"/>
        <v>33</v>
      </c>
      <c r="N284" s="75">
        <f ca="1" t="shared" si="263"/>
        <v>33</v>
      </c>
      <c r="O284" s="75">
        <f ca="1" t="shared" si="263"/>
        <v>33</v>
      </c>
      <c r="P284" s="75">
        <f ca="1" t="shared" si="263"/>
        <v>33</v>
      </c>
      <c r="Q284" s="75">
        <f ca="1" t="shared" si="263"/>
        <v>32</v>
      </c>
      <c r="R284" s="75">
        <f ca="1" t="shared" si="263"/>
        <v>31</v>
      </c>
      <c r="S284" s="75">
        <f ca="1" t="shared" si="263"/>
        <v>31</v>
      </c>
      <c r="T284" s="75">
        <f ca="1" t="shared" si="263"/>
        <v>26</v>
      </c>
      <c r="U284" s="75">
        <f ca="1" t="shared" si="263"/>
        <v>21</v>
      </c>
      <c r="V284" s="75">
        <f ca="1" t="shared" si="263"/>
        <v>21</v>
      </c>
      <c r="W284" s="75">
        <f ca="1" t="shared" si="203"/>
        <v>20</v>
      </c>
      <c r="X284" s="75">
        <f ca="1" t="shared" si="204"/>
        <v>19</v>
      </c>
      <c r="Y284" s="75">
        <f ca="1" t="shared" si="205"/>
        <v>18</v>
      </c>
    </row>
    <row r="285" ht="16.5" spans="1:25">
      <c r="A285" s="74">
        <f t="shared" si="259"/>
        <v>151</v>
      </c>
      <c r="B285" s="65">
        <v>252</v>
      </c>
      <c r="C285" s="75">
        <f>INT(产出预期!M271)</f>
        <v>29046</v>
      </c>
      <c r="D285" s="75">
        <f ca="1" t="shared" ref="D285:V285" si="264">IFERROR(MATCH(D590*10,OFFSET($AS$339:$AS$388,0,D$335),1),0)</f>
        <v>43</v>
      </c>
      <c r="E285" s="75">
        <f ca="1" t="shared" si="264"/>
        <v>43</v>
      </c>
      <c r="F285" s="75">
        <f ca="1" t="shared" si="264"/>
        <v>43</v>
      </c>
      <c r="G285" s="75">
        <f ca="1" t="shared" si="264"/>
        <v>36</v>
      </c>
      <c r="H285" s="75">
        <f ca="1" t="shared" si="264"/>
        <v>36</v>
      </c>
      <c r="I285" s="75">
        <f ca="1" t="shared" si="264"/>
        <v>36</v>
      </c>
      <c r="J285" s="75">
        <f ca="1" t="shared" si="264"/>
        <v>36</v>
      </c>
      <c r="K285" s="75">
        <f ca="1" t="shared" si="264"/>
        <v>36</v>
      </c>
      <c r="L285" s="75">
        <f ca="1" t="shared" si="264"/>
        <v>35</v>
      </c>
      <c r="M285" s="75">
        <f ca="1" t="shared" si="264"/>
        <v>33</v>
      </c>
      <c r="N285" s="75">
        <f ca="1" t="shared" si="264"/>
        <v>33</v>
      </c>
      <c r="O285" s="75">
        <f ca="1" t="shared" si="264"/>
        <v>33</v>
      </c>
      <c r="P285" s="75">
        <f ca="1" t="shared" si="264"/>
        <v>33</v>
      </c>
      <c r="Q285" s="75">
        <f ca="1" t="shared" si="264"/>
        <v>32</v>
      </c>
      <c r="R285" s="75">
        <f ca="1" t="shared" si="264"/>
        <v>31</v>
      </c>
      <c r="S285" s="75">
        <f ca="1" t="shared" si="264"/>
        <v>31</v>
      </c>
      <c r="T285" s="75">
        <f ca="1" t="shared" si="264"/>
        <v>26</v>
      </c>
      <c r="U285" s="75">
        <f ca="1" t="shared" si="264"/>
        <v>21</v>
      </c>
      <c r="V285" s="75">
        <f ca="1" t="shared" si="264"/>
        <v>21</v>
      </c>
      <c r="W285" s="75">
        <f ca="1" t="shared" si="203"/>
        <v>20</v>
      </c>
      <c r="X285" s="75">
        <f ca="1" t="shared" si="204"/>
        <v>19</v>
      </c>
      <c r="Y285" s="75">
        <f ca="1" t="shared" si="205"/>
        <v>18</v>
      </c>
    </row>
    <row r="286" ht="16.5" spans="1:25">
      <c r="A286" s="74">
        <f t="shared" si="259"/>
        <v>152</v>
      </c>
      <c r="B286" s="65">
        <v>253</v>
      </c>
      <c r="C286" s="75">
        <f>INT(产出预期!M272)</f>
        <v>29156</v>
      </c>
      <c r="D286" s="75">
        <f ca="1" t="shared" ref="D286:V286" si="265">IFERROR(MATCH(D591*10,OFFSET($AS$339:$AS$388,0,D$335),1),0)</f>
        <v>43</v>
      </c>
      <c r="E286" s="75">
        <f ca="1" t="shared" si="265"/>
        <v>43</v>
      </c>
      <c r="F286" s="75">
        <f ca="1" t="shared" si="265"/>
        <v>43</v>
      </c>
      <c r="G286" s="75">
        <f ca="1" t="shared" si="265"/>
        <v>36</v>
      </c>
      <c r="H286" s="75">
        <f ca="1" t="shared" si="265"/>
        <v>36</v>
      </c>
      <c r="I286" s="75">
        <f ca="1" t="shared" si="265"/>
        <v>36</v>
      </c>
      <c r="J286" s="75">
        <f ca="1" t="shared" si="265"/>
        <v>36</v>
      </c>
      <c r="K286" s="75">
        <f ca="1" t="shared" si="265"/>
        <v>36</v>
      </c>
      <c r="L286" s="75">
        <f ca="1" t="shared" si="265"/>
        <v>35</v>
      </c>
      <c r="M286" s="75">
        <f ca="1" t="shared" si="265"/>
        <v>33</v>
      </c>
      <c r="N286" s="75">
        <f ca="1" t="shared" si="265"/>
        <v>33</v>
      </c>
      <c r="O286" s="75">
        <f ca="1" t="shared" si="265"/>
        <v>33</v>
      </c>
      <c r="P286" s="75">
        <f ca="1" t="shared" si="265"/>
        <v>33</v>
      </c>
      <c r="Q286" s="75">
        <f ca="1" t="shared" si="265"/>
        <v>32</v>
      </c>
      <c r="R286" s="75">
        <f ca="1" t="shared" si="265"/>
        <v>31</v>
      </c>
      <c r="S286" s="75">
        <f ca="1" t="shared" si="265"/>
        <v>31</v>
      </c>
      <c r="T286" s="75">
        <f ca="1" t="shared" si="265"/>
        <v>26</v>
      </c>
      <c r="U286" s="75">
        <f ca="1" t="shared" si="265"/>
        <v>21</v>
      </c>
      <c r="V286" s="75">
        <f ca="1" t="shared" si="265"/>
        <v>21</v>
      </c>
      <c r="W286" s="75">
        <f ca="1" t="shared" si="203"/>
        <v>20</v>
      </c>
      <c r="X286" s="75">
        <f ca="1" t="shared" si="204"/>
        <v>19</v>
      </c>
      <c r="Y286" s="75">
        <f ca="1" t="shared" si="205"/>
        <v>18</v>
      </c>
    </row>
    <row r="287" ht="16.5" spans="1:25">
      <c r="A287" s="74">
        <f t="shared" si="259"/>
        <v>152</v>
      </c>
      <c r="B287" s="65">
        <v>254</v>
      </c>
      <c r="C287" s="75">
        <f>INT(产出预期!M273)</f>
        <v>29266</v>
      </c>
      <c r="D287" s="75">
        <f ca="1" t="shared" ref="D287:V287" si="266">IFERROR(MATCH(D592*10,OFFSET($AS$339:$AS$388,0,D$335),1),0)</f>
        <v>43</v>
      </c>
      <c r="E287" s="75">
        <f ca="1" t="shared" si="266"/>
        <v>43</v>
      </c>
      <c r="F287" s="75">
        <f ca="1" t="shared" si="266"/>
        <v>43</v>
      </c>
      <c r="G287" s="75">
        <f ca="1" t="shared" si="266"/>
        <v>36</v>
      </c>
      <c r="H287" s="75">
        <f ca="1" t="shared" si="266"/>
        <v>36</v>
      </c>
      <c r="I287" s="75">
        <f ca="1" t="shared" si="266"/>
        <v>36</v>
      </c>
      <c r="J287" s="75">
        <f ca="1" t="shared" si="266"/>
        <v>36</v>
      </c>
      <c r="K287" s="75">
        <f ca="1" t="shared" si="266"/>
        <v>36</v>
      </c>
      <c r="L287" s="75">
        <f ca="1" t="shared" si="266"/>
        <v>35</v>
      </c>
      <c r="M287" s="75">
        <f ca="1" t="shared" si="266"/>
        <v>33</v>
      </c>
      <c r="N287" s="75">
        <f ca="1" t="shared" si="266"/>
        <v>33</v>
      </c>
      <c r="O287" s="75">
        <f ca="1" t="shared" si="266"/>
        <v>33</v>
      </c>
      <c r="P287" s="75">
        <f ca="1" t="shared" si="266"/>
        <v>33</v>
      </c>
      <c r="Q287" s="75">
        <f ca="1" t="shared" si="266"/>
        <v>32</v>
      </c>
      <c r="R287" s="75">
        <f ca="1" t="shared" si="266"/>
        <v>31</v>
      </c>
      <c r="S287" s="75">
        <f ca="1" t="shared" si="266"/>
        <v>31</v>
      </c>
      <c r="T287" s="75">
        <f ca="1" t="shared" si="266"/>
        <v>26</v>
      </c>
      <c r="U287" s="75">
        <f ca="1" t="shared" si="266"/>
        <v>21</v>
      </c>
      <c r="V287" s="75">
        <f ca="1" t="shared" si="266"/>
        <v>21</v>
      </c>
      <c r="W287" s="75">
        <f ca="1" t="shared" si="203"/>
        <v>20</v>
      </c>
      <c r="X287" s="75">
        <f ca="1" t="shared" si="204"/>
        <v>19</v>
      </c>
      <c r="Y287" s="75">
        <f ca="1" t="shared" si="205"/>
        <v>18</v>
      </c>
    </row>
    <row r="288" ht="16.5" spans="1:25">
      <c r="A288" s="74">
        <f t="shared" si="259"/>
        <v>152</v>
      </c>
      <c r="B288" s="65">
        <v>255</v>
      </c>
      <c r="C288" s="75">
        <f>INT(产出预期!M274)</f>
        <v>29376</v>
      </c>
      <c r="D288" s="75">
        <f ca="1" t="shared" ref="D288:V288" si="267">IFERROR(MATCH(D593*10,OFFSET($AS$339:$AS$388,0,D$335),1),0)</f>
        <v>43</v>
      </c>
      <c r="E288" s="75">
        <f ca="1" t="shared" si="267"/>
        <v>43</v>
      </c>
      <c r="F288" s="75">
        <f ca="1" t="shared" si="267"/>
        <v>43</v>
      </c>
      <c r="G288" s="75">
        <f ca="1" t="shared" si="267"/>
        <v>36</v>
      </c>
      <c r="H288" s="75">
        <f ca="1" t="shared" si="267"/>
        <v>36</v>
      </c>
      <c r="I288" s="75">
        <f ca="1" t="shared" si="267"/>
        <v>36</v>
      </c>
      <c r="J288" s="75">
        <f ca="1" t="shared" si="267"/>
        <v>36</v>
      </c>
      <c r="K288" s="75">
        <f ca="1" t="shared" si="267"/>
        <v>36</v>
      </c>
      <c r="L288" s="75">
        <f ca="1" t="shared" si="267"/>
        <v>35</v>
      </c>
      <c r="M288" s="75">
        <f ca="1" t="shared" si="267"/>
        <v>33</v>
      </c>
      <c r="N288" s="75">
        <f ca="1" t="shared" si="267"/>
        <v>33</v>
      </c>
      <c r="O288" s="75">
        <f ca="1" t="shared" si="267"/>
        <v>33</v>
      </c>
      <c r="P288" s="75">
        <f ca="1" t="shared" si="267"/>
        <v>33</v>
      </c>
      <c r="Q288" s="75">
        <f ca="1" t="shared" si="267"/>
        <v>32</v>
      </c>
      <c r="R288" s="75">
        <f ca="1" t="shared" si="267"/>
        <v>31</v>
      </c>
      <c r="S288" s="75">
        <f ca="1" t="shared" si="267"/>
        <v>31</v>
      </c>
      <c r="T288" s="75">
        <f ca="1" t="shared" si="267"/>
        <v>26</v>
      </c>
      <c r="U288" s="75">
        <f ca="1" t="shared" si="267"/>
        <v>21</v>
      </c>
      <c r="V288" s="75">
        <f ca="1" t="shared" si="267"/>
        <v>21</v>
      </c>
      <c r="W288" s="75">
        <f ca="1" t="shared" si="203"/>
        <v>20</v>
      </c>
      <c r="X288" s="75">
        <f ca="1" t="shared" si="204"/>
        <v>19</v>
      </c>
      <c r="Y288" s="75">
        <f ca="1" t="shared" si="205"/>
        <v>18</v>
      </c>
    </row>
    <row r="289" ht="16.5" spans="1:25">
      <c r="A289" s="74">
        <f t="shared" si="259"/>
        <v>153</v>
      </c>
      <c r="B289" s="65">
        <v>256</v>
      </c>
      <c r="C289" s="75">
        <f>INT(产出预期!M275)</f>
        <v>29486</v>
      </c>
      <c r="D289" s="75">
        <f ca="1" t="shared" ref="D289:V289" si="268">IFERROR(MATCH(D594*10,OFFSET($AS$339:$AS$388,0,D$335),1),0)</f>
        <v>43</v>
      </c>
      <c r="E289" s="75">
        <f ca="1" t="shared" si="268"/>
        <v>43</v>
      </c>
      <c r="F289" s="75">
        <f ca="1" t="shared" si="268"/>
        <v>43</v>
      </c>
      <c r="G289" s="75">
        <f ca="1" t="shared" si="268"/>
        <v>36</v>
      </c>
      <c r="H289" s="75">
        <f ca="1" t="shared" si="268"/>
        <v>36</v>
      </c>
      <c r="I289" s="75">
        <f ca="1" t="shared" si="268"/>
        <v>36</v>
      </c>
      <c r="J289" s="75">
        <f ca="1" t="shared" si="268"/>
        <v>36</v>
      </c>
      <c r="K289" s="75">
        <f ca="1" t="shared" si="268"/>
        <v>36</v>
      </c>
      <c r="L289" s="75">
        <f ca="1" t="shared" si="268"/>
        <v>35</v>
      </c>
      <c r="M289" s="75">
        <f ca="1" t="shared" si="268"/>
        <v>33</v>
      </c>
      <c r="N289" s="75">
        <f ca="1" t="shared" si="268"/>
        <v>33</v>
      </c>
      <c r="O289" s="75">
        <f ca="1" t="shared" si="268"/>
        <v>33</v>
      </c>
      <c r="P289" s="75">
        <f ca="1" t="shared" si="268"/>
        <v>33</v>
      </c>
      <c r="Q289" s="75">
        <f ca="1" t="shared" si="268"/>
        <v>32</v>
      </c>
      <c r="R289" s="75">
        <f ca="1" t="shared" si="268"/>
        <v>31</v>
      </c>
      <c r="S289" s="75">
        <f ca="1" t="shared" si="268"/>
        <v>31</v>
      </c>
      <c r="T289" s="75">
        <f ca="1" t="shared" si="268"/>
        <v>26</v>
      </c>
      <c r="U289" s="75">
        <f ca="1" t="shared" si="268"/>
        <v>21</v>
      </c>
      <c r="V289" s="75">
        <f ca="1" t="shared" si="268"/>
        <v>21</v>
      </c>
      <c r="W289" s="75">
        <f ca="1" t="shared" si="203"/>
        <v>20</v>
      </c>
      <c r="X289" s="75">
        <f ca="1" t="shared" si="204"/>
        <v>19</v>
      </c>
      <c r="Y289" s="75">
        <f ca="1" t="shared" si="205"/>
        <v>18</v>
      </c>
    </row>
    <row r="290" ht="16.5" spans="1:25">
      <c r="A290" s="74">
        <f t="shared" si="259"/>
        <v>153</v>
      </c>
      <c r="B290" s="65">
        <v>257</v>
      </c>
      <c r="C290" s="75">
        <f>INT(产出预期!M276)</f>
        <v>29596</v>
      </c>
      <c r="D290" s="75">
        <f ca="1" t="shared" ref="D290:V290" si="269">IFERROR(MATCH(D595*10,OFFSET($AS$339:$AS$388,0,D$335),1),0)</f>
        <v>43</v>
      </c>
      <c r="E290" s="75">
        <f ca="1" t="shared" si="269"/>
        <v>43</v>
      </c>
      <c r="F290" s="75">
        <f ca="1" t="shared" si="269"/>
        <v>43</v>
      </c>
      <c r="G290" s="75">
        <f ca="1" t="shared" si="269"/>
        <v>36</v>
      </c>
      <c r="H290" s="75">
        <f ca="1" t="shared" si="269"/>
        <v>36</v>
      </c>
      <c r="I290" s="75">
        <f ca="1" t="shared" si="269"/>
        <v>36</v>
      </c>
      <c r="J290" s="75">
        <f ca="1" t="shared" si="269"/>
        <v>36</v>
      </c>
      <c r="K290" s="75">
        <f ca="1" t="shared" si="269"/>
        <v>36</v>
      </c>
      <c r="L290" s="75">
        <f ca="1" t="shared" si="269"/>
        <v>35</v>
      </c>
      <c r="M290" s="75">
        <f ca="1" t="shared" si="269"/>
        <v>33</v>
      </c>
      <c r="N290" s="75">
        <f ca="1" t="shared" si="269"/>
        <v>33</v>
      </c>
      <c r="O290" s="75">
        <f ca="1" t="shared" si="269"/>
        <v>33</v>
      </c>
      <c r="P290" s="75">
        <f ca="1" t="shared" si="269"/>
        <v>33</v>
      </c>
      <c r="Q290" s="75">
        <f ca="1" t="shared" si="269"/>
        <v>32</v>
      </c>
      <c r="R290" s="75">
        <f ca="1" t="shared" si="269"/>
        <v>31</v>
      </c>
      <c r="S290" s="75">
        <f ca="1" t="shared" si="269"/>
        <v>31</v>
      </c>
      <c r="T290" s="75">
        <f ca="1" t="shared" si="269"/>
        <v>26</v>
      </c>
      <c r="U290" s="75">
        <f ca="1" t="shared" si="269"/>
        <v>21</v>
      </c>
      <c r="V290" s="75">
        <f ca="1" t="shared" si="269"/>
        <v>21</v>
      </c>
      <c r="W290" s="75">
        <f ca="1" t="shared" si="203"/>
        <v>20</v>
      </c>
      <c r="X290" s="75">
        <f ca="1" t="shared" si="204"/>
        <v>19</v>
      </c>
      <c r="Y290" s="75">
        <f ca="1" t="shared" si="205"/>
        <v>18</v>
      </c>
    </row>
    <row r="291" ht="16.5" spans="1:25">
      <c r="A291" s="74">
        <f t="shared" si="259"/>
        <v>153</v>
      </c>
      <c r="B291" s="65">
        <v>258</v>
      </c>
      <c r="C291" s="75">
        <f>INT(产出预期!M277)</f>
        <v>29706</v>
      </c>
      <c r="D291" s="75">
        <f ca="1" t="shared" ref="D291:V291" si="270">IFERROR(MATCH(D596*10,OFFSET($AS$339:$AS$388,0,D$335),1),0)</f>
        <v>43</v>
      </c>
      <c r="E291" s="75">
        <f ca="1" t="shared" si="270"/>
        <v>43</v>
      </c>
      <c r="F291" s="75">
        <f ca="1" t="shared" si="270"/>
        <v>43</v>
      </c>
      <c r="G291" s="75">
        <f ca="1" t="shared" si="270"/>
        <v>36</v>
      </c>
      <c r="H291" s="75">
        <f ca="1" t="shared" si="270"/>
        <v>36</v>
      </c>
      <c r="I291" s="75">
        <f ca="1" t="shared" si="270"/>
        <v>36</v>
      </c>
      <c r="J291" s="75">
        <f ca="1" t="shared" si="270"/>
        <v>36</v>
      </c>
      <c r="K291" s="75">
        <f ca="1" t="shared" si="270"/>
        <v>36</v>
      </c>
      <c r="L291" s="75">
        <f ca="1" t="shared" si="270"/>
        <v>35</v>
      </c>
      <c r="M291" s="75">
        <f ca="1" t="shared" si="270"/>
        <v>33</v>
      </c>
      <c r="N291" s="75">
        <f ca="1" t="shared" si="270"/>
        <v>33</v>
      </c>
      <c r="O291" s="75">
        <f ca="1" t="shared" si="270"/>
        <v>33</v>
      </c>
      <c r="P291" s="75">
        <f ca="1" t="shared" si="270"/>
        <v>33</v>
      </c>
      <c r="Q291" s="75">
        <f ca="1" t="shared" si="270"/>
        <v>33</v>
      </c>
      <c r="R291" s="75">
        <f ca="1" t="shared" si="270"/>
        <v>31</v>
      </c>
      <c r="S291" s="75">
        <f ca="1" t="shared" si="270"/>
        <v>31</v>
      </c>
      <c r="T291" s="75">
        <f ca="1" t="shared" si="270"/>
        <v>26</v>
      </c>
      <c r="U291" s="75">
        <f ca="1" t="shared" si="270"/>
        <v>21</v>
      </c>
      <c r="V291" s="75">
        <f ca="1" t="shared" si="270"/>
        <v>21</v>
      </c>
      <c r="W291" s="75">
        <f ca="1" t="shared" ref="W291:W333" si="271">IFERROR(MATCH(W596*10,OFFSET($AS$339:$AS$388,0,W$335),1),0)</f>
        <v>20</v>
      </c>
      <c r="X291" s="75">
        <f ca="1" t="shared" ref="X291:X333" si="272">IFERROR(MATCH(X596*10,OFFSET($AS$339:$AS$388,0,X$335),1),0)</f>
        <v>19</v>
      </c>
      <c r="Y291" s="75">
        <f ca="1" t="shared" ref="Y291:Y333" si="273">IFERROR(MATCH(Y596*10,OFFSET($AS$339:$AS$388,0,Y$335),1),0)</f>
        <v>18</v>
      </c>
    </row>
    <row r="292" ht="16.5" spans="1:25">
      <c r="A292" s="74">
        <f t="shared" si="259"/>
        <v>154</v>
      </c>
      <c r="B292" s="65">
        <v>259</v>
      </c>
      <c r="C292" s="75">
        <f>INT(产出预期!M278)</f>
        <v>29816</v>
      </c>
      <c r="D292" s="75">
        <f ca="1" t="shared" ref="D292:V292" si="274">IFERROR(MATCH(D597*10,OFFSET($AS$339:$AS$388,0,D$335),1),0)</f>
        <v>43</v>
      </c>
      <c r="E292" s="75">
        <f ca="1" t="shared" si="274"/>
        <v>43</v>
      </c>
      <c r="F292" s="75">
        <f ca="1" t="shared" si="274"/>
        <v>43</v>
      </c>
      <c r="G292" s="75">
        <f ca="1" t="shared" si="274"/>
        <v>36</v>
      </c>
      <c r="H292" s="75">
        <f ca="1" t="shared" si="274"/>
        <v>36</v>
      </c>
      <c r="I292" s="75">
        <f ca="1" t="shared" si="274"/>
        <v>36</v>
      </c>
      <c r="J292" s="75">
        <f ca="1" t="shared" si="274"/>
        <v>36</v>
      </c>
      <c r="K292" s="75">
        <f ca="1" t="shared" si="274"/>
        <v>36</v>
      </c>
      <c r="L292" s="75">
        <f ca="1" t="shared" si="274"/>
        <v>35</v>
      </c>
      <c r="M292" s="75">
        <f ca="1" t="shared" si="274"/>
        <v>33</v>
      </c>
      <c r="N292" s="75">
        <f ca="1" t="shared" si="274"/>
        <v>33</v>
      </c>
      <c r="O292" s="75">
        <f ca="1" t="shared" si="274"/>
        <v>33</v>
      </c>
      <c r="P292" s="75">
        <f ca="1" t="shared" si="274"/>
        <v>33</v>
      </c>
      <c r="Q292" s="75">
        <f ca="1" t="shared" si="274"/>
        <v>33</v>
      </c>
      <c r="R292" s="75">
        <f ca="1" t="shared" si="274"/>
        <v>32</v>
      </c>
      <c r="S292" s="75">
        <f ca="1" t="shared" si="274"/>
        <v>31</v>
      </c>
      <c r="T292" s="75">
        <f ca="1" t="shared" si="274"/>
        <v>26</v>
      </c>
      <c r="U292" s="75">
        <f ca="1" t="shared" si="274"/>
        <v>21</v>
      </c>
      <c r="V292" s="75">
        <f ca="1" t="shared" si="274"/>
        <v>21</v>
      </c>
      <c r="W292" s="75">
        <f ca="1" t="shared" si="271"/>
        <v>20</v>
      </c>
      <c r="X292" s="75">
        <f ca="1" t="shared" si="272"/>
        <v>19</v>
      </c>
      <c r="Y292" s="75">
        <f ca="1" t="shared" si="273"/>
        <v>18</v>
      </c>
    </row>
    <row r="293" ht="16.5" spans="1:25">
      <c r="A293" s="74">
        <f t="shared" si="259"/>
        <v>154</v>
      </c>
      <c r="B293" s="65">
        <v>260</v>
      </c>
      <c r="C293" s="75">
        <f>INT(产出预期!M279)</f>
        <v>29926</v>
      </c>
      <c r="D293" s="75">
        <f ca="1" t="shared" ref="D293:V293" si="275">IFERROR(MATCH(D598*10,OFFSET($AS$339:$AS$388,0,D$335),1),0)</f>
        <v>43</v>
      </c>
      <c r="E293" s="75">
        <f ca="1" t="shared" si="275"/>
        <v>43</v>
      </c>
      <c r="F293" s="75">
        <f ca="1" t="shared" si="275"/>
        <v>43</v>
      </c>
      <c r="G293" s="75">
        <f ca="1" t="shared" si="275"/>
        <v>36</v>
      </c>
      <c r="H293" s="75">
        <f ca="1" t="shared" si="275"/>
        <v>36</v>
      </c>
      <c r="I293" s="75">
        <f ca="1" t="shared" si="275"/>
        <v>36</v>
      </c>
      <c r="J293" s="75">
        <f ca="1" t="shared" si="275"/>
        <v>36</v>
      </c>
      <c r="K293" s="75">
        <f ca="1" t="shared" si="275"/>
        <v>36</v>
      </c>
      <c r="L293" s="75">
        <f ca="1" t="shared" si="275"/>
        <v>35</v>
      </c>
      <c r="M293" s="75">
        <f ca="1" t="shared" si="275"/>
        <v>33</v>
      </c>
      <c r="N293" s="75">
        <f ca="1" t="shared" si="275"/>
        <v>33</v>
      </c>
      <c r="O293" s="75">
        <f ca="1" t="shared" si="275"/>
        <v>33</v>
      </c>
      <c r="P293" s="75">
        <f ca="1" t="shared" si="275"/>
        <v>33</v>
      </c>
      <c r="Q293" s="75">
        <f ca="1" t="shared" si="275"/>
        <v>33</v>
      </c>
      <c r="R293" s="75">
        <f ca="1" t="shared" si="275"/>
        <v>32</v>
      </c>
      <c r="S293" s="75">
        <f ca="1" t="shared" si="275"/>
        <v>31</v>
      </c>
      <c r="T293" s="75">
        <f ca="1" t="shared" si="275"/>
        <v>26</v>
      </c>
      <c r="U293" s="75">
        <f ca="1" t="shared" si="275"/>
        <v>21</v>
      </c>
      <c r="V293" s="75">
        <f ca="1" t="shared" si="275"/>
        <v>21</v>
      </c>
      <c r="W293" s="75">
        <f ca="1" t="shared" si="271"/>
        <v>20</v>
      </c>
      <c r="X293" s="75">
        <f ca="1" t="shared" si="272"/>
        <v>19</v>
      </c>
      <c r="Y293" s="75">
        <f ca="1" t="shared" si="273"/>
        <v>18</v>
      </c>
    </row>
    <row r="294" ht="16.5" spans="1:25">
      <c r="A294" s="74">
        <f t="shared" si="259"/>
        <v>154</v>
      </c>
      <c r="B294" s="65">
        <v>261</v>
      </c>
      <c r="C294" s="75">
        <f>INT(产出预期!M280)</f>
        <v>30036</v>
      </c>
      <c r="D294" s="75">
        <f ca="1" t="shared" ref="D294:V294" si="276">IFERROR(MATCH(D599*10,OFFSET($AS$339:$AS$388,0,D$335),1),0)</f>
        <v>43</v>
      </c>
      <c r="E294" s="75">
        <f ca="1" t="shared" si="276"/>
        <v>43</v>
      </c>
      <c r="F294" s="75">
        <f ca="1" t="shared" si="276"/>
        <v>43</v>
      </c>
      <c r="G294" s="75">
        <f ca="1" t="shared" si="276"/>
        <v>36</v>
      </c>
      <c r="H294" s="75">
        <f ca="1" t="shared" si="276"/>
        <v>36</v>
      </c>
      <c r="I294" s="75">
        <f ca="1" t="shared" si="276"/>
        <v>36</v>
      </c>
      <c r="J294" s="75">
        <f ca="1" t="shared" si="276"/>
        <v>36</v>
      </c>
      <c r="K294" s="75">
        <f ca="1" t="shared" si="276"/>
        <v>36</v>
      </c>
      <c r="L294" s="75">
        <f ca="1" t="shared" si="276"/>
        <v>35</v>
      </c>
      <c r="M294" s="75">
        <f ca="1" t="shared" si="276"/>
        <v>33</v>
      </c>
      <c r="N294" s="75">
        <f ca="1" t="shared" si="276"/>
        <v>33</v>
      </c>
      <c r="O294" s="75">
        <f ca="1" t="shared" si="276"/>
        <v>33</v>
      </c>
      <c r="P294" s="75">
        <f ca="1" t="shared" si="276"/>
        <v>33</v>
      </c>
      <c r="Q294" s="75">
        <f ca="1" t="shared" si="276"/>
        <v>33</v>
      </c>
      <c r="R294" s="75">
        <f ca="1" t="shared" si="276"/>
        <v>32</v>
      </c>
      <c r="S294" s="75">
        <f ca="1" t="shared" si="276"/>
        <v>31</v>
      </c>
      <c r="T294" s="75">
        <f ca="1" t="shared" si="276"/>
        <v>26</v>
      </c>
      <c r="U294" s="75">
        <f ca="1" t="shared" si="276"/>
        <v>21</v>
      </c>
      <c r="V294" s="75">
        <f ca="1" t="shared" si="276"/>
        <v>21</v>
      </c>
      <c r="W294" s="75">
        <f ca="1" t="shared" si="271"/>
        <v>20</v>
      </c>
      <c r="X294" s="75">
        <f ca="1" t="shared" si="272"/>
        <v>19</v>
      </c>
      <c r="Y294" s="75">
        <f ca="1" t="shared" si="273"/>
        <v>18</v>
      </c>
    </row>
    <row r="295" ht="16.5" spans="1:25">
      <c r="A295" s="74">
        <f t="shared" si="259"/>
        <v>155</v>
      </c>
      <c r="B295" s="65">
        <v>262</v>
      </c>
      <c r="C295" s="75">
        <f>INT(产出预期!M281)</f>
        <v>30146</v>
      </c>
      <c r="D295" s="75">
        <f ca="1" t="shared" ref="D295:V295" si="277">IFERROR(MATCH(D600*10,OFFSET($AS$339:$AS$388,0,D$335),1),0)</f>
        <v>43</v>
      </c>
      <c r="E295" s="75">
        <f ca="1" t="shared" si="277"/>
        <v>43</v>
      </c>
      <c r="F295" s="75">
        <f ca="1" t="shared" si="277"/>
        <v>43</v>
      </c>
      <c r="G295" s="75">
        <f ca="1" t="shared" si="277"/>
        <v>36</v>
      </c>
      <c r="H295" s="75">
        <f ca="1" t="shared" si="277"/>
        <v>36</v>
      </c>
      <c r="I295" s="75">
        <f ca="1" t="shared" si="277"/>
        <v>36</v>
      </c>
      <c r="J295" s="75">
        <f ca="1" t="shared" si="277"/>
        <v>36</v>
      </c>
      <c r="K295" s="75">
        <f ca="1" t="shared" si="277"/>
        <v>36</v>
      </c>
      <c r="L295" s="75">
        <f ca="1" t="shared" si="277"/>
        <v>35</v>
      </c>
      <c r="M295" s="75">
        <f ca="1" t="shared" si="277"/>
        <v>33</v>
      </c>
      <c r="N295" s="75">
        <f ca="1" t="shared" si="277"/>
        <v>33</v>
      </c>
      <c r="O295" s="75">
        <f ca="1" t="shared" si="277"/>
        <v>33</v>
      </c>
      <c r="P295" s="75">
        <f ca="1" t="shared" si="277"/>
        <v>33</v>
      </c>
      <c r="Q295" s="75">
        <f ca="1" t="shared" si="277"/>
        <v>33</v>
      </c>
      <c r="R295" s="75">
        <f ca="1" t="shared" si="277"/>
        <v>32</v>
      </c>
      <c r="S295" s="75">
        <f ca="1" t="shared" si="277"/>
        <v>31</v>
      </c>
      <c r="T295" s="75">
        <f ca="1" t="shared" si="277"/>
        <v>26</v>
      </c>
      <c r="U295" s="75">
        <f ca="1" t="shared" si="277"/>
        <v>21</v>
      </c>
      <c r="V295" s="75">
        <f ca="1" t="shared" si="277"/>
        <v>21</v>
      </c>
      <c r="W295" s="75">
        <f ca="1" t="shared" si="271"/>
        <v>20</v>
      </c>
      <c r="X295" s="75">
        <f ca="1" t="shared" si="272"/>
        <v>19</v>
      </c>
      <c r="Y295" s="75">
        <f ca="1" t="shared" si="273"/>
        <v>18</v>
      </c>
    </row>
    <row r="296" ht="16.5" spans="1:25">
      <c r="A296" s="74">
        <f t="shared" si="259"/>
        <v>155</v>
      </c>
      <c r="B296" s="65">
        <v>263</v>
      </c>
      <c r="C296" s="75">
        <f>INT(产出预期!M282)</f>
        <v>30256</v>
      </c>
      <c r="D296" s="75">
        <f ca="1" t="shared" ref="D296:V296" si="278">IFERROR(MATCH(D601*10,OFFSET($AS$339:$AS$388,0,D$335),1),0)</f>
        <v>43</v>
      </c>
      <c r="E296" s="75">
        <f ca="1" t="shared" si="278"/>
        <v>43</v>
      </c>
      <c r="F296" s="75">
        <f ca="1" t="shared" si="278"/>
        <v>43</v>
      </c>
      <c r="G296" s="75">
        <f ca="1" t="shared" si="278"/>
        <v>36</v>
      </c>
      <c r="H296" s="75">
        <f ca="1" t="shared" si="278"/>
        <v>36</v>
      </c>
      <c r="I296" s="75">
        <f ca="1" t="shared" si="278"/>
        <v>36</v>
      </c>
      <c r="J296" s="75">
        <f ca="1" t="shared" si="278"/>
        <v>36</v>
      </c>
      <c r="K296" s="75">
        <f ca="1" t="shared" si="278"/>
        <v>36</v>
      </c>
      <c r="L296" s="75">
        <f ca="1" t="shared" si="278"/>
        <v>35</v>
      </c>
      <c r="M296" s="75">
        <f ca="1" t="shared" si="278"/>
        <v>33</v>
      </c>
      <c r="N296" s="75">
        <f ca="1" t="shared" si="278"/>
        <v>33</v>
      </c>
      <c r="O296" s="75">
        <f ca="1" t="shared" si="278"/>
        <v>33</v>
      </c>
      <c r="P296" s="75">
        <f ca="1" t="shared" si="278"/>
        <v>33</v>
      </c>
      <c r="Q296" s="75">
        <f ca="1" t="shared" si="278"/>
        <v>33</v>
      </c>
      <c r="R296" s="75">
        <f ca="1" t="shared" si="278"/>
        <v>32</v>
      </c>
      <c r="S296" s="75">
        <f ca="1" t="shared" si="278"/>
        <v>31</v>
      </c>
      <c r="T296" s="75">
        <f ca="1" t="shared" si="278"/>
        <v>26</v>
      </c>
      <c r="U296" s="75">
        <f ca="1" t="shared" si="278"/>
        <v>21</v>
      </c>
      <c r="V296" s="75">
        <f ca="1" t="shared" si="278"/>
        <v>21</v>
      </c>
      <c r="W296" s="75">
        <f ca="1" t="shared" si="271"/>
        <v>20</v>
      </c>
      <c r="X296" s="75">
        <f ca="1" t="shared" si="272"/>
        <v>19</v>
      </c>
      <c r="Y296" s="75">
        <f ca="1" t="shared" si="273"/>
        <v>18</v>
      </c>
    </row>
    <row r="297" ht="16.5" spans="1:25">
      <c r="A297" s="74">
        <f t="shared" si="259"/>
        <v>155</v>
      </c>
      <c r="B297" s="65">
        <v>264</v>
      </c>
      <c r="C297" s="75">
        <f>INT(产出预期!M283)</f>
        <v>30366</v>
      </c>
      <c r="D297" s="75">
        <f ca="1" t="shared" ref="D297:V297" si="279">IFERROR(MATCH(D602*10,OFFSET($AS$339:$AS$388,0,D$335),1),0)</f>
        <v>43</v>
      </c>
      <c r="E297" s="75">
        <f ca="1" t="shared" si="279"/>
        <v>43</v>
      </c>
      <c r="F297" s="75">
        <f ca="1" t="shared" si="279"/>
        <v>43</v>
      </c>
      <c r="G297" s="75">
        <f ca="1" t="shared" si="279"/>
        <v>36</v>
      </c>
      <c r="H297" s="75">
        <f ca="1" t="shared" si="279"/>
        <v>36</v>
      </c>
      <c r="I297" s="75">
        <f ca="1" t="shared" si="279"/>
        <v>36</v>
      </c>
      <c r="J297" s="75">
        <f ca="1" t="shared" si="279"/>
        <v>36</v>
      </c>
      <c r="K297" s="75">
        <f ca="1" t="shared" si="279"/>
        <v>36</v>
      </c>
      <c r="L297" s="75">
        <f ca="1" t="shared" si="279"/>
        <v>35</v>
      </c>
      <c r="M297" s="75">
        <f ca="1" t="shared" si="279"/>
        <v>33</v>
      </c>
      <c r="N297" s="75">
        <f ca="1" t="shared" si="279"/>
        <v>33</v>
      </c>
      <c r="O297" s="75">
        <f ca="1" t="shared" si="279"/>
        <v>33</v>
      </c>
      <c r="P297" s="75">
        <f ca="1" t="shared" si="279"/>
        <v>33</v>
      </c>
      <c r="Q297" s="75">
        <f ca="1" t="shared" si="279"/>
        <v>33</v>
      </c>
      <c r="R297" s="75">
        <f ca="1" t="shared" si="279"/>
        <v>32</v>
      </c>
      <c r="S297" s="75">
        <f ca="1" t="shared" si="279"/>
        <v>31</v>
      </c>
      <c r="T297" s="75">
        <f ca="1" t="shared" si="279"/>
        <v>26</v>
      </c>
      <c r="U297" s="75">
        <f ca="1" t="shared" si="279"/>
        <v>21</v>
      </c>
      <c r="V297" s="75">
        <f ca="1" t="shared" si="279"/>
        <v>21</v>
      </c>
      <c r="W297" s="75">
        <f ca="1" t="shared" si="271"/>
        <v>20</v>
      </c>
      <c r="X297" s="75">
        <f ca="1" t="shared" si="272"/>
        <v>19</v>
      </c>
      <c r="Y297" s="75">
        <f ca="1" t="shared" si="273"/>
        <v>18</v>
      </c>
    </row>
    <row r="298" ht="16.5" spans="1:25">
      <c r="A298" s="74">
        <f t="shared" si="259"/>
        <v>156</v>
      </c>
      <c r="B298" s="65">
        <v>265</v>
      </c>
      <c r="C298" s="75">
        <f>INT(产出预期!M284)</f>
        <v>30476</v>
      </c>
      <c r="D298" s="75">
        <f ca="1" t="shared" ref="D298:V298" si="280">IFERROR(MATCH(D603*10,OFFSET($AS$339:$AS$388,0,D$335),1),0)</f>
        <v>43</v>
      </c>
      <c r="E298" s="75">
        <f ca="1" t="shared" si="280"/>
        <v>43</v>
      </c>
      <c r="F298" s="75">
        <f ca="1" t="shared" si="280"/>
        <v>43</v>
      </c>
      <c r="G298" s="75">
        <f ca="1" t="shared" si="280"/>
        <v>36</v>
      </c>
      <c r="H298" s="75">
        <f ca="1" t="shared" si="280"/>
        <v>36</v>
      </c>
      <c r="I298" s="75">
        <f ca="1" t="shared" si="280"/>
        <v>36</v>
      </c>
      <c r="J298" s="75">
        <f ca="1" t="shared" si="280"/>
        <v>36</v>
      </c>
      <c r="K298" s="75">
        <f ca="1" t="shared" si="280"/>
        <v>36</v>
      </c>
      <c r="L298" s="75">
        <f ca="1" t="shared" si="280"/>
        <v>35</v>
      </c>
      <c r="M298" s="75">
        <f ca="1" t="shared" si="280"/>
        <v>33</v>
      </c>
      <c r="N298" s="75">
        <f ca="1" t="shared" si="280"/>
        <v>33</v>
      </c>
      <c r="O298" s="75">
        <f ca="1" t="shared" si="280"/>
        <v>33</v>
      </c>
      <c r="P298" s="75">
        <f ca="1" t="shared" si="280"/>
        <v>33</v>
      </c>
      <c r="Q298" s="75">
        <f ca="1" t="shared" si="280"/>
        <v>33</v>
      </c>
      <c r="R298" s="75">
        <f ca="1" t="shared" si="280"/>
        <v>32</v>
      </c>
      <c r="S298" s="75">
        <f ca="1" t="shared" si="280"/>
        <v>31</v>
      </c>
      <c r="T298" s="75">
        <f ca="1" t="shared" si="280"/>
        <v>26</v>
      </c>
      <c r="U298" s="75">
        <f ca="1" t="shared" si="280"/>
        <v>21</v>
      </c>
      <c r="V298" s="75">
        <f ca="1" t="shared" si="280"/>
        <v>21</v>
      </c>
      <c r="W298" s="75">
        <f ca="1" t="shared" si="271"/>
        <v>20</v>
      </c>
      <c r="X298" s="75">
        <f ca="1" t="shared" si="272"/>
        <v>19</v>
      </c>
      <c r="Y298" s="75">
        <f ca="1" t="shared" si="273"/>
        <v>18</v>
      </c>
    </row>
    <row r="299" ht="16.5" spans="1:25">
      <c r="A299" s="74">
        <f t="shared" si="259"/>
        <v>156</v>
      </c>
      <c r="B299" s="65">
        <v>266</v>
      </c>
      <c r="C299" s="75">
        <f>INT(产出预期!M285)</f>
        <v>30586</v>
      </c>
      <c r="D299" s="75">
        <f ca="1" t="shared" ref="D299:V299" si="281">IFERROR(MATCH(D604*10,OFFSET($AS$339:$AS$388,0,D$335),1),0)</f>
        <v>44</v>
      </c>
      <c r="E299" s="75">
        <f ca="1" t="shared" si="281"/>
        <v>44</v>
      </c>
      <c r="F299" s="75">
        <f ca="1" t="shared" si="281"/>
        <v>44</v>
      </c>
      <c r="G299" s="75">
        <f ca="1" t="shared" si="281"/>
        <v>36</v>
      </c>
      <c r="H299" s="75">
        <f ca="1" t="shared" si="281"/>
        <v>36</v>
      </c>
      <c r="I299" s="75">
        <f ca="1" t="shared" si="281"/>
        <v>36</v>
      </c>
      <c r="J299" s="75">
        <f ca="1" t="shared" si="281"/>
        <v>36</v>
      </c>
      <c r="K299" s="75">
        <f ca="1" t="shared" si="281"/>
        <v>36</v>
      </c>
      <c r="L299" s="75">
        <f ca="1" t="shared" si="281"/>
        <v>35</v>
      </c>
      <c r="M299" s="75">
        <f ca="1" t="shared" si="281"/>
        <v>33</v>
      </c>
      <c r="N299" s="75">
        <f ca="1" t="shared" si="281"/>
        <v>33</v>
      </c>
      <c r="O299" s="75">
        <f ca="1" t="shared" si="281"/>
        <v>33</v>
      </c>
      <c r="P299" s="75">
        <f ca="1" t="shared" si="281"/>
        <v>33</v>
      </c>
      <c r="Q299" s="75">
        <f ca="1" t="shared" si="281"/>
        <v>33</v>
      </c>
      <c r="R299" s="75">
        <f ca="1" t="shared" si="281"/>
        <v>32</v>
      </c>
      <c r="S299" s="75">
        <f ca="1" t="shared" si="281"/>
        <v>31</v>
      </c>
      <c r="T299" s="75">
        <f ca="1" t="shared" si="281"/>
        <v>26</v>
      </c>
      <c r="U299" s="75">
        <f ca="1" t="shared" si="281"/>
        <v>21</v>
      </c>
      <c r="V299" s="75">
        <f ca="1" t="shared" si="281"/>
        <v>21</v>
      </c>
      <c r="W299" s="75">
        <f ca="1" t="shared" si="271"/>
        <v>20</v>
      </c>
      <c r="X299" s="75">
        <f ca="1" t="shared" si="272"/>
        <v>19</v>
      </c>
      <c r="Y299" s="75">
        <f ca="1" t="shared" si="273"/>
        <v>18</v>
      </c>
    </row>
    <row r="300" ht="16.5" spans="1:25">
      <c r="A300" s="74">
        <f t="shared" si="259"/>
        <v>156</v>
      </c>
      <c r="B300" s="65">
        <v>267</v>
      </c>
      <c r="C300" s="75">
        <f>INT(产出预期!M286)</f>
        <v>30696</v>
      </c>
      <c r="D300" s="75">
        <f ca="1" t="shared" ref="D300:V300" si="282">IFERROR(MATCH(D605*10,OFFSET($AS$339:$AS$388,0,D$335),1),0)</f>
        <v>44</v>
      </c>
      <c r="E300" s="75">
        <f ca="1" t="shared" si="282"/>
        <v>44</v>
      </c>
      <c r="F300" s="75">
        <f ca="1" t="shared" si="282"/>
        <v>44</v>
      </c>
      <c r="G300" s="75">
        <f ca="1" t="shared" si="282"/>
        <v>36</v>
      </c>
      <c r="H300" s="75">
        <f ca="1" t="shared" si="282"/>
        <v>36</v>
      </c>
      <c r="I300" s="75">
        <f ca="1" t="shared" si="282"/>
        <v>36</v>
      </c>
      <c r="J300" s="75">
        <f ca="1" t="shared" si="282"/>
        <v>36</v>
      </c>
      <c r="K300" s="75">
        <f ca="1" t="shared" si="282"/>
        <v>36</v>
      </c>
      <c r="L300" s="75">
        <f ca="1" t="shared" si="282"/>
        <v>36</v>
      </c>
      <c r="M300" s="75">
        <f ca="1" t="shared" si="282"/>
        <v>34</v>
      </c>
      <c r="N300" s="75">
        <f ca="1" t="shared" si="282"/>
        <v>33</v>
      </c>
      <c r="O300" s="75">
        <f ca="1" t="shared" si="282"/>
        <v>33</v>
      </c>
      <c r="P300" s="75">
        <f ca="1" t="shared" si="282"/>
        <v>33</v>
      </c>
      <c r="Q300" s="75">
        <f ca="1" t="shared" si="282"/>
        <v>33</v>
      </c>
      <c r="R300" s="75">
        <f ca="1" t="shared" si="282"/>
        <v>32</v>
      </c>
      <c r="S300" s="75">
        <f ca="1" t="shared" si="282"/>
        <v>31</v>
      </c>
      <c r="T300" s="75">
        <f ca="1" t="shared" si="282"/>
        <v>26</v>
      </c>
      <c r="U300" s="75">
        <f ca="1" t="shared" si="282"/>
        <v>21</v>
      </c>
      <c r="V300" s="75">
        <f ca="1" t="shared" si="282"/>
        <v>21</v>
      </c>
      <c r="W300" s="75">
        <f ca="1" t="shared" si="271"/>
        <v>20</v>
      </c>
      <c r="X300" s="75">
        <f ca="1" t="shared" si="272"/>
        <v>19</v>
      </c>
      <c r="Y300" s="75">
        <f ca="1" t="shared" si="273"/>
        <v>18</v>
      </c>
    </row>
    <row r="301" ht="16.5" spans="1:25">
      <c r="A301" s="74">
        <f t="shared" si="259"/>
        <v>157</v>
      </c>
      <c r="B301" s="65">
        <v>268</v>
      </c>
      <c r="C301" s="75">
        <f>INT(产出预期!M287)</f>
        <v>30806</v>
      </c>
      <c r="D301" s="75">
        <f ca="1" t="shared" ref="D301:V301" si="283">IFERROR(MATCH(D606*10,OFFSET($AS$339:$AS$388,0,D$335),1),0)</f>
        <v>44</v>
      </c>
      <c r="E301" s="75">
        <f ca="1" t="shared" si="283"/>
        <v>44</v>
      </c>
      <c r="F301" s="75">
        <f ca="1" t="shared" si="283"/>
        <v>44</v>
      </c>
      <c r="G301" s="75">
        <f ca="1" t="shared" si="283"/>
        <v>36</v>
      </c>
      <c r="H301" s="75">
        <f ca="1" t="shared" si="283"/>
        <v>36</v>
      </c>
      <c r="I301" s="75">
        <f ca="1" t="shared" si="283"/>
        <v>36</v>
      </c>
      <c r="J301" s="75">
        <f ca="1" t="shared" si="283"/>
        <v>36</v>
      </c>
      <c r="K301" s="75">
        <f ca="1" t="shared" si="283"/>
        <v>36</v>
      </c>
      <c r="L301" s="75">
        <f ca="1" t="shared" si="283"/>
        <v>36</v>
      </c>
      <c r="M301" s="75">
        <f ca="1" t="shared" si="283"/>
        <v>34</v>
      </c>
      <c r="N301" s="75">
        <f ca="1" t="shared" si="283"/>
        <v>33</v>
      </c>
      <c r="O301" s="75">
        <f ca="1" t="shared" si="283"/>
        <v>33</v>
      </c>
      <c r="P301" s="75">
        <f ca="1" t="shared" si="283"/>
        <v>33</v>
      </c>
      <c r="Q301" s="75">
        <f ca="1" t="shared" si="283"/>
        <v>33</v>
      </c>
      <c r="R301" s="75">
        <f ca="1" t="shared" si="283"/>
        <v>32</v>
      </c>
      <c r="S301" s="75">
        <f ca="1" t="shared" si="283"/>
        <v>31</v>
      </c>
      <c r="T301" s="75">
        <f ca="1" t="shared" si="283"/>
        <v>26</v>
      </c>
      <c r="U301" s="75">
        <f ca="1" t="shared" si="283"/>
        <v>21</v>
      </c>
      <c r="V301" s="75">
        <f ca="1" t="shared" si="283"/>
        <v>21</v>
      </c>
      <c r="W301" s="75">
        <f ca="1" t="shared" si="271"/>
        <v>20</v>
      </c>
      <c r="X301" s="75">
        <f ca="1" t="shared" si="272"/>
        <v>19</v>
      </c>
      <c r="Y301" s="75">
        <f ca="1" t="shared" si="273"/>
        <v>18</v>
      </c>
    </row>
    <row r="302" ht="16.5" spans="1:25">
      <c r="A302" s="74">
        <f t="shared" si="259"/>
        <v>157</v>
      </c>
      <c r="B302" s="65">
        <v>269</v>
      </c>
      <c r="C302" s="75">
        <f>INT(产出预期!M288)</f>
        <v>30916</v>
      </c>
      <c r="D302" s="75">
        <f ca="1" t="shared" ref="D302:V302" si="284">IFERROR(MATCH(D607*10,OFFSET($AS$339:$AS$388,0,D$335),1),0)</f>
        <v>44</v>
      </c>
      <c r="E302" s="75">
        <f ca="1" t="shared" si="284"/>
        <v>44</v>
      </c>
      <c r="F302" s="75">
        <f ca="1" t="shared" si="284"/>
        <v>44</v>
      </c>
      <c r="G302" s="75">
        <f ca="1" t="shared" si="284"/>
        <v>36</v>
      </c>
      <c r="H302" s="75">
        <f ca="1" t="shared" si="284"/>
        <v>36</v>
      </c>
      <c r="I302" s="75">
        <f ca="1" t="shared" si="284"/>
        <v>36</v>
      </c>
      <c r="J302" s="75">
        <f ca="1" t="shared" si="284"/>
        <v>36</v>
      </c>
      <c r="K302" s="75">
        <f ca="1" t="shared" si="284"/>
        <v>36</v>
      </c>
      <c r="L302" s="75">
        <f ca="1" t="shared" si="284"/>
        <v>36</v>
      </c>
      <c r="M302" s="75">
        <f ca="1" t="shared" si="284"/>
        <v>34</v>
      </c>
      <c r="N302" s="75">
        <f ca="1" t="shared" si="284"/>
        <v>33</v>
      </c>
      <c r="O302" s="75">
        <f ca="1" t="shared" si="284"/>
        <v>33</v>
      </c>
      <c r="P302" s="75">
        <f ca="1" t="shared" si="284"/>
        <v>33</v>
      </c>
      <c r="Q302" s="75">
        <f ca="1" t="shared" si="284"/>
        <v>33</v>
      </c>
      <c r="R302" s="75">
        <f ca="1" t="shared" si="284"/>
        <v>32</v>
      </c>
      <c r="S302" s="75">
        <f ca="1" t="shared" si="284"/>
        <v>31</v>
      </c>
      <c r="T302" s="75">
        <f ca="1" t="shared" si="284"/>
        <v>26</v>
      </c>
      <c r="U302" s="75">
        <f ca="1" t="shared" si="284"/>
        <v>21</v>
      </c>
      <c r="V302" s="75">
        <f ca="1" t="shared" si="284"/>
        <v>21</v>
      </c>
      <c r="W302" s="75">
        <f ca="1" t="shared" si="271"/>
        <v>20</v>
      </c>
      <c r="X302" s="75">
        <f ca="1" t="shared" si="272"/>
        <v>19</v>
      </c>
      <c r="Y302" s="75">
        <f ca="1" t="shared" si="273"/>
        <v>18</v>
      </c>
    </row>
    <row r="303" ht="16.5" spans="1:25">
      <c r="A303" s="74">
        <f t="shared" si="259"/>
        <v>157</v>
      </c>
      <c r="B303" s="65">
        <v>270</v>
      </c>
      <c r="C303" s="75">
        <f>INT(产出预期!M289)</f>
        <v>31026</v>
      </c>
      <c r="D303" s="75">
        <f ca="1" t="shared" ref="D303:V303" si="285">IFERROR(MATCH(D608*10,OFFSET($AS$339:$AS$388,0,D$335),1),0)</f>
        <v>44</v>
      </c>
      <c r="E303" s="75">
        <f ca="1" t="shared" si="285"/>
        <v>44</v>
      </c>
      <c r="F303" s="75">
        <f ca="1" t="shared" si="285"/>
        <v>44</v>
      </c>
      <c r="G303" s="75">
        <f ca="1" t="shared" si="285"/>
        <v>36</v>
      </c>
      <c r="H303" s="75">
        <f ca="1" t="shared" si="285"/>
        <v>36</v>
      </c>
      <c r="I303" s="75">
        <f ca="1" t="shared" si="285"/>
        <v>36</v>
      </c>
      <c r="J303" s="75">
        <f ca="1" t="shared" si="285"/>
        <v>36</v>
      </c>
      <c r="K303" s="75">
        <f ca="1" t="shared" si="285"/>
        <v>36</v>
      </c>
      <c r="L303" s="75">
        <f ca="1" t="shared" si="285"/>
        <v>36</v>
      </c>
      <c r="M303" s="75">
        <f ca="1" t="shared" si="285"/>
        <v>34</v>
      </c>
      <c r="N303" s="75">
        <f ca="1" t="shared" si="285"/>
        <v>33</v>
      </c>
      <c r="O303" s="75">
        <f ca="1" t="shared" si="285"/>
        <v>33</v>
      </c>
      <c r="P303" s="75">
        <f ca="1" t="shared" si="285"/>
        <v>33</v>
      </c>
      <c r="Q303" s="75">
        <f ca="1" t="shared" si="285"/>
        <v>33</v>
      </c>
      <c r="R303" s="75">
        <f ca="1" t="shared" si="285"/>
        <v>32</v>
      </c>
      <c r="S303" s="75">
        <f ca="1" t="shared" si="285"/>
        <v>31</v>
      </c>
      <c r="T303" s="75">
        <f ca="1" t="shared" si="285"/>
        <v>26</v>
      </c>
      <c r="U303" s="75">
        <f ca="1" t="shared" si="285"/>
        <v>21</v>
      </c>
      <c r="V303" s="75">
        <f ca="1" t="shared" si="285"/>
        <v>21</v>
      </c>
      <c r="W303" s="75">
        <f ca="1" t="shared" si="271"/>
        <v>20</v>
      </c>
      <c r="X303" s="75">
        <f ca="1" t="shared" si="272"/>
        <v>19</v>
      </c>
      <c r="Y303" s="75">
        <f ca="1" t="shared" si="273"/>
        <v>18</v>
      </c>
    </row>
    <row r="304" ht="16.5" spans="1:25">
      <c r="A304" s="74">
        <f t="shared" si="259"/>
        <v>158</v>
      </c>
      <c r="B304" s="65">
        <v>271</v>
      </c>
      <c r="C304" s="75">
        <f>INT(产出预期!M290)</f>
        <v>31136</v>
      </c>
      <c r="D304" s="75">
        <f ca="1" t="shared" ref="D304:V304" si="286">IFERROR(MATCH(D609*10,OFFSET($AS$339:$AS$388,0,D$335),1),0)</f>
        <v>44</v>
      </c>
      <c r="E304" s="75">
        <f ca="1" t="shared" si="286"/>
        <v>44</v>
      </c>
      <c r="F304" s="75">
        <f ca="1" t="shared" si="286"/>
        <v>44</v>
      </c>
      <c r="G304" s="75">
        <f ca="1" t="shared" si="286"/>
        <v>36</v>
      </c>
      <c r="H304" s="75">
        <f ca="1" t="shared" si="286"/>
        <v>36</v>
      </c>
      <c r="I304" s="75">
        <f ca="1" t="shared" si="286"/>
        <v>36</v>
      </c>
      <c r="J304" s="75">
        <f ca="1" t="shared" si="286"/>
        <v>36</v>
      </c>
      <c r="K304" s="75">
        <f ca="1" t="shared" si="286"/>
        <v>36</v>
      </c>
      <c r="L304" s="75">
        <f ca="1" t="shared" si="286"/>
        <v>36</v>
      </c>
      <c r="M304" s="75">
        <f ca="1" t="shared" si="286"/>
        <v>34</v>
      </c>
      <c r="N304" s="75">
        <f ca="1" t="shared" si="286"/>
        <v>33</v>
      </c>
      <c r="O304" s="75">
        <f ca="1" t="shared" si="286"/>
        <v>33</v>
      </c>
      <c r="P304" s="75">
        <f ca="1" t="shared" si="286"/>
        <v>33</v>
      </c>
      <c r="Q304" s="75">
        <f ca="1" t="shared" si="286"/>
        <v>33</v>
      </c>
      <c r="R304" s="75">
        <f ca="1" t="shared" si="286"/>
        <v>32</v>
      </c>
      <c r="S304" s="75">
        <f ca="1" t="shared" si="286"/>
        <v>32</v>
      </c>
      <c r="T304" s="75">
        <f ca="1" t="shared" si="286"/>
        <v>26</v>
      </c>
      <c r="U304" s="75">
        <f ca="1" t="shared" si="286"/>
        <v>21</v>
      </c>
      <c r="V304" s="75">
        <f ca="1" t="shared" si="286"/>
        <v>21</v>
      </c>
      <c r="W304" s="75">
        <f ca="1" t="shared" si="271"/>
        <v>20</v>
      </c>
      <c r="X304" s="75">
        <f ca="1" t="shared" si="272"/>
        <v>19</v>
      </c>
      <c r="Y304" s="75">
        <f ca="1" t="shared" si="273"/>
        <v>18</v>
      </c>
    </row>
    <row r="305" ht="16.5" spans="1:25">
      <c r="A305" s="74">
        <f t="shared" si="259"/>
        <v>158</v>
      </c>
      <c r="B305" s="65">
        <v>272</v>
      </c>
      <c r="C305" s="75">
        <f>INT(产出预期!M291)</f>
        <v>31246</v>
      </c>
      <c r="D305" s="75">
        <f ca="1" t="shared" ref="D305:V305" si="287">IFERROR(MATCH(D610*10,OFFSET($AS$339:$AS$388,0,D$335),1),0)</f>
        <v>44</v>
      </c>
      <c r="E305" s="75">
        <f ca="1" t="shared" si="287"/>
        <v>44</v>
      </c>
      <c r="F305" s="75">
        <f ca="1" t="shared" si="287"/>
        <v>44</v>
      </c>
      <c r="G305" s="75">
        <f ca="1" t="shared" si="287"/>
        <v>36</v>
      </c>
      <c r="H305" s="75">
        <f ca="1" t="shared" si="287"/>
        <v>36</v>
      </c>
      <c r="I305" s="75">
        <f ca="1" t="shared" si="287"/>
        <v>36</v>
      </c>
      <c r="J305" s="75">
        <f ca="1" t="shared" si="287"/>
        <v>36</v>
      </c>
      <c r="K305" s="75">
        <f ca="1" t="shared" si="287"/>
        <v>36</v>
      </c>
      <c r="L305" s="75">
        <f ca="1" t="shared" si="287"/>
        <v>36</v>
      </c>
      <c r="M305" s="75">
        <f ca="1" t="shared" si="287"/>
        <v>34</v>
      </c>
      <c r="N305" s="75">
        <f ca="1" t="shared" si="287"/>
        <v>33</v>
      </c>
      <c r="O305" s="75">
        <f ca="1" t="shared" si="287"/>
        <v>33</v>
      </c>
      <c r="P305" s="75">
        <f ca="1" t="shared" si="287"/>
        <v>33</v>
      </c>
      <c r="Q305" s="75">
        <f ca="1" t="shared" si="287"/>
        <v>33</v>
      </c>
      <c r="R305" s="75">
        <f ca="1" t="shared" si="287"/>
        <v>32</v>
      </c>
      <c r="S305" s="75">
        <f ca="1" t="shared" si="287"/>
        <v>32</v>
      </c>
      <c r="T305" s="75">
        <f ca="1" t="shared" si="287"/>
        <v>26</v>
      </c>
      <c r="U305" s="75">
        <f ca="1" t="shared" si="287"/>
        <v>21</v>
      </c>
      <c r="V305" s="75">
        <f ca="1" t="shared" si="287"/>
        <v>21</v>
      </c>
      <c r="W305" s="75">
        <f ca="1" t="shared" si="271"/>
        <v>20</v>
      </c>
      <c r="X305" s="75">
        <f ca="1" t="shared" si="272"/>
        <v>19</v>
      </c>
      <c r="Y305" s="75">
        <f ca="1" t="shared" si="273"/>
        <v>18</v>
      </c>
    </row>
    <row r="306" ht="16.5" spans="1:25">
      <c r="A306" s="74">
        <f t="shared" si="259"/>
        <v>158</v>
      </c>
      <c r="B306" s="65">
        <v>273</v>
      </c>
      <c r="C306" s="75">
        <f>INT(产出预期!M292)</f>
        <v>31356</v>
      </c>
      <c r="D306" s="75">
        <f ca="1" t="shared" ref="D306:V306" si="288">IFERROR(MATCH(D611*10,OFFSET($AS$339:$AS$388,0,D$335),1),0)</f>
        <v>44</v>
      </c>
      <c r="E306" s="75">
        <f ca="1" t="shared" si="288"/>
        <v>44</v>
      </c>
      <c r="F306" s="75">
        <f ca="1" t="shared" si="288"/>
        <v>44</v>
      </c>
      <c r="G306" s="75">
        <f ca="1" t="shared" si="288"/>
        <v>36</v>
      </c>
      <c r="H306" s="75">
        <f ca="1" t="shared" si="288"/>
        <v>36</v>
      </c>
      <c r="I306" s="75">
        <f ca="1" t="shared" si="288"/>
        <v>36</v>
      </c>
      <c r="J306" s="75">
        <f ca="1" t="shared" si="288"/>
        <v>36</v>
      </c>
      <c r="K306" s="75">
        <f ca="1" t="shared" si="288"/>
        <v>36</v>
      </c>
      <c r="L306" s="75">
        <f ca="1" t="shared" si="288"/>
        <v>36</v>
      </c>
      <c r="M306" s="75">
        <f ca="1" t="shared" si="288"/>
        <v>34</v>
      </c>
      <c r="N306" s="75">
        <f ca="1" t="shared" si="288"/>
        <v>33</v>
      </c>
      <c r="O306" s="75">
        <f ca="1" t="shared" si="288"/>
        <v>33</v>
      </c>
      <c r="P306" s="75">
        <f ca="1" t="shared" si="288"/>
        <v>33</v>
      </c>
      <c r="Q306" s="75">
        <f ca="1" t="shared" si="288"/>
        <v>33</v>
      </c>
      <c r="R306" s="75">
        <f ca="1" t="shared" si="288"/>
        <v>32</v>
      </c>
      <c r="S306" s="75">
        <f ca="1" t="shared" si="288"/>
        <v>32</v>
      </c>
      <c r="T306" s="75">
        <f ca="1" t="shared" si="288"/>
        <v>26</v>
      </c>
      <c r="U306" s="75">
        <f ca="1" t="shared" si="288"/>
        <v>21</v>
      </c>
      <c r="V306" s="75">
        <f ca="1" t="shared" si="288"/>
        <v>21</v>
      </c>
      <c r="W306" s="75">
        <f ca="1" t="shared" si="271"/>
        <v>20</v>
      </c>
      <c r="X306" s="75">
        <f ca="1" t="shared" si="272"/>
        <v>19</v>
      </c>
      <c r="Y306" s="75">
        <f ca="1" t="shared" si="273"/>
        <v>18</v>
      </c>
    </row>
    <row r="307" ht="16.5" spans="1:25">
      <c r="A307" s="74">
        <f t="shared" si="259"/>
        <v>159</v>
      </c>
      <c r="B307" s="65">
        <v>274</v>
      </c>
      <c r="C307" s="75">
        <f>INT(产出预期!M293)</f>
        <v>31466</v>
      </c>
      <c r="D307" s="75">
        <f ca="1" t="shared" ref="D307:V307" si="289">IFERROR(MATCH(D612*10,OFFSET($AS$339:$AS$388,0,D$335),1),0)</f>
        <v>44</v>
      </c>
      <c r="E307" s="75">
        <f ca="1" t="shared" si="289"/>
        <v>44</v>
      </c>
      <c r="F307" s="75">
        <f ca="1" t="shared" si="289"/>
        <v>44</v>
      </c>
      <c r="G307" s="75">
        <f ca="1" t="shared" si="289"/>
        <v>36</v>
      </c>
      <c r="H307" s="75">
        <f ca="1" t="shared" si="289"/>
        <v>36</v>
      </c>
      <c r="I307" s="75">
        <f ca="1" t="shared" si="289"/>
        <v>36</v>
      </c>
      <c r="J307" s="75">
        <f ca="1" t="shared" si="289"/>
        <v>36</v>
      </c>
      <c r="K307" s="75">
        <f ca="1" t="shared" si="289"/>
        <v>36</v>
      </c>
      <c r="L307" s="75">
        <f ca="1" t="shared" si="289"/>
        <v>36</v>
      </c>
      <c r="M307" s="75">
        <f ca="1" t="shared" si="289"/>
        <v>34</v>
      </c>
      <c r="N307" s="75">
        <f ca="1" t="shared" si="289"/>
        <v>33</v>
      </c>
      <c r="O307" s="75">
        <f ca="1" t="shared" si="289"/>
        <v>33</v>
      </c>
      <c r="P307" s="75">
        <f ca="1" t="shared" si="289"/>
        <v>33</v>
      </c>
      <c r="Q307" s="75">
        <f ca="1" t="shared" si="289"/>
        <v>33</v>
      </c>
      <c r="R307" s="75">
        <f ca="1" t="shared" si="289"/>
        <v>32</v>
      </c>
      <c r="S307" s="75">
        <f ca="1" t="shared" si="289"/>
        <v>32</v>
      </c>
      <c r="T307" s="75">
        <f ca="1" t="shared" si="289"/>
        <v>26</v>
      </c>
      <c r="U307" s="75">
        <f ca="1" t="shared" si="289"/>
        <v>21</v>
      </c>
      <c r="V307" s="75">
        <f ca="1" t="shared" si="289"/>
        <v>21</v>
      </c>
      <c r="W307" s="75">
        <f ca="1" t="shared" si="271"/>
        <v>20</v>
      </c>
      <c r="X307" s="75">
        <f ca="1" t="shared" si="272"/>
        <v>19</v>
      </c>
      <c r="Y307" s="75">
        <f ca="1" t="shared" si="273"/>
        <v>18</v>
      </c>
    </row>
    <row r="308" ht="16.5" spans="1:25">
      <c r="A308" s="74">
        <f t="shared" si="259"/>
        <v>159</v>
      </c>
      <c r="B308" s="65">
        <v>275</v>
      </c>
      <c r="C308" s="75">
        <f>INT(产出预期!M294)</f>
        <v>31576</v>
      </c>
      <c r="D308" s="75">
        <f ca="1" t="shared" ref="D308:V308" si="290">IFERROR(MATCH(D613*10,OFFSET($AS$339:$AS$388,0,D$335),1),0)</f>
        <v>44</v>
      </c>
      <c r="E308" s="75">
        <f ca="1" t="shared" si="290"/>
        <v>44</v>
      </c>
      <c r="F308" s="75">
        <f ca="1" t="shared" si="290"/>
        <v>44</v>
      </c>
      <c r="G308" s="75">
        <f ca="1" t="shared" si="290"/>
        <v>36</v>
      </c>
      <c r="H308" s="75">
        <f ca="1" t="shared" si="290"/>
        <v>36</v>
      </c>
      <c r="I308" s="75">
        <f ca="1" t="shared" si="290"/>
        <v>36</v>
      </c>
      <c r="J308" s="75">
        <f ca="1" t="shared" si="290"/>
        <v>36</v>
      </c>
      <c r="K308" s="75">
        <f ca="1" t="shared" si="290"/>
        <v>36</v>
      </c>
      <c r="L308" s="75">
        <f ca="1" t="shared" si="290"/>
        <v>36</v>
      </c>
      <c r="M308" s="75">
        <f ca="1" t="shared" si="290"/>
        <v>34</v>
      </c>
      <c r="N308" s="75">
        <f ca="1" t="shared" si="290"/>
        <v>34</v>
      </c>
      <c r="O308" s="75">
        <f ca="1" t="shared" si="290"/>
        <v>33</v>
      </c>
      <c r="P308" s="75">
        <f ca="1" t="shared" si="290"/>
        <v>33</v>
      </c>
      <c r="Q308" s="75">
        <f ca="1" t="shared" si="290"/>
        <v>33</v>
      </c>
      <c r="R308" s="75">
        <f ca="1" t="shared" si="290"/>
        <v>32</v>
      </c>
      <c r="S308" s="75">
        <f ca="1" t="shared" si="290"/>
        <v>32</v>
      </c>
      <c r="T308" s="75">
        <f ca="1" t="shared" si="290"/>
        <v>26</v>
      </c>
      <c r="U308" s="75">
        <f ca="1" t="shared" si="290"/>
        <v>21</v>
      </c>
      <c r="V308" s="75">
        <f ca="1" t="shared" si="290"/>
        <v>21</v>
      </c>
      <c r="W308" s="75">
        <f ca="1" t="shared" si="271"/>
        <v>20</v>
      </c>
      <c r="X308" s="75">
        <f ca="1" t="shared" si="272"/>
        <v>19</v>
      </c>
      <c r="Y308" s="75">
        <f ca="1" t="shared" si="273"/>
        <v>18</v>
      </c>
    </row>
    <row r="309" ht="16.5" spans="1:25">
      <c r="A309" s="74">
        <f t="shared" si="259"/>
        <v>159</v>
      </c>
      <c r="B309" s="65">
        <v>276</v>
      </c>
      <c r="C309" s="75">
        <f>INT(产出预期!M295)</f>
        <v>31686</v>
      </c>
      <c r="D309" s="75">
        <f ca="1" t="shared" ref="D309:V309" si="291">IFERROR(MATCH(D614*10,OFFSET($AS$339:$AS$388,0,D$335),1),0)</f>
        <v>44</v>
      </c>
      <c r="E309" s="75">
        <f ca="1" t="shared" si="291"/>
        <v>44</v>
      </c>
      <c r="F309" s="75">
        <f ca="1" t="shared" si="291"/>
        <v>44</v>
      </c>
      <c r="G309" s="75">
        <f ca="1" t="shared" si="291"/>
        <v>36</v>
      </c>
      <c r="H309" s="75">
        <f ca="1" t="shared" si="291"/>
        <v>36</v>
      </c>
      <c r="I309" s="75">
        <f ca="1" t="shared" si="291"/>
        <v>36</v>
      </c>
      <c r="J309" s="75">
        <f ca="1" t="shared" si="291"/>
        <v>36</v>
      </c>
      <c r="K309" s="75">
        <f ca="1" t="shared" si="291"/>
        <v>36</v>
      </c>
      <c r="L309" s="75">
        <f ca="1" t="shared" si="291"/>
        <v>36</v>
      </c>
      <c r="M309" s="75">
        <f ca="1" t="shared" si="291"/>
        <v>34</v>
      </c>
      <c r="N309" s="75">
        <f ca="1" t="shared" si="291"/>
        <v>34</v>
      </c>
      <c r="O309" s="75">
        <f ca="1" t="shared" si="291"/>
        <v>33</v>
      </c>
      <c r="P309" s="75">
        <f ca="1" t="shared" si="291"/>
        <v>33</v>
      </c>
      <c r="Q309" s="75">
        <f ca="1" t="shared" si="291"/>
        <v>33</v>
      </c>
      <c r="R309" s="75">
        <f ca="1" t="shared" si="291"/>
        <v>32</v>
      </c>
      <c r="S309" s="75">
        <f ca="1" t="shared" si="291"/>
        <v>32</v>
      </c>
      <c r="T309" s="75">
        <f ca="1" t="shared" si="291"/>
        <v>26</v>
      </c>
      <c r="U309" s="75">
        <f ca="1" t="shared" si="291"/>
        <v>21</v>
      </c>
      <c r="V309" s="75">
        <f ca="1" t="shared" si="291"/>
        <v>21</v>
      </c>
      <c r="W309" s="75">
        <f ca="1" t="shared" si="271"/>
        <v>20</v>
      </c>
      <c r="X309" s="75">
        <f ca="1" t="shared" si="272"/>
        <v>19</v>
      </c>
      <c r="Y309" s="75">
        <f ca="1" t="shared" si="273"/>
        <v>18</v>
      </c>
    </row>
    <row r="310" ht="16.5" spans="1:25">
      <c r="A310" s="74">
        <f t="shared" si="259"/>
        <v>160</v>
      </c>
      <c r="B310" s="65">
        <v>277</v>
      </c>
      <c r="C310" s="75">
        <f>INT(产出预期!M296)</f>
        <v>31796</v>
      </c>
      <c r="D310" s="75">
        <f ca="1" t="shared" ref="D310:V310" si="292">IFERROR(MATCH(D615*10,OFFSET($AS$339:$AS$388,0,D$335),1),0)</f>
        <v>44</v>
      </c>
      <c r="E310" s="75">
        <f ca="1" t="shared" si="292"/>
        <v>44</v>
      </c>
      <c r="F310" s="75">
        <f ca="1" t="shared" si="292"/>
        <v>44</v>
      </c>
      <c r="G310" s="75">
        <f ca="1" t="shared" si="292"/>
        <v>36</v>
      </c>
      <c r="H310" s="75">
        <f ca="1" t="shared" si="292"/>
        <v>36</v>
      </c>
      <c r="I310" s="75">
        <f ca="1" t="shared" si="292"/>
        <v>36</v>
      </c>
      <c r="J310" s="75">
        <f ca="1" t="shared" si="292"/>
        <v>36</v>
      </c>
      <c r="K310" s="75">
        <f ca="1" t="shared" si="292"/>
        <v>36</v>
      </c>
      <c r="L310" s="75">
        <f ca="1" t="shared" si="292"/>
        <v>36</v>
      </c>
      <c r="M310" s="75">
        <f ca="1" t="shared" si="292"/>
        <v>34</v>
      </c>
      <c r="N310" s="75">
        <f ca="1" t="shared" si="292"/>
        <v>34</v>
      </c>
      <c r="O310" s="75">
        <f ca="1" t="shared" si="292"/>
        <v>33</v>
      </c>
      <c r="P310" s="75">
        <f ca="1" t="shared" si="292"/>
        <v>33</v>
      </c>
      <c r="Q310" s="75">
        <f ca="1" t="shared" si="292"/>
        <v>33</v>
      </c>
      <c r="R310" s="75">
        <f ca="1" t="shared" si="292"/>
        <v>32</v>
      </c>
      <c r="S310" s="75">
        <f ca="1" t="shared" si="292"/>
        <v>32</v>
      </c>
      <c r="T310" s="75">
        <f ca="1" t="shared" si="292"/>
        <v>26</v>
      </c>
      <c r="U310" s="75">
        <f ca="1" t="shared" si="292"/>
        <v>21</v>
      </c>
      <c r="V310" s="75">
        <f ca="1" t="shared" si="292"/>
        <v>21</v>
      </c>
      <c r="W310" s="75">
        <f ca="1" t="shared" si="271"/>
        <v>20</v>
      </c>
      <c r="X310" s="75">
        <f ca="1" t="shared" si="272"/>
        <v>19</v>
      </c>
      <c r="Y310" s="75">
        <f ca="1" t="shared" si="273"/>
        <v>18</v>
      </c>
    </row>
    <row r="311" ht="16.5" spans="1:25">
      <c r="A311" s="74">
        <f t="shared" si="259"/>
        <v>160</v>
      </c>
      <c r="B311" s="65">
        <v>278</v>
      </c>
      <c r="C311" s="75">
        <f>INT(产出预期!M297)</f>
        <v>31906</v>
      </c>
      <c r="D311" s="75">
        <f ca="1" t="shared" ref="D311:V311" si="293">IFERROR(MATCH(D616*10,OFFSET($AS$339:$AS$388,0,D$335),1),0)</f>
        <v>44</v>
      </c>
      <c r="E311" s="75">
        <f ca="1" t="shared" si="293"/>
        <v>44</v>
      </c>
      <c r="F311" s="75">
        <f ca="1" t="shared" si="293"/>
        <v>44</v>
      </c>
      <c r="G311" s="75">
        <f ca="1" t="shared" si="293"/>
        <v>36</v>
      </c>
      <c r="H311" s="75">
        <f ca="1" t="shared" si="293"/>
        <v>36</v>
      </c>
      <c r="I311" s="75">
        <f ca="1" t="shared" si="293"/>
        <v>36</v>
      </c>
      <c r="J311" s="75">
        <f ca="1" t="shared" si="293"/>
        <v>36</v>
      </c>
      <c r="K311" s="75">
        <f ca="1" t="shared" si="293"/>
        <v>36</v>
      </c>
      <c r="L311" s="75">
        <f ca="1" t="shared" si="293"/>
        <v>36</v>
      </c>
      <c r="M311" s="75">
        <f ca="1" t="shared" si="293"/>
        <v>34</v>
      </c>
      <c r="N311" s="75">
        <f ca="1" t="shared" si="293"/>
        <v>34</v>
      </c>
      <c r="O311" s="75">
        <f ca="1" t="shared" si="293"/>
        <v>33</v>
      </c>
      <c r="P311" s="75">
        <f ca="1" t="shared" si="293"/>
        <v>33</v>
      </c>
      <c r="Q311" s="75">
        <f ca="1" t="shared" si="293"/>
        <v>33</v>
      </c>
      <c r="R311" s="75">
        <f ca="1" t="shared" si="293"/>
        <v>32</v>
      </c>
      <c r="S311" s="75">
        <f ca="1" t="shared" si="293"/>
        <v>32</v>
      </c>
      <c r="T311" s="75">
        <f ca="1" t="shared" si="293"/>
        <v>26</v>
      </c>
      <c r="U311" s="75">
        <f ca="1" t="shared" si="293"/>
        <v>21</v>
      </c>
      <c r="V311" s="75">
        <f ca="1" t="shared" si="293"/>
        <v>21</v>
      </c>
      <c r="W311" s="75">
        <f ca="1" t="shared" si="271"/>
        <v>20</v>
      </c>
      <c r="X311" s="75">
        <f ca="1" t="shared" si="272"/>
        <v>19</v>
      </c>
      <c r="Y311" s="75">
        <f ca="1" t="shared" si="273"/>
        <v>18</v>
      </c>
    </row>
    <row r="312" ht="16.5" spans="1:25">
      <c r="A312" s="74">
        <f t="shared" si="259"/>
        <v>160</v>
      </c>
      <c r="B312" s="65">
        <v>279</v>
      </c>
      <c r="C312" s="75">
        <f>INT(产出预期!M298)</f>
        <v>32016</v>
      </c>
      <c r="D312" s="75">
        <f ca="1" t="shared" ref="D312:V312" si="294">IFERROR(MATCH(D617*10,OFFSET($AS$339:$AS$388,0,D$335),1),0)</f>
        <v>44</v>
      </c>
      <c r="E312" s="75">
        <f ca="1" t="shared" si="294"/>
        <v>44</v>
      </c>
      <c r="F312" s="75">
        <f ca="1" t="shared" si="294"/>
        <v>44</v>
      </c>
      <c r="G312" s="75">
        <f ca="1" t="shared" si="294"/>
        <v>36</v>
      </c>
      <c r="H312" s="75">
        <f ca="1" t="shared" si="294"/>
        <v>36</v>
      </c>
      <c r="I312" s="75">
        <f ca="1" t="shared" si="294"/>
        <v>36</v>
      </c>
      <c r="J312" s="75">
        <f ca="1" t="shared" si="294"/>
        <v>36</v>
      </c>
      <c r="K312" s="75">
        <f ca="1" t="shared" si="294"/>
        <v>36</v>
      </c>
      <c r="L312" s="75">
        <f ca="1" t="shared" si="294"/>
        <v>36</v>
      </c>
      <c r="M312" s="75">
        <f ca="1" t="shared" si="294"/>
        <v>34</v>
      </c>
      <c r="N312" s="75">
        <f ca="1" t="shared" si="294"/>
        <v>34</v>
      </c>
      <c r="O312" s="75">
        <f ca="1" t="shared" si="294"/>
        <v>33</v>
      </c>
      <c r="P312" s="75">
        <f ca="1" t="shared" si="294"/>
        <v>33</v>
      </c>
      <c r="Q312" s="75">
        <f ca="1" t="shared" si="294"/>
        <v>33</v>
      </c>
      <c r="R312" s="75">
        <f ca="1" t="shared" si="294"/>
        <v>32</v>
      </c>
      <c r="S312" s="75">
        <f ca="1" t="shared" si="294"/>
        <v>32</v>
      </c>
      <c r="T312" s="75">
        <f ca="1" t="shared" si="294"/>
        <v>26</v>
      </c>
      <c r="U312" s="75">
        <f ca="1" t="shared" si="294"/>
        <v>21</v>
      </c>
      <c r="V312" s="75">
        <f ca="1" t="shared" si="294"/>
        <v>21</v>
      </c>
      <c r="W312" s="75">
        <f ca="1" t="shared" si="271"/>
        <v>20</v>
      </c>
      <c r="X312" s="75">
        <f ca="1" t="shared" si="272"/>
        <v>19</v>
      </c>
      <c r="Y312" s="75">
        <f ca="1" t="shared" si="273"/>
        <v>18</v>
      </c>
    </row>
    <row r="313" ht="16.5" spans="1:25">
      <c r="A313" s="74">
        <f t="shared" ref="A313:A333" si="295">A310+1</f>
        <v>161</v>
      </c>
      <c r="B313" s="65">
        <v>280</v>
      </c>
      <c r="C313" s="75">
        <f>INT(产出预期!M299)</f>
        <v>32126</v>
      </c>
      <c r="D313" s="75">
        <f ca="1" t="shared" ref="D313:V313" si="296">IFERROR(MATCH(D618*10,OFFSET($AS$339:$AS$388,0,D$335),1),0)</f>
        <v>44</v>
      </c>
      <c r="E313" s="75">
        <f ca="1" t="shared" si="296"/>
        <v>44</v>
      </c>
      <c r="F313" s="75">
        <f ca="1" t="shared" si="296"/>
        <v>44</v>
      </c>
      <c r="G313" s="75">
        <f ca="1" t="shared" si="296"/>
        <v>36</v>
      </c>
      <c r="H313" s="75">
        <f ca="1" t="shared" si="296"/>
        <v>36</v>
      </c>
      <c r="I313" s="75">
        <f ca="1" t="shared" si="296"/>
        <v>36</v>
      </c>
      <c r="J313" s="75">
        <f ca="1" t="shared" si="296"/>
        <v>36</v>
      </c>
      <c r="K313" s="75">
        <f ca="1" t="shared" si="296"/>
        <v>36</v>
      </c>
      <c r="L313" s="75">
        <f ca="1" t="shared" si="296"/>
        <v>36</v>
      </c>
      <c r="M313" s="75">
        <f ca="1" t="shared" si="296"/>
        <v>34</v>
      </c>
      <c r="N313" s="75">
        <f ca="1" t="shared" si="296"/>
        <v>34</v>
      </c>
      <c r="O313" s="75">
        <f ca="1" t="shared" si="296"/>
        <v>33</v>
      </c>
      <c r="P313" s="75">
        <f ca="1" t="shared" si="296"/>
        <v>33</v>
      </c>
      <c r="Q313" s="75">
        <f ca="1" t="shared" si="296"/>
        <v>33</v>
      </c>
      <c r="R313" s="75">
        <f ca="1" t="shared" si="296"/>
        <v>32</v>
      </c>
      <c r="S313" s="75">
        <f ca="1" t="shared" si="296"/>
        <v>32</v>
      </c>
      <c r="T313" s="75">
        <f ca="1" t="shared" si="296"/>
        <v>26</v>
      </c>
      <c r="U313" s="75">
        <f ca="1" t="shared" si="296"/>
        <v>21</v>
      </c>
      <c r="V313" s="75">
        <f ca="1" t="shared" si="296"/>
        <v>21</v>
      </c>
      <c r="W313" s="75">
        <f ca="1" t="shared" si="271"/>
        <v>20</v>
      </c>
      <c r="X313" s="75">
        <f ca="1" t="shared" si="272"/>
        <v>19</v>
      </c>
      <c r="Y313" s="75">
        <f ca="1" t="shared" si="273"/>
        <v>18</v>
      </c>
    </row>
    <row r="314" ht="16.5" spans="1:25">
      <c r="A314" s="74">
        <f t="shared" si="295"/>
        <v>161</v>
      </c>
      <c r="B314" s="65">
        <v>281</v>
      </c>
      <c r="C314" s="75">
        <f>INT(产出预期!M300)</f>
        <v>32236</v>
      </c>
      <c r="D314" s="75">
        <f ca="1" t="shared" ref="D314:V314" si="297">IFERROR(MATCH(D619*10,OFFSET($AS$339:$AS$388,0,D$335),1),0)</f>
        <v>44</v>
      </c>
      <c r="E314" s="75">
        <f ca="1" t="shared" si="297"/>
        <v>44</v>
      </c>
      <c r="F314" s="75">
        <f ca="1" t="shared" si="297"/>
        <v>44</v>
      </c>
      <c r="G314" s="75">
        <f ca="1" t="shared" si="297"/>
        <v>36</v>
      </c>
      <c r="H314" s="75">
        <f ca="1" t="shared" si="297"/>
        <v>36</v>
      </c>
      <c r="I314" s="75">
        <f ca="1" t="shared" si="297"/>
        <v>36</v>
      </c>
      <c r="J314" s="75">
        <f ca="1" t="shared" si="297"/>
        <v>36</v>
      </c>
      <c r="K314" s="75">
        <f ca="1" t="shared" si="297"/>
        <v>36</v>
      </c>
      <c r="L314" s="75">
        <f ca="1" t="shared" si="297"/>
        <v>36</v>
      </c>
      <c r="M314" s="75">
        <f ca="1" t="shared" si="297"/>
        <v>34</v>
      </c>
      <c r="N314" s="75">
        <f ca="1" t="shared" si="297"/>
        <v>34</v>
      </c>
      <c r="O314" s="75">
        <f ca="1" t="shared" si="297"/>
        <v>33</v>
      </c>
      <c r="P314" s="75">
        <f ca="1" t="shared" si="297"/>
        <v>33</v>
      </c>
      <c r="Q314" s="75">
        <f ca="1" t="shared" si="297"/>
        <v>33</v>
      </c>
      <c r="R314" s="75">
        <f ca="1" t="shared" si="297"/>
        <v>32</v>
      </c>
      <c r="S314" s="75">
        <f ca="1" t="shared" si="297"/>
        <v>32</v>
      </c>
      <c r="T314" s="75">
        <f ca="1" t="shared" si="297"/>
        <v>26</v>
      </c>
      <c r="U314" s="75">
        <f ca="1" t="shared" si="297"/>
        <v>21</v>
      </c>
      <c r="V314" s="75">
        <f ca="1" t="shared" si="297"/>
        <v>21</v>
      </c>
      <c r="W314" s="75">
        <f ca="1" t="shared" si="271"/>
        <v>20</v>
      </c>
      <c r="X314" s="75">
        <f ca="1" t="shared" si="272"/>
        <v>19</v>
      </c>
      <c r="Y314" s="75">
        <f ca="1" t="shared" si="273"/>
        <v>18</v>
      </c>
    </row>
    <row r="315" ht="16.5" spans="1:25">
      <c r="A315" s="74">
        <f t="shared" si="295"/>
        <v>161</v>
      </c>
      <c r="B315" s="65">
        <v>282</v>
      </c>
      <c r="C315" s="75">
        <f>INT(产出预期!M301)</f>
        <v>32346</v>
      </c>
      <c r="D315" s="75">
        <f ca="1" t="shared" ref="D315:V315" si="298">IFERROR(MATCH(D620*10,OFFSET($AS$339:$AS$388,0,D$335),1),0)</f>
        <v>44</v>
      </c>
      <c r="E315" s="75">
        <f ca="1" t="shared" si="298"/>
        <v>44</v>
      </c>
      <c r="F315" s="75">
        <f ca="1" t="shared" si="298"/>
        <v>44</v>
      </c>
      <c r="G315" s="75">
        <f ca="1" t="shared" si="298"/>
        <v>36</v>
      </c>
      <c r="H315" s="75">
        <f ca="1" t="shared" si="298"/>
        <v>36</v>
      </c>
      <c r="I315" s="75">
        <f ca="1" t="shared" si="298"/>
        <v>36</v>
      </c>
      <c r="J315" s="75">
        <f ca="1" t="shared" si="298"/>
        <v>36</v>
      </c>
      <c r="K315" s="75">
        <f ca="1" t="shared" si="298"/>
        <v>36</v>
      </c>
      <c r="L315" s="75">
        <f ca="1" t="shared" si="298"/>
        <v>36</v>
      </c>
      <c r="M315" s="75">
        <f ca="1" t="shared" si="298"/>
        <v>34</v>
      </c>
      <c r="N315" s="75">
        <f ca="1" t="shared" si="298"/>
        <v>34</v>
      </c>
      <c r="O315" s="75">
        <f ca="1" t="shared" si="298"/>
        <v>33</v>
      </c>
      <c r="P315" s="75">
        <f ca="1" t="shared" si="298"/>
        <v>33</v>
      </c>
      <c r="Q315" s="75">
        <f ca="1" t="shared" si="298"/>
        <v>33</v>
      </c>
      <c r="R315" s="75">
        <f ca="1" t="shared" si="298"/>
        <v>32</v>
      </c>
      <c r="S315" s="75">
        <f ca="1" t="shared" si="298"/>
        <v>32</v>
      </c>
      <c r="T315" s="75">
        <f ca="1" t="shared" si="298"/>
        <v>26</v>
      </c>
      <c r="U315" s="75">
        <f ca="1" t="shared" si="298"/>
        <v>21</v>
      </c>
      <c r="V315" s="75">
        <f ca="1" t="shared" si="298"/>
        <v>21</v>
      </c>
      <c r="W315" s="75">
        <f ca="1" t="shared" si="271"/>
        <v>20</v>
      </c>
      <c r="X315" s="75">
        <f ca="1" t="shared" si="272"/>
        <v>19</v>
      </c>
      <c r="Y315" s="75">
        <f ca="1" t="shared" si="273"/>
        <v>18</v>
      </c>
    </row>
    <row r="316" ht="16.5" spans="1:25">
      <c r="A316" s="74">
        <f t="shared" si="295"/>
        <v>162</v>
      </c>
      <c r="B316" s="65">
        <v>283</v>
      </c>
      <c r="C316" s="75">
        <f>INT(产出预期!M302)</f>
        <v>32456</v>
      </c>
      <c r="D316" s="75">
        <f ca="1" t="shared" ref="D316:V316" si="299">IFERROR(MATCH(D621*10,OFFSET($AS$339:$AS$388,0,D$335),1),0)</f>
        <v>44</v>
      </c>
      <c r="E316" s="75">
        <f ca="1" t="shared" si="299"/>
        <v>44</v>
      </c>
      <c r="F316" s="75">
        <f ca="1" t="shared" si="299"/>
        <v>44</v>
      </c>
      <c r="G316" s="75">
        <f ca="1" t="shared" si="299"/>
        <v>36</v>
      </c>
      <c r="H316" s="75">
        <f ca="1" t="shared" si="299"/>
        <v>36</v>
      </c>
      <c r="I316" s="75">
        <f ca="1" t="shared" si="299"/>
        <v>36</v>
      </c>
      <c r="J316" s="75">
        <f ca="1" t="shared" si="299"/>
        <v>36</v>
      </c>
      <c r="K316" s="75">
        <f ca="1" t="shared" si="299"/>
        <v>36</v>
      </c>
      <c r="L316" s="75">
        <f ca="1" t="shared" si="299"/>
        <v>36</v>
      </c>
      <c r="M316" s="75">
        <f ca="1" t="shared" si="299"/>
        <v>34</v>
      </c>
      <c r="N316" s="75">
        <f ca="1" t="shared" si="299"/>
        <v>34</v>
      </c>
      <c r="O316" s="75">
        <f ca="1" t="shared" si="299"/>
        <v>34</v>
      </c>
      <c r="P316" s="75">
        <f ca="1" t="shared" si="299"/>
        <v>33</v>
      </c>
      <c r="Q316" s="75">
        <f ca="1" t="shared" si="299"/>
        <v>33</v>
      </c>
      <c r="R316" s="75">
        <f ca="1" t="shared" si="299"/>
        <v>32</v>
      </c>
      <c r="S316" s="75">
        <f ca="1" t="shared" si="299"/>
        <v>32</v>
      </c>
      <c r="T316" s="75">
        <f ca="1" t="shared" si="299"/>
        <v>26</v>
      </c>
      <c r="U316" s="75">
        <f ca="1" t="shared" si="299"/>
        <v>21</v>
      </c>
      <c r="V316" s="75">
        <f ca="1" t="shared" si="299"/>
        <v>21</v>
      </c>
      <c r="W316" s="75">
        <f ca="1" t="shared" si="271"/>
        <v>20</v>
      </c>
      <c r="X316" s="75">
        <f ca="1" t="shared" si="272"/>
        <v>19</v>
      </c>
      <c r="Y316" s="75">
        <f ca="1" t="shared" si="273"/>
        <v>18</v>
      </c>
    </row>
    <row r="317" ht="16.5" spans="1:25">
      <c r="A317" s="74">
        <f t="shared" si="295"/>
        <v>162</v>
      </c>
      <c r="B317" s="65">
        <v>284</v>
      </c>
      <c r="C317" s="75">
        <f>INT(产出预期!M303)</f>
        <v>32566</v>
      </c>
      <c r="D317" s="75">
        <f ca="1" t="shared" ref="D317:V317" si="300">IFERROR(MATCH(D622*10,OFFSET($AS$339:$AS$388,0,D$335),1),0)</f>
        <v>44</v>
      </c>
      <c r="E317" s="75">
        <f ca="1" t="shared" si="300"/>
        <v>44</v>
      </c>
      <c r="F317" s="75">
        <f ca="1" t="shared" si="300"/>
        <v>44</v>
      </c>
      <c r="G317" s="75">
        <f ca="1" t="shared" si="300"/>
        <v>36</v>
      </c>
      <c r="H317" s="75">
        <f ca="1" t="shared" si="300"/>
        <v>36</v>
      </c>
      <c r="I317" s="75">
        <f ca="1" t="shared" si="300"/>
        <v>36</v>
      </c>
      <c r="J317" s="75">
        <f ca="1" t="shared" si="300"/>
        <v>36</v>
      </c>
      <c r="K317" s="75">
        <f ca="1" t="shared" si="300"/>
        <v>36</v>
      </c>
      <c r="L317" s="75">
        <f ca="1" t="shared" si="300"/>
        <v>36</v>
      </c>
      <c r="M317" s="75">
        <f ca="1" t="shared" si="300"/>
        <v>34</v>
      </c>
      <c r="N317" s="75">
        <f ca="1" t="shared" si="300"/>
        <v>34</v>
      </c>
      <c r="O317" s="75">
        <f ca="1" t="shared" si="300"/>
        <v>34</v>
      </c>
      <c r="P317" s="75">
        <f ca="1" t="shared" si="300"/>
        <v>33</v>
      </c>
      <c r="Q317" s="75">
        <f ca="1" t="shared" si="300"/>
        <v>33</v>
      </c>
      <c r="R317" s="75">
        <f ca="1" t="shared" si="300"/>
        <v>32</v>
      </c>
      <c r="S317" s="75">
        <f ca="1" t="shared" si="300"/>
        <v>32</v>
      </c>
      <c r="T317" s="75">
        <f ca="1" t="shared" si="300"/>
        <v>26</v>
      </c>
      <c r="U317" s="75">
        <f ca="1" t="shared" si="300"/>
        <v>21</v>
      </c>
      <c r="V317" s="75">
        <f ca="1" t="shared" si="300"/>
        <v>21</v>
      </c>
      <c r="W317" s="75">
        <f ca="1" t="shared" si="271"/>
        <v>20</v>
      </c>
      <c r="X317" s="75">
        <f ca="1" t="shared" si="272"/>
        <v>19</v>
      </c>
      <c r="Y317" s="75">
        <f ca="1" t="shared" si="273"/>
        <v>18</v>
      </c>
    </row>
    <row r="318" ht="16.5" spans="1:25">
      <c r="A318" s="74">
        <f t="shared" si="295"/>
        <v>162</v>
      </c>
      <c r="B318" s="65">
        <v>285</v>
      </c>
      <c r="C318" s="75">
        <f>INT(产出预期!M304)</f>
        <v>32676</v>
      </c>
      <c r="D318" s="75">
        <f ca="1" t="shared" ref="D318:V318" si="301">IFERROR(MATCH(D623*10,OFFSET($AS$339:$AS$388,0,D$335),1),0)</f>
        <v>44</v>
      </c>
      <c r="E318" s="75">
        <f ca="1" t="shared" si="301"/>
        <v>44</v>
      </c>
      <c r="F318" s="75">
        <f ca="1" t="shared" si="301"/>
        <v>44</v>
      </c>
      <c r="G318" s="75">
        <f ca="1" t="shared" si="301"/>
        <v>36</v>
      </c>
      <c r="H318" s="75">
        <f ca="1" t="shared" si="301"/>
        <v>36</v>
      </c>
      <c r="I318" s="75">
        <f ca="1" t="shared" si="301"/>
        <v>36</v>
      </c>
      <c r="J318" s="75">
        <f ca="1" t="shared" si="301"/>
        <v>36</v>
      </c>
      <c r="K318" s="75">
        <f ca="1" t="shared" si="301"/>
        <v>36</v>
      </c>
      <c r="L318" s="75">
        <f ca="1" t="shared" si="301"/>
        <v>36</v>
      </c>
      <c r="M318" s="75">
        <f ca="1" t="shared" si="301"/>
        <v>34</v>
      </c>
      <c r="N318" s="75">
        <f ca="1" t="shared" si="301"/>
        <v>34</v>
      </c>
      <c r="O318" s="75">
        <f ca="1" t="shared" si="301"/>
        <v>34</v>
      </c>
      <c r="P318" s="75">
        <f ca="1" t="shared" si="301"/>
        <v>34</v>
      </c>
      <c r="Q318" s="75">
        <f ca="1" t="shared" si="301"/>
        <v>33</v>
      </c>
      <c r="R318" s="75">
        <f ca="1" t="shared" si="301"/>
        <v>32</v>
      </c>
      <c r="S318" s="75">
        <f ca="1" t="shared" si="301"/>
        <v>32</v>
      </c>
      <c r="T318" s="75">
        <f ca="1" t="shared" si="301"/>
        <v>26</v>
      </c>
      <c r="U318" s="75">
        <f ca="1" t="shared" si="301"/>
        <v>21</v>
      </c>
      <c r="V318" s="75">
        <f ca="1" t="shared" si="301"/>
        <v>21</v>
      </c>
      <c r="W318" s="75">
        <f ca="1" t="shared" si="271"/>
        <v>20</v>
      </c>
      <c r="X318" s="75">
        <f ca="1" t="shared" si="272"/>
        <v>19</v>
      </c>
      <c r="Y318" s="75">
        <f ca="1" t="shared" si="273"/>
        <v>18</v>
      </c>
    </row>
    <row r="319" ht="16.5" spans="1:25">
      <c r="A319" s="74">
        <f t="shared" si="295"/>
        <v>163</v>
      </c>
      <c r="B319" s="65">
        <v>286</v>
      </c>
      <c r="C319" s="75">
        <f>INT(产出预期!M305)</f>
        <v>32786</v>
      </c>
      <c r="D319" s="75">
        <f ca="1" t="shared" ref="D319:V319" si="302">IFERROR(MATCH(D624*10,OFFSET($AS$339:$AS$388,0,D$335),1),0)</f>
        <v>44</v>
      </c>
      <c r="E319" s="75">
        <f ca="1" t="shared" si="302"/>
        <v>44</v>
      </c>
      <c r="F319" s="75">
        <f ca="1" t="shared" si="302"/>
        <v>44</v>
      </c>
      <c r="G319" s="75">
        <f ca="1" t="shared" si="302"/>
        <v>36</v>
      </c>
      <c r="H319" s="75">
        <f ca="1" t="shared" si="302"/>
        <v>36</v>
      </c>
      <c r="I319" s="75">
        <f ca="1" t="shared" si="302"/>
        <v>36</v>
      </c>
      <c r="J319" s="75">
        <f ca="1" t="shared" si="302"/>
        <v>36</v>
      </c>
      <c r="K319" s="75">
        <f ca="1" t="shared" si="302"/>
        <v>36</v>
      </c>
      <c r="L319" s="75">
        <f ca="1" t="shared" si="302"/>
        <v>36</v>
      </c>
      <c r="M319" s="75">
        <f ca="1" t="shared" si="302"/>
        <v>34</v>
      </c>
      <c r="N319" s="75">
        <f ca="1" t="shared" si="302"/>
        <v>34</v>
      </c>
      <c r="O319" s="75">
        <f ca="1" t="shared" si="302"/>
        <v>34</v>
      </c>
      <c r="P319" s="75">
        <f ca="1" t="shared" si="302"/>
        <v>34</v>
      </c>
      <c r="Q319" s="75">
        <f ca="1" t="shared" si="302"/>
        <v>34</v>
      </c>
      <c r="R319" s="75">
        <f ca="1" t="shared" si="302"/>
        <v>32</v>
      </c>
      <c r="S319" s="75">
        <f ca="1" t="shared" si="302"/>
        <v>32</v>
      </c>
      <c r="T319" s="75">
        <f ca="1" t="shared" si="302"/>
        <v>26</v>
      </c>
      <c r="U319" s="75">
        <f ca="1" t="shared" si="302"/>
        <v>21</v>
      </c>
      <c r="V319" s="75">
        <f ca="1" t="shared" si="302"/>
        <v>21</v>
      </c>
      <c r="W319" s="75">
        <f ca="1" t="shared" si="271"/>
        <v>20</v>
      </c>
      <c r="X319" s="75">
        <f ca="1" t="shared" si="272"/>
        <v>19</v>
      </c>
      <c r="Y319" s="75">
        <f ca="1" t="shared" si="273"/>
        <v>18</v>
      </c>
    </row>
    <row r="320" ht="16.5" spans="1:25">
      <c r="A320" s="74">
        <f t="shared" si="295"/>
        <v>163</v>
      </c>
      <c r="B320" s="65">
        <v>287</v>
      </c>
      <c r="C320" s="75">
        <f>INT(产出预期!M306)</f>
        <v>32896</v>
      </c>
      <c r="D320" s="75">
        <f ca="1" t="shared" ref="D320:V320" si="303">IFERROR(MATCH(D625*10,OFFSET($AS$339:$AS$388,0,D$335),1),0)</f>
        <v>44</v>
      </c>
      <c r="E320" s="75">
        <f ca="1" t="shared" si="303"/>
        <v>44</v>
      </c>
      <c r="F320" s="75">
        <f ca="1" t="shared" si="303"/>
        <v>44</v>
      </c>
      <c r="G320" s="75">
        <f ca="1" t="shared" si="303"/>
        <v>36</v>
      </c>
      <c r="H320" s="75">
        <f ca="1" t="shared" si="303"/>
        <v>36</v>
      </c>
      <c r="I320" s="75">
        <f ca="1" t="shared" si="303"/>
        <v>36</v>
      </c>
      <c r="J320" s="75">
        <f ca="1" t="shared" si="303"/>
        <v>36</v>
      </c>
      <c r="K320" s="75">
        <f ca="1" t="shared" si="303"/>
        <v>36</v>
      </c>
      <c r="L320" s="75">
        <f ca="1" t="shared" si="303"/>
        <v>36</v>
      </c>
      <c r="M320" s="75">
        <f ca="1" t="shared" si="303"/>
        <v>34</v>
      </c>
      <c r="N320" s="75">
        <f ca="1" t="shared" si="303"/>
        <v>34</v>
      </c>
      <c r="O320" s="75">
        <f ca="1" t="shared" si="303"/>
        <v>34</v>
      </c>
      <c r="P320" s="75">
        <f ca="1" t="shared" si="303"/>
        <v>34</v>
      </c>
      <c r="Q320" s="75">
        <f ca="1" t="shared" si="303"/>
        <v>34</v>
      </c>
      <c r="R320" s="75">
        <f ca="1" t="shared" si="303"/>
        <v>32</v>
      </c>
      <c r="S320" s="75">
        <f ca="1" t="shared" si="303"/>
        <v>32</v>
      </c>
      <c r="T320" s="75">
        <f ca="1" t="shared" si="303"/>
        <v>26</v>
      </c>
      <c r="U320" s="75">
        <f ca="1" t="shared" si="303"/>
        <v>21</v>
      </c>
      <c r="V320" s="75">
        <f ca="1" t="shared" si="303"/>
        <v>21</v>
      </c>
      <c r="W320" s="75">
        <f ca="1" t="shared" si="271"/>
        <v>20</v>
      </c>
      <c r="X320" s="75">
        <f ca="1" t="shared" si="272"/>
        <v>19</v>
      </c>
      <c r="Y320" s="75">
        <f ca="1" t="shared" si="273"/>
        <v>18</v>
      </c>
    </row>
    <row r="321" ht="16.5" spans="1:43">
      <c r="A321" s="74">
        <f t="shared" si="295"/>
        <v>163</v>
      </c>
      <c r="B321" s="65">
        <v>288</v>
      </c>
      <c r="C321" s="75">
        <f>INT(产出预期!M307)</f>
        <v>33006</v>
      </c>
      <c r="D321" s="75">
        <f ca="1" t="shared" ref="D321:V321" si="304">IFERROR(MATCH(D626*10,OFFSET($AS$339:$AS$388,0,D$335),1),0)</f>
        <v>44</v>
      </c>
      <c r="E321" s="75">
        <f ca="1" t="shared" si="304"/>
        <v>44</v>
      </c>
      <c r="F321" s="75">
        <f ca="1" t="shared" si="304"/>
        <v>44</v>
      </c>
      <c r="G321" s="75">
        <f ca="1" t="shared" si="304"/>
        <v>36</v>
      </c>
      <c r="H321" s="75">
        <f ca="1" t="shared" si="304"/>
        <v>36</v>
      </c>
      <c r="I321" s="75">
        <f ca="1" t="shared" si="304"/>
        <v>36</v>
      </c>
      <c r="J321" s="75">
        <f ca="1" t="shared" si="304"/>
        <v>36</v>
      </c>
      <c r="K321" s="75">
        <f ca="1" t="shared" si="304"/>
        <v>36</v>
      </c>
      <c r="L321" s="75">
        <f ca="1" t="shared" si="304"/>
        <v>36</v>
      </c>
      <c r="M321" s="75">
        <f ca="1" t="shared" si="304"/>
        <v>34</v>
      </c>
      <c r="N321" s="75">
        <f ca="1" t="shared" si="304"/>
        <v>34</v>
      </c>
      <c r="O321" s="75">
        <f ca="1" t="shared" si="304"/>
        <v>34</v>
      </c>
      <c r="P321" s="75">
        <f ca="1" t="shared" si="304"/>
        <v>34</v>
      </c>
      <c r="Q321" s="75">
        <f ca="1" t="shared" si="304"/>
        <v>34</v>
      </c>
      <c r="R321" s="75">
        <f ca="1" t="shared" si="304"/>
        <v>32</v>
      </c>
      <c r="S321" s="75">
        <f ca="1" t="shared" si="304"/>
        <v>32</v>
      </c>
      <c r="T321" s="75">
        <f ca="1" t="shared" si="304"/>
        <v>26</v>
      </c>
      <c r="U321" s="75">
        <f ca="1" t="shared" si="304"/>
        <v>21</v>
      </c>
      <c r="V321" s="75">
        <f ca="1" t="shared" si="304"/>
        <v>21</v>
      </c>
      <c r="W321" s="75">
        <f ca="1" t="shared" si="271"/>
        <v>20</v>
      </c>
      <c r="X321" s="75">
        <f ca="1" t="shared" si="272"/>
        <v>19</v>
      </c>
      <c r="Y321" s="75">
        <f ca="1" t="shared" si="273"/>
        <v>18</v>
      </c>
    </row>
    <row r="322" ht="16.5" spans="1:43">
      <c r="A322" s="74">
        <f t="shared" si="295"/>
        <v>164</v>
      </c>
      <c r="B322" s="65">
        <v>289</v>
      </c>
      <c r="C322" s="75">
        <f>INT(产出预期!M308)</f>
        <v>33116</v>
      </c>
      <c r="D322" s="75">
        <f ca="1" t="shared" ref="D322:V322" si="305">IFERROR(MATCH(D627*10,OFFSET($AS$339:$AS$388,0,D$335),1),0)</f>
        <v>44</v>
      </c>
      <c r="E322" s="75">
        <f ca="1" t="shared" si="305"/>
        <v>44</v>
      </c>
      <c r="F322" s="75">
        <f ca="1" t="shared" si="305"/>
        <v>44</v>
      </c>
      <c r="G322" s="75">
        <f ca="1" t="shared" si="305"/>
        <v>36</v>
      </c>
      <c r="H322" s="75">
        <f ca="1" t="shared" si="305"/>
        <v>36</v>
      </c>
      <c r="I322" s="75">
        <f ca="1" t="shared" si="305"/>
        <v>36</v>
      </c>
      <c r="J322" s="75">
        <f ca="1" t="shared" si="305"/>
        <v>36</v>
      </c>
      <c r="K322" s="75">
        <f ca="1" t="shared" si="305"/>
        <v>36</v>
      </c>
      <c r="L322" s="75">
        <f ca="1" t="shared" si="305"/>
        <v>36</v>
      </c>
      <c r="M322" s="75">
        <f ca="1" t="shared" si="305"/>
        <v>34</v>
      </c>
      <c r="N322" s="75">
        <f ca="1" t="shared" si="305"/>
        <v>34</v>
      </c>
      <c r="O322" s="75">
        <f ca="1" t="shared" si="305"/>
        <v>34</v>
      </c>
      <c r="P322" s="75">
        <f ca="1" t="shared" si="305"/>
        <v>34</v>
      </c>
      <c r="Q322" s="75">
        <f ca="1" t="shared" si="305"/>
        <v>34</v>
      </c>
      <c r="R322" s="75">
        <f ca="1" t="shared" si="305"/>
        <v>32</v>
      </c>
      <c r="S322" s="75">
        <f ca="1" t="shared" si="305"/>
        <v>32</v>
      </c>
      <c r="T322" s="75">
        <f ca="1" t="shared" si="305"/>
        <v>26</v>
      </c>
      <c r="U322" s="75">
        <f ca="1" t="shared" si="305"/>
        <v>21</v>
      </c>
      <c r="V322" s="75">
        <f ca="1" t="shared" si="305"/>
        <v>21</v>
      </c>
      <c r="W322" s="75">
        <f ca="1" t="shared" si="271"/>
        <v>20</v>
      </c>
      <c r="X322" s="75">
        <f ca="1" t="shared" si="272"/>
        <v>19</v>
      </c>
      <c r="Y322" s="75">
        <f ca="1" t="shared" si="273"/>
        <v>18</v>
      </c>
    </row>
    <row r="323" ht="16.5" spans="1:43">
      <c r="A323" s="74">
        <f t="shared" si="295"/>
        <v>164</v>
      </c>
      <c r="B323" s="65">
        <v>290</v>
      </c>
      <c r="C323" s="75">
        <f>INT(产出预期!M309)</f>
        <v>33226</v>
      </c>
      <c r="D323" s="75">
        <f ca="1" t="shared" ref="D323:V323" si="306">IFERROR(MATCH(D628*10,OFFSET($AS$339:$AS$388,0,D$335),1),0)</f>
        <v>44</v>
      </c>
      <c r="E323" s="75">
        <f ca="1" t="shared" si="306"/>
        <v>44</v>
      </c>
      <c r="F323" s="75">
        <f ca="1" t="shared" si="306"/>
        <v>44</v>
      </c>
      <c r="G323" s="75">
        <f ca="1" t="shared" si="306"/>
        <v>36</v>
      </c>
      <c r="H323" s="75">
        <f ca="1" t="shared" si="306"/>
        <v>36</v>
      </c>
      <c r="I323" s="75">
        <f ca="1" t="shared" si="306"/>
        <v>36</v>
      </c>
      <c r="J323" s="75">
        <f ca="1" t="shared" si="306"/>
        <v>36</v>
      </c>
      <c r="K323" s="75">
        <f ca="1" t="shared" si="306"/>
        <v>36</v>
      </c>
      <c r="L323" s="75">
        <f ca="1" t="shared" si="306"/>
        <v>36</v>
      </c>
      <c r="M323" s="75">
        <f ca="1" t="shared" si="306"/>
        <v>34</v>
      </c>
      <c r="N323" s="75">
        <f ca="1" t="shared" si="306"/>
        <v>34</v>
      </c>
      <c r="O323" s="75">
        <f ca="1" t="shared" si="306"/>
        <v>34</v>
      </c>
      <c r="P323" s="75">
        <f ca="1" t="shared" si="306"/>
        <v>34</v>
      </c>
      <c r="Q323" s="75">
        <f ca="1" t="shared" si="306"/>
        <v>34</v>
      </c>
      <c r="R323" s="75">
        <f ca="1" t="shared" si="306"/>
        <v>32</v>
      </c>
      <c r="S323" s="75">
        <f ca="1" t="shared" si="306"/>
        <v>32</v>
      </c>
      <c r="T323" s="75">
        <f ca="1" t="shared" si="306"/>
        <v>26</v>
      </c>
      <c r="U323" s="75">
        <f ca="1" t="shared" si="306"/>
        <v>21</v>
      </c>
      <c r="V323" s="75">
        <f ca="1" t="shared" si="306"/>
        <v>21</v>
      </c>
      <c r="W323" s="75">
        <f ca="1" t="shared" si="271"/>
        <v>20</v>
      </c>
      <c r="X323" s="75">
        <f ca="1" t="shared" si="272"/>
        <v>19</v>
      </c>
      <c r="Y323" s="75">
        <f ca="1" t="shared" si="273"/>
        <v>18</v>
      </c>
    </row>
    <row r="324" ht="16.5" spans="1:43">
      <c r="A324" s="74">
        <f t="shared" si="295"/>
        <v>164</v>
      </c>
      <c r="B324" s="65">
        <v>291</v>
      </c>
      <c r="C324" s="75">
        <f>INT(产出预期!M310)</f>
        <v>33336</v>
      </c>
      <c r="D324" s="75">
        <f ca="1" t="shared" ref="D324:V324" si="307">IFERROR(MATCH(D629*10,OFFSET($AS$339:$AS$388,0,D$335),1),0)</f>
        <v>44</v>
      </c>
      <c r="E324" s="75">
        <f ca="1" t="shared" si="307"/>
        <v>44</v>
      </c>
      <c r="F324" s="75">
        <f ca="1" t="shared" si="307"/>
        <v>44</v>
      </c>
      <c r="G324" s="75">
        <f ca="1" t="shared" si="307"/>
        <v>36</v>
      </c>
      <c r="H324" s="75">
        <f ca="1" t="shared" si="307"/>
        <v>36</v>
      </c>
      <c r="I324" s="75">
        <f ca="1" t="shared" si="307"/>
        <v>36</v>
      </c>
      <c r="J324" s="75">
        <f ca="1" t="shared" si="307"/>
        <v>36</v>
      </c>
      <c r="K324" s="75">
        <f ca="1" t="shared" si="307"/>
        <v>36</v>
      </c>
      <c r="L324" s="75">
        <f ca="1" t="shared" si="307"/>
        <v>36</v>
      </c>
      <c r="M324" s="75">
        <f ca="1" t="shared" si="307"/>
        <v>34</v>
      </c>
      <c r="N324" s="75">
        <f ca="1" t="shared" si="307"/>
        <v>34</v>
      </c>
      <c r="O324" s="75">
        <f ca="1" t="shared" si="307"/>
        <v>34</v>
      </c>
      <c r="P324" s="75">
        <f ca="1" t="shared" si="307"/>
        <v>34</v>
      </c>
      <c r="Q324" s="75">
        <f ca="1" t="shared" si="307"/>
        <v>34</v>
      </c>
      <c r="R324" s="75">
        <f ca="1" t="shared" si="307"/>
        <v>32</v>
      </c>
      <c r="S324" s="75">
        <f ca="1" t="shared" si="307"/>
        <v>32</v>
      </c>
      <c r="T324" s="75">
        <f ca="1" t="shared" si="307"/>
        <v>26</v>
      </c>
      <c r="U324" s="75">
        <f ca="1" t="shared" si="307"/>
        <v>21</v>
      </c>
      <c r="V324" s="75">
        <f ca="1" t="shared" si="307"/>
        <v>21</v>
      </c>
      <c r="W324" s="75">
        <f ca="1" t="shared" si="271"/>
        <v>20</v>
      </c>
      <c r="X324" s="75">
        <f ca="1" t="shared" si="272"/>
        <v>19</v>
      </c>
      <c r="Y324" s="75">
        <f ca="1" t="shared" si="273"/>
        <v>18</v>
      </c>
    </row>
    <row r="325" ht="16.5" spans="1:43">
      <c r="A325" s="74">
        <f t="shared" si="295"/>
        <v>165</v>
      </c>
      <c r="B325" s="65">
        <v>292</v>
      </c>
      <c r="C325" s="75">
        <f>INT(产出预期!M311)</f>
        <v>33446</v>
      </c>
      <c r="D325" s="75">
        <f ca="1" t="shared" ref="D325:V325" si="308">IFERROR(MATCH(D630*10,OFFSET($AS$339:$AS$388,0,D$335),1),0)</f>
        <v>44</v>
      </c>
      <c r="E325" s="75">
        <f ca="1" t="shared" si="308"/>
        <v>44</v>
      </c>
      <c r="F325" s="75">
        <f ca="1" t="shared" si="308"/>
        <v>44</v>
      </c>
      <c r="G325" s="75">
        <f ca="1" t="shared" si="308"/>
        <v>36</v>
      </c>
      <c r="H325" s="75">
        <f ca="1" t="shared" si="308"/>
        <v>36</v>
      </c>
      <c r="I325" s="75">
        <f ca="1" t="shared" si="308"/>
        <v>36</v>
      </c>
      <c r="J325" s="75">
        <f ca="1" t="shared" si="308"/>
        <v>36</v>
      </c>
      <c r="K325" s="75">
        <f ca="1" t="shared" si="308"/>
        <v>36</v>
      </c>
      <c r="L325" s="75">
        <f ca="1" t="shared" si="308"/>
        <v>36</v>
      </c>
      <c r="M325" s="75">
        <f ca="1" t="shared" si="308"/>
        <v>34</v>
      </c>
      <c r="N325" s="75">
        <f ca="1" t="shared" si="308"/>
        <v>34</v>
      </c>
      <c r="O325" s="75">
        <f ca="1" t="shared" si="308"/>
        <v>34</v>
      </c>
      <c r="P325" s="75">
        <f ca="1" t="shared" si="308"/>
        <v>34</v>
      </c>
      <c r="Q325" s="75">
        <f ca="1" t="shared" si="308"/>
        <v>34</v>
      </c>
      <c r="R325" s="75">
        <f ca="1" t="shared" si="308"/>
        <v>32</v>
      </c>
      <c r="S325" s="75">
        <f ca="1" t="shared" si="308"/>
        <v>32</v>
      </c>
      <c r="T325" s="75">
        <f ca="1" t="shared" si="308"/>
        <v>26</v>
      </c>
      <c r="U325" s="75">
        <f ca="1" t="shared" si="308"/>
        <v>21</v>
      </c>
      <c r="V325" s="75">
        <f ca="1" t="shared" si="308"/>
        <v>21</v>
      </c>
      <c r="W325" s="75">
        <f ca="1" t="shared" si="271"/>
        <v>20</v>
      </c>
      <c r="X325" s="75">
        <f ca="1" t="shared" si="272"/>
        <v>19</v>
      </c>
      <c r="Y325" s="75">
        <f ca="1" t="shared" si="273"/>
        <v>18</v>
      </c>
    </row>
    <row r="326" ht="16.5" spans="1:43">
      <c r="A326" s="74">
        <f t="shared" si="295"/>
        <v>165</v>
      </c>
      <c r="B326" s="65">
        <v>293</v>
      </c>
      <c r="C326" s="75">
        <f>INT(产出预期!M312)</f>
        <v>33556</v>
      </c>
      <c r="D326" s="75">
        <f ca="1" t="shared" ref="D326:V326" si="309">IFERROR(MATCH(D631*10,OFFSET($AS$339:$AS$388,0,D$335),1),0)</f>
        <v>44</v>
      </c>
      <c r="E326" s="75">
        <f ca="1" t="shared" si="309"/>
        <v>44</v>
      </c>
      <c r="F326" s="75">
        <f ca="1" t="shared" si="309"/>
        <v>44</v>
      </c>
      <c r="G326" s="75">
        <f ca="1" t="shared" si="309"/>
        <v>36</v>
      </c>
      <c r="H326" s="75">
        <f ca="1" t="shared" si="309"/>
        <v>36</v>
      </c>
      <c r="I326" s="75">
        <f ca="1" t="shared" si="309"/>
        <v>36</v>
      </c>
      <c r="J326" s="75">
        <f ca="1" t="shared" si="309"/>
        <v>36</v>
      </c>
      <c r="K326" s="75">
        <f ca="1" t="shared" si="309"/>
        <v>36</v>
      </c>
      <c r="L326" s="75">
        <f ca="1" t="shared" si="309"/>
        <v>36</v>
      </c>
      <c r="M326" s="75">
        <f ca="1" t="shared" si="309"/>
        <v>34</v>
      </c>
      <c r="N326" s="75">
        <f ca="1" t="shared" si="309"/>
        <v>34</v>
      </c>
      <c r="O326" s="75">
        <f ca="1" t="shared" si="309"/>
        <v>34</v>
      </c>
      <c r="P326" s="75">
        <f ca="1" t="shared" si="309"/>
        <v>34</v>
      </c>
      <c r="Q326" s="75">
        <f ca="1" t="shared" si="309"/>
        <v>34</v>
      </c>
      <c r="R326" s="75">
        <f ca="1" t="shared" si="309"/>
        <v>32</v>
      </c>
      <c r="S326" s="75">
        <f ca="1" t="shared" si="309"/>
        <v>32</v>
      </c>
      <c r="T326" s="75">
        <f ca="1" t="shared" si="309"/>
        <v>26</v>
      </c>
      <c r="U326" s="75">
        <f ca="1" t="shared" si="309"/>
        <v>21</v>
      </c>
      <c r="V326" s="75">
        <f ca="1" t="shared" si="309"/>
        <v>21</v>
      </c>
      <c r="W326" s="75">
        <f ca="1" t="shared" si="271"/>
        <v>20</v>
      </c>
      <c r="X326" s="75">
        <f ca="1" t="shared" si="272"/>
        <v>19</v>
      </c>
      <c r="Y326" s="75">
        <f ca="1" t="shared" si="273"/>
        <v>18</v>
      </c>
    </row>
    <row r="327" ht="16.5" spans="1:43">
      <c r="A327" s="74">
        <f t="shared" si="295"/>
        <v>165</v>
      </c>
      <c r="B327" s="65">
        <v>294</v>
      </c>
      <c r="C327" s="75">
        <f>INT(产出预期!M313)</f>
        <v>33666</v>
      </c>
      <c r="D327" s="75">
        <f ca="1" t="shared" ref="D327:V327" si="310">IFERROR(MATCH(D632*10,OFFSET($AS$339:$AS$388,0,D$335),1),0)</f>
        <v>44</v>
      </c>
      <c r="E327" s="75">
        <f ca="1" t="shared" si="310"/>
        <v>44</v>
      </c>
      <c r="F327" s="75">
        <f ca="1" t="shared" si="310"/>
        <v>44</v>
      </c>
      <c r="G327" s="75">
        <f ca="1" t="shared" si="310"/>
        <v>36</v>
      </c>
      <c r="H327" s="75">
        <f ca="1" t="shared" si="310"/>
        <v>36</v>
      </c>
      <c r="I327" s="75">
        <f ca="1" t="shared" si="310"/>
        <v>36</v>
      </c>
      <c r="J327" s="75">
        <f ca="1" t="shared" si="310"/>
        <v>36</v>
      </c>
      <c r="K327" s="75">
        <f ca="1" t="shared" si="310"/>
        <v>36</v>
      </c>
      <c r="L327" s="75">
        <f ca="1" t="shared" si="310"/>
        <v>36</v>
      </c>
      <c r="M327" s="75">
        <f ca="1" t="shared" si="310"/>
        <v>34</v>
      </c>
      <c r="N327" s="75">
        <f ca="1" t="shared" si="310"/>
        <v>34</v>
      </c>
      <c r="O327" s="75">
        <f ca="1" t="shared" si="310"/>
        <v>34</v>
      </c>
      <c r="P327" s="75">
        <f ca="1" t="shared" si="310"/>
        <v>34</v>
      </c>
      <c r="Q327" s="75">
        <f ca="1" t="shared" si="310"/>
        <v>34</v>
      </c>
      <c r="R327" s="75">
        <f ca="1" t="shared" si="310"/>
        <v>33</v>
      </c>
      <c r="S327" s="75">
        <f ca="1" t="shared" si="310"/>
        <v>32</v>
      </c>
      <c r="T327" s="75">
        <f ca="1" t="shared" si="310"/>
        <v>26</v>
      </c>
      <c r="U327" s="75">
        <f ca="1" t="shared" si="310"/>
        <v>21</v>
      </c>
      <c r="V327" s="75">
        <f ca="1" t="shared" si="310"/>
        <v>21</v>
      </c>
      <c r="W327" s="75">
        <f ca="1" t="shared" si="271"/>
        <v>20</v>
      </c>
      <c r="X327" s="75">
        <f ca="1" t="shared" si="272"/>
        <v>19</v>
      </c>
      <c r="Y327" s="75">
        <f ca="1" t="shared" si="273"/>
        <v>18</v>
      </c>
    </row>
    <row r="328" ht="16.5" spans="1:43">
      <c r="A328" s="74">
        <f t="shared" si="295"/>
        <v>166</v>
      </c>
      <c r="B328" s="65">
        <v>295</v>
      </c>
      <c r="C328" s="75">
        <f>INT(产出预期!M314)</f>
        <v>33776</v>
      </c>
      <c r="D328" s="75">
        <f ca="1" t="shared" ref="D328:V328" si="311">IFERROR(MATCH(D633*10,OFFSET($AS$339:$AS$388,0,D$335),1),0)</f>
        <v>44</v>
      </c>
      <c r="E328" s="75">
        <f ca="1" t="shared" si="311"/>
        <v>44</v>
      </c>
      <c r="F328" s="75">
        <f ca="1" t="shared" si="311"/>
        <v>44</v>
      </c>
      <c r="G328" s="75">
        <f ca="1" t="shared" si="311"/>
        <v>36</v>
      </c>
      <c r="H328" s="75">
        <f ca="1" t="shared" si="311"/>
        <v>36</v>
      </c>
      <c r="I328" s="75">
        <f ca="1" t="shared" si="311"/>
        <v>36</v>
      </c>
      <c r="J328" s="75">
        <f ca="1" t="shared" si="311"/>
        <v>36</v>
      </c>
      <c r="K328" s="75">
        <f ca="1" t="shared" si="311"/>
        <v>36</v>
      </c>
      <c r="L328" s="75">
        <f ca="1" t="shared" si="311"/>
        <v>36</v>
      </c>
      <c r="M328" s="75">
        <f ca="1" t="shared" si="311"/>
        <v>35</v>
      </c>
      <c r="N328" s="75">
        <f ca="1" t="shared" si="311"/>
        <v>34</v>
      </c>
      <c r="O328" s="75">
        <f ca="1" t="shared" si="311"/>
        <v>34</v>
      </c>
      <c r="P328" s="75">
        <f ca="1" t="shared" si="311"/>
        <v>34</v>
      </c>
      <c r="Q328" s="75">
        <f ca="1" t="shared" si="311"/>
        <v>34</v>
      </c>
      <c r="R328" s="75">
        <f ca="1" t="shared" si="311"/>
        <v>33</v>
      </c>
      <c r="S328" s="75">
        <f ca="1" t="shared" si="311"/>
        <v>32</v>
      </c>
      <c r="T328" s="75">
        <f ca="1" t="shared" si="311"/>
        <v>26</v>
      </c>
      <c r="U328" s="75">
        <f ca="1" t="shared" si="311"/>
        <v>21</v>
      </c>
      <c r="V328" s="75">
        <f ca="1" t="shared" si="311"/>
        <v>21</v>
      </c>
      <c r="W328" s="75">
        <f ca="1" t="shared" si="271"/>
        <v>20</v>
      </c>
      <c r="X328" s="75">
        <f ca="1" t="shared" si="272"/>
        <v>19</v>
      </c>
      <c r="Y328" s="75">
        <f ca="1" t="shared" si="273"/>
        <v>18</v>
      </c>
    </row>
    <row r="329" ht="16.5" spans="1:43">
      <c r="A329" s="74">
        <f t="shared" si="295"/>
        <v>166</v>
      </c>
      <c r="B329" s="65">
        <v>296</v>
      </c>
      <c r="C329" s="75">
        <f>INT(产出预期!M315)</f>
        <v>33886</v>
      </c>
      <c r="D329" s="75">
        <f ca="1" t="shared" ref="D329:V329" si="312">IFERROR(MATCH(D634*10,OFFSET($AS$339:$AS$388,0,D$335),1),0)</f>
        <v>44</v>
      </c>
      <c r="E329" s="75">
        <f ca="1" t="shared" si="312"/>
        <v>44</v>
      </c>
      <c r="F329" s="75">
        <f ca="1" t="shared" si="312"/>
        <v>44</v>
      </c>
      <c r="G329" s="75">
        <f ca="1" t="shared" si="312"/>
        <v>36</v>
      </c>
      <c r="H329" s="75">
        <f ca="1" t="shared" si="312"/>
        <v>36</v>
      </c>
      <c r="I329" s="75">
        <f ca="1" t="shared" si="312"/>
        <v>36</v>
      </c>
      <c r="J329" s="75">
        <f ca="1" t="shared" si="312"/>
        <v>36</v>
      </c>
      <c r="K329" s="75">
        <f ca="1" t="shared" si="312"/>
        <v>36</v>
      </c>
      <c r="L329" s="75">
        <f ca="1" t="shared" si="312"/>
        <v>36</v>
      </c>
      <c r="M329" s="75">
        <f ca="1" t="shared" si="312"/>
        <v>35</v>
      </c>
      <c r="N329" s="75">
        <f ca="1" t="shared" si="312"/>
        <v>34</v>
      </c>
      <c r="O329" s="75">
        <f ca="1" t="shared" si="312"/>
        <v>34</v>
      </c>
      <c r="P329" s="75">
        <f ca="1" t="shared" si="312"/>
        <v>34</v>
      </c>
      <c r="Q329" s="75">
        <f ca="1" t="shared" si="312"/>
        <v>34</v>
      </c>
      <c r="R329" s="75">
        <f ca="1" t="shared" si="312"/>
        <v>33</v>
      </c>
      <c r="S329" s="75">
        <f ca="1" t="shared" si="312"/>
        <v>32</v>
      </c>
      <c r="T329" s="75">
        <f ca="1" t="shared" si="312"/>
        <v>26</v>
      </c>
      <c r="U329" s="75">
        <f ca="1" t="shared" si="312"/>
        <v>21</v>
      </c>
      <c r="V329" s="75">
        <f ca="1" t="shared" si="312"/>
        <v>21</v>
      </c>
      <c r="W329" s="75">
        <f ca="1" t="shared" si="271"/>
        <v>20</v>
      </c>
      <c r="X329" s="75">
        <f ca="1" t="shared" si="272"/>
        <v>19</v>
      </c>
      <c r="Y329" s="75">
        <f ca="1" t="shared" si="273"/>
        <v>18</v>
      </c>
    </row>
    <row r="330" ht="16.5" spans="1:43">
      <c r="A330" s="74">
        <f t="shared" si="295"/>
        <v>166</v>
      </c>
      <c r="B330" s="65">
        <v>297</v>
      </c>
      <c r="C330" s="75">
        <f>INT(产出预期!M316)</f>
        <v>33996</v>
      </c>
      <c r="D330" s="75">
        <f ca="1" t="shared" ref="D330:V330" si="313">IFERROR(MATCH(D635*10,OFFSET($AS$339:$AS$388,0,D$335),1),0)</f>
        <v>44</v>
      </c>
      <c r="E330" s="75">
        <f ca="1" t="shared" si="313"/>
        <v>44</v>
      </c>
      <c r="F330" s="75">
        <f ca="1" t="shared" si="313"/>
        <v>44</v>
      </c>
      <c r="G330" s="75">
        <f ca="1" t="shared" si="313"/>
        <v>36</v>
      </c>
      <c r="H330" s="75">
        <f ca="1" t="shared" si="313"/>
        <v>36</v>
      </c>
      <c r="I330" s="75">
        <f ca="1" t="shared" si="313"/>
        <v>36</v>
      </c>
      <c r="J330" s="75">
        <f ca="1" t="shared" si="313"/>
        <v>36</v>
      </c>
      <c r="K330" s="75">
        <f ca="1" t="shared" si="313"/>
        <v>36</v>
      </c>
      <c r="L330" s="75">
        <f ca="1" t="shared" si="313"/>
        <v>36</v>
      </c>
      <c r="M330" s="75">
        <f ca="1" t="shared" si="313"/>
        <v>35</v>
      </c>
      <c r="N330" s="75">
        <f ca="1" t="shared" si="313"/>
        <v>34</v>
      </c>
      <c r="O330" s="75">
        <f ca="1" t="shared" si="313"/>
        <v>34</v>
      </c>
      <c r="P330" s="75">
        <f ca="1" t="shared" si="313"/>
        <v>34</v>
      </c>
      <c r="Q330" s="75">
        <f ca="1" t="shared" si="313"/>
        <v>34</v>
      </c>
      <c r="R330" s="75">
        <f ca="1" t="shared" si="313"/>
        <v>33</v>
      </c>
      <c r="S330" s="75">
        <f ca="1" t="shared" si="313"/>
        <v>32</v>
      </c>
      <c r="T330" s="75">
        <f ca="1" t="shared" si="313"/>
        <v>26</v>
      </c>
      <c r="U330" s="75">
        <f ca="1" t="shared" si="313"/>
        <v>21</v>
      </c>
      <c r="V330" s="75">
        <f ca="1" t="shared" si="313"/>
        <v>21</v>
      </c>
      <c r="W330" s="75">
        <f ca="1" t="shared" si="271"/>
        <v>20</v>
      </c>
      <c r="X330" s="75">
        <f ca="1" t="shared" si="272"/>
        <v>19</v>
      </c>
      <c r="Y330" s="75">
        <f ca="1" t="shared" si="273"/>
        <v>18</v>
      </c>
    </row>
    <row r="331" ht="16.5" spans="1:43">
      <c r="A331" s="74">
        <f t="shared" si="295"/>
        <v>167</v>
      </c>
      <c r="B331" s="65">
        <v>298</v>
      </c>
      <c r="C331" s="75">
        <f>INT(产出预期!M317)</f>
        <v>34106</v>
      </c>
      <c r="D331" s="75">
        <f ca="1" t="shared" ref="D331:V331" si="314">IFERROR(MATCH(D636*10,OFFSET($AS$339:$AS$388,0,D$335),1),0)</f>
        <v>44</v>
      </c>
      <c r="E331" s="75">
        <f ca="1" t="shared" si="314"/>
        <v>44</v>
      </c>
      <c r="F331" s="75">
        <f ca="1" t="shared" si="314"/>
        <v>44</v>
      </c>
      <c r="G331" s="75">
        <f ca="1" t="shared" si="314"/>
        <v>36</v>
      </c>
      <c r="H331" s="75">
        <f ca="1" t="shared" si="314"/>
        <v>36</v>
      </c>
      <c r="I331" s="75">
        <f ca="1" t="shared" si="314"/>
        <v>36</v>
      </c>
      <c r="J331" s="75">
        <f ca="1" t="shared" si="314"/>
        <v>36</v>
      </c>
      <c r="K331" s="75">
        <f ca="1" t="shared" si="314"/>
        <v>36</v>
      </c>
      <c r="L331" s="75">
        <f ca="1" t="shared" si="314"/>
        <v>36</v>
      </c>
      <c r="M331" s="75">
        <f ca="1" t="shared" si="314"/>
        <v>35</v>
      </c>
      <c r="N331" s="75">
        <f ca="1" t="shared" si="314"/>
        <v>34</v>
      </c>
      <c r="O331" s="75">
        <f ca="1" t="shared" si="314"/>
        <v>34</v>
      </c>
      <c r="P331" s="75">
        <f ca="1" t="shared" si="314"/>
        <v>34</v>
      </c>
      <c r="Q331" s="75">
        <f ca="1" t="shared" si="314"/>
        <v>34</v>
      </c>
      <c r="R331" s="75">
        <f ca="1" t="shared" si="314"/>
        <v>33</v>
      </c>
      <c r="S331" s="75">
        <f ca="1" t="shared" si="314"/>
        <v>32</v>
      </c>
      <c r="T331" s="75">
        <f ca="1" t="shared" si="314"/>
        <v>26</v>
      </c>
      <c r="U331" s="75">
        <f ca="1" t="shared" si="314"/>
        <v>21</v>
      </c>
      <c r="V331" s="75">
        <f ca="1" t="shared" si="314"/>
        <v>21</v>
      </c>
      <c r="W331" s="75">
        <f ca="1" t="shared" si="271"/>
        <v>20</v>
      </c>
      <c r="X331" s="75">
        <f ca="1" t="shared" si="272"/>
        <v>19</v>
      </c>
      <c r="Y331" s="75">
        <f ca="1" t="shared" si="273"/>
        <v>18</v>
      </c>
    </row>
    <row r="332" ht="16.5" spans="1:43">
      <c r="A332" s="74">
        <f t="shared" si="295"/>
        <v>167</v>
      </c>
      <c r="B332" s="65">
        <v>299</v>
      </c>
      <c r="C332" s="75">
        <f>INT(产出预期!M318)</f>
        <v>34216</v>
      </c>
      <c r="D332" s="75">
        <f ca="1" t="shared" ref="D332:V332" si="315">IFERROR(MATCH(D637*10,OFFSET($AS$339:$AS$388,0,D$335),1),0)</f>
        <v>44</v>
      </c>
      <c r="E332" s="75">
        <f ca="1" t="shared" si="315"/>
        <v>44</v>
      </c>
      <c r="F332" s="75">
        <f ca="1" t="shared" si="315"/>
        <v>44</v>
      </c>
      <c r="G332" s="75">
        <f ca="1" t="shared" si="315"/>
        <v>36</v>
      </c>
      <c r="H332" s="75">
        <f ca="1" t="shared" si="315"/>
        <v>36</v>
      </c>
      <c r="I332" s="75">
        <f ca="1" t="shared" si="315"/>
        <v>36</v>
      </c>
      <c r="J332" s="75">
        <f ca="1" t="shared" si="315"/>
        <v>36</v>
      </c>
      <c r="K332" s="75">
        <f ca="1" t="shared" si="315"/>
        <v>36</v>
      </c>
      <c r="L332" s="75">
        <f ca="1" t="shared" si="315"/>
        <v>36</v>
      </c>
      <c r="M332" s="75">
        <f ca="1" t="shared" si="315"/>
        <v>35</v>
      </c>
      <c r="N332" s="75">
        <f ca="1" t="shared" si="315"/>
        <v>34</v>
      </c>
      <c r="O332" s="75">
        <f ca="1" t="shared" si="315"/>
        <v>34</v>
      </c>
      <c r="P332" s="75">
        <f ca="1" t="shared" si="315"/>
        <v>34</v>
      </c>
      <c r="Q332" s="75">
        <f ca="1" t="shared" si="315"/>
        <v>34</v>
      </c>
      <c r="R332" s="75">
        <f ca="1" t="shared" si="315"/>
        <v>33</v>
      </c>
      <c r="S332" s="75">
        <f ca="1" t="shared" si="315"/>
        <v>33</v>
      </c>
      <c r="T332" s="75">
        <f ca="1" t="shared" si="315"/>
        <v>26</v>
      </c>
      <c r="U332" s="75">
        <f ca="1" t="shared" si="315"/>
        <v>21</v>
      </c>
      <c r="V332" s="75">
        <f ca="1" t="shared" si="315"/>
        <v>21</v>
      </c>
      <c r="W332" s="75">
        <f ca="1" t="shared" si="271"/>
        <v>20</v>
      </c>
      <c r="X332" s="75">
        <f ca="1" t="shared" si="272"/>
        <v>19</v>
      </c>
      <c r="Y332" s="75">
        <f ca="1" t="shared" si="273"/>
        <v>18</v>
      </c>
    </row>
    <row r="333" ht="16.5" spans="1:43">
      <c r="A333" s="74">
        <f t="shared" si="295"/>
        <v>167</v>
      </c>
      <c r="B333" s="65">
        <v>300</v>
      </c>
      <c r="C333" s="75">
        <f>INT(产出预期!M319)</f>
        <v>34326</v>
      </c>
      <c r="D333" s="75">
        <f ca="1" t="shared" ref="D333:V333" si="316">IFERROR(MATCH(D638*10,OFFSET($AS$339:$AS$388,0,D$335),1),0)</f>
        <v>44</v>
      </c>
      <c r="E333" s="75">
        <f ca="1" t="shared" si="316"/>
        <v>44</v>
      </c>
      <c r="F333" s="75">
        <f ca="1" t="shared" si="316"/>
        <v>44</v>
      </c>
      <c r="G333" s="75">
        <f ca="1" t="shared" si="316"/>
        <v>36</v>
      </c>
      <c r="H333" s="75">
        <f ca="1" t="shared" si="316"/>
        <v>36</v>
      </c>
      <c r="I333" s="75">
        <f ca="1" t="shared" si="316"/>
        <v>36</v>
      </c>
      <c r="J333" s="75">
        <f ca="1" t="shared" si="316"/>
        <v>36</v>
      </c>
      <c r="K333" s="75">
        <f ca="1" t="shared" si="316"/>
        <v>36</v>
      </c>
      <c r="L333" s="75">
        <f ca="1" t="shared" si="316"/>
        <v>36</v>
      </c>
      <c r="M333" s="75">
        <f ca="1" t="shared" si="316"/>
        <v>35</v>
      </c>
      <c r="N333" s="75">
        <f ca="1" t="shared" si="316"/>
        <v>34</v>
      </c>
      <c r="O333" s="75">
        <f ca="1" t="shared" si="316"/>
        <v>34</v>
      </c>
      <c r="P333" s="75">
        <f ca="1" t="shared" si="316"/>
        <v>34</v>
      </c>
      <c r="Q333" s="75">
        <f ca="1" t="shared" si="316"/>
        <v>34</v>
      </c>
      <c r="R333" s="75">
        <f ca="1" t="shared" si="316"/>
        <v>33</v>
      </c>
      <c r="S333" s="75">
        <f ca="1" t="shared" si="316"/>
        <v>33</v>
      </c>
      <c r="T333" s="75">
        <f ca="1" t="shared" si="316"/>
        <v>26</v>
      </c>
      <c r="U333" s="75">
        <f ca="1" t="shared" si="316"/>
        <v>21</v>
      </c>
      <c r="V333" s="75">
        <f ca="1" t="shared" si="316"/>
        <v>21</v>
      </c>
      <c r="W333" s="75">
        <f ca="1" t="shared" si="271"/>
        <v>20</v>
      </c>
      <c r="X333" s="75">
        <f ca="1" t="shared" si="272"/>
        <v>19</v>
      </c>
      <c r="Y333" s="75">
        <f ca="1" t="shared" si="273"/>
        <v>18</v>
      </c>
    </row>
    <row r="335" ht="16.5" spans="1:43">
      <c r="D335" s="61">
        <v>1</v>
      </c>
      <c r="E335" s="61">
        <v>1</v>
      </c>
      <c r="F335" s="61">
        <v>1</v>
      </c>
      <c r="G335" s="61">
        <v>2</v>
      </c>
      <c r="H335" s="61">
        <v>2</v>
      </c>
      <c r="I335" s="61">
        <v>2</v>
      </c>
      <c r="J335" s="61">
        <v>2</v>
      </c>
      <c r="K335" s="61">
        <v>2</v>
      </c>
      <c r="L335" s="61">
        <v>2</v>
      </c>
      <c r="M335" s="60">
        <v>3</v>
      </c>
      <c r="N335" s="60">
        <v>3</v>
      </c>
      <c r="O335" s="60">
        <v>3</v>
      </c>
      <c r="P335" s="60">
        <v>3</v>
      </c>
      <c r="Q335" s="60">
        <v>3</v>
      </c>
      <c r="R335" s="60">
        <v>3</v>
      </c>
      <c r="S335" s="60">
        <v>3</v>
      </c>
      <c r="T335" s="60">
        <v>4</v>
      </c>
      <c r="U335" s="60">
        <v>4</v>
      </c>
      <c r="V335" s="60">
        <v>4</v>
      </c>
      <c r="W335" s="60">
        <f>V335</f>
        <v>4</v>
      </c>
      <c r="X335" s="60">
        <f>W335</f>
        <v>4</v>
      </c>
      <c r="Y335" s="60">
        <f>X335</f>
        <v>4</v>
      </c>
      <c r="Z335" s="77">
        <v>1</v>
      </c>
      <c r="AA335" s="77">
        <v>2</v>
      </c>
      <c r="AB335" s="77">
        <v>3</v>
      </c>
      <c r="AC335" s="77">
        <v>4</v>
      </c>
      <c r="AD335" s="77"/>
      <c r="AE335" s="77"/>
      <c r="AF335" s="77"/>
      <c r="AG335" s="77"/>
      <c r="AH335" s="77"/>
      <c r="AI335" s="77"/>
      <c r="AJ335" s="77"/>
      <c r="AK335" s="52"/>
      <c r="AL335" s="52"/>
      <c r="AM335" s="52"/>
      <c r="AN335" s="52"/>
      <c r="AO335" s="52"/>
      <c r="AP335" s="52"/>
      <c r="AQ335" s="52"/>
    </row>
    <row r="336" ht="16.5" spans="1:43">
      <c r="B336" s="52"/>
      <c r="D336" s="61">
        <v>3</v>
      </c>
      <c r="E336" s="61">
        <v>3</v>
      </c>
      <c r="F336" s="61">
        <v>3</v>
      </c>
      <c r="G336" s="61">
        <v>6</v>
      </c>
      <c r="H336" s="61">
        <f>G336</f>
        <v>6</v>
      </c>
      <c r="I336" s="61">
        <f>H336</f>
        <v>6</v>
      </c>
      <c r="J336" s="61">
        <f>I336</f>
        <v>6</v>
      </c>
      <c r="K336" s="61">
        <f>J336</f>
        <v>6</v>
      </c>
      <c r="L336" s="61">
        <f>K336</f>
        <v>6</v>
      </c>
      <c r="M336" s="61">
        <f t="shared" ref="M336:S336" si="317">7</f>
        <v>7</v>
      </c>
      <c r="N336" s="61">
        <f t="shared" si="317"/>
        <v>7</v>
      </c>
      <c r="O336" s="61">
        <f t="shared" si="317"/>
        <v>7</v>
      </c>
      <c r="P336" s="61">
        <f t="shared" si="317"/>
        <v>7</v>
      </c>
      <c r="Q336" s="61">
        <f t="shared" si="317"/>
        <v>7</v>
      </c>
      <c r="R336" s="61">
        <f t="shared" si="317"/>
        <v>7</v>
      </c>
      <c r="S336" s="61">
        <f t="shared" si="317"/>
        <v>7</v>
      </c>
      <c r="T336" s="61">
        <f t="shared" ref="T336:Y336" si="318">3</f>
        <v>3</v>
      </c>
      <c r="U336" s="61">
        <f t="shared" si="318"/>
        <v>3</v>
      </c>
      <c r="V336" s="61">
        <f t="shared" si="318"/>
        <v>3</v>
      </c>
      <c r="W336" s="61">
        <f t="shared" si="318"/>
        <v>3</v>
      </c>
      <c r="X336" s="61">
        <f t="shared" si="318"/>
        <v>3</v>
      </c>
      <c r="Y336" s="61">
        <f t="shared" si="318"/>
        <v>3</v>
      </c>
      <c r="Z336" s="78"/>
      <c r="AA336" s="78"/>
      <c r="AB336" s="78"/>
      <c r="AC336" s="78"/>
      <c r="AD336" s="78"/>
      <c r="AE336" s="78"/>
      <c r="AF336" s="78"/>
      <c r="AG336" s="78"/>
      <c r="AH336" s="78"/>
      <c r="AI336" s="78"/>
      <c r="AJ336" s="78"/>
      <c r="AK336" s="78"/>
      <c r="AL336" s="78"/>
      <c r="AM336" s="78"/>
      <c r="AN336" s="78"/>
      <c r="AO336" s="78"/>
      <c r="AP336" s="78"/>
      <c r="AQ336" s="79"/>
    </row>
    <row r="337" ht="16.5" spans="2:49">
      <c r="B337" s="52" t="s">
        <v>170</v>
      </c>
      <c r="D337" s="61">
        <v>0</v>
      </c>
      <c r="E337" s="61">
        <v>0</v>
      </c>
      <c r="F337" s="61">
        <v>0</v>
      </c>
      <c r="G337" s="61">
        <v>10</v>
      </c>
      <c r="H337" s="61">
        <v>40</v>
      </c>
      <c r="I337" s="61">
        <v>100</v>
      </c>
      <c r="J337" s="61">
        <v>185</v>
      </c>
      <c r="K337" s="61">
        <v>250</v>
      </c>
      <c r="L337" s="61">
        <v>350</v>
      </c>
      <c r="M337" s="61">
        <v>500</v>
      </c>
      <c r="N337" s="70">
        <v>600</v>
      </c>
      <c r="O337" s="61">
        <v>800</v>
      </c>
      <c r="P337" s="70">
        <v>1200</v>
      </c>
      <c r="Q337" s="61">
        <v>1400</v>
      </c>
      <c r="R337" s="61">
        <v>2300</v>
      </c>
      <c r="S337" s="61">
        <v>2800</v>
      </c>
      <c r="T337" s="61">
        <v>3000</v>
      </c>
      <c r="U337" s="61">
        <v>3450</v>
      </c>
      <c r="V337" s="61">
        <v>4250</v>
      </c>
      <c r="W337" s="52">
        <v>6000</v>
      </c>
      <c r="X337" s="52">
        <v>6900</v>
      </c>
      <c r="Y337" s="52">
        <v>7800</v>
      </c>
      <c r="Z337" s="78"/>
      <c r="AA337" s="78"/>
      <c r="AB337" s="78"/>
      <c r="AC337" s="78"/>
      <c r="AD337" s="78"/>
      <c r="AE337" s="78"/>
      <c r="AF337" s="78"/>
      <c r="AG337" s="78"/>
      <c r="AH337" s="78"/>
      <c r="AI337" s="78"/>
      <c r="AJ337" s="78"/>
      <c r="AK337" s="78"/>
      <c r="AL337" s="78"/>
      <c r="AM337" s="78"/>
      <c r="AN337" s="78"/>
      <c r="AO337" s="78"/>
      <c r="AP337" s="78"/>
      <c r="AQ337" s="79"/>
    </row>
    <row r="338" ht="16.5" spans="2:49">
      <c r="B338" s="54" t="s">
        <v>40</v>
      </c>
      <c r="C338" s="54" t="s">
        <v>169</v>
      </c>
      <c r="D338" s="54" t="s">
        <v>145</v>
      </c>
      <c r="E338" s="54" t="s">
        <v>146</v>
      </c>
      <c r="F338" s="54" t="s">
        <v>147</v>
      </c>
      <c r="G338" s="54" t="s">
        <v>148</v>
      </c>
      <c r="H338" s="54" t="s">
        <v>149</v>
      </c>
      <c r="I338" s="54" t="s">
        <v>150</v>
      </c>
      <c r="J338" s="54" t="s">
        <v>151</v>
      </c>
      <c r="K338" s="54" t="s">
        <v>152</v>
      </c>
      <c r="L338" s="54" t="s">
        <v>153</v>
      </c>
      <c r="M338" s="54" t="s">
        <v>154</v>
      </c>
      <c r="N338" s="54" t="s">
        <v>156</v>
      </c>
      <c r="O338" s="54" t="s">
        <v>157</v>
      </c>
      <c r="P338" s="54" t="s">
        <v>158</v>
      </c>
      <c r="Q338" s="54" t="s">
        <v>159</v>
      </c>
      <c r="R338" s="54" t="s">
        <v>160</v>
      </c>
      <c r="S338" s="54" t="s">
        <v>161</v>
      </c>
      <c r="T338" s="54" t="s">
        <v>162</v>
      </c>
      <c r="U338" s="54" t="s">
        <v>163</v>
      </c>
      <c r="V338" s="54" t="s">
        <v>164</v>
      </c>
      <c r="W338" s="54" t="s">
        <v>165</v>
      </c>
      <c r="X338" s="54" t="s">
        <v>166</v>
      </c>
      <c r="Y338" s="54" t="s">
        <v>167</v>
      </c>
      <c r="Z338" s="59"/>
      <c r="AA338" s="59"/>
      <c r="AB338" s="59"/>
      <c r="AC338" s="59"/>
      <c r="AD338" s="59" t="s">
        <v>171</v>
      </c>
      <c r="AE338" s="59" t="s">
        <v>172</v>
      </c>
      <c r="AF338" s="59" t="s">
        <v>173</v>
      </c>
      <c r="AG338" s="59" t="s">
        <v>174</v>
      </c>
      <c r="AH338" s="59" t="s">
        <v>175</v>
      </c>
      <c r="AI338" s="59" t="s">
        <v>176</v>
      </c>
      <c r="AJ338" s="59" t="s">
        <v>177</v>
      </c>
      <c r="AK338" s="59" t="s">
        <v>171</v>
      </c>
      <c r="AL338" s="59" t="s">
        <v>172</v>
      </c>
      <c r="AM338" s="59" t="s">
        <v>173</v>
      </c>
      <c r="AN338" s="59" t="s">
        <v>174</v>
      </c>
      <c r="AO338" s="59" t="s">
        <v>175</v>
      </c>
      <c r="AP338" s="59" t="s">
        <v>176</v>
      </c>
      <c r="AQ338" s="59" t="s">
        <v>177</v>
      </c>
      <c r="AS338" s="52" t="s">
        <v>178</v>
      </c>
      <c r="AT338" s="52" t="s">
        <v>118</v>
      </c>
      <c r="AU338" s="52" t="s">
        <v>119</v>
      </c>
      <c r="AV338" s="52" t="s">
        <v>120</v>
      </c>
      <c r="AW338" s="52" t="s">
        <v>121</v>
      </c>
    </row>
    <row r="339" ht="16.5" spans="2:49">
      <c r="B339" s="65">
        <v>1</v>
      </c>
      <c r="C339" s="80">
        <f t="shared" ref="C339:C402" si="319">C34</f>
        <v>335</v>
      </c>
      <c r="D339" s="81" cm="1">
        <f ca="1" t="array" ref="D339">IF(D641=1,OFFSET($Z$338,$B339,D$335-1)/SUMPRODUCT(--($D$335:$V$335=D$335),--($D641:$V641=1)),0)+SUM(D338)+IF(COUNTIF(D$641:D641,1)=1,5,0)+IF(COUNTIF(E339:$Z339,"&gt;"&amp;0)&gt;5,IF(MOD(COUNTIF(D$641:D641,1),7)=0,$C$4,0),0)</f>
        <v>49.6666666666667</v>
      </c>
      <c r="E339" s="81" cm="1">
        <f ca="1" t="array" ref="E339">IF(E641=1,OFFSET($Z$338,$B339,E$335-1)/SUMPRODUCT(--($D$335:$V$335=E$335),--($D641:$V641=1)),0)+SUM(E338)+IF(COUNTIF(E$641:E641,1)=1,5,0)+IF(COUNTIF(F339:$Z339,"&gt;"&amp;0)&gt;5,IF(MOD(COUNTIF(E$641:E641,1),7)=0,$C$4,0),0)</f>
        <v>49.6666666666667</v>
      </c>
      <c r="F339" s="81" cm="1">
        <f ca="1" t="array" ref="F339">IF(F641=1,OFFSET($Z$338,$B339,F$335-1)/SUMPRODUCT(--($D$335:$V$335=F$335),--($D641:$V641=1)),0)+SUM(F338)+IF(COUNTIF(F$641:F641,1)=1,5,0)+IF(COUNTIF(G339:$Z339,"&gt;"&amp;0)&gt;5,IF(MOD(COUNTIF(F$641:F641,1),7)=0,$C$4,0),0)</f>
        <v>49.6666666666667</v>
      </c>
      <c r="G339" s="81" cm="1">
        <f ca="1" t="array" ref="G339">IF(G641=1,OFFSET($Z$338,$B339,G$335-1)/SUMPRODUCT(--($D$335:$V$335=G$335),--($D641:$V641=1)),0)+SUM(G338)+IF(COUNTIF(G$641:G641,1)=1,5,0)+IF(COUNTIF(H339:$Z339,"&gt;"&amp;0)&gt;5,IF(MOD(COUNTIF(G$641:G641,1),7)=0,$C$4,0),0)</f>
        <v>11.7</v>
      </c>
      <c r="H339" s="81" cm="1">
        <f ca="1" t="array" ref="H339">IF(H641=1,OFFSET($Z$338,$B339,H$335-1)/SUMPRODUCT(--($D$335:$V$335=H$335),--($D641:$V641=1)),0)+SUM(H338)+IF(COUNTIF(H$641:H641,1)=1,5,0)+IF(COUNTIF(I339:$Z339,"&gt;"&amp;0)&gt;5,IF(MOD(COUNTIF(H$641:H641,1),7)=0,$C$4,0),0)</f>
        <v>11.7</v>
      </c>
      <c r="I339" s="81" cm="1">
        <f ca="1" t="array" ref="I339">IF(I641=1,OFFSET($Z$338,$B339,I$335-1)/SUMPRODUCT(--($D$335:$V$335=I$335),--($D641:$V641=1)),0)+SUM(I338)+IF(COUNTIF(I$641:I641,1)=1,5,0)+IF(COUNTIF(J339:$Z339,"&gt;"&amp;0)&gt;5,IF(MOD(COUNTIF(I$641:I641,1),7)=0,$C$4,0),0)</f>
        <v>11.7</v>
      </c>
      <c r="J339" s="81" cm="1">
        <f ca="1" t="array" ref="J339">IF(J641=1,OFFSET($Z$338,$B339,J$335-1)/SUMPRODUCT(--($D$335:$V$335=J$335),--($D641:$V641=1)),0)+SUM(J338)+IF(COUNTIF(J$641:J641,1)=1,5,0)+IF(COUNTIF(K339:$Z339,"&gt;"&amp;0)&gt;5,IF(MOD(COUNTIF(J$641:J641,1),7)=0,$C$4,0),0)</f>
        <v>11.7</v>
      </c>
      <c r="K339" s="81" cm="1">
        <f ca="1" t="array" ref="K339">IF(K641=1,OFFSET($Z$338,$B339,K$335-1)/SUMPRODUCT(--($D$335:$V$335=K$335),--($D641:$V641=1)),0)+SUM(K338)+IF(COUNTIF(K$641:K641,1)=1,5,0)+IF(COUNTIF(L339:$Z339,"&gt;"&amp;0)&gt;5,IF(MOD(COUNTIF(K$641:K641,1),7)=0,$C$4,0),0)</f>
        <v>11.7</v>
      </c>
      <c r="L339" s="81" cm="1">
        <f ca="1" t="array" ref="L339">IF(L641=1,OFFSET($Z$338,$B339,L$335-1)/SUMPRODUCT(--($D$335:$V$335=L$335),--($D641:$V641=1)),0)+SUM(L338)+IF(COUNTIF(L$641:L641,1)=1,5,0)+IF(COUNTIF(M339:$Z339,"&gt;"&amp;0)&gt;5,IF(MOD(COUNTIF(L$641:L641,1),7)=0,$C$4,0),0)</f>
        <v>0</v>
      </c>
      <c r="M339" s="81" cm="1">
        <f ca="1" t="array" ref="M339">IF(M641=1,OFFSET($Z$338,$B339,M$335-1)/SUMPRODUCT(--($D$335:$V$335=M$335),--($D641:$V641=1)),0)+SUM(M338)+IF(COUNTIF(M$641:M641,1)=1,5,0)+IF(COUNTIF(N339:$Z339,"&gt;"&amp;0)&gt;5,IF(MOD(COUNTIF(M$641:M641,1),7)=0,$C$4,0),0)</f>
        <v>0</v>
      </c>
      <c r="N339" s="81" cm="1">
        <f ca="1" t="array" ref="N339">IF(N641=1,OFFSET($Z$338,$B339,N$335-1)/SUMPRODUCT(--($D$335:$V$335=N$335),--($D641:$V641=1)),0)+SUM(N338)+IF(COUNTIF(N$641:N641,1)=1,5,0)+IF(COUNTIF(O339:$Z339,"&gt;"&amp;0)&gt;5,IF(MOD(COUNTIF(N$641:N641,1),7)=0,$C$4,0),0)</f>
        <v>0</v>
      </c>
      <c r="O339" s="81" cm="1">
        <f ca="1" t="array" ref="O339">IF(O641=1,OFFSET($Z$338,$B339,O$335-1)/SUMPRODUCT(--($D$335:$V$335=O$335),--($D641:$V641=1)),0)+SUM(O338)+IF(COUNTIF(O$641:O641,1)=1,5,0)+IF(COUNTIF(P339:$Z339,"&gt;"&amp;0)&gt;5,IF(MOD(COUNTIF(O$641:O641,1),7)=0,$C$4,0),0)</f>
        <v>0</v>
      </c>
      <c r="P339" s="81" cm="1">
        <f ca="1" t="array" ref="P339">IF(P641=1,OFFSET($Z$338,$B339,P$335-1)/SUMPRODUCT(--($D$335:$V$335=P$335),--($D641:$V641=1)),0)+SUM(P338)+IF(COUNTIF(P$641:P641,1)=1,5,0)+IF(COUNTIF(Q339:$Z339,"&gt;"&amp;0)&gt;5,IF(MOD(COUNTIF(P$641:P641,1),7)=0,$C$4,0),0)</f>
        <v>0</v>
      </c>
      <c r="Q339" s="81" cm="1">
        <f ca="1" t="array" ref="Q339">IF(Q641=1,OFFSET($Z$338,$B339,Q$335-1)/SUMPRODUCT(--($D$335:$V$335=Q$335),--($D641:$V641=1)),0)+SUM(Q338)+IF(COUNTIF(Q$641:Q641,1)=1,5,0)+IF(COUNTIF(R339:$Z339,"&gt;"&amp;0)&gt;5,IF(MOD(COUNTIF(Q$641:Q641,1),7)=0,$C$4,0),0)</f>
        <v>0</v>
      </c>
      <c r="R339" s="81" cm="1">
        <f ca="1" t="array" ref="R339">IF(R641=1,OFFSET($Z$338,$B339,R$335-1)/SUMPRODUCT(--($D$335:$V$335=R$335),--($D641:$V641=1)),0)+SUM(R338)+IF(COUNTIF(R$641:R641,1)=1,5,0)+IF(COUNTIF(S339:$Z339,"&gt;"&amp;0)&gt;5,IF(MOD(COUNTIF(R$641:R641,1),7)=0,$C$4,0),0)</f>
        <v>0</v>
      </c>
      <c r="S339" s="81" cm="1">
        <f ca="1" t="array" ref="S339">IF(S641=1,OFFSET($Z$338,$B339,S$335-1)/SUMPRODUCT(--($D$335:$V$335=S$335),--($D641:$V641=1)),0)+SUM(S338)+IF(COUNTIF(S$641:S641,1)=1,5,0)+IF(COUNTIF(T339:$Z339,"&gt;"&amp;0)&gt;5,IF(MOD(COUNTIF(S$641:S641,1),7)=0,$C$4,0),0)</f>
        <v>0</v>
      </c>
      <c r="T339" s="81" cm="1">
        <f ca="1" t="array" ref="T339">IF(T641=1,OFFSET($Z$338,$B339,T$335-1)/SUMPRODUCT(--($D$335:$V$335=T$335),--($D641:$V641=1)),0)+SUM(T338)+IF(COUNTIF(T$641:T641,1)=1,5,0)+IF(COUNTIF(U339:$Z339,"&gt;"&amp;0)&gt;5,IF(MOD(COUNTIF(T$641:T641,1),7)=0,$C$4,0),0)</f>
        <v>0</v>
      </c>
      <c r="U339" s="81" cm="1">
        <f ca="1" t="array" ref="U339">IF(U641=1,OFFSET($Z$338,$B339,U$335-1)/SUMPRODUCT(--($D$335:$V$335=U$335),--($D641:$V641=1)),0)+SUM(U338)+IF(COUNTIF(U$641:U641,1)=1,5,0)+IF(COUNTIF(V339:$Z339,"&gt;"&amp;0)&gt;5,IF(MOD(COUNTIF(U$641:U641,1),7)=0,$C$4,0),0)</f>
        <v>0</v>
      </c>
      <c r="V339" s="81" cm="1">
        <f ca="1" t="array" ref="V339">IF(V641=1,OFFSET($Z$338,$B339,V$335-1)/SUMPRODUCT(--($D$335:$V$335=V$335),--($D641:$V641=1)),0)+SUM(V338)+IF(COUNTIF(V$641:V641,1)=1,5,0)+IF(COUNTIF(Z339:$Z339,"&gt;"&amp;0)&gt;5,IF(MOD(COUNTIF(V$641:V641,1),7)=0,$C$4,0),0)</f>
        <v>0</v>
      </c>
      <c r="W339" s="81" cm="1">
        <f ca="1" t="array" ref="W339">IF(W641=1,OFFSET($Z$338,$B339,W$335-1)/SUMPRODUCT(--($D$335:$V$335=W$335),--($D641:$V641=1)),0)+SUM(W338)+IF(COUNTIF(W$641:W641,1)=1,5,0)+IF(COUNTIF($Z339:AA339,"&gt;"&amp;0)&gt;5,IF(MOD(COUNTIF(W$641:W641,1),7)=0,$C$4,0),0)</f>
        <v>0</v>
      </c>
      <c r="X339" s="81" cm="1">
        <f ca="1" t="array" ref="X339">IF(X641=1,OFFSET($Z$338,$B339,X$335-1)/SUMPRODUCT(--($D$335:$V$335=X$335),--($D641:$V641=1)),0)+SUM(X338)+IF(COUNTIF(X$641:X641,1)=1,5,0)+IF(COUNTIF($Z339:AB339,"&gt;"&amp;0)&gt;5,IF(MOD(COUNTIF(X$641:X641,1),7)=0,$C$4,0),0)</f>
        <v>0</v>
      </c>
      <c r="Y339" s="81" cm="1">
        <f ca="1" t="array" ref="Y339">IF(Y641=1,OFFSET($Z$338,$B339,Y$335-1)/SUMPRODUCT(--($D$335:$V$335=Y$335),--($D641:$V641=1)),0)+SUM(Y338)+IF(COUNTIF(Y$641:Y641,1)=1,5,0)+IF(COUNTIF($Z339:AC339,"&gt;"&amp;0)&gt;5,IF(MOD(COUNTIF(Y$641:Y641,1),7)=0,$C$4,0),0)</f>
        <v>0</v>
      </c>
      <c r="Z339" s="82" cm="1">
        <f ca="1" t="array" ref="Z339">SUMPRODUCT(TRANSPOSE($AD339:$AJ339),OFFSET($L$10:$L$16,0,Z$335-1))</f>
        <v>134</v>
      </c>
      <c r="AA339" s="82" cm="1">
        <f ca="1" t="array" ref="AA339">SUMPRODUCT(TRANSPOSE($AD339:$AJ339),OFFSET($L$10:$L$16,0,AA$335-1))</f>
        <v>33.5</v>
      </c>
      <c r="AB339" s="82" cm="1">
        <f ca="1" t="array" ref="AB339">SUMPRODUCT(TRANSPOSE($AD339:$AJ339),OFFSET($L$10:$L$16,0,AB$335-1))</f>
        <v>0</v>
      </c>
      <c r="AC339" s="82" cm="1">
        <f ca="1" t="array" ref="AC339">SUMPRODUCT(TRANSPOSE($AD339:$AJ339),OFFSET($L$10:$L$16,0,AC$335-1))</f>
        <v>0</v>
      </c>
      <c r="AD339" s="83">
        <f ca="1" t="shared" ref="AD339:AJ339" si="320">AK339</f>
        <v>335</v>
      </c>
      <c r="AE339" s="83">
        <f ca="1" t="shared" si="320"/>
        <v>0</v>
      </c>
      <c r="AF339" s="83">
        <f ca="1" t="shared" si="320"/>
        <v>0</v>
      </c>
      <c r="AG339" s="83">
        <f ca="1" t="shared" si="320"/>
        <v>0</v>
      </c>
      <c r="AH339" s="83">
        <f ca="1" t="shared" si="320"/>
        <v>0</v>
      </c>
      <c r="AI339" s="83">
        <f ca="1" t="shared" si="320"/>
        <v>0</v>
      </c>
      <c r="AJ339" s="83">
        <f ca="1" t="shared" si="320"/>
        <v>0</v>
      </c>
      <c r="AK339" s="83">
        <f ca="1" t="shared" ref="AK339:AK402" si="321">IF($C339&gt;OFFSET($Q$9,MATCH(AK$338,$AK$338:$AQ$338,0),0),OFFSET($P$9,MATCH(AK$338,$AK$338:$AQ$338,0),0),$C339)</f>
        <v>335</v>
      </c>
      <c r="AL339" s="83">
        <f ca="1" t="shared" ref="AL339:AQ339" si="322">IF($C339&gt;OFFSET($Q$9,MATCH(AL$338,$AK$338:$AQ$338,0),0),OFFSET($P$9,MATCH(AL$338,$AK$338:$AQ$338,0),0),MAX(0,$C339-OFFSET($Q$9,RIGHT(AL$338,1)-1,0)))</f>
        <v>0</v>
      </c>
      <c r="AM339" s="83">
        <f ca="1" t="shared" si="322"/>
        <v>0</v>
      </c>
      <c r="AN339" s="83">
        <f ca="1" t="shared" si="322"/>
        <v>0</v>
      </c>
      <c r="AO339" s="83">
        <f ca="1" t="shared" si="322"/>
        <v>0</v>
      </c>
      <c r="AP339" s="83">
        <f ca="1" t="shared" si="322"/>
        <v>0</v>
      </c>
      <c r="AQ339" s="83">
        <f ca="1" t="shared" si="322"/>
        <v>0</v>
      </c>
      <c r="AS339" s="52">
        <v>1</v>
      </c>
      <c r="AT339" s="52">
        <v>10</v>
      </c>
      <c r="AU339" s="52">
        <v>10</v>
      </c>
      <c r="AV339" s="52">
        <v>10</v>
      </c>
      <c r="AW339" s="52">
        <v>10</v>
      </c>
    </row>
    <row r="340" ht="16.5" spans="2:49">
      <c r="B340" s="65">
        <v>2</v>
      </c>
      <c r="C340" s="80">
        <f t="shared" si="319"/>
        <v>559</v>
      </c>
      <c r="D340" s="81" cm="1">
        <f ca="1" t="array" ref="D340">IF(D642=1,OFFSET($Z$338,$B340,D$335-1)/SUMPRODUCT(--($D$335:$V$335=D$335),--($D642:$V642=1)),0)+SUM(D339)+IF(COUNTIF(D$641:D642,1)=1,5,0)+IF(COUNTIF(E340:$Z340,"&gt;"&amp;0)&gt;5,IF(MOD(COUNTIF(D$641:D642,1),7)=0,$C$4,0),0)</f>
        <v>77.8983333333333</v>
      </c>
      <c r="E340" s="81" cm="1">
        <f ca="1" t="array" ref="E340">IF(E642=1,OFFSET($Z$338,$B340,E$335-1)/SUMPRODUCT(--($D$335:$V$335=E$335),--($D642:$V642=1)),0)+SUM(E339)+IF(COUNTIF(E$641:E642,1)=1,5,0)+IF(COUNTIF(F340:$Z340,"&gt;"&amp;0)&gt;5,IF(MOD(COUNTIF(E$641:E642,1),7)=0,$C$4,0),0)</f>
        <v>77.8983333333333</v>
      </c>
      <c r="F340" s="81" cm="1">
        <f ca="1" t="array" ref="F340">IF(F642=1,OFFSET($Z$338,$B340,F$335-1)/SUMPRODUCT(--($D$335:$V$335=F$335),--($D642:$V642=1)),0)+SUM(F339)+IF(COUNTIF(F$641:F642,1)=1,5,0)+IF(COUNTIF(G340:$Z340,"&gt;"&amp;0)&gt;5,IF(MOD(COUNTIF(F$641:F642,1),7)=0,$C$4,0),0)</f>
        <v>77.8983333333333</v>
      </c>
      <c r="G340" s="81" cm="1">
        <f ca="1" t="array" ref="G340">IF(G642=1,OFFSET($Z$338,$B340,G$335-1)/SUMPRODUCT(--($D$335:$V$335=G$335),--($D642:$V642=1)),0)+SUM(G339)+IF(COUNTIF(G$641:G642,1)=1,5,0)+IF(COUNTIF(H340:$Z340,"&gt;"&amp;0)&gt;5,IF(MOD(COUNTIF(G$641:G642,1),7)=0,$C$4,0),0)</f>
        <v>15.7966666666667</v>
      </c>
      <c r="H340" s="81" cm="1">
        <f ca="1" t="array" ref="H340">IF(H642=1,OFFSET($Z$338,$B340,H$335-1)/SUMPRODUCT(--($D$335:$V$335=H$335),--($D642:$V642=1)),0)+SUM(H339)+IF(COUNTIF(H$641:H642,1)=1,5,0)+IF(COUNTIF(I340:$Z340,"&gt;"&amp;0)&gt;5,IF(MOD(COUNTIF(H$641:H642,1),7)=0,$C$4,0),0)</f>
        <v>15.7966666666667</v>
      </c>
      <c r="I340" s="81" cm="1">
        <f ca="1" t="array" ref="I340">IF(I642=1,OFFSET($Z$338,$B340,I$335-1)/SUMPRODUCT(--($D$335:$V$335=I$335),--($D642:$V642=1)),0)+SUM(I339)+IF(COUNTIF(I$641:I642,1)=1,5,0)+IF(COUNTIF(J340:$Z340,"&gt;"&amp;0)&gt;5,IF(MOD(COUNTIF(I$641:I642,1),7)=0,$C$4,0),0)</f>
        <v>15.7966666666667</v>
      </c>
      <c r="J340" s="81" cm="1">
        <f ca="1" t="array" ref="J340">IF(J642=1,OFFSET($Z$338,$B340,J$335-1)/SUMPRODUCT(--($D$335:$V$335=J$335),--($D642:$V642=1)),0)+SUM(J339)+IF(COUNTIF(J$641:J642,1)=1,5,0)+IF(COUNTIF(K340:$Z340,"&gt;"&amp;0)&gt;5,IF(MOD(COUNTIF(J$641:J642,1),7)=0,$C$4,0),0)</f>
        <v>15.7966666666667</v>
      </c>
      <c r="K340" s="81" cm="1">
        <f ca="1" t="array" ref="K340">IF(K642=1,OFFSET($Z$338,$B340,K$335-1)/SUMPRODUCT(--($D$335:$V$335=K$335),--($D642:$V642=1)),0)+SUM(K339)+IF(COUNTIF(K$641:K642,1)=1,5,0)+IF(COUNTIF(L340:$Z340,"&gt;"&amp;0)&gt;5,IF(MOD(COUNTIF(K$641:K642,1),7)=0,$C$4,0),0)</f>
        <v>15.7966666666667</v>
      </c>
      <c r="L340" s="81" cm="1">
        <f ca="1" t="array" ref="L340">IF(L642=1,OFFSET($Z$338,$B340,L$335-1)/SUMPRODUCT(--($D$335:$V$335=L$335),--($D642:$V642=1)),0)+SUM(L339)+IF(COUNTIF(L$641:L642,1)=1,5,0)+IF(COUNTIF(M340:$Z340,"&gt;"&amp;0)&gt;5,IF(MOD(COUNTIF(L$641:L642,1),7)=0,$C$4,0),0)</f>
        <v>9.09666666666667</v>
      </c>
      <c r="M340" s="81" cm="1">
        <f ca="1" t="array" ref="M340">IF(M642=1,OFFSET($Z$338,$B340,M$335-1)/SUMPRODUCT(--($D$335:$V$335=M$335),--($D642:$V642=1)),0)+SUM(M339)+IF(COUNTIF(M$641:M642,1)=1,5,0)+IF(COUNTIF(N340:$Z340,"&gt;"&amp;0)&gt;5,IF(MOD(COUNTIF(M$641:M642,1),7)=0,$C$4,0),0)</f>
        <v>7.725</v>
      </c>
      <c r="N340" s="81" cm="1">
        <f ca="1" t="array" ref="N340">IF(N642=1,OFFSET($Z$338,$B340,N$335-1)/SUMPRODUCT(--($D$335:$V$335=N$335),--($D642:$V642=1)),0)+SUM(N339)+IF(COUNTIF(N$641:N642,1)=1,5,0)+IF(COUNTIF(O340:$Z340,"&gt;"&amp;0)&gt;5,IF(MOD(COUNTIF(N$641:N642,1),7)=0,$C$4,0),0)</f>
        <v>0</v>
      </c>
      <c r="O340" s="81" cm="1">
        <f ca="1" t="array" ref="O340">IF(O642=1,OFFSET($Z$338,$B340,O$335-1)/SUMPRODUCT(--($D$335:$V$335=O$335),--($D642:$V642=1)),0)+SUM(O339)+IF(COUNTIF(O$641:O642,1)=1,5,0)+IF(COUNTIF(P340:$Z340,"&gt;"&amp;0)&gt;5,IF(MOD(COUNTIF(O$641:O642,1),7)=0,$C$4,0),0)</f>
        <v>0</v>
      </c>
      <c r="P340" s="81" cm="1">
        <f ca="1" t="array" ref="P340">IF(P642=1,OFFSET($Z$338,$B340,P$335-1)/SUMPRODUCT(--($D$335:$V$335=P$335),--($D642:$V642=1)),0)+SUM(P339)+IF(COUNTIF(P$641:P642,1)=1,5,0)+IF(COUNTIF(Q340:$Z340,"&gt;"&amp;0)&gt;5,IF(MOD(COUNTIF(P$641:P642,1),7)=0,$C$4,0),0)</f>
        <v>0</v>
      </c>
      <c r="Q340" s="81" cm="1">
        <f ca="1" t="array" ref="Q340">IF(Q642=1,OFFSET($Z$338,$B340,Q$335-1)/SUMPRODUCT(--($D$335:$V$335=Q$335),--($D642:$V642=1)),0)+SUM(Q339)+IF(COUNTIF(Q$641:Q642,1)=1,5,0)+IF(COUNTIF(R340:$Z340,"&gt;"&amp;0)&gt;5,IF(MOD(COUNTIF(Q$641:Q642,1),7)=0,$C$4,0),0)</f>
        <v>0</v>
      </c>
      <c r="R340" s="81" cm="1">
        <f ca="1" t="array" ref="R340">IF(R642=1,OFFSET($Z$338,$B340,R$335-1)/SUMPRODUCT(--($D$335:$V$335=R$335),--($D642:$V642=1)),0)+SUM(R339)+IF(COUNTIF(R$641:R642,1)=1,5,0)+IF(COUNTIF(S340:$Z340,"&gt;"&amp;0)&gt;5,IF(MOD(COUNTIF(R$641:R642,1),7)=0,$C$4,0),0)</f>
        <v>0</v>
      </c>
      <c r="S340" s="81" cm="1">
        <f ca="1" t="array" ref="S340">IF(S642=1,OFFSET($Z$338,$B340,S$335-1)/SUMPRODUCT(--($D$335:$V$335=S$335),--($D642:$V642=1)),0)+SUM(S339)+IF(COUNTIF(S$641:S642,1)=1,5,0)+IF(COUNTIF(T340:$Z340,"&gt;"&amp;0)&gt;5,IF(MOD(COUNTIF(S$641:S642,1),7)=0,$C$4,0),0)</f>
        <v>0</v>
      </c>
      <c r="T340" s="81" cm="1">
        <f ca="1" t="array" ref="T340">IF(T642=1,OFFSET($Z$338,$B340,T$335-1)/SUMPRODUCT(--($D$335:$V$335=T$335),--($D642:$V642=1)),0)+SUM(T339)+IF(COUNTIF(T$641:T642,1)=1,5,0)+IF(COUNTIF(U340:$Z340,"&gt;"&amp;0)&gt;5,IF(MOD(COUNTIF(T$641:T642,1),7)=0,$C$4,0),0)</f>
        <v>0</v>
      </c>
      <c r="U340" s="81" cm="1">
        <f ca="1" t="array" ref="U340">IF(U642=1,OFFSET($Z$338,$B340,U$335-1)/SUMPRODUCT(--($D$335:$V$335=U$335),--($D642:$V642=1)),0)+SUM(U339)+IF(COUNTIF(U$641:U642,1)=1,5,0)+IF(COUNTIF(V340:$Z340,"&gt;"&amp;0)&gt;5,IF(MOD(COUNTIF(U$641:U642,1),7)=0,$C$4,0),0)</f>
        <v>0</v>
      </c>
      <c r="V340" s="81" cm="1">
        <f ca="1" t="array" ref="V340">IF(V642=1,OFFSET($Z$338,$B340,V$335-1)/SUMPRODUCT(--($D$335:$V$335=V$335),--($D642:$V642=1)),0)+SUM(V339)+IF(COUNTIF(V$641:V642,1)=1,5,0)+IF(COUNTIF(Z340:$Z340,"&gt;"&amp;0)&gt;5,IF(MOD(COUNTIF(V$641:V642,1),7)=0,$C$4,0),0)</f>
        <v>0</v>
      </c>
      <c r="W340" s="81" cm="1">
        <f ca="1" t="array" ref="W340">IF(W642=1,OFFSET($Z$338,$B340,W$335-1)/SUMPRODUCT(--($D$335:$V$335=W$335),--($D642:$V642=1)),0)+SUM(W339)+IF(COUNTIF(W$641:W642,1)=1,5,0)+IF(COUNTIF($Z340:AA340,"&gt;"&amp;0)&gt;5,IF(MOD(COUNTIF(W$641:W642,1),7)=0,$C$4,0),0)</f>
        <v>0</v>
      </c>
      <c r="X340" s="81" cm="1">
        <f ca="1" t="array" ref="X340">IF(X642=1,OFFSET($Z$338,$B340,X$335-1)/SUMPRODUCT(--($D$335:$V$335=X$335),--($D642:$V642=1)),0)+SUM(X339)+IF(COUNTIF(X$641:X642,1)=1,5,0)+IF(COUNTIF($Z340:AB340,"&gt;"&amp;0)&gt;5,IF(MOD(COUNTIF(X$641:X642,1),7)=0,$C$4,0),0)</f>
        <v>0</v>
      </c>
      <c r="Y340" s="81" cm="1">
        <f ca="1" t="array" ref="Y340">IF(Y642=1,OFFSET($Z$338,$B340,Y$335-1)/SUMPRODUCT(--($D$335:$V$335=Y$335),--($D642:$V642=1)),0)+SUM(Y339)+IF(COUNTIF(Y$641:Y642,1)=1,5,0)+IF(COUNTIF($Z340:AC340,"&gt;"&amp;0)&gt;5,IF(MOD(COUNTIF(Y$641:Y642,1),7)=0,$C$4,0),0)</f>
        <v>0</v>
      </c>
      <c r="Z340" s="82" cm="1">
        <f ca="1" t="array" ref="Z340">SUMPRODUCT(TRANSPOSE($AD340:$AJ340),OFFSET($L$10:$L$16,0,Z$335-1))</f>
        <v>84.695</v>
      </c>
      <c r="AA340" s="82" cm="1">
        <f ca="1" t="array" ref="AA340">SUMPRODUCT(TRANSPOSE($AD340:$AJ340),OFFSET($L$10:$L$16,0,AA$335-1))</f>
        <v>24.58</v>
      </c>
      <c r="AB340" s="82" cm="1">
        <f ca="1" t="array" ref="AB340">SUMPRODUCT(TRANSPOSE($AD340:$AJ340),OFFSET($L$10:$L$16,0,AB$335-1))</f>
        <v>2.725</v>
      </c>
      <c r="AC340" s="82" cm="1">
        <f ca="1" t="array" ref="AC340">SUMPRODUCT(TRANSPOSE($AD340:$AJ340),OFFSET($L$10:$L$16,0,AC$335-1))</f>
        <v>0</v>
      </c>
      <c r="AD340" s="83">
        <f ca="1" t="shared" ref="AD340:AJ340" si="323">AK340-AK339</f>
        <v>115</v>
      </c>
      <c r="AE340" s="83">
        <f ca="1" t="shared" si="323"/>
        <v>109</v>
      </c>
      <c r="AF340" s="83">
        <f ca="1" t="shared" si="323"/>
        <v>0</v>
      </c>
      <c r="AG340" s="83">
        <f ca="1" t="shared" si="323"/>
        <v>0</v>
      </c>
      <c r="AH340" s="83">
        <f ca="1" t="shared" si="323"/>
        <v>0</v>
      </c>
      <c r="AI340" s="83">
        <f ca="1" t="shared" si="323"/>
        <v>0</v>
      </c>
      <c r="AJ340" s="83">
        <f ca="1" t="shared" si="323"/>
        <v>0</v>
      </c>
      <c r="AK340" s="83">
        <f ca="1" t="shared" si="321"/>
        <v>450</v>
      </c>
      <c r="AL340" s="83">
        <f ca="1" t="shared" ref="AL340:AQ340" si="324">IF($C340&gt;OFFSET($Q$9,MATCH(AL$338,$AK$338:$AQ$338,0),0),OFFSET($P$9,MATCH(AL$338,$AK$338:$AQ$338,0),0),MAX(0,$C340-OFFSET($Q$9,RIGHT(AL$338,1)-1,0)))</f>
        <v>109</v>
      </c>
      <c r="AM340" s="83">
        <f ca="1" t="shared" si="324"/>
        <v>0</v>
      </c>
      <c r="AN340" s="83">
        <f ca="1" t="shared" si="324"/>
        <v>0</v>
      </c>
      <c r="AO340" s="83">
        <f ca="1" t="shared" si="324"/>
        <v>0</v>
      </c>
      <c r="AP340" s="83">
        <f ca="1" t="shared" si="324"/>
        <v>0</v>
      </c>
      <c r="AQ340" s="83">
        <f ca="1" t="shared" si="324"/>
        <v>0</v>
      </c>
      <c r="AS340" s="52">
        <v>2</v>
      </c>
      <c r="AT340" s="52">
        <v>20</v>
      </c>
      <c r="AU340" s="52">
        <v>20</v>
      </c>
      <c r="AV340" s="52">
        <v>20</v>
      </c>
      <c r="AW340" s="52">
        <v>20</v>
      </c>
    </row>
    <row r="341" ht="16.5" spans="2:49">
      <c r="B341" s="65">
        <v>3</v>
      </c>
      <c r="C341" s="80">
        <f t="shared" si="319"/>
        <v>753</v>
      </c>
      <c r="D341" s="81" cm="1">
        <f ca="1" t="array" ref="D341">IF(D643=1,OFFSET($Z$338,$B341,D$335-1)/SUMPRODUCT(--($D$335:$V$335=D$335),--($D643:$V643=1)),0)+SUM(D340)+IF(COUNTIF(D$641:D643,1)=1,5,0)+IF(COUNTIF(E341:$Z341,"&gt;"&amp;0)&gt;5,IF(MOD(COUNTIF(D$641:D643,1),7)=0,$C$4,0),0)</f>
        <v>100.855</v>
      </c>
      <c r="E341" s="81" cm="1">
        <f ca="1" t="array" ref="E341">IF(E643=1,OFFSET($Z$338,$B341,E$335-1)/SUMPRODUCT(--($D$335:$V$335=E$335),--($D643:$V643=1)),0)+SUM(E340)+IF(COUNTIF(E$641:E643,1)=1,5,0)+IF(COUNTIF(F341:$Z341,"&gt;"&amp;0)&gt;5,IF(MOD(COUNTIF(E$641:E643,1),7)=0,$C$4,0),0)</f>
        <v>100.855</v>
      </c>
      <c r="F341" s="81" cm="1">
        <f ca="1" t="array" ref="F341">IF(F643=1,OFFSET($Z$338,$B341,F$335-1)/SUMPRODUCT(--($D$335:$V$335=F$335),--($D643:$V643=1)),0)+SUM(F340)+IF(COUNTIF(F$641:F643,1)=1,5,0)+IF(COUNTIF(G341:$Z341,"&gt;"&amp;0)&gt;5,IF(MOD(COUNTIF(F$641:F643,1),7)=0,$C$4,0),0)</f>
        <v>100.855</v>
      </c>
      <c r="G341" s="81" cm="1">
        <f ca="1" t="array" ref="G341">IF(G643=1,OFFSET($Z$338,$B341,G$335-1)/SUMPRODUCT(--($D$335:$V$335=G$335),--($D643:$V643=1)),0)+SUM(G340)+IF(COUNTIF(G$641:G643,1)=1,5,0)+IF(COUNTIF(H341:$Z341,"&gt;"&amp;0)&gt;5,IF(MOD(COUNTIF(G$641:G643,1),7)=0,$C$4,0),0)</f>
        <v>19.6766666666667</v>
      </c>
      <c r="H341" s="81" cm="1">
        <f ca="1" t="array" ref="H341">IF(H643=1,OFFSET($Z$338,$B341,H$335-1)/SUMPRODUCT(--($D$335:$V$335=H$335),--($D643:$V643=1)),0)+SUM(H340)+IF(COUNTIF(H$641:H643,1)=1,5,0)+IF(COUNTIF(I341:$Z341,"&gt;"&amp;0)&gt;5,IF(MOD(COUNTIF(H$641:H643,1),7)=0,$C$4,0),0)</f>
        <v>19.6766666666667</v>
      </c>
      <c r="I341" s="81" cm="1">
        <f ca="1" t="array" ref="I341">IF(I643=1,OFFSET($Z$338,$B341,I$335-1)/SUMPRODUCT(--($D$335:$V$335=I$335),--($D643:$V643=1)),0)+SUM(I340)+IF(COUNTIF(I$641:I643,1)=1,5,0)+IF(COUNTIF(J341:$Z341,"&gt;"&amp;0)&gt;5,IF(MOD(COUNTIF(I$641:I643,1),7)=0,$C$4,0),0)</f>
        <v>19.6766666666667</v>
      </c>
      <c r="J341" s="81" cm="1">
        <f ca="1" t="array" ref="J341">IF(J643=1,OFFSET($Z$338,$B341,J$335-1)/SUMPRODUCT(--($D$335:$V$335=J$335),--($D643:$V643=1)),0)+SUM(J340)+IF(COUNTIF(J$641:J643,1)=1,5,0)+IF(COUNTIF(K341:$Z341,"&gt;"&amp;0)&gt;5,IF(MOD(COUNTIF(J$641:J643,1),7)=0,$C$4,0),0)</f>
        <v>19.6766666666667</v>
      </c>
      <c r="K341" s="81" cm="1">
        <f ca="1" t="array" ref="K341">IF(K643=1,OFFSET($Z$338,$B341,K$335-1)/SUMPRODUCT(--($D$335:$V$335=K$335),--($D643:$V643=1)),0)+SUM(K340)+IF(COUNTIF(K$641:K643,1)=1,5,0)+IF(COUNTIF(L341:$Z341,"&gt;"&amp;0)&gt;5,IF(MOD(COUNTIF(K$641:K643,1),7)=0,$C$4,0),0)</f>
        <v>19.6766666666667</v>
      </c>
      <c r="L341" s="81" cm="1">
        <f ca="1" t="array" ref="L341">IF(L643=1,OFFSET($Z$338,$B341,L$335-1)/SUMPRODUCT(--($D$335:$V$335=L$335),--($D643:$V643=1)),0)+SUM(L340)+IF(COUNTIF(L$641:L643,1)=1,5,0)+IF(COUNTIF(M341:$Z341,"&gt;"&amp;0)&gt;5,IF(MOD(COUNTIF(L$641:L643,1),7)=0,$C$4,0),0)</f>
        <v>12.9766666666667</v>
      </c>
      <c r="M341" s="81" cm="1">
        <f ca="1" t="array" ref="M341">IF(M643=1,OFFSET($Z$338,$B341,M$335-1)/SUMPRODUCT(--($D$335:$V$335=M$335),--($D643:$V643=1)),0)+SUM(M340)+IF(COUNTIF(M$641:M643,1)=1,5,0)+IF(COUNTIF(N341:$Z341,"&gt;"&amp;0)&gt;5,IF(MOD(COUNTIF(M$641:M643,1),7)=0,$C$4,0),0)</f>
        <v>10.15</v>
      </c>
      <c r="N341" s="81" cm="1">
        <f ca="1" t="array" ref="N341">IF(N643=1,OFFSET($Z$338,$B341,N$335-1)/SUMPRODUCT(--($D$335:$V$335=N$335),--($D643:$V643=1)),0)+SUM(N340)+IF(COUNTIF(N$641:N643,1)=1,5,0)+IF(COUNTIF(O341:$Z341,"&gt;"&amp;0)&gt;5,IF(MOD(COUNTIF(N$641:N643,1),7)=0,$C$4,0),0)</f>
        <v>7.425</v>
      </c>
      <c r="O341" s="81" cm="1">
        <f ca="1" t="array" ref="O341">IF(O643=1,OFFSET($Z$338,$B341,O$335-1)/SUMPRODUCT(--($D$335:$V$335=O$335),--($D643:$V643=1)),0)+SUM(O340)+IF(COUNTIF(O$641:O643,1)=1,5,0)+IF(COUNTIF(P341:$Z341,"&gt;"&amp;0)&gt;5,IF(MOD(COUNTIF(O$641:O643,1),7)=0,$C$4,0),0)</f>
        <v>0</v>
      </c>
      <c r="P341" s="81" cm="1">
        <f ca="1" t="array" ref="P341">IF(P643=1,OFFSET($Z$338,$B341,P$335-1)/SUMPRODUCT(--($D$335:$V$335=P$335),--($D643:$V643=1)),0)+SUM(P340)+IF(COUNTIF(P$641:P643,1)=1,5,0)+IF(COUNTIF(Q341:$Z341,"&gt;"&amp;0)&gt;5,IF(MOD(COUNTIF(P$641:P643,1),7)=0,$C$4,0),0)</f>
        <v>0</v>
      </c>
      <c r="Q341" s="81" cm="1">
        <f ca="1" t="array" ref="Q341">IF(Q643=1,OFFSET($Z$338,$B341,Q$335-1)/SUMPRODUCT(--($D$335:$V$335=Q$335),--($D643:$V643=1)),0)+SUM(Q340)+IF(COUNTIF(Q$641:Q643,1)=1,5,0)+IF(COUNTIF(R341:$Z341,"&gt;"&amp;0)&gt;5,IF(MOD(COUNTIF(Q$641:Q643,1),7)=0,$C$4,0),0)</f>
        <v>0</v>
      </c>
      <c r="R341" s="81" cm="1">
        <f ca="1" t="array" ref="R341">IF(R643=1,OFFSET($Z$338,$B341,R$335-1)/SUMPRODUCT(--($D$335:$V$335=R$335),--($D643:$V643=1)),0)+SUM(R340)+IF(COUNTIF(R$641:R643,1)=1,5,0)+IF(COUNTIF(S341:$Z341,"&gt;"&amp;0)&gt;5,IF(MOD(COUNTIF(R$641:R643,1),7)=0,$C$4,0),0)</f>
        <v>0</v>
      </c>
      <c r="S341" s="81" cm="1">
        <f ca="1" t="array" ref="S341">IF(S643=1,OFFSET($Z$338,$B341,S$335-1)/SUMPRODUCT(--($D$335:$V$335=S$335),--($D643:$V643=1)),0)+SUM(S340)+IF(COUNTIF(S$641:S643,1)=1,5,0)+IF(COUNTIF(T341:$Z341,"&gt;"&amp;0)&gt;5,IF(MOD(COUNTIF(S$641:S643,1),7)=0,$C$4,0),0)</f>
        <v>0</v>
      </c>
      <c r="T341" s="81" cm="1">
        <f ca="1" t="array" ref="T341">IF(T643=1,OFFSET($Z$338,$B341,T$335-1)/SUMPRODUCT(--($D$335:$V$335=T$335),--($D643:$V643=1)),0)+SUM(T340)+IF(COUNTIF(T$641:T643,1)=1,5,0)+IF(COUNTIF(U341:$Z341,"&gt;"&amp;0)&gt;5,IF(MOD(COUNTIF(T$641:T643,1),7)=0,$C$4,0),0)</f>
        <v>0</v>
      </c>
      <c r="U341" s="81" cm="1">
        <f ca="1" t="array" ref="U341">IF(U643=1,OFFSET($Z$338,$B341,U$335-1)/SUMPRODUCT(--($D$335:$V$335=U$335),--($D643:$V643=1)),0)+SUM(U340)+IF(COUNTIF(U$641:U643,1)=1,5,0)+IF(COUNTIF(V341:$Z341,"&gt;"&amp;0)&gt;5,IF(MOD(COUNTIF(U$641:U643,1),7)=0,$C$4,0),0)</f>
        <v>0</v>
      </c>
      <c r="V341" s="81" cm="1">
        <f ca="1" t="array" ref="V341">IF(V643=1,OFFSET($Z$338,$B341,V$335-1)/SUMPRODUCT(--($D$335:$V$335=V$335),--($D643:$V643=1)),0)+SUM(V340)+IF(COUNTIF(V$641:V643,1)=1,5,0)+IF(COUNTIF(Z341:$Z341,"&gt;"&amp;0)&gt;5,IF(MOD(COUNTIF(V$641:V643,1),7)=0,$C$4,0),0)</f>
        <v>0</v>
      </c>
      <c r="W341" s="81" cm="1">
        <f ca="1" t="array" ref="W341">IF(W643=1,OFFSET($Z$338,$B341,W$335-1)/SUMPRODUCT(--($D$335:$V$335=W$335),--($D643:$V643=1)),0)+SUM(W340)+IF(COUNTIF(W$641:W643,1)=1,5,0)+IF(COUNTIF($Z341:AA341,"&gt;"&amp;0)&gt;5,IF(MOD(COUNTIF(W$641:W643,1),7)=0,$C$4,0),0)</f>
        <v>0</v>
      </c>
      <c r="X341" s="81" cm="1">
        <f ca="1" t="array" ref="X341">IF(X643=1,OFFSET($Z$338,$B341,X$335-1)/SUMPRODUCT(--($D$335:$V$335=X$335),--($D643:$V643=1)),0)+SUM(X340)+IF(COUNTIF(X$641:X643,1)=1,5,0)+IF(COUNTIF($Z341:AB341,"&gt;"&amp;0)&gt;5,IF(MOD(COUNTIF(X$641:X643,1),7)=0,$C$4,0),0)</f>
        <v>0</v>
      </c>
      <c r="Y341" s="81" cm="1">
        <f ca="1" t="array" ref="Y341">IF(Y643=1,OFFSET($Z$338,$B341,Y$335-1)/SUMPRODUCT(--($D$335:$V$335=Y$335),--($D643:$V643=1)),0)+SUM(Y340)+IF(COUNTIF(Y$641:Y643,1)=1,5,0)+IF(COUNTIF($Z341:AC341,"&gt;"&amp;0)&gt;5,IF(MOD(COUNTIF(Y$641:Y643,1),7)=0,$C$4,0),0)</f>
        <v>0</v>
      </c>
      <c r="Z341" s="82" cm="1">
        <f ca="1" t="array" ref="Z341">SUMPRODUCT(TRANSPOSE($AD341:$AJ341),OFFSET($L$10:$L$16,0,Z$335-1))</f>
        <v>68.87</v>
      </c>
      <c r="AA341" s="82" cm="1">
        <f ca="1" t="array" ref="AA341">SUMPRODUCT(TRANSPOSE($AD341:$AJ341),OFFSET($L$10:$L$16,0,AA$335-1))</f>
        <v>23.28</v>
      </c>
      <c r="AB341" s="82" cm="1">
        <f ca="1" t="array" ref="AB341">SUMPRODUCT(TRANSPOSE($AD341:$AJ341),OFFSET($L$10:$L$16,0,AB$335-1))</f>
        <v>4.85</v>
      </c>
      <c r="AC341" s="82" cm="1">
        <f ca="1" t="array" ref="AC341">SUMPRODUCT(TRANSPOSE($AD341:$AJ341),OFFSET($L$10:$L$16,0,AC$335-1))</f>
        <v>0</v>
      </c>
      <c r="AD341" s="83">
        <f ca="1" t="shared" ref="AD341:AJ341" si="325">AK341-AK340</f>
        <v>0</v>
      </c>
      <c r="AE341" s="83">
        <f ca="1" t="shared" si="325"/>
        <v>194</v>
      </c>
      <c r="AF341" s="83">
        <f ca="1" t="shared" si="325"/>
        <v>0</v>
      </c>
      <c r="AG341" s="83">
        <f ca="1" t="shared" si="325"/>
        <v>0</v>
      </c>
      <c r="AH341" s="83">
        <f ca="1" t="shared" si="325"/>
        <v>0</v>
      </c>
      <c r="AI341" s="83">
        <f ca="1" t="shared" si="325"/>
        <v>0</v>
      </c>
      <c r="AJ341" s="83">
        <f ca="1" t="shared" si="325"/>
        <v>0</v>
      </c>
      <c r="AK341" s="83">
        <f ca="1" t="shared" si="321"/>
        <v>450</v>
      </c>
      <c r="AL341" s="83">
        <f ca="1" t="shared" ref="AL341:AQ341" si="326">IF($C341&gt;OFFSET($Q$9,MATCH(AL$338,$AK$338:$AQ$338,0),0),OFFSET($P$9,MATCH(AL$338,$AK$338:$AQ$338,0),0),MAX(0,$C341-OFFSET($Q$9,RIGHT(AL$338,1)-1,0)))</f>
        <v>303</v>
      </c>
      <c r="AM341" s="83">
        <f ca="1" t="shared" si="326"/>
        <v>0</v>
      </c>
      <c r="AN341" s="83">
        <f ca="1" t="shared" si="326"/>
        <v>0</v>
      </c>
      <c r="AO341" s="83">
        <f ca="1" t="shared" si="326"/>
        <v>0</v>
      </c>
      <c r="AP341" s="83">
        <f ca="1" t="shared" si="326"/>
        <v>0</v>
      </c>
      <c r="AQ341" s="83">
        <f ca="1" t="shared" si="326"/>
        <v>0</v>
      </c>
      <c r="AS341" s="52">
        <v>3</v>
      </c>
      <c r="AT341" s="52">
        <v>30</v>
      </c>
      <c r="AU341" s="52">
        <v>30</v>
      </c>
      <c r="AV341" s="52">
        <v>30</v>
      </c>
      <c r="AW341" s="52">
        <v>30</v>
      </c>
    </row>
    <row r="342" ht="16.5" spans="2:49">
      <c r="B342" s="65">
        <v>4</v>
      </c>
      <c r="C342" s="80">
        <f t="shared" si="319"/>
        <v>929</v>
      </c>
      <c r="D342" s="81" cm="1">
        <f ca="1" t="array" ref="D342">IF(D644=1,OFFSET($Z$338,$B342,D$335-1)/SUMPRODUCT(--($D$335:$V$335=D$335),--($D644:$V644=1)),0)+SUM(D341)+IF(COUNTIF(D$641:D644,1)=1,5,0)+IF(COUNTIF(E342:$Z342,"&gt;"&amp;0)&gt;5,IF(MOD(COUNTIF(D$641:D644,1),7)=0,$C$4,0),0)</f>
        <v>121.681666666667</v>
      </c>
      <c r="E342" s="81" cm="1">
        <f ca="1" t="array" ref="E342">IF(E644=1,OFFSET($Z$338,$B342,E$335-1)/SUMPRODUCT(--($D$335:$V$335=E$335),--($D644:$V644=1)),0)+SUM(E341)+IF(COUNTIF(E$641:E644,1)=1,5,0)+IF(COUNTIF(F342:$Z342,"&gt;"&amp;0)&gt;5,IF(MOD(COUNTIF(E$641:E644,1),7)=0,$C$4,0),0)</f>
        <v>121.681666666667</v>
      </c>
      <c r="F342" s="81" cm="1">
        <f ca="1" t="array" ref="F342">IF(F644=1,OFFSET($Z$338,$B342,F$335-1)/SUMPRODUCT(--($D$335:$V$335=F$335),--($D644:$V644=1)),0)+SUM(F341)+IF(COUNTIF(F$641:F644,1)=1,5,0)+IF(COUNTIF(G342:$Z342,"&gt;"&amp;0)&gt;5,IF(MOD(COUNTIF(F$641:F644,1),7)=0,$C$4,0),0)</f>
        <v>121.681666666667</v>
      </c>
      <c r="G342" s="81" cm="1">
        <f ca="1" t="array" ref="G342">IF(G644=1,OFFSET($Z$338,$B342,G$335-1)/SUMPRODUCT(--($D$335:$V$335=G$335),--($D644:$V644=1)),0)+SUM(G341)+IF(COUNTIF(G$641:G644,1)=1,5,0)+IF(COUNTIF(H342:$Z342,"&gt;"&amp;0)&gt;5,IF(MOD(COUNTIF(G$641:G644,1),7)=0,$C$4,0),0)</f>
        <v>23.1966666666667</v>
      </c>
      <c r="H342" s="81" cm="1">
        <f ca="1" t="array" ref="H342">IF(H644=1,OFFSET($Z$338,$B342,H$335-1)/SUMPRODUCT(--($D$335:$V$335=H$335),--($D644:$V644=1)),0)+SUM(H341)+IF(COUNTIF(H$641:H644,1)=1,5,0)+IF(COUNTIF(I342:$Z342,"&gt;"&amp;0)&gt;5,IF(MOD(COUNTIF(H$641:H644,1),7)=0,$C$4,0),0)</f>
        <v>23.1966666666667</v>
      </c>
      <c r="I342" s="81" cm="1">
        <f ca="1" t="array" ref="I342">IF(I644=1,OFFSET($Z$338,$B342,I$335-1)/SUMPRODUCT(--($D$335:$V$335=I$335),--($D644:$V644=1)),0)+SUM(I341)+IF(COUNTIF(I$641:I644,1)=1,5,0)+IF(COUNTIF(J342:$Z342,"&gt;"&amp;0)&gt;5,IF(MOD(COUNTIF(I$641:I644,1),7)=0,$C$4,0),0)</f>
        <v>23.1966666666667</v>
      </c>
      <c r="J342" s="81" cm="1">
        <f ca="1" t="array" ref="J342">IF(J644=1,OFFSET($Z$338,$B342,J$335-1)/SUMPRODUCT(--($D$335:$V$335=J$335),--($D644:$V644=1)),0)+SUM(J341)+IF(COUNTIF(J$641:J644,1)=1,5,0)+IF(COUNTIF(K342:$Z342,"&gt;"&amp;0)&gt;5,IF(MOD(COUNTIF(J$641:J644,1),7)=0,$C$4,0),0)</f>
        <v>23.1966666666667</v>
      </c>
      <c r="K342" s="81" cm="1">
        <f ca="1" t="array" ref="K342">IF(K644=1,OFFSET($Z$338,$B342,K$335-1)/SUMPRODUCT(--($D$335:$V$335=K$335),--($D644:$V644=1)),0)+SUM(K341)+IF(COUNTIF(K$641:K644,1)=1,5,0)+IF(COUNTIF(L342:$Z342,"&gt;"&amp;0)&gt;5,IF(MOD(COUNTIF(K$641:K644,1),7)=0,$C$4,0),0)</f>
        <v>23.1966666666667</v>
      </c>
      <c r="L342" s="81" cm="1">
        <f ca="1" t="array" ref="L342">IF(L644=1,OFFSET($Z$338,$B342,L$335-1)/SUMPRODUCT(--($D$335:$V$335=L$335),--($D644:$V644=1)),0)+SUM(L341)+IF(COUNTIF(L$641:L644,1)=1,5,0)+IF(COUNTIF(M342:$Z342,"&gt;"&amp;0)&gt;5,IF(MOD(COUNTIF(L$641:L644,1),7)=0,$C$4,0),0)</f>
        <v>16.4966666666667</v>
      </c>
      <c r="M342" s="81" cm="1">
        <f ca="1" t="array" ref="M342">IF(M644=1,OFFSET($Z$338,$B342,M$335-1)/SUMPRODUCT(--($D$335:$V$335=M$335),--($D644:$V644=1)),0)+SUM(M341)+IF(COUNTIF(M$641:M644,1)=1,5,0)+IF(COUNTIF(N342:$Z342,"&gt;"&amp;0)&gt;5,IF(MOD(COUNTIF(M$641:M644,1),7)=0,$C$4,0),0)</f>
        <v>11.6166666666667</v>
      </c>
      <c r="N342" s="81" cm="1">
        <f ca="1" t="array" ref="N342">IF(N644=1,OFFSET($Z$338,$B342,N$335-1)/SUMPRODUCT(--($D$335:$V$335=N$335),--($D644:$V644=1)),0)+SUM(N341)+IF(COUNTIF(N$641:N644,1)=1,5,0)+IF(COUNTIF(O342:$Z342,"&gt;"&amp;0)&gt;5,IF(MOD(COUNTIF(N$641:N644,1),7)=0,$C$4,0),0)</f>
        <v>8.89166666666667</v>
      </c>
      <c r="O342" s="81" cm="1">
        <f ca="1" t="array" ref="O342">IF(O644=1,OFFSET($Z$338,$B342,O$335-1)/SUMPRODUCT(--($D$335:$V$335=O$335),--($D644:$V644=1)),0)+SUM(O341)+IF(COUNTIF(O$641:O644,1)=1,5,0)+IF(COUNTIF(P342:$Z342,"&gt;"&amp;0)&gt;5,IF(MOD(COUNTIF(O$641:O644,1),7)=0,$C$4,0),0)</f>
        <v>6.46666666666667</v>
      </c>
      <c r="P342" s="81" cm="1">
        <f ca="1" t="array" ref="P342">IF(P644=1,OFFSET($Z$338,$B342,P$335-1)/SUMPRODUCT(--($D$335:$V$335=P$335),--($D644:$V644=1)),0)+SUM(P341)+IF(COUNTIF(P$641:P644,1)=1,5,0)+IF(COUNTIF(Q342:$Z342,"&gt;"&amp;0)&gt;5,IF(MOD(COUNTIF(P$641:P644,1),7)=0,$C$4,0),0)</f>
        <v>0</v>
      </c>
      <c r="Q342" s="81" cm="1">
        <f ca="1" t="array" ref="Q342">IF(Q644=1,OFFSET($Z$338,$B342,Q$335-1)/SUMPRODUCT(--($D$335:$V$335=Q$335),--($D644:$V644=1)),0)+SUM(Q341)+IF(COUNTIF(Q$641:Q644,1)=1,5,0)+IF(COUNTIF(R342:$Z342,"&gt;"&amp;0)&gt;5,IF(MOD(COUNTIF(Q$641:Q644,1),7)=0,$C$4,0),0)</f>
        <v>0</v>
      </c>
      <c r="R342" s="81" cm="1">
        <f ca="1" t="array" ref="R342">IF(R644=1,OFFSET($Z$338,$B342,R$335-1)/SUMPRODUCT(--($D$335:$V$335=R$335),--($D644:$V644=1)),0)+SUM(R341)+IF(COUNTIF(R$641:R644,1)=1,5,0)+IF(COUNTIF(S342:$Z342,"&gt;"&amp;0)&gt;5,IF(MOD(COUNTIF(R$641:R644,1),7)=0,$C$4,0),0)</f>
        <v>0</v>
      </c>
      <c r="S342" s="81" cm="1">
        <f ca="1" t="array" ref="S342">IF(S644=1,OFFSET($Z$338,$B342,S$335-1)/SUMPRODUCT(--($D$335:$V$335=S$335),--($D644:$V644=1)),0)+SUM(S341)+IF(COUNTIF(S$641:S644,1)=1,5,0)+IF(COUNTIF(T342:$Z342,"&gt;"&amp;0)&gt;5,IF(MOD(COUNTIF(S$641:S644,1),7)=0,$C$4,0),0)</f>
        <v>0</v>
      </c>
      <c r="T342" s="81" cm="1">
        <f ca="1" t="array" ref="T342">IF(T644=1,OFFSET($Z$338,$B342,T$335-1)/SUMPRODUCT(--($D$335:$V$335=T$335),--($D644:$V644=1)),0)+SUM(T341)+IF(COUNTIF(T$641:T644,1)=1,5,0)+IF(COUNTIF(U342:$Z342,"&gt;"&amp;0)&gt;5,IF(MOD(COUNTIF(T$641:T644,1),7)=0,$C$4,0),0)</f>
        <v>0</v>
      </c>
      <c r="U342" s="81" cm="1">
        <f ca="1" t="array" ref="U342">IF(U644=1,OFFSET($Z$338,$B342,U$335-1)/SUMPRODUCT(--($D$335:$V$335=U$335),--($D644:$V644=1)),0)+SUM(U341)+IF(COUNTIF(U$641:U644,1)=1,5,0)+IF(COUNTIF(V342:$Z342,"&gt;"&amp;0)&gt;5,IF(MOD(COUNTIF(U$641:U644,1),7)=0,$C$4,0),0)</f>
        <v>0</v>
      </c>
      <c r="V342" s="81" cm="1">
        <f ca="1" t="array" ref="V342">IF(V644=1,OFFSET($Z$338,$B342,V$335-1)/SUMPRODUCT(--($D$335:$V$335=V$335),--($D644:$V644=1)),0)+SUM(V341)+IF(COUNTIF(V$641:V644,1)=1,5,0)+IF(COUNTIF(Z342:$Z342,"&gt;"&amp;0)&gt;5,IF(MOD(COUNTIF(V$641:V644,1),7)=0,$C$4,0),0)</f>
        <v>0</v>
      </c>
      <c r="W342" s="81" cm="1">
        <f ca="1" t="array" ref="W342">IF(W644=1,OFFSET($Z$338,$B342,W$335-1)/SUMPRODUCT(--($D$335:$V$335=W$335),--($D644:$V644=1)),0)+SUM(W341)+IF(COUNTIF(W$641:W644,1)=1,5,0)+IF(COUNTIF($Z342:AA342,"&gt;"&amp;0)&gt;5,IF(MOD(COUNTIF(W$641:W644,1),7)=0,$C$4,0),0)</f>
        <v>0</v>
      </c>
      <c r="X342" s="81" cm="1">
        <f ca="1" t="array" ref="X342">IF(X644=1,OFFSET($Z$338,$B342,X$335-1)/SUMPRODUCT(--($D$335:$V$335=X$335),--($D644:$V644=1)),0)+SUM(X341)+IF(COUNTIF(X$641:X644,1)=1,5,0)+IF(COUNTIF($Z342:AB342,"&gt;"&amp;0)&gt;5,IF(MOD(COUNTIF(X$641:X644,1),7)=0,$C$4,0),0)</f>
        <v>0</v>
      </c>
      <c r="Y342" s="81" cm="1">
        <f ca="1" t="array" ref="Y342">IF(Y644=1,OFFSET($Z$338,$B342,Y$335-1)/SUMPRODUCT(--($D$335:$V$335=Y$335),--($D644:$V644=1)),0)+SUM(Y341)+IF(COUNTIF(Y$641:Y644,1)=1,5,0)+IF(COUNTIF($Z342:AC342,"&gt;"&amp;0)&gt;5,IF(MOD(COUNTIF(Y$641:Y644,1),7)=0,$C$4,0),0)</f>
        <v>0</v>
      </c>
      <c r="Z342" s="82" cm="1">
        <f ca="1" t="array" ref="Z342">SUMPRODUCT(TRANSPOSE($AD342:$AJ342),OFFSET($L$10:$L$16,0,Z$335-1))</f>
        <v>62.48</v>
      </c>
      <c r="AA342" s="82" cm="1">
        <f ca="1" t="array" ref="AA342">SUMPRODUCT(TRANSPOSE($AD342:$AJ342),OFFSET($L$10:$L$16,0,AA$335-1))</f>
        <v>21.12</v>
      </c>
      <c r="AB342" s="82" cm="1">
        <f ca="1" t="array" ref="AB342">SUMPRODUCT(TRANSPOSE($AD342:$AJ342),OFFSET($L$10:$L$16,0,AB$335-1))</f>
        <v>4.4</v>
      </c>
      <c r="AC342" s="82" cm="1">
        <f ca="1" t="array" ref="AC342">SUMPRODUCT(TRANSPOSE($AD342:$AJ342),OFFSET($L$10:$L$16,0,AC$335-1))</f>
        <v>0</v>
      </c>
      <c r="AD342" s="83">
        <f ca="1" t="shared" ref="AD342:AJ342" si="327">AK342-AK341</f>
        <v>0</v>
      </c>
      <c r="AE342" s="83">
        <f ca="1" t="shared" si="327"/>
        <v>176</v>
      </c>
      <c r="AF342" s="83">
        <f ca="1" t="shared" si="327"/>
        <v>0</v>
      </c>
      <c r="AG342" s="83">
        <f ca="1" t="shared" si="327"/>
        <v>0</v>
      </c>
      <c r="AH342" s="83">
        <f ca="1" t="shared" si="327"/>
        <v>0</v>
      </c>
      <c r="AI342" s="83">
        <f ca="1" t="shared" si="327"/>
        <v>0</v>
      </c>
      <c r="AJ342" s="83">
        <f ca="1" t="shared" si="327"/>
        <v>0</v>
      </c>
      <c r="AK342" s="83">
        <f ca="1" t="shared" si="321"/>
        <v>450</v>
      </c>
      <c r="AL342" s="83">
        <f ca="1" t="shared" ref="AL342:AQ342" si="328">IF($C342&gt;OFFSET($Q$9,MATCH(AL$338,$AK$338:$AQ$338,0),0),OFFSET($P$9,MATCH(AL$338,$AK$338:$AQ$338,0),0),MAX(0,$C342-OFFSET($Q$9,RIGHT(AL$338,1)-1,0)))</f>
        <v>479</v>
      </c>
      <c r="AM342" s="83">
        <f ca="1" t="shared" si="328"/>
        <v>0</v>
      </c>
      <c r="AN342" s="83">
        <f ca="1" t="shared" si="328"/>
        <v>0</v>
      </c>
      <c r="AO342" s="83">
        <f ca="1" t="shared" si="328"/>
        <v>0</v>
      </c>
      <c r="AP342" s="83">
        <f ca="1" t="shared" si="328"/>
        <v>0</v>
      </c>
      <c r="AQ342" s="83">
        <f ca="1" t="shared" si="328"/>
        <v>0</v>
      </c>
      <c r="AS342" s="52">
        <v>4</v>
      </c>
      <c r="AT342" s="52">
        <v>40</v>
      </c>
      <c r="AU342" s="52">
        <v>40</v>
      </c>
      <c r="AV342" s="52">
        <v>40</v>
      </c>
      <c r="AW342" s="52">
        <v>40</v>
      </c>
    </row>
    <row r="343" ht="16.5" spans="2:49">
      <c r="B343" s="65">
        <v>5</v>
      </c>
      <c r="C343" s="80">
        <f t="shared" si="319"/>
        <v>1105</v>
      </c>
      <c r="D343" s="81" cm="1">
        <f ca="1" t="array" ref="D343">IF(D645=1,OFFSET($Z$338,$B343,D$335-1)/SUMPRODUCT(--($D$335:$V$335=D$335),--($D645:$V645=1)),0)+SUM(D342)+IF(COUNTIF(D$641:D645,1)=1,5,0)+IF(COUNTIF(E343:$Z343,"&gt;"&amp;0)&gt;5,IF(MOD(COUNTIF(D$641:D645,1),7)=0,$C$4,0),0)</f>
        <v>142.508333333333</v>
      </c>
      <c r="E343" s="81" cm="1">
        <f ca="1" t="array" ref="E343">IF(E645=1,OFFSET($Z$338,$B343,E$335-1)/SUMPRODUCT(--($D$335:$V$335=E$335),--($D645:$V645=1)),0)+SUM(E342)+IF(COUNTIF(E$641:E645,1)=1,5,0)+IF(COUNTIF(F343:$Z343,"&gt;"&amp;0)&gt;5,IF(MOD(COUNTIF(E$641:E645,1),7)=0,$C$4,0),0)</f>
        <v>142.508333333333</v>
      </c>
      <c r="F343" s="81" cm="1">
        <f ca="1" t="array" ref="F343">IF(F645=1,OFFSET($Z$338,$B343,F$335-1)/SUMPRODUCT(--($D$335:$V$335=F$335),--($D645:$V645=1)),0)+SUM(F342)+IF(COUNTIF(F$641:F645,1)=1,5,0)+IF(COUNTIF(G343:$Z343,"&gt;"&amp;0)&gt;5,IF(MOD(COUNTIF(F$641:F645,1),7)=0,$C$4,0),0)</f>
        <v>142.508333333333</v>
      </c>
      <c r="G343" s="81" cm="1">
        <f ca="1" t="array" ref="G343">IF(G645=1,OFFSET($Z$338,$B343,G$335-1)/SUMPRODUCT(--($D$335:$V$335=G$335),--($D645:$V645=1)),0)+SUM(G342)+IF(COUNTIF(G$641:G645,1)=1,5,0)+IF(COUNTIF(H343:$Z343,"&gt;"&amp;0)&gt;5,IF(MOD(COUNTIF(G$641:G645,1),7)=0,$C$4,0),0)</f>
        <v>26.7166666666667</v>
      </c>
      <c r="H343" s="81" cm="1">
        <f ca="1" t="array" ref="H343">IF(H645=1,OFFSET($Z$338,$B343,H$335-1)/SUMPRODUCT(--($D$335:$V$335=H$335),--($D645:$V645=1)),0)+SUM(H342)+IF(COUNTIF(H$641:H645,1)=1,5,0)+IF(COUNTIF(I343:$Z343,"&gt;"&amp;0)&gt;5,IF(MOD(COUNTIF(H$641:H645,1),7)=0,$C$4,0),0)</f>
        <v>26.7166666666667</v>
      </c>
      <c r="I343" s="81" cm="1">
        <f ca="1" t="array" ref="I343">IF(I645=1,OFFSET($Z$338,$B343,I$335-1)/SUMPRODUCT(--($D$335:$V$335=I$335),--($D645:$V645=1)),0)+SUM(I342)+IF(COUNTIF(I$641:I645,1)=1,5,0)+IF(COUNTIF(J343:$Z343,"&gt;"&amp;0)&gt;5,IF(MOD(COUNTIF(I$641:I645,1),7)=0,$C$4,0),0)</f>
        <v>26.7166666666667</v>
      </c>
      <c r="J343" s="81" cm="1">
        <f ca="1" t="array" ref="J343">IF(J645=1,OFFSET($Z$338,$B343,J$335-1)/SUMPRODUCT(--($D$335:$V$335=J$335),--($D645:$V645=1)),0)+SUM(J342)+IF(COUNTIF(J$641:J645,1)=1,5,0)+IF(COUNTIF(K343:$Z343,"&gt;"&amp;0)&gt;5,IF(MOD(COUNTIF(J$641:J645,1),7)=0,$C$4,0),0)</f>
        <v>26.7166666666667</v>
      </c>
      <c r="K343" s="81" cm="1">
        <f ca="1" t="array" ref="K343">IF(K645=1,OFFSET($Z$338,$B343,K$335-1)/SUMPRODUCT(--($D$335:$V$335=K$335),--($D645:$V645=1)),0)+SUM(K342)+IF(COUNTIF(K$641:K645,1)=1,5,0)+IF(COUNTIF(L343:$Z343,"&gt;"&amp;0)&gt;5,IF(MOD(COUNTIF(K$641:K645,1),7)=0,$C$4,0),0)</f>
        <v>26.7166666666667</v>
      </c>
      <c r="L343" s="81" cm="1">
        <f ca="1" t="array" ref="L343">IF(L645=1,OFFSET($Z$338,$B343,L$335-1)/SUMPRODUCT(--($D$335:$V$335=L$335),--($D645:$V645=1)),0)+SUM(L342)+IF(COUNTIF(L$641:L645,1)=1,5,0)+IF(COUNTIF(M343:$Z343,"&gt;"&amp;0)&gt;5,IF(MOD(COUNTIF(L$641:L645,1),7)=0,$C$4,0),0)</f>
        <v>20.0166666666667</v>
      </c>
      <c r="M343" s="81" cm="1">
        <f ca="1" t="array" ref="M343">IF(M645=1,OFFSET($Z$338,$B343,M$335-1)/SUMPRODUCT(--($D$335:$V$335=M$335),--($D645:$V645=1)),0)+SUM(M342)+IF(COUNTIF(M$641:M645,1)=1,5,0)+IF(COUNTIF(N343:$Z343,"&gt;"&amp;0)&gt;5,IF(MOD(COUNTIF(M$641:M645,1),7)=0,$C$4,0),0)</f>
        <v>13.0833333333333</v>
      </c>
      <c r="N343" s="81" cm="1">
        <f ca="1" t="array" ref="N343">IF(N645=1,OFFSET($Z$338,$B343,N$335-1)/SUMPRODUCT(--($D$335:$V$335=N$335),--($D645:$V645=1)),0)+SUM(N342)+IF(COUNTIF(N$641:N645,1)=1,5,0)+IF(COUNTIF(O343:$Z343,"&gt;"&amp;0)&gt;5,IF(MOD(COUNTIF(N$641:N645,1),7)=0,$C$4,0),0)</f>
        <v>10.3583333333333</v>
      </c>
      <c r="O343" s="81" cm="1">
        <f ca="1" t="array" ref="O343">IF(O645=1,OFFSET($Z$338,$B343,O$335-1)/SUMPRODUCT(--($D$335:$V$335=O$335),--($D645:$V645=1)),0)+SUM(O342)+IF(COUNTIF(O$641:O645,1)=1,5,0)+IF(COUNTIF(P343:$Z343,"&gt;"&amp;0)&gt;5,IF(MOD(COUNTIF(O$641:O645,1),7)=0,$C$4,0),0)</f>
        <v>7.93333333333333</v>
      </c>
      <c r="P343" s="81" cm="1">
        <f ca="1" t="array" ref="P343">IF(P645=1,OFFSET($Z$338,$B343,P$335-1)/SUMPRODUCT(--($D$335:$V$335=P$335),--($D645:$V645=1)),0)+SUM(P342)+IF(COUNTIF(P$641:P645,1)=1,5,0)+IF(COUNTIF(Q343:$Z343,"&gt;"&amp;0)&gt;5,IF(MOD(COUNTIF(P$641:P645,1),7)=0,$C$4,0),0)</f>
        <v>0</v>
      </c>
      <c r="Q343" s="81" cm="1">
        <f ca="1" t="array" ref="Q343">IF(Q645=1,OFFSET($Z$338,$B343,Q$335-1)/SUMPRODUCT(--($D$335:$V$335=Q$335),--($D645:$V645=1)),0)+SUM(Q342)+IF(COUNTIF(Q$641:Q645,1)=1,5,0)+IF(COUNTIF(R343:$Z343,"&gt;"&amp;0)&gt;5,IF(MOD(COUNTIF(Q$641:Q645,1),7)=0,$C$4,0),0)</f>
        <v>0</v>
      </c>
      <c r="R343" s="81" cm="1">
        <f ca="1" t="array" ref="R343">IF(R645=1,OFFSET($Z$338,$B343,R$335-1)/SUMPRODUCT(--($D$335:$V$335=R$335),--($D645:$V645=1)),0)+SUM(R342)+IF(COUNTIF(R$641:R645,1)=1,5,0)+IF(COUNTIF(S343:$Z343,"&gt;"&amp;0)&gt;5,IF(MOD(COUNTIF(R$641:R645,1),7)=0,$C$4,0),0)</f>
        <v>0</v>
      </c>
      <c r="S343" s="81" cm="1">
        <f ca="1" t="array" ref="S343">IF(S645=1,OFFSET($Z$338,$B343,S$335-1)/SUMPRODUCT(--($D$335:$V$335=S$335),--($D645:$V645=1)),0)+SUM(S342)+IF(COUNTIF(S$641:S645,1)=1,5,0)+IF(COUNTIF(T343:$Z343,"&gt;"&amp;0)&gt;5,IF(MOD(COUNTIF(S$641:S645,1),7)=0,$C$4,0),0)</f>
        <v>0</v>
      </c>
      <c r="T343" s="81" cm="1">
        <f ca="1" t="array" ref="T343">IF(T645=1,OFFSET($Z$338,$B343,T$335-1)/SUMPRODUCT(--($D$335:$V$335=T$335),--($D645:$V645=1)),0)+SUM(T342)+IF(COUNTIF(T$641:T645,1)=1,5,0)+IF(COUNTIF(U343:$Z343,"&gt;"&amp;0)&gt;5,IF(MOD(COUNTIF(T$641:T645,1),7)=0,$C$4,0),0)</f>
        <v>0</v>
      </c>
      <c r="U343" s="81" cm="1">
        <f ca="1" t="array" ref="U343">IF(U645=1,OFFSET($Z$338,$B343,U$335-1)/SUMPRODUCT(--($D$335:$V$335=U$335),--($D645:$V645=1)),0)+SUM(U342)+IF(COUNTIF(U$641:U645,1)=1,5,0)+IF(COUNTIF(V343:$Z343,"&gt;"&amp;0)&gt;5,IF(MOD(COUNTIF(U$641:U645,1),7)=0,$C$4,0),0)</f>
        <v>0</v>
      </c>
      <c r="V343" s="81" cm="1">
        <f ca="1" t="array" ref="V343">IF(V645=1,OFFSET($Z$338,$B343,V$335-1)/SUMPRODUCT(--($D$335:$V$335=V$335),--($D645:$V645=1)),0)+SUM(V342)+IF(COUNTIF(V$641:V645,1)=1,5,0)+IF(COUNTIF(Z343:$Z343,"&gt;"&amp;0)&gt;5,IF(MOD(COUNTIF(V$641:V645,1),7)=0,$C$4,0),0)</f>
        <v>0</v>
      </c>
      <c r="W343" s="81" cm="1">
        <f ca="1" t="array" ref="W343">IF(W645=1,OFFSET($Z$338,$B343,W$335-1)/SUMPRODUCT(--($D$335:$V$335=W$335),--($D645:$V645=1)),0)+SUM(W342)+IF(COUNTIF(W$641:W645,1)=1,5,0)+IF(COUNTIF($Z343:AA343,"&gt;"&amp;0)&gt;5,IF(MOD(COUNTIF(W$641:W645,1),7)=0,$C$4,0),0)</f>
        <v>0</v>
      </c>
      <c r="X343" s="81" cm="1">
        <f ca="1" t="array" ref="X343">IF(X645=1,OFFSET($Z$338,$B343,X$335-1)/SUMPRODUCT(--($D$335:$V$335=X$335),--($D645:$V645=1)),0)+SUM(X342)+IF(COUNTIF(X$641:X645,1)=1,5,0)+IF(COUNTIF($Z343:AB343,"&gt;"&amp;0)&gt;5,IF(MOD(COUNTIF(X$641:X645,1),7)=0,$C$4,0),0)</f>
        <v>0</v>
      </c>
      <c r="Y343" s="81" cm="1">
        <f ca="1" t="array" ref="Y343">IF(Y645=1,OFFSET($Z$338,$B343,Y$335-1)/SUMPRODUCT(--($D$335:$V$335=Y$335),--($D645:$V645=1)),0)+SUM(Y342)+IF(COUNTIF(Y$641:Y645,1)=1,5,0)+IF(COUNTIF($Z343:AC343,"&gt;"&amp;0)&gt;5,IF(MOD(COUNTIF(Y$641:Y645,1),7)=0,$C$4,0),0)</f>
        <v>0</v>
      </c>
      <c r="Z343" s="82" cm="1">
        <f ca="1" t="array" ref="Z343">SUMPRODUCT(TRANSPOSE($AD343:$AJ343),OFFSET($L$10:$L$16,0,Z$335-1))</f>
        <v>62.48</v>
      </c>
      <c r="AA343" s="82" cm="1">
        <f ca="1" t="array" ref="AA343">SUMPRODUCT(TRANSPOSE($AD343:$AJ343),OFFSET($L$10:$L$16,0,AA$335-1))</f>
        <v>21.12</v>
      </c>
      <c r="AB343" s="82" cm="1">
        <f ca="1" t="array" ref="AB343">SUMPRODUCT(TRANSPOSE($AD343:$AJ343),OFFSET($L$10:$L$16,0,AB$335-1))</f>
        <v>4.4</v>
      </c>
      <c r="AC343" s="82" cm="1">
        <f ca="1" t="array" ref="AC343">SUMPRODUCT(TRANSPOSE($AD343:$AJ343),OFFSET($L$10:$L$16,0,AC$335-1))</f>
        <v>0</v>
      </c>
      <c r="AD343" s="83">
        <f ca="1" t="shared" ref="AD343:AJ343" si="329">AK343-AK342</f>
        <v>0</v>
      </c>
      <c r="AE343" s="83">
        <f ca="1" t="shared" si="329"/>
        <v>176</v>
      </c>
      <c r="AF343" s="83">
        <f ca="1" t="shared" si="329"/>
        <v>0</v>
      </c>
      <c r="AG343" s="83">
        <f ca="1" t="shared" si="329"/>
        <v>0</v>
      </c>
      <c r="AH343" s="83">
        <f ca="1" t="shared" si="329"/>
        <v>0</v>
      </c>
      <c r="AI343" s="83">
        <f ca="1" t="shared" si="329"/>
        <v>0</v>
      </c>
      <c r="AJ343" s="83">
        <f ca="1" t="shared" si="329"/>
        <v>0</v>
      </c>
      <c r="AK343" s="83">
        <f ca="1" t="shared" si="321"/>
        <v>450</v>
      </c>
      <c r="AL343" s="83">
        <f ca="1" t="shared" ref="AL343:AQ343" si="330">IF($C343&gt;OFFSET($Q$9,MATCH(AL$338,$AK$338:$AQ$338,0),0),OFFSET($P$9,MATCH(AL$338,$AK$338:$AQ$338,0),0),MAX(0,$C343-OFFSET($Q$9,RIGHT(AL$338,1)-1,0)))</f>
        <v>655</v>
      </c>
      <c r="AM343" s="83">
        <f ca="1" t="shared" si="330"/>
        <v>0</v>
      </c>
      <c r="AN343" s="83">
        <f ca="1" t="shared" si="330"/>
        <v>0</v>
      </c>
      <c r="AO343" s="83">
        <f ca="1" t="shared" si="330"/>
        <v>0</v>
      </c>
      <c r="AP343" s="83">
        <f ca="1" t="shared" si="330"/>
        <v>0</v>
      </c>
      <c r="AQ343" s="83">
        <f ca="1" t="shared" si="330"/>
        <v>0</v>
      </c>
      <c r="AS343" s="52">
        <v>5</v>
      </c>
      <c r="AT343" s="52">
        <v>50</v>
      </c>
      <c r="AU343" s="52">
        <v>50</v>
      </c>
      <c r="AV343" s="52">
        <v>50</v>
      </c>
      <c r="AW343" s="52">
        <v>50</v>
      </c>
    </row>
    <row r="344" ht="16.5" spans="2:49">
      <c r="B344" s="65">
        <v>6</v>
      </c>
      <c r="C344" s="80">
        <f t="shared" si="319"/>
        <v>1250</v>
      </c>
      <c r="D344" s="81" cm="1">
        <f ca="1" t="array" ref="D344">IF(D646=1,OFFSET($Z$338,$B344,D$335-1)/SUMPRODUCT(--($D$335:$V$335=D$335),--($D646:$V646=1)),0)+SUM(D343)+IF(COUNTIF(D$641:D646,1)=1,5,0)+IF(COUNTIF(E344:$Z344,"&gt;"&amp;0)&gt;5,IF(MOD(COUNTIF(D$641:D646,1),7)=0,$C$4,0),0)</f>
        <v>159.666666666667</v>
      </c>
      <c r="E344" s="81" cm="1">
        <f ca="1" t="array" ref="E344">IF(E646=1,OFFSET($Z$338,$B344,E$335-1)/SUMPRODUCT(--($D$335:$V$335=E$335),--($D646:$V646=1)),0)+SUM(E343)+IF(COUNTIF(E$641:E646,1)=1,5,0)+IF(COUNTIF(F344:$Z344,"&gt;"&amp;0)&gt;5,IF(MOD(COUNTIF(E$641:E646,1),7)=0,$C$4,0),0)</f>
        <v>159.666666666667</v>
      </c>
      <c r="F344" s="81" cm="1">
        <f ca="1" t="array" ref="F344">IF(F646=1,OFFSET($Z$338,$B344,F$335-1)/SUMPRODUCT(--($D$335:$V$335=F$335),--($D646:$V646=1)),0)+SUM(F343)+IF(COUNTIF(F$641:F646,1)=1,5,0)+IF(COUNTIF(G344:$Z344,"&gt;"&amp;0)&gt;5,IF(MOD(COUNTIF(F$641:F646,1),7)=0,$C$4,0),0)</f>
        <v>159.666666666667</v>
      </c>
      <c r="G344" s="81" cm="1">
        <f ca="1" t="array" ref="G344">IF(G646=1,OFFSET($Z$338,$B344,G$335-1)/SUMPRODUCT(--($D$335:$V$335=G$335),--($D646:$V646=1)),0)+SUM(G343)+IF(COUNTIF(G$641:G646,1)=1,5,0)+IF(COUNTIF(H344:$Z344,"&gt;"&amp;0)&gt;5,IF(MOD(COUNTIF(G$641:G646,1),7)=0,$C$4,0),0)</f>
        <v>29.6166666666667</v>
      </c>
      <c r="H344" s="81" cm="1">
        <f ca="1" t="array" ref="H344">IF(H646=1,OFFSET($Z$338,$B344,H$335-1)/SUMPRODUCT(--($D$335:$V$335=H$335),--($D646:$V646=1)),0)+SUM(H343)+IF(COUNTIF(H$641:H646,1)=1,5,0)+IF(COUNTIF(I344:$Z344,"&gt;"&amp;0)&gt;5,IF(MOD(COUNTIF(H$641:H646,1),7)=0,$C$4,0),0)</f>
        <v>29.6166666666667</v>
      </c>
      <c r="I344" s="81" cm="1">
        <f ca="1" t="array" ref="I344">IF(I646=1,OFFSET($Z$338,$B344,I$335-1)/SUMPRODUCT(--($D$335:$V$335=I$335),--($D646:$V646=1)),0)+SUM(I343)+IF(COUNTIF(I$641:I646,1)=1,5,0)+IF(COUNTIF(J344:$Z344,"&gt;"&amp;0)&gt;5,IF(MOD(COUNTIF(I$641:I646,1),7)=0,$C$4,0),0)</f>
        <v>29.6166666666667</v>
      </c>
      <c r="J344" s="81" cm="1">
        <f ca="1" t="array" ref="J344">IF(J646=1,OFFSET($Z$338,$B344,J$335-1)/SUMPRODUCT(--($D$335:$V$335=J$335),--($D646:$V646=1)),0)+SUM(J343)+IF(COUNTIF(J$641:J646,1)=1,5,0)+IF(COUNTIF(K344:$Z344,"&gt;"&amp;0)&gt;5,IF(MOD(COUNTIF(J$641:J646,1),7)=0,$C$4,0),0)</f>
        <v>29.6166666666667</v>
      </c>
      <c r="K344" s="81" cm="1">
        <f ca="1" t="array" ref="K344">IF(K646=1,OFFSET($Z$338,$B344,K$335-1)/SUMPRODUCT(--($D$335:$V$335=K$335),--($D646:$V646=1)),0)+SUM(K343)+IF(COUNTIF(K$641:K646,1)=1,5,0)+IF(COUNTIF(L344:$Z344,"&gt;"&amp;0)&gt;5,IF(MOD(COUNTIF(K$641:K646,1),7)=0,$C$4,0),0)</f>
        <v>29.6166666666667</v>
      </c>
      <c r="L344" s="81" cm="1">
        <f ca="1" t="array" ref="L344">IF(L646=1,OFFSET($Z$338,$B344,L$335-1)/SUMPRODUCT(--($D$335:$V$335=L$335),--($D646:$V646=1)),0)+SUM(L343)+IF(COUNTIF(L$641:L646,1)=1,5,0)+IF(COUNTIF(M344:$Z344,"&gt;"&amp;0)&gt;5,IF(MOD(COUNTIF(L$641:L646,1),7)=0,$C$4,0),0)</f>
        <v>22.9166666666667</v>
      </c>
      <c r="M344" s="81" cm="1">
        <f ca="1" t="array" ref="M344">IF(M646=1,OFFSET($Z$338,$B344,M$335-1)/SUMPRODUCT(--($D$335:$V$335=M$335),--($D646:$V646=1)),0)+SUM(M343)+IF(COUNTIF(M$641:M646,1)=1,5,0)+IF(COUNTIF(N344:$Z344,"&gt;"&amp;0)&gt;5,IF(MOD(COUNTIF(M$641:M646,1),7)=0,$C$4,0),0)</f>
        <v>13.9895833333333</v>
      </c>
      <c r="N344" s="81" cm="1">
        <f ca="1" t="array" ref="N344">IF(N646=1,OFFSET($Z$338,$B344,N$335-1)/SUMPRODUCT(--($D$335:$V$335=N$335),--($D646:$V646=1)),0)+SUM(N343)+IF(COUNTIF(N$641:N646,1)=1,5,0)+IF(COUNTIF(O344:$Z344,"&gt;"&amp;0)&gt;5,IF(MOD(COUNTIF(N$641:N646,1),7)=0,$C$4,0),0)</f>
        <v>11.2645833333333</v>
      </c>
      <c r="O344" s="81" cm="1">
        <f ca="1" t="array" ref="O344">IF(O646=1,OFFSET($Z$338,$B344,O$335-1)/SUMPRODUCT(--($D$335:$V$335=O$335),--($D646:$V646=1)),0)+SUM(O343)+IF(COUNTIF(O$641:O646,1)=1,5,0)+IF(COUNTIF(P344:$Z344,"&gt;"&amp;0)&gt;5,IF(MOD(COUNTIF(O$641:O646,1),7)=0,$C$4,0),0)</f>
        <v>8.83958333333333</v>
      </c>
      <c r="P344" s="81" cm="1">
        <f ca="1" t="array" ref="P344">IF(P646=1,OFFSET($Z$338,$B344,P$335-1)/SUMPRODUCT(--($D$335:$V$335=P$335),--($D646:$V646=1)),0)+SUM(P343)+IF(COUNTIF(P$641:P646,1)=1,5,0)+IF(COUNTIF(Q344:$Z344,"&gt;"&amp;0)&gt;5,IF(MOD(COUNTIF(P$641:P646,1),7)=0,$C$4,0),0)</f>
        <v>5.90625</v>
      </c>
      <c r="Q344" s="81" cm="1">
        <f ca="1" t="array" ref="Q344">IF(Q646=1,OFFSET($Z$338,$B344,Q$335-1)/SUMPRODUCT(--($D$335:$V$335=Q$335),--($D646:$V646=1)),0)+SUM(Q343)+IF(COUNTIF(Q$641:Q646,1)=1,5,0)+IF(COUNTIF(R344:$Z344,"&gt;"&amp;0)&gt;5,IF(MOD(COUNTIF(Q$641:Q646,1),7)=0,$C$4,0),0)</f>
        <v>0</v>
      </c>
      <c r="R344" s="81" cm="1">
        <f ca="1" t="array" ref="R344">IF(R646=1,OFFSET($Z$338,$B344,R$335-1)/SUMPRODUCT(--($D$335:$V$335=R$335),--($D646:$V646=1)),0)+SUM(R343)+IF(COUNTIF(R$641:R646,1)=1,5,0)+IF(COUNTIF(S344:$Z344,"&gt;"&amp;0)&gt;5,IF(MOD(COUNTIF(R$641:R646,1),7)=0,$C$4,0),0)</f>
        <v>0</v>
      </c>
      <c r="S344" s="81" cm="1">
        <f ca="1" t="array" ref="S344">IF(S646=1,OFFSET($Z$338,$B344,S$335-1)/SUMPRODUCT(--($D$335:$V$335=S$335),--($D646:$V646=1)),0)+SUM(S343)+IF(COUNTIF(S$641:S646,1)=1,5,0)+IF(COUNTIF(T344:$Z344,"&gt;"&amp;0)&gt;5,IF(MOD(COUNTIF(S$641:S646,1),7)=0,$C$4,0),0)</f>
        <v>0</v>
      </c>
      <c r="T344" s="81" cm="1">
        <f ca="1" t="array" ref="T344">IF(T646=1,OFFSET($Z$338,$B344,T$335-1)/SUMPRODUCT(--($D$335:$V$335=T$335),--($D646:$V646=1)),0)+SUM(T343)+IF(COUNTIF(T$641:T646,1)=1,5,0)+IF(COUNTIF(U344:$Z344,"&gt;"&amp;0)&gt;5,IF(MOD(COUNTIF(T$641:T646,1),7)=0,$C$4,0),0)</f>
        <v>0</v>
      </c>
      <c r="U344" s="81" cm="1">
        <f ca="1" t="array" ref="U344">IF(U646=1,OFFSET($Z$338,$B344,U$335-1)/SUMPRODUCT(--($D$335:$V$335=U$335),--($D646:$V646=1)),0)+SUM(U343)+IF(COUNTIF(U$641:U646,1)=1,5,0)+IF(COUNTIF(V344:$Z344,"&gt;"&amp;0)&gt;5,IF(MOD(COUNTIF(U$641:U646,1),7)=0,$C$4,0),0)</f>
        <v>0</v>
      </c>
      <c r="V344" s="81" cm="1">
        <f ca="1" t="array" ref="V344">IF(V646=1,OFFSET($Z$338,$B344,V$335-1)/SUMPRODUCT(--($D$335:$V$335=V$335),--($D646:$V646=1)),0)+SUM(V343)+IF(COUNTIF(V$641:V646,1)=1,5,0)+IF(COUNTIF(Z344:$Z344,"&gt;"&amp;0)&gt;5,IF(MOD(COUNTIF(V$641:V646,1),7)=0,$C$4,0),0)</f>
        <v>0</v>
      </c>
      <c r="W344" s="81" cm="1">
        <f ca="1" t="array" ref="W344">IF(W646=1,OFFSET($Z$338,$B344,W$335-1)/SUMPRODUCT(--($D$335:$V$335=W$335),--($D646:$V646=1)),0)+SUM(W343)+IF(COUNTIF(W$641:W646,1)=1,5,0)+IF(COUNTIF($Z344:AA344,"&gt;"&amp;0)&gt;5,IF(MOD(COUNTIF(W$641:W646,1),7)=0,$C$4,0),0)</f>
        <v>0</v>
      </c>
      <c r="X344" s="81" cm="1">
        <f ca="1" t="array" ref="X344">IF(X646=1,OFFSET($Z$338,$B344,X$335-1)/SUMPRODUCT(--($D$335:$V$335=X$335),--($D646:$V646=1)),0)+SUM(X343)+IF(COUNTIF(X$641:X646,1)=1,5,0)+IF(COUNTIF($Z344:AB344,"&gt;"&amp;0)&gt;5,IF(MOD(COUNTIF(X$641:X646,1),7)=0,$C$4,0),0)</f>
        <v>0</v>
      </c>
      <c r="Y344" s="81" cm="1">
        <f ca="1" t="array" ref="Y344">IF(Y646=1,OFFSET($Z$338,$B344,Y$335-1)/SUMPRODUCT(--($D$335:$V$335=Y$335),--($D646:$V646=1)),0)+SUM(Y343)+IF(COUNTIF(Y$641:Y646,1)=1,5,0)+IF(COUNTIF($Z344:AC344,"&gt;"&amp;0)&gt;5,IF(MOD(COUNTIF(Y$641:Y646,1),7)=0,$C$4,0),0)</f>
        <v>0</v>
      </c>
      <c r="Z344" s="82" cm="1">
        <f ca="1" t="array" ref="Z344">SUMPRODUCT(TRANSPOSE($AD344:$AJ344),OFFSET($L$10:$L$16,0,Z$335-1))</f>
        <v>51.475</v>
      </c>
      <c r="AA344" s="82" cm="1">
        <f ca="1" t="array" ref="AA344">SUMPRODUCT(TRANSPOSE($AD344:$AJ344),OFFSET($L$10:$L$16,0,AA$335-1))</f>
        <v>17.4</v>
      </c>
      <c r="AB344" s="82" cm="1">
        <f ca="1" t="array" ref="AB344">SUMPRODUCT(TRANSPOSE($AD344:$AJ344),OFFSET($L$10:$L$16,0,AB$335-1))</f>
        <v>3.625</v>
      </c>
      <c r="AC344" s="82" cm="1">
        <f ca="1" t="array" ref="AC344">SUMPRODUCT(TRANSPOSE($AD344:$AJ344),OFFSET($L$10:$L$16,0,AC$335-1))</f>
        <v>0</v>
      </c>
      <c r="AD344" s="83">
        <f ca="1" t="shared" ref="AD344:AJ344" si="331">AK344-AK343</f>
        <v>0</v>
      </c>
      <c r="AE344" s="83">
        <f ca="1" t="shared" si="331"/>
        <v>145</v>
      </c>
      <c r="AF344" s="83">
        <f ca="1" t="shared" si="331"/>
        <v>0</v>
      </c>
      <c r="AG344" s="83">
        <f ca="1" t="shared" si="331"/>
        <v>0</v>
      </c>
      <c r="AH344" s="83">
        <f ca="1" t="shared" si="331"/>
        <v>0</v>
      </c>
      <c r="AI344" s="83">
        <f ca="1" t="shared" si="331"/>
        <v>0</v>
      </c>
      <c r="AJ344" s="83">
        <f ca="1" t="shared" si="331"/>
        <v>0</v>
      </c>
      <c r="AK344" s="83">
        <f ca="1" t="shared" si="321"/>
        <v>450</v>
      </c>
      <c r="AL344" s="83">
        <f ca="1" t="shared" ref="AL344:AQ344" si="332">IF($C344&gt;OFFSET($Q$9,MATCH(AL$338,$AK$338:$AQ$338,0),0),OFFSET($P$9,MATCH(AL$338,$AK$338:$AQ$338,0),0),MAX(0,$C344-OFFSET($Q$9,RIGHT(AL$338,1)-1,0)))</f>
        <v>800</v>
      </c>
      <c r="AM344" s="83">
        <f ca="1" t="shared" si="332"/>
        <v>0</v>
      </c>
      <c r="AN344" s="83">
        <f ca="1" t="shared" si="332"/>
        <v>0</v>
      </c>
      <c r="AO344" s="83">
        <f ca="1" t="shared" si="332"/>
        <v>0</v>
      </c>
      <c r="AP344" s="83">
        <f ca="1" t="shared" si="332"/>
        <v>0</v>
      </c>
      <c r="AQ344" s="83">
        <f ca="1" t="shared" si="332"/>
        <v>0</v>
      </c>
      <c r="AS344" s="52">
        <v>6</v>
      </c>
      <c r="AT344" s="52">
        <v>80</v>
      </c>
      <c r="AU344" s="52">
        <v>80</v>
      </c>
      <c r="AV344" s="52">
        <v>80</v>
      </c>
      <c r="AW344" s="52">
        <v>80</v>
      </c>
    </row>
    <row r="345" ht="16.5" spans="2:49">
      <c r="B345" s="65">
        <v>7</v>
      </c>
      <c r="C345" s="80">
        <f t="shared" si="319"/>
        <v>1420</v>
      </c>
      <c r="D345" s="81" cm="1">
        <f ca="1" t="array" ref="D345">IF(D647=1,OFFSET($Z$338,$B345,D$335-1)/SUMPRODUCT(--($D$335:$V$335=D$335),--($D647:$V647=1)),0)+SUM(D344)+IF(COUNTIF(D$641:D647,1)=1,5,0)+IF(COUNTIF(E345:$Z345,"&gt;"&amp;0)&gt;5,IF(MOD(COUNTIF(D$641:D647,1),7)=0,$C$4,0),0)</f>
        <v>183.868333333333</v>
      </c>
      <c r="E345" s="81" cm="1">
        <f ca="1" t="array" ref="E345">IF(E647=1,OFFSET($Z$338,$B345,E$335-1)/SUMPRODUCT(--($D$335:$V$335=E$335),--($D647:$V647=1)),0)+SUM(E344)+IF(COUNTIF(E$641:E647,1)=1,5,0)+IF(COUNTIF(F345:$Z345,"&gt;"&amp;0)&gt;5,IF(MOD(COUNTIF(E$641:E647,1),7)=0,$C$4,0),0)</f>
        <v>183.868333333333</v>
      </c>
      <c r="F345" s="81" cm="1">
        <f ca="1" t="array" ref="F345">IF(F647=1,OFFSET($Z$338,$B345,F$335-1)/SUMPRODUCT(--($D$335:$V$335=F$335),--($D647:$V647=1)),0)+SUM(F344)+IF(COUNTIF(F$641:F647,1)=1,5,0)+IF(COUNTIF(G345:$Z345,"&gt;"&amp;0)&gt;5,IF(MOD(COUNTIF(F$641:F647,1),7)=0,$C$4,0),0)</f>
        <v>183.868333333333</v>
      </c>
      <c r="G345" s="81" cm="1">
        <f ca="1" t="array" ref="G345">IF(G647=1,OFFSET($Z$338,$B345,G$335-1)/SUMPRODUCT(--($D$335:$V$335=G$335),--($D647:$V647=1)),0)+SUM(G344)+IF(COUNTIF(G$641:G647,1)=1,5,0)+IF(COUNTIF(H345:$Z345,"&gt;"&amp;0)&gt;5,IF(MOD(COUNTIF(G$641:G647,1),7)=0,$C$4,0),0)</f>
        <v>38.22</v>
      </c>
      <c r="H345" s="81" cm="1">
        <f ca="1" t="array" ref="H345">IF(H647=1,OFFSET($Z$338,$B345,H$335-1)/SUMPRODUCT(--($D$335:$V$335=H$335),--($D647:$V647=1)),0)+SUM(H344)+IF(COUNTIF(H$641:H647,1)=1,5,0)+IF(COUNTIF(I345:$Z345,"&gt;"&amp;0)&gt;5,IF(MOD(COUNTIF(H$641:H647,1),7)=0,$C$4,0),0)</f>
        <v>38.22</v>
      </c>
      <c r="I345" s="81" cm="1">
        <f ca="1" t="array" ref="I345">IF(I647=1,OFFSET($Z$338,$B345,I$335-1)/SUMPRODUCT(--($D$335:$V$335=I$335),--($D647:$V647=1)),0)+SUM(I344)+IF(COUNTIF(I$641:I647,1)=1,5,0)+IF(COUNTIF(J345:$Z345,"&gt;"&amp;0)&gt;5,IF(MOD(COUNTIF(I$641:I647,1),7)=0,$C$4,0),0)</f>
        <v>38.22</v>
      </c>
      <c r="J345" s="81" cm="1">
        <f ca="1" t="array" ref="J345">IF(J647=1,OFFSET($Z$338,$B345,J$335-1)/SUMPRODUCT(--($D$335:$V$335=J$335),--($D647:$V647=1)),0)+SUM(J344)+IF(COUNTIF(J$641:J647,1)=1,5,0)+IF(COUNTIF(K345:$Z345,"&gt;"&amp;0)&gt;5,IF(MOD(COUNTIF(J$641:J647,1),7)=0,$C$4,0),0)</f>
        <v>38.22</v>
      </c>
      <c r="K345" s="81" cm="1">
        <f ca="1" t="array" ref="K345">IF(K647=1,OFFSET($Z$338,$B345,K$335-1)/SUMPRODUCT(--($D$335:$V$335=K$335),--($D647:$V647=1)),0)+SUM(K344)+IF(COUNTIF(K$641:K647,1)=1,5,0)+IF(COUNTIF(L345:$Z345,"&gt;"&amp;0)&gt;5,IF(MOD(COUNTIF(K$641:K647,1),7)=0,$C$4,0),0)</f>
        <v>38.22</v>
      </c>
      <c r="L345" s="81" cm="1">
        <f ca="1" t="array" ref="L345">IF(L647=1,OFFSET($Z$338,$B345,L$335-1)/SUMPRODUCT(--($D$335:$V$335=L$335),--($D647:$V647=1)),0)+SUM(L344)+IF(COUNTIF(L$641:L647,1)=1,5,0)+IF(COUNTIF(M345:$Z345,"&gt;"&amp;0)&gt;5,IF(MOD(COUNTIF(L$641:L647,1),7)=0,$C$4,0),0)</f>
        <v>26.52</v>
      </c>
      <c r="M345" s="81" cm="1">
        <f ca="1" t="array" ref="M345">IF(M647=1,OFFSET($Z$338,$B345,M$335-1)/SUMPRODUCT(--($D$335:$V$335=M$335),--($D647:$V647=1)),0)+SUM(M344)+IF(COUNTIF(M$641:M647,1)=1,5,0)+IF(COUNTIF(N345:$Z345,"&gt;"&amp;0)&gt;5,IF(MOD(COUNTIF(M$641:M647,1),7)=0,$C$4,0),0)</f>
        <v>15.1445833333333</v>
      </c>
      <c r="N345" s="81" cm="1">
        <f ca="1" t="array" ref="N345">IF(N647=1,OFFSET($Z$338,$B345,N$335-1)/SUMPRODUCT(--($D$335:$V$335=N$335),--($D647:$V647=1)),0)+SUM(N344)+IF(COUNTIF(N$641:N647,1)=1,5,0)+IF(COUNTIF(O345:$Z345,"&gt;"&amp;0)&gt;5,IF(MOD(COUNTIF(N$641:N647,1),7)=0,$C$4,0),0)</f>
        <v>12.4195833333333</v>
      </c>
      <c r="O345" s="81" cm="1">
        <f ca="1" t="array" ref="O345">IF(O647=1,OFFSET($Z$338,$B345,O$335-1)/SUMPRODUCT(--($D$335:$V$335=O$335),--($D647:$V647=1)),0)+SUM(O344)+IF(COUNTIF(O$641:O647,1)=1,5,0)+IF(COUNTIF(P345:$Z345,"&gt;"&amp;0)&gt;5,IF(MOD(COUNTIF(O$641:O647,1),7)=0,$C$4,0),0)</f>
        <v>9.99458333333333</v>
      </c>
      <c r="P345" s="81" cm="1">
        <f ca="1" t="array" ref="P345">IF(P647=1,OFFSET($Z$338,$B345,P$335-1)/SUMPRODUCT(--($D$335:$V$335=P$335),--($D647:$V647=1)),0)+SUM(P344)+IF(COUNTIF(P$641:P647,1)=1,5,0)+IF(COUNTIF(Q345:$Z345,"&gt;"&amp;0)&gt;5,IF(MOD(COUNTIF(P$641:P647,1),7)=0,$C$4,0),0)</f>
        <v>7.06125</v>
      </c>
      <c r="Q345" s="81" cm="1">
        <f ca="1" t="array" ref="Q345">IF(Q647=1,OFFSET($Z$338,$B345,Q$335-1)/SUMPRODUCT(--($D$335:$V$335=Q$335),--($D647:$V647=1)),0)+SUM(Q344)+IF(COUNTIF(Q$641:Q647,1)=1,5,0)+IF(COUNTIF(R345:$Z345,"&gt;"&amp;0)&gt;5,IF(MOD(COUNTIF(Q$641:Q647,1),7)=0,$C$4,0),0)</f>
        <v>6.155</v>
      </c>
      <c r="R345" s="81" cm="1">
        <f ca="1" t="array" ref="R345">IF(R647=1,OFFSET($Z$338,$B345,R$335-1)/SUMPRODUCT(--($D$335:$V$335=R$335),--($D647:$V647=1)),0)+SUM(R344)+IF(COUNTIF(R$641:R647,1)=1,5,0)+IF(COUNTIF(S345:$Z345,"&gt;"&amp;0)&gt;5,IF(MOD(COUNTIF(R$641:R647,1),7)=0,$C$4,0),0)</f>
        <v>0</v>
      </c>
      <c r="S345" s="81" cm="1">
        <f ca="1" t="array" ref="S345">IF(S647=1,OFFSET($Z$338,$B345,S$335-1)/SUMPRODUCT(--($D$335:$V$335=S$335),--($D647:$V647=1)),0)+SUM(S344)+IF(COUNTIF(S$641:S647,1)=1,5,0)+IF(COUNTIF(T345:$Z345,"&gt;"&amp;0)&gt;5,IF(MOD(COUNTIF(S$641:S647,1),7)=0,$C$4,0),0)</f>
        <v>0</v>
      </c>
      <c r="T345" s="81" cm="1">
        <f ca="1" t="array" ref="T345">IF(T647=1,OFFSET($Z$338,$B345,T$335-1)/SUMPRODUCT(--($D$335:$V$335=T$335),--($D647:$V647=1)),0)+SUM(T344)+IF(COUNTIF(T$641:T647,1)=1,5,0)+IF(COUNTIF(U345:$Z345,"&gt;"&amp;0)&gt;5,IF(MOD(COUNTIF(T$641:T647,1),7)=0,$C$4,0),0)</f>
        <v>0</v>
      </c>
      <c r="U345" s="81" cm="1">
        <f ca="1" t="array" ref="U345">IF(U647=1,OFFSET($Z$338,$B345,U$335-1)/SUMPRODUCT(--($D$335:$V$335=U$335),--($D647:$V647=1)),0)+SUM(U344)+IF(COUNTIF(U$641:U647,1)=1,5,0)+IF(COUNTIF(V345:$Z345,"&gt;"&amp;0)&gt;5,IF(MOD(COUNTIF(U$641:U647,1),7)=0,$C$4,0),0)</f>
        <v>0</v>
      </c>
      <c r="V345" s="81" cm="1">
        <f ca="1" t="array" ref="V345">IF(V647=1,OFFSET($Z$338,$B345,V$335-1)/SUMPRODUCT(--($D$335:$V$335=V$335),--($D647:$V647=1)),0)+SUM(V344)+IF(COUNTIF(V$641:V647,1)=1,5,0)+IF(COUNTIF(Z345:$Z345,"&gt;"&amp;0)&gt;5,IF(MOD(COUNTIF(V$641:V647,1),7)=0,$C$4,0),0)</f>
        <v>0</v>
      </c>
      <c r="W345" s="81" cm="1">
        <f ca="1" t="array" ref="W345">IF(W647=1,OFFSET($Z$338,$B345,W$335-1)/SUMPRODUCT(--($D$335:$V$335=W$335),--($D647:$V647=1)),0)+SUM(W344)+IF(COUNTIF(W$641:W647,1)=1,5,0)+IF(COUNTIF($Z345:AA345,"&gt;"&amp;0)&gt;5,IF(MOD(COUNTIF(W$641:W647,1),7)=0,$C$4,0),0)</f>
        <v>0</v>
      </c>
      <c r="X345" s="81" cm="1">
        <f ca="1" t="array" ref="X345">IF(X647=1,OFFSET($Z$338,$B345,X$335-1)/SUMPRODUCT(--($D$335:$V$335=X$335),--($D647:$V647=1)),0)+SUM(X344)+IF(COUNTIF(X$641:X647,1)=1,5,0)+IF(COUNTIF($Z345:AB345,"&gt;"&amp;0)&gt;5,IF(MOD(COUNTIF(X$641:X647,1),7)=0,$C$4,0),0)</f>
        <v>0</v>
      </c>
      <c r="Y345" s="81" cm="1">
        <f ca="1" t="array" ref="Y345">IF(Y647=1,OFFSET($Z$338,$B345,Y$335-1)/SUMPRODUCT(--($D$335:$V$335=Y$335),--($D647:$V647=1)),0)+SUM(Y344)+IF(COUNTIF(Y$641:Y647,1)=1,5,0)+IF(COUNTIF($Z345:AC345,"&gt;"&amp;0)&gt;5,IF(MOD(COUNTIF(Y$641:Y647,1),7)=0,$C$4,0),0)</f>
        <v>0</v>
      </c>
      <c r="Z345" s="82" cm="1">
        <f ca="1" t="array" ref="Z345">SUMPRODUCT(TRANSPOSE($AD345:$AJ345),OFFSET($L$10:$L$16,0,Z$335-1))</f>
        <v>57.605</v>
      </c>
      <c r="AA345" s="82" cm="1">
        <f ca="1" t="array" ref="AA345">SUMPRODUCT(TRANSPOSE($AD345:$AJ345),OFFSET($L$10:$L$16,0,AA$335-1))</f>
        <v>21.62</v>
      </c>
      <c r="AB345" s="82" cm="1">
        <f ca="1" t="array" ref="AB345">SUMPRODUCT(TRANSPOSE($AD345:$AJ345),OFFSET($L$10:$L$16,0,AB$335-1))</f>
        <v>5.775</v>
      </c>
      <c r="AC345" s="82" cm="1">
        <f ca="1" t="array" ref="AC345">SUMPRODUCT(TRANSPOSE($AD345:$AJ345),OFFSET($L$10:$L$16,0,AC$335-1))</f>
        <v>0</v>
      </c>
      <c r="AD345" s="83">
        <f ca="1" t="shared" ref="AD345:AJ345" si="333">AK345-AK344</f>
        <v>0</v>
      </c>
      <c r="AE345" s="83">
        <f ca="1" t="shared" si="333"/>
        <v>109</v>
      </c>
      <c r="AF345" s="83">
        <f ca="1" t="shared" si="333"/>
        <v>61</v>
      </c>
      <c r="AG345" s="83">
        <f ca="1" t="shared" si="333"/>
        <v>0</v>
      </c>
      <c r="AH345" s="83">
        <f ca="1" t="shared" si="333"/>
        <v>0</v>
      </c>
      <c r="AI345" s="83">
        <f ca="1" t="shared" si="333"/>
        <v>0</v>
      </c>
      <c r="AJ345" s="83">
        <f ca="1" t="shared" si="333"/>
        <v>0</v>
      </c>
      <c r="AK345" s="83">
        <f ca="1" t="shared" si="321"/>
        <v>450</v>
      </c>
      <c r="AL345" s="83">
        <f ca="1" t="shared" ref="AL345:AQ345" si="334">IF($C345&gt;OFFSET($Q$9,MATCH(AL$338,$AK$338:$AQ$338,0),0),OFFSET($P$9,MATCH(AL$338,$AK$338:$AQ$338,0),0),MAX(0,$C345-OFFSET($Q$9,RIGHT(AL$338,1)-1,0)))</f>
        <v>909</v>
      </c>
      <c r="AM345" s="83">
        <f ca="1" t="shared" si="334"/>
        <v>61</v>
      </c>
      <c r="AN345" s="83">
        <f ca="1" t="shared" si="334"/>
        <v>0</v>
      </c>
      <c r="AO345" s="83">
        <f ca="1" t="shared" si="334"/>
        <v>0</v>
      </c>
      <c r="AP345" s="83">
        <f ca="1" t="shared" si="334"/>
        <v>0</v>
      </c>
      <c r="AQ345" s="83">
        <f ca="1" t="shared" si="334"/>
        <v>0</v>
      </c>
      <c r="AS345" s="52">
        <v>7</v>
      </c>
      <c r="AT345" s="52">
        <v>110</v>
      </c>
      <c r="AU345" s="52">
        <v>110</v>
      </c>
      <c r="AV345" s="52">
        <v>110</v>
      </c>
      <c r="AW345" s="52">
        <v>110</v>
      </c>
    </row>
    <row r="346" ht="16.5" spans="2:49">
      <c r="B346" s="65">
        <v>8</v>
      </c>
      <c r="C346" s="80">
        <f t="shared" si="319"/>
        <v>1560</v>
      </c>
      <c r="D346" s="81" cm="1">
        <f ca="1" t="array" ref="D346">IF(D648=1,OFFSET($Z$338,$B346,D$335-1)/SUMPRODUCT(--($D$335:$V$335=D$335),--($D648:$V648=1)),0)+SUM(D345)+IF(COUNTIF(D$641:D648,1)=1,5,0)+IF(COUNTIF(E346:$Z346,"&gt;"&amp;0)&gt;5,IF(MOD(COUNTIF(D$641:D648,1),7)=0,$C$4,0),0)</f>
        <v>198.335</v>
      </c>
      <c r="E346" s="81" cm="1">
        <f ca="1" t="array" ref="E346">IF(E648=1,OFFSET($Z$338,$B346,E$335-1)/SUMPRODUCT(--($D$335:$V$335=E$335),--($D648:$V648=1)),0)+SUM(E345)+IF(COUNTIF(E$641:E648,1)=1,5,0)+IF(COUNTIF(F346:$Z346,"&gt;"&amp;0)&gt;5,IF(MOD(COUNTIF(E$641:E648,1),7)=0,$C$4,0),0)</f>
        <v>198.335</v>
      </c>
      <c r="F346" s="81" cm="1">
        <f ca="1" t="array" ref="F346">IF(F648=1,OFFSET($Z$338,$B346,F$335-1)/SUMPRODUCT(--($D$335:$V$335=F$335),--($D648:$V648=1)),0)+SUM(F345)+IF(COUNTIF(F$641:F648,1)=1,5,0)+IF(COUNTIF(G346:$Z346,"&gt;"&amp;0)&gt;5,IF(MOD(COUNTIF(F$641:F648,1),7)=0,$C$4,0),0)</f>
        <v>198.335</v>
      </c>
      <c r="G346" s="81" cm="1">
        <f ca="1" t="array" ref="G346">IF(G648=1,OFFSET($Z$338,$B346,G$335-1)/SUMPRODUCT(--($D$335:$V$335=G$335),--($D648:$V648=1)),0)+SUM(G345)+IF(COUNTIF(G$641:G648,1)=1,5,0)+IF(COUNTIF(H346:$Z346,"&gt;"&amp;0)&gt;5,IF(MOD(COUNTIF(G$641:G648,1),7)=0,$C$4,0),0)</f>
        <v>41.4866666666667</v>
      </c>
      <c r="H346" s="81" cm="1">
        <f ca="1" t="array" ref="H346">IF(H648=1,OFFSET($Z$338,$B346,H$335-1)/SUMPRODUCT(--($D$335:$V$335=H$335),--($D648:$V648=1)),0)+SUM(H345)+IF(COUNTIF(H$641:H648,1)=1,5,0)+IF(COUNTIF(I346:$Z346,"&gt;"&amp;0)&gt;5,IF(MOD(COUNTIF(H$641:H648,1),7)=0,$C$4,0),0)</f>
        <v>41.4866666666667</v>
      </c>
      <c r="I346" s="81" cm="1">
        <f ca="1" t="array" ref="I346">IF(I648=1,OFFSET($Z$338,$B346,I$335-1)/SUMPRODUCT(--($D$335:$V$335=I$335),--($D648:$V648=1)),0)+SUM(I345)+IF(COUNTIF(I$641:I648,1)=1,5,0)+IF(COUNTIF(J346:$Z346,"&gt;"&amp;0)&gt;5,IF(MOD(COUNTIF(I$641:I648,1),7)=0,$C$4,0),0)</f>
        <v>41.4866666666667</v>
      </c>
      <c r="J346" s="81" cm="1">
        <f ca="1" t="array" ref="J346">IF(J648=1,OFFSET($Z$338,$B346,J$335-1)/SUMPRODUCT(--($D$335:$V$335=J$335),--($D648:$V648=1)),0)+SUM(J345)+IF(COUNTIF(J$641:J648,1)=1,5,0)+IF(COUNTIF(K346:$Z346,"&gt;"&amp;0)&gt;5,IF(MOD(COUNTIF(J$641:J648,1),7)=0,$C$4,0),0)</f>
        <v>41.4866666666667</v>
      </c>
      <c r="K346" s="81" cm="1">
        <f ca="1" t="array" ref="K346">IF(K648=1,OFFSET($Z$338,$B346,K$335-1)/SUMPRODUCT(--($D$335:$V$335=K$335),--($D648:$V648=1)),0)+SUM(K345)+IF(COUNTIF(K$641:K648,1)=1,5,0)+IF(COUNTIF(L346:$Z346,"&gt;"&amp;0)&gt;5,IF(MOD(COUNTIF(K$641:K648,1),7)=0,$C$4,0),0)</f>
        <v>41.4866666666667</v>
      </c>
      <c r="L346" s="81" cm="1">
        <f ca="1" t="array" ref="L346">IF(L648=1,OFFSET($Z$338,$B346,L$335-1)/SUMPRODUCT(--($D$335:$V$335=L$335),--($D648:$V648=1)),0)+SUM(L345)+IF(COUNTIF(L$641:L648,1)=1,5,0)+IF(COUNTIF(M346:$Z346,"&gt;"&amp;0)&gt;5,IF(MOD(COUNTIF(L$641:L648,1),7)=0,$C$4,0),0)</f>
        <v>34.7866666666667</v>
      </c>
      <c r="M346" s="81" cm="1">
        <f ca="1" t="array" ref="M346">IF(M648=1,OFFSET($Z$338,$B346,M$335-1)/SUMPRODUCT(--($D$335:$V$335=M$335),--($D648:$V648=1)),0)+SUM(M345)+IF(COUNTIF(M$641:M648,1)=1,5,0)+IF(COUNTIF(N346:$Z346,"&gt;"&amp;0)&gt;5,IF(MOD(COUNTIF(M$641:M648,1),7)=0,$C$4,0),0)</f>
        <v>16.5445833333333</v>
      </c>
      <c r="N346" s="81" cm="1">
        <f ca="1" t="array" ref="N346">IF(N648=1,OFFSET($Z$338,$B346,N$335-1)/SUMPRODUCT(--($D$335:$V$335=N$335),--($D648:$V648=1)),0)+SUM(N345)+IF(COUNTIF(N$641:N648,1)=1,5,0)+IF(COUNTIF(O346:$Z346,"&gt;"&amp;0)&gt;5,IF(MOD(COUNTIF(N$641:N648,1),7)=0,$C$4,0),0)</f>
        <v>13.8195833333333</v>
      </c>
      <c r="O346" s="81" cm="1">
        <f ca="1" t="array" ref="O346">IF(O648=1,OFFSET($Z$338,$B346,O$335-1)/SUMPRODUCT(--($D$335:$V$335=O$335),--($D648:$V648=1)),0)+SUM(O345)+IF(COUNTIF(O$641:O648,1)=1,5,0)+IF(COUNTIF(P346:$Z346,"&gt;"&amp;0)&gt;5,IF(MOD(COUNTIF(O$641:O648,1),7)=0,$C$4,0),0)</f>
        <v>11.3945833333333</v>
      </c>
      <c r="P346" s="81" cm="1">
        <f ca="1" t="array" ref="P346">IF(P648=1,OFFSET($Z$338,$B346,P$335-1)/SUMPRODUCT(--($D$335:$V$335=P$335),--($D648:$V648=1)),0)+SUM(P345)+IF(COUNTIF(P$641:P648,1)=1,5,0)+IF(COUNTIF(Q346:$Z346,"&gt;"&amp;0)&gt;5,IF(MOD(COUNTIF(P$641:P648,1),7)=0,$C$4,0),0)</f>
        <v>8.46125</v>
      </c>
      <c r="Q346" s="81" cm="1">
        <f ca="1" t="array" ref="Q346">IF(Q648=1,OFFSET($Z$338,$B346,Q$335-1)/SUMPRODUCT(--($D$335:$V$335=Q$335),--($D648:$V648=1)),0)+SUM(Q345)+IF(COUNTIF(Q$641:Q648,1)=1,5,0)+IF(COUNTIF(R346:$Z346,"&gt;"&amp;0)&gt;5,IF(MOD(COUNTIF(Q$641:Q648,1),7)=0,$C$4,0),0)</f>
        <v>7.555</v>
      </c>
      <c r="R346" s="81" cm="1">
        <f ca="1" t="array" ref="R346">IF(R648=1,OFFSET($Z$338,$B346,R$335-1)/SUMPRODUCT(--($D$335:$V$335=R$335),--($D648:$V648=1)),0)+SUM(R345)+IF(COUNTIF(R$641:R648,1)=1,5,0)+IF(COUNTIF(S346:$Z346,"&gt;"&amp;0)&gt;5,IF(MOD(COUNTIF(R$641:R648,1),7)=0,$C$4,0),0)</f>
        <v>0</v>
      </c>
      <c r="S346" s="81" cm="1">
        <f ca="1" t="array" ref="S346">IF(S648=1,OFFSET($Z$338,$B346,S$335-1)/SUMPRODUCT(--($D$335:$V$335=S$335),--($D648:$V648=1)),0)+SUM(S345)+IF(COUNTIF(S$641:S648,1)=1,5,0)+IF(COUNTIF(T346:$Z346,"&gt;"&amp;0)&gt;5,IF(MOD(COUNTIF(S$641:S648,1),7)=0,$C$4,0),0)</f>
        <v>0</v>
      </c>
      <c r="T346" s="81" cm="1">
        <f ca="1" t="array" ref="T346">IF(T648=1,OFFSET($Z$338,$B346,T$335-1)/SUMPRODUCT(--($D$335:$V$335=T$335),--($D648:$V648=1)),0)+SUM(T345)+IF(COUNTIF(T$641:T648,1)=1,5,0)+IF(COUNTIF(U346:$Z346,"&gt;"&amp;0)&gt;5,IF(MOD(COUNTIF(T$641:T648,1),7)=0,$C$4,0),0)</f>
        <v>0</v>
      </c>
      <c r="U346" s="81" cm="1">
        <f ca="1" t="array" ref="U346">IF(U648=1,OFFSET($Z$338,$B346,U$335-1)/SUMPRODUCT(--($D$335:$V$335=U$335),--($D648:$V648=1)),0)+SUM(U345)+IF(COUNTIF(U$641:U648,1)=1,5,0)+IF(COUNTIF(V346:$Z346,"&gt;"&amp;0)&gt;5,IF(MOD(COUNTIF(U$641:U648,1),7)=0,$C$4,0),0)</f>
        <v>0</v>
      </c>
      <c r="V346" s="81" cm="1">
        <f ca="1" t="array" ref="V346">IF(V648=1,OFFSET($Z$338,$B346,V$335-1)/SUMPRODUCT(--($D$335:$V$335=V$335),--($D648:$V648=1)),0)+SUM(V345)+IF(COUNTIF(V$641:V648,1)=1,5,0)+IF(COUNTIF(Z346:$Z346,"&gt;"&amp;0)&gt;5,IF(MOD(COUNTIF(V$641:V648,1),7)=0,$C$4,0),0)</f>
        <v>0</v>
      </c>
      <c r="W346" s="81" cm="1">
        <f ca="1" t="array" ref="W346">IF(W648=1,OFFSET($Z$338,$B346,W$335-1)/SUMPRODUCT(--($D$335:$V$335=W$335),--($D648:$V648=1)),0)+SUM(W345)+IF(COUNTIF(W$641:W648,1)=1,5,0)+IF(COUNTIF($Z346:AA346,"&gt;"&amp;0)&gt;5,IF(MOD(COUNTIF(W$641:W648,1),7)=0,$C$4,0),0)</f>
        <v>0</v>
      </c>
      <c r="X346" s="81" cm="1">
        <f ca="1" t="array" ref="X346">IF(X648=1,OFFSET($Z$338,$B346,X$335-1)/SUMPRODUCT(--($D$335:$V$335=X$335),--($D648:$V648=1)),0)+SUM(X345)+IF(COUNTIF(X$641:X648,1)=1,5,0)+IF(COUNTIF($Z346:AB346,"&gt;"&amp;0)&gt;5,IF(MOD(COUNTIF(X$641:X648,1),7)=0,$C$4,0),0)</f>
        <v>0</v>
      </c>
      <c r="Y346" s="81" cm="1">
        <f ca="1" t="array" ref="Y346">IF(Y648=1,OFFSET($Z$338,$B346,Y$335-1)/SUMPRODUCT(--($D$335:$V$335=Y$335),--($D648:$V648=1)),0)+SUM(Y345)+IF(COUNTIF(Y$641:Y648,1)=1,5,0)+IF(COUNTIF($Z346:AC346,"&gt;"&amp;0)&gt;5,IF(MOD(COUNTIF(Y$641:Y648,1),7)=0,$C$4,0),0)</f>
        <v>0</v>
      </c>
      <c r="Z346" s="82" cm="1">
        <f ca="1" t="array" ref="Z346">SUMPRODUCT(TRANSPOSE($AD346:$AJ346),OFFSET($L$10:$L$16,0,Z$335-1))</f>
        <v>43.4</v>
      </c>
      <c r="AA346" s="82" cm="1">
        <f ca="1" t="array" ref="AA346">SUMPRODUCT(TRANSPOSE($AD346:$AJ346),OFFSET($L$10:$L$16,0,AA$335-1))</f>
        <v>19.6</v>
      </c>
      <c r="AB346" s="82" cm="1">
        <f ca="1" t="array" ref="AB346">SUMPRODUCT(TRANSPOSE($AD346:$AJ346),OFFSET($L$10:$L$16,0,AB$335-1))</f>
        <v>7</v>
      </c>
      <c r="AC346" s="82" cm="1">
        <f ca="1" t="array" ref="AC346">SUMPRODUCT(TRANSPOSE($AD346:$AJ346),OFFSET($L$10:$L$16,0,AC$335-1))</f>
        <v>0</v>
      </c>
      <c r="AD346" s="83">
        <f ca="1" t="shared" ref="AD346:AJ346" si="335">AK346-AK345</f>
        <v>0</v>
      </c>
      <c r="AE346" s="83">
        <f ca="1" t="shared" si="335"/>
        <v>0</v>
      </c>
      <c r="AF346" s="83">
        <f ca="1" t="shared" si="335"/>
        <v>140</v>
      </c>
      <c r="AG346" s="83">
        <f ca="1" t="shared" si="335"/>
        <v>0</v>
      </c>
      <c r="AH346" s="83">
        <f ca="1" t="shared" si="335"/>
        <v>0</v>
      </c>
      <c r="AI346" s="83">
        <f ca="1" t="shared" si="335"/>
        <v>0</v>
      </c>
      <c r="AJ346" s="83">
        <f ca="1" t="shared" si="335"/>
        <v>0</v>
      </c>
      <c r="AK346" s="83">
        <f ca="1" t="shared" si="321"/>
        <v>450</v>
      </c>
      <c r="AL346" s="83">
        <f ca="1" t="shared" ref="AL346:AQ346" si="336">IF($C346&gt;OFFSET($Q$9,MATCH(AL$338,$AK$338:$AQ$338,0),0),OFFSET($P$9,MATCH(AL$338,$AK$338:$AQ$338,0),0),MAX(0,$C346-OFFSET($Q$9,RIGHT(AL$338,1)-1,0)))</f>
        <v>909</v>
      </c>
      <c r="AM346" s="83">
        <f ca="1" t="shared" si="336"/>
        <v>201</v>
      </c>
      <c r="AN346" s="83">
        <f ca="1" t="shared" si="336"/>
        <v>0</v>
      </c>
      <c r="AO346" s="83">
        <f ca="1" t="shared" si="336"/>
        <v>0</v>
      </c>
      <c r="AP346" s="83">
        <f ca="1" t="shared" si="336"/>
        <v>0</v>
      </c>
      <c r="AQ346" s="83">
        <f ca="1" t="shared" si="336"/>
        <v>0</v>
      </c>
      <c r="AS346" s="52">
        <v>8</v>
      </c>
      <c r="AT346" s="52">
        <v>140</v>
      </c>
      <c r="AU346" s="52">
        <v>140</v>
      </c>
      <c r="AV346" s="52">
        <v>140</v>
      </c>
      <c r="AW346" s="52">
        <v>140</v>
      </c>
    </row>
    <row r="347" ht="16.5" spans="2:49">
      <c r="B347" s="65">
        <v>9</v>
      </c>
      <c r="C347" s="80">
        <f t="shared" si="319"/>
        <v>1680</v>
      </c>
      <c r="D347" s="81" cm="1">
        <f ca="1" t="array" ref="D347">IF(D649=1,OFFSET($Z$338,$B347,D$335-1)/SUMPRODUCT(--($D$335:$V$335=D$335),--($D649:$V649=1)),0)+SUM(D346)+IF(COUNTIF(D$641:D649,1)=1,5,0)+IF(COUNTIF(E347:$Z347,"&gt;"&amp;0)&gt;5,IF(MOD(COUNTIF(D$641:D649,1),7)=0,$C$4,0),0)</f>
        <v>210.735</v>
      </c>
      <c r="E347" s="81" cm="1">
        <f ca="1" t="array" ref="E347">IF(E649=1,OFFSET($Z$338,$B347,E$335-1)/SUMPRODUCT(--($D$335:$V$335=E$335),--($D649:$V649=1)),0)+SUM(E346)+IF(COUNTIF(E$641:E649,1)=1,5,0)+IF(COUNTIF(F347:$Z347,"&gt;"&amp;0)&gt;5,IF(MOD(COUNTIF(E$641:E649,1),7)=0,$C$4,0),0)</f>
        <v>210.735</v>
      </c>
      <c r="F347" s="81" cm="1">
        <f ca="1" t="array" ref="F347">IF(F649=1,OFFSET($Z$338,$B347,F$335-1)/SUMPRODUCT(--($D$335:$V$335=F$335),--($D649:$V649=1)),0)+SUM(F346)+IF(COUNTIF(F$641:F649,1)=1,5,0)+IF(COUNTIF(G347:$Z347,"&gt;"&amp;0)&gt;5,IF(MOD(COUNTIF(F$641:F649,1),7)=0,$C$4,0),0)</f>
        <v>210.735</v>
      </c>
      <c r="G347" s="81" cm="1">
        <f ca="1" t="array" ref="G347">IF(G649=1,OFFSET($Z$338,$B347,G$335-1)/SUMPRODUCT(--($D$335:$V$335=G$335),--($D649:$V649=1)),0)+SUM(G346)+IF(COUNTIF(G$641:G649,1)=1,5,0)+IF(COUNTIF(H347:$Z347,"&gt;"&amp;0)&gt;5,IF(MOD(COUNTIF(G$641:G649,1),7)=0,$C$4,0),0)</f>
        <v>44.2866666666667</v>
      </c>
      <c r="H347" s="81" cm="1">
        <f ca="1" t="array" ref="H347">IF(H649=1,OFFSET($Z$338,$B347,H$335-1)/SUMPRODUCT(--($D$335:$V$335=H$335),--($D649:$V649=1)),0)+SUM(H346)+IF(COUNTIF(H$641:H649,1)=1,5,0)+IF(COUNTIF(I347:$Z347,"&gt;"&amp;0)&gt;5,IF(MOD(COUNTIF(H$641:H649,1),7)=0,$C$4,0),0)</f>
        <v>44.2866666666667</v>
      </c>
      <c r="I347" s="81" cm="1">
        <f ca="1" t="array" ref="I347">IF(I649=1,OFFSET($Z$338,$B347,I$335-1)/SUMPRODUCT(--($D$335:$V$335=I$335),--($D649:$V649=1)),0)+SUM(I346)+IF(COUNTIF(I$641:I649,1)=1,5,0)+IF(COUNTIF(J347:$Z347,"&gt;"&amp;0)&gt;5,IF(MOD(COUNTIF(I$641:I649,1),7)=0,$C$4,0),0)</f>
        <v>44.2866666666667</v>
      </c>
      <c r="J347" s="81" cm="1">
        <f ca="1" t="array" ref="J347">IF(J649=1,OFFSET($Z$338,$B347,J$335-1)/SUMPRODUCT(--($D$335:$V$335=J$335),--($D649:$V649=1)),0)+SUM(J346)+IF(COUNTIF(J$641:J649,1)=1,5,0)+IF(COUNTIF(K347:$Z347,"&gt;"&amp;0)&gt;5,IF(MOD(COUNTIF(J$641:J649,1),7)=0,$C$4,0),0)</f>
        <v>44.2866666666667</v>
      </c>
      <c r="K347" s="81" cm="1">
        <f ca="1" t="array" ref="K347">IF(K649=1,OFFSET($Z$338,$B347,K$335-1)/SUMPRODUCT(--($D$335:$V$335=K$335),--($D649:$V649=1)),0)+SUM(K346)+IF(COUNTIF(K$641:K649,1)=1,5,0)+IF(COUNTIF(L347:$Z347,"&gt;"&amp;0)&gt;5,IF(MOD(COUNTIF(K$641:K649,1),7)=0,$C$4,0),0)</f>
        <v>44.2866666666667</v>
      </c>
      <c r="L347" s="81" cm="1">
        <f ca="1" t="array" ref="L347">IF(L649=1,OFFSET($Z$338,$B347,L$335-1)/SUMPRODUCT(--($D$335:$V$335=L$335),--($D649:$V649=1)),0)+SUM(L346)+IF(COUNTIF(L$641:L649,1)=1,5,0)+IF(COUNTIF(M347:$Z347,"&gt;"&amp;0)&gt;5,IF(MOD(COUNTIF(L$641:L649,1),7)=0,$C$4,0),0)</f>
        <v>37.5866666666667</v>
      </c>
      <c r="M347" s="81" cm="1">
        <f ca="1" t="array" ref="M347">IF(M649=1,OFFSET($Z$338,$B347,M$335-1)/SUMPRODUCT(--($D$335:$V$335=M$335),--($D649:$V649=1)),0)+SUM(M346)+IF(COUNTIF(M$641:M649,1)=1,5,0)+IF(COUNTIF(N347:$Z347,"&gt;"&amp;0)&gt;5,IF(MOD(COUNTIF(M$641:M649,1),7)=0,$C$4,0),0)</f>
        <v>17.7445833333333</v>
      </c>
      <c r="N347" s="81" cm="1">
        <f ca="1" t="array" ref="N347">IF(N649=1,OFFSET($Z$338,$B347,N$335-1)/SUMPRODUCT(--($D$335:$V$335=N$335),--($D649:$V649=1)),0)+SUM(N346)+IF(COUNTIF(N$641:N649,1)=1,5,0)+IF(COUNTIF(O347:$Z347,"&gt;"&amp;0)&gt;5,IF(MOD(COUNTIF(N$641:N649,1),7)=0,$C$4,0),0)</f>
        <v>15.0195833333333</v>
      </c>
      <c r="O347" s="81" cm="1">
        <f ca="1" t="array" ref="O347">IF(O649=1,OFFSET($Z$338,$B347,O$335-1)/SUMPRODUCT(--($D$335:$V$335=O$335),--($D649:$V649=1)),0)+SUM(O346)+IF(COUNTIF(O$641:O649,1)=1,5,0)+IF(COUNTIF(P347:$Z347,"&gt;"&amp;0)&gt;5,IF(MOD(COUNTIF(O$641:O649,1),7)=0,$C$4,0),0)</f>
        <v>12.5945833333333</v>
      </c>
      <c r="P347" s="81" cm="1">
        <f ca="1" t="array" ref="P347">IF(P649=1,OFFSET($Z$338,$B347,P$335-1)/SUMPRODUCT(--($D$335:$V$335=P$335),--($D649:$V649=1)),0)+SUM(P346)+IF(COUNTIF(P$641:P649,1)=1,5,0)+IF(COUNTIF(Q347:$Z347,"&gt;"&amp;0)&gt;5,IF(MOD(COUNTIF(P$641:P649,1),7)=0,$C$4,0),0)</f>
        <v>9.66125</v>
      </c>
      <c r="Q347" s="81" cm="1">
        <f ca="1" t="array" ref="Q347">IF(Q649=1,OFFSET($Z$338,$B347,Q$335-1)/SUMPRODUCT(--($D$335:$V$335=Q$335),--($D649:$V649=1)),0)+SUM(Q346)+IF(COUNTIF(Q$641:Q649,1)=1,5,0)+IF(COUNTIF(R347:$Z347,"&gt;"&amp;0)&gt;5,IF(MOD(COUNTIF(Q$641:Q649,1),7)=0,$C$4,0),0)</f>
        <v>8.755</v>
      </c>
      <c r="R347" s="81" cm="1">
        <f ca="1" t="array" ref="R347">IF(R649=1,OFFSET($Z$338,$B347,R$335-1)/SUMPRODUCT(--($D$335:$V$335=R$335),--($D649:$V649=1)),0)+SUM(R346)+IF(COUNTIF(R$641:R649,1)=1,5,0)+IF(COUNTIF(S347:$Z347,"&gt;"&amp;0)&gt;5,IF(MOD(COUNTIF(R$641:R649,1),7)=0,$C$4,0),0)</f>
        <v>0</v>
      </c>
      <c r="S347" s="81" cm="1">
        <f ca="1" t="array" ref="S347">IF(S649=1,OFFSET($Z$338,$B347,S$335-1)/SUMPRODUCT(--($D$335:$V$335=S$335),--($D649:$V649=1)),0)+SUM(S346)+IF(COUNTIF(S$641:S649,1)=1,5,0)+IF(COUNTIF(T347:$Z347,"&gt;"&amp;0)&gt;5,IF(MOD(COUNTIF(S$641:S649,1),7)=0,$C$4,0),0)</f>
        <v>0</v>
      </c>
      <c r="T347" s="81" cm="1">
        <f ca="1" t="array" ref="T347">IF(T649=1,OFFSET($Z$338,$B347,T$335-1)/SUMPRODUCT(--($D$335:$V$335=T$335),--($D649:$V649=1)),0)+SUM(T346)+IF(COUNTIF(T$641:T649,1)=1,5,0)+IF(COUNTIF(U347:$Z347,"&gt;"&amp;0)&gt;5,IF(MOD(COUNTIF(T$641:T649,1),7)=0,$C$4,0),0)</f>
        <v>0</v>
      </c>
      <c r="U347" s="81" cm="1">
        <f ca="1" t="array" ref="U347">IF(U649=1,OFFSET($Z$338,$B347,U$335-1)/SUMPRODUCT(--($D$335:$V$335=U$335),--($D649:$V649=1)),0)+SUM(U346)+IF(COUNTIF(U$641:U649,1)=1,5,0)+IF(COUNTIF(V347:$Z347,"&gt;"&amp;0)&gt;5,IF(MOD(COUNTIF(U$641:U649,1),7)=0,$C$4,0),0)</f>
        <v>0</v>
      </c>
      <c r="V347" s="81" cm="1">
        <f ca="1" t="array" ref="V347">IF(V649=1,OFFSET($Z$338,$B347,V$335-1)/SUMPRODUCT(--($D$335:$V$335=V$335),--($D649:$V649=1)),0)+SUM(V346)+IF(COUNTIF(V$641:V649,1)=1,5,0)+IF(COUNTIF(Z347:$Z347,"&gt;"&amp;0)&gt;5,IF(MOD(COUNTIF(V$641:V649,1),7)=0,$C$4,0),0)</f>
        <v>0</v>
      </c>
      <c r="W347" s="81" cm="1">
        <f ca="1" t="array" ref="W347">IF(W649=1,OFFSET($Z$338,$B347,W$335-1)/SUMPRODUCT(--($D$335:$V$335=W$335),--($D649:$V649=1)),0)+SUM(W346)+IF(COUNTIF(W$641:W649,1)=1,5,0)+IF(COUNTIF($Z347:AA347,"&gt;"&amp;0)&gt;5,IF(MOD(COUNTIF(W$641:W649,1),7)=0,$C$4,0),0)</f>
        <v>0</v>
      </c>
      <c r="X347" s="81" cm="1">
        <f ca="1" t="array" ref="X347">IF(X649=1,OFFSET($Z$338,$B347,X$335-1)/SUMPRODUCT(--($D$335:$V$335=X$335),--($D649:$V649=1)),0)+SUM(X346)+IF(COUNTIF(X$641:X649,1)=1,5,0)+IF(COUNTIF($Z347:AB347,"&gt;"&amp;0)&gt;5,IF(MOD(COUNTIF(X$641:X649,1),7)=0,$C$4,0),0)</f>
        <v>0</v>
      </c>
      <c r="Y347" s="81" cm="1">
        <f ca="1" t="array" ref="Y347">IF(Y649=1,OFFSET($Z$338,$B347,Y$335-1)/SUMPRODUCT(--($D$335:$V$335=Y$335),--($D649:$V649=1)),0)+SUM(Y346)+IF(COUNTIF(Y$641:Y649,1)=1,5,0)+IF(COUNTIF($Z347:AC347,"&gt;"&amp;0)&gt;5,IF(MOD(COUNTIF(Y$641:Y649,1),7)=0,$C$4,0),0)</f>
        <v>0</v>
      </c>
      <c r="Z347" s="82" cm="1">
        <f ca="1" t="array" ref="Z347">SUMPRODUCT(TRANSPOSE($AD347:$AJ347),OFFSET($L$10:$L$16,0,Z$335-1))</f>
        <v>37.2</v>
      </c>
      <c r="AA347" s="82" cm="1">
        <f ca="1" t="array" ref="AA347">SUMPRODUCT(TRANSPOSE($AD347:$AJ347),OFFSET($L$10:$L$16,0,AA$335-1))</f>
        <v>16.8</v>
      </c>
      <c r="AB347" s="82" cm="1">
        <f ca="1" t="array" ref="AB347">SUMPRODUCT(TRANSPOSE($AD347:$AJ347),OFFSET($L$10:$L$16,0,AB$335-1))</f>
        <v>6</v>
      </c>
      <c r="AC347" s="82" cm="1">
        <f ca="1" t="array" ref="AC347">SUMPRODUCT(TRANSPOSE($AD347:$AJ347),OFFSET($L$10:$L$16,0,AC$335-1))</f>
        <v>0</v>
      </c>
      <c r="AD347" s="83">
        <f ca="1" t="shared" ref="AD347:AJ347" si="337">AK347-AK346</f>
        <v>0</v>
      </c>
      <c r="AE347" s="83">
        <f ca="1" t="shared" si="337"/>
        <v>0</v>
      </c>
      <c r="AF347" s="83">
        <f ca="1" t="shared" si="337"/>
        <v>120</v>
      </c>
      <c r="AG347" s="83">
        <f ca="1" t="shared" si="337"/>
        <v>0</v>
      </c>
      <c r="AH347" s="83">
        <f ca="1" t="shared" si="337"/>
        <v>0</v>
      </c>
      <c r="AI347" s="83">
        <f ca="1" t="shared" si="337"/>
        <v>0</v>
      </c>
      <c r="AJ347" s="83">
        <f ca="1" t="shared" si="337"/>
        <v>0</v>
      </c>
      <c r="AK347" s="83">
        <f ca="1" t="shared" si="321"/>
        <v>450</v>
      </c>
      <c r="AL347" s="83">
        <f ca="1" t="shared" ref="AL347:AQ347" si="338">IF($C347&gt;OFFSET($Q$9,MATCH(AL$338,$AK$338:$AQ$338,0),0),OFFSET($P$9,MATCH(AL$338,$AK$338:$AQ$338,0),0),MAX(0,$C347-OFFSET($Q$9,RIGHT(AL$338,1)-1,0)))</f>
        <v>909</v>
      </c>
      <c r="AM347" s="83">
        <f ca="1" t="shared" si="338"/>
        <v>321</v>
      </c>
      <c r="AN347" s="83">
        <f ca="1" t="shared" si="338"/>
        <v>0</v>
      </c>
      <c r="AO347" s="83">
        <f ca="1" t="shared" si="338"/>
        <v>0</v>
      </c>
      <c r="AP347" s="83">
        <f ca="1" t="shared" si="338"/>
        <v>0</v>
      </c>
      <c r="AQ347" s="83">
        <f ca="1" t="shared" si="338"/>
        <v>0</v>
      </c>
      <c r="AS347" s="52">
        <v>9</v>
      </c>
      <c r="AT347" s="52">
        <v>170</v>
      </c>
      <c r="AU347" s="52">
        <v>170</v>
      </c>
      <c r="AV347" s="52">
        <v>170</v>
      </c>
      <c r="AW347" s="52">
        <v>170</v>
      </c>
    </row>
    <row r="348" ht="16.5" spans="2:49">
      <c r="B348" s="65">
        <v>10</v>
      </c>
      <c r="C348" s="80">
        <f t="shared" si="319"/>
        <v>1821</v>
      </c>
      <c r="D348" s="81" cm="1">
        <f ca="1" t="array" ref="D348">IF(D650=1,OFFSET($Z$338,$B348,D$335-1)/SUMPRODUCT(--($D$335:$V$335=D$335),--($D650:$V650=1)),0)+SUM(D347)+IF(COUNTIF(D$641:D650,1)=1,5,0)+IF(COUNTIF(E348:$Z348,"&gt;"&amp;0)&gt;5,IF(MOD(COUNTIF(D$641:D650,1),7)=0,$C$4,0),0)</f>
        <v>225.305</v>
      </c>
      <c r="E348" s="81" cm="1">
        <f ca="1" t="array" ref="E348">IF(E650=1,OFFSET($Z$338,$B348,E$335-1)/SUMPRODUCT(--($D$335:$V$335=E$335),--($D650:$V650=1)),0)+SUM(E347)+IF(COUNTIF(E$641:E650,1)=1,5,0)+IF(COUNTIF(F348:$Z348,"&gt;"&amp;0)&gt;5,IF(MOD(COUNTIF(E$641:E650,1),7)=0,$C$4,0),0)</f>
        <v>225.305</v>
      </c>
      <c r="F348" s="81" cm="1">
        <f ca="1" t="array" ref="F348">IF(F650=1,OFFSET($Z$338,$B348,F$335-1)/SUMPRODUCT(--($D$335:$V$335=F$335),--($D650:$V650=1)),0)+SUM(F347)+IF(COUNTIF(F$641:F650,1)=1,5,0)+IF(COUNTIF(G348:$Z348,"&gt;"&amp;0)&gt;5,IF(MOD(COUNTIF(F$641:F650,1),7)=0,$C$4,0),0)</f>
        <v>225.305</v>
      </c>
      <c r="G348" s="81" cm="1">
        <f ca="1" t="array" ref="G348">IF(G650=1,OFFSET($Z$338,$B348,G$335-1)/SUMPRODUCT(--($D$335:$V$335=G$335),--($D650:$V650=1)),0)+SUM(G347)+IF(COUNTIF(G$641:G650,1)=1,5,0)+IF(COUNTIF(H348:$Z348,"&gt;"&amp;0)&gt;5,IF(MOD(COUNTIF(G$641:G650,1),7)=0,$C$4,0),0)</f>
        <v>47.5766666666667</v>
      </c>
      <c r="H348" s="81" cm="1">
        <f ca="1" t="array" ref="H348">IF(H650=1,OFFSET($Z$338,$B348,H$335-1)/SUMPRODUCT(--($D$335:$V$335=H$335),--($D650:$V650=1)),0)+SUM(H347)+IF(COUNTIF(H$641:H650,1)=1,5,0)+IF(COUNTIF(I348:$Z348,"&gt;"&amp;0)&gt;5,IF(MOD(COUNTIF(H$641:H650,1),7)=0,$C$4,0),0)</f>
        <v>47.5766666666667</v>
      </c>
      <c r="I348" s="81" cm="1">
        <f ca="1" t="array" ref="I348">IF(I650=1,OFFSET($Z$338,$B348,I$335-1)/SUMPRODUCT(--($D$335:$V$335=I$335),--($D650:$V650=1)),0)+SUM(I347)+IF(COUNTIF(I$641:I650,1)=1,5,0)+IF(COUNTIF(J348:$Z348,"&gt;"&amp;0)&gt;5,IF(MOD(COUNTIF(I$641:I650,1),7)=0,$C$4,0),0)</f>
        <v>47.5766666666667</v>
      </c>
      <c r="J348" s="81" cm="1">
        <f ca="1" t="array" ref="J348">IF(J650=1,OFFSET($Z$338,$B348,J$335-1)/SUMPRODUCT(--($D$335:$V$335=J$335),--($D650:$V650=1)),0)+SUM(J347)+IF(COUNTIF(J$641:J650,1)=1,5,0)+IF(COUNTIF(K348:$Z348,"&gt;"&amp;0)&gt;5,IF(MOD(COUNTIF(J$641:J650,1),7)=0,$C$4,0),0)</f>
        <v>47.5766666666667</v>
      </c>
      <c r="K348" s="81" cm="1">
        <f ca="1" t="array" ref="K348">IF(K650=1,OFFSET($Z$338,$B348,K$335-1)/SUMPRODUCT(--($D$335:$V$335=K$335),--($D650:$V650=1)),0)+SUM(K347)+IF(COUNTIF(K$641:K650,1)=1,5,0)+IF(COUNTIF(L348:$Z348,"&gt;"&amp;0)&gt;5,IF(MOD(COUNTIF(K$641:K650,1),7)=0,$C$4,0),0)</f>
        <v>47.5766666666667</v>
      </c>
      <c r="L348" s="81" cm="1">
        <f ca="1" t="array" ref="L348">IF(L650=1,OFFSET($Z$338,$B348,L$335-1)/SUMPRODUCT(--($D$335:$V$335=L$335),--($D650:$V650=1)),0)+SUM(L347)+IF(COUNTIF(L$641:L650,1)=1,5,0)+IF(COUNTIF(M348:$Z348,"&gt;"&amp;0)&gt;5,IF(MOD(COUNTIF(L$641:L650,1),7)=0,$C$4,0),0)</f>
        <v>40.8766666666667</v>
      </c>
      <c r="M348" s="81" cm="1">
        <f ca="1" t="array" ref="M348">IF(M650=1,OFFSET($Z$338,$B348,M$335-1)/SUMPRODUCT(--($D$335:$V$335=M$335),--($D650:$V650=1)),0)+SUM(M347)+IF(COUNTIF(M$641:M650,1)=1,5,0)+IF(COUNTIF(N348:$Z348,"&gt;"&amp;0)&gt;5,IF(MOD(COUNTIF(M$641:M650,1),7)=0,$C$4,0),0)</f>
        <v>19.1545833333333</v>
      </c>
      <c r="N348" s="81" cm="1">
        <f ca="1" t="array" ref="N348">IF(N650=1,OFFSET($Z$338,$B348,N$335-1)/SUMPRODUCT(--($D$335:$V$335=N$335),--($D650:$V650=1)),0)+SUM(N347)+IF(COUNTIF(N$641:N650,1)=1,5,0)+IF(COUNTIF(O348:$Z348,"&gt;"&amp;0)&gt;5,IF(MOD(COUNTIF(N$641:N650,1),7)=0,$C$4,0),0)</f>
        <v>16.4295833333333</v>
      </c>
      <c r="O348" s="81" cm="1">
        <f ca="1" t="array" ref="O348">IF(O650=1,OFFSET($Z$338,$B348,O$335-1)/SUMPRODUCT(--($D$335:$V$335=O$335),--($D650:$V650=1)),0)+SUM(O347)+IF(COUNTIF(O$641:O650,1)=1,5,0)+IF(COUNTIF(P348:$Z348,"&gt;"&amp;0)&gt;5,IF(MOD(COUNTIF(O$641:O650,1),7)=0,$C$4,0),0)</f>
        <v>14.0045833333333</v>
      </c>
      <c r="P348" s="81" cm="1">
        <f ca="1" t="array" ref="P348">IF(P650=1,OFFSET($Z$338,$B348,P$335-1)/SUMPRODUCT(--($D$335:$V$335=P$335),--($D650:$V650=1)),0)+SUM(P347)+IF(COUNTIF(P$641:P650,1)=1,5,0)+IF(COUNTIF(Q348:$Z348,"&gt;"&amp;0)&gt;5,IF(MOD(COUNTIF(P$641:P650,1),7)=0,$C$4,0),0)</f>
        <v>11.07125</v>
      </c>
      <c r="Q348" s="81" cm="1">
        <f ca="1" t="array" ref="Q348">IF(Q650=1,OFFSET($Z$338,$B348,Q$335-1)/SUMPRODUCT(--($D$335:$V$335=Q$335),--($D650:$V650=1)),0)+SUM(Q347)+IF(COUNTIF(Q$641:Q650,1)=1,5,0)+IF(COUNTIF(R348:$Z348,"&gt;"&amp;0)&gt;5,IF(MOD(COUNTIF(Q$641:Q650,1),7)=0,$C$4,0),0)</f>
        <v>10.165</v>
      </c>
      <c r="R348" s="81" cm="1">
        <f ca="1" t="array" ref="R348">IF(R650=1,OFFSET($Z$338,$B348,R$335-1)/SUMPRODUCT(--($D$335:$V$335=R$335),--($D650:$V650=1)),0)+SUM(R347)+IF(COUNTIF(R$641:R650,1)=1,5,0)+IF(COUNTIF(S348:$Z348,"&gt;"&amp;0)&gt;5,IF(MOD(COUNTIF(R$641:R650,1),7)=0,$C$4,0),0)</f>
        <v>0</v>
      </c>
      <c r="S348" s="81" cm="1">
        <f ca="1" t="array" ref="S348">IF(S650=1,OFFSET($Z$338,$B348,S$335-1)/SUMPRODUCT(--($D$335:$V$335=S$335),--($D650:$V650=1)),0)+SUM(S347)+IF(COUNTIF(S$641:S650,1)=1,5,0)+IF(COUNTIF(T348:$Z348,"&gt;"&amp;0)&gt;5,IF(MOD(COUNTIF(S$641:S650,1),7)=0,$C$4,0),0)</f>
        <v>0</v>
      </c>
      <c r="T348" s="81" cm="1">
        <f ca="1" t="array" ref="T348">IF(T650=1,OFFSET($Z$338,$B348,T$335-1)/SUMPRODUCT(--($D$335:$V$335=T$335),--($D650:$V650=1)),0)+SUM(T347)+IF(COUNTIF(T$641:T650,1)=1,5,0)+IF(COUNTIF(U348:$Z348,"&gt;"&amp;0)&gt;5,IF(MOD(COUNTIF(T$641:T650,1),7)=0,$C$4,0),0)</f>
        <v>0</v>
      </c>
      <c r="U348" s="81" cm="1">
        <f ca="1" t="array" ref="U348">IF(U650=1,OFFSET($Z$338,$B348,U$335-1)/SUMPRODUCT(--($D$335:$V$335=U$335),--($D650:$V650=1)),0)+SUM(U347)+IF(COUNTIF(U$641:U650,1)=1,5,0)+IF(COUNTIF(V348:$Z348,"&gt;"&amp;0)&gt;5,IF(MOD(COUNTIF(U$641:U650,1),7)=0,$C$4,0),0)</f>
        <v>0</v>
      </c>
      <c r="V348" s="81" cm="1">
        <f ca="1" t="array" ref="V348">IF(V650=1,OFFSET($Z$338,$B348,V$335-1)/SUMPRODUCT(--($D$335:$V$335=V$335),--($D650:$V650=1)),0)+SUM(V347)+IF(COUNTIF(V$641:V650,1)=1,5,0)+IF(COUNTIF(Z348:$Z348,"&gt;"&amp;0)&gt;5,IF(MOD(COUNTIF(V$641:V650,1),7)=0,$C$4,0),0)</f>
        <v>0</v>
      </c>
      <c r="W348" s="81" cm="1">
        <f ca="1" t="array" ref="W348">IF(W650=1,OFFSET($Z$338,$B348,W$335-1)/SUMPRODUCT(--($D$335:$V$335=W$335),--($D650:$V650=1)),0)+SUM(W347)+IF(COUNTIF(W$641:W650,1)=1,5,0)+IF(COUNTIF($Z348:AA348,"&gt;"&amp;0)&gt;5,IF(MOD(COUNTIF(W$641:W650,1),7)=0,$C$4,0),0)</f>
        <v>0</v>
      </c>
      <c r="X348" s="81" cm="1">
        <f ca="1" t="array" ref="X348">IF(X650=1,OFFSET($Z$338,$B348,X$335-1)/SUMPRODUCT(--($D$335:$V$335=X$335),--($D650:$V650=1)),0)+SUM(X347)+IF(COUNTIF(X$641:X650,1)=1,5,0)+IF(COUNTIF($Z348:AB348,"&gt;"&amp;0)&gt;5,IF(MOD(COUNTIF(X$641:X650,1),7)=0,$C$4,0),0)</f>
        <v>0</v>
      </c>
      <c r="Y348" s="81" cm="1">
        <f ca="1" t="array" ref="Y348">IF(Y650=1,OFFSET($Z$338,$B348,Y$335-1)/SUMPRODUCT(--($D$335:$V$335=Y$335),--($D650:$V650=1)),0)+SUM(Y347)+IF(COUNTIF(Y$641:Y650,1)=1,5,0)+IF(COUNTIF($Z348:AC348,"&gt;"&amp;0)&gt;5,IF(MOD(COUNTIF(Y$641:Y650,1),7)=0,$C$4,0),0)</f>
        <v>0</v>
      </c>
      <c r="Z348" s="82" cm="1">
        <f ca="1" t="array" ref="Z348">SUMPRODUCT(TRANSPOSE($AD348:$AJ348),OFFSET($L$10:$L$16,0,Z$335-1))</f>
        <v>43.71</v>
      </c>
      <c r="AA348" s="82" cm="1">
        <f ca="1" t="array" ref="AA348">SUMPRODUCT(TRANSPOSE($AD348:$AJ348),OFFSET($L$10:$L$16,0,AA$335-1))</f>
        <v>19.74</v>
      </c>
      <c r="AB348" s="82" cm="1">
        <f ca="1" t="array" ref="AB348">SUMPRODUCT(TRANSPOSE($AD348:$AJ348),OFFSET($L$10:$L$16,0,AB$335-1))</f>
        <v>7.05</v>
      </c>
      <c r="AC348" s="82" cm="1">
        <f ca="1" t="array" ref="AC348">SUMPRODUCT(TRANSPOSE($AD348:$AJ348),OFFSET($L$10:$L$16,0,AC$335-1))</f>
        <v>0</v>
      </c>
      <c r="AD348" s="83">
        <f ca="1" t="shared" ref="AD348:AJ348" si="339">AK348-AK347</f>
        <v>0</v>
      </c>
      <c r="AE348" s="83">
        <f ca="1" t="shared" si="339"/>
        <v>0</v>
      </c>
      <c r="AF348" s="83">
        <f ca="1" t="shared" si="339"/>
        <v>141</v>
      </c>
      <c r="AG348" s="83">
        <f ca="1" t="shared" si="339"/>
        <v>0</v>
      </c>
      <c r="AH348" s="83">
        <f ca="1" t="shared" si="339"/>
        <v>0</v>
      </c>
      <c r="AI348" s="83">
        <f ca="1" t="shared" si="339"/>
        <v>0</v>
      </c>
      <c r="AJ348" s="83">
        <f ca="1" t="shared" si="339"/>
        <v>0</v>
      </c>
      <c r="AK348" s="83">
        <f ca="1" t="shared" si="321"/>
        <v>450</v>
      </c>
      <c r="AL348" s="83">
        <f ca="1" t="shared" ref="AL348:AQ348" si="340">IF($C348&gt;OFFSET($Q$9,MATCH(AL$338,$AK$338:$AQ$338,0),0),OFFSET($P$9,MATCH(AL$338,$AK$338:$AQ$338,0),0),MAX(0,$C348-OFFSET($Q$9,RIGHT(AL$338,1)-1,0)))</f>
        <v>909</v>
      </c>
      <c r="AM348" s="83">
        <f ca="1" t="shared" si="340"/>
        <v>462</v>
      </c>
      <c r="AN348" s="83">
        <f ca="1" t="shared" si="340"/>
        <v>0</v>
      </c>
      <c r="AO348" s="83">
        <f ca="1" t="shared" si="340"/>
        <v>0</v>
      </c>
      <c r="AP348" s="83">
        <f ca="1" t="shared" si="340"/>
        <v>0</v>
      </c>
      <c r="AQ348" s="83">
        <f ca="1" t="shared" si="340"/>
        <v>0</v>
      </c>
      <c r="AS348" s="52">
        <v>10</v>
      </c>
      <c r="AT348" s="52">
        <v>200</v>
      </c>
      <c r="AU348" s="52">
        <v>200</v>
      </c>
      <c r="AV348" s="52">
        <v>200</v>
      </c>
      <c r="AW348" s="52">
        <v>200</v>
      </c>
    </row>
    <row r="349" ht="16.5" spans="2:49">
      <c r="B349" s="65">
        <v>11</v>
      </c>
      <c r="C349" s="80">
        <f t="shared" si="319"/>
        <v>1946</v>
      </c>
      <c r="D349" s="81" cm="1">
        <f ca="1" t="array" ref="D349">IF(D651=1,OFFSET($Z$338,$B349,D$335-1)/SUMPRODUCT(--($D$335:$V$335=D$335),--($D651:$V651=1)),0)+SUM(D348)+IF(COUNTIF(D$641:D651,1)=1,5,0)+IF(COUNTIF(E349:$Z349,"&gt;"&amp;0)&gt;5,IF(MOD(COUNTIF(D$641:D651,1),7)=0,$C$4,0),0)</f>
        <v>238.221666666667</v>
      </c>
      <c r="E349" s="81" cm="1">
        <f ca="1" t="array" ref="E349">IF(E651=1,OFFSET($Z$338,$B349,E$335-1)/SUMPRODUCT(--($D$335:$V$335=E$335),--($D651:$V651=1)),0)+SUM(E348)+IF(COUNTIF(E$641:E651,1)=1,5,0)+IF(COUNTIF(F349:$Z349,"&gt;"&amp;0)&gt;5,IF(MOD(COUNTIF(E$641:E651,1),7)=0,$C$4,0),0)</f>
        <v>238.221666666667</v>
      </c>
      <c r="F349" s="81" cm="1">
        <f ca="1" t="array" ref="F349">IF(F651=1,OFFSET($Z$338,$B349,F$335-1)/SUMPRODUCT(--($D$335:$V$335=F$335),--($D651:$V651=1)),0)+SUM(F348)+IF(COUNTIF(F$641:F651,1)=1,5,0)+IF(COUNTIF(G349:$Z349,"&gt;"&amp;0)&gt;5,IF(MOD(COUNTIF(F$641:F651,1),7)=0,$C$4,0),0)</f>
        <v>238.221666666667</v>
      </c>
      <c r="G349" s="81" cm="1">
        <f ca="1" t="array" ref="G349">IF(G651=1,OFFSET($Z$338,$B349,G$335-1)/SUMPRODUCT(--($D$335:$V$335=G$335),--($D651:$V651=1)),0)+SUM(G348)+IF(COUNTIF(G$641:G651,1)=1,5,0)+IF(COUNTIF(H349:$Z349,"&gt;"&amp;0)&gt;5,IF(MOD(COUNTIF(G$641:G651,1),7)=0,$C$4,0),0)</f>
        <v>50.4933333333333</v>
      </c>
      <c r="H349" s="81" cm="1">
        <f ca="1" t="array" ref="H349">IF(H651=1,OFFSET($Z$338,$B349,H$335-1)/SUMPRODUCT(--($D$335:$V$335=H$335),--($D651:$V651=1)),0)+SUM(H348)+IF(COUNTIF(H$641:H651,1)=1,5,0)+IF(COUNTIF(I349:$Z349,"&gt;"&amp;0)&gt;5,IF(MOD(COUNTIF(H$641:H651,1),7)=0,$C$4,0),0)</f>
        <v>50.4933333333333</v>
      </c>
      <c r="I349" s="81" cm="1">
        <f ca="1" t="array" ref="I349">IF(I651=1,OFFSET($Z$338,$B349,I$335-1)/SUMPRODUCT(--($D$335:$V$335=I$335),--($D651:$V651=1)),0)+SUM(I348)+IF(COUNTIF(I$641:I651,1)=1,5,0)+IF(COUNTIF(J349:$Z349,"&gt;"&amp;0)&gt;5,IF(MOD(COUNTIF(I$641:I651,1),7)=0,$C$4,0),0)</f>
        <v>50.4933333333333</v>
      </c>
      <c r="J349" s="81" cm="1">
        <f ca="1" t="array" ref="J349">IF(J651=1,OFFSET($Z$338,$B349,J$335-1)/SUMPRODUCT(--($D$335:$V$335=J$335),--($D651:$V651=1)),0)+SUM(J348)+IF(COUNTIF(J$641:J651,1)=1,5,0)+IF(COUNTIF(K349:$Z349,"&gt;"&amp;0)&gt;5,IF(MOD(COUNTIF(J$641:J651,1),7)=0,$C$4,0),0)</f>
        <v>50.4933333333333</v>
      </c>
      <c r="K349" s="81" cm="1">
        <f ca="1" t="array" ref="K349">IF(K651=1,OFFSET($Z$338,$B349,K$335-1)/SUMPRODUCT(--($D$335:$V$335=K$335),--($D651:$V651=1)),0)+SUM(K348)+IF(COUNTIF(K$641:K651,1)=1,5,0)+IF(COUNTIF(L349:$Z349,"&gt;"&amp;0)&gt;5,IF(MOD(COUNTIF(K$641:K651,1),7)=0,$C$4,0),0)</f>
        <v>50.4933333333333</v>
      </c>
      <c r="L349" s="81" cm="1">
        <f ca="1" t="array" ref="L349">IF(L651=1,OFFSET($Z$338,$B349,L$335-1)/SUMPRODUCT(--($D$335:$V$335=L$335),--($D651:$V651=1)),0)+SUM(L348)+IF(COUNTIF(L$641:L651,1)=1,5,0)+IF(COUNTIF(M349:$Z349,"&gt;"&amp;0)&gt;5,IF(MOD(COUNTIF(L$641:L651,1),7)=0,$C$4,0),0)</f>
        <v>43.7933333333333</v>
      </c>
      <c r="M349" s="81" cm="1">
        <f ca="1" t="array" ref="M349">IF(M651=1,OFFSET($Z$338,$B349,M$335-1)/SUMPRODUCT(--($D$335:$V$335=M$335),--($D651:$V651=1)),0)+SUM(M348)+IF(COUNTIF(M$641:M651,1)=1,5,0)+IF(COUNTIF(N349:$Z349,"&gt;"&amp;0)&gt;5,IF(MOD(COUNTIF(M$641:M651,1),7)=0,$C$4,0),0)</f>
        <v>20.4045833333333</v>
      </c>
      <c r="N349" s="81" cm="1">
        <f ca="1" t="array" ref="N349">IF(N651=1,OFFSET($Z$338,$B349,N$335-1)/SUMPRODUCT(--($D$335:$V$335=N$335),--($D651:$V651=1)),0)+SUM(N348)+IF(COUNTIF(N$641:N651,1)=1,5,0)+IF(COUNTIF(O349:$Z349,"&gt;"&amp;0)&gt;5,IF(MOD(COUNTIF(N$641:N651,1),7)=0,$C$4,0),0)</f>
        <v>17.6795833333333</v>
      </c>
      <c r="O349" s="81" cm="1">
        <f ca="1" t="array" ref="O349">IF(O651=1,OFFSET($Z$338,$B349,O$335-1)/SUMPRODUCT(--($D$335:$V$335=O$335),--($D651:$V651=1)),0)+SUM(O348)+IF(COUNTIF(O$641:O651,1)=1,5,0)+IF(COUNTIF(P349:$Z349,"&gt;"&amp;0)&gt;5,IF(MOD(COUNTIF(O$641:O651,1),7)=0,$C$4,0),0)</f>
        <v>15.2545833333333</v>
      </c>
      <c r="P349" s="81" cm="1">
        <f ca="1" t="array" ref="P349">IF(P651=1,OFFSET($Z$338,$B349,P$335-1)/SUMPRODUCT(--($D$335:$V$335=P$335),--($D651:$V651=1)),0)+SUM(P348)+IF(COUNTIF(P$641:P651,1)=1,5,0)+IF(COUNTIF(Q349:$Z349,"&gt;"&amp;0)&gt;5,IF(MOD(COUNTIF(P$641:P651,1),7)=0,$C$4,0),0)</f>
        <v>12.32125</v>
      </c>
      <c r="Q349" s="81" cm="1">
        <f ca="1" t="array" ref="Q349">IF(Q651=1,OFFSET($Z$338,$B349,Q$335-1)/SUMPRODUCT(--($D$335:$V$335=Q$335),--($D651:$V651=1)),0)+SUM(Q348)+IF(COUNTIF(Q$641:Q651,1)=1,5,0)+IF(COUNTIF(R349:$Z349,"&gt;"&amp;0)&gt;5,IF(MOD(COUNTIF(Q$641:Q651,1),7)=0,$C$4,0),0)</f>
        <v>11.415</v>
      </c>
      <c r="R349" s="81" cm="1">
        <f ca="1" t="array" ref="R349">IF(R651=1,OFFSET($Z$338,$B349,R$335-1)/SUMPRODUCT(--($D$335:$V$335=R$335),--($D651:$V651=1)),0)+SUM(R348)+IF(COUNTIF(R$641:R651,1)=1,5,0)+IF(COUNTIF(S349:$Z349,"&gt;"&amp;0)&gt;5,IF(MOD(COUNTIF(R$641:R651,1),7)=0,$C$4,0),0)</f>
        <v>0</v>
      </c>
      <c r="S349" s="81" cm="1">
        <f ca="1" t="array" ref="S349">IF(S651=1,OFFSET($Z$338,$B349,S$335-1)/SUMPRODUCT(--($D$335:$V$335=S$335),--($D651:$V651=1)),0)+SUM(S348)+IF(COUNTIF(S$641:S651,1)=1,5,0)+IF(COUNTIF(T349:$Z349,"&gt;"&amp;0)&gt;5,IF(MOD(COUNTIF(S$641:S651,1),7)=0,$C$4,0),0)</f>
        <v>0</v>
      </c>
      <c r="T349" s="81" cm="1">
        <f ca="1" t="array" ref="T349">IF(T651=1,OFFSET($Z$338,$B349,T$335-1)/SUMPRODUCT(--($D$335:$V$335=T$335),--($D651:$V651=1)),0)+SUM(T348)+IF(COUNTIF(T$641:T651,1)=1,5,0)+IF(COUNTIF(U349:$Z349,"&gt;"&amp;0)&gt;5,IF(MOD(COUNTIF(T$641:T651,1),7)=0,$C$4,0),0)</f>
        <v>0</v>
      </c>
      <c r="U349" s="81" cm="1">
        <f ca="1" t="array" ref="U349">IF(U651=1,OFFSET($Z$338,$B349,U$335-1)/SUMPRODUCT(--($D$335:$V$335=U$335),--($D651:$V651=1)),0)+SUM(U348)+IF(COUNTIF(U$641:U651,1)=1,5,0)+IF(COUNTIF(V349:$Z349,"&gt;"&amp;0)&gt;5,IF(MOD(COUNTIF(U$641:U651,1),7)=0,$C$4,0),0)</f>
        <v>0</v>
      </c>
      <c r="V349" s="81" cm="1">
        <f ca="1" t="array" ref="V349">IF(V651=1,OFFSET($Z$338,$B349,V$335-1)/SUMPRODUCT(--($D$335:$V$335=V$335),--($D651:$V651=1)),0)+SUM(V348)+IF(COUNTIF(V$641:V651,1)=1,5,0)+IF(COUNTIF(Z349:$Z349,"&gt;"&amp;0)&gt;5,IF(MOD(COUNTIF(V$641:V651,1),7)=0,$C$4,0),0)</f>
        <v>0</v>
      </c>
      <c r="W349" s="81" cm="1">
        <f ca="1" t="array" ref="W349">IF(W651=1,OFFSET($Z$338,$B349,W$335-1)/SUMPRODUCT(--($D$335:$V$335=W$335),--($D651:$V651=1)),0)+SUM(W348)+IF(COUNTIF(W$641:W651,1)=1,5,0)+IF(COUNTIF($Z349:AA349,"&gt;"&amp;0)&gt;5,IF(MOD(COUNTIF(W$641:W651,1),7)=0,$C$4,0),0)</f>
        <v>0</v>
      </c>
      <c r="X349" s="81" cm="1">
        <f ca="1" t="array" ref="X349">IF(X651=1,OFFSET($Z$338,$B349,X$335-1)/SUMPRODUCT(--($D$335:$V$335=X$335),--($D651:$V651=1)),0)+SUM(X348)+IF(COUNTIF(X$641:X651,1)=1,5,0)+IF(COUNTIF($Z349:AB349,"&gt;"&amp;0)&gt;5,IF(MOD(COUNTIF(X$641:X651,1),7)=0,$C$4,0),0)</f>
        <v>0</v>
      </c>
      <c r="Y349" s="81" cm="1">
        <f ca="1" t="array" ref="Y349">IF(Y651=1,OFFSET($Z$338,$B349,Y$335-1)/SUMPRODUCT(--($D$335:$V$335=Y$335),--($D651:$V651=1)),0)+SUM(Y348)+IF(COUNTIF(Y$641:Y651,1)=1,5,0)+IF(COUNTIF($Z349:AC349,"&gt;"&amp;0)&gt;5,IF(MOD(COUNTIF(Y$641:Y651,1),7)=0,$C$4,0),0)</f>
        <v>0</v>
      </c>
      <c r="Z349" s="82" cm="1">
        <f ca="1" t="array" ref="Z349">SUMPRODUCT(TRANSPOSE($AD349:$AJ349),OFFSET($L$10:$L$16,0,Z$335-1))</f>
        <v>38.75</v>
      </c>
      <c r="AA349" s="82" cm="1">
        <f ca="1" t="array" ref="AA349">SUMPRODUCT(TRANSPOSE($AD349:$AJ349),OFFSET($L$10:$L$16,0,AA$335-1))</f>
        <v>17.5</v>
      </c>
      <c r="AB349" s="82" cm="1">
        <f ca="1" t="array" ref="AB349">SUMPRODUCT(TRANSPOSE($AD349:$AJ349),OFFSET($L$10:$L$16,0,AB$335-1))</f>
        <v>6.25</v>
      </c>
      <c r="AC349" s="82" cm="1">
        <f ca="1" t="array" ref="AC349">SUMPRODUCT(TRANSPOSE($AD349:$AJ349),OFFSET($L$10:$L$16,0,AC$335-1))</f>
        <v>0</v>
      </c>
      <c r="AD349" s="83">
        <f ca="1" t="shared" ref="AD349:AJ349" si="341">AK349-AK348</f>
        <v>0</v>
      </c>
      <c r="AE349" s="83">
        <f ca="1" t="shared" si="341"/>
        <v>0</v>
      </c>
      <c r="AF349" s="83">
        <f ca="1" t="shared" si="341"/>
        <v>125</v>
      </c>
      <c r="AG349" s="83">
        <f ca="1" t="shared" si="341"/>
        <v>0</v>
      </c>
      <c r="AH349" s="83">
        <f ca="1" t="shared" si="341"/>
        <v>0</v>
      </c>
      <c r="AI349" s="83">
        <f ca="1" t="shared" si="341"/>
        <v>0</v>
      </c>
      <c r="AJ349" s="83">
        <f ca="1" t="shared" si="341"/>
        <v>0</v>
      </c>
      <c r="AK349" s="83">
        <f ca="1" t="shared" si="321"/>
        <v>450</v>
      </c>
      <c r="AL349" s="83">
        <f ca="1" t="shared" ref="AL349:AQ349" si="342">IF($C349&gt;OFFSET($Q$9,MATCH(AL$338,$AK$338:$AQ$338,0),0),OFFSET($P$9,MATCH(AL$338,$AK$338:$AQ$338,0),0),MAX(0,$C349-OFFSET($Q$9,RIGHT(AL$338,1)-1,0)))</f>
        <v>909</v>
      </c>
      <c r="AM349" s="83">
        <f ca="1" t="shared" si="342"/>
        <v>587</v>
      </c>
      <c r="AN349" s="83">
        <f ca="1" t="shared" si="342"/>
        <v>0</v>
      </c>
      <c r="AO349" s="83">
        <f ca="1" t="shared" si="342"/>
        <v>0</v>
      </c>
      <c r="AP349" s="83">
        <f ca="1" t="shared" si="342"/>
        <v>0</v>
      </c>
      <c r="AQ349" s="83">
        <f ca="1" t="shared" si="342"/>
        <v>0</v>
      </c>
      <c r="AS349" s="52">
        <v>11</v>
      </c>
      <c r="AT349" s="52">
        <v>260</v>
      </c>
      <c r="AU349" s="52">
        <v>260</v>
      </c>
      <c r="AV349" s="52">
        <v>260</v>
      </c>
      <c r="AW349" s="52">
        <v>250</v>
      </c>
    </row>
    <row r="350" ht="16.5" spans="2:49">
      <c r="B350" s="65">
        <v>12</v>
      </c>
      <c r="C350" s="80">
        <f t="shared" si="319"/>
        <v>2042</v>
      </c>
      <c r="D350" s="81" cm="1">
        <f ca="1" t="array" ref="D350">IF(D652=1,OFFSET($Z$338,$B350,D$335-1)/SUMPRODUCT(--($D$335:$V$335=D$335),--($D652:$V652=1)),0)+SUM(D349)+IF(COUNTIF(D$641:D652,1)=1,5,0)+IF(COUNTIF(E350:$Z350,"&gt;"&amp;0)&gt;5,IF(MOD(COUNTIF(D$641:D652,1),7)=0,$C$4,0),0)</f>
        <v>248.141666666667</v>
      </c>
      <c r="E350" s="81" cm="1">
        <f ca="1" t="array" ref="E350">IF(E652=1,OFFSET($Z$338,$B350,E$335-1)/SUMPRODUCT(--($D$335:$V$335=E$335),--($D652:$V652=1)),0)+SUM(E349)+IF(COUNTIF(E$641:E652,1)=1,5,0)+IF(COUNTIF(F350:$Z350,"&gt;"&amp;0)&gt;5,IF(MOD(COUNTIF(E$641:E652,1),7)=0,$C$4,0),0)</f>
        <v>248.141666666667</v>
      </c>
      <c r="F350" s="81" cm="1">
        <f ca="1" t="array" ref="F350">IF(F652=1,OFFSET($Z$338,$B350,F$335-1)/SUMPRODUCT(--($D$335:$V$335=F$335),--($D652:$V652=1)),0)+SUM(F349)+IF(COUNTIF(F$641:F652,1)=1,5,0)+IF(COUNTIF(G350:$Z350,"&gt;"&amp;0)&gt;5,IF(MOD(COUNTIF(F$641:F652,1),7)=0,$C$4,0),0)</f>
        <v>248.141666666667</v>
      </c>
      <c r="G350" s="81" cm="1">
        <f ca="1" t="array" ref="G350">IF(G652=1,OFFSET($Z$338,$B350,G$335-1)/SUMPRODUCT(--($D$335:$V$335=G$335),--($D652:$V652=1)),0)+SUM(G349)+IF(COUNTIF(G$641:G652,1)=1,5,0)+IF(COUNTIF(H350:$Z350,"&gt;"&amp;0)&gt;5,IF(MOD(COUNTIF(G$641:G652,1),7)=0,$C$4,0),0)</f>
        <v>52.7333333333333</v>
      </c>
      <c r="H350" s="81" cm="1">
        <f ca="1" t="array" ref="H350">IF(H652=1,OFFSET($Z$338,$B350,H$335-1)/SUMPRODUCT(--($D$335:$V$335=H$335),--($D652:$V652=1)),0)+SUM(H349)+IF(COUNTIF(H$641:H652,1)=1,5,0)+IF(COUNTIF(I350:$Z350,"&gt;"&amp;0)&gt;5,IF(MOD(COUNTIF(H$641:H652,1),7)=0,$C$4,0),0)</f>
        <v>52.7333333333333</v>
      </c>
      <c r="I350" s="81" cm="1">
        <f ca="1" t="array" ref="I350">IF(I652=1,OFFSET($Z$338,$B350,I$335-1)/SUMPRODUCT(--($D$335:$V$335=I$335),--($D652:$V652=1)),0)+SUM(I349)+IF(COUNTIF(I$641:I652,1)=1,5,0)+IF(COUNTIF(J350:$Z350,"&gt;"&amp;0)&gt;5,IF(MOD(COUNTIF(I$641:I652,1),7)=0,$C$4,0),0)</f>
        <v>52.7333333333333</v>
      </c>
      <c r="J350" s="81" cm="1">
        <f ca="1" t="array" ref="J350">IF(J652=1,OFFSET($Z$338,$B350,J$335-1)/SUMPRODUCT(--($D$335:$V$335=J$335),--($D652:$V652=1)),0)+SUM(J349)+IF(COUNTIF(J$641:J652,1)=1,5,0)+IF(COUNTIF(K350:$Z350,"&gt;"&amp;0)&gt;5,IF(MOD(COUNTIF(J$641:J652,1),7)=0,$C$4,0),0)</f>
        <v>52.7333333333333</v>
      </c>
      <c r="K350" s="81" cm="1">
        <f ca="1" t="array" ref="K350">IF(K652=1,OFFSET($Z$338,$B350,K$335-1)/SUMPRODUCT(--($D$335:$V$335=K$335),--($D652:$V652=1)),0)+SUM(K349)+IF(COUNTIF(K$641:K652,1)=1,5,0)+IF(COUNTIF(L350:$Z350,"&gt;"&amp;0)&gt;5,IF(MOD(COUNTIF(K$641:K652,1),7)=0,$C$4,0),0)</f>
        <v>52.7333333333333</v>
      </c>
      <c r="L350" s="81" cm="1">
        <f ca="1" t="array" ref="L350">IF(L652=1,OFFSET($Z$338,$B350,L$335-1)/SUMPRODUCT(--($D$335:$V$335=L$335),--($D652:$V652=1)),0)+SUM(L349)+IF(COUNTIF(L$641:L652,1)=1,5,0)+IF(COUNTIF(M350:$Z350,"&gt;"&amp;0)&gt;5,IF(MOD(COUNTIF(L$641:L652,1),7)=0,$C$4,0),0)</f>
        <v>46.0333333333333</v>
      </c>
      <c r="M350" s="81" cm="1">
        <f ca="1" t="array" ref="M350">IF(M652=1,OFFSET($Z$338,$B350,M$335-1)/SUMPRODUCT(--($D$335:$V$335=M$335),--($D652:$V652=1)),0)+SUM(M349)+IF(COUNTIF(M$641:M652,1)=1,5,0)+IF(COUNTIF(N350:$Z350,"&gt;"&amp;0)&gt;5,IF(MOD(COUNTIF(M$641:M652,1),7)=0,$C$4,0),0)</f>
        <v>21.3645833333333</v>
      </c>
      <c r="N350" s="81" cm="1">
        <f ca="1" t="array" ref="N350">IF(N652=1,OFFSET($Z$338,$B350,N$335-1)/SUMPRODUCT(--($D$335:$V$335=N$335),--($D652:$V652=1)),0)+SUM(N349)+IF(COUNTIF(N$641:N652,1)=1,5,0)+IF(COUNTIF(O350:$Z350,"&gt;"&amp;0)&gt;5,IF(MOD(COUNTIF(N$641:N652,1),7)=0,$C$4,0),0)</f>
        <v>18.6395833333333</v>
      </c>
      <c r="O350" s="81" cm="1">
        <f ca="1" t="array" ref="O350">IF(O652=1,OFFSET($Z$338,$B350,O$335-1)/SUMPRODUCT(--($D$335:$V$335=O$335),--($D652:$V652=1)),0)+SUM(O349)+IF(COUNTIF(O$641:O652,1)=1,5,0)+IF(COUNTIF(P350:$Z350,"&gt;"&amp;0)&gt;5,IF(MOD(COUNTIF(O$641:O652,1),7)=0,$C$4,0),0)</f>
        <v>16.2145833333333</v>
      </c>
      <c r="P350" s="81" cm="1">
        <f ca="1" t="array" ref="P350">IF(P652=1,OFFSET($Z$338,$B350,P$335-1)/SUMPRODUCT(--($D$335:$V$335=P$335),--($D652:$V652=1)),0)+SUM(P349)+IF(COUNTIF(P$641:P652,1)=1,5,0)+IF(COUNTIF(Q350:$Z350,"&gt;"&amp;0)&gt;5,IF(MOD(COUNTIF(P$641:P652,1),7)=0,$C$4,0),0)</f>
        <v>13.28125</v>
      </c>
      <c r="Q350" s="81" cm="1">
        <f ca="1" t="array" ref="Q350">IF(Q652=1,OFFSET($Z$338,$B350,Q$335-1)/SUMPRODUCT(--($D$335:$V$335=Q$335),--($D652:$V652=1)),0)+SUM(Q349)+IF(COUNTIF(Q$641:Q652,1)=1,5,0)+IF(COUNTIF(R350:$Z350,"&gt;"&amp;0)&gt;5,IF(MOD(COUNTIF(Q$641:Q652,1),7)=0,$C$4,0),0)</f>
        <v>12.375</v>
      </c>
      <c r="R350" s="81" cm="1">
        <f ca="1" t="array" ref="R350">IF(R652=1,OFFSET($Z$338,$B350,R$335-1)/SUMPRODUCT(--($D$335:$V$335=R$335),--($D652:$V652=1)),0)+SUM(R349)+IF(COUNTIF(R$641:R652,1)=1,5,0)+IF(COUNTIF(S350:$Z350,"&gt;"&amp;0)&gt;5,IF(MOD(COUNTIF(R$641:R652,1),7)=0,$C$4,0),0)</f>
        <v>0</v>
      </c>
      <c r="S350" s="81" cm="1">
        <f ca="1" t="array" ref="S350">IF(S652=1,OFFSET($Z$338,$B350,S$335-1)/SUMPRODUCT(--($D$335:$V$335=S$335),--($D652:$V652=1)),0)+SUM(S349)+IF(COUNTIF(S$641:S652,1)=1,5,0)+IF(COUNTIF(T350:$Z350,"&gt;"&amp;0)&gt;5,IF(MOD(COUNTIF(S$641:S652,1),7)=0,$C$4,0),0)</f>
        <v>0</v>
      </c>
      <c r="T350" s="81" cm="1">
        <f ca="1" t="array" ref="T350">IF(T652=1,OFFSET($Z$338,$B350,T$335-1)/SUMPRODUCT(--($D$335:$V$335=T$335),--($D652:$V652=1)),0)+SUM(T349)+IF(COUNTIF(T$641:T652,1)=1,5,0)+IF(COUNTIF(U350:$Z350,"&gt;"&amp;0)&gt;5,IF(MOD(COUNTIF(T$641:T652,1),7)=0,$C$4,0),0)</f>
        <v>0</v>
      </c>
      <c r="U350" s="81" cm="1">
        <f ca="1" t="array" ref="U350">IF(U652=1,OFFSET($Z$338,$B350,U$335-1)/SUMPRODUCT(--($D$335:$V$335=U$335),--($D652:$V652=1)),0)+SUM(U349)+IF(COUNTIF(U$641:U652,1)=1,5,0)+IF(COUNTIF(V350:$Z350,"&gt;"&amp;0)&gt;5,IF(MOD(COUNTIF(U$641:U652,1),7)=0,$C$4,0),0)</f>
        <v>0</v>
      </c>
      <c r="V350" s="81" cm="1">
        <f ca="1" t="array" ref="V350">IF(V652=1,OFFSET($Z$338,$B350,V$335-1)/SUMPRODUCT(--($D$335:$V$335=V$335),--($D652:$V652=1)),0)+SUM(V349)+IF(COUNTIF(V$641:V652,1)=1,5,0)+IF(COUNTIF(Z350:$Z350,"&gt;"&amp;0)&gt;5,IF(MOD(COUNTIF(V$641:V652,1),7)=0,$C$4,0),0)</f>
        <v>0</v>
      </c>
      <c r="W350" s="81" cm="1">
        <f ca="1" t="array" ref="W350">IF(W652=1,OFFSET($Z$338,$B350,W$335-1)/SUMPRODUCT(--($D$335:$V$335=W$335),--($D652:$V652=1)),0)+SUM(W349)+IF(COUNTIF(W$641:W652,1)=1,5,0)+IF(COUNTIF($Z350:AA350,"&gt;"&amp;0)&gt;5,IF(MOD(COUNTIF(W$641:W652,1),7)=0,$C$4,0),0)</f>
        <v>0</v>
      </c>
      <c r="X350" s="81" cm="1">
        <f ca="1" t="array" ref="X350">IF(X652=1,OFFSET($Z$338,$B350,X$335-1)/SUMPRODUCT(--($D$335:$V$335=X$335),--($D652:$V652=1)),0)+SUM(X349)+IF(COUNTIF(X$641:X652,1)=1,5,0)+IF(COUNTIF($Z350:AB350,"&gt;"&amp;0)&gt;5,IF(MOD(COUNTIF(X$641:X652,1),7)=0,$C$4,0),0)</f>
        <v>0</v>
      </c>
      <c r="Y350" s="81" cm="1">
        <f ca="1" t="array" ref="Y350">IF(Y652=1,OFFSET($Z$338,$B350,Y$335-1)/SUMPRODUCT(--($D$335:$V$335=Y$335),--($D652:$V652=1)),0)+SUM(Y349)+IF(COUNTIF(Y$641:Y652,1)=1,5,0)+IF(COUNTIF($Z350:AC350,"&gt;"&amp;0)&gt;5,IF(MOD(COUNTIF(Y$641:Y652,1),7)=0,$C$4,0),0)</f>
        <v>0</v>
      </c>
      <c r="Z350" s="82" cm="1">
        <f ca="1" t="array" ref="Z350">SUMPRODUCT(TRANSPOSE($AD350:$AJ350),OFFSET($L$10:$L$16,0,Z$335-1))</f>
        <v>29.76</v>
      </c>
      <c r="AA350" s="82" cm="1">
        <f ca="1" t="array" ref="AA350">SUMPRODUCT(TRANSPOSE($AD350:$AJ350),OFFSET($L$10:$L$16,0,AA$335-1))</f>
        <v>13.44</v>
      </c>
      <c r="AB350" s="82" cm="1">
        <f ca="1" t="array" ref="AB350">SUMPRODUCT(TRANSPOSE($AD350:$AJ350),OFFSET($L$10:$L$16,0,AB$335-1))</f>
        <v>4.8</v>
      </c>
      <c r="AC350" s="82" cm="1">
        <f ca="1" t="array" ref="AC350">SUMPRODUCT(TRANSPOSE($AD350:$AJ350),OFFSET($L$10:$L$16,0,AC$335-1))</f>
        <v>0</v>
      </c>
      <c r="AD350" s="83">
        <f ca="1" t="shared" ref="AD350:AJ350" si="343">AK350-AK349</f>
        <v>0</v>
      </c>
      <c r="AE350" s="83">
        <f ca="1" t="shared" si="343"/>
        <v>0</v>
      </c>
      <c r="AF350" s="83">
        <f ca="1" t="shared" si="343"/>
        <v>96</v>
      </c>
      <c r="AG350" s="83">
        <f ca="1" t="shared" si="343"/>
        <v>0</v>
      </c>
      <c r="AH350" s="83">
        <f ca="1" t="shared" si="343"/>
        <v>0</v>
      </c>
      <c r="AI350" s="83">
        <f ca="1" t="shared" si="343"/>
        <v>0</v>
      </c>
      <c r="AJ350" s="83">
        <f ca="1" t="shared" si="343"/>
        <v>0</v>
      </c>
      <c r="AK350" s="83">
        <f ca="1" t="shared" si="321"/>
        <v>450</v>
      </c>
      <c r="AL350" s="83">
        <f ca="1" t="shared" ref="AL350:AQ350" si="344">IF($C350&gt;OFFSET($Q$9,MATCH(AL$338,$AK$338:$AQ$338,0),0),OFFSET($P$9,MATCH(AL$338,$AK$338:$AQ$338,0),0),MAX(0,$C350-OFFSET($Q$9,RIGHT(AL$338,1)-1,0)))</f>
        <v>909</v>
      </c>
      <c r="AM350" s="83">
        <f ca="1" t="shared" si="344"/>
        <v>683</v>
      </c>
      <c r="AN350" s="83">
        <f ca="1" t="shared" si="344"/>
        <v>0</v>
      </c>
      <c r="AO350" s="83">
        <f ca="1" t="shared" si="344"/>
        <v>0</v>
      </c>
      <c r="AP350" s="83">
        <f ca="1" t="shared" si="344"/>
        <v>0</v>
      </c>
      <c r="AQ350" s="83">
        <f ca="1" t="shared" si="344"/>
        <v>0</v>
      </c>
      <c r="AS350" s="52">
        <v>12</v>
      </c>
      <c r="AT350" s="52">
        <v>320</v>
      </c>
      <c r="AU350" s="52">
        <v>320</v>
      </c>
      <c r="AV350" s="52">
        <v>320</v>
      </c>
      <c r="AW350" s="52">
        <v>300</v>
      </c>
    </row>
    <row r="351" ht="16.5" spans="2:49">
      <c r="B351" s="65">
        <v>13</v>
      </c>
      <c r="C351" s="80">
        <f t="shared" si="319"/>
        <v>2153</v>
      </c>
      <c r="D351" s="81" cm="1">
        <f ca="1" t="array" ref="D351">IF(D653=1,OFFSET($Z$338,$B351,D$335-1)/SUMPRODUCT(--($D$335:$V$335=D$335),--($D653:$V653=1)),0)+SUM(D350)+IF(COUNTIF(D$641:D653,1)=1,5,0)+IF(COUNTIF(E351:$Z351,"&gt;"&amp;0)&gt;5,IF(MOD(COUNTIF(D$641:D653,1),7)=0,$C$4,0),0)</f>
        <v>259.611666666667</v>
      </c>
      <c r="E351" s="81" cm="1">
        <f ca="1" t="array" ref="E351">IF(E653=1,OFFSET($Z$338,$B351,E$335-1)/SUMPRODUCT(--($D$335:$V$335=E$335),--($D653:$V653=1)),0)+SUM(E350)+IF(COUNTIF(E$641:E653,1)=1,5,0)+IF(COUNTIF(F351:$Z351,"&gt;"&amp;0)&gt;5,IF(MOD(COUNTIF(E$641:E653,1),7)=0,$C$4,0),0)</f>
        <v>259.611666666667</v>
      </c>
      <c r="F351" s="81" cm="1">
        <f ca="1" t="array" ref="F351">IF(F653=1,OFFSET($Z$338,$B351,F$335-1)/SUMPRODUCT(--($D$335:$V$335=F$335),--($D653:$V653=1)),0)+SUM(F350)+IF(COUNTIF(F$641:F653,1)=1,5,0)+IF(COUNTIF(G351:$Z351,"&gt;"&amp;0)&gt;5,IF(MOD(COUNTIF(F$641:F653,1),7)=0,$C$4,0),0)</f>
        <v>259.611666666667</v>
      </c>
      <c r="G351" s="81" cm="1">
        <f ca="1" t="array" ref="G351">IF(G653=1,OFFSET($Z$338,$B351,G$335-1)/SUMPRODUCT(--($D$335:$V$335=G$335),--($D653:$V653=1)),0)+SUM(G350)+IF(COUNTIF(G$641:G653,1)=1,5,0)+IF(COUNTIF(H351:$Z351,"&gt;"&amp;0)&gt;5,IF(MOD(COUNTIF(G$641:G653,1),7)=0,$C$4,0),0)</f>
        <v>55.3233333333333</v>
      </c>
      <c r="H351" s="81" cm="1">
        <f ca="1" t="array" ref="H351">IF(H653=1,OFFSET($Z$338,$B351,H$335-1)/SUMPRODUCT(--($D$335:$V$335=H$335),--($D653:$V653=1)),0)+SUM(H350)+IF(COUNTIF(H$641:H653,1)=1,5,0)+IF(COUNTIF(I351:$Z351,"&gt;"&amp;0)&gt;5,IF(MOD(COUNTIF(H$641:H653,1),7)=0,$C$4,0),0)</f>
        <v>55.3233333333333</v>
      </c>
      <c r="I351" s="81" cm="1">
        <f ca="1" t="array" ref="I351">IF(I653=1,OFFSET($Z$338,$B351,I$335-1)/SUMPRODUCT(--($D$335:$V$335=I$335),--($D653:$V653=1)),0)+SUM(I350)+IF(COUNTIF(I$641:I653,1)=1,5,0)+IF(COUNTIF(J351:$Z351,"&gt;"&amp;0)&gt;5,IF(MOD(COUNTIF(I$641:I653,1),7)=0,$C$4,0),0)</f>
        <v>55.3233333333333</v>
      </c>
      <c r="J351" s="81" cm="1">
        <f ca="1" t="array" ref="J351">IF(J653=1,OFFSET($Z$338,$B351,J$335-1)/SUMPRODUCT(--($D$335:$V$335=J$335),--($D653:$V653=1)),0)+SUM(J350)+IF(COUNTIF(J$641:J653,1)=1,5,0)+IF(COUNTIF(K351:$Z351,"&gt;"&amp;0)&gt;5,IF(MOD(COUNTIF(J$641:J653,1),7)=0,$C$4,0),0)</f>
        <v>55.3233333333333</v>
      </c>
      <c r="K351" s="81" cm="1">
        <f ca="1" t="array" ref="K351">IF(K653=1,OFFSET($Z$338,$B351,K$335-1)/SUMPRODUCT(--($D$335:$V$335=K$335),--($D653:$V653=1)),0)+SUM(K350)+IF(COUNTIF(K$641:K653,1)=1,5,0)+IF(COUNTIF(L351:$Z351,"&gt;"&amp;0)&gt;5,IF(MOD(COUNTIF(K$641:K653,1),7)=0,$C$4,0),0)</f>
        <v>55.3233333333333</v>
      </c>
      <c r="L351" s="81" cm="1">
        <f ca="1" t="array" ref="L351">IF(L653=1,OFFSET($Z$338,$B351,L$335-1)/SUMPRODUCT(--($D$335:$V$335=L$335),--($D653:$V653=1)),0)+SUM(L350)+IF(COUNTIF(L$641:L653,1)=1,5,0)+IF(COUNTIF(M351:$Z351,"&gt;"&amp;0)&gt;5,IF(MOD(COUNTIF(L$641:L653,1),7)=0,$C$4,0),0)</f>
        <v>48.6233333333333</v>
      </c>
      <c r="M351" s="81" cm="1">
        <f ca="1" t="array" ref="M351">IF(M653=1,OFFSET($Z$338,$B351,M$335-1)/SUMPRODUCT(--($D$335:$V$335=M$335),--($D653:$V653=1)),0)+SUM(M350)+IF(COUNTIF(M$641:M653,1)=1,5,0)+IF(COUNTIF(N351:$Z351,"&gt;"&amp;0)&gt;5,IF(MOD(COUNTIF(M$641:M653,1),7)=0,$C$4,0),0)</f>
        <v>22.4745833333333</v>
      </c>
      <c r="N351" s="81" cm="1">
        <f ca="1" t="array" ref="N351">IF(N653=1,OFFSET($Z$338,$B351,N$335-1)/SUMPRODUCT(--($D$335:$V$335=N$335),--($D653:$V653=1)),0)+SUM(N350)+IF(COUNTIF(N$641:N653,1)=1,5,0)+IF(COUNTIF(O351:$Z351,"&gt;"&amp;0)&gt;5,IF(MOD(COUNTIF(N$641:N653,1),7)=0,$C$4,0),0)</f>
        <v>19.7495833333333</v>
      </c>
      <c r="O351" s="81" cm="1">
        <f ca="1" t="array" ref="O351">IF(O653=1,OFFSET($Z$338,$B351,O$335-1)/SUMPRODUCT(--($D$335:$V$335=O$335),--($D653:$V653=1)),0)+SUM(O350)+IF(COUNTIF(O$641:O653,1)=1,5,0)+IF(COUNTIF(P351:$Z351,"&gt;"&amp;0)&gt;5,IF(MOD(COUNTIF(O$641:O653,1),7)=0,$C$4,0),0)</f>
        <v>17.3245833333333</v>
      </c>
      <c r="P351" s="81" cm="1">
        <f ca="1" t="array" ref="P351">IF(P653=1,OFFSET($Z$338,$B351,P$335-1)/SUMPRODUCT(--($D$335:$V$335=P$335),--($D653:$V653=1)),0)+SUM(P350)+IF(COUNTIF(P$641:P653,1)=1,5,0)+IF(COUNTIF(Q351:$Z351,"&gt;"&amp;0)&gt;5,IF(MOD(COUNTIF(P$641:P653,1),7)=0,$C$4,0),0)</f>
        <v>14.39125</v>
      </c>
      <c r="Q351" s="81" cm="1">
        <f ca="1" t="array" ref="Q351">IF(Q653=1,OFFSET($Z$338,$B351,Q$335-1)/SUMPRODUCT(--($D$335:$V$335=Q$335),--($D653:$V653=1)),0)+SUM(Q350)+IF(COUNTIF(Q$641:Q653,1)=1,5,0)+IF(COUNTIF(R351:$Z351,"&gt;"&amp;0)&gt;5,IF(MOD(COUNTIF(Q$641:Q653,1),7)=0,$C$4,0),0)</f>
        <v>13.485</v>
      </c>
      <c r="R351" s="81" cm="1">
        <f ca="1" t="array" ref="R351">IF(R653=1,OFFSET($Z$338,$B351,R$335-1)/SUMPRODUCT(--($D$335:$V$335=R$335),--($D653:$V653=1)),0)+SUM(R350)+IF(COUNTIF(R$641:R653,1)=1,5,0)+IF(COUNTIF(S351:$Z351,"&gt;"&amp;0)&gt;5,IF(MOD(COUNTIF(R$641:R653,1),7)=0,$C$4,0),0)</f>
        <v>0</v>
      </c>
      <c r="S351" s="81" cm="1">
        <f ca="1" t="array" ref="S351">IF(S653=1,OFFSET($Z$338,$B351,S$335-1)/SUMPRODUCT(--($D$335:$V$335=S$335),--($D653:$V653=1)),0)+SUM(S350)+IF(COUNTIF(S$641:S653,1)=1,5,0)+IF(COUNTIF(T351:$Z351,"&gt;"&amp;0)&gt;5,IF(MOD(COUNTIF(S$641:S653,1),7)=0,$C$4,0),0)</f>
        <v>0</v>
      </c>
      <c r="T351" s="81" cm="1">
        <f ca="1" t="array" ref="T351">IF(T653=1,OFFSET($Z$338,$B351,T$335-1)/SUMPRODUCT(--($D$335:$V$335=T$335),--($D653:$V653=1)),0)+SUM(T350)+IF(COUNTIF(T$641:T653,1)=1,5,0)+IF(COUNTIF(U351:$Z351,"&gt;"&amp;0)&gt;5,IF(MOD(COUNTIF(T$641:T653,1),7)=0,$C$4,0),0)</f>
        <v>0</v>
      </c>
      <c r="U351" s="81" cm="1">
        <f ca="1" t="array" ref="U351">IF(U653=1,OFFSET($Z$338,$B351,U$335-1)/SUMPRODUCT(--($D$335:$V$335=U$335),--($D653:$V653=1)),0)+SUM(U350)+IF(COUNTIF(U$641:U653,1)=1,5,0)+IF(COUNTIF(V351:$Z351,"&gt;"&amp;0)&gt;5,IF(MOD(COUNTIF(U$641:U653,1),7)=0,$C$4,0),0)</f>
        <v>0</v>
      </c>
      <c r="V351" s="81" cm="1">
        <f ca="1" t="array" ref="V351">IF(V653=1,OFFSET($Z$338,$B351,V$335-1)/SUMPRODUCT(--($D$335:$V$335=V$335),--($D653:$V653=1)),0)+SUM(V350)+IF(COUNTIF(V$641:V653,1)=1,5,0)+IF(COUNTIF(Z351:$Z351,"&gt;"&amp;0)&gt;5,IF(MOD(COUNTIF(V$641:V653,1),7)=0,$C$4,0),0)</f>
        <v>0</v>
      </c>
      <c r="W351" s="81" cm="1">
        <f ca="1" t="array" ref="W351">IF(W653=1,OFFSET($Z$338,$B351,W$335-1)/SUMPRODUCT(--($D$335:$V$335=W$335),--($D653:$V653=1)),0)+SUM(W350)+IF(COUNTIF(W$641:W653,1)=1,5,0)+IF(COUNTIF($Z351:AA351,"&gt;"&amp;0)&gt;5,IF(MOD(COUNTIF(W$641:W653,1),7)=0,$C$4,0),0)</f>
        <v>0</v>
      </c>
      <c r="X351" s="81" cm="1">
        <f ca="1" t="array" ref="X351">IF(X653=1,OFFSET($Z$338,$B351,X$335-1)/SUMPRODUCT(--($D$335:$V$335=X$335),--($D653:$V653=1)),0)+SUM(X350)+IF(COUNTIF(X$641:X653,1)=1,5,0)+IF(COUNTIF($Z351:AB351,"&gt;"&amp;0)&gt;5,IF(MOD(COUNTIF(X$641:X653,1),7)=0,$C$4,0),0)</f>
        <v>0</v>
      </c>
      <c r="Y351" s="81" cm="1">
        <f ca="1" t="array" ref="Y351">IF(Y653=1,OFFSET($Z$338,$B351,Y$335-1)/SUMPRODUCT(--($D$335:$V$335=Y$335),--($D653:$V653=1)),0)+SUM(Y350)+IF(COUNTIF(Y$641:Y653,1)=1,5,0)+IF(COUNTIF($Z351:AC351,"&gt;"&amp;0)&gt;5,IF(MOD(COUNTIF(Y$641:Y653,1),7)=0,$C$4,0),0)</f>
        <v>0</v>
      </c>
      <c r="Z351" s="82" cm="1">
        <f ca="1" t="array" ref="Z351">SUMPRODUCT(TRANSPOSE($AD351:$AJ351),OFFSET($L$10:$L$16,0,Z$335-1))</f>
        <v>34.41</v>
      </c>
      <c r="AA351" s="82" cm="1">
        <f ca="1" t="array" ref="AA351">SUMPRODUCT(TRANSPOSE($AD351:$AJ351),OFFSET($L$10:$L$16,0,AA$335-1))</f>
        <v>15.54</v>
      </c>
      <c r="AB351" s="82" cm="1">
        <f ca="1" t="array" ref="AB351">SUMPRODUCT(TRANSPOSE($AD351:$AJ351),OFFSET($L$10:$L$16,0,AB$335-1))</f>
        <v>5.55</v>
      </c>
      <c r="AC351" s="82" cm="1">
        <f ca="1" t="array" ref="AC351">SUMPRODUCT(TRANSPOSE($AD351:$AJ351),OFFSET($L$10:$L$16,0,AC$335-1))</f>
        <v>0</v>
      </c>
      <c r="AD351" s="83">
        <f ca="1" t="shared" ref="AD351:AJ351" si="345">AK351-AK350</f>
        <v>0</v>
      </c>
      <c r="AE351" s="83">
        <f ca="1" t="shared" si="345"/>
        <v>0</v>
      </c>
      <c r="AF351" s="83">
        <f ca="1" t="shared" si="345"/>
        <v>111</v>
      </c>
      <c r="AG351" s="83">
        <f ca="1" t="shared" si="345"/>
        <v>0</v>
      </c>
      <c r="AH351" s="83">
        <f ca="1" t="shared" si="345"/>
        <v>0</v>
      </c>
      <c r="AI351" s="83">
        <f ca="1" t="shared" si="345"/>
        <v>0</v>
      </c>
      <c r="AJ351" s="83">
        <f ca="1" t="shared" si="345"/>
        <v>0</v>
      </c>
      <c r="AK351" s="83">
        <f ca="1" t="shared" si="321"/>
        <v>450</v>
      </c>
      <c r="AL351" s="83">
        <f ca="1" t="shared" ref="AL351:AQ351" si="346">IF($C351&gt;OFFSET($Q$9,MATCH(AL$338,$AK$338:$AQ$338,0),0),OFFSET($P$9,MATCH(AL$338,$AK$338:$AQ$338,0),0),MAX(0,$C351-OFFSET($Q$9,RIGHT(AL$338,1)-1,0)))</f>
        <v>909</v>
      </c>
      <c r="AM351" s="83">
        <f ca="1" t="shared" si="346"/>
        <v>794</v>
      </c>
      <c r="AN351" s="83">
        <f ca="1" t="shared" si="346"/>
        <v>0</v>
      </c>
      <c r="AO351" s="83">
        <f ca="1" t="shared" si="346"/>
        <v>0</v>
      </c>
      <c r="AP351" s="83">
        <f ca="1" t="shared" si="346"/>
        <v>0</v>
      </c>
      <c r="AQ351" s="83">
        <f ca="1" t="shared" si="346"/>
        <v>0</v>
      </c>
      <c r="AS351" s="52">
        <v>13</v>
      </c>
      <c r="AT351" s="52">
        <v>380</v>
      </c>
      <c r="AU351" s="52">
        <v>380</v>
      </c>
      <c r="AV351" s="52">
        <v>380</v>
      </c>
      <c r="AW351" s="52">
        <v>350</v>
      </c>
    </row>
    <row r="352" ht="16.5" spans="2:49">
      <c r="B352" s="65">
        <v>14</v>
      </c>
      <c r="C352" s="80">
        <f t="shared" si="319"/>
        <v>2294</v>
      </c>
      <c r="D352" s="81" cm="1">
        <f ca="1" t="array" ref="D352">IF(D654=1,OFFSET($Z$338,$B352,D$335-1)/SUMPRODUCT(--($D$335:$V$335=D$335),--($D654:$V654=1)),0)+SUM(D351)+IF(COUNTIF(D$641:D654,1)=1,5,0)+IF(COUNTIF(E352:$Z352,"&gt;"&amp;0)&gt;5,IF(MOD(COUNTIF(D$641:D654,1),7)=0,$C$4,0),0)</f>
        <v>279.181666666667</v>
      </c>
      <c r="E352" s="81" cm="1">
        <f ca="1" t="array" ref="E352">IF(E654=1,OFFSET($Z$338,$B352,E$335-1)/SUMPRODUCT(--($D$335:$V$335=E$335),--($D654:$V654=1)),0)+SUM(E351)+IF(COUNTIF(E$641:E654,1)=1,5,0)+IF(COUNTIF(F352:$Z352,"&gt;"&amp;0)&gt;5,IF(MOD(COUNTIF(E$641:E654,1),7)=0,$C$4,0),0)</f>
        <v>279.181666666667</v>
      </c>
      <c r="F352" s="81" cm="1">
        <f ca="1" t="array" ref="F352">IF(F654=1,OFFSET($Z$338,$B352,F$335-1)/SUMPRODUCT(--($D$335:$V$335=F$335),--($D654:$V654=1)),0)+SUM(F351)+IF(COUNTIF(F$641:F654,1)=1,5,0)+IF(COUNTIF(G352:$Z352,"&gt;"&amp;0)&gt;5,IF(MOD(COUNTIF(F$641:F654,1),7)=0,$C$4,0),0)</f>
        <v>279.181666666667</v>
      </c>
      <c r="G352" s="81" cm="1">
        <f ca="1" t="array" ref="G352">IF(G654=1,OFFSET($Z$338,$B352,G$335-1)/SUMPRODUCT(--($D$335:$V$335=G$335),--($D654:$V654=1)),0)+SUM(G351)+IF(COUNTIF(G$641:G654,1)=1,5,0)+IF(COUNTIF(H352:$Z352,"&gt;"&amp;0)&gt;5,IF(MOD(COUNTIF(G$641:G654,1),7)=0,$C$4,0),0)</f>
        <v>63.6133333333333</v>
      </c>
      <c r="H352" s="81" cm="1">
        <f ca="1" t="array" ref="H352">IF(H654=1,OFFSET($Z$338,$B352,H$335-1)/SUMPRODUCT(--($D$335:$V$335=H$335),--($D654:$V654=1)),0)+SUM(H351)+IF(COUNTIF(H$641:H654,1)=1,5,0)+IF(COUNTIF(I352:$Z352,"&gt;"&amp;0)&gt;5,IF(MOD(COUNTIF(H$641:H654,1),7)=0,$C$4,0),0)</f>
        <v>63.6133333333333</v>
      </c>
      <c r="I352" s="81" cm="1">
        <f ca="1" t="array" ref="I352">IF(I654=1,OFFSET($Z$338,$B352,I$335-1)/SUMPRODUCT(--($D$335:$V$335=I$335),--($D654:$V654=1)),0)+SUM(I351)+IF(COUNTIF(I$641:I654,1)=1,5,0)+IF(COUNTIF(J352:$Z352,"&gt;"&amp;0)&gt;5,IF(MOD(COUNTIF(I$641:I654,1),7)=0,$C$4,0),0)</f>
        <v>63.6133333333333</v>
      </c>
      <c r="J352" s="81" cm="1">
        <f ca="1" t="array" ref="J352">IF(J654=1,OFFSET($Z$338,$B352,J$335-1)/SUMPRODUCT(--($D$335:$V$335=J$335),--($D654:$V654=1)),0)+SUM(J351)+IF(COUNTIF(J$641:J654,1)=1,5,0)+IF(COUNTIF(K352:$Z352,"&gt;"&amp;0)&gt;5,IF(MOD(COUNTIF(J$641:J654,1),7)=0,$C$4,0),0)</f>
        <v>63.6133333333333</v>
      </c>
      <c r="K352" s="81" cm="1">
        <f ca="1" t="array" ref="K352">IF(K654=1,OFFSET($Z$338,$B352,K$335-1)/SUMPRODUCT(--($D$335:$V$335=K$335),--($D654:$V654=1)),0)+SUM(K351)+IF(COUNTIF(K$641:K654,1)=1,5,0)+IF(COUNTIF(L352:$Z352,"&gt;"&amp;0)&gt;5,IF(MOD(COUNTIF(K$641:K654,1),7)=0,$C$4,0),0)</f>
        <v>63.6133333333333</v>
      </c>
      <c r="L352" s="81" cm="1">
        <f ca="1" t="array" ref="L352">IF(L654=1,OFFSET($Z$338,$B352,L$335-1)/SUMPRODUCT(--($D$335:$V$335=L$335),--($D654:$V654=1)),0)+SUM(L351)+IF(COUNTIF(L$641:L654,1)=1,5,0)+IF(COUNTIF(M352:$Z352,"&gt;"&amp;0)&gt;5,IF(MOD(COUNTIF(L$641:L654,1),7)=0,$C$4,0),0)</f>
        <v>51.9133333333333</v>
      </c>
      <c r="M352" s="81" cm="1">
        <f ca="1" t="array" ref="M352">IF(M654=1,OFFSET($Z$338,$B352,M$335-1)/SUMPRODUCT(--($D$335:$V$335=M$335),--($D654:$V654=1)),0)+SUM(M351)+IF(COUNTIF(M$641:M654,1)=1,5,0)+IF(COUNTIF(N352:$Z352,"&gt;"&amp;0)&gt;5,IF(MOD(COUNTIF(M$641:M654,1),7)=0,$C$4,0),0)</f>
        <v>23.8845833333333</v>
      </c>
      <c r="N352" s="81" cm="1">
        <f ca="1" t="array" ref="N352">IF(N654=1,OFFSET($Z$338,$B352,N$335-1)/SUMPRODUCT(--($D$335:$V$335=N$335),--($D654:$V654=1)),0)+SUM(N351)+IF(COUNTIF(N$641:N654,1)=1,5,0)+IF(COUNTIF(O352:$Z352,"&gt;"&amp;0)&gt;5,IF(MOD(COUNTIF(N$641:N654,1),7)=0,$C$4,0),0)</f>
        <v>21.1595833333333</v>
      </c>
      <c r="O352" s="81" cm="1">
        <f ca="1" t="array" ref="O352">IF(O654=1,OFFSET($Z$338,$B352,O$335-1)/SUMPRODUCT(--($D$335:$V$335=O$335),--($D654:$V654=1)),0)+SUM(O351)+IF(COUNTIF(O$641:O654,1)=1,5,0)+IF(COUNTIF(P352:$Z352,"&gt;"&amp;0)&gt;5,IF(MOD(COUNTIF(O$641:O654,1),7)=0,$C$4,0),0)</f>
        <v>18.7345833333333</v>
      </c>
      <c r="P352" s="81" cm="1">
        <f ca="1" t="array" ref="P352">IF(P654=1,OFFSET($Z$338,$B352,P$335-1)/SUMPRODUCT(--($D$335:$V$335=P$335),--($D654:$V654=1)),0)+SUM(P351)+IF(COUNTIF(P$641:P654,1)=1,5,0)+IF(COUNTIF(Q352:$Z352,"&gt;"&amp;0)&gt;5,IF(MOD(COUNTIF(P$641:P654,1),7)=0,$C$4,0),0)</f>
        <v>15.80125</v>
      </c>
      <c r="Q352" s="81" cm="1">
        <f ca="1" t="array" ref="Q352">IF(Q654=1,OFFSET($Z$338,$B352,Q$335-1)/SUMPRODUCT(--($D$335:$V$335=Q$335),--($D654:$V654=1)),0)+SUM(Q351)+IF(COUNTIF(Q$641:Q654,1)=1,5,0)+IF(COUNTIF(R352:$Z352,"&gt;"&amp;0)&gt;5,IF(MOD(COUNTIF(Q$641:Q654,1),7)=0,$C$4,0),0)</f>
        <v>14.895</v>
      </c>
      <c r="R352" s="81" cm="1">
        <f ca="1" t="array" ref="R352">IF(R654=1,OFFSET($Z$338,$B352,R$335-1)/SUMPRODUCT(--($D$335:$V$335=R$335),--($D654:$V654=1)),0)+SUM(R351)+IF(COUNTIF(R$641:R654,1)=1,5,0)+IF(COUNTIF(S352:$Z352,"&gt;"&amp;0)&gt;5,IF(MOD(COUNTIF(R$641:R654,1),7)=0,$C$4,0),0)</f>
        <v>0</v>
      </c>
      <c r="S352" s="81" cm="1">
        <f ca="1" t="array" ref="S352">IF(S654=1,OFFSET($Z$338,$B352,S$335-1)/SUMPRODUCT(--($D$335:$V$335=S$335),--($D654:$V654=1)),0)+SUM(S351)+IF(COUNTIF(S$641:S654,1)=1,5,0)+IF(COUNTIF(T352:$Z352,"&gt;"&amp;0)&gt;5,IF(MOD(COUNTIF(S$641:S654,1),7)=0,$C$4,0),0)</f>
        <v>0</v>
      </c>
      <c r="T352" s="81" cm="1">
        <f ca="1" t="array" ref="T352">IF(T654=1,OFFSET($Z$338,$B352,T$335-1)/SUMPRODUCT(--($D$335:$V$335=T$335),--($D654:$V654=1)),0)+SUM(T351)+IF(COUNTIF(T$641:T654,1)=1,5,0)+IF(COUNTIF(U352:$Z352,"&gt;"&amp;0)&gt;5,IF(MOD(COUNTIF(T$641:T654,1),7)=0,$C$4,0),0)</f>
        <v>0</v>
      </c>
      <c r="U352" s="81" cm="1">
        <f ca="1" t="array" ref="U352">IF(U654=1,OFFSET($Z$338,$B352,U$335-1)/SUMPRODUCT(--($D$335:$V$335=U$335),--($D654:$V654=1)),0)+SUM(U351)+IF(COUNTIF(U$641:U654,1)=1,5,0)+IF(COUNTIF(V352:$Z352,"&gt;"&amp;0)&gt;5,IF(MOD(COUNTIF(U$641:U654,1),7)=0,$C$4,0),0)</f>
        <v>0</v>
      </c>
      <c r="V352" s="81" cm="1">
        <f ca="1" t="array" ref="V352">IF(V654=1,OFFSET($Z$338,$B352,V$335-1)/SUMPRODUCT(--($D$335:$V$335=V$335),--($D654:$V654=1)),0)+SUM(V351)+IF(COUNTIF(V$641:V654,1)=1,5,0)+IF(COUNTIF(Z352:$Z352,"&gt;"&amp;0)&gt;5,IF(MOD(COUNTIF(V$641:V654,1),7)=0,$C$4,0),0)</f>
        <v>0</v>
      </c>
      <c r="W352" s="81" cm="1">
        <f ca="1" t="array" ref="W352">IF(W654=1,OFFSET($Z$338,$B352,W$335-1)/SUMPRODUCT(--($D$335:$V$335=W$335),--($D654:$V654=1)),0)+SUM(W351)+IF(COUNTIF(W$641:W654,1)=1,5,0)+IF(COUNTIF($Z352:AA352,"&gt;"&amp;0)&gt;5,IF(MOD(COUNTIF(W$641:W654,1),7)=0,$C$4,0),0)</f>
        <v>0</v>
      </c>
      <c r="X352" s="81" cm="1">
        <f ca="1" t="array" ref="X352">IF(X654=1,OFFSET($Z$338,$B352,X$335-1)/SUMPRODUCT(--($D$335:$V$335=X$335),--($D654:$V654=1)),0)+SUM(X351)+IF(COUNTIF(X$641:X654,1)=1,5,0)+IF(COUNTIF($Z352:AB352,"&gt;"&amp;0)&gt;5,IF(MOD(COUNTIF(X$641:X654,1),7)=0,$C$4,0),0)</f>
        <v>0</v>
      </c>
      <c r="Y352" s="81" cm="1">
        <f ca="1" t="array" ref="Y352">IF(Y654=1,OFFSET($Z$338,$B352,Y$335-1)/SUMPRODUCT(--($D$335:$V$335=Y$335),--($D654:$V654=1)),0)+SUM(Y351)+IF(COUNTIF(Y$641:Y654,1)=1,5,0)+IF(COUNTIF($Z352:AC352,"&gt;"&amp;0)&gt;5,IF(MOD(COUNTIF(Y$641:Y654,1),7)=0,$C$4,0),0)</f>
        <v>0</v>
      </c>
      <c r="Z352" s="82" cm="1">
        <f ca="1" t="array" ref="Z352">SUMPRODUCT(TRANSPOSE($AD352:$AJ352),OFFSET($L$10:$L$16,0,Z$335-1))</f>
        <v>43.71</v>
      </c>
      <c r="AA352" s="82" cm="1">
        <f ca="1" t="array" ref="AA352">SUMPRODUCT(TRANSPOSE($AD352:$AJ352),OFFSET($L$10:$L$16,0,AA$335-1))</f>
        <v>19.74</v>
      </c>
      <c r="AB352" s="82" cm="1">
        <f ca="1" t="array" ref="AB352">SUMPRODUCT(TRANSPOSE($AD352:$AJ352),OFFSET($L$10:$L$16,0,AB$335-1))</f>
        <v>7.05</v>
      </c>
      <c r="AC352" s="82" cm="1">
        <f ca="1" t="array" ref="AC352">SUMPRODUCT(TRANSPOSE($AD352:$AJ352),OFFSET($L$10:$L$16,0,AC$335-1))</f>
        <v>0</v>
      </c>
      <c r="AD352" s="83">
        <f ca="1" t="shared" ref="AD352:AJ352" si="347">AK352-AK351</f>
        <v>0</v>
      </c>
      <c r="AE352" s="83">
        <f ca="1" t="shared" si="347"/>
        <v>0</v>
      </c>
      <c r="AF352" s="83">
        <f ca="1" t="shared" si="347"/>
        <v>141</v>
      </c>
      <c r="AG352" s="83">
        <f ca="1" t="shared" si="347"/>
        <v>0</v>
      </c>
      <c r="AH352" s="83">
        <f ca="1" t="shared" si="347"/>
        <v>0</v>
      </c>
      <c r="AI352" s="83">
        <f ca="1" t="shared" si="347"/>
        <v>0</v>
      </c>
      <c r="AJ352" s="83">
        <f ca="1" t="shared" si="347"/>
        <v>0</v>
      </c>
      <c r="AK352" s="83">
        <f ca="1" t="shared" si="321"/>
        <v>450</v>
      </c>
      <c r="AL352" s="83">
        <f ca="1" t="shared" ref="AL352:AQ352" si="348">IF($C352&gt;OFFSET($Q$9,MATCH(AL$338,$AK$338:$AQ$338,0),0),OFFSET($P$9,MATCH(AL$338,$AK$338:$AQ$338,0),0),MAX(0,$C352-OFFSET($Q$9,RIGHT(AL$338,1)-1,0)))</f>
        <v>909</v>
      </c>
      <c r="AM352" s="83">
        <f ca="1" t="shared" si="348"/>
        <v>935</v>
      </c>
      <c r="AN352" s="83">
        <f ca="1" t="shared" si="348"/>
        <v>0</v>
      </c>
      <c r="AO352" s="83">
        <f ca="1" t="shared" si="348"/>
        <v>0</v>
      </c>
      <c r="AP352" s="83">
        <f ca="1" t="shared" si="348"/>
        <v>0</v>
      </c>
      <c r="AQ352" s="83">
        <f ca="1" t="shared" si="348"/>
        <v>0</v>
      </c>
      <c r="AS352" s="52">
        <v>14</v>
      </c>
      <c r="AT352" s="52">
        <v>440</v>
      </c>
      <c r="AU352" s="52">
        <v>440</v>
      </c>
      <c r="AV352" s="52">
        <v>440</v>
      </c>
      <c r="AW352" s="52">
        <v>400</v>
      </c>
    </row>
    <row r="353" ht="16.5" spans="2:49">
      <c r="B353" s="65">
        <v>15</v>
      </c>
      <c r="C353" s="80">
        <f t="shared" si="319"/>
        <v>2394</v>
      </c>
      <c r="D353" s="81" cm="1">
        <f ca="1" t="array" ref="D353">IF(D655=1,OFFSET($Z$338,$B353,D$335-1)/SUMPRODUCT(--($D$335:$V$335=D$335),--($D655:$V655=1)),0)+SUM(D352)+IF(COUNTIF(D$641:D655,1)=1,5,0)+IF(COUNTIF(E353:$Z353,"&gt;"&amp;0)&gt;5,IF(MOD(COUNTIF(D$641:D655,1),7)=0,$C$4,0),0)</f>
        <v>289.515</v>
      </c>
      <c r="E353" s="81" cm="1">
        <f ca="1" t="array" ref="E353">IF(E655=1,OFFSET($Z$338,$B353,E$335-1)/SUMPRODUCT(--($D$335:$V$335=E$335),--($D655:$V655=1)),0)+SUM(E352)+IF(COUNTIF(E$641:E655,1)=1,5,0)+IF(COUNTIF(F353:$Z353,"&gt;"&amp;0)&gt;5,IF(MOD(COUNTIF(E$641:E655,1),7)=0,$C$4,0),0)</f>
        <v>289.515</v>
      </c>
      <c r="F353" s="81" cm="1">
        <f ca="1" t="array" ref="F353">IF(F655=1,OFFSET($Z$338,$B353,F$335-1)/SUMPRODUCT(--($D$335:$V$335=F$335),--($D655:$V655=1)),0)+SUM(F352)+IF(COUNTIF(F$641:F655,1)=1,5,0)+IF(COUNTIF(G353:$Z353,"&gt;"&amp;0)&gt;5,IF(MOD(COUNTIF(F$641:F655,1),7)=0,$C$4,0),0)</f>
        <v>289.515</v>
      </c>
      <c r="G353" s="81" cm="1">
        <f ca="1" t="array" ref="G353">IF(G655=1,OFFSET($Z$338,$B353,G$335-1)/SUMPRODUCT(--($D$335:$V$335=G$335),--($D655:$V655=1)),0)+SUM(G352)+IF(COUNTIF(G$641:G655,1)=1,5,0)+IF(COUNTIF(H353:$Z353,"&gt;"&amp;0)&gt;5,IF(MOD(COUNTIF(G$641:G655,1),7)=0,$C$4,0),0)</f>
        <v>65.9466666666667</v>
      </c>
      <c r="H353" s="81" cm="1">
        <f ca="1" t="array" ref="H353">IF(H655=1,OFFSET($Z$338,$B353,H$335-1)/SUMPRODUCT(--($D$335:$V$335=H$335),--($D655:$V655=1)),0)+SUM(H352)+IF(COUNTIF(H$641:H655,1)=1,5,0)+IF(COUNTIF(I353:$Z353,"&gt;"&amp;0)&gt;5,IF(MOD(COUNTIF(H$641:H655,1),7)=0,$C$4,0),0)</f>
        <v>65.9466666666667</v>
      </c>
      <c r="I353" s="81" cm="1">
        <f ca="1" t="array" ref="I353">IF(I655=1,OFFSET($Z$338,$B353,I$335-1)/SUMPRODUCT(--($D$335:$V$335=I$335),--($D655:$V655=1)),0)+SUM(I352)+IF(COUNTIF(I$641:I655,1)=1,5,0)+IF(COUNTIF(J353:$Z353,"&gt;"&amp;0)&gt;5,IF(MOD(COUNTIF(I$641:I655,1),7)=0,$C$4,0),0)</f>
        <v>65.9466666666667</v>
      </c>
      <c r="J353" s="81" cm="1">
        <f ca="1" t="array" ref="J353">IF(J655=1,OFFSET($Z$338,$B353,J$335-1)/SUMPRODUCT(--($D$335:$V$335=J$335),--($D655:$V655=1)),0)+SUM(J352)+IF(COUNTIF(J$641:J655,1)=1,5,0)+IF(COUNTIF(K353:$Z353,"&gt;"&amp;0)&gt;5,IF(MOD(COUNTIF(J$641:J655,1),7)=0,$C$4,0),0)</f>
        <v>65.9466666666667</v>
      </c>
      <c r="K353" s="81" cm="1">
        <f ca="1" t="array" ref="K353">IF(K655=1,OFFSET($Z$338,$B353,K$335-1)/SUMPRODUCT(--($D$335:$V$335=K$335),--($D655:$V655=1)),0)+SUM(K352)+IF(COUNTIF(K$641:K655,1)=1,5,0)+IF(COUNTIF(L353:$Z353,"&gt;"&amp;0)&gt;5,IF(MOD(COUNTIF(K$641:K655,1),7)=0,$C$4,0),0)</f>
        <v>65.9466666666667</v>
      </c>
      <c r="L353" s="81" cm="1">
        <f ca="1" t="array" ref="L353">IF(L655=1,OFFSET($Z$338,$B353,L$335-1)/SUMPRODUCT(--($D$335:$V$335=L$335),--($D655:$V655=1)),0)+SUM(L352)+IF(COUNTIF(L$641:L655,1)=1,5,0)+IF(COUNTIF(M353:$Z353,"&gt;"&amp;0)&gt;5,IF(MOD(COUNTIF(L$641:L655,1),7)=0,$C$4,0),0)</f>
        <v>59.2466666666667</v>
      </c>
      <c r="M353" s="81" cm="1">
        <f ca="1" t="array" ref="M353">IF(M655=1,OFFSET($Z$338,$B353,M$335-1)/SUMPRODUCT(--($D$335:$V$335=M$335),--($D655:$V655=1)),0)+SUM(M352)+IF(COUNTIF(M$641:M655,1)=1,5,0)+IF(COUNTIF(N353:$Z353,"&gt;"&amp;0)&gt;5,IF(MOD(COUNTIF(M$641:M655,1),7)=0,$C$4,0),0)</f>
        <v>29.7179166666667</v>
      </c>
      <c r="N353" s="81" cm="1">
        <f ca="1" t="array" ref="N353">IF(N655=1,OFFSET($Z$338,$B353,N$335-1)/SUMPRODUCT(--($D$335:$V$335=N$335),--($D655:$V655=1)),0)+SUM(N352)+IF(COUNTIF(N$641:N655,1)=1,5,0)+IF(COUNTIF(O353:$Z353,"&gt;"&amp;0)&gt;5,IF(MOD(COUNTIF(N$641:N655,1),7)=0,$C$4,0),0)</f>
        <v>21.9929166666667</v>
      </c>
      <c r="O353" s="81" cm="1">
        <f ca="1" t="array" ref="O353">IF(O655=1,OFFSET($Z$338,$B353,O$335-1)/SUMPRODUCT(--($D$335:$V$335=O$335),--($D655:$V655=1)),0)+SUM(O352)+IF(COUNTIF(O$641:O655,1)=1,5,0)+IF(COUNTIF(P353:$Z353,"&gt;"&amp;0)&gt;5,IF(MOD(COUNTIF(O$641:O655,1),7)=0,$C$4,0),0)</f>
        <v>19.5679166666667</v>
      </c>
      <c r="P353" s="81" cm="1">
        <f ca="1" t="array" ref="P353">IF(P655=1,OFFSET($Z$338,$B353,P$335-1)/SUMPRODUCT(--($D$335:$V$335=P$335),--($D655:$V655=1)),0)+SUM(P352)+IF(COUNTIF(P$641:P655,1)=1,5,0)+IF(COUNTIF(Q353:$Z353,"&gt;"&amp;0)&gt;5,IF(MOD(COUNTIF(P$641:P655,1),7)=0,$C$4,0),0)</f>
        <v>16.6345833333333</v>
      </c>
      <c r="Q353" s="81" cm="1">
        <f ca="1" t="array" ref="Q353">IF(Q655=1,OFFSET($Z$338,$B353,Q$335-1)/SUMPRODUCT(--($D$335:$V$335=Q$335),--($D655:$V655=1)),0)+SUM(Q352)+IF(COUNTIF(Q$641:Q655,1)=1,5,0)+IF(COUNTIF(R353:$Z353,"&gt;"&amp;0)&gt;5,IF(MOD(COUNTIF(Q$641:Q655,1),7)=0,$C$4,0),0)</f>
        <v>15.7283333333333</v>
      </c>
      <c r="R353" s="81" cm="1">
        <f ca="1" t="array" ref="R353">IF(R655=1,OFFSET($Z$338,$B353,R$335-1)/SUMPRODUCT(--($D$335:$V$335=R$335),--($D655:$V655=1)),0)+SUM(R352)+IF(COUNTIF(R$641:R655,1)=1,5,0)+IF(COUNTIF(S353:$Z353,"&gt;"&amp;0)&gt;5,IF(MOD(COUNTIF(R$641:R655,1),7)=0,$C$4,0),0)</f>
        <v>5.83333333333333</v>
      </c>
      <c r="S353" s="81" cm="1">
        <f ca="1" t="array" ref="S353">IF(S655=1,OFFSET($Z$338,$B353,S$335-1)/SUMPRODUCT(--($D$335:$V$335=S$335),--($D655:$V655=1)),0)+SUM(S352)+IF(COUNTIF(S$641:S655,1)=1,5,0)+IF(COUNTIF(T353:$Z353,"&gt;"&amp;0)&gt;5,IF(MOD(COUNTIF(S$641:S655,1),7)=0,$C$4,0),0)</f>
        <v>0</v>
      </c>
      <c r="T353" s="81" cm="1">
        <f ca="1" t="array" ref="T353">IF(T655=1,OFFSET($Z$338,$B353,T$335-1)/SUMPRODUCT(--($D$335:$V$335=T$335),--($D655:$V655=1)),0)+SUM(T352)+IF(COUNTIF(T$641:T655,1)=1,5,0)+IF(COUNTIF(U353:$Z353,"&gt;"&amp;0)&gt;5,IF(MOD(COUNTIF(T$641:T655,1),7)=0,$C$4,0),0)</f>
        <v>0</v>
      </c>
      <c r="U353" s="81" cm="1">
        <f ca="1" t="array" ref="U353">IF(U655=1,OFFSET($Z$338,$B353,U$335-1)/SUMPRODUCT(--($D$335:$V$335=U$335),--($D655:$V655=1)),0)+SUM(U352)+IF(COUNTIF(U$641:U655,1)=1,5,0)+IF(COUNTIF(V353:$Z353,"&gt;"&amp;0)&gt;5,IF(MOD(COUNTIF(U$641:U655,1),7)=0,$C$4,0),0)</f>
        <v>0</v>
      </c>
      <c r="V353" s="81" cm="1">
        <f ca="1" t="array" ref="V353">IF(V655=1,OFFSET($Z$338,$B353,V$335-1)/SUMPRODUCT(--($D$335:$V$335=V$335),--($D655:$V655=1)),0)+SUM(V352)+IF(COUNTIF(V$641:V655,1)=1,5,0)+IF(COUNTIF(Z353:$Z353,"&gt;"&amp;0)&gt;5,IF(MOD(COUNTIF(V$641:V655,1),7)=0,$C$4,0),0)</f>
        <v>0</v>
      </c>
      <c r="W353" s="81" cm="1">
        <f ca="1" t="array" ref="W353">IF(W655=1,OFFSET($Z$338,$B353,W$335-1)/SUMPRODUCT(--($D$335:$V$335=W$335),--($D655:$V655=1)),0)+SUM(W352)+IF(COUNTIF(W$641:W655,1)=1,5,0)+IF(COUNTIF($Z353:AA353,"&gt;"&amp;0)&gt;5,IF(MOD(COUNTIF(W$641:W655,1),7)=0,$C$4,0),0)</f>
        <v>0</v>
      </c>
      <c r="X353" s="81" cm="1">
        <f ca="1" t="array" ref="X353">IF(X655=1,OFFSET($Z$338,$B353,X$335-1)/SUMPRODUCT(--($D$335:$V$335=X$335),--($D655:$V655=1)),0)+SUM(X352)+IF(COUNTIF(X$641:X655,1)=1,5,0)+IF(COUNTIF($Z353:AB353,"&gt;"&amp;0)&gt;5,IF(MOD(COUNTIF(X$641:X655,1),7)=0,$C$4,0),0)</f>
        <v>0</v>
      </c>
      <c r="Y353" s="81" cm="1">
        <f ca="1" t="array" ref="Y353">IF(Y655=1,OFFSET($Z$338,$B353,Y$335-1)/SUMPRODUCT(--($D$335:$V$335=Y$335),--($D655:$V655=1)),0)+SUM(Y352)+IF(COUNTIF(Y$641:Y655,1)=1,5,0)+IF(COUNTIF($Z353:AC353,"&gt;"&amp;0)&gt;5,IF(MOD(COUNTIF(Y$641:Y655,1),7)=0,$C$4,0),0)</f>
        <v>0</v>
      </c>
      <c r="Z353" s="82" cm="1">
        <f ca="1" t="array" ref="Z353">SUMPRODUCT(TRANSPOSE($AD353:$AJ353),OFFSET($L$10:$L$16,0,Z$335-1))</f>
        <v>31</v>
      </c>
      <c r="AA353" s="82" cm="1">
        <f ca="1" t="array" ref="AA353">SUMPRODUCT(TRANSPOSE($AD353:$AJ353),OFFSET($L$10:$L$16,0,AA$335-1))</f>
        <v>14</v>
      </c>
      <c r="AB353" s="82" cm="1">
        <f ca="1" t="array" ref="AB353">SUMPRODUCT(TRANSPOSE($AD353:$AJ353),OFFSET($L$10:$L$16,0,AB$335-1))</f>
        <v>5</v>
      </c>
      <c r="AC353" s="82" cm="1">
        <f ca="1" t="array" ref="AC353">SUMPRODUCT(TRANSPOSE($AD353:$AJ353),OFFSET($L$10:$L$16,0,AC$335-1))</f>
        <v>0</v>
      </c>
      <c r="AD353" s="83">
        <f ca="1" t="shared" ref="AD353:AJ353" si="349">AK353-AK352</f>
        <v>0</v>
      </c>
      <c r="AE353" s="83">
        <f ca="1" t="shared" si="349"/>
        <v>0</v>
      </c>
      <c r="AF353" s="83">
        <f ca="1" t="shared" si="349"/>
        <v>100</v>
      </c>
      <c r="AG353" s="83">
        <f ca="1" t="shared" si="349"/>
        <v>0</v>
      </c>
      <c r="AH353" s="83">
        <f ca="1" t="shared" si="349"/>
        <v>0</v>
      </c>
      <c r="AI353" s="83">
        <f ca="1" t="shared" si="349"/>
        <v>0</v>
      </c>
      <c r="AJ353" s="83">
        <f ca="1" t="shared" si="349"/>
        <v>0</v>
      </c>
      <c r="AK353" s="83">
        <f ca="1" t="shared" si="321"/>
        <v>450</v>
      </c>
      <c r="AL353" s="83">
        <f ca="1" t="shared" ref="AL353:AQ353" si="350">IF($C353&gt;OFFSET($Q$9,MATCH(AL$338,$AK$338:$AQ$338,0),0),OFFSET($P$9,MATCH(AL$338,$AK$338:$AQ$338,0),0),MAX(0,$C353-OFFSET($Q$9,RIGHT(AL$338,1)-1,0)))</f>
        <v>909</v>
      </c>
      <c r="AM353" s="83">
        <f ca="1" t="shared" si="350"/>
        <v>1035</v>
      </c>
      <c r="AN353" s="83">
        <f ca="1" t="shared" si="350"/>
        <v>0</v>
      </c>
      <c r="AO353" s="83">
        <f ca="1" t="shared" si="350"/>
        <v>0</v>
      </c>
      <c r="AP353" s="83">
        <f ca="1" t="shared" si="350"/>
        <v>0</v>
      </c>
      <c r="AQ353" s="83">
        <f ca="1" t="shared" si="350"/>
        <v>0</v>
      </c>
      <c r="AS353" s="52">
        <v>15</v>
      </c>
      <c r="AT353" s="52">
        <v>500</v>
      </c>
      <c r="AU353" s="52">
        <v>500</v>
      </c>
      <c r="AV353" s="52">
        <v>500</v>
      </c>
      <c r="AW353" s="52">
        <v>450</v>
      </c>
    </row>
    <row r="354" ht="16.5" spans="2:49">
      <c r="B354" s="65">
        <v>16</v>
      </c>
      <c r="C354" s="80">
        <f t="shared" si="319"/>
        <v>2494</v>
      </c>
      <c r="D354" s="81" cm="1">
        <f ca="1" t="array" ref="D354">IF(D656=1,OFFSET($Z$338,$B354,D$335-1)/SUMPRODUCT(--($D$335:$V$335=D$335),--($D656:$V656=1)),0)+SUM(D353)+IF(COUNTIF(D$641:D656,1)=1,5,0)+IF(COUNTIF(E354:$Z354,"&gt;"&amp;0)&gt;5,IF(MOD(COUNTIF(D$641:D656,1),7)=0,$C$4,0),0)</f>
        <v>299.848333333333</v>
      </c>
      <c r="E354" s="81" cm="1">
        <f ca="1" t="array" ref="E354">IF(E656=1,OFFSET($Z$338,$B354,E$335-1)/SUMPRODUCT(--($D$335:$V$335=E$335),--($D656:$V656=1)),0)+SUM(E353)+IF(COUNTIF(E$641:E656,1)=1,5,0)+IF(COUNTIF(F354:$Z354,"&gt;"&amp;0)&gt;5,IF(MOD(COUNTIF(E$641:E656,1),7)=0,$C$4,0),0)</f>
        <v>299.848333333333</v>
      </c>
      <c r="F354" s="81" cm="1">
        <f ca="1" t="array" ref="F354">IF(F656=1,OFFSET($Z$338,$B354,F$335-1)/SUMPRODUCT(--($D$335:$V$335=F$335),--($D656:$V656=1)),0)+SUM(F353)+IF(COUNTIF(F$641:F656,1)=1,5,0)+IF(COUNTIF(G354:$Z354,"&gt;"&amp;0)&gt;5,IF(MOD(COUNTIF(F$641:F656,1),7)=0,$C$4,0),0)</f>
        <v>299.848333333333</v>
      </c>
      <c r="G354" s="81" cm="1">
        <f ca="1" t="array" ref="G354">IF(G656=1,OFFSET($Z$338,$B354,G$335-1)/SUMPRODUCT(--($D$335:$V$335=G$335),--($D656:$V656=1)),0)+SUM(G353)+IF(COUNTIF(G$641:G656,1)=1,5,0)+IF(COUNTIF(H354:$Z354,"&gt;"&amp;0)&gt;5,IF(MOD(COUNTIF(G$641:G656,1),7)=0,$C$4,0),0)</f>
        <v>68.28</v>
      </c>
      <c r="H354" s="81" cm="1">
        <f ca="1" t="array" ref="H354">IF(H656=1,OFFSET($Z$338,$B354,H$335-1)/SUMPRODUCT(--($D$335:$V$335=H$335),--($D656:$V656=1)),0)+SUM(H353)+IF(COUNTIF(H$641:H656,1)=1,5,0)+IF(COUNTIF(I354:$Z354,"&gt;"&amp;0)&gt;5,IF(MOD(COUNTIF(H$641:H656,1),7)=0,$C$4,0),0)</f>
        <v>68.28</v>
      </c>
      <c r="I354" s="81" cm="1">
        <f ca="1" t="array" ref="I354">IF(I656=1,OFFSET($Z$338,$B354,I$335-1)/SUMPRODUCT(--($D$335:$V$335=I$335),--($D656:$V656=1)),0)+SUM(I353)+IF(COUNTIF(I$641:I656,1)=1,5,0)+IF(COUNTIF(J354:$Z354,"&gt;"&amp;0)&gt;5,IF(MOD(COUNTIF(I$641:I656,1),7)=0,$C$4,0),0)</f>
        <v>68.28</v>
      </c>
      <c r="J354" s="81" cm="1">
        <f ca="1" t="array" ref="J354">IF(J656=1,OFFSET($Z$338,$B354,J$335-1)/SUMPRODUCT(--($D$335:$V$335=J$335),--($D656:$V656=1)),0)+SUM(J353)+IF(COUNTIF(J$641:J656,1)=1,5,0)+IF(COUNTIF(K354:$Z354,"&gt;"&amp;0)&gt;5,IF(MOD(COUNTIF(J$641:J656,1),7)=0,$C$4,0),0)</f>
        <v>68.28</v>
      </c>
      <c r="K354" s="81" cm="1">
        <f ca="1" t="array" ref="K354">IF(K656=1,OFFSET($Z$338,$B354,K$335-1)/SUMPRODUCT(--($D$335:$V$335=K$335),--($D656:$V656=1)),0)+SUM(K353)+IF(COUNTIF(K$641:K656,1)=1,5,0)+IF(COUNTIF(L354:$Z354,"&gt;"&amp;0)&gt;5,IF(MOD(COUNTIF(K$641:K656,1),7)=0,$C$4,0),0)</f>
        <v>68.28</v>
      </c>
      <c r="L354" s="81" cm="1">
        <f ca="1" t="array" ref="L354">IF(L656=1,OFFSET($Z$338,$B354,L$335-1)/SUMPRODUCT(--($D$335:$V$335=L$335),--($D656:$V656=1)),0)+SUM(L353)+IF(COUNTIF(L$641:L656,1)=1,5,0)+IF(COUNTIF(M354:$Z354,"&gt;"&amp;0)&gt;5,IF(MOD(COUNTIF(L$641:L656,1),7)=0,$C$4,0),0)</f>
        <v>61.58</v>
      </c>
      <c r="M354" s="81" cm="1">
        <f ca="1" t="array" ref="M354">IF(M656=1,OFFSET($Z$338,$B354,M$335-1)/SUMPRODUCT(--($D$335:$V$335=M$335),--($D656:$V656=1)),0)+SUM(M353)+IF(COUNTIF(M$641:M656,1)=1,5,0)+IF(COUNTIF(N354:$Z354,"&gt;"&amp;0)&gt;5,IF(MOD(COUNTIF(M$641:M656,1),7)=0,$C$4,0),0)</f>
        <v>30.55125</v>
      </c>
      <c r="N354" s="81" cm="1">
        <f ca="1" t="array" ref="N354">IF(N656=1,OFFSET($Z$338,$B354,N$335-1)/SUMPRODUCT(--($D$335:$V$335=N$335),--($D656:$V656=1)),0)+SUM(N353)+IF(COUNTIF(N$641:N656,1)=1,5,0)+IF(COUNTIF(O354:$Z354,"&gt;"&amp;0)&gt;5,IF(MOD(COUNTIF(N$641:N656,1),7)=0,$C$4,0),0)</f>
        <v>22.82625</v>
      </c>
      <c r="O354" s="81" cm="1">
        <f ca="1" t="array" ref="O354">IF(O656=1,OFFSET($Z$338,$B354,O$335-1)/SUMPRODUCT(--($D$335:$V$335=O$335),--($D656:$V656=1)),0)+SUM(O353)+IF(COUNTIF(O$641:O656,1)=1,5,0)+IF(COUNTIF(P354:$Z354,"&gt;"&amp;0)&gt;5,IF(MOD(COUNTIF(O$641:O656,1),7)=0,$C$4,0),0)</f>
        <v>20.40125</v>
      </c>
      <c r="P354" s="81" cm="1">
        <f ca="1" t="array" ref="P354">IF(P656=1,OFFSET($Z$338,$B354,P$335-1)/SUMPRODUCT(--($D$335:$V$335=P$335),--($D656:$V656=1)),0)+SUM(P353)+IF(COUNTIF(P$641:P656,1)=1,5,0)+IF(COUNTIF(Q354:$Z354,"&gt;"&amp;0)&gt;5,IF(MOD(COUNTIF(P$641:P656,1),7)=0,$C$4,0),0)</f>
        <v>17.4679166666667</v>
      </c>
      <c r="Q354" s="81" cm="1">
        <f ca="1" t="array" ref="Q354">IF(Q656=1,OFFSET($Z$338,$B354,Q$335-1)/SUMPRODUCT(--($D$335:$V$335=Q$335),--($D656:$V656=1)),0)+SUM(Q353)+IF(COUNTIF(Q$641:Q656,1)=1,5,0)+IF(COUNTIF(R354:$Z354,"&gt;"&amp;0)&gt;5,IF(MOD(COUNTIF(Q$641:Q656,1),7)=0,$C$4,0),0)</f>
        <v>16.5616666666667</v>
      </c>
      <c r="R354" s="81" cm="1">
        <f ca="1" t="array" ref="R354">IF(R656=1,OFFSET($Z$338,$B354,R$335-1)/SUMPRODUCT(--($D$335:$V$335=R$335),--($D656:$V656=1)),0)+SUM(R353)+IF(COUNTIF(R$641:R656,1)=1,5,0)+IF(COUNTIF(S354:$Z354,"&gt;"&amp;0)&gt;5,IF(MOD(COUNTIF(R$641:R656,1),7)=0,$C$4,0),0)</f>
        <v>6.66666666666667</v>
      </c>
      <c r="S354" s="81" cm="1">
        <f ca="1" t="array" ref="S354">IF(S656=1,OFFSET($Z$338,$B354,S$335-1)/SUMPRODUCT(--($D$335:$V$335=S$335),--($D656:$V656=1)),0)+SUM(S353)+IF(COUNTIF(S$641:S656,1)=1,5,0)+IF(COUNTIF(T354:$Z354,"&gt;"&amp;0)&gt;5,IF(MOD(COUNTIF(S$641:S656,1),7)=0,$C$4,0),0)</f>
        <v>0</v>
      </c>
      <c r="T354" s="81" cm="1">
        <f ca="1" t="array" ref="T354">IF(T656=1,OFFSET($Z$338,$B354,T$335-1)/SUMPRODUCT(--($D$335:$V$335=T$335),--($D656:$V656=1)),0)+SUM(T353)+IF(COUNTIF(T$641:T656,1)=1,5,0)+IF(COUNTIF(U354:$Z354,"&gt;"&amp;0)&gt;5,IF(MOD(COUNTIF(T$641:T656,1),7)=0,$C$4,0),0)</f>
        <v>0</v>
      </c>
      <c r="U354" s="81" cm="1">
        <f ca="1" t="array" ref="U354">IF(U656=1,OFFSET($Z$338,$B354,U$335-1)/SUMPRODUCT(--($D$335:$V$335=U$335),--($D656:$V656=1)),0)+SUM(U353)+IF(COUNTIF(U$641:U656,1)=1,5,0)+IF(COUNTIF(V354:$Z354,"&gt;"&amp;0)&gt;5,IF(MOD(COUNTIF(U$641:U656,1),7)=0,$C$4,0),0)</f>
        <v>0</v>
      </c>
      <c r="V354" s="81" cm="1">
        <f ca="1" t="array" ref="V354">IF(V656=1,OFFSET($Z$338,$B354,V$335-1)/SUMPRODUCT(--($D$335:$V$335=V$335),--($D656:$V656=1)),0)+SUM(V353)+IF(COUNTIF(V$641:V656,1)=1,5,0)+IF(COUNTIF(Z354:$Z354,"&gt;"&amp;0)&gt;5,IF(MOD(COUNTIF(V$641:V656,1),7)=0,$C$4,0),0)</f>
        <v>0</v>
      </c>
      <c r="W354" s="81" cm="1">
        <f ca="1" t="array" ref="W354">IF(W656=1,OFFSET($Z$338,$B354,W$335-1)/SUMPRODUCT(--($D$335:$V$335=W$335),--($D656:$V656=1)),0)+SUM(W353)+IF(COUNTIF(W$641:W656,1)=1,5,0)+IF(COUNTIF($Z354:AA354,"&gt;"&amp;0)&gt;5,IF(MOD(COUNTIF(W$641:W656,1),7)=0,$C$4,0),0)</f>
        <v>0</v>
      </c>
      <c r="X354" s="81" cm="1">
        <f ca="1" t="array" ref="X354">IF(X656=1,OFFSET($Z$338,$B354,X$335-1)/SUMPRODUCT(--($D$335:$V$335=X$335),--($D656:$V656=1)),0)+SUM(X353)+IF(COUNTIF(X$641:X656,1)=1,5,0)+IF(COUNTIF($Z354:AB354,"&gt;"&amp;0)&gt;5,IF(MOD(COUNTIF(X$641:X656,1),7)=0,$C$4,0),0)</f>
        <v>0</v>
      </c>
      <c r="Y354" s="81" cm="1">
        <f ca="1" t="array" ref="Y354">IF(Y656=1,OFFSET($Z$338,$B354,Y$335-1)/SUMPRODUCT(--($D$335:$V$335=Y$335),--($D656:$V656=1)),0)+SUM(Y353)+IF(COUNTIF(Y$641:Y656,1)=1,5,0)+IF(COUNTIF($Z354:AC354,"&gt;"&amp;0)&gt;5,IF(MOD(COUNTIF(Y$641:Y656,1),7)=0,$C$4,0),0)</f>
        <v>0</v>
      </c>
      <c r="Z354" s="82" cm="1">
        <f ca="1" t="array" ref="Z354">SUMPRODUCT(TRANSPOSE($AD354:$AJ354),OFFSET($L$10:$L$16,0,Z$335-1))</f>
        <v>31</v>
      </c>
      <c r="AA354" s="82" cm="1">
        <f ca="1" t="array" ref="AA354">SUMPRODUCT(TRANSPOSE($AD354:$AJ354),OFFSET($L$10:$L$16,0,AA$335-1))</f>
        <v>14</v>
      </c>
      <c r="AB354" s="82" cm="1">
        <f ca="1" t="array" ref="AB354">SUMPRODUCT(TRANSPOSE($AD354:$AJ354),OFFSET($L$10:$L$16,0,AB$335-1))</f>
        <v>5</v>
      </c>
      <c r="AC354" s="82" cm="1">
        <f ca="1" t="array" ref="AC354">SUMPRODUCT(TRANSPOSE($AD354:$AJ354),OFFSET($L$10:$L$16,0,AC$335-1))</f>
        <v>0</v>
      </c>
      <c r="AD354" s="83">
        <f ca="1" t="shared" ref="AD354:AJ354" si="351">AK354-AK353</f>
        <v>0</v>
      </c>
      <c r="AE354" s="83">
        <f ca="1" t="shared" si="351"/>
        <v>0</v>
      </c>
      <c r="AF354" s="83">
        <f ca="1" t="shared" si="351"/>
        <v>100</v>
      </c>
      <c r="AG354" s="83">
        <f ca="1" t="shared" si="351"/>
        <v>0</v>
      </c>
      <c r="AH354" s="83">
        <f ca="1" t="shared" si="351"/>
        <v>0</v>
      </c>
      <c r="AI354" s="83">
        <f ca="1" t="shared" si="351"/>
        <v>0</v>
      </c>
      <c r="AJ354" s="83">
        <f ca="1" t="shared" si="351"/>
        <v>0</v>
      </c>
      <c r="AK354" s="83">
        <f ca="1" t="shared" si="321"/>
        <v>450</v>
      </c>
      <c r="AL354" s="83">
        <f ca="1" t="shared" ref="AL354:AQ354" si="352">IF($C354&gt;OFFSET($Q$9,MATCH(AL$338,$AK$338:$AQ$338,0),0),OFFSET($P$9,MATCH(AL$338,$AK$338:$AQ$338,0),0),MAX(0,$C354-OFFSET($Q$9,RIGHT(AL$338,1)-1,0)))</f>
        <v>909</v>
      </c>
      <c r="AM354" s="83">
        <f ca="1" t="shared" si="352"/>
        <v>1135</v>
      </c>
      <c r="AN354" s="83">
        <f ca="1" t="shared" si="352"/>
        <v>0</v>
      </c>
      <c r="AO354" s="83">
        <f ca="1" t="shared" si="352"/>
        <v>0</v>
      </c>
      <c r="AP354" s="83">
        <f ca="1" t="shared" si="352"/>
        <v>0</v>
      </c>
      <c r="AQ354" s="83">
        <f ca="1" t="shared" si="352"/>
        <v>0</v>
      </c>
      <c r="AS354" s="52">
        <v>16</v>
      </c>
      <c r="AT354" s="52">
        <v>590</v>
      </c>
      <c r="AU354" s="52">
        <v>590</v>
      </c>
      <c r="AV354" s="52">
        <v>590</v>
      </c>
      <c r="AW354" s="52">
        <v>520</v>
      </c>
    </row>
    <row r="355" ht="16.5" spans="2:49">
      <c r="B355" s="65">
        <v>17</v>
      </c>
      <c r="C355" s="80">
        <f t="shared" si="319"/>
        <v>2594</v>
      </c>
      <c r="D355" s="81" cm="1">
        <f ca="1" t="array" ref="D355">IF(D657=1,OFFSET($Z$338,$B355,D$335-1)/SUMPRODUCT(--($D$335:$V$335=D$335),--($D657:$V657=1)),0)+SUM(D354)+IF(COUNTIF(D$641:D657,1)=1,5,0)+IF(COUNTIF(E355:$Z355,"&gt;"&amp;0)&gt;5,IF(MOD(COUNTIF(D$641:D657,1),7)=0,$C$4,0),0)</f>
        <v>310.181666666667</v>
      </c>
      <c r="E355" s="81" cm="1">
        <f ca="1" t="array" ref="E355">IF(E657=1,OFFSET($Z$338,$B355,E$335-1)/SUMPRODUCT(--($D$335:$V$335=E$335),--($D657:$V657=1)),0)+SUM(E354)+IF(COUNTIF(E$641:E657,1)=1,5,0)+IF(COUNTIF(F355:$Z355,"&gt;"&amp;0)&gt;5,IF(MOD(COUNTIF(E$641:E657,1),7)=0,$C$4,0),0)</f>
        <v>310.181666666667</v>
      </c>
      <c r="F355" s="81" cm="1">
        <f ca="1" t="array" ref="F355">IF(F657=1,OFFSET($Z$338,$B355,F$335-1)/SUMPRODUCT(--($D$335:$V$335=F$335),--($D657:$V657=1)),0)+SUM(F354)+IF(COUNTIF(F$641:F657,1)=1,5,0)+IF(COUNTIF(G355:$Z355,"&gt;"&amp;0)&gt;5,IF(MOD(COUNTIF(F$641:F657,1),7)=0,$C$4,0),0)</f>
        <v>310.181666666667</v>
      </c>
      <c r="G355" s="81" cm="1">
        <f ca="1" t="array" ref="G355">IF(G657=1,OFFSET($Z$338,$B355,G$335-1)/SUMPRODUCT(--($D$335:$V$335=G$335),--($D657:$V657=1)),0)+SUM(G354)+IF(COUNTIF(G$641:G657,1)=1,5,0)+IF(COUNTIF(H355:$Z355,"&gt;"&amp;0)&gt;5,IF(MOD(COUNTIF(G$641:G657,1),7)=0,$C$4,0),0)</f>
        <v>70.6133333333333</v>
      </c>
      <c r="H355" s="81" cm="1">
        <f ca="1" t="array" ref="H355">IF(H657=1,OFFSET($Z$338,$B355,H$335-1)/SUMPRODUCT(--($D$335:$V$335=H$335),--($D657:$V657=1)),0)+SUM(H354)+IF(COUNTIF(H$641:H657,1)=1,5,0)+IF(COUNTIF(I355:$Z355,"&gt;"&amp;0)&gt;5,IF(MOD(COUNTIF(H$641:H657,1),7)=0,$C$4,0),0)</f>
        <v>70.6133333333333</v>
      </c>
      <c r="I355" s="81" cm="1">
        <f ca="1" t="array" ref="I355">IF(I657=1,OFFSET($Z$338,$B355,I$335-1)/SUMPRODUCT(--($D$335:$V$335=I$335),--($D657:$V657=1)),0)+SUM(I354)+IF(COUNTIF(I$641:I657,1)=1,5,0)+IF(COUNTIF(J355:$Z355,"&gt;"&amp;0)&gt;5,IF(MOD(COUNTIF(I$641:I657,1),7)=0,$C$4,0),0)</f>
        <v>70.6133333333333</v>
      </c>
      <c r="J355" s="81" cm="1">
        <f ca="1" t="array" ref="J355">IF(J657=1,OFFSET($Z$338,$B355,J$335-1)/SUMPRODUCT(--($D$335:$V$335=J$335),--($D657:$V657=1)),0)+SUM(J354)+IF(COUNTIF(J$641:J657,1)=1,5,0)+IF(COUNTIF(K355:$Z355,"&gt;"&amp;0)&gt;5,IF(MOD(COUNTIF(J$641:J657,1),7)=0,$C$4,0),0)</f>
        <v>70.6133333333333</v>
      </c>
      <c r="K355" s="81" cm="1">
        <f ca="1" t="array" ref="K355">IF(K657=1,OFFSET($Z$338,$B355,K$335-1)/SUMPRODUCT(--($D$335:$V$335=K$335),--($D657:$V657=1)),0)+SUM(K354)+IF(COUNTIF(K$641:K657,1)=1,5,0)+IF(COUNTIF(L355:$Z355,"&gt;"&amp;0)&gt;5,IF(MOD(COUNTIF(K$641:K657,1),7)=0,$C$4,0),0)</f>
        <v>70.6133333333333</v>
      </c>
      <c r="L355" s="81" cm="1">
        <f ca="1" t="array" ref="L355">IF(L657=1,OFFSET($Z$338,$B355,L$335-1)/SUMPRODUCT(--($D$335:$V$335=L$335),--($D657:$V657=1)),0)+SUM(L354)+IF(COUNTIF(L$641:L657,1)=1,5,0)+IF(COUNTIF(M355:$Z355,"&gt;"&amp;0)&gt;5,IF(MOD(COUNTIF(L$641:L657,1),7)=0,$C$4,0),0)</f>
        <v>63.9133333333333</v>
      </c>
      <c r="M355" s="81" cm="1">
        <f ca="1" t="array" ref="M355">IF(M657=1,OFFSET($Z$338,$B355,M$335-1)/SUMPRODUCT(--($D$335:$V$335=M$335),--($D657:$V657=1)),0)+SUM(M354)+IF(COUNTIF(M$641:M657,1)=1,5,0)+IF(COUNTIF(N355:$Z355,"&gt;"&amp;0)&gt;5,IF(MOD(COUNTIF(M$641:M657,1),7)=0,$C$4,0),0)</f>
        <v>31.3845833333333</v>
      </c>
      <c r="N355" s="81" cm="1">
        <f ca="1" t="array" ref="N355">IF(N657=1,OFFSET($Z$338,$B355,N$335-1)/SUMPRODUCT(--($D$335:$V$335=N$335),--($D657:$V657=1)),0)+SUM(N354)+IF(COUNTIF(N$641:N657,1)=1,5,0)+IF(COUNTIF(O355:$Z355,"&gt;"&amp;0)&gt;5,IF(MOD(COUNTIF(N$641:N657,1),7)=0,$C$4,0),0)</f>
        <v>23.6595833333333</v>
      </c>
      <c r="O355" s="81" cm="1">
        <f ca="1" t="array" ref="O355">IF(O657=1,OFFSET($Z$338,$B355,O$335-1)/SUMPRODUCT(--($D$335:$V$335=O$335),--($D657:$V657=1)),0)+SUM(O354)+IF(COUNTIF(O$641:O657,1)=1,5,0)+IF(COUNTIF(P355:$Z355,"&gt;"&amp;0)&gt;5,IF(MOD(COUNTIF(O$641:O657,1),7)=0,$C$4,0),0)</f>
        <v>21.2345833333333</v>
      </c>
      <c r="P355" s="81" cm="1">
        <f ca="1" t="array" ref="P355">IF(P657=1,OFFSET($Z$338,$B355,P$335-1)/SUMPRODUCT(--($D$335:$V$335=P$335),--($D657:$V657=1)),0)+SUM(P354)+IF(COUNTIF(P$641:P657,1)=1,5,0)+IF(COUNTIF(Q355:$Z355,"&gt;"&amp;0)&gt;5,IF(MOD(COUNTIF(P$641:P657,1),7)=0,$C$4,0),0)</f>
        <v>18.30125</v>
      </c>
      <c r="Q355" s="81" cm="1">
        <f ca="1" t="array" ref="Q355">IF(Q657=1,OFFSET($Z$338,$B355,Q$335-1)/SUMPRODUCT(--($D$335:$V$335=Q$335),--($D657:$V657=1)),0)+SUM(Q354)+IF(COUNTIF(Q$641:Q657,1)=1,5,0)+IF(COUNTIF(R355:$Z355,"&gt;"&amp;0)&gt;5,IF(MOD(COUNTIF(Q$641:Q657,1),7)=0,$C$4,0),0)</f>
        <v>17.395</v>
      </c>
      <c r="R355" s="81" cm="1">
        <f ca="1" t="array" ref="R355">IF(R657=1,OFFSET($Z$338,$B355,R$335-1)/SUMPRODUCT(--($D$335:$V$335=R$335),--($D657:$V657=1)),0)+SUM(R354)+IF(COUNTIF(R$641:R657,1)=1,5,0)+IF(COUNTIF(S355:$Z355,"&gt;"&amp;0)&gt;5,IF(MOD(COUNTIF(R$641:R657,1),7)=0,$C$4,0),0)</f>
        <v>7.5</v>
      </c>
      <c r="S355" s="81" cm="1">
        <f ca="1" t="array" ref="S355">IF(S657=1,OFFSET($Z$338,$B355,S$335-1)/SUMPRODUCT(--($D$335:$V$335=S$335),--($D657:$V657=1)),0)+SUM(S354)+IF(COUNTIF(S$641:S657,1)=1,5,0)+IF(COUNTIF(T355:$Z355,"&gt;"&amp;0)&gt;5,IF(MOD(COUNTIF(S$641:S657,1),7)=0,$C$4,0),0)</f>
        <v>0</v>
      </c>
      <c r="T355" s="81" cm="1">
        <f ca="1" t="array" ref="T355">IF(T657=1,OFFSET($Z$338,$B355,T$335-1)/SUMPRODUCT(--($D$335:$V$335=T$335),--($D657:$V657=1)),0)+SUM(T354)+IF(COUNTIF(T$641:T657,1)=1,5,0)+IF(COUNTIF(U355:$Z355,"&gt;"&amp;0)&gt;5,IF(MOD(COUNTIF(T$641:T657,1),7)=0,$C$4,0),0)</f>
        <v>0</v>
      </c>
      <c r="U355" s="81" cm="1">
        <f ca="1" t="array" ref="U355">IF(U657=1,OFFSET($Z$338,$B355,U$335-1)/SUMPRODUCT(--($D$335:$V$335=U$335),--($D657:$V657=1)),0)+SUM(U354)+IF(COUNTIF(U$641:U657,1)=1,5,0)+IF(COUNTIF(V355:$Z355,"&gt;"&amp;0)&gt;5,IF(MOD(COUNTIF(U$641:U657,1),7)=0,$C$4,0),0)</f>
        <v>0</v>
      </c>
      <c r="V355" s="81" cm="1">
        <f ca="1" t="array" ref="V355">IF(V657=1,OFFSET($Z$338,$B355,V$335-1)/SUMPRODUCT(--($D$335:$V$335=V$335),--($D657:$V657=1)),0)+SUM(V354)+IF(COUNTIF(V$641:V657,1)=1,5,0)+IF(COUNTIF(Z355:$Z355,"&gt;"&amp;0)&gt;5,IF(MOD(COUNTIF(V$641:V657,1),7)=0,$C$4,0),0)</f>
        <v>0</v>
      </c>
      <c r="W355" s="81" cm="1">
        <f ca="1" t="array" ref="W355">IF(W657=1,OFFSET($Z$338,$B355,W$335-1)/SUMPRODUCT(--($D$335:$V$335=W$335),--($D657:$V657=1)),0)+SUM(W354)+IF(COUNTIF(W$641:W657,1)=1,5,0)+IF(COUNTIF($Z355:AA355,"&gt;"&amp;0)&gt;5,IF(MOD(COUNTIF(W$641:W657,1),7)=0,$C$4,0),0)</f>
        <v>0</v>
      </c>
      <c r="X355" s="81" cm="1">
        <f ca="1" t="array" ref="X355">IF(X657=1,OFFSET($Z$338,$B355,X$335-1)/SUMPRODUCT(--($D$335:$V$335=X$335),--($D657:$V657=1)),0)+SUM(X354)+IF(COUNTIF(X$641:X657,1)=1,5,0)+IF(COUNTIF($Z355:AB355,"&gt;"&amp;0)&gt;5,IF(MOD(COUNTIF(X$641:X657,1),7)=0,$C$4,0),0)</f>
        <v>0</v>
      </c>
      <c r="Y355" s="81" cm="1">
        <f ca="1" t="array" ref="Y355">IF(Y657=1,OFFSET($Z$338,$B355,Y$335-1)/SUMPRODUCT(--($D$335:$V$335=Y$335),--($D657:$V657=1)),0)+SUM(Y354)+IF(COUNTIF(Y$641:Y657,1)=1,5,0)+IF(COUNTIF($Z355:AC355,"&gt;"&amp;0)&gt;5,IF(MOD(COUNTIF(Y$641:Y657,1),7)=0,$C$4,0),0)</f>
        <v>0</v>
      </c>
      <c r="Z355" s="82" cm="1">
        <f ca="1" t="array" ref="Z355">SUMPRODUCT(TRANSPOSE($AD355:$AJ355),OFFSET($L$10:$L$16,0,Z$335-1))</f>
        <v>31</v>
      </c>
      <c r="AA355" s="82" cm="1">
        <f ca="1" t="array" ref="AA355">SUMPRODUCT(TRANSPOSE($AD355:$AJ355),OFFSET($L$10:$L$16,0,AA$335-1))</f>
        <v>14</v>
      </c>
      <c r="AB355" s="82" cm="1">
        <f ca="1" t="array" ref="AB355">SUMPRODUCT(TRANSPOSE($AD355:$AJ355),OFFSET($L$10:$L$16,0,AB$335-1))</f>
        <v>5</v>
      </c>
      <c r="AC355" s="82" cm="1">
        <f ca="1" t="array" ref="AC355">SUMPRODUCT(TRANSPOSE($AD355:$AJ355),OFFSET($L$10:$L$16,0,AC$335-1))</f>
        <v>0</v>
      </c>
      <c r="AD355" s="83">
        <f ca="1" t="shared" ref="AD355:AJ355" si="353">AK355-AK354</f>
        <v>0</v>
      </c>
      <c r="AE355" s="83">
        <f ca="1" t="shared" si="353"/>
        <v>0</v>
      </c>
      <c r="AF355" s="83">
        <f ca="1" t="shared" si="353"/>
        <v>100</v>
      </c>
      <c r="AG355" s="83">
        <f ca="1" t="shared" si="353"/>
        <v>0</v>
      </c>
      <c r="AH355" s="83">
        <f ca="1" t="shared" si="353"/>
        <v>0</v>
      </c>
      <c r="AI355" s="83">
        <f ca="1" t="shared" si="353"/>
        <v>0</v>
      </c>
      <c r="AJ355" s="83">
        <f ca="1" t="shared" si="353"/>
        <v>0</v>
      </c>
      <c r="AK355" s="83">
        <f ca="1" t="shared" si="321"/>
        <v>450</v>
      </c>
      <c r="AL355" s="83">
        <f ca="1" t="shared" ref="AL355:AQ355" si="354">IF($C355&gt;OFFSET($Q$9,MATCH(AL$338,$AK$338:$AQ$338,0),0),OFFSET($P$9,MATCH(AL$338,$AK$338:$AQ$338,0),0),MAX(0,$C355-OFFSET($Q$9,RIGHT(AL$338,1)-1,0)))</f>
        <v>909</v>
      </c>
      <c r="AM355" s="83">
        <f ca="1" t="shared" si="354"/>
        <v>1235</v>
      </c>
      <c r="AN355" s="83">
        <f ca="1" t="shared" si="354"/>
        <v>0</v>
      </c>
      <c r="AO355" s="83">
        <f ca="1" t="shared" si="354"/>
        <v>0</v>
      </c>
      <c r="AP355" s="83">
        <f ca="1" t="shared" si="354"/>
        <v>0</v>
      </c>
      <c r="AQ355" s="83">
        <f ca="1" t="shared" si="354"/>
        <v>0</v>
      </c>
      <c r="AS355" s="52">
        <v>17</v>
      </c>
      <c r="AT355" s="52">
        <v>680</v>
      </c>
      <c r="AU355" s="52">
        <v>680</v>
      </c>
      <c r="AV355" s="52">
        <v>680</v>
      </c>
      <c r="AW355" s="52">
        <v>590</v>
      </c>
    </row>
    <row r="356" ht="16.5" spans="2:49">
      <c r="B356" s="65">
        <v>18</v>
      </c>
      <c r="C356" s="80">
        <f t="shared" si="319"/>
        <v>2694</v>
      </c>
      <c r="D356" s="81" cm="1">
        <f ca="1" t="array" ref="D356">IF(D658=1,OFFSET($Z$338,$B356,D$335-1)/SUMPRODUCT(--($D$335:$V$335=D$335),--($D658:$V658=1)),0)+SUM(D355)+IF(COUNTIF(D$641:D658,1)=1,5,0)+IF(COUNTIF(E356:$Z356,"&gt;"&amp;0)&gt;5,IF(MOD(COUNTIF(D$641:D658,1),7)=0,$C$4,0),0)</f>
        <v>320.515</v>
      </c>
      <c r="E356" s="81" cm="1">
        <f ca="1" t="array" ref="E356">IF(E658=1,OFFSET($Z$338,$B356,E$335-1)/SUMPRODUCT(--($D$335:$V$335=E$335),--($D658:$V658=1)),0)+SUM(E355)+IF(COUNTIF(E$641:E658,1)=1,5,0)+IF(COUNTIF(F356:$Z356,"&gt;"&amp;0)&gt;5,IF(MOD(COUNTIF(E$641:E658,1),7)=0,$C$4,0),0)</f>
        <v>320.515</v>
      </c>
      <c r="F356" s="81" cm="1">
        <f ca="1" t="array" ref="F356">IF(F658=1,OFFSET($Z$338,$B356,F$335-1)/SUMPRODUCT(--($D$335:$V$335=F$335),--($D658:$V658=1)),0)+SUM(F355)+IF(COUNTIF(F$641:F658,1)=1,5,0)+IF(COUNTIF(G356:$Z356,"&gt;"&amp;0)&gt;5,IF(MOD(COUNTIF(F$641:F658,1),7)=0,$C$4,0),0)</f>
        <v>320.515</v>
      </c>
      <c r="G356" s="81" cm="1">
        <f ca="1" t="array" ref="G356">IF(G658=1,OFFSET($Z$338,$B356,G$335-1)/SUMPRODUCT(--($D$335:$V$335=G$335),--($D658:$V658=1)),0)+SUM(G355)+IF(COUNTIF(G$641:G658,1)=1,5,0)+IF(COUNTIF(H356:$Z356,"&gt;"&amp;0)&gt;5,IF(MOD(COUNTIF(G$641:G658,1),7)=0,$C$4,0),0)</f>
        <v>72.9466666666666</v>
      </c>
      <c r="H356" s="81" cm="1">
        <f ca="1" t="array" ref="H356">IF(H658=1,OFFSET($Z$338,$B356,H$335-1)/SUMPRODUCT(--($D$335:$V$335=H$335),--($D658:$V658=1)),0)+SUM(H355)+IF(COUNTIF(H$641:H658,1)=1,5,0)+IF(COUNTIF(I356:$Z356,"&gt;"&amp;0)&gt;5,IF(MOD(COUNTIF(H$641:H658,1),7)=0,$C$4,0),0)</f>
        <v>72.9466666666666</v>
      </c>
      <c r="I356" s="81" cm="1">
        <f ca="1" t="array" ref="I356">IF(I658=1,OFFSET($Z$338,$B356,I$335-1)/SUMPRODUCT(--($D$335:$V$335=I$335),--($D658:$V658=1)),0)+SUM(I355)+IF(COUNTIF(I$641:I658,1)=1,5,0)+IF(COUNTIF(J356:$Z356,"&gt;"&amp;0)&gt;5,IF(MOD(COUNTIF(I$641:I658,1),7)=0,$C$4,0),0)</f>
        <v>72.9466666666666</v>
      </c>
      <c r="J356" s="81" cm="1">
        <f ca="1" t="array" ref="J356">IF(J658=1,OFFSET($Z$338,$B356,J$335-1)/SUMPRODUCT(--($D$335:$V$335=J$335),--($D658:$V658=1)),0)+SUM(J355)+IF(COUNTIF(J$641:J658,1)=1,5,0)+IF(COUNTIF(K356:$Z356,"&gt;"&amp;0)&gt;5,IF(MOD(COUNTIF(J$641:J658,1),7)=0,$C$4,0),0)</f>
        <v>72.9466666666666</v>
      </c>
      <c r="K356" s="81" cm="1">
        <f ca="1" t="array" ref="K356">IF(K658=1,OFFSET($Z$338,$B356,K$335-1)/SUMPRODUCT(--($D$335:$V$335=K$335),--($D658:$V658=1)),0)+SUM(K355)+IF(COUNTIF(K$641:K658,1)=1,5,0)+IF(COUNTIF(L356:$Z356,"&gt;"&amp;0)&gt;5,IF(MOD(COUNTIF(K$641:K658,1),7)=0,$C$4,0),0)</f>
        <v>72.9466666666666</v>
      </c>
      <c r="L356" s="81" cm="1">
        <f ca="1" t="array" ref="L356">IF(L658=1,OFFSET($Z$338,$B356,L$335-1)/SUMPRODUCT(--($D$335:$V$335=L$335),--($D658:$V658=1)),0)+SUM(L355)+IF(COUNTIF(L$641:L658,1)=1,5,0)+IF(COUNTIF(M356:$Z356,"&gt;"&amp;0)&gt;5,IF(MOD(COUNTIF(L$641:L658,1),7)=0,$C$4,0),0)</f>
        <v>66.2466666666667</v>
      </c>
      <c r="M356" s="81" cm="1">
        <f ca="1" t="array" ref="M356">IF(M658=1,OFFSET($Z$338,$B356,M$335-1)/SUMPRODUCT(--($D$335:$V$335=M$335),--($D658:$V658=1)),0)+SUM(M355)+IF(COUNTIF(M$641:M658,1)=1,5,0)+IF(COUNTIF(N356:$Z356,"&gt;"&amp;0)&gt;5,IF(MOD(COUNTIF(M$641:M658,1),7)=0,$C$4,0),0)</f>
        <v>32.2179166666667</v>
      </c>
      <c r="N356" s="81" cm="1">
        <f ca="1" t="array" ref="N356">IF(N658=1,OFFSET($Z$338,$B356,N$335-1)/SUMPRODUCT(--($D$335:$V$335=N$335),--($D658:$V658=1)),0)+SUM(N355)+IF(COUNTIF(N$641:N658,1)=1,5,0)+IF(COUNTIF(O356:$Z356,"&gt;"&amp;0)&gt;5,IF(MOD(COUNTIF(N$641:N658,1),7)=0,$C$4,0),0)</f>
        <v>24.4929166666667</v>
      </c>
      <c r="O356" s="81" cm="1">
        <f ca="1" t="array" ref="O356">IF(O658=1,OFFSET($Z$338,$B356,O$335-1)/SUMPRODUCT(--($D$335:$V$335=O$335),--($D658:$V658=1)),0)+SUM(O355)+IF(COUNTIF(O$641:O658,1)=1,5,0)+IF(COUNTIF(P356:$Z356,"&gt;"&amp;0)&gt;5,IF(MOD(COUNTIF(O$641:O658,1),7)=0,$C$4,0),0)</f>
        <v>22.0679166666667</v>
      </c>
      <c r="P356" s="81" cm="1">
        <f ca="1" t="array" ref="P356">IF(P658=1,OFFSET($Z$338,$B356,P$335-1)/SUMPRODUCT(--($D$335:$V$335=P$335),--($D658:$V658=1)),0)+SUM(P355)+IF(COUNTIF(P$641:P658,1)=1,5,0)+IF(COUNTIF(Q356:$Z356,"&gt;"&amp;0)&gt;5,IF(MOD(COUNTIF(P$641:P658,1),7)=0,$C$4,0),0)</f>
        <v>19.1345833333333</v>
      </c>
      <c r="Q356" s="81" cm="1">
        <f ca="1" t="array" ref="Q356">IF(Q658=1,OFFSET($Z$338,$B356,Q$335-1)/SUMPRODUCT(--($D$335:$V$335=Q$335),--($D658:$V658=1)),0)+SUM(Q355)+IF(COUNTIF(Q$641:Q658,1)=1,5,0)+IF(COUNTIF(R356:$Z356,"&gt;"&amp;0)&gt;5,IF(MOD(COUNTIF(Q$641:Q658,1),7)=0,$C$4,0),0)</f>
        <v>18.2283333333333</v>
      </c>
      <c r="R356" s="81" cm="1">
        <f ca="1" t="array" ref="R356">IF(R658=1,OFFSET($Z$338,$B356,R$335-1)/SUMPRODUCT(--($D$335:$V$335=R$335),--($D658:$V658=1)),0)+SUM(R355)+IF(COUNTIF(R$641:R658,1)=1,5,0)+IF(COUNTIF(S356:$Z356,"&gt;"&amp;0)&gt;5,IF(MOD(COUNTIF(R$641:R658,1),7)=0,$C$4,0),0)</f>
        <v>8.33333333333333</v>
      </c>
      <c r="S356" s="81" cm="1">
        <f ca="1" t="array" ref="S356">IF(S658=1,OFFSET($Z$338,$B356,S$335-1)/SUMPRODUCT(--($D$335:$V$335=S$335),--($D658:$V658=1)),0)+SUM(S355)+IF(COUNTIF(S$641:S658,1)=1,5,0)+IF(COUNTIF(T356:$Z356,"&gt;"&amp;0)&gt;5,IF(MOD(COUNTIF(S$641:S658,1),7)=0,$C$4,0),0)</f>
        <v>0</v>
      </c>
      <c r="T356" s="81" cm="1">
        <f ca="1" t="array" ref="T356">IF(T658=1,OFFSET($Z$338,$B356,T$335-1)/SUMPRODUCT(--($D$335:$V$335=T$335),--($D658:$V658=1)),0)+SUM(T355)+IF(COUNTIF(T$641:T658,1)=1,5,0)+IF(COUNTIF(U356:$Z356,"&gt;"&amp;0)&gt;5,IF(MOD(COUNTIF(T$641:T658,1),7)=0,$C$4,0),0)</f>
        <v>0</v>
      </c>
      <c r="U356" s="81" cm="1">
        <f ca="1" t="array" ref="U356">IF(U658=1,OFFSET($Z$338,$B356,U$335-1)/SUMPRODUCT(--($D$335:$V$335=U$335),--($D658:$V658=1)),0)+SUM(U355)+IF(COUNTIF(U$641:U658,1)=1,5,0)+IF(COUNTIF(V356:$Z356,"&gt;"&amp;0)&gt;5,IF(MOD(COUNTIF(U$641:U658,1),7)=0,$C$4,0),0)</f>
        <v>0</v>
      </c>
      <c r="V356" s="81" cm="1">
        <f ca="1" t="array" ref="V356">IF(V658=1,OFFSET($Z$338,$B356,V$335-1)/SUMPRODUCT(--($D$335:$V$335=V$335),--($D658:$V658=1)),0)+SUM(V355)+IF(COUNTIF(V$641:V658,1)=1,5,0)+IF(COUNTIF(Z356:$Z356,"&gt;"&amp;0)&gt;5,IF(MOD(COUNTIF(V$641:V658,1),7)=0,$C$4,0),0)</f>
        <v>0</v>
      </c>
      <c r="W356" s="81" cm="1">
        <f ca="1" t="array" ref="W356">IF(W658=1,OFFSET($Z$338,$B356,W$335-1)/SUMPRODUCT(--($D$335:$V$335=W$335),--($D658:$V658=1)),0)+SUM(W355)+IF(COUNTIF(W$641:W658,1)=1,5,0)+IF(COUNTIF($Z356:AA356,"&gt;"&amp;0)&gt;5,IF(MOD(COUNTIF(W$641:W658,1),7)=0,$C$4,0),0)</f>
        <v>0</v>
      </c>
      <c r="X356" s="81" cm="1">
        <f ca="1" t="array" ref="X356">IF(X658=1,OFFSET($Z$338,$B356,X$335-1)/SUMPRODUCT(--($D$335:$V$335=X$335),--($D658:$V658=1)),0)+SUM(X355)+IF(COUNTIF(X$641:X658,1)=1,5,0)+IF(COUNTIF($Z356:AB356,"&gt;"&amp;0)&gt;5,IF(MOD(COUNTIF(X$641:X658,1),7)=0,$C$4,0),0)</f>
        <v>0</v>
      </c>
      <c r="Y356" s="81" cm="1">
        <f ca="1" t="array" ref="Y356">IF(Y658=1,OFFSET($Z$338,$B356,Y$335-1)/SUMPRODUCT(--($D$335:$V$335=Y$335),--($D658:$V658=1)),0)+SUM(Y355)+IF(COUNTIF(Y$641:Y658,1)=1,5,0)+IF(COUNTIF($Z356:AC356,"&gt;"&amp;0)&gt;5,IF(MOD(COUNTIF(Y$641:Y658,1),7)=0,$C$4,0),0)</f>
        <v>0</v>
      </c>
      <c r="Z356" s="82" cm="1">
        <f ca="1" t="array" ref="Z356">SUMPRODUCT(TRANSPOSE($AD356:$AJ356),OFFSET($L$10:$L$16,0,Z$335-1))</f>
        <v>31</v>
      </c>
      <c r="AA356" s="82" cm="1">
        <f ca="1" t="array" ref="AA356">SUMPRODUCT(TRANSPOSE($AD356:$AJ356),OFFSET($L$10:$L$16,0,AA$335-1))</f>
        <v>14</v>
      </c>
      <c r="AB356" s="82" cm="1">
        <f ca="1" t="array" ref="AB356">SUMPRODUCT(TRANSPOSE($AD356:$AJ356),OFFSET($L$10:$L$16,0,AB$335-1))</f>
        <v>5</v>
      </c>
      <c r="AC356" s="82" cm="1">
        <f ca="1" t="array" ref="AC356">SUMPRODUCT(TRANSPOSE($AD356:$AJ356),OFFSET($L$10:$L$16,0,AC$335-1))</f>
        <v>0</v>
      </c>
      <c r="AD356" s="83">
        <f ca="1" t="shared" ref="AD356:AJ356" si="355">AK356-AK355</f>
        <v>0</v>
      </c>
      <c r="AE356" s="83">
        <f ca="1" t="shared" si="355"/>
        <v>0</v>
      </c>
      <c r="AF356" s="83">
        <f ca="1" t="shared" si="355"/>
        <v>100</v>
      </c>
      <c r="AG356" s="83">
        <f ca="1" t="shared" si="355"/>
        <v>0</v>
      </c>
      <c r="AH356" s="83">
        <f ca="1" t="shared" si="355"/>
        <v>0</v>
      </c>
      <c r="AI356" s="83">
        <f ca="1" t="shared" si="355"/>
        <v>0</v>
      </c>
      <c r="AJ356" s="83">
        <f ca="1" t="shared" si="355"/>
        <v>0</v>
      </c>
      <c r="AK356" s="83">
        <f ca="1" t="shared" si="321"/>
        <v>450</v>
      </c>
      <c r="AL356" s="83">
        <f ca="1" t="shared" ref="AL356:AQ356" si="356">IF($C356&gt;OFFSET($Q$9,MATCH(AL$338,$AK$338:$AQ$338,0),0),OFFSET($P$9,MATCH(AL$338,$AK$338:$AQ$338,0),0),MAX(0,$C356-OFFSET($Q$9,RIGHT(AL$338,1)-1,0)))</f>
        <v>909</v>
      </c>
      <c r="AM356" s="83">
        <f ca="1" t="shared" si="356"/>
        <v>1335</v>
      </c>
      <c r="AN356" s="83">
        <f ca="1" t="shared" si="356"/>
        <v>0</v>
      </c>
      <c r="AO356" s="83">
        <f ca="1" t="shared" si="356"/>
        <v>0</v>
      </c>
      <c r="AP356" s="83">
        <f ca="1" t="shared" si="356"/>
        <v>0</v>
      </c>
      <c r="AQ356" s="83">
        <f ca="1" t="shared" si="356"/>
        <v>0</v>
      </c>
      <c r="AS356" s="52">
        <v>18</v>
      </c>
      <c r="AT356" s="52">
        <v>770</v>
      </c>
      <c r="AU356" s="52">
        <v>770</v>
      </c>
      <c r="AV356" s="52">
        <v>770</v>
      </c>
      <c r="AW356" s="52">
        <v>660</v>
      </c>
    </row>
    <row r="357" ht="16.5" spans="2:49">
      <c r="B357" s="65">
        <v>19</v>
      </c>
      <c r="C357" s="80">
        <f t="shared" si="319"/>
        <v>2794</v>
      </c>
      <c r="D357" s="81" cm="1">
        <f ca="1" t="array" ref="D357">IF(D659=1,OFFSET($Z$338,$B357,D$335-1)/SUMPRODUCT(--($D$335:$V$335=D$335),--($D659:$V659=1)),0)+SUM(D356)+IF(COUNTIF(D$641:D659,1)=1,5,0)+IF(COUNTIF(E357:$Z357,"&gt;"&amp;0)&gt;5,IF(MOD(COUNTIF(D$641:D659,1),7)=0,$C$4,0),0)</f>
        <v>330.848333333333</v>
      </c>
      <c r="E357" s="81" cm="1">
        <f ca="1" t="array" ref="E357">IF(E659=1,OFFSET($Z$338,$B357,E$335-1)/SUMPRODUCT(--($D$335:$V$335=E$335),--($D659:$V659=1)),0)+SUM(E356)+IF(COUNTIF(E$641:E659,1)=1,5,0)+IF(COUNTIF(F357:$Z357,"&gt;"&amp;0)&gt;5,IF(MOD(COUNTIF(E$641:E659,1),7)=0,$C$4,0),0)</f>
        <v>330.848333333333</v>
      </c>
      <c r="F357" s="81" cm="1">
        <f ca="1" t="array" ref="F357">IF(F659=1,OFFSET($Z$338,$B357,F$335-1)/SUMPRODUCT(--($D$335:$V$335=F$335),--($D659:$V659=1)),0)+SUM(F356)+IF(COUNTIF(F$641:F659,1)=1,5,0)+IF(COUNTIF(G357:$Z357,"&gt;"&amp;0)&gt;5,IF(MOD(COUNTIF(F$641:F659,1),7)=0,$C$4,0),0)</f>
        <v>330.848333333333</v>
      </c>
      <c r="G357" s="81" cm="1">
        <f ca="1" t="array" ref="G357">IF(G659=1,OFFSET($Z$338,$B357,G$335-1)/SUMPRODUCT(--($D$335:$V$335=G$335),--($D659:$V659=1)),0)+SUM(G356)+IF(COUNTIF(G$641:G659,1)=1,5,0)+IF(COUNTIF(H357:$Z357,"&gt;"&amp;0)&gt;5,IF(MOD(COUNTIF(G$641:G659,1),7)=0,$C$4,0),0)</f>
        <v>75.28</v>
      </c>
      <c r="H357" s="81" cm="1">
        <f ca="1" t="array" ref="H357">IF(H659=1,OFFSET($Z$338,$B357,H$335-1)/SUMPRODUCT(--($D$335:$V$335=H$335),--($D659:$V659=1)),0)+SUM(H356)+IF(COUNTIF(H$641:H659,1)=1,5,0)+IF(COUNTIF(I357:$Z357,"&gt;"&amp;0)&gt;5,IF(MOD(COUNTIF(H$641:H659,1),7)=0,$C$4,0),0)</f>
        <v>75.28</v>
      </c>
      <c r="I357" s="81" cm="1">
        <f ca="1" t="array" ref="I357">IF(I659=1,OFFSET($Z$338,$B357,I$335-1)/SUMPRODUCT(--($D$335:$V$335=I$335),--($D659:$V659=1)),0)+SUM(I356)+IF(COUNTIF(I$641:I659,1)=1,5,0)+IF(COUNTIF(J357:$Z357,"&gt;"&amp;0)&gt;5,IF(MOD(COUNTIF(I$641:I659,1),7)=0,$C$4,0),0)</f>
        <v>75.28</v>
      </c>
      <c r="J357" s="81" cm="1">
        <f ca="1" t="array" ref="J357">IF(J659=1,OFFSET($Z$338,$B357,J$335-1)/SUMPRODUCT(--($D$335:$V$335=J$335),--($D659:$V659=1)),0)+SUM(J356)+IF(COUNTIF(J$641:J659,1)=1,5,0)+IF(COUNTIF(K357:$Z357,"&gt;"&amp;0)&gt;5,IF(MOD(COUNTIF(J$641:J659,1),7)=0,$C$4,0),0)</f>
        <v>75.28</v>
      </c>
      <c r="K357" s="81" cm="1">
        <f ca="1" t="array" ref="K357">IF(K659=1,OFFSET($Z$338,$B357,K$335-1)/SUMPRODUCT(--($D$335:$V$335=K$335),--($D659:$V659=1)),0)+SUM(K356)+IF(COUNTIF(K$641:K659,1)=1,5,0)+IF(COUNTIF(L357:$Z357,"&gt;"&amp;0)&gt;5,IF(MOD(COUNTIF(K$641:K659,1),7)=0,$C$4,0),0)</f>
        <v>75.28</v>
      </c>
      <c r="L357" s="81" cm="1">
        <f ca="1" t="array" ref="L357">IF(L659=1,OFFSET($Z$338,$B357,L$335-1)/SUMPRODUCT(--($D$335:$V$335=L$335),--($D659:$V659=1)),0)+SUM(L356)+IF(COUNTIF(L$641:L659,1)=1,5,0)+IF(COUNTIF(M357:$Z357,"&gt;"&amp;0)&gt;5,IF(MOD(COUNTIF(L$641:L659,1),7)=0,$C$4,0),0)</f>
        <v>68.58</v>
      </c>
      <c r="M357" s="81" cm="1">
        <f ca="1" t="array" ref="M357">IF(M659=1,OFFSET($Z$338,$B357,M$335-1)/SUMPRODUCT(--($D$335:$V$335=M$335),--($D659:$V659=1)),0)+SUM(M356)+IF(COUNTIF(M$641:M659,1)=1,5,0)+IF(COUNTIF(N357:$Z357,"&gt;"&amp;0)&gt;5,IF(MOD(COUNTIF(M$641:M659,1),7)=0,$C$4,0),0)</f>
        <v>33.05125</v>
      </c>
      <c r="N357" s="81" cm="1">
        <f ca="1" t="array" ref="N357">IF(N659=1,OFFSET($Z$338,$B357,N$335-1)/SUMPRODUCT(--($D$335:$V$335=N$335),--($D659:$V659=1)),0)+SUM(N356)+IF(COUNTIF(N$641:N659,1)=1,5,0)+IF(COUNTIF(O357:$Z357,"&gt;"&amp;0)&gt;5,IF(MOD(COUNTIF(N$641:N659,1),7)=0,$C$4,0),0)</f>
        <v>25.32625</v>
      </c>
      <c r="O357" s="81" cm="1">
        <f ca="1" t="array" ref="O357">IF(O659=1,OFFSET($Z$338,$B357,O$335-1)/SUMPRODUCT(--($D$335:$V$335=O$335),--($D659:$V659=1)),0)+SUM(O356)+IF(COUNTIF(O$641:O659,1)=1,5,0)+IF(COUNTIF(P357:$Z357,"&gt;"&amp;0)&gt;5,IF(MOD(COUNTIF(O$641:O659,1),7)=0,$C$4,0),0)</f>
        <v>22.90125</v>
      </c>
      <c r="P357" s="81" cm="1">
        <f ca="1" t="array" ref="P357">IF(P659=1,OFFSET($Z$338,$B357,P$335-1)/SUMPRODUCT(--($D$335:$V$335=P$335),--($D659:$V659=1)),0)+SUM(P356)+IF(COUNTIF(P$641:P659,1)=1,5,0)+IF(COUNTIF(Q357:$Z357,"&gt;"&amp;0)&gt;5,IF(MOD(COUNTIF(P$641:P659,1),7)=0,$C$4,0),0)</f>
        <v>19.9679166666667</v>
      </c>
      <c r="Q357" s="81" cm="1">
        <f ca="1" t="array" ref="Q357">IF(Q659=1,OFFSET($Z$338,$B357,Q$335-1)/SUMPRODUCT(--($D$335:$V$335=Q$335),--($D659:$V659=1)),0)+SUM(Q356)+IF(COUNTIF(Q$641:Q659,1)=1,5,0)+IF(COUNTIF(R357:$Z357,"&gt;"&amp;0)&gt;5,IF(MOD(COUNTIF(Q$641:Q659,1),7)=0,$C$4,0),0)</f>
        <v>19.0616666666667</v>
      </c>
      <c r="R357" s="81" cm="1">
        <f ca="1" t="array" ref="R357">IF(R659=1,OFFSET($Z$338,$B357,R$335-1)/SUMPRODUCT(--($D$335:$V$335=R$335),--($D659:$V659=1)),0)+SUM(R356)+IF(COUNTIF(R$641:R659,1)=1,5,0)+IF(COUNTIF(S357:$Z357,"&gt;"&amp;0)&gt;5,IF(MOD(COUNTIF(R$641:R659,1),7)=0,$C$4,0),0)</f>
        <v>9.16666666666667</v>
      </c>
      <c r="S357" s="81" cm="1">
        <f ca="1" t="array" ref="S357">IF(S659=1,OFFSET($Z$338,$B357,S$335-1)/SUMPRODUCT(--($D$335:$V$335=S$335),--($D659:$V659=1)),0)+SUM(S356)+IF(COUNTIF(S$641:S659,1)=1,5,0)+IF(COUNTIF(T357:$Z357,"&gt;"&amp;0)&gt;5,IF(MOD(COUNTIF(S$641:S659,1),7)=0,$C$4,0),0)</f>
        <v>0</v>
      </c>
      <c r="T357" s="81" cm="1">
        <f ca="1" t="array" ref="T357">IF(T659=1,OFFSET($Z$338,$B357,T$335-1)/SUMPRODUCT(--($D$335:$V$335=T$335),--($D659:$V659=1)),0)+SUM(T356)+IF(COUNTIF(T$641:T659,1)=1,5,0)+IF(COUNTIF(U357:$Z357,"&gt;"&amp;0)&gt;5,IF(MOD(COUNTIF(T$641:T659,1),7)=0,$C$4,0),0)</f>
        <v>0</v>
      </c>
      <c r="U357" s="81" cm="1">
        <f ca="1" t="array" ref="U357">IF(U659=1,OFFSET($Z$338,$B357,U$335-1)/SUMPRODUCT(--($D$335:$V$335=U$335),--($D659:$V659=1)),0)+SUM(U356)+IF(COUNTIF(U$641:U659,1)=1,5,0)+IF(COUNTIF(V357:$Z357,"&gt;"&amp;0)&gt;5,IF(MOD(COUNTIF(U$641:U659,1),7)=0,$C$4,0),0)</f>
        <v>0</v>
      </c>
      <c r="V357" s="81" cm="1">
        <f ca="1" t="array" ref="V357">IF(V659=1,OFFSET($Z$338,$B357,V$335-1)/SUMPRODUCT(--($D$335:$V$335=V$335),--($D659:$V659=1)),0)+SUM(V356)+IF(COUNTIF(V$641:V659,1)=1,5,0)+IF(COUNTIF(Z357:$Z357,"&gt;"&amp;0)&gt;5,IF(MOD(COUNTIF(V$641:V659,1),7)=0,$C$4,0),0)</f>
        <v>0</v>
      </c>
      <c r="W357" s="81" cm="1">
        <f ca="1" t="array" ref="W357">IF(W659=1,OFFSET($Z$338,$B357,W$335-1)/SUMPRODUCT(--($D$335:$V$335=W$335),--($D659:$V659=1)),0)+SUM(W356)+IF(COUNTIF(W$641:W659,1)=1,5,0)+IF(COUNTIF($Z357:AA357,"&gt;"&amp;0)&gt;5,IF(MOD(COUNTIF(W$641:W659,1),7)=0,$C$4,0),0)</f>
        <v>0</v>
      </c>
      <c r="X357" s="81" cm="1">
        <f ca="1" t="array" ref="X357">IF(X659=1,OFFSET($Z$338,$B357,X$335-1)/SUMPRODUCT(--($D$335:$V$335=X$335),--($D659:$V659=1)),0)+SUM(X356)+IF(COUNTIF(X$641:X659,1)=1,5,0)+IF(COUNTIF($Z357:AB357,"&gt;"&amp;0)&gt;5,IF(MOD(COUNTIF(X$641:X659,1),7)=0,$C$4,0),0)</f>
        <v>0</v>
      </c>
      <c r="Y357" s="81" cm="1">
        <f ca="1" t="array" ref="Y357">IF(Y659=1,OFFSET($Z$338,$B357,Y$335-1)/SUMPRODUCT(--($D$335:$V$335=Y$335),--($D659:$V659=1)),0)+SUM(Y356)+IF(COUNTIF(Y$641:Y659,1)=1,5,0)+IF(COUNTIF($Z357:AC357,"&gt;"&amp;0)&gt;5,IF(MOD(COUNTIF(Y$641:Y659,1),7)=0,$C$4,0),0)</f>
        <v>0</v>
      </c>
      <c r="Z357" s="82" cm="1">
        <f ca="1" t="array" ref="Z357">SUMPRODUCT(TRANSPOSE($AD357:$AJ357),OFFSET($L$10:$L$16,0,Z$335-1))</f>
        <v>31</v>
      </c>
      <c r="AA357" s="82" cm="1">
        <f ca="1" t="array" ref="AA357">SUMPRODUCT(TRANSPOSE($AD357:$AJ357),OFFSET($L$10:$L$16,0,AA$335-1))</f>
        <v>14</v>
      </c>
      <c r="AB357" s="82" cm="1">
        <f ca="1" t="array" ref="AB357">SUMPRODUCT(TRANSPOSE($AD357:$AJ357),OFFSET($L$10:$L$16,0,AB$335-1))</f>
        <v>5</v>
      </c>
      <c r="AC357" s="82" cm="1">
        <f ca="1" t="array" ref="AC357">SUMPRODUCT(TRANSPOSE($AD357:$AJ357),OFFSET($L$10:$L$16,0,AC$335-1))</f>
        <v>0</v>
      </c>
      <c r="AD357" s="83">
        <f ca="1" t="shared" ref="AD357:AJ357" si="357">AK357-AK356</f>
        <v>0</v>
      </c>
      <c r="AE357" s="83">
        <f ca="1" t="shared" si="357"/>
        <v>0</v>
      </c>
      <c r="AF357" s="83">
        <f ca="1" t="shared" si="357"/>
        <v>100</v>
      </c>
      <c r="AG357" s="83">
        <f ca="1" t="shared" si="357"/>
        <v>0</v>
      </c>
      <c r="AH357" s="83">
        <f ca="1" t="shared" si="357"/>
        <v>0</v>
      </c>
      <c r="AI357" s="83">
        <f ca="1" t="shared" si="357"/>
        <v>0</v>
      </c>
      <c r="AJ357" s="83">
        <f ca="1" t="shared" si="357"/>
        <v>0</v>
      </c>
      <c r="AK357" s="83">
        <f ca="1" t="shared" si="321"/>
        <v>450</v>
      </c>
      <c r="AL357" s="83">
        <f ca="1" t="shared" ref="AL357:AQ357" si="358">IF($C357&gt;OFFSET($Q$9,MATCH(AL$338,$AK$338:$AQ$338,0),0),OFFSET($P$9,MATCH(AL$338,$AK$338:$AQ$338,0),0),MAX(0,$C357-OFFSET($Q$9,RIGHT(AL$338,1)-1,0)))</f>
        <v>909</v>
      </c>
      <c r="AM357" s="83">
        <f ca="1" t="shared" si="358"/>
        <v>1435</v>
      </c>
      <c r="AN357" s="83">
        <f ca="1" t="shared" si="358"/>
        <v>0</v>
      </c>
      <c r="AO357" s="83">
        <f ca="1" t="shared" si="358"/>
        <v>0</v>
      </c>
      <c r="AP357" s="83">
        <f ca="1" t="shared" si="358"/>
        <v>0</v>
      </c>
      <c r="AQ357" s="83">
        <f ca="1" t="shared" si="358"/>
        <v>0</v>
      </c>
      <c r="AS357" s="52">
        <v>19</v>
      </c>
      <c r="AT357" s="52">
        <v>860</v>
      </c>
      <c r="AU357" s="52">
        <v>860</v>
      </c>
      <c r="AV357" s="52">
        <v>860</v>
      </c>
      <c r="AW357" s="52">
        <v>730</v>
      </c>
    </row>
    <row r="358" ht="16.5" spans="2:49">
      <c r="B358" s="65">
        <v>20</v>
      </c>
      <c r="C358" s="80">
        <f t="shared" si="319"/>
        <v>2894</v>
      </c>
      <c r="D358" s="81" cm="1">
        <f ca="1" t="array" ref="D358">IF(D660=1,OFFSET($Z$338,$B358,D$335-1)/SUMPRODUCT(--($D$335:$V$335=D$335),--($D660:$V660=1)),0)+SUM(D357)+IF(COUNTIF(D$641:D660,1)=1,5,0)+IF(COUNTIF(E358:$Z358,"&gt;"&amp;0)&gt;5,IF(MOD(COUNTIF(D$641:D660,1),7)=0,$C$4,0),0)</f>
        <v>341.181666666667</v>
      </c>
      <c r="E358" s="81" cm="1">
        <f ca="1" t="array" ref="E358">IF(E660=1,OFFSET($Z$338,$B358,E$335-1)/SUMPRODUCT(--($D$335:$V$335=E$335),--($D660:$V660=1)),0)+SUM(E357)+IF(COUNTIF(E$641:E660,1)=1,5,0)+IF(COUNTIF(F358:$Z358,"&gt;"&amp;0)&gt;5,IF(MOD(COUNTIF(E$641:E660,1),7)=0,$C$4,0),0)</f>
        <v>341.181666666667</v>
      </c>
      <c r="F358" s="81" cm="1">
        <f ca="1" t="array" ref="F358">IF(F660=1,OFFSET($Z$338,$B358,F$335-1)/SUMPRODUCT(--($D$335:$V$335=F$335),--($D660:$V660=1)),0)+SUM(F357)+IF(COUNTIF(F$641:F660,1)=1,5,0)+IF(COUNTIF(G358:$Z358,"&gt;"&amp;0)&gt;5,IF(MOD(COUNTIF(F$641:F660,1),7)=0,$C$4,0),0)</f>
        <v>341.181666666667</v>
      </c>
      <c r="G358" s="81" cm="1">
        <f ca="1" t="array" ref="G358">IF(G660=1,OFFSET($Z$338,$B358,G$335-1)/SUMPRODUCT(--($D$335:$V$335=G$335),--($D660:$V660=1)),0)+SUM(G357)+IF(COUNTIF(G$641:G660,1)=1,5,0)+IF(COUNTIF(H358:$Z358,"&gt;"&amp;0)&gt;5,IF(MOD(COUNTIF(G$641:G660,1),7)=0,$C$4,0),0)</f>
        <v>77.6133333333333</v>
      </c>
      <c r="H358" s="81" cm="1">
        <f ca="1" t="array" ref="H358">IF(H660=1,OFFSET($Z$338,$B358,H$335-1)/SUMPRODUCT(--($D$335:$V$335=H$335),--($D660:$V660=1)),0)+SUM(H357)+IF(COUNTIF(H$641:H660,1)=1,5,0)+IF(COUNTIF(I358:$Z358,"&gt;"&amp;0)&gt;5,IF(MOD(COUNTIF(H$641:H660,1),7)=0,$C$4,0),0)</f>
        <v>77.6133333333333</v>
      </c>
      <c r="I358" s="81" cm="1">
        <f ca="1" t="array" ref="I358">IF(I660=1,OFFSET($Z$338,$B358,I$335-1)/SUMPRODUCT(--($D$335:$V$335=I$335),--($D660:$V660=1)),0)+SUM(I357)+IF(COUNTIF(I$641:I660,1)=1,5,0)+IF(COUNTIF(J358:$Z358,"&gt;"&amp;0)&gt;5,IF(MOD(COUNTIF(I$641:I660,1),7)=0,$C$4,0),0)</f>
        <v>77.6133333333333</v>
      </c>
      <c r="J358" s="81" cm="1">
        <f ca="1" t="array" ref="J358">IF(J660=1,OFFSET($Z$338,$B358,J$335-1)/SUMPRODUCT(--($D$335:$V$335=J$335),--($D660:$V660=1)),0)+SUM(J357)+IF(COUNTIF(J$641:J660,1)=1,5,0)+IF(COUNTIF(K358:$Z358,"&gt;"&amp;0)&gt;5,IF(MOD(COUNTIF(J$641:J660,1),7)=0,$C$4,0),0)</f>
        <v>77.6133333333333</v>
      </c>
      <c r="K358" s="81" cm="1">
        <f ca="1" t="array" ref="K358">IF(K660=1,OFFSET($Z$338,$B358,K$335-1)/SUMPRODUCT(--($D$335:$V$335=K$335),--($D660:$V660=1)),0)+SUM(K357)+IF(COUNTIF(K$641:K660,1)=1,5,0)+IF(COUNTIF(L358:$Z358,"&gt;"&amp;0)&gt;5,IF(MOD(COUNTIF(K$641:K660,1),7)=0,$C$4,0),0)</f>
        <v>77.6133333333333</v>
      </c>
      <c r="L358" s="81" cm="1">
        <f ca="1" t="array" ref="L358">IF(L660=1,OFFSET($Z$338,$B358,L$335-1)/SUMPRODUCT(--($D$335:$V$335=L$335),--($D660:$V660=1)),0)+SUM(L357)+IF(COUNTIF(L$641:L660,1)=1,5,0)+IF(COUNTIF(M358:$Z358,"&gt;"&amp;0)&gt;5,IF(MOD(COUNTIF(L$641:L660,1),7)=0,$C$4,0),0)</f>
        <v>70.9133333333333</v>
      </c>
      <c r="M358" s="81" cm="1">
        <f ca="1" t="array" ref="M358">IF(M660=1,OFFSET($Z$338,$B358,M$335-1)/SUMPRODUCT(--($D$335:$V$335=M$335),--($D660:$V660=1)),0)+SUM(M357)+IF(COUNTIF(M$641:M660,1)=1,5,0)+IF(COUNTIF(N358:$Z358,"&gt;"&amp;0)&gt;5,IF(MOD(COUNTIF(M$641:M660,1),7)=0,$C$4,0),0)</f>
        <v>33.7655357142857</v>
      </c>
      <c r="N358" s="81" cm="1">
        <f ca="1" t="array" ref="N358">IF(N660=1,OFFSET($Z$338,$B358,N$335-1)/SUMPRODUCT(--($D$335:$V$335=N$335),--($D660:$V660=1)),0)+SUM(N357)+IF(COUNTIF(N$641:N660,1)=1,5,0)+IF(COUNTIF(O358:$Z358,"&gt;"&amp;0)&gt;5,IF(MOD(COUNTIF(N$641:N660,1),7)=0,$C$4,0),0)</f>
        <v>26.0405357142857</v>
      </c>
      <c r="O358" s="81" cm="1">
        <f ca="1" t="array" ref="O358">IF(O660=1,OFFSET($Z$338,$B358,O$335-1)/SUMPRODUCT(--($D$335:$V$335=O$335),--($D660:$V660=1)),0)+SUM(O357)+IF(COUNTIF(O$641:O660,1)=1,5,0)+IF(COUNTIF(P358:$Z358,"&gt;"&amp;0)&gt;5,IF(MOD(COUNTIF(O$641:O660,1),7)=0,$C$4,0),0)</f>
        <v>23.6155357142857</v>
      </c>
      <c r="P358" s="81" cm="1">
        <f ca="1" t="array" ref="P358">IF(P660=1,OFFSET($Z$338,$B358,P$335-1)/SUMPRODUCT(--($D$335:$V$335=P$335),--($D660:$V660=1)),0)+SUM(P357)+IF(COUNTIF(P$641:P660,1)=1,5,0)+IF(COUNTIF(Q358:$Z358,"&gt;"&amp;0)&gt;5,IF(MOD(COUNTIF(P$641:P660,1),7)=0,$C$4,0),0)</f>
        <v>20.6822023809524</v>
      </c>
      <c r="Q358" s="81" cm="1">
        <f ca="1" t="array" ref="Q358">IF(Q660=1,OFFSET($Z$338,$B358,Q$335-1)/SUMPRODUCT(--($D$335:$V$335=Q$335),--($D660:$V660=1)),0)+SUM(Q357)+IF(COUNTIF(Q$641:Q660,1)=1,5,0)+IF(COUNTIF(R358:$Z358,"&gt;"&amp;0)&gt;5,IF(MOD(COUNTIF(Q$641:Q660,1),7)=0,$C$4,0),0)</f>
        <v>19.7759523809524</v>
      </c>
      <c r="R358" s="81" cm="1">
        <f ca="1" t="array" ref="R358">IF(R660=1,OFFSET($Z$338,$B358,R$335-1)/SUMPRODUCT(--($D$335:$V$335=R$335),--($D660:$V660=1)),0)+SUM(R357)+IF(COUNTIF(R$641:R660,1)=1,5,0)+IF(COUNTIF(S358:$Z358,"&gt;"&amp;0)&gt;5,IF(MOD(COUNTIF(R$641:R660,1),7)=0,$C$4,0),0)</f>
        <v>9.88095238095238</v>
      </c>
      <c r="S358" s="81" cm="1">
        <f ca="1" t="array" ref="S358">IF(S660=1,OFFSET($Z$338,$B358,S$335-1)/SUMPRODUCT(--($D$335:$V$335=S$335),--($D660:$V660=1)),0)+SUM(S357)+IF(COUNTIF(S$641:S660,1)=1,5,0)+IF(COUNTIF(T358:$Z358,"&gt;"&amp;0)&gt;5,IF(MOD(COUNTIF(S$641:S660,1),7)=0,$C$4,0),0)</f>
        <v>5.71428571428571</v>
      </c>
      <c r="T358" s="81" cm="1">
        <f ca="1" t="array" ref="T358">IF(T660=1,OFFSET($Z$338,$B358,T$335-1)/SUMPRODUCT(--($D$335:$V$335=T$335),--($D660:$V660=1)),0)+SUM(T357)+IF(COUNTIF(T$641:T660,1)=1,5,0)+IF(COUNTIF(U358:$Z358,"&gt;"&amp;0)&gt;5,IF(MOD(COUNTIF(T$641:T660,1),7)=0,$C$4,0),0)</f>
        <v>0</v>
      </c>
      <c r="U358" s="81" cm="1">
        <f ca="1" t="array" ref="U358">IF(U660=1,OFFSET($Z$338,$B358,U$335-1)/SUMPRODUCT(--($D$335:$V$335=U$335),--($D660:$V660=1)),0)+SUM(U357)+IF(COUNTIF(U$641:U660,1)=1,5,0)+IF(COUNTIF(V358:$Z358,"&gt;"&amp;0)&gt;5,IF(MOD(COUNTIF(U$641:U660,1),7)=0,$C$4,0),0)</f>
        <v>0</v>
      </c>
      <c r="V358" s="81" cm="1">
        <f ca="1" t="array" ref="V358">IF(V660=1,OFFSET($Z$338,$B358,V$335-1)/SUMPRODUCT(--($D$335:$V$335=V$335),--($D660:$V660=1)),0)+SUM(V357)+IF(COUNTIF(V$641:V660,1)=1,5,0)+IF(COUNTIF(Z358:$Z358,"&gt;"&amp;0)&gt;5,IF(MOD(COUNTIF(V$641:V660,1),7)=0,$C$4,0),0)</f>
        <v>0</v>
      </c>
      <c r="W358" s="81" cm="1">
        <f ca="1" t="array" ref="W358">IF(W660=1,OFFSET($Z$338,$B358,W$335-1)/SUMPRODUCT(--($D$335:$V$335=W$335),--($D660:$V660=1)),0)+SUM(W357)+IF(COUNTIF(W$641:W660,1)=1,5,0)+IF(COUNTIF($Z358:AA358,"&gt;"&amp;0)&gt;5,IF(MOD(COUNTIF(W$641:W660,1),7)=0,$C$4,0),0)</f>
        <v>0</v>
      </c>
      <c r="X358" s="81" cm="1">
        <f ca="1" t="array" ref="X358">IF(X660=1,OFFSET($Z$338,$B358,X$335-1)/SUMPRODUCT(--($D$335:$V$335=X$335),--($D660:$V660=1)),0)+SUM(X357)+IF(COUNTIF(X$641:X660,1)=1,5,0)+IF(COUNTIF($Z358:AB358,"&gt;"&amp;0)&gt;5,IF(MOD(COUNTIF(X$641:X660,1),7)=0,$C$4,0),0)</f>
        <v>0</v>
      </c>
      <c r="Y358" s="81" cm="1">
        <f ca="1" t="array" ref="Y358">IF(Y660=1,OFFSET($Z$338,$B358,Y$335-1)/SUMPRODUCT(--($D$335:$V$335=Y$335),--($D660:$V660=1)),0)+SUM(Y357)+IF(COUNTIF(Y$641:Y660,1)=1,5,0)+IF(COUNTIF($Z358:AC358,"&gt;"&amp;0)&gt;5,IF(MOD(COUNTIF(Y$641:Y660,1),7)=0,$C$4,0),0)</f>
        <v>0</v>
      </c>
      <c r="Z358" s="82" cm="1">
        <f ca="1" t="array" ref="Z358">SUMPRODUCT(TRANSPOSE($AD358:$AJ358),OFFSET($L$10:$L$16,0,Z$335-1))</f>
        <v>31</v>
      </c>
      <c r="AA358" s="82" cm="1">
        <f ca="1" t="array" ref="AA358">SUMPRODUCT(TRANSPOSE($AD358:$AJ358),OFFSET($L$10:$L$16,0,AA$335-1))</f>
        <v>14</v>
      </c>
      <c r="AB358" s="82" cm="1">
        <f ca="1" t="array" ref="AB358">SUMPRODUCT(TRANSPOSE($AD358:$AJ358),OFFSET($L$10:$L$16,0,AB$335-1))</f>
        <v>5</v>
      </c>
      <c r="AC358" s="82" cm="1">
        <f ca="1" t="array" ref="AC358">SUMPRODUCT(TRANSPOSE($AD358:$AJ358),OFFSET($L$10:$L$16,0,AC$335-1))</f>
        <v>0</v>
      </c>
      <c r="AD358" s="83">
        <f ca="1" t="shared" ref="AD358:AJ358" si="359">AK358-AK357</f>
        <v>0</v>
      </c>
      <c r="AE358" s="83">
        <f ca="1" t="shared" si="359"/>
        <v>0</v>
      </c>
      <c r="AF358" s="83">
        <f ca="1" t="shared" si="359"/>
        <v>100</v>
      </c>
      <c r="AG358" s="83">
        <f ca="1" t="shared" si="359"/>
        <v>0</v>
      </c>
      <c r="AH358" s="83">
        <f ca="1" t="shared" si="359"/>
        <v>0</v>
      </c>
      <c r="AI358" s="83">
        <f ca="1" t="shared" si="359"/>
        <v>0</v>
      </c>
      <c r="AJ358" s="83">
        <f ca="1" t="shared" si="359"/>
        <v>0</v>
      </c>
      <c r="AK358" s="83">
        <f ca="1" t="shared" si="321"/>
        <v>450</v>
      </c>
      <c r="AL358" s="83">
        <f ca="1" t="shared" ref="AL358:AQ358" si="360">IF($C358&gt;OFFSET($Q$9,MATCH(AL$338,$AK$338:$AQ$338,0),0),OFFSET($P$9,MATCH(AL$338,$AK$338:$AQ$338,0),0),MAX(0,$C358-OFFSET($Q$9,RIGHT(AL$338,1)-1,0)))</f>
        <v>909</v>
      </c>
      <c r="AM358" s="83">
        <f ca="1" t="shared" si="360"/>
        <v>1535</v>
      </c>
      <c r="AN358" s="83">
        <f ca="1" t="shared" si="360"/>
        <v>0</v>
      </c>
      <c r="AO358" s="83">
        <f ca="1" t="shared" si="360"/>
        <v>0</v>
      </c>
      <c r="AP358" s="83">
        <f ca="1" t="shared" si="360"/>
        <v>0</v>
      </c>
      <c r="AQ358" s="83">
        <f ca="1" t="shared" si="360"/>
        <v>0</v>
      </c>
      <c r="AS358" s="52">
        <v>20</v>
      </c>
      <c r="AT358" s="52">
        <v>950</v>
      </c>
      <c r="AU358" s="52">
        <v>950</v>
      </c>
      <c r="AV358" s="52">
        <v>950</v>
      </c>
      <c r="AW358" s="52">
        <v>800</v>
      </c>
    </row>
    <row r="359" ht="16.5" spans="2:49">
      <c r="B359" s="65">
        <v>21</v>
      </c>
      <c r="C359" s="80">
        <f t="shared" si="319"/>
        <v>3636</v>
      </c>
      <c r="D359" s="81" cm="1">
        <f ca="1" t="array" ref="D359">IF(D661=1,OFFSET($Z$338,$B359,D$335-1)/SUMPRODUCT(--($D$335:$V$335=D$335),--($D661:$V661=1)),0)+SUM(D358)+IF(COUNTIF(D$641:D661,1)=1,5,0)+IF(COUNTIF(E359:$Z359,"&gt;"&amp;0)&gt;5,IF(MOD(COUNTIF(D$641:D661,1),7)=0,$C$4,0),0)</f>
        <v>415.851627678969</v>
      </c>
      <c r="E359" s="81" cm="1">
        <f ca="1" t="array" ref="E359">IF(E661=1,OFFSET($Z$338,$B359,E$335-1)/SUMPRODUCT(--($D$335:$V$335=E$335),--($D661:$V661=1)),0)+SUM(E358)+IF(COUNTIF(E$641:E661,1)=1,5,0)+IF(COUNTIF(F359:$Z359,"&gt;"&amp;0)&gt;5,IF(MOD(COUNTIF(E$641:E661,1),7)=0,$C$4,0),0)</f>
        <v>415.851627678969</v>
      </c>
      <c r="F359" s="81" cm="1">
        <f ca="1" t="array" ref="F359">IF(F661=1,OFFSET($Z$338,$B359,F$335-1)/SUMPRODUCT(--($D$335:$V$335=F$335),--($D661:$V661=1)),0)+SUM(F358)+IF(COUNTIF(F$641:F661,1)=1,5,0)+IF(COUNTIF(G359:$Z359,"&gt;"&amp;0)&gt;5,IF(MOD(COUNTIF(F$641:F661,1),7)=0,$C$4,0),0)</f>
        <v>415.851627678969</v>
      </c>
      <c r="G359" s="81" cm="1">
        <f ca="1" t="array" ref="G359">IF(G661=1,OFFSET($Z$338,$B359,G$335-1)/SUMPRODUCT(--($D$335:$V$335=G$335),--($D661:$V661=1)),0)+SUM(G358)+IF(COUNTIF(G$641:G661,1)=1,5,0)+IF(COUNTIF(H359:$Z359,"&gt;"&amp;0)&gt;5,IF(MOD(COUNTIF(G$641:G661,1),7)=0,$C$4,0),0)</f>
        <v>101.456666666667</v>
      </c>
      <c r="H359" s="81" cm="1">
        <f ca="1" t="array" ref="H359">IF(H661=1,OFFSET($Z$338,$B359,H$335-1)/SUMPRODUCT(--($D$335:$V$335=H$335),--($D661:$V661=1)),0)+SUM(H358)+IF(COUNTIF(H$641:H661,1)=1,5,0)+IF(COUNTIF(I359:$Z359,"&gt;"&amp;0)&gt;5,IF(MOD(COUNTIF(H$641:H661,1),7)=0,$C$4,0),0)</f>
        <v>101.456666666667</v>
      </c>
      <c r="I359" s="81" cm="1">
        <f ca="1" t="array" ref="I359">IF(I661=1,OFFSET($Z$338,$B359,I$335-1)/SUMPRODUCT(--($D$335:$V$335=I$335),--($D661:$V661=1)),0)+SUM(I358)+IF(COUNTIF(I$641:I661,1)=1,5,0)+IF(COUNTIF(J359:$Z359,"&gt;"&amp;0)&gt;5,IF(MOD(COUNTIF(I$641:I661,1),7)=0,$C$4,0),0)</f>
        <v>101.456666666667</v>
      </c>
      <c r="J359" s="81" cm="1">
        <f ca="1" t="array" ref="J359">IF(J661=1,OFFSET($Z$338,$B359,J$335-1)/SUMPRODUCT(--($D$335:$V$335=J$335),--($D661:$V661=1)),0)+SUM(J358)+IF(COUNTIF(J$641:J661,1)=1,5,0)+IF(COUNTIF(K359:$Z359,"&gt;"&amp;0)&gt;5,IF(MOD(COUNTIF(J$641:J661,1),7)=0,$C$4,0),0)</f>
        <v>101.456666666667</v>
      </c>
      <c r="K359" s="81" cm="1">
        <f ca="1" t="array" ref="K359">IF(K661=1,OFFSET($Z$338,$B359,K$335-1)/SUMPRODUCT(--($D$335:$V$335=K$335),--($D661:$V661=1)),0)+SUM(K358)+IF(COUNTIF(K$641:K661,1)=1,5,0)+IF(COUNTIF(L359:$Z359,"&gt;"&amp;0)&gt;5,IF(MOD(COUNTIF(K$641:K661,1),7)=0,$C$4,0),0)</f>
        <v>101.456666666667</v>
      </c>
      <c r="L359" s="81" cm="1">
        <f ca="1" t="array" ref="L359">IF(L661=1,OFFSET($Z$338,$B359,L$335-1)/SUMPRODUCT(--($D$335:$V$335=L$335),--($D661:$V661=1)),0)+SUM(L358)+IF(COUNTIF(L$641:L661,1)=1,5,0)+IF(COUNTIF(M359:$Z359,"&gt;"&amp;0)&gt;5,IF(MOD(COUNTIF(L$641:L661,1),7)=0,$C$4,0),0)</f>
        <v>89.7566666666667</v>
      </c>
      <c r="M359" s="81" cm="1">
        <f ca="1" t="array" ref="M359">IF(M661=1,OFFSET($Z$338,$B359,M$335-1)/SUMPRODUCT(--($D$335:$V$335=M$335),--($D661:$V661=1)),0)+SUM(M358)+IF(COUNTIF(M$641:M661,1)=1,5,0)+IF(COUNTIF(N359:$Z359,"&gt;"&amp;0)&gt;5,IF(MOD(COUNTIF(M$641:M661,1),7)=0,$C$4,0),0)</f>
        <v>39.72125</v>
      </c>
      <c r="N359" s="81" cm="1">
        <f ca="1" t="array" ref="N359">IF(N661=1,OFFSET($Z$338,$B359,N$335-1)/SUMPRODUCT(--($D$335:$V$335=N$335),--($D661:$V661=1)),0)+SUM(N358)+IF(COUNTIF(N$641:N661,1)=1,5,0)+IF(COUNTIF(O359:$Z359,"&gt;"&amp;0)&gt;5,IF(MOD(COUNTIF(N$641:N661,1),7)=0,$C$4,0),0)</f>
        <v>31.99625</v>
      </c>
      <c r="O359" s="81" cm="1">
        <f ca="1" t="array" ref="O359">IF(O661=1,OFFSET($Z$338,$B359,O$335-1)/SUMPRODUCT(--($D$335:$V$335=O$335),--($D661:$V661=1)),0)+SUM(O358)+IF(COUNTIF(O$641:O661,1)=1,5,0)+IF(COUNTIF(P359:$Z359,"&gt;"&amp;0)&gt;5,IF(MOD(COUNTIF(O$641:O661,1),7)=0,$C$4,0),0)</f>
        <v>29.57125</v>
      </c>
      <c r="P359" s="81" cm="1">
        <f ca="1" t="array" ref="P359">IF(P661=1,OFFSET($Z$338,$B359,P$335-1)/SUMPRODUCT(--($D$335:$V$335=P$335),--($D661:$V661=1)),0)+SUM(P358)+IF(COUNTIF(P$641:P661,1)=1,5,0)+IF(COUNTIF(Q359:$Z359,"&gt;"&amp;0)&gt;5,IF(MOD(COUNTIF(P$641:P661,1),7)=0,$C$4,0),0)</f>
        <v>26.6379166666667</v>
      </c>
      <c r="Q359" s="81" cm="1">
        <f ca="1" t="array" ref="Q359">IF(Q661=1,OFFSET($Z$338,$B359,Q$335-1)/SUMPRODUCT(--($D$335:$V$335=Q$335),--($D661:$V661=1)),0)+SUM(Q358)+IF(COUNTIF(Q$641:Q661,1)=1,5,0)+IF(COUNTIF(R359:$Z359,"&gt;"&amp;0)&gt;5,IF(MOD(COUNTIF(Q$641:Q661,1),7)=0,$C$4,0),0)</f>
        <v>25.7316666666667</v>
      </c>
      <c r="R359" s="81" cm="1">
        <f ca="1" t="array" ref="R359">IF(R661=1,OFFSET($Z$338,$B359,R$335-1)/SUMPRODUCT(--($D$335:$V$335=R$335),--($D661:$V661=1)),0)+SUM(R358)+IF(COUNTIF(R$641:R661,1)=1,5,0)+IF(COUNTIF(S359:$Z359,"&gt;"&amp;0)&gt;5,IF(MOD(COUNTIF(R$641:R661,1),7)=0,$C$4,0),0)</f>
        <v>15.8366666666667</v>
      </c>
      <c r="S359" s="81" cm="1">
        <f ca="1" t="array" ref="S359">IF(S661=1,OFFSET($Z$338,$B359,S$335-1)/SUMPRODUCT(--($D$335:$V$335=S$335),--($D661:$V661=1)),0)+SUM(S358)+IF(COUNTIF(S$641:S661,1)=1,5,0)+IF(COUNTIF(T359:$Z359,"&gt;"&amp;0)&gt;5,IF(MOD(COUNTIF(S$641:S661,1),7)=0,$C$4,0),0)</f>
        <v>11.67</v>
      </c>
      <c r="T359" s="81" cm="1">
        <f ca="1" t="array" ref="T359">IF(T661=1,OFFSET($Z$338,$B359,T$335-1)/SUMPRODUCT(--($D$335:$V$335=T$335),--($D661:$V661=1)),0)+SUM(T358)+IF(COUNTIF(T$641:T661,1)=1,5,0)+IF(COUNTIF(U359:$Z359,"&gt;"&amp;0)&gt;5,IF(MOD(COUNTIF(T$641:T661,1),7)=0,$C$4,0),0)</f>
        <v>8.62005848154648</v>
      </c>
      <c r="U359" s="81" cm="1">
        <f ca="1" t="array" ref="U359">IF(U661=1,OFFSET($Z$338,$B359,U$335-1)/SUMPRODUCT(--($D$335:$V$335=U$335),--($D661:$V661=1)),0)+SUM(U358)+IF(COUNTIF(U$641:U661,1)=1,5,0)+IF(COUNTIF(V359:$Z359,"&gt;"&amp;0)&gt;5,IF(MOD(COUNTIF(U$641:U661,1),7)=0,$C$4,0),0)</f>
        <v>8.62005848154648</v>
      </c>
      <c r="V359" s="81" cm="1">
        <f ca="1" t="array" ref="V359">IF(V661=1,OFFSET($Z$338,$B359,V$335-1)/SUMPRODUCT(--($D$335:$V$335=V$335),--($D661:$V661=1)),0)+SUM(V358)+IF(COUNTIF(V$641:V661,1)=1,5,0)+IF(COUNTIF(Z359:$Z359,"&gt;"&amp;0)&gt;5,IF(MOD(COUNTIF(V$641:V661,1),7)=0,$C$4,0),0)</f>
        <v>0</v>
      </c>
      <c r="W359" s="81" cm="1">
        <f ca="1" t="array" ref="W359">IF(W661=1,OFFSET($Z$338,$B359,W$335-1)/SUMPRODUCT(--($D$335:$V$335=W$335),--($D661:$V661=1)),0)+SUM(W358)+IF(COUNTIF(W$641:W661,1)=1,5,0)+IF(COUNTIF($Z359:AA359,"&gt;"&amp;0)&gt;5,IF(MOD(COUNTIF(W$641:W661,1),7)=0,$C$4,0),0)</f>
        <v>0</v>
      </c>
      <c r="X359" s="81" cm="1">
        <f ca="1" t="array" ref="X359">IF(X661=1,OFFSET($Z$338,$B359,X$335-1)/SUMPRODUCT(--($D$335:$V$335=X$335),--($D661:$V661=1)),0)+SUM(X358)+IF(COUNTIF(X$641:X661,1)=1,5,0)+IF(COUNTIF($Z359:AB359,"&gt;"&amp;0)&gt;5,IF(MOD(COUNTIF(X$641:X661,1),7)=0,$C$4,0),0)</f>
        <v>0</v>
      </c>
      <c r="Y359" s="81" cm="1">
        <f ca="1" t="array" ref="Y359">IF(Y661=1,OFFSET($Z$338,$B359,Y$335-1)/SUMPRODUCT(--($D$335:$V$335=Y$335),--($D661:$V661=1)),0)+SUM(Y358)+IF(COUNTIF(Y$641:Y661,1)=1,5,0)+IF(COUNTIF($Z359:AC359,"&gt;"&amp;0)&gt;5,IF(MOD(COUNTIF(Y$641:Y661,1),7)=0,$C$4,0),0)</f>
        <v>0</v>
      </c>
      <c r="Z359" s="82" cm="1">
        <f ca="1" t="array" ref="Z359">SUMPRODUCT(TRANSPOSE($AD359:$AJ359),OFFSET($L$10:$L$16,0,Z$335-1))</f>
        <v>209.009883036907</v>
      </c>
      <c r="AA359" s="82" cm="1">
        <f ca="1" t="array" ref="AA359">SUMPRODUCT(TRANSPOSE($AD359:$AJ359),OFFSET($L$10:$L$16,0,AA$335-1))</f>
        <v>113.06</v>
      </c>
      <c r="AB359" s="82" cm="1">
        <f ca="1" t="array" ref="AB359">SUMPRODUCT(TRANSPOSE($AD359:$AJ359),OFFSET($L$10:$L$16,0,AB$335-1))</f>
        <v>41.69</v>
      </c>
      <c r="AC359" s="82" cm="1">
        <f ca="1" t="array" ref="AC359">SUMPRODUCT(TRANSPOSE($AD359:$AJ359),OFFSET($L$10:$L$16,0,AC$335-1))</f>
        <v>7.24011696309295</v>
      </c>
      <c r="AD359" s="83">
        <f ca="1" t="shared" ref="AD359:AJ359" si="361">AK359-AK358</f>
        <v>0</v>
      </c>
      <c r="AE359" s="83">
        <f ca="1" t="shared" si="361"/>
        <v>0</v>
      </c>
      <c r="AF359" s="83">
        <f ca="1" t="shared" si="361"/>
        <v>283</v>
      </c>
      <c r="AG359" s="83">
        <f ca="1" t="shared" si="361"/>
        <v>459</v>
      </c>
      <c r="AH359" s="83">
        <f ca="1" t="shared" si="361"/>
        <v>0</v>
      </c>
      <c r="AI359" s="83">
        <f ca="1" t="shared" si="361"/>
        <v>0</v>
      </c>
      <c r="AJ359" s="83">
        <f ca="1" t="shared" si="361"/>
        <v>0</v>
      </c>
      <c r="AK359" s="83">
        <f ca="1" t="shared" si="321"/>
        <v>450</v>
      </c>
      <c r="AL359" s="83">
        <f ca="1" t="shared" ref="AL359:AQ359" si="362">IF($C359&gt;OFFSET($Q$9,MATCH(AL$338,$AK$338:$AQ$338,0),0),OFFSET($P$9,MATCH(AL$338,$AK$338:$AQ$338,0),0),MAX(0,$C359-OFFSET($Q$9,RIGHT(AL$338,1)-1,0)))</f>
        <v>909</v>
      </c>
      <c r="AM359" s="83">
        <f ca="1" t="shared" si="362"/>
        <v>1818</v>
      </c>
      <c r="AN359" s="83">
        <f ca="1" t="shared" si="362"/>
        <v>459</v>
      </c>
      <c r="AO359" s="83">
        <f ca="1" t="shared" si="362"/>
        <v>0</v>
      </c>
      <c r="AP359" s="83">
        <f ca="1" t="shared" si="362"/>
        <v>0</v>
      </c>
      <c r="AQ359" s="83">
        <f ca="1" t="shared" si="362"/>
        <v>0</v>
      </c>
      <c r="AS359" s="52">
        <v>21</v>
      </c>
      <c r="AT359" s="52">
        <v>1070</v>
      </c>
      <c r="AU359" s="52">
        <v>1070</v>
      </c>
      <c r="AV359" s="52">
        <v>1070</v>
      </c>
      <c r="AW359" s="52">
        <v>890</v>
      </c>
    </row>
    <row r="360" ht="16.5" spans="2:49">
      <c r="B360" s="65">
        <v>22</v>
      </c>
      <c r="C360" s="80">
        <f t="shared" si="319"/>
        <v>3746</v>
      </c>
      <c r="D360" s="81" cm="1">
        <f ca="1" t="array" ref="D360">IF(D662=1,OFFSET($Z$338,$B360,D$335-1)/SUMPRODUCT(--($D$335:$V$335=D$335),--($D662:$V662=1)),0)+SUM(D359)+IF(COUNTIF(D$641:D662,1)=1,5,0)+IF(COUNTIF(E360:$Z360,"&gt;"&amp;0)&gt;5,IF(MOD(COUNTIF(D$641:D662,1),7)=0,$C$4,0),0)</f>
        <v>425.539926251271</v>
      </c>
      <c r="E360" s="81" cm="1">
        <f ca="1" t="array" ref="E360">IF(E662=1,OFFSET($Z$338,$B360,E$335-1)/SUMPRODUCT(--($D$335:$V$335=E$335),--($D662:$V662=1)),0)+SUM(E359)+IF(COUNTIF(E$641:E662,1)=1,5,0)+IF(COUNTIF(F360:$Z360,"&gt;"&amp;0)&gt;5,IF(MOD(COUNTIF(E$641:E662,1),7)=0,$C$4,0),0)</f>
        <v>425.539926251271</v>
      </c>
      <c r="F360" s="81" cm="1">
        <f ca="1" t="array" ref="F360">IF(F662=1,OFFSET($Z$338,$B360,F$335-1)/SUMPRODUCT(--($D$335:$V$335=F$335),--($D662:$V662=1)),0)+SUM(F359)+IF(COUNTIF(F$641:F662,1)=1,5,0)+IF(COUNTIF(G360:$Z360,"&gt;"&amp;0)&gt;5,IF(MOD(COUNTIF(F$641:F662,1),7)=0,$C$4,0),0)</f>
        <v>425.539926251271</v>
      </c>
      <c r="G360" s="81" cm="1">
        <f ca="1" t="array" ref="G360">IF(G662=1,OFFSET($Z$338,$B360,G$335-1)/SUMPRODUCT(--($D$335:$V$335=G$335),--($D662:$V662=1)),0)+SUM(G359)+IF(COUNTIF(G$641:G662,1)=1,5,0)+IF(COUNTIF(H360:$Z360,"&gt;"&amp;0)&gt;5,IF(MOD(COUNTIF(G$641:G662,1),7)=0,$C$4,0),0)</f>
        <v>104.39</v>
      </c>
      <c r="H360" s="81" cm="1">
        <f ca="1" t="array" ref="H360">IF(H662=1,OFFSET($Z$338,$B360,H$335-1)/SUMPRODUCT(--($D$335:$V$335=H$335),--($D662:$V662=1)),0)+SUM(H359)+IF(COUNTIF(H$641:H662,1)=1,5,0)+IF(COUNTIF(I360:$Z360,"&gt;"&amp;0)&gt;5,IF(MOD(COUNTIF(H$641:H662,1),7)=0,$C$4,0),0)</f>
        <v>104.39</v>
      </c>
      <c r="I360" s="81" cm="1">
        <f ca="1" t="array" ref="I360">IF(I662=1,OFFSET($Z$338,$B360,I$335-1)/SUMPRODUCT(--($D$335:$V$335=I$335),--($D662:$V662=1)),0)+SUM(I359)+IF(COUNTIF(I$641:I662,1)=1,5,0)+IF(COUNTIF(J360:$Z360,"&gt;"&amp;0)&gt;5,IF(MOD(COUNTIF(I$641:I662,1),7)=0,$C$4,0),0)</f>
        <v>104.39</v>
      </c>
      <c r="J360" s="81" cm="1">
        <f ca="1" t="array" ref="J360">IF(J662=1,OFFSET($Z$338,$B360,J$335-1)/SUMPRODUCT(--($D$335:$V$335=J$335),--($D662:$V662=1)),0)+SUM(J359)+IF(COUNTIF(J$641:J662,1)=1,5,0)+IF(COUNTIF(K360:$Z360,"&gt;"&amp;0)&gt;5,IF(MOD(COUNTIF(J$641:J662,1),7)=0,$C$4,0),0)</f>
        <v>104.39</v>
      </c>
      <c r="K360" s="81" cm="1">
        <f ca="1" t="array" ref="K360">IF(K662=1,OFFSET($Z$338,$B360,K$335-1)/SUMPRODUCT(--($D$335:$V$335=K$335),--($D662:$V662=1)),0)+SUM(K359)+IF(COUNTIF(K$641:K662,1)=1,5,0)+IF(COUNTIF(L360:$Z360,"&gt;"&amp;0)&gt;5,IF(MOD(COUNTIF(K$641:K662,1),7)=0,$C$4,0),0)</f>
        <v>104.39</v>
      </c>
      <c r="L360" s="81" cm="1">
        <f ca="1" t="array" ref="L360">IF(L662=1,OFFSET($Z$338,$B360,L$335-1)/SUMPRODUCT(--($D$335:$V$335=L$335),--($D662:$V662=1)),0)+SUM(L359)+IF(COUNTIF(L$641:L662,1)=1,5,0)+IF(COUNTIF(M360:$Z360,"&gt;"&amp;0)&gt;5,IF(MOD(COUNTIF(L$641:L662,1),7)=0,$C$4,0),0)</f>
        <v>97.69</v>
      </c>
      <c r="M360" s="81" cm="1">
        <f ca="1" t="array" ref="M360">IF(M662=1,OFFSET($Z$338,$B360,M$335-1)/SUMPRODUCT(--($D$335:$V$335=M$335),--($D662:$V662=1)),0)+SUM(M359)+IF(COUNTIF(M$641:M662,1)=1,5,0)+IF(COUNTIF(N360:$Z360,"&gt;"&amp;0)&gt;5,IF(MOD(COUNTIF(M$641:M662,1),7)=0,$C$4,0),0)</f>
        <v>45.6641071428571</v>
      </c>
      <c r="N360" s="81" cm="1">
        <f ca="1" t="array" ref="N360">IF(N662=1,OFFSET($Z$338,$B360,N$335-1)/SUMPRODUCT(--($D$335:$V$335=N$335),--($D662:$V662=1)),0)+SUM(N359)+IF(COUNTIF(N$641:N662,1)=1,5,0)+IF(COUNTIF(O360:$Z360,"&gt;"&amp;0)&gt;5,IF(MOD(COUNTIF(N$641:N662,1),7)=0,$C$4,0),0)</f>
        <v>32.9391071428571</v>
      </c>
      <c r="O360" s="81" cm="1">
        <f ca="1" t="array" ref="O360">IF(O662=1,OFFSET($Z$338,$B360,O$335-1)/SUMPRODUCT(--($D$335:$V$335=O$335),--($D662:$V662=1)),0)+SUM(O359)+IF(COUNTIF(O$641:O662,1)=1,5,0)+IF(COUNTIF(P360:$Z360,"&gt;"&amp;0)&gt;5,IF(MOD(COUNTIF(O$641:O662,1),7)=0,$C$4,0),0)</f>
        <v>30.5141071428571</v>
      </c>
      <c r="P360" s="81" cm="1">
        <f ca="1" t="array" ref="P360">IF(P662=1,OFFSET($Z$338,$B360,P$335-1)/SUMPRODUCT(--($D$335:$V$335=P$335),--($D662:$V662=1)),0)+SUM(P359)+IF(COUNTIF(P$641:P662,1)=1,5,0)+IF(COUNTIF(Q360:$Z360,"&gt;"&amp;0)&gt;5,IF(MOD(COUNTIF(P$641:P662,1),7)=0,$C$4,0),0)</f>
        <v>27.5807738095238</v>
      </c>
      <c r="Q360" s="81" cm="1">
        <f ca="1" t="array" ref="Q360">IF(Q662=1,OFFSET($Z$338,$B360,Q$335-1)/SUMPRODUCT(--($D$335:$V$335=Q$335),--($D662:$V662=1)),0)+SUM(Q359)+IF(COUNTIF(Q$641:Q662,1)=1,5,0)+IF(COUNTIF(R360:$Z360,"&gt;"&amp;0)&gt;5,IF(MOD(COUNTIF(Q$641:Q662,1),7)=0,$C$4,0),0)</f>
        <v>26.6745238095238</v>
      </c>
      <c r="R360" s="81" cm="1">
        <f ca="1" t="array" ref="R360">IF(R662=1,OFFSET($Z$338,$B360,R$335-1)/SUMPRODUCT(--($D$335:$V$335=R$335),--($D662:$V662=1)),0)+SUM(R359)+IF(COUNTIF(R$641:R662,1)=1,5,0)+IF(COUNTIF(S360:$Z360,"&gt;"&amp;0)&gt;5,IF(MOD(COUNTIF(R$641:R662,1),7)=0,$C$4,0),0)</f>
        <v>16.7795238095238</v>
      </c>
      <c r="S360" s="81" cm="1">
        <f ca="1" t="array" ref="S360">IF(S662=1,OFFSET($Z$338,$B360,S$335-1)/SUMPRODUCT(--($D$335:$V$335=S$335),--($D662:$V662=1)),0)+SUM(S359)+IF(COUNTIF(S$641:S662,1)=1,5,0)+IF(COUNTIF(T360:$Z360,"&gt;"&amp;0)&gt;5,IF(MOD(COUNTIF(S$641:S662,1),7)=0,$C$4,0),0)</f>
        <v>12.6128571428571</v>
      </c>
      <c r="T360" s="81" cm="1">
        <f ca="1" t="array" ref="T360">IF(T662=1,OFFSET($Z$338,$B360,T$335-1)/SUMPRODUCT(--($D$335:$V$335=T$335),--($D662:$V662=1)),0)+SUM(T359)+IF(COUNTIF(T$641:T662,1)=1,5,0)+IF(COUNTIF(U360:$Z360,"&gt;"&amp;0)&gt;5,IF(MOD(COUNTIF(T$641:T662,1),7)=0,$C$4,0),0)</f>
        <v>9.48761062309356</v>
      </c>
      <c r="U360" s="81" cm="1">
        <f ca="1" t="array" ref="U360">IF(U662=1,OFFSET($Z$338,$B360,U$335-1)/SUMPRODUCT(--($D$335:$V$335=U$335),--($D662:$V662=1)),0)+SUM(U359)+IF(COUNTIF(U$641:U662,1)=1,5,0)+IF(COUNTIF(V360:$Z360,"&gt;"&amp;0)&gt;5,IF(MOD(COUNTIF(U$641:U662,1),7)=0,$C$4,0),0)</f>
        <v>9.48761062309356</v>
      </c>
      <c r="V360" s="81" cm="1">
        <f ca="1" t="array" ref="V360">IF(V662=1,OFFSET($Z$338,$B360,V$335-1)/SUMPRODUCT(--($D$335:$V$335=V$335),--($D662:$V662=1)),0)+SUM(V359)+IF(COUNTIF(V$641:V662,1)=1,5,0)+IF(COUNTIF(Z360:$Z360,"&gt;"&amp;0)&gt;5,IF(MOD(COUNTIF(V$641:V662,1),7)=0,$C$4,0),0)</f>
        <v>0</v>
      </c>
      <c r="W360" s="81" cm="1">
        <f ca="1" t="array" ref="W360">IF(W662=1,OFFSET($Z$338,$B360,W$335-1)/SUMPRODUCT(--($D$335:$V$335=W$335),--($D662:$V662=1)),0)+SUM(W359)+IF(COUNTIF(W$641:W662,1)=1,5,0)+IF(COUNTIF($Z360:AA360,"&gt;"&amp;0)&gt;5,IF(MOD(COUNTIF(W$641:W662,1),7)=0,$C$4,0),0)</f>
        <v>0</v>
      </c>
      <c r="X360" s="81" cm="1">
        <f ca="1" t="array" ref="X360">IF(X662=1,OFFSET($Z$338,$B360,X$335-1)/SUMPRODUCT(--($D$335:$V$335=X$335),--($D662:$V662=1)),0)+SUM(X359)+IF(COUNTIF(X$641:X662,1)=1,5,0)+IF(COUNTIF($Z360:AB360,"&gt;"&amp;0)&gt;5,IF(MOD(COUNTIF(X$641:X662,1),7)=0,$C$4,0),0)</f>
        <v>0</v>
      </c>
      <c r="Y360" s="81" cm="1">
        <f ca="1" t="array" ref="Y360">IF(Y662=1,OFFSET($Z$338,$B360,Y$335-1)/SUMPRODUCT(--($D$335:$V$335=Y$335),--($D662:$V662=1)),0)+SUM(Y359)+IF(COUNTIF(Y$641:Y662,1)=1,5,0)+IF(COUNTIF($Z360:AC360,"&gt;"&amp;0)&gt;5,IF(MOD(COUNTIF(Y$641:Y662,1),7)=0,$C$4,0),0)</f>
        <v>0</v>
      </c>
      <c r="Z360" s="82" cm="1">
        <f ca="1" t="array" ref="Z360">SUMPRODUCT(TRANSPOSE($AD360:$AJ360),OFFSET($L$10:$L$16,0,Z$335-1))</f>
        <v>29.0648957169058</v>
      </c>
      <c r="AA360" s="82" cm="1">
        <f ca="1" t="array" ref="AA360">SUMPRODUCT(TRANSPOSE($AD360:$AJ360),OFFSET($L$10:$L$16,0,AA$335-1))</f>
        <v>17.6</v>
      </c>
      <c r="AB360" s="82" cm="1">
        <f ca="1" t="array" ref="AB360">SUMPRODUCT(TRANSPOSE($AD360:$AJ360),OFFSET($L$10:$L$16,0,AB$335-1))</f>
        <v>6.6</v>
      </c>
      <c r="AC360" s="82" cm="1">
        <f ca="1" t="array" ref="AC360">SUMPRODUCT(TRANSPOSE($AD360:$AJ360),OFFSET($L$10:$L$16,0,AC$335-1))</f>
        <v>1.73510428309417</v>
      </c>
      <c r="AD360" s="83">
        <f ca="1" t="shared" ref="AD360:AJ360" si="363">AK360-AK359</f>
        <v>0</v>
      </c>
      <c r="AE360" s="83">
        <f ca="1" t="shared" si="363"/>
        <v>0</v>
      </c>
      <c r="AF360" s="83">
        <f ca="1" t="shared" si="363"/>
        <v>0</v>
      </c>
      <c r="AG360" s="83">
        <f ca="1" t="shared" si="363"/>
        <v>110</v>
      </c>
      <c r="AH360" s="83">
        <f ca="1" t="shared" si="363"/>
        <v>0</v>
      </c>
      <c r="AI360" s="83">
        <f ca="1" t="shared" si="363"/>
        <v>0</v>
      </c>
      <c r="AJ360" s="83">
        <f ca="1" t="shared" si="363"/>
        <v>0</v>
      </c>
      <c r="AK360" s="83">
        <f ca="1" t="shared" si="321"/>
        <v>450</v>
      </c>
      <c r="AL360" s="83">
        <f ca="1" t="shared" ref="AL360:AQ360" si="364">IF($C360&gt;OFFSET($Q$9,MATCH(AL$338,$AK$338:$AQ$338,0),0),OFFSET($P$9,MATCH(AL$338,$AK$338:$AQ$338,0),0),MAX(0,$C360-OFFSET($Q$9,RIGHT(AL$338,1)-1,0)))</f>
        <v>909</v>
      </c>
      <c r="AM360" s="83">
        <f ca="1" t="shared" si="364"/>
        <v>1818</v>
      </c>
      <c r="AN360" s="83">
        <f ca="1" t="shared" si="364"/>
        <v>569</v>
      </c>
      <c r="AO360" s="83">
        <f ca="1" t="shared" si="364"/>
        <v>0</v>
      </c>
      <c r="AP360" s="83">
        <f ca="1" t="shared" si="364"/>
        <v>0</v>
      </c>
      <c r="AQ360" s="83">
        <f ca="1" t="shared" si="364"/>
        <v>0</v>
      </c>
      <c r="AS360" s="52">
        <v>22</v>
      </c>
      <c r="AT360" s="52">
        <v>1190</v>
      </c>
      <c r="AU360" s="52">
        <v>1190</v>
      </c>
      <c r="AV360" s="52">
        <v>1190</v>
      </c>
      <c r="AW360" s="52">
        <v>980</v>
      </c>
    </row>
    <row r="361" ht="16.5" spans="2:49">
      <c r="B361" s="65">
        <v>23</v>
      </c>
      <c r="C361" s="80">
        <f t="shared" si="319"/>
        <v>3856</v>
      </c>
      <c r="D361" s="81" cm="1">
        <f ca="1" t="array" ref="D361">IF(D663=1,OFFSET($Z$338,$B361,D$335-1)/SUMPRODUCT(--($D$335:$V$335=D$335),--($D663:$V663=1)),0)+SUM(D360)+IF(COUNTIF(D$641:D663,1)=1,5,0)+IF(COUNTIF(E361:$Z361,"&gt;"&amp;0)&gt;5,IF(MOD(COUNTIF(D$641:D663,1),7)=0,$C$4,0),0)</f>
        <v>435.228224823573</v>
      </c>
      <c r="E361" s="81" cm="1">
        <f ca="1" t="array" ref="E361">IF(E663=1,OFFSET($Z$338,$B361,E$335-1)/SUMPRODUCT(--($D$335:$V$335=E$335),--($D663:$V663=1)),0)+SUM(E360)+IF(COUNTIF(E$641:E663,1)=1,5,0)+IF(COUNTIF(F361:$Z361,"&gt;"&amp;0)&gt;5,IF(MOD(COUNTIF(E$641:E663,1),7)=0,$C$4,0),0)</f>
        <v>435.228224823573</v>
      </c>
      <c r="F361" s="81" cm="1">
        <f ca="1" t="array" ref="F361">IF(F663=1,OFFSET($Z$338,$B361,F$335-1)/SUMPRODUCT(--($D$335:$V$335=F$335),--($D663:$V663=1)),0)+SUM(F360)+IF(COUNTIF(F$641:F663,1)=1,5,0)+IF(COUNTIF(G361:$Z361,"&gt;"&amp;0)&gt;5,IF(MOD(COUNTIF(F$641:F663,1),7)=0,$C$4,0),0)</f>
        <v>435.228224823573</v>
      </c>
      <c r="G361" s="81" cm="1">
        <f ca="1" t="array" ref="G361">IF(G663=1,OFFSET($Z$338,$B361,G$335-1)/SUMPRODUCT(--($D$335:$V$335=G$335),--($D663:$V663=1)),0)+SUM(G360)+IF(COUNTIF(G$641:G663,1)=1,5,0)+IF(COUNTIF(H361:$Z361,"&gt;"&amp;0)&gt;5,IF(MOD(COUNTIF(G$641:G663,1),7)=0,$C$4,0),0)</f>
        <v>107.323333333333</v>
      </c>
      <c r="H361" s="81" cm="1">
        <f ca="1" t="array" ref="H361">IF(H663=1,OFFSET($Z$338,$B361,H$335-1)/SUMPRODUCT(--($D$335:$V$335=H$335),--($D663:$V663=1)),0)+SUM(H360)+IF(COUNTIF(H$641:H663,1)=1,5,0)+IF(COUNTIF(I361:$Z361,"&gt;"&amp;0)&gt;5,IF(MOD(COUNTIF(H$641:H663,1),7)=0,$C$4,0),0)</f>
        <v>107.323333333333</v>
      </c>
      <c r="I361" s="81" cm="1">
        <f ca="1" t="array" ref="I361">IF(I663=1,OFFSET($Z$338,$B361,I$335-1)/SUMPRODUCT(--($D$335:$V$335=I$335),--($D663:$V663=1)),0)+SUM(I360)+IF(COUNTIF(I$641:I663,1)=1,5,0)+IF(COUNTIF(J361:$Z361,"&gt;"&amp;0)&gt;5,IF(MOD(COUNTIF(I$641:I663,1),7)=0,$C$4,0),0)</f>
        <v>107.323333333333</v>
      </c>
      <c r="J361" s="81" cm="1">
        <f ca="1" t="array" ref="J361">IF(J663=1,OFFSET($Z$338,$B361,J$335-1)/SUMPRODUCT(--($D$335:$V$335=J$335),--($D663:$V663=1)),0)+SUM(J360)+IF(COUNTIF(J$641:J663,1)=1,5,0)+IF(COUNTIF(K361:$Z361,"&gt;"&amp;0)&gt;5,IF(MOD(COUNTIF(J$641:J663,1),7)=0,$C$4,0),0)</f>
        <v>107.323333333333</v>
      </c>
      <c r="K361" s="81" cm="1">
        <f ca="1" t="array" ref="K361">IF(K663=1,OFFSET($Z$338,$B361,K$335-1)/SUMPRODUCT(--($D$335:$V$335=K$335),--($D663:$V663=1)),0)+SUM(K360)+IF(COUNTIF(K$641:K663,1)=1,5,0)+IF(COUNTIF(L361:$Z361,"&gt;"&amp;0)&gt;5,IF(MOD(COUNTIF(K$641:K663,1),7)=0,$C$4,0),0)</f>
        <v>107.323333333333</v>
      </c>
      <c r="L361" s="81" cm="1">
        <f ca="1" t="array" ref="L361">IF(L663=1,OFFSET($Z$338,$B361,L$335-1)/SUMPRODUCT(--($D$335:$V$335=L$335),--($D663:$V663=1)),0)+SUM(L360)+IF(COUNTIF(L$641:L663,1)=1,5,0)+IF(COUNTIF(M361:$Z361,"&gt;"&amp;0)&gt;5,IF(MOD(COUNTIF(L$641:L663,1),7)=0,$C$4,0),0)</f>
        <v>100.623333333333</v>
      </c>
      <c r="M361" s="81" cm="1">
        <f ca="1" t="array" ref="M361">IF(M663=1,OFFSET($Z$338,$B361,M$335-1)/SUMPRODUCT(--($D$335:$V$335=M$335),--($D663:$V663=1)),0)+SUM(M360)+IF(COUNTIF(M$641:M663,1)=1,5,0)+IF(COUNTIF(N361:$Z361,"&gt;"&amp;0)&gt;5,IF(MOD(COUNTIF(M$641:M663,1),7)=0,$C$4,0),0)</f>
        <v>46.6069642857143</v>
      </c>
      <c r="N361" s="81" cm="1">
        <f ca="1" t="array" ref="N361">IF(N663=1,OFFSET($Z$338,$B361,N$335-1)/SUMPRODUCT(--($D$335:$V$335=N$335),--($D663:$V663=1)),0)+SUM(N360)+IF(COUNTIF(N$641:N663,1)=1,5,0)+IF(COUNTIF(O361:$Z361,"&gt;"&amp;0)&gt;5,IF(MOD(COUNTIF(N$641:N663,1),7)=0,$C$4,0),0)</f>
        <v>38.8819642857143</v>
      </c>
      <c r="O361" s="81" cm="1">
        <f ca="1" t="array" ref="O361">IF(O663=1,OFFSET($Z$338,$B361,O$335-1)/SUMPRODUCT(--($D$335:$V$335=O$335),--($D663:$V663=1)),0)+SUM(O360)+IF(COUNTIF(O$641:O663,1)=1,5,0)+IF(COUNTIF(P361:$Z361,"&gt;"&amp;0)&gt;5,IF(MOD(COUNTIF(O$641:O663,1),7)=0,$C$4,0),0)</f>
        <v>31.4569642857143</v>
      </c>
      <c r="P361" s="81" cm="1">
        <f ca="1" t="array" ref="P361">IF(P663=1,OFFSET($Z$338,$B361,P$335-1)/SUMPRODUCT(--($D$335:$V$335=P$335),--($D663:$V663=1)),0)+SUM(P360)+IF(COUNTIF(P$641:P663,1)=1,5,0)+IF(COUNTIF(Q361:$Z361,"&gt;"&amp;0)&gt;5,IF(MOD(COUNTIF(P$641:P663,1),7)=0,$C$4,0),0)</f>
        <v>28.5236309523809</v>
      </c>
      <c r="Q361" s="81" cm="1">
        <f ca="1" t="array" ref="Q361">IF(Q663=1,OFFSET($Z$338,$B361,Q$335-1)/SUMPRODUCT(--($D$335:$V$335=Q$335),--($D663:$V663=1)),0)+SUM(Q360)+IF(COUNTIF(Q$641:Q663,1)=1,5,0)+IF(COUNTIF(R361:$Z361,"&gt;"&amp;0)&gt;5,IF(MOD(COUNTIF(Q$641:Q663,1),7)=0,$C$4,0),0)</f>
        <v>27.617380952381</v>
      </c>
      <c r="R361" s="81" cm="1">
        <f ca="1" t="array" ref="R361">IF(R663=1,OFFSET($Z$338,$B361,R$335-1)/SUMPRODUCT(--($D$335:$V$335=R$335),--($D663:$V663=1)),0)+SUM(R360)+IF(COUNTIF(R$641:R663,1)=1,5,0)+IF(COUNTIF(S361:$Z361,"&gt;"&amp;0)&gt;5,IF(MOD(COUNTIF(R$641:R663,1),7)=0,$C$4,0),0)</f>
        <v>17.722380952381</v>
      </c>
      <c r="S361" s="81" cm="1">
        <f ca="1" t="array" ref="S361">IF(S663=1,OFFSET($Z$338,$B361,S$335-1)/SUMPRODUCT(--($D$335:$V$335=S$335),--($D663:$V663=1)),0)+SUM(S360)+IF(COUNTIF(S$641:S663,1)=1,5,0)+IF(COUNTIF(T361:$Z361,"&gt;"&amp;0)&gt;5,IF(MOD(COUNTIF(S$641:S663,1),7)=0,$C$4,0),0)</f>
        <v>13.5557142857143</v>
      </c>
      <c r="T361" s="81" cm="1">
        <f ca="1" t="array" ref="T361">IF(T663=1,OFFSET($Z$338,$B361,T$335-1)/SUMPRODUCT(--($D$335:$V$335=T$335),--($D663:$V663=1)),0)+SUM(T360)+IF(COUNTIF(T$641:T663,1)=1,5,0)+IF(COUNTIF(U361:$Z361,"&gt;"&amp;0)&gt;5,IF(MOD(COUNTIF(T$641:T663,1),7)=0,$C$4,0),0)</f>
        <v>10.3551627646406</v>
      </c>
      <c r="U361" s="81" cm="1">
        <f ca="1" t="array" ref="U361">IF(U663=1,OFFSET($Z$338,$B361,U$335-1)/SUMPRODUCT(--($D$335:$V$335=U$335),--($D663:$V663=1)),0)+SUM(U360)+IF(COUNTIF(U$641:U663,1)=1,5,0)+IF(COUNTIF(V361:$Z361,"&gt;"&amp;0)&gt;5,IF(MOD(COUNTIF(U$641:U663,1),7)=0,$C$4,0),0)</f>
        <v>10.3551627646406</v>
      </c>
      <c r="V361" s="81" cm="1">
        <f ca="1" t="array" ref="V361">IF(V663=1,OFFSET($Z$338,$B361,V$335-1)/SUMPRODUCT(--($D$335:$V$335=V$335),--($D663:$V663=1)),0)+SUM(V360)+IF(COUNTIF(V$641:V663,1)=1,5,0)+IF(COUNTIF(Z361:$Z361,"&gt;"&amp;0)&gt;5,IF(MOD(COUNTIF(V$641:V663,1),7)=0,$C$4,0),0)</f>
        <v>0</v>
      </c>
      <c r="W361" s="81" cm="1">
        <f ca="1" t="array" ref="W361">IF(W663=1,OFFSET($Z$338,$B361,W$335-1)/SUMPRODUCT(--($D$335:$V$335=W$335),--($D663:$V663=1)),0)+SUM(W360)+IF(COUNTIF(W$641:W663,1)=1,5,0)+IF(COUNTIF($Z361:AA361,"&gt;"&amp;0)&gt;5,IF(MOD(COUNTIF(W$641:W663,1),7)=0,$C$4,0),0)</f>
        <v>0</v>
      </c>
      <c r="X361" s="81" cm="1">
        <f ca="1" t="array" ref="X361">IF(X663=1,OFFSET($Z$338,$B361,X$335-1)/SUMPRODUCT(--($D$335:$V$335=X$335),--($D663:$V663=1)),0)+SUM(X360)+IF(COUNTIF(X$641:X663,1)=1,5,0)+IF(COUNTIF($Z361:AB361,"&gt;"&amp;0)&gt;5,IF(MOD(COUNTIF(X$641:X663,1),7)=0,$C$4,0),0)</f>
        <v>0</v>
      </c>
      <c r="Y361" s="81" cm="1">
        <f ca="1" t="array" ref="Y361">IF(Y663=1,OFFSET($Z$338,$B361,Y$335-1)/SUMPRODUCT(--($D$335:$V$335=Y$335),--($D663:$V663=1)),0)+SUM(Y360)+IF(COUNTIF(Y$641:Y663,1)=1,5,0)+IF(COUNTIF($Z361:AC361,"&gt;"&amp;0)&gt;5,IF(MOD(COUNTIF(Y$641:Y663,1),7)=0,$C$4,0),0)</f>
        <v>0</v>
      </c>
      <c r="Z361" s="82" cm="1">
        <f ca="1" t="array" ref="Z361">SUMPRODUCT(TRANSPOSE($AD361:$AJ361),OFFSET($L$10:$L$16,0,Z$335-1))</f>
        <v>29.0648957169058</v>
      </c>
      <c r="AA361" s="82" cm="1">
        <f ca="1" t="array" ref="AA361">SUMPRODUCT(TRANSPOSE($AD361:$AJ361),OFFSET($L$10:$L$16,0,AA$335-1))</f>
        <v>17.6</v>
      </c>
      <c r="AB361" s="82" cm="1">
        <f ca="1" t="array" ref="AB361">SUMPRODUCT(TRANSPOSE($AD361:$AJ361),OFFSET($L$10:$L$16,0,AB$335-1))</f>
        <v>6.6</v>
      </c>
      <c r="AC361" s="82" cm="1">
        <f ca="1" t="array" ref="AC361">SUMPRODUCT(TRANSPOSE($AD361:$AJ361),OFFSET($L$10:$L$16,0,AC$335-1))</f>
        <v>1.73510428309417</v>
      </c>
      <c r="AD361" s="83">
        <f ca="1" t="shared" ref="AD361:AJ361" si="365">AK361-AK360</f>
        <v>0</v>
      </c>
      <c r="AE361" s="83">
        <f ca="1" t="shared" si="365"/>
        <v>0</v>
      </c>
      <c r="AF361" s="83">
        <f ca="1" t="shared" si="365"/>
        <v>0</v>
      </c>
      <c r="AG361" s="83">
        <f ca="1" t="shared" si="365"/>
        <v>110</v>
      </c>
      <c r="AH361" s="83">
        <f ca="1" t="shared" si="365"/>
        <v>0</v>
      </c>
      <c r="AI361" s="83">
        <f ca="1" t="shared" si="365"/>
        <v>0</v>
      </c>
      <c r="AJ361" s="83">
        <f ca="1" t="shared" si="365"/>
        <v>0</v>
      </c>
      <c r="AK361" s="83">
        <f ca="1" t="shared" si="321"/>
        <v>450</v>
      </c>
      <c r="AL361" s="83">
        <f ca="1" t="shared" ref="AL361:AQ361" si="366">IF($C361&gt;OFFSET($Q$9,MATCH(AL$338,$AK$338:$AQ$338,0),0),OFFSET($P$9,MATCH(AL$338,$AK$338:$AQ$338,0),0),MAX(0,$C361-OFFSET($Q$9,RIGHT(AL$338,1)-1,0)))</f>
        <v>909</v>
      </c>
      <c r="AM361" s="83">
        <f ca="1" t="shared" si="366"/>
        <v>1818</v>
      </c>
      <c r="AN361" s="83">
        <f ca="1" t="shared" si="366"/>
        <v>679</v>
      </c>
      <c r="AO361" s="83">
        <f ca="1" t="shared" si="366"/>
        <v>0</v>
      </c>
      <c r="AP361" s="83">
        <f ca="1" t="shared" si="366"/>
        <v>0</v>
      </c>
      <c r="AQ361" s="83">
        <f ca="1" t="shared" si="366"/>
        <v>0</v>
      </c>
      <c r="AS361" s="52">
        <v>23</v>
      </c>
      <c r="AT361" s="52">
        <v>1310</v>
      </c>
      <c r="AU361" s="52">
        <v>1310</v>
      </c>
      <c r="AV361" s="52">
        <v>1310</v>
      </c>
      <c r="AW361" s="52">
        <v>1070</v>
      </c>
    </row>
    <row r="362" ht="16.5" spans="2:49">
      <c r="B362" s="65">
        <v>24</v>
      </c>
      <c r="C362" s="80">
        <f t="shared" si="319"/>
        <v>3966</v>
      </c>
      <c r="D362" s="81" cm="1">
        <f ca="1" t="array" ref="D362">IF(D664=1,OFFSET($Z$338,$B362,D$335-1)/SUMPRODUCT(--($D$335:$V$335=D$335),--($D664:$V664=1)),0)+SUM(D361)+IF(COUNTIF(D$641:D664,1)=1,5,0)+IF(COUNTIF(E362:$Z362,"&gt;"&amp;0)&gt;5,IF(MOD(COUNTIF(D$641:D664,1),7)=0,$C$4,0),0)</f>
        <v>444.916523395875</v>
      </c>
      <c r="E362" s="81" cm="1">
        <f ca="1" t="array" ref="E362">IF(E664=1,OFFSET($Z$338,$B362,E$335-1)/SUMPRODUCT(--($D$335:$V$335=E$335),--($D664:$V664=1)),0)+SUM(E361)+IF(COUNTIF(E$641:E664,1)=1,5,0)+IF(COUNTIF(F362:$Z362,"&gt;"&amp;0)&gt;5,IF(MOD(COUNTIF(E$641:E664,1),7)=0,$C$4,0),0)</f>
        <v>444.916523395875</v>
      </c>
      <c r="F362" s="81" cm="1">
        <f ca="1" t="array" ref="F362">IF(F664=1,OFFSET($Z$338,$B362,F$335-1)/SUMPRODUCT(--($D$335:$V$335=F$335),--($D664:$V664=1)),0)+SUM(F361)+IF(COUNTIF(F$641:F664,1)=1,5,0)+IF(COUNTIF(G362:$Z362,"&gt;"&amp;0)&gt;5,IF(MOD(COUNTIF(F$641:F664,1),7)=0,$C$4,0),0)</f>
        <v>444.916523395875</v>
      </c>
      <c r="G362" s="81" cm="1">
        <f ca="1" t="array" ref="G362">IF(G664=1,OFFSET($Z$338,$B362,G$335-1)/SUMPRODUCT(--($D$335:$V$335=G$335),--($D664:$V664=1)),0)+SUM(G361)+IF(COUNTIF(G$641:G664,1)=1,5,0)+IF(COUNTIF(H362:$Z362,"&gt;"&amp;0)&gt;5,IF(MOD(COUNTIF(G$641:G664,1),7)=0,$C$4,0),0)</f>
        <v>110.256666666667</v>
      </c>
      <c r="H362" s="81" cm="1">
        <f ca="1" t="array" ref="H362">IF(H664=1,OFFSET($Z$338,$B362,H$335-1)/SUMPRODUCT(--($D$335:$V$335=H$335),--($D664:$V664=1)),0)+SUM(H361)+IF(COUNTIF(H$641:H664,1)=1,5,0)+IF(COUNTIF(I362:$Z362,"&gt;"&amp;0)&gt;5,IF(MOD(COUNTIF(H$641:H664,1),7)=0,$C$4,0),0)</f>
        <v>110.256666666667</v>
      </c>
      <c r="I362" s="81" cm="1">
        <f ca="1" t="array" ref="I362">IF(I664=1,OFFSET($Z$338,$B362,I$335-1)/SUMPRODUCT(--($D$335:$V$335=I$335),--($D664:$V664=1)),0)+SUM(I361)+IF(COUNTIF(I$641:I664,1)=1,5,0)+IF(COUNTIF(J362:$Z362,"&gt;"&amp;0)&gt;5,IF(MOD(COUNTIF(I$641:I664,1),7)=0,$C$4,0),0)</f>
        <v>110.256666666667</v>
      </c>
      <c r="J362" s="81" cm="1">
        <f ca="1" t="array" ref="J362">IF(J664=1,OFFSET($Z$338,$B362,J$335-1)/SUMPRODUCT(--($D$335:$V$335=J$335),--($D664:$V664=1)),0)+SUM(J361)+IF(COUNTIF(J$641:J664,1)=1,5,0)+IF(COUNTIF(K362:$Z362,"&gt;"&amp;0)&gt;5,IF(MOD(COUNTIF(J$641:J664,1),7)=0,$C$4,0),0)</f>
        <v>110.256666666667</v>
      </c>
      <c r="K362" s="81" cm="1">
        <f ca="1" t="array" ref="K362">IF(K664=1,OFFSET($Z$338,$B362,K$335-1)/SUMPRODUCT(--($D$335:$V$335=K$335),--($D664:$V664=1)),0)+SUM(K361)+IF(COUNTIF(K$641:K664,1)=1,5,0)+IF(COUNTIF(L362:$Z362,"&gt;"&amp;0)&gt;5,IF(MOD(COUNTIF(K$641:K664,1),7)=0,$C$4,0),0)</f>
        <v>110.256666666667</v>
      </c>
      <c r="L362" s="81" cm="1">
        <f ca="1" t="array" ref="L362">IF(L664=1,OFFSET($Z$338,$B362,L$335-1)/SUMPRODUCT(--($D$335:$V$335=L$335),--($D664:$V664=1)),0)+SUM(L361)+IF(COUNTIF(L$641:L664,1)=1,5,0)+IF(COUNTIF(M362:$Z362,"&gt;"&amp;0)&gt;5,IF(MOD(COUNTIF(L$641:L664,1),7)=0,$C$4,0),0)</f>
        <v>103.556666666667</v>
      </c>
      <c r="M362" s="81" cm="1">
        <f ca="1" t="array" ref="M362">IF(M664=1,OFFSET($Z$338,$B362,M$335-1)/SUMPRODUCT(--($D$335:$V$335=M$335),--($D664:$V664=1)),0)+SUM(M361)+IF(COUNTIF(M$641:M664,1)=1,5,0)+IF(COUNTIF(N362:$Z362,"&gt;"&amp;0)&gt;5,IF(MOD(COUNTIF(M$641:M664,1),7)=0,$C$4,0),0)</f>
        <v>47.5498214285714</v>
      </c>
      <c r="N362" s="81" cm="1">
        <f ca="1" t="array" ref="N362">IF(N664=1,OFFSET($Z$338,$B362,N$335-1)/SUMPRODUCT(--($D$335:$V$335=N$335),--($D664:$V664=1)),0)+SUM(N361)+IF(COUNTIF(N$641:N664,1)=1,5,0)+IF(COUNTIF(O362:$Z362,"&gt;"&amp;0)&gt;5,IF(MOD(COUNTIF(N$641:N664,1),7)=0,$C$4,0),0)</f>
        <v>39.8248214285714</v>
      </c>
      <c r="O362" s="81" cm="1">
        <f ca="1" t="array" ref="O362">IF(O664=1,OFFSET($Z$338,$B362,O$335-1)/SUMPRODUCT(--($D$335:$V$335=O$335),--($D664:$V664=1)),0)+SUM(O361)+IF(COUNTIF(O$641:O664,1)=1,5,0)+IF(COUNTIF(P362:$Z362,"&gt;"&amp;0)&gt;5,IF(MOD(COUNTIF(O$641:O664,1),7)=0,$C$4,0),0)</f>
        <v>37.3998214285714</v>
      </c>
      <c r="P362" s="81" cm="1">
        <f ca="1" t="array" ref="P362">IF(P664=1,OFFSET($Z$338,$B362,P$335-1)/SUMPRODUCT(--($D$335:$V$335=P$335),--($D664:$V664=1)),0)+SUM(P361)+IF(COUNTIF(P$641:P664,1)=1,5,0)+IF(COUNTIF(Q362:$Z362,"&gt;"&amp;0)&gt;5,IF(MOD(COUNTIF(P$641:P664,1),7)=0,$C$4,0),0)</f>
        <v>29.4664880952381</v>
      </c>
      <c r="Q362" s="81" cm="1">
        <f ca="1" t="array" ref="Q362">IF(Q664=1,OFFSET($Z$338,$B362,Q$335-1)/SUMPRODUCT(--($D$335:$V$335=Q$335),--($D664:$V664=1)),0)+SUM(Q361)+IF(COUNTIF(Q$641:Q664,1)=1,5,0)+IF(COUNTIF(R362:$Z362,"&gt;"&amp;0)&gt;5,IF(MOD(COUNTIF(Q$641:Q664,1),7)=0,$C$4,0),0)</f>
        <v>28.5602380952381</v>
      </c>
      <c r="R362" s="81" cm="1">
        <f ca="1" t="array" ref="R362">IF(R664=1,OFFSET($Z$338,$B362,R$335-1)/SUMPRODUCT(--($D$335:$V$335=R$335),--($D664:$V664=1)),0)+SUM(R361)+IF(COUNTIF(R$641:R664,1)=1,5,0)+IF(COUNTIF(S362:$Z362,"&gt;"&amp;0)&gt;5,IF(MOD(COUNTIF(R$641:R664,1),7)=0,$C$4,0),0)</f>
        <v>18.6652380952381</v>
      </c>
      <c r="S362" s="81" cm="1">
        <f ca="1" t="array" ref="S362">IF(S664=1,OFFSET($Z$338,$B362,S$335-1)/SUMPRODUCT(--($D$335:$V$335=S$335),--($D664:$V664=1)),0)+SUM(S361)+IF(COUNTIF(S$641:S664,1)=1,5,0)+IF(COUNTIF(T362:$Z362,"&gt;"&amp;0)&gt;5,IF(MOD(COUNTIF(S$641:S664,1),7)=0,$C$4,0),0)</f>
        <v>14.4985714285714</v>
      </c>
      <c r="T362" s="81" cm="1">
        <f ca="1" t="array" ref="T362">IF(T664=1,OFFSET($Z$338,$B362,T$335-1)/SUMPRODUCT(--($D$335:$V$335=T$335),--($D664:$V664=1)),0)+SUM(T361)+IF(COUNTIF(T$641:T664,1)=1,5,0)+IF(COUNTIF(U362:$Z362,"&gt;"&amp;0)&gt;5,IF(MOD(COUNTIF(T$641:T664,1),7)=0,$C$4,0),0)</f>
        <v>11.2227149061877</v>
      </c>
      <c r="U362" s="81" cm="1">
        <f ca="1" t="array" ref="U362">IF(U664=1,OFFSET($Z$338,$B362,U$335-1)/SUMPRODUCT(--($D$335:$V$335=U$335),--($D664:$V664=1)),0)+SUM(U361)+IF(COUNTIF(U$641:U664,1)=1,5,0)+IF(COUNTIF(V362:$Z362,"&gt;"&amp;0)&gt;5,IF(MOD(COUNTIF(U$641:U664,1),7)=0,$C$4,0),0)</f>
        <v>11.2227149061877</v>
      </c>
      <c r="V362" s="81" cm="1">
        <f ca="1" t="array" ref="V362">IF(V664=1,OFFSET($Z$338,$B362,V$335-1)/SUMPRODUCT(--($D$335:$V$335=V$335),--($D664:$V664=1)),0)+SUM(V361)+IF(COUNTIF(V$641:V664,1)=1,5,0)+IF(COUNTIF(Z362:$Z362,"&gt;"&amp;0)&gt;5,IF(MOD(COUNTIF(V$641:V664,1),7)=0,$C$4,0),0)</f>
        <v>0</v>
      </c>
      <c r="W362" s="81" cm="1">
        <f ca="1" t="array" ref="W362">IF(W664=1,OFFSET($Z$338,$B362,W$335-1)/SUMPRODUCT(--($D$335:$V$335=W$335),--($D664:$V664=1)),0)+SUM(W361)+IF(COUNTIF(W$641:W664,1)=1,5,0)+IF(COUNTIF($Z362:AA362,"&gt;"&amp;0)&gt;5,IF(MOD(COUNTIF(W$641:W664,1),7)=0,$C$4,0),0)</f>
        <v>0</v>
      </c>
      <c r="X362" s="81" cm="1">
        <f ca="1" t="array" ref="X362">IF(X664=1,OFFSET($Z$338,$B362,X$335-1)/SUMPRODUCT(--($D$335:$V$335=X$335),--($D664:$V664=1)),0)+SUM(X361)+IF(COUNTIF(X$641:X664,1)=1,5,0)+IF(COUNTIF($Z362:AB362,"&gt;"&amp;0)&gt;5,IF(MOD(COUNTIF(X$641:X664,1),7)=0,$C$4,0),0)</f>
        <v>0</v>
      </c>
      <c r="Y362" s="81" cm="1">
        <f ca="1" t="array" ref="Y362">IF(Y664=1,OFFSET($Z$338,$B362,Y$335-1)/SUMPRODUCT(--($D$335:$V$335=Y$335),--($D664:$V664=1)),0)+SUM(Y361)+IF(COUNTIF(Y$641:Y664,1)=1,5,0)+IF(COUNTIF($Z362:AC362,"&gt;"&amp;0)&gt;5,IF(MOD(COUNTIF(Y$641:Y664,1),7)=0,$C$4,0),0)</f>
        <v>0</v>
      </c>
      <c r="Z362" s="82" cm="1">
        <f ca="1" t="array" ref="Z362">SUMPRODUCT(TRANSPOSE($AD362:$AJ362),OFFSET($L$10:$L$16,0,Z$335-1))</f>
        <v>29.0648957169058</v>
      </c>
      <c r="AA362" s="82" cm="1">
        <f ca="1" t="array" ref="AA362">SUMPRODUCT(TRANSPOSE($AD362:$AJ362),OFFSET($L$10:$L$16,0,AA$335-1))</f>
        <v>17.6</v>
      </c>
      <c r="AB362" s="82" cm="1">
        <f ca="1" t="array" ref="AB362">SUMPRODUCT(TRANSPOSE($AD362:$AJ362),OFFSET($L$10:$L$16,0,AB$335-1))</f>
        <v>6.6</v>
      </c>
      <c r="AC362" s="82" cm="1">
        <f ca="1" t="array" ref="AC362">SUMPRODUCT(TRANSPOSE($AD362:$AJ362),OFFSET($L$10:$L$16,0,AC$335-1))</f>
        <v>1.73510428309417</v>
      </c>
      <c r="AD362" s="83">
        <f ca="1" t="shared" ref="AD362:AJ362" si="367">AK362-AK361</f>
        <v>0</v>
      </c>
      <c r="AE362" s="83">
        <f ca="1" t="shared" si="367"/>
        <v>0</v>
      </c>
      <c r="AF362" s="83">
        <f ca="1" t="shared" si="367"/>
        <v>0</v>
      </c>
      <c r="AG362" s="83">
        <f ca="1" t="shared" si="367"/>
        <v>110</v>
      </c>
      <c r="AH362" s="83">
        <f ca="1" t="shared" si="367"/>
        <v>0</v>
      </c>
      <c r="AI362" s="83">
        <f ca="1" t="shared" si="367"/>
        <v>0</v>
      </c>
      <c r="AJ362" s="83">
        <f ca="1" t="shared" si="367"/>
        <v>0</v>
      </c>
      <c r="AK362" s="83">
        <f ca="1" t="shared" si="321"/>
        <v>450</v>
      </c>
      <c r="AL362" s="83">
        <f ca="1" t="shared" ref="AL362:AQ362" si="368">IF($C362&gt;OFFSET($Q$9,MATCH(AL$338,$AK$338:$AQ$338,0),0),OFFSET($P$9,MATCH(AL$338,$AK$338:$AQ$338,0),0),MAX(0,$C362-OFFSET($Q$9,RIGHT(AL$338,1)-1,0)))</f>
        <v>909</v>
      </c>
      <c r="AM362" s="83">
        <f ca="1" t="shared" si="368"/>
        <v>1818</v>
      </c>
      <c r="AN362" s="83">
        <f ca="1" t="shared" si="368"/>
        <v>789</v>
      </c>
      <c r="AO362" s="83">
        <f ca="1" t="shared" si="368"/>
        <v>0</v>
      </c>
      <c r="AP362" s="83">
        <f ca="1" t="shared" si="368"/>
        <v>0</v>
      </c>
      <c r="AQ362" s="83">
        <f ca="1" t="shared" si="368"/>
        <v>0</v>
      </c>
      <c r="AS362" s="52">
        <v>24</v>
      </c>
      <c r="AT362" s="52">
        <v>1430</v>
      </c>
      <c r="AU362" s="52">
        <v>1430</v>
      </c>
      <c r="AV362" s="52">
        <v>1430</v>
      </c>
      <c r="AW362" s="52">
        <v>1160</v>
      </c>
    </row>
    <row r="363" ht="16.5" spans="2:49">
      <c r="B363" s="65">
        <v>25</v>
      </c>
      <c r="C363" s="80">
        <f t="shared" si="319"/>
        <v>4076</v>
      </c>
      <c r="D363" s="81" cm="1">
        <f ca="1" t="array" ref="D363">IF(D665=1,OFFSET($Z$338,$B363,D$335-1)/SUMPRODUCT(--($D$335:$V$335=D$335),--($D665:$V665=1)),0)+SUM(D362)+IF(COUNTIF(D$641:D665,1)=1,5,0)+IF(COUNTIF(E363:$Z363,"&gt;"&amp;0)&gt;5,IF(MOD(COUNTIF(D$641:D665,1),7)=0,$C$4,0),0)</f>
        <v>454.604821968177</v>
      </c>
      <c r="E363" s="81" cm="1">
        <f ca="1" t="array" ref="E363">IF(E665=1,OFFSET($Z$338,$B363,E$335-1)/SUMPRODUCT(--($D$335:$V$335=E$335),--($D665:$V665=1)),0)+SUM(E362)+IF(COUNTIF(E$641:E665,1)=1,5,0)+IF(COUNTIF(F363:$Z363,"&gt;"&amp;0)&gt;5,IF(MOD(COUNTIF(E$641:E665,1),7)=0,$C$4,0),0)</f>
        <v>454.604821968177</v>
      </c>
      <c r="F363" s="81" cm="1">
        <f ca="1" t="array" ref="F363">IF(F665=1,OFFSET($Z$338,$B363,F$335-1)/SUMPRODUCT(--($D$335:$V$335=F$335),--($D665:$V665=1)),0)+SUM(F362)+IF(COUNTIF(F$641:F665,1)=1,5,0)+IF(COUNTIF(G363:$Z363,"&gt;"&amp;0)&gt;5,IF(MOD(COUNTIF(F$641:F665,1),7)=0,$C$4,0),0)</f>
        <v>454.604821968177</v>
      </c>
      <c r="G363" s="81" cm="1">
        <f ca="1" t="array" ref="G363">IF(G665=1,OFFSET($Z$338,$B363,G$335-1)/SUMPRODUCT(--($D$335:$V$335=G$335),--($D665:$V665=1)),0)+SUM(G362)+IF(COUNTIF(G$641:G665,1)=1,5,0)+IF(COUNTIF(H363:$Z363,"&gt;"&amp;0)&gt;5,IF(MOD(COUNTIF(G$641:G665,1),7)=0,$C$4,0),0)</f>
        <v>113.19</v>
      </c>
      <c r="H363" s="81" cm="1">
        <f ca="1" t="array" ref="H363">IF(H665=1,OFFSET($Z$338,$B363,H$335-1)/SUMPRODUCT(--($D$335:$V$335=H$335),--($D665:$V665=1)),0)+SUM(H362)+IF(COUNTIF(H$641:H665,1)=1,5,0)+IF(COUNTIF(I363:$Z363,"&gt;"&amp;0)&gt;5,IF(MOD(COUNTIF(H$641:H665,1),7)=0,$C$4,0),0)</f>
        <v>113.19</v>
      </c>
      <c r="I363" s="81" cm="1">
        <f ca="1" t="array" ref="I363">IF(I665=1,OFFSET($Z$338,$B363,I$335-1)/SUMPRODUCT(--($D$335:$V$335=I$335),--($D665:$V665=1)),0)+SUM(I362)+IF(COUNTIF(I$641:I665,1)=1,5,0)+IF(COUNTIF(J363:$Z363,"&gt;"&amp;0)&gt;5,IF(MOD(COUNTIF(I$641:I665,1),7)=0,$C$4,0),0)</f>
        <v>113.19</v>
      </c>
      <c r="J363" s="81" cm="1">
        <f ca="1" t="array" ref="J363">IF(J665=1,OFFSET($Z$338,$B363,J$335-1)/SUMPRODUCT(--($D$335:$V$335=J$335),--($D665:$V665=1)),0)+SUM(J362)+IF(COUNTIF(J$641:J665,1)=1,5,0)+IF(COUNTIF(K363:$Z363,"&gt;"&amp;0)&gt;5,IF(MOD(COUNTIF(J$641:J665,1),7)=0,$C$4,0),0)</f>
        <v>113.19</v>
      </c>
      <c r="K363" s="81" cm="1">
        <f ca="1" t="array" ref="K363">IF(K665=1,OFFSET($Z$338,$B363,K$335-1)/SUMPRODUCT(--($D$335:$V$335=K$335),--($D665:$V665=1)),0)+SUM(K362)+IF(COUNTIF(K$641:K665,1)=1,5,0)+IF(COUNTIF(L363:$Z363,"&gt;"&amp;0)&gt;5,IF(MOD(COUNTIF(K$641:K665,1),7)=0,$C$4,0),0)</f>
        <v>113.19</v>
      </c>
      <c r="L363" s="81" cm="1">
        <f ca="1" t="array" ref="L363">IF(L665=1,OFFSET($Z$338,$B363,L$335-1)/SUMPRODUCT(--($D$335:$V$335=L$335),--($D665:$V665=1)),0)+SUM(L362)+IF(COUNTIF(L$641:L665,1)=1,5,0)+IF(COUNTIF(M363:$Z363,"&gt;"&amp;0)&gt;5,IF(MOD(COUNTIF(L$641:L665,1),7)=0,$C$4,0),0)</f>
        <v>106.49</v>
      </c>
      <c r="M363" s="81" cm="1">
        <f ca="1" t="array" ref="M363">IF(M665=1,OFFSET($Z$338,$B363,M$335-1)/SUMPRODUCT(--($D$335:$V$335=M$335),--($D665:$V665=1)),0)+SUM(M362)+IF(COUNTIF(M$641:M665,1)=1,5,0)+IF(COUNTIF(N363:$Z363,"&gt;"&amp;0)&gt;5,IF(MOD(COUNTIF(M$641:M665,1),7)=0,$C$4,0),0)</f>
        <v>48.4926785714286</v>
      </c>
      <c r="N363" s="81" cm="1">
        <f ca="1" t="array" ref="N363">IF(N665=1,OFFSET($Z$338,$B363,N$335-1)/SUMPRODUCT(--($D$335:$V$335=N$335),--($D665:$V665=1)),0)+SUM(N362)+IF(COUNTIF(N$641:N665,1)=1,5,0)+IF(COUNTIF(O363:$Z363,"&gt;"&amp;0)&gt;5,IF(MOD(COUNTIF(N$641:N665,1),7)=0,$C$4,0),0)</f>
        <v>40.7676785714286</v>
      </c>
      <c r="O363" s="81" cm="1">
        <f ca="1" t="array" ref="O363">IF(O665=1,OFFSET($Z$338,$B363,O$335-1)/SUMPRODUCT(--($D$335:$V$335=O$335),--($D665:$V665=1)),0)+SUM(O362)+IF(COUNTIF(O$641:O665,1)=1,5,0)+IF(COUNTIF(P363:$Z363,"&gt;"&amp;0)&gt;5,IF(MOD(COUNTIF(O$641:O665,1),7)=0,$C$4,0),0)</f>
        <v>38.3426785714286</v>
      </c>
      <c r="P363" s="81" cm="1">
        <f ca="1" t="array" ref="P363">IF(P665=1,OFFSET($Z$338,$B363,P$335-1)/SUMPRODUCT(--($D$335:$V$335=P$335),--($D665:$V665=1)),0)+SUM(P362)+IF(COUNTIF(P$641:P665,1)=1,5,0)+IF(COUNTIF(Q363:$Z363,"&gt;"&amp;0)&gt;5,IF(MOD(COUNTIF(P$641:P665,1),7)=0,$C$4,0),0)</f>
        <v>30.4093452380952</v>
      </c>
      <c r="Q363" s="81" cm="1">
        <f ca="1" t="array" ref="Q363">IF(Q665=1,OFFSET($Z$338,$B363,Q$335-1)/SUMPRODUCT(--($D$335:$V$335=Q$335),--($D665:$V665=1)),0)+SUM(Q362)+IF(COUNTIF(Q$641:Q665,1)=1,5,0)+IF(COUNTIF(R363:$Z363,"&gt;"&amp;0)&gt;5,IF(MOD(COUNTIF(Q$641:Q665,1),7)=0,$C$4,0),0)</f>
        <v>29.5030952380952</v>
      </c>
      <c r="R363" s="81" cm="1">
        <f ca="1" t="array" ref="R363">IF(R665=1,OFFSET($Z$338,$B363,R$335-1)/SUMPRODUCT(--($D$335:$V$335=R$335),--($D665:$V665=1)),0)+SUM(R362)+IF(COUNTIF(R$641:R665,1)=1,5,0)+IF(COUNTIF(S363:$Z363,"&gt;"&amp;0)&gt;5,IF(MOD(COUNTIF(R$641:R665,1),7)=0,$C$4,0),0)</f>
        <v>19.6080952380952</v>
      </c>
      <c r="S363" s="81" cm="1">
        <f ca="1" t="array" ref="S363">IF(S665=1,OFFSET($Z$338,$B363,S$335-1)/SUMPRODUCT(--($D$335:$V$335=S$335),--($D665:$V665=1)),0)+SUM(S362)+IF(COUNTIF(S$641:S665,1)=1,5,0)+IF(COUNTIF(T363:$Z363,"&gt;"&amp;0)&gt;5,IF(MOD(COUNTIF(S$641:S665,1),7)=0,$C$4,0),0)</f>
        <v>15.4414285714286</v>
      </c>
      <c r="T363" s="81" cm="1">
        <f ca="1" t="array" ref="T363">IF(T665=1,OFFSET($Z$338,$B363,T$335-1)/SUMPRODUCT(--($D$335:$V$335=T$335),--($D665:$V665=1)),0)+SUM(T362)+IF(COUNTIF(T$641:T665,1)=1,5,0)+IF(COUNTIF(U363:$Z363,"&gt;"&amp;0)&gt;5,IF(MOD(COUNTIF(T$641:T665,1),7)=0,$C$4,0),0)</f>
        <v>12.0902670477348</v>
      </c>
      <c r="U363" s="81" cm="1">
        <f ca="1" t="array" ref="U363">IF(U665=1,OFFSET($Z$338,$B363,U$335-1)/SUMPRODUCT(--($D$335:$V$335=U$335),--($D665:$V665=1)),0)+SUM(U362)+IF(COUNTIF(U$641:U665,1)=1,5,0)+IF(COUNTIF(V363:$Z363,"&gt;"&amp;0)&gt;5,IF(MOD(COUNTIF(U$641:U665,1),7)=0,$C$4,0),0)</f>
        <v>12.0902670477348</v>
      </c>
      <c r="V363" s="81" cm="1">
        <f ca="1" t="array" ref="V363">IF(V665=1,OFFSET($Z$338,$B363,V$335-1)/SUMPRODUCT(--($D$335:$V$335=V$335),--($D665:$V665=1)),0)+SUM(V362)+IF(COUNTIF(V$641:V665,1)=1,5,0)+IF(COUNTIF(Z363:$Z363,"&gt;"&amp;0)&gt;5,IF(MOD(COUNTIF(V$641:V665,1),7)=0,$C$4,0),0)</f>
        <v>0</v>
      </c>
      <c r="W363" s="81" cm="1">
        <f ca="1" t="array" ref="W363">IF(W665=1,OFFSET($Z$338,$B363,W$335-1)/SUMPRODUCT(--($D$335:$V$335=W$335),--($D665:$V665=1)),0)+SUM(W362)+IF(COUNTIF(W$641:W665,1)=1,5,0)+IF(COUNTIF($Z363:AA363,"&gt;"&amp;0)&gt;5,IF(MOD(COUNTIF(W$641:W665,1),7)=0,$C$4,0),0)</f>
        <v>0</v>
      </c>
      <c r="X363" s="81" cm="1">
        <f ca="1" t="array" ref="X363">IF(X665=1,OFFSET($Z$338,$B363,X$335-1)/SUMPRODUCT(--($D$335:$V$335=X$335),--($D665:$V665=1)),0)+SUM(X362)+IF(COUNTIF(X$641:X665,1)=1,5,0)+IF(COUNTIF($Z363:AB363,"&gt;"&amp;0)&gt;5,IF(MOD(COUNTIF(X$641:X665,1),7)=0,$C$4,0),0)</f>
        <v>0</v>
      </c>
      <c r="Y363" s="81" cm="1">
        <f ca="1" t="array" ref="Y363">IF(Y665=1,OFFSET($Z$338,$B363,Y$335-1)/SUMPRODUCT(--($D$335:$V$335=Y$335),--($D665:$V665=1)),0)+SUM(Y362)+IF(COUNTIF(Y$641:Y665,1)=1,5,0)+IF(COUNTIF($Z363:AC363,"&gt;"&amp;0)&gt;5,IF(MOD(COUNTIF(Y$641:Y665,1),7)=0,$C$4,0),0)</f>
        <v>0</v>
      </c>
      <c r="Z363" s="82" cm="1">
        <f ca="1" t="array" ref="Z363">SUMPRODUCT(TRANSPOSE($AD363:$AJ363),OFFSET($L$10:$L$16,0,Z$335-1))</f>
        <v>29.0648957169058</v>
      </c>
      <c r="AA363" s="82" cm="1">
        <f ca="1" t="array" ref="AA363">SUMPRODUCT(TRANSPOSE($AD363:$AJ363),OFFSET($L$10:$L$16,0,AA$335-1))</f>
        <v>17.6</v>
      </c>
      <c r="AB363" s="82" cm="1">
        <f ca="1" t="array" ref="AB363">SUMPRODUCT(TRANSPOSE($AD363:$AJ363),OFFSET($L$10:$L$16,0,AB$335-1))</f>
        <v>6.6</v>
      </c>
      <c r="AC363" s="82" cm="1">
        <f ca="1" t="array" ref="AC363">SUMPRODUCT(TRANSPOSE($AD363:$AJ363),OFFSET($L$10:$L$16,0,AC$335-1))</f>
        <v>1.73510428309417</v>
      </c>
      <c r="AD363" s="83">
        <f ca="1" t="shared" ref="AD363:AJ363" si="369">AK363-AK362</f>
        <v>0</v>
      </c>
      <c r="AE363" s="83">
        <f ca="1" t="shared" si="369"/>
        <v>0</v>
      </c>
      <c r="AF363" s="83">
        <f ca="1" t="shared" si="369"/>
        <v>0</v>
      </c>
      <c r="AG363" s="83">
        <f ca="1" t="shared" si="369"/>
        <v>110</v>
      </c>
      <c r="AH363" s="83">
        <f ca="1" t="shared" si="369"/>
        <v>0</v>
      </c>
      <c r="AI363" s="83">
        <f ca="1" t="shared" si="369"/>
        <v>0</v>
      </c>
      <c r="AJ363" s="83">
        <f ca="1" t="shared" si="369"/>
        <v>0</v>
      </c>
      <c r="AK363" s="83">
        <f ca="1" t="shared" si="321"/>
        <v>450</v>
      </c>
      <c r="AL363" s="83">
        <f ca="1" t="shared" ref="AL363:AQ363" si="370">IF($C363&gt;OFFSET($Q$9,MATCH(AL$338,$AK$338:$AQ$338,0),0),OFFSET($P$9,MATCH(AL$338,$AK$338:$AQ$338,0),0),MAX(0,$C363-OFFSET($Q$9,RIGHT(AL$338,1)-1,0)))</f>
        <v>909</v>
      </c>
      <c r="AM363" s="83">
        <f ca="1" t="shared" si="370"/>
        <v>1818</v>
      </c>
      <c r="AN363" s="83">
        <f ca="1" t="shared" si="370"/>
        <v>899</v>
      </c>
      <c r="AO363" s="83">
        <f ca="1" t="shared" si="370"/>
        <v>0</v>
      </c>
      <c r="AP363" s="83">
        <f ca="1" t="shared" si="370"/>
        <v>0</v>
      </c>
      <c r="AQ363" s="83">
        <f ca="1" t="shared" si="370"/>
        <v>0</v>
      </c>
      <c r="AS363" s="52">
        <v>25</v>
      </c>
      <c r="AT363" s="52">
        <v>1550</v>
      </c>
      <c r="AU363" s="52">
        <v>1550</v>
      </c>
      <c r="AV363" s="52">
        <v>1550</v>
      </c>
      <c r="AW363" s="52">
        <v>1250</v>
      </c>
    </row>
    <row r="364" ht="16.5" spans="2:49">
      <c r="B364" s="65">
        <v>26</v>
      </c>
      <c r="C364" s="80">
        <f t="shared" si="319"/>
        <v>4186</v>
      </c>
      <c r="D364" s="81" cm="1">
        <f ca="1" t="array" ref="D364">IF(D666=1,OFFSET($Z$338,$B364,D$335-1)/SUMPRODUCT(--($D$335:$V$335=D$335),--($D666:$V666=1)),0)+SUM(D363)+IF(COUNTIF(D$641:D666,1)=1,5,0)+IF(COUNTIF(E364:$Z364,"&gt;"&amp;0)&gt;5,IF(MOD(COUNTIF(D$641:D666,1),7)=0,$C$4,0),0)</f>
        <v>464.293120540479</v>
      </c>
      <c r="E364" s="81" cm="1">
        <f ca="1" t="array" ref="E364">IF(E666=1,OFFSET($Z$338,$B364,E$335-1)/SUMPRODUCT(--($D$335:$V$335=E$335),--($D666:$V666=1)),0)+SUM(E363)+IF(COUNTIF(E$641:E666,1)=1,5,0)+IF(COUNTIF(F364:$Z364,"&gt;"&amp;0)&gt;5,IF(MOD(COUNTIF(E$641:E666,1),7)=0,$C$4,0),0)</f>
        <v>464.293120540479</v>
      </c>
      <c r="F364" s="81" cm="1">
        <f ca="1" t="array" ref="F364">IF(F666=1,OFFSET($Z$338,$B364,F$335-1)/SUMPRODUCT(--($D$335:$V$335=F$335),--($D666:$V666=1)),0)+SUM(F363)+IF(COUNTIF(F$641:F666,1)=1,5,0)+IF(COUNTIF(G364:$Z364,"&gt;"&amp;0)&gt;5,IF(MOD(COUNTIF(F$641:F666,1),7)=0,$C$4,0),0)</f>
        <v>464.293120540479</v>
      </c>
      <c r="G364" s="81" cm="1">
        <f ca="1" t="array" ref="G364">IF(G666=1,OFFSET($Z$338,$B364,G$335-1)/SUMPRODUCT(--($D$335:$V$335=G$335),--($D666:$V666=1)),0)+SUM(G363)+IF(COUNTIF(G$641:G666,1)=1,5,0)+IF(COUNTIF(H364:$Z364,"&gt;"&amp;0)&gt;5,IF(MOD(COUNTIF(G$641:G666,1),7)=0,$C$4,0),0)</f>
        <v>116.123333333333</v>
      </c>
      <c r="H364" s="81" cm="1">
        <f ca="1" t="array" ref="H364">IF(H666=1,OFFSET($Z$338,$B364,H$335-1)/SUMPRODUCT(--($D$335:$V$335=H$335),--($D666:$V666=1)),0)+SUM(H363)+IF(COUNTIF(H$641:H666,1)=1,5,0)+IF(COUNTIF(I364:$Z364,"&gt;"&amp;0)&gt;5,IF(MOD(COUNTIF(H$641:H666,1),7)=0,$C$4,0),0)</f>
        <v>116.123333333333</v>
      </c>
      <c r="I364" s="81" cm="1">
        <f ca="1" t="array" ref="I364">IF(I666=1,OFFSET($Z$338,$B364,I$335-1)/SUMPRODUCT(--($D$335:$V$335=I$335),--($D666:$V666=1)),0)+SUM(I363)+IF(COUNTIF(I$641:I666,1)=1,5,0)+IF(COUNTIF(J364:$Z364,"&gt;"&amp;0)&gt;5,IF(MOD(COUNTIF(I$641:I666,1),7)=0,$C$4,0),0)</f>
        <v>116.123333333333</v>
      </c>
      <c r="J364" s="81" cm="1">
        <f ca="1" t="array" ref="J364">IF(J666=1,OFFSET($Z$338,$B364,J$335-1)/SUMPRODUCT(--($D$335:$V$335=J$335),--($D666:$V666=1)),0)+SUM(J363)+IF(COUNTIF(J$641:J666,1)=1,5,0)+IF(COUNTIF(K364:$Z364,"&gt;"&amp;0)&gt;5,IF(MOD(COUNTIF(J$641:J666,1),7)=0,$C$4,0),0)</f>
        <v>116.123333333333</v>
      </c>
      <c r="K364" s="81" cm="1">
        <f ca="1" t="array" ref="K364">IF(K666=1,OFFSET($Z$338,$B364,K$335-1)/SUMPRODUCT(--($D$335:$V$335=K$335),--($D666:$V666=1)),0)+SUM(K363)+IF(COUNTIF(K$641:K666,1)=1,5,0)+IF(COUNTIF(L364:$Z364,"&gt;"&amp;0)&gt;5,IF(MOD(COUNTIF(K$641:K666,1),7)=0,$C$4,0),0)</f>
        <v>116.123333333333</v>
      </c>
      <c r="L364" s="81" cm="1">
        <f ca="1" t="array" ref="L364">IF(L666=1,OFFSET($Z$338,$B364,L$335-1)/SUMPRODUCT(--($D$335:$V$335=L$335),--($D666:$V666=1)),0)+SUM(L363)+IF(COUNTIF(L$641:L666,1)=1,5,0)+IF(COUNTIF(M364:$Z364,"&gt;"&amp;0)&gt;5,IF(MOD(COUNTIF(L$641:L666,1),7)=0,$C$4,0),0)</f>
        <v>109.423333333333</v>
      </c>
      <c r="M364" s="81" cm="1">
        <f ca="1" t="array" ref="M364">IF(M666=1,OFFSET($Z$338,$B364,M$335-1)/SUMPRODUCT(--($D$335:$V$335=M$335),--($D666:$V666=1)),0)+SUM(M363)+IF(COUNTIF(M$641:M666,1)=1,5,0)+IF(COUNTIF(N364:$Z364,"&gt;"&amp;0)&gt;5,IF(MOD(COUNTIF(M$641:M666,1),7)=0,$C$4,0),0)</f>
        <v>49.4355357142857</v>
      </c>
      <c r="N364" s="81" cm="1">
        <f ca="1" t="array" ref="N364">IF(N666=1,OFFSET($Z$338,$B364,N$335-1)/SUMPRODUCT(--($D$335:$V$335=N$335),--($D666:$V666=1)),0)+SUM(N363)+IF(COUNTIF(N$641:N666,1)=1,5,0)+IF(COUNTIF(O364:$Z364,"&gt;"&amp;0)&gt;5,IF(MOD(COUNTIF(N$641:N666,1),7)=0,$C$4,0),0)</f>
        <v>41.7105357142857</v>
      </c>
      <c r="O364" s="81" cm="1">
        <f ca="1" t="array" ref="O364">IF(O666=1,OFFSET($Z$338,$B364,O$335-1)/SUMPRODUCT(--($D$335:$V$335=O$335),--($D666:$V666=1)),0)+SUM(O363)+IF(COUNTIF(O$641:O666,1)=1,5,0)+IF(COUNTIF(P364:$Z364,"&gt;"&amp;0)&gt;5,IF(MOD(COUNTIF(O$641:O666,1),7)=0,$C$4,0),0)</f>
        <v>39.2855357142857</v>
      </c>
      <c r="P364" s="81" cm="1">
        <f ca="1" t="array" ref="P364">IF(P666=1,OFFSET($Z$338,$B364,P$335-1)/SUMPRODUCT(--($D$335:$V$335=P$335),--($D666:$V666=1)),0)+SUM(P363)+IF(COUNTIF(P$641:P666,1)=1,5,0)+IF(COUNTIF(Q364:$Z364,"&gt;"&amp;0)&gt;5,IF(MOD(COUNTIF(P$641:P666,1),7)=0,$C$4,0),0)</f>
        <v>36.3522023809524</v>
      </c>
      <c r="Q364" s="81" cm="1">
        <f ca="1" t="array" ref="Q364">IF(Q666=1,OFFSET($Z$338,$B364,Q$335-1)/SUMPRODUCT(--($D$335:$V$335=Q$335),--($D666:$V666=1)),0)+SUM(Q363)+IF(COUNTIF(Q$641:Q666,1)=1,5,0)+IF(COUNTIF(R364:$Z364,"&gt;"&amp;0)&gt;5,IF(MOD(COUNTIF(Q$641:Q666,1),7)=0,$C$4,0),0)</f>
        <v>30.4459523809524</v>
      </c>
      <c r="R364" s="81" cm="1">
        <f ca="1" t="array" ref="R364">IF(R666=1,OFFSET($Z$338,$B364,R$335-1)/SUMPRODUCT(--($D$335:$V$335=R$335),--($D666:$V666=1)),0)+SUM(R363)+IF(COUNTIF(R$641:R666,1)=1,5,0)+IF(COUNTIF(S364:$Z364,"&gt;"&amp;0)&gt;5,IF(MOD(COUNTIF(R$641:R666,1),7)=0,$C$4,0),0)</f>
        <v>20.5509523809524</v>
      </c>
      <c r="S364" s="81" cm="1">
        <f ca="1" t="array" ref="S364">IF(S666=1,OFFSET($Z$338,$B364,S$335-1)/SUMPRODUCT(--($D$335:$V$335=S$335),--($D666:$V666=1)),0)+SUM(S363)+IF(COUNTIF(S$641:S666,1)=1,5,0)+IF(COUNTIF(T364:$Z364,"&gt;"&amp;0)&gt;5,IF(MOD(COUNTIF(S$641:S666,1),7)=0,$C$4,0),0)</f>
        <v>16.3842857142857</v>
      </c>
      <c r="T364" s="81" cm="1">
        <f ca="1" t="array" ref="T364">IF(T666=1,OFFSET($Z$338,$B364,T$335-1)/SUMPRODUCT(--($D$335:$V$335=T$335),--($D666:$V666=1)),0)+SUM(T363)+IF(COUNTIF(T$641:T666,1)=1,5,0)+IF(COUNTIF(U364:$Z364,"&gt;"&amp;0)&gt;5,IF(MOD(COUNTIF(T$641:T666,1),7)=0,$C$4,0),0)</f>
        <v>12.9578191892819</v>
      </c>
      <c r="U364" s="81" cm="1">
        <f ca="1" t="array" ref="U364">IF(U666=1,OFFSET($Z$338,$B364,U$335-1)/SUMPRODUCT(--($D$335:$V$335=U$335),--($D666:$V666=1)),0)+SUM(U363)+IF(COUNTIF(U$641:U666,1)=1,5,0)+IF(COUNTIF(V364:$Z364,"&gt;"&amp;0)&gt;5,IF(MOD(COUNTIF(U$641:U666,1),7)=0,$C$4,0),0)</f>
        <v>12.9578191892819</v>
      </c>
      <c r="V364" s="81" cm="1">
        <f ca="1" t="array" ref="V364">IF(V666=1,OFFSET($Z$338,$B364,V$335-1)/SUMPRODUCT(--($D$335:$V$335=V$335),--($D666:$V666=1)),0)+SUM(V363)+IF(COUNTIF(V$641:V666,1)=1,5,0)+IF(COUNTIF(Z364:$Z364,"&gt;"&amp;0)&gt;5,IF(MOD(COUNTIF(V$641:V666,1),7)=0,$C$4,0),0)</f>
        <v>0</v>
      </c>
      <c r="W364" s="81" cm="1">
        <f ca="1" t="array" ref="W364">IF(W666=1,OFFSET($Z$338,$B364,W$335-1)/SUMPRODUCT(--($D$335:$V$335=W$335),--($D666:$V666=1)),0)+SUM(W363)+IF(COUNTIF(W$641:W666,1)=1,5,0)+IF(COUNTIF($Z364:AA364,"&gt;"&amp;0)&gt;5,IF(MOD(COUNTIF(W$641:W666,1),7)=0,$C$4,0),0)</f>
        <v>0</v>
      </c>
      <c r="X364" s="81" cm="1">
        <f ca="1" t="array" ref="X364">IF(X666=1,OFFSET($Z$338,$B364,X$335-1)/SUMPRODUCT(--($D$335:$V$335=X$335),--($D666:$V666=1)),0)+SUM(X363)+IF(COUNTIF(X$641:X666,1)=1,5,0)+IF(COUNTIF($Z364:AB364,"&gt;"&amp;0)&gt;5,IF(MOD(COUNTIF(X$641:X666,1),7)=0,$C$4,0),0)</f>
        <v>0</v>
      </c>
      <c r="Y364" s="81" cm="1">
        <f ca="1" t="array" ref="Y364">IF(Y666=1,OFFSET($Z$338,$B364,Y$335-1)/SUMPRODUCT(--($D$335:$V$335=Y$335),--($D666:$V666=1)),0)+SUM(Y363)+IF(COUNTIF(Y$641:Y666,1)=1,5,0)+IF(COUNTIF($Z364:AC364,"&gt;"&amp;0)&gt;5,IF(MOD(COUNTIF(Y$641:Y666,1),7)=0,$C$4,0),0)</f>
        <v>0</v>
      </c>
      <c r="Z364" s="82" cm="1">
        <f ca="1" t="array" ref="Z364">SUMPRODUCT(TRANSPOSE($AD364:$AJ364),OFFSET($L$10:$L$16,0,Z$335-1))</f>
        <v>29.0648957169058</v>
      </c>
      <c r="AA364" s="82" cm="1">
        <f ca="1" t="array" ref="AA364">SUMPRODUCT(TRANSPOSE($AD364:$AJ364),OFFSET($L$10:$L$16,0,AA$335-1))</f>
        <v>17.6</v>
      </c>
      <c r="AB364" s="82" cm="1">
        <f ca="1" t="array" ref="AB364">SUMPRODUCT(TRANSPOSE($AD364:$AJ364),OFFSET($L$10:$L$16,0,AB$335-1))</f>
        <v>6.6</v>
      </c>
      <c r="AC364" s="82" cm="1">
        <f ca="1" t="array" ref="AC364">SUMPRODUCT(TRANSPOSE($AD364:$AJ364),OFFSET($L$10:$L$16,0,AC$335-1))</f>
        <v>1.73510428309417</v>
      </c>
      <c r="AD364" s="83">
        <f ca="1" t="shared" ref="AD364:AJ364" si="371">AK364-AK363</f>
        <v>0</v>
      </c>
      <c r="AE364" s="83">
        <f ca="1" t="shared" si="371"/>
        <v>0</v>
      </c>
      <c r="AF364" s="83">
        <f ca="1" t="shared" si="371"/>
        <v>0</v>
      </c>
      <c r="AG364" s="83">
        <f ca="1" t="shared" si="371"/>
        <v>110</v>
      </c>
      <c r="AH364" s="83">
        <f ca="1" t="shared" si="371"/>
        <v>0</v>
      </c>
      <c r="AI364" s="83">
        <f ca="1" t="shared" si="371"/>
        <v>0</v>
      </c>
      <c r="AJ364" s="83">
        <f ca="1" t="shared" si="371"/>
        <v>0</v>
      </c>
      <c r="AK364" s="83">
        <f ca="1" t="shared" si="321"/>
        <v>450</v>
      </c>
      <c r="AL364" s="83">
        <f ca="1" t="shared" ref="AL364:AQ364" si="372">IF($C364&gt;OFFSET($Q$9,MATCH(AL$338,$AK$338:$AQ$338,0),0),OFFSET($P$9,MATCH(AL$338,$AK$338:$AQ$338,0),0),MAX(0,$C364-OFFSET($Q$9,RIGHT(AL$338,1)-1,0)))</f>
        <v>909</v>
      </c>
      <c r="AM364" s="83">
        <f ca="1" t="shared" si="372"/>
        <v>1818</v>
      </c>
      <c r="AN364" s="83">
        <f ca="1" t="shared" si="372"/>
        <v>1009</v>
      </c>
      <c r="AO364" s="83">
        <f ca="1" t="shared" si="372"/>
        <v>0</v>
      </c>
      <c r="AP364" s="83">
        <f ca="1" t="shared" si="372"/>
        <v>0</v>
      </c>
      <c r="AQ364" s="83">
        <f ca="1" t="shared" si="372"/>
        <v>0</v>
      </c>
      <c r="AS364" s="52">
        <v>26</v>
      </c>
      <c r="AT364" s="52">
        <v>1790</v>
      </c>
      <c r="AU364" s="52">
        <v>1790</v>
      </c>
      <c r="AV364" s="52">
        <v>1730</v>
      </c>
      <c r="AW364" s="52">
        <v>1370</v>
      </c>
    </row>
    <row r="365" ht="16.5" spans="2:49">
      <c r="B365" s="65">
        <v>27</v>
      </c>
      <c r="C365" s="80">
        <f t="shared" si="319"/>
        <v>4296</v>
      </c>
      <c r="D365" s="81" cm="1">
        <f ca="1" t="array" ref="D365">IF(D667=1,OFFSET($Z$338,$B365,D$335-1)/SUMPRODUCT(--($D$335:$V$335=D$335),--($D667:$V667=1)),0)+SUM(D364)+IF(COUNTIF(D$641:D667,1)=1,5,0)+IF(COUNTIF(E365:$Z365,"&gt;"&amp;0)&gt;5,IF(MOD(COUNTIF(D$641:D667,1),7)=0,$C$4,0),0)</f>
        <v>473.981419112781</v>
      </c>
      <c r="E365" s="81" cm="1">
        <f ca="1" t="array" ref="E365">IF(E667=1,OFFSET($Z$338,$B365,E$335-1)/SUMPRODUCT(--($D$335:$V$335=E$335),--($D667:$V667=1)),0)+SUM(E364)+IF(COUNTIF(E$641:E667,1)=1,5,0)+IF(COUNTIF(F365:$Z365,"&gt;"&amp;0)&gt;5,IF(MOD(COUNTIF(E$641:E667,1),7)=0,$C$4,0),0)</f>
        <v>473.981419112781</v>
      </c>
      <c r="F365" s="81" cm="1">
        <f ca="1" t="array" ref="F365">IF(F667=1,OFFSET($Z$338,$B365,F$335-1)/SUMPRODUCT(--($D$335:$V$335=F$335),--($D667:$V667=1)),0)+SUM(F364)+IF(COUNTIF(F$641:F667,1)=1,5,0)+IF(COUNTIF(G365:$Z365,"&gt;"&amp;0)&gt;5,IF(MOD(COUNTIF(F$641:F667,1),7)=0,$C$4,0),0)</f>
        <v>473.981419112781</v>
      </c>
      <c r="G365" s="81" cm="1">
        <f ca="1" t="array" ref="G365">IF(G667=1,OFFSET($Z$338,$B365,G$335-1)/SUMPRODUCT(--($D$335:$V$335=G$335),--($D667:$V667=1)),0)+SUM(G364)+IF(COUNTIF(G$641:G667,1)=1,5,0)+IF(COUNTIF(H365:$Z365,"&gt;"&amp;0)&gt;5,IF(MOD(COUNTIF(G$641:G667,1),7)=0,$C$4,0),0)</f>
        <v>119.056666666667</v>
      </c>
      <c r="H365" s="81" cm="1">
        <f ca="1" t="array" ref="H365">IF(H667=1,OFFSET($Z$338,$B365,H$335-1)/SUMPRODUCT(--($D$335:$V$335=H$335),--($D667:$V667=1)),0)+SUM(H364)+IF(COUNTIF(H$641:H667,1)=1,5,0)+IF(COUNTIF(I365:$Z365,"&gt;"&amp;0)&gt;5,IF(MOD(COUNTIF(H$641:H667,1),7)=0,$C$4,0),0)</f>
        <v>119.056666666667</v>
      </c>
      <c r="I365" s="81" cm="1">
        <f ca="1" t="array" ref="I365">IF(I667=1,OFFSET($Z$338,$B365,I$335-1)/SUMPRODUCT(--($D$335:$V$335=I$335),--($D667:$V667=1)),0)+SUM(I364)+IF(COUNTIF(I$641:I667,1)=1,5,0)+IF(COUNTIF(J365:$Z365,"&gt;"&amp;0)&gt;5,IF(MOD(COUNTIF(I$641:I667,1),7)=0,$C$4,0),0)</f>
        <v>119.056666666667</v>
      </c>
      <c r="J365" s="81" cm="1">
        <f ca="1" t="array" ref="J365">IF(J667=1,OFFSET($Z$338,$B365,J$335-1)/SUMPRODUCT(--($D$335:$V$335=J$335),--($D667:$V667=1)),0)+SUM(J364)+IF(COUNTIF(J$641:J667,1)=1,5,0)+IF(COUNTIF(K365:$Z365,"&gt;"&amp;0)&gt;5,IF(MOD(COUNTIF(J$641:J667,1),7)=0,$C$4,0),0)</f>
        <v>119.056666666667</v>
      </c>
      <c r="K365" s="81" cm="1">
        <f ca="1" t="array" ref="K365">IF(K667=1,OFFSET($Z$338,$B365,K$335-1)/SUMPRODUCT(--($D$335:$V$335=K$335),--($D667:$V667=1)),0)+SUM(K364)+IF(COUNTIF(K$641:K667,1)=1,5,0)+IF(COUNTIF(L365:$Z365,"&gt;"&amp;0)&gt;5,IF(MOD(COUNTIF(K$641:K667,1),7)=0,$C$4,0),0)</f>
        <v>119.056666666667</v>
      </c>
      <c r="L365" s="81" cm="1">
        <f ca="1" t="array" ref="L365">IF(L667=1,OFFSET($Z$338,$B365,L$335-1)/SUMPRODUCT(--($D$335:$V$335=L$335),--($D667:$V667=1)),0)+SUM(L364)+IF(COUNTIF(L$641:L667,1)=1,5,0)+IF(COUNTIF(M365:$Z365,"&gt;"&amp;0)&gt;5,IF(MOD(COUNTIF(L$641:L667,1),7)=0,$C$4,0),0)</f>
        <v>112.356666666667</v>
      </c>
      <c r="M365" s="81" cm="1">
        <f ca="1" t="array" ref="M365">IF(M667=1,OFFSET($Z$338,$B365,M$335-1)/SUMPRODUCT(--($D$335:$V$335=M$335),--($D667:$V667=1)),0)+SUM(M364)+IF(COUNTIF(M$641:M667,1)=1,5,0)+IF(COUNTIF(N365:$Z365,"&gt;"&amp;0)&gt;5,IF(MOD(COUNTIF(M$641:M667,1),7)=0,$C$4,0),0)</f>
        <v>50.3783928571429</v>
      </c>
      <c r="N365" s="81" cm="1">
        <f ca="1" t="array" ref="N365">IF(N667=1,OFFSET($Z$338,$B365,N$335-1)/SUMPRODUCT(--($D$335:$V$335=N$335),--($D667:$V667=1)),0)+SUM(N364)+IF(COUNTIF(N$641:N667,1)=1,5,0)+IF(COUNTIF(O365:$Z365,"&gt;"&amp;0)&gt;5,IF(MOD(COUNTIF(N$641:N667,1),7)=0,$C$4,0),0)</f>
        <v>42.6533928571429</v>
      </c>
      <c r="O365" s="81" cm="1">
        <f ca="1" t="array" ref="O365">IF(O667=1,OFFSET($Z$338,$B365,O$335-1)/SUMPRODUCT(--($D$335:$V$335=O$335),--($D667:$V667=1)),0)+SUM(O364)+IF(COUNTIF(O$641:O667,1)=1,5,0)+IF(COUNTIF(P365:$Z365,"&gt;"&amp;0)&gt;5,IF(MOD(COUNTIF(O$641:O667,1),7)=0,$C$4,0),0)</f>
        <v>40.2283928571429</v>
      </c>
      <c r="P365" s="81" cm="1">
        <f ca="1" t="array" ref="P365">IF(P667=1,OFFSET($Z$338,$B365,P$335-1)/SUMPRODUCT(--($D$335:$V$335=P$335),--($D667:$V667=1)),0)+SUM(P364)+IF(COUNTIF(P$641:P667,1)=1,5,0)+IF(COUNTIF(Q365:$Z365,"&gt;"&amp;0)&gt;5,IF(MOD(COUNTIF(P$641:P667,1),7)=0,$C$4,0),0)</f>
        <v>37.2950595238095</v>
      </c>
      <c r="Q365" s="81" cm="1">
        <f ca="1" t="array" ref="Q365">IF(Q667=1,OFFSET($Z$338,$B365,Q$335-1)/SUMPRODUCT(--($D$335:$V$335=Q$335),--($D667:$V667=1)),0)+SUM(Q364)+IF(COUNTIF(Q$641:Q667,1)=1,5,0)+IF(COUNTIF(R365:$Z365,"&gt;"&amp;0)&gt;5,IF(MOD(COUNTIF(Q$641:Q667,1),7)=0,$C$4,0),0)</f>
        <v>36.3888095238095</v>
      </c>
      <c r="R365" s="81" cm="1">
        <f ca="1" t="array" ref="R365">IF(R667=1,OFFSET($Z$338,$B365,R$335-1)/SUMPRODUCT(--($D$335:$V$335=R$335),--($D667:$V667=1)),0)+SUM(R364)+IF(COUNTIF(R$641:R667,1)=1,5,0)+IF(COUNTIF(S365:$Z365,"&gt;"&amp;0)&gt;5,IF(MOD(COUNTIF(R$641:R667,1),7)=0,$C$4,0),0)</f>
        <v>21.4938095238095</v>
      </c>
      <c r="S365" s="81" cm="1">
        <f ca="1" t="array" ref="S365">IF(S667=1,OFFSET($Z$338,$B365,S$335-1)/SUMPRODUCT(--($D$335:$V$335=S$335),--($D667:$V667=1)),0)+SUM(S364)+IF(COUNTIF(S$641:S667,1)=1,5,0)+IF(COUNTIF(T365:$Z365,"&gt;"&amp;0)&gt;5,IF(MOD(COUNTIF(S$641:S667,1),7)=0,$C$4,0),0)</f>
        <v>17.3271428571429</v>
      </c>
      <c r="T365" s="81" cm="1">
        <f ca="1" t="array" ref="T365">IF(T667=1,OFFSET($Z$338,$B365,T$335-1)/SUMPRODUCT(--($D$335:$V$335=T$335),--($D667:$V667=1)),0)+SUM(T364)+IF(COUNTIF(T$641:T667,1)=1,5,0)+IF(COUNTIF(U365:$Z365,"&gt;"&amp;0)&gt;5,IF(MOD(COUNTIF(T$641:T667,1),7)=0,$C$4,0),0)</f>
        <v>13.5361872836466</v>
      </c>
      <c r="U365" s="81" cm="1">
        <f ca="1" t="array" ref="U365">IF(U667=1,OFFSET($Z$338,$B365,U$335-1)/SUMPRODUCT(--($D$335:$V$335=U$335),--($D667:$V667=1)),0)+SUM(U364)+IF(COUNTIF(U$641:U667,1)=1,5,0)+IF(COUNTIF(V365:$Z365,"&gt;"&amp;0)&gt;5,IF(MOD(COUNTIF(U$641:U667,1),7)=0,$C$4,0),0)</f>
        <v>13.5361872836466</v>
      </c>
      <c r="V365" s="81" cm="1">
        <f ca="1" t="array" ref="V365">IF(V667=1,OFFSET($Z$338,$B365,V$335-1)/SUMPRODUCT(--($D$335:$V$335=V$335),--($D667:$V667=1)),0)+SUM(V364)+IF(COUNTIF(V$641:V667,1)=1,5,0)+IF(COUNTIF(Z365:$Z365,"&gt;"&amp;0)&gt;5,IF(MOD(COUNTIF(V$641:V667,1),7)=0,$C$4,0),0)</f>
        <v>5.57836809436472</v>
      </c>
      <c r="W365" s="81" cm="1">
        <f ca="1" t="array" ref="W365">IF(W667=1,OFFSET($Z$338,$B365,W$335-1)/SUMPRODUCT(--($D$335:$V$335=W$335),--($D667:$V667=1)),0)+SUM(W364)+IF(COUNTIF(W$641:W667,1)=1,5,0)+IF(COUNTIF($Z365:AA365,"&gt;"&amp;0)&gt;5,IF(MOD(COUNTIF(W$641:W667,1),7)=0,$C$4,0),0)</f>
        <v>0</v>
      </c>
      <c r="X365" s="81" cm="1">
        <f ca="1" t="array" ref="X365">IF(X667=1,OFFSET($Z$338,$B365,X$335-1)/SUMPRODUCT(--($D$335:$V$335=X$335),--($D667:$V667=1)),0)+SUM(X364)+IF(COUNTIF(X$641:X667,1)=1,5,0)+IF(COUNTIF($Z365:AB365,"&gt;"&amp;0)&gt;5,IF(MOD(COUNTIF(X$641:X667,1),7)=0,$C$4,0),0)</f>
        <v>0</v>
      </c>
      <c r="Y365" s="81" cm="1">
        <f ca="1" t="array" ref="Y365">IF(Y667=1,OFFSET($Z$338,$B365,Y$335-1)/SUMPRODUCT(--($D$335:$V$335=Y$335),--($D667:$V667=1)),0)+SUM(Y364)+IF(COUNTIF(Y$641:Y667,1)=1,5,0)+IF(COUNTIF($Z365:AC365,"&gt;"&amp;0)&gt;5,IF(MOD(COUNTIF(Y$641:Y667,1),7)=0,$C$4,0),0)</f>
        <v>0</v>
      </c>
      <c r="Z365" s="82" cm="1">
        <f ca="1" t="array" ref="Z365">SUMPRODUCT(TRANSPOSE($AD365:$AJ365),OFFSET($L$10:$L$16,0,Z$335-1))</f>
        <v>29.0648957169058</v>
      </c>
      <c r="AA365" s="82" cm="1">
        <f ca="1" t="array" ref="AA365">SUMPRODUCT(TRANSPOSE($AD365:$AJ365),OFFSET($L$10:$L$16,0,AA$335-1))</f>
        <v>17.6</v>
      </c>
      <c r="AB365" s="82" cm="1">
        <f ca="1" t="array" ref="AB365">SUMPRODUCT(TRANSPOSE($AD365:$AJ365),OFFSET($L$10:$L$16,0,AB$335-1))</f>
        <v>6.6</v>
      </c>
      <c r="AC365" s="82" cm="1">
        <f ca="1" t="array" ref="AC365">SUMPRODUCT(TRANSPOSE($AD365:$AJ365),OFFSET($L$10:$L$16,0,AC$335-1))</f>
        <v>1.73510428309417</v>
      </c>
      <c r="AD365" s="83">
        <f ca="1" t="shared" ref="AD365:AJ365" si="373">AK365-AK364</f>
        <v>0</v>
      </c>
      <c r="AE365" s="83">
        <f ca="1" t="shared" si="373"/>
        <v>0</v>
      </c>
      <c r="AF365" s="83">
        <f ca="1" t="shared" si="373"/>
        <v>0</v>
      </c>
      <c r="AG365" s="83">
        <f ca="1" t="shared" si="373"/>
        <v>110</v>
      </c>
      <c r="AH365" s="83">
        <f ca="1" t="shared" si="373"/>
        <v>0</v>
      </c>
      <c r="AI365" s="83">
        <f ca="1" t="shared" si="373"/>
        <v>0</v>
      </c>
      <c r="AJ365" s="83">
        <f ca="1" t="shared" si="373"/>
        <v>0</v>
      </c>
      <c r="AK365" s="83">
        <f ca="1" t="shared" si="321"/>
        <v>450</v>
      </c>
      <c r="AL365" s="83">
        <f ca="1" t="shared" ref="AL365:AQ365" si="374">IF($C365&gt;OFFSET($Q$9,MATCH(AL$338,$AK$338:$AQ$338,0),0),OFFSET($P$9,MATCH(AL$338,$AK$338:$AQ$338,0),0),MAX(0,$C365-OFFSET($Q$9,RIGHT(AL$338,1)-1,0)))</f>
        <v>909</v>
      </c>
      <c r="AM365" s="83">
        <f ca="1" t="shared" si="374"/>
        <v>1818</v>
      </c>
      <c r="AN365" s="83">
        <f ca="1" t="shared" si="374"/>
        <v>1119</v>
      </c>
      <c r="AO365" s="83">
        <f ca="1" t="shared" si="374"/>
        <v>0</v>
      </c>
      <c r="AP365" s="83">
        <f ca="1" t="shared" si="374"/>
        <v>0</v>
      </c>
      <c r="AQ365" s="83">
        <f ca="1" t="shared" si="374"/>
        <v>0</v>
      </c>
      <c r="AS365" s="52">
        <v>27</v>
      </c>
      <c r="AT365" s="52">
        <v>2030</v>
      </c>
      <c r="AU365" s="52">
        <v>2030</v>
      </c>
      <c r="AV365" s="52">
        <v>1910</v>
      </c>
      <c r="AW365" s="52">
        <v>1490</v>
      </c>
    </row>
    <row r="366" ht="16.5" spans="2:49">
      <c r="B366" s="65">
        <v>28</v>
      </c>
      <c r="C366" s="80">
        <f t="shared" si="319"/>
        <v>4406</v>
      </c>
      <c r="D366" s="81" cm="1">
        <f ca="1" t="array" ref="D366">IF(D668=1,OFFSET($Z$338,$B366,D$335-1)/SUMPRODUCT(--($D$335:$V$335=D$335),--($D668:$V668=1)),0)+SUM(D365)+IF(COUNTIF(D$641:D668,1)=1,5,0)+IF(COUNTIF(E366:$Z366,"&gt;"&amp;0)&gt;5,IF(MOD(COUNTIF(D$641:D668,1),7)=0,$C$4,0),0)</f>
        <v>488.669717685083</v>
      </c>
      <c r="E366" s="81" cm="1">
        <f ca="1" t="array" ref="E366">IF(E668=1,OFFSET($Z$338,$B366,E$335-1)/SUMPRODUCT(--($D$335:$V$335=E$335),--($D668:$V668=1)),0)+SUM(E365)+IF(COUNTIF(E$641:E668,1)=1,5,0)+IF(COUNTIF(F366:$Z366,"&gt;"&amp;0)&gt;5,IF(MOD(COUNTIF(E$641:E668,1),7)=0,$C$4,0),0)</f>
        <v>488.669717685083</v>
      </c>
      <c r="F366" s="81" cm="1">
        <f ca="1" t="array" ref="F366">IF(F668=1,OFFSET($Z$338,$B366,F$335-1)/SUMPRODUCT(--($D$335:$V$335=F$335),--($D668:$V668=1)),0)+SUM(F365)+IF(COUNTIF(F$641:F668,1)=1,5,0)+IF(COUNTIF(G366:$Z366,"&gt;"&amp;0)&gt;5,IF(MOD(COUNTIF(F$641:F668,1),7)=0,$C$4,0),0)</f>
        <v>488.669717685083</v>
      </c>
      <c r="G366" s="81" cm="1">
        <f ca="1" t="array" ref="G366">IF(G668=1,OFFSET($Z$338,$B366,G$335-1)/SUMPRODUCT(--($D$335:$V$335=G$335),--($D668:$V668=1)),0)+SUM(G365)+IF(COUNTIF(G$641:G668,1)=1,5,0)+IF(COUNTIF(H366:$Z366,"&gt;"&amp;0)&gt;5,IF(MOD(COUNTIF(G$641:G668,1),7)=0,$C$4,0),0)</f>
        <v>126.99</v>
      </c>
      <c r="H366" s="81" cm="1">
        <f ca="1" t="array" ref="H366">IF(H668=1,OFFSET($Z$338,$B366,H$335-1)/SUMPRODUCT(--($D$335:$V$335=H$335),--($D668:$V668=1)),0)+SUM(H365)+IF(COUNTIF(H$641:H668,1)=1,5,0)+IF(COUNTIF(I366:$Z366,"&gt;"&amp;0)&gt;5,IF(MOD(COUNTIF(H$641:H668,1),7)=0,$C$4,0),0)</f>
        <v>126.99</v>
      </c>
      <c r="I366" s="81" cm="1">
        <f ca="1" t="array" ref="I366">IF(I668=1,OFFSET($Z$338,$B366,I$335-1)/SUMPRODUCT(--($D$335:$V$335=I$335),--($D668:$V668=1)),0)+SUM(I365)+IF(COUNTIF(I$641:I668,1)=1,5,0)+IF(COUNTIF(J366:$Z366,"&gt;"&amp;0)&gt;5,IF(MOD(COUNTIF(I$641:I668,1),7)=0,$C$4,0),0)</f>
        <v>126.99</v>
      </c>
      <c r="J366" s="81" cm="1">
        <f ca="1" t="array" ref="J366">IF(J668=1,OFFSET($Z$338,$B366,J$335-1)/SUMPRODUCT(--($D$335:$V$335=J$335),--($D668:$V668=1)),0)+SUM(J365)+IF(COUNTIF(J$641:J668,1)=1,5,0)+IF(COUNTIF(K366:$Z366,"&gt;"&amp;0)&gt;5,IF(MOD(COUNTIF(J$641:J668,1),7)=0,$C$4,0),0)</f>
        <v>126.99</v>
      </c>
      <c r="K366" s="81" cm="1">
        <f ca="1" t="array" ref="K366">IF(K668=1,OFFSET($Z$338,$B366,K$335-1)/SUMPRODUCT(--($D$335:$V$335=K$335),--($D668:$V668=1)),0)+SUM(K365)+IF(COUNTIF(K$641:K668,1)=1,5,0)+IF(COUNTIF(L366:$Z366,"&gt;"&amp;0)&gt;5,IF(MOD(COUNTIF(K$641:K668,1),7)=0,$C$4,0),0)</f>
        <v>126.99</v>
      </c>
      <c r="L366" s="81" cm="1">
        <f ca="1" t="array" ref="L366">IF(L668=1,OFFSET($Z$338,$B366,L$335-1)/SUMPRODUCT(--($D$335:$V$335=L$335),--($D668:$V668=1)),0)+SUM(L365)+IF(COUNTIF(L$641:L668,1)=1,5,0)+IF(COUNTIF(M366:$Z366,"&gt;"&amp;0)&gt;5,IF(MOD(COUNTIF(L$641:L668,1),7)=0,$C$4,0),0)</f>
        <v>115.29</v>
      </c>
      <c r="M366" s="81" cm="1">
        <f ca="1" t="array" ref="M366">IF(M668=1,OFFSET($Z$338,$B366,M$335-1)/SUMPRODUCT(--($D$335:$V$335=M$335),--($D668:$V668=1)),0)+SUM(M365)+IF(COUNTIF(M$641:M668,1)=1,5,0)+IF(COUNTIF(N366:$Z366,"&gt;"&amp;0)&gt;5,IF(MOD(COUNTIF(M$641:M668,1),7)=0,$C$4,0),0)</f>
        <v>51.32125</v>
      </c>
      <c r="N366" s="81" cm="1">
        <f ca="1" t="array" ref="N366">IF(N668=1,OFFSET($Z$338,$B366,N$335-1)/SUMPRODUCT(--($D$335:$V$335=N$335),--($D668:$V668=1)),0)+SUM(N365)+IF(COUNTIF(N$641:N668,1)=1,5,0)+IF(COUNTIF(O366:$Z366,"&gt;"&amp;0)&gt;5,IF(MOD(COUNTIF(N$641:N668,1),7)=0,$C$4,0),0)</f>
        <v>43.59625</v>
      </c>
      <c r="O366" s="81" cm="1">
        <f ca="1" t="array" ref="O366">IF(O668=1,OFFSET($Z$338,$B366,O$335-1)/SUMPRODUCT(--($D$335:$V$335=O$335),--($D668:$V668=1)),0)+SUM(O365)+IF(COUNTIF(O$641:O668,1)=1,5,0)+IF(COUNTIF(P366:$Z366,"&gt;"&amp;0)&gt;5,IF(MOD(COUNTIF(O$641:O668,1),7)=0,$C$4,0),0)</f>
        <v>41.17125</v>
      </c>
      <c r="P366" s="81" cm="1">
        <f ca="1" t="array" ref="P366">IF(P668=1,OFFSET($Z$338,$B366,P$335-1)/SUMPRODUCT(--($D$335:$V$335=P$335),--($D668:$V668=1)),0)+SUM(P365)+IF(COUNTIF(P$641:P668,1)=1,5,0)+IF(COUNTIF(Q366:$Z366,"&gt;"&amp;0)&gt;5,IF(MOD(COUNTIF(P$641:P668,1),7)=0,$C$4,0),0)</f>
        <v>38.2379166666667</v>
      </c>
      <c r="Q366" s="81" cm="1">
        <f ca="1" t="array" ref="Q366">IF(Q668=1,OFFSET($Z$338,$B366,Q$335-1)/SUMPRODUCT(--($D$335:$V$335=Q$335),--($D668:$V668=1)),0)+SUM(Q365)+IF(COUNTIF(Q$641:Q668,1)=1,5,0)+IF(COUNTIF(R366:$Z366,"&gt;"&amp;0)&gt;5,IF(MOD(COUNTIF(Q$641:Q668,1),7)=0,$C$4,0),0)</f>
        <v>37.3316666666667</v>
      </c>
      <c r="R366" s="81" cm="1">
        <f ca="1" t="array" ref="R366">IF(R668=1,OFFSET($Z$338,$B366,R$335-1)/SUMPRODUCT(--($D$335:$V$335=R$335),--($D668:$V668=1)),0)+SUM(R365)+IF(COUNTIF(R$641:R668,1)=1,5,0)+IF(COUNTIF(S366:$Z366,"&gt;"&amp;0)&gt;5,IF(MOD(COUNTIF(R$641:R668,1),7)=0,$C$4,0),0)</f>
        <v>22.4366666666667</v>
      </c>
      <c r="S366" s="81" cm="1">
        <f ca="1" t="array" ref="S366">IF(S668=1,OFFSET($Z$338,$B366,S$335-1)/SUMPRODUCT(--($D$335:$V$335=S$335),--($D668:$V668=1)),0)+SUM(S365)+IF(COUNTIF(S$641:S668,1)=1,5,0)+IF(COUNTIF(T366:$Z366,"&gt;"&amp;0)&gt;5,IF(MOD(COUNTIF(S$641:S668,1),7)=0,$C$4,0),0)</f>
        <v>18.27</v>
      </c>
      <c r="T366" s="81" cm="1">
        <f ca="1" t="array" ref="T366">IF(T668=1,OFFSET($Z$338,$B366,T$335-1)/SUMPRODUCT(--($D$335:$V$335=T$335),--($D668:$V668=1)),0)+SUM(T365)+IF(COUNTIF(T$641:T668,1)=1,5,0)+IF(COUNTIF(U366:$Z366,"&gt;"&amp;0)&gt;5,IF(MOD(COUNTIF(T$641:T668,1),7)=0,$C$4,0),0)</f>
        <v>14.1145553780113</v>
      </c>
      <c r="U366" s="81" cm="1">
        <f ca="1" t="array" ref="U366">IF(U668=1,OFFSET($Z$338,$B366,U$335-1)/SUMPRODUCT(--($D$335:$V$335=U$335),--($D668:$V668=1)),0)+SUM(U365)+IF(COUNTIF(U$641:U668,1)=1,5,0)+IF(COUNTIF(V366:$Z366,"&gt;"&amp;0)&gt;5,IF(MOD(COUNTIF(U$641:U668,1),7)=0,$C$4,0),0)</f>
        <v>14.1145553780113</v>
      </c>
      <c r="V366" s="81" cm="1">
        <f ca="1" t="array" ref="V366">IF(V668=1,OFFSET($Z$338,$B366,V$335-1)/SUMPRODUCT(--($D$335:$V$335=V$335),--($D668:$V668=1)),0)+SUM(V365)+IF(COUNTIF(V$641:V668,1)=1,5,0)+IF(COUNTIF(Z366:$Z366,"&gt;"&amp;0)&gt;5,IF(MOD(COUNTIF(V$641:V668,1),7)=0,$C$4,0),0)</f>
        <v>6.15673618872945</v>
      </c>
      <c r="W366" s="81" cm="1">
        <f ca="1" t="array" ref="W366">IF(W668=1,OFFSET($Z$338,$B366,W$335-1)/SUMPRODUCT(--($D$335:$V$335=W$335),--($D668:$V668=1)),0)+SUM(W365)+IF(COUNTIF(W$641:W668,1)=1,5,0)+IF(COUNTIF($Z366:AA366,"&gt;"&amp;0)&gt;5,IF(MOD(COUNTIF(W$641:W668,1),7)=0,$C$4,0),0)</f>
        <v>0</v>
      </c>
      <c r="X366" s="81" cm="1">
        <f ca="1" t="array" ref="X366">IF(X668=1,OFFSET($Z$338,$B366,X$335-1)/SUMPRODUCT(--($D$335:$V$335=X$335),--($D668:$V668=1)),0)+SUM(X365)+IF(COUNTIF(X$641:X668,1)=1,5,0)+IF(COUNTIF($Z366:AB366,"&gt;"&amp;0)&gt;5,IF(MOD(COUNTIF(X$641:X668,1),7)=0,$C$4,0),0)</f>
        <v>0</v>
      </c>
      <c r="Y366" s="81" cm="1">
        <f ca="1" t="array" ref="Y366">IF(Y668=1,OFFSET($Z$338,$B366,Y$335-1)/SUMPRODUCT(--($D$335:$V$335=Y$335),--($D668:$V668=1)),0)+SUM(Y365)+IF(COUNTIF(Y$641:Y668,1)=1,5,0)+IF(COUNTIF($Z366:AC366,"&gt;"&amp;0)&gt;5,IF(MOD(COUNTIF(Y$641:Y668,1),7)=0,$C$4,0),0)</f>
        <v>0</v>
      </c>
      <c r="Z366" s="82" cm="1">
        <f ca="1" t="array" ref="Z366">SUMPRODUCT(TRANSPOSE($AD366:$AJ366),OFFSET($L$10:$L$16,0,Z$335-1))</f>
        <v>29.0648957169058</v>
      </c>
      <c r="AA366" s="82" cm="1">
        <f ca="1" t="array" ref="AA366">SUMPRODUCT(TRANSPOSE($AD366:$AJ366),OFFSET($L$10:$L$16,0,AA$335-1))</f>
        <v>17.6</v>
      </c>
      <c r="AB366" s="82" cm="1">
        <f ca="1" t="array" ref="AB366">SUMPRODUCT(TRANSPOSE($AD366:$AJ366),OFFSET($L$10:$L$16,0,AB$335-1))</f>
        <v>6.6</v>
      </c>
      <c r="AC366" s="82" cm="1">
        <f ca="1" t="array" ref="AC366">SUMPRODUCT(TRANSPOSE($AD366:$AJ366),OFFSET($L$10:$L$16,0,AC$335-1))</f>
        <v>1.73510428309417</v>
      </c>
      <c r="AD366" s="83">
        <f ca="1" t="shared" ref="AD366:AJ366" si="375">AK366-AK365</f>
        <v>0</v>
      </c>
      <c r="AE366" s="83">
        <f ca="1" t="shared" si="375"/>
        <v>0</v>
      </c>
      <c r="AF366" s="83">
        <f ca="1" t="shared" si="375"/>
        <v>0</v>
      </c>
      <c r="AG366" s="83">
        <f ca="1" t="shared" si="375"/>
        <v>110</v>
      </c>
      <c r="AH366" s="83">
        <f ca="1" t="shared" si="375"/>
        <v>0</v>
      </c>
      <c r="AI366" s="83">
        <f ca="1" t="shared" si="375"/>
        <v>0</v>
      </c>
      <c r="AJ366" s="83">
        <f ca="1" t="shared" si="375"/>
        <v>0</v>
      </c>
      <c r="AK366" s="83">
        <f ca="1" t="shared" si="321"/>
        <v>450</v>
      </c>
      <c r="AL366" s="83">
        <f ca="1" t="shared" ref="AL366:AQ366" si="376">IF($C366&gt;OFFSET($Q$9,MATCH(AL$338,$AK$338:$AQ$338,0),0),OFFSET($P$9,MATCH(AL$338,$AK$338:$AQ$338,0),0),MAX(0,$C366-OFFSET($Q$9,RIGHT(AL$338,1)-1,0)))</f>
        <v>909</v>
      </c>
      <c r="AM366" s="83">
        <f ca="1" t="shared" si="376"/>
        <v>1818</v>
      </c>
      <c r="AN366" s="83">
        <f ca="1" t="shared" si="376"/>
        <v>1229</v>
      </c>
      <c r="AO366" s="83">
        <f ca="1" t="shared" si="376"/>
        <v>0</v>
      </c>
      <c r="AP366" s="83">
        <f ca="1" t="shared" si="376"/>
        <v>0</v>
      </c>
      <c r="AQ366" s="83">
        <f ca="1" t="shared" si="376"/>
        <v>0</v>
      </c>
      <c r="AS366" s="52">
        <v>28</v>
      </c>
      <c r="AT366" s="52">
        <v>2270</v>
      </c>
      <c r="AU366" s="52">
        <v>2270</v>
      </c>
      <c r="AV366" s="52">
        <v>2090</v>
      </c>
      <c r="AW366" s="52">
        <v>1610</v>
      </c>
    </row>
    <row r="367" ht="16.5" spans="2:49">
      <c r="B367" s="65">
        <v>29</v>
      </c>
      <c r="C367" s="80">
        <f t="shared" si="319"/>
        <v>4516</v>
      </c>
      <c r="D367" s="81" cm="1">
        <f ca="1" t="array" ref="D367">IF(D669=1,OFFSET($Z$338,$B367,D$335-1)/SUMPRODUCT(--($D$335:$V$335=D$335),--($D669:$V669=1)),0)+SUM(D366)+IF(COUNTIF(D$641:D669,1)=1,5,0)+IF(COUNTIF(E367:$Z367,"&gt;"&amp;0)&gt;5,IF(MOD(COUNTIF(D$641:D669,1),7)=0,$C$4,0),0)</f>
        <v>498.358016257385</v>
      </c>
      <c r="E367" s="81" cm="1">
        <f ca="1" t="array" ref="E367">IF(E669=1,OFFSET($Z$338,$B367,E$335-1)/SUMPRODUCT(--($D$335:$V$335=E$335),--($D669:$V669=1)),0)+SUM(E366)+IF(COUNTIF(E$641:E669,1)=1,5,0)+IF(COUNTIF(F367:$Z367,"&gt;"&amp;0)&gt;5,IF(MOD(COUNTIF(E$641:E669,1),7)=0,$C$4,0),0)</f>
        <v>498.358016257385</v>
      </c>
      <c r="F367" s="81" cm="1">
        <f ca="1" t="array" ref="F367">IF(F669=1,OFFSET($Z$338,$B367,F$335-1)/SUMPRODUCT(--($D$335:$V$335=F$335),--($D669:$V669=1)),0)+SUM(F366)+IF(COUNTIF(F$641:F669,1)=1,5,0)+IF(COUNTIF(G367:$Z367,"&gt;"&amp;0)&gt;5,IF(MOD(COUNTIF(F$641:F669,1),7)=0,$C$4,0),0)</f>
        <v>498.358016257385</v>
      </c>
      <c r="G367" s="81" cm="1">
        <f ca="1" t="array" ref="G367">IF(G669=1,OFFSET($Z$338,$B367,G$335-1)/SUMPRODUCT(--($D$335:$V$335=G$335),--($D669:$V669=1)),0)+SUM(G366)+IF(COUNTIF(G$641:G669,1)=1,5,0)+IF(COUNTIF(H367:$Z367,"&gt;"&amp;0)&gt;5,IF(MOD(COUNTIF(G$641:G669,1),7)=0,$C$4,0),0)</f>
        <v>129.923333333333</v>
      </c>
      <c r="H367" s="81" cm="1">
        <f ca="1" t="array" ref="H367">IF(H669=1,OFFSET($Z$338,$B367,H$335-1)/SUMPRODUCT(--($D$335:$V$335=H$335),--($D669:$V669=1)),0)+SUM(H366)+IF(COUNTIF(H$641:H669,1)=1,5,0)+IF(COUNTIF(I367:$Z367,"&gt;"&amp;0)&gt;5,IF(MOD(COUNTIF(H$641:H669,1),7)=0,$C$4,0),0)</f>
        <v>129.923333333333</v>
      </c>
      <c r="I367" s="81" cm="1">
        <f ca="1" t="array" ref="I367">IF(I669=1,OFFSET($Z$338,$B367,I$335-1)/SUMPRODUCT(--($D$335:$V$335=I$335),--($D669:$V669=1)),0)+SUM(I366)+IF(COUNTIF(I$641:I669,1)=1,5,0)+IF(COUNTIF(J367:$Z367,"&gt;"&amp;0)&gt;5,IF(MOD(COUNTIF(I$641:I669,1),7)=0,$C$4,0),0)</f>
        <v>129.923333333333</v>
      </c>
      <c r="J367" s="81" cm="1">
        <f ca="1" t="array" ref="J367">IF(J669=1,OFFSET($Z$338,$B367,J$335-1)/SUMPRODUCT(--($D$335:$V$335=J$335),--($D669:$V669=1)),0)+SUM(J366)+IF(COUNTIF(J$641:J669,1)=1,5,0)+IF(COUNTIF(K367:$Z367,"&gt;"&amp;0)&gt;5,IF(MOD(COUNTIF(J$641:J669,1),7)=0,$C$4,0),0)</f>
        <v>129.923333333333</v>
      </c>
      <c r="K367" s="81" cm="1">
        <f ca="1" t="array" ref="K367">IF(K669=1,OFFSET($Z$338,$B367,K$335-1)/SUMPRODUCT(--($D$335:$V$335=K$335),--($D669:$V669=1)),0)+SUM(K366)+IF(COUNTIF(K$641:K669,1)=1,5,0)+IF(COUNTIF(L367:$Z367,"&gt;"&amp;0)&gt;5,IF(MOD(COUNTIF(K$641:K669,1),7)=0,$C$4,0),0)</f>
        <v>129.923333333333</v>
      </c>
      <c r="L367" s="81" cm="1">
        <f ca="1" t="array" ref="L367">IF(L669=1,OFFSET($Z$338,$B367,L$335-1)/SUMPRODUCT(--($D$335:$V$335=L$335),--($D669:$V669=1)),0)+SUM(L366)+IF(COUNTIF(L$641:L669,1)=1,5,0)+IF(COUNTIF(M367:$Z367,"&gt;"&amp;0)&gt;5,IF(MOD(COUNTIF(L$641:L669,1),7)=0,$C$4,0),0)</f>
        <v>123.223333333333</v>
      </c>
      <c r="M367" s="81" cm="1">
        <f ca="1" t="array" ref="M367">IF(M669=1,OFFSET($Z$338,$B367,M$335-1)/SUMPRODUCT(--($D$335:$V$335=M$335),--($D669:$V669=1)),0)+SUM(M366)+IF(COUNTIF(M$641:M669,1)=1,5,0)+IF(COUNTIF(N367:$Z367,"&gt;"&amp;0)&gt;5,IF(MOD(COUNTIF(M$641:M669,1),7)=0,$C$4,0),0)</f>
        <v>57.2641071428571</v>
      </c>
      <c r="N367" s="81" cm="1">
        <f ca="1" t="array" ref="N367">IF(N669=1,OFFSET($Z$338,$B367,N$335-1)/SUMPRODUCT(--($D$335:$V$335=N$335),--($D669:$V669=1)),0)+SUM(N366)+IF(COUNTIF(N$641:N669,1)=1,5,0)+IF(COUNTIF(O367:$Z367,"&gt;"&amp;0)&gt;5,IF(MOD(COUNTIF(N$641:N669,1),7)=0,$C$4,0),0)</f>
        <v>44.5391071428571</v>
      </c>
      <c r="O367" s="81" cm="1">
        <f ca="1" t="array" ref="O367">IF(O669=1,OFFSET($Z$338,$B367,O$335-1)/SUMPRODUCT(--($D$335:$V$335=O$335),--($D669:$V669=1)),0)+SUM(O366)+IF(COUNTIF(O$641:O669,1)=1,5,0)+IF(COUNTIF(P367:$Z367,"&gt;"&amp;0)&gt;5,IF(MOD(COUNTIF(O$641:O669,1),7)=0,$C$4,0),0)</f>
        <v>42.1141071428571</v>
      </c>
      <c r="P367" s="81" cm="1">
        <f ca="1" t="array" ref="P367">IF(P669=1,OFFSET($Z$338,$B367,P$335-1)/SUMPRODUCT(--($D$335:$V$335=P$335),--($D669:$V669=1)),0)+SUM(P366)+IF(COUNTIF(P$641:P669,1)=1,5,0)+IF(COUNTIF(Q367:$Z367,"&gt;"&amp;0)&gt;5,IF(MOD(COUNTIF(P$641:P669,1),7)=0,$C$4,0),0)</f>
        <v>39.1807738095238</v>
      </c>
      <c r="Q367" s="81" cm="1">
        <f ca="1" t="array" ref="Q367">IF(Q669=1,OFFSET($Z$338,$B367,Q$335-1)/SUMPRODUCT(--($D$335:$V$335=Q$335),--($D669:$V669=1)),0)+SUM(Q366)+IF(COUNTIF(Q$641:Q669,1)=1,5,0)+IF(COUNTIF(R367:$Z367,"&gt;"&amp;0)&gt;5,IF(MOD(COUNTIF(Q$641:Q669,1),7)=0,$C$4,0),0)</f>
        <v>38.2745238095238</v>
      </c>
      <c r="R367" s="81" cm="1">
        <f ca="1" t="array" ref="R367">IF(R669=1,OFFSET($Z$338,$B367,R$335-1)/SUMPRODUCT(--($D$335:$V$335=R$335),--($D669:$V669=1)),0)+SUM(R366)+IF(COUNTIF(R$641:R669,1)=1,5,0)+IF(COUNTIF(S367:$Z367,"&gt;"&amp;0)&gt;5,IF(MOD(COUNTIF(R$641:R669,1),7)=0,$C$4,0),0)</f>
        <v>23.3795238095238</v>
      </c>
      <c r="S367" s="81" cm="1">
        <f ca="1" t="array" ref="S367">IF(S669=1,OFFSET($Z$338,$B367,S$335-1)/SUMPRODUCT(--($D$335:$V$335=S$335),--($D669:$V669=1)),0)+SUM(S366)+IF(COUNTIF(S$641:S669,1)=1,5,0)+IF(COUNTIF(T367:$Z367,"&gt;"&amp;0)&gt;5,IF(MOD(COUNTIF(S$641:S669,1),7)=0,$C$4,0),0)</f>
        <v>19.2128571428571</v>
      </c>
      <c r="T367" s="81" cm="1">
        <f ca="1" t="array" ref="T367">IF(T669=1,OFFSET($Z$338,$B367,T$335-1)/SUMPRODUCT(--($D$335:$V$335=T$335),--($D669:$V669=1)),0)+SUM(T366)+IF(COUNTIF(T$641:T669,1)=1,5,0)+IF(COUNTIF(U367:$Z367,"&gt;"&amp;0)&gt;5,IF(MOD(COUNTIF(T$641:T669,1),7)=0,$C$4,0),0)</f>
        <v>14.6929234723761</v>
      </c>
      <c r="U367" s="81" cm="1">
        <f ca="1" t="array" ref="U367">IF(U669=1,OFFSET($Z$338,$B367,U$335-1)/SUMPRODUCT(--($D$335:$V$335=U$335),--($D669:$V669=1)),0)+SUM(U366)+IF(COUNTIF(U$641:U669,1)=1,5,0)+IF(COUNTIF(V367:$Z367,"&gt;"&amp;0)&gt;5,IF(MOD(COUNTIF(U$641:U669,1),7)=0,$C$4,0),0)</f>
        <v>14.6929234723761</v>
      </c>
      <c r="V367" s="81" cm="1">
        <f ca="1" t="array" ref="V367">IF(V669=1,OFFSET($Z$338,$B367,V$335-1)/SUMPRODUCT(--($D$335:$V$335=V$335),--($D669:$V669=1)),0)+SUM(V366)+IF(COUNTIF(V$641:V669,1)=1,5,0)+IF(COUNTIF(Z367:$Z367,"&gt;"&amp;0)&gt;5,IF(MOD(COUNTIF(V$641:V669,1),7)=0,$C$4,0),0)</f>
        <v>6.73510428309417</v>
      </c>
      <c r="W367" s="81" cm="1">
        <f ca="1" t="array" ref="W367">IF(W669=1,OFFSET($Z$338,$B367,W$335-1)/SUMPRODUCT(--($D$335:$V$335=W$335),--($D669:$V669=1)),0)+SUM(W366)+IF(COUNTIF(W$641:W669,1)=1,5,0)+IF(COUNTIF($Z367:AA367,"&gt;"&amp;0)&gt;5,IF(MOD(COUNTIF(W$641:W669,1),7)=0,$C$4,0),0)</f>
        <v>0</v>
      </c>
      <c r="X367" s="81" cm="1">
        <f ca="1" t="array" ref="X367">IF(X669=1,OFFSET($Z$338,$B367,X$335-1)/SUMPRODUCT(--($D$335:$V$335=X$335),--($D669:$V669=1)),0)+SUM(X366)+IF(COUNTIF(X$641:X669,1)=1,5,0)+IF(COUNTIF($Z367:AB367,"&gt;"&amp;0)&gt;5,IF(MOD(COUNTIF(X$641:X669,1),7)=0,$C$4,0),0)</f>
        <v>0</v>
      </c>
      <c r="Y367" s="81" cm="1">
        <f ca="1" t="array" ref="Y367">IF(Y669=1,OFFSET($Z$338,$B367,Y$335-1)/SUMPRODUCT(--($D$335:$V$335=Y$335),--($D669:$V669=1)),0)+SUM(Y366)+IF(COUNTIF(Y$641:Y669,1)=1,5,0)+IF(COUNTIF($Z367:AC367,"&gt;"&amp;0)&gt;5,IF(MOD(COUNTIF(Y$641:Y669,1),7)=0,$C$4,0),0)</f>
        <v>0</v>
      </c>
      <c r="Z367" s="82" cm="1">
        <f ca="1" t="array" ref="Z367">SUMPRODUCT(TRANSPOSE($AD367:$AJ367),OFFSET($L$10:$L$16,0,Z$335-1))</f>
        <v>29.0648957169058</v>
      </c>
      <c r="AA367" s="82" cm="1">
        <f ca="1" t="array" ref="AA367">SUMPRODUCT(TRANSPOSE($AD367:$AJ367),OFFSET($L$10:$L$16,0,AA$335-1))</f>
        <v>17.6</v>
      </c>
      <c r="AB367" s="82" cm="1">
        <f ca="1" t="array" ref="AB367">SUMPRODUCT(TRANSPOSE($AD367:$AJ367),OFFSET($L$10:$L$16,0,AB$335-1))</f>
        <v>6.6</v>
      </c>
      <c r="AC367" s="82" cm="1">
        <f ca="1" t="array" ref="AC367">SUMPRODUCT(TRANSPOSE($AD367:$AJ367),OFFSET($L$10:$L$16,0,AC$335-1))</f>
        <v>1.73510428309417</v>
      </c>
      <c r="AD367" s="83">
        <f ca="1" t="shared" ref="AD367:AJ367" si="377">AK367-AK366</f>
        <v>0</v>
      </c>
      <c r="AE367" s="83">
        <f ca="1" t="shared" si="377"/>
        <v>0</v>
      </c>
      <c r="AF367" s="83">
        <f ca="1" t="shared" si="377"/>
        <v>0</v>
      </c>
      <c r="AG367" s="83">
        <f ca="1" t="shared" si="377"/>
        <v>110</v>
      </c>
      <c r="AH367" s="83">
        <f ca="1" t="shared" si="377"/>
        <v>0</v>
      </c>
      <c r="AI367" s="83">
        <f ca="1" t="shared" si="377"/>
        <v>0</v>
      </c>
      <c r="AJ367" s="83">
        <f ca="1" t="shared" si="377"/>
        <v>0</v>
      </c>
      <c r="AK367" s="83">
        <f ca="1" t="shared" si="321"/>
        <v>450</v>
      </c>
      <c r="AL367" s="83">
        <f ca="1" t="shared" ref="AL367:AQ367" si="378">IF($C367&gt;OFFSET($Q$9,MATCH(AL$338,$AK$338:$AQ$338,0),0),OFFSET($P$9,MATCH(AL$338,$AK$338:$AQ$338,0),0),MAX(0,$C367-OFFSET($Q$9,RIGHT(AL$338,1)-1,0)))</f>
        <v>909</v>
      </c>
      <c r="AM367" s="83">
        <f ca="1" t="shared" si="378"/>
        <v>1818</v>
      </c>
      <c r="AN367" s="83">
        <f ca="1" t="shared" si="378"/>
        <v>1339</v>
      </c>
      <c r="AO367" s="83">
        <f ca="1" t="shared" si="378"/>
        <v>0</v>
      </c>
      <c r="AP367" s="83">
        <f ca="1" t="shared" si="378"/>
        <v>0</v>
      </c>
      <c r="AQ367" s="83">
        <f ca="1" t="shared" si="378"/>
        <v>0</v>
      </c>
      <c r="AS367" s="52">
        <v>29</v>
      </c>
      <c r="AT367" s="52">
        <v>2510</v>
      </c>
      <c r="AU367" s="52">
        <v>2510</v>
      </c>
      <c r="AV367" s="52">
        <v>2270</v>
      </c>
      <c r="AW367" s="52">
        <v>1730</v>
      </c>
    </row>
    <row r="368" ht="16.5" spans="2:49">
      <c r="B368" s="65">
        <v>30</v>
      </c>
      <c r="C368" s="80">
        <f t="shared" si="319"/>
        <v>4626</v>
      </c>
      <c r="D368" s="81" cm="1">
        <f ca="1" t="array" ref="D368">IF(D670=1,OFFSET($Z$338,$B368,D$335-1)/SUMPRODUCT(--($D$335:$V$335=D$335),--($D670:$V670=1)),0)+SUM(D367)+IF(COUNTIF(D$641:D670,1)=1,5,0)+IF(COUNTIF(E368:$Z368,"&gt;"&amp;0)&gt;5,IF(MOD(COUNTIF(D$641:D670,1),7)=0,$C$4,0),0)</f>
        <v>508.046314829687</v>
      </c>
      <c r="E368" s="81" cm="1">
        <f ca="1" t="array" ref="E368">IF(E670=1,OFFSET($Z$338,$B368,E$335-1)/SUMPRODUCT(--($D$335:$V$335=E$335),--($D670:$V670=1)),0)+SUM(E367)+IF(COUNTIF(E$641:E670,1)=1,5,0)+IF(COUNTIF(F368:$Z368,"&gt;"&amp;0)&gt;5,IF(MOD(COUNTIF(E$641:E670,1),7)=0,$C$4,0),0)</f>
        <v>508.046314829687</v>
      </c>
      <c r="F368" s="81" cm="1">
        <f ca="1" t="array" ref="F368">IF(F670=1,OFFSET($Z$338,$B368,F$335-1)/SUMPRODUCT(--($D$335:$V$335=F$335),--($D670:$V670=1)),0)+SUM(F367)+IF(COUNTIF(F$641:F670,1)=1,5,0)+IF(COUNTIF(G368:$Z368,"&gt;"&amp;0)&gt;5,IF(MOD(COUNTIF(F$641:F670,1),7)=0,$C$4,0),0)</f>
        <v>508.046314829687</v>
      </c>
      <c r="G368" s="81" cm="1">
        <f ca="1" t="array" ref="G368">IF(G670=1,OFFSET($Z$338,$B368,G$335-1)/SUMPRODUCT(--($D$335:$V$335=G$335),--($D670:$V670=1)),0)+SUM(G367)+IF(COUNTIF(G$641:G670,1)=1,5,0)+IF(COUNTIF(H368:$Z368,"&gt;"&amp;0)&gt;5,IF(MOD(COUNTIF(G$641:G670,1),7)=0,$C$4,0),0)</f>
        <v>132.856666666667</v>
      </c>
      <c r="H368" s="81" cm="1">
        <f ca="1" t="array" ref="H368">IF(H670=1,OFFSET($Z$338,$B368,H$335-1)/SUMPRODUCT(--($D$335:$V$335=H$335),--($D670:$V670=1)),0)+SUM(H367)+IF(COUNTIF(H$641:H670,1)=1,5,0)+IF(COUNTIF(I368:$Z368,"&gt;"&amp;0)&gt;5,IF(MOD(COUNTIF(H$641:H670,1),7)=0,$C$4,0),0)</f>
        <v>132.856666666667</v>
      </c>
      <c r="I368" s="81" cm="1">
        <f ca="1" t="array" ref="I368">IF(I670=1,OFFSET($Z$338,$B368,I$335-1)/SUMPRODUCT(--($D$335:$V$335=I$335),--($D670:$V670=1)),0)+SUM(I367)+IF(COUNTIF(I$641:I670,1)=1,5,0)+IF(COUNTIF(J368:$Z368,"&gt;"&amp;0)&gt;5,IF(MOD(COUNTIF(I$641:I670,1),7)=0,$C$4,0),0)</f>
        <v>132.856666666667</v>
      </c>
      <c r="J368" s="81" cm="1">
        <f ca="1" t="array" ref="J368">IF(J670=1,OFFSET($Z$338,$B368,J$335-1)/SUMPRODUCT(--($D$335:$V$335=J$335),--($D670:$V670=1)),0)+SUM(J367)+IF(COUNTIF(J$641:J670,1)=1,5,0)+IF(COUNTIF(K368:$Z368,"&gt;"&amp;0)&gt;5,IF(MOD(COUNTIF(J$641:J670,1),7)=0,$C$4,0),0)</f>
        <v>132.856666666667</v>
      </c>
      <c r="K368" s="81" cm="1">
        <f ca="1" t="array" ref="K368">IF(K670=1,OFFSET($Z$338,$B368,K$335-1)/SUMPRODUCT(--($D$335:$V$335=K$335),--($D670:$V670=1)),0)+SUM(K367)+IF(COUNTIF(K$641:K670,1)=1,5,0)+IF(COUNTIF(L368:$Z368,"&gt;"&amp;0)&gt;5,IF(MOD(COUNTIF(K$641:K670,1),7)=0,$C$4,0),0)</f>
        <v>132.856666666667</v>
      </c>
      <c r="L368" s="81" cm="1">
        <f ca="1" t="array" ref="L368">IF(L670=1,OFFSET($Z$338,$B368,L$335-1)/SUMPRODUCT(--($D$335:$V$335=L$335),--($D670:$V670=1)),0)+SUM(L367)+IF(COUNTIF(L$641:L670,1)=1,5,0)+IF(COUNTIF(M368:$Z368,"&gt;"&amp;0)&gt;5,IF(MOD(COUNTIF(L$641:L670,1),7)=0,$C$4,0),0)</f>
        <v>126.156666666667</v>
      </c>
      <c r="M368" s="81" cm="1">
        <f ca="1" t="array" ref="M368">IF(M670=1,OFFSET($Z$338,$B368,M$335-1)/SUMPRODUCT(--($D$335:$V$335=M$335),--($D670:$V670=1)),0)+SUM(M367)+IF(COUNTIF(M$641:M670,1)=1,5,0)+IF(COUNTIF(N368:$Z368,"&gt;"&amp;0)&gt;5,IF(MOD(COUNTIF(M$641:M670,1),7)=0,$C$4,0),0)</f>
        <v>58.2069642857143</v>
      </c>
      <c r="N368" s="81" cm="1">
        <f ca="1" t="array" ref="N368">IF(N670=1,OFFSET($Z$338,$B368,N$335-1)/SUMPRODUCT(--($D$335:$V$335=N$335),--($D670:$V670=1)),0)+SUM(N367)+IF(COUNTIF(N$641:N670,1)=1,5,0)+IF(COUNTIF(O368:$Z368,"&gt;"&amp;0)&gt;5,IF(MOD(COUNTIF(N$641:N670,1),7)=0,$C$4,0),0)</f>
        <v>50.4819642857143</v>
      </c>
      <c r="O368" s="81" cm="1">
        <f ca="1" t="array" ref="O368">IF(O670=1,OFFSET($Z$338,$B368,O$335-1)/SUMPRODUCT(--($D$335:$V$335=O$335),--($D670:$V670=1)),0)+SUM(O367)+IF(COUNTIF(O$641:O670,1)=1,5,0)+IF(COUNTIF(P368:$Z368,"&gt;"&amp;0)&gt;5,IF(MOD(COUNTIF(O$641:O670,1),7)=0,$C$4,0),0)</f>
        <v>43.0569642857143</v>
      </c>
      <c r="P368" s="81" cm="1">
        <f ca="1" t="array" ref="P368">IF(P670=1,OFFSET($Z$338,$B368,P$335-1)/SUMPRODUCT(--($D$335:$V$335=P$335),--($D670:$V670=1)),0)+SUM(P367)+IF(COUNTIF(P$641:P670,1)=1,5,0)+IF(COUNTIF(Q368:$Z368,"&gt;"&amp;0)&gt;5,IF(MOD(COUNTIF(P$641:P670,1),7)=0,$C$4,0),0)</f>
        <v>40.1236309523809</v>
      </c>
      <c r="Q368" s="81" cm="1">
        <f ca="1" t="array" ref="Q368">IF(Q670=1,OFFSET($Z$338,$B368,Q$335-1)/SUMPRODUCT(--($D$335:$V$335=Q$335),--($D670:$V670=1)),0)+SUM(Q367)+IF(COUNTIF(Q$641:Q670,1)=1,5,0)+IF(COUNTIF(R368:$Z368,"&gt;"&amp;0)&gt;5,IF(MOD(COUNTIF(Q$641:Q670,1),7)=0,$C$4,0),0)</f>
        <v>39.217380952381</v>
      </c>
      <c r="R368" s="81" cm="1">
        <f ca="1" t="array" ref="R368">IF(R670=1,OFFSET($Z$338,$B368,R$335-1)/SUMPRODUCT(--($D$335:$V$335=R$335),--($D670:$V670=1)),0)+SUM(R367)+IF(COUNTIF(R$641:R670,1)=1,5,0)+IF(COUNTIF(S368:$Z368,"&gt;"&amp;0)&gt;5,IF(MOD(COUNTIF(R$641:R670,1),7)=0,$C$4,0),0)</f>
        <v>24.322380952381</v>
      </c>
      <c r="S368" s="81" cm="1">
        <f ca="1" t="array" ref="S368">IF(S670=1,OFFSET($Z$338,$B368,S$335-1)/SUMPRODUCT(--($D$335:$V$335=S$335),--($D670:$V670=1)),0)+SUM(S367)+IF(COUNTIF(S$641:S670,1)=1,5,0)+IF(COUNTIF(T368:$Z368,"&gt;"&amp;0)&gt;5,IF(MOD(COUNTIF(S$641:S670,1),7)=0,$C$4,0),0)</f>
        <v>20.1557142857143</v>
      </c>
      <c r="T368" s="81" cm="1">
        <f ca="1" t="array" ref="T368">IF(T670=1,OFFSET($Z$338,$B368,T$335-1)/SUMPRODUCT(--($D$335:$V$335=T$335),--($D670:$V670=1)),0)+SUM(T367)+IF(COUNTIF(T$641:T670,1)=1,5,0)+IF(COUNTIF(U368:$Z368,"&gt;"&amp;0)&gt;5,IF(MOD(COUNTIF(T$641:T670,1),7)=0,$C$4,0),0)</f>
        <v>15.2712915667408</v>
      </c>
      <c r="U368" s="81" cm="1">
        <f ca="1" t="array" ref="U368">IF(U670=1,OFFSET($Z$338,$B368,U$335-1)/SUMPRODUCT(--($D$335:$V$335=U$335),--($D670:$V670=1)),0)+SUM(U367)+IF(COUNTIF(U$641:U670,1)=1,5,0)+IF(COUNTIF(V368:$Z368,"&gt;"&amp;0)&gt;5,IF(MOD(COUNTIF(U$641:U670,1),7)=0,$C$4,0),0)</f>
        <v>15.2712915667408</v>
      </c>
      <c r="V368" s="81" cm="1">
        <f ca="1" t="array" ref="V368">IF(V670=1,OFFSET($Z$338,$B368,V$335-1)/SUMPRODUCT(--($D$335:$V$335=V$335),--($D670:$V670=1)),0)+SUM(V367)+IF(COUNTIF(V$641:V670,1)=1,5,0)+IF(COUNTIF(Z368:$Z368,"&gt;"&amp;0)&gt;5,IF(MOD(COUNTIF(V$641:V670,1),7)=0,$C$4,0),0)</f>
        <v>7.31347237745889</v>
      </c>
      <c r="W368" s="81" cm="1">
        <f ca="1" t="array" ref="W368">IF(W670=1,OFFSET($Z$338,$B368,W$335-1)/SUMPRODUCT(--($D$335:$V$335=W$335),--($D670:$V670=1)),0)+SUM(W367)+IF(COUNTIF(W$641:W670,1)=1,5,0)+IF(COUNTIF($Z368:AA368,"&gt;"&amp;0)&gt;5,IF(MOD(COUNTIF(W$641:W670,1),7)=0,$C$4,0),0)</f>
        <v>0</v>
      </c>
      <c r="X368" s="81" cm="1">
        <f ca="1" t="array" ref="X368">IF(X670=1,OFFSET($Z$338,$B368,X$335-1)/SUMPRODUCT(--($D$335:$V$335=X$335),--($D670:$V670=1)),0)+SUM(X367)+IF(COUNTIF(X$641:X670,1)=1,5,0)+IF(COUNTIF($Z368:AB368,"&gt;"&amp;0)&gt;5,IF(MOD(COUNTIF(X$641:X670,1),7)=0,$C$4,0),0)</f>
        <v>0</v>
      </c>
      <c r="Y368" s="81" cm="1">
        <f ca="1" t="array" ref="Y368">IF(Y670=1,OFFSET($Z$338,$B368,Y$335-1)/SUMPRODUCT(--($D$335:$V$335=Y$335),--($D670:$V670=1)),0)+SUM(Y367)+IF(COUNTIF(Y$641:Y670,1)=1,5,0)+IF(COUNTIF($Z368:AC368,"&gt;"&amp;0)&gt;5,IF(MOD(COUNTIF(Y$641:Y670,1),7)=0,$C$4,0),0)</f>
        <v>0</v>
      </c>
      <c r="Z368" s="82" cm="1">
        <f ca="1" t="array" ref="Z368">SUMPRODUCT(TRANSPOSE($AD368:$AJ368),OFFSET($L$10:$L$16,0,Z$335-1))</f>
        <v>29.0648957169058</v>
      </c>
      <c r="AA368" s="82" cm="1">
        <f ca="1" t="array" ref="AA368">SUMPRODUCT(TRANSPOSE($AD368:$AJ368),OFFSET($L$10:$L$16,0,AA$335-1))</f>
        <v>17.6</v>
      </c>
      <c r="AB368" s="82" cm="1">
        <f ca="1" t="array" ref="AB368">SUMPRODUCT(TRANSPOSE($AD368:$AJ368),OFFSET($L$10:$L$16,0,AB$335-1))</f>
        <v>6.6</v>
      </c>
      <c r="AC368" s="82" cm="1">
        <f ca="1" t="array" ref="AC368">SUMPRODUCT(TRANSPOSE($AD368:$AJ368),OFFSET($L$10:$L$16,0,AC$335-1))</f>
        <v>1.73510428309417</v>
      </c>
      <c r="AD368" s="83">
        <f ca="1" t="shared" ref="AD368:AJ368" si="379">AK368-AK367</f>
        <v>0</v>
      </c>
      <c r="AE368" s="83">
        <f ca="1" t="shared" si="379"/>
        <v>0</v>
      </c>
      <c r="AF368" s="83">
        <f ca="1" t="shared" si="379"/>
        <v>0</v>
      </c>
      <c r="AG368" s="83">
        <f ca="1" t="shared" si="379"/>
        <v>110</v>
      </c>
      <c r="AH368" s="83">
        <f ca="1" t="shared" si="379"/>
        <v>0</v>
      </c>
      <c r="AI368" s="83">
        <f ca="1" t="shared" si="379"/>
        <v>0</v>
      </c>
      <c r="AJ368" s="83">
        <f ca="1" t="shared" si="379"/>
        <v>0</v>
      </c>
      <c r="AK368" s="83">
        <f ca="1" t="shared" si="321"/>
        <v>450</v>
      </c>
      <c r="AL368" s="83">
        <f ca="1" t="shared" ref="AL368:AQ368" si="380">IF($C368&gt;OFFSET($Q$9,MATCH(AL$338,$AK$338:$AQ$338,0),0),OFFSET($P$9,MATCH(AL$338,$AK$338:$AQ$338,0),0),MAX(0,$C368-OFFSET($Q$9,RIGHT(AL$338,1)-1,0)))</f>
        <v>909</v>
      </c>
      <c r="AM368" s="83">
        <f ca="1" t="shared" si="380"/>
        <v>1818</v>
      </c>
      <c r="AN368" s="83">
        <f ca="1" t="shared" si="380"/>
        <v>1449</v>
      </c>
      <c r="AO368" s="83">
        <f ca="1" t="shared" si="380"/>
        <v>0</v>
      </c>
      <c r="AP368" s="83">
        <f ca="1" t="shared" si="380"/>
        <v>0</v>
      </c>
      <c r="AQ368" s="83">
        <f ca="1" t="shared" si="380"/>
        <v>0</v>
      </c>
      <c r="AS368" s="52">
        <v>30</v>
      </c>
      <c r="AT368" s="52">
        <v>2750</v>
      </c>
      <c r="AU368" s="52">
        <v>2750</v>
      </c>
      <c r="AV368" s="52">
        <v>2450</v>
      </c>
      <c r="AW368" s="52">
        <v>1850</v>
      </c>
    </row>
    <row r="369" ht="16.5" spans="2:49">
      <c r="B369" s="65">
        <v>31</v>
      </c>
      <c r="C369" s="80">
        <f t="shared" si="319"/>
        <v>4736</v>
      </c>
      <c r="D369" s="81" cm="1">
        <f ca="1" t="array" ref="D369">IF(D671=1,OFFSET($Z$338,$B369,D$335-1)/SUMPRODUCT(--($D$335:$V$335=D$335),--($D671:$V671=1)),0)+SUM(D368)+IF(COUNTIF(D$641:D671,1)=1,5,0)+IF(COUNTIF(E369:$Z369,"&gt;"&amp;0)&gt;5,IF(MOD(COUNTIF(D$641:D671,1),7)=0,$C$4,0),0)</f>
        <v>517.734613401988</v>
      </c>
      <c r="E369" s="81" cm="1">
        <f ca="1" t="array" ref="E369">IF(E671=1,OFFSET($Z$338,$B369,E$335-1)/SUMPRODUCT(--($D$335:$V$335=E$335),--($D671:$V671=1)),0)+SUM(E368)+IF(COUNTIF(E$641:E671,1)=1,5,0)+IF(COUNTIF(F369:$Z369,"&gt;"&amp;0)&gt;5,IF(MOD(COUNTIF(E$641:E671,1),7)=0,$C$4,0),0)</f>
        <v>517.734613401988</v>
      </c>
      <c r="F369" s="81" cm="1">
        <f ca="1" t="array" ref="F369">IF(F671=1,OFFSET($Z$338,$B369,F$335-1)/SUMPRODUCT(--($D$335:$V$335=F$335),--($D671:$V671=1)),0)+SUM(F368)+IF(COUNTIF(F$641:F671,1)=1,5,0)+IF(COUNTIF(G369:$Z369,"&gt;"&amp;0)&gt;5,IF(MOD(COUNTIF(F$641:F671,1),7)=0,$C$4,0),0)</f>
        <v>517.734613401988</v>
      </c>
      <c r="G369" s="81" cm="1">
        <f ca="1" t="array" ref="G369">IF(G671=1,OFFSET($Z$338,$B369,G$335-1)/SUMPRODUCT(--($D$335:$V$335=G$335),--($D671:$V671=1)),0)+SUM(G368)+IF(COUNTIF(G$641:G671,1)=1,5,0)+IF(COUNTIF(H369:$Z369,"&gt;"&amp;0)&gt;5,IF(MOD(COUNTIF(G$641:G671,1),7)=0,$C$4,0),0)</f>
        <v>135.79</v>
      </c>
      <c r="H369" s="81" cm="1">
        <f ca="1" t="array" ref="H369">IF(H671=1,OFFSET($Z$338,$B369,H$335-1)/SUMPRODUCT(--($D$335:$V$335=H$335),--($D671:$V671=1)),0)+SUM(H368)+IF(COUNTIF(H$641:H671,1)=1,5,0)+IF(COUNTIF(I369:$Z369,"&gt;"&amp;0)&gt;5,IF(MOD(COUNTIF(H$641:H671,1),7)=0,$C$4,0),0)</f>
        <v>135.79</v>
      </c>
      <c r="I369" s="81" cm="1">
        <f ca="1" t="array" ref="I369">IF(I671=1,OFFSET($Z$338,$B369,I$335-1)/SUMPRODUCT(--($D$335:$V$335=I$335),--($D671:$V671=1)),0)+SUM(I368)+IF(COUNTIF(I$641:I671,1)=1,5,0)+IF(COUNTIF(J369:$Z369,"&gt;"&amp;0)&gt;5,IF(MOD(COUNTIF(I$641:I671,1),7)=0,$C$4,0),0)</f>
        <v>135.79</v>
      </c>
      <c r="J369" s="81" cm="1">
        <f ca="1" t="array" ref="J369">IF(J671=1,OFFSET($Z$338,$B369,J$335-1)/SUMPRODUCT(--($D$335:$V$335=J$335),--($D671:$V671=1)),0)+SUM(J368)+IF(COUNTIF(J$641:J671,1)=1,5,0)+IF(COUNTIF(K369:$Z369,"&gt;"&amp;0)&gt;5,IF(MOD(COUNTIF(J$641:J671,1),7)=0,$C$4,0),0)</f>
        <v>135.79</v>
      </c>
      <c r="K369" s="81" cm="1">
        <f ca="1" t="array" ref="K369">IF(K671=1,OFFSET($Z$338,$B369,K$335-1)/SUMPRODUCT(--($D$335:$V$335=K$335),--($D671:$V671=1)),0)+SUM(K368)+IF(COUNTIF(K$641:K671,1)=1,5,0)+IF(COUNTIF(L369:$Z369,"&gt;"&amp;0)&gt;5,IF(MOD(COUNTIF(K$641:K671,1),7)=0,$C$4,0),0)</f>
        <v>135.79</v>
      </c>
      <c r="L369" s="81" cm="1">
        <f ca="1" t="array" ref="L369">IF(L671=1,OFFSET($Z$338,$B369,L$335-1)/SUMPRODUCT(--($D$335:$V$335=L$335),--($D671:$V671=1)),0)+SUM(L368)+IF(COUNTIF(L$641:L671,1)=1,5,0)+IF(COUNTIF(M369:$Z369,"&gt;"&amp;0)&gt;5,IF(MOD(COUNTIF(L$641:L671,1),7)=0,$C$4,0),0)</f>
        <v>129.09</v>
      </c>
      <c r="M369" s="81" cm="1">
        <f ca="1" t="array" ref="M369">IF(M671=1,OFFSET($Z$338,$B369,M$335-1)/SUMPRODUCT(--($D$335:$V$335=M$335),--($D671:$V671=1)),0)+SUM(M368)+IF(COUNTIF(M$641:M671,1)=1,5,0)+IF(COUNTIF(N369:$Z369,"&gt;"&amp;0)&gt;5,IF(MOD(COUNTIF(M$641:M671,1),7)=0,$C$4,0),0)</f>
        <v>59.1498214285714</v>
      </c>
      <c r="N369" s="81" cm="1">
        <f ca="1" t="array" ref="N369">IF(N671=1,OFFSET($Z$338,$B369,N$335-1)/SUMPRODUCT(--($D$335:$V$335=N$335),--($D671:$V671=1)),0)+SUM(N368)+IF(COUNTIF(N$641:N671,1)=1,5,0)+IF(COUNTIF(O369:$Z369,"&gt;"&amp;0)&gt;5,IF(MOD(COUNTIF(N$641:N671,1),7)=0,$C$4,0),0)</f>
        <v>51.4248214285714</v>
      </c>
      <c r="O369" s="81" cm="1">
        <f ca="1" t="array" ref="O369">IF(O671=1,OFFSET($Z$338,$B369,O$335-1)/SUMPRODUCT(--($D$335:$V$335=O$335),--($D671:$V671=1)),0)+SUM(O368)+IF(COUNTIF(O$641:O671,1)=1,5,0)+IF(COUNTIF(P369:$Z369,"&gt;"&amp;0)&gt;5,IF(MOD(COUNTIF(O$641:O671,1),7)=0,$C$4,0),0)</f>
        <v>48.9998214285714</v>
      </c>
      <c r="P369" s="81" cm="1">
        <f ca="1" t="array" ref="P369">IF(P671=1,OFFSET($Z$338,$B369,P$335-1)/SUMPRODUCT(--($D$335:$V$335=P$335),--($D671:$V671=1)),0)+SUM(P368)+IF(COUNTIF(P$641:P671,1)=1,5,0)+IF(COUNTIF(Q369:$Z369,"&gt;"&amp;0)&gt;5,IF(MOD(COUNTIF(P$641:P671,1),7)=0,$C$4,0),0)</f>
        <v>41.0664880952381</v>
      </c>
      <c r="Q369" s="81" cm="1">
        <f ca="1" t="array" ref="Q369">IF(Q671=1,OFFSET($Z$338,$B369,Q$335-1)/SUMPRODUCT(--($D$335:$V$335=Q$335),--($D671:$V671=1)),0)+SUM(Q368)+IF(COUNTIF(Q$641:Q671,1)=1,5,0)+IF(COUNTIF(R369:$Z369,"&gt;"&amp;0)&gt;5,IF(MOD(COUNTIF(Q$641:Q671,1),7)=0,$C$4,0),0)</f>
        <v>40.1602380952381</v>
      </c>
      <c r="R369" s="81" cm="1">
        <f ca="1" t="array" ref="R369">IF(R671=1,OFFSET($Z$338,$B369,R$335-1)/SUMPRODUCT(--($D$335:$V$335=R$335),--($D671:$V671=1)),0)+SUM(R368)+IF(COUNTIF(R$641:R671,1)=1,5,0)+IF(COUNTIF(S369:$Z369,"&gt;"&amp;0)&gt;5,IF(MOD(COUNTIF(R$641:R671,1),7)=0,$C$4,0),0)</f>
        <v>25.2652380952381</v>
      </c>
      <c r="S369" s="81" cm="1">
        <f ca="1" t="array" ref="S369">IF(S671=1,OFFSET($Z$338,$B369,S$335-1)/SUMPRODUCT(--($D$335:$V$335=S$335),--($D671:$V671=1)),0)+SUM(S368)+IF(COUNTIF(S$641:S671,1)=1,5,0)+IF(COUNTIF(T369:$Z369,"&gt;"&amp;0)&gt;5,IF(MOD(COUNTIF(S$641:S671,1),7)=0,$C$4,0),0)</f>
        <v>21.0985714285714</v>
      </c>
      <c r="T369" s="81" cm="1">
        <f ca="1" t="array" ref="T369">IF(T671=1,OFFSET($Z$338,$B369,T$335-1)/SUMPRODUCT(--($D$335:$V$335=T$335),--($D671:$V671=1)),0)+SUM(T368)+IF(COUNTIF(T$641:T671,1)=1,5,0)+IF(COUNTIF(U369:$Z369,"&gt;"&amp;0)&gt;5,IF(MOD(COUNTIF(T$641:T671,1),7)=0,$C$4,0),0)</f>
        <v>15.8496596611055</v>
      </c>
      <c r="U369" s="81" cm="1">
        <f ca="1" t="array" ref="U369">IF(U671=1,OFFSET($Z$338,$B369,U$335-1)/SUMPRODUCT(--($D$335:$V$335=U$335),--($D671:$V671=1)),0)+SUM(U368)+IF(COUNTIF(U$641:U671,1)=1,5,0)+IF(COUNTIF(V369:$Z369,"&gt;"&amp;0)&gt;5,IF(MOD(COUNTIF(U$641:U671,1),7)=0,$C$4,0),0)</f>
        <v>15.8496596611055</v>
      </c>
      <c r="V369" s="81" cm="1">
        <f ca="1" t="array" ref="V369">IF(V671=1,OFFSET($Z$338,$B369,V$335-1)/SUMPRODUCT(--($D$335:$V$335=V$335),--($D671:$V671=1)),0)+SUM(V368)+IF(COUNTIF(V$641:V671,1)=1,5,0)+IF(COUNTIF(Z369:$Z369,"&gt;"&amp;0)&gt;5,IF(MOD(COUNTIF(V$641:V671,1),7)=0,$C$4,0),0)</f>
        <v>7.89184047182362</v>
      </c>
      <c r="W369" s="81" cm="1">
        <f ca="1" t="array" ref="W369">IF(W671=1,OFFSET($Z$338,$B369,W$335-1)/SUMPRODUCT(--($D$335:$V$335=W$335),--($D671:$V671=1)),0)+SUM(W368)+IF(COUNTIF(W$641:W671,1)=1,5,0)+IF(COUNTIF($Z369:AA369,"&gt;"&amp;0)&gt;5,IF(MOD(COUNTIF(W$641:W671,1),7)=0,$C$4,0),0)</f>
        <v>0</v>
      </c>
      <c r="X369" s="81" cm="1">
        <f ca="1" t="array" ref="X369">IF(X671=1,OFFSET($Z$338,$B369,X$335-1)/SUMPRODUCT(--($D$335:$V$335=X$335),--($D671:$V671=1)),0)+SUM(X368)+IF(COUNTIF(X$641:X671,1)=1,5,0)+IF(COUNTIF($Z369:AB369,"&gt;"&amp;0)&gt;5,IF(MOD(COUNTIF(X$641:X671,1),7)=0,$C$4,0),0)</f>
        <v>0</v>
      </c>
      <c r="Y369" s="81" cm="1">
        <f ca="1" t="array" ref="Y369">IF(Y671=1,OFFSET($Z$338,$B369,Y$335-1)/SUMPRODUCT(--($D$335:$V$335=Y$335),--($D671:$V671=1)),0)+SUM(Y368)+IF(COUNTIF(Y$641:Y671,1)=1,5,0)+IF(COUNTIF($Z369:AC369,"&gt;"&amp;0)&gt;5,IF(MOD(COUNTIF(Y$641:Y671,1),7)=0,$C$4,0),0)</f>
        <v>0</v>
      </c>
      <c r="Z369" s="82" cm="1">
        <f ca="1" t="array" ref="Z369">SUMPRODUCT(TRANSPOSE($AD369:$AJ369),OFFSET($L$10:$L$16,0,Z$335-1))</f>
        <v>29.0648957169058</v>
      </c>
      <c r="AA369" s="82" cm="1">
        <f ca="1" t="array" ref="AA369">SUMPRODUCT(TRANSPOSE($AD369:$AJ369),OFFSET($L$10:$L$16,0,AA$335-1))</f>
        <v>17.6</v>
      </c>
      <c r="AB369" s="82" cm="1">
        <f ca="1" t="array" ref="AB369">SUMPRODUCT(TRANSPOSE($AD369:$AJ369),OFFSET($L$10:$L$16,0,AB$335-1))</f>
        <v>6.6</v>
      </c>
      <c r="AC369" s="82" cm="1">
        <f ca="1" t="array" ref="AC369">SUMPRODUCT(TRANSPOSE($AD369:$AJ369),OFFSET($L$10:$L$16,0,AC$335-1))</f>
        <v>1.73510428309417</v>
      </c>
      <c r="AD369" s="83">
        <f ca="1" t="shared" ref="AD369:AJ369" si="381">AK369-AK368</f>
        <v>0</v>
      </c>
      <c r="AE369" s="83">
        <f ca="1" t="shared" si="381"/>
        <v>0</v>
      </c>
      <c r="AF369" s="83">
        <f ca="1" t="shared" si="381"/>
        <v>0</v>
      </c>
      <c r="AG369" s="83">
        <f ca="1" t="shared" si="381"/>
        <v>110</v>
      </c>
      <c r="AH369" s="83">
        <f ca="1" t="shared" si="381"/>
        <v>0</v>
      </c>
      <c r="AI369" s="83">
        <f ca="1" t="shared" si="381"/>
        <v>0</v>
      </c>
      <c r="AJ369" s="83">
        <f ca="1" t="shared" si="381"/>
        <v>0</v>
      </c>
      <c r="AK369" s="83">
        <f ca="1" t="shared" si="321"/>
        <v>450</v>
      </c>
      <c r="AL369" s="83">
        <f ca="1" t="shared" ref="AL369:AQ369" si="382">IF($C369&gt;OFFSET($Q$9,MATCH(AL$338,$AK$338:$AQ$338,0),0),OFFSET($P$9,MATCH(AL$338,$AK$338:$AQ$338,0),0),MAX(0,$C369-OFFSET($Q$9,RIGHT(AL$338,1)-1,0)))</f>
        <v>909</v>
      </c>
      <c r="AM369" s="83">
        <f ca="1" t="shared" si="382"/>
        <v>1818</v>
      </c>
      <c r="AN369" s="83">
        <f ca="1" t="shared" si="382"/>
        <v>1559</v>
      </c>
      <c r="AO369" s="83">
        <f ca="1" t="shared" si="382"/>
        <v>0</v>
      </c>
      <c r="AP369" s="83">
        <f ca="1" t="shared" si="382"/>
        <v>0</v>
      </c>
      <c r="AQ369" s="83">
        <f ca="1" t="shared" si="382"/>
        <v>0</v>
      </c>
      <c r="AS369" s="52">
        <v>31</v>
      </c>
      <c r="AT369" s="52">
        <v>3230</v>
      </c>
      <c r="AU369" s="52">
        <v>3230</v>
      </c>
      <c r="AV369" s="52">
        <v>2690</v>
      </c>
      <c r="AW369" s="52">
        <v>2000</v>
      </c>
    </row>
    <row r="370" ht="16.5" spans="2:49">
      <c r="B370" s="65">
        <v>32</v>
      </c>
      <c r="C370" s="80">
        <f t="shared" si="319"/>
        <v>4846</v>
      </c>
      <c r="D370" s="81" cm="1">
        <f ca="1" t="array" ref="D370">IF(D672=1,OFFSET($Z$338,$B370,D$335-1)/SUMPRODUCT(--($D$335:$V$335=D$335),--($D672:$V672=1)),0)+SUM(D369)+IF(COUNTIF(D$641:D672,1)=1,5,0)+IF(COUNTIF(E370:$Z370,"&gt;"&amp;0)&gt;5,IF(MOD(COUNTIF(D$641:D672,1),7)=0,$C$4,0),0)</f>
        <v>527.42291197429</v>
      </c>
      <c r="E370" s="81" cm="1">
        <f ca="1" t="array" ref="E370">IF(E672=1,OFFSET($Z$338,$B370,E$335-1)/SUMPRODUCT(--($D$335:$V$335=E$335),--($D672:$V672=1)),0)+SUM(E369)+IF(COUNTIF(E$641:E672,1)=1,5,0)+IF(COUNTIF(F370:$Z370,"&gt;"&amp;0)&gt;5,IF(MOD(COUNTIF(E$641:E672,1),7)=0,$C$4,0),0)</f>
        <v>527.42291197429</v>
      </c>
      <c r="F370" s="81" cm="1">
        <f ca="1" t="array" ref="F370">IF(F672=1,OFFSET($Z$338,$B370,F$335-1)/SUMPRODUCT(--($D$335:$V$335=F$335),--($D672:$V672=1)),0)+SUM(F369)+IF(COUNTIF(F$641:F672,1)=1,5,0)+IF(COUNTIF(G370:$Z370,"&gt;"&amp;0)&gt;5,IF(MOD(COUNTIF(F$641:F672,1),7)=0,$C$4,0),0)</f>
        <v>527.42291197429</v>
      </c>
      <c r="G370" s="81" cm="1">
        <f ca="1" t="array" ref="G370">IF(G672=1,OFFSET($Z$338,$B370,G$335-1)/SUMPRODUCT(--($D$335:$V$335=G$335),--($D672:$V672=1)),0)+SUM(G369)+IF(COUNTIF(G$641:G672,1)=1,5,0)+IF(COUNTIF(H370:$Z370,"&gt;"&amp;0)&gt;5,IF(MOD(COUNTIF(G$641:G672,1),7)=0,$C$4,0),0)</f>
        <v>138.723333333333</v>
      </c>
      <c r="H370" s="81" cm="1">
        <f ca="1" t="array" ref="H370">IF(H672=1,OFFSET($Z$338,$B370,H$335-1)/SUMPRODUCT(--($D$335:$V$335=H$335),--($D672:$V672=1)),0)+SUM(H369)+IF(COUNTIF(H$641:H672,1)=1,5,0)+IF(COUNTIF(I370:$Z370,"&gt;"&amp;0)&gt;5,IF(MOD(COUNTIF(H$641:H672,1),7)=0,$C$4,0),0)</f>
        <v>138.723333333333</v>
      </c>
      <c r="I370" s="81" cm="1">
        <f ca="1" t="array" ref="I370">IF(I672=1,OFFSET($Z$338,$B370,I$335-1)/SUMPRODUCT(--($D$335:$V$335=I$335),--($D672:$V672=1)),0)+SUM(I369)+IF(COUNTIF(I$641:I672,1)=1,5,0)+IF(COUNTIF(J370:$Z370,"&gt;"&amp;0)&gt;5,IF(MOD(COUNTIF(I$641:I672,1),7)=0,$C$4,0),0)</f>
        <v>138.723333333333</v>
      </c>
      <c r="J370" s="81" cm="1">
        <f ca="1" t="array" ref="J370">IF(J672=1,OFFSET($Z$338,$B370,J$335-1)/SUMPRODUCT(--($D$335:$V$335=J$335),--($D672:$V672=1)),0)+SUM(J369)+IF(COUNTIF(J$641:J672,1)=1,5,0)+IF(COUNTIF(K370:$Z370,"&gt;"&amp;0)&gt;5,IF(MOD(COUNTIF(J$641:J672,1),7)=0,$C$4,0),0)</f>
        <v>138.723333333333</v>
      </c>
      <c r="K370" s="81" cm="1">
        <f ca="1" t="array" ref="K370">IF(K672=1,OFFSET($Z$338,$B370,K$335-1)/SUMPRODUCT(--($D$335:$V$335=K$335),--($D672:$V672=1)),0)+SUM(K369)+IF(COUNTIF(K$641:K672,1)=1,5,0)+IF(COUNTIF(L370:$Z370,"&gt;"&amp;0)&gt;5,IF(MOD(COUNTIF(K$641:K672,1),7)=0,$C$4,0),0)</f>
        <v>138.723333333333</v>
      </c>
      <c r="L370" s="81" cm="1">
        <f ca="1" t="array" ref="L370">IF(L672=1,OFFSET($Z$338,$B370,L$335-1)/SUMPRODUCT(--($D$335:$V$335=L$335),--($D672:$V672=1)),0)+SUM(L369)+IF(COUNTIF(L$641:L672,1)=1,5,0)+IF(COUNTIF(M370:$Z370,"&gt;"&amp;0)&gt;5,IF(MOD(COUNTIF(L$641:L672,1),7)=0,$C$4,0),0)</f>
        <v>132.023333333333</v>
      </c>
      <c r="M370" s="81" cm="1">
        <f ca="1" t="array" ref="M370">IF(M672=1,OFFSET($Z$338,$B370,M$335-1)/SUMPRODUCT(--($D$335:$V$335=M$335),--($D672:$V672=1)),0)+SUM(M369)+IF(COUNTIF(M$641:M672,1)=1,5,0)+IF(COUNTIF(N370:$Z370,"&gt;"&amp;0)&gt;5,IF(MOD(COUNTIF(M$641:M672,1),7)=0,$C$4,0),0)</f>
        <v>60.0926785714286</v>
      </c>
      <c r="N370" s="81" cm="1">
        <f ca="1" t="array" ref="N370">IF(N672=1,OFFSET($Z$338,$B370,N$335-1)/SUMPRODUCT(--($D$335:$V$335=N$335),--($D672:$V672=1)),0)+SUM(N369)+IF(COUNTIF(N$641:N672,1)=1,5,0)+IF(COUNTIF(O370:$Z370,"&gt;"&amp;0)&gt;5,IF(MOD(COUNTIF(N$641:N672,1),7)=0,$C$4,0),0)</f>
        <v>52.3676785714286</v>
      </c>
      <c r="O370" s="81" cm="1">
        <f ca="1" t="array" ref="O370">IF(O672=1,OFFSET($Z$338,$B370,O$335-1)/SUMPRODUCT(--($D$335:$V$335=O$335),--($D672:$V672=1)),0)+SUM(O369)+IF(COUNTIF(O$641:O672,1)=1,5,0)+IF(COUNTIF(P370:$Z370,"&gt;"&amp;0)&gt;5,IF(MOD(COUNTIF(O$641:O672,1),7)=0,$C$4,0),0)</f>
        <v>49.9426785714286</v>
      </c>
      <c r="P370" s="81" cm="1">
        <f ca="1" t="array" ref="P370">IF(P672=1,OFFSET($Z$338,$B370,P$335-1)/SUMPRODUCT(--($D$335:$V$335=P$335),--($D672:$V672=1)),0)+SUM(P369)+IF(COUNTIF(P$641:P672,1)=1,5,0)+IF(COUNTIF(Q370:$Z370,"&gt;"&amp;0)&gt;5,IF(MOD(COUNTIF(P$641:P672,1),7)=0,$C$4,0),0)</f>
        <v>42.0093452380952</v>
      </c>
      <c r="Q370" s="81" cm="1">
        <f ca="1" t="array" ref="Q370">IF(Q672=1,OFFSET($Z$338,$B370,Q$335-1)/SUMPRODUCT(--($D$335:$V$335=Q$335),--($D672:$V672=1)),0)+SUM(Q369)+IF(COUNTIF(Q$641:Q672,1)=1,5,0)+IF(COUNTIF(R370:$Z370,"&gt;"&amp;0)&gt;5,IF(MOD(COUNTIF(Q$641:Q672,1),7)=0,$C$4,0),0)</f>
        <v>41.1030952380952</v>
      </c>
      <c r="R370" s="81" cm="1">
        <f ca="1" t="array" ref="R370">IF(R672=1,OFFSET($Z$338,$B370,R$335-1)/SUMPRODUCT(--($D$335:$V$335=R$335),--($D672:$V672=1)),0)+SUM(R369)+IF(COUNTIF(R$641:R672,1)=1,5,0)+IF(COUNTIF(S370:$Z370,"&gt;"&amp;0)&gt;5,IF(MOD(COUNTIF(R$641:R672,1),7)=0,$C$4,0),0)</f>
        <v>26.2080952380952</v>
      </c>
      <c r="S370" s="81" cm="1">
        <f ca="1" t="array" ref="S370">IF(S672=1,OFFSET($Z$338,$B370,S$335-1)/SUMPRODUCT(--($D$335:$V$335=S$335),--($D672:$V672=1)),0)+SUM(S369)+IF(COUNTIF(S$641:S672,1)=1,5,0)+IF(COUNTIF(T370:$Z370,"&gt;"&amp;0)&gt;5,IF(MOD(COUNTIF(S$641:S672,1),7)=0,$C$4,0),0)</f>
        <v>22.0414285714286</v>
      </c>
      <c r="T370" s="81" cm="1">
        <f ca="1" t="array" ref="T370">IF(T672=1,OFFSET($Z$338,$B370,T$335-1)/SUMPRODUCT(--($D$335:$V$335=T$335),--($D672:$V672=1)),0)+SUM(T369)+IF(COUNTIF(T$641:T672,1)=1,5,0)+IF(COUNTIF(U370:$Z370,"&gt;"&amp;0)&gt;5,IF(MOD(COUNTIF(T$641:T672,1),7)=0,$C$4,0),0)</f>
        <v>16.4280277554702</v>
      </c>
      <c r="U370" s="81" cm="1">
        <f ca="1" t="array" ref="U370">IF(U672=1,OFFSET($Z$338,$B370,U$335-1)/SUMPRODUCT(--($D$335:$V$335=U$335),--($D672:$V672=1)),0)+SUM(U369)+IF(COUNTIF(U$641:U672,1)=1,5,0)+IF(COUNTIF(V370:$Z370,"&gt;"&amp;0)&gt;5,IF(MOD(COUNTIF(U$641:U672,1),7)=0,$C$4,0),0)</f>
        <v>16.4280277554702</v>
      </c>
      <c r="V370" s="81" cm="1">
        <f ca="1" t="array" ref="V370">IF(V672=1,OFFSET($Z$338,$B370,V$335-1)/SUMPRODUCT(--($D$335:$V$335=V$335),--($D672:$V672=1)),0)+SUM(V369)+IF(COUNTIF(V$641:V672,1)=1,5,0)+IF(COUNTIF(Z370:$Z370,"&gt;"&amp;0)&gt;5,IF(MOD(COUNTIF(V$641:V672,1),7)=0,$C$4,0),0)</f>
        <v>8.47020856618834</v>
      </c>
      <c r="W370" s="81" cm="1">
        <f ca="1" t="array" ref="W370">IF(W672=1,OFFSET($Z$338,$B370,W$335-1)/SUMPRODUCT(--($D$335:$V$335=W$335),--($D672:$V672=1)),0)+SUM(W369)+IF(COUNTIF(W$641:W672,1)=1,5,0)+IF(COUNTIF($Z370:AA370,"&gt;"&amp;0)&gt;5,IF(MOD(COUNTIF(W$641:W672,1),7)=0,$C$4,0),0)</f>
        <v>0</v>
      </c>
      <c r="X370" s="81" cm="1">
        <f ca="1" t="array" ref="X370">IF(X672=1,OFFSET($Z$338,$B370,X$335-1)/SUMPRODUCT(--($D$335:$V$335=X$335),--($D672:$V672=1)),0)+SUM(X369)+IF(COUNTIF(X$641:X672,1)=1,5,0)+IF(COUNTIF($Z370:AB370,"&gt;"&amp;0)&gt;5,IF(MOD(COUNTIF(X$641:X672,1),7)=0,$C$4,0),0)</f>
        <v>0</v>
      </c>
      <c r="Y370" s="81" cm="1">
        <f ca="1" t="array" ref="Y370">IF(Y672=1,OFFSET($Z$338,$B370,Y$335-1)/SUMPRODUCT(--($D$335:$V$335=Y$335),--($D672:$V672=1)),0)+SUM(Y369)+IF(COUNTIF(Y$641:Y672,1)=1,5,0)+IF(COUNTIF($Z370:AC370,"&gt;"&amp;0)&gt;5,IF(MOD(COUNTIF(Y$641:Y672,1),7)=0,$C$4,0),0)</f>
        <v>0</v>
      </c>
      <c r="Z370" s="82" cm="1">
        <f ca="1" t="array" ref="Z370">SUMPRODUCT(TRANSPOSE($AD370:$AJ370),OFFSET($L$10:$L$16,0,Z$335-1))</f>
        <v>29.0648957169058</v>
      </c>
      <c r="AA370" s="82" cm="1">
        <f ca="1" t="array" ref="AA370">SUMPRODUCT(TRANSPOSE($AD370:$AJ370),OFFSET($L$10:$L$16,0,AA$335-1))</f>
        <v>17.6</v>
      </c>
      <c r="AB370" s="82" cm="1">
        <f ca="1" t="array" ref="AB370">SUMPRODUCT(TRANSPOSE($AD370:$AJ370),OFFSET($L$10:$L$16,0,AB$335-1))</f>
        <v>6.6</v>
      </c>
      <c r="AC370" s="82" cm="1">
        <f ca="1" t="array" ref="AC370">SUMPRODUCT(TRANSPOSE($AD370:$AJ370),OFFSET($L$10:$L$16,0,AC$335-1))</f>
        <v>1.73510428309417</v>
      </c>
      <c r="AD370" s="83">
        <f ca="1" t="shared" ref="AD370:AJ370" si="383">AK370-AK369</f>
        <v>0</v>
      </c>
      <c r="AE370" s="83">
        <f ca="1" t="shared" si="383"/>
        <v>0</v>
      </c>
      <c r="AF370" s="83">
        <f ca="1" t="shared" si="383"/>
        <v>0</v>
      </c>
      <c r="AG370" s="83">
        <f ca="1" t="shared" si="383"/>
        <v>110</v>
      </c>
      <c r="AH370" s="83">
        <f ca="1" t="shared" si="383"/>
        <v>0</v>
      </c>
      <c r="AI370" s="83">
        <f ca="1" t="shared" si="383"/>
        <v>0</v>
      </c>
      <c r="AJ370" s="83">
        <f ca="1" t="shared" si="383"/>
        <v>0</v>
      </c>
      <c r="AK370" s="83">
        <f ca="1" t="shared" si="321"/>
        <v>450</v>
      </c>
      <c r="AL370" s="83">
        <f ca="1" t="shared" ref="AL370:AQ370" si="384">IF($C370&gt;OFFSET($Q$9,MATCH(AL$338,$AK$338:$AQ$338,0),0),OFFSET($P$9,MATCH(AL$338,$AK$338:$AQ$338,0),0),MAX(0,$C370-OFFSET($Q$9,RIGHT(AL$338,1)-1,0)))</f>
        <v>909</v>
      </c>
      <c r="AM370" s="83">
        <f ca="1" t="shared" si="384"/>
        <v>1818</v>
      </c>
      <c r="AN370" s="83">
        <f ca="1" t="shared" si="384"/>
        <v>1669</v>
      </c>
      <c r="AO370" s="83">
        <f ca="1" t="shared" si="384"/>
        <v>0</v>
      </c>
      <c r="AP370" s="83">
        <f ca="1" t="shared" si="384"/>
        <v>0</v>
      </c>
      <c r="AQ370" s="83">
        <f ca="1" t="shared" si="384"/>
        <v>0</v>
      </c>
      <c r="AS370" s="52">
        <v>32</v>
      </c>
      <c r="AT370" s="52">
        <v>3710</v>
      </c>
      <c r="AU370" s="52">
        <v>3710</v>
      </c>
      <c r="AV370" s="52">
        <v>2930</v>
      </c>
      <c r="AW370" s="52">
        <v>2150</v>
      </c>
    </row>
    <row r="371" ht="16.5" spans="2:49">
      <c r="B371" s="65">
        <v>33</v>
      </c>
      <c r="C371" s="80">
        <f t="shared" si="319"/>
        <v>4956</v>
      </c>
      <c r="D371" s="81" cm="1">
        <f ca="1" t="array" ref="D371">IF(D673=1,OFFSET($Z$338,$B371,D$335-1)/SUMPRODUCT(--($D$335:$V$335=D$335),--($D673:$V673=1)),0)+SUM(D370)+IF(COUNTIF(D$641:D673,1)=1,5,0)+IF(COUNTIF(E371:$Z371,"&gt;"&amp;0)&gt;5,IF(MOD(COUNTIF(D$641:D673,1),7)=0,$C$4,0),0)</f>
        <v>537.111210546592</v>
      </c>
      <c r="E371" s="81" cm="1">
        <f ca="1" t="array" ref="E371">IF(E673=1,OFFSET($Z$338,$B371,E$335-1)/SUMPRODUCT(--($D$335:$V$335=E$335),--($D673:$V673=1)),0)+SUM(E370)+IF(COUNTIF(E$641:E673,1)=1,5,0)+IF(COUNTIF(F371:$Z371,"&gt;"&amp;0)&gt;5,IF(MOD(COUNTIF(E$641:E673,1),7)=0,$C$4,0),0)</f>
        <v>537.111210546592</v>
      </c>
      <c r="F371" s="81" cm="1">
        <f ca="1" t="array" ref="F371">IF(F673=1,OFFSET($Z$338,$B371,F$335-1)/SUMPRODUCT(--($D$335:$V$335=F$335),--($D673:$V673=1)),0)+SUM(F370)+IF(COUNTIF(F$641:F673,1)=1,5,0)+IF(COUNTIF(G371:$Z371,"&gt;"&amp;0)&gt;5,IF(MOD(COUNTIF(F$641:F673,1),7)=0,$C$4,0),0)</f>
        <v>537.111210546592</v>
      </c>
      <c r="G371" s="81" cm="1">
        <f ca="1" t="array" ref="G371">IF(G673=1,OFFSET($Z$338,$B371,G$335-1)/SUMPRODUCT(--($D$335:$V$335=G$335),--($D673:$V673=1)),0)+SUM(G370)+IF(COUNTIF(G$641:G673,1)=1,5,0)+IF(COUNTIF(H371:$Z371,"&gt;"&amp;0)&gt;5,IF(MOD(COUNTIF(G$641:G673,1),7)=0,$C$4,0),0)</f>
        <v>141.656666666667</v>
      </c>
      <c r="H371" s="81" cm="1">
        <f ca="1" t="array" ref="H371">IF(H673=1,OFFSET($Z$338,$B371,H$335-1)/SUMPRODUCT(--($D$335:$V$335=H$335),--($D673:$V673=1)),0)+SUM(H370)+IF(COUNTIF(H$641:H673,1)=1,5,0)+IF(COUNTIF(I371:$Z371,"&gt;"&amp;0)&gt;5,IF(MOD(COUNTIF(H$641:H673,1),7)=0,$C$4,0),0)</f>
        <v>141.656666666667</v>
      </c>
      <c r="I371" s="81" cm="1">
        <f ca="1" t="array" ref="I371">IF(I673=1,OFFSET($Z$338,$B371,I$335-1)/SUMPRODUCT(--($D$335:$V$335=I$335),--($D673:$V673=1)),0)+SUM(I370)+IF(COUNTIF(I$641:I673,1)=1,5,0)+IF(COUNTIF(J371:$Z371,"&gt;"&amp;0)&gt;5,IF(MOD(COUNTIF(I$641:I673,1),7)=0,$C$4,0),0)</f>
        <v>141.656666666667</v>
      </c>
      <c r="J371" s="81" cm="1">
        <f ca="1" t="array" ref="J371">IF(J673=1,OFFSET($Z$338,$B371,J$335-1)/SUMPRODUCT(--($D$335:$V$335=J$335),--($D673:$V673=1)),0)+SUM(J370)+IF(COUNTIF(J$641:J673,1)=1,5,0)+IF(COUNTIF(K371:$Z371,"&gt;"&amp;0)&gt;5,IF(MOD(COUNTIF(J$641:J673,1),7)=0,$C$4,0),0)</f>
        <v>141.656666666667</v>
      </c>
      <c r="K371" s="81" cm="1">
        <f ca="1" t="array" ref="K371">IF(K673=1,OFFSET($Z$338,$B371,K$335-1)/SUMPRODUCT(--($D$335:$V$335=K$335),--($D673:$V673=1)),0)+SUM(K370)+IF(COUNTIF(K$641:K673,1)=1,5,0)+IF(COUNTIF(L371:$Z371,"&gt;"&amp;0)&gt;5,IF(MOD(COUNTIF(K$641:K673,1),7)=0,$C$4,0),0)</f>
        <v>141.656666666667</v>
      </c>
      <c r="L371" s="81" cm="1">
        <f ca="1" t="array" ref="L371">IF(L673=1,OFFSET($Z$338,$B371,L$335-1)/SUMPRODUCT(--($D$335:$V$335=L$335),--($D673:$V673=1)),0)+SUM(L370)+IF(COUNTIF(L$641:L673,1)=1,5,0)+IF(COUNTIF(M371:$Z371,"&gt;"&amp;0)&gt;5,IF(MOD(COUNTIF(L$641:L673,1),7)=0,$C$4,0),0)</f>
        <v>134.956666666667</v>
      </c>
      <c r="M371" s="81" cm="1">
        <f ca="1" t="array" ref="M371">IF(M673=1,OFFSET($Z$338,$B371,M$335-1)/SUMPRODUCT(--($D$335:$V$335=M$335),--($D673:$V673=1)),0)+SUM(M370)+IF(COUNTIF(M$641:M673,1)=1,5,0)+IF(COUNTIF(N371:$Z371,"&gt;"&amp;0)&gt;5,IF(MOD(COUNTIF(M$641:M673,1),7)=0,$C$4,0),0)</f>
        <v>61.0355357142857</v>
      </c>
      <c r="N371" s="81" cm="1">
        <f ca="1" t="array" ref="N371">IF(N673=1,OFFSET($Z$338,$B371,N$335-1)/SUMPRODUCT(--($D$335:$V$335=N$335),--($D673:$V673=1)),0)+SUM(N370)+IF(COUNTIF(N$641:N673,1)=1,5,0)+IF(COUNTIF(O371:$Z371,"&gt;"&amp;0)&gt;5,IF(MOD(COUNTIF(N$641:N673,1),7)=0,$C$4,0),0)</f>
        <v>53.3105357142857</v>
      </c>
      <c r="O371" s="81" cm="1">
        <f ca="1" t="array" ref="O371">IF(O673=1,OFFSET($Z$338,$B371,O$335-1)/SUMPRODUCT(--($D$335:$V$335=O$335),--($D673:$V673=1)),0)+SUM(O370)+IF(COUNTIF(O$641:O673,1)=1,5,0)+IF(COUNTIF(P371:$Z371,"&gt;"&amp;0)&gt;5,IF(MOD(COUNTIF(O$641:O673,1),7)=0,$C$4,0),0)</f>
        <v>50.8855357142857</v>
      </c>
      <c r="P371" s="81" cm="1">
        <f ca="1" t="array" ref="P371">IF(P673=1,OFFSET($Z$338,$B371,P$335-1)/SUMPRODUCT(--($D$335:$V$335=P$335),--($D673:$V673=1)),0)+SUM(P370)+IF(COUNTIF(P$641:P673,1)=1,5,0)+IF(COUNTIF(Q371:$Z371,"&gt;"&amp;0)&gt;5,IF(MOD(COUNTIF(P$641:P673,1),7)=0,$C$4,0),0)</f>
        <v>47.9522023809524</v>
      </c>
      <c r="Q371" s="81" cm="1">
        <f ca="1" t="array" ref="Q371">IF(Q673=1,OFFSET($Z$338,$B371,Q$335-1)/SUMPRODUCT(--($D$335:$V$335=Q$335),--($D673:$V673=1)),0)+SUM(Q370)+IF(COUNTIF(Q$641:Q673,1)=1,5,0)+IF(COUNTIF(R371:$Z371,"&gt;"&amp;0)&gt;5,IF(MOD(COUNTIF(Q$641:Q673,1),7)=0,$C$4,0),0)</f>
        <v>42.0459523809524</v>
      </c>
      <c r="R371" s="81" cm="1">
        <f ca="1" t="array" ref="R371">IF(R673=1,OFFSET($Z$338,$B371,R$335-1)/SUMPRODUCT(--($D$335:$V$335=R$335),--($D673:$V673=1)),0)+SUM(R370)+IF(COUNTIF(R$641:R673,1)=1,5,0)+IF(COUNTIF(S371:$Z371,"&gt;"&amp;0)&gt;5,IF(MOD(COUNTIF(R$641:R673,1),7)=0,$C$4,0),0)</f>
        <v>27.1509523809524</v>
      </c>
      <c r="S371" s="81" cm="1">
        <f ca="1" t="array" ref="S371">IF(S673=1,OFFSET($Z$338,$B371,S$335-1)/SUMPRODUCT(--($D$335:$V$335=S$335),--($D673:$V673=1)),0)+SUM(S370)+IF(COUNTIF(S$641:S673,1)=1,5,0)+IF(COUNTIF(T371:$Z371,"&gt;"&amp;0)&gt;5,IF(MOD(COUNTIF(S$641:S673,1),7)=0,$C$4,0),0)</f>
        <v>22.9842857142857</v>
      </c>
      <c r="T371" s="81" cm="1">
        <f ca="1" t="array" ref="T371">IF(T673=1,OFFSET($Z$338,$B371,T$335-1)/SUMPRODUCT(--($D$335:$V$335=T$335),--($D673:$V673=1)),0)+SUM(T370)+IF(COUNTIF(T$641:T673,1)=1,5,0)+IF(COUNTIF(U371:$Z371,"&gt;"&amp;0)&gt;5,IF(MOD(COUNTIF(T$641:T673,1),7)=0,$C$4,0),0)</f>
        <v>17.006395849835</v>
      </c>
      <c r="U371" s="81" cm="1">
        <f ca="1" t="array" ref="U371">IF(U673=1,OFFSET($Z$338,$B371,U$335-1)/SUMPRODUCT(--($D$335:$V$335=U$335),--($D673:$V673=1)),0)+SUM(U370)+IF(COUNTIF(U$641:U673,1)=1,5,0)+IF(COUNTIF(V371:$Z371,"&gt;"&amp;0)&gt;5,IF(MOD(COUNTIF(U$641:U673,1),7)=0,$C$4,0),0)</f>
        <v>17.006395849835</v>
      </c>
      <c r="V371" s="81" cm="1">
        <f ca="1" t="array" ref="V371">IF(V673=1,OFFSET($Z$338,$B371,V$335-1)/SUMPRODUCT(--($D$335:$V$335=V$335),--($D673:$V673=1)),0)+SUM(V370)+IF(COUNTIF(V$641:V673,1)=1,5,0)+IF(COUNTIF(Z371:$Z371,"&gt;"&amp;0)&gt;5,IF(MOD(COUNTIF(V$641:V673,1),7)=0,$C$4,0),0)</f>
        <v>9.04857666055306</v>
      </c>
      <c r="W371" s="81" cm="1">
        <f ca="1" t="array" ref="W371">IF(W673=1,OFFSET($Z$338,$B371,W$335-1)/SUMPRODUCT(--($D$335:$V$335=W$335),--($D673:$V673=1)),0)+SUM(W370)+IF(COUNTIF(W$641:W673,1)=1,5,0)+IF(COUNTIF($Z371:AA371,"&gt;"&amp;0)&gt;5,IF(MOD(COUNTIF(W$641:W673,1),7)=0,$C$4,0),0)</f>
        <v>0</v>
      </c>
      <c r="X371" s="81" cm="1">
        <f ca="1" t="array" ref="X371">IF(X673=1,OFFSET($Z$338,$B371,X$335-1)/SUMPRODUCT(--($D$335:$V$335=X$335),--($D673:$V673=1)),0)+SUM(X370)+IF(COUNTIF(X$641:X673,1)=1,5,0)+IF(COUNTIF($Z371:AB371,"&gt;"&amp;0)&gt;5,IF(MOD(COUNTIF(X$641:X673,1),7)=0,$C$4,0),0)</f>
        <v>0</v>
      </c>
      <c r="Y371" s="81" cm="1">
        <f ca="1" t="array" ref="Y371">IF(Y673=1,OFFSET($Z$338,$B371,Y$335-1)/SUMPRODUCT(--($D$335:$V$335=Y$335),--($D673:$V673=1)),0)+SUM(Y370)+IF(COUNTIF(Y$641:Y673,1)=1,5,0)+IF(COUNTIF($Z371:AC371,"&gt;"&amp;0)&gt;5,IF(MOD(COUNTIF(Y$641:Y673,1),7)=0,$C$4,0),0)</f>
        <v>0</v>
      </c>
      <c r="Z371" s="82" cm="1">
        <f ca="1" t="array" ref="Z371">SUMPRODUCT(TRANSPOSE($AD371:$AJ371),OFFSET($L$10:$L$16,0,Z$335-1))</f>
        <v>29.0648957169058</v>
      </c>
      <c r="AA371" s="82" cm="1">
        <f ca="1" t="array" ref="AA371">SUMPRODUCT(TRANSPOSE($AD371:$AJ371),OFFSET($L$10:$L$16,0,AA$335-1))</f>
        <v>17.6</v>
      </c>
      <c r="AB371" s="82" cm="1">
        <f ca="1" t="array" ref="AB371">SUMPRODUCT(TRANSPOSE($AD371:$AJ371),OFFSET($L$10:$L$16,0,AB$335-1))</f>
        <v>6.6</v>
      </c>
      <c r="AC371" s="82" cm="1">
        <f ca="1" t="array" ref="AC371">SUMPRODUCT(TRANSPOSE($AD371:$AJ371),OFFSET($L$10:$L$16,0,AC$335-1))</f>
        <v>1.73510428309417</v>
      </c>
      <c r="AD371" s="83">
        <f ca="1" t="shared" ref="AD371:AJ371" si="385">AK371-AK370</f>
        <v>0</v>
      </c>
      <c r="AE371" s="83">
        <f ca="1" t="shared" si="385"/>
        <v>0</v>
      </c>
      <c r="AF371" s="83">
        <f ca="1" t="shared" si="385"/>
        <v>0</v>
      </c>
      <c r="AG371" s="83">
        <f ca="1" t="shared" si="385"/>
        <v>110</v>
      </c>
      <c r="AH371" s="83">
        <f ca="1" t="shared" si="385"/>
        <v>0</v>
      </c>
      <c r="AI371" s="83">
        <f ca="1" t="shared" si="385"/>
        <v>0</v>
      </c>
      <c r="AJ371" s="83">
        <f ca="1" t="shared" si="385"/>
        <v>0</v>
      </c>
      <c r="AK371" s="83">
        <f ca="1" t="shared" si="321"/>
        <v>450</v>
      </c>
      <c r="AL371" s="83">
        <f ca="1" t="shared" ref="AL371:AQ371" si="386">IF($C371&gt;OFFSET($Q$9,MATCH(AL$338,$AK$338:$AQ$338,0),0),OFFSET($P$9,MATCH(AL$338,$AK$338:$AQ$338,0),0),MAX(0,$C371-OFFSET($Q$9,RIGHT(AL$338,1)-1,0)))</f>
        <v>909</v>
      </c>
      <c r="AM371" s="83">
        <f ca="1" t="shared" si="386"/>
        <v>1818</v>
      </c>
      <c r="AN371" s="83">
        <f ca="1" t="shared" si="386"/>
        <v>1779</v>
      </c>
      <c r="AO371" s="83">
        <f ca="1" t="shared" si="386"/>
        <v>0</v>
      </c>
      <c r="AP371" s="83">
        <f ca="1" t="shared" si="386"/>
        <v>0</v>
      </c>
      <c r="AQ371" s="83">
        <f ca="1" t="shared" si="386"/>
        <v>0</v>
      </c>
      <c r="AS371" s="52">
        <v>33</v>
      </c>
      <c r="AT371" s="52">
        <v>4190</v>
      </c>
      <c r="AU371" s="52">
        <v>4190</v>
      </c>
      <c r="AV371" s="52">
        <v>3170</v>
      </c>
      <c r="AW371" s="52">
        <v>2300</v>
      </c>
    </row>
    <row r="372" ht="16.5" spans="2:49">
      <c r="B372" s="65">
        <v>34</v>
      </c>
      <c r="C372" s="80">
        <f t="shared" si="319"/>
        <v>5066</v>
      </c>
      <c r="D372" s="81" cm="1">
        <f ca="1" t="array" ref="D372">IF(D674=1,OFFSET($Z$338,$B372,D$335-1)/SUMPRODUCT(--($D$335:$V$335=D$335),--($D674:$V674=1)),0)+SUM(D371)+IF(COUNTIF(D$641:D674,1)=1,5,0)+IF(COUNTIF(E372:$Z372,"&gt;"&amp;0)&gt;5,IF(MOD(COUNTIF(D$641:D674,1),7)=0,$C$4,0),0)</f>
        <v>546.799509118894</v>
      </c>
      <c r="E372" s="81" cm="1">
        <f ca="1" t="array" ref="E372">IF(E674=1,OFFSET($Z$338,$B372,E$335-1)/SUMPRODUCT(--($D$335:$V$335=E$335),--($D674:$V674=1)),0)+SUM(E371)+IF(COUNTIF(E$641:E674,1)=1,5,0)+IF(COUNTIF(F372:$Z372,"&gt;"&amp;0)&gt;5,IF(MOD(COUNTIF(E$641:E674,1),7)=0,$C$4,0),0)</f>
        <v>546.799509118894</v>
      </c>
      <c r="F372" s="81" cm="1">
        <f ca="1" t="array" ref="F372">IF(F674=1,OFFSET($Z$338,$B372,F$335-1)/SUMPRODUCT(--($D$335:$V$335=F$335),--($D674:$V674=1)),0)+SUM(F371)+IF(COUNTIF(F$641:F674,1)=1,5,0)+IF(COUNTIF(G372:$Z372,"&gt;"&amp;0)&gt;5,IF(MOD(COUNTIF(F$641:F674,1),7)=0,$C$4,0),0)</f>
        <v>546.799509118894</v>
      </c>
      <c r="G372" s="81" cm="1">
        <f ca="1" t="array" ref="G372">IF(G674=1,OFFSET($Z$338,$B372,G$335-1)/SUMPRODUCT(--($D$335:$V$335=G$335),--($D674:$V674=1)),0)+SUM(G371)+IF(COUNTIF(G$641:G674,1)=1,5,0)+IF(COUNTIF(H372:$Z372,"&gt;"&amp;0)&gt;5,IF(MOD(COUNTIF(G$641:G674,1),7)=0,$C$4,0),0)</f>
        <v>144.59</v>
      </c>
      <c r="H372" s="81" cm="1">
        <f ca="1" t="array" ref="H372">IF(H674=1,OFFSET($Z$338,$B372,H$335-1)/SUMPRODUCT(--($D$335:$V$335=H$335),--($D674:$V674=1)),0)+SUM(H371)+IF(COUNTIF(H$641:H674,1)=1,5,0)+IF(COUNTIF(I372:$Z372,"&gt;"&amp;0)&gt;5,IF(MOD(COUNTIF(H$641:H674,1),7)=0,$C$4,0),0)</f>
        <v>144.59</v>
      </c>
      <c r="I372" s="81" cm="1">
        <f ca="1" t="array" ref="I372">IF(I674=1,OFFSET($Z$338,$B372,I$335-1)/SUMPRODUCT(--($D$335:$V$335=I$335),--($D674:$V674=1)),0)+SUM(I371)+IF(COUNTIF(I$641:I674,1)=1,5,0)+IF(COUNTIF(J372:$Z372,"&gt;"&amp;0)&gt;5,IF(MOD(COUNTIF(I$641:I674,1),7)=0,$C$4,0),0)</f>
        <v>144.59</v>
      </c>
      <c r="J372" s="81" cm="1">
        <f ca="1" t="array" ref="J372">IF(J674=1,OFFSET($Z$338,$B372,J$335-1)/SUMPRODUCT(--($D$335:$V$335=J$335),--($D674:$V674=1)),0)+SUM(J371)+IF(COUNTIF(J$641:J674,1)=1,5,0)+IF(COUNTIF(K372:$Z372,"&gt;"&amp;0)&gt;5,IF(MOD(COUNTIF(J$641:J674,1),7)=0,$C$4,0),0)</f>
        <v>144.59</v>
      </c>
      <c r="K372" s="81" cm="1">
        <f ca="1" t="array" ref="K372">IF(K674=1,OFFSET($Z$338,$B372,K$335-1)/SUMPRODUCT(--($D$335:$V$335=K$335),--($D674:$V674=1)),0)+SUM(K371)+IF(COUNTIF(K$641:K674,1)=1,5,0)+IF(COUNTIF(L372:$Z372,"&gt;"&amp;0)&gt;5,IF(MOD(COUNTIF(K$641:K674,1),7)=0,$C$4,0),0)</f>
        <v>144.59</v>
      </c>
      <c r="L372" s="81" cm="1">
        <f ca="1" t="array" ref="L372">IF(L674=1,OFFSET($Z$338,$B372,L$335-1)/SUMPRODUCT(--($D$335:$V$335=L$335),--($D674:$V674=1)),0)+SUM(L371)+IF(COUNTIF(L$641:L674,1)=1,5,0)+IF(COUNTIF(M372:$Z372,"&gt;"&amp;0)&gt;5,IF(MOD(COUNTIF(L$641:L674,1),7)=0,$C$4,0),0)</f>
        <v>137.89</v>
      </c>
      <c r="M372" s="81" cm="1">
        <f ca="1" t="array" ref="M372">IF(M674=1,OFFSET($Z$338,$B372,M$335-1)/SUMPRODUCT(--($D$335:$V$335=M$335),--($D674:$V674=1)),0)+SUM(M371)+IF(COUNTIF(M$641:M674,1)=1,5,0)+IF(COUNTIF(N372:$Z372,"&gt;"&amp;0)&gt;5,IF(MOD(COUNTIF(M$641:M674,1),7)=0,$C$4,0),0)</f>
        <v>61.9783928571429</v>
      </c>
      <c r="N372" s="81" cm="1">
        <f ca="1" t="array" ref="N372">IF(N674=1,OFFSET($Z$338,$B372,N$335-1)/SUMPRODUCT(--($D$335:$V$335=N$335),--($D674:$V674=1)),0)+SUM(N371)+IF(COUNTIF(N$641:N674,1)=1,5,0)+IF(COUNTIF(O372:$Z372,"&gt;"&amp;0)&gt;5,IF(MOD(COUNTIF(N$641:N674,1),7)=0,$C$4,0),0)</f>
        <v>54.2533928571429</v>
      </c>
      <c r="O372" s="81" cm="1">
        <f ca="1" t="array" ref="O372">IF(O674=1,OFFSET($Z$338,$B372,O$335-1)/SUMPRODUCT(--($D$335:$V$335=O$335),--($D674:$V674=1)),0)+SUM(O371)+IF(COUNTIF(O$641:O674,1)=1,5,0)+IF(COUNTIF(P372:$Z372,"&gt;"&amp;0)&gt;5,IF(MOD(COUNTIF(O$641:O674,1),7)=0,$C$4,0),0)</f>
        <v>51.8283928571429</v>
      </c>
      <c r="P372" s="81" cm="1">
        <f ca="1" t="array" ref="P372">IF(P674=1,OFFSET($Z$338,$B372,P$335-1)/SUMPRODUCT(--($D$335:$V$335=P$335),--($D674:$V674=1)),0)+SUM(P371)+IF(COUNTIF(P$641:P674,1)=1,5,0)+IF(COUNTIF(Q372:$Z372,"&gt;"&amp;0)&gt;5,IF(MOD(COUNTIF(P$641:P674,1),7)=0,$C$4,0),0)</f>
        <v>48.8950595238095</v>
      </c>
      <c r="Q372" s="81" cm="1">
        <f ca="1" t="array" ref="Q372">IF(Q674=1,OFFSET($Z$338,$B372,Q$335-1)/SUMPRODUCT(--($D$335:$V$335=Q$335),--($D674:$V674=1)),0)+SUM(Q371)+IF(COUNTIF(Q$641:Q674,1)=1,5,0)+IF(COUNTIF(R372:$Z372,"&gt;"&amp;0)&gt;5,IF(MOD(COUNTIF(Q$641:Q674,1),7)=0,$C$4,0),0)</f>
        <v>47.9888095238095</v>
      </c>
      <c r="R372" s="81" cm="1">
        <f ca="1" t="array" ref="R372">IF(R674=1,OFFSET($Z$338,$B372,R$335-1)/SUMPRODUCT(--($D$335:$V$335=R$335),--($D674:$V674=1)),0)+SUM(R371)+IF(COUNTIF(R$641:R674,1)=1,5,0)+IF(COUNTIF(S372:$Z372,"&gt;"&amp;0)&gt;5,IF(MOD(COUNTIF(R$641:R674,1),7)=0,$C$4,0),0)</f>
        <v>28.0938095238095</v>
      </c>
      <c r="S372" s="81" cm="1">
        <f ca="1" t="array" ref="S372">IF(S674=1,OFFSET($Z$338,$B372,S$335-1)/SUMPRODUCT(--($D$335:$V$335=S$335),--($D674:$V674=1)),0)+SUM(S371)+IF(COUNTIF(S$641:S674,1)=1,5,0)+IF(COUNTIF(T372:$Z372,"&gt;"&amp;0)&gt;5,IF(MOD(COUNTIF(S$641:S674,1),7)=0,$C$4,0),0)</f>
        <v>23.9271428571429</v>
      </c>
      <c r="T372" s="81" cm="1">
        <f ca="1" t="array" ref="T372">IF(T674=1,OFFSET($Z$338,$B372,T$335-1)/SUMPRODUCT(--($D$335:$V$335=T$335),--($D674:$V674=1)),0)+SUM(T371)+IF(COUNTIF(T$641:T674,1)=1,5,0)+IF(COUNTIF(U372:$Z372,"&gt;"&amp;0)&gt;5,IF(MOD(COUNTIF(T$641:T674,1),7)=0,$C$4,0),0)</f>
        <v>17.5847639441997</v>
      </c>
      <c r="U372" s="81" cm="1">
        <f ca="1" t="array" ref="U372">IF(U674=1,OFFSET($Z$338,$B372,U$335-1)/SUMPRODUCT(--($D$335:$V$335=U$335),--($D674:$V674=1)),0)+SUM(U371)+IF(COUNTIF(U$641:U674,1)=1,5,0)+IF(COUNTIF(V372:$Z372,"&gt;"&amp;0)&gt;5,IF(MOD(COUNTIF(U$641:U674,1),7)=0,$C$4,0),0)</f>
        <v>17.5847639441997</v>
      </c>
      <c r="V372" s="81" cm="1">
        <f ca="1" t="array" ref="V372">IF(V674=1,OFFSET($Z$338,$B372,V$335-1)/SUMPRODUCT(--($D$335:$V$335=V$335),--($D674:$V674=1)),0)+SUM(V371)+IF(COUNTIF(V$641:V674,1)=1,5,0)+IF(COUNTIF(Z372:$Z372,"&gt;"&amp;0)&gt;5,IF(MOD(COUNTIF(V$641:V674,1),7)=0,$C$4,0),0)</f>
        <v>9.62694475491779</v>
      </c>
      <c r="W372" s="81" cm="1">
        <f ca="1" t="array" ref="W372">IF(W674=1,OFFSET($Z$338,$B372,W$335-1)/SUMPRODUCT(--($D$335:$V$335=W$335),--($D674:$V674=1)),0)+SUM(W371)+IF(COUNTIF(W$641:W674,1)=1,5,0)+IF(COUNTIF($Z372:AA372,"&gt;"&amp;0)&gt;5,IF(MOD(COUNTIF(W$641:W674,1),7)=0,$C$4,0),0)</f>
        <v>0</v>
      </c>
      <c r="X372" s="81" cm="1">
        <f ca="1" t="array" ref="X372">IF(X674=1,OFFSET($Z$338,$B372,X$335-1)/SUMPRODUCT(--($D$335:$V$335=X$335),--($D674:$V674=1)),0)+SUM(X371)+IF(COUNTIF(X$641:X674,1)=1,5,0)+IF(COUNTIF($Z372:AB372,"&gt;"&amp;0)&gt;5,IF(MOD(COUNTIF(X$641:X674,1),7)=0,$C$4,0),0)</f>
        <v>0</v>
      </c>
      <c r="Y372" s="81" cm="1">
        <f ca="1" t="array" ref="Y372">IF(Y674=1,OFFSET($Z$338,$B372,Y$335-1)/SUMPRODUCT(--($D$335:$V$335=Y$335),--($D674:$V674=1)),0)+SUM(Y371)+IF(COUNTIF(Y$641:Y674,1)=1,5,0)+IF(COUNTIF($Z372:AC372,"&gt;"&amp;0)&gt;5,IF(MOD(COUNTIF(Y$641:Y674,1),7)=0,$C$4,0),0)</f>
        <v>0</v>
      </c>
      <c r="Z372" s="82" cm="1">
        <f ca="1" t="array" ref="Z372">SUMPRODUCT(TRANSPOSE($AD372:$AJ372),OFFSET($L$10:$L$16,0,Z$335-1))</f>
        <v>29.0648957169058</v>
      </c>
      <c r="AA372" s="82" cm="1">
        <f ca="1" t="array" ref="AA372">SUMPRODUCT(TRANSPOSE($AD372:$AJ372),OFFSET($L$10:$L$16,0,AA$335-1))</f>
        <v>17.6</v>
      </c>
      <c r="AB372" s="82" cm="1">
        <f ca="1" t="array" ref="AB372">SUMPRODUCT(TRANSPOSE($AD372:$AJ372),OFFSET($L$10:$L$16,0,AB$335-1))</f>
        <v>6.6</v>
      </c>
      <c r="AC372" s="82" cm="1">
        <f ca="1" t="array" ref="AC372">SUMPRODUCT(TRANSPOSE($AD372:$AJ372),OFFSET($L$10:$L$16,0,AC$335-1))</f>
        <v>1.73510428309417</v>
      </c>
      <c r="AD372" s="83">
        <f ca="1" t="shared" ref="AD372:AJ372" si="387">AK372-AK371</f>
        <v>0</v>
      </c>
      <c r="AE372" s="83">
        <f ca="1" t="shared" si="387"/>
        <v>0</v>
      </c>
      <c r="AF372" s="83">
        <f ca="1" t="shared" si="387"/>
        <v>0</v>
      </c>
      <c r="AG372" s="83">
        <f ca="1" t="shared" si="387"/>
        <v>110</v>
      </c>
      <c r="AH372" s="83">
        <f ca="1" t="shared" si="387"/>
        <v>0</v>
      </c>
      <c r="AI372" s="83">
        <f ca="1" t="shared" si="387"/>
        <v>0</v>
      </c>
      <c r="AJ372" s="83">
        <f ca="1" t="shared" si="387"/>
        <v>0</v>
      </c>
      <c r="AK372" s="83">
        <f ca="1" t="shared" si="321"/>
        <v>450</v>
      </c>
      <c r="AL372" s="83">
        <f ca="1" t="shared" ref="AL372:AQ372" si="388">IF($C372&gt;OFFSET($Q$9,MATCH(AL$338,$AK$338:$AQ$338,0),0),OFFSET($P$9,MATCH(AL$338,$AK$338:$AQ$338,0),0),MAX(0,$C372-OFFSET($Q$9,RIGHT(AL$338,1)-1,0)))</f>
        <v>909</v>
      </c>
      <c r="AM372" s="83">
        <f ca="1" t="shared" si="388"/>
        <v>1818</v>
      </c>
      <c r="AN372" s="83">
        <f ca="1" t="shared" si="388"/>
        <v>1889</v>
      </c>
      <c r="AO372" s="83">
        <f ca="1" t="shared" si="388"/>
        <v>0</v>
      </c>
      <c r="AP372" s="83">
        <f ca="1" t="shared" si="388"/>
        <v>0</v>
      </c>
      <c r="AQ372" s="83">
        <f ca="1" t="shared" si="388"/>
        <v>0</v>
      </c>
      <c r="AS372" s="52">
        <v>34</v>
      </c>
      <c r="AT372" s="52">
        <v>4670</v>
      </c>
      <c r="AU372" s="52">
        <v>4670</v>
      </c>
      <c r="AV372" s="52">
        <v>3410</v>
      </c>
      <c r="AW372" s="52">
        <v>2450</v>
      </c>
    </row>
    <row r="373" ht="16.5" spans="2:49">
      <c r="B373" s="65">
        <v>35</v>
      </c>
      <c r="C373" s="80">
        <f t="shared" si="319"/>
        <v>5176</v>
      </c>
      <c r="D373" s="81" cm="1">
        <f ca="1" t="array" ref="D373">IF(D675=1,OFFSET($Z$338,$B373,D$335-1)/SUMPRODUCT(--($D$335:$V$335=D$335),--($D675:$V675=1)),0)+SUM(D372)+IF(COUNTIF(D$641:D675,1)=1,5,0)+IF(COUNTIF(E373:$Z373,"&gt;"&amp;0)&gt;5,IF(MOD(COUNTIF(D$641:D675,1),7)=0,$C$4,0),0)</f>
        <v>561.487807691196</v>
      </c>
      <c r="E373" s="81" cm="1">
        <f ca="1" t="array" ref="E373">IF(E675=1,OFFSET($Z$338,$B373,E$335-1)/SUMPRODUCT(--($D$335:$V$335=E$335),--($D675:$V675=1)),0)+SUM(E372)+IF(COUNTIF(E$641:E675,1)=1,5,0)+IF(COUNTIF(F373:$Z373,"&gt;"&amp;0)&gt;5,IF(MOD(COUNTIF(E$641:E675,1),7)=0,$C$4,0),0)</f>
        <v>561.487807691196</v>
      </c>
      <c r="F373" s="81" cm="1">
        <f ca="1" t="array" ref="F373">IF(F675=1,OFFSET($Z$338,$B373,F$335-1)/SUMPRODUCT(--($D$335:$V$335=F$335),--($D675:$V675=1)),0)+SUM(F372)+IF(COUNTIF(F$641:F675,1)=1,5,0)+IF(COUNTIF(G373:$Z373,"&gt;"&amp;0)&gt;5,IF(MOD(COUNTIF(F$641:F675,1),7)=0,$C$4,0),0)</f>
        <v>561.487807691196</v>
      </c>
      <c r="G373" s="81" cm="1">
        <f ca="1" t="array" ref="G373">IF(G675=1,OFFSET($Z$338,$B373,G$335-1)/SUMPRODUCT(--($D$335:$V$335=G$335),--($D675:$V675=1)),0)+SUM(G372)+IF(COUNTIF(G$641:G675,1)=1,5,0)+IF(COUNTIF(H373:$Z373,"&gt;"&amp;0)&gt;5,IF(MOD(COUNTIF(G$641:G675,1),7)=0,$C$4,0),0)</f>
        <v>152.523333333333</v>
      </c>
      <c r="H373" s="81" cm="1">
        <f ca="1" t="array" ref="H373">IF(H675=1,OFFSET($Z$338,$B373,H$335-1)/SUMPRODUCT(--($D$335:$V$335=H$335),--($D675:$V675=1)),0)+SUM(H372)+IF(COUNTIF(H$641:H675,1)=1,5,0)+IF(COUNTIF(I373:$Z373,"&gt;"&amp;0)&gt;5,IF(MOD(COUNTIF(H$641:H675,1),7)=0,$C$4,0),0)</f>
        <v>152.523333333333</v>
      </c>
      <c r="I373" s="81" cm="1">
        <f ca="1" t="array" ref="I373">IF(I675=1,OFFSET($Z$338,$B373,I$335-1)/SUMPRODUCT(--($D$335:$V$335=I$335),--($D675:$V675=1)),0)+SUM(I372)+IF(COUNTIF(I$641:I675,1)=1,5,0)+IF(COUNTIF(J373:$Z373,"&gt;"&amp;0)&gt;5,IF(MOD(COUNTIF(I$641:I675,1),7)=0,$C$4,0),0)</f>
        <v>152.523333333333</v>
      </c>
      <c r="J373" s="81" cm="1">
        <f ca="1" t="array" ref="J373">IF(J675=1,OFFSET($Z$338,$B373,J$335-1)/SUMPRODUCT(--($D$335:$V$335=J$335),--($D675:$V675=1)),0)+SUM(J372)+IF(COUNTIF(J$641:J675,1)=1,5,0)+IF(COUNTIF(K373:$Z373,"&gt;"&amp;0)&gt;5,IF(MOD(COUNTIF(J$641:J675,1),7)=0,$C$4,0),0)</f>
        <v>152.523333333333</v>
      </c>
      <c r="K373" s="81" cm="1">
        <f ca="1" t="array" ref="K373">IF(K675=1,OFFSET($Z$338,$B373,K$335-1)/SUMPRODUCT(--($D$335:$V$335=K$335),--($D675:$V675=1)),0)+SUM(K372)+IF(COUNTIF(K$641:K675,1)=1,5,0)+IF(COUNTIF(L373:$Z373,"&gt;"&amp;0)&gt;5,IF(MOD(COUNTIF(K$641:K675,1),7)=0,$C$4,0),0)</f>
        <v>152.523333333333</v>
      </c>
      <c r="L373" s="81" cm="1">
        <f ca="1" t="array" ref="L373">IF(L675=1,OFFSET($Z$338,$B373,L$335-1)/SUMPRODUCT(--($D$335:$V$335=L$335),--($D675:$V675=1)),0)+SUM(L372)+IF(COUNTIF(L$641:L675,1)=1,5,0)+IF(COUNTIF(M373:$Z373,"&gt;"&amp;0)&gt;5,IF(MOD(COUNTIF(L$641:L675,1),7)=0,$C$4,0),0)</f>
        <v>140.823333333333</v>
      </c>
      <c r="M373" s="81" cm="1">
        <f ca="1" t="array" ref="M373">IF(M675=1,OFFSET($Z$338,$B373,M$335-1)/SUMPRODUCT(--($D$335:$V$335=M$335),--($D675:$V675=1)),0)+SUM(M372)+IF(COUNTIF(M$641:M675,1)=1,5,0)+IF(COUNTIF(N373:$Z373,"&gt;"&amp;0)&gt;5,IF(MOD(COUNTIF(M$641:M675,1),7)=0,$C$4,0),0)</f>
        <v>62.92125</v>
      </c>
      <c r="N373" s="81" cm="1">
        <f ca="1" t="array" ref="N373">IF(N675=1,OFFSET($Z$338,$B373,N$335-1)/SUMPRODUCT(--($D$335:$V$335=N$335),--($D675:$V675=1)),0)+SUM(N372)+IF(COUNTIF(N$641:N675,1)=1,5,0)+IF(COUNTIF(O373:$Z373,"&gt;"&amp;0)&gt;5,IF(MOD(COUNTIF(N$641:N675,1),7)=0,$C$4,0),0)</f>
        <v>55.19625</v>
      </c>
      <c r="O373" s="81" cm="1">
        <f ca="1" t="array" ref="O373">IF(O675=1,OFFSET($Z$338,$B373,O$335-1)/SUMPRODUCT(--($D$335:$V$335=O$335),--($D675:$V675=1)),0)+SUM(O372)+IF(COUNTIF(O$641:O675,1)=1,5,0)+IF(COUNTIF(P373:$Z373,"&gt;"&amp;0)&gt;5,IF(MOD(COUNTIF(O$641:O675,1),7)=0,$C$4,0),0)</f>
        <v>52.77125</v>
      </c>
      <c r="P373" s="81" cm="1">
        <f ca="1" t="array" ref="P373">IF(P675=1,OFFSET($Z$338,$B373,P$335-1)/SUMPRODUCT(--($D$335:$V$335=P$335),--($D675:$V675=1)),0)+SUM(P372)+IF(COUNTIF(P$641:P675,1)=1,5,0)+IF(COUNTIF(Q373:$Z373,"&gt;"&amp;0)&gt;5,IF(MOD(COUNTIF(P$641:P675,1),7)=0,$C$4,0),0)</f>
        <v>49.8379166666667</v>
      </c>
      <c r="Q373" s="81" cm="1">
        <f ca="1" t="array" ref="Q373">IF(Q675=1,OFFSET($Z$338,$B373,Q$335-1)/SUMPRODUCT(--($D$335:$V$335=Q$335),--($D675:$V675=1)),0)+SUM(Q372)+IF(COUNTIF(Q$641:Q675,1)=1,5,0)+IF(COUNTIF(R373:$Z373,"&gt;"&amp;0)&gt;5,IF(MOD(COUNTIF(Q$641:Q675,1),7)=0,$C$4,0),0)</f>
        <v>48.9316666666667</v>
      </c>
      <c r="R373" s="81" cm="1">
        <f ca="1" t="array" ref="R373">IF(R675=1,OFFSET($Z$338,$B373,R$335-1)/SUMPRODUCT(--($D$335:$V$335=R$335),--($D675:$V675=1)),0)+SUM(R372)+IF(COUNTIF(R$641:R675,1)=1,5,0)+IF(COUNTIF(S373:$Z373,"&gt;"&amp;0)&gt;5,IF(MOD(COUNTIF(R$641:R675,1),7)=0,$C$4,0),0)</f>
        <v>29.0366666666667</v>
      </c>
      <c r="S373" s="81" cm="1">
        <f ca="1" t="array" ref="S373">IF(S675=1,OFFSET($Z$338,$B373,S$335-1)/SUMPRODUCT(--($D$335:$V$335=S$335),--($D675:$V675=1)),0)+SUM(S372)+IF(COUNTIF(S$641:S675,1)=1,5,0)+IF(COUNTIF(T373:$Z373,"&gt;"&amp;0)&gt;5,IF(MOD(COUNTIF(S$641:S675,1),7)=0,$C$4,0),0)</f>
        <v>24.87</v>
      </c>
      <c r="T373" s="81" cm="1">
        <f ca="1" t="array" ref="T373">IF(T675=1,OFFSET($Z$338,$B373,T$335-1)/SUMPRODUCT(--($D$335:$V$335=T$335),--($D675:$V675=1)),0)+SUM(T372)+IF(COUNTIF(T$641:T675,1)=1,5,0)+IF(COUNTIF(U373:$Z373,"&gt;"&amp;0)&gt;5,IF(MOD(COUNTIF(T$641:T675,1),7)=0,$C$4,0),0)</f>
        <v>18.1631320385644</v>
      </c>
      <c r="U373" s="81" cm="1">
        <f ca="1" t="array" ref="U373">IF(U675=1,OFFSET($Z$338,$B373,U$335-1)/SUMPRODUCT(--($D$335:$V$335=U$335),--($D675:$V675=1)),0)+SUM(U372)+IF(COUNTIF(U$641:U675,1)=1,5,0)+IF(COUNTIF(V373:$Z373,"&gt;"&amp;0)&gt;5,IF(MOD(COUNTIF(U$641:U675,1),7)=0,$C$4,0),0)</f>
        <v>18.1631320385644</v>
      </c>
      <c r="V373" s="81" cm="1">
        <f ca="1" t="array" ref="V373">IF(V675=1,OFFSET($Z$338,$B373,V$335-1)/SUMPRODUCT(--($D$335:$V$335=V$335),--($D675:$V675=1)),0)+SUM(V372)+IF(COUNTIF(V$641:V675,1)=1,5,0)+IF(COUNTIF(Z373:$Z373,"&gt;"&amp;0)&gt;5,IF(MOD(COUNTIF(V$641:V675,1),7)=0,$C$4,0),0)</f>
        <v>10.2053128492825</v>
      </c>
      <c r="W373" s="81" cm="1">
        <f ca="1" t="array" ref="W373">IF(W675=1,OFFSET($Z$338,$B373,W$335-1)/SUMPRODUCT(--($D$335:$V$335=W$335),--($D675:$V675=1)),0)+SUM(W372)+IF(COUNTIF(W$641:W675,1)=1,5,0)+IF(COUNTIF($Z373:AA373,"&gt;"&amp;0)&gt;5,IF(MOD(COUNTIF(W$641:W675,1),7)=0,$C$4,0),0)</f>
        <v>0</v>
      </c>
      <c r="X373" s="81" cm="1">
        <f ca="1" t="array" ref="X373">IF(X675=1,OFFSET($Z$338,$B373,X$335-1)/SUMPRODUCT(--($D$335:$V$335=X$335),--($D675:$V675=1)),0)+SUM(X372)+IF(COUNTIF(X$641:X675,1)=1,5,0)+IF(COUNTIF($Z373:AB373,"&gt;"&amp;0)&gt;5,IF(MOD(COUNTIF(X$641:X675,1),7)=0,$C$4,0),0)</f>
        <v>0</v>
      </c>
      <c r="Y373" s="81" cm="1">
        <f ca="1" t="array" ref="Y373">IF(Y675=1,OFFSET($Z$338,$B373,Y$335-1)/SUMPRODUCT(--($D$335:$V$335=Y$335),--($D675:$V675=1)),0)+SUM(Y372)+IF(COUNTIF(Y$641:Y675,1)=1,5,0)+IF(COUNTIF($Z373:AC373,"&gt;"&amp;0)&gt;5,IF(MOD(COUNTIF(Y$641:Y675,1),7)=0,$C$4,0),0)</f>
        <v>0</v>
      </c>
      <c r="Z373" s="82" cm="1">
        <f ca="1" t="array" ref="Z373">SUMPRODUCT(TRANSPOSE($AD373:$AJ373),OFFSET($L$10:$L$16,0,Z$335-1))</f>
        <v>29.0648957169058</v>
      </c>
      <c r="AA373" s="82" cm="1">
        <f ca="1" t="array" ref="AA373">SUMPRODUCT(TRANSPOSE($AD373:$AJ373),OFFSET($L$10:$L$16,0,AA$335-1))</f>
        <v>17.6</v>
      </c>
      <c r="AB373" s="82" cm="1">
        <f ca="1" t="array" ref="AB373">SUMPRODUCT(TRANSPOSE($AD373:$AJ373),OFFSET($L$10:$L$16,0,AB$335-1))</f>
        <v>6.6</v>
      </c>
      <c r="AC373" s="82" cm="1">
        <f ca="1" t="array" ref="AC373">SUMPRODUCT(TRANSPOSE($AD373:$AJ373),OFFSET($L$10:$L$16,0,AC$335-1))</f>
        <v>1.73510428309417</v>
      </c>
      <c r="AD373" s="83">
        <f ca="1" t="shared" ref="AD373:AJ373" si="389">AK373-AK372</f>
        <v>0</v>
      </c>
      <c r="AE373" s="83">
        <f ca="1" t="shared" si="389"/>
        <v>0</v>
      </c>
      <c r="AF373" s="83">
        <f ca="1" t="shared" si="389"/>
        <v>0</v>
      </c>
      <c r="AG373" s="83">
        <f ca="1" t="shared" si="389"/>
        <v>110</v>
      </c>
      <c r="AH373" s="83">
        <f ca="1" t="shared" si="389"/>
        <v>0</v>
      </c>
      <c r="AI373" s="83">
        <f ca="1" t="shared" si="389"/>
        <v>0</v>
      </c>
      <c r="AJ373" s="83">
        <f ca="1" t="shared" si="389"/>
        <v>0</v>
      </c>
      <c r="AK373" s="83">
        <f ca="1" t="shared" si="321"/>
        <v>450</v>
      </c>
      <c r="AL373" s="83">
        <f ca="1" t="shared" ref="AL373:AQ373" si="390">IF($C373&gt;OFFSET($Q$9,MATCH(AL$338,$AK$338:$AQ$338,0),0),OFFSET($P$9,MATCH(AL$338,$AK$338:$AQ$338,0),0),MAX(0,$C373-OFFSET($Q$9,RIGHT(AL$338,1)-1,0)))</f>
        <v>909</v>
      </c>
      <c r="AM373" s="83">
        <f ca="1" t="shared" si="390"/>
        <v>1818</v>
      </c>
      <c r="AN373" s="83">
        <f ca="1" t="shared" si="390"/>
        <v>1999</v>
      </c>
      <c r="AO373" s="83">
        <f ca="1" t="shared" si="390"/>
        <v>0</v>
      </c>
      <c r="AP373" s="83">
        <f ca="1" t="shared" si="390"/>
        <v>0</v>
      </c>
      <c r="AQ373" s="83">
        <f ca="1" t="shared" si="390"/>
        <v>0</v>
      </c>
      <c r="AS373" s="52">
        <v>35</v>
      </c>
      <c r="AT373" s="52">
        <v>5150</v>
      </c>
      <c r="AU373" s="52">
        <v>5150</v>
      </c>
      <c r="AV373" s="52">
        <v>3650</v>
      </c>
      <c r="AW373" s="52">
        <v>2600</v>
      </c>
    </row>
    <row r="374" ht="16.5" spans="2:49">
      <c r="B374" s="65">
        <v>36</v>
      </c>
      <c r="C374" s="80">
        <f t="shared" si="319"/>
        <v>5286</v>
      </c>
      <c r="D374" s="81" cm="1">
        <f ca="1" t="array" ref="D374">IF(D676=1,OFFSET($Z$338,$B374,D$335-1)/SUMPRODUCT(--($D$335:$V$335=D$335),--($D676:$V676=1)),0)+SUM(D373)+IF(COUNTIF(D$641:D676,1)=1,5,0)+IF(COUNTIF(E374:$Z374,"&gt;"&amp;0)&gt;5,IF(MOD(COUNTIF(D$641:D676,1),7)=0,$C$4,0),0)</f>
        <v>571.176106263498</v>
      </c>
      <c r="E374" s="81" cm="1">
        <f ca="1" t="array" ref="E374">IF(E676=1,OFFSET($Z$338,$B374,E$335-1)/SUMPRODUCT(--($D$335:$V$335=E$335),--($D676:$V676=1)),0)+SUM(E373)+IF(COUNTIF(E$641:E676,1)=1,5,0)+IF(COUNTIF(F374:$Z374,"&gt;"&amp;0)&gt;5,IF(MOD(COUNTIF(E$641:E676,1),7)=0,$C$4,0),0)</f>
        <v>571.176106263498</v>
      </c>
      <c r="F374" s="81" cm="1">
        <f ca="1" t="array" ref="F374">IF(F676=1,OFFSET($Z$338,$B374,F$335-1)/SUMPRODUCT(--($D$335:$V$335=F$335),--($D676:$V676=1)),0)+SUM(F373)+IF(COUNTIF(F$641:F676,1)=1,5,0)+IF(COUNTIF(G374:$Z374,"&gt;"&amp;0)&gt;5,IF(MOD(COUNTIF(F$641:F676,1),7)=0,$C$4,0),0)</f>
        <v>571.176106263498</v>
      </c>
      <c r="G374" s="81" cm="1">
        <f ca="1" t="array" ref="G374">IF(G676=1,OFFSET($Z$338,$B374,G$335-1)/SUMPRODUCT(--($D$335:$V$335=G$335),--($D676:$V676=1)),0)+SUM(G373)+IF(COUNTIF(G$641:G676,1)=1,5,0)+IF(COUNTIF(H374:$Z374,"&gt;"&amp;0)&gt;5,IF(MOD(COUNTIF(G$641:G676,1),7)=0,$C$4,0),0)</f>
        <v>155.456666666667</v>
      </c>
      <c r="H374" s="81" cm="1">
        <f ca="1" t="array" ref="H374">IF(H676=1,OFFSET($Z$338,$B374,H$335-1)/SUMPRODUCT(--($D$335:$V$335=H$335),--($D676:$V676=1)),0)+SUM(H373)+IF(COUNTIF(H$641:H676,1)=1,5,0)+IF(COUNTIF(I374:$Z374,"&gt;"&amp;0)&gt;5,IF(MOD(COUNTIF(H$641:H676,1),7)=0,$C$4,0),0)</f>
        <v>155.456666666667</v>
      </c>
      <c r="I374" s="81" cm="1">
        <f ca="1" t="array" ref="I374">IF(I676=1,OFFSET($Z$338,$B374,I$335-1)/SUMPRODUCT(--($D$335:$V$335=I$335),--($D676:$V676=1)),0)+SUM(I373)+IF(COUNTIF(I$641:I676,1)=1,5,0)+IF(COUNTIF(J374:$Z374,"&gt;"&amp;0)&gt;5,IF(MOD(COUNTIF(I$641:I676,1),7)=0,$C$4,0),0)</f>
        <v>155.456666666667</v>
      </c>
      <c r="J374" s="81" cm="1">
        <f ca="1" t="array" ref="J374">IF(J676=1,OFFSET($Z$338,$B374,J$335-1)/SUMPRODUCT(--($D$335:$V$335=J$335),--($D676:$V676=1)),0)+SUM(J373)+IF(COUNTIF(J$641:J676,1)=1,5,0)+IF(COUNTIF(K374:$Z374,"&gt;"&amp;0)&gt;5,IF(MOD(COUNTIF(J$641:J676,1),7)=0,$C$4,0),0)</f>
        <v>155.456666666667</v>
      </c>
      <c r="K374" s="81" cm="1">
        <f ca="1" t="array" ref="K374">IF(K676=1,OFFSET($Z$338,$B374,K$335-1)/SUMPRODUCT(--($D$335:$V$335=K$335),--($D676:$V676=1)),0)+SUM(K373)+IF(COUNTIF(K$641:K676,1)=1,5,0)+IF(COUNTIF(L374:$Z374,"&gt;"&amp;0)&gt;5,IF(MOD(COUNTIF(K$641:K676,1),7)=0,$C$4,0),0)</f>
        <v>155.456666666667</v>
      </c>
      <c r="L374" s="81" cm="1">
        <f ca="1" t="array" ref="L374">IF(L676=1,OFFSET($Z$338,$B374,L$335-1)/SUMPRODUCT(--($D$335:$V$335=L$335),--($D676:$V676=1)),0)+SUM(L373)+IF(COUNTIF(L$641:L676,1)=1,5,0)+IF(COUNTIF(M374:$Z374,"&gt;"&amp;0)&gt;5,IF(MOD(COUNTIF(L$641:L676,1),7)=0,$C$4,0),0)</f>
        <v>148.756666666667</v>
      </c>
      <c r="M374" s="81" cm="1">
        <f ca="1" t="array" ref="M374">IF(M676=1,OFFSET($Z$338,$B374,M$335-1)/SUMPRODUCT(--($D$335:$V$335=M$335),--($D676:$V676=1)),0)+SUM(M373)+IF(COUNTIF(M$641:M676,1)=1,5,0)+IF(COUNTIF(N374:$Z374,"&gt;"&amp;0)&gt;5,IF(MOD(COUNTIF(M$641:M676,1),7)=0,$C$4,0),0)</f>
        <v>68.8641071428571</v>
      </c>
      <c r="N374" s="81" cm="1">
        <f ca="1" t="array" ref="N374">IF(N676=1,OFFSET($Z$338,$B374,N$335-1)/SUMPRODUCT(--($D$335:$V$335=N$335),--($D676:$V676=1)),0)+SUM(N373)+IF(COUNTIF(N$641:N676,1)=1,5,0)+IF(COUNTIF(O374:$Z374,"&gt;"&amp;0)&gt;5,IF(MOD(COUNTIF(N$641:N676,1),7)=0,$C$4,0),0)</f>
        <v>56.1391071428571</v>
      </c>
      <c r="O374" s="81" cm="1">
        <f ca="1" t="array" ref="O374">IF(O676=1,OFFSET($Z$338,$B374,O$335-1)/SUMPRODUCT(--($D$335:$V$335=O$335),--($D676:$V676=1)),0)+SUM(O373)+IF(COUNTIF(O$641:O676,1)=1,5,0)+IF(COUNTIF(P374:$Z374,"&gt;"&amp;0)&gt;5,IF(MOD(COUNTIF(O$641:O676,1),7)=0,$C$4,0),0)</f>
        <v>53.7141071428571</v>
      </c>
      <c r="P374" s="81" cm="1">
        <f ca="1" t="array" ref="P374">IF(P676=1,OFFSET($Z$338,$B374,P$335-1)/SUMPRODUCT(--($D$335:$V$335=P$335),--($D676:$V676=1)),0)+SUM(P373)+IF(COUNTIF(P$641:P676,1)=1,5,0)+IF(COUNTIF(Q374:$Z374,"&gt;"&amp;0)&gt;5,IF(MOD(COUNTIF(P$641:P676,1),7)=0,$C$4,0),0)</f>
        <v>50.7807738095238</v>
      </c>
      <c r="Q374" s="81" cm="1">
        <f ca="1" t="array" ref="Q374">IF(Q676=1,OFFSET($Z$338,$B374,Q$335-1)/SUMPRODUCT(--($D$335:$V$335=Q$335),--($D676:$V676=1)),0)+SUM(Q373)+IF(COUNTIF(Q$641:Q676,1)=1,5,0)+IF(COUNTIF(R374:$Z374,"&gt;"&amp;0)&gt;5,IF(MOD(COUNTIF(Q$641:Q676,1),7)=0,$C$4,0),0)</f>
        <v>49.8745238095238</v>
      </c>
      <c r="R374" s="81" cm="1">
        <f ca="1" t="array" ref="R374">IF(R676=1,OFFSET($Z$338,$B374,R$335-1)/SUMPRODUCT(--($D$335:$V$335=R$335),--($D676:$V676=1)),0)+SUM(R373)+IF(COUNTIF(R$641:R676,1)=1,5,0)+IF(COUNTIF(S374:$Z374,"&gt;"&amp;0)&gt;5,IF(MOD(COUNTIF(R$641:R676,1),7)=0,$C$4,0),0)</f>
        <v>29.9795238095238</v>
      </c>
      <c r="S374" s="81" cm="1">
        <f ca="1" t="array" ref="S374">IF(S676=1,OFFSET($Z$338,$B374,S$335-1)/SUMPRODUCT(--($D$335:$V$335=S$335),--($D676:$V676=1)),0)+SUM(S373)+IF(COUNTIF(S$641:S676,1)=1,5,0)+IF(COUNTIF(T374:$Z374,"&gt;"&amp;0)&gt;5,IF(MOD(COUNTIF(S$641:S676,1),7)=0,$C$4,0),0)</f>
        <v>25.8128571428571</v>
      </c>
      <c r="T374" s="81" cm="1">
        <f ca="1" t="array" ref="T374">IF(T676=1,OFFSET($Z$338,$B374,T$335-1)/SUMPRODUCT(--($D$335:$V$335=T$335),--($D676:$V676=1)),0)+SUM(T373)+IF(COUNTIF(T$641:T676,1)=1,5,0)+IF(COUNTIF(U374:$Z374,"&gt;"&amp;0)&gt;5,IF(MOD(COUNTIF(T$641:T676,1),7)=0,$C$4,0),0)</f>
        <v>18.7415001329291</v>
      </c>
      <c r="U374" s="81" cm="1">
        <f ca="1" t="array" ref="U374">IF(U676=1,OFFSET($Z$338,$B374,U$335-1)/SUMPRODUCT(--($D$335:$V$335=U$335),--($D676:$V676=1)),0)+SUM(U373)+IF(COUNTIF(U$641:U676,1)=1,5,0)+IF(COUNTIF(V374:$Z374,"&gt;"&amp;0)&gt;5,IF(MOD(COUNTIF(U$641:U676,1),7)=0,$C$4,0),0)</f>
        <v>18.7415001329291</v>
      </c>
      <c r="V374" s="81" cm="1">
        <f ca="1" t="array" ref="V374">IF(V676=1,OFFSET($Z$338,$B374,V$335-1)/SUMPRODUCT(--($D$335:$V$335=V$335),--($D676:$V676=1)),0)+SUM(V373)+IF(COUNTIF(V$641:V676,1)=1,5,0)+IF(COUNTIF(Z374:$Z374,"&gt;"&amp;0)&gt;5,IF(MOD(COUNTIF(V$641:V676,1),7)=0,$C$4,0),0)</f>
        <v>10.7836809436472</v>
      </c>
      <c r="W374" s="81" cm="1">
        <f ca="1" t="array" ref="W374">IF(W676=1,OFFSET($Z$338,$B374,W$335-1)/SUMPRODUCT(--($D$335:$V$335=W$335),--($D676:$V676=1)),0)+SUM(W373)+IF(COUNTIF(W$641:W676,1)=1,5,0)+IF(COUNTIF($Z374:AA374,"&gt;"&amp;0)&gt;5,IF(MOD(COUNTIF(W$641:W676,1),7)=0,$C$4,0),0)</f>
        <v>0</v>
      </c>
      <c r="X374" s="81" cm="1">
        <f ca="1" t="array" ref="X374">IF(X676=1,OFFSET($Z$338,$B374,X$335-1)/SUMPRODUCT(--($D$335:$V$335=X$335),--($D676:$V676=1)),0)+SUM(X373)+IF(COUNTIF(X$641:X676,1)=1,5,0)+IF(COUNTIF($Z374:AB374,"&gt;"&amp;0)&gt;5,IF(MOD(COUNTIF(X$641:X676,1),7)=0,$C$4,0),0)</f>
        <v>0</v>
      </c>
      <c r="Y374" s="81" cm="1">
        <f ca="1" t="array" ref="Y374">IF(Y676=1,OFFSET($Z$338,$B374,Y$335-1)/SUMPRODUCT(--($D$335:$V$335=Y$335),--($D676:$V676=1)),0)+SUM(Y373)+IF(COUNTIF(Y$641:Y676,1)=1,5,0)+IF(COUNTIF($Z374:AC374,"&gt;"&amp;0)&gt;5,IF(MOD(COUNTIF(Y$641:Y676,1),7)=0,$C$4,0),0)</f>
        <v>0</v>
      </c>
      <c r="Z374" s="82" cm="1">
        <f ca="1" t="array" ref="Z374">SUMPRODUCT(TRANSPOSE($AD374:$AJ374),OFFSET($L$10:$L$16,0,Z$335-1))</f>
        <v>29.0648957169058</v>
      </c>
      <c r="AA374" s="82" cm="1">
        <f ca="1" t="array" ref="AA374">SUMPRODUCT(TRANSPOSE($AD374:$AJ374),OFFSET($L$10:$L$16,0,AA$335-1))</f>
        <v>17.6</v>
      </c>
      <c r="AB374" s="82" cm="1">
        <f ca="1" t="array" ref="AB374">SUMPRODUCT(TRANSPOSE($AD374:$AJ374),OFFSET($L$10:$L$16,0,AB$335-1))</f>
        <v>6.6</v>
      </c>
      <c r="AC374" s="82" cm="1">
        <f ca="1" t="array" ref="AC374">SUMPRODUCT(TRANSPOSE($AD374:$AJ374),OFFSET($L$10:$L$16,0,AC$335-1))</f>
        <v>1.73510428309417</v>
      </c>
      <c r="AD374" s="83">
        <f ca="1" t="shared" ref="AD374:AJ374" si="391">AK374-AK373</f>
        <v>0</v>
      </c>
      <c r="AE374" s="83">
        <f ca="1" t="shared" si="391"/>
        <v>0</v>
      </c>
      <c r="AF374" s="83">
        <f ca="1" t="shared" si="391"/>
        <v>0</v>
      </c>
      <c r="AG374" s="83">
        <f ca="1" t="shared" si="391"/>
        <v>110</v>
      </c>
      <c r="AH374" s="83">
        <f ca="1" t="shared" si="391"/>
        <v>0</v>
      </c>
      <c r="AI374" s="83">
        <f ca="1" t="shared" si="391"/>
        <v>0</v>
      </c>
      <c r="AJ374" s="83">
        <f ca="1" t="shared" si="391"/>
        <v>0</v>
      </c>
      <c r="AK374" s="83">
        <f ca="1" t="shared" si="321"/>
        <v>450</v>
      </c>
      <c r="AL374" s="83">
        <f ca="1" t="shared" ref="AL374:AQ374" si="392">IF($C374&gt;OFFSET($Q$9,MATCH(AL$338,$AK$338:$AQ$338,0),0),OFFSET($P$9,MATCH(AL$338,$AK$338:$AQ$338,0),0),MAX(0,$C374-OFFSET($Q$9,RIGHT(AL$338,1)-1,0)))</f>
        <v>909</v>
      </c>
      <c r="AM374" s="83">
        <f ca="1" t="shared" si="392"/>
        <v>1818</v>
      </c>
      <c r="AN374" s="83">
        <f ca="1" t="shared" si="392"/>
        <v>2109</v>
      </c>
      <c r="AO374" s="83">
        <f ca="1" t="shared" si="392"/>
        <v>0</v>
      </c>
      <c r="AP374" s="83">
        <f ca="1" t="shared" si="392"/>
        <v>0</v>
      </c>
      <c r="AQ374" s="83">
        <f ca="1" t="shared" si="392"/>
        <v>0</v>
      </c>
      <c r="AS374" s="52">
        <v>36</v>
      </c>
      <c r="AT374" s="52">
        <v>5870</v>
      </c>
      <c r="AU374" s="52">
        <v>5870</v>
      </c>
      <c r="AV374" s="52">
        <v>4010</v>
      </c>
      <c r="AW374" s="52">
        <v>2780</v>
      </c>
    </row>
    <row r="375" ht="16.5" spans="2:49">
      <c r="B375" s="65">
        <v>37</v>
      </c>
      <c r="C375" s="80">
        <f t="shared" si="319"/>
        <v>5396</v>
      </c>
      <c r="D375" s="81" cm="1">
        <f ca="1" t="array" ref="D375">IF(D677=1,OFFSET($Z$338,$B375,D$335-1)/SUMPRODUCT(--($D$335:$V$335=D$335),--($D677:$V677=1)),0)+SUM(D374)+IF(COUNTIF(D$641:D677,1)=1,5,0)+IF(COUNTIF(E375:$Z375,"&gt;"&amp;0)&gt;5,IF(MOD(COUNTIF(D$641:D677,1),7)=0,$C$4,0),0)</f>
        <v>580.8644048358</v>
      </c>
      <c r="E375" s="81" cm="1">
        <f ca="1" t="array" ref="E375">IF(E677=1,OFFSET($Z$338,$B375,E$335-1)/SUMPRODUCT(--($D$335:$V$335=E$335),--($D677:$V677=1)),0)+SUM(E374)+IF(COUNTIF(E$641:E677,1)=1,5,0)+IF(COUNTIF(F375:$Z375,"&gt;"&amp;0)&gt;5,IF(MOD(COUNTIF(E$641:E677,1),7)=0,$C$4,0),0)</f>
        <v>580.8644048358</v>
      </c>
      <c r="F375" s="81" cm="1">
        <f ca="1" t="array" ref="F375">IF(F677=1,OFFSET($Z$338,$B375,F$335-1)/SUMPRODUCT(--($D$335:$V$335=F$335),--($D677:$V677=1)),0)+SUM(F374)+IF(COUNTIF(F$641:F677,1)=1,5,0)+IF(COUNTIF(G375:$Z375,"&gt;"&amp;0)&gt;5,IF(MOD(COUNTIF(F$641:F677,1),7)=0,$C$4,0),0)</f>
        <v>580.8644048358</v>
      </c>
      <c r="G375" s="81" cm="1">
        <f ca="1" t="array" ref="G375">IF(G677=1,OFFSET($Z$338,$B375,G$335-1)/SUMPRODUCT(--($D$335:$V$335=G$335),--($D677:$V677=1)),0)+SUM(G374)+IF(COUNTIF(G$641:G677,1)=1,5,0)+IF(COUNTIF(H375:$Z375,"&gt;"&amp;0)&gt;5,IF(MOD(COUNTIF(G$641:G677,1),7)=0,$C$4,0),0)</f>
        <v>158.39</v>
      </c>
      <c r="H375" s="81" cm="1">
        <f ca="1" t="array" ref="H375">IF(H677=1,OFFSET($Z$338,$B375,H$335-1)/SUMPRODUCT(--($D$335:$V$335=H$335),--($D677:$V677=1)),0)+SUM(H374)+IF(COUNTIF(H$641:H677,1)=1,5,0)+IF(COUNTIF(I375:$Z375,"&gt;"&amp;0)&gt;5,IF(MOD(COUNTIF(H$641:H677,1),7)=0,$C$4,0),0)</f>
        <v>158.39</v>
      </c>
      <c r="I375" s="81" cm="1">
        <f ca="1" t="array" ref="I375">IF(I677=1,OFFSET($Z$338,$B375,I$335-1)/SUMPRODUCT(--($D$335:$V$335=I$335),--($D677:$V677=1)),0)+SUM(I374)+IF(COUNTIF(I$641:I677,1)=1,5,0)+IF(COUNTIF(J375:$Z375,"&gt;"&amp;0)&gt;5,IF(MOD(COUNTIF(I$641:I677,1),7)=0,$C$4,0),0)</f>
        <v>158.39</v>
      </c>
      <c r="J375" s="81" cm="1">
        <f ca="1" t="array" ref="J375">IF(J677=1,OFFSET($Z$338,$B375,J$335-1)/SUMPRODUCT(--($D$335:$V$335=J$335),--($D677:$V677=1)),0)+SUM(J374)+IF(COUNTIF(J$641:J677,1)=1,5,0)+IF(COUNTIF(K375:$Z375,"&gt;"&amp;0)&gt;5,IF(MOD(COUNTIF(J$641:J677,1),7)=0,$C$4,0),0)</f>
        <v>158.39</v>
      </c>
      <c r="K375" s="81" cm="1">
        <f ca="1" t="array" ref="K375">IF(K677=1,OFFSET($Z$338,$B375,K$335-1)/SUMPRODUCT(--($D$335:$V$335=K$335),--($D677:$V677=1)),0)+SUM(K374)+IF(COUNTIF(K$641:K677,1)=1,5,0)+IF(COUNTIF(L375:$Z375,"&gt;"&amp;0)&gt;5,IF(MOD(COUNTIF(K$641:K677,1),7)=0,$C$4,0),0)</f>
        <v>158.39</v>
      </c>
      <c r="L375" s="81" cm="1">
        <f ca="1" t="array" ref="L375">IF(L677=1,OFFSET($Z$338,$B375,L$335-1)/SUMPRODUCT(--($D$335:$V$335=L$335),--($D677:$V677=1)),0)+SUM(L374)+IF(COUNTIF(L$641:L677,1)=1,5,0)+IF(COUNTIF(M375:$Z375,"&gt;"&amp;0)&gt;5,IF(MOD(COUNTIF(L$641:L677,1),7)=0,$C$4,0),0)</f>
        <v>151.69</v>
      </c>
      <c r="M375" s="81" cm="1">
        <f ca="1" t="array" ref="M375">IF(M677=1,OFFSET($Z$338,$B375,M$335-1)/SUMPRODUCT(--($D$335:$V$335=M$335),--($D677:$V677=1)),0)+SUM(M374)+IF(COUNTIF(M$641:M677,1)=1,5,0)+IF(COUNTIF(N375:$Z375,"&gt;"&amp;0)&gt;5,IF(MOD(COUNTIF(M$641:M677,1),7)=0,$C$4,0),0)</f>
        <v>69.8069642857143</v>
      </c>
      <c r="N375" s="81" cm="1">
        <f ca="1" t="array" ref="N375">IF(N677=1,OFFSET($Z$338,$B375,N$335-1)/SUMPRODUCT(--($D$335:$V$335=N$335),--($D677:$V677=1)),0)+SUM(N374)+IF(COUNTIF(N$641:N677,1)=1,5,0)+IF(COUNTIF(O375:$Z375,"&gt;"&amp;0)&gt;5,IF(MOD(COUNTIF(N$641:N677,1),7)=0,$C$4,0),0)</f>
        <v>62.0819642857143</v>
      </c>
      <c r="O375" s="81" cm="1">
        <f ca="1" t="array" ref="O375">IF(O677=1,OFFSET($Z$338,$B375,O$335-1)/SUMPRODUCT(--($D$335:$V$335=O$335),--($D677:$V677=1)),0)+SUM(O374)+IF(COUNTIF(O$641:O677,1)=1,5,0)+IF(COUNTIF(P375:$Z375,"&gt;"&amp;0)&gt;5,IF(MOD(COUNTIF(O$641:O677,1),7)=0,$C$4,0),0)</f>
        <v>54.6569642857143</v>
      </c>
      <c r="P375" s="81" cm="1">
        <f ca="1" t="array" ref="P375">IF(P677=1,OFFSET($Z$338,$B375,P$335-1)/SUMPRODUCT(--($D$335:$V$335=P$335),--($D677:$V677=1)),0)+SUM(P374)+IF(COUNTIF(P$641:P677,1)=1,5,0)+IF(COUNTIF(Q375:$Z375,"&gt;"&amp;0)&gt;5,IF(MOD(COUNTIF(P$641:P677,1),7)=0,$C$4,0),0)</f>
        <v>51.723630952381</v>
      </c>
      <c r="Q375" s="81" cm="1">
        <f ca="1" t="array" ref="Q375">IF(Q677=1,OFFSET($Z$338,$B375,Q$335-1)/SUMPRODUCT(--($D$335:$V$335=Q$335),--($D677:$V677=1)),0)+SUM(Q374)+IF(COUNTIF(Q$641:Q677,1)=1,5,0)+IF(COUNTIF(R375:$Z375,"&gt;"&amp;0)&gt;5,IF(MOD(COUNTIF(Q$641:Q677,1),7)=0,$C$4,0),0)</f>
        <v>50.817380952381</v>
      </c>
      <c r="R375" s="81" cm="1">
        <f ca="1" t="array" ref="R375">IF(R677=1,OFFSET($Z$338,$B375,R$335-1)/SUMPRODUCT(--($D$335:$V$335=R$335),--($D677:$V677=1)),0)+SUM(R374)+IF(COUNTIF(R$641:R677,1)=1,5,0)+IF(COUNTIF(S375:$Z375,"&gt;"&amp;0)&gt;5,IF(MOD(COUNTIF(R$641:R677,1),7)=0,$C$4,0),0)</f>
        <v>30.922380952381</v>
      </c>
      <c r="S375" s="81" cm="1">
        <f ca="1" t="array" ref="S375">IF(S677=1,OFFSET($Z$338,$B375,S$335-1)/SUMPRODUCT(--($D$335:$V$335=S$335),--($D677:$V677=1)),0)+SUM(S374)+IF(COUNTIF(S$641:S677,1)=1,5,0)+IF(COUNTIF(T375:$Z375,"&gt;"&amp;0)&gt;5,IF(MOD(COUNTIF(S$641:S677,1),7)=0,$C$4,0),0)</f>
        <v>26.7557142857143</v>
      </c>
      <c r="T375" s="81" cm="1">
        <f ca="1" t="array" ref="T375">IF(T677=1,OFFSET($Z$338,$B375,T$335-1)/SUMPRODUCT(--($D$335:$V$335=T$335),--($D677:$V677=1)),0)+SUM(T374)+IF(COUNTIF(T$641:T677,1)=1,5,0)+IF(COUNTIF(U375:$Z375,"&gt;"&amp;0)&gt;5,IF(MOD(COUNTIF(T$641:T677,1),7)=0,$C$4,0),0)</f>
        <v>19.3198682272939</v>
      </c>
      <c r="U375" s="81" cm="1">
        <f ca="1" t="array" ref="U375">IF(U677=1,OFFSET($Z$338,$B375,U$335-1)/SUMPRODUCT(--($D$335:$V$335=U$335),--($D677:$V677=1)),0)+SUM(U374)+IF(COUNTIF(U$641:U677,1)=1,5,0)+IF(COUNTIF(V375:$Z375,"&gt;"&amp;0)&gt;5,IF(MOD(COUNTIF(U$641:U677,1),7)=0,$C$4,0),0)</f>
        <v>19.3198682272939</v>
      </c>
      <c r="V375" s="81" cm="1">
        <f ca="1" t="array" ref="V375">IF(V677=1,OFFSET($Z$338,$B375,V$335-1)/SUMPRODUCT(--($D$335:$V$335=V$335),--($D677:$V677=1)),0)+SUM(V374)+IF(COUNTIF(V$641:V677,1)=1,5,0)+IF(COUNTIF(Z375:$Z375,"&gt;"&amp;0)&gt;5,IF(MOD(COUNTIF(V$641:V677,1),7)=0,$C$4,0),0)</f>
        <v>11.362049038012</v>
      </c>
      <c r="W375" s="81" cm="1">
        <f ca="1" t="array" ref="W375">IF(W677=1,OFFSET($Z$338,$B375,W$335-1)/SUMPRODUCT(--($D$335:$V$335=W$335),--($D677:$V677=1)),0)+SUM(W374)+IF(COUNTIF(W$641:W677,1)=1,5,0)+IF(COUNTIF($Z375:AA375,"&gt;"&amp;0)&gt;5,IF(MOD(COUNTIF(W$641:W677,1),7)=0,$C$4,0),0)</f>
        <v>0</v>
      </c>
      <c r="X375" s="81" cm="1">
        <f ca="1" t="array" ref="X375">IF(X677=1,OFFSET($Z$338,$B375,X$335-1)/SUMPRODUCT(--($D$335:$V$335=X$335),--($D677:$V677=1)),0)+SUM(X374)+IF(COUNTIF(X$641:X677,1)=1,5,0)+IF(COUNTIF($Z375:AB375,"&gt;"&amp;0)&gt;5,IF(MOD(COUNTIF(X$641:X677,1),7)=0,$C$4,0),0)</f>
        <v>0</v>
      </c>
      <c r="Y375" s="81" cm="1">
        <f ca="1" t="array" ref="Y375">IF(Y677=1,OFFSET($Z$338,$B375,Y$335-1)/SUMPRODUCT(--($D$335:$V$335=Y$335),--($D677:$V677=1)),0)+SUM(Y374)+IF(COUNTIF(Y$641:Y677,1)=1,5,0)+IF(COUNTIF($Z375:AC375,"&gt;"&amp;0)&gt;5,IF(MOD(COUNTIF(Y$641:Y677,1),7)=0,$C$4,0),0)</f>
        <v>0</v>
      </c>
      <c r="Z375" s="82" cm="1">
        <f ca="1" t="array" ref="Z375">SUMPRODUCT(TRANSPOSE($AD375:$AJ375),OFFSET($L$10:$L$16,0,Z$335-1))</f>
        <v>29.0648957169058</v>
      </c>
      <c r="AA375" s="82" cm="1">
        <f ca="1" t="array" ref="AA375">SUMPRODUCT(TRANSPOSE($AD375:$AJ375),OFFSET($L$10:$L$16,0,AA$335-1))</f>
        <v>17.6</v>
      </c>
      <c r="AB375" s="82" cm="1">
        <f ca="1" t="array" ref="AB375">SUMPRODUCT(TRANSPOSE($AD375:$AJ375),OFFSET($L$10:$L$16,0,AB$335-1))</f>
        <v>6.6</v>
      </c>
      <c r="AC375" s="82" cm="1">
        <f ca="1" t="array" ref="AC375">SUMPRODUCT(TRANSPOSE($AD375:$AJ375),OFFSET($L$10:$L$16,0,AC$335-1))</f>
        <v>1.73510428309417</v>
      </c>
      <c r="AD375" s="83">
        <f ca="1" t="shared" ref="AD375:AJ375" si="393">AK375-AK374</f>
        <v>0</v>
      </c>
      <c r="AE375" s="83">
        <f ca="1" t="shared" si="393"/>
        <v>0</v>
      </c>
      <c r="AF375" s="83">
        <f ca="1" t="shared" si="393"/>
        <v>0</v>
      </c>
      <c r="AG375" s="83">
        <f ca="1" t="shared" si="393"/>
        <v>110</v>
      </c>
      <c r="AH375" s="83">
        <f ca="1" t="shared" si="393"/>
        <v>0</v>
      </c>
      <c r="AI375" s="83">
        <f ca="1" t="shared" si="393"/>
        <v>0</v>
      </c>
      <c r="AJ375" s="83">
        <f ca="1" t="shared" si="393"/>
        <v>0</v>
      </c>
      <c r="AK375" s="83">
        <f ca="1" t="shared" si="321"/>
        <v>450</v>
      </c>
      <c r="AL375" s="83">
        <f ca="1" t="shared" ref="AL375:AQ375" si="394">IF($C375&gt;OFFSET($Q$9,MATCH(AL$338,$AK$338:$AQ$338,0),0),OFFSET($P$9,MATCH(AL$338,$AK$338:$AQ$338,0),0),MAX(0,$C375-OFFSET($Q$9,RIGHT(AL$338,1)-1,0)))</f>
        <v>909</v>
      </c>
      <c r="AM375" s="83">
        <f ca="1" t="shared" si="394"/>
        <v>1818</v>
      </c>
      <c r="AN375" s="83">
        <f ca="1" t="shared" si="394"/>
        <v>2219</v>
      </c>
      <c r="AO375" s="83">
        <f ca="1" t="shared" si="394"/>
        <v>0</v>
      </c>
      <c r="AP375" s="83">
        <f ca="1" t="shared" si="394"/>
        <v>0</v>
      </c>
      <c r="AQ375" s="83">
        <f ca="1" t="shared" si="394"/>
        <v>0</v>
      </c>
      <c r="AS375" s="52">
        <v>37</v>
      </c>
      <c r="AT375" s="52">
        <v>6590</v>
      </c>
      <c r="AU375" s="52">
        <v>6590</v>
      </c>
      <c r="AV375" s="52">
        <v>4370</v>
      </c>
      <c r="AW375" s="52">
        <v>2960</v>
      </c>
    </row>
    <row r="376" ht="16.5" spans="2:49">
      <c r="B376" s="65">
        <v>38</v>
      </c>
      <c r="C376" s="80">
        <f t="shared" si="319"/>
        <v>5506</v>
      </c>
      <c r="D376" s="81" cm="1">
        <f ca="1" t="array" ref="D376">IF(D678=1,OFFSET($Z$338,$B376,D$335-1)/SUMPRODUCT(--($D$335:$V$335=D$335),--($D678:$V678=1)),0)+SUM(D375)+IF(COUNTIF(D$641:D678,1)=1,5,0)+IF(COUNTIF(E376:$Z376,"&gt;"&amp;0)&gt;5,IF(MOD(COUNTIF(D$641:D678,1),7)=0,$C$4,0),0)</f>
        <v>590.552703408102</v>
      </c>
      <c r="E376" s="81" cm="1">
        <f ca="1" t="array" ref="E376">IF(E678=1,OFFSET($Z$338,$B376,E$335-1)/SUMPRODUCT(--($D$335:$V$335=E$335),--($D678:$V678=1)),0)+SUM(E375)+IF(COUNTIF(E$641:E678,1)=1,5,0)+IF(COUNTIF(F376:$Z376,"&gt;"&amp;0)&gt;5,IF(MOD(COUNTIF(E$641:E678,1),7)=0,$C$4,0),0)</f>
        <v>590.552703408102</v>
      </c>
      <c r="F376" s="81" cm="1">
        <f ca="1" t="array" ref="F376">IF(F678=1,OFFSET($Z$338,$B376,F$335-1)/SUMPRODUCT(--($D$335:$V$335=F$335),--($D678:$V678=1)),0)+SUM(F375)+IF(COUNTIF(F$641:F678,1)=1,5,0)+IF(COUNTIF(G376:$Z376,"&gt;"&amp;0)&gt;5,IF(MOD(COUNTIF(F$641:F678,1),7)=0,$C$4,0),0)</f>
        <v>590.552703408102</v>
      </c>
      <c r="G376" s="81" cm="1">
        <f ca="1" t="array" ref="G376">IF(G678=1,OFFSET($Z$338,$B376,G$335-1)/SUMPRODUCT(--($D$335:$V$335=G$335),--($D678:$V678=1)),0)+SUM(G375)+IF(COUNTIF(G$641:G678,1)=1,5,0)+IF(COUNTIF(H376:$Z376,"&gt;"&amp;0)&gt;5,IF(MOD(COUNTIF(G$641:G678,1),7)=0,$C$4,0),0)</f>
        <v>161.323333333333</v>
      </c>
      <c r="H376" s="81" cm="1">
        <f ca="1" t="array" ref="H376">IF(H678=1,OFFSET($Z$338,$B376,H$335-1)/SUMPRODUCT(--($D$335:$V$335=H$335),--($D678:$V678=1)),0)+SUM(H375)+IF(COUNTIF(H$641:H678,1)=1,5,0)+IF(COUNTIF(I376:$Z376,"&gt;"&amp;0)&gt;5,IF(MOD(COUNTIF(H$641:H678,1),7)=0,$C$4,0),0)</f>
        <v>161.323333333333</v>
      </c>
      <c r="I376" s="81" cm="1">
        <f ca="1" t="array" ref="I376">IF(I678=1,OFFSET($Z$338,$B376,I$335-1)/SUMPRODUCT(--($D$335:$V$335=I$335),--($D678:$V678=1)),0)+SUM(I375)+IF(COUNTIF(I$641:I678,1)=1,5,0)+IF(COUNTIF(J376:$Z376,"&gt;"&amp;0)&gt;5,IF(MOD(COUNTIF(I$641:I678,1),7)=0,$C$4,0),0)</f>
        <v>161.323333333333</v>
      </c>
      <c r="J376" s="81" cm="1">
        <f ca="1" t="array" ref="J376">IF(J678=1,OFFSET($Z$338,$B376,J$335-1)/SUMPRODUCT(--($D$335:$V$335=J$335),--($D678:$V678=1)),0)+SUM(J375)+IF(COUNTIF(J$641:J678,1)=1,5,0)+IF(COUNTIF(K376:$Z376,"&gt;"&amp;0)&gt;5,IF(MOD(COUNTIF(J$641:J678,1),7)=0,$C$4,0),0)</f>
        <v>161.323333333333</v>
      </c>
      <c r="K376" s="81" cm="1">
        <f ca="1" t="array" ref="K376">IF(K678=1,OFFSET($Z$338,$B376,K$335-1)/SUMPRODUCT(--($D$335:$V$335=K$335),--($D678:$V678=1)),0)+SUM(K375)+IF(COUNTIF(K$641:K678,1)=1,5,0)+IF(COUNTIF(L376:$Z376,"&gt;"&amp;0)&gt;5,IF(MOD(COUNTIF(K$641:K678,1),7)=0,$C$4,0),0)</f>
        <v>161.323333333333</v>
      </c>
      <c r="L376" s="81" cm="1">
        <f ca="1" t="array" ref="L376">IF(L678=1,OFFSET($Z$338,$B376,L$335-1)/SUMPRODUCT(--($D$335:$V$335=L$335),--($D678:$V678=1)),0)+SUM(L375)+IF(COUNTIF(L$641:L678,1)=1,5,0)+IF(COUNTIF(M376:$Z376,"&gt;"&amp;0)&gt;5,IF(MOD(COUNTIF(L$641:L678,1),7)=0,$C$4,0),0)</f>
        <v>154.623333333333</v>
      </c>
      <c r="M376" s="81" cm="1">
        <f ca="1" t="array" ref="M376">IF(M678=1,OFFSET($Z$338,$B376,M$335-1)/SUMPRODUCT(--($D$335:$V$335=M$335),--($D678:$V678=1)),0)+SUM(M375)+IF(COUNTIF(M$641:M678,1)=1,5,0)+IF(COUNTIF(N376:$Z376,"&gt;"&amp;0)&gt;5,IF(MOD(COUNTIF(M$641:M678,1),7)=0,$C$4,0),0)</f>
        <v>70.7498214285714</v>
      </c>
      <c r="N376" s="81" cm="1">
        <f ca="1" t="array" ref="N376">IF(N678=1,OFFSET($Z$338,$B376,N$335-1)/SUMPRODUCT(--($D$335:$V$335=N$335),--($D678:$V678=1)),0)+SUM(N375)+IF(COUNTIF(N$641:N678,1)=1,5,0)+IF(COUNTIF(O376:$Z376,"&gt;"&amp;0)&gt;5,IF(MOD(COUNTIF(N$641:N678,1),7)=0,$C$4,0),0)</f>
        <v>63.0248214285714</v>
      </c>
      <c r="O376" s="81" cm="1">
        <f ca="1" t="array" ref="O376">IF(O678=1,OFFSET($Z$338,$B376,O$335-1)/SUMPRODUCT(--($D$335:$V$335=O$335),--($D678:$V678=1)),0)+SUM(O375)+IF(COUNTIF(O$641:O678,1)=1,5,0)+IF(COUNTIF(P376:$Z376,"&gt;"&amp;0)&gt;5,IF(MOD(COUNTIF(O$641:O678,1),7)=0,$C$4,0),0)</f>
        <v>60.5998214285714</v>
      </c>
      <c r="P376" s="81" cm="1">
        <f ca="1" t="array" ref="P376">IF(P678=1,OFFSET($Z$338,$B376,P$335-1)/SUMPRODUCT(--($D$335:$V$335=P$335),--($D678:$V678=1)),0)+SUM(P375)+IF(COUNTIF(P$641:P678,1)=1,5,0)+IF(COUNTIF(Q376:$Z376,"&gt;"&amp;0)&gt;5,IF(MOD(COUNTIF(P$641:P678,1),7)=0,$C$4,0),0)</f>
        <v>52.6664880952381</v>
      </c>
      <c r="Q376" s="81" cm="1">
        <f ca="1" t="array" ref="Q376">IF(Q678=1,OFFSET($Z$338,$B376,Q$335-1)/SUMPRODUCT(--($D$335:$V$335=Q$335),--($D678:$V678=1)),0)+SUM(Q375)+IF(COUNTIF(Q$641:Q678,1)=1,5,0)+IF(COUNTIF(R376:$Z376,"&gt;"&amp;0)&gt;5,IF(MOD(COUNTIF(Q$641:Q678,1),7)=0,$C$4,0),0)</f>
        <v>51.7602380952381</v>
      </c>
      <c r="R376" s="81" cm="1">
        <f ca="1" t="array" ref="R376">IF(R678=1,OFFSET($Z$338,$B376,R$335-1)/SUMPRODUCT(--($D$335:$V$335=R$335),--($D678:$V678=1)),0)+SUM(R375)+IF(COUNTIF(R$641:R678,1)=1,5,0)+IF(COUNTIF(S376:$Z376,"&gt;"&amp;0)&gt;5,IF(MOD(COUNTIF(R$641:R678,1),7)=0,$C$4,0),0)</f>
        <v>31.8652380952381</v>
      </c>
      <c r="S376" s="81" cm="1">
        <f ca="1" t="array" ref="S376">IF(S678=1,OFFSET($Z$338,$B376,S$335-1)/SUMPRODUCT(--($D$335:$V$335=S$335),--($D678:$V678=1)),0)+SUM(S375)+IF(COUNTIF(S$641:S678,1)=1,5,0)+IF(COUNTIF(T376:$Z376,"&gt;"&amp;0)&gt;5,IF(MOD(COUNTIF(S$641:S678,1),7)=0,$C$4,0),0)</f>
        <v>27.6985714285714</v>
      </c>
      <c r="T376" s="81" cm="1">
        <f ca="1" t="array" ref="T376">IF(T678=1,OFFSET($Z$338,$B376,T$335-1)/SUMPRODUCT(--($D$335:$V$335=T$335),--($D678:$V678=1)),0)+SUM(T375)+IF(COUNTIF(T$641:T678,1)=1,5,0)+IF(COUNTIF(U376:$Z376,"&gt;"&amp;0)&gt;5,IF(MOD(COUNTIF(T$641:T678,1),7)=0,$C$4,0),0)</f>
        <v>19.8982363216586</v>
      </c>
      <c r="U376" s="81" cm="1">
        <f ca="1" t="array" ref="U376">IF(U678=1,OFFSET($Z$338,$B376,U$335-1)/SUMPRODUCT(--($D$335:$V$335=U$335),--($D678:$V678=1)),0)+SUM(U375)+IF(COUNTIF(U$641:U678,1)=1,5,0)+IF(COUNTIF(V376:$Z376,"&gt;"&amp;0)&gt;5,IF(MOD(COUNTIF(U$641:U678,1),7)=0,$C$4,0),0)</f>
        <v>19.8982363216586</v>
      </c>
      <c r="V376" s="81" cm="1">
        <f ca="1" t="array" ref="V376">IF(V678=1,OFFSET($Z$338,$B376,V$335-1)/SUMPRODUCT(--($D$335:$V$335=V$335),--($D678:$V678=1)),0)+SUM(V375)+IF(COUNTIF(V$641:V678,1)=1,5,0)+IF(COUNTIF(Z376:$Z376,"&gt;"&amp;0)&gt;5,IF(MOD(COUNTIF(V$641:V678,1),7)=0,$C$4,0),0)</f>
        <v>11.9404171323767</v>
      </c>
      <c r="W376" s="81" cm="1">
        <f ca="1" t="array" ref="W376">IF(W678=1,OFFSET($Z$338,$B376,W$335-1)/SUMPRODUCT(--($D$335:$V$335=W$335),--($D678:$V678=1)),0)+SUM(W375)+IF(COUNTIF(W$641:W678,1)=1,5,0)+IF(COUNTIF($Z376:AA376,"&gt;"&amp;0)&gt;5,IF(MOD(COUNTIF(W$641:W678,1),7)=0,$C$4,0),0)</f>
        <v>0</v>
      </c>
      <c r="X376" s="81" cm="1">
        <f ca="1" t="array" ref="X376">IF(X678=1,OFFSET($Z$338,$B376,X$335-1)/SUMPRODUCT(--($D$335:$V$335=X$335),--($D678:$V678=1)),0)+SUM(X375)+IF(COUNTIF(X$641:X678,1)=1,5,0)+IF(COUNTIF($Z376:AB376,"&gt;"&amp;0)&gt;5,IF(MOD(COUNTIF(X$641:X678,1),7)=0,$C$4,0),0)</f>
        <v>0</v>
      </c>
      <c r="Y376" s="81" cm="1">
        <f ca="1" t="array" ref="Y376">IF(Y678=1,OFFSET($Z$338,$B376,Y$335-1)/SUMPRODUCT(--($D$335:$V$335=Y$335),--($D678:$V678=1)),0)+SUM(Y375)+IF(COUNTIF(Y$641:Y678,1)=1,5,0)+IF(COUNTIF($Z376:AC376,"&gt;"&amp;0)&gt;5,IF(MOD(COUNTIF(Y$641:Y678,1),7)=0,$C$4,0),0)</f>
        <v>0</v>
      </c>
      <c r="Z376" s="82" cm="1">
        <f ca="1" t="array" ref="Z376">SUMPRODUCT(TRANSPOSE($AD376:$AJ376),OFFSET($L$10:$L$16,0,Z$335-1))</f>
        <v>29.0648957169058</v>
      </c>
      <c r="AA376" s="82" cm="1">
        <f ca="1" t="array" ref="AA376">SUMPRODUCT(TRANSPOSE($AD376:$AJ376),OFFSET($L$10:$L$16,0,AA$335-1))</f>
        <v>17.6</v>
      </c>
      <c r="AB376" s="82" cm="1">
        <f ca="1" t="array" ref="AB376">SUMPRODUCT(TRANSPOSE($AD376:$AJ376),OFFSET($L$10:$L$16,0,AB$335-1))</f>
        <v>6.6</v>
      </c>
      <c r="AC376" s="82" cm="1">
        <f ca="1" t="array" ref="AC376">SUMPRODUCT(TRANSPOSE($AD376:$AJ376),OFFSET($L$10:$L$16,0,AC$335-1))</f>
        <v>1.73510428309417</v>
      </c>
      <c r="AD376" s="83">
        <f ca="1" t="shared" ref="AD376:AJ376" si="395">AK376-AK375</f>
        <v>0</v>
      </c>
      <c r="AE376" s="83">
        <f ca="1" t="shared" si="395"/>
        <v>0</v>
      </c>
      <c r="AF376" s="83">
        <f ca="1" t="shared" si="395"/>
        <v>0</v>
      </c>
      <c r="AG376" s="83">
        <f ca="1" t="shared" si="395"/>
        <v>110</v>
      </c>
      <c r="AH376" s="83">
        <f ca="1" t="shared" si="395"/>
        <v>0</v>
      </c>
      <c r="AI376" s="83">
        <f ca="1" t="shared" si="395"/>
        <v>0</v>
      </c>
      <c r="AJ376" s="83">
        <f ca="1" t="shared" si="395"/>
        <v>0</v>
      </c>
      <c r="AK376" s="83">
        <f ca="1" t="shared" si="321"/>
        <v>450</v>
      </c>
      <c r="AL376" s="83">
        <f ca="1" t="shared" ref="AL376:AQ376" si="396">IF($C376&gt;OFFSET($Q$9,MATCH(AL$338,$AK$338:$AQ$338,0),0),OFFSET($P$9,MATCH(AL$338,$AK$338:$AQ$338,0),0),MAX(0,$C376-OFFSET($Q$9,RIGHT(AL$338,1)-1,0)))</f>
        <v>909</v>
      </c>
      <c r="AM376" s="83">
        <f ca="1" t="shared" si="396"/>
        <v>1818</v>
      </c>
      <c r="AN376" s="83">
        <f ca="1" t="shared" si="396"/>
        <v>2329</v>
      </c>
      <c r="AO376" s="83">
        <f ca="1" t="shared" si="396"/>
        <v>0</v>
      </c>
      <c r="AP376" s="83">
        <f ca="1" t="shared" si="396"/>
        <v>0</v>
      </c>
      <c r="AQ376" s="83">
        <f ca="1" t="shared" si="396"/>
        <v>0</v>
      </c>
      <c r="AS376" s="52">
        <v>38</v>
      </c>
      <c r="AT376" s="52">
        <v>7310</v>
      </c>
      <c r="AU376" s="52">
        <v>7310</v>
      </c>
      <c r="AV376" s="52">
        <v>4730</v>
      </c>
      <c r="AW376" s="52">
        <v>3140</v>
      </c>
    </row>
    <row r="377" ht="16.5" spans="2:49">
      <c r="B377" s="65">
        <v>39</v>
      </c>
      <c r="C377" s="80">
        <f t="shared" si="319"/>
        <v>5616</v>
      </c>
      <c r="D377" s="81" cm="1">
        <f ca="1" t="array" ref="D377">IF(D679=1,OFFSET($Z$338,$B377,D$335-1)/SUMPRODUCT(--($D$335:$V$335=D$335),--($D679:$V679=1)),0)+SUM(D376)+IF(COUNTIF(D$641:D679,1)=1,5,0)+IF(COUNTIF(E377:$Z377,"&gt;"&amp;0)&gt;5,IF(MOD(COUNTIF(D$641:D679,1),7)=0,$C$4,0),0)</f>
        <v>600.241001980404</v>
      </c>
      <c r="E377" s="81" cm="1">
        <f ca="1" t="array" ref="E377">IF(E679=1,OFFSET($Z$338,$B377,E$335-1)/SUMPRODUCT(--($D$335:$V$335=E$335),--($D679:$V679=1)),0)+SUM(E376)+IF(COUNTIF(E$641:E679,1)=1,5,0)+IF(COUNTIF(F377:$Z377,"&gt;"&amp;0)&gt;5,IF(MOD(COUNTIF(E$641:E679,1),7)=0,$C$4,0),0)</f>
        <v>600.241001980404</v>
      </c>
      <c r="F377" s="81" cm="1">
        <f ca="1" t="array" ref="F377">IF(F679=1,OFFSET($Z$338,$B377,F$335-1)/SUMPRODUCT(--($D$335:$V$335=F$335),--($D679:$V679=1)),0)+SUM(F376)+IF(COUNTIF(F$641:F679,1)=1,5,0)+IF(COUNTIF(G377:$Z377,"&gt;"&amp;0)&gt;5,IF(MOD(COUNTIF(F$641:F679,1),7)=0,$C$4,0),0)</f>
        <v>600.241001980404</v>
      </c>
      <c r="G377" s="81" cm="1">
        <f ca="1" t="array" ref="G377">IF(G679=1,OFFSET($Z$338,$B377,G$335-1)/SUMPRODUCT(--($D$335:$V$335=G$335),--($D679:$V679=1)),0)+SUM(G376)+IF(COUNTIF(G$641:G679,1)=1,5,0)+IF(COUNTIF(H377:$Z377,"&gt;"&amp;0)&gt;5,IF(MOD(COUNTIF(G$641:G679,1),7)=0,$C$4,0),0)</f>
        <v>164.256666666667</v>
      </c>
      <c r="H377" s="81" cm="1">
        <f ca="1" t="array" ref="H377">IF(H679=1,OFFSET($Z$338,$B377,H$335-1)/SUMPRODUCT(--($D$335:$V$335=H$335),--($D679:$V679=1)),0)+SUM(H376)+IF(COUNTIF(H$641:H679,1)=1,5,0)+IF(COUNTIF(I377:$Z377,"&gt;"&amp;0)&gt;5,IF(MOD(COUNTIF(H$641:H679,1),7)=0,$C$4,0),0)</f>
        <v>164.256666666667</v>
      </c>
      <c r="I377" s="81" cm="1">
        <f ca="1" t="array" ref="I377">IF(I679=1,OFFSET($Z$338,$B377,I$335-1)/SUMPRODUCT(--($D$335:$V$335=I$335),--($D679:$V679=1)),0)+SUM(I376)+IF(COUNTIF(I$641:I679,1)=1,5,0)+IF(COUNTIF(J377:$Z377,"&gt;"&amp;0)&gt;5,IF(MOD(COUNTIF(I$641:I679,1),7)=0,$C$4,0),0)</f>
        <v>164.256666666667</v>
      </c>
      <c r="J377" s="81" cm="1">
        <f ca="1" t="array" ref="J377">IF(J679=1,OFFSET($Z$338,$B377,J$335-1)/SUMPRODUCT(--($D$335:$V$335=J$335),--($D679:$V679=1)),0)+SUM(J376)+IF(COUNTIF(J$641:J679,1)=1,5,0)+IF(COUNTIF(K377:$Z377,"&gt;"&amp;0)&gt;5,IF(MOD(COUNTIF(J$641:J679,1),7)=0,$C$4,0),0)</f>
        <v>164.256666666667</v>
      </c>
      <c r="K377" s="81" cm="1">
        <f ca="1" t="array" ref="K377">IF(K679=1,OFFSET($Z$338,$B377,K$335-1)/SUMPRODUCT(--($D$335:$V$335=K$335),--($D679:$V679=1)),0)+SUM(K376)+IF(COUNTIF(K$641:K679,1)=1,5,0)+IF(COUNTIF(L377:$Z377,"&gt;"&amp;0)&gt;5,IF(MOD(COUNTIF(K$641:K679,1),7)=0,$C$4,0),0)</f>
        <v>164.256666666667</v>
      </c>
      <c r="L377" s="81" cm="1">
        <f ca="1" t="array" ref="L377">IF(L679=1,OFFSET($Z$338,$B377,L$335-1)/SUMPRODUCT(--($D$335:$V$335=L$335),--($D679:$V679=1)),0)+SUM(L376)+IF(COUNTIF(L$641:L679,1)=1,5,0)+IF(COUNTIF(M377:$Z377,"&gt;"&amp;0)&gt;5,IF(MOD(COUNTIF(L$641:L679,1),7)=0,$C$4,0),0)</f>
        <v>157.556666666667</v>
      </c>
      <c r="M377" s="81" cm="1">
        <f ca="1" t="array" ref="M377">IF(M679=1,OFFSET($Z$338,$B377,M$335-1)/SUMPRODUCT(--($D$335:$V$335=M$335),--($D679:$V679=1)),0)+SUM(M376)+IF(COUNTIF(M$641:M679,1)=1,5,0)+IF(COUNTIF(N377:$Z377,"&gt;"&amp;0)&gt;5,IF(MOD(COUNTIF(M$641:M679,1),7)=0,$C$4,0),0)</f>
        <v>71.6926785714285</v>
      </c>
      <c r="N377" s="81" cm="1">
        <f ca="1" t="array" ref="N377">IF(N679=1,OFFSET($Z$338,$B377,N$335-1)/SUMPRODUCT(--($D$335:$V$335=N$335),--($D679:$V679=1)),0)+SUM(N376)+IF(COUNTIF(N$641:N679,1)=1,5,0)+IF(COUNTIF(O377:$Z377,"&gt;"&amp;0)&gt;5,IF(MOD(COUNTIF(N$641:N679,1),7)=0,$C$4,0),0)</f>
        <v>63.9676785714286</v>
      </c>
      <c r="O377" s="81" cm="1">
        <f ca="1" t="array" ref="O377">IF(O679=1,OFFSET($Z$338,$B377,O$335-1)/SUMPRODUCT(--($D$335:$V$335=O$335),--($D679:$V679=1)),0)+SUM(O376)+IF(COUNTIF(O$641:O679,1)=1,5,0)+IF(COUNTIF(P377:$Z377,"&gt;"&amp;0)&gt;5,IF(MOD(COUNTIF(O$641:O679,1),7)=0,$C$4,0),0)</f>
        <v>61.5426785714286</v>
      </c>
      <c r="P377" s="81" cm="1">
        <f ca="1" t="array" ref="P377">IF(P679=1,OFFSET($Z$338,$B377,P$335-1)/SUMPRODUCT(--($D$335:$V$335=P$335),--($D679:$V679=1)),0)+SUM(P376)+IF(COUNTIF(P$641:P679,1)=1,5,0)+IF(COUNTIF(Q377:$Z377,"&gt;"&amp;0)&gt;5,IF(MOD(COUNTIF(P$641:P679,1),7)=0,$C$4,0),0)</f>
        <v>53.6093452380952</v>
      </c>
      <c r="Q377" s="81" cm="1">
        <f ca="1" t="array" ref="Q377">IF(Q679=1,OFFSET($Z$338,$B377,Q$335-1)/SUMPRODUCT(--($D$335:$V$335=Q$335),--($D679:$V679=1)),0)+SUM(Q376)+IF(COUNTIF(Q$641:Q679,1)=1,5,0)+IF(COUNTIF(R377:$Z377,"&gt;"&amp;0)&gt;5,IF(MOD(COUNTIF(Q$641:Q679,1),7)=0,$C$4,0),0)</f>
        <v>52.7030952380952</v>
      </c>
      <c r="R377" s="81" cm="1">
        <f ca="1" t="array" ref="R377">IF(R679=1,OFFSET($Z$338,$B377,R$335-1)/SUMPRODUCT(--($D$335:$V$335=R$335),--($D679:$V679=1)),0)+SUM(R376)+IF(COUNTIF(R$641:R679,1)=1,5,0)+IF(COUNTIF(S377:$Z377,"&gt;"&amp;0)&gt;5,IF(MOD(COUNTIF(R$641:R679,1),7)=0,$C$4,0),0)</f>
        <v>32.8080952380952</v>
      </c>
      <c r="S377" s="81" cm="1">
        <f ca="1" t="array" ref="S377">IF(S679=1,OFFSET($Z$338,$B377,S$335-1)/SUMPRODUCT(--($D$335:$V$335=S$335),--($D679:$V679=1)),0)+SUM(S376)+IF(COUNTIF(S$641:S679,1)=1,5,0)+IF(COUNTIF(T377:$Z377,"&gt;"&amp;0)&gt;5,IF(MOD(COUNTIF(S$641:S679,1),7)=0,$C$4,0),0)</f>
        <v>28.6414285714286</v>
      </c>
      <c r="T377" s="81" cm="1">
        <f ca="1" t="array" ref="T377">IF(T679=1,OFFSET($Z$338,$B377,T$335-1)/SUMPRODUCT(--($D$335:$V$335=T$335),--($D679:$V679=1)),0)+SUM(T376)+IF(COUNTIF(T$641:T679,1)=1,5,0)+IF(COUNTIF(U377:$Z377,"&gt;"&amp;0)&gt;5,IF(MOD(COUNTIF(T$641:T679,1),7)=0,$C$4,0),0)</f>
        <v>20.4766044160233</v>
      </c>
      <c r="U377" s="81" cm="1">
        <f ca="1" t="array" ref="U377">IF(U679=1,OFFSET($Z$338,$B377,U$335-1)/SUMPRODUCT(--($D$335:$V$335=U$335),--($D679:$V679=1)),0)+SUM(U376)+IF(COUNTIF(U$641:U679,1)=1,5,0)+IF(COUNTIF(V377:$Z377,"&gt;"&amp;0)&gt;5,IF(MOD(COUNTIF(U$641:U679,1),7)=0,$C$4,0),0)</f>
        <v>20.4766044160233</v>
      </c>
      <c r="V377" s="81" cm="1">
        <f ca="1" t="array" ref="V377">IF(V679=1,OFFSET($Z$338,$B377,V$335-1)/SUMPRODUCT(--($D$335:$V$335=V$335),--($D679:$V679=1)),0)+SUM(V376)+IF(COUNTIF(V$641:V679,1)=1,5,0)+IF(COUNTIF(Z377:$Z377,"&gt;"&amp;0)&gt;5,IF(MOD(COUNTIF(V$641:V679,1),7)=0,$C$4,0),0)</f>
        <v>12.5187852267414</v>
      </c>
      <c r="W377" s="81" cm="1">
        <f ca="1" t="array" ref="W377">IF(W679=1,OFFSET($Z$338,$B377,W$335-1)/SUMPRODUCT(--($D$335:$V$335=W$335),--($D679:$V679=1)),0)+SUM(W376)+IF(COUNTIF(W$641:W679,1)=1,5,0)+IF(COUNTIF($Z377:AA377,"&gt;"&amp;0)&gt;5,IF(MOD(COUNTIF(W$641:W679,1),7)=0,$C$4,0),0)</f>
        <v>0</v>
      </c>
      <c r="X377" s="81" cm="1">
        <f ca="1" t="array" ref="X377">IF(X679=1,OFFSET($Z$338,$B377,X$335-1)/SUMPRODUCT(--($D$335:$V$335=X$335),--($D679:$V679=1)),0)+SUM(X376)+IF(COUNTIF(X$641:X679,1)=1,5,0)+IF(COUNTIF($Z377:AB377,"&gt;"&amp;0)&gt;5,IF(MOD(COUNTIF(X$641:X679,1),7)=0,$C$4,0),0)</f>
        <v>0</v>
      </c>
      <c r="Y377" s="81" cm="1">
        <f ca="1" t="array" ref="Y377">IF(Y679=1,OFFSET($Z$338,$B377,Y$335-1)/SUMPRODUCT(--($D$335:$V$335=Y$335),--($D679:$V679=1)),0)+SUM(Y376)+IF(COUNTIF(Y$641:Y679,1)=1,5,0)+IF(COUNTIF($Z377:AC377,"&gt;"&amp;0)&gt;5,IF(MOD(COUNTIF(Y$641:Y679,1),7)=0,$C$4,0),0)</f>
        <v>0</v>
      </c>
      <c r="Z377" s="82" cm="1">
        <f ca="1" t="array" ref="Z377">SUMPRODUCT(TRANSPOSE($AD377:$AJ377),OFFSET($L$10:$L$16,0,Z$335-1))</f>
        <v>29.0648957169058</v>
      </c>
      <c r="AA377" s="82" cm="1">
        <f ca="1" t="array" ref="AA377">SUMPRODUCT(TRANSPOSE($AD377:$AJ377),OFFSET($L$10:$L$16,0,AA$335-1))</f>
        <v>17.6</v>
      </c>
      <c r="AB377" s="82" cm="1">
        <f ca="1" t="array" ref="AB377">SUMPRODUCT(TRANSPOSE($AD377:$AJ377),OFFSET($L$10:$L$16,0,AB$335-1))</f>
        <v>6.6</v>
      </c>
      <c r="AC377" s="82" cm="1">
        <f ca="1" t="array" ref="AC377">SUMPRODUCT(TRANSPOSE($AD377:$AJ377),OFFSET($L$10:$L$16,0,AC$335-1))</f>
        <v>1.73510428309417</v>
      </c>
      <c r="AD377" s="83">
        <f ca="1" t="shared" ref="AD377:AJ377" si="397">AK377-AK376</f>
        <v>0</v>
      </c>
      <c r="AE377" s="83">
        <f ca="1" t="shared" si="397"/>
        <v>0</v>
      </c>
      <c r="AF377" s="83">
        <f ca="1" t="shared" si="397"/>
        <v>0</v>
      </c>
      <c r="AG377" s="83">
        <f ca="1" t="shared" si="397"/>
        <v>110</v>
      </c>
      <c r="AH377" s="83">
        <f ca="1" t="shared" si="397"/>
        <v>0</v>
      </c>
      <c r="AI377" s="83">
        <f ca="1" t="shared" si="397"/>
        <v>0</v>
      </c>
      <c r="AJ377" s="83">
        <f ca="1" t="shared" si="397"/>
        <v>0</v>
      </c>
      <c r="AK377" s="83">
        <f ca="1" t="shared" si="321"/>
        <v>450</v>
      </c>
      <c r="AL377" s="83">
        <f ca="1" t="shared" ref="AL377:AQ377" si="398">IF($C377&gt;OFFSET($Q$9,MATCH(AL$338,$AK$338:$AQ$338,0),0),OFFSET($P$9,MATCH(AL$338,$AK$338:$AQ$338,0),0),MAX(0,$C377-OFFSET($Q$9,RIGHT(AL$338,1)-1,0)))</f>
        <v>909</v>
      </c>
      <c r="AM377" s="83">
        <f ca="1" t="shared" si="398"/>
        <v>1818</v>
      </c>
      <c r="AN377" s="83">
        <f ca="1" t="shared" si="398"/>
        <v>2439</v>
      </c>
      <c r="AO377" s="83">
        <f ca="1" t="shared" si="398"/>
        <v>0</v>
      </c>
      <c r="AP377" s="83">
        <f ca="1" t="shared" si="398"/>
        <v>0</v>
      </c>
      <c r="AQ377" s="83">
        <f ca="1" t="shared" si="398"/>
        <v>0</v>
      </c>
      <c r="AS377" s="52">
        <v>39</v>
      </c>
      <c r="AT377" s="52">
        <v>8030</v>
      </c>
      <c r="AU377" s="52">
        <v>8030</v>
      </c>
      <c r="AV377" s="52">
        <v>5090</v>
      </c>
      <c r="AW377" s="52">
        <v>3320</v>
      </c>
    </row>
    <row r="378" ht="16.5" spans="2:49">
      <c r="B378" s="65">
        <v>40</v>
      </c>
      <c r="C378" s="80">
        <f t="shared" si="319"/>
        <v>5726</v>
      </c>
      <c r="D378" s="81" cm="1">
        <f ca="1" t="array" ref="D378">IF(D680=1,OFFSET($Z$338,$B378,D$335-1)/SUMPRODUCT(--($D$335:$V$335=D$335),--($D680:$V680=1)),0)+SUM(D377)+IF(COUNTIF(D$641:D680,1)=1,5,0)+IF(COUNTIF(E378:$Z378,"&gt;"&amp;0)&gt;5,IF(MOD(COUNTIF(D$641:D680,1),7)=0,$C$4,0),0)</f>
        <v>609.929300552706</v>
      </c>
      <c r="E378" s="81" cm="1">
        <f ca="1" t="array" ref="E378">IF(E680=1,OFFSET($Z$338,$B378,E$335-1)/SUMPRODUCT(--($D$335:$V$335=E$335),--($D680:$V680=1)),0)+SUM(E377)+IF(COUNTIF(E$641:E680,1)=1,5,0)+IF(COUNTIF(F378:$Z378,"&gt;"&amp;0)&gt;5,IF(MOD(COUNTIF(E$641:E680,1),7)=0,$C$4,0),0)</f>
        <v>609.929300552706</v>
      </c>
      <c r="F378" s="81" cm="1">
        <f ca="1" t="array" ref="F378">IF(F680=1,OFFSET($Z$338,$B378,F$335-1)/SUMPRODUCT(--($D$335:$V$335=F$335),--($D680:$V680=1)),0)+SUM(F377)+IF(COUNTIF(F$641:F680,1)=1,5,0)+IF(COUNTIF(G378:$Z378,"&gt;"&amp;0)&gt;5,IF(MOD(COUNTIF(F$641:F680,1),7)=0,$C$4,0),0)</f>
        <v>609.929300552706</v>
      </c>
      <c r="G378" s="81" cm="1">
        <f ca="1" t="array" ref="G378">IF(G680=1,OFFSET($Z$338,$B378,G$335-1)/SUMPRODUCT(--($D$335:$V$335=G$335),--($D680:$V680=1)),0)+SUM(G377)+IF(COUNTIF(G$641:G680,1)=1,5,0)+IF(COUNTIF(H378:$Z378,"&gt;"&amp;0)&gt;5,IF(MOD(COUNTIF(G$641:G680,1),7)=0,$C$4,0),0)</f>
        <v>167.19</v>
      </c>
      <c r="H378" s="81" cm="1">
        <f ca="1" t="array" ref="H378">IF(H680=1,OFFSET($Z$338,$B378,H$335-1)/SUMPRODUCT(--($D$335:$V$335=H$335),--($D680:$V680=1)),0)+SUM(H377)+IF(COUNTIF(H$641:H680,1)=1,5,0)+IF(COUNTIF(I378:$Z378,"&gt;"&amp;0)&gt;5,IF(MOD(COUNTIF(H$641:H680,1),7)=0,$C$4,0),0)</f>
        <v>167.19</v>
      </c>
      <c r="I378" s="81" cm="1">
        <f ca="1" t="array" ref="I378">IF(I680=1,OFFSET($Z$338,$B378,I$335-1)/SUMPRODUCT(--($D$335:$V$335=I$335),--($D680:$V680=1)),0)+SUM(I377)+IF(COUNTIF(I$641:I680,1)=1,5,0)+IF(COUNTIF(J378:$Z378,"&gt;"&amp;0)&gt;5,IF(MOD(COUNTIF(I$641:I680,1),7)=0,$C$4,0),0)</f>
        <v>167.19</v>
      </c>
      <c r="J378" s="81" cm="1">
        <f ca="1" t="array" ref="J378">IF(J680=1,OFFSET($Z$338,$B378,J$335-1)/SUMPRODUCT(--($D$335:$V$335=J$335),--($D680:$V680=1)),0)+SUM(J377)+IF(COUNTIF(J$641:J680,1)=1,5,0)+IF(COUNTIF(K378:$Z378,"&gt;"&amp;0)&gt;5,IF(MOD(COUNTIF(J$641:J680,1),7)=0,$C$4,0),0)</f>
        <v>167.19</v>
      </c>
      <c r="K378" s="81" cm="1">
        <f ca="1" t="array" ref="K378">IF(K680=1,OFFSET($Z$338,$B378,K$335-1)/SUMPRODUCT(--($D$335:$V$335=K$335),--($D680:$V680=1)),0)+SUM(K377)+IF(COUNTIF(K$641:K680,1)=1,5,0)+IF(COUNTIF(L378:$Z378,"&gt;"&amp;0)&gt;5,IF(MOD(COUNTIF(K$641:K680,1),7)=0,$C$4,0),0)</f>
        <v>167.19</v>
      </c>
      <c r="L378" s="81" cm="1">
        <f ca="1" t="array" ref="L378">IF(L680=1,OFFSET($Z$338,$B378,L$335-1)/SUMPRODUCT(--($D$335:$V$335=L$335),--($D680:$V680=1)),0)+SUM(L377)+IF(COUNTIF(L$641:L680,1)=1,5,0)+IF(COUNTIF(M378:$Z378,"&gt;"&amp;0)&gt;5,IF(MOD(COUNTIF(L$641:L680,1),7)=0,$C$4,0),0)</f>
        <v>160.49</v>
      </c>
      <c r="M378" s="81" cm="1">
        <f ca="1" t="array" ref="M378">IF(M680=1,OFFSET($Z$338,$B378,M$335-1)/SUMPRODUCT(--($D$335:$V$335=M$335),--($D680:$V680=1)),0)+SUM(M377)+IF(COUNTIF(M$641:M680,1)=1,5,0)+IF(COUNTIF(N378:$Z378,"&gt;"&amp;0)&gt;5,IF(MOD(COUNTIF(M$641:M680,1),7)=0,$C$4,0),0)</f>
        <v>72.6355357142857</v>
      </c>
      <c r="N378" s="81" cm="1">
        <f ca="1" t="array" ref="N378">IF(N680=1,OFFSET($Z$338,$B378,N$335-1)/SUMPRODUCT(--($D$335:$V$335=N$335),--($D680:$V680=1)),0)+SUM(N377)+IF(COUNTIF(N$641:N680,1)=1,5,0)+IF(COUNTIF(O378:$Z378,"&gt;"&amp;0)&gt;5,IF(MOD(COUNTIF(N$641:N680,1),7)=0,$C$4,0),0)</f>
        <v>64.9105357142857</v>
      </c>
      <c r="O378" s="81" cm="1">
        <f ca="1" t="array" ref="O378">IF(O680=1,OFFSET($Z$338,$B378,O$335-1)/SUMPRODUCT(--($D$335:$V$335=O$335),--($D680:$V680=1)),0)+SUM(O377)+IF(COUNTIF(O$641:O680,1)=1,5,0)+IF(COUNTIF(P378:$Z378,"&gt;"&amp;0)&gt;5,IF(MOD(COUNTIF(O$641:O680,1),7)=0,$C$4,0),0)</f>
        <v>62.4855357142857</v>
      </c>
      <c r="P378" s="81" cm="1">
        <f ca="1" t="array" ref="P378">IF(P680=1,OFFSET($Z$338,$B378,P$335-1)/SUMPRODUCT(--($D$335:$V$335=P$335),--($D680:$V680=1)),0)+SUM(P377)+IF(COUNTIF(P$641:P680,1)=1,5,0)+IF(COUNTIF(Q378:$Z378,"&gt;"&amp;0)&gt;5,IF(MOD(COUNTIF(P$641:P680,1),7)=0,$C$4,0),0)</f>
        <v>59.5522023809524</v>
      </c>
      <c r="Q378" s="81" cm="1">
        <f ca="1" t="array" ref="Q378">IF(Q680=1,OFFSET($Z$338,$B378,Q$335-1)/SUMPRODUCT(--($D$335:$V$335=Q$335),--($D680:$V680=1)),0)+SUM(Q377)+IF(COUNTIF(Q$641:Q680,1)=1,5,0)+IF(COUNTIF(R378:$Z378,"&gt;"&amp;0)&gt;5,IF(MOD(COUNTIF(Q$641:Q680,1),7)=0,$C$4,0),0)</f>
        <v>53.6459523809524</v>
      </c>
      <c r="R378" s="81" cm="1">
        <f ca="1" t="array" ref="R378">IF(R680=1,OFFSET($Z$338,$B378,R$335-1)/SUMPRODUCT(--($D$335:$V$335=R$335),--($D680:$V680=1)),0)+SUM(R377)+IF(COUNTIF(R$641:R680,1)=1,5,0)+IF(COUNTIF(S378:$Z378,"&gt;"&amp;0)&gt;5,IF(MOD(COUNTIF(R$641:R680,1),7)=0,$C$4,0),0)</f>
        <v>33.7509523809524</v>
      </c>
      <c r="S378" s="81" cm="1">
        <f ca="1" t="array" ref="S378">IF(S680=1,OFFSET($Z$338,$B378,S$335-1)/SUMPRODUCT(--($D$335:$V$335=S$335),--($D680:$V680=1)),0)+SUM(S377)+IF(COUNTIF(S$641:S680,1)=1,5,0)+IF(COUNTIF(T378:$Z378,"&gt;"&amp;0)&gt;5,IF(MOD(COUNTIF(S$641:S680,1),7)=0,$C$4,0),0)</f>
        <v>29.5842857142857</v>
      </c>
      <c r="T378" s="81" cm="1">
        <f ca="1" t="array" ref="T378">IF(T680=1,OFFSET($Z$338,$B378,T$335-1)/SUMPRODUCT(--($D$335:$V$335=T$335),--($D680:$V680=1)),0)+SUM(T377)+IF(COUNTIF(T$641:T680,1)=1,5,0)+IF(COUNTIF(U378:$Z378,"&gt;"&amp;0)&gt;5,IF(MOD(COUNTIF(T$641:T680,1),7)=0,$C$4,0),0)</f>
        <v>21.054972510388</v>
      </c>
      <c r="U378" s="81" cm="1">
        <f ca="1" t="array" ref="U378">IF(U680=1,OFFSET($Z$338,$B378,U$335-1)/SUMPRODUCT(--($D$335:$V$335=U$335),--($D680:$V680=1)),0)+SUM(U377)+IF(COUNTIF(U$641:U680,1)=1,5,0)+IF(COUNTIF(V378:$Z378,"&gt;"&amp;0)&gt;5,IF(MOD(COUNTIF(U$641:U680,1),7)=0,$C$4,0),0)</f>
        <v>21.054972510388</v>
      </c>
      <c r="V378" s="81" cm="1">
        <f ca="1" t="array" ref="V378">IF(V680=1,OFFSET($Z$338,$B378,V$335-1)/SUMPRODUCT(--($D$335:$V$335=V$335),--($D680:$V680=1)),0)+SUM(V377)+IF(COUNTIF(V$641:V680,1)=1,5,0)+IF(COUNTIF(Z378:$Z378,"&gt;"&amp;0)&gt;5,IF(MOD(COUNTIF(V$641:V680,1),7)=0,$C$4,0),0)</f>
        <v>13.0971533211061</v>
      </c>
      <c r="W378" s="81" cm="1">
        <f ca="1" t="array" ref="W378">IF(W680=1,OFFSET($Z$338,$B378,W$335-1)/SUMPRODUCT(--($D$335:$V$335=W$335),--($D680:$V680=1)),0)+SUM(W377)+IF(COUNTIF(W$641:W680,1)=1,5,0)+IF(COUNTIF($Z378:AA378,"&gt;"&amp;0)&gt;5,IF(MOD(COUNTIF(W$641:W680,1),7)=0,$C$4,0),0)</f>
        <v>0</v>
      </c>
      <c r="X378" s="81" cm="1">
        <f ca="1" t="array" ref="X378">IF(X680=1,OFFSET($Z$338,$B378,X$335-1)/SUMPRODUCT(--($D$335:$V$335=X$335),--($D680:$V680=1)),0)+SUM(X377)+IF(COUNTIF(X$641:X680,1)=1,5,0)+IF(COUNTIF($Z378:AB378,"&gt;"&amp;0)&gt;5,IF(MOD(COUNTIF(X$641:X680,1),7)=0,$C$4,0),0)</f>
        <v>0</v>
      </c>
      <c r="Y378" s="81" cm="1">
        <f ca="1" t="array" ref="Y378">IF(Y680=1,OFFSET($Z$338,$B378,Y$335-1)/SUMPRODUCT(--($D$335:$V$335=Y$335),--($D680:$V680=1)),0)+SUM(Y377)+IF(COUNTIF(Y$641:Y680,1)=1,5,0)+IF(COUNTIF($Z378:AC378,"&gt;"&amp;0)&gt;5,IF(MOD(COUNTIF(Y$641:Y680,1),7)=0,$C$4,0),0)</f>
        <v>0</v>
      </c>
      <c r="Z378" s="82" cm="1">
        <f ca="1" t="array" ref="Z378">SUMPRODUCT(TRANSPOSE($AD378:$AJ378),OFFSET($L$10:$L$16,0,Z$335-1))</f>
        <v>29.0648957169058</v>
      </c>
      <c r="AA378" s="82" cm="1">
        <f ca="1" t="array" ref="AA378">SUMPRODUCT(TRANSPOSE($AD378:$AJ378),OFFSET($L$10:$L$16,0,AA$335-1))</f>
        <v>17.6</v>
      </c>
      <c r="AB378" s="82" cm="1">
        <f ca="1" t="array" ref="AB378">SUMPRODUCT(TRANSPOSE($AD378:$AJ378),OFFSET($L$10:$L$16,0,AB$335-1))</f>
        <v>6.6</v>
      </c>
      <c r="AC378" s="82" cm="1">
        <f ca="1" t="array" ref="AC378">SUMPRODUCT(TRANSPOSE($AD378:$AJ378),OFFSET($L$10:$L$16,0,AC$335-1))</f>
        <v>1.73510428309417</v>
      </c>
      <c r="AD378" s="83">
        <f ca="1" t="shared" ref="AD378:AJ378" si="399">AK378-AK377</f>
        <v>0</v>
      </c>
      <c r="AE378" s="83">
        <f ca="1" t="shared" si="399"/>
        <v>0</v>
      </c>
      <c r="AF378" s="83">
        <f ca="1" t="shared" si="399"/>
        <v>0</v>
      </c>
      <c r="AG378" s="83">
        <f ca="1" t="shared" si="399"/>
        <v>110</v>
      </c>
      <c r="AH378" s="83">
        <f ca="1" t="shared" si="399"/>
        <v>0</v>
      </c>
      <c r="AI378" s="83">
        <f ca="1" t="shared" si="399"/>
        <v>0</v>
      </c>
      <c r="AJ378" s="83">
        <f ca="1" t="shared" si="399"/>
        <v>0</v>
      </c>
      <c r="AK378" s="83">
        <f ca="1" t="shared" si="321"/>
        <v>450</v>
      </c>
      <c r="AL378" s="83">
        <f ca="1" t="shared" ref="AL378:AQ378" si="400">IF($C378&gt;OFFSET($Q$9,MATCH(AL$338,$AK$338:$AQ$338,0),0),OFFSET($P$9,MATCH(AL$338,$AK$338:$AQ$338,0),0),MAX(0,$C378-OFFSET($Q$9,RIGHT(AL$338,1)-1,0)))</f>
        <v>909</v>
      </c>
      <c r="AM378" s="83">
        <f ca="1" t="shared" si="400"/>
        <v>1818</v>
      </c>
      <c r="AN378" s="83">
        <f ca="1" t="shared" si="400"/>
        <v>2549</v>
      </c>
      <c r="AO378" s="83">
        <f ca="1" t="shared" si="400"/>
        <v>0</v>
      </c>
      <c r="AP378" s="83">
        <f ca="1" t="shared" si="400"/>
        <v>0</v>
      </c>
      <c r="AQ378" s="83">
        <f ca="1" t="shared" si="400"/>
        <v>0</v>
      </c>
      <c r="AS378" s="52">
        <v>40</v>
      </c>
      <c r="AT378" s="52">
        <v>8750</v>
      </c>
      <c r="AU378" s="52">
        <v>8750</v>
      </c>
      <c r="AV378" s="52">
        <v>5450</v>
      </c>
      <c r="AW378" s="52">
        <v>3500</v>
      </c>
    </row>
    <row r="379" ht="16.5" spans="2:49">
      <c r="B379" s="65">
        <v>41</v>
      </c>
      <c r="C379" s="80">
        <f t="shared" si="319"/>
        <v>5836</v>
      </c>
      <c r="D379" s="81" cm="1">
        <f ca="1" t="array" ref="D379">IF(D681=1,OFFSET($Z$338,$B379,D$335-1)/SUMPRODUCT(--($D$335:$V$335=D$335),--($D681:$V681=1)),0)+SUM(D378)+IF(COUNTIF(D$641:D681,1)=1,5,0)+IF(COUNTIF(E379:$Z379,"&gt;"&amp;0)&gt;5,IF(MOD(COUNTIF(D$641:D681,1),7)=0,$C$4,0),0)</f>
        <v>619.617599125008</v>
      </c>
      <c r="E379" s="81" cm="1">
        <f ca="1" t="array" ref="E379">IF(E681=1,OFFSET($Z$338,$B379,E$335-1)/SUMPRODUCT(--($D$335:$V$335=E$335),--($D681:$V681=1)),0)+SUM(E378)+IF(COUNTIF(E$641:E681,1)=1,5,0)+IF(COUNTIF(F379:$Z379,"&gt;"&amp;0)&gt;5,IF(MOD(COUNTIF(E$641:E681,1),7)=0,$C$4,0),0)</f>
        <v>619.617599125008</v>
      </c>
      <c r="F379" s="81" cm="1">
        <f ca="1" t="array" ref="F379">IF(F681=1,OFFSET($Z$338,$B379,F$335-1)/SUMPRODUCT(--($D$335:$V$335=F$335),--($D681:$V681=1)),0)+SUM(F378)+IF(COUNTIF(F$641:F681,1)=1,5,0)+IF(COUNTIF(G379:$Z379,"&gt;"&amp;0)&gt;5,IF(MOD(COUNTIF(F$641:F681,1),7)=0,$C$4,0),0)</f>
        <v>619.617599125008</v>
      </c>
      <c r="G379" s="81" cm="1">
        <f ca="1" t="array" ref="G379">IF(G681=1,OFFSET($Z$338,$B379,G$335-1)/SUMPRODUCT(--($D$335:$V$335=G$335),--($D681:$V681=1)),0)+SUM(G378)+IF(COUNTIF(G$641:G681,1)=1,5,0)+IF(COUNTIF(H379:$Z379,"&gt;"&amp;0)&gt;5,IF(MOD(COUNTIF(G$641:G681,1),7)=0,$C$4,0),0)</f>
        <v>170.123333333333</v>
      </c>
      <c r="H379" s="81" cm="1">
        <f ca="1" t="array" ref="H379">IF(H681=1,OFFSET($Z$338,$B379,H$335-1)/SUMPRODUCT(--($D$335:$V$335=H$335),--($D681:$V681=1)),0)+SUM(H378)+IF(COUNTIF(H$641:H681,1)=1,5,0)+IF(COUNTIF(I379:$Z379,"&gt;"&amp;0)&gt;5,IF(MOD(COUNTIF(H$641:H681,1),7)=0,$C$4,0),0)</f>
        <v>170.123333333333</v>
      </c>
      <c r="I379" s="81" cm="1">
        <f ca="1" t="array" ref="I379">IF(I681=1,OFFSET($Z$338,$B379,I$335-1)/SUMPRODUCT(--($D$335:$V$335=I$335),--($D681:$V681=1)),0)+SUM(I378)+IF(COUNTIF(I$641:I681,1)=1,5,0)+IF(COUNTIF(J379:$Z379,"&gt;"&amp;0)&gt;5,IF(MOD(COUNTIF(I$641:I681,1),7)=0,$C$4,0),0)</f>
        <v>170.123333333333</v>
      </c>
      <c r="J379" s="81" cm="1">
        <f ca="1" t="array" ref="J379">IF(J681=1,OFFSET($Z$338,$B379,J$335-1)/SUMPRODUCT(--($D$335:$V$335=J$335),--($D681:$V681=1)),0)+SUM(J378)+IF(COUNTIF(J$641:J681,1)=1,5,0)+IF(COUNTIF(K379:$Z379,"&gt;"&amp;0)&gt;5,IF(MOD(COUNTIF(J$641:J681,1),7)=0,$C$4,0),0)</f>
        <v>170.123333333333</v>
      </c>
      <c r="K379" s="81" cm="1">
        <f ca="1" t="array" ref="K379">IF(K681=1,OFFSET($Z$338,$B379,K$335-1)/SUMPRODUCT(--($D$335:$V$335=K$335),--($D681:$V681=1)),0)+SUM(K378)+IF(COUNTIF(K$641:K681,1)=1,5,0)+IF(COUNTIF(L379:$Z379,"&gt;"&amp;0)&gt;5,IF(MOD(COUNTIF(K$641:K681,1),7)=0,$C$4,0),0)</f>
        <v>170.123333333333</v>
      </c>
      <c r="L379" s="81" cm="1">
        <f ca="1" t="array" ref="L379">IF(L681=1,OFFSET($Z$338,$B379,L$335-1)/SUMPRODUCT(--($D$335:$V$335=L$335),--($D681:$V681=1)),0)+SUM(L378)+IF(COUNTIF(L$641:L681,1)=1,5,0)+IF(COUNTIF(M379:$Z379,"&gt;"&amp;0)&gt;5,IF(MOD(COUNTIF(L$641:L681,1),7)=0,$C$4,0),0)</f>
        <v>163.423333333333</v>
      </c>
      <c r="M379" s="81" cm="1">
        <f ca="1" t="array" ref="M379">IF(M681=1,OFFSET($Z$338,$B379,M$335-1)/SUMPRODUCT(--($D$335:$V$335=M$335),--($D681:$V681=1)),0)+SUM(M378)+IF(COUNTIF(M$641:M681,1)=1,5,0)+IF(COUNTIF(N379:$Z379,"&gt;"&amp;0)&gt;5,IF(MOD(COUNTIF(M$641:M681,1),7)=0,$C$4,0),0)</f>
        <v>73.5783928571428</v>
      </c>
      <c r="N379" s="81" cm="1">
        <f ca="1" t="array" ref="N379">IF(N681=1,OFFSET($Z$338,$B379,N$335-1)/SUMPRODUCT(--($D$335:$V$335=N$335),--($D681:$V681=1)),0)+SUM(N378)+IF(COUNTIF(N$641:N681,1)=1,5,0)+IF(COUNTIF(O379:$Z379,"&gt;"&amp;0)&gt;5,IF(MOD(COUNTIF(N$641:N681,1),7)=0,$C$4,0),0)</f>
        <v>65.8533928571429</v>
      </c>
      <c r="O379" s="81" cm="1">
        <f ca="1" t="array" ref="O379">IF(O681=1,OFFSET($Z$338,$B379,O$335-1)/SUMPRODUCT(--($D$335:$V$335=O$335),--($D681:$V681=1)),0)+SUM(O378)+IF(COUNTIF(O$641:O681,1)=1,5,0)+IF(COUNTIF(P379:$Z379,"&gt;"&amp;0)&gt;5,IF(MOD(COUNTIF(O$641:O681,1),7)=0,$C$4,0),0)</f>
        <v>63.4283928571429</v>
      </c>
      <c r="P379" s="81" cm="1">
        <f ca="1" t="array" ref="P379">IF(P681=1,OFFSET($Z$338,$B379,P$335-1)/SUMPRODUCT(--($D$335:$V$335=P$335),--($D681:$V681=1)),0)+SUM(P378)+IF(COUNTIF(P$641:P681,1)=1,5,0)+IF(COUNTIF(Q379:$Z379,"&gt;"&amp;0)&gt;5,IF(MOD(COUNTIF(P$641:P681,1),7)=0,$C$4,0),0)</f>
        <v>60.4950595238095</v>
      </c>
      <c r="Q379" s="81" cm="1">
        <f ca="1" t="array" ref="Q379">IF(Q681=1,OFFSET($Z$338,$B379,Q$335-1)/SUMPRODUCT(--($D$335:$V$335=Q$335),--($D681:$V681=1)),0)+SUM(Q378)+IF(COUNTIF(Q$641:Q681,1)=1,5,0)+IF(COUNTIF(R379:$Z379,"&gt;"&amp;0)&gt;5,IF(MOD(COUNTIF(Q$641:Q681,1),7)=0,$C$4,0),0)</f>
        <v>59.5888095238095</v>
      </c>
      <c r="R379" s="81" cm="1">
        <f ca="1" t="array" ref="R379">IF(R681=1,OFFSET($Z$338,$B379,R$335-1)/SUMPRODUCT(--($D$335:$V$335=R$335),--($D681:$V681=1)),0)+SUM(R378)+IF(COUNTIF(R$641:R681,1)=1,5,0)+IF(COUNTIF(S379:$Z379,"&gt;"&amp;0)&gt;5,IF(MOD(COUNTIF(R$641:R681,1),7)=0,$C$4,0),0)</f>
        <v>34.6938095238095</v>
      </c>
      <c r="S379" s="81" cm="1">
        <f ca="1" t="array" ref="S379">IF(S681=1,OFFSET($Z$338,$B379,S$335-1)/SUMPRODUCT(--($D$335:$V$335=S$335),--($D681:$V681=1)),0)+SUM(S378)+IF(COUNTIF(S$641:S681,1)=1,5,0)+IF(COUNTIF(T379:$Z379,"&gt;"&amp;0)&gt;5,IF(MOD(COUNTIF(S$641:S681,1),7)=0,$C$4,0),0)</f>
        <v>30.5271428571429</v>
      </c>
      <c r="T379" s="81" cm="1">
        <f ca="1" t="array" ref="T379">IF(T681=1,OFFSET($Z$338,$B379,T$335-1)/SUMPRODUCT(--($D$335:$V$335=T$335),--($D681:$V681=1)),0)+SUM(T378)+IF(COUNTIF(T$641:T681,1)=1,5,0)+IF(COUNTIF(U379:$Z379,"&gt;"&amp;0)&gt;5,IF(MOD(COUNTIF(T$641:T681,1),7)=0,$C$4,0),0)</f>
        <v>21.6333406047528</v>
      </c>
      <c r="U379" s="81" cm="1">
        <f ca="1" t="array" ref="U379">IF(U681=1,OFFSET($Z$338,$B379,U$335-1)/SUMPRODUCT(--($D$335:$V$335=U$335),--($D681:$V681=1)),0)+SUM(U378)+IF(COUNTIF(U$641:U681,1)=1,5,0)+IF(COUNTIF(V379:$Z379,"&gt;"&amp;0)&gt;5,IF(MOD(COUNTIF(U$641:U681,1),7)=0,$C$4,0),0)</f>
        <v>21.6333406047528</v>
      </c>
      <c r="V379" s="81" cm="1">
        <f ca="1" t="array" ref="V379">IF(V681=1,OFFSET($Z$338,$B379,V$335-1)/SUMPRODUCT(--($D$335:$V$335=V$335),--($D681:$V681=1)),0)+SUM(V378)+IF(COUNTIF(V$641:V681,1)=1,5,0)+IF(COUNTIF(Z379:$Z379,"&gt;"&amp;0)&gt;5,IF(MOD(COUNTIF(V$641:V681,1),7)=0,$C$4,0),0)</f>
        <v>13.6755214154709</v>
      </c>
      <c r="W379" s="81" cm="1">
        <f ca="1" t="array" ref="W379">IF(W681=1,OFFSET($Z$338,$B379,W$335-1)/SUMPRODUCT(--($D$335:$V$335=W$335),--($D681:$V681=1)),0)+SUM(W378)+IF(COUNTIF(W$641:W681,1)=1,5,0)+IF(COUNTIF($Z379:AA379,"&gt;"&amp;0)&gt;5,IF(MOD(COUNTIF(W$641:W681,1),7)=0,$C$4,0),0)</f>
        <v>0</v>
      </c>
      <c r="X379" s="81" cm="1">
        <f ca="1" t="array" ref="X379">IF(X681=1,OFFSET($Z$338,$B379,X$335-1)/SUMPRODUCT(--($D$335:$V$335=X$335),--($D681:$V681=1)),0)+SUM(X378)+IF(COUNTIF(X$641:X681,1)=1,5,0)+IF(COUNTIF($Z379:AB379,"&gt;"&amp;0)&gt;5,IF(MOD(COUNTIF(X$641:X681,1),7)=0,$C$4,0),0)</f>
        <v>0</v>
      </c>
      <c r="Y379" s="81" cm="1">
        <f ca="1" t="array" ref="Y379">IF(Y681=1,OFFSET($Z$338,$B379,Y$335-1)/SUMPRODUCT(--($D$335:$V$335=Y$335),--($D681:$V681=1)),0)+SUM(Y378)+IF(COUNTIF(Y$641:Y681,1)=1,5,0)+IF(COUNTIF($Z379:AC379,"&gt;"&amp;0)&gt;5,IF(MOD(COUNTIF(Y$641:Y681,1),7)=0,$C$4,0),0)</f>
        <v>0</v>
      </c>
      <c r="Z379" s="82" cm="1">
        <f ca="1" t="array" ref="Z379">SUMPRODUCT(TRANSPOSE($AD379:$AJ379),OFFSET($L$10:$L$16,0,Z$335-1))</f>
        <v>29.0648957169058</v>
      </c>
      <c r="AA379" s="82" cm="1">
        <f ca="1" t="array" ref="AA379">SUMPRODUCT(TRANSPOSE($AD379:$AJ379),OFFSET($L$10:$L$16,0,AA$335-1))</f>
        <v>17.6</v>
      </c>
      <c r="AB379" s="82" cm="1">
        <f ca="1" t="array" ref="AB379">SUMPRODUCT(TRANSPOSE($AD379:$AJ379),OFFSET($L$10:$L$16,0,AB$335-1))</f>
        <v>6.6</v>
      </c>
      <c r="AC379" s="82" cm="1">
        <f ca="1" t="array" ref="AC379">SUMPRODUCT(TRANSPOSE($AD379:$AJ379),OFFSET($L$10:$L$16,0,AC$335-1))</f>
        <v>1.73510428309417</v>
      </c>
      <c r="AD379" s="83">
        <f ca="1" t="shared" ref="AD379:AJ379" si="401">AK379-AK378</f>
        <v>0</v>
      </c>
      <c r="AE379" s="83">
        <f ca="1" t="shared" si="401"/>
        <v>0</v>
      </c>
      <c r="AF379" s="83">
        <f ca="1" t="shared" si="401"/>
        <v>0</v>
      </c>
      <c r="AG379" s="83">
        <f ca="1" t="shared" si="401"/>
        <v>110</v>
      </c>
      <c r="AH379" s="83">
        <f ca="1" t="shared" si="401"/>
        <v>0</v>
      </c>
      <c r="AI379" s="83">
        <f ca="1" t="shared" si="401"/>
        <v>0</v>
      </c>
      <c r="AJ379" s="83">
        <f ca="1" t="shared" si="401"/>
        <v>0</v>
      </c>
      <c r="AK379" s="83">
        <f ca="1" t="shared" si="321"/>
        <v>450</v>
      </c>
      <c r="AL379" s="83">
        <f ca="1" t="shared" ref="AL379:AQ379" si="402">IF($C379&gt;OFFSET($Q$9,MATCH(AL$338,$AK$338:$AQ$338,0),0),OFFSET($P$9,MATCH(AL$338,$AK$338:$AQ$338,0),0),MAX(0,$C379-OFFSET($Q$9,RIGHT(AL$338,1)-1,0)))</f>
        <v>909</v>
      </c>
      <c r="AM379" s="83">
        <f ca="1" t="shared" si="402"/>
        <v>1818</v>
      </c>
      <c r="AN379" s="83">
        <f ca="1" t="shared" si="402"/>
        <v>2659</v>
      </c>
      <c r="AO379" s="83">
        <f ca="1" t="shared" si="402"/>
        <v>0</v>
      </c>
      <c r="AP379" s="83">
        <f ca="1" t="shared" si="402"/>
        <v>0</v>
      </c>
      <c r="AQ379" s="83">
        <f ca="1" t="shared" si="402"/>
        <v>0</v>
      </c>
      <c r="AS379" s="52">
        <v>41</v>
      </c>
      <c r="AT379" s="52">
        <v>9830</v>
      </c>
      <c r="AU379" s="52">
        <v>9830</v>
      </c>
      <c r="AV379" s="52">
        <v>5930</v>
      </c>
      <c r="AW379" s="52">
        <v>3740</v>
      </c>
    </row>
    <row r="380" ht="16.5" spans="2:49">
      <c r="B380" s="65">
        <v>42</v>
      </c>
      <c r="C380" s="80">
        <f t="shared" si="319"/>
        <v>5946</v>
      </c>
      <c r="D380" s="81" cm="1">
        <f ca="1" t="array" ref="D380">IF(D682=1,OFFSET($Z$338,$B380,D$335-1)/SUMPRODUCT(--($D$335:$V$335=D$335),--($D682:$V682=1)),0)+SUM(D379)+IF(COUNTIF(D$641:D682,1)=1,5,0)+IF(COUNTIF(E380:$Z380,"&gt;"&amp;0)&gt;5,IF(MOD(COUNTIF(D$641:D682,1),7)=0,$C$4,0),0)</f>
        <v>633.643918092196</v>
      </c>
      <c r="E380" s="81" cm="1">
        <f ca="1" t="array" ref="E380">IF(E682=1,OFFSET($Z$338,$B380,E$335-1)/SUMPRODUCT(--($D$335:$V$335=E$335),--($D682:$V682=1)),0)+SUM(E379)+IF(COUNTIF(E$641:E682,1)=1,5,0)+IF(COUNTIF(F380:$Z380,"&gt;"&amp;0)&gt;5,IF(MOD(COUNTIF(E$641:E682,1),7)=0,$C$4,0),0)</f>
        <v>633.643918092196</v>
      </c>
      <c r="F380" s="81" cm="1">
        <f ca="1" t="array" ref="F380">IF(F682=1,OFFSET($Z$338,$B380,F$335-1)/SUMPRODUCT(--($D$335:$V$335=F$335),--($D682:$V682=1)),0)+SUM(F379)+IF(COUNTIF(F$641:F682,1)=1,5,0)+IF(COUNTIF(G380:$Z380,"&gt;"&amp;0)&gt;5,IF(MOD(COUNTIF(F$641:F682,1),7)=0,$C$4,0),0)</f>
        <v>633.643918092196</v>
      </c>
      <c r="G380" s="81" cm="1">
        <f ca="1" t="array" ref="G380">IF(G682=1,OFFSET($Z$338,$B380,G$335-1)/SUMPRODUCT(--($D$335:$V$335=G$335),--($D682:$V682=1)),0)+SUM(G379)+IF(COUNTIF(G$641:G682,1)=1,5,0)+IF(COUNTIF(H380:$Z380,"&gt;"&amp;0)&gt;5,IF(MOD(COUNTIF(G$641:G682,1),7)=0,$C$4,0),0)</f>
        <v>178.196666666667</v>
      </c>
      <c r="H380" s="81" cm="1">
        <f ca="1" t="array" ref="H380">IF(H682=1,OFFSET($Z$338,$B380,H$335-1)/SUMPRODUCT(--($D$335:$V$335=H$335),--($D682:$V682=1)),0)+SUM(H379)+IF(COUNTIF(H$641:H682,1)=1,5,0)+IF(COUNTIF(I380:$Z380,"&gt;"&amp;0)&gt;5,IF(MOD(COUNTIF(H$641:H682,1),7)=0,$C$4,0),0)</f>
        <v>178.196666666667</v>
      </c>
      <c r="I380" s="81" cm="1">
        <f ca="1" t="array" ref="I380">IF(I682=1,OFFSET($Z$338,$B380,I$335-1)/SUMPRODUCT(--($D$335:$V$335=I$335),--($D682:$V682=1)),0)+SUM(I379)+IF(COUNTIF(I$641:I682,1)=1,5,0)+IF(COUNTIF(J380:$Z380,"&gt;"&amp;0)&gt;5,IF(MOD(COUNTIF(I$641:I682,1),7)=0,$C$4,0),0)</f>
        <v>178.196666666667</v>
      </c>
      <c r="J380" s="81" cm="1">
        <f ca="1" t="array" ref="J380">IF(J682=1,OFFSET($Z$338,$B380,J$335-1)/SUMPRODUCT(--($D$335:$V$335=J$335),--($D682:$V682=1)),0)+SUM(J379)+IF(COUNTIF(J$641:J682,1)=1,5,0)+IF(COUNTIF(K380:$Z380,"&gt;"&amp;0)&gt;5,IF(MOD(COUNTIF(J$641:J682,1),7)=0,$C$4,0),0)</f>
        <v>178.196666666667</v>
      </c>
      <c r="K380" s="81" cm="1">
        <f ca="1" t="array" ref="K380">IF(K682=1,OFFSET($Z$338,$B380,K$335-1)/SUMPRODUCT(--($D$335:$V$335=K$335),--($D682:$V682=1)),0)+SUM(K379)+IF(COUNTIF(K$641:K682,1)=1,5,0)+IF(COUNTIF(L380:$Z380,"&gt;"&amp;0)&gt;5,IF(MOD(COUNTIF(K$641:K682,1),7)=0,$C$4,0),0)</f>
        <v>178.196666666667</v>
      </c>
      <c r="L380" s="81" cm="1">
        <f ca="1" t="array" ref="L380">IF(L682=1,OFFSET($Z$338,$B380,L$335-1)/SUMPRODUCT(--($D$335:$V$335=L$335),--($D682:$V682=1)),0)+SUM(L379)+IF(COUNTIF(L$641:L682,1)=1,5,0)+IF(COUNTIF(M380:$Z380,"&gt;"&amp;0)&gt;5,IF(MOD(COUNTIF(L$641:L682,1),7)=0,$C$4,0),0)</f>
        <v>166.496666666667</v>
      </c>
      <c r="M380" s="81" cm="1">
        <f ca="1" t="array" ref="M380">IF(M682=1,OFFSET($Z$338,$B380,M$335-1)/SUMPRODUCT(--($D$335:$V$335=M$335),--($D682:$V682=1)),0)+SUM(M379)+IF(COUNTIF(M$641:M682,1)=1,5,0)+IF(COUNTIF(N380:$Z380,"&gt;"&amp;0)&gt;5,IF(MOD(COUNTIF(M$641:M682,1),7)=0,$C$4,0),0)</f>
        <v>74.64125</v>
      </c>
      <c r="N380" s="81" cm="1">
        <f ca="1" t="array" ref="N380">IF(N682=1,OFFSET($Z$338,$B380,N$335-1)/SUMPRODUCT(--($D$335:$V$335=N$335),--($D682:$V682=1)),0)+SUM(N379)+IF(COUNTIF(N$641:N682,1)=1,5,0)+IF(COUNTIF(O380:$Z380,"&gt;"&amp;0)&gt;5,IF(MOD(COUNTIF(N$641:N682,1),7)=0,$C$4,0),0)</f>
        <v>66.91625</v>
      </c>
      <c r="O380" s="81" cm="1">
        <f ca="1" t="array" ref="O380">IF(O682=1,OFFSET($Z$338,$B380,O$335-1)/SUMPRODUCT(--($D$335:$V$335=O$335),--($D682:$V682=1)),0)+SUM(O379)+IF(COUNTIF(O$641:O682,1)=1,5,0)+IF(COUNTIF(P380:$Z380,"&gt;"&amp;0)&gt;5,IF(MOD(COUNTIF(O$641:O682,1),7)=0,$C$4,0),0)</f>
        <v>64.49125</v>
      </c>
      <c r="P380" s="81" cm="1">
        <f ca="1" t="array" ref="P380">IF(P682=1,OFFSET($Z$338,$B380,P$335-1)/SUMPRODUCT(--($D$335:$V$335=P$335),--($D682:$V682=1)),0)+SUM(P379)+IF(COUNTIF(P$641:P682,1)=1,5,0)+IF(COUNTIF(Q380:$Z380,"&gt;"&amp;0)&gt;5,IF(MOD(COUNTIF(P$641:P682,1),7)=0,$C$4,0),0)</f>
        <v>61.5579166666667</v>
      </c>
      <c r="Q380" s="81" cm="1">
        <f ca="1" t="array" ref="Q380">IF(Q682=1,OFFSET($Z$338,$B380,Q$335-1)/SUMPRODUCT(--($D$335:$V$335=Q$335),--($D682:$V682=1)),0)+SUM(Q379)+IF(COUNTIF(Q$641:Q682,1)=1,5,0)+IF(COUNTIF(R380:$Z380,"&gt;"&amp;0)&gt;5,IF(MOD(COUNTIF(Q$641:Q682,1),7)=0,$C$4,0),0)</f>
        <v>60.6516666666667</v>
      </c>
      <c r="R380" s="81" cm="1">
        <f ca="1" t="array" ref="R380">IF(R682=1,OFFSET($Z$338,$B380,R$335-1)/SUMPRODUCT(--($D$335:$V$335=R$335),--($D682:$V682=1)),0)+SUM(R379)+IF(COUNTIF(R$641:R682,1)=1,5,0)+IF(COUNTIF(S380:$Z380,"&gt;"&amp;0)&gt;5,IF(MOD(COUNTIF(R$641:R682,1),7)=0,$C$4,0),0)</f>
        <v>35.7566666666667</v>
      </c>
      <c r="S380" s="81" cm="1">
        <f ca="1" t="array" ref="S380">IF(S682=1,OFFSET($Z$338,$B380,S$335-1)/SUMPRODUCT(--($D$335:$V$335=S$335),--($D682:$V682=1)),0)+SUM(S379)+IF(COUNTIF(S$641:S682,1)=1,5,0)+IF(COUNTIF(T380:$Z380,"&gt;"&amp;0)&gt;5,IF(MOD(COUNTIF(S$641:S682,1),7)=0,$C$4,0),0)</f>
        <v>31.59</v>
      </c>
      <c r="T380" s="81" cm="1">
        <f ca="1" t="array" ref="T380">IF(T682=1,OFFSET($Z$338,$B380,T$335-1)/SUMPRODUCT(--($D$335:$V$335=T$335),--($D682:$V682=1)),0)+SUM(T379)+IF(COUNTIF(T$641:T682,1)=1,5,0)+IF(COUNTIF(U380:$Z380,"&gt;"&amp;0)&gt;5,IF(MOD(COUNTIF(T$641:T682,1),7)=0,$C$4,0),0)</f>
        <v>22.3136883042312</v>
      </c>
      <c r="U380" s="81" cm="1">
        <f ca="1" t="array" ref="U380">IF(U682=1,OFFSET($Z$338,$B380,U$335-1)/SUMPRODUCT(--($D$335:$V$335=U$335),--($D682:$V682=1)),0)+SUM(U379)+IF(COUNTIF(U$641:U682,1)=1,5,0)+IF(COUNTIF(V380:$Z380,"&gt;"&amp;0)&gt;5,IF(MOD(COUNTIF(U$641:U682,1),7)=0,$C$4,0),0)</f>
        <v>22.3136883042312</v>
      </c>
      <c r="V380" s="81" cm="1">
        <f ca="1" t="array" ref="V380">IF(V682=1,OFFSET($Z$338,$B380,V$335-1)/SUMPRODUCT(--($D$335:$V$335=V$335),--($D682:$V682=1)),0)+SUM(V379)+IF(COUNTIF(V$641:V682,1)=1,5,0)+IF(COUNTIF(Z380:$Z380,"&gt;"&amp;0)&gt;5,IF(MOD(COUNTIF(V$641:V682,1),7)=0,$C$4,0),0)</f>
        <v>14.3558691149493</v>
      </c>
      <c r="W380" s="81" cm="1">
        <f ca="1" t="array" ref="W380">IF(W682=1,OFFSET($Z$338,$B380,W$335-1)/SUMPRODUCT(--($D$335:$V$335=W$335),--($D682:$V682=1)),0)+SUM(W379)+IF(COUNTIF(W$641:W682,1)=1,5,0)+IF(COUNTIF($Z380:AA380,"&gt;"&amp;0)&gt;5,IF(MOD(COUNTIF(W$641:W682,1),7)=0,$C$4,0),0)</f>
        <v>0</v>
      </c>
      <c r="X380" s="81" cm="1">
        <f ca="1" t="array" ref="X380">IF(X682=1,OFFSET($Z$338,$B380,X$335-1)/SUMPRODUCT(--($D$335:$V$335=X$335),--($D682:$V682=1)),0)+SUM(X379)+IF(COUNTIF(X$641:X682,1)=1,5,0)+IF(COUNTIF($Z380:AB380,"&gt;"&amp;0)&gt;5,IF(MOD(COUNTIF(X$641:X682,1),7)=0,$C$4,0),0)</f>
        <v>0</v>
      </c>
      <c r="Y380" s="81" cm="1">
        <f ca="1" t="array" ref="Y380">IF(Y682=1,OFFSET($Z$338,$B380,Y$335-1)/SUMPRODUCT(--($D$335:$V$335=Y$335),--($D682:$V682=1)),0)+SUM(Y379)+IF(COUNTIF(Y$641:Y682,1)=1,5,0)+IF(COUNTIF($Z380:AC380,"&gt;"&amp;0)&gt;5,IF(MOD(COUNTIF(Y$641:Y682,1),7)=0,$C$4,0),0)</f>
        <v>0</v>
      </c>
      <c r="Z380" s="82" cm="1">
        <f ca="1" t="array" ref="Z380">SUMPRODUCT(TRANSPOSE($AD380:$AJ380),OFFSET($L$10:$L$16,0,Z$335-1))</f>
        <v>27.0789569015647</v>
      </c>
      <c r="AA380" s="82" cm="1">
        <f ca="1" t="array" ref="AA380">SUMPRODUCT(TRANSPOSE($AD380:$AJ380),OFFSET($L$10:$L$16,0,AA$335-1))</f>
        <v>18.44</v>
      </c>
      <c r="AB380" s="82" cm="1">
        <f ca="1" t="array" ref="AB380">SUMPRODUCT(TRANSPOSE($AD380:$AJ380),OFFSET($L$10:$L$16,0,AB$335-1))</f>
        <v>7.44</v>
      </c>
      <c r="AC380" s="82" cm="1">
        <f ca="1" t="array" ref="AC380">SUMPRODUCT(TRANSPOSE($AD380:$AJ380),OFFSET($L$10:$L$16,0,AC$335-1))</f>
        <v>2.04104309843528</v>
      </c>
      <c r="AD380" s="83">
        <f ca="1" t="shared" ref="AD380:AJ380" si="403">AK380-AK379</f>
        <v>0</v>
      </c>
      <c r="AE380" s="83">
        <f ca="1" t="shared" si="403"/>
        <v>0</v>
      </c>
      <c r="AF380" s="83">
        <f ca="1" t="shared" si="403"/>
        <v>0</v>
      </c>
      <c r="AG380" s="83">
        <f ca="1" t="shared" si="403"/>
        <v>68</v>
      </c>
      <c r="AH380" s="83">
        <f ca="1" t="shared" si="403"/>
        <v>42</v>
      </c>
      <c r="AI380" s="83">
        <f ca="1" t="shared" si="403"/>
        <v>0</v>
      </c>
      <c r="AJ380" s="83">
        <f ca="1" t="shared" si="403"/>
        <v>0</v>
      </c>
      <c r="AK380" s="83">
        <f ca="1" t="shared" si="321"/>
        <v>450</v>
      </c>
      <c r="AL380" s="83">
        <f ca="1" t="shared" ref="AL380:AQ380" si="404">IF($C380&gt;OFFSET($Q$9,MATCH(AL$338,$AK$338:$AQ$338,0),0),OFFSET($P$9,MATCH(AL$338,$AK$338:$AQ$338,0),0),MAX(0,$C380-OFFSET($Q$9,RIGHT(AL$338,1)-1,0)))</f>
        <v>909</v>
      </c>
      <c r="AM380" s="83">
        <f ca="1" t="shared" si="404"/>
        <v>1818</v>
      </c>
      <c r="AN380" s="83">
        <f ca="1" t="shared" si="404"/>
        <v>2727</v>
      </c>
      <c r="AO380" s="83">
        <f ca="1" t="shared" si="404"/>
        <v>42</v>
      </c>
      <c r="AP380" s="83">
        <f ca="1" t="shared" si="404"/>
        <v>0</v>
      </c>
      <c r="AQ380" s="83">
        <f ca="1" t="shared" si="404"/>
        <v>0</v>
      </c>
      <c r="AS380" s="52">
        <v>42</v>
      </c>
      <c r="AT380" s="52">
        <v>10910</v>
      </c>
      <c r="AU380" s="52">
        <v>10910</v>
      </c>
      <c r="AV380" s="52">
        <v>6410</v>
      </c>
      <c r="AW380" s="52">
        <v>3980</v>
      </c>
    </row>
    <row r="381" ht="16.5" spans="2:49">
      <c r="B381" s="65">
        <v>43</v>
      </c>
      <c r="C381" s="80">
        <f t="shared" si="319"/>
        <v>6056</v>
      </c>
      <c r="D381" s="81" cm="1">
        <f ca="1" t="array" ref="D381">IF(D683=1,OFFSET($Z$338,$B381,D$335-1)/SUMPRODUCT(--($D$335:$V$335=D$335),--($D683:$V683=1)),0)+SUM(D380)+IF(COUNTIF(D$641:D683,1)=1,5,0)+IF(COUNTIF(E381:$Z381,"&gt;"&amp;0)&gt;5,IF(MOD(COUNTIF(D$641:D683,1),7)=0,$C$4,0),0)</f>
        <v>641.598460555867</v>
      </c>
      <c r="E381" s="81" cm="1">
        <f ca="1" t="array" ref="E381">IF(E683=1,OFFSET($Z$338,$B381,E$335-1)/SUMPRODUCT(--($D$335:$V$335=E$335),--($D683:$V683=1)),0)+SUM(E380)+IF(COUNTIF(E$641:E683,1)=1,5,0)+IF(COUNTIF(F381:$Z381,"&gt;"&amp;0)&gt;5,IF(MOD(COUNTIF(E$641:E683,1),7)=0,$C$4,0),0)</f>
        <v>641.598460555867</v>
      </c>
      <c r="F381" s="81" cm="1">
        <f ca="1" t="array" ref="F381">IF(F683=1,OFFSET($Z$338,$B381,F$335-1)/SUMPRODUCT(--($D$335:$V$335=F$335),--($D683:$V683=1)),0)+SUM(F380)+IF(COUNTIF(F$641:F683,1)=1,5,0)+IF(COUNTIF(G381:$Z381,"&gt;"&amp;0)&gt;5,IF(MOD(COUNTIF(F$641:F683,1),7)=0,$C$4,0),0)</f>
        <v>641.598460555867</v>
      </c>
      <c r="G381" s="81" cm="1">
        <f ca="1" t="array" ref="G381">IF(G683=1,OFFSET($Z$338,$B381,G$335-1)/SUMPRODUCT(--($D$335:$V$335=G$335),--($D683:$V683=1)),0)+SUM(G380)+IF(COUNTIF(G$641:G683,1)=1,5,0)+IF(COUNTIF(H381:$Z381,"&gt;"&amp;0)&gt;5,IF(MOD(COUNTIF(G$641:G683,1),7)=0,$C$4,0),0)</f>
        <v>181.496666666667</v>
      </c>
      <c r="H381" s="81" cm="1">
        <f ca="1" t="array" ref="H381">IF(H683=1,OFFSET($Z$338,$B381,H$335-1)/SUMPRODUCT(--($D$335:$V$335=H$335),--($D683:$V683=1)),0)+SUM(H380)+IF(COUNTIF(H$641:H683,1)=1,5,0)+IF(COUNTIF(I381:$Z381,"&gt;"&amp;0)&gt;5,IF(MOD(COUNTIF(H$641:H683,1),7)=0,$C$4,0),0)</f>
        <v>181.496666666667</v>
      </c>
      <c r="I381" s="81" cm="1">
        <f ca="1" t="array" ref="I381">IF(I683=1,OFFSET($Z$338,$B381,I$335-1)/SUMPRODUCT(--($D$335:$V$335=I$335),--($D683:$V683=1)),0)+SUM(I380)+IF(COUNTIF(I$641:I683,1)=1,5,0)+IF(COUNTIF(J381:$Z381,"&gt;"&amp;0)&gt;5,IF(MOD(COUNTIF(I$641:I683,1),7)=0,$C$4,0),0)</f>
        <v>181.496666666667</v>
      </c>
      <c r="J381" s="81" cm="1">
        <f ca="1" t="array" ref="J381">IF(J683=1,OFFSET($Z$338,$B381,J$335-1)/SUMPRODUCT(--($D$335:$V$335=J$335),--($D683:$V683=1)),0)+SUM(J380)+IF(COUNTIF(J$641:J683,1)=1,5,0)+IF(COUNTIF(K381:$Z381,"&gt;"&amp;0)&gt;5,IF(MOD(COUNTIF(J$641:J683,1),7)=0,$C$4,0),0)</f>
        <v>181.496666666667</v>
      </c>
      <c r="K381" s="81" cm="1">
        <f ca="1" t="array" ref="K381">IF(K683=1,OFFSET($Z$338,$B381,K$335-1)/SUMPRODUCT(--($D$335:$V$335=K$335),--($D683:$V683=1)),0)+SUM(K380)+IF(COUNTIF(K$641:K683,1)=1,5,0)+IF(COUNTIF(L381:$Z381,"&gt;"&amp;0)&gt;5,IF(MOD(COUNTIF(K$641:K683,1),7)=0,$C$4,0),0)</f>
        <v>181.496666666667</v>
      </c>
      <c r="L381" s="81" cm="1">
        <f ca="1" t="array" ref="L381">IF(L683=1,OFFSET($Z$338,$B381,L$335-1)/SUMPRODUCT(--($D$335:$V$335=L$335),--($D683:$V683=1)),0)+SUM(L380)+IF(COUNTIF(L$641:L683,1)=1,5,0)+IF(COUNTIF(M381:$Z381,"&gt;"&amp;0)&gt;5,IF(MOD(COUNTIF(L$641:L683,1),7)=0,$C$4,0),0)</f>
        <v>174.796666666667</v>
      </c>
      <c r="M381" s="81" cm="1">
        <f ca="1" t="array" ref="M381">IF(M683=1,OFFSET($Z$338,$B381,M$335-1)/SUMPRODUCT(--($D$335:$V$335=M$335),--($D683:$V683=1)),0)+SUM(M380)+IF(COUNTIF(M$641:M683,1)=1,5,0)+IF(COUNTIF(N381:$Z381,"&gt;"&amp;0)&gt;5,IF(MOD(COUNTIF(M$641:M683,1),7)=0,$C$4,0),0)</f>
        <v>80.8983928571428</v>
      </c>
      <c r="N381" s="81" cm="1">
        <f ca="1" t="array" ref="N381">IF(N683=1,OFFSET($Z$338,$B381,N$335-1)/SUMPRODUCT(--($D$335:$V$335=N$335),--($D683:$V683=1)),0)+SUM(N380)+IF(COUNTIF(N$641:N683,1)=1,5,0)+IF(COUNTIF(O381:$Z381,"&gt;"&amp;0)&gt;5,IF(MOD(COUNTIF(N$641:N683,1),7)=0,$C$4,0),0)</f>
        <v>68.1733928571428</v>
      </c>
      <c r="O381" s="81" cm="1">
        <f ca="1" t="array" ref="O381">IF(O683=1,OFFSET($Z$338,$B381,O$335-1)/SUMPRODUCT(--($D$335:$V$335=O$335),--($D683:$V683=1)),0)+SUM(O380)+IF(COUNTIF(O$641:O683,1)=1,5,0)+IF(COUNTIF(P381:$Z381,"&gt;"&amp;0)&gt;5,IF(MOD(COUNTIF(O$641:O683,1),7)=0,$C$4,0),0)</f>
        <v>65.7483928571428</v>
      </c>
      <c r="P381" s="81" cm="1">
        <f ca="1" t="array" ref="P381">IF(P683=1,OFFSET($Z$338,$B381,P$335-1)/SUMPRODUCT(--($D$335:$V$335=P$335),--($D683:$V683=1)),0)+SUM(P380)+IF(COUNTIF(P$641:P683,1)=1,5,0)+IF(COUNTIF(Q381:$Z381,"&gt;"&amp;0)&gt;5,IF(MOD(COUNTIF(P$641:P683,1),7)=0,$C$4,0),0)</f>
        <v>62.8150595238095</v>
      </c>
      <c r="Q381" s="81" cm="1">
        <f ca="1" t="array" ref="Q381">IF(Q683=1,OFFSET($Z$338,$B381,Q$335-1)/SUMPRODUCT(--($D$335:$V$335=Q$335),--($D683:$V683=1)),0)+SUM(Q380)+IF(COUNTIF(Q$641:Q683,1)=1,5,0)+IF(COUNTIF(R381:$Z381,"&gt;"&amp;0)&gt;5,IF(MOD(COUNTIF(Q$641:Q683,1),7)=0,$C$4,0),0)</f>
        <v>61.9088095238095</v>
      </c>
      <c r="R381" s="81" cm="1">
        <f ca="1" t="array" ref="R381">IF(R683=1,OFFSET($Z$338,$B381,R$335-1)/SUMPRODUCT(--($D$335:$V$335=R$335),--($D683:$V683=1)),0)+SUM(R380)+IF(COUNTIF(R$641:R683,1)=1,5,0)+IF(COUNTIF(S381:$Z381,"&gt;"&amp;0)&gt;5,IF(MOD(COUNTIF(R$641:R683,1),7)=0,$C$4,0),0)</f>
        <v>37.0138095238095</v>
      </c>
      <c r="S381" s="81" cm="1">
        <f ca="1" t="array" ref="S381">IF(S683=1,OFFSET($Z$338,$B381,S$335-1)/SUMPRODUCT(--($D$335:$V$335=S$335),--($D683:$V683=1)),0)+SUM(S380)+IF(COUNTIF(S$641:S683,1)=1,5,0)+IF(COUNTIF(T381:$Z381,"&gt;"&amp;0)&gt;5,IF(MOD(COUNTIF(S$641:S683,1),7)=0,$C$4,0),0)</f>
        <v>32.8471428571429</v>
      </c>
      <c r="T381" s="81" cm="1">
        <f ca="1" t="array" ref="T381">IF(T683=1,OFFSET($Z$338,$B381,T$335-1)/SUMPRODUCT(--($D$335:$V$335=T$335),--($D683:$V683=1)),0)+SUM(T380)+IF(COUNTIF(T$641:T683,1)=1,5,0)+IF(COUNTIF(U381:$Z381,"&gt;"&amp;0)&gt;5,IF(MOD(COUNTIF(T$641:T683,1),7)=0,$C$4,0),0)</f>
        <v>23.1591458405604</v>
      </c>
      <c r="U381" s="81" cm="1">
        <f ca="1" t="array" ref="U381">IF(U683=1,OFFSET($Z$338,$B381,U$335-1)/SUMPRODUCT(--($D$335:$V$335=U$335),--($D683:$V683=1)),0)+SUM(U380)+IF(COUNTIF(U$641:U683,1)=1,5,0)+IF(COUNTIF(V381:$Z381,"&gt;"&amp;0)&gt;5,IF(MOD(COUNTIF(U$641:U683,1),7)=0,$C$4,0),0)</f>
        <v>23.1591458405604</v>
      </c>
      <c r="V381" s="81" cm="1">
        <f ca="1" t="array" ref="V381">IF(V683=1,OFFSET($Z$338,$B381,V$335-1)/SUMPRODUCT(--($D$335:$V$335=V$335),--($D683:$V683=1)),0)+SUM(V380)+IF(COUNTIF(V$641:V683,1)=1,5,0)+IF(COUNTIF(Z381:$Z381,"&gt;"&amp;0)&gt;5,IF(MOD(COUNTIF(V$641:V683,1),7)=0,$C$4,0),0)</f>
        <v>15.2013266512785</v>
      </c>
      <c r="W381" s="81" cm="1">
        <f ca="1" t="array" ref="W381">IF(W683=1,OFFSET($Z$338,$B381,W$335-1)/SUMPRODUCT(--($D$335:$V$335=W$335),--($D683:$V683=1)),0)+SUM(W380)+IF(COUNTIF(W$641:W683,1)=1,5,0)+IF(COUNTIF($Z381:AA381,"&gt;"&amp;0)&gt;5,IF(MOD(COUNTIF(W$641:W683,1),7)=0,$C$4,0),0)</f>
        <v>5.84545753632918</v>
      </c>
      <c r="X381" s="81" cm="1">
        <f ca="1" t="array" ref="X381">IF(X683=1,OFFSET($Z$338,$B381,X$335-1)/SUMPRODUCT(--($D$335:$V$335=X$335),--($D683:$V683=1)),0)+SUM(X380)+IF(COUNTIF(X$641:X683,1)=1,5,0)+IF(COUNTIF($Z381:AB381,"&gt;"&amp;0)&gt;5,IF(MOD(COUNTIF(X$641:X683,1),7)=0,$C$4,0),0)</f>
        <v>0</v>
      </c>
      <c r="Y381" s="81" cm="1">
        <f ca="1" t="array" ref="Y381">IF(Y683=1,OFFSET($Z$338,$B381,Y$335-1)/SUMPRODUCT(--($D$335:$V$335=Y$335),--($D683:$V683=1)),0)+SUM(Y380)+IF(COUNTIF(Y$641:Y683,1)=1,5,0)+IF(COUNTIF($Z381:AC381,"&gt;"&amp;0)&gt;5,IF(MOD(COUNTIF(Y$641:Y683,1),7)=0,$C$4,0),0)</f>
        <v>0</v>
      </c>
      <c r="Z381" s="82" cm="1">
        <f ca="1" t="array" ref="Z381">SUMPRODUCT(TRANSPOSE($AD381:$AJ381),OFFSET($L$10:$L$16,0,Z$335-1))</f>
        <v>23.8636273910124</v>
      </c>
      <c r="AA381" s="82" cm="1">
        <f ca="1" t="array" ref="AA381">SUMPRODUCT(TRANSPOSE($AD381:$AJ381),OFFSET($L$10:$L$16,0,AA$335-1))</f>
        <v>19.8</v>
      </c>
      <c r="AB381" s="82" cm="1">
        <f ca="1" t="array" ref="AB381">SUMPRODUCT(TRANSPOSE($AD381:$AJ381),OFFSET($L$10:$L$16,0,AB$335-1))</f>
        <v>8.8</v>
      </c>
      <c r="AC381" s="82" cm="1">
        <f ca="1" t="array" ref="AC381">SUMPRODUCT(TRANSPOSE($AD381:$AJ381),OFFSET($L$10:$L$16,0,AC$335-1))</f>
        <v>2.53637260898755</v>
      </c>
      <c r="AD381" s="83">
        <f ca="1" t="shared" ref="AD381:AJ381" si="405">AK381-AK380</f>
        <v>0</v>
      </c>
      <c r="AE381" s="83">
        <f ca="1" t="shared" si="405"/>
        <v>0</v>
      </c>
      <c r="AF381" s="83">
        <f ca="1" t="shared" si="405"/>
        <v>0</v>
      </c>
      <c r="AG381" s="83">
        <f ca="1" t="shared" si="405"/>
        <v>0</v>
      </c>
      <c r="AH381" s="83">
        <f ca="1" t="shared" si="405"/>
        <v>110</v>
      </c>
      <c r="AI381" s="83">
        <f ca="1" t="shared" si="405"/>
        <v>0</v>
      </c>
      <c r="AJ381" s="83">
        <f ca="1" t="shared" si="405"/>
        <v>0</v>
      </c>
      <c r="AK381" s="83">
        <f ca="1" t="shared" si="321"/>
        <v>450</v>
      </c>
      <c r="AL381" s="83">
        <f ca="1" t="shared" ref="AL381:AQ381" si="406">IF($C381&gt;OFFSET($Q$9,MATCH(AL$338,$AK$338:$AQ$338,0),0),OFFSET($P$9,MATCH(AL$338,$AK$338:$AQ$338,0),0),MAX(0,$C381-OFFSET($Q$9,RIGHT(AL$338,1)-1,0)))</f>
        <v>909</v>
      </c>
      <c r="AM381" s="83">
        <f ca="1" t="shared" si="406"/>
        <v>1818</v>
      </c>
      <c r="AN381" s="83">
        <f ca="1" t="shared" si="406"/>
        <v>2727</v>
      </c>
      <c r="AO381" s="83">
        <f ca="1" t="shared" si="406"/>
        <v>152</v>
      </c>
      <c r="AP381" s="83">
        <f ca="1" t="shared" si="406"/>
        <v>0</v>
      </c>
      <c r="AQ381" s="83">
        <f ca="1" t="shared" si="406"/>
        <v>0</v>
      </c>
      <c r="AS381" s="52">
        <v>43</v>
      </c>
      <c r="AT381" s="52">
        <v>11990</v>
      </c>
      <c r="AU381" s="52">
        <v>11990</v>
      </c>
      <c r="AV381" s="52">
        <v>6890</v>
      </c>
      <c r="AW381" s="52">
        <v>4220</v>
      </c>
    </row>
    <row r="382" ht="16.5" spans="2:49">
      <c r="B382" s="65">
        <v>44</v>
      </c>
      <c r="C382" s="80">
        <f t="shared" si="319"/>
        <v>6166</v>
      </c>
      <c r="D382" s="81" cm="1">
        <f ca="1" t="array" ref="D382">IF(D684=1,OFFSET($Z$338,$B382,D$335-1)/SUMPRODUCT(--($D$335:$V$335=D$335),--($D684:$V684=1)),0)+SUM(D381)+IF(COUNTIF(D$641:D684,1)=1,5,0)+IF(COUNTIF(E382:$Z382,"&gt;"&amp;0)&gt;5,IF(MOD(COUNTIF(D$641:D684,1),7)=0,$C$4,0),0)</f>
        <v>649.553003019538</v>
      </c>
      <c r="E382" s="81" cm="1">
        <f ca="1" t="array" ref="E382">IF(E684=1,OFFSET($Z$338,$B382,E$335-1)/SUMPRODUCT(--($D$335:$V$335=E$335),--($D684:$V684=1)),0)+SUM(E381)+IF(COUNTIF(E$641:E684,1)=1,5,0)+IF(COUNTIF(F382:$Z382,"&gt;"&amp;0)&gt;5,IF(MOD(COUNTIF(E$641:E684,1),7)=0,$C$4,0),0)</f>
        <v>649.553003019538</v>
      </c>
      <c r="F382" s="81" cm="1">
        <f ca="1" t="array" ref="F382">IF(F684=1,OFFSET($Z$338,$B382,F$335-1)/SUMPRODUCT(--($D$335:$V$335=F$335),--($D684:$V684=1)),0)+SUM(F381)+IF(COUNTIF(F$641:F684,1)=1,5,0)+IF(COUNTIF(G382:$Z382,"&gt;"&amp;0)&gt;5,IF(MOD(COUNTIF(F$641:F684,1),7)=0,$C$4,0),0)</f>
        <v>649.553003019538</v>
      </c>
      <c r="G382" s="81" cm="1">
        <f ca="1" t="array" ref="G382">IF(G684=1,OFFSET($Z$338,$B382,G$335-1)/SUMPRODUCT(--($D$335:$V$335=G$335),--($D684:$V684=1)),0)+SUM(G381)+IF(COUNTIF(G$641:G684,1)=1,5,0)+IF(COUNTIF(H382:$Z382,"&gt;"&amp;0)&gt;5,IF(MOD(COUNTIF(G$641:G684,1),7)=0,$C$4,0),0)</f>
        <v>184.796666666667</v>
      </c>
      <c r="H382" s="81" cm="1">
        <f ca="1" t="array" ref="H382">IF(H684=1,OFFSET($Z$338,$B382,H$335-1)/SUMPRODUCT(--($D$335:$V$335=H$335),--($D684:$V684=1)),0)+SUM(H381)+IF(COUNTIF(H$641:H684,1)=1,5,0)+IF(COUNTIF(I382:$Z382,"&gt;"&amp;0)&gt;5,IF(MOD(COUNTIF(H$641:H684,1),7)=0,$C$4,0),0)</f>
        <v>184.796666666667</v>
      </c>
      <c r="I382" s="81" cm="1">
        <f ca="1" t="array" ref="I382">IF(I684=1,OFFSET($Z$338,$B382,I$335-1)/SUMPRODUCT(--($D$335:$V$335=I$335),--($D684:$V684=1)),0)+SUM(I381)+IF(COUNTIF(I$641:I684,1)=1,5,0)+IF(COUNTIF(J382:$Z382,"&gt;"&amp;0)&gt;5,IF(MOD(COUNTIF(I$641:I684,1),7)=0,$C$4,0),0)</f>
        <v>184.796666666667</v>
      </c>
      <c r="J382" s="81" cm="1">
        <f ca="1" t="array" ref="J382">IF(J684=1,OFFSET($Z$338,$B382,J$335-1)/SUMPRODUCT(--($D$335:$V$335=J$335),--($D684:$V684=1)),0)+SUM(J381)+IF(COUNTIF(J$641:J684,1)=1,5,0)+IF(COUNTIF(K382:$Z382,"&gt;"&amp;0)&gt;5,IF(MOD(COUNTIF(J$641:J684,1),7)=0,$C$4,0),0)</f>
        <v>184.796666666667</v>
      </c>
      <c r="K382" s="81" cm="1">
        <f ca="1" t="array" ref="K382">IF(K684=1,OFFSET($Z$338,$B382,K$335-1)/SUMPRODUCT(--($D$335:$V$335=K$335),--($D684:$V684=1)),0)+SUM(K381)+IF(COUNTIF(K$641:K684,1)=1,5,0)+IF(COUNTIF(L382:$Z382,"&gt;"&amp;0)&gt;5,IF(MOD(COUNTIF(K$641:K684,1),7)=0,$C$4,0),0)</f>
        <v>184.796666666667</v>
      </c>
      <c r="L382" s="81" cm="1">
        <f ca="1" t="array" ref="L382">IF(L684=1,OFFSET($Z$338,$B382,L$335-1)/SUMPRODUCT(--($D$335:$V$335=L$335),--($D684:$V684=1)),0)+SUM(L381)+IF(COUNTIF(L$641:L684,1)=1,5,0)+IF(COUNTIF(M382:$Z382,"&gt;"&amp;0)&gt;5,IF(MOD(COUNTIF(L$641:L684,1),7)=0,$C$4,0),0)</f>
        <v>178.096666666667</v>
      </c>
      <c r="M382" s="81" cm="1">
        <f ca="1" t="array" ref="M382">IF(M684=1,OFFSET($Z$338,$B382,M$335-1)/SUMPRODUCT(--($D$335:$V$335=M$335),--($D684:$V684=1)),0)+SUM(M381)+IF(COUNTIF(M$641:M684,1)=1,5,0)+IF(COUNTIF(N382:$Z382,"&gt;"&amp;0)&gt;5,IF(MOD(COUNTIF(M$641:M684,1),7)=0,$C$4,0),0)</f>
        <v>82.1555357142857</v>
      </c>
      <c r="N382" s="81" cm="1">
        <f ca="1" t="array" ref="N382">IF(N684=1,OFFSET($Z$338,$B382,N$335-1)/SUMPRODUCT(--($D$335:$V$335=N$335),--($D684:$V684=1)),0)+SUM(N381)+IF(COUNTIF(N$641:N684,1)=1,5,0)+IF(COUNTIF(O382:$Z382,"&gt;"&amp;0)&gt;5,IF(MOD(COUNTIF(N$641:N684,1),7)=0,$C$4,0),0)</f>
        <v>74.4305357142857</v>
      </c>
      <c r="O382" s="81" cm="1">
        <f ca="1" t="array" ref="O382">IF(O684=1,OFFSET($Z$338,$B382,O$335-1)/SUMPRODUCT(--($D$335:$V$335=O$335),--($D684:$V684=1)),0)+SUM(O381)+IF(COUNTIF(O$641:O684,1)=1,5,0)+IF(COUNTIF(P382:$Z382,"&gt;"&amp;0)&gt;5,IF(MOD(COUNTIF(O$641:O684,1),7)=0,$C$4,0),0)</f>
        <v>67.0055357142857</v>
      </c>
      <c r="P382" s="81" cm="1">
        <f ca="1" t="array" ref="P382">IF(P684=1,OFFSET($Z$338,$B382,P$335-1)/SUMPRODUCT(--($D$335:$V$335=P$335),--($D684:$V684=1)),0)+SUM(P381)+IF(COUNTIF(P$641:P684,1)=1,5,0)+IF(COUNTIF(Q382:$Z382,"&gt;"&amp;0)&gt;5,IF(MOD(COUNTIF(P$641:P684,1),7)=0,$C$4,0),0)</f>
        <v>64.0722023809524</v>
      </c>
      <c r="Q382" s="81" cm="1">
        <f ca="1" t="array" ref="Q382">IF(Q684=1,OFFSET($Z$338,$B382,Q$335-1)/SUMPRODUCT(--($D$335:$V$335=Q$335),--($D684:$V684=1)),0)+SUM(Q381)+IF(COUNTIF(Q$641:Q684,1)=1,5,0)+IF(COUNTIF(R382:$Z382,"&gt;"&amp;0)&gt;5,IF(MOD(COUNTIF(Q$641:Q684,1),7)=0,$C$4,0),0)</f>
        <v>63.1659523809524</v>
      </c>
      <c r="R382" s="81" cm="1">
        <f ca="1" t="array" ref="R382">IF(R684=1,OFFSET($Z$338,$B382,R$335-1)/SUMPRODUCT(--($D$335:$V$335=R$335),--($D684:$V684=1)),0)+SUM(R381)+IF(COUNTIF(R$641:R684,1)=1,5,0)+IF(COUNTIF(S382:$Z382,"&gt;"&amp;0)&gt;5,IF(MOD(COUNTIF(R$641:R684,1),7)=0,$C$4,0),0)</f>
        <v>38.2709523809524</v>
      </c>
      <c r="S382" s="81" cm="1">
        <f ca="1" t="array" ref="S382">IF(S684=1,OFFSET($Z$338,$B382,S$335-1)/SUMPRODUCT(--($D$335:$V$335=S$335),--($D684:$V684=1)),0)+SUM(S381)+IF(COUNTIF(S$641:S684,1)=1,5,0)+IF(COUNTIF(T382:$Z382,"&gt;"&amp;0)&gt;5,IF(MOD(COUNTIF(S$641:S684,1),7)=0,$C$4,0),0)</f>
        <v>34.1042857142857</v>
      </c>
      <c r="T382" s="81" cm="1">
        <f ca="1" t="array" ref="T382">IF(T684=1,OFFSET($Z$338,$B382,T$335-1)/SUMPRODUCT(--($D$335:$V$335=T$335),--($D684:$V684=1)),0)+SUM(T381)+IF(COUNTIF(T$641:T684,1)=1,5,0)+IF(COUNTIF(U382:$Z382,"&gt;"&amp;0)&gt;5,IF(MOD(COUNTIF(T$641:T684,1),7)=0,$C$4,0),0)</f>
        <v>24.0046033768895</v>
      </c>
      <c r="U382" s="81" cm="1">
        <f ca="1" t="array" ref="U382">IF(U684=1,OFFSET($Z$338,$B382,U$335-1)/SUMPRODUCT(--($D$335:$V$335=U$335),--($D684:$V684=1)),0)+SUM(U381)+IF(COUNTIF(U$641:U684,1)=1,5,0)+IF(COUNTIF(V382:$Z382,"&gt;"&amp;0)&gt;5,IF(MOD(COUNTIF(U$641:U684,1),7)=0,$C$4,0),0)</f>
        <v>24.0046033768895</v>
      </c>
      <c r="V382" s="81" cm="1">
        <f ca="1" t="array" ref="V382">IF(V684=1,OFFSET($Z$338,$B382,V$335-1)/SUMPRODUCT(--($D$335:$V$335=V$335),--($D684:$V684=1)),0)+SUM(V381)+IF(COUNTIF(V$641:V684,1)=1,5,0)+IF(COUNTIF(Z382:$Z382,"&gt;"&amp;0)&gt;5,IF(MOD(COUNTIF(V$641:V684,1),7)=0,$C$4,0),0)</f>
        <v>16.0467841876076</v>
      </c>
      <c r="W382" s="81" cm="1">
        <f ca="1" t="array" ref="W382">IF(W684=1,OFFSET($Z$338,$B382,W$335-1)/SUMPRODUCT(--($D$335:$V$335=W$335),--($D684:$V684=1)),0)+SUM(W381)+IF(COUNTIF(W$641:W684,1)=1,5,0)+IF(COUNTIF($Z382:AA382,"&gt;"&amp;0)&gt;5,IF(MOD(COUNTIF(W$641:W684,1),7)=0,$C$4,0),0)</f>
        <v>6.69091507265837</v>
      </c>
      <c r="X382" s="81" cm="1">
        <f ca="1" t="array" ref="X382">IF(X684=1,OFFSET($Z$338,$B382,X$335-1)/SUMPRODUCT(--($D$335:$V$335=X$335),--($D684:$V684=1)),0)+SUM(X381)+IF(COUNTIF(X$641:X684,1)=1,5,0)+IF(COUNTIF($Z382:AB382,"&gt;"&amp;0)&gt;5,IF(MOD(COUNTIF(X$641:X684,1),7)=0,$C$4,0),0)</f>
        <v>0</v>
      </c>
      <c r="Y382" s="81" cm="1">
        <f ca="1" t="array" ref="Y382">IF(Y684=1,OFFSET($Z$338,$B382,Y$335-1)/SUMPRODUCT(--($D$335:$V$335=Y$335),--($D684:$V684=1)),0)+SUM(Y381)+IF(COUNTIF(Y$641:Y684,1)=1,5,0)+IF(COUNTIF($Z382:AC382,"&gt;"&amp;0)&gt;5,IF(MOD(COUNTIF(Y$641:Y684,1),7)=0,$C$4,0),0)</f>
        <v>0</v>
      </c>
      <c r="Z382" s="82" cm="1">
        <f ca="1" t="array" ref="Z382">SUMPRODUCT(TRANSPOSE($AD382:$AJ382),OFFSET($L$10:$L$16,0,Z$335-1))</f>
        <v>23.8636273910124</v>
      </c>
      <c r="AA382" s="82" cm="1">
        <f ca="1" t="array" ref="AA382">SUMPRODUCT(TRANSPOSE($AD382:$AJ382),OFFSET($L$10:$L$16,0,AA$335-1))</f>
        <v>19.8</v>
      </c>
      <c r="AB382" s="82" cm="1">
        <f ca="1" t="array" ref="AB382">SUMPRODUCT(TRANSPOSE($AD382:$AJ382),OFFSET($L$10:$L$16,0,AB$335-1))</f>
        <v>8.8</v>
      </c>
      <c r="AC382" s="82" cm="1">
        <f ca="1" t="array" ref="AC382">SUMPRODUCT(TRANSPOSE($AD382:$AJ382),OFFSET($L$10:$L$16,0,AC$335-1))</f>
        <v>2.53637260898755</v>
      </c>
      <c r="AD382" s="83">
        <f ca="1" t="shared" ref="AD382:AJ382" si="407">AK382-AK381</f>
        <v>0</v>
      </c>
      <c r="AE382" s="83">
        <f ca="1" t="shared" si="407"/>
        <v>0</v>
      </c>
      <c r="AF382" s="83">
        <f ca="1" t="shared" si="407"/>
        <v>0</v>
      </c>
      <c r="AG382" s="83">
        <f ca="1" t="shared" si="407"/>
        <v>0</v>
      </c>
      <c r="AH382" s="83">
        <f ca="1" t="shared" si="407"/>
        <v>110</v>
      </c>
      <c r="AI382" s="83">
        <f ca="1" t="shared" si="407"/>
        <v>0</v>
      </c>
      <c r="AJ382" s="83">
        <f ca="1" t="shared" si="407"/>
        <v>0</v>
      </c>
      <c r="AK382" s="83">
        <f ca="1" t="shared" si="321"/>
        <v>450</v>
      </c>
      <c r="AL382" s="83">
        <f ca="1" t="shared" ref="AL382:AQ382" si="408">IF($C382&gt;OFFSET($Q$9,MATCH(AL$338,$AK$338:$AQ$338,0),0),OFFSET($P$9,MATCH(AL$338,$AK$338:$AQ$338,0),0),MAX(0,$C382-OFFSET($Q$9,RIGHT(AL$338,1)-1,0)))</f>
        <v>909</v>
      </c>
      <c r="AM382" s="83">
        <f ca="1" t="shared" si="408"/>
        <v>1818</v>
      </c>
      <c r="AN382" s="83">
        <f ca="1" t="shared" si="408"/>
        <v>2727</v>
      </c>
      <c r="AO382" s="83">
        <f ca="1" t="shared" si="408"/>
        <v>262</v>
      </c>
      <c r="AP382" s="83">
        <f ca="1" t="shared" si="408"/>
        <v>0</v>
      </c>
      <c r="AQ382" s="83">
        <f ca="1" t="shared" si="408"/>
        <v>0</v>
      </c>
      <c r="AS382" s="52">
        <v>44</v>
      </c>
      <c r="AT382" s="52">
        <v>13070</v>
      </c>
      <c r="AU382" s="52">
        <v>13070</v>
      </c>
      <c r="AV382" s="52">
        <v>7370</v>
      </c>
      <c r="AW382" s="52">
        <v>4460</v>
      </c>
    </row>
    <row r="383" ht="16.5" spans="2:49">
      <c r="B383" s="65">
        <v>45</v>
      </c>
      <c r="C383" s="80">
        <f t="shared" si="319"/>
        <v>6276</v>
      </c>
      <c r="D383" s="81" cm="1">
        <f ca="1" t="array" ref="D383">IF(D685=1,OFFSET($Z$338,$B383,D$335-1)/SUMPRODUCT(--($D$335:$V$335=D$335),--($D685:$V685=1)),0)+SUM(D382)+IF(COUNTIF(D$641:D685,1)=1,5,0)+IF(COUNTIF(E383:$Z383,"&gt;"&amp;0)&gt;5,IF(MOD(COUNTIF(D$641:D685,1),7)=0,$C$4,0),0)</f>
        <v>657.507545483209</v>
      </c>
      <c r="E383" s="81" cm="1">
        <f ca="1" t="array" ref="E383">IF(E685=1,OFFSET($Z$338,$B383,E$335-1)/SUMPRODUCT(--($D$335:$V$335=E$335),--($D685:$V685=1)),0)+SUM(E382)+IF(COUNTIF(E$641:E685,1)=1,5,0)+IF(COUNTIF(F383:$Z383,"&gt;"&amp;0)&gt;5,IF(MOD(COUNTIF(E$641:E685,1),7)=0,$C$4,0),0)</f>
        <v>657.507545483209</v>
      </c>
      <c r="F383" s="81" cm="1">
        <f ca="1" t="array" ref="F383">IF(F685=1,OFFSET($Z$338,$B383,F$335-1)/SUMPRODUCT(--($D$335:$V$335=F$335),--($D685:$V685=1)),0)+SUM(F382)+IF(COUNTIF(F$641:F685,1)=1,5,0)+IF(COUNTIF(G383:$Z383,"&gt;"&amp;0)&gt;5,IF(MOD(COUNTIF(F$641:F685,1),7)=0,$C$4,0),0)</f>
        <v>657.507545483209</v>
      </c>
      <c r="G383" s="81" cm="1">
        <f ca="1" t="array" ref="G383">IF(G685=1,OFFSET($Z$338,$B383,G$335-1)/SUMPRODUCT(--($D$335:$V$335=G$335),--($D685:$V685=1)),0)+SUM(G382)+IF(COUNTIF(G$641:G685,1)=1,5,0)+IF(COUNTIF(H383:$Z383,"&gt;"&amp;0)&gt;5,IF(MOD(COUNTIF(G$641:G685,1),7)=0,$C$4,0),0)</f>
        <v>188.096666666667</v>
      </c>
      <c r="H383" s="81" cm="1">
        <f ca="1" t="array" ref="H383">IF(H685=1,OFFSET($Z$338,$B383,H$335-1)/SUMPRODUCT(--($D$335:$V$335=H$335),--($D685:$V685=1)),0)+SUM(H382)+IF(COUNTIF(H$641:H685,1)=1,5,0)+IF(COUNTIF(I383:$Z383,"&gt;"&amp;0)&gt;5,IF(MOD(COUNTIF(H$641:H685,1),7)=0,$C$4,0),0)</f>
        <v>188.096666666667</v>
      </c>
      <c r="I383" s="81" cm="1">
        <f ca="1" t="array" ref="I383">IF(I685=1,OFFSET($Z$338,$B383,I$335-1)/SUMPRODUCT(--($D$335:$V$335=I$335),--($D685:$V685=1)),0)+SUM(I382)+IF(COUNTIF(I$641:I685,1)=1,5,0)+IF(COUNTIF(J383:$Z383,"&gt;"&amp;0)&gt;5,IF(MOD(COUNTIF(I$641:I685,1),7)=0,$C$4,0),0)</f>
        <v>188.096666666667</v>
      </c>
      <c r="J383" s="81" cm="1">
        <f ca="1" t="array" ref="J383">IF(J685=1,OFFSET($Z$338,$B383,J$335-1)/SUMPRODUCT(--($D$335:$V$335=J$335),--($D685:$V685=1)),0)+SUM(J382)+IF(COUNTIF(J$641:J685,1)=1,5,0)+IF(COUNTIF(K383:$Z383,"&gt;"&amp;0)&gt;5,IF(MOD(COUNTIF(J$641:J685,1),7)=0,$C$4,0),0)</f>
        <v>188.096666666667</v>
      </c>
      <c r="K383" s="81" cm="1">
        <f ca="1" t="array" ref="K383">IF(K685=1,OFFSET($Z$338,$B383,K$335-1)/SUMPRODUCT(--($D$335:$V$335=K$335),--($D685:$V685=1)),0)+SUM(K382)+IF(COUNTIF(K$641:K685,1)=1,5,0)+IF(COUNTIF(L383:$Z383,"&gt;"&amp;0)&gt;5,IF(MOD(COUNTIF(K$641:K685,1),7)=0,$C$4,0),0)</f>
        <v>188.096666666667</v>
      </c>
      <c r="L383" s="81" cm="1">
        <f ca="1" t="array" ref="L383">IF(L685=1,OFFSET($Z$338,$B383,L$335-1)/SUMPRODUCT(--($D$335:$V$335=L$335),--($D685:$V685=1)),0)+SUM(L382)+IF(COUNTIF(L$641:L685,1)=1,5,0)+IF(COUNTIF(M383:$Z383,"&gt;"&amp;0)&gt;5,IF(MOD(COUNTIF(L$641:L685,1),7)=0,$C$4,0),0)</f>
        <v>181.396666666667</v>
      </c>
      <c r="M383" s="81" cm="1">
        <f ca="1" t="array" ref="M383">IF(M685=1,OFFSET($Z$338,$B383,M$335-1)/SUMPRODUCT(--($D$335:$V$335=M$335),--($D685:$V685=1)),0)+SUM(M382)+IF(COUNTIF(M$641:M685,1)=1,5,0)+IF(COUNTIF(N383:$Z383,"&gt;"&amp;0)&gt;5,IF(MOD(COUNTIF(M$641:M685,1),7)=0,$C$4,0),0)</f>
        <v>83.4126785714285</v>
      </c>
      <c r="N383" s="81" cm="1">
        <f ca="1" t="array" ref="N383">IF(N685=1,OFFSET($Z$338,$B383,N$335-1)/SUMPRODUCT(--($D$335:$V$335=N$335),--($D685:$V685=1)),0)+SUM(N382)+IF(COUNTIF(N$641:N685,1)=1,5,0)+IF(COUNTIF(O383:$Z383,"&gt;"&amp;0)&gt;5,IF(MOD(COUNTIF(N$641:N685,1),7)=0,$C$4,0),0)</f>
        <v>75.6876785714285</v>
      </c>
      <c r="O383" s="81" cm="1">
        <f ca="1" t="array" ref="O383">IF(O685=1,OFFSET($Z$338,$B383,O$335-1)/SUMPRODUCT(--($D$335:$V$335=O$335),--($D685:$V685=1)),0)+SUM(O382)+IF(COUNTIF(O$641:O685,1)=1,5,0)+IF(COUNTIF(P383:$Z383,"&gt;"&amp;0)&gt;5,IF(MOD(COUNTIF(O$641:O685,1),7)=0,$C$4,0),0)</f>
        <v>73.2626785714286</v>
      </c>
      <c r="P383" s="81" cm="1">
        <f ca="1" t="array" ref="P383">IF(P685=1,OFFSET($Z$338,$B383,P$335-1)/SUMPRODUCT(--($D$335:$V$335=P$335),--($D685:$V685=1)),0)+SUM(P382)+IF(COUNTIF(P$641:P685,1)=1,5,0)+IF(COUNTIF(Q383:$Z383,"&gt;"&amp;0)&gt;5,IF(MOD(COUNTIF(P$641:P685,1),7)=0,$C$4,0),0)</f>
        <v>65.3293452380952</v>
      </c>
      <c r="Q383" s="81" cm="1">
        <f ca="1" t="array" ref="Q383">IF(Q685=1,OFFSET($Z$338,$B383,Q$335-1)/SUMPRODUCT(--($D$335:$V$335=Q$335),--($D685:$V685=1)),0)+SUM(Q382)+IF(COUNTIF(Q$641:Q685,1)=1,5,0)+IF(COUNTIF(R383:$Z383,"&gt;"&amp;0)&gt;5,IF(MOD(COUNTIF(Q$641:Q685,1),7)=0,$C$4,0),0)</f>
        <v>64.4230952380952</v>
      </c>
      <c r="R383" s="81" cm="1">
        <f ca="1" t="array" ref="R383">IF(R685=1,OFFSET($Z$338,$B383,R$335-1)/SUMPRODUCT(--($D$335:$V$335=R$335),--($D685:$V685=1)),0)+SUM(R382)+IF(COUNTIF(R$641:R685,1)=1,5,0)+IF(COUNTIF(S383:$Z383,"&gt;"&amp;0)&gt;5,IF(MOD(COUNTIF(R$641:R685,1),7)=0,$C$4,0),0)</f>
        <v>39.5280952380952</v>
      </c>
      <c r="S383" s="81" cm="1">
        <f ca="1" t="array" ref="S383">IF(S685=1,OFFSET($Z$338,$B383,S$335-1)/SUMPRODUCT(--($D$335:$V$335=S$335),--($D685:$V685=1)),0)+SUM(S382)+IF(COUNTIF(S$641:S685,1)=1,5,0)+IF(COUNTIF(T383:$Z383,"&gt;"&amp;0)&gt;5,IF(MOD(COUNTIF(S$641:S685,1),7)=0,$C$4,0),0)</f>
        <v>35.3614285714286</v>
      </c>
      <c r="T383" s="81" cm="1">
        <f ca="1" t="array" ref="T383">IF(T685=1,OFFSET($Z$338,$B383,T$335-1)/SUMPRODUCT(--($D$335:$V$335=T$335),--($D685:$V685=1)),0)+SUM(T382)+IF(COUNTIF(T$641:T685,1)=1,5,0)+IF(COUNTIF(U383:$Z383,"&gt;"&amp;0)&gt;5,IF(MOD(COUNTIF(T$641:T685,1),7)=0,$C$4,0),0)</f>
        <v>24.8500609132187</v>
      </c>
      <c r="U383" s="81" cm="1">
        <f ca="1" t="array" ref="U383">IF(U685=1,OFFSET($Z$338,$B383,U$335-1)/SUMPRODUCT(--($D$335:$V$335=U$335),--($D685:$V685=1)),0)+SUM(U382)+IF(COUNTIF(U$641:U685,1)=1,5,0)+IF(COUNTIF(V383:$Z383,"&gt;"&amp;0)&gt;5,IF(MOD(COUNTIF(U$641:U685,1),7)=0,$C$4,0),0)</f>
        <v>24.8500609132187</v>
      </c>
      <c r="V383" s="81" cm="1">
        <f ca="1" t="array" ref="V383">IF(V685=1,OFFSET($Z$338,$B383,V$335-1)/SUMPRODUCT(--($D$335:$V$335=V$335),--($D685:$V685=1)),0)+SUM(V382)+IF(COUNTIF(V$641:V685,1)=1,5,0)+IF(COUNTIF(Z383:$Z383,"&gt;"&amp;0)&gt;5,IF(MOD(COUNTIF(V$641:V685,1),7)=0,$C$4,0),0)</f>
        <v>16.8922417239368</v>
      </c>
      <c r="W383" s="81" cm="1">
        <f ca="1" t="array" ref="W383">IF(W685=1,OFFSET($Z$338,$B383,W$335-1)/SUMPRODUCT(--($D$335:$V$335=W$335),--($D685:$V685=1)),0)+SUM(W382)+IF(COUNTIF(W$641:W685,1)=1,5,0)+IF(COUNTIF($Z383:AA383,"&gt;"&amp;0)&gt;5,IF(MOD(COUNTIF(W$641:W685,1),7)=0,$C$4,0),0)</f>
        <v>7.53637260898755</v>
      </c>
      <c r="X383" s="81" cm="1">
        <f ca="1" t="array" ref="X383">IF(X685=1,OFFSET($Z$338,$B383,X$335-1)/SUMPRODUCT(--($D$335:$V$335=X$335),--($D685:$V685=1)),0)+SUM(X382)+IF(COUNTIF(X$641:X685,1)=1,5,0)+IF(COUNTIF($Z383:AB383,"&gt;"&amp;0)&gt;5,IF(MOD(COUNTIF(X$641:X685,1),7)=0,$C$4,0),0)</f>
        <v>0</v>
      </c>
      <c r="Y383" s="81" cm="1">
        <f ca="1" t="array" ref="Y383">IF(Y685=1,OFFSET($Z$338,$B383,Y$335-1)/SUMPRODUCT(--($D$335:$V$335=Y$335),--($D685:$V685=1)),0)+SUM(Y382)+IF(COUNTIF(Y$641:Y685,1)=1,5,0)+IF(COUNTIF($Z383:AC383,"&gt;"&amp;0)&gt;5,IF(MOD(COUNTIF(Y$641:Y685,1),7)=0,$C$4,0),0)</f>
        <v>0</v>
      </c>
      <c r="Z383" s="82" cm="1">
        <f ca="1" t="array" ref="Z383">SUMPRODUCT(TRANSPOSE($AD383:$AJ383),OFFSET($L$10:$L$16,0,Z$335-1))</f>
        <v>23.8636273910124</v>
      </c>
      <c r="AA383" s="82" cm="1">
        <f ca="1" t="array" ref="AA383">SUMPRODUCT(TRANSPOSE($AD383:$AJ383),OFFSET($L$10:$L$16,0,AA$335-1))</f>
        <v>19.8</v>
      </c>
      <c r="AB383" s="82" cm="1">
        <f ca="1" t="array" ref="AB383">SUMPRODUCT(TRANSPOSE($AD383:$AJ383),OFFSET($L$10:$L$16,0,AB$335-1))</f>
        <v>8.8</v>
      </c>
      <c r="AC383" s="82" cm="1">
        <f ca="1" t="array" ref="AC383">SUMPRODUCT(TRANSPOSE($AD383:$AJ383),OFFSET($L$10:$L$16,0,AC$335-1))</f>
        <v>2.53637260898755</v>
      </c>
      <c r="AD383" s="83">
        <f ca="1" t="shared" ref="AD383:AJ383" si="409">AK383-AK382</f>
        <v>0</v>
      </c>
      <c r="AE383" s="83">
        <f ca="1" t="shared" si="409"/>
        <v>0</v>
      </c>
      <c r="AF383" s="83">
        <f ca="1" t="shared" si="409"/>
        <v>0</v>
      </c>
      <c r="AG383" s="83">
        <f ca="1" t="shared" si="409"/>
        <v>0</v>
      </c>
      <c r="AH383" s="83">
        <f ca="1" t="shared" si="409"/>
        <v>110</v>
      </c>
      <c r="AI383" s="83">
        <f ca="1" t="shared" si="409"/>
        <v>0</v>
      </c>
      <c r="AJ383" s="83">
        <f ca="1" t="shared" si="409"/>
        <v>0</v>
      </c>
      <c r="AK383" s="83">
        <f ca="1" t="shared" si="321"/>
        <v>450</v>
      </c>
      <c r="AL383" s="83">
        <f ca="1" t="shared" ref="AL383:AQ383" si="410">IF($C383&gt;OFFSET($Q$9,MATCH(AL$338,$AK$338:$AQ$338,0),0),OFFSET($P$9,MATCH(AL$338,$AK$338:$AQ$338,0),0),MAX(0,$C383-OFFSET($Q$9,RIGHT(AL$338,1)-1,0)))</f>
        <v>909</v>
      </c>
      <c r="AM383" s="83">
        <f ca="1" t="shared" si="410"/>
        <v>1818</v>
      </c>
      <c r="AN383" s="83">
        <f ca="1" t="shared" si="410"/>
        <v>2727</v>
      </c>
      <c r="AO383" s="83">
        <f ca="1" t="shared" si="410"/>
        <v>372</v>
      </c>
      <c r="AP383" s="83">
        <f ca="1" t="shared" si="410"/>
        <v>0</v>
      </c>
      <c r="AQ383" s="83">
        <f ca="1" t="shared" si="410"/>
        <v>0</v>
      </c>
      <c r="AS383" s="52">
        <v>45</v>
      </c>
      <c r="AT383" s="52">
        <v>14150</v>
      </c>
      <c r="AU383" s="52">
        <v>14150</v>
      </c>
      <c r="AV383" s="52">
        <v>7850</v>
      </c>
      <c r="AW383" s="52">
        <v>4700</v>
      </c>
    </row>
    <row r="384" ht="16.5" spans="2:49">
      <c r="B384" s="65">
        <v>46</v>
      </c>
      <c r="C384" s="80">
        <f t="shared" si="319"/>
        <v>6386</v>
      </c>
      <c r="D384" s="81" cm="1">
        <f ca="1" t="array" ref="D384">IF(D686=1,OFFSET($Z$338,$B384,D$335-1)/SUMPRODUCT(--($D$335:$V$335=D$335),--($D686:$V686=1)),0)+SUM(D383)+IF(COUNTIF(D$641:D686,1)=1,5,0)+IF(COUNTIF(E384:$Z384,"&gt;"&amp;0)&gt;5,IF(MOD(COUNTIF(D$641:D686,1),7)=0,$C$4,0),0)</f>
        <v>665.462087946879</v>
      </c>
      <c r="E384" s="81" cm="1">
        <f ca="1" t="array" ref="E384">IF(E686=1,OFFSET($Z$338,$B384,E$335-1)/SUMPRODUCT(--($D$335:$V$335=E$335),--($D686:$V686=1)),0)+SUM(E383)+IF(COUNTIF(E$641:E686,1)=1,5,0)+IF(COUNTIF(F384:$Z384,"&gt;"&amp;0)&gt;5,IF(MOD(COUNTIF(E$641:E686,1),7)=0,$C$4,0),0)</f>
        <v>665.462087946879</v>
      </c>
      <c r="F384" s="81" cm="1">
        <f ca="1" t="array" ref="F384">IF(F686=1,OFFSET($Z$338,$B384,F$335-1)/SUMPRODUCT(--($D$335:$V$335=F$335),--($D686:$V686=1)),0)+SUM(F383)+IF(COUNTIF(F$641:F686,1)=1,5,0)+IF(COUNTIF(G384:$Z384,"&gt;"&amp;0)&gt;5,IF(MOD(COUNTIF(F$641:F686,1),7)=0,$C$4,0),0)</f>
        <v>665.462087946879</v>
      </c>
      <c r="G384" s="81" cm="1">
        <f ca="1" t="array" ref="G384">IF(G686=1,OFFSET($Z$338,$B384,G$335-1)/SUMPRODUCT(--($D$335:$V$335=G$335),--($D686:$V686=1)),0)+SUM(G383)+IF(COUNTIF(G$641:G686,1)=1,5,0)+IF(COUNTIF(H384:$Z384,"&gt;"&amp;0)&gt;5,IF(MOD(COUNTIF(G$641:G686,1),7)=0,$C$4,0),0)</f>
        <v>191.396666666667</v>
      </c>
      <c r="H384" s="81" cm="1">
        <f ca="1" t="array" ref="H384">IF(H686=1,OFFSET($Z$338,$B384,H$335-1)/SUMPRODUCT(--($D$335:$V$335=H$335),--($D686:$V686=1)),0)+SUM(H383)+IF(COUNTIF(H$641:H686,1)=1,5,0)+IF(COUNTIF(I384:$Z384,"&gt;"&amp;0)&gt;5,IF(MOD(COUNTIF(H$641:H686,1),7)=0,$C$4,0),0)</f>
        <v>191.396666666667</v>
      </c>
      <c r="I384" s="81" cm="1">
        <f ca="1" t="array" ref="I384">IF(I686=1,OFFSET($Z$338,$B384,I$335-1)/SUMPRODUCT(--($D$335:$V$335=I$335),--($D686:$V686=1)),0)+SUM(I383)+IF(COUNTIF(I$641:I686,1)=1,5,0)+IF(COUNTIF(J384:$Z384,"&gt;"&amp;0)&gt;5,IF(MOD(COUNTIF(I$641:I686,1),7)=0,$C$4,0),0)</f>
        <v>191.396666666667</v>
      </c>
      <c r="J384" s="81" cm="1">
        <f ca="1" t="array" ref="J384">IF(J686=1,OFFSET($Z$338,$B384,J$335-1)/SUMPRODUCT(--($D$335:$V$335=J$335),--($D686:$V686=1)),0)+SUM(J383)+IF(COUNTIF(J$641:J686,1)=1,5,0)+IF(COUNTIF(K384:$Z384,"&gt;"&amp;0)&gt;5,IF(MOD(COUNTIF(J$641:J686,1),7)=0,$C$4,0),0)</f>
        <v>191.396666666667</v>
      </c>
      <c r="K384" s="81" cm="1">
        <f ca="1" t="array" ref="K384">IF(K686=1,OFFSET($Z$338,$B384,K$335-1)/SUMPRODUCT(--($D$335:$V$335=K$335),--($D686:$V686=1)),0)+SUM(K383)+IF(COUNTIF(K$641:K686,1)=1,5,0)+IF(COUNTIF(L384:$Z384,"&gt;"&amp;0)&gt;5,IF(MOD(COUNTIF(K$641:K686,1),7)=0,$C$4,0),0)</f>
        <v>191.396666666667</v>
      </c>
      <c r="L384" s="81" cm="1">
        <f ca="1" t="array" ref="L384">IF(L686=1,OFFSET($Z$338,$B384,L$335-1)/SUMPRODUCT(--($D$335:$V$335=L$335),--($D686:$V686=1)),0)+SUM(L383)+IF(COUNTIF(L$641:L686,1)=1,5,0)+IF(COUNTIF(M384:$Z384,"&gt;"&amp;0)&gt;5,IF(MOD(COUNTIF(L$641:L686,1),7)=0,$C$4,0),0)</f>
        <v>184.696666666667</v>
      </c>
      <c r="M384" s="81" cm="1">
        <f ca="1" t="array" ref="M384">IF(M686=1,OFFSET($Z$338,$B384,M$335-1)/SUMPRODUCT(--($D$335:$V$335=M$335),--($D686:$V686=1)),0)+SUM(M383)+IF(COUNTIF(M$641:M686,1)=1,5,0)+IF(COUNTIF(N384:$Z384,"&gt;"&amp;0)&gt;5,IF(MOD(COUNTIF(M$641:M686,1),7)=0,$C$4,0),0)</f>
        <v>84.6698214285714</v>
      </c>
      <c r="N384" s="81" cm="1">
        <f ca="1" t="array" ref="N384">IF(N686=1,OFFSET($Z$338,$B384,N$335-1)/SUMPRODUCT(--($D$335:$V$335=N$335),--($D686:$V686=1)),0)+SUM(N383)+IF(COUNTIF(N$641:N686,1)=1,5,0)+IF(COUNTIF(O384:$Z384,"&gt;"&amp;0)&gt;5,IF(MOD(COUNTIF(N$641:N686,1),7)=0,$C$4,0),0)</f>
        <v>76.9448214285714</v>
      </c>
      <c r="O384" s="81" cm="1">
        <f ca="1" t="array" ref="O384">IF(O686=1,OFFSET($Z$338,$B384,O$335-1)/SUMPRODUCT(--($D$335:$V$335=O$335),--($D686:$V686=1)),0)+SUM(O383)+IF(COUNTIF(O$641:O686,1)=1,5,0)+IF(COUNTIF(P384:$Z384,"&gt;"&amp;0)&gt;5,IF(MOD(COUNTIF(O$641:O686,1),7)=0,$C$4,0),0)</f>
        <v>74.5198214285714</v>
      </c>
      <c r="P384" s="81" cm="1">
        <f ca="1" t="array" ref="P384">IF(P686=1,OFFSET($Z$338,$B384,P$335-1)/SUMPRODUCT(--($D$335:$V$335=P$335),--($D686:$V686=1)),0)+SUM(P383)+IF(COUNTIF(P$641:P686,1)=1,5,0)+IF(COUNTIF(Q384:$Z384,"&gt;"&amp;0)&gt;5,IF(MOD(COUNTIF(P$641:P686,1),7)=0,$C$4,0),0)</f>
        <v>66.5864880952381</v>
      </c>
      <c r="Q384" s="81" cm="1">
        <f ca="1" t="array" ref="Q384">IF(Q686=1,OFFSET($Z$338,$B384,Q$335-1)/SUMPRODUCT(--($D$335:$V$335=Q$335),--($D686:$V686=1)),0)+SUM(Q383)+IF(COUNTIF(Q$641:Q686,1)=1,5,0)+IF(COUNTIF(R384:$Z384,"&gt;"&amp;0)&gt;5,IF(MOD(COUNTIF(Q$641:Q686,1),7)=0,$C$4,0),0)</f>
        <v>65.6802380952381</v>
      </c>
      <c r="R384" s="81" cm="1">
        <f ca="1" t="array" ref="R384">IF(R686=1,OFFSET($Z$338,$B384,R$335-1)/SUMPRODUCT(--($D$335:$V$335=R$335),--($D686:$V686=1)),0)+SUM(R383)+IF(COUNTIF(R$641:R686,1)=1,5,0)+IF(COUNTIF(S384:$Z384,"&gt;"&amp;0)&gt;5,IF(MOD(COUNTIF(R$641:R686,1),7)=0,$C$4,0),0)</f>
        <v>40.7852380952381</v>
      </c>
      <c r="S384" s="81" cm="1">
        <f ca="1" t="array" ref="S384">IF(S686=1,OFFSET($Z$338,$B384,S$335-1)/SUMPRODUCT(--($D$335:$V$335=S$335),--($D686:$V686=1)),0)+SUM(S383)+IF(COUNTIF(S$641:S686,1)=1,5,0)+IF(COUNTIF(T384:$Z384,"&gt;"&amp;0)&gt;5,IF(MOD(COUNTIF(S$641:S686,1),7)=0,$C$4,0),0)</f>
        <v>36.6185714285714</v>
      </c>
      <c r="T384" s="81" cm="1">
        <f ca="1" t="array" ref="T384">IF(T686=1,OFFSET($Z$338,$B384,T$335-1)/SUMPRODUCT(--($D$335:$V$335=T$335),--($D686:$V686=1)),0)+SUM(T383)+IF(COUNTIF(T$641:T686,1)=1,5,0)+IF(COUNTIF(U384:$Z384,"&gt;"&amp;0)&gt;5,IF(MOD(COUNTIF(T$641:T686,1),7)=0,$C$4,0),0)</f>
        <v>25.6955184495479</v>
      </c>
      <c r="U384" s="81" cm="1">
        <f ca="1" t="array" ref="U384">IF(U686=1,OFFSET($Z$338,$B384,U$335-1)/SUMPRODUCT(--($D$335:$V$335=U$335),--($D686:$V686=1)),0)+SUM(U383)+IF(COUNTIF(U$641:U686,1)=1,5,0)+IF(COUNTIF(V384:$Z384,"&gt;"&amp;0)&gt;5,IF(MOD(COUNTIF(U$641:U686,1),7)=0,$C$4,0),0)</f>
        <v>25.6955184495479</v>
      </c>
      <c r="V384" s="81" cm="1">
        <f ca="1" t="array" ref="V384">IF(V686=1,OFFSET($Z$338,$B384,V$335-1)/SUMPRODUCT(--($D$335:$V$335=V$335),--($D686:$V686=1)),0)+SUM(V383)+IF(COUNTIF(V$641:V686,1)=1,5,0)+IF(COUNTIF(Z384:$Z384,"&gt;"&amp;0)&gt;5,IF(MOD(COUNTIF(V$641:V686,1),7)=0,$C$4,0),0)</f>
        <v>17.737699260266</v>
      </c>
      <c r="W384" s="81" cm="1">
        <f ca="1" t="array" ref="W384">IF(W686=1,OFFSET($Z$338,$B384,W$335-1)/SUMPRODUCT(--($D$335:$V$335=W$335),--($D686:$V686=1)),0)+SUM(W383)+IF(COUNTIF(W$641:W686,1)=1,5,0)+IF(COUNTIF($Z384:AA384,"&gt;"&amp;0)&gt;5,IF(MOD(COUNTIF(W$641:W686,1),7)=0,$C$4,0),0)</f>
        <v>8.38183014531673</v>
      </c>
      <c r="X384" s="81" cm="1">
        <f ca="1" t="array" ref="X384">IF(X686=1,OFFSET($Z$338,$B384,X$335-1)/SUMPRODUCT(--($D$335:$V$335=X$335),--($D686:$V686=1)),0)+SUM(X383)+IF(COUNTIF(X$641:X686,1)=1,5,0)+IF(COUNTIF($Z384:AB384,"&gt;"&amp;0)&gt;5,IF(MOD(COUNTIF(X$641:X686,1),7)=0,$C$4,0),0)</f>
        <v>0</v>
      </c>
      <c r="Y384" s="81" cm="1">
        <f ca="1" t="array" ref="Y384">IF(Y686=1,OFFSET($Z$338,$B384,Y$335-1)/SUMPRODUCT(--($D$335:$V$335=Y$335),--($D686:$V686=1)),0)+SUM(Y383)+IF(COUNTIF(Y$641:Y686,1)=1,5,0)+IF(COUNTIF($Z384:AC384,"&gt;"&amp;0)&gt;5,IF(MOD(COUNTIF(Y$641:Y686,1),7)=0,$C$4,0),0)</f>
        <v>0</v>
      </c>
      <c r="Z384" s="82" cm="1">
        <f ca="1" t="array" ref="Z384">SUMPRODUCT(TRANSPOSE($AD384:$AJ384),OFFSET($L$10:$L$16,0,Z$335-1))</f>
        <v>23.8636273910124</v>
      </c>
      <c r="AA384" s="82" cm="1">
        <f ca="1" t="array" ref="AA384">SUMPRODUCT(TRANSPOSE($AD384:$AJ384),OFFSET($L$10:$L$16,0,AA$335-1))</f>
        <v>19.8</v>
      </c>
      <c r="AB384" s="82" cm="1">
        <f ca="1" t="array" ref="AB384">SUMPRODUCT(TRANSPOSE($AD384:$AJ384),OFFSET($L$10:$L$16,0,AB$335-1))</f>
        <v>8.8</v>
      </c>
      <c r="AC384" s="82" cm="1">
        <f ca="1" t="array" ref="AC384">SUMPRODUCT(TRANSPOSE($AD384:$AJ384),OFFSET($L$10:$L$16,0,AC$335-1))</f>
        <v>2.53637260898755</v>
      </c>
      <c r="AD384" s="83">
        <f ca="1" t="shared" ref="AD384:AJ384" si="411">AK384-AK383</f>
        <v>0</v>
      </c>
      <c r="AE384" s="83">
        <f ca="1" t="shared" si="411"/>
        <v>0</v>
      </c>
      <c r="AF384" s="83">
        <f ca="1" t="shared" si="411"/>
        <v>0</v>
      </c>
      <c r="AG384" s="83">
        <f ca="1" t="shared" si="411"/>
        <v>0</v>
      </c>
      <c r="AH384" s="83">
        <f ca="1" t="shared" si="411"/>
        <v>110</v>
      </c>
      <c r="AI384" s="83">
        <f ca="1" t="shared" si="411"/>
        <v>0</v>
      </c>
      <c r="AJ384" s="83">
        <f ca="1" t="shared" si="411"/>
        <v>0</v>
      </c>
      <c r="AK384" s="83">
        <f ca="1" t="shared" si="321"/>
        <v>450</v>
      </c>
      <c r="AL384" s="83">
        <f ca="1" t="shared" ref="AL384:AQ384" si="412">IF($C384&gt;OFFSET($Q$9,MATCH(AL$338,$AK$338:$AQ$338,0),0),OFFSET($P$9,MATCH(AL$338,$AK$338:$AQ$338,0),0),MAX(0,$C384-OFFSET($Q$9,RIGHT(AL$338,1)-1,0)))</f>
        <v>909</v>
      </c>
      <c r="AM384" s="83">
        <f ca="1" t="shared" si="412"/>
        <v>1818</v>
      </c>
      <c r="AN384" s="83">
        <f ca="1" t="shared" si="412"/>
        <v>2727</v>
      </c>
      <c r="AO384" s="83">
        <f ca="1" t="shared" si="412"/>
        <v>482</v>
      </c>
      <c r="AP384" s="83">
        <f ca="1" t="shared" si="412"/>
        <v>0</v>
      </c>
      <c r="AQ384" s="83">
        <f ca="1" t="shared" si="412"/>
        <v>0</v>
      </c>
      <c r="AS384" s="52">
        <v>46</v>
      </c>
      <c r="AT384" s="52">
        <v>15590</v>
      </c>
      <c r="AU384" s="52">
        <v>15590</v>
      </c>
      <c r="AV384" s="52">
        <v>8570</v>
      </c>
      <c r="AW384" s="52">
        <v>5060</v>
      </c>
    </row>
    <row r="385" ht="16.5" spans="2:49">
      <c r="B385" s="65">
        <v>47</v>
      </c>
      <c r="C385" s="80">
        <f t="shared" si="319"/>
        <v>6496</v>
      </c>
      <c r="D385" s="81" cm="1">
        <f ca="1" t="array" ref="D385">IF(D687=1,OFFSET($Z$338,$B385,D$335-1)/SUMPRODUCT(--($D$335:$V$335=D$335),--($D687:$V687=1)),0)+SUM(D384)+IF(COUNTIF(D$641:D687,1)=1,5,0)+IF(COUNTIF(E385:$Z385,"&gt;"&amp;0)&gt;5,IF(MOD(COUNTIF(D$641:D687,1),7)=0,$C$4,0),0)</f>
        <v>673.41663041055</v>
      </c>
      <c r="E385" s="81" cm="1">
        <f ca="1" t="array" ref="E385">IF(E687=1,OFFSET($Z$338,$B385,E$335-1)/SUMPRODUCT(--($D$335:$V$335=E$335),--($D687:$V687=1)),0)+SUM(E384)+IF(COUNTIF(E$641:E687,1)=1,5,0)+IF(COUNTIF(F385:$Z385,"&gt;"&amp;0)&gt;5,IF(MOD(COUNTIF(E$641:E687,1),7)=0,$C$4,0),0)</f>
        <v>673.41663041055</v>
      </c>
      <c r="F385" s="81" cm="1">
        <f ca="1" t="array" ref="F385">IF(F687=1,OFFSET($Z$338,$B385,F$335-1)/SUMPRODUCT(--($D$335:$V$335=F$335),--($D687:$V687=1)),0)+SUM(F384)+IF(COUNTIF(F$641:F687,1)=1,5,0)+IF(COUNTIF(G385:$Z385,"&gt;"&amp;0)&gt;5,IF(MOD(COUNTIF(F$641:F687,1),7)=0,$C$4,0),0)</f>
        <v>673.41663041055</v>
      </c>
      <c r="G385" s="81" cm="1">
        <f ca="1" t="array" ref="G385">IF(G687=1,OFFSET($Z$338,$B385,G$335-1)/SUMPRODUCT(--($D$335:$V$335=G$335),--($D687:$V687=1)),0)+SUM(G384)+IF(COUNTIF(G$641:G687,1)=1,5,0)+IF(COUNTIF(H385:$Z385,"&gt;"&amp;0)&gt;5,IF(MOD(COUNTIF(G$641:G687,1),7)=0,$C$4,0),0)</f>
        <v>194.696666666667</v>
      </c>
      <c r="H385" s="81" cm="1">
        <f ca="1" t="array" ref="H385">IF(H687=1,OFFSET($Z$338,$B385,H$335-1)/SUMPRODUCT(--($D$335:$V$335=H$335),--($D687:$V687=1)),0)+SUM(H384)+IF(COUNTIF(H$641:H687,1)=1,5,0)+IF(COUNTIF(I385:$Z385,"&gt;"&amp;0)&gt;5,IF(MOD(COUNTIF(H$641:H687,1),7)=0,$C$4,0),0)</f>
        <v>194.696666666667</v>
      </c>
      <c r="I385" s="81" cm="1">
        <f ca="1" t="array" ref="I385">IF(I687=1,OFFSET($Z$338,$B385,I$335-1)/SUMPRODUCT(--($D$335:$V$335=I$335),--($D687:$V687=1)),0)+SUM(I384)+IF(COUNTIF(I$641:I687,1)=1,5,0)+IF(COUNTIF(J385:$Z385,"&gt;"&amp;0)&gt;5,IF(MOD(COUNTIF(I$641:I687,1),7)=0,$C$4,0),0)</f>
        <v>194.696666666667</v>
      </c>
      <c r="J385" s="81" cm="1">
        <f ca="1" t="array" ref="J385">IF(J687=1,OFFSET($Z$338,$B385,J$335-1)/SUMPRODUCT(--($D$335:$V$335=J$335),--($D687:$V687=1)),0)+SUM(J384)+IF(COUNTIF(J$641:J687,1)=1,5,0)+IF(COUNTIF(K385:$Z385,"&gt;"&amp;0)&gt;5,IF(MOD(COUNTIF(J$641:J687,1),7)=0,$C$4,0),0)</f>
        <v>194.696666666667</v>
      </c>
      <c r="K385" s="81" cm="1">
        <f ca="1" t="array" ref="K385">IF(K687=1,OFFSET($Z$338,$B385,K$335-1)/SUMPRODUCT(--($D$335:$V$335=K$335),--($D687:$V687=1)),0)+SUM(K384)+IF(COUNTIF(K$641:K687,1)=1,5,0)+IF(COUNTIF(L385:$Z385,"&gt;"&amp;0)&gt;5,IF(MOD(COUNTIF(K$641:K687,1),7)=0,$C$4,0),0)</f>
        <v>194.696666666667</v>
      </c>
      <c r="L385" s="81" cm="1">
        <f ca="1" t="array" ref="L385">IF(L687=1,OFFSET($Z$338,$B385,L$335-1)/SUMPRODUCT(--($D$335:$V$335=L$335),--($D687:$V687=1)),0)+SUM(L384)+IF(COUNTIF(L$641:L687,1)=1,5,0)+IF(COUNTIF(M385:$Z385,"&gt;"&amp;0)&gt;5,IF(MOD(COUNTIF(L$641:L687,1),7)=0,$C$4,0),0)</f>
        <v>187.996666666667</v>
      </c>
      <c r="M385" s="81" cm="1">
        <f ca="1" t="array" ref="M385">IF(M687=1,OFFSET($Z$338,$B385,M$335-1)/SUMPRODUCT(--($D$335:$V$335=M$335),--($D687:$V687=1)),0)+SUM(M384)+IF(COUNTIF(M$641:M687,1)=1,5,0)+IF(COUNTIF(N385:$Z385,"&gt;"&amp;0)&gt;5,IF(MOD(COUNTIF(M$641:M687,1),7)=0,$C$4,0),0)</f>
        <v>85.9269642857142</v>
      </c>
      <c r="N385" s="81" cm="1">
        <f ca="1" t="array" ref="N385">IF(N687=1,OFFSET($Z$338,$B385,N$335-1)/SUMPRODUCT(--($D$335:$V$335=N$335),--($D687:$V687=1)),0)+SUM(N384)+IF(COUNTIF(N$641:N687,1)=1,5,0)+IF(COUNTIF(O385:$Z385,"&gt;"&amp;0)&gt;5,IF(MOD(COUNTIF(N$641:N687,1),7)=0,$C$4,0),0)</f>
        <v>78.2019642857143</v>
      </c>
      <c r="O385" s="81" cm="1">
        <f ca="1" t="array" ref="O385">IF(O687=1,OFFSET($Z$338,$B385,O$335-1)/SUMPRODUCT(--($D$335:$V$335=O$335),--($D687:$V687=1)),0)+SUM(O384)+IF(COUNTIF(O$641:O687,1)=1,5,0)+IF(COUNTIF(P385:$Z385,"&gt;"&amp;0)&gt;5,IF(MOD(COUNTIF(O$641:O687,1),7)=0,$C$4,0),0)</f>
        <v>75.7769642857143</v>
      </c>
      <c r="P385" s="81" cm="1">
        <f ca="1" t="array" ref="P385">IF(P687=1,OFFSET($Z$338,$B385,P$335-1)/SUMPRODUCT(--($D$335:$V$335=P$335),--($D687:$V687=1)),0)+SUM(P384)+IF(COUNTIF(P$641:P687,1)=1,5,0)+IF(COUNTIF(Q385:$Z385,"&gt;"&amp;0)&gt;5,IF(MOD(COUNTIF(P$641:P687,1),7)=0,$C$4,0),0)</f>
        <v>72.8436309523809</v>
      </c>
      <c r="Q385" s="81" cm="1">
        <f ca="1" t="array" ref="Q385">IF(Q687=1,OFFSET($Z$338,$B385,Q$335-1)/SUMPRODUCT(--($D$335:$V$335=Q$335),--($D687:$V687=1)),0)+SUM(Q384)+IF(COUNTIF(Q$641:Q687,1)=1,5,0)+IF(COUNTIF(R385:$Z385,"&gt;"&amp;0)&gt;5,IF(MOD(COUNTIF(Q$641:Q687,1),7)=0,$C$4,0),0)</f>
        <v>66.9373809523809</v>
      </c>
      <c r="R385" s="81" cm="1">
        <f ca="1" t="array" ref="R385">IF(R687=1,OFFSET($Z$338,$B385,R$335-1)/SUMPRODUCT(--($D$335:$V$335=R$335),--($D687:$V687=1)),0)+SUM(R384)+IF(COUNTIF(R$641:R687,1)=1,5,0)+IF(COUNTIF(S385:$Z385,"&gt;"&amp;0)&gt;5,IF(MOD(COUNTIF(R$641:R687,1),7)=0,$C$4,0),0)</f>
        <v>42.042380952381</v>
      </c>
      <c r="S385" s="81" cm="1">
        <f ca="1" t="array" ref="S385">IF(S687=1,OFFSET($Z$338,$B385,S$335-1)/SUMPRODUCT(--($D$335:$V$335=S$335),--($D687:$V687=1)),0)+SUM(S384)+IF(COUNTIF(S$641:S687,1)=1,5,0)+IF(COUNTIF(T385:$Z385,"&gt;"&amp;0)&gt;5,IF(MOD(COUNTIF(S$641:S687,1),7)=0,$C$4,0),0)</f>
        <v>37.8757142857143</v>
      </c>
      <c r="T385" s="81" cm="1">
        <f ca="1" t="array" ref="T385">IF(T687=1,OFFSET($Z$338,$B385,T$335-1)/SUMPRODUCT(--($D$335:$V$335=T$335),--($D687:$V687=1)),0)+SUM(T384)+IF(COUNTIF(T$641:T687,1)=1,5,0)+IF(COUNTIF(U385:$Z385,"&gt;"&amp;0)&gt;5,IF(MOD(COUNTIF(T$641:T687,1),7)=0,$C$4,0),0)</f>
        <v>26.5409759858771</v>
      </c>
      <c r="U385" s="81" cm="1">
        <f ca="1" t="array" ref="U385">IF(U687=1,OFFSET($Z$338,$B385,U$335-1)/SUMPRODUCT(--($D$335:$V$335=U$335),--($D687:$V687=1)),0)+SUM(U384)+IF(COUNTIF(U$641:U687,1)=1,5,0)+IF(COUNTIF(V385:$Z385,"&gt;"&amp;0)&gt;5,IF(MOD(COUNTIF(U$641:U687,1),7)=0,$C$4,0),0)</f>
        <v>26.5409759858771</v>
      </c>
      <c r="V385" s="81" cm="1">
        <f ca="1" t="array" ref="V385">IF(V687=1,OFFSET($Z$338,$B385,V$335-1)/SUMPRODUCT(--($D$335:$V$335=V$335),--($D687:$V687=1)),0)+SUM(V384)+IF(COUNTIF(V$641:V687,1)=1,5,0)+IF(COUNTIF(Z385:$Z385,"&gt;"&amp;0)&gt;5,IF(MOD(COUNTIF(V$641:V687,1),7)=0,$C$4,0),0)</f>
        <v>18.5831567965952</v>
      </c>
      <c r="W385" s="81" cm="1">
        <f ca="1" t="array" ref="W385">IF(W687=1,OFFSET($Z$338,$B385,W$335-1)/SUMPRODUCT(--($D$335:$V$335=W$335),--($D687:$V687=1)),0)+SUM(W384)+IF(COUNTIF(W$641:W687,1)=1,5,0)+IF(COUNTIF($Z385:AA385,"&gt;"&amp;0)&gt;5,IF(MOD(COUNTIF(W$641:W687,1),7)=0,$C$4,0),0)</f>
        <v>9.22728768164591</v>
      </c>
      <c r="X385" s="81" cm="1">
        <f ca="1" t="array" ref="X385">IF(X687=1,OFFSET($Z$338,$B385,X$335-1)/SUMPRODUCT(--($D$335:$V$335=X$335),--($D687:$V687=1)),0)+SUM(X384)+IF(COUNTIF(X$641:X687,1)=1,5,0)+IF(COUNTIF($Z385:AB385,"&gt;"&amp;0)&gt;5,IF(MOD(COUNTIF(X$641:X687,1),7)=0,$C$4,0),0)</f>
        <v>0</v>
      </c>
      <c r="Y385" s="81" cm="1">
        <f ca="1" t="array" ref="Y385">IF(Y687=1,OFFSET($Z$338,$B385,Y$335-1)/SUMPRODUCT(--($D$335:$V$335=Y$335),--($D687:$V687=1)),0)+SUM(Y384)+IF(COUNTIF(Y$641:Y687,1)=1,5,0)+IF(COUNTIF($Z385:AC385,"&gt;"&amp;0)&gt;5,IF(MOD(COUNTIF(Y$641:Y687,1),7)=0,$C$4,0),0)</f>
        <v>0</v>
      </c>
      <c r="Z385" s="82" cm="1">
        <f ca="1" t="array" ref="Z385">SUMPRODUCT(TRANSPOSE($AD385:$AJ385),OFFSET($L$10:$L$16,0,Z$335-1))</f>
        <v>23.8636273910124</v>
      </c>
      <c r="AA385" s="82" cm="1">
        <f ca="1" t="array" ref="AA385">SUMPRODUCT(TRANSPOSE($AD385:$AJ385),OFFSET($L$10:$L$16,0,AA$335-1))</f>
        <v>19.8</v>
      </c>
      <c r="AB385" s="82" cm="1">
        <f ca="1" t="array" ref="AB385">SUMPRODUCT(TRANSPOSE($AD385:$AJ385),OFFSET($L$10:$L$16,0,AB$335-1))</f>
        <v>8.8</v>
      </c>
      <c r="AC385" s="82" cm="1">
        <f ca="1" t="array" ref="AC385">SUMPRODUCT(TRANSPOSE($AD385:$AJ385),OFFSET($L$10:$L$16,0,AC$335-1))</f>
        <v>2.53637260898755</v>
      </c>
      <c r="AD385" s="83">
        <f ca="1" t="shared" ref="AD385:AJ385" si="413">AK385-AK384</f>
        <v>0</v>
      </c>
      <c r="AE385" s="83">
        <f ca="1" t="shared" si="413"/>
        <v>0</v>
      </c>
      <c r="AF385" s="83">
        <f ca="1" t="shared" si="413"/>
        <v>0</v>
      </c>
      <c r="AG385" s="83">
        <f ca="1" t="shared" si="413"/>
        <v>0</v>
      </c>
      <c r="AH385" s="83">
        <f ca="1" t="shared" si="413"/>
        <v>110</v>
      </c>
      <c r="AI385" s="83">
        <f ca="1" t="shared" si="413"/>
        <v>0</v>
      </c>
      <c r="AJ385" s="83">
        <f ca="1" t="shared" si="413"/>
        <v>0</v>
      </c>
      <c r="AK385" s="83">
        <f ca="1" t="shared" si="321"/>
        <v>450</v>
      </c>
      <c r="AL385" s="83">
        <f ca="1" t="shared" ref="AL385:AQ385" si="414">IF($C385&gt;OFFSET($Q$9,MATCH(AL$338,$AK$338:$AQ$338,0),0),OFFSET($P$9,MATCH(AL$338,$AK$338:$AQ$338,0),0),MAX(0,$C385-OFFSET($Q$9,RIGHT(AL$338,1)-1,0)))</f>
        <v>909</v>
      </c>
      <c r="AM385" s="83">
        <f ca="1" t="shared" si="414"/>
        <v>1818</v>
      </c>
      <c r="AN385" s="83">
        <f ca="1" t="shared" si="414"/>
        <v>2727</v>
      </c>
      <c r="AO385" s="83">
        <f ca="1" t="shared" si="414"/>
        <v>592</v>
      </c>
      <c r="AP385" s="83">
        <f ca="1" t="shared" si="414"/>
        <v>0</v>
      </c>
      <c r="AQ385" s="83">
        <f ca="1" t="shared" si="414"/>
        <v>0</v>
      </c>
      <c r="AS385" s="52">
        <v>47</v>
      </c>
      <c r="AT385" s="52">
        <v>17030</v>
      </c>
      <c r="AU385" s="52">
        <v>17030</v>
      </c>
      <c r="AV385" s="52">
        <v>9290</v>
      </c>
      <c r="AW385" s="52">
        <v>5420</v>
      </c>
    </row>
    <row r="386" ht="16.5" spans="2:49">
      <c r="B386" s="65">
        <v>48</v>
      </c>
      <c r="C386" s="80">
        <f t="shared" si="319"/>
        <v>6606</v>
      </c>
      <c r="D386" s="81" cm="1">
        <f ca="1" t="array" ref="D386">IF(D688=1,OFFSET($Z$338,$B386,D$335-1)/SUMPRODUCT(--($D$335:$V$335=D$335),--($D688:$V688=1)),0)+SUM(D385)+IF(COUNTIF(D$641:D688,1)=1,5,0)+IF(COUNTIF(E386:$Z386,"&gt;"&amp;0)&gt;5,IF(MOD(COUNTIF(D$641:D688,1),7)=0,$C$4,0),0)</f>
        <v>681.371172874221</v>
      </c>
      <c r="E386" s="81" cm="1">
        <f ca="1" t="array" ref="E386">IF(E688=1,OFFSET($Z$338,$B386,E$335-1)/SUMPRODUCT(--($D$335:$V$335=E$335),--($D688:$V688=1)),0)+SUM(E385)+IF(COUNTIF(E$641:E688,1)=1,5,0)+IF(COUNTIF(F386:$Z386,"&gt;"&amp;0)&gt;5,IF(MOD(COUNTIF(E$641:E688,1),7)=0,$C$4,0),0)</f>
        <v>681.371172874221</v>
      </c>
      <c r="F386" s="81" cm="1">
        <f ca="1" t="array" ref="F386">IF(F688=1,OFFSET($Z$338,$B386,F$335-1)/SUMPRODUCT(--($D$335:$V$335=F$335),--($D688:$V688=1)),0)+SUM(F385)+IF(COUNTIF(F$641:F688,1)=1,5,0)+IF(COUNTIF(G386:$Z386,"&gt;"&amp;0)&gt;5,IF(MOD(COUNTIF(F$641:F688,1),7)=0,$C$4,0),0)</f>
        <v>681.371172874221</v>
      </c>
      <c r="G386" s="81" cm="1">
        <f ca="1" t="array" ref="G386">IF(G688=1,OFFSET($Z$338,$B386,G$335-1)/SUMPRODUCT(--($D$335:$V$335=G$335),--($D688:$V688=1)),0)+SUM(G385)+IF(COUNTIF(G$641:G688,1)=1,5,0)+IF(COUNTIF(H386:$Z386,"&gt;"&amp;0)&gt;5,IF(MOD(COUNTIF(G$641:G688,1),7)=0,$C$4,0),0)</f>
        <v>197.996666666667</v>
      </c>
      <c r="H386" s="81" cm="1">
        <f ca="1" t="array" ref="H386">IF(H688=1,OFFSET($Z$338,$B386,H$335-1)/SUMPRODUCT(--($D$335:$V$335=H$335),--($D688:$V688=1)),0)+SUM(H385)+IF(COUNTIF(H$641:H688,1)=1,5,0)+IF(COUNTIF(I386:$Z386,"&gt;"&amp;0)&gt;5,IF(MOD(COUNTIF(H$641:H688,1),7)=0,$C$4,0),0)</f>
        <v>197.996666666667</v>
      </c>
      <c r="I386" s="81" cm="1">
        <f ca="1" t="array" ref="I386">IF(I688=1,OFFSET($Z$338,$B386,I$335-1)/SUMPRODUCT(--($D$335:$V$335=I$335),--($D688:$V688=1)),0)+SUM(I385)+IF(COUNTIF(I$641:I688,1)=1,5,0)+IF(COUNTIF(J386:$Z386,"&gt;"&amp;0)&gt;5,IF(MOD(COUNTIF(I$641:I688,1),7)=0,$C$4,0),0)</f>
        <v>197.996666666667</v>
      </c>
      <c r="J386" s="81" cm="1">
        <f ca="1" t="array" ref="J386">IF(J688=1,OFFSET($Z$338,$B386,J$335-1)/SUMPRODUCT(--($D$335:$V$335=J$335),--($D688:$V688=1)),0)+SUM(J385)+IF(COUNTIF(J$641:J688,1)=1,5,0)+IF(COUNTIF(K386:$Z386,"&gt;"&amp;0)&gt;5,IF(MOD(COUNTIF(J$641:J688,1),7)=0,$C$4,0),0)</f>
        <v>197.996666666667</v>
      </c>
      <c r="K386" s="81" cm="1">
        <f ca="1" t="array" ref="K386">IF(K688=1,OFFSET($Z$338,$B386,K$335-1)/SUMPRODUCT(--($D$335:$V$335=K$335),--($D688:$V688=1)),0)+SUM(K385)+IF(COUNTIF(K$641:K688,1)=1,5,0)+IF(COUNTIF(L386:$Z386,"&gt;"&amp;0)&gt;5,IF(MOD(COUNTIF(K$641:K688,1),7)=0,$C$4,0),0)</f>
        <v>197.996666666667</v>
      </c>
      <c r="L386" s="81" cm="1">
        <f ca="1" t="array" ref="L386">IF(L688=1,OFFSET($Z$338,$B386,L$335-1)/SUMPRODUCT(--($D$335:$V$335=L$335),--($D688:$V688=1)),0)+SUM(L385)+IF(COUNTIF(L$641:L688,1)=1,5,0)+IF(COUNTIF(M386:$Z386,"&gt;"&amp;0)&gt;5,IF(MOD(COUNTIF(L$641:L688,1),7)=0,$C$4,0),0)</f>
        <v>191.296666666667</v>
      </c>
      <c r="M386" s="81" cm="1">
        <f ca="1" t="array" ref="M386">IF(M688=1,OFFSET($Z$338,$B386,M$335-1)/SUMPRODUCT(--($D$335:$V$335=M$335),--($D688:$V688=1)),0)+SUM(M385)+IF(COUNTIF(M$641:M688,1)=1,5,0)+IF(COUNTIF(N386:$Z386,"&gt;"&amp;0)&gt;5,IF(MOD(COUNTIF(M$641:M688,1),7)=0,$C$4,0),0)</f>
        <v>87.1841071428571</v>
      </c>
      <c r="N386" s="81" cm="1">
        <f ca="1" t="array" ref="N386">IF(N688=1,OFFSET($Z$338,$B386,N$335-1)/SUMPRODUCT(--($D$335:$V$335=N$335),--($D688:$V688=1)),0)+SUM(N385)+IF(COUNTIF(N$641:N688,1)=1,5,0)+IF(COUNTIF(O386:$Z386,"&gt;"&amp;0)&gt;5,IF(MOD(COUNTIF(N$641:N688,1),7)=0,$C$4,0),0)</f>
        <v>79.4591071428571</v>
      </c>
      <c r="O386" s="81" cm="1">
        <f ca="1" t="array" ref="O386">IF(O688=1,OFFSET($Z$338,$B386,O$335-1)/SUMPRODUCT(--($D$335:$V$335=O$335),--($D688:$V688=1)),0)+SUM(O385)+IF(COUNTIF(O$641:O688,1)=1,5,0)+IF(COUNTIF(P386:$Z386,"&gt;"&amp;0)&gt;5,IF(MOD(COUNTIF(O$641:O688,1),7)=0,$C$4,0),0)</f>
        <v>77.0341071428571</v>
      </c>
      <c r="P386" s="81" cm="1">
        <f ca="1" t="array" ref="P386">IF(P688=1,OFFSET($Z$338,$B386,P$335-1)/SUMPRODUCT(--($D$335:$V$335=P$335),--($D688:$V688=1)),0)+SUM(P385)+IF(COUNTIF(P$641:P688,1)=1,5,0)+IF(COUNTIF(Q386:$Z386,"&gt;"&amp;0)&gt;5,IF(MOD(COUNTIF(P$641:P688,1),7)=0,$C$4,0),0)</f>
        <v>74.1007738095238</v>
      </c>
      <c r="Q386" s="81" cm="1">
        <f ca="1" t="array" ref="Q386">IF(Q688=1,OFFSET($Z$338,$B386,Q$335-1)/SUMPRODUCT(--($D$335:$V$335=Q$335),--($D688:$V688=1)),0)+SUM(Q385)+IF(COUNTIF(Q$641:Q688,1)=1,5,0)+IF(COUNTIF(R386:$Z386,"&gt;"&amp;0)&gt;5,IF(MOD(COUNTIF(Q$641:Q688,1),7)=0,$C$4,0),0)</f>
        <v>73.1945238095238</v>
      </c>
      <c r="R386" s="81" cm="1">
        <f ca="1" t="array" ref="R386">IF(R688=1,OFFSET($Z$338,$B386,R$335-1)/SUMPRODUCT(--($D$335:$V$335=R$335),--($D688:$V688=1)),0)+SUM(R385)+IF(COUNTIF(R$641:R688,1)=1,5,0)+IF(COUNTIF(S386:$Z386,"&gt;"&amp;0)&gt;5,IF(MOD(COUNTIF(R$641:R688,1),7)=0,$C$4,0),0)</f>
        <v>43.2995238095238</v>
      </c>
      <c r="S386" s="81" cm="1">
        <f ca="1" t="array" ref="S386">IF(S688=1,OFFSET($Z$338,$B386,S$335-1)/SUMPRODUCT(--($D$335:$V$335=S$335),--($D688:$V688=1)),0)+SUM(S385)+IF(COUNTIF(S$641:S688,1)=1,5,0)+IF(COUNTIF(T386:$Z386,"&gt;"&amp;0)&gt;5,IF(MOD(COUNTIF(S$641:S688,1),7)=0,$C$4,0),0)</f>
        <v>39.1328571428572</v>
      </c>
      <c r="T386" s="81" cm="1">
        <f ca="1" t="array" ref="T386">IF(T688=1,OFFSET($Z$338,$B386,T$335-1)/SUMPRODUCT(--($D$335:$V$335=T$335),--($D688:$V688=1)),0)+SUM(T385)+IF(COUNTIF(T$641:T688,1)=1,5,0)+IF(COUNTIF(U386:$Z386,"&gt;"&amp;0)&gt;5,IF(MOD(COUNTIF(T$641:T688,1),7)=0,$C$4,0),0)</f>
        <v>27.3864335222063</v>
      </c>
      <c r="U386" s="81" cm="1">
        <f ca="1" t="array" ref="U386">IF(U688=1,OFFSET($Z$338,$B386,U$335-1)/SUMPRODUCT(--($D$335:$V$335=U$335),--($D688:$V688=1)),0)+SUM(U385)+IF(COUNTIF(U$641:U688,1)=1,5,0)+IF(COUNTIF(V386:$Z386,"&gt;"&amp;0)&gt;5,IF(MOD(COUNTIF(U$641:U688,1),7)=0,$C$4,0),0)</f>
        <v>27.3864335222063</v>
      </c>
      <c r="V386" s="81" cm="1">
        <f ca="1" t="array" ref="V386">IF(V688=1,OFFSET($Z$338,$B386,V$335-1)/SUMPRODUCT(--($D$335:$V$335=V$335),--($D688:$V688=1)),0)+SUM(V385)+IF(COUNTIF(V$641:V688,1)=1,5,0)+IF(COUNTIF(Z386:$Z386,"&gt;"&amp;0)&gt;5,IF(MOD(COUNTIF(V$641:V688,1),7)=0,$C$4,0),0)</f>
        <v>19.4286143329244</v>
      </c>
      <c r="W386" s="81" cm="1">
        <f ca="1" t="array" ref="W386">IF(W688=1,OFFSET($Z$338,$B386,W$335-1)/SUMPRODUCT(--($D$335:$V$335=W$335),--($D688:$V688=1)),0)+SUM(W385)+IF(COUNTIF(W$641:W688,1)=1,5,0)+IF(COUNTIF($Z386:AA386,"&gt;"&amp;0)&gt;5,IF(MOD(COUNTIF(W$641:W688,1),7)=0,$C$4,0),0)</f>
        <v>10.0727452179751</v>
      </c>
      <c r="X386" s="81" cm="1">
        <f ca="1" t="array" ref="X386">IF(X688=1,OFFSET($Z$338,$B386,X$335-1)/SUMPRODUCT(--($D$335:$V$335=X$335),--($D688:$V688=1)),0)+SUM(X385)+IF(COUNTIF(X$641:X688,1)=1,5,0)+IF(COUNTIF($Z386:AB386,"&gt;"&amp;0)&gt;5,IF(MOD(COUNTIF(X$641:X688,1),7)=0,$C$4,0),0)</f>
        <v>0</v>
      </c>
      <c r="Y386" s="81" cm="1">
        <f ca="1" t="array" ref="Y386">IF(Y688=1,OFFSET($Z$338,$B386,Y$335-1)/SUMPRODUCT(--($D$335:$V$335=Y$335),--($D688:$V688=1)),0)+SUM(Y385)+IF(COUNTIF(Y$641:Y688,1)=1,5,0)+IF(COUNTIF($Z386:AC386,"&gt;"&amp;0)&gt;5,IF(MOD(COUNTIF(Y$641:Y688,1),7)=0,$C$4,0),0)</f>
        <v>0</v>
      </c>
      <c r="Z386" s="82" cm="1">
        <f ca="1" t="array" ref="Z386">SUMPRODUCT(TRANSPOSE($AD386:$AJ386),OFFSET($L$10:$L$16,0,Z$335-1))</f>
        <v>23.8636273910124</v>
      </c>
      <c r="AA386" s="82" cm="1">
        <f ca="1" t="array" ref="AA386">SUMPRODUCT(TRANSPOSE($AD386:$AJ386),OFFSET($L$10:$L$16,0,AA$335-1))</f>
        <v>19.8</v>
      </c>
      <c r="AB386" s="82" cm="1">
        <f ca="1" t="array" ref="AB386">SUMPRODUCT(TRANSPOSE($AD386:$AJ386),OFFSET($L$10:$L$16,0,AB$335-1))</f>
        <v>8.8</v>
      </c>
      <c r="AC386" s="82" cm="1">
        <f ca="1" t="array" ref="AC386">SUMPRODUCT(TRANSPOSE($AD386:$AJ386),OFFSET($L$10:$L$16,0,AC$335-1))</f>
        <v>2.53637260898755</v>
      </c>
      <c r="AD386" s="83">
        <f ca="1" t="shared" ref="AD386:AJ386" si="415">AK386-AK385</f>
        <v>0</v>
      </c>
      <c r="AE386" s="83">
        <f ca="1" t="shared" si="415"/>
        <v>0</v>
      </c>
      <c r="AF386" s="83">
        <f ca="1" t="shared" si="415"/>
        <v>0</v>
      </c>
      <c r="AG386" s="83">
        <f ca="1" t="shared" si="415"/>
        <v>0</v>
      </c>
      <c r="AH386" s="83">
        <f ca="1" t="shared" si="415"/>
        <v>110</v>
      </c>
      <c r="AI386" s="83">
        <f ca="1" t="shared" si="415"/>
        <v>0</v>
      </c>
      <c r="AJ386" s="83">
        <f ca="1" t="shared" si="415"/>
        <v>0</v>
      </c>
      <c r="AK386" s="83">
        <f ca="1" t="shared" si="321"/>
        <v>450</v>
      </c>
      <c r="AL386" s="83">
        <f ca="1" t="shared" ref="AL386:AQ386" si="416">IF($C386&gt;OFFSET($Q$9,MATCH(AL$338,$AK$338:$AQ$338,0),0),OFFSET($P$9,MATCH(AL$338,$AK$338:$AQ$338,0),0),MAX(0,$C386-OFFSET($Q$9,RIGHT(AL$338,1)-1,0)))</f>
        <v>909</v>
      </c>
      <c r="AM386" s="83">
        <f ca="1" t="shared" si="416"/>
        <v>1818</v>
      </c>
      <c r="AN386" s="83">
        <f ca="1" t="shared" si="416"/>
        <v>2727</v>
      </c>
      <c r="AO386" s="83">
        <f ca="1" t="shared" si="416"/>
        <v>702</v>
      </c>
      <c r="AP386" s="83">
        <f ca="1" t="shared" si="416"/>
        <v>0</v>
      </c>
      <c r="AQ386" s="83">
        <f ca="1" t="shared" si="416"/>
        <v>0</v>
      </c>
      <c r="AS386" s="52">
        <v>48</v>
      </c>
      <c r="AT386" s="52">
        <v>18470</v>
      </c>
      <c r="AU386" s="52">
        <v>18470</v>
      </c>
      <c r="AV386" s="52">
        <v>10010</v>
      </c>
      <c r="AW386" s="52">
        <v>5780</v>
      </c>
    </row>
    <row r="387" ht="16.5" spans="2:49">
      <c r="B387" s="65">
        <v>49</v>
      </c>
      <c r="C387" s="80">
        <f t="shared" si="319"/>
        <v>6716</v>
      </c>
      <c r="D387" s="81" cm="1">
        <f ca="1" t="array" ref="D387">IF(D689=1,OFFSET($Z$338,$B387,D$335-1)/SUMPRODUCT(--($D$335:$V$335=D$335),--($D689:$V689=1)),0)+SUM(D386)+IF(COUNTIF(D$641:D689,1)=1,5,0)+IF(COUNTIF(E387:$Z387,"&gt;"&amp;0)&gt;5,IF(MOD(COUNTIF(D$641:D689,1),7)=0,$C$4,0),0)</f>
        <v>694.325715337892</v>
      </c>
      <c r="E387" s="81" cm="1">
        <f ca="1" t="array" ref="E387">IF(E689=1,OFFSET($Z$338,$B387,E$335-1)/SUMPRODUCT(--($D$335:$V$335=E$335),--($D689:$V689=1)),0)+SUM(E386)+IF(COUNTIF(E$641:E689,1)=1,5,0)+IF(COUNTIF(F387:$Z387,"&gt;"&amp;0)&gt;5,IF(MOD(COUNTIF(E$641:E689,1),7)=0,$C$4,0),0)</f>
        <v>694.325715337892</v>
      </c>
      <c r="F387" s="81" cm="1">
        <f ca="1" t="array" ref="F387">IF(F689=1,OFFSET($Z$338,$B387,F$335-1)/SUMPRODUCT(--($D$335:$V$335=F$335),--($D689:$V689=1)),0)+SUM(F386)+IF(COUNTIF(F$641:F689,1)=1,5,0)+IF(COUNTIF(G387:$Z387,"&gt;"&amp;0)&gt;5,IF(MOD(COUNTIF(F$641:F689,1),7)=0,$C$4,0),0)</f>
        <v>694.325715337892</v>
      </c>
      <c r="G387" s="81" cm="1">
        <f ca="1" t="array" ref="G387">IF(G689=1,OFFSET($Z$338,$B387,G$335-1)/SUMPRODUCT(--($D$335:$V$335=G$335),--($D689:$V689=1)),0)+SUM(G386)+IF(COUNTIF(G$641:G689,1)=1,5,0)+IF(COUNTIF(H387:$Z387,"&gt;"&amp;0)&gt;5,IF(MOD(COUNTIF(G$641:G689,1),7)=0,$C$4,0),0)</f>
        <v>206.296666666667</v>
      </c>
      <c r="H387" s="81" cm="1">
        <f ca="1" t="array" ref="H387">IF(H689=1,OFFSET($Z$338,$B387,H$335-1)/SUMPRODUCT(--($D$335:$V$335=H$335),--($D689:$V689=1)),0)+SUM(H386)+IF(COUNTIF(H$641:H689,1)=1,5,0)+IF(COUNTIF(I387:$Z387,"&gt;"&amp;0)&gt;5,IF(MOD(COUNTIF(H$641:H689,1),7)=0,$C$4,0),0)</f>
        <v>206.296666666667</v>
      </c>
      <c r="I387" s="81" cm="1">
        <f ca="1" t="array" ref="I387">IF(I689=1,OFFSET($Z$338,$B387,I$335-1)/SUMPRODUCT(--($D$335:$V$335=I$335),--($D689:$V689=1)),0)+SUM(I386)+IF(COUNTIF(I$641:I689,1)=1,5,0)+IF(COUNTIF(J387:$Z387,"&gt;"&amp;0)&gt;5,IF(MOD(COUNTIF(I$641:I689,1),7)=0,$C$4,0),0)</f>
        <v>206.296666666667</v>
      </c>
      <c r="J387" s="81" cm="1">
        <f ca="1" t="array" ref="J387">IF(J689=1,OFFSET($Z$338,$B387,J$335-1)/SUMPRODUCT(--($D$335:$V$335=J$335),--($D689:$V689=1)),0)+SUM(J386)+IF(COUNTIF(J$641:J689,1)=1,5,0)+IF(COUNTIF(K387:$Z387,"&gt;"&amp;0)&gt;5,IF(MOD(COUNTIF(J$641:J689,1),7)=0,$C$4,0),0)</f>
        <v>206.296666666667</v>
      </c>
      <c r="K387" s="81" cm="1">
        <f ca="1" t="array" ref="K387">IF(K689=1,OFFSET($Z$338,$B387,K$335-1)/SUMPRODUCT(--($D$335:$V$335=K$335),--($D689:$V689=1)),0)+SUM(K386)+IF(COUNTIF(K$641:K689,1)=1,5,0)+IF(COUNTIF(L387:$Z387,"&gt;"&amp;0)&gt;5,IF(MOD(COUNTIF(K$641:K689,1),7)=0,$C$4,0),0)</f>
        <v>206.296666666667</v>
      </c>
      <c r="L387" s="81" cm="1">
        <f ca="1" t="array" ref="L387">IF(L689=1,OFFSET($Z$338,$B387,L$335-1)/SUMPRODUCT(--($D$335:$V$335=L$335),--($D689:$V689=1)),0)+SUM(L386)+IF(COUNTIF(L$641:L689,1)=1,5,0)+IF(COUNTIF(M387:$Z387,"&gt;"&amp;0)&gt;5,IF(MOD(COUNTIF(L$641:L689,1),7)=0,$C$4,0),0)</f>
        <v>194.596666666667</v>
      </c>
      <c r="M387" s="81" cm="1">
        <f ca="1" t="array" ref="M387">IF(M689=1,OFFSET($Z$338,$B387,M$335-1)/SUMPRODUCT(--($D$335:$V$335=M$335),--($D689:$V689=1)),0)+SUM(M386)+IF(COUNTIF(M$641:M689,1)=1,5,0)+IF(COUNTIF(N387:$Z387,"&gt;"&amp;0)&gt;5,IF(MOD(COUNTIF(M$641:M689,1),7)=0,$C$4,0),0)</f>
        <v>88.4412499999999</v>
      </c>
      <c r="N387" s="81" cm="1">
        <f ca="1" t="array" ref="N387">IF(N689=1,OFFSET($Z$338,$B387,N$335-1)/SUMPRODUCT(--($D$335:$V$335=N$335),--($D689:$V689=1)),0)+SUM(N386)+IF(COUNTIF(N$641:N689,1)=1,5,0)+IF(COUNTIF(O387:$Z387,"&gt;"&amp;0)&gt;5,IF(MOD(COUNTIF(N$641:N689,1),7)=0,$C$4,0),0)</f>
        <v>80.71625</v>
      </c>
      <c r="O387" s="81" cm="1">
        <f ca="1" t="array" ref="O387">IF(O689=1,OFFSET($Z$338,$B387,O$335-1)/SUMPRODUCT(--($D$335:$V$335=O$335),--($D689:$V689=1)),0)+SUM(O386)+IF(COUNTIF(O$641:O689,1)=1,5,0)+IF(COUNTIF(P387:$Z387,"&gt;"&amp;0)&gt;5,IF(MOD(COUNTIF(O$641:O689,1),7)=0,$C$4,0),0)</f>
        <v>78.29125</v>
      </c>
      <c r="P387" s="81" cm="1">
        <f ca="1" t="array" ref="P387">IF(P689=1,OFFSET($Z$338,$B387,P$335-1)/SUMPRODUCT(--($D$335:$V$335=P$335),--($D689:$V689=1)),0)+SUM(P386)+IF(COUNTIF(P$641:P689,1)=1,5,0)+IF(COUNTIF(Q387:$Z387,"&gt;"&amp;0)&gt;5,IF(MOD(COUNTIF(P$641:P689,1),7)=0,$C$4,0),0)</f>
        <v>75.3579166666666</v>
      </c>
      <c r="Q387" s="81" cm="1">
        <f ca="1" t="array" ref="Q387">IF(Q689=1,OFFSET($Z$338,$B387,Q$335-1)/SUMPRODUCT(--($D$335:$V$335=Q$335),--($D689:$V689=1)),0)+SUM(Q386)+IF(COUNTIF(Q$641:Q689,1)=1,5,0)+IF(COUNTIF(R387:$Z387,"&gt;"&amp;0)&gt;5,IF(MOD(COUNTIF(Q$641:Q689,1),7)=0,$C$4,0),0)</f>
        <v>74.4516666666667</v>
      </c>
      <c r="R387" s="81" cm="1">
        <f ca="1" t="array" ref="R387">IF(R689=1,OFFSET($Z$338,$B387,R$335-1)/SUMPRODUCT(--($D$335:$V$335=R$335),--($D689:$V689=1)),0)+SUM(R386)+IF(COUNTIF(R$641:R689,1)=1,5,0)+IF(COUNTIF(S387:$Z387,"&gt;"&amp;0)&gt;5,IF(MOD(COUNTIF(R$641:R689,1),7)=0,$C$4,0),0)</f>
        <v>49.5566666666667</v>
      </c>
      <c r="S387" s="81" cm="1">
        <f ca="1" t="array" ref="S387">IF(S689=1,OFFSET($Z$338,$B387,S$335-1)/SUMPRODUCT(--($D$335:$V$335=S$335),--($D689:$V689=1)),0)+SUM(S386)+IF(COUNTIF(S$641:S689,1)=1,5,0)+IF(COUNTIF(T387:$Z387,"&gt;"&amp;0)&gt;5,IF(MOD(COUNTIF(S$641:S689,1),7)=0,$C$4,0),0)</f>
        <v>40.39</v>
      </c>
      <c r="T387" s="81" cm="1">
        <f ca="1" t="array" ref="T387">IF(T689=1,OFFSET($Z$338,$B387,T$335-1)/SUMPRODUCT(--($D$335:$V$335=T$335),--($D689:$V689=1)),0)+SUM(T386)+IF(COUNTIF(T$641:T689,1)=1,5,0)+IF(COUNTIF(U387:$Z387,"&gt;"&amp;0)&gt;5,IF(MOD(COUNTIF(T$641:T689,1),7)=0,$C$4,0),0)</f>
        <v>28.2318910585354</v>
      </c>
      <c r="U387" s="81" cm="1">
        <f ca="1" t="array" ref="U387">IF(U689=1,OFFSET($Z$338,$B387,U$335-1)/SUMPRODUCT(--($D$335:$V$335=U$335),--($D689:$V689=1)),0)+SUM(U386)+IF(COUNTIF(U$641:U689,1)=1,5,0)+IF(COUNTIF(V387:$Z387,"&gt;"&amp;0)&gt;5,IF(MOD(COUNTIF(U$641:U689,1),7)=0,$C$4,0),0)</f>
        <v>28.2318910585354</v>
      </c>
      <c r="V387" s="81" cm="1">
        <f ca="1" t="array" ref="V387">IF(V689=1,OFFSET($Z$338,$B387,V$335-1)/SUMPRODUCT(--($D$335:$V$335=V$335),--($D689:$V689=1)),0)+SUM(V386)+IF(COUNTIF(V$641:V689,1)=1,5,0)+IF(COUNTIF(Z387:$Z387,"&gt;"&amp;0)&gt;5,IF(MOD(COUNTIF(V$641:V689,1),7)=0,$C$4,0),0)</f>
        <v>20.2740718692536</v>
      </c>
      <c r="W387" s="81" cm="1">
        <f ca="1" t="array" ref="W387">IF(W689=1,OFFSET($Z$338,$B387,W$335-1)/SUMPRODUCT(--($D$335:$V$335=W$335),--($D689:$V689=1)),0)+SUM(W386)+IF(COUNTIF(W$641:W689,1)=1,5,0)+IF(COUNTIF($Z387:AA387,"&gt;"&amp;0)&gt;5,IF(MOD(COUNTIF(W$641:W689,1),7)=0,$C$4,0),0)</f>
        <v>10.9182027543043</v>
      </c>
      <c r="X387" s="81" cm="1">
        <f ca="1" t="array" ref="X387">IF(X689=1,OFFSET($Z$338,$B387,X$335-1)/SUMPRODUCT(--($D$335:$V$335=X$335),--($D689:$V689=1)),0)+SUM(X386)+IF(COUNTIF(X$641:X689,1)=1,5,0)+IF(COUNTIF($Z387:AB387,"&gt;"&amp;0)&gt;5,IF(MOD(COUNTIF(X$641:X689,1),7)=0,$C$4,0),0)</f>
        <v>0</v>
      </c>
      <c r="Y387" s="81" cm="1">
        <f ca="1" t="array" ref="Y387">IF(Y689=1,OFFSET($Z$338,$B387,Y$335-1)/SUMPRODUCT(--($D$335:$V$335=Y$335),--($D689:$V689=1)),0)+SUM(Y386)+IF(COUNTIF(Y$641:Y689,1)=1,5,0)+IF(COUNTIF($Z387:AC387,"&gt;"&amp;0)&gt;5,IF(MOD(COUNTIF(Y$641:Y689,1),7)=0,$C$4,0),0)</f>
        <v>0</v>
      </c>
      <c r="Z387" s="82" cm="1">
        <f ca="1" t="array" ref="Z387">SUMPRODUCT(TRANSPOSE($AD387:$AJ387),OFFSET($L$10:$L$16,0,Z$335-1))</f>
        <v>23.8636273910124</v>
      </c>
      <c r="AA387" s="82" cm="1">
        <f ca="1" t="array" ref="AA387">SUMPRODUCT(TRANSPOSE($AD387:$AJ387),OFFSET($L$10:$L$16,0,AA$335-1))</f>
        <v>19.8</v>
      </c>
      <c r="AB387" s="82" cm="1">
        <f ca="1" t="array" ref="AB387">SUMPRODUCT(TRANSPOSE($AD387:$AJ387),OFFSET($L$10:$L$16,0,AB$335-1))</f>
        <v>8.8</v>
      </c>
      <c r="AC387" s="82" cm="1">
        <f ca="1" t="array" ref="AC387">SUMPRODUCT(TRANSPOSE($AD387:$AJ387),OFFSET($L$10:$L$16,0,AC$335-1))</f>
        <v>2.53637260898755</v>
      </c>
      <c r="AD387" s="83">
        <f ca="1" t="shared" ref="AD387:AJ387" si="417">AK387-AK386</f>
        <v>0</v>
      </c>
      <c r="AE387" s="83">
        <f ca="1" t="shared" si="417"/>
        <v>0</v>
      </c>
      <c r="AF387" s="83">
        <f ca="1" t="shared" si="417"/>
        <v>0</v>
      </c>
      <c r="AG387" s="83">
        <f ca="1" t="shared" si="417"/>
        <v>0</v>
      </c>
      <c r="AH387" s="83">
        <f ca="1" t="shared" si="417"/>
        <v>110</v>
      </c>
      <c r="AI387" s="83">
        <f ca="1" t="shared" si="417"/>
        <v>0</v>
      </c>
      <c r="AJ387" s="83">
        <f ca="1" t="shared" si="417"/>
        <v>0</v>
      </c>
      <c r="AK387" s="83">
        <f ca="1" t="shared" si="321"/>
        <v>450</v>
      </c>
      <c r="AL387" s="83">
        <f ca="1" t="shared" ref="AL387:AQ387" si="418">IF($C387&gt;OFFSET($Q$9,MATCH(AL$338,$AK$338:$AQ$338,0),0),OFFSET($P$9,MATCH(AL$338,$AK$338:$AQ$338,0),0),MAX(0,$C387-OFFSET($Q$9,RIGHT(AL$338,1)-1,0)))</f>
        <v>909</v>
      </c>
      <c r="AM387" s="83">
        <f ca="1" t="shared" si="418"/>
        <v>1818</v>
      </c>
      <c r="AN387" s="83">
        <f ca="1" t="shared" si="418"/>
        <v>2727</v>
      </c>
      <c r="AO387" s="83">
        <f ca="1" t="shared" si="418"/>
        <v>812</v>
      </c>
      <c r="AP387" s="83">
        <f ca="1" t="shared" si="418"/>
        <v>0</v>
      </c>
      <c r="AQ387" s="83">
        <f ca="1" t="shared" si="418"/>
        <v>0</v>
      </c>
      <c r="AS387" s="52">
        <v>49</v>
      </c>
      <c r="AT387" s="52">
        <v>19910</v>
      </c>
      <c r="AU387" s="52">
        <v>19910</v>
      </c>
      <c r="AV387" s="52">
        <v>10730</v>
      </c>
      <c r="AW387" s="52">
        <v>6140</v>
      </c>
    </row>
    <row r="388" ht="16.5" spans="2:49">
      <c r="B388" s="65">
        <v>50</v>
      </c>
      <c r="C388" s="80">
        <f t="shared" si="319"/>
        <v>6826</v>
      </c>
      <c r="D388" s="81" cm="1">
        <f ca="1" t="array" ref="D388">IF(D690=1,OFFSET($Z$338,$B388,D$335-1)/SUMPRODUCT(--($D$335:$V$335=D$335),--($D690:$V690=1)),0)+SUM(D387)+IF(COUNTIF(D$641:D690,1)=1,5,0)+IF(COUNTIF(E388:$Z388,"&gt;"&amp;0)&gt;5,IF(MOD(COUNTIF(D$641:D690,1),7)=0,$C$4,0),0)</f>
        <v>702.280257801563</v>
      </c>
      <c r="E388" s="81" cm="1">
        <f ca="1" t="array" ref="E388">IF(E690=1,OFFSET($Z$338,$B388,E$335-1)/SUMPRODUCT(--($D$335:$V$335=E$335),--($D690:$V690=1)),0)+SUM(E387)+IF(COUNTIF(E$641:E690,1)=1,5,0)+IF(COUNTIF(F388:$Z388,"&gt;"&amp;0)&gt;5,IF(MOD(COUNTIF(E$641:E690,1),7)=0,$C$4,0),0)</f>
        <v>702.280257801563</v>
      </c>
      <c r="F388" s="81" cm="1">
        <f ca="1" t="array" ref="F388">IF(F690=1,OFFSET($Z$338,$B388,F$335-1)/SUMPRODUCT(--($D$335:$V$335=F$335),--($D690:$V690=1)),0)+SUM(F387)+IF(COUNTIF(F$641:F690,1)=1,5,0)+IF(COUNTIF(G388:$Z388,"&gt;"&amp;0)&gt;5,IF(MOD(COUNTIF(F$641:F690,1),7)=0,$C$4,0),0)</f>
        <v>702.280257801563</v>
      </c>
      <c r="G388" s="81" cm="1">
        <f ca="1" t="array" ref="G388">IF(G690=1,OFFSET($Z$338,$B388,G$335-1)/SUMPRODUCT(--($D$335:$V$335=G$335),--($D690:$V690=1)),0)+SUM(G387)+IF(COUNTIF(G$641:G690,1)=1,5,0)+IF(COUNTIF(H388:$Z388,"&gt;"&amp;0)&gt;5,IF(MOD(COUNTIF(G$641:G690,1),7)=0,$C$4,0),0)</f>
        <v>209.596666666667</v>
      </c>
      <c r="H388" s="81" cm="1">
        <f ca="1" t="array" ref="H388">IF(H690=1,OFFSET($Z$338,$B388,H$335-1)/SUMPRODUCT(--($D$335:$V$335=H$335),--($D690:$V690=1)),0)+SUM(H387)+IF(COUNTIF(H$641:H690,1)=1,5,0)+IF(COUNTIF(I388:$Z388,"&gt;"&amp;0)&gt;5,IF(MOD(COUNTIF(H$641:H690,1),7)=0,$C$4,0),0)</f>
        <v>209.596666666667</v>
      </c>
      <c r="I388" s="81" cm="1">
        <f ca="1" t="array" ref="I388">IF(I690=1,OFFSET($Z$338,$B388,I$335-1)/SUMPRODUCT(--($D$335:$V$335=I$335),--($D690:$V690=1)),0)+SUM(I387)+IF(COUNTIF(I$641:I690,1)=1,5,0)+IF(COUNTIF(J388:$Z388,"&gt;"&amp;0)&gt;5,IF(MOD(COUNTIF(I$641:I690,1),7)=0,$C$4,0),0)</f>
        <v>209.596666666667</v>
      </c>
      <c r="J388" s="81" cm="1">
        <f ca="1" t="array" ref="J388">IF(J690=1,OFFSET($Z$338,$B388,J$335-1)/SUMPRODUCT(--($D$335:$V$335=J$335),--($D690:$V690=1)),0)+SUM(J387)+IF(COUNTIF(J$641:J690,1)=1,5,0)+IF(COUNTIF(K388:$Z388,"&gt;"&amp;0)&gt;5,IF(MOD(COUNTIF(J$641:J690,1),7)=0,$C$4,0),0)</f>
        <v>209.596666666667</v>
      </c>
      <c r="K388" s="81" cm="1">
        <f ca="1" t="array" ref="K388">IF(K690=1,OFFSET($Z$338,$B388,K$335-1)/SUMPRODUCT(--($D$335:$V$335=K$335),--($D690:$V690=1)),0)+SUM(K387)+IF(COUNTIF(K$641:K690,1)=1,5,0)+IF(COUNTIF(L388:$Z388,"&gt;"&amp;0)&gt;5,IF(MOD(COUNTIF(K$641:K690,1),7)=0,$C$4,0),0)</f>
        <v>209.596666666667</v>
      </c>
      <c r="L388" s="81" cm="1">
        <f ca="1" t="array" ref="L388">IF(L690=1,OFFSET($Z$338,$B388,L$335-1)/SUMPRODUCT(--($D$335:$V$335=L$335),--($D690:$V690=1)),0)+SUM(L387)+IF(COUNTIF(L$641:L690,1)=1,5,0)+IF(COUNTIF(M388:$Z388,"&gt;"&amp;0)&gt;5,IF(MOD(COUNTIF(L$641:L690,1),7)=0,$C$4,0),0)</f>
        <v>202.896666666667</v>
      </c>
      <c r="M388" s="81" cm="1">
        <f ca="1" t="array" ref="M388">IF(M690=1,OFFSET($Z$338,$B388,M$335-1)/SUMPRODUCT(--($D$335:$V$335=M$335),--($D690:$V690=1)),0)+SUM(M387)+IF(COUNTIF(M$641:M690,1)=1,5,0)+IF(COUNTIF(N388:$Z388,"&gt;"&amp;0)&gt;5,IF(MOD(COUNTIF(M$641:M690,1),7)=0,$C$4,0),0)</f>
        <v>94.6983928571428</v>
      </c>
      <c r="N388" s="81" cm="1">
        <f ca="1" t="array" ref="N388">IF(N690=1,OFFSET($Z$338,$B388,N$335-1)/SUMPRODUCT(--($D$335:$V$335=N$335),--($D690:$V690=1)),0)+SUM(N387)+IF(COUNTIF(N$641:N690,1)=1,5,0)+IF(COUNTIF(O388:$Z388,"&gt;"&amp;0)&gt;5,IF(MOD(COUNTIF(N$641:N690,1),7)=0,$C$4,0),0)</f>
        <v>81.9733928571428</v>
      </c>
      <c r="O388" s="81" cm="1">
        <f ca="1" t="array" ref="O388">IF(O690=1,OFFSET($Z$338,$B388,O$335-1)/SUMPRODUCT(--($D$335:$V$335=O$335),--($D690:$V690=1)),0)+SUM(O387)+IF(COUNTIF(O$641:O690,1)=1,5,0)+IF(COUNTIF(P388:$Z388,"&gt;"&amp;0)&gt;5,IF(MOD(COUNTIF(O$641:O690,1),7)=0,$C$4,0),0)</f>
        <v>79.5483928571428</v>
      </c>
      <c r="P388" s="81" cm="1">
        <f ca="1" t="array" ref="P388">IF(P690=1,OFFSET($Z$338,$B388,P$335-1)/SUMPRODUCT(--($D$335:$V$335=P$335),--($D690:$V690=1)),0)+SUM(P387)+IF(COUNTIF(P$641:P690,1)=1,5,0)+IF(COUNTIF(Q388:$Z388,"&gt;"&amp;0)&gt;5,IF(MOD(COUNTIF(P$641:P690,1),7)=0,$C$4,0),0)</f>
        <v>76.6150595238095</v>
      </c>
      <c r="Q388" s="81" cm="1">
        <f ca="1" t="array" ref="Q388">IF(Q690=1,OFFSET($Z$338,$B388,Q$335-1)/SUMPRODUCT(--($D$335:$V$335=Q$335),--($D690:$V690=1)),0)+SUM(Q387)+IF(COUNTIF(Q$641:Q690,1)=1,5,0)+IF(COUNTIF(R388:$Z388,"&gt;"&amp;0)&gt;5,IF(MOD(COUNTIF(Q$641:Q690,1),7)=0,$C$4,0),0)</f>
        <v>75.7088095238095</v>
      </c>
      <c r="R388" s="81" cm="1">
        <f ca="1" t="array" ref="R388">IF(R690=1,OFFSET($Z$338,$B388,R$335-1)/SUMPRODUCT(--($D$335:$V$335=R$335),--($D690:$V690=1)),0)+SUM(R387)+IF(COUNTIF(R$641:R690,1)=1,5,0)+IF(COUNTIF(S388:$Z388,"&gt;"&amp;0)&gt;5,IF(MOD(COUNTIF(R$641:R690,1),7)=0,$C$4,0),0)</f>
        <v>50.8138095238095</v>
      </c>
      <c r="S388" s="81" cm="1">
        <f ca="1" t="array" ref="S388">IF(S690=1,OFFSET($Z$338,$B388,S$335-1)/SUMPRODUCT(--($D$335:$V$335=S$335),--($D690:$V690=1)),0)+SUM(S387)+IF(COUNTIF(S$641:S690,1)=1,5,0)+IF(COUNTIF(T388:$Z388,"&gt;"&amp;0)&gt;5,IF(MOD(COUNTIF(S$641:S690,1),7)=0,$C$4,0),0)</f>
        <v>41.6471428571429</v>
      </c>
      <c r="T388" s="81" cm="1">
        <f ca="1" t="array" ref="T388">IF(T690=1,OFFSET($Z$338,$B388,T$335-1)/SUMPRODUCT(--($D$335:$V$335=T$335),--($D690:$V690=1)),0)+SUM(T387)+IF(COUNTIF(T$641:T690,1)=1,5,0)+IF(COUNTIF(U388:$Z388,"&gt;"&amp;0)&gt;5,IF(MOD(COUNTIF(T$641:T690,1),7)=0,$C$4,0),0)</f>
        <v>29.0773485948646</v>
      </c>
      <c r="U388" s="81" cm="1">
        <f ca="1" t="array" ref="U388">IF(U690=1,OFFSET($Z$338,$B388,U$335-1)/SUMPRODUCT(--($D$335:$V$335=U$335),--($D690:$V690=1)),0)+SUM(U387)+IF(COUNTIF(U$641:U690,1)=1,5,0)+IF(COUNTIF(V388:$Z388,"&gt;"&amp;0)&gt;5,IF(MOD(COUNTIF(U$641:U690,1),7)=0,$C$4,0),0)</f>
        <v>29.0773485948646</v>
      </c>
      <c r="V388" s="81" cm="1">
        <f ca="1" t="array" ref="V388">IF(V690=1,OFFSET($Z$338,$B388,V$335-1)/SUMPRODUCT(--($D$335:$V$335=V$335),--($D690:$V690=1)),0)+SUM(V387)+IF(COUNTIF(V$641:V690,1)=1,5,0)+IF(COUNTIF(Z388:$Z388,"&gt;"&amp;0)&gt;5,IF(MOD(COUNTIF(V$641:V690,1),7)=0,$C$4,0),0)</f>
        <v>21.1195294055827</v>
      </c>
      <c r="W388" s="81" cm="1">
        <f ca="1" t="array" ref="W388">IF(W690=1,OFFSET($Z$338,$B388,W$335-1)/SUMPRODUCT(--($D$335:$V$335=W$335),--($D690:$V690=1)),0)+SUM(W387)+IF(COUNTIF(W$641:W690,1)=1,5,0)+IF(COUNTIF($Z388:AA388,"&gt;"&amp;0)&gt;5,IF(MOD(COUNTIF(W$641:W690,1),7)=0,$C$4,0),0)</f>
        <v>11.7636602906335</v>
      </c>
      <c r="X388" s="81" cm="1">
        <f ca="1" t="array" ref="X388">IF(X690=1,OFFSET($Z$338,$B388,X$335-1)/SUMPRODUCT(--($D$335:$V$335=X$335),--($D690:$V690=1)),0)+SUM(X387)+IF(COUNTIF(X$641:X690,1)=1,5,0)+IF(COUNTIF($Z388:AB388,"&gt;"&amp;0)&gt;5,IF(MOD(COUNTIF(X$641:X690,1),7)=0,$C$4,0),0)</f>
        <v>0</v>
      </c>
      <c r="Y388" s="81" cm="1">
        <f ca="1" t="array" ref="Y388">IF(Y690=1,OFFSET($Z$338,$B388,Y$335-1)/SUMPRODUCT(--($D$335:$V$335=Y$335),--($D690:$V690=1)),0)+SUM(Y387)+IF(COUNTIF(Y$641:Y690,1)=1,5,0)+IF(COUNTIF($Z388:AC388,"&gt;"&amp;0)&gt;5,IF(MOD(COUNTIF(Y$641:Y690,1),7)=0,$C$4,0),0)</f>
        <v>0</v>
      </c>
      <c r="Z388" s="82" cm="1">
        <f ca="1" t="array" ref="Z388">SUMPRODUCT(TRANSPOSE($AD388:$AJ388),OFFSET($L$10:$L$16,0,Z$335-1))</f>
        <v>23.8636273910124</v>
      </c>
      <c r="AA388" s="82" cm="1">
        <f ca="1" t="array" ref="AA388">SUMPRODUCT(TRANSPOSE($AD388:$AJ388),OFFSET($L$10:$L$16,0,AA$335-1))</f>
        <v>19.8</v>
      </c>
      <c r="AB388" s="82" cm="1">
        <f ca="1" t="array" ref="AB388">SUMPRODUCT(TRANSPOSE($AD388:$AJ388),OFFSET($L$10:$L$16,0,AB$335-1))</f>
        <v>8.8</v>
      </c>
      <c r="AC388" s="82" cm="1">
        <f ca="1" t="array" ref="AC388">SUMPRODUCT(TRANSPOSE($AD388:$AJ388),OFFSET($L$10:$L$16,0,AC$335-1))</f>
        <v>2.53637260898755</v>
      </c>
      <c r="AD388" s="83">
        <f ca="1" t="shared" ref="AD388:AJ388" si="419">AK388-AK387</f>
        <v>0</v>
      </c>
      <c r="AE388" s="83">
        <f ca="1" t="shared" si="419"/>
        <v>0</v>
      </c>
      <c r="AF388" s="83">
        <f ca="1" t="shared" si="419"/>
        <v>0</v>
      </c>
      <c r="AG388" s="83">
        <f ca="1" t="shared" si="419"/>
        <v>0</v>
      </c>
      <c r="AH388" s="83">
        <f ca="1" t="shared" si="419"/>
        <v>110</v>
      </c>
      <c r="AI388" s="83">
        <f ca="1" t="shared" si="419"/>
        <v>0</v>
      </c>
      <c r="AJ388" s="83">
        <f ca="1" t="shared" si="419"/>
        <v>0</v>
      </c>
      <c r="AK388" s="83">
        <f ca="1" t="shared" si="321"/>
        <v>450</v>
      </c>
      <c r="AL388" s="83">
        <f ca="1" t="shared" ref="AL388:AQ388" si="420">IF($C388&gt;OFFSET($Q$9,MATCH(AL$338,$AK$338:$AQ$338,0),0),OFFSET($P$9,MATCH(AL$338,$AK$338:$AQ$338,0),0),MAX(0,$C388-OFFSET($Q$9,RIGHT(AL$338,1)-1,0)))</f>
        <v>909</v>
      </c>
      <c r="AM388" s="83">
        <f ca="1" t="shared" si="420"/>
        <v>1818</v>
      </c>
      <c r="AN388" s="83">
        <f ca="1" t="shared" si="420"/>
        <v>2727</v>
      </c>
      <c r="AO388" s="83">
        <f ca="1" t="shared" si="420"/>
        <v>922</v>
      </c>
      <c r="AP388" s="83">
        <f ca="1" t="shared" si="420"/>
        <v>0</v>
      </c>
      <c r="AQ388" s="83">
        <f ca="1" t="shared" si="420"/>
        <v>0</v>
      </c>
      <c r="AS388" s="52">
        <v>50</v>
      </c>
      <c r="AT388" s="52">
        <v>21350</v>
      </c>
      <c r="AU388" s="52">
        <v>21350</v>
      </c>
      <c r="AV388" s="52">
        <v>11450</v>
      </c>
      <c r="AW388" s="52">
        <v>6500</v>
      </c>
    </row>
    <row r="389" ht="16.5" spans="2:49">
      <c r="B389" s="65">
        <v>51</v>
      </c>
      <c r="C389" s="80">
        <f t="shared" si="319"/>
        <v>6936</v>
      </c>
      <c r="D389" s="81" cm="1">
        <f ca="1" t="array" ref="D389">IF(D691=1,OFFSET($Z$338,$B389,D$335-1)/SUMPRODUCT(--($D$335:$V$335=D$335),--($D691:$V691=1)),0)+SUM(D388)+IF(COUNTIF(D$641:D691,1)=1,5,0)+IF(COUNTIF(E389:$Z389,"&gt;"&amp;0)&gt;5,IF(MOD(COUNTIF(D$641:D691,1),7)=0,$C$4,0),0)</f>
        <v>710.234800265234</v>
      </c>
      <c r="E389" s="81" cm="1">
        <f ca="1" t="array" ref="E389">IF(E691=1,OFFSET($Z$338,$B389,E$335-1)/SUMPRODUCT(--($D$335:$V$335=E$335),--($D691:$V691=1)),0)+SUM(E388)+IF(COUNTIF(E$641:E691,1)=1,5,0)+IF(COUNTIF(F389:$Z389,"&gt;"&amp;0)&gt;5,IF(MOD(COUNTIF(E$641:E691,1),7)=0,$C$4,0),0)</f>
        <v>710.234800265234</v>
      </c>
      <c r="F389" s="81" cm="1">
        <f ca="1" t="array" ref="F389">IF(F691=1,OFFSET($Z$338,$B389,F$335-1)/SUMPRODUCT(--($D$335:$V$335=F$335),--($D691:$V691=1)),0)+SUM(F388)+IF(COUNTIF(F$641:F691,1)=1,5,0)+IF(COUNTIF(G389:$Z389,"&gt;"&amp;0)&gt;5,IF(MOD(COUNTIF(F$641:F691,1),7)=0,$C$4,0),0)</f>
        <v>710.234800265234</v>
      </c>
      <c r="G389" s="81" cm="1">
        <f ca="1" t="array" ref="G389">IF(G691=1,OFFSET($Z$338,$B389,G$335-1)/SUMPRODUCT(--($D$335:$V$335=G$335),--($D691:$V691=1)),0)+SUM(G388)+IF(COUNTIF(G$641:G691,1)=1,5,0)+IF(COUNTIF(H389:$Z389,"&gt;"&amp;0)&gt;5,IF(MOD(COUNTIF(G$641:G691,1),7)=0,$C$4,0),0)</f>
        <v>212.896666666667</v>
      </c>
      <c r="H389" s="81" cm="1">
        <f ca="1" t="array" ref="H389">IF(H691=1,OFFSET($Z$338,$B389,H$335-1)/SUMPRODUCT(--($D$335:$V$335=H$335),--($D691:$V691=1)),0)+SUM(H388)+IF(COUNTIF(H$641:H691,1)=1,5,0)+IF(COUNTIF(I389:$Z389,"&gt;"&amp;0)&gt;5,IF(MOD(COUNTIF(H$641:H691,1),7)=0,$C$4,0),0)</f>
        <v>212.896666666667</v>
      </c>
      <c r="I389" s="81" cm="1">
        <f ca="1" t="array" ref="I389">IF(I691=1,OFFSET($Z$338,$B389,I$335-1)/SUMPRODUCT(--($D$335:$V$335=I$335),--($D691:$V691=1)),0)+SUM(I388)+IF(COUNTIF(I$641:I691,1)=1,5,0)+IF(COUNTIF(J389:$Z389,"&gt;"&amp;0)&gt;5,IF(MOD(COUNTIF(I$641:I691,1),7)=0,$C$4,0),0)</f>
        <v>212.896666666667</v>
      </c>
      <c r="J389" s="81" cm="1">
        <f ca="1" t="array" ref="J389">IF(J691=1,OFFSET($Z$338,$B389,J$335-1)/SUMPRODUCT(--($D$335:$V$335=J$335),--($D691:$V691=1)),0)+SUM(J388)+IF(COUNTIF(J$641:J691,1)=1,5,0)+IF(COUNTIF(K389:$Z389,"&gt;"&amp;0)&gt;5,IF(MOD(COUNTIF(J$641:J691,1),7)=0,$C$4,0),0)</f>
        <v>212.896666666667</v>
      </c>
      <c r="K389" s="81" cm="1">
        <f ca="1" t="array" ref="K389">IF(K691=1,OFFSET($Z$338,$B389,K$335-1)/SUMPRODUCT(--($D$335:$V$335=K$335),--($D691:$V691=1)),0)+SUM(K388)+IF(COUNTIF(K$641:K691,1)=1,5,0)+IF(COUNTIF(L389:$Z389,"&gt;"&amp;0)&gt;5,IF(MOD(COUNTIF(K$641:K691,1),7)=0,$C$4,0),0)</f>
        <v>212.896666666667</v>
      </c>
      <c r="L389" s="81" cm="1">
        <f ca="1" t="array" ref="L389">IF(L691=1,OFFSET($Z$338,$B389,L$335-1)/SUMPRODUCT(--($D$335:$V$335=L$335),--($D691:$V691=1)),0)+SUM(L388)+IF(COUNTIF(L$641:L691,1)=1,5,0)+IF(COUNTIF(M389:$Z389,"&gt;"&amp;0)&gt;5,IF(MOD(COUNTIF(L$641:L691,1),7)=0,$C$4,0),0)</f>
        <v>206.196666666667</v>
      </c>
      <c r="M389" s="81" cm="1">
        <f ca="1" t="array" ref="M389">IF(M691=1,OFFSET($Z$338,$B389,M$335-1)/SUMPRODUCT(--($D$335:$V$335=M$335),--($D691:$V691=1)),0)+SUM(M388)+IF(COUNTIF(M$641:M691,1)=1,5,0)+IF(COUNTIF(N389:$Z389,"&gt;"&amp;0)&gt;5,IF(MOD(COUNTIF(M$641:M691,1),7)=0,$C$4,0),0)</f>
        <v>95.9555357142856</v>
      </c>
      <c r="N389" s="81" cm="1">
        <f ca="1" t="array" ref="N389">IF(N691=1,OFFSET($Z$338,$B389,N$335-1)/SUMPRODUCT(--($D$335:$V$335=N$335),--($D691:$V691=1)),0)+SUM(N388)+IF(COUNTIF(N$641:N691,1)=1,5,0)+IF(COUNTIF(O389:$Z389,"&gt;"&amp;0)&gt;5,IF(MOD(COUNTIF(N$641:N691,1),7)=0,$C$4,0),0)</f>
        <v>88.2305357142857</v>
      </c>
      <c r="O389" s="81" cm="1">
        <f ca="1" t="array" ref="O389">IF(O691=1,OFFSET($Z$338,$B389,O$335-1)/SUMPRODUCT(--($D$335:$V$335=O$335),--($D691:$V691=1)),0)+SUM(O388)+IF(COUNTIF(O$641:O691,1)=1,5,0)+IF(COUNTIF(P389:$Z389,"&gt;"&amp;0)&gt;5,IF(MOD(COUNTIF(O$641:O691,1),7)=0,$C$4,0),0)</f>
        <v>80.8055357142857</v>
      </c>
      <c r="P389" s="81" cm="1">
        <f ca="1" t="array" ref="P389">IF(P691=1,OFFSET($Z$338,$B389,P$335-1)/SUMPRODUCT(--($D$335:$V$335=P$335),--($D691:$V691=1)),0)+SUM(P388)+IF(COUNTIF(P$641:P691,1)=1,5,0)+IF(COUNTIF(Q389:$Z389,"&gt;"&amp;0)&gt;5,IF(MOD(COUNTIF(P$641:P691,1),7)=0,$C$4,0),0)</f>
        <v>77.8722023809523</v>
      </c>
      <c r="Q389" s="81" cm="1">
        <f ca="1" t="array" ref="Q389">IF(Q691=1,OFFSET($Z$338,$B389,Q$335-1)/SUMPRODUCT(--($D$335:$V$335=Q$335),--($D691:$V691=1)),0)+SUM(Q388)+IF(COUNTIF(Q$641:Q691,1)=1,5,0)+IF(COUNTIF(R389:$Z389,"&gt;"&amp;0)&gt;5,IF(MOD(COUNTIF(Q$641:Q691,1),7)=0,$C$4,0),0)</f>
        <v>76.9659523809524</v>
      </c>
      <c r="R389" s="81" cm="1">
        <f ca="1" t="array" ref="R389">IF(R691=1,OFFSET($Z$338,$B389,R$335-1)/SUMPRODUCT(--($D$335:$V$335=R$335),--($D691:$V691=1)),0)+SUM(R388)+IF(COUNTIF(R$641:R691,1)=1,5,0)+IF(COUNTIF(S389:$Z389,"&gt;"&amp;0)&gt;5,IF(MOD(COUNTIF(R$641:R691,1),7)=0,$C$4,0),0)</f>
        <v>52.0709523809524</v>
      </c>
      <c r="S389" s="81" cm="1">
        <f ca="1" t="array" ref="S389">IF(S691=1,OFFSET($Z$338,$B389,S$335-1)/SUMPRODUCT(--($D$335:$V$335=S$335),--($D691:$V691=1)),0)+SUM(S388)+IF(COUNTIF(S$641:S691,1)=1,5,0)+IF(COUNTIF(T389:$Z389,"&gt;"&amp;0)&gt;5,IF(MOD(COUNTIF(S$641:S691,1),7)=0,$C$4,0),0)</f>
        <v>42.9042857142857</v>
      </c>
      <c r="T389" s="81" cm="1">
        <f ca="1" t="array" ref="T389">IF(T691=1,OFFSET($Z$338,$B389,T$335-1)/SUMPRODUCT(--($D$335:$V$335=T$335),--($D691:$V691=1)),0)+SUM(T388)+IF(COUNTIF(T$641:T691,1)=1,5,0)+IF(COUNTIF(U389:$Z389,"&gt;"&amp;0)&gt;5,IF(MOD(COUNTIF(T$641:T691,1),7)=0,$C$4,0),0)</f>
        <v>29.9228061311938</v>
      </c>
      <c r="U389" s="81" cm="1">
        <f ca="1" t="array" ref="U389">IF(U691=1,OFFSET($Z$338,$B389,U$335-1)/SUMPRODUCT(--($D$335:$V$335=U$335),--($D691:$V691=1)),0)+SUM(U388)+IF(COUNTIF(U$641:U691,1)=1,5,0)+IF(COUNTIF(V389:$Z389,"&gt;"&amp;0)&gt;5,IF(MOD(COUNTIF(U$641:U691,1),7)=0,$C$4,0),0)</f>
        <v>29.9228061311938</v>
      </c>
      <c r="V389" s="81" cm="1">
        <f ca="1" t="array" ref="V389">IF(V691=1,OFFSET($Z$338,$B389,V$335-1)/SUMPRODUCT(--($D$335:$V$335=V$335),--($D691:$V691=1)),0)+SUM(V388)+IF(COUNTIF(V$641:V691,1)=1,5,0)+IF(COUNTIF(Z389:$Z389,"&gt;"&amp;0)&gt;5,IF(MOD(COUNTIF(V$641:V691,1),7)=0,$C$4,0),0)</f>
        <v>21.9649869419119</v>
      </c>
      <c r="W389" s="81" cm="1">
        <f ca="1" t="array" ref="W389">IF(W691=1,OFFSET($Z$338,$B389,W$335-1)/SUMPRODUCT(--($D$335:$V$335=W$335),--($D691:$V691=1)),0)+SUM(W388)+IF(COUNTIF(W$641:W691,1)=1,5,0)+IF(COUNTIF($Z389:AA389,"&gt;"&amp;0)&gt;5,IF(MOD(COUNTIF(W$641:W691,1),7)=0,$C$4,0),0)</f>
        <v>12.6091178269626</v>
      </c>
      <c r="X389" s="81" cm="1">
        <f ca="1" t="array" ref="X389">IF(X691=1,OFFSET($Z$338,$B389,X$335-1)/SUMPRODUCT(--($D$335:$V$335=X$335),--($D691:$V691=1)),0)+SUM(X388)+IF(COUNTIF(X$641:X691,1)=1,5,0)+IF(COUNTIF($Z389:AB389,"&gt;"&amp;0)&gt;5,IF(MOD(COUNTIF(X$641:X691,1),7)=0,$C$4,0),0)</f>
        <v>5.84545753632918</v>
      </c>
      <c r="Y389" s="81" cm="1">
        <f ca="1" t="array" ref="Y389">IF(Y691=1,OFFSET($Z$338,$B389,Y$335-1)/SUMPRODUCT(--($D$335:$V$335=Y$335),--($D691:$V691=1)),0)+SUM(Y388)+IF(COUNTIF(Y$641:Y691,1)=1,5,0)+IF(COUNTIF($Z389:AC389,"&gt;"&amp;0)&gt;5,IF(MOD(COUNTIF(Y$641:Y691,1),7)=0,$C$4,0),0)</f>
        <v>0</v>
      </c>
      <c r="Z389" s="82" cm="1">
        <f ca="1" t="array" ref="Z389">SUMPRODUCT(TRANSPOSE($AD389:$AJ389),OFFSET($L$10:$L$16,0,Z$335-1))</f>
        <v>23.8636273910124</v>
      </c>
      <c r="AA389" s="82" cm="1">
        <f ca="1" t="array" ref="AA389">SUMPRODUCT(TRANSPOSE($AD389:$AJ389),OFFSET($L$10:$L$16,0,AA$335-1))</f>
        <v>19.8</v>
      </c>
      <c r="AB389" s="82" cm="1">
        <f ca="1" t="array" ref="AB389">SUMPRODUCT(TRANSPOSE($AD389:$AJ389),OFFSET($L$10:$L$16,0,AB$335-1))</f>
        <v>8.8</v>
      </c>
      <c r="AC389" s="82" cm="1">
        <f ca="1" t="array" ref="AC389">SUMPRODUCT(TRANSPOSE($AD389:$AJ389),OFFSET($L$10:$L$16,0,AC$335-1))</f>
        <v>2.53637260898755</v>
      </c>
      <c r="AD389" s="83">
        <f ca="1" t="shared" ref="AD389:AJ389" si="421">AK389-AK388</f>
        <v>0</v>
      </c>
      <c r="AE389" s="83">
        <f ca="1" t="shared" si="421"/>
        <v>0</v>
      </c>
      <c r="AF389" s="83">
        <f ca="1" t="shared" si="421"/>
        <v>0</v>
      </c>
      <c r="AG389" s="83">
        <f ca="1" t="shared" si="421"/>
        <v>0</v>
      </c>
      <c r="AH389" s="83">
        <f ca="1" t="shared" si="421"/>
        <v>110</v>
      </c>
      <c r="AI389" s="83">
        <f ca="1" t="shared" si="421"/>
        <v>0</v>
      </c>
      <c r="AJ389" s="83">
        <f ca="1" t="shared" si="421"/>
        <v>0</v>
      </c>
      <c r="AK389" s="83">
        <f ca="1" t="shared" si="321"/>
        <v>450</v>
      </c>
      <c r="AL389" s="83">
        <f ca="1" t="shared" ref="AL389:AQ389" si="422">IF($C389&gt;OFFSET($Q$9,MATCH(AL$338,$AK$338:$AQ$338,0),0),OFFSET($P$9,MATCH(AL$338,$AK$338:$AQ$338,0),0),MAX(0,$C389-OFFSET($Q$9,RIGHT(AL$338,1)-1,0)))</f>
        <v>909</v>
      </c>
      <c r="AM389" s="83">
        <f ca="1" t="shared" si="422"/>
        <v>1818</v>
      </c>
      <c r="AN389" s="83">
        <f ca="1" t="shared" si="422"/>
        <v>2727</v>
      </c>
      <c r="AO389" s="83">
        <f ca="1" t="shared" si="422"/>
        <v>1032</v>
      </c>
      <c r="AP389" s="83">
        <f ca="1" t="shared" si="422"/>
        <v>0</v>
      </c>
      <c r="AQ389" s="83">
        <f ca="1" t="shared" si="422"/>
        <v>0</v>
      </c>
    </row>
    <row r="390" ht="16.5" spans="2:49">
      <c r="B390" s="65">
        <v>52</v>
      </c>
      <c r="C390" s="80">
        <f t="shared" si="319"/>
        <v>7046</v>
      </c>
      <c r="D390" s="81" cm="1">
        <f ca="1" t="array" ref="D390">IF(D692=1,OFFSET($Z$338,$B390,D$335-1)/SUMPRODUCT(--($D$335:$V$335=D$335),--($D692:$V692=1)),0)+SUM(D389)+IF(COUNTIF(D$641:D692,1)=1,5,0)+IF(COUNTIF(E390:$Z390,"&gt;"&amp;0)&gt;5,IF(MOD(COUNTIF(D$641:D692,1),7)=0,$C$4,0),0)</f>
        <v>718.189342728904</v>
      </c>
      <c r="E390" s="81" cm="1">
        <f ca="1" t="array" ref="E390">IF(E692=1,OFFSET($Z$338,$B390,E$335-1)/SUMPRODUCT(--($D$335:$V$335=E$335),--($D692:$V692=1)),0)+SUM(E389)+IF(COUNTIF(E$641:E692,1)=1,5,0)+IF(COUNTIF(F390:$Z390,"&gt;"&amp;0)&gt;5,IF(MOD(COUNTIF(E$641:E692,1),7)=0,$C$4,0),0)</f>
        <v>718.189342728904</v>
      </c>
      <c r="F390" s="81" cm="1">
        <f ca="1" t="array" ref="F390">IF(F692=1,OFFSET($Z$338,$B390,F$335-1)/SUMPRODUCT(--($D$335:$V$335=F$335),--($D692:$V692=1)),0)+SUM(F389)+IF(COUNTIF(F$641:F692,1)=1,5,0)+IF(COUNTIF(G390:$Z390,"&gt;"&amp;0)&gt;5,IF(MOD(COUNTIF(F$641:F692,1),7)=0,$C$4,0),0)</f>
        <v>718.189342728904</v>
      </c>
      <c r="G390" s="81" cm="1">
        <f ca="1" t="array" ref="G390">IF(G692=1,OFFSET($Z$338,$B390,G$335-1)/SUMPRODUCT(--($D$335:$V$335=G$335),--($D692:$V692=1)),0)+SUM(G389)+IF(COUNTIF(G$641:G692,1)=1,5,0)+IF(COUNTIF(H390:$Z390,"&gt;"&amp;0)&gt;5,IF(MOD(COUNTIF(G$641:G692,1),7)=0,$C$4,0),0)</f>
        <v>216.196666666667</v>
      </c>
      <c r="H390" s="81" cm="1">
        <f ca="1" t="array" ref="H390">IF(H692=1,OFFSET($Z$338,$B390,H$335-1)/SUMPRODUCT(--($D$335:$V$335=H$335),--($D692:$V692=1)),0)+SUM(H389)+IF(COUNTIF(H$641:H692,1)=1,5,0)+IF(COUNTIF(I390:$Z390,"&gt;"&amp;0)&gt;5,IF(MOD(COUNTIF(H$641:H692,1),7)=0,$C$4,0),0)</f>
        <v>216.196666666667</v>
      </c>
      <c r="I390" s="81" cm="1">
        <f ca="1" t="array" ref="I390">IF(I692=1,OFFSET($Z$338,$B390,I$335-1)/SUMPRODUCT(--($D$335:$V$335=I$335),--($D692:$V692=1)),0)+SUM(I389)+IF(COUNTIF(I$641:I692,1)=1,5,0)+IF(COUNTIF(J390:$Z390,"&gt;"&amp;0)&gt;5,IF(MOD(COUNTIF(I$641:I692,1),7)=0,$C$4,0),0)</f>
        <v>216.196666666667</v>
      </c>
      <c r="J390" s="81" cm="1">
        <f ca="1" t="array" ref="J390">IF(J692=1,OFFSET($Z$338,$B390,J$335-1)/SUMPRODUCT(--($D$335:$V$335=J$335),--($D692:$V692=1)),0)+SUM(J389)+IF(COUNTIF(J$641:J692,1)=1,5,0)+IF(COUNTIF(K390:$Z390,"&gt;"&amp;0)&gt;5,IF(MOD(COUNTIF(J$641:J692,1),7)=0,$C$4,0),0)</f>
        <v>216.196666666667</v>
      </c>
      <c r="K390" s="81" cm="1">
        <f ca="1" t="array" ref="K390">IF(K692=1,OFFSET($Z$338,$B390,K$335-1)/SUMPRODUCT(--($D$335:$V$335=K$335),--($D692:$V692=1)),0)+SUM(K389)+IF(COUNTIF(K$641:K692,1)=1,5,0)+IF(COUNTIF(L390:$Z390,"&gt;"&amp;0)&gt;5,IF(MOD(COUNTIF(K$641:K692,1),7)=0,$C$4,0),0)</f>
        <v>216.196666666667</v>
      </c>
      <c r="L390" s="81" cm="1">
        <f ca="1" t="array" ref="L390">IF(L692=1,OFFSET($Z$338,$B390,L$335-1)/SUMPRODUCT(--($D$335:$V$335=L$335),--($D692:$V692=1)),0)+SUM(L389)+IF(COUNTIF(L$641:L692,1)=1,5,0)+IF(COUNTIF(M390:$Z390,"&gt;"&amp;0)&gt;5,IF(MOD(COUNTIF(L$641:L692,1),7)=0,$C$4,0),0)</f>
        <v>209.496666666667</v>
      </c>
      <c r="M390" s="81" cm="1">
        <f ca="1" t="array" ref="M390">IF(M692=1,OFFSET($Z$338,$B390,M$335-1)/SUMPRODUCT(--($D$335:$V$335=M$335),--($D692:$V692=1)),0)+SUM(M389)+IF(COUNTIF(M$641:M692,1)=1,5,0)+IF(COUNTIF(N390:$Z390,"&gt;"&amp;0)&gt;5,IF(MOD(COUNTIF(M$641:M692,1),7)=0,$C$4,0),0)</f>
        <v>97.2126785714285</v>
      </c>
      <c r="N390" s="81" cm="1">
        <f ca="1" t="array" ref="N390">IF(N692=1,OFFSET($Z$338,$B390,N$335-1)/SUMPRODUCT(--($D$335:$V$335=N$335),--($D692:$V692=1)),0)+SUM(N389)+IF(COUNTIF(N$641:N692,1)=1,5,0)+IF(COUNTIF(O390:$Z390,"&gt;"&amp;0)&gt;5,IF(MOD(COUNTIF(N$641:N692,1),7)=0,$C$4,0),0)</f>
        <v>89.4876785714285</v>
      </c>
      <c r="O390" s="81" cm="1">
        <f ca="1" t="array" ref="O390">IF(O692=1,OFFSET($Z$338,$B390,O$335-1)/SUMPRODUCT(--($D$335:$V$335=O$335),--($D692:$V692=1)),0)+SUM(O389)+IF(COUNTIF(O$641:O692,1)=1,5,0)+IF(COUNTIF(P390:$Z390,"&gt;"&amp;0)&gt;5,IF(MOD(COUNTIF(O$641:O692,1),7)=0,$C$4,0),0)</f>
        <v>87.0626785714285</v>
      </c>
      <c r="P390" s="81" cm="1">
        <f ca="1" t="array" ref="P390">IF(P692=1,OFFSET($Z$338,$B390,P$335-1)/SUMPRODUCT(--($D$335:$V$335=P$335),--($D692:$V692=1)),0)+SUM(P389)+IF(COUNTIF(P$641:P692,1)=1,5,0)+IF(COUNTIF(Q390:$Z390,"&gt;"&amp;0)&gt;5,IF(MOD(COUNTIF(P$641:P692,1),7)=0,$C$4,0),0)</f>
        <v>79.1293452380952</v>
      </c>
      <c r="Q390" s="81" cm="1">
        <f ca="1" t="array" ref="Q390">IF(Q692=1,OFFSET($Z$338,$B390,Q$335-1)/SUMPRODUCT(--($D$335:$V$335=Q$335),--($D692:$V692=1)),0)+SUM(Q389)+IF(COUNTIF(Q$641:Q692,1)=1,5,0)+IF(COUNTIF(R390:$Z390,"&gt;"&amp;0)&gt;5,IF(MOD(COUNTIF(Q$641:Q692,1),7)=0,$C$4,0),0)</f>
        <v>78.2230952380952</v>
      </c>
      <c r="R390" s="81" cm="1">
        <f ca="1" t="array" ref="R390">IF(R692=1,OFFSET($Z$338,$B390,R$335-1)/SUMPRODUCT(--($D$335:$V$335=R$335),--($D692:$V692=1)),0)+SUM(R389)+IF(COUNTIF(R$641:R692,1)=1,5,0)+IF(COUNTIF(S390:$Z390,"&gt;"&amp;0)&gt;5,IF(MOD(COUNTIF(R$641:R692,1),7)=0,$C$4,0),0)</f>
        <v>53.3280952380953</v>
      </c>
      <c r="S390" s="81" cm="1">
        <f ca="1" t="array" ref="S390">IF(S692=1,OFFSET($Z$338,$B390,S$335-1)/SUMPRODUCT(--($D$335:$V$335=S$335),--($D692:$V692=1)),0)+SUM(S389)+IF(COUNTIF(S$641:S692,1)=1,5,0)+IF(COUNTIF(T390:$Z390,"&gt;"&amp;0)&gt;5,IF(MOD(COUNTIF(S$641:S692,1),7)=0,$C$4,0),0)</f>
        <v>44.1614285714286</v>
      </c>
      <c r="T390" s="81" cm="1">
        <f ca="1" t="array" ref="T390">IF(T692=1,OFFSET($Z$338,$B390,T$335-1)/SUMPRODUCT(--($D$335:$V$335=T$335),--($D692:$V692=1)),0)+SUM(T389)+IF(COUNTIF(T$641:T692,1)=1,5,0)+IF(COUNTIF(U390:$Z390,"&gt;"&amp;0)&gt;5,IF(MOD(COUNTIF(T$641:T692,1),7)=0,$C$4,0),0)</f>
        <v>30.768263667523</v>
      </c>
      <c r="U390" s="81" cm="1">
        <f ca="1" t="array" ref="U390">IF(U692=1,OFFSET($Z$338,$B390,U$335-1)/SUMPRODUCT(--($D$335:$V$335=U$335),--($D692:$V692=1)),0)+SUM(U389)+IF(COUNTIF(U$641:U692,1)=1,5,0)+IF(COUNTIF(V390:$Z390,"&gt;"&amp;0)&gt;5,IF(MOD(COUNTIF(U$641:U692,1),7)=0,$C$4,0),0)</f>
        <v>30.768263667523</v>
      </c>
      <c r="V390" s="81" cm="1">
        <f ca="1" t="array" ref="V390">IF(V692=1,OFFSET($Z$338,$B390,V$335-1)/SUMPRODUCT(--($D$335:$V$335=V$335),--($D692:$V692=1)),0)+SUM(V389)+IF(COUNTIF(V$641:V692,1)=1,5,0)+IF(COUNTIF(Z390:$Z390,"&gt;"&amp;0)&gt;5,IF(MOD(COUNTIF(V$641:V692,1),7)=0,$C$4,0),0)</f>
        <v>22.8104444782411</v>
      </c>
      <c r="W390" s="81" cm="1">
        <f ca="1" t="array" ref="W390">IF(W692=1,OFFSET($Z$338,$B390,W$335-1)/SUMPRODUCT(--($D$335:$V$335=W$335),--($D692:$V692=1)),0)+SUM(W389)+IF(COUNTIF(W$641:W692,1)=1,5,0)+IF(COUNTIF($Z390:AA390,"&gt;"&amp;0)&gt;5,IF(MOD(COUNTIF(W$641:W692,1),7)=0,$C$4,0),0)</f>
        <v>13.4545753632918</v>
      </c>
      <c r="X390" s="81" cm="1">
        <f ca="1" t="array" ref="X390">IF(X692=1,OFFSET($Z$338,$B390,X$335-1)/SUMPRODUCT(--($D$335:$V$335=X$335),--($D692:$V692=1)),0)+SUM(X389)+IF(COUNTIF(X$641:X692,1)=1,5,0)+IF(COUNTIF($Z390:AB390,"&gt;"&amp;0)&gt;5,IF(MOD(COUNTIF(X$641:X692,1),7)=0,$C$4,0),0)</f>
        <v>6.69091507265837</v>
      </c>
      <c r="Y390" s="81" cm="1">
        <f ca="1" t="array" ref="Y390">IF(Y692=1,OFFSET($Z$338,$B390,Y$335-1)/SUMPRODUCT(--($D$335:$V$335=Y$335),--($D692:$V692=1)),0)+SUM(Y389)+IF(COUNTIF(Y$641:Y692,1)=1,5,0)+IF(COUNTIF($Z390:AC390,"&gt;"&amp;0)&gt;5,IF(MOD(COUNTIF(Y$641:Y692,1),7)=0,$C$4,0),0)</f>
        <v>0</v>
      </c>
      <c r="Z390" s="82" cm="1">
        <f ca="1" t="array" ref="Z390">SUMPRODUCT(TRANSPOSE($AD390:$AJ390),OFFSET($L$10:$L$16,0,Z$335-1))</f>
        <v>23.8636273910124</v>
      </c>
      <c r="AA390" s="82" cm="1">
        <f ca="1" t="array" ref="AA390">SUMPRODUCT(TRANSPOSE($AD390:$AJ390),OFFSET($L$10:$L$16,0,AA$335-1))</f>
        <v>19.8</v>
      </c>
      <c r="AB390" s="82" cm="1">
        <f ca="1" t="array" ref="AB390">SUMPRODUCT(TRANSPOSE($AD390:$AJ390),OFFSET($L$10:$L$16,0,AB$335-1))</f>
        <v>8.8</v>
      </c>
      <c r="AC390" s="82" cm="1">
        <f ca="1" t="array" ref="AC390">SUMPRODUCT(TRANSPOSE($AD390:$AJ390),OFFSET($L$10:$L$16,0,AC$335-1))</f>
        <v>2.53637260898755</v>
      </c>
      <c r="AD390" s="83">
        <f ca="1" t="shared" ref="AD390:AJ390" si="423">AK390-AK389</f>
        <v>0</v>
      </c>
      <c r="AE390" s="83">
        <f ca="1" t="shared" si="423"/>
        <v>0</v>
      </c>
      <c r="AF390" s="83">
        <f ca="1" t="shared" si="423"/>
        <v>0</v>
      </c>
      <c r="AG390" s="83">
        <f ca="1" t="shared" si="423"/>
        <v>0</v>
      </c>
      <c r="AH390" s="83">
        <f ca="1" t="shared" si="423"/>
        <v>110</v>
      </c>
      <c r="AI390" s="83">
        <f ca="1" t="shared" si="423"/>
        <v>0</v>
      </c>
      <c r="AJ390" s="83">
        <f ca="1" t="shared" si="423"/>
        <v>0</v>
      </c>
      <c r="AK390" s="83">
        <f ca="1" t="shared" si="321"/>
        <v>450</v>
      </c>
      <c r="AL390" s="83">
        <f ca="1" t="shared" ref="AL390:AQ390" si="424">IF($C390&gt;OFFSET($Q$9,MATCH(AL$338,$AK$338:$AQ$338,0),0),OFFSET($P$9,MATCH(AL$338,$AK$338:$AQ$338,0),0),MAX(0,$C390-OFFSET($Q$9,RIGHT(AL$338,1)-1,0)))</f>
        <v>909</v>
      </c>
      <c r="AM390" s="83">
        <f ca="1" t="shared" si="424"/>
        <v>1818</v>
      </c>
      <c r="AN390" s="83">
        <f ca="1" t="shared" si="424"/>
        <v>2727</v>
      </c>
      <c r="AO390" s="83">
        <f ca="1" t="shared" si="424"/>
        <v>1142</v>
      </c>
      <c r="AP390" s="83">
        <f ca="1" t="shared" si="424"/>
        <v>0</v>
      </c>
      <c r="AQ390" s="83">
        <f ca="1" t="shared" si="424"/>
        <v>0</v>
      </c>
    </row>
    <row r="391" ht="16.5" spans="2:49">
      <c r="B391" s="65">
        <v>53</v>
      </c>
      <c r="C391" s="80">
        <f t="shared" si="319"/>
        <v>7156</v>
      </c>
      <c r="D391" s="81" cm="1">
        <f ca="1" t="array" ref="D391">IF(D693=1,OFFSET($Z$338,$B391,D$335-1)/SUMPRODUCT(--($D$335:$V$335=D$335),--($D693:$V693=1)),0)+SUM(D390)+IF(COUNTIF(D$641:D693,1)=1,5,0)+IF(COUNTIF(E391:$Z391,"&gt;"&amp;0)&gt;5,IF(MOD(COUNTIF(D$641:D693,1),7)=0,$C$4,0),0)</f>
        <v>726.143885192575</v>
      </c>
      <c r="E391" s="81" cm="1">
        <f ca="1" t="array" ref="E391">IF(E693=1,OFFSET($Z$338,$B391,E$335-1)/SUMPRODUCT(--($D$335:$V$335=E$335),--($D693:$V693=1)),0)+SUM(E390)+IF(COUNTIF(E$641:E693,1)=1,5,0)+IF(COUNTIF(F391:$Z391,"&gt;"&amp;0)&gt;5,IF(MOD(COUNTIF(E$641:E693,1),7)=0,$C$4,0),0)</f>
        <v>726.143885192575</v>
      </c>
      <c r="F391" s="81" cm="1">
        <f ca="1" t="array" ref="F391">IF(F693=1,OFFSET($Z$338,$B391,F$335-1)/SUMPRODUCT(--($D$335:$V$335=F$335),--($D693:$V693=1)),0)+SUM(F390)+IF(COUNTIF(F$641:F693,1)=1,5,0)+IF(COUNTIF(G391:$Z391,"&gt;"&amp;0)&gt;5,IF(MOD(COUNTIF(F$641:F693,1),7)=0,$C$4,0),0)</f>
        <v>726.143885192575</v>
      </c>
      <c r="G391" s="81" cm="1">
        <f ca="1" t="array" ref="G391">IF(G693=1,OFFSET($Z$338,$B391,G$335-1)/SUMPRODUCT(--($D$335:$V$335=G$335),--($D693:$V693=1)),0)+SUM(G390)+IF(COUNTIF(G$641:G693,1)=1,5,0)+IF(COUNTIF(H391:$Z391,"&gt;"&amp;0)&gt;5,IF(MOD(COUNTIF(G$641:G693,1),7)=0,$C$4,0),0)</f>
        <v>219.496666666667</v>
      </c>
      <c r="H391" s="81" cm="1">
        <f ca="1" t="array" ref="H391">IF(H693=1,OFFSET($Z$338,$B391,H$335-1)/SUMPRODUCT(--($D$335:$V$335=H$335),--($D693:$V693=1)),0)+SUM(H390)+IF(COUNTIF(H$641:H693,1)=1,5,0)+IF(COUNTIF(I391:$Z391,"&gt;"&amp;0)&gt;5,IF(MOD(COUNTIF(H$641:H693,1),7)=0,$C$4,0),0)</f>
        <v>219.496666666667</v>
      </c>
      <c r="I391" s="81" cm="1">
        <f ca="1" t="array" ref="I391">IF(I693=1,OFFSET($Z$338,$B391,I$335-1)/SUMPRODUCT(--($D$335:$V$335=I$335),--($D693:$V693=1)),0)+SUM(I390)+IF(COUNTIF(I$641:I693,1)=1,5,0)+IF(COUNTIF(J391:$Z391,"&gt;"&amp;0)&gt;5,IF(MOD(COUNTIF(I$641:I693,1),7)=0,$C$4,0),0)</f>
        <v>219.496666666667</v>
      </c>
      <c r="J391" s="81" cm="1">
        <f ca="1" t="array" ref="J391">IF(J693=1,OFFSET($Z$338,$B391,J$335-1)/SUMPRODUCT(--($D$335:$V$335=J$335),--($D693:$V693=1)),0)+SUM(J390)+IF(COUNTIF(J$641:J693,1)=1,5,0)+IF(COUNTIF(K391:$Z391,"&gt;"&amp;0)&gt;5,IF(MOD(COUNTIF(J$641:J693,1),7)=0,$C$4,0),0)</f>
        <v>219.496666666667</v>
      </c>
      <c r="K391" s="81" cm="1">
        <f ca="1" t="array" ref="K391">IF(K693=1,OFFSET($Z$338,$B391,K$335-1)/SUMPRODUCT(--($D$335:$V$335=K$335),--($D693:$V693=1)),0)+SUM(K390)+IF(COUNTIF(K$641:K693,1)=1,5,0)+IF(COUNTIF(L391:$Z391,"&gt;"&amp;0)&gt;5,IF(MOD(COUNTIF(K$641:K693,1),7)=0,$C$4,0),0)</f>
        <v>219.496666666667</v>
      </c>
      <c r="L391" s="81" cm="1">
        <f ca="1" t="array" ref="L391">IF(L693=1,OFFSET($Z$338,$B391,L$335-1)/SUMPRODUCT(--($D$335:$V$335=L$335),--($D693:$V693=1)),0)+SUM(L390)+IF(COUNTIF(L$641:L693,1)=1,5,0)+IF(COUNTIF(M391:$Z391,"&gt;"&amp;0)&gt;5,IF(MOD(COUNTIF(L$641:L693,1),7)=0,$C$4,0),0)</f>
        <v>212.796666666667</v>
      </c>
      <c r="M391" s="81" cm="1">
        <f ca="1" t="array" ref="M391">IF(M693=1,OFFSET($Z$338,$B391,M$335-1)/SUMPRODUCT(--($D$335:$V$335=M$335),--($D693:$V693=1)),0)+SUM(M390)+IF(COUNTIF(M$641:M693,1)=1,5,0)+IF(COUNTIF(N391:$Z391,"&gt;"&amp;0)&gt;5,IF(MOD(COUNTIF(M$641:M693,1),7)=0,$C$4,0),0)</f>
        <v>98.4698214285713</v>
      </c>
      <c r="N391" s="81" cm="1">
        <f ca="1" t="array" ref="N391">IF(N693=1,OFFSET($Z$338,$B391,N$335-1)/SUMPRODUCT(--($D$335:$V$335=N$335),--($D693:$V693=1)),0)+SUM(N390)+IF(COUNTIF(N$641:N693,1)=1,5,0)+IF(COUNTIF(O391:$Z391,"&gt;"&amp;0)&gt;5,IF(MOD(COUNTIF(N$641:N693,1),7)=0,$C$4,0),0)</f>
        <v>90.7448214285714</v>
      </c>
      <c r="O391" s="81" cm="1">
        <f ca="1" t="array" ref="O391">IF(O693=1,OFFSET($Z$338,$B391,O$335-1)/SUMPRODUCT(--($D$335:$V$335=O$335),--($D693:$V693=1)),0)+SUM(O390)+IF(COUNTIF(O$641:O693,1)=1,5,0)+IF(COUNTIF(P391:$Z391,"&gt;"&amp;0)&gt;5,IF(MOD(COUNTIF(O$641:O693,1),7)=0,$C$4,0),0)</f>
        <v>88.3198214285714</v>
      </c>
      <c r="P391" s="81" cm="1">
        <f ca="1" t="array" ref="P391">IF(P693=1,OFFSET($Z$338,$B391,P$335-1)/SUMPRODUCT(--($D$335:$V$335=P$335),--($D693:$V693=1)),0)+SUM(P390)+IF(COUNTIF(P$641:P693,1)=1,5,0)+IF(COUNTIF(Q391:$Z391,"&gt;"&amp;0)&gt;5,IF(MOD(COUNTIF(P$641:P693,1),7)=0,$C$4,0),0)</f>
        <v>80.3864880952381</v>
      </c>
      <c r="Q391" s="81" cm="1">
        <f ca="1" t="array" ref="Q391">IF(Q693=1,OFFSET($Z$338,$B391,Q$335-1)/SUMPRODUCT(--($D$335:$V$335=Q$335),--($D693:$V693=1)),0)+SUM(Q390)+IF(COUNTIF(Q$641:Q693,1)=1,5,0)+IF(COUNTIF(R391:$Z391,"&gt;"&amp;0)&gt;5,IF(MOD(COUNTIF(Q$641:Q693,1),7)=0,$C$4,0),0)</f>
        <v>79.4802380952381</v>
      </c>
      <c r="R391" s="81" cm="1">
        <f ca="1" t="array" ref="R391">IF(R693=1,OFFSET($Z$338,$B391,R$335-1)/SUMPRODUCT(--($D$335:$V$335=R$335),--($D693:$V693=1)),0)+SUM(R390)+IF(COUNTIF(R$641:R693,1)=1,5,0)+IF(COUNTIF(S391:$Z391,"&gt;"&amp;0)&gt;5,IF(MOD(COUNTIF(R$641:R693,1),7)=0,$C$4,0),0)</f>
        <v>54.5852380952381</v>
      </c>
      <c r="S391" s="81" cm="1">
        <f ca="1" t="array" ref="S391">IF(S693=1,OFFSET($Z$338,$B391,S$335-1)/SUMPRODUCT(--($D$335:$V$335=S$335),--($D693:$V693=1)),0)+SUM(S390)+IF(COUNTIF(S$641:S693,1)=1,5,0)+IF(COUNTIF(T391:$Z391,"&gt;"&amp;0)&gt;5,IF(MOD(COUNTIF(S$641:S693,1),7)=0,$C$4,0),0)</f>
        <v>45.4185714285715</v>
      </c>
      <c r="T391" s="81" cm="1">
        <f ca="1" t="array" ref="T391">IF(T693=1,OFFSET($Z$338,$B391,T$335-1)/SUMPRODUCT(--($D$335:$V$335=T$335),--($D693:$V693=1)),0)+SUM(T390)+IF(COUNTIF(T$641:T693,1)=1,5,0)+IF(COUNTIF(U391:$Z391,"&gt;"&amp;0)&gt;5,IF(MOD(COUNTIF(T$641:T693,1),7)=0,$C$4,0),0)</f>
        <v>31.6137212038522</v>
      </c>
      <c r="U391" s="81" cm="1">
        <f ca="1" t="array" ref="U391">IF(U693=1,OFFSET($Z$338,$B391,U$335-1)/SUMPRODUCT(--($D$335:$V$335=U$335),--($D693:$V693=1)),0)+SUM(U390)+IF(COUNTIF(U$641:U693,1)=1,5,0)+IF(COUNTIF(V391:$Z391,"&gt;"&amp;0)&gt;5,IF(MOD(COUNTIF(U$641:U693,1),7)=0,$C$4,0),0)</f>
        <v>31.6137212038522</v>
      </c>
      <c r="V391" s="81" cm="1">
        <f ca="1" t="array" ref="V391">IF(V693=1,OFFSET($Z$338,$B391,V$335-1)/SUMPRODUCT(--($D$335:$V$335=V$335),--($D693:$V693=1)),0)+SUM(V390)+IF(COUNTIF(V$641:V693,1)=1,5,0)+IF(COUNTIF(Z391:$Z391,"&gt;"&amp;0)&gt;5,IF(MOD(COUNTIF(V$641:V693,1),7)=0,$C$4,0),0)</f>
        <v>23.6559020145703</v>
      </c>
      <c r="W391" s="81" cm="1">
        <f ca="1" t="array" ref="W391">IF(W693=1,OFFSET($Z$338,$B391,W$335-1)/SUMPRODUCT(--($D$335:$V$335=W$335),--($D693:$V693=1)),0)+SUM(W390)+IF(COUNTIF(W$641:W693,1)=1,5,0)+IF(COUNTIF($Z391:AA391,"&gt;"&amp;0)&gt;5,IF(MOD(COUNTIF(W$641:W693,1),7)=0,$C$4,0),0)</f>
        <v>14.300032899621</v>
      </c>
      <c r="X391" s="81" cm="1">
        <f ca="1" t="array" ref="X391">IF(X693=1,OFFSET($Z$338,$B391,X$335-1)/SUMPRODUCT(--($D$335:$V$335=X$335),--($D693:$V693=1)),0)+SUM(X390)+IF(COUNTIF(X$641:X693,1)=1,5,0)+IF(COUNTIF($Z391:AB391,"&gt;"&amp;0)&gt;5,IF(MOD(COUNTIF(X$641:X693,1),7)=0,$C$4,0),0)</f>
        <v>7.53637260898755</v>
      </c>
      <c r="Y391" s="81" cm="1">
        <f ca="1" t="array" ref="Y391">IF(Y693=1,OFFSET($Z$338,$B391,Y$335-1)/SUMPRODUCT(--($D$335:$V$335=Y$335),--($D693:$V693=1)),0)+SUM(Y390)+IF(COUNTIF(Y$641:Y693,1)=1,5,0)+IF(COUNTIF($Z391:AC391,"&gt;"&amp;0)&gt;5,IF(MOD(COUNTIF(Y$641:Y693,1),7)=0,$C$4,0),0)</f>
        <v>0</v>
      </c>
      <c r="Z391" s="82" cm="1">
        <f ca="1" t="array" ref="Z391">SUMPRODUCT(TRANSPOSE($AD391:$AJ391),OFFSET($L$10:$L$16,0,Z$335-1))</f>
        <v>23.8636273910124</v>
      </c>
      <c r="AA391" s="82" cm="1">
        <f ca="1" t="array" ref="AA391">SUMPRODUCT(TRANSPOSE($AD391:$AJ391),OFFSET($L$10:$L$16,0,AA$335-1))</f>
        <v>19.8</v>
      </c>
      <c r="AB391" s="82" cm="1">
        <f ca="1" t="array" ref="AB391">SUMPRODUCT(TRANSPOSE($AD391:$AJ391),OFFSET($L$10:$L$16,0,AB$335-1))</f>
        <v>8.8</v>
      </c>
      <c r="AC391" s="82" cm="1">
        <f ca="1" t="array" ref="AC391">SUMPRODUCT(TRANSPOSE($AD391:$AJ391),OFFSET($L$10:$L$16,0,AC$335-1))</f>
        <v>2.53637260898755</v>
      </c>
      <c r="AD391" s="83">
        <f ca="1" t="shared" ref="AD391:AJ391" si="425">AK391-AK390</f>
        <v>0</v>
      </c>
      <c r="AE391" s="83">
        <f ca="1" t="shared" si="425"/>
        <v>0</v>
      </c>
      <c r="AF391" s="83">
        <f ca="1" t="shared" si="425"/>
        <v>0</v>
      </c>
      <c r="AG391" s="83">
        <f ca="1" t="shared" si="425"/>
        <v>0</v>
      </c>
      <c r="AH391" s="83">
        <f ca="1" t="shared" si="425"/>
        <v>110</v>
      </c>
      <c r="AI391" s="83">
        <f ca="1" t="shared" si="425"/>
        <v>0</v>
      </c>
      <c r="AJ391" s="83">
        <f ca="1" t="shared" si="425"/>
        <v>0</v>
      </c>
      <c r="AK391" s="83">
        <f ca="1" t="shared" si="321"/>
        <v>450</v>
      </c>
      <c r="AL391" s="83">
        <f ca="1" t="shared" ref="AL391:AQ391" si="426">IF($C391&gt;OFFSET($Q$9,MATCH(AL$338,$AK$338:$AQ$338,0),0),OFFSET($P$9,MATCH(AL$338,$AK$338:$AQ$338,0),0),MAX(0,$C391-OFFSET($Q$9,RIGHT(AL$338,1)-1,0)))</f>
        <v>909</v>
      </c>
      <c r="AM391" s="83">
        <f ca="1" t="shared" si="426"/>
        <v>1818</v>
      </c>
      <c r="AN391" s="83">
        <f ca="1" t="shared" si="426"/>
        <v>2727</v>
      </c>
      <c r="AO391" s="83">
        <f ca="1" t="shared" si="426"/>
        <v>1252</v>
      </c>
      <c r="AP391" s="83">
        <f ca="1" t="shared" si="426"/>
        <v>0</v>
      </c>
      <c r="AQ391" s="83">
        <f ca="1" t="shared" si="426"/>
        <v>0</v>
      </c>
    </row>
    <row r="392" ht="16.5" spans="2:49">
      <c r="B392" s="65">
        <v>54</v>
      </c>
      <c r="C392" s="80">
        <f t="shared" si="319"/>
        <v>7266</v>
      </c>
      <c r="D392" s="81" cm="1">
        <f ca="1" t="array" ref="D392">IF(D694=1,OFFSET($Z$338,$B392,D$335-1)/SUMPRODUCT(--($D$335:$V$335=D$335),--($D694:$V694=1)),0)+SUM(D391)+IF(COUNTIF(D$641:D694,1)=1,5,0)+IF(COUNTIF(E392:$Z392,"&gt;"&amp;0)&gt;5,IF(MOD(COUNTIF(D$641:D694,1),7)=0,$C$4,0),0)</f>
        <v>734.098427656246</v>
      </c>
      <c r="E392" s="81" cm="1">
        <f ca="1" t="array" ref="E392">IF(E694=1,OFFSET($Z$338,$B392,E$335-1)/SUMPRODUCT(--($D$335:$V$335=E$335),--($D694:$V694=1)),0)+SUM(E391)+IF(COUNTIF(E$641:E694,1)=1,5,0)+IF(COUNTIF(F392:$Z392,"&gt;"&amp;0)&gt;5,IF(MOD(COUNTIF(E$641:E694,1),7)=0,$C$4,0),0)</f>
        <v>734.098427656246</v>
      </c>
      <c r="F392" s="81" cm="1">
        <f ca="1" t="array" ref="F392">IF(F694=1,OFFSET($Z$338,$B392,F$335-1)/SUMPRODUCT(--($D$335:$V$335=F$335),--($D694:$V694=1)),0)+SUM(F391)+IF(COUNTIF(F$641:F694,1)=1,5,0)+IF(COUNTIF(G392:$Z392,"&gt;"&amp;0)&gt;5,IF(MOD(COUNTIF(F$641:F694,1),7)=0,$C$4,0),0)</f>
        <v>734.098427656246</v>
      </c>
      <c r="G392" s="81" cm="1">
        <f ca="1" t="array" ref="G392">IF(G694=1,OFFSET($Z$338,$B392,G$335-1)/SUMPRODUCT(--($D$335:$V$335=G$335),--($D694:$V694=1)),0)+SUM(G391)+IF(COUNTIF(G$641:G694,1)=1,5,0)+IF(COUNTIF(H392:$Z392,"&gt;"&amp;0)&gt;5,IF(MOD(COUNTIF(G$641:G694,1),7)=0,$C$4,0),0)</f>
        <v>222.796666666667</v>
      </c>
      <c r="H392" s="81" cm="1">
        <f ca="1" t="array" ref="H392">IF(H694=1,OFFSET($Z$338,$B392,H$335-1)/SUMPRODUCT(--($D$335:$V$335=H$335),--($D694:$V694=1)),0)+SUM(H391)+IF(COUNTIF(H$641:H694,1)=1,5,0)+IF(COUNTIF(I392:$Z392,"&gt;"&amp;0)&gt;5,IF(MOD(COUNTIF(H$641:H694,1),7)=0,$C$4,0),0)</f>
        <v>222.796666666667</v>
      </c>
      <c r="I392" s="81" cm="1">
        <f ca="1" t="array" ref="I392">IF(I694=1,OFFSET($Z$338,$B392,I$335-1)/SUMPRODUCT(--($D$335:$V$335=I$335),--($D694:$V694=1)),0)+SUM(I391)+IF(COUNTIF(I$641:I694,1)=1,5,0)+IF(COUNTIF(J392:$Z392,"&gt;"&amp;0)&gt;5,IF(MOD(COUNTIF(I$641:I694,1),7)=0,$C$4,0),0)</f>
        <v>222.796666666667</v>
      </c>
      <c r="J392" s="81" cm="1">
        <f ca="1" t="array" ref="J392">IF(J694=1,OFFSET($Z$338,$B392,J$335-1)/SUMPRODUCT(--($D$335:$V$335=J$335),--($D694:$V694=1)),0)+SUM(J391)+IF(COUNTIF(J$641:J694,1)=1,5,0)+IF(COUNTIF(K392:$Z392,"&gt;"&amp;0)&gt;5,IF(MOD(COUNTIF(J$641:J694,1),7)=0,$C$4,0),0)</f>
        <v>222.796666666667</v>
      </c>
      <c r="K392" s="81" cm="1">
        <f ca="1" t="array" ref="K392">IF(K694=1,OFFSET($Z$338,$B392,K$335-1)/SUMPRODUCT(--($D$335:$V$335=K$335),--($D694:$V694=1)),0)+SUM(K391)+IF(COUNTIF(K$641:K694,1)=1,5,0)+IF(COUNTIF(L392:$Z392,"&gt;"&amp;0)&gt;5,IF(MOD(COUNTIF(K$641:K694,1),7)=0,$C$4,0),0)</f>
        <v>222.796666666667</v>
      </c>
      <c r="L392" s="81" cm="1">
        <f ca="1" t="array" ref="L392">IF(L694=1,OFFSET($Z$338,$B392,L$335-1)/SUMPRODUCT(--($D$335:$V$335=L$335),--($D694:$V694=1)),0)+SUM(L391)+IF(COUNTIF(L$641:L694,1)=1,5,0)+IF(COUNTIF(M392:$Z392,"&gt;"&amp;0)&gt;5,IF(MOD(COUNTIF(L$641:L694,1),7)=0,$C$4,0),0)</f>
        <v>216.096666666667</v>
      </c>
      <c r="M392" s="81" cm="1">
        <f ca="1" t="array" ref="M392">IF(M694=1,OFFSET($Z$338,$B392,M$335-1)/SUMPRODUCT(--($D$335:$V$335=M$335),--($D694:$V694=1)),0)+SUM(M391)+IF(COUNTIF(M$641:M694,1)=1,5,0)+IF(COUNTIF(N392:$Z392,"&gt;"&amp;0)&gt;5,IF(MOD(COUNTIF(M$641:M694,1),7)=0,$C$4,0),0)</f>
        <v>99.7269642857142</v>
      </c>
      <c r="N392" s="81" cm="1">
        <f ca="1" t="array" ref="N392">IF(N694=1,OFFSET($Z$338,$B392,N$335-1)/SUMPRODUCT(--($D$335:$V$335=N$335),--($D694:$V694=1)),0)+SUM(N391)+IF(COUNTIF(N$641:N694,1)=1,5,0)+IF(COUNTIF(O392:$Z392,"&gt;"&amp;0)&gt;5,IF(MOD(COUNTIF(N$641:N694,1),7)=0,$C$4,0),0)</f>
        <v>92.0019642857142</v>
      </c>
      <c r="O392" s="81" cm="1">
        <f ca="1" t="array" ref="O392">IF(O694=1,OFFSET($Z$338,$B392,O$335-1)/SUMPRODUCT(--($D$335:$V$335=O$335),--($D694:$V694=1)),0)+SUM(O391)+IF(COUNTIF(O$641:O694,1)=1,5,0)+IF(COUNTIF(P392:$Z392,"&gt;"&amp;0)&gt;5,IF(MOD(COUNTIF(O$641:O694,1),7)=0,$C$4,0),0)</f>
        <v>89.5769642857142</v>
      </c>
      <c r="P392" s="81" cm="1">
        <f ca="1" t="array" ref="P392">IF(P694=1,OFFSET($Z$338,$B392,P$335-1)/SUMPRODUCT(--($D$335:$V$335=P$335),--($D694:$V694=1)),0)+SUM(P391)+IF(COUNTIF(P$641:P694,1)=1,5,0)+IF(COUNTIF(Q392:$Z392,"&gt;"&amp;0)&gt;5,IF(MOD(COUNTIF(P$641:P694,1),7)=0,$C$4,0),0)</f>
        <v>86.6436309523809</v>
      </c>
      <c r="Q392" s="81" cm="1">
        <f ca="1" t="array" ref="Q392">IF(Q694=1,OFFSET($Z$338,$B392,Q$335-1)/SUMPRODUCT(--($D$335:$V$335=Q$335),--($D694:$V694=1)),0)+SUM(Q391)+IF(COUNTIF(Q$641:Q694,1)=1,5,0)+IF(COUNTIF(R392:$Z392,"&gt;"&amp;0)&gt;5,IF(MOD(COUNTIF(Q$641:Q694,1),7)=0,$C$4,0),0)</f>
        <v>80.7373809523809</v>
      </c>
      <c r="R392" s="81" cm="1">
        <f ca="1" t="array" ref="R392">IF(R694=1,OFFSET($Z$338,$B392,R$335-1)/SUMPRODUCT(--($D$335:$V$335=R$335),--($D694:$V694=1)),0)+SUM(R391)+IF(COUNTIF(R$641:R694,1)=1,5,0)+IF(COUNTIF(S392:$Z392,"&gt;"&amp;0)&gt;5,IF(MOD(COUNTIF(R$641:R694,1),7)=0,$C$4,0),0)</f>
        <v>55.842380952381</v>
      </c>
      <c r="S392" s="81" cm="1">
        <f ca="1" t="array" ref="S392">IF(S694=1,OFFSET($Z$338,$B392,S$335-1)/SUMPRODUCT(--($D$335:$V$335=S$335),--($D694:$V694=1)),0)+SUM(S391)+IF(COUNTIF(S$641:S694,1)=1,5,0)+IF(COUNTIF(T392:$Z392,"&gt;"&amp;0)&gt;5,IF(MOD(COUNTIF(S$641:S694,1),7)=0,$C$4,0),0)</f>
        <v>51.6757142857143</v>
      </c>
      <c r="T392" s="81" cm="1">
        <f ca="1" t="array" ref="T392">IF(T694=1,OFFSET($Z$338,$B392,T$335-1)/SUMPRODUCT(--($D$335:$V$335=T$335),--($D694:$V694=1)),0)+SUM(T391)+IF(COUNTIF(T$641:T694,1)=1,5,0)+IF(COUNTIF(U392:$Z392,"&gt;"&amp;0)&gt;5,IF(MOD(COUNTIF(T$641:T694,1),7)=0,$C$4,0),0)</f>
        <v>32.4591787401814</v>
      </c>
      <c r="U392" s="81" cm="1">
        <f ca="1" t="array" ref="U392">IF(U694=1,OFFSET($Z$338,$B392,U$335-1)/SUMPRODUCT(--($D$335:$V$335=U$335),--($D694:$V694=1)),0)+SUM(U391)+IF(COUNTIF(U$641:U694,1)=1,5,0)+IF(COUNTIF(V392:$Z392,"&gt;"&amp;0)&gt;5,IF(MOD(COUNTIF(U$641:U694,1),7)=0,$C$4,0),0)</f>
        <v>32.4591787401814</v>
      </c>
      <c r="V392" s="81" cm="1">
        <f ca="1" t="array" ref="V392">IF(V694=1,OFFSET($Z$338,$B392,V$335-1)/SUMPRODUCT(--($D$335:$V$335=V$335),--($D694:$V694=1)),0)+SUM(V391)+IF(COUNTIF(V$641:V694,1)=1,5,0)+IF(COUNTIF(Z392:$Z392,"&gt;"&amp;0)&gt;5,IF(MOD(COUNTIF(V$641:V694,1),7)=0,$C$4,0),0)</f>
        <v>24.5013595508995</v>
      </c>
      <c r="W392" s="81" cm="1">
        <f ca="1" t="array" ref="W392">IF(W694=1,OFFSET($Z$338,$B392,W$335-1)/SUMPRODUCT(--($D$335:$V$335=W$335),--($D694:$V694=1)),0)+SUM(W391)+IF(COUNTIF(W$641:W694,1)=1,5,0)+IF(COUNTIF($Z392:AA392,"&gt;"&amp;0)&gt;5,IF(MOD(COUNTIF(W$641:W694,1),7)=0,$C$4,0),0)</f>
        <v>15.1454904359502</v>
      </c>
      <c r="X392" s="81" cm="1">
        <f ca="1" t="array" ref="X392">IF(X694=1,OFFSET($Z$338,$B392,X$335-1)/SUMPRODUCT(--($D$335:$V$335=X$335),--($D694:$V694=1)),0)+SUM(X391)+IF(COUNTIF(X$641:X694,1)=1,5,0)+IF(COUNTIF($Z392:AB392,"&gt;"&amp;0)&gt;5,IF(MOD(COUNTIF(X$641:X694,1),7)=0,$C$4,0),0)</f>
        <v>8.38183014531673</v>
      </c>
      <c r="Y392" s="81" cm="1">
        <f ca="1" t="array" ref="Y392">IF(Y694=1,OFFSET($Z$338,$B392,Y$335-1)/SUMPRODUCT(--($D$335:$V$335=Y$335),--($D694:$V694=1)),0)+SUM(Y391)+IF(COUNTIF(Y$641:Y694,1)=1,5,0)+IF(COUNTIF($Z392:AC392,"&gt;"&amp;0)&gt;5,IF(MOD(COUNTIF(Y$641:Y694,1),7)=0,$C$4,0),0)</f>
        <v>0</v>
      </c>
      <c r="Z392" s="82" cm="1">
        <f ca="1" t="array" ref="Z392">SUMPRODUCT(TRANSPOSE($AD392:$AJ392),OFFSET($L$10:$L$16,0,Z$335-1))</f>
        <v>23.8636273910124</v>
      </c>
      <c r="AA392" s="82" cm="1">
        <f ca="1" t="array" ref="AA392">SUMPRODUCT(TRANSPOSE($AD392:$AJ392),OFFSET($L$10:$L$16,0,AA$335-1))</f>
        <v>19.8</v>
      </c>
      <c r="AB392" s="82" cm="1">
        <f ca="1" t="array" ref="AB392">SUMPRODUCT(TRANSPOSE($AD392:$AJ392),OFFSET($L$10:$L$16,0,AB$335-1))</f>
        <v>8.8</v>
      </c>
      <c r="AC392" s="82" cm="1">
        <f ca="1" t="array" ref="AC392">SUMPRODUCT(TRANSPOSE($AD392:$AJ392),OFFSET($L$10:$L$16,0,AC$335-1))</f>
        <v>2.53637260898755</v>
      </c>
      <c r="AD392" s="83">
        <f ca="1" t="shared" ref="AD392:AJ392" si="427">AK392-AK391</f>
        <v>0</v>
      </c>
      <c r="AE392" s="83">
        <f ca="1" t="shared" si="427"/>
        <v>0</v>
      </c>
      <c r="AF392" s="83">
        <f ca="1" t="shared" si="427"/>
        <v>0</v>
      </c>
      <c r="AG392" s="83">
        <f ca="1" t="shared" si="427"/>
        <v>0</v>
      </c>
      <c r="AH392" s="83">
        <f ca="1" t="shared" si="427"/>
        <v>110</v>
      </c>
      <c r="AI392" s="83">
        <f ca="1" t="shared" si="427"/>
        <v>0</v>
      </c>
      <c r="AJ392" s="83">
        <f ca="1" t="shared" si="427"/>
        <v>0</v>
      </c>
      <c r="AK392" s="83">
        <f ca="1" t="shared" si="321"/>
        <v>450</v>
      </c>
      <c r="AL392" s="83">
        <f ca="1" t="shared" ref="AL392:AQ392" si="428">IF($C392&gt;OFFSET($Q$9,MATCH(AL$338,$AK$338:$AQ$338,0),0),OFFSET($P$9,MATCH(AL$338,$AK$338:$AQ$338,0),0),MAX(0,$C392-OFFSET($Q$9,RIGHT(AL$338,1)-1,0)))</f>
        <v>909</v>
      </c>
      <c r="AM392" s="83">
        <f ca="1" t="shared" si="428"/>
        <v>1818</v>
      </c>
      <c r="AN392" s="83">
        <f ca="1" t="shared" si="428"/>
        <v>2727</v>
      </c>
      <c r="AO392" s="83">
        <f ca="1" t="shared" si="428"/>
        <v>1362</v>
      </c>
      <c r="AP392" s="83">
        <f ca="1" t="shared" si="428"/>
        <v>0</v>
      </c>
      <c r="AQ392" s="83">
        <f ca="1" t="shared" si="428"/>
        <v>0</v>
      </c>
    </row>
    <row r="393" ht="16.5" spans="2:49">
      <c r="B393" s="65">
        <v>55</v>
      </c>
      <c r="C393" s="80">
        <f t="shared" si="319"/>
        <v>7376</v>
      </c>
      <c r="D393" s="81" cm="1">
        <f ca="1" t="array" ref="D393">IF(D695=1,OFFSET($Z$338,$B393,D$335-1)/SUMPRODUCT(--($D$335:$V$335=D$335),--($D695:$V695=1)),0)+SUM(D392)+IF(COUNTIF(D$641:D695,1)=1,5,0)+IF(COUNTIF(E393:$Z393,"&gt;"&amp;0)&gt;5,IF(MOD(COUNTIF(D$641:D695,1),7)=0,$C$4,0),0)</f>
        <v>742.052970119917</v>
      </c>
      <c r="E393" s="81" cm="1">
        <f ca="1" t="array" ref="E393">IF(E695=1,OFFSET($Z$338,$B393,E$335-1)/SUMPRODUCT(--($D$335:$V$335=E$335),--($D695:$V695=1)),0)+SUM(E392)+IF(COUNTIF(E$641:E695,1)=1,5,0)+IF(COUNTIF(F393:$Z393,"&gt;"&amp;0)&gt;5,IF(MOD(COUNTIF(E$641:E695,1),7)=0,$C$4,0),0)</f>
        <v>742.052970119917</v>
      </c>
      <c r="F393" s="81" cm="1">
        <f ca="1" t="array" ref="F393">IF(F695=1,OFFSET($Z$338,$B393,F$335-1)/SUMPRODUCT(--($D$335:$V$335=F$335),--($D695:$V695=1)),0)+SUM(F392)+IF(COUNTIF(F$641:F695,1)=1,5,0)+IF(COUNTIF(G393:$Z393,"&gt;"&amp;0)&gt;5,IF(MOD(COUNTIF(F$641:F695,1),7)=0,$C$4,0),0)</f>
        <v>742.052970119917</v>
      </c>
      <c r="G393" s="81" cm="1">
        <f ca="1" t="array" ref="G393">IF(G695=1,OFFSET($Z$338,$B393,G$335-1)/SUMPRODUCT(--($D$335:$V$335=G$335),--($D695:$V695=1)),0)+SUM(G392)+IF(COUNTIF(G$641:G695,1)=1,5,0)+IF(COUNTIF(H393:$Z393,"&gt;"&amp;0)&gt;5,IF(MOD(COUNTIF(G$641:G695,1),7)=0,$C$4,0),0)</f>
        <v>226.096666666667</v>
      </c>
      <c r="H393" s="81" cm="1">
        <f ca="1" t="array" ref="H393">IF(H695=1,OFFSET($Z$338,$B393,H$335-1)/SUMPRODUCT(--($D$335:$V$335=H$335),--($D695:$V695=1)),0)+SUM(H392)+IF(COUNTIF(H$641:H695,1)=1,5,0)+IF(COUNTIF(I393:$Z393,"&gt;"&amp;0)&gt;5,IF(MOD(COUNTIF(H$641:H695,1),7)=0,$C$4,0),0)</f>
        <v>226.096666666667</v>
      </c>
      <c r="I393" s="81" cm="1">
        <f ca="1" t="array" ref="I393">IF(I695=1,OFFSET($Z$338,$B393,I$335-1)/SUMPRODUCT(--($D$335:$V$335=I$335),--($D695:$V695=1)),0)+SUM(I392)+IF(COUNTIF(I$641:I695,1)=1,5,0)+IF(COUNTIF(J393:$Z393,"&gt;"&amp;0)&gt;5,IF(MOD(COUNTIF(I$641:I695,1),7)=0,$C$4,0),0)</f>
        <v>226.096666666667</v>
      </c>
      <c r="J393" s="81" cm="1">
        <f ca="1" t="array" ref="J393">IF(J695=1,OFFSET($Z$338,$B393,J$335-1)/SUMPRODUCT(--($D$335:$V$335=J$335),--($D695:$V695=1)),0)+SUM(J392)+IF(COUNTIF(J$641:J695,1)=1,5,0)+IF(COUNTIF(K393:$Z393,"&gt;"&amp;0)&gt;5,IF(MOD(COUNTIF(J$641:J695,1),7)=0,$C$4,0),0)</f>
        <v>226.096666666667</v>
      </c>
      <c r="K393" s="81" cm="1">
        <f ca="1" t="array" ref="K393">IF(K695=1,OFFSET($Z$338,$B393,K$335-1)/SUMPRODUCT(--($D$335:$V$335=K$335),--($D695:$V695=1)),0)+SUM(K392)+IF(COUNTIF(K$641:K695,1)=1,5,0)+IF(COUNTIF(L393:$Z393,"&gt;"&amp;0)&gt;5,IF(MOD(COUNTIF(K$641:K695,1),7)=0,$C$4,0),0)</f>
        <v>226.096666666667</v>
      </c>
      <c r="L393" s="81" cm="1">
        <f ca="1" t="array" ref="L393">IF(L695=1,OFFSET($Z$338,$B393,L$335-1)/SUMPRODUCT(--($D$335:$V$335=L$335),--($D695:$V695=1)),0)+SUM(L392)+IF(COUNTIF(L$641:L695,1)=1,5,0)+IF(COUNTIF(M393:$Z393,"&gt;"&amp;0)&gt;5,IF(MOD(COUNTIF(L$641:L695,1),7)=0,$C$4,0),0)</f>
        <v>219.396666666667</v>
      </c>
      <c r="M393" s="81" cm="1">
        <f ca="1" t="array" ref="M393">IF(M695=1,OFFSET($Z$338,$B393,M$335-1)/SUMPRODUCT(--($D$335:$V$335=M$335),--($D695:$V695=1)),0)+SUM(M392)+IF(COUNTIF(M$641:M695,1)=1,5,0)+IF(COUNTIF(N393:$Z393,"&gt;"&amp;0)&gt;5,IF(MOD(COUNTIF(M$641:M695,1),7)=0,$C$4,0),0)</f>
        <v>100.984107142857</v>
      </c>
      <c r="N393" s="81" cm="1">
        <f ca="1" t="array" ref="N393">IF(N695=1,OFFSET($Z$338,$B393,N$335-1)/SUMPRODUCT(--($D$335:$V$335=N$335),--($D695:$V695=1)),0)+SUM(N392)+IF(COUNTIF(N$641:N695,1)=1,5,0)+IF(COUNTIF(O393:$Z393,"&gt;"&amp;0)&gt;5,IF(MOD(COUNTIF(N$641:N695,1),7)=0,$C$4,0),0)</f>
        <v>93.2591071428571</v>
      </c>
      <c r="O393" s="81" cm="1">
        <f ca="1" t="array" ref="O393">IF(O695=1,OFFSET($Z$338,$B393,O$335-1)/SUMPRODUCT(--($D$335:$V$335=O$335),--($D695:$V695=1)),0)+SUM(O392)+IF(COUNTIF(O$641:O695,1)=1,5,0)+IF(COUNTIF(P393:$Z393,"&gt;"&amp;0)&gt;5,IF(MOD(COUNTIF(O$641:O695,1),7)=0,$C$4,0),0)</f>
        <v>90.8341071428571</v>
      </c>
      <c r="P393" s="81" cm="1">
        <f ca="1" t="array" ref="P393">IF(P695=1,OFFSET($Z$338,$B393,P$335-1)/SUMPRODUCT(--($D$335:$V$335=P$335),--($D695:$V695=1)),0)+SUM(P392)+IF(COUNTIF(P$641:P695,1)=1,5,0)+IF(COUNTIF(Q393:$Z393,"&gt;"&amp;0)&gt;5,IF(MOD(COUNTIF(P$641:P695,1),7)=0,$C$4,0),0)</f>
        <v>87.9007738095238</v>
      </c>
      <c r="Q393" s="81" cm="1">
        <f ca="1" t="array" ref="Q393">IF(Q695=1,OFFSET($Z$338,$B393,Q$335-1)/SUMPRODUCT(--($D$335:$V$335=Q$335),--($D695:$V695=1)),0)+SUM(Q392)+IF(COUNTIF(Q$641:Q695,1)=1,5,0)+IF(COUNTIF(R393:$Z393,"&gt;"&amp;0)&gt;5,IF(MOD(COUNTIF(Q$641:Q695,1),7)=0,$C$4,0),0)</f>
        <v>86.9945238095238</v>
      </c>
      <c r="R393" s="81" cm="1">
        <f ca="1" t="array" ref="R393">IF(R695=1,OFFSET($Z$338,$B393,R$335-1)/SUMPRODUCT(--($D$335:$V$335=R$335),--($D695:$V695=1)),0)+SUM(R392)+IF(COUNTIF(R$641:R695,1)=1,5,0)+IF(COUNTIF(S393:$Z393,"&gt;"&amp;0)&gt;5,IF(MOD(COUNTIF(R$641:R695,1),7)=0,$C$4,0),0)</f>
        <v>57.0995238095238</v>
      </c>
      <c r="S393" s="81" cm="1">
        <f ca="1" t="array" ref="S393">IF(S695=1,OFFSET($Z$338,$B393,S$335-1)/SUMPRODUCT(--($D$335:$V$335=S$335),--($D695:$V695=1)),0)+SUM(S392)+IF(COUNTIF(S$641:S695,1)=1,5,0)+IF(COUNTIF(T393:$Z393,"&gt;"&amp;0)&gt;5,IF(MOD(COUNTIF(S$641:S695,1),7)=0,$C$4,0),0)</f>
        <v>52.9328571428572</v>
      </c>
      <c r="T393" s="81" cm="1">
        <f ca="1" t="array" ref="T393">IF(T695=1,OFFSET($Z$338,$B393,T$335-1)/SUMPRODUCT(--($D$335:$V$335=T$335),--($D695:$V695=1)),0)+SUM(T392)+IF(COUNTIF(T$641:T695,1)=1,5,0)+IF(COUNTIF(U393:$Z393,"&gt;"&amp;0)&gt;5,IF(MOD(COUNTIF(T$641:T695,1),7)=0,$C$4,0),0)</f>
        <v>33.3046362765105</v>
      </c>
      <c r="U393" s="81" cm="1">
        <f ca="1" t="array" ref="U393">IF(U695=1,OFFSET($Z$338,$B393,U$335-1)/SUMPRODUCT(--($D$335:$V$335=U$335),--($D695:$V695=1)),0)+SUM(U392)+IF(COUNTIF(U$641:U695,1)=1,5,0)+IF(COUNTIF(V393:$Z393,"&gt;"&amp;0)&gt;5,IF(MOD(COUNTIF(U$641:U695,1),7)=0,$C$4,0),0)</f>
        <v>33.3046362765105</v>
      </c>
      <c r="V393" s="81" cm="1">
        <f ca="1" t="array" ref="V393">IF(V695=1,OFFSET($Z$338,$B393,V$335-1)/SUMPRODUCT(--($D$335:$V$335=V$335),--($D695:$V695=1)),0)+SUM(V392)+IF(COUNTIF(V$641:V695,1)=1,5,0)+IF(COUNTIF(Z393:$Z393,"&gt;"&amp;0)&gt;5,IF(MOD(COUNTIF(V$641:V695,1),7)=0,$C$4,0),0)</f>
        <v>25.3468170872286</v>
      </c>
      <c r="W393" s="81" cm="1">
        <f ca="1" t="array" ref="W393">IF(W695=1,OFFSET($Z$338,$B393,W$335-1)/SUMPRODUCT(--($D$335:$V$335=W$335),--($D695:$V695=1)),0)+SUM(W392)+IF(COUNTIF(W$641:W695,1)=1,5,0)+IF(COUNTIF($Z393:AA393,"&gt;"&amp;0)&gt;5,IF(MOD(COUNTIF(W$641:W695,1),7)=0,$C$4,0),0)</f>
        <v>15.9909479722794</v>
      </c>
      <c r="X393" s="81" cm="1">
        <f ca="1" t="array" ref="X393">IF(X695=1,OFFSET($Z$338,$B393,X$335-1)/SUMPRODUCT(--($D$335:$V$335=X$335),--($D695:$V695=1)),0)+SUM(X392)+IF(COUNTIF(X$641:X695,1)=1,5,0)+IF(COUNTIF($Z393:AB393,"&gt;"&amp;0)&gt;5,IF(MOD(COUNTIF(X$641:X695,1),7)=0,$C$4,0),0)</f>
        <v>9.22728768164591</v>
      </c>
      <c r="Y393" s="81" cm="1">
        <f ca="1" t="array" ref="Y393">IF(Y695=1,OFFSET($Z$338,$B393,Y$335-1)/SUMPRODUCT(--($D$335:$V$335=Y$335),--($D695:$V695=1)),0)+SUM(Y392)+IF(COUNTIF(Y$641:Y695,1)=1,5,0)+IF(COUNTIF($Z393:AC393,"&gt;"&amp;0)&gt;5,IF(MOD(COUNTIF(Y$641:Y695,1),7)=0,$C$4,0),0)</f>
        <v>0</v>
      </c>
      <c r="Z393" s="82" cm="1">
        <f ca="1" t="array" ref="Z393">SUMPRODUCT(TRANSPOSE($AD393:$AJ393),OFFSET($L$10:$L$16,0,Z$335-1))</f>
        <v>23.8636273910124</v>
      </c>
      <c r="AA393" s="82" cm="1">
        <f ca="1" t="array" ref="AA393">SUMPRODUCT(TRANSPOSE($AD393:$AJ393),OFFSET($L$10:$L$16,0,AA$335-1))</f>
        <v>19.8</v>
      </c>
      <c r="AB393" s="82" cm="1">
        <f ca="1" t="array" ref="AB393">SUMPRODUCT(TRANSPOSE($AD393:$AJ393),OFFSET($L$10:$L$16,0,AB$335-1))</f>
        <v>8.8</v>
      </c>
      <c r="AC393" s="82" cm="1">
        <f ca="1" t="array" ref="AC393">SUMPRODUCT(TRANSPOSE($AD393:$AJ393),OFFSET($L$10:$L$16,0,AC$335-1))</f>
        <v>2.53637260898755</v>
      </c>
      <c r="AD393" s="83">
        <f ca="1" t="shared" ref="AD393:AJ393" si="429">AK393-AK392</f>
        <v>0</v>
      </c>
      <c r="AE393" s="83">
        <f ca="1" t="shared" si="429"/>
        <v>0</v>
      </c>
      <c r="AF393" s="83">
        <f ca="1" t="shared" si="429"/>
        <v>0</v>
      </c>
      <c r="AG393" s="83">
        <f ca="1" t="shared" si="429"/>
        <v>0</v>
      </c>
      <c r="AH393" s="83">
        <f ca="1" t="shared" si="429"/>
        <v>110</v>
      </c>
      <c r="AI393" s="83">
        <f ca="1" t="shared" si="429"/>
        <v>0</v>
      </c>
      <c r="AJ393" s="83">
        <f ca="1" t="shared" si="429"/>
        <v>0</v>
      </c>
      <c r="AK393" s="83">
        <f ca="1" t="shared" si="321"/>
        <v>450</v>
      </c>
      <c r="AL393" s="83">
        <f ca="1" t="shared" ref="AL393:AQ393" si="430">IF($C393&gt;OFFSET($Q$9,MATCH(AL$338,$AK$338:$AQ$338,0),0),OFFSET($P$9,MATCH(AL$338,$AK$338:$AQ$338,0),0),MAX(0,$C393-OFFSET($Q$9,RIGHT(AL$338,1)-1,0)))</f>
        <v>909</v>
      </c>
      <c r="AM393" s="83">
        <f ca="1" t="shared" si="430"/>
        <v>1818</v>
      </c>
      <c r="AN393" s="83">
        <f ca="1" t="shared" si="430"/>
        <v>2727</v>
      </c>
      <c r="AO393" s="83">
        <f ca="1" t="shared" si="430"/>
        <v>1472</v>
      </c>
      <c r="AP393" s="83">
        <f ca="1" t="shared" si="430"/>
        <v>0</v>
      </c>
      <c r="AQ393" s="83">
        <f ca="1" t="shared" si="430"/>
        <v>0</v>
      </c>
    </row>
    <row r="394" ht="16.5" spans="2:49">
      <c r="B394" s="65">
        <v>56</v>
      </c>
      <c r="C394" s="80">
        <f t="shared" si="319"/>
        <v>7486</v>
      </c>
      <c r="D394" s="81" cm="1">
        <f ca="1" t="array" ref="D394">IF(D696=1,OFFSET($Z$338,$B394,D$335-1)/SUMPRODUCT(--($D$335:$V$335=D$335),--($D696:$V696=1)),0)+SUM(D393)+IF(COUNTIF(D$641:D696,1)=1,5,0)+IF(COUNTIF(E394:$Z394,"&gt;"&amp;0)&gt;5,IF(MOD(COUNTIF(D$641:D696,1),7)=0,$C$4,0),0)</f>
        <v>755.007512583588</v>
      </c>
      <c r="E394" s="81" cm="1">
        <f ca="1" t="array" ref="E394">IF(E696=1,OFFSET($Z$338,$B394,E$335-1)/SUMPRODUCT(--($D$335:$V$335=E$335),--($D696:$V696=1)),0)+SUM(E393)+IF(COUNTIF(E$641:E696,1)=1,5,0)+IF(COUNTIF(F394:$Z394,"&gt;"&amp;0)&gt;5,IF(MOD(COUNTIF(E$641:E696,1),7)=0,$C$4,0),0)</f>
        <v>755.007512583588</v>
      </c>
      <c r="F394" s="81" cm="1">
        <f ca="1" t="array" ref="F394">IF(F696=1,OFFSET($Z$338,$B394,F$335-1)/SUMPRODUCT(--($D$335:$V$335=F$335),--($D696:$V696=1)),0)+SUM(F393)+IF(COUNTIF(F$641:F696,1)=1,5,0)+IF(COUNTIF(G394:$Z394,"&gt;"&amp;0)&gt;5,IF(MOD(COUNTIF(F$641:F696,1),7)=0,$C$4,0),0)</f>
        <v>755.007512583588</v>
      </c>
      <c r="G394" s="81" cm="1">
        <f ca="1" t="array" ref="G394">IF(G696=1,OFFSET($Z$338,$B394,G$335-1)/SUMPRODUCT(--($D$335:$V$335=G$335),--($D696:$V696=1)),0)+SUM(G393)+IF(COUNTIF(G$641:G696,1)=1,5,0)+IF(COUNTIF(H394:$Z394,"&gt;"&amp;0)&gt;5,IF(MOD(COUNTIF(G$641:G696,1),7)=0,$C$4,0),0)</f>
        <v>234.396666666667</v>
      </c>
      <c r="H394" s="81" cm="1">
        <f ca="1" t="array" ref="H394">IF(H696=1,OFFSET($Z$338,$B394,H$335-1)/SUMPRODUCT(--($D$335:$V$335=H$335),--($D696:$V696=1)),0)+SUM(H393)+IF(COUNTIF(H$641:H696,1)=1,5,0)+IF(COUNTIF(I394:$Z394,"&gt;"&amp;0)&gt;5,IF(MOD(COUNTIF(H$641:H696,1),7)=0,$C$4,0),0)</f>
        <v>234.396666666667</v>
      </c>
      <c r="I394" s="81" cm="1">
        <f ca="1" t="array" ref="I394">IF(I696=1,OFFSET($Z$338,$B394,I$335-1)/SUMPRODUCT(--($D$335:$V$335=I$335),--($D696:$V696=1)),0)+SUM(I393)+IF(COUNTIF(I$641:I696,1)=1,5,0)+IF(COUNTIF(J394:$Z394,"&gt;"&amp;0)&gt;5,IF(MOD(COUNTIF(I$641:I696,1),7)=0,$C$4,0),0)</f>
        <v>234.396666666667</v>
      </c>
      <c r="J394" s="81" cm="1">
        <f ca="1" t="array" ref="J394">IF(J696=1,OFFSET($Z$338,$B394,J$335-1)/SUMPRODUCT(--($D$335:$V$335=J$335),--($D696:$V696=1)),0)+SUM(J393)+IF(COUNTIF(J$641:J696,1)=1,5,0)+IF(COUNTIF(K394:$Z394,"&gt;"&amp;0)&gt;5,IF(MOD(COUNTIF(J$641:J696,1),7)=0,$C$4,0),0)</f>
        <v>234.396666666667</v>
      </c>
      <c r="K394" s="81" cm="1">
        <f ca="1" t="array" ref="K394">IF(K696=1,OFFSET($Z$338,$B394,K$335-1)/SUMPRODUCT(--($D$335:$V$335=K$335),--($D696:$V696=1)),0)+SUM(K393)+IF(COUNTIF(K$641:K696,1)=1,5,0)+IF(COUNTIF(L394:$Z394,"&gt;"&amp;0)&gt;5,IF(MOD(COUNTIF(K$641:K696,1),7)=0,$C$4,0),0)</f>
        <v>234.396666666667</v>
      </c>
      <c r="L394" s="81" cm="1">
        <f ca="1" t="array" ref="L394">IF(L696=1,OFFSET($Z$338,$B394,L$335-1)/SUMPRODUCT(--($D$335:$V$335=L$335),--($D696:$V696=1)),0)+SUM(L393)+IF(COUNTIF(L$641:L696,1)=1,5,0)+IF(COUNTIF(M394:$Z394,"&gt;"&amp;0)&gt;5,IF(MOD(COUNTIF(L$641:L696,1),7)=0,$C$4,0),0)</f>
        <v>222.696666666667</v>
      </c>
      <c r="M394" s="81" cm="1">
        <f ca="1" t="array" ref="M394">IF(M696=1,OFFSET($Z$338,$B394,M$335-1)/SUMPRODUCT(--($D$335:$V$335=M$335),--($D696:$V696=1)),0)+SUM(M393)+IF(COUNTIF(M$641:M696,1)=1,5,0)+IF(COUNTIF(N394:$Z394,"&gt;"&amp;0)&gt;5,IF(MOD(COUNTIF(M$641:M696,1),7)=0,$C$4,0),0)</f>
        <v>102.24125</v>
      </c>
      <c r="N394" s="81" cm="1">
        <f ca="1" t="array" ref="N394">IF(N696=1,OFFSET($Z$338,$B394,N$335-1)/SUMPRODUCT(--($D$335:$V$335=N$335),--($D696:$V696=1)),0)+SUM(N393)+IF(COUNTIF(N$641:N696,1)=1,5,0)+IF(COUNTIF(O394:$Z394,"&gt;"&amp;0)&gt;5,IF(MOD(COUNTIF(N$641:N696,1),7)=0,$C$4,0),0)</f>
        <v>94.5162499999999</v>
      </c>
      <c r="O394" s="81" cm="1">
        <f ca="1" t="array" ref="O394">IF(O696=1,OFFSET($Z$338,$B394,O$335-1)/SUMPRODUCT(--($D$335:$V$335=O$335),--($D696:$V696=1)),0)+SUM(O393)+IF(COUNTIF(O$641:O696,1)=1,5,0)+IF(COUNTIF(P394:$Z394,"&gt;"&amp;0)&gt;5,IF(MOD(COUNTIF(O$641:O696,1),7)=0,$C$4,0),0)</f>
        <v>92.0912499999999</v>
      </c>
      <c r="P394" s="81" cm="1">
        <f ca="1" t="array" ref="P394">IF(P696=1,OFFSET($Z$338,$B394,P$335-1)/SUMPRODUCT(--($D$335:$V$335=P$335),--($D696:$V696=1)),0)+SUM(P393)+IF(COUNTIF(P$641:P696,1)=1,5,0)+IF(COUNTIF(Q394:$Z394,"&gt;"&amp;0)&gt;5,IF(MOD(COUNTIF(P$641:P696,1),7)=0,$C$4,0),0)</f>
        <v>89.1579166666666</v>
      </c>
      <c r="Q394" s="81" cm="1">
        <f ca="1" t="array" ref="Q394">IF(Q696=1,OFFSET($Z$338,$B394,Q$335-1)/SUMPRODUCT(--($D$335:$V$335=Q$335),--($D696:$V696=1)),0)+SUM(Q393)+IF(COUNTIF(Q$641:Q696,1)=1,5,0)+IF(COUNTIF(R394:$Z394,"&gt;"&amp;0)&gt;5,IF(MOD(COUNTIF(Q$641:Q696,1),7)=0,$C$4,0),0)</f>
        <v>88.2516666666666</v>
      </c>
      <c r="R394" s="81" cm="1">
        <f ca="1" t="array" ref="R394">IF(R696=1,OFFSET($Z$338,$B394,R$335-1)/SUMPRODUCT(--($D$335:$V$335=R$335),--($D696:$V696=1)),0)+SUM(R393)+IF(COUNTIF(R$641:R696,1)=1,5,0)+IF(COUNTIF(S394:$Z394,"&gt;"&amp;0)&gt;5,IF(MOD(COUNTIF(R$641:R696,1),7)=0,$C$4,0),0)</f>
        <v>63.3566666666667</v>
      </c>
      <c r="S394" s="81" cm="1">
        <f ca="1" t="array" ref="S394">IF(S696=1,OFFSET($Z$338,$B394,S$335-1)/SUMPRODUCT(--($D$335:$V$335=S$335),--($D696:$V696=1)),0)+SUM(S393)+IF(COUNTIF(S$641:S696,1)=1,5,0)+IF(COUNTIF(T394:$Z394,"&gt;"&amp;0)&gt;5,IF(MOD(COUNTIF(S$641:S696,1),7)=0,$C$4,0),0)</f>
        <v>54.19</v>
      </c>
      <c r="T394" s="81" cm="1">
        <f ca="1" t="array" ref="T394">IF(T696=1,OFFSET($Z$338,$B394,T$335-1)/SUMPRODUCT(--($D$335:$V$335=T$335),--($D696:$V696=1)),0)+SUM(T393)+IF(COUNTIF(T$641:T696,1)=1,5,0)+IF(COUNTIF(U394:$Z394,"&gt;"&amp;0)&gt;5,IF(MOD(COUNTIF(T$641:T696,1),7)=0,$C$4,0),0)</f>
        <v>34.1500938128397</v>
      </c>
      <c r="U394" s="81" cm="1">
        <f ca="1" t="array" ref="U394">IF(U696=1,OFFSET($Z$338,$B394,U$335-1)/SUMPRODUCT(--($D$335:$V$335=U$335),--($D696:$V696=1)),0)+SUM(U393)+IF(COUNTIF(U$641:U696,1)=1,5,0)+IF(COUNTIF(V394:$Z394,"&gt;"&amp;0)&gt;5,IF(MOD(COUNTIF(U$641:U696,1),7)=0,$C$4,0),0)</f>
        <v>34.1500938128397</v>
      </c>
      <c r="V394" s="81" cm="1">
        <f ca="1" t="array" ref="V394">IF(V696=1,OFFSET($Z$338,$B394,V$335-1)/SUMPRODUCT(--($D$335:$V$335=V$335),--($D696:$V696=1)),0)+SUM(V393)+IF(COUNTIF(V$641:V696,1)=1,5,0)+IF(COUNTIF(Z394:$Z394,"&gt;"&amp;0)&gt;5,IF(MOD(COUNTIF(V$641:V696,1),7)=0,$C$4,0),0)</f>
        <v>26.1922746235578</v>
      </c>
      <c r="W394" s="81" cm="1">
        <f ca="1" t="array" ref="W394">IF(W696=1,OFFSET($Z$338,$B394,W$335-1)/SUMPRODUCT(--($D$335:$V$335=W$335),--($D696:$V696=1)),0)+SUM(W393)+IF(COUNTIF(W$641:W696,1)=1,5,0)+IF(COUNTIF($Z394:AA394,"&gt;"&amp;0)&gt;5,IF(MOD(COUNTIF(W$641:W696,1),7)=0,$C$4,0),0)</f>
        <v>16.8364055086085</v>
      </c>
      <c r="X394" s="81" cm="1">
        <f ca="1" t="array" ref="X394">IF(X696=1,OFFSET($Z$338,$B394,X$335-1)/SUMPRODUCT(--($D$335:$V$335=X$335),--($D696:$V696=1)),0)+SUM(X393)+IF(COUNTIF(X$641:X696,1)=1,5,0)+IF(COUNTIF($Z394:AB394,"&gt;"&amp;0)&gt;5,IF(MOD(COUNTIF(X$641:X696,1),7)=0,$C$4,0),0)</f>
        <v>10.0727452179751</v>
      </c>
      <c r="Y394" s="81" cm="1">
        <f ca="1" t="array" ref="Y394">IF(Y696=1,OFFSET($Z$338,$B394,Y$335-1)/SUMPRODUCT(--($D$335:$V$335=Y$335),--($D696:$V696=1)),0)+SUM(Y393)+IF(COUNTIF(Y$641:Y696,1)=1,5,0)+IF(COUNTIF($Z394:AC394,"&gt;"&amp;0)&gt;5,IF(MOD(COUNTIF(Y$641:Y696,1),7)=0,$C$4,0),0)</f>
        <v>0</v>
      </c>
      <c r="Z394" s="82" cm="1">
        <f ca="1" t="array" ref="Z394">SUMPRODUCT(TRANSPOSE($AD394:$AJ394),OFFSET($L$10:$L$16,0,Z$335-1))</f>
        <v>23.8636273910124</v>
      </c>
      <c r="AA394" s="82" cm="1">
        <f ca="1" t="array" ref="AA394">SUMPRODUCT(TRANSPOSE($AD394:$AJ394),OFFSET($L$10:$L$16,0,AA$335-1))</f>
        <v>19.8</v>
      </c>
      <c r="AB394" s="82" cm="1">
        <f ca="1" t="array" ref="AB394">SUMPRODUCT(TRANSPOSE($AD394:$AJ394),OFFSET($L$10:$L$16,0,AB$335-1))</f>
        <v>8.8</v>
      </c>
      <c r="AC394" s="82" cm="1">
        <f ca="1" t="array" ref="AC394">SUMPRODUCT(TRANSPOSE($AD394:$AJ394),OFFSET($L$10:$L$16,0,AC$335-1))</f>
        <v>2.53637260898755</v>
      </c>
      <c r="AD394" s="83">
        <f ca="1" t="shared" ref="AD394:AJ394" si="431">AK394-AK393</f>
        <v>0</v>
      </c>
      <c r="AE394" s="83">
        <f ca="1" t="shared" si="431"/>
        <v>0</v>
      </c>
      <c r="AF394" s="83">
        <f ca="1" t="shared" si="431"/>
        <v>0</v>
      </c>
      <c r="AG394" s="83">
        <f ca="1" t="shared" si="431"/>
        <v>0</v>
      </c>
      <c r="AH394" s="83">
        <f ca="1" t="shared" si="431"/>
        <v>110</v>
      </c>
      <c r="AI394" s="83">
        <f ca="1" t="shared" si="431"/>
        <v>0</v>
      </c>
      <c r="AJ394" s="83">
        <f ca="1" t="shared" si="431"/>
        <v>0</v>
      </c>
      <c r="AK394" s="83">
        <f ca="1" t="shared" si="321"/>
        <v>450</v>
      </c>
      <c r="AL394" s="83">
        <f ca="1" t="shared" ref="AL394:AQ394" si="432">IF($C394&gt;OFFSET($Q$9,MATCH(AL$338,$AK$338:$AQ$338,0),0),OFFSET($P$9,MATCH(AL$338,$AK$338:$AQ$338,0),0),MAX(0,$C394-OFFSET($Q$9,RIGHT(AL$338,1)-1,0)))</f>
        <v>909</v>
      </c>
      <c r="AM394" s="83">
        <f ca="1" t="shared" si="432"/>
        <v>1818</v>
      </c>
      <c r="AN394" s="83">
        <f ca="1" t="shared" si="432"/>
        <v>2727</v>
      </c>
      <c r="AO394" s="83">
        <f ca="1" t="shared" si="432"/>
        <v>1582</v>
      </c>
      <c r="AP394" s="83">
        <f ca="1" t="shared" si="432"/>
        <v>0</v>
      </c>
      <c r="AQ394" s="83">
        <f ca="1" t="shared" si="432"/>
        <v>0</v>
      </c>
    </row>
    <row r="395" ht="16.5" spans="2:49">
      <c r="B395" s="65">
        <v>57</v>
      </c>
      <c r="C395" s="80">
        <f t="shared" si="319"/>
        <v>7596</v>
      </c>
      <c r="D395" s="81" cm="1">
        <f ca="1" t="array" ref="D395">IF(D697=1,OFFSET($Z$338,$B395,D$335-1)/SUMPRODUCT(--($D$335:$V$335=D$335),--($D697:$V697=1)),0)+SUM(D394)+IF(COUNTIF(D$641:D697,1)=1,5,0)+IF(COUNTIF(E395:$Z395,"&gt;"&amp;0)&gt;5,IF(MOD(COUNTIF(D$641:D697,1),7)=0,$C$4,0),0)</f>
        <v>762.962055047258</v>
      </c>
      <c r="E395" s="81" cm="1">
        <f ca="1" t="array" ref="E395">IF(E697=1,OFFSET($Z$338,$B395,E$335-1)/SUMPRODUCT(--($D$335:$V$335=E$335),--($D697:$V697=1)),0)+SUM(E394)+IF(COUNTIF(E$641:E697,1)=1,5,0)+IF(COUNTIF(F395:$Z395,"&gt;"&amp;0)&gt;5,IF(MOD(COUNTIF(E$641:E697,1),7)=0,$C$4,0),0)</f>
        <v>762.962055047258</v>
      </c>
      <c r="F395" s="81" cm="1">
        <f ca="1" t="array" ref="F395">IF(F697=1,OFFSET($Z$338,$B395,F$335-1)/SUMPRODUCT(--($D$335:$V$335=F$335),--($D697:$V697=1)),0)+SUM(F394)+IF(COUNTIF(F$641:F697,1)=1,5,0)+IF(COUNTIF(G395:$Z395,"&gt;"&amp;0)&gt;5,IF(MOD(COUNTIF(F$641:F697,1),7)=0,$C$4,0),0)</f>
        <v>762.962055047258</v>
      </c>
      <c r="G395" s="81" cm="1">
        <f ca="1" t="array" ref="G395">IF(G697=1,OFFSET($Z$338,$B395,G$335-1)/SUMPRODUCT(--($D$335:$V$335=G$335),--($D697:$V697=1)),0)+SUM(G394)+IF(COUNTIF(G$641:G697,1)=1,5,0)+IF(COUNTIF(H395:$Z395,"&gt;"&amp;0)&gt;5,IF(MOD(COUNTIF(G$641:G697,1),7)=0,$C$4,0),0)</f>
        <v>237.696666666667</v>
      </c>
      <c r="H395" s="81" cm="1">
        <f ca="1" t="array" ref="H395">IF(H697=1,OFFSET($Z$338,$B395,H$335-1)/SUMPRODUCT(--($D$335:$V$335=H$335),--($D697:$V697=1)),0)+SUM(H394)+IF(COUNTIF(H$641:H697,1)=1,5,0)+IF(COUNTIF(I395:$Z395,"&gt;"&amp;0)&gt;5,IF(MOD(COUNTIF(H$641:H697,1),7)=0,$C$4,0),0)</f>
        <v>237.696666666667</v>
      </c>
      <c r="I395" s="81" cm="1">
        <f ca="1" t="array" ref="I395">IF(I697=1,OFFSET($Z$338,$B395,I$335-1)/SUMPRODUCT(--($D$335:$V$335=I$335),--($D697:$V697=1)),0)+SUM(I394)+IF(COUNTIF(I$641:I697,1)=1,5,0)+IF(COUNTIF(J395:$Z395,"&gt;"&amp;0)&gt;5,IF(MOD(COUNTIF(I$641:I697,1),7)=0,$C$4,0),0)</f>
        <v>237.696666666667</v>
      </c>
      <c r="J395" s="81" cm="1">
        <f ca="1" t="array" ref="J395">IF(J697=1,OFFSET($Z$338,$B395,J$335-1)/SUMPRODUCT(--($D$335:$V$335=J$335),--($D697:$V697=1)),0)+SUM(J394)+IF(COUNTIF(J$641:J697,1)=1,5,0)+IF(COUNTIF(K395:$Z395,"&gt;"&amp;0)&gt;5,IF(MOD(COUNTIF(J$641:J697,1),7)=0,$C$4,0),0)</f>
        <v>237.696666666667</v>
      </c>
      <c r="K395" s="81" cm="1">
        <f ca="1" t="array" ref="K395">IF(K697=1,OFFSET($Z$338,$B395,K$335-1)/SUMPRODUCT(--($D$335:$V$335=K$335),--($D697:$V697=1)),0)+SUM(K394)+IF(COUNTIF(K$641:K697,1)=1,5,0)+IF(COUNTIF(L395:$Z395,"&gt;"&amp;0)&gt;5,IF(MOD(COUNTIF(K$641:K697,1),7)=0,$C$4,0),0)</f>
        <v>237.696666666667</v>
      </c>
      <c r="L395" s="81" cm="1">
        <f ca="1" t="array" ref="L395">IF(L697=1,OFFSET($Z$338,$B395,L$335-1)/SUMPRODUCT(--($D$335:$V$335=L$335),--($D697:$V697=1)),0)+SUM(L394)+IF(COUNTIF(L$641:L697,1)=1,5,0)+IF(COUNTIF(M395:$Z395,"&gt;"&amp;0)&gt;5,IF(MOD(COUNTIF(L$641:L697,1),7)=0,$C$4,0),0)</f>
        <v>230.996666666667</v>
      </c>
      <c r="M395" s="81" cm="1">
        <f ca="1" t="array" ref="M395">IF(M697=1,OFFSET($Z$338,$B395,M$335-1)/SUMPRODUCT(--($D$335:$V$335=M$335),--($D697:$V697=1)),0)+SUM(M394)+IF(COUNTIF(M$641:M697,1)=1,5,0)+IF(COUNTIF(N395:$Z395,"&gt;"&amp;0)&gt;5,IF(MOD(COUNTIF(M$641:M697,1),7)=0,$C$4,0),0)</f>
        <v>108.498392857143</v>
      </c>
      <c r="N395" s="81" cm="1">
        <f ca="1" t="array" ref="N395">IF(N697=1,OFFSET($Z$338,$B395,N$335-1)/SUMPRODUCT(--($D$335:$V$335=N$335),--($D697:$V697=1)),0)+SUM(N394)+IF(COUNTIF(N$641:N697,1)=1,5,0)+IF(COUNTIF(O395:$Z395,"&gt;"&amp;0)&gt;5,IF(MOD(COUNTIF(N$641:N697,1),7)=0,$C$4,0),0)</f>
        <v>95.7733928571428</v>
      </c>
      <c r="O395" s="81" cm="1">
        <f ca="1" t="array" ref="O395">IF(O697=1,OFFSET($Z$338,$B395,O$335-1)/SUMPRODUCT(--($D$335:$V$335=O$335),--($D697:$V697=1)),0)+SUM(O394)+IF(COUNTIF(O$641:O697,1)=1,5,0)+IF(COUNTIF(P395:$Z395,"&gt;"&amp;0)&gt;5,IF(MOD(COUNTIF(O$641:O697,1),7)=0,$C$4,0),0)</f>
        <v>93.3483928571428</v>
      </c>
      <c r="P395" s="81" cm="1">
        <f ca="1" t="array" ref="P395">IF(P697=1,OFFSET($Z$338,$B395,P$335-1)/SUMPRODUCT(--($D$335:$V$335=P$335),--($D697:$V697=1)),0)+SUM(P394)+IF(COUNTIF(P$641:P697,1)=1,5,0)+IF(COUNTIF(Q395:$Z395,"&gt;"&amp;0)&gt;5,IF(MOD(COUNTIF(P$641:P697,1),7)=0,$C$4,0),0)</f>
        <v>90.4150595238095</v>
      </c>
      <c r="Q395" s="81" cm="1">
        <f ca="1" t="array" ref="Q395">IF(Q697=1,OFFSET($Z$338,$B395,Q$335-1)/SUMPRODUCT(--($D$335:$V$335=Q$335),--($D697:$V697=1)),0)+SUM(Q394)+IF(COUNTIF(Q$641:Q697,1)=1,5,0)+IF(COUNTIF(R395:$Z395,"&gt;"&amp;0)&gt;5,IF(MOD(COUNTIF(Q$641:Q697,1),7)=0,$C$4,0),0)</f>
        <v>89.5088095238095</v>
      </c>
      <c r="R395" s="81" cm="1">
        <f ca="1" t="array" ref="R395">IF(R697=1,OFFSET($Z$338,$B395,R$335-1)/SUMPRODUCT(--($D$335:$V$335=R$335),--($D697:$V697=1)),0)+SUM(R394)+IF(COUNTIF(R$641:R697,1)=1,5,0)+IF(COUNTIF(S395:$Z395,"&gt;"&amp;0)&gt;5,IF(MOD(COUNTIF(R$641:R697,1),7)=0,$C$4,0),0)</f>
        <v>64.6138095238096</v>
      </c>
      <c r="S395" s="81" cm="1">
        <f ca="1" t="array" ref="S395">IF(S697=1,OFFSET($Z$338,$B395,S$335-1)/SUMPRODUCT(--($D$335:$V$335=S$335),--($D697:$V697=1)),0)+SUM(S394)+IF(COUNTIF(S$641:S697,1)=1,5,0)+IF(COUNTIF(T395:$Z395,"&gt;"&amp;0)&gt;5,IF(MOD(COUNTIF(S$641:S697,1),7)=0,$C$4,0),0)</f>
        <v>55.4471428571429</v>
      </c>
      <c r="T395" s="81" cm="1">
        <f ca="1" t="array" ref="T395">IF(T697=1,OFFSET($Z$338,$B395,T$335-1)/SUMPRODUCT(--($D$335:$V$335=T$335),--($D697:$V697=1)),0)+SUM(T394)+IF(COUNTIF(T$641:T697,1)=1,5,0)+IF(COUNTIF(U395:$Z395,"&gt;"&amp;0)&gt;5,IF(MOD(COUNTIF(T$641:T697,1),7)=0,$C$4,0),0)</f>
        <v>34.9955513491689</v>
      </c>
      <c r="U395" s="81" cm="1">
        <f ca="1" t="array" ref="U395">IF(U697=1,OFFSET($Z$338,$B395,U$335-1)/SUMPRODUCT(--($D$335:$V$335=U$335),--($D697:$V697=1)),0)+SUM(U394)+IF(COUNTIF(U$641:U697,1)=1,5,0)+IF(COUNTIF(V395:$Z395,"&gt;"&amp;0)&gt;5,IF(MOD(COUNTIF(U$641:U697,1),7)=0,$C$4,0),0)</f>
        <v>34.9955513491689</v>
      </c>
      <c r="V395" s="81" cm="1">
        <f ca="1" t="array" ref="V395">IF(V697=1,OFFSET($Z$338,$B395,V$335-1)/SUMPRODUCT(--($D$335:$V$335=V$335),--($D697:$V697=1)),0)+SUM(V394)+IF(COUNTIF(V$641:V697,1)=1,5,0)+IF(COUNTIF(Z395:$Z395,"&gt;"&amp;0)&gt;5,IF(MOD(COUNTIF(V$641:V697,1),7)=0,$C$4,0),0)</f>
        <v>27.037732159887</v>
      </c>
      <c r="W395" s="81" cm="1">
        <f ca="1" t="array" ref="W395">IF(W697=1,OFFSET($Z$338,$B395,W$335-1)/SUMPRODUCT(--($D$335:$V$335=W$335),--($D697:$V697=1)),0)+SUM(W394)+IF(COUNTIF(W$641:W697,1)=1,5,0)+IF(COUNTIF($Z395:AA395,"&gt;"&amp;0)&gt;5,IF(MOD(COUNTIF(W$641:W697,1),7)=0,$C$4,0),0)</f>
        <v>17.6818630449377</v>
      </c>
      <c r="X395" s="81" cm="1">
        <f ca="1" t="array" ref="X395">IF(X697=1,OFFSET($Z$338,$B395,X$335-1)/SUMPRODUCT(--($D$335:$V$335=X$335),--($D697:$V697=1)),0)+SUM(X394)+IF(COUNTIF(X$641:X697,1)=1,5,0)+IF(COUNTIF($Z395:AB395,"&gt;"&amp;0)&gt;5,IF(MOD(COUNTIF(X$641:X697,1),7)=0,$C$4,0),0)</f>
        <v>10.9182027543043</v>
      </c>
      <c r="Y395" s="81" cm="1">
        <f ca="1" t="array" ref="Y395">IF(Y697=1,OFFSET($Z$338,$B395,Y$335-1)/SUMPRODUCT(--($D$335:$V$335=Y$335),--($D697:$V697=1)),0)+SUM(Y394)+IF(COUNTIF(Y$641:Y697,1)=1,5,0)+IF(COUNTIF($Z395:AC395,"&gt;"&amp;0)&gt;5,IF(MOD(COUNTIF(Y$641:Y697,1),7)=0,$C$4,0),0)</f>
        <v>0</v>
      </c>
      <c r="Z395" s="82" cm="1">
        <f ca="1" t="array" ref="Z395">SUMPRODUCT(TRANSPOSE($AD395:$AJ395),OFFSET($L$10:$L$16,0,Z$335-1))</f>
        <v>23.8636273910124</v>
      </c>
      <c r="AA395" s="82" cm="1">
        <f ca="1" t="array" ref="AA395">SUMPRODUCT(TRANSPOSE($AD395:$AJ395),OFFSET($L$10:$L$16,0,AA$335-1))</f>
        <v>19.8</v>
      </c>
      <c r="AB395" s="82" cm="1">
        <f ca="1" t="array" ref="AB395">SUMPRODUCT(TRANSPOSE($AD395:$AJ395),OFFSET($L$10:$L$16,0,AB$335-1))</f>
        <v>8.8</v>
      </c>
      <c r="AC395" s="82" cm="1">
        <f ca="1" t="array" ref="AC395">SUMPRODUCT(TRANSPOSE($AD395:$AJ395),OFFSET($L$10:$L$16,0,AC$335-1))</f>
        <v>2.53637260898755</v>
      </c>
      <c r="AD395" s="83">
        <f ca="1" t="shared" ref="AD395:AJ395" si="433">AK395-AK394</f>
        <v>0</v>
      </c>
      <c r="AE395" s="83">
        <f ca="1" t="shared" si="433"/>
        <v>0</v>
      </c>
      <c r="AF395" s="83">
        <f ca="1" t="shared" si="433"/>
        <v>0</v>
      </c>
      <c r="AG395" s="83">
        <f ca="1" t="shared" si="433"/>
        <v>0</v>
      </c>
      <c r="AH395" s="83">
        <f ca="1" t="shared" si="433"/>
        <v>110</v>
      </c>
      <c r="AI395" s="83">
        <f ca="1" t="shared" si="433"/>
        <v>0</v>
      </c>
      <c r="AJ395" s="83">
        <f ca="1" t="shared" si="433"/>
        <v>0</v>
      </c>
      <c r="AK395" s="83">
        <f ca="1" t="shared" si="321"/>
        <v>450</v>
      </c>
      <c r="AL395" s="83">
        <f ca="1" t="shared" ref="AL395:AQ395" si="434">IF($C395&gt;OFFSET($Q$9,MATCH(AL$338,$AK$338:$AQ$338,0),0),OFFSET($P$9,MATCH(AL$338,$AK$338:$AQ$338,0),0),MAX(0,$C395-OFFSET($Q$9,RIGHT(AL$338,1)-1,0)))</f>
        <v>909</v>
      </c>
      <c r="AM395" s="83">
        <f ca="1" t="shared" si="434"/>
        <v>1818</v>
      </c>
      <c r="AN395" s="83">
        <f ca="1" t="shared" si="434"/>
        <v>2727</v>
      </c>
      <c r="AO395" s="83">
        <f ca="1" t="shared" si="434"/>
        <v>1692</v>
      </c>
      <c r="AP395" s="83">
        <f ca="1" t="shared" si="434"/>
        <v>0</v>
      </c>
      <c r="AQ395" s="83">
        <f ca="1" t="shared" si="434"/>
        <v>0</v>
      </c>
    </row>
    <row r="396" ht="16.5" spans="2:49">
      <c r="B396" s="65">
        <v>58</v>
      </c>
      <c r="C396" s="80">
        <f t="shared" si="319"/>
        <v>7706</v>
      </c>
      <c r="D396" s="81" cm="1">
        <f ca="1" t="array" ref="D396">IF(D698=1,OFFSET($Z$338,$B396,D$335-1)/SUMPRODUCT(--($D$335:$V$335=D$335),--($D698:$V698=1)),0)+SUM(D395)+IF(COUNTIF(D$641:D698,1)=1,5,0)+IF(COUNTIF(E396:$Z396,"&gt;"&amp;0)&gt;5,IF(MOD(COUNTIF(D$641:D698,1),7)=0,$C$4,0),0)</f>
        <v>770.916597510929</v>
      </c>
      <c r="E396" s="81" cm="1">
        <f ca="1" t="array" ref="E396">IF(E698=1,OFFSET($Z$338,$B396,E$335-1)/SUMPRODUCT(--($D$335:$V$335=E$335),--($D698:$V698=1)),0)+SUM(E395)+IF(COUNTIF(E$641:E698,1)=1,5,0)+IF(COUNTIF(F396:$Z396,"&gt;"&amp;0)&gt;5,IF(MOD(COUNTIF(E$641:E698,1),7)=0,$C$4,0),0)</f>
        <v>770.916597510929</v>
      </c>
      <c r="F396" s="81" cm="1">
        <f ca="1" t="array" ref="F396">IF(F698=1,OFFSET($Z$338,$B396,F$335-1)/SUMPRODUCT(--($D$335:$V$335=F$335),--($D698:$V698=1)),0)+SUM(F395)+IF(COUNTIF(F$641:F698,1)=1,5,0)+IF(COUNTIF(G396:$Z396,"&gt;"&amp;0)&gt;5,IF(MOD(COUNTIF(F$641:F698,1),7)=0,$C$4,0),0)</f>
        <v>770.916597510929</v>
      </c>
      <c r="G396" s="81" cm="1">
        <f ca="1" t="array" ref="G396">IF(G698=1,OFFSET($Z$338,$B396,G$335-1)/SUMPRODUCT(--($D$335:$V$335=G$335),--($D698:$V698=1)),0)+SUM(G395)+IF(COUNTIF(G$641:G698,1)=1,5,0)+IF(COUNTIF(H396:$Z396,"&gt;"&amp;0)&gt;5,IF(MOD(COUNTIF(G$641:G698,1),7)=0,$C$4,0),0)</f>
        <v>240.996666666667</v>
      </c>
      <c r="H396" s="81" cm="1">
        <f ca="1" t="array" ref="H396">IF(H698=1,OFFSET($Z$338,$B396,H$335-1)/SUMPRODUCT(--($D$335:$V$335=H$335),--($D698:$V698=1)),0)+SUM(H395)+IF(COUNTIF(H$641:H698,1)=1,5,0)+IF(COUNTIF(I396:$Z396,"&gt;"&amp;0)&gt;5,IF(MOD(COUNTIF(H$641:H698,1),7)=0,$C$4,0),0)</f>
        <v>240.996666666667</v>
      </c>
      <c r="I396" s="81" cm="1">
        <f ca="1" t="array" ref="I396">IF(I698=1,OFFSET($Z$338,$B396,I$335-1)/SUMPRODUCT(--($D$335:$V$335=I$335),--($D698:$V698=1)),0)+SUM(I395)+IF(COUNTIF(I$641:I698,1)=1,5,0)+IF(COUNTIF(J396:$Z396,"&gt;"&amp;0)&gt;5,IF(MOD(COUNTIF(I$641:I698,1),7)=0,$C$4,0),0)</f>
        <v>240.996666666667</v>
      </c>
      <c r="J396" s="81" cm="1">
        <f ca="1" t="array" ref="J396">IF(J698=1,OFFSET($Z$338,$B396,J$335-1)/SUMPRODUCT(--($D$335:$V$335=J$335),--($D698:$V698=1)),0)+SUM(J395)+IF(COUNTIF(J$641:J698,1)=1,5,0)+IF(COUNTIF(K396:$Z396,"&gt;"&amp;0)&gt;5,IF(MOD(COUNTIF(J$641:J698,1),7)=0,$C$4,0),0)</f>
        <v>240.996666666667</v>
      </c>
      <c r="K396" s="81" cm="1">
        <f ca="1" t="array" ref="K396">IF(K698=1,OFFSET($Z$338,$B396,K$335-1)/SUMPRODUCT(--($D$335:$V$335=K$335),--($D698:$V698=1)),0)+SUM(K395)+IF(COUNTIF(K$641:K698,1)=1,5,0)+IF(COUNTIF(L396:$Z396,"&gt;"&amp;0)&gt;5,IF(MOD(COUNTIF(K$641:K698,1),7)=0,$C$4,0),0)</f>
        <v>240.996666666667</v>
      </c>
      <c r="L396" s="81" cm="1">
        <f ca="1" t="array" ref="L396">IF(L698=1,OFFSET($Z$338,$B396,L$335-1)/SUMPRODUCT(--($D$335:$V$335=L$335),--($D698:$V698=1)),0)+SUM(L395)+IF(COUNTIF(L$641:L698,1)=1,5,0)+IF(COUNTIF(M396:$Z396,"&gt;"&amp;0)&gt;5,IF(MOD(COUNTIF(L$641:L698,1),7)=0,$C$4,0),0)</f>
        <v>234.296666666667</v>
      </c>
      <c r="M396" s="81" cm="1">
        <f ca="1" t="array" ref="M396">IF(M698=1,OFFSET($Z$338,$B396,M$335-1)/SUMPRODUCT(--($D$335:$V$335=M$335),--($D698:$V698=1)),0)+SUM(M395)+IF(COUNTIF(M$641:M698,1)=1,5,0)+IF(COUNTIF(N396:$Z396,"&gt;"&amp;0)&gt;5,IF(MOD(COUNTIF(M$641:M698,1),7)=0,$C$4,0),0)</f>
        <v>109.755535714286</v>
      </c>
      <c r="N396" s="81" cm="1">
        <f ca="1" t="array" ref="N396">IF(N698=1,OFFSET($Z$338,$B396,N$335-1)/SUMPRODUCT(--($D$335:$V$335=N$335),--($D698:$V698=1)),0)+SUM(N395)+IF(COUNTIF(N$641:N698,1)=1,5,0)+IF(COUNTIF(O396:$Z396,"&gt;"&amp;0)&gt;5,IF(MOD(COUNTIF(N$641:N698,1),7)=0,$C$4,0),0)</f>
        <v>102.030535714286</v>
      </c>
      <c r="O396" s="81" cm="1">
        <f ca="1" t="array" ref="O396">IF(O698=1,OFFSET($Z$338,$B396,O$335-1)/SUMPRODUCT(--($D$335:$V$335=O$335),--($D698:$V698=1)),0)+SUM(O395)+IF(COUNTIF(O$641:O698,1)=1,5,0)+IF(COUNTIF(P396:$Z396,"&gt;"&amp;0)&gt;5,IF(MOD(COUNTIF(O$641:O698,1),7)=0,$C$4,0),0)</f>
        <v>94.6055357142856</v>
      </c>
      <c r="P396" s="81" cm="1">
        <f ca="1" t="array" ref="P396">IF(P698=1,OFFSET($Z$338,$B396,P$335-1)/SUMPRODUCT(--($D$335:$V$335=P$335),--($D698:$V698=1)),0)+SUM(P395)+IF(COUNTIF(P$641:P698,1)=1,5,0)+IF(COUNTIF(Q396:$Z396,"&gt;"&amp;0)&gt;5,IF(MOD(COUNTIF(P$641:P698,1),7)=0,$C$4,0),0)</f>
        <v>91.6722023809523</v>
      </c>
      <c r="Q396" s="81" cm="1">
        <f ca="1" t="array" ref="Q396">IF(Q698=1,OFFSET($Z$338,$B396,Q$335-1)/SUMPRODUCT(--($D$335:$V$335=Q$335),--($D698:$V698=1)),0)+SUM(Q395)+IF(COUNTIF(Q$641:Q698,1)=1,5,0)+IF(COUNTIF(R396:$Z396,"&gt;"&amp;0)&gt;5,IF(MOD(COUNTIF(Q$641:Q698,1),7)=0,$C$4,0),0)</f>
        <v>90.7659523809523</v>
      </c>
      <c r="R396" s="81" cm="1">
        <f ca="1" t="array" ref="R396">IF(R698=1,OFFSET($Z$338,$B396,R$335-1)/SUMPRODUCT(--($D$335:$V$335=R$335),--($D698:$V698=1)),0)+SUM(R395)+IF(COUNTIF(R$641:R698,1)=1,5,0)+IF(COUNTIF(S396:$Z396,"&gt;"&amp;0)&gt;5,IF(MOD(COUNTIF(R$641:R698,1),7)=0,$C$4,0),0)</f>
        <v>65.8709523809524</v>
      </c>
      <c r="S396" s="81" cm="1">
        <f ca="1" t="array" ref="S396">IF(S698=1,OFFSET($Z$338,$B396,S$335-1)/SUMPRODUCT(--($D$335:$V$335=S$335),--($D698:$V698=1)),0)+SUM(S395)+IF(COUNTIF(S$641:S698,1)=1,5,0)+IF(COUNTIF(T396:$Z396,"&gt;"&amp;0)&gt;5,IF(MOD(COUNTIF(S$641:S698,1),7)=0,$C$4,0),0)</f>
        <v>56.7042857142858</v>
      </c>
      <c r="T396" s="81" cm="1">
        <f ca="1" t="array" ref="T396">IF(T698=1,OFFSET($Z$338,$B396,T$335-1)/SUMPRODUCT(--($D$335:$V$335=T$335),--($D698:$V698=1)),0)+SUM(T395)+IF(COUNTIF(T$641:T698,1)=1,5,0)+IF(COUNTIF(U396:$Z396,"&gt;"&amp;0)&gt;5,IF(MOD(COUNTIF(T$641:T698,1),7)=0,$C$4,0),0)</f>
        <v>35.8410088854981</v>
      </c>
      <c r="U396" s="81" cm="1">
        <f ca="1" t="array" ref="U396">IF(U698=1,OFFSET($Z$338,$B396,U$335-1)/SUMPRODUCT(--($D$335:$V$335=U$335),--($D698:$V698=1)),0)+SUM(U395)+IF(COUNTIF(U$641:U698,1)=1,5,0)+IF(COUNTIF(V396:$Z396,"&gt;"&amp;0)&gt;5,IF(MOD(COUNTIF(U$641:U698,1),7)=0,$C$4,0),0)</f>
        <v>35.8410088854981</v>
      </c>
      <c r="V396" s="81" cm="1">
        <f ca="1" t="array" ref="V396">IF(V698=1,OFFSET($Z$338,$B396,V$335-1)/SUMPRODUCT(--($D$335:$V$335=V$335),--($D698:$V698=1)),0)+SUM(V395)+IF(COUNTIF(V$641:V698,1)=1,5,0)+IF(COUNTIF(Z396:$Z396,"&gt;"&amp;0)&gt;5,IF(MOD(COUNTIF(V$641:V698,1),7)=0,$C$4,0),0)</f>
        <v>27.8831896962162</v>
      </c>
      <c r="W396" s="81" cm="1">
        <f ca="1" t="array" ref="W396">IF(W698=1,OFFSET($Z$338,$B396,W$335-1)/SUMPRODUCT(--($D$335:$V$335=W$335),--($D698:$V698=1)),0)+SUM(W395)+IF(COUNTIF(W$641:W698,1)=1,5,0)+IF(COUNTIF($Z396:AA396,"&gt;"&amp;0)&gt;5,IF(MOD(COUNTIF(W$641:W698,1),7)=0,$C$4,0),0)</f>
        <v>18.5273205812669</v>
      </c>
      <c r="X396" s="81" cm="1">
        <f ca="1" t="array" ref="X396">IF(X698=1,OFFSET($Z$338,$B396,X$335-1)/SUMPRODUCT(--($D$335:$V$335=X$335),--($D698:$V698=1)),0)+SUM(X395)+IF(COUNTIF(X$641:X698,1)=1,5,0)+IF(COUNTIF($Z396:AB396,"&gt;"&amp;0)&gt;5,IF(MOD(COUNTIF(X$641:X698,1),7)=0,$C$4,0),0)</f>
        <v>11.7636602906335</v>
      </c>
      <c r="Y396" s="81" cm="1">
        <f ca="1" t="array" ref="Y396">IF(Y698=1,OFFSET($Z$338,$B396,Y$335-1)/SUMPRODUCT(--($D$335:$V$335=Y$335),--($D698:$V698=1)),0)+SUM(Y395)+IF(COUNTIF(Y$641:Y698,1)=1,5,0)+IF(COUNTIF($Z396:AC396,"&gt;"&amp;0)&gt;5,IF(MOD(COUNTIF(Y$641:Y698,1),7)=0,$C$4,0),0)</f>
        <v>0</v>
      </c>
      <c r="Z396" s="82" cm="1">
        <f ca="1" t="array" ref="Z396">SUMPRODUCT(TRANSPOSE($AD396:$AJ396),OFFSET($L$10:$L$16,0,Z$335-1))</f>
        <v>23.8636273910124</v>
      </c>
      <c r="AA396" s="82" cm="1">
        <f ca="1" t="array" ref="AA396">SUMPRODUCT(TRANSPOSE($AD396:$AJ396),OFFSET($L$10:$L$16,0,AA$335-1))</f>
        <v>19.8</v>
      </c>
      <c r="AB396" s="82" cm="1">
        <f ca="1" t="array" ref="AB396">SUMPRODUCT(TRANSPOSE($AD396:$AJ396),OFFSET($L$10:$L$16,0,AB$335-1))</f>
        <v>8.8</v>
      </c>
      <c r="AC396" s="82" cm="1">
        <f ca="1" t="array" ref="AC396">SUMPRODUCT(TRANSPOSE($AD396:$AJ396),OFFSET($L$10:$L$16,0,AC$335-1))</f>
        <v>2.53637260898755</v>
      </c>
      <c r="AD396" s="83">
        <f ca="1" t="shared" ref="AD396:AJ396" si="435">AK396-AK395</f>
        <v>0</v>
      </c>
      <c r="AE396" s="83">
        <f ca="1" t="shared" si="435"/>
        <v>0</v>
      </c>
      <c r="AF396" s="83">
        <f ca="1" t="shared" si="435"/>
        <v>0</v>
      </c>
      <c r="AG396" s="83">
        <f ca="1" t="shared" si="435"/>
        <v>0</v>
      </c>
      <c r="AH396" s="83">
        <f ca="1" t="shared" si="435"/>
        <v>110</v>
      </c>
      <c r="AI396" s="83">
        <f ca="1" t="shared" si="435"/>
        <v>0</v>
      </c>
      <c r="AJ396" s="83">
        <f ca="1" t="shared" si="435"/>
        <v>0</v>
      </c>
      <c r="AK396" s="83">
        <f ca="1" t="shared" si="321"/>
        <v>450</v>
      </c>
      <c r="AL396" s="83">
        <f ca="1" t="shared" ref="AL396:AQ396" si="436">IF($C396&gt;OFFSET($Q$9,MATCH(AL$338,$AK$338:$AQ$338,0),0),OFFSET($P$9,MATCH(AL$338,$AK$338:$AQ$338,0),0),MAX(0,$C396-OFFSET($Q$9,RIGHT(AL$338,1)-1,0)))</f>
        <v>909</v>
      </c>
      <c r="AM396" s="83">
        <f ca="1" t="shared" si="436"/>
        <v>1818</v>
      </c>
      <c r="AN396" s="83">
        <f ca="1" t="shared" si="436"/>
        <v>2727</v>
      </c>
      <c r="AO396" s="83">
        <f ca="1" t="shared" si="436"/>
        <v>1802</v>
      </c>
      <c r="AP396" s="83">
        <f ca="1" t="shared" si="436"/>
        <v>0</v>
      </c>
      <c r="AQ396" s="83">
        <f ca="1" t="shared" si="436"/>
        <v>0</v>
      </c>
    </row>
    <row r="397" ht="16.5" spans="2:49">
      <c r="B397" s="65">
        <v>59</v>
      </c>
      <c r="C397" s="80">
        <f t="shared" si="319"/>
        <v>7816</v>
      </c>
      <c r="D397" s="81" cm="1">
        <f ca="1" t="array" ref="D397">IF(D699=1,OFFSET($Z$338,$B397,D$335-1)/SUMPRODUCT(--($D$335:$V$335=D$335),--($D699:$V699=1)),0)+SUM(D396)+IF(COUNTIF(D$641:D699,1)=1,5,0)+IF(COUNTIF(E397:$Z397,"&gt;"&amp;0)&gt;5,IF(MOD(COUNTIF(D$641:D699,1),7)=0,$C$4,0),0)</f>
        <v>778.8711399746</v>
      </c>
      <c r="E397" s="81" cm="1">
        <f ca="1" t="array" ref="E397">IF(E699=1,OFFSET($Z$338,$B397,E$335-1)/SUMPRODUCT(--($D$335:$V$335=E$335),--($D699:$V699=1)),0)+SUM(E396)+IF(COUNTIF(E$641:E699,1)=1,5,0)+IF(COUNTIF(F397:$Z397,"&gt;"&amp;0)&gt;5,IF(MOD(COUNTIF(E$641:E699,1),7)=0,$C$4,0),0)</f>
        <v>778.8711399746</v>
      </c>
      <c r="F397" s="81" cm="1">
        <f ca="1" t="array" ref="F397">IF(F699=1,OFFSET($Z$338,$B397,F$335-1)/SUMPRODUCT(--($D$335:$V$335=F$335),--($D699:$V699=1)),0)+SUM(F396)+IF(COUNTIF(F$641:F699,1)=1,5,0)+IF(COUNTIF(G397:$Z397,"&gt;"&amp;0)&gt;5,IF(MOD(COUNTIF(F$641:F699,1),7)=0,$C$4,0),0)</f>
        <v>778.8711399746</v>
      </c>
      <c r="G397" s="81" cm="1">
        <f ca="1" t="array" ref="G397">IF(G699=1,OFFSET($Z$338,$B397,G$335-1)/SUMPRODUCT(--($D$335:$V$335=G$335),--($D699:$V699=1)),0)+SUM(G396)+IF(COUNTIF(G$641:G699,1)=1,5,0)+IF(COUNTIF(H397:$Z397,"&gt;"&amp;0)&gt;5,IF(MOD(COUNTIF(G$641:G699,1),7)=0,$C$4,0),0)</f>
        <v>244.296666666667</v>
      </c>
      <c r="H397" s="81" cm="1">
        <f ca="1" t="array" ref="H397">IF(H699=1,OFFSET($Z$338,$B397,H$335-1)/SUMPRODUCT(--($D$335:$V$335=H$335),--($D699:$V699=1)),0)+SUM(H396)+IF(COUNTIF(H$641:H699,1)=1,5,0)+IF(COUNTIF(I397:$Z397,"&gt;"&amp;0)&gt;5,IF(MOD(COUNTIF(H$641:H699,1),7)=0,$C$4,0),0)</f>
        <v>244.296666666667</v>
      </c>
      <c r="I397" s="81" cm="1">
        <f ca="1" t="array" ref="I397">IF(I699=1,OFFSET($Z$338,$B397,I$335-1)/SUMPRODUCT(--($D$335:$V$335=I$335),--($D699:$V699=1)),0)+SUM(I396)+IF(COUNTIF(I$641:I699,1)=1,5,0)+IF(COUNTIF(J397:$Z397,"&gt;"&amp;0)&gt;5,IF(MOD(COUNTIF(I$641:I699,1),7)=0,$C$4,0),0)</f>
        <v>244.296666666667</v>
      </c>
      <c r="J397" s="81" cm="1">
        <f ca="1" t="array" ref="J397">IF(J699=1,OFFSET($Z$338,$B397,J$335-1)/SUMPRODUCT(--($D$335:$V$335=J$335),--($D699:$V699=1)),0)+SUM(J396)+IF(COUNTIF(J$641:J699,1)=1,5,0)+IF(COUNTIF(K397:$Z397,"&gt;"&amp;0)&gt;5,IF(MOD(COUNTIF(J$641:J699,1),7)=0,$C$4,0),0)</f>
        <v>244.296666666667</v>
      </c>
      <c r="K397" s="81" cm="1">
        <f ca="1" t="array" ref="K397">IF(K699=1,OFFSET($Z$338,$B397,K$335-1)/SUMPRODUCT(--($D$335:$V$335=K$335),--($D699:$V699=1)),0)+SUM(K396)+IF(COUNTIF(K$641:K699,1)=1,5,0)+IF(COUNTIF(L397:$Z397,"&gt;"&amp;0)&gt;5,IF(MOD(COUNTIF(K$641:K699,1),7)=0,$C$4,0),0)</f>
        <v>244.296666666667</v>
      </c>
      <c r="L397" s="81" cm="1">
        <f ca="1" t="array" ref="L397">IF(L699=1,OFFSET($Z$338,$B397,L$335-1)/SUMPRODUCT(--($D$335:$V$335=L$335),--($D699:$V699=1)),0)+SUM(L396)+IF(COUNTIF(L$641:L699,1)=1,5,0)+IF(COUNTIF(M397:$Z397,"&gt;"&amp;0)&gt;5,IF(MOD(COUNTIF(L$641:L699,1),7)=0,$C$4,0),0)</f>
        <v>237.596666666667</v>
      </c>
      <c r="M397" s="81" cm="1">
        <f ca="1" t="array" ref="M397">IF(M699=1,OFFSET($Z$338,$B397,M$335-1)/SUMPRODUCT(--($D$335:$V$335=M$335),--($D699:$V699=1)),0)+SUM(M396)+IF(COUNTIF(M$641:M699,1)=1,5,0)+IF(COUNTIF(N397:$Z397,"&gt;"&amp;0)&gt;5,IF(MOD(COUNTIF(M$641:M699,1),7)=0,$C$4,0),0)</f>
        <v>111.012678571428</v>
      </c>
      <c r="N397" s="81" cm="1">
        <f ca="1" t="array" ref="N397">IF(N699=1,OFFSET($Z$338,$B397,N$335-1)/SUMPRODUCT(--($D$335:$V$335=N$335),--($D699:$V699=1)),0)+SUM(N396)+IF(COUNTIF(N$641:N699,1)=1,5,0)+IF(COUNTIF(O397:$Z397,"&gt;"&amp;0)&gt;5,IF(MOD(COUNTIF(N$641:N699,1),7)=0,$C$4,0),0)</f>
        <v>103.287678571428</v>
      </c>
      <c r="O397" s="81" cm="1">
        <f ca="1" t="array" ref="O397">IF(O699=1,OFFSET($Z$338,$B397,O$335-1)/SUMPRODUCT(--($D$335:$V$335=O$335),--($D699:$V699=1)),0)+SUM(O396)+IF(COUNTIF(O$641:O699,1)=1,5,0)+IF(COUNTIF(P397:$Z397,"&gt;"&amp;0)&gt;5,IF(MOD(COUNTIF(O$641:O699,1),7)=0,$C$4,0),0)</f>
        <v>100.862678571428</v>
      </c>
      <c r="P397" s="81" cm="1">
        <f ca="1" t="array" ref="P397">IF(P699=1,OFFSET($Z$338,$B397,P$335-1)/SUMPRODUCT(--($D$335:$V$335=P$335),--($D699:$V699=1)),0)+SUM(P396)+IF(COUNTIF(P$641:P699,1)=1,5,0)+IF(COUNTIF(Q397:$Z397,"&gt;"&amp;0)&gt;5,IF(MOD(COUNTIF(P$641:P699,1),7)=0,$C$4,0),0)</f>
        <v>92.9293452380952</v>
      </c>
      <c r="Q397" s="81" cm="1">
        <f ca="1" t="array" ref="Q397">IF(Q699=1,OFFSET($Z$338,$B397,Q$335-1)/SUMPRODUCT(--($D$335:$V$335=Q$335),--($D699:$V699=1)),0)+SUM(Q396)+IF(COUNTIF(Q$641:Q699,1)=1,5,0)+IF(COUNTIF(R397:$Z397,"&gt;"&amp;0)&gt;5,IF(MOD(COUNTIF(Q$641:Q699,1),7)=0,$C$4,0),0)</f>
        <v>92.0230952380952</v>
      </c>
      <c r="R397" s="81" cm="1">
        <f ca="1" t="array" ref="R397">IF(R699=1,OFFSET($Z$338,$B397,R$335-1)/SUMPRODUCT(--($D$335:$V$335=R$335),--($D699:$V699=1)),0)+SUM(R396)+IF(COUNTIF(R$641:R699,1)=1,5,0)+IF(COUNTIF(S397:$Z397,"&gt;"&amp;0)&gt;5,IF(MOD(COUNTIF(R$641:R699,1),7)=0,$C$4,0),0)</f>
        <v>67.1280952380953</v>
      </c>
      <c r="S397" s="81" cm="1">
        <f ca="1" t="array" ref="S397">IF(S699=1,OFFSET($Z$338,$B397,S$335-1)/SUMPRODUCT(--($D$335:$V$335=S$335),--($D699:$V699=1)),0)+SUM(S396)+IF(COUNTIF(S$641:S699,1)=1,5,0)+IF(COUNTIF(T397:$Z397,"&gt;"&amp;0)&gt;5,IF(MOD(COUNTIF(S$641:S699,1),7)=0,$C$4,0),0)</f>
        <v>57.9614285714286</v>
      </c>
      <c r="T397" s="81" cm="1">
        <f ca="1" t="array" ref="T397">IF(T699=1,OFFSET($Z$338,$B397,T$335-1)/SUMPRODUCT(--($D$335:$V$335=T$335),--($D699:$V699=1)),0)+SUM(T396)+IF(COUNTIF(T$641:T699,1)=1,5,0)+IF(COUNTIF(U397:$Z397,"&gt;"&amp;0)&gt;5,IF(MOD(COUNTIF(T$641:T699,1),7)=0,$C$4,0),0)</f>
        <v>36.6864664218273</v>
      </c>
      <c r="U397" s="81" cm="1">
        <f ca="1" t="array" ref="U397">IF(U699=1,OFFSET($Z$338,$B397,U$335-1)/SUMPRODUCT(--($D$335:$V$335=U$335),--($D699:$V699=1)),0)+SUM(U396)+IF(COUNTIF(U$641:U699,1)=1,5,0)+IF(COUNTIF(V397:$Z397,"&gt;"&amp;0)&gt;5,IF(MOD(COUNTIF(U$641:U699,1),7)=0,$C$4,0),0)</f>
        <v>36.6864664218273</v>
      </c>
      <c r="V397" s="81" cm="1">
        <f ca="1" t="array" ref="V397">IF(V699=1,OFFSET($Z$338,$B397,V$335-1)/SUMPRODUCT(--($D$335:$V$335=V$335),--($D699:$V699=1)),0)+SUM(V396)+IF(COUNTIF(V$641:V699,1)=1,5,0)+IF(COUNTIF(Z397:$Z397,"&gt;"&amp;0)&gt;5,IF(MOD(COUNTIF(V$641:V699,1),7)=0,$C$4,0),0)</f>
        <v>28.7286472325454</v>
      </c>
      <c r="W397" s="81" cm="1">
        <f ca="1" t="array" ref="W397">IF(W699=1,OFFSET($Z$338,$B397,W$335-1)/SUMPRODUCT(--($D$335:$V$335=W$335),--($D699:$V699=1)),0)+SUM(W396)+IF(COUNTIF(W$641:W699,1)=1,5,0)+IF(COUNTIF($Z397:AA397,"&gt;"&amp;0)&gt;5,IF(MOD(COUNTIF(W$641:W699,1),7)=0,$C$4,0),0)</f>
        <v>19.3727781175961</v>
      </c>
      <c r="X397" s="81" cm="1">
        <f ca="1" t="array" ref="X397">IF(X699=1,OFFSET($Z$338,$B397,X$335-1)/SUMPRODUCT(--($D$335:$V$335=X$335),--($D699:$V699=1)),0)+SUM(X396)+IF(COUNTIF(X$641:X699,1)=1,5,0)+IF(COUNTIF($Z397:AB397,"&gt;"&amp;0)&gt;5,IF(MOD(COUNTIF(X$641:X699,1),7)=0,$C$4,0),0)</f>
        <v>12.6091178269626</v>
      </c>
      <c r="Y397" s="81" cm="1">
        <f ca="1" t="array" ref="Y397">IF(Y699=1,OFFSET($Z$338,$B397,Y$335-1)/SUMPRODUCT(--($D$335:$V$335=Y$335),--($D699:$V699=1)),0)+SUM(Y396)+IF(COUNTIF(Y$641:Y699,1)=1,5,0)+IF(COUNTIF($Z397:AC397,"&gt;"&amp;0)&gt;5,IF(MOD(COUNTIF(Y$641:Y699,1),7)=0,$C$4,0),0)</f>
        <v>5.84545753632918</v>
      </c>
      <c r="Z397" s="82" cm="1">
        <f ca="1" t="array" ref="Z397">SUMPRODUCT(TRANSPOSE($AD397:$AJ397),OFFSET($L$10:$L$16,0,Z$335-1))</f>
        <v>23.8636273910124</v>
      </c>
      <c r="AA397" s="82" cm="1">
        <f ca="1" t="array" ref="AA397">SUMPRODUCT(TRANSPOSE($AD397:$AJ397),OFFSET($L$10:$L$16,0,AA$335-1))</f>
        <v>19.8</v>
      </c>
      <c r="AB397" s="82" cm="1">
        <f ca="1" t="array" ref="AB397">SUMPRODUCT(TRANSPOSE($AD397:$AJ397),OFFSET($L$10:$L$16,0,AB$335-1))</f>
        <v>8.8</v>
      </c>
      <c r="AC397" s="82" cm="1">
        <f ca="1" t="array" ref="AC397">SUMPRODUCT(TRANSPOSE($AD397:$AJ397),OFFSET($L$10:$L$16,0,AC$335-1))</f>
        <v>2.53637260898755</v>
      </c>
      <c r="AD397" s="83">
        <f ca="1" t="shared" ref="AD397:AJ397" si="437">AK397-AK396</f>
        <v>0</v>
      </c>
      <c r="AE397" s="83">
        <f ca="1" t="shared" si="437"/>
        <v>0</v>
      </c>
      <c r="AF397" s="83">
        <f ca="1" t="shared" si="437"/>
        <v>0</v>
      </c>
      <c r="AG397" s="83">
        <f ca="1" t="shared" si="437"/>
        <v>0</v>
      </c>
      <c r="AH397" s="83">
        <f ca="1" t="shared" si="437"/>
        <v>110</v>
      </c>
      <c r="AI397" s="83">
        <f ca="1" t="shared" si="437"/>
        <v>0</v>
      </c>
      <c r="AJ397" s="83">
        <f ca="1" t="shared" si="437"/>
        <v>0</v>
      </c>
      <c r="AK397" s="83">
        <f ca="1" t="shared" si="321"/>
        <v>450</v>
      </c>
      <c r="AL397" s="83">
        <f ca="1" t="shared" ref="AL397:AQ397" si="438">IF($C397&gt;OFFSET($Q$9,MATCH(AL$338,$AK$338:$AQ$338,0),0),OFFSET($P$9,MATCH(AL$338,$AK$338:$AQ$338,0),0),MAX(0,$C397-OFFSET($Q$9,RIGHT(AL$338,1)-1,0)))</f>
        <v>909</v>
      </c>
      <c r="AM397" s="83">
        <f ca="1" t="shared" si="438"/>
        <v>1818</v>
      </c>
      <c r="AN397" s="83">
        <f ca="1" t="shared" si="438"/>
        <v>2727</v>
      </c>
      <c r="AO397" s="83">
        <f ca="1" t="shared" si="438"/>
        <v>1912</v>
      </c>
      <c r="AP397" s="83">
        <f ca="1" t="shared" si="438"/>
        <v>0</v>
      </c>
      <c r="AQ397" s="83">
        <f ca="1" t="shared" si="438"/>
        <v>0</v>
      </c>
    </row>
    <row r="398" ht="16.5" spans="2:49">
      <c r="B398" s="65">
        <v>60</v>
      </c>
      <c r="C398" s="80">
        <f t="shared" si="319"/>
        <v>7926</v>
      </c>
      <c r="D398" s="81" cm="1">
        <f ca="1" t="array" ref="D398">IF(D700=1,OFFSET($Z$338,$B398,D$335-1)/SUMPRODUCT(--($D$335:$V$335=D$335),--($D700:$V700=1)),0)+SUM(D397)+IF(COUNTIF(D$641:D700,1)=1,5,0)+IF(COUNTIF(E398:$Z398,"&gt;"&amp;0)&gt;5,IF(MOD(COUNTIF(D$641:D700,1),7)=0,$C$4,0),0)</f>
        <v>786.825682438271</v>
      </c>
      <c r="E398" s="81" cm="1">
        <f ca="1" t="array" ref="E398">IF(E700=1,OFFSET($Z$338,$B398,E$335-1)/SUMPRODUCT(--($D$335:$V$335=E$335),--($D700:$V700=1)),0)+SUM(E397)+IF(COUNTIF(E$641:E700,1)=1,5,0)+IF(COUNTIF(F398:$Z398,"&gt;"&amp;0)&gt;5,IF(MOD(COUNTIF(E$641:E700,1),7)=0,$C$4,0),0)</f>
        <v>786.825682438271</v>
      </c>
      <c r="F398" s="81" cm="1">
        <f ca="1" t="array" ref="F398">IF(F700=1,OFFSET($Z$338,$B398,F$335-1)/SUMPRODUCT(--($D$335:$V$335=F$335),--($D700:$V700=1)),0)+SUM(F397)+IF(COUNTIF(F$641:F700,1)=1,5,0)+IF(COUNTIF(G398:$Z398,"&gt;"&amp;0)&gt;5,IF(MOD(COUNTIF(F$641:F700,1),7)=0,$C$4,0),0)</f>
        <v>786.825682438271</v>
      </c>
      <c r="G398" s="81" cm="1">
        <f ca="1" t="array" ref="G398">IF(G700=1,OFFSET($Z$338,$B398,G$335-1)/SUMPRODUCT(--($D$335:$V$335=G$335),--($D700:$V700=1)),0)+SUM(G397)+IF(COUNTIF(G$641:G700,1)=1,5,0)+IF(COUNTIF(H398:$Z398,"&gt;"&amp;0)&gt;5,IF(MOD(COUNTIF(G$641:G700,1),7)=0,$C$4,0),0)</f>
        <v>247.596666666667</v>
      </c>
      <c r="H398" s="81" cm="1">
        <f ca="1" t="array" ref="H398">IF(H700=1,OFFSET($Z$338,$B398,H$335-1)/SUMPRODUCT(--($D$335:$V$335=H$335),--($D700:$V700=1)),0)+SUM(H397)+IF(COUNTIF(H$641:H700,1)=1,5,0)+IF(COUNTIF(I398:$Z398,"&gt;"&amp;0)&gt;5,IF(MOD(COUNTIF(H$641:H700,1),7)=0,$C$4,0),0)</f>
        <v>247.596666666667</v>
      </c>
      <c r="I398" s="81" cm="1">
        <f ca="1" t="array" ref="I398">IF(I700=1,OFFSET($Z$338,$B398,I$335-1)/SUMPRODUCT(--($D$335:$V$335=I$335),--($D700:$V700=1)),0)+SUM(I397)+IF(COUNTIF(I$641:I700,1)=1,5,0)+IF(COUNTIF(J398:$Z398,"&gt;"&amp;0)&gt;5,IF(MOD(COUNTIF(I$641:I700,1),7)=0,$C$4,0),0)</f>
        <v>247.596666666667</v>
      </c>
      <c r="J398" s="81" cm="1">
        <f ca="1" t="array" ref="J398">IF(J700=1,OFFSET($Z$338,$B398,J$335-1)/SUMPRODUCT(--($D$335:$V$335=J$335),--($D700:$V700=1)),0)+SUM(J397)+IF(COUNTIF(J$641:J700,1)=1,5,0)+IF(COUNTIF(K398:$Z398,"&gt;"&amp;0)&gt;5,IF(MOD(COUNTIF(J$641:J700,1),7)=0,$C$4,0),0)</f>
        <v>247.596666666667</v>
      </c>
      <c r="K398" s="81" cm="1">
        <f ca="1" t="array" ref="K398">IF(K700=1,OFFSET($Z$338,$B398,K$335-1)/SUMPRODUCT(--($D$335:$V$335=K$335),--($D700:$V700=1)),0)+SUM(K397)+IF(COUNTIF(K$641:K700,1)=1,5,0)+IF(COUNTIF(L398:$Z398,"&gt;"&amp;0)&gt;5,IF(MOD(COUNTIF(K$641:K700,1),7)=0,$C$4,0),0)</f>
        <v>247.596666666667</v>
      </c>
      <c r="L398" s="81" cm="1">
        <f ca="1" t="array" ref="L398">IF(L700=1,OFFSET($Z$338,$B398,L$335-1)/SUMPRODUCT(--($D$335:$V$335=L$335),--($D700:$V700=1)),0)+SUM(L397)+IF(COUNTIF(L$641:L700,1)=1,5,0)+IF(COUNTIF(M398:$Z398,"&gt;"&amp;0)&gt;5,IF(MOD(COUNTIF(L$641:L700,1),7)=0,$C$4,0),0)</f>
        <v>240.896666666667</v>
      </c>
      <c r="M398" s="81" cm="1">
        <f ca="1" t="array" ref="M398">IF(M700=1,OFFSET($Z$338,$B398,M$335-1)/SUMPRODUCT(--($D$335:$V$335=M$335),--($D700:$V700=1)),0)+SUM(M397)+IF(COUNTIF(M$641:M700,1)=1,5,0)+IF(COUNTIF(N398:$Z398,"&gt;"&amp;0)&gt;5,IF(MOD(COUNTIF(M$641:M700,1),7)=0,$C$4,0),0)</f>
        <v>112.269821428571</v>
      </c>
      <c r="N398" s="81" cm="1">
        <f ca="1" t="array" ref="N398">IF(N700=1,OFFSET($Z$338,$B398,N$335-1)/SUMPRODUCT(--($D$335:$V$335=N$335),--($D700:$V700=1)),0)+SUM(N397)+IF(COUNTIF(N$641:N700,1)=1,5,0)+IF(COUNTIF(O398:$Z398,"&gt;"&amp;0)&gt;5,IF(MOD(COUNTIF(N$641:N700,1),7)=0,$C$4,0),0)</f>
        <v>104.544821428571</v>
      </c>
      <c r="O398" s="81" cm="1">
        <f ca="1" t="array" ref="O398">IF(O700=1,OFFSET($Z$338,$B398,O$335-1)/SUMPRODUCT(--($D$335:$V$335=O$335),--($D700:$V700=1)),0)+SUM(O397)+IF(COUNTIF(O$641:O700,1)=1,5,0)+IF(COUNTIF(P398:$Z398,"&gt;"&amp;0)&gt;5,IF(MOD(COUNTIF(O$641:O700,1),7)=0,$C$4,0),0)</f>
        <v>102.119821428571</v>
      </c>
      <c r="P398" s="81" cm="1">
        <f ca="1" t="array" ref="P398">IF(P700=1,OFFSET($Z$338,$B398,P$335-1)/SUMPRODUCT(--($D$335:$V$335=P$335),--($D700:$V700=1)),0)+SUM(P397)+IF(COUNTIF(P$641:P700,1)=1,5,0)+IF(COUNTIF(Q398:$Z398,"&gt;"&amp;0)&gt;5,IF(MOD(COUNTIF(P$641:P700,1),7)=0,$C$4,0),0)</f>
        <v>94.186488095238</v>
      </c>
      <c r="Q398" s="81" cm="1">
        <f ca="1" t="array" ref="Q398">IF(Q700=1,OFFSET($Z$338,$B398,Q$335-1)/SUMPRODUCT(--($D$335:$V$335=Q$335),--($D700:$V700=1)),0)+SUM(Q397)+IF(COUNTIF(Q$641:Q700,1)=1,5,0)+IF(COUNTIF(R398:$Z398,"&gt;"&amp;0)&gt;5,IF(MOD(COUNTIF(Q$641:Q700,1),7)=0,$C$4,0),0)</f>
        <v>93.280238095238</v>
      </c>
      <c r="R398" s="81" cm="1">
        <f ca="1" t="array" ref="R398">IF(R700=1,OFFSET($Z$338,$B398,R$335-1)/SUMPRODUCT(--($D$335:$V$335=R$335),--($D700:$V700=1)),0)+SUM(R397)+IF(COUNTIF(R$641:R700,1)=1,5,0)+IF(COUNTIF(S398:$Z398,"&gt;"&amp;0)&gt;5,IF(MOD(COUNTIF(R$641:R700,1),7)=0,$C$4,0),0)</f>
        <v>68.3852380952381</v>
      </c>
      <c r="S398" s="81" cm="1">
        <f ca="1" t="array" ref="S398">IF(S700=1,OFFSET($Z$338,$B398,S$335-1)/SUMPRODUCT(--($D$335:$V$335=S$335),--($D700:$V700=1)),0)+SUM(S397)+IF(COUNTIF(S$641:S700,1)=1,5,0)+IF(COUNTIF(T398:$Z398,"&gt;"&amp;0)&gt;5,IF(MOD(COUNTIF(S$641:S700,1),7)=0,$C$4,0),0)</f>
        <v>59.2185714285715</v>
      </c>
      <c r="T398" s="81" cm="1">
        <f ca="1" t="array" ref="T398">IF(T700=1,OFFSET($Z$338,$B398,T$335-1)/SUMPRODUCT(--($D$335:$V$335=T$335),--($D700:$V700=1)),0)+SUM(T397)+IF(COUNTIF(T$641:T700,1)=1,5,0)+IF(COUNTIF(U398:$Z398,"&gt;"&amp;0)&gt;5,IF(MOD(COUNTIF(T$641:T700,1),7)=0,$C$4,0),0)</f>
        <v>37.5319239581565</v>
      </c>
      <c r="U398" s="81" cm="1">
        <f ca="1" t="array" ref="U398">IF(U700=1,OFFSET($Z$338,$B398,U$335-1)/SUMPRODUCT(--($D$335:$V$335=U$335),--($D700:$V700=1)),0)+SUM(U397)+IF(COUNTIF(U$641:U700,1)=1,5,0)+IF(COUNTIF(V398:$Z398,"&gt;"&amp;0)&gt;5,IF(MOD(COUNTIF(U$641:U700,1),7)=0,$C$4,0),0)</f>
        <v>37.5319239581565</v>
      </c>
      <c r="V398" s="81" cm="1">
        <f ca="1" t="array" ref="V398">IF(V700=1,OFFSET($Z$338,$B398,V$335-1)/SUMPRODUCT(--($D$335:$V$335=V$335),--($D700:$V700=1)),0)+SUM(V397)+IF(COUNTIF(V$641:V700,1)=1,5,0)+IF(COUNTIF(Z398:$Z398,"&gt;"&amp;0)&gt;5,IF(MOD(COUNTIF(V$641:V700,1),7)=0,$C$4,0),0)</f>
        <v>29.5741047688745</v>
      </c>
      <c r="W398" s="81" cm="1">
        <f ca="1" t="array" ref="W398">IF(W700=1,OFFSET($Z$338,$B398,W$335-1)/SUMPRODUCT(--($D$335:$V$335=W$335),--($D700:$V700=1)),0)+SUM(W397)+IF(COUNTIF(W$641:W700,1)=1,5,0)+IF(COUNTIF($Z398:AA398,"&gt;"&amp;0)&gt;5,IF(MOD(COUNTIF(W$641:W700,1),7)=0,$C$4,0),0)</f>
        <v>20.2182356539253</v>
      </c>
      <c r="X398" s="81" cm="1">
        <f ca="1" t="array" ref="X398">IF(X700=1,OFFSET($Z$338,$B398,X$335-1)/SUMPRODUCT(--($D$335:$V$335=X$335),--($D700:$V700=1)),0)+SUM(X397)+IF(COUNTIF(X$641:X700,1)=1,5,0)+IF(COUNTIF($Z398:AB398,"&gt;"&amp;0)&gt;5,IF(MOD(COUNTIF(X$641:X700,1),7)=0,$C$4,0),0)</f>
        <v>13.4545753632918</v>
      </c>
      <c r="Y398" s="81" cm="1">
        <f ca="1" t="array" ref="Y398">IF(Y700=1,OFFSET($Z$338,$B398,Y$335-1)/SUMPRODUCT(--($D$335:$V$335=Y$335),--($D700:$V700=1)),0)+SUM(Y397)+IF(COUNTIF(Y$641:Y700,1)=1,5,0)+IF(COUNTIF($Z398:AC398,"&gt;"&amp;0)&gt;5,IF(MOD(COUNTIF(Y$641:Y700,1),7)=0,$C$4,0),0)</f>
        <v>6.69091507265837</v>
      </c>
      <c r="Z398" s="82" cm="1">
        <f ca="1" t="array" ref="Z398">SUMPRODUCT(TRANSPOSE($AD398:$AJ398),OFFSET($L$10:$L$16,0,Z$335-1))</f>
        <v>23.8636273910124</v>
      </c>
      <c r="AA398" s="82" cm="1">
        <f ca="1" t="array" ref="AA398">SUMPRODUCT(TRANSPOSE($AD398:$AJ398),OFFSET($L$10:$L$16,0,AA$335-1))</f>
        <v>19.8</v>
      </c>
      <c r="AB398" s="82" cm="1">
        <f ca="1" t="array" ref="AB398">SUMPRODUCT(TRANSPOSE($AD398:$AJ398),OFFSET($L$10:$L$16,0,AB$335-1))</f>
        <v>8.8</v>
      </c>
      <c r="AC398" s="82" cm="1">
        <f ca="1" t="array" ref="AC398">SUMPRODUCT(TRANSPOSE($AD398:$AJ398),OFFSET($L$10:$L$16,0,AC$335-1))</f>
        <v>2.53637260898755</v>
      </c>
      <c r="AD398" s="83">
        <f ca="1" t="shared" ref="AD398:AJ398" si="439">AK398-AK397</f>
        <v>0</v>
      </c>
      <c r="AE398" s="83">
        <f ca="1" t="shared" si="439"/>
        <v>0</v>
      </c>
      <c r="AF398" s="83">
        <f ca="1" t="shared" si="439"/>
        <v>0</v>
      </c>
      <c r="AG398" s="83">
        <f ca="1" t="shared" si="439"/>
        <v>0</v>
      </c>
      <c r="AH398" s="83">
        <f ca="1" t="shared" si="439"/>
        <v>110</v>
      </c>
      <c r="AI398" s="83">
        <f ca="1" t="shared" si="439"/>
        <v>0</v>
      </c>
      <c r="AJ398" s="83">
        <f ca="1" t="shared" si="439"/>
        <v>0</v>
      </c>
      <c r="AK398" s="83">
        <f ca="1" t="shared" si="321"/>
        <v>450</v>
      </c>
      <c r="AL398" s="83">
        <f ca="1" t="shared" ref="AL398:AQ398" si="440">IF($C398&gt;OFFSET($Q$9,MATCH(AL$338,$AK$338:$AQ$338,0),0),OFFSET($P$9,MATCH(AL$338,$AK$338:$AQ$338,0),0),MAX(0,$C398-OFFSET($Q$9,RIGHT(AL$338,1)-1,0)))</f>
        <v>909</v>
      </c>
      <c r="AM398" s="83">
        <f ca="1" t="shared" si="440"/>
        <v>1818</v>
      </c>
      <c r="AN398" s="83">
        <f ca="1" t="shared" si="440"/>
        <v>2727</v>
      </c>
      <c r="AO398" s="83">
        <f ca="1" t="shared" si="440"/>
        <v>2022</v>
      </c>
      <c r="AP398" s="83">
        <f ca="1" t="shared" si="440"/>
        <v>0</v>
      </c>
      <c r="AQ398" s="83">
        <f ca="1" t="shared" si="440"/>
        <v>0</v>
      </c>
    </row>
    <row r="399" ht="16.5" spans="2:49">
      <c r="B399" s="65">
        <v>61</v>
      </c>
      <c r="C399" s="80">
        <f t="shared" si="319"/>
        <v>8036</v>
      </c>
      <c r="D399" s="81" cm="1">
        <f ca="1" t="array" ref="D399">IF(D701=1,OFFSET($Z$338,$B399,D$335-1)/SUMPRODUCT(--($D$335:$V$335=D$335),--($D701:$V701=1)),0)+SUM(D398)+IF(COUNTIF(D$641:D701,1)=1,5,0)+IF(COUNTIF(E399:$Z399,"&gt;"&amp;0)&gt;5,IF(MOD(COUNTIF(D$641:D701,1),7)=0,$C$4,0),0)</f>
        <v>794.780224901942</v>
      </c>
      <c r="E399" s="81" cm="1">
        <f ca="1" t="array" ref="E399">IF(E701=1,OFFSET($Z$338,$B399,E$335-1)/SUMPRODUCT(--($D$335:$V$335=E$335),--($D701:$V701=1)),0)+SUM(E398)+IF(COUNTIF(E$641:E701,1)=1,5,0)+IF(COUNTIF(F399:$Z399,"&gt;"&amp;0)&gt;5,IF(MOD(COUNTIF(E$641:E701,1),7)=0,$C$4,0),0)</f>
        <v>794.780224901942</v>
      </c>
      <c r="F399" s="81" cm="1">
        <f ca="1" t="array" ref="F399">IF(F701=1,OFFSET($Z$338,$B399,F$335-1)/SUMPRODUCT(--($D$335:$V$335=F$335),--($D701:$V701=1)),0)+SUM(F398)+IF(COUNTIF(F$641:F701,1)=1,5,0)+IF(COUNTIF(G399:$Z399,"&gt;"&amp;0)&gt;5,IF(MOD(COUNTIF(F$641:F701,1),7)=0,$C$4,0),0)</f>
        <v>794.780224901942</v>
      </c>
      <c r="G399" s="81" cm="1">
        <f ca="1" t="array" ref="G399">IF(G701=1,OFFSET($Z$338,$B399,G$335-1)/SUMPRODUCT(--($D$335:$V$335=G$335),--($D701:$V701=1)),0)+SUM(G398)+IF(COUNTIF(G$641:G701,1)=1,5,0)+IF(COUNTIF(H399:$Z399,"&gt;"&amp;0)&gt;5,IF(MOD(COUNTIF(G$641:G701,1),7)=0,$C$4,0),0)</f>
        <v>250.896666666667</v>
      </c>
      <c r="H399" s="81" cm="1">
        <f ca="1" t="array" ref="H399">IF(H701=1,OFFSET($Z$338,$B399,H$335-1)/SUMPRODUCT(--($D$335:$V$335=H$335),--($D701:$V701=1)),0)+SUM(H398)+IF(COUNTIF(H$641:H701,1)=1,5,0)+IF(COUNTIF(I399:$Z399,"&gt;"&amp;0)&gt;5,IF(MOD(COUNTIF(H$641:H701,1),7)=0,$C$4,0),0)</f>
        <v>250.896666666667</v>
      </c>
      <c r="I399" s="81" cm="1">
        <f ca="1" t="array" ref="I399">IF(I701=1,OFFSET($Z$338,$B399,I$335-1)/SUMPRODUCT(--($D$335:$V$335=I$335),--($D701:$V701=1)),0)+SUM(I398)+IF(COUNTIF(I$641:I701,1)=1,5,0)+IF(COUNTIF(J399:$Z399,"&gt;"&amp;0)&gt;5,IF(MOD(COUNTIF(I$641:I701,1),7)=0,$C$4,0),0)</f>
        <v>250.896666666667</v>
      </c>
      <c r="J399" s="81" cm="1">
        <f ca="1" t="array" ref="J399">IF(J701=1,OFFSET($Z$338,$B399,J$335-1)/SUMPRODUCT(--($D$335:$V$335=J$335),--($D701:$V701=1)),0)+SUM(J398)+IF(COUNTIF(J$641:J701,1)=1,5,0)+IF(COUNTIF(K399:$Z399,"&gt;"&amp;0)&gt;5,IF(MOD(COUNTIF(J$641:J701,1),7)=0,$C$4,0),0)</f>
        <v>250.896666666667</v>
      </c>
      <c r="K399" s="81" cm="1">
        <f ca="1" t="array" ref="K399">IF(K701=1,OFFSET($Z$338,$B399,K$335-1)/SUMPRODUCT(--($D$335:$V$335=K$335),--($D701:$V701=1)),0)+SUM(K398)+IF(COUNTIF(K$641:K701,1)=1,5,0)+IF(COUNTIF(L399:$Z399,"&gt;"&amp;0)&gt;5,IF(MOD(COUNTIF(K$641:K701,1),7)=0,$C$4,0),0)</f>
        <v>250.896666666667</v>
      </c>
      <c r="L399" s="81" cm="1">
        <f ca="1" t="array" ref="L399">IF(L701=1,OFFSET($Z$338,$B399,L$335-1)/SUMPRODUCT(--($D$335:$V$335=L$335),--($D701:$V701=1)),0)+SUM(L398)+IF(COUNTIF(L$641:L701,1)=1,5,0)+IF(COUNTIF(M399:$Z399,"&gt;"&amp;0)&gt;5,IF(MOD(COUNTIF(L$641:L701,1),7)=0,$C$4,0),0)</f>
        <v>244.196666666667</v>
      </c>
      <c r="M399" s="81" cm="1">
        <f ca="1" t="array" ref="M399">IF(M701=1,OFFSET($Z$338,$B399,M$335-1)/SUMPRODUCT(--($D$335:$V$335=M$335),--($D701:$V701=1)),0)+SUM(M398)+IF(COUNTIF(M$641:M701,1)=1,5,0)+IF(COUNTIF(N399:$Z399,"&gt;"&amp;0)&gt;5,IF(MOD(COUNTIF(M$641:M701,1),7)=0,$C$4,0),0)</f>
        <v>113.526964285714</v>
      </c>
      <c r="N399" s="81" cm="1">
        <f ca="1" t="array" ref="N399">IF(N701=1,OFFSET($Z$338,$B399,N$335-1)/SUMPRODUCT(--($D$335:$V$335=N$335),--($D701:$V701=1)),0)+SUM(N398)+IF(COUNTIF(N$641:N701,1)=1,5,0)+IF(COUNTIF(O399:$Z399,"&gt;"&amp;0)&gt;5,IF(MOD(COUNTIF(N$641:N701,1),7)=0,$C$4,0),0)</f>
        <v>105.801964285714</v>
      </c>
      <c r="O399" s="81" cm="1">
        <f ca="1" t="array" ref="O399">IF(O701=1,OFFSET($Z$338,$B399,O$335-1)/SUMPRODUCT(--($D$335:$V$335=O$335),--($D701:$V701=1)),0)+SUM(O398)+IF(COUNTIF(O$641:O701,1)=1,5,0)+IF(COUNTIF(P399:$Z399,"&gt;"&amp;0)&gt;5,IF(MOD(COUNTIF(O$641:O701,1),7)=0,$C$4,0),0)</f>
        <v>103.376964285714</v>
      </c>
      <c r="P399" s="81" cm="1">
        <f ca="1" t="array" ref="P399">IF(P701=1,OFFSET($Z$338,$B399,P$335-1)/SUMPRODUCT(--($D$335:$V$335=P$335),--($D701:$V701=1)),0)+SUM(P398)+IF(COUNTIF(P$641:P701,1)=1,5,0)+IF(COUNTIF(Q399:$Z399,"&gt;"&amp;0)&gt;5,IF(MOD(COUNTIF(P$641:P701,1),7)=0,$C$4,0),0)</f>
        <v>100.443630952381</v>
      </c>
      <c r="Q399" s="81" cm="1">
        <f ca="1" t="array" ref="Q399">IF(Q701=1,OFFSET($Z$338,$B399,Q$335-1)/SUMPRODUCT(--($D$335:$V$335=Q$335),--($D701:$V701=1)),0)+SUM(Q398)+IF(COUNTIF(Q$641:Q701,1)=1,5,0)+IF(COUNTIF(R399:$Z399,"&gt;"&amp;0)&gt;5,IF(MOD(COUNTIF(Q$641:Q701,1),7)=0,$C$4,0),0)</f>
        <v>94.5373809523809</v>
      </c>
      <c r="R399" s="81" cm="1">
        <f ca="1" t="array" ref="R399">IF(R701=1,OFFSET($Z$338,$B399,R$335-1)/SUMPRODUCT(--($D$335:$V$335=R$335),--($D701:$V701=1)),0)+SUM(R398)+IF(COUNTIF(R$641:R701,1)=1,5,0)+IF(COUNTIF(S399:$Z399,"&gt;"&amp;0)&gt;5,IF(MOD(COUNTIF(R$641:R701,1),7)=0,$C$4,0),0)</f>
        <v>69.642380952381</v>
      </c>
      <c r="S399" s="81" cm="1">
        <f ca="1" t="array" ref="S399">IF(S701=1,OFFSET($Z$338,$B399,S$335-1)/SUMPRODUCT(--($D$335:$V$335=S$335),--($D701:$V701=1)),0)+SUM(S398)+IF(COUNTIF(S$641:S701,1)=1,5,0)+IF(COUNTIF(T399:$Z399,"&gt;"&amp;0)&gt;5,IF(MOD(COUNTIF(S$641:S701,1),7)=0,$C$4,0),0)</f>
        <v>65.4757142857143</v>
      </c>
      <c r="T399" s="81" cm="1">
        <f ca="1" t="array" ref="T399">IF(T701=1,OFFSET($Z$338,$B399,T$335-1)/SUMPRODUCT(--($D$335:$V$335=T$335),--($D701:$V701=1)),0)+SUM(T398)+IF(COUNTIF(T$641:T701,1)=1,5,0)+IF(COUNTIF(U399:$Z399,"&gt;"&amp;0)&gt;5,IF(MOD(COUNTIF(T$641:T701,1),7)=0,$C$4,0),0)</f>
        <v>38.3773814944857</v>
      </c>
      <c r="U399" s="81" cm="1">
        <f ca="1" t="array" ref="U399">IF(U701=1,OFFSET($Z$338,$B399,U$335-1)/SUMPRODUCT(--($D$335:$V$335=U$335),--($D701:$V701=1)),0)+SUM(U398)+IF(COUNTIF(U$641:U701,1)=1,5,0)+IF(COUNTIF(V399:$Z399,"&gt;"&amp;0)&gt;5,IF(MOD(COUNTIF(U$641:U701,1),7)=0,$C$4,0),0)</f>
        <v>38.3773814944857</v>
      </c>
      <c r="V399" s="81" cm="1">
        <f ca="1" t="array" ref="V399">IF(V701=1,OFFSET($Z$338,$B399,V$335-1)/SUMPRODUCT(--($D$335:$V$335=V$335),--($D701:$V701=1)),0)+SUM(V398)+IF(COUNTIF(V$641:V701,1)=1,5,0)+IF(COUNTIF(Z399:$Z399,"&gt;"&amp;0)&gt;5,IF(MOD(COUNTIF(V$641:V701,1),7)=0,$C$4,0),0)</f>
        <v>30.4195623052037</v>
      </c>
      <c r="W399" s="81" cm="1">
        <f ca="1" t="array" ref="W399">IF(W701=1,OFFSET($Z$338,$B399,W$335-1)/SUMPRODUCT(--($D$335:$V$335=W$335),--($D701:$V701=1)),0)+SUM(W398)+IF(COUNTIF(W$641:W701,1)=1,5,0)+IF(COUNTIF($Z399:AA399,"&gt;"&amp;0)&gt;5,IF(MOD(COUNTIF(W$641:W701,1),7)=0,$C$4,0),0)</f>
        <v>21.0636931902545</v>
      </c>
      <c r="X399" s="81" cm="1">
        <f ca="1" t="array" ref="X399">IF(X701=1,OFFSET($Z$338,$B399,X$335-1)/SUMPRODUCT(--($D$335:$V$335=X$335),--($D701:$V701=1)),0)+SUM(X398)+IF(COUNTIF(X$641:X701,1)=1,5,0)+IF(COUNTIF($Z399:AB399,"&gt;"&amp;0)&gt;5,IF(MOD(COUNTIF(X$641:X701,1),7)=0,$C$4,0),0)</f>
        <v>14.300032899621</v>
      </c>
      <c r="Y399" s="81" cm="1">
        <f ca="1" t="array" ref="Y399">IF(Y701=1,OFFSET($Z$338,$B399,Y$335-1)/SUMPRODUCT(--($D$335:$V$335=Y$335),--($D701:$V701=1)),0)+SUM(Y398)+IF(COUNTIF(Y$641:Y701,1)=1,5,0)+IF(COUNTIF($Z399:AC399,"&gt;"&amp;0)&gt;5,IF(MOD(COUNTIF(Y$641:Y701,1),7)=0,$C$4,0),0)</f>
        <v>7.53637260898755</v>
      </c>
      <c r="Z399" s="82" cm="1">
        <f ca="1" t="array" ref="Z399">SUMPRODUCT(TRANSPOSE($AD399:$AJ399),OFFSET($L$10:$L$16,0,Z$335-1))</f>
        <v>23.8636273910124</v>
      </c>
      <c r="AA399" s="82" cm="1">
        <f ca="1" t="array" ref="AA399">SUMPRODUCT(TRANSPOSE($AD399:$AJ399),OFFSET($L$10:$L$16,0,AA$335-1))</f>
        <v>19.8</v>
      </c>
      <c r="AB399" s="82" cm="1">
        <f ca="1" t="array" ref="AB399">SUMPRODUCT(TRANSPOSE($AD399:$AJ399),OFFSET($L$10:$L$16,0,AB$335-1))</f>
        <v>8.8</v>
      </c>
      <c r="AC399" s="82" cm="1">
        <f ca="1" t="array" ref="AC399">SUMPRODUCT(TRANSPOSE($AD399:$AJ399),OFFSET($L$10:$L$16,0,AC$335-1))</f>
        <v>2.53637260898755</v>
      </c>
      <c r="AD399" s="83">
        <f ca="1" t="shared" ref="AD399:AJ399" si="441">AK399-AK398</f>
        <v>0</v>
      </c>
      <c r="AE399" s="83">
        <f ca="1" t="shared" si="441"/>
        <v>0</v>
      </c>
      <c r="AF399" s="83">
        <f ca="1" t="shared" si="441"/>
        <v>0</v>
      </c>
      <c r="AG399" s="83">
        <f ca="1" t="shared" si="441"/>
        <v>0</v>
      </c>
      <c r="AH399" s="83">
        <f ca="1" t="shared" si="441"/>
        <v>110</v>
      </c>
      <c r="AI399" s="83">
        <f ca="1" t="shared" si="441"/>
        <v>0</v>
      </c>
      <c r="AJ399" s="83">
        <f ca="1" t="shared" si="441"/>
        <v>0</v>
      </c>
      <c r="AK399" s="83">
        <f ca="1" t="shared" si="321"/>
        <v>450</v>
      </c>
      <c r="AL399" s="83">
        <f ca="1" t="shared" ref="AL399:AQ399" si="442">IF($C399&gt;OFFSET($Q$9,MATCH(AL$338,$AK$338:$AQ$338,0),0),OFFSET($P$9,MATCH(AL$338,$AK$338:$AQ$338,0),0),MAX(0,$C399-OFFSET($Q$9,RIGHT(AL$338,1)-1,0)))</f>
        <v>909</v>
      </c>
      <c r="AM399" s="83">
        <f ca="1" t="shared" si="442"/>
        <v>1818</v>
      </c>
      <c r="AN399" s="83">
        <f ca="1" t="shared" si="442"/>
        <v>2727</v>
      </c>
      <c r="AO399" s="83">
        <f ca="1" t="shared" si="442"/>
        <v>2132</v>
      </c>
      <c r="AP399" s="83">
        <f ca="1" t="shared" si="442"/>
        <v>0</v>
      </c>
      <c r="AQ399" s="83">
        <f ca="1" t="shared" si="442"/>
        <v>0</v>
      </c>
    </row>
    <row r="400" ht="16.5" spans="2:49">
      <c r="B400" s="65">
        <v>62</v>
      </c>
      <c r="C400" s="80">
        <f t="shared" si="319"/>
        <v>8146</v>
      </c>
      <c r="D400" s="81" cm="1">
        <f ca="1" t="array" ref="D400">IF(D702=1,OFFSET($Z$338,$B400,D$335-1)/SUMPRODUCT(--($D$335:$V$335=D$335),--($D702:$V702=1)),0)+SUM(D399)+IF(COUNTIF(D$641:D702,1)=1,5,0)+IF(COUNTIF(E400:$Z400,"&gt;"&amp;0)&gt;5,IF(MOD(COUNTIF(D$641:D702,1),7)=0,$C$4,0),0)</f>
        <v>802.734767365612</v>
      </c>
      <c r="E400" s="81" cm="1">
        <f ca="1" t="array" ref="E400">IF(E702=1,OFFSET($Z$338,$B400,E$335-1)/SUMPRODUCT(--($D$335:$V$335=E$335),--($D702:$V702=1)),0)+SUM(E399)+IF(COUNTIF(E$641:E702,1)=1,5,0)+IF(COUNTIF(F400:$Z400,"&gt;"&amp;0)&gt;5,IF(MOD(COUNTIF(E$641:E702,1),7)=0,$C$4,0),0)</f>
        <v>802.734767365612</v>
      </c>
      <c r="F400" s="81" cm="1">
        <f ca="1" t="array" ref="F400">IF(F702=1,OFFSET($Z$338,$B400,F$335-1)/SUMPRODUCT(--($D$335:$V$335=F$335),--($D702:$V702=1)),0)+SUM(F399)+IF(COUNTIF(F$641:F702,1)=1,5,0)+IF(COUNTIF(G400:$Z400,"&gt;"&amp;0)&gt;5,IF(MOD(COUNTIF(F$641:F702,1),7)=0,$C$4,0),0)</f>
        <v>802.734767365612</v>
      </c>
      <c r="G400" s="81" cm="1">
        <f ca="1" t="array" ref="G400">IF(G702=1,OFFSET($Z$338,$B400,G$335-1)/SUMPRODUCT(--($D$335:$V$335=G$335),--($D702:$V702=1)),0)+SUM(G399)+IF(COUNTIF(G$641:G702,1)=1,5,0)+IF(COUNTIF(H400:$Z400,"&gt;"&amp;0)&gt;5,IF(MOD(COUNTIF(G$641:G702,1),7)=0,$C$4,0),0)</f>
        <v>254.196666666667</v>
      </c>
      <c r="H400" s="81" cm="1">
        <f ca="1" t="array" ref="H400">IF(H702=1,OFFSET($Z$338,$B400,H$335-1)/SUMPRODUCT(--($D$335:$V$335=H$335),--($D702:$V702=1)),0)+SUM(H399)+IF(COUNTIF(H$641:H702,1)=1,5,0)+IF(COUNTIF(I400:$Z400,"&gt;"&amp;0)&gt;5,IF(MOD(COUNTIF(H$641:H702,1),7)=0,$C$4,0),0)</f>
        <v>254.196666666667</v>
      </c>
      <c r="I400" s="81" cm="1">
        <f ca="1" t="array" ref="I400">IF(I702=1,OFFSET($Z$338,$B400,I$335-1)/SUMPRODUCT(--($D$335:$V$335=I$335),--($D702:$V702=1)),0)+SUM(I399)+IF(COUNTIF(I$641:I702,1)=1,5,0)+IF(COUNTIF(J400:$Z400,"&gt;"&amp;0)&gt;5,IF(MOD(COUNTIF(I$641:I702,1),7)=0,$C$4,0),0)</f>
        <v>254.196666666667</v>
      </c>
      <c r="J400" s="81" cm="1">
        <f ca="1" t="array" ref="J400">IF(J702=1,OFFSET($Z$338,$B400,J$335-1)/SUMPRODUCT(--($D$335:$V$335=J$335),--($D702:$V702=1)),0)+SUM(J399)+IF(COUNTIF(J$641:J702,1)=1,5,0)+IF(COUNTIF(K400:$Z400,"&gt;"&amp;0)&gt;5,IF(MOD(COUNTIF(J$641:J702,1),7)=0,$C$4,0),0)</f>
        <v>254.196666666667</v>
      </c>
      <c r="K400" s="81" cm="1">
        <f ca="1" t="array" ref="K400">IF(K702=1,OFFSET($Z$338,$B400,K$335-1)/SUMPRODUCT(--($D$335:$V$335=K$335),--($D702:$V702=1)),0)+SUM(K399)+IF(COUNTIF(K$641:K702,1)=1,5,0)+IF(COUNTIF(L400:$Z400,"&gt;"&amp;0)&gt;5,IF(MOD(COUNTIF(K$641:K702,1),7)=0,$C$4,0),0)</f>
        <v>254.196666666667</v>
      </c>
      <c r="L400" s="81" cm="1">
        <f ca="1" t="array" ref="L400">IF(L702=1,OFFSET($Z$338,$B400,L$335-1)/SUMPRODUCT(--($D$335:$V$335=L$335),--($D702:$V702=1)),0)+SUM(L399)+IF(COUNTIF(L$641:L702,1)=1,5,0)+IF(COUNTIF(M400:$Z400,"&gt;"&amp;0)&gt;5,IF(MOD(COUNTIF(L$641:L702,1),7)=0,$C$4,0),0)</f>
        <v>247.496666666667</v>
      </c>
      <c r="M400" s="81" cm="1">
        <f ca="1" t="array" ref="M400">IF(M702=1,OFFSET($Z$338,$B400,M$335-1)/SUMPRODUCT(--($D$335:$V$335=M$335),--($D702:$V702=1)),0)+SUM(M399)+IF(COUNTIF(M$641:M702,1)=1,5,0)+IF(COUNTIF(N400:$Z400,"&gt;"&amp;0)&gt;5,IF(MOD(COUNTIF(M$641:M702,1),7)=0,$C$4,0),0)</f>
        <v>114.784107142857</v>
      </c>
      <c r="N400" s="81" cm="1">
        <f ca="1" t="array" ref="N400">IF(N702=1,OFFSET($Z$338,$B400,N$335-1)/SUMPRODUCT(--($D$335:$V$335=N$335),--($D702:$V702=1)),0)+SUM(N399)+IF(COUNTIF(N$641:N702,1)=1,5,0)+IF(COUNTIF(O400:$Z400,"&gt;"&amp;0)&gt;5,IF(MOD(COUNTIF(N$641:N702,1),7)=0,$C$4,0),0)</f>
        <v>107.059107142857</v>
      </c>
      <c r="O400" s="81" cm="1">
        <f ca="1" t="array" ref="O400">IF(O702=1,OFFSET($Z$338,$B400,O$335-1)/SUMPRODUCT(--($D$335:$V$335=O$335),--($D702:$V702=1)),0)+SUM(O399)+IF(COUNTIF(O$641:O702,1)=1,5,0)+IF(COUNTIF(P400:$Z400,"&gt;"&amp;0)&gt;5,IF(MOD(COUNTIF(O$641:O702,1),7)=0,$C$4,0),0)</f>
        <v>104.634107142857</v>
      </c>
      <c r="P400" s="81" cm="1">
        <f ca="1" t="array" ref="P400">IF(P702=1,OFFSET($Z$338,$B400,P$335-1)/SUMPRODUCT(--($D$335:$V$335=P$335),--($D702:$V702=1)),0)+SUM(P399)+IF(COUNTIF(P$641:P702,1)=1,5,0)+IF(COUNTIF(Q400:$Z400,"&gt;"&amp;0)&gt;5,IF(MOD(COUNTIF(P$641:P702,1),7)=0,$C$4,0),0)</f>
        <v>101.700773809524</v>
      </c>
      <c r="Q400" s="81" cm="1">
        <f ca="1" t="array" ref="Q400">IF(Q702=1,OFFSET($Z$338,$B400,Q$335-1)/SUMPRODUCT(--($D$335:$V$335=Q$335),--($D702:$V702=1)),0)+SUM(Q399)+IF(COUNTIF(Q$641:Q702,1)=1,5,0)+IF(COUNTIF(R400:$Z400,"&gt;"&amp;0)&gt;5,IF(MOD(COUNTIF(Q$641:Q702,1),7)=0,$C$4,0),0)</f>
        <v>100.794523809524</v>
      </c>
      <c r="R400" s="81" cm="1">
        <f ca="1" t="array" ref="R400">IF(R702=1,OFFSET($Z$338,$B400,R$335-1)/SUMPRODUCT(--($D$335:$V$335=R$335),--($D702:$V702=1)),0)+SUM(R399)+IF(COUNTIF(R$641:R702,1)=1,5,0)+IF(COUNTIF(S400:$Z400,"&gt;"&amp;0)&gt;5,IF(MOD(COUNTIF(R$641:R702,1),7)=0,$C$4,0),0)</f>
        <v>70.8995238095238</v>
      </c>
      <c r="S400" s="81" cm="1">
        <f ca="1" t="array" ref="S400">IF(S702=1,OFFSET($Z$338,$B400,S$335-1)/SUMPRODUCT(--($D$335:$V$335=S$335),--($D702:$V702=1)),0)+SUM(S399)+IF(COUNTIF(S$641:S702,1)=1,5,0)+IF(COUNTIF(T400:$Z400,"&gt;"&amp;0)&gt;5,IF(MOD(COUNTIF(S$641:S702,1),7)=0,$C$4,0),0)</f>
        <v>66.7328571428572</v>
      </c>
      <c r="T400" s="81" cm="1">
        <f ca="1" t="array" ref="T400">IF(T702=1,OFFSET($Z$338,$B400,T$335-1)/SUMPRODUCT(--($D$335:$V$335=T$335),--($D702:$V702=1)),0)+SUM(T399)+IF(COUNTIF(T$641:T702,1)=1,5,0)+IF(COUNTIF(U400:$Z400,"&gt;"&amp;0)&gt;5,IF(MOD(COUNTIF(T$641:T702,1),7)=0,$C$4,0),0)</f>
        <v>44.2228390308148</v>
      </c>
      <c r="U400" s="81" cm="1">
        <f ca="1" t="array" ref="U400">IF(U702=1,OFFSET($Z$338,$B400,U$335-1)/SUMPRODUCT(--($D$335:$V$335=U$335),--($D702:$V702=1)),0)+SUM(U399)+IF(COUNTIF(U$641:U702,1)=1,5,0)+IF(COUNTIF(V400:$Z400,"&gt;"&amp;0)&gt;5,IF(MOD(COUNTIF(U$641:U702,1),7)=0,$C$4,0),0)</f>
        <v>39.2228390308148</v>
      </c>
      <c r="V400" s="81" cm="1">
        <f ca="1" t="array" ref="V400">IF(V702=1,OFFSET($Z$338,$B400,V$335-1)/SUMPRODUCT(--($D$335:$V$335=V$335),--($D702:$V702=1)),0)+SUM(V399)+IF(COUNTIF(V$641:V702,1)=1,5,0)+IF(COUNTIF(Z400:$Z400,"&gt;"&amp;0)&gt;5,IF(MOD(COUNTIF(V$641:V702,1),7)=0,$C$4,0),0)</f>
        <v>31.2650198415329</v>
      </c>
      <c r="W400" s="81" cm="1">
        <f ca="1" t="array" ref="W400">IF(W702=1,OFFSET($Z$338,$B400,W$335-1)/SUMPRODUCT(--($D$335:$V$335=W$335),--($D702:$V702=1)),0)+SUM(W399)+IF(COUNTIF(W$641:W702,1)=1,5,0)+IF(COUNTIF($Z400:AA400,"&gt;"&amp;0)&gt;5,IF(MOD(COUNTIF(W$641:W702,1),7)=0,$C$4,0),0)</f>
        <v>21.9091507265836</v>
      </c>
      <c r="X400" s="81" cm="1">
        <f ca="1" t="array" ref="X400">IF(X702=1,OFFSET($Z$338,$B400,X$335-1)/SUMPRODUCT(--($D$335:$V$335=X$335),--($D702:$V702=1)),0)+SUM(X399)+IF(COUNTIF(X$641:X702,1)=1,5,0)+IF(COUNTIF($Z400:AB400,"&gt;"&amp;0)&gt;5,IF(MOD(COUNTIF(X$641:X702,1),7)=0,$C$4,0),0)</f>
        <v>15.1454904359502</v>
      </c>
      <c r="Y400" s="81" cm="1">
        <f ca="1" t="array" ref="Y400">IF(Y702=1,OFFSET($Z$338,$B400,Y$335-1)/SUMPRODUCT(--($D$335:$V$335=Y$335),--($D702:$V702=1)),0)+SUM(Y399)+IF(COUNTIF(Y$641:Y702,1)=1,5,0)+IF(COUNTIF($Z400:AC400,"&gt;"&amp;0)&gt;5,IF(MOD(COUNTIF(Y$641:Y702,1),7)=0,$C$4,0),0)</f>
        <v>8.38183014531673</v>
      </c>
      <c r="Z400" s="82" cm="1">
        <f ca="1" t="array" ref="Z400">SUMPRODUCT(TRANSPOSE($AD400:$AJ400),OFFSET($L$10:$L$16,0,Z$335-1))</f>
        <v>23.8636273910124</v>
      </c>
      <c r="AA400" s="82" cm="1">
        <f ca="1" t="array" ref="AA400">SUMPRODUCT(TRANSPOSE($AD400:$AJ400),OFFSET($L$10:$L$16,0,AA$335-1))</f>
        <v>19.8</v>
      </c>
      <c r="AB400" s="82" cm="1">
        <f ca="1" t="array" ref="AB400">SUMPRODUCT(TRANSPOSE($AD400:$AJ400),OFFSET($L$10:$L$16,0,AB$335-1))</f>
        <v>8.8</v>
      </c>
      <c r="AC400" s="82" cm="1">
        <f ca="1" t="array" ref="AC400">SUMPRODUCT(TRANSPOSE($AD400:$AJ400),OFFSET($L$10:$L$16,0,AC$335-1))</f>
        <v>2.53637260898755</v>
      </c>
      <c r="AD400" s="83">
        <f ca="1" t="shared" ref="AD400:AJ400" si="443">AK400-AK399</f>
        <v>0</v>
      </c>
      <c r="AE400" s="83">
        <f ca="1" t="shared" si="443"/>
        <v>0</v>
      </c>
      <c r="AF400" s="83">
        <f ca="1" t="shared" si="443"/>
        <v>0</v>
      </c>
      <c r="AG400" s="83">
        <f ca="1" t="shared" si="443"/>
        <v>0</v>
      </c>
      <c r="AH400" s="83">
        <f ca="1" t="shared" si="443"/>
        <v>110</v>
      </c>
      <c r="AI400" s="83">
        <f ca="1" t="shared" si="443"/>
        <v>0</v>
      </c>
      <c r="AJ400" s="83">
        <f ca="1" t="shared" si="443"/>
        <v>0</v>
      </c>
      <c r="AK400" s="83">
        <f ca="1" t="shared" si="321"/>
        <v>450</v>
      </c>
      <c r="AL400" s="83">
        <f ca="1" t="shared" ref="AL400:AQ400" si="444">IF($C400&gt;OFFSET($Q$9,MATCH(AL$338,$AK$338:$AQ$338,0),0),OFFSET($P$9,MATCH(AL$338,$AK$338:$AQ$338,0),0),MAX(0,$C400-OFFSET($Q$9,RIGHT(AL$338,1)-1,0)))</f>
        <v>909</v>
      </c>
      <c r="AM400" s="83">
        <f ca="1" t="shared" si="444"/>
        <v>1818</v>
      </c>
      <c r="AN400" s="83">
        <f ca="1" t="shared" si="444"/>
        <v>2727</v>
      </c>
      <c r="AO400" s="83">
        <f ca="1" t="shared" si="444"/>
        <v>2242</v>
      </c>
      <c r="AP400" s="83">
        <f ca="1" t="shared" si="444"/>
        <v>0</v>
      </c>
      <c r="AQ400" s="83">
        <f ca="1" t="shared" si="444"/>
        <v>0</v>
      </c>
    </row>
    <row r="401" ht="16.5" spans="2:43">
      <c r="B401" s="65">
        <v>63</v>
      </c>
      <c r="C401" s="80">
        <f t="shared" si="319"/>
        <v>8256</v>
      </c>
      <c r="D401" s="81" cm="1">
        <f ca="1" t="array" ref="D401">IF(D703=1,OFFSET($Z$338,$B401,D$335-1)/SUMPRODUCT(--($D$335:$V$335=D$335),--($D703:$V703=1)),0)+SUM(D400)+IF(COUNTIF(D$641:D703,1)=1,5,0)+IF(COUNTIF(E401:$Z401,"&gt;"&amp;0)&gt;5,IF(MOD(COUNTIF(D$641:D703,1),7)=0,$C$4,0),0)</f>
        <v>815.689309829283</v>
      </c>
      <c r="E401" s="81" cm="1">
        <f ca="1" t="array" ref="E401">IF(E703=1,OFFSET($Z$338,$B401,E$335-1)/SUMPRODUCT(--($D$335:$V$335=E$335),--($D703:$V703=1)),0)+SUM(E400)+IF(COUNTIF(E$641:E703,1)=1,5,0)+IF(COUNTIF(F401:$Z401,"&gt;"&amp;0)&gt;5,IF(MOD(COUNTIF(E$641:E703,1),7)=0,$C$4,0),0)</f>
        <v>815.689309829283</v>
      </c>
      <c r="F401" s="81" cm="1">
        <f ca="1" t="array" ref="F401">IF(F703=1,OFFSET($Z$338,$B401,F$335-1)/SUMPRODUCT(--($D$335:$V$335=F$335),--($D703:$V703=1)),0)+SUM(F400)+IF(COUNTIF(F$641:F703,1)=1,5,0)+IF(COUNTIF(G401:$Z401,"&gt;"&amp;0)&gt;5,IF(MOD(COUNTIF(F$641:F703,1),7)=0,$C$4,0),0)</f>
        <v>815.689309829283</v>
      </c>
      <c r="G401" s="81" cm="1">
        <f ca="1" t="array" ref="G401">IF(G703=1,OFFSET($Z$338,$B401,G$335-1)/SUMPRODUCT(--($D$335:$V$335=G$335),--($D703:$V703=1)),0)+SUM(G400)+IF(COUNTIF(G$641:G703,1)=1,5,0)+IF(COUNTIF(H401:$Z401,"&gt;"&amp;0)&gt;5,IF(MOD(COUNTIF(G$641:G703,1),7)=0,$C$4,0),0)</f>
        <v>262.496666666667</v>
      </c>
      <c r="H401" s="81" cm="1">
        <f ca="1" t="array" ref="H401">IF(H703=1,OFFSET($Z$338,$B401,H$335-1)/SUMPRODUCT(--($D$335:$V$335=H$335),--($D703:$V703=1)),0)+SUM(H400)+IF(COUNTIF(H$641:H703,1)=1,5,0)+IF(COUNTIF(I401:$Z401,"&gt;"&amp;0)&gt;5,IF(MOD(COUNTIF(H$641:H703,1),7)=0,$C$4,0),0)</f>
        <v>262.496666666667</v>
      </c>
      <c r="I401" s="81" cm="1">
        <f ca="1" t="array" ref="I401">IF(I703=1,OFFSET($Z$338,$B401,I$335-1)/SUMPRODUCT(--($D$335:$V$335=I$335),--($D703:$V703=1)),0)+SUM(I400)+IF(COUNTIF(I$641:I703,1)=1,5,0)+IF(COUNTIF(J401:$Z401,"&gt;"&amp;0)&gt;5,IF(MOD(COUNTIF(I$641:I703,1),7)=0,$C$4,0),0)</f>
        <v>262.496666666667</v>
      </c>
      <c r="J401" s="81" cm="1">
        <f ca="1" t="array" ref="J401">IF(J703=1,OFFSET($Z$338,$B401,J$335-1)/SUMPRODUCT(--($D$335:$V$335=J$335),--($D703:$V703=1)),0)+SUM(J400)+IF(COUNTIF(J$641:J703,1)=1,5,0)+IF(COUNTIF(K401:$Z401,"&gt;"&amp;0)&gt;5,IF(MOD(COUNTIF(J$641:J703,1),7)=0,$C$4,0),0)</f>
        <v>262.496666666667</v>
      </c>
      <c r="K401" s="81" cm="1">
        <f ca="1" t="array" ref="K401">IF(K703=1,OFFSET($Z$338,$B401,K$335-1)/SUMPRODUCT(--($D$335:$V$335=K$335),--($D703:$V703=1)),0)+SUM(K400)+IF(COUNTIF(K$641:K703,1)=1,5,0)+IF(COUNTIF(L401:$Z401,"&gt;"&amp;0)&gt;5,IF(MOD(COUNTIF(K$641:K703,1),7)=0,$C$4,0),0)</f>
        <v>262.496666666667</v>
      </c>
      <c r="L401" s="81" cm="1">
        <f ca="1" t="array" ref="L401">IF(L703=1,OFFSET($Z$338,$B401,L$335-1)/SUMPRODUCT(--($D$335:$V$335=L$335),--($D703:$V703=1)),0)+SUM(L400)+IF(COUNTIF(L$641:L703,1)=1,5,0)+IF(COUNTIF(M401:$Z401,"&gt;"&amp;0)&gt;5,IF(MOD(COUNTIF(L$641:L703,1),7)=0,$C$4,0),0)</f>
        <v>250.796666666667</v>
      </c>
      <c r="M401" s="81" cm="1">
        <f ca="1" t="array" ref="M401">IF(M703=1,OFFSET($Z$338,$B401,M$335-1)/SUMPRODUCT(--($D$335:$V$335=M$335),--($D703:$V703=1)),0)+SUM(M400)+IF(COUNTIF(M$641:M703,1)=1,5,0)+IF(COUNTIF(N401:$Z401,"&gt;"&amp;0)&gt;5,IF(MOD(COUNTIF(M$641:M703,1),7)=0,$C$4,0),0)</f>
        <v>116.04125</v>
      </c>
      <c r="N401" s="81" cm="1">
        <f ca="1" t="array" ref="N401">IF(N703=1,OFFSET($Z$338,$B401,N$335-1)/SUMPRODUCT(--($D$335:$V$335=N$335),--($D703:$V703=1)),0)+SUM(N400)+IF(COUNTIF(N$641:N703,1)=1,5,0)+IF(COUNTIF(O401:$Z401,"&gt;"&amp;0)&gt;5,IF(MOD(COUNTIF(N$641:N703,1),7)=0,$C$4,0),0)</f>
        <v>108.31625</v>
      </c>
      <c r="O401" s="81" cm="1">
        <f ca="1" t="array" ref="O401">IF(O703=1,OFFSET($Z$338,$B401,O$335-1)/SUMPRODUCT(--($D$335:$V$335=O$335),--($D703:$V703=1)),0)+SUM(O400)+IF(COUNTIF(O$641:O703,1)=1,5,0)+IF(COUNTIF(P401:$Z401,"&gt;"&amp;0)&gt;5,IF(MOD(COUNTIF(O$641:O703,1),7)=0,$C$4,0),0)</f>
        <v>105.89125</v>
      </c>
      <c r="P401" s="81" cm="1">
        <f ca="1" t="array" ref="P401">IF(P703=1,OFFSET($Z$338,$B401,P$335-1)/SUMPRODUCT(--($D$335:$V$335=P$335),--($D703:$V703=1)),0)+SUM(P400)+IF(COUNTIF(P$641:P703,1)=1,5,0)+IF(COUNTIF(Q401:$Z401,"&gt;"&amp;0)&gt;5,IF(MOD(COUNTIF(P$641:P703,1),7)=0,$C$4,0),0)</f>
        <v>102.957916666667</v>
      </c>
      <c r="Q401" s="81" cm="1">
        <f ca="1" t="array" ref="Q401">IF(Q703=1,OFFSET($Z$338,$B401,Q$335-1)/SUMPRODUCT(--($D$335:$V$335=Q$335),--($D703:$V703=1)),0)+SUM(Q400)+IF(COUNTIF(Q$641:Q703,1)=1,5,0)+IF(COUNTIF(R401:$Z401,"&gt;"&amp;0)&gt;5,IF(MOD(COUNTIF(Q$641:Q703,1),7)=0,$C$4,0),0)</f>
        <v>102.051666666667</v>
      </c>
      <c r="R401" s="81" cm="1">
        <f ca="1" t="array" ref="R401">IF(R703=1,OFFSET($Z$338,$B401,R$335-1)/SUMPRODUCT(--($D$335:$V$335=R$335),--($D703:$V703=1)),0)+SUM(R400)+IF(COUNTIF(R$641:R703,1)=1,5,0)+IF(COUNTIF(S401:$Z401,"&gt;"&amp;0)&gt;5,IF(MOD(COUNTIF(R$641:R703,1),7)=0,$C$4,0),0)</f>
        <v>77.1566666666667</v>
      </c>
      <c r="S401" s="81" cm="1">
        <f ca="1" t="array" ref="S401">IF(S703=1,OFFSET($Z$338,$B401,S$335-1)/SUMPRODUCT(--($D$335:$V$335=S$335),--($D703:$V703=1)),0)+SUM(S400)+IF(COUNTIF(S$641:S703,1)=1,5,0)+IF(COUNTIF(T401:$Z401,"&gt;"&amp;0)&gt;5,IF(MOD(COUNTIF(S$641:S703,1),7)=0,$C$4,0),0)</f>
        <v>67.99</v>
      </c>
      <c r="T401" s="81" cm="1">
        <f ca="1" t="array" ref="T401">IF(T703=1,OFFSET($Z$338,$B401,T$335-1)/SUMPRODUCT(--($D$335:$V$335=T$335),--($D703:$V703=1)),0)+SUM(T400)+IF(COUNTIF(T$641:T703,1)=1,5,0)+IF(COUNTIF(U401:$Z401,"&gt;"&amp;0)&gt;5,IF(MOD(COUNTIF(T$641:T703,1),7)=0,$C$4,0),0)</f>
        <v>45.068296567144</v>
      </c>
      <c r="U401" s="81" cm="1">
        <f ca="1" t="array" ref="U401">IF(U703=1,OFFSET($Z$338,$B401,U$335-1)/SUMPRODUCT(--($D$335:$V$335=U$335),--($D703:$V703=1)),0)+SUM(U400)+IF(COUNTIF(U$641:U703,1)=1,5,0)+IF(COUNTIF(V401:$Z401,"&gt;"&amp;0)&gt;5,IF(MOD(COUNTIF(U$641:U703,1),7)=0,$C$4,0),0)</f>
        <v>40.068296567144</v>
      </c>
      <c r="V401" s="81" cm="1">
        <f ca="1" t="array" ref="V401">IF(V703=1,OFFSET($Z$338,$B401,V$335-1)/SUMPRODUCT(--($D$335:$V$335=V$335),--($D703:$V703=1)),0)+SUM(V400)+IF(COUNTIF(V$641:V703,1)=1,5,0)+IF(COUNTIF(Z401:$Z401,"&gt;"&amp;0)&gt;5,IF(MOD(COUNTIF(V$641:V703,1),7)=0,$C$4,0),0)</f>
        <v>32.1104773778621</v>
      </c>
      <c r="W401" s="81" cm="1">
        <f ca="1" t="array" ref="W401">IF(W703=1,OFFSET($Z$338,$B401,W$335-1)/SUMPRODUCT(--($D$335:$V$335=W$335),--($D703:$V703=1)),0)+SUM(W400)+IF(COUNTIF(W$641:W703,1)=1,5,0)+IF(COUNTIF($Z401:AA401,"&gt;"&amp;0)&gt;5,IF(MOD(COUNTIF(W$641:W703,1),7)=0,$C$4,0),0)</f>
        <v>22.7546082629128</v>
      </c>
      <c r="X401" s="81" cm="1">
        <f ca="1" t="array" ref="X401">IF(X703=1,OFFSET($Z$338,$B401,X$335-1)/SUMPRODUCT(--($D$335:$V$335=X$335),--($D703:$V703=1)),0)+SUM(X400)+IF(COUNTIF(X$641:X703,1)=1,5,0)+IF(COUNTIF($Z401:AB401,"&gt;"&amp;0)&gt;5,IF(MOD(COUNTIF(X$641:X703,1),7)=0,$C$4,0),0)</f>
        <v>15.9909479722794</v>
      </c>
      <c r="Y401" s="81" cm="1">
        <f ca="1" t="array" ref="Y401">IF(Y703=1,OFFSET($Z$338,$B401,Y$335-1)/SUMPRODUCT(--($D$335:$V$335=Y$335),--($D703:$V703=1)),0)+SUM(Y400)+IF(COUNTIF(Y$641:Y703,1)=1,5,0)+IF(COUNTIF($Z401:AC401,"&gt;"&amp;0)&gt;5,IF(MOD(COUNTIF(Y$641:Y703,1),7)=0,$C$4,0),0)</f>
        <v>9.22728768164591</v>
      </c>
      <c r="Z401" s="82" cm="1">
        <f ca="1" t="array" ref="Z401">SUMPRODUCT(TRANSPOSE($AD401:$AJ401),OFFSET($L$10:$L$16,0,Z$335-1))</f>
        <v>23.8636273910124</v>
      </c>
      <c r="AA401" s="82" cm="1">
        <f ca="1" t="array" ref="AA401">SUMPRODUCT(TRANSPOSE($AD401:$AJ401),OFFSET($L$10:$L$16,0,AA$335-1))</f>
        <v>19.8</v>
      </c>
      <c r="AB401" s="82" cm="1">
        <f ca="1" t="array" ref="AB401">SUMPRODUCT(TRANSPOSE($AD401:$AJ401),OFFSET($L$10:$L$16,0,AB$335-1))</f>
        <v>8.8</v>
      </c>
      <c r="AC401" s="82" cm="1">
        <f ca="1" t="array" ref="AC401">SUMPRODUCT(TRANSPOSE($AD401:$AJ401),OFFSET($L$10:$L$16,0,AC$335-1))</f>
        <v>2.53637260898755</v>
      </c>
      <c r="AD401" s="83">
        <f ca="1" t="shared" ref="AD401:AJ401" si="445">AK401-AK400</f>
        <v>0</v>
      </c>
      <c r="AE401" s="83">
        <f ca="1" t="shared" si="445"/>
        <v>0</v>
      </c>
      <c r="AF401" s="83">
        <f ca="1" t="shared" si="445"/>
        <v>0</v>
      </c>
      <c r="AG401" s="83">
        <f ca="1" t="shared" si="445"/>
        <v>0</v>
      </c>
      <c r="AH401" s="83">
        <f ca="1" t="shared" si="445"/>
        <v>110</v>
      </c>
      <c r="AI401" s="83">
        <f ca="1" t="shared" si="445"/>
        <v>0</v>
      </c>
      <c r="AJ401" s="83">
        <f ca="1" t="shared" si="445"/>
        <v>0</v>
      </c>
      <c r="AK401" s="83">
        <f ca="1" t="shared" si="321"/>
        <v>450</v>
      </c>
      <c r="AL401" s="83">
        <f ca="1" t="shared" ref="AL401:AQ401" si="446">IF($C401&gt;OFFSET($Q$9,MATCH(AL$338,$AK$338:$AQ$338,0),0),OFFSET($P$9,MATCH(AL$338,$AK$338:$AQ$338,0),0),MAX(0,$C401-OFFSET($Q$9,RIGHT(AL$338,1)-1,0)))</f>
        <v>909</v>
      </c>
      <c r="AM401" s="83">
        <f ca="1" t="shared" si="446"/>
        <v>1818</v>
      </c>
      <c r="AN401" s="83">
        <f ca="1" t="shared" si="446"/>
        <v>2727</v>
      </c>
      <c r="AO401" s="83">
        <f ca="1" t="shared" si="446"/>
        <v>2352</v>
      </c>
      <c r="AP401" s="83">
        <f ca="1" t="shared" si="446"/>
        <v>0</v>
      </c>
      <c r="AQ401" s="83">
        <f ca="1" t="shared" si="446"/>
        <v>0</v>
      </c>
    </row>
    <row r="402" ht="16.5" spans="2:43">
      <c r="B402" s="65">
        <v>64</v>
      </c>
      <c r="C402" s="80">
        <f t="shared" si="319"/>
        <v>8366</v>
      </c>
      <c r="D402" s="81" cm="1">
        <f ca="1" t="array" ref="D402">IF(D704=1,OFFSET($Z$338,$B402,D$335-1)/SUMPRODUCT(--($D$335:$V$335=D$335),--($D704:$V704=1)),0)+SUM(D401)+IF(COUNTIF(D$641:D704,1)=1,5,0)+IF(COUNTIF(E402:$Z402,"&gt;"&amp;0)&gt;5,IF(MOD(COUNTIF(D$641:D704,1),7)=0,$C$4,0),0)</f>
        <v>823.643852292954</v>
      </c>
      <c r="E402" s="81" cm="1">
        <f ca="1" t="array" ref="E402">IF(E704=1,OFFSET($Z$338,$B402,E$335-1)/SUMPRODUCT(--($D$335:$V$335=E$335),--($D704:$V704=1)),0)+SUM(E401)+IF(COUNTIF(E$641:E704,1)=1,5,0)+IF(COUNTIF(F402:$Z402,"&gt;"&amp;0)&gt;5,IF(MOD(COUNTIF(E$641:E704,1),7)=0,$C$4,0),0)</f>
        <v>823.643852292954</v>
      </c>
      <c r="F402" s="81" cm="1">
        <f ca="1" t="array" ref="F402">IF(F704=1,OFFSET($Z$338,$B402,F$335-1)/SUMPRODUCT(--($D$335:$V$335=F$335),--($D704:$V704=1)),0)+SUM(F401)+IF(COUNTIF(F$641:F704,1)=1,5,0)+IF(COUNTIF(G402:$Z402,"&gt;"&amp;0)&gt;5,IF(MOD(COUNTIF(F$641:F704,1),7)=0,$C$4,0),0)</f>
        <v>823.643852292954</v>
      </c>
      <c r="G402" s="81" cm="1">
        <f ca="1" t="array" ref="G402">IF(G704=1,OFFSET($Z$338,$B402,G$335-1)/SUMPRODUCT(--($D$335:$V$335=G$335),--($D704:$V704=1)),0)+SUM(G401)+IF(COUNTIF(G$641:G704,1)=1,5,0)+IF(COUNTIF(H402:$Z402,"&gt;"&amp;0)&gt;5,IF(MOD(COUNTIF(G$641:G704,1),7)=0,$C$4,0),0)</f>
        <v>265.796666666667</v>
      </c>
      <c r="H402" s="81" cm="1">
        <f ca="1" t="array" ref="H402">IF(H704=1,OFFSET($Z$338,$B402,H$335-1)/SUMPRODUCT(--($D$335:$V$335=H$335),--($D704:$V704=1)),0)+SUM(H401)+IF(COUNTIF(H$641:H704,1)=1,5,0)+IF(COUNTIF(I402:$Z402,"&gt;"&amp;0)&gt;5,IF(MOD(COUNTIF(H$641:H704,1),7)=0,$C$4,0),0)</f>
        <v>265.796666666667</v>
      </c>
      <c r="I402" s="81" cm="1">
        <f ca="1" t="array" ref="I402">IF(I704=1,OFFSET($Z$338,$B402,I$335-1)/SUMPRODUCT(--($D$335:$V$335=I$335),--($D704:$V704=1)),0)+SUM(I401)+IF(COUNTIF(I$641:I704,1)=1,5,0)+IF(COUNTIF(J402:$Z402,"&gt;"&amp;0)&gt;5,IF(MOD(COUNTIF(I$641:I704,1),7)=0,$C$4,0),0)</f>
        <v>265.796666666667</v>
      </c>
      <c r="J402" s="81" cm="1">
        <f ca="1" t="array" ref="J402">IF(J704=1,OFFSET($Z$338,$B402,J$335-1)/SUMPRODUCT(--($D$335:$V$335=J$335),--($D704:$V704=1)),0)+SUM(J401)+IF(COUNTIF(J$641:J704,1)=1,5,0)+IF(COUNTIF(K402:$Z402,"&gt;"&amp;0)&gt;5,IF(MOD(COUNTIF(J$641:J704,1),7)=0,$C$4,0),0)</f>
        <v>265.796666666667</v>
      </c>
      <c r="K402" s="81" cm="1">
        <f ca="1" t="array" ref="K402">IF(K704=1,OFFSET($Z$338,$B402,K$335-1)/SUMPRODUCT(--($D$335:$V$335=K$335),--($D704:$V704=1)),0)+SUM(K401)+IF(COUNTIF(K$641:K704,1)=1,5,0)+IF(COUNTIF(L402:$Z402,"&gt;"&amp;0)&gt;5,IF(MOD(COUNTIF(K$641:K704,1),7)=0,$C$4,0),0)</f>
        <v>265.796666666667</v>
      </c>
      <c r="L402" s="81" cm="1">
        <f ca="1" t="array" ref="L402">IF(L704=1,OFFSET($Z$338,$B402,L$335-1)/SUMPRODUCT(--($D$335:$V$335=L$335),--($D704:$V704=1)),0)+SUM(L401)+IF(COUNTIF(L$641:L704,1)=1,5,0)+IF(COUNTIF(M402:$Z402,"&gt;"&amp;0)&gt;5,IF(MOD(COUNTIF(L$641:L704,1),7)=0,$C$4,0),0)</f>
        <v>259.096666666667</v>
      </c>
      <c r="M402" s="81" cm="1">
        <f ca="1" t="array" ref="M402">IF(M704=1,OFFSET($Z$338,$B402,M$335-1)/SUMPRODUCT(--($D$335:$V$335=M$335),--($D704:$V704=1)),0)+SUM(M401)+IF(COUNTIF(M$641:M704,1)=1,5,0)+IF(COUNTIF(N402:$Z402,"&gt;"&amp;0)&gt;5,IF(MOD(COUNTIF(M$641:M704,1),7)=0,$C$4,0),0)</f>
        <v>122.298392857143</v>
      </c>
      <c r="N402" s="81" cm="1">
        <f ca="1" t="array" ref="N402">IF(N704=1,OFFSET($Z$338,$B402,N$335-1)/SUMPRODUCT(--($D$335:$V$335=N$335),--($D704:$V704=1)),0)+SUM(N401)+IF(COUNTIF(N$641:N704,1)=1,5,0)+IF(COUNTIF(O402:$Z402,"&gt;"&amp;0)&gt;5,IF(MOD(COUNTIF(N$641:N704,1),7)=0,$C$4,0),0)</f>
        <v>109.573392857143</v>
      </c>
      <c r="O402" s="81" cm="1">
        <f ca="1" t="array" ref="O402">IF(O704=1,OFFSET($Z$338,$B402,O$335-1)/SUMPRODUCT(--($D$335:$V$335=O$335),--($D704:$V704=1)),0)+SUM(O401)+IF(COUNTIF(O$641:O704,1)=1,5,0)+IF(COUNTIF(P402:$Z402,"&gt;"&amp;0)&gt;5,IF(MOD(COUNTIF(O$641:O704,1),7)=0,$C$4,0),0)</f>
        <v>107.148392857143</v>
      </c>
      <c r="P402" s="81" cm="1">
        <f ca="1" t="array" ref="P402">IF(P704=1,OFFSET($Z$338,$B402,P$335-1)/SUMPRODUCT(--($D$335:$V$335=P$335),--($D704:$V704=1)),0)+SUM(P401)+IF(COUNTIF(P$641:P704,1)=1,5,0)+IF(COUNTIF(Q402:$Z402,"&gt;"&amp;0)&gt;5,IF(MOD(COUNTIF(P$641:P704,1),7)=0,$C$4,0),0)</f>
        <v>104.215059523809</v>
      </c>
      <c r="Q402" s="81" cm="1">
        <f ca="1" t="array" ref="Q402">IF(Q704=1,OFFSET($Z$338,$B402,Q$335-1)/SUMPRODUCT(--($D$335:$V$335=Q$335),--($D704:$V704=1)),0)+SUM(Q401)+IF(COUNTIF(Q$641:Q704,1)=1,5,0)+IF(COUNTIF(R402:$Z402,"&gt;"&amp;0)&gt;5,IF(MOD(COUNTIF(Q$641:Q704,1),7)=0,$C$4,0),0)</f>
        <v>103.308809523809</v>
      </c>
      <c r="R402" s="81" cm="1">
        <f ca="1" t="array" ref="R402">IF(R704=1,OFFSET($Z$338,$B402,R$335-1)/SUMPRODUCT(--($D$335:$V$335=R$335),--($D704:$V704=1)),0)+SUM(R401)+IF(COUNTIF(R$641:R704,1)=1,5,0)+IF(COUNTIF(S402:$Z402,"&gt;"&amp;0)&gt;5,IF(MOD(COUNTIF(R$641:R704,1),7)=0,$C$4,0),0)</f>
        <v>78.4138095238095</v>
      </c>
      <c r="S402" s="81" cm="1">
        <f ca="1" t="array" ref="S402">IF(S704=1,OFFSET($Z$338,$B402,S$335-1)/SUMPRODUCT(--($D$335:$V$335=S$335),--($D704:$V704=1)),0)+SUM(S401)+IF(COUNTIF(S$641:S704,1)=1,5,0)+IF(COUNTIF(T402:$Z402,"&gt;"&amp;0)&gt;5,IF(MOD(COUNTIF(S$641:S704,1),7)=0,$C$4,0),0)</f>
        <v>69.2471428571429</v>
      </c>
      <c r="T402" s="81" cm="1">
        <f ca="1" t="array" ref="T402">IF(T704=1,OFFSET($Z$338,$B402,T$335-1)/SUMPRODUCT(--($D$335:$V$335=T$335),--($D704:$V704=1)),0)+SUM(T401)+IF(COUNTIF(T$641:T704,1)=1,5,0)+IF(COUNTIF(U402:$Z402,"&gt;"&amp;0)&gt;5,IF(MOD(COUNTIF(T$641:T704,1),7)=0,$C$4,0),0)</f>
        <v>45.9137541034732</v>
      </c>
      <c r="U402" s="81" cm="1">
        <f ca="1" t="array" ref="U402">IF(U704=1,OFFSET($Z$338,$B402,U$335-1)/SUMPRODUCT(--($D$335:$V$335=U$335),--($D704:$V704=1)),0)+SUM(U401)+IF(COUNTIF(U$641:U704,1)=1,5,0)+IF(COUNTIF(V402:$Z402,"&gt;"&amp;0)&gt;5,IF(MOD(COUNTIF(U$641:U704,1),7)=0,$C$4,0),0)</f>
        <v>40.9137541034732</v>
      </c>
      <c r="V402" s="81" cm="1">
        <f ca="1" t="array" ref="V402">IF(V704=1,OFFSET($Z$338,$B402,V$335-1)/SUMPRODUCT(--($D$335:$V$335=V$335),--($D704:$V704=1)),0)+SUM(V401)+IF(COUNTIF(V$641:V704,1)=1,5,0)+IF(COUNTIF(Z402:$Z402,"&gt;"&amp;0)&gt;5,IF(MOD(COUNTIF(V$641:V704,1),7)=0,$C$4,0),0)</f>
        <v>32.9559349141913</v>
      </c>
      <c r="W402" s="81" cm="1">
        <f ca="1" t="array" ref="W402">IF(W704=1,OFFSET($Z$338,$B402,W$335-1)/SUMPRODUCT(--($D$335:$V$335=W$335),--($D704:$V704=1)),0)+SUM(W401)+IF(COUNTIF(W$641:W704,1)=1,5,0)+IF(COUNTIF($Z402:AA402,"&gt;"&amp;0)&gt;5,IF(MOD(COUNTIF(W$641:W704,1),7)=0,$C$4,0),0)</f>
        <v>23.600065799242</v>
      </c>
      <c r="X402" s="81" cm="1">
        <f ca="1" t="array" ref="X402">IF(X704=1,OFFSET($Z$338,$B402,X$335-1)/SUMPRODUCT(--($D$335:$V$335=X$335),--($D704:$V704=1)),0)+SUM(X401)+IF(COUNTIF(X$641:X704,1)=1,5,0)+IF(COUNTIF($Z402:AB402,"&gt;"&amp;0)&gt;5,IF(MOD(COUNTIF(X$641:X704,1),7)=0,$C$4,0),0)</f>
        <v>16.8364055086085</v>
      </c>
      <c r="Y402" s="81" cm="1">
        <f ca="1" t="array" ref="Y402">IF(Y704=1,OFFSET($Z$338,$B402,Y$335-1)/SUMPRODUCT(--($D$335:$V$335=Y$335),--($D704:$V704=1)),0)+SUM(Y401)+IF(COUNTIF(Y$641:Y704,1)=1,5,0)+IF(COUNTIF($Z402:AC402,"&gt;"&amp;0)&gt;5,IF(MOD(COUNTIF(Y$641:Y704,1),7)=0,$C$4,0),0)</f>
        <v>10.0727452179751</v>
      </c>
      <c r="Z402" s="82" cm="1">
        <f ca="1" t="array" ref="Z402">SUMPRODUCT(TRANSPOSE($AD402:$AJ402),OFFSET($L$10:$L$16,0,Z$335-1))</f>
        <v>23.8636273910124</v>
      </c>
      <c r="AA402" s="82" cm="1">
        <f ca="1" t="array" ref="AA402">SUMPRODUCT(TRANSPOSE($AD402:$AJ402),OFFSET($L$10:$L$16,0,AA$335-1))</f>
        <v>19.8</v>
      </c>
      <c r="AB402" s="82" cm="1">
        <f ca="1" t="array" ref="AB402">SUMPRODUCT(TRANSPOSE($AD402:$AJ402),OFFSET($L$10:$L$16,0,AB$335-1))</f>
        <v>8.8</v>
      </c>
      <c r="AC402" s="82" cm="1">
        <f ca="1" t="array" ref="AC402">SUMPRODUCT(TRANSPOSE($AD402:$AJ402),OFFSET($L$10:$L$16,0,AC$335-1))</f>
        <v>2.53637260898755</v>
      </c>
      <c r="AD402" s="83">
        <f ca="1" t="shared" ref="AD402:AJ402" si="447">AK402-AK401</f>
        <v>0</v>
      </c>
      <c r="AE402" s="83">
        <f ca="1" t="shared" si="447"/>
        <v>0</v>
      </c>
      <c r="AF402" s="83">
        <f ca="1" t="shared" si="447"/>
        <v>0</v>
      </c>
      <c r="AG402" s="83">
        <f ca="1" t="shared" si="447"/>
        <v>0</v>
      </c>
      <c r="AH402" s="83">
        <f ca="1" t="shared" si="447"/>
        <v>110</v>
      </c>
      <c r="AI402" s="83">
        <f ca="1" t="shared" si="447"/>
        <v>0</v>
      </c>
      <c r="AJ402" s="83">
        <f ca="1" t="shared" si="447"/>
        <v>0</v>
      </c>
      <c r="AK402" s="83">
        <f ca="1" t="shared" si="321"/>
        <v>450</v>
      </c>
      <c r="AL402" s="83">
        <f ca="1" t="shared" ref="AL402:AQ402" si="448">IF($C402&gt;OFFSET($Q$9,MATCH(AL$338,$AK$338:$AQ$338,0),0),OFFSET($P$9,MATCH(AL$338,$AK$338:$AQ$338,0),0),MAX(0,$C402-OFFSET($Q$9,RIGHT(AL$338,1)-1,0)))</f>
        <v>909</v>
      </c>
      <c r="AM402" s="83">
        <f ca="1" t="shared" si="448"/>
        <v>1818</v>
      </c>
      <c r="AN402" s="83">
        <f ca="1" t="shared" si="448"/>
        <v>2727</v>
      </c>
      <c r="AO402" s="83">
        <f ca="1" t="shared" si="448"/>
        <v>2462</v>
      </c>
      <c r="AP402" s="83">
        <f ca="1" t="shared" si="448"/>
        <v>0</v>
      </c>
      <c r="AQ402" s="83">
        <f ca="1" t="shared" si="448"/>
        <v>0</v>
      </c>
    </row>
    <row r="403" ht="16.5" spans="2:43">
      <c r="B403" s="65">
        <v>65</v>
      </c>
      <c r="C403" s="80">
        <f t="shared" ref="C403:C466" si="449">C98</f>
        <v>8476</v>
      </c>
      <c r="D403" s="81" cm="1">
        <f ca="1" t="array" ref="D403">IF(D705=1,OFFSET($Z$338,$B403,D$335-1)/SUMPRODUCT(--($D$335:$V$335=D$335),--($D705:$V705=1)),0)+SUM(D402)+IF(COUNTIF(D$641:D705,1)=1,5,0)+IF(COUNTIF(E403:$Z403,"&gt;"&amp;0)&gt;5,IF(MOD(COUNTIF(D$641:D705,1),7)=0,$C$4,0),0)</f>
        <v>831.598394756625</v>
      </c>
      <c r="E403" s="81" cm="1">
        <f ca="1" t="array" ref="E403">IF(E705=1,OFFSET($Z$338,$B403,E$335-1)/SUMPRODUCT(--($D$335:$V$335=E$335),--($D705:$V705=1)),0)+SUM(E402)+IF(COUNTIF(E$641:E705,1)=1,5,0)+IF(COUNTIF(F403:$Z403,"&gt;"&amp;0)&gt;5,IF(MOD(COUNTIF(E$641:E705,1),7)=0,$C$4,0),0)</f>
        <v>831.598394756625</v>
      </c>
      <c r="F403" s="81" cm="1">
        <f ca="1" t="array" ref="F403">IF(F705=1,OFFSET($Z$338,$B403,F$335-1)/SUMPRODUCT(--($D$335:$V$335=F$335),--($D705:$V705=1)),0)+SUM(F402)+IF(COUNTIF(F$641:F705,1)=1,5,0)+IF(COUNTIF(G403:$Z403,"&gt;"&amp;0)&gt;5,IF(MOD(COUNTIF(F$641:F705,1),7)=0,$C$4,0),0)</f>
        <v>831.598394756625</v>
      </c>
      <c r="G403" s="81" cm="1">
        <f ca="1" t="array" ref="G403">IF(G705=1,OFFSET($Z$338,$B403,G$335-1)/SUMPRODUCT(--($D$335:$V$335=G$335),--($D705:$V705=1)),0)+SUM(G402)+IF(COUNTIF(G$641:G705,1)=1,5,0)+IF(COUNTIF(H403:$Z403,"&gt;"&amp;0)&gt;5,IF(MOD(COUNTIF(G$641:G705,1),7)=0,$C$4,0),0)</f>
        <v>269.096666666667</v>
      </c>
      <c r="H403" s="81" cm="1">
        <f ca="1" t="array" ref="H403">IF(H705=1,OFFSET($Z$338,$B403,H$335-1)/SUMPRODUCT(--($D$335:$V$335=H$335),--($D705:$V705=1)),0)+SUM(H402)+IF(COUNTIF(H$641:H705,1)=1,5,0)+IF(COUNTIF(I403:$Z403,"&gt;"&amp;0)&gt;5,IF(MOD(COUNTIF(H$641:H705,1),7)=0,$C$4,0),0)</f>
        <v>269.096666666667</v>
      </c>
      <c r="I403" s="81" cm="1">
        <f ca="1" t="array" ref="I403">IF(I705=1,OFFSET($Z$338,$B403,I$335-1)/SUMPRODUCT(--($D$335:$V$335=I$335),--($D705:$V705=1)),0)+SUM(I402)+IF(COUNTIF(I$641:I705,1)=1,5,0)+IF(COUNTIF(J403:$Z403,"&gt;"&amp;0)&gt;5,IF(MOD(COUNTIF(I$641:I705,1),7)=0,$C$4,0),0)</f>
        <v>269.096666666667</v>
      </c>
      <c r="J403" s="81" cm="1">
        <f ca="1" t="array" ref="J403">IF(J705=1,OFFSET($Z$338,$B403,J$335-1)/SUMPRODUCT(--($D$335:$V$335=J$335),--($D705:$V705=1)),0)+SUM(J402)+IF(COUNTIF(J$641:J705,1)=1,5,0)+IF(COUNTIF(K403:$Z403,"&gt;"&amp;0)&gt;5,IF(MOD(COUNTIF(J$641:J705,1),7)=0,$C$4,0),0)</f>
        <v>269.096666666667</v>
      </c>
      <c r="K403" s="81" cm="1">
        <f ca="1" t="array" ref="K403">IF(K705=1,OFFSET($Z$338,$B403,K$335-1)/SUMPRODUCT(--($D$335:$V$335=K$335),--($D705:$V705=1)),0)+SUM(K402)+IF(COUNTIF(K$641:K705,1)=1,5,0)+IF(COUNTIF(L403:$Z403,"&gt;"&amp;0)&gt;5,IF(MOD(COUNTIF(K$641:K705,1),7)=0,$C$4,0),0)</f>
        <v>269.096666666667</v>
      </c>
      <c r="L403" s="81" cm="1">
        <f ca="1" t="array" ref="L403">IF(L705=1,OFFSET($Z$338,$B403,L$335-1)/SUMPRODUCT(--($D$335:$V$335=L$335),--($D705:$V705=1)),0)+SUM(L402)+IF(COUNTIF(L$641:L705,1)=1,5,0)+IF(COUNTIF(M403:$Z403,"&gt;"&amp;0)&gt;5,IF(MOD(COUNTIF(L$641:L705,1),7)=0,$C$4,0),0)</f>
        <v>262.396666666667</v>
      </c>
      <c r="M403" s="81" cm="1">
        <f ca="1" t="array" ref="M403">IF(M705=1,OFFSET($Z$338,$B403,M$335-1)/SUMPRODUCT(--($D$335:$V$335=M$335),--($D705:$V705=1)),0)+SUM(M402)+IF(COUNTIF(M$641:M705,1)=1,5,0)+IF(COUNTIF(N403:$Z403,"&gt;"&amp;0)&gt;5,IF(MOD(COUNTIF(M$641:M705,1),7)=0,$C$4,0),0)</f>
        <v>123.555535714286</v>
      </c>
      <c r="N403" s="81" cm="1">
        <f ca="1" t="array" ref="N403">IF(N705=1,OFFSET($Z$338,$B403,N$335-1)/SUMPRODUCT(--($D$335:$V$335=N$335),--($D705:$V705=1)),0)+SUM(N402)+IF(COUNTIF(N$641:N705,1)=1,5,0)+IF(COUNTIF(O403:$Z403,"&gt;"&amp;0)&gt;5,IF(MOD(COUNTIF(N$641:N705,1),7)=0,$C$4,0),0)</f>
        <v>115.830535714286</v>
      </c>
      <c r="O403" s="81" cm="1">
        <f ca="1" t="array" ref="O403">IF(O705=1,OFFSET($Z$338,$B403,O$335-1)/SUMPRODUCT(--($D$335:$V$335=O$335),--($D705:$V705=1)),0)+SUM(O402)+IF(COUNTIF(O$641:O705,1)=1,5,0)+IF(COUNTIF(P403:$Z403,"&gt;"&amp;0)&gt;5,IF(MOD(COUNTIF(O$641:O705,1),7)=0,$C$4,0),0)</f>
        <v>108.405535714286</v>
      </c>
      <c r="P403" s="81" cm="1">
        <f ca="1" t="array" ref="P403">IF(P705=1,OFFSET($Z$338,$B403,P$335-1)/SUMPRODUCT(--($D$335:$V$335=P$335),--($D705:$V705=1)),0)+SUM(P402)+IF(COUNTIF(P$641:P705,1)=1,5,0)+IF(COUNTIF(Q403:$Z403,"&gt;"&amp;0)&gt;5,IF(MOD(COUNTIF(P$641:P705,1),7)=0,$C$4,0),0)</f>
        <v>105.472202380952</v>
      </c>
      <c r="Q403" s="81" cm="1">
        <f ca="1" t="array" ref="Q403">IF(Q705=1,OFFSET($Z$338,$B403,Q$335-1)/SUMPRODUCT(--($D$335:$V$335=Q$335),--($D705:$V705=1)),0)+SUM(Q402)+IF(COUNTIF(Q$641:Q705,1)=1,5,0)+IF(COUNTIF(R403:$Z403,"&gt;"&amp;0)&gt;5,IF(MOD(COUNTIF(Q$641:Q705,1),7)=0,$C$4,0),0)</f>
        <v>104.565952380952</v>
      </c>
      <c r="R403" s="81" cm="1">
        <f ca="1" t="array" ref="R403">IF(R705=1,OFFSET($Z$338,$B403,R$335-1)/SUMPRODUCT(--($D$335:$V$335=R$335),--($D705:$V705=1)),0)+SUM(R402)+IF(COUNTIF(R$641:R705,1)=1,5,0)+IF(COUNTIF(S403:$Z403,"&gt;"&amp;0)&gt;5,IF(MOD(COUNTIF(R$641:R705,1),7)=0,$C$4,0),0)</f>
        <v>79.6709523809524</v>
      </c>
      <c r="S403" s="81" cm="1">
        <f ca="1" t="array" ref="S403">IF(S705=1,OFFSET($Z$338,$B403,S$335-1)/SUMPRODUCT(--($D$335:$V$335=S$335),--($D705:$V705=1)),0)+SUM(S402)+IF(COUNTIF(S$641:S705,1)=1,5,0)+IF(COUNTIF(T403:$Z403,"&gt;"&amp;0)&gt;5,IF(MOD(COUNTIF(S$641:S705,1),7)=0,$C$4,0),0)</f>
        <v>70.5042857142857</v>
      </c>
      <c r="T403" s="81" cm="1">
        <f ca="1" t="array" ref="T403">IF(T705=1,OFFSET($Z$338,$B403,T$335-1)/SUMPRODUCT(--($D$335:$V$335=T$335),--($D705:$V705=1)),0)+SUM(T402)+IF(COUNTIF(T$641:T705,1)=1,5,0)+IF(COUNTIF(U403:$Z403,"&gt;"&amp;0)&gt;5,IF(MOD(COUNTIF(T$641:T705,1),7)=0,$C$4,0),0)</f>
        <v>46.7592116398024</v>
      </c>
      <c r="U403" s="81" cm="1">
        <f ca="1" t="array" ref="U403">IF(U705=1,OFFSET($Z$338,$B403,U$335-1)/SUMPRODUCT(--($D$335:$V$335=U$335),--($D705:$V705=1)),0)+SUM(U402)+IF(COUNTIF(U$641:U705,1)=1,5,0)+IF(COUNTIF(V403:$Z403,"&gt;"&amp;0)&gt;5,IF(MOD(COUNTIF(U$641:U705,1),7)=0,$C$4,0),0)</f>
        <v>41.7592116398024</v>
      </c>
      <c r="V403" s="81" cm="1">
        <f ca="1" t="array" ref="V403">IF(V705=1,OFFSET($Z$338,$B403,V$335-1)/SUMPRODUCT(--($D$335:$V$335=V$335),--($D705:$V705=1)),0)+SUM(V402)+IF(COUNTIF(V$641:V705,1)=1,5,0)+IF(COUNTIF(Z403:$Z403,"&gt;"&amp;0)&gt;5,IF(MOD(COUNTIF(V$641:V705,1),7)=0,$C$4,0),0)</f>
        <v>33.8013924505205</v>
      </c>
      <c r="W403" s="81" cm="1">
        <f ca="1" t="array" ref="W403">IF(W705=1,OFFSET($Z$338,$B403,W$335-1)/SUMPRODUCT(--($D$335:$V$335=W$335),--($D705:$V705=1)),0)+SUM(W402)+IF(COUNTIF(W$641:W705,1)=1,5,0)+IF(COUNTIF($Z403:AA403,"&gt;"&amp;0)&gt;5,IF(MOD(COUNTIF(W$641:W705,1),7)=0,$C$4,0),0)</f>
        <v>24.4455233355712</v>
      </c>
      <c r="X403" s="81" cm="1">
        <f ca="1" t="array" ref="X403">IF(X705=1,OFFSET($Z$338,$B403,X$335-1)/SUMPRODUCT(--($D$335:$V$335=X$335),--($D705:$V705=1)),0)+SUM(X402)+IF(COUNTIF(X$641:X705,1)=1,5,0)+IF(COUNTIF($Z403:AB403,"&gt;"&amp;0)&gt;5,IF(MOD(COUNTIF(X$641:X705,1),7)=0,$C$4,0),0)</f>
        <v>17.6818630449377</v>
      </c>
      <c r="Y403" s="81" cm="1">
        <f ca="1" t="array" ref="Y403">IF(Y705=1,OFFSET($Z$338,$B403,Y$335-1)/SUMPRODUCT(--($D$335:$V$335=Y$335),--($D705:$V705=1)),0)+SUM(Y402)+IF(COUNTIF(Y$641:Y705,1)=1,5,0)+IF(COUNTIF($Z403:AC403,"&gt;"&amp;0)&gt;5,IF(MOD(COUNTIF(Y$641:Y705,1),7)=0,$C$4,0),0)</f>
        <v>10.9182027543043</v>
      </c>
      <c r="Z403" s="82" cm="1">
        <f ca="1" t="array" ref="Z403">SUMPRODUCT(TRANSPOSE($AD403:$AJ403),OFFSET($L$10:$L$16,0,Z$335-1))</f>
        <v>23.8636273910124</v>
      </c>
      <c r="AA403" s="82" cm="1">
        <f ca="1" t="array" ref="AA403">SUMPRODUCT(TRANSPOSE($AD403:$AJ403),OFFSET($L$10:$L$16,0,AA$335-1))</f>
        <v>19.8</v>
      </c>
      <c r="AB403" s="82" cm="1">
        <f ca="1" t="array" ref="AB403">SUMPRODUCT(TRANSPOSE($AD403:$AJ403),OFFSET($L$10:$L$16,0,AB$335-1))</f>
        <v>8.8</v>
      </c>
      <c r="AC403" s="82" cm="1">
        <f ca="1" t="array" ref="AC403">SUMPRODUCT(TRANSPOSE($AD403:$AJ403),OFFSET($L$10:$L$16,0,AC$335-1))</f>
        <v>2.53637260898755</v>
      </c>
      <c r="AD403" s="83">
        <f ca="1" t="shared" ref="AD403:AJ403" si="450">AK403-AK402</f>
        <v>0</v>
      </c>
      <c r="AE403" s="83">
        <f ca="1" t="shared" si="450"/>
        <v>0</v>
      </c>
      <c r="AF403" s="83">
        <f ca="1" t="shared" si="450"/>
        <v>0</v>
      </c>
      <c r="AG403" s="83">
        <f ca="1" t="shared" si="450"/>
        <v>0</v>
      </c>
      <c r="AH403" s="83">
        <f ca="1" t="shared" si="450"/>
        <v>110</v>
      </c>
      <c r="AI403" s="83">
        <f ca="1" t="shared" si="450"/>
        <v>0</v>
      </c>
      <c r="AJ403" s="83">
        <f ca="1" t="shared" si="450"/>
        <v>0</v>
      </c>
      <c r="AK403" s="83">
        <f ca="1" t="shared" ref="AK403:AK466" si="451">IF($C403&gt;OFFSET($Q$9,MATCH(AK$338,$AK$338:$AQ$338,0),0),OFFSET($P$9,MATCH(AK$338,$AK$338:$AQ$338,0),0),$C403)</f>
        <v>450</v>
      </c>
      <c r="AL403" s="83">
        <f ca="1" t="shared" ref="AL403:AQ403" si="452">IF($C403&gt;OFFSET($Q$9,MATCH(AL$338,$AK$338:$AQ$338,0),0),OFFSET($P$9,MATCH(AL$338,$AK$338:$AQ$338,0),0),MAX(0,$C403-OFFSET($Q$9,RIGHT(AL$338,1)-1,0)))</f>
        <v>909</v>
      </c>
      <c r="AM403" s="83">
        <f ca="1" t="shared" si="452"/>
        <v>1818</v>
      </c>
      <c r="AN403" s="83">
        <f ca="1" t="shared" si="452"/>
        <v>2727</v>
      </c>
      <c r="AO403" s="83">
        <f ca="1" t="shared" si="452"/>
        <v>2572</v>
      </c>
      <c r="AP403" s="83">
        <f ca="1" t="shared" si="452"/>
        <v>0</v>
      </c>
      <c r="AQ403" s="83">
        <f ca="1" t="shared" si="452"/>
        <v>0</v>
      </c>
    </row>
    <row r="404" ht="16.5" spans="2:43">
      <c r="B404" s="65">
        <v>66</v>
      </c>
      <c r="C404" s="80">
        <f t="shared" si="449"/>
        <v>8586</v>
      </c>
      <c r="D404" s="81" cm="1">
        <f ca="1" t="array" ref="D404">IF(D706=1,OFFSET($Z$338,$B404,D$335-1)/SUMPRODUCT(--($D$335:$V$335=D$335),--($D706:$V706=1)),0)+SUM(D403)+IF(COUNTIF(D$641:D706,1)=1,5,0)+IF(COUNTIF(E404:$Z404,"&gt;"&amp;0)&gt;5,IF(MOD(COUNTIF(D$641:D706,1),7)=0,$C$4,0),0)</f>
        <v>839.552937220296</v>
      </c>
      <c r="E404" s="81" cm="1">
        <f ca="1" t="array" ref="E404">IF(E706=1,OFFSET($Z$338,$B404,E$335-1)/SUMPRODUCT(--($D$335:$V$335=E$335),--($D706:$V706=1)),0)+SUM(E403)+IF(COUNTIF(E$641:E706,1)=1,5,0)+IF(COUNTIF(F404:$Z404,"&gt;"&amp;0)&gt;5,IF(MOD(COUNTIF(E$641:E706,1),7)=0,$C$4,0),0)</f>
        <v>839.552937220296</v>
      </c>
      <c r="F404" s="81" cm="1">
        <f ca="1" t="array" ref="F404">IF(F706=1,OFFSET($Z$338,$B404,F$335-1)/SUMPRODUCT(--($D$335:$V$335=F$335),--($D706:$V706=1)),0)+SUM(F403)+IF(COUNTIF(F$641:F706,1)=1,5,0)+IF(COUNTIF(G404:$Z404,"&gt;"&amp;0)&gt;5,IF(MOD(COUNTIF(F$641:F706,1),7)=0,$C$4,0),0)</f>
        <v>839.552937220296</v>
      </c>
      <c r="G404" s="81" cm="1">
        <f ca="1" t="array" ref="G404">IF(G706=1,OFFSET($Z$338,$B404,G$335-1)/SUMPRODUCT(--($D$335:$V$335=G$335),--($D706:$V706=1)),0)+SUM(G403)+IF(COUNTIF(G$641:G706,1)=1,5,0)+IF(COUNTIF(H404:$Z404,"&gt;"&amp;0)&gt;5,IF(MOD(COUNTIF(G$641:G706,1),7)=0,$C$4,0),0)</f>
        <v>272.396666666667</v>
      </c>
      <c r="H404" s="81" cm="1">
        <f ca="1" t="array" ref="H404">IF(H706=1,OFFSET($Z$338,$B404,H$335-1)/SUMPRODUCT(--($D$335:$V$335=H$335),--($D706:$V706=1)),0)+SUM(H403)+IF(COUNTIF(H$641:H706,1)=1,5,0)+IF(COUNTIF(I404:$Z404,"&gt;"&amp;0)&gt;5,IF(MOD(COUNTIF(H$641:H706,1),7)=0,$C$4,0),0)</f>
        <v>272.396666666667</v>
      </c>
      <c r="I404" s="81" cm="1">
        <f ca="1" t="array" ref="I404">IF(I706=1,OFFSET($Z$338,$B404,I$335-1)/SUMPRODUCT(--($D$335:$V$335=I$335),--($D706:$V706=1)),0)+SUM(I403)+IF(COUNTIF(I$641:I706,1)=1,5,0)+IF(COUNTIF(J404:$Z404,"&gt;"&amp;0)&gt;5,IF(MOD(COUNTIF(I$641:I706,1),7)=0,$C$4,0),0)</f>
        <v>272.396666666667</v>
      </c>
      <c r="J404" s="81" cm="1">
        <f ca="1" t="array" ref="J404">IF(J706=1,OFFSET($Z$338,$B404,J$335-1)/SUMPRODUCT(--($D$335:$V$335=J$335),--($D706:$V706=1)),0)+SUM(J403)+IF(COUNTIF(J$641:J706,1)=1,5,0)+IF(COUNTIF(K404:$Z404,"&gt;"&amp;0)&gt;5,IF(MOD(COUNTIF(J$641:J706,1),7)=0,$C$4,0),0)</f>
        <v>272.396666666667</v>
      </c>
      <c r="K404" s="81" cm="1">
        <f ca="1" t="array" ref="K404">IF(K706=1,OFFSET($Z$338,$B404,K$335-1)/SUMPRODUCT(--($D$335:$V$335=K$335),--($D706:$V706=1)),0)+SUM(K403)+IF(COUNTIF(K$641:K706,1)=1,5,0)+IF(COUNTIF(L404:$Z404,"&gt;"&amp;0)&gt;5,IF(MOD(COUNTIF(K$641:K706,1),7)=0,$C$4,0),0)</f>
        <v>272.396666666667</v>
      </c>
      <c r="L404" s="81" cm="1">
        <f ca="1" t="array" ref="L404">IF(L706=1,OFFSET($Z$338,$B404,L$335-1)/SUMPRODUCT(--($D$335:$V$335=L$335),--($D706:$V706=1)),0)+SUM(L403)+IF(COUNTIF(L$641:L706,1)=1,5,0)+IF(COUNTIF(M404:$Z404,"&gt;"&amp;0)&gt;5,IF(MOD(COUNTIF(L$641:L706,1),7)=0,$C$4,0),0)</f>
        <v>265.696666666667</v>
      </c>
      <c r="M404" s="81" cm="1">
        <f ca="1" t="array" ref="M404">IF(M706=1,OFFSET($Z$338,$B404,M$335-1)/SUMPRODUCT(--($D$335:$V$335=M$335),--($D706:$V706=1)),0)+SUM(M403)+IF(COUNTIF(M$641:M706,1)=1,5,0)+IF(COUNTIF(N404:$Z404,"&gt;"&amp;0)&gt;5,IF(MOD(COUNTIF(M$641:M706,1),7)=0,$C$4,0),0)</f>
        <v>124.812678571428</v>
      </c>
      <c r="N404" s="81" cm="1">
        <f ca="1" t="array" ref="N404">IF(N706=1,OFFSET($Z$338,$B404,N$335-1)/SUMPRODUCT(--($D$335:$V$335=N$335),--($D706:$V706=1)),0)+SUM(N403)+IF(COUNTIF(N$641:N706,1)=1,5,0)+IF(COUNTIF(O404:$Z404,"&gt;"&amp;0)&gt;5,IF(MOD(COUNTIF(N$641:N706,1),7)=0,$C$4,0),0)</f>
        <v>117.087678571428</v>
      </c>
      <c r="O404" s="81" cm="1">
        <f ca="1" t="array" ref="O404">IF(O706=1,OFFSET($Z$338,$B404,O$335-1)/SUMPRODUCT(--($D$335:$V$335=O$335),--($D706:$V706=1)),0)+SUM(O403)+IF(COUNTIF(O$641:O706,1)=1,5,0)+IF(COUNTIF(P404:$Z404,"&gt;"&amp;0)&gt;5,IF(MOD(COUNTIF(O$641:O706,1),7)=0,$C$4,0),0)</f>
        <v>114.662678571428</v>
      </c>
      <c r="P404" s="81" cm="1">
        <f ca="1" t="array" ref="P404">IF(P706=1,OFFSET($Z$338,$B404,P$335-1)/SUMPRODUCT(--($D$335:$V$335=P$335),--($D706:$V706=1)),0)+SUM(P403)+IF(COUNTIF(P$641:P706,1)=1,5,0)+IF(COUNTIF(Q404:$Z404,"&gt;"&amp;0)&gt;5,IF(MOD(COUNTIF(P$641:P706,1),7)=0,$C$4,0),0)</f>
        <v>106.729345238095</v>
      </c>
      <c r="Q404" s="81" cm="1">
        <f ca="1" t="array" ref="Q404">IF(Q706=1,OFFSET($Z$338,$B404,Q$335-1)/SUMPRODUCT(--($D$335:$V$335=Q$335),--($D706:$V706=1)),0)+SUM(Q403)+IF(COUNTIF(Q$641:Q706,1)=1,5,0)+IF(COUNTIF(R404:$Z404,"&gt;"&amp;0)&gt;5,IF(MOD(COUNTIF(Q$641:Q706,1),7)=0,$C$4,0),0)</f>
        <v>105.823095238095</v>
      </c>
      <c r="R404" s="81" cm="1">
        <f ca="1" t="array" ref="R404">IF(R706=1,OFFSET($Z$338,$B404,R$335-1)/SUMPRODUCT(--($D$335:$V$335=R$335),--($D706:$V706=1)),0)+SUM(R403)+IF(COUNTIF(R$641:R706,1)=1,5,0)+IF(COUNTIF(S404:$Z404,"&gt;"&amp;0)&gt;5,IF(MOD(COUNTIF(R$641:R706,1),7)=0,$C$4,0),0)</f>
        <v>80.9280952380952</v>
      </c>
      <c r="S404" s="81" cm="1">
        <f ca="1" t="array" ref="S404">IF(S706=1,OFFSET($Z$338,$B404,S$335-1)/SUMPRODUCT(--($D$335:$V$335=S$335),--($D706:$V706=1)),0)+SUM(S403)+IF(COUNTIF(S$641:S706,1)=1,5,0)+IF(COUNTIF(T404:$Z404,"&gt;"&amp;0)&gt;5,IF(MOD(COUNTIF(S$641:S706,1),7)=0,$C$4,0),0)</f>
        <v>71.7614285714286</v>
      </c>
      <c r="T404" s="81" cm="1">
        <f ca="1" t="array" ref="T404">IF(T706=1,OFFSET($Z$338,$B404,T$335-1)/SUMPRODUCT(--($D$335:$V$335=T$335),--($D706:$V706=1)),0)+SUM(T403)+IF(COUNTIF(T$641:T706,1)=1,5,0)+IF(COUNTIF(U404:$Z404,"&gt;"&amp;0)&gt;5,IF(MOD(COUNTIF(T$641:T706,1),7)=0,$C$4,0),0)</f>
        <v>47.6046691761316</v>
      </c>
      <c r="U404" s="81" cm="1">
        <f ca="1" t="array" ref="U404">IF(U706=1,OFFSET($Z$338,$B404,U$335-1)/SUMPRODUCT(--($D$335:$V$335=U$335),--($D706:$V706=1)),0)+SUM(U403)+IF(COUNTIF(U$641:U706,1)=1,5,0)+IF(COUNTIF(V404:$Z404,"&gt;"&amp;0)&gt;5,IF(MOD(COUNTIF(U$641:U706,1),7)=0,$C$4,0),0)</f>
        <v>42.6046691761316</v>
      </c>
      <c r="V404" s="81" cm="1">
        <f ca="1" t="array" ref="V404">IF(V706=1,OFFSET($Z$338,$B404,V$335-1)/SUMPRODUCT(--($D$335:$V$335=V$335),--($D706:$V706=1)),0)+SUM(V403)+IF(COUNTIF(V$641:V706,1)=1,5,0)+IF(COUNTIF(Z404:$Z404,"&gt;"&amp;0)&gt;5,IF(MOD(COUNTIF(V$641:V706,1),7)=0,$C$4,0),0)</f>
        <v>34.6468499868497</v>
      </c>
      <c r="W404" s="81" cm="1">
        <f ca="1" t="array" ref="W404">IF(W706=1,OFFSET($Z$338,$B404,W$335-1)/SUMPRODUCT(--($D$335:$V$335=W$335),--($D706:$V706=1)),0)+SUM(W403)+IF(COUNTIF(W$641:W706,1)=1,5,0)+IF(COUNTIF($Z404:AA404,"&gt;"&amp;0)&gt;5,IF(MOD(COUNTIF(W$641:W706,1),7)=0,$C$4,0),0)</f>
        <v>25.2909808719004</v>
      </c>
      <c r="X404" s="81" cm="1">
        <f ca="1" t="array" ref="X404">IF(X706=1,OFFSET($Z$338,$B404,X$335-1)/SUMPRODUCT(--($D$335:$V$335=X$335),--($D706:$V706=1)),0)+SUM(X403)+IF(COUNTIF(X$641:X706,1)=1,5,0)+IF(COUNTIF($Z404:AB404,"&gt;"&amp;0)&gt;5,IF(MOD(COUNTIF(X$641:X706,1),7)=0,$C$4,0),0)</f>
        <v>18.5273205812669</v>
      </c>
      <c r="Y404" s="81" cm="1">
        <f ca="1" t="array" ref="Y404">IF(Y706=1,OFFSET($Z$338,$B404,Y$335-1)/SUMPRODUCT(--($D$335:$V$335=Y$335),--($D706:$V706=1)),0)+SUM(Y403)+IF(COUNTIF(Y$641:Y706,1)=1,5,0)+IF(COUNTIF($Z404:AC404,"&gt;"&amp;0)&gt;5,IF(MOD(COUNTIF(Y$641:Y706,1),7)=0,$C$4,0),0)</f>
        <v>11.7636602906335</v>
      </c>
      <c r="Z404" s="82" cm="1">
        <f ca="1" t="array" ref="Z404">SUMPRODUCT(TRANSPOSE($AD404:$AJ404),OFFSET($L$10:$L$16,0,Z$335-1))</f>
        <v>23.8636273910124</v>
      </c>
      <c r="AA404" s="82" cm="1">
        <f ca="1" t="array" ref="AA404">SUMPRODUCT(TRANSPOSE($AD404:$AJ404),OFFSET($L$10:$L$16,0,AA$335-1))</f>
        <v>19.8</v>
      </c>
      <c r="AB404" s="82" cm="1">
        <f ca="1" t="array" ref="AB404">SUMPRODUCT(TRANSPOSE($AD404:$AJ404),OFFSET($L$10:$L$16,0,AB$335-1))</f>
        <v>8.8</v>
      </c>
      <c r="AC404" s="82" cm="1">
        <f ca="1" t="array" ref="AC404">SUMPRODUCT(TRANSPOSE($AD404:$AJ404),OFFSET($L$10:$L$16,0,AC$335-1))</f>
        <v>2.53637260898755</v>
      </c>
      <c r="AD404" s="83">
        <f ca="1" t="shared" ref="AD404:AJ404" si="453">AK404-AK403</f>
        <v>0</v>
      </c>
      <c r="AE404" s="83">
        <f ca="1" t="shared" si="453"/>
        <v>0</v>
      </c>
      <c r="AF404" s="83">
        <f ca="1" t="shared" si="453"/>
        <v>0</v>
      </c>
      <c r="AG404" s="83">
        <f ca="1" t="shared" si="453"/>
        <v>0</v>
      </c>
      <c r="AH404" s="83">
        <f ca="1" t="shared" si="453"/>
        <v>110</v>
      </c>
      <c r="AI404" s="83">
        <f ca="1" t="shared" si="453"/>
        <v>0</v>
      </c>
      <c r="AJ404" s="83">
        <f ca="1" t="shared" si="453"/>
        <v>0</v>
      </c>
      <c r="AK404" s="83">
        <f ca="1" t="shared" si="451"/>
        <v>450</v>
      </c>
      <c r="AL404" s="83">
        <f ca="1" t="shared" ref="AL404:AQ404" si="454">IF($C404&gt;OFFSET($Q$9,MATCH(AL$338,$AK$338:$AQ$338,0),0),OFFSET($P$9,MATCH(AL$338,$AK$338:$AQ$338,0),0),MAX(0,$C404-OFFSET($Q$9,RIGHT(AL$338,1)-1,0)))</f>
        <v>909</v>
      </c>
      <c r="AM404" s="83">
        <f ca="1" t="shared" si="454"/>
        <v>1818</v>
      </c>
      <c r="AN404" s="83">
        <f ca="1" t="shared" si="454"/>
        <v>2727</v>
      </c>
      <c r="AO404" s="83">
        <f ca="1" t="shared" si="454"/>
        <v>2682</v>
      </c>
      <c r="AP404" s="83">
        <f ca="1" t="shared" si="454"/>
        <v>0</v>
      </c>
      <c r="AQ404" s="83">
        <f ca="1" t="shared" si="454"/>
        <v>0</v>
      </c>
    </row>
    <row r="405" ht="16.5" spans="2:43">
      <c r="B405" s="65">
        <v>67</v>
      </c>
      <c r="C405" s="80">
        <f t="shared" si="449"/>
        <v>8696</v>
      </c>
      <c r="D405" s="81" cm="1">
        <f ca="1" t="array" ref="D405">IF(D707=1,OFFSET($Z$338,$B405,D$335-1)/SUMPRODUCT(--($D$335:$V$335=D$335),--($D707:$V707=1)),0)+SUM(D404)+IF(COUNTIF(D$641:D707,1)=1,5,0)+IF(COUNTIF(E405:$Z405,"&gt;"&amp;0)&gt;5,IF(MOD(COUNTIF(D$641:D707,1),7)=0,$C$4,0),0)</f>
        <v>847.507479683966</v>
      </c>
      <c r="E405" s="81" cm="1">
        <f ca="1" t="array" ref="E405">IF(E707=1,OFFSET($Z$338,$B405,E$335-1)/SUMPRODUCT(--($D$335:$V$335=E$335),--($D707:$V707=1)),0)+SUM(E404)+IF(COUNTIF(E$641:E707,1)=1,5,0)+IF(COUNTIF(F405:$Z405,"&gt;"&amp;0)&gt;5,IF(MOD(COUNTIF(E$641:E707,1),7)=0,$C$4,0),0)</f>
        <v>847.507479683966</v>
      </c>
      <c r="F405" s="81" cm="1">
        <f ca="1" t="array" ref="F405">IF(F707=1,OFFSET($Z$338,$B405,F$335-1)/SUMPRODUCT(--($D$335:$V$335=F$335),--($D707:$V707=1)),0)+SUM(F404)+IF(COUNTIF(F$641:F707,1)=1,5,0)+IF(COUNTIF(G405:$Z405,"&gt;"&amp;0)&gt;5,IF(MOD(COUNTIF(F$641:F707,1),7)=0,$C$4,0),0)</f>
        <v>847.507479683966</v>
      </c>
      <c r="G405" s="81" cm="1">
        <f ca="1" t="array" ref="G405">IF(G707=1,OFFSET($Z$338,$B405,G$335-1)/SUMPRODUCT(--($D$335:$V$335=G$335),--($D707:$V707=1)),0)+SUM(G404)+IF(COUNTIF(G$641:G707,1)=1,5,0)+IF(COUNTIF(H405:$Z405,"&gt;"&amp;0)&gt;5,IF(MOD(COUNTIF(G$641:G707,1),7)=0,$C$4,0),0)</f>
        <v>275.696666666667</v>
      </c>
      <c r="H405" s="81" cm="1">
        <f ca="1" t="array" ref="H405">IF(H707=1,OFFSET($Z$338,$B405,H$335-1)/SUMPRODUCT(--($D$335:$V$335=H$335),--($D707:$V707=1)),0)+SUM(H404)+IF(COUNTIF(H$641:H707,1)=1,5,0)+IF(COUNTIF(I405:$Z405,"&gt;"&amp;0)&gt;5,IF(MOD(COUNTIF(H$641:H707,1),7)=0,$C$4,0),0)</f>
        <v>275.696666666667</v>
      </c>
      <c r="I405" s="81" cm="1">
        <f ca="1" t="array" ref="I405">IF(I707=1,OFFSET($Z$338,$B405,I$335-1)/SUMPRODUCT(--($D$335:$V$335=I$335),--($D707:$V707=1)),0)+SUM(I404)+IF(COUNTIF(I$641:I707,1)=1,5,0)+IF(COUNTIF(J405:$Z405,"&gt;"&amp;0)&gt;5,IF(MOD(COUNTIF(I$641:I707,1),7)=0,$C$4,0),0)</f>
        <v>275.696666666667</v>
      </c>
      <c r="J405" s="81" cm="1">
        <f ca="1" t="array" ref="J405">IF(J707=1,OFFSET($Z$338,$B405,J$335-1)/SUMPRODUCT(--($D$335:$V$335=J$335),--($D707:$V707=1)),0)+SUM(J404)+IF(COUNTIF(J$641:J707,1)=1,5,0)+IF(COUNTIF(K405:$Z405,"&gt;"&amp;0)&gt;5,IF(MOD(COUNTIF(J$641:J707,1),7)=0,$C$4,0),0)</f>
        <v>275.696666666667</v>
      </c>
      <c r="K405" s="81" cm="1">
        <f ca="1" t="array" ref="K405">IF(K707=1,OFFSET($Z$338,$B405,K$335-1)/SUMPRODUCT(--($D$335:$V$335=K$335),--($D707:$V707=1)),0)+SUM(K404)+IF(COUNTIF(K$641:K707,1)=1,5,0)+IF(COUNTIF(L405:$Z405,"&gt;"&amp;0)&gt;5,IF(MOD(COUNTIF(K$641:K707,1),7)=0,$C$4,0),0)</f>
        <v>275.696666666667</v>
      </c>
      <c r="L405" s="81" cm="1">
        <f ca="1" t="array" ref="L405">IF(L707=1,OFFSET($Z$338,$B405,L$335-1)/SUMPRODUCT(--($D$335:$V$335=L$335),--($D707:$V707=1)),0)+SUM(L404)+IF(COUNTIF(L$641:L707,1)=1,5,0)+IF(COUNTIF(M405:$Z405,"&gt;"&amp;0)&gt;5,IF(MOD(COUNTIF(L$641:L707,1),7)=0,$C$4,0),0)</f>
        <v>268.996666666667</v>
      </c>
      <c r="M405" s="81" cm="1">
        <f ca="1" t="array" ref="M405">IF(M707=1,OFFSET($Z$338,$B405,M$335-1)/SUMPRODUCT(--($D$335:$V$335=M$335),--($D707:$V707=1)),0)+SUM(M404)+IF(COUNTIF(M$641:M707,1)=1,5,0)+IF(COUNTIF(N405:$Z405,"&gt;"&amp;0)&gt;5,IF(MOD(COUNTIF(M$641:M707,1),7)=0,$C$4,0),0)</f>
        <v>126.069821428571</v>
      </c>
      <c r="N405" s="81" cm="1">
        <f ca="1" t="array" ref="N405">IF(N707=1,OFFSET($Z$338,$B405,N$335-1)/SUMPRODUCT(--($D$335:$V$335=N$335),--($D707:$V707=1)),0)+SUM(N404)+IF(COUNTIF(N$641:N707,1)=1,5,0)+IF(COUNTIF(O405:$Z405,"&gt;"&amp;0)&gt;5,IF(MOD(COUNTIF(N$641:N707,1),7)=0,$C$4,0),0)</f>
        <v>118.344821428571</v>
      </c>
      <c r="O405" s="81" cm="1">
        <f ca="1" t="array" ref="O405">IF(O707=1,OFFSET($Z$338,$B405,O$335-1)/SUMPRODUCT(--($D$335:$V$335=O$335),--($D707:$V707=1)),0)+SUM(O404)+IF(COUNTIF(O$641:O707,1)=1,5,0)+IF(COUNTIF(P405:$Z405,"&gt;"&amp;0)&gt;5,IF(MOD(COUNTIF(O$641:O707,1),7)=0,$C$4,0),0)</f>
        <v>115.919821428571</v>
      </c>
      <c r="P405" s="81" cm="1">
        <f ca="1" t="array" ref="P405">IF(P707=1,OFFSET($Z$338,$B405,P$335-1)/SUMPRODUCT(--($D$335:$V$335=P$335),--($D707:$V707=1)),0)+SUM(P404)+IF(COUNTIF(P$641:P707,1)=1,5,0)+IF(COUNTIF(Q405:$Z405,"&gt;"&amp;0)&gt;5,IF(MOD(COUNTIF(P$641:P707,1),7)=0,$C$4,0),0)</f>
        <v>107.986488095238</v>
      </c>
      <c r="Q405" s="81" cm="1">
        <f ca="1" t="array" ref="Q405">IF(Q707=1,OFFSET($Z$338,$B405,Q$335-1)/SUMPRODUCT(--($D$335:$V$335=Q$335),--($D707:$V707=1)),0)+SUM(Q404)+IF(COUNTIF(Q$641:Q707,1)=1,5,0)+IF(COUNTIF(R405:$Z405,"&gt;"&amp;0)&gt;5,IF(MOD(COUNTIF(Q$641:Q707,1),7)=0,$C$4,0),0)</f>
        <v>107.080238095238</v>
      </c>
      <c r="R405" s="81" cm="1">
        <f ca="1" t="array" ref="R405">IF(R707=1,OFFSET($Z$338,$B405,R$335-1)/SUMPRODUCT(--($D$335:$V$335=R$335),--($D707:$V707=1)),0)+SUM(R404)+IF(COUNTIF(R$641:R707,1)=1,5,0)+IF(COUNTIF(S405:$Z405,"&gt;"&amp;0)&gt;5,IF(MOD(COUNTIF(R$641:R707,1),7)=0,$C$4,0),0)</f>
        <v>82.1852380952381</v>
      </c>
      <c r="S405" s="81" cm="1">
        <f ca="1" t="array" ref="S405">IF(S707=1,OFFSET($Z$338,$B405,S$335-1)/SUMPRODUCT(--($D$335:$V$335=S$335),--($D707:$V707=1)),0)+SUM(S404)+IF(COUNTIF(S$641:S707,1)=1,5,0)+IF(COUNTIF(T405:$Z405,"&gt;"&amp;0)&gt;5,IF(MOD(COUNTIF(S$641:S707,1),7)=0,$C$4,0),0)</f>
        <v>73.0185714285714</v>
      </c>
      <c r="T405" s="81" cm="1">
        <f ca="1" t="array" ref="T405">IF(T707=1,OFFSET($Z$338,$B405,T$335-1)/SUMPRODUCT(--($D$335:$V$335=T$335),--($D707:$V707=1)),0)+SUM(T404)+IF(COUNTIF(T$641:T707,1)=1,5,0)+IF(COUNTIF(U405:$Z405,"&gt;"&amp;0)&gt;5,IF(MOD(COUNTIF(T$641:T707,1),7)=0,$C$4,0),0)</f>
        <v>48.4501267124608</v>
      </c>
      <c r="U405" s="81" cm="1">
        <f ca="1" t="array" ref="U405">IF(U707=1,OFFSET($Z$338,$B405,U$335-1)/SUMPRODUCT(--($D$335:$V$335=U$335),--($D707:$V707=1)),0)+SUM(U404)+IF(COUNTIF(U$641:U707,1)=1,5,0)+IF(COUNTIF(V405:$Z405,"&gt;"&amp;0)&gt;5,IF(MOD(COUNTIF(U$641:U707,1),7)=0,$C$4,0),0)</f>
        <v>43.4501267124608</v>
      </c>
      <c r="V405" s="81" cm="1">
        <f ca="1" t="array" ref="V405">IF(V707=1,OFFSET($Z$338,$B405,V$335-1)/SUMPRODUCT(--($D$335:$V$335=V$335),--($D707:$V707=1)),0)+SUM(V404)+IF(COUNTIF(V$641:V707,1)=1,5,0)+IF(COUNTIF(Z405:$Z405,"&gt;"&amp;0)&gt;5,IF(MOD(COUNTIF(V$641:V707,1),7)=0,$C$4,0),0)</f>
        <v>35.4923075231788</v>
      </c>
      <c r="W405" s="81" cm="1">
        <f ca="1" t="array" ref="W405">IF(W707=1,OFFSET($Z$338,$B405,W$335-1)/SUMPRODUCT(--($D$335:$V$335=W$335),--($D707:$V707=1)),0)+SUM(W404)+IF(COUNTIF(W$641:W707,1)=1,5,0)+IF(COUNTIF($Z405:AA405,"&gt;"&amp;0)&gt;5,IF(MOD(COUNTIF(W$641:W707,1),7)=0,$C$4,0),0)</f>
        <v>26.1364384082295</v>
      </c>
      <c r="X405" s="81" cm="1">
        <f ca="1" t="array" ref="X405">IF(X707=1,OFFSET($Z$338,$B405,X$335-1)/SUMPRODUCT(--($D$335:$V$335=X$335),--($D707:$V707=1)),0)+SUM(X404)+IF(COUNTIF(X$641:X707,1)=1,5,0)+IF(COUNTIF($Z405:AB405,"&gt;"&amp;0)&gt;5,IF(MOD(COUNTIF(X$641:X707,1),7)=0,$C$4,0),0)</f>
        <v>19.3727781175961</v>
      </c>
      <c r="Y405" s="81" cm="1">
        <f ca="1" t="array" ref="Y405">IF(Y707=1,OFFSET($Z$338,$B405,Y$335-1)/SUMPRODUCT(--($D$335:$V$335=Y$335),--($D707:$V707=1)),0)+SUM(Y404)+IF(COUNTIF(Y$641:Y707,1)=1,5,0)+IF(COUNTIF($Z405:AC405,"&gt;"&amp;0)&gt;5,IF(MOD(COUNTIF(Y$641:Y707,1),7)=0,$C$4,0),0)</f>
        <v>12.6091178269626</v>
      </c>
      <c r="Z405" s="82" cm="1">
        <f ca="1" t="array" ref="Z405">SUMPRODUCT(TRANSPOSE($AD405:$AJ405),OFFSET($L$10:$L$16,0,Z$335-1))</f>
        <v>23.8636273910124</v>
      </c>
      <c r="AA405" s="82" cm="1">
        <f ca="1" t="array" ref="AA405">SUMPRODUCT(TRANSPOSE($AD405:$AJ405),OFFSET($L$10:$L$16,0,AA$335-1))</f>
        <v>19.8</v>
      </c>
      <c r="AB405" s="82" cm="1">
        <f ca="1" t="array" ref="AB405">SUMPRODUCT(TRANSPOSE($AD405:$AJ405),OFFSET($L$10:$L$16,0,AB$335-1))</f>
        <v>8.8</v>
      </c>
      <c r="AC405" s="82" cm="1">
        <f ca="1" t="array" ref="AC405">SUMPRODUCT(TRANSPOSE($AD405:$AJ405),OFFSET($L$10:$L$16,0,AC$335-1))</f>
        <v>2.53637260898755</v>
      </c>
      <c r="AD405" s="83">
        <f ca="1" t="shared" ref="AD405:AJ405" si="455">AK405-AK404</f>
        <v>0</v>
      </c>
      <c r="AE405" s="83">
        <f ca="1" t="shared" si="455"/>
        <v>0</v>
      </c>
      <c r="AF405" s="83">
        <f ca="1" t="shared" si="455"/>
        <v>0</v>
      </c>
      <c r="AG405" s="83">
        <f ca="1" t="shared" si="455"/>
        <v>0</v>
      </c>
      <c r="AH405" s="83">
        <f ca="1" t="shared" si="455"/>
        <v>110</v>
      </c>
      <c r="AI405" s="83">
        <f ca="1" t="shared" si="455"/>
        <v>0</v>
      </c>
      <c r="AJ405" s="83">
        <f ca="1" t="shared" si="455"/>
        <v>0</v>
      </c>
      <c r="AK405" s="83">
        <f ca="1" t="shared" si="451"/>
        <v>450</v>
      </c>
      <c r="AL405" s="83">
        <f ca="1" t="shared" ref="AL405:AQ405" si="456">IF($C405&gt;OFFSET($Q$9,MATCH(AL$338,$AK$338:$AQ$338,0),0),OFFSET($P$9,MATCH(AL$338,$AK$338:$AQ$338,0),0),MAX(0,$C405-OFFSET($Q$9,RIGHT(AL$338,1)-1,0)))</f>
        <v>909</v>
      </c>
      <c r="AM405" s="83">
        <f ca="1" t="shared" si="456"/>
        <v>1818</v>
      </c>
      <c r="AN405" s="83">
        <f ca="1" t="shared" si="456"/>
        <v>2727</v>
      </c>
      <c r="AO405" s="83">
        <f ca="1" t="shared" si="456"/>
        <v>2792</v>
      </c>
      <c r="AP405" s="83">
        <f ca="1" t="shared" si="456"/>
        <v>0</v>
      </c>
      <c r="AQ405" s="83">
        <f ca="1" t="shared" si="456"/>
        <v>0</v>
      </c>
    </row>
    <row r="406" ht="16.5" spans="2:43">
      <c r="B406" s="65">
        <v>68</v>
      </c>
      <c r="C406" s="80">
        <f t="shared" si="449"/>
        <v>8806</v>
      </c>
      <c r="D406" s="81" cm="1">
        <f ca="1" t="array" ref="D406">IF(D708=1,OFFSET($Z$338,$B406,D$335-1)/SUMPRODUCT(--($D$335:$V$335=D$335),--($D708:$V708=1)),0)+SUM(D405)+IF(COUNTIF(D$641:D708,1)=1,5,0)+IF(COUNTIF(E406:$Z406,"&gt;"&amp;0)&gt;5,IF(MOD(COUNTIF(D$641:D708,1),7)=0,$C$4,0),0)</f>
        <v>855.462022147637</v>
      </c>
      <c r="E406" s="81" cm="1">
        <f ca="1" t="array" ref="E406">IF(E708=1,OFFSET($Z$338,$B406,E$335-1)/SUMPRODUCT(--($D$335:$V$335=E$335),--($D708:$V708=1)),0)+SUM(E405)+IF(COUNTIF(E$641:E708,1)=1,5,0)+IF(COUNTIF(F406:$Z406,"&gt;"&amp;0)&gt;5,IF(MOD(COUNTIF(E$641:E708,1),7)=0,$C$4,0),0)</f>
        <v>855.462022147637</v>
      </c>
      <c r="F406" s="81" cm="1">
        <f ca="1" t="array" ref="F406">IF(F708=1,OFFSET($Z$338,$B406,F$335-1)/SUMPRODUCT(--($D$335:$V$335=F$335),--($D708:$V708=1)),0)+SUM(F405)+IF(COUNTIF(F$641:F708,1)=1,5,0)+IF(COUNTIF(G406:$Z406,"&gt;"&amp;0)&gt;5,IF(MOD(COUNTIF(F$641:F708,1),7)=0,$C$4,0),0)</f>
        <v>855.462022147637</v>
      </c>
      <c r="G406" s="81" cm="1">
        <f ca="1" t="array" ref="G406">IF(G708=1,OFFSET($Z$338,$B406,G$335-1)/SUMPRODUCT(--($D$335:$V$335=G$335),--($D708:$V708=1)),0)+SUM(G405)+IF(COUNTIF(G$641:G708,1)=1,5,0)+IF(COUNTIF(H406:$Z406,"&gt;"&amp;0)&gt;5,IF(MOD(COUNTIF(G$641:G708,1),7)=0,$C$4,0),0)</f>
        <v>278.996666666667</v>
      </c>
      <c r="H406" s="81" cm="1">
        <f ca="1" t="array" ref="H406">IF(H708=1,OFFSET($Z$338,$B406,H$335-1)/SUMPRODUCT(--($D$335:$V$335=H$335),--($D708:$V708=1)),0)+SUM(H405)+IF(COUNTIF(H$641:H708,1)=1,5,0)+IF(COUNTIF(I406:$Z406,"&gt;"&amp;0)&gt;5,IF(MOD(COUNTIF(H$641:H708,1),7)=0,$C$4,0),0)</f>
        <v>278.996666666667</v>
      </c>
      <c r="I406" s="81" cm="1">
        <f ca="1" t="array" ref="I406">IF(I708=1,OFFSET($Z$338,$B406,I$335-1)/SUMPRODUCT(--($D$335:$V$335=I$335),--($D708:$V708=1)),0)+SUM(I405)+IF(COUNTIF(I$641:I708,1)=1,5,0)+IF(COUNTIF(J406:$Z406,"&gt;"&amp;0)&gt;5,IF(MOD(COUNTIF(I$641:I708,1),7)=0,$C$4,0),0)</f>
        <v>278.996666666667</v>
      </c>
      <c r="J406" s="81" cm="1">
        <f ca="1" t="array" ref="J406">IF(J708=1,OFFSET($Z$338,$B406,J$335-1)/SUMPRODUCT(--($D$335:$V$335=J$335),--($D708:$V708=1)),0)+SUM(J405)+IF(COUNTIF(J$641:J708,1)=1,5,0)+IF(COUNTIF(K406:$Z406,"&gt;"&amp;0)&gt;5,IF(MOD(COUNTIF(J$641:J708,1),7)=0,$C$4,0),0)</f>
        <v>278.996666666667</v>
      </c>
      <c r="K406" s="81" cm="1">
        <f ca="1" t="array" ref="K406">IF(K708=1,OFFSET($Z$338,$B406,K$335-1)/SUMPRODUCT(--($D$335:$V$335=K$335),--($D708:$V708=1)),0)+SUM(K405)+IF(COUNTIF(K$641:K708,1)=1,5,0)+IF(COUNTIF(L406:$Z406,"&gt;"&amp;0)&gt;5,IF(MOD(COUNTIF(K$641:K708,1),7)=0,$C$4,0),0)</f>
        <v>278.996666666667</v>
      </c>
      <c r="L406" s="81" cm="1">
        <f ca="1" t="array" ref="L406">IF(L708=1,OFFSET($Z$338,$B406,L$335-1)/SUMPRODUCT(--($D$335:$V$335=L$335),--($D708:$V708=1)),0)+SUM(L405)+IF(COUNTIF(L$641:L708,1)=1,5,0)+IF(COUNTIF(M406:$Z406,"&gt;"&amp;0)&gt;5,IF(MOD(COUNTIF(L$641:L708,1),7)=0,$C$4,0),0)</f>
        <v>272.296666666667</v>
      </c>
      <c r="M406" s="81" cm="1">
        <f ca="1" t="array" ref="M406">IF(M708=1,OFFSET($Z$338,$B406,M$335-1)/SUMPRODUCT(--($D$335:$V$335=M$335),--($D708:$V708=1)),0)+SUM(M405)+IF(COUNTIF(M$641:M708,1)=1,5,0)+IF(COUNTIF(N406:$Z406,"&gt;"&amp;0)&gt;5,IF(MOD(COUNTIF(M$641:M708,1),7)=0,$C$4,0),0)</f>
        <v>127.326964285714</v>
      </c>
      <c r="N406" s="81" cm="1">
        <f ca="1" t="array" ref="N406">IF(N708=1,OFFSET($Z$338,$B406,N$335-1)/SUMPRODUCT(--($D$335:$V$335=N$335),--($D708:$V708=1)),0)+SUM(N405)+IF(COUNTIF(N$641:N708,1)=1,5,0)+IF(COUNTIF(O406:$Z406,"&gt;"&amp;0)&gt;5,IF(MOD(COUNTIF(N$641:N708,1),7)=0,$C$4,0),0)</f>
        <v>119.601964285714</v>
      </c>
      <c r="O406" s="81" cm="1">
        <f ca="1" t="array" ref="O406">IF(O708=1,OFFSET($Z$338,$B406,O$335-1)/SUMPRODUCT(--($D$335:$V$335=O$335),--($D708:$V708=1)),0)+SUM(O405)+IF(COUNTIF(O$641:O708,1)=1,5,0)+IF(COUNTIF(P406:$Z406,"&gt;"&amp;0)&gt;5,IF(MOD(COUNTIF(O$641:O708,1),7)=0,$C$4,0),0)</f>
        <v>117.176964285714</v>
      </c>
      <c r="P406" s="81" cm="1">
        <f ca="1" t="array" ref="P406">IF(P708=1,OFFSET($Z$338,$B406,P$335-1)/SUMPRODUCT(--($D$335:$V$335=P$335),--($D708:$V708=1)),0)+SUM(P405)+IF(COUNTIF(P$641:P708,1)=1,5,0)+IF(COUNTIF(Q406:$Z406,"&gt;"&amp;0)&gt;5,IF(MOD(COUNTIF(P$641:P708,1),7)=0,$C$4,0),0)</f>
        <v>114.243630952381</v>
      </c>
      <c r="Q406" s="81" cm="1">
        <f ca="1" t="array" ref="Q406">IF(Q708=1,OFFSET($Z$338,$B406,Q$335-1)/SUMPRODUCT(--($D$335:$V$335=Q$335),--($D708:$V708=1)),0)+SUM(Q405)+IF(COUNTIF(Q$641:Q708,1)=1,5,0)+IF(COUNTIF(R406:$Z406,"&gt;"&amp;0)&gt;5,IF(MOD(COUNTIF(Q$641:Q708,1),7)=0,$C$4,0),0)</f>
        <v>108.337380952381</v>
      </c>
      <c r="R406" s="81" cm="1">
        <f ca="1" t="array" ref="R406">IF(R708=1,OFFSET($Z$338,$B406,R$335-1)/SUMPRODUCT(--($D$335:$V$335=R$335),--($D708:$V708=1)),0)+SUM(R405)+IF(COUNTIF(R$641:R708,1)=1,5,0)+IF(COUNTIF(S406:$Z406,"&gt;"&amp;0)&gt;5,IF(MOD(COUNTIF(R$641:R708,1),7)=0,$C$4,0),0)</f>
        <v>83.4423809523809</v>
      </c>
      <c r="S406" s="81" cm="1">
        <f ca="1" t="array" ref="S406">IF(S708=1,OFFSET($Z$338,$B406,S$335-1)/SUMPRODUCT(--($D$335:$V$335=S$335),--($D708:$V708=1)),0)+SUM(S405)+IF(COUNTIF(S$641:S708,1)=1,5,0)+IF(COUNTIF(T406:$Z406,"&gt;"&amp;0)&gt;5,IF(MOD(COUNTIF(S$641:S708,1),7)=0,$C$4,0),0)</f>
        <v>79.2757142857143</v>
      </c>
      <c r="T406" s="81" cm="1">
        <f ca="1" t="array" ref="T406">IF(T708=1,OFFSET($Z$338,$B406,T$335-1)/SUMPRODUCT(--($D$335:$V$335=T$335),--($D708:$V708=1)),0)+SUM(T405)+IF(COUNTIF(T$641:T708,1)=1,5,0)+IF(COUNTIF(U406:$Z406,"&gt;"&amp;0)&gt;5,IF(MOD(COUNTIF(T$641:T708,1),7)=0,$C$4,0),0)</f>
        <v>49.29558424879</v>
      </c>
      <c r="U406" s="81" cm="1">
        <f ca="1" t="array" ref="U406">IF(U708=1,OFFSET($Z$338,$B406,U$335-1)/SUMPRODUCT(--($D$335:$V$335=U$335),--($D708:$V708=1)),0)+SUM(U405)+IF(COUNTIF(U$641:U708,1)=1,5,0)+IF(COUNTIF(V406:$Z406,"&gt;"&amp;0)&gt;5,IF(MOD(COUNTIF(U$641:U708,1),7)=0,$C$4,0),0)</f>
        <v>44.29558424879</v>
      </c>
      <c r="V406" s="81" cm="1">
        <f ca="1" t="array" ref="V406">IF(V708=1,OFFSET($Z$338,$B406,V$335-1)/SUMPRODUCT(--($D$335:$V$335=V$335),--($D708:$V708=1)),0)+SUM(V405)+IF(COUNTIF(V$641:V708,1)=1,5,0)+IF(COUNTIF(Z406:$Z406,"&gt;"&amp;0)&gt;5,IF(MOD(COUNTIF(V$641:V708,1),7)=0,$C$4,0),0)</f>
        <v>36.337765059508</v>
      </c>
      <c r="W406" s="81" cm="1">
        <f ca="1" t="array" ref="W406">IF(W708=1,OFFSET($Z$338,$B406,W$335-1)/SUMPRODUCT(--($D$335:$V$335=W$335),--($D708:$V708=1)),0)+SUM(W405)+IF(COUNTIF(W$641:W708,1)=1,5,0)+IF(COUNTIF($Z406:AA406,"&gt;"&amp;0)&gt;5,IF(MOD(COUNTIF(W$641:W708,1),7)=0,$C$4,0),0)</f>
        <v>26.9818959445587</v>
      </c>
      <c r="X406" s="81" cm="1">
        <f ca="1" t="array" ref="X406">IF(X708=1,OFFSET($Z$338,$B406,X$335-1)/SUMPRODUCT(--($D$335:$V$335=X$335),--($D708:$V708=1)),0)+SUM(X405)+IF(COUNTIF(X$641:X708,1)=1,5,0)+IF(COUNTIF($Z406:AB406,"&gt;"&amp;0)&gt;5,IF(MOD(COUNTIF(X$641:X708,1),7)=0,$C$4,0),0)</f>
        <v>20.2182356539253</v>
      </c>
      <c r="Y406" s="81" cm="1">
        <f ca="1" t="array" ref="Y406">IF(Y708=1,OFFSET($Z$338,$B406,Y$335-1)/SUMPRODUCT(--($D$335:$V$335=Y$335),--($D708:$V708=1)),0)+SUM(Y405)+IF(COUNTIF(Y$641:Y708,1)=1,5,0)+IF(COUNTIF($Z406:AC406,"&gt;"&amp;0)&gt;5,IF(MOD(COUNTIF(Y$641:Y708,1),7)=0,$C$4,0),0)</f>
        <v>13.4545753632918</v>
      </c>
      <c r="Z406" s="82" cm="1">
        <f ca="1" t="array" ref="Z406">SUMPRODUCT(TRANSPOSE($AD406:$AJ406),OFFSET($L$10:$L$16,0,Z$335-1))</f>
        <v>23.8636273910124</v>
      </c>
      <c r="AA406" s="82" cm="1">
        <f ca="1" t="array" ref="AA406">SUMPRODUCT(TRANSPOSE($AD406:$AJ406),OFFSET($L$10:$L$16,0,AA$335-1))</f>
        <v>19.8</v>
      </c>
      <c r="AB406" s="82" cm="1">
        <f ca="1" t="array" ref="AB406">SUMPRODUCT(TRANSPOSE($AD406:$AJ406),OFFSET($L$10:$L$16,0,AB$335-1))</f>
        <v>8.8</v>
      </c>
      <c r="AC406" s="82" cm="1">
        <f ca="1" t="array" ref="AC406">SUMPRODUCT(TRANSPOSE($AD406:$AJ406),OFFSET($L$10:$L$16,0,AC$335-1))</f>
        <v>2.53637260898755</v>
      </c>
      <c r="AD406" s="83">
        <f ca="1" t="shared" ref="AD406:AJ406" si="457">AK406-AK405</f>
        <v>0</v>
      </c>
      <c r="AE406" s="83">
        <f ca="1" t="shared" si="457"/>
        <v>0</v>
      </c>
      <c r="AF406" s="83">
        <f ca="1" t="shared" si="457"/>
        <v>0</v>
      </c>
      <c r="AG406" s="83">
        <f ca="1" t="shared" si="457"/>
        <v>0</v>
      </c>
      <c r="AH406" s="83">
        <f ca="1" t="shared" si="457"/>
        <v>110</v>
      </c>
      <c r="AI406" s="83">
        <f ca="1" t="shared" si="457"/>
        <v>0</v>
      </c>
      <c r="AJ406" s="83">
        <f ca="1" t="shared" si="457"/>
        <v>0</v>
      </c>
      <c r="AK406" s="83">
        <f ca="1" t="shared" si="451"/>
        <v>450</v>
      </c>
      <c r="AL406" s="83">
        <f ca="1" t="shared" ref="AL406:AQ406" si="458">IF($C406&gt;OFFSET($Q$9,MATCH(AL$338,$AK$338:$AQ$338,0),0),OFFSET($P$9,MATCH(AL$338,$AK$338:$AQ$338,0),0),MAX(0,$C406-OFFSET($Q$9,RIGHT(AL$338,1)-1,0)))</f>
        <v>909</v>
      </c>
      <c r="AM406" s="83">
        <f ca="1" t="shared" si="458"/>
        <v>1818</v>
      </c>
      <c r="AN406" s="83">
        <f ca="1" t="shared" si="458"/>
        <v>2727</v>
      </c>
      <c r="AO406" s="83">
        <f ca="1" t="shared" si="458"/>
        <v>2902</v>
      </c>
      <c r="AP406" s="83">
        <f ca="1" t="shared" si="458"/>
        <v>0</v>
      </c>
      <c r="AQ406" s="83">
        <f ca="1" t="shared" si="458"/>
        <v>0</v>
      </c>
    </row>
    <row r="407" ht="16.5" spans="2:43">
      <c r="B407" s="65">
        <v>69</v>
      </c>
      <c r="C407" s="80">
        <f t="shared" si="449"/>
        <v>8916</v>
      </c>
      <c r="D407" s="81" cm="1">
        <f ca="1" t="array" ref="D407">IF(D709=1,OFFSET($Z$338,$B407,D$335-1)/SUMPRODUCT(--($D$335:$V$335=D$335),--($D709:$V709=1)),0)+SUM(D406)+IF(COUNTIF(D$641:D709,1)=1,5,0)+IF(COUNTIF(E407:$Z407,"&gt;"&amp;0)&gt;5,IF(MOD(COUNTIF(D$641:D709,1),7)=0,$C$4,0),0)</f>
        <v>863.416564611308</v>
      </c>
      <c r="E407" s="81" cm="1">
        <f ca="1" t="array" ref="E407">IF(E709=1,OFFSET($Z$338,$B407,E$335-1)/SUMPRODUCT(--($D$335:$V$335=E$335),--($D709:$V709=1)),0)+SUM(E406)+IF(COUNTIF(E$641:E709,1)=1,5,0)+IF(COUNTIF(F407:$Z407,"&gt;"&amp;0)&gt;5,IF(MOD(COUNTIF(E$641:E709,1),7)=0,$C$4,0),0)</f>
        <v>863.416564611308</v>
      </c>
      <c r="F407" s="81" cm="1">
        <f ca="1" t="array" ref="F407">IF(F709=1,OFFSET($Z$338,$B407,F$335-1)/SUMPRODUCT(--($D$335:$V$335=F$335),--($D709:$V709=1)),0)+SUM(F406)+IF(COUNTIF(F$641:F709,1)=1,5,0)+IF(COUNTIF(G407:$Z407,"&gt;"&amp;0)&gt;5,IF(MOD(COUNTIF(F$641:F709,1),7)=0,$C$4,0),0)</f>
        <v>863.416564611308</v>
      </c>
      <c r="G407" s="81" cm="1">
        <f ca="1" t="array" ref="G407">IF(G709=1,OFFSET($Z$338,$B407,G$335-1)/SUMPRODUCT(--($D$335:$V$335=G$335),--($D709:$V709=1)),0)+SUM(G406)+IF(COUNTIF(G$641:G709,1)=1,5,0)+IF(COUNTIF(H407:$Z407,"&gt;"&amp;0)&gt;5,IF(MOD(COUNTIF(G$641:G709,1),7)=0,$C$4,0),0)</f>
        <v>282.296666666667</v>
      </c>
      <c r="H407" s="81" cm="1">
        <f ca="1" t="array" ref="H407">IF(H709=1,OFFSET($Z$338,$B407,H$335-1)/SUMPRODUCT(--($D$335:$V$335=H$335),--($D709:$V709=1)),0)+SUM(H406)+IF(COUNTIF(H$641:H709,1)=1,5,0)+IF(COUNTIF(I407:$Z407,"&gt;"&amp;0)&gt;5,IF(MOD(COUNTIF(H$641:H709,1),7)=0,$C$4,0),0)</f>
        <v>282.296666666667</v>
      </c>
      <c r="I407" s="81" cm="1">
        <f ca="1" t="array" ref="I407">IF(I709=1,OFFSET($Z$338,$B407,I$335-1)/SUMPRODUCT(--($D$335:$V$335=I$335),--($D709:$V709=1)),0)+SUM(I406)+IF(COUNTIF(I$641:I709,1)=1,5,0)+IF(COUNTIF(J407:$Z407,"&gt;"&amp;0)&gt;5,IF(MOD(COUNTIF(I$641:I709,1),7)=0,$C$4,0),0)</f>
        <v>282.296666666667</v>
      </c>
      <c r="J407" s="81" cm="1">
        <f ca="1" t="array" ref="J407">IF(J709=1,OFFSET($Z$338,$B407,J$335-1)/SUMPRODUCT(--($D$335:$V$335=J$335),--($D709:$V709=1)),0)+SUM(J406)+IF(COUNTIF(J$641:J709,1)=1,5,0)+IF(COUNTIF(K407:$Z407,"&gt;"&amp;0)&gt;5,IF(MOD(COUNTIF(J$641:J709,1),7)=0,$C$4,0),0)</f>
        <v>282.296666666667</v>
      </c>
      <c r="K407" s="81" cm="1">
        <f ca="1" t="array" ref="K407">IF(K709=1,OFFSET($Z$338,$B407,K$335-1)/SUMPRODUCT(--($D$335:$V$335=K$335),--($D709:$V709=1)),0)+SUM(K406)+IF(COUNTIF(K$641:K709,1)=1,5,0)+IF(COUNTIF(L407:$Z407,"&gt;"&amp;0)&gt;5,IF(MOD(COUNTIF(K$641:K709,1),7)=0,$C$4,0),0)</f>
        <v>282.296666666667</v>
      </c>
      <c r="L407" s="81" cm="1">
        <f ca="1" t="array" ref="L407">IF(L709=1,OFFSET($Z$338,$B407,L$335-1)/SUMPRODUCT(--($D$335:$V$335=L$335),--($D709:$V709=1)),0)+SUM(L406)+IF(COUNTIF(L$641:L709,1)=1,5,0)+IF(COUNTIF(M407:$Z407,"&gt;"&amp;0)&gt;5,IF(MOD(COUNTIF(L$641:L709,1),7)=0,$C$4,0),0)</f>
        <v>275.596666666667</v>
      </c>
      <c r="M407" s="81" cm="1">
        <f ca="1" t="array" ref="M407">IF(M709=1,OFFSET($Z$338,$B407,M$335-1)/SUMPRODUCT(--($D$335:$V$335=M$335),--($D709:$V709=1)),0)+SUM(M406)+IF(COUNTIF(M$641:M709,1)=1,5,0)+IF(COUNTIF(N407:$Z407,"&gt;"&amp;0)&gt;5,IF(MOD(COUNTIF(M$641:M709,1),7)=0,$C$4,0),0)</f>
        <v>128.584107142857</v>
      </c>
      <c r="N407" s="81" cm="1">
        <f ca="1" t="array" ref="N407">IF(N709=1,OFFSET($Z$338,$B407,N$335-1)/SUMPRODUCT(--($D$335:$V$335=N$335),--($D709:$V709=1)),0)+SUM(N406)+IF(COUNTIF(N$641:N709,1)=1,5,0)+IF(COUNTIF(O407:$Z407,"&gt;"&amp;0)&gt;5,IF(MOD(COUNTIF(N$641:N709,1),7)=0,$C$4,0),0)</f>
        <v>120.859107142857</v>
      </c>
      <c r="O407" s="81" cm="1">
        <f ca="1" t="array" ref="O407">IF(O709=1,OFFSET($Z$338,$B407,O$335-1)/SUMPRODUCT(--($D$335:$V$335=O$335),--($D709:$V709=1)),0)+SUM(O406)+IF(COUNTIF(O$641:O709,1)=1,5,0)+IF(COUNTIF(P407:$Z407,"&gt;"&amp;0)&gt;5,IF(MOD(COUNTIF(O$641:O709,1),7)=0,$C$4,0),0)</f>
        <v>118.434107142857</v>
      </c>
      <c r="P407" s="81" cm="1">
        <f ca="1" t="array" ref="P407">IF(P709=1,OFFSET($Z$338,$B407,P$335-1)/SUMPRODUCT(--($D$335:$V$335=P$335),--($D709:$V709=1)),0)+SUM(P406)+IF(COUNTIF(P$641:P709,1)=1,5,0)+IF(COUNTIF(Q407:$Z407,"&gt;"&amp;0)&gt;5,IF(MOD(COUNTIF(P$641:P709,1),7)=0,$C$4,0),0)</f>
        <v>115.500773809524</v>
      </c>
      <c r="Q407" s="81" cm="1">
        <f ca="1" t="array" ref="Q407">IF(Q709=1,OFFSET($Z$338,$B407,Q$335-1)/SUMPRODUCT(--($D$335:$V$335=Q$335),--($D709:$V709=1)),0)+SUM(Q406)+IF(COUNTIF(Q$641:Q709,1)=1,5,0)+IF(COUNTIF(R407:$Z407,"&gt;"&amp;0)&gt;5,IF(MOD(COUNTIF(Q$641:Q709,1),7)=0,$C$4,0),0)</f>
        <v>114.594523809524</v>
      </c>
      <c r="R407" s="81" cm="1">
        <f ca="1" t="array" ref="R407">IF(R709=1,OFFSET($Z$338,$B407,R$335-1)/SUMPRODUCT(--($D$335:$V$335=R$335),--($D709:$V709=1)),0)+SUM(R406)+IF(COUNTIF(R$641:R709,1)=1,5,0)+IF(COUNTIF(S407:$Z407,"&gt;"&amp;0)&gt;5,IF(MOD(COUNTIF(R$641:R709,1),7)=0,$C$4,0),0)</f>
        <v>84.6995238095238</v>
      </c>
      <c r="S407" s="81" cm="1">
        <f ca="1" t="array" ref="S407">IF(S709=1,OFFSET($Z$338,$B407,S$335-1)/SUMPRODUCT(--($D$335:$V$335=S$335),--($D709:$V709=1)),0)+SUM(S406)+IF(COUNTIF(S$641:S709,1)=1,5,0)+IF(COUNTIF(T407:$Z407,"&gt;"&amp;0)&gt;5,IF(MOD(COUNTIF(S$641:S709,1),7)=0,$C$4,0),0)</f>
        <v>80.5328571428572</v>
      </c>
      <c r="T407" s="81" cm="1">
        <f ca="1" t="array" ref="T407">IF(T709=1,OFFSET($Z$338,$B407,T$335-1)/SUMPRODUCT(--($D$335:$V$335=T$335),--($D709:$V709=1)),0)+SUM(T406)+IF(COUNTIF(T$641:T709,1)=1,5,0)+IF(COUNTIF(U407:$Z407,"&gt;"&amp;0)&gt;5,IF(MOD(COUNTIF(T$641:T709,1),7)=0,$C$4,0),0)</f>
        <v>55.1410417851191</v>
      </c>
      <c r="U407" s="81" cm="1">
        <f ca="1" t="array" ref="U407">IF(U709=1,OFFSET($Z$338,$B407,U$335-1)/SUMPRODUCT(--($D$335:$V$335=U$335),--($D709:$V709=1)),0)+SUM(U406)+IF(COUNTIF(U$641:U709,1)=1,5,0)+IF(COUNTIF(V407:$Z407,"&gt;"&amp;0)&gt;5,IF(MOD(COUNTIF(U$641:U709,1),7)=0,$C$4,0),0)</f>
        <v>45.1410417851191</v>
      </c>
      <c r="V407" s="81" cm="1">
        <f ca="1" t="array" ref="V407">IF(V709=1,OFFSET($Z$338,$B407,V$335-1)/SUMPRODUCT(--($D$335:$V$335=V$335),--($D709:$V709=1)),0)+SUM(V406)+IF(COUNTIF(V$641:V709,1)=1,5,0)+IF(COUNTIF(Z407:$Z407,"&gt;"&amp;0)&gt;5,IF(MOD(COUNTIF(V$641:V709,1),7)=0,$C$4,0),0)</f>
        <v>37.1832225958372</v>
      </c>
      <c r="W407" s="81" cm="1">
        <f ca="1" t="array" ref="W407">IF(W709=1,OFFSET($Z$338,$B407,W$335-1)/SUMPRODUCT(--($D$335:$V$335=W$335),--($D709:$V709=1)),0)+SUM(W406)+IF(COUNTIF(W$641:W709,1)=1,5,0)+IF(COUNTIF($Z407:AA407,"&gt;"&amp;0)&gt;5,IF(MOD(COUNTIF(W$641:W709,1),7)=0,$C$4,0),0)</f>
        <v>27.8273534808879</v>
      </c>
      <c r="X407" s="81" cm="1">
        <f ca="1" t="array" ref="X407">IF(X709=1,OFFSET($Z$338,$B407,X$335-1)/SUMPRODUCT(--($D$335:$V$335=X$335),--($D709:$V709=1)),0)+SUM(X406)+IF(COUNTIF(X$641:X709,1)=1,5,0)+IF(COUNTIF($Z407:AB407,"&gt;"&amp;0)&gt;5,IF(MOD(COUNTIF(X$641:X709,1),7)=0,$C$4,0),0)</f>
        <v>21.0636931902545</v>
      </c>
      <c r="Y407" s="81" cm="1">
        <f ca="1" t="array" ref="Y407">IF(Y709=1,OFFSET($Z$338,$B407,Y$335-1)/SUMPRODUCT(--($D$335:$V$335=Y$335),--($D709:$V709=1)),0)+SUM(Y406)+IF(COUNTIF(Y$641:Y709,1)=1,5,0)+IF(COUNTIF($Z407:AC407,"&gt;"&amp;0)&gt;5,IF(MOD(COUNTIF(Y$641:Y709,1),7)=0,$C$4,0),0)</f>
        <v>14.300032899621</v>
      </c>
      <c r="Z407" s="82" cm="1">
        <f ca="1" t="array" ref="Z407">SUMPRODUCT(TRANSPOSE($AD407:$AJ407),OFFSET($L$10:$L$16,0,Z$335-1))</f>
        <v>23.8636273910124</v>
      </c>
      <c r="AA407" s="82" cm="1">
        <f ca="1" t="array" ref="AA407">SUMPRODUCT(TRANSPOSE($AD407:$AJ407),OFFSET($L$10:$L$16,0,AA$335-1))</f>
        <v>19.8</v>
      </c>
      <c r="AB407" s="82" cm="1">
        <f ca="1" t="array" ref="AB407">SUMPRODUCT(TRANSPOSE($AD407:$AJ407),OFFSET($L$10:$L$16,0,AB$335-1))</f>
        <v>8.8</v>
      </c>
      <c r="AC407" s="82" cm="1">
        <f ca="1" t="array" ref="AC407">SUMPRODUCT(TRANSPOSE($AD407:$AJ407),OFFSET($L$10:$L$16,0,AC$335-1))</f>
        <v>2.53637260898755</v>
      </c>
      <c r="AD407" s="83">
        <f ca="1" t="shared" ref="AD407:AJ407" si="459">AK407-AK406</f>
        <v>0</v>
      </c>
      <c r="AE407" s="83">
        <f ca="1" t="shared" si="459"/>
        <v>0</v>
      </c>
      <c r="AF407" s="83">
        <f ca="1" t="shared" si="459"/>
        <v>0</v>
      </c>
      <c r="AG407" s="83">
        <f ca="1" t="shared" si="459"/>
        <v>0</v>
      </c>
      <c r="AH407" s="83">
        <f ca="1" t="shared" si="459"/>
        <v>110</v>
      </c>
      <c r="AI407" s="83">
        <f ca="1" t="shared" si="459"/>
        <v>0</v>
      </c>
      <c r="AJ407" s="83">
        <f ca="1" t="shared" si="459"/>
        <v>0</v>
      </c>
      <c r="AK407" s="83">
        <f ca="1" t="shared" si="451"/>
        <v>450</v>
      </c>
      <c r="AL407" s="83">
        <f ca="1" t="shared" ref="AL407:AQ407" si="460">IF($C407&gt;OFFSET($Q$9,MATCH(AL$338,$AK$338:$AQ$338,0),0),OFFSET($P$9,MATCH(AL$338,$AK$338:$AQ$338,0),0),MAX(0,$C407-OFFSET($Q$9,RIGHT(AL$338,1)-1,0)))</f>
        <v>909</v>
      </c>
      <c r="AM407" s="83">
        <f ca="1" t="shared" si="460"/>
        <v>1818</v>
      </c>
      <c r="AN407" s="83">
        <f ca="1" t="shared" si="460"/>
        <v>2727</v>
      </c>
      <c r="AO407" s="83">
        <f ca="1" t="shared" si="460"/>
        <v>3012</v>
      </c>
      <c r="AP407" s="83">
        <f ca="1" t="shared" si="460"/>
        <v>0</v>
      </c>
      <c r="AQ407" s="83">
        <f ca="1" t="shared" si="460"/>
        <v>0</v>
      </c>
    </row>
    <row r="408" ht="16.5" spans="2:43">
      <c r="B408" s="65">
        <v>70</v>
      </c>
      <c r="C408" s="80">
        <f t="shared" si="449"/>
        <v>9026</v>
      </c>
      <c r="D408" s="81" cm="1">
        <f ca="1" t="array" ref="D408">IF(D710=1,OFFSET($Z$338,$B408,D$335-1)/SUMPRODUCT(--($D$335:$V$335=D$335),--($D710:$V710=1)),0)+SUM(D407)+IF(COUNTIF(D$641:D710,1)=1,5,0)+IF(COUNTIF(E408:$Z408,"&gt;"&amp;0)&gt;5,IF(MOD(COUNTIF(D$641:D710,1),7)=0,$C$4,0),0)</f>
        <v>876.371107074979</v>
      </c>
      <c r="E408" s="81" cm="1">
        <f ca="1" t="array" ref="E408">IF(E710=1,OFFSET($Z$338,$B408,E$335-1)/SUMPRODUCT(--($D$335:$V$335=E$335),--($D710:$V710=1)),0)+SUM(E407)+IF(COUNTIF(E$641:E710,1)=1,5,0)+IF(COUNTIF(F408:$Z408,"&gt;"&amp;0)&gt;5,IF(MOD(COUNTIF(E$641:E710,1),7)=0,$C$4,0),0)</f>
        <v>876.371107074979</v>
      </c>
      <c r="F408" s="81" cm="1">
        <f ca="1" t="array" ref="F408">IF(F710=1,OFFSET($Z$338,$B408,F$335-1)/SUMPRODUCT(--($D$335:$V$335=F$335),--($D710:$V710=1)),0)+SUM(F407)+IF(COUNTIF(F$641:F710,1)=1,5,0)+IF(COUNTIF(G408:$Z408,"&gt;"&amp;0)&gt;5,IF(MOD(COUNTIF(F$641:F710,1),7)=0,$C$4,0),0)</f>
        <v>876.371107074979</v>
      </c>
      <c r="G408" s="81" cm="1">
        <f ca="1" t="array" ref="G408">IF(G710=1,OFFSET($Z$338,$B408,G$335-1)/SUMPRODUCT(--($D$335:$V$335=G$335),--($D710:$V710=1)),0)+SUM(G407)+IF(COUNTIF(G$641:G710,1)=1,5,0)+IF(COUNTIF(H408:$Z408,"&gt;"&amp;0)&gt;5,IF(MOD(COUNTIF(G$641:G710,1),7)=0,$C$4,0),0)</f>
        <v>290.596666666667</v>
      </c>
      <c r="H408" s="81" cm="1">
        <f ca="1" t="array" ref="H408">IF(H710=1,OFFSET($Z$338,$B408,H$335-1)/SUMPRODUCT(--($D$335:$V$335=H$335),--($D710:$V710=1)),0)+SUM(H407)+IF(COUNTIF(H$641:H710,1)=1,5,0)+IF(COUNTIF(I408:$Z408,"&gt;"&amp;0)&gt;5,IF(MOD(COUNTIF(H$641:H710,1),7)=0,$C$4,0),0)</f>
        <v>290.596666666667</v>
      </c>
      <c r="I408" s="81" cm="1">
        <f ca="1" t="array" ref="I408">IF(I710=1,OFFSET($Z$338,$B408,I$335-1)/SUMPRODUCT(--($D$335:$V$335=I$335),--($D710:$V710=1)),0)+SUM(I407)+IF(COUNTIF(I$641:I710,1)=1,5,0)+IF(COUNTIF(J408:$Z408,"&gt;"&amp;0)&gt;5,IF(MOD(COUNTIF(I$641:I710,1),7)=0,$C$4,0),0)</f>
        <v>290.596666666667</v>
      </c>
      <c r="J408" s="81" cm="1">
        <f ca="1" t="array" ref="J408">IF(J710=1,OFFSET($Z$338,$B408,J$335-1)/SUMPRODUCT(--($D$335:$V$335=J$335),--($D710:$V710=1)),0)+SUM(J407)+IF(COUNTIF(J$641:J710,1)=1,5,0)+IF(COUNTIF(K408:$Z408,"&gt;"&amp;0)&gt;5,IF(MOD(COUNTIF(J$641:J710,1),7)=0,$C$4,0),0)</f>
        <v>290.596666666667</v>
      </c>
      <c r="K408" s="81" cm="1">
        <f ca="1" t="array" ref="K408">IF(K710=1,OFFSET($Z$338,$B408,K$335-1)/SUMPRODUCT(--($D$335:$V$335=K$335),--($D710:$V710=1)),0)+SUM(K407)+IF(COUNTIF(K$641:K710,1)=1,5,0)+IF(COUNTIF(L408:$Z408,"&gt;"&amp;0)&gt;5,IF(MOD(COUNTIF(K$641:K710,1),7)=0,$C$4,0),0)</f>
        <v>290.596666666667</v>
      </c>
      <c r="L408" s="81" cm="1">
        <f ca="1" t="array" ref="L408">IF(L710=1,OFFSET($Z$338,$B408,L$335-1)/SUMPRODUCT(--($D$335:$V$335=L$335),--($D710:$V710=1)),0)+SUM(L407)+IF(COUNTIF(L$641:L710,1)=1,5,0)+IF(COUNTIF(M408:$Z408,"&gt;"&amp;0)&gt;5,IF(MOD(COUNTIF(L$641:L710,1),7)=0,$C$4,0),0)</f>
        <v>278.896666666667</v>
      </c>
      <c r="M408" s="81" cm="1">
        <f ca="1" t="array" ref="M408">IF(M710=1,OFFSET($Z$338,$B408,M$335-1)/SUMPRODUCT(--($D$335:$V$335=M$335),--($D710:$V710=1)),0)+SUM(M407)+IF(COUNTIF(M$641:M710,1)=1,5,0)+IF(COUNTIF(N408:$Z408,"&gt;"&amp;0)&gt;5,IF(MOD(COUNTIF(M$641:M710,1),7)=0,$C$4,0),0)</f>
        <v>129.84125</v>
      </c>
      <c r="N408" s="81" cm="1">
        <f ca="1" t="array" ref="N408">IF(N710=1,OFFSET($Z$338,$B408,N$335-1)/SUMPRODUCT(--($D$335:$V$335=N$335),--($D710:$V710=1)),0)+SUM(N407)+IF(COUNTIF(N$641:N710,1)=1,5,0)+IF(COUNTIF(O408:$Z408,"&gt;"&amp;0)&gt;5,IF(MOD(COUNTIF(N$641:N710,1),7)=0,$C$4,0),0)</f>
        <v>122.11625</v>
      </c>
      <c r="O408" s="81" cm="1">
        <f ca="1" t="array" ref="O408">IF(O710=1,OFFSET($Z$338,$B408,O$335-1)/SUMPRODUCT(--($D$335:$V$335=O$335),--($D710:$V710=1)),0)+SUM(O407)+IF(COUNTIF(O$641:O710,1)=1,5,0)+IF(COUNTIF(P408:$Z408,"&gt;"&amp;0)&gt;5,IF(MOD(COUNTIF(O$641:O710,1),7)=0,$C$4,0),0)</f>
        <v>119.69125</v>
      </c>
      <c r="P408" s="81" cm="1">
        <f ca="1" t="array" ref="P408">IF(P710=1,OFFSET($Z$338,$B408,P$335-1)/SUMPRODUCT(--($D$335:$V$335=P$335),--($D710:$V710=1)),0)+SUM(P407)+IF(COUNTIF(P$641:P710,1)=1,5,0)+IF(COUNTIF(Q408:$Z408,"&gt;"&amp;0)&gt;5,IF(MOD(COUNTIF(P$641:P710,1),7)=0,$C$4,0),0)</f>
        <v>116.757916666667</v>
      </c>
      <c r="Q408" s="81" cm="1">
        <f ca="1" t="array" ref="Q408">IF(Q710=1,OFFSET($Z$338,$B408,Q$335-1)/SUMPRODUCT(--($D$335:$V$335=Q$335),--($D710:$V710=1)),0)+SUM(Q407)+IF(COUNTIF(Q$641:Q710,1)=1,5,0)+IF(COUNTIF(R408:$Z408,"&gt;"&amp;0)&gt;5,IF(MOD(COUNTIF(Q$641:Q710,1),7)=0,$C$4,0),0)</f>
        <v>115.851666666667</v>
      </c>
      <c r="R408" s="81" cm="1">
        <f ca="1" t="array" ref="R408">IF(R710=1,OFFSET($Z$338,$B408,R$335-1)/SUMPRODUCT(--($D$335:$V$335=R$335),--($D710:$V710=1)),0)+SUM(R407)+IF(COUNTIF(R$641:R710,1)=1,5,0)+IF(COUNTIF(S408:$Z408,"&gt;"&amp;0)&gt;5,IF(MOD(COUNTIF(R$641:R710,1),7)=0,$C$4,0),0)</f>
        <v>90.9566666666666</v>
      </c>
      <c r="S408" s="81" cm="1">
        <f ca="1" t="array" ref="S408">IF(S710=1,OFFSET($Z$338,$B408,S$335-1)/SUMPRODUCT(--($D$335:$V$335=S$335),--($D710:$V710=1)),0)+SUM(S407)+IF(COUNTIF(S$641:S710,1)=1,5,0)+IF(COUNTIF(T408:$Z408,"&gt;"&amp;0)&gt;5,IF(MOD(COUNTIF(S$641:S710,1),7)=0,$C$4,0),0)</f>
        <v>81.79</v>
      </c>
      <c r="T408" s="81" cm="1">
        <f ca="1" t="array" ref="T408">IF(T710=1,OFFSET($Z$338,$B408,T$335-1)/SUMPRODUCT(--($D$335:$V$335=T$335),--($D710:$V710=1)),0)+SUM(T407)+IF(COUNTIF(T$641:T710,1)=1,5,0)+IF(COUNTIF(U408:$Z408,"&gt;"&amp;0)&gt;5,IF(MOD(COUNTIF(T$641:T710,1),7)=0,$C$4,0),0)</f>
        <v>55.9864993214483</v>
      </c>
      <c r="U408" s="81" cm="1">
        <f ca="1" t="array" ref="U408">IF(U710=1,OFFSET($Z$338,$B408,U$335-1)/SUMPRODUCT(--($D$335:$V$335=U$335),--($D710:$V710=1)),0)+SUM(U407)+IF(COUNTIF(U$641:U710,1)=1,5,0)+IF(COUNTIF(V408:$Z408,"&gt;"&amp;0)&gt;5,IF(MOD(COUNTIF(U$641:U710,1),7)=0,$C$4,0),0)</f>
        <v>45.9864993214483</v>
      </c>
      <c r="V408" s="81" cm="1">
        <f ca="1" t="array" ref="V408">IF(V710=1,OFFSET($Z$338,$B408,V$335-1)/SUMPRODUCT(--($D$335:$V$335=V$335),--($D710:$V710=1)),0)+SUM(V407)+IF(COUNTIF(V$641:V710,1)=1,5,0)+IF(COUNTIF(Z408:$Z408,"&gt;"&amp;0)&gt;5,IF(MOD(COUNTIF(V$641:V710,1),7)=0,$C$4,0),0)</f>
        <v>38.0286801321664</v>
      </c>
      <c r="W408" s="81" cm="1">
        <f ca="1" t="array" ref="W408">IF(W710=1,OFFSET($Z$338,$B408,W$335-1)/SUMPRODUCT(--($D$335:$V$335=W$335),--($D710:$V710=1)),0)+SUM(W407)+IF(COUNTIF(W$641:W710,1)=1,5,0)+IF(COUNTIF($Z408:AA408,"&gt;"&amp;0)&gt;5,IF(MOD(COUNTIF(W$641:W710,1),7)=0,$C$4,0),0)</f>
        <v>28.6728110172171</v>
      </c>
      <c r="X408" s="81" cm="1">
        <f ca="1" t="array" ref="X408">IF(X710=1,OFFSET($Z$338,$B408,X$335-1)/SUMPRODUCT(--($D$335:$V$335=X$335),--($D710:$V710=1)),0)+SUM(X407)+IF(COUNTIF(X$641:X710,1)=1,5,0)+IF(COUNTIF($Z408:AB408,"&gt;"&amp;0)&gt;5,IF(MOD(COUNTIF(X$641:X710,1),7)=0,$C$4,0),0)</f>
        <v>21.9091507265836</v>
      </c>
      <c r="Y408" s="81" cm="1">
        <f ca="1" t="array" ref="Y408">IF(Y710=1,OFFSET($Z$338,$B408,Y$335-1)/SUMPRODUCT(--($D$335:$V$335=Y$335),--($D710:$V710=1)),0)+SUM(Y407)+IF(COUNTIF(Y$641:Y710,1)=1,5,0)+IF(COUNTIF($Z408:AC408,"&gt;"&amp;0)&gt;5,IF(MOD(COUNTIF(Y$641:Y710,1),7)=0,$C$4,0),0)</f>
        <v>15.1454904359502</v>
      </c>
      <c r="Z408" s="82" cm="1">
        <f ca="1" t="array" ref="Z408">SUMPRODUCT(TRANSPOSE($AD408:$AJ408),OFFSET($L$10:$L$16,0,Z$335-1))</f>
        <v>23.8636273910124</v>
      </c>
      <c r="AA408" s="82" cm="1">
        <f ca="1" t="array" ref="AA408">SUMPRODUCT(TRANSPOSE($AD408:$AJ408),OFFSET($L$10:$L$16,0,AA$335-1))</f>
        <v>19.8</v>
      </c>
      <c r="AB408" s="82" cm="1">
        <f ca="1" t="array" ref="AB408">SUMPRODUCT(TRANSPOSE($AD408:$AJ408),OFFSET($L$10:$L$16,0,AB$335-1))</f>
        <v>8.8</v>
      </c>
      <c r="AC408" s="82" cm="1">
        <f ca="1" t="array" ref="AC408">SUMPRODUCT(TRANSPOSE($AD408:$AJ408),OFFSET($L$10:$L$16,0,AC$335-1))</f>
        <v>2.53637260898755</v>
      </c>
      <c r="AD408" s="83">
        <f ca="1" t="shared" ref="AD408:AJ408" si="461">AK408-AK407</f>
        <v>0</v>
      </c>
      <c r="AE408" s="83">
        <f ca="1" t="shared" si="461"/>
        <v>0</v>
      </c>
      <c r="AF408" s="83">
        <f ca="1" t="shared" si="461"/>
        <v>0</v>
      </c>
      <c r="AG408" s="83">
        <f ca="1" t="shared" si="461"/>
        <v>0</v>
      </c>
      <c r="AH408" s="83">
        <f ca="1" t="shared" si="461"/>
        <v>110</v>
      </c>
      <c r="AI408" s="83">
        <f ca="1" t="shared" si="461"/>
        <v>0</v>
      </c>
      <c r="AJ408" s="83">
        <f ca="1" t="shared" si="461"/>
        <v>0</v>
      </c>
      <c r="AK408" s="83">
        <f ca="1" t="shared" si="451"/>
        <v>450</v>
      </c>
      <c r="AL408" s="83">
        <f ca="1" t="shared" ref="AL408:AQ408" si="462">IF($C408&gt;OFFSET($Q$9,MATCH(AL$338,$AK$338:$AQ$338,0),0),OFFSET($P$9,MATCH(AL$338,$AK$338:$AQ$338,0),0),MAX(0,$C408-OFFSET($Q$9,RIGHT(AL$338,1)-1,0)))</f>
        <v>909</v>
      </c>
      <c r="AM408" s="83">
        <f ca="1" t="shared" si="462"/>
        <v>1818</v>
      </c>
      <c r="AN408" s="83">
        <f ca="1" t="shared" si="462"/>
        <v>2727</v>
      </c>
      <c r="AO408" s="83">
        <f ca="1" t="shared" si="462"/>
        <v>3122</v>
      </c>
      <c r="AP408" s="83">
        <f ca="1" t="shared" si="462"/>
        <v>0</v>
      </c>
      <c r="AQ408" s="83">
        <f ca="1" t="shared" si="462"/>
        <v>0</v>
      </c>
    </row>
    <row r="409" ht="16.5" spans="2:43">
      <c r="B409" s="65">
        <v>71</v>
      </c>
      <c r="C409" s="80">
        <f t="shared" si="449"/>
        <v>9136</v>
      </c>
      <c r="D409" s="81" cm="1">
        <f ca="1" t="array" ref="D409">IF(D711=1,OFFSET($Z$338,$B409,D$335-1)/SUMPRODUCT(--($D$335:$V$335=D$335),--($D711:$V711=1)),0)+SUM(D408)+IF(COUNTIF(D$641:D711,1)=1,5,0)+IF(COUNTIF(E409:$Z409,"&gt;"&amp;0)&gt;5,IF(MOD(COUNTIF(D$641:D711,1),7)=0,$C$4,0),0)</f>
        <v>884.32564953865</v>
      </c>
      <c r="E409" s="81" cm="1">
        <f ca="1" t="array" ref="E409">IF(E711=1,OFFSET($Z$338,$B409,E$335-1)/SUMPRODUCT(--($D$335:$V$335=E$335),--($D711:$V711=1)),0)+SUM(E408)+IF(COUNTIF(E$641:E711,1)=1,5,0)+IF(COUNTIF(F409:$Z409,"&gt;"&amp;0)&gt;5,IF(MOD(COUNTIF(E$641:E711,1),7)=0,$C$4,0),0)</f>
        <v>884.32564953865</v>
      </c>
      <c r="F409" s="81" cm="1">
        <f ca="1" t="array" ref="F409">IF(F711=1,OFFSET($Z$338,$B409,F$335-1)/SUMPRODUCT(--($D$335:$V$335=F$335),--($D711:$V711=1)),0)+SUM(F408)+IF(COUNTIF(F$641:F711,1)=1,5,0)+IF(COUNTIF(G409:$Z409,"&gt;"&amp;0)&gt;5,IF(MOD(COUNTIF(F$641:F711,1),7)=0,$C$4,0),0)</f>
        <v>884.32564953865</v>
      </c>
      <c r="G409" s="81" cm="1">
        <f ca="1" t="array" ref="G409">IF(G711=1,OFFSET($Z$338,$B409,G$335-1)/SUMPRODUCT(--($D$335:$V$335=G$335),--($D711:$V711=1)),0)+SUM(G408)+IF(COUNTIF(G$641:G711,1)=1,5,0)+IF(COUNTIF(H409:$Z409,"&gt;"&amp;0)&gt;5,IF(MOD(COUNTIF(G$641:G711,1),7)=0,$C$4,0),0)</f>
        <v>293.896666666667</v>
      </c>
      <c r="H409" s="81" cm="1">
        <f ca="1" t="array" ref="H409">IF(H711=1,OFFSET($Z$338,$B409,H$335-1)/SUMPRODUCT(--($D$335:$V$335=H$335),--($D711:$V711=1)),0)+SUM(H408)+IF(COUNTIF(H$641:H711,1)=1,5,0)+IF(COUNTIF(I409:$Z409,"&gt;"&amp;0)&gt;5,IF(MOD(COUNTIF(H$641:H711,1),7)=0,$C$4,0),0)</f>
        <v>293.896666666667</v>
      </c>
      <c r="I409" s="81" cm="1">
        <f ca="1" t="array" ref="I409">IF(I711=1,OFFSET($Z$338,$B409,I$335-1)/SUMPRODUCT(--($D$335:$V$335=I$335),--($D711:$V711=1)),0)+SUM(I408)+IF(COUNTIF(I$641:I711,1)=1,5,0)+IF(COUNTIF(J409:$Z409,"&gt;"&amp;0)&gt;5,IF(MOD(COUNTIF(I$641:I711,1),7)=0,$C$4,0),0)</f>
        <v>293.896666666667</v>
      </c>
      <c r="J409" s="81" cm="1">
        <f ca="1" t="array" ref="J409">IF(J711=1,OFFSET($Z$338,$B409,J$335-1)/SUMPRODUCT(--($D$335:$V$335=J$335),--($D711:$V711=1)),0)+SUM(J408)+IF(COUNTIF(J$641:J711,1)=1,5,0)+IF(COUNTIF(K409:$Z409,"&gt;"&amp;0)&gt;5,IF(MOD(COUNTIF(J$641:J711,1),7)=0,$C$4,0),0)</f>
        <v>293.896666666667</v>
      </c>
      <c r="K409" s="81" cm="1">
        <f ca="1" t="array" ref="K409">IF(K711=1,OFFSET($Z$338,$B409,K$335-1)/SUMPRODUCT(--($D$335:$V$335=K$335),--($D711:$V711=1)),0)+SUM(K408)+IF(COUNTIF(K$641:K711,1)=1,5,0)+IF(COUNTIF(L409:$Z409,"&gt;"&amp;0)&gt;5,IF(MOD(COUNTIF(K$641:K711,1),7)=0,$C$4,0),0)</f>
        <v>293.896666666667</v>
      </c>
      <c r="L409" s="81" cm="1">
        <f ca="1" t="array" ref="L409">IF(L711=1,OFFSET($Z$338,$B409,L$335-1)/SUMPRODUCT(--($D$335:$V$335=L$335),--($D711:$V711=1)),0)+SUM(L408)+IF(COUNTIF(L$641:L711,1)=1,5,0)+IF(COUNTIF(M409:$Z409,"&gt;"&amp;0)&gt;5,IF(MOD(COUNTIF(L$641:L711,1),7)=0,$C$4,0),0)</f>
        <v>287.196666666667</v>
      </c>
      <c r="M409" s="81" cm="1">
        <f ca="1" t="array" ref="M409">IF(M711=1,OFFSET($Z$338,$B409,M$335-1)/SUMPRODUCT(--($D$335:$V$335=M$335),--($D711:$V711=1)),0)+SUM(M408)+IF(COUNTIF(M$641:M711,1)=1,5,0)+IF(COUNTIF(N409:$Z409,"&gt;"&amp;0)&gt;5,IF(MOD(COUNTIF(M$641:M711,1),7)=0,$C$4,0),0)</f>
        <v>136.098392857143</v>
      </c>
      <c r="N409" s="81" cm="1">
        <f ca="1" t="array" ref="N409">IF(N711=1,OFFSET($Z$338,$B409,N$335-1)/SUMPRODUCT(--($D$335:$V$335=N$335),--($D711:$V711=1)),0)+SUM(N408)+IF(COUNTIF(N$641:N711,1)=1,5,0)+IF(COUNTIF(O409:$Z409,"&gt;"&amp;0)&gt;5,IF(MOD(COUNTIF(N$641:N711,1),7)=0,$C$4,0),0)</f>
        <v>123.373392857143</v>
      </c>
      <c r="O409" s="81" cm="1">
        <f ca="1" t="array" ref="O409">IF(O711=1,OFFSET($Z$338,$B409,O$335-1)/SUMPRODUCT(--($D$335:$V$335=O$335),--($D711:$V711=1)),0)+SUM(O408)+IF(COUNTIF(O$641:O711,1)=1,5,0)+IF(COUNTIF(P409:$Z409,"&gt;"&amp;0)&gt;5,IF(MOD(COUNTIF(O$641:O711,1),7)=0,$C$4,0),0)</f>
        <v>120.948392857143</v>
      </c>
      <c r="P409" s="81" cm="1">
        <f ca="1" t="array" ref="P409">IF(P711=1,OFFSET($Z$338,$B409,P$335-1)/SUMPRODUCT(--($D$335:$V$335=P$335),--($D711:$V711=1)),0)+SUM(P408)+IF(COUNTIF(P$641:P711,1)=1,5,0)+IF(COUNTIF(Q409:$Z409,"&gt;"&amp;0)&gt;5,IF(MOD(COUNTIF(P$641:P711,1),7)=0,$C$4,0),0)</f>
        <v>118.015059523809</v>
      </c>
      <c r="Q409" s="81" cm="1">
        <f ca="1" t="array" ref="Q409">IF(Q711=1,OFFSET($Z$338,$B409,Q$335-1)/SUMPRODUCT(--($D$335:$V$335=Q$335),--($D711:$V711=1)),0)+SUM(Q408)+IF(COUNTIF(Q$641:Q711,1)=1,5,0)+IF(COUNTIF(R409:$Z409,"&gt;"&amp;0)&gt;5,IF(MOD(COUNTIF(Q$641:Q711,1),7)=0,$C$4,0),0)</f>
        <v>117.108809523809</v>
      </c>
      <c r="R409" s="81" cm="1">
        <f ca="1" t="array" ref="R409">IF(R711=1,OFFSET($Z$338,$B409,R$335-1)/SUMPRODUCT(--($D$335:$V$335=R$335),--($D711:$V711=1)),0)+SUM(R408)+IF(COUNTIF(R$641:R711,1)=1,5,0)+IF(COUNTIF(S409:$Z409,"&gt;"&amp;0)&gt;5,IF(MOD(COUNTIF(R$641:R711,1),7)=0,$C$4,0),0)</f>
        <v>92.2138095238095</v>
      </c>
      <c r="S409" s="81" cm="1">
        <f ca="1" t="array" ref="S409">IF(S711=1,OFFSET($Z$338,$B409,S$335-1)/SUMPRODUCT(--($D$335:$V$335=S$335),--($D711:$V711=1)),0)+SUM(S408)+IF(COUNTIF(S$641:S711,1)=1,5,0)+IF(COUNTIF(T409:$Z409,"&gt;"&amp;0)&gt;5,IF(MOD(COUNTIF(S$641:S711,1),7)=0,$C$4,0),0)</f>
        <v>83.0471428571429</v>
      </c>
      <c r="T409" s="81" cm="1">
        <f ca="1" t="array" ref="T409">IF(T711=1,OFFSET($Z$338,$B409,T$335-1)/SUMPRODUCT(--($D$335:$V$335=T$335),--($D711:$V711=1)),0)+SUM(T408)+IF(COUNTIF(T$641:T711,1)=1,5,0)+IF(COUNTIF(U409:$Z409,"&gt;"&amp;0)&gt;5,IF(MOD(COUNTIF(T$641:T711,1),7)=0,$C$4,0),0)</f>
        <v>56.8319568577775</v>
      </c>
      <c r="U409" s="81" cm="1">
        <f ca="1" t="array" ref="U409">IF(U711=1,OFFSET($Z$338,$B409,U$335-1)/SUMPRODUCT(--($D$335:$V$335=U$335),--($D711:$V711=1)),0)+SUM(U408)+IF(COUNTIF(U$641:U711,1)=1,5,0)+IF(COUNTIF(V409:$Z409,"&gt;"&amp;0)&gt;5,IF(MOD(COUNTIF(U$641:U711,1),7)=0,$C$4,0),0)</f>
        <v>46.8319568577775</v>
      </c>
      <c r="V409" s="81" cm="1">
        <f ca="1" t="array" ref="V409">IF(V711=1,OFFSET($Z$338,$B409,V$335-1)/SUMPRODUCT(--($D$335:$V$335=V$335),--($D711:$V711=1)),0)+SUM(V408)+IF(COUNTIF(V$641:V711,1)=1,5,0)+IF(COUNTIF(Z409:$Z409,"&gt;"&amp;0)&gt;5,IF(MOD(COUNTIF(V$641:V711,1),7)=0,$C$4,0),0)</f>
        <v>38.8741376684956</v>
      </c>
      <c r="W409" s="81" cm="1">
        <f ca="1" t="array" ref="W409">IF(W711=1,OFFSET($Z$338,$B409,W$335-1)/SUMPRODUCT(--($D$335:$V$335=W$335),--($D711:$V711=1)),0)+SUM(W408)+IF(COUNTIF(W$641:W711,1)=1,5,0)+IF(COUNTIF($Z409:AA409,"&gt;"&amp;0)&gt;5,IF(MOD(COUNTIF(W$641:W711,1),7)=0,$C$4,0),0)</f>
        <v>29.5182685535463</v>
      </c>
      <c r="X409" s="81" cm="1">
        <f ca="1" t="array" ref="X409">IF(X711=1,OFFSET($Z$338,$B409,X$335-1)/SUMPRODUCT(--($D$335:$V$335=X$335),--($D711:$V711=1)),0)+SUM(X408)+IF(COUNTIF(X$641:X711,1)=1,5,0)+IF(COUNTIF($Z409:AB409,"&gt;"&amp;0)&gt;5,IF(MOD(COUNTIF(X$641:X711,1),7)=0,$C$4,0),0)</f>
        <v>22.7546082629128</v>
      </c>
      <c r="Y409" s="81" cm="1">
        <f ca="1" t="array" ref="Y409">IF(Y711=1,OFFSET($Z$338,$B409,Y$335-1)/SUMPRODUCT(--($D$335:$V$335=Y$335),--($D711:$V711=1)),0)+SUM(Y408)+IF(COUNTIF(Y$641:Y711,1)=1,5,0)+IF(COUNTIF($Z409:AC409,"&gt;"&amp;0)&gt;5,IF(MOD(COUNTIF(Y$641:Y711,1),7)=0,$C$4,0),0)</f>
        <v>15.9909479722794</v>
      </c>
      <c r="Z409" s="82" cm="1">
        <f ca="1" t="array" ref="Z409">SUMPRODUCT(TRANSPOSE($AD409:$AJ409),OFFSET($L$10:$L$16,0,Z$335-1))</f>
        <v>23.8636273910124</v>
      </c>
      <c r="AA409" s="82" cm="1">
        <f ca="1" t="array" ref="AA409">SUMPRODUCT(TRANSPOSE($AD409:$AJ409),OFFSET($L$10:$L$16,0,AA$335-1))</f>
        <v>19.8</v>
      </c>
      <c r="AB409" s="82" cm="1">
        <f ca="1" t="array" ref="AB409">SUMPRODUCT(TRANSPOSE($AD409:$AJ409),OFFSET($L$10:$L$16,0,AB$335-1))</f>
        <v>8.8</v>
      </c>
      <c r="AC409" s="82" cm="1">
        <f ca="1" t="array" ref="AC409">SUMPRODUCT(TRANSPOSE($AD409:$AJ409),OFFSET($L$10:$L$16,0,AC$335-1))</f>
        <v>2.53637260898755</v>
      </c>
      <c r="AD409" s="83">
        <f ca="1" t="shared" ref="AD409:AJ409" si="463">AK409-AK408</f>
        <v>0</v>
      </c>
      <c r="AE409" s="83">
        <f ca="1" t="shared" si="463"/>
        <v>0</v>
      </c>
      <c r="AF409" s="83">
        <f ca="1" t="shared" si="463"/>
        <v>0</v>
      </c>
      <c r="AG409" s="83">
        <f ca="1" t="shared" si="463"/>
        <v>0</v>
      </c>
      <c r="AH409" s="83">
        <f ca="1" t="shared" si="463"/>
        <v>110</v>
      </c>
      <c r="AI409" s="83">
        <f ca="1" t="shared" si="463"/>
        <v>0</v>
      </c>
      <c r="AJ409" s="83">
        <f ca="1" t="shared" si="463"/>
        <v>0</v>
      </c>
      <c r="AK409" s="83">
        <f ca="1" t="shared" si="451"/>
        <v>450</v>
      </c>
      <c r="AL409" s="83">
        <f ca="1" t="shared" ref="AL409:AQ409" si="464">IF($C409&gt;OFFSET($Q$9,MATCH(AL$338,$AK$338:$AQ$338,0),0),OFFSET($P$9,MATCH(AL$338,$AK$338:$AQ$338,0),0),MAX(0,$C409-OFFSET($Q$9,RIGHT(AL$338,1)-1,0)))</f>
        <v>909</v>
      </c>
      <c r="AM409" s="83">
        <f ca="1" t="shared" si="464"/>
        <v>1818</v>
      </c>
      <c r="AN409" s="83">
        <f ca="1" t="shared" si="464"/>
        <v>2727</v>
      </c>
      <c r="AO409" s="83">
        <f ca="1" t="shared" si="464"/>
        <v>3232</v>
      </c>
      <c r="AP409" s="83">
        <f ca="1" t="shared" si="464"/>
        <v>0</v>
      </c>
      <c r="AQ409" s="83">
        <f ca="1" t="shared" si="464"/>
        <v>0</v>
      </c>
    </row>
    <row r="410" ht="16.5" spans="2:43">
      <c r="B410" s="65">
        <v>72</v>
      </c>
      <c r="C410" s="80">
        <f t="shared" si="449"/>
        <v>9246</v>
      </c>
      <c r="D410" s="81" cm="1">
        <f ca="1" t="array" ref="D410">IF(D712=1,OFFSET($Z$338,$B410,D$335-1)/SUMPRODUCT(--($D$335:$V$335=D$335),--($D712:$V712=1)),0)+SUM(D409)+IF(COUNTIF(D$641:D712,1)=1,5,0)+IF(COUNTIF(E410:$Z410,"&gt;"&amp;0)&gt;5,IF(MOD(COUNTIF(D$641:D712,1),7)=0,$C$4,0),0)</f>
        <v>892.28019200232</v>
      </c>
      <c r="E410" s="81" cm="1">
        <f ca="1" t="array" ref="E410">IF(E712=1,OFFSET($Z$338,$B410,E$335-1)/SUMPRODUCT(--($D$335:$V$335=E$335),--($D712:$V712=1)),0)+SUM(E409)+IF(COUNTIF(E$641:E712,1)=1,5,0)+IF(COUNTIF(F410:$Z410,"&gt;"&amp;0)&gt;5,IF(MOD(COUNTIF(E$641:E712,1),7)=0,$C$4,0),0)</f>
        <v>892.28019200232</v>
      </c>
      <c r="F410" s="81" cm="1">
        <f ca="1" t="array" ref="F410">IF(F712=1,OFFSET($Z$338,$B410,F$335-1)/SUMPRODUCT(--($D$335:$V$335=F$335),--($D712:$V712=1)),0)+SUM(F409)+IF(COUNTIF(F$641:F712,1)=1,5,0)+IF(COUNTIF(G410:$Z410,"&gt;"&amp;0)&gt;5,IF(MOD(COUNTIF(F$641:F712,1),7)=0,$C$4,0),0)</f>
        <v>892.28019200232</v>
      </c>
      <c r="G410" s="81" cm="1">
        <f ca="1" t="array" ref="G410">IF(G712=1,OFFSET($Z$338,$B410,G$335-1)/SUMPRODUCT(--($D$335:$V$335=G$335),--($D712:$V712=1)),0)+SUM(G409)+IF(COUNTIF(G$641:G712,1)=1,5,0)+IF(COUNTIF(H410:$Z410,"&gt;"&amp;0)&gt;5,IF(MOD(COUNTIF(G$641:G712,1),7)=0,$C$4,0),0)</f>
        <v>297.196666666667</v>
      </c>
      <c r="H410" s="81" cm="1">
        <f ca="1" t="array" ref="H410">IF(H712=1,OFFSET($Z$338,$B410,H$335-1)/SUMPRODUCT(--($D$335:$V$335=H$335),--($D712:$V712=1)),0)+SUM(H409)+IF(COUNTIF(H$641:H712,1)=1,5,0)+IF(COUNTIF(I410:$Z410,"&gt;"&amp;0)&gt;5,IF(MOD(COUNTIF(H$641:H712,1),7)=0,$C$4,0),0)</f>
        <v>297.196666666667</v>
      </c>
      <c r="I410" s="81" cm="1">
        <f ca="1" t="array" ref="I410">IF(I712=1,OFFSET($Z$338,$B410,I$335-1)/SUMPRODUCT(--($D$335:$V$335=I$335),--($D712:$V712=1)),0)+SUM(I409)+IF(COUNTIF(I$641:I712,1)=1,5,0)+IF(COUNTIF(J410:$Z410,"&gt;"&amp;0)&gt;5,IF(MOD(COUNTIF(I$641:I712,1),7)=0,$C$4,0),0)</f>
        <v>297.196666666667</v>
      </c>
      <c r="J410" s="81" cm="1">
        <f ca="1" t="array" ref="J410">IF(J712=1,OFFSET($Z$338,$B410,J$335-1)/SUMPRODUCT(--($D$335:$V$335=J$335),--($D712:$V712=1)),0)+SUM(J409)+IF(COUNTIF(J$641:J712,1)=1,5,0)+IF(COUNTIF(K410:$Z410,"&gt;"&amp;0)&gt;5,IF(MOD(COUNTIF(J$641:J712,1),7)=0,$C$4,0),0)</f>
        <v>297.196666666667</v>
      </c>
      <c r="K410" s="81" cm="1">
        <f ca="1" t="array" ref="K410">IF(K712=1,OFFSET($Z$338,$B410,K$335-1)/SUMPRODUCT(--($D$335:$V$335=K$335),--($D712:$V712=1)),0)+SUM(K409)+IF(COUNTIF(K$641:K712,1)=1,5,0)+IF(COUNTIF(L410:$Z410,"&gt;"&amp;0)&gt;5,IF(MOD(COUNTIF(K$641:K712,1),7)=0,$C$4,0),0)</f>
        <v>297.196666666667</v>
      </c>
      <c r="L410" s="81" cm="1">
        <f ca="1" t="array" ref="L410">IF(L712=1,OFFSET($Z$338,$B410,L$335-1)/SUMPRODUCT(--($D$335:$V$335=L$335),--($D712:$V712=1)),0)+SUM(L409)+IF(COUNTIF(L$641:L712,1)=1,5,0)+IF(COUNTIF(M410:$Z410,"&gt;"&amp;0)&gt;5,IF(MOD(COUNTIF(L$641:L712,1),7)=0,$C$4,0),0)</f>
        <v>290.496666666667</v>
      </c>
      <c r="M410" s="81" cm="1">
        <f ca="1" t="array" ref="M410">IF(M712=1,OFFSET($Z$338,$B410,M$335-1)/SUMPRODUCT(--($D$335:$V$335=M$335),--($D712:$V712=1)),0)+SUM(M409)+IF(COUNTIF(M$641:M712,1)=1,5,0)+IF(COUNTIF(N410:$Z410,"&gt;"&amp;0)&gt;5,IF(MOD(COUNTIF(M$641:M712,1),7)=0,$C$4,0),0)</f>
        <v>137.355535714286</v>
      </c>
      <c r="N410" s="81" cm="1">
        <f ca="1" t="array" ref="N410">IF(N712=1,OFFSET($Z$338,$B410,N$335-1)/SUMPRODUCT(--($D$335:$V$335=N$335),--($D712:$V712=1)),0)+SUM(N409)+IF(COUNTIF(N$641:N712,1)=1,5,0)+IF(COUNTIF(O410:$Z410,"&gt;"&amp;0)&gt;5,IF(MOD(COUNTIF(N$641:N712,1),7)=0,$C$4,0),0)</f>
        <v>129.630535714286</v>
      </c>
      <c r="O410" s="81" cm="1">
        <f ca="1" t="array" ref="O410">IF(O712=1,OFFSET($Z$338,$B410,O$335-1)/SUMPRODUCT(--($D$335:$V$335=O$335),--($D712:$V712=1)),0)+SUM(O409)+IF(COUNTIF(O$641:O712,1)=1,5,0)+IF(COUNTIF(P410:$Z410,"&gt;"&amp;0)&gt;5,IF(MOD(COUNTIF(O$641:O712,1),7)=0,$C$4,0),0)</f>
        <v>122.205535714286</v>
      </c>
      <c r="P410" s="81" cm="1">
        <f ca="1" t="array" ref="P410">IF(P712=1,OFFSET($Z$338,$B410,P$335-1)/SUMPRODUCT(--($D$335:$V$335=P$335),--($D712:$V712=1)),0)+SUM(P409)+IF(COUNTIF(P$641:P712,1)=1,5,0)+IF(COUNTIF(Q410:$Z410,"&gt;"&amp;0)&gt;5,IF(MOD(COUNTIF(P$641:P712,1),7)=0,$C$4,0),0)</f>
        <v>119.272202380952</v>
      </c>
      <c r="Q410" s="81" cm="1">
        <f ca="1" t="array" ref="Q410">IF(Q712=1,OFFSET($Z$338,$B410,Q$335-1)/SUMPRODUCT(--($D$335:$V$335=Q$335),--($D712:$V712=1)),0)+SUM(Q409)+IF(COUNTIF(Q$641:Q712,1)=1,5,0)+IF(COUNTIF(R410:$Z410,"&gt;"&amp;0)&gt;5,IF(MOD(COUNTIF(Q$641:Q712,1),7)=0,$C$4,0),0)</f>
        <v>118.365952380952</v>
      </c>
      <c r="R410" s="81" cm="1">
        <f ca="1" t="array" ref="R410">IF(R712=1,OFFSET($Z$338,$B410,R$335-1)/SUMPRODUCT(--($D$335:$V$335=R$335),--($D712:$V712=1)),0)+SUM(R409)+IF(COUNTIF(R$641:R712,1)=1,5,0)+IF(COUNTIF(S410:$Z410,"&gt;"&amp;0)&gt;5,IF(MOD(COUNTIF(R$641:R712,1),7)=0,$C$4,0),0)</f>
        <v>93.4709523809524</v>
      </c>
      <c r="S410" s="81" cm="1">
        <f ca="1" t="array" ref="S410">IF(S712=1,OFFSET($Z$338,$B410,S$335-1)/SUMPRODUCT(--($D$335:$V$335=S$335),--($D712:$V712=1)),0)+SUM(S409)+IF(COUNTIF(S$641:S712,1)=1,5,0)+IF(COUNTIF(T410:$Z410,"&gt;"&amp;0)&gt;5,IF(MOD(COUNTIF(S$641:S712,1),7)=0,$C$4,0),0)</f>
        <v>84.3042857142857</v>
      </c>
      <c r="T410" s="81" cm="1">
        <f ca="1" t="array" ref="T410">IF(T712=1,OFFSET($Z$338,$B410,T$335-1)/SUMPRODUCT(--($D$335:$V$335=T$335),--($D712:$V712=1)),0)+SUM(T409)+IF(COUNTIF(T$641:T712,1)=1,5,0)+IF(COUNTIF(U410:$Z410,"&gt;"&amp;0)&gt;5,IF(MOD(COUNTIF(T$641:T712,1),7)=0,$C$4,0),0)</f>
        <v>57.6774143941067</v>
      </c>
      <c r="U410" s="81" cm="1">
        <f ca="1" t="array" ref="U410">IF(U712=1,OFFSET($Z$338,$B410,U$335-1)/SUMPRODUCT(--($D$335:$V$335=U$335),--($D712:$V712=1)),0)+SUM(U409)+IF(COUNTIF(U$641:U712,1)=1,5,0)+IF(COUNTIF(V410:$Z410,"&gt;"&amp;0)&gt;5,IF(MOD(COUNTIF(U$641:U712,1),7)=0,$C$4,0),0)</f>
        <v>47.6774143941067</v>
      </c>
      <c r="V410" s="81" cm="1">
        <f ca="1" t="array" ref="V410">IF(V712=1,OFFSET($Z$338,$B410,V$335-1)/SUMPRODUCT(--($D$335:$V$335=V$335),--($D712:$V712=1)),0)+SUM(V409)+IF(COUNTIF(V$641:V712,1)=1,5,0)+IF(COUNTIF(Z410:$Z410,"&gt;"&amp;0)&gt;5,IF(MOD(COUNTIF(V$641:V712,1),7)=0,$C$4,0),0)</f>
        <v>39.7195952048248</v>
      </c>
      <c r="W410" s="81" cm="1">
        <f ca="1" t="array" ref="W410">IF(W712=1,OFFSET($Z$338,$B410,W$335-1)/SUMPRODUCT(--($D$335:$V$335=W$335),--($D712:$V712=1)),0)+SUM(W409)+IF(COUNTIF(W$641:W712,1)=1,5,0)+IF(COUNTIF($Z410:AA410,"&gt;"&amp;0)&gt;5,IF(MOD(COUNTIF(W$641:W712,1),7)=0,$C$4,0),0)</f>
        <v>30.3637260898755</v>
      </c>
      <c r="X410" s="81" cm="1">
        <f ca="1" t="array" ref="X410">IF(X712=1,OFFSET($Z$338,$B410,X$335-1)/SUMPRODUCT(--($D$335:$V$335=X$335),--($D712:$V712=1)),0)+SUM(X409)+IF(COUNTIF(X$641:X712,1)=1,5,0)+IF(COUNTIF($Z410:AB410,"&gt;"&amp;0)&gt;5,IF(MOD(COUNTIF(X$641:X712,1),7)=0,$C$4,0),0)</f>
        <v>23.600065799242</v>
      </c>
      <c r="Y410" s="81" cm="1">
        <f ca="1" t="array" ref="Y410">IF(Y712=1,OFFSET($Z$338,$B410,Y$335-1)/SUMPRODUCT(--($D$335:$V$335=Y$335),--($D712:$V712=1)),0)+SUM(Y409)+IF(COUNTIF(Y$641:Y712,1)=1,5,0)+IF(COUNTIF($Z410:AC410,"&gt;"&amp;0)&gt;5,IF(MOD(COUNTIF(Y$641:Y712,1),7)=0,$C$4,0),0)</f>
        <v>16.8364055086085</v>
      </c>
      <c r="Z410" s="82" cm="1">
        <f ca="1" t="array" ref="Z410">SUMPRODUCT(TRANSPOSE($AD410:$AJ410),OFFSET($L$10:$L$16,0,Z$335-1))</f>
        <v>23.8636273910124</v>
      </c>
      <c r="AA410" s="82" cm="1">
        <f ca="1" t="array" ref="AA410">SUMPRODUCT(TRANSPOSE($AD410:$AJ410),OFFSET($L$10:$L$16,0,AA$335-1))</f>
        <v>19.8</v>
      </c>
      <c r="AB410" s="82" cm="1">
        <f ca="1" t="array" ref="AB410">SUMPRODUCT(TRANSPOSE($AD410:$AJ410),OFFSET($L$10:$L$16,0,AB$335-1))</f>
        <v>8.8</v>
      </c>
      <c r="AC410" s="82" cm="1">
        <f ca="1" t="array" ref="AC410">SUMPRODUCT(TRANSPOSE($AD410:$AJ410),OFFSET($L$10:$L$16,0,AC$335-1))</f>
        <v>2.53637260898755</v>
      </c>
      <c r="AD410" s="83">
        <f ca="1" t="shared" ref="AD410:AJ410" si="465">AK410-AK409</f>
        <v>0</v>
      </c>
      <c r="AE410" s="83">
        <f ca="1" t="shared" si="465"/>
        <v>0</v>
      </c>
      <c r="AF410" s="83">
        <f ca="1" t="shared" si="465"/>
        <v>0</v>
      </c>
      <c r="AG410" s="83">
        <f ca="1" t="shared" si="465"/>
        <v>0</v>
      </c>
      <c r="AH410" s="83">
        <f ca="1" t="shared" si="465"/>
        <v>110</v>
      </c>
      <c r="AI410" s="83">
        <f ca="1" t="shared" si="465"/>
        <v>0</v>
      </c>
      <c r="AJ410" s="83">
        <f ca="1" t="shared" si="465"/>
        <v>0</v>
      </c>
      <c r="AK410" s="83">
        <f ca="1" t="shared" si="451"/>
        <v>450</v>
      </c>
      <c r="AL410" s="83">
        <f ca="1" t="shared" ref="AL410:AQ410" si="466">IF($C410&gt;OFFSET($Q$9,MATCH(AL$338,$AK$338:$AQ$338,0),0),OFFSET($P$9,MATCH(AL$338,$AK$338:$AQ$338,0),0),MAX(0,$C410-OFFSET($Q$9,RIGHT(AL$338,1)-1,0)))</f>
        <v>909</v>
      </c>
      <c r="AM410" s="83">
        <f ca="1" t="shared" si="466"/>
        <v>1818</v>
      </c>
      <c r="AN410" s="83">
        <f ca="1" t="shared" si="466"/>
        <v>2727</v>
      </c>
      <c r="AO410" s="83">
        <f ca="1" t="shared" si="466"/>
        <v>3342</v>
      </c>
      <c r="AP410" s="83">
        <f ca="1" t="shared" si="466"/>
        <v>0</v>
      </c>
      <c r="AQ410" s="83">
        <f ca="1" t="shared" si="466"/>
        <v>0</v>
      </c>
    </row>
    <row r="411" ht="16.5" spans="2:43">
      <c r="B411" s="65">
        <v>73</v>
      </c>
      <c r="C411" s="80">
        <f t="shared" si="449"/>
        <v>9356</v>
      </c>
      <c r="D411" s="81" cm="1">
        <f ca="1" t="array" ref="D411">IF(D713=1,OFFSET($Z$338,$B411,D$335-1)/SUMPRODUCT(--($D$335:$V$335=D$335),--($D713:$V713=1)),0)+SUM(D410)+IF(COUNTIF(D$641:D713,1)=1,5,0)+IF(COUNTIF(E411:$Z411,"&gt;"&amp;0)&gt;5,IF(MOD(COUNTIF(D$641:D713,1),7)=0,$C$4,0),0)</f>
        <v>900.234734465991</v>
      </c>
      <c r="E411" s="81" cm="1">
        <f ca="1" t="array" ref="E411">IF(E713=1,OFFSET($Z$338,$B411,E$335-1)/SUMPRODUCT(--($D$335:$V$335=E$335),--($D713:$V713=1)),0)+SUM(E410)+IF(COUNTIF(E$641:E713,1)=1,5,0)+IF(COUNTIF(F411:$Z411,"&gt;"&amp;0)&gt;5,IF(MOD(COUNTIF(E$641:E713,1),7)=0,$C$4,0),0)</f>
        <v>900.234734465991</v>
      </c>
      <c r="F411" s="81" cm="1">
        <f ca="1" t="array" ref="F411">IF(F713=1,OFFSET($Z$338,$B411,F$335-1)/SUMPRODUCT(--($D$335:$V$335=F$335),--($D713:$V713=1)),0)+SUM(F410)+IF(COUNTIF(F$641:F713,1)=1,5,0)+IF(COUNTIF(G411:$Z411,"&gt;"&amp;0)&gt;5,IF(MOD(COUNTIF(F$641:F713,1),7)=0,$C$4,0),0)</f>
        <v>900.234734465991</v>
      </c>
      <c r="G411" s="81" cm="1">
        <f ca="1" t="array" ref="G411">IF(G713=1,OFFSET($Z$338,$B411,G$335-1)/SUMPRODUCT(--($D$335:$V$335=G$335),--($D713:$V713=1)),0)+SUM(G410)+IF(COUNTIF(G$641:G713,1)=1,5,0)+IF(COUNTIF(H411:$Z411,"&gt;"&amp;0)&gt;5,IF(MOD(COUNTIF(G$641:G713,1),7)=0,$C$4,0),0)</f>
        <v>300.496666666667</v>
      </c>
      <c r="H411" s="81" cm="1">
        <f ca="1" t="array" ref="H411">IF(H713=1,OFFSET($Z$338,$B411,H$335-1)/SUMPRODUCT(--($D$335:$V$335=H$335),--($D713:$V713=1)),0)+SUM(H410)+IF(COUNTIF(H$641:H713,1)=1,5,0)+IF(COUNTIF(I411:$Z411,"&gt;"&amp;0)&gt;5,IF(MOD(COUNTIF(H$641:H713,1),7)=0,$C$4,0),0)</f>
        <v>300.496666666667</v>
      </c>
      <c r="I411" s="81" cm="1">
        <f ca="1" t="array" ref="I411">IF(I713=1,OFFSET($Z$338,$B411,I$335-1)/SUMPRODUCT(--($D$335:$V$335=I$335),--($D713:$V713=1)),0)+SUM(I410)+IF(COUNTIF(I$641:I713,1)=1,5,0)+IF(COUNTIF(J411:$Z411,"&gt;"&amp;0)&gt;5,IF(MOD(COUNTIF(I$641:I713,1),7)=0,$C$4,0),0)</f>
        <v>300.496666666667</v>
      </c>
      <c r="J411" s="81" cm="1">
        <f ca="1" t="array" ref="J411">IF(J713=1,OFFSET($Z$338,$B411,J$335-1)/SUMPRODUCT(--($D$335:$V$335=J$335),--($D713:$V713=1)),0)+SUM(J410)+IF(COUNTIF(J$641:J713,1)=1,5,0)+IF(COUNTIF(K411:$Z411,"&gt;"&amp;0)&gt;5,IF(MOD(COUNTIF(J$641:J713,1),7)=0,$C$4,0),0)</f>
        <v>300.496666666667</v>
      </c>
      <c r="K411" s="81" cm="1">
        <f ca="1" t="array" ref="K411">IF(K713=1,OFFSET($Z$338,$B411,K$335-1)/SUMPRODUCT(--($D$335:$V$335=K$335),--($D713:$V713=1)),0)+SUM(K410)+IF(COUNTIF(K$641:K713,1)=1,5,0)+IF(COUNTIF(L411:$Z411,"&gt;"&amp;0)&gt;5,IF(MOD(COUNTIF(K$641:K713,1),7)=0,$C$4,0),0)</f>
        <v>300.496666666667</v>
      </c>
      <c r="L411" s="81" cm="1">
        <f ca="1" t="array" ref="L411">IF(L713=1,OFFSET($Z$338,$B411,L$335-1)/SUMPRODUCT(--($D$335:$V$335=L$335),--($D713:$V713=1)),0)+SUM(L410)+IF(COUNTIF(L$641:L713,1)=1,5,0)+IF(COUNTIF(M411:$Z411,"&gt;"&amp;0)&gt;5,IF(MOD(COUNTIF(L$641:L713,1),7)=0,$C$4,0),0)</f>
        <v>293.796666666667</v>
      </c>
      <c r="M411" s="81" cm="1">
        <f ca="1" t="array" ref="M411">IF(M713=1,OFFSET($Z$338,$B411,M$335-1)/SUMPRODUCT(--($D$335:$V$335=M$335),--($D713:$V713=1)),0)+SUM(M410)+IF(COUNTIF(M$641:M713,1)=1,5,0)+IF(COUNTIF(N411:$Z411,"&gt;"&amp;0)&gt;5,IF(MOD(COUNTIF(M$641:M713,1),7)=0,$C$4,0),0)</f>
        <v>138.612678571428</v>
      </c>
      <c r="N411" s="81" cm="1">
        <f ca="1" t="array" ref="N411">IF(N713=1,OFFSET($Z$338,$B411,N$335-1)/SUMPRODUCT(--($D$335:$V$335=N$335),--($D713:$V713=1)),0)+SUM(N410)+IF(COUNTIF(N$641:N713,1)=1,5,0)+IF(COUNTIF(O411:$Z411,"&gt;"&amp;0)&gt;5,IF(MOD(COUNTIF(N$641:N713,1),7)=0,$C$4,0),0)</f>
        <v>130.887678571428</v>
      </c>
      <c r="O411" s="81" cm="1">
        <f ca="1" t="array" ref="O411">IF(O713=1,OFFSET($Z$338,$B411,O$335-1)/SUMPRODUCT(--($D$335:$V$335=O$335),--($D713:$V713=1)),0)+SUM(O410)+IF(COUNTIF(O$641:O713,1)=1,5,0)+IF(COUNTIF(P411:$Z411,"&gt;"&amp;0)&gt;5,IF(MOD(COUNTIF(O$641:O713,1),7)=0,$C$4,0),0)</f>
        <v>128.462678571428</v>
      </c>
      <c r="P411" s="81" cm="1">
        <f ca="1" t="array" ref="P411">IF(P713=1,OFFSET($Z$338,$B411,P$335-1)/SUMPRODUCT(--($D$335:$V$335=P$335),--($D713:$V713=1)),0)+SUM(P410)+IF(COUNTIF(P$641:P713,1)=1,5,0)+IF(COUNTIF(Q411:$Z411,"&gt;"&amp;0)&gt;5,IF(MOD(COUNTIF(P$641:P713,1),7)=0,$C$4,0),0)</f>
        <v>120.529345238095</v>
      </c>
      <c r="Q411" s="81" cm="1">
        <f ca="1" t="array" ref="Q411">IF(Q713=1,OFFSET($Z$338,$B411,Q$335-1)/SUMPRODUCT(--($D$335:$V$335=Q$335),--($D713:$V713=1)),0)+SUM(Q410)+IF(COUNTIF(Q$641:Q713,1)=1,5,0)+IF(COUNTIF(R411:$Z411,"&gt;"&amp;0)&gt;5,IF(MOD(COUNTIF(Q$641:Q713,1),7)=0,$C$4,0),0)</f>
        <v>119.623095238095</v>
      </c>
      <c r="R411" s="81" cm="1">
        <f ca="1" t="array" ref="R411">IF(R713=1,OFFSET($Z$338,$B411,R$335-1)/SUMPRODUCT(--($D$335:$V$335=R$335),--($D713:$V713=1)),0)+SUM(R410)+IF(COUNTIF(R$641:R713,1)=1,5,0)+IF(COUNTIF(S411:$Z411,"&gt;"&amp;0)&gt;5,IF(MOD(COUNTIF(R$641:R713,1),7)=0,$C$4,0),0)</f>
        <v>94.7280952380952</v>
      </c>
      <c r="S411" s="81" cm="1">
        <f ca="1" t="array" ref="S411">IF(S713=1,OFFSET($Z$338,$B411,S$335-1)/SUMPRODUCT(--($D$335:$V$335=S$335),--($D713:$V713=1)),0)+SUM(S410)+IF(COUNTIF(S$641:S713,1)=1,5,0)+IF(COUNTIF(T411:$Z411,"&gt;"&amp;0)&gt;5,IF(MOD(COUNTIF(S$641:S713,1),7)=0,$C$4,0),0)</f>
        <v>85.5614285714286</v>
      </c>
      <c r="T411" s="81" cm="1">
        <f ca="1" t="array" ref="T411">IF(T713=1,OFFSET($Z$338,$B411,T$335-1)/SUMPRODUCT(--($D$335:$V$335=T$335),--($D713:$V713=1)),0)+SUM(T410)+IF(COUNTIF(T$641:T713,1)=1,5,0)+IF(COUNTIF(U411:$Z411,"&gt;"&amp;0)&gt;5,IF(MOD(COUNTIF(T$641:T713,1),7)=0,$C$4,0),0)</f>
        <v>58.5228719304359</v>
      </c>
      <c r="U411" s="81" cm="1">
        <f ca="1" t="array" ref="U411">IF(U713=1,OFFSET($Z$338,$B411,U$335-1)/SUMPRODUCT(--($D$335:$V$335=U$335),--($D713:$V713=1)),0)+SUM(U410)+IF(COUNTIF(U$641:U713,1)=1,5,0)+IF(COUNTIF(V411:$Z411,"&gt;"&amp;0)&gt;5,IF(MOD(COUNTIF(U$641:U713,1),7)=0,$C$4,0),0)</f>
        <v>48.5228719304359</v>
      </c>
      <c r="V411" s="81" cm="1">
        <f ca="1" t="array" ref="V411">IF(V713=1,OFFSET($Z$338,$B411,V$335-1)/SUMPRODUCT(--($D$335:$V$335=V$335),--($D713:$V713=1)),0)+SUM(V410)+IF(COUNTIF(V$641:V713,1)=1,5,0)+IF(COUNTIF(Z411:$Z411,"&gt;"&amp;0)&gt;5,IF(MOD(COUNTIF(V$641:V713,1),7)=0,$C$4,0),0)</f>
        <v>40.5650527411539</v>
      </c>
      <c r="W411" s="81" cm="1">
        <f ca="1" t="array" ref="W411">IF(W713=1,OFFSET($Z$338,$B411,W$335-1)/SUMPRODUCT(--($D$335:$V$335=W$335),--($D713:$V713=1)),0)+SUM(W410)+IF(COUNTIF(W$641:W713,1)=1,5,0)+IF(COUNTIF($Z411:AA411,"&gt;"&amp;0)&gt;5,IF(MOD(COUNTIF(W$641:W713,1),7)=0,$C$4,0),0)</f>
        <v>31.2091836262046</v>
      </c>
      <c r="X411" s="81" cm="1">
        <f ca="1" t="array" ref="X411">IF(X713=1,OFFSET($Z$338,$B411,X$335-1)/SUMPRODUCT(--($D$335:$V$335=X$335),--($D713:$V713=1)),0)+SUM(X410)+IF(COUNTIF(X$641:X713,1)=1,5,0)+IF(COUNTIF($Z411:AB411,"&gt;"&amp;0)&gt;5,IF(MOD(COUNTIF(X$641:X713,1),7)=0,$C$4,0),0)</f>
        <v>24.4455233355712</v>
      </c>
      <c r="Y411" s="81" cm="1">
        <f ca="1" t="array" ref="Y411">IF(Y713=1,OFFSET($Z$338,$B411,Y$335-1)/SUMPRODUCT(--($D$335:$V$335=Y$335),--($D713:$V713=1)),0)+SUM(Y410)+IF(COUNTIF(Y$641:Y713,1)=1,5,0)+IF(COUNTIF($Z411:AC411,"&gt;"&amp;0)&gt;5,IF(MOD(COUNTIF(Y$641:Y713,1),7)=0,$C$4,0),0)</f>
        <v>17.6818630449377</v>
      </c>
      <c r="Z411" s="82" cm="1">
        <f ca="1" t="array" ref="Z411">SUMPRODUCT(TRANSPOSE($AD411:$AJ411),OFFSET($L$10:$L$16,0,Z$335-1))</f>
        <v>23.8636273910124</v>
      </c>
      <c r="AA411" s="82" cm="1">
        <f ca="1" t="array" ref="AA411">SUMPRODUCT(TRANSPOSE($AD411:$AJ411),OFFSET($L$10:$L$16,0,AA$335-1))</f>
        <v>19.8</v>
      </c>
      <c r="AB411" s="82" cm="1">
        <f ca="1" t="array" ref="AB411">SUMPRODUCT(TRANSPOSE($AD411:$AJ411),OFFSET($L$10:$L$16,0,AB$335-1))</f>
        <v>8.8</v>
      </c>
      <c r="AC411" s="82" cm="1">
        <f ca="1" t="array" ref="AC411">SUMPRODUCT(TRANSPOSE($AD411:$AJ411),OFFSET($L$10:$L$16,0,AC$335-1))</f>
        <v>2.53637260898755</v>
      </c>
      <c r="AD411" s="83">
        <f ca="1" t="shared" ref="AD411:AJ411" si="467">AK411-AK410</f>
        <v>0</v>
      </c>
      <c r="AE411" s="83">
        <f ca="1" t="shared" si="467"/>
        <v>0</v>
      </c>
      <c r="AF411" s="83">
        <f ca="1" t="shared" si="467"/>
        <v>0</v>
      </c>
      <c r="AG411" s="83">
        <f ca="1" t="shared" si="467"/>
        <v>0</v>
      </c>
      <c r="AH411" s="83">
        <f ca="1" t="shared" si="467"/>
        <v>110</v>
      </c>
      <c r="AI411" s="83">
        <f ca="1" t="shared" si="467"/>
        <v>0</v>
      </c>
      <c r="AJ411" s="83">
        <f ca="1" t="shared" si="467"/>
        <v>0</v>
      </c>
      <c r="AK411" s="83">
        <f ca="1" t="shared" si="451"/>
        <v>450</v>
      </c>
      <c r="AL411" s="83">
        <f ca="1" t="shared" ref="AL411:AQ411" si="468">IF($C411&gt;OFFSET($Q$9,MATCH(AL$338,$AK$338:$AQ$338,0),0),OFFSET($P$9,MATCH(AL$338,$AK$338:$AQ$338,0),0),MAX(0,$C411-OFFSET($Q$9,RIGHT(AL$338,1)-1,0)))</f>
        <v>909</v>
      </c>
      <c r="AM411" s="83">
        <f ca="1" t="shared" si="468"/>
        <v>1818</v>
      </c>
      <c r="AN411" s="83">
        <f ca="1" t="shared" si="468"/>
        <v>2727</v>
      </c>
      <c r="AO411" s="83">
        <f ca="1" t="shared" si="468"/>
        <v>3452</v>
      </c>
      <c r="AP411" s="83">
        <f ca="1" t="shared" si="468"/>
        <v>0</v>
      </c>
      <c r="AQ411" s="83">
        <f ca="1" t="shared" si="468"/>
        <v>0</v>
      </c>
    </row>
    <row r="412" ht="16.5" spans="2:43">
      <c r="B412" s="65">
        <v>74</v>
      </c>
      <c r="C412" s="80">
        <f t="shared" si="449"/>
        <v>9466</v>
      </c>
      <c r="D412" s="81" cm="1">
        <f ca="1" t="array" ref="D412">IF(D714=1,OFFSET($Z$338,$B412,D$335-1)/SUMPRODUCT(--($D$335:$V$335=D$335),--($D714:$V714=1)),0)+SUM(D411)+IF(COUNTIF(D$641:D714,1)=1,5,0)+IF(COUNTIF(E412:$Z412,"&gt;"&amp;0)&gt;5,IF(MOD(COUNTIF(D$641:D714,1),7)=0,$C$4,0),0)</f>
        <v>908.189276929662</v>
      </c>
      <c r="E412" s="81" cm="1">
        <f ca="1" t="array" ref="E412">IF(E714=1,OFFSET($Z$338,$B412,E$335-1)/SUMPRODUCT(--($D$335:$V$335=E$335),--($D714:$V714=1)),0)+SUM(E411)+IF(COUNTIF(E$641:E714,1)=1,5,0)+IF(COUNTIF(F412:$Z412,"&gt;"&amp;0)&gt;5,IF(MOD(COUNTIF(E$641:E714,1),7)=0,$C$4,0),0)</f>
        <v>908.189276929662</v>
      </c>
      <c r="F412" s="81" cm="1">
        <f ca="1" t="array" ref="F412">IF(F714=1,OFFSET($Z$338,$B412,F$335-1)/SUMPRODUCT(--($D$335:$V$335=F$335),--($D714:$V714=1)),0)+SUM(F411)+IF(COUNTIF(F$641:F714,1)=1,5,0)+IF(COUNTIF(G412:$Z412,"&gt;"&amp;0)&gt;5,IF(MOD(COUNTIF(F$641:F714,1),7)=0,$C$4,0),0)</f>
        <v>908.189276929662</v>
      </c>
      <c r="G412" s="81" cm="1">
        <f ca="1" t="array" ref="G412">IF(G714=1,OFFSET($Z$338,$B412,G$335-1)/SUMPRODUCT(--($D$335:$V$335=G$335),--($D714:$V714=1)),0)+SUM(G411)+IF(COUNTIF(G$641:G714,1)=1,5,0)+IF(COUNTIF(H412:$Z412,"&gt;"&amp;0)&gt;5,IF(MOD(COUNTIF(G$641:G714,1),7)=0,$C$4,0),0)</f>
        <v>303.796666666667</v>
      </c>
      <c r="H412" s="81" cm="1">
        <f ca="1" t="array" ref="H412">IF(H714=1,OFFSET($Z$338,$B412,H$335-1)/SUMPRODUCT(--($D$335:$V$335=H$335),--($D714:$V714=1)),0)+SUM(H411)+IF(COUNTIF(H$641:H714,1)=1,5,0)+IF(COUNTIF(I412:$Z412,"&gt;"&amp;0)&gt;5,IF(MOD(COUNTIF(H$641:H714,1),7)=0,$C$4,0),0)</f>
        <v>303.796666666667</v>
      </c>
      <c r="I412" s="81" cm="1">
        <f ca="1" t="array" ref="I412">IF(I714=1,OFFSET($Z$338,$B412,I$335-1)/SUMPRODUCT(--($D$335:$V$335=I$335),--($D714:$V714=1)),0)+SUM(I411)+IF(COUNTIF(I$641:I714,1)=1,5,0)+IF(COUNTIF(J412:$Z412,"&gt;"&amp;0)&gt;5,IF(MOD(COUNTIF(I$641:I714,1),7)=0,$C$4,0),0)</f>
        <v>303.796666666667</v>
      </c>
      <c r="J412" s="81" cm="1">
        <f ca="1" t="array" ref="J412">IF(J714=1,OFFSET($Z$338,$B412,J$335-1)/SUMPRODUCT(--($D$335:$V$335=J$335),--($D714:$V714=1)),0)+SUM(J411)+IF(COUNTIF(J$641:J714,1)=1,5,0)+IF(COUNTIF(K412:$Z412,"&gt;"&amp;0)&gt;5,IF(MOD(COUNTIF(J$641:J714,1),7)=0,$C$4,0),0)</f>
        <v>303.796666666667</v>
      </c>
      <c r="K412" s="81" cm="1">
        <f ca="1" t="array" ref="K412">IF(K714=1,OFFSET($Z$338,$B412,K$335-1)/SUMPRODUCT(--($D$335:$V$335=K$335),--($D714:$V714=1)),0)+SUM(K411)+IF(COUNTIF(K$641:K714,1)=1,5,0)+IF(COUNTIF(L412:$Z412,"&gt;"&amp;0)&gt;5,IF(MOD(COUNTIF(K$641:K714,1),7)=0,$C$4,0),0)</f>
        <v>303.796666666667</v>
      </c>
      <c r="L412" s="81" cm="1">
        <f ca="1" t="array" ref="L412">IF(L714=1,OFFSET($Z$338,$B412,L$335-1)/SUMPRODUCT(--($D$335:$V$335=L$335),--($D714:$V714=1)),0)+SUM(L411)+IF(COUNTIF(L$641:L714,1)=1,5,0)+IF(COUNTIF(M412:$Z412,"&gt;"&amp;0)&gt;5,IF(MOD(COUNTIF(L$641:L714,1),7)=0,$C$4,0),0)</f>
        <v>297.096666666667</v>
      </c>
      <c r="M412" s="81" cm="1">
        <f ca="1" t="array" ref="M412">IF(M714=1,OFFSET($Z$338,$B412,M$335-1)/SUMPRODUCT(--($D$335:$V$335=M$335),--($D714:$V714=1)),0)+SUM(M411)+IF(COUNTIF(M$641:M714,1)=1,5,0)+IF(COUNTIF(N412:$Z412,"&gt;"&amp;0)&gt;5,IF(MOD(COUNTIF(M$641:M714,1),7)=0,$C$4,0),0)</f>
        <v>139.869821428571</v>
      </c>
      <c r="N412" s="81" cm="1">
        <f ca="1" t="array" ref="N412">IF(N714=1,OFFSET($Z$338,$B412,N$335-1)/SUMPRODUCT(--($D$335:$V$335=N$335),--($D714:$V714=1)),0)+SUM(N411)+IF(COUNTIF(N$641:N714,1)=1,5,0)+IF(COUNTIF(O412:$Z412,"&gt;"&amp;0)&gt;5,IF(MOD(COUNTIF(N$641:N714,1),7)=0,$C$4,0),0)</f>
        <v>132.144821428571</v>
      </c>
      <c r="O412" s="81" cm="1">
        <f ca="1" t="array" ref="O412">IF(O714=1,OFFSET($Z$338,$B412,O$335-1)/SUMPRODUCT(--($D$335:$V$335=O$335),--($D714:$V714=1)),0)+SUM(O411)+IF(COUNTIF(O$641:O714,1)=1,5,0)+IF(COUNTIF(P412:$Z412,"&gt;"&amp;0)&gt;5,IF(MOD(COUNTIF(O$641:O714,1),7)=0,$C$4,0),0)</f>
        <v>129.719821428571</v>
      </c>
      <c r="P412" s="81" cm="1">
        <f ca="1" t="array" ref="P412">IF(P714=1,OFFSET($Z$338,$B412,P$335-1)/SUMPRODUCT(--($D$335:$V$335=P$335),--($D714:$V714=1)),0)+SUM(P411)+IF(COUNTIF(P$641:P714,1)=1,5,0)+IF(COUNTIF(Q412:$Z412,"&gt;"&amp;0)&gt;5,IF(MOD(COUNTIF(P$641:P714,1),7)=0,$C$4,0),0)</f>
        <v>121.786488095238</v>
      </c>
      <c r="Q412" s="81" cm="1">
        <f ca="1" t="array" ref="Q412">IF(Q714=1,OFFSET($Z$338,$B412,Q$335-1)/SUMPRODUCT(--($D$335:$V$335=Q$335),--($D714:$V714=1)),0)+SUM(Q411)+IF(COUNTIF(Q$641:Q714,1)=1,5,0)+IF(COUNTIF(R412:$Z412,"&gt;"&amp;0)&gt;5,IF(MOD(COUNTIF(Q$641:Q714,1),7)=0,$C$4,0),0)</f>
        <v>120.880238095238</v>
      </c>
      <c r="R412" s="81" cm="1">
        <f ca="1" t="array" ref="R412">IF(R714=1,OFFSET($Z$338,$B412,R$335-1)/SUMPRODUCT(--($D$335:$V$335=R$335),--($D714:$V714=1)),0)+SUM(R411)+IF(COUNTIF(R$641:R714,1)=1,5,0)+IF(COUNTIF(S412:$Z412,"&gt;"&amp;0)&gt;5,IF(MOD(COUNTIF(R$641:R714,1),7)=0,$C$4,0),0)</f>
        <v>95.9852380952381</v>
      </c>
      <c r="S412" s="81" cm="1">
        <f ca="1" t="array" ref="S412">IF(S714=1,OFFSET($Z$338,$B412,S$335-1)/SUMPRODUCT(--($D$335:$V$335=S$335),--($D714:$V714=1)),0)+SUM(S411)+IF(COUNTIF(S$641:S714,1)=1,5,0)+IF(COUNTIF(T412:$Z412,"&gt;"&amp;0)&gt;5,IF(MOD(COUNTIF(S$641:S714,1),7)=0,$C$4,0),0)</f>
        <v>86.8185714285714</v>
      </c>
      <c r="T412" s="81" cm="1">
        <f ca="1" t="array" ref="T412">IF(T714=1,OFFSET($Z$338,$B412,T$335-1)/SUMPRODUCT(--($D$335:$V$335=T$335),--($D714:$V714=1)),0)+SUM(T411)+IF(COUNTIF(T$641:T714,1)=1,5,0)+IF(COUNTIF(U412:$Z412,"&gt;"&amp;0)&gt;5,IF(MOD(COUNTIF(T$641:T714,1),7)=0,$C$4,0),0)</f>
        <v>59.3683294667651</v>
      </c>
      <c r="U412" s="81" cm="1">
        <f ca="1" t="array" ref="U412">IF(U714=1,OFFSET($Z$338,$B412,U$335-1)/SUMPRODUCT(--($D$335:$V$335=U$335),--($D714:$V714=1)),0)+SUM(U411)+IF(COUNTIF(U$641:U714,1)=1,5,0)+IF(COUNTIF(V412:$Z412,"&gt;"&amp;0)&gt;5,IF(MOD(COUNTIF(U$641:U714,1),7)=0,$C$4,0),0)</f>
        <v>49.3683294667651</v>
      </c>
      <c r="V412" s="81" cm="1">
        <f ca="1" t="array" ref="V412">IF(V714=1,OFFSET($Z$338,$B412,V$335-1)/SUMPRODUCT(--($D$335:$V$335=V$335),--($D714:$V714=1)),0)+SUM(V411)+IF(COUNTIF(V$641:V714,1)=1,5,0)+IF(COUNTIF(Z412:$Z412,"&gt;"&amp;0)&gt;5,IF(MOD(COUNTIF(V$641:V714,1),7)=0,$C$4,0),0)</f>
        <v>41.4105102774831</v>
      </c>
      <c r="W412" s="81" cm="1">
        <f ca="1" t="array" ref="W412">IF(W714=1,OFFSET($Z$338,$B412,W$335-1)/SUMPRODUCT(--($D$335:$V$335=W$335),--($D714:$V714=1)),0)+SUM(W411)+IF(COUNTIF(W$641:W714,1)=1,5,0)+IF(COUNTIF($Z412:AA412,"&gt;"&amp;0)&gt;5,IF(MOD(COUNTIF(W$641:W714,1),7)=0,$C$4,0),0)</f>
        <v>32.0546411625338</v>
      </c>
      <c r="X412" s="81" cm="1">
        <f ca="1" t="array" ref="X412">IF(X714=1,OFFSET($Z$338,$B412,X$335-1)/SUMPRODUCT(--($D$335:$V$335=X$335),--($D714:$V714=1)),0)+SUM(X411)+IF(COUNTIF(X$641:X714,1)=1,5,0)+IF(COUNTIF($Z412:AB412,"&gt;"&amp;0)&gt;5,IF(MOD(COUNTIF(X$641:X714,1),7)=0,$C$4,0),0)</f>
        <v>25.2909808719004</v>
      </c>
      <c r="Y412" s="81" cm="1">
        <f ca="1" t="array" ref="Y412">IF(Y714=1,OFFSET($Z$338,$B412,Y$335-1)/SUMPRODUCT(--($D$335:$V$335=Y$335),--($D714:$V714=1)),0)+SUM(Y411)+IF(COUNTIF(Y$641:Y714,1)=1,5,0)+IF(COUNTIF($Z412:AC412,"&gt;"&amp;0)&gt;5,IF(MOD(COUNTIF(Y$641:Y714,1),7)=0,$C$4,0),0)</f>
        <v>18.5273205812669</v>
      </c>
      <c r="Z412" s="82" cm="1">
        <f ca="1" t="array" ref="Z412">SUMPRODUCT(TRANSPOSE($AD412:$AJ412),OFFSET($L$10:$L$16,0,Z$335-1))</f>
        <v>23.8636273910124</v>
      </c>
      <c r="AA412" s="82" cm="1">
        <f ca="1" t="array" ref="AA412">SUMPRODUCT(TRANSPOSE($AD412:$AJ412),OFFSET($L$10:$L$16,0,AA$335-1))</f>
        <v>19.8</v>
      </c>
      <c r="AB412" s="82" cm="1">
        <f ca="1" t="array" ref="AB412">SUMPRODUCT(TRANSPOSE($AD412:$AJ412),OFFSET($L$10:$L$16,0,AB$335-1))</f>
        <v>8.8</v>
      </c>
      <c r="AC412" s="82" cm="1">
        <f ca="1" t="array" ref="AC412">SUMPRODUCT(TRANSPOSE($AD412:$AJ412),OFFSET($L$10:$L$16,0,AC$335-1))</f>
        <v>2.53637260898755</v>
      </c>
      <c r="AD412" s="83">
        <f ca="1" t="shared" ref="AD412:AJ412" si="469">AK412-AK411</f>
        <v>0</v>
      </c>
      <c r="AE412" s="83">
        <f ca="1" t="shared" si="469"/>
        <v>0</v>
      </c>
      <c r="AF412" s="83">
        <f ca="1" t="shared" si="469"/>
        <v>0</v>
      </c>
      <c r="AG412" s="83">
        <f ca="1" t="shared" si="469"/>
        <v>0</v>
      </c>
      <c r="AH412" s="83">
        <f ca="1" t="shared" si="469"/>
        <v>110</v>
      </c>
      <c r="AI412" s="83">
        <f ca="1" t="shared" si="469"/>
        <v>0</v>
      </c>
      <c r="AJ412" s="83">
        <f ca="1" t="shared" si="469"/>
        <v>0</v>
      </c>
      <c r="AK412" s="83">
        <f ca="1" t="shared" si="451"/>
        <v>450</v>
      </c>
      <c r="AL412" s="83">
        <f ca="1" t="shared" ref="AL412:AQ412" si="470">IF($C412&gt;OFFSET($Q$9,MATCH(AL$338,$AK$338:$AQ$338,0),0),OFFSET($P$9,MATCH(AL$338,$AK$338:$AQ$338,0),0),MAX(0,$C412-OFFSET($Q$9,RIGHT(AL$338,1)-1,0)))</f>
        <v>909</v>
      </c>
      <c r="AM412" s="83">
        <f ca="1" t="shared" si="470"/>
        <v>1818</v>
      </c>
      <c r="AN412" s="83">
        <f ca="1" t="shared" si="470"/>
        <v>2727</v>
      </c>
      <c r="AO412" s="83">
        <f ca="1" t="shared" si="470"/>
        <v>3562</v>
      </c>
      <c r="AP412" s="83">
        <f ca="1" t="shared" si="470"/>
        <v>0</v>
      </c>
      <c r="AQ412" s="83">
        <f ca="1" t="shared" si="470"/>
        <v>0</v>
      </c>
    </row>
    <row r="413" ht="16.5" spans="2:43">
      <c r="B413" s="65">
        <v>75</v>
      </c>
      <c r="C413" s="80">
        <f t="shared" si="449"/>
        <v>9576</v>
      </c>
      <c r="D413" s="81" cm="1">
        <f ca="1" t="array" ref="D413">IF(D715=1,OFFSET($Z$338,$B413,D$335-1)/SUMPRODUCT(--($D$335:$V$335=D$335),--($D715:$V715=1)),0)+SUM(D412)+IF(COUNTIF(D$641:D715,1)=1,5,0)+IF(COUNTIF(E413:$Z413,"&gt;"&amp;0)&gt;5,IF(MOD(COUNTIF(D$641:D715,1),7)=0,$C$4,0),0)</f>
        <v>915.5625409948</v>
      </c>
      <c r="E413" s="81" cm="1">
        <f ca="1" t="array" ref="E413">IF(E715=1,OFFSET($Z$338,$B413,E$335-1)/SUMPRODUCT(--($D$335:$V$335=E$335),--($D715:$V715=1)),0)+SUM(E412)+IF(COUNTIF(E$641:E715,1)=1,5,0)+IF(COUNTIF(F413:$Z413,"&gt;"&amp;0)&gt;5,IF(MOD(COUNTIF(E$641:E715,1),7)=0,$C$4,0),0)</f>
        <v>915.5625409948</v>
      </c>
      <c r="F413" s="81" cm="1">
        <f ca="1" t="array" ref="F413">IF(F715=1,OFFSET($Z$338,$B413,F$335-1)/SUMPRODUCT(--($D$335:$V$335=F$335),--($D715:$V715=1)),0)+SUM(F412)+IF(COUNTIF(F$641:F715,1)=1,5,0)+IF(COUNTIF(G413:$Z413,"&gt;"&amp;0)&gt;5,IF(MOD(COUNTIF(F$641:F715,1),7)=0,$C$4,0),0)</f>
        <v>915.5625409948</v>
      </c>
      <c r="G413" s="81" cm="1">
        <f ca="1" t="array" ref="G413">IF(G715=1,OFFSET($Z$338,$B413,G$335-1)/SUMPRODUCT(--($D$335:$V$335=G$335),--($D715:$V715=1)),0)+SUM(G412)+IF(COUNTIF(G$641:G715,1)=1,5,0)+IF(COUNTIF(H413:$Z413,"&gt;"&amp;0)&gt;5,IF(MOD(COUNTIF(G$641:G715,1),7)=0,$C$4,0),0)</f>
        <v>307.216666666667</v>
      </c>
      <c r="H413" s="81" cm="1">
        <f ca="1" t="array" ref="H413">IF(H715=1,OFFSET($Z$338,$B413,H$335-1)/SUMPRODUCT(--($D$335:$V$335=H$335),--($D715:$V715=1)),0)+SUM(H412)+IF(COUNTIF(H$641:H715,1)=1,5,0)+IF(COUNTIF(I413:$Z413,"&gt;"&amp;0)&gt;5,IF(MOD(COUNTIF(H$641:H715,1),7)=0,$C$4,0),0)</f>
        <v>307.216666666667</v>
      </c>
      <c r="I413" s="81" cm="1">
        <f ca="1" t="array" ref="I413">IF(I715=1,OFFSET($Z$338,$B413,I$335-1)/SUMPRODUCT(--($D$335:$V$335=I$335),--($D715:$V715=1)),0)+SUM(I412)+IF(COUNTIF(I$641:I715,1)=1,5,0)+IF(COUNTIF(J413:$Z413,"&gt;"&amp;0)&gt;5,IF(MOD(COUNTIF(I$641:I715,1),7)=0,$C$4,0),0)</f>
        <v>307.216666666667</v>
      </c>
      <c r="J413" s="81" cm="1">
        <f ca="1" t="array" ref="J413">IF(J715=1,OFFSET($Z$338,$B413,J$335-1)/SUMPRODUCT(--($D$335:$V$335=J$335),--($D715:$V715=1)),0)+SUM(J412)+IF(COUNTIF(J$641:J715,1)=1,5,0)+IF(COUNTIF(K413:$Z413,"&gt;"&amp;0)&gt;5,IF(MOD(COUNTIF(J$641:J715,1),7)=0,$C$4,0),0)</f>
        <v>307.216666666667</v>
      </c>
      <c r="K413" s="81" cm="1">
        <f ca="1" t="array" ref="K413">IF(K715=1,OFFSET($Z$338,$B413,K$335-1)/SUMPRODUCT(--($D$335:$V$335=K$335),--($D715:$V715=1)),0)+SUM(K412)+IF(COUNTIF(K$641:K715,1)=1,5,0)+IF(COUNTIF(L413:$Z413,"&gt;"&amp;0)&gt;5,IF(MOD(COUNTIF(K$641:K715,1),7)=0,$C$4,0),0)</f>
        <v>307.216666666667</v>
      </c>
      <c r="L413" s="81" cm="1">
        <f ca="1" t="array" ref="L413">IF(L715=1,OFFSET($Z$338,$B413,L$335-1)/SUMPRODUCT(--($D$335:$V$335=L$335),--($D715:$V715=1)),0)+SUM(L412)+IF(COUNTIF(L$641:L715,1)=1,5,0)+IF(COUNTIF(M413:$Z413,"&gt;"&amp;0)&gt;5,IF(MOD(COUNTIF(L$641:L715,1),7)=0,$C$4,0),0)</f>
        <v>300.516666666667</v>
      </c>
      <c r="M413" s="81" cm="1">
        <f ca="1" t="array" ref="M413">IF(M715=1,OFFSET($Z$338,$B413,M$335-1)/SUMPRODUCT(--($D$335:$V$335=M$335),--($D715:$V715=1)),0)+SUM(M412)+IF(COUNTIF(M$641:M715,1)=1,5,0)+IF(COUNTIF(N413:$Z413,"&gt;"&amp;0)&gt;5,IF(MOD(COUNTIF(M$641:M715,1),7)=0,$C$4,0),0)</f>
        <v>141.229821428571</v>
      </c>
      <c r="N413" s="81" cm="1">
        <f ca="1" t="array" ref="N413">IF(N715=1,OFFSET($Z$338,$B413,N$335-1)/SUMPRODUCT(--($D$335:$V$335=N$335),--($D715:$V715=1)),0)+SUM(N412)+IF(COUNTIF(N$641:N715,1)=1,5,0)+IF(COUNTIF(O413:$Z413,"&gt;"&amp;0)&gt;5,IF(MOD(COUNTIF(N$641:N715,1),7)=0,$C$4,0),0)</f>
        <v>133.504821428571</v>
      </c>
      <c r="O413" s="81" cm="1">
        <f ca="1" t="array" ref="O413">IF(O715=1,OFFSET($Z$338,$B413,O$335-1)/SUMPRODUCT(--($D$335:$V$335=O$335),--($D715:$V715=1)),0)+SUM(O412)+IF(COUNTIF(O$641:O715,1)=1,5,0)+IF(COUNTIF(P413:$Z413,"&gt;"&amp;0)&gt;5,IF(MOD(COUNTIF(O$641:O715,1),7)=0,$C$4,0),0)</f>
        <v>131.079821428571</v>
      </c>
      <c r="P413" s="81" cm="1">
        <f ca="1" t="array" ref="P413">IF(P715=1,OFFSET($Z$338,$B413,P$335-1)/SUMPRODUCT(--($D$335:$V$335=P$335),--($D715:$V715=1)),0)+SUM(P412)+IF(COUNTIF(P$641:P715,1)=1,5,0)+IF(COUNTIF(Q413:$Z413,"&gt;"&amp;0)&gt;5,IF(MOD(COUNTIF(P$641:P715,1),7)=0,$C$4,0),0)</f>
        <v>128.146488095238</v>
      </c>
      <c r="Q413" s="81" cm="1">
        <f ca="1" t="array" ref="Q413">IF(Q715=1,OFFSET($Z$338,$B413,Q$335-1)/SUMPRODUCT(--($D$335:$V$335=Q$335),--($D715:$V715=1)),0)+SUM(Q412)+IF(COUNTIF(Q$641:Q715,1)=1,5,0)+IF(COUNTIF(R413:$Z413,"&gt;"&amp;0)&gt;5,IF(MOD(COUNTIF(Q$641:Q715,1),7)=0,$C$4,0),0)</f>
        <v>122.240238095238</v>
      </c>
      <c r="R413" s="81" cm="1">
        <f ca="1" t="array" ref="R413">IF(R715=1,OFFSET($Z$338,$B413,R$335-1)/SUMPRODUCT(--($D$335:$V$335=R$335),--($D715:$V715=1)),0)+SUM(R412)+IF(COUNTIF(R$641:R715,1)=1,5,0)+IF(COUNTIF(S413:$Z413,"&gt;"&amp;0)&gt;5,IF(MOD(COUNTIF(R$641:R715,1),7)=0,$C$4,0),0)</f>
        <v>97.3452380952381</v>
      </c>
      <c r="S413" s="81" cm="1">
        <f ca="1" t="array" ref="S413">IF(S715=1,OFFSET($Z$338,$B413,S$335-1)/SUMPRODUCT(--($D$335:$V$335=S$335),--($D715:$V715=1)),0)+SUM(S412)+IF(COUNTIF(S$641:S715,1)=1,5,0)+IF(COUNTIF(T413:$Z413,"&gt;"&amp;0)&gt;5,IF(MOD(COUNTIF(S$641:S715,1),7)=0,$C$4,0),0)</f>
        <v>93.1785714285714</v>
      </c>
      <c r="T413" s="81" cm="1">
        <f ca="1" t="array" ref="T413">IF(T715=1,OFFSET($Z$338,$B413,T$335-1)/SUMPRODUCT(--($D$335:$V$335=T$335),--($D715:$V715=1)),0)+SUM(T412)+IF(COUNTIF(T$641:T715,1)=1,5,0)+IF(COUNTIF(U413:$Z413,"&gt;"&amp;0)&gt;5,IF(MOD(COUNTIF(T$641:T715,1),7)=0,$C$4,0),0)</f>
        <v>60.3150654016271</v>
      </c>
      <c r="U413" s="81" cm="1">
        <f ca="1" t="array" ref="U413">IF(U715=1,OFFSET($Z$338,$B413,U$335-1)/SUMPRODUCT(--($D$335:$V$335=U$335),--($D715:$V715=1)),0)+SUM(U412)+IF(COUNTIF(U$641:U715,1)=1,5,0)+IF(COUNTIF(V413:$Z413,"&gt;"&amp;0)&gt;5,IF(MOD(COUNTIF(U$641:U715,1),7)=0,$C$4,0),0)</f>
        <v>50.3150654016271</v>
      </c>
      <c r="V413" s="81" cm="1">
        <f ca="1" t="array" ref="V413">IF(V715=1,OFFSET($Z$338,$B413,V$335-1)/SUMPRODUCT(--($D$335:$V$335=V$335),--($D715:$V715=1)),0)+SUM(V412)+IF(COUNTIF(V$641:V715,1)=1,5,0)+IF(COUNTIF(Z413:$Z413,"&gt;"&amp;0)&gt;5,IF(MOD(COUNTIF(V$641:V715,1),7)=0,$C$4,0),0)</f>
        <v>42.3572462123452</v>
      </c>
      <c r="W413" s="81" cm="1">
        <f ca="1" t="array" ref="W413">IF(W715=1,OFFSET($Z$338,$B413,W$335-1)/SUMPRODUCT(--($D$335:$V$335=W$335),--($D715:$V715=1)),0)+SUM(W412)+IF(COUNTIF(W$641:W715,1)=1,5,0)+IF(COUNTIF($Z413:AA413,"&gt;"&amp;0)&gt;5,IF(MOD(COUNTIF(W$641:W715,1),7)=0,$C$4,0),0)</f>
        <v>33.0013770973959</v>
      </c>
      <c r="X413" s="81" cm="1">
        <f ca="1" t="array" ref="X413">IF(X715=1,OFFSET($Z$338,$B413,X$335-1)/SUMPRODUCT(--($D$335:$V$335=X$335),--($D715:$V715=1)),0)+SUM(X412)+IF(COUNTIF(X$641:X715,1)=1,5,0)+IF(COUNTIF($Z413:AB413,"&gt;"&amp;0)&gt;5,IF(MOD(COUNTIF(X$641:X715,1),7)=0,$C$4,0),0)</f>
        <v>26.2377168067624</v>
      </c>
      <c r="Y413" s="81" cm="1">
        <f ca="1" t="array" ref="Y413">IF(Y715=1,OFFSET($Z$338,$B413,Y$335-1)/SUMPRODUCT(--($D$335:$V$335=Y$335),--($D715:$V715=1)),0)+SUM(Y412)+IF(COUNTIF(Y$641:Y715,1)=1,5,0)+IF(COUNTIF($Z413:AC413,"&gt;"&amp;0)&gt;5,IF(MOD(COUNTIF(Y$641:Y715,1),7)=0,$C$4,0),0)</f>
        <v>19.474056516129</v>
      </c>
      <c r="Z413" s="82" cm="1">
        <f ca="1" t="array" ref="Z413">SUMPRODUCT(TRANSPOSE($AD413:$AJ413),OFFSET($L$10:$L$16,0,Z$335-1))</f>
        <v>22.1197921954138</v>
      </c>
      <c r="AA413" s="82" cm="1">
        <f ca="1" t="array" ref="AA413">SUMPRODUCT(TRANSPOSE($AD413:$AJ413),OFFSET($L$10:$L$16,0,AA$335-1))</f>
        <v>20.52</v>
      </c>
      <c r="AB413" s="82" cm="1">
        <f ca="1" t="array" ref="AB413">SUMPRODUCT(TRANSPOSE($AD413:$AJ413),OFFSET($L$10:$L$16,0,AB$335-1))</f>
        <v>9.52</v>
      </c>
      <c r="AC413" s="82" cm="1">
        <f ca="1" t="array" ref="AC413">SUMPRODUCT(TRANSPOSE($AD413:$AJ413),OFFSET($L$10:$L$16,0,AC$335-1))</f>
        <v>2.8402078045862</v>
      </c>
      <c r="AD413" s="83">
        <f ca="1" t="shared" ref="AD413:AJ413" si="471">AK413-AK412</f>
        <v>0</v>
      </c>
      <c r="AE413" s="83">
        <f ca="1" t="shared" si="471"/>
        <v>0</v>
      </c>
      <c r="AF413" s="83">
        <f ca="1" t="shared" si="471"/>
        <v>0</v>
      </c>
      <c r="AG413" s="83">
        <f ca="1" t="shared" si="471"/>
        <v>0</v>
      </c>
      <c r="AH413" s="83">
        <f ca="1" t="shared" si="471"/>
        <v>74</v>
      </c>
      <c r="AI413" s="83">
        <f ca="1" t="shared" si="471"/>
        <v>36</v>
      </c>
      <c r="AJ413" s="83">
        <f ca="1" t="shared" si="471"/>
        <v>0</v>
      </c>
      <c r="AK413" s="83">
        <f ca="1" t="shared" si="451"/>
        <v>450</v>
      </c>
      <c r="AL413" s="83">
        <f ca="1" t="shared" ref="AL413:AQ413" si="472">IF($C413&gt;OFFSET($Q$9,MATCH(AL$338,$AK$338:$AQ$338,0),0),OFFSET($P$9,MATCH(AL$338,$AK$338:$AQ$338,0),0),MAX(0,$C413-OFFSET($Q$9,RIGHT(AL$338,1)-1,0)))</f>
        <v>909</v>
      </c>
      <c r="AM413" s="83">
        <f ca="1" t="shared" si="472"/>
        <v>1818</v>
      </c>
      <c r="AN413" s="83">
        <f ca="1" t="shared" si="472"/>
        <v>2727</v>
      </c>
      <c r="AO413" s="83">
        <f ca="1" t="shared" si="472"/>
        <v>3636</v>
      </c>
      <c r="AP413" s="83">
        <f ca="1" t="shared" si="472"/>
        <v>36</v>
      </c>
      <c r="AQ413" s="83">
        <f ca="1" t="shared" si="472"/>
        <v>0</v>
      </c>
    </row>
    <row r="414" ht="16.5" spans="2:43">
      <c r="B414" s="65">
        <v>76</v>
      </c>
      <c r="C414" s="80">
        <f t="shared" si="449"/>
        <v>9686</v>
      </c>
      <c r="D414" s="81" cm="1">
        <f ca="1" t="array" ref="D414">IF(D716=1,OFFSET($Z$338,$B414,D$335-1)/SUMPRODUCT(--($D$335:$V$335=D$335),--($D716:$V716=1)),0)+SUM(D413)+IF(COUNTIF(D$641:D716,1)=1,5,0)+IF(COUNTIF(E414:$Z414,"&gt;"&amp;0)&gt;5,IF(MOD(COUNTIF(D$641:D716,1),7)=0,$C$4,0),0)</f>
        <v>921.740955018509</v>
      </c>
      <c r="E414" s="81" cm="1">
        <f ca="1" t="array" ref="E414">IF(E716=1,OFFSET($Z$338,$B414,E$335-1)/SUMPRODUCT(--($D$335:$V$335=E$335),--($D716:$V716=1)),0)+SUM(E413)+IF(COUNTIF(E$641:E716,1)=1,5,0)+IF(COUNTIF(F414:$Z414,"&gt;"&amp;0)&gt;5,IF(MOD(COUNTIF(E$641:E716,1),7)=0,$C$4,0),0)</f>
        <v>921.740955018509</v>
      </c>
      <c r="F414" s="81" cm="1">
        <f ca="1" t="array" ref="F414">IF(F716=1,OFFSET($Z$338,$B414,F$335-1)/SUMPRODUCT(--($D$335:$V$335=F$335),--($D716:$V716=1)),0)+SUM(F413)+IF(COUNTIF(F$641:F716,1)=1,5,0)+IF(COUNTIF(G414:$Z414,"&gt;"&amp;0)&gt;5,IF(MOD(COUNTIF(F$641:F716,1),7)=0,$C$4,0),0)</f>
        <v>921.740955018509</v>
      </c>
      <c r="G414" s="81" cm="1">
        <f ca="1" t="array" ref="G414">IF(G716=1,OFFSET($Z$338,$B414,G$335-1)/SUMPRODUCT(--($D$335:$V$335=G$335),--($D716:$V716=1)),0)+SUM(G413)+IF(COUNTIF(G$641:G716,1)=1,5,0)+IF(COUNTIF(H414:$Z414,"&gt;"&amp;0)&gt;5,IF(MOD(COUNTIF(G$641:G716,1),7)=0,$C$4,0),0)</f>
        <v>310.883333333334</v>
      </c>
      <c r="H414" s="81" cm="1">
        <f ca="1" t="array" ref="H414">IF(H716=1,OFFSET($Z$338,$B414,H$335-1)/SUMPRODUCT(--($D$335:$V$335=H$335),--($D716:$V716=1)),0)+SUM(H413)+IF(COUNTIF(H$641:H716,1)=1,5,0)+IF(COUNTIF(I414:$Z414,"&gt;"&amp;0)&gt;5,IF(MOD(COUNTIF(H$641:H716,1),7)=0,$C$4,0),0)</f>
        <v>310.883333333334</v>
      </c>
      <c r="I414" s="81" cm="1">
        <f ca="1" t="array" ref="I414">IF(I716=1,OFFSET($Z$338,$B414,I$335-1)/SUMPRODUCT(--($D$335:$V$335=I$335),--($D716:$V716=1)),0)+SUM(I413)+IF(COUNTIF(I$641:I716,1)=1,5,0)+IF(COUNTIF(J414:$Z414,"&gt;"&amp;0)&gt;5,IF(MOD(COUNTIF(I$641:I716,1),7)=0,$C$4,0),0)</f>
        <v>310.883333333334</v>
      </c>
      <c r="J414" s="81" cm="1">
        <f ca="1" t="array" ref="J414">IF(J716=1,OFFSET($Z$338,$B414,J$335-1)/SUMPRODUCT(--($D$335:$V$335=J$335),--($D716:$V716=1)),0)+SUM(J413)+IF(COUNTIF(J$641:J716,1)=1,5,0)+IF(COUNTIF(K414:$Z414,"&gt;"&amp;0)&gt;5,IF(MOD(COUNTIF(J$641:J716,1),7)=0,$C$4,0),0)</f>
        <v>310.883333333334</v>
      </c>
      <c r="K414" s="81" cm="1">
        <f ca="1" t="array" ref="K414">IF(K716=1,OFFSET($Z$338,$B414,K$335-1)/SUMPRODUCT(--($D$335:$V$335=K$335),--($D716:$V716=1)),0)+SUM(K413)+IF(COUNTIF(K$641:K716,1)=1,5,0)+IF(COUNTIF(L414:$Z414,"&gt;"&amp;0)&gt;5,IF(MOD(COUNTIF(K$641:K716,1),7)=0,$C$4,0),0)</f>
        <v>310.883333333334</v>
      </c>
      <c r="L414" s="81" cm="1">
        <f ca="1" t="array" ref="L414">IF(L716=1,OFFSET($Z$338,$B414,L$335-1)/SUMPRODUCT(--($D$335:$V$335=L$335),--($D716:$V716=1)),0)+SUM(L413)+IF(COUNTIF(L$641:L716,1)=1,5,0)+IF(COUNTIF(M414:$Z414,"&gt;"&amp;0)&gt;5,IF(MOD(COUNTIF(L$641:L716,1),7)=0,$C$4,0),0)</f>
        <v>304.183333333334</v>
      </c>
      <c r="M414" s="81" cm="1">
        <f ca="1" t="array" ref="M414">IF(M716=1,OFFSET($Z$338,$B414,M$335-1)/SUMPRODUCT(--($D$335:$V$335=M$335),--($D716:$V716=1)),0)+SUM(M413)+IF(COUNTIF(M$641:M716,1)=1,5,0)+IF(COUNTIF(N414:$Z414,"&gt;"&amp;0)&gt;5,IF(MOD(COUNTIF(M$641:M716,1),7)=0,$C$4,0),0)</f>
        <v>142.80125</v>
      </c>
      <c r="N414" s="81" cm="1">
        <f ca="1" t="array" ref="N414">IF(N716=1,OFFSET($Z$338,$B414,N$335-1)/SUMPRODUCT(--($D$335:$V$335=N$335),--($D716:$V716=1)),0)+SUM(N413)+IF(COUNTIF(N$641:N716,1)=1,5,0)+IF(COUNTIF(O414:$Z414,"&gt;"&amp;0)&gt;5,IF(MOD(COUNTIF(N$641:N716,1),7)=0,$C$4,0),0)</f>
        <v>135.07625</v>
      </c>
      <c r="O414" s="81" cm="1">
        <f ca="1" t="array" ref="O414">IF(O716=1,OFFSET($Z$338,$B414,O$335-1)/SUMPRODUCT(--($D$335:$V$335=O$335),--($D716:$V716=1)),0)+SUM(O413)+IF(COUNTIF(O$641:O716,1)=1,5,0)+IF(COUNTIF(P414:$Z414,"&gt;"&amp;0)&gt;5,IF(MOD(COUNTIF(O$641:O716,1),7)=0,$C$4,0),0)</f>
        <v>132.65125</v>
      </c>
      <c r="P414" s="81" cm="1">
        <f ca="1" t="array" ref="P414">IF(P716=1,OFFSET($Z$338,$B414,P$335-1)/SUMPRODUCT(--($D$335:$V$335=P$335),--($D716:$V716=1)),0)+SUM(P413)+IF(COUNTIF(P$641:P716,1)=1,5,0)+IF(COUNTIF(Q414:$Z414,"&gt;"&amp;0)&gt;5,IF(MOD(COUNTIF(P$641:P716,1),7)=0,$C$4,0),0)</f>
        <v>129.717916666667</v>
      </c>
      <c r="Q414" s="81" cm="1">
        <f ca="1" t="array" ref="Q414">IF(Q716=1,OFFSET($Z$338,$B414,Q$335-1)/SUMPRODUCT(--($D$335:$V$335=Q$335),--($D716:$V716=1)),0)+SUM(Q413)+IF(COUNTIF(Q$641:Q716,1)=1,5,0)+IF(COUNTIF(R414:$Z414,"&gt;"&amp;0)&gt;5,IF(MOD(COUNTIF(Q$641:Q716,1),7)=0,$C$4,0),0)</f>
        <v>128.811666666667</v>
      </c>
      <c r="R414" s="81" cm="1">
        <f ca="1" t="array" ref="R414">IF(R716=1,OFFSET($Z$338,$B414,R$335-1)/SUMPRODUCT(--($D$335:$V$335=R$335),--($D716:$V716=1)),0)+SUM(R413)+IF(COUNTIF(R$641:R716,1)=1,5,0)+IF(COUNTIF(S414:$Z414,"&gt;"&amp;0)&gt;5,IF(MOD(COUNTIF(R$641:R716,1),7)=0,$C$4,0),0)</f>
        <v>98.9166666666666</v>
      </c>
      <c r="S414" s="81" cm="1">
        <f ca="1" t="array" ref="S414">IF(S716=1,OFFSET($Z$338,$B414,S$335-1)/SUMPRODUCT(--($D$335:$V$335=S$335),--($D716:$V716=1)),0)+SUM(S413)+IF(COUNTIF(S$641:S716,1)=1,5,0)+IF(COUNTIF(T414:$Z414,"&gt;"&amp;0)&gt;5,IF(MOD(COUNTIF(S$641:S716,1),7)=0,$C$4,0),0)</f>
        <v>94.75</v>
      </c>
      <c r="T414" s="81" cm="1">
        <f ca="1" t="array" ref="T414">IF(T716=1,OFFSET($Z$338,$B414,T$335-1)/SUMPRODUCT(--($D$335:$V$335=T$335),--($D716:$V716=1)),0)+SUM(T413)+IF(COUNTIF(T$641:T716,1)=1,5,0)+IF(COUNTIF(U414:$Z414,"&gt;"&amp;0)&gt;5,IF(MOD(COUNTIF(T$641:T716,1),7)=0,$C$4,0),0)</f>
        <v>66.4699847112512</v>
      </c>
      <c r="U414" s="81" cm="1">
        <f ca="1" t="array" ref="U414">IF(U716=1,OFFSET($Z$338,$B414,U$335-1)/SUMPRODUCT(--($D$335:$V$335=U$335),--($D716:$V716=1)),0)+SUM(U413)+IF(COUNTIF(U$641:U716,1)=1,5,0)+IF(COUNTIF(V414:$Z414,"&gt;"&amp;0)&gt;5,IF(MOD(COUNTIF(U$641:U716,1),7)=0,$C$4,0),0)</f>
        <v>51.4699847112512</v>
      </c>
      <c r="V414" s="81" cm="1">
        <f ca="1" t="array" ref="V414">IF(V716=1,OFFSET($Z$338,$B414,V$335-1)/SUMPRODUCT(--($D$335:$V$335=V$335),--($D716:$V716=1)),0)+SUM(V413)+IF(COUNTIF(V$641:V716,1)=1,5,0)+IF(COUNTIF(Z414:$Z414,"&gt;"&amp;0)&gt;5,IF(MOD(COUNTIF(V$641:V716,1),7)=0,$C$4,0),0)</f>
        <v>43.5121655219693</v>
      </c>
      <c r="W414" s="81" cm="1">
        <f ca="1" t="array" ref="W414">IF(W716=1,OFFSET($Z$338,$B414,W$335-1)/SUMPRODUCT(--($D$335:$V$335=W$335),--($D716:$V716=1)),0)+SUM(W413)+IF(COUNTIF(W$641:W716,1)=1,5,0)+IF(COUNTIF($Z414:AA414,"&gt;"&amp;0)&gt;5,IF(MOD(COUNTIF(W$641:W716,1),7)=0,$C$4,0),0)</f>
        <v>34.15629640702</v>
      </c>
      <c r="X414" s="81" cm="1">
        <f ca="1" t="array" ref="X414">IF(X716=1,OFFSET($Z$338,$B414,X$335-1)/SUMPRODUCT(--($D$335:$V$335=X$335),--($D716:$V716=1)),0)+SUM(X413)+IF(COUNTIF(X$641:X716,1)=1,5,0)+IF(COUNTIF($Z414:AB414,"&gt;"&amp;0)&gt;5,IF(MOD(COUNTIF(X$641:X716,1),7)=0,$C$4,0),0)</f>
        <v>27.3926361163865</v>
      </c>
      <c r="Y414" s="81" cm="1">
        <f ca="1" t="array" ref="Y414">IF(Y716=1,OFFSET($Z$338,$B414,Y$335-1)/SUMPRODUCT(--($D$335:$V$335=Y$335),--($D716:$V716=1)),0)+SUM(Y413)+IF(COUNTIF(Y$641:Y716,1)=1,5,0)+IF(COUNTIF($Z414:AC414,"&gt;"&amp;0)&gt;5,IF(MOD(COUNTIF(Y$641:Y716,1),7)=0,$C$4,0),0)</f>
        <v>20.6289758257531</v>
      </c>
      <c r="Z414" s="82" cm="1">
        <f ca="1" t="array" ref="Z414">SUMPRODUCT(TRANSPOSE($AD414:$AJ414),OFFSET($L$10:$L$16,0,Z$335-1))</f>
        <v>18.5352420711277</v>
      </c>
      <c r="AA414" s="82" cm="1">
        <f ca="1" t="array" ref="AA414">SUMPRODUCT(TRANSPOSE($AD414:$AJ414),OFFSET($L$10:$L$16,0,AA$335-1))</f>
        <v>22</v>
      </c>
      <c r="AB414" s="82" cm="1">
        <f ca="1" t="array" ref="AB414">SUMPRODUCT(TRANSPOSE($AD414:$AJ414),OFFSET($L$10:$L$16,0,AB$335-1))</f>
        <v>11</v>
      </c>
      <c r="AC414" s="82" cm="1">
        <f ca="1" t="array" ref="AC414">SUMPRODUCT(TRANSPOSE($AD414:$AJ414),OFFSET($L$10:$L$16,0,AC$335-1))</f>
        <v>3.46475792887232</v>
      </c>
      <c r="AD414" s="83">
        <f ca="1" t="shared" ref="AD414:AJ414" si="473">AK414-AK413</f>
        <v>0</v>
      </c>
      <c r="AE414" s="83">
        <f ca="1" t="shared" si="473"/>
        <v>0</v>
      </c>
      <c r="AF414" s="83">
        <f ca="1" t="shared" si="473"/>
        <v>0</v>
      </c>
      <c r="AG414" s="83">
        <f ca="1" t="shared" si="473"/>
        <v>0</v>
      </c>
      <c r="AH414" s="83">
        <f ca="1" t="shared" si="473"/>
        <v>0</v>
      </c>
      <c r="AI414" s="83">
        <f ca="1" t="shared" si="473"/>
        <v>110</v>
      </c>
      <c r="AJ414" s="83">
        <f ca="1" t="shared" si="473"/>
        <v>0</v>
      </c>
      <c r="AK414" s="83">
        <f ca="1" t="shared" si="451"/>
        <v>450</v>
      </c>
      <c r="AL414" s="83">
        <f ca="1" t="shared" ref="AL414:AQ414" si="474">IF($C414&gt;OFFSET($Q$9,MATCH(AL$338,$AK$338:$AQ$338,0),0),OFFSET($P$9,MATCH(AL$338,$AK$338:$AQ$338,0),0),MAX(0,$C414-OFFSET($Q$9,RIGHT(AL$338,1)-1,0)))</f>
        <v>909</v>
      </c>
      <c r="AM414" s="83">
        <f ca="1" t="shared" si="474"/>
        <v>1818</v>
      </c>
      <c r="AN414" s="83">
        <f ca="1" t="shared" si="474"/>
        <v>2727</v>
      </c>
      <c r="AO414" s="83">
        <f ca="1" t="shared" si="474"/>
        <v>3636</v>
      </c>
      <c r="AP414" s="83">
        <f ca="1" t="shared" si="474"/>
        <v>146</v>
      </c>
      <c r="AQ414" s="83">
        <f ca="1" t="shared" si="474"/>
        <v>0</v>
      </c>
    </row>
    <row r="415" ht="16.5" spans="2:43">
      <c r="B415" s="65">
        <v>77</v>
      </c>
      <c r="C415" s="80">
        <f t="shared" si="449"/>
        <v>9796</v>
      </c>
      <c r="D415" s="81" cm="1">
        <f ca="1" t="array" ref="D415">IF(D717=1,OFFSET($Z$338,$B415,D$335-1)/SUMPRODUCT(--($D$335:$V$335=D$335),--($D717:$V717=1)),0)+SUM(D414)+IF(COUNTIF(D$641:D717,1)=1,5,0)+IF(COUNTIF(E415:$Z415,"&gt;"&amp;0)&gt;5,IF(MOD(COUNTIF(D$641:D717,1),7)=0,$C$4,0),0)</f>
        <v>932.919369042218</v>
      </c>
      <c r="E415" s="81" cm="1">
        <f ca="1" t="array" ref="E415">IF(E717=1,OFFSET($Z$338,$B415,E$335-1)/SUMPRODUCT(--($D$335:$V$335=E$335),--($D717:$V717=1)),0)+SUM(E414)+IF(COUNTIF(E$641:E717,1)=1,5,0)+IF(COUNTIF(F415:$Z415,"&gt;"&amp;0)&gt;5,IF(MOD(COUNTIF(E$641:E717,1),7)=0,$C$4,0),0)</f>
        <v>932.919369042218</v>
      </c>
      <c r="F415" s="81" cm="1">
        <f ca="1" t="array" ref="F415">IF(F717=1,OFFSET($Z$338,$B415,F$335-1)/SUMPRODUCT(--($D$335:$V$335=F$335),--($D717:$V717=1)),0)+SUM(F414)+IF(COUNTIF(F$641:F717,1)=1,5,0)+IF(COUNTIF(G415:$Z415,"&gt;"&amp;0)&gt;5,IF(MOD(COUNTIF(F$641:F717,1),7)=0,$C$4,0),0)</f>
        <v>932.919369042218</v>
      </c>
      <c r="G415" s="81" cm="1">
        <f ca="1" t="array" ref="G415">IF(G717=1,OFFSET($Z$338,$B415,G$335-1)/SUMPRODUCT(--($D$335:$V$335=G$335),--($D717:$V717=1)),0)+SUM(G414)+IF(COUNTIF(G$641:G717,1)=1,5,0)+IF(COUNTIF(H415:$Z415,"&gt;"&amp;0)&gt;5,IF(MOD(COUNTIF(G$641:G717,1),7)=0,$C$4,0),0)</f>
        <v>319.55</v>
      </c>
      <c r="H415" s="81" cm="1">
        <f ca="1" t="array" ref="H415">IF(H717=1,OFFSET($Z$338,$B415,H$335-1)/SUMPRODUCT(--($D$335:$V$335=H$335),--($D717:$V717=1)),0)+SUM(H414)+IF(COUNTIF(H$641:H717,1)=1,5,0)+IF(COUNTIF(I415:$Z415,"&gt;"&amp;0)&gt;5,IF(MOD(COUNTIF(H$641:H717,1),7)=0,$C$4,0),0)</f>
        <v>319.55</v>
      </c>
      <c r="I415" s="81" cm="1">
        <f ca="1" t="array" ref="I415">IF(I717=1,OFFSET($Z$338,$B415,I$335-1)/SUMPRODUCT(--($D$335:$V$335=I$335),--($D717:$V717=1)),0)+SUM(I414)+IF(COUNTIF(I$641:I717,1)=1,5,0)+IF(COUNTIF(J415:$Z415,"&gt;"&amp;0)&gt;5,IF(MOD(COUNTIF(I$641:I717,1),7)=0,$C$4,0),0)</f>
        <v>319.55</v>
      </c>
      <c r="J415" s="81" cm="1">
        <f ca="1" t="array" ref="J415">IF(J717=1,OFFSET($Z$338,$B415,J$335-1)/SUMPRODUCT(--($D$335:$V$335=J$335),--($D717:$V717=1)),0)+SUM(J414)+IF(COUNTIF(J$641:J717,1)=1,5,0)+IF(COUNTIF(K415:$Z415,"&gt;"&amp;0)&gt;5,IF(MOD(COUNTIF(J$641:J717,1),7)=0,$C$4,0),0)</f>
        <v>319.55</v>
      </c>
      <c r="K415" s="81" cm="1">
        <f ca="1" t="array" ref="K415">IF(K717=1,OFFSET($Z$338,$B415,K$335-1)/SUMPRODUCT(--($D$335:$V$335=K$335),--($D717:$V717=1)),0)+SUM(K414)+IF(COUNTIF(K$641:K717,1)=1,5,0)+IF(COUNTIF(L415:$Z415,"&gt;"&amp;0)&gt;5,IF(MOD(COUNTIF(K$641:K717,1),7)=0,$C$4,0),0)</f>
        <v>319.55</v>
      </c>
      <c r="L415" s="81" cm="1">
        <f ca="1" t="array" ref="L415">IF(L717=1,OFFSET($Z$338,$B415,L$335-1)/SUMPRODUCT(--($D$335:$V$335=L$335),--($D717:$V717=1)),0)+SUM(L414)+IF(COUNTIF(L$641:L717,1)=1,5,0)+IF(COUNTIF(M415:$Z415,"&gt;"&amp;0)&gt;5,IF(MOD(COUNTIF(L$641:L717,1),7)=0,$C$4,0),0)</f>
        <v>307.85</v>
      </c>
      <c r="M415" s="81" cm="1">
        <f ca="1" t="array" ref="M415">IF(M717=1,OFFSET($Z$338,$B415,M$335-1)/SUMPRODUCT(--($D$335:$V$335=M$335),--($D717:$V717=1)),0)+SUM(M414)+IF(COUNTIF(M$641:M717,1)=1,5,0)+IF(COUNTIF(N415:$Z415,"&gt;"&amp;0)&gt;5,IF(MOD(COUNTIF(M$641:M717,1),7)=0,$C$4,0),0)</f>
        <v>144.372678571429</v>
      </c>
      <c r="N415" s="81" cm="1">
        <f ca="1" t="array" ref="N415">IF(N717=1,OFFSET($Z$338,$B415,N$335-1)/SUMPRODUCT(--($D$335:$V$335=N$335),--($D717:$V717=1)),0)+SUM(N414)+IF(COUNTIF(N$641:N717,1)=1,5,0)+IF(COUNTIF(O415:$Z415,"&gt;"&amp;0)&gt;5,IF(MOD(COUNTIF(N$641:N717,1),7)=0,$C$4,0),0)</f>
        <v>136.647678571428</v>
      </c>
      <c r="O415" s="81" cm="1">
        <f ca="1" t="array" ref="O415">IF(O717=1,OFFSET($Z$338,$B415,O$335-1)/SUMPRODUCT(--($D$335:$V$335=O$335),--($D717:$V717=1)),0)+SUM(O414)+IF(COUNTIF(O$641:O717,1)=1,5,0)+IF(COUNTIF(P415:$Z415,"&gt;"&amp;0)&gt;5,IF(MOD(COUNTIF(O$641:O717,1),7)=0,$C$4,0),0)</f>
        <v>134.222678571428</v>
      </c>
      <c r="P415" s="81" cm="1">
        <f ca="1" t="array" ref="P415">IF(P717=1,OFFSET($Z$338,$B415,P$335-1)/SUMPRODUCT(--($D$335:$V$335=P$335),--($D717:$V717=1)),0)+SUM(P414)+IF(COUNTIF(P$641:P717,1)=1,5,0)+IF(COUNTIF(Q415:$Z415,"&gt;"&amp;0)&gt;5,IF(MOD(COUNTIF(P$641:P717,1),7)=0,$C$4,0),0)</f>
        <v>131.289345238095</v>
      </c>
      <c r="Q415" s="81" cm="1">
        <f ca="1" t="array" ref="Q415">IF(Q717=1,OFFSET($Z$338,$B415,Q$335-1)/SUMPRODUCT(--($D$335:$V$335=Q$335),--($D717:$V717=1)),0)+SUM(Q414)+IF(COUNTIF(Q$641:Q717,1)=1,5,0)+IF(COUNTIF(R415:$Z415,"&gt;"&amp;0)&gt;5,IF(MOD(COUNTIF(Q$641:Q717,1),7)=0,$C$4,0),0)</f>
        <v>130.383095238095</v>
      </c>
      <c r="R415" s="81" cm="1">
        <f ca="1" t="array" ref="R415">IF(R717=1,OFFSET($Z$338,$B415,R$335-1)/SUMPRODUCT(--($D$335:$V$335=R$335),--($D717:$V717=1)),0)+SUM(R414)+IF(COUNTIF(R$641:R717,1)=1,5,0)+IF(COUNTIF(S415:$Z415,"&gt;"&amp;0)&gt;5,IF(MOD(COUNTIF(R$641:R717,1),7)=0,$C$4,0),0)</f>
        <v>105.488095238095</v>
      </c>
      <c r="S415" s="81" cm="1">
        <f ca="1" t="array" ref="S415">IF(S717=1,OFFSET($Z$338,$B415,S$335-1)/SUMPRODUCT(--($D$335:$V$335=S$335),--($D717:$V717=1)),0)+SUM(S414)+IF(COUNTIF(S$641:S717,1)=1,5,0)+IF(COUNTIF(T415:$Z415,"&gt;"&amp;0)&gt;5,IF(MOD(COUNTIF(S$641:S717,1),7)=0,$C$4,0),0)</f>
        <v>96.3214285714286</v>
      </c>
      <c r="T415" s="81" cm="1">
        <f ca="1" t="array" ref="T415">IF(T717=1,OFFSET($Z$338,$B415,T$335-1)/SUMPRODUCT(--($D$335:$V$335=T$335),--($D717:$V717=1)),0)+SUM(T414)+IF(COUNTIF(T$641:T717,1)=1,5,0)+IF(COUNTIF(U415:$Z415,"&gt;"&amp;0)&gt;5,IF(MOD(COUNTIF(T$641:T717,1),7)=0,$C$4,0),0)</f>
        <v>67.6249040208753</v>
      </c>
      <c r="U415" s="81" cm="1">
        <f ca="1" t="array" ref="U415">IF(U717=1,OFFSET($Z$338,$B415,U$335-1)/SUMPRODUCT(--($D$335:$V$335=U$335),--($D717:$V717=1)),0)+SUM(U414)+IF(COUNTIF(U$641:U717,1)=1,5,0)+IF(COUNTIF(V415:$Z415,"&gt;"&amp;0)&gt;5,IF(MOD(COUNTIF(U$641:U717,1),7)=0,$C$4,0),0)</f>
        <v>52.6249040208753</v>
      </c>
      <c r="V415" s="81" cm="1">
        <f ca="1" t="array" ref="V415">IF(V717=1,OFFSET($Z$338,$B415,V$335-1)/SUMPRODUCT(--($D$335:$V$335=V$335),--($D717:$V717=1)),0)+SUM(V414)+IF(COUNTIF(V$641:V717,1)=1,5,0)+IF(COUNTIF(Z415:$Z415,"&gt;"&amp;0)&gt;5,IF(MOD(COUNTIF(V$641:V717,1),7)=0,$C$4,0),0)</f>
        <v>44.6670848315934</v>
      </c>
      <c r="W415" s="81" cm="1">
        <f ca="1" t="array" ref="W415">IF(W717=1,OFFSET($Z$338,$B415,W$335-1)/SUMPRODUCT(--($D$335:$V$335=W$335),--($D717:$V717=1)),0)+SUM(W414)+IF(COUNTIF(W$641:W717,1)=1,5,0)+IF(COUNTIF($Z415:AA415,"&gt;"&amp;0)&gt;5,IF(MOD(COUNTIF(W$641:W717,1),7)=0,$C$4,0),0)</f>
        <v>35.3112157166441</v>
      </c>
      <c r="X415" s="81" cm="1">
        <f ca="1" t="array" ref="X415">IF(X717=1,OFFSET($Z$338,$B415,X$335-1)/SUMPRODUCT(--($D$335:$V$335=X$335),--($D717:$V717=1)),0)+SUM(X414)+IF(COUNTIF(X$641:X717,1)=1,5,0)+IF(COUNTIF($Z415:AB415,"&gt;"&amp;0)&gt;5,IF(MOD(COUNTIF(X$641:X717,1),7)=0,$C$4,0),0)</f>
        <v>28.5475554260106</v>
      </c>
      <c r="Y415" s="81" cm="1">
        <f ca="1" t="array" ref="Y415">IF(Y717=1,OFFSET($Z$338,$B415,Y$335-1)/SUMPRODUCT(--($D$335:$V$335=Y$335),--($D717:$V717=1)),0)+SUM(Y414)+IF(COUNTIF(Y$641:Y717,1)=1,5,0)+IF(COUNTIF($Z415:AC415,"&gt;"&amp;0)&gt;5,IF(MOD(COUNTIF(Y$641:Y717,1),7)=0,$C$4,0),0)</f>
        <v>21.7838951353772</v>
      </c>
      <c r="Z415" s="82" cm="1">
        <f ca="1" t="array" ref="Z415">SUMPRODUCT(TRANSPOSE($AD415:$AJ415),OFFSET($L$10:$L$16,0,Z$335-1))</f>
        <v>18.5352420711277</v>
      </c>
      <c r="AA415" s="82" cm="1">
        <f ca="1" t="array" ref="AA415">SUMPRODUCT(TRANSPOSE($AD415:$AJ415),OFFSET($L$10:$L$16,0,AA$335-1))</f>
        <v>22</v>
      </c>
      <c r="AB415" s="82" cm="1">
        <f ca="1" t="array" ref="AB415">SUMPRODUCT(TRANSPOSE($AD415:$AJ415),OFFSET($L$10:$L$16,0,AB$335-1))</f>
        <v>11</v>
      </c>
      <c r="AC415" s="82" cm="1">
        <f ca="1" t="array" ref="AC415">SUMPRODUCT(TRANSPOSE($AD415:$AJ415),OFFSET($L$10:$L$16,0,AC$335-1))</f>
        <v>3.46475792887232</v>
      </c>
      <c r="AD415" s="83">
        <f ca="1" t="shared" ref="AD415:AJ415" si="475">AK415-AK414</f>
        <v>0</v>
      </c>
      <c r="AE415" s="83">
        <f ca="1" t="shared" si="475"/>
        <v>0</v>
      </c>
      <c r="AF415" s="83">
        <f ca="1" t="shared" si="475"/>
        <v>0</v>
      </c>
      <c r="AG415" s="83">
        <f ca="1" t="shared" si="475"/>
        <v>0</v>
      </c>
      <c r="AH415" s="83">
        <f ca="1" t="shared" si="475"/>
        <v>0</v>
      </c>
      <c r="AI415" s="83">
        <f ca="1" t="shared" si="475"/>
        <v>110</v>
      </c>
      <c r="AJ415" s="83">
        <f ca="1" t="shared" si="475"/>
        <v>0</v>
      </c>
      <c r="AK415" s="83">
        <f ca="1" t="shared" si="451"/>
        <v>450</v>
      </c>
      <c r="AL415" s="83">
        <f ca="1" t="shared" ref="AL415:AQ415" si="476">IF($C415&gt;OFFSET($Q$9,MATCH(AL$338,$AK$338:$AQ$338,0),0),OFFSET($P$9,MATCH(AL$338,$AK$338:$AQ$338,0),0),MAX(0,$C415-OFFSET($Q$9,RIGHT(AL$338,1)-1,0)))</f>
        <v>909</v>
      </c>
      <c r="AM415" s="83">
        <f ca="1" t="shared" si="476"/>
        <v>1818</v>
      </c>
      <c r="AN415" s="83">
        <f ca="1" t="shared" si="476"/>
        <v>2727</v>
      </c>
      <c r="AO415" s="83">
        <f ca="1" t="shared" si="476"/>
        <v>3636</v>
      </c>
      <c r="AP415" s="83">
        <f ca="1" t="shared" si="476"/>
        <v>256</v>
      </c>
      <c r="AQ415" s="83">
        <f ca="1" t="shared" si="476"/>
        <v>0</v>
      </c>
    </row>
    <row r="416" ht="16.5" spans="2:43">
      <c r="B416" s="65">
        <v>78</v>
      </c>
      <c r="C416" s="80">
        <f t="shared" si="449"/>
        <v>9906</v>
      </c>
      <c r="D416" s="81" cm="1">
        <f ca="1" t="array" ref="D416">IF(D718=1,OFFSET($Z$338,$B416,D$335-1)/SUMPRODUCT(--($D$335:$V$335=D$335),--($D718:$V718=1)),0)+SUM(D415)+IF(COUNTIF(D$641:D718,1)=1,5,0)+IF(COUNTIF(E416:$Z416,"&gt;"&amp;0)&gt;5,IF(MOD(COUNTIF(D$641:D718,1),7)=0,$C$4,0),0)</f>
        <v>939.097783065928</v>
      </c>
      <c r="E416" s="81" cm="1">
        <f ca="1" t="array" ref="E416">IF(E718=1,OFFSET($Z$338,$B416,E$335-1)/SUMPRODUCT(--($D$335:$V$335=E$335),--($D718:$V718=1)),0)+SUM(E415)+IF(COUNTIF(E$641:E718,1)=1,5,0)+IF(COUNTIF(F416:$Z416,"&gt;"&amp;0)&gt;5,IF(MOD(COUNTIF(E$641:E718,1),7)=0,$C$4,0),0)</f>
        <v>939.097783065928</v>
      </c>
      <c r="F416" s="81" cm="1">
        <f ca="1" t="array" ref="F416">IF(F718=1,OFFSET($Z$338,$B416,F$335-1)/SUMPRODUCT(--($D$335:$V$335=F$335),--($D718:$V718=1)),0)+SUM(F415)+IF(COUNTIF(F$641:F718,1)=1,5,0)+IF(COUNTIF(G416:$Z416,"&gt;"&amp;0)&gt;5,IF(MOD(COUNTIF(F$641:F718,1),7)=0,$C$4,0),0)</f>
        <v>939.097783065928</v>
      </c>
      <c r="G416" s="81" cm="1">
        <f ca="1" t="array" ref="G416">IF(G718=1,OFFSET($Z$338,$B416,G$335-1)/SUMPRODUCT(--($D$335:$V$335=G$335),--($D718:$V718=1)),0)+SUM(G415)+IF(COUNTIF(G$641:G718,1)=1,5,0)+IF(COUNTIF(H416:$Z416,"&gt;"&amp;0)&gt;5,IF(MOD(COUNTIF(G$641:G718,1),7)=0,$C$4,0),0)</f>
        <v>323.216666666667</v>
      </c>
      <c r="H416" s="81" cm="1">
        <f ca="1" t="array" ref="H416">IF(H718=1,OFFSET($Z$338,$B416,H$335-1)/SUMPRODUCT(--($D$335:$V$335=H$335),--($D718:$V718=1)),0)+SUM(H415)+IF(COUNTIF(H$641:H718,1)=1,5,0)+IF(COUNTIF(I416:$Z416,"&gt;"&amp;0)&gt;5,IF(MOD(COUNTIF(H$641:H718,1),7)=0,$C$4,0),0)</f>
        <v>323.216666666667</v>
      </c>
      <c r="I416" s="81" cm="1">
        <f ca="1" t="array" ref="I416">IF(I718=1,OFFSET($Z$338,$B416,I$335-1)/SUMPRODUCT(--($D$335:$V$335=I$335),--($D718:$V718=1)),0)+SUM(I415)+IF(COUNTIF(I$641:I718,1)=1,5,0)+IF(COUNTIF(J416:$Z416,"&gt;"&amp;0)&gt;5,IF(MOD(COUNTIF(I$641:I718,1),7)=0,$C$4,0),0)</f>
        <v>323.216666666667</v>
      </c>
      <c r="J416" s="81" cm="1">
        <f ca="1" t="array" ref="J416">IF(J718=1,OFFSET($Z$338,$B416,J$335-1)/SUMPRODUCT(--($D$335:$V$335=J$335),--($D718:$V718=1)),0)+SUM(J415)+IF(COUNTIF(J$641:J718,1)=1,5,0)+IF(COUNTIF(K416:$Z416,"&gt;"&amp;0)&gt;5,IF(MOD(COUNTIF(J$641:J718,1),7)=0,$C$4,0),0)</f>
        <v>323.216666666667</v>
      </c>
      <c r="K416" s="81" cm="1">
        <f ca="1" t="array" ref="K416">IF(K718=1,OFFSET($Z$338,$B416,K$335-1)/SUMPRODUCT(--($D$335:$V$335=K$335),--($D718:$V718=1)),0)+SUM(K415)+IF(COUNTIF(K$641:K718,1)=1,5,0)+IF(COUNTIF(L416:$Z416,"&gt;"&amp;0)&gt;5,IF(MOD(COUNTIF(K$641:K718,1),7)=0,$C$4,0),0)</f>
        <v>323.216666666667</v>
      </c>
      <c r="L416" s="81" cm="1">
        <f ca="1" t="array" ref="L416">IF(L718=1,OFFSET($Z$338,$B416,L$335-1)/SUMPRODUCT(--($D$335:$V$335=L$335),--($D718:$V718=1)),0)+SUM(L415)+IF(COUNTIF(L$641:L718,1)=1,5,0)+IF(COUNTIF(M416:$Z416,"&gt;"&amp;0)&gt;5,IF(MOD(COUNTIF(L$641:L718,1),7)=0,$C$4,0),0)</f>
        <v>316.516666666667</v>
      </c>
      <c r="M416" s="81" cm="1">
        <f ca="1" t="array" ref="M416">IF(M718=1,OFFSET($Z$338,$B416,M$335-1)/SUMPRODUCT(--($D$335:$V$335=M$335),--($D718:$V718=1)),0)+SUM(M415)+IF(COUNTIF(M$641:M718,1)=1,5,0)+IF(COUNTIF(N416:$Z416,"&gt;"&amp;0)&gt;5,IF(MOD(COUNTIF(M$641:M718,1),7)=0,$C$4,0),0)</f>
        <v>150.944107142857</v>
      </c>
      <c r="N416" s="81" cm="1">
        <f ca="1" t="array" ref="N416">IF(N718=1,OFFSET($Z$338,$B416,N$335-1)/SUMPRODUCT(--($D$335:$V$335=N$335),--($D718:$V718=1)),0)+SUM(N415)+IF(COUNTIF(N$641:N718,1)=1,5,0)+IF(COUNTIF(O416:$Z416,"&gt;"&amp;0)&gt;5,IF(MOD(COUNTIF(N$641:N718,1),7)=0,$C$4,0),0)</f>
        <v>138.219107142857</v>
      </c>
      <c r="O416" s="81" cm="1">
        <f ca="1" t="array" ref="O416">IF(O718=1,OFFSET($Z$338,$B416,O$335-1)/SUMPRODUCT(--($D$335:$V$335=O$335),--($D718:$V718=1)),0)+SUM(O415)+IF(COUNTIF(O$641:O718,1)=1,5,0)+IF(COUNTIF(P416:$Z416,"&gt;"&amp;0)&gt;5,IF(MOD(COUNTIF(O$641:O718,1),7)=0,$C$4,0),0)</f>
        <v>135.794107142857</v>
      </c>
      <c r="P416" s="81" cm="1">
        <f ca="1" t="array" ref="P416">IF(P718=1,OFFSET($Z$338,$B416,P$335-1)/SUMPRODUCT(--($D$335:$V$335=P$335),--($D718:$V718=1)),0)+SUM(P415)+IF(COUNTIF(P$641:P718,1)=1,5,0)+IF(COUNTIF(Q416:$Z416,"&gt;"&amp;0)&gt;5,IF(MOD(COUNTIF(P$641:P718,1),7)=0,$C$4,0),0)</f>
        <v>132.860773809524</v>
      </c>
      <c r="Q416" s="81" cm="1">
        <f ca="1" t="array" ref="Q416">IF(Q718=1,OFFSET($Z$338,$B416,Q$335-1)/SUMPRODUCT(--($D$335:$V$335=Q$335),--($D718:$V718=1)),0)+SUM(Q415)+IF(COUNTIF(Q$641:Q718,1)=1,5,0)+IF(COUNTIF(R416:$Z416,"&gt;"&amp;0)&gt;5,IF(MOD(COUNTIF(Q$641:Q718,1),7)=0,$C$4,0),0)</f>
        <v>131.954523809524</v>
      </c>
      <c r="R416" s="81" cm="1">
        <f ca="1" t="array" ref="R416">IF(R718=1,OFFSET($Z$338,$B416,R$335-1)/SUMPRODUCT(--($D$335:$V$335=R$335),--($D718:$V718=1)),0)+SUM(R415)+IF(COUNTIF(R$641:R718,1)=1,5,0)+IF(COUNTIF(S416:$Z416,"&gt;"&amp;0)&gt;5,IF(MOD(COUNTIF(R$641:R718,1),7)=0,$C$4,0),0)</f>
        <v>107.059523809524</v>
      </c>
      <c r="S416" s="81" cm="1">
        <f ca="1" t="array" ref="S416">IF(S718=1,OFFSET($Z$338,$B416,S$335-1)/SUMPRODUCT(--($D$335:$V$335=S$335),--($D718:$V718=1)),0)+SUM(S415)+IF(COUNTIF(S$641:S718,1)=1,5,0)+IF(COUNTIF(T416:$Z416,"&gt;"&amp;0)&gt;5,IF(MOD(COUNTIF(S$641:S718,1),7)=0,$C$4,0),0)</f>
        <v>97.8928571428571</v>
      </c>
      <c r="T416" s="81" cm="1">
        <f ca="1" t="array" ref="T416">IF(T718=1,OFFSET($Z$338,$B416,T$335-1)/SUMPRODUCT(--($D$335:$V$335=T$335),--($D718:$V718=1)),0)+SUM(T415)+IF(COUNTIF(T$641:T718,1)=1,5,0)+IF(COUNTIF(U416:$Z416,"&gt;"&amp;0)&gt;5,IF(MOD(COUNTIF(T$641:T718,1),7)=0,$C$4,0),0)</f>
        <v>68.7798233304995</v>
      </c>
      <c r="U416" s="81" cm="1">
        <f ca="1" t="array" ref="U416">IF(U718=1,OFFSET($Z$338,$B416,U$335-1)/SUMPRODUCT(--($D$335:$V$335=U$335),--($D718:$V718=1)),0)+SUM(U415)+IF(COUNTIF(U$641:U718,1)=1,5,0)+IF(COUNTIF(V416:$Z416,"&gt;"&amp;0)&gt;5,IF(MOD(COUNTIF(U$641:U718,1),7)=0,$C$4,0),0)</f>
        <v>53.7798233304994</v>
      </c>
      <c r="V416" s="81" cm="1">
        <f ca="1" t="array" ref="V416">IF(V718=1,OFFSET($Z$338,$B416,V$335-1)/SUMPRODUCT(--($D$335:$V$335=V$335),--($D718:$V718=1)),0)+SUM(V415)+IF(COUNTIF(V$641:V718,1)=1,5,0)+IF(COUNTIF(Z416:$Z416,"&gt;"&amp;0)&gt;5,IF(MOD(COUNTIF(V$641:V718,1),7)=0,$C$4,0),0)</f>
        <v>45.8220041412175</v>
      </c>
      <c r="W416" s="81" cm="1">
        <f ca="1" t="array" ref="W416">IF(W718=1,OFFSET($Z$338,$B416,W$335-1)/SUMPRODUCT(--($D$335:$V$335=W$335),--($D718:$V718=1)),0)+SUM(W415)+IF(COUNTIF(W$641:W718,1)=1,5,0)+IF(COUNTIF($Z416:AA416,"&gt;"&amp;0)&gt;5,IF(MOD(COUNTIF(W$641:W718,1),7)=0,$C$4,0),0)</f>
        <v>36.4661350262682</v>
      </c>
      <c r="X416" s="81" cm="1">
        <f ca="1" t="array" ref="X416">IF(X718=1,OFFSET($Z$338,$B416,X$335-1)/SUMPRODUCT(--($D$335:$V$335=X$335),--($D718:$V718=1)),0)+SUM(X415)+IF(COUNTIF(X$641:X718,1)=1,5,0)+IF(COUNTIF($Z416:AB416,"&gt;"&amp;0)&gt;5,IF(MOD(COUNTIF(X$641:X718,1),7)=0,$C$4,0),0)</f>
        <v>29.7024747356347</v>
      </c>
      <c r="Y416" s="81" cm="1">
        <f ca="1" t="array" ref="Y416">IF(Y718=1,OFFSET($Z$338,$B416,Y$335-1)/SUMPRODUCT(--($D$335:$V$335=Y$335),--($D718:$V718=1)),0)+SUM(Y415)+IF(COUNTIF(Y$641:Y718,1)=1,5,0)+IF(COUNTIF($Z416:AC416,"&gt;"&amp;0)&gt;5,IF(MOD(COUNTIF(Y$641:Y718,1),7)=0,$C$4,0),0)</f>
        <v>22.9388144450013</v>
      </c>
      <c r="Z416" s="82" cm="1">
        <f ca="1" t="array" ref="Z416">SUMPRODUCT(TRANSPOSE($AD416:$AJ416),OFFSET($L$10:$L$16,0,Z$335-1))</f>
        <v>18.5352420711277</v>
      </c>
      <c r="AA416" s="82" cm="1">
        <f ca="1" t="array" ref="AA416">SUMPRODUCT(TRANSPOSE($AD416:$AJ416),OFFSET($L$10:$L$16,0,AA$335-1))</f>
        <v>22</v>
      </c>
      <c r="AB416" s="82" cm="1">
        <f ca="1" t="array" ref="AB416">SUMPRODUCT(TRANSPOSE($AD416:$AJ416),OFFSET($L$10:$L$16,0,AB$335-1))</f>
        <v>11</v>
      </c>
      <c r="AC416" s="82" cm="1">
        <f ca="1" t="array" ref="AC416">SUMPRODUCT(TRANSPOSE($AD416:$AJ416),OFFSET($L$10:$L$16,0,AC$335-1))</f>
        <v>3.46475792887232</v>
      </c>
      <c r="AD416" s="83">
        <f ca="1" t="shared" ref="AD416:AJ416" si="477">AK416-AK415</f>
        <v>0</v>
      </c>
      <c r="AE416" s="83">
        <f ca="1" t="shared" si="477"/>
        <v>0</v>
      </c>
      <c r="AF416" s="83">
        <f ca="1" t="shared" si="477"/>
        <v>0</v>
      </c>
      <c r="AG416" s="83">
        <f ca="1" t="shared" si="477"/>
        <v>0</v>
      </c>
      <c r="AH416" s="83">
        <f ca="1" t="shared" si="477"/>
        <v>0</v>
      </c>
      <c r="AI416" s="83">
        <f ca="1" t="shared" si="477"/>
        <v>110</v>
      </c>
      <c r="AJ416" s="83">
        <f ca="1" t="shared" si="477"/>
        <v>0</v>
      </c>
      <c r="AK416" s="83">
        <f ca="1" t="shared" si="451"/>
        <v>450</v>
      </c>
      <c r="AL416" s="83">
        <f ca="1" t="shared" ref="AL416:AQ416" si="478">IF($C416&gt;OFFSET($Q$9,MATCH(AL$338,$AK$338:$AQ$338,0),0),OFFSET($P$9,MATCH(AL$338,$AK$338:$AQ$338,0),0),MAX(0,$C416-OFFSET($Q$9,RIGHT(AL$338,1)-1,0)))</f>
        <v>909</v>
      </c>
      <c r="AM416" s="83">
        <f ca="1" t="shared" si="478"/>
        <v>1818</v>
      </c>
      <c r="AN416" s="83">
        <f ca="1" t="shared" si="478"/>
        <v>2727</v>
      </c>
      <c r="AO416" s="83">
        <f ca="1" t="shared" si="478"/>
        <v>3636</v>
      </c>
      <c r="AP416" s="83">
        <f ca="1" t="shared" si="478"/>
        <v>366</v>
      </c>
      <c r="AQ416" s="83">
        <f ca="1" t="shared" si="478"/>
        <v>0</v>
      </c>
    </row>
    <row r="417" ht="16.5" spans="2:43">
      <c r="B417" s="65">
        <v>79</v>
      </c>
      <c r="C417" s="80">
        <f t="shared" si="449"/>
        <v>10016</v>
      </c>
      <c r="D417" s="81" cm="1">
        <f ca="1" t="array" ref="D417">IF(D719=1,OFFSET($Z$338,$B417,D$335-1)/SUMPRODUCT(--($D$335:$V$335=D$335),--($D719:$V719=1)),0)+SUM(D416)+IF(COUNTIF(D$641:D719,1)=1,5,0)+IF(COUNTIF(E417:$Z417,"&gt;"&amp;0)&gt;5,IF(MOD(COUNTIF(D$641:D719,1),7)=0,$C$4,0),0)</f>
        <v>945.276197089637</v>
      </c>
      <c r="E417" s="81" cm="1">
        <f ca="1" t="array" ref="E417">IF(E719=1,OFFSET($Z$338,$B417,E$335-1)/SUMPRODUCT(--($D$335:$V$335=E$335),--($D719:$V719=1)),0)+SUM(E416)+IF(COUNTIF(E$641:E719,1)=1,5,0)+IF(COUNTIF(F417:$Z417,"&gt;"&amp;0)&gt;5,IF(MOD(COUNTIF(E$641:E719,1),7)=0,$C$4,0),0)</f>
        <v>945.276197089637</v>
      </c>
      <c r="F417" s="81" cm="1">
        <f ca="1" t="array" ref="F417">IF(F719=1,OFFSET($Z$338,$B417,F$335-1)/SUMPRODUCT(--($D$335:$V$335=F$335),--($D719:$V719=1)),0)+SUM(F416)+IF(COUNTIF(F$641:F719,1)=1,5,0)+IF(COUNTIF(G417:$Z417,"&gt;"&amp;0)&gt;5,IF(MOD(COUNTIF(F$641:F719,1),7)=0,$C$4,0),0)</f>
        <v>945.276197089637</v>
      </c>
      <c r="G417" s="81" cm="1">
        <f ca="1" t="array" ref="G417">IF(G719=1,OFFSET($Z$338,$B417,G$335-1)/SUMPRODUCT(--($D$335:$V$335=G$335),--($D719:$V719=1)),0)+SUM(G416)+IF(COUNTIF(G$641:G719,1)=1,5,0)+IF(COUNTIF(H417:$Z417,"&gt;"&amp;0)&gt;5,IF(MOD(COUNTIF(G$641:G719,1),7)=0,$C$4,0),0)</f>
        <v>326.883333333334</v>
      </c>
      <c r="H417" s="81" cm="1">
        <f ca="1" t="array" ref="H417">IF(H719=1,OFFSET($Z$338,$B417,H$335-1)/SUMPRODUCT(--($D$335:$V$335=H$335),--($D719:$V719=1)),0)+SUM(H416)+IF(COUNTIF(H$641:H719,1)=1,5,0)+IF(COUNTIF(I417:$Z417,"&gt;"&amp;0)&gt;5,IF(MOD(COUNTIF(H$641:H719,1),7)=0,$C$4,0),0)</f>
        <v>326.883333333334</v>
      </c>
      <c r="I417" s="81" cm="1">
        <f ca="1" t="array" ref="I417">IF(I719=1,OFFSET($Z$338,$B417,I$335-1)/SUMPRODUCT(--($D$335:$V$335=I$335),--($D719:$V719=1)),0)+SUM(I416)+IF(COUNTIF(I$641:I719,1)=1,5,0)+IF(COUNTIF(J417:$Z417,"&gt;"&amp;0)&gt;5,IF(MOD(COUNTIF(I$641:I719,1),7)=0,$C$4,0),0)</f>
        <v>326.883333333334</v>
      </c>
      <c r="J417" s="81" cm="1">
        <f ca="1" t="array" ref="J417">IF(J719=1,OFFSET($Z$338,$B417,J$335-1)/SUMPRODUCT(--($D$335:$V$335=J$335),--($D719:$V719=1)),0)+SUM(J416)+IF(COUNTIF(J$641:J719,1)=1,5,0)+IF(COUNTIF(K417:$Z417,"&gt;"&amp;0)&gt;5,IF(MOD(COUNTIF(J$641:J719,1),7)=0,$C$4,0),0)</f>
        <v>326.883333333334</v>
      </c>
      <c r="K417" s="81" cm="1">
        <f ca="1" t="array" ref="K417">IF(K719=1,OFFSET($Z$338,$B417,K$335-1)/SUMPRODUCT(--($D$335:$V$335=K$335),--($D719:$V719=1)),0)+SUM(K416)+IF(COUNTIF(K$641:K719,1)=1,5,0)+IF(COUNTIF(L417:$Z417,"&gt;"&amp;0)&gt;5,IF(MOD(COUNTIF(K$641:K719,1),7)=0,$C$4,0),0)</f>
        <v>326.883333333334</v>
      </c>
      <c r="L417" s="81" cm="1">
        <f ca="1" t="array" ref="L417">IF(L719=1,OFFSET($Z$338,$B417,L$335-1)/SUMPRODUCT(--($D$335:$V$335=L$335),--($D719:$V719=1)),0)+SUM(L416)+IF(COUNTIF(L$641:L719,1)=1,5,0)+IF(COUNTIF(M417:$Z417,"&gt;"&amp;0)&gt;5,IF(MOD(COUNTIF(L$641:L719,1),7)=0,$C$4,0),0)</f>
        <v>320.183333333334</v>
      </c>
      <c r="M417" s="81" cm="1">
        <f ca="1" t="array" ref="M417">IF(M719=1,OFFSET($Z$338,$B417,M$335-1)/SUMPRODUCT(--($D$335:$V$335=M$335),--($D719:$V719=1)),0)+SUM(M416)+IF(COUNTIF(M$641:M719,1)=1,5,0)+IF(COUNTIF(N417:$Z417,"&gt;"&amp;0)&gt;5,IF(MOD(COUNTIF(M$641:M719,1),7)=0,$C$4,0),0)</f>
        <v>152.515535714286</v>
      </c>
      <c r="N417" s="81" cm="1">
        <f ca="1" t="array" ref="N417">IF(N719=1,OFFSET($Z$338,$B417,N$335-1)/SUMPRODUCT(--($D$335:$V$335=N$335),--($D719:$V719=1)),0)+SUM(N416)+IF(COUNTIF(N$641:N719,1)=1,5,0)+IF(COUNTIF(O417:$Z417,"&gt;"&amp;0)&gt;5,IF(MOD(COUNTIF(N$641:N719,1),7)=0,$C$4,0),0)</f>
        <v>144.790535714286</v>
      </c>
      <c r="O417" s="81" cm="1">
        <f ca="1" t="array" ref="O417">IF(O719=1,OFFSET($Z$338,$B417,O$335-1)/SUMPRODUCT(--($D$335:$V$335=O$335),--($D719:$V719=1)),0)+SUM(O416)+IF(COUNTIF(O$641:O719,1)=1,5,0)+IF(COUNTIF(P417:$Z417,"&gt;"&amp;0)&gt;5,IF(MOD(COUNTIF(O$641:O719,1),7)=0,$C$4,0),0)</f>
        <v>137.365535714286</v>
      </c>
      <c r="P417" s="81" cm="1">
        <f ca="1" t="array" ref="P417">IF(P719=1,OFFSET($Z$338,$B417,P$335-1)/SUMPRODUCT(--($D$335:$V$335=P$335),--($D719:$V719=1)),0)+SUM(P416)+IF(COUNTIF(P$641:P719,1)=1,5,0)+IF(COUNTIF(Q417:$Z417,"&gt;"&amp;0)&gt;5,IF(MOD(COUNTIF(P$641:P719,1),7)=0,$C$4,0),0)</f>
        <v>134.432202380952</v>
      </c>
      <c r="Q417" s="81" cm="1">
        <f ca="1" t="array" ref="Q417">IF(Q719=1,OFFSET($Z$338,$B417,Q$335-1)/SUMPRODUCT(--($D$335:$V$335=Q$335),--($D719:$V719=1)),0)+SUM(Q416)+IF(COUNTIF(Q$641:Q719,1)=1,5,0)+IF(COUNTIF(R417:$Z417,"&gt;"&amp;0)&gt;5,IF(MOD(COUNTIF(Q$641:Q719,1),7)=0,$C$4,0),0)</f>
        <v>133.525952380952</v>
      </c>
      <c r="R417" s="81" cm="1">
        <f ca="1" t="array" ref="R417">IF(R719=1,OFFSET($Z$338,$B417,R$335-1)/SUMPRODUCT(--($D$335:$V$335=R$335),--($D719:$V719=1)),0)+SUM(R416)+IF(COUNTIF(R$641:R719,1)=1,5,0)+IF(COUNTIF(S417:$Z417,"&gt;"&amp;0)&gt;5,IF(MOD(COUNTIF(R$641:R719,1),7)=0,$C$4,0),0)</f>
        <v>108.630952380952</v>
      </c>
      <c r="S417" s="81" cm="1">
        <f ca="1" t="array" ref="S417">IF(S719=1,OFFSET($Z$338,$B417,S$335-1)/SUMPRODUCT(--($D$335:$V$335=S$335),--($D719:$V719=1)),0)+SUM(S416)+IF(COUNTIF(S$641:S719,1)=1,5,0)+IF(COUNTIF(T417:$Z417,"&gt;"&amp;0)&gt;5,IF(MOD(COUNTIF(S$641:S719,1),7)=0,$C$4,0),0)</f>
        <v>99.4642857142857</v>
      </c>
      <c r="T417" s="81" cm="1">
        <f ca="1" t="array" ref="T417">IF(T719=1,OFFSET($Z$338,$B417,T$335-1)/SUMPRODUCT(--($D$335:$V$335=T$335),--($D719:$V719=1)),0)+SUM(T416)+IF(COUNTIF(T$641:T719,1)=1,5,0)+IF(COUNTIF(U417:$Z417,"&gt;"&amp;0)&gt;5,IF(MOD(COUNTIF(T$641:T719,1),7)=0,$C$4,0),0)</f>
        <v>69.9347426401236</v>
      </c>
      <c r="U417" s="81" cm="1">
        <f ca="1" t="array" ref="U417">IF(U719=1,OFFSET($Z$338,$B417,U$335-1)/SUMPRODUCT(--($D$335:$V$335=U$335),--($D719:$V719=1)),0)+SUM(U416)+IF(COUNTIF(U$641:U719,1)=1,5,0)+IF(COUNTIF(V417:$Z417,"&gt;"&amp;0)&gt;5,IF(MOD(COUNTIF(U$641:U719,1),7)=0,$C$4,0),0)</f>
        <v>54.9347426401236</v>
      </c>
      <c r="V417" s="81" cm="1">
        <f ca="1" t="array" ref="V417">IF(V719=1,OFFSET($Z$338,$B417,V$335-1)/SUMPRODUCT(--($D$335:$V$335=V$335),--($D719:$V719=1)),0)+SUM(V416)+IF(COUNTIF(V$641:V719,1)=1,5,0)+IF(COUNTIF(Z417:$Z417,"&gt;"&amp;0)&gt;5,IF(MOD(COUNTIF(V$641:V719,1),7)=0,$C$4,0),0)</f>
        <v>46.9769234508416</v>
      </c>
      <c r="W417" s="81" cm="1">
        <f ca="1" t="array" ref="W417">IF(W719=1,OFFSET($Z$338,$B417,W$335-1)/SUMPRODUCT(--($D$335:$V$335=W$335),--($D719:$V719=1)),0)+SUM(W416)+IF(COUNTIF(W$641:W719,1)=1,5,0)+IF(COUNTIF($Z417:AA417,"&gt;"&amp;0)&gt;5,IF(MOD(COUNTIF(W$641:W719,1),7)=0,$C$4,0),0)</f>
        <v>37.6210543358923</v>
      </c>
      <c r="X417" s="81" cm="1">
        <f ca="1" t="array" ref="X417">IF(X719=1,OFFSET($Z$338,$B417,X$335-1)/SUMPRODUCT(--($D$335:$V$335=X$335),--($D719:$V719=1)),0)+SUM(X416)+IF(COUNTIF(X$641:X719,1)=1,5,0)+IF(COUNTIF($Z417:AB417,"&gt;"&amp;0)&gt;5,IF(MOD(COUNTIF(X$641:X719,1),7)=0,$C$4,0),0)</f>
        <v>30.8573940452589</v>
      </c>
      <c r="Y417" s="81" cm="1">
        <f ca="1" t="array" ref="Y417">IF(Y719=1,OFFSET($Z$338,$B417,Y$335-1)/SUMPRODUCT(--($D$335:$V$335=Y$335),--($D719:$V719=1)),0)+SUM(Y416)+IF(COUNTIF(Y$641:Y719,1)=1,5,0)+IF(COUNTIF($Z417:AC417,"&gt;"&amp;0)&gt;5,IF(MOD(COUNTIF(Y$641:Y719,1),7)=0,$C$4,0),0)</f>
        <v>24.0937337546254</v>
      </c>
      <c r="Z417" s="82" cm="1">
        <f ca="1" t="array" ref="Z417">SUMPRODUCT(TRANSPOSE($AD417:$AJ417),OFFSET($L$10:$L$16,0,Z$335-1))</f>
        <v>18.5352420711277</v>
      </c>
      <c r="AA417" s="82" cm="1">
        <f ca="1" t="array" ref="AA417">SUMPRODUCT(TRANSPOSE($AD417:$AJ417),OFFSET($L$10:$L$16,0,AA$335-1))</f>
        <v>22</v>
      </c>
      <c r="AB417" s="82" cm="1">
        <f ca="1" t="array" ref="AB417">SUMPRODUCT(TRANSPOSE($AD417:$AJ417),OFFSET($L$10:$L$16,0,AB$335-1))</f>
        <v>11</v>
      </c>
      <c r="AC417" s="82" cm="1">
        <f ca="1" t="array" ref="AC417">SUMPRODUCT(TRANSPOSE($AD417:$AJ417),OFFSET($L$10:$L$16,0,AC$335-1))</f>
        <v>3.46475792887232</v>
      </c>
      <c r="AD417" s="83">
        <f ca="1" t="shared" ref="AD417:AJ417" si="479">AK417-AK416</f>
        <v>0</v>
      </c>
      <c r="AE417" s="83">
        <f ca="1" t="shared" si="479"/>
        <v>0</v>
      </c>
      <c r="AF417" s="83">
        <f ca="1" t="shared" si="479"/>
        <v>0</v>
      </c>
      <c r="AG417" s="83">
        <f ca="1" t="shared" si="479"/>
        <v>0</v>
      </c>
      <c r="AH417" s="83">
        <f ca="1" t="shared" si="479"/>
        <v>0</v>
      </c>
      <c r="AI417" s="83">
        <f ca="1" t="shared" si="479"/>
        <v>110</v>
      </c>
      <c r="AJ417" s="83">
        <f ca="1" t="shared" si="479"/>
        <v>0</v>
      </c>
      <c r="AK417" s="83">
        <f ca="1" t="shared" si="451"/>
        <v>450</v>
      </c>
      <c r="AL417" s="83">
        <f ca="1" t="shared" ref="AL417:AQ417" si="480">IF($C417&gt;OFFSET($Q$9,MATCH(AL$338,$AK$338:$AQ$338,0),0),OFFSET($P$9,MATCH(AL$338,$AK$338:$AQ$338,0),0),MAX(0,$C417-OFFSET($Q$9,RIGHT(AL$338,1)-1,0)))</f>
        <v>909</v>
      </c>
      <c r="AM417" s="83">
        <f ca="1" t="shared" si="480"/>
        <v>1818</v>
      </c>
      <c r="AN417" s="83">
        <f ca="1" t="shared" si="480"/>
        <v>2727</v>
      </c>
      <c r="AO417" s="83">
        <f ca="1" t="shared" si="480"/>
        <v>3636</v>
      </c>
      <c r="AP417" s="83">
        <f ca="1" t="shared" si="480"/>
        <v>476</v>
      </c>
      <c r="AQ417" s="83">
        <f ca="1" t="shared" si="480"/>
        <v>0</v>
      </c>
    </row>
    <row r="418" ht="16.5" spans="2:43">
      <c r="B418" s="65">
        <v>80</v>
      </c>
      <c r="C418" s="80">
        <f t="shared" si="449"/>
        <v>10126</v>
      </c>
      <c r="D418" s="81" cm="1">
        <f ca="1" t="array" ref="D418">IF(D720=1,OFFSET($Z$338,$B418,D$335-1)/SUMPRODUCT(--($D$335:$V$335=D$335),--($D720:$V720=1)),0)+SUM(D417)+IF(COUNTIF(D$641:D720,1)=1,5,0)+IF(COUNTIF(E418:$Z418,"&gt;"&amp;0)&gt;5,IF(MOD(COUNTIF(D$641:D720,1),7)=0,$C$4,0),0)</f>
        <v>951.454611113346</v>
      </c>
      <c r="E418" s="81" cm="1">
        <f ca="1" t="array" ref="E418">IF(E720=1,OFFSET($Z$338,$B418,E$335-1)/SUMPRODUCT(--($D$335:$V$335=E$335),--($D720:$V720=1)),0)+SUM(E417)+IF(COUNTIF(E$641:E720,1)=1,5,0)+IF(COUNTIF(F418:$Z418,"&gt;"&amp;0)&gt;5,IF(MOD(COUNTIF(E$641:E720,1),7)=0,$C$4,0),0)</f>
        <v>951.454611113346</v>
      </c>
      <c r="F418" s="81" cm="1">
        <f ca="1" t="array" ref="F418">IF(F720=1,OFFSET($Z$338,$B418,F$335-1)/SUMPRODUCT(--($D$335:$V$335=F$335),--($D720:$V720=1)),0)+SUM(F417)+IF(COUNTIF(F$641:F720,1)=1,5,0)+IF(COUNTIF(G418:$Z418,"&gt;"&amp;0)&gt;5,IF(MOD(COUNTIF(F$641:F720,1),7)=0,$C$4,0),0)</f>
        <v>951.454611113346</v>
      </c>
      <c r="G418" s="81" cm="1">
        <f ca="1" t="array" ref="G418">IF(G720=1,OFFSET($Z$338,$B418,G$335-1)/SUMPRODUCT(--($D$335:$V$335=G$335),--($D720:$V720=1)),0)+SUM(G417)+IF(COUNTIF(G$641:G720,1)=1,5,0)+IF(COUNTIF(H418:$Z418,"&gt;"&amp;0)&gt;5,IF(MOD(COUNTIF(G$641:G720,1),7)=0,$C$4,0),0)</f>
        <v>330.55</v>
      </c>
      <c r="H418" s="81" cm="1">
        <f ca="1" t="array" ref="H418">IF(H720=1,OFFSET($Z$338,$B418,H$335-1)/SUMPRODUCT(--($D$335:$V$335=H$335),--($D720:$V720=1)),0)+SUM(H417)+IF(COUNTIF(H$641:H720,1)=1,5,0)+IF(COUNTIF(I418:$Z418,"&gt;"&amp;0)&gt;5,IF(MOD(COUNTIF(H$641:H720,1),7)=0,$C$4,0),0)</f>
        <v>330.55</v>
      </c>
      <c r="I418" s="81" cm="1">
        <f ca="1" t="array" ref="I418">IF(I720=1,OFFSET($Z$338,$B418,I$335-1)/SUMPRODUCT(--($D$335:$V$335=I$335),--($D720:$V720=1)),0)+SUM(I417)+IF(COUNTIF(I$641:I720,1)=1,5,0)+IF(COUNTIF(J418:$Z418,"&gt;"&amp;0)&gt;5,IF(MOD(COUNTIF(I$641:I720,1),7)=0,$C$4,0),0)</f>
        <v>330.55</v>
      </c>
      <c r="J418" s="81" cm="1">
        <f ca="1" t="array" ref="J418">IF(J720=1,OFFSET($Z$338,$B418,J$335-1)/SUMPRODUCT(--($D$335:$V$335=J$335),--($D720:$V720=1)),0)+SUM(J417)+IF(COUNTIF(J$641:J720,1)=1,5,0)+IF(COUNTIF(K418:$Z418,"&gt;"&amp;0)&gt;5,IF(MOD(COUNTIF(J$641:J720,1),7)=0,$C$4,0),0)</f>
        <v>330.55</v>
      </c>
      <c r="K418" s="81" cm="1">
        <f ca="1" t="array" ref="K418">IF(K720=1,OFFSET($Z$338,$B418,K$335-1)/SUMPRODUCT(--($D$335:$V$335=K$335),--($D720:$V720=1)),0)+SUM(K417)+IF(COUNTIF(K$641:K720,1)=1,5,0)+IF(COUNTIF(L418:$Z418,"&gt;"&amp;0)&gt;5,IF(MOD(COUNTIF(K$641:K720,1),7)=0,$C$4,0),0)</f>
        <v>330.55</v>
      </c>
      <c r="L418" s="81" cm="1">
        <f ca="1" t="array" ref="L418">IF(L720=1,OFFSET($Z$338,$B418,L$335-1)/SUMPRODUCT(--($D$335:$V$335=L$335),--($D720:$V720=1)),0)+SUM(L417)+IF(COUNTIF(L$641:L720,1)=1,5,0)+IF(COUNTIF(M418:$Z418,"&gt;"&amp;0)&gt;5,IF(MOD(COUNTIF(L$641:L720,1),7)=0,$C$4,0),0)</f>
        <v>323.850000000001</v>
      </c>
      <c r="M418" s="81" cm="1">
        <f ca="1" t="array" ref="M418">IF(M720=1,OFFSET($Z$338,$B418,M$335-1)/SUMPRODUCT(--($D$335:$V$335=M$335),--($D720:$V720=1)),0)+SUM(M417)+IF(COUNTIF(M$641:M720,1)=1,5,0)+IF(COUNTIF(N418:$Z418,"&gt;"&amp;0)&gt;5,IF(MOD(COUNTIF(M$641:M720,1),7)=0,$C$4,0),0)</f>
        <v>154.086964285714</v>
      </c>
      <c r="N418" s="81" cm="1">
        <f ca="1" t="array" ref="N418">IF(N720=1,OFFSET($Z$338,$B418,N$335-1)/SUMPRODUCT(--($D$335:$V$335=N$335),--($D720:$V720=1)),0)+SUM(N417)+IF(COUNTIF(N$641:N720,1)=1,5,0)+IF(COUNTIF(O418:$Z418,"&gt;"&amp;0)&gt;5,IF(MOD(COUNTIF(N$641:N720,1),7)=0,$C$4,0),0)</f>
        <v>146.361964285714</v>
      </c>
      <c r="O418" s="81" cm="1">
        <f ca="1" t="array" ref="O418">IF(O720=1,OFFSET($Z$338,$B418,O$335-1)/SUMPRODUCT(--($D$335:$V$335=O$335),--($D720:$V720=1)),0)+SUM(O417)+IF(COUNTIF(O$641:O720,1)=1,5,0)+IF(COUNTIF(P418:$Z418,"&gt;"&amp;0)&gt;5,IF(MOD(COUNTIF(O$641:O720,1),7)=0,$C$4,0),0)</f>
        <v>143.936964285714</v>
      </c>
      <c r="P418" s="81" cm="1">
        <f ca="1" t="array" ref="P418">IF(P720=1,OFFSET($Z$338,$B418,P$335-1)/SUMPRODUCT(--($D$335:$V$335=P$335),--($D720:$V720=1)),0)+SUM(P417)+IF(COUNTIF(P$641:P720,1)=1,5,0)+IF(COUNTIF(Q418:$Z418,"&gt;"&amp;0)&gt;5,IF(MOD(COUNTIF(P$641:P720,1),7)=0,$C$4,0),0)</f>
        <v>136.003630952381</v>
      </c>
      <c r="Q418" s="81" cm="1">
        <f ca="1" t="array" ref="Q418">IF(Q720=1,OFFSET($Z$338,$B418,Q$335-1)/SUMPRODUCT(--($D$335:$V$335=Q$335),--($D720:$V720=1)),0)+SUM(Q417)+IF(COUNTIF(Q$641:Q720,1)=1,5,0)+IF(COUNTIF(R418:$Z418,"&gt;"&amp;0)&gt;5,IF(MOD(COUNTIF(Q$641:Q720,1),7)=0,$C$4,0),0)</f>
        <v>135.097380952381</v>
      </c>
      <c r="R418" s="81" cm="1">
        <f ca="1" t="array" ref="R418">IF(R720=1,OFFSET($Z$338,$B418,R$335-1)/SUMPRODUCT(--($D$335:$V$335=R$335),--($D720:$V720=1)),0)+SUM(R417)+IF(COUNTIF(R$641:R720,1)=1,5,0)+IF(COUNTIF(S418:$Z418,"&gt;"&amp;0)&gt;5,IF(MOD(COUNTIF(R$641:R720,1),7)=0,$C$4,0),0)</f>
        <v>110.202380952381</v>
      </c>
      <c r="S418" s="81" cm="1">
        <f ca="1" t="array" ref="S418">IF(S720=1,OFFSET($Z$338,$B418,S$335-1)/SUMPRODUCT(--($D$335:$V$335=S$335),--($D720:$V720=1)),0)+SUM(S417)+IF(COUNTIF(S$641:S720,1)=1,5,0)+IF(COUNTIF(T418:$Z418,"&gt;"&amp;0)&gt;5,IF(MOD(COUNTIF(S$641:S720,1),7)=0,$C$4,0),0)</f>
        <v>101.035714285714</v>
      </c>
      <c r="T418" s="81" cm="1">
        <f ca="1" t="array" ref="T418">IF(T720=1,OFFSET($Z$338,$B418,T$335-1)/SUMPRODUCT(--($D$335:$V$335=T$335),--($D720:$V720=1)),0)+SUM(T417)+IF(COUNTIF(T$641:T720,1)=1,5,0)+IF(COUNTIF(U418:$Z418,"&gt;"&amp;0)&gt;5,IF(MOD(COUNTIF(T$641:T720,1),7)=0,$C$4,0),0)</f>
        <v>71.0896619497477</v>
      </c>
      <c r="U418" s="81" cm="1">
        <f ca="1" t="array" ref="U418">IF(U720=1,OFFSET($Z$338,$B418,U$335-1)/SUMPRODUCT(--($D$335:$V$335=U$335),--($D720:$V720=1)),0)+SUM(U417)+IF(COUNTIF(U$641:U720,1)=1,5,0)+IF(COUNTIF(V418:$Z418,"&gt;"&amp;0)&gt;5,IF(MOD(COUNTIF(U$641:U720,1),7)=0,$C$4,0),0)</f>
        <v>56.0896619497477</v>
      </c>
      <c r="V418" s="81" cm="1">
        <f ca="1" t="array" ref="V418">IF(V720=1,OFFSET($Z$338,$B418,V$335-1)/SUMPRODUCT(--($D$335:$V$335=V$335),--($D720:$V720=1)),0)+SUM(V417)+IF(COUNTIF(V$641:V720,1)=1,5,0)+IF(COUNTIF(Z418:$Z418,"&gt;"&amp;0)&gt;5,IF(MOD(COUNTIF(V$641:V720,1),7)=0,$C$4,0),0)</f>
        <v>48.1318427604657</v>
      </c>
      <c r="W418" s="81" cm="1">
        <f ca="1" t="array" ref="W418">IF(W720=1,OFFSET($Z$338,$B418,W$335-1)/SUMPRODUCT(--($D$335:$V$335=W$335),--($D720:$V720=1)),0)+SUM(W417)+IF(COUNTIF(W$641:W720,1)=1,5,0)+IF(COUNTIF($Z418:AA418,"&gt;"&amp;0)&gt;5,IF(MOD(COUNTIF(W$641:W720,1),7)=0,$C$4,0),0)</f>
        <v>38.7759736455164</v>
      </c>
      <c r="X418" s="81" cm="1">
        <f ca="1" t="array" ref="X418">IF(X720=1,OFFSET($Z$338,$B418,X$335-1)/SUMPRODUCT(--($D$335:$V$335=X$335),--($D720:$V720=1)),0)+SUM(X417)+IF(COUNTIF(X$641:X720,1)=1,5,0)+IF(COUNTIF($Z418:AB418,"&gt;"&amp;0)&gt;5,IF(MOD(COUNTIF(X$641:X720,1),7)=0,$C$4,0),0)</f>
        <v>32.012313354883</v>
      </c>
      <c r="Y418" s="81" cm="1">
        <f ca="1" t="array" ref="Y418">IF(Y720=1,OFFSET($Z$338,$B418,Y$335-1)/SUMPRODUCT(--($D$335:$V$335=Y$335),--($D720:$V720=1)),0)+SUM(Y417)+IF(COUNTIF(Y$641:Y720,1)=1,5,0)+IF(COUNTIF($Z418:AC418,"&gt;"&amp;0)&gt;5,IF(MOD(COUNTIF(Y$641:Y720,1),7)=0,$C$4,0),0)</f>
        <v>25.2486530642495</v>
      </c>
      <c r="Z418" s="82" cm="1">
        <f ca="1" t="array" ref="Z418">SUMPRODUCT(TRANSPOSE($AD418:$AJ418),OFFSET($L$10:$L$16,0,Z$335-1))</f>
        <v>18.5352420711277</v>
      </c>
      <c r="AA418" s="82" cm="1">
        <f ca="1" t="array" ref="AA418">SUMPRODUCT(TRANSPOSE($AD418:$AJ418),OFFSET($L$10:$L$16,0,AA$335-1))</f>
        <v>22</v>
      </c>
      <c r="AB418" s="82" cm="1">
        <f ca="1" t="array" ref="AB418">SUMPRODUCT(TRANSPOSE($AD418:$AJ418),OFFSET($L$10:$L$16,0,AB$335-1))</f>
        <v>11</v>
      </c>
      <c r="AC418" s="82" cm="1">
        <f ca="1" t="array" ref="AC418">SUMPRODUCT(TRANSPOSE($AD418:$AJ418),OFFSET($L$10:$L$16,0,AC$335-1))</f>
        <v>3.46475792887232</v>
      </c>
      <c r="AD418" s="83">
        <f ca="1" t="shared" ref="AD418:AJ418" si="481">AK418-AK417</f>
        <v>0</v>
      </c>
      <c r="AE418" s="83">
        <f ca="1" t="shared" si="481"/>
        <v>0</v>
      </c>
      <c r="AF418" s="83">
        <f ca="1" t="shared" si="481"/>
        <v>0</v>
      </c>
      <c r="AG418" s="83">
        <f ca="1" t="shared" si="481"/>
        <v>0</v>
      </c>
      <c r="AH418" s="83">
        <f ca="1" t="shared" si="481"/>
        <v>0</v>
      </c>
      <c r="AI418" s="83">
        <f ca="1" t="shared" si="481"/>
        <v>110</v>
      </c>
      <c r="AJ418" s="83">
        <f ca="1" t="shared" si="481"/>
        <v>0</v>
      </c>
      <c r="AK418" s="83">
        <f ca="1" t="shared" si="451"/>
        <v>450</v>
      </c>
      <c r="AL418" s="83">
        <f ca="1" t="shared" ref="AL418:AQ418" si="482">IF($C418&gt;OFFSET($Q$9,MATCH(AL$338,$AK$338:$AQ$338,0),0),OFFSET($P$9,MATCH(AL$338,$AK$338:$AQ$338,0),0),MAX(0,$C418-OFFSET($Q$9,RIGHT(AL$338,1)-1,0)))</f>
        <v>909</v>
      </c>
      <c r="AM418" s="83">
        <f ca="1" t="shared" si="482"/>
        <v>1818</v>
      </c>
      <c r="AN418" s="83">
        <f ca="1" t="shared" si="482"/>
        <v>2727</v>
      </c>
      <c r="AO418" s="83">
        <f ca="1" t="shared" si="482"/>
        <v>3636</v>
      </c>
      <c r="AP418" s="83">
        <f ca="1" t="shared" si="482"/>
        <v>586</v>
      </c>
      <c r="AQ418" s="83">
        <f ca="1" t="shared" si="482"/>
        <v>0</v>
      </c>
    </row>
    <row r="419" ht="16.5" spans="2:43">
      <c r="B419" s="65">
        <v>81</v>
      </c>
      <c r="C419" s="80">
        <f t="shared" si="449"/>
        <v>10236</v>
      </c>
      <c r="D419" s="81" cm="1">
        <f ca="1" t="array" ref="D419">IF(D721=1,OFFSET($Z$338,$B419,D$335-1)/SUMPRODUCT(--($D$335:$V$335=D$335),--($D721:$V721=1)),0)+SUM(D418)+IF(COUNTIF(D$641:D721,1)=1,5,0)+IF(COUNTIF(E419:$Z419,"&gt;"&amp;0)&gt;5,IF(MOD(COUNTIF(D$641:D721,1),7)=0,$C$4,0),0)</f>
        <v>957.633025137055</v>
      </c>
      <c r="E419" s="81" cm="1">
        <f ca="1" t="array" ref="E419">IF(E721=1,OFFSET($Z$338,$B419,E$335-1)/SUMPRODUCT(--($D$335:$V$335=E$335),--($D721:$V721=1)),0)+SUM(E418)+IF(COUNTIF(E$641:E721,1)=1,5,0)+IF(COUNTIF(F419:$Z419,"&gt;"&amp;0)&gt;5,IF(MOD(COUNTIF(E$641:E721,1),7)=0,$C$4,0),0)</f>
        <v>957.633025137055</v>
      </c>
      <c r="F419" s="81" cm="1">
        <f ca="1" t="array" ref="F419">IF(F721=1,OFFSET($Z$338,$B419,F$335-1)/SUMPRODUCT(--($D$335:$V$335=F$335),--($D721:$V721=1)),0)+SUM(F418)+IF(COUNTIF(F$641:F721,1)=1,5,0)+IF(COUNTIF(G419:$Z419,"&gt;"&amp;0)&gt;5,IF(MOD(COUNTIF(F$641:F721,1),7)=0,$C$4,0),0)</f>
        <v>957.633025137055</v>
      </c>
      <c r="G419" s="81" cm="1">
        <f ca="1" t="array" ref="G419">IF(G721=1,OFFSET($Z$338,$B419,G$335-1)/SUMPRODUCT(--($D$335:$V$335=G$335),--($D721:$V721=1)),0)+SUM(G418)+IF(COUNTIF(G$641:G721,1)=1,5,0)+IF(COUNTIF(H419:$Z419,"&gt;"&amp;0)&gt;5,IF(MOD(COUNTIF(G$641:G721,1),7)=0,$C$4,0),0)</f>
        <v>334.216666666667</v>
      </c>
      <c r="H419" s="81" cm="1">
        <f ca="1" t="array" ref="H419">IF(H721=1,OFFSET($Z$338,$B419,H$335-1)/SUMPRODUCT(--($D$335:$V$335=H$335),--($D721:$V721=1)),0)+SUM(H418)+IF(COUNTIF(H$641:H721,1)=1,5,0)+IF(COUNTIF(I419:$Z419,"&gt;"&amp;0)&gt;5,IF(MOD(COUNTIF(H$641:H721,1),7)=0,$C$4,0),0)</f>
        <v>334.216666666667</v>
      </c>
      <c r="I419" s="81" cm="1">
        <f ca="1" t="array" ref="I419">IF(I721=1,OFFSET($Z$338,$B419,I$335-1)/SUMPRODUCT(--($D$335:$V$335=I$335),--($D721:$V721=1)),0)+SUM(I418)+IF(COUNTIF(I$641:I721,1)=1,5,0)+IF(COUNTIF(J419:$Z419,"&gt;"&amp;0)&gt;5,IF(MOD(COUNTIF(I$641:I721,1),7)=0,$C$4,0),0)</f>
        <v>334.216666666667</v>
      </c>
      <c r="J419" s="81" cm="1">
        <f ca="1" t="array" ref="J419">IF(J721=1,OFFSET($Z$338,$B419,J$335-1)/SUMPRODUCT(--($D$335:$V$335=J$335),--($D721:$V721=1)),0)+SUM(J418)+IF(COUNTIF(J$641:J721,1)=1,5,0)+IF(COUNTIF(K419:$Z419,"&gt;"&amp;0)&gt;5,IF(MOD(COUNTIF(J$641:J721,1),7)=0,$C$4,0),0)</f>
        <v>334.216666666667</v>
      </c>
      <c r="K419" s="81" cm="1">
        <f ca="1" t="array" ref="K419">IF(K721=1,OFFSET($Z$338,$B419,K$335-1)/SUMPRODUCT(--($D$335:$V$335=K$335),--($D721:$V721=1)),0)+SUM(K418)+IF(COUNTIF(K$641:K721,1)=1,5,0)+IF(COUNTIF(L419:$Z419,"&gt;"&amp;0)&gt;5,IF(MOD(COUNTIF(K$641:K721,1),7)=0,$C$4,0),0)</f>
        <v>334.216666666667</v>
      </c>
      <c r="L419" s="81" cm="1">
        <f ca="1" t="array" ref="L419">IF(L721=1,OFFSET($Z$338,$B419,L$335-1)/SUMPRODUCT(--($D$335:$V$335=L$335),--($D721:$V721=1)),0)+SUM(L418)+IF(COUNTIF(L$641:L721,1)=1,5,0)+IF(COUNTIF(M419:$Z419,"&gt;"&amp;0)&gt;5,IF(MOD(COUNTIF(L$641:L721,1),7)=0,$C$4,0),0)</f>
        <v>327.516666666667</v>
      </c>
      <c r="M419" s="81" cm="1">
        <f ca="1" t="array" ref="M419">IF(M721=1,OFFSET($Z$338,$B419,M$335-1)/SUMPRODUCT(--($D$335:$V$335=M$335),--($D721:$V721=1)),0)+SUM(M418)+IF(COUNTIF(M$641:M721,1)=1,5,0)+IF(COUNTIF(N419:$Z419,"&gt;"&amp;0)&gt;5,IF(MOD(COUNTIF(M$641:M721,1),7)=0,$C$4,0),0)</f>
        <v>155.658392857143</v>
      </c>
      <c r="N419" s="81" cm="1">
        <f ca="1" t="array" ref="N419">IF(N721=1,OFFSET($Z$338,$B419,N$335-1)/SUMPRODUCT(--($D$335:$V$335=N$335),--($D721:$V721=1)),0)+SUM(N418)+IF(COUNTIF(N$641:N721,1)=1,5,0)+IF(COUNTIF(O419:$Z419,"&gt;"&amp;0)&gt;5,IF(MOD(COUNTIF(N$641:N721,1),7)=0,$C$4,0),0)</f>
        <v>147.933392857143</v>
      </c>
      <c r="O419" s="81" cm="1">
        <f ca="1" t="array" ref="O419">IF(O721=1,OFFSET($Z$338,$B419,O$335-1)/SUMPRODUCT(--($D$335:$V$335=O$335),--($D721:$V721=1)),0)+SUM(O418)+IF(COUNTIF(O$641:O721,1)=1,5,0)+IF(COUNTIF(P419:$Z419,"&gt;"&amp;0)&gt;5,IF(MOD(COUNTIF(O$641:O721,1),7)=0,$C$4,0),0)</f>
        <v>145.508392857143</v>
      </c>
      <c r="P419" s="81" cm="1">
        <f ca="1" t="array" ref="P419">IF(P721=1,OFFSET($Z$338,$B419,P$335-1)/SUMPRODUCT(--($D$335:$V$335=P$335),--($D721:$V721=1)),0)+SUM(P418)+IF(COUNTIF(P$641:P721,1)=1,5,0)+IF(COUNTIF(Q419:$Z419,"&gt;"&amp;0)&gt;5,IF(MOD(COUNTIF(P$641:P721,1),7)=0,$C$4,0),0)</f>
        <v>137.575059523809</v>
      </c>
      <c r="Q419" s="81" cm="1">
        <f ca="1" t="array" ref="Q419">IF(Q721=1,OFFSET($Z$338,$B419,Q$335-1)/SUMPRODUCT(--($D$335:$V$335=Q$335),--($D721:$V721=1)),0)+SUM(Q418)+IF(COUNTIF(Q$641:Q721,1)=1,5,0)+IF(COUNTIF(R419:$Z419,"&gt;"&amp;0)&gt;5,IF(MOD(COUNTIF(Q$641:Q721,1),7)=0,$C$4,0),0)</f>
        <v>136.668809523809</v>
      </c>
      <c r="R419" s="81" cm="1">
        <f ca="1" t="array" ref="R419">IF(R721=1,OFFSET($Z$338,$B419,R$335-1)/SUMPRODUCT(--($D$335:$V$335=R$335),--($D721:$V721=1)),0)+SUM(R418)+IF(COUNTIF(R$641:R721,1)=1,5,0)+IF(COUNTIF(S419:$Z419,"&gt;"&amp;0)&gt;5,IF(MOD(COUNTIF(R$641:R721,1),7)=0,$C$4,0),0)</f>
        <v>111.773809523809</v>
      </c>
      <c r="S419" s="81" cm="1">
        <f ca="1" t="array" ref="S419">IF(S721=1,OFFSET($Z$338,$B419,S$335-1)/SUMPRODUCT(--($D$335:$V$335=S$335),--($D721:$V721=1)),0)+SUM(S418)+IF(COUNTIF(S$641:S721,1)=1,5,0)+IF(COUNTIF(T419:$Z419,"&gt;"&amp;0)&gt;5,IF(MOD(COUNTIF(S$641:S721,1),7)=0,$C$4,0),0)</f>
        <v>102.607142857143</v>
      </c>
      <c r="T419" s="81" cm="1">
        <f ca="1" t="array" ref="T419">IF(T721=1,OFFSET($Z$338,$B419,T$335-1)/SUMPRODUCT(--($D$335:$V$335=T$335),--($D721:$V721=1)),0)+SUM(T418)+IF(COUNTIF(T$641:T721,1)=1,5,0)+IF(COUNTIF(U419:$Z419,"&gt;"&amp;0)&gt;5,IF(MOD(COUNTIF(T$641:T721,1),7)=0,$C$4,0),0)</f>
        <v>72.2445812593718</v>
      </c>
      <c r="U419" s="81" cm="1">
        <f ca="1" t="array" ref="U419">IF(U721=1,OFFSET($Z$338,$B419,U$335-1)/SUMPRODUCT(--($D$335:$V$335=U$335),--($D721:$V721=1)),0)+SUM(U418)+IF(COUNTIF(U$641:U721,1)=1,5,0)+IF(COUNTIF(V419:$Z419,"&gt;"&amp;0)&gt;5,IF(MOD(COUNTIF(U$641:U721,1),7)=0,$C$4,0),0)</f>
        <v>57.2445812593718</v>
      </c>
      <c r="V419" s="81" cm="1">
        <f ca="1" t="array" ref="V419">IF(V721=1,OFFSET($Z$338,$B419,V$335-1)/SUMPRODUCT(--($D$335:$V$335=V$335),--($D721:$V721=1)),0)+SUM(V418)+IF(COUNTIF(V$641:V721,1)=1,5,0)+IF(COUNTIF(Z419:$Z419,"&gt;"&amp;0)&gt;5,IF(MOD(COUNTIF(V$641:V721,1),7)=0,$C$4,0),0)</f>
        <v>49.2867620700898</v>
      </c>
      <c r="W419" s="81" cm="1">
        <f ca="1" t="array" ref="W419">IF(W721=1,OFFSET($Z$338,$B419,W$335-1)/SUMPRODUCT(--($D$335:$V$335=W$335),--($D721:$V721=1)),0)+SUM(W418)+IF(COUNTIF(W$641:W721,1)=1,5,0)+IF(COUNTIF($Z419:AA419,"&gt;"&amp;0)&gt;5,IF(MOD(COUNTIF(W$641:W721,1),7)=0,$C$4,0),0)</f>
        <v>39.9308929551405</v>
      </c>
      <c r="X419" s="81" cm="1">
        <f ca="1" t="array" ref="X419">IF(X721=1,OFFSET($Z$338,$B419,X$335-1)/SUMPRODUCT(--($D$335:$V$335=X$335),--($D721:$V721=1)),0)+SUM(X418)+IF(COUNTIF(X$641:X721,1)=1,5,0)+IF(COUNTIF($Z419:AB419,"&gt;"&amp;0)&gt;5,IF(MOD(COUNTIF(X$641:X721,1),7)=0,$C$4,0),0)</f>
        <v>33.1672326645071</v>
      </c>
      <c r="Y419" s="81" cm="1">
        <f ca="1" t="array" ref="Y419">IF(Y721=1,OFFSET($Z$338,$B419,Y$335-1)/SUMPRODUCT(--($D$335:$V$335=Y$335),--($D721:$V721=1)),0)+SUM(Y418)+IF(COUNTIF(Y$641:Y721,1)=1,5,0)+IF(COUNTIF($Z419:AC419,"&gt;"&amp;0)&gt;5,IF(MOD(COUNTIF(Y$641:Y721,1),7)=0,$C$4,0),0)</f>
        <v>26.4035723738736</v>
      </c>
      <c r="Z419" s="82" cm="1">
        <f ca="1" t="array" ref="Z419">SUMPRODUCT(TRANSPOSE($AD419:$AJ419),OFFSET($L$10:$L$16,0,Z$335-1))</f>
        <v>18.5352420711277</v>
      </c>
      <c r="AA419" s="82" cm="1">
        <f ca="1" t="array" ref="AA419">SUMPRODUCT(TRANSPOSE($AD419:$AJ419),OFFSET($L$10:$L$16,0,AA$335-1))</f>
        <v>22</v>
      </c>
      <c r="AB419" s="82" cm="1">
        <f ca="1" t="array" ref="AB419">SUMPRODUCT(TRANSPOSE($AD419:$AJ419),OFFSET($L$10:$L$16,0,AB$335-1))</f>
        <v>11</v>
      </c>
      <c r="AC419" s="82" cm="1">
        <f ca="1" t="array" ref="AC419">SUMPRODUCT(TRANSPOSE($AD419:$AJ419),OFFSET($L$10:$L$16,0,AC$335-1))</f>
        <v>3.46475792887232</v>
      </c>
      <c r="AD419" s="83">
        <f ca="1" t="shared" ref="AD419:AJ419" si="483">AK419-AK418</f>
        <v>0</v>
      </c>
      <c r="AE419" s="83">
        <f ca="1" t="shared" si="483"/>
        <v>0</v>
      </c>
      <c r="AF419" s="83">
        <f ca="1" t="shared" si="483"/>
        <v>0</v>
      </c>
      <c r="AG419" s="83">
        <f ca="1" t="shared" si="483"/>
        <v>0</v>
      </c>
      <c r="AH419" s="83">
        <f ca="1" t="shared" si="483"/>
        <v>0</v>
      </c>
      <c r="AI419" s="83">
        <f ca="1" t="shared" si="483"/>
        <v>110</v>
      </c>
      <c r="AJ419" s="83">
        <f ca="1" t="shared" si="483"/>
        <v>0</v>
      </c>
      <c r="AK419" s="83">
        <f ca="1" t="shared" si="451"/>
        <v>450</v>
      </c>
      <c r="AL419" s="83">
        <f ca="1" t="shared" ref="AL419:AQ419" si="484">IF($C419&gt;OFFSET($Q$9,MATCH(AL$338,$AK$338:$AQ$338,0),0),OFFSET($P$9,MATCH(AL$338,$AK$338:$AQ$338,0),0),MAX(0,$C419-OFFSET($Q$9,RIGHT(AL$338,1)-1,0)))</f>
        <v>909</v>
      </c>
      <c r="AM419" s="83">
        <f ca="1" t="shared" si="484"/>
        <v>1818</v>
      </c>
      <c r="AN419" s="83">
        <f ca="1" t="shared" si="484"/>
        <v>2727</v>
      </c>
      <c r="AO419" s="83">
        <f ca="1" t="shared" si="484"/>
        <v>3636</v>
      </c>
      <c r="AP419" s="83">
        <f ca="1" t="shared" si="484"/>
        <v>696</v>
      </c>
      <c r="AQ419" s="83">
        <f ca="1" t="shared" si="484"/>
        <v>0</v>
      </c>
    </row>
    <row r="420" ht="16.5" spans="2:43">
      <c r="B420" s="65">
        <v>82</v>
      </c>
      <c r="C420" s="80">
        <f t="shared" si="449"/>
        <v>10346</v>
      </c>
      <c r="D420" s="81" cm="1">
        <f ca="1" t="array" ref="D420">IF(D722=1,OFFSET($Z$338,$B420,D$335-1)/SUMPRODUCT(--($D$335:$V$335=D$335),--($D722:$V722=1)),0)+SUM(D419)+IF(COUNTIF(D$641:D722,1)=1,5,0)+IF(COUNTIF(E420:$Z420,"&gt;"&amp;0)&gt;5,IF(MOD(COUNTIF(D$641:D722,1),7)=0,$C$4,0),0)</f>
        <v>963.811439160765</v>
      </c>
      <c r="E420" s="81" cm="1">
        <f ca="1" t="array" ref="E420">IF(E722=1,OFFSET($Z$338,$B420,E$335-1)/SUMPRODUCT(--($D$335:$V$335=E$335),--($D722:$V722=1)),0)+SUM(E419)+IF(COUNTIF(E$641:E722,1)=1,5,0)+IF(COUNTIF(F420:$Z420,"&gt;"&amp;0)&gt;5,IF(MOD(COUNTIF(E$641:E722,1),7)=0,$C$4,0),0)</f>
        <v>963.811439160765</v>
      </c>
      <c r="F420" s="81" cm="1">
        <f ca="1" t="array" ref="F420">IF(F722=1,OFFSET($Z$338,$B420,F$335-1)/SUMPRODUCT(--($D$335:$V$335=F$335),--($D722:$V722=1)),0)+SUM(F419)+IF(COUNTIF(F$641:F722,1)=1,5,0)+IF(COUNTIF(G420:$Z420,"&gt;"&amp;0)&gt;5,IF(MOD(COUNTIF(F$641:F722,1),7)=0,$C$4,0),0)</f>
        <v>963.811439160765</v>
      </c>
      <c r="G420" s="81" cm="1">
        <f ca="1" t="array" ref="G420">IF(G722=1,OFFSET($Z$338,$B420,G$335-1)/SUMPRODUCT(--($D$335:$V$335=G$335),--($D722:$V722=1)),0)+SUM(G419)+IF(COUNTIF(G$641:G722,1)=1,5,0)+IF(COUNTIF(H420:$Z420,"&gt;"&amp;0)&gt;5,IF(MOD(COUNTIF(G$641:G722,1),7)=0,$C$4,0),0)</f>
        <v>337.883333333334</v>
      </c>
      <c r="H420" s="81" cm="1">
        <f ca="1" t="array" ref="H420">IF(H722=1,OFFSET($Z$338,$B420,H$335-1)/SUMPRODUCT(--($D$335:$V$335=H$335),--($D722:$V722=1)),0)+SUM(H419)+IF(COUNTIF(H$641:H722,1)=1,5,0)+IF(COUNTIF(I420:$Z420,"&gt;"&amp;0)&gt;5,IF(MOD(COUNTIF(H$641:H722,1),7)=0,$C$4,0),0)</f>
        <v>337.883333333334</v>
      </c>
      <c r="I420" s="81" cm="1">
        <f ca="1" t="array" ref="I420">IF(I722=1,OFFSET($Z$338,$B420,I$335-1)/SUMPRODUCT(--($D$335:$V$335=I$335),--($D722:$V722=1)),0)+SUM(I419)+IF(COUNTIF(I$641:I722,1)=1,5,0)+IF(COUNTIF(J420:$Z420,"&gt;"&amp;0)&gt;5,IF(MOD(COUNTIF(I$641:I722,1),7)=0,$C$4,0),0)</f>
        <v>337.883333333334</v>
      </c>
      <c r="J420" s="81" cm="1">
        <f ca="1" t="array" ref="J420">IF(J722=1,OFFSET($Z$338,$B420,J$335-1)/SUMPRODUCT(--($D$335:$V$335=J$335),--($D722:$V722=1)),0)+SUM(J419)+IF(COUNTIF(J$641:J722,1)=1,5,0)+IF(COUNTIF(K420:$Z420,"&gt;"&amp;0)&gt;5,IF(MOD(COUNTIF(J$641:J722,1),7)=0,$C$4,0),0)</f>
        <v>337.883333333334</v>
      </c>
      <c r="K420" s="81" cm="1">
        <f ca="1" t="array" ref="K420">IF(K722=1,OFFSET($Z$338,$B420,K$335-1)/SUMPRODUCT(--($D$335:$V$335=K$335),--($D722:$V722=1)),0)+SUM(K419)+IF(COUNTIF(K$641:K722,1)=1,5,0)+IF(COUNTIF(L420:$Z420,"&gt;"&amp;0)&gt;5,IF(MOD(COUNTIF(K$641:K722,1),7)=0,$C$4,0),0)</f>
        <v>337.883333333334</v>
      </c>
      <c r="L420" s="81" cm="1">
        <f ca="1" t="array" ref="L420">IF(L722=1,OFFSET($Z$338,$B420,L$335-1)/SUMPRODUCT(--($D$335:$V$335=L$335),--($D722:$V722=1)),0)+SUM(L419)+IF(COUNTIF(L$641:L722,1)=1,5,0)+IF(COUNTIF(M420:$Z420,"&gt;"&amp;0)&gt;5,IF(MOD(COUNTIF(L$641:L722,1),7)=0,$C$4,0),0)</f>
        <v>331.183333333334</v>
      </c>
      <c r="M420" s="81" cm="1">
        <f ca="1" t="array" ref="M420">IF(M722=1,OFFSET($Z$338,$B420,M$335-1)/SUMPRODUCT(--($D$335:$V$335=M$335),--($D722:$V722=1)),0)+SUM(M419)+IF(COUNTIF(M$641:M722,1)=1,5,0)+IF(COUNTIF(N420:$Z420,"&gt;"&amp;0)&gt;5,IF(MOD(COUNTIF(M$641:M722,1),7)=0,$C$4,0),0)</f>
        <v>157.229821428571</v>
      </c>
      <c r="N420" s="81" cm="1">
        <f ca="1" t="array" ref="N420">IF(N722=1,OFFSET($Z$338,$B420,N$335-1)/SUMPRODUCT(--($D$335:$V$335=N$335),--($D722:$V722=1)),0)+SUM(N419)+IF(COUNTIF(N$641:N722,1)=1,5,0)+IF(COUNTIF(O420:$Z420,"&gt;"&amp;0)&gt;5,IF(MOD(COUNTIF(N$641:N722,1),7)=0,$C$4,0),0)</f>
        <v>149.504821428571</v>
      </c>
      <c r="O420" s="81" cm="1">
        <f ca="1" t="array" ref="O420">IF(O722=1,OFFSET($Z$338,$B420,O$335-1)/SUMPRODUCT(--($D$335:$V$335=O$335),--($D722:$V722=1)),0)+SUM(O419)+IF(COUNTIF(O$641:O722,1)=1,5,0)+IF(COUNTIF(P420:$Z420,"&gt;"&amp;0)&gt;5,IF(MOD(COUNTIF(O$641:O722,1),7)=0,$C$4,0),0)</f>
        <v>147.079821428571</v>
      </c>
      <c r="P420" s="81" cm="1">
        <f ca="1" t="array" ref="P420">IF(P722=1,OFFSET($Z$338,$B420,P$335-1)/SUMPRODUCT(--($D$335:$V$335=P$335),--($D722:$V722=1)),0)+SUM(P419)+IF(COUNTIF(P$641:P722,1)=1,5,0)+IF(COUNTIF(Q420:$Z420,"&gt;"&amp;0)&gt;5,IF(MOD(COUNTIF(P$641:P722,1),7)=0,$C$4,0),0)</f>
        <v>144.146488095238</v>
      </c>
      <c r="Q420" s="81" cm="1">
        <f ca="1" t="array" ref="Q420">IF(Q722=1,OFFSET($Z$338,$B420,Q$335-1)/SUMPRODUCT(--($D$335:$V$335=Q$335),--($D722:$V722=1)),0)+SUM(Q419)+IF(COUNTIF(Q$641:Q722,1)=1,5,0)+IF(COUNTIF(R420:$Z420,"&gt;"&amp;0)&gt;5,IF(MOD(COUNTIF(Q$641:Q722,1),7)=0,$C$4,0),0)</f>
        <v>138.240238095238</v>
      </c>
      <c r="R420" s="81" cm="1">
        <f ca="1" t="array" ref="R420">IF(R722=1,OFFSET($Z$338,$B420,R$335-1)/SUMPRODUCT(--($D$335:$V$335=R$335),--($D722:$V722=1)),0)+SUM(R419)+IF(COUNTIF(R$641:R722,1)=1,5,0)+IF(COUNTIF(S420:$Z420,"&gt;"&amp;0)&gt;5,IF(MOD(COUNTIF(R$641:R722,1),7)=0,$C$4,0),0)</f>
        <v>113.345238095238</v>
      </c>
      <c r="S420" s="81" cm="1">
        <f ca="1" t="array" ref="S420">IF(S722=1,OFFSET($Z$338,$B420,S$335-1)/SUMPRODUCT(--($D$335:$V$335=S$335),--($D722:$V722=1)),0)+SUM(S419)+IF(COUNTIF(S$641:S722,1)=1,5,0)+IF(COUNTIF(T420:$Z420,"&gt;"&amp;0)&gt;5,IF(MOD(COUNTIF(S$641:S722,1),7)=0,$C$4,0),0)</f>
        <v>109.178571428571</v>
      </c>
      <c r="T420" s="81" cm="1">
        <f ca="1" t="array" ref="T420">IF(T722=1,OFFSET($Z$338,$B420,T$335-1)/SUMPRODUCT(--($D$335:$V$335=T$335),--($D722:$V722=1)),0)+SUM(T419)+IF(COUNTIF(T$641:T722,1)=1,5,0)+IF(COUNTIF(U420:$Z420,"&gt;"&amp;0)&gt;5,IF(MOD(COUNTIF(T$641:T722,1),7)=0,$C$4,0),0)</f>
        <v>73.3995005689959</v>
      </c>
      <c r="U420" s="81" cm="1">
        <f ca="1" t="array" ref="U420">IF(U722=1,OFFSET($Z$338,$B420,U$335-1)/SUMPRODUCT(--($D$335:$V$335=U$335),--($D722:$V722=1)),0)+SUM(U419)+IF(COUNTIF(U$641:U722,1)=1,5,0)+IF(COUNTIF(V420:$Z420,"&gt;"&amp;0)&gt;5,IF(MOD(COUNTIF(U$641:U722,1),7)=0,$C$4,0),0)</f>
        <v>58.3995005689959</v>
      </c>
      <c r="V420" s="81" cm="1">
        <f ca="1" t="array" ref="V420">IF(V722=1,OFFSET($Z$338,$B420,V$335-1)/SUMPRODUCT(--($D$335:$V$335=V$335),--($D722:$V722=1)),0)+SUM(V419)+IF(COUNTIF(V$641:V722,1)=1,5,0)+IF(COUNTIF(Z420:$Z420,"&gt;"&amp;0)&gt;5,IF(MOD(COUNTIF(V$641:V722,1),7)=0,$C$4,0),0)</f>
        <v>50.4416813797139</v>
      </c>
      <c r="W420" s="81" cm="1">
        <f ca="1" t="array" ref="W420">IF(W722=1,OFFSET($Z$338,$B420,W$335-1)/SUMPRODUCT(--($D$335:$V$335=W$335),--($D722:$V722=1)),0)+SUM(W419)+IF(COUNTIF(W$641:W722,1)=1,5,0)+IF(COUNTIF($Z420:AA420,"&gt;"&amp;0)&gt;5,IF(MOD(COUNTIF(W$641:W722,1),7)=0,$C$4,0),0)</f>
        <v>41.0858122647646</v>
      </c>
      <c r="X420" s="81" cm="1">
        <f ca="1" t="array" ref="X420">IF(X722=1,OFFSET($Z$338,$B420,X$335-1)/SUMPRODUCT(--($D$335:$V$335=X$335),--($D722:$V722=1)),0)+SUM(X419)+IF(COUNTIF(X$641:X722,1)=1,5,0)+IF(COUNTIF($Z420:AB420,"&gt;"&amp;0)&gt;5,IF(MOD(COUNTIF(X$641:X722,1),7)=0,$C$4,0),0)</f>
        <v>34.3221519741312</v>
      </c>
      <c r="Y420" s="81" cm="1">
        <f ca="1" t="array" ref="Y420">IF(Y722=1,OFFSET($Z$338,$B420,Y$335-1)/SUMPRODUCT(--($D$335:$V$335=Y$335),--($D722:$V722=1)),0)+SUM(Y419)+IF(COUNTIF(Y$641:Y722,1)=1,5,0)+IF(COUNTIF($Z420:AC420,"&gt;"&amp;0)&gt;5,IF(MOD(COUNTIF(Y$641:Y722,1),7)=0,$C$4,0),0)</f>
        <v>27.5584916834977</v>
      </c>
      <c r="Z420" s="82" cm="1">
        <f ca="1" t="array" ref="Z420">SUMPRODUCT(TRANSPOSE($AD420:$AJ420),OFFSET($L$10:$L$16,0,Z$335-1))</f>
        <v>18.5352420711277</v>
      </c>
      <c r="AA420" s="82" cm="1">
        <f ca="1" t="array" ref="AA420">SUMPRODUCT(TRANSPOSE($AD420:$AJ420),OFFSET($L$10:$L$16,0,AA$335-1))</f>
        <v>22</v>
      </c>
      <c r="AB420" s="82" cm="1">
        <f ca="1" t="array" ref="AB420">SUMPRODUCT(TRANSPOSE($AD420:$AJ420),OFFSET($L$10:$L$16,0,AB$335-1))</f>
        <v>11</v>
      </c>
      <c r="AC420" s="82" cm="1">
        <f ca="1" t="array" ref="AC420">SUMPRODUCT(TRANSPOSE($AD420:$AJ420),OFFSET($L$10:$L$16,0,AC$335-1))</f>
        <v>3.46475792887232</v>
      </c>
      <c r="AD420" s="83">
        <f ca="1" t="shared" ref="AD420:AJ420" si="485">AK420-AK419</f>
        <v>0</v>
      </c>
      <c r="AE420" s="83">
        <f ca="1" t="shared" si="485"/>
        <v>0</v>
      </c>
      <c r="AF420" s="83">
        <f ca="1" t="shared" si="485"/>
        <v>0</v>
      </c>
      <c r="AG420" s="83">
        <f ca="1" t="shared" si="485"/>
        <v>0</v>
      </c>
      <c r="AH420" s="83">
        <f ca="1" t="shared" si="485"/>
        <v>0</v>
      </c>
      <c r="AI420" s="83">
        <f ca="1" t="shared" si="485"/>
        <v>110</v>
      </c>
      <c r="AJ420" s="83">
        <f ca="1" t="shared" si="485"/>
        <v>0</v>
      </c>
      <c r="AK420" s="83">
        <f ca="1" t="shared" si="451"/>
        <v>450</v>
      </c>
      <c r="AL420" s="83">
        <f ca="1" t="shared" ref="AL420:AQ420" si="486">IF($C420&gt;OFFSET($Q$9,MATCH(AL$338,$AK$338:$AQ$338,0),0),OFFSET($P$9,MATCH(AL$338,$AK$338:$AQ$338,0),0),MAX(0,$C420-OFFSET($Q$9,RIGHT(AL$338,1)-1,0)))</f>
        <v>909</v>
      </c>
      <c r="AM420" s="83">
        <f ca="1" t="shared" si="486"/>
        <v>1818</v>
      </c>
      <c r="AN420" s="83">
        <f ca="1" t="shared" si="486"/>
        <v>2727</v>
      </c>
      <c r="AO420" s="83">
        <f ca="1" t="shared" si="486"/>
        <v>3636</v>
      </c>
      <c r="AP420" s="83">
        <f ca="1" t="shared" si="486"/>
        <v>806</v>
      </c>
      <c r="AQ420" s="83">
        <f ca="1" t="shared" si="486"/>
        <v>0</v>
      </c>
    </row>
    <row r="421" ht="16.5" spans="2:43">
      <c r="B421" s="65">
        <v>83</v>
      </c>
      <c r="C421" s="80">
        <f t="shared" si="449"/>
        <v>10456</v>
      </c>
      <c r="D421" s="81" cm="1">
        <f ca="1" t="array" ref="D421">IF(D723=1,OFFSET($Z$338,$B421,D$335-1)/SUMPRODUCT(--($D$335:$V$335=D$335),--($D723:$V723=1)),0)+SUM(D420)+IF(COUNTIF(D$641:D723,1)=1,5,0)+IF(COUNTIF(E421:$Z421,"&gt;"&amp;0)&gt;5,IF(MOD(COUNTIF(D$641:D723,1),7)=0,$C$4,0),0)</f>
        <v>969.989853184474</v>
      </c>
      <c r="E421" s="81" cm="1">
        <f ca="1" t="array" ref="E421">IF(E723=1,OFFSET($Z$338,$B421,E$335-1)/SUMPRODUCT(--($D$335:$V$335=E$335),--($D723:$V723=1)),0)+SUM(E420)+IF(COUNTIF(E$641:E723,1)=1,5,0)+IF(COUNTIF(F421:$Z421,"&gt;"&amp;0)&gt;5,IF(MOD(COUNTIF(E$641:E723,1),7)=0,$C$4,0),0)</f>
        <v>969.989853184474</v>
      </c>
      <c r="F421" s="81" cm="1">
        <f ca="1" t="array" ref="F421">IF(F723=1,OFFSET($Z$338,$B421,F$335-1)/SUMPRODUCT(--($D$335:$V$335=F$335),--($D723:$V723=1)),0)+SUM(F420)+IF(COUNTIF(F$641:F723,1)=1,5,0)+IF(COUNTIF(G421:$Z421,"&gt;"&amp;0)&gt;5,IF(MOD(COUNTIF(F$641:F723,1),7)=0,$C$4,0),0)</f>
        <v>969.989853184474</v>
      </c>
      <c r="G421" s="81" cm="1">
        <f ca="1" t="array" ref="G421">IF(G723=1,OFFSET($Z$338,$B421,G$335-1)/SUMPRODUCT(--($D$335:$V$335=G$335),--($D723:$V723=1)),0)+SUM(G420)+IF(COUNTIF(G$641:G723,1)=1,5,0)+IF(COUNTIF(H421:$Z421,"&gt;"&amp;0)&gt;5,IF(MOD(COUNTIF(G$641:G723,1),7)=0,$C$4,0),0)</f>
        <v>341.550000000001</v>
      </c>
      <c r="H421" s="81" cm="1">
        <f ca="1" t="array" ref="H421">IF(H723=1,OFFSET($Z$338,$B421,H$335-1)/SUMPRODUCT(--($D$335:$V$335=H$335),--($D723:$V723=1)),0)+SUM(H420)+IF(COUNTIF(H$641:H723,1)=1,5,0)+IF(COUNTIF(I421:$Z421,"&gt;"&amp;0)&gt;5,IF(MOD(COUNTIF(H$641:H723,1),7)=0,$C$4,0),0)</f>
        <v>341.550000000001</v>
      </c>
      <c r="I421" s="81" cm="1">
        <f ca="1" t="array" ref="I421">IF(I723=1,OFFSET($Z$338,$B421,I$335-1)/SUMPRODUCT(--($D$335:$V$335=I$335),--($D723:$V723=1)),0)+SUM(I420)+IF(COUNTIF(I$641:I723,1)=1,5,0)+IF(COUNTIF(J421:$Z421,"&gt;"&amp;0)&gt;5,IF(MOD(COUNTIF(I$641:I723,1),7)=0,$C$4,0),0)</f>
        <v>341.550000000001</v>
      </c>
      <c r="J421" s="81" cm="1">
        <f ca="1" t="array" ref="J421">IF(J723=1,OFFSET($Z$338,$B421,J$335-1)/SUMPRODUCT(--($D$335:$V$335=J$335),--($D723:$V723=1)),0)+SUM(J420)+IF(COUNTIF(J$641:J723,1)=1,5,0)+IF(COUNTIF(K421:$Z421,"&gt;"&amp;0)&gt;5,IF(MOD(COUNTIF(J$641:J723,1),7)=0,$C$4,0),0)</f>
        <v>341.550000000001</v>
      </c>
      <c r="K421" s="81" cm="1">
        <f ca="1" t="array" ref="K421">IF(K723=1,OFFSET($Z$338,$B421,K$335-1)/SUMPRODUCT(--($D$335:$V$335=K$335),--($D723:$V723=1)),0)+SUM(K420)+IF(COUNTIF(K$641:K723,1)=1,5,0)+IF(COUNTIF(L421:$Z421,"&gt;"&amp;0)&gt;5,IF(MOD(COUNTIF(K$641:K723,1),7)=0,$C$4,0),0)</f>
        <v>341.550000000001</v>
      </c>
      <c r="L421" s="81" cm="1">
        <f ca="1" t="array" ref="L421">IF(L723=1,OFFSET($Z$338,$B421,L$335-1)/SUMPRODUCT(--($D$335:$V$335=L$335),--($D723:$V723=1)),0)+SUM(L420)+IF(COUNTIF(L$641:L723,1)=1,5,0)+IF(COUNTIF(M421:$Z421,"&gt;"&amp;0)&gt;5,IF(MOD(COUNTIF(L$641:L723,1),7)=0,$C$4,0),0)</f>
        <v>334.850000000001</v>
      </c>
      <c r="M421" s="81" cm="1">
        <f ca="1" t="array" ref="M421">IF(M723=1,OFFSET($Z$338,$B421,M$335-1)/SUMPRODUCT(--($D$335:$V$335=M$335),--($D723:$V723=1)),0)+SUM(M420)+IF(COUNTIF(M$641:M723,1)=1,5,0)+IF(COUNTIF(N421:$Z421,"&gt;"&amp;0)&gt;5,IF(MOD(COUNTIF(M$641:M723,1),7)=0,$C$4,0),0)</f>
        <v>158.80125</v>
      </c>
      <c r="N421" s="81" cm="1">
        <f ca="1" t="array" ref="N421">IF(N723=1,OFFSET($Z$338,$B421,N$335-1)/SUMPRODUCT(--($D$335:$V$335=N$335),--($D723:$V723=1)),0)+SUM(N420)+IF(COUNTIF(N$641:N723,1)=1,5,0)+IF(COUNTIF(O421:$Z421,"&gt;"&amp;0)&gt;5,IF(MOD(COUNTIF(N$641:N723,1),7)=0,$C$4,0),0)</f>
        <v>151.07625</v>
      </c>
      <c r="O421" s="81" cm="1">
        <f ca="1" t="array" ref="O421">IF(O723=1,OFFSET($Z$338,$B421,O$335-1)/SUMPRODUCT(--($D$335:$V$335=O$335),--($D723:$V723=1)),0)+SUM(O420)+IF(COUNTIF(O$641:O723,1)=1,5,0)+IF(COUNTIF(P421:$Z421,"&gt;"&amp;0)&gt;5,IF(MOD(COUNTIF(O$641:O723,1),7)=0,$C$4,0),0)</f>
        <v>148.65125</v>
      </c>
      <c r="P421" s="81" cm="1">
        <f ca="1" t="array" ref="P421">IF(P723=1,OFFSET($Z$338,$B421,P$335-1)/SUMPRODUCT(--($D$335:$V$335=P$335),--($D723:$V723=1)),0)+SUM(P420)+IF(COUNTIF(P$641:P723,1)=1,5,0)+IF(COUNTIF(Q421:$Z421,"&gt;"&amp;0)&gt;5,IF(MOD(COUNTIF(P$641:P723,1),7)=0,$C$4,0),0)</f>
        <v>145.717916666667</v>
      </c>
      <c r="Q421" s="81" cm="1">
        <f ca="1" t="array" ref="Q421">IF(Q723=1,OFFSET($Z$338,$B421,Q$335-1)/SUMPRODUCT(--($D$335:$V$335=Q$335),--($D723:$V723=1)),0)+SUM(Q420)+IF(COUNTIF(Q$641:Q723,1)=1,5,0)+IF(COUNTIF(R421:$Z421,"&gt;"&amp;0)&gt;5,IF(MOD(COUNTIF(Q$641:Q723,1),7)=0,$C$4,0),0)</f>
        <v>144.811666666667</v>
      </c>
      <c r="R421" s="81" cm="1">
        <f ca="1" t="array" ref="R421">IF(R723=1,OFFSET($Z$338,$B421,R$335-1)/SUMPRODUCT(--($D$335:$V$335=R$335),--($D723:$V723=1)),0)+SUM(R420)+IF(COUNTIF(R$641:R723,1)=1,5,0)+IF(COUNTIF(S421:$Z421,"&gt;"&amp;0)&gt;5,IF(MOD(COUNTIF(R$641:R723,1),7)=0,$C$4,0),0)</f>
        <v>114.916666666667</v>
      </c>
      <c r="S421" s="81" cm="1">
        <f ca="1" t="array" ref="S421">IF(S723=1,OFFSET($Z$338,$B421,S$335-1)/SUMPRODUCT(--($D$335:$V$335=S$335),--($D723:$V723=1)),0)+SUM(S420)+IF(COUNTIF(S$641:S723,1)=1,5,0)+IF(COUNTIF(T421:$Z421,"&gt;"&amp;0)&gt;5,IF(MOD(COUNTIF(S$641:S723,1),7)=0,$C$4,0),0)</f>
        <v>110.75</v>
      </c>
      <c r="T421" s="81" cm="1">
        <f ca="1" t="array" ref="T421">IF(T723=1,OFFSET($Z$338,$B421,T$335-1)/SUMPRODUCT(--($D$335:$V$335=T$335),--($D723:$V723=1)),0)+SUM(T420)+IF(COUNTIF(T$641:T723,1)=1,5,0)+IF(COUNTIF(U421:$Z421,"&gt;"&amp;0)&gt;5,IF(MOD(COUNTIF(T$641:T723,1),7)=0,$C$4,0),0)</f>
        <v>79.55441987862</v>
      </c>
      <c r="U421" s="81" cm="1">
        <f ca="1" t="array" ref="U421">IF(U723=1,OFFSET($Z$338,$B421,U$335-1)/SUMPRODUCT(--($D$335:$V$335=U$335),--($D723:$V723=1)),0)+SUM(U420)+IF(COUNTIF(U$641:U723,1)=1,5,0)+IF(COUNTIF(V421:$Z421,"&gt;"&amp;0)&gt;5,IF(MOD(COUNTIF(U$641:U723,1),7)=0,$C$4,0),0)</f>
        <v>59.55441987862</v>
      </c>
      <c r="V421" s="81" cm="1">
        <f ca="1" t="array" ref="V421">IF(V723=1,OFFSET($Z$338,$B421,V$335-1)/SUMPRODUCT(--($D$335:$V$335=V$335),--($D723:$V723=1)),0)+SUM(V420)+IF(COUNTIF(V$641:V723,1)=1,5,0)+IF(COUNTIF(Z421:$Z421,"&gt;"&amp;0)&gt;5,IF(MOD(COUNTIF(V$641:V723,1),7)=0,$C$4,0),0)</f>
        <v>51.596600689338</v>
      </c>
      <c r="W421" s="81" cm="1">
        <f ca="1" t="array" ref="W421">IF(W723=1,OFFSET($Z$338,$B421,W$335-1)/SUMPRODUCT(--($D$335:$V$335=W$335),--($D723:$V723=1)),0)+SUM(W420)+IF(COUNTIF(W$641:W723,1)=1,5,0)+IF(COUNTIF($Z421:AA421,"&gt;"&amp;0)&gt;5,IF(MOD(COUNTIF(W$641:W723,1),7)=0,$C$4,0),0)</f>
        <v>42.2407315743887</v>
      </c>
      <c r="X421" s="81" cm="1">
        <f ca="1" t="array" ref="X421">IF(X723=1,OFFSET($Z$338,$B421,X$335-1)/SUMPRODUCT(--($D$335:$V$335=X$335),--($D723:$V723=1)),0)+SUM(X420)+IF(COUNTIF(X$641:X723,1)=1,5,0)+IF(COUNTIF($Z421:AB421,"&gt;"&amp;0)&gt;5,IF(MOD(COUNTIF(X$641:X723,1),7)=0,$C$4,0),0)</f>
        <v>35.4770712837553</v>
      </c>
      <c r="Y421" s="81" cm="1">
        <f ca="1" t="array" ref="Y421">IF(Y723=1,OFFSET($Z$338,$B421,Y$335-1)/SUMPRODUCT(--($D$335:$V$335=Y$335),--($D723:$V723=1)),0)+SUM(Y420)+IF(COUNTIF(Y$641:Y723,1)=1,5,0)+IF(COUNTIF($Z421:AC421,"&gt;"&amp;0)&gt;5,IF(MOD(COUNTIF(Y$641:Y723,1),7)=0,$C$4,0),0)</f>
        <v>28.7134109931218</v>
      </c>
      <c r="Z421" s="82" cm="1">
        <f ca="1" t="array" ref="Z421">SUMPRODUCT(TRANSPOSE($AD421:$AJ421),OFFSET($L$10:$L$16,0,Z$335-1))</f>
        <v>18.5352420711277</v>
      </c>
      <c r="AA421" s="82" cm="1">
        <f ca="1" t="array" ref="AA421">SUMPRODUCT(TRANSPOSE($AD421:$AJ421),OFFSET($L$10:$L$16,0,AA$335-1))</f>
        <v>22</v>
      </c>
      <c r="AB421" s="82" cm="1">
        <f ca="1" t="array" ref="AB421">SUMPRODUCT(TRANSPOSE($AD421:$AJ421),OFFSET($L$10:$L$16,0,AB$335-1))</f>
        <v>11</v>
      </c>
      <c r="AC421" s="82" cm="1">
        <f ca="1" t="array" ref="AC421">SUMPRODUCT(TRANSPOSE($AD421:$AJ421),OFFSET($L$10:$L$16,0,AC$335-1))</f>
        <v>3.46475792887232</v>
      </c>
      <c r="AD421" s="83">
        <f ca="1" t="shared" ref="AD421:AJ421" si="487">AK421-AK420</f>
        <v>0</v>
      </c>
      <c r="AE421" s="83">
        <f ca="1" t="shared" si="487"/>
        <v>0</v>
      </c>
      <c r="AF421" s="83">
        <f ca="1" t="shared" si="487"/>
        <v>0</v>
      </c>
      <c r="AG421" s="83">
        <f ca="1" t="shared" si="487"/>
        <v>0</v>
      </c>
      <c r="AH421" s="83">
        <f ca="1" t="shared" si="487"/>
        <v>0</v>
      </c>
      <c r="AI421" s="83">
        <f ca="1" t="shared" si="487"/>
        <v>110</v>
      </c>
      <c r="AJ421" s="83">
        <f ca="1" t="shared" si="487"/>
        <v>0</v>
      </c>
      <c r="AK421" s="83">
        <f ca="1" t="shared" si="451"/>
        <v>450</v>
      </c>
      <c r="AL421" s="83">
        <f ca="1" t="shared" ref="AL421:AQ421" si="488">IF($C421&gt;OFFSET($Q$9,MATCH(AL$338,$AK$338:$AQ$338,0),0),OFFSET($P$9,MATCH(AL$338,$AK$338:$AQ$338,0),0),MAX(0,$C421-OFFSET($Q$9,RIGHT(AL$338,1)-1,0)))</f>
        <v>909</v>
      </c>
      <c r="AM421" s="83">
        <f ca="1" t="shared" si="488"/>
        <v>1818</v>
      </c>
      <c r="AN421" s="83">
        <f ca="1" t="shared" si="488"/>
        <v>2727</v>
      </c>
      <c r="AO421" s="83">
        <f ca="1" t="shared" si="488"/>
        <v>3636</v>
      </c>
      <c r="AP421" s="83">
        <f ca="1" t="shared" si="488"/>
        <v>916</v>
      </c>
      <c r="AQ421" s="83">
        <f ca="1" t="shared" si="488"/>
        <v>0</v>
      </c>
    </row>
    <row r="422" ht="16.5" spans="2:43">
      <c r="B422" s="65">
        <v>84</v>
      </c>
      <c r="C422" s="80">
        <f t="shared" si="449"/>
        <v>10566</v>
      </c>
      <c r="D422" s="81" cm="1">
        <f ca="1" t="array" ref="D422">IF(D724=1,OFFSET($Z$338,$B422,D$335-1)/SUMPRODUCT(--($D$335:$V$335=D$335),--($D724:$V724=1)),0)+SUM(D421)+IF(COUNTIF(D$641:D724,1)=1,5,0)+IF(COUNTIF(E422:$Z422,"&gt;"&amp;0)&gt;5,IF(MOD(COUNTIF(D$641:D724,1),7)=0,$C$4,0),0)</f>
        <v>981.168267208183</v>
      </c>
      <c r="E422" s="81" cm="1">
        <f ca="1" t="array" ref="E422">IF(E724=1,OFFSET($Z$338,$B422,E$335-1)/SUMPRODUCT(--($D$335:$V$335=E$335),--($D724:$V724=1)),0)+SUM(E421)+IF(COUNTIF(E$641:E724,1)=1,5,0)+IF(COUNTIF(F422:$Z422,"&gt;"&amp;0)&gt;5,IF(MOD(COUNTIF(E$641:E724,1),7)=0,$C$4,0),0)</f>
        <v>981.168267208183</v>
      </c>
      <c r="F422" s="81" cm="1">
        <f ca="1" t="array" ref="F422">IF(F724=1,OFFSET($Z$338,$B422,F$335-1)/SUMPRODUCT(--($D$335:$V$335=F$335),--($D724:$V724=1)),0)+SUM(F421)+IF(COUNTIF(F$641:F724,1)=1,5,0)+IF(COUNTIF(G422:$Z422,"&gt;"&amp;0)&gt;5,IF(MOD(COUNTIF(F$641:F724,1),7)=0,$C$4,0),0)</f>
        <v>981.168267208183</v>
      </c>
      <c r="G422" s="81" cm="1">
        <f ca="1" t="array" ref="G422">IF(G724=1,OFFSET($Z$338,$B422,G$335-1)/SUMPRODUCT(--($D$335:$V$335=G$335),--($D724:$V724=1)),0)+SUM(G421)+IF(COUNTIF(G$641:G724,1)=1,5,0)+IF(COUNTIF(H422:$Z422,"&gt;"&amp;0)&gt;5,IF(MOD(COUNTIF(G$641:G724,1),7)=0,$C$4,0),0)</f>
        <v>350.216666666667</v>
      </c>
      <c r="H422" s="81" cm="1">
        <f ca="1" t="array" ref="H422">IF(H724=1,OFFSET($Z$338,$B422,H$335-1)/SUMPRODUCT(--($D$335:$V$335=H$335),--($D724:$V724=1)),0)+SUM(H421)+IF(COUNTIF(H$641:H724,1)=1,5,0)+IF(COUNTIF(I422:$Z422,"&gt;"&amp;0)&gt;5,IF(MOD(COUNTIF(H$641:H724,1),7)=0,$C$4,0),0)</f>
        <v>350.216666666667</v>
      </c>
      <c r="I422" s="81" cm="1">
        <f ca="1" t="array" ref="I422">IF(I724=1,OFFSET($Z$338,$B422,I$335-1)/SUMPRODUCT(--($D$335:$V$335=I$335),--($D724:$V724=1)),0)+SUM(I421)+IF(COUNTIF(I$641:I724,1)=1,5,0)+IF(COUNTIF(J422:$Z422,"&gt;"&amp;0)&gt;5,IF(MOD(COUNTIF(I$641:I724,1),7)=0,$C$4,0),0)</f>
        <v>350.216666666667</v>
      </c>
      <c r="J422" s="81" cm="1">
        <f ca="1" t="array" ref="J422">IF(J724=1,OFFSET($Z$338,$B422,J$335-1)/SUMPRODUCT(--($D$335:$V$335=J$335),--($D724:$V724=1)),0)+SUM(J421)+IF(COUNTIF(J$641:J724,1)=1,5,0)+IF(COUNTIF(K422:$Z422,"&gt;"&amp;0)&gt;5,IF(MOD(COUNTIF(J$641:J724,1),7)=0,$C$4,0),0)</f>
        <v>350.216666666667</v>
      </c>
      <c r="K422" s="81" cm="1">
        <f ca="1" t="array" ref="K422">IF(K724=1,OFFSET($Z$338,$B422,K$335-1)/SUMPRODUCT(--($D$335:$V$335=K$335),--($D724:$V724=1)),0)+SUM(K421)+IF(COUNTIF(K$641:K724,1)=1,5,0)+IF(COUNTIF(L422:$Z422,"&gt;"&amp;0)&gt;5,IF(MOD(COUNTIF(K$641:K724,1),7)=0,$C$4,0),0)</f>
        <v>350.216666666667</v>
      </c>
      <c r="L422" s="81" cm="1">
        <f ca="1" t="array" ref="L422">IF(L724=1,OFFSET($Z$338,$B422,L$335-1)/SUMPRODUCT(--($D$335:$V$335=L$335),--($D724:$V724=1)),0)+SUM(L421)+IF(COUNTIF(L$641:L724,1)=1,5,0)+IF(COUNTIF(M422:$Z422,"&gt;"&amp;0)&gt;5,IF(MOD(COUNTIF(L$641:L724,1),7)=0,$C$4,0),0)</f>
        <v>338.516666666667</v>
      </c>
      <c r="M422" s="81" cm="1">
        <f ca="1" t="array" ref="M422">IF(M724=1,OFFSET($Z$338,$B422,M$335-1)/SUMPRODUCT(--($D$335:$V$335=M$335),--($D724:$V724=1)),0)+SUM(M421)+IF(COUNTIF(M$641:M724,1)=1,5,0)+IF(COUNTIF(N422:$Z422,"&gt;"&amp;0)&gt;5,IF(MOD(COUNTIF(M$641:M724,1),7)=0,$C$4,0),0)</f>
        <v>160.372678571429</v>
      </c>
      <c r="N422" s="81" cm="1">
        <f ca="1" t="array" ref="N422">IF(N724=1,OFFSET($Z$338,$B422,N$335-1)/SUMPRODUCT(--($D$335:$V$335=N$335),--($D724:$V724=1)),0)+SUM(N421)+IF(COUNTIF(N$641:N724,1)=1,5,0)+IF(COUNTIF(O422:$Z422,"&gt;"&amp;0)&gt;5,IF(MOD(COUNTIF(N$641:N724,1),7)=0,$C$4,0),0)</f>
        <v>152.647678571429</v>
      </c>
      <c r="O422" s="81" cm="1">
        <f ca="1" t="array" ref="O422">IF(O724=1,OFFSET($Z$338,$B422,O$335-1)/SUMPRODUCT(--($D$335:$V$335=O$335),--($D724:$V724=1)),0)+SUM(O421)+IF(COUNTIF(O$641:O724,1)=1,5,0)+IF(COUNTIF(P422:$Z422,"&gt;"&amp;0)&gt;5,IF(MOD(COUNTIF(O$641:O724,1),7)=0,$C$4,0),0)</f>
        <v>150.222678571429</v>
      </c>
      <c r="P422" s="81" cm="1">
        <f ca="1" t="array" ref="P422">IF(P724=1,OFFSET($Z$338,$B422,P$335-1)/SUMPRODUCT(--($D$335:$V$335=P$335),--($D724:$V724=1)),0)+SUM(P421)+IF(COUNTIF(P$641:P724,1)=1,5,0)+IF(COUNTIF(Q422:$Z422,"&gt;"&amp;0)&gt;5,IF(MOD(COUNTIF(P$641:P724,1),7)=0,$C$4,0),0)</f>
        <v>147.289345238095</v>
      </c>
      <c r="Q422" s="81" cm="1">
        <f ca="1" t="array" ref="Q422">IF(Q724=1,OFFSET($Z$338,$B422,Q$335-1)/SUMPRODUCT(--($D$335:$V$335=Q$335),--($D724:$V724=1)),0)+SUM(Q421)+IF(COUNTIF(Q$641:Q724,1)=1,5,0)+IF(COUNTIF(R422:$Z422,"&gt;"&amp;0)&gt;5,IF(MOD(COUNTIF(Q$641:Q724,1),7)=0,$C$4,0),0)</f>
        <v>146.383095238095</v>
      </c>
      <c r="R422" s="81" cm="1">
        <f ca="1" t="array" ref="R422">IF(R724=1,OFFSET($Z$338,$B422,R$335-1)/SUMPRODUCT(--($D$335:$V$335=R$335),--($D724:$V724=1)),0)+SUM(R421)+IF(COUNTIF(R$641:R724,1)=1,5,0)+IF(COUNTIF(S422:$Z422,"&gt;"&amp;0)&gt;5,IF(MOD(COUNTIF(R$641:R724,1),7)=0,$C$4,0),0)</f>
        <v>121.488095238095</v>
      </c>
      <c r="S422" s="81" cm="1">
        <f ca="1" t="array" ref="S422">IF(S724=1,OFFSET($Z$338,$B422,S$335-1)/SUMPRODUCT(--($D$335:$V$335=S$335),--($D724:$V724=1)),0)+SUM(S421)+IF(COUNTIF(S$641:S724,1)=1,5,0)+IF(COUNTIF(T422:$Z422,"&gt;"&amp;0)&gt;5,IF(MOD(COUNTIF(S$641:S724,1),7)=0,$C$4,0),0)</f>
        <v>112.321428571429</v>
      </c>
      <c r="T422" s="81" cm="1">
        <f ca="1" t="array" ref="T422">IF(T724=1,OFFSET($Z$338,$B422,T$335-1)/SUMPRODUCT(--($D$335:$V$335=T$335),--($D724:$V724=1)),0)+SUM(T421)+IF(COUNTIF(T$641:T724,1)=1,5,0)+IF(COUNTIF(U422:$Z422,"&gt;"&amp;0)&gt;5,IF(MOD(COUNTIF(T$641:T724,1),7)=0,$C$4,0),0)</f>
        <v>80.7093391882441</v>
      </c>
      <c r="U422" s="81" cm="1">
        <f ca="1" t="array" ref="U422">IF(U724=1,OFFSET($Z$338,$B422,U$335-1)/SUMPRODUCT(--($D$335:$V$335=U$335),--($D724:$V724=1)),0)+SUM(U421)+IF(COUNTIF(U$641:U724,1)=1,5,0)+IF(COUNTIF(V422:$Z422,"&gt;"&amp;0)&gt;5,IF(MOD(COUNTIF(U$641:U724,1),7)=0,$C$4,0),0)</f>
        <v>60.7093391882441</v>
      </c>
      <c r="V422" s="81" cm="1">
        <f ca="1" t="array" ref="V422">IF(V724=1,OFFSET($Z$338,$B422,V$335-1)/SUMPRODUCT(--($D$335:$V$335=V$335),--($D724:$V724=1)),0)+SUM(V421)+IF(COUNTIF(V$641:V724,1)=1,5,0)+IF(COUNTIF(Z422:$Z422,"&gt;"&amp;0)&gt;5,IF(MOD(COUNTIF(V$641:V724,1),7)=0,$C$4,0),0)</f>
        <v>52.7515199989622</v>
      </c>
      <c r="W422" s="81" cm="1">
        <f ca="1" t="array" ref="W422">IF(W724=1,OFFSET($Z$338,$B422,W$335-1)/SUMPRODUCT(--($D$335:$V$335=W$335),--($D724:$V724=1)),0)+SUM(W421)+IF(COUNTIF(W$641:W724,1)=1,5,0)+IF(COUNTIF($Z422:AA422,"&gt;"&amp;0)&gt;5,IF(MOD(COUNTIF(W$641:W724,1),7)=0,$C$4,0),0)</f>
        <v>43.3956508840128</v>
      </c>
      <c r="X422" s="81" cm="1">
        <f ca="1" t="array" ref="X422">IF(X724=1,OFFSET($Z$338,$B422,X$335-1)/SUMPRODUCT(--($D$335:$V$335=X$335),--($D724:$V724=1)),0)+SUM(X421)+IF(COUNTIF(X$641:X724,1)=1,5,0)+IF(COUNTIF($Z422:AB422,"&gt;"&amp;0)&gt;5,IF(MOD(COUNTIF(X$641:X724,1),7)=0,$C$4,0),0)</f>
        <v>36.6319905933794</v>
      </c>
      <c r="Y422" s="81" cm="1">
        <f ca="1" t="array" ref="Y422">IF(Y724=1,OFFSET($Z$338,$B422,Y$335-1)/SUMPRODUCT(--($D$335:$V$335=Y$335),--($D724:$V724=1)),0)+SUM(Y421)+IF(COUNTIF(Y$641:Y724,1)=1,5,0)+IF(COUNTIF($Z422:AC422,"&gt;"&amp;0)&gt;5,IF(MOD(COUNTIF(Y$641:Y724,1),7)=0,$C$4,0),0)</f>
        <v>29.8683303027459</v>
      </c>
      <c r="Z422" s="82" cm="1">
        <f ca="1" t="array" ref="Z422">SUMPRODUCT(TRANSPOSE($AD422:$AJ422),OFFSET($L$10:$L$16,0,Z$335-1))</f>
        <v>18.5352420711277</v>
      </c>
      <c r="AA422" s="82" cm="1">
        <f ca="1" t="array" ref="AA422">SUMPRODUCT(TRANSPOSE($AD422:$AJ422),OFFSET($L$10:$L$16,0,AA$335-1))</f>
        <v>22</v>
      </c>
      <c r="AB422" s="82" cm="1">
        <f ca="1" t="array" ref="AB422">SUMPRODUCT(TRANSPOSE($AD422:$AJ422),OFFSET($L$10:$L$16,0,AB$335-1))</f>
        <v>11</v>
      </c>
      <c r="AC422" s="82" cm="1">
        <f ca="1" t="array" ref="AC422">SUMPRODUCT(TRANSPOSE($AD422:$AJ422),OFFSET($L$10:$L$16,0,AC$335-1))</f>
        <v>3.46475792887232</v>
      </c>
      <c r="AD422" s="83">
        <f ca="1" t="shared" ref="AD422:AJ422" si="489">AK422-AK421</f>
        <v>0</v>
      </c>
      <c r="AE422" s="83">
        <f ca="1" t="shared" si="489"/>
        <v>0</v>
      </c>
      <c r="AF422" s="83">
        <f ca="1" t="shared" si="489"/>
        <v>0</v>
      </c>
      <c r="AG422" s="83">
        <f ca="1" t="shared" si="489"/>
        <v>0</v>
      </c>
      <c r="AH422" s="83">
        <f ca="1" t="shared" si="489"/>
        <v>0</v>
      </c>
      <c r="AI422" s="83">
        <f ca="1" t="shared" si="489"/>
        <v>110</v>
      </c>
      <c r="AJ422" s="83">
        <f ca="1" t="shared" si="489"/>
        <v>0</v>
      </c>
      <c r="AK422" s="83">
        <f ca="1" t="shared" si="451"/>
        <v>450</v>
      </c>
      <c r="AL422" s="83">
        <f ca="1" t="shared" ref="AL422:AQ422" si="490">IF($C422&gt;OFFSET($Q$9,MATCH(AL$338,$AK$338:$AQ$338,0),0),OFFSET($P$9,MATCH(AL$338,$AK$338:$AQ$338,0),0),MAX(0,$C422-OFFSET($Q$9,RIGHT(AL$338,1)-1,0)))</f>
        <v>909</v>
      </c>
      <c r="AM422" s="83">
        <f ca="1" t="shared" si="490"/>
        <v>1818</v>
      </c>
      <c r="AN422" s="83">
        <f ca="1" t="shared" si="490"/>
        <v>2727</v>
      </c>
      <c r="AO422" s="83">
        <f ca="1" t="shared" si="490"/>
        <v>3636</v>
      </c>
      <c r="AP422" s="83">
        <f ca="1" t="shared" si="490"/>
        <v>1026</v>
      </c>
      <c r="AQ422" s="83">
        <f ca="1" t="shared" si="490"/>
        <v>0</v>
      </c>
    </row>
    <row r="423" ht="16.5" spans="2:43">
      <c r="B423" s="65">
        <v>85</v>
      </c>
      <c r="C423" s="80">
        <f t="shared" si="449"/>
        <v>10676</v>
      </c>
      <c r="D423" s="81" cm="1">
        <f ca="1" t="array" ref="D423">IF(D725=1,OFFSET($Z$338,$B423,D$335-1)/SUMPRODUCT(--($D$335:$V$335=D$335),--($D725:$V725=1)),0)+SUM(D422)+IF(COUNTIF(D$641:D725,1)=1,5,0)+IF(COUNTIF(E423:$Z423,"&gt;"&amp;0)&gt;5,IF(MOD(COUNTIF(D$641:D725,1),7)=0,$C$4,0),0)</f>
        <v>987.346681231892</v>
      </c>
      <c r="E423" s="81" cm="1">
        <f ca="1" t="array" ref="E423">IF(E725=1,OFFSET($Z$338,$B423,E$335-1)/SUMPRODUCT(--($D$335:$V$335=E$335),--($D725:$V725=1)),0)+SUM(E422)+IF(COUNTIF(E$641:E725,1)=1,5,0)+IF(COUNTIF(F423:$Z423,"&gt;"&amp;0)&gt;5,IF(MOD(COUNTIF(E$641:E725,1),7)=0,$C$4,0),0)</f>
        <v>987.346681231892</v>
      </c>
      <c r="F423" s="81" cm="1">
        <f ca="1" t="array" ref="F423">IF(F725=1,OFFSET($Z$338,$B423,F$335-1)/SUMPRODUCT(--($D$335:$V$335=F$335),--($D725:$V725=1)),0)+SUM(F422)+IF(COUNTIF(F$641:F725,1)=1,5,0)+IF(COUNTIF(G423:$Z423,"&gt;"&amp;0)&gt;5,IF(MOD(COUNTIF(F$641:F725,1),7)=0,$C$4,0),0)</f>
        <v>987.346681231892</v>
      </c>
      <c r="G423" s="81" cm="1">
        <f ca="1" t="array" ref="G423">IF(G725=1,OFFSET($Z$338,$B423,G$335-1)/SUMPRODUCT(--($D$335:$V$335=G$335),--($D725:$V725=1)),0)+SUM(G422)+IF(COUNTIF(G$641:G725,1)=1,5,0)+IF(COUNTIF(H423:$Z423,"&gt;"&amp;0)&gt;5,IF(MOD(COUNTIF(G$641:G725,1),7)=0,$C$4,0),0)</f>
        <v>353.883333333334</v>
      </c>
      <c r="H423" s="81" cm="1">
        <f ca="1" t="array" ref="H423">IF(H725=1,OFFSET($Z$338,$B423,H$335-1)/SUMPRODUCT(--($D$335:$V$335=H$335),--($D725:$V725=1)),0)+SUM(H422)+IF(COUNTIF(H$641:H725,1)=1,5,0)+IF(COUNTIF(I423:$Z423,"&gt;"&amp;0)&gt;5,IF(MOD(COUNTIF(H$641:H725,1),7)=0,$C$4,0),0)</f>
        <v>353.883333333334</v>
      </c>
      <c r="I423" s="81" cm="1">
        <f ca="1" t="array" ref="I423">IF(I725=1,OFFSET($Z$338,$B423,I$335-1)/SUMPRODUCT(--($D$335:$V$335=I$335),--($D725:$V725=1)),0)+SUM(I422)+IF(COUNTIF(I$641:I725,1)=1,5,0)+IF(COUNTIF(J423:$Z423,"&gt;"&amp;0)&gt;5,IF(MOD(COUNTIF(I$641:I725,1),7)=0,$C$4,0),0)</f>
        <v>353.883333333334</v>
      </c>
      <c r="J423" s="81" cm="1">
        <f ca="1" t="array" ref="J423">IF(J725=1,OFFSET($Z$338,$B423,J$335-1)/SUMPRODUCT(--($D$335:$V$335=J$335),--($D725:$V725=1)),0)+SUM(J422)+IF(COUNTIF(J$641:J725,1)=1,5,0)+IF(COUNTIF(K423:$Z423,"&gt;"&amp;0)&gt;5,IF(MOD(COUNTIF(J$641:J725,1),7)=0,$C$4,0),0)</f>
        <v>353.883333333334</v>
      </c>
      <c r="K423" s="81" cm="1">
        <f ca="1" t="array" ref="K423">IF(K725=1,OFFSET($Z$338,$B423,K$335-1)/SUMPRODUCT(--($D$335:$V$335=K$335),--($D725:$V725=1)),0)+SUM(K422)+IF(COUNTIF(K$641:K725,1)=1,5,0)+IF(COUNTIF(L423:$Z423,"&gt;"&amp;0)&gt;5,IF(MOD(COUNTIF(K$641:K725,1),7)=0,$C$4,0),0)</f>
        <v>353.883333333334</v>
      </c>
      <c r="L423" s="81" cm="1">
        <f ca="1" t="array" ref="L423">IF(L725=1,OFFSET($Z$338,$B423,L$335-1)/SUMPRODUCT(--($D$335:$V$335=L$335),--($D725:$V725=1)),0)+SUM(L422)+IF(COUNTIF(L$641:L725,1)=1,5,0)+IF(COUNTIF(M423:$Z423,"&gt;"&amp;0)&gt;5,IF(MOD(COUNTIF(L$641:L725,1),7)=0,$C$4,0),0)</f>
        <v>347.183333333334</v>
      </c>
      <c r="M423" s="81" cm="1">
        <f ca="1" t="array" ref="M423">IF(M725=1,OFFSET($Z$338,$B423,M$335-1)/SUMPRODUCT(--($D$335:$V$335=M$335),--($D725:$V725=1)),0)+SUM(M422)+IF(COUNTIF(M$641:M725,1)=1,5,0)+IF(COUNTIF(N423:$Z423,"&gt;"&amp;0)&gt;5,IF(MOD(COUNTIF(M$641:M725,1),7)=0,$C$4,0),0)</f>
        <v>166.944107142857</v>
      </c>
      <c r="N423" s="81" cm="1">
        <f ca="1" t="array" ref="N423">IF(N725=1,OFFSET($Z$338,$B423,N$335-1)/SUMPRODUCT(--($D$335:$V$335=N$335),--($D725:$V725=1)),0)+SUM(N422)+IF(COUNTIF(N$641:N725,1)=1,5,0)+IF(COUNTIF(O423:$Z423,"&gt;"&amp;0)&gt;5,IF(MOD(COUNTIF(N$641:N725,1),7)=0,$C$4,0),0)</f>
        <v>154.219107142857</v>
      </c>
      <c r="O423" s="81" cm="1">
        <f ca="1" t="array" ref="O423">IF(O725=1,OFFSET($Z$338,$B423,O$335-1)/SUMPRODUCT(--($D$335:$V$335=O$335),--($D725:$V725=1)),0)+SUM(O422)+IF(COUNTIF(O$641:O725,1)=1,5,0)+IF(COUNTIF(P423:$Z423,"&gt;"&amp;0)&gt;5,IF(MOD(COUNTIF(O$641:O725,1),7)=0,$C$4,0),0)</f>
        <v>151.794107142857</v>
      </c>
      <c r="P423" s="81" cm="1">
        <f ca="1" t="array" ref="P423">IF(P725=1,OFFSET($Z$338,$B423,P$335-1)/SUMPRODUCT(--($D$335:$V$335=P$335),--($D725:$V725=1)),0)+SUM(P422)+IF(COUNTIF(P$641:P725,1)=1,5,0)+IF(COUNTIF(Q423:$Z423,"&gt;"&amp;0)&gt;5,IF(MOD(COUNTIF(P$641:P725,1),7)=0,$C$4,0),0)</f>
        <v>148.860773809524</v>
      </c>
      <c r="Q423" s="81" cm="1">
        <f ca="1" t="array" ref="Q423">IF(Q725=1,OFFSET($Z$338,$B423,Q$335-1)/SUMPRODUCT(--($D$335:$V$335=Q$335),--($D725:$V725=1)),0)+SUM(Q422)+IF(COUNTIF(Q$641:Q725,1)=1,5,0)+IF(COUNTIF(R423:$Z423,"&gt;"&amp;0)&gt;5,IF(MOD(COUNTIF(Q$641:Q725,1),7)=0,$C$4,0),0)</f>
        <v>147.954523809524</v>
      </c>
      <c r="R423" s="81" cm="1">
        <f ca="1" t="array" ref="R423">IF(R725=1,OFFSET($Z$338,$B423,R$335-1)/SUMPRODUCT(--($D$335:$V$335=R$335),--($D725:$V725=1)),0)+SUM(R422)+IF(COUNTIF(R$641:R725,1)=1,5,0)+IF(COUNTIF(S423:$Z423,"&gt;"&amp;0)&gt;5,IF(MOD(COUNTIF(R$641:R725,1),7)=0,$C$4,0),0)</f>
        <v>123.059523809524</v>
      </c>
      <c r="S423" s="81" cm="1">
        <f ca="1" t="array" ref="S423">IF(S725=1,OFFSET($Z$338,$B423,S$335-1)/SUMPRODUCT(--($D$335:$V$335=S$335),--($D725:$V725=1)),0)+SUM(S422)+IF(COUNTIF(S$641:S725,1)=1,5,0)+IF(COUNTIF(T423:$Z423,"&gt;"&amp;0)&gt;5,IF(MOD(COUNTIF(S$641:S725,1),7)=0,$C$4,0),0)</f>
        <v>113.892857142857</v>
      </c>
      <c r="T423" s="81" cm="1">
        <f ca="1" t="array" ref="T423">IF(T725=1,OFFSET($Z$338,$B423,T$335-1)/SUMPRODUCT(--($D$335:$V$335=T$335),--($D725:$V725=1)),0)+SUM(T422)+IF(COUNTIF(T$641:T725,1)=1,5,0)+IF(COUNTIF(U423:$Z423,"&gt;"&amp;0)&gt;5,IF(MOD(COUNTIF(T$641:T725,1),7)=0,$C$4,0),0)</f>
        <v>81.8642584978682</v>
      </c>
      <c r="U423" s="81" cm="1">
        <f ca="1" t="array" ref="U423">IF(U725=1,OFFSET($Z$338,$B423,U$335-1)/SUMPRODUCT(--($D$335:$V$335=U$335),--($D725:$V725=1)),0)+SUM(U422)+IF(COUNTIF(U$641:U725,1)=1,5,0)+IF(COUNTIF(V423:$Z423,"&gt;"&amp;0)&gt;5,IF(MOD(COUNTIF(U$641:U725,1),7)=0,$C$4,0),0)</f>
        <v>61.8642584978682</v>
      </c>
      <c r="V423" s="81" cm="1">
        <f ca="1" t="array" ref="V423">IF(V725=1,OFFSET($Z$338,$B423,V$335-1)/SUMPRODUCT(--($D$335:$V$335=V$335),--($D725:$V725=1)),0)+SUM(V422)+IF(COUNTIF(V$641:V725,1)=1,5,0)+IF(COUNTIF(Z423:$Z423,"&gt;"&amp;0)&gt;5,IF(MOD(COUNTIF(V$641:V725,1),7)=0,$C$4,0),0)</f>
        <v>53.9064393085863</v>
      </c>
      <c r="W423" s="81" cm="1">
        <f ca="1" t="array" ref="W423">IF(W725=1,OFFSET($Z$338,$B423,W$335-1)/SUMPRODUCT(--($D$335:$V$335=W$335),--($D725:$V725=1)),0)+SUM(W422)+IF(COUNTIF(W$641:W725,1)=1,5,0)+IF(COUNTIF($Z423:AA423,"&gt;"&amp;0)&gt;5,IF(MOD(COUNTIF(W$641:W725,1),7)=0,$C$4,0),0)</f>
        <v>44.5505701936369</v>
      </c>
      <c r="X423" s="81" cm="1">
        <f ca="1" t="array" ref="X423">IF(X725=1,OFFSET($Z$338,$B423,X$335-1)/SUMPRODUCT(--($D$335:$V$335=X$335),--($D725:$V725=1)),0)+SUM(X422)+IF(COUNTIF(X$641:X725,1)=1,5,0)+IF(COUNTIF($Z423:AB423,"&gt;"&amp;0)&gt;5,IF(MOD(COUNTIF(X$641:X725,1),7)=0,$C$4,0),0)</f>
        <v>37.7869099030035</v>
      </c>
      <c r="Y423" s="81" cm="1">
        <f ca="1" t="array" ref="Y423">IF(Y725=1,OFFSET($Z$338,$B423,Y$335-1)/SUMPRODUCT(--($D$335:$V$335=Y$335),--($D725:$V725=1)),0)+SUM(Y422)+IF(COUNTIF(Y$641:Y725,1)=1,5,0)+IF(COUNTIF($Z423:AC423,"&gt;"&amp;0)&gt;5,IF(MOD(COUNTIF(Y$641:Y725,1),7)=0,$C$4,0),0)</f>
        <v>31.02324961237</v>
      </c>
      <c r="Z423" s="82" cm="1">
        <f ca="1" t="array" ref="Z423">SUMPRODUCT(TRANSPOSE($AD423:$AJ423),OFFSET($L$10:$L$16,0,Z$335-1))</f>
        <v>18.5352420711277</v>
      </c>
      <c r="AA423" s="82" cm="1">
        <f ca="1" t="array" ref="AA423">SUMPRODUCT(TRANSPOSE($AD423:$AJ423),OFFSET($L$10:$L$16,0,AA$335-1))</f>
        <v>22</v>
      </c>
      <c r="AB423" s="82" cm="1">
        <f ca="1" t="array" ref="AB423">SUMPRODUCT(TRANSPOSE($AD423:$AJ423),OFFSET($L$10:$L$16,0,AB$335-1))</f>
        <v>11</v>
      </c>
      <c r="AC423" s="82" cm="1">
        <f ca="1" t="array" ref="AC423">SUMPRODUCT(TRANSPOSE($AD423:$AJ423),OFFSET($L$10:$L$16,0,AC$335-1))</f>
        <v>3.46475792887232</v>
      </c>
      <c r="AD423" s="83">
        <f ca="1" t="shared" ref="AD423:AJ423" si="491">AK423-AK422</f>
        <v>0</v>
      </c>
      <c r="AE423" s="83">
        <f ca="1" t="shared" si="491"/>
        <v>0</v>
      </c>
      <c r="AF423" s="83">
        <f ca="1" t="shared" si="491"/>
        <v>0</v>
      </c>
      <c r="AG423" s="83">
        <f ca="1" t="shared" si="491"/>
        <v>0</v>
      </c>
      <c r="AH423" s="83">
        <f ca="1" t="shared" si="491"/>
        <v>0</v>
      </c>
      <c r="AI423" s="83">
        <f ca="1" t="shared" si="491"/>
        <v>110</v>
      </c>
      <c r="AJ423" s="83">
        <f ca="1" t="shared" si="491"/>
        <v>0</v>
      </c>
      <c r="AK423" s="83">
        <f ca="1" t="shared" si="451"/>
        <v>450</v>
      </c>
      <c r="AL423" s="83">
        <f ca="1" t="shared" ref="AL423:AQ423" si="492">IF($C423&gt;OFFSET($Q$9,MATCH(AL$338,$AK$338:$AQ$338,0),0),OFFSET($P$9,MATCH(AL$338,$AK$338:$AQ$338,0),0),MAX(0,$C423-OFFSET($Q$9,RIGHT(AL$338,1)-1,0)))</f>
        <v>909</v>
      </c>
      <c r="AM423" s="83">
        <f ca="1" t="shared" si="492"/>
        <v>1818</v>
      </c>
      <c r="AN423" s="83">
        <f ca="1" t="shared" si="492"/>
        <v>2727</v>
      </c>
      <c r="AO423" s="83">
        <f ca="1" t="shared" si="492"/>
        <v>3636</v>
      </c>
      <c r="AP423" s="83">
        <f ca="1" t="shared" si="492"/>
        <v>1136</v>
      </c>
      <c r="AQ423" s="83">
        <f ca="1" t="shared" si="492"/>
        <v>0</v>
      </c>
    </row>
    <row r="424" ht="16.5" spans="2:43">
      <c r="B424" s="65">
        <v>86</v>
      </c>
      <c r="C424" s="80">
        <f t="shared" si="449"/>
        <v>10786</v>
      </c>
      <c r="D424" s="81" cm="1">
        <f ca="1" t="array" ref="D424">IF(D726=1,OFFSET($Z$338,$B424,D$335-1)/SUMPRODUCT(--($D$335:$V$335=D$335),--($D726:$V726=1)),0)+SUM(D423)+IF(COUNTIF(D$641:D726,1)=1,5,0)+IF(COUNTIF(E424:$Z424,"&gt;"&amp;0)&gt;5,IF(MOD(COUNTIF(D$641:D726,1),7)=0,$C$4,0),0)</f>
        <v>993.525095255602</v>
      </c>
      <c r="E424" s="81" cm="1">
        <f ca="1" t="array" ref="E424">IF(E726=1,OFFSET($Z$338,$B424,E$335-1)/SUMPRODUCT(--($D$335:$V$335=E$335),--($D726:$V726=1)),0)+SUM(E423)+IF(COUNTIF(E$641:E726,1)=1,5,0)+IF(COUNTIF(F424:$Z424,"&gt;"&amp;0)&gt;5,IF(MOD(COUNTIF(E$641:E726,1),7)=0,$C$4,0),0)</f>
        <v>993.525095255602</v>
      </c>
      <c r="F424" s="81" cm="1">
        <f ca="1" t="array" ref="F424">IF(F726=1,OFFSET($Z$338,$B424,F$335-1)/SUMPRODUCT(--($D$335:$V$335=F$335),--($D726:$V726=1)),0)+SUM(F423)+IF(COUNTIF(F$641:F726,1)=1,5,0)+IF(COUNTIF(G424:$Z424,"&gt;"&amp;0)&gt;5,IF(MOD(COUNTIF(F$641:F726,1),7)=0,$C$4,0),0)</f>
        <v>993.525095255602</v>
      </c>
      <c r="G424" s="81" cm="1">
        <f ca="1" t="array" ref="G424">IF(G726=1,OFFSET($Z$338,$B424,G$335-1)/SUMPRODUCT(--($D$335:$V$335=G$335),--($D726:$V726=1)),0)+SUM(G423)+IF(COUNTIF(G$641:G726,1)=1,5,0)+IF(COUNTIF(H424:$Z424,"&gt;"&amp;0)&gt;5,IF(MOD(COUNTIF(G$641:G726,1),7)=0,$C$4,0),0)</f>
        <v>357.550000000001</v>
      </c>
      <c r="H424" s="81" cm="1">
        <f ca="1" t="array" ref="H424">IF(H726=1,OFFSET($Z$338,$B424,H$335-1)/SUMPRODUCT(--($D$335:$V$335=H$335),--($D726:$V726=1)),0)+SUM(H423)+IF(COUNTIF(H$641:H726,1)=1,5,0)+IF(COUNTIF(I424:$Z424,"&gt;"&amp;0)&gt;5,IF(MOD(COUNTIF(H$641:H726,1),7)=0,$C$4,0),0)</f>
        <v>357.550000000001</v>
      </c>
      <c r="I424" s="81" cm="1">
        <f ca="1" t="array" ref="I424">IF(I726=1,OFFSET($Z$338,$B424,I$335-1)/SUMPRODUCT(--($D$335:$V$335=I$335),--($D726:$V726=1)),0)+SUM(I423)+IF(COUNTIF(I$641:I726,1)=1,5,0)+IF(COUNTIF(J424:$Z424,"&gt;"&amp;0)&gt;5,IF(MOD(COUNTIF(I$641:I726,1),7)=0,$C$4,0),0)</f>
        <v>357.550000000001</v>
      </c>
      <c r="J424" s="81" cm="1">
        <f ca="1" t="array" ref="J424">IF(J726=1,OFFSET($Z$338,$B424,J$335-1)/SUMPRODUCT(--($D$335:$V$335=J$335),--($D726:$V726=1)),0)+SUM(J423)+IF(COUNTIF(J$641:J726,1)=1,5,0)+IF(COUNTIF(K424:$Z424,"&gt;"&amp;0)&gt;5,IF(MOD(COUNTIF(J$641:J726,1),7)=0,$C$4,0),0)</f>
        <v>357.550000000001</v>
      </c>
      <c r="K424" s="81" cm="1">
        <f ca="1" t="array" ref="K424">IF(K726=1,OFFSET($Z$338,$B424,K$335-1)/SUMPRODUCT(--($D$335:$V$335=K$335),--($D726:$V726=1)),0)+SUM(K423)+IF(COUNTIF(K$641:K726,1)=1,5,0)+IF(COUNTIF(L424:$Z424,"&gt;"&amp;0)&gt;5,IF(MOD(COUNTIF(K$641:K726,1),7)=0,$C$4,0),0)</f>
        <v>357.550000000001</v>
      </c>
      <c r="L424" s="81" cm="1">
        <f ca="1" t="array" ref="L424">IF(L726=1,OFFSET($Z$338,$B424,L$335-1)/SUMPRODUCT(--($D$335:$V$335=L$335),--($D726:$V726=1)),0)+SUM(L423)+IF(COUNTIF(L$641:L726,1)=1,5,0)+IF(COUNTIF(M424:$Z424,"&gt;"&amp;0)&gt;5,IF(MOD(COUNTIF(L$641:L726,1),7)=0,$C$4,0),0)</f>
        <v>350.850000000001</v>
      </c>
      <c r="M424" s="81" cm="1">
        <f ca="1" t="array" ref="M424">IF(M726=1,OFFSET($Z$338,$B424,M$335-1)/SUMPRODUCT(--($D$335:$V$335=M$335),--($D726:$V726=1)),0)+SUM(M423)+IF(COUNTIF(M$641:M726,1)=1,5,0)+IF(COUNTIF(N424:$Z424,"&gt;"&amp;0)&gt;5,IF(MOD(COUNTIF(M$641:M726,1),7)=0,$C$4,0),0)</f>
        <v>168.515535714286</v>
      </c>
      <c r="N424" s="81" cm="1">
        <f ca="1" t="array" ref="N424">IF(N726=1,OFFSET($Z$338,$B424,N$335-1)/SUMPRODUCT(--($D$335:$V$335=N$335),--($D726:$V726=1)),0)+SUM(N423)+IF(COUNTIF(N$641:N726,1)=1,5,0)+IF(COUNTIF(O424:$Z424,"&gt;"&amp;0)&gt;5,IF(MOD(COUNTIF(N$641:N726,1),7)=0,$C$4,0),0)</f>
        <v>160.790535714286</v>
      </c>
      <c r="O424" s="81" cm="1">
        <f ca="1" t="array" ref="O424">IF(O726=1,OFFSET($Z$338,$B424,O$335-1)/SUMPRODUCT(--($D$335:$V$335=O$335),--($D726:$V726=1)),0)+SUM(O423)+IF(COUNTIF(O$641:O726,1)=1,5,0)+IF(COUNTIF(P424:$Z424,"&gt;"&amp;0)&gt;5,IF(MOD(COUNTIF(O$641:O726,1),7)=0,$C$4,0),0)</f>
        <v>153.365535714286</v>
      </c>
      <c r="P424" s="81" cm="1">
        <f ca="1" t="array" ref="P424">IF(P726=1,OFFSET($Z$338,$B424,P$335-1)/SUMPRODUCT(--($D$335:$V$335=P$335),--($D726:$V726=1)),0)+SUM(P423)+IF(COUNTIF(P$641:P726,1)=1,5,0)+IF(COUNTIF(Q424:$Z424,"&gt;"&amp;0)&gt;5,IF(MOD(COUNTIF(P$641:P726,1),7)=0,$C$4,0),0)</f>
        <v>150.432202380952</v>
      </c>
      <c r="Q424" s="81" cm="1">
        <f ca="1" t="array" ref="Q424">IF(Q726=1,OFFSET($Z$338,$B424,Q$335-1)/SUMPRODUCT(--($D$335:$V$335=Q$335),--($D726:$V726=1)),0)+SUM(Q423)+IF(COUNTIF(Q$641:Q726,1)=1,5,0)+IF(COUNTIF(R424:$Z424,"&gt;"&amp;0)&gt;5,IF(MOD(COUNTIF(Q$641:Q726,1),7)=0,$C$4,0),0)</f>
        <v>149.525952380952</v>
      </c>
      <c r="R424" s="81" cm="1">
        <f ca="1" t="array" ref="R424">IF(R726=1,OFFSET($Z$338,$B424,R$335-1)/SUMPRODUCT(--($D$335:$V$335=R$335),--($D726:$V726=1)),0)+SUM(R423)+IF(COUNTIF(R$641:R726,1)=1,5,0)+IF(COUNTIF(S424:$Z424,"&gt;"&amp;0)&gt;5,IF(MOD(COUNTIF(R$641:R726,1),7)=0,$C$4,0),0)</f>
        <v>124.630952380952</v>
      </c>
      <c r="S424" s="81" cm="1">
        <f ca="1" t="array" ref="S424">IF(S726=1,OFFSET($Z$338,$B424,S$335-1)/SUMPRODUCT(--($D$335:$V$335=S$335),--($D726:$V726=1)),0)+SUM(S423)+IF(COUNTIF(S$641:S726,1)=1,5,0)+IF(COUNTIF(T424:$Z424,"&gt;"&amp;0)&gt;5,IF(MOD(COUNTIF(S$641:S726,1),7)=0,$C$4,0),0)</f>
        <v>115.464285714286</v>
      </c>
      <c r="T424" s="81" cm="1">
        <f ca="1" t="array" ref="T424">IF(T726=1,OFFSET($Z$338,$B424,T$335-1)/SUMPRODUCT(--($D$335:$V$335=T$335),--($D726:$V726=1)),0)+SUM(T423)+IF(COUNTIF(T$641:T726,1)=1,5,0)+IF(COUNTIF(U424:$Z424,"&gt;"&amp;0)&gt;5,IF(MOD(COUNTIF(T$641:T726,1),7)=0,$C$4,0),0)</f>
        <v>83.0191778074923</v>
      </c>
      <c r="U424" s="81" cm="1">
        <f ca="1" t="array" ref="U424">IF(U726=1,OFFSET($Z$338,$B424,U$335-1)/SUMPRODUCT(--($D$335:$V$335=U$335),--($D726:$V726=1)),0)+SUM(U423)+IF(COUNTIF(U$641:U726,1)=1,5,0)+IF(COUNTIF(V424:$Z424,"&gt;"&amp;0)&gt;5,IF(MOD(COUNTIF(U$641:U726,1),7)=0,$C$4,0),0)</f>
        <v>63.0191778074923</v>
      </c>
      <c r="V424" s="81" cm="1">
        <f ca="1" t="array" ref="V424">IF(V726=1,OFFSET($Z$338,$B424,V$335-1)/SUMPRODUCT(--($D$335:$V$335=V$335),--($D726:$V726=1)),0)+SUM(V423)+IF(COUNTIF(V$641:V726,1)=1,5,0)+IF(COUNTIF(Z424:$Z424,"&gt;"&amp;0)&gt;5,IF(MOD(COUNTIF(V$641:V726,1),7)=0,$C$4,0),0)</f>
        <v>55.0613586182104</v>
      </c>
      <c r="W424" s="81" cm="1">
        <f ca="1" t="array" ref="W424">IF(W726=1,OFFSET($Z$338,$B424,W$335-1)/SUMPRODUCT(--($D$335:$V$335=W$335),--($D726:$V726=1)),0)+SUM(W423)+IF(COUNTIF(W$641:W726,1)=1,5,0)+IF(COUNTIF($Z424:AA424,"&gt;"&amp;0)&gt;5,IF(MOD(COUNTIF(W$641:W726,1),7)=0,$C$4,0),0)</f>
        <v>45.705489503261</v>
      </c>
      <c r="X424" s="81" cm="1">
        <f ca="1" t="array" ref="X424">IF(X726=1,OFFSET($Z$338,$B424,X$335-1)/SUMPRODUCT(--($D$335:$V$335=X$335),--($D726:$V726=1)),0)+SUM(X423)+IF(COUNTIF(X$641:X726,1)=1,5,0)+IF(COUNTIF($Z424:AB424,"&gt;"&amp;0)&gt;5,IF(MOD(COUNTIF(X$641:X726,1),7)=0,$C$4,0),0)</f>
        <v>38.9418292126276</v>
      </c>
      <c r="Y424" s="81" cm="1">
        <f ca="1" t="array" ref="Y424">IF(Y726=1,OFFSET($Z$338,$B424,Y$335-1)/SUMPRODUCT(--($D$335:$V$335=Y$335),--($D726:$V726=1)),0)+SUM(Y423)+IF(COUNTIF(Y$641:Y726,1)=1,5,0)+IF(COUNTIF($Z424:AC424,"&gt;"&amp;0)&gt;5,IF(MOD(COUNTIF(Y$641:Y726,1),7)=0,$C$4,0),0)</f>
        <v>32.1781689219941</v>
      </c>
      <c r="Z424" s="82" cm="1">
        <f ca="1" t="array" ref="Z424">SUMPRODUCT(TRANSPOSE($AD424:$AJ424),OFFSET($L$10:$L$16,0,Z$335-1))</f>
        <v>18.5352420711277</v>
      </c>
      <c r="AA424" s="82" cm="1">
        <f ca="1" t="array" ref="AA424">SUMPRODUCT(TRANSPOSE($AD424:$AJ424),OFFSET($L$10:$L$16,0,AA$335-1))</f>
        <v>22</v>
      </c>
      <c r="AB424" s="82" cm="1">
        <f ca="1" t="array" ref="AB424">SUMPRODUCT(TRANSPOSE($AD424:$AJ424),OFFSET($L$10:$L$16,0,AB$335-1))</f>
        <v>11</v>
      </c>
      <c r="AC424" s="82" cm="1">
        <f ca="1" t="array" ref="AC424">SUMPRODUCT(TRANSPOSE($AD424:$AJ424),OFFSET($L$10:$L$16,0,AC$335-1))</f>
        <v>3.46475792887232</v>
      </c>
      <c r="AD424" s="83">
        <f ca="1" t="shared" ref="AD424:AJ424" si="493">AK424-AK423</f>
        <v>0</v>
      </c>
      <c r="AE424" s="83">
        <f ca="1" t="shared" si="493"/>
        <v>0</v>
      </c>
      <c r="AF424" s="83">
        <f ca="1" t="shared" si="493"/>
        <v>0</v>
      </c>
      <c r="AG424" s="83">
        <f ca="1" t="shared" si="493"/>
        <v>0</v>
      </c>
      <c r="AH424" s="83">
        <f ca="1" t="shared" si="493"/>
        <v>0</v>
      </c>
      <c r="AI424" s="83">
        <f ca="1" t="shared" si="493"/>
        <v>110</v>
      </c>
      <c r="AJ424" s="83">
        <f ca="1" t="shared" si="493"/>
        <v>0</v>
      </c>
      <c r="AK424" s="83">
        <f ca="1" t="shared" si="451"/>
        <v>450</v>
      </c>
      <c r="AL424" s="83">
        <f ca="1" t="shared" ref="AL424:AQ424" si="494">IF($C424&gt;OFFSET($Q$9,MATCH(AL$338,$AK$338:$AQ$338,0),0),OFFSET($P$9,MATCH(AL$338,$AK$338:$AQ$338,0),0),MAX(0,$C424-OFFSET($Q$9,RIGHT(AL$338,1)-1,0)))</f>
        <v>909</v>
      </c>
      <c r="AM424" s="83">
        <f ca="1" t="shared" si="494"/>
        <v>1818</v>
      </c>
      <c r="AN424" s="83">
        <f ca="1" t="shared" si="494"/>
        <v>2727</v>
      </c>
      <c r="AO424" s="83">
        <f ca="1" t="shared" si="494"/>
        <v>3636</v>
      </c>
      <c r="AP424" s="83">
        <f ca="1" t="shared" si="494"/>
        <v>1246</v>
      </c>
      <c r="AQ424" s="83">
        <f ca="1" t="shared" si="494"/>
        <v>0</v>
      </c>
    </row>
    <row r="425" ht="16.5" spans="2:43">
      <c r="B425" s="65">
        <v>87</v>
      </c>
      <c r="C425" s="80">
        <f t="shared" si="449"/>
        <v>10896</v>
      </c>
      <c r="D425" s="81" cm="1">
        <f ca="1" t="array" ref="D425">IF(D727=1,OFFSET($Z$338,$B425,D$335-1)/SUMPRODUCT(--($D$335:$V$335=D$335),--($D727:$V727=1)),0)+SUM(D424)+IF(COUNTIF(D$641:D727,1)=1,5,0)+IF(COUNTIF(E425:$Z425,"&gt;"&amp;0)&gt;5,IF(MOD(COUNTIF(D$641:D727,1),7)=0,$C$4,0),0)</f>
        <v>999.703509279311</v>
      </c>
      <c r="E425" s="81" cm="1">
        <f ca="1" t="array" ref="E425">IF(E727=1,OFFSET($Z$338,$B425,E$335-1)/SUMPRODUCT(--($D$335:$V$335=E$335),--($D727:$V727=1)),0)+SUM(E424)+IF(COUNTIF(E$641:E727,1)=1,5,0)+IF(COUNTIF(F425:$Z425,"&gt;"&amp;0)&gt;5,IF(MOD(COUNTIF(E$641:E727,1),7)=0,$C$4,0),0)</f>
        <v>999.703509279311</v>
      </c>
      <c r="F425" s="81" cm="1">
        <f ca="1" t="array" ref="F425">IF(F727=1,OFFSET($Z$338,$B425,F$335-1)/SUMPRODUCT(--($D$335:$V$335=F$335),--($D727:$V727=1)),0)+SUM(F424)+IF(COUNTIF(F$641:F727,1)=1,5,0)+IF(COUNTIF(G425:$Z425,"&gt;"&amp;0)&gt;5,IF(MOD(COUNTIF(F$641:F727,1),7)=0,$C$4,0),0)</f>
        <v>999.703509279311</v>
      </c>
      <c r="G425" s="81" cm="1">
        <f ca="1" t="array" ref="G425">IF(G727=1,OFFSET($Z$338,$B425,G$335-1)/SUMPRODUCT(--($D$335:$V$335=G$335),--($D727:$V727=1)),0)+SUM(G424)+IF(COUNTIF(G$641:G727,1)=1,5,0)+IF(COUNTIF(H425:$Z425,"&gt;"&amp;0)&gt;5,IF(MOD(COUNTIF(G$641:G727,1),7)=0,$C$4,0),0)</f>
        <v>361.216666666667</v>
      </c>
      <c r="H425" s="81" cm="1">
        <f ca="1" t="array" ref="H425">IF(H727=1,OFFSET($Z$338,$B425,H$335-1)/SUMPRODUCT(--($D$335:$V$335=H$335),--($D727:$V727=1)),0)+SUM(H424)+IF(COUNTIF(H$641:H727,1)=1,5,0)+IF(COUNTIF(I425:$Z425,"&gt;"&amp;0)&gt;5,IF(MOD(COUNTIF(H$641:H727,1),7)=0,$C$4,0),0)</f>
        <v>361.216666666667</v>
      </c>
      <c r="I425" s="81" cm="1">
        <f ca="1" t="array" ref="I425">IF(I727=1,OFFSET($Z$338,$B425,I$335-1)/SUMPRODUCT(--($D$335:$V$335=I$335),--($D727:$V727=1)),0)+SUM(I424)+IF(COUNTIF(I$641:I727,1)=1,5,0)+IF(COUNTIF(J425:$Z425,"&gt;"&amp;0)&gt;5,IF(MOD(COUNTIF(I$641:I727,1),7)=0,$C$4,0),0)</f>
        <v>361.216666666667</v>
      </c>
      <c r="J425" s="81" cm="1">
        <f ca="1" t="array" ref="J425">IF(J727=1,OFFSET($Z$338,$B425,J$335-1)/SUMPRODUCT(--($D$335:$V$335=J$335),--($D727:$V727=1)),0)+SUM(J424)+IF(COUNTIF(J$641:J727,1)=1,5,0)+IF(COUNTIF(K425:$Z425,"&gt;"&amp;0)&gt;5,IF(MOD(COUNTIF(J$641:J727,1),7)=0,$C$4,0),0)</f>
        <v>361.216666666667</v>
      </c>
      <c r="K425" s="81" cm="1">
        <f ca="1" t="array" ref="K425">IF(K727=1,OFFSET($Z$338,$B425,K$335-1)/SUMPRODUCT(--($D$335:$V$335=K$335),--($D727:$V727=1)),0)+SUM(K424)+IF(COUNTIF(K$641:K727,1)=1,5,0)+IF(COUNTIF(L425:$Z425,"&gt;"&amp;0)&gt;5,IF(MOD(COUNTIF(K$641:K727,1),7)=0,$C$4,0),0)</f>
        <v>361.216666666667</v>
      </c>
      <c r="L425" s="81" cm="1">
        <f ca="1" t="array" ref="L425">IF(L727=1,OFFSET($Z$338,$B425,L$335-1)/SUMPRODUCT(--($D$335:$V$335=L$335),--($D727:$V727=1)),0)+SUM(L424)+IF(COUNTIF(L$641:L727,1)=1,5,0)+IF(COUNTIF(M425:$Z425,"&gt;"&amp;0)&gt;5,IF(MOD(COUNTIF(L$641:L727,1),7)=0,$C$4,0),0)</f>
        <v>354.516666666667</v>
      </c>
      <c r="M425" s="81" cm="1">
        <f ca="1" t="array" ref="M425">IF(M727=1,OFFSET($Z$338,$B425,M$335-1)/SUMPRODUCT(--($D$335:$V$335=M$335),--($D727:$V727=1)),0)+SUM(M424)+IF(COUNTIF(M$641:M727,1)=1,5,0)+IF(COUNTIF(N425:$Z425,"&gt;"&amp;0)&gt;5,IF(MOD(COUNTIF(M$641:M727,1),7)=0,$C$4,0),0)</f>
        <v>170.086964285714</v>
      </c>
      <c r="N425" s="81" cm="1">
        <f ca="1" t="array" ref="N425">IF(N727=1,OFFSET($Z$338,$B425,N$335-1)/SUMPRODUCT(--($D$335:$V$335=N$335),--($D727:$V727=1)),0)+SUM(N424)+IF(COUNTIF(N$641:N727,1)=1,5,0)+IF(COUNTIF(O425:$Z425,"&gt;"&amp;0)&gt;5,IF(MOD(COUNTIF(N$641:N727,1),7)=0,$C$4,0),0)</f>
        <v>162.361964285714</v>
      </c>
      <c r="O425" s="81" cm="1">
        <f ca="1" t="array" ref="O425">IF(O727=1,OFFSET($Z$338,$B425,O$335-1)/SUMPRODUCT(--($D$335:$V$335=O$335),--($D727:$V727=1)),0)+SUM(O424)+IF(COUNTIF(O$641:O727,1)=1,5,0)+IF(COUNTIF(P425:$Z425,"&gt;"&amp;0)&gt;5,IF(MOD(COUNTIF(O$641:O727,1),7)=0,$C$4,0),0)</f>
        <v>159.936964285714</v>
      </c>
      <c r="P425" s="81" cm="1">
        <f ca="1" t="array" ref="P425">IF(P727=1,OFFSET($Z$338,$B425,P$335-1)/SUMPRODUCT(--($D$335:$V$335=P$335),--($D727:$V727=1)),0)+SUM(P424)+IF(COUNTIF(P$641:P727,1)=1,5,0)+IF(COUNTIF(Q425:$Z425,"&gt;"&amp;0)&gt;5,IF(MOD(COUNTIF(P$641:P727,1),7)=0,$C$4,0),0)</f>
        <v>152.003630952381</v>
      </c>
      <c r="Q425" s="81" cm="1">
        <f ca="1" t="array" ref="Q425">IF(Q727=1,OFFSET($Z$338,$B425,Q$335-1)/SUMPRODUCT(--($D$335:$V$335=Q$335),--($D727:$V727=1)),0)+SUM(Q424)+IF(COUNTIF(Q$641:Q727,1)=1,5,0)+IF(COUNTIF(R425:$Z425,"&gt;"&amp;0)&gt;5,IF(MOD(COUNTIF(Q$641:Q727,1),7)=0,$C$4,0),0)</f>
        <v>151.097380952381</v>
      </c>
      <c r="R425" s="81" cm="1">
        <f ca="1" t="array" ref="R425">IF(R727=1,OFFSET($Z$338,$B425,R$335-1)/SUMPRODUCT(--($D$335:$V$335=R$335),--($D727:$V727=1)),0)+SUM(R424)+IF(COUNTIF(R$641:R727,1)=1,5,0)+IF(COUNTIF(S425:$Z425,"&gt;"&amp;0)&gt;5,IF(MOD(COUNTIF(R$641:R727,1),7)=0,$C$4,0),0)</f>
        <v>126.202380952381</v>
      </c>
      <c r="S425" s="81" cm="1">
        <f ca="1" t="array" ref="S425">IF(S727=1,OFFSET($Z$338,$B425,S$335-1)/SUMPRODUCT(--($D$335:$V$335=S$335),--($D727:$V727=1)),0)+SUM(S424)+IF(COUNTIF(S$641:S727,1)=1,5,0)+IF(COUNTIF(T425:$Z425,"&gt;"&amp;0)&gt;5,IF(MOD(COUNTIF(S$641:S727,1),7)=0,$C$4,0),0)</f>
        <v>117.035714285714</v>
      </c>
      <c r="T425" s="81" cm="1">
        <f ca="1" t="array" ref="T425">IF(T727=1,OFFSET($Z$338,$B425,T$335-1)/SUMPRODUCT(--($D$335:$V$335=T$335),--($D727:$V727=1)),0)+SUM(T424)+IF(COUNTIF(T$641:T727,1)=1,5,0)+IF(COUNTIF(U425:$Z425,"&gt;"&amp;0)&gt;5,IF(MOD(COUNTIF(T$641:T727,1),7)=0,$C$4,0),0)</f>
        <v>84.1740971171164</v>
      </c>
      <c r="U425" s="81" cm="1">
        <f ca="1" t="array" ref="U425">IF(U727=1,OFFSET($Z$338,$B425,U$335-1)/SUMPRODUCT(--($D$335:$V$335=U$335),--($D727:$V727=1)),0)+SUM(U424)+IF(COUNTIF(U$641:U727,1)=1,5,0)+IF(COUNTIF(V425:$Z425,"&gt;"&amp;0)&gt;5,IF(MOD(COUNTIF(U$641:U727,1),7)=0,$C$4,0),0)</f>
        <v>64.1740971171164</v>
      </c>
      <c r="V425" s="81" cm="1">
        <f ca="1" t="array" ref="V425">IF(V727=1,OFFSET($Z$338,$B425,V$335-1)/SUMPRODUCT(--($D$335:$V$335=V$335),--($D727:$V727=1)),0)+SUM(V424)+IF(COUNTIF(V$641:V727,1)=1,5,0)+IF(COUNTIF(Z425:$Z425,"&gt;"&amp;0)&gt;5,IF(MOD(COUNTIF(V$641:V727,1),7)=0,$C$4,0),0)</f>
        <v>56.2162779278345</v>
      </c>
      <c r="W425" s="81" cm="1">
        <f ca="1" t="array" ref="W425">IF(W727=1,OFFSET($Z$338,$B425,W$335-1)/SUMPRODUCT(--($D$335:$V$335=W$335),--($D727:$V727=1)),0)+SUM(W424)+IF(COUNTIF(W$641:W727,1)=1,5,0)+IF(COUNTIF($Z425:AA425,"&gt;"&amp;0)&gt;5,IF(MOD(COUNTIF(W$641:W727,1),7)=0,$C$4,0),0)</f>
        <v>46.8604088128852</v>
      </c>
      <c r="X425" s="81" cm="1">
        <f ca="1" t="array" ref="X425">IF(X727=1,OFFSET($Z$338,$B425,X$335-1)/SUMPRODUCT(--($D$335:$V$335=X$335),--($D727:$V727=1)),0)+SUM(X424)+IF(COUNTIF(X$641:X727,1)=1,5,0)+IF(COUNTIF($Z425:AB425,"&gt;"&amp;0)&gt;5,IF(MOD(COUNTIF(X$641:X727,1),7)=0,$C$4,0),0)</f>
        <v>40.0967485222517</v>
      </c>
      <c r="Y425" s="81" cm="1">
        <f ca="1" t="array" ref="Y425">IF(Y727=1,OFFSET($Z$338,$B425,Y$335-1)/SUMPRODUCT(--($D$335:$V$335=Y$335),--($D727:$V727=1)),0)+SUM(Y424)+IF(COUNTIF(Y$641:Y727,1)=1,5,0)+IF(COUNTIF($Z425:AC425,"&gt;"&amp;0)&gt;5,IF(MOD(COUNTIF(Y$641:Y727,1),7)=0,$C$4,0),0)</f>
        <v>33.3330882316182</v>
      </c>
      <c r="Z425" s="82" cm="1">
        <f ca="1" t="array" ref="Z425">SUMPRODUCT(TRANSPOSE($AD425:$AJ425),OFFSET($L$10:$L$16,0,Z$335-1))</f>
        <v>18.5352420711277</v>
      </c>
      <c r="AA425" s="82" cm="1">
        <f ca="1" t="array" ref="AA425">SUMPRODUCT(TRANSPOSE($AD425:$AJ425),OFFSET($L$10:$L$16,0,AA$335-1))</f>
        <v>22</v>
      </c>
      <c r="AB425" s="82" cm="1">
        <f ca="1" t="array" ref="AB425">SUMPRODUCT(TRANSPOSE($AD425:$AJ425),OFFSET($L$10:$L$16,0,AB$335-1))</f>
        <v>11</v>
      </c>
      <c r="AC425" s="82" cm="1">
        <f ca="1" t="array" ref="AC425">SUMPRODUCT(TRANSPOSE($AD425:$AJ425),OFFSET($L$10:$L$16,0,AC$335-1))</f>
        <v>3.46475792887232</v>
      </c>
      <c r="AD425" s="83">
        <f ca="1" t="shared" ref="AD425:AJ425" si="495">AK425-AK424</f>
        <v>0</v>
      </c>
      <c r="AE425" s="83">
        <f ca="1" t="shared" si="495"/>
        <v>0</v>
      </c>
      <c r="AF425" s="83">
        <f ca="1" t="shared" si="495"/>
        <v>0</v>
      </c>
      <c r="AG425" s="83">
        <f ca="1" t="shared" si="495"/>
        <v>0</v>
      </c>
      <c r="AH425" s="83">
        <f ca="1" t="shared" si="495"/>
        <v>0</v>
      </c>
      <c r="AI425" s="83">
        <f ca="1" t="shared" si="495"/>
        <v>110</v>
      </c>
      <c r="AJ425" s="83">
        <f ca="1" t="shared" si="495"/>
        <v>0</v>
      </c>
      <c r="AK425" s="83">
        <f ca="1" t="shared" si="451"/>
        <v>450</v>
      </c>
      <c r="AL425" s="83">
        <f ca="1" t="shared" ref="AL425:AQ425" si="496">IF($C425&gt;OFFSET($Q$9,MATCH(AL$338,$AK$338:$AQ$338,0),0),OFFSET($P$9,MATCH(AL$338,$AK$338:$AQ$338,0),0),MAX(0,$C425-OFFSET($Q$9,RIGHT(AL$338,1)-1,0)))</f>
        <v>909</v>
      </c>
      <c r="AM425" s="83">
        <f ca="1" t="shared" si="496"/>
        <v>1818</v>
      </c>
      <c r="AN425" s="83">
        <f ca="1" t="shared" si="496"/>
        <v>2727</v>
      </c>
      <c r="AO425" s="83">
        <f ca="1" t="shared" si="496"/>
        <v>3636</v>
      </c>
      <c r="AP425" s="83">
        <f ca="1" t="shared" si="496"/>
        <v>1356</v>
      </c>
      <c r="AQ425" s="83">
        <f ca="1" t="shared" si="496"/>
        <v>0</v>
      </c>
    </row>
    <row r="426" ht="16.5" spans="2:43">
      <c r="B426" s="65">
        <v>88</v>
      </c>
      <c r="C426" s="80">
        <f t="shared" si="449"/>
        <v>11006</v>
      </c>
      <c r="D426" s="81" cm="1">
        <f ca="1" t="array" ref="D426">IF(D728=1,OFFSET($Z$338,$B426,D$335-1)/SUMPRODUCT(--($D$335:$V$335=D$335),--($D728:$V728=1)),0)+SUM(D425)+IF(COUNTIF(D$641:D728,1)=1,5,0)+IF(COUNTIF(E426:$Z426,"&gt;"&amp;0)&gt;5,IF(MOD(COUNTIF(D$641:D728,1),7)=0,$C$4,0),0)</f>
        <v>1005.88192330302</v>
      </c>
      <c r="E426" s="81" cm="1">
        <f ca="1" t="array" ref="E426">IF(E728=1,OFFSET($Z$338,$B426,E$335-1)/SUMPRODUCT(--($D$335:$V$335=E$335),--($D728:$V728=1)),0)+SUM(E425)+IF(COUNTIF(E$641:E728,1)=1,5,0)+IF(COUNTIF(F426:$Z426,"&gt;"&amp;0)&gt;5,IF(MOD(COUNTIF(E$641:E728,1),7)=0,$C$4,0),0)</f>
        <v>1005.88192330302</v>
      </c>
      <c r="F426" s="81" cm="1">
        <f ca="1" t="array" ref="F426">IF(F728=1,OFFSET($Z$338,$B426,F$335-1)/SUMPRODUCT(--($D$335:$V$335=F$335),--($D728:$V728=1)),0)+SUM(F425)+IF(COUNTIF(F$641:F728,1)=1,5,0)+IF(COUNTIF(G426:$Z426,"&gt;"&amp;0)&gt;5,IF(MOD(COUNTIF(F$641:F728,1),7)=0,$C$4,0),0)</f>
        <v>1005.88192330302</v>
      </c>
      <c r="G426" s="81" cm="1">
        <f ca="1" t="array" ref="G426">IF(G728=1,OFFSET($Z$338,$B426,G$335-1)/SUMPRODUCT(--($D$335:$V$335=G$335),--($D728:$V728=1)),0)+SUM(G425)+IF(COUNTIF(G$641:G728,1)=1,5,0)+IF(COUNTIF(H426:$Z426,"&gt;"&amp;0)&gt;5,IF(MOD(COUNTIF(G$641:G728,1),7)=0,$C$4,0),0)</f>
        <v>364.883333333334</v>
      </c>
      <c r="H426" s="81" cm="1">
        <f ca="1" t="array" ref="H426">IF(H728=1,OFFSET($Z$338,$B426,H$335-1)/SUMPRODUCT(--($D$335:$V$335=H$335),--($D728:$V728=1)),0)+SUM(H425)+IF(COUNTIF(H$641:H728,1)=1,5,0)+IF(COUNTIF(I426:$Z426,"&gt;"&amp;0)&gt;5,IF(MOD(COUNTIF(H$641:H728,1),7)=0,$C$4,0),0)</f>
        <v>364.883333333334</v>
      </c>
      <c r="I426" s="81" cm="1">
        <f ca="1" t="array" ref="I426">IF(I728=1,OFFSET($Z$338,$B426,I$335-1)/SUMPRODUCT(--($D$335:$V$335=I$335),--($D728:$V728=1)),0)+SUM(I425)+IF(COUNTIF(I$641:I728,1)=1,5,0)+IF(COUNTIF(J426:$Z426,"&gt;"&amp;0)&gt;5,IF(MOD(COUNTIF(I$641:I728,1),7)=0,$C$4,0),0)</f>
        <v>364.883333333334</v>
      </c>
      <c r="J426" s="81" cm="1">
        <f ca="1" t="array" ref="J426">IF(J728=1,OFFSET($Z$338,$B426,J$335-1)/SUMPRODUCT(--($D$335:$V$335=J$335),--($D728:$V728=1)),0)+SUM(J425)+IF(COUNTIF(J$641:J728,1)=1,5,0)+IF(COUNTIF(K426:$Z426,"&gt;"&amp;0)&gt;5,IF(MOD(COUNTIF(J$641:J728,1),7)=0,$C$4,0),0)</f>
        <v>364.883333333334</v>
      </c>
      <c r="K426" s="81" cm="1">
        <f ca="1" t="array" ref="K426">IF(K728=1,OFFSET($Z$338,$B426,K$335-1)/SUMPRODUCT(--($D$335:$V$335=K$335),--($D728:$V728=1)),0)+SUM(K425)+IF(COUNTIF(K$641:K728,1)=1,5,0)+IF(COUNTIF(L426:$Z426,"&gt;"&amp;0)&gt;5,IF(MOD(COUNTIF(K$641:K728,1),7)=0,$C$4,0),0)</f>
        <v>364.883333333334</v>
      </c>
      <c r="L426" s="81" cm="1">
        <f ca="1" t="array" ref="L426">IF(L728=1,OFFSET($Z$338,$B426,L$335-1)/SUMPRODUCT(--($D$335:$V$335=L$335),--($D728:$V728=1)),0)+SUM(L425)+IF(COUNTIF(L$641:L728,1)=1,5,0)+IF(COUNTIF(M426:$Z426,"&gt;"&amp;0)&gt;5,IF(MOD(COUNTIF(L$641:L728,1),7)=0,$C$4,0),0)</f>
        <v>358.183333333334</v>
      </c>
      <c r="M426" s="81" cm="1">
        <f ca="1" t="array" ref="M426">IF(M728=1,OFFSET($Z$338,$B426,M$335-1)/SUMPRODUCT(--($D$335:$V$335=M$335),--($D728:$V728=1)),0)+SUM(M425)+IF(COUNTIF(M$641:M728,1)=1,5,0)+IF(COUNTIF(N426:$Z426,"&gt;"&amp;0)&gt;5,IF(MOD(COUNTIF(M$641:M728,1),7)=0,$C$4,0),0)</f>
        <v>171.658392857143</v>
      </c>
      <c r="N426" s="81" cm="1">
        <f ca="1" t="array" ref="N426">IF(N728=1,OFFSET($Z$338,$B426,N$335-1)/SUMPRODUCT(--($D$335:$V$335=N$335),--($D728:$V728=1)),0)+SUM(N425)+IF(COUNTIF(N$641:N728,1)=1,5,0)+IF(COUNTIF(O426:$Z426,"&gt;"&amp;0)&gt;5,IF(MOD(COUNTIF(N$641:N728,1),7)=0,$C$4,0),0)</f>
        <v>163.933392857143</v>
      </c>
      <c r="O426" s="81" cm="1">
        <f ca="1" t="array" ref="O426">IF(O728=1,OFFSET($Z$338,$B426,O$335-1)/SUMPRODUCT(--($D$335:$V$335=O$335),--($D728:$V728=1)),0)+SUM(O425)+IF(COUNTIF(O$641:O728,1)=1,5,0)+IF(COUNTIF(P426:$Z426,"&gt;"&amp;0)&gt;5,IF(MOD(COUNTIF(O$641:O728,1),7)=0,$C$4,0),0)</f>
        <v>161.508392857143</v>
      </c>
      <c r="P426" s="81" cm="1">
        <f ca="1" t="array" ref="P426">IF(P728=1,OFFSET($Z$338,$B426,P$335-1)/SUMPRODUCT(--($D$335:$V$335=P$335),--($D728:$V728=1)),0)+SUM(P425)+IF(COUNTIF(P$641:P728,1)=1,5,0)+IF(COUNTIF(Q426:$Z426,"&gt;"&amp;0)&gt;5,IF(MOD(COUNTIF(P$641:P728,1),7)=0,$C$4,0),0)</f>
        <v>153.57505952381</v>
      </c>
      <c r="Q426" s="81" cm="1">
        <f ca="1" t="array" ref="Q426">IF(Q728=1,OFFSET($Z$338,$B426,Q$335-1)/SUMPRODUCT(--($D$335:$V$335=Q$335),--($D728:$V728=1)),0)+SUM(Q425)+IF(COUNTIF(Q$641:Q728,1)=1,5,0)+IF(COUNTIF(R426:$Z426,"&gt;"&amp;0)&gt;5,IF(MOD(COUNTIF(Q$641:Q728,1),7)=0,$C$4,0),0)</f>
        <v>152.66880952381</v>
      </c>
      <c r="R426" s="81" cm="1">
        <f ca="1" t="array" ref="R426">IF(R728=1,OFFSET($Z$338,$B426,R$335-1)/SUMPRODUCT(--($D$335:$V$335=R$335),--($D728:$V728=1)),0)+SUM(R425)+IF(COUNTIF(R$641:R728,1)=1,5,0)+IF(COUNTIF(S426:$Z426,"&gt;"&amp;0)&gt;5,IF(MOD(COUNTIF(R$641:R728,1),7)=0,$C$4,0),0)</f>
        <v>127.773809523809</v>
      </c>
      <c r="S426" s="81" cm="1">
        <f ca="1" t="array" ref="S426">IF(S728=1,OFFSET($Z$338,$B426,S$335-1)/SUMPRODUCT(--($D$335:$V$335=S$335),--($D728:$V728=1)),0)+SUM(S425)+IF(COUNTIF(S$641:S728,1)=1,5,0)+IF(COUNTIF(T426:$Z426,"&gt;"&amp;0)&gt;5,IF(MOD(COUNTIF(S$641:S728,1),7)=0,$C$4,0),0)</f>
        <v>118.607142857143</v>
      </c>
      <c r="T426" s="81" cm="1">
        <f ca="1" t="array" ref="T426">IF(T728=1,OFFSET($Z$338,$B426,T$335-1)/SUMPRODUCT(--($D$335:$V$335=T$335),--($D728:$V728=1)),0)+SUM(T425)+IF(COUNTIF(T$641:T728,1)=1,5,0)+IF(COUNTIF(U426:$Z426,"&gt;"&amp;0)&gt;5,IF(MOD(COUNTIF(T$641:T728,1),7)=0,$C$4,0),0)</f>
        <v>85.3290164267405</v>
      </c>
      <c r="U426" s="81" cm="1">
        <f ca="1" t="array" ref="U426">IF(U728=1,OFFSET($Z$338,$B426,U$335-1)/SUMPRODUCT(--($D$335:$V$335=U$335),--($D728:$V728=1)),0)+SUM(U425)+IF(COUNTIF(U$641:U728,1)=1,5,0)+IF(COUNTIF(V426:$Z426,"&gt;"&amp;0)&gt;5,IF(MOD(COUNTIF(U$641:U728,1),7)=0,$C$4,0),0)</f>
        <v>65.3290164267405</v>
      </c>
      <c r="V426" s="81" cm="1">
        <f ca="1" t="array" ref="V426">IF(V728=1,OFFSET($Z$338,$B426,V$335-1)/SUMPRODUCT(--($D$335:$V$335=V$335),--($D728:$V728=1)),0)+SUM(V425)+IF(COUNTIF(V$641:V728,1)=1,5,0)+IF(COUNTIF(Z426:$Z426,"&gt;"&amp;0)&gt;5,IF(MOD(COUNTIF(V$641:V728,1),7)=0,$C$4,0),0)</f>
        <v>57.3711972374586</v>
      </c>
      <c r="W426" s="81" cm="1">
        <f ca="1" t="array" ref="W426">IF(W728=1,OFFSET($Z$338,$B426,W$335-1)/SUMPRODUCT(--($D$335:$V$335=W$335),--($D728:$V728=1)),0)+SUM(W425)+IF(COUNTIF(W$641:W728,1)=1,5,0)+IF(COUNTIF($Z426:AA426,"&gt;"&amp;0)&gt;5,IF(MOD(COUNTIF(W$641:W728,1),7)=0,$C$4,0),0)</f>
        <v>48.0153281225093</v>
      </c>
      <c r="X426" s="81" cm="1">
        <f ca="1" t="array" ref="X426">IF(X728=1,OFFSET($Z$338,$B426,X$335-1)/SUMPRODUCT(--($D$335:$V$335=X$335),--($D728:$V728=1)),0)+SUM(X425)+IF(COUNTIF(X$641:X728,1)=1,5,0)+IF(COUNTIF($Z426:AB426,"&gt;"&amp;0)&gt;5,IF(MOD(COUNTIF(X$641:X728,1),7)=0,$C$4,0),0)</f>
        <v>41.2516678318758</v>
      </c>
      <c r="Y426" s="81" cm="1">
        <f ca="1" t="array" ref="Y426">IF(Y728=1,OFFSET($Z$338,$B426,Y$335-1)/SUMPRODUCT(--($D$335:$V$335=Y$335),--($D728:$V728=1)),0)+SUM(Y425)+IF(COUNTIF(Y$641:Y728,1)=1,5,0)+IF(COUNTIF($Z426:AC426,"&gt;"&amp;0)&gt;5,IF(MOD(COUNTIF(Y$641:Y728,1),7)=0,$C$4,0),0)</f>
        <v>34.4880075412423</v>
      </c>
      <c r="Z426" s="82" cm="1">
        <f ca="1" t="array" ref="Z426">SUMPRODUCT(TRANSPOSE($AD426:$AJ426),OFFSET($L$10:$L$16,0,Z$335-1))</f>
        <v>18.5352420711277</v>
      </c>
      <c r="AA426" s="82" cm="1">
        <f ca="1" t="array" ref="AA426">SUMPRODUCT(TRANSPOSE($AD426:$AJ426),OFFSET($L$10:$L$16,0,AA$335-1))</f>
        <v>22</v>
      </c>
      <c r="AB426" s="82" cm="1">
        <f ca="1" t="array" ref="AB426">SUMPRODUCT(TRANSPOSE($AD426:$AJ426),OFFSET($L$10:$L$16,0,AB$335-1))</f>
        <v>11</v>
      </c>
      <c r="AC426" s="82" cm="1">
        <f ca="1" t="array" ref="AC426">SUMPRODUCT(TRANSPOSE($AD426:$AJ426),OFFSET($L$10:$L$16,0,AC$335-1))</f>
        <v>3.46475792887232</v>
      </c>
      <c r="AD426" s="83">
        <f ca="1" t="shared" ref="AD426:AJ426" si="497">AK426-AK425</f>
        <v>0</v>
      </c>
      <c r="AE426" s="83">
        <f ca="1" t="shared" si="497"/>
        <v>0</v>
      </c>
      <c r="AF426" s="83">
        <f ca="1" t="shared" si="497"/>
        <v>0</v>
      </c>
      <c r="AG426" s="83">
        <f ca="1" t="shared" si="497"/>
        <v>0</v>
      </c>
      <c r="AH426" s="83">
        <f ca="1" t="shared" si="497"/>
        <v>0</v>
      </c>
      <c r="AI426" s="83">
        <f ca="1" t="shared" si="497"/>
        <v>110</v>
      </c>
      <c r="AJ426" s="83">
        <f ca="1" t="shared" si="497"/>
        <v>0</v>
      </c>
      <c r="AK426" s="83">
        <f ca="1" t="shared" si="451"/>
        <v>450</v>
      </c>
      <c r="AL426" s="83">
        <f ca="1" t="shared" ref="AL426:AQ426" si="498">IF($C426&gt;OFFSET($Q$9,MATCH(AL$338,$AK$338:$AQ$338,0),0),OFFSET($P$9,MATCH(AL$338,$AK$338:$AQ$338,0),0),MAX(0,$C426-OFFSET($Q$9,RIGHT(AL$338,1)-1,0)))</f>
        <v>909</v>
      </c>
      <c r="AM426" s="83">
        <f ca="1" t="shared" si="498"/>
        <v>1818</v>
      </c>
      <c r="AN426" s="83">
        <f ca="1" t="shared" si="498"/>
        <v>2727</v>
      </c>
      <c r="AO426" s="83">
        <f ca="1" t="shared" si="498"/>
        <v>3636</v>
      </c>
      <c r="AP426" s="83">
        <f ca="1" t="shared" si="498"/>
        <v>1466</v>
      </c>
      <c r="AQ426" s="83">
        <f ca="1" t="shared" si="498"/>
        <v>0</v>
      </c>
    </row>
    <row r="427" ht="16.5" spans="2:43">
      <c r="B427" s="65">
        <v>89</v>
      </c>
      <c r="C427" s="80">
        <f t="shared" si="449"/>
        <v>11116</v>
      </c>
      <c r="D427" s="81" cm="1">
        <f ca="1" t="array" ref="D427">IF(D729=1,OFFSET($Z$338,$B427,D$335-1)/SUMPRODUCT(--($D$335:$V$335=D$335),--($D729:$V729=1)),0)+SUM(D426)+IF(COUNTIF(D$641:D729,1)=1,5,0)+IF(COUNTIF(E427:$Z427,"&gt;"&amp;0)&gt;5,IF(MOD(COUNTIF(D$641:D729,1),7)=0,$C$4,0),0)</f>
        <v>1012.06033732673</v>
      </c>
      <c r="E427" s="81" cm="1">
        <f ca="1" t="array" ref="E427">IF(E729=1,OFFSET($Z$338,$B427,E$335-1)/SUMPRODUCT(--($D$335:$V$335=E$335),--($D729:$V729=1)),0)+SUM(E426)+IF(COUNTIF(E$641:E729,1)=1,5,0)+IF(COUNTIF(F427:$Z427,"&gt;"&amp;0)&gt;5,IF(MOD(COUNTIF(E$641:E729,1),7)=0,$C$4,0),0)</f>
        <v>1012.06033732673</v>
      </c>
      <c r="F427" s="81" cm="1">
        <f ca="1" t="array" ref="F427">IF(F729=1,OFFSET($Z$338,$B427,F$335-1)/SUMPRODUCT(--($D$335:$V$335=F$335),--($D729:$V729=1)),0)+SUM(F426)+IF(COUNTIF(F$641:F729,1)=1,5,0)+IF(COUNTIF(G427:$Z427,"&gt;"&amp;0)&gt;5,IF(MOD(COUNTIF(F$641:F729,1),7)=0,$C$4,0),0)</f>
        <v>1012.06033732673</v>
      </c>
      <c r="G427" s="81" cm="1">
        <f ca="1" t="array" ref="G427">IF(G729=1,OFFSET($Z$338,$B427,G$335-1)/SUMPRODUCT(--($D$335:$V$335=G$335),--($D729:$V729=1)),0)+SUM(G426)+IF(COUNTIF(G$641:G729,1)=1,5,0)+IF(COUNTIF(H427:$Z427,"&gt;"&amp;0)&gt;5,IF(MOD(COUNTIF(G$641:G729,1),7)=0,$C$4,0),0)</f>
        <v>368.550000000001</v>
      </c>
      <c r="H427" s="81" cm="1">
        <f ca="1" t="array" ref="H427">IF(H729=1,OFFSET($Z$338,$B427,H$335-1)/SUMPRODUCT(--($D$335:$V$335=H$335),--($D729:$V729=1)),0)+SUM(H426)+IF(COUNTIF(H$641:H729,1)=1,5,0)+IF(COUNTIF(I427:$Z427,"&gt;"&amp;0)&gt;5,IF(MOD(COUNTIF(H$641:H729,1),7)=0,$C$4,0),0)</f>
        <v>368.550000000001</v>
      </c>
      <c r="I427" s="81" cm="1">
        <f ca="1" t="array" ref="I427">IF(I729=1,OFFSET($Z$338,$B427,I$335-1)/SUMPRODUCT(--($D$335:$V$335=I$335),--($D729:$V729=1)),0)+SUM(I426)+IF(COUNTIF(I$641:I729,1)=1,5,0)+IF(COUNTIF(J427:$Z427,"&gt;"&amp;0)&gt;5,IF(MOD(COUNTIF(I$641:I729,1),7)=0,$C$4,0),0)</f>
        <v>368.550000000001</v>
      </c>
      <c r="J427" s="81" cm="1">
        <f ca="1" t="array" ref="J427">IF(J729=1,OFFSET($Z$338,$B427,J$335-1)/SUMPRODUCT(--($D$335:$V$335=J$335),--($D729:$V729=1)),0)+SUM(J426)+IF(COUNTIF(J$641:J729,1)=1,5,0)+IF(COUNTIF(K427:$Z427,"&gt;"&amp;0)&gt;5,IF(MOD(COUNTIF(J$641:J729,1),7)=0,$C$4,0),0)</f>
        <v>368.550000000001</v>
      </c>
      <c r="K427" s="81" cm="1">
        <f ca="1" t="array" ref="K427">IF(K729=1,OFFSET($Z$338,$B427,K$335-1)/SUMPRODUCT(--($D$335:$V$335=K$335),--($D729:$V729=1)),0)+SUM(K426)+IF(COUNTIF(K$641:K729,1)=1,5,0)+IF(COUNTIF(L427:$Z427,"&gt;"&amp;0)&gt;5,IF(MOD(COUNTIF(K$641:K729,1),7)=0,$C$4,0),0)</f>
        <v>368.550000000001</v>
      </c>
      <c r="L427" s="81" cm="1">
        <f ca="1" t="array" ref="L427">IF(L729=1,OFFSET($Z$338,$B427,L$335-1)/SUMPRODUCT(--($D$335:$V$335=L$335),--($D729:$V729=1)),0)+SUM(L426)+IF(COUNTIF(L$641:L729,1)=1,5,0)+IF(COUNTIF(M427:$Z427,"&gt;"&amp;0)&gt;5,IF(MOD(COUNTIF(L$641:L729,1),7)=0,$C$4,0),0)</f>
        <v>361.850000000001</v>
      </c>
      <c r="M427" s="81" cm="1">
        <f ca="1" t="array" ref="M427">IF(M729=1,OFFSET($Z$338,$B427,M$335-1)/SUMPRODUCT(--($D$335:$V$335=M$335),--($D729:$V729=1)),0)+SUM(M426)+IF(COUNTIF(M$641:M729,1)=1,5,0)+IF(COUNTIF(N427:$Z427,"&gt;"&amp;0)&gt;5,IF(MOD(COUNTIF(M$641:M729,1),7)=0,$C$4,0),0)</f>
        <v>173.229821428572</v>
      </c>
      <c r="N427" s="81" cm="1">
        <f ca="1" t="array" ref="N427">IF(N729=1,OFFSET($Z$338,$B427,N$335-1)/SUMPRODUCT(--($D$335:$V$335=N$335),--($D729:$V729=1)),0)+SUM(N426)+IF(COUNTIF(N$641:N729,1)=1,5,0)+IF(COUNTIF(O427:$Z427,"&gt;"&amp;0)&gt;5,IF(MOD(COUNTIF(N$641:N729,1),7)=0,$C$4,0),0)</f>
        <v>165.504821428571</v>
      </c>
      <c r="O427" s="81" cm="1">
        <f ca="1" t="array" ref="O427">IF(O729=1,OFFSET($Z$338,$B427,O$335-1)/SUMPRODUCT(--($D$335:$V$335=O$335),--($D729:$V729=1)),0)+SUM(O426)+IF(COUNTIF(O$641:O729,1)=1,5,0)+IF(COUNTIF(P427:$Z427,"&gt;"&amp;0)&gt;5,IF(MOD(COUNTIF(O$641:O729,1),7)=0,$C$4,0),0)</f>
        <v>163.079821428571</v>
      </c>
      <c r="P427" s="81" cm="1">
        <f ca="1" t="array" ref="P427">IF(P729=1,OFFSET($Z$338,$B427,P$335-1)/SUMPRODUCT(--($D$335:$V$335=P$335),--($D729:$V729=1)),0)+SUM(P426)+IF(COUNTIF(P$641:P729,1)=1,5,0)+IF(COUNTIF(Q427:$Z427,"&gt;"&amp;0)&gt;5,IF(MOD(COUNTIF(P$641:P729,1),7)=0,$C$4,0),0)</f>
        <v>160.146488095238</v>
      </c>
      <c r="Q427" s="81" cm="1">
        <f ca="1" t="array" ref="Q427">IF(Q729=1,OFFSET($Z$338,$B427,Q$335-1)/SUMPRODUCT(--($D$335:$V$335=Q$335),--($D729:$V729=1)),0)+SUM(Q426)+IF(COUNTIF(Q$641:Q729,1)=1,5,0)+IF(COUNTIF(R427:$Z427,"&gt;"&amp;0)&gt;5,IF(MOD(COUNTIF(Q$641:Q729,1),7)=0,$C$4,0),0)</f>
        <v>154.240238095238</v>
      </c>
      <c r="R427" s="81" cm="1">
        <f ca="1" t="array" ref="R427">IF(R729=1,OFFSET($Z$338,$B427,R$335-1)/SUMPRODUCT(--($D$335:$V$335=R$335),--($D729:$V729=1)),0)+SUM(R426)+IF(COUNTIF(R$641:R729,1)=1,5,0)+IF(COUNTIF(S427:$Z427,"&gt;"&amp;0)&gt;5,IF(MOD(COUNTIF(R$641:R729,1),7)=0,$C$4,0),0)</f>
        <v>129.345238095238</v>
      </c>
      <c r="S427" s="81" cm="1">
        <f ca="1" t="array" ref="S427">IF(S729=1,OFFSET($Z$338,$B427,S$335-1)/SUMPRODUCT(--($D$335:$V$335=S$335),--($D729:$V729=1)),0)+SUM(S426)+IF(COUNTIF(S$641:S729,1)=1,5,0)+IF(COUNTIF(T427:$Z427,"&gt;"&amp;0)&gt;5,IF(MOD(COUNTIF(S$641:S729,1),7)=0,$C$4,0),0)</f>
        <v>125.178571428571</v>
      </c>
      <c r="T427" s="81" cm="1">
        <f ca="1" t="array" ref="T427">IF(T729=1,OFFSET($Z$338,$B427,T$335-1)/SUMPRODUCT(--($D$335:$V$335=T$335),--($D729:$V729=1)),0)+SUM(T426)+IF(COUNTIF(T$641:T729,1)=1,5,0)+IF(COUNTIF(U427:$Z427,"&gt;"&amp;0)&gt;5,IF(MOD(COUNTIF(T$641:T729,1),7)=0,$C$4,0),0)</f>
        <v>86.4839357363646</v>
      </c>
      <c r="U427" s="81" cm="1">
        <f ca="1" t="array" ref="U427">IF(U729=1,OFFSET($Z$338,$B427,U$335-1)/SUMPRODUCT(--($D$335:$V$335=U$335),--($D729:$V729=1)),0)+SUM(U426)+IF(COUNTIF(U$641:U729,1)=1,5,0)+IF(COUNTIF(V427:$Z427,"&gt;"&amp;0)&gt;5,IF(MOD(COUNTIF(U$641:U729,1),7)=0,$C$4,0),0)</f>
        <v>66.4839357363646</v>
      </c>
      <c r="V427" s="81" cm="1">
        <f ca="1" t="array" ref="V427">IF(V729=1,OFFSET($Z$338,$B427,V$335-1)/SUMPRODUCT(--($D$335:$V$335=V$335),--($D729:$V729=1)),0)+SUM(V426)+IF(COUNTIF(V$641:V729,1)=1,5,0)+IF(COUNTIF(Z427:$Z427,"&gt;"&amp;0)&gt;5,IF(MOD(COUNTIF(V$641:V729,1),7)=0,$C$4,0),0)</f>
        <v>58.5261165470827</v>
      </c>
      <c r="W427" s="81" cm="1">
        <f ca="1" t="array" ref="W427">IF(W729=1,OFFSET($Z$338,$B427,W$335-1)/SUMPRODUCT(--($D$335:$V$335=W$335),--($D729:$V729=1)),0)+SUM(W426)+IF(COUNTIF(W$641:W729,1)=1,5,0)+IF(COUNTIF($Z427:AA427,"&gt;"&amp;0)&gt;5,IF(MOD(COUNTIF(W$641:W729,1),7)=0,$C$4,0),0)</f>
        <v>49.1702474321334</v>
      </c>
      <c r="X427" s="81" cm="1">
        <f ca="1" t="array" ref="X427">IF(X729=1,OFFSET($Z$338,$B427,X$335-1)/SUMPRODUCT(--($D$335:$V$335=X$335),--($D729:$V729=1)),0)+SUM(X426)+IF(COUNTIF(X$641:X729,1)=1,5,0)+IF(COUNTIF($Z427:AB427,"&gt;"&amp;0)&gt;5,IF(MOD(COUNTIF(X$641:X729,1),7)=0,$C$4,0),0)</f>
        <v>42.4065871414999</v>
      </c>
      <c r="Y427" s="81" cm="1">
        <f ca="1" t="array" ref="Y427">IF(Y729=1,OFFSET($Z$338,$B427,Y$335-1)/SUMPRODUCT(--($D$335:$V$335=Y$335),--($D729:$V729=1)),0)+SUM(Y426)+IF(COUNTIF(Y$641:Y729,1)=1,5,0)+IF(COUNTIF($Z427:AC427,"&gt;"&amp;0)&gt;5,IF(MOD(COUNTIF(Y$641:Y729,1),7)=0,$C$4,0),0)</f>
        <v>35.6429268508665</v>
      </c>
      <c r="Z427" s="82" cm="1">
        <f ca="1" t="array" ref="Z427">SUMPRODUCT(TRANSPOSE($AD427:$AJ427),OFFSET($L$10:$L$16,0,Z$335-1))</f>
        <v>18.5352420711277</v>
      </c>
      <c r="AA427" s="82" cm="1">
        <f ca="1" t="array" ref="AA427">SUMPRODUCT(TRANSPOSE($AD427:$AJ427),OFFSET($L$10:$L$16,0,AA$335-1))</f>
        <v>22</v>
      </c>
      <c r="AB427" s="82" cm="1">
        <f ca="1" t="array" ref="AB427">SUMPRODUCT(TRANSPOSE($AD427:$AJ427),OFFSET($L$10:$L$16,0,AB$335-1))</f>
        <v>11</v>
      </c>
      <c r="AC427" s="82" cm="1">
        <f ca="1" t="array" ref="AC427">SUMPRODUCT(TRANSPOSE($AD427:$AJ427),OFFSET($L$10:$L$16,0,AC$335-1))</f>
        <v>3.46475792887232</v>
      </c>
      <c r="AD427" s="83">
        <f ca="1" t="shared" ref="AD427:AJ427" si="499">AK427-AK426</f>
        <v>0</v>
      </c>
      <c r="AE427" s="83">
        <f ca="1" t="shared" si="499"/>
        <v>0</v>
      </c>
      <c r="AF427" s="83">
        <f ca="1" t="shared" si="499"/>
        <v>0</v>
      </c>
      <c r="AG427" s="83">
        <f ca="1" t="shared" si="499"/>
        <v>0</v>
      </c>
      <c r="AH427" s="83">
        <f ca="1" t="shared" si="499"/>
        <v>0</v>
      </c>
      <c r="AI427" s="83">
        <f ca="1" t="shared" si="499"/>
        <v>110</v>
      </c>
      <c r="AJ427" s="83">
        <f ca="1" t="shared" si="499"/>
        <v>0</v>
      </c>
      <c r="AK427" s="83">
        <f ca="1" t="shared" si="451"/>
        <v>450</v>
      </c>
      <c r="AL427" s="83">
        <f ca="1" t="shared" ref="AL427:AQ427" si="500">IF($C427&gt;OFFSET($Q$9,MATCH(AL$338,$AK$338:$AQ$338,0),0),OFFSET($P$9,MATCH(AL$338,$AK$338:$AQ$338,0),0),MAX(0,$C427-OFFSET($Q$9,RIGHT(AL$338,1)-1,0)))</f>
        <v>909</v>
      </c>
      <c r="AM427" s="83">
        <f ca="1" t="shared" si="500"/>
        <v>1818</v>
      </c>
      <c r="AN427" s="83">
        <f ca="1" t="shared" si="500"/>
        <v>2727</v>
      </c>
      <c r="AO427" s="83">
        <f ca="1" t="shared" si="500"/>
        <v>3636</v>
      </c>
      <c r="AP427" s="83">
        <f ca="1" t="shared" si="500"/>
        <v>1576</v>
      </c>
      <c r="AQ427" s="83">
        <f ca="1" t="shared" si="500"/>
        <v>0</v>
      </c>
    </row>
    <row r="428" ht="16.5" spans="2:43">
      <c r="B428" s="65">
        <v>90</v>
      </c>
      <c r="C428" s="80">
        <f t="shared" si="449"/>
        <v>11226</v>
      </c>
      <c r="D428" s="81" cm="1">
        <f ca="1" t="array" ref="D428">IF(D730=1,OFFSET($Z$338,$B428,D$335-1)/SUMPRODUCT(--($D$335:$V$335=D$335),--($D730:$V730=1)),0)+SUM(D427)+IF(COUNTIF(D$641:D730,1)=1,5,0)+IF(COUNTIF(E428:$Z428,"&gt;"&amp;0)&gt;5,IF(MOD(COUNTIF(D$641:D730,1),7)=0,$C$4,0),0)</f>
        <v>1018.23875135044</v>
      </c>
      <c r="E428" s="81" cm="1">
        <f ca="1" t="array" ref="E428">IF(E730=1,OFFSET($Z$338,$B428,E$335-1)/SUMPRODUCT(--($D$335:$V$335=E$335),--($D730:$V730=1)),0)+SUM(E427)+IF(COUNTIF(E$641:E730,1)=1,5,0)+IF(COUNTIF(F428:$Z428,"&gt;"&amp;0)&gt;5,IF(MOD(COUNTIF(E$641:E730,1),7)=0,$C$4,0),0)</f>
        <v>1018.23875135044</v>
      </c>
      <c r="F428" s="81" cm="1">
        <f ca="1" t="array" ref="F428">IF(F730=1,OFFSET($Z$338,$B428,F$335-1)/SUMPRODUCT(--($D$335:$V$335=F$335),--($D730:$V730=1)),0)+SUM(F427)+IF(COUNTIF(F$641:F730,1)=1,5,0)+IF(COUNTIF(G428:$Z428,"&gt;"&amp;0)&gt;5,IF(MOD(COUNTIF(F$641:F730,1),7)=0,$C$4,0),0)</f>
        <v>1018.23875135044</v>
      </c>
      <c r="G428" s="81" cm="1">
        <f ca="1" t="array" ref="G428">IF(G730=1,OFFSET($Z$338,$B428,G$335-1)/SUMPRODUCT(--($D$335:$V$335=G$335),--($D730:$V730=1)),0)+SUM(G427)+IF(COUNTIF(G$641:G730,1)=1,5,0)+IF(COUNTIF(H428:$Z428,"&gt;"&amp;0)&gt;5,IF(MOD(COUNTIF(G$641:G730,1),7)=0,$C$4,0),0)</f>
        <v>372.216666666667</v>
      </c>
      <c r="H428" s="81" cm="1">
        <f ca="1" t="array" ref="H428">IF(H730=1,OFFSET($Z$338,$B428,H$335-1)/SUMPRODUCT(--($D$335:$V$335=H$335),--($D730:$V730=1)),0)+SUM(H427)+IF(COUNTIF(H$641:H730,1)=1,5,0)+IF(COUNTIF(I428:$Z428,"&gt;"&amp;0)&gt;5,IF(MOD(COUNTIF(H$641:H730,1),7)=0,$C$4,0),0)</f>
        <v>372.216666666667</v>
      </c>
      <c r="I428" s="81" cm="1">
        <f ca="1" t="array" ref="I428">IF(I730=1,OFFSET($Z$338,$B428,I$335-1)/SUMPRODUCT(--($D$335:$V$335=I$335),--($D730:$V730=1)),0)+SUM(I427)+IF(COUNTIF(I$641:I730,1)=1,5,0)+IF(COUNTIF(J428:$Z428,"&gt;"&amp;0)&gt;5,IF(MOD(COUNTIF(I$641:I730,1),7)=0,$C$4,0),0)</f>
        <v>372.216666666667</v>
      </c>
      <c r="J428" s="81" cm="1">
        <f ca="1" t="array" ref="J428">IF(J730=1,OFFSET($Z$338,$B428,J$335-1)/SUMPRODUCT(--($D$335:$V$335=J$335),--($D730:$V730=1)),0)+SUM(J427)+IF(COUNTIF(J$641:J730,1)=1,5,0)+IF(COUNTIF(K428:$Z428,"&gt;"&amp;0)&gt;5,IF(MOD(COUNTIF(J$641:J730,1),7)=0,$C$4,0),0)</f>
        <v>372.216666666667</v>
      </c>
      <c r="K428" s="81" cm="1">
        <f ca="1" t="array" ref="K428">IF(K730=1,OFFSET($Z$338,$B428,K$335-1)/SUMPRODUCT(--($D$335:$V$335=K$335),--($D730:$V730=1)),0)+SUM(K427)+IF(COUNTIF(K$641:K730,1)=1,5,0)+IF(COUNTIF(L428:$Z428,"&gt;"&amp;0)&gt;5,IF(MOD(COUNTIF(K$641:K730,1),7)=0,$C$4,0),0)</f>
        <v>372.216666666667</v>
      </c>
      <c r="L428" s="81" cm="1">
        <f ca="1" t="array" ref="L428">IF(L730=1,OFFSET($Z$338,$B428,L$335-1)/SUMPRODUCT(--($D$335:$V$335=L$335),--($D730:$V730=1)),0)+SUM(L427)+IF(COUNTIF(L$641:L730,1)=1,5,0)+IF(COUNTIF(M428:$Z428,"&gt;"&amp;0)&gt;5,IF(MOD(COUNTIF(L$641:L730,1),7)=0,$C$4,0),0)</f>
        <v>365.516666666667</v>
      </c>
      <c r="M428" s="81" cm="1">
        <f ca="1" t="array" ref="M428">IF(M730=1,OFFSET($Z$338,$B428,M$335-1)/SUMPRODUCT(--($D$335:$V$335=M$335),--($D730:$V730=1)),0)+SUM(M427)+IF(COUNTIF(M$641:M730,1)=1,5,0)+IF(COUNTIF(N428:$Z428,"&gt;"&amp;0)&gt;5,IF(MOD(COUNTIF(M$641:M730,1),7)=0,$C$4,0),0)</f>
        <v>174.80125</v>
      </c>
      <c r="N428" s="81" cm="1">
        <f ca="1" t="array" ref="N428">IF(N730=1,OFFSET($Z$338,$B428,N$335-1)/SUMPRODUCT(--($D$335:$V$335=N$335),--($D730:$V730=1)),0)+SUM(N427)+IF(COUNTIF(N$641:N730,1)=1,5,0)+IF(COUNTIF(O428:$Z428,"&gt;"&amp;0)&gt;5,IF(MOD(COUNTIF(N$641:N730,1),7)=0,$C$4,0),0)</f>
        <v>167.07625</v>
      </c>
      <c r="O428" s="81" cm="1">
        <f ca="1" t="array" ref="O428">IF(O730=1,OFFSET($Z$338,$B428,O$335-1)/SUMPRODUCT(--($D$335:$V$335=O$335),--($D730:$V730=1)),0)+SUM(O427)+IF(COUNTIF(O$641:O730,1)=1,5,0)+IF(COUNTIF(P428:$Z428,"&gt;"&amp;0)&gt;5,IF(MOD(COUNTIF(O$641:O730,1),7)=0,$C$4,0),0)</f>
        <v>164.65125</v>
      </c>
      <c r="P428" s="81" cm="1">
        <f ca="1" t="array" ref="P428">IF(P730=1,OFFSET($Z$338,$B428,P$335-1)/SUMPRODUCT(--($D$335:$V$335=P$335),--($D730:$V730=1)),0)+SUM(P427)+IF(COUNTIF(P$641:P730,1)=1,5,0)+IF(COUNTIF(Q428:$Z428,"&gt;"&amp;0)&gt;5,IF(MOD(COUNTIF(P$641:P730,1),7)=0,$C$4,0),0)</f>
        <v>161.717916666667</v>
      </c>
      <c r="Q428" s="81" cm="1">
        <f ca="1" t="array" ref="Q428">IF(Q730=1,OFFSET($Z$338,$B428,Q$335-1)/SUMPRODUCT(--($D$335:$V$335=Q$335),--($D730:$V730=1)),0)+SUM(Q427)+IF(COUNTIF(Q$641:Q730,1)=1,5,0)+IF(COUNTIF(R428:$Z428,"&gt;"&amp;0)&gt;5,IF(MOD(COUNTIF(Q$641:Q730,1),7)=0,$C$4,0),0)</f>
        <v>160.811666666667</v>
      </c>
      <c r="R428" s="81" cm="1">
        <f ca="1" t="array" ref="R428">IF(R730=1,OFFSET($Z$338,$B428,R$335-1)/SUMPRODUCT(--($D$335:$V$335=R$335),--($D730:$V730=1)),0)+SUM(R427)+IF(COUNTIF(R$641:R730,1)=1,5,0)+IF(COUNTIF(S428:$Z428,"&gt;"&amp;0)&gt;5,IF(MOD(COUNTIF(R$641:R730,1),7)=0,$C$4,0),0)</f>
        <v>130.916666666667</v>
      </c>
      <c r="S428" s="81" cm="1">
        <f ca="1" t="array" ref="S428">IF(S730=1,OFFSET($Z$338,$B428,S$335-1)/SUMPRODUCT(--($D$335:$V$335=S$335),--($D730:$V730=1)),0)+SUM(S427)+IF(COUNTIF(S$641:S730,1)=1,5,0)+IF(COUNTIF(T428:$Z428,"&gt;"&amp;0)&gt;5,IF(MOD(COUNTIF(S$641:S730,1),7)=0,$C$4,0),0)</f>
        <v>126.75</v>
      </c>
      <c r="T428" s="81" cm="1">
        <f ca="1" t="array" ref="T428">IF(T730=1,OFFSET($Z$338,$B428,T$335-1)/SUMPRODUCT(--($D$335:$V$335=T$335),--($D730:$V730=1)),0)+SUM(T427)+IF(COUNTIF(T$641:T730,1)=1,5,0)+IF(COUNTIF(U428:$Z428,"&gt;"&amp;0)&gt;5,IF(MOD(COUNTIF(T$641:T730,1),7)=0,$C$4,0),0)</f>
        <v>92.6388550459887</v>
      </c>
      <c r="U428" s="81" cm="1">
        <f ca="1" t="array" ref="U428">IF(U730=1,OFFSET($Z$338,$B428,U$335-1)/SUMPRODUCT(--($D$335:$V$335=U$335),--($D730:$V730=1)),0)+SUM(U427)+IF(COUNTIF(U$641:U730,1)=1,5,0)+IF(COUNTIF(V428:$Z428,"&gt;"&amp;0)&gt;5,IF(MOD(COUNTIF(U$641:U730,1),7)=0,$C$4,0),0)</f>
        <v>67.6388550459887</v>
      </c>
      <c r="V428" s="81" cm="1">
        <f ca="1" t="array" ref="V428">IF(V730=1,OFFSET($Z$338,$B428,V$335-1)/SUMPRODUCT(--($D$335:$V$335=V$335),--($D730:$V730=1)),0)+SUM(V427)+IF(COUNTIF(V$641:V730,1)=1,5,0)+IF(COUNTIF(Z428:$Z428,"&gt;"&amp;0)&gt;5,IF(MOD(COUNTIF(V$641:V730,1),7)=0,$C$4,0),0)</f>
        <v>59.6810358567068</v>
      </c>
      <c r="W428" s="81" cm="1">
        <f ca="1" t="array" ref="W428">IF(W730=1,OFFSET($Z$338,$B428,W$335-1)/SUMPRODUCT(--($D$335:$V$335=W$335),--($D730:$V730=1)),0)+SUM(W427)+IF(COUNTIF(W$641:W730,1)=1,5,0)+IF(COUNTIF($Z428:AA428,"&gt;"&amp;0)&gt;5,IF(MOD(COUNTIF(W$641:W730,1),7)=0,$C$4,0),0)</f>
        <v>50.3251667417575</v>
      </c>
      <c r="X428" s="81" cm="1">
        <f ca="1" t="array" ref="X428">IF(X730=1,OFFSET($Z$338,$B428,X$335-1)/SUMPRODUCT(--($D$335:$V$335=X$335),--($D730:$V730=1)),0)+SUM(X427)+IF(COUNTIF(X$641:X730,1)=1,5,0)+IF(COUNTIF($Z428:AB428,"&gt;"&amp;0)&gt;5,IF(MOD(COUNTIF(X$641:X730,1),7)=0,$C$4,0),0)</f>
        <v>43.561506451124</v>
      </c>
      <c r="Y428" s="81" cm="1">
        <f ca="1" t="array" ref="Y428">IF(Y730=1,OFFSET($Z$338,$B428,Y$335-1)/SUMPRODUCT(--($D$335:$V$335=Y$335),--($D730:$V730=1)),0)+SUM(Y427)+IF(COUNTIF(Y$641:Y730,1)=1,5,0)+IF(COUNTIF($Z428:AC428,"&gt;"&amp;0)&gt;5,IF(MOD(COUNTIF(Y$641:Y730,1),7)=0,$C$4,0),0)</f>
        <v>36.7978461604906</v>
      </c>
      <c r="Z428" s="82" cm="1">
        <f ca="1" t="array" ref="Z428">SUMPRODUCT(TRANSPOSE($AD428:$AJ428),OFFSET($L$10:$L$16,0,Z$335-1))</f>
        <v>18.5352420711277</v>
      </c>
      <c r="AA428" s="82" cm="1">
        <f ca="1" t="array" ref="AA428">SUMPRODUCT(TRANSPOSE($AD428:$AJ428),OFFSET($L$10:$L$16,0,AA$335-1))</f>
        <v>22</v>
      </c>
      <c r="AB428" s="82" cm="1">
        <f ca="1" t="array" ref="AB428">SUMPRODUCT(TRANSPOSE($AD428:$AJ428),OFFSET($L$10:$L$16,0,AB$335-1))</f>
        <v>11</v>
      </c>
      <c r="AC428" s="82" cm="1">
        <f ca="1" t="array" ref="AC428">SUMPRODUCT(TRANSPOSE($AD428:$AJ428),OFFSET($L$10:$L$16,0,AC$335-1))</f>
        <v>3.46475792887232</v>
      </c>
      <c r="AD428" s="83">
        <f ca="1" t="shared" ref="AD428:AJ428" si="501">AK428-AK427</f>
        <v>0</v>
      </c>
      <c r="AE428" s="83">
        <f ca="1" t="shared" si="501"/>
        <v>0</v>
      </c>
      <c r="AF428" s="83">
        <f ca="1" t="shared" si="501"/>
        <v>0</v>
      </c>
      <c r="AG428" s="83">
        <f ca="1" t="shared" si="501"/>
        <v>0</v>
      </c>
      <c r="AH428" s="83">
        <f ca="1" t="shared" si="501"/>
        <v>0</v>
      </c>
      <c r="AI428" s="83">
        <f ca="1" t="shared" si="501"/>
        <v>110</v>
      </c>
      <c r="AJ428" s="83">
        <f ca="1" t="shared" si="501"/>
        <v>0</v>
      </c>
      <c r="AK428" s="83">
        <f ca="1" t="shared" si="451"/>
        <v>450</v>
      </c>
      <c r="AL428" s="83">
        <f ca="1" t="shared" ref="AL428:AQ428" si="502">IF($C428&gt;OFFSET($Q$9,MATCH(AL$338,$AK$338:$AQ$338,0),0),OFFSET($P$9,MATCH(AL$338,$AK$338:$AQ$338,0),0),MAX(0,$C428-OFFSET($Q$9,RIGHT(AL$338,1)-1,0)))</f>
        <v>909</v>
      </c>
      <c r="AM428" s="83">
        <f ca="1" t="shared" si="502"/>
        <v>1818</v>
      </c>
      <c r="AN428" s="83">
        <f ca="1" t="shared" si="502"/>
        <v>2727</v>
      </c>
      <c r="AO428" s="83">
        <f ca="1" t="shared" si="502"/>
        <v>3636</v>
      </c>
      <c r="AP428" s="83">
        <f ca="1" t="shared" si="502"/>
        <v>1686</v>
      </c>
      <c r="AQ428" s="83">
        <f ca="1" t="shared" si="502"/>
        <v>0</v>
      </c>
    </row>
    <row r="429" ht="16.5" spans="2:43">
      <c r="B429" s="65">
        <v>91</v>
      </c>
      <c r="C429" s="80">
        <f t="shared" si="449"/>
        <v>11336</v>
      </c>
      <c r="D429" s="81" cm="1">
        <f ca="1" t="array" ref="D429">IF(D731=1,OFFSET($Z$338,$B429,D$335-1)/SUMPRODUCT(--($D$335:$V$335=D$335),--($D731:$V731=1)),0)+SUM(D428)+IF(COUNTIF(D$641:D731,1)=1,5,0)+IF(COUNTIF(E429:$Z429,"&gt;"&amp;0)&gt;5,IF(MOD(COUNTIF(D$641:D731,1),7)=0,$C$4,0),0)</f>
        <v>1029.41716537415</v>
      </c>
      <c r="E429" s="81" cm="1">
        <f ca="1" t="array" ref="E429">IF(E731=1,OFFSET($Z$338,$B429,E$335-1)/SUMPRODUCT(--($D$335:$V$335=E$335),--($D731:$V731=1)),0)+SUM(E428)+IF(COUNTIF(E$641:E731,1)=1,5,0)+IF(COUNTIF(F429:$Z429,"&gt;"&amp;0)&gt;5,IF(MOD(COUNTIF(E$641:E731,1),7)=0,$C$4,0),0)</f>
        <v>1029.41716537415</v>
      </c>
      <c r="F429" s="81" cm="1">
        <f ca="1" t="array" ref="F429">IF(F731=1,OFFSET($Z$338,$B429,F$335-1)/SUMPRODUCT(--($D$335:$V$335=F$335),--($D731:$V731=1)),0)+SUM(F428)+IF(COUNTIF(F$641:F731,1)=1,5,0)+IF(COUNTIF(G429:$Z429,"&gt;"&amp;0)&gt;5,IF(MOD(COUNTIF(F$641:F731,1),7)=0,$C$4,0),0)</f>
        <v>1029.41716537415</v>
      </c>
      <c r="G429" s="81" cm="1">
        <f ca="1" t="array" ref="G429">IF(G731=1,OFFSET($Z$338,$B429,G$335-1)/SUMPRODUCT(--($D$335:$V$335=G$335),--($D731:$V731=1)),0)+SUM(G428)+IF(COUNTIF(G$641:G731,1)=1,5,0)+IF(COUNTIF(H429:$Z429,"&gt;"&amp;0)&gt;5,IF(MOD(COUNTIF(G$641:G731,1),7)=0,$C$4,0),0)</f>
        <v>380.883333333334</v>
      </c>
      <c r="H429" s="81" cm="1">
        <f ca="1" t="array" ref="H429">IF(H731=1,OFFSET($Z$338,$B429,H$335-1)/SUMPRODUCT(--($D$335:$V$335=H$335),--($D731:$V731=1)),0)+SUM(H428)+IF(COUNTIF(H$641:H731,1)=1,5,0)+IF(COUNTIF(I429:$Z429,"&gt;"&amp;0)&gt;5,IF(MOD(COUNTIF(H$641:H731,1),7)=0,$C$4,0),0)</f>
        <v>380.883333333334</v>
      </c>
      <c r="I429" s="81" cm="1">
        <f ca="1" t="array" ref="I429">IF(I731=1,OFFSET($Z$338,$B429,I$335-1)/SUMPRODUCT(--($D$335:$V$335=I$335),--($D731:$V731=1)),0)+SUM(I428)+IF(COUNTIF(I$641:I731,1)=1,5,0)+IF(COUNTIF(J429:$Z429,"&gt;"&amp;0)&gt;5,IF(MOD(COUNTIF(I$641:I731,1),7)=0,$C$4,0),0)</f>
        <v>380.883333333334</v>
      </c>
      <c r="J429" s="81" cm="1">
        <f ca="1" t="array" ref="J429">IF(J731=1,OFFSET($Z$338,$B429,J$335-1)/SUMPRODUCT(--($D$335:$V$335=J$335),--($D731:$V731=1)),0)+SUM(J428)+IF(COUNTIF(J$641:J731,1)=1,5,0)+IF(COUNTIF(K429:$Z429,"&gt;"&amp;0)&gt;5,IF(MOD(COUNTIF(J$641:J731,1),7)=0,$C$4,0),0)</f>
        <v>380.883333333334</v>
      </c>
      <c r="K429" s="81" cm="1">
        <f ca="1" t="array" ref="K429">IF(K731=1,OFFSET($Z$338,$B429,K$335-1)/SUMPRODUCT(--($D$335:$V$335=K$335),--($D731:$V731=1)),0)+SUM(K428)+IF(COUNTIF(K$641:K731,1)=1,5,0)+IF(COUNTIF(L429:$Z429,"&gt;"&amp;0)&gt;5,IF(MOD(COUNTIF(K$641:K731,1),7)=0,$C$4,0),0)</f>
        <v>380.883333333334</v>
      </c>
      <c r="L429" s="81" cm="1">
        <f ca="1" t="array" ref="L429">IF(L731=1,OFFSET($Z$338,$B429,L$335-1)/SUMPRODUCT(--($D$335:$V$335=L$335),--($D731:$V731=1)),0)+SUM(L428)+IF(COUNTIF(L$641:L731,1)=1,5,0)+IF(COUNTIF(M429:$Z429,"&gt;"&amp;0)&gt;5,IF(MOD(COUNTIF(L$641:L731,1),7)=0,$C$4,0),0)</f>
        <v>369.183333333334</v>
      </c>
      <c r="M429" s="81" cm="1">
        <f ca="1" t="array" ref="M429">IF(M731=1,OFFSET($Z$338,$B429,M$335-1)/SUMPRODUCT(--($D$335:$V$335=M$335),--($D731:$V731=1)),0)+SUM(M428)+IF(COUNTIF(M$641:M731,1)=1,5,0)+IF(COUNTIF(N429:$Z429,"&gt;"&amp;0)&gt;5,IF(MOD(COUNTIF(M$641:M731,1),7)=0,$C$4,0),0)</f>
        <v>176.372678571429</v>
      </c>
      <c r="N429" s="81" cm="1">
        <f ca="1" t="array" ref="N429">IF(N731=1,OFFSET($Z$338,$B429,N$335-1)/SUMPRODUCT(--($D$335:$V$335=N$335),--($D731:$V731=1)),0)+SUM(N428)+IF(COUNTIF(N$641:N731,1)=1,5,0)+IF(COUNTIF(O429:$Z429,"&gt;"&amp;0)&gt;5,IF(MOD(COUNTIF(N$641:N731,1),7)=0,$C$4,0),0)</f>
        <v>168.647678571429</v>
      </c>
      <c r="O429" s="81" cm="1">
        <f ca="1" t="array" ref="O429">IF(O731=1,OFFSET($Z$338,$B429,O$335-1)/SUMPRODUCT(--($D$335:$V$335=O$335),--($D731:$V731=1)),0)+SUM(O428)+IF(COUNTIF(O$641:O731,1)=1,5,0)+IF(COUNTIF(P429:$Z429,"&gt;"&amp;0)&gt;5,IF(MOD(COUNTIF(O$641:O731,1),7)=0,$C$4,0),0)</f>
        <v>166.222678571429</v>
      </c>
      <c r="P429" s="81" cm="1">
        <f ca="1" t="array" ref="P429">IF(P731=1,OFFSET($Z$338,$B429,P$335-1)/SUMPRODUCT(--($D$335:$V$335=P$335),--($D731:$V731=1)),0)+SUM(P428)+IF(COUNTIF(P$641:P731,1)=1,5,0)+IF(COUNTIF(Q429:$Z429,"&gt;"&amp;0)&gt;5,IF(MOD(COUNTIF(P$641:P731,1),7)=0,$C$4,0),0)</f>
        <v>163.289345238095</v>
      </c>
      <c r="Q429" s="81" cm="1">
        <f ca="1" t="array" ref="Q429">IF(Q731=1,OFFSET($Z$338,$B429,Q$335-1)/SUMPRODUCT(--($D$335:$V$335=Q$335),--($D731:$V731=1)),0)+SUM(Q428)+IF(COUNTIF(Q$641:Q731,1)=1,5,0)+IF(COUNTIF(R429:$Z429,"&gt;"&amp;0)&gt;5,IF(MOD(COUNTIF(Q$641:Q731,1),7)=0,$C$4,0),0)</f>
        <v>162.383095238095</v>
      </c>
      <c r="R429" s="81" cm="1">
        <f ca="1" t="array" ref="R429">IF(R731=1,OFFSET($Z$338,$B429,R$335-1)/SUMPRODUCT(--($D$335:$V$335=R$335),--($D731:$V731=1)),0)+SUM(R428)+IF(COUNTIF(R$641:R731,1)=1,5,0)+IF(COUNTIF(S429:$Z429,"&gt;"&amp;0)&gt;5,IF(MOD(COUNTIF(R$641:R731,1),7)=0,$C$4,0),0)</f>
        <v>137.488095238095</v>
      </c>
      <c r="S429" s="81" cm="1">
        <f ca="1" t="array" ref="S429">IF(S731=1,OFFSET($Z$338,$B429,S$335-1)/SUMPRODUCT(--($D$335:$V$335=S$335),--($D731:$V731=1)),0)+SUM(S428)+IF(COUNTIF(S$641:S731,1)=1,5,0)+IF(COUNTIF(T429:$Z429,"&gt;"&amp;0)&gt;5,IF(MOD(COUNTIF(S$641:S731,1),7)=0,$C$4,0),0)</f>
        <v>128.321428571429</v>
      </c>
      <c r="T429" s="81" cm="1">
        <f ca="1" t="array" ref="T429">IF(T731=1,OFFSET($Z$338,$B429,T$335-1)/SUMPRODUCT(--($D$335:$V$335=T$335),--($D731:$V731=1)),0)+SUM(T428)+IF(COUNTIF(T$641:T731,1)=1,5,0)+IF(COUNTIF(U429:$Z429,"&gt;"&amp;0)&gt;5,IF(MOD(COUNTIF(T$641:T731,1),7)=0,$C$4,0),0)</f>
        <v>93.7937743556128</v>
      </c>
      <c r="U429" s="81" cm="1">
        <f ca="1" t="array" ref="U429">IF(U731=1,OFFSET($Z$338,$B429,U$335-1)/SUMPRODUCT(--($D$335:$V$335=U$335),--($D731:$V731=1)),0)+SUM(U428)+IF(COUNTIF(U$641:U731,1)=1,5,0)+IF(COUNTIF(V429:$Z429,"&gt;"&amp;0)&gt;5,IF(MOD(COUNTIF(U$641:U731,1),7)=0,$C$4,0),0)</f>
        <v>68.7937743556128</v>
      </c>
      <c r="V429" s="81" cm="1">
        <f ca="1" t="array" ref="V429">IF(V731=1,OFFSET($Z$338,$B429,V$335-1)/SUMPRODUCT(--($D$335:$V$335=V$335),--($D731:$V731=1)),0)+SUM(V428)+IF(COUNTIF(V$641:V731,1)=1,5,0)+IF(COUNTIF(Z429:$Z429,"&gt;"&amp;0)&gt;5,IF(MOD(COUNTIF(V$641:V731,1),7)=0,$C$4,0),0)</f>
        <v>60.8359551663309</v>
      </c>
      <c r="W429" s="81" cm="1">
        <f ca="1" t="array" ref="W429">IF(W731=1,OFFSET($Z$338,$B429,W$335-1)/SUMPRODUCT(--($D$335:$V$335=W$335),--($D731:$V731=1)),0)+SUM(W428)+IF(COUNTIF(W$641:W731,1)=1,5,0)+IF(COUNTIF($Z429:AA429,"&gt;"&amp;0)&gt;5,IF(MOD(COUNTIF(W$641:W731,1),7)=0,$C$4,0),0)</f>
        <v>51.4800860513816</v>
      </c>
      <c r="X429" s="81" cm="1">
        <f ca="1" t="array" ref="X429">IF(X731=1,OFFSET($Z$338,$B429,X$335-1)/SUMPRODUCT(--($D$335:$V$335=X$335),--($D731:$V731=1)),0)+SUM(X428)+IF(COUNTIF(X$641:X731,1)=1,5,0)+IF(COUNTIF($Z429:AB429,"&gt;"&amp;0)&gt;5,IF(MOD(COUNTIF(X$641:X731,1),7)=0,$C$4,0),0)</f>
        <v>44.7164257607481</v>
      </c>
      <c r="Y429" s="81" cm="1">
        <f ca="1" t="array" ref="Y429">IF(Y731=1,OFFSET($Z$338,$B429,Y$335-1)/SUMPRODUCT(--($D$335:$V$335=Y$335),--($D731:$V731=1)),0)+SUM(Y428)+IF(COUNTIF(Y$641:Y731,1)=1,5,0)+IF(COUNTIF($Z429:AC429,"&gt;"&amp;0)&gt;5,IF(MOD(COUNTIF(Y$641:Y731,1),7)=0,$C$4,0),0)</f>
        <v>37.9527654701147</v>
      </c>
      <c r="Z429" s="82" cm="1">
        <f ca="1" t="array" ref="Z429">SUMPRODUCT(TRANSPOSE($AD429:$AJ429),OFFSET($L$10:$L$16,0,Z$335-1))</f>
        <v>18.5352420711277</v>
      </c>
      <c r="AA429" s="82" cm="1">
        <f ca="1" t="array" ref="AA429">SUMPRODUCT(TRANSPOSE($AD429:$AJ429),OFFSET($L$10:$L$16,0,AA$335-1))</f>
        <v>22</v>
      </c>
      <c r="AB429" s="82" cm="1">
        <f ca="1" t="array" ref="AB429">SUMPRODUCT(TRANSPOSE($AD429:$AJ429),OFFSET($L$10:$L$16,0,AB$335-1))</f>
        <v>11</v>
      </c>
      <c r="AC429" s="82" cm="1">
        <f ca="1" t="array" ref="AC429">SUMPRODUCT(TRANSPOSE($AD429:$AJ429),OFFSET($L$10:$L$16,0,AC$335-1))</f>
        <v>3.46475792887232</v>
      </c>
      <c r="AD429" s="83">
        <f ca="1" t="shared" ref="AD429:AJ429" si="503">AK429-AK428</f>
        <v>0</v>
      </c>
      <c r="AE429" s="83">
        <f ca="1" t="shared" si="503"/>
        <v>0</v>
      </c>
      <c r="AF429" s="83">
        <f ca="1" t="shared" si="503"/>
        <v>0</v>
      </c>
      <c r="AG429" s="83">
        <f ca="1" t="shared" si="503"/>
        <v>0</v>
      </c>
      <c r="AH429" s="83">
        <f ca="1" t="shared" si="503"/>
        <v>0</v>
      </c>
      <c r="AI429" s="83">
        <f ca="1" t="shared" si="503"/>
        <v>110</v>
      </c>
      <c r="AJ429" s="83">
        <f ca="1" t="shared" si="503"/>
        <v>0</v>
      </c>
      <c r="AK429" s="83">
        <f ca="1" t="shared" si="451"/>
        <v>450</v>
      </c>
      <c r="AL429" s="83">
        <f ca="1" t="shared" ref="AL429:AQ429" si="504">IF($C429&gt;OFFSET($Q$9,MATCH(AL$338,$AK$338:$AQ$338,0),0),OFFSET($P$9,MATCH(AL$338,$AK$338:$AQ$338,0),0),MAX(0,$C429-OFFSET($Q$9,RIGHT(AL$338,1)-1,0)))</f>
        <v>909</v>
      </c>
      <c r="AM429" s="83">
        <f ca="1" t="shared" si="504"/>
        <v>1818</v>
      </c>
      <c r="AN429" s="83">
        <f ca="1" t="shared" si="504"/>
        <v>2727</v>
      </c>
      <c r="AO429" s="83">
        <f ca="1" t="shared" si="504"/>
        <v>3636</v>
      </c>
      <c r="AP429" s="83">
        <f ca="1" t="shared" si="504"/>
        <v>1796</v>
      </c>
      <c r="AQ429" s="83">
        <f ca="1" t="shared" si="504"/>
        <v>0</v>
      </c>
    </row>
    <row r="430" ht="16.5" spans="2:43">
      <c r="B430" s="65">
        <v>92</v>
      </c>
      <c r="C430" s="80">
        <f t="shared" si="449"/>
        <v>11446</v>
      </c>
      <c r="D430" s="81" cm="1">
        <f ca="1" t="array" ref="D430">IF(D732=1,OFFSET($Z$338,$B430,D$335-1)/SUMPRODUCT(--($D$335:$V$335=D$335),--($D732:$V732=1)),0)+SUM(D429)+IF(COUNTIF(D$641:D732,1)=1,5,0)+IF(COUNTIF(E430:$Z430,"&gt;"&amp;0)&gt;5,IF(MOD(COUNTIF(D$641:D732,1),7)=0,$C$4,0),0)</f>
        <v>1035.59557939786</v>
      </c>
      <c r="E430" s="81" cm="1">
        <f ca="1" t="array" ref="E430">IF(E732=1,OFFSET($Z$338,$B430,E$335-1)/SUMPRODUCT(--($D$335:$V$335=E$335),--($D732:$V732=1)),0)+SUM(E429)+IF(COUNTIF(E$641:E732,1)=1,5,0)+IF(COUNTIF(F430:$Z430,"&gt;"&amp;0)&gt;5,IF(MOD(COUNTIF(E$641:E732,1),7)=0,$C$4,0),0)</f>
        <v>1035.59557939786</v>
      </c>
      <c r="F430" s="81" cm="1">
        <f ca="1" t="array" ref="F430">IF(F732=1,OFFSET($Z$338,$B430,F$335-1)/SUMPRODUCT(--($D$335:$V$335=F$335),--($D732:$V732=1)),0)+SUM(F429)+IF(COUNTIF(F$641:F732,1)=1,5,0)+IF(COUNTIF(G430:$Z430,"&gt;"&amp;0)&gt;5,IF(MOD(COUNTIF(F$641:F732,1),7)=0,$C$4,0),0)</f>
        <v>1035.59557939786</v>
      </c>
      <c r="G430" s="81" cm="1">
        <f ca="1" t="array" ref="G430">IF(G732=1,OFFSET($Z$338,$B430,G$335-1)/SUMPRODUCT(--($D$335:$V$335=G$335),--($D732:$V732=1)),0)+SUM(G429)+IF(COUNTIF(G$641:G732,1)=1,5,0)+IF(COUNTIF(H430:$Z430,"&gt;"&amp;0)&gt;5,IF(MOD(COUNTIF(G$641:G732,1),7)=0,$C$4,0),0)</f>
        <v>384.550000000001</v>
      </c>
      <c r="H430" s="81" cm="1">
        <f ca="1" t="array" ref="H430">IF(H732=1,OFFSET($Z$338,$B430,H$335-1)/SUMPRODUCT(--($D$335:$V$335=H$335),--($D732:$V732=1)),0)+SUM(H429)+IF(COUNTIF(H$641:H732,1)=1,5,0)+IF(COUNTIF(I430:$Z430,"&gt;"&amp;0)&gt;5,IF(MOD(COUNTIF(H$641:H732,1),7)=0,$C$4,0),0)</f>
        <v>384.550000000001</v>
      </c>
      <c r="I430" s="81" cm="1">
        <f ca="1" t="array" ref="I430">IF(I732=1,OFFSET($Z$338,$B430,I$335-1)/SUMPRODUCT(--($D$335:$V$335=I$335),--($D732:$V732=1)),0)+SUM(I429)+IF(COUNTIF(I$641:I732,1)=1,5,0)+IF(COUNTIF(J430:$Z430,"&gt;"&amp;0)&gt;5,IF(MOD(COUNTIF(I$641:I732,1),7)=0,$C$4,0),0)</f>
        <v>384.550000000001</v>
      </c>
      <c r="J430" s="81" cm="1">
        <f ca="1" t="array" ref="J430">IF(J732=1,OFFSET($Z$338,$B430,J$335-1)/SUMPRODUCT(--($D$335:$V$335=J$335),--($D732:$V732=1)),0)+SUM(J429)+IF(COUNTIF(J$641:J732,1)=1,5,0)+IF(COUNTIF(K430:$Z430,"&gt;"&amp;0)&gt;5,IF(MOD(COUNTIF(J$641:J732,1),7)=0,$C$4,0),0)</f>
        <v>384.550000000001</v>
      </c>
      <c r="K430" s="81" cm="1">
        <f ca="1" t="array" ref="K430">IF(K732=1,OFFSET($Z$338,$B430,K$335-1)/SUMPRODUCT(--($D$335:$V$335=K$335),--($D732:$V732=1)),0)+SUM(K429)+IF(COUNTIF(K$641:K732,1)=1,5,0)+IF(COUNTIF(L430:$Z430,"&gt;"&amp;0)&gt;5,IF(MOD(COUNTIF(K$641:K732,1),7)=0,$C$4,0),0)</f>
        <v>384.550000000001</v>
      </c>
      <c r="L430" s="81" cm="1">
        <f ca="1" t="array" ref="L430">IF(L732=1,OFFSET($Z$338,$B430,L$335-1)/SUMPRODUCT(--($D$335:$V$335=L$335),--($D732:$V732=1)),0)+SUM(L429)+IF(COUNTIF(L$641:L732,1)=1,5,0)+IF(COUNTIF(M430:$Z430,"&gt;"&amp;0)&gt;5,IF(MOD(COUNTIF(L$641:L732,1),7)=0,$C$4,0),0)</f>
        <v>377.850000000001</v>
      </c>
      <c r="M430" s="81" cm="1">
        <f ca="1" t="array" ref="M430">IF(M732=1,OFFSET($Z$338,$B430,M$335-1)/SUMPRODUCT(--($D$335:$V$335=M$335),--($D732:$V732=1)),0)+SUM(M429)+IF(COUNTIF(M$641:M732,1)=1,5,0)+IF(COUNTIF(N430:$Z430,"&gt;"&amp;0)&gt;5,IF(MOD(COUNTIF(M$641:M732,1),7)=0,$C$4,0),0)</f>
        <v>182.944107142857</v>
      </c>
      <c r="N430" s="81" cm="1">
        <f ca="1" t="array" ref="N430">IF(N732=1,OFFSET($Z$338,$B430,N$335-1)/SUMPRODUCT(--($D$335:$V$335=N$335),--($D732:$V732=1)),0)+SUM(N429)+IF(COUNTIF(N$641:N732,1)=1,5,0)+IF(COUNTIF(O430:$Z430,"&gt;"&amp;0)&gt;5,IF(MOD(COUNTIF(N$641:N732,1),7)=0,$C$4,0),0)</f>
        <v>170.219107142857</v>
      </c>
      <c r="O430" s="81" cm="1">
        <f ca="1" t="array" ref="O430">IF(O732=1,OFFSET($Z$338,$B430,O$335-1)/SUMPRODUCT(--($D$335:$V$335=O$335),--($D732:$V732=1)),0)+SUM(O429)+IF(COUNTIF(O$641:O732,1)=1,5,0)+IF(COUNTIF(P430:$Z430,"&gt;"&amp;0)&gt;5,IF(MOD(COUNTIF(O$641:O732,1),7)=0,$C$4,0),0)</f>
        <v>167.794107142857</v>
      </c>
      <c r="P430" s="81" cm="1">
        <f ca="1" t="array" ref="P430">IF(P732=1,OFFSET($Z$338,$B430,P$335-1)/SUMPRODUCT(--($D$335:$V$335=P$335),--($D732:$V732=1)),0)+SUM(P429)+IF(COUNTIF(P$641:P732,1)=1,5,0)+IF(COUNTIF(Q430:$Z430,"&gt;"&amp;0)&gt;5,IF(MOD(COUNTIF(P$641:P732,1),7)=0,$C$4,0),0)</f>
        <v>164.860773809524</v>
      </c>
      <c r="Q430" s="81" cm="1">
        <f ca="1" t="array" ref="Q430">IF(Q732=1,OFFSET($Z$338,$B430,Q$335-1)/SUMPRODUCT(--($D$335:$V$335=Q$335),--($D732:$V732=1)),0)+SUM(Q429)+IF(COUNTIF(Q$641:Q732,1)=1,5,0)+IF(COUNTIF(R430:$Z430,"&gt;"&amp;0)&gt;5,IF(MOD(COUNTIF(Q$641:Q732,1),7)=0,$C$4,0),0)</f>
        <v>163.954523809524</v>
      </c>
      <c r="R430" s="81" cm="1">
        <f ca="1" t="array" ref="R430">IF(R732=1,OFFSET($Z$338,$B430,R$335-1)/SUMPRODUCT(--($D$335:$V$335=R$335),--($D732:$V732=1)),0)+SUM(R429)+IF(COUNTIF(R$641:R732,1)=1,5,0)+IF(COUNTIF(S430:$Z430,"&gt;"&amp;0)&gt;5,IF(MOD(COUNTIF(R$641:R732,1),7)=0,$C$4,0),0)</f>
        <v>139.059523809524</v>
      </c>
      <c r="S430" s="81" cm="1">
        <f ca="1" t="array" ref="S430">IF(S732=1,OFFSET($Z$338,$B430,S$335-1)/SUMPRODUCT(--($D$335:$V$335=S$335),--($D732:$V732=1)),0)+SUM(S429)+IF(COUNTIF(S$641:S732,1)=1,5,0)+IF(COUNTIF(T430:$Z430,"&gt;"&amp;0)&gt;5,IF(MOD(COUNTIF(S$641:S732,1),7)=0,$C$4,0),0)</f>
        <v>129.892857142857</v>
      </c>
      <c r="T430" s="81" cm="1">
        <f ca="1" t="array" ref="T430">IF(T732=1,OFFSET($Z$338,$B430,T$335-1)/SUMPRODUCT(--($D$335:$V$335=T$335),--($D732:$V732=1)),0)+SUM(T429)+IF(COUNTIF(T$641:T732,1)=1,5,0)+IF(COUNTIF(U430:$Z430,"&gt;"&amp;0)&gt;5,IF(MOD(COUNTIF(T$641:T732,1),7)=0,$C$4,0),0)</f>
        <v>94.9486936652369</v>
      </c>
      <c r="U430" s="81" cm="1">
        <f ca="1" t="array" ref="U430">IF(U732=1,OFFSET($Z$338,$B430,U$335-1)/SUMPRODUCT(--($D$335:$V$335=U$335),--($D732:$V732=1)),0)+SUM(U429)+IF(COUNTIF(U$641:U732,1)=1,5,0)+IF(COUNTIF(V430:$Z430,"&gt;"&amp;0)&gt;5,IF(MOD(COUNTIF(U$641:U732,1),7)=0,$C$4,0),0)</f>
        <v>69.9486936652369</v>
      </c>
      <c r="V430" s="81" cm="1">
        <f ca="1" t="array" ref="V430">IF(V732=1,OFFSET($Z$338,$B430,V$335-1)/SUMPRODUCT(--($D$335:$V$335=V$335),--($D732:$V732=1)),0)+SUM(V429)+IF(COUNTIF(V$641:V732,1)=1,5,0)+IF(COUNTIF(Z430:$Z430,"&gt;"&amp;0)&gt;5,IF(MOD(COUNTIF(V$641:V732,1),7)=0,$C$4,0),0)</f>
        <v>61.990874475955</v>
      </c>
      <c r="W430" s="81" cm="1">
        <f ca="1" t="array" ref="W430">IF(W732=1,OFFSET($Z$338,$B430,W$335-1)/SUMPRODUCT(--($D$335:$V$335=W$335),--($D732:$V732=1)),0)+SUM(W429)+IF(COUNTIF(W$641:W732,1)=1,5,0)+IF(COUNTIF($Z430:AA430,"&gt;"&amp;0)&gt;5,IF(MOD(COUNTIF(W$641:W732,1),7)=0,$C$4,0),0)</f>
        <v>52.6350053610057</v>
      </c>
      <c r="X430" s="81" cm="1">
        <f ca="1" t="array" ref="X430">IF(X732=1,OFFSET($Z$338,$B430,X$335-1)/SUMPRODUCT(--($D$335:$V$335=X$335),--($D732:$V732=1)),0)+SUM(X429)+IF(COUNTIF(X$641:X732,1)=1,5,0)+IF(COUNTIF($Z430:AB430,"&gt;"&amp;0)&gt;5,IF(MOD(COUNTIF(X$641:X732,1),7)=0,$C$4,0),0)</f>
        <v>45.8713450703722</v>
      </c>
      <c r="Y430" s="81" cm="1">
        <f ca="1" t="array" ref="Y430">IF(Y732=1,OFFSET($Z$338,$B430,Y$335-1)/SUMPRODUCT(--($D$335:$V$335=Y$335),--($D732:$V732=1)),0)+SUM(Y429)+IF(COUNTIF(Y$641:Y732,1)=1,5,0)+IF(COUNTIF($Z430:AC430,"&gt;"&amp;0)&gt;5,IF(MOD(COUNTIF(Y$641:Y732,1),7)=0,$C$4,0),0)</f>
        <v>39.1076847797388</v>
      </c>
      <c r="Z430" s="82" cm="1">
        <f ca="1" t="array" ref="Z430">SUMPRODUCT(TRANSPOSE($AD430:$AJ430),OFFSET($L$10:$L$16,0,Z$335-1))</f>
        <v>18.5352420711277</v>
      </c>
      <c r="AA430" s="82" cm="1">
        <f ca="1" t="array" ref="AA430">SUMPRODUCT(TRANSPOSE($AD430:$AJ430),OFFSET($L$10:$L$16,0,AA$335-1))</f>
        <v>22</v>
      </c>
      <c r="AB430" s="82" cm="1">
        <f ca="1" t="array" ref="AB430">SUMPRODUCT(TRANSPOSE($AD430:$AJ430),OFFSET($L$10:$L$16,0,AB$335-1))</f>
        <v>11</v>
      </c>
      <c r="AC430" s="82" cm="1">
        <f ca="1" t="array" ref="AC430">SUMPRODUCT(TRANSPOSE($AD430:$AJ430),OFFSET($L$10:$L$16,0,AC$335-1))</f>
        <v>3.46475792887232</v>
      </c>
      <c r="AD430" s="83">
        <f ca="1" t="shared" ref="AD430:AJ430" si="505">AK430-AK429</f>
        <v>0</v>
      </c>
      <c r="AE430" s="83">
        <f ca="1" t="shared" si="505"/>
        <v>0</v>
      </c>
      <c r="AF430" s="83">
        <f ca="1" t="shared" si="505"/>
        <v>0</v>
      </c>
      <c r="AG430" s="83">
        <f ca="1" t="shared" si="505"/>
        <v>0</v>
      </c>
      <c r="AH430" s="83">
        <f ca="1" t="shared" si="505"/>
        <v>0</v>
      </c>
      <c r="AI430" s="83">
        <f ca="1" t="shared" si="505"/>
        <v>110</v>
      </c>
      <c r="AJ430" s="83">
        <f ca="1" t="shared" si="505"/>
        <v>0</v>
      </c>
      <c r="AK430" s="83">
        <f ca="1" t="shared" si="451"/>
        <v>450</v>
      </c>
      <c r="AL430" s="83">
        <f ca="1" t="shared" ref="AL430:AQ430" si="506">IF($C430&gt;OFFSET($Q$9,MATCH(AL$338,$AK$338:$AQ$338,0),0),OFFSET($P$9,MATCH(AL$338,$AK$338:$AQ$338,0),0),MAX(0,$C430-OFFSET($Q$9,RIGHT(AL$338,1)-1,0)))</f>
        <v>909</v>
      </c>
      <c r="AM430" s="83">
        <f ca="1" t="shared" si="506"/>
        <v>1818</v>
      </c>
      <c r="AN430" s="83">
        <f ca="1" t="shared" si="506"/>
        <v>2727</v>
      </c>
      <c r="AO430" s="83">
        <f ca="1" t="shared" si="506"/>
        <v>3636</v>
      </c>
      <c r="AP430" s="83">
        <f ca="1" t="shared" si="506"/>
        <v>1906</v>
      </c>
      <c r="AQ430" s="83">
        <f ca="1" t="shared" si="506"/>
        <v>0</v>
      </c>
    </row>
    <row r="431" ht="16.5" spans="2:43">
      <c r="B431" s="65">
        <v>93</v>
      </c>
      <c r="C431" s="80">
        <f t="shared" si="449"/>
        <v>11556</v>
      </c>
      <c r="D431" s="81" cm="1">
        <f ca="1" t="array" ref="D431">IF(D733=1,OFFSET($Z$338,$B431,D$335-1)/SUMPRODUCT(--($D$335:$V$335=D$335),--($D733:$V733=1)),0)+SUM(D430)+IF(COUNTIF(D$641:D733,1)=1,5,0)+IF(COUNTIF(E431:$Z431,"&gt;"&amp;0)&gt;5,IF(MOD(COUNTIF(D$641:D733,1),7)=0,$C$4,0),0)</f>
        <v>1041.77399342157</v>
      </c>
      <c r="E431" s="81" cm="1">
        <f ca="1" t="array" ref="E431">IF(E733=1,OFFSET($Z$338,$B431,E$335-1)/SUMPRODUCT(--($D$335:$V$335=E$335),--($D733:$V733=1)),0)+SUM(E430)+IF(COUNTIF(E$641:E733,1)=1,5,0)+IF(COUNTIF(F431:$Z431,"&gt;"&amp;0)&gt;5,IF(MOD(COUNTIF(E$641:E733,1),7)=0,$C$4,0),0)</f>
        <v>1041.77399342157</v>
      </c>
      <c r="F431" s="81" cm="1">
        <f ca="1" t="array" ref="F431">IF(F733=1,OFFSET($Z$338,$B431,F$335-1)/SUMPRODUCT(--($D$335:$V$335=F$335),--($D733:$V733=1)),0)+SUM(F430)+IF(COUNTIF(F$641:F733,1)=1,5,0)+IF(COUNTIF(G431:$Z431,"&gt;"&amp;0)&gt;5,IF(MOD(COUNTIF(F$641:F733,1),7)=0,$C$4,0),0)</f>
        <v>1041.77399342157</v>
      </c>
      <c r="G431" s="81" cm="1">
        <f ca="1" t="array" ref="G431">IF(G733=1,OFFSET($Z$338,$B431,G$335-1)/SUMPRODUCT(--($D$335:$V$335=G$335),--($D733:$V733=1)),0)+SUM(G430)+IF(COUNTIF(G$641:G733,1)=1,5,0)+IF(COUNTIF(H431:$Z431,"&gt;"&amp;0)&gt;5,IF(MOD(COUNTIF(G$641:G733,1),7)=0,$C$4,0),0)</f>
        <v>388.216666666667</v>
      </c>
      <c r="H431" s="81" cm="1">
        <f ca="1" t="array" ref="H431">IF(H733=1,OFFSET($Z$338,$B431,H$335-1)/SUMPRODUCT(--($D$335:$V$335=H$335),--($D733:$V733=1)),0)+SUM(H430)+IF(COUNTIF(H$641:H733,1)=1,5,0)+IF(COUNTIF(I431:$Z431,"&gt;"&amp;0)&gt;5,IF(MOD(COUNTIF(H$641:H733,1),7)=0,$C$4,0),0)</f>
        <v>388.216666666667</v>
      </c>
      <c r="I431" s="81" cm="1">
        <f ca="1" t="array" ref="I431">IF(I733=1,OFFSET($Z$338,$B431,I$335-1)/SUMPRODUCT(--($D$335:$V$335=I$335),--($D733:$V733=1)),0)+SUM(I430)+IF(COUNTIF(I$641:I733,1)=1,5,0)+IF(COUNTIF(J431:$Z431,"&gt;"&amp;0)&gt;5,IF(MOD(COUNTIF(I$641:I733,1),7)=0,$C$4,0),0)</f>
        <v>388.216666666667</v>
      </c>
      <c r="J431" s="81" cm="1">
        <f ca="1" t="array" ref="J431">IF(J733=1,OFFSET($Z$338,$B431,J$335-1)/SUMPRODUCT(--($D$335:$V$335=J$335),--($D733:$V733=1)),0)+SUM(J430)+IF(COUNTIF(J$641:J733,1)=1,5,0)+IF(COUNTIF(K431:$Z431,"&gt;"&amp;0)&gt;5,IF(MOD(COUNTIF(J$641:J733,1),7)=0,$C$4,0),0)</f>
        <v>388.216666666667</v>
      </c>
      <c r="K431" s="81" cm="1">
        <f ca="1" t="array" ref="K431">IF(K733=1,OFFSET($Z$338,$B431,K$335-1)/SUMPRODUCT(--($D$335:$V$335=K$335),--($D733:$V733=1)),0)+SUM(K430)+IF(COUNTIF(K$641:K733,1)=1,5,0)+IF(COUNTIF(L431:$Z431,"&gt;"&amp;0)&gt;5,IF(MOD(COUNTIF(K$641:K733,1),7)=0,$C$4,0),0)</f>
        <v>388.216666666667</v>
      </c>
      <c r="L431" s="81" cm="1">
        <f ca="1" t="array" ref="L431">IF(L733=1,OFFSET($Z$338,$B431,L$335-1)/SUMPRODUCT(--($D$335:$V$335=L$335),--($D733:$V733=1)),0)+SUM(L430)+IF(COUNTIF(L$641:L733,1)=1,5,0)+IF(COUNTIF(M431:$Z431,"&gt;"&amp;0)&gt;5,IF(MOD(COUNTIF(L$641:L733,1),7)=0,$C$4,0),0)</f>
        <v>381.516666666667</v>
      </c>
      <c r="M431" s="81" cm="1">
        <f ca="1" t="array" ref="M431">IF(M733=1,OFFSET($Z$338,$B431,M$335-1)/SUMPRODUCT(--($D$335:$V$335=M$335),--($D733:$V733=1)),0)+SUM(M430)+IF(COUNTIF(M$641:M733,1)=1,5,0)+IF(COUNTIF(N431:$Z431,"&gt;"&amp;0)&gt;5,IF(MOD(COUNTIF(M$641:M733,1),7)=0,$C$4,0),0)</f>
        <v>184.515535714286</v>
      </c>
      <c r="N431" s="81" cm="1">
        <f ca="1" t="array" ref="N431">IF(N733=1,OFFSET($Z$338,$B431,N$335-1)/SUMPRODUCT(--($D$335:$V$335=N$335),--($D733:$V733=1)),0)+SUM(N430)+IF(COUNTIF(N$641:N733,1)=1,5,0)+IF(COUNTIF(O431:$Z431,"&gt;"&amp;0)&gt;5,IF(MOD(COUNTIF(N$641:N733,1),7)=0,$C$4,0),0)</f>
        <v>176.790535714286</v>
      </c>
      <c r="O431" s="81" cm="1">
        <f ca="1" t="array" ref="O431">IF(O733=1,OFFSET($Z$338,$B431,O$335-1)/SUMPRODUCT(--($D$335:$V$335=O$335),--($D733:$V733=1)),0)+SUM(O430)+IF(COUNTIF(O$641:O733,1)=1,5,0)+IF(COUNTIF(P431:$Z431,"&gt;"&amp;0)&gt;5,IF(MOD(COUNTIF(O$641:O733,1),7)=0,$C$4,0),0)</f>
        <v>169.365535714286</v>
      </c>
      <c r="P431" s="81" cm="1">
        <f ca="1" t="array" ref="P431">IF(P733=1,OFFSET($Z$338,$B431,P$335-1)/SUMPRODUCT(--($D$335:$V$335=P$335),--($D733:$V733=1)),0)+SUM(P430)+IF(COUNTIF(P$641:P733,1)=1,5,0)+IF(COUNTIF(Q431:$Z431,"&gt;"&amp;0)&gt;5,IF(MOD(COUNTIF(P$641:P733,1),7)=0,$C$4,0),0)</f>
        <v>166.432202380952</v>
      </c>
      <c r="Q431" s="81" cm="1">
        <f ca="1" t="array" ref="Q431">IF(Q733=1,OFFSET($Z$338,$B431,Q$335-1)/SUMPRODUCT(--($D$335:$V$335=Q$335),--($D733:$V733=1)),0)+SUM(Q430)+IF(COUNTIF(Q$641:Q733,1)=1,5,0)+IF(COUNTIF(R431:$Z431,"&gt;"&amp;0)&gt;5,IF(MOD(COUNTIF(Q$641:Q733,1),7)=0,$C$4,0),0)</f>
        <v>165.525952380952</v>
      </c>
      <c r="R431" s="81" cm="1">
        <f ca="1" t="array" ref="R431">IF(R733=1,OFFSET($Z$338,$B431,R$335-1)/SUMPRODUCT(--($D$335:$V$335=R$335),--($D733:$V733=1)),0)+SUM(R430)+IF(COUNTIF(R$641:R733,1)=1,5,0)+IF(COUNTIF(S431:$Z431,"&gt;"&amp;0)&gt;5,IF(MOD(COUNTIF(R$641:R733,1),7)=0,$C$4,0),0)</f>
        <v>140.630952380952</v>
      </c>
      <c r="S431" s="81" cm="1">
        <f ca="1" t="array" ref="S431">IF(S733=1,OFFSET($Z$338,$B431,S$335-1)/SUMPRODUCT(--($D$335:$V$335=S$335),--($D733:$V733=1)),0)+SUM(S430)+IF(COUNTIF(S$641:S733,1)=1,5,0)+IF(COUNTIF(T431:$Z431,"&gt;"&amp;0)&gt;5,IF(MOD(COUNTIF(S$641:S733,1),7)=0,$C$4,0),0)</f>
        <v>131.464285714286</v>
      </c>
      <c r="T431" s="81" cm="1">
        <f ca="1" t="array" ref="T431">IF(T733=1,OFFSET($Z$338,$B431,T$335-1)/SUMPRODUCT(--($D$335:$V$335=T$335),--($D733:$V733=1)),0)+SUM(T430)+IF(COUNTIF(T$641:T733,1)=1,5,0)+IF(COUNTIF(U431:$Z431,"&gt;"&amp;0)&gt;5,IF(MOD(COUNTIF(T$641:T733,1),7)=0,$C$4,0),0)</f>
        <v>96.103612974861</v>
      </c>
      <c r="U431" s="81" cm="1">
        <f ca="1" t="array" ref="U431">IF(U733=1,OFFSET($Z$338,$B431,U$335-1)/SUMPRODUCT(--($D$335:$V$335=U$335),--($D733:$V733=1)),0)+SUM(U430)+IF(COUNTIF(U$641:U733,1)=1,5,0)+IF(COUNTIF(V431:$Z431,"&gt;"&amp;0)&gt;5,IF(MOD(COUNTIF(U$641:U733,1),7)=0,$C$4,0),0)</f>
        <v>71.103612974861</v>
      </c>
      <c r="V431" s="81" cm="1">
        <f ca="1" t="array" ref="V431">IF(V733=1,OFFSET($Z$338,$B431,V$335-1)/SUMPRODUCT(--($D$335:$V$335=V$335),--($D733:$V733=1)),0)+SUM(V430)+IF(COUNTIF(V$641:V733,1)=1,5,0)+IF(COUNTIF(Z431:$Z431,"&gt;"&amp;0)&gt;5,IF(MOD(COUNTIF(V$641:V733,1),7)=0,$C$4,0),0)</f>
        <v>63.1457937855791</v>
      </c>
      <c r="W431" s="81" cm="1">
        <f ca="1" t="array" ref="W431">IF(W733=1,OFFSET($Z$338,$B431,W$335-1)/SUMPRODUCT(--($D$335:$V$335=W$335),--($D733:$V733=1)),0)+SUM(W430)+IF(COUNTIF(W$641:W733,1)=1,5,0)+IF(COUNTIF($Z431:AA431,"&gt;"&amp;0)&gt;5,IF(MOD(COUNTIF(W$641:W733,1),7)=0,$C$4,0),0)</f>
        <v>53.7899246706298</v>
      </c>
      <c r="X431" s="81" cm="1">
        <f ca="1" t="array" ref="X431">IF(X733=1,OFFSET($Z$338,$B431,X$335-1)/SUMPRODUCT(--($D$335:$V$335=X$335),--($D733:$V733=1)),0)+SUM(X430)+IF(COUNTIF(X$641:X733,1)=1,5,0)+IF(COUNTIF($Z431:AB431,"&gt;"&amp;0)&gt;5,IF(MOD(COUNTIF(X$641:X733,1),7)=0,$C$4,0),0)</f>
        <v>47.0262643799963</v>
      </c>
      <c r="Y431" s="81" cm="1">
        <f ca="1" t="array" ref="Y431">IF(Y733=1,OFFSET($Z$338,$B431,Y$335-1)/SUMPRODUCT(--($D$335:$V$335=Y$335),--($D733:$V733=1)),0)+SUM(Y430)+IF(COUNTIF(Y$641:Y733,1)=1,5,0)+IF(COUNTIF($Z431:AC431,"&gt;"&amp;0)&gt;5,IF(MOD(COUNTIF(Y$641:Y733,1),7)=0,$C$4,0),0)</f>
        <v>40.2626040893629</v>
      </c>
      <c r="Z431" s="82" cm="1">
        <f ca="1" t="array" ref="Z431">SUMPRODUCT(TRANSPOSE($AD431:$AJ431),OFFSET($L$10:$L$16,0,Z$335-1))</f>
        <v>18.5352420711277</v>
      </c>
      <c r="AA431" s="82" cm="1">
        <f ca="1" t="array" ref="AA431">SUMPRODUCT(TRANSPOSE($AD431:$AJ431),OFFSET($L$10:$L$16,0,AA$335-1))</f>
        <v>22</v>
      </c>
      <c r="AB431" s="82" cm="1">
        <f ca="1" t="array" ref="AB431">SUMPRODUCT(TRANSPOSE($AD431:$AJ431),OFFSET($L$10:$L$16,0,AB$335-1))</f>
        <v>11</v>
      </c>
      <c r="AC431" s="82" cm="1">
        <f ca="1" t="array" ref="AC431">SUMPRODUCT(TRANSPOSE($AD431:$AJ431),OFFSET($L$10:$L$16,0,AC$335-1))</f>
        <v>3.46475792887232</v>
      </c>
      <c r="AD431" s="83">
        <f ca="1" t="shared" ref="AD431:AJ431" si="507">AK431-AK430</f>
        <v>0</v>
      </c>
      <c r="AE431" s="83">
        <f ca="1" t="shared" si="507"/>
        <v>0</v>
      </c>
      <c r="AF431" s="83">
        <f ca="1" t="shared" si="507"/>
        <v>0</v>
      </c>
      <c r="AG431" s="83">
        <f ca="1" t="shared" si="507"/>
        <v>0</v>
      </c>
      <c r="AH431" s="83">
        <f ca="1" t="shared" si="507"/>
        <v>0</v>
      </c>
      <c r="AI431" s="83">
        <f ca="1" t="shared" si="507"/>
        <v>110</v>
      </c>
      <c r="AJ431" s="83">
        <f ca="1" t="shared" si="507"/>
        <v>0</v>
      </c>
      <c r="AK431" s="83">
        <f ca="1" t="shared" si="451"/>
        <v>450</v>
      </c>
      <c r="AL431" s="83">
        <f ca="1" t="shared" ref="AL431:AQ431" si="508">IF($C431&gt;OFFSET($Q$9,MATCH(AL$338,$AK$338:$AQ$338,0),0),OFFSET($P$9,MATCH(AL$338,$AK$338:$AQ$338,0),0),MAX(0,$C431-OFFSET($Q$9,RIGHT(AL$338,1)-1,0)))</f>
        <v>909</v>
      </c>
      <c r="AM431" s="83">
        <f ca="1" t="shared" si="508"/>
        <v>1818</v>
      </c>
      <c r="AN431" s="83">
        <f ca="1" t="shared" si="508"/>
        <v>2727</v>
      </c>
      <c r="AO431" s="83">
        <f ca="1" t="shared" si="508"/>
        <v>3636</v>
      </c>
      <c r="AP431" s="83">
        <f ca="1" t="shared" si="508"/>
        <v>2016</v>
      </c>
      <c r="AQ431" s="83">
        <f ca="1" t="shared" si="508"/>
        <v>0</v>
      </c>
    </row>
    <row r="432" ht="16.5" spans="2:43">
      <c r="B432" s="65">
        <v>94</v>
      </c>
      <c r="C432" s="80">
        <f t="shared" si="449"/>
        <v>11666</v>
      </c>
      <c r="D432" s="81" cm="1">
        <f ca="1" t="array" ref="D432">IF(D734=1,OFFSET($Z$338,$B432,D$335-1)/SUMPRODUCT(--($D$335:$V$335=D$335),--($D734:$V734=1)),0)+SUM(D431)+IF(COUNTIF(D$641:D734,1)=1,5,0)+IF(COUNTIF(E432:$Z432,"&gt;"&amp;0)&gt;5,IF(MOD(COUNTIF(D$641:D734,1),7)=0,$C$4,0),0)</f>
        <v>1047.95240744528</v>
      </c>
      <c r="E432" s="81" cm="1">
        <f ca="1" t="array" ref="E432">IF(E734=1,OFFSET($Z$338,$B432,E$335-1)/SUMPRODUCT(--($D$335:$V$335=E$335),--($D734:$V734=1)),0)+SUM(E431)+IF(COUNTIF(E$641:E734,1)=1,5,0)+IF(COUNTIF(F432:$Z432,"&gt;"&amp;0)&gt;5,IF(MOD(COUNTIF(E$641:E734,1),7)=0,$C$4,0),0)</f>
        <v>1047.95240744528</v>
      </c>
      <c r="F432" s="81" cm="1">
        <f ca="1" t="array" ref="F432">IF(F734=1,OFFSET($Z$338,$B432,F$335-1)/SUMPRODUCT(--($D$335:$V$335=F$335),--($D734:$V734=1)),0)+SUM(F431)+IF(COUNTIF(F$641:F734,1)=1,5,0)+IF(COUNTIF(G432:$Z432,"&gt;"&amp;0)&gt;5,IF(MOD(COUNTIF(F$641:F734,1),7)=0,$C$4,0),0)</f>
        <v>1047.95240744528</v>
      </c>
      <c r="G432" s="81" cm="1">
        <f ca="1" t="array" ref="G432">IF(G734=1,OFFSET($Z$338,$B432,G$335-1)/SUMPRODUCT(--($D$335:$V$335=G$335),--($D734:$V734=1)),0)+SUM(G431)+IF(COUNTIF(G$641:G734,1)=1,5,0)+IF(COUNTIF(H432:$Z432,"&gt;"&amp;0)&gt;5,IF(MOD(COUNTIF(G$641:G734,1),7)=0,$C$4,0),0)</f>
        <v>391.883333333334</v>
      </c>
      <c r="H432" s="81" cm="1">
        <f ca="1" t="array" ref="H432">IF(H734=1,OFFSET($Z$338,$B432,H$335-1)/SUMPRODUCT(--($D$335:$V$335=H$335),--($D734:$V734=1)),0)+SUM(H431)+IF(COUNTIF(H$641:H734,1)=1,5,0)+IF(COUNTIF(I432:$Z432,"&gt;"&amp;0)&gt;5,IF(MOD(COUNTIF(H$641:H734,1),7)=0,$C$4,0),0)</f>
        <v>391.883333333334</v>
      </c>
      <c r="I432" s="81" cm="1">
        <f ca="1" t="array" ref="I432">IF(I734=1,OFFSET($Z$338,$B432,I$335-1)/SUMPRODUCT(--($D$335:$V$335=I$335),--($D734:$V734=1)),0)+SUM(I431)+IF(COUNTIF(I$641:I734,1)=1,5,0)+IF(COUNTIF(J432:$Z432,"&gt;"&amp;0)&gt;5,IF(MOD(COUNTIF(I$641:I734,1),7)=0,$C$4,0),0)</f>
        <v>391.883333333334</v>
      </c>
      <c r="J432" s="81" cm="1">
        <f ca="1" t="array" ref="J432">IF(J734=1,OFFSET($Z$338,$B432,J$335-1)/SUMPRODUCT(--($D$335:$V$335=J$335),--($D734:$V734=1)),0)+SUM(J431)+IF(COUNTIF(J$641:J734,1)=1,5,0)+IF(COUNTIF(K432:$Z432,"&gt;"&amp;0)&gt;5,IF(MOD(COUNTIF(J$641:J734,1),7)=0,$C$4,0),0)</f>
        <v>391.883333333334</v>
      </c>
      <c r="K432" s="81" cm="1">
        <f ca="1" t="array" ref="K432">IF(K734=1,OFFSET($Z$338,$B432,K$335-1)/SUMPRODUCT(--($D$335:$V$335=K$335),--($D734:$V734=1)),0)+SUM(K431)+IF(COUNTIF(K$641:K734,1)=1,5,0)+IF(COUNTIF(L432:$Z432,"&gt;"&amp;0)&gt;5,IF(MOD(COUNTIF(K$641:K734,1),7)=0,$C$4,0),0)</f>
        <v>391.883333333334</v>
      </c>
      <c r="L432" s="81" cm="1">
        <f ca="1" t="array" ref="L432">IF(L734=1,OFFSET($Z$338,$B432,L$335-1)/SUMPRODUCT(--($D$335:$V$335=L$335),--($D734:$V734=1)),0)+SUM(L431)+IF(COUNTIF(L$641:L734,1)=1,5,0)+IF(COUNTIF(M432:$Z432,"&gt;"&amp;0)&gt;5,IF(MOD(COUNTIF(L$641:L734,1),7)=0,$C$4,0),0)</f>
        <v>385.183333333334</v>
      </c>
      <c r="M432" s="81" cm="1">
        <f ca="1" t="array" ref="M432">IF(M734=1,OFFSET($Z$338,$B432,M$335-1)/SUMPRODUCT(--($D$335:$V$335=M$335),--($D734:$V734=1)),0)+SUM(M431)+IF(COUNTIF(M$641:M734,1)=1,5,0)+IF(COUNTIF(N432:$Z432,"&gt;"&amp;0)&gt;5,IF(MOD(COUNTIF(M$641:M734,1),7)=0,$C$4,0),0)</f>
        <v>186.086964285714</v>
      </c>
      <c r="N432" s="81" cm="1">
        <f ca="1" t="array" ref="N432">IF(N734=1,OFFSET($Z$338,$B432,N$335-1)/SUMPRODUCT(--($D$335:$V$335=N$335),--($D734:$V734=1)),0)+SUM(N431)+IF(COUNTIF(N$641:N734,1)=1,5,0)+IF(COUNTIF(O432:$Z432,"&gt;"&amp;0)&gt;5,IF(MOD(COUNTIF(N$641:N734,1),7)=0,$C$4,0),0)</f>
        <v>178.361964285714</v>
      </c>
      <c r="O432" s="81" cm="1">
        <f ca="1" t="array" ref="O432">IF(O734=1,OFFSET($Z$338,$B432,O$335-1)/SUMPRODUCT(--($D$335:$V$335=O$335),--($D734:$V734=1)),0)+SUM(O431)+IF(COUNTIF(O$641:O734,1)=1,5,0)+IF(COUNTIF(P432:$Z432,"&gt;"&amp;0)&gt;5,IF(MOD(COUNTIF(O$641:O734,1),7)=0,$C$4,0),0)</f>
        <v>175.936964285714</v>
      </c>
      <c r="P432" s="81" cm="1">
        <f ca="1" t="array" ref="P432">IF(P734=1,OFFSET($Z$338,$B432,P$335-1)/SUMPRODUCT(--($D$335:$V$335=P$335),--($D734:$V734=1)),0)+SUM(P431)+IF(COUNTIF(P$641:P734,1)=1,5,0)+IF(COUNTIF(Q432:$Z432,"&gt;"&amp;0)&gt;5,IF(MOD(COUNTIF(P$641:P734,1),7)=0,$C$4,0),0)</f>
        <v>168.003630952381</v>
      </c>
      <c r="Q432" s="81" cm="1">
        <f ca="1" t="array" ref="Q432">IF(Q734=1,OFFSET($Z$338,$B432,Q$335-1)/SUMPRODUCT(--($D$335:$V$335=Q$335),--($D734:$V734=1)),0)+SUM(Q431)+IF(COUNTIF(Q$641:Q734,1)=1,5,0)+IF(COUNTIF(R432:$Z432,"&gt;"&amp;0)&gt;5,IF(MOD(COUNTIF(Q$641:Q734,1),7)=0,$C$4,0),0)</f>
        <v>167.097380952381</v>
      </c>
      <c r="R432" s="81" cm="1">
        <f ca="1" t="array" ref="R432">IF(R734=1,OFFSET($Z$338,$B432,R$335-1)/SUMPRODUCT(--($D$335:$V$335=R$335),--($D734:$V734=1)),0)+SUM(R431)+IF(COUNTIF(R$641:R734,1)=1,5,0)+IF(COUNTIF(S432:$Z432,"&gt;"&amp;0)&gt;5,IF(MOD(COUNTIF(R$641:R734,1),7)=0,$C$4,0),0)</f>
        <v>142.202380952381</v>
      </c>
      <c r="S432" s="81" cm="1">
        <f ca="1" t="array" ref="S432">IF(S734=1,OFFSET($Z$338,$B432,S$335-1)/SUMPRODUCT(--($D$335:$V$335=S$335),--($D734:$V734=1)),0)+SUM(S431)+IF(COUNTIF(S$641:S734,1)=1,5,0)+IF(COUNTIF(T432:$Z432,"&gt;"&amp;0)&gt;5,IF(MOD(COUNTIF(S$641:S734,1),7)=0,$C$4,0),0)</f>
        <v>133.035714285714</v>
      </c>
      <c r="T432" s="81" cm="1">
        <f ca="1" t="array" ref="T432">IF(T734=1,OFFSET($Z$338,$B432,T$335-1)/SUMPRODUCT(--($D$335:$V$335=T$335),--($D734:$V734=1)),0)+SUM(T431)+IF(COUNTIF(T$641:T734,1)=1,5,0)+IF(COUNTIF(U432:$Z432,"&gt;"&amp;0)&gt;5,IF(MOD(COUNTIF(T$641:T734,1),7)=0,$C$4,0),0)</f>
        <v>97.2585322844851</v>
      </c>
      <c r="U432" s="81" cm="1">
        <f ca="1" t="array" ref="U432">IF(U734=1,OFFSET($Z$338,$B432,U$335-1)/SUMPRODUCT(--($D$335:$V$335=U$335),--($D734:$V734=1)),0)+SUM(U431)+IF(COUNTIF(U$641:U734,1)=1,5,0)+IF(COUNTIF(V432:$Z432,"&gt;"&amp;0)&gt;5,IF(MOD(COUNTIF(U$641:U734,1),7)=0,$C$4,0),0)</f>
        <v>72.2585322844851</v>
      </c>
      <c r="V432" s="81" cm="1">
        <f ca="1" t="array" ref="V432">IF(V734=1,OFFSET($Z$338,$B432,V$335-1)/SUMPRODUCT(--($D$335:$V$335=V$335),--($D734:$V734=1)),0)+SUM(V431)+IF(COUNTIF(V$641:V734,1)=1,5,0)+IF(COUNTIF(Z432:$Z432,"&gt;"&amp;0)&gt;5,IF(MOD(COUNTIF(V$641:V734,1),7)=0,$C$4,0),0)</f>
        <v>64.3007130952032</v>
      </c>
      <c r="W432" s="81" cm="1">
        <f ca="1" t="array" ref="W432">IF(W734=1,OFFSET($Z$338,$B432,W$335-1)/SUMPRODUCT(--($D$335:$V$335=W$335),--($D734:$V734=1)),0)+SUM(W431)+IF(COUNTIF(W$641:W734,1)=1,5,0)+IF(COUNTIF($Z432:AA432,"&gt;"&amp;0)&gt;5,IF(MOD(COUNTIF(W$641:W734,1),7)=0,$C$4,0),0)</f>
        <v>54.9448439802539</v>
      </c>
      <c r="X432" s="81" cm="1">
        <f ca="1" t="array" ref="X432">IF(X734=1,OFFSET($Z$338,$B432,X$335-1)/SUMPRODUCT(--($D$335:$V$335=X$335),--($D734:$V734=1)),0)+SUM(X431)+IF(COUNTIF(X$641:X734,1)=1,5,0)+IF(COUNTIF($Z432:AB432,"&gt;"&amp;0)&gt;5,IF(MOD(COUNTIF(X$641:X734,1),7)=0,$C$4,0),0)</f>
        <v>48.1811836896204</v>
      </c>
      <c r="Y432" s="81" cm="1">
        <f ca="1" t="array" ref="Y432">IF(Y734=1,OFFSET($Z$338,$B432,Y$335-1)/SUMPRODUCT(--($D$335:$V$335=Y$335),--($D734:$V734=1)),0)+SUM(Y431)+IF(COUNTIF(Y$641:Y734,1)=1,5,0)+IF(COUNTIF($Z432:AC432,"&gt;"&amp;0)&gt;5,IF(MOD(COUNTIF(Y$641:Y734,1),7)=0,$C$4,0),0)</f>
        <v>41.417523398987</v>
      </c>
      <c r="Z432" s="82" cm="1">
        <f ca="1" t="array" ref="Z432">SUMPRODUCT(TRANSPOSE($AD432:$AJ432),OFFSET($L$10:$L$16,0,Z$335-1))</f>
        <v>18.5352420711277</v>
      </c>
      <c r="AA432" s="82" cm="1">
        <f ca="1" t="array" ref="AA432">SUMPRODUCT(TRANSPOSE($AD432:$AJ432),OFFSET($L$10:$L$16,0,AA$335-1))</f>
        <v>22</v>
      </c>
      <c r="AB432" s="82" cm="1">
        <f ca="1" t="array" ref="AB432">SUMPRODUCT(TRANSPOSE($AD432:$AJ432),OFFSET($L$10:$L$16,0,AB$335-1))</f>
        <v>11</v>
      </c>
      <c r="AC432" s="82" cm="1">
        <f ca="1" t="array" ref="AC432">SUMPRODUCT(TRANSPOSE($AD432:$AJ432),OFFSET($L$10:$L$16,0,AC$335-1))</f>
        <v>3.46475792887232</v>
      </c>
      <c r="AD432" s="83">
        <f ca="1" t="shared" ref="AD432:AJ432" si="509">AK432-AK431</f>
        <v>0</v>
      </c>
      <c r="AE432" s="83">
        <f ca="1" t="shared" si="509"/>
        <v>0</v>
      </c>
      <c r="AF432" s="83">
        <f ca="1" t="shared" si="509"/>
        <v>0</v>
      </c>
      <c r="AG432" s="83">
        <f ca="1" t="shared" si="509"/>
        <v>0</v>
      </c>
      <c r="AH432" s="83">
        <f ca="1" t="shared" si="509"/>
        <v>0</v>
      </c>
      <c r="AI432" s="83">
        <f ca="1" t="shared" si="509"/>
        <v>110</v>
      </c>
      <c r="AJ432" s="83">
        <f ca="1" t="shared" si="509"/>
        <v>0</v>
      </c>
      <c r="AK432" s="83">
        <f ca="1" t="shared" si="451"/>
        <v>450</v>
      </c>
      <c r="AL432" s="83">
        <f ca="1" t="shared" ref="AL432:AQ432" si="510">IF($C432&gt;OFFSET($Q$9,MATCH(AL$338,$AK$338:$AQ$338,0),0),OFFSET($P$9,MATCH(AL$338,$AK$338:$AQ$338,0),0),MAX(0,$C432-OFFSET($Q$9,RIGHT(AL$338,1)-1,0)))</f>
        <v>909</v>
      </c>
      <c r="AM432" s="83">
        <f ca="1" t="shared" si="510"/>
        <v>1818</v>
      </c>
      <c r="AN432" s="83">
        <f ca="1" t="shared" si="510"/>
        <v>2727</v>
      </c>
      <c r="AO432" s="83">
        <f ca="1" t="shared" si="510"/>
        <v>3636</v>
      </c>
      <c r="AP432" s="83">
        <f ca="1" t="shared" si="510"/>
        <v>2126</v>
      </c>
      <c r="AQ432" s="83">
        <f ca="1" t="shared" si="510"/>
        <v>0</v>
      </c>
    </row>
    <row r="433" ht="16.5" spans="2:43">
      <c r="B433" s="65">
        <v>95</v>
      </c>
      <c r="C433" s="80">
        <f t="shared" si="449"/>
        <v>11776</v>
      </c>
      <c r="D433" s="81" cm="1">
        <f ca="1" t="array" ref="D433">IF(D735=1,OFFSET($Z$338,$B433,D$335-1)/SUMPRODUCT(--($D$335:$V$335=D$335),--($D735:$V735=1)),0)+SUM(D432)+IF(COUNTIF(D$641:D735,1)=1,5,0)+IF(COUNTIF(E433:$Z433,"&gt;"&amp;0)&gt;5,IF(MOD(COUNTIF(D$641:D735,1),7)=0,$C$4,0),0)</f>
        <v>1054.13082146898</v>
      </c>
      <c r="E433" s="81" cm="1">
        <f ca="1" t="array" ref="E433">IF(E735=1,OFFSET($Z$338,$B433,E$335-1)/SUMPRODUCT(--($D$335:$V$335=E$335),--($D735:$V735=1)),0)+SUM(E432)+IF(COUNTIF(E$641:E735,1)=1,5,0)+IF(COUNTIF(F433:$Z433,"&gt;"&amp;0)&gt;5,IF(MOD(COUNTIF(E$641:E735,1),7)=0,$C$4,0),0)</f>
        <v>1054.13082146898</v>
      </c>
      <c r="F433" s="81" cm="1">
        <f ca="1" t="array" ref="F433">IF(F735=1,OFFSET($Z$338,$B433,F$335-1)/SUMPRODUCT(--($D$335:$V$335=F$335),--($D735:$V735=1)),0)+SUM(F432)+IF(COUNTIF(F$641:F735,1)=1,5,0)+IF(COUNTIF(G433:$Z433,"&gt;"&amp;0)&gt;5,IF(MOD(COUNTIF(F$641:F735,1),7)=0,$C$4,0),0)</f>
        <v>1054.13082146898</v>
      </c>
      <c r="G433" s="81" cm="1">
        <f ca="1" t="array" ref="G433">IF(G735=1,OFFSET($Z$338,$B433,G$335-1)/SUMPRODUCT(--($D$335:$V$335=G$335),--($D735:$V735=1)),0)+SUM(G432)+IF(COUNTIF(G$641:G735,1)=1,5,0)+IF(COUNTIF(H433:$Z433,"&gt;"&amp;0)&gt;5,IF(MOD(COUNTIF(G$641:G735,1),7)=0,$C$4,0),0)</f>
        <v>395.550000000001</v>
      </c>
      <c r="H433" s="81" cm="1">
        <f ca="1" t="array" ref="H433">IF(H735=1,OFFSET($Z$338,$B433,H$335-1)/SUMPRODUCT(--($D$335:$V$335=H$335),--($D735:$V735=1)),0)+SUM(H432)+IF(COUNTIF(H$641:H735,1)=1,5,0)+IF(COUNTIF(I433:$Z433,"&gt;"&amp;0)&gt;5,IF(MOD(COUNTIF(H$641:H735,1),7)=0,$C$4,0),0)</f>
        <v>395.550000000001</v>
      </c>
      <c r="I433" s="81" cm="1">
        <f ca="1" t="array" ref="I433">IF(I735=1,OFFSET($Z$338,$B433,I$335-1)/SUMPRODUCT(--($D$335:$V$335=I$335),--($D735:$V735=1)),0)+SUM(I432)+IF(COUNTIF(I$641:I735,1)=1,5,0)+IF(COUNTIF(J433:$Z433,"&gt;"&amp;0)&gt;5,IF(MOD(COUNTIF(I$641:I735,1),7)=0,$C$4,0),0)</f>
        <v>395.550000000001</v>
      </c>
      <c r="J433" s="81" cm="1">
        <f ca="1" t="array" ref="J433">IF(J735=1,OFFSET($Z$338,$B433,J$335-1)/SUMPRODUCT(--($D$335:$V$335=J$335),--($D735:$V735=1)),0)+SUM(J432)+IF(COUNTIF(J$641:J735,1)=1,5,0)+IF(COUNTIF(K433:$Z433,"&gt;"&amp;0)&gt;5,IF(MOD(COUNTIF(J$641:J735,1),7)=0,$C$4,0),0)</f>
        <v>395.550000000001</v>
      </c>
      <c r="K433" s="81" cm="1">
        <f ca="1" t="array" ref="K433">IF(K735=1,OFFSET($Z$338,$B433,K$335-1)/SUMPRODUCT(--($D$335:$V$335=K$335),--($D735:$V735=1)),0)+SUM(K432)+IF(COUNTIF(K$641:K735,1)=1,5,0)+IF(COUNTIF(L433:$Z433,"&gt;"&amp;0)&gt;5,IF(MOD(COUNTIF(K$641:K735,1),7)=0,$C$4,0),0)</f>
        <v>395.550000000001</v>
      </c>
      <c r="L433" s="81" cm="1">
        <f ca="1" t="array" ref="L433">IF(L735=1,OFFSET($Z$338,$B433,L$335-1)/SUMPRODUCT(--($D$335:$V$335=L$335),--($D735:$V735=1)),0)+SUM(L432)+IF(COUNTIF(L$641:L735,1)=1,5,0)+IF(COUNTIF(M433:$Z433,"&gt;"&amp;0)&gt;5,IF(MOD(COUNTIF(L$641:L735,1),7)=0,$C$4,0),0)</f>
        <v>388.850000000001</v>
      </c>
      <c r="M433" s="81" cm="1">
        <f ca="1" t="array" ref="M433">IF(M735=1,OFFSET($Z$338,$B433,M$335-1)/SUMPRODUCT(--($D$335:$V$335=M$335),--($D735:$V735=1)),0)+SUM(M432)+IF(COUNTIF(M$641:M735,1)=1,5,0)+IF(COUNTIF(N433:$Z433,"&gt;"&amp;0)&gt;5,IF(MOD(COUNTIF(M$641:M735,1),7)=0,$C$4,0),0)</f>
        <v>187.658392857143</v>
      </c>
      <c r="N433" s="81" cm="1">
        <f ca="1" t="array" ref="N433">IF(N735=1,OFFSET($Z$338,$B433,N$335-1)/SUMPRODUCT(--($D$335:$V$335=N$335),--($D735:$V735=1)),0)+SUM(N432)+IF(COUNTIF(N$641:N735,1)=1,5,0)+IF(COUNTIF(O433:$Z433,"&gt;"&amp;0)&gt;5,IF(MOD(COUNTIF(N$641:N735,1),7)=0,$C$4,0),0)</f>
        <v>179.933392857143</v>
      </c>
      <c r="O433" s="81" cm="1">
        <f ca="1" t="array" ref="O433">IF(O735=1,OFFSET($Z$338,$B433,O$335-1)/SUMPRODUCT(--($D$335:$V$335=O$335),--($D735:$V735=1)),0)+SUM(O432)+IF(COUNTIF(O$641:O735,1)=1,5,0)+IF(COUNTIF(P433:$Z433,"&gt;"&amp;0)&gt;5,IF(MOD(COUNTIF(O$641:O735,1),7)=0,$C$4,0),0)</f>
        <v>177.508392857143</v>
      </c>
      <c r="P433" s="81" cm="1">
        <f ca="1" t="array" ref="P433">IF(P735=1,OFFSET($Z$338,$B433,P$335-1)/SUMPRODUCT(--($D$335:$V$335=P$335),--($D735:$V735=1)),0)+SUM(P432)+IF(COUNTIF(P$641:P735,1)=1,5,0)+IF(COUNTIF(Q433:$Z433,"&gt;"&amp;0)&gt;5,IF(MOD(COUNTIF(P$641:P735,1),7)=0,$C$4,0),0)</f>
        <v>169.57505952381</v>
      </c>
      <c r="Q433" s="81" cm="1">
        <f ca="1" t="array" ref="Q433">IF(Q735=1,OFFSET($Z$338,$B433,Q$335-1)/SUMPRODUCT(--($D$335:$V$335=Q$335),--($D735:$V735=1)),0)+SUM(Q432)+IF(COUNTIF(Q$641:Q735,1)=1,5,0)+IF(COUNTIF(R433:$Z433,"&gt;"&amp;0)&gt;5,IF(MOD(COUNTIF(Q$641:Q735,1),7)=0,$C$4,0),0)</f>
        <v>168.66880952381</v>
      </c>
      <c r="R433" s="81" cm="1">
        <f ca="1" t="array" ref="R433">IF(R735=1,OFFSET($Z$338,$B433,R$335-1)/SUMPRODUCT(--($D$335:$V$335=R$335),--($D735:$V735=1)),0)+SUM(R432)+IF(COUNTIF(R$641:R735,1)=1,5,0)+IF(COUNTIF(S433:$Z433,"&gt;"&amp;0)&gt;5,IF(MOD(COUNTIF(R$641:R735,1),7)=0,$C$4,0),0)</f>
        <v>143.77380952381</v>
      </c>
      <c r="S433" s="81" cm="1">
        <f ca="1" t="array" ref="S433">IF(S735=1,OFFSET($Z$338,$B433,S$335-1)/SUMPRODUCT(--($D$335:$V$335=S$335),--($D735:$V735=1)),0)+SUM(S432)+IF(COUNTIF(S$641:S735,1)=1,5,0)+IF(COUNTIF(T433:$Z433,"&gt;"&amp;0)&gt;5,IF(MOD(COUNTIF(S$641:S735,1),7)=0,$C$4,0),0)</f>
        <v>134.607142857143</v>
      </c>
      <c r="T433" s="81" cm="1">
        <f ca="1" t="array" ref="T433">IF(T735=1,OFFSET($Z$338,$B433,T$335-1)/SUMPRODUCT(--($D$335:$V$335=T$335),--($D735:$V735=1)),0)+SUM(T432)+IF(COUNTIF(T$641:T735,1)=1,5,0)+IF(COUNTIF(U433:$Z433,"&gt;"&amp;0)&gt;5,IF(MOD(COUNTIF(T$641:T735,1),7)=0,$C$4,0),0)</f>
        <v>98.4134515941092</v>
      </c>
      <c r="U433" s="81" cm="1">
        <f ca="1" t="array" ref="U433">IF(U735=1,OFFSET($Z$338,$B433,U$335-1)/SUMPRODUCT(--($D$335:$V$335=U$335),--($D735:$V735=1)),0)+SUM(U432)+IF(COUNTIF(U$641:U735,1)=1,5,0)+IF(COUNTIF(V433:$Z433,"&gt;"&amp;0)&gt;5,IF(MOD(COUNTIF(U$641:U735,1),7)=0,$C$4,0),0)</f>
        <v>73.4134515941092</v>
      </c>
      <c r="V433" s="81" cm="1">
        <f ca="1" t="array" ref="V433">IF(V735=1,OFFSET($Z$338,$B433,V$335-1)/SUMPRODUCT(--($D$335:$V$335=V$335),--($D735:$V735=1)),0)+SUM(V432)+IF(COUNTIF(V$641:V735,1)=1,5,0)+IF(COUNTIF(Z433:$Z433,"&gt;"&amp;0)&gt;5,IF(MOD(COUNTIF(V$641:V735,1),7)=0,$C$4,0),0)</f>
        <v>65.4556324048273</v>
      </c>
      <c r="W433" s="81" cm="1">
        <f ca="1" t="array" ref="W433">IF(W735=1,OFFSET($Z$338,$B433,W$335-1)/SUMPRODUCT(--($D$335:$V$335=W$335),--($D735:$V735=1)),0)+SUM(W432)+IF(COUNTIF(W$641:W735,1)=1,5,0)+IF(COUNTIF($Z433:AA433,"&gt;"&amp;0)&gt;5,IF(MOD(COUNTIF(W$641:W735,1),7)=0,$C$4,0),0)</f>
        <v>56.099763289878</v>
      </c>
      <c r="X433" s="81" cm="1">
        <f ca="1" t="array" ref="X433">IF(X735=1,OFFSET($Z$338,$B433,X$335-1)/SUMPRODUCT(--($D$335:$V$335=X$335),--($D735:$V735=1)),0)+SUM(X432)+IF(COUNTIF(X$641:X735,1)=1,5,0)+IF(COUNTIF($Z433:AB433,"&gt;"&amp;0)&gt;5,IF(MOD(COUNTIF(X$641:X735,1),7)=0,$C$4,0),0)</f>
        <v>49.3361029992445</v>
      </c>
      <c r="Y433" s="81" cm="1">
        <f ca="1" t="array" ref="Y433">IF(Y735=1,OFFSET($Z$338,$B433,Y$335-1)/SUMPRODUCT(--($D$335:$V$335=Y$335),--($D735:$V735=1)),0)+SUM(Y432)+IF(COUNTIF(Y$641:Y735,1)=1,5,0)+IF(COUNTIF($Z433:AC433,"&gt;"&amp;0)&gt;5,IF(MOD(COUNTIF(Y$641:Y735,1),7)=0,$C$4,0),0)</f>
        <v>42.5724427086111</v>
      </c>
      <c r="Z433" s="82" cm="1">
        <f ca="1" t="array" ref="Z433">SUMPRODUCT(TRANSPOSE($AD433:$AJ433),OFFSET($L$10:$L$16,0,Z$335-1))</f>
        <v>18.5352420711277</v>
      </c>
      <c r="AA433" s="82" cm="1">
        <f ca="1" t="array" ref="AA433">SUMPRODUCT(TRANSPOSE($AD433:$AJ433),OFFSET($L$10:$L$16,0,AA$335-1))</f>
        <v>22</v>
      </c>
      <c r="AB433" s="82" cm="1">
        <f ca="1" t="array" ref="AB433">SUMPRODUCT(TRANSPOSE($AD433:$AJ433),OFFSET($L$10:$L$16,0,AB$335-1))</f>
        <v>11</v>
      </c>
      <c r="AC433" s="82" cm="1">
        <f ca="1" t="array" ref="AC433">SUMPRODUCT(TRANSPOSE($AD433:$AJ433),OFFSET($L$10:$L$16,0,AC$335-1))</f>
        <v>3.46475792887232</v>
      </c>
      <c r="AD433" s="83">
        <f ca="1" t="shared" ref="AD433:AJ433" si="511">AK433-AK432</f>
        <v>0</v>
      </c>
      <c r="AE433" s="83">
        <f ca="1" t="shared" si="511"/>
        <v>0</v>
      </c>
      <c r="AF433" s="83">
        <f ca="1" t="shared" si="511"/>
        <v>0</v>
      </c>
      <c r="AG433" s="83">
        <f ca="1" t="shared" si="511"/>
        <v>0</v>
      </c>
      <c r="AH433" s="83">
        <f ca="1" t="shared" si="511"/>
        <v>0</v>
      </c>
      <c r="AI433" s="83">
        <f ca="1" t="shared" si="511"/>
        <v>110</v>
      </c>
      <c r="AJ433" s="83">
        <f ca="1" t="shared" si="511"/>
        <v>0</v>
      </c>
      <c r="AK433" s="83">
        <f ca="1" t="shared" si="451"/>
        <v>450</v>
      </c>
      <c r="AL433" s="83">
        <f ca="1" t="shared" ref="AL433:AQ433" si="512">IF($C433&gt;OFFSET($Q$9,MATCH(AL$338,$AK$338:$AQ$338,0),0),OFFSET($P$9,MATCH(AL$338,$AK$338:$AQ$338,0),0),MAX(0,$C433-OFFSET($Q$9,RIGHT(AL$338,1)-1,0)))</f>
        <v>909</v>
      </c>
      <c r="AM433" s="83">
        <f ca="1" t="shared" si="512"/>
        <v>1818</v>
      </c>
      <c r="AN433" s="83">
        <f ca="1" t="shared" si="512"/>
        <v>2727</v>
      </c>
      <c r="AO433" s="83">
        <f ca="1" t="shared" si="512"/>
        <v>3636</v>
      </c>
      <c r="AP433" s="83">
        <f ca="1" t="shared" si="512"/>
        <v>2236</v>
      </c>
      <c r="AQ433" s="83">
        <f ca="1" t="shared" si="512"/>
        <v>0</v>
      </c>
    </row>
    <row r="434" ht="16.5" spans="2:43">
      <c r="B434" s="65">
        <v>96</v>
      </c>
      <c r="C434" s="80">
        <f t="shared" si="449"/>
        <v>11886</v>
      </c>
      <c r="D434" s="81" cm="1">
        <f ca="1" t="array" ref="D434">IF(D736=1,OFFSET($Z$338,$B434,D$335-1)/SUMPRODUCT(--($D$335:$V$335=D$335),--($D736:$V736=1)),0)+SUM(D433)+IF(COUNTIF(D$641:D736,1)=1,5,0)+IF(COUNTIF(E434:$Z434,"&gt;"&amp;0)&gt;5,IF(MOD(COUNTIF(D$641:D736,1),7)=0,$C$4,0),0)</f>
        <v>1060.30923549269</v>
      </c>
      <c r="E434" s="81" cm="1">
        <f ca="1" t="array" ref="E434">IF(E736=1,OFFSET($Z$338,$B434,E$335-1)/SUMPRODUCT(--($D$335:$V$335=E$335),--($D736:$V736=1)),0)+SUM(E433)+IF(COUNTIF(E$641:E736,1)=1,5,0)+IF(COUNTIF(F434:$Z434,"&gt;"&amp;0)&gt;5,IF(MOD(COUNTIF(E$641:E736,1),7)=0,$C$4,0),0)</f>
        <v>1060.30923549269</v>
      </c>
      <c r="F434" s="81" cm="1">
        <f ca="1" t="array" ref="F434">IF(F736=1,OFFSET($Z$338,$B434,F$335-1)/SUMPRODUCT(--($D$335:$V$335=F$335),--($D736:$V736=1)),0)+SUM(F433)+IF(COUNTIF(F$641:F736,1)=1,5,0)+IF(COUNTIF(G434:$Z434,"&gt;"&amp;0)&gt;5,IF(MOD(COUNTIF(F$641:F736,1),7)=0,$C$4,0),0)</f>
        <v>1060.30923549269</v>
      </c>
      <c r="G434" s="81" cm="1">
        <f ca="1" t="array" ref="G434">IF(G736=1,OFFSET($Z$338,$B434,G$335-1)/SUMPRODUCT(--($D$335:$V$335=G$335),--($D736:$V736=1)),0)+SUM(G433)+IF(COUNTIF(G$641:G736,1)=1,5,0)+IF(COUNTIF(H434:$Z434,"&gt;"&amp;0)&gt;5,IF(MOD(COUNTIF(G$641:G736,1),7)=0,$C$4,0),0)</f>
        <v>399.216666666667</v>
      </c>
      <c r="H434" s="81" cm="1">
        <f ca="1" t="array" ref="H434">IF(H736=1,OFFSET($Z$338,$B434,H$335-1)/SUMPRODUCT(--($D$335:$V$335=H$335),--($D736:$V736=1)),0)+SUM(H433)+IF(COUNTIF(H$641:H736,1)=1,5,0)+IF(COUNTIF(I434:$Z434,"&gt;"&amp;0)&gt;5,IF(MOD(COUNTIF(H$641:H736,1),7)=0,$C$4,0),0)</f>
        <v>399.216666666667</v>
      </c>
      <c r="I434" s="81" cm="1">
        <f ca="1" t="array" ref="I434">IF(I736=1,OFFSET($Z$338,$B434,I$335-1)/SUMPRODUCT(--($D$335:$V$335=I$335),--($D736:$V736=1)),0)+SUM(I433)+IF(COUNTIF(I$641:I736,1)=1,5,0)+IF(COUNTIF(J434:$Z434,"&gt;"&amp;0)&gt;5,IF(MOD(COUNTIF(I$641:I736,1),7)=0,$C$4,0),0)</f>
        <v>399.216666666667</v>
      </c>
      <c r="J434" s="81" cm="1">
        <f ca="1" t="array" ref="J434">IF(J736=1,OFFSET($Z$338,$B434,J$335-1)/SUMPRODUCT(--($D$335:$V$335=J$335),--($D736:$V736=1)),0)+SUM(J433)+IF(COUNTIF(J$641:J736,1)=1,5,0)+IF(COUNTIF(K434:$Z434,"&gt;"&amp;0)&gt;5,IF(MOD(COUNTIF(J$641:J736,1),7)=0,$C$4,0),0)</f>
        <v>399.216666666667</v>
      </c>
      <c r="K434" s="81" cm="1">
        <f ca="1" t="array" ref="K434">IF(K736=1,OFFSET($Z$338,$B434,K$335-1)/SUMPRODUCT(--($D$335:$V$335=K$335),--($D736:$V736=1)),0)+SUM(K433)+IF(COUNTIF(K$641:K736,1)=1,5,0)+IF(COUNTIF(L434:$Z434,"&gt;"&amp;0)&gt;5,IF(MOD(COUNTIF(K$641:K736,1),7)=0,$C$4,0),0)</f>
        <v>399.216666666667</v>
      </c>
      <c r="L434" s="81" cm="1">
        <f ca="1" t="array" ref="L434">IF(L736=1,OFFSET($Z$338,$B434,L$335-1)/SUMPRODUCT(--($D$335:$V$335=L$335),--($D736:$V736=1)),0)+SUM(L433)+IF(COUNTIF(L$641:L736,1)=1,5,0)+IF(COUNTIF(M434:$Z434,"&gt;"&amp;0)&gt;5,IF(MOD(COUNTIF(L$641:L736,1),7)=0,$C$4,0),0)</f>
        <v>392.516666666668</v>
      </c>
      <c r="M434" s="81" cm="1">
        <f ca="1" t="array" ref="M434">IF(M736=1,OFFSET($Z$338,$B434,M$335-1)/SUMPRODUCT(--($D$335:$V$335=M$335),--($D736:$V736=1)),0)+SUM(M433)+IF(COUNTIF(M$641:M736,1)=1,5,0)+IF(COUNTIF(N434:$Z434,"&gt;"&amp;0)&gt;5,IF(MOD(COUNTIF(M$641:M736,1),7)=0,$C$4,0),0)</f>
        <v>189.229821428572</v>
      </c>
      <c r="N434" s="81" cm="1">
        <f ca="1" t="array" ref="N434">IF(N736=1,OFFSET($Z$338,$B434,N$335-1)/SUMPRODUCT(--($D$335:$V$335=N$335),--($D736:$V736=1)),0)+SUM(N433)+IF(COUNTIF(N$641:N736,1)=1,5,0)+IF(COUNTIF(O434:$Z434,"&gt;"&amp;0)&gt;5,IF(MOD(COUNTIF(N$641:N736,1),7)=0,$C$4,0),0)</f>
        <v>181.504821428572</v>
      </c>
      <c r="O434" s="81" cm="1">
        <f ca="1" t="array" ref="O434">IF(O736=1,OFFSET($Z$338,$B434,O$335-1)/SUMPRODUCT(--($D$335:$V$335=O$335),--($D736:$V736=1)),0)+SUM(O433)+IF(COUNTIF(O$641:O736,1)=1,5,0)+IF(COUNTIF(P434:$Z434,"&gt;"&amp;0)&gt;5,IF(MOD(COUNTIF(O$641:O736,1),7)=0,$C$4,0),0)</f>
        <v>179.079821428572</v>
      </c>
      <c r="P434" s="81" cm="1">
        <f ca="1" t="array" ref="P434">IF(P736=1,OFFSET($Z$338,$B434,P$335-1)/SUMPRODUCT(--($D$335:$V$335=P$335),--($D736:$V736=1)),0)+SUM(P433)+IF(COUNTIF(P$641:P736,1)=1,5,0)+IF(COUNTIF(Q434:$Z434,"&gt;"&amp;0)&gt;5,IF(MOD(COUNTIF(P$641:P736,1),7)=0,$C$4,0),0)</f>
        <v>176.146488095238</v>
      </c>
      <c r="Q434" s="81" cm="1">
        <f ca="1" t="array" ref="Q434">IF(Q736=1,OFFSET($Z$338,$B434,Q$335-1)/SUMPRODUCT(--($D$335:$V$335=Q$335),--($D736:$V736=1)),0)+SUM(Q433)+IF(COUNTIF(Q$641:Q736,1)=1,5,0)+IF(COUNTIF(R434:$Z434,"&gt;"&amp;0)&gt;5,IF(MOD(COUNTIF(Q$641:Q736,1),7)=0,$C$4,0),0)</f>
        <v>170.240238095238</v>
      </c>
      <c r="R434" s="81" cm="1">
        <f ca="1" t="array" ref="R434">IF(R736=1,OFFSET($Z$338,$B434,R$335-1)/SUMPRODUCT(--($D$335:$V$335=R$335),--($D736:$V736=1)),0)+SUM(R433)+IF(COUNTIF(R$641:R736,1)=1,5,0)+IF(COUNTIF(S434:$Z434,"&gt;"&amp;0)&gt;5,IF(MOD(COUNTIF(R$641:R736,1),7)=0,$C$4,0),0)</f>
        <v>145.345238095238</v>
      </c>
      <c r="S434" s="81" cm="1">
        <f ca="1" t="array" ref="S434">IF(S736=1,OFFSET($Z$338,$B434,S$335-1)/SUMPRODUCT(--($D$335:$V$335=S$335),--($D736:$V736=1)),0)+SUM(S433)+IF(COUNTIF(S$641:S736,1)=1,5,0)+IF(COUNTIF(T434:$Z434,"&gt;"&amp;0)&gt;5,IF(MOD(COUNTIF(S$641:S736,1),7)=0,$C$4,0),0)</f>
        <v>141.178571428571</v>
      </c>
      <c r="T434" s="81" cm="1">
        <f ca="1" t="array" ref="T434">IF(T736=1,OFFSET($Z$338,$B434,T$335-1)/SUMPRODUCT(--($D$335:$V$335=T$335),--($D736:$V736=1)),0)+SUM(T433)+IF(COUNTIF(T$641:T736,1)=1,5,0)+IF(COUNTIF(U434:$Z434,"&gt;"&amp;0)&gt;5,IF(MOD(COUNTIF(T$641:T736,1),7)=0,$C$4,0),0)</f>
        <v>99.5683709037334</v>
      </c>
      <c r="U434" s="81" cm="1">
        <f ca="1" t="array" ref="U434">IF(U736=1,OFFSET($Z$338,$B434,U$335-1)/SUMPRODUCT(--($D$335:$V$335=U$335),--($D736:$V736=1)),0)+SUM(U433)+IF(COUNTIF(U$641:U736,1)=1,5,0)+IF(COUNTIF(V434:$Z434,"&gt;"&amp;0)&gt;5,IF(MOD(COUNTIF(U$641:U736,1),7)=0,$C$4,0),0)</f>
        <v>74.5683709037334</v>
      </c>
      <c r="V434" s="81" cm="1">
        <f ca="1" t="array" ref="V434">IF(V736=1,OFFSET($Z$338,$B434,V$335-1)/SUMPRODUCT(--($D$335:$V$335=V$335),--($D736:$V736=1)),0)+SUM(V433)+IF(COUNTIF(V$641:V736,1)=1,5,0)+IF(COUNTIF(Z434:$Z434,"&gt;"&amp;0)&gt;5,IF(MOD(COUNTIF(V$641:V736,1),7)=0,$C$4,0),0)</f>
        <v>66.6105517144514</v>
      </c>
      <c r="W434" s="81" cm="1">
        <f ca="1" t="array" ref="W434">IF(W736=1,OFFSET($Z$338,$B434,W$335-1)/SUMPRODUCT(--($D$335:$V$335=W$335),--($D736:$V736=1)),0)+SUM(W433)+IF(COUNTIF(W$641:W736,1)=1,5,0)+IF(COUNTIF($Z434:AA434,"&gt;"&amp;0)&gt;5,IF(MOD(COUNTIF(W$641:W736,1),7)=0,$C$4,0),0)</f>
        <v>57.2546825995021</v>
      </c>
      <c r="X434" s="81" cm="1">
        <f ca="1" t="array" ref="X434">IF(X736=1,OFFSET($Z$338,$B434,X$335-1)/SUMPRODUCT(--($D$335:$V$335=X$335),--($D736:$V736=1)),0)+SUM(X433)+IF(COUNTIF(X$641:X736,1)=1,5,0)+IF(COUNTIF($Z434:AB434,"&gt;"&amp;0)&gt;5,IF(MOD(COUNTIF(X$641:X736,1),7)=0,$C$4,0),0)</f>
        <v>50.4910223088686</v>
      </c>
      <c r="Y434" s="81" cm="1">
        <f ca="1" t="array" ref="Y434">IF(Y736=1,OFFSET($Z$338,$B434,Y$335-1)/SUMPRODUCT(--($D$335:$V$335=Y$335),--($D736:$V736=1)),0)+SUM(Y433)+IF(COUNTIF(Y$641:Y736,1)=1,5,0)+IF(COUNTIF($Z434:AC434,"&gt;"&amp;0)&gt;5,IF(MOD(COUNTIF(Y$641:Y736,1),7)=0,$C$4,0),0)</f>
        <v>43.7273620182352</v>
      </c>
      <c r="Z434" s="82" cm="1">
        <f ca="1" t="array" ref="Z434">SUMPRODUCT(TRANSPOSE($AD434:$AJ434),OFFSET($L$10:$L$16,0,Z$335-1))</f>
        <v>18.5352420711277</v>
      </c>
      <c r="AA434" s="82" cm="1">
        <f ca="1" t="array" ref="AA434">SUMPRODUCT(TRANSPOSE($AD434:$AJ434),OFFSET($L$10:$L$16,0,AA$335-1))</f>
        <v>22</v>
      </c>
      <c r="AB434" s="82" cm="1">
        <f ca="1" t="array" ref="AB434">SUMPRODUCT(TRANSPOSE($AD434:$AJ434),OFFSET($L$10:$L$16,0,AB$335-1))</f>
        <v>11</v>
      </c>
      <c r="AC434" s="82" cm="1">
        <f ca="1" t="array" ref="AC434">SUMPRODUCT(TRANSPOSE($AD434:$AJ434),OFFSET($L$10:$L$16,0,AC$335-1))</f>
        <v>3.46475792887232</v>
      </c>
      <c r="AD434" s="83">
        <f ca="1" t="shared" ref="AD434:AJ434" si="513">AK434-AK433</f>
        <v>0</v>
      </c>
      <c r="AE434" s="83">
        <f ca="1" t="shared" si="513"/>
        <v>0</v>
      </c>
      <c r="AF434" s="83">
        <f ca="1" t="shared" si="513"/>
        <v>0</v>
      </c>
      <c r="AG434" s="83">
        <f ca="1" t="shared" si="513"/>
        <v>0</v>
      </c>
      <c r="AH434" s="83">
        <f ca="1" t="shared" si="513"/>
        <v>0</v>
      </c>
      <c r="AI434" s="83">
        <f ca="1" t="shared" si="513"/>
        <v>110</v>
      </c>
      <c r="AJ434" s="83">
        <f ca="1" t="shared" si="513"/>
        <v>0</v>
      </c>
      <c r="AK434" s="83">
        <f ca="1" t="shared" si="451"/>
        <v>450</v>
      </c>
      <c r="AL434" s="83">
        <f ca="1" t="shared" ref="AL434:AQ434" si="514">IF($C434&gt;OFFSET($Q$9,MATCH(AL$338,$AK$338:$AQ$338,0),0),OFFSET($P$9,MATCH(AL$338,$AK$338:$AQ$338,0),0),MAX(0,$C434-OFFSET($Q$9,RIGHT(AL$338,1)-1,0)))</f>
        <v>909</v>
      </c>
      <c r="AM434" s="83">
        <f ca="1" t="shared" si="514"/>
        <v>1818</v>
      </c>
      <c r="AN434" s="83">
        <f ca="1" t="shared" si="514"/>
        <v>2727</v>
      </c>
      <c r="AO434" s="83">
        <f ca="1" t="shared" si="514"/>
        <v>3636</v>
      </c>
      <c r="AP434" s="83">
        <f ca="1" t="shared" si="514"/>
        <v>2346</v>
      </c>
      <c r="AQ434" s="83">
        <f ca="1" t="shared" si="514"/>
        <v>0</v>
      </c>
    </row>
    <row r="435" ht="16.5" spans="2:43">
      <c r="B435" s="65">
        <v>97</v>
      </c>
      <c r="C435" s="80">
        <f t="shared" si="449"/>
        <v>11996</v>
      </c>
      <c r="D435" s="81" cm="1">
        <f ca="1" t="array" ref="D435">IF(D737=1,OFFSET($Z$338,$B435,D$335-1)/SUMPRODUCT(--($D$335:$V$335=D$335),--($D737:$V737=1)),0)+SUM(D434)+IF(COUNTIF(D$641:D737,1)=1,5,0)+IF(COUNTIF(E435:$Z435,"&gt;"&amp;0)&gt;5,IF(MOD(COUNTIF(D$641:D737,1),7)=0,$C$4,0),0)</f>
        <v>1066.4876495164</v>
      </c>
      <c r="E435" s="81" cm="1">
        <f ca="1" t="array" ref="E435">IF(E737=1,OFFSET($Z$338,$B435,E$335-1)/SUMPRODUCT(--($D$335:$V$335=E$335),--($D737:$V737=1)),0)+SUM(E434)+IF(COUNTIF(E$641:E737,1)=1,5,0)+IF(COUNTIF(F435:$Z435,"&gt;"&amp;0)&gt;5,IF(MOD(COUNTIF(E$641:E737,1),7)=0,$C$4,0),0)</f>
        <v>1066.4876495164</v>
      </c>
      <c r="F435" s="81" cm="1">
        <f ca="1" t="array" ref="F435">IF(F737=1,OFFSET($Z$338,$B435,F$335-1)/SUMPRODUCT(--($D$335:$V$335=F$335),--($D737:$V737=1)),0)+SUM(F434)+IF(COUNTIF(F$641:F737,1)=1,5,0)+IF(COUNTIF(G435:$Z435,"&gt;"&amp;0)&gt;5,IF(MOD(COUNTIF(F$641:F737,1),7)=0,$C$4,0),0)</f>
        <v>1066.4876495164</v>
      </c>
      <c r="G435" s="81" cm="1">
        <f ca="1" t="array" ref="G435">IF(G737=1,OFFSET($Z$338,$B435,G$335-1)/SUMPRODUCT(--($D$335:$V$335=G$335),--($D737:$V737=1)),0)+SUM(G434)+IF(COUNTIF(G$641:G737,1)=1,5,0)+IF(COUNTIF(H435:$Z435,"&gt;"&amp;0)&gt;5,IF(MOD(COUNTIF(G$641:G737,1),7)=0,$C$4,0),0)</f>
        <v>402.883333333334</v>
      </c>
      <c r="H435" s="81" cm="1">
        <f ca="1" t="array" ref="H435">IF(H737=1,OFFSET($Z$338,$B435,H$335-1)/SUMPRODUCT(--($D$335:$V$335=H$335),--($D737:$V737=1)),0)+SUM(H434)+IF(COUNTIF(H$641:H737,1)=1,5,0)+IF(COUNTIF(I435:$Z435,"&gt;"&amp;0)&gt;5,IF(MOD(COUNTIF(H$641:H737,1),7)=0,$C$4,0),0)</f>
        <v>402.883333333334</v>
      </c>
      <c r="I435" s="81" cm="1">
        <f ca="1" t="array" ref="I435">IF(I737=1,OFFSET($Z$338,$B435,I$335-1)/SUMPRODUCT(--($D$335:$V$335=I$335),--($D737:$V737=1)),0)+SUM(I434)+IF(COUNTIF(I$641:I737,1)=1,5,0)+IF(COUNTIF(J435:$Z435,"&gt;"&amp;0)&gt;5,IF(MOD(COUNTIF(I$641:I737,1),7)=0,$C$4,0),0)</f>
        <v>402.883333333334</v>
      </c>
      <c r="J435" s="81" cm="1">
        <f ca="1" t="array" ref="J435">IF(J737=1,OFFSET($Z$338,$B435,J$335-1)/SUMPRODUCT(--($D$335:$V$335=J$335),--($D737:$V737=1)),0)+SUM(J434)+IF(COUNTIF(J$641:J737,1)=1,5,0)+IF(COUNTIF(K435:$Z435,"&gt;"&amp;0)&gt;5,IF(MOD(COUNTIF(J$641:J737,1),7)=0,$C$4,0),0)</f>
        <v>402.883333333334</v>
      </c>
      <c r="K435" s="81" cm="1">
        <f ca="1" t="array" ref="K435">IF(K737=1,OFFSET($Z$338,$B435,K$335-1)/SUMPRODUCT(--($D$335:$V$335=K$335),--($D737:$V737=1)),0)+SUM(K434)+IF(COUNTIF(K$641:K737,1)=1,5,0)+IF(COUNTIF(L435:$Z435,"&gt;"&amp;0)&gt;5,IF(MOD(COUNTIF(K$641:K737,1),7)=0,$C$4,0),0)</f>
        <v>402.883333333334</v>
      </c>
      <c r="L435" s="81" cm="1">
        <f ca="1" t="array" ref="L435">IF(L737=1,OFFSET($Z$338,$B435,L$335-1)/SUMPRODUCT(--($D$335:$V$335=L$335),--($D737:$V737=1)),0)+SUM(L434)+IF(COUNTIF(L$641:L737,1)=1,5,0)+IF(COUNTIF(M435:$Z435,"&gt;"&amp;0)&gt;5,IF(MOD(COUNTIF(L$641:L737,1),7)=0,$C$4,0),0)</f>
        <v>396.183333333334</v>
      </c>
      <c r="M435" s="81" cm="1">
        <f ca="1" t="array" ref="M435">IF(M737=1,OFFSET($Z$338,$B435,M$335-1)/SUMPRODUCT(--($D$335:$V$335=M$335),--($D737:$V737=1)),0)+SUM(M434)+IF(COUNTIF(M$641:M737,1)=1,5,0)+IF(COUNTIF(N435:$Z435,"&gt;"&amp;0)&gt;5,IF(MOD(COUNTIF(M$641:M737,1),7)=0,$C$4,0),0)</f>
        <v>190.80125</v>
      </c>
      <c r="N435" s="81" cm="1">
        <f ca="1" t="array" ref="N435">IF(N737=1,OFFSET($Z$338,$B435,N$335-1)/SUMPRODUCT(--($D$335:$V$335=N$335),--($D737:$V737=1)),0)+SUM(N434)+IF(COUNTIF(N$641:N737,1)=1,5,0)+IF(COUNTIF(O435:$Z435,"&gt;"&amp;0)&gt;5,IF(MOD(COUNTIF(N$641:N737,1),7)=0,$C$4,0),0)</f>
        <v>183.07625</v>
      </c>
      <c r="O435" s="81" cm="1">
        <f ca="1" t="array" ref="O435">IF(O737=1,OFFSET($Z$338,$B435,O$335-1)/SUMPRODUCT(--($D$335:$V$335=O$335),--($D737:$V737=1)),0)+SUM(O434)+IF(COUNTIF(O$641:O737,1)=1,5,0)+IF(COUNTIF(P435:$Z435,"&gt;"&amp;0)&gt;5,IF(MOD(COUNTIF(O$641:O737,1),7)=0,$C$4,0),0)</f>
        <v>180.65125</v>
      </c>
      <c r="P435" s="81" cm="1">
        <f ca="1" t="array" ref="P435">IF(P737=1,OFFSET($Z$338,$B435,P$335-1)/SUMPRODUCT(--($D$335:$V$335=P$335),--($D737:$V737=1)),0)+SUM(P434)+IF(COUNTIF(P$641:P737,1)=1,5,0)+IF(COUNTIF(Q435:$Z435,"&gt;"&amp;0)&gt;5,IF(MOD(COUNTIF(P$641:P737,1),7)=0,$C$4,0),0)</f>
        <v>177.717916666667</v>
      </c>
      <c r="Q435" s="81" cm="1">
        <f ca="1" t="array" ref="Q435">IF(Q737=1,OFFSET($Z$338,$B435,Q$335-1)/SUMPRODUCT(--($D$335:$V$335=Q$335),--($D737:$V737=1)),0)+SUM(Q434)+IF(COUNTIF(Q$641:Q737,1)=1,5,0)+IF(COUNTIF(R435:$Z435,"&gt;"&amp;0)&gt;5,IF(MOD(COUNTIF(Q$641:Q737,1),7)=0,$C$4,0),0)</f>
        <v>176.811666666667</v>
      </c>
      <c r="R435" s="81" cm="1">
        <f ca="1" t="array" ref="R435">IF(R737=1,OFFSET($Z$338,$B435,R$335-1)/SUMPRODUCT(--($D$335:$V$335=R$335),--($D737:$V737=1)),0)+SUM(R434)+IF(COUNTIF(R$641:R737,1)=1,5,0)+IF(COUNTIF(S435:$Z435,"&gt;"&amp;0)&gt;5,IF(MOD(COUNTIF(R$641:R737,1),7)=0,$C$4,0),0)</f>
        <v>146.916666666667</v>
      </c>
      <c r="S435" s="81" cm="1">
        <f ca="1" t="array" ref="S435">IF(S737=1,OFFSET($Z$338,$B435,S$335-1)/SUMPRODUCT(--($D$335:$V$335=S$335),--($D737:$V737=1)),0)+SUM(S434)+IF(COUNTIF(S$641:S737,1)=1,5,0)+IF(COUNTIF(T435:$Z435,"&gt;"&amp;0)&gt;5,IF(MOD(COUNTIF(S$641:S737,1),7)=0,$C$4,0),0)</f>
        <v>142.75</v>
      </c>
      <c r="T435" s="81" cm="1">
        <f ca="1" t="array" ref="T435">IF(T737=1,OFFSET($Z$338,$B435,T$335-1)/SUMPRODUCT(--($D$335:$V$335=T$335),--($D737:$V737=1)),0)+SUM(T434)+IF(COUNTIF(T$641:T737,1)=1,5,0)+IF(COUNTIF(U435:$Z435,"&gt;"&amp;0)&gt;5,IF(MOD(COUNTIF(T$641:T737,1),7)=0,$C$4,0),0)</f>
        <v>105.723290213357</v>
      </c>
      <c r="U435" s="81" cm="1">
        <f ca="1" t="array" ref="U435">IF(U737=1,OFFSET($Z$338,$B435,U$335-1)/SUMPRODUCT(--($D$335:$V$335=U$335),--($D737:$V737=1)),0)+SUM(U434)+IF(COUNTIF(U$641:U737,1)=1,5,0)+IF(COUNTIF(V435:$Z435,"&gt;"&amp;0)&gt;5,IF(MOD(COUNTIF(U$641:U737,1),7)=0,$C$4,0),0)</f>
        <v>75.7232902133575</v>
      </c>
      <c r="V435" s="81" cm="1">
        <f ca="1" t="array" ref="V435">IF(V737=1,OFFSET($Z$338,$B435,V$335-1)/SUMPRODUCT(--($D$335:$V$335=V$335),--($D737:$V737=1)),0)+SUM(V434)+IF(COUNTIF(V$641:V737,1)=1,5,0)+IF(COUNTIF(Z435:$Z435,"&gt;"&amp;0)&gt;5,IF(MOD(COUNTIF(V$641:V737,1),7)=0,$C$4,0),0)</f>
        <v>67.7654710240755</v>
      </c>
      <c r="W435" s="81" cm="1">
        <f ca="1" t="array" ref="W435">IF(W737=1,OFFSET($Z$338,$B435,W$335-1)/SUMPRODUCT(--($D$335:$V$335=W$335),--($D737:$V737=1)),0)+SUM(W434)+IF(COUNTIF(W$641:W737,1)=1,5,0)+IF(COUNTIF($Z435:AA435,"&gt;"&amp;0)&gt;5,IF(MOD(COUNTIF(W$641:W737,1),7)=0,$C$4,0),0)</f>
        <v>58.4096019091262</v>
      </c>
      <c r="X435" s="81" cm="1">
        <f ca="1" t="array" ref="X435">IF(X737=1,OFFSET($Z$338,$B435,X$335-1)/SUMPRODUCT(--($D$335:$V$335=X$335),--($D737:$V737=1)),0)+SUM(X434)+IF(COUNTIF(X$641:X737,1)=1,5,0)+IF(COUNTIF($Z435:AB435,"&gt;"&amp;0)&gt;5,IF(MOD(COUNTIF(X$641:X737,1),7)=0,$C$4,0),0)</f>
        <v>51.6459416184927</v>
      </c>
      <c r="Y435" s="81" cm="1">
        <f ca="1" t="array" ref="Y435">IF(Y737=1,OFFSET($Z$338,$B435,Y$335-1)/SUMPRODUCT(--($D$335:$V$335=Y$335),--($D737:$V737=1)),0)+SUM(Y434)+IF(COUNTIF(Y$641:Y737,1)=1,5,0)+IF(COUNTIF($Z435:AC435,"&gt;"&amp;0)&gt;5,IF(MOD(COUNTIF(Y$641:Y737,1),7)=0,$C$4,0),0)</f>
        <v>44.8822813278593</v>
      </c>
      <c r="Z435" s="82" cm="1">
        <f ca="1" t="array" ref="Z435">SUMPRODUCT(TRANSPOSE($AD435:$AJ435),OFFSET($L$10:$L$16,0,Z$335-1))</f>
        <v>18.5352420711277</v>
      </c>
      <c r="AA435" s="82" cm="1">
        <f ca="1" t="array" ref="AA435">SUMPRODUCT(TRANSPOSE($AD435:$AJ435),OFFSET($L$10:$L$16,0,AA$335-1))</f>
        <v>22</v>
      </c>
      <c r="AB435" s="82" cm="1">
        <f ca="1" t="array" ref="AB435">SUMPRODUCT(TRANSPOSE($AD435:$AJ435),OFFSET($L$10:$L$16,0,AB$335-1))</f>
        <v>11</v>
      </c>
      <c r="AC435" s="82" cm="1">
        <f ca="1" t="array" ref="AC435">SUMPRODUCT(TRANSPOSE($AD435:$AJ435),OFFSET($L$10:$L$16,0,AC$335-1))</f>
        <v>3.46475792887232</v>
      </c>
      <c r="AD435" s="83">
        <f ca="1" t="shared" ref="AD435:AJ435" si="515">AK435-AK434</f>
        <v>0</v>
      </c>
      <c r="AE435" s="83">
        <f ca="1" t="shared" si="515"/>
        <v>0</v>
      </c>
      <c r="AF435" s="83">
        <f ca="1" t="shared" si="515"/>
        <v>0</v>
      </c>
      <c r="AG435" s="83">
        <f ca="1" t="shared" si="515"/>
        <v>0</v>
      </c>
      <c r="AH435" s="83">
        <f ca="1" t="shared" si="515"/>
        <v>0</v>
      </c>
      <c r="AI435" s="83">
        <f ca="1" t="shared" si="515"/>
        <v>110</v>
      </c>
      <c r="AJ435" s="83">
        <f ca="1" t="shared" si="515"/>
        <v>0</v>
      </c>
      <c r="AK435" s="83">
        <f ca="1" t="shared" si="451"/>
        <v>450</v>
      </c>
      <c r="AL435" s="83">
        <f ca="1" t="shared" ref="AL435:AQ435" si="516">IF($C435&gt;OFFSET($Q$9,MATCH(AL$338,$AK$338:$AQ$338,0),0),OFFSET($P$9,MATCH(AL$338,$AK$338:$AQ$338,0),0),MAX(0,$C435-OFFSET($Q$9,RIGHT(AL$338,1)-1,0)))</f>
        <v>909</v>
      </c>
      <c r="AM435" s="83">
        <f ca="1" t="shared" si="516"/>
        <v>1818</v>
      </c>
      <c r="AN435" s="83">
        <f ca="1" t="shared" si="516"/>
        <v>2727</v>
      </c>
      <c r="AO435" s="83">
        <f ca="1" t="shared" si="516"/>
        <v>3636</v>
      </c>
      <c r="AP435" s="83">
        <f ca="1" t="shared" si="516"/>
        <v>2456</v>
      </c>
      <c r="AQ435" s="83">
        <f ca="1" t="shared" si="516"/>
        <v>0</v>
      </c>
    </row>
    <row r="436" ht="16.5" spans="2:43">
      <c r="B436" s="65">
        <v>98</v>
      </c>
      <c r="C436" s="80">
        <f t="shared" si="449"/>
        <v>12106</v>
      </c>
      <c r="D436" s="81" cm="1">
        <f ca="1" t="array" ref="D436">IF(D738=1,OFFSET($Z$338,$B436,D$335-1)/SUMPRODUCT(--($D$335:$V$335=D$335),--($D738:$V738=1)),0)+SUM(D435)+IF(COUNTIF(D$641:D738,1)=1,5,0)+IF(COUNTIF(E436:$Z436,"&gt;"&amp;0)&gt;5,IF(MOD(COUNTIF(D$641:D738,1),7)=0,$C$4,0),0)</f>
        <v>1077.66606354011</v>
      </c>
      <c r="E436" s="81" cm="1">
        <f ca="1" t="array" ref="E436">IF(E738=1,OFFSET($Z$338,$B436,E$335-1)/SUMPRODUCT(--($D$335:$V$335=E$335),--($D738:$V738=1)),0)+SUM(E435)+IF(COUNTIF(E$641:E738,1)=1,5,0)+IF(COUNTIF(F436:$Z436,"&gt;"&amp;0)&gt;5,IF(MOD(COUNTIF(E$641:E738,1),7)=0,$C$4,0),0)</f>
        <v>1077.66606354011</v>
      </c>
      <c r="F436" s="81" cm="1">
        <f ca="1" t="array" ref="F436">IF(F738=1,OFFSET($Z$338,$B436,F$335-1)/SUMPRODUCT(--($D$335:$V$335=F$335),--($D738:$V738=1)),0)+SUM(F435)+IF(COUNTIF(F$641:F738,1)=1,5,0)+IF(COUNTIF(G436:$Z436,"&gt;"&amp;0)&gt;5,IF(MOD(COUNTIF(F$641:F738,1),7)=0,$C$4,0),0)</f>
        <v>1077.66606354011</v>
      </c>
      <c r="G436" s="81" cm="1">
        <f ca="1" t="array" ref="G436">IF(G738=1,OFFSET($Z$338,$B436,G$335-1)/SUMPRODUCT(--($D$335:$V$335=G$335),--($D738:$V738=1)),0)+SUM(G435)+IF(COUNTIF(G$641:G738,1)=1,5,0)+IF(COUNTIF(H436:$Z436,"&gt;"&amp;0)&gt;5,IF(MOD(COUNTIF(G$641:G738,1),7)=0,$C$4,0),0)</f>
        <v>411.550000000001</v>
      </c>
      <c r="H436" s="81" cm="1">
        <f ca="1" t="array" ref="H436">IF(H738=1,OFFSET($Z$338,$B436,H$335-1)/SUMPRODUCT(--($D$335:$V$335=H$335),--($D738:$V738=1)),0)+SUM(H435)+IF(COUNTIF(H$641:H738,1)=1,5,0)+IF(COUNTIF(I436:$Z436,"&gt;"&amp;0)&gt;5,IF(MOD(COUNTIF(H$641:H738,1),7)=0,$C$4,0),0)</f>
        <v>411.550000000001</v>
      </c>
      <c r="I436" s="81" cm="1">
        <f ca="1" t="array" ref="I436">IF(I738=1,OFFSET($Z$338,$B436,I$335-1)/SUMPRODUCT(--($D$335:$V$335=I$335),--($D738:$V738=1)),0)+SUM(I435)+IF(COUNTIF(I$641:I738,1)=1,5,0)+IF(COUNTIF(J436:$Z436,"&gt;"&amp;0)&gt;5,IF(MOD(COUNTIF(I$641:I738,1),7)=0,$C$4,0),0)</f>
        <v>411.550000000001</v>
      </c>
      <c r="J436" s="81" cm="1">
        <f ca="1" t="array" ref="J436">IF(J738=1,OFFSET($Z$338,$B436,J$335-1)/SUMPRODUCT(--($D$335:$V$335=J$335),--($D738:$V738=1)),0)+SUM(J435)+IF(COUNTIF(J$641:J738,1)=1,5,0)+IF(COUNTIF(K436:$Z436,"&gt;"&amp;0)&gt;5,IF(MOD(COUNTIF(J$641:J738,1),7)=0,$C$4,0),0)</f>
        <v>411.550000000001</v>
      </c>
      <c r="K436" s="81" cm="1">
        <f ca="1" t="array" ref="K436">IF(K738=1,OFFSET($Z$338,$B436,K$335-1)/SUMPRODUCT(--($D$335:$V$335=K$335),--($D738:$V738=1)),0)+SUM(K435)+IF(COUNTIF(K$641:K738,1)=1,5,0)+IF(COUNTIF(L436:$Z436,"&gt;"&amp;0)&gt;5,IF(MOD(COUNTIF(K$641:K738,1),7)=0,$C$4,0),0)</f>
        <v>411.550000000001</v>
      </c>
      <c r="L436" s="81" cm="1">
        <f ca="1" t="array" ref="L436">IF(L738=1,OFFSET($Z$338,$B436,L$335-1)/SUMPRODUCT(--($D$335:$V$335=L$335),--($D738:$V738=1)),0)+SUM(L435)+IF(COUNTIF(L$641:L738,1)=1,5,0)+IF(COUNTIF(M436:$Z436,"&gt;"&amp;0)&gt;5,IF(MOD(COUNTIF(L$641:L738,1),7)=0,$C$4,0),0)</f>
        <v>399.850000000001</v>
      </c>
      <c r="M436" s="81" cm="1">
        <f ca="1" t="array" ref="M436">IF(M738=1,OFFSET($Z$338,$B436,M$335-1)/SUMPRODUCT(--($D$335:$V$335=M$335),--($D738:$V738=1)),0)+SUM(M435)+IF(COUNTIF(M$641:M738,1)=1,5,0)+IF(COUNTIF(N436:$Z436,"&gt;"&amp;0)&gt;5,IF(MOD(COUNTIF(M$641:M738,1),7)=0,$C$4,0),0)</f>
        <v>192.372678571429</v>
      </c>
      <c r="N436" s="81" cm="1">
        <f ca="1" t="array" ref="N436">IF(N738=1,OFFSET($Z$338,$B436,N$335-1)/SUMPRODUCT(--($D$335:$V$335=N$335),--($D738:$V738=1)),0)+SUM(N435)+IF(COUNTIF(N$641:N738,1)=1,5,0)+IF(COUNTIF(O436:$Z436,"&gt;"&amp;0)&gt;5,IF(MOD(COUNTIF(N$641:N738,1),7)=0,$C$4,0),0)</f>
        <v>184.647678571429</v>
      </c>
      <c r="O436" s="81" cm="1">
        <f ca="1" t="array" ref="O436">IF(O738=1,OFFSET($Z$338,$B436,O$335-1)/SUMPRODUCT(--($D$335:$V$335=O$335),--($D738:$V738=1)),0)+SUM(O435)+IF(COUNTIF(O$641:O738,1)=1,5,0)+IF(COUNTIF(P436:$Z436,"&gt;"&amp;0)&gt;5,IF(MOD(COUNTIF(O$641:O738,1),7)=0,$C$4,0),0)</f>
        <v>182.222678571429</v>
      </c>
      <c r="P436" s="81" cm="1">
        <f ca="1" t="array" ref="P436">IF(P738=1,OFFSET($Z$338,$B436,P$335-1)/SUMPRODUCT(--($D$335:$V$335=P$335),--($D738:$V738=1)),0)+SUM(P435)+IF(COUNTIF(P$641:P738,1)=1,5,0)+IF(COUNTIF(Q436:$Z436,"&gt;"&amp;0)&gt;5,IF(MOD(COUNTIF(P$641:P738,1),7)=0,$C$4,0),0)</f>
        <v>179.289345238095</v>
      </c>
      <c r="Q436" s="81" cm="1">
        <f ca="1" t="array" ref="Q436">IF(Q738=1,OFFSET($Z$338,$B436,Q$335-1)/SUMPRODUCT(--($D$335:$V$335=Q$335),--($D738:$V738=1)),0)+SUM(Q435)+IF(COUNTIF(Q$641:Q738,1)=1,5,0)+IF(COUNTIF(R436:$Z436,"&gt;"&amp;0)&gt;5,IF(MOD(COUNTIF(Q$641:Q738,1),7)=0,$C$4,0),0)</f>
        <v>178.383095238095</v>
      </c>
      <c r="R436" s="81" cm="1">
        <f ca="1" t="array" ref="R436">IF(R738=1,OFFSET($Z$338,$B436,R$335-1)/SUMPRODUCT(--($D$335:$V$335=R$335),--($D738:$V738=1)),0)+SUM(R435)+IF(COUNTIF(R$641:R738,1)=1,5,0)+IF(COUNTIF(S436:$Z436,"&gt;"&amp;0)&gt;5,IF(MOD(COUNTIF(R$641:R738,1),7)=0,$C$4,0),0)</f>
        <v>153.488095238095</v>
      </c>
      <c r="S436" s="81" cm="1">
        <f ca="1" t="array" ref="S436">IF(S738=1,OFFSET($Z$338,$B436,S$335-1)/SUMPRODUCT(--($D$335:$V$335=S$335),--($D738:$V738=1)),0)+SUM(S435)+IF(COUNTIF(S$641:S738,1)=1,5,0)+IF(COUNTIF(T436:$Z436,"&gt;"&amp;0)&gt;5,IF(MOD(COUNTIF(S$641:S738,1),7)=0,$C$4,0),0)</f>
        <v>144.321428571429</v>
      </c>
      <c r="T436" s="81" cm="1">
        <f ca="1" t="array" ref="T436">IF(T738=1,OFFSET($Z$338,$B436,T$335-1)/SUMPRODUCT(--($D$335:$V$335=T$335),--($D738:$V738=1)),0)+SUM(T435)+IF(COUNTIF(T$641:T738,1)=1,5,0)+IF(COUNTIF(U436:$Z436,"&gt;"&amp;0)&gt;5,IF(MOD(COUNTIF(T$641:T738,1),7)=0,$C$4,0),0)</f>
        <v>106.878209522982</v>
      </c>
      <c r="U436" s="81" cm="1">
        <f ca="1" t="array" ref="U436">IF(U738=1,OFFSET($Z$338,$B436,U$335-1)/SUMPRODUCT(--($D$335:$V$335=U$335),--($D738:$V738=1)),0)+SUM(U435)+IF(COUNTIF(U$641:U738,1)=1,5,0)+IF(COUNTIF(V436:$Z436,"&gt;"&amp;0)&gt;5,IF(MOD(COUNTIF(U$641:U738,1),7)=0,$C$4,0),0)</f>
        <v>76.8782095229816</v>
      </c>
      <c r="V436" s="81" cm="1">
        <f ca="1" t="array" ref="V436">IF(V738=1,OFFSET($Z$338,$B436,V$335-1)/SUMPRODUCT(--($D$335:$V$335=V$335),--($D738:$V738=1)),0)+SUM(V435)+IF(COUNTIF(V$641:V738,1)=1,5,0)+IF(COUNTIF(Z436:$Z436,"&gt;"&amp;0)&gt;5,IF(MOD(COUNTIF(V$641:V738,1),7)=0,$C$4,0),0)</f>
        <v>68.9203903336996</v>
      </c>
      <c r="W436" s="81" cm="1">
        <f ca="1" t="array" ref="W436">IF(W738=1,OFFSET($Z$338,$B436,W$335-1)/SUMPRODUCT(--($D$335:$V$335=W$335),--($D738:$V738=1)),0)+SUM(W435)+IF(COUNTIF(W$641:W738,1)=1,5,0)+IF(COUNTIF($Z436:AA436,"&gt;"&amp;0)&gt;5,IF(MOD(COUNTIF(W$641:W738,1),7)=0,$C$4,0),0)</f>
        <v>59.5645212187503</v>
      </c>
      <c r="X436" s="81" cm="1">
        <f ca="1" t="array" ref="X436">IF(X738=1,OFFSET($Z$338,$B436,X$335-1)/SUMPRODUCT(--($D$335:$V$335=X$335),--($D738:$V738=1)),0)+SUM(X435)+IF(COUNTIF(X$641:X738,1)=1,5,0)+IF(COUNTIF($Z436:AB436,"&gt;"&amp;0)&gt;5,IF(MOD(COUNTIF(X$641:X738,1),7)=0,$C$4,0),0)</f>
        <v>52.8008609281169</v>
      </c>
      <c r="Y436" s="81" cm="1">
        <f ca="1" t="array" ref="Y436">IF(Y738=1,OFFSET($Z$338,$B436,Y$335-1)/SUMPRODUCT(--($D$335:$V$335=Y$335),--($D738:$V738=1)),0)+SUM(Y435)+IF(COUNTIF(Y$641:Y738,1)=1,5,0)+IF(COUNTIF($Z436:AC436,"&gt;"&amp;0)&gt;5,IF(MOD(COUNTIF(Y$641:Y738,1),7)=0,$C$4,0),0)</f>
        <v>46.0372006374834</v>
      </c>
      <c r="Z436" s="82" cm="1">
        <f ca="1" t="array" ref="Z436">SUMPRODUCT(TRANSPOSE($AD436:$AJ436),OFFSET($L$10:$L$16,0,Z$335-1))</f>
        <v>18.5352420711277</v>
      </c>
      <c r="AA436" s="82" cm="1">
        <f ca="1" t="array" ref="AA436">SUMPRODUCT(TRANSPOSE($AD436:$AJ436),OFFSET($L$10:$L$16,0,AA$335-1))</f>
        <v>22</v>
      </c>
      <c r="AB436" s="82" cm="1">
        <f ca="1" t="array" ref="AB436">SUMPRODUCT(TRANSPOSE($AD436:$AJ436),OFFSET($L$10:$L$16,0,AB$335-1))</f>
        <v>11</v>
      </c>
      <c r="AC436" s="82" cm="1">
        <f ca="1" t="array" ref="AC436">SUMPRODUCT(TRANSPOSE($AD436:$AJ436),OFFSET($L$10:$L$16,0,AC$335-1))</f>
        <v>3.46475792887232</v>
      </c>
      <c r="AD436" s="83">
        <f ca="1" t="shared" ref="AD436:AJ436" si="517">AK436-AK435</f>
        <v>0</v>
      </c>
      <c r="AE436" s="83">
        <f ca="1" t="shared" si="517"/>
        <v>0</v>
      </c>
      <c r="AF436" s="83">
        <f ca="1" t="shared" si="517"/>
        <v>0</v>
      </c>
      <c r="AG436" s="83">
        <f ca="1" t="shared" si="517"/>
        <v>0</v>
      </c>
      <c r="AH436" s="83">
        <f ca="1" t="shared" si="517"/>
        <v>0</v>
      </c>
      <c r="AI436" s="83">
        <f ca="1" t="shared" si="517"/>
        <v>110</v>
      </c>
      <c r="AJ436" s="83">
        <f ca="1" t="shared" si="517"/>
        <v>0</v>
      </c>
      <c r="AK436" s="83">
        <f ca="1" t="shared" si="451"/>
        <v>450</v>
      </c>
      <c r="AL436" s="83">
        <f ca="1" t="shared" ref="AL436:AQ436" si="518">IF($C436&gt;OFFSET($Q$9,MATCH(AL$338,$AK$338:$AQ$338,0),0),OFFSET($P$9,MATCH(AL$338,$AK$338:$AQ$338,0),0),MAX(0,$C436-OFFSET($Q$9,RIGHT(AL$338,1)-1,0)))</f>
        <v>909</v>
      </c>
      <c r="AM436" s="83">
        <f ca="1" t="shared" si="518"/>
        <v>1818</v>
      </c>
      <c r="AN436" s="83">
        <f ca="1" t="shared" si="518"/>
        <v>2727</v>
      </c>
      <c r="AO436" s="83">
        <f ca="1" t="shared" si="518"/>
        <v>3636</v>
      </c>
      <c r="AP436" s="83">
        <f ca="1" t="shared" si="518"/>
        <v>2566</v>
      </c>
      <c r="AQ436" s="83">
        <f ca="1" t="shared" si="518"/>
        <v>0</v>
      </c>
    </row>
    <row r="437" ht="16.5" spans="2:43">
      <c r="B437" s="65">
        <v>99</v>
      </c>
      <c r="C437" s="80">
        <f t="shared" si="449"/>
        <v>12216</v>
      </c>
      <c r="D437" s="81" cm="1">
        <f ca="1" t="array" ref="D437">IF(D739=1,OFFSET($Z$338,$B437,D$335-1)/SUMPRODUCT(--($D$335:$V$335=D$335),--($D739:$V739=1)),0)+SUM(D436)+IF(COUNTIF(D$641:D739,1)=1,5,0)+IF(COUNTIF(E437:$Z437,"&gt;"&amp;0)&gt;5,IF(MOD(COUNTIF(D$641:D739,1),7)=0,$C$4,0),0)</f>
        <v>1083.84447756382</v>
      </c>
      <c r="E437" s="81" cm="1">
        <f ca="1" t="array" ref="E437">IF(E739=1,OFFSET($Z$338,$B437,E$335-1)/SUMPRODUCT(--($D$335:$V$335=E$335),--($D739:$V739=1)),0)+SUM(E436)+IF(COUNTIF(E$641:E739,1)=1,5,0)+IF(COUNTIF(F437:$Z437,"&gt;"&amp;0)&gt;5,IF(MOD(COUNTIF(E$641:E739,1),7)=0,$C$4,0),0)</f>
        <v>1083.84447756382</v>
      </c>
      <c r="F437" s="81" cm="1">
        <f ca="1" t="array" ref="F437">IF(F739=1,OFFSET($Z$338,$B437,F$335-1)/SUMPRODUCT(--($D$335:$V$335=F$335),--($D739:$V739=1)),0)+SUM(F436)+IF(COUNTIF(F$641:F739,1)=1,5,0)+IF(COUNTIF(G437:$Z437,"&gt;"&amp;0)&gt;5,IF(MOD(COUNTIF(F$641:F739,1),7)=0,$C$4,0),0)</f>
        <v>1083.84447756382</v>
      </c>
      <c r="G437" s="81" cm="1">
        <f ca="1" t="array" ref="G437">IF(G739=1,OFFSET($Z$338,$B437,G$335-1)/SUMPRODUCT(--($D$335:$V$335=G$335),--($D739:$V739=1)),0)+SUM(G436)+IF(COUNTIF(G$641:G739,1)=1,5,0)+IF(COUNTIF(H437:$Z437,"&gt;"&amp;0)&gt;5,IF(MOD(COUNTIF(G$641:G739,1),7)=0,$C$4,0),0)</f>
        <v>415.216666666667</v>
      </c>
      <c r="H437" s="81" cm="1">
        <f ca="1" t="array" ref="H437">IF(H739=1,OFFSET($Z$338,$B437,H$335-1)/SUMPRODUCT(--($D$335:$V$335=H$335),--($D739:$V739=1)),0)+SUM(H436)+IF(COUNTIF(H$641:H739,1)=1,5,0)+IF(COUNTIF(I437:$Z437,"&gt;"&amp;0)&gt;5,IF(MOD(COUNTIF(H$641:H739,1),7)=0,$C$4,0),0)</f>
        <v>415.216666666667</v>
      </c>
      <c r="I437" s="81" cm="1">
        <f ca="1" t="array" ref="I437">IF(I739=1,OFFSET($Z$338,$B437,I$335-1)/SUMPRODUCT(--($D$335:$V$335=I$335),--($D739:$V739=1)),0)+SUM(I436)+IF(COUNTIF(I$641:I739,1)=1,5,0)+IF(COUNTIF(J437:$Z437,"&gt;"&amp;0)&gt;5,IF(MOD(COUNTIF(I$641:I739,1),7)=0,$C$4,0),0)</f>
        <v>415.216666666667</v>
      </c>
      <c r="J437" s="81" cm="1">
        <f ca="1" t="array" ref="J437">IF(J739=1,OFFSET($Z$338,$B437,J$335-1)/SUMPRODUCT(--($D$335:$V$335=J$335),--($D739:$V739=1)),0)+SUM(J436)+IF(COUNTIF(J$641:J739,1)=1,5,0)+IF(COUNTIF(K437:$Z437,"&gt;"&amp;0)&gt;5,IF(MOD(COUNTIF(J$641:J739,1),7)=0,$C$4,0),0)</f>
        <v>415.216666666667</v>
      </c>
      <c r="K437" s="81" cm="1">
        <f ca="1" t="array" ref="K437">IF(K739=1,OFFSET($Z$338,$B437,K$335-1)/SUMPRODUCT(--($D$335:$V$335=K$335),--($D739:$V739=1)),0)+SUM(K436)+IF(COUNTIF(K$641:K739,1)=1,5,0)+IF(COUNTIF(L437:$Z437,"&gt;"&amp;0)&gt;5,IF(MOD(COUNTIF(K$641:K739,1),7)=0,$C$4,0),0)</f>
        <v>415.216666666667</v>
      </c>
      <c r="L437" s="81" cm="1">
        <f ca="1" t="array" ref="L437">IF(L739=1,OFFSET($Z$338,$B437,L$335-1)/SUMPRODUCT(--($D$335:$V$335=L$335),--($D739:$V739=1)),0)+SUM(L436)+IF(COUNTIF(L$641:L739,1)=1,5,0)+IF(COUNTIF(M437:$Z437,"&gt;"&amp;0)&gt;5,IF(MOD(COUNTIF(L$641:L739,1),7)=0,$C$4,0),0)</f>
        <v>408.516666666668</v>
      </c>
      <c r="M437" s="81" cm="1">
        <f ca="1" t="array" ref="M437">IF(M739=1,OFFSET($Z$338,$B437,M$335-1)/SUMPRODUCT(--($D$335:$V$335=M$335),--($D739:$V739=1)),0)+SUM(M436)+IF(COUNTIF(M$641:M739,1)=1,5,0)+IF(COUNTIF(N437:$Z437,"&gt;"&amp;0)&gt;5,IF(MOD(COUNTIF(M$641:M739,1),7)=0,$C$4,0),0)</f>
        <v>198.944107142857</v>
      </c>
      <c r="N437" s="81" cm="1">
        <f ca="1" t="array" ref="N437">IF(N739=1,OFFSET($Z$338,$B437,N$335-1)/SUMPRODUCT(--($D$335:$V$335=N$335),--($D739:$V739=1)),0)+SUM(N436)+IF(COUNTIF(N$641:N739,1)=1,5,0)+IF(COUNTIF(O437:$Z437,"&gt;"&amp;0)&gt;5,IF(MOD(COUNTIF(N$641:N739,1),7)=0,$C$4,0),0)</f>
        <v>186.219107142857</v>
      </c>
      <c r="O437" s="81" cm="1">
        <f ca="1" t="array" ref="O437">IF(O739=1,OFFSET($Z$338,$B437,O$335-1)/SUMPRODUCT(--($D$335:$V$335=O$335),--($D739:$V739=1)),0)+SUM(O436)+IF(COUNTIF(O$641:O739,1)=1,5,0)+IF(COUNTIF(P437:$Z437,"&gt;"&amp;0)&gt;5,IF(MOD(COUNTIF(O$641:O739,1),7)=0,$C$4,0),0)</f>
        <v>183.794107142857</v>
      </c>
      <c r="P437" s="81" cm="1">
        <f ca="1" t="array" ref="P437">IF(P739=1,OFFSET($Z$338,$B437,P$335-1)/SUMPRODUCT(--($D$335:$V$335=P$335),--($D739:$V739=1)),0)+SUM(P436)+IF(COUNTIF(P$641:P739,1)=1,5,0)+IF(COUNTIF(Q437:$Z437,"&gt;"&amp;0)&gt;5,IF(MOD(COUNTIF(P$641:P739,1),7)=0,$C$4,0),0)</f>
        <v>180.860773809524</v>
      </c>
      <c r="Q437" s="81" cm="1">
        <f ca="1" t="array" ref="Q437">IF(Q739=1,OFFSET($Z$338,$B437,Q$335-1)/SUMPRODUCT(--($D$335:$V$335=Q$335),--($D739:$V739=1)),0)+SUM(Q436)+IF(COUNTIF(Q$641:Q739,1)=1,5,0)+IF(COUNTIF(R437:$Z437,"&gt;"&amp;0)&gt;5,IF(MOD(COUNTIF(Q$641:Q739,1),7)=0,$C$4,0),0)</f>
        <v>179.954523809524</v>
      </c>
      <c r="R437" s="81" cm="1">
        <f ca="1" t="array" ref="R437">IF(R739=1,OFFSET($Z$338,$B437,R$335-1)/SUMPRODUCT(--($D$335:$V$335=R$335),--($D739:$V739=1)),0)+SUM(R436)+IF(COUNTIF(R$641:R739,1)=1,5,0)+IF(COUNTIF(S437:$Z437,"&gt;"&amp;0)&gt;5,IF(MOD(COUNTIF(R$641:R739,1),7)=0,$C$4,0),0)</f>
        <v>155.059523809524</v>
      </c>
      <c r="S437" s="81" cm="1">
        <f ca="1" t="array" ref="S437">IF(S739=1,OFFSET($Z$338,$B437,S$335-1)/SUMPRODUCT(--($D$335:$V$335=S$335),--($D739:$V739=1)),0)+SUM(S436)+IF(COUNTIF(S$641:S739,1)=1,5,0)+IF(COUNTIF(T437:$Z437,"&gt;"&amp;0)&gt;5,IF(MOD(COUNTIF(S$641:S739,1),7)=0,$C$4,0),0)</f>
        <v>145.892857142857</v>
      </c>
      <c r="T437" s="81" cm="1">
        <f ca="1" t="array" ref="T437">IF(T739=1,OFFSET($Z$338,$B437,T$335-1)/SUMPRODUCT(--($D$335:$V$335=T$335),--($D739:$V739=1)),0)+SUM(T436)+IF(COUNTIF(T$641:T739,1)=1,5,0)+IF(COUNTIF(U437:$Z437,"&gt;"&amp;0)&gt;5,IF(MOD(COUNTIF(T$641:T739,1),7)=0,$C$4,0),0)</f>
        <v>108.033128832606</v>
      </c>
      <c r="U437" s="81" cm="1">
        <f ca="1" t="array" ref="U437">IF(U739=1,OFFSET($Z$338,$B437,U$335-1)/SUMPRODUCT(--($D$335:$V$335=U$335),--($D739:$V739=1)),0)+SUM(U436)+IF(COUNTIF(U$641:U739,1)=1,5,0)+IF(COUNTIF(V437:$Z437,"&gt;"&amp;0)&gt;5,IF(MOD(COUNTIF(U$641:U739,1),7)=0,$C$4,0),0)</f>
        <v>78.0331288326057</v>
      </c>
      <c r="V437" s="81" cm="1">
        <f ca="1" t="array" ref="V437">IF(V739=1,OFFSET($Z$338,$B437,V$335-1)/SUMPRODUCT(--($D$335:$V$335=V$335),--($D739:$V739=1)),0)+SUM(V436)+IF(COUNTIF(V$641:V739,1)=1,5,0)+IF(COUNTIF(Z437:$Z437,"&gt;"&amp;0)&gt;5,IF(MOD(COUNTIF(V$641:V739,1),7)=0,$C$4,0),0)</f>
        <v>70.0753096433237</v>
      </c>
      <c r="W437" s="81" cm="1">
        <f ca="1" t="array" ref="W437">IF(W739=1,OFFSET($Z$338,$B437,W$335-1)/SUMPRODUCT(--($D$335:$V$335=W$335),--($D739:$V739=1)),0)+SUM(W436)+IF(COUNTIF(W$641:W739,1)=1,5,0)+IF(COUNTIF($Z437:AA437,"&gt;"&amp;0)&gt;5,IF(MOD(COUNTIF(W$641:W739,1),7)=0,$C$4,0),0)</f>
        <v>60.7194405283744</v>
      </c>
      <c r="X437" s="81" cm="1">
        <f ca="1" t="array" ref="X437">IF(X739=1,OFFSET($Z$338,$B437,X$335-1)/SUMPRODUCT(--($D$335:$V$335=X$335),--($D739:$V739=1)),0)+SUM(X436)+IF(COUNTIF(X$641:X739,1)=1,5,0)+IF(COUNTIF($Z437:AB437,"&gt;"&amp;0)&gt;5,IF(MOD(COUNTIF(X$641:X739,1),7)=0,$C$4,0),0)</f>
        <v>53.955780237741</v>
      </c>
      <c r="Y437" s="81" cm="1">
        <f ca="1" t="array" ref="Y437">IF(Y739=1,OFFSET($Z$338,$B437,Y$335-1)/SUMPRODUCT(--($D$335:$V$335=Y$335),--($D739:$V739=1)),0)+SUM(Y436)+IF(COUNTIF(Y$641:Y739,1)=1,5,0)+IF(COUNTIF($Z437:AC437,"&gt;"&amp;0)&gt;5,IF(MOD(COUNTIF(Y$641:Y739,1),7)=0,$C$4,0),0)</f>
        <v>47.1921199471075</v>
      </c>
      <c r="Z437" s="82" cm="1">
        <f ca="1" t="array" ref="Z437">SUMPRODUCT(TRANSPOSE($AD437:$AJ437),OFFSET($L$10:$L$16,0,Z$335-1))</f>
        <v>18.5352420711277</v>
      </c>
      <c r="AA437" s="82" cm="1">
        <f ca="1" t="array" ref="AA437">SUMPRODUCT(TRANSPOSE($AD437:$AJ437),OFFSET($L$10:$L$16,0,AA$335-1))</f>
        <v>22</v>
      </c>
      <c r="AB437" s="82" cm="1">
        <f ca="1" t="array" ref="AB437">SUMPRODUCT(TRANSPOSE($AD437:$AJ437),OFFSET($L$10:$L$16,0,AB$335-1))</f>
        <v>11</v>
      </c>
      <c r="AC437" s="82" cm="1">
        <f ca="1" t="array" ref="AC437">SUMPRODUCT(TRANSPOSE($AD437:$AJ437),OFFSET($L$10:$L$16,0,AC$335-1))</f>
        <v>3.46475792887232</v>
      </c>
      <c r="AD437" s="83">
        <f ca="1" t="shared" ref="AD437:AJ437" si="519">AK437-AK436</f>
        <v>0</v>
      </c>
      <c r="AE437" s="83">
        <f ca="1" t="shared" si="519"/>
        <v>0</v>
      </c>
      <c r="AF437" s="83">
        <f ca="1" t="shared" si="519"/>
        <v>0</v>
      </c>
      <c r="AG437" s="83">
        <f ca="1" t="shared" si="519"/>
        <v>0</v>
      </c>
      <c r="AH437" s="83">
        <f ca="1" t="shared" si="519"/>
        <v>0</v>
      </c>
      <c r="AI437" s="83">
        <f ca="1" t="shared" si="519"/>
        <v>110</v>
      </c>
      <c r="AJ437" s="83">
        <f ca="1" t="shared" si="519"/>
        <v>0</v>
      </c>
      <c r="AK437" s="83">
        <f ca="1" t="shared" si="451"/>
        <v>450</v>
      </c>
      <c r="AL437" s="83">
        <f ca="1" t="shared" ref="AL437:AQ437" si="520">IF($C437&gt;OFFSET($Q$9,MATCH(AL$338,$AK$338:$AQ$338,0),0),OFFSET($P$9,MATCH(AL$338,$AK$338:$AQ$338,0),0),MAX(0,$C437-OFFSET($Q$9,RIGHT(AL$338,1)-1,0)))</f>
        <v>909</v>
      </c>
      <c r="AM437" s="83">
        <f ca="1" t="shared" si="520"/>
        <v>1818</v>
      </c>
      <c r="AN437" s="83">
        <f ca="1" t="shared" si="520"/>
        <v>2727</v>
      </c>
      <c r="AO437" s="83">
        <f ca="1" t="shared" si="520"/>
        <v>3636</v>
      </c>
      <c r="AP437" s="83">
        <f ca="1" t="shared" si="520"/>
        <v>2676</v>
      </c>
      <c r="AQ437" s="83">
        <f ca="1" t="shared" si="520"/>
        <v>0</v>
      </c>
    </row>
    <row r="438" ht="16.5" spans="2:43">
      <c r="B438" s="65">
        <v>100</v>
      </c>
      <c r="C438" s="80">
        <f t="shared" si="449"/>
        <v>12326</v>
      </c>
      <c r="D438" s="81" cm="1">
        <f ca="1" t="array" ref="D438">IF(D740=1,OFFSET($Z$338,$B438,D$335-1)/SUMPRODUCT(--($D$335:$V$335=D$335),--($D740:$V740=1)),0)+SUM(D437)+IF(COUNTIF(D$641:D740,1)=1,5,0)+IF(COUNTIF(E438:$Z438,"&gt;"&amp;0)&gt;5,IF(MOD(COUNTIF(D$641:D740,1),7)=0,$C$4,0),0)</f>
        <v>1090.02289158753</v>
      </c>
      <c r="E438" s="81" cm="1">
        <f ca="1" t="array" ref="E438">IF(E740=1,OFFSET($Z$338,$B438,E$335-1)/SUMPRODUCT(--($D$335:$V$335=E$335),--($D740:$V740=1)),0)+SUM(E437)+IF(COUNTIF(E$641:E740,1)=1,5,0)+IF(COUNTIF(F438:$Z438,"&gt;"&amp;0)&gt;5,IF(MOD(COUNTIF(E$641:E740,1),7)=0,$C$4,0),0)</f>
        <v>1090.02289158753</v>
      </c>
      <c r="F438" s="81" cm="1">
        <f ca="1" t="array" ref="F438">IF(F740=1,OFFSET($Z$338,$B438,F$335-1)/SUMPRODUCT(--($D$335:$V$335=F$335),--($D740:$V740=1)),0)+SUM(F437)+IF(COUNTIF(F$641:F740,1)=1,5,0)+IF(COUNTIF(G438:$Z438,"&gt;"&amp;0)&gt;5,IF(MOD(COUNTIF(F$641:F740,1),7)=0,$C$4,0),0)</f>
        <v>1090.02289158753</v>
      </c>
      <c r="G438" s="81" cm="1">
        <f ca="1" t="array" ref="G438">IF(G740=1,OFFSET($Z$338,$B438,G$335-1)/SUMPRODUCT(--($D$335:$V$335=G$335),--($D740:$V740=1)),0)+SUM(G437)+IF(COUNTIF(G$641:G740,1)=1,5,0)+IF(COUNTIF(H438:$Z438,"&gt;"&amp;0)&gt;5,IF(MOD(COUNTIF(G$641:G740,1),7)=0,$C$4,0),0)</f>
        <v>418.883333333334</v>
      </c>
      <c r="H438" s="81" cm="1">
        <f ca="1" t="array" ref="H438">IF(H740=1,OFFSET($Z$338,$B438,H$335-1)/SUMPRODUCT(--($D$335:$V$335=H$335),--($D740:$V740=1)),0)+SUM(H437)+IF(COUNTIF(H$641:H740,1)=1,5,0)+IF(COUNTIF(I438:$Z438,"&gt;"&amp;0)&gt;5,IF(MOD(COUNTIF(H$641:H740,1),7)=0,$C$4,0),0)</f>
        <v>418.883333333334</v>
      </c>
      <c r="I438" s="81" cm="1">
        <f ca="1" t="array" ref="I438">IF(I740=1,OFFSET($Z$338,$B438,I$335-1)/SUMPRODUCT(--($D$335:$V$335=I$335),--($D740:$V740=1)),0)+SUM(I437)+IF(COUNTIF(I$641:I740,1)=1,5,0)+IF(COUNTIF(J438:$Z438,"&gt;"&amp;0)&gt;5,IF(MOD(COUNTIF(I$641:I740,1),7)=0,$C$4,0),0)</f>
        <v>418.883333333334</v>
      </c>
      <c r="J438" s="81" cm="1">
        <f ca="1" t="array" ref="J438">IF(J740=1,OFFSET($Z$338,$B438,J$335-1)/SUMPRODUCT(--($D$335:$V$335=J$335),--($D740:$V740=1)),0)+SUM(J437)+IF(COUNTIF(J$641:J740,1)=1,5,0)+IF(COUNTIF(K438:$Z438,"&gt;"&amp;0)&gt;5,IF(MOD(COUNTIF(J$641:J740,1),7)=0,$C$4,0),0)</f>
        <v>418.883333333334</v>
      </c>
      <c r="K438" s="81" cm="1">
        <f ca="1" t="array" ref="K438">IF(K740=1,OFFSET($Z$338,$B438,K$335-1)/SUMPRODUCT(--($D$335:$V$335=K$335),--($D740:$V740=1)),0)+SUM(K437)+IF(COUNTIF(K$641:K740,1)=1,5,0)+IF(COUNTIF(L438:$Z438,"&gt;"&amp;0)&gt;5,IF(MOD(COUNTIF(K$641:K740,1),7)=0,$C$4,0),0)</f>
        <v>418.883333333334</v>
      </c>
      <c r="L438" s="81" cm="1">
        <f ca="1" t="array" ref="L438">IF(L740=1,OFFSET($Z$338,$B438,L$335-1)/SUMPRODUCT(--($D$335:$V$335=L$335),--($D740:$V740=1)),0)+SUM(L437)+IF(COUNTIF(L$641:L740,1)=1,5,0)+IF(COUNTIF(M438:$Z438,"&gt;"&amp;0)&gt;5,IF(MOD(COUNTIF(L$641:L740,1),7)=0,$C$4,0),0)</f>
        <v>412.183333333334</v>
      </c>
      <c r="M438" s="81" cm="1">
        <f ca="1" t="array" ref="M438">IF(M740=1,OFFSET($Z$338,$B438,M$335-1)/SUMPRODUCT(--($D$335:$V$335=M$335),--($D740:$V740=1)),0)+SUM(M437)+IF(COUNTIF(M$641:M740,1)=1,5,0)+IF(COUNTIF(N438:$Z438,"&gt;"&amp;0)&gt;5,IF(MOD(COUNTIF(M$641:M740,1),7)=0,$C$4,0),0)</f>
        <v>200.515535714286</v>
      </c>
      <c r="N438" s="81" cm="1">
        <f ca="1" t="array" ref="N438">IF(N740=1,OFFSET($Z$338,$B438,N$335-1)/SUMPRODUCT(--($D$335:$V$335=N$335),--($D740:$V740=1)),0)+SUM(N437)+IF(COUNTIF(N$641:N740,1)=1,5,0)+IF(COUNTIF(O438:$Z438,"&gt;"&amp;0)&gt;5,IF(MOD(COUNTIF(N$641:N740,1),7)=0,$C$4,0),0)</f>
        <v>192.790535714286</v>
      </c>
      <c r="O438" s="81" cm="1">
        <f ca="1" t="array" ref="O438">IF(O740=1,OFFSET($Z$338,$B438,O$335-1)/SUMPRODUCT(--($D$335:$V$335=O$335),--($D740:$V740=1)),0)+SUM(O437)+IF(COUNTIF(O$641:O740,1)=1,5,0)+IF(COUNTIF(P438:$Z438,"&gt;"&amp;0)&gt;5,IF(MOD(COUNTIF(O$641:O740,1),7)=0,$C$4,0),0)</f>
        <v>185.365535714286</v>
      </c>
      <c r="P438" s="81" cm="1">
        <f ca="1" t="array" ref="P438">IF(P740=1,OFFSET($Z$338,$B438,P$335-1)/SUMPRODUCT(--($D$335:$V$335=P$335),--($D740:$V740=1)),0)+SUM(P437)+IF(COUNTIF(P$641:P740,1)=1,5,0)+IF(COUNTIF(Q438:$Z438,"&gt;"&amp;0)&gt;5,IF(MOD(COUNTIF(P$641:P740,1),7)=0,$C$4,0),0)</f>
        <v>182.432202380953</v>
      </c>
      <c r="Q438" s="81" cm="1">
        <f ca="1" t="array" ref="Q438">IF(Q740=1,OFFSET($Z$338,$B438,Q$335-1)/SUMPRODUCT(--($D$335:$V$335=Q$335),--($D740:$V740=1)),0)+SUM(Q437)+IF(COUNTIF(Q$641:Q740,1)=1,5,0)+IF(COUNTIF(R438:$Z438,"&gt;"&amp;0)&gt;5,IF(MOD(COUNTIF(Q$641:Q740,1),7)=0,$C$4,0),0)</f>
        <v>181.525952380953</v>
      </c>
      <c r="R438" s="81" cm="1">
        <f ca="1" t="array" ref="R438">IF(R740=1,OFFSET($Z$338,$B438,R$335-1)/SUMPRODUCT(--($D$335:$V$335=R$335),--($D740:$V740=1)),0)+SUM(R437)+IF(COUNTIF(R$641:R740,1)=1,5,0)+IF(COUNTIF(S438:$Z438,"&gt;"&amp;0)&gt;5,IF(MOD(COUNTIF(R$641:R740,1),7)=0,$C$4,0),0)</f>
        <v>156.630952380952</v>
      </c>
      <c r="S438" s="81" cm="1">
        <f ca="1" t="array" ref="S438">IF(S740=1,OFFSET($Z$338,$B438,S$335-1)/SUMPRODUCT(--($D$335:$V$335=S$335),--($D740:$V740=1)),0)+SUM(S437)+IF(COUNTIF(S$641:S740,1)=1,5,0)+IF(COUNTIF(T438:$Z438,"&gt;"&amp;0)&gt;5,IF(MOD(COUNTIF(S$641:S740,1),7)=0,$C$4,0),0)</f>
        <v>147.464285714286</v>
      </c>
      <c r="T438" s="81" cm="1">
        <f ca="1" t="array" ref="T438">IF(T740=1,OFFSET($Z$338,$B438,T$335-1)/SUMPRODUCT(--($D$335:$V$335=T$335),--($D740:$V740=1)),0)+SUM(T437)+IF(COUNTIF(T$641:T740,1)=1,5,0)+IF(COUNTIF(U438:$Z438,"&gt;"&amp;0)&gt;5,IF(MOD(COUNTIF(T$641:T740,1),7)=0,$C$4,0),0)</f>
        <v>109.18804814223</v>
      </c>
      <c r="U438" s="81" cm="1">
        <f ca="1" t="array" ref="U438">IF(U740=1,OFFSET($Z$338,$B438,U$335-1)/SUMPRODUCT(--($D$335:$V$335=U$335),--($D740:$V740=1)),0)+SUM(U437)+IF(COUNTIF(U$641:U740,1)=1,5,0)+IF(COUNTIF(V438:$Z438,"&gt;"&amp;0)&gt;5,IF(MOD(COUNTIF(U$641:U740,1),7)=0,$C$4,0),0)</f>
        <v>79.1880481422298</v>
      </c>
      <c r="V438" s="81" cm="1">
        <f ca="1" t="array" ref="V438">IF(V740=1,OFFSET($Z$338,$B438,V$335-1)/SUMPRODUCT(--($D$335:$V$335=V$335),--($D740:$V740=1)),0)+SUM(V437)+IF(COUNTIF(V$641:V740,1)=1,5,0)+IF(COUNTIF(Z438:$Z438,"&gt;"&amp;0)&gt;5,IF(MOD(COUNTIF(V$641:V740,1),7)=0,$C$4,0),0)</f>
        <v>71.2302289529478</v>
      </c>
      <c r="W438" s="81" cm="1">
        <f ca="1" t="array" ref="W438">IF(W740=1,OFFSET($Z$338,$B438,W$335-1)/SUMPRODUCT(--($D$335:$V$335=W$335),--($D740:$V740=1)),0)+SUM(W437)+IF(COUNTIF(W$641:W740,1)=1,5,0)+IF(COUNTIF($Z438:AA438,"&gt;"&amp;0)&gt;5,IF(MOD(COUNTIF(W$641:W740,1),7)=0,$C$4,0),0)</f>
        <v>61.8743598379985</v>
      </c>
      <c r="X438" s="81" cm="1">
        <f ca="1" t="array" ref="X438">IF(X740=1,OFFSET($Z$338,$B438,X$335-1)/SUMPRODUCT(--($D$335:$V$335=X$335),--($D740:$V740=1)),0)+SUM(X437)+IF(COUNTIF(X$641:X740,1)=1,5,0)+IF(COUNTIF($Z438:AB438,"&gt;"&amp;0)&gt;5,IF(MOD(COUNTIF(X$641:X740,1),7)=0,$C$4,0),0)</f>
        <v>55.1106995473651</v>
      </c>
      <c r="Y438" s="81" cm="1">
        <f ca="1" t="array" ref="Y438">IF(Y740=1,OFFSET($Z$338,$B438,Y$335-1)/SUMPRODUCT(--($D$335:$V$335=Y$335),--($D740:$V740=1)),0)+SUM(Y437)+IF(COUNTIF(Y$641:Y740,1)=1,5,0)+IF(COUNTIF($Z438:AC438,"&gt;"&amp;0)&gt;5,IF(MOD(COUNTIF(Y$641:Y740,1),7)=0,$C$4,0),0)</f>
        <v>48.3470392567316</v>
      </c>
      <c r="Z438" s="82" cm="1">
        <f ca="1" t="array" ref="Z438">SUMPRODUCT(TRANSPOSE($AD438:$AJ438),OFFSET($L$10:$L$16,0,Z$335-1))</f>
        <v>18.5352420711277</v>
      </c>
      <c r="AA438" s="82" cm="1">
        <f ca="1" t="array" ref="AA438">SUMPRODUCT(TRANSPOSE($AD438:$AJ438),OFFSET($L$10:$L$16,0,AA$335-1))</f>
        <v>22</v>
      </c>
      <c r="AB438" s="82" cm="1">
        <f ca="1" t="array" ref="AB438">SUMPRODUCT(TRANSPOSE($AD438:$AJ438),OFFSET($L$10:$L$16,0,AB$335-1))</f>
        <v>11</v>
      </c>
      <c r="AC438" s="82" cm="1">
        <f ca="1" t="array" ref="AC438">SUMPRODUCT(TRANSPOSE($AD438:$AJ438),OFFSET($L$10:$L$16,0,AC$335-1))</f>
        <v>3.46475792887232</v>
      </c>
      <c r="AD438" s="83">
        <f ca="1" t="shared" ref="AD438:AJ438" si="521">AK438-AK437</f>
        <v>0</v>
      </c>
      <c r="AE438" s="83">
        <f ca="1" t="shared" si="521"/>
        <v>0</v>
      </c>
      <c r="AF438" s="83">
        <f ca="1" t="shared" si="521"/>
        <v>0</v>
      </c>
      <c r="AG438" s="83">
        <f ca="1" t="shared" si="521"/>
        <v>0</v>
      </c>
      <c r="AH438" s="83">
        <f ca="1" t="shared" si="521"/>
        <v>0</v>
      </c>
      <c r="AI438" s="83">
        <f ca="1" t="shared" si="521"/>
        <v>110</v>
      </c>
      <c r="AJ438" s="83">
        <f ca="1" t="shared" si="521"/>
        <v>0</v>
      </c>
      <c r="AK438" s="83">
        <f ca="1" t="shared" si="451"/>
        <v>450</v>
      </c>
      <c r="AL438" s="83">
        <f ca="1" t="shared" ref="AL438:AQ438" si="522">IF($C438&gt;OFFSET($Q$9,MATCH(AL$338,$AK$338:$AQ$338,0),0),OFFSET($P$9,MATCH(AL$338,$AK$338:$AQ$338,0),0),MAX(0,$C438-OFFSET($Q$9,RIGHT(AL$338,1)-1,0)))</f>
        <v>909</v>
      </c>
      <c r="AM438" s="83">
        <f ca="1" t="shared" si="522"/>
        <v>1818</v>
      </c>
      <c r="AN438" s="83">
        <f ca="1" t="shared" si="522"/>
        <v>2727</v>
      </c>
      <c r="AO438" s="83">
        <f ca="1" t="shared" si="522"/>
        <v>3636</v>
      </c>
      <c r="AP438" s="83">
        <f ca="1" t="shared" si="522"/>
        <v>2786</v>
      </c>
      <c r="AQ438" s="83">
        <f ca="1" t="shared" si="522"/>
        <v>0</v>
      </c>
    </row>
    <row r="439" ht="16.5" spans="2:43">
      <c r="B439" s="65">
        <v>101</v>
      </c>
      <c r="C439" s="80">
        <f t="shared" si="449"/>
        <v>12436</v>
      </c>
      <c r="D439" s="81" cm="1">
        <f ca="1" t="array" ref="D439">IF(D741=1,OFFSET($Z$338,$B439,D$335-1)/SUMPRODUCT(--($D$335:$V$335=D$335),--($D741:$V741=1)),0)+SUM(D438)+IF(COUNTIF(D$641:D741,1)=1,5,0)+IF(COUNTIF(E439:$Z439,"&gt;"&amp;0)&gt;5,IF(MOD(COUNTIF(D$641:D741,1),7)=0,$C$4,0),0)</f>
        <v>1096.20130561124</v>
      </c>
      <c r="E439" s="81" cm="1">
        <f ca="1" t="array" ref="E439">IF(E741=1,OFFSET($Z$338,$B439,E$335-1)/SUMPRODUCT(--($D$335:$V$335=E$335),--($D741:$V741=1)),0)+SUM(E438)+IF(COUNTIF(E$641:E741,1)=1,5,0)+IF(COUNTIF(F439:$Z439,"&gt;"&amp;0)&gt;5,IF(MOD(COUNTIF(E$641:E741,1),7)=0,$C$4,0),0)</f>
        <v>1096.20130561124</v>
      </c>
      <c r="F439" s="81" cm="1">
        <f ca="1" t="array" ref="F439">IF(F741=1,OFFSET($Z$338,$B439,F$335-1)/SUMPRODUCT(--($D$335:$V$335=F$335),--($D741:$V741=1)),0)+SUM(F438)+IF(COUNTIF(F$641:F741,1)=1,5,0)+IF(COUNTIF(G439:$Z439,"&gt;"&amp;0)&gt;5,IF(MOD(COUNTIF(F$641:F741,1),7)=0,$C$4,0),0)</f>
        <v>1096.20130561124</v>
      </c>
      <c r="G439" s="81" cm="1">
        <f ca="1" t="array" ref="G439">IF(G741=1,OFFSET($Z$338,$B439,G$335-1)/SUMPRODUCT(--($D$335:$V$335=G$335),--($D741:$V741=1)),0)+SUM(G438)+IF(COUNTIF(G$641:G741,1)=1,5,0)+IF(COUNTIF(H439:$Z439,"&gt;"&amp;0)&gt;5,IF(MOD(COUNTIF(G$641:G741,1),7)=0,$C$4,0),0)</f>
        <v>422.550000000001</v>
      </c>
      <c r="H439" s="81" cm="1">
        <f ca="1" t="array" ref="H439">IF(H741=1,OFFSET($Z$338,$B439,H$335-1)/SUMPRODUCT(--($D$335:$V$335=H$335),--($D741:$V741=1)),0)+SUM(H438)+IF(COUNTIF(H$641:H741,1)=1,5,0)+IF(COUNTIF(I439:$Z439,"&gt;"&amp;0)&gt;5,IF(MOD(COUNTIF(H$641:H741,1),7)=0,$C$4,0),0)</f>
        <v>422.550000000001</v>
      </c>
      <c r="I439" s="81" cm="1">
        <f ca="1" t="array" ref="I439">IF(I741=1,OFFSET($Z$338,$B439,I$335-1)/SUMPRODUCT(--($D$335:$V$335=I$335),--($D741:$V741=1)),0)+SUM(I438)+IF(COUNTIF(I$641:I741,1)=1,5,0)+IF(COUNTIF(J439:$Z439,"&gt;"&amp;0)&gt;5,IF(MOD(COUNTIF(I$641:I741,1),7)=0,$C$4,0),0)</f>
        <v>422.550000000001</v>
      </c>
      <c r="J439" s="81" cm="1">
        <f ca="1" t="array" ref="J439">IF(J741=1,OFFSET($Z$338,$B439,J$335-1)/SUMPRODUCT(--($D$335:$V$335=J$335),--($D741:$V741=1)),0)+SUM(J438)+IF(COUNTIF(J$641:J741,1)=1,5,0)+IF(COUNTIF(K439:$Z439,"&gt;"&amp;0)&gt;5,IF(MOD(COUNTIF(J$641:J741,1),7)=0,$C$4,0),0)</f>
        <v>422.550000000001</v>
      </c>
      <c r="K439" s="81" cm="1">
        <f ca="1" t="array" ref="K439">IF(K741=1,OFFSET($Z$338,$B439,K$335-1)/SUMPRODUCT(--($D$335:$V$335=K$335),--($D741:$V741=1)),0)+SUM(K438)+IF(COUNTIF(K$641:K741,1)=1,5,0)+IF(COUNTIF(L439:$Z439,"&gt;"&amp;0)&gt;5,IF(MOD(COUNTIF(K$641:K741,1),7)=0,$C$4,0),0)</f>
        <v>422.550000000001</v>
      </c>
      <c r="L439" s="81" cm="1">
        <f ca="1" t="array" ref="L439">IF(L741=1,OFFSET($Z$338,$B439,L$335-1)/SUMPRODUCT(--($D$335:$V$335=L$335),--($D741:$V741=1)),0)+SUM(L438)+IF(COUNTIF(L$641:L741,1)=1,5,0)+IF(COUNTIF(M439:$Z439,"&gt;"&amp;0)&gt;5,IF(MOD(COUNTIF(L$641:L741,1),7)=0,$C$4,0),0)</f>
        <v>415.850000000001</v>
      </c>
      <c r="M439" s="81" cm="1">
        <f ca="1" t="array" ref="M439">IF(M741=1,OFFSET($Z$338,$B439,M$335-1)/SUMPRODUCT(--($D$335:$V$335=M$335),--($D741:$V741=1)),0)+SUM(M438)+IF(COUNTIF(M$641:M741,1)=1,5,0)+IF(COUNTIF(N439:$Z439,"&gt;"&amp;0)&gt;5,IF(MOD(COUNTIF(M$641:M741,1),7)=0,$C$4,0),0)</f>
        <v>202.086964285715</v>
      </c>
      <c r="N439" s="81" cm="1">
        <f ca="1" t="array" ref="N439">IF(N741=1,OFFSET($Z$338,$B439,N$335-1)/SUMPRODUCT(--($D$335:$V$335=N$335),--($D741:$V741=1)),0)+SUM(N438)+IF(COUNTIF(N$641:N741,1)=1,5,0)+IF(COUNTIF(O439:$Z439,"&gt;"&amp;0)&gt;5,IF(MOD(COUNTIF(N$641:N741,1),7)=0,$C$4,0),0)</f>
        <v>194.361964285714</v>
      </c>
      <c r="O439" s="81" cm="1">
        <f ca="1" t="array" ref="O439">IF(O741=1,OFFSET($Z$338,$B439,O$335-1)/SUMPRODUCT(--($D$335:$V$335=O$335),--($D741:$V741=1)),0)+SUM(O438)+IF(COUNTIF(O$641:O741,1)=1,5,0)+IF(COUNTIF(P439:$Z439,"&gt;"&amp;0)&gt;5,IF(MOD(COUNTIF(O$641:O741,1),7)=0,$C$4,0),0)</f>
        <v>191.936964285714</v>
      </c>
      <c r="P439" s="81" cm="1">
        <f ca="1" t="array" ref="P439">IF(P741=1,OFFSET($Z$338,$B439,P$335-1)/SUMPRODUCT(--($D$335:$V$335=P$335),--($D741:$V741=1)),0)+SUM(P438)+IF(COUNTIF(P$641:P741,1)=1,5,0)+IF(COUNTIF(Q439:$Z439,"&gt;"&amp;0)&gt;5,IF(MOD(COUNTIF(P$641:P741,1),7)=0,$C$4,0),0)</f>
        <v>184.003630952381</v>
      </c>
      <c r="Q439" s="81" cm="1">
        <f ca="1" t="array" ref="Q439">IF(Q741=1,OFFSET($Z$338,$B439,Q$335-1)/SUMPRODUCT(--($D$335:$V$335=Q$335),--($D741:$V741=1)),0)+SUM(Q438)+IF(COUNTIF(Q$641:Q741,1)=1,5,0)+IF(COUNTIF(R439:$Z439,"&gt;"&amp;0)&gt;5,IF(MOD(COUNTIF(Q$641:Q741,1),7)=0,$C$4,0),0)</f>
        <v>183.097380952381</v>
      </c>
      <c r="R439" s="81" cm="1">
        <f ca="1" t="array" ref="R439">IF(R741=1,OFFSET($Z$338,$B439,R$335-1)/SUMPRODUCT(--($D$335:$V$335=R$335),--($D741:$V741=1)),0)+SUM(R438)+IF(COUNTIF(R$641:R741,1)=1,5,0)+IF(COUNTIF(S439:$Z439,"&gt;"&amp;0)&gt;5,IF(MOD(COUNTIF(R$641:R741,1),7)=0,$C$4,0),0)</f>
        <v>158.202380952381</v>
      </c>
      <c r="S439" s="81" cm="1">
        <f ca="1" t="array" ref="S439">IF(S741=1,OFFSET($Z$338,$B439,S$335-1)/SUMPRODUCT(--($D$335:$V$335=S$335),--($D741:$V741=1)),0)+SUM(S438)+IF(COUNTIF(S$641:S741,1)=1,5,0)+IF(COUNTIF(T439:$Z439,"&gt;"&amp;0)&gt;5,IF(MOD(COUNTIF(S$641:S741,1),7)=0,$C$4,0),0)</f>
        <v>149.035714285714</v>
      </c>
      <c r="T439" s="81" cm="1">
        <f ca="1" t="array" ref="T439">IF(T741=1,OFFSET($Z$338,$B439,T$335-1)/SUMPRODUCT(--($D$335:$V$335=T$335),--($D741:$V741=1)),0)+SUM(T438)+IF(COUNTIF(T$641:T741,1)=1,5,0)+IF(COUNTIF(U439:$Z439,"&gt;"&amp;0)&gt;5,IF(MOD(COUNTIF(T$641:T741,1),7)=0,$C$4,0),0)</f>
        <v>110.342967451854</v>
      </c>
      <c r="U439" s="81" cm="1">
        <f ca="1" t="array" ref="U439">IF(U741=1,OFFSET($Z$338,$B439,U$335-1)/SUMPRODUCT(--($D$335:$V$335=U$335),--($D741:$V741=1)),0)+SUM(U438)+IF(COUNTIF(U$641:U741,1)=1,5,0)+IF(COUNTIF(V439:$Z439,"&gt;"&amp;0)&gt;5,IF(MOD(COUNTIF(U$641:U741,1),7)=0,$C$4,0),0)</f>
        <v>80.3429674518539</v>
      </c>
      <c r="V439" s="81" cm="1">
        <f ca="1" t="array" ref="V439">IF(V741=1,OFFSET($Z$338,$B439,V$335-1)/SUMPRODUCT(--($D$335:$V$335=V$335),--($D741:$V741=1)),0)+SUM(V438)+IF(COUNTIF(V$641:V741,1)=1,5,0)+IF(COUNTIF(Z439:$Z439,"&gt;"&amp;0)&gt;5,IF(MOD(COUNTIF(V$641:V741,1),7)=0,$C$4,0),0)</f>
        <v>72.3851482625719</v>
      </c>
      <c r="W439" s="81" cm="1">
        <f ca="1" t="array" ref="W439">IF(W741=1,OFFSET($Z$338,$B439,W$335-1)/SUMPRODUCT(--($D$335:$V$335=W$335),--($D741:$V741=1)),0)+SUM(W438)+IF(COUNTIF(W$641:W741,1)=1,5,0)+IF(COUNTIF($Z439:AA439,"&gt;"&amp;0)&gt;5,IF(MOD(COUNTIF(W$641:W741,1),7)=0,$C$4,0),0)</f>
        <v>63.0292791476226</v>
      </c>
      <c r="X439" s="81" cm="1">
        <f ca="1" t="array" ref="X439">IF(X741=1,OFFSET($Z$338,$B439,X$335-1)/SUMPRODUCT(--($D$335:$V$335=X$335),--($D741:$V741=1)),0)+SUM(X438)+IF(COUNTIF(X$641:X741,1)=1,5,0)+IF(COUNTIF($Z439:AB439,"&gt;"&amp;0)&gt;5,IF(MOD(COUNTIF(X$641:X741,1),7)=0,$C$4,0),0)</f>
        <v>56.2656188569892</v>
      </c>
      <c r="Y439" s="81" cm="1">
        <f ca="1" t="array" ref="Y439">IF(Y741=1,OFFSET($Z$338,$B439,Y$335-1)/SUMPRODUCT(--($D$335:$V$335=Y$335),--($D741:$V741=1)),0)+SUM(Y438)+IF(COUNTIF(Y$641:Y741,1)=1,5,0)+IF(COUNTIF($Z439:AC439,"&gt;"&amp;0)&gt;5,IF(MOD(COUNTIF(Y$641:Y741,1),7)=0,$C$4,0),0)</f>
        <v>49.5019585663557</v>
      </c>
      <c r="Z439" s="82" cm="1">
        <f ca="1" t="array" ref="Z439">SUMPRODUCT(TRANSPOSE($AD439:$AJ439),OFFSET($L$10:$L$16,0,Z$335-1))</f>
        <v>18.5352420711277</v>
      </c>
      <c r="AA439" s="82" cm="1">
        <f ca="1" t="array" ref="AA439">SUMPRODUCT(TRANSPOSE($AD439:$AJ439),OFFSET($L$10:$L$16,0,AA$335-1))</f>
        <v>22</v>
      </c>
      <c r="AB439" s="82" cm="1">
        <f ca="1" t="array" ref="AB439">SUMPRODUCT(TRANSPOSE($AD439:$AJ439),OFFSET($L$10:$L$16,0,AB$335-1))</f>
        <v>11</v>
      </c>
      <c r="AC439" s="82" cm="1">
        <f ca="1" t="array" ref="AC439">SUMPRODUCT(TRANSPOSE($AD439:$AJ439),OFFSET($L$10:$L$16,0,AC$335-1))</f>
        <v>3.46475792887232</v>
      </c>
      <c r="AD439" s="83">
        <f ca="1" t="shared" ref="AD439:AJ439" si="523">AK439-AK438</f>
        <v>0</v>
      </c>
      <c r="AE439" s="83">
        <f ca="1" t="shared" si="523"/>
        <v>0</v>
      </c>
      <c r="AF439" s="83">
        <f ca="1" t="shared" si="523"/>
        <v>0</v>
      </c>
      <c r="AG439" s="83">
        <f ca="1" t="shared" si="523"/>
        <v>0</v>
      </c>
      <c r="AH439" s="83">
        <f ca="1" t="shared" si="523"/>
        <v>0</v>
      </c>
      <c r="AI439" s="83">
        <f ca="1" t="shared" si="523"/>
        <v>110</v>
      </c>
      <c r="AJ439" s="83">
        <f ca="1" t="shared" si="523"/>
        <v>0</v>
      </c>
      <c r="AK439" s="83">
        <f ca="1" t="shared" si="451"/>
        <v>450</v>
      </c>
      <c r="AL439" s="83">
        <f ca="1" t="shared" ref="AL439:AQ439" si="524">IF($C439&gt;OFFSET($Q$9,MATCH(AL$338,$AK$338:$AQ$338,0),0),OFFSET($P$9,MATCH(AL$338,$AK$338:$AQ$338,0),0),MAX(0,$C439-OFFSET($Q$9,RIGHT(AL$338,1)-1,0)))</f>
        <v>909</v>
      </c>
      <c r="AM439" s="83">
        <f ca="1" t="shared" si="524"/>
        <v>1818</v>
      </c>
      <c r="AN439" s="83">
        <f ca="1" t="shared" si="524"/>
        <v>2727</v>
      </c>
      <c r="AO439" s="83">
        <f ca="1" t="shared" si="524"/>
        <v>3636</v>
      </c>
      <c r="AP439" s="83">
        <f ca="1" t="shared" si="524"/>
        <v>2896</v>
      </c>
      <c r="AQ439" s="83">
        <f ca="1" t="shared" si="524"/>
        <v>0</v>
      </c>
    </row>
    <row r="440" ht="16.5" spans="2:43">
      <c r="B440" s="65">
        <v>102</v>
      </c>
      <c r="C440" s="80">
        <f t="shared" si="449"/>
        <v>12546</v>
      </c>
      <c r="D440" s="81" cm="1">
        <f ca="1" t="array" ref="D440">IF(D742=1,OFFSET($Z$338,$B440,D$335-1)/SUMPRODUCT(--($D$335:$V$335=D$335),--($D742:$V742=1)),0)+SUM(D439)+IF(COUNTIF(D$641:D742,1)=1,5,0)+IF(COUNTIF(E440:$Z440,"&gt;"&amp;0)&gt;5,IF(MOD(COUNTIF(D$641:D742,1),7)=0,$C$4,0),0)</f>
        <v>1102.37971963495</v>
      </c>
      <c r="E440" s="81" cm="1">
        <f ca="1" t="array" ref="E440">IF(E742=1,OFFSET($Z$338,$B440,E$335-1)/SUMPRODUCT(--($D$335:$V$335=E$335),--($D742:$V742=1)),0)+SUM(E439)+IF(COUNTIF(E$641:E742,1)=1,5,0)+IF(COUNTIF(F440:$Z440,"&gt;"&amp;0)&gt;5,IF(MOD(COUNTIF(E$641:E742,1),7)=0,$C$4,0),0)</f>
        <v>1102.37971963495</v>
      </c>
      <c r="F440" s="81" cm="1">
        <f ca="1" t="array" ref="F440">IF(F742=1,OFFSET($Z$338,$B440,F$335-1)/SUMPRODUCT(--($D$335:$V$335=F$335),--($D742:$V742=1)),0)+SUM(F439)+IF(COUNTIF(F$641:F742,1)=1,5,0)+IF(COUNTIF(G440:$Z440,"&gt;"&amp;0)&gt;5,IF(MOD(COUNTIF(F$641:F742,1),7)=0,$C$4,0),0)</f>
        <v>1102.37971963495</v>
      </c>
      <c r="G440" s="81" cm="1">
        <f ca="1" t="array" ref="G440">IF(G742=1,OFFSET($Z$338,$B440,G$335-1)/SUMPRODUCT(--($D$335:$V$335=G$335),--($D742:$V742=1)),0)+SUM(G439)+IF(COUNTIF(G$641:G742,1)=1,5,0)+IF(COUNTIF(H440:$Z440,"&gt;"&amp;0)&gt;5,IF(MOD(COUNTIF(G$641:G742,1),7)=0,$C$4,0),0)</f>
        <v>426.216666666668</v>
      </c>
      <c r="H440" s="81" cm="1">
        <f ca="1" t="array" ref="H440">IF(H742=1,OFFSET($Z$338,$B440,H$335-1)/SUMPRODUCT(--($D$335:$V$335=H$335),--($D742:$V742=1)),0)+SUM(H439)+IF(COUNTIF(H$641:H742,1)=1,5,0)+IF(COUNTIF(I440:$Z440,"&gt;"&amp;0)&gt;5,IF(MOD(COUNTIF(H$641:H742,1),7)=0,$C$4,0),0)</f>
        <v>426.216666666668</v>
      </c>
      <c r="I440" s="81" cm="1">
        <f ca="1" t="array" ref="I440">IF(I742=1,OFFSET($Z$338,$B440,I$335-1)/SUMPRODUCT(--($D$335:$V$335=I$335),--($D742:$V742=1)),0)+SUM(I439)+IF(COUNTIF(I$641:I742,1)=1,5,0)+IF(COUNTIF(J440:$Z440,"&gt;"&amp;0)&gt;5,IF(MOD(COUNTIF(I$641:I742,1),7)=0,$C$4,0),0)</f>
        <v>426.216666666668</v>
      </c>
      <c r="J440" s="81" cm="1">
        <f ca="1" t="array" ref="J440">IF(J742=1,OFFSET($Z$338,$B440,J$335-1)/SUMPRODUCT(--($D$335:$V$335=J$335),--($D742:$V742=1)),0)+SUM(J439)+IF(COUNTIF(J$641:J742,1)=1,5,0)+IF(COUNTIF(K440:$Z440,"&gt;"&amp;0)&gt;5,IF(MOD(COUNTIF(J$641:J742,1),7)=0,$C$4,0),0)</f>
        <v>426.216666666668</v>
      </c>
      <c r="K440" s="81" cm="1">
        <f ca="1" t="array" ref="K440">IF(K742=1,OFFSET($Z$338,$B440,K$335-1)/SUMPRODUCT(--($D$335:$V$335=K$335),--($D742:$V742=1)),0)+SUM(K439)+IF(COUNTIF(K$641:K742,1)=1,5,0)+IF(COUNTIF(L440:$Z440,"&gt;"&amp;0)&gt;5,IF(MOD(COUNTIF(K$641:K742,1),7)=0,$C$4,0),0)</f>
        <v>426.216666666668</v>
      </c>
      <c r="L440" s="81" cm="1">
        <f ca="1" t="array" ref="L440">IF(L742=1,OFFSET($Z$338,$B440,L$335-1)/SUMPRODUCT(--($D$335:$V$335=L$335),--($D742:$V742=1)),0)+SUM(L439)+IF(COUNTIF(L$641:L742,1)=1,5,0)+IF(COUNTIF(M440:$Z440,"&gt;"&amp;0)&gt;5,IF(MOD(COUNTIF(L$641:L742,1),7)=0,$C$4,0),0)</f>
        <v>419.516666666668</v>
      </c>
      <c r="M440" s="81" cm="1">
        <f ca="1" t="array" ref="M440">IF(M742=1,OFFSET($Z$338,$B440,M$335-1)/SUMPRODUCT(--($D$335:$V$335=M$335),--($D742:$V742=1)),0)+SUM(M439)+IF(COUNTIF(M$641:M742,1)=1,5,0)+IF(COUNTIF(N440:$Z440,"&gt;"&amp;0)&gt;5,IF(MOD(COUNTIF(M$641:M742,1),7)=0,$C$4,0),0)</f>
        <v>203.658392857143</v>
      </c>
      <c r="N440" s="81" cm="1">
        <f ca="1" t="array" ref="N440">IF(N742=1,OFFSET($Z$338,$B440,N$335-1)/SUMPRODUCT(--($D$335:$V$335=N$335),--($D742:$V742=1)),0)+SUM(N439)+IF(COUNTIF(N$641:N742,1)=1,5,0)+IF(COUNTIF(O440:$Z440,"&gt;"&amp;0)&gt;5,IF(MOD(COUNTIF(N$641:N742,1),7)=0,$C$4,0),0)</f>
        <v>195.933392857143</v>
      </c>
      <c r="O440" s="81" cm="1">
        <f ca="1" t="array" ref="O440">IF(O742=1,OFFSET($Z$338,$B440,O$335-1)/SUMPRODUCT(--($D$335:$V$335=O$335),--($D742:$V742=1)),0)+SUM(O439)+IF(COUNTIF(O$641:O742,1)=1,5,0)+IF(COUNTIF(P440:$Z440,"&gt;"&amp;0)&gt;5,IF(MOD(COUNTIF(O$641:O742,1),7)=0,$C$4,0),0)</f>
        <v>193.508392857143</v>
      </c>
      <c r="P440" s="81" cm="1">
        <f ca="1" t="array" ref="P440">IF(P742=1,OFFSET($Z$338,$B440,P$335-1)/SUMPRODUCT(--($D$335:$V$335=P$335),--($D742:$V742=1)),0)+SUM(P439)+IF(COUNTIF(P$641:P742,1)=1,5,0)+IF(COUNTIF(Q440:$Z440,"&gt;"&amp;0)&gt;5,IF(MOD(COUNTIF(P$641:P742,1),7)=0,$C$4,0),0)</f>
        <v>185.57505952381</v>
      </c>
      <c r="Q440" s="81" cm="1">
        <f ca="1" t="array" ref="Q440">IF(Q742=1,OFFSET($Z$338,$B440,Q$335-1)/SUMPRODUCT(--($D$335:$V$335=Q$335),--($D742:$V742=1)),0)+SUM(Q439)+IF(COUNTIF(Q$641:Q742,1)=1,5,0)+IF(COUNTIF(R440:$Z440,"&gt;"&amp;0)&gt;5,IF(MOD(COUNTIF(Q$641:Q742,1),7)=0,$C$4,0),0)</f>
        <v>184.66880952381</v>
      </c>
      <c r="R440" s="81" cm="1">
        <f ca="1" t="array" ref="R440">IF(R742=1,OFFSET($Z$338,$B440,R$335-1)/SUMPRODUCT(--($D$335:$V$335=R$335),--($D742:$V742=1)),0)+SUM(R439)+IF(COUNTIF(R$641:R742,1)=1,5,0)+IF(COUNTIF(S440:$Z440,"&gt;"&amp;0)&gt;5,IF(MOD(COUNTIF(R$641:R742,1),7)=0,$C$4,0),0)</f>
        <v>159.77380952381</v>
      </c>
      <c r="S440" s="81" cm="1">
        <f ca="1" t="array" ref="S440">IF(S742=1,OFFSET($Z$338,$B440,S$335-1)/SUMPRODUCT(--($D$335:$V$335=S$335),--($D742:$V742=1)),0)+SUM(S439)+IF(COUNTIF(S$641:S742,1)=1,5,0)+IF(COUNTIF(T440:$Z440,"&gt;"&amp;0)&gt;5,IF(MOD(COUNTIF(S$641:S742,1),7)=0,$C$4,0),0)</f>
        <v>150.607142857143</v>
      </c>
      <c r="T440" s="81" cm="1">
        <f ca="1" t="array" ref="T440">IF(T742=1,OFFSET($Z$338,$B440,T$335-1)/SUMPRODUCT(--($D$335:$V$335=T$335),--($D742:$V742=1)),0)+SUM(T439)+IF(COUNTIF(T$641:T742,1)=1,5,0)+IF(COUNTIF(U440:$Z440,"&gt;"&amp;0)&gt;5,IF(MOD(COUNTIF(T$641:T742,1),7)=0,$C$4,0),0)</f>
        <v>111.497886761478</v>
      </c>
      <c r="U440" s="81" cm="1">
        <f ca="1" t="array" ref="U440">IF(U742=1,OFFSET($Z$338,$B440,U$335-1)/SUMPRODUCT(--($D$335:$V$335=U$335),--($D742:$V742=1)),0)+SUM(U439)+IF(COUNTIF(U$641:U742,1)=1,5,0)+IF(COUNTIF(V440:$Z440,"&gt;"&amp;0)&gt;5,IF(MOD(COUNTIF(U$641:U742,1),7)=0,$C$4,0),0)</f>
        <v>81.497886761478</v>
      </c>
      <c r="V440" s="81" cm="1">
        <f ca="1" t="array" ref="V440">IF(V742=1,OFFSET($Z$338,$B440,V$335-1)/SUMPRODUCT(--($D$335:$V$335=V$335),--($D742:$V742=1)),0)+SUM(V439)+IF(COUNTIF(V$641:V742,1)=1,5,0)+IF(COUNTIF(Z440:$Z440,"&gt;"&amp;0)&gt;5,IF(MOD(COUNTIF(V$641:V742,1),7)=0,$C$4,0),0)</f>
        <v>73.5400675721961</v>
      </c>
      <c r="W440" s="81" cm="1">
        <f ca="1" t="array" ref="W440">IF(W742=1,OFFSET($Z$338,$B440,W$335-1)/SUMPRODUCT(--($D$335:$V$335=W$335),--($D742:$V742=1)),0)+SUM(W439)+IF(COUNTIF(W$641:W742,1)=1,5,0)+IF(COUNTIF($Z440:AA440,"&gt;"&amp;0)&gt;5,IF(MOD(COUNTIF(W$641:W742,1),7)=0,$C$4,0),0)</f>
        <v>64.1841984572467</v>
      </c>
      <c r="X440" s="81" cm="1">
        <f ca="1" t="array" ref="X440">IF(X742=1,OFFSET($Z$338,$B440,X$335-1)/SUMPRODUCT(--($D$335:$V$335=X$335),--($D742:$V742=1)),0)+SUM(X439)+IF(COUNTIF(X$641:X742,1)=1,5,0)+IF(COUNTIF($Z440:AB440,"&gt;"&amp;0)&gt;5,IF(MOD(COUNTIF(X$641:X742,1),7)=0,$C$4,0),0)</f>
        <v>57.4205381666133</v>
      </c>
      <c r="Y440" s="81" cm="1">
        <f ca="1" t="array" ref="Y440">IF(Y742=1,OFFSET($Z$338,$B440,Y$335-1)/SUMPRODUCT(--($D$335:$V$335=Y$335),--($D742:$V742=1)),0)+SUM(Y439)+IF(COUNTIF(Y$641:Y742,1)=1,5,0)+IF(COUNTIF($Z440:AC440,"&gt;"&amp;0)&gt;5,IF(MOD(COUNTIF(Y$641:Y742,1),7)=0,$C$4,0),0)</f>
        <v>50.6568778759798</v>
      </c>
      <c r="Z440" s="82" cm="1">
        <f ca="1" t="array" ref="Z440">SUMPRODUCT(TRANSPOSE($AD440:$AJ440),OFFSET($L$10:$L$16,0,Z$335-1))</f>
        <v>18.5352420711277</v>
      </c>
      <c r="AA440" s="82" cm="1">
        <f ca="1" t="array" ref="AA440">SUMPRODUCT(TRANSPOSE($AD440:$AJ440),OFFSET($L$10:$L$16,0,AA$335-1))</f>
        <v>22</v>
      </c>
      <c r="AB440" s="82" cm="1">
        <f ca="1" t="array" ref="AB440">SUMPRODUCT(TRANSPOSE($AD440:$AJ440),OFFSET($L$10:$L$16,0,AB$335-1))</f>
        <v>11</v>
      </c>
      <c r="AC440" s="82" cm="1">
        <f ca="1" t="array" ref="AC440">SUMPRODUCT(TRANSPOSE($AD440:$AJ440),OFFSET($L$10:$L$16,0,AC$335-1))</f>
        <v>3.46475792887232</v>
      </c>
      <c r="AD440" s="83">
        <f ca="1" t="shared" ref="AD440:AJ440" si="525">AK440-AK439</f>
        <v>0</v>
      </c>
      <c r="AE440" s="83">
        <f ca="1" t="shared" si="525"/>
        <v>0</v>
      </c>
      <c r="AF440" s="83">
        <f ca="1" t="shared" si="525"/>
        <v>0</v>
      </c>
      <c r="AG440" s="83">
        <f ca="1" t="shared" si="525"/>
        <v>0</v>
      </c>
      <c r="AH440" s="83">
        <f ca="1" t="shared" si="525"/>
        <v>0</v>
      </c>
      <c r="AI440" s="83">
        <f ca="1" t="shared" si="525"/>
        <v>110</v>
      </c>
      <c r="AJ440" s="83">
        <f ca="1" t="shared" si="525"/>
        <v>0</v>
      </c>
      <c r="AK440" s="83">
        <f ca="1" t="shared" si="451"/>
        <v>450</v>
      </c>
      <c r="AL440" s="83">
        <f ca="1" t="shared" ref="AL440:AQ440" si="526">IF($C440&gt;OFFSET($Q$9,MATCH(AL$338,$AK$338:$AQ$338,0),0),OFFSET($P$9,MATCH(AL$338,$AK$338:$AQ$338,0),0),MAX(0,$C440-OFFSET($Q$9,RIGHT(AL$338,1)-1,0)))</f>
        <v>909</v>
      </c>
      <c r="AM440" s="83">
        <f ca="1" t="shared" si="526"/>
        <v>1818</v>
      </c>
      <c r="AN440" s="83">
        <f ca="1" t="shared" si="526"/>
        <v>2727</v>
      </c>
      <c r="AO440" s="83">
        <f ca="1" t="shared" si="526"/>
        <v>3636</v>
      </c>
      <c r="AP440" s="83">
        <f ca="1" t="shared" si="526"/>
        <v>3006</v>
      </c>
      <c r="AQ440" s="83">
        <f ca="1" t="shared" si="526"/>
        <v>0</v>
      </c>
    </row>
    <row r="441" ht="16.5" spans="2:43">
      <c r="B441" s="65">
        <v>103</v>
      </c>
      <c r="C441" s="80">
        <f t="shared" si="449"/>
        <v>12656</v>
      </c>
      <c r="D441" s="81" cm="1">
        <f ca="1" t="array" ref="D441">IF(D743=1,OFFSET($Z$338,$B441,D$335-1)/SUMPRODUCT(--($D$335:$V$335=D$335),--($D743:$V743=1)),0)+SUM(D440)+IF(COUNTIF(D$641:D743,1)=1,5,0)+IF(COUNTIF(E441:$Z441,"&gt;"&amp;0)&gt;5,IF(MOD(COUNTIF(D$641:D743,1),7)=0,$C$4,0),0)</f>
        <v>1108.55813365866</v>
      </c>
      <c r="E441" s="81" cm="1">
        <f ca="1" t="array" ref="E441">IF(E743=1,OFFSET($Z$338,$B441,E$335-1)/SUMPRODUCT(--($D$335:$V$335=E$335),--($D743:$V743=1)),0)+SUM(E440)+IF(COUNTIF(E$641:E743,1)=1,5,0)+IF(COUNTIF(F441:$Z441,"&gt;"&amp;0)&gt;5,IF(MOD(COUNTIF(E$641:E743,1),7)=0,$C$4,0),0)</f>
        <v>1108.55813365866</v>
      </c>
      <c r="F441" s="81" cm="1">
        <f ca="1" t="array" ref="F441">IF(F743=1,OFFSET($Z$338,$B441,F$335-1)/SUMPRODUCT(--($D$335:$V$335=F$335),--($D743:$V743=1)),0)+SUM(F440)+IF(COUNTIF(F$641:F743,1)=1,5,0)+IF(COUNTIF(G441:$Z441,"&gt;"&amp;0)&gt;5,IF(MOD(COUNTIF(F$641:F743,1),7)=0,$C$4,0),0)</f>
        <v>1108.55813365866</v>
      </c>
      <c r="G441" s="81" cm="1">
        <f ca="1" t="array" ref="G441">IF(G743=1,OFFSET($Z$338,$B441,G$335-1)/SUMPRODUCT(--($D$335:$V$335=G$335),--($D743:$V743=1)),0)+SUM(G440)+IF(COUNTIF(G$641:G743,1)=1,5,0)+IF(COUNTIF(H441:$Z441,"&gt;"&amp;0)&gt;5,IF(MOD(COUNTIF(G$641:G743,1),7)=0,$C$4,0),0)</f>
        <v>429.883333333334</v>
      </c>
      <c r="H441" s="81" cm="1">
        <f ca="1" t="array" ref="H441">IF(H743=1,OFFSET($Z$338,$B441,H$335-1)/SUMPRODUCT(--($D$335:$V$335=H$335),--($D743:$V743=1)),0)+SUM(H440)+IF(COUNTIF(H$641:H743,1)=1,5,0)+IF(COUNTIF(I441:$Z441,"&gt;"&amp;0)&gt;5,IF(MOD(COUNTIF(H$641:H743,1),7)=0,$C$4,0),0)</f>
        <v>429.883333333334</v>
      </c>
      <c r="I441" s="81" cm="1">
        <f ca="1" t="array" ref="I441">IF(I743=1,OFFSET($Z$338,$B441,I$335-1)/SUMPRODUCT(--($D$335:$V$335=I$335),--($D743:$V743=1)),0)+SUM(I440)+IF(COUNTIF(I$641:I743,1)=1,5,0)+IF(COUNTIF(J441:$Z441,"&gt;"&amp;0)&gt;5,IF(MOD(COUNTIF(I$641:I743,1),7)=0,$C$4,0),0)</f>
        <v>429.883333333334</v>
      </c>
      <c r="J441" s="81" cm="1">
        <f ca="1" t="array" ref="J441">IF(J743=1,OFFSET($Z$338,$B441,J$335-1)/SUMPRODUCT(--($D$335:$V$335=J$335),--($D743:$V743=1)),0)+SUM(J440)+IF(COUNTIF(J$641:J743,1)=1,5,0)+IF(COUNTIF(K441:$Z441,"&gt;"&amp;0)&gt;5,IF(MOD(COUNTIF(J$641:J743,1),7)=0,$C$4,0),0)</f>
        <v>429.883333333334</v>
      </c>
      <c r="K441" s="81" cm="1">
        <f ca="1" t="array" ref="K441">IF(K743=1,OFFSET($Z$338,$B441,K$335-1)/SUMPRODUCT(--($D$335:$V$335=K$335),--($D743:$V743=1)),0)+SUM(K440)+IF(COUNTIF(K$641:K743,1)=1,5,0)+IF(COUNTIF(L441:$Z441,"&gt;"&amp;0)&gt;5,IF(MOD(COUNTIF(K$641:K743,1),7)=0,$C$4,0),0)</f>
        <v>429.883333333334</v>
      </c>
      <c r="L441" s="81" cm="1">
        <f ca="1" t="array" ref="L441">IF(L743=1,OFFSET($Z$338,$B441,L$335-1)/SUMPRODUCT(--($D$335:$V$335=L$335),--($D743:$V743=1)),0)+SUM(L440)+IF(COUNTIF(L$641:L743,1)=1,5,0)+IF(COUNTIF(M441:$Z441,"&gt;"&amp;0)&gt;5,IF(MOD(COUNTIF(L$641:L743,1),7)=0,$C$4,0),0)</f>
        <v>423.183333333334</v>
      </c>
      <c r="M441" s="81" cm="1">
        <f ca="1" t="array" ref="M441">IF(M743=1,OFFSET($Z$338,$B441,M$335-1)/SUMPRODUCT(--($D$335:$V$335=M$335),--($D743:$V743=1)),0)+SUM(M440)+IF(COUNTIF(M$641:M743,1)=1,5,0)+IF(COUNTIF(N441:$Z441,"&gt;"&amp;0)&gt;5,IF(MOD(COUNTIF(M$641:M743,1),7)=0,$C$4,0),0)</f>
        <v>205.229821428572</v>
      </c>
      <c r="N441" s="81" cm="1">
        <f ca="1" t="array" ref="N441">IF(N743=1,OFFSET($Z$338,$B441,N$335-1)/SUMPRODUCT(--($D$335:$V$335=N$335),--($D743:$V743=1)),0)+SUM(N440)+IF(COUNTIF(N$641:N743,1)=1,5,0)+IF(COUNTIF(O441:$Z441,"&gt;"&amp;0)&gt;5,IF(MOD(COUNTIF(N$641:N743,1),7)=0,$C$4,0),0)</f>
        <v>197.504821428572</v>
      </c>
      <c r="O441" s="81" cm="1">
        <f ca="1" t="array" ref="O441">IF(O743=1,OFFSET($Z$338,$B441,O$335-1)/SUMPRODUCT(--($D$335:$V$335=O$335),--($D743:$V743=1)),0)+SUM(O440)+IF(COUNTIF(O$641:O743,1)=1,5,0)+IF(COUNTIF(P441:$Z441,"&gt;"&amp;0)&gt;5,IF(MOD(COUNTIF(O$641:O743,1),7)=0,$C$4,0),0)</f>
        <v>195.079821428572</v>
      </c>
      <c r="P441" s="81" cm="1">
        <f ca="1" t="array" ref="P441">IF(P743=1,OFFSET($Z$338,$B441,P$335-1)/SUMPRODUCT(--($D$335:$V$335=P$335),--($D743:$V743=1)),0)+SUM(P440)+IF(COUNTIF(P$641:P743,1)=1,5,0)+IF(COUNTIF(Q441:$Z441,"&gt;"&amp;0)&gt;5,IF(MOD(COUNTIF(P$641:P743,1),7)=0,$C$4,0),0)</f>
        <v>192.146488095238</v>
      </c>
      <c r="Q441" s="81" cm="1">
        <f ca="1" t="array" ref="Q441">IF(Q743=1,OFFSET($Z$338,$B441,Q$335-1)/SUMPRODUCT(--($D$335:$V$335=Q$335),--($D743:$V743=1)),0)+SUM(Q440)+IF(COUNTIF(Q$641:Q743,1)=1,5,0)+IF(COUNTIF(R441:$Z441,"&gt;"&amp;0)&gt;5,IF(MOD(COUNTIF(Q$641:Q743,1),7)=0,$C$4,0),0)</f>
        <v>186.240238095238</v>
      </c>
      <c r="R441" s="81" cm="1">
        <f ca="1" t="array" ref="R441">IF(R743=1,OFFSET($Z$338,$B441,R$335-1)/SUMPRODUCT(--($D$335:$V$335=R$335),--($D743:$V743=1)),0)+SUM(R440)+IF(COUNTIF(R$641:R743,1)=1,5,0)+IF(COUNTIF(S441:$Z441,"&gt;"&amp;0)&gt;5,IF(MOD(COUNTIF(R$641:R743,1),7)=0,$C$4,0),0)</f>
        <v>161.345238095238</v>
      </c>
      <c r="S441" s="81" cm="1">
        <f ca="1" t="array" ref="S441">IF(S743=1,OFFSET($Z$338,$B441,S$335-1)/SUMPRODUCT(--($D$335:$V$335=S$335),--($D743:$V743=1)),0)+SUM(S440)+IF(COUNTIF(S$641:S743,1)=1,5,0)+IF(COUNTIF(T441:$Z441,"&gt;"&amp;0)&gt;5,IF(MOD(COUNTIF(S$641:S743,1),7)=0,$C$4,0),0)</f>
        <v>157.178571428572</v>
      </c>
      <c r="T441" s="81" cm="1">
        <f ca="1" t="array" ref="T441">IF(T743=1,OFFSET($Z$338,$B441,T$335-1)/SUMPRODUCT(--($D$335:$V$335=T$335),--($D743:$V743=1)),0)+SUM(T440)+IF(COUNTIF(T$641:T743,1)=1,5,0)+IF(COUNTIF(U441:$Z441,"&gt;"&amp;0)&gt;5,IF(MOD(COUNTIF(T$641:T743,1),7)=0,$C$4,0),0)</f>
        <v>112.652806071102</v>
      </c>
      <c r="U441" s="81" cm="1">
        <f ca="1" t="array" ref="U441">IF(U743=1,OFFSET($Z$338,$B441,U$335-1)/SUMPRODUCT(--($D$335:$V$335=U$335),--($D743:$V743=1)),0)+SUM(U440)+IF(COUNTIF(U$641:U743,1)=1,5,0)+IF(COUNTIF(V441:$Z441,"&gt;"&amp;0)&gt;5,IF(MOD(COUNTIF(U$641:U743,1),7)=0,$C$4,0),0)</f>
        <v>82.6528060711021</v>
      </c>
      <c r="V441" s="81" cm="1">
        <f ca="1" t="array" ref="V441">IF(V743=1,OFFSET($Z$338,$B441,V$335-1)/SUMPRODUCT(--($D$335:$V$335=V$335),--($D743:$V743=1)),0)+SUM(V440)+IF(COUNTIF(V$641:V743,1)=1,5,0)+IF(COUNTIF(Z441:$Z441,"&gt;"&amp;0)&gt;5,IF(MOD(COUNTIF(V$641:V743,1),7)=0,$C$4,0),0)</f>
        <v>74.6949868818202</v>
      </c>
      <c r="W441" s="81" cm="1">
        <f ca="1" t="array" ref="W441">IF(W743=1,OFFSET($Z$338,$B441,W$335-1)/SUMPRODUCT(--($D$335:$V$335=W$335),--($D743:$V743=1)),0)+SUM(W440)+IF(COUNTIF(W$641:W743,1)=1,5,0)+IF(COUNTIF($Z441:AA441,"&gt;"&amp;0)&gt;5,IF(MOD(COUNTIF(W$641:W743,1),7)=0,$C$4,0),0)</f>
        <v>65.3391177668708</v>
      </c>
      <c r="X441" s="81" cm="1">
        <f ca="1" t="array" ref="X441">IF(X743=1,OFFSET($Z$338,$B441,X$335-1)/SUMPRODUCT(--($D$335:$V$335=X$335),--($D743:$V743=1)),0)+SUM(X440)+IF(COUNTIF(X$641:X743,1)=1,5,0)+IF(COUNTIF($Z441:AB441,"&gt;"&amp;0)&gt;5,IF(MOD(COUNTIF(X$641:X743,1),7)=0,$C$4,0),0)</f>
        <v>58.5754574762374</v>
      </c>
      <c r="Y441" s="81" cm="1">
        <f ca="1" t="array" ref="Y441">IF(Y743=1,OFFSET($Z$338,$B441,Y$335-1)/SUMPRODUCT(--($D$335:$V$335=Y$335),--($D743:$V743=1)),0)+SUM(Y440)+IF(COUNTIF(Y$641:Y743,1)=1,5,0)+IF(COUNTIF($Z441:AC441,"&gt;"&amp;0)&gt;5,IF(MOD(COUNTIF(Y$641:Y743,1),7)=0,$C$4,0),0)</f>
        <v>51.8117971856039</v>
      </c>
      <c r="Z441" s="82" cm="1">
        <f ca="1" t="array" ref="Z441">SUMPRODUCT(TRANSPOSE($AD441:$AJ441),OFFSET($L$10:$L$16,0,Z$335-1))</f>
        <v>18.5352420711277</v>
      </c>
      <c r="AA441" s="82" cm="1">
        <f ca="1" t="array" ref="AA441">SUMPRODUCT(TRANSPOSE($AD441:$AJ441),OFFSET($L$10:$L$16,0,AA$335-1))</f>
        <v>22</v>
      </c>
      <c r="AB441" s="82" cm="1">
        <f ca="1" t="array" ref="AB441">SUMPRODUCT(TRANSPOSE($AD441:$AJ441),OFFSET($L$10:$L$16,0,AB$335-1))</f>
        <v>11</v>
      </c>
      <c r="AC441" s="82" cm="1">
        <f ca="1" t="array" ref="AC441">SUMPRODUCT(TRANSPOSE($AD441:$AJ441),OFFSET($L$10:$L$16,0,AC$335-1))</f>
        <v>3.46475792887232</v>
      </c>
      <c r="AD441" s="83">
        <f ca="1" t="shared" ref="AD441:AJ441" si="527">AK441-AK440</f>
        <v>0</v>
      </c>
      <c r="AE441" s="83">
        <f ca="1" t="shared" si="527"/>
        <v>0</v>
      </c>
      <c r="AF441" s="83">
        <f ca="1" t="shared" si="527"/>
        <v>0</v>
      </c>
      <c r="AG441" s="83">
        <f ca="1" t="shared" si="527"/>
        <v>0</v>
      </c>
      <c r="AH441" s="83">
        <f ca="1" t="shared" si="527"/>
        <v>0</v>
      </c>
      <c r="AI441" s="83">
        <f ca="1" t="shared" si="527"/>
        <v>110</v>
      </c>
      <c r="AJ441" s="83">
        <f ca="1" t="shared" si="527"/>
        <v>0</v>
      </c>
      <c r="AK441" s="83">
        <f ca="1" t="shared" si="451"/>
        <v>450</v>
      </c>
      <c r="AL441" s="83">
        <f ca="1" t="shared" ref="AL441:AQ441" si="528">IF($C441&gt;OFFSET($Q$9,MATCH(AL$338,$AK$338:$AQ$338,0),0),OFFSET($P$9,MATCH(AL$338,$AK$338:$AQ$338,0),0),MAX(0,$C441-OFFSET($Q$9,RIGHT(AL$338,1)-1,0)))</f>
        <v>909</v>
      </c>
      <c r="AM441" s="83">
        <f ca="1" t="shared" si="528"/>
        <v>1818</v>
      </c>
      <c r="AN441" s="83">
        <f ca="1" t="shared" si="528"/>
        <v>2727</v>
      </c>
      <c r="AO441" s="83">
        <f ca="1" t="shared" si="528"/>
        <v>3636</v>
      </c>
      <c r="AP441" s="83">
        <f ca="1" t="shared" si="528"/>
        <v>3116</v>
      </c>
      <c r="AQ441" s="83">
        <f ca="1" t="shared" si="528"/>
        <v>0</v>
      </c>
    </row>
    <row r="442" ht="16.5" spans="2:43">
      <c r="B442" s="65">
        <v>104</v>
      </c>
      <c r="C442" s="80">
        <f t="shared" si="449"/>
        <v>12766</v>
      </c>
      <c r="D442" s="81" cm="1">
        <f ca="1" t="array" ref="D442">IF(D744=1,OFFSET($Z$338,$B442,D$335-1)/SUMPRODUCT(--($D$335:$V$335=D$335),--($D744:$V744=1)),0)+SUM(D441)+IF(COUNTIF(D$641:D744,1)=1,5,0)+IF(COUNTIF(E442:$Z442,"&gt;"&amp;0)&gt;5,IF(MOD(COUNTIF(D$641:D744,1),7)=0,$C$4,0),0)</f>
        <v>1114.73654768237</v>
      </c>
      <c r="E442" s="81" cm="1">
        <f ca="1" t="array" ref="E442">IF(E744=1,OFFSET($Z$338,$B442,E$335-1)/SUMPRODUCT(--($D$335:$V$335=E$335),--($D744:$V744=1)),0)+SUM(E441)+IF(COUNTIF(E$641:E744,1)=1,5,0)+IF(COUNTIF(F442:$Z442,"&gt;"&amp;0)&gt;5,IF(MOD(COUNTIF(E$641:E744,1),7)=0,$C$4,0),0)</f>
        <v>1114.73654768237</v>
      </c>
      <c r="F442" s="81" cm="1">
        <f ca="1" t="array" ref="F442">IF(F744=1,OFFSET($Z$338,$B442,F$335-1)/SUMPRODUCT(--($D$335:$V$335=F$335),--($D744:$V744=1)),0)+SUM(F441)+IF(COUNTIF(F$641:F744,1)=1,5,0)+IF(COUNTIF(G442:$Z442,"&gt;"&amp;0)&gt;5,IF(MOD(COUNTIF(F$641:F744,1),7)=0,$C$4,0),0)</f>
        <v>1114.73654768237</v>
      </c>
      <c r="G442" s="81" cm="1">
        <f ca="1" t="array" ref="G442">IF(G744=1,OFFSET($Z$338,$B442,G$335-1)/SUMPRODUCT(--($D$335:$V$335=G$335),--($D744:$V744=1)),0)+SUM(G441)+IF(COUNTIF(G$641:G744,1)=1,5,0)+IF(COUNTIF(H442:$Z442,"&gt;"&amp;0)&gt;5,IF(MOD(COUNTIF(G$641:G744,1),7)=0,$C$4,0),0)</f>
        <v>433.550000000001</v>
      </c>
      <c r="H442" s="81" cm="1">
        <f ca="1" t="array" ref="H442">IF(H744=1,OFFSET($Z$338,$B442,H$335-1)/SUMPRODUCT(--($D$335:$V$335=H$335),--($D744:$V744=1)),0)+SUM(H441)+IF(COUNTIF(H$641:H744,1)=1,5,0)+IF(COUNTIF(I442:$Z442,"&gt;"&amp;0)&gt;5,IF(MOD(COUNTIF(H$641:H744,1),7)=0,$C$4,0),0)</f>
        <v>433.550000000001</v>
      </c>
      <c r="I442" s="81" cm="1">
        <f ca="1" t="array" ref="I442">IF(I744=1,OFFSET($Z$338,$B442,I$335-1)/SUMPRODUCT(--($D$335:$V$335=I$335),--($D744:$V744=1)),0)+SUM(I441)+IF(COUNTIF(I$641:I744,1)=1,5,0)+IF(COUNTIF(J442:$Z442,"&gt;"&amp;0)&gt;5,IF(MOD(COUNTIF(I$641:I744,1),7)=0,$C$4,0),0)</f>
        <v>433.550000000001</v>
      </c>
      <c r="J442" s="81" cm="1">
        <f ca="1" t="array" ref="J442">IF(J744=1,OFFSET($Z$338,$B442,J$335-1)/SUMPRODUCT(--($D$335:$V$335=J$335),--($D744:$V744=1)),0)+SUM(J441)+IF(COUNTIF(J$641:J744,1)=1,5,0)+IF(COUNTIF(K442:$Z442,"&gt;"&amp;0)&gt;5,IF(MOD(COUNTIF(J$641:J744,1),7)=0,$C$4,0),0)</f>
        <v>433.550000000001</v>
      </c>
      <c r="K442" s="81" cm="1">
        <f ca="1" t="array" ref="K442">IF(K744=1,OFFSET($Z$338,$B442,K$335-1)/SUMPRODUCT(--($D$335:$V$335=K$335),--($D744:$V744=1)),0)+SUM(K441)+IF(COUNTIF(K$641:K744,1)=1,5,0)+IF(COUNTIF(L442:$Z442,"&gt;"&amp;0)&gt;5,IF(MOD(COUNTIF(K$641:K744,1),7)=0,$C$4,0),0)</f>
        <v>433.550000000001</v>
      </c>
      <c r="L442" s="81" cm="1">
        <f ca="1" t="array" ref="L442">IF(L744=1,OFFSET($Z$338,$B442,L$335-1)/SUMPRODUCT(--($D$335:$V$335=L$335),--($D744:$V744=1)),0)+SUM(L441)+IF(COUNTIF(L$641:L744,1)=1,5,0)+IF(COUNTIF(M442:$Z442,"&gt;"&amp;0)&gt;5,IF(MOD(COUNTIF(L$641:L744,1),7)=0,$C$4,0),0)</f>
        <v>426.850000000001</v>
      </c>
      <c r="M442" s="81" cm="1">
        <f ca="1" t="array" ref="M442">IF(M744=1,OFFSET($Z$338,$B442,M$335-1)/SUMPRODUCT(--($D$335:$V$335=M$335),--($D744:$V744=1)),0)+SUM(M441)+IF(COUNTIF(M$641:M744,1)=1,5,0)+IF(COUNTIF(N442:$Z442,"&gt;"&amp;0)&gt;5,IF(MOD(COUNTIF(M$641:M744,1),7)=0,$C$4,0),0)</f>
        <v>206.80125</v>
      </c>
      <c r="N442" s="81" cm="1">
        <f ca="1" t="array" ref="N442">IF(N744=1,OFFSET($Z$338,$B442,N$335-1)/SUMPRODUCT(--($D$335:$V$335=N$335),--($D744:$V744=1)),0)+SUM(N441)+IF(COUNTIF(N$641:N744,1)=1,5,0)+IF(COUNTIF(O442:$Z442,"&gt;"&amp;0)&gt;5,IF(MOD(COUNTIF(N$641:N744,1),7)=0,$C$4,0),0)</f>
        <v>199.07625</v>
      </c>
      <c r="O442" s="81" cm="1">
        <f ca="1" t="array" ref="O442">IF(O744=1,OFFSET($Z$338,$B442,O$335-1)/SUMPRODUCT(--($D$335:$V$335=O$335),--($D744:$V744=1)),0)+SUM(O441)+IF(COUNTIF(O$641:O744,1)=1,5,0)+IF(COUNTIF(P442:$Z442,"&gt;"&amp;0)&gt;5,IF(MOD(COUNTIF(O$641:O744,1),7)=0,$C$4,0),0)</f>
        <v>196.65125</v>
      </c>
      <c r="P442" s="81" cm="1">
        <f ca="1" t="array" ref="P442">IF(P744=1,OFFSET($Z$338,$B442,P$335-1)/SUMPRODUCT(--($D$335:$V$335=P$335),--($D744:$V744=1)),0)+SUM(P441)+IF(COUNTIF(P$641:P744,1)=1,5,0)+IF(COUNTIF(Q442:$Z442,"&gt;"&amp;0)&gt;5,IF(MOD(COUNTIF(P$641:P744,1),7)=0,$C$4,0),0)</f>
        <v>193.717916666667</v>
      </c>
      <c r="Q442" s="81" cm="1">
        <f ca="1" t="array" ref="Q442">IF(Q744=1,OFFSET($Z$338,$B442,Q$335-1)/SUMPRODUCT(--($D$335:$V$335=Q$335),--($D744:$V744=1)),0)+SUM(Q441)+IF(COUNTIF(Q$641:Q744,1)=1,5,0)+IF(COUNTIF(R442:$Z442,"&gt;"&amp;0)&gt;5,IF(MOD(COUNTIF(Q$641:Q744,1),7)=0,$C$4,0),0)</f>
        <v>192.811666666667</v>
      </c>
      <c r="R442" s="81" cm="1">
        <f ca="1" t="array" ref="R442">IF(R744=1,OFFSET($Z$338,$B442,R$335-1)/SUMPRODUCT(--($D$335:$V$335=R$335),--($D744:$V744=1)),0)+SUM(R441)+IF(COUNTIF(R$641:R744,1)=1,5,0)+IF(COUNTIF(S442:$Z442,"&gt;"&amp;0)&gt;5,IF(MOD(COUNTIF(R$641:R744,1),7)=0,$C$4,0),0)</f>
        <v>162.916666666667</v>
      </c>
      <c r="S442" s="81" cm="1">
        <f ca="1" t="array" ref="S442">IF(S744=1,OFFSET($Z$338,$B442,S$335-1)/SUMPRODUCT(--($D$335:$V$335=S$335),--($D744:$V744=1)),0)+SUM(S441)+IF(COUNTIF(S$641:S744,1)=1,5,0)+IF(COUNTIF(T442:$Z442,"&gt;"&amp;0)&gt;5,IF(MOD(COUNTIF(S$641:S744,1),7)=0,$C$4,0),0)</f>
        <v>158.75</v>
      </c>
      <c r="T442" s="81" cm="1">
        <f ca="1" t="array" ref="T442">IF(T744=1,OFFSET($Z$338,$B442,T$335-1)/SUMPRODUCT(--($D$335:$V$335=T$335),--($D744:$V744=1)),0)+SUM(T441)+IF(COUNTIF(T$641:T744,1)=1,5,0)+IF(COUNTIF(U442:$Z442,"&gt;"&amp;0)&gt;5,IF(MOD(COUNTIF(T$641:T744,1),7)=0,$C$4,0),0)</f>
        <v>118.807725380726</v>
      </c>
      <c r="U442" s="81" cm="1">
        <f ca="1" t="array" ref="U442">IF(U744=1,OFFSET($Z$338,$B442,U$335-1)/SUMPRODUCT(--($D$335:$V$335=U$335),--($D744:$V744=1)),0)+SUM(U441)+IF(COUNTIF(U$641:U744,1)=1,5,0)+IF(COUNTIF(V442:$Z442,"&gt;"&amp;0)&gt;5,IF(MOD(COUNTIF(U$641:U744,1),7)=0,$C$4,0),0)</f>
        <v>83.8077253807262</v>
      </c>
      <c r="V442" s="81" cm="1">
        <f ca="1" t="array" ref="V442">IF(V744=1,OFFSET($Z$338,$B442,V$335-1)/SUMPRODUCT(--($D$335:$V$335=V$335),--($D744:$V744=1)),0)+SUM(V441)+IF(COUNTIF(V$641:V744,1)=1,5,0)+IF(COUNTIF(Z442:$Z442,"&gt;"&amp;0)&gt;5,IF(MOD(COUNTIF(V$641:V744,1),7)=0,$C$4,0),0)</f>
        <v>75.8499061914443</v>
      </c>
      <c r="W442" s="81" cm="1">
        <f ca="1" t="array" ref="W442">IF(W744=1,OFFSET($Z$338,$B442,W$335-1)/SUMPRODUCT(--($D$335:$V$335=W$335),--($D744:$V744=1)),0)+SUM(W441)+IF(COUNTIF(W$641:W744,1)=1,5,0)+IF(COUNTIF($Z442:AA442,"&gt;"&amp;0)&gt;5,IF(MOD(COUNTIF(W$641:W744,1),7)=0,$C$4,0),0)</f>
        <v>66.4940370764949</v>
      </c>
      <c r="X442" s="81" cm="1">
        <f ca="1" t="array" ref="X442">IF(X744=1,OFFSET($Z$338,$B442,X$335-1)/SUMPRODUCT(--($D$335:$V$335=X$335),--($D744:$V744=1)),0)+SUM(X441)+IF(COUNTIF(X$641:X744,1)=1,5,0)+IF(COUNTIF($Z442:AB442,"&gt;"&amp;0)&gt;5,IF(MOD(COUNTIF(X$641:X744,1),7)=0,$C$4,0),0)</f>
        <v>59.7303767858615</v>
      </c>
      <c r="Y442" s="81" cm="1">
        <f ca="1" t="array" ref="Y442">IF(Y744=1,OFFSET($Z$338,$B442,Y$335-1)/SUMPRODUCT(--($D$335:$V$335=Y$335),--($D744:$V744=1)),0)+SUM(Y441)+IF(COUNTIF(Y$641:Y744,1)=1,5,0)+IF(COUNTIF($Z442:AC442,"&gt;"&amp;0)&gt;5,IF(MOD(COUNTIF(Y$641:Y744,1),7)=0,$C$4,0),0)</f>
        <v>52.966716495228</v>
      </c>
      <c r="Z442" s="82" cm="1">
        <f ca="1" t="array" ref="Z442">SUMPRODUCT(TRANSPOSE($AD442:$AJ442),OFFSET($L$10:$L$16,0,Z$335-1))</f>
        <v>18.5352420711277</v>
      </c>
      <c r="AA442" s="82" cm="1">
        <f ca="1" t="array" ref="AA442">SUMPRODUCT(TRANSPOSE($AD442:$AJ442),OFFSET($L$10:$L$16,0,AA$335-1))</f>
        <v>22</v>
      </c>
      <c r="AB442" s="82" cm="1">
        <f ca="1" t="array" ref="AB442">SUMPRODUCT(TRANSPOSE($AD442:$AJ442),OFFSET($L$10:$L$16,0,AB$335-1))</f>
        <v>11</v>
      </c>
      <c r="AC442" s="82" cm="1">
        <f ca="1" t="array" ref="AC442">SUMPRODUCT(TRANSPOSE($AD442:$AJ442),OFFSET($L$10:$L$16,0,AC$335-1))</f>
        <v>3.46475792887232</v>
      </c>
      <c r="AD442" s="83">
        <f ca="1" t="shared" ref="AD442:AJ442" si="529">AK442-AK441</f>
        <v>0</v>
      </c>
      <c r="AE442" s="83">
        <f ca="1" t="shared" si="529"/>
        <v>0</v>
      </c>
      <c r="AF442" s="83">
        <f ca="1" t="shared" si="529"/>
        <v>0</v>
      </c>
      <c r="AG442" s="83">
        <f ca="1" t="shared" si="529"/>
        <v>0</v>
      </c>
      <c r="AH442" s="83">
        <f ca="1" t="shared" si="529"/>
        <v>0</v>
      </c>
      <c r="AI442" s="83">
        <f ca="1" t="shared" si="529"/>
        <v>110</v>
      </c>
      <c r="AJ442" s="83">
        <f ca="1" t="shared" si="529"/>
        <v>0</v>
      </c>
      <c r="AK442" s="83">
        <f ca="1" t="shared" si="451"/>
        <v>450</v>
      </c>
      <c r="AL442" s="83">
        <f ca="1" t="shared" ref="AL442:AQ442" si="530">IF($C442&gt;OFFSET($Q$9,MATCH(AL$338,$AK$338:$AQ$338,0),0),OFFSET($P$9,MATCH(AL$338,$AK$338:$AQ$338,0),0),MAX(0,$C442-OFFSET($Q$9,RIGHT(AL$338,1)-1,0)))</f>
        <v>909</v>
      </c>
      <c r="AM442" s="83">
        <f ca="1" t="shared" si="530"/>
        <v>1818</v>
      </c>
      <c r="AN442" s="83">
        <f ca="1" t="shared" si="530"/>
        <v>2727</v>
      </c>
      <c r="AO442" s="83">
        <f ca="1" t="shared" si="530"/>
        <v>3636</v>
      </c>
      <c r="AP442" s="83">
        <f ca="1" t="shared" si="530"/>
        <v>3226</v>
      </c>
      <c r="AQ442" s="83">
        <f ca="1" t="shared" si="530"/>
        <v>0</v>
      </c>
    </row>
    <row r="443" ht="16.5" spans="2:43">
      <c r="B443" s="65">
        <v>105</v>
      </c>
      <c r="C443" s="80">
        <f t="shared" si="449"/>
        <v>12876</v>
      </c>
      <c r="D443" s="81" cm="1">
        <f ca="1" t="array" ref="D443">IF(D745=1,OFFSET($Z$338,$B443,D$335-1)/SUMPRODUCT(--($D$335:$V$335=D$335),--($D745:$V745=1)),0)+SUM(D442)+IF(COUNTIF(D$641:D745,1)=1,5,0)+IF(COUNTIF(E443:$Z443,"&gt;"&amp;0)&gt;5,IF(MOD(COUNTIF(D$641:D745,1),7)=0,$C$4,0),0)</f>
        <v>1125.91496170608</v>
      </c>
      <c r="E443" s="81" cm="1">
        <f ca="1" t="array" ref="E443">IF(E745=1,OFFSET($Z$338,$B443,E$335-1)/SUMPRODUCT(--($D$335:$V$335=E$335),--($D745:$V745=1)),0)+SUM(E442)+IF(COUNTIF(E$641:E745,1)=1,5,0)+IF(COUNTIF(F443:$Z443,"&gt;"&amp;0)&gt;5,IF(MOD(COUNTIF(E$641:E745,1),7)=0,$C$4,0),0)</f>
        <v>1125.91496170608</v>
      </c>
      <c r="F443" s="81" cm="1">
        <f ca="1" t="array" ref="F443">IF(F745=1,OFFSET($Z$338,$B443,F$335-1)/SUMPRODUCT(--($D$335:$V$335=F$335),--($D745:$V745=1)),0)+SUM(F442)+IF(COUNTIF(F$641:F745,1)=1,5,0)+IF(COUNTIF(G443:$Z443,"&gt;"&amp;0)&gt;5,IF(MOD(COUNTIF(F$641:F745,1),7)=0,$C$4,0),0)</f>
        <v>1125.91496170608</v>
      </c>
      <c r="G443" s="81" cm="1">
        <f ca="1" t="array" ref="G443">IF(G745=1,OFFSET($Z$338,$B443,G$335-1)/SUMPRODUCT(--($D$335:$V$335=G$335),--($D745:$V745=1)),0)+SUM(G442)+IF(COUNTIF(G$641:G745,1)=1,5,0)+IF(COUNTIF(H443:$Z443,"&gt;"&amp;0)&gt;5,IF(MOD(COUNTIF(G$641:G745,1),7)=0,$C$4,0),0)</f>
        <v>442.216666666668</v>
      </c>
      <c r="H443" s="81" cm="1">
        <f ca="1" t="array" ref="H443">IF(H745=1,OFFSET($Z$338,$B443,H$335-1)/SUMPRODUCT(--($D$335:$V$335=H$335),--($D745:$V745=1)),0)+SUM(H442)+IF(COUNTIF(H$641:H745,1)=1,5,0)+IF(COUNTIF(I443:$Z443,"&gt;"&amp;0)&gt;5,IF(MOD(COUNTIF(H$641:H745,1),7)=0,$C$4,0),0)</f>
        <v>442.216666666668</v>
      </c>
      <c r="I443" s="81" cm="1">
        <f ca="1" t="array" ref="I443">IF(I745=1,OFFSET($Z$338,$B443,I$335-1)/SUMPRODUCT(--($D$335:$V$335=I$335),--($D745:$V745=1)),0)+SUM(I442)+IF(COUNTIF(I$641:I745,1)=1,5,0)+IF(COUNTIF(J443:$Z443,"&gt;"&amp;0)&gt;5,IF(MOD(COUNTIF(I$641:I745,1),7)=0,$C$4,0),0)</f>
        <v>442.216666666668</v>
      </c>
      <c r="J443" s="81" cm="1">
        <f ca="1" t="array" ref="J443">IF(J745=1,OFFSET($Z$338,$B443,J$335-1)/SUMPRODUCT(--($D$335:$V$335=J$335),--($D745:$V745=1)),0)+SUM(J442)+IF(COUNTIF(J$641:J745,1)=1,5,0)+IF(COUNTIF(K443:$Z443,"&gt;"&amp;0)&gt;5,IF(MOD(COUNTIF(J$641:J745,1),7)=0,$C$4,0),0)</f>
        <v>442.216666666668</v>
      </c>
      <c r="K443" s="81" cm="1">
        <f ca="1" t="array" ref="K443">IF(K745=1,OFFSET($Z$338,$B443,K$335-1)/SUMPRODUCT(--($D$335:$V$335=K$335),--($D745:$V745=1)),0)+SUM(K442)+IF(COUNTIF(K$641:K745,1)=1,5,0)+IF(COUNTIF(L443:$Z443,"&gt;"&amp;0)&gt;5,IF(MOD(COUNTIF(K$641:K745,1),7)=0,$C$4,0),0)</f>
        <v>442.216666666668</v>
      </c>
      <c r="L443" s="81" cm="1">
        <f ca="1" t="array" ref="L443">IF(L745=1,OFFSET($Z$338,$B443,L$335-1)/SUMPRODUCT(--($D$335:$V$335=L$335),--($D745:$V745=1)),0)+SUM(L442)+IF(COUNTIF(L$641:L745,1)=1,5,0)+IF(COUNTIF(M443:$Z443,"&gt;"&amp;0)&gt;5,IF(MOD(COUNTIF(L$641:L745,1),7)=0,$C$4,0),0)</f>
        <v>430.516666666668</v>
      </c>
      <c r="M443" s="81" cm="1">
        <f ca="1" t="array" ref="M443">IF(M745=1,OFFSET($Z$338,$B443,M$335-1)/SUMPRODUCT(--($D$335:$V$335=M$335),--($D745:$V745=1)),0)+SUM(M442)+IF(COUNTIF(M$641:M745,1)=1,5,0)+IF(COUNTIF(N443:$Z443,"&gt;"&amp;0)&gt;5,IF(MOD(COUNTIF(M$641:M745,1),7)=0,$C$4,0),0)</f>
        <v>208.372678571429</v>
      </c>
      <c r="N443" s="81" cm="1">
        <f ca="1" t="array" ref="N443">IF(N745=1,OFFSET($Z$338,$B443,N$335-1)/SUMPRODUCT(--($D$335:$V$335=N$335),--($D745:$V745=1)),0)+SUM(N442)+IF(COUNTIF(N$641:N745,1)=1,5,0)+IF(COUNTIF(O443:$Z443,"&gt;"&amp;0)&gt;5,IF(MOD(COUNTIF(N$641:N745,1),7)=0,$C$4,0),0)</f>
        <v>200.647678571429</v>
      </c>
      <c r="O443" s="81" cm="1">
        <f ca="1" t="array" ref="O443">IF(O745=1,OFFSET($Z$338,$B443,O$335-1)/SUMPRODUCT(--($D$335:$V$335=O$335),--($D745:$V745=1)),0)+SUM(O442)+IF(COUNTIF(O$641:O745,1)=1,5,0)+IF(COUNTIF(P443:$Z443,"&gt;"&amp;0)&gt;5,IF(MOD(COUNTIF(O$641:O745,1),7)=0,$C$4,0),0)</f>
        <v>198.222678571429</v>
      </c>
      <c r="P443" s="81" cm="1">
        <f ca="1" t="array" ref="P443">IF(P745=1,OFFSET($Z$338,$B443,P$335-1)/SUMPRODUCT(--($D$335:$V$335=P$335),--($D745:$V745=1)),0)+SUM(P442)+IF(COUNTIF(P$641:P745,1)=1,5,0)+IF(COUNTIF(Q443:$Z443,"&gt;"&amp;0)&gt;5,IF(MOD(COUNTIF(P$641:P745,1),7)=0,$C$4,0),0)</f>
        <v>195.289345238095</v>
      </c>
      <c r="Q443" s="81" cm="1">
        <f ca="1" t="array" ref="Q443">IF(Q745=1,OFFSET($Z$338,$B443,Q$335-1)/SUMPRODUCT(--($D$335:$V$335=Q$335),--($D745:$V745=1)),0)+SUM(Q442)+IF(COUNTIF(Q$641:Q745,1)=1,5,0)+IF(COUNTIF(R443:$Z443,"&gt;"&amp;0)&gt;5,IF(MOD(COUNTIF(Q$641:Q745,1),7)=0,$C$4,0),0)</f>
        <v>194.383095238095</v>
      </c>
      <c r="R443" s="81" cm="1">
        <f ca="1" t="array" ref="R443">IF(R745=1,OFFSET($Z$338,$B443,R$335-1)/SUMPRODUCT(--($D$335:$V$335=R$335),--($D745:$V745=1)),0)+SUM(R442)+IF(COUNTIF(R$641:R745,1)=1,5,0)+IF(COUNTIF(S443:$Z443,"&gt;"&amp;0)&gt;5,IF(MOD(COUNTIF(R$641:R745,1),7)=0,$C$4,0),0)</f>
        <v>169.488095238095</v>
      </c>
      <c r="S443" s="81" cm="1">
        <f ca="1" t="array" ref="S443">IF(S745=1,OFFSET($Z$338,$B443,S$335-1)/SUMPRODUCT(--($D$335:$V$335=S$335),--($D745:$V745=1)),0)+SUM(S442)+IF(COUNTIF(S$641:S745,1)=1,5,0)+IF(COUNTIF(T443:$Z443,"&gt;"&amp;0)&gt;5,IF(MOD(COUNTIF(S$641:S745,1),7)=0,$C$4,0),0)</f>
        <v>160.321428571429</v>
      </c>
      <c r="T443" s="81" cm="1">
        <f ca="1" t="array" ref="T443">IF(T745=1,OFFSET($Z$338,$B443,T$335-1)/SUMPRODUCT(--($D$335:$V$335=T$335),--($D745:$V745=1)),0)+SUM(T442)+IF(COUNTIF(T$641:T745,1)=1,5,0)+IF(COUNTIF(U443:$Z443,"&gt;"&amp;0)&gt;5,IF(MOD(COUNTIF(T$641:T745,1),7)=0,$C$4,0),0)</f>
        <v>119.96264469035</v>
      </c>
      <c r="U443" s="81" cm="1">
        <f ca="1" t="array" ref="U443">IF(U745=1,OFFSET($Z$338,$B443,U$335-1)/SUMPRODUCT(--($D$335:$V$335=U$335),--($D745:$V745=1)),0)+SUM(U442)+IF(COUNTIF(U$641:U745,1)=1,5,0)+IF(COUNTIF(V443:$Z443,"&gt;"&amp;0)&gt;5,IF(MOD(COUNTIF(U$641:U745,1),7)=0,$C$4,0),0)</f>
        <v>84.9626446903503</v>
      </c>
      <c r="V443" s="81" cm="1">
        <f ca="1" t="array" ref="V443">IF(V745=1,OFFSET($Z$338,$B443,V$335-1)/SUMPRODUCT(--($D$335:$V$335=V$335),--($D745:$V745=1)),0)+SUM(V442)+IF(COUNTIF(V$641:V745,1)=1,5,0)+IF(COUNTIF(Z443:$Z443,"&gt;"&amp;0)&gt;5,IF(MOD(COUNTIF(V$641:V745,1),7)=0,$C$4,0),0)</f>
        <v>77.0048255010684</v>
      </c>
      <c r="W443" s="81" cm="1">
        <f ca="1" t="array" ref="W443">IF(W745=1,OFFSET($Z$338,$B443,W$335-1)/SUMPRODUCT(--($D$335:$V$335=W$335),--($D745:$V745=1)),0)+SUM(W442)+IF(COUNTIF(W$641:W745,1)=1,5,0)+IF(COUNTIF($Z443:AA443,"&gt;"&amp;0)&gt;5,IF(MOD(COUNTIF(W$641:W745,1),7)=0,$C$4,0),0)</f>
        <v>67.6489563861191</v>
      </c>
      <c r="X443" s="81" cm="1">
        <f ca="1" t="array" ref="X443">IF(X745=1,OFFSET($Z$338,$B443,X$335-1)/SUMPRODUCT(--($D$335:$V$335=X$335),--($D745:$V745=1)),0)+SUM(X442)+IF(COUNTIF(X$641:X745,1)=1,5,0)+IF(COUNTIF($Z443:AB443,"&gt;"&amp;0)&gt;5,IF(MOD(COUNTIF(X$641:X745,1),7)=0,$C$4,0),0)</f>
        <v>60.8852960954856</v>
      </c>
      <c r="Y443" s="81" cm="1">
        <f ca="1" t="array" ref="Y443">IF(Y745=1,OFFSET($Z$338,$B443,Y$335-1)/SUMPRODUCT(--($D$335:$V$335=Y$335),--($D745:$V745=1)),0)+SUM(Y442)+IF(COUNTIF(Y$641:Y745,1)=1,5,0)+IF(COUNTIF($Z443:AC443,"&gt;"&amp;0)&gt;5,IF(MOD(COUNTIF(Y$641:Y745,1),7)=0,$C$4,0),0)</f>
        <v>54.1216358048521</v>
      </c>
      <c r="Z443" s="82" cm="1">
        <f ca="1" t="array" ref="Z443">SUMPRODUCT(TRANSPOSE($AD443:$AJ443),OFFSET($L$10:$L$16,0,Z$335-1))</f>
        <v>18.5352420711277</v>
      </c>
      <c r="AA443" s="82" cm="1">
        <f ca="1" t="array" ref="AA443">SUMPRODUCT(TRANSPOSE($AD443:$AJ443),OFFSET($L$10:$L$16,0,AA$335-1))</f>
        <v>22</v>
      </c>
      <c r="AB443" s="82" cm="1">
        <f ca="1" t="array" ref="AB443">SUMPRODUCT(TRANSPOSE($AD443:$AJ443),OFFSET($L$10:$L$16,0,AB$335-1))</f>
        <v>11</v>
      </c>
      <c r="AC443" s="82" cm="1">
        <f ca="1" t="array" ref="AC443">SUMPRODUCT(TRANSPOSE($AD443:$AJ443),OFFSET($L$10:$L$16,0,AC$335-1))</f>
        <v>3.46475792887232</v>
      </c>
      <c r="AD443" s="83">
        <f ca="1" t="shared" ref="AD443:AJ443" si="531">AK443-AK442</f>
        <v>0</v>
      </c>
      <c r="AE443" s="83">
        <f ca="1" t="shared" si="531"/>
        <v>0</v>
      </c>
      <c r="AF443" s="83">
        <f ca="1" t="shared" si="531"/>
        <v>0</v>
      </c>
      <c r="AG443" s="83">
        <f ca="1" t="shared" si="531"/>
        <v>0</v>
      </c>
      <c r="AH443" s="83">
        <f ca="1" t="shared" si="531"/>
        <v>0</v>
      </c>
      <c r="AI443" s="83">
        <f ca="1" t="shared" si="531"/>
        <v>110</v>
      </c>
      <c r="AJ443" s="83">
        <f ca="1" t="shared" si="531"/>
        <v>0</v>
      </c>
      <c r="AK443" s="83">
        <f ca="1" t="shared" si="451"/>
        <v>450</v>
      </c>
      <c r="AL443" s="83">
        <f ca="1" t="shared" ref="AL443:AQ443" si="532">IF($C443&gt;OFFSET($Q$9,MATCH(AL$338,$AK$338:$AQ$338,0),0),OFFSET($P$9,MATCH(AL$338,$AK$338:$AQ$338,0),0),MAX(0,$C443-OFFSET($Q$9,RIGHT(AL$338,1)-1,0)))</f>
        <v>909</v>
      </c>
      <c r="AM443" s="83">
        <f ca="1" t="shared" si="532"/>
        <v>1818</v>
      </c>
      <c r="AN443" s="83">
        <f ca="1" t="shared" si="532"/>
        <v>2727</v>
      </c>
      <c r="AO443" s="83">
        <f ca="1" t="shared" si="532"/>
        <v>3636</v>
      </c>
      <c r="AP443" s="83">
        <f ca="1" t="shared" si="532"/>
        <v>3336</v>
      </c>
      <c r="AQ443" s="83">
        <f ca="1" t="shared" si="532"/>
        <v>0</v>
      </c>
    </row>
    <row r="444" ht="16.5" spans="2:43">
      <c r="B444" s="65">
        <v>106</v>
      </c>
      <c r="C444" s="80">
        <f t="shared" si="449"/>
        <v>12986</v>
      </c>
      <c r="D444" s="81" cm="1">
        <f ca="1" t="array" ref="D444">IF(D746=1,OFFSET($Z$338,$B444,D$335-1)/SUMPRODUCT(--($D$335:$V$335=D$335),--($D746:$V746=1)),0)+SUM(D443)+IF(COUNTIF(D$641:D746,1)=1,5,0)+IF(COUNTIF(E444:$Z444,"&gt;"&amp;0)&gt;5,IF(MOD(COUNTIF(D$641:D746,1),7)=0,$C$4,0),0)</f>
        <v>1132.09337572979</v>
      </c>
      <c r="E444" s="81" cm="1">
        <f ca="1" t="array" ref="E444">IF(E746=1,OFFSET($Z$338,$B444,E$335-1)/SUMPRODUCT(--($D$335:$V$335=E$335),--($D746:$V746=1)),0)+SUM(E443)+IF(COUNTIF(E$641:E746,1)=1,5,0)+IF(COUNTIF(F444:$Z444,"&gt;"&amp;0)&gt;5,IF(MOD(COUNTIF(E$641:E746,1),7)=0,$C$4,0),0)</f>
        <v>1132.09337572979</v>
      </c>
      <c r="F444" s="81" cm="1">
        <f ca="1" t="array" ref="F444">IF(F746=1,OFFSET($Z$338,$B444,F$335-1)/SUMPRODUCT(--($D$335:$V$335=F$335),--($D746:$V746=1)),0)+SUM(F443)+IF(COUNTIF(F$641:F746,1)=1,5,0)+IF(COUNTIF(G444:$Z444,"&gt;"&amp;0)&gt;5,IF(MOD(COUNTIF(F$641:F746,1),7)=0,$C$4,0),0)</f>
        <v>1132.09337572979</v>
      </c>
      <c r="G444" s="81" cm="1">
        <f ca="1" t="array" ref="G444">IF(G746=1,OFFSET($Z$338,$B444,G$335-1)/SUMPRODUCT(--($D$335:$V$335=G$335),--($D746:$V746=1)),0)+SUM(G443)+IF(COUNTIF(G$641:G746,1)=1,5,0)+IF(COUNTIF(H444:$Z444,"&gt;"&amp;0)&gt;5,IF(MOD(COUNTIF(G$641:G746,1),7)=0,$C$4,0),0)</f>
        <v>445.883333333334</v>
      </c>
      <c r="H444" s="81" cm="1">
        <f ca="1" t="array" ref="H444">IF(H746=1,OFFSET($Z$338,$B444,H$335-1)/SUMPRODUCT(--($D$335:$V$335=H$335),--($D746:$V746=1)),0)+SUM(H443)+IF(COUNTIF(H$641:H746,1)=1,5,0)+IF(COUNTIF(I444:$Z444,"&gt;"&amp;0)&gt;5,IF(MOD(COUNTIF(H$641:H746,1),7)=0,$C$4,0),0)</f>
        <v>445.883333333334</v>
      </c>
      <c r="I444" s="81" cm="1">
        <f ca="1" t="array" ref="I444">IF(I746=1,OFFSET($Z$338,$B444,I$335-1)/SUMPRODUCT(--($D$335:$V$335=I$335),--($D746:$V746=1)),0)+SUM(I443)+IF(COUNTIF(I$641:I746,1)=1,5,0)+IF(COUNTIF(J444:$Z444,"&gt;"&amp;0)&gt;5,IF(MOD(COUNTIF(I$641:I746,1),7)=0,$C$4,0),0)</f>
        <v>445.883333333334</v>
      </c>
      <c r="J444" s="81" cm="1">
        <f ca="1" t="array" ref="J444">IF(J746=1,OFFSET($Z$338,$B444,J$335-1)/SUMPRODUCT(--($D$335:$V$335=J$335),--($D746:$V746=1)),0)+SUM(J443)+IF(COUNTIF(J$641:J746,1)=1,5,0)+IF(COUNTIF(K444:$Z444,"&gt;"&amp;0)&gt;5,IF(MOD(COUNTIF(J$641:J746,1),7)=0,$C$4,0),0)</f>
        <v>445.883333333334</v>
      </c>
      <c r="K444" s="81" cm="1">
        <f ca="1" t="array" ref="K444">IF(K746=1,OFFSET($Z$338,$B444,K$335-1)/SUMPRODUCT(--($D$335:$V$335=K$335),--($D746:$V746=1)),0)+SUM(K443)+IF(COUNTIF(K$641:K746,1)=1,5,0)+IF(COUNTIF(L444:$Z444,"&gt;"&amp;0)&gt;5,IF(MOD(COUNTIF(K$641:K746,1),7)=0,$C$4,0),0)</f>
        <v>445.883333333334</v>
      </c>
      <c r="L444" s="81" cm="1">
        <f ca="1" t="array" ref="L444">IF(L746=1,OFFSET($Z$338,$B444,L$335-1)/SUMPRODUCT(--($D$335:$V$335=L$335),--($D746:$V746=1)),0)+SUM(L443)+IF(COUNTIF(L$641:L746,1)=1,5,0)+IF(COUNTIF(M444:$Z444,"&gt;"&amp;0)&gt;5,IF(MOD(COUNTIF(L$641:L746,1),7)=0,$C$4,0),0)</f>
        <v>439.183333333334</v>
      </c>
      <c r="M444" s="81" cm="1">
        <f ca="1" t="array" ref="M444">IF(M746=1,OFFSET($Z$338,$B444,M$335-1)/SUMPRODUCT(--($D$335:$V$335=M$335),--($D746:$V746=1)),0)+SUM(M443)+IF(COUNTIF(M$641:M746,1)=1,5,0)+IF(COUNTIF(N444:$Z444,"&gt;"&amp;0)&gt;5,IF(MOD(COUNTIF(M$641:M746,1),7)=0,$C$4,0),0)</f>
        <v>214.944107142857</v>
      </c>
      <c r="N444" s="81" cm="1">
        <f ca="1" t="array" ref="N444">IF(N746=1,OFFSET($Z$338,$B444,N$335-1)/SUMPRODUCT(--($D$335:$V$335=N$335),--($D746:$V746=1)),0)+SUM(N443)+IF(COUNTIF(N$641:N746,1)=1,5,0)+IF(COUNTIF(O444:$Z444,"&gt;"&amp;0)&gt;5,IF(MOD(COUNTIF(N$641:N746,1),7)=0,$C$4,0),0)</f>
        <v>202.219107142857</v>
      </c>
      <c r="O444" s="81" cm="1">
        <f ca="1" t="array" ref="O444">IF(O746=1,OFFSET($Z$338,$B444,O$335-1)/SUMPRODUCT(--($D$335:$V$335=O$335),--($D746:$V746=1)),0)+SUM(O443)+IF(COUNTIF(O$641:O746,1)=1,5,0)+IF(COUNTIF(P444:$Z444,"&gt;"&amp;0)&gt;5,IF(MOD(COUNTIF(O$641:O746,1),7)=0,$C$4,0),0)</f>
        <v>199.794107142857</v>
      </c>
      <c r="P444" s="81" cm="1">
        <f ca="1" t="array" ref="P444">IF(P746=1,OFFSET($Z$338,$B444,P$335-1)/SUMPRODUCT(--($D$335:$V$335=P$335),--($D746:$V746=1)),0)+SUM(P443)+IF(COUNTIF(P$641:P746,1)=1,5,0)+IF(COUNTIF(Q444:$Z444,"&gt;"&amp;0)&gt;5,IF(MOD(COUNTIF(P$641:P746,1),7)=0,$C$4,0),0)</f>
        <v>196.860773809524</v>
      </c>
      <c r="Q444" s="81" cm="1">
        <f ca="1" t="array" ref="Q444">IF(Q746=1,OFFSET($Z$338,$B444,Q$335-1)/SUMPRODUCT(--($D$335:$V$335=Q$335),--($D746:$V746=1)),0)+SUM(Q443)+IF(COUNTIF(Q$641:Q746,1)=1,5,0)+IF(COUNTIF(R444:$Z444,"&gt;"&amp;0)&gt;5,IF(MOD(COUNTIF(Q$641:Q746,1),7)=0,$C$4,0),0)</f>
        <v>195.954523809524</v>
      </c>
      <c r="R444" s="81" cm="1">
        <f ca="1" t="array" ref="R444">IF(R746=1,OFFSET($Z$338,$B444,R$335-1)/SUMPRODUCT(--($D$335:$V$335=R$335),--($D746:$V746=1)),0)+SUM(R443)+IF(COUNTIF(R$641:R746,1)=1,5,0)+IF(COUNTIF(S444:$Z444,"&gt;"&amp;0)&gt;5,IF(MOD(COUNTIF(R$641:R746,1),7)=0,$C$4,0),0)</f>
        <v>171.059523809524</v>
      </c>
      <c r="S444" s="81" cm="1">
        <f ca="1" t="array" ref="S444">IF(S746=1,OFFSET($Z$338,$B444,S$335-1)/SUMPRODUCT(--($D$335:$V$335=S$335),--($D746:$V746=1)),0)+SUM(S443)+IF(COUNTIF(S$641:S746,1)=1,5,0)+IF(COUNTIF(T444:$Z444,"&gt;"&amp;0)&gt;5,IF(MOD(COUNTIF(S$641:S746,1),7)=0,$C$4,0),0)</f>
        <v>161.892857142857</v>
      </c>
      <c r="T444" s="81" cm="1">
        <f ca="1" t="array" ref="T444">IF(T746=1,OFFSET($Z$338,$B444,T$335-1)/SUMPRODUCT(--($D$335:$V$335=T$335),--($D746:$V746=1)),0)+SUM(T443)+IF(COUNTIF(T$641:T746,1)=1,5,0)+IF(COUNTIF(U444:$Z444,"&gt;"&amp;0)&gt;5,IF(MOD(COUNTIF(T$641:T746,1),7)=0,$C$4,0),0)</f>
        <v>121.117563999974</v>
      </c>
      <c r="U444" s="81" cm="1">
        <f ca="1" t="array" ref="U444">IF(U746=1,OFFSET($Z$338,$B444,U$335-1)/SUMPRODUCT(--($D$335:$V$335=U$335),--($D746:$V746=1)),0)+SUM(U443)+IF(COUNTIF(U$641:U746,1)=1,5,0)+IF(COUNTIF(V444:$Z444,"&gt;"&amp;0)&gt;5,IF(MOD(COUNTIF(U$641:U746,1),7)=0,$C$4,0),0)</f>
        <v>86.1175639999744</v>
      </c>
      <c r="V444" s="81" cm="1">
        <f ca="1" t="array" ref="V444">IF(V746=1,OFFSET($Z$338,$B444,V$335-1)/SUMPRODUCT(--($D$335:$V$335=V$335),--($D746:$V746=1)),0)+SUM(V443)+IF(COUNTIF(V$641:V746,1)=1,5,0)+IF(COUNTIF(Z444:$Z444,"&gt;"&amp;0)&gt;5,IF(MOD(COUNTIF(V$641:V746,1),7)=0,$C$4,0),0)</f>
        <v>78.1597448106925</v>
      </c>
      <c r="W444" s="81" cm="1">
        <f ca="1" t="array" ref="W444">IF(W746=1,OFFSET($Z$338,$B444,W$335-1)/SUMPRODUCT(--($D$335:$V$335=W$335),--($D746:$V746=1)),0)+SUM(W443)+IF(COUNTIF(W$641:W746,1)=1,5,0)+IF(COUNTIF($Z444:AA444,"&gt;"&amp;0)&gt;5,IF(MOD(COUNTIF(W$641:W746,1),7)=0,$C$4,0),0)</f>
        <v>68.8038756957432</v>
      </c>
      <c r="X444" s="81" cm="1">
        <f ca="1" t="array" ref="X444">IF(X746=1,OFFSET($Z$338,$B444,X$335-1)/SUMPRODUCT(--($D$335:$V$335=X$335),--($D746:$V746=1)),0)+SUM(X443)+IF(COUNTIF(X$641:X746,1)=1,5,0)+IF(COUNTIF($Z444:AB444,"&gt;"&amp;0)&gt;5,IF(MOD(COUNTIF(X$641:X746,1),7)=0,$C$4,0),0)</f>
        <v>62.0402154051097</v>
      </c>
      <c r="Y444" s="81" cm="1">
        <f ca="1" t="array" ref="Y444">IF(Y746=1,OFFSET($Z$338,$B444,Y$335-1)/SUMPRODUCT(--($D$335:$V$335=Y$335),--($D746:$V746=1)),0)+SUM(Y443)+IF(COUNTIF(Y$641:Y746,1)=1,5,0)+IF(COUNTIF($Z444:AC444,"&gt;"&amp;0)&gt;5,IF(MOD(COUNTIF(Y$641:Y746,1),7)=0,$C$4,0),0)</f>
        <v>55.2765551144762</v>
      </c>
      <c r="Z444" s="82" cm="1">
        <f ca="1" t="array" ref="Z444">SUMPRODUCT(TRANSPOSE($AD444:$AJ444),OFFSET($L$10:$L$16,0,Z$335-1))</f>
        <v>18.5352420711277</v>
      </c>
      <c r="AA444" s="82" cm="1">
        <f ca="1" t="array" ref="AA444">SUMPRODUCT(TRANSPOSE($AD444:$AJ444),OFFSET($L$10:$L$16,0,AA$335-1))</f>
        <v>22</v>
      </c>
      <c r="AB444" s="82" cm="1">
        <f ca="1" t="array" ref="AB444">SUMPRODUCT(TRANSPOSE($AD444:$AJ444),OFFSET($L$10:$L$16,0,AB$335-1))</f>
        <v>11</v>
      </c>
      <c r="AC444" s="82" cm="1">
        <f ca="1" t="array" ref="AC444">SUMPRODUCT(TRANSPOSE($AD444:$AJ444),OFFSET($L$10:$L$16,0,AC$335-1))</f>
        <v>3.46475792887232</v>
      </c>
      <c r="AD444" s="83">
        <f ca="1" t="shared" ref="AD444:AJ444" si="533">AK444-AK443</f>
        <v>0</v>
      </c>
      <c r="AE444" s="83">
        <f ca="1" t="shared" si="533"/>
        <v>0</v>
      </c>
      <c r="AF444" s="83">
        <f ca="1" t="shared" si="533"/>
        <v>0</v>
      </c>
      <c r="AG444" s="83">
        <f ca="1" t="shared" si="533"/>
        <v>0</v>
      </c>
      <c r="AH444" s="83">
        <f ca="1" t="shared" si="533"/>
        <v>0</v>
      </c>
      <c r="AI444" s="83">
        <f ca="1" t="shared" si="533"/>
        <v>110</v>
      </c>
      <c r="AJ444" s="83">
        <f ca="1" t="shared" si="533"/>
        <v>0</v>
      </c>
      <c r="AK444" s="83">
        <f ca="1" t="shared" si="451"/>
        <v>450</v>
      </c>
      <c r="AL444" s="83">
        <f ca="1" t="shared" ref="AL444:AQ444" si="534">IF($C444&gt;OFFSET($Q$9,MATCH(AL$338,$AK$338:$AQ$338,0),0),OFFSET($P$9,MATCH(AL$338,$AK$338:$AQ$338,0),0),MAX(0,$C444-OFFSET($Q$9,RIGHT(AL$338,1)-1,0)))</f>
        <v>909</v>
      </c>
      <c r="AM444" s="83">
        <f ca="1" t="shared" si="534"/>
        <v>1818</v>
      </c>
      <c r="AN444" s="83">
        <f ca="1" t="shared" si="534"/>
        <v>2727</v>
      </c>
      <c r="AO444" s="83">
        <f ca="1" t="shared" si="534"/>
        <v>3636</v>
      </c>
      <c r="AP444" s="83">
        <f ca="1" t="shared" si="534"/>
        <v>3446</v>
      </c>
      <c r="AQ444" s="83">
        <f ca="1" t="shared" si="534"/>
        <v>0</v>
      </c>
    </row>
    <row r="445" ht="16.5" spans="2:43">
      <c r="B445" s="65">
        <v>107</v>
      </c>
      <c r="C445" s="80">
        <f t="shared" si="449"/>
        <v>13096</v>
      </c>
      <c r="D445" s="81" cm="1">
        <f ca="1" t="array" ref="D445">IF(D747=1,OFFSET($Z$338,$B445,D$335-1)/SUMPRODUCT(--($D$335:$V$335=D$335),--($D747:$V747=1)),0)+SUM(D444)+IF(COUNTIF(D$641:D747,1)=1,5,0)+IF(COUNTIF(E445:$Z445,"&gt;"&amp;0)&gt;5,IF(MOD(COUNTIF(D$641:D747,1),7)=0,$C$4,0),0)</f>
        <v>1138.27178975349</v>
      </c>
      <c r="E445" s="81" cm="1">
        <f ca="1" t="array" ref="E445">IF(E747=1,OFFSET($Z$338,$B445,E$335-1)/SUMPRODUCT(--($D$335:$V$335=E$335),--($D747:$V747=1)),0)+SUM(E444)+IF(COUNTIF(E$641:E747,1)=1,5,0)+IF(COUNTIF(F445:$Z445,"&gt;"&amp;0)&gt;5,IF(MOD(COUNTIF(E$641:E747,1),7)=0,$C$4,0),0)</f>
        <v>1138.27178975349</v>
      </c>
      <c r="F445" s="81" cm="1">
        <f ca="1" t="array" ref="F445">IF(F747=1,OFFSET($Z$338,$B445,F$335-1)/SUMPRODUCT(--($D$335:$V$335=F$335),--($D747:$V747=1)),0)+SUM(F444)+IF(COUNTIF(F$641:F747,1)=1,5,0)+IF(COUNTIF(G445:$Z445,"&gt;"&amp;0)&gt;5,IF(MOD(COUNTIF(F$641:F747,1),7)=0,$C$4,0),0)</f>
        <v>1138.27178975349</v>
      </c>
      <c r="G445" s="81" cm="1">
        <f ca="1" t="array" ref="G445">IF(G747=1,OFFSET($Z$338,$B445,G$335-1)/SUMPRODUCT(--($D$335:$V$335=G$335),--($D747:$V747=1)),0)+SUM(G444)+IF(COUNTIF(G$641:G747,1)=1,5,0)+IF(COUNTIF(H445:$Z445,"&gt;"&amp;0)&gt;5,IF(MOD(COUNTIF(G$641:G747,1),7)=0,$C$4,0),0)</f>
        <v>449.550000000001</v>
      </c>
      <c r="H445" s="81" cm="1">
        <f ca="1" t="array" ref="H445">IF(H747=1,OFFSET($Z$338,$B445,H$335-1)/SUMPRODUCT(--($D$335:$V$335=H$335),--($D747:$V747=1)),0)+SUM(H444)+IF(COUNTIF(H$641:H747,1)=1,5,0)+IF(COUNTIF(I445:$Z445,"&gt;"&amp;0)&gt;5,IF(MOD(COUNTIF(H$641:H747,1),7)=0,$C$4,0),0)</f>
        <v>449.550000000001</v>
      </c>
      <c r="I445" s="81" cm="1">
        <f ca="1" t="array" ref="I445">IF(I747=1,OFFSET($Z$338,$B445,I$335-1)/SUMPRODUCT(--($D$335:$V$335=I$335),--($D747:$V747=1)),0)+SUM(I444)+IF(COUNTIF(I$641:I747,1)=1,5,0)+IF(COUNTIF(J445:$Z445,"&gt;"&amp;0)&gt;5,IF(MOD(COUNTIF(I$641:I747,1),7)=0,$C$4,0),0)</f>
        <v>449.550000000001</v>
      </c>
      <c r="J445" s="81" cm="1">
        <f ca="1" t="array" ref="J445">IF(J747=1,OFFSET($Z$338,$B445,J$335-1)/SUMPRODUCT(--($D$335:$V$335=J$335),--($D747:$V747=1)),0)+SUM(J444)+IF(COUNTIF(J$641:J747,1)=1,5,0)+IF(COUNTIF(K445:$Z445,"&gt;"&amp;0)&gt;5,IF(MOD(COUNTIF(J$641:J747,1),7)=0,$C$4,0),0)</f>
        <v>449.550000000001</v>
      </c>
      <c r="K445" s="81" cm="1">
        <f ca="1" t="array" ref="K445">IF(K747=1,OFFSET($Z$338,$B445,K$335-1)/SUMPRODUCT(--($D$335:$V$335=K$335),--($D747:$V747=1)),0)+SUM(K444)+IF(COUNTIF(K$641:K747,1)=1,5,0)+IF(COUNTIF(L445:$Z445,"&gt;"&amp;0)&gt;5,IF(MOD(COUNTIF(K$641:K747,1),7)=0,$C$4,0),0)</f>
        <v>449.550000000001</v>
      </c>
      <c r="L445" s="81" cm="1">
        <f ca="1" t="array" ref="L445">IF(L747=1,OFFSET($Z$338,$B445,L$335-1)/SUMPRODUCT(--($D$335:$V$335=L$335),--($D747:$V747=1)),0)+SUM(L444)+IF(COUNTIF(L$641:L747,1)=1,5,0)+IF(COUNTIF(M445:$Z445,"&gt;"&amp;0)&gt;5,IF(MOD(COUNTIF(L$641:L747,1),7)=0,$C$4,0),0)</f>
        <v>442.850000000001</v>
      </c>
      <c r="M445" s="81" cm="1">
        <f ca="1" t="array" ref="M445">IF(M747=1,OFFSET($Z$338,$B445,M$335-1)/SUMPRODUCT(--($D$335:$V$335=M$335),--($D747:$V747=1)),0)+SUM(M444)+IF(COUNTIF(M$641:M747,1)=1,5,0)+IF(COUNTIF(N445:$Z445,"&gt;"&amp;0)&gt;5,IF(MOD(COUNTIF(M$641:M747,1),7)=0,$C$4,0),0)</f>
        <v>216.515535714286</v>
      </c>
      <c r="N445" s="81" cm="1">
        <f ca="1" t="array" ref="N445">IF(N747=1,OFFSET($Z$338,$B445,N$335-1)/SUMPRODUCT(--($D$335:$V$335=N$335),--($D747:$V747=1)),0)+SUM(N444)+IF(COUNTIF(N$641:N747,1)=1,5,0)+IF(COUNTIF(O445:$Z445,"&gt;"&amp;0)&gt;5,IF(MOD(COUNTIF(N$641:N747,1),7)=0,$C$4,0),0)</f>
        <v>208.790535714286</v>
      </c>
      <c r="O445" s="81" cm="1">
        <f ca="1" t="array" ref="O445">IF(O747=1,OFFSET($Z$338,$B445,O$335-1)/SUMPRODUCT(--($D$335:$V$335=O$335),--($D747:$V747=1)),0)+SUM(O444)+IF(COUNTIF(O$641:O747,1)=1,5,0)+IF(COUNTIF(P445:$Z445,"&gt;"&amp;0)&gt;5,IF(MOD(COUNTIF(O$641:O747,1),7)=0,$C$4,0),0)</f>
        <v>201.365535714286</v>
      </c>
      <c r="P445" s="81" cm="1">
        <f ca="1" t="array" ref="P445">IF(P747=1,OFFSET($Z$338,$B445,P$335-1)/SUMPRODUCT(--($D$335:$V$335=P$335),--($D747:$V747=1)),0)+SUM(P444)+IF(COUNTIF(P$641:P747,1)=1,5,0)+IF(COUNTIF(Q445:$Z445,"&gt;"&amp;0)&gt;5,IF(MOD(COUNTIF(P$641:P747,1),7)=0,$C$4,0),0)</f>
        <v>198.432202380953</v>
      </c>
      <c r="Q445" s="81" cm="1">
        <f ca="1" t="array" ref="Q445">IF(Q747=1,OFFSET($Z$338,$B445,Q$335-1)/SUMPRODUCT(--($D$335:$V$335=Q$335),--($D747:$V747=1)),0)+SUM(Q444)+IF(COUNTIF(Q$641:Q747,1)=1,5,0)+IF(COUNTIF(R445:$Z445,"&gt;"&amp;0)&gt;5,IF(MOD(COUNTIF(Q$641:Q747,1),7)=0,$C$4,0),0)</f>
        <v>197.525952380953</v>
      </c>
      <c r="R445" s="81" cm="1">
        <f ca="1" t="array" ref="R445">IF(R747=1,OFFSET($Z$338,$B445,R$335-1)/SUMPRODUCT(--($D$335:$V$335=R$335),--($D747:$V747=1)),0)+SUM(R444)+IF(COUNTIF(R$641:R747,1)=1,5,0)+IF(COUNTIF(S445:$Z445,"&gt;"&amp;0)&gt;5,IF(MOD(COUNTIF(R$641:R747,1),7)=0,$C$4,0),0)</f>
        <v>172.630952380953</v>
      </c>
      <c r="S445" s="81" cm="1">
        <f ca="1" t="array" ref="S445">IF(S747=1,OFFSET($Z$338,$B445,S$335-1)/SUMPRODUCT(--($D$335:$V$335=S$335),--($D747:$V747=1)),0)+SUM(S444)+IF(COUNTIF(S$641:S747,1)=1,5,0)+IF(COUNTIF(T445:$Z445,"&gt;"&amp;0)&gt;5,IF(MOD(COUNTIF(S$641:S747,1),7)=0,$C$4,0),0)</f>
        <v>163.464285714286</v>
      </c>
      <c r="T445" s="81" cm="1">
        <f ca="1" t="array" ref="T445">IF(T747=1,OFFSET($Z$338,$B445,T$335-1)/SUMPRODUCT(--($D$335:$V$335=T$335),--($D747:$V747=1)),0)+SUM(T444)+IF(COUNTIF(T$641:T747,1)=1,5,0)+IF(COUNTIF(U445:$Z445,"&gt;"&amp;0)&gt;5,IF(MOD(COUNTIF(T$641:T747,1),7)=0,$C$4,0),0)</f>
        <v>122.272483309599</v>
      </c>
      <c r="U445" s="81" cm="1">
        <f ca="1" t="array" ref="U445">IF(U747=1,OFFSET($Z$338,$B445,U$335-1)/SUMPRODUCT(--($D$335:$V$335=U$335),--($D747:$V747=1)),0)+SUM(U444)+IF(COUNTIF(U$641:U747,1)=1,5,0)+IF(COUNTIF(V445:$Z445,"&gt;"&amp;0)&gt;5,IF(MOD(COUNTIF(U$641:U747,1),7)=0,$C$4,0),0)</f>
        <v>87.2724833095985</v>
      </c>
      <c r="V445" s="81" cm="1">
        <f ca="1" t="array" ref="V445">IF(V747=1,OFFSET($Z$338,$B445,V$335-1)/SUMPRODUCT(--($D$335:$V$335=V$335),--($D747:$V747=1)),0)+SUM(V444)+IF(COUNTIF(V$641:V747,1)=1,5,0)+IF(COUNTIF(Z445:$Z445,"&gt;"&amp;0)&gt;5,IF(MOD(COUNTIF(V$641:V747,1),7)=0,$C$4,0),0)</f>
        <v>79.3146641203166</v>
      </c>
      <c r="W445" s="81" cm="1">
        <f ca="1" t="array" ref="W445">IF(W747=1,OFFSET($Z$338,$B445,W$335-1)/SUMPRODUCT(--($D$335:$V$335=W$335),--($D747:$V747=1)),0)+SUM(W444)+IF(COUNTIF(W$641:W747,1)=1,5,0)+IF(COUNTIF($Z445:AA445,"&gt;"&amp;0)&gt;5,IF(MOD(COUNTIF(W$641:W747,1),7)=0,$C$4,0),0)</f>
        <v>69.9587950053673</v>
      </c>
      <c r="X445" s="81" cm="1">
        <f ca="1" t="array" ref="X445">IF(X747=1,OFFSET($Z$338,$B445,X$335-1)/SUMPRODUCT(--($D$335:$V$335=X$335),--($D747:$V747=1)),0)+SUM(X444)+IF(COUNTIF(X$641:X747,1)=1,5,0)+IF(COUNTIF($Z445:AB445,"&gt;"&amp;0)&gt;5,IF(MOD(COUNTIF(X$641:X747,1),7)=0,$C$4,0),0)</f>
        <v>63.1951347147338</v>
      </c>
      <c r="Y445" s="81" cm="1">
        <f ca="1" t="array" ref="Y445">IF(Y747=1,OFFSET($Z$338,$B445,Y$335-1)/SUMPRODUCT(--($D$335:$V$335=Y$335),--($D747:$V747=1)),0)+SUM(Y444)+IF(COUNTIF(Y$641:Y747,1)=1,5,0)+IF(COUNTIF($Z445:AC445,"&gt;"&amp;0)&gt;5,IF(MOD(COUNTIF(Y$641:Y747,1),7)=0,$C$4,0),0)</f>
        <v>56.4314744241004</v>
      </c>
      <c r="Z445" s="82" cm="1">
        <f ca="1" t="array" ref="Z445">SUMPRODUCT(TRANSPOSE($AD445:$AJ445),OFFSET($L$10:$L$16,0,Z$335-1))</f>
        <v>18.5352420711277</v>
      </c>
      <c r="AA445" s="82" cm="1">
        <f ca="1" t="array" ref="AA445">SUMPRODUCT(TRANSPOSE($AD445:$AJ445),OFFSET($L$10:$L$16,0,AA$335-1))</f>
        <v>22</v>
      </c>
      <c r="AB445" s="82" cm="1">
        <f ca="1" t="array" ref="AB445">SUMPRODUCT(TRANSPOSE($AD445:$AJ445),OFFSET($L$10:$L$16,0,AB$335-1))</f>
        <v>11</v>
      </c>
      <c r="AC445" s="82" cm="1">
        <f ca="1" t="array" ref="AC445">SUMPRODUCT(TRANSPOSE($AD445:$AJ445),OFFSET($L$10:$L$16,0,AC$335-1))</f>
        <v>3.46475792887232</v>
      </c>
      <c r="AD445" s="83">
        <f ca="1" t="shared" ref="AD445:AJ445" si="535">AK445-AK444</f>
        <v>0</v>
      </c>
      <c r="AE445" s="83">
        <f ca="1" t="shared" si="535"/>
        <v>0</v>
      </c>
      <c r="AF445" s="83">
        <f ca="1" t="shared" si="535"/>
        <v>0</v>
      </c>
      <c r="AG445" s="83">
        <f ca="1" t="shared" si="535"/>
        <v>0</v>
      </c>
      <c r="AH445" s="83">
        <f ca="1" t="shared" si="535"/>
        <v>0</v>
      </c>
      <c r="AI445" s="83">
        <f ca="1" t="shared" si="535"/>
        <v>110</v>
      </c>
      <c r="AJ445" s="83">
        <f ca="1" t="shared" si="535"/>
        <v>0</v>
      </c>
      <c r="AK445" s="83">
        <f ca="1" t="shared" si="451"/>
        <v>450</v>
      </c>
      <c r="AL445" s="83">
        <f ca="1" t="shared" ref="AL445:AQ445" si="536">IF($C445&gt;OFFSET($Q$9,MATCH(AL$338,$AK$338:$AQ$338,0),0),OFFSET($P$9,MATCH(AL$338,$AK$338:$AQ$338,0),0),MAX(0,$C445-OFFSET($Q$9,RIGHT(AL$338,1)-1,0)))</f>
        <v>909</v>
      </c>
      <c r="AM445" s="83">
        <f ca="1" t="shared" si="536"/>
        <v>1818</v>
      </c>
      <c r="AN445" s="83">
        <f ca="1" t="shared" si="536"/>
        <v>2727</v>
      </c>
      <c r="AO445" s="83">
        <f ca="1" t="shared" si="536"/>
        <v>3636</v>
      </c>
      <c r="AP445" s="83">
        <f ca="1" t="shared" si="536"/>
        <v>3556</v>
      </c>
      <c r="AQ445" s="83">
        <f ca="1" t="shared" si="536"/>
        <v>0</v>
      </c>
    </row>
    <row r="446" ht="16.5" spans="2:43">
      <c r="B446" s="65">
        <v>108</v>
      </c>
      <c r="C446" s="80">
        <f t="shared" si="449"/>
        <v>13206</v>
      </c>
      <c r="D446" s="81" cm="1">
        <f ca="1" t="array" ref="D446">IF(D748=1,OFFSET($Z$338,$B446,D$335-1)/SUMPRODUCT(--($D$335:$V$335=D$335),--($D748:$V748=1)),0)+SUM(D445)+IF(COUNTIF(D$641:D748,1)=1,5,0)+IF(COUNTIF(E446:$Z446,"&gt;"&amp;0)&gt;5,IF(MOD(COUNTIF(D$641:D748,1),7)=0,$C$4,0),0)</f>
        <v>1144.4502037772</v>
      </c>
      <c r="E446" s="81" cm="1">
        <f ca="1" t="array" ref="E446">IF(E748=1,OFFSET($Z$338,$B446,E$335-1)/SUMPRODUCT(--($D$335:$V$335=E$335),--($D748:$V748=1)),0)+SUM(E445)+IF(COUNTIF(E$641:E748,1)=1,5,0)+IF(COUNTIF(F446:$Z446,"&gt;"&amp;0)&gt;5,IF(MOD(COUNTIF(E$641:E748,1),7)=0,$C$4,0),0)</f>
        <v>1144.4502037772</v>
      </c>
      <c r="F446" s="81" cm="1">
        <f ca="1" t="array" ref="F446">IF(F748=1,OFFSET($Z$338,$B446,F$335-1)/SUMPRODUCT(--($D$335:$V$335=F$335),--($D748:$V748=1)),0)+SUM(F445)+IF(COUNTIF(F$641:F748,1)=1,5,0)+IF(COUNTIF(G446:$Z446,"&gt;"&amp;0)&gt;5,IF(MOD(COUNTIF(F$641:F748,1),7)=0,$C$4,0),0)</f>
        <v>1144.4502037772</v>
      </c>
      <c r="G446" s="81" cm="1">
        <f ca="1" t="array" ref="G446">IF(G748=1,OFFSET($Z$338,$B446,G$335-1)/SUMPRODUCT(--($D$335:$V$335=G$335),--($D748:$V748=1)),0)+SUM(G445)+IF(COUNTIF(G$641:G748,1)=1,5,0)+IF(COUNTIF(H446:$Z446,"&gt;"&amp;0)&gt;5,IF(MOD(COUNTIF(G$641:G748,1),7)=0,$C$4,0),0)</f>
        <v>453.216666666668</v>
      </c>
      <c r="H446" s="81" cm="1">
        <f ca="1" t="array" ref="H446">IF(H748=1,OFFSET($Z$338,$B446,H$335-1)/SUMPRODUCT(--($D$335:$V$335=H$335),--($D748:$V748=1)),0)+SUM(H445)+IF(COUNTIF(H$641:H748,1)=1,5,0)+IF(COUNTIF(I446:$Z446,"&gt;"&amp;0)&gt;5,IF(MOD(COUNTIF(H$641:H748,1),7)=0,$C$4,0),0)</f>
        <v>453.216666666668</v>
      </c>
      <c r="I446" s="81" cm="1">
        <f ca="1" t="array" ref="I446">IF(I748=1,OFFSET($Z$338,$B446,I$335-1)/SUMPRODUCT(--($D$335:$V$335=I$335),--($D748:$V748=1)),0)+SUM(I445)+IF(COUNTIF(I$641:I748,1)=1,5,0)+IF(COUNTIF(J446:$Z446,"&gt;"&amp;0)&gt;5,IF(MOD(COUNTIF(I$641:I748,1),7)=0,$C$4,0),0)</f>
        <v>453.216666666668</v>
      </c>
      <c r="J446" s="81" cm="1">
        <f ca="1" t="array" ref="J446">IF(J748=1,OFFSET($Z$338,$B446,J$335-1)/SUMPRODUCT(--($D$335:$V$335=J$335),--($D748:$V748=1)),0)+SUM(J445)+IF(COUNTIF(J$641:J748,1)=1,5,0)+IF(COUNTIF(K446:$Z446,"&gt;"&amp;0)&gt;5,IF(MOD(COUNTIF(J$641:J748,1),7)=0,$C$4,0),0)</f>
        <v>453.216666666668</v>
      </c>
      <c r="K446" s="81" cm="1">
        <f ca="1" t="array" ref="K446">IF(K748=1,OFFSET($Z$338,$B446,K$335-1)/SUMPRODUCT(--($D$335:$V$335=K$335),--($D748:$V748=1)),0)+SUM(K445)+IF(COUNTIF(K$641:K748,1)=1,5,0)+IF(COUNTIF(L446:$Z446,"&gt;"&amp;0)&gt;5,IF(MOD(COUNTIF(K$641:K748,1),7)=0,$C$4,0),0)</f>
        <v>453.216666666668</v>
      </c>
      <c r="L446" s="81" cm="1">
        <f ca="1" t="array" ref="L446">IF(L748=1,OFFSET($Z$338,$B446,L$335-1)/SUMPRODUCT(--($D$335:$V$335=L$335),--($D748:$V748=1)),0)+SUM(L445)+IF(COUNTIF(L$641:L748,1)=1,5,0)+IF(COUNTIF(M446:$Z446,"&gt;"&amp;0)&gt;5,IF(MOD(COUNTIF(L$641:L748,1),7)=0,$C$4,0),0)</f>
        <v>446.516666666668</v>
      </c>
      <c r="M446" s="81" cm="1">
        <f ca="1" t="array" ref="M446">IF(M748=1,OFFSET($Z$338,$B446,M$335-1)/SUMPRODUCT(--($D$335:$V$335=M$335),--($D748:$V748=1)),0)+SUM(M445)+IF(COUNTIF(M$641:M748,1)=1,5,0)+IF(COUNTIF(N446:$Z446,"&gt;"&amp;0)&gt;5,IF(MOD(COUNTIF(M$641:M748,1),7)=0,$C$4,0),0)</f>
        <v>218.086964285715</v>
      </c>
      <c r="N446" s="81" cm="1">
        <f ca="1" t="array" ref="N446">IF(N748=1,OFFSET($Z$338,$B446,N$335-1)/SUMPRODUCT(--($D$335:$V$335=N$335),--($D748:$V748=1)),0)+SUM(N445)+IF(COUNTIF(N$641:N748,1)=1,5,0)+IF(COUNTIF(O446:$Z446,"&gt;"&amp;0)&gt;5,IF(MOD(COUNTIF(N$641:N748,1),7)=0,$C$4,0),0)</f>
        <v>210.361964285715</v>
      </c>
      <c r="O446" s="81" cm="1">
        <f ca="1" t="array" ref="O446">IF(O748=1,OFFSET($Z$338,$B446,O$335-1)/SUMPRODUCT(--($D$335:$V$335=O$335),--($D748:$V748=1)),0)+SUM(O445)+IF(COUNTIF(O$641:O748,1)=1,5,0)+IF(COUNTIF(P446:$Z446,"&gt;"&amp;0)&gt;5,IF(MOD(COUNTIF(O$641:O748,1),7)=0,$C$4,0),0)</f>
        <v>207.936964285715</v>
      </c>
      <c r="P446" s="81" cm="1">
        <f ca="1" t="array" ref="P446">IF(P748=1,OFFSET($Z$338,$B446,P$335-1)/SUMPRODUCT(--($D$335:$V$335=P$335),--($D748:$V748=1)),0)+SUM(P445)+IF(COUNTIF(P$641:P748,1)=1,5,0)+IF(COUNTIF(Q446:$Z446,"&gt;"&amp;0)&gt;5,IF(MOD(COUNTIF(P$641:P748,1),7)=0,$C$4,0),0)</f>
        <v>200.003630952381</v>
      </c>
      <c r="Q446" s="81" cm="1">
        <f ca="1" t="array" ref="Q446">IF(Q748=1,OFFSET($Z$338,$B446,Q$335-1)/SUMPRODUCT(--($D$335:$V$335=Q$335),--($D748:$V748=1)),0)+SUM(Q445)+IF(COUNTIF(Q$641:Q748,1)=1,5,0)+IF(COUNTIF(R446:$Z446,"&gt;"&amp;0)&gt;5,IF(MOD(COUNTIF(Q$641:Q748,1),7)=0,$C$4,0),0)</f>
        <v>199.097380952381</v>
      </c>
      <c r="R446" s="81" cm="1">
        <f ca="1" t="array" ref="R446">IF(R748=1,OFFSET($Z$338,$B446,R$335-1)/SUMPRODUCT(--($D$335:$V$335=R$335),--($D748:$V748=1)),0)+SUM(R445)+IF(COUNTIF(R$641:R748,1)=1,5,0)+IF(COUNTIF(S446:$Z446,"&gt;"&amp;0)&gt;5,IF(MOD(COUNTIF(R$641:R748,1),7)=0,$C$4,0),0)</f>
        <v>174.202380952381</v>
      </c>
      <c r="S446" s="81" cm="1">
        <f ca="1" t="array" ref="S446">IF(S748=1,OFFSET($Z$338,$B446,S$335-1)/SUMPRODUCT(--($D$335:$V$335=S$335),--($D748:$V748=1)),0)+SUM(S445)+IF(COUNTIF(S$641:S748,1)=1,5,0)+IF(COUNTIF(T446:$Z446,"&gt;"&amp;0)&gt;5,IF(MOD(COUNTIF(S$641:S748,1),7)=0,$C$4,0),0)</f>
        <v>165.035714285714</v>
      </c>
      <c r="T446" s="81" cm="1">
        <f ca="1" t="array" ref="T446">IF(T748=1,OFFSET($Z$338,$B446,T$335-1)/SUMPRODUCT(--($D$335:$V$335=T$335),--($D748:$V748=1)),0)+SUM(T445)+IF(COUNTIF(T$641:T748,1)=1,5,0)+IF(COUNTIF(U446:$Z446,"&gt;"&amp;0)&gt;5,IF(MOD(COUNTIF(T$641:T748,1),7)=0,$C$4,0),0)</f>
        <v>123.427402619223</v>
      </c>
      <c r="U446" s="81" cm="1">
        <f ca="1" t="array" ref="U446">IF(U748=1,OFFSET($Z$338,$B446,U$335-1)/SUMPRODUCT(--($D$335:$V$335=U$335),--($D748:$V748=1)),0)+SUM(U445)+IF(COUNTIF(U$641:U748,1)=1,5,0)+IF(COUNTIF(V446:$Z446,"&gt;"&amp;0)&gt;5,IF(MOD(COUNTIF(U$641:U748,1),7)=0,$C$4,0),0)</f>
        <v>88.4274026192226</v>
      </c>
      <c r="V446" s="81" cm="1">
        <f ca="1" t="array" ref="V446">IF(V748=1,OFFSET($Z$338,$B446,V$335-1)/SUMPRODUCT(--($D$335:$V$335=V$335),--($D748:$V748=1)),0)+SUM(V445)+IF(COUNTIF(V$641:V748,1)=1,5,0)+IF(COUNTIF(Z446:$Z446,"&gt;"&amp;0)&gt;5,IF(MOD(COUNTIF(V$641:V748,1),7)=0,$C$4,0),0)</f>
        <v>80.4695834299407</v>
      </c>
      <c r="W446" s="81" cm="1">
        <f ca="1" t="array" ref="W446">IF(W748=1,OFFSET($Z$338,$B446,W$335-1)/SUMPRODUCT(--($D$335:$V$335=W$335),--($D748:$V748=1)),0)+SUM(W445)+IF(COUNTIF(W$641:W748,1)=1,5,0)+IF(COUNTIF($Z446:AA446,"&gt;"&amp;0)&gt;5,IF(MOD(COUNTIF(W$641:W748,1),7)=0,$C$4,0),0)</f>
        <v>71.1137143149914</v>
      </c>
      <c r="X446" s="81" cm="1">
        <f ca="1" t="array" ref="X446">IF(X748=1,OFFSET($Z$338,$B446,X$335-1)/SUMPRODUCT(--($D$335:$V$335=X$335),--($D748:$V748=1)),0)+SUM(X445)+IF(COUNTIF(X$641:X748,1)=1,5,0)+IF(COUNTIF($Z446:AB446,"&gt;"&amp;0)&gt;5,IF(MOD(COUNTIF(X$641:X748,1),7)=0,$C$4,0),0)</f>
        <v>64.3500540243579</v>
      </c>
      <c r="Y446" s="81" cm="1">
        <f ca="1" t="array" ref="Y446">IF(Y748=1,OFFSET($Z$338,$B446,Y$335-1)/SUMPRODUCT(--($D$335:$V$335=Y$335),--($D748:$V748=1)),0)+SUM(Y445)+IF(COUNTIF(Y$641:Y748,1)=1,5,0)+IF(COUNTIF($Z446:AC446,"&gt;"&amp;0)&gt;5,IF(MOD(COUNTIF(Y$641:Y748,1),7)=0,$C$4,0),0)</f>
        <v>57.5863937337245</v>
      </c>
      <c r="Z446" s="82" cm="1">
        <f ca="1" t="array" ref="Z446">SUMPRODUCT(TRANSPOSE($AD446:$AJ446),OFFSET($L$10:$L$16,0,Z$335-1))</f>
        <v>18.5352420711277</v>
      </c>
      <c r="AA446" s="82" cm="1">
        <f ca="1" t="array" ref="AA446">SUMPRODUCT(TRANSPOSE($AD446:$AJ446),OFFSET($L$10:$L$16,0,AA$335-1))</f>
        <v>22</v>
      </c>
      <c r="AB446" s="82" cm="1">
        <f ca="1" t="array" ref="AB446">SUMPRODUCT(TRANSPOSE($AD446:$AJ446),OFFSET($L$10:$L$16,0,AB$335-1))</f>
        <v>11</v>
      </c>
      <c r="AC446" s="82" cm="1">
        <f ca="1" t="array" ref="AC446">SUMPRODUCT(TRANSPOSE($AD446:$AJ446),OFFSET($L$10:$L$16,0,AC$335-1))</f>
        <v>3.46475792887232</v>
      </c>
      <c r="AD446" s="83">
        <f ca="1" t="shared" ref="AD446:AJ446" si="537">AK446-AK445</f>
        <v>0</v>
      </c>
      <c r="AE446" s="83">
        <f ca="1" t="shared" si="537"/>
        <v>0</v>
      </c>
      <c r="AF446" s="83">
        <f ca="1" t="shared" si="537"/>
        <v>0</v>
      </c>
      <c r="AG446" s="83">
        <f ca="1" t="shared" si="537"/>
        <v>0</v>
      </c>
      <c r="AH446" s="83">
        <f ca="1" t="shared" si="537"/>
        <v>0</v>
      </c>
      <c r="AI446" s="83">
        <f ca="1" t="shared" si="537"/>
        <v>110</v>
      </c>
      <c r="AJ446" s="83">
        <f ca="1" t="shared" si="537"/>
        <v>0</v>
      </c>
      <c r="AK446" s="83">
        <f ca="1" t="shared" si="451"/>
        <v>450</v>
      </c>
      <c r="AL446" s="83">
        <f ca="1" t="shared" ref="AL446:AQ446" si="538">IF($C446&gt;OFFSET($Q$9,MATCH(AL$338,$AK$338:$AQ$338,0),0),OFFSET($P$9,MATCH(AL$338,$AK$338:$AQ$338,0),0),MAX(0,$C446-OFFSET($Q$9,RIGHT(AL$338,1)-1,0)))</f>
        <v>909</v>
      </c>
      <c r="AM446" s="83">
        <f ca="1" t="shared" si="538"/>
        <v>1818</v>
      </c>
      <c r="AN446" s="83">
        <f ca="1" t="shared" si="538"/>
        <v>2727</v>
      </c>
      <c r="AO446" s="83">
        <f ca="1" t="shared" si="538"/>
        <v>3636</v>
      </c>
      <c r="AP446" s="83">
        <f ca="1" t="shared" si="538"/>
        <v>3666</v>
      </c>
      <c r="AQ446" s="83">
        <f ca="1" t="shared" si="538"/>
        <v>0</v>
      </c>
    </row>
    <row r="447" ht="16.5" spans="2:43">
      <c r="B447" s="65">
        <v>109</v>
      </c>
      <c r="C447" s="80">
        <f t="shared" si="449"/>
        <v>13316</v>
      </c>
      <c r="D447" s="81" cm="1">
        <f ca="1" t="array" ref="D447">IF(D749=1,OFFSET($Z$338,$B447,D$335-1)/SUMPRODUCT(--($D$335:$V$335=D$335),--($D749:$V749=1)),0)+SUM(D446)+IF(COUNTIF(D$641:D749,1)=1,5,0)+IF(COUNTIF(E447:$Z447,"&gt;"&amp;0)&gt;5,IF(MOD(COUNTIF(D$641:D749,1),7)=0,$C$4,0),0)</f>
        <v>1150.62861780091</v>
      </c>
      <c r="E447" s="81" cm="1">
        <f ca="1" t="array" ref="E447">IF(E749=1,OFFSET($Z$338,$B447,E$335-1)/SUMPRODUCT(--($D$335:$V$335=E$335),--($D749:$V749=1)),0)+SUM(E446)+IF(COUNTIF(E$641:E749,1)=1,5,0)+IF(COUNTIF(F447:$Z447,"&gt;"&amp;0)&gt;5,IF(MOD(COUNTIF(E$641:E749,1),7)=0,$C$4,0),0)</f>
        <v>1150.62861780091</v>
      </c>
      <c r="F447" s="81" cm="1">
        <f ca="1" t="array" ref="F447">IF(F749=1,OFFSET($Z$338,$B447,F$335-1)/SUMPRODUCT(--($D$335:$V$335=F$335),--($D749:$V749=1)),0)+SUM(F446)+IF(COUNTIF(F$641:F749,1)=1,5,0)+IF(COUNTIF(G447:$Z447,"&gt;"&amp;0)&gt;5,IF(MOD(COUNTIF(F$641:F749,1),7)=0,$C$4,0),0)</f>
        <v>1150.62861780091</v>
      </c>
      <c r="G447" s="81" cm="1">
        <f ca="1" t="array" ref="G447">IF(G749=1,OFFSET($Z$338,$B447,G$335-1)/SUMPRODUCT(--($D$335:$V$335=G$335),--($D749:$V749=1)),0)+SUM(G446)+IF(COUNTIF(G$641:G749,1)=1,5,0)+IF(COUNTIF(H447:$Z447,"&gt;"&amp;0)&gt;5,IF(MOD(COUNTIF(G$641:G749,1),7)=0,$C$4,0),0)</f>
        <v>456.883333333334</v>
      </c>
      <c r="H447" s="81" cm="1">
        <f ca="1" t="array" ref="H447">IF(H749=1,OFFSET($Z$338,$B447,H$335-1)/SUMPRODUCT(--($D$335:$V$335=H$335),--($D749:$V749=1)),0)+SUM(H446)+IF(COUNTIF(H$641:H749,1)=1,5,0)+IF(COUNTIF(I447:$Z447,"&gt;"&amp;0)&gt;5,IF(MOD(COUNTIF(H$641:H749,1),7)=0,$C$4,0),0)</f>
        <v>456.883333333334</v>
      </c>
      <c r="I447" s="81" cm="1">
        <f ca="1" t="array" ref="I447">IF(I749=1,OFFSET($Z$338,$B447,I$335-1)/SUMPRODUCT(--($D$335:$V$335=I$335),--($D749:$V749=1)),0)+SUM(I446)+IF(COUNTIF(I$641:I749,1)=1,5,0)+IF(COUNTIF(J447:$Z447,"&gt;"&amp;0)&gt;5,IF(MOD(COUNTIF(I$641:I749,1),7)=0,$C$4,0),0)</f>
        <v>456.883333333334</v>
      </c>
      <c r="J447" s="81" cm="1">
        <f ca="1" t="array" ref="J447">IF(J749=1,OFFSET($Z$338,$B447,J$335-1)/SUMPRODUCT(--($D$335:$V$335=J$335),--($D749:$V749=1)),0)+SUM(J446)+IF(COUNTIF(J$641:J749,1)=1,5,0)+IF(COUNTIF(K447:$Z447,"&gt;"&amp;0)&gt;5,IF(MOD(COUNTIF(J$641:J749,1),7)=0,$C$4,0),0)</f>
        <v>456.883333333334</v>
      </c>
      <c r="K447" s="81" cm="1">
        <f ca="1" t="array" ref="K447">IF(K749=1,OFFSET($Z$338,$B447,K$335-1)/SUMPRODUCT(--($D$335:$V$335=K$335),--($D749:$V749=1)),0)+SUM(K446)+IF(COUNTIF(K$641:K749,1)=1,5,0)+IF(COUNTIF(L447:$Z447,"&gt;"&amp;0)&gt;5,IF(MOD(COUNTIF(K$641:K749,1),7)=0,$C$4,0),0)</f>
        <v>456.883333333334</v>
      </c>
      <c r="L447" s="81" cm="1">
        <f ca="1" t="array" ref="L447">IF(L749=1,OFFSET($Z$338,$B447,L$335-1)/SUMPRODUCT(--($D$335:$V$335=L$335),--($D749:$V749=1)),0)+SUM(L446)+IF(COUNTIF(L$641:L749,1)=1,5,0)+IF(COUNTIF(M447:$Z447,"&gt;"&amp;0)&gt;5,IF(MOD(COUNTIF(L$641:L749,1),7)=0,$C$4,0),0)</f>
        <v>450.183333333334</v>
      </c>
      <c r="M447" s="81" cm="1">
        <f ca="1" t="array" ref="M447">IF(M749=1,OFFSET($Z$338,$B447,M$335-1)/SUMPRODUCT(--($D$335:$V$335=M$335),--($D749:$V749=1)),0)+SUM(M446)+IF(COUNTIF(M$641:M749,1)=1,5,0)+IF(COUNTIF(N447:$Z447,"&gt;"&amp;0)&gt;5,IF(MOD(COUNTIF(M$641:M749,1),7)=0,$C$4,0),0)</f>
        <v>219.658392857143</v>
      </c>
      <c r="N447" s="81" cm="1">
        <f ca="1" t="array" ref="N447">IF(N749=1,OFFSET($Z$338,$B447,N$335-1)/SUMPRODUCT(--($D$335:$V$335=N$335),--($D749:$V749=1)),0)+SUM(N446)+IF(COUNTIF(N$641:N749,1)=1,5,0)+IF(COUNTIF(O447:$Z447,"&gt;"&amp;0)&gt;5,IF(MOD(COUNTIF(N$641:N749,1),7)=0,$C$4,0),0)</f>
        <v>211.933392857143</v>
      </c>
      <c r="O447" s="81" cm="1">
        <f ca="1" t="array" ref="O447">IF(O749=1,OFFSET($Z$338,$B447,O$335-1)/SUMPRODUCT(--($D$335:$V$335=O$335),--($D749:$V749=1)),0)+SUM(O446)+IF(COUNTIF(O$641:O749,1)=1,5,0)+IF(COUNTIF(P447:$Z447,"&gt;"&amp;0)&gt;5,IF(MOD(COUNTIF(O$641:O749,1),7)=0,$C$4,0),0)</f>
        <v>209.508392857143</v>
      </c>
      <c r="P447" s="81" cm="1">
        <f ca="1" t="array" ref="P447">IF(P749=1,OFFSET($Z$338,$B447,P$335-1)/SUMPRODUCT(--($D$335:$V$335=P$335),--($D749:$V749=1)),0)+SUM(P446)+IF(COUNTIF(P$641:P749,1)=1,5,0)+IF(COUNTIF(Q447:$Z447,"&gt;"&amp;0)&gt;5,IF(MOD(COUNTIF(P$641:P749,1),7)=0,$C$4,0),0)</f>
        <v>201.57505952381</v>
      </c>
      <c r="Q447" s="81" cm="1">
        <f ca="1" t="array" ref="Q447">IF(Q749=1,OFFSET($Z$338,$B447,Q$335-1)/SUMPRODUCT(--($D$335:$V$335=Q$335),--($D749:$V749=1)),0)+SUM(Q446)+IF(COUNTIF(Q$641:Q749,1)=1,5,0)+IF(COUNTIF(R447:$Z447,"&gt;"&amp;0)&gt;5,IF(MOD(COUNTIF(Q$641:Q749,1),7)=0,$C$4,0),0)</f>
        <v>200.66880952381</v>
      </c>
      <c r="R447" s="81" cm="1">
        <f ca="1" t="array" ref="R447">IF(R749=1,OFFSET($Z$338,$B447,R$335-1)/SUMPRODUCT(--($D$335:$V$335=R$335),--($D749:$V749=1)),0)+SUM(R446)+IF(COUNTIF(R$641:R749,1)=1,5,0)+IF(COUNTIF(S447:$Z447,"&gt;"&amp;0)&gt;5,IF(MOD(COUNTIF(R$641:R749,1),7)=0,$C$4,0),0)</f>
        <v>175.77380952381</v>
      </c>
      <c r="S447" s="81" cm="1">
        <f ca="1" t="array" ref="S447">IF(S749=1,OFFSET($Z$338,$B447,S$335-1)/SUMPRODUCT(--($D$335:$V$335=S$335),--($D749:$V749=1)),0)+SUM(S446)+IF(COUNTIF(S$641:S749,1)=1,5,0)+IF(COUNTIF(T447:$Z447,"&gt;"&amp;0)&gt;5,IF(MOD(COUNTIF(S$641:S749,1),7)=0,$C$4,0),0)</f>
        <v>166.607142857143</v>
      </c>
      <c r="T447" s="81" cm="1">
        <f ca="1" t="array" ref="T447">IF(T749=1,OFFSET($Z$338,$B447,T$335-1)/SUMPRODUCT(--($D$335:$V$335=T$335),--($D749:$V749=1)),0)+SUM(T446)+IF(COUNTIF(T$641:T749,1)=1,5,0)+IF(COUNTIF(U447:$Z447,"&gt;"&amp;0)&gt;5,IF(MOD(COUNTIF(T$641:T749,1),7)=0,$C$4,0),0)</f>
        <v>124.582321928847</v>
      </c>
      <c r="U447" s="81" cm="1">
        <f ca="1" t="array" ref="U447">IF(U749=1,OFFSET($Z$338,$B447,U$335-1)/SUMPRODUCT(--($D$335:$V$335=U$335),--($D749:$V749=1)),0)+SUM(U446)+IF(COUNTIF(U$641:U749,1)=1,5,0)+IF(COUNTIF(V447:$Z447,"&gt;"&amp;0)&gt;5,IF(MOD(COUNTIF(U$641:U749,1),7)=0,$C$4,0),0)</f>
        <v>89.5823219288467</v>
      </c>
      <c r="V447" s="81" cm="1">
        <f ca="1" t="array" ref="V447">IF(V749=1,OFFSET($Z$338,$B447,V$335-1)/SUMPRODUCT(--($D$335:$V$335=V$335),--($D749:$V749=1)),0)+SUM(V446)+IF(COUNTIF(V$641:V749,1)=1,5,0)+IF(COUNTIF(Z447:$Z447,"&gt;"&amp;0)&gt;5,IF(MOD(COUNTIF(V$641:V749,1),7)=0,$C$4,0),0)</f>
        <v>81.6245027395648</v>
      </c>
      <c r="W447" s="81" cm="1">
        <f ca="1" t="array" ref="W447">IF(W749=1,OFFSET($Z$338,$B447,W$335-1)/SUMPRODUCT(--($D$335:$V$335=W$335),--($D749:$V749=1)),0)+SUM(W446)+IF(COUNTIF(W$641:W749,1)=1,5,0)+IF(COUNTIF($Z447:AA447,"&gt;"&amp;0)&gt;5,IF(MOD(COUNTIF(W$641:W749,1),7)=0,$C$4,0),0)</f>
        <v>72.2686336246155</v>
      </c>
      <c r="X447" s="81" cm="1">
        <f ca="1" t="array" ref="X447">IF(X749=1,OFFSET($Z$338,$B447,X$335-1)/SUMPRODUCT(--($D$335:$V$335=X$335),--($D749:$V749=1)),0)+SUM(X446)+IF(COUNTIF(X$641:X749,1)=1,5,0)+IF(COUNTIF($Z447:AB447,"&gt;"&amp;0)&gt;5,IF(MOD(COUNTIF(X$641:X749,1),7)=0,$C$4,0),0)</f>
        <v>65.504973333982</v>
      </c>
      <c r="Y447" s="81" cm="1">
        <f ca="1" t="array" ref="Y447">IF(Y749=1,OFFSET($Z$338,$B447,Y$335-1)/SUMPRODUCT(--($D$335:$V$335=Y$335),--($D749:$V749=1)),0)+SUM(Y446)+IF(COUNTIF(Y$641:Y749,1)=1,5,0)+IF(COUNTIF($Z447:AC447,"&gt;"&amp;0)&gt;5,IF(MOD(COUNTIF(Y$641:Y749,1),7)=0,$C$4,0),0)</f>
        <v>58.7413130433486</v>
      </c>
      <c r="Z447" s="82" cm="1">
        <f ca="1" t="array" ref="Z447">SUMPRODUCT(TRANSPOSE($AD447:$AJ447),OFFSET($L$10:$L$16,0,Z$335-1))</f>
        <v>18.5352420711277</v>
      </c>
      <c r="AA447" s="82" cm="1">
        <f ca="1" t="array" ref="AA447">SUMPRODUCT(TRANSPOSE($AD447:$AJ447),OFFSET($L$10:$L$16,0,AA$335-1))</f>
        <v>22</v>
      </c>
      <c r="AB447" s="82" cm="1">
        <f ca="1" t="array" ref="AB447">SUMPRODUCT(TRANSPOSE($AD447:$AJ447),OFFSET($L$10:$L$16,0,AB$335-1))</f>
        <v>11</v>
      </c>
      <c r="AC447" s="82" cm="1">
        <f ca="1" t="array" ref="AC447">SUMPRODUCT(TRANSPOSE($AD447:$AJ447),OFFSET($L$10:$L$16,0,AC$335-1))</f>
        <v>3.46475792887232</v>
      </c>
      <c r="AD447" s="83">
        <f ca="1" t="shared" ref="AD447:AJ447" si="539">AK447-AK446</f>
        <v>0</v>
      </c>
      <c r="AE447" s="83">
        <f ca="1" t="shared" si="539"/>
        <v>0</v>
      </c>
      <c r="AF447" s="83">
        <f ca="1" t="shared" si="539"/>
        <v>0</v>
      </c>
      <c r="AG447" s="83">
        <f ca="1" t="shared" si="539"/>
        <v>0</v>
      </c>
      <c r="AH447" s="83">
        <f ca="1" t="shared" si="539"/>
        <v>0</v>
      </c>
      <c r="AI447" s="83">
        <f ca="1" t="shared" si="539"/>
        <v>110</v>
      </c>
      <c r="AJ447" s="83">
        <f ca="1" t="shared" si="539"/>
        <v>0</v>
      </c>
      <c r="AK447" s="83">
        <f ca="1" t="shared" si="451"/>
        <v>450</v>
      </c>
      <c r="AL447" s="83">
        <f ca="1" t="shared" ref="AL447:AQ447" si="540">IF($C447&gt;OFFSET($Q$9,MATCH(AL$338,$AK$338:$AQ$338,0),0),OFFSET($P$9,MATCH(AL$338,$AK$338:$AQ$338,0),0),MAX(0,$C447-OFFSET($Q$9,RIGHT(AL$338,1)-1,0)))</f>
        <v>909</v>
      </c>
      <c r="AM447" s="83">
        <f ca="1" t="shared" si="540"/>
        <v>1818</v>
      </c>
      <c r="AN447" s="83">
        <f ca="1" t="shared" si="540"/>
        <v>2727</v>
      </c>
      <c r="AO447" s="83">
        <f ca="1" t="shared" si="540"/>
        <v>3636</v>
      </c>
      <c r="AP447" s="83">
        <f ca="1" t="shared" si="540"/>
        <v>3776</v>
      </c>
      <c r="AQ447" s="83">
        <f ca="1" t="shared" si="540"/>
        <v>0</v>
      </c>
    </row>
    <row r="448" ht="16.5" spans="2:43">
      <c r="B448" s="65">
        <v>110</v>
      </c>
      <c r="C448" s="80">
        <f t="shared" si="449"/>
        <v>13426</v>
      </c>
      <c r="D448" s="81" cm="1">
        <f ca="1" t="array" ref="D448">IF(D750=1,OFFSET($Z$338,$B448,D$335-1)/SUMPRODUCT(--($D$335:$V$335=D$335),--($D750:$V750=1)),0)+SUM(D447)+IF(COUNTIF(D$641:D750,1)=1,5,0)+IF(COUNTIF(E448:$Z448,"&gt;"&amp;0)&gt;5,IF(MOD(COUNTIF(D$641:D750,1),7)=0,$C$4,0),0)</f>
        <v>1156.80703182462</v>
      </c>
      <c r="E448" s="81" cm="1">
        <f ca="1" t="array" ref="E448">IF(E750=1,OFFSET($Z$338,$B448,E$335-1)/SUMPRODUCT(--($D$335:$V$335=E$335),--($D750:$V750=1)),0)+SUM(E447)+IF(COUNTIF(E$641:E750,1)=1,5,0)+IF(COUNTIF(F448:$Z448,"&gt;"&amp;0)&gt;5,IF(MOD(COUNTIF(E$641:E750,1),7)=0,$C$4,0),0)</f>
        <v>1156.80703182462</v>
      </c>
      <c r="F448" s="81" cm="1">
        <f ca="1" t="array" ref="F448">IF(F750=1,OFFSET($Z$338,$B448,F$335-1)/SUMPRODUCT(--($D$335:$V$335=F$335),--($D750:$V750=1)),0)+SUM(F447)+IF(COUNTIF(F$641:F750,1)=1,5,0)+IF(COUNTIF(G448:$Z448,"&gt;"&amp;0)&gt;5,IF(MOD(COUNTIF(F$641:F750,1),7)=0,$C$4,0),0)</f>
        <v>1156.80703182462</v>
      </c>
      <c r="G448" s="81" cm="1">
        <f ca="1" t="array" ref="G448">IF(G750=1,OFFSET($Z$338,$B448,G$335-1)/SUMPRODUCT(--($D$335:$V$335=G$335),--($D750:$V750=1)),0)+SUM(G447)+IF(COUNTIF(G$641:G750,1)=1,5,0)+IF(COUNTIF(H448:$Z448,"&gt;"&amp;0)&gt;5,IF(MOD(COUNTIF(G$641:G750,1),7)=0,$C$4,0),0)</f>
        <v>460.550000000001</v>
      </c>
      <c r="H448" s="81" cm="1">
        <f ca="1" t="array" ref="H448">IF(H750=1,OFFSET($Z$338,$B448,H$335-1)/SUMPRODUCT(--($D$335:$V$335=H$335),--($D750:$V750=1)),0)+SUM(H447)+IF(COUNTIF(H$641:H750,1)=1,5,0)+IF(COUNTIF(I448:$Z448,"&gt;"&amp;0)&gt;5,IF(MOD(COUNTIF(H$641:H750,1),7)=0,$C$4,0),0)</f>
        <v>460.550000000001</v>
      </c>
      <c r="I448" s="81" cm="1">
        <f ca="1" t="array" ref="I448">IF(I750=1,OFFSET($Z$338,$B448,I$335-1)/SUMPRODUCT(--($D$335:$V$335=I$335),--($D750:$V750=1)),0)+SUM(I447)+IF(COUNTIF(I$641:I750,1)=1,5,0)+IF(COUNTIF(J448:$Z448,"&gt;"&amp;0)&gt;5,IF(MOD(COUNTIF(I$641:I750,1),7)=0,$C$4,0),0)</f>
        <v>460.550000000001</v>
      </c>
      <c r="J448" s="81" cm="1">
        <f ca="1" t="array" ref="J448">IF(J750=1,OFFSET($Z$338,$B448,J$335-1)/SUMPRODUCT(--($D$335:$V$335=J$335),--($D750:$V750=1)),0)+SUM(J447)+IF(COUNTIF(J$641:J750,1)=1,5,0)+IF(COUNTIF(K448:$Z448,"&gt;"&amp;0)&gt;5,IF(MOD(COUNTIF(J$641:J750,1),7)=0,$C$4,0),0)</f>
        <v>460.550000000001</v>
      </c>
      <c r="K448" s="81" cm="1">
        <f ca="1" t="array" ref="K448">IF(K750=1,OFFSET($Z$338,$B448,K$335-1)/SUMPRODUCT(--($D$335:$V$335=K$335),--($D750:$V750=1)),0)+SUM(K447)+IF(COUNTIF(K$641:K750,1)=1,5,0)+IF(COUNTIF(L448:$Z448,"&gt;"&amp;0)&gt;5,IF(MOD(COUNTIF(K$641:K750,1),7)=0,$C$4,0),0)</f>
        <v>460.550000000001</v>
      </c>
      <c r="L448" s="81" cm="1">
        <f ca="1" t="array" ref="L448">IF(L750=1,OFFSET($Z$338,$B448,L$335-1)/SUMPRODUCT(--($D$335:$V$335=L$335),--($D750:$V750=1)),0)+SUM(L447)+IF(COUNTIF(L$641:L750,1)=1,5,0)+IF(COUNTIF(M448:$Z448,"&gt;"&amp;0)&gt;5,IF(MOD(COUNTIF(L$641:L750,1),7)=0,$C$4,0),0)</f>
        <v>453.850000000001</v>
      </c>
      <c r="M448" s="81" cm="1">
        <f ca="1" t="array" ref="M448">IF(M750=1,OFFSET($Z$338,$B448,M$335-1)/SUMPRODUCT(--($D$335:$V$335=M$335),--($D750:$V750=1)),0)+SUM(M447)+IF(COUNTIF(M$641:M750,1)=1,5,0)+IF(COUNTIF(N448:$Z448,"&gt;"&amp;0)&gt;5,IF(MOD(COUNTIF(M$641:M750,1),7)=0,$C$4,0),0)</f>
        <v>221.229821428572</v>
      </c>
      <c r="N448" s="81" cm="1">
        <f ca="1" t="array" ref="N448">IF(N750=1,OFFSET($Z$338,$B448,N$335-1)/SUMPRODUCT(--($D$335:$V$335=N$335),--($D750:$V750=1)),0)+SUM(N447)+IF(COUNTIF(N$641:N750,1)=1,5,0)+IF(COUNTIF(O448:$Z448,"&gt;"&amp;0)&gt;5,IF(MOD(COUNTIF(N$641:N750,1),7)=0,$C$4,0),0)</f>
        <v>213.504821428572</v>
      </c>
      <c r="O448" s="81" cm="1">
        <f ca="1" t="array" ref="O448">IF(O750=1,OFFSET($Z$338,$B448,O$335-1)/SUMPRODUCT(--($D$335:$V$335=O$335),--($D750:$V750=1)),0)+SUM(O447)+IF(COUNTIF(O$641:O750,1)=1,5,0)+IF(COUNTIF(P448:$Z448,"&gt;"&amp;0)&gt;5,IF(MOD(COUNTIF(O$641:O750,1),7)=0,$C$4,0),0)</f>
        <v>211.079821428572</v>
      </c>
      <c r="P448" s="81" cm="1">
        <f ca="1" t="array" ref="P448">IF(P750=1,OFFSET($Z$338,$B448,P$335-1)/SUMPRODUCT(--($D$335:$V$335=P$335),--($D750:$V750=1)),0)+SUM(P447)+IF(COUNTIF(P$641:P750,1)=1,5,0)+IF(COUNTIF(Q448:$Z448,"&gt;"&amp;0)&gt;5,IF(MOD(COUNTIF(P$641:P750,1),7)=0,$C$4,0),0)</f>
        <v>208.146488095238</v>
      </c>
      <c r="Q448" s="81" cm="1">
        <f ca="1" t="array" ref="Q448">IF(Q750=1,OFFSET($Z$338,$B448,Q$335-1)/SUMPRODUCT(--($D$335:$V$335=Q$335),--($D750:$V750=1)),0)+SUM(Q447)+IF(COUNTIF(Q$641:Q750,1)=1,5,0)+IF(COUNTIF(R448:$Z448,"&gt;"&amp;0)&gt;5,IF(MOD(COUNTIF(Q$641:Q750,1),7)=0,$C$4,0),0)</f>
        <v>202.240238095238</v>
      </c>
      <c r="R448" s="81" cm="1">
        <f ca="1" t="array" ref="R448">IF(R750=1,OFFSET($Z$338,$B448,R$335-1)/SUMPRODUCT(--($D$335:$V$335=R$335),--($D750:$V750=1)),0)+SUM(R447)+IF(COUNTIF(R$641:R750,1)=1,5,0)+IF(COUNTIF(S448:$Z448,"&gt;"&amp;0)&gt;5,IF(MOD(COUNTIF(R$641:R750,1),7)=0,$C$4,0),0)</f>
        <v>177.345238095238</v>
      </c>
      <c r="S448" s="81" cm="1">
        <f ca="1" t="array" ref="S448">IF(S750=1,OFFSET($Z$338,$B448,S$335-1)/SUMPRODUCT(--($D$335:$V$335=S$335),--($D750:$V750=1)),0)+SUM(S447)+IF(COUNTIF(S$641:S750,1)=1,5,0)+IF(COUNTIF(T448:$Z448,"&gt;"&amp;0)&gt;5,IF(MOD(COUNTIF(S$641:S750,1),7)=0,$C$4,0),0)</f>
        <v>173.178571428572</v>
      </c>
      <c r="T448" s="81" cm="1">
        <f ca="1" t="array" ref="T448">IF(T750=1,OFFSET($Z$338,$B448,T$335-1)/SUMPRODUCT(--($D$335:$V$335=T$335),--($D750:$V750=1)),0)+SUM(T447)+IF(COUNTIF(T$641:T750,1)=1,5,0)+IF(COUNTIF(U448:$Z448,"&gt;"&amp;0)&gt;5,IF(MOD(COUNTIF(T$641:T750,1),7)=0,$C$4,0),0)</f>
        <v>125.737241238471</v>
      </c>
      <c r="U448" s="81" cm="1">
        <f ca="1" t="array" ref="U448">IF(U750=1,OFFSET($Z$338,$B448,U$335-1)/SUMPRODUCT(--($D$335:$V$335=U$335),--($D750:$V750=1)),0)+SUM(U447)+IF(COUNTIF(U$641:U750,1)=1,5,0)+IF(COUNTIF(V448:$Z448,"&gt;"&amp;0)&gt;5,IF(MOD(COUNTIF(U$641:U750,1),7)=0,$C$4,0),0)</f>
        <v>90.7372412384708</v>
      </c>
      <c r="V448" s="81" cm="1">
        <f ca="1" t="array" ref="V448">IF(V750=1,OFFSET($Z$338,$B448,V$335-1)/SUMPRODUCT(--($D$335:$V$335=V$335),--($D750:$V750=1)),0)+SUM(V447)+IF(COUNTIF(V$641:V750,1)=1,5,0)+IF(COUNTIF(Z448:$Z448,"&gt;"&amp;0)&gt;5,IF(MOD(COUNTIF(V$641:V750,1),7)=0,$C$4,0),0)</f>
        <v>82.7794220491889</v>
      </c>
      <c r="W448" s="81" cm="1">
        <f ca="1" t="array" ref="W448">IF(W750=1,OFFSET($Z$338,$B448,W$335-1)/SUMPRODUCT(--($D$335:$V$335=W$335),--($D750:$V750=1)),0)+SUM(W447)+IF(COUNTIF(W$641:W750,1)=1,5,0)+IF(COUNTIF($Z448:AA448,"&gt;"&amp;0)&gt;5,IF(MOD(COUNTIF(W$641:W750,1),7)=0,$C$4,0),0)</f>
        <v>73.4235529342396</v>
      </c>
      <c r="X448" s="81" cm="1">
        <f ca="1" t="array" ref="X448">IF(X750=1,OFFSET($Z$338,$B448,X$335-1)/SUMPRODUCT(--($D$335:$V$335=X$335),--($D750:$V750=1)),0)+SUM(X447)+IF(COUNTIF(X$641:X750,1)=1,5,0)+IF(COUNTIF($Z448:AB448,"&gt;"&amp;0)&gt;5,IF(MOD(COUNTIF(X$641:X750,1),7)=0,$C$4,0),0)</f>
        <v>66.6598926436061</v>
      </c>
      <c r="Y448" s="81" cm="1">
        <f ca="1" t="array" ref="Y448">IF(Y750=1,OFFSET($Z$338,$B448,Y$335-1)/SUMPRODUCT(--($D$335:$V$335=Y$335),--($D750:$V750=1)),0)+SUM(Y447)+IF(COUNTIF(Y$641:Y750,1)=1,5,0)+IF(COUNTIF($Z448:AC448,"&gt;"&amp;0)&gt;5,IF(MOD(COUNTIF(Y$641:Y750,1),7)=0,$C$4,0),0)</f>
        <v>59.8962323529727</v>
      </c>
      <c r="Z448" s="82" cm="1">
        <f ca="1" t="array" ref="Z448">SUMPRODUCT(TRANSPOSE($AD448:$AJ448),OFFSET($L$10:$L$16,0,Z$335-1))</f>
        <v>18.5352420711277</v>
      </c>
      <c r="AA448" s="82" cm="1">
        <f ca="1" t="array" ref="AA448">SUMPRODUCT(TRANSPOSE($AD448:$AJ448),OFFSET($L$10:$L$16,0,AA$335-1))</f>
        <v>22</v>
      </c>
      <c r="AB448" s="82" cm="1">
        <f ca="1" t="array" ref="AB448">SUMPRODUCT(TRANSPOSE($AD448:$AJ448),OFFSET($L$10:$L$16,0,AB$335-1))</f>
        <v>11</v>
      </c>
      <c r="AC448" s="82" cm="1">
        <f ca="1" t="array" ref="AC448">SUMPRODUCT(TRANSPOSE($AD448:$AJ448),OFFSET($L$10:$L$16,0,AC$335-1))</f>
        <v>3.46475792887232</v>
      </c>
      <c r="AD448" s="83">
        <f ca="1" t="shared" ref="AD448:AJ448" si="541">AK448-AK447</f>
        <v>0</v>
      </c>
      <c r="AE448" s="83">
        <f ca="1" t="shared" si="541"/>
        <v>0</v>
      </c>
      <c r="AF448" s="83">
        <f ca="1" t="shared" si="541"/>
        <v>0</v>
      </c>
      <c r="AG448" s="83">
        <f ca="1" t="shared" si="541"/>
        <v>0</v>
      </c>
      <c r="AH448" s="83">
        <f ca="1" t="shared" si="541"/>
        <v>0</v>
      </c>
      <c r="AI448" s="83">
        <f ca="1" t="shared" si="541"/>
        <v>110</v>
      </c>
      <c r="AJ448" s="83">
        <f ca="1" t="shared" si="541"/>
        <v>0</v>
      </c>
      <c r="AK448" s="83">
        <f ca="1" t="shared" si="451"/>
        <v>450</v>
      </c>
      <c r="AL448" s="83">
        <f ca="1" t="shared" ref="AL448:AQ448" si="542">IF($C448&gt;OFFSET($Q$9,MATCH(AL$338,$AK$338:$AQ$338,0),0),OFFSET($P$9,MATCH(AL$338,$AK$338:$AQ$338,0),0),MAX(0,$C448-OFFSET($Q$9,RIGHT(AL$338,1)-1,0)))</f>
        <v>909</v>
      </c>
      <c r="AM448" s="83">
        <f ca="1" t="shared" si="542"/>
        <v>1818</v>
      </c>
      <c r="AN448" s="83">
        <f ca="1" t="shared" si="542"/>
        <v>2727</v>
      </c>
      <c r="AO448" s="83">
        <f ca="1" t="shared" si="542"/>
        <v>3636</v>
      </c>
      <c r="AP448" s="83">
        <f ca="1" t="shared" si="542"/>
        <v>3886</v>
      </c>
      <c r="AQ448" s="83">
        <f ca="1" t="shared" si="542"/>
        <v>0</v>
      </c>
    </row>
    <row r="449" ht="16.5" spans="2:43">
      <c r="B449" s="65">
        <v>111</v>
      </c>
      <c r="C449" s="80">
        <f t="shared" si="449"/>
        <v>13536</v>
      </c>
      <c r="D449" s="81" cm="1">
        <f ca="1" t="array" ref="D449">IF(D751=1,OFFSET($Z$338,$B449,D$335-1)/SUMPRODUCT(--($D$335:$V$335=D$335),--($D751:$V751=1)),0)+SUM(D448)+IF(COUNTIF(D$641:D751,1)=1,5,0)+IF(COUNTIF(E449:$Z449,"&gt;"&amp;0)&gt;5,IF(MOD(COUNTIF(D$641:D751,1),7)=0,$C$4,0),0)</f>
        <v>1162.98544584833</v>
      </c>
      <c r="E449" s="81" cm="1">
        <f ca="1" t="array" ref="E449">IF(E751=1,OFFSET($Z$338,$B449,E$335-1)/SUMPRODUCT(--($D$335:$V$335=E$335),--($D751:$V751=1)),0)+SUM(E448)+IF(COUNTIF(E$641:E751,1)=1,5,0)+IF(COUNTIF(F449:$Z449,"&gt;"&amp;0)&gt;5,IF(MOD(COUNTIF(E$641:E751,1),7)=0,$C$4,0),0)</f>
        <v>1162.98544584833</v>
      </c>
      <c r="F449" s="81" cm="1">
        <f ca="1" t="array" ref="F449">IF(F751=1,OFFSET($Z$338,$B449,F$335-1)/SUMPRODUCT(--($D$335:$V$335=F$335),--($D751:$V751=1)),0)+SUM(F448)+IF(COUNTIF(F$641:F751,1)=1,5,0)+IF(COUNTIF(G449:$Z449,"&gt;"&amp;0)&gt;5,IF(MOD(COUNTIF(F$641:F751,1),7)=0,$C$4,0),0)</f>
        <v>1162.98544584833</v>
      </c>
      <c r="G449" s="81" cm="1">
        <f ca="1" t="array" ref="G449">IF(G751=1,OFFSET($Z$338,$B449,G$335-1)/SUMPRODUCT(--($D$335:$V$335=G$335),--($D751:$V751=1)),0)+SUM(G448)+IF(COUNTIF(G$641:G751,1)=1,5,0)+IF(COUNTIF(H449:$Z449,"&gt;"&amp;0)&gt;5,IF(MOD(COUNTIF(G$641:G751,1),7)=0,$C$4,0),0)</f>
        <v>464.216666666668</v>
      </c>
      <c r="H449" s="81" cm="1">
        <f ca="1" t="array" ref="H449">IF(H751=1,OFFSET($Z$338,$B449,H$335-1)/SUMPRODUCT(--($D$335:$V$335=H$335),--($D751:$V751=1)),0)+SUM(H448)+IF(COUNTIF(H$641:H751,1)=1,5,0)+IF(COUNTIF(I449:$Z449,"&gt;"&amp;0)&gt;5,IF(MOD(COUNTIF(H$641:H751,1),7)=0,$C$4,0),0)</f>
        <v>464.216666666668</v>
      </c>
      <c r="I449" s="81" cm="1">
        <f ca="1" t="array" ref="I449">IF(I751=1,OFFSET($Z$338,$B449,I$335-1)/SUMPRODUCT(--($D$335:$V$335=I$335),--($D751:$V751=1)),0)+SUM(I448)+IF(COUNTIF(I$641:I751,1)=1,5,0)+IF(COUNTIF(J449:$Z449,"&gt;"&amp;0)&gt;5,IF(MOD(COUNTIF(I$641:I751,1),7)=0,$C$4,0),0)</f>
        <v>464.216666666668</v>
      </c>
      <c r="J449" s="81" cm="1">
        <f ca="1" t="array" ref="J449">IF(J751=1,OFFSET($Z$338,$B449,J$335-1)/SUMPRODUCT(--($D$335:$V$335=J$335),--($D751:$V751=1)),0)+SUM(J448)+IF(COUNTIF(J$641:J751,1)=1,5,0)+IF(COUNTIF(K449:$Z449,"&gt;"&amp;0)&gt;5,IF(MOD(COUNTIF(J$641:J751,1),7)=0,$C$4,0),0)</f>
        <v>464.216666666668</v>
      </c>
      <c r="K449" s="81" cm="1">
        <f ca="1" t="array" ref="K449">IF(K751=1,OFFSET($Z$338,$B449,K$335-1)/SUMPRODUCT(--($D$335:$V$335=K$335),--($D751:$V751=1)),0)+SUM(K448)+IF(COUNTIF(K$641:K751,1)=1,5,0)+IF(COUNTIF(L449:$Z449,"&gt;"&amp;0)&gt;5,IF(MOD(COUNTIF(K$641:K751,1),7)=0,$C$4,0),0)</f>
        <v>464.216666666668</v>
      </c>
      <c r="L449" s="81" cm="1">
        <f ca="1" t="array" ref="L449">IF(L751=1,OFFSET($Z$338,$B449,L$335-1)/SUMPRODUCT(--($D$335:$V$335=L$335),--($D751:$V751=1)),0)+SUM(L448)+IF(COUNTIF(L$641:L751,1)=1,5,0)+IF(COUNTIF(M449:$Z449,"&gt;"&amp;0)&gt;5,IF(MOD(COUNTIF(L$641:L751,1),7)=0,$C$4,0),0)</f>
        <v>457.516666666668</v>
      </c>
      <c r="M449" s="81" cm="1">
        <f ca="1" t="array" ref="M449">IF(M751=1,OFFSET($Z$338,$B449,M$335-1)/SUMPRODUCT(--($D$335:$V$335=M$335),--($D751:$V751=1)),0)+SUM(M448)+IF(COUNTIF(M$641:M751,1)=1,5,0)+IF(COUNTIF(N449:$Z449,"&gt;"&amp;0)&gt;5,IF(MOD(COUNTIF(M$641:M751,1),7)=0,$C$4,0),0)</f>
        <v>222.80125</v>
      </c>
      <c r="N449" s="81" cm="1">
        <f ca="1" t="array" ref="N449">IF(N751=1,OFFSET($Z$338,$B449,N$335-1)/SUMPRODUCT(--($D$335:$V$335=N$335),--($D751:$V751=1)),0)+SUM(N448)+IF(COUNTIF(N$641:N751,1)=1,5,0)+IF(COUNTIF(O449:$Z449,"&gt;"&amp;0)&gt;5,IF(MOD(COUNTIF(N$641:N751,1),7)=0,$C$4,0),0)</f>
        <v>215.07625</v>
      </c>
      <c r="O449" s="81" cm="1">
        <f ca="1" t="array" ref="O449">IF(O751=1,OFFSET($Z$338,$B449,O$335-1)/SUMPRODUCT(--($D$335:$V$335=O$335),--($D751:$V751=1)),0)+SUM(O448)+IF(COUNTIF(O$641:O751,1)=1,5,0)+IF(COUNTIF(P449:$Z449,"&gt;"&amp;0)&gt;5,IF(MOD(COUNTIF(O$641:O751,1),7)=0,$C$4,0),0)</f>
        <v>212.65125</v>
      </c>
      <c r="P449" s="81" cm="1">
        <f ca="1" t="array" ref="P449">IF(P751=1,OFFSET($Z$338,$B449,P$335-1)/SUMPRODUCT(--($D$335:$V$335=P$335),--($D751:$V751=1)),0)+SUM(P448)+IF(COUNTIF(P$641:P751,1)=1,5,0)+IF(COUNTIF(Q449:$Z449,"&gt;"&amp;0)&gt;5,IF(MOD(COUNTIF(P$641:P751,1),7)=0,$C$4,0),0)</f>
        <v>209.717916666667</v>
      </c>
      <c r="Q449" s="81" cm="1">
        <f ca="1" t="array" ref="Q449">IF(Q751=1,OFFSET($Z$338,$B449,Q$335-1)/SUMPRODUCT(--($D$335:$V$335=Q$335),--($D751:$V751=1)),0)+SUM(Q448)+IF(COUNTIF(Q$641:Q751,1)=1,5,0)+IF(COUNTIF(R449:$Z449,"&gt;"&amp;0)&gt;5,IF(MOD(COUNTIF(Q$641:Q751,1),7)=0,$C$4,0),0)</f>
        <v>208.811666666667</v>
      </c>
      <c r="R449" s="81" cm="1">
        <f ca="1" t="array" ref="R449">IF(R751=1,OFFSET($Z$338,$B449,R$335-1)/SUMPRODUCT(--($D$335:$V$335=R$335),--($D751:$V751=1)),0)+SUM(R448)+IF(COUNTIF(R$641:R751,1)=1,5,0)+IF(COUNTIF(S449:$Z449,"&gt;"&amp;0)&gt;5,IF(MOD(COUNTIF(R$641:R751,1),7)=0,$C$4,0),0)</f>
        <v>178.916666666667</v>
      </c>
      <c r="S449" s="81" cm="1">
        <f ca="1" t="array" ref="S449">IF(S751=1,OFFSET($Z$338,$B449,S$335-1)/SUMPRODUCT(--($D$335:$V$335=S$335),--($D751:$V751=1)),0)+SUM(S448)+IF(COUNTIF(S$641:S751,1)=1,5,0)+IF(COUNTIF(T449:$Z449,"&gt;"&amp;0)&gt;5,IF(MOD(COUNTIF(S$641:S751,1),7)=0,$C$4,0),0)</f>
        <v>174.75</v>
      </c>
      <c r="T449" s="81" cm="1">
        <f ca="1" t="array" ref="T449">IF(T751=1,OFFSET($Z$338,$B449,T$335-1)/SUMPRODUCT(--($D$335:$V$335=T$335),--($D751:$V751=1)),0)+SUM(T448)+IF(COUNTIF(T$641:T751,1)=1,5,0)+IF(COUNTIF(U449:$Z449,"&gt;"&amp;0)&gt;5,IF(MOD(COUNTIF(T$641:T751,1),7)=0,$C$4,0),0)</f>
        <v>131.892160548095</v>
      </c>
      <c r="U449" s="81" cm="1">
        <f ca="1" t="array" ref="U449">IF(U751=1,OFFSET($Z$338,$B449,U$335-1)/SUMPRODUCT(--($D$335:$V$335=U$335),--($D751:$V751=1)),0)+SUM(U448)+IF(COUNTIF(U$641:U751,1)=1,5,0)+IF(COUNTIF(V449:$Z449,"&gt;"&amp;0)&gt;5,IF(MOD(COUNTIF(U$641:U751,1),7)=0,$C$4,0),0)</f>
        <v>91.8921605480949</v>
      </c>
      <c r="V449" s="81" cm="1">
        <f ca="1" t="array" ref="V449">IF(V751=1,OFFSET($Z$338,$B449,V$335-1)/SUMPRODUCT(--($D$335:$V$335=V$335),--($D751:$V751=1)),0)+SUM(V448)+IF(COUNTIF(V$641:V751,1)=1,5,0)+IF(COUNTIF(Z449:$Z449,"&gt;"&amp;0)&gt;5,IF(MOD(COUNTIF(V$641:V751,1),7)=0,$C$4,0),0)</f>
        <v>83.934341358813</v>
      </c>
      <c r="W449" s="81" cm="1">
        <f ca="1" t="array" ref="W449">IF(W751=1,OFFSET($Z$338,$B449,W$335-1)/SUMPRODUCT(--($D$335:$V$335=W$335),--($D751:$V751=1)),0)+SUM(W448)+IF(COUNTIF(W$641:W751,1)=1,5,0)+IF(COUNTIF($Z449:AA449,"&gt;"&amp;0)&gt;5,IF(MOD(COUNTIF(W$641:W751,1),7)=0,$C$4,0),0)</f>
        <v>74.5784722438637</v>
      </c>
      <c r="X449" s="81" cm="1">
        <f ca="1" t="array" ref="X449">IF(X751=1,OFFSET($Z$338,$B449,X$335-1)/SUMPRODUCT(--($D$335:$V$335=X$335),--($D751:$V751=1)),0)+SUM(X448)+IF(COUNTIF(X$641:X751,1)=1,5,0)+IF(COUNTIF($Z449:AB449,"&gt;"&amp;0)&gt;5,IF(MOD(COUNTIF(X$641:X751,1),7)=0,$C$4,0),0)</f>
        <v>67.8148119532302</v>
      </c>
      <c r="Y449" s="81" cm="1">
        <f ca="1" t="array" ref="Y449">IF(Y751=1,OFFSET($Z$338,$B449,Y$335-1)/SUMPRODUCT(--($D$335:$V$335=Y$335),--($D751:$V751=1)),0)+SUM(Y448)+IF(COUNTIF(Y$641:Y751,1)=1,5,0)+IF(COUNTIF($Z449:AC449,"&gt;"&amp;0)&gt;5,IF(MOD(COUNTIF(Y$641:Y751,1),7)=0,$C$4,0),0)</f>
        <v>61.0511516625968</v>
      </c>
      <c r="Z449" s="82" cm="1">
        <f ca="1" t="array" ref="Z449">SUMPRODUCT(TRANSPOSE($AD449:$AJ449),OFFSET($L$10:$L$16,0,Z$335-1))</f>
        <v>18.5352420711277</v>
      </c>
      <c r="AA449" s="82" cm="1">
        <f ca="1" t="array" ref="AA449">SUMPRODUCT(TRANSPOSE($AD449:$AJ449),OFFSET($L$10:$L$16,0,AA$335-1))</f>
        <v>22</v>
      </c>
      <c r="AB449" s="82" cm="1">
        <f ca="1" t="array" ref="AB449">SUMPRODUCT(TRANSPOSE($AD449:$AJ449),OFFSET($L$10:$L$16,0,AB$335-1))</f>
        <v>11</v>
      </c>
      <c r="AC449" s="82" cm="1">
        <f ca="1" t="array" ref="AC449">SUMPRODUCT(TRANSPOSE($AD449:$AJ449),OFFSET($L$10:$L$16,0,AC$335-1))</f>
        <v>3.46475792887232</v>
      </c>
      <c r="AD449" s="83">
        <f ca="1" t="shared" ref="AD449:AJ449" si="543">AK449-AK448</f>
        <v>0</v>
      </c>
      <c r="AE449" s="83">
        <f ca="1" t="shared" si="543"/>
        <v>0</v>
      </c>
      <c r="AF449" s="83">
        <f ca="1" t="shared" si="543"/>
        <v>0</v>
      </c>
      <c r="AG449" s="83">
        <f ca="1" t="shared" si="543"/>
        <v>0</v>
      </c>
      <c r="AH449" s="83">
        <f ca="1" t="shared" si="543"/>
        <v>0</v>
      </c>
      <c r="AI449" s="83">
        <f ca="1" t="shared" si="543"/>
        <v>110</v>
      </c>
      <c r="AJ449" s="83">
        <f ca="1" t="shared" si="543"/>
        <v>0</v>
      </c>
      <c r="AK449" s="83">
        <f ca="1" t="shared" si="451"/>
        <v>450</v>
      </c>
      <c r="AL449" s="83">
        <f ca="1" t="shared" ref="AL449:AQ449" si="544">IF($C449&gt;OFFSET($Q$9,MATCH(AL$338,$AK$338:$AQ$338,0),0),OFFSET($P$9,MATCH(AL$338,$AK$338:$AQ$338,0),0),MAX(0,$C449-OFFSET($Q$9,RIGHT(AL$338,1)-1,0)))</f>
        <v>909</v>
      </c>
      <c r="AM449" s="83">
        <f ca="1" t="shared" si="544"/>
        <v>1818</v>
      </c>
      <c r="AN449" s="83">
        <f ca="1" t="shared" si="544"/>
        <v>2727</v>
      </c>
      <c r="AO449" s="83">
        <f ca="1" t="shared" si="544"/>
        <v>3636</v>
      </c>
      <c r="AP449" s="83">
        <f ca="1" t="shared" si="544"/>
        <v>3996</v>
      </c>
      <c r="AQ449" s="83">
        <f ca="1" t="shared" si="544"/>
        <v>0</v>
      </c>
    </row>
    <row r="450" ht="16.5" spans="2:43">
      <c r="B450" s="65">
        <v>112</v>
      </c>
      <c r="C450" s="80">
        <f t="shared" si="449"/>
        <v>13646</v>
      </c>
      <c r="D450" s="81" cm="1">
        <f ca="1" t="array" ref="D450">IF(D752=1,OFFSET($Z$338,$B450,D$335-1)/SUMPRODUCT(--($D$335:$V$335=D$335),--($D752:$V752=1)),0)+SUM(D449)+IF(COUNTIF(D$641:D752,1)=1,5,0)+IF(COUNTIF(E450:$Z450,"&gt;"&amp;0)&gt;5,IF(MOD(COUNTIF(D$641:D752,1),7)=0,$C$4,0),0)</f>
        <v>1174.16385987204</v>
      </c>
      <c r="E450" s="81" cm="1">
        <f ca="1" t="array" ref="E450">IF(E752=1,OFFSET($Z$338,$B450,E$335-1)/SUMPRODUCT(--($D$335:$V$335=E$335),--($D752:$V752=1)),0)+SUM(E449)+IF(COUNTIF(E$641:E752,1)=1,5,0)+IF(COUNTIF(F450:$Z450,"&gt;"&amp;0)&gt;5,IF(MOD(COUNTIF(E$641:E752,1),7)=0,$C$4,0),0)</f>
        <v>1174.16385987204</v>
      </c>
      <c r="F450" s="81" cm="1">
        <f ca="1" t="array" ref="F450">IF(F752=1,OFFSET($Z$338,$B450,F$335-1)/SUMPRODUCT(--($D$335:$V$335=F$335),--($D752:$V752=1)),0)+SUM(F449)+IF(COUNTIF(F$641:F752,1)=1,5,0)+IF(COUNTIF(G450:$Z450,"&gt;"&amp;0)&gt;5,IF(MOD(COUNTIF(F$641:F752,1),7)=0,$C$4,0),0)</f>
        <v>1174.16385987204</v>
      </c>
      <c r="G450" s="81" cm="1">
        <f ca="1" t="array" ref="G450">IF(G752=1,OFFSET($Z$338,$B450,G$335-1)/SUMPRODUCT(--($D$335:$V$335=G$335),--($D752:$V752=1)),0)+SUM(G449)+IF(COUNTIF(G$641:G752,1)=1,5,0)+IF(COUNTIF(H450:$Z450,"&gt;"&amp;0)&gt;5,IF(MOD(COUNTIF(G$641:G752,1),7)=0,$C$4,0),0)</f>
        <v>472.883333333334</v>
      </c>
      <c r="H450" s="81" cm="1">
        <f ca="1" t="array" ref="H450">IF(H752=1,OFFSET($Z$338,$B450,H$335-1)/SUMPRODUCT(--($D$335:$V$335=H$335),--($D752:$V752=1)),0)+SUM(H449)+IF(COUNTIF(H$641:H752,1)=1,5,0)+IF(COUNTIF(I450:$Z450,"&gt;"&amp;0)&gt;5,IF(MOD(COUNTIF(H$641:H752,1),7)=0,$C$4,0),0)</f>
        <v>472.883333333334</v>
      </c>
      <c r="I450" s="81" cm="1">
        <f ca="1" t="array" ref="I450">IF(I752=1,OFFSET($Z$338,$B450,I$335-1)/SUMPRODUCT(--($D$335:$V$335=I$335),--($D752:$V752=1)),0)+SUM(I449)+IF(COUNTIF(I$641:I752,1)=1,5,0)+IF(COUNTIF(J450:$Z450,"&gt;"&amp;0)&gt;5,IF(MOD(COUNTIF(I$641:I752,1),7)=0,$C$4,0),0)</f>
        <v>472.883333333334</v>
      </c>
      <c r="J450" s="81" cm="1">
        <f ca="1" t="array" ref="J450">IF(J752=1,OFFSET($Z$338,$B450,J$335-1)/SUMPRODUCT(--($D$335:$V$335=J$335),--($D752:$V752=1)),0)+SUM(J449)+IF(COUNTIF(J$641:J752,1)=1,5,0)+IF(COUNTIF(K450:$Z450,"&gt;"&amp;0)&gt;5,IF(MOD(COUNTIF(J$641:J752,1),7)=0,$C$4,0),0)</f>
        <v>472.883333333334</v>
      </c>
      <c r="K450" s="81" cm="1">
        <f ca="1" t="array" ref="K450">IF(K752=1,OFFSET($Z$338,$B450,K$335-1)/SUMPRODUCT(--($D$335:$V$335=K$335),--($D752:$V752=1)),0)+SUM(K449)+IF(COUNTIF(K$641:K752,1)=1,5,0)+IF(COUNTIF(L450:$Z450,"&gt;"&amp;0)&gt;5,IF(MOD(COUNTIF(K$641:K752,1),7)=0,$C$4,0),0)</f>
        <v>472.883333333334</v>
      </c>
      <c r="L450" s="81" cm="1">
        <f ca="1" t="array" ref="L450">IF(L752=1,OFFSET($Z$338,$B450,L$335-1)/SUMPRODUCT(--($D$335:$V$335=L$335),--($D752:$V752=1)),0)+SUM(L449)+IF(COUNTIF(L$641:L752,1)=1,5,0)+IF(COUNTIF(M450:$Z450,"&gt;"&amp;0)&gt;5,IF(MOD(COUNTIF(L$641:L752,1),7)=0,$C$4,0),0)</f>
        <v>461.183333333334</v>
      </c>
      <c r="M450" s="81" cm="1">
        <f ca="1" t="array" ref="M450">IF(M752=1,OFFSET($Z$338,$B450,M$335-1)/SUMPRODUCT(--($D$335:$V$335=M$335),--($D752:$V752=1)),0)+SUM(M449)+IF(COUNTIF(M$641:M752,1)=1,5,0)+IF(COUNTIF(N450:$Z450,"&gt;"&amp;0)&gt;5,IF(MOD(COUNTIF(M$641:M752,1),7)=0,$C$4,0),0)</f>
        <v>224.372678571429</v>
      </c>
      <c r="N450" s="81" cm="1">
        <f ca="1" t="array" ref="N450">IF(N752=1,OFFSET($Z$338,$B450,N$335-1)/SUMPRODUCT(--($D$335:$V$335=N$335),--($D752:$V752=1)),0)+SUM(N449)+IF(COUNTIF(N$641:N752,1)=1,5,0)+IF(COUNTIF(O450:$Z450,"&gt;"&amp;0)&gt;5,IF(MOD(COUNTIF(N$641:N752,1),7)=0,$C$4,0),0)</f>
        <v>216.647678571429</v>
      </c>
      <c r="O450" s="81" cm="1">
        <f ca="1" t="array" ref="O450">IF(O752=1,OFFSET($Z$338,$B450,O$335-1)/SUMPRODUCT(--($D$335:$V$335=O$335),--($D752:$V752=1)),0)+SUM(O449)+IF(COUNTIF(O$641:O752,1)=1,5,0)+IF(COUNTIF(P450:$Z450,"&gt;"&amp;0)&gt;5,IF(MOD(COUNTIF(O$641:O752,1),7)=0,$C$4,0),0)</f>
        <v>214.222678571429</v>
      </c>
      <c r="P450" s="81" cm="1">
        <f ca="1" t="array" ref="P450">IF(P752=1,OFFSET($Z$338,$B450,P$335-1)/SUMPRODUCT(--($D$335:$V$335=P$335),--($D752:$V752=1)),0)+SUM(P449)+IF(COUNTIF(P$641:P752,1)=1,5,0)+IF(COUNTIF(Q450:$Z450,"&gt;"&amp;0)&gt;5,IF(MOD(COUNTIF(P$641:P752,1),7)=0,$C$4,0),0)</f>
        <v>211.289345238096</v>
      </c>
      <c r="Q450" s="81" cm="1">
        <f ca="1" t="array" ref="Q450">IF(Q752=1,OFFSET($Z$338,$B450,Q$335-1)/SUMPRODUCT(--($D$335:$V$335=Q$335),--($D752:$V752=1)),0)+SUM(Q449)+IF(COUNTIF(Q$641:Q752,1)=1,5,0)+IF(COUNTIF(R450:$Z450,"&gt;"&amp;0)&gt;5,IF(MOD(COUNTIF(Q$641:Q752,1),7)=0,$C$4,0),0)</f>
        <v>210.383095238096</v>
      </c>
      <c r="R450" s="81" cm="1">
        <f ca="1" t="array" ref="R450">IF(R752=1,OFFSET($Z$338,$B450,R$335-1)/SUMPRODUCT(--($D$335:$V$335=R$335),--($D752:$V752=1)),0)+SUM(R449)+IF(COUNTIF(R$641:R752,1)=1,5,0)+IF(COUNTIF(S450:$Z450,"&gt;"&amp;0)&gt;5,IF(MOD(COUNTIF(R$641:R752,1),7)=0,$C$4,0),0)</f>
        <v>185.488095238095</v>
      </c>
      <c r="S450" s="81" cm="1">
        <f ca="1" t="array" ref="S450">IF(S752=1,OFFSET($Z$338,$B450,S$335-1)/SUMPRODUCT(--($D$335:$V$335=S$335),--($D752:$V752=1)),0)+SUM(S449)+IF(COUNTIF(S$641:S752,1)=1,5,0)+IF(COUNTIF(T450:$Z450,"&gt;"&amp;0)&gt;5,IF(MOD(COUNTIF(S$641:S752,1),7)=0,$C$4,0),0)</f>
        <v>176.321428571429</v>
      </c>
      <c r="T450" s="81" cm="1">
        <f ca="1" t="array" ref="T450">IF(T752=1,OFFSET($Z$338,$B450,T$335-1)/SUMPRODUCT(--($D$335:$V$335=T$335),--($D752:$V752=1)),0)+SUM(T449)+IF(COUNTIF(T$641:T752,1)=1,5,0)+IF(COUNTIF(U450:$Z450,"&gt;"&amp;0)&gt;5,IF(MOD(COUNTIF(T$641:T752,1),7)=0,$C$4,0),0)</f>
        <v>133.047079857719</v>
      </c>
      <c r="U450" s="81" cm="1">
        <f ca="1" t="array" ref="U450">IF(U752=1,OFFSET($Z$338,$B450,U$335-1)/SUMPRODUCT(--($D$335:$V$335=U$335),--($D752:$V752=1)),0)+SUM(U449)+IF(COUNTIF(U$641:U752,1)=1,5,0)+IF(COUNTIF(V450:$Z450,"&gt;"&amp;0)&gt;5,IF(MOD(COUNTIF(U$641:U752,1),7)=0,$C$4,0),0)</f>
        <v>93.047079857719</v>
      </c>
      <c r="V450" s="81" cm="1">
        <f ca="1" t="array" ref="V450">IF(V752=1,OFFSET($Z$338,$B450,V$335-1)/SUMPRODUCT(--($D$335:$V$335=V$335),--($D752:$V752=1)),0)+SUM(V449)+IF(COUNTIF(V$641:V752,1)=1,5,0)+IF(COUNTIF(Z450:$Z450,"&gt;"&amp;0)&gt;5,IF(MOD(COUNTIF(V$641:V752,1),7)=0,$C$4,0),0)</f>
        <v>85.0892606684371</v>
      </c>
      <c r="W450" s="81" cm="1">
        <f ca="1" t="array" ref="W450">IF(W752=1,OFFSET($Z$338,$B450,W$335-1)/SUMPRODUCT(--($D$335:$V$335=W$335),--($D752:$V752=1)),0)+SUM(W449)+IF(COUNTIF(W$641:W752,1)=1,5,0)+IF(COUNTIF($Z450:AA450,"&gt;"&amp;0)&gt;5,IF(MOD(COUNTIF(W$641:W752,1),7)=0,$C$4,0),0)</f>
        <v>75.7333915534878</v>
      </c>
      <c r="X450" s="81" cm="1">
        <f ca="1" t="array" ref="X450">IF(X752=1,OFFSET($Z$338,$B450,X$335-1)/SUMPRODUCT(--($D$335:$V$335=X$335),--($D752:$V752=1)),0)+SUM(X449)+IF(COUNTIF(X$641:X752,1)=1,5,0)+IF(COUNTIF($Z450:AB450,"&gt;"&amp;0)&gt;5,IF(MOD(COUNTIF(X$641:X752,1),7)=0,$C$4,0),0)</f>
        <v>68.9697312628543</v>
      </c>
      <c r="Y450" s="81" cm="1">
        <f ca="1" t="array" ref="Y450">IF(Y752=1,OFFSET($Z$338,$B450,Y$335-1)/SUMPRODUCT(--($D$335:$V$335=Y$335),--($D752:$V752=1)),0)+SUM(Y449)+IF(COUNTIF(Y$641:Y752,1)=1,5,0)+IF(COUNTIF($Z450:AC450,"&gt;"&amp;0)&gt;5,IF(MOD(COUNTIF(Y$641:Y752,1),7)=0,$C$4,0),0)</f>
        <v>62.2060709722209</v>
      </c>
      <c r="Z450" s="82" cm="1">
        <f ca="1" t="array" ref="Z450">SUMPRODUCT(TRANSPOSE($AD450:$AJ450),OFFSET($L$10:$L$16,0,Z$335-1))</f>
        <v>18.5352420711277</v>
      </c>
      <c r="AA450" s="82" cm="1">
        <f ca="1" t="array" ref="AA450">SUMPRODUCT(TRANSPOSE($AD450:$AJ450),OFFSET($L$10:$L$16,0,AA$335-1))</f>
        <v>22</v>
      </c>
      <c r="AB450" s="82" cm="1">
        <f ca="1" t="array" ref="AB450">SUMPRODUCT(TRANSPOSE($AD450:$AJ450),OFFSET($L$10:$L$16,0,AB$335-1))</f>
        <v>11</v>
      </c>
      <c r="AC450" s="82" cm="1">
        <f ca="1" t="array" ref="AC450">SUMPRODUCT(TRANSPOSE($AD450:$AJ450),OFFSET($L$10:$L$16,0,AC$335-1))</f>
        <v>3.46475792887232</v>
      </c>
      <c r="AD450" s="83">
        <f ca="1" t="shared" ref="AD450:AJ450" si="545">AK450-AK449</f>
        <v>0</v>
      </c>
      <c r="AE450" s="83">
        <f ca="1" t="shared" si="545"/>
        <v>0</v>
      </c>
      <c r="AF450" s="83">
        <f ca="1" t="shared" si="545"/>
        <v>0</v>
      </c>
      <c r="AG450" s="83">
        <f ca="1" t="shared" si="545"/>
        <v>0</v>
      </c>
      <c r="AH450" s="83">
        <f ca="1" t="shared" si="545"/>
        <v>0</v>
      </c>
      <c r="AI450" s="83">
        <f ca="1" t="shared" si="545"/>
        <v>110</v>
      </c>
      <c r="AJ450" s="83">
        <f ca="1" t="shared" si="545"/>
        <v>0</v>
      </c>
      <c r="AK450" s="83">
        <f ca="1" t="shared" si="451"/>
        <v>450</v>
      </c>
      <c r="AL450" s="83">
        <f ca="1" t="shared" ref="AL450:AQ450" si="546">IF($C450&gt;OFFSET($Q$9,MATCH(AL$338,$AK$338:$AQ$338,0),0),OFFSET($P$9,MATCH(AL$338,$AK$338:$AQ$338,0),0),MAX(0,$C450-OFFSET($Q$9,RIGHT(AL$338,1)-1,0)))</f>
        <v>909</v>
      </c>
      <c r="AM450" s="83">
        <f ca="1" t="shared" si="546"/>
        <v>1818</v>
      </c>
      <c r="AN450" s="83">
        <f ca="1" t="shared" si="546"/>
        <v>2727</v>
      </c>
      <c r="AO450" s="83">
        <f ca="1" t="shared" si="546"/>
        <v>3636</v>
      </c>
      <c r="AP450" s="83">
        <f ca="1" t="shared" si="546"/>
        <v>4106</v>
      </c>
      <c r="AQ450" s="83">
        <f ca="1" t="shared" si="546"/>
        <v>0</v>
      </c>
    </row>
    <row r="451" ht="16.5" spans="2:43">
      <c r="B451" s="65">
        <v>113</v>
      </c>
      <c r="C451" s="80">
        <f t="shared" si="449"/>
        <v>13756</v>
      </c>
      <c r="D451" s="81" cm="1">
        <f ca="1" t="array" ref="D451">IF(D753=1,OFFSET($Z$338,$B451,D$335-1)/SUMPRODUCT(--($D$335:$V$335=D$335),--($D753:$V753=1)),0)+SUM(D450)+IF(COUNTIF(D$641:D753,1)=1,5,0)+IF(COUNTIF(E451:$Z451,"&gt;"&amp;0)&gt;5,IF(MOD(COUNTIF(D$641:D753,1),7)=0,$C$4,0),0)</f>
        <v>1180.34227389575</v>
      </c>
      <c r="E451" s="81" cm="1">
        <f ca="1" t="array" ref="E451">IF(E753=1,OFFSET($Z$338,$B451,E$335-1)/SUMPRODUCT(--($D$335:$V$335=E$335),--($D753:$V753=1)),0)+SUM(E450)+IF(COUNTIF(E$641:E753,1)=1,5,0)+IF(COUNTIF(F451:$Z451,"&gt;"&amp;0)&gt;5,IF(MOD(COUNTIF(E$641:E753,1),7)=0,$C$4,0),0)</f>
        <v>1180.34227389575</v>
      </c>
      <c r="F451" s="81" cm="1">
        <f ca="1" t="array" ref="F451">IF(F753=1,OFFSET($Z$338,$B451,F$335-1)/SUMPRODUCT(--($D$335:$V$335=F$335),--($D753:$V753=1)),0)+SUM(F450)+IF(COUNTIF(F$641:F753,1)=1,5,0)+IF(COUNTIF(G451:$Z451,"&gt;"&amp;0)&gt;5,IF(MOD(COUNTIF(F$641:F753,1),7)=0,$C$4,0),0)</f>
        <v>1180.34227389575</v>
      </c>
      <c r="G451" s="81" cm="1">
        <f ca="1" t="array" ref="G451">IF(G753=1,OFFSET($Z$338,$B451,G$335-1)/SUMPRODUCT(--($D$335:$V$335=G$335),--($D753:$V753=1)),0)+SUM(G450)+IF(COUNTIF(G$641:G753,1)=1,5,0)+IF(COUNTIF(H451:$Z451,"&gt;"&amp;0)&gt;5,IF(MOD(COUNTIF(G$641:G753,1),7)=0,$C$4,0),0)</f>
        <v>476.550000000001</v>
      </c>
      <c r="H451" s="81" cm="1">
        <f ca="1" t="array" ref="H451">IF(H753=1,OFFSET($Z$338,$B451,H$335-1)/SUMPRODUCT(--($D$335:$V$335=H$335),--($D753:$V753=1)),0)+SUM(H450)+IF(COUNTIF(H$641:H753,1)=1,5,0)+IF(COUNTIF(I451:$Z451,"&gt;"&amp;0)&gt;5,IF(MOD(COUNTIF(H$641:H753,1),7)=0,$C$4,0),0)</f>
        <v>476.550000000001</v>
      </c>
      <c r="I451" s="81" cm="1">
        <f ca="1" t="array" ref="I451">IF(I753=1,OFFSET($Z$338,$B451,I$335-1)/SUMPRODUCT(--($D$335:$V$335=I$335),--($D753:$V753=1)),0)+SUM(I450)+IF(COUNTIF(I$641:I753,1)=1,5,0)+IF(COUNTIF(J451:$Z451,"&gt;"&amp;0)&gt;5,IF(MOD(COUNTIF(I$641:I753,1),7)=0,$C$4,0),0)</f>
        <v>476.550000000001</v>
      </c>
      <c r="J451" s="81" cm="1">
        <f ca="1" t="array" ref="J451">IF(J753=1,OFFSET($Z$338,$B451,J$335-1)/SUMPRODUCT(--($D$335:$V$335=J$335),--($D753:$V753=1)),0)+SUM(J450)+IF(COUNTIF(J$641:J753,1)=1,5,0)+IF(COUNTIF(K451:$Z451,"&gt;"&amp;0)&gt;5,IF(MOD(COUNTIF(J$641:J753,1),7)=0,$C$4,0),0)</f>
        <v>476.550000000001</v>
      </c>
      <c r="K451" s="81" cm="1">
        <f ca="1" t="array" ref="K451">IF(K753=1,OFFSET($Z$338,$B451,K$335-1)/SUMPRODUCT(--($D$335:$V$335=K$335),--($D753:$V753=1)),0)+SUM(K450)+IF(COUNTIF(K$641:K753,1)=1,5,0)+IF(COUNTIF(L451:$Z451,"&gt;"&amp;0)&gt;5,IF(MOD(COUNTIF(K$641:K753,1),7)=0,$C$4,0),0)</f>
        <v>476.550000000001</v>
      </c>
      <c r="L451" s="81" cm="1">
        <f ca="1" t="array" ref="L451">IF(L753=1,OFFSET($Z$338,$B451,L$335-1)/SUMPRODUCT(--($D$335:$V$335=L$335),--($D753:$V753=1)),0)+SUM(L450)+IF(COUNTIF(L$641:L753,1)=1,5,0)+IF(COUNTIF(M451:$Z451,"&gt;"&amp;0)&gt;5,IF(MOD(COUNTIF(L$641:L753,1),7)=0,$C$4,0),0)</f>
        <v>469.850000000001</v>
      </c>
      <c r="M451" s="81" cm="1">
        <f ca="1" t="array" ref="M451">IF(M753=1,OFFSET($Z$338,$B451,M$335-1)/SUMPRODUCT(--($D$335:$V$335=M$335),--($D753:$V753=1)),0)+SUM(M450)+IF(COUNTIF(M$641:M753,1)=1,5,0)+IF(COUNTIF(N451:$Z451,"&gt;"&amp;0)&gt;5,IF(MOD(COUNTIF(M$641:M753,1),7)=0,$C$4,0),0)</f>
        <v>230.944107142858</v>
      </c>
      <c r="N451" s="81" cm="1">
        <f ca="1" t="array" ref="N451">IF(N753=1,OFFSET($Z$338,$B451,N$335-1)/SUMPRODUCT(--($D$335:$V$335=N$335),--($D753:$V753=1)),0)+SUM(N450)+IF(COUNTIF(N$641:N753,1)=1,5,0)+IF(COUNTIF(O451:$Z451,"&gt;"&amp;0)&gt;5,IF(MOD(COUNTIF(N$641:N753,1),7)=0,$C$4,0),0)</f>
        <v>218.219107142857</v>
      </c>
      <c r="O451" s="81" cm="1">
        <f ca="1" t="array" ref="O451">IF(O753=1,OFFSET($Z$338,$B451,O$335-1)/SUMPRODUCT(--($D$335:$V$335=O$335),--($D753:$V753=1)),0)+SUM(O450)+IF(COUNTIF(O$641:O753,1)=1,5,0)+IF(COUNTIF(P451:$Z451,"&gt;"&amp;0)&gt;5,IF(MOD(COUNTIF(O$641:O753,1),7)=0,$C$4,0),0)</f>
        <v>215.794107142857</v>
      </c>
      <c r="P451" s="81" cm="1">
        <f ca="1" t="array" ref="P451">IF(P753=1,OFFSET($Z$338,$B451,P$335-1)/SUMPRODUCT(--($D$335:$V$335=P$335),--($D753:$V753=1)),0)+SUM(P450)+IF(COUNTIF(P$641:P753,1)=1,5,0)+IF(COUNTIF(Q451:$Z451,"&gt;"&amp;0)&gt;5,IF(MOD(COUNTIF(P$641:P753,1),7)=0,$C$4,0),0)</f>
        <v>212.860773809524</v>
      </c>
      <c r="Q451" s="81" cm="1">
        <f ca="1" t="array" ref="Q451">IF(Q753=1,OFFSET($Z$338,$B451,Q$335-1)/SUMPRODUCT(--($D$335:$V$335=Q$335),--($D753:$V753=1)),0)+SUM(Q450)+IF(COUNTIF(Q$641:Q753,1)=1,5,0)+IF(COUNTIF(R451:$Z451,"&gt;"&amp;0)&gt;5,IF(MOD(COUNTIF(Q$641:Q753,1),7)=0,$C$4,0),0)</f>
        <v>211.954523809524</v>
      </c>
      <c r="R451" s="81" cm="1">
        <f ca="1" t="array" ref="R451">IF(R753=1,OFFSET($Z$338,$B451,R$335-1)/SUMPRODUCT(--($D$335:$V$335=R$335),--($D753:$V753=1)),0)+SUM(R450)+IF(COUNTIF(R$641:R753,1)=1,5,0)+IF(COUNTIF(S451:$Z451,"&gt;"&amp;0)&gt;5,IF(MOD(COUNTIF(R$641:R753,1),7)=0,$C$4,0),0)</f>
        <v>187.059523809524</v>
      </c>
      <c r="S451" s="81" cm="1">
        <f ca="1" t="array" ref="S451">IF(S753=1,OFFSET($Z$338,$B451,S$335-1)/SUMPRODUCT(--($D$335:$V$335=S$335),--($D753:$V753=1)),0)+SUM(S450)+IF(COUNTIF(S$641:S753,1)=1,5,0)+IF(COUNTIF(T451:$Z451,"&gt;"&amp;0)&gt;5,IF(MOD(COUNTIF(S$641:S753,1),7)=0,$C$4,0),0)</f>
        <v>177.892857142857</v>
      </c>
      <c r="T451" s="81" cm="1">
        <f ca="1" t="array" ref="T451">IF(T753=1,OFFSET($Z$338,$B451,T$335-1)/SUMPRODUCT(--($D$335:$V$335=T$335),--($D753:$V753=1)),0)+SUM(T450)+IF(COUNTIF(T$641:T753,1)=1,5,0)+IF(COUNTIF(U451:$Z451,"&gt;"&amp;0)&gt;5,IF(MOD(COUNTIF(T$641:T753,1),7)=0,$C$4,0),0)</f>
        <v>134.201999167343</v>
      </c>
      <c r="U451" s="81" cm="1">
        <f ca="1" t="array" ref="U451">IF(U753=1,OFFSET($Z$338,$B451,U$335-1)/SUMPRODUCT(--($D$335:$V$335=U$335),--($D753:$V753=1)),0)+SUM(U450)+IF(COUNTIF(U$641:U753,1)=1,5,0)+IF(COUNTIF(V451:$Z451,"&gt;"&amp;0)&gt;5,IF(MOD(COUNTIF(U$641:U753,1),7)=0,$C$4,0),0)</f>
        <v>94.2019991673431</v>
      </c>
      <c r="V451" s="81" cm="1">
        <f ca="1" t="array" ref="V451">IF(V753=1,OFFSET($Z$338,$B451,V$335-1)/SUMPRODUCT(--($D$335:$V$335=V$335),--($D753:$V753=1)),0)+SUM(V450)+IF(COUNTIF(V$641:V753,1)=1,5,0)+IF(COUNTIF(Z451:$Z451,"&gt;"&amp;0)&gt;5,IF(MOD(COUNTIF(V$641:V753,1),7)=0,$C$4,0),0)</f>
        <v>86.2441799780612</v>
      </c>
      <c r="W451" s="81" cm="1">
        <f ca="1" t="array" ref="W451">IF(W753=1,OFFSET($Z$338,$B451,W$335-1)/SUMPRODUCT(--($D$335:$V$335=W$335),--($D753:$V753=1)),0)+SUM(W450)+IF(COUNTIF(W$641:W753,1)=1,5,0)+IF(COUNTIF($Z451:AA451,"&gt;"&amp;0)&gt;5,IF(MOD(COUNTIF(W$641:W753,1),7)=0,$C$4,0),0)</f>
        <v>76.8883108631119</v>
      </c>
      <c r="X451" s="81" cm="1">
        <f ca="1" t="array" ref="X451">IF(X753=1,OFFSET($Z$338,$B451,X$335-1)/SUMPRODUCT(--($D$335:$V$335=X$335),--($D753:$V753=1)),0)+SUM(X450)+IF(COUNTIF(X$641:X753,1)=1,5,0)+IF(COUNTIF($Z451:AB451,"&gt;"&amp;0)&gt;5,IF(MOD(COUNTIF(X$641:X753,1),7)=0,$C$4,0),0)</f>
        <v>70.1246505724784</v>
      </c>
      <c r="Y451" s="81" cm="1">
        <f ca="1" t="array" ref="Y451">IF(Y753=1,OFFSET($Z$338,$B451,Y$335-1)/SUMPRODUCT(--($D$335:$V$335=Y$335),--($D753:$V753=1)),0)+SUM(Y450)+IF(COUNTIF(Y$641:Y753,1)=1,5,0)+IF(COUNTIF($Z451:AC451,"&gt;"&amp;0)&gt;5,IF(MOD(COUNTIF(Y$641:Y753,1),7)=0,$C$4,0),0)</f>
        <v>63.360990281845</v>
      </c>
      <c r="Z451" s="82" cm="1">
        <f ca="1" t="array" ref="Z451">SUMPRODUCT(TRANSPOSE($AD451:$AJ451),OFFSET($L$10:$L$16,0,Z$335-1))</f>
        <v>18.5352420711277</v>
      </c>
      <c r="AA451" s="82" cm="1">
        <f ca="1" t="array" ref="AA451">SUMPRODUCT(TRANSPOSE($AD451:$AJ451),OFFSET($L$10:$L$16,0,AA$335-1))</f>
        <v>22</v>
      </c>
      <c r="AB451" s="82" cm="1">
        <f ca="1" t="array" ref="AB451">SUMPRODUCT(TRANSPOSE($AD451:$AJ451),OFFSET($L$10:$L$16,0,AB$335-1))</f>
        <v>11</v>
      </c>
      <c r="AC451" s="82" cm="1">
        <f ca="1" t="array" ref="AC451">SUMPRODUCT(TRANSPOSE($AD451:$AJ451),OFFSET($L$10:$L$16,0,AC$335-1))</f>
        <v>3.46475792887232</v>
      </c>
      <c r="AD451" s="83">
        <f ca="1" t="shared" ref="AD451:AJ451" si="547">AK451-AK450</f>
        <v>0</v>
      </c>
      <c r="AE451" s="83">
        <f ca="1" t="shared" si="547"/>
        <v>0</v>
      </c>
      <c r="AF451" s="83">
        <f ca="1" t="shared" si="547"/>
        <v>0</v>
      </c>
      <c r="AG451" s="83">
        <f ca="1" t="shared" si="547"/>
        <v>0</v>
      </c>
      <c r="AH451" s="83">
        <f ca="1" t="shared" si="547"/>
        <v>0</v>
      </c>
      <c r="AI451" s="83">
        <f ca="1" t="shared" si="547"/>
        <v>110</v>
      </c>
      <c r="AJ451" s="83">
        <f ca="1" t="shared" si="547"/>
        <v>0</v>
      </c>
      <c r="AK451" s="83">
        <f ca="1" t="shared" si="451"/>
        <v>450</v>
      </c>
      <c r="AL451" s="83">
        <f ca="1" t="shared" ref="AL451:AQ451" si="548">IF($C451&gt;OFFSET($Q$9,MATCH(AL$338,$AK$338:$AQ$338,0),0),OFFSET($P$9,MATCH(AL$338,$AK$338:$AQ$338,0),0),MAX(0,$C451-OFFSET($Q$9,RIGHT(AL$338,1)-1,0)))</f>
        <v>909</v>
      </c>
      <c r="AM451" s="83">
        <f ca="1" t="shared" si="548"/>
        <v>1818</v>
      </c>
      <c r="AN451" s="83">
        <f ca="1" t="shared" si="548"/>
        <v>2727</v>
      </c>
      <c r="AO451" s="83">
        <f ca="1" t="shared" si="548"/>
        <v>3636</v>
      </c>
      <c r="AP451" s="83">
        <f ca="1" t="shared" si="548"/>
        <v>4216</v>
      </c>
      <c r="AQ451" s="83">
        <f ca="1" t="shared" si="548"/>
        <v>0</v>
      </c>
    </row>
    <row r="452" ht="16.5" spans="2:43">
      <c r="B452" s="65">
        <v>114</v>
      </c>
      <c r="C452" s="80">
        <f t="shared" si="449"/>
        <v>13866</v>
      </c>
      <c r="D452" s="81" cm="1">
        <f ca="1" t="array" ref="D452">IF(D754=1,OFFSET($Z$338,$B452,D$335-1)/SUMPRODUCT(--($D$335:$V$335=D$335),--($D754:$V754=1)),0)+SUM(D451)+IF(COUNTIF(D$641:D754,1)=1,5,0)+IF(COUNTIF(E452:$Z452,"&gt;"&amp;0)&gt;5,IF(MOD(COUNTIF(D$641:D754,1),7)=0,$C$4,0),0)</f>
        <v>1186.52068791946</v>
      </c>
      <c r="E452" s="81" cm="1">
        <f ca="1" t="array" ref="E452">IF(E754=1,OFFSET($Z$338,$B452,E$335-1)/SUMPRODUCT(--($D$335:$V$335=E$335),--($D754:$V754=1)),0)+SUM(E451)+IF(COUNTIF(E$641:E754,1)=1,5,0)+IF(COUNTIF(F452:$Z452,"&gt;"&amp;0)&gt;5,IF(MOD(COUNTIF(E$641:E754,1),7)=0,$C$4,0),0)</f>
        <v>1186.52068791946</v>
      </c>
      <c r="F452" s="81" cm="1">
        <f ca="1" t="array" ref="F452">IF(F754=1,OFFSET($Z$338,$B452,F$335-1)/SUMPRODUCT(--($D$335:$V$335=F$335),--($D754:$V754=1)),0)+SUM(F451)+IF(COUNTIF(F$641:F754,1)=1,5,0)+IF(COUNTIF(G452:$Z452,"&gt;"&amp;0)&gt;5,IF(MOD(COUNTIF(F$641:F754,1),7)=0,$C$4,0),0)</f>
        <v>1186.52068791946</v>
      </c>
      <c r="G452" s="81" cm="1">
        <f ca="1" t="array" ref="G452">IF(G754=1,OFFSET($Z$338,$B452,G$335-1)/SUMPRODUCT(--($D$335:$V$335=G$335),--($D754:$V754=1)),0)+SUM(G451)+IF(COUNTIF(G$641:G754,1)=1,5,0)+IF(COUNTIF(H452:$Z452,"&gt;"&amp;0)&gt;5,IF(MOD(COUNTIF(G$641:G754,1),7)=0,$C$4,0),0)</f>
        <v>480.216666666668</v>
      </c>
      <c r="H452" s="81" cm="1">
        <f ca="1" t="array" ref="H452">IF(H754=1,OFFSET($Z$338,$B452,H$335-1)/SUMPRODUCT(--($D$335:$V$335=H$335),--($D754:$V754=1)),0)+SUM(H451)+IF(COUNTIF(H$641:H754,1)=1,5,0)+IF(COUNTIF(I452:$Z452,"&gt;"&amp;0)&gt;5,IF(MOD(COUNTIF(H$641:H754,1),7)=0,$C$4,0),0)</f>
        <v>480.216666666668</v>
      </c>
      <c r="I452" s="81" cm="1">
        <f ca="1" t="array" ref="I452">IF(I754=1,OFFSET($Z$338,$B452,I$335-1)/SUMPRODUCT(--($D$335:$V$335=I$335),--($D754:$V754=1)),0)+SUM(I451)+IF(COUNTIF(I$641:I754,1)=1,5,0)+IF(COUNTIF(J452:$Z452,"&gt;"&amp;0)&gt;5,IF(MOD(COUNTIF(I$641:I754,1),7)=0,$C$4,0),0)</f>
        <v>480.216666666668</v>
      </c>
      <c r="J452" s="81" cm="1">
        <f ca="1" t="array" ref="J452">IF(J754=1,OFFSET($Z$338,$B452,J$335-1)/SUMPRODUCT(--($D$335:$V$335=J$335),--($D754:$V754=1)),0)+SUM(J451)+IF(COUNTIF(J$641:J754,1)=1,5,0)+IF(COUNTIF(K452:$Z452,"&gt;"&amp;0)&gt;5,IF(MOD(COUNTIF(J$641:J754,1),7)=0,$C$4,0),0)</f>
        <v>480.216666666668</v>
      </c>
      <c r="K452" s="81" cm="1">
        <f ca="1" t="array" ref="K452">IF(K754=1,OFFSET($Z$338,$B452,K$335-1)/SUMPRODUCT(--($D$335:$V$335=K$335),--($D754:$V754=1)),0)+SUM(K451)+IF(COUNTIF(K$641:K754,1)=1,5,0)+IF(COUNTIF(L452:$Z452,"&gt;"&amp;0)&gt;5,IF(MOD(COUNTIF(K$641:K754,1),7)=0,$C$4,0),0)</f>
        <v>480.216666666668</v>
      </c>
      <c r="L452" s="81" cm="1">
        <f ca="1" t="array" ref="L452">IF(L754=1,OFFSET($Z$338,$B452,L$335-1)/SUMPRODUCT(--($D$335:$V$335=L$335),--($D754:$V754=1)),0)+SUM(L451)+IF(COUNTIF(L$641:L754,1)=1,5,0)+IF(COUNTIF(M452:$Z452,"&gt;"&amp;0)&gt;5,IF(MOD(COUNTIF(L$641:L754,1),7)=0,$C$4,0),0)</f>
        <v>473.516666666668</v>
      </c>
      <c r="M452" s="81" cm="1">
        <f ca="1" t="array" ref="M452">IF(M754=1,OFFSET($Z$338,$B452,M$335-1)/SUMPRODUCT(--($D$335:$V$335=M$335),--($D754:$V754=1)),0)+SUM(M451)+IF(COUNTIF(M$641:M754,1)=1,5,0)+IF(COUNTIF(N452:$Z452,"&gt;"&amp;0)&gt;5,IF(MOD(COUNTIF(M$641:M754,1),7)=0,$C$4,0),0)</f>
        <v>232.515535714286</v>
      </c>
      <c r="N452" s="81" cm="1">
        <f ca="1" t="array" ref="N452">IF(N754=1,OFFSET($Z$338,$B452,N$335-1)/SUMPRODUCT(--($D$335:$V$335=N$335),--($D754:$V754=1)),0)+SUM(N451)+IF(COUNTIF(N$641:N754,1)=1,5,0)+IF(COUNTIF(O452:$Z452,"&gt;"&amp;0)&gt;5,IF(MOD(COUNTIF(N$641:N754,1),7)=0,$C$4,0),0)</f>
        <v>224.790535714286</v>
      </c>
      <c r="O452" s="81" cm="1">
        <f ca="1" t="array" ref="O452">IF(O754=1,OFFSET($Z$338,$B452,O$335-1)/SUMPRODUCT(--($D$335:$V$335=O$335),--($D754:$V754=1)),0)+SUM(O451)+IF(COUNTIF(O$641:O754,1)=1,5,0)+IF(COUNTIF(P452:$Z452,"&gt;"&amp;0)&gt;5,IF(MOD(COUNTIF(O$641:O754,1),7)=0,$C$4,0),0)</f>
        <v>217.365535714286</v>
      </c>
      <c r="P452" s="81" cm="1">
        <f ca="1" t="array" ref="P452">IF(P754=1,OFFSET($Z$338,$B452,P$335-1)/SUMPRODUCT(--($D$335:$V$335=P$335),--($D754:$V754=1)),0)+SUM(P451)+IF(COUNTIF(P$641:P754,1)=1,5,0)+IF(COUNTIF(Q452:$Z452,"&gt;"&amp;0)&gt;5,IF(MOD(COUNTIF(P$641:P754,1),7)=0,$C$4,0),0)</f>
        <v>214.432202380953</v>
      </c>
      <c r="Q452" s="81" cm="1">
        <f ca="1" t="array" ref="Q452">IF(Q754=1,OFFSET($Z$338,$B452,Q$335-1)/SUMPRODUCT(--($D$335:$V$335=Q$335),--($D754:$V754=1)),0)+SUM(Q451)+IF(COUNTIF(Q$641:Q754,1)=1,5,0)+IF(COUNTIF(R452:$Z452,"&gt;"&amp;0)&gt;5,IF(MOD(COUNTIF(Q$641:Q754,1),7)=0,$C$4,0),0)</f>
        <v>213.525952380953</v>
      </c>
      <c r="R452" s="81" cm="1">
        <f ca="1" t="array" ref="R452">IF(R754=1,OFFSET($Z$338,$B452,R$335-1)/SUMPRODUCT(--($D$335:$V$335=R$335),--($D754:$V754=1)),0)+SUM(R451)+IF(COUNTIF(R$641:R754,1)=1,5,0)+IF(COUNTIF(S452:$Z452,"&gt;"&amp;0)&gt;5,IF(MOD(COUNTIF(R$641:R754,1),7)=0,$C$4,0),0)</f>
        <v>188.630952380953</v>
      </c>
      <c r="S452" s="81" cm="1">
        <f ca="1" t="array" ref="S452">IF(S754=1,OFFSET($Z$338,$B452,S$335-1)/SUMPRODUCT(--($D$335:$V$335=S$335),--($D754:$V754=1)),0)+SUM(S451)+IF(COUNTIF(S$641:S754,1)=1,5,0)+IF(COUNTIF(T452:$Z452,"&gt;"&amp;0)&gt;5,IF(MOD(COUNTIF(S$641:S754,1),7)=0,$C$4,0),0)</f>
        <v>179.464285714286</v>
      </c>
      <c r="T452" s="81" cm="1">
        <f ca="1" t="array" ref="T452">IF(T754=1,OFFSET($Z$338,$B452,T$335-1)/SUMPRODUCT(--($D$335:$V$335=T$335),--($D754:$V754=1)),0)+SUM(T451)+IF(COUNTIF(T$641:T754,1)=1,5,0)+IF(COUNTIF(U452:$Z452,"&gt;"&amp;0)&gt;5,IF(MOD(COUNTIF(T$641:T754,1),7)=0,$C$4,0),0)</f>
        <v>135.356918476967</v>
      </c>
      <c r="U452" s="81" cm="1">
        <f ca="1" t="array" ref="U452">IF(U754=1,OFFSET($Z$338,$B452,U$335-1)/SUMPRODUCT(--($D$335:$V$335=U$335),--($D754:$V754=1)),0)+SUM(U451)+IF(COUNTIF(U$641:U754,1)=1,5,0)+IF(COUNTIF(V452:$Z452,"&gt;"&amp;0)&gt;5,IF(MOD(COUNTIF(U$641:U754,1),7)=0,$C$4,0),0)</f>
        <v>95.3569184769673</v>
      </c>
      <c r="V452" s="81" cm="1">
        <f ca="1" t="array" ref="V452">IF(V754=1,OFFSET($Z$338,$B452,V$335-1)/SUMPRODUCT(--($D$335:$V$335=V$335),--($D754:$V754=1)),0)+SUM(V451)+IF(COUNTIF(V$641:V754,1)=1,5,0)+IF(COUNTIF(Z452:$Z452,"&gt;"&amp;0)&gt;5,IF(MOD(COUNTIF(V$641:V754,1),7)=0,$C$4,0),0)</f>
        <v>87.3990992876853</v>
      </c>
      <c r="W452" s="81" cm="1">
        <f ca="1" t="array" ref="W452">IF(W754=1,OFFSET($Z$338,$B452,W$335-1)/SUMPRODUCT(--($D$335:$V$335=W$335),--($D754:$V754=1)),0)+SUM(W451)+IF(COUNTIF(W$641:W754,1)=1,5,0)+IF(COUNTIF($Z452:AA452,"&gt;"&amp;0)&gt;5,IF(MOD(COUNTIF(W$641:W754,1),7)=0,$C$4,0),0)</f>
        <v>78.043230172736</v>
      </c>
      <c r="X452" s="81" cm="1">
        <f ca="1" t="array" ref="X452">IF(X754=1,OFFSET($Z$338,$B452,X$335-1)/SUMPRODUCT(--($D$335:$V$335=X$335),--($D754:$V754=1)),0)+SUM(X451)+IF(COUNTIF(X$641:X754,1)=1,5,0)+IF(COUNTIF($Z452:AB452,"&gt;"&amp;0)&gt;5,IF(MOD(COUNTIF(X$641:X754,1),7)=0,$C$4,0),0)</f>
        <v>71.2795698821025</v>
      </c>
      <c r="Y452" s="81" cm="1">
        <f ca="1" t="array" ref="Y452">IF(Y754=1,OFFSET($Z$338,$B452,Y$335-1)/SUMPRODUCT(--($D$335:$V$335=Y$335),--($D754:$V754=1)),0)+SUM(Y451)+IF(COUNTIF(Y$641:Y754,1)=1,5,0)+IF(COUNTIF($Z452:AC452,"&gt;"&amp;0)&gt;5,IF(MOD(COUNTIF(Y$641:Y754,1),7)=0,$C$4,0),0)</f>
        <v>64.5159095914691</v>
      </c>
      <c r="Z452" s="82" cm="1">
        <f ca="1" t="array" ref="Z452">SUMPRODUCT(TRANSPOSE($AD452:$AJ452),OFFSET($L$10:$L$16,0,Z$335-1))</f>
        <v>18.5352420711277</v>
      </c>
      <c r="AA452" s="82" cm="1">
        <f ca="1" t="array" ref="AA452">SUMPRODUCT(TRANSPOSE($AD452:$AJ452),OFFSET($L$10:$L$16,0,AA$335-1))</f>
        <v>22</v>
      </c>
      <c r="AB452" s="82" cm="1">
        <f ca="1" t="array" ref="AB452">SUMPRODUCT(TRANSPOSE($AD452:$AJ452),OFFSET($L$10:$L$16,0,AB$335-1))</f>
        <v>11</v>
      </c>
      <c r="AC452" s="82" cm="1">
        <f ca="1" t="array" ref="AC452">SUMPRODUCT(TRANSPOSE($AD452:$AJ452),OFFSET($L$10:$L$16,0,AC$335-1))</f>
        <v>3.46475792887232</v>
      </c>
      <c r="AD452" s="83">
        <f ca="1" t="shared" ref="AD452:AJ452" si="549">AK452-AK451</f>
        <v>0</v>
      </c>
      <c r="AE452" s="83">
        <f ca="1" t="shared" si="549"/>
        <v>0</v>
      </c>
      <c r="AF452" s="83">
        <f ca="1" t="shared" si="549"/>
        <v>0</v>
      </c>
      <c r="AG452" s="83">
        <f ca="1" t="shared" si="549"/>
        <v>0</v>
      </c>
      <c r="AH452" s="83">
        <f ca="1" t="shared" si="549"/>
        <v>0</v>
      </c>
      <c r="AI452" s="83">
        <f ca="1" t="shared" si="549"/>
        <v>110</v>
      </c>
      <c r="AJ452" s="83">
        <f ca="1" t="shared" si="549"/>
        <v>0</v>
      </c>
      <c r="AK452" s="83">
        <f ca="1" t="shared" si="451"/>
        <v>450</v>
      </c>
      <c r="AL452" s="83">
        <f ca="1" t="shared" ref="AL452:AQ452" si="550">IF($C452&gt;OFFSET($Q$9,MATCH(AL$338,$AK$338:$AQ$338,0),0),OFFSET($P$9,MATCH(AL$338,$AK$338:$AQ$338,0),0),MAX(0,$C452-OFFSET($Q$9,RIGHT(AL$338,1)-1,0)))</f>
        <v>909</v>
      </c>
      <c r="AM452" s="83">
        <f ca="1" t="shared" si="550"/>
        <v>1818</v>
      </c>
      <c r="AN452" s="83">
        <f ca="1" t="shared" si="550"/>
        <v>2727</v>
      </c>
      <c r="AO452" s="83">
        <f ca="1" t="shared" si="550"/>
        <v>3636</v>
      </c>
      <c r="AP452" s="83">
        <f ca="1" t="shared" si="550"/>
        <v>4326</v>
      </c>
      <c r="AQ452" s="83">
        <f ca="1" t="shared" si="550"/>
        <v>0</v>
      </c>
    </row>
    <row r="453" ht="16.5" spans="2:43">
      <c r="B453" s="65">
        <v>115</v>
      </c>
      <c r="C453" s="80">
        <f t="shared" si="449"/>
        <v>13976</v>
      </c>
      <c r="D453" s="81" cm="1">
        <f ca="1" t="array" ref="D453">IF(D755=1,OFFSET($Z$338,$B453,D$335-1)/SUMPRODUCT(--($D$335:$V$335=D$335),--($D755:$V755=1)),0)+SUM(D452)+IF(COUNTIF(D$641:D755,1)=1,5,0)+IF(COUNTIF(E453:$Z453,"&gt;"&amp;0)&gt;5,IF(MOD(COUNTIF(D$641:D755,1),7)=0,$C$4,0),0)</f>
        <v>1192.69910194317</v>
      </c>
      <c r="E453" s="81" cm="1">
        <f ca="1" t="array" ref="E453">IF(E755=1,OFFSET($Z$338,$B453,E$335-1)/SUMPRODUCT(--($D$335:$V$335=E$335),--($D755:$V755=1)),0)+SUM(E452)+IF(COUNTIF(E$641:E755,1)=1,5,0)+IF(COUNTIF(F453:$Z453,"&gt;"&amp;0)&gt;5,IF(MOD(COUNTIF(E$641:E755,1),7)=0,$C$4,0),0)</f>
        <v>1192.69910194317</v>
      </c>
      <c r="F453" s="81" cm="1">
        <f ca="1" t="array" ref="F453">IF(F755=1,OFFSET($Z$338,$B453,F$335-1)/SUMPRODUCT(--($D$335:$V$335=F$335),--($D755:$V755=1)),0)+SUM(F452)+IF(COUNTIF(F$641:F755,1)=1,5,0)+IF(COUNTIF(G453:$Z453,"&gt;"&amp;0)&gt;5,IF(MOD(COUNTIF(F$641:F755,1),7)=0,$C$4,0),0)</f>
        <v>1192.69910194317</v>
      </c>
      <c r="G453" s="81" cm="1">
        <f ca="1" t="array" ref="G453">IF(G755=1,OFFSET($Z$338,$B453,G$335-1)/SUMPRODUCT(--($D$335:$V$335=G$335),--($D755:$V755=1)),0)+SUM(G452)+IF(COUNTIF(G$641:G755,1)=1,5,0)+IF(COUNTIF(H453:$Z453,"&gt;"&amp;0)&gt;5,IF(MOD(COUNTIF(G$641:G755,1),7)=0,$C$4,0),0)</f>
        <v>483.883333333334</v>
      </c>
      <c r="H453" s="81" cm="1">
        <f ca="1" t="array" ref="H453">IF(H755=1,OFFSET($Z$338,$B453,H$335-1)/SUMPRODUCT(--($D$335:$V$335=H$335),--($D755:$V755=1)),0)+SUM(H452)+IF(COUNTIF(H$641:H755,1)=1,5,0)+IF(COUNTIF(I453:$Z453,"&gt;"&amp;0)&gt;5,IF(MOD(COUNTIF(H$641:H755,1),7)=0,$C$4,0),0)</f>
        <v>483.883333333334</v>
      </c>
      <c r="I453" s="81" cm="1">
        <f ca="1" t="array" ref="I453">IF(I755=1,OFFSET($Z$338,$B453,I$335-1)/SUMPRODUCT(--($D$335:$V$335=I$335),--($D755:$V755=1)),0)+SUM(I452)+IF(COUNTIF(I$641:I755,1)=1,5,0)+IF(COUNTIF(J453:$Z453,"&gt;"&amp;0)&gt;5,IF(MOD(COUNTIF(I$641:I755,1),7)=0,$C$4,0),0)</f>
        <v>483.883333333334</v>
      </c>
      <c r="J453" s="81" cm="1">
        <f ca="1" t="array" ref="J453">IF(J755=1,OFFSET($Z$338,$B453,J$335-1)/SUMPRODUCT(--($D$335:$V$335=J$335),--($D755:$V755=1)),0)+SUM(J452)+IF(COUNTIF(J$641:J755,1)=1,5,0)+IF(COUNTIF(K453:$Z453,"&gt;"&amp;0)&gt;5,IF(MOD(COUNTIF(J$641:J755,1),7)=0,$C$4,0),0)</f>
        <v>483.883333333334</v>
      </c>
      <c r="K453" s="81" cm="1">
        <f ca="1" t="array" ref="K453">IF(K755=1,OFFSET($Z$338,$B453,K$335-1)/SUMPRODUCT(--($D$335:$V$335=K$335),--($D755:$V755=1)),0)+SUM(K452)+IF(COUNTIF(K$641:K755,1)=1,5,0)+IF(COUNTIF(L453:$Z453,"&gt;"&amp;0)&gt;5,IF(MOD(COUNTIF(K$641:K755,1),7)=0,$C$4,0),0)</f>
        <v>483.883333333334</v>
      </c>
      <c r="L453" s="81" cm="1">
        <f ca="1" t="array" ref="L453">IF(L755=1,OFFSET($Z$338,$B453,L$335-1)/SUMPRODUCT(--($D$335:$V$335=L$335),--($D755:$V755=1)),0)+SUM(L452)+IF(COUNTIF(L$641:L755,1)=1,5,0)+IF(COUNTIF(M453:$Z453,"&gt;"&amp;0)&gt;5,IF(MOD(COUNTIF(L$641:L755,1),7)=0,$C$4,0),0)</f>
        <v>477.183333333335</v>
      </c>
      <c r="M453" s="81" cm="1">
        <f ca="1" t="array" ref="M453">IF(M755=1,OFFSET($Z$338,$B453,M$335-1)/SUMPRODUCT(--($D$335:$V$335=M$335),--($D755:$V755=1)),0)+SUM(M452)+IF(COUNTIF(M$641:M755,1)=1,5,0)+IF(COUNTIF(N453:$Z453,"&gt;"&amp;0)&gt;5,IF(MOD(COUNTIF(M$641:M755,1),7)=0,$C$4,0),0)</f>
        <v>234.086964285715</v>
      </c>
      <c r="N453" s="81" cm="1">
        <f ca="1" t="array" ref="N453">IF(N755=1,OFFSET($Z$338,$B453,N$335-1)/SUMPRODUCT(--($D$335:$V$335=N$335),--($D755:$V755=1)),0)+SUM(N452)+IF(COUNTIF(N$641:N755,1)=1,5,0)+IF(COUNTIF(O453:$Z453,"&gt;"&amp;0)&gt;5,IF(MOD(COUNTIF(N$641:N755,1),7)=0,$C$4,0),0)</f>
        <v>226.361964285715</v>
      </c>
      <c r="O453" s="81" cm="1">
        <f ca="1" t="array" ref="O453">IF(O755=1,OFFSET($Z$338,$B453,O$335-1)/SUMPRODUCT(--($D$335:$V$335=O$335),--($D755:$V755=1)),0)+SUM(O452)+IF(COUNTIF(O$641:O755,1)=1,5,0)+IF(COUNTIF(P453:$Z453,"&gt;"&amp;0)&gt;5,IF(MOD(COUNTIF(O$641:O755,1),7)=0,$C$4,0),0)</f>
        <v>223.936964285715</v>
      </c>
      <c r="P453" s="81" cm="1">
        <f ca="1" t="array" ref="P453">IF(P755=1,OFFSET($Z$338,$B453,P$335-1)/SUMPRODUCT(--($D$335:$V$335=P$335),--($D755:$V755=1)),0)+SUM(P452)+IF(COUNTIF(P$641:P755,1)=1,5,0)+IF(COUNTIF(Q453:$Z453,"&gt;"&amp;0)&gt;5,IF(MOD(COUNTIF(P$641:P755,1),7)=0,$C$4,0),0)</f>
        <v>216.003630952381</v>
      </c>
      <c r="Q453" s="81" cm="1">
        <f ca="1" t="array" ref="Q453">IF(Q755=1,OFFSET($Z$338,$B453,Q$335-1)/SUMPRODUCT(--($D$335:$V$335=Q$335),--($D755:$V755=1)),0)+SUM(Q452)+IF(COUNTIF(Q$641:Q755,1)=1,5,0)+IF(COUNTIF(R453:$Z453,"&gt;"&amp;0)&gt;5,IF(MOD(COUNTIF(Q$641:Q755,1),7)=0,$C$4,0),0)</f>
        <v>215.097380952381</v>
      </c>
      <c r="R453" s="81" cm="1">
        <f ca="1" t="array" ref="R453">IF(R755=1,OFFSET($Z$338,$B453,R$335-1)/SUMPRODUCT(--($D$335:$V$335=R$335),--($D755:$V755=1)),0)+SUM(R452)+IF(COUNTIF(R$641:R755,1)=1,5,0)+IF(COUNTIF(S453:$Z453,"&gt;"&amp;0)&gt;5,IF(MOD(COUNTIF(R$641:R755,1),7)=0,$C$4,0),0)</f>
        <v>190.202380952381</v>
      </c>
      <c r="S453" s="81" cm="1">
        <f ca="1" t="array" ref="S453">IF(S755=1,OFFSET($Z$338,$B453,S$335-1)/SUMPRODUCT(--($D$335:$V$335=S$335),--($D755:$V755=1)),0)+SUM(S452)+IF(COUNTIF(S$641:S755,1)=1,5,0)+IF(COUNTIF(T453:$Z453,"&gt;"&amp;0)&gt;5,IF(MOD(COUNTIF(S$641:S755,1),7)=0,$C$4,0),0)</f>
        <v>181.035714285715</v>
      </c>
      <c r="T453" s="81" cm="1">
        <f ca="1" t="array" ref="T453">IF(T755=1,OFFSET($Z$338,$B453,T$335-1)/SUMPRODUCT(--($D$335:$V$335=T$335),--($D755:$V755=1)),0)+SUM(T452)+IF(COUNTIF(T$641:T755,1)=1,5,0)+IF(COUNTIF(U453:$Z453,"&gt;"&amp;0)&gt;5,IF(MOD(COUNTIF(T$641:T755,1),7)=0,$C$4,0),0)</f>
        <v>136.511837786591</v>
      </c>
      <c r="U453" s="81" cm="1">
        <f ca="1" t="array" ref="U453">IF(U755=1,OFFSET($Z$338,$B453,U$335-1)/SUMPRODUCT(--($D$335:$V$335=U$335),--($D755:$V755=1)),0)+SUM(U452)+IF(COUNTIF(U$641:U755,1)=1,5,0)+IF(COUNTIF(V453:$Z453,"&gt;"&amp;0)&gt;5,IF(MOD(COUNTIF(U$641:U755,1),7)=0,$C$4,0),0)</f>
        <v>96.5118377865914</v>
      </c>
      <c r="V453" s="81" cm="1">
        <f ca="1" t="array" ref="V453">IF(V755=1,OFFSET($Z$338,$B453,V$335-1)/SUMPRODUCT(--($D$335:$V$335=V$335),--($D755:$V755=1)),0)+SUM(V452)+IF(COUNTIF(V$641:V755,1)=1,5,0)+IF(COUNTIF(Z453:$Z453,"&gt;"&amp;0)&gt;5,IF(MOD(COUNTIF(V$641:V755,1),7)=0,$C$4,0),0)</f>
        <v>88.5540185973094</v>
      </c>
      <c r="W453" s="81" cm="1">
        <f ca="1" t="array" ref="W453">IF(W755=1,OFFSET($Z$338,$B453,W$335-1)/SUMPRODUCT(--($D$335:$V$335=W$335),--($D755:$V755=1)),0)+SUM(W452)+IF(COUNTIF(W$641:W755,1)=1,5,0)+IF(COUNTIF($Z453:AA453,"&gt;"&amp;0)&gt;5,IF(MOD(COUNTIF(W$641:W755,1),7)=0,$C$4,0),0)</f>
        <v>79.1981494823601</v>
      </c>
      <c r="X453" s="81" cm="1">
        <f ca="1" t="array" ref="X453">IF(X755=1,OFFSET($Z$338,$B453,X$335-1)/SUMPRODUCT(--($D$335:$V$335=X$335),--($D755:$V755=1)),0)+SUM(X452)+IF(COUNTIF(X$641:X755,1)=1,5,0)+IF(COUNTIF($Z453:AB453,"&gt;"&amp;0)&gt;5,IF(MOD(COUNTIF(X$641:X755,1),7)=0,$C$4,0),0)</f>
        <v>72.4344891917267</v>
      </c>
      <c r="Y453" s="81" cm="1">
        <f ca="1" t="array" ref="Y453">IF(Y755=1,OFFSET($Z$338,$B453,Y$335-1)/SUMPRODUCT(--($D$335:$V$335=Y$335),--($D755:$V755=1)),0)+SUM(Y452)+IF(COUNTIF(Y$641:Y755,1)=1,5,0)+IF(COUNTIF($Z453:AC453,"&gt;"&amp;0)&gt;5,IF(MOD(COUNTIF(Y$641:Y755,1),7)=0,$C$4,0),0)</f>
        <v>65.6708289010932</v>
      </c>
      <c r="Z453" s="82" cm="1">
        <f ca="1" t="array" ref="Z453">SUMPRODUCT(TRANSPOSE($AD453:$AJ453),OFFSET($L$10:$L$16,0,Z$335-1))</f>
        <v>18.5352420711277</v>
      </c>
      <c r="AA453" s="82" cm="1">
        <f ca="1" t="array" ref="AA453">SUMPRODUCT(TRANSPOSE($AD453:$AJ453),OFFSET($L$10:$L$16,0,AA$335-1))</f>
        <v>22</v>
      </c>
      <c r="AB453" s="82" cm="1">
        <f ca="1" t="array" ref="AB453">SUMPRODUCT(TRANSPOSE($AD453:$AJ453),OFFSET($L$10:$L$16,0,AB$335-1))</f>
        <v>11</v>
      </c>
      <c r="AC453" s="82" cm="1">
        <f ca="1" t="array" ref="AC453">SUMPRODUCT(TRANSPOSE($AD453:$AJ453),OFFSET($L$10:$L$16,0,AC$335-1))</f>
        <v>3.46475792887232</v>
      </c>
      <c r="AD453" s="83">
        <f ca="1" t="shared" ref="AD453:AJ453" si="551">AK453-AK452</f>
        <v>0</v>
      </c>
      <c r="AE453" s="83">
        <f ca="1" t="shared" si="551"/>
        <v>0</v>
      </c>
      <c r="AF453" s="83">
        <f ca="1" t="shared" si="551"/>
        <v>0</v>
      </c>
      <c r="AG453" s="83">
        <f ca="1" t="shared" si="551"/>
        <v>0</v>
      </c>
      <c r="AH453" s="83">
        <f ca="1" t="shared" si="551"/>
        <v>0</v>
      </c>
      <c r="AI453" s="83">
        <f ca="1" t="shared" si="551"/>
        <v>110</v>
      </c>
      <c r="AJ453" s="83">
        <f ca="1" t="shared" si="551"/>
        <v>0</v>
      </c>
      <c r="AK453" s="83">
        <f ca="1" t="shared" si="451"/>
        <v>450</v>
      </c>
      <c r="AL453" s="83">
        <f ca="1" t="shared" ref="AL453:AQ453" si="552">IF($C453&gt;OFFSET($Q$9,MATCH(AL$338,$AK$338:$AQ$338,0),0),OFFSET($P$9,MATCH(AL$338,$AK$338:$AQ$338,0),0),MAX(0,$C453-OFFSET($Q$9,RIGHT(AL$338,1)-1,0)))</f>
        <v>909</v>
      </c>
      <c r="AM453" s="83">
        <f ca="1" t="shared" si="552"/>
        <v>1818</v>
      </c>
      <c r="AN453" s="83">
        <f ca="1" t="shared" si="552"/>
        <v>2727</v>
      </c>
      <c r="AO453" s="83">
        <f ca="1" t="shared" si="552"/>
        <v>3636</v>
      </c>
      <c r="AP453" s="83">
        <f ca="1" t="shared" si="552"/>
        <v>4436</v>
      </c>
      <c r="AQ453" s="83">
        <f ca="1" t="shared" si="552"/>
        <v>0</v>
      </c>
    </row>
    <row r="454" ht="16.5" spans="2:43">
      <c r="B454" s="65">
        <v>116</v>
      </c>
      <c r="C454" s="80">
        <f t="shared" si="449"/>
        <v>14086</v>
      </c>
      <c r="D454" s="81" cm="1">
        <f ca="1" t="array" ref="D454">IF(D756=1,OFFSET($Z$338,$B454,D$335-1)/SUMPRODUCT(--($D$335:$V$335=D$335),--($D756:$V756=1)),0)+SUM(D453)+IF(COUNTIF(D$641:D756,1)=1,5,0)+IF(COUNTIF(E454:$Z454,"&gt;"&amp;0)&gt;5,IF(MOD(COUNTIF(D$641:D756,1),7)=0,$C$4,0),0)</f>
        <v>1198.82134856666</v>
      </c>
      <c r="E454" s="81" cm="1">
        <f ca="1" t="array" ref="E454">IF(E756=1,OFFSET($Z$338,$B454,E$335-1)/SUMPRODUCT(--($D$335:$V$335=E$335),--($D756:$V756=1)),0)+SUM(E453)+IF(COUNTIF(E$641:E756,1)=1,5,0)+IF(COUNTIF(F454:$Z454,"&gt;"&amp;0)&gt;5,IF(MOD(COUNTIF(E$641:E756,1),7)=0,$C$4,0),0)</f>
        <v>1198.82134856666</v>
      </c>
      <c r="F454" s="81" cm="1">
        <f ca="1" t="array" ref="F454">IF(F756=1,OFFSET($Z$338,$B454,F$335-1)/SUMPRODUCT(--($D$335:$V$335=F$335),--($D756:$V756=1)),0)+SUM(F453)+IF(COUNTIF(F$641:F756,1)=1,5,0)+IF(COUNTIF(G454:$Z454,"&gt;"&amp;0)&gt;5,IF(MOD(COUNTIF(F$641:F756,1),7)=0,$C$4,0),0)</f>
        <v>1198.82134856666</v>
      </c>
      <c r="G454" s="81" cm="1">
        <f ca="1" t="array" ref="G454">IF(G756=1,OFFSET($Z$338,$B454,G$335-1)/SUMPRODUCT(--($D$335:$V$335=G$335),--($D756:$V756=1)),0)+SUM(G453)+IF(COUNTIF(G$641:G756,1)=1,5,0)+IF(COUNTIF(H454:$Z454,"&gt;"&amp;0)&gt;5,IF(MOD(COUNTIF(G$641:G756,1),7)=0,$C$4,0),0)</f>
        <v>487.516666666668</v>
      </c>
      <c r="H454" s="81" cm="1">
        <f ca="1" t="array" ref="H454">IF(H756=1,OFFSET($Z$338,$B454,H$335-1)/SUMPRODUCT(--($D$335:$V$335=H$335),--($D756:$V756=1)),0)+SUM(H453)+IF(COUNTIF(H$641:H756,1)=1,5,0)+IF(COUNTIF(I454:$Z454,"&gt;"&amp;0)&gt;5,IF(MOD(COUNTIF(H$641:H756,1),7)=0,$C$4,0),0)</f>
        <v>487.516666666668</v>
      </c>
      <c r="I454" s="81" cm="1">
        <f ca="1" t="array" ref="I454">IF(I756=1,OFFSET($Z$338,$B454,I$335-1)/SUMPRODUCT(--($D$335:$V$335=I$335),--($D756:$V756=1)),0)+SUM(I453)+IF(COUNTIF(I$641:I756,1)=1,5,0)+IF(COUNTIF(J454:$Z454,"&gt;"&amp;0)&gt;5,IF(MOD(COUNTIF(I$641:I756,1),7)=0,$C$4,0),0)</f>
        <v>487.516666666668</v>
      </c>
      <c r="J454" s="81" cm="1">
        <f ca="1" t="array" ref="J454">IF(J756=1,OFFSET($Z$338,$B454,J$335-1)/SUMPRODUCT(--($D$335:$V$335=J$335),--($D756:$V756=1)),0)+SUM(J453)+IF(COUNTIF(J$641:J756,1)=1,5,0)+IF(COUNTIF(K454:$Z454,"&gt;"&amp;0)&gt;5,IF(MOD(COUNTIF(J$641:J756,1),7)=0,$C$4,0),0)</f>
        <v>487.516666666668</v>
      </c>
      <c r="K454" s="81" cm="1">
        <f ca="1" t="array" ref="K454">IF(K756=1,OFFSET($Z$338,$B454,K$335-1)/SUMPRODUCT(--($D$335:$V$335=K$335),--($D756:$V756=1)),0)+SUM(K453)+IF(COUNTIF(K$641:K756,1)=1,5,0)+IF(COUNTIF(L454:$Z454,"&gt;"&amp;0)&gt;5,IF(MOD(COUNTIF(K$641:K756,1),7)=0,$C$4,0),0)</f>
        <v>487.516666666668</v>
      </c>
      <c r="L454" s="81" cm="1">
        <f ca="1" t="array" ref="L454">IF(L756=1,OFFSET($Z$338,$B454,L$335-1)/SUMPRODUCT(--($D$335:$V$335=L$335),--($D756:$V756=1)),0)+SUM(L453)+IF(COUNTIF(L$641:L756,1)=1,5,0)+IF(COUNTIF(M454:$Z454,"&gt;"&amp;0)&gt;5,IF(MOD(COUNTIF(L$641:L756,1),7)=0,$C$4,0),0)</f>
        <v>480.816666666668</v>
      </c>
      <c r="M454" s="81" cm="1">
        <f ca="1" t="array" ref="M454">IF(M756=1,OFFSET($Z$338,$B454,M$335-1)/SUMPRODUCT(--($D$335:$V$335=M$335),--($D756:$V756=1)),0)+SUM(M453)+IF(COUNTIF(M$641:M756,1)=1,5,0)+IF(COUNTIF(N454:$Z454,"&gt;"&amp;0)&gt;5,IF(MOD(COUNTIF(M$641:M756,1),7)=0,$C$4,0),0)</f>
        <v>235.644107142858</v>
      </c>
      <c r="N454" s="81" cm="1">
        <f ca="1" t="array" ref="N454">IF(N756=1,OFFSET($Z$338,$B454,N$335-1)/SUMPRODUCT(--($D$335:$V$335=N$335),--($D756:$V756=1)),0)+SUM(N453)+IF(COUNTIF(N$641:N756,1)=1,5,0)+IF(COUNTIF(O454:$Z454,"&gt;"&amp;0)&gt;5,IF(MOD(COUNTIF(N$641:N756,1),7)=0,$C$4,0),0)</f>
        <v>227.919107142858</v>
      </c>
      <c r="O454" s="81" cm="1">
        <f ca="1" t="array" ref="O454">IF(O756=1,OFFSET($Z$338,$B454,O$335-1)/SUMPRODUCT(--($D$335:$V$335=O$335),--($D756:$V756=1)),0)+SUM(O453)+IF(COUNTIF(O$641:O756,1)=1,5,0)+IF(COUNTIF(P454:$Z454,"&gt;"&amp;0)&gt;5,IF(MOD(COUNTIF(O$641:O756,1),7)=0,$C$4,0),0)</f>
        <v>225.494107142858</v>
      </c>
      <c r="P454" s="81" cm="1">
        <f ca="1" t="array" ref="P454">IF(P756=1,OFFSET($Z$338,$B454,P$335-1)/SUMPRODUCT(--($D$335:$V$335=P$335),--($D756:$V756=1)),0)+SUM(P453)+IF(COUNTIF(P$641:P756,1)=1,5,0)+IF(COUNTIF(Q454:$Z454,"&gt;"&amp;0)&gt;5,IF(MOD(COUNTIF(P$641:P756,1),7)=0,$C$4,0),0)</f>
        <v>217.560773809524</v>
      </c>
      <c r="Q454" s="81" cm="1">
        <f ca="1" t="array" ref="Q454">IF(Q756=1,OFFSET($Z$338,$B454,Q$335-1)/SUMPRODUCT(--($D$335:$V$335=Q$335),--($D756:$V756=1)),0)+SUM(Q453)+IF(COUNTIF(Q$641:Q756,1)=1,5,0)+IF(COUNTIF(R454:$Z454,"&gt;"&amp;0)&gt;5,IF(MOD(COUNTIF(Q$641:Q756,1),7)=0,$C$4,0),0)</f>
        <v>216.654523809524</v>
      </c>
      <c r="R454" s="81" cm="1">
        <f ca="1" t="array" ref="R454">IF(R756=1,OFFSET($Z$338,$B454,R$335-1)/SUMPRODUCT(--($D$335:$V$335=R$335),--($D756:$V756=1)),0)+SUM(R453)+IF(COUNTIF(R$641:R756,1)=1,5,0)+IF(COUNTIF(S454:$Z454,"&gt;"&amp;0)&gt;5,IF(MOD(COUNTIF(R$641:R756,1),7)=0,$C$4,0),0)</f>
        <v>191.759523809524</v>
      </c>
      <c r="S454" s="81" cm="1">
        <f ca="1" t="array" ref="S454">IF(S756=1,OFFSET($Z$338,$B454,S$335-1)/SUMPRODUCT(--($D$335:$V$335=S$335),--($D756:$V756=1)),0)+SUM(S453)+IF(COUNTIF(S$641:S756,1)=1,5,0)+IF(COUNTIF(T454:$Z454,"&gt;"&amp;0)&gt;5,IF(MOD(COUNTIF(S$641:S756,1),7)=0,$C$4,0),0)</f>
        <v>182.592857142857</v>
      </c>
      <c r="T454" s="81" cm="1">
        <f ca="1" t="array" ref="T454">IF(T756=1,OFFSET($Z$338,$B454,T$335-1)/SUMPRODUCT(--($D$335:$V$335=T$335),--($D756:$V756=1)),0)+SUM(T453)+IF(COUNTIF(T$641:T756,1)=1,5,0)+IF(COUNTIF(U454:$Z454,"&gt;"&amp;0)&gt;5,IF(MOD(COUNTIF(T$641:T756,1),7)=0,$C$4,0),0)</f>
        <v>137.656257829764</v>
      </c>
      <c r="U454" s="81" cm="1">
        <f ca="1" t="array" ref="U454">IF(U756=1,OFFSET($Z$338,$B454,U$335-1)/SUMPRODUCT(--($D$335:$V$335=U$335),--($D756:$V756=1)),0)+SUM(U453)+IF(COUNTIF(U$641:U756,1)=1,5,0)+IF(COUNTIF(V454:$Z454,"&gt;"&amp;0)&gt;5,IF(MOD(COUNTIF(U$641:U756,1),7)=0,$C$4,0),0)</f>
        <v>97.6562578297643</v>
      </c>
      <c r="V454" s="81" cm="1">
        <f ca="1" t="array" ref="V454">IF(V756=1,OFFSET($Z$338,$B454,V$335-1)/SUMPRODUCT(--($D$335:$V$335=V$335),--($D756:$V756=1)),0)+SUM(V453)+IF(COUNTIF(V$641:V756,1)=1,5,0)+IF(COUNTIF(Z454:$Z454,"&gt;"&amp;0)&gt;5,IF(MOD(COUNTIF(V$641:V756,1),7)=0,$C$4,0),0)</f>
        <v>89.6984386404824</v>
      </c>
      <c r="W454" s="81" cm="1">
        <f ca="1" t="array" ref="W454">IF(W756=1,OFFSET($Z$338,$B454,W$335-1)/SUMPRODUCT(--($D$335:$V$335=W$335),--($D756:$V756=1)),0)+SUM(W453)+IF(COUNTIF(W$641:W756,1)=1,5,0)+IF(COUNTIF($Z454:AA454,"&gt;"&amp;0)&gt;5,IF(MOD(COUNTIF(W$641:W756,1),7)=0,$C$4,0),0)</f>
        <v>80.3425695255331</v>
      </c>
      <c r="X454" s="81" cm="1">
        <f ca="1" t="array" ref="X454">IF(X756=1,OFFSET($Z$338,$B454,X$335-1)/SUMPRODUCT(--($D$335:$V$335=X$335),--($D756:$V756=1)),0)+SUM(X453)+IF(COUNTIF(X$641:X756,1)=1,5,0)+IF(COUNTIF($Z454:AB454,"&gt;"&amp;0)&gt;5,IF(MOD(COUNTIF(X$641:X756,1),7)=0,$C$4,0),0)</f>
        <v>73.5789092348996</v>
      </c>
      <c r="Y454" s="81" cm="1">
        <f ca="1" t="array" ref="Y454">IF(Y756=1,OFFSET($Z$338,$B454,Y$335-1)/SUMPRODUCT(--($D$335:$V$335=Y$335),--($D756:$V756=1)),0)+SUM(Y453)+IF(COUNTIF(Y$641:Y756,1)=1,5,0)+IF(COUNTIF($Z454:AC454,"&gt;"&amp;0)&gt;5,IF(MOD(COUNTIF(Y$641:Y756,1),7)=0,$C$4,0),0)</f>
        <v>66.8152489442662</v>
      </c>
      <c r="Z454" s="82" cm="1">
        <f ca="1" t="array" ref="Z454">SUMPRODUCT(TRANSPOSE($AD454:$AJ454),OFFSET($L$10:$L$16,0,Z$335-1))</f>
        <v>18.366739870481</v>
      </c>
      <c r="AA454" s="82" cm="1">
        <f ca="1" t="array" ref="AA454">SUMPRODUCT(TRANSPOSE($AD454:$AJ454),OFFSET($L$10:$L$16,0,AA$335-1))</f>
        <v>21.8</v>
      </c>
      <c r="AB454" s="82" cm="1">
        <f ca="1" t="array" ref="AB454">SUMPRODUCT(TRANSPOSE($AD454:$AJ454),OFFSET($L$10:$L$16,0,AB$335-1))</f>
        <v>10.9</v>
      </c>
      <c r="AC454" s="82" cm="1">
        <f ca="1" t="array" ref="AC454">SUMPRODUCT(TRANSPOSE($AD454:$AJ454),OFFSET($L$10:$L$16,0,AC$335-1))</f>
        <v>3.43326012951893</v>
      </c>
      <c r="AD454" s="83">
        <f ca="1" t="shared" ref="AD454:AJ454" si="553">AK454-AK453</f>
        <v>0</v>
      </c>
      <c r="AE454" s="83">
        <f ca="1" t="shared" si="553"/>
        <v>0</v>
      </c>
      <c r="AF454" s="83">
        <f ca="1" t="shared" si="553"/>
        <v>0</v>
      </c>
      <c r="AG454" s="83">
        <f ca="1" t="shared" si="553"/>
        <v>0</v>
      </c>
      <c r="AH454" s="83">
        <f ca="1" t="shared" si="553"/>
        <v>0</v>
      </c>
      <c r="AI454" s="83">
        <f ca="1" t="shared" si="553"/>
        <v>109</v>
      </c>
      <c r="AJ454" s="83">
        <f ca="1" t="shared" si="553"/>
        <v>0</v>
      </c>
      <c r="AK454" s="83">
        <f ca="1" t="shared" si="451"/>
        <v>450</v>
      </c>
      <c r="AL454" s="83">
        <f ca="1" t="shared" ref="AL454:AQ454" si="554">IF($C454&gt;OFFSET($Q$9,MATCH(AL$338,$AK$338:$AQ$338,0),0),OFFSET($P$9,MATCH(AL$338,$AK$338:$AQ$338,0),0),MAX(0,$C454-OFFSET($Q$9,RIGHT(AL$338,1)-1,0)))</f>
        <v>909</v>
      </c>
      <c r="AM454" s="83">
        <f ca="1" t="shared" si="554"/>
        <v>1818</v>
      </c>
      <c r="AN454" s="83">
        <f ca="1" t="shared" si="554"/>
        <v>2727</v>
      </c>
      <c r="AO454" s="83">
        <f ca="1" t="shared" si="554"/>
        <v>3636</v>
      </c>
      <c r="AP454" s="83">
        <f ca="1" t="shared" si="554"/>
        <v>4545</v>
      </c>
      <c r="AQ454" s="83">
        <f ca="1" t="shared" si="554"/>
        <v>0</v>
      </c>
    </row>
    <row r="455" ht="16.5" spans="2:43">
      <c r="B455" s="65">
        <v>117</v>
      </c>
      <c r="C455" s="80">
        <f t="shared" si="449"/>
        <v>14196</v>
      </c>
      <c r="D455" s="81" cm="1">
        <f ca="1" t="array" ref="D455">IF(D757=1,OFFSET($Z$338,$B455,D$335-1)/SUMPRODUCT(--($D$335:$V$335=D$335),--($D757:$V757=1)),0)+SUM(D454)+IF(COUNTIF(D$641:D757,1)=1,5,0)+IF(COUNTIF(E455:$Z455,"&gt;"&amp;0)&gt;5,IF(MOD(COUNTIF(D$641:D757,1),7)=0,$C$4,0),0)</f>
        <v>1198.82134856666</v>
      </c>
      <c r="E455" s="81" cm="1">
        <f ca="1" t="array" ref="E455">IF(E757=1,OFFSET($Z$338,$B455,E$335-1)/SUMPRODUCT(--($D$335:$V$335=E$335),--($D757:$V757=1)),0)+SUM(E454)+IF(COUNTIF(E$641:E757,1)=1,5,0)+IF(COUNTIF(F455:$Z455,"&gt;"&amp;0)&gt;5,IF(MOD(COUNTIF(E$641:E757,1),7)=0,$C$4,0),0)</f>
        <v>1198.82134856666</v>
      </c>
      <c r="F455" s="81" cm="1">
        <f ca="1" t="array" ref="F455">IF(F757=1,OFFSET($Z$338,$B455,F$335-1)/SUMPRODUCT(--($D$335:$V$335=F$335),--($D757:$V757=1)),0)+SUM(F454)+IF(COUNTIF(F$641:F757,1)=1,5,0)+IF(COUNTIF(G455:$Z455,"&gt;"&amp;0)&gt;5,IF(MOD(COUNTIF(F$641:F757,1),7)=0,$C$4,0),0)</f>
        <v>1198.82134856666</v>
      </c>
      <c r="G455" s="81" cm="1">
        <f ca="1" t="array" ref="G455">IF(G757=1,OFFSET($Z$338,$B455,G$335-1)/SUMPRODUCT(--($D$335:$V$335=G$335),--($D757:$V757=1)),0)+SUM(G454)+IF(COUNTIF(G$641:G757,1)=1,5,0)+IF(COUNTIF(H455:$Z455,"&gt;"&amp;0)&gt;5,IF(MOD(COUNTIF(G$641:G757,1),7)=0,$C$4,0),0)</f>
        <v>487.516666666668</v>
      </c>
      <c r="H455" s="81" cm="1">
        <f ca="1" t="array" ref="H455">IF(H757=1,OFFSET($Z$338,$B455,H$335-1)/SUMPRODUCT(--($D$335:$V$335=H$335),--($D757:$V757=1)),0)+SUM(H454)+IF(COUNTIF(H$641:H757,1)=1,5,0)+IF(COUNTIF(I455:$Z455,"&gt;"&amp;0)&gt;5,IF(MOD(COUNTIF(H$641:H757,1),7)=0,$C$4,0),0)</f>
        <v>487.516666666668</v>
      </c>
      <c r="I455" s="81" cm="1">
        <f ca="1" t="array" ref="I455">IF(I757=1,OFFSET($Z$338,$B455,I$335-1)/SUMPRODUCT(--($D$335:$V$335=I$335),--($D757:$V757=1)),0)+SUM(I454)+IF(COUNTIF(I$641:I757,1)=1,5,0)+IF(COUNTIF(J455:$Z455,"&gt;"&amp;0)&gt;5,IF(MOD(COUNTIF(I$641:I757,1),7)=0,$C$4,0),0)</f>
        <v>487.516666666668</v>
      </c>
      <c r="J455" s="81" cm="1">
        <f ca="1" t="array" ref="J455">IF(J757=1,OFFSET($Z$338,$B455,J$335-1)/SUMPRODUCT(--($D$335:$V$335=J$335),--($D757:$V757=1)),0)+SUM(J454)+IF(COUNTIF(J$641:J757,1)=1,5,0)+IF(COUNTIF(K455:$Z455,"&gt;"&amp;0)&gt;5,IF(MOD(COUNTIF(J$641:J757,1),7)=0,$C$4,0),0)</f>
        <v>487.516666666668</v>
      </c>
      <c r="K455" s="81" cm="1">
        <f ca="1" t="array" ref="K455">IF(K757=1,OFFSET($Z$338,$B455,K$335-1)/SUMPRODUCT(--($D$335:$V$335=K$335),--($D757:$V757=1)),0)+SUM(K454)+IF(COUNTIF(K$641:K757,1)=1,5,0)+IF(COUNTIF(L455:$Z455,"&gt;"&amp;0)&gt;5,IF(MOD(COUNTIF(K$641:K757,1),7)=0,$C$4,0),0)</f>
        <v>487.516666666668</v>
      </c>
      <c r="L455" s="81" cm="1">
        <f ca="1" t="array" ref="L455">IF(L757=1,OFFSET($Z$338,$B455,L$335-1)/SUMPRODUCT(--($D$335:$V$335=L$335),--($D757:$V757=1)),0)+SUM(L454)+IF(COUNTIF(L$641:L757,1)=1,5,0)+IF(COUNTIF(M455:$Z455,"&gt;"&amp;0)&gt;5,IF(MOD(COUNTIF(L$641:L757,1),7)=0,$C$4,0),0)</f>
        <v>480.816666666668</v>
      </c>
      <c r="M455" s="81" cm="1">
        <f ca="1" t="array" ref="M455">IF(M757=1,OFFSET($Z$338,$B455,M$335-1)/SUMPRODUCT(--($D$335:$V$335=M$335),--($D757:$V757=1)),0)+SUM(M454)+IF(COUNTIF(M$641:M757,1)=1,5,0)+IF(COUNTIF(N455:$Z455,"&gt;"&amp;0)&gt;5,IF(MOD(COUNTIF(M$641:M757,1),7)=0,$C$4,0),0)</f>
        <v>235.644107142858</v>
      </c>
      <c r="N455" s="81" cm="1">
        <f ca="1" t="array" ref="N455">IF(N757=1,OFFSET($Z$338,$B455,N$335-1)/SUMPRODUCT(--($D$335:$V$335=N$335),--($D757:$V757=1)),0)+SUM(N454)+IF(COUNTIF(N$641:N757,1)=1,5,0)+IF(COUNTIF(O455:$Z455,"&gt;"&amp;0)&gt;5,IF(MOD(COUNTIF(N$641:N757,1),7)=0,$C$4,0),0)</f>
        <v>227.919107142858</v>
      </c>
      <c r="O455" s="81" cm="1">
        <f ca="1" t="array" ref="O455">IF(O757=1,OFFSET($Z$338,$B455,O$335-1)/SUMPRODUCT(--($D$335:$V$335=O$335),--($D757:$V757=1)),0)+SUM(O454)+IF(COUNTIF(O$641:O757,1)=1,5,0)+IF(COUNTIF(P455:$Z455,"&gt;"&amp;0)&gt;5,IF(MOD(COUNTIF(O$641:O757,1),7)=0,$C$4,0),0)</f>
        <v>225.494107142858</v>
      </c>
      <c r="P455" s="81" cm="1">
        <f ca="1" t="array" ref="P455">IF(P757=1,OFFSET($Z$338,$B455,P$335-1)/SUMPRODUCT(--($D$335:$V$335=P$335),--($D757:$V757=1)),0)+SUM(P454)+IF(COUNTIF(P$641:P757,1)=1,5,0)+IF(COUNTIF(Q455:$Z455,"&gt;"&amp;0)&gt;5,IF(MOD(COUNTIF(P$641:P757,1),7)=0,$C$4,0),0)</f>
        <v>222.560773809524</v>
      </c>
      <c r="Q455" s="81" cm="1">
        <f ca="1" t="array" ref="Q455">IF(Q757=1,OFFSET($Z$338,$B455,Q$335-1)/SUMPRODUCT(--($D$335:$V$335=Q$335),--($D757:$V757=1)),0)+SUM(Q454)+IF(COUNTIF(Q$641:Q757,1)=1,5,0)+IF(COUNTIF(R455:$Z455,"&gt;"&amp;0)&gt;5,IF(MOD(COUNTIF(Q$641:Q757,1),7)=0,$C$4,0),0)</f>
        <v>216.654523809524</v>
      </c>
      <c r="R455" s="81" cm="1">
        <f ca="1" t="array" ref="R455">IF(R757=1,OFFSET($Z$338,$B455,R$335-1)/SUMPRODUCT(--($D$335:$V$335=R$335),--($D757:$V757=1)),0)+SUM(R454)+IF(COUNTIF(R$641:R757,1)=1,5,0)+IF(COUNTIF(S455:$Z455,"&gt;"&amp;0)&gt;5,IF(MOD(COUNTIF(R$641:R757,1),7)=0,$C$4,0),0)</f>
        <v>191.759523809524</v>
      </c>
      <c r="S455" s="81" cm="1">
        <f ca="1" t="array" ref="S455">IF(S757=1,OFFSET($Z$338,$B455,S$335-1)/SUMPRODUCT(--($D$335:$V$335=S$335),--($D757:$V757=1)),0)+SUM(S454)+IF(COUNTIF(S$641:S757,1)=1,5,0)+IF(COUNTIF(T455:$Z455,"&gt;"&amp;0)&gt;5,IF(MOD(COUNTIF(S$641:S757,1),7)=0,$C$4,0),0)</f>
        <v>187.592857142857</v>
      </c>
      <c r="T455" s="81" cm="1">
        <f ca="1" t="array" ref="T455">IF(T757=1,OFFSET($Z$338,$B455,T$335-1)/SUMPRODUCT(--($D$335:$V$335=T$335),--($D757:$V757=1)),0)+SUM(T454)+IF(COUNTIF(T$641:T757,1)=1,5,0)+IF(COUNTIF(U455:$Z455,"&gt;"&amp;0)&gt;5,IF(MOD(COUNTIF(T$641:T757,1),7)=0,$C$4,0),0)</f>
        <v>137.656257829764</v>
      </c>
      <c r="U455" s="81" cm="1">
        <f ca="1" t="array" ref="U455">IF(U757=1,OFFSET($Z$338,$B455,U$335-1)/SUMPRODUCT(--($D$335:$V$335=U$335),--($D757:$V757=1)),0)+SUM(U454)+IF(COUNTIF(U$641:U757,1)=1,5,0)+IF(COUNTIF(V455:$Z455,"&gt;"&amp;0)&gt;5,IF(MOD(COUNTIF(U$641:U757,1),7)=0,$C$4,0),0)</f>
        <v>97.6562578297643</v>
      </c>
      <c r="V455" s="81" cm="1">
        <f ca="1" t="array" ref="V455">IF(V757=1,OFFSET($Z$338,$B455,V$335-1)/SUMPRODUCT(--($D$335:$V$335=V$335),--($D757:$V757=1)),0)+SUM(V454)+IF(COUNTIF(V$641:V757,1)=1,5,0)+IF(COUNTIF(Z455:$Z455,"&gt;"&amp;0)&gt;5,IF(MOD(COUNTIF(V$641:V757,1),7)=0,$C$4,0),0)</f>
        <v>89.6984386404824</v>
      </c>
      <c r="W455" s="81" cm="1">
        <f ca="1" t="array" ref="W455">IF(W757=1,OFFSET($Z$338,$B455,W$335-1)/SUMPRODUCT(--($D$335:$V$335=W$335),--($D757:$V757=1)),0)+SUM(W454)+IF(COUNTIF(W$641:W757,1)=1,5,0)+IF(COUNTIF($Z455:AA455,"&gt;"&amp;0)&gt;5,IF(MOD(COUNTIF(W$641:W757,1),7)=0,$C$4,0),0)</f>
        <v>80.3425695255331</v>
      </c>
      <c r="X455" s="81" cm="1">
        <f ca="1" t="array" ref="X455">IF(X757=1,OFFSET($Z$338,$B455,X$335-1)/SUMPRODUCT(--($D$335:$V$335=X$335),--($D757:$V757=1)),0)+SUM(X454)+IF(COUNTIF(X$641:X757,1)=1,5,0)+IF(COUNTIF($Z455:AB455,"&gt;"&amp;0)&gt;5,IF(MOD(COUNTIF(X$641:X757,1),7)=0,$C$4,0),0)</f>
        <v>73.5789092348996</v>
      </c>
      <c r="Y455" s="81" cm="1">
        <f ca="1" t="array" ref="Y455">IF(Y757=1,OFFSET($Z$338,$B455,Y$335-1)/SUMPRODUCT(--($D$335:$V$335=Y$335),--($D757:$V757=1)),0)+SUM(Y454)+IF(COUNTIF(Y$641:Y757,1)=1,5,0)+IF(COUNTIF($Z455:AC455,"&gt;"&amp;0)&gt;5,IF(MOD(COUNTIF(Y$641:Y757,1),7)=0,$C$4,0),0)</f>
        <v>66.8152489442662</v>
      </c>
      <c r="Z455" s="82" cm="1">
        <f ca="1" t="array" ref="Z455">SUMPRODUCT(TRANSPOSE($AD455:$AJ455),OFFSET($L$10:$L$16,0,Z$335-1))</f>
        <v>0</v>
      </c>
      <c r="AA455" s="82" cm="1">
        <f ca="1" t="array" ref="AA455">SUMPRODUCT(TRANSPOSE($AD455:$AJ455),OFFSET($L$10:$L$16,0,AA$335-1))</f>
        <v>0</v>
      </c>
      <c r="AB455" s="82" cm="1">
        <f ca="1" t="array" ref="AB455">SUMPRODUCT(TRANSPOSE($AD455:$AJ455),OFFSET($L$10:$L$16,0,AB$335-1))</f>
        <v>0</v>
      </c>
      <c r="AC455" s="82" cm="1">
        <f ca="1" t="array" ref="AC455">SUMPRODUCT(TRANSPOSE($AD455:$AJ455),OFFSET($L$10:$L$16,0,AC$335-1))</f>
        <v>0</v>
      </c>
      <c r="AD455" s="83">
        <f ca="1" t="shared" ref="AD455:AJ455" si="555">AK455-AK454</f>
        <v>0</v>
      </c>
      <c r="AE455" s="83">
        <f ca="1" t="shared" si="555"/>
        <v>0</v>
      </c>
      <c r="AF455" s="83">
        <f ca="1" t="shared" si="555"/>
        <v>0</v>
      </c>
      <c r="AG455" s="83">
        <f ca="1" t="shared" si="555"/>
        <v>0</v>
      </c>
      <c r="AH455" s="83">
        <f ca="1" t="shared" si="555"/>
        <v>0</v>
      </c>
      <c r="AI455" s="83">
        <f ca="1" t="shared" si="555"/>
        <v>0</v>
      </c>
      <c r="AJ455" s="83">
        <f ca="1" t="shared" si="555"/>
        <v>0</v>
      </c>
      <c r="AK455" s="83">
        <f ca="1" t="shared" si="451"/>
        <v>450</v>
      </c>
      <c r="AL455" s="83">
        <f ca="1" t="shared" ref="AL455:AQ455" si="556">IF($C455&gt;OFFSET($Q$9,MATCH(AL$338,$AK$338:$AQ$338,0),0),OFFSET($P$9,MATCH(AL$338,$AK$338:$AQ$338,0),0),MAX(0,$C455-OFFSET($Q$9,RIGHT(AL$338,1)-1,0)))</f>
        <v>909</v>
      </c>
      <c r="AM455" s="83">
        <f ca="1" t="shared" si="556"/>
        <v>1818</v>
      </c>
      <c r="AN455" s="83">
        <f ca="1" t="shared" si="556"/>
        <v>2727</v>
      </c>
      <c r="AO455" s="83">
        <f ca="1" t="shared" si="556"/>
        <v>3636</v>
      </c>
      <c r="AP455" s="83">
        <f ca="1" t="shared" si="556"/>
        <v>4545</v>
      </c>
      <c r="AQ455" s="83">
        <f ca="1" t="shared" si="556"/>
        <v>0</v>
      </c>
    </row>
    <row r="456" ht="16.5" spans="2:43">
      <c r="B456" s="65">
        <v>118</v>
      </c>
      <c r="C456" s="80">
        <f t="shared" si="449"/>
        <v>14306</v>
      </c>
      <c r="D456" s="81" cm="1">
        <f ca="1" t="array" ref="D456">IF(D758=1,OFFSET($Z$338,$B456,D$335-1)/SUMPRODUCT(--($D$335:$V$335=D$335),--($D758:$V758=1)),0)+SUM(D455)+IF(COUNTIF(D$641:D758,1)=1,5,0)+IF(COUNTIF(E456:$Z456,"&gt;"&amp;0)&gt;5,IF(MOD(COUNTIF(D$641:D758,1),7)=0,$C$4,0),0)</f>
        <v>1198.82134856666</v>
      </c>
      <c r="E456" s="81" cm="1">
        <f ca="1" t="array" ref="E456">IF(E758=1,OFFSET($Z$338,$B456,E$335-1)/SUMPRODUCT(--($D$335:$V$335=E$335),--($D758:$V758=1)),0)+SUM(E455)+IF(COUNTIF(E$641:E758,1)=1,5,0)+IF(COUNTIF(F456:$Z456,"&gt;"&amp;0)&gt;5,IF(MOD(COUNTIF(E$641:E758,1),7)=0,$C$4,0),0)</f>
        <v>1198.82134856666</v>
      </c>
      <c r="F456" s="81" cm="1">
        <f ca="1" t="array" ref="F456">IF(F758=1,OFFSET($Z$338,$B456,F$335-1)/SUMPRODUCT(--($D$335:$V$335=F$335),--($D758:$V758=1)),0)+SUM(F455)+IF(COUNTIF(F$641:F758,1)=1,5,0)+IF(COUNTIF(G456:$Z456,"&gt;"&amp;0)&gt;5,IF(MOD(COUNTIF(F$641:F758,1),7)=0,$C$4,0),0)</f>
        <v>1198.82134856666</v>
      </c>
      <c r="G456" s="81" cm="1">
        <f ca="1" t="array" ref="G456">IF(G758=1,OFFSET($Z$338,$B456,G$335-1)/SUMPRODUCT(--($D$335:$V$335=G$335),--($D758:$V758=1)),0)+SUM(G455)+IF(COUNTIF(G$641:G758,1)=1,5,0)+IF(COUNTIF(H456:$Z456,"&gt;"&amp;0)&gt;5,IF(MOD(COUNTIF(G$641:G758,1),7)=0,$C$4,0),0)</f>
        <v>487.516666666668</v>
      </c>
      <c r="H456" s="81" cm="1">
        <f ca="1" t="array" ref="H456">IF(H758=1,OFFSET($Z$338,$B456,H$335-1)/SUMPRODUCT(--($D$335:$V$335=H$335),--($D758:$V758=1)),0)+SUM(H455)+IF(COUNTIF(H$641:H758,1)=1,5,0)+IF(COUNTIF(I456:$Z456,"&gt;"&amp;0)&gt;5,IF(MOD(COUNTIF(H$641:H758,1),7)=0,$C$4,0),0)</f>
        <v>487.516666666668</v>
      </c>
      <c r="I456" s="81" cm="1">
        <f ca="1" t="array" ref="I456">IF(I758=1,OFFSET($Z$338,$B456,I$335-1)/SUMPRODUCT(--($D$335:$V$335=I$335),--($D758:$V758=1)),0)+SUM(I455)+IF(COUNTIF(I$641:I758,1)=1,5,0)+IF(COUNTIF(J456:$Z456,"&gt;"&amp;0)&gt;5,IF(MOD(COUNTIF(I$641:I758,1),7)=0,$C$4,0),0)</f>
        <v>487.516666666668</v>
      </c>
      <c r="J456" s="81" cm="1">
        <f ca="1" t="array" ref="J456">IF(J758=1,OFFSET($Z$338,$B456,J$335-1)/SUMPRODUCT(--($D$335:$V$335=J$335),--($D758:$V758=1)),0)+SUM(J455)+IF(COUNTIF(J$641:J758,1)=1,5,0)+IF(COUNTIF(K456:$Z456,"&gt;"&amp;0)&gt;5,IF(MOD(COUNTIF(J$641:J758,1),7)=0,$C$4,0),0)</f>
        <v>487.516666666668</v>
      </c>
      <c r="K456" s="81" cm="1">
        <f ca="1" t="array" ref="K456">IF(K758=1,OFFSET($Z$338,$B456,K$335-1)/SUMPRODUCT(--($D$335:$V$335=K$335),--($D758:$V758=1)),0)+SUM(K455)+IF(COUNTIF(K$641:K758,1)=1,5,0)+IF(COUNTIF(L456:$Z456,"&gt;"&amp;0)&gt;5,IF(MOD(COUNTIF(K$641:K758,1),7)=0,$C$4,0),0)</f>
        <v>487.516666666668</v>
      </c>
      <c r="L456" s="81" cm="1">
        <f ca="1" t="array" ref="L456">IF(L758=1,OFFSET($Z$338,$B456,L$335-1)/SUMPRODUCT(--($D$335:$V$335=L$335),--($D758:$V758=1)),0)+SUM(L455)+IF(COUNTIF(L$641:L758,1)=1,5,0)+IF(COUNTIF(M456:$Z456,"&gt;"&amp;0)&gt;5,IF(MOD(COUNTIF(L$641:L758,1),7)=0,$C$4,0),0)</f>
        <v>480.816666666668</v>
      </c>
      <c r="M456" s="81" cm="1">
        <f ca="1" t="array" ref="M456">IF(M758=1,OFFSET($Z$338,$B456,M$335-1)/SUMPRODUCT(--($D$335:$V$335=M$335),--($D758:$V758=1)),0)+SUM(M455)+IF(COUNTIF(M$641:M758,1)=1,5,0)+IF(COUNTIF(N456:$Z456,"&gt;"&amp;0)&gt;5,IF(MOD(COUNTIF(M$641:M758,1),7)=0,$C$4,0),0)</f>
        <v>235.644107142858</v>
      </c>
      <c r="N456" s="81" cm="1">
        <f ca="1" t="array" ref="N456">IF(N758=1,OFFSET($Z$338,$B456,N$335-1)/SUMPRODUCT(--($D$335:$V$335=N$335),--($D758:$V758=1)),0)+SUM(N455)+IF(COUNTIF(N$641:N758,1)=1,5,0)+IF(COUNTIF(O456:$Z456,"&gt;"&amp;0)&gt;5,IF(MOD(COUNTIF(N$641:N758,1),7)=0,$C$4,0),0)</f>
        <v>227.919107142858</v>
      </c>
      <c r="O456" s="81" cm="1">
        <f ca="1" t="array" ref="O456">IF(O758=1,OFFSET($Z$338,$B456,O$335-1)/SUMPRODUCT(--($D$335:$V$335=O$335),--($D758:$V758=1)),0)+SUM(O455)+IF(COUNTIF(O$641:O758,1)=1,5,0)+IF(COUNTIF(P456:$Z456,"&gt;"&amp;0)&gt;5,IF(MOD(COUNTIF(O$641:O758,1),7)=0,$C$4,0),0)</f>
        <v>225.494107142858</v>
      </c>
      <c r="P456" s="81" cm="1">
        <f ca="1" t="array" ref="P456">IF(P758=1,OFFSET($Z$338,$B456,P$335-1)/SUMPRODUCT(--($D$335:$V$335=P$335),--($D758:$V758=1)),0)+SUM(P455)+IF(COUNTIF(P$641:P758,1)=1,5,0)+IF(COUNTIF(Q456:$Z456,"&gt;"&amp;0)&gt;5,IF(MOD(COUNTIF(P$641:P758,1),7)=0,$C$4,0),0)</f>
        <v>222.560773809524</v>
      </c>
      <c r="Q456" s="81" cm="1">
        <f ca="1" t="array" ref="Q456">IF(Q758=1,OFFSET($Z$338,$B456,Q$335-1)/SUMPRODUCT(--($D$335:$V$335=Q$335),--($D758:$V758=1)),0)+SUM(Q455)+IF(COUNTIF(Q$641:Q758,1)=1,5,0)+IF(COUNTIF(R456:$Z456,"&gt;"&amp;0)&gt;5,IF(MOD(COUNTIF(Q$641:Q758,1),7)=0,$C$4,0),0)</f>
        <v>221.654523809524</v>
      </c>
      <c r="R456" s="81" cm="1">
        <f ca="1" t="array" ref="R456">IF(R758=1,OFFSET($Z$338,$B456,R$335-1)/SUMPRODUCT(--($D$335:$V$335=R$335),--($D758:$V758=1)),0)+SUM(R455)+IF(COUNTIF(R$641:R758,1)=1,5,0)+IF(COUNTIF(S456:$Z456,"&gt;"&amp;0)&gt;5,IF(MOD(COUNTIF(R$641:R758,1),7)=0,$C$4,0),0)</f>
        <v>191.759523809524</v>
      </c>
      <c r="S456" s="81" cm="1">
        <f ca="1" t="array" ref="S456">IF(S758=1,OFFSET($Z$338,$B456,S$335-1)/SUMPRODUCT(--($D$335:$V$335=S$335),--($D758:$V758=1)),0)+SUM(S455)+IF(COUNTIF(S$641:S758,1)=1,5,0)+IF(COUNTIF(T456:$Z456,"&gt;"&amp;0)&gt;5,IF(MOD(COUNTIF(S$641:S758,1),7)=0,$C$4,0),0)</f>
        <v>187.592857142857</v>
      </c>
      <c r="T456" s="81" cm="1">
        <f ca="1" t="array" ref="T456">IF(T758=1,OFFSET($Z$338,$B456,T$335-1)/SUMPRODUCT(--($D$335:$V$335=T$335),--($D758:$V758=1)),0)+SUM(T455)+IF(COUNTIF(T$641:T758,1)=1,5,0)+IF(COUNTIF(U456:$Z456,"&gt;"&amp;0)&gt;5,IF(MOD(COUNTIF(T$641:T758,1),7)=0,$C$4,0),0)</f>
        <v>137.656257829764</v>
      </c>
      <c r="U456" s="81" cm="1">
        <f ca="1" t="array" ref="U456">IF(U758=1,OFFSET($Z$338,$B456,U$335-1)/SUMPRODUCT(--($D$335:$V$335=U$335),--($D758:$V758=1)),0)+SUM(U455)+IF(COUNTIF(U$641:U758,1)=1,5,0)+IF(COUNTIF(V456:$Z456,"&gt;"&amp;0)&gt;5,IF(MOD(COUNTIF(U$641:U758,1),7)=0,$C$4,0),0)</f>
        <v>97.6562578297643</v>
      </c>
      <c r="V456" s="81" cm="1">
        <f ca="1" t="array" ref="V456">IF(V758=1,OFFSET($Z$338,$B456,V$335-1)/SUMPRODUCT(--($D$335:$V$335=V$335),--($D758:$V758=1)),0)+SUM(V455)+IF(COUNTIF(V$641:V758,1)=1,5,0)+IF(COUNTIF(Z456:$Z456,"&gt;"&amp;0)&gt;5,IF(MOD(COUNTIF(V$641:V758,1),7)=0,$C$4,0),0)</f>
        <v>89.6984386404824</v>
      </c>
      <c r="W456" s="81" cm="1">
        <f ca="1" t="array" ref="W456">IF(W758=1,OFFSET($Z$338,$B456,W$335-1)/SUMPRODUCT(--($D$335:$V$335=W$335),--($D758:$V758=1)),0)+SUM(W455)+IF(COUNTIF(W$641:W758,1)=1,5,0)+IF(COUNTIF($Z456:AA456,"&gt;"&amp;0)&gt;5,IF(MOD(COUNTIF(W$641:W758,1),7)=0,$C$4,0),0)</f>
        <v>80.3425695255331</v>
      </c>
      <c r="X456" s="81" cm="1">
        <f ca="1" t="array" ref="X456">IF(X758=1,OFFSET($Z$338,$B456,X$335-1)/SUMPRODUCT(--($D$335:$V$335=X$335),--($D758:$V758=1)),0)+SUM(X455)+IF(COUNTIF(X$641:X758,1)=1,5,0)+IF(COUNTIF($Z456:AB456,"&gt;"&amp;0)&gt;5,IF(MOD(COUNTIF(X$641:X758,1),7)=0,$C$4,0),0)</f>
        <v>73.5789092348996</v>
      </c>
      <c r="Y456" s="81" cm="1">
        <f ca="1" t="array" ref="Y456">IF(Y758=1,OFFSET($Z$338,$B456,Y$335-1)/SUMPRODUCT(--($D$335:$V$335=Y$335),--($D758:$V758=1)),0)+SUM(Y455)+IF(COUNTIF(Y$641:Y758,1)=1,5,0)+IF(COUNTIF($Z456:AC456,"&gt;"&amp;0)&gt;5,IF(MOD(COUNTIF(Y$641:Y758,1),7)=0,$C$4,0),0)</f>
        <v>66.8152489442662</v>
      </c>
      <c r="Z456" s="82" cm="1">
        <f ca="1" t="array" ref="Z456">SUMPRODUCT(TRANSPOSE($AD456:$AJ456),OFFSET($L$10:$L$16,0,Z$335-1))</f>
        <v>0</v>
      </c>
      <c r="AA456" s="82" cm="1">
        <f ca="1" t="array" ref="AA456">SUMPRODUCT(TRANSPOSE($AD456:$AJ456),OFFSET($L$10:$L$16,0,AA$335-1))</f>
        <v>0</v>
      </c>
      <c r="AB456" s="82" cm="1">
        <f ca="1" t="array" ref="AB456">SUMPRODUCT(TRANSPOSE($AD456:$AJ456),OFFSET($L$10:$L$16,0,AB$335-1))</f>
        <v>0</v>
      </c>
      <c r="AC456" s="82" cm="1">
        <f ca="1" t="array" ref="AC456">SUMPRODUCT(TRANSPOSE($AD456:$AJ456),OFFSET($L$10:$L$16,0,AC$335-1))</f>
        <v>0</v>
      </c>
      <c r="AD456" s="83">
        <f ca="1" t="shared" ref="AD456:AJ456" si="557">AK456-AK455</f>
        <v>0</v>
      </c>
      <c r="AE456" s="83">
        <f ca="1" t="shared" si="557"/>
        <v>0</v>
      </c>
      <c r="AF456" s="83">
        <f ca="1" t="shared" si="557"/>
        <v>0</v>
      </c>
      <c r="AG456" s="83">
        <f ca="1" t="shared" si="557"/>
        <v>0</v>
      </c>
      <c r="AH456" s="83">
        <f ca="1" t="shared" si="557"/>
        <v>0</v>
      </c>
      <c r="AI456" s="83">
        <f ca="1" t="shared" si="557"/>
        <v>0</v>
      </c>
      <c r="AJ456" s="83">
        <f ca="1" t="shared" si="557"/>
        <v>0</v>
      </c>
      <c r="AK456" s="83">
        <f ca="1" t="shared" si="451"/>
        <v>450</v>
      </c>
      <c r="AL456" s="83">
        <f ca="1" t="shared" ref="AL456:AQ456" si="558">IF($C456&gt;OFFSET($Q$9,MATCH(AL$338,$AK$338:$AQ$338,0),0),OFFSET($P$9,MATCH(AL$338,$AK$338:$AQ$338,0),0),MAX(0,$C456-OFFSET($Q$9,RIGHT(AL$338,1)-1,0)))</f>
        <v>909</v>
      </c>
      <c r="AM456" s="83">
        <f ca="1" t="shared" si="558"/>
        <v>1818</v>
      </c>
      <c r="AN456" s="83">
        <f ca="1" t="shared" si="558"/>
        <v>2727</v>
      </c>
      <c r="AO456" s="83">
        <f ca="1" t="shared" si="558"/>
        <v>3636</v>
      </c>
      <c r="AP456" s="83">
        <f ca="1" t="shared" si="558"/>
        <v>4545</v>
      </c>
      <c r="AQ456" s="83">
        <f ca="1" t="shared" si="558"/>
        <v>0</v>
      </c>
    </row>
    <row r="457" ht="16.5" spans="2:43">
      <c r="B457" s="65">
        <v>119</v>
      </c>
      <c r="C457" s="80">
        <f t="shared" si="449"/>
        <v>14416</v>
      </c>
      <c r="D457" s="81" cm="1">
        <f ca="1" t="array" ref="D457">IF(D759=1,OFFSET($Z$338,$B457,D$335-1)/SUMPRODUCT(--($D$335:$V$335=D$335),--($D759:$V759=1)),0)+SUM(D456)+IF(COUNTIF(D$641:D759,1)=1,5,0)+IF(COUNTIF(E457:$Z457,"&gt;"&amp;0)&gt;5,IF(MOD(COUNTIF(D$641:D759,1),7)=0,$C$4,0),0)</f>
        <v>1203.82134856666</v>
      </c>
      <c r="E457" s="81" cm="1">
        <f ca="1" t="array" ref="E457">IF(E759=1,OFFSET($Z$338,$B457,E$335-1)/SUMPRODUCT(--($D$335:$V$335=E$335),--($D759:$V759=1)),0)+SUM(E456)+IF(COUNTIF(E$641:E759,1)=1,5,0)+IF(COUNTIF(F457:$Z457,"&gt;"&amp;0)&gt;5,IF(MOD(COUNTIF(E$641:E759,1),7)=0,$C$4,0),0)</f>
        <v>1203.82134856666</v>
      </c>
      <c r="F457" s="81" cm="1">
        <f ca="1" t="array" ref="F457">IF(F759=1,OFFSET($Z$338,$B457,F$335-1)/SUMPRODUCT(--($D$335:$V$335=F$335),--($D759:$V759=1)),0)+SUM(F456)+IF(COUNTIF(F$641:F759,1)=1,5,0)+IF(COUNTIF(G457:$Z457,"&gt;"&amp;0)&gt;5,IF(MOD(COUNTIF(F$641:F759,1),7)=0,$C$4,0),0)</f>
        <v>1203.82134856666</v>
      </c>
      <c r="G457" s="81" cm="1">
        <f ca="1" t="array" ref="G457">IF(G759=1,OFFSET($Z$338,$B457,G$335-1)/SUMPRODUCT(--($D$335:$V$335=G$335),--($D759:$V759=1)),0)+SUM(G456)+IF(COUNTIF(G$641:G759,1)=1,5,0)+IF(COUNTIF(H457:$Z457,"&gt;"&amp;0)&gt;5,IF(MOD(COUNTIF(G$641:G759,1),7)=0,$C$4,0),0)</f>
        <v>492.516666666668</v>
      </c>
      <c r="H457" s="81" cm="1">
        <f ca="1" t="array" ref="H457">IF(H759=1,OFFSET($Z$338,$B457,H$335-1)/SUMPRODUCT(--($D$335:$V$335=H$335),--($D759:$V759=1)),0)+SUM(H456)+IF(COUNTIF(H$641:H759,1)=1,5,0)+IF(COUNTIF(I457:$Z457,"&gt;"&amp;0)&gt;5,IF(MOD(COUNTIF(H$641:H759,1),7)=0,$C$4,0),0)</f>
        <v>492.516666666668</v>
      </c>
      <c r="I457" s="81" cm="1">
        <f ca="1" t="array" ref="I457">IF(I759=1,OFFSET($Z$338,$B457,I$335-1)/SUMPRODUCT(--($D$335:$V$335=I$335),--($D759:$V759=1)),0)+SUM(I456)+IF(COUNTIF(I$641:I759,1)=1,5,0)+IF(COUNTIF(J457:$Z457,"&gt;"&amp;0)&gt;5,IF(MOD(COUNTIF(I$641:I759,1),7)=0,$C$4,0),0)</f>
        <v>492.516666666668</v>
      </c>
      <c r="J457" s="81" cm="1">
        <f ca="1" t="array" ref="J457">IF(J759=1,OFFSET($Z$338,$B457,J$335-1)/SUMPRODUCT(--($D$335:$V$335=J$335),--($D759:$V759=1)),0)+SUM(J456)+IF(COUNTIF(J$641:J759,1)=1,5,0)+IF(COUNTIF(K457:$Z457,"&gt;"&amp;0)&gt;5,IF(MOD(COUNTIF(J$641:J759,1),7)=0,$C$4,0),0)</f>
        <v>492.516666666668</v>
      </c>
      <c r="K457" s="81" cm="1">
        <f ca="1" t="array" ref="K457">IF(K759=1,OFFSET($Z$338,$B457,K$335-1)/SUMPRODUCT(--($D$335:$V$335=K$335),--($D759:$V759=1)),0)+SUM(K456)+IF(COUNTIF(K$641:K759,1)=1,5,0)+IF(COUNTIF(L457:$Z457,"&gt;"&amp;0)&gt;5,IF(MOD(COUNTIF(K$641:K759,1),7)=0,$C$4,0),0)</f>
        <v>492.516666666668</v>
      </c>
      <c r="L457" s="81" cm="1">
        <f ca="1" t="array" ref="L457">IF(L759=1,OFFSET($Z$338,$B457,L$335-1)/SUMPRODUCT(--($D$335:$V$335=L$335),--($D759:$V759=1)),0)+SUM(L456)+IF(COUNTIF(L$641:L759,1)=1,5,0)+IF(COUNTIF(M457:$Z457,"&gt;"&amp;0)&gt;5,IF(MOD(COUNTIF(L$641:L759,1),7)=0,$C$4,0),0)</f>
        <v>480.816666666668</v>
      </c>
      <c r="M457" s="81" cm="1">
        <f ca="1" t="array" ref="M457">IF(M759=1,OFFSET($Z$338,$B457,M$335-1)/SUMPRODUCT(--($D$335:$V$335=M$335),--($D759:$V759=1)),0)+SUM(M456)+IF(COUNTIF(M$641:M759,1)=1,5,0)+IF(COUNTIF(N457:$Z457,"&gt;"&amp;0)&gt;5,IF(MOD(COUNTIF(M$641:M759,1),7)=0,$C$4,0),0)</f>
        <v>235.644107142858</v>
      </c>
      <c r="N457" s="81" cm="1">
        <f ca="1" t="array" ref="N457">IF(N759=1,OFFSET($Z$338,$B457,N$335-1)/SUMPRODUCT(--($D$335:$V$335=N$335),--($D759:$V759=1)),0)+SUM(N456)+IF(COUNTIF(N$641:N759,1)=1,5,0)+IF(COUNTIF(O457:$Z457,"&gt;"&amp;0)&gt;5,IF(MOD(COUNTIF(N$641:N759,1),7)=0,$C$4,0),0)</f>
        <v>227.919107142858</v>
      </c>
      <c r="O457" s="81" cm="1">
        <f ca="1" t="array" ref="O457">IF(O759=1,OFFSET($Z$338,$B457,O$335-1)/SUMPRODUCT(--($D$335:$V$335=O$335),--($D759:$V759=1)),0)+SUM(O456)+IF(COUNTIF(O$641:O759,1)=1,5,0)+IF(COUNTIF(P457:$Z457,"&gt;"&amp;0)&gt;5,IF(MOD(COUNTIF(O$641:O759,1),7)=0,$C$4,0),0)</f>
        <v>225.494107142858</v>
      </c>
      <c r="P457" s="81" cm="1">
        <f ca="1" t="array" ref="P457">IF(P759=1,OFFSET($Z$338,$B457,P$335-1)/SUMPRODUCT(--($D$335:$V$335=P$335),--($D759:$V759=1)),0)+SUM(P456)+IF(COUNTIF(P$641:P759,1)=1,5,0)+IF(COUNTIF(Q457:$Z457,"&gt;"&amp;0)&gt;5,IF(MOD(COUNTIF(P$641:P759,1),7)=0,$C$4,0),0)</f>
        <v>222.560773809524</v>
      </c>
      <c r="Q457" s="81" cm="1">
        <f ca="1" t="array" ref="Q457">IF(Q759=1,OFFSET($Z$338,$B457,Q$335-1)/SUMPRODUCT(--($D$335:$V$335=Q$335),--($D759:$V759=1)),0)+SUM(Q456)+IF(COUNTIF(Q$641:Q759,1)=1,5,0)+IF(COUNTIF(R457:$Z457,"&gt;"&amp;0)&gt;5,IF(MOD(COUNTIF(Q$641:Q759,1),7)=0,$C$4,0),0)</f>
        <v>221.654523809524</v>
      </c>
      <c r="R457" s="81" cm="1">
        <f ca="1" t="array" ref="R457">IF(R759=1,OFFSET($Z$338,$B457,R$335-1)/SUMPRODUCT(--($D$335:$V$335=R$335),--($D759:$V759=1)),0)+SUM(R456)+IF(COUNTIF(R$641:R759,1)=1,5,0)+IF(COUNTIF(S457:$Z457,"&gt;"&amp;0)&gt;5,IF(MOD(COUNTIF(R$641:R759,1),7)=0,$C$4,0),0)</f>
        <v>196.759523809524</v>
      </c>
      <c r="S457" s="81" cm="1">
        <f ca="1" t="array" ref="S457">IF(S759=1,OFFSET($Z$338,$B457,S$335-1)/SUMPRODUCT(--($D$335:$V$335=S$335),--($D759:$V759=1)),0)+SUM(S456)+IF(COUNTIF(S$641:S759,1)=1,5,0)+IF(COUNTIF(T457:$Z457,"&gt;"&amp;0)&gt;5,IF(MOD(COUNTIF(S$641:S759,1),7)=0,$C$4,0),0)</f>
        <v>187.592857142857</v>
      </c>
      <c r="T457" s="81" cm="1">
        <f ca="1" t="array" ref="T457">IF(T759=1,OFFSET($Z$338,$B457,T$335-1)/SUMPRODUCT(--($D$335:$V$335=T$335),--($D759:$V759=1)),0)+SUM(T456)+IF(COUNTIF(T$641:T759,1)=1,5,0)+IF(COUNTIF(U457:$Z457,"&gt;"&amp;0)&gt;5,IF(MOD(COUNTIF(T$641:T759,1),7)=0,$C$4,0),0)</f>
        <v>137.656257829764</v>
      </c>
      <c r="U457" s="81" cm="1">
        <f ca="1" t="array" ref="U457">IF(U759=1,OFFSET($Z$338,$B457,U$335-1)/SUMPRODUCT(--($D$335:$V$335=U$335),--($D759:$V759=1)),0)+SUM(U456)+IF(COUNTIF(U$641:U759,1)=1,5,0)+IF(COUNTIF(V457:$Z457,"&gt;"&amp;0)&gt;5,IF(MOD(COUNTIF(U$641:U759,1),7)=0,$C$4,0),0)</f>
        <v>97.6562578297643</v>
      </c>
      <c r="V457" s="81" cm="1">
        <f ca="1" t="array" ref="V457">IF(V759=1,OFFSET($Z$338,$B457,V$335-1)/SUMPRODUCT(--($D$335:$V$335=V$335),--($D759:$V759=1)),0)+SUM(V456)+IF(COUNTIF(V$641:V759,1)=1,5,0)+IF(COUNTIF(Z457:$Z457,"&gt;"&amp;0)&gt;5,IF(MOD(COUNTIF(V$641:V759,1),7)=0,$C$4,0),0)</f>
        <v>89.6984386404824</v>
      </c>
      <c r="W457" s="81" cm="1">
        <f ca="1" t="array" ref="W457">IF(W759=1,OFFSET($Z$338,$B457,W$335-1)/SUMPRODUCT(--($D$335:$V$335=W$335),--($D759:$V759=1)),0)+SUM(W456)+IF(COUNTIF(W$641:W759,1)=1,5,0)+IF(COUNTIF($Z457:AA457,"&gt;"&amp;0)&gt;5,IF(MOD(COUNTIF(W$641:W759,1),7)=0,$C$4,0),0)</f>
        <v>80.3425695255331</v>
      </c>
      <c r="X457" s="81" cm="1">
        <f ca="1" t="array" ref="X457">IF(X759=1,OFFSET($Z$338,$B457,X$335-1)/SUMPRODUCT(--($D$335:$V$335=X$335),--($D759:$V759=1)),0)+SUM(X456)+IF(COUNTIF(X$641:X759,1)=1,5,0)+IF(COUNTIF($Z457:AB457,"&gt;"&amp;0)&gt;5,IF(MOD(COUNTIF(X$641:X759,1),7)=0,$C$4,0),0)</f>
        <v>73.5789092348996</v>
      </c>
      <c r="Y457" s="81" cm="1">
        <f ca="1" t="array" ref="Y457">IF(Y759=1,OFFSET($Z$338,$B457,Y$335-1)/SUMPRODUCT(--($D$335:$V$335=Y$335),--($D759:$V759=1)),0)+SUM(Y456)+IF(COUNTIF(Y$641:Y759,1)=1,5,0)+IF(COUNTIF($Z457:AC457,"&gt;"&amp;0)&gt;5,IF(MOD(COUNTIF(Y$641:Y759,1),7)=0,$C$4,0),0)</f>
        <v>66.8152489442662</v>
      </c>
      <c r="Z457" s="82" cm="1">
        <f ca="1" t="array" ref="Z457">SUMPRODUCT(TRANSPOSE($AD457:$AJ457),OFFSET($L$10:$L$16,0,Z$335-1))</f>
        <v>0</v>
      </c>
      <c r="AA457" s="82" cm="1">
        <f ca="1" t="array" ref="AA457">SUMPRODUCT(TRANSPOSE($AD457:$AJ457),OFFSET($L$10:$L$16,0,AA$335-1))</f>
        <v>0</v>
      </c>
      <c r="AB457" s="82" cm="1">
        <f ca="1" t="array" ref="AB457">SUMPRODUCT(TRANSPOSE($AD457:$AJ457),OFFSET($L$10:$L$16,0,AB$335-1))</f>
        <v>0</v>
      </c>
      <c r="AC457" s="82" cm="1">
        <f ca="1" t="array" ref="AC457">SUMPRODUCT(TRANSPOSE($AD457:$AJ457),OFFSET($L$10:$L$16,0,AC$335-1))</f>
        <v>0</v>
      </c>
      <c r="AD457" s="83">
        <f ca="1" t="shared" ref="AD457:AJ457" si="559">AK457-AK456</f>
        <v>0</v>
      </c>
      <c r="AE457" s="83">
        <f ca="1" t="shared" si="559"/>
        <v>0</v>
      </c>
      <c r="AF457" s="83">
        <f ca="1" t="shared" si="559"/>
        <v>0</v>
      </c>
      <c r="AG457" s="83">
        <f ca="1" t="shared" si="559"/>
        <v>0</v>
      </c>
      <c r="AH457" s="83">
        <f ca="1" t="shared" si="559"/>
        <v>0</v>
      </c>
      <c r="AI457" s="83">
        <f ca="1" t="shared" si="559"/>
        <v>0</v>
      </c>
      <c r="AJ457" s="83">
        <f ca="1" t="shared" si="559"/>
        <v>0</v>
      </c>
      <c r="AK457" s="83">
        <f ca="1" t="shared" si="451"/>
        <v>450</v>
      </c>
      <c r="AL457" s="83">
        <f ca="1" t="shared" ref="AL457:AQ457" si="560">IF($C457&gt;OFFSET($Q$9,MATCH(AL$338,$AK$338:$AQ$338,0),0),OFFSET($P$9,MATCH(AL$338,$AK$338:$AQ$338,0),0),MAX(0,$C457-OFFSET($Q$9,RIGHT(AL$338,1)-1,0)))</f>
        <v>909</v>
      </c>
      <c r="AM457" s="83">
        <f ca="1" t="shared" si="560"/>
        <v>1818</v>
      </c>
      <c r="AN457" s="83">
        <f ca="1" t="shared" si="560"/>
        <v>2727</v>
      </c>
      <c r="AO457" s="83">
        <f ca="1" t="shared" si="560"/>
        <v>3636</v>
      </c>
      <c r="AP457" s="83">
        <f ca="1" t="shared" si="560"/>
        <v>4545</v>
      </c>
      <c r="AQ457" s="83">
        <f ca="1" t="shared" si="560"/>
        <v>0</v>
      </c>
    </row>
    <row r="458" ht="16.5" spans="2:43">
      <c r="B458" s="65">
        <v>120</v>
      </c>
      <c r="C458" s="80">
        <f t="shared" si="449"/>
        <v>14526</v>
      </c>
      <c r="D458" s="81" cm="1">
        <f ca="1" t="array" ref="D458">IF(D760=1,OFFSET($Z$338,$B458,D$335-1)/SUMPRODUCT(--($D$335:$V$335=D$335),--($D760:$V760=1)),0)+SUM(D457)+IF(COUNTIF(D$641:D760,1)=1,5,0)+IF(COUNTIF(E458:$Z458,"&gt;"&amp;0)&gt;5,IF(MOD(COUNTIF(D$641:D760,1),7)=0,$C$4,0),0)</f>
        <v>1203.82134856666</v>
      </c>
      <c r="E458" s="81" cm="1">
        <f ca="1" t="array" ref="E458">IF(E760=1,OFFSET($Z$338,$B458,E$335-1)/SUMPRODUCT(--($D$335:$V$335=E$335),--($D760:$V760=1)),0)+SUM(E457)+IF(COUNTIF(E$641:E760,1)=1,5,0)+IF(COUNTIF(F458:$Z458,"&gt;"&amp;0)&gt;5,IF(MOD(COUNTIF(E$641:E760,1),7)=0,$C$4,0),0)</f>
        <v>1203.82134856666</v>
      </c>
      <c r="F458" s="81" cm="1">
        <f ca="1" t="array" ref="F458">IF(F760=1,OFFSET($Z$338,$B458,F$335-1)/SUMPRODUCT(--($D$335:$V$335=F$335),--($D760:$V760=1)),0)+SUM(F457)+IF(COUNTIF(F$641:F760,1)=1,5,0)+IF(COUNTIF(G458:$Z458,"&gt;"&amp;0)&gt;5,IF(MOD(COUNTIF(F$641:F760,1),7)=0,$C$4,0),0)</f>
        <v>1203.82134856666</v>
      </c>
      <c r="G458" s="81" cm="1">
        <f ca="1" t="array" ref="G458">IF(G760=1,OFFSET($Z$338,$B458,G$335-1)/SUMPRODUCT(--($D$335:$V$335=G$335),--($D760:$V760=1)),0)+SUM(G457)+IF(COUNTIF(G$641:G760,1)=1,5,0)+IF(COUNTIF(H458:$Z458,"&gt;"&amp;0)&gt;5,IF(MOD(COUNTIF(G$641:G760,1),7)=0,$C$4,0),0)</f>
        <v>492.516666666668</v>
      </c>
      <c r="H458" s="81" cm="1">
        <f ca="1" t="array" ref="H458">IF(H760=1,OFFSET($Z$338,$B458,H$335-1)/SUMPRODUCT(--($D$335:$V$335=H$335),--($D760:$V760=1)),0)+SUM(H457)+IF(COUNTIF(H$641:H760,1)=1,5,0)+IF(COUNTIF(I458:$Z458,"&gt;"&amp;0)&gt;5,IF(MOD(COUNTIF(H$641:H760,1),7)=0,$C$4,0),0)</f>
        <v>492.516666666668</v>
      </c>
      <c r="I458" s="81" cm="1">
        <f ca="1" t="array" ref="I458">IF(I760=1,OFFSET($Z$338,$B458,I$335-1)/SUMPRODUCT(--($D$335:$V$335=I$335),--($D760:$V760=1)),0)+SUM(I457)+IF(COUNTIF(I$641:I760,1)=1,5,0)+IF(COUNTIF(J458:$Z458,"&gt;"&amp;0)&gt;5,IF(MOD(COUNTIF(I$641:I760,1),7)=0,$C$4,0),0)</f>
        <v>492.516666666668</v>
      </c>
      <c r="J458" s="81" cm="1">
        <f ca="1" t="array" ref="J458">IF(J760=1,OFFSET($Z$338,$B458,J$335-1)/SUMPRODUCT(--($D$335:$V$335=J$335),--($D760:$V760=1)),0)+SUM(J457)+IF(COUNTIF(J$641:J760,1)=1,5,0)+IF(COUNTIF(K458:$Z458,"&gt;"&amp;0)&gt;5,IF(MOD(COUNTIF(J$641:J760,1),7)=0,$C$4,0),0)</f>
        <v>492.516666666668</v>
      </c>
      <c r="K458" s="81" cm="1">
        <f ca="1" t="array" ref="K458">IF(K760=1,OFFSET($Z$338,$B458,K$335-1)/SUMPRODUCT(--($D$335:$V$335=K$335),--($D760:$V760=1)),0)+SUM(K457)+IF(COUNTIF(K$641:K760,1)=1,5,0)+IF(COUNTIF(L458:$Z458,"&gt;"&amp;0)&gt;5,IF(MOD(COUNTIF(K$641:K760,1),7)=0,$C$4,0),0)</f>
        <v>492.516666666668</v>
      </c>
      <c r="L458" s="81" cm="1">
        <f ca="1" t="array" ref="L458">IF(L760=1,OFFSET($Z$338,$B458,L$335-1)/SUMPRODUCT(--($D$335:$V$335=L$335),--($D760:$V760=1)),0)+SUM(L457)+IF(COUNTIF(L$641:L760,1)=1,5,0)+IF(COUNTIF(M458:$Z458,"&gt;"&amp;0)&gt;5,IF(MOD(COUNTIF(L$641:L760,1),7)=0,$C$4,0),0)</f>
        <v>485.816666666668</v>
      </c>
      <c r="M458" s="81" cm="1">
        <f ca="1" t="array" ref="M458">IF(M760=1,OFFSET($Z$338,$B458,M$335-1)/SUMPRODUCT(--($D$335:$V$335=M$335),--($D760:$V760=1)),0)+SUM(M457)+IF(COUNTIF(M$641:M760,1)=1,5,0)+IF(COUNTIF(N458:$Z458,"&gt;"&amp;0)&gt;5,IF(MOD(COUNTIF(M$641:M760,1),7)=0,$C$4,0),0)</f>
        <v>240.644107142858</v>
      </c>
      <c r="N458" s="81" cm="1">
        <f ca="1" t="array" ref="N458">IF(N760=1,OFFSET($Z$338,$B458,N$335-1)/SUMPRODUCT(--($D$335:$V$335=N$335),--($D760:$V760=1)),0)+SUM(N457)+IF(COUNTIF(N$641:N760,1)=1,5,0)+IF(COUNTIF(O458:$Z458,"&gt;"&amp;0)&gt;5,IF(MOD(COUNTIF(N$641:N760,1),7)=0,$C$4,0),0)</f>
        <v>227.919107142858</v>
      </c>
      <c r="O458" s="81" cm="1">
        <f ca="1" t="array" ref="O458">IF(O760=1,OFFSET($Z$338,$B458,O$335-1)/SUMPRODUCT(--($D$335:$V$335=O$335),--($D760:$V760=1)),0)+SUM(O457)+IF(COUNTIF(O$641:O760,1)=1,5,0)+IF(COUNTIF(P458:$Z458,"&gt;"&amp;0)&gt;5,IF(MOD(COUNTIF(O$641:O760,1),7)=0,$C$4,0),0)</f>
        <v>225.494107142858</v>
      </c>
      <c r="P458" s="81" cm="1">
        <f ca="1" t="array" ref="P458">IF(P760=1,OFFSET($Z$338,$B458,P$335-1)/SUMPRODUCT(--($D$335:$V$335=P$335),--($D760:$V760=1)),0)+SUM(P457)+IF(COUNTIF(P$641:P760,1)=1,5,0)+IF(COUNTIF(Q458:$Z458,"&gt;"&amp;0)&gt;5,IF(MOD(COUNTIF(P$641:P760,1),7)=0,$C$4,0),0)</f>
        <v>222.560773809524</v>
      </c>
      <c r="Q458" s="81" cm="1">
        <f ca="1" t="array" ref="Q458">IF(Q760=1,OFFSET($Z$338,$B458,Q$335-1)/SUMPRODUCT(--($D$335:$V$335=Q$335),--($D760:$V760=1)),0)+SUM(Q457)+IF(COUNTIF(Q$641:Q760,1)=1,5,0)+IF(COUNTIF(R458:$Z458,"&gt;"&amp;0)&gt;5,IF(MOD(COUNTIF(Q$641:Q760,1),7)=0,$C$4,0),0)</f>
        <v>221.654523809524</v>
      </c>
      <c r="R458" s="81" cm="1">
        <f ca="1" t="array" ref="R458">IF(R760=1,OFFSET($Z$338,$B458,R$335-1)/SUMPRODUCT(--($D$335:$V$335=R$335),--($D760:$V760=1)),0)+SUM(R457)+IF(COUNTIF(R$641:R760,1)=1,5,0)+IF(COUNTIF(S458:$Z458,"&gt;"&amp;0)&gt;5,IF(MOD(COUNTIF(R$641:R760,1),7)=0,$C$4,0),0)</f>
        <v>196.759523809524</v>
      </c>
      <c r="S458" s="81" cm="1">
        <f ca="1" t="array" ref="S458">IF(S760=1,OFFSET($Z$338,$B458,S$335-1)/SUMPRODUCT(--($D$335:$V$335=S$335),--($D760:$V760=1)),0)+SUM(S457)+IF(COUNTIF(S$641:S760,1)=1,5,0)+IF(COUNTIF(T458:$Z458,"&gt;"&amp;0)&gt;5,IF(MOD(COUNTIF(S$641:S760,1),7)=0,$C$4,0),0)</f>
        <v>187.592857142857</v>
      </c>
      <c r="T458" s="81" cm="1">
        <f ca="1" t="array" ref="T458">IF(T760=1,OFFSET($Z$338,$B458,T$335-1)/SUMPRODUCT(--($D$335:$V$335=T$335),--($D760:$V760=1)),0)+SUM(T457)+IF(COUNTIF(T$641:T760,1)=1,5,0)+IF(COUNTIF(U458:$Z458,"&gt;"&amp;0)&gt;5,IF(MOD(COUNTIF(T$641:T760,1),7)=0,$C$4,0),0)</f>
        <v>137.656257829764</v>
      </c>
      <c r="U458" s="81" cm="1">
        <f ca="1" t="array" ref="U458">IF(U760=1,OFFSET($Z$338,$B458,U$335-1)/SUMPRODUCT(--($D$335:$V$335=U$335),--($D760:$V760=1)),0)+SUM(U457)+IF(COUNTIF(U$641:U760,1)=1,5,0)+IF(COUNTIF(V458:$Z458,"&gt;"&amp;0)&gt;5,IF(MOD(COUNTIF(U$641:U760,1),7)=0,$C$4,0),0)</f>
        <v>97.6562578297643</v>
      </c>
      <c r="V458" s="81" cm="1">
        <f ca="1" t="array" ref="V458">IF(V760=1,OFFSET($Z$338,$B458,V$335-1)/SUMPRODUCT(--($D$335:$V$335=V$335),--($D760:$V760=1)),0)+SUM(V457)+IF(COUNTIF(V$641:V760,1)=1,5,0)+IF(COUNTIF(Z458:$Z458,"&gt;"&amp;0)&gt;5,IF(MOD(COUNTIF(V$641:V760,1),7)=0,$C$4,0),0)</f>
        <v>89.6984386404824</v>
      </c>
      <c r="W458" s="81" cm="1">
        <f ca="1" t="array" ref="W458">IF(W760=1,OFFSET($Z$338,$B458,W$335-1)/SUMPRODUCT(--($D$335:$V$335=W$335),--($D760:$V760=1)),0)+SUM(W457)+IF(COUNTIF(W$641:W760,1)=1,5,0)+IF(COUNTIF($Z458:AA458,"&gt;"&amp;0)&gt;5,IF(MOD(COUNTIF(W$641:W760,1),7)=0,$C$4,0),0)</f>
        <v>80.3425695255331</v>
      </c>
      <c r="X458" s="81" cm="1">
        <f ca="1" t="array" ref="X458">IF(X760=1,OFFSET($Z$338,$B458,X$335-1)/SUMPRODUCT(--($D$335:$V$335=X$335),--($D760:$V760=1)),0)+SUM(X457)+IF(COUNTIF(X$641:X760,1)=1,5,0)+IF(COUNTIF($Z458:AB458,"&gt;"&amp;0)&gt;5,IF(MOD(COUNTIF(X$641:X760,1),7)=0,$C$4,0),0)</f>
        <v>73.5789092348996</v>
      </c>
      <c r="Y458" s="81" cm="1">
        <f ca="1" t="array" ref="Y458">IF(Y760=1,OFFSET($Z$338,$B458,Y$335-1)/SUMPRODUCT(--($D$335:$V$335=Y$335),--($D760:$V760=1)),0)+SUM(Y457)+IF(COUNTIF(Y$641:Y760,1)=1,5,0)+IF(COUNTIF($Z458:AC458,"&gt;"&amp;0)&gt;5,IF(MOD(COUNTIF(Y$641:Y760,1),7)=0,$C$4,0),0)</f>
        <v>66.8152489442662</v>
      </c>
      <c r="Z458" s="82" cm="1">
        <f ca="1" t="array" ref="Z458">SUMPRODUCT(TRANSPOSE($AD458:$AJ458),OFFSET($L$10:$L$16,0,Z$335-1))</f>
        <v>0</v>
      </c>
      <c r="AA458" s="82" cm="1">
        <f ca="1" t="array" ref="AA458">SUMPRODUCT(TRANSPOSE($AD458:$AJ458),OFFSET($L$10:$L$16,0,AA$335-1))</f>
        <v>0</v>
      </c>
      <c r="AB458" s="82" cm="1">
        <f ca="1" t="array" ref="AB458">SUMPRODUCT(TRANSPOSE($AD458:$AJ458),OFFSET($L$10:$L$16,0,AB$335-1))</f>
        <v>0</v>
      </c>
      <c r="AC458" s="82" cm="1">
        <f ca="1" t="array" ref="AC458">SUMPRODUCT(TRANSPOSE($AD458:$AJ458),OFFSET($L$10:$L$16,0,AC$335-1))</f>
        <v>0</v>
      </c>
      <c r="AD458" s="83">
        <f ca="1" t="shared" ref="AD458:AJ458" si="561">AK458-AK457</f>
        <v>0</v>
      </c>
      <c r="AE458" s="83">
        <f ca="1" t="shared" si="561"/>
        <v>0</v>
      </c>
      <c r="AF458" s="83">
        <f ca="1" t="shared" si="561"/>
        <v>0</v>
      </c>
      <c r="AG458" s="83">
        <f ca="1" t="shared" si="561"/>
        <v>0</v>
      </c>
      <c r="AH458" s="83">
        <f ca="1" t="shared" si="561"/>
        <v>0</v>
      </c>
      <c r="AI458" s="83">
        <f ca="1" t="shared" si="561"/>
        <v>0</v>
      </c>
      <c r="AJ458" s="83">
        <f ca="1" t="shared" si="561"/>
        <v>0</v>
      </c>
      <c r="AK458" s="83">
        <f ca="1" t="shared" si="451"/>
        <v>450</v>
      </c>
      <c r="AL458" s="83">
        <f ca="1" t="shared" ref="AL458:AQ458" si="562">IF($C458&gt;OFFSET($Q$9,MATCH(AL$338,$AK$338:$AQ$338,0),0),OFFSET($P$9,MATCH(AL$338,$AK$338:$AQ$338,0),0),MAX(0,$C458-OFFSET($Q$9,RIGHT(AL$338,1)-1,0)))</f>
        <v>909</v>
      </c>
      <c r="AM458" s="83">
        <f ca="1" t="shared" si="562"/>
        <v>1818</v>
      </c>
      <c r="AN458" s="83">
        <f ca="1" t="shared" si="562"/>
        <v>2727</v>
      </c>
      <c r="AO458" s="83">
        <f ca="1" t="shared" si="562"/>
        <v>3636</v>
      </c>
      <c r="AP458" s="83">
        <f ca="1" t="shared" si="562"/>
        <v>4545</v>
      </c>
      <c r="AQ458" s="83">
        <f ca="1" t="shared" si="562"/>
        <v>0</v>
      </c>
    </row>
    <row r="459" ht="16.5" spans="2:43">
      <c r="B459" s="65">
        <v>121</v>
      </c>
      <c r="C459" s="80">
        <f t="shared" si="449"/>
        <v>14636</v>
      </c>
      <c r="D459" s="81" cm="1">
        <f ca="1" t="array" ref="D459">IF(D761=1,OFFSET($Z$338,$B459,D$335-1)/SUMPRODUCT(--($D$335:$V$335=D$335),--($D761:$V761=1)),0)+SUM(D458)+IF(COUNTIF(D$641:D761,1)=1,5,0)+IF(COUNTIF(E459:$Z459,"&gt;"&amp;0)&gt;5,IF(MOD(COUNTIF(D$641:D761,1),7)=0,$C$4,0),0)</f>
        <v>1203.82134856666</v>
      </c>
      <c r="E459" s="81" cm="1">
        <f ca="1" t="array" ref="E459">IF(E761=1,OFFSET($Z$338,$B459,E$335-1)/SUMPRODUCT(--($D$335:$V$335=E$335),--($D761:$V761=1)),0)+SUM(E458)+IF(COUNTIF(E$641:E761,1)=1,5,0)+IF(COUNTIF(F459:$Z459,"&gt;"&amp;0)&gt;5,IF(MOD(COUNTIF(E$641:E761,1),7)=0,$C$4,0),0)</f>
        <v>1203.82134856666</v>
      </c>
      <c r="F459" s="81" cm="1">
        <f ca="1" t="array" ref="F459">IF(F761=1,OFFSET($Z$338,$B459,F$335-1)/SUMPRODUCT(--($D$335:$V$335=F$335),--($D761:$V761=1)),0)+SUM(F458)+IF(COUNTIF(F$641:F761,1)=1,5,0)+IF(COUNTIF(G459:$Z459,"&gt;"&amp;0)&gt;5,IF(MOD(COUNTIF(F$641:F761,1),7)=0,$C$4,0),0)</f>
        <v>1203.82134856666</v>
      </c>
      <c r="G459" s="81" cm="1">
        <f ca="1" t="array" ref="G459">IF(G761=1,OFFSET($Z$338,$B459,G$335-1)/SUMPRODUCT(--($D$335:$V$335=G$335),--($D761:$V761=1)),0)+SUM(G458)+IF(COUNTIF(G$641:G761,1)=1,5,0)+IF(COUNTIF(H459:$Z459,"&gt;"&amp;0)&gt;5,IF(MOD(COUNTIF(G$641:G761,1),7)=0,$C$4,0),0)</f>
        <v>492.516666666668</v>
      </c>
      <c r="H459" s="81" cm="1">
        <f ca="1" t="array" ref="H459">IF(H761=1,OFFSET($Z$338,$B459,H$335-1)/SUMPRODUCT(--($D$335:$V$335=H$335),--($D761:$V761=1)),0)+SUM(H458)+IF(COUNTIF(H$641:H761,1)=1,5,0)+IF(COUNTIF(I459:$Z459,"&gt;"&amp;0)&gt;5,IF(MOD(COUNTIF(H$641:H761,1),7)=0,$C$4,0),0)</f>
        <v>492.516666666668</v>
      </c>
      <c r="I459" s="81" cm="1">
        <f ca="1" t="array" ref="I459">IF(I761=1,OFFSET($Z$338,$B459,I$335-1)/SUMPRODUCT(--($D$335:$V$335=I$335),--($D761:$V761=1)),0)+SUM(I458)+IF(COUNTIF(I$641:I761,1)=1,5,0)+IF(COUNTIF(J459:$Z459,"&gt;"&amp;0)&gt;5,IF(MOD(COUNTIF(I$641:I761,1),7)=0,$C$4,0),0)</f>
        <v>492.516666666668</v>
      </c>
      <c r="J459" s="81" cm="1">
        <f ca="1" t="array" ref="J459">IF(J761=1,OFFSET($Z$338,$B459,J$335-1)/SUMPRODUCT(--($D$335:$V$335=J$335),--($D761:$V761=1)),0)+SUM(J458)+IF(COUNTIF(J$641:J761,1)=1,5,0)+IF(COUNTIF(K459:$Z459,"&gt;"&amp;0)&gt;5,IF(MOD(COUNTIF(J$641:J761,1),7)=0,$C$4,0),0)</f>
        <v>492.516666666668</v>
      </c>
      <c r="K459" s="81" cm="1">
        <f ca="1" t="array" ref="K459">IF(K761=1,OFFSET($Z$338,$B459,K$335-1)/SUMPRODUCT(--($D$335:$V$335=K$335),--($D761:$V761=1)),0)+SUM(K458)+IF(COUNTIF(K$641:K761,1)=1,5,0)+IF(COUNTIF(L459:$Z459,"&gt;"&amp;0)&gt;5,IF(MOD(COUNTIF(K$641:K761,1),7)=0,$C$4,0),0)</f>
        <v>492.516666666668</v>
      </c>
      <c r="L459" s="81" cm="1">
        <f ca="1" t="array" ref="L459">IF(L761=1,OFFSET($Z$338,$B459,L$335-1)/SUMPRODUCT(--($D$335:$V$335=L$335),--($D761:$V761=1)),0)+SUM(L458)+IF(COUNTIF(L$641:L761,1)=1,5,0)+IF(COUNTIF(M459:$Z459,"&gt;"&amp;0)&gt;5,IF(MOD(COUNTIF(L$641:L761,1),7)=0,$C$4,0),0)</f>
        <v>485.816666666668</v>
      </c>
      <c r="M459" s="81" cm="1">
        <f ca="1" t="array" ref="M459">IF(M761=1,OFFSET($Z$338,$B459,M$335-1)/SUMPRODUCT(--($D$335:$V$335=M$335),--($D761:$V761=1)),0)+SUM(M458)+IF(COUNTIF(M$641:M761,1)=1,5,0)+IF(COUNTIF(N459:$Z459,"&gt;"&amp;0)&gt;5,IF(MOD(COUNTIF(M$641:M761,1),7)=0,$C$4,0),0)</f>
        <v>240.644107142858</v>
      </c>
      <c r="N459" s="81" cm="1">
        <f ca="1" t="array" ref="N459">IF(N761=1,OFFSET($Z$338,$B459,N$335-1)/SUMPRODUCT(--($D$335:$V$335=N$335),--($D761:$V761=1)),0)+SUM(N458)+IF(COUNTIF(N$641:N761,1)=1,5,0)+IF(COUNTIF(O459:$Z459,"&gt;"&amp;0)&gt;5,IF(MOD(COUNTIF(N$641:N761,1),7)=0,$C$4,0),0)</f>
        <v>232.919107142858</v>
      </c>
      <c r="O459" s="81" cm="1">
        <f ca="1" t="array" ref="O459">IF(O761=1,OFFSET($Z$338,$B459,O$335-1)/SUMPRODUCT(--($D$335:$V$335=O$335),--($D761:$V761=1)),0)+SUM(O458)+IF(COUNTIF(O$641:O761,1)=1,5,0)+IF(COUNTIF(P459:$Z459,"&gt;"&amp;0)&gt;5,IF(MOD(COUNTIF(O$641:O761,1),7)=0,$C$4,0),0)</f>
        <v>225.494107142858</v>
      </c>
      <c r="P459" s="81" cm="1">
        <f ca="1" t="array" ref="P459">IF(P761=1,OFFSET($Z$338,$B459,P$335-1)/SUMPRODUCT(--($D$335:$V$335=P$335),--($D761:$V761=1)),0)+SUM(P458)+IF(COUNTIF(P$641:P761,1)=1,5,0)+IF(COUNTIF(Q459:$Z459,"&gt;"&amp;0)&gt;5,IF(MOD(COUNTIF(P$641:P761,1),7)=0,$C$4,0),0)</f>
        <v>222.560773809524</v>
      </c>
      <c r="Q459" s="81" cm="1">
        <f ca="1" t="array" ref="Q459">IF(Q761=1,OFFSET($Z$338,$B459,Q$335-1)/SUMPRODUCT(--($D$335:$V$335=Q$335),--($D761:$V761=1)),0)+SUM(Q458)+IF(COUNTIF(Q$641:Q761,1)=1,5,0)+IF(COUNTIF(R459:$Z459,"&gt;"&amp;0)&gt;5,IF(MOD(COUNTIF(Q$641:Q761,1),7)=0,$C$4,0),0)</f>
        <v>221.654523809524</v>
      </c>
      <c r="R459" s="81" cm="1">
        <f ca="1" t="array" ref="R459">IF(R761=1,OFFSET($Z$338,$B459,R$335-1)/SUMPRODUCT(--($D$335:$V$335=R$335),--($D761:$V761=1)),0)+SUM(R458)+IF(COUNTIF(R$641:R761,1)=1,5,0)+IF(COUNTIF(S459:$Z459,"&gt;"&amp;0)&gt;5,IF(MOD(COUNTIF(R$641:R761,1),7)=0,$C$4,0),0)</f>
        <v>196.759523809524</v>
      </c>
      <c r="S459" s="81" cm="1">
        <f ca="1" t="array" ref="S459">IF(S761=1,OFFSET($Z$338,$B459,S$335-1)/SUMPRODUCT(--($D$335:$V$335=S$335),--($D761:$V761=1)),0)+SUM(S458)+IF(COUNTIF(S$641:S761,1)=1,5,0)+IF(COUNTIF(T459:$Z459,"&gt;"&amp;0)&gt;5,IF(MOD(COUNTIF(S$641:S761,1),7)=0,$C$4,0),0)</f>
        <v>187.592857142857</v>
      </c>
      <c r="T459" s="81" cm="1">
        <f ca="1" t="array" ref="T459">IF(T761=1,OFFSET($Z$338,$B459,T$335-1)/SUMPRODUCT(--($D$335:$V$335=T$335),--($D761:$V761=1)),0)+SUM(T458)+IF(COUNTIF(T$641:T761,1)=1,5,0)+IF(COUNTIF(U459:$Z459,"&gt;"&amp;0)&gt;5,IF(MOD(COUNTIF(T$641:T761,1),7)=0,$C$4,0),0)</f>
        <v>137.656257829764</v>
      </c>
      <c r="U459" s="81" cm="1">
        <f ca="1" t="array" ref="U459">IF(U761=1,OFFSET($Z$338,$B459,U$335-1)/SUMPRODUCT(--($D$335:$V$335=U$335),--($D761:$V761=1)),0)+SUM(U458)+IF(COUNTIF(U$641:U761,1)=1,5,0)+IF(COUNTIF(V459:$Z459,"&gt;"&amp;0)&gt;5,IF(MOD(COUNTIF(U$641:U761,1),7)=0,$C$4,0),0)</f>
        <v>97.6562578297643</v>
      </c>
      <c r="V459" s="81" cm="1">
        <f ca="1" t="array" ref="V459">IF(V761=1,OFFSET($Z$338,$B459,V$335-1)/SUMPRODUCT(--($D$335:$V$335=V$335),--($D761:$V761=1)),0)+SUM(V458)+IF(COUNTIF(V$641:V761,1)=1,5,0)+IF(COUNTIF(Z459:$Z459,"&gt;"&amp;0)&gt;5,IF(MOD(COUNTIF(V$641:V761,1),7)=0,$C$4,0),0)</f>
        <v>89.6984386404824</v>
      </c>
      <c r="W459" s="81" cm="1">
        <f ca="1" t="array" ref="W459">IF(W761=1,OFFSET($Z$338,$B459,W$335-1)/SUMPRODUCT(--($D$335:$V$335=W$335),--($D761:$V761=1)),0)+SUM(W458)+IF(COUNTIF(W$641:W761,1)=1,5,0)+IF(COUNTIF($Z459:AA459,"&gt;"&amp;0)&gt;5,IF(MOD(COUNTIF(W$641:W761,1),7)=0,$C$4,0),0)</f>
        <v>80.3425695255331</v>
      </c>
      <c r="X459" s="81" cm="1">
        <f ca="1" t="array" ref="X459">IF(X761=1,OFFSET($Z$338,$B459,X$335-1)/SUMPRODUCT(--($D$335:$V$335=X$335),--($D761:$V761=1)),0)+SUM(X458)+IF(COUNTIF(X$641:X761,1)=1,5,0)+IF(COUNTIF($Z459:AB459,"&gt;"&amp;0)&gt;5,IF(MOD(COUNTIF(X$641:X761,1),7)=0,$C$4,0),0)</f>
        <v>73.5789092348996</v>
      </c>
      <c r="Y459" s="81" cm="1">
        <f ca="1" t="array" ref="Y459">IF(Y761=1,OFFSET($Z$338,$B459,Y$335-1)/SUMPRODUCT(--($D$335:$V$335=Y$335),--($D761:$V761=1)),0)+SUM(Y458)+IF(COUNTIF(Y$641:Y761,1)=1,5,0)+IF(COUNTIF($Z459:AC459,"&gt;"&amp;0)&gt;5,IF(MOD(COUNTIF(Y$641:Y761,1),7)=0,$C$4,0),0)</f>
        <v>66.8152489442662</v>
      </c>
      <c r="Z459" s="82" cm="1">
        <f ca="1" t="array" ref="Z459">SUMPRODUCT(TRANSPOSE($AD459:$AJ459),OFFSET($L$10:$L$16,0,Z$335-1))</f>
        <v>0</v>
      </c>
      <c r="AA459" s="82" cm="1">
        <f ca="1" t="array" ref="AA459">SUMPRODUCT(TRANSPOSE($AD459:$AJ459),OFFSET($L$10:$L$16,0,AA$335-1))</f>
        <v>0</v>
      </c>
      <c r="AB459" s="82" cm="1">
        <f ca="1" t="array" ref="AB459">SUMPRODUCT(TRANSPOSE($AD459:$AJ459),OFFSET($L$10:$L$16,0,AB$335-1))</f>
        <v>0</v>
      </c>
      <c r="AC459" s="82" cm="1">
        <f ca="1" t="array" ref="AC459">SUMPRODUCT(TRANSPOSE($AD459:$AJ459),OFFSET($L$10:$L$16,0,AC$335-1))</f>
        <v>0</v>
      </c>
      <c r="AD459" s="83">
        <f ca="1" t="shared" ref="AD459:AJ459" si="563">AK459-AK458</f>
        <v>0</v>
      </c>
      <c r="AE459" s="83">
        <f ca="1" t="shared" si="563"/>
        <v>0</v>
      </c>
      <c r="AF459" s="83">
        <f ca="1" t="shared" si="563"/>
        <v>0</v>
      </c>
      <c r="AG459" s="83">
        <f ca="1" t="shared" si="563"/>
        <v>0</v>
      </c>
      <c r="AH459" s="83">
        <f ca="1" t="shared" si="563"/>
        <v>0</v>
      </c>
      <c r="AI459" s="83">
        <f ca="1" t="shared" si="563"/>
        <v>0</v>
      </c>
      <c r="AJ459" s="83">
        <f ca="1" t="shared" si="563"/>
        <v>0</v>
      </c>
      <c r="AK459" s="83">
        <f ca="1" t="shared" si="451"/>
        <v>450</v>
      </c>
      <c r="AL459" s="83">
        <f ca="1" t="shared" ref="AL459:AQ459" si="564">IF($C459&gt;OFFSET($Q$9,MATCH(AL$338,$AK$338:$AQ$338,0),0),OFFSET($P$9,MATCH(AL$338,$AK$338:$AQ$338,0),0),MAX(0,$C459-OFFSET($Q$9,RIGHT(AL$338,1)-1,0)))</f>
        <v>909</v>
      </c>
      <c r="AM459" s="83">
        <f ca="1" t="shared" si="564"/>
        <v>1818</v>
      </c>
      <c r="AN459" s="83">
        <f ca="1" t="shared" si="564"/>
        <v>2727</v>
      </c>
      <c r="AO459" s="83">
        <f ca="1" t="shared" si="564"/>
        <v>3636</v>
      </c>
      <c r="AP459" s="83">
        <f ca="1" t="shared" si="564"/>
        <v>4545</v>
      </c>
      <c r="AQ459" s="83">
        <f ca="1" t="shared" si="564"/>
        <v>0</v>
      </c>
    </row>
    <row r="460" ht="16.5" spans="2:43">
      <c r="B460" s="65">
        <v>122</v>
      </c>
      <c r="C460" s="80">
        <f t="shared" si="449"/>
        <v>14746</v>
      </c>
      <c r="D460" s="81" cm="1">
        <f ca="1" t="array" ref="D460">IF(D762=1,OFFSET($Z$338,$B460,D$335-1)/SUMPRODUCT(--($D$335:$V$335=D$335),--($D762:$V762=1)),0)+SUM(D459)+IF(COUNTIF(D$641:D762,1)=1,5,0)+IF(COUNTIF(E460:$Z460,"&gt;"&amp;0)&gt;5,IF(MOD(COUNTIF(D$641:D762,1),7)=0,$C$4,0),0)</f>
        <v>1203.82134856666</v>
      </c>
      <c r="E460" s="81" cm="1">
        <f ca="1" t="array" ref="E460">IF(E762=1,OFFSET($Z$338,$B460,E$335-1)/SUMPRODUCT(--($D$335:$V$335=E$335),--($D762:$V762=1)),0)+SUM(E459)+IF(COUNTIF(E$641:E762,1)=1,5,0)+IF(COUNTIF(F460:$Z460,"&gt;"&amp;0)&gt;5,IF(MOD(COUNTIF(E$641:E762,1),7)=0,$C$4,0),0)</f>
        <v>1203.82134856666</v>
      </c>
      <c r="F460" s="81" cm="1">
        <f ca="1" t="array" ref="F460">IF(F762=1,OFFSET($Z$338,$B460,F$335-1)/SUMPRODUCT(--($D$335:$V$335=F$335),--($D762:$V762=1)),0)+SUM(F459)+IF(COUNTIF(F$641:F762,1)=1,5,0)+IF(COUNTIF(G460:$Z460,"&gt;"&amp;0)&gt;5,IF(MOD(COUNTIF(F$641:F762,1),7)=0,$C$4,0),0)</f>
        <v>1203.82134856666</v>
      </c>
      <c r="G460" s="81" cm="1">
        <f ca="1" t="array" ref="G460">IF(G762=1,OFFSET($Z$338,$B460,G$335-1)/SUMPRODUCT(--($D$335:$V$335=G$335),--($D762:$V762=1)),0)+SUM(G459)+IF(COUNTIF(G$641:G762,1)=1,5,0)+IF(COUNTIF(H460:$Z460,"&gt;"&amp;0)&gt;5,IF(MOD(COUNTIF(G$641:G762,1),7)=0,$C$4,0),0)</f>
        <v>492.516666666668</v>
      </c>
      <c r="H460" s="81" cm="1">
        <f ca="1" t="array" ref="H460">IF(H762=1,OFFSET($Z$338,$B460,H$335-1)/SUMPRODUCT(--($D$335:$V$335=H$335),--($D762:$V762=1)),0)+SUM(H459)+IF(COUNTIF(H$641:H762,1)=1,5,0)+IF(COUNTIF(I460:$Z460,"&gt;"&amp;0)&gt;5,IF(MOD(COUNTIF(H$641:H762,1),7)=0,$C$4,0),0)</f>
        <v>492.516666666668</v>
      </c>
      <c r="I460" s="81" cm="1">
        <f ca="1" t="array" ref="I460">IF(I762=1,OFFSET($Z$338,$B460,I$335-1)/SUMPRODUCT(--($D$335:$V$335=I$335),--($D762:$V762=1)),0)+SUM(I459)+IF(COUNTIF(I$641:I762,1)=1,5,0)+IF(COUNTIF(J460:$Z460,"&gt;"&amp;0)&gt;5,IF(MOD(COUNTIF(I$641:I762,1),7)=0,$C$4,0),0)</f>
        <v>492.516666666668</v>
      </c>
      <c r="J460" s="81" cm="1">
        <f ca="1" t="array" ref="J460">IF(J762=1,OFFSET($Z$338,$B460,J$335-1)/SUMPRODUCT(--($D$335:$V$335=J$335),--($D762:$V762=1)),0)+SUM(J459)+IF(COUNTIF(J$641:J762,1)=1,5,0)+IF(COUNTIF(K460:$Z460,"&gt;"&amp;0)&gt;5,IF(MOD(COUNTIF(J$641:J762,1),7)=0,$C$4,0),0)</f>
        <v>492.516666666668</v>
      </c>
      <c r="K460" s="81" cm="1">
        <f ca="1" t="array" ref="K460">IF(K762=1,OFFSET($Z$338,$B460,K$335-1)/SUMPRODUCT(--($D$335:$V$335=K$335),--($D762:$V762=1)),0)+SUM(K459)+IF(COUNTIF(K$641:K762,1)=1,5,0)+IF(COUNTIF(L460:$Z460,"&gt;"&amp;0)&gt;5,IF(MOD(COUNTIF(K$641:K762,1),7)=0,$C$4,0),0)</f>
        <v>492.516666666668</v>
      </c>
      <c r="L460" s="81" cm="1">
        <f ca="1" t="array" ref="L460">IF(L762=1,OFFSET($Z$338,$B460,L$335-1)/SUMPRODUCT(--($D$335:$V$335=L$335),--($D762:$V762=1)),0)+SUM(L459)+IF(COUNTIF(L$641:L762,1)=1,5,0)+IF(COUNTIF(M460:$Z460,"&gt;"&amp;0)&gt;5,IF(MOD(COUNTIF(L$641:L762,1),7)=0,$C$4,0),0)</f>
        <v>485.816666666668</v>
      </c>
      <c r="M460" s="81" cm="1">
        <f ca="1" t="array" ref="M460">IF(M762=1,OFFSET($Z$338,$B460,M$335-1)/SUMPRODUCT(--($D$335:$V$335=M$335),--($D762:$V762=1)),0)+SUM(M459)+IF(COUNTIF(M$641:M762,1)=1,5,0)+IF(COUNTIF(N460:$Z460,"&gt;"&amp;0)&gt;5,IF(MOD(COUNTIF(M$641:M762,1),7)=0,$C$4,0),0)</f>
        <v>240.644107142858</v>
      </c>
      <c r="N460" s="81" cm="1">
        <f ca="1" t="array" ref="N460">IF(N762=1,OFFSET($Z$338,$B460,N$335-1)/SUMPRODUCT(--($D$335:$V$335=N$335),--($D762:$V762=1)),0)+SUM(N459)+IF(COUNTIF(N$641:N762,1)=1,5,0)+IF(COUNTIF(O460:$Z460,"&gt;"&amp;0)&gt;5,IF(MOD(COUNTIF(N$641:N762,1),7)=0,$C$4,0),0)</f>
        <v>232.919107142858</v>
      </c>
      <c r="O460" s="81" cm="1">
        <f ca="1" t="array" ref="O460">IF(O762=1,OFFSET($Z$338,$B460,O$335-1)/SUMPRODUCT(--($D$335:$V$335=O$335),--($D762:$V762=1)),0)+SUM(O459)+IF(COUNTIF(O$641:O762,1)=1,5,0)+IF(COUNTIF(P460:$Z460,"&gt;"&amp;0)&gt;5,IF(MOD(COUNTIF(O$641:O762,1),7)=0,$C$4,0),0)</f>
        <v>230.494107142858</v>
      </c>
      <c r="P460" s="81" cm="1">
        <f ca="1" t="array" ref="P460">IF(P762=1,OFFSET($Z$338,$B460,P$335-1)/SUMPRODUCT(--($D$335:$V$335=P$335),--($D762:$V762=1)),0)+SUM(P459)+IF(COUNTIF(P$641:P762,1)=1,5,0)+IF(COUNTIF(Q460:$Z460,"&gt;"&amp;0)&gt;5,IF(MOD(COUNTIF(P$641:P762,1),7)=0,$C$4,0),0)</f>
        <v>222.560773809524</v>
      </c>
      <c r="Q460" s="81" cm="1">
        <f ca="1" t="array" ref="Q460">IF(Q762=1,OFFSET($Z$338,$B460,Q$335-1)/SUMPRODUCT(--($D$335:$V$335=Q$335),--($D762:$V762=1)),0)+SUM(Q459)+IF(COUNTIF(Q$641:Q762,1)=1,5,0)+IF(COUNTIF(R460:$Z460,"&gt;"&amp;0)&gt;5,IF(MOD(COUNTIF(Q$641:Q762,1),7)=0,$C$4,0),0)</f>
        <v>221.654523809524</v>
      </c>
      <c r="R460" s="81" cm="1">
        <f ca="1" t="array" ref="R460">IF(R762=1,OFFSET($Z$338,$B460,R$335-1)/SUMPRODUCT(--($D$335:$V$335=R$335),--($D762:$V762=1)),0)+SUM(R459)+IF(COUNTIF(R$641:R762,1)=1,5,0)+IF(COUNTIF(S460:$Z460,"&gt;"&amp;0)&gt;5,IF(MOD(COUNTIF(R$641:R762,1),7)=0,$C$4,0),0)</f>
        <v>196.759523809524</v>
      </c>
      <c r="S460" s="81" cm="1">
        <f ca="1" t="array" ref="S460">IF(S762=1,OFFSET($Z$338,$B460,S$335-1)/SUMPRODUCT(--($D$335:$V$335=S$335),--($D762:$V762=1)),0)+SUM(S459)+IF(COUNTIF(S$641:S762,1)=1,5,0)+IF(COUNTIF(T460:$Z460,"&gt;"&amp;0)&gt;5,IF(MOD(COUNTIF(S$641:S762,1),7)=0,$C$4,0),0)</f>
        <v>187.592857142857</v>
      </c>
      <c r="T460" s="81" cm="1">
        <f ca="1" t="array" ref="T460">IF(T762=1,OFFSET($Z$338,$B460,T$335-1)/SUMPRODUCT(--($D$335:$V$335=T$335),--($D762:$V762=1)),0)+SUM(T459)+IF(COUNTIF(T$641:T762,1)=1,5,0)+IF(COUNTIF(U460:$Z460,"&gt;"&amp;0)&gt;5,IF(MOD(COUNTIF(T$641:T762,1),7)=0,$C$4,0),0)</f>
        <v>137.656257829764</v>
      </c>
      <c r="U460" s="81" cm="1">
        <f ca="1" t="array" ref="U460">IF(U762=1,OFFSET($Z$338,$B460,U$335-1)/SUMPRODUCT(--($D$335:$V$335=U$335),--($D762:$V762=1)),0)+SUM(U459)+IF(COUNTIF(U$641:U762,1)=1,5,0)+IF(COUNTIF(V460:$Z460,"&gt;"&amp;0)&gt;5,IF(MOD(COUNTIF(U$641:U762,1),7)=0,$C$4,0),0)</f>
        <v>97.6562578297643</v>
      </c>
      <c r="V460" s="81" cm="1">
        <f ca="1" t="array" ref="V460">IF(V762=1,OFFSET($Z$338,$B460,V$335-1)/SUMPRODUCT(--($D$335:$V$335=V$335),--($D762:$V762=1)),0)+SUM(V459)+IF(COUNTIF(V$641:V762,1)=1,5,0)+IF(COUNTIF(Z460:$Z460,"&gt;"&amp;0)&gt;5,IF(MOD(COUNTIF(V$641:V762,1),7)=0,$C$4,0),0)</f>
        <v>89.6984386404824</v>
      </c>
      <c r="W460" s="81" cm="1">
        <f ca="1" t="array" ref="W460">IF(W762=1,OFFSET($Z$338,$B460,W$335-1)/SUMPRODUCT(--($D$335:$V$335=W$335),--($D762:$V762=1)),0)+SUM(W459)+IF(COUNTIF(W$641:W762,1)=1,5,0)+IF(COUNTIF($Z460:AA460,"&gt;"&amp;0)&gt;5,IF(MOD(COUNTIF(W$641:W762,1),7)=0,$C$4,0),0)</f>
        <v>80.3425695255331</v>
      </c>
      <c r="X460" s="81" cm="1">
        <f ca="1" t="array" ref="X460">IF(X762=1,OFFSET($Z$338,$B460,X$335-1)/SUMPRODUCT(--($D$335:$V$335=X$335),--($D762:$V762=1)),0)+SUM(X459)+IF(COUNTIF(X$641:X762,1)=1,5,0)+IF(COUNTIF($Z460:AB460,"&gt;"&amp;0)&gt;5,IF(MOD(COUNTIF(X$641:X762,1),7)=0,$C$4,0),0)</f>
        <v>73.5789092348996</v>
      </c>
      <c r="Y460" s="81" cm="1">
        <f ca="1" t="array" ref="Y460">IF(Y762=1,OFFSET($Z$338,$B460,Y$335-1)/SUMPRODUCT(--($D$335:$V$335=Y$335),--($D762:$V762=1)),0)+SUM(Y459)+IF(COUNTIF(Y$641:Y762,1)=1,5,0)+IF(COUNTIF($Z460:AC460,"&gt;"&amp;0)&gt;5,IF(MOD(COUNTIF(Y$641:Y762,1),7)=0,$C$4,0),0)</f>
        <v>66.8152489442662</v>
      </c>
      <c r="Z460" s="82" cm="1">
        <f ca="1" t="array" ref="Z460">SUMPRODUCT(TRANSPOSE($AD460:$AJ460),OFFSET($L$10:$L$16,0,Z$335-1))</f>
        <v>0</v>
      </c>
      <c r="AA460" s="82" cm="1">
        <f ca="1" t="array" ref="AA460">SUMPRODUCT(TRANSPOSE($AD460:$AJ460),OFFSET($L$10:$L$16,0,AA$335-1))</f>
        <v>0</v>
      </c>
      <c r="AB460" s="82" cm="1">
        <f ca="1" t="array" ref="AB460">SUMPRODUCT(TRANSPOSE($AD460:$AJ460),OFFSET($L$10:$L$16,0,AB$335-1))</f>
        <v>0</v>
      </c>
      <c r="AC460" s="82" cm="1">
        <f ca="1" t="array" ref="AC460">SUMPRODUCT(TRANSPOSE($AD460:$AJ460),OFFSET($L$10:$L$16,0,AC$335-1))</f>
        <v>0</v>
      </c>
      <c r="AD460" s="83">
        <f ca="1" t="shared" ref="AD460:AJ460" si="565">AK460-AK459</f>
        <v>0</v>
      </c>
      <c r="AE460" s="83">
        <f ca="1" t="shared" si="565"/>
        <v>0</v>
      </c>
      <c r="AF460" s="83">
        <f ca="1" t="shared" si="565"/>
        <v>0</v>
      </c>
      <c r="AG460" s="83">
        <f ca="1" t="shared" si="565"/>
        <v>0</v>
      </c>
      <c r="AH460" s="83">
        <f ca="1" t="shared" si="565"/>
        <v>0</v>
      </c>
      <c r="AI460" s="83">
        <f ca="1" t="shared" si="565"/>
        <v>0</v>
      </c>
      <c r="AJ460" s="83">
        <f ca="1" t="shared" si="565"/>
        <v>0</v>
      </c>
      <c r="AK460" s="83">
        <f ca="1" t="shared" si="451"/>
        <v>450</v>
      </c>
      <c r="AL460" s="83">
        <f ca="1" t="shared" ref="AL460:AQ460" si="566">IF($C460&gt;OFFSET($Q$9,MATCH(AL$338,$AK$338:$AQ$338,0),0),OFFSET($P$9,MATCH(AL$338,$AK$338:$AQ$338,0),0),MAX(0,$C460-OFFSET($Q$9,RIGHT(AL$338,1)-1,0)))</f>
        <v>909</v>
      </c>
      <c r="AM460" s="83">
        <f ca="1" t="shared" si="566"/>
        <v>1818</v>
      </c>
      <c r="AN460" s="83">
        <f ca="1" t="shared" si="566"/>
        <v>2727</v>
      </c>
      <c r="AO460" s="83">
        <f ca="1" t="shared" si="566"/>
        <v>3636</v>
      </c>
      <c r="AP460" s="83">
        <f ca="1" t="shared" si="566"/>
        <v>4545</v>
      </c>
      <c r="AQ460" s="83">
        <f ca="1" t="shared" si="566"/>
        <v>0</v>
      </c>
    </row>
    <row r="461" ht="16.5" spans="2:43">
      <c r="B461" s="65">
        <v>123</v>
      </c>
      <c r="C461" s="80">
        <f t="shared" si="449"/>
        <v>14856</v>
      </c>
      <c r="D461" s="81" cm="1">
        <f ca="1" t="array" ref="D461">IF(D763=1,OFFSET($Z$338,$B461,D$335-1)/SUMPRODUCT(--($D$335:$V$335=D$335),--($D763:$V763=1)),0)+SUM(D460)+IF(COUNTIF(D$641:D763,1)=1,5,0)+IF(COUNTIF(E461:$Z461,"&gt;"&amp;0)&gt;5,IF(MOD(COUNTIF(D$641:D763,1),7)=0,$C$4,0),0)</f>
        <v>1203.82134856666</v>
      </c>
      <c r="E461" s="81" cm="1">
        <f ca="1" t="array" ref="E461">IF(E763=1,OFFSET($Z$338,$B461,E$335-1)/SUMPRODUCT(--($D$335:$V$335=E$335),--($D763:$V763=1)),0)+SUM(E460)+IF(COUNTIF(E$641:E763,1)=1,5,0)+IF(COUNTIF(F461:$Z461,"&gt;"&amp;0)&gt;5,IF(MOD(COUNTIF(E$641:E763,1),7)=0,$C$4,0),0)</f>
        <v>1203.82134856666</v>
      </c>
      <c r="F461" s="81" cm="1">
        <f ca="1" t="array" ref="F461">IF(F763=1,OFFSET($Z$338,$B461,F$335-1)/SUMPRODUCT(--($D$335:$V$335=F$335),--($D763:$V763=1)),0)+SUM(F460)+IF(COUNTIF(F$641:F763,1)=1,5,0)+IF(COUNTIF(G461:$Z461,"&gt;"&amp;0)&gt;5,IF(MOD(COUNTIF(F$641:F763,1),7)=0,$C$4,0),0)</f>
        <v>1203.82134856666</v>
      </c>
      <c r="G461" s="81" cm="1">
        <f ca="1" t="array" ref="G461">IF(G763=1,OFFSET($Z$338,$B461,G$335-1)/SUMPRODUCT(--($D$335:$V$335=G$335),--($D763:$V763=1)),0)+SUM(G460)+IF(COUNTIF(G$641:G763,1)=1,5,0)+IF(COUNTIF(H461:$Z461,"&gt;"&amp;0)&gt;5,IF(MOD(COUNTIF(G$641:G763,1),7)=0,$C$4,0),0)</f>
        <v>492.516666666668</v>
      </c>
      <c r="H461" s="81" cm="1">
        <f ca="1" t="array" ref="H461">IF(H763=1,OFFSET($Z$338,$B461,H$335-1)/SUMPRODUCT(--($D$335:$V$335=H$335),--($D763:$V763=1)),0)+SUM(H460)+IF(COUNTIF(H$641:H763,1)=1,5,0)+IF(COUNTIF(I461:$Z461,"&gt;"&amp;0)&gt;5,IF(MOD(COUNTIF(H$641:H763,1),7)=0,$C$4,0),0)</f>
        <v>492.516666666668</v>
      </c>
      <c r="I461" s="81" cm="1">
        <f ca="1" t="array" ref="I461">IF(I763=1,OFFSET($Z$338,$B461,I$335-1)/SUMPRODUCT(--($D$335:$V$335=I$335),--($D763:$V763=1)),0)+SUM(I460)+IF(COUNTIF(I$641:I763,1)=1,5,0)+IF(COUNTIF(J461:$Z461,"&gt;"&amp;0)&gt;5,IF(MOD(COUNTIF(I$641:I763,1),7)=0,$C$4,0),0)</f>
        <v>492.516666666668</v>
      </c>
      <c r="J461" s="81" cm="1">
        <f ca="1" t="array" ref="J461">IF(J763=1,OFFSET($Z$338,$B461,J$335-1)/SUMPRODUCT(--($D$335:$V$335=J$335),--($D763:$V763=1)),0)+SUM(J460)+IF(COUNTIF(J$641:J763,1)=1,5,0)+IF(COUNTIF(K461:$Z461,"&gt;"&amp;0)&gt;5,IF(MOD(COUNTIF(J$641:J763,1),7)=0,$C$4,0),0)</f>
        <v>492.516666666668</v>
      </c>
      <c r="K461" s="81" cm="1">
        <f ca="1" t="array" ref="K461">IF(K763=1,OFFSET($Z$338,$B461,K$335-1)/SUMPRODUCT(--($D$335:$V$335=K$335),--($D763:$V763=1)),0)+SUM(K460)+IF(COUNTIF(K$641:K763,1)=1,5,0)+IF(COUNTIF(L461:$Z461,"&gt;"&amp;0)&gt;5,IF(MOD(COUNTIF(K$641:K763,1),7)=0,$C$4,0),0)</f>
        <v>492.516666666668</v>
      </c>
      <c r="L461" s="81" cm="1">
        <f ca="1" t="array" ref="L461">IF(L763=1,OFFSET($Z$338,$B461,L$335-1)/SUMPRODUCT(--($D$335:$V$335=L$335),--($D763:$V763=1)),0)+SUM(L460)+IF(COUNTIF(L$641:L763,1)=1,5,0)+IF(COUNTIF(M461:$Z461,"&gt;"&amp;0)&gt;5,IF(MOD(COUNTIF(L$641:L763,1),7)=0,$C$4,0),0)</f>
        <v>485.816666666668</v>
      </c>
      <c r="M461" s="81" cm="1">
        <f ca="1" t="array" ref="M461">IF(M763=1,OFFSET($Z$338,$B461,M$335-1)/SUMPRODUCT(--($D$335:$V$335=M$335),--($D763:$V763=1)),0)+SUM(M460)+IF(COUNTIF(M$641:M763,1)=1,5,0)+IF(COUNTIF(N461:$Z461,"&gt;"&amp;0)&gt;5,IF(MOD(COUNTIF(M$641:M763,1),7)=0,$C$4,0),0)</f>
        <v>240.644107142858</v>
      </c>
      <c r="N461" s="81" cm="1">
        <f ca="1" t="array" ref="N461">IF(N763=1,OFFSET($Z$338,$B461,N$335-1)/SUMPRODUCT(--($D$335:$V$335=N$335),--($D763:$V763=1)),0)+SUM(N460)+IF(COUNTIF(N$641:N763,1)=1,5,0)+IF(COUNTIF(O461:$Z461,"&gt;"&amp;0)&gt;5,IF(MOD(COUNTIF(N$641:N763,1),7)=0,$C$4,0),0)</f>
        <v>232.919107142858</v>
      </c>
      <c r="O461" s="81" cm="1">
        <f ca="1" t="array" ref="O461">IF(O763=1,OFFSET($Z$338,$B461,O$335-1)/SUMPRODUCT(--($D$335:$V$335=O$335),--($D763:$V763=1)),0)+SUM(O460)+IF(COUNTIF(O$641:O763,1)=1,5,0)+IF(COUNTIF(P461:$Z461,"&gt;"&amp;0)&gt;5,IF(MOD(COUNTIF(O$641:O763,1),7)=0,$C$4,0),0)</f>
        <v>230.494107142858</v>
      </c>
      <c r="P461" s="81" cm="1">
        <f ca="1" t="array" ref="P461">IF(P763=1,OFFSET($Z$338,$B461,P$335-1)/SUMPRODUCT(--($D$335:$V$335=P$335),--($D763:$V763=1)),0)+SUM(P460)+IF(COUNTIF(P$641:P763,1)=1,5,0)+IF(COUNTIF(Q461:$Z461,"&gt;"&amp;0)&gt;5,IF(MOD(COUNTIF(P$641:P763,1),7)=0,$C$4,0),0)</f>
        <v>222.560773809524</v>
      </c>
      <c r="Q461" s="81" cm="1">
        <f ca="1" t="array" ref="Q461">IF(Q763=1,OFFSET($Z$338,$B461,Q$335-1)/SUMPRODUCT(--($D$335:$V$335=Q$335),--($D763:$V763=1)),0)+SUM(Q460)+IF(COUNTIF(Q$641:Q763,1)=1,5,0)+IF(COUNTIF(R461:$Z461,"&gt;"&amp;0)&gt;5,IF(MOD(COUNTIF(Q$641:Q763,1),7)=0,$C$4,0),0)</f>
        <v>221.654523809524</v>
      </c>
      <c r="R461" s="81" cm="1">
        <f ca="1" t="array" ref="R461">IF(R763=1,OFFSET($Z$338,$B461,R$335-1)/SUMPRODUCT(--($D$335:$V$335=R$335),--($D763:$V763=1)),0)+SUM(R460)+IF(COUNTIF(R$641:R763,1)=1,5,0)+IF(COUNTIF(S461:$Z461,"&gt;"&amp;0)&gt;5,IF(MOD(COUNTIF(R$641:R763,1),7)=0,$C$4,0),0)</f>
        <v>196.759523809524</v>
      </c>
      <c r="S461" s="81" cm="1">
        <f ca="1" t="array" ref="S461">IF(S763=1,OFFSET($Z$338,$B461,S$335-1)/SUMPRODUCT(--($D$335:$V$335=S$335),--($D763:$V763=1)),0)+SUM(S460)+IF(COUNTIF(S$641:S763,1)=1,5,0)+IF(COUNTIF(T461:$Z461,"&gt;"&amp;0)&gt;5,IF(MOD(COUNTIF(S$641:S763,1),7)=0,$C$4,0),0)</f>
        <v>187.592857142857</v>
      </c>
      <c r="T461" s="81" cm="1">
        <f ca="1" t="array" ref="T461">IF(T763=1,OFFSET($Z$338,$B461,T$335-1)/SUMPRODUCT(--($D$335:$V$335=T$335),--($D763:$V763=1)),0)+SUM(T460)+IF(COUNTIF(T$641:T763,1)=1,5,0)+IF(COUNTIF(U461:$Z461,"&gt;"&amp;0)&gt;5,IF(MOD(COUNTIF(T$641:T763,1),7)=0,$C$4,0),0)</f>
        <v>137.656257829764</v>
      </c>
      <c r="U461" s="81" cm="1">
        <f ca="1" t="array" ref="U461">IF(U763=1,OFFSET($Z$338,$B461,U$335-1)/SUMPRODUCT(--($D$335:$V$335=U$335),--($D763:$V763=1)),0)+SUM(U460)+IF(COUNTIF(U$641:U763,1)=1,5,0)+IF(COUNTIF(V461:$Z461,"&gt;"&amp;0)&gt;5,IF(MOD(COUNTIF(U$641:U763,1),7)=0,$C$4,0),0)</f>
        <v>97.6562578297643</v>
      </c>
      <c r="V461" s="81" cm="1">
        <f ca="1" t="array" ref="V461">IF(V763=1,OFFSET($Z$338,$B461,V$335-1)/SUMPRODUCT(--($D$335:$V$335=V$335),--($D763:$V763=1)),0)+SUM(V460)+IF(COUNTIF(V$641:V763,1)=1,5,0)+IF(COUNTIF(Z461:$Z461,"&gt;"&amp;0)&gt;5,IF(MOD(COUNTIF(V$641:V763,1),7)=0,$C$4,0),0)</f>
        <v>89.6984386404824</v>
      </c>
      <c r="W461" s="81" cm="1">
        <f ca="1" t="array" ref="W461">IF(W763=1,OFFSET($Z$338,$B461,W$335-1)/SUMPRODUCT(--($D$335:$V$335=W$335),--($D763:$V763=1)),0)+SUM(W460)+IF(COUNTIF(W$641:W763,1)=1,5,0)+IF(COUNTIF($Z461:AA461,"&gt;"&amp;0)&gt;5,IF(MOD(COUNTIF(W$641:W763,1),7)=0,$C$4,0),0)</f>
        <v>80.3425695255331</v>
      </c>
      <c r="X461" s="81" cm="1">
        <f ca="1" t="array" ref="X461">IF(X763=1,OFFSET($Z$338,$B461,X$335-1)/SUMPRODUCT(--($D$335:$V$335=X$335),--($D763:$V763=1)),0)+SUM(X460)+IF(COUNTIF(X$641:X763,1)=1,5,0)+IF(COUNTIF($Z461:AB461,"&gt;"&amp;0)&gt;5,IF(MOD(COUNTIF(X$641:X763,1),7)=0,$C$4,0),0)</f>
        <v>73.5789092348996</v>
      </c>
      <c r="Y461" s="81" cm="1">
        <f ca="1" t="array" ref="Y461">IF(Y763=1,OFFSET($Z$338,$B461,Y$335-1)/SUMPRODUCT(--($D$335:$V$335=Y$335),--($D763:$V763=1)),0)+SUM(Y460)+IF(COUNTIF(Y$641:Y763,1)=1,5,0)+IF(COUNTIF($Z461:AC461,"&gt;"&amp;0)&gt;5,IF(MOD(COUNTIF(Y$641:Y763,1),7)=0,$C$4,0),0)</f>
        <v>66.8152489442662</v>
      </c>
      <c r="Z461" s="82" cm="1">
        <f ca="1" t="array" ref="Z461">SUMPRODUCT(TRANSPOSE($AD461:$AJ461),OFFSET($L$10:$L$16,0,Z$335-1))</f>
        <v>0</v>
      </c>
      <c r="AA461" s="82" cm="1">
        <f ca="1" t="array" ref="AA461">SUMPRODUCT(TRANSPOSE($AD461:$AJ461),OFFSET($L$10:$L$16,0,AA$335-1))</f>
        <v>0</v>
      </c>
      <c r="AB461" s="82" cm="1">
        <f ca="1" t="array" ref="AB461">SUMPRODUCT(TRANSPOSE($AD461:$AJ461),OFFSET($L$10:$L$16,0,AB$335-1))</f>
        <v>0</v>
      </c>
      <c r="AC461" s="82" cm="1">
        <f ca="1" t="array" ref="AC461">SUMPRODUCT(TRANSPOSE($AD461:$AJ461),OFFSET($L$10:$L$16,0,AC$335-1))</f>
        <v>0</v>
      </c>
      <c r="AD461" s="83">
        <f ca="1" t="shared" ref="AD461:AJ461" si="567">AK461-AK460</f>
        <v>0</v>
      </c>
      <c r="AE461" s="83">
        <f ca="1" t="shared" si="567"/>
        <v>0</v>
      </c>
      <c r="AF461" s="83">
        <f ca="1" t="shared" si="567"/>
        <v>0</v>
      </c>
      <c r="AG461" s="83">
        <f ca="1" t="shared" si="567"/>
        <v>0</v>
      </c>
      <c r="AH461" s="83">
        <f ca="1" t="shared" si="567"/>
        <v>0</v>
      </c>
      <c r="AI461" s="83">
        <f ca="1" t="shared" si="567"/>
        <v>0</v>
      </c>
      <c r="AJ461" s="83">
        <f ca="1" t="shared" si="567"/>
        <v>0</v>
      </c>
      <c r="AK461" s="83">
        <f ca="1" t="shared" si="451"/>
        <v>450</v>
      </c>
      <c r="AL461" s="83">
        <f ca="1" t="shared" ref="AL461:AQ461" si="568">IF($C461&gt;OFFSET($Q$9,MATCH(AL$338,$AK$338:$AQ$338,0),0),OFFSET($P$9,MATCH(AL$338,$AK$338:$AQ$338,0),0),MAX(0,$C461-OFFSET($Q$9,RIGHT(AL$338,1)-1,0)))</f>
        <v>909</v>
      </c>
      <c r="AM461" s="83">
        <f ca="1" t="shared" si="568"/>
        <v>1818</v>
      </c>
      <c r="AN461" s="83">
        <f ca="1" t="shared" si="568"/>
        <v>2727</v>
      </c>
      <c r="AO461" s="83">
        <f ca="1" t="shared" si="568"/>
        <v>3636</v>
      </c>
      <c r="AP461" s="83">
        <f ca="1" t="shared" si="568"/>
        <v>4545</v>
      </c>
      <c r="AQ461" s="83">
        <f ca="1" t="shared" si="568"/>
        <v>0</v>
      </c>
    </row>
    <row r="462" ht="16.5" spans="2:43">
      <c r="B462" s="65">
        <v>124</v>
      </c>
      <c r="C462" s="80">
        <f t="shared" si="449"/>
        <v>14966</v>
      </c>
      <c r="D462" s="81" cm="1">
        <f ca="1" t="array" ref="D462">IF(D764=1,OFFSET($Z$338,$B462,D$335-1)/SUMPRODUCT(--($D$335:$V$335=D$335),--($D764:$V764=1)),0)+SUM(D461)+IF(COUNTIF(D$641:D764,1)=1,5,0)+IF(COUNTIF(E462:$Z462,"&gt;"&amp;0)&gt;5,IF(MOD(COUNTIF(D$641:D764,1),7)=0,$C$4,0),0)</f>
        <v>1203.82134856666</v>
      </c>
      <c r="E462" s="81" cm="1">
        <f ca="1" t="array" ref="E462">IF(E764=1,OFFSET($Z$338,$B462,E$335-1)/SUMPRODUCT(--($D$335:$V$335=E$335),--($D764:$V764=1)),0)+SUM(E461)+IF(COUNTIF(E$641:E764,1)=1,5,0)+IF(COUNTIF(F462:$Z462,"&gt;"&amp;0)&gt;5,IF(MOD(COUNTIF(E$641:E764,1),7)=0,$C$4,0),0)</f>
        <v>1203.82134856666</v>
      </c>
      <c r="F462" s="81" cm="1">
        <f ca="1" t="array" ref="F462">IF(F764=1,OFFSET($Z$338,$B462,F$335-1)/SUMPRODUCT(--($D$335:$V$335=F$335),--($D764:$V764=1)),0)+SUM(F461)+IF(COUNTIF(F$641:F764,1)=1,5,0)+IF(COUNTIF(G462:$Z462,"&gt;"&amp;0)&gt;5,IF(MOD(COUNTIF(F$641:F764,1),7)=0,$C$4,0),0)</f>
        <v>1203.82134856666</v>
      </c>
      <c r="G462" s="81" cm="1">
        <f ca="1" t="array" ref="G462">IF(G764=1,OFFSET($Z$338,$B462,G$335-1)/SUMPRODUCT(--($D$335:$V$335=G$335),--($D764:$V764=1)),0)+SUM(G461)+IF(COUNTIF(G$641:G764,1)=1,5,0)+IF(COUNTIF(H462:$Z462,"&gt;"&amp;0)&gt;5,IF(MOD(COUNTIF(G$641:G764,1),7)=0,$C$4,0),0)</f>
        <v>492.516666666668</v>
      </c>
      <c r="H462" s="81" cm="1">
        <f ca="1" t="array" ref="H462">IF(H764=1,OFFSET($Z$338,$B462,H$335-1)/SUMPRODUCT(--($D$335:$V$335=H$335),--($D764:$V764=1)),0)+SUM(H461)+IF(COUNTIF(H$641:H764,1)=1,5,0)+IF(COUNTIF(I462:$Z462,"&gt;"&amp;0)&gt;5,IF(MOD(COUNTIF(H$641:H764,1),7)=0,$C$4,0),0)</f>
        <v>492.516666666668</v>
      </c>
      <c r="I462" s="81" cm="1">
        <f ca="1" t="array" ref="I462">IF(I764=1,OFFSET($Z$338,$B462,I$335-1)/SUMPRODUCT(--($D$335:$V$335=I$335),--($D764:$V764=1)),0)+SUM(I461)+IF(COUNTIF(I$641:I764,1)=1,5,0)+IF(COUNTIF(J462:$Z462,"&gt;"&amp;0)&gt;5,IF(MOD(COUNTIF(I$641:I764,1),7)=0,$C$4,0),0)</f>
        <v>492.516666666668</v>
      </c>
      <c r="J462" s="81" cm="1">
        <f ca="1" t="array" ref="J462">IF(J764=1,OFFSET($Z$338,$B462,J$335-1)/SUMPRODUCT(--($D$335:$V$335=J$335),--($D764:$V764=1)),0)+SUM(J461)+IF(COUNTIF(J$641:J764,1)=1,5,0)+IF(COUNTIF(K462:$Z462,"&gt;"&amp;0)&gt;5,IF(MOD(COUNTIF(J$641:J764,1),7)=0,$C$4,0),0)</f>
        <v>492.516666666668</v>
      </c>
      <c r="K462" s="81" cm="1">
        <f ca="1" t="array" ref="K462">IF(K764=1,OFFSET($Z$338,$B462,K$335-1)/SUMPRODUCT(--($D$335:$V$335=K$335),--($D764:$V764=1)),0)+SUM(K461)+IF(COUNTIF(K$641:K764,1)=1,5,0)+IF(COUNTIF(L462:$Z462,"&gt;"&amp;0)&gt;5,IF(MOD(COUNTIF(K$641:K764,1),7)=0,$C$4,0),0)</f>
        <v>492.516666666668</v>
      </c>
      <c r="L462" s="81" cm="1">
        <f ca="1" t="array" ref="L462">IF(L764=1,OFFSET($Z$338,$B462,L$335-1)/SUMPRODUCT(--($D$335:$V$335=L$335),--($D764:$V764=1)),0)+SUM(L461)+IF(COUNTIF(L$641:L764,1)=1,5,0)+IF(COUNTIF(M462:$Z462,"&gt;"&amp;0)&gt;5,IF(MOD(COUNTIF(L$641:L764,1),7)=0,$C$4,0),0)</f>
        <v>485.816666666668</v>
      </c>
      <c r="M462" s="81" cm="1">
        <f ca="1" t="array" ref="M462">IF(M764=1,OFFSET($Z$338,$B462,M$335-1)/SUMPRODUCT(--($D$335:$V$335=M$335),--($D764:$V764=1)),0)+SUM(M461)+IF(COUNTIF(M$641:M764,1)=1,5,0)+IF(COUNTIF(N462:$Z462,"&gt;"&amp;0)&gt;5,IF(MOD(COUNTIF(M$641:M764,1),7)=0,$C$4,0),0)</f>
        <v>240.644107142858</v>
      </c>
      <c r="N462" s="81" cm="1">
        <f ca="1" t="array" ref="N462">IF(N764=1,OFFSET($Z$338,$B462,N$335-1)/SUMPRODUCT(--($D$335:$V$335=N$335),--($D764:$V764=1)),0)+SUM(N461)+IF(COUNTIF(N$641:N764,1)=1,5,0)+IF(COUNTIF(O462:$Z462,"&gt;"&amp;0)&gt;5,IF(MOD(COUNTIF(N$641:N764,1),7)=0,$C$4,0),0)</f>
        <v>232.919107142858</v>
      </c>
      <c r="O462" s="81" cm="1">
        <f ca="1" t="array" ref="O462">IF(O764=1,OFFSET($Z$338,$B462,O$335-1)/SUMPRODUCT(--($D$335:$V$335=O$335),--($D764:$V764=1)),0)+SUM(O461)+IF(COUNTIF(O$641:O764,1)=1,5,0)+IF(COUNTIF(P462:$Z462,"&gt;"&amp;0)&gt;5,IF(MOD(COUNTIF(O$641:O764,1),7)=0,$C$4,0),0)</f>
        <v>230.494107142858</v>
      </c>
      <c r="P462" s="81" cm="1">
        <f ca="1" t="array" ref="P462">IF(P764=1,OFFSET($Z$338,$B462,P$335-1)/SUMPRODUCT(--($D$335:$V$335=P$335),--($D764:$V764=1)),0)+SUM(P461)+IF(COUNTIF(P$641:P764,1)=1,5,0)+IF(COUNTIF(Q462:$Z462,"&gt;"&amp;0)&gt;5,IF(MOD(COUNTIF(P$641:P764,1),7)=0,$C$4,0),0)</f>
        <v>227.560773809524</v>
      </c>
      <c r="Q462" s="81" cm="1">
        <f ca="1" t="array" ref="Q462">IF(Q764=1,OFFSET($Z$338,$B462,Q$335-1)/SUMPRODUCT(--($D$335:$V$335=Q$335),--($D764:$V764=1)),0)+SUM(Q461)+IF(COUNTIF(Q$641:Q764,1)=1,5,0)+IF(COUNTIF(R462:$Z462,"&gt;"&amp;0)&gt;5,IF(MOD(COUNTIF(Q$641:Q764,1),7)=0,$C$4,0),0)</f>
        <v>221.654523809524</v>
      </c>
      <c r="R462" s="81" cm="1">
        <f ca="1" t="array" ref="R462">IF(R764=1,OFFSET($Z$338,$B462,R$335-1)/SUMPRODUCT(--($D$335:$V$335=R$335),--($D764:$V764=1)),0)+SUM(R461)+IF(COUNTIF(R$641:R764,1)=1,5,0)+IF(COUNTIF(S462:$Z462,"&gt;"&amp;0)&gt;5,IF(MOD(COUNTIF(R$641:R764,1),7)=0,$C$4,0),0)</f>
        <v>196.759523809524</v>
      </c>
      <c r="S462" s="81" cm="1">
        <f ca="1" t="array" ref="S462">IF(S764=1,OFFSET($Z$338,$B462,S$335-1)/SUMPRODUCT(--($D$335:$V$335=S$335),--($D764:$V764=1)),0)+SUM(S461)+IF(COUNTIF(S$641:S764,1)=1,5,0)+IF(COUNTIF(T462:$Z462,"&gt;"&amp;0)&gt;5,IF(MOD(COUNTIF(S$641:S764,1),7)=0,$C$4,0),0)</f>
        <v>192.592857142857</v>
      </c>
      <c r="T462" s="81" cm="1">
        <f ca="1" t="array" ref="T462">IF(T764=1,OFFSET($Z$338,$B462,T$335-1)/SUMPRODUCT(--($D$335:$V$335=T$335),--($D764:$V764=1)),0)+SUM(T461)+IF(COUNTIF(T$641:T764,1)=1,5,0)+IF(COUNTIF(U462:$Z462,"&gt;"&amp;0)&gt;5,IF(MOD(COUNTIF(T$641:T764,1),7)=0,$C$4,0),0)</f>
        <v>137.656257829764</v>
      </c>
      <c r="U462" s="81" cm="1">
        <f ca="1" t="array" ref="U462">IF(U764=1,OFFSET($Z$338,$B462,U$335-1)/SUMPRODUCT(--($D$335:$V$335=U$335),--($D764:$V764=1)),0)+SUM(U461)+IF(COUNTIF(U$641:U764,1)=1,5,0)+IF(COUNTIF(V462:$Z462,"&gt;"&amp;0)&gt;5,IF(MOD(COUNTIF(U$641:U764,1),7)=0,$C$4,0),0)</f>
        <v>97.6562578297643</v>
      </c>
      <c r="V462" s="81" cm="1">
        <f ca="1" t="array" ref="V462">IF(V764=1,OFFSET($Z$338,$B462,V$335-1)/SUMPRODUCT(--($D$335:$V$335=V$335),--($D764:$V764=1)),0)+SUM(V461)+IF(COUNTIF(V$641:V764,1)=1,5,0)+IF(COUNTIF(Z462:$Z462,"&gt;"&amp;0)&gt;5,IF(MOD(COUNTIF(V$641:V764,1),7)=0,$C$4,0),0)</f>
        <v>89.6984386404824</v>
      </c>
      <c r="W462" s="81" cm="1">
        <f ca="1" t="array" ref="W462">IF(W764=1,OFFSET($Z$338,$B462,W$335-1)/SUMPRODUCT(--($D$335:$V$335=W$335),--($D764:$V764=1)),0)+SUM(W461)+IF(COUNTIF(W$641:W764,1)=1,5,0)+IF(COUNTIF($Z462:AA462,"&gt;"&amp;0)&gt;5,IF(MOD(COUNTIF(W$641:W764,1),7)=0,$C$4,0),0)</f>
        <v>80.3425695255331</v>
      </c>
      <c r="X462" s="81" cm="1">
        <f ca="1" t="array" ref="X462">IF(X764=1,OFFSET($Z$338,$B462,X$335-1)/SUMPRODUCT(--($D$335:$V$335=X$335),--($D764:$V764=1)),0)+SUM(X461)+IF(COUNTIF(X$641:X764,1)=1,5,0)+IF(COUNTIF($Z462:AB462,"&gt;"&amp;0)&gt;5,IF(MOD(COUNTIF(X$641:X764,1),7)=0,$C$4,0),0)</f>
        <v>73.5789092348996</v>
      </c>
      <c r="Y462" s="81" cm="1">
        <f ca="1" t="array" ref="Y462">IF(Y764=1,OFFSET($Z$338,$B462,Y$335-1)/SUMPRODUCT(--($D$335:$V$335=Y$335),--($D764:$V764=1)),0)+SUM(Y461)+IF(COUNTIF(Y$641:Y764,1)=1,5,0)+IF(COUNTIF($Z462:AC462,"&gt;"&amp;0)&gt;5,IF(MOD(COUNTIF(Y$641:Y764,1),7)=0,$C$4,0),0)</f>
        <v>66.8152489442662</v>
      </c>
      <c r="Z462" s="82" cm="1">
        <f ca="1" t="array" ref="Z462">SUMPRODUCT(TRANSPOSE($AD462:$AJ462),OFFSET($L$10:$L$16,0,Z$335-1))</f>
        <v>0</v>
      </c>
      <c r="AA462" s="82" cm="1">
        <f ca="1" t="array" ref="AA462">SUMPRODUCT(TRANSPOSE($AD462:$AJ462),OFFSET($L$10:$L$16,0,AA$335-1))</f>
        <v>0</v>
      </c>
      <c r="AB462" s="82" cm="1">
        <f ca="1" t="array" ref="AB462">SUMPRODUCT(TRANSPOSE($AD462:$AJ462),OFFSET($L$10:$L$16,0,AB$335-1))</f>
        <v>0</v>
      </c>
      <c r="AC462" s="82" cm="1">
        <f ca="1" t="array" ref="AC462">SUMPRODUCT(TRANSPOSE($AD462:$AJ462),OFFSET($L$10:$L$16,0,AC$335-1))</f>
        <v>0</v>
      </c>
      <c r="AD462" s="83">
        <f ca="1" t="shared" ref="AD462:AJ462" si="569">AK462-AK461</f>
        <v>0</v>
      </c>
      <c r="AE462" s="83">
        <f ca="1" t="shared" si="569"/>
        <v>0</v>
      </c>
      <c r="AF462" s="83">
        <f ca="1" t="shared" si="569"/>
        <v>0</v>
      </c>
      <c r="AG462" s="83">
        <f ca="1" t="shared" si="569"/>
        <v>0</v>
      </c>
      <c r="AH462" s="83">
        <f ca="1" t="shared" si="569"/>
        <v>0</v>
      </c>
      <c r="AI462" s="83">
        <f ca="1" t="shared" si="569"/>
        <v>0</v>
      </c>
      <c r="AJ462" s="83">
        <f ca="1" t="shared" si="569"/>
        <v>0</v>
      </c>
      <c r="AK462" s="83">
        <f ca="1" t="shared" si="451"/>
        <v>450</v>
      </c>
      <c r="AL462" s="83">
        <f ca="1" t="shared" ref="AL462:AQ462" si="570">IF($C462&gt;OFFSET($Q$9,MATCH(AL$338,$AK$338:$AQ$338,0),0),OFFSET($P$9,MATCH(AL$338,$AK$338:$AQ$338,0),0),MAX(0,$C462-OFFSET($Q$9,RIGHT(AL$338,1)-1,0)))</f>
        <v>909</v>
      </c>
      <c r="AM462" s="83">
        <f ca="1" t="shared" si="570"/>
        <v>1818</v>
      </c>
      <c r="AN462" s="83">
        <f ca="1" t="shared" si="570"/>
        <v>2727</v>
      </c>
      <c r="AO462" s="83">
        <f ca="1" t="shared" si="570"/>
        <v>3636</v>
      </c>
      <c r="AP462" s="83">
        <f ca="1" t="shared" si="570"/>
        <v>4545</v>
      </c>
      <c r="AQ462" s="83">
        <f ca="1" t="shared" si="570"/>
        <v>0</v>
      </c>
    </row>
    <row r="463" ht="16.5" spans="2:43">
      <c r="B463" s="65">
        <v>125</v>
      </c>
      <c r="C463" s="80">
        <f t="shared" si="449"/>
        <v>15076</v>
      </c>
      <c r="D463" s="81" cm="1">
        <f ca="1" t="array" ref="D463">IF(D765=1,OFFSET($Z$338,$B463,D$335-1)/SUMPRODUCT(--($D$335:$V$335=D$335),--($D765:$V765=1)),0)+SUM(D462)+IF(COUNTIF(D$641:D765,1)=1,5,0)+IF(COUNTIF(E463:$Z463,"&gt;"&amp;0)&gt;5,IF(MOD(COUNTIF(D$641:D765,1),7)=0,$C$4,0),0)</f>
        <v>1203.82134856666</v>
      </c>
      <c r="E463" s="81" cm="1">
        <f ca="1" t="array" ref="E463">IF(E765=1,OFFSET($Z$338,$B463,E$335-1)/SUMPRODUCT(--($D$335:$V$335=E$335),--($D765:$V765=1)),0)+SUM(E462)+IF(COUNTIF(E$641:E765,1)=1,5,0)+IF(COUNTIF(F463:$Z463,"&gt;"&amp;0)&gt;5,IF(MOD(COUNTIF(E$641:E765,1),7)=0,$C$4,0),0)</f>
        <v>1203.82134856666</v>
      </c>
      <c r="F463" s="81" cm="1">
        <f ca="1" t="array" ref="F463">IF(F765=1,OFFSET($Z$338,$B463,F$335-1)/SUMPRODUCT(--($D$335:$V$335=F$335),--($D765:$V765=1)),0)+SUM(F462)+IF(COUNTIF(F$641:F765,1)=1,5,0)+IF(COUNTIF(G463:$Z463,"&gt;"&amp;0)&gt;5,IF(MOD(COUNTIF(F$641:F765,1),7)=0,$C$4,0),0)</f>
        <v>1203.82134856666</v>
      </c>
      <c r="G463" s="81" cm="1">
        <f ca="1" t="array" ref="G463">IF(G765=1,OFFSET($Z$338,$B463,G$335-1)/SUMPRODUCT(--($D$335:$V$335=G$335),--($D765:$V765=1)),0)+SUM(G462)+IF(COUNTIF(G$641:G765,1)=1,5,0)+IF(COUNTIF(H463:$Z463,"&gt;"&amp;0)&gt;5,IF(MOD(COUNTIF(G$641:G765,1),7)=0,$C$4,0),0)</f>
        <v>492.516666666668</v>
      </c>
      <c r="H463" s="81" cm="1">
        <f ca="1" t="array" ref="H463">IF(H765=1,OFFSET($Z$338,$B463,H$335-1)/SUMPRODUCT(--($D$335:$V$335=H$335),--($D765:$V765=1)),0)+SUM(H462)+IF(COUNTIF(H$641:H765,1)=1,5,0)+IF(COUNTIF(I463:$Z463,"&gt;"&amp;0)&gt;5,IF(MOD(COUNTIF(H$641:H765,1),7)=0,$C$4,0),0)</f>
        <v>492.516666666668</v>
      </c>
      <c r="I463" s="81" cm="1">
        <f ca="1" t="array" ref="I463">IF(I765=1,OFFSET($Z$338,$B463,I$335-1)/SUMPRODUCT(--($D$335:$V$335=I$335),--($D765:$V765=1)),0)+SUM(I462)+IF(COUNTIF(I$641:I765,1)=1,5,0)+IF(COUNTIF(J463:$Z463,"&gt;"&amp;0)&gt;5,IF(MOD(COUNTIF(I$641:I765,1),7)=0,$C$4,0),0)</f>
        <v>492.516666666668</v>
      </c>
      <c r="J463" s="81" cm="1">
        <f ca="1" t="array" ref="J463">IF(J765=1,OFFSET($Z$338,$B463,J$335-1)/SUMPRODUCT(--($D$335:$V$335=J$335),--($D765:$V765=1)),0)+SUM(J462)+IF(COUNTIF(J$641:J765,1)=1,5,0)+IF(COUNTIF(K463:$Z463,"&gt;"&amp;0)&gt;5,IF(MOD(COUNTIF(J$641:J765,1),7)=0,$C$4,0),0)</f>
        <v>492.516666666668</v>
      </c>
      <c r="K463" s="81" cm="1">
        <f ca="1" t="array" ref="K463">IF(K765=1,OFFSET($Z$338,$B463,K$335-1)/SUMPRODUCT(--($D$335:$V$335=K$335),--($D765:$V765=1)),0)+SUM(K462)+IF(COUNTIF(K$641:K765,1)=1,5,0)+IF(COUNTIF(L463:$Z463,"&gt;"&amp;0)&gt;5,IF(MOD(COUNTIF(K$641:K765,1),7)=0,$C$4,0),0)</f>
        <v>492.516666666668</v>
      </c>
      <c r="L463" s="81" cm="1">
        <f ca="1" t="array" ref="L463">IF(L765=1,OFFSET($Z$338,$B463,L$335-1)/SUMPRODUCT(--($D$335:$V$335=L$335),--($D765:$V765=1)),0)+SUM(L462)+IF(COUNTIF(L$641:L765,1)=1,5,0)+IF(COUNTIF(M463:$Z463,"&gt;"&amp;0)&gt;5,IF(MOD(COUNTIF(L$641:L765,1),7)=0,$C$4,0),0)</f>
        <v>485.816666666668</v>
      </c>
      <c r="M463" s="81" cm="1">
        <f ca="1" t="array" ref="M463">IF(M765=1,OFFSET($Z$338,$B463,M$335-1)/SUMPRODUCT(--($D$335:$V$335=M$335),--($D765:$V765=1)),0)+SUM(M462)+IF(COUNTIF(M$641:M765,1)=1,5,0)+IF(COUNTIF(N463:$Z463,"&gt;"&amp;0)&gt;5,IF(MOD(COUNTIF(M$641:M765,1),7)=0,$C$4,0),0)</f>
        <v>240.644107142858</v>
      </c>
      <c r="N463" s="81" cm="1">
        <f ca="1" t="array" ref="N463">IF(N765=1,OFFSET($Z$338,$B463,N$335-1)/SUMPRODUCT(--($D$335:$V$335=N$335),--($D765:$V765=1)),0)+SUM(N462)+IF(COUNTIF(N$641:N765,1)=1,5,0)+IF(COUNTIF(O463:$Z463,"&gt;"&amp;0)&gt;5,IF(MOD(COUNTIF(N$641:N765,1),7)=0,$C$4,0),0)</f>
        <v>232.919107142858</v>
      </c>
      <c r="O463" s="81" cm="1">
        <f ca="1" t="array" ref="O463">IF(O765=1,OFFSET($Z$338,$B463,O$335-1)/SUMPRODUCT(--($D$335:$V$335=O$335),--($D765:$V765=1)),0)+SUM(O462)+IF(COUNTIF(O$641:O765,1)=1,5,0)+IF(COUNTIF(P463:$Z463,"&gt;"&amp;0)&gt;5,IF(MOD(COUNTIF(O$641:O765,1),7)=0,$C$4,0),0)</f>
        <v>230.494107142858</v>
      </c>
      <c r="P463" s="81" cm="1">
        <f ca="1" t="array" ref="P463">IF(P765=1,OFFSET($Z$338,$B463,P$335-1)/SUMPRODUCT(--($D$335:$V$335=P$335),--($D765:$V765=1)),0)+SUM(P462)+IF(COUNTIF(P$641:P765,1)=1,5,0)+IF(COUNTIF(Q463:$Z463,"&gt;"&amp;0)&gt;5,IF(MOD(COUNTIF(P$641:P765,1),7)=0,$C$4,0),0)</f>
        <v>227.560773809524</v>
      </c>
      <c r="Q463" s="81" cm="1">
        <f ca="1" t="array" ref="Q463">IF(Q765=1,OFFSET($Z$338,$B463,Q$335-1)/SUMPRODUCT(--($D$335:$V$335=Q$335),--($D765:$V765=1)),0)+SUM(Q462)+IF(COUNTIF(Q$641:Q765,1)=1,5,0)+IF(COUNTIF(R463:$Z463,"&gt;"&amp;0)&gt;5,IF(MOD(COUNTIF(Q$641:Q765,1),7)=0,$C$4,0),0)</f>
        <v>226.654523809524</v>
      </c>
      <c r="R463" s="81" cm="1">
        <f ca="1" t="array" ref="R463">IF(R765=1,OFFSET($Z$338,$B463,R$335-1)/SUMPRODUCT(--($D$335:$V$335=R$335),--($D765:$V765=1)),0)+SUM(R462)+IF(COUNTIF(R$641:R765,1)=1,5,0)+IF(COUNTIF(S463:$Z463,"&gt;"&amp;0)&gt;5,IF(MOD(COUNTIF(R$641:R765,1),7)=0,$C$4,0),0)</f>
        <v>196.759523809524</v>
      </c>
      <c r="S463" s="81" cm="1">
        <f ca="1" t="array" ref="S463">IF(S765=1,OFFSET($Z$338,$B463,S$335-1)/SUMPRODUCT(--($D$335:$V$335=S$335),--($D765:$V765=1)),0)+SUM(S462)+IF(COUNTIF(S$641:S765,1)=1,5,0)+IF(COUNTIF(T463:$Z463,"&gt;"&amp;0)&gt;5,IF(MOD(COUNTIF(S$641:S765,1),7)=0,$C$4,0),0)</f>
        <v>192.592857142857</v>
      </c>
      <c r="T463" s="81" cm="1">
        <f ca="1" t="array" ref="T463">IF(T765=1,OFFSET($Z$338,$B463,T$335-1)/SUMPRODUCT(--($D$335:$V$335=T$335),--($D765:$V765=1)),0)+SUM(T462)+IF(COUNTIF(T$641:T765,1)=1,5,0)+IF(COUNTIF(U463:$Z463,"&gt;"&amp;0)&gt;5,IF(MOD(COUNTIF(T$641:T765,1),7)=0,$C$4,0),0)</f>
        <v>137.656257829764</v>
      </c>
      <c r="U463" s="81" cm="1">
        <f ca="1" t="array" ref="U463">IF(U765=1,OFFSET($Z$338,$B463,U$335-1)/SUMPRODUCT(--($D$335:$V$335=U$335),--($D765:$V765=1)),0)+SUM(U462)+IF(COUNTIF(U$641:U765,1)=1,5,0)+IF(COUNTIF(V463:$Z463,"&gt;"&amp;0)&gt;5,IF(MOD(COUNTIF(U$641:U765,1),7)=0,$C$4,0),0)</f>
        <v>97.6562578297643</v>
      </c>
      <c r="V463" s="81" cm="1">
        <f ca="1" t="array" ref="V463">IF(V765=1,OFFSET($Z$338,$B463,V$335-1)/SUMPRODUCT(--($D$335:$V$335=V$335),--($D765:$V765=1)),0)+SUM(V462)+IF(COUNTIF(V$641:V765,1)=1,5,0)+IF(COUNTIF(Z463:$Z463,"&gt;"&amp;0)&gt;5,IF(MOD(COUNTIF(V$641:V765,1),7)=0,$C$4,0),0)</f>
        <v>89.6984386404824</v>
      </c>
      <c r="W463" s="81" cm="1">
        <f ca="1" t="array" ref="W463">IF(W765=1,OFFSET($Z$338,$B463,W$335-1)/SUMPRODUCT(--($D$335:$V$335=W$335),--($D765:$V765=1)),0)+SUM(W462)+IF(COUNTIF(W$641:W765,1)=1,5,0)+IF(COUNTIF($Z463:AA463,"&gt;"&amp;0)&gt;5,IF(MOD(COUNTIF(W$641:W765,1),7)=0,$C$4,0),0)</f>
        <v>80.3425695255331</v>
      </c>
      <c r="X463" s="81" cm="1">
        <f ca="1" t="array" ref="X463">IF(X765=1,OFFSET($Z$338,$B463,X$335-1)/SUMPRODUCT(--($D$335:$V$335=X$335),--($D765:$V765=1)),0)+SUM(X462)+IF(COUNTIF(X$641:X765,1)=1,5,0)+IF(COUNTIF($Z463:AB463,"&gt;"&amp;0)&gt;5,IF(MOD(COUNTIF(X$641:X765,1),7)=0,$C$4,0),0)</f>
        <v>73.5789092348996</v>
      </c>
      <c r="Y463" s="81" cm="1">
        <f ca="1" t="array" ref="Y463">IF(Y765=1,OFFSET($Z$338,$B463,Y$335-1)/SUMPRODUCT(--($D$335:$V$335=Y$335),--($D765:$V765=1)),0)+SUM(Y462)+IF(COUNTIF(Y$641:Y765,1)=1,5,0)+IF(COUNTIF($Z463:AC463,"&gt;"&amp;0)&gt;5,IF(MOD(COUNTIF(Y$641:Y765,1),7)=0,$C$4,0),0)</f>
        <v>66.8152489442662</v>
      </c>
      <c r="Z463" s="82" cm="1">
        <f ca="1" t="array" ref="Z463">SUMPRODUCT(TRANSPOSE($AD463:$AJ463),OFFSET($L$10:$L$16,0,Z$335-1))</f>
        <v>0</v>
      </c>
      <c r="AA463" s="82" cm="1">
        <f ca="1" t="array" ref="AA463">SUMPRODUCT(TRANSPOSE($AD463:$AJ463),OFFSET($L$10:$L$16,0,AA$335-1))</f>
        <v>0</v>
      </c>
      <c r="AB463" s="82" cm="1">
        <f ca="1" t="array" ref="AB463">SUMPRODUCT(TRANSPOSE($AD463:$AJ463),OFFSET($L$10:$L$16,0,AB$335-1))</f>
        <v>0</v>
      </c>
      <c r="AC463" s="82" cm="1">
        <f ca="1" t="array" ref="AC463">SUMPRODUCT(TRANSPOSE($AD463:$AJ463),OFFSET($L$10:$L$16,0,AC$335-1))</f>
        <v>0</v>
      </c>
      <c r="AD463" s="83">
        <f ca="1" t="shared" ref="AD463:AJ463" si="571">AK463-AK462</f>
        <v>0</v>
      </c>
      <c r="AE463" s="83">
        <f ca="1" t="shared" si="571"/>
        <v>0</v>
      </c>
      <c r="AF463" s="83">
        <f ca="1" t="shared" si="571"/>
        <v>0</v>
      </c>
      <c r="AG463" s="83">
        <f ca="1" t="shared" si="571"/>
        <v>0</v>
      </c>
      <c r="AH463" s="83">
        <f ca="1" t="shared" si="571"/>
        <v>0</v>
      </c>
      <c r="AI463" s="83">
        <f ca="1" t="shared" si="571"/>
        <v>0</v>
      </c>
      <c r="AJ463" s="83">
        <f ca="1" t="shared" si="571"/>
        <v>0</v>
      </c>
      <c r="AK463" s="83">
        <f ca="1" t="shared" si="451"/>
        <v>450</v>
      </c>
      <c r="AL463" s="83">
        <f ca="1" t="shared" ref="AL463:AQ463" si="572">IF($C463&gt;OFFSET($Q$9,MATCH(AL$338,$AK$338:$AQ$338,0),0),OFFSET($P$9,MATCH(AL$338,$AK$338:$AQ$338,0),0),MAX(0,$C463-OFFSET($Q$9,RIGHT(AL$338,1)-1,0)))</f>
        <v>909</v>
      </c>
      <c r="AM463" s="83">
        <f ca="1" t="shared" si="572"/>
        <v>1818</v>
      </c>
      <c r="AN463" s="83">
        <f ca="1" t="shared" si="572"/>
        <v>2727</v>
      </c>
      <c r="AO463" s="83">
        <f ca="1" t="shared" si="572"/>
        <v>3636</v>
      </c>
      <c r="AP463" s="83">
        <f ca="1" t="shared" si="572"/>
        <v>4545</v>
      </c>
      <c r="AQ463" s="83">
        <f ca="1" t="shared" si="572"/>
        <v>0</v>
      </c>
    </row>
    <row r="464" ht="16.5" spans="2:43">
      <c r="B464" s="65">
        <v>126</v>
      </c>
      <c r="C464" s="80">
        <f t="shared" si="449"/>
        <v>15186</v>
      </c>
      <c r="D464" s="81" cm="1">
        <f ca="1" t="array" ref="D464">IF(D766=1,OFFSET($Z$338,$B464,D$335-1)/SUMPRODUCT(--($D$335:$V$335=D$335),--($D766:$V766=1)),0)+SUM(D463)+IF(COUNTIF(D$641:D766,1)=1,5,0)+IF(COUNTIF(E464:$Z464,"&gt;"&amp;0)&gt;5,IF(MOD(COUNTIF(D$641:D766,1),7)=0,$C$4,0),0)</f>
        <v>1208.82134856666</v>
      </c>
      <c r="E464" s="81" cm="1">
        <f ca="1" t="array" ref="E464">IF(E766=1,OFFSET($Z$338,$B464,E$335-1)/SUMPRODUCT(--($D$335:$V$335=E$335),--($D766:$V766=1)),0)+SUM(E463)+IF(COUNTIF(E$641:E766,1)=1,5,0)+IF(COUNTIF(F464:$Z464,"&gt;"&amp;0)&gt;5,IF(MOD(COUNTIF(E$641:E766,1),7)=0,$C$4,0),0)</f>
        <v>1208.82134856666</v>
      </c>
      <c r="F464" s="81" cm="1">
        <f ca="1" t="array" ref="F464">IF(F766=1,OFFSET($Z$338,$B464,F$335-1)/SUMPRODUCT(--($D$335:$V$335=F$335),--($D766:$V766=1)),0)+SUM(F463)+IF(COUNTIF(F$641:F766,1)=1,5,0)+IF(COUNTIF(G464:$Z464,"&gt;"&amp;0)&gt;5,IF(MOD(COUNTIF(F$641:F766,1),7)=0,$C$4,0),0)</f>
        <v>1208.82134856666</v>
      </c>
      <c r="G464" s="81" cm="1">
        <f ca="1" t="array" ref="G464">IF(G766=1,OFFSET($Z$338,$B464,G$335-1)/SUMPRODUCT(--($D$335:$V$335=G$335),--($D766:$V766=1)),0)+SUM(G463)+IF(COUNTIF(G$641:G766,1)=1,5,0)+IF(COUNTIF(H464:$Z464,"&gt;"&amp;0)&gt;5,IF(MOD(COUNTIF(G$641:G766,1),7)=0,$C$4,0),0)</f>
        <v>497.516666666668</v>
      </c>
      <c r="H464" s="81" cm="1">
        <f ca="1" t="array" ref="H464">IF(H766=1,OFFSET($Z$338,$B464,H$335-1)/SUMPRODUCT(--($D$335:$V$335=H$335),--($D766:$V766=1)),0)+SUM(H463)+IF(COUNTIF(H$641:H766,1)=1,5,0)+IF(COUNTIF(I464:$Z464,"&gt;"&amp;0)&gt;5,IF(MOD(COUNTIF(H$641:H766,1),7)=0,$C$4,0),0)</f>
        <v>497.516666666668</v>
      </c>
      <c r="I464" s="81" cm="1">
        <f ca="1" t="array" ref="I464">IF(I766=1,OFFSET($Z$338,$B464,I$335-1)/SUMPRODUCT(--($D$335:$V$335=I$335),--($D766:$V766=1)),0)+SUM(I463)+IF(COUNTIF(I$641:I766,1)=1,5,0)+IF(COUNTIF(J464:$Z464,"&gt;"&amp;0)&gt;5,IF(MOD(COUNTIF(I$641:I766,1),7)=0,$C$4,0),0)</f>
        <v>497.516666666668</v>
      </c>
      <c r="J464" s="81" cm="1">
        <f ca="1" t="array" ref="J464">IF(J766=1,OFFSET($Z$338,$B464,J$335-1)/SUMPRODUCT(--($D$335:$V$335=J$335),--($D766:$V766=1)),0)+SUM(J463)+IF(COUNTIF(J$641:J766,1)=1,5,0)+IF(COUNTIF(K464:$Z464,"&gt;"&amp;0)&gt;5,IF(MOD(COUNTIF(J$641:J766,1),7)=0,$C$4,0),0)</f>
        <v>497.516666666668</v>
      </c>
      <c r="K464" s="81" cm="1">
        <f ca="1" t="array" ref="K464">IF(K766=1,OFFSET($Z$338,$B464,K$335-1)/SUMPRODUCT(--($D$335:$V$335=K$335),--($D766:$V766=1)),0)+SUM(K463)+IF(COUNTIF(K$641:K766,1)=1,5,0)+IF(COUNTIF(L464:$Z464,"&gt;"&amp;0)&gt;5,IF(MOD(COUNTIF(K$641:K766,1),7)=0,$C$4,0),0)</f>
        <v>497.516666666668</v>
      </c>
      <c r="L464" s="81" cm="1">
        <f ca="1" t="array" ref="L464">IF(L766=1,OFFSET($Z$338,$B464,L$335-1)/SUMPRODUCT(--($D$335:$V$335=L$335),--($D766:$V766=1)),0)+SUM(L463)+IF(COUNTIF(L$641:L766,1)=1,5,0)+IF(COUNTIF(M464:$Z464,"&gt;"&amp;0)&gt;5,IF(MOD(COUNTIF(L$641:L766,1),7)=0,$C$4,0),0)</f>
        <v>485.816666666668</v>
      </c>
      <c r="M464" s="81" cm="1">
        <f ca="1" t="array" ref="M464">IF(M766=1,OFFSET($Z$338,$B464,M$335-1)/SUMPRODUCT(--($D$335:$V$335=M$335),--($D766:$V766=1)),0)+SUM(M463)+IF(COUNTIF(M$641:M766,1)=1,5,0)+IF(COUNTIF(N464:$Z464,"&gt;"&amp;0)&gt;5,IF(MOD(COUNTIF(M$641:M766,1),7)=0,$C$4,0),0)</f>
        <v>240.644107142858</v>
      </c>
      <c r="N464" s="81" cm="1">
        <f ca="1" t="array" ref="N464">IF(N766=1,OFFSET($Z$338,$B464,N$335-1)/SUMPRODUCT(--($D$335:$V$335=N$335),--($D766:$V766=1)),0)+SUM(N463)+IF(COUNTIF(N$641:N766,1)=1,5,0)+IF(COUNTIF(O464:$Z464,"&gt;"&amp;0)&gt;5,IF(MOD(COUNTIF(N$641:N766,1),7)=0,$C$4,0),0)</f>
        <v>232.919107142858</v>
      </c>
      <c r="O464" s="81" cm="1">
        <f ca="1" t="array" ref="O464">IF(O766=1,OFFSET($Z$338,$B464,O$335-1)/SUMPRODUCT(--($D$335:$V$335=O$335),--($D766:$V766=1)),0)+SUM(O463)+IF(COUNTIF(O$641:O766,1)=1,5,0)+IF(COUNTIF(P464:$Z464,"&gt;"&amp;0)&gt;5,IF(MOD(COUNTIF(O$641:O766,1),7)=0,$C$4,0),0)</f>
        <v>230.494107142858</v>
      </c>
      <c r="P464" s="81" cm="1">
        <f ca="1" t="array" ref="P464">IF(P766=1,OFFSET($Z$338,$B464,P$335-1)/SUMPRODUCT(--($D$335:$V$335=P$335),--($D766:$V766=1)),0)+SUM(P463)+IF(COUNTIF(P$641:P766,1)=1,5,0)+IF(COUNTIF(Q464:$Z464,"&gt;"&amp;0)&gt;5,IF(MOD(COUNTIF(P$641:P766,1),7)=0,$C$4,0),0)</f>
        <v>227.560773809524</v>
      </c>
      <c r="Q464" s="81" cm="1">
        <f ca="1" t="array" ref="Q464">IF(Q766=1,OFFSET($Z$338,$B464,Q$335-1)/SUMPRODUCT(--($D$335:$V$335=Q$335),--($D766:$V766=1)),0)+SUM(Q463)+IF(COUNTIF(Q$641:Q766,1)=1,5,0)+IF(COUNTIF(R464:$Z464,"&gt;"&amp;0)&gt;5,IF(MOD(COUNTIF(Q$641:Q766,1),7)=0,$C$4,0),0)</f>
        <v>226.654523809524</v>
      </c>
      <c r="R464" s="81" cm="1">
        <f ca="1" t="array" ref="R464">IF(R766=1,OFFSET($Z$338,$B464,R$335-1)/SUMPRODUCT(--($D$335:$V$335=R$335),--($D766:$V766=1)),0)+SUM(R463)+IF(COUNTIF(R$641:R766,1)=1,5,0)+IF(COUNTIF(S464:$Z464,"&gt;"&amp;0)&gt;5,IF(MOD(COUNTIF(R$641:R766,1),7)=0,$C$4,0),0)</f>
        <v>201.759523809524</v>
      </c>
      <c r="S464" s="81" cm="1">
        <f ca="1" t="array" ref="S464">IF(S766=1,OFFSET($Z$338,$B464,S$335-1)/SUMPRODUCT(--($D$335:$V$335=S$335),--($D766:$V766=1)),0)+SUM(S463)+IF(COUNTIF(S$641:S766,1)=1,5,0)+IF(COUNTIF(T464:$Z464,"&gt;"&amp;0)&gt;5,IF(MOD(COUNTIF(S$641:S766,1),7)=0,$C$4,0),0)</f>
        <v>192.592857142857</v>
      </c>
      <c r="T464" s="81" cm="1">
        <f ca="1" t="array" ref="T464">IF(T766=1,OFFSET($Z$338,$B464,T$335-1)/SUMPRODUCT(--($D$335:$V$335=T$335),--($D766:$V766=1)),0)+SUM(T463)+IF(COUNTIF(T$641:T766,1)=1,5,0)+IF(COUNTIF(U464:$Z464,"&gt;"&amp;0)&gt;5,IF(MOD(COUNTIF(T$641:T766,1),7)=0,$C$4,0),0)</f>
        <v>137.656257829764</v>
      </c>
      <c r="U464" s="81" cm="1">
        <f ca="1" t="array" ref="U464">IF(U766=1,OFFSET($Z$338,$B464,U$335-1)/SUMPRODUCT(--($D$335:$V$335=U$335),--($D766:$V766=1)),0)+SUM(U463)+IF(COUNTIF(U$641:U766,1)=1,5,0)+IF(COUNTIF(V464:$Z464,"&gt;"&amp;0)&gt;5,IF(MOD(COUNTIF(U$641:U766,1),7)=0,$C$4,0),0)</f>
        <v>97.6562578297643</v>
      </c>
      <c r="V464" s="81" cm="1">
        <f ca="1" t="array" ref="V464">IF(V766=1,OFFSET($Z$338,$B464,V$335-1)/SUMPRODUCT(--($D$335:$V$335=V$335),--($D766:$V766=1)),0)+SUM(V463)+IF(COUNTIF(V$641:V766,1)=1,5,0)+IF(COUNTIF(Z464:$Z464,"&gt;"&amp;0)&gt;5,IF(MOD(COUNTIF(V$641:V766,1),7)=0,$C$4,0),0)</f>
        <v>89.6984386404824</v>
      </c>
      <c r="W464" s="81" cm="1">
        <f ca="1" t="array" ref="W464">IF(W766=1,OFFSET($Z$338,$B464,W$335-1)/SUMPRODUCT(--($D$335:$V$335=W$335),--($D766:$V766=1)),0)+SUM(W463)+IF(COUNTIF(W$641:W766,1)=1,5,0)+IF(COUNTIF($Z464:AA464,"&gt;"&amp;0)&gt;5,IF(MOD(COUNTIF(W$641:W766,1),7)=0,$C$4,0),0)</f>
        <v>80.3425695255331</v>
      </c>
      <c r="X464" s="81" cm="1">
        <f ca="1" t="array" ref="X464">IF(X766=1,OFFSET($Z$338,$B464,X$335-1)/SUMPRODUCT(--($D$335:$V$335=X$335),--($D766:$V766=1)),0)+SUM(X463)+IF(COUNTIF(X$641:X766,1)=1,5,0)+IF(COUNTIF($Z464:AB464,"&gt;"&amp;0)&gt;5,IF(MOD(COUNTIF(X$641:X766,1),7)=0,$C$4,0),0)</f>
        <v>73.5789092348996</v>
      </c>
      <c r="Y464" s="81" cm="1">
        <f ca="1" t="array" ref="Y464">IF(Y766=1,OFFSET($Z$338,$B464,Y$335-1)/SUMPRODUCT(--($D$335:$V$335=Y$335),--($D766:$V766=1)),0)+SUM(Y463)+IF(COUNTIF(Y$641:Y766,1)=1,5,0)+IF(COUNTIF($Z464:AC464,"&gt;"&amp;0)&gt;5,IF(MOD(COUNTIF(Y$641:Y766,1),7)=0,$C$4,0),0)</f>
        <v>66.8152489442662</v>
      </c>
      <c r="Z464" s="82" cm="1">
        <f ca="1" t="array" ref="Z464">SUMPRODUCT(TRANSPOSE($AD464:$AJ464),OFFSET($L$10:$L$16,0,Z$335-1))</f>
        <v>0</v>
      </c>
      <c r="AA464" s="82" cm="1">
        <f ca="1" t="array" ref="AA464">SUMPRODUCT(TRANSPOSE($AD464:$AJ464),OFFSET($L$10:$L$16,0,AA$335-1))</f>
        <v>0</v>
      </c>
      <c r="AB464" s="82" cm="1">
        <f ca="1" t="array" ref="AB464">SUMPRODUCT(TRANSPOSE($AD464:$AJ464),OFFSET($L$10:$L$16,0,AB$335-1))</f>
        <v>0</v>
      </c>
      <c r="AC464" s="82" cm="1">
        <f ca="1" t="array" ref="AC464">SUMPRODUCT(TRANSPOSE($AD464:$AJ464),OFFSET($L$10:$L$16,0,AC$335-1))</f>
        <v>0</v>
      </c>
      <c r="AD464" s="83">
        <f ca="1" t="shared" ref="AD464:AJ464" si="573">AK464-AK463</f>
        <v>0</v>
      </c>
      <c r="AE464" s="83">
        <f ca="1" t="shared" si="573"/>
        <v>0</v>
      </c>
      <c r="AF464" s="83">
        <f ca="1" t="shared" si="573"/>
        <v>0</v>
      </c>
      <c r="AG464" s="83">
        <f ca="1" t="shared" si="573"/>
        <v>0</v>
      </c>
      <c r="AH464" s="83">
        <f ca="1" t="shared" si="573"/>
        <v>0</v>
      </c>
      <c r="AI464" s="83">
        <f ca="1" t="shared" si="573"/>
        <v>0</v>
      </c>
      <c r="AJ464" s="83">
        <f ca="1" t="shared" si="573"/>
        <v>0</v>
      </c>
      <c r="AK464" s="83">
        <f ca="1" t="shared" si="451"/>
        <v>450</v>
      </c>
      <c r="AL464" s="83">
        <f ca="1" t="shared" ref="AL464:AQ464" si="574">IF($C464&gt;OFFSET($Q$9,MATCH(AL$338,$AK$338:$AQ$338,0),0),OFFSET($P$9,MATCH(AL$338,$AK$338:$AQ$338,0),0),MAX(0,$C464-OFFSET($Q$9,RIGHT(AL$338,1)-1,0)))</f>
        <v>909</v>
      </c>
      <c r="AM464" s="83">
        <f ca="1" t="shared" si="574"/>
        <v>1818</v>
      </c>
      <c r="AN464" s="83">
        <f ca="1" t="shared" si="574"/>
        <v>2727</v>
      </c>
      <c r="AO464" s="83">
        <f ca="1" t="shared" si="574"/>
        <v>3636</v>
      </c>
      <c r="AP464" s="83">
        <f ca="1" t="shared" si="574"/>
        <v>4545</v>
      </c>
      <c r="AQ464" s="83">
        <f ca="1" t="shared" si="574"/>
        <v>0</v>
      </c>
    </row>
    <row r="465" ht="16.5" spans="2:43">
      <c r="B465" s="65">
        <v>127</v>
      </c>
      <c r="C465" s="80">
        <f t="shared" si="449"/>
        <v>15296</v>
      </c>
      <c r="D465" s="81" cm="1">
        <f ca="1" t="array" ref="D465">IF(D767=1,OFFSET($Z$338,$B465,D$335-1)/SUMPRODUCT(--($D$335:$V$335=D$335),--($D767:$V767=1)),0)+SUM(D464)+IF(COUNTIF(D$641:D767,1)=1,5,0)+IF(COUNTIF(E465:$Z465,"&gt;"&amp;0)&gt;5,IF(MOD(COUNTIF(D$641:D767,1),7)=0,$C$4,0),0)</f>
        <v>1208.82134856666</v>
      </c>
      <c r="E465" s="81" cm="1">
        <f ca="1" t="array" ref="E465">IF(E767=1,OFFSET($Z$338,$B465,E$335-1)/SUMPRODUCT(--($D$335:$V$335=E$335),--($D767:$V767=1)),0)+SUM(E464)+IF(COUNTIF(E$641:E767,1)=1,5,0)+IF(COUNTIF(F465:$Z465,"&gt;"&amp;0)&gt;5,IF(MOD(COUNTIF(E$641:E767,1),7)=0,$C$4,0),0)</f>
        <v>1208.82134856666</v>
      </c>
      <c r="F465" s="81" cm="1">
        <f ca="1" t="array" ref="F465">IF(F767=1,OFFSET($Z$338,$B465,F$335-1)/SUMPRODUCT(--($D$335:$V$335=F$335),--($D767:$V767=1)),0)+SUM(F464)+IF(COUNTIF(F$641:F767,1)=1,5,0)+IF(COUNTIF(G465:$Z465,"&gt;"&amp;0)&gt;5,IF(MOD(COUNTIF(F$641:F767,1),7)=0,$C$4,0),0)</f>
        <v>1208.82134856666</v>
      </c>
      <c r="G465" s="81" cm="1">
        <f ca="1" t="array" ref="G465">IF(G767=1,OFFSET($Z$338,$B465,G$335-1)/SUMPRODUCT(--($D$335:$V$335=G$335),--($D767:$V767=1)),0)+SUM(G464)+IF(COUNTIF(G$641:G767,1)=1,5,0)+IF(COUNTIF(H465:$Z465,"&gt;"&amp;0)&gt;5,IF(MOD(COUNTIF(G$641:G767,1),7)=0,$C$4,0),0)</f>
        <v>497.516666666668</v>
      </c>
      <c r="H465" s="81" cm="1">
        <f ca="1" t="array" ref="H465">IF(H767=1,OFFSET($Z$338,$B465,H$335-1)/SUMPRODUCT(--($D$335:$V$335=H$335),--($D767:$V767=1)),0)+SUM(H464)+IF(COUNTIF(H$641:H767,1)=1,5,0)+IF(COUNTIF(I465:$Z465,"&gt;"&amp;0)&gt;5,IF(MOD(COUNTIF(H$641:H767,1),7)=0,$C$4,0),0)</f>
        <v>497.516666666668</v>
      </c>
      <c r="I465" s="81" cm="1">
        <f ca="1" t="array" ref="I465">IF(I767=1,OFFSET($Z$338,$B465,I$335-1)/SUMPRODUCT(--($D$335:$V$335=I$335),--($D767:$V767=1)),0)+SUM(I464)+IF(COUNTIF(I$641:I767,1)=1,5,0)+IF(COUNTIF(J465:$Z465,"&gt;"&amp;0)&gt;5,IF(MOD(COUNTIF(I$641:I767,1),7)=0,$C$4,0),0)</f>
        <v>497.516666666668</v>
      </c>
      <c r="J465" s="81" cm="1">
        <f ca="1" t="array" ref="J465">IF(J767=1,OFFSET($Z$338,$B465,J$335-1)/SUMPRODUCT(--($D$335:$V$335=J$335),--($D767:$V767=1)),0)+SUM(J464)+IF(COUNTIF(J$641:J767,1)=1,5,0)+IF(COUNTIF(K465:$Z465,"&gt;"&amp;0)&gt;5,IF(MOD(COUNTIF(J$641:J767,1),7)=0,$C$4,0),0)</f>
        <v>497.516666666668</v>
      </c>
      <c r="K465" s="81" cm="1">
        <f ca="1" t="array" ref="K465">IF(K767=1,OFFSET($Z$338,$B465,K$335-1)/SUMPRODUCT(--($D$335:$V$335=K$335),--($D767:$V767=1)),0)+SUM(K464)+IF(COUNTIF(K$641:K767,1)=1,5,0)+IF(COUNTIF(L465:$Z465,"&gt;"&amp;0)&gt;5,IF(MOD(COUNTIF(K$641:K767,1),7)=0,$C$4,0),0)</f>
        <v>497.516666666668</v>
      </c>
      <c r="L465" s="81" cm="1">
        <f ca="1" t="array" ref="L465">IF(L767=1,OFFSET($Z$338,$B465,L$335-1)/SUMPRODUCT(--($D$335:$V$335=L$335),--($D767:$V767=1)),0)+SUM(L464)+IF(COUNTIF(L$641:L767,1)=1,5,0)+IF(COUNTIF(M465:$Z465,"&gt;"&amp;0)&gt;5,IF(MOD(COUNTIF(L$641:L767,1),7)=0,$C$4,0),0)</f>
        <v>490.816666666668</v>
      </c>
      <c r="M465" s="81" cm="1">
        <f ca="1" t="array" ref="M465">IF(M767=1,OFFSET($Z$338,$B465,M$335-1)/SUMPRODUCT(--($D$335:$V$335=M$335),--($D767:$V767=1)),0)+SUM(M464)+IF(COUNTIF(M$641:M767,1)=1,5,0)+IF(COUNTIF(N465:$Z465,"&gt;"&amp;0)&gt;5,IF(MOD(COUNTIF(M$641:M767,1),7)=0,$C$4,0),0)</f>
        <v>245.644107142858</v>
      </c>
      <c r="N465" s="81" cm="1">
        <f ca="1" t="array" ref="N465">IF(N767=1,OFFSET($Z$338,$B465,N$335-1)/SUMPRODUCT(--($D$335:$V$335=N$335),--($D767:$V767=1)),0)+SUM(N464)+IF(COUNTIF(N$641:N767,1)=1,5,0)+IF(COUNTIF(O465:$Z465,"&gt;"&amp;0)&gt;5,IF(MOD(COUNTIF(N$641:N767,1),7)=0,$C$4,0),0)</f>
        <v>232.919107142858</v>
      </c>
      <c r="O465" s="81" cm="1">
        <f ca="1" t="array" ref="O465">IF(O767=1,OFFSET($Z$338,$B465,O$335-1)/SUMPRODUCT(--($D$335:$V$335=O$335),--($D767:$V767=1)),0)+SUM(O464)+IF(COUNTIF(O$641:O767,1)=1,5,0)+IF(COUNTIF(P465:$Z465,"&gt;"&amp;0)&gt;5,IF(MOD(COUNTIF(O$641:O767,1),7)=0,$C$4,0),0)</f>
        <v>230.494107142858</v>
      </c>
      <c r="P465" s="81" cm="1">
        <f ca="1" t="array" ref="P465">IF(P767=1,OFFSET($Z$338,$B465,P$335-1)/SUMPRODUCT(--($D$335:$V$335=P$335),--($D767:$V767=1)),0)+SUM(P464)+IF(COUNTIF(P$641:P767,1)=1,5,0)+IF(COUNTIF(Q465:$Z465,"&gt;"&amp;0)&gt;5,IF(MOD(COUNTIF(P$641:P767,1),7)=0,$C$4,0),0)</f>
        <v>227.560773809524</v>
      </c>
      <c r="Q465" s="81" cm="1">
        <f ca="1" t="array" ref="Q465">IF(Q767=1,OFFSET($Z$338,$B465,Q$335-1)/SUMPRODUCT(--($D$335:$V$335=Q$335),--($D767:$V767=1)),0)+SUM(Q464)+IF(COUNTIF(Q$641:Q767,1)=1,5,0)+IF(COUNTIF(R465:$Z465,"&gt;"&amp;0)&gt;5,IF(MOD(COUNTIF(Q$641:Q767,1),7)=0,$C$4,0),0)</f>
        <v>226.654523809524</v>
      </c>
      <c r="R465" s="81" cm="1">
        <f ca="1" t="array" ref="R465">IF(R767=1,OFFSET($Z$338,$B465,R$335-1)/SUMPRODUCT(--($D$335:$V$335=R$335),--($D767:$V767=1)),0)+SUM(R464)+IF(COUNTIF(R$641:R767,1)=1,5,0)+IF(COUNTIF(S465:$Z465,"&gt;"&amp;0)&gt;5,IF(MOD(COUNTIF(R$641:R767,1),7)=0,$C$4,0),0)</f>
        <v>201.759523809524</v>
      </c>
      <c r="S465" s="81" cm="1">
        <f ca="1" t="array" ref="S465">IF(S767=1,OFFSET($Z$338,$B465,S$335-1)/SUMPRODUCT(--($D$335:$V$335=S$335),--($D767:$V767=1)),0)+SUM(S464)+IF(COUNTIF(S$641:S767,1)=1,5,0)+IF(COUNTIF(T465:$Z465,"&gt;"&amp;0)&gt;5,IF(MOD(COUNTIF(S$641:S767,1),7)=0,$C$4,0),0)</f>
        <v>192.592857142857</v>
      </c>
      <c r="T465" s="81" cm="1">
        <f ca="1" t="array" ref="T465">IF(T767=1,OFFSET($Z$338,$B465,T$335-1)/SUMPRODUCT(--($D$335:$V$335=T$335),--($D767:$V767=1)),0)+SUM(T464)+IF(COUNTIF(T$641:T767,1)=1,5,0)+IF(COUNTIF(U465:$Z465,"&gt;"&amp;0)&gt;5,IF(MOD(COUNTIF(T$641:T767,1),7)=0,$C$4,0),0)</f>
        <v>137.656257829764</v>
      </c>
      <c r="U465" s="81" cm="1">
        <f ca="1" t="array" ref="U465">IF(U767=1,OFFSET($Z$338,$B465,U$335-1)/SUMPRODUCT(--($D$335:$V$335=U$335),--($D767:$V767=1)),0)+SUM(U464)+IF(COUNTIF(U$641:U767,1)=1,5,0)+IF(COUNTIF(V465:$Z465,"&gt;"&amp;0)&gt;5,IF(MOD(COUNTIF(U$641:U767,1),7)=0,$C$4,0),0)</f>
        <v>97.6562578297643</v>
      </c>
      <c r="V465" s="81" cm="1">
        <f ca="1" t="array" ref="V465">IF(V767=1,OFFSET($Z$338,$B465,V$335-1)/SUMPRODUCT(--($D$335:$V$335=V$335),--($D767:$V767=1)),0)+SUM(V464)+IF(COUNTIF(V$641:V767,1)=1,5,0)+IF(COUNTIF(Z465:$Z465,"&gt;"&amp;0)&gt;5,IF(MOD(COUNTIF(V$641:V767,1),7)=0,$C$4,0),0)</f>
        <v>89.6984386404824</v>
      </c>
      <c r="W465" s="81" cm="1">
        <f ca="1" t="array" ref="W465">IF(W767=1,OFFSET($Z$338,$B465,W$335-1)/SUMPRODUCT(--($D$335:$V$335=W$335),--($D767:$V767=1)),0)+SUM(W464)+IF(COUNTIF(W$641:W767,1)=1,5,0)+IF(COUNTIF($Z465:AA465,"&gt;"&amp;0)&gt;5,IF(MOD(COUNTIF(W$641:W767,1),7)=0,$C$4,0),0)</f>
        <v>80.3425695255331</v>
      </c>
      <c r="X465" s="81" cm="1">
        <f ca="1" t="array" ref="X465">IF(X767=1,OFFSET($Z$338,$B465,X$335-1)/SUMPRODUCT(--($D$335:$V$335=X$335),--($D767:$V767=1)),0)+SUM(X464)+IF(COUNTIF(X$641:X767,1)=1,5,0)+IF(COUNTIF($Z465:AB465,"&gt;"&amp;0)&gt;5,IF(MOD(COUNTIF(X$641:X767,1),7)=0,$C$4,0),0)</f>
        <v>73.5789092348996</v>
      </c>
      <c r="Y465" s="81" cm="1">
        <f ca="1" t="array" ref="Y465">IF(Y767=1,OFFSET($Z$338,$B465,Y$335-1)/SUMPRODUCT(--($D$335:$V$335=Y$335),--($D767:$V767=1)),0)+SUM(Y464)+IF(COUNTIF(Y$641:Y767,1)=1,5,0)+IF(COUNTIF($Z465:AC465,"&gt;"&amp;0)&gt;5,IF(MOD(COUNTIF(Y$641:Y767,1),7)=0,$C$4,0),0)</f>
        <v>66.8152489442662</v>
      </c>
      <c r="Z465" s="82" cm="1">
        <f ca="1" t="array" ref="Z465">SUMPRODUCT(TRANSPOSE($AD465:$AJ465),OFFSET($L$10:$L$16,0,Z$335-1))</f>
        <v>0</v>
      </c>
      <c r="AA465" s="82" cm="1">
        <f ca="1" t="array" ref="AA465">SUMPRODUCT(TRANSPOSE($AD465:$AJ465),OFFSET($L$10:$L$16,0,AA$335-1))</f>
        <v>0</v>
      </c>
      <c r="AB465" s="82" cm="1">
        <f ca="1" t="array" ref="AB465">SUMPRODUCT(TRANSPOSE($AD465:$AJ465),OFFSET($L$10:$L$16,0,AB$335-1))</f>
        <v>0</v>
      </c>
      <c r="AC465" s="82" cm="1">
        <f ca="1" t="array" ref="AC465">SUMPRODUCT(TRANSPOSE($AD465:$AJ465),OFFSET($L$10:$L$16,0,AC$335-1))</f>
        <v>0</v>
      </c>
      <c r="AD465" s="83">
        <f ca="1" t="shared" ref="AD465:AJ465" si="575">AK465-AK464</f>
        <v>0</v>
      </c>
      <c r="AE465" s="83">
        <f ca="1" t="shared" si="575"/>
        <v>0</v>
      </c>
      <c r="AF465" s="83">
        <f ca="1" t="shared" si="575"/>
        <v>0</v>
      </c>
      <c r="AG465" s="83">
        <f ca="1" t="shared" si="575"/>
        <v>0</v>
      </c>
      <c r="AH465" s="83">
        <f ca="1" t="shared" si="575"/>
        <v>0</v>
      </c>
      <c r="AI465" s="83">
        <f ca="1" t="shared" si="575"/>
        <v>0</v>
      </c>
      <c r="AJ465" s="83">
        <f ca="1" t="shared" si="575"/>
        <v>0</v>
      </c>
      <c r="AK465" s="83">
        <f ca="1" t="shared" si="451"/>
        <v>450</v>
      </c>
      <c r="AL465" s="83">
        <f ca="1" t="shared" ref="AL465:AQ465" si="576">IF($C465&gt;OFFSET($Q$9,MATCH(AL$338,$AK$338:$AQ$338,0),0),OFFSET($P$9,MATCH(AL$338,$AK$338:$AQ$338,0),0),MAX(0,$C465-OFFSET($Q$9,RIGHT(AL$338,1)-1,0)))</f>
        <v>909</v>
      </c>
      <c r="AM465" s="83">
        <f ca="1" t="shared" si="576"/>
        <v>1818</v>
      </c>
      <c r="AN465" s="83">
        <f ca="1" t="shared" si="576"/>
        <v>2727</v>
      </c>
      <c r="AO465" s="83">
        <f ca="1" t="shared" si="576"/>
        <v>3636</v>
      </c>
      <c r="AP465" s="83">
        <f ca="1" t="shared" si="576"/>
        <v>4545</v>
      </c>
      <c r="AQ465" s="83">
        <f ca="1" t="shared" si="576"/>
        <v>0</v>
      </c>
    </row>
    <row r="466" ht="16.5" spans="2:43">
      <c r="B466" s="65">
        <v>128</v>
      </c>
      <c r="C466" s="80">
        <f t="shared" si="449"/>
        <v>15406</v>
      </c>
      <c r="D466" s="81" cm="1">
        <f ca="1" t="array" ref="D466">IF(D768=1,OFFSET($Z$338,$B466,D$335-1)/SUMPRODUCT(--($D$335:$V$335=D$335),--($D768:$V768=1)),0)+SUM(D465)+IF(COUNTIF(D$641:D768,1)=1,5,0)+IF(COUNTIF(E466:$Z466,"&gt;"&amp;0)&gt;5,IF(MOD(COUNTIF(D$641:D768,1),7)=0,$C$4,0),0)</f>
        <v>1208.82134856666</v>
      </c>
      <c r="E466" s="81" cm="1">
        <f ca="1" t="array" ref="E466">IF(E768=1,OFFSET($Z$338,$B466,E$335-1)/SUMPRODUCT(--($D$335:$V$335=E$335),--($D768:$V768=1)),0)+SUM(E465)+IF(COUNTIF(E$641:E768,1)=1,5,0)+IF(COUNTIF(F466:$Z466,"&gt;"&amp;0)&gt;5,IF(MOD(COUNTIF(E$641:E768,1),7)=0,$C$4,0),0)</f>
        <v>1208.82134856666</v>
      </c>
      <c r="F466" s="81" cm="1">
        <f ca="1" t="array" ref="F466">IF(F768=1,OFFSET($Z$338,$B466,F$335-1)/SUMPRODUCT(--($D$335:$V$335=F$335),--($D768:$V768=1)),0)+SUM(F465)+IF(COUNTIF(F$641:F768,1)=1,5,0)+IF(COUNTIF(G466:$Z466,"&gt;"&amp;0)&gt;5,IF(MOD(COUNTIF(F$641:F768,1),7)=0,$C$4,0),0)</f>
        <v>1208.82134856666</v>
      </c>
      <c r="G466" s="81" cm="1">
        <f ca="1" t="array" ref="G466">IF(G768=1,OFFSET($Z$338,$B466,G$335-1)/SUMPRODUCT(--($D$335:$V$335=G$335),--($D768:$V768=1)),0)+SUM(G465)+IF(COUNTIF(G$641:G768,1)=1,5,0)+IF(COUNTIF(H466:$Z466,"&gt;"&amp;0)&gt;5,IF(MOD(COUNTIF(G$641:G768,1),7)=0,$C$4,0),0)</f>
        <v>497.516666666668</v>
      </c>
      <c r="H466" s="81" cm="1">
        <f ca="1" t="array" ref="H466">IF(H768=1,OFFSET($Z$338,$B466,H$335-1)/SUMPRODUCT(--($D$335:$V$335=H$335),--($D768:$V768=1)),0)+SUM(H465)+IF(COUNTIF(H$641:H768,1)=1,5,0)+IF(COUNTIF(I466:$Z466,"&gt;"&amp;0)&gt;5,IF(MOD(COUNTIF(H$641:H768,1),7)=0,$C$4,0),0)</f>
        <v>497.516666666668</v>
      </c>
      <c r="I466" s="81" cm="1">
        <f ca="1" t="array" ref="I466">IF(I768=1,OFFSET($Z$338,$B466,I$335-1)/SUMPRODUCT(--($D$335:$V$335=I$335),--($D768:$V768=1)),0)+SUM(I465)+IF(COUNTIF(I$641:I768,1)=1,5,0)+IF(COUNTIF(J466:$Z466,"&gt;"&amp;0)&gt;5,IF(MOD(COUNTIF(I$641:I768,1),7)=0,$C$4,0),0)</f>
        <v>497.516666666668</v>
      </c>
      <c r="J466" s="81" cm="1">
        <f ca="1" t="array" ref="J466">IF(J768=1,OFFSET($Z$338,$B466,J$335-1)/SUMPRODUCT(--($D$335:$V$335=J$335),--($D768:$V768=1)),0)+SUM(J465)+IF(COUNTIF(J$641:J768,1)=1,5,0)+IF(COUNTIF(K466:$Z466,"&gt;"&amp;0)&gt;5,IF(MOD(COUNTIF(J$641:J768,1),7)=0,$C$4,0),0)</f>
        <v>497.516666666668</v>
      </c>
      <c r="K466" s="81" cm="1">
        <f ca="1" t="array" ref="K466">IF(K768=1,OFFSET($Z$338,$B466,K$335-1)/SUMPRODUCT(--($D$335:$V$335=K$335),--($D768:$V768=1)),0)+SUM(K465)+IF(COUNTIF(K$641:K768,1)=1,5,0)+IF(COUNTIF(L466:$Z466,"&gt;"&amp;0)&gt;5,IF(MOD(COUNTIF(K$641:K768,1),7)=0,$C$4,0),0)</f>
        <v>497.516666666668</v>
      </c>
      <c r="L466" s="81" cm="1">
        <f ca="1" t="array" ref="L466">IF(L768=1,OFFSET($Z$338,$B466,L$335-1)/SUMPRODUCT(--($D$335:$V$335=L$335),--($D768:$V768=1)),0)+SUM(L465)+IF(COUNTIF(L$641:L768,1)=1,5,0)+IF(COUNTIF(M466:$Z466,"&gt;"&amp;0)&gt;5,IF(MOD(COUNTIF(L$641:L768,1),7)=0,$C$4,0),0)</f>
        <v>490.816666666668</v>
      </c>
      <c r="M466" s="81" cm="1">
        <f ca="1" t="array" ref="M466">IF(M768=1,OFFSET($Z$338,$B466,M$335-1)/SUMPRODUCT(--($D$335:$V$335=M$335),--($D768:$V768=1)),0)+SUM(M465)+IF(COUNTIF(M$641:M768,1)=1,5,0)+IF(COUNTIF(N466:$Z466,"&gt;"&amp;0)&gt;5,IF(MOD(COUNTIF(M$641:M768,1),7)=0,$C$4,0),0)</f>
        <v>245.644107142858</v>
      </c>
      <c r="N466" s="81" cm="1">
        <f ca="1" t="array" ref="N466">IF(N768=1,OFFSET($Z$338,$B466,N$335-1)/SUMPRODUCT(--($D$335:$V$335=N$335),--($D768:$V768=1)),0)+SUM(N465)+IF(COUNTIF(N$641:N768,1)=1,5,0)+IF(COUNTIF(O466:$Z466,"&gt;"&amp;0)&gt;5,IF(MOD(COUNTIF(N$641:N768,1),7)=0,$C$4,0),0)</f>
        <v>237.919107142858</v>
      </c>
      <c r="O466" s="81" cm="1">
        <f ca="1" t="array" ref="O466">IF(O768=1,OFFSET($Z$338,$B466,O$335-1)/SUMPRODUCT(--($D$335:$V$335=O$335),--($D768:$V768=1)),0)+SUM(O465)+IF(COUNTIF(O$641:O768,1)=1,5,0)+IF(COUNTIF(P466:$Z466,"&gt;"&amp;0)&gt;5,IF(MOD(COUNTIF(O$641:O768,1),7)=0,$C$4,0),0)</f>
        <v>230.494107142858</v>
      </c>
      <c r="P466" s="81" cm="1">
        <f ca="1" t="array" ref="P466">IF(P768=1,OFFSET($Z$338,$B466,P$335-1)/SUMPRODUCT(--($D$335:$V$335=P$335),--($D768:$V768=1)),0)+SUM(P465)+IF(COUNTIF(P$641:P768,1)=1,5,0)+IF(COUNTIF(Q466:$Z466,"&gt;"&amp;0)&gt;5,IF(MOD(COUNTIF(P$641:P768,1),7)=0,$C$4,0),0)</f>
        <v>227.560773809524</v>
      </c>
      <c r="Q466" s="81" cm="1">
        <f ca="1" t="array" ref="Q466">IF(Q768=1,OFFSET($Z$338,$B466,Q$335-1)/SUMPRODUCT(--($D$335:$V$335=Q$335),--($D768:$V768=1)),0)+SUM(Q465)+IF(COUNTIF(Q$641:Q768,1)=1,5,0)+IF(COUNTIF(R466:$Z466,"&gt;"&amp;0)&gt;5,IF(MOD(COUNTIF(Q$641:Q768,1),7)=0,$C$4,0),0)</f>
        <v>226.654523809524</v>
      </c>
      <c r="R466" s="81" cm="1">
        <f ca="1" t="array" ref="R466">IF(R768=1,OFFSET($Z$338,$B466,R$335-1)/SUMPRODUCT(--($D$335:$V$335=R$335),--($D768:$V768=1)),0)+SUM(R465)+IF(COUNTIF(R$641:R768,1)=1,5,0)+IF(COUNTIF(S466:$Z466,"&gt;"&amp;0)&gt;5,IF(MOD(COUNTIF(R$641:R768,1),7)=0,$C$4,0),0)</f>
        <v>201.759523809524</v>
      </c>
      <c r="S466" s="81" cm="1">
        <f ca="1" t="array" ref="S466">IF(S768=1,OFFSET($Z$338,$B466,S$335-1)/SUMPRODUCT(--($D$335:$V$335=S$335),--($D768:$V768=1)),0)+SUM(S465)+IF(COUNTIF(S$641:S768,1)=1,5,0)+IF(COUNTIF(T466:$Z466,"&gt;"&amp;0)&gt;5,IF(MOD(COUNTIF(S$641:S768,1),7)=0,$C$4,0),0)</f>
        <v>192.592857142857</v>
      </c>
      <c r="T466" s="81" cm="1">
        <f ca="1" t="array" ref="T466">IF(T768=1,OFFSET($Z$338,$B466,T$335-1)/SUMPRODUCT(--($D$335:$V$335=T$335),--($D768:$V768=1)),0)+SUM(T465)+IF(COUNTIF(T$641:T768,1)=1,5,0)+IF(COUNTIF(U466:$Z466,"&gt;"&amp;0)&gt;5,IF(MOD(COUNTIF(T$641:T768,1),7)=0,$C$4,0),0)</f>
        <v>137.656257829764</v>
      </c>
      <c r="U466" s="81" cm="1">
        <f ca="1" t="array" ref="U466">IF(U768=1,OFFSET($Z$338,$B466,U$335-1)/SUMPRODUCT(--($D$335:$V$335=U$335),--($D768:$V768=1)),0)+SUM(U465)+IF(COUNTIF(U$641:U768,1)=1,5,0)+IF(COUNTIF(V466:$Z466,"&gt;"&amp;0)&gt;5,IF(MOD(COUNTIF(U$641:U768,1),7)=0,$C$4,0),0)</f>
        <v>97.6562578297643</v>
      </c>
      <c r="V466" s="81" cm="1">
        <f ca="1" t="array" ref="V466">IF(V768=1,OFFSET($Z$338,$B466,V$335-1)/SUMPRODUCT(--($D$335:$V$335=V$335),--($D768:$V768=1)),0)+SUM(V465)+IF(COUNTIF(V$641:V768,1)=1,5,0)+IF(COUNTIF(Z466:$Z466,"&gt;"&amp;0)&gt;5,IF(MOD(COUNTIF(V$641:V768,1),7)=0,$C$4,0),0)</f>
        <v>89.6984386404824</v>
      </c>
      <c r="W466" s="81" cm="1">
        <f ca="1" t="array" ref="W466">IF(W768=1,OFFSET($Z$338,$B466,W$335-1)/SUMPRODUCT(--($D$335:$V$335=W$335),--($D768:$V768=1)),0)+SUM(W465)+IF(COUNTIF(W$641:W768,1)=1,5,0)+IF(COUNTIF($Z466:AA466,"&gt;"&amp;0)&gt;5,IF(MOD(COUNTIF(W$641:W768,1),7)=0,$C$4,0),0)</f>
        <v>80.3425695255331</v>
      </c>
      <c r="X466" s="81" cm="1">
        <f ca="1" t="array" ref="X466">IF(X768=1,OFFSET($Z$338,$B466,X$335-1)/SUMPRODUCT(--($D$335:$V$335=X$335),--($D768:$V768=1)),0)+SUM(X465)+IF(COUNTIF(X$641:X768,1)=1,5,0)+IF(COUNTIF($Z466:AB466,"&gt;"&amp;0)&gt;5,IF(MOD(COUNTIF(X$641:X768,1),7)=0,$C$4,0),0)</f>
        <v>73.5789092348996</v>
      </c>
      <c r="Y466" s="81" cm="1">
        <f ca="1" t="array" ref="Y466">IF(Y768=1,OFFSET($Z$338,$B466,Y$335-1)/SUMPRODUCT(--($D$335:$V$335=Y$335),--($D768:$V768=1)),0)+SUM(Y465)+IF(COUNTIF(Y$641:Y768,1)=1,5,0)+IF(COUNTIF($Z466:AC466,"&gt;"&amp;0)&gt;5,IF(MOD(COUNTIF(Y$641:Y768,1),7)=0,$C$4,0),0)</f>
        <v>66.8152489442662</v>
      </c>
      <c r="Z466" s="82" cm="1">
        <f ca="1" t="array" ref="Z466">SUMPRODUCT(TRANSPOSE($AD466:$AJ466),OFFSET($L$10:$L$16,0,Z$335-1))</f>
        <v>0</v>
      </c>
      <c r="AA466" s="82" cm="1">
        <f ca="1" t="array" ref="AA466">SUMPRODUCT(TRANSPOSE($AD466:$AJ466),OFFSET($L$10:$L$16,0,AA$335-1))</f>
        <v>0</v>
      </c>
      <c r="AB466" s="82" cm="1">
        <f ca="1" t="array" ref="AB466">SUMPRODUCT(TRANSPOSE($AD466:$AJ466),OFFSET($L$10:$L$16,0,AB$335-1))</f>
        <v>0</v>
      </c>
      <c r="AC466" s="82" cm="1">
        <f ca="1" t="array" ref="AC466">SUMPRODUCT(TRANSPOSE($AD466:$AJ466),OFFSET($L$10:$L$16,0,AC$335-1))</f>
        <v>0</v>
      </c>
      <c r="AD466" s="83">
        <f ca="1" t="shared" ref="AD466:AJ466" si="577">AK466-AK465</f>
        <v>0</v>
      </c>
      <c r="AE466" s="83">
        <f ca="1" t="shared" si="577"/>
        <v>0</v>
      </c>
      <c r="AF466" s="83">
        <f ca="1" t="shared" si="577"/>
        <v>0</v>
      </c>
      <c r="AG466" s="83">
        <f ca="1" t="shared" si="577"/>
        <v>0</v>
      </c>
      <c r="AH466" s="83">
        <f ca="1" t="shared" si="577"/>
        <v>0</v>
      </c>
      <c r="AI466" s="83">
        <f ca="1" t="shared" si="577"/>
        <v>0</v>
      </c>
      <c r="AJ466" s="83">
        <f ca="1" t="shared" si="577"/>
        <v>0</v>
      </c>
      <c r="AK466" s="83">
        <f ca="1" t="shared" si="451"/>
        <v>450</v>
      </c>
      <c r="AL466" s="83">
        <f ca="1" t="shared" ref="AL466:AQ466" si="578">IF($C466&gt;OFFSET($Q$9,MATCH(AL$338,$AK$338:$AQ$338,0),0),OFFSET($P$9,MATCH(AL$338,$AK$338:$AQ$338,0),0),MAX(0,$C466-OFFSET($Q$9,RIGHT(AL$338,1)-1,0)))</f>
        <v>909</v>
      </c>
      <c r="AM466" s="83">
        <f ca="1" t="shared" si="578"/>
        <v>1818</v>
      </c>
      <c r="AN466" s="83">
        <f ca="1" t="shared" si="578"/>
        <v>2727</v>
      </c>
      <c r="AO466" s="83">
        <f ca="1" t="shared" si="578"/>
        <v>3636</v>
      </c>
      <c r="AP466" s="83">
        <f ca="1" t="shared" si="578"/>
        <v>4545</v>
      </c>
      <c r="AQ466" s="83">
        <f ca="1" t="shared" si="578"/>
        <v>0</v>
      </c>
    </row>
    <row r="467" ht="16.5" spans="2:43">
      <c r="B467" s="65">
        <v>129</v>
      </c>
      <c r="C467" s="80">
        <f t="shared" ref="C467:C530" si="579">C162</f>
        <v>15516</v>
      </c>
      <c r="D467" s="81" cm="1">
        <f ca="1" t="array" ref="D467">IF(D769=1,OFFSET($Z$338,$B467,D$335-1)/SUMPRODUCT(--($D$335:$V$335=D$335),--($D769:$V769=1)),0)+SUM(D466)+IF(COUNTIF(D$641:D769,1)=1,5,0)+IF(COUNTIF(E467:$Z467,"&gt;"&amp;0)&gt;5,IF(MOD(COUNTIF(D$641:D769,1),7)=0,$C$4,0),0)</f>
        <v>1208.82134856666</v>
      </c>
      <c r="E467" s="81" cm="1">
        <f ca="1" t="array" ref="E467">IF(E769=1,OFFSET($Z$338,$B467,E$335-1)/SUMPRODUCT(--($D$335:$V$335=E$335),--($D769:$V769=1)),0)+SUM(E466)+IF(COUNTIF(E$641:E769,1)=1,5,0)+IF(COUNTIF(F467:$Z467,"&gt;"&amp;0)&gt;5,IF(MOD(COUNTIF(E$641:E769,1),7)=0,$C$4,0),0)</f>
        <v>1208.82134856666</v>
      </c>
      <c r="F467" s="81" cm="1">
        <f ca="1" t="array" ref="F467">IF(F769=1,OFFSET($Z$338,$B467,F$335-1)/SUMPRODUCT(--($D$335:$V$335=F$335),--($D769:$V769=1)),0)+SUM(F466)+IF(COUNTIF(F$641:F769,1)=1,5,0)+IF(COUNTIF(G467:$Z467,"&gt;"&amp;0)&gt;5,IF(MOD(COUNTIF(F$641:F769,1),7)=0,$C$4,0),0)</f>
        <v>1208.82134856666</v>
      </c>
      <c r="G467" s="81" cm="1">
        <f ca="1" t="array" ref="G467">IF(G769=1,OFFSET($Z$338,$B467,G$335-1)/SUMPRODUCT(--($D$335:$V$335=G$335),--($D769:$V769=1)),0)+SUM(G466)+IF(COUNTIF(G$641:G769,1)=1,5,0)+IF(COUNTIF(H467:$Z467,"&gt;"&amp;0)&gt;5,IF(MOD(COUNTIF(G$641:G769,1),7)=0,$C$4,0),0)</f>
        <v>497.516666666668</v>
      </c>
      <c r="H467" s="81" cm="1">
        <f ca="1" t="array" ref="H467">IF(H769=1,OFFSET($Z$338,$B467,H$335-1)/SUMPRODUCT(--($D$335:$V$335=H$335),--($D769:$V769=1)),0)+SUM(H466)+IF(COUNTIF(H$641:H769,1)=1,5,0)+IF(COUNTIF(I467:$Z467,"&gt;"&amp;0)&gt;5,IF(MOD(COUNTIF(H$641:H769,1),7)=0,$C$4,0),0)</f>
        <v>497.516666666668</v>
      </c>
      <c r="I467" s="81" cm="1">
        <f ca="1" t="array" ref="I467">IF(I769=1,OFFSET($Z$338,$B467,I$335-1)/SUMPRODUCT(--($D$335:$V$335=I$335),--($D769:$V769=1)),0)+SUM(I466)+IF(COUNTIF(I$641:I769,1)=1,5,0)+IF(COUNTIF(J467:$Z467,"&gt;"&amp;0)&gt;5,IF(MOD(COUNTIF(I$641:I769,1),7)=0,$C$4,0),0)</f>
        <v>497.516666666668</v>
      </c>
      <c r="J467" s="81" cm="1">
        <f ca="1" t="array" ref="J467">IF(J769=1,OFFSET($Z$338,$B467,J$335-1)/SUMPRODUCT(--($D$335:$V$335=J$335),--($D769:$V769=1)),0)+SUM(J466)+IF(COUNTIF(J$641:J769,1)=1,5,0)+IF(COUNTIF(K467:$Z467,"&gt;"&amp;0)&gt;5,IF(MOD(COUNTIF(J$641:J769,1),7)=0,$C$4,0),0)</f>
        <v>497.516666666668</v>
      </c>
      <c r="K467" s="81" cm="1">
        <f ca="1" t="array" ref="K467">IF(K769=1,OFFSET($Z$338,$B467,K$335-1)/SUMPRODUCT(--($D$335:$V$335=K$335),--($D769:$V769=1)),0)+SUM(K466)+IF(COUNTIF(K$641:K769,1)=1,5,0)+IF(COUNTIF(L467:$Z467,"&gt;"&amp;0)&gt;5,IF(MOD(COUNTIF(K$641:K769,1),7)=0,$C$4,0),0)</f>
        <v>497.516666666668</v>
      </c>
      <c r="L467" s="81" cm="1">
        <f ca="1" t="array" ref="L467">IF(L769=1,OFFSET($Z$338,$B467,L$335-1)/SUMPRODUCT(--($D$335:$V$335=L$335),--($D769:$V769=1)),0)+SUM(L466)+IF(COUNTIF(L$641:L769,1)=1,5,0)+IF(COUNTIF(M467:$Z467,"&gt;"&amp;0)&gt;5,IF(MOD(COUNTIF(L$641:L769,1),7)=0,$C$4,0),0)</f>
        <v>490.816666666668</v>
      </c>
      <c r="M467" s="81" cm="1">
        <f ca="1" t="array" ref="M467">IF(M769=1,OFFSET($Z$338,$B467,M$335-1)/SUMPRODUCT(--($D$335:$V$335=M$335),--($D769:$V769=1)),0)+SUM(M466)+IF(COUNTIF(M$641:M769,1)=1,5,0)+IF(COUNTIF(N467:$Z467,"&gt;"&amp;0)&gt;5,IF(MOD(COUNTIF(M$641:M769,1),7)=0,$C$4,0),0)</f>
        <v>245.644107142858</v>
      </c>
      <c r="N467" s="81" cm="1">
        <f ca="1" t="array" ref="N467">IF(N769=1,OFFSET($Z$338,$B467,N$335-1)/SUMPRODUCT(--($D$335:$V$335=N$335),--($D769:$V769=1)),0)+SUM(N466)+IF(COUNTIF(N$641:N769,1)=1,5,0)+IF(COUNTIF(O467:$Z467,"&gt;"&amp;0)&gt;5,IF(MOD(COUNTIF(N$641:N769,1),7)=0,$C$4,0),0)</f>
        <v>237.919107142858</v>
      </c>
      <c r="O467" s="81" cm="1">
        <f ca="1" t="array" ref="O467">IF(O769=1,OFFSET($Z$338,$B467,O$335-1)/SUMPRODUCT(--($D$335:$V$335=O$335),--($D769:$V769=1)),0)+SUM(O466)+IF(COUNTIF(O$641:O769,1)=1,5,0)+IF(COUNTIF(P467:$Z467,"&gt;"&amp;0)&gt;5,IF(MOD(COUNTIF(O$641:O769,1),7)=0,$C$4,0),0)</f>
        <v>235.494107142858</v>
      </c>
      <c r="P467" s="81" cm="1">
        <f ca="1" t="array" ref="P467">IF(P769=1,OFFSET($Z$338,$B467,P$335-1)/SUMPRODUCT(--($D$335:$V$335=P$335),--($D769:$V769=1)),0)+SUM(P466)+IF(COUNTIF(P$641:P769,1)=1,5,0)+IF(COUNTIF(Q467:$Z467,"&gt;"&amp;0)&gt;5,IF(MOD(COUNTIF(P$641:P769,1),7)=0,$C$4,0),0)</f>
        <v>227.560773809524</v>
      </c>
      <c r="Q467" s="81" cm="1">
        <f ca="1" t="array" ref="Q467">IF(Q769=1,OFFSET($Z$338,$B467,Q$335-1)/SUMPRODUCT(--($D$335:$V$335=Q$335),--($D769:$V769=1)),0)+SUM(Q466)+IF(COUNTIF(Q$641:Q769,1)=1,5,0)+IF(COUNTIF(R467:$Z467,"&gt;"&amp;0)&gt;5,IF(MOD(COUNTIF(Q$641:Q769,1),7)=0,$C$4,0),0)</f>
        <v>226.654523809524</v>
      </c>
      <c r="R467" s="81" cm="1">
        <f ca="1" t="array" ref="R467">IF(R769=1,OFFSET($Z$338,$B467,R$335-1)/SUMPRODUCT(--($D$335:$V$335=R$335),--($D769:$V769=1)),0)+SUM(R466)+IF(COUNTIF(R$641:R769,1)=1,5,0)+IF(COUNTIF(S467:$Z467,"&gt;"&amp;0)&gt;5,IF(MOD(COUNTIF(R$641:R769,1),7)=0,$C$4,0),0)</f>
        <v>201.759523809524</v>
      </c>
      <c r="S467" s="81" cm="1">
        <f ca="1" t="array" ref="S467">IF(S769=1,OFFSET($Z$338,$B467,S$335-1)/SUMPRODUCT(--($D$335:$V$335=S$335),--($D769:$V769=1)),0)+SUM(S466)+IF(COUNTIF(S$641:S769,1)=1,5,0)+IF(COUNTIF(T467:$Z467,"&gt;"&amp;0)&gt;5,IF(MOD(COUNTIF(S$641:S769,1),7)=0,$C$4,0),0)</f>
        <v>192.592857142857</v>
      </c>
      <c r="T467" s="81" cm="1">
        <f ca="1" t="array" ref="T467">IF(T769=1,OFFSET($Z$338,$B467,T$335-1)/SUMPRODUCT(--($D$335:$V$335=T$335),--($D769:$V769=1)),0)+SUM(T466)+IF(COUNTIF(T$641:T769,1)=1,5,0)+IF(COUNTIF(U467:$Z467,"&gt;"&amp;0)&gt;5,IF(MOD(COUNTIF(T$641:T769,1),7)=0,$C$4,0),0)</f>
        <v>137.656257829764</v>
      </c>
      <c r="U467" s="81" cm="1">
        <f ca="1" t="array" ref="U467">IF(U769=1,OFFSET($Z$338,$B467,U$335-1)/SUMPRODUCT(--($D$335:$V$335=U$335),--($D769:$V769=1)),0)+SUM(U466)+IF(COUNTIF(U$641:U769,1)=1,5,0)+IF(COUNTIF(V467:$Z467,"&gt;"&amp;0)&gt;5,IF(MOD(COUNTIF(U$641:U769,1),7)=0,$C$4,0),0)</f>
        <v>97.6562578297643</v>
      </c>
      <c r="V467" s="81" cm="1">
        <f ca="1" t="array" ref="V467">IF(V769=1,OFFSET($Z$338,$B467,V$335-1)/SUMPRODUCT(--($D$335:$V$335=V$335),--($D769:$V769=1)),0)+SUM(V466)+IF(COUNTIF(V$641:V769,1)=1,5,0)+IF(COUNTIF(Z467:$Z467,"&gt;"&amp;0)&gt;5,IF(MOD(COUNTIF(V$641:V769,1),7)=0,$C$4,0),0)</f>
        <v>89.6984386404824</v>
      </c>
      <c r="W467" s="81" cm="1">
        <f ca="1" t="array" ref="W467">IF(W769=1,OFFSET($Z$338,$B467,W$335-1)/SUMPRODUCT(--($D$335:$V$335=W$335),--($D769:$V769=1)),0)+SUM(W466)+IF(COUNTIF(W$641:W769,1)=1,5,0)+IF(COUNTIF($Z467:AA467,"&gt;"&amp;0)&gt;5,IF(MOD(COUNTIF(W$641:W769,1),7)=0,$C$4,0),0)</f>
        <v>80.3425695255331</v>
      </c>
      <c r="X467" s="81" cm="1">
        <f ca="1" t="array" ref="X467">IF(X769=1,OFFSET($Z$338,$B467,X$335-1)/SUMPRODUCT(--($D$335:$V$335=X$335),--($D769:$V769=1)),0)+SUM(X466)+IF(COUNTIF(X$641:X769,1)=1,5,0)+IF(COUNTIF($Z467:AB467,"&gt;"&amp;0)&gt;5,IF(MOD(COUNTIF(X$641:X769,1),7)=0,$C$4,0),0)</f>
        <v>73.5789092348996</v>
      </c>
      <c r="Y467" s="81" cm="1">
        <f ca="1" t="array" ref="Y467">IF(Y769=1,OFFSET($Z$338,$B467,Y$335-1)/SUMPRODUCT(--($D$335:$V$335=Y$335),--($D769:$V769=1)),0)+SUM(Y466)+IF(COUNTIF(Y$641:Y769,1)=1,5,0)+IF(COUNTIF($Z467:AC467,"&gt;"&amp;0)&gt;5,IF(MOD(COUNTIF(Y$641:Y769,1),7)=0,$C$4,0),0)</f>
        <v>66.8152489442662</v>
      </c>
      <c r="Z467" s="82" cm="1">
        <f ca="1" t="array" ref="Z467">SUMPRODUCT(TRANSPOSE($AD467:$AJ467),OFFSET($L$10:$L$16,0,Z$335-1))</f>
        <v>0</v>
      </c>
      <c r="AA467" s="82" cm="1">
        <f ca="1" t="array" ref="AA467">SUMPRODUCT(TRANSPOSE($AD467:$AJ467),OFFSET($L$10:$L$16,0,AA$335-1))</f>
        <v>0</v>
      </c>
      <c r="AB467" s="82" cm="1">
        <f ca="1" t="array" ref="AB467">SUMPRODUCT(TRANSPOSE($AD467:$AJ467),OFFSET($L$10:$L$16,0,AB$335-1))</f>
        <v>0</v>
      </c>
      <c r="AC467" s="82" cm="1">
        <f ca="1" t="array" ref="AC467">SUMPRODUCT(TRANSPOSE($AD467:$AJ467),OFFSET($L$10:$L$16,0,AC$335-1))</f>
        <v>0</v>
      </c>
      <c r="AD467" s="83">
        <f ca="1" t="shared" ref="AD467:AJ467" si="580">AK467-AK466</f>
        <v>0</v>
      </c>
      <c r="AE467" s="83">
        <f ca="1" t="shared" si="580"/>
        <v>0</v>
      </c>
      <c r="AF467" s="83">
        <f ca="1" t="shared" si="580"/>
        <v>0</v>
      </c>
      <c r="AG467" s="83">
        <f ca="1" t="shared" si="580"/>
        <v>0</v>
      </c>
      <c r="AH467" s="83">
        <f ca="1" t="shared" si="580"/>
        <v>0</v>
      </c>
      <c r="AI467" s="83">
        <f ca="1" t="shared" si="580"/>
        <v>0</v>
      </c>
      <c r="AJ467" s="83">
        <f ca="1" t="shared" si="580"/>
        <v>0</v>
      </c>
      <c r="AK467" s="83">
        <f ca="1" t="shared" ref="AK467:AK530" si="581">IF($C467&gt;OFFSET($Q$9,MATCH(AK$338,$AK$338:$AQ$338,0),0),OFFSET($P$9,MATCH(AK$338,$AK$338:$AQ$338,0),0),$C467)</f>
        <v>450</v>
      </c>
      <c r="AL467" s="83">
        <f ca="1" t="shared" ref="AL467:AQ467" si="582">IF($C467&gt;OFFSET($Q$9,MATCH(AL$338,$AK$338:$AQ$338,0),0),OFFSET($P$9,MATCH(AL$338,$AK$338:$AQ$338,0),0),MAX(0,$C467-OFFSET($Q$9,RIGHT(AL$338,1)-1,0)))</f>
        <v>909</v>
      </c>
      <c r="AM467" s="83">
        <f ca="1" t="shared" si="582"/>
        <v>1818</v>
      </c>
      <c r="AN467" s="83">
        <f ca="1" t="shared" si="582"/>
        <v>2727</v>
      </c>
      <c r="AO467" s="83">
        <f ca="1" t="shared" si="582"/>
        <v>3636</v>
      </c>
      <c r="AP467" s="83">
        <f ca="1" t="shared" si="582"/>
        <v>4545</v>
      </c>
      <c r="AQ467" s="83">
        <f ca="1" t="shared" si="582"/>
        <v>0</v>
      </c>
    </row>
    <row r="468" ht="16.5" spans="2:43">
      <c r="B468" s="65">
        <v>130</v>
      </c>
      <c r="C468" s="80">
        <f t="shared" si="579"/>
        <v>15626</v>
      </c>
      <c r="D468" s="81" cm="1">
        <f ca="1" t="array" ref="D468">IF(D770=1,OFFSET($Z$338,$B468,D$335-1)/SUMPRODUCT(--($D$335:$V$335=D$335),--($D770:$V770=1)),0)+SUM(D467)+IF(COUNTIF(D$641:D770,1)=1,5,0)+IF(COUNTIF(E468:$Z468,"&gt;"&amp;0)&gt;5,IF(MOD(COUNTIF(D$641:D770,1),7)=0,$C$4,0),0)</f>
        <v>1208.82134856666</v>
      </c>
      <c r="E468" s="81" cm="1">
        <f ca="1" t="array" ref="E468">IF(E770=1,OFFSET($Z$338,$B468,E$335-1)/SUMPRODUCT(--($D$335:$V$335=E$335),--($D770:$V770=1)),0)+SUM(E467)+IF(COUNTIF(E$641:E770,1)=1,5,0)+IF(COUNTIF(F468:$Z468,"&gt;"&amp;0)&gt;5,IF(MOD(COUNTIF(E$641:E770,1),7)=0,$C$4,0),0)</f>
        <v>1208.82134856666</v>
      </c>
      <c r="F468" s="81" cm="1">
        <f ca="1" t="array" ref="F468">IF(F770=1,OFFSET($Z$338,$B468,F$335-1)/SUMPRODUCT(--($D$335:$V$335=F$335),--($D770:$V770=1)),0)+SUM(F467)+IF(COUNTIF(F$641:F770,1)=1,5,0)+IF(COUNTIF(G468:$Z468,"&gt;"&amp;0)&gt;5,IF(MOD(COUNTIF(F$641:F770,1),7)=0,$C$4,0),0)</f>
        <v>1208.82134856666</v>
      </c>
      <c r="G468" s="81" cm="1">
        <f ca="1" t="array" ref="G468">IF(G770=1,OFFSET($Z$338,$B468,G$335-1)/SUMPRODUCT(--($D$335:$V$335=G$335),--($D770:$V770=1)),0)+SUM(G467)+IF(COUNTIF(G$641:G770,1)=1,5,0)+IF(COUNTIF(H468:$Z468,"&gt;"&amp;0)&gt;5,IF(MOD(COUNTIF(G$641:G770,1),7)=0,$C$4,0),0)</f>
        <v>497.516666666668</v>
      </c>
      <c r="H468" s="81" cm="1">
        <f ca="1" t="array" ref="H468">IF(H770=1,OFFSET($Z$338,$B468,H$335-1)/SUMPRODUCT(--($D$335:$V$335=H$335),--($D770:$V770=1)),0)+SUM(H467)+IF(COUNTIF(H$641:H770,1)=1,5,0)+IF(COUNTIF(I468:$Z468,"&gt;"&amp;0)&gt;5,IF(MOD(COUNTIF(H$641:H770,1),7)=0,$C$4,0),0)</f>
        <v>497.516666666668</v>
      </c>
      <c r="I468" s="81" cm="1">
        <f ca="1" t="array" ref="I468">IF(I770=1,OFFSET($Z$338,$B468,I$335-1)/SUMPRODUCT(--($D$335:$V$335=I$335),--($D770:$V770=1)),0)+SUM(I467)+IF(COUNTIF(I$641:I770,1)=1,5,0)+IF(COUNTIF(J468:$Z468,"&gt;"&amp;0)&gt;5,IF(MOD(COUNTIF(I$641:I770,1),7)=0,$C$4,0),0)</f>
        <v>497.516666666668</v>
      </c>
      <c r="J468" s="81" cm="1">
        <f ca="1" t="array" ref="J468">IF(J770=1,OFFSET($Z$338,$B468,J$335-1)/SUMPRODUCT(--($D$335:$V$335=J$335),--($D770:$V770=1)),0)+SUM(J467)+IF(COUNTIF(J$641:J770,1)=1,5,0)+IF(COUNTIF(K468:$Z468,"&gt;"&amp;0)&gt;5,IF(MOD(COUNTIF(J$641:J770,1),7)=0,$C$4,0),0)</f>
        <v>497.516666666668</v>
      </c>
      <c r="K468" s="81" cm="1">
        <f ca="1" t="array" ref="K468">IF(K770=1,OFFSET($Z$338,$B468,K$335-1)/SUMPRODUCT(--($D$335:$V$335=K$335),--($D770:$V770=1)),0)+SUM(K467)+IF(COUNTIF(K$641:K770,1)=1,5,0)+IF(COUNTIF(L468:$Z468,"&gt;"&amp;0)&gt;5,IF(MOD(COUNTIF(K$641:K770,1),7)=0,$C$4,0),0)</f>
        <v>497.516666666668</v>
      </c>
      <c r="L468" s="81" cm="1">
        <f ca="1" t="array" ref="L468">IF(L770=1,OFFSET($Z$338,$B468,L$335-1)/SUMPRODUCT(--($D$335:$V$335=L$335),--($D770:$V770=1)),0)+SUM(L467)+IF(COUNTIF(L$641:L770,1)=1,5,0)+IF(COUNTIF(M468:$Z468,"&gt;"&amp;0)&gt;5,IF(MOD(COUNTIF(L$641:L770,1),7)=0,$C$4,0),0)</f>
        <v>490.816666666668</v>
      </c>
      <c r="M468" s="81" cm="1">
        <f ca="1" t="array" ref="M468">IF(M770=1,OFFSET($Z$338,$B468,M$335-1)/SUMPRODUCT(--($D$335:$V$335=M$335),--($D770:$V770=1)),0)+SUM(M467)+IF(COUNTIF(M$641:M770,1)=1,5,0)+IF(COUNTIF(N468:$Z468,"&gt;"&amp;0)&gt;5,IF(MOD(COUNTIF(M$641:M770,1),7)=0,$C$4,0),0)</f>
        <v>245.644107142858</v>
      </c>
      <c r="N468" s="81" cm="1">
        <f ca="1" t="array" ref="N468">IF(N770=1,OFFSET($Z$338,$B468,N$335-1)/SUMPRODUCT(--($D$335:$V$335=N$335),--($D770:$V770=1)),0)+SUM(N467)+IF(COUNTIF(N$641:N770,1)=1,5,0)+IF(COUNTIF(O468:$Z468,"&gt;"&amp;0)&gt;5,IF(MOD(COUNTIF(N$641:N770,1),7)=0,$C$4,0),0)</f>
        <v>237.919107142858</v>
      </c>
      <c r="O468" s="81" cm="1">
        <f ca="1" t="array" ref="O468">IF(O770=1,OFFSET($Z$338,$B468,O$335-1)/SUMPRODUCT(--($D$335:$V$335=O$335),--($D770:$V770=1)),0)+SUM(O467)+IF(COUNTIF(O$641:O770,1)=1,5,0)+IF(COUNTIF(P468:$Z468,"&gt;"&amp;0)&gt;5,IF(MOD(COUNTIF(O$641:O770,1),7)=0,$C$4,0),0)</f>
        <v>235.494107142858</v>
      </c>
      <c r="P468" s="81" cm="1">
        <f ca="1" t="array" ref="P468">IF(P770=1,OFFSET($Z$338,$B468,P$335-1)/SUMPRODUCT(--($D$335:$V$335=P$335),--($D770:$V770=1)),0)+SUM(P467)+IF(COUNTIF(P$641:P770,1)=1,5,0)+IF(COUNTIF(Q468:$Z468,"&gt;"&amp;0)&gt;5,IF(MOD(COUNTIF(P$641:P770,1),7)=0,$C$4,0),0)</f>
        <v>227.560773809524</v>
      </c>
      <c r="Q468" s="81" cm="1">
        <f ca="1" t="array" ref="Q468">IF(Q770=1,OFFSET($Z$338,$B468,Q$335-1)/SUMPRODUCT(--($D$335:$V$335=Q$335),--($D770:$V770=1)),0)+SUM(Q467)+IF(COUNTIF(Q$641:Q770,1)=1,5,0)+IF(COUNTIF(R468:$Z468,"&gt;"&amp;0)&gt;5,IF(MOD(COUNTIF(Q$641:Q770,1),7)=0,$C$4,0),0)</f>
        <v>226.654523809524</v>
      </c>
      <c r="R468" s="81" cm="1">
        <f ca="1" t="array" ref="R468">IF(R770=1,OFFSET($Z$338,$B468,R$335-1)/SUMPRODUCT(--($D$335:$V$335=R$335),--($D770:$V770=1)),0)+SUM(R467)+IF(COUNTIF(R$641:R770,1)=1,5,0)+IF(COUNTIF(S468:$Z468,"&gt;"&amp;0)&gt;5,IF(MOD(COUNTIF(R$641:R770,1),7)=0,$C$4,0),0)</f>
        <v>201.759523809524</v>
      </c>
      <c r="S468" s="81" cm="1">
        <f ca="1" t="array" ref="S468">IF(S770=1,OFFSET($Z$338,$B468,S$335-1)/SUMPRODUCT(--($D$335:$V$335=S$335),--($D770:$V770=1)),0)+SUM(S467)+IF(COUNTIF(S$641:S770,1)=1,5,0)+IF(COUNTIF(T468:$Z468,"&gt;"&amp;0)&gt;5,IF(MOD(COUNTIF(S$641:S770,1),7)=0,$C$4,0),0)</f>
        <v>192.592857142857</v>
      </c>
      <c r="T468" s="81" cm="1">
        <f ca="1" t="array" ref="T468">IF(T770=1,OFFSET($Z$338,$B468,T$335-1)/SUMPRODUCT(--($D$335:$V$335=T$335),--($D770:$V770=1)),0)+SUM(T467)+IF(COUNTIF(T$641:T770,1)=1,5,0)+IF(COUNTIF(U468:$Z468,"&gt;"&amp;0)&gt;5,IF(MOD(COUNTIF(T$641:T770,1),7)=0,$C$4,0),0)</f>
        <v>137.656257829764</v>
      </c>
      <c r="U468" s="81" cm="1">
        <f ca="1" t="array" ref="U468">IF(U770=1,OFFSET($Z$338,$B468,U$335-1)/SUMPRODUCT(--($D$335:$V$335=U$335),--($D770:$V770=1)),0)+SUM(U467)+IF(COUNTIF(U$641:U770,1)=1,5,0)+IF(COUNTIF(V468:$Z468,"&gt;"&amp;0)&gt;5,IF(MOD(COUNTIF(U$641:U770,1),7)=0,$C$4,0),0)</f>
        <v>97.6562578297643</v>
      </c>
      <c r="V468" s="81" cm="1">
        <f ca="1" t="array" ref="V468">IF(V770=1,OFFSET($Z$338,$B468,V$335-1)/SUMPRODUCT(--($D$335:$V$335=V$335),--($D770:$V770=1)),0)+SUM(V467)+IF(COUNTIF(V$641:V770,1)=1,5,0)+IF(COUNTIF(Z468:$Z468,"&gt;"&amp;0)&gt;5,IF(MOD(COUNTIF(V$641:V770,1),7)=0,$C$4,0),0)</f>
        <v>89.6984386404824</v>
      </c>
      <c r="W468" s="81" cm="1">
        <f ca="1" t="array" ref="W468">IF(W770=1,OFFSET($Z$338,$B468,W$335-1)/SUMPRODUCT(--($D$335:$V$335=W$335),--($D770:$V770=1)),0)+SUM(W467)+IF(COUNTIF(W$641:W770,1)=1,5,0)+IF(COUNTIF($Z468:AA468,"&gt;"&amp;0)&gt;5,IF(MOD(COUNTIF(W$641:W770,1),7)=0,$C$4,0),0)</f>
        <v>80.3425695255331</v>
      </c>
      <c r="X468" s="81" cm="1">
        <f ca="1" t="array" ref="X468">IF(X770=1,OFFSET($Z$338,$B468,X$335-1)/SUMPRODUCT(--($D$335:$V$335=X$335),--($D770:$V770=1)),0)+SUM(X467)+IF(COUNTIF(X$641:X770,1)=1,5,0)+IF(COUNTIF($Z468:AB468,"&gt;"&amp;0)&gt;5,IF(MOD(COUNTIF(X$641:X770,1),7)=0,$C$4,0),0)</f>
        <v>73.5789092348996</v>
      </c>
      <c r="Y468" s="81" cm="1">
        <f ca="1" t="array" ref="Y468">IF(Y770=1,OFFSET($Z$338,$B468,Y$335-1)/SUMPRODUCT(--($D$335:$V$335=Y$335),--($D770:$V770=1)),0)+SUM(Y467)+IF(COUNTIF(Y$641:Y770,1)=1,5,0)+IF(COUNTIF($Z468:AC468,"&gt;"&amp;0)&gt;5,IF(MOD(COUNTIF(Y$641:Y770,1),7)=0,$C$4,0),0)</f>
        <v>66.8152489442662</v>
      </c>
      <c r="Z468" s="82" cm="1">
        <f ca="1" t="array" ref="Z468">SUMPRODUCT(TRANSPOSE($AD468:$AJ468),OFFSET($L$10:$L$16,0,Z$335-1))</f>
        <v>0</v>
      </c>
      <c r="AA468" s="82" cm="1">
        <f ca="1" t="array" ref="AA468">SUMPRODUCT(TRANSPOSE($AD468:$AJ468),OFFSET($L$10:$L$16,0,AA$335-1))</f>
        <v>0</v>
      </c>
      <c r="AB468" s="82" cm="1">
        <f ca="1" t="array" ref="AB468">SUMPRODUCT(TRANSPOSE($AD468:$AJ468),OFFSET($L$10:$L$16,0,AB$335-1))</f>
        <v>0</v>
      </c>
      <c r="AC468" s="82" cm="1">
        <f ca="1" t="array" ref="AC468">SUMPRODUCT(TRANSPOSE($AD468:$AJ468),OFFSET($L$10:$L$16,0,AC$335-1))</f>
        <v>0</v>
      </c>
      <c r="AD468" s="83">
        <f ca="1" t="shared" ref="AD468:AJ468" si="583">AK468-AK467</f>
        <v>0</v>
      </c>
      <c r="AE468" s="83">
        <f ca="1" t="shared" si="583"/>
        <v>0</v>
      </c>
      <c r="AF468" s="83">
        <f ca="1" t="shared" si="583"/>
        <v>0</v>
      </c>
      <c r="AG468" s="83">
        <f ca="1" t="shared" si="583"/>
        <v>0</v>
      </c>
      <c r="AH468" s="83">
        <f ca="1" t="shared" si="583"/>
        <v>0</v>
      </c>
      <c r="AI468" s="83">
        <f ca="1" t="shared" si="583"/>
        <v>0</v>
      </c>
      <c r="AJ468" s="83">
        <f ca="1" t="shared" si="583"/>
        <v>0</v>
      </c>
      <c r="AK468" s="83">
        <f ca="1" t="shared" si="581"/>
        <v>450</v>
      </c>
      <c r="AL468" s="83">
        <f ca="1" t="shared" ref="AL468:AQ468" si="584">IF($C468&gt;OFFSET($Q$9,MATCH(AL$338,$AK$338:$AQ$338,0),0),OFFSET($P$9,MATCH(AL$338,$AK$338:$AQ$338,0),0),MAX(0,$C468-OFFSET($Q$9,RIGHT(AL$338,1)-1,0)))</f>
        <v>909</v>
      </c>
      <c r="AM468" s="83">
        <f ca="1" t="shared" si="584"/>
        <v>1818</v>
      </c>
      <c r="AN468" s="83">
        <f ca="1" t="shared" si="584"/>
        <v>2727</v>
      </c>
      <c r="AO468" s="83">
        <f ca="1" t="shared" si="584"/>
        <v>3636</v>
      </c>
      <c r="AP468" s="83">
        <f ca="1" t="shared" si="584"/>
        <v>4545</v>
      </c>
      <c r="AQ468" s="83">
        <f ca="1" t="shared" si="584"/>
        <v>0</v>
      </c>
    </row>
    <row r="469" ht="16.5" spans="2:43">
      <c r="B469" s="65">
        <v>131</v>
      </c>
      <c r="C469" s="80">
        <f t="shared" si="579"/>
        <v>15736</v>
      </c>
      <c r="D469" s="81" cm="1">
        <f ca="1" t="array" ref="D469">IF(D771=1,OFFSET($Z$338,$B469,D$335-1)/SUMPRODUCT(--($D$335:$V$335=D$335),--($D771:$V771=1)),0)+SUM(D468)+IF(COUNTIF(D$641:D771,1)=1,5,0)+IF(COUNTIF(E469:$Z469,"&gt;"&amp;0)&gt;5,IF(MOD(COUNTIF(D$641:D771,1),7)=0,$C$4,0),0)</f>
        <v>1208.82134856666</v>
      </c>
      <c r="E469" s="81" cm="1">
        <f ca="1" t="array" ref="E469">IF(E771=1,OFFSET($Z$338,$B469,E$335-1)/SUMPRODUCT(--($D$335:$V$335=E$335),--($D771:$V771=1)),0)+SUM(E468)+IF(COUNTIF(E$641:E771,1)=1,5,0)+IF(COUNTIF(F469:$Z469,"&gt;"&amp;0)&gt;5,IF(MOD(COUNTIF(E$641:E771,1),7)=0,$C$4,0),0)</f>
        <v>1208.82134856666</v>
      </c>
      <c r="F469" s="81" cm="1">
        <f ca="1" t="array" ref="F469">IF(F771=1,OFFSET($Z$338,$B469,F$335-1)/SUMPRODUCT(--($D$335:$V$335=F$335),--($D771:$V771=1)),0)+SUM(F468)+IF(COUNTIF(F$641:F771,1)=1,5,0)+IF(COUNTIF(G469:$Z469,"&gt;"&amp;0)&gt;5,IF(MOD(COUNTIF(F$641:F771,1),7)=0,$C$4,0),0)</f>
        <v>1208.82134856666</v>
      </c>
      <c r="G469" s="81" cm="1">
        <f ca="1" t="array" ref="G469">IF(G771=1,OFFSET($Z$338,$B469,G$335-1)/SUMPRODUCT(--($D$335:$V$335=G$335),--($D771:$V771=1)),0)+SUM(G468)+IF(COUNTIF(G$641:G771,1)=1,5,0)+IF(COUNTIF(H469:$Z469,"&gt;"&amp;0)&gt;5,IF(MOD(COUNTIF(G$641:G771,1),7)=0,$C$4,0),0)</f>
        <v>497.516666666668</v>
      </c>
      <c r="H469" s="81" cm="1">
        <f ca="1" t="array" ref="H469">IF(H771=1,OFFSET($Z$338,$B469,H$335-1)/SUMPRODUCT(--($D$335:$V$335=H$335),--($D771:$V771=1)),0)+SUM(H468)+IF(COUNTIF(H$641:H771,1)=1,5,0)+IF(COUNTIF(I469:$Z469,"&gt;"&amp;0)&gt;5,IF(MOD(COUNTIF(H$641:H771,1),7)=0,$C$4,0),0)</f>
        <v>497.516666666668</v>
      </c>
      <c r="I469" s="81" cm="1">
        <f ca="1" t="array" ref="I469">IF(I771=1,OFFSET($Z$338,$B469,I$335-1)/SUMPRODUCT(--($D$335:$V$335=I$335),--($D771:$V771=1)),0)+SUM(I468)+IF(COUNTIF(I$641:I771,1)=1,5,0)+IF(COUNTIF(J469:$Z469,"&gt;"&amp;0)&gt;5,IF(MOD(COUNTIF(I$641:I771,1),7)=0,$C$4,0),0)</f>
        <v>497.516666666668</v>
      </c>
      <c r="J469" s="81" cm="1">
        <f ca="1" t="array" ref="J469">IF(J771=1,OFFSET($Z$338,$B469,J$335-1)/SUMPRODUCT(--($D$335:$V$335=J$335),--($D771:$V771=1)),0)+SUM(J468)+IF(COUNTIF(J$641:J771,1)=1,5,0)+IF(COUNTIF(K469:$Z469,"&gt;"&amp;0)&gt;5,IF(MOD(COUNTIF(J$641:J771,1),7)=0,$C$4,0),0)</f>
        <v>497.516666666668</v>
      </c>
      <c r="K469" s="81" cm="1">
        <f ca="1" t="array" ref="K469">IF(K771=1,OFFSET($Z$338,$B469,K$335-1)/SUMPRODUCT(--($D$335:$V$335=K$335),--($D771:$V771=1)),0)+SUM(K468)+IF(COUNTIF(K$641:K771,1)=1,5,0)+IF(COUNTIF(L469:$Z469,"&gt;"&amp;0)&gt;5,IF(MOD(COUNTIF(K$641:K771,1),7)=0,$C$4,0),0)</f>
        <v>497.516666666668</v>
      </c>
      <c r="L469" s="81" cm="1">
        <f ca="1" t="array" ref="L469">IF(L771=1,OFFSET($Z$338,$B469,L$335-1)/SUMPRODUCT(--($D$335:$V$335=L$335),--($D771:$V771=1)),0)+SUM(L468)+IF(COUNTIF(L$641:L771,1)=1,5,0)+IF(COUNTIF(M469:$Z469,"&gt;"&amp;0)&gt;5,IF(MOD(COUNTIF(L$641:L771,1),7)=0,$C$4,0),0)</f>
        <v>490.816666666668</v>
      </c>
      <c r="M469" s="81" cm="1">
        <f ca="1" t="array" ref="M469">IF(M771=1,OFFSET($Z$338,$B469,M$335-1)/SUMPRODUCT(--($D$335:$V$335=M$335),--($D771:$V771=1)),0)+SUM(M468)+IF(COUNTIF(M$641:M771,1)=1,5,0)+IF(COUNTIF(N469:$Z469,"&gt;"&amp;0)&gt;5,IF(MOD(COUNTIF(M$641:M771,1),7)=0,$C$4,0),0)</f>
        <v>245.644107142858</v>
      </c>
      <c r="N469" s="81" cm="1">
        <f ca="1" t="array" ref="N469">IF(N771=1,OFFSET($Z$338,$B469,N$335-1)/SUMPRODUCT(--($D$335:$V$335=N$335),--($D771:$V771=1)),0)+SUM(N468)+IF(COUNTIF(N$641:N771,1)=1,5,0)+IF(COUNTIF(O469:$Z469,"&gt;"&amp;0)&gt;5,IF(MOD(COUNTIF(N$641:N771,1),7)=0,$C$4,0),0)</f>
        <v>237.919107142858</v>
      </c>
      <c r="O469" s="81" cm="1">
        <f ca="1" t="array" ref="O469">IF(O771=1,OFFSET($Z$338,$B469,O$335-1)/SUMPRODUCT(--($D$335:$V$335=O$335),--($D771:$V771=1)),0)+SUM(O468)+IF(COUNTIF(O$641:O771,1)=1,5,0)+IF(COUNTIF(P469:$Z469,"&gt;"&amp;0)&gt;5,IF(MOD(COUNTIF(O$641:O771,1),7)=0,$C$4,0),0)</f>
        <v>235.494107142858</v>
      </c>
      <c r="P469" s="81" cm="1">
        <f ca="1" t="array" ref="P469">IF(P771=1,OFFSET($Z$338,$B469,P$335-1)/SUMPRODUCT(--($D$335:$V$335=P$335),--($D771:$V771=1)),0)+SUM(P468)+IF(COUNTIF(P$641:P771,1)=1,5,0)+IF(COUNTIF(Q469:$Z469,"&gt;"&amp;0)&gt;5,IF(MOD(COUNTIF(P$641:P771,1),7)=0,$C$4,0),0)</f>
        <v>232.560773809524</v>
      </c>
      <c r="Q469" s="81" cm="1">
        <f ca="1" t="array" ref="Q469">IF(Q771=1,OFFSET($Z$338,$B469,Q$335-1)/SUMPRODUCT(--($D$335:$V$335=Q$335),--($D771:$V771=1)),0)+SUM(Q468)+IF(COUNTIF(Q$641:Q771,1)=1,5,0)+IF(COUNTIF(R469:$Z469,"&gt;"&amp;0)&gt;5,IF(MOD(COUNTIF(Q$641:Q771,1),7)=0,$C$4,0),0)</f>
        <v>226.654523809524</v>
      </c>
      <c r="R469" s="81" cm="1">
        <f ca="1" t="array" ref="R469">IF(R771=1,OFFSET($Z$338,$B469,R$335-1)/SUMPRODUCT(--($D$335:$V$335=R$335),--($D771:$V771=1)),0)+SUM(R468)+IF(COUNTIF(R$641:R771,1)=1,5,0)+IF(COUNTIF(S469:$Z469,"&gt;"&amp;0)&gt;5,IF(MOD(COUNTIF(R$641:R771,1),7)=0,$C$4,0),0)</f>
        <v>201.759523809524</v>
      </c>
      <c r="S469" s="81" cm="1">
        <f ca="1" t="array" ref="S469">IF(S771=1,OFFSET($Z$338,$B469,S$335-1)/SUMPRODUCT(--($D$335:$V$335=S$335),--($D771:$V771=1)),0)+SUM(S468)+IF(COUNTIF(S$641:S771,1)=1,5,0)+IF(COUNTIF(T469:$Z469,"&gt;"&amp;0)&gt;5,IF(MOD(COUNTIF(S$641:S771,1),7)=0,$C$4,0),0)</f>
        <v>197.592857142857</v>
      </c>
      <c r="T469" s="81" cm="1">
        <f ca="1" t="array" ref="T469">IF(T771=1,OFFSET($Z$338,$B469,T$335-1)/SUMPRODUCT(--($D$335:$V$335=T$335),--($D771:$V771=1)),0)+SUM(T468)+IF(COUNTIF(T$641:T771,1)=1,5,0)+IF(COUNTIF(U469:$Z469,"&gt;"&amp;0)&gt;5,IF(MOD(COUNTIF(T$641:T771,1),7)=0,$C$4,0),0)</f>
        <v>137.656257829764</v>
      </c>
      <c r="U469" s="81" cm="1">
        <f ca="1" t="array" ref="U469">IF(U771=1,OFFSET($Z$338,$B469,U$335-1)/SUMPRODUCT(--($D$335:$V$335=U$335),--($D771:$V771=1)),0)+SUM(U468)+IF(COUNTIF(U$641:U771,1)=1,5,0)+IF(COUNTIF(V469:$Z469,"&gt;"&amp;0)&gt;5,IF(MOD(COUNTIF(U$641:U771,1),7)=0,$C$4,0),0)</f>
        <v>97.6562578297643</v>
      </c>
      <c r="V469" s="81" cm="1">
        <f ca="1" t="array" ref="V469">IF(V771=1,OFFSET($Z$338,$B469,V$335-1)/SUMPRODUCT(--($D$335:$V$335=V$335),--($D771:$V771=1)),0)+SUM(V468)+IF(COUNTIF(V$641:V771,1)=1,5,0)+IF(COUNTIF(Z469:$Z469,"&gt;"&amp;0)&gt;5,IF(MOD(COUNTIF(V$641:V771,1),7)=0,$C$4,0),0)</f>
        <v>89.6984386404824</v>
      </c>
      <c r="W469" s="81" cm="1">
        <f ca="1" t="array" ref="W469">IF(W771=1,OFFSET($Z$338,$B469,W$335-1)/SUMPRODUCT(--($D$335:$V$335=W$335),--($D771:$V771=1)),0)+SUM(W468)+IF(COUNTIF(W$641:W771,1)=1,5,0)+IF(COUNTIF($Z469:AA469,"&gt;"&amp;0)&gt;5,IF(MOD(COUNTIF(W$641:W771,1),7)=0,$C$4,0),0)</f>
        <v>80.3425695255331</v>
      </c>
      <c r="X469" s="81" cm="1">
        <f ca="1" t="array" ref="X469">IF(X771=1,OFFSET($Z$338,$B469,X$335-1)/SUMPRODUCT(--($D$335:$V$335=X$335),--($D771:$V771=1)),0)+SUM(X468)+IF(COUNTIF(X$641:X771,1)=1,5,0)+IF(COUNTIF($Z469:AB469,"&gt;"&amp;0)&gt;5,IF(MOD(COUNTIF(X$641:X771,1),7)=0,$C$4,0),0)</f>
        <v>73.5789092348996</v>
      </c>
      <c r="Y469" s="81" cm="1">
        <f ca="1" t="array" ref="Y469">IF(Y771=1,OFFSET($Z$338,$B469,Y$335-1)/SUMPRODUCT(--($D$335:$V$335=Y$335),--($D771:$V771=1)),0)+SUM(Y468)+IF(COUNTIF(Y$641:Y771,1)=1,5,0)+IF(COUNTIF($Z469:AC469,"&gt;"&amp;0)&gt;5,IF(MOD(COUNTIF(Y$641:Y771,1),7)=0,$C$4,0),0)</f>
        <v>66.8152489442662</v>
      </c>
      <c r="Z469" s="82" cm="1">
        <f ca="1" t="array" ref="Z469">SUMPRODUCT(TRANSPOSE($AD469:$AJ469),OFFSET($L$10:$L$16,0,Z$335-1))</f>
        <v>0</v>
      </c>
      <c r="AA469" s="82" cm="1">
        <f ca="1" t="array" ref="AA469">SUMPRODUCT(TRANSPOSE($AD469:$AJ469),OFFSET($L$10:$L$16,0,AA$335-1))</f>
        <v>0</v>
      </c>
      <c r="AB469" s="82" cm="1">
        <f ca="1" t="array" ref="AB469">SUMPRODUCT(TRANSPOSE($AD469:$AJ469),OFFSET($L$10:$L$16,0,AB$335-1))</f>
        <v>0</v>
      </c>
      <c r="AC469" s="82" cm="1">
        <f ca="1" t="array" ref="AC469">SUMPRODUCT(TRANSPOSE($AD469:$AJ469),OFFSET($L$10:$L$16,0,AC$335-1))</f>
        <v>0</v>
      </c>
      <c r="AD469" s="83">
        <f ca="1" t="shared" ref="AD469:AJ469" si="585">AK469-AK468</f>
        <v>0</v>
      </c>
      <c r="AE469" s="83">
        <f ca="1" t="shared" si="585"/>
        <v>0</v>
      </c>
      <c r="AF469" s="83">
        <f ca="1" t="shared" si="585"/>
        <v>0</v>
      </c>
      <c r="AG469" s="83">
        <f ca="1" t="shared" si="585"/>
        <v>0</v>
      </c>
      <c r="AH469" s="83">
        <f ca="1" t="shared" si="585"/>
        <v>0</v>
      </c>
      <c r="AI469" s="83">
        <f ca="1" t="shared" si="585"/>
        <v>0</v>
      </c>
      <c r="AJ469" s="83">
        <f ca="1" t="shared" si="585"/>
        <v>0</v>
      </c>
      <c r="AK469" s="83">
        <f ca="1" t="shared" si="581"/>
        <v>450</v>
      </c>
      <c r="AL469" s="83">
        <f ca="1" t="shared" ref="AL469:AQ469" si="586">IF($C469&gt;OFFSET($Q$9,MATCH(AL$338,$AK$338:$AQ$338,0),0),OFFSET($P$9,MATCH(AL$338,$AK$338:$AQ$338,0),0),MAX(0,$C469-OFFSET($Q$9,RIGHT(AL$338,1)-1,0)))</f>
        <v>909</v>
      </c>
      <c r="AM469" s="83">
        <f ca="1" t="shared" si="586"/>
        <v>1818</v>
      </c>
      <c r="AN469" s="83">
        <f ca="1" t="shared" si="586"/>
        <v>2727</v>
      </c>
      <c r="AO469" s="83">
        <f ca="1" t="shared" si="586"/>
        <v>3636</v>
      </c>
      <c r="AP469" s="83">
        <f ca="1" t="shared" si="586"/>
        <v>4545</v>
      </c>
      <c r="AQ469" s="83">
        <f ca="1" t="shared" si="586"/>
        <v>0</v>
      </c>
    </row>
    <row r="470" ht="16.5" spans="2:43">
      <c r="B470" s="65">
        <v>132</v>
      </c>
      <c r="C470" s="80">
        <f t="shared" si="579"/>
        <v>15846</v>
      </c>
      <c r="D470" s="81" cm="1">
        <f ca="1" t="array" ref="D470">IF(D772=1,OFFSET($Z$338,$B470,D$335-1)/SUMPRODUCT(--($D$335:$V$335=D$335),--($D772:$V772=1)),0)+SUM(D469)+IF(COUNTIF(D$641:D772,1)=1,5,0)+IF(COUNTIF(E470:$Z470,"&gt;"&amp;0)&gt;5,IF(MOD(COUNTIF(D$641:D772,1),7)=0,$C$4,0),0)</f>
        <v>1208.82134856666</v>
      </c>
      <c r="E470" s="81" cm="1">
        <f ca="1" t="array" ref="E470">IF(E772=1,OFFSET($Z$338,$B470,E$335-1)/SUMPRODUCT(--($D$335:$V$335=E$335),--($D772:$V772=1)),0)+SUM(E469)+IF(COUNTIF(E$641:E772,1)=1,5,0)+IF(COUNTIF(F470:$Z470,"&gt;"&amp;0)&gt;5,IF(MOD(COUNTIF(E$641:E772,1),7)=0,$C$4,0),0)</f>
        <v>1208.82134856666</v>
      </c>
      <c r="F470" s="81" cm="1">
        <f ca="1" t="array" ref="F470">IF(F772=1,OFFSET($Z$338,$B470,F$335-1)/SUMPRODUCT(--($D$335:$V$335=F$335),--($D772:$V772=1)),0)+SUM(F469)+IF(COUNTIF(F$641:F772,1)=1,5,0)+IF(COUNTIF(G470:$Z470,"&gt;"&amp;0)&gt;5,IF(MOD(COUNTIF(F$641:F772,1),7)=0,$C$4,0),0)</f>
        <v>1208.82134856666</v>
      </c>
      <c r="G470" s="81" cm="1">
        <f ca="1" t="array" ref="G470">IF(G772=1,OFFSET($Z$338,$B470,G$335-1)/SUMPRODUCT(--($D$335:$V$335=G$335),--($D772:$V772=1)),0)+SUM(G469)+IF(COUNTIF(G$641:G772,1)=1,5,0)+IF(COUNTIF(H470:$Z470,"&gt;"&amp;0)&gt;5,IF(MOD(COUNTIF(G$641:G772,1),7)=0,$C$4,0),0)</f>
        <v>497.516666666668</v>
      </c>
      <c r="H470" s="81" cm="1">
        <f ca="1" t="array" ref="H470">IF(H772=1,OFFSET($Z$338,$B470,H$335-1)/SUMPRODUCT(--($D$335:$V$335=H$335),--($D772:$V772=1)),0)+SUM(H469)+IF(COUNTIF(H$641:H772,1)=1,5,0)+IF(COUNTIF(I470:$Z470,"&gt;"&amp;0)&gt;5,IF(MOD(COUNTIF(H$641:H772,1),7)=0,$C$4,0),0)</f>
        <v>497.516666666668</v>
      </c>
      <c r="I470" s="81" cm="1">
        <f ca="1" t="array" ref="I470">IF(I772=1,OFFSET($Z$338,$B470,I$335-1)/SUMPRODUCT(--($D$335:$V$335=I$335),--($D772:$V772=1)),0)+SUM(I469)+IF(COUNTIF(I$641:I772,1)=1,5,0)+IF(COUNTIF(J470:$Z470,"&gt;"&amp;0)&gt;5,IF(MOD(COUNTIF(I$641:I772,1),7)=0,$C$4,0),0)</f>
        <v>497.516666666668</v>
      </c>
      <c r="J470" s="81" cm="1">
        <f ca="1" t="array" ref="J470">IF(J772=1,OFFSET($Z$338,$B470,J$335-1)/SUMPRODUCT(--($D$335:$V$335=J$335),--($D772:$V772=1)),0)+SUM(J469)+IF(COUNTIF(J$641:J772,1)=1,5,0)+IF(COUNTIF(K470:$Z470,"&gt;"&amp;0)&gt;5,IF(MOD(COUNTIF(J$641:J772,1),7)=0,$C$4,0),0)</f>
        <v>497.516666666668</v>
      </c>
      <c r="K470" s="81" cm="1">
        <f ca="1" t="array" ref="K470">IF(K772=1,OFFSET($Z$338,$B470,K$335-1)/SUMPRODUCT(--($D$335:$V$335=K$335),--($D772:$V772=1)),0)+SUM(K469)+IF(COUNTIF(K$641:K772,1)=1,5,0)+IF(COUNTIF(L470:$Z470,"&gt;"&amp;0)&gt;5,IF(MOD(COUNTIF(K$641:K772,1),7)=0,$C$4,0),0)</f>
        <v>497.516666666668</v>
      </c>
      <c r="L470" s="81" cm="1">
        <f ca="1" t="array" ref="L470">IF(L772=1,OFFSET($Z$338,$B470,L$335-1)/SUMPRODUCT(--($D$335:$V$335=L$335),--($D772:$V772=1)),0)+SUM(L469)+IF(COUNTIF(L$641:L772,1)=1,5,0)+IF(COUNTIF(M470:$Z470,"&gt;"&amp;0)&gt;5,IF(MOD(COUNTIF(L$641:L772,1),7)=0,$C$4,0),0)</f>
        <v>490.816666666668</v>
      </c>
      <c r="M470" s="81" cm="1">
        <f ca="1" t="array" ref="M470">IF(M772=1,OFFSET($Z$338,$B470,M$335-1)/SUMPRODUCT(--($D$335:$V$335=M$335),--($D772:$V772=1)),0)+SUM(M469)+IF(COUNTIF(M$641:M772,1)=1,5,0)+IF(COUNTIF(N470:$Z470,"&gt;"&amp;0)&gt;5,IF(MOD(COUNTIF(M$641:M772,1),7)=0,$C$4,0),0)</f>
        <v>245.644107142858</v>
      </c>
      <c r="N470" s="81" cm="1">
        <f ca="1" t="array" ref="N470">IF(N772=1,OFFSET($Z$338,$B470,N$335-1)/SUMPRODUCT(--($D$335:$V$335=N$335),--($D772:$V772=1)),0)+SUM(N469)+IF(COUNTIF(N$641:N772,1)=1,5,0)+IF(COUNTIF(O470:$Z470,"&gt;"&amp;0)&gt;5,IF(MOD(COUNTIF(N$641:N772,1),7)=0,$C$4,0),0)</f>
        <v>237.919107142858</v>
      </c>
      <c r="O470" s="81" cm="1">
        <f ca="1" t="array" ref="O470">IF(O772=1,OFFSET($Z$338,$B470,O$335-1)/SUMPRODUCT(--($D$335:$V$335=O$335),--($D772:$V772=1)),0)+SUM(O469)+IF(COUNTIF(O$641:O772,1)=1,5,0)+IF(COUNTIF(P470:$Z470,"&gt;"&amp;0)&gt;5,IF(MOD(COUNTIF(O$641:O772,1),7)=0,$C$4,0),0)</f>
        <v>235.494107142858</v>
      </c>
      <c r="P470" s="81" cm="1">
        <f ca="1" t="array" ref="P470">IF(P772=1,OFFSET($Z$338,$B470,P$335-1)/SUMPRODUCT(--($D$335:$V$335=P$335),--($D772:$V772=1)),0)+SUM(P469)+IF(COUNTIF(P$641:P772,1)=1,5,0)+IF(COUNTIF(Q470:$Z470,"&gt;"&amp;0)&gt;5,IF(MOD(COUNTIF(P$641:P772,1),7)=0,$C$4,0),0)</f>
        <v>232.560773809524</v>
      </c>
      <c r="Q470" s="81" cm="1">
        <f ca="1" t="array" ref="Q470">IF(Q772=1,OFFSET($Z$338,$B470,Q$335-1)/SUMPRODUCT(--($D$335:$V$335=Q$335),--($D772:$V772=1)),0)+SUM(Q469)+IF(COUNTIF(Q$641:Q772,1)=1,5,0)+IF(COUNTIF(R470:$Z470,"&gt;"&amp;0)&gt;5,IF(MOD(COUNTIF(Q$641:Q772,1),7)=0,$C$4,0),0)</f>
        <v>231.654523809524</v>
      </c>
      <c r="R470" s="81" cm="1">
        <f ca="1" t="array" ref="R470">IF(R772=1,OFFSET($Z$338,$B470,R$335-1)/SUMPRODUCT(--($D$335:$V$335=R$335),--($D772:$V772=1)),0)+SUM(R469)+IF(COUNTIF(R$641:R772,1)=1,5,0)+IF(COUNTIF(S470:$Z470,"&gt;"&amp;0)&gt;5,IF(MOD(COUNTIF(R$641:R772,1),7)=0,$C$4,0),0)</f>
        <v>201.759523809524</v>
      </c>
      <c r="S470" s="81" cm="1">
        <f ca="1" t="array" ref="S470">IF(S772=1,OFFSET($Z$338,$B470,S$335-1)/SUMPRODUCT(--($D$335:$V$335=S$335),--($D772:$V772=1)),0)+SUM(S469)+IF(COUNTIF(S$641:S772,1)=1,5,0)+IF(COUNTIF(T470:$Z470,"&gt;"&amp;0)&gt;5,IF(MOD(COUNTIF(S$641:S772,1),7)=0,$C$4,0),0)</f>
        <v>197.592857142857</v>
      </c>
      <c r="T470" s="81" cm="1">
        <f ca="1" t="array" ref="T470">IF(T772=1,OFFSET($Z$338,$B470,T$335-1)/SUMPRODUCT(--($D$335:$V$335=T$335),--($D772:$V772=1)),0)+SUM(T469)+IF(COUNTIF(T$641:T772,1)=1,5,0)+IF(COUNTIF(U470:$Z470,"&gt;"&amp;0)&gt;5,IF(MOD(COUNTIF(T$641:T772,1),7)=0,$C$4,0),0)</f>
        <v>137.656257829764</v>
      </c>
      <c r="U470" s="81" cm="1">
        <f ca="1" t="array" ref="U470">IF(U772=1,OFFSET($Z$338,$B470,U$335-1)/SUMPRODUCT(--($D$335:$V$335=U$335),--($D772:$V772=1)),0)+SUM(U469)+IF(COUNTIF(U$641:U772,1)=1,5,0)+IF(COUNTIF(V470:$Z470,"&gt;"&amp;0)&gt;5,IF(MOD(COUNTIF(U$641:U772,1),7)=0,$C$4,0),0)</f>
        <v>97.6562578297643</v>
      </c>
      <c r="V470" s="81" cm="1">
        <f ca="1" t="array" ref="V470">IF(V772=1,OFFSET($Z$338,$B470,V$335-1)/SUMPRODUCT(--($D$335:$V$335=V$335),--($D772:$V772=1)),0)+SUM(V469)+IF(COUNTIF(V$641:V772,1)=1,5,0)+IF(COUNTIF(Z470:$Z470,"&gt;"&amp;0)&gt;5,IF(MOD(COUNTIF(V$641:V772,1),7)=0,$C$4,0),0)</f>
        <v>89.6984386404824</v>
      </c>
      <c r="W470" s="81" cm="1">
        <f ca="1" t="array" ref="W470">IF(W772=1,OFFSET($Z$338,$B470,W$335-1)/SUMPRODUCT(--($D$335:$V$335=W$335),--($D772:$V772=1)),0)+SUM(W469)+IF(COUNTIF(W$641:W772,1)=1,5,0)+IF(COUNTIF($Z470:AA470,"&gt;"&amp;0)&gt;5,IF(MOD(COUNTIF(W$641:W772,1),7)=0,$C$4,0),0)</f>
        <v>80.3425695255331</v>
      </c>
      <c r="X470" s="81" cm="1">
        <f ca="1" t="array" ref="X470">IF(X772=1,OFFSET($Z$338,$B470,X$335-1)/SUMPRODUCT(--($D$335:$V$335=X$335),--($D772:$V772=1)),0)+SUM(X469)+IF(COUNTIF(X$641:X772,1)=1,5,0)+IF(COUNTIF($Z470:AB470,"&gt;"&amp;0)&gt;5,IF(MOD(COUNTIF(X$641:X772,1),7)=0,$C$4,0),0)</f>
        <v>73.5789092348996</v>
      </c>
      <c r="Y470" s="81" cm="1">
        <f ca="1" t="array" ref="Y470">IF(Y772=1,OFFSET($Z$338,$B470,Y$335-1)/SUMPRODUCT(--($D$335:$V$335=Y$335),--($D772:$V772=1)),0)+SUM(Y469)+IF(COUNTIF(Y$641:Y772,1)=1,5,0)+IF(COUNTIF($Z470:AC470,"&gt;"&amp;0)&gt;5,IF(MOD(COUNTIF(Y$641:Y772,1),7)=0,$C$4,0),0)</f>
        <v>66.8152489442662</v>
      </c>
      <c r="Z470" s="82" cm="1">
        <f ca="1" t="array" ref="Z470">SUMPRODUCT(TRANSPOSE($AD470:$AJ470),OFFSET($L$10:$L$16,0,Z$335-1))</f>
        <v>0</v>
      </c>
      <c r="AA470" s="82" cm="1">
        <f ca="1" t="array" ref="AA470">SUMPRODUCT(TRANSPOSE($AD470:$AJ470),OFFSET($L$10:$L$16,0,AA$335-1))</f>
        <v>0</v>
      </c>
      <c r="AB470" s="82" cm="1">
        <f ca="1" t="array" ref="AB470">SUMPRODUCT(TRANSPOSE($AD470:$AJ470),OFFSET($L$10:$L$16,0,AB$335-1))</f>
        <v>0</v>
      </c>
      <c r="AC470" s="82" cm="1">
        <f ca="1" t="array" ref="AC470">SUMPRODUCT(TRANSPOSE($AD470:$AJ470),OFFSET($L$10:$L$16,0,AC$335-1))</f>
        <v>0</v>
      </c>
      <c r="AD470" s="83">
        <f ca="1" t="shared" ref="AD470:AJ470" si="587">AK470-AK469</f>
        <v>0</v>
      </c>
      <c r="AE470" s="83">
        <f ca="1" t="shared" si="587"/>
        <v>0</v>
      </c>
      <c r="AF470" s="83">
        <f ca="1" t="shared" si="587"/>
        <v>0</v>
      </c>
      <c r="AG470" s="83">
        <f ca="1" t="shared" si="587"/>
        <v>0</v>
      </c>
      <c r="AH470" s="83">
        <f ca="1" t="shared" si="587"/>
        <v>0</v>
      </c>
      <c r="AI470" s="83">
        <f ca="1" t="shared" si="587"/>
        <v>0</v>
      </c>
      <c r="AJ470" s="83">
        <f ca="1" t="shared" si="587"/>
        <v>0</v>
      </c>
      <c r="AK470" s="83">
        <f ca="1" t="shared" si="581"/>
        <v>450</v>
      </c>
      <c r="AL470" s="83">
        <f ca="1" t="shared" ref="AL470:AQ470" si="588">IF($C470&gt;OFFSET($Q$9,MATCH(AL$338,$AK$338:$AQ$338,0),0),OFFSET($P$9,MATCH(AL$338,$AK$338:$AQ$338,0),0),MAX(0,$C470-OFFSET($Q$9,RIGHT(AL$338,1)-1,0)))</f>
        <v>909</v>
      </c>
      <c r="AM470" s="83">
        <f ca="1" t="shared" si="588"/>
        <v>1818</v>
      </c>
      <c r="AN470" s="83">
        <f ca="1" t="shared" si="588"/>
        <v>2727</v>
      </c>
      <c r="AO470" s="83">
        <f ca="1" t="shared" si="588"/>
        <v>3636</v>
      </c>
      <c r="AP470" s="83">
        <f ca="1" t="shared" si="588"/>
        <v>4545</v>
      </c>
      <c r="AQ470" s="83">
        <f ca="1" t="shared" si="588"/>
        <v>0</v>
      </c>
    </row>
    <row r="471" ht="16.5" spans="2:43">
      <c r="B471" s="65">
        <v>133</v>
      </c>
      <c r="C471" s="80">
        <f t="shared" si="579"/>
        <v>15956</v>
      </c>
      <c r="D471" s="81" cm="1">
        <f ca="1" t="array" ref="D471">IF(D773=1,OFFSET($Z$338,$B471,D$335-1)/SUMPRODUCT(--($D$335:$V$335=D$335),--($D773:$V773=1)),0)+SUM(D470)+IF(COUNTIF(D$641:D773,1)=1,5,0)+IF(COUNTIF(E471:$Z471,"&gt;"&amp;0)&gt;5,IF(MOD(COUNTIF(D$641:D773,1),7)=0,$C$4,0),0)</f>
        <v>1213.82134856666</v>
      </c>
      <c r="E471" s="81" cm="1">
        <f ca="1" t="array" ref="E471">IF(E773=1,OFFSET($Z$338,$B471,E$335-1)/SUMPRODUCT(--($D$335:$V$335=E$335),--($D773:$V773=1)),0)+SUM(E470)+IF(COUNTIF(E$641:E773,1)=1,5,0)+IF(COUNTIF(F471:$Z471,"&gt;"&amp;0)&gt;5,IF(MOD(COUNTIF(E$641:E773,1),7)=0,$C$4,0),0)</f>
        <v>1213.82134856666</v>
      </c>
      <c r="F471" s="81" cm="1">
        <f ca="1" t="array" ref="F471">IF(F773=1,OFFSET($Z$338,$B471,F$335-1)/SUMPRODUCT(--($D$335:$V$335=F$335),--($D773:$V773=1)),0)+SUM(F470)+IF(COUNTIF(F$641:F773,1)=1,5,0)+IF(COUNTIF(G471:$Z471,"&gt;"&amp;0)&gt;5,IF(MOD(COUNTIF(F$641:F773,1),7)=0,$C$4,0),0)</f>
        <v>1213.82134856666</v>
      </c>
      <c r="G471" s="81" cm="1">
        <f ca="1" t="array" ref="G471">IF(G773=1,OFFSET($Z$338,$B471,G$335-1)/SUMPRODUCT(--($D$335:$V$335=G$335),--($D773:$V773=1)),0)+SUM(G470)+IF(COUNTIF(G$641:G773,1)=1,5,0)+IF(COUNTIF(H471:$Z471,"&gt;"&amp;0)&gt;5,IF(MOD(COUNTIF(G$641:G773,1),7)=0,$C$4,0),0)</f>
        <v>502.516666666668</v>
      </c>
      <c r="H471" s="81" cm="1">
        <f ca="1" t="array" ref="H471">IF(H773=1,OFFSET($Z$338,$B471,H$335-1)/SUMPRODUCT(--($D$335:$V$335=H$335),--($D773:$V773=1)),0)+SUM(H470)+IF(COUNTIF(H$641:H773,1)=1,5,0)+IF(COUNTIF(I471:$Z471,"&gt;"&amp;0)&gt;5,IF(MOD(COUNTIF(H$641:H773,1),7)=0,$C$4,0),0)</f>
        <v>502.516666666668</v>
      </c>
      <c r="I471" s="81" cm="1">
        <f ca="1" t="array" ref="I471">IF(I773=1,OFFSET($Z$338,$B471,I$335-1)/SUMPRODUCT(--($D$335:$V$335=I$335),--($D773:$V773=1)),0)+SUM(I470)+IF(COUNTIF(I$641:I773,1)=1,5,0)+IF(COUNTIF(J471:$Z471,"&gt;"&amp;0)&gt;5,IF(MOD(COUNTIF(I$641:I773,1),7)=0,$C$4,0),0)</f>
        <v>502.516666666668</v>
      </c>
      <c r="J471" s="81" cm="1">
        <f ca="1" t="array" ref="J471">IF(J773=1,OFFSET($Z$338,$B471,J$335-1)/SUMPRODUCT(--($D$335:$V$335=J$335),--($D773:$V773=1)),0)+SUM(J470)+IF(COUNTIF(J$641:J773,1)=1,5,0)+IF(COUNTIF(K471:$Z471,"&gt;"&amp;0)&gt;5,IF(MOD(COUNTIF(J$641:J773,1),7)=0,$C$4,0),0)</f>
        <v>502.516666666668</v>
      </c>
      <c r="K471" s="81" cm="1">
        <f ca="1" t="array" ref="K471">IF(K773=1,OFFSET($Z$338,$B471,K$335-1)/SUMPRODUCT(--($D$335:$V$335=K$335),--($D773:$V773=1)),0)+SUM(K470)+IF(COUNTIF(K$641:K773,1)=1,5,0)+IF(COUNTIF(L471:$Z471,"&gt;"&amp;0)&gt;5,IF(MOD(COUNTIF(K$641:K773,1),7)=0,$C$4,0),0)</f>
        <v>502.516666666668</v>
      </c>
      <c r="L471" s="81" cm="1">
        <f ca="1" t="array" ref="L471">IF(L773=1,OFFSET($Z$338,$B471,L$335-1)/SUMPRODUCT(--($D$335:$V$335=L$335),--($D773:$V773=1)),0)+SUM(L470)+IF(COUNTIF(L$641:L773,1)=1,5,0)+IF(COUNTIF(M471:$Z471,"&gt;"&amp;0)&gt;5,IF(MOD(COUNTIF(L$641:L773,1),7)=0,$C$4,0),0)</f>
        <v>490.816666666668</v>
      </c>
      <c r="M471" s="81" cm="1">
        <f ca="1" t="array" ref="M471">IF(M773=1,OFFSET($Z$338,$B471,M$335-1)/SUMPRODUCT(--($D$335:$V$335=M$335),--($D773:$V773=1)),0)+SUM(M470)+IF(COUNTIF(M$641:M773,1)=1,5,0)+IF(COUNTIF(N471:$Z471,"&gt;"&amp;0)&gt;5,IF(MOD(COUNTIF(M$641:M773,1),7)=0,$C$4,0),0)</f>
        <v>245.644107142858</v>
      </c>
      <c r="N471" s="81" cm="1">
        <f ca="1" t="array" ref="N471">IF(N773=1,OFFSET($Z$338,$B471,N$335-1)/SUMPRODUCT(--($D$335:$V$335=N$335),--($D773:$V773=1)),0)+SUM(N470)+IF(COUNTIF(N$641:N773,1)=1,5,0)+IF(COUNTIF(O471:$Z471,"&gt;"&amp;0)&gt;5,IF(MOD(COUNTIF(N$641:N773,1),7)=0,$C$4,0),0)</f>
        <v>237.919107142858</v>
      </c>
      <c r="O471" s="81" cm="1">
        <f ca="1" t="array" ref="O471">IF(O773=1,OFFSET($Z$338,$B471,O$335-1)/SUMPRODUCT(--($D$335:$V$335=O$335),--($D773:$V773=1)),0)+SUM(O470)+IF(COUNTIF(O$641:O773,1)=1,5,0)+IF(COUNTIF(P471:$Z471,"&gt;"&amp;0)&gt;5,IF(MOD(COUNTIF(O$641:O773,1),7)=0,$C$4,0),0)</f>
        <v>235.494107142858</v>
      </c>
      <c r="P471" s="81" cm="1">
        <f ca="1" t="array" ref="P471">IF(P773=1,OFFSET($Z$338,$B471,P$335-1)/SUMPRODUCT(--($D$335:$V$335=P$335),--($D773:$V773=1)),0)+SUM(P470)+IF(COUNTIF(P$641:P773,1)=1,5,0)+IF(COUNTIF(Q471:$Z471,"&gt;"&amp;0)&gt;5,IF(MOD(COUNTIF(P$641:P773,1),7)=0,$C$4,0),0)</f>
        <v>232.560773809524</v>
      </c>
      <c r="Q471" s="81" cm="1">
        <f ca="1" t="array" ref="Q471">IF(Q773=1,OFFSET($Z$338,$B471,Q$335-1)/SUMPRODUCT(--($D$335:$V$335=Q$335),--($D773:$V773=1)),0)+SUM(Q470)+IF(COUNTIF(Q$641:Q773,1)=1,5,0)+IF(COUNTIF(R471:$Z471,"&gt;"&amp;0)&gt;5,IF(MOD(COUNTIF(Q$641:Q773,1),7)=0,$C$4,0),0)</f>
        <v>231.654523809524</v>
      </c>
      <c r="R471" s="81" cm="1">
        <f ca="1" t="array" ref="R471">IF(R773=1,OFFSET($Z$338,$B471,R$335-1)/SUMPRODUCT(--($D$335:$V$335=R$335),--($D773:$V773=1)),0)+SUM(R470)+IF(COUNTIF(R$641:R773,1)=1,5,0)+IF(COUNTIF(S471:$Z471,"&gt;"&amp;0)&gt;5,IF(MOD(COUNTIF(R$641:R773,1),7)=0,$C$4,0),0)</f>
        <v>206.759523809524</v>
      </c>
      <c r="S471" s="81" cm="1">
        <f ca="1" t="array" ref="S471">IF(S773=1,OFFSET($Z$338,$B471,S$335-1)/SUMPRODUCT(--($D$335:$V$335=S$335),--($D773:$V773=1)),0)+SUM(S470)+IF(COUNTIF(S$641:S773,1)=1,5,0)+IF(COUNTIF(T471:$Z471,"&gt;"&amp;0)&gt;5,IF(MOD(COUNTIF(S$641:S773,1),7)=0,$C$4,0),0)</f>
        <v>197.592857142857</v>
      </c>
      <c r="T471" s="81" cm="1">
        <f ca="1" t="array" ref="T471">IF(T773=1,OFFSET($Z$338,$B471,T$335-1)/SUMPRODUCT(--($D$335:$V$335=T$335),--($D773:$V773=1)),0)+SUM(T470)+IF(COUNTIF(T$641:T773,1)=1,5,0)+IF(COUNTIF(U471:$Z471,"&gt;"&amp;0)&gt;5,IF(MOD(COUNTIF(T$641:T773,1),7)=0,$C$4,0),0)</f>
        <v>137.656257829764</v>
      </c>
      <c r="U471" s="81" cm="1">
        <f ca="1" t="array" ref="U471">IF(U773=1,OFFSET($Z$338,$B471,U$335-1)/SUMPRODUCT(--($D$335:$V$335=U$335),--($D773:$V773=1)),0)+SUM(U470)+IF(COUNTIF(U$641:U773,1)=1,5,0)+IF(COUNTIF(V471:$Z471,"&gt;"&amp;0)&gt;5,IF(MOD(COUNTIF(U$641:U773,1),7)=0,$C$4,0),0)</f>
        <v>97.6562578297643</v>
      </c>
      <c r="V471" s="81" cm="1">
        <f ca="1" t="array" ref="V471">IF(V773=1,OFFSET($Z$338,$B471,V$335-1)/SUMPRODUCT(--($D$335:$V$335=V$335),--($D773:$V773=1)),0)+SUM(V470)+IF(COUNTIF(V$641:V773,1)=1,5,0)+IF(COUNTIF(Z471:$Z471,"&gt;"&amp;0)&gt;5,IF(MOD(COUNTIF(V$641:V773,1),7)=0,$C$4,0),0)</f>
        <v>89.6984386404824</v>
      </c>
      <c r="W471" s="81" cm="1">
        <f ca="1" t="array" ref="W471">IF(W773=1,OFFSET($Z$338,$B471,W$335-1)/SUMPRODUCT(--($D$335:$V$335=W$335),--($D773:$V773=1)),0)+SUM(W470)+IF(COUNTIF(W$641:W773,1)=1,5,0)+IF(COUNTIF($Z471:AA471,"&gt;"&amp;0)&gt;5,IF(MOD(COUNTIF(W$641:W773,1),7)=0,$C$4,0),0)</f>
        <v>80.3425695255331</v>
      </c>
      <c r="X471" s="81" cm="1">
        <f ca="1" t="array" ref="X471">IF(X773=1,OFFSET($Z$338,$B471,X$335-1)/SUMPRODUCT(--($D$335:$V$335=X$335),--($D773:$V773=1)),0)+SUM(X470)+IF(COUNTIF(X$641:X773,1)=1,5,0)+IF(COUNTIF($Z471:AB471,"&gt;"&amp;0)&gt;5,IF(MOD(COUNTIF(X$641:X773,1),7)=0,$C$4,0),0)</f>
        <v>73.5789092348996</v>
      </c>
      <c r="Y471" s="81" cm="1">
        <f ca="1" t="array" ref="Y471">IF(Y773=1,OFFSET($Z$338,$B471,Y$335-1)/SUMPRODUCT(--($D$335:$V$335=Y$335),--($D773:$V773=1)),0)+SUM(Y470)+IF(COUNTIF(Y$641:Y773,1)=1,5,0)+IF(COUNTIF($Z471:AC471,"&gt;"&amp;0)&gt;5,IF(MOD(COUNTIF(Y$641:Y773,1),7)=0,$C$4,0),0)</f>
        <v>66.8152489442662</v>
      </c>
      <c r="Z471" s="82" cm="1">
        <f ca="1" t="array" ref="Z471">SUMPRODUCT(TRANSPOSE($AD471:$AJ471),OFFSET($L$10:$L$16,0,Z$335-1))</f>
        <v>0</v>
      </c>
      <c r="AA471" s="82" cm="1">
        <f ca="1" t="array" ref="AA471">SUMPRODUCT(TRANSPOSE($AD471:$AJ471),OFFSET($L$10:$L$16,0,AA$335-1))</f>
        <v>0</v>
      </c>
      <c r="AB471" s="82" cm="1">
        <f ca="1" t="array" ref="AB471">SUMPRODUCT(TRANSPOSE($AD471:$AJ471),OFFSET($L$10:$L$16,0,AB$335-1))</f>
        <v>0</v>
      </c>
      <c r="AC471" s="82" cm="1">
        <f ca="1" t="array" ref="AC471">SUMPRODUCT(TRANSPOSE($AD471:$AJ471),OFFSET($L$10:$L$16,0,AC$335-1))</f>
        <v>0</v>
      </c>
      <c r="AD471" s="83">
        <f ca="1" t="shared" ref="AD471:AJ471" si="589">AK471-AK470</f>
        <v>0</v>
      </c>
      <c r="AE471" s="83">
        <f ca="1" t="shared" si="589"/>
        <v>0</v>
      </c>
      <c r="AF471" s="83">
        <f ca="1" t="shared" si="589"/>
        <v>0</v>
      </c>
      <c r="AG471" s="83">
        <f ca="1" t="shared" si="589"/>
        <v>0</v>
      </c>
      <c r="AH471" s="83">
        <f ca="1" t="shared" si="589"/>
        <v>0</v>
      </c>
      <c r="AI471" s="83">
        <f ca="1" t="shared" si="589"/>
        <v>0</v>
      </c>
      <c r="AJ471" s="83">
        <f ca="1" t="shared" si="589"/>
        <v>0</v>
      </c>
      <c r="AK471" s="83">
        <f ca="1" t="shared" si="581"/>
        <v>450</v>
      </c>
      <c r="AL471" s="83">
        <f ca="1" t="shared" ref="AL471:AQ471" si="590">IF($C471&gt;OFFSET($Q$9,MATCH(AL$338,$AK$338:$AQ$338,0),0),OFFSET($P$9,MATCH(AL$338,$AK$338:$AQ$338,0),0),MAX(0,$C471-OFFSET($Q$9,RIGHT(AL$338,1)-1,0)))</f>
        <v>909</v>
      </c>
      <c r="AM471" s="83">
        <f ca="1" t="shared" si="590"/>
        <v>1818</v>
      </c>
      <c r="AN471" s="83">
        <f ca="1" t="shared" si="590"/>
        <v>2727</v>
      </c>
      <c r="AO471" s="83">
        <f ca="1" t="shared" si="590"/>
        <v>3636</v>
      </c>
      <c r="AP471" s="83">
        <f ca="1" t="shared" si="590"/>
        <v>4545</v>
      </c>
      <c r="AQ471" s="83">
        <f ca="1" t="shared" si="590"/>
        <v>0</v>
      </c>
    </row>
    <row r="472" ht="16.5" spans="2:43">
      <c r="B472" s="65">
        <v>134</v>
      </c>
      <c r="C472" s="80">
        <f t="shared" si="579"/>
        <v>16066</v>
      </c>
      <c r="D472" s="81" cm="1">
        <f ca="1" t="array" ref="D472">IF(D774=1,OFFSET($Z$338,$B472,D$335-1)/SUMPRODUCT(--($D$335:$V$335=D$335),--($D774:$V774=1)),0)+SUM(D471)+IF(COUNTIF(D$641:D774,1)=1,5,0)+IF(COUNTIF(E472:$Z472,"&gt;"&amp;0)&gt;5,IF(MOD(COUNTIF(D$641:D774,1),7)=0,$C$4,0),0)</f>
        <v>1213.82134856666</v>
      </c>
      <c r="E472" s="81" cm="1">
        <f ca="1" t="array" ref="E472">IF(E774=1,OFFSET($Z$338,$B472,E$335-1)/SUMPRODUCT(--($D$335:$V$335=E$335),--($D774:$V774=1)),0)+SUM(E471)+IF(COUNTIF(E$641:E774,1)=1,5,0)+IF(COUNTIF(F472:$Z472,"&gt;"&amp;0)&gt;5,IF(MOD(COUNTIF(E$641:E774,1),7)=0,$C$4,0),0)</f>
        <v>1213.82134856666</v>
      </c>
      <c r="F472" s="81" cm="1">
        <f ca="1" t="array" ref="F472">IF(F774=1,OFFSET($Z$338,$B472,F$335-1)/SUMPRODUCT(--($D$335:$V$335=F$335),--($D774:$V774=1)),0)+SUM(F471)+IF(COUNTIF(F$641:F774,1)=1,5,0)+IF(COUNTIF(G472:$Z472,"&gt;"&amp;0)&gt;5,IF(MOD(COUNTIF(F$641:F774,1),7)=0,$C$4,0),0)</f>
        <v>1213.82134856666</v>
      </c>
      <c r="G472" s="81" cm="1">
        <f ca="1" t="array" ref="G472">IF(G774=1,OFFSET($Z$338,$B472,G$335-1)/SUMPRODUCT(--($D$335:$V$335=G$335),--($D774:$V774=1)),0)+SUM(G471)+IF(COUNTIF(G$641:G774,1)=1,5,0)+IF(COUNTIF(H472:$Z472,"&gt;"&amp;0)&gt;5,IF(MOD(COUNTIF(G$641:G774,1),7)=0,$C$4,0),0)</f>
        <v>502.516666666668</v>
      </c>
      <c r="H472" s="81" cm="1">
        <f ca="1" t="array" ref="H472">IF(H774=1,OFFSET($Z$338,$B472,H$335-1)/SUMPRODUCT(--($D$335:$V$335=H$335),--($D774:$V774=1)),0)+SUM(H471)+IF(COUNTIF(H$641:H774,1)=1,5,0)+IF(COUNTIF(I472:$Z472,"&gt;"&amp;0)&gt;5,IF(MOD(COUNTIF(H$641:H774,1),7)=0,$C$4,0),0)</f>
        <v>502.516666666668</v>
      </c>
      <c r="I472" s="81" cm="1">
        <f ca="1" t="array" ref="I472">IF(I774=1,OFFSET($Z$338,$B472,I$335-1)/SUMPRODUCT(--($D$335:$V$335=I$335),--($D774:$V774=1)),0)+SUM(I471)+IF(COUNTIF(I$641:I774,1)=1,5,0)+IF(COUNTIF(J472:$Z472,"&gt;"&amp;0)&gt;5,IF(MOD(COUNTIF(I$641:I774,1),7)=0,$C$4,0),0)</f>
        <v>502.516666666668</v>
      </c>
      <c r="J472" s="81" cm="1">
        <f ca="1" t="array" ref="J472">IF(J774=1,OFFSET($Z$338,$B472,J$335-1)/SUMPRODUCT(--($D$335:$V$335=J$335),--($D774:$V774=1)),0)+SUM(J471)+IF(COUNTIF(J$641:J774,1)=1,5,0)+IF(COUNTIF(K472:$Z472,"&gt;"&amp;0)&gt;5,IF(MOD(COUNTIF(J$641:J774,1),7)=0,$C$4,0),0)</f>
        <v>502.516666666668</v>
      </c>
      <c r="K472" s="81" cm="1">
        <f ca="1" t="array" ref="K472">IF(K774=1,OFFSET($Z$338,$B472,K$335-1)/SUMPRODUCT(--($D$335:$V$335=K$335),--($D774:$V774=1)),0)+SUM(K471)+IF(COUNTIF(K$641:K774,1)=1,5,0)+IF(COUNTIF(L472:$Z472,"&gt;"&amp;0)&gt;5,IF(MOD(COUNTIF(K$641:K774,1),7)=0,$C$4,0),0)</f>
        <v>502.516666666668</v>
      </c>
      <c r="L472" s="81" cm="1">
        <f ca="1" t="array" ref="L472">IF(L774=1,OFFSET($Z$338,$B472,L$335-1)/SUMPRODUCT(--($D$335:$V$335=L$335),--($D774:$V774=1)),0)+SUM(L471)+IF(COUNTIF(L$641:L774,1)=1,5,0)+IF(COUNTIF(M472:$Z472,"&gt;"&amp;0)&gt;5,IF(MOD(COUNTIF(L$641:L774,1),7)=0,$C$4,0),0)</f>
        <v>495.816666666668</v>
      </c>
      <c r="M472" s="81" cm="1">
        <f ca="1" t="array" ref="M472">IF(M774=1,OFFSET($Z$338,$B472,M$335-1)/SUMPRODUCT(--($D$335:$V$335=M$335),--($D774:$V774=1)),0)+SUM(M471)+IF(COUNTIF(M$641:M774,1)=1,5,0)+IF(COUNTIF(N472:$Z472,"&gt;"&amp;0)&gt;5,IF(MOD(COUNTIF(M$641:M774,1),7)=0,$C$4,0),0)</f>
        <v>250.644107142858</v>
      </c>
      <c r="N472" s="81" cm="1">
        <f ca="1" t="array" ref="N472">IF(N774=1,OFFSET($Z$338,$B472,N$335-1)/SUMPRODUCT(--($D$335:$V$335=N$335),--($D774:$V774=1)),0)+SUM(N471)+IF(COUNTIF(N$641:N774,1)=1,5,0)+IF(COUNTIF(O472:$Z472,"&gt;"&amp;0)&gt;5,IF(MOD(COUNTIF(N$641:N774,1),7)=0,$C$4,0),0)</f>
        <v>237.919107142858</v>
      </c>
      <c r="O472" s="81" cm="1">
        <f ca="1" t="array" ref="O472">IF(O774=1,OFFSET($Z$338,$B472,O$335-1)/SUMPRODUCT(--($D$335:$V$335=O$335),--($D774:$V774=1)),0)+SUM(O471)+IF(COUNTIF(O$641:O774,1)=1,5,0)+IF(COUNTIF(P472:$Z472,"&gt;"&amp;0)&gt;5,IF(MOD(COUNTIF(O$641:O774,1),7)=0,$C$4,0),0)</f>
        <v>235.494107142858</v>
      </c>
      <c r="P472" s="81" cm="1">
        <f ca="1" t="array" ref="P472">IF(P774=1,OFFSET($Z$338,$B472,P$335-1)/SUMPRODUCT(--($D$335:$V$335=P$335),--($D774:$V774=1)),0)+SUM(P471)+IF(COUNTIF(P$641:P774,1)=1,5,0)+IF(COUNTIF(Q472:$Z472,"&gt;"&amp;0)&gt;5,IF(MOD(COUNTIF(P$641:P774,1),7)=0,$C$4,0),0)</f>
        <v>232.560773809524</v>
      </c>
      <c r="Q472" s="81" cm="1">
        <f ca="1" t="array" ref="Q472">IF(Q774=1,OFFSET($Z$338,$B472,Q$335-1)/SUMPRODUCT(--($D$335:$V$335=Q$335),--($D774:$V774=1)),0)+SUM(Q471)+IF(COUNTIF(Q$641:Q774,1)=1,5,0)+IF(COUNTIF(R472:$Z472,"&gt;"&amp;0)&gt;5,IF(MOD(COUNTIF(Q$641:Q774,1),7)=0,$C$4,0),0)</f>
        <v>231.654523809524</v>
      </c>
      <c r="R472" s="81" cm="1">
        <f ca="1" t="array" ref="R472">IF(R774=1,OFFSET($Z$338,$B472,R$335-1)/SUMPRODUCT(--($D$335:$V$335=R$335),--($D774:$V774=1)),0)+SUM(R471)+IF(COUNTIF(R$641:R774,1)=1,5,0)+IF(COUNTIF(S472:$Z472,"&gt;"&amp;0)&gt;5,IF(MOD(COUNTIF(R$641:R774,1),7)=0,$C$4,0),0)</f>
        <v>206.759523809524</v>
      </c>
      <c r="S472" s="81" cm="1">
        <f ca="1" t="array" ref="S472">IF(S774=1,OFFSET($Z$338,$B472,S$335-1)/SUMPRODUCT(--($D$335:$V$335=S$335),--($D774:$V774=1)),0)+SUM(S471)+IF(COUNTIF(S$641:S774,1)=1,5,0)+IF(COUNTIF(T472:$Z472,"&gt;"&amp;0)&gt;5,IF(MOD(COUNTIF(S$641:S774,1),7)=0,$C$4,0),0)</f>
        <v>197.592857142857</v>
      </c>
      <c r="T472" s="81" cm="1">
        <f ca="1" t="array" ref="T472">IF(T774=1,OFFSET($Z$338,$B472,T$335-1)/SUMPRODUCT(--($D$335:$V$335=T$335),--($D774:$V774=1)),0)+SUM(T471)+IF(COUNTIF(T$641:T774,1)=1,5,0)+IF(COUNTIF(U472:$Z472,"&gt;"&amp;0)&gt;5,IF(MOD(COUNTIF(T$641:T774,1),7)=0,$C$4,0),0)</f>
        <v>137.656257829764</v>
      </c>
      <c r="U472" s="81" cm="1">
        <f ca="1" t="array" ref="U472">IF(U774=1,OFFSET($Z$338,$B472,U$335-1)/SUMPRODUCT(--($D$335:$V$335=U$335),--($D774:$V774=1)),0)+SUM(U471)+IF(COUNTIF(U$641:U774,1)=1,5,0)+IF(COUNTIF(V472:$Z472,"&gt;"&amp;0)&gt;5,IF(MOD(COUNTIF(U$641:U774,1),7)=0,$C$4,0),0)</f>
        <v>97.6562578297643</v>
      </c>
      <c r="V472" s="81" cm="1">
        <f ca="1" t="array" ref="V472">IF(V774=1,OFFSET($Z$338,$B472,V$335-1)/SUMPRODUCT(--($D$335:$V$335=V$335),--($D774:$V774=1)),0)+SUM(V471)+IF(COUNTIF(V$641:V774,1)=1,5,0)+IF(COUNTIF(Z472:$Z472,"&gt;"&amp;0)&gt;5,IF(MOD(COUNTIF(V$641:V774,1),7)=0,$C$4,0),0)</f>
        <v>89.6984386404824</v>
      </c>
      <c r="W472" s="81" cm="1">
        <f ca="1" t="array" ref="W472">IF(W774=1,OFFSET($Z$338,$B472,W$335-1)/SUMPRODUCT(--($D$335:$V$335=W$335),--($D774:$V774=1)),0)+SUM(W471)+IF(COUNTIF(W$641:W774,1)=1,5,0)+IF(COUNTIF($Z472:AA472,"&gt;"&amp;0)&gt;5,IF(MOD(COUNTIF(W$641:W774,1),7)=0,$C$4,0),0)</f>
        <v>80.3425695255331</v>
      </c>
      <c r="X472" s="81" cm="1">
        <f ca="1" t="array" ref="X472">IF(X774=1,OFFSET($Z$338,$B472,X$335-1)/SUMPRODUCT(--($D$335:$V$335=X$335),--($D774:$V774=1)),0)+SUM(X471)+IF(COUNTIF(X$641:X774,1)=1,5,0)+IF(COUNTIF($Z472:AB472,"&gt;"&amp;0)&gt;5,IF(MOD(COUNTIF(X$641:X774,1),7)=0,$C$4,0),0)</f>
        <v>73.5789092348996</v>
      </c>
      <c r="Y472" s="81" cm="1">
        <f ca="1" t="array" ref="Y472">IF(Y774=1,OFFSET($Z$338,$B472,Y$335-1)/SUMPRODUCT(--($D$335:$V$335=Y$335),--($D774:$V774=1)),0)+SUM(Y471)+IF(COUNTIF(Y$641:Y774,1)=1,5,0)+IF(COUNTIF($Z472:AC472,"&gt;"&amp;0)&gt;5,IF(MOD(COUNTIF(Y$641:Y774,1),7)=0,$C$4,0),0)</f>
        <v>66.8152489442662</v>
      </c>
      <c r="Z472" s="82" cm="1">
        <f ca="1" t="array" ref="Z472">SUMPRODUCT(TRANSPOSE($AD472:$AJ472),OFFSET($L$10:$L$16,0,Z$335-1))</f>
        <v>0</v>
      </c>
      <c r="AA472" s="82" cm="1">
        <f ca="1" t="array" ref="AA472">SUMPRODUCT(TRANSPOSE($AD472:$AJ472),OFFSET($L$10:$L$16,0,AA$335-1))</f>
        <v>0</v>
      </c>
      <c r="AB472" s="82" cm="1">
        <f ca="1" t="array" ref="AB472">SUMPRODUCT(TRANSPOSE($AD472:$AJ472),OFFSET($L$10:$L$16,0,AB$335-1))</f>
        <v>0</v>
      </c>
      <c r="AC472" s="82" cm="1">
        <f ca="1" t="array" ref="AC472">SUMPRODUCT(TRANSPOSE($AD472:$AJ472),OFFSET($L$10:$L$16,0,AC$335-1))</f>
        <v>0</v>
      </c>
      <c r="AD472" s="83">
        <f ca="1" t="shared" ref="AD472:AJ472" si="591">AK472-AK471</f>
        <v>0</v>
      </c>
      <c r="AE472" s="83">
        <f ca="1" t="shared" si="591"/>
        <v>0</v>
      </c>
      <c r="AF472" s="83">
        <f ca="1" t="shared" si="591"/>
        <v>0</v>
      </c>
      <c r="AG472" s="83">
        <f ca="1" t="shared" si="591"/>
        <v>0</v>
      </c>
      <c r="AH472" s="83">
        <f ca="1" t="shared" si="591"/>
        <v>0</v>
      </c>
      <c r="AI472" s="83">
        <f ca="1" t="shared" si="591"/>
        <v>0</v>
      </c>
      <c r="AJ472" s="83">
        <f ca="1" t="shared" si="591"/>
        <v>0</v>
      </c>
      <c r="AK472" s="83">
        <f ca="1" t="shared" si="581"/>
        <v>450</v>
      </c>
      <c r="AL472" s="83">
        <f ca="1" t="shared" ref="AL472:AQ472" si="592">IF($C472&gt;OFFSET($Q$9,MATCH(AL$338,$AK$338:$AQ$338,0),0),OFFSET($P$9,MATCH(AL$338,$AK$338:$AQ$338,0),0),MAX(0,$C472-OFFSET($Q$9,RIGHT(AL$338,1)-1,0)))</f>
        <v>909</v>
      </c>
      <c r="AM472" s="83">
        <f ca="1" t="shared" si="592"/>
        <v>1818</v>
      </c>
      <c r="AN472" s="83">
        <f ca="1" t="shared" si="592"/>
        <v>2727</v>
      </c>
      <c r="AO472" s="83">
        <f ca="1" t="shared" si="592"/>
        <v>3636</v>
      </c>
      <c r="AP472" s="83">
        <f ca="1" t="shared" si="592"/>
        <v>4545</v>
      </c>
      <c r="AQ472" s="83">
        <f ca="1" t="shared" si="592"/>
        <v>0</v>
      </c>
    </row>
    <row r="473" ht="16.5" spans="2:43">
      <c r="B473" s="65">
        <v>135</v>
      </c>
      <c r="C473" s="80">
        <f t="shared" si="579"/>
        <v>16176</v>
      </c>
      <c r="D473" s="81" cm="1">
        <f ca="1" t="array" ref="D473">IF(D775=1,OFFSET($Z$338,$B473,D$335-1)/SUMPRODUCT(--($D$335:$V$335=D$335),--($D775:$V775=1)),0)+SUM(D472)+IF(COUNTIF(D$641:D775,1)=1,5,0)+IF(COUNTIF(E473:$Z473,"&gt;"&amp;0)&gt;5,IF(MOD(COUNTIF(D$641:D775,1),7)=0,$C$4,0),0)</f>
        <v>1213.82134856666</v>
      </c>
      <c r="E473" s="81" cm="1">
        <f ca="1" t="array" ref="E473">IF(E775=1,OFFSET($Z$338,$B473,E$335-1)/SUMPRODUCT(--($D$335:$V$335=E$335),--($D775:$V775=1)),0)+SUM(E472)+IF(COUNTIF(E$641:E775,1)=1,5,0)+IF(COUNTIF(F473:$Z473,"&gt;"&amp;0)&gt;5,IF(MOD(COUNTIF(E$641:E775,1),7)=0,$C$4,0),0)</f>
        <v>1213.82134856666</v>
      </c>
      <c r="F473" s="81" cm="1">
        <f ca="1" t="array" ref="F473">IF(F775=1,OFFSET($Z$338,$B473,F$335-1)/SUMPRODUCT(--($D$335:$V$335=F$335),--($D775:$V775=1)),0)+SUM(F472)+IF(COUNTIF(F$641:F775,1)=1,5,0)+IF(COUNTIF(G473:$Z473,"&gt;"&amp;0)&gt;5,IF(MOD(COUNTIF(F$641:F775,1),7)=0,$C$4,0),0)</f>
        <v>1213.82134856666</v>
      </c>
      <c r="G473" s="81" cm="1">
        <f ca="1" t="array" ref="G473">IF(G775=1,OFFSET($Z$338,$B473,G$335-1)/SUMPRODUCT(--($D$335:$V$335=G$335),--($D775:$V775=1)),0)+SUM(G472)+IF(COUNTIF(G$641:G775,1)=1,5,0)+IF(COUNTIF(H473:$Z473,"&gt;"&amp;0)&gt;5,IF(MOD(COUNTIF(G$641:G775,1),7)=0,$C$4,0),0)</f>
        <v>502.516666666668</v>
      </c>
      <c r="H473" s="81" cm="1">
        <f ca="1" t="array" ref="H473">IF(H775=1,OFFSET($Z$338,$B473,H$335-1)/SUMPRODUCT(--($D$335:$V$335=H$335),--($D775:$V775=1)),0)+SUM(H472)+IF(COUNTIF(H$641:H775,1)=1,5,0)+IF(COUNTIF(I473:$Z473,"&gt;"&amp;0)&gt;5,IF(MOD(COUNTIF(H$641:H775,1),7)=0,$C$4,0),0)</f>
        <v>502.516666666668</v>
      </c>
      <c r="I473" s="81" cm="1">
        <f ca="1" t="array" ref="I473">IF(I775=1,OFFSET($Z$338,$B473,I$335-1)/SUMPRODUCT(--($D$335:$V$335=I$335),--($D775:$V775=1)),0)+SUM(I472)+IF(COUNTIF(I$641:I775,1)=1,5,0)+IF(COUNTIF(J473:$Z473,"&gt;"&amp;0)&gt;5,IF(MOD(COUNTIF(I$641:I775,1),7)=0,$C$4,0),0)</f>
        <v>502.516666666668</v>
      </c>
      <c r="J473" s="81" cm="1">
        <f ca="1" t="array" ref="J473">IF(J775=1,OFFSET($Z$338,$B473,J$335-1)/SUMPRODUCT(--($D$335:$V$335=J$335),--($D775:$V775=1)),0)+SUM(J472)+IF(COUNTIF(J$641:J775,1)=1,5,0)+IF(COUNTIF(K473:$Z473,"&gt;"&amp;0)&gt;5,IF(MOD(COUNTIF(J$641:J775,1),7)=0,$C$4,0),0)</f>
        <v>502.516666666668</v>
      </c>
      <c r="K473" s="81" cm="1">
        <f ca="1" t="array" ref="K473">IF(K775=1,OFFSET($Z$338,$B473,K$335-1)/SUMPRODUCT(--($D$335:$V$335=K$335),--($D775:$V775=1)),0)+SUM(K472)+IF(COUNTIF(K$641:K775,1)=1,5,0)+IF(COUNTIF(L473:$Z473,"&gt;"&amp;0)&gt;5,IF(MOD(COUNTIF(K$641:K775,1),7)=0,$C$4,0),0)</f>
        <v>502.516666666668</v>
      </c>
      <c r="L473" s="81" cm="1">
        <f ca="1" t="array" ref="L473">IF(L775=1,OFFSET($Z$338,$B473,L$335-1)/SUMPRODUCT(--($D$335:$V$335=L$335),--($D775:$V775=1)),0)+SUM(L472)+IF(COUNTIF(L$641:L775,1)=1,5,0)+IF(COUNTIF(M473:$Z473,"&gt;"&amp;0)&gt;5,IF(MOD(COUNTIF(L$641:L775,1),7)=0,$C$4,0),0)</f>
        <v>495.816666666668</v>
      </c>
      <c r="M473" s="81" cm="1">
        <f ca="1" t="array" ref="M473">IF(M775=1,OFFSET($Z$338,$B473,M$335-1)/SUMPRODUCT(--($D$335:$V$335=M$335),--($D775:$V775=1)),0)+SUM(M472)+IF(COUNTIF(M$641:M775,1)=1,5,0)+IF(COUNTIF(N473:$Z473,"&gt;"&amp;0)&gt;5,IF(MOD(COUNTIF(M$641:M775,1),7)=0,$C$4,0),0)</f>
        <v>250.644107142858</v>
      </c>
      <c r="N473" s="81" cm="1">
        <f ca="1" t="array" ref="N473">IF(N775=1,OFFSET($Z$338,$B473,N$335-1)/SUMPRODUCT(--($D$335:$V$335=N$335),--($D775:$V775=1)),0)+SUM(N472)+IF(COUNTIF(N$641:N775,1)=1,5,0)+IF(COUNTIF(O473:$Z473,"&gt;"&amp;0)&gt;5,IF(MOD(COUNTIF(N$641:N775,1),7)=0,$C$4,0),0)</f>
        <v>242.919107142858</v>
      </c>
      <c r="O473" s="81" cm="1">
        <f ca="1" t="array" ref="O473">IF(O775=1,OFFSET($Z$338,$B473,O$335-1)/SUMPRODUCT(--($D$335:$V$335=O$335),--($D775:$V775=1)),0)+SUM(O472)+IF(COUNTIF(O$641:O775,1)=1,5,0)+IF(COUNTIF(P473:$Z473,"&gt;"&amp;0)&gt;5,IF(MOD(COUNTIF(O$641:O775,1),7)=0,$C$4,0),0)</f>
        <v>235.494107142858</v>
      </c>
      <c r="P473" s="81" cm="1">
        <f ca="1" t="array" ref="P473">IF(P775=1,OFFSET($Z$338,$B473,P$335-1)/SUMPRODUCT(--($D$335:$V$335=P$335),--($D775:$V775=1)),0)+SUM(P472)+IF(COUNTIF(P$641:P775,1)=1,5,0)+IF(COUNTIF(Q473:$Z473,"&gt;"&amp;0)&gt;5,IF(MOD(COUNTIF(P$641:P775,1),7)=0,$C$4,0),0)</f>
        <v>232.560773809524</v>
      </c>
      <c r="Q473" s="81" cm="1">
        <f ca="1" t="array" ref="Q473">IF(Q775=1,OFFSET($Z$338,$B473,Q$335-1)/SUMPRODUCT(--($D$335:$V$335=Q$335),--($D775:$V775=1)),0)+SUM(Q472)+IF(COUNTIF(Q$641:Q775,1)=1,5,0)+IF(COUNTIF(R473:$Z473,"&gt;"&amp;0)&gt;5,IF(MOD(COUNTIF(Q$641:Q775,1),7)=0,$C$4,0),0)</f>
        <v>231.654523809524</v>
      </c>
      <c r="R473" s="81" cm="1">
        <f ca="1" t="array" ref="R473">IF(R775=1,OFFSET($Z$338,$B473,R$335-1)/SUMPRODUCT(--($D$335:$V$335=R$335),--($D775:$V775=1)),0)+SUM(R472)+IF(COUNTIF(R$641:R775,1)=1,5,0)+IF(COUNTIF(S473:$Z473,"&gt;"&amp;0)&gt;5,IF(MOD(COUNTIF(R$641:R775,1),7)=0,$C$4,0),0)</f>
        <v>206.759523809524</v>
      </c>
      <c r="S473" s="81" cm="1">
        <f ca="1" t="array" ref="S473">IF(S775=1,OFFSET($Z$338,$B473,S$335-1)/SUMPRODUCT(--($D$335:$V$335=S$335),--($D775:$V775=1)),0)+SUM(S472)+IF(COUNTIF(S$641:S775,1)=1,5,0)+IF(COUNTIF(T473:$Z473,"&gt;"&amp;0)&gt;5,IF(MOD(COUNTIF(S$641:S775,1),7)=0,$C$4,0),0)</f>
        <v>197.592857142857</v>
      </c>
      <c r="T473" s="81" cm="1">
        <f ca="1" t="array" ref="T473">IF(T775=1,OFFSET($Z$338,$B473,T$335-1)/SUMPRODUCT(--($D$335:$V$335=T$335),--($D775:$V775=1)),0)+SUM(T472)+IF(COUNTIF(T$641:T775,1)=1,5,0)+IF(COUNTIF(U473:$Z473,"&gt;"&amp;0)&gt;5,IF(MOD(COUNTIF(T$641:T775,1),7)=0,$C$4,0),0)</f>
        <v>137.656257829764</v>
      </c>
      <c r="U473" s="81" cm="1">
        <f ca="1" t="array" ref="U473">IF(U775=1,OFFSET($Z$338,$B473,U$335-1)/SUMPRODUCT(--($D$335:$V$335=U$335),--($D775:$V775=1)),0)+SUM(U472)+IF(COUNTIF(U$641:U775,1)=1,5,0)+IF(COUNTIF(V473:$Z473,"&gt;"&amp;0)&gt;5,IF(MOD(COUNTIF(U$641:U775,1),7)=0,$C$4,0),0)</f>
        <v>97.6562578297643</v>
      </c>
      <c r="V473" s="81" cm="1">
        <f ca="1" t="array" ref="V473">IF(V775=1,OFFSET($Z$338,$B473,V$335-1)/SUMPRODUCT(--($D$335:$V$335=V$335),--($D775:$V775=1)),0)+SUM(V472)+IF(COUNTIF(V$641:V775,1)=1,5,0)+IF(COUNTIF(Z473:$Z473,"&gt;"&amp;0)&gt;5,IF(MOD(COUNTIF(V$641:V775,1),7)=0,$C$4,0),0)</f>
        <v>89.6984386404824</v>
      </c>
      <c r="W473" s="81" cm="1">
        <f ca="1" t="array" ref="W473">IF(W775=1,OFFSET($Z$338,$B473,W$335-1)/SUMPRODUCT(--($D$335:$V$335=W$335),--($D775:$V775=1)),0)+SUM(W472)+IF(COUNTIF(W$641:W775,1)=1,5,0)+IF(COUNTIF($Z473:AA473,"&gt;"&amp;0)&gt;5,IF(MOD(COUNTIF(W$641:W775,1),7)=0,$C$4,0),0)</f>
        <v>80.3425695255331</v>
      </c>
      <c r="X473" s="81" cm="1">
        <f ca="1" t="array" ref="X473">IF(X775=1,OFFSET($Z$338,$B473,X$335-1)/SUMPRODUCT(--($D$335:$V$335=X$335),--($D775:$V775=1)),0)+SUM(X472)+IF(COUNTIF(X$641:X775,1)=1,5,0)+IF(COUNTIF($Z473:AB473,"&gt;"&amp;0)&gt;5,IF(MOD(COUNTIF(X$641:X775,1),7)=0,$C$4,0),0)</f>
        <v>73.5789092348996</v>
      </c>
      <c r="Y473" s="81" cm="1">
        <f ca="1" t="array" ref="Y473">IF(Y775=1,OFFSET($Z$338,$B473,Y$335-1)/SUMPRODUCT(--($D$335:$V$335=Y$335),--($D775:$V775=1)),0)+SUM(Y472)+IF(COUNTIF(Y$641:Y775,1)=1,5,0)+IF(COUNTIF($Z473:AC473,"&gt;"&amp;0)&gt;5,IF(MOD(COUNTIF(Y$641:Y775,1),7)=0,$C$4,0),0)</f>
        <v>66.8152489442662</v>
      </c>
      <c r="Z473" s="82" cm="1">
        <f ca="1" t="array" ref="Z473">SUMPRODUCT(TRANSPOSE($AD473:$AJ473),OFFSET($L$10:$L$16,0,Z$335-1))</f>
        <v>0</v>
      </c>
      <c r="AA473" s="82" cm="1">
        <f ca="1" t="array" ref="AA473">SUMPRODUCT(TRANSPOSE($AD473:$AJ473),OFFSET($L$10:$L$16,0,AA$335-1))</f>
        <v>0</v>
      </c>
      <c r="AB473" s="82" cm="1">
        <f ca="1" t="array" ref="AB473">SUMPRODUCT(TRANSPOSE($AD473:$AJ473),OFFSET($L$10:$L$16,0,AB$335-1))</f>
        <v>0</v>
      </c>
      <c r="AC473" s="82" cm="1">
        <f ca="1" t="array" ref="AC473">SUMPRODUCT(TRANSPOSE($AD473:$AJ473),OFFSET($L$10:$L$16,0,AC$335-1))</f>
        <v>0</v>
      </c>
      <c r="AD473" s="83">
        <f ca="1" t="shared" ref="AD473:AJ473" si="593">AK473-AK472</f>
        <v>0</v>
      </c>
      <c r="AE473" s="83">
        <f ca="1" t="shared" si="593"/>
        <v>0</v>
      </c>
      <c r="AF473" s="83">
        <f ca="1" t="shared" si="593"/>
        <v>0</v>
      </c>
      <c r="AG473" s="83">
        <f ca="1" t="shared" si="593"/>
        <v>0</v>
      </c>
      <c r="AH473" s="83">
        <f ca="1" t="shared" si="593"/>
        <v>0</v>
      </c>
      <c r="AI473" s="83">
        <f ca="1" t="shared" si="593"/>
        <v>0</v>
      </c>
      <c r="AJ473" s="83">
        <f ca="1" t="shared" si="593"/>
        <v>0</v>
      </c>
      <c r="AK473" s="83">
        <f ca="1" t="shared" si="581"/>
        <v>450</v>
      </c>
      <c r="AL473" s="83">
        <f ca="1" t="shared" ref="AL473:AQ473" si="594">IF($C473&gt;OFFSET($Q$9,MATCH(AL$338,$AK$338:$AQ$338,0),0),OFFSET($P$9,MATCH(AL$338,$AK$338:$AQ$338,0),0),MAX(0,$C473-OFFSET($Q$9,RIGHT(AL$338,1)-1,0)))</f>
        <v>909</v>
      </c>
      <c r="AM473" s="83">
        <f ca="1" t="shared" si="594"/>
        <v>1818</v>
      </c>
      <c r="AN473" s="83">
        <f ca="1" t="shared" si="594"/>
        <v>2727</v>
      </c>
      <c r="AO473" s="83">
        <f ca="1" t="shared" si="594"/>
        <v>3636</v>
      </c>
      <c r="AP473" s="83">
        <f ca="1" t="shared" si="594"/>
        <v>4545</v>
      </c>
      <c r="AQ473" s="83">
        <f ca="1" t="shared" si="594"/>
        <v>0</v>
      </c>
    </row>
    <row r="474" ht="16.5" spans="2:43">
      <c r="B474" s="65">
        <v>136</v>
      </c>
      <c r="C474" s="80">
        <f t="shared" si="579"/>
        <v>16286</v>
      </c>
      <c r="D474" s="81" cm="1">
        <f ca="1" t="array" ref="D474">IF(D776=1,OFFSET($Z$338,$B474,D$335-1)/SUMPRODUCT(--($D$335:$V$335=D$335),--($D776:$V776=1)),0)+SUM(D473)+IF(COUNTIF(D$641:D776,1)=1,5,0)+IF(COUNTIF(E474:$Z474,"&gt;"&amp;0)&gt;5,IF(MOD(COUNTIF(D$641:D776,1),7)=0,$C$4,0),0)</f>
        <v>1213.82134856666</v>
      </c>
      <c r="E474" s="81" cm="1">
        <f ca="1" t="array" ref="E474">IF(E776=1,OFFSET($Z$338,$B474,E$335-1)/SUMPRODUCT(--($D$335:$V$335=E$335),--($D776:$V776=1)),0)+SUM(E473)+IF(COUNTIF(E$641:E776,1)=1,5,0)+IF(COUNTIF(F474:$Z474,"&gt;"&amp;0)&gt;5,IF(MOD(COUNTIF(E$641:E776,1),7)=0,$C$4,0),0)</f>
        <v>1213.82134856666</v>
      </c>
      <c r="F474" s="81" cm="1">
        <f ca="1" t="array" ref="F474">IF(F776=1,OFFSET($Z$338,$B474,F$335-1)/SUMPRODUCT(--($D$335:$V$335=F$335),--($D776:$V776=1)),0)+SUM(F473)+IF(COUNTIF(F$641:F776,1)=1,5,0)+IF(COUNTIF(G474:$Z474,"&gt;"&amp;0)&gt;5,IF(MOD(COUNTIF(F$641:F776,1),7)=0,$C$4,0),0)</f>
        <v>1213.82134856666</v>
      </c>
      <c r="G474" s="81" cm="1">
        <f ca="1" t="array" ref="G474">IF(G776=1,OFFSET($Z$338,$B474,G$335-1)/SUMPRODUCT(--($D$335:$V$335=G$335),--($D776:$V776=1)),0)+SUM(G473)+IF(COUNTIF(G$641:G776,1)=1,5,0)+IF(COUNTIF(H474:$Z474,"&gt;"&amp;0)&gt;5,IF(MOD(COUNTIF(G$641:G776,1),7)=0,$C$4,0),0)</f>
        <v>502.516666666668</v>
      </c>
      <c r="H474" s="81" cm="1">
        <f ca="1" t="array" ref="H474">IF(H776=1,OFFSET($Z$338,$B474,H$335-1)/SUMPRODUCT(--($D$335:$V$335=H$335),--($D776:$V776=1)),0)+SUM(H473)+IF(COUNTIF(H$641:H776,1)=1,5,0)+IF(COUNTIF(I474:$Z474,"&gt;"&amp;0)&gt;5,IF(MOD(COUNTIF(H$641:H776,1),7)=0,$C$4,0),0)</f>
        <v>502.516666666668</v>
      </c>
      <c r="I474" s="81" cm="1">
        <f ca="1" t="array" ref="I474">IF(I776=1,OFFSET($Z$338,$B474,I$335-1)/SUMPRODUCT(--($D$335:$V$335=I$335),--($D776:$V776=1)),0)+SUM(I473)+IF(COUNTIF(I$641:I776,1)=1,5,0)+IF(COUNTIF(J474:$Z474,"&gt;"&amp;0)&gt;5,IF(MOD(COUNTIF(I$641:I776,1),7)=0,$C$4,0),0)</f>
        <v>502.516666666668</v>
      </c>
      <c r="J474" s="81" cm="1">
        <f ca="1" t="array" ref="J474">IF(J776=1,OFFSET($Z$338,$B474,J$335-1)/SUMPRODUCT(--($D$335:$V$335=J$335),--($D776:$V776=1)),0)+SUM(J473)+IF(COUNTIF(J$641:J776,1)=1,5,0)+IF(COUNTIF(K474:$Z474,"&gt;"&amp;0)&gt;5,IF(MOD(COUNTIF(J$641:J776,1),7)=0,$C$4,0),0)</f>
        <v>502.516666666668</v>
      </c>
      <c r="K474" s="81" cm="1">
        <f ca="1" t="array" ref="K474">IF(K776=1,OFFSET($Z$338,$B474,K$335-1)/SUMPRODUCT(--($D$335:$V$335=K$335),--($D776:$V776=1)),0)+SUM(K473)+IF(COUNTIF(K$641:K776,1)=1,5,0)+IF(COUNTIF(L474:$Z474,"&gt;"&amp;0)&gt;5,IF(MOD(COUNTIF(K$641:K776,1),7)=0,$C$4,0),0)</f>
        <v>502.516666666668</v>
      </c>
      <c r="L474" s="81" cm="1">
        <f ca="1" t="array" ref="L474">IF(L776=1,OFFSET($Z$338,$B474,L$335-1)/SUMPRODUCT(--($D$335:$V$335=L$335),--($D776:$V776=1)),0)+SUM(L473)+IF(COUNTIF(L$641:L776,1)=1,5,0)+IF(COUNTIF(M474:$Z474,"&gt;"&amp;0)&gt;5,IF(MOD(COUNTIF(L$641:L776,1),7)=0,$C$4,0),0)</f>
        <v>495.816666666668</v>
      </c>
      <c r="M474" s="81" cm="1">
        <f ca="1" t="array" ref="M474">IF(M776=1,OFFSET($Z$338,$B474,M$335-1)/SUMPRODUCT(--($D$335:$V$335=M$335),--($D776:$V776=1)),0)+SUM(M473)+IF(COUNTIF(M$641:M776,1)=1,5,0)+IF(COUNTIF(N474:$Z474,"&gt;"&amp;0)&gt;5,IF(MOD(COUNTIF(M$641:M776,1),7)=0,$C$4,0),0)</f>
        <v>250.644107142858</v>
      </c>
      <c r="N474" s="81" cm="1">
        <f ca="1" t="array" ref="N474">IF(N776=1,OFFSET($Z$338,$B474,N$335-1)/SUMPRODUCT(--($D$335:$V$335=N$335),--($D776:$V776=1)),0)+SUM(N473)+IF(COUNTIF(N$641:N776,1)=1,5,0)+IF(COUNTIF(O474:$Z474,"&gt;"&amp;0)&gt;5,IF(MOD(COUNTIF(N$641:N776,1),7)=0,$C$4,0),0)</f>
        <v>242.919107142858</v>
      </c>
      <c r="O474" s="81" cm="1">
        <f ca="1" t="array" ref="O474">IF(O776=1,OFFSET($Z$338,$B474,O$335-1)/SUMPRODUCT(--($D$335:$V$335=O$335),--($D776:$V776=1)),0)+SUM(O473)+IF(COUNTIF(O$641:O776,1)=1,5,0)+IF(COUNTIF(P474:$Z474,"&gt;"&amp;0)&gt;5,IF(MOD(COUNTIF(O$641:O776,1),7)=0,$C$4,0),0)</f>
        <v>240.494107142858</v>
      </c>
      <c r="P474" s="81" cm="1">
        <f ca="1" t="array" ref="P474">IF(P776=1,OFFSET($Z$338,$B474,P$335-1)/SUMPRODUCT(--($D$335:$V$335=P$335),--($D776:$V776=1)),0)+SUM(P473)+IF(COUNTIF(P$641:P776,1)=1,5,0)+IF(COUNTIF(Q474:$Z474,"&gt;"&amp;0)&gt;5,IF(MOD(COUNTIF(P$641:P776,1),7)=0,$C$4,0),0)</f>
        <v>232.560773809524</v>
      </c>
      <c r="Q474" s="81" cm="1">
        <f ca="1" t="array" ref="Q474">IF(Q776=1,OFFSET($Z$338,$B474,Q$335-1)/SUMPRODUCT(--($D$335:$V$335=Q$335),--($D776:$V776=1)),0)+SUM(Q473)+IF(COUNTIF(Q$641:Q776,1)=1,5,0)+IF(COUNTIF(R474:$Z474,"&gt;"&amp;0)&gt;5,IF(MOD(COUNTIF(Q$641:Q776,1),7)=0,$C$4,0),0)</f>
        <v>231.654523809524</v>
      </c>
      <c r="R474" s="81" cm="1">
        <f ca="1" t="array" ref="R474">IF(R776=1,OFFSET($Z$338,$B474,R$335-1)/SUMPRODUCT(--($D$335:$V$335=R$335),--($D776:$V776=1)),0)+SUM(R473)+IF(COUNTIF(R$641:R776,1)=1,5,0)+IF(COUNTIF(S474:$Z474,"&gt;"&amp;0)&gt;5,IF(MOD(COUNTIF(R$641:R776,1),7)=0,$C$4,0),0)</f>
        <v>206.759523809524</v>
      </c>
      <c r="S474" s="81" cm="1">
        <f ca="1" t="array" ref="S474">IF(S776=1,OFFSET($Z$338,$B474,S$335-1)/SUMPRODUCT(--($D$335:$V$335=S$335),--($D776:$V776=1)),0)+SUM(S473)+IF(COUNTIF(S$641:S776,1)=1,5,0)+IF(COUNTIF(T474:$Z474,"&gt;"&amp;0)&gt;5,IF(MOD(COUNTIF(S$641:S776,1),7)=0,$C$4,0),0)</f>
        <v>197.592857142857</v>
      </c>
      <c r="T474" s="81" cm="1">
        <f ca="1" t="array" ref="T474">IF(T776=1,OFFSET($Z$338,$B474,T$335-1)/SUMPRODUCT(--($D$335:$V$335=T$335),--($D776:$V776=1)),0)+SUM(T473)+IF(COUNTIF(T$641:T776,1)=1,5,0)+IF(COUNTIF(U474:$Z474,"&gt;"&amp;0)&gt;5,IF(MOD(COUNTIF(T$641:T776,1),7)=0,$C$4,0),0)</f>
        <v>137.656257829764</v>
      </c>
      <c r="U474" s="81" cm="1">
        <f ca="1" t="array" ref="U474">IF(U776=1,OFFSET($Z$338,$B474,U$335-1)/SUMPRODUCT(--($D$335:$V$335=U$335),--($D776:$V776=1)),0)+SUM(U473)+IF(COUNTIF(U$641:U776,1)=1,5,0)+IF(COUNTIF(V474:$Z474,"&gt;"&amp;0)&gt;5,IF(MOD(COUNTIF(U$641:U776,1),7)=0,$C$4,0),0)</f>
        <v>97.6562578297643</v>
      </c>
      <c r="V474" s="81" cm="1">
        <f ca="1" t="array" ref="V474">IF(V776=1,OFFSET($Z$338,$B474,V$335-1)/SUMPRODUCT(--($D$335:$V$335=V$335),--($D776:$V776=1)),0)+SUM(V473)+IF(COUNTIF(V$641:V776,1)=1,5,0)+IF(COUNTIF(Z474:$Z474,"&gt;"&amp;0)&gt;5,IF(MOD(COUNTIF(V$641:V776,1),7)=0,$C$4,0),0)</f>
        <v>89.6984386404824</v>
      </c>
      <c r="W474" s="81" cm="1">
        <f ca="1" t="array" ref="W474">IF(W776=1,OFFSET($Z$338,$B474,W$335-1)/SUMPRODUCT(--($D$335:$V$335=W$335),--($D776:$V776=1)),0)+SUM(W473)+IF(COUNTIF(W$641:W776,1)=1,5,0)+IF(COUNTIF($Z474:AA474,"&gt;"&amp;0)&gt;5,IF(MOD(COUNTIF(W$641:W776,1),7)=0,$C$4,0),0)</f>
        <v>80.3425695255331</v>
      </c>
      <c r="X474" s="81" cm="1">
        <f ca="1" t="array" ref="X474">IF(X776=1,OFFSET($Z$338,$B474,X$335-1)/SUMPRODUCT(--($D$335:$V$335=X$335),--($D776:$V776=1)),0)+SUM(X473)+IF(COUNTIF(X$641:X776,1)=1,5,0)+IF(COUNTIF($Z474:AB474,"&gt;"&amp;0)&gt;5,IF(MOD(COUNTIF(X$641:X776,1),7)=0,$C$4,0),0)</f>
        <v>73.5789092348996</v>
      </c>
      <c r="Y474" s="81" cm="1">
        <f ca="1" t="array" ref="Y474">IF(Y776=1,OFFSET($Z$338,$B474,Y$335-1)/SUMPRODUCT(--($D$335:$V$335=Y$335),--($D776:$V776=1)),0)+SUM(Y473)+IF(COUNTIF(Y$641:Y776,1)=1,5,0)+IF(COUNTIF($Z474:AC474,"&gt;"&amp;0)&gt;5,IF(MOD(COUNTIF(Y$641:Y776,1),7)=0,$C$4,0),0)</f>
        <v>66.8152489442662</v>
      </c>
      <c r="Z474" s="82" cm="1">
        <f ca="1" t="array" ref="Z474">SUMPRODUCT(TRANSPOSE($AD474:$AJ474),OFFSET($L$10:$L$16,0,Z$335-1))</f>
        <v>0</v>
      </c>
      <c r="AA474" s="82" cm="1">
        <f ca="1" t="array" ref="AA474">SUMPRODUCT(TRANSPOSE($AD474:$AJ474),OFFSET($L$10:$L$16,0,AA$335-1))</f>
        <v>0</v>
      </c>
      <c r="AB474" s="82" cm="1">
        <f ca="1" t="array" ref="AB474">SUMPRODUCT(TRANSPOSE($AD474:$AJ474),OFFSET($L$10:$L$16,0,AB$335-1))</f>
        <v>0</v>
      </c>
      <c r="AC474" s="82" cm="1">
        <f ca="1" t="array" ref="AC474">SUMPRODUCT(TRANSPOSE($AD474:$AJ474),OFFSET($L$10:$L$16,0,AC$335-1))</f>
        <v>0</v>
      </c>
      <c r="AD474" s="83">
        <f ca="1" t="shared" ref="AD474:AJ474" si="595">AK474-AK473</f>
        <v>0</v>
      </c>
      <c r="AE474" s="83">
        <f ca="1" t="shared" si="595"/>
        <v>0</v>
      </c>
      <c r="AF474" s="83">
        <f ca="1" t="shared" si="595"/>
        <v>0</v>
      </c>
      <c r="AG474" s="83">
        <f ca="1" t="shared" si="595"/>
        <v>0</v>
      </c>
      <c r="AH474" s="83">
        <f ca="1" t="shared" si="595"/>
        <v>0</v>
      </c>
      <c r="AI474" s="83">
        <f ca="1" t="shared" si="595"/>
        <v>0</v>
      </c>
      <c r="AJ474" s="83">
        <f ca="1" t="shared" si="595"/>
        <v>0</v>
      </c>
      <c r="AK474" s="83">
        <f ca="1" t="shared" si="581"/>
        <v>450</v>
      </c>
      <c r="AL474" s="83">
        <f ca="1" t="shared" ref="AL474:AQ474" si="596">IF($C474&gt;OFFSET($Q$9,MATCH(AL$338,$AK$338:$AQ$338,0),0),OFFSET($P$9,MATCH(AL$338,$AK$338:$AQ$338,0),0),MAX(0,$C474-OFFSET($Q$9,RIGHT(AL$338,1)-1,0)))</f>
        <v>909</v>
      </c>
      <c r="AM474" s="83">
        <f ca="1" t="shared" si="596"/>
        <v>1818</v>
      </c>
      <c r="AN474" s="83">
        <f ca="1" t="shared" si="596"/>
        <v>2727</v>
      </c>
      <c r="AO474" s="83">
        <f ca="1" t="shared" si="596"/>
        <v>3636</v>
      </c>
      <c r="AP474" s="83">
        <f ca="1" t="shared" si="596"/>
        <v>4545</v>
      </c>
      <c r="AQ474" s="83">
        <f ca="1" t="shared" si="596"/>
        <v>0</v>
      </c>
    </row>
    <row r="475" ht="16.5" spans="2:43">
      <c r="B475" s="65">
        <v>137</v>
      </c>
      <c r="C475" s="80">
        <f t="shared" si="579"/>
        <v>16396</v>
      </c>
      <c r="D475" s="81" cm="1">
        <f ca="1" t="array" ref="D475">IF(D777=1,OFFSET($Z$338,$B475,D$335-1)/SUMPRODUCT(--($D$335:$V$335=D$335),--($D777:$V777=1)),0)+SUM(D474)+IF(COUNTIF(D$641:D777,1)=1,5,0)+IF(COUNTIF(E475:$Z475,"&gt;"&amp;0)&gt;5,IF(MOD(COUNTIF(D$641:D777,1),7)=0,$C$4,0),0)</f>
        <v>1213.82134856666</v>
      </c>
      <c r="E475" s="81" cm="1">
        <f ca="1" t="array" ref="E475">IF(E777=1,OFFSET($Z$338,$B475,E$335-1)/SUMPRODUCT(--($D$335:$V$335=E$335),--($D777:$V777=1)),0)+SUM(E474)+IF(COUNTIF(E$641:E777,1)=1,5,0)+IF(COUNTIF(F475:$Z475,"&gt;"&amp;0)&gt;5,IF(MOD(COUNTIF(E$641:E777,1),7)=0,$C$4,0),0)</f>
        <v>1213.82134856666</v>
      </c>
      <c r="F475" s="81" cm="1">
        <f ca="1" t="array" ref="F475">IF(F777=1,OFFSET($Z$338,$B475,F$335-1)/SUMPRODUCT(--($D$335:$V$335=F$335),--($D777:$V777=1)),0)+SUM(F474)+IF(COUNTIF(F$641:F777,1)=1,5,0)+IF(COUNTIF(G475:$Z475,"&gt;"&amp;0)&gt;5,IF(MOD(COUNTIF(F$641:F777,1),7)=0,$C$4,0),0)</f>
        <v>1213.82134856666</v>
      </c>
      <c r="G475" s="81" cm="1">
        <f ca="1" t="array" ref="G475">IF(G777=1,OFFSET($Z$338,$B475,G$335-1)/SUMPRODUCT(--($D$335:$V$335=G$335),--($D777:$V777=1)),0)+SUM(G474)+IF(COUNTIF(G$641:G777,1)=1,5,0)+IF(COUNTIF(H475:$Z475,"&gt;"&amp;0)&gt;5,IF(MOD(COUNTIF(G$641:G777,1),7)=0,$C$4,0),0)</f>
        <v>502.516666666668</v>
      </c>
      <c r="H475" s="81" cm="1">
        <f ca="1" t="array" ref="H475">IF(H777=1,OFFSET($Z$338,$B475,H$335-1)/SUMPRODUCT(--($D$335:$V$335=H$335),--($D777:$V777=1)),0)+SUM(H474)+IF(COUNTIF(H$641:H777,1)=1,5,0)+IF(COUNTIF(I475:$Z475,"&gt;"&amp;0)&gt;5,IF(MOD(COUNTIF(H$641:H777,1),7)=0,$C$4,0),0)</f>
        <v>502.516666666668</v>
      </c>
      <c r="I475" s="81" cm="1">
        <f ca="1" t="array" ref="I475">IF(I777=1,OFFSET($Z$338,$B475,I$335-1)/SUMPRODUCT(--($D$335:$V$335=I$335),--($D777:$V777=1)),0)+SUM(I474)+IF(COUNTIF(I$641:I777,1)=1,5,0)+IF(COUNTIF(J475:$Z475,"&gt;"&amp;0)&gt;5,IF(MOD(COUNTIF(I$641:I777,1),7)=0,$C$4,0),0)</f>
        <v>502.516666666668</v>
      </c>
      <c r="J475" s="81" cm="1">
        <f ca="1" t="array" ref="J475">IF(J777=1,OFFSET($Z$338,$B475,J$335-1)/SUMPRODUCT(--($D$335:$V$335=J$335),--($D777:$V777=1)),0)+SUM(J474)+IF(COUNTIF(J$641:J777,1)=1,5,0)+IF(COUNTIF(K475:$Z475,"&gt;"&amp;0)&gt;5,IF(MOD(COUNTIF(J$641:J777,1),7)=0,$C$4,0),0)</f>
        <v>502.516666666668</v>
      </c>
      <c r="K475" s="81" cm="1">
        <f ca="1" t="array" ref="K475">IF(K777=1,OFFSET($Z$338,$B475,K$335-1)/SUMPRODUCT(--($D$335:$V$335=K$335),--($D777:$V777=1)),0)+SUM(K474)+IF(COUNTIF(K$641:K777,1)=1,5,0)+IF(COUNTIF(L475:$Z475,"&gt;"&amp;0)&gt;5,IF(MOD(COUNTIF(K$641:K777,1),7)=0,$C$4,0),0)</f>
        <v>502.516666666668</v>
      </c>
      <c r="L475" s="81" cm="1">
        <f ca="1" t="array" ref="L475">IF(L777=1,OFFSET($Z$338,$B475,L$335-1)/SUMPRODUCT(--($D$335:$V$335=L$335),--($D777:$V777=1)),0)+SUM(L474)+IF(COUNTIF(L$641:L777,1)=1,5,0)+IF(COUNTIF(M475:$Z475,"&gt;"&amp;0)&gt;5,IF(MOD(COUNTIF(L$641:L777,1),7)=0,$C$4,0),0)</f>
        <v>495.816666666668</v>
      </c>
      <c r="M475" s="81" cm="1">
        <f ca="1" t="array" ref="M475">IF(M777=1,OFFSET($Z$338,$B475,M$335-1)/SUMPRODUCT(--($D$335:$V$335=M$335),--($D777:$V777=1)),0)+SUM(M474)+IF(COUNTIF(M$641:M777,1)=1,5,0)+IF(COUNTIF(N475:$Z475,"&gt;"&amp;0)&gt;5,IF(MOD(COUNTIF(M$641:M777,1),7)=0,$C$4,0),0)</f>
        <v>250.644107142858</v>
      </c>
      <c r="N475" s="81" cm="1">
        <f ca="1" t="array" ref="N475">IF(N777=1,OFFSET($Z$338,$B475,N$335-1)/SUMPRODUCT(--($D$335:$V$335=N$335),--($D777:$V777=1)),0)+SUM(N474)+IF(COUNTIF(N$641:N777,1)=1,5,0)+IF(COUNTIF(O475:$Z475,"&gt;"&amp;0)&gt;5,IF(MOD(COUNTIF(N$641:N777,1),7)=0,$C$4,0),0)</f>
        <v>242.919107142858</v>
      </c>
      <c r="O475" s="81" cm="1">
        <f ca="1" t="array" ref="O475">IF(O777=1,OFFSET($Z$338,$B475,O$335-1)/SUMPRODUCT(--($D$335:$V$335=O$335),--($D777:$V777=1)),0)+SUM(O474)+IF(COUNTIF(O$641:O777,1)=1,5,0)+IF(COUNTIF(P475:$Z475,"&gt;"&amp;0)&gt;5,IF(MOD(COUNTIF(O$641:O777,1),7)=0,$C$4,0),0)</f>
        <v>240.494107142858</v>
      </c>
      <c r="P475" s="81" cm="1">
        <f ca="1" t="array" ref="P475">IF(P777=1,OFFSET($Z$338,$B475,P$335-1)/SUMPRODUCT(--($D$335:$V$335=P$335),--($D777:$V777=1)),0)+SUM(P474)+IF(COUNTIF(P$641:P777,1)=1,5,0)+IF(COUNTIF(Q475:$Z475,"&gt;"&amp;0)&gt;5,IF(MOD(COUNTIF(P$641:P777,1),7)=0,$C$4,0),0)</f>
        <v>232.560773809524</v>
      </c>
      <c r="Q475" s="81" cm="1">
        <f ca="1" t="array" ref="Q475">IF(Q777=1,OFFSET($Z$338,$B475,Q$335-1)/SUMPRODUCT(--($D$335:$V$335=Q$335),--($D777:$V777=1)),0)+SUM(Q474)+IF(COUNTIF(Q$641:Q777,1)=1,5,0)+IF(COUNTIF(R475:$Z475,"&gt;"&amp;0)&gt;5,IF(MOD(COUNTIF(Q$641:Q777,1),7)=0,$C$4,0),0)</f>
        <v>231.654523809524</v>
      </c>
      <c r="R475" s="81" cm="1">
        <f ca="1" t="array" ref="R475">IF(R777=1,OFFSET($Z$338,$B475,R$335-1)/SUMPRODUCT(--($D$335:$V$335=R$335),--($D777:$V777=1)),0)+SUM(R474)+IF(COUNTIF(R$641:R777,1)=1,5,0)+IF(COUNTIF(S475:$Z475,"&gt;"&amp;0)&gt;5,IF(MOD(COUNTIF(R$641:R777,1),7)=0,$C$4,0),0)</f>
        <v>206.759523809524</v>
      </c>
      <c r="S475" s="81" cm="1">
        <f ca="1" t="array" ref="S475">IF(S777=1,OFFSET($Z$338,$B475,S$335-1)/SUMPRODUCT(--($D$335:$V$335=S$335),--($D777:$V777=1)),0)+SUM(S474)+IF(COUNTIF(S$641:S777,1)=1,5,0)+IF(COUNTIF(T475:$Z475,"&gt;"&amp;0)&gt;5,IF(MOD(COUNTIF(S$641:S777,1),7)=0,$C$4,0),0)</f>
        <v>197.592857142857</v>
      </c>
      <c r="T475" s="81" cm="1">
        <f ca="1" t="array" ref="T475">IF(T777=1,OFFSET($Z$338,$B475,T$335-1)/SUMPRODUCT(--($D$335:$V$335=T$335),--($D777:$V777=1)),0)+SUM(T474)+IF(COUNTIF(T$641:T777,1)=1,5,0)+IF(COUNTIF(U475:$Z475,"&gt;"&amp;0)&gt;5,IF(MOD(COUNTIF(T$641:T777,1),7)=0,$C$4,0),0)</f>
        <v>137.656257829764</v>
      </c>
      <c r="U475" s="81" cm="1">
        <f ca="1" t="array" ref="U475">IF(U777=1,OFFSET($Z$338,$B475,U$335-1)/SUMPRODUCT(--($D$335:$V$335=U$335),--($D777:$V777=1)),0)+SUM(U474)+IF(COUNTIF(U$641:U777,1)=1,5,0)+IF(COUNTIF(V475:$Z475,"&gt;"&amp;0)&gt;5,IF(MOD(COUNTIF(U$641:U777,1),7)=0,$C$4,0),0)</f>
        <v>97.6562578297643</v>
      </c>
      <c r="V475" s="81" cm="1">
        <f ca="1" t="array" ref="V475">IF(V777=1,OFFSET($Z$338,$B475,V$335-1)/SUMPRODUCT(--($D$335:$V$335=V$335),--($D777:$V777=1)),0)+SUM(V474)+IF(COUNTIF(V$641:V777,1)=1,5,0)+IF(COUNTIF(Z475:$Z475,"&gt;"&amp;0)&gt;5,IF(MOD(COUNTIF(V$641:V777,1),7)=0,$C$4,0),0)</f>
        <v>89.6984386404824</v>
      </c>
      <c r="W475" s="81" cm="1">
        <f ca="1" t="array" ref="W475">IF(W777=1,OFFSET($Z$338,$B475,W$335-1)/SUMPRODUCT(--($D$335:$V$335=W$335),--($D777:$V777=1)),0)+SUM(W474)+IF(COUNTIF(W$641:W777,1)=1,5,0)+IF(COUNTIF($Z475:AA475,"&gt;"&amp;0)&gt;5,IF(MOD(COUNTIF(W$641:W777,1),7)=0,$C$4,0),0)</f>
        <v>80.3425695255331</v>
      </c>
      <c r="X475" s="81" cm="1">
        <f ca="1" t="array" ref="X475">IF(X777=1,OFFSET($Z$338,$B475,X$335-1)/SUMPRODUCT(--($D$335:$V$335=X$335),--($D777:$V777=1)),0)+SUM(X474)+IF(COUNTIF(X$641:X777,1)=1,5,0)+IF(COUNTIF($Z475:AB475,"&gt;"&amp;0)&gt;5,IF(MOD(COUNTIF(X$641:X777,1),7)=0,$C$4,0),0)</f>
        <v>73.5789092348996</v>
      </c>
      <c r="Y475" s="81" cm="1">
        <f ca="1" t="array" ref="Y475">IF(Y777=1,OFFSET($Z$338,$B475,Y$335-1)/SUMPRODUCT(--($D$335:$V$335=Y$335),--($D777:$V777=1)),0)+SUM(Y474)+IF(COUNTIF(Y$641:Y777,1)=1,5,0)+IF(COUNTIF($Z475:AC475,"&gt;"&amp;0)&gt;5,IF(MOD(COUNTIF(Y$641:Y777,1),7)=0,$C$4,0),0)</f>
        <v>66.8152489442662</v>
      </c>
      <c r="Z475" s="82" cm="1">
        <f ca="1" t="array" ref="Z475">SUMPRODUCT(TRANSPOSE($AD475:$AJ475),OFFSET($L$10:$L$16,0,Z$335-1))</f>
        <v>0</v>
      </c>
      <c r="AA475" s="82" cm="1">
        <f ca="1" t="array" ref="AA475">SUMPRODUCT(TRANSPOSE($AD475:$AJ475),OFFSET($L$10:$L$16,0,AA$335-1))</f>
        <v>0</v>
      </c>
      <c r="AB475" s="82" cm="1">
        <f ca="1" t="array" ref="AB475">SUMPRODUCT(TRANSPOSE($AD475:$AJ475),OFFSET($L$10:$L$16,0,AB$335-1))</f>
        <v>0</v>
      </c>
      <c r="AC475" s="82" cm="1">
        <f ca="1" t="array" ref="AC475">SUMPRODUCT(TRANSPOSE($AD475:$AJ475),OFFSET($L$10:$L$16,0,AC$335-1))</f>
        <v>0</v>
      </c>
      <c r="AD475" s="83">
        <f ca="1" t="shared" ref="AD475:AJ475" si="597">AK475-AK474</f>
        <v>0</v>
      </c>
      <c r="AE475" s="83">
        <f ca="1" t="shared" si="597"/>
        <v>0</v>
      </c>
      <c r="AF475" s="83">
        <f ca="1" t="shared" si="597"/>
        <v>0</v>
      </c>
      <c r="AG475" s="83">
        <f ca="1" t="shared" si="597"/>
        <v>0</v>
      </c>
      <c r="AH475" s="83">
        <f ca="1" t="shared" si="597"/>
        <v>0</v>
      </c>
      <c r="AI475" s="83">
        <f ca="1" t="shared" si="597"/>
        <v>0</v>
      </c>
      <c r="AJ475" s="83">
        <f ca="1" t="shared" si="597"/>
        <v>0</v>
      </c>
      <c r="AK475" s="83">
        <f ca="1" t="shared" si="581"/>
        <v>450</v>
      </c>
      <c r="AL475" s="83">
        <f ca="1" t="shared" ref="AL475:AQ475" si="598">IF($C475&gt;OFFSET($Q$9,MATCH(AL$338,$AK$338:$AQ$338,0),0),OFFSET($P$9,MATCH(AL$338,$AK$338:$AQ$338,0),0),MAX(0,$C475-OFFSET($Q$9,RIGHT(AL$338,1)-1,0)))</f>
        <v>909</v>
      </c>
      <c r="AM475" s="83">
        <f ca="1" t="shared" si="598"/>
        <v>1818</v>
      </c>
      <c r="AN475" s="83">
        <f ca="1" t="shared" si="598"/>
        <v>2727</v>
      </c>
      <c r="AO475" s="83">
        <f ca="1" t="shared" si="598"/>
        <v>3636</v>
      </c>
      <c r="AP475" s="83">
        <f ca="1" t="shared" si="598"/>
        <v>4545</v>
      </c>
      <c r="AQ475" s="83">
        <f ca="1" t="shared" si="598"/>
        <v>0</v>
      </c>
    </row>
    <row r="476" ht="16.5" spans="2:43">
      <c r="B476" s="65">
        <v>138</v>
      </c>
      <c r="C476" s="80">
        <f t="shared" si="579"/>
        <v>16506</v>
      </c>
      <c r="D476" s="81" cm="1">
        <f ca="1" t="array" ref="D476">IF(D778=1,OFFSET($Z$338,$B476,D$335-1)/SUMPRODUCT(--($D$335:$V$335=D$335),--($D778:$V778=1)),0)+SUM(D475)+IF(COUNTIF(D$641:D778,1)=1,5,0)+IF(COUNTIF(E476:$Z476,"&gt;"&amp;0)&gt;5,IF(MOD(COUNTIF(D$641:D778,1),7)=0,$C$4,0),0)</f>
        <v>1213.82134856666</v>
      </c>
      <c r="E476" s="81" cm="1">
        <f ca="1" t="array" ref="E476">IF(E778=1,OFFSET($Z$338,$B476,E$335-1)/SUMPRODUCT(--($D$335:$V$335=E$335),--($D778:$V778=1)),0)+SUM(E475)+IF(COUNTIF(E$641:E778,1)=1,5,0)+IF(COUNTIF(F476:$Z476,"&gt;"&amp;0)&gt;5,IF(MOD(COUNTIF(E$641:E778,1),7)=0,$C$4,0),0)</f>
        <v>1213.82134856666</v>
      </c>
      <c r="F476" s="81" cm="1">
        <f ca="1" t="array" ref="F476">IF(F778=1,OFFSET($Z$338,$B476,F$335-1)/SUMPRODUCT(--($D$335:$V$335=F$335),--($D778:$V778=1)),0)+SUM(F475)+IF(COUNTIF(F$641:F778,1)=1,5,0)+IF(COUNTIF(G476:$Z476,"&gt;"&amp;0)&gt;5,IF(MOD(COUNTIF(F$641:F778,1),7)=0,$C$4,0),0)</f>
        <v>1213.82134856666</v>
      </c>
      <c r="G476" s="81" cm="1">
        <f ca="1" t="array" ref="G476">IF(G778=1,OFFSET($Z$338,$B476,G$335-1)/SUMPRODUCT(--($D$335:$V$335=G$335),--($D778:$V778=1)),0)+SUM(G475)+IF(COUNTIF(G$641:G778,1)=1,5,0)+IF(COUNTIF(H476:$Z476,"&gt;"&amp;0)&gt;5,IF(MOD(COUNTIF(G$641:G778,1),7)=0,$C$4,0),0)</f>
        <v>502.516666666668</v>
      </c>
      <c r="H476" s="81" cm="1">
        <f ca="1" t="array" ref="H476">IF(H778=1,OFFSET($Z$338,$B476,H$335-1)/SUMPRODUCT(--($D$335:$V$335=H$335),--($D778:$V778=1)),0)+SUM(H475)+IF(COUNTIF(H$641:H778,1)=1,5,0)+IF(COUNTIF(I476:$Z476,"&gt;"&amp;0)&gt;5,IF(MOD(COUNTIF(H$641:H778,1),7)=0,$C$4,0),0)</f>
        <v>502.516666666668</v>
      </c>
      <c r="I476" s="81" cm="1">
        <f ca="1" t="array" ref="I476">IF(I778=1,OFFSET($Z$338,$B476,I$335-1)/SUMPRODUCT(--($D$335:$V$335=I$335),--($D778:$V778=1)),0)+SUM(I475)+IF(COUNTIF(I$641:I778,1)=1,5,0)+IF(COUNTIF(J476:$Z476,"&gt;"&amp;0)&gt;5,IF(MOD(COUNTIF(I$641:I778,1),7)=0,$C$4,0),0)</f>
        <v>502.516666666668</v>
      </c>
      <c r="J476" s="81" cm="1">
        <f ca="1" t="array" ref="J476">IF(J778=1,OFFSET($Z$338,$B476,J$335-1)/SUMPRODUCT(--($D$335:$V$335=J$335),--($D778:$V778=1)),0)+SUM(J475)+IF(COUNTIF(J$641:J778,1)=1,5,0)+IF(COUNTIF(K476:$Z476,"&gt;"&amp;0)&gt;5,IF(MOD(COUNTIF(J$641:J778,1),7)=0,$C$4,0),0)</f>
        <v>502.516666666668</v>
      </c>
      <c r="K476" s="81" cm="1">
        <f ca="1" t="array" ref="K476">IF(K778=1,OFFSET($Z$338,$B476,K$335-1)/SUMPRODUCT(--($D$335:$V$335=K$335),--($D778:$V778=1)),0)+SUM(K475)+IF(COUNTIF(K$641:K778,1)=1,5,0)+IF(COUNTIF(L476:$Z476,"&gt;"&amp;0)&gt;5,IF(MOD(COUNTIF(K$641:K778,1),7)=0,$C$4,0),0)</f>
        <v>502.516666666668</v>
      </c>
      <c r="L476" s="81" cm="1">
        <f ca="1" t="array" ref="L476">IF(L778=1,OFFSET($Z$338,$B476,L$335-1)/SUMPRODUCT(--($D$335:$V$335=L$335),--($D778:$V778=1)),0)+SUM(L475)+IF(COUNTIF(L$641:L778,1)=1,5,0)+IF(COUNTIF(M476:$Z476,"&gt;"&amp;0)&gt;5,IF(MOD(COUNTIF(L$641:L778,1),7)=0,$C$4,0),0)</f>
        <v>495.816666666668</v>
      </c>
      <c r="M476" s="81" cm="1">
        <f ca="1" t="array" ref="M476">IF(M778=1,OFFSET($Z$338,$B476,M$335-1)/SUMPRODUCT(--($D$335:$V$335=M$335),--($D778:$V778=1)),0)+SUM(M475)+IF(COUNTIF(M$641:M778,1)=1,5,0)+IF(COUNTIF(N476:$Z476,"&gt;"&amp;0)&gt;5,IF(MOD(COUNTIF(M$641:M778,1),7)=0,$C$4,0),0)</f>
        <v>250.644107142858</v>
      </c>
      <c r="N476" s="81" cm="1">
        <f ca="1" t="array" ref="N476">IF(N778=1,OFFSET($Z$338,$B476,N$335-1)/SUMPRODUCT(--($D$335:$V$335=N$335),--($D778:$V778=1)),0)+SUM(N475)+IF(COUNTIF(N$641:N778,1)=1,5,0)+IF(COUNTIF(O476:$Z476,"&gt;"&amp;0)&gt;5,IF(MOD(COUNTIF(N$641:N778,1),7)=0,$C$4,0),0)</f>
        <v>242.919107142858</v>
      </c>
      <c r="O476" s="81" cm="1">
        <f ca="1" t="array" ref="O476">IF(O778=1,OFFSET($Z$338,$B476,O$335-1)/SUMPRODUCT(--($D$335:$V$335=O$335),--($D778:$V778=1)),0)+SUM(O475)+IF(COUNTIF(O$641:O778,1)=1,5,0)+IF(COUNTIF(P476:$Z476,"&gt;"&amp;0)&gt;5,IF(MOD(COUNTIF(O$641:O778,1),7)=0,$C$4,0),0)</f>
        <v>240.494107142858</v>
      </c>
      <c r="P476" s="81" cm="1">
        <f ca="1" t="array" ref="P476">IF(P778=1,OFFSET($Z$338,$B476,P$335-1)/SUMPRODUCT(--($D$335:$V$335=P$335),--($D778:$V778=1)),0)+SUM(P475)+IF(COUNTIF(P$641:P778,1)=1,5,0)+IF(COUNTIF(Q476:$Z476,"&gt;"&amp;0)&gt;5,IF(MOD(COUNTIF(P$641:P778,1),7)=0,$C$4,0),0)</f>
        <v>237.560773809524</v>
      </c>
      <c r="Q476" s="81" cm="1">
        <f ca="1" t="array" ref="Q476">IF(Q778=1,OFFSET($Z$338,$B476,Q$335-1)/SUMPRODUCT(--($D$335:$V$335=Q$335),--($D778:$V778=1)),0)+SUM(Q475)+IF(COUNTIF(Q$641:Q778,1)=1,5,0)+IF(COUNTIF(R476:$Z476,"&gt;"&amp;0)&gt;5,IF(MOD(COUNTIF(Q$641:Q778,1),7)=0,$C$4,0),0)</f>
        <v>231.654523809524</v>
      </c>
      <c r="R476" s="81" cm="1">
        <f ca="1" t="array" ref="R476">IF(R778=1,OFFSET($Z$338,$B476,R$335-1)/SUMPRODUCT(--($D$335:$V$335=R$335),--($D778:$V778=1)),0)+SUM(R475)+IF(COUNTIF(R$641:R778,1)=1,5,0)+IF(COUNTIF(S476:$Z476,"&gt;"&amp;0)&gt;5,IF(MOD(COUNTIF(R$641:R778,1),7)=0,$C$4,0),0)</f>
        <v>206.759523809524</v>
      </c>
      <c r="S476" s="81" cm="1">
        <f ca="1" t="array" ref="S476">IF(S778=1,OFFSET($Z$338,$B476,S$335-1)/SUMPRODUCT(--($D$335:$V$335=S$335),--($D778:$V778=1)),0)+SUM(S475)+IF(COUNTIF(S$641:S778,1)=1,5,0)+IF(COUNTIF(T476:$Z476,"&gt;"&amp;0)&gt;5,IF(MOD(COUNTIF(S$641:S778,1),7)=0,$C$4,0),0)</f>
        <v>202.592857142857</v>
      </c>
      <c r="T476" s="81" cm="1">
        <f ca="1" t="array" ref="T476">IF(T778=1,OFFSET($Z$338,$B476,T$335-1)/SUMPRODUCT(--($D$335:$V$335=T$335),--($D778:$V778=1)),0)+SUM(T475)+IF(COUNTIF(T$641:T778,1)=1,5,0)+IF(COUNTIF(U476:$Z476,"&gt;"&amp;0)&gt;5,IF(MOD(COUNTIF(T$641:T778,1),7)=0,$C$4,0),0)</f>
        <v>137.656257829764</v>
      </c>
      <c r="U476" s="81" cm="1">
        <f ca="1" t="array" ref="U476">IF(U778=1,OFFSET($Z$338,$B476,U$335-1)/SUMPRODUCT(--($D$335:$V$335=U$335),--($D778:$V778=1)),0)+SUM(U475)+IF(COUNTIF(U$641:U778,1)=1,5,0)+IF(COUNTIF(V476:$Z476,"&gt;"&amp;0)&gt;5,IF(MOD(COUNTIF(U$641:U778,1),7)=0,$C$4,0),0)</f>
        <v>97.6562578297643</v>
      </c>
      <c r="V476" s="81" cm="1">
        <f ca="1" t="array" ref="V476">IF(V778=1,OFFSET($Z$338,$B476,V$335-1)/SUMPRODUCT(--($D$335:$V$335=V$335),--($D778:$V778=1)),0)+SUM(V475)+IF(COUNTIF(V$641:V778,1)=1,5,0)+IF(COUNTIF(Z476:$Z476,"&gt;"&amp;0)&gt;5,IF(MOD(COUNTIF(V$641:V778,1),7)=0,$C$4,0),0)</f>
        <v>89.6984386404824</v>
      </c>
      <c r="W476" s="81" cm="1">
        <f ca="1" t="array" ref="W476">IF(W778=1,OFFSET($Z$338,$B476,W$335-1)/SUMPRODUCT(--($D$335:$V$335=W$335),--($D778:$V778=1)),0)+SUM(W475)+IF(COUNTIF(W$641:W778,1)=1,5,0)+IF(COUNTIF($Z476:AA476,"&gt;"&amp;0)&gt;5,IF(MOD(COUNTIF(W$641:W778,1),7)=0,$C$4,0),0)</f>
        <v>80.3425695255331</v>
      </c>
      <c r="X476" s="81" cm="1">
        <f ca="1" t="array" ref="X476">IF(X778=1,OFFSET($Z$338,$B476,X$335-1)/SUMPRODUCT(--($D$335:$V$335=X$335),--($D778:$V778=1)),0)+SUM(X475)+IF(COUNTIF(X$641:X778,1)=1,5,0)+IF(COUNTIF($Z476:AB476,"&gt;"&amp;0)&gt;5,IF(MOD(COUNTIF(X$641:X778,1),7)=0,$C$4,0),0)</f>
        <v>73.5789092348996</v>
      </c>
      <c r="Y476" s="81" cm="1">
        <f ca="1" t="array" ref="Y476">IF(Y778=1,OFFSET($Z$338,$B476,Y$335-1)/SUMPRODUCT(--($D$335:$V$335=Y$335),--($D778:$V778=1)),0)+SUM(Y475)+IF(COUNTIF(Y$641:Y778,1)=1,5,0)+IF(COUNTIF($Z476:AC476,"&gt;"&amp;0)&gt;5,IF(MOD(COUNTIF(Y$641:Y778,1),7)=0,$C$4,0),0)</f>
        <v>66.8152489442662</v>
      </c>
      <c r="Z476" s="82" cm="1">
        <f ca="1" t="array" ref="Z476">SUMPRODUCT(TRANSPOSE($AD476:$AJ476),OFFSET($L$10:$L$16,0,Z$335-1))</f>
        <v>0</v>
      </c>
      <c r="AA476" s="82" cm="1">
        <f ca="1" t="array" ref="AA476">SUMPRODUCT(TRANSPOSE($AD476:$AJ476),OFFSET($L$10:$L$16,0,AA$335-1))</f>
        <v>0</v>
      </c>
      <c r="AB476" s="82" cm="1">
        <f ca="1" t="array" ref="AB476">SUMPRODUCT(TRANSPOSE($AD476:$AJ476),OFFSET($L$10:$L$16,0,AB$335-1))</f>
        <v>0</v>
      </c>
      <c r="AC476" s="82" cm="1">
        <f ca="1" t="array" ref="AC476">SUMPRODUCT(TRANSPOSE($AD476:$AJ476),OFFSET($L$10:$L$16,0,AC$335-1))</f>
        <v>0</v>
      </c>
      <c r="AD476" s="83">
        <f ca="1" t="shared" ref="AD476:AJ476" si="599">AK476-AK475</f>
        <v>0</v>
      </c>
      <c r="AE476" s="83">
        <f ca="1" t="shared" si="599"/>
        <v>0</v>
      </c>
      <c r="AF476" s="83">
        <f ca="1" t="shared" si="599"/>
        <v>0</v>
      </c>
      <c r="AG476" s="83">
        <f ca="1" t="shared" si="599"/>
        <v>0</v>
      </c>
      <c r="AH476" s="83">
        <f ca="1" t="shared" si="599"/>
        <v>0</v>
      </c>
      <c r="AI476" s="83">
        <f ca="1" t="shared" si="599"/>
        <v>0</v>
      </c>
      <c r="AJ476" s="83">
        <f ca="1" t="shared" si="599"/>
        <v>0</v>
      </c>
      <c r="AK476" s="83">
        <f ca="1" t="shared" si="581"/>
        <v>450</v>
      </c>
      <c r="AL476" s="83">
        <f ca="1" t="shared" ref="AL476:AQ476" si="600">IF($C476&gt;OFFSET($Q$9,MATCH(AL$338,$AK$338:$AQ$338,0),0),OFFSET($P$9,MATCH(AL$338,$AK$338:$AQ$338,0),0),MAX(0,$C476-OFFSET($Q$9,RIGHT(AL$338,1)-1,0)))</f>
        <v>909</v>
      </c>
      <c r="AM476" s="83">
        <f ca="1" t="shared" si="600"/>
        <v>1818</v>
      </c>
      <c r="AN476" s="83">
        <f ca="1" t="shared" si="600"/>
        <v>2727</v>
      </c>
      <c r="AO476" s="83">
        <f ca="1" t="shared" si="600"/>
        <v>3636</v>
      </c>
      <c r="AP476" s="83">
        <f ca="1" t="shared" si="600"/>
        <v>4545</v>
      </c>
      <c r="AQ476" s="83">
        <f ca="1" t="shared" si="600"/>
        <v>0</v>
      </c>
    </row>
    <row r="477" ht="16.5" spans="2:43">
      <c r="B477" s="65">
        <v>139</v>
      </c>
      <c r="C477" s="80">
        <f t="shared" si="579"/>
        <v>16616</v>
      </c>
      <c r="D477" s="81" cm="1">
        <f ca="1" t="array" ref="D477">IF(D779=1,OFFSET($Z$338,$B477,D$335-1)/SUMPRODUCT(--($D$335:$V$335=D$335),--($D779:$V779=1)),0)+SUM(D476)+IF(COUNTIF(D$641:D779,1)=1,5,0)+IF(COUNTIF(E477:$Z477,"&gt;"&amp;0)&gt;5,IF(MOD(COUNTIF(D$641:D779,1),7)=0,$C$4,0),0)</f>
        <v>1213.82134856666</v>
      </c>
      <c r="E477" s="81" cm="1">
        <f ca="1" t="array" ref="E477">IF(E779=1,OFFSET($Z$338,$B477,E$335-1)/SUMPRODUCT(--($D$335:$V$335=E$335),--($D779:$V779=1)),0)+SUM(E476)+IF(COUNTIF(E$641:E779,1)=1,5,0)+IF(COUNTIF(F477:$Z477,"&gt;"&amp;0)&gt;5,IF(MOD(COUNTIF(E$641:E779,1),7)=0,$C$4,0),0)</f>
        <v>1213.82134856666</v>
      </c>
      <c r="F477" s="81" cm="1">
        <f ca="1" t="array" ref="F477">IF(F779=1,OFFSET($Z$338,$B477,F$335-1)/SUMPRODUCT(--($D$335:$V$335=F$335),--($D779:$V779=1)),0)+SUM(F476)+IF(COUNTIF(F$641:F779,1)=1,5,0)+IF(COUNTIF(G477:$Z477,"&gt;"&amp;0)&gt;5,IF(MOD(COUNTIF(F$641:F779,1),7)=0,$C$4,0),0)</f>
        <v>1213.82134856666</v>
      </c>
      <c r="G477" s="81" cm="1">
        <f ca="1" t="array" ref="G477">IF(G779=1,OFFSET($Z$338,$B477,G$335-1)/SUMPRODUCT(--($D$335:$V$335=G$335),--($D779:$V779=1)),0)+SUM(G476)+IF(COUNTIF(G$641:G779,1)=1,5,0)+IF(COUNTIF(H477:$Z477,"&gt;"&amp;0)&gt;5,IF(MOD(COUNTIF(G$641:G779,1),7)=0,$C$4,0),0)</f>
        <v>502.516666666668</v>
      </c>
      <c r="H477" s="81" cm="1">
        <f ca="1" t="array" ref="H477">IF(H779=1,OFFSET($Z$338,$B477,H$335-1)/SUMPRODUCT(--($D$335:$V$335=H$335),--($D779:$V779=1)),0)+SUM(H476)+IF(COUNTIF(H$641:H779,1)=1,5,0)+IF(COUNTIF(I477:$Z477,"&gt;"&amp;0)&gt;5,IF(MOD(COUNTIF(H$641:H779,1),7)=0,$C$4,0),0)</f>
        <v>502.516666666668</v>
      </c>
      <c r="I477" s="81" cm="1">
        <f ca="1" t="array" ref="I477">IF(I779=1,OFFSET($Z$338,$B477,I$335-1)/SUMPRODUCT(--($D$335:$V$335=I$335),--($D779:$V779=1)),0)+SUM(I476)+IF(COUNTIF(I$641:I779,1)=1,5,0)+IF(COUNTIF(J477:$Z477,"&gt;"&amp;0)&gt;5,IF(MOD(COUNTIF(I$641:I779,1),7)=0,$C$4,0),0)</f>
        <v>502.516666666668</v>
      </c>
      <c r="J477" s="81" cm="1">
        <f ca="1" t="array" ref="J477">IF(J779=1,OFFSET($Z$338,$B477,J$335-1)/SUMPRODUCT(--($D$335:$V$335=J$335),--($D779:$V779=1)),0)+SUM(J476)+IF(COUNTIF(J$641:J779,1)=1,5,0)+IF(COUNTIF(K477:$Z477,"&gt;"&amp;0)&gt;5,IF(MOD(COUNTIF(J$641:J779,1),7)=0,$C$4,0),0)</f>
        <v>502.516666666668</v>
      </c>
      <c r="K477" s="81" cm="1">
        <f ca="1" t="array" ref="K477">IF(K779=1,OFFSET($Z$338,$B477,K$335-1)/SUMPRODUCT(--($D$335:$V$335=K$335),--($D779:$V779=1)),0)+SUM(K476)+IF(COUNTIF(K$641:K779,1)=1,5,0)+IF(COUNTIF(L477:$Z477,"&gt;"&amp;0)&gt;5,IF(MOD(COUNTIF(K$641:K779,1),7)=0,$C$4,0),0)</f>
        <v>502.516666666668</v>
      </c>
      <c r="L477" s="81" cm="1">
        <f ca="1" t="array" ref="L477">IF(L779=1,OFFSET($Z$338,$B477,L$335-1)/SUMPRODUCT(--($D$335:$V$335=L$335),--($D779:$V779=1)),0)+SUM(L476)+IF(COUNTIF(L$641:L779,1)=1,5,0)+IF(COUNTIF(M477:$Z477,"&gt;"&amp;0)&gt;5,IF(MOD(COUNTIF(L$641:L779,1),7)=0,$C$4,0),0)</f>
        <v>495.816666666668</v>
      </c>
      <c r="M477" s="81" cm="1">
        <f ca="1" t="array" ref="M477">IF(M779=1,OFFSET($Z$338,$B477,M$335-1)/SUMPRODUCT(--($D$335:$V$335=M$335),--($D779:$V779=1)),0)+SUM(M476)+IF(COUNTIF(M$641:M779,1)=1,5,0)+IF(COUNTIF(N477:$Z477,"&gt;"&amp;0)&gt;5,IF(MOD(COUNTIF(M$641:M779,1),7)=0,$C$4,0),0)</f>
        <v>250.644107142858</v>
      </c>
      <c r="N477" s="81" cm="1">
        <f ca="1" t="array" ref="N477">IF(N779=1,OFFSET($Z$338,$B477,N$335-1)/SUMPRODUCT(--($D$335:$V$335=N$335),--($D779:$V779=1)),0)+SUM(N476)+IF(COUNTIF(N$641:N779,1)=1,5,0)+IF(COUNTIF(O477:$Z477,"&gt;"&amp;0)&gt;5,IF(MOD(COUNTIF(N$641:N779,1),7)=0,$C$4,0),0)</f>
        <v>242.919107142858</v>
      </c>
      <c r="O477" s="81" cm="1">
        <f ca="1" t="array" ref="O477">IF(O779=1,OFFSET($Z$338,$B477,O$335-1)/SUMPRODUCT(--($D$335:$V$335=O$335),--($D779:$V779=1)),0)+SUM(O476)+IF(COUNTIF(O$641:O779,1)=1,5,0)+IF(COUNTIF(P477:$Z477,"&gt;"&amp;0)&gt;5,IF(MOD(COUNTIF(O$641:O779,1),7)=0,$C$4,0),0)</f>
        <v>240.494107142858</v>
      </c>
      <c r="P477" s="81" cm="1">
        <f ca="1" t="array" ref="P477">IF(P779=1,OFFSET($Z$338,$B477,P$335-1)/SUMPRODUCT(--($D$335:$V$335=P$335),--($D779:$V779=1)),0)+SUM(P476)+IF(COUNTIF(P$641:P779,1)=1,5,0)+IF(COUNTIF(Q477:$Z477,"&gt;"&amp;0)&gt;5,IF(MOD(COUNTIF(P$641:P779,1),7)=0,$C$4,0),0)</f>
        <v>237.560773809524</v>
      </c>
      <c r="Q477" s="81" cm="1">
        <f ca="1" t="array" ref="Q477">IF(Q779=1,OFFSET($Z$338,$B477,Q$335-1)/SUMPRODUCT(--($D$335:$V$335=Q$335),--($D779:$V779=1)),0)+SUM(Q476)+IF(COUNTIF(Q$641:Q779,1)=1,5,0)+IF(COUNTIF(R477:$Z477,"&gt;"&amp;0)&gt;5,IF(MOD(COUNTIF(Q$641:Q779,1),7)=0,$C$4,0),0)</f>
        <v>236.654523809524</v>
      </c>
      <c r="R477" s="81" cm="1">
        <f ca="1" t="array" ref="R477">IF(R779=1,OFFSET($Z$338,$B477,R$335-1)/SUMPRODUCT(--($D$335:$V$335=R$335),--($D779:$V779=1)),0)+SUM(R476)+IF(COUNTIF(R$641:R779,1)=1,5,0)+IF(COUNTIF(S477:$Z477,"&gt;"&amp;0)&gt;5,IF(MOD(COUNTIF(R$641:R779,1),7)=0,$C$4,0),0)</f>
        <v>206.759523809524</v>
      </c>
      <c r="S477" s="81" cm="1">
        <f ca="1" t="array" ref="S477">IF(S779=1,OFFSET($Z$338,$B477,S$335-1)/SUMPRODUCT(--($D$335:$V$335=S$335),--($D779:$V779=1)),0)+SUM(S476)+IF(COUNTIF(S$641:S779,1)=1,5,0)+IF(COUNTIF(T477:$Z477,"&gt;"&amp;0)&gt;5,IF(MOD(COUNTIF(S$641:S779,1),7)=0,$C$4,0),0)</f>
        <v>202.592857142857</v>
      </c>
      <c r="T477" s="81" cm="1">
        <f ca="1" t="array" ref="T477">IF(T779=1,OFFSET($Z$338,$B477,T$335-1)/SUMPRODUCT(--($D$335:$V$335=T$335),--($D779:$V779=1)),0)+SUM(T476)+IF(COUNTIF(T$641:T779,1)=1,5,0)+IF(COUNTIF(U477:$Z477,"&gt;"&amp;0)&gt;5,IF(MOD(COUNTIF(T$641:T779,1),7)=0,$C$4,0),0)</f>
        <v>137.656257829764</v>
      </c>
      <c r="U477" s="81" cm="1">
        <f ca="1" t="array" ref="U477">IF(U779=1,OFFSET($Z$338,$B477,U$335-1)/SUMPRODUCT(--($D$335:$V$335=U$335),--($D779:$V779=1)),0)+SUM(U476)+IF(COUNTIF(U$641:U779,1)=1,5,0)+IF(COUNTIF(V477:$Z477,"&gt;"&amp;0)&gt;5,IF(MOD(COUNTIF(U$641:U779,1),7)=0,$C$4,0),0)</f>
        <v>97.6562578297643</v>
      </c>
      <c r="V477" s="81" cm="1">
        <f ca="1" t="array" ref="V477">IF(V779=1,OFFSET($Z$338,$B477,V$335-1)/SUMPRODUCT(--($D$335:$V$335=V$335),--($D779:$V779=1)),0)+SUM(V476)+IF(COUNTIF(V$641:V779,1)=1,5,0)+IF(COUNTIF(Z477:$Z477,"&gt;"&amp;0)&gt;5,IF(MOD(COUNTIF(V$641:V779,1),7)=0,$C$4,0),0)</f>
        <v>89.6984386404824</v>
      </c>
      <c r="W477" s="81" cm="1">
        <f ca="1" t="array" ref="W477">IF(W779=1,OFFSET($Z$338,$B477,W$335-1)/SUMPRODUCT(--($D$335:$V$335=W$335),--($D779:$V779=1)),0)+SUM(W476)+IF(COUNTIF(W$641:W779,1)=1,5,0)+IF(COUNTIF($Z477:AA477,"&gt;"&amp;0)&gt;5,IF(MOD(COUNTIF(W$641:W779,1),7)=0,$C$4,0),0)</f>
        <v>80.3425695255331</v>
      </c>
      <c r="X477" s="81" cm="1">
        <f ca="1" t="array" ref="X477">IF(X779=1,OFFSET($Z$338,$B477,X$335-1)/SUMPRODUCT(--($D$335:$V$335=X$335),--($D779:$V779=1)),0)+SUM(X476)+IF(COUNTIF(X$641:X779,1)=1,5,0)+IF(COUNTIF($Z477:AB477,"&gt;"&amp;0)&gt;5,IF(MOD(COUNTIF(X$641:X779,1),7)=0,$C$4,0),0)</f>
        <v>73.5789092348996</v>
      </c>
      <c r="Y477" s="81" cm="1">
        <f ca="1" t="array" ref="Y477">IF(Y779=1,OFFSET($Z$338,$B477,Y$335-1)/SUMPRODUCT(--($D$335:$V$335=Y$335),--($D779:$V779=1)),0)+SUM(Y476)+IF(COUNTIF(Y$641:Y779,1)=1,5,0)+IF(COUNTIF($Z477:AC477,"&gt;"&amp;0)&gt;5,IF(MOD(COUNTIF(Y$641:Y779,1),7)=0,$C$4,0),0)</f>
        <v>66.8152489442662</v>
      </c>
      <c r="Z477" s="82" cm="1">
        <f ca="1" t="array" ref="Z477">SUMPRODUCT(TRANSPOSE($AD477:$AJ477),OFFSET($L$10:$L$16,0,Z$335-1))</f>
        <v>0</v>
      </c>
      <c r="AA477" s="82" cm="1">
        <f ca="1" t="array" ref="AA477">SUMPRODUCT(TRANSPOSE($AD477:$AJ477),OFFSET($L$10:$L$16,0,AA$335-1))</f>
        <v>0</v>
      </c>
      <c r="AB477" s="82" cm="1">
        <f ca="1" t="array" ref="AB477">SUMPRODUCT(TRANSPOSE($AD477:$AJ477),OFFSET($L$10:$L$16,0,AB$335-1))</f>
        <v>0</v>
      </c>
      <c r="AC477" s="82" cm="1">
        <f ca="1" t="array" ref="AC477">SUMPRODUCT(TRANSPOSE($AD477:$AJ477),OFFSET($L$10:$L$16,0,AC$335-1))</f>
        <v>0</v>
      </c>
      <c r="AD477" s="83">
        <f ca="1" t="shared" ref="AD477:AJ477" si="601">AK477-AK476</f>
        <v>0</v>
      </c>
      <c r="AE477" s="83">
        <f ca="1" t="shared" si="601"/>
        <v>0</v>
      </c>
      <c r="AF477" s="83">
        <f ca="1" t="shared" si="601"/>
        <v>0</v>
      </c>
      <c r="AG477" s="83">
        <f ca="1" t="shared" si="601"/>
        <v>0</v>
      </c>
      <c r="AH477" s="83">
        <f ca="1" t="shared" si="601"/>
        <v>0</v>
      </c>
      <c r="AI477" s="83">
        <f ca="1" t="shared" si="601"/>
        <v>0</v>
      </c>
      <c r="AJ477" s="83">
        <f ca="1" t="shared" si="601"/>
        <v>0</v>
      </c>
      <c r="AK477" s="83">
        <f ca="1" t="shared" si="581"/>
        <v>450</v>
      </c>
      <c r="AL477" s="83">
        <f ca="1" t="shared" ref="AL477:AQ477" si="602">IF($C477&gt;OFFSET($Q$9,MATCH(AL$338,$AK$338:$AQ$338,0),0),OFFSET($P$9,MATCH(AL$338,$AK$338:$AQ$338,0),0),MAX(0,$C477-OFFSET($Q$9,RIGHT(AL$338,1)-1,0)))</f>
        <v>909</v>
      </c>
      <c r="AM477" s="83">
        <f ca="1" t="shared" si="602"/>
        <v>1818</v>
      </c>
      <c r="AN477" s="83">
        <f ca="1" t="shared" si="602"/>
        <v>2727</v>
      </c>
      <c r="AO477" s="83">
        <f ca="1" t="shared" si="602"/>
        <v>3636</v>
      </c>
      <c r="AP477" s="83">
        <f ca="1" t="shared" si="602"/>
        <v>4545</v>
      </c>
      <c r="AQ477" s="83">
        <f ca="1" t="shared" si="602"/>
        <v>0</v>
      </c>
    </row>
    <row r="478" ht="16.5" spans="2:43">
      <c r="B478" s="65">
        <v>140</v>
      </c>
      <c r="C478" s="80">
        <f t="shared" si="579"/>
        <v>16726</v>
      </c>
      <c r="D478" s="81" cm="1">
        <f ca="1" t="array" ref="D478">IF(D780=1,OFFSET($Z$338,$B478,D$335-1)/SUMPRODUCT(--($D$335:$V$335=D$335),--($D780:$V780=1)),0)+SUM(D477)+IF(COUNTIF(D$641:D780,1)=1,5,0)+IF(COUNTIF(E478:$Z478,"&gt;"&amp;0)&gt;5,IF(MOD(COUNTIF(D$641:D780,1),7)=0,$C$4,0),0)</f>
        <v>1218.82134856666</v>
      </c>
      <c r="E478" s="81" cm="1">
        <f ca="1" t="array" ref="E478">IF(E780=1,OFFSET($Z$338,$B478,E$335-1)/SUMPRODUCT(--($D$335:$V$335=E$335),--($D780:$V780=1)),0)+SUM(E477)+IF(COUNTIF(E$641:E780,1)=1,5,0)+IF(COUNTIF(F478:$Z478,"&gt;"&amp;0)&gt;5,IF(MOD(COUNTIF(E$641:E780,1),7)=0,$C$4,0),0)</f>
        <v>1218.82134856666</v>
      </c>
      <c r="F478" s="81" cm="1">
        <f ca="1" t="array" ref="F478">IF(F780=1,OFFSET($Z$338,$B478,F$335-1)/SUMPRODUCT(--($D$335:$V$335=F$335),--($D780:$V780=1)),0)+SUM(F477)+IF(COUNTIF(F$641:F780,1)=1,5,0)+IF(COUNTIF(G478:$Z478,"&gt;"&amp;0)&gt;5,IF(MOD(COUNTIF(F$641:F780,1),7)=0,$C$4,0),0)</f>
        <v>1218.82134856666</v>
      </c>
      <c r="G478" s="81" cm="1">
        <f ca="1" t="array" ref="G478">IF(G780=1,OFFSET($Z$338,$B478,G$335-1)/SUMPRODUCT(--($D$335:$V$335=G$335),--($D780:$V780=1)),0)+SUM(G477)+IF(COUNTIF(G$641:G780,1)=1,5,0)+IF(COUNTIF(H478:$Z478,"&gt;"&amp;0)&gt;5,IF(MOD(COUNTIF(G$641:G780,1),7)=0,$C$4,0),0)</f>
        <v>507.516666666668</v>
      </c>
      <c r="H478" s="81" cm="1">
        <f ca="1" t="array" ref="H478">IF(H780=1,OFFSET($Z$338,$B478,H$335-1)/SUMPRODUCT(--($D$335:$V$335=H$335),--($D780:$V780=1)),0)+SUM(H477)+IF(COUNTIF(H$641:H780,1)=1,5,0)+IF(COUNTIF(I478:$Z478,"&gt;"&amp;0)&gt;5,IF(MOD(COUNTIF(H$641:H780,1),7)=0,$C$4,0),0)</f>
        <v>507.516666666668</v>
      </c>
      <c r="I478" s="81" cm="1">
        <f ca="1" t="array" ref="I478">IF(I780=1,OFFSET($Z$338,$B478,I$335-1)/SUMPRODUCT(--($D$335:$V$335=I$335),--($D780:$V780=1)),0)+SUM(I477)+IF(COUNTIF(I$641:I780,1)=1,5,0)+IF(COUNTIF(J478:$Z478,"&gt;"&amp;0)&gt;5,IF(MOD(COUNTIF(I$641:I780,1),7)=0,$C$4,0),0)</f>
        <v>507.516666666668</v>
      </c>
      <c r="J478" s="81" cm="1">
        <f ca="1" t="array" ref="J478">IF(J780=1,OFFSET($Z$338,$B478,J$335-1)/SUMPRODUCT(--($D$335:$V$335=J$335),--($D780:$V780=1)),0)+SUM(J477)+IF(COUNTIF(J$641:J780,1)=1,5,0)+IF(COUNTIF(K478:$Z478,"&gt;"&amp;0)&gt;5,IF(MOD(COUNTIF(J$641:J780,1),7)=0,$C$4,0),0)</f>
        <v>507.516666666668</v>
      </c>
      <c r="K478" s="81" cm="1">
        <f ca="1" t="array" ref="K478">IF(K780=1,OFFSET($Z$338,$B478,K$335-1)/SUMPRODUCT(--($D$335:$V$335=K$335),--($D780:$V780=1)),0)+SUM(K477)+IF(COUNTIF(K$641:K780,1)=1,5,0)+IF(COUNTIF(L478:$Z478,"&gt;"&amp;0)&gt;5,IF(MOD(COUNTIF(K$641:K780,1),7)=0,$C$4,0),0)</f>
        <v>507.516666666668</v>
      </c>
      <c r="L478" s="81" cm="1">
        <f ca="1" t="array" ref="L478">IF(L780=1,OFFSET($Z$338,$B478,L$335-1)/SUMPRODUCT(--($D$335:$V$335=L$335),--($D780:$V780=1)),0)+SUM(L477)+IF(COUNTIF(L$641:L780,1)=1,5,0)+IF(COUNTIF(M478:$Z478,"&gt;"&amp;0)&gt;5,IF(MOD(COUNTIF(L$641:L780,1),7)=0,$C$4,0),0)</f>
        <v>495.816666666668</v>
      </c>
      <c r="M478" s="81" cm="1">
        <f ca="1" t="array" ref="M478">IF(M780=1,OFFSET($Z$338,$B478,M$335-1)/SUMPRODUCT(--($D$335:$V$335=M$335),--($D780:$V780=1)),0)+SUM(M477)+IF(COUNTIF(M$641:M780,1)=1,5,0)+IF(COUNTIF(N478:$Z478,"&gt;"&amp;0)&gt;5,IF(MOD(COUNTIF(M$641:M780,1),7)=0,$C$4,0),0)</f>
        <v>250.644107142858</v>
      </c>
      <c r="N478" s="81" cm="1">
        <f ca="1" t="array" ref="N478">IF(N780=1,OFFSET($Z$338,$B478,N$335-1)/SUMPRODUCT(--($D$335:$V$335=N$335),--($D780:$V780=1)),0)+SUM(N477)+IF(COUNTIF(N$641:N780,1)=1,5,0)+IF(COUNTIF(O478:$Z478,"&gt;"&amp;0)&gt;5,IF(MOD(COUNTIF(N$641:N780,1),7)=0,$C$4,0),0)</f>
        <v>242.919107142858</v>
      </c>
      <c r="O478" s="81" cm="1">
        <f ca="1" t="array" ref="O478">IF(O780=1,OFFSET($Z$338,$B478,O$335-1)/SUMPRODUCT(--($D$335:$V$335=O$335),--($D780:$V780=1)),0)+SUM(O477)+IF(COUNTIF(O$641:O780,1)=1,5,0)+IF(COUNTIF(P478:$Z478,"&gt;"&amp;0)&gt;5,IF(MOD(COUNTIF(O$641:O780,1),7)=0,$C$4,0),0)</f>
        <v>240.494107142858</v>
      </c>
      <c r="P478" s="81" cm="1">
        <f ca="1" t="array" ref="P478">IF(P780=1,OFFSET($Z$338,$B478,P$335-1)/SUMPRODUCT(--($D$335:$V$335=P$335),--($D780:$V780=1)),0)+SUM(P477)+IF(COUNTIF(P$641:P780,1)=1,5,0)+IF(COUNTIF(Q478:$Z478,"&gt;"&amp;0)&gt;5,IF(MOD(COUNTIF(P$641:P780,1),7)=0,$C$4,0),0)</f>
        <v>237.560773809524</v>
      </c>
      <c r="Q478" s="81" cm="1">
        <f ca="1" t="array" ref="Q478">IF(Q780=1,OFFSET($Z$338,$B478,Q$335-1)/SUMPRODUCT(--($D$335:$V$335=Q$335),--($D780:$V780=1)),0)+SUM(Q477)+IF(COUNTIF(Q$641:Q780,1)=1,5,0)+IF(COUNTIF(R478:$Z478,"&gt;"&amp;0)&gt;5,IF(MOD(COUNTIF(Q$641:Q780,1),7)=0,$C$4,0),0)</f>
        <v>236.654523809524</v>
      </c>
      <c r="R478" s="81" cm="1">
        <f ca="1" t="array" ref="R478">IF(R780=1,OFFSET($Z$338,$B478,R$335-1)/SUMPRODUCT(--($D$335:$V$335=R$335),--($D780:$V780=1)),0)+SUM(R477)+IF(COUNTIF(R$641:R780,1)=1,5,0)+IF(COUNTIF(S478:$Z478,"&gt;"&amp;0)&gt;5,IF(MOD(COUNTIF(R$641:R780,1),7)=0,$C$4,0),0)</f>
        <v>211.759523809524</v>
      </c>
      <c r="S478" s="81" cm="1">
        <f ca="1" t="array" ref="S478">IF(S780=1,OFFSET($Z$338,$B478,S$335-1)/SUMPRODUCT(--($D$335:$V$335=S$335),--($D780:$V780=1)),0)+SUM(S477)+IF(COUNTIF(S$641:S780,1)=1,5,0)+IF(COUNTIF(T478:$Z478,"&gt;"&amp;0)&gt;5,IF(MOD(COUNTIF(S$641:S780,1),7)=0,$C$4,0),0)</f>
        <v>202.592857142857</v>
      </c>
      <c r="T478" s="81" cm="1">
        <f ca="1" t="array" ref="T478">IF(T780=1,OFFSET($Z$338,$B478,T$335-1)/SUMPRODUCT(--($D$335:$V$335=T$335),--($D780:$V780=1)),0)+SUM(T477)+IF(COUNTIF(T$641:T780,1)=1,5,0)+IF(COUNTIF(U478:$Z478,"&gt;"&amp;0)&gt;5,IF(MOD(COUNTIF(T$641:T780,1),7)=0,$C$4,0),0)</f>
        <v>137.656257829764</v>
      </c>
      <c r="U478" s="81" cm="1">
        <f ca="1" t="array" ref="U478">IF(U780=1,OFFSET($Z$338,$B478,U$335-1)/SUMPRODUCT(--($D$335:$V$335=U$335),--($D780:$V780=1)),0)+SUM(U477)+IF(COUNTIF(U$641:U780,1)=1,5,0)+IF(COUNTIF(V478:$Z478,"&gt;"&amp;0)&gt;5,IF(MOD(COUNTIF(U$641:U780,1),7)=0,$C$4,0),0)</f>
        <v>97.6562578297643</v>
      </c>
      <c r="V478" s="81" cm="1">
        <f ca="1" t="array" ref="V478">IF(V780=1,OFFSET($Z$338,$B478,V$335-1)/SUMPRODUCT(--($D$335:$V$335=V$335),--($D780:$V780=1)),0)+SUM(V477)+IF(COUNTIF(V$641:V780,1)=1,5,0)+IF(COUNTIF(Z478:$Z478,"&gt;"&amp;0)&gt;5,IF(MOD(COUNTIF(V$641:V780,1),7)=0,$C$4,0),0)</f>
        <v>89.6984386404824</v>
      </c>
      <c r="W478" s="81" cm="1">
        <f ca="1" t="array" ref="W478">IF(W780=1,OFFSET($Z$338,$B478,W$335-1)/SUMPRODUCT(--($D$335:$V$335=W$335),--($D780:$V780=1)),0)+SUM(W477)+IF(COUNTIF(W$641:W780,1)=1,5,0)+IF(COUNTIF($Z478:AA478,"&gt;"&amp;0)&gt;5,IF(MOD(COUNTIF(W$641:W780,1),7)=0,$C$4,0),0)</f>
        <v>80.3425695255331</v>
      </c>
      <c r="X478" s="81" cm="1">
        <f ca="1" t="array" ref="X478">IF(X780=1,OFFSET($Z$338,$B478,X$335-1)/SUMPRODUCT(--($D$335:$V$335=X$335),--($D780:$V780=1)),0)+SUM(X477)+IF(COUNTIF(X$641:X780,1)=1,5,0)+IF(COUNTIF($Z478:AB478,"&gt;"&amp;0)&gt;5,IF(MOD(COUNTIF(X$641:X780,1),7)=0,$C$4,0),0)</f>
        <v>73.5789092348996</v>
      </c>
      <c r="Y478" s="81" cm="1">
        <f ca="1" t="array" ref="Y478">IF(Y780=1,OFFSET($Z$338,$B478,Y$335-1)/SUMPRODUCT(--($D$335:$V$335=Y$335),--($D780:$V780=1)),0)+SUM(Y477)+IF(COUNTIF(Y$641:Y780,1)=1,5,0)+IF(COUNTIF($Z478:AC478,"&gt;"&amp;0)&gt;5,IF(MOD(COUNTIF(Y$641:Y780,1),7)=0,$C$4,0),0)</f>
        <v>66.8152489442662</v>
      </c>
      <c r="Z478" s="82" cm="1">
        <f ca="1" t="array" ref="Z478">SUMPRODUCT(TRANSPOSE($AD478:$AJ478),OFFSET($L$10:$L$16,0,Z$335-1))</f>
        <v>0</v>
      </c>
      <c r="AA478" s="82" cm="1">
        <f ca="1" t="array" ref="AA478">SUMPRODUCT(TRANSPOSE($AD478:$AJ478),OFFSET($L$10:$L$16,0,AA$335-1))</f>
        <v>0</v>
      </c>
      <c r="AB478" s="82" cm="1">
        <f ca="1" t="array" ref="AB478">SUMPRODUCT(TRANSPOSE($AD478:$AJ478),OFFSET($L$10:$L$16,0,AB$335-1))</f>
        <v>0</v>
      </c>
      <c r="AC478" s="82" cm="1">
        <f ca="1" t="array" ref="AC478">SUMPRODUCT(TRANSPOSE($AD478:$AJ478),OFFSET($L$10:$L$16,0,AC$335-1))</f>
        <v>0</v>
      </c>
      <c r="AD478" s="83">
        <f ca="1" t="shared" ref="AD478:AJ478" si="603">AK478-AK477</f>
        <v>0</v>
      </c>
      <c r="AE478" s="83">
        <f ca="1" t="shared" si="603"/>
        <v>0</v>
      </c>
      <c r="AF478" s="83">
        <f ca="1" t="shared" si="603"/>
        <v>0</v>
      </c>
      <c r="AG478" s="83">
        <f ca="1" t="shared" si="603"/>
        <v>0</v>
      </c>
      <c r="AH478" s="83">
        <f ca="1" t="shared" si="603"/>
        <v>0</v>
      </c>
      <c r="AI478" s="83">
        <f ca="1" t="shared" si="603"/>
        <v>0</v>
      </c>
      <c r="AJ478" s="83">
        <f ca="1" t="shared" si="603"/>
        <v>0</v>
      </c>
      <c r="AK478" s="83">
        <f ca="1" t="shared" si="581"/>
        <v>450</v>
      </c>
      <c r="AL478" s="83">
        <f ca="1" t="shared" ref="AL478:AQ478" si="604">IF($C478&gt;OFFSET($Q$9,MATCH(AL$338,$AK$338:$AQ$338,0),0),OFFSET($P$9,MATCH(AL$338,$AK$338:$AQ$338,0),0),MAX(0,$C478-OFFSET($Q$9,RIGHT(AL$338,1)-1,0)))</f>
        <v>909</v>
      </c>
      <c r="AM478" s="83">
        <f ca="1" t="shared" si="604"/>
        <v>1818</v>
      </c>
      <c r="AN478" s="83">
        <f ca="1" t="shared" si="604"/>
        <v>2727</v>
      </c>
      <c r="AO478" s="83">
        <f ca="1" t="shared" si="604"/>
        <v>3636</v>
      </c>
      <c r="AP478" s="83">
        <f ca="1" t="shared" si="604"/>
        <v>4545</v>
      </c>
      <c r="AQ478" s="83">
        <f ca="1" t="shared" si="604"/>
        <v>0</v>
      </c>
    </row>
    <row r="479" ht="16.5" spans="2:43">
      <c r="B479" s="65">
        <v>141</v>
      </c>
      <c r="C479" s="80">
        <f t="shared" si="579"/>
        <v>16836</v>
      </c>
      <c r="D479" s="81" cm="1">
        <f ca="1" t="array" ref="D479">IF(D781=1,OFFSET($Z$338,$B479,D$335-1)/SUMPRODUCT(--($D$335:$V$335=D$335),--($D781:$V781=1)),0)+SUM(D478)+IF(COUNTIF(D$641:D781,1)=1,5,0)+IF(COUNTIF(E479:$Z479,"&gt;"&amp;0)&gt;5,IF(MOD(COUNTIF(D$641:D781,1),7)=0,$C$4,0),0)</f>
        <v>1218.82134856666</v>
      </c>
      <c r="E479" s="81" cm="1">
        <f ca="1" t="array" ref="E479">IF(E781=1,OFFSET($Z$338,$B479,E$335-1)/SUMPRODUCT(--($D$335:$V$335=E$335),--($D781:$V781=1)),0)+SUM(E478)+IF(COUNTIF(E$641:E781,1)=1,5,0)+IF(COUNTIF(F479:$Z479,"&gt;"&amp;0)&gt;5,IF(MOD(COUNTIF(E$641:E781,1),7)=0,$C$4,0),0)</f>
        <v>1218.82134856666</v>
      </c>
      <c r="F479" s="81" cm="1">
        <f ca="1" t="array" ref="F479">IF(F781=1,OFFSET($Z$338,$B479,F$335-1)/SUMPRODUCT(--($D$335:$V$335=F$335),--($D781:$V781=1)),0)+SUM(F478)+IF(COUNTIF(F$641:F781,1)=1,5,0)+IF(COUNTIF(G479:$Z479,"&gt;"&amp;0)&gt;5,IF(MOD(COUNTIF(F$641:F781,1),7)=0,$C$4,0),0)</f>
        <v>1218.82134856666</v>
      </c>
      <c r="G479" s="81" cm="1">
        <f ca="1" t="array" ref="G479">IF(G781=1,OFFSET($Z$338,$B479,G$335-1)/SUMPRODUCT(--($D$335:$V$335=G$335),--($D781:$V781=1)),0)+SUM(G478)+IF(COUNTIF(G$641:G781,1)=1,5,0)+IF(COUNTIF(H479:$Z479,"&gt;"&amp;0)&gt;5,IF(MOD(COUNTIF(G$641:G781,1),7)=0,$C$4,0),0)</f>
        <v>507.516666666668</v>
      </c>
      <c r="H479" s="81" cm="1">
        <f ca="1" t="array" ref="H479">IF(H781=1,OFFSET($Z$338,$B479,H$335-1)/SUMPRODUCT(--($D$335:$V$335=H$335),--($D781:$V781=1)),0)+SUM(H478)+IF(COUNTIF(H$641:H781,1)=1,5,0)+IF(COUNTIF(I479:$Z479,"&gt;"&amp;0)&gt;5,IF(MOD(COUNTIF(H$641:H781,1),7)=0,$C$4,0),0)</f>
        <v>507.516666666668</v>
      </c>
      <c r="I479" s="81" cm="1">
        <f ca="1" t="array" ref="I479">IF(I781=1,OFFSET($Z$338,$B479,I$335-1)/SUMPRODUCT(--($D$335:$V$335=I$335),--($D781:$V781=1)),0)+SUM(I478)+IF(COUNTIF(I$641:I781,1)=1,5,0)+IF(COUNTIF(J479:$Z479,"&gt;"&amp;0)&gt;5,IF(MOD(COUNTIF(I$641:I781,1),7)=0,$C$4,0),0)</f>
        <v>507.516666666668</v>
      </c>
      <c r="J479" s="81" cm="1">
        <f ca="1" t="array" ref="J479">IF(J781=1,OFFSET($Z$338,$B479,J$335-1)/SUMPRODUCT(--($D$335:$V$335=J$335),--($D781:$V781=1)),0)+SUM(J478)+IF(COUNTIF(J$641:J781,1)=1,5,0)+IF(COUNTIF(K479:$Z479,"&gt;"&amp;0)&gt;5,IF(MOD(COUNTIF(J$641:J781,1),7)=0,$C$4,0),0)</f>
        <v>507.516666666668</v>
      </c>
      <c r="K479" s="81" cm="1">
        <f ca="1" t="array" ref="K479">IF(K781=1,OFFSET($Z$338,$B479,K$335-1)/SUMPRODUCT(--($D$335:$V$335=K$335),--($D781:$V781=1)),0)+SUM(K478)+IF(COUNTIF(K$641:K781,1)=1,5,0)+IF(COUNTIF(L479:$Z479,"&gt;"&amp;0)&gt;5,IF(MOD(COUNTIF(K$641:K781,1),7)=0,$C$4,0),0)</f>
        <v>507.516666666668</v>
      </c>
      <c r="L479" s="81" cm="1">
        <f ca="1" t="array" ref="L479">IF(L781=1,OFFSET($Z$338,$B479,L$335-1)/SUMPRODUCT(--($D$335:$V$335=L$335),--($D781:$V781=1)),0)+SUM(L478)+IF(COUNTIF(L$641:L781,1)=1,5,0)+IF(COUNTIF(M479:$Z479,"&gt;"&amp;0)&gt;5,IF(MOD(COUNTIF(L$641:L781,1),7)=0,$C$4,0),0)</f>
        <v>500.816666666668</v>
      </c>
      <c r="M479" s="81" cm="1">
        <f ca="1" t="array" ref="M479">IF(M781=1,OFFSET($Z$338,$B479,M$335-1)/SUMPRODUCT(--($D$335:$V$335=M$335),--($D781:$V781=1)),0)+SUM(M478)+IF(COUNTIF(M$641:M781,1)=1,5,0)+IF(COUNTIF(N479:$Z479,"&gt;"&amp;0)&gt;5,IF(MOD(COUNTIF(M$641:M781,1),7)=0,$C$4,0),0)</f>
        <v>255.644107142858</v>
      </c>
      <c r="N479" s="81" cm="1">
        <f ca="1" t="array" ref="N479">IF(N781=1,OFFSET($Z$338,$B479,N$335-1)/SUMPRODUCT(--($D$335:$V$335=N$335),--($D781:$V781=1)),0)+SUM(N478)+IF(COUNTIF(N$641:N781,1)=1,5,0)+IF(COUNTIF(O479:$Z479,"&gt;"&amp;0)&gt;5,IF(MOD(COUNTIF(N$641:N781,1),7)=0,$C$4,0),0)</f>
        <v>242.919107142858</v>
      </c>
      <c r="O479" s="81" cm="1">
        <f ca="1" t="array" ref="O479">IF(O781=1,OFFSET($Z$338,$B479,O$335-1)/SUMPRODUCT(--($D$335:$V$335=O$335),--($D781:$V781=1)),0)+SUM(O478)+IF(COUNTIF(O$641:O781,1)=1,5,0)+IF(COUNTIF(P479:$Z479,"&gt;"&amp;0)&gt;5,IF(MOD(COUNTIF(O$641:O781,1),7)=0,$C$4,0),0)</f>
        <v>240.494107142858</v>
      </c>
      <c r="P479" s="81" cm="1">
        <f ca="1" t="array" ref="P479">IF(P781=1,OFFSET($Z$338,$B479,P$335-1)/SUMPRODUCT(--($D$335:$V$335=P$335),--($D781:$V781=1)),0)+SUM(P478)+IF(COUNTIF(P$641:P781,1)=1,5,0)+IF(COUNTIF(Q479:$Z479,"&gt;"&amp;0)&gt;5,IF(MOD(COUNTIF(P$641:P781,1),7)=0,$C$4,0),0)</f>
        <v>237.560773809524</v>
      </c>
      <c r="Q479" s="81" cm="1">
        <f ca="1" t="array" ref="Q479">IF(Q781=1,OFFSET($Z$338,$B479,Q$335-1)/SUMPRODUCT(--($D$335:$V$335=Q$335),--($D781:$V781=1)),0)+SUM(Q478)+IF(COUNTIF(Q$641:Q781,1)=1,5,0)+IF(COUNTIF(R479:$Z479,"&gt;"&amp;0)&gt;5,IF(MOD(COUNTIF(Q$641:Q781,1),7)=0,$C$4,0),0)</f>
        <v>236.654523809524</v>
      </c>
      <c r="R479" s="81" cm="1">
        <f ca="1" t="array" ref="R479">IF(R781=1,OFFSET($Z$338,$B479,R$335-1)/SUMPRODUCT(--($D$335:$V$335=R$335),--($D781:$V781=1)),0)+SUM(R478)+IF(COUNTIF(R$641:R781,1)=1,5,0)+IF(COUNTIF(S479:$Z479,"&gt;"&amp;0)&gt;5,IF(MOD(COUNTIF(R$641:R781,1),7)=0,$C$4,0),0)</f>
        <v>211.759523809524</v>
      </c>
      <c r="S479" s="81" cm="1">
        <f ca="1" t="array" ref="S479">IF(S781=1,OFFSET($Z$338,$B479,S$335-1)/SUMPRODUCT(--($D$335:$V$335=S$335),--($D781:$V781=1)),0)+SUM(S478)+IF(COUNTIF(S$641:S781,1)=1,5,0)+IF(COUNTIF(T479:$Z479,"&gt;"&amp;0)&gt;5,IF(MOD(COUNTIF(S$641:S781,1),7)=0,$C$4,0),0)</f>
        <v>202.592857142857</v>
      </c>
      <c r="T479" s="81" cm="1">
        <f ca="1" t="array" ref="T479">IF(T781=1,OFFSET($Z$338,$B479,T$335-1)/SUMPRODUCT(--($D$335:$V$335=T$335),--($D781:$V781=1)),0)+SUM(T478)+IF(COUNTIF(T$641:T781,1)=1,5,0)+IF(COUNTIF(U479:$Z479,"&gt;"&amp;0)&gt;5,IF(MOD(COUNTIF(T$641:T781,1),7)=0,$C$4,0),0)</f>
        <v>137.656257829764</v>
      </c>
      <c r="U479" s="81" cm="1">
        <f ca="1" t="array" ref="U479">IF(U781=1,OFFSET($Z$338,$B479,U$335-1)/SUMPRODUCT(--($D$335:$V$335=U$335),--($D781:$V781=1)),0)+SUM(U478)+IF(COUNTIF(U$641:U781,1)=1,5,0)+IF(COUNTIF(V479:$Z479,"&gt;"&amp;0)&gt;5,IF(MOD(COUNTIF(U$641:U781,1),7)=0,$C$4,0),0)</f>
        <v>97.6562578297643</v>
      </c>
      <c r="V479" s="81" cm="1">
        <f ca="1" t="array" ref="V479">IF(V781=1,OFFSET($Z$338,$B479,V$335-1)/SUMPRODUCT(--($D$335:$V$335=V$335),--($D781:$V781=1)),0)+SUM(V478)+IF(COUNTIF(V$641:V781,1)=1,5,0)+IF(COUNTIF(Z479:$Z479,"&gt;"&amp;0)&gt;5,IF(MOD(COUNTIF(V$641:V781,1),7)=0,$C$4,0),0)</f>
        <v>89.6984386404824</v>
      </c>
      <c r="W479" s="81" cm="1">
        <f ca="1" t="array" ref="W479">IF(W781=1,OFFSET($Z$338,$B479,W$335-1)/SUMPRODUCT(--($D$335:$V$335=W$335),--($D781:$V781=1)),0)+SUM(W478)+IF(COUNTIF(W$641:W781,1)=1,5,0)+IF(COUNTIF($Z479:AA479,"&gt;"&amp;0)&gt;5,IF(MOD(COUNTIF(W$641:W781,1),7)=0,$C$4,0),0)</f>
        <v>80.3425695255331</v>
      </c>
      <c r="X479" s="81" cm="1">
        <f ca="1" t="array" ref="X479">IF(X781=1,OFFSET($Z$338,$B479,X$335-1)/SUMPRODUCT(--($D$335:$V$335=X$335),--($D781:$V781=1)),0)+SUM(X478)+IF(COUNTIF(X$641:X781,1)=1,5,0)+IF(COUNTIF($Z479:AB479,"&gt;"&amp;0)&gt;5,IF(MOD(COUNTIF(X$641:X781,1),7)=0,$C$4,0),0)</f>
        <v>73.5789092348996</v>
      </c>
      <c r="Y479" s="81" cm="1">
        <f ca="1" t="array" ref="Y479">IF(Y781=1,OFFSET($Z$338,$B479,Y$335-1)/SUMPRODUCT(--($D$335:$V$335=Y$335),--($D781:$V781=1)),0)+SUM(Y478)+IF(COUNTIF(Y$641:Y781,1)=1,5,0)+IF(COUNTIF($Z479:AC479,"&gt;"&amp;0)&gt;5,IF(MOD(COUNTIF(Y$641:Y781,1),7)=0,$C$4,0),0)</f>
        <v>66.8152489442662</v>
      </c>
      <c r="Z479" s="82" cm="1">
        <f ca="1" t="array" ref="Z479">SUMPRODUCT(TRANSPOSE($AD479:$AJ479),OFFSET($L$10:$L$16,0,Z$335-1))</f>
        <v>0</v>
      </c>
      <c r="AA479" s="82" cm="1">
        <f ca="1" t="array" ref="AA479">SUMPRODUCT(TRANSPOSE($AD479:$AJ479),OFFSET($L$10:$L$16,0,AA$335-1))</f>
        <v>0</v>
      </c>
      <c r="AB479" s="82" cm="1">
        <f ca="1" t="array" ref="AB479">SUMPRODUCT(TRANSPOSE($AD479:$AJ479),OFFSET($L$10:$L$16,0,AB$335-1))</f>
        <v>0</v>
      </c>
      <c r="AC479" s="82" cm="1">
        <f ca="1" t="array" ref="AC479">SUMPRODUCT(TRANSPOSE($AD479:$AJ479),OFFSET($L$10:$L$16,0,AC$335-1))</f>
        <v>0</v>
      </c>
      <c r="AD479" s="83">
        <f ca="1" t="shared" ref="AD479:AJ479" si="605">AK479-AK478</f>
        <v>0</v>
      </c>
      <c r="AE479" s="83">
        <f ca="1" t="shared" si="605"/>
        <v>0</v>
      </c>
      <c r="AF479" s="83">
        <f ca="1" t="shared" si="605"/>
        <v>0</v>
      </c>
      <c r="AG479" s="83">
        <f ca="1" t="shared" si="605"/>
        <v>0</v>
      </c>
      <c r="AH479" s="83">
        <f ca="1" t="shared" si="605"/>
        <v>0</v>
      </c>
      <c r="AI479" s="83">
        <f ca="1" t="shared" si="605"/>
        <v>0</v>
      </c>
      <c r="AJ479" s="83">
        <f ca="1" t="shared" si="605"/>
        <v>0</v>
      </c>
      <c r="AK479" s="83">
        <f ca="1" t="shared" si="581"/>
        <v>450</v>
      </c>
      <c r="AL479" s="83">
        <f ca="1" t="shared" ref="AL479:AQ479" si="606">IF($C479&gt;OFFSET($Q$9,MATCH(AL$338,$AK$338:$AQ$338,0),0),OFFSET($P$9,MATCH(AL$338,$AK$338:$AQ$338,0),0),MAX(0,$C479-OFFSET($Q$9,RIGHT(AL$338,1)-1,0)))</f>
        <v>909</v>
      </c>
      <c r="AM479" s="83">
        <f ca="1" t="shared" si="606"/>
        <v>1818</v>
      </c>
      <c r="AN479" s="83">
        <f ca="1" t="shared" si="606"/>
        <v>2727</v>
      </c>
      <c r="AO479" s="83">
        <f ca="1" t="shared" si="606"/>
        <v>3636</v>
      </c>
      <c r="AP479" s="83">
        <f ca="1" t="shared" si="606"/>
        <v>4545</v>
      </c>
      <c r="AQ479" s="83">
        <f ca="1" t="shared" si="606"/>
        <v>0</v>
      </c>
    </row>
    <row r="480" ht="16.5" spans="2:43">
      <c r="B480" s="65">
        <v>142</v>
      </c>
      <c r="C480" s="80">
        <f t="shared" si="579"/>
        <v>16946</v>
      </c>
      <c r="D480" s="81" cm="1">
        <f ca="1" t="array" ref="D480">IF(D782=1,OFFSET($Z$338,$B480,D$335-1)/SUMPRODUCT(--($D$335:$V$335=D$335),--($D782:$V782=1)),0)+SUM(D479)+IF(COUNTIF(D$641:D782,1)=1,5,0)+IF(COUNTIF(E480:$Z480,"&gt;"&amp;0)&gt;5,IF(MOD(COUNTIF(D$641:D782,1),7)=0,$C$4,0),0)</f>
        <v>1218.82134856666</v>
      </c>
      <c r="E480" s="81" cm="1">
        <f ca="1" t="array" ref="E480">IF(E782=1,OFFSET($Z$338,$B480,E$335-1)/SUMPRODUCT(--($D$335:$V$335=E$335),--($D782:$V782=1)),0)+SUM(E479)+IF(COUNTIF(E$641:E782,1)=1,5,0)+IF(COUNTIF(F480:$Z480,"&gt;"&amp;0)&gt;5,IF(MOD(COUNTIF(E$641:E782,1),7)=0,$C$4,0),0)</f>
        <v>1218.82134856666</v>
      </c>
      <c r="F480" s="81" cm="1">
        <f ca="1" t="array" ref="F480">IF(F782=1,OFFSET($Z$338,$B480,F$335-1)/SUMPRODUCT(--($D$335:$V$335=F$335),--($D782:$V782=1)),0)+SUM(F479)+IF(COUNTIF(F$641:F782,1)=1,5,0)+IF(COUNTIF(G480:$Z480,"&gt;"&amp;0)&gt;5,IF(MOD(COUNTIF(F$641:F782,1),7)=0,$C$4,0),0)</f>
        <v>1218.82134856666</v>
      </c>
      <c r="G480" s="81" cm="1">
        <f ca="1" t="array" ref="G480">IF(G782=1,OFFSET($Z$338,$B480,G$335-1)/SUMPRODUCT(--($D$335:$V$335=G$335),--($D782:$V782=1)),0)+SUM(G479)+IF(COUNTIF(G$641:G782,1)=1,5,0)+IF(COUNTIF(H480:$Z480,"&gt;"&amp;0)&gt;5,IF(MOD(COUNTIF(G$641:G782,1),7)=0,$C$4,0),0)</f>
        <v>507.516666666668</v>
      </c>
      <c r="H480" s="81" cm="1">
        <f ca="1" t="array" ref="H480">IF(H782=1,OFFSET($Z$338,$B480,H$335-1)/SUMPRODUCT(--($D$335:$V$335=H$335),--($D782:$V782=1)),0)+SUM(H479)+IF(COUNTIF(H$641:H782,1)=1,5,0)+IF(COUNTIF(I480:$Z480,"&gt;"&amp;0)&gt;5,IF(MOD(COUNTIF(H$641:H782,1),7)=0,$C$4,0),0)</f>
        <v>507.516666666668</v>
      </c>
      <c r="I480" s="81" cm="1">
        <f ca="1" t="array" ref="I480">IF(I782=1,OFFSET($Z$338,$B480,I$335-1)/SUMPRODUCT(--($D$335:$V$335=I$335),--($D782:$V782=1)),0)+SUM(I479)+IF(COUNTIF(I$641:I782,1)=1,5,0)+IF(COUNTIF(J480:$Z480,"&gt;"&amp;0)&gt;5,IF(MOD(COUNTIF(I$641:I782,1),7)=0,$C$4,0),0)</f>
        <v>507.516666666668</v>
      </c>
      <c r="J480" s="81" cm="1">
        <f ca="1" t="array" ref="J480">IF(J782=1,OFFSET($Z$338,$B480,J$335-1)/SUMPRODUCT(--($D$335:$V$335=J$335),--($D782:$V782=1)),0)+SUM(J479)+IF(COUNTIF(J$641:J782,1)=1,5,0)+IF(COUNTIF(K480:$Z480,"&gt;"&amp;0)&gt;5,IF(MOD(COUNTIF(J$641:J782,1),7)=0,$C$4,0),0)</f>
        <v>507.516666666668</v>
      </c>
      <c r="K480" s="81" cm="1">
        <f ca="1" t="array" ref="K480">IF(K782=1,OFFSET($Z$338,$B480,K$335-1)/SUMPRODUCT(--($D$335:$V$335=K$335),--($D782:$V782=1)),0)+SUM(K479)+IF(COUNTIF(K$641:K782,1)=1,5,0)+IF(COUNTIF(L480:$Z480,"&gt;"&amp;0)&gt;5,IF(MOD(COUNTIF(K$641:K782,1),7)=0,$C$4,0),0)</f>
        <v>507.516666666668</v>
      </c>
      <c r="L480" s="81" cm="1">
        <f ca="1" t="array" ref="L480">IF(L782=1,OFFSET($Z$338,$B480,L$335-1)/SUMPRODUCT(--($D$335:$V$335=L$335),--($D782:$V782=1)),0)+SUM(L479)+IF(COUNTIF(L$641:L782,1)=1,5,0)+IF(COUNTIF(M480:$Z480,"&gt;"&amp;0)&gt;5,IF(MOD(COUNTIF(L$641:L782,1),7)=0,$C$4,0),0)</f>
        <v>500.816666666668</v>
      </c>
      <c r="M480" s="81" cm="1">
        <f ca="1" t="array" ref="M480">IF(M782=1,OFFSET($Z$338,$B480,M$335-1)/SUMPRODUCT(--($D$335:$V$335=M$335),--($D782:$V782=1)),0)+SUM(M479)+IF(COUNTIF(M$641:M782,1)=1,5,0)+IF(COUNTIF(N480:$Z480,"&gt;"&amp;0)&gt;5,IF(MOD(COUNTIF(M$641:M782,1),7)=0,$C$4,0),0)</f>
        <v>255.644107142858</v>
      </c>
      <c r="N480" s="81" cm="1">
        <f ca="1" t="array" ref="N480">IF(N782=1,OFFSET($Z$338,$B480,N$335-1)/SUMPRODUCT(--($D$335:$V$335=N$335),--($D782:$V782=1)),0)+SUM(N479)+IF(COUNTIF(N$641:N782,1)=1,5,0)+IF(COUNTIF(O480:$Z480,"&gt;"&amp;0)&gt;5,IF(MOD(COUNTIF(N$641:N782,1),7)=0,$C$4,0),0)</f>
        <v>247.919107142858</v>
      </c>
      <c r="O480" s="81" cm="1">
        <f ca="1" t="array" ref="O480">IF(O782=1,OFFSET($Z$338,$B480,O$335-1)/SUMPRODUCT(--($D$335:$V$335=O$335),--($D782:$V782=1)),0)+SUM(O479)+IF(COUNTIF(O$641:O782,1)=1,5,0)+IF(COUNTIF(P480:$Z480,"&gt;"&amp;0)&gt;5,IF(MOD(COUNTIF(O$641:O782,1),7)=0,$C$4,0),0)</f>
        <v>240.494107142858</v>
      </c>
      <c r="P480" s="81" cm="1">
        <f ca="1" t="array" ref="P480">IF(P782=1,OFFSET($Z$338,$B480,P$335-1)/SUMPRODUCT(--($D$335:$V$335=P$335),--($D782:$V782=1)),0)+SUM(P479)+IF(COUNTIF(P$641:P782,1)=1,5,0)+IF(COUNTIF(Q480:$Z480,"&gt;"&amp;0)&gt;5,IF(MOD(COUNTIF(P$641:P782,1),7)=0,$C$4,0),0)</f>
        <v>237.560773809524</v>
      </c>
      <c r="Q480" s="81" cm="1">
        <f ca="1" t="array" ref="Q480">IF(Q782=1,OFFSET($Z$338,$B480,Q$335-1)/SUMPRODUCT(--($D$335:$V$335=Q$335),--($D782:$V782=1)),0)+SUM(Q479)+IF(COUNTIF(Q$641:Q782,1)=1,5,0)+IF(COUNTIF(R480:$Z480,"&gt;"&amp;0)&gt;5,IF(MOD(COUNTIF(Q$641:Q782,1),7)=0,$C$4,0),0)</f>
        <v>236.654523809524</v>
      </c>
      <c r="R480" s="81" cm="1">
        <f ca="1" t="array" ref="R480">IF(R782=1,OFFSET($Z$338,$B480,R$335-1)/SUMPRODUCT(--($D$335:$V$335=R$335),--($D782:$V782=1)),0)+SUM(R479)+IF(COUNTIF(R$641:R782,1)=1,5,0)+IF(COUNTIF(S480:$Z480,"&gt;"&amp;0)&gt;5,IF(MOD(COUNTIF(R$641:R782,1),7)=0,$C$4,0),0)</f>
        <v>211.759523809524</v>
      </c>
      <c r="S480" s="81" cm="1">
        <f ca="1" t="array" ref="S480">IF(S782=1,OFFSET($Z$338,$B480,S$335-1)/SUMPRODUCT(--($D$335:$V$335=S$335),--($D782:$V782=1)),0)+SUM(S479)+IF(COUNTIF(S$641:S782,1)=1,5,0)+IF(COUNTIF(T480:$Z480,"&gt;"&amp;0)&gt;5,IF(MOD(COUNTIF(S$641:S782,1),7)=0,$C$4,0),0)</f>
        <v>202.592857142857</v>
      </c>
      <c r="T480" s="81" cm="1">
        <f ca="1" t="array" ref="T480">IF(T782=1,OFFSET($Z$338,$B480,T$335-1)/SUMPRODUCT(--($D$335:$V$335=T$335),--($D782:$V782=1)),0)+SUM(T479)+IF(COUNTIF(T$641:T782,1)=1,5,0)+IF(COUNTIF(U480:$Z480,"&gt;"&amp;0)&gt;5,IF(MOD(COUNTIF(T$641:T782,1),7)=0,$C$4,0),0)</f>
        <v>137.656257829764</v>
      </c>
      <c r="U480" s="81" cm="1">
        <f ca="1" t="array" ref="U480">IF(U782=1,OFFSET($Z$338,$B480,U$335-1)/SUMPRODUCT(--($D$335:$V$335=U$335),--($D782:$V782=1)),0)+SUM(U479)+IF(COUNTIF(U$641:U782,1)=1,5,0)+IF(COUNTIF(V480:$Z480,"&gt;"&amp;0)&gt;5,IF(MOD(COUNTIF(U$641:U782,1),7)=0,$C$4,0),0)</f>
        <v>97.6562578297643</v>
      </c>
      <c r="V480" s="81" cm="1">
        <f ca="1" t="array" ref="V480">IF(V782=1,OFFSET($Z$338,$B480,V$335-1)/SUMPRODUCT(--($D$335:$V$335=V$335),--($D782:$V782=1)),0)+SUM(V479)+IF(COUNTIF(V$641:V782,1)=1,5,0)+IF(COUNTIF(Z480:$Z480,"&gt;"&amp;0)&gt;5,IF(MOD(COUNTIF(V$641:V782,1),7)=0,$C$4,0),0)</f>
        <v>89.6984386404824</v>
      </c>
      <c r="W480" s="81" cm="1">
        <f ca="1" t="array" ref="W480">IF(W782=1,OFFSET($Z$338,$B480,W$335-1)/SUMPRODUCT(--($D$335:$V$335=W$335),--($D782:$V782=1)),0)+SUM(W479)+IF(COUNTIF(W$641:W782,1)=1,5,0)+IF(COUNTIF($Z480:AA480,"&gt;"&amp;0)&gt;5,IF(MOD(COUNTIF(W$641:W782,1),7)=0,$C$4,0),0)</f>
        <v>80.3425695255331</v>
      </c>
      <c r="X480" s="81" cm="1">
        <f ca="1" t="array" ref="X480">IF(X782=1,OFFSET($Z$338,$B480,X$335-1)/SUMPRODUCT(--($D$335:$V$335=X$335),--($D782:$V782=1)),0)+SUM(X479)+IF(COUNTIF(X$641:X782,1)=1,5,0)+IF(COUNTIF($Z480:AB480,"&gt;"&amp;0)&gt;5,IF(MOD(COUNTIF(X$641:X782,1),7)=0,$C$4,0),0)</f>
        <v>73.5789092348996</v>
      </c>
      <c r="Y480" s="81" cm="1">
        <f ca="1" t="array" ref="Y480">IF(Y782=1,OFFSET($Z$338,$B480,Y$335-1)/SUMPRODUCT(--($D$335:$V$335=Y$335),--($D782:$V782=1)),0)+SUM(Y479)+IF(COUNTIF(Y$641:Y782,1)=1,5,0)+IF(COUNTIF($Z480:AC480,"&gt;"&amp;0)&gt;5,IF(MOD(COUNTIF(Y$641:Y782,1),7)=0,$C$4,0),0)</f>
        <v>66.8152489442662</v>
      </c>
      <c r="Z480" s="82" cm="1">
        <f ca="1" t="array" ref="Z480">SUMPRODUCT(TRANSPOSE($AD480:$AJ480),OFFSET($L$10:$L$16,0,Z$335-1))</f>
        <v>0</v>
      </c>
      <c r="AA480" s="82" cm="1">
        <f ca="1" t="array" ref="AA480">SUMPRODUCT(TRANSPOSE($AD480:$AJ480),OFFSET($L$10:$L$16,0,AA$335-1))</f>
        <v>0</v>
      </c>
      <c r="AB480" s="82" cm="1">
        <f ca="1" t="array" ref="AB480">SUMPRODUCT(TRANSPOSE($AD480:$AJ480),OFFSET($L$10:$L$16,0,AB$335-1))</f>
        <v>0</v>
      </c>
      <c r="AC480" s="82" cm="1">
        <f ca="1" t="array" ref="AC480">SUMPRODUCT(TRANSPOSE($AD480:$AJ480),OFFSET($L$10:$L$16,0,AC$335-1))</f>
        <v>0</v>
      </c>
      <c r="AD480" s="83">
        <f ca="1" t="shared" ref="AD480:AJ480" si="607">AK480-AK479</f>
        <v>0</v>
      </c>
      <c r="AE480" s="83">
        <f ca="1" t="shared" si="607"/>
        <v>0</v>
      </c>
      <c r="AF480" s="83">
        <f ca="1" t="shared" si="607"/>
        <v>0</v>
      </c>
      <c r="AG480" s="83">
        <f ca="1" t="shared" si="607"/>
        <v>0</v>
      </c>
      <c r="AH480" s="83">
        <f ca="1" t="shared" si="607"/>
        <v>0</v>
      </c>
      <c r="AI480" s="83">
        <f ca="1" t="shared" si="607"/>
        <v>0</v>
      </c>
      <c r="AJ480" s="83">
        <f ca="1" t="shared" si="607"/>
        <v>0</v>
      </c>
      <c r="AK480" s="83">
        <f ca="1" t="shared" si="581"/>
        <v>450</v>
      </c>
      <c r="AL480" s="83">
        <f ca="1" t="shared" ref="AL480:AQ480" si="608">IF($C480&gt;OFFSET($Q$9,MATCH(AL$338,$AK$338:$AQ$338,0),0),OFFSET($P$9,MATCH(AL$338,$AK$338:$AQ$338,0),0),MAX(0,$C480-OFFSET($Q$9,RIGHT(AL$338,1)-1,0)))</f>
        <v>909</v>
      </c>
      <c r="AM480" s="83">
        <f ca="1" t="shared" si="608"/>
        <v>1818</v>
      </c>
      <c r="AN480" s="83">
        <f ca="1" t="shared" si="608"/>
        <v>2727</v>
      </c>
      <c r="AO480" s="83">
        <f ca="1" t="shared" si="608"/>
        <v>3636</v>
      </c>
      <c r="AP480" s="83">
        <f ca="1" t="shared" si="608"/>
        <v>4545</v>
      </c>
      <c r="AQ480" s="83">
        <f ca="1" t="shared" si="608"/>
        <v>0</v>
      </c>
    </row>
    <row r="481" ht="16.5" spans="2:43">
      <c r="B481" s="65">
        <v>143</v>
      </c>
      <c r="C481" s="80">
        <f t="shared" si="579"/>
        <v>17056</v>
      </c>
      <c r="D481" s="81" cm="1">
        <f ca="1" t="array" ref="D481">IF(D783=1,OFFSET($Z$338,$B481,D$335-1)/SUMPRODUCT(--($D$335:$V$335=D$335),--($D783:$V783=1)),0)+SUM(D480)+IF(COUNTIF(D$641:D783,1)=1,5,0)+IF(COUNTIF(E481:$Z481,"&gt;"&amp;0)&gt;5,IF(MOD(COUNTIF(D$641:D783,1),7)=0,$C$4,0),0)</f>
        <v>1218.82134856666</v>
      </c>
      <c r="E481" s="81" cm="1">
        <f ca="1" t="array" ref="E481">IF(E783=1,OFFSET($Z$338,$B481,E$335-1)/SUMPRODUCT(--($D$335:$V$335=E$335),--($D783:$V783=1)),0)+SUM(E480)+IF(COUNTIF(E$641:E783,1)=1,5,0)+IF(COUNTIF(F481:$Z481,"&gt;"&amp;0)&gt;5,IF(MOD(COUNTIF(E$641:E783,1),7)=0,$C$4,0),0)</f>
        <v>1218.82134856666</v>
      </c>
      <c r="F481" s="81" cm="1">
        <f ca="1" t="array" ref="F481">IF(F783=1,OFFSET($Z$338,$B481,F$335-1)/SUMPRODUCT(--($D$335:$V$335=F$335),--($D783:$V783=1)),0)+SUM(F480)+IF(COUNTIF(F$641:F783,1)=1,5,0)+IF(COUNTIF(G481:$Z481,"&gt;"&amp;0)&gt;5,IF(MOD(COUNTIF(F$641:F783,1),7)=0,$C$4,0),0)</f>
        <v>1218.82134856666</v>
      </c>
      <c r="G481" s="81" cm="1">
        <f ca="1" t="array" ref="G481">IF(G783=1,OFFSET($Z$338,$B481,G$335-1)/SUMPRODUCT(--($D$335:$V$335=G$335),--($D783:$V783=1)),0)+SUM(G480)+IF(COUNTIF(G$641:G783,1)=1,5,0)+IF(COUNTIF(H481:$Z481,"&gt;"&amp;0)&gt;5,IF(MOD(COUNTIF(G$641:G783,1),7)=0,$C$4,0),0)</f>
        <v>507.516666666668</v>
      </c>
      <c r="H481" s="81" cm="1">
        <f ca="1" t="array" ref="H481">IF(H783=1,OFFSET($Z$338,$B481,H$335-1)/SUMPRODUCT(--($D$335:$V$335=H$335),--($D783:$V783=1)),0)+SUM(H480)+IF(COUNTIF(H$641:H783,1)=1,5,0)+IF(COUNTIF(I481:$Z481,"&gt;"&amp;0)&gt;5,IF(MOD(COUNTIF(H$641:H783,1),7)=0,$C$4,0),0)</f>
        <v>507.516666666668</v>
      </c>
      <c r="I481" s="81" cm="1">
        <f ca="1" t="array" ref="I481">IF(I783=1,OFFSET($Z$338,$B481,I$335-1)/SUMPRODUCT(--($D$335:$V$335=I$335),--($D783:$V783=1)),0)+SUM(I480)+IF(COUNTIF(I$641:I783,1)=1,5,0)+IF(COUNTIF(J481:$Z481,"&gt;"&amp;0)&gt;5,IF(MOD(COUNTIF(I$641:I783,1),7)=0,$C$4,0),0)</f>
        <v>507.516666666668</v>
      </c>
      <c r="J481" s="81" cm="1">
        <f ca="1" t="array" ref="J481">IF(J783=1,OFFSET($Z$338,$B481,J$335-1)/SUMPRODUCT(--($D$335:$V$335=J$335),--($D783:$V783=1)),0)+SUM(J480)+IF(COUNTIF(J$641:J783,1)=1,5,0)+IF(COUNTIF(K481:$Z481,"&gt;"&amp;0)&gt;5,IF(MOD(COUNTIF(J$641:J783,1),7)=0,$C$4,0),0)</f>
        <v>507.516666666668</v>
      </c>
      <c r="K481" s="81" cm="1">
        <f ca="1" t="array" ref="K481">IF(K783=1,OFFSET($Z$338,$B481,K$335-1)/SUMPRODUCT(--($D$335:$V$335=K$335),--($D783:$V783=1)),0)+SUM(K480)+IF(COUNTIF(K$641:K783,1)=1,5,0)+IF(COUNTIF(L481:$Z481,"&gt;"&amp;0)&gt;5,IF(MOD(COUNTIF(K$641:K783,1),7)=0,$C$4,0),0)</f>
        <v>507.516666666668</v>
      </c>
      <c r="L481" s="81" cm="1">
        <f ca="1" t="array" ref="L481">IF(L783=1,OFFSET($Z$338,$B481,L$335-1)/SUMPRODUCT(--($D$335:$V$335=L$335),--($D783:$V783=1)),0)+SUM(L480)+IF(COUNTIF(L$641:L783,1)=1,5,0)+IF(COUNTIF(M481:$Z481,"&gt;"&amp;0)&gt;5,IF(MOD(COUNTIF(L$641:L783,1),7)=0,$C$4,0),0)</f>
        <v>500.816666666668</v>
      </c>
      <c r="M481" s="81" cm="1">
        <f ca="1" t="array" ref="M481">IF(M783=1,OFFSET($Z$338,$B481,M$335-1)/SUMPRODUCT(--($D$335:$V$335=M$335),--($D783:$V783=1)),0)+SUM(M480)+IF(COUNTIF(M$641:M783,1)=1,5,0)+IF(COUNTIF(N481:$Z481,"&gt;"&amp;0)&gt;5,IF(MOD(COUNTIF(M$641:M783,1),7)=0,$C$4,0),0)</f>
        <v>255.644107142858</v>
      </c>
      <c r="N481" s="81" cm="1">
        <f ca="1" t="array" ref="N481">IF(N783=1,OFFSET($Z$338,$B481,N$335-1)/SUMPRODUCT(--($D$335:$V$335=N$335),--($D783:$V783=1)),0)+SUM(N480)+IF(COUNTIF(N$641:N783,1)=1,5,0)+IF(COUNTIF(O481:$Z481,"&gt;"&amp;0)&gt;5,IF(MOD(COUNTIF(N$641:N783,1),7)=0,$C$4,0),0)</f>
        <v>247.919107142858</v>
      </c>
      <c r="O481" s="81" cm="1">
        <f ca="1" t="array" ref="O481">IF(O783=1,OFFSET($Z$338,$B481,O$335-1)/SUMPRODUCT(--($D$335:$V$335=O$335),--($D783:$V783=1)),0)+SUM(O480)+IF(COUNTIF(O$641:O783,1)=1,5,0)+IF(COUNTIF(P481:$Z481,"&gt;"&amp;0)&gt;5,IF(MOD(COUNTIF(O$641:O783,1),7)=0,$C$4,0),0)</f>
        <v>245.494107142858</v>
      </c>
      <c r="P481" s="81" cm="1">
        <f ca="1" t="array" ref="P481">IF(P783=1,OFFSET($Z$338,$B481,P$335-1)/SUMPRODUCT(--($D$335:$V$335=P$335),--($D783:$V783=1)),0)+SUM(P480)+IF(COUNTIF(P$641:P783,1)=1,5,0)+IF(COUNTIF(Q481:$Z481,"&gt;"&amp;0)&gt;5,IF(MOD(COUNTIF(P$641:P783,1),7)=0,$C$4,0),0)</f>
        <v>237.560773809524</v>
      </c>
      <c r="Q481" s="81" cm="1">
        <f ca="1" t="array" ref="Q481">IF(Q783=1,OFFSET($Z$338,$B481,Q$335-1)/SUMPRODUCT(--($D$335:$V$335=Q$335),--($D783:$V783=1)),0)+SUM(Q480)+IF(COUNTIF(Q$641:Q783,1)=1,5,0)+IF(COUNTIF(R481:$Z481,"&gt;"&amp;0)&gt;5,IF(MOD(COUNTIF(Q$641:Q783,1),7)=0,$C$4,0),0)</f>
        <v>236.654523809524</v>
      </c>
      <c r="R481" s="81" cm="1">
        <f ca="1" t="array" ref="R481">IF(R783=1,OFFSET($Z$338,$B481,R$335-1)/SUMPRODUCT(--($D$335:$V$335=R$335),--($D783:$V783=1)),0)+SUM(R480)+IF(COUNTIF(R$641:R783,1)=1,5,0)+IF(COUNTIF(S481:$Z481,"&gt;"&amp;0)&gt;5,IF(MOD(COUNTIF(R$641:R783,1),7)=0,$C$4,0),0)</f>
        <v>211.759523809524</v>
      </c>
      <c r="S481" s="81" cm="1">
        <f ca="1" t="array" ref="S481">IF(S783=1,OFFSET($Z$338,$B481,S$335-1)/SUMPRODUCT(--($D$335:$V$335=S$335),--($D783:$V783=1)),0)+SUM(S480)+IF(COUNTIF(S$641:S783,1)=1,5,0)+IF(COUNTIF(T481:$Z481,"&gt;"&amp;0)&gt;5,IF(MOD(COUNTIF(S$641:S783,1),7)=0,$C$4,0),0)</f>
        <v>202.592857142857</v>
      </c>
      <c r="T481" s="81" cm="1">
        <f ca="1" t="array" ref="T481">IF(T783=1,OFFSET($Z$338,$B481,T$335-1)/SUMPRODUCT(--($D$335:$V$335=T$335),--($D783:$V783=1)),0)+SUM(T480)+IF(COUNTIF(T$641:T783,1)=1,5,0)+IF(COUNTIF(U481:$Z481,"&gt;"&amp;0)&gt;5,IF(MOD(COUNTIF(T$641:T783,1),7)=0,$C$4,0),0)</f>
        <v>137.656257829764</v>
      </c>
      <c r="U481" s="81" cm="1">
        <f ca="1" t="array" ref="U481">IF(U783=1,OFFSET($Z$338,$B481,U$335-1)/SUMPRODUCT(--($D$335:$V$335=U$335),--($D783:$V783=1)),0)+SUM(U480)+IF(COUNTIF(U$641:U783,1)=1,5,0)+IF(COUNTIF(V481:$Z481,"&gt;"&amp;0)&gt;5,IF(MOD(COUNTIF(U$641:U783,1),7)=0,$C$4,0),0)</f>
        <v>97.6562578297643</v>
      </c>
      <c r="V481" s="81" cm="1">
        <f ca="1" t="array" ref="V481">IF(V783=1,OFFSET($Z$338,$B481,V$335-1)/SUMPRODUCT(--($D$335:$V$335=V$335),--($D783:$V783=1)),0)+SUM(V480)+IF(COUNTIF(V$641:V783,1)=1,5,0)+IF(COUNTIF(Z481:$Z481,"&gt;"&amp;0)&gt;5,IF(MOD(COUNTIF(V$641:V783,1),7)=0,$C$4,0),0)</f>
        <v>89.6984386404824</v>
      </c>
      <c r="W481" s="81" cm="1">
        <f ca="1" t="array" ref="W481">IF(W783=1,OFFSET($Z$338,$B481,W$335-1)/SUMPRODUCT(--($D$335:$V$335=W$335),--($D783:$V783=1)),0)+SUM(W480)+IF(COUNTIF(W$641:W783,1)=1,5,0)+IF(COUNTIF($Z481:AA481,"&gt;"&amp;0)&gt;5,IF(MOD(COUNTIF(W$641:W783,1),7)=0,$C$4,0),0)</f>
        <v>80.3425695255331</v>
      </c>
      <c r="X481" s="81" cm="1">
        <f ca="1" t="array" ref="X481">IF(X783=1,OFFSET($Z$338,$B481,X$335-1)/SUMPRODUCT(--($D$335:$V$335=X$335),--($D783:$V783=1)),0)+SUM(X480)+IF(COUNTIF(X$641:X783,1)=1,5,0)+IF(COUNTIF($Z481:AB481,"&gt;"&amp;0)&gt;5,IF(MOD(COUNTIF(X$641:X783,1),7)=0,$C$4,0),0)</f>
        <v>73.5789092348996</v>
      </c>
      <c r="Y481" s="81" cm="1">
        <f ca="1" t="array" ref="Y481">IF(Y783=1,OFFSET($Z$338,$B481,Y$335-1)/SUMPRODUCT(--($D$335:$V$335=Y$335),--($D783:$V783=1)),0)+SUM(Y480)+IF(COUNTIF(Y$641:Y783,1)=1,5,0)+IF(COUNTIF($Z481:AC481,"&gt;"&amp;0)&gt;5,IF(MOD(COUNTIF(Y$641:Y783,1),7)=0,$C$4,0),0)</f>
        <v>66.8152489442662</v>
      </c>
      <c r="Z481" s="82" cm="1">
        <f ca="1" t="array" ref="Z481">SUMPRODUCT(TRANSPOSE($AD481:$AJ481),OFFSET($L$10:$L$16,0,Z$335-1))</f>
        <v>0</v>
      </c>
      <c r="AA481" s="82" cm="1">
        <f ca="1" t="array" ref="AA481">SUMPRODUCT(TRANSPOSE($AD481:$AJ481),OFFSET($L$10:$L$16,0,AA$335-1))</f>
        <v>0</v>
      </c>
      <c r="AB481" s="82" cm="1">
        <f ca="1" t="array" ref="AB481">SUMPRODUCT(TRANSPOSE($AD481:$AJ481),OFFSET($L$10:$L$16,0,AB$335-1))</f>
        <v>0</v>
      </c>
      <c r="AC481" s="82" cm="1">
        <f ca="1" t="array" ref="AC481">SUMPRODUCT(TRANSPOSE($AD481:$AJ481),OFFSET($L$10:$L$16,0,AC$335-1))</f>
        <v>0</v>
      </c>
      <c r="AD481" s="83">
        <f ca="1" t="shared" ref="AD481:AJ481" si="609">AK481-AK480</f>
        <v>0</v>
      </c>
      <c r="AE481" s="83">
        <f ca="1" t="shared" si="609"/>
        <v>0</v>
      </c>
      <c r="AF481" s="83">
        <f ca="1" t="shared" si="609"/>
        <v>0</v>
      </c>
      <c r="AG481" s="83">
        <f ca="1" t="shared" si="609"/>
        <v>0</v>
      </c>
      <c r="AH481" s="83">
        <f ca="1" t="shared" si="609"/>
        <v>0</v>
      </c>
      <c r="AI481" s="83">
        <f ca="1" t="shared" si="609"/>
        <v>0</v>
      </c>
      <c r="AJ481" s="83">
        <f ca="1" t="shared" si="609"/>
        <v>0</v>
      </c>
      <c r="AK481" s="83">
        <f ca="1" t="shared" si="581"/>
        <v>450</v>
      </c>
      <c r="AL481" s="83">
        <f ca="1" t="shared" ref="AL481:AQ481" si="610">IF($C481&gt;OFFSET($Q$9,MATCH(AL$338,$AK$338:$AQ$338,0),0),OFFSET($P$9,MATCH(AL$338,$AK$338:$AQ$338,0),0),MAX(0,$C481-OFFSET($Q$9,RIGHT(AL$338,1)-1,0)))</f>
        <v>909</v>
      </c>
      <c r="AM481" s="83">
        <f ca="1" t="shared" si="610"/>
        <v>1818</v>
      </c>
      <c r="AN481" s="83">
        <f ca="1" t="shared" si="610"/>
        <v>2727</v>
      </c>
      <c r="AO481" s="83">
        <f ca="1" t="shared" si="610"/>
        <v>3636</v>
      </c>
      <c r="AP481" s="83">
        <f ca="1" t="shared" si="610"/>
        <v>4545</v>
      </c>
      <c r="AQ481" s="83">
        <f ca="1" t="shared" si="610"/>
        <v>0</v>
      </c>
    </row>
    <row r="482" ht="16.5" spans="2:43">
      <c r="B482" s="65">
        <v>144</v>
      </c>
      <c r="C482" s="80">
        <f t="shared" si="579"/>
        <v>17166</v>
      </c>
      <c r="D482" s="81" cm="1">
        <f ca="1" t="array" ref="D482">IF(D784=1,OFFSET($Z$338,$B482,D$335-1)/SUMPRODUCT(--($D$335:$V$335=D$335),--($D784:$V784=1)),0)+SUM(D481)+IF(COUNTIF(D$641:D784,1)=1,5,0)+IF(COUNTIF(E482:$Z482,"&gt;"&amp;0)&gt;5,IF(MOD(COUNTIF(D$641:D784,1),7)=0,$C$4,0),0)</f>
        <v>1218.82134856666</v>
      </c>
      <c r="E482" s="81" cm="1">
        <f ca="1" t="array" ref="E482">IF(E784=1,OFFSET($Z$338,$B482,E$335-1)/SUMPRODUCT(--($D$335:$V$335=E$335),--($D784:$V784=1)),0)+SUM(E481)+IF(COUNTIF(E$641:E784,1)=1,5,0)+IF(COUNTIF(F482:$Z482,"&gt;"&amp;0)&gt;5,IF(MOD(COUNTIF(E$641:E784,1),7)=0,$C$4,0),0)</f>
        <v>1218.82134856666</v>
      </c>
      <c r="F482" s="81" cm="1">
        <f ca="1" t="array" ref="F482">IF(F784=1,OFFSET($Z$338,$B482,F$335-1)/SUMPRODUCT(--($D$335:$V$335=F$335),--($D784:$V784=1)),0)+SUM(F481)+IF(COUNTIF(F$641:F784,1)=1,5,0)+IF(COUNTIF(G482:$Z482,"&gt;"&amp;0)&gt;5,IF(MOD(COUNTIF(F$641:F784,1),7)=0,$C$4,0),0)</f>
        <v>1218.82134856666</v>
      </c>
      <c r="G482" s="81" cm="1">
        <f ca="1" t="array" ref="G482">IF(G784=1,OFFSET($Z$338,$B482,G$335-1)/SUMPRODUCT(--($D$335:$V$335=G$335),--($D784:$V784=1)),0)+SUM(G481)+IF(COUNTIF(G$641:G784,1)=1,5,0)+IF(COUNTIF(H482:$Z482,"&gt;"&amp;0)&gt;5,IF(MOD(COUNTIF(G$641:G784,1),7)=0,$C$4,0),0)</f>
        <v>507.516666666668</v>
      </c>
      <c r="H482" s="81" cm="1">
        <f ca="1" t="array" ref="H482">IF(H784=1,OFFSET($Z$338,$B482,H$335-1)/SUMPRODUCT(--($D$335:$V$335=H$335),--($D784:$V784=1)),0)+SUM(H481)+IF(COUNTIF(H$641:H784,1)=1,5,0)+IF(COUNTIF(I482:$Z482,"&gt;"&amp;0)&gt;5,IF(MOD(COUNTIF(H$641:H784,1),7)=0,$C$4,0),0)</f>
        <v>507.516666666668</v>
      </c>
      <c r="I482" s="81" cm="1">
        <f ca="1" t="array" ref="I482">IF(I784=1,OFFSET($Z$338,$B482,I$335-1)/SUMPRODUCT(--($D$335:$V$335=I$335),--($D784:$V784=1)),0)+SUM(I481)+IF(COUNTIF(I$641:I784,1)=1,5,0)+IF(COUNTIF(J482:$Z482,"&gt;"&amp;0)&gt;5,IF(MOD(COUNTIF(I$641:I784,1),7)=0,$C$4,0),0)</f>
        <v>507.516666666668</v>
      </c>
      <c r="J482" s="81" cm="1">
        <f ca="1" t="array" ref="J482">IF(J784=1,OFFSET($Z$338,$B482,J$335-1)/SUMPRODUCT(--($D$335:$V$335=J$335),--($D784:$V784=1)),0)+SUM(J481)+IF(COUNTIF(J$641:J784,1)=1,5,0)+IF(COUNTIF(K482:$Z482,"&gt;"&amp;0)&gt;5,IF(MOD(COUNTIF(J$641:J784,1),7)=0,$C$4,0),0)</f>
        <v>507.516666666668</v>
      </c>
      <c r="K482" s="81" cm="1">
        <f ca="1" t="array" ref="K482">IF(K784=1,OFFSET($Z$338,$B482,K$335-1)/SUMPRODUCT(--($D$335:$V$335=K$335),--($D784:$V784=1)),0)+SUM(K481)+IF(COUNTIF(K$641:K784,1)=1,5,0)+IF(COUNTIF(L482:$Z482,"&gt;"&amp;0)&gt;5,IF(MOD(COUNTIF(K$641:K784,1),7)=0,$C$4,0),0)</f>
        <v>507.516666666668</v>
      </c>
      <c r="L482" s="81" cm="1">
        <f ca="1" t="array" ref="L482">IF(L784=1,OFFSET($Z$338,$B482,L$335-1)/SUMPRODUCT(--($D$335:$V$335=L$335),--($D784:$V784=1)),0)+SUM(L481)+IF(COUNTIF(L$641:L784,1)=1,5,0)+IF(COUNTIF(M482:$Z482,"&gt;"&amp;0)&gt;5,IF(MOD(COUNTIF(L$641:L784,1),7)=0,$C$4,0),0)</f>
        <v>500.816666666668</v>
      </c>
      <c r="M482" s="81" cm="1">
        <f ca="1" t="array" ref="M482">IF(M784=1,OFFSET($Z$338,$B482,M$335-1)/SUMPRODUCT(--($D$335:$V$335=M$335),--($D784:$V784=1)),0)+SUM(M481)+IF(COUNTIF(M$641:M784,1)=1,5,0)+IF(COUNTIF(N482:$Z482,"&gt;"&amp;0)&gt;5,IF(MOD(COUNTIF(M$641:M784,1),7)=0,$C$4,0),0)</f>
        <v>255.644107142858</v>
      </c>
      <c r="N482" s="81" cm="1">
        <f ca="1" t="array" ref="N482">IF(N784=1,OFFSET($Z$338,$B482,N$335-1)/SUMPRODUCT(--($D$335:$V$335=N$335),--($D784:$V784=1)),0)+SUM(N481)+IF(COUNTIF(N$641:N784,1)=1,5,0)+IF(COUNTIF(O482:$Z482,"&gt;"&amp;0)&gt;5,IF(MOD(COUNTIF(N$641:N784,1),7)=0,$C$4,0),0)</f>
        <v>247.919107142858</v>
      </c>
      <c r="O482" s="81" cm="1">
        <f ca="1" t="array" ref="O482">IF(O784=1,OFFSET($Z$338,$B482,O$335-1)/SUMPRODUCT(--($D$335:$V$335=O$335),--($D784:$V784=1)),0)+SUM(O481)+IF(COUNTIF(O$641:O784,1)=1,5,0)+IF(COUNTIF(P482:$Z482,"&gt;"&amp;0)&gt;5,IF(MOD(COUNTIF(O$641:O784,1),7)=0,$C$4,0),0)</f>
        <v>245.494107142858</v>
      </c>
      <c r="P482" s="81" cm="1">
        <f ca="1" t="array" ref="P482">IF(P784=1,OFFSET($Z$338,$B482,P$335-1)/SUMPRODUCT(--($D$335:$V$335=P$335),--($D784:$V784=1)),0)+SUM(P481)+IF(COUNTIF(P$641:P784,1)=1,5,0)+IF(COUNTIF(Q482:$Z482,"&gt;"&amp;0)&gt;5,IF(MOD(COUNTIF(P$641:P784,1),7)=0,$C$4,0),0)</f>
        <v>237.560773809524</v>
      </c>
      <c r="Q482" s="81" cm="1">
        <f ca="1" t="array" ref="Q482">IF(Q784=1,OFFSET($Z$338,$B482,Q$335-1)/SUMPRODUCT(--($D$335:$V$335=Q$335),--($D784:$V784=1)),0)+SUM(Q481)+IF(COUNTIF(Q$641:Q784,1)=1,5,0)+IF(COUNTIF(R482:$Z482,"&gt;"&amp;0)&gt;5,IF(MOD(COUNTIF(Q$641:Q784,1),7)=0,$C$4,0),0)</f>
        <v>236.654523809524</v>
      </c>
      <c r="R482" s="81" cm="1">
        <f ca="1" t="array" ref="R482">IF(R784=1,OFFSET($Z$338,$B482,R$335-1)/SUMPRODUCT(--($D$335:$V$335=R$335),--($D784:$V784=1)),0)+SUM(R481)+IF(COUNTIF(R$641:R784,1)=1,5,0)+IF(COUNTIF(S482:$Z482,"&gt;"&amp;0)&gt;5,IF(MOD(COUNTIF(R$641:R784,1),7)=0,$C$4,0),0)</f>
        <v>211.759523809524</v>
      </c>
      <c r="S482" s="81" cm="1">
        <f ca="1" t="array" ref="S482">IF(S784=1,OFFSET($Z$338,$B482,S$335-1)/SUMPRODUCT(--($D$335:$V$335=S$335),--($D784:$V784=1)),0)+SUM(S481)+IF(COUNTIF(S$641:S784,1)=1,5,0)+IF(COUNTIF(T482:$Z482,"&gt;"&amp;0)&gt;5,IF(MOD(COUNTIF(S$641:S784,1),7)=0,$C$4,0),0)</f>
        <v>202.592857142857</v>
      </c>
      <c r="T482" s="81" cm="1">
        <f ca="1" t="array" ref="T482">IF(T784=1,OFFSET($Z$338,$B482,T$335-1)/SUMPRODUCT(--($D$335:$V$335=T$335),--($D784:$V784=1)),0)+SUM(T481)+IF(COUNTIF(T$641:T784,1)=1,5,0)+IF(COUNTIF(U482:$Z482,"&gt;"&amp;0)&gt;5,IF(MOD(COUNTIF(T$641:T784,1),7)=0,$C$4,0),0)</f>
        <v>137.656257829764</v>
      </c>
      <c r="U482" s="81" cm="1">
        <f ca="1" t="array" ref="U482">IF(U784=1,OFFSET($Z$338,$B482,U$335-1)/SUMPRODUCT(--($D$335:$V$335=U$335),--($D784:$V784=1)),0)+SUM(U481)+IF(COUNTIF(U$641:U784,1)=1,5,0)+IF(COUNTIF(V482:$Z482,"&gt;"&amp;0)&gt;5,IF(MOD(COUNTIF(U$641:U784,1),7)=0,$C$4,0),0)</f>
        <v>97.6562578297643</v>
      </c>
      <c r="V482" s="81" cm="1">
        <f ca="1" t="array" ref="V482">IF(V784=1,OFFSET($Z$338,$B482,V$335-1)/SUMPRODUCT(--($D$335:$V$335=V$335),--($D784:$V784=1)),0)+SUM(V481)+IF(COUNTIF(V$641:V784,1)=1,5,0)+IF(COUNTIF(Z482:$Z482,"&gt;"&amp;0)&gt;5,IF(MOD(COUNTIF(V$641:V784,1),7)=0,$C$4,0),0)</f>
        <v>89.6984386404824</v>
      </c>
      <c r="W482" s="81" cm="1">
        <f ca="1" t="array" ref="W482">IF(W784=1,OFFSET($Z$338,$B482,W$335-1)/SUMPRODUCT(--($D$335:$V$335=W$335),--($D784:$V784=1)),0)+SUM(W481)+IF(COUNTIF(W$641:W784,1)=1,5,0)+IF(COUNTIF($Z482:AA482,"&gt;"&amp;0)&gt;5,IF(MOD(COUNTIF(W$641:W784,1),7)=0,$C$4,0),0)</f>
        <v>80.3425695255331</v>
      </c>
      <c r="X482" s="81" cm="1">
        <f ca="1" t="array" ref="X482">IF(X784=1,OFFSET($Z$338,$B482,X$335-1)/SUMPRODUCT(--($D$335:$V$335=X$335),--($D784:$V784=1)),0)+SUM(X481)+IF(COUNTIF(X$641:X784,1)=1,5,0)+IF(COUNTIF($Z482:AB482,"&gt;"&amp;0)&gt;5,IF(MOD(COUNTIF(X$641:X784,1),7)=0,$C$4,0),0)</f>
        <v>73.5789092348996</v>
      </c>
      <c r="Y482" s="81" cm="1">
        <f ca="1" t="array" ref="Y482">IF(Y784=1,OFFSET($Z$338,$B482,Y$335-1)/SUMPRODUCT(--($D$335:$V$335=Y$335),--($D784:$V784=1)),0)+SUM(Y481)+IF(COUNTIF(Y$641:Y784,1)=1,5,0)+IF(COUNTIF($Z482:AC482,"&gt;"&amp;0)&gt;5,IF(MOD(COUNTIF(Y$641:Y784,1),7)=0,$C$4,0),0)</f>
        <v>66.8152489442662</v>
      </c>
      <c r="Z482" s="82" cm="1">
        <f ca="1" t="array" ref="Z482">SUMPRODUCT(TRANSPOSE($AD482:$AJ482),OFFSET($L$10:$L$16,0,Z$335-1))</f>
        <v>0</v>
      </c>
      <c r="AA482" s="82" cm="1">
        <f ca="1" t="array" ref="AA482">SUMPRODUCT(TRANSPOSE($AD482:$AJ482),OFFSET($L$10:$L$16,0,AA$335-1))</f>
        <v>0</v>
      </c>
      <c r="AB482" s="82" cm="1">
        <f ca="1" t="array" ref="AB482">SUMPRODUCT(TRANSPOSE($AD482:$AJ482),OFFSET($L$10:$L$16,0,AB$335-1))</f>
        <v>0</v>
      </c>
      <c r="AC482" s="82" cm="1">
        <f ca="1" t="array" ref="AC482">SUMPRODUCT(TRANSPOSE($AD482:$AJ482),OFFSET($L$10:$L$16,0,AC$335-1))</f>
        <v>0</v>
      </c>
      <c r="AD482" s="83">
        <f ca="1" t="shared" ref="AD482:AJ482" si="611">AK482-AK481</f>
        <v>0</v>
      </c>
      <c r="AE482" s="83">
        <f ca="1" t="shared" si="611"/>
        <v>0</v>
      </c>
      <c r="AF482" s="83">
        <f ca="1" t="shared" si="611"/>
        <v>0</v>
      </c>
      <c r="AG482" s="83">
        <f ca="1" t="shared" si="611"/>
        <v>0</v>
      </c>
      <c r="AH482" s="83">
        <f ca="1" t="shared" si="611"/>
        <v>0</v>
      </c>
      <c r="AI482" s="83">
        <f ca="1" t="shared" si="611"/>
        <v>0</v>
      </c>
      <c r="AJ482" s="83">
        <f ca="1" t="shared" si="611"/>
        <v>0</v>
      </c>
      <c r="AK482" s="83">
        <f ca="1" t="shared" si="581"/>
        <v>450</v>
      </c>
      <c r="AL482" s="83">
        <f ca="1" t="shared" ref="AL482:AQ482" si="612">IF($C482&gt;OFFSET($Q$9,MATCH(AL$338,$AK$338:$AQ$338,0),0),OFFSET($P$9,MATCH(AL$338,$AK$338:$AQ$338,0),0),MAX(0,$C482-OFFSET($Q$9,RIGHT(AL$338,1)-1,0)))</f>
        <v>909</v>
      </c>
      <c r="AM482" s="83">
        <f ca="1" t="shared" si="612"/>
        <v>1818</v>
      </c>
      <c r="AN482" s="83">
        <f ca="1" t="shared" si="612"/>
        <v>2727</v>
      </c>
      <c r="AO482" s="83">
        <f ca="1" t="shared" si="612"/>
        <v>3636</v>
      </c>
      <c r="AP482" s="83">
        <f ca="1" t="shared" si="612"/>
        <v>4545</v>
      </c>
      <c r="AQ482" s="83">
        <f ca="1" t="shared" si="612"/>
        <v>0</v>
      </c>
    </row>
    <row r="483" ht="16.5" spans="2:43">
      <c r="B483" s="65">
        <v>145</v>
      </c>
      <c r="C483" s="80">
        <f t="shared" si="579"/>
        <v>17276</v>
      </c>
      <c r="D483" s="81" cm="1">
        <f ca="1" t="array" ref="D483">IF(D785=1,OFFSET($Z$338,$B483,D$335-1)/SUMPRODUCT(--($D$335:$V$335=D$335),--($D785:$V785=1)),0)+SUM(D482)+IF(COUNTIF(D$641:D785,1)=1,5,0)+IF(COUNTIF(E483:$Z483,"&gt;"&amp;0)&gt;5,IF(MOD(COUNTIF(D$641:D785,1),7)=0,$C$4,0),0)</f>
        <v>1218.82134856666</v>
      </c>
      <c r="E483" s="81" cm="1">
        <f ca="1" t="array" ref="E483">IF(E785=1,OFFSET($Z$338,$B483,E$335-1)/SUMPRODUCT(--($D$335:$V$335=E$335),--($D785:$V785=1)),0)+SUM(E482)+IF(COUNTIF(E$641:E785,1)=1,5,0)+IF(COUNTIF(F483:$Z483,"&gt;"&amp;0)&gt;5,IF(MOD(COUNTIF(E$641:E785,1),7)=0,$C$4,0),0)</f>
        <v>1218.82134856666</v>
      </c>
      <c r="F483" s="81" cm="1">
        <f ca="1" t="array" ref="F483">IF(F785=1,OFFSET($Z$338,$B483,F$335-1)/SUMPRODUCT(--($D$335:$V$335=F$335),--($D785:$V785=1)),0)+SUM(F482)+IF(COUNTIF(F$641:F785,1)=1,5,0)+IF(COUNTIF(G483:$Z483,"&gt;"&amp;0)&gt;5,IF(MOD(COUNTIF(F$641:F785,1),7)=0,$C$4,0),0)</f>
        <v>1218.82134856666</v>
      </c>
      <c r="G483" s="81" cm="1">
        <f ca="1" t="array" ref="G483">IF(G785=1,OFFSET($Z$338,$B483,G$335-1)/SUMPRODUCT(--($D$335:$V$335=G$335),--($D785:$V785=1)),0)+SUM(G482)+IF(COUNTIF(G$641:G785,1)=1,5,0)+IF(COUNTIF(H483:$Z483,"&gt;"&amp;0)&gt;5,IF(MOD(COUNTIF(G$641:G785,1),7)=0,$C$4,0),0)</f>
        <v>507.516666666668</v>
      </c>
      <c r="H483" s="81" cm="1">
        <f ca="1" t="array" ref="H483">IF(H785=1,OFFSET($Z$338,$B483,H$335-1)/SUMPRODUCT(--($D$335:$V$335=H$335),--($D785:$V785=1)),0)+SUM(H482)+IF(COUNTIF(H$641:H785,1)=1,5,0)+IF(COUNTIF(I483:$Z483,"&gt;"&amp;0)&gt;5,IF(MOD(COUNTIF(H$641:H785,1),7)=0,$C$4,0),0)</f>
        <v>507.516666666668</v>
      </c>
      <c r="I483" s="81" cm="1">
        <f ca="1" t="array" ref="I483">IF(I785=1,OFFSET($Z$338,$B483,I$335-1)/SUMPRODUCT(--($D$335:$V$335=I$335),--($D785:$V785=1)),0)+SUM(I482)+IF(COUNTIF(I$641:I785,1)=1,5,0)+IF(COUNTIF(J483:$Z483,"&gt;"&amp;0)&gt;5,IF(MOD(COUNTIF(I$641:I785,1),7)=0,$C$4,0),0)</f>
        <v>507.516666666668</v>
      </c>
      <c r="J483" s="81" cm="1">
        <f ca="1" t="array" ref="J483">IF(J785=1,OFFSET($Z$338,$B483,J$335-1)/SUMPRODUCT(--($D$335:$V$335=J$335),--($D785:$V785=1)),0)+SUM(J482)+IF(COUNTIF(J$641:J785,1)=1,5,0)+IF(COUNTIF(K483:$Z483,"&gt;"&amp;0)&gt;5,IF(MOD(COUNTIF(J$641:J785,1),7)=0,$C$4,0),0)</f>
        <v>507.516666666668</v>
      </c>
      <c r="K483" s="81" cm="1">
        <f ca="1" t="array" ref="K483">IF(K785=1,OFFSET($Z$338,$B483,K$335-1)/SUMPRODUCT(--($D$335:$V$335=K$335),--($D785:$V785=1)),0)+SUM(K482)+IF(COUNTIF(K$641:K785,1)=1,5,0)+IF(COUNTIF(L483:$Z483,"&gt;"&amp;0)&gt;5,IF(MOD(COUNTIF(K$641:K785,1),7)=0,$C$4,0),0)</f>
        <v>507.516666666668</v>
      </c>
      <c r="L483" s="81" cm="1">
        <f ca="1" t="array" ref="L483">IF(L785=1,OFFSET($Z$338,$B483,L$335-1)/SUMPRODUCT(--($D$335:$V$335=L$335),--($D785:$V785=1)),0)+SUM(L482)+IF(COUNTIF(L$641:L785,1)=1,5,0)+IF(COUNTIF(M483:$Z483,"&gt;"&amp;0)&gt;5,IF(MOD(COUNTIF(L$641:L785,1),7)=0,$C$4,0),0)</f>
        <v>500.816666666668</v>
      </c>
      <c r="M483" s="81" cm="1">
        <f ca="1" t="array" ref="M483">IF(M785=1,OFFSET($Z$338,$B483,M$335-1)/SUMPRODUCT(--($D$335:$V$335=M$335),--($D785:$V785=1)),0)+SUM(M482)+IF(COUNTIF(M$641:M785,1)=1,5,0)+IF(COUNTIF(N483:$Z483,"&gt;"&amp;0)&gt;5,IF(MOD(COUNTIF(M$641:M785,1),7)=0,$C$4,0),0)</f>
        <v>255.644107142858</v>
      </c>
      <c r="N483" s="81" cm="1">
        <f ca="1" t="array" ref="N483">IF(N785=1,OFFSET($Z$338,$B483,N$335-1)/SUMPRODUCT(--($D$335:$V$335=N$335),--($D785:$V785=1)),0)+SUM(N482)+IF(COUNTIF(N$641:N785,1)=1,5,0)+IF(COUNTIF(O483:$Z483,"&gt;"&amp;0)&gt;5,IF(MOD(COUNTIF(N$641:N785,1),7)=0,$C$4,0),0)</f>
        <v>247.919107142858</v>
      </c>
      <c r="O483" s="81" cm="1">
        <f ca="1" t="array" ref="O483">IF(O785=1,OFFSET($Z$338,$B483,O$335-1)/SUMPRODUCT(--($D$335:$V$335=O$335),--($D785:$V785=1)),0)+SUM(O482)+IF(COUNTIF(O$641:O785,1)=1,5,0)+IF(COUNTIF(P483:$Z483,"&gt;"&amp;0)&gt;5,IF(MOD(COUNTIF(O$641:O785,1),7)=0,$C$4,0),0)</f>
        <v>245.494107142858</v>
      </c>
      <c r="P483" s="81" cm="1">
        <f ca="1" t="array" ref="P483">IF(P785=1,OFFSET($Z$338,$B483,P$335-1)/SUMPRODUCT(--($D$335:$V$335=P$335),--($D785:$V785=1)),0)+SUM(P482)+IF(COUNTIF(P$641:P785,1)=1,5,0)+IF(COUNTIF(Q483:$Z483,"&gt;"&amp;0)&gt;5,IF(MOD(COUNTIF(P$641:P785,1),7)=0,$C$4,0),0)</f>
        <v>242.560773809524</v>
      </c>
      <c r="Q483" s="81" cm="1">
        <f ca="1" t="array" ref="Q483">IF(Q785=1,OFFSET($Z$338,$B483,Q$335-1)/SUMPRODUCT(--($D$335:$V$335=Q$335),--($D785:$V785=1)),0)+SUM(Q482)+IF(COUNTIF(Q$641:Q785,1)=1,5,0)+IF(COUNTIF(R483:$Z483,"&gt;"&amp;0)&gt;5,IF(MOD(COUNTIF(Q$641:Q785,1),7)=0,$C$4,0),0)</f>
        <v>236.654523809524</v>
      </c>
      <c r="R483" s="81" cm="1">
        <f ca="1" t="array" ref="R483">IF(R785=1,OFFSET($Z$338,$B483,R$335-1)/SUMPRODUCT(--($D$335:$V$335=R$335),--($D785:$V785=1)),0)+SUM(R482)+IF(COUNTIF(R$641:R785,1)=1,5,0)+IF(COUNTIF(S483:$Z483,"&gt;"&amp;0)&gt;5,IF(MOD(COUNTIF(R$641:R785,1),7)=0,$C$4,0),0)</f>
        <v>211.759523809524</v>
      </c>
      <c r="S483" s="81" cm="1">
        <f ca="1" t="array" ref="S483">IF(S785=1,OFFSET($Z$338,$B483,S$335-1)/SUMPRODUCT(--($D$335:$V$335=S$335),--($D785:$V785=1)),0)+SUM(S482)+IF(COUNTIF(S$641:S785,1)=1,5,0)+IF(COUNTIF(T483:$Z483,"&gt;"&amp;0)&gt;5,IF(MOD(COUNTIF(S$641:S785,1),7)=0,$C$4,0),0)</f>
        <v>207.592857142857</v>
      </c>
      <c r="T483" s="81" cm="1">
        <f ca="1" t="array" ref="T483">IF(T785=1,OFFSET($Z$338,$B483,T$335-1)/SUMPRODUCT(--($D$335:$V$335=T$335),--($D785:$V785=1)),0)+SUM(T482)+IF(COUNTIF(T$641:T785,1)=1,5,0)+IF(COUNTIF(U483:$Z483,"&gt;"&amp;0)&gt;5,IF(MOD(COUNTIF(T$641:T785,1),7)=0,$C$4,0),0)</f>
        <v>137.656257829764</v>
      </c>
      <c r="U483" s="81" cm="1">
        <f ca="1" t="array" ref="U483">IF(U785=1,OFFSET($Z$338,$B483,U$335-1)/SUMPRODUCT(--($D$335:$V$335=U$335),--($D785:$V785=1)),0)+SUM(U482)+IF(COUNTIF(U$641:U785,1)=1,5,0)+IF(COUNTIF(V483:$Z483,"&gt;"&amp;0)&gt;5,IF(MOD(COUNTIF(U$641:U785,1),7)=0,$C$4,0),0)</f>
        <v>97.6562578297643</v>
      </c>
      <c r="V483" s="81" cm="1">
        <f ca="1" t="array" ref="V483">IF(V785=1,OFFSET($Z$338,$B483,V$335-1)/SUMPRODUCT(--($D$335:$V$335=V$335),--($D785:$V785=1)),0)+SUM(V482)+IF(COUNTIF(V$641:V785,1)=1,5,0)+IF(COUNTIF(Z483:$Z483,"&gt;"&amp;0)&gt;5,IF(MOD(COUNTIF(V$641:V785,1),7)=0,$C$4,0),0)</f>
        <v>89.6984386404824</v>
      </c>
      <c r="W483" s="81" cm="1">
        <f ca="1" t="array" ref="W483">IF(W785=1,OFFSET($Z$338,$B483,W$335-1)/SUMPRODUCT(--($D$335:$V$335=W$335),--($D785:$V785=1)),0)+SUM(W482)+IF(COUNTIF(W$641:W785,1)=1,5,0)+IF(COUNTIF($Z483:AA483,"&gt;"&amp;0)&gt;5,IF(MOD(COUNTIF(W$641:W785,1),7)=0,$C$4,0),0)</f>
        <v>80.3425695255331</v>
      </c>
      <c r="X483" s="81" cm="1">
        <f ca="1" t="array" ref="X483">IF(X785=1,OFFSET($Z$338,$B483,X$335-1)/SUMPRODUCT(--($D$335:$V$335=X$335),--($D785:$V785=1)),0)+SUM(X482)+IF(COUNTIF(X$641:X785,1)=1,5,0)+IF(COUNTIF($Z483:AB483,"&gt;"&amp;0)&gt;5,IF(MOD(COUNTIF(X$641:X785,1),7)=0,$C$4,0),0)</f>
        <v>73.5789092348996</v>
      </c>
      <c r="Y483" s="81" cm="1">
        <f ca="1" t="array" ref="Y483">IF(Y785=1,OFFSET($Z$338,$B483,Y$335-1)/SUMPRODUCT(--($D$335:$V$335=Y$335),--($D785:$V785=1)),0)+SUM(Y482)+IF(COUNTIF(Y$641:Y785,1)=1,5,0)+IF(COUNTIF($Z483:AC483,"&gt;"&amp;0)&gt;5,IF(MOD(COUNTIF(Y$641:Y785,1),7)=0,$C$4,0),0)</f>
        <v>66.8152489442662</v>
      </c>
      <c r="Z483" s="82" cm="1">
        <f ca="1" t="array" ref="Z483">SUMPRODUCT(TRANSPOSE($AD483:$AJ483),OFFSET($L$10:$L$16,0,Z$335-1))</f>
        <v>0</v>
      </c>
      <c r="AA483" s="82" cm="1">
        <f ca="1" t="array" ref="AA483">SUMPRODUCT(TRANSPOSE($AD483:$AJ483),OFFSET($L$10:$L$16,0,AA$335-1))</f>
        <v>0</v>
      </c>
      <c r="AB483" s="82" cm="1">
        <f ca="1" t="array" ref="AB483">SUMPRODUCT(TRANSPOSE($AD483:$AJ483),OFFSET($L$10:$L$16,0,AB$335-1))</f>
        <v>0</v>
      </c>
      <c r="AC483" s="82" cm="1">
        <f ca="1" t="array" ref="AC483">SUMPRODUCT(TRANSPOSE($AD483:$AJ483),OFFSET($L$10:$L$16,0,AC$335-1))</f>
        <v>0</v>
      </c>
      <c r="AD483" s="83">
        <f ca="1" t="shared" ref="AD483:AJ483" si="613">AK483-AK482</f>
        <v>0</v>
      </c>
      <c r="AE483" s="83">
        <f ca="1" t="shared" si="613"/>
        <v>0</v>
      </c>
      <c r="AF483" s="83">
        <f ca="1" t="shared" si="613"/>
        <v>0</v>
      </c>
      <c r="AG483" s="83">
        <f ca="1" t="shared" si="613"/>
        <v>0</v>
      </c>
      <c r="AH483" s="83">
        <f ca="1" t="shared" si="613"/>
        <v>0</v>
      </c>
      <c r="AI483" s="83">
        <f ca="1" t="shared" si="613"/>
        <v>0</v>
      </c>
      <c r="AJ483" s="83">
        <f ca="1" t="shared" si="613"/>
        <v>0</v>
      </c>
      <c r="AK483" s="83">
        <f ca="1" t="shared" si="581"/>
        <v>450</v>
      </c>
      <c r="AL483" s="83">
        <f ca="1" t="shared" ref="AL483:AQ483" si="614">IF($C483&gt;OFFSET($Q$9,MATCH(AL$338,$AK$338:$AQ$338,0),0),OFFSET($P$9,MATCH(AL$338,$AK$338:$AQ$338,0),0),MAX(0,$C483-OFFSET($Q$9,RIGHT(AL$338,1)-1,0)))</f>
        <v>909</v>
      </c>
      <c r="AM483" s="83">
        <f ca="1" t="shared" si="614"/>
        <v>1818</v>
      </c>
      <c r="AN483" s="83">
        <f ca="1" t="shared" si="614"/>
        <v>2727</v>
      </c>
      <c r="AO483" s="83">
        <f ca="1" t="shared" si="614"/>
        <v>3636</v>
      </c>
      <c r="AP483" s="83">
        <f ca="1" t="shared" si="614"/>
        <v>4545</v>
      </c>
      <c r="AQ483" s="83">
        <f ca="1" t="shared" si="614"/>
        <v>0</v>
      </c>
    </row>
    <row r="484" ht="16.5" spans="2:43">
      <c r="B484" s="65">
        <v>146</v>
      </c>
      <c r="C484" s="80">
        <f t="shared" si="579"/>
        <v>17386</v>
      </c>
      <c r="D484" s="81" cm="1">
        <f ca="1" t="array" ref="D484">IF(D786=1,OFFSET($Z$338,$B484,D$335-1)/SUMPRODUCT(--($D$335:$V$335=D$335),--($D786:$V786=1)),0)+SUM(D483)+IF(COUNTIF(D$641:D786,1)=1,5,0)+IF(COUNTIF(E484:$Z484,"&gt;"&amp;0)&gt;5,IF(MOD(COUNTIF(D$641:D786,1),7)=0,$C$4,0),0)</f>
        <v>1218.82134856666</v>
      </c>
      <c r="E484" s="81" cm="1">
        <f ca="1" t="array" ref="E484">IF(E786=1,OFFSET($Z$338,$B484,E$335-1)/SUMPRODUCT(--($D$335:$V$335=E$335),--($D786:$V786=1)),0)+SUM(E483)+IF(COUNTIF(E$641:E786,1)=1,5,0)+IF(COUNTIF(F484:$Z484,"&gt;"&amp;0)&gt;5,IF(MOD(COUNTIF(E$641:E786,1),7)=0,$C$4,0),0)</f>
        <v>1218.82134856666</v>
      </c>
      <c r="F484" s="81" cm="1">
        <f ca="1" t="array" ref="F484">IF(F786=1,OFFSET($Z$338,$B484,F$335-1)/SUMPRODUCT(--($D$335:$V$335=F$335),--($D786:$V786=1)),0)+SUM(F483)+IF(COUNTIF(F$641:F786,1)=1,5,0)+IF(COUNTIF(G484:$Z484,"&gt;"&amp;0)&gt;5,IF(MOD(COUNTIF(F$641:F786,1),7)=0,$C$4,0),0)</f>
        <v>1218.82134856666</v>
      </c>
      <c r="G484" s="81" cm="1">
        <f ca="1" t="array" ref="G484">IF(G786=1,OFFSET($Z$338,$B484,G$335-1)/SUMPRODUCT(--($D$335:$V$335=G$335),--($D786:$V786=1)),0)+SUM(G483)+IF(COUNTIF(G$641:G786,1)=1,5,0)+IF(COUNTIF(H484:$Z484,"&gt;"&amp;0)&gt;5,IF(MOD(COUNTIF(G$641:G786,1),7)=0,$C$4,0),0)</f>
        <v>507.516666666668</v>
      </c>
      <c r="H484" s="81" cm="1">
        <f ca="1" t="array" ref="H484">IF(H786=1,OFFSET($Z$338,$B484,H$335-1)/SUMPRODUCT(--($D$335:$V$335=H$335),--($D786:$V786=1)),0)+SUM(H483)+IF(COUNTIF(H$641:H786,1)=1,5,0)+IF(COUNTIF(I484:$Z484,"&gt;"&amp;0)&gt;5,IF(MOD(COUNTIF(H$641:H786,1),7)=0,$C$4,0),0)</f>
        <v>507.516666666668</v>
      </c>
      <c r="I484" s="81" cm="1">
        <f ca="1" t="array" ref="I484">IF(I786=1,OFFSET($Z$338,$B484,I$335-1)/SUMPRODUCT(--($D$335:$V$335=I$335),--($D786:$V786=1)),0)+SUM(I483)+IF(COUNTIF(I$641:I786,1)=1,5,0)+IF(COUNTIF(J484:$Z484,"&gt;"&amp;0)&gt;5,IF(MOD(COUNTIF(I$641:I786,1),7)=0,$C$4,0),0)</f>
        <v>507.516666666668</v>
      </c>
      <c r="J484" s="81" cm="1">
        <f ca="1" t="array" ref="J484">IF(J786=1,OFFSET($Z$338,$B484,J$335-1)/SUMPRODUCT(--($D$335:$V$335=J$335),--($D786:$V786=1)),0)+SUM(J483)+IF(COUNTIF(J$641:J786,1)=1,5,0)+IF(COUNTIF(K484:$Z484,"&gt;"&amp;0)&gt;5,IF(MOD(COUNTIF(J$641:J786,1),7)=0,$C$4,0),0)</f>
        <v>507.516666666668</v>
      </c>
      <c r="K484" s="81" cm="1">
        <f ca="1" t="array" ref="K484">IF(K786=1,OFFSET($Z$338,$B484,K$335-1)/SUMPRODUCT(--($D$335:$V$335=K$335),--($D786:$V786=1)),0)+SUM(K483)+IF(COUNTIF(K$641:K786,1)=1,5,0)+IF(COUNTIF(L484:$Z484,"&gt;"&amp;0)&gt;5,IF(MOD(COUNTIF(K$641:K786,1),7)=0,$C$4,0),0)</f>
        <v>507.516666666668</v>
      </c>
      <c r="L484" s="81" cm="1">
        <f ca="1" t="array" ref="L484">IF(L786=1,OFFSET($Z$338,$B484,L$335-1)/SUMPRODUCT(--($D$335:$V$335=L$335),--($D786:$V786=1)),0)+SUM(L483)+IF(COUNTIF(L$641:L786,1)=1,5,0)+IF(COUNTIF(M484:$Z484,"&gt;"&amp;0)&gt;5,IF(MOD(COUNTIF(L$641:L786,1),7)=0,$C$4,0),0)</f>
        <v>500.816666666668</v>
      </c>
      <c r="M484" s="81" cm="1">
        <f ca="1" t="array" ref="M484">IF(M786=1,OFFSET($Z$338,$B484,M$335-1)/SUMPRODUCT(--($D$335:$V$335=M$335),--($D786:$V786=1)),0)+SUM(M483)+IF(COUNTIF(M$641:M786,1)=1,5,0)+IF(COUNTIF(N484:$Z484,"&gt;"&amp;0)&gt;5,IF(MOD(COUNTIF(M$641:M786,1),7)=0,$C$4,0),0)</f>
        <v>255.644107142858</v>
      </c>
      <c r="N484" s="81" cm="1">
        <f ca="1" t="array" ref="N484">IF(N786=1,OFFSET($Z$338,$B484,N$335-1)/SUMPRODUCT(--($D$335:$V$335=N$335),--($D786:$V786=1)),0)+SUM(N483)+IF(COUNTIF(N$641:N786,1)=1,5,0)+IF(COUNTIF(O484:$Z484,"&gt;"&amp;0)&gt;5,IF(MOD(COUNTIF(N$641:N786,1),7)=0,$C$4,0),0)</f>
        <v>247.919107142858</v>
      </c>
      <c r="O484" s="81" cm="1">
        <f ca="1" t="array" ref="O484">IF(O786=1,OFFSET($Z$338,$B484,O$335-1)/SUMPRODUCT(--($D$335:$V$335=O$335),--($D786:$V786=1)),0)+SUM(O483)+IF(COUNTIF(O$641:O786,1)=1,5,0)+IF(COUNTIF(P484:$Z484,"&gt;"&amp;0)&gt;5,IF(MOD(COUNTIF(O$641:O786,1),7)=0,$C$4,0),0)</f>
        <v>245.494107142858</v>
      </c>
      <c r="P484" s="81" cm="1">
        <f ca="1" t="array" ref="P484">IF(P786=1,OFFSET($Z$338,$B484,P$335-1)/SUMPRODUCT(--($D$335:$V$335=P$335),--($D786:$V786=1)),0)+SUM(P483)+IF(COUNTIF(P$641:P786,1)=1,5,0)+IF(COUNTIF(Q484:$Z484,"&gt;"&amp;0)&gt;5,IF(MOD(COUNTIF(P$641:P786,1),7)=0,$C$4,0),0)</f>
        <v>242.560773809524</v>
      </c>
      <c r="Q484" s="81" cm="1">
        <f ca="1" t="array" ref="Q484">IF(Q786=1,OFFSET($Z$338,$B484,Q$335-1)/SUMPRODUCT(--($D$335:$V$335=Q$335),--($D786:$V786=1)),0)+SUM(Q483)+IF(COUNTIF(Q$641:Q786,1)=1,5,0)+IF(COUNTIF(R484:$Z484,"&gt;"&amp;0)&gt;5,IF(MOD(COUNTIF(Q$641:Q786,1),7)=0,$C$4,0),0)</f>
        <v>241.654523809524</v>
      </c>
      <c r="R484" s="81" cm="1">
        <f ca="1" t="array" ref="R484">IF(R786=1,OFFSET($Z$338,$B484,R$335-1)/SUMPRODUCT(--($D$335:$V$335=R$335),--($D786:$V786=1)),0)+SUM(R483)+IF(COUNTIF(R$641:R786,1)=1,5,0)+IF(COUNTIF(S484:$Z484,"&gt;"&amp;0)&gt;5,IF(MOD(COUNTIF(R$641:R786,1),7)=0,$C$4,0),0)</f>
        <v>211.759523809524</v>
      </c>
      <c r="S484" s="81" cm="1">
        <f ca="1" t="array" ref="S484">IF(S786=1,OFFSET($Z$338,$B484,S$335-1)/SUMPRODUCT(--($D$335:$V$335=S$335),--($D786:$V786=1)),0)+SUM(S483)+IF(COUNTIF(S$641:S786,1)=1,5,0)+IF(COUNTIF(T484:$Z484,"&gt;"&amp;0)&gt;5,IF(MOD(COUNTIF(S$641:S786,1),7)=0,$C$4,0),0)</f>
        <v>207.592857142857</v>
      </c>
      <c r="T484" s="81" cm="1">
        <f ca="1" t="array" ref="T484">IF(T786=1,OFFSET($Z$338,$B484,T$335-1)/SUMPRODUCT(--($D$335:$V$335=T$335),--($D786:$V786=1)),0)+SUM(T483)+IF(COUNTIF(T$641:T786,1)=1,5,0)+IF(COUNTIF(U484:$Z484,"&gt;"&amp;0)&gt;5,IF(MOD(COUNTIF(T$641:T786,1),7)=0,$C$4,0),0)</f>
        <v>137.656257829764</v>
      </c>
      <c r="U484" s="81" cm="1">
        <f ca="1" t="array" ref="U484">IF(U786=1,OFFSET($Z$338,$B484,U$335-1)/SUMPRODUCT(--($D$335:$V$335=U$335),--($D786:$V786=1)),0)+SUM(U483)+IF(COUNTIF(U$641:U786,1)=1,5,0)+IF(COUNTIF(V484:$Z484,"&gt;"&amp;0)&gt;5,IF(MOD(COUNTIF(U$641:U786,1),7)=0,$C$4,0),0)</f>
        <v>97.6562578297643</v>
      </c>
      <c r="V484" s="81" cm="1">
        <f ca="1" t="array" ref="V484">IF(V786=1,OFFSET($Z$338,$B484,V$335-1)/SUMPRODUCT(--($D$335:$V$335=V$335),--($D786:$V786=1)),0)+SUM(V483)+IF(COUNTIF(V$641:V786,1)=1,5,0)+IF(COUNTIF(Z484:$Z484,"&gt;"&amp;0)&gt;5,IF(MOD(COUNTIF(V$641:V786,1),7)=0,$C$4,0),0)</f>
        <v>89.6984386404824</v>
      </c>
      <c r="W484" s="81" cm="1">
        <f ca="1" t="array" ref="W484">IF(W786=1,OFFSET($Z$338,$B484,W$335-1)/SUMPRODUCT(--($D$335:$V$335=W$335),--($D786:$V786=1)),0)+SUM(W483)+IF(COUNTIF(W$641:W786,1)=1,5,0)+IF(COUNTIF($Z484:AA484,"&gt;"&amp;0)&gt;5,IF(MOD(COUNTIF(W$641:W786,1),7)=0,$C$4,0),0)</f>
        <v>80.3425695255331</v>
      </c>
      <c r="X484" s="81" cm="1">
        <f ca="1" t="array" ref="X484">IF(X786=1,OFFSET($Z$338,$B484,X$335-1)/SUMPRODUCT(--($D$335:$V$335=X$335),--($D786:$V786=1)),0)+SUM(X483)+IF(COUNTIF(X$641:X786,1)=1,5,0)+IF(COUNTIF($Z484:AB484,"&gt;"&amp;0)&gt;5,IF(MOD(COUNTIF(X$641:X786,1),7)=0,$C$4,0),0)</f>
        <v>73.5789092348996</v>
      </c>
      <c r="Y484" s="81" cm="1">
        <f ca="1" t="array" ref="Y484">IF(Y786=1,OFFSET($Z$338,$B484,Y$335-1)/SUMPRODUCT(--($D$335:$V$335=Y$335),--($D786:$V786=1)),0)+SUM(Y483)+IF(COUNTIF(Y$641:Y786,1)=1,5,0)+IF(COUNTIF($Z484:AC484,"&gt;"&amp;0)&gt;5,IF(MOD(COUNTIF(Y$641:Y786,1),7)=0,$C$4,0),0)</f>
        <v>66.8152489442662</v>
      </c>
      <c r="Z484" s="82" cm="1">
        <f ca="1" t="array" ref="Z484">SUMPRODUCT(TRANSPOSE($AD484:$AJ484),OFFSET($L$10:$L$16,0,Z$335-1))</f>
        <v>0</v>
      </c>
      <c r="AA484" s="82" cm="1">
        <f ca="1" t="array" ref="AA484">SUMPRODUCT(TRANSPOSE($AD484:$AJ484),OFFSET($L$10:$L$16,0,AA$335-1))</f>
        <v>0</v>
      </c>
      <c r="AB484" s="82" cm="1">
        <f ca="1" t="array" ref="AB484">SUMPRODUCT(TRANSPOSE($AD484:$AJ484),OFFSET($L$10:$L$16,0,AB$335-1))</f>
        <v>0</v>
      </c>
      <c r="AC484" s="82" cm="1">
        <f ca="1" t="array" ref="AC484">SUMPRODUCT(TRANSPOSE($AD484:$AJ484),OFFSET($L$10:$L$16,0,AC$335-1))</f>
        <v>0</v>
      </c>
      <c r="AD484" s="83">
        <f ca="1" t="shared" ref="AD484:AJ484" si="615">AK484-AK483</f>
        <v>0</v>
      </c>
      <c r="AE484" s="83">
        <f ca="1" t="shared" si="615"/>
        <v>0</v>
      </c>
      <c r="AF484" s="83">
        <f ca="1" t="shared" si="615"/>
        <v>0</v>
      </c>
      <c r="AG484" s="83">
        <f ca="1" t="shared" si="615"/>
        <v>0</v>
      </c>
      <c r="AH484" s="83">
        <f ca="1" t="shared" si="615"/>
        <v>0</v>
      </c>
      <c r="AI484" s="83">
        <f ca="1" t="shared" si="615"/>
        <v>0</v>
      </c>
      <c r="AJ484" s="83">
        <f ca="1" t="shared" si="615"/>
        <v>0</v>
      </c>
      <c r="AK484" s="83">
        <f ca="1" t="shared" si="581"/>
        <v>450</v>
      </c>
      <c r="AL484" s="83">
        <f ca="1" t="shared" ref="AL484:AQ484" si="616">IF($C484&gt;OFFSET($Q$9,MATCH(AL$338,$AK$338:$AQ$338,0),0),OFFSET($P$9,MATCH(AL$338,$AK$338:$AQ$338,0),0),MAX(0,$C484-OFFSET($Q$9,RIGHT(AL$338,1)-1,0)))</f>
        <v>909</v>
      </c>
      <c r="AM484" s="83">
        <f ca="1" t="shared" si="616"/>
        <v>1818</v>
      </c>
      <c r="AN484" s="83">
        <f ca="1" t="shared" si="616"/>
        <v>2727</v>
      </c>
      <c r="AO484" s="83">
        <f ca="1" t="shared" si="616"/>
        <v>3636</v>
      </c>
      <c r="AP484" s="83">
        <f ca="1" t="shared" si="616"/>
        <v>4545</v>
      </c>
      <c r="AQ484" s="83">
        <f ca="1" t="shared" si="616"/>
        <v>0</v>
      </c>
    </row>
    <row r="485" ht="16.5" spans="2:43">
      <c r="B485" s="65">
        <v>147</v>
      </c>
      <c r="C485" s="80">
        <f t="shared" si="579"/>
        <v>17496</v>
      </c>
      <c r="D485" s="81" cm="1">
        <f ca="1" t="array" ref="D485">IF(D787=1,OFFSET($Z$338,$B485,D$335-1)/SUMPRODUCT(--($D$335:$V$335=D$335),--($D787:$V787=1)),0)+SUM(D484)+IF(COUNTIF(D$641:D787,1)=1,5,0)+IF(COUNTIF(E485:$Z485,"&gt;"&amp;0)&gt;5,IF(MOD(COUNTIF(D$641:D787,1),7)=0,$C$4,0),0)</f>
        <v>1223.82134856666</v>
      </c>
      <c r="E485" s="81" cm="1">
        <f ca="1" t="array" ref="E485">IF(E787=1,OFFSET($Z$338,$B485,E$335-1)/SUMPRODUCT(--($D$335:$V$335=E$335),--($D787:$V787=1)),0)+SUM(E484)+IF(COUNTIF(E$641:E787,1)=1,5,0)+IF(COUNTIF(F485:$Z485,"&gt;"&amp;0)&gt;5,IF(MOD(COUNTIF(E$641:E787,1),7)=0,$C$4,0),0)</f>
        <v>1223.82134856666</v>
      </c>
      <c r="F485" s="81" cm="1">
        <f ca="1" t="array" ref="F485">IF(F787=1,OFFSET($Z$338,$B485,F$335-1)/SUMPRODUCT(--($D$335:$V$335=F$335),--($D787:$V787=1)),0)+SUM(F484)+IF(COUNTIF(F$641:F787,1)=1,5,0)+IF(COUNTIF(G485:$Z485,"&gt;"&amp;0)&gt;5,IF(MOD(COUNTIF(F$641:F787,1),7)=0,$C$4,0),0)</f>
        <v>1223.82134856666</v>
      </c>
      <c r="G485" s="81" cm="1">
        <f ca="1" t="array" ref="G485">IF(G787=1,OFFSET($Z$338,$B485,G$335-1)/SUMPRODUCT(--($D$335:$V$335=G$335),--($D787:$V787=1)),0)+SUM(G484)+IF(COUNTIF(G$641:G787,1)=1,5,0)+IF(COUNTIF(H485:$Z485,"&gt;"&amp;0)&gt;5,IF(MOD(COUNTIF(G$641:G787,1),7)=0,$C$4,0),0)</f>
        <v>512.516666666668</v>
      </c>
      <c r="H485" s="81" cm="1">
        <f ca="1" t="array" ref="H485">IF(H787=1,OFFSET($Z$338,$B485,H$335-1)/SUMPRODUCT(--($D$335:$V$335=H$335),--($D787:$V787=1)),0)+SUM(H484)+IF(COUNTIF(H$641:H787,1)=1,5,0)+IF(COUNTIF(I485:$Z485,"&gt;"&amp;0)&gt;5,IF(MOD(COUNTIF(H$641:H787,1),7)=0,$C$4,0),0)</f>
        <v>512.516666666668</v>
      </c>
      <c r="I485" s="81" cm="1">
        <f ca="1" t="array" ref="I485">IF(I787=1,OFFSET($Z$338,$B485,I$335-1)/SUMPRODUCT(--($D$335:$V$335=I$335),--($D787:$V787=1)),0)+SUM(I484)+IF(COUNTIF(I$641:I787,1)=1,5,0)+IF(COUNTIF(J485:$Z485,"&gt;"&amp;0)&gt;5,IF(MOD(COUNTIF(I$641:I787,1),7)=0,$C$4,0),0)</f>
        <v>512.516666666668</v>
      </c>
      <c r="J485" s="81" cm="1">
        <f ca="1" t="array" ref="J485">IF(J787=1,OFFSET($Z$338,$B485,J$335-1)/SUMPRODUCT(--($D$335:$V$335=J$335),--($D787:$V787=1)),0)+SUM(J484)+IF(COUNTIF(J$641:J787,1)=1,5,0)+IF(COUNTIF(K485:$Z485,"&gt;"&amp;0)&gt;5,IF(MOD(COUNTIF(J$641:J787,1),7)=0,$C$4,0),0)</f>
        <v>512.516666666668</v>
      </c>
      <c r="K485" s="81" cm="1">
        <f ca="1" t="array" ref="K485">IF(K787=1,OFFSET($Z$338,$B485,K$335-1)/SUMPRODUCT(--($D$335:$V$335=K$335),--($D787:$V787=1)),0)+SUM(K484)+IF(COUNTIF(K$641:K787,1)=1,5,0)+IF(COUNTIF(L485:$Z485,"&gt;"&amp;0)&gt;5,IF(MOD(COUNTIF(K$641:K787,1),7)=0,$C$4,0),0)</f>
        <v>512.516666666668</v>
      </c>
      <c r="L485" s="81" cm="1">
        <f ca="1" t="array" ref="L485">IF(L787=1,OFFSET($Z$338,$B485,L$335-1)/SUMPRODUCT(--($D$335:$V$335=L$335),--($D787:$V787=1)),0)+SUM(L484)+IF(COUNTIF(L$641:L787,1)=1,5,0)+IF(COUNTIF(M485:$Z485,"&gt;"&amp;0)&gt;5,IF(MOD(COUNTIF(L$641:L787,1),7)=0,$C$4,0),0)</f>
        <v>500.816666666668</v>
      </c>
      <c r="M485" s="81" cm="1">
        <f ca="1" t="array" ref="M485">IF(M787=1,OFFSET($Z$338,$B485,M$335-1)/SUMPRODUCT(--($D$335:$V$335=M$335),--($D787:$V787=1)),0)+SUM(M484)+IF(COUNTIF(M$641:M787,1)=1,5,0)+IF(COUNTIF(N485:$Z485,"&gt;"&amp;0)&gt;5,IF(MOD(COUNTIF(M$641:M787,1),7)=0,$C$4,0),0)</f>
        <v>255.644107142858</v>
      </c>
      <c r="N485" s="81" cm="1">
        <f ca="1" t="array" ref="N485">IF(N787=1,OFFSET($Z$338,$B485,N$335-1)/SUMPRODUCT(--($D$335:$V$335=N$335),--($D787:$V787=1)),0)+SUM(N484)+IF(COUNTIF(N$641:N787,1)=1,5,0)+IF(COUNTIF(O485:$Z485,"&gt;"&amp;0)&gt;5,IF(MOD(COUNTIF(N$641:N787,1),7)=0,$C$4,0),0)</f>
        <v>247.919107142858</v>
      </c>
      <c r="O485" s="81" cm="1">
        <f ca="1" t="array" ref="O485">IF(O787=1,OFFSET($Z$338,$B485,O$335-1)/SUMPRODUCT(--($D$335:$V$335=O$335),--($D787:$V787=1)),0)+SUM(O484)+IF(COUNTIF(O$641:O787,1)=1,5,0)+IF(COUNTIF(P485:$Z485,"&gt;"&amp;0)&gt;5,IF(MOD(COUNTIF(O$641:O787,1),7)=0,$C$4,0),0)</f>
        <v>245.494107142858</v>
      </c>
      <c r="P485" s="81" cm="1">
        <f ca="1" t="array" ref="P485">IF(P787=1,OFFSET($Z$338,$B485,P$335-1)/SUMPRODUCT(--($D$335:$V$335=P$335),--($D787:$V787=1)),0)+SUM(P484)+IF(COUNTIF(P$641:P787,1)=1,5,0)+IF(COUNTIF(Q485:$Z485,"&gt;"&amp;0)&gt;5,IF(MOD(COUNTIF(P$641:P787,1),7)=0,$C$4,0),0)</f>
        <v>242.560773809524</v>
      </c>
      <c r="Q485" s="81" cm="1">
        <f ca="1" t="array" ref="Q485">IF(Q787=1,OFFSET($Z$338,$B485,Q$335-1)/SUMPRODUCT(--($D$335:$V$335=Q$335),--($D787:$V787=1)),0)+SUM(Q484)+IF(COUNTIF(Q$641:Q787,1)=1,5,0)+IF(COUNTIF(R485:$Z485,"&gt;"&amp;0)&gt;5,IF(MOD(COUNTIF(Q$641:Q787,1),7)=0,$C$4,0),0)</f>
        <v>241.654523809524</v>
      </c>
      <c r="R485" s="81" cm="1">
        <f ca="1" t="array" ref="R485">IF(R787=1,OFFSET($Z$338,$B485,R$335-1)/SUMPRODUCT(--($D$335:$V$335=R$335),--($D787:$V787=1)),0)+SUM(R484)+IF(COUNTIF(R$641:R787,1)=1,5,0)+IF(COUNTIF(S485:$Z485,"&gt;"&amp;0)&gt;5,IF(MOD(COUNTIF(R$641:R787,1),7)=0,$C$4,0),0)</f>
        <v>216.759523809524</v>
      </c>
      <c r="S485" s="81" cm="1">
        <f ca="1" t="array" ref="S485">IF(S787=1,OFFSET($Z$338,$B485,S$335-1)/SUMPRODUCT(--($D$335:$V$335=S$335),--($D787:$V787=1)),0)+SUM(S484)+IF(COUNTIF(S$641:S787,1)=1,5,0)+IF(COUNTIF(T485:$Z485,"&gt;"&amp;0)&gt;5,IF(MOD(COUNTIF(S$641:S787,1),7)=0,$C$4,0),0)</f>
        <v>207.592857142857</v>
      </c>
      <c r="T485" s="81" cm="1">
        <f ca="1" t="array" ref="T485">IF(T787=1,OFFSET($Z$338,$B485,T$335-1)/SUMPRODUCT(--($D$335:$V$335=T$335),--($D787:$V787=1)),0)+SUM(T484)+IF(COUNTIF(T$641:T787,1)=1,5,0)+IF(COUNTIF(U485:$Z485,"&gt;"&amp;0)&gt;5,IF(MOD(COUNTIF(T$641:T787,1),7)=0,$C$4,0),0)</f>
        <v>137.656257829764</v>
      </c>
      <c r="U485" s="81" cm="1">
        <f ca="1" t="array" ref="U485">IF(U787=1,OFFSET($Z$338,$B485,U$335-1)/SUMPRODUCT(--($D$335:$V$335=U$335),--($D787:$V787=1)),0)+SUM(U484)+IF(COUNTIF(U$641:U787,1)=1,5,0)+IF(COUNTIF(V485:$Z485,"&gt;"&amp;0)&gt;5,IF(MOD(COUNTIF(U$641:U787,1),7)=0,$C$4,0),0)</f>
        <v>97.6562578297643</v>
      </c>
      <c r="V485" s="81" cm="1">
        <f ca="1" t="array" ref="V485">IF(V787=1,OFFSET($Z$338,$B485,V$335-1)/SUMPRODUCT(--($D$335:$V$335=V$335),--($D787:$V787=1)),0)+SUM(V484)+IF(COUNTIF(V$641:V787,1)=1,5,0)+IF(COUNTIF(Z485:$Z485,"&gt;"&amp;0)&gt;5,IF(MOD(COUNTIF(V$641:V787,1),7)=0,$C$4,0),0)</f>
        <v>89.6984386404824</v>
      </c>
      <c r="W485" s="81" cm="1">
        <f ca="1" t="array" ref="W485">IF(W787=1,OFFSET($Z$338,$B485,W$335-1)/SUMPRODUCT(--($D$335:$V$335=W$335),--($D787:$V787=1)),0)+SUM(W484)+IF(COUNTIF(W$641:W787,1)=1,5,0)+IF(COUNTIF($Z485:AA485,"&gt;"&amp;0)&gt;5,IF(MOD(COUNTIF(W$641:W787,1),7)=0,$C$4,0),0)</f>
        <v>80.3425695255331</v>
      </c>
      <c r="X485" s="81" cm="1">
        <f ca="1" t="array" ref="X485">IF(X787=1,OFFSET($Z$338,$B485,X$335-1)/SUMPRODUCT(--($D$335:$V$335=X$335),--($D787:$V787=1)),0)+SUM(X484)+IF(COUNTIF(X$641:X787,1)=1,5,0)+IF(COUNTIF($Z485:AB485,"&gt;"&amp;0)&gt;5,IF(MOD(COUNTIF(X$641:X787,1),7)=0,$C$4,0),0)</f>
        <v>73.5789092348996</v>
      </c>
      <c r="Y485" s="81" cm="1">
        <f ca="1" t="array" ref="Y485">IF(Y787=1,OFFSET($Z$338,$B485,Y$335-1)/SUMPRODUCT(--($D$335:$V$335=Y$335),--($D787:$V787=1)),0)+SUM(Y484)+IF(COUNTIF(Y$641:Y787,1)=1,5,0)+IF(COUNTIF($Z485:AC485,"&gt;"&amp;0)&gt;5,IF(MOD(COUNTIF(Y$641:Y787,1),7)=0,$C$4,0),0)</f>
        <v>66.8152489442662</v>
      </c>
      <c r="Z485" s="82" cm="1">
        <f ca="1" t="array" ref="Z485">SUMPRODUCT(TRANSPOSE($AD485:$AJ485),OFFSET($L$10:$L$16,0,Z$335-1))</f>
        <v>0</v>
      </c>
      <c r="AA485" s="82" cm="1">
        <f ca="1" t="array" ref="AA485">SUMPRODUCT(TRANSPOSE($AD485:$AJ485),OFFSET($L$10:$L$16,0,AA$335-1))</f>
        <v>0</v>
      </c>
      <c r="AB485" s="82" cm="1">
        <f ca="1" t="array" ref="AB485">SUMPRODUCT(TRANSPOSE($AD485:$AJ485),OFFSET($L$10:$L$16,0,AB$335-1))</f>
        <v>0</v>
      </c>
      <c r="AC485" s="82" cm="1">
        <f ca="1" t="array" ref="AC485">SUMPRODUCT(TRANSPOSE($AD485:$AJ485),OFFSET($L$10:$L$16,0,AC$335-1))</f>
        <v>0</v>
      </c>
      <c r="AD485" s="83">
        <f ca="1" t="shared" ref="AD485:AJ485" si="617">AK485-AK484</f>
        <v>0</v>
      </c>
      <c r="AE485" s="83">
        <f ca="1" t="shared" si="617"/>
        <v>0</v>
      </c>
      <c r="AF485" s="83">
        <f ca="1" t="shared" si="617"/>
        <v>0</v>
      </c>
      <c r="AG485" s="83">
        <f ca="1" t="shared" si="617"/>
        <v>0</v>
      </c>
      <c r="AH485" s="83">
        <f ca="1" t="shared" si="617"/>
        <v>0</v>
      </c>
      <c r="AI485" s="83">
        <f ca="1" t="shared" si="617"/>
        <v>0</v>
      </c>
      <c r="AJ485" s="83">
        <f ca="1" t="shared" si="617"/>
        <v>0</v>
      </c>
      <c r="AK485" s="83">
        <f ca="1" t="shared" si="581"/>
        <v>450</v>
      </c>
      <c r="AL485" s="83">
        <f ca="1" t="shared" ref="AL485:AQ485" si="618">IF($C485&gt;OFFSET($Q$9,MATCH(AL$338,$AK$338:$AQ$338,0),0),OFFSET($P$9,MATCH(AL$338,$AK$338:$AQ$338,0),0),MAX(0,$C485-OFFSET($Q$9,RIGHT(AL$338,1)-1,0)))</f>
        <v>909</v>
      </c>
      <c r="AM485" s="83">
        <f ca="1" t="shared" si="618"/>
        <v>1818</v>
      </c>
      <c r="AN485" s="83">
        <f ca="1" t="shared" si="618"/>
        <v>2727</v>
      </c>
      <c r="AO485" s="83">
        <f ca="1" t="shared" si="618"/>
        <v>3636</v>
      </c>
      <c r="AP485" s="83">
        <f ca="1" t="shared" si="618"/>
        <v>4545</v>
      </c>
      <c r="AQ485" s="83">
        <f ca="1" t="shared" si="618"/>
        <v>0</v>
      </c>
    </row>
    <row r="486" ht="16.5" spans="2:43">
      <c r="B486" s="65">
        <v>148</v>
      </c>
      <c r="C486" s="80">
        <f t="shared" si="579"/>
        <v>17606</v>
      </c>
      <c r="D486" s="81" cm="1">
        <f ca="1" t="array" ref="D486">IF(D788=1,OFFSET($Z$338,$B486,D$335-1)/SUMPRODUCT(--($D$335:$V$335=D$335),--($D788:$V788=1)),0)+SUM(D485)+IF(COUNTIF(D$641:D788,1)=1,5,0)+IF(COUNTIF(E486:$Z486,"&gt;"&amp;0)&gt;5,IF(MOD(COUNTIF(D$641:D788,1),7)=0,$C$4,0),0)</f>
        <v>1223.82134856666</v>
      </c>
      <c r="E486" s="81" cm="1">
        <f ca="1" t="array" ref="E486">IF(E788=1,OFFSET($Z$338,$B486,E$335-1)/SUMPRODUCT(--($D$335:$V$335=E$335),--($D788:$V788=1)),0)+SUM(E485)+IF(COUNTIF(E$641:E788,1)=1,5,0)+IF(COUNTIF(F486:$Z486,"&gt;"&amp;0)&gt;5,IF(MOD(COUNTIF(E$641:E788,1),7)=0,$C$4,0),0)</f>
        <v>1223.82134856666</v>
      </c>
      <c r="F486" s="81" cm="1">
        <f ca="1" t="array" ref="F486">IF(F788=1,OFFSET($Z$338,$B486,F$335-1)/SUMPRODUCT(--($D$335:$V$335=F$335),--($D788:$V788=1)),0)+SUM(F485)+IF(COUNTIF(F$641:F788,1)=1,5,0)+IF(COUNTIF(G486:$Z486,"&gt;"&amp;0)&gt;5,IF(MOD(COUNTIF(F$641:F788,1),7)=0,$C$4,0),0)</f>
        <v>1223.82134856666</v>
      </c>
      <c r="G486" s="81" cm="1">
        <f ca="1" t="array" ref="G486">IF(G788=1,OFFSET($Z$338,$B486,G$335-1)/SUMPRODUCT(--($D$335:$V$335=G$335),--($D788:$V788=1)),0)+SUM(G485)+IF(COUNTIF(G$641:G788,1)=1,5,0)+IF(COUNTIF(H486:$Z486,"&gt;"&amp;0)&gt;5,IF(MOD(COUNTIF(G$641:G788,1),7)=0,$C$4,0),0)</f>
        <v>512.516666666668</v>
      </c>
      <c r="H486" s="81" cm="1">
        <f ca="1" t="array" ref="H486">IF(H788=1,OFFSET($Z$338,$B486,H$335-1)/SUMPRODUCT(--($D$335:$V$335=H$335),--($D788:$V788=1)),0)+SUM(H485)+IF(COUNTIF(H$641:H788,1)=1,5,0)+IF(COUNTIF(I486:$Z486,"&gt;"&amp;0)&gt;5,IF(MOD(COUNTIF(H$641:H788,1),7)=0,$C$4,0),0)</f>
        <v>512.516666666668</v>
      </c>
      <c r="I486" s="81" cm="1">
        <f ca="1" t="array" ref="I486">IF(I788=1,OFFSET($Z$338,$B486,I$335-1)/SUMPRODUCT(--($D$335:$V$335=I$335),--($D788:$V788=1)),0)+SUM(I485)+IF(COUNTIF(I$641:I788,1)=1,5,0)+IF(COUNTIF(J486:$Z486,"&gt;"&amp;0)&gt;5,IF(MOD(COUNTIF(I$641:I788,1),7)=0,$C$4,0),0)</f>
        <v>512.516666666668</v>
      </c>
      <c r="J486" s="81" cm="1">
        <f ca="1" t="array" ref="J486">IF(J788=1,OFFSET($Z$338,$B486,J$335-1)/SUMPRODUCT(--($D$335:$V$335=J$335),--($D788:$V788=1)),0)+SUM(J485)+IF(COUNTIF(J$641:J788,1)=1,5,0)+IF(COUNTIF(K486:$Z486,"&gt;"&amp;0)&gt;5,IF(MOD(COUNTIF(J$641:J788,1),7)=0,$C$4,0),0)</f>
        <v>512.516666666668</v>
      </c>
      <c r="K486" s="81" cm="1">
        <f ca="1" t="array" ref="K486">IF(K788=1,OFFSET($Z$338,$B486,K$335-1)/SUMPRODUCT(--($D$335:$V$335=K$335),--($D788:$V788=1)),0)+SUM(K485)+IF(COUNTIF(K$641:K788,1)=1,5,0)+IF(COUNTIF(L486:$Z486,"&gt;"&amp;0)&gt;5,IF(MOD(COUNTIF(K$641:K788,1),7)=0,$C$4,0),0)</f>
        <v>512.516666666668</v>
      </c>
      <c r="L486" s="81" cm="1">
        <f ca="1" t="array" ref="L486">IF(L788=1,OFFSET($Z$338,$B486,L$335-1)/SUMPRODUCT(--($D$335:$V$335=L$335),--($D788:$V788=1)),0)+SUM(L485)+IF(COUNTIF(L$641:L788,1)=1,5,0)+IF(COUNTIF(M486:$Z486,"&gt;"&amp;0)&gt;5,IF(MOD(COUNTIF(L$641:L788,1),7)=0,$C$4,0),0)</f>
        <v>505.816666666668</v>
      </c>
      <c r="M486" s="81" cm="1">
        <f ca="1" t="array" ref="M486">IF(M788=1,OFFSET($Z$338,$B486,M$335-1)/SUMPRODUCT(--($D$335:$V$335=M$335),--($D788:$V788=1)),0)+SUM(M485)+IF(COUNTIF(M$641:M788,1)=1,5,0)+IF(COUNTIF(N486:$Z486,"&gt;"&amp;0)&gt;5,IF(MOD(COUNTIF(M$641:M788,1),7)=0,$C$4,0),0)</f>
        <v>260.644107142858</v>
      </c>
      <c r="N486" s="81" cm="1">
        <f ca="1" t="array" ref="N486">IF(N788=1,OFFSET($Z$338,$B486,N$335-1)/SUMPRODUCT(--($D$335:$V$335=N$335),--($D788:$V788=1)),0)+SUM(N485)+IF(COUNTIF(N$641:N788,1)=1,5,0)+IF(COUNTIF(O486:$Z486,"&gt;"&amp;0)&gt;5,IF(MOD(COUNTIF(N$641:N788,1),7)=0,$C$4,0),0)</f>
        <v>247.919107142858</v>
      </c>
      <c r="O486" s="81" cm="1">
        <f ca="1" t="array" ref="O486">IF(O788=1,OFFSET($Z$338,$B486,O$335-1)/SUMPRODUCT(--($D$335:$V$335=O$335),--($D788:$V788=1)),0)+SUM(O485)+IF(COUNTIF(O$641:O788,1)=1,5,0)+IF(COUNTIF(P486:$Z486,"&gt;"&amp;0)&gt;5,IF(MOD(COUNTIF(O$641:O788,1),7)=0,$C$4,0),0)</f>
        <v>245.494107142858</v>
      </c>
      <c r="P486" s="81" cm="1">
        <f ca="1" t="array" ref="P486">IF(P788=1,OFFSET($Z$338,$B486,P$335-1)/SUMPRODUCT(--($D$335:$V$335=P$335),--($D788:$V788=1)),0)+SUM(P485)+IF(COUNTIF(P$641:P788,1)=1,5,0)+IF(COUNTIF(Q486:$Z486,"&gt;"&amp;0)&gt;5,IF(MOD(COUNTIF(P$641:P788,1),7)=0,$C$4,0),0)</f>
        <v>242.560773809524</v>
      </c>
      <c r="Q486" s="81" cm="1">
        <f ca="1" t="array" ref="Q486">IF(Q788=1,OFFSET($Z$338,$B486,Q$335-1)/SUMPRODUCT(--($D$335:$V$335=Q$335),--($D788:$V788=1)),0)+SUM(Q485)+IF(COUNTIF(Q$641:Q788,1)=1,5,0)+IF(COUNTIF(R486:$Z486,"&gt;"&amp;0)&gt;5,IF(MOD(COUNTIF(Q$641:Q788,1),7)=0,$C$4,0),0)</f>
        <v>241.654523809524</v>
      </c>
      <c r="R486" s="81" cm="1">
        <f ca="1" t="array" ref="R486">IF(R788=1,OFFSET($Z$338,$B486,R$335-1)/SUMPRODUCT(--($D$335:$V$335=R$335),--($D788:$V788=1)),0)+SUM(R485)+IF(COUNTIF(R$641:R788,1)=1,5,0)+IF(COUNTIF(S486:$Z486,"&gt;"&amp;0)&gt;5,IF(MOD(COUNTIF(R$641:R788,1),7)=0,$C$4,0),0)</f>
        <v>216.759523809524</v>
      </c>
      <c r="S486" s="81" cm="1">
        <f ca="1" t="array" ref="S486">IF(S788=1,OFFSET($Z$338,$B486,S$335-1)/SUMPRODUCT(--($D$335:$V$335=S$335),--($D788:$V788=1)),0)+SUM(S485)+IF(COUNTIF(S$641:S788,1)=1,5,0)+IF(COUNTIF(T486:$Z486,"&gt;"&amp;0)&gt;5,IF(MOD(COUNTIF(S$641:S788,1),7)=0,$C$4,0),0)</f>
        <v>207.592857142857</v>
      </c>
      <c r="T486" s="81" cm="1">
        <f ca="1" t="array" ref="T486">IF(T788=1,OFFSET($Z$338,$B486,T$335-1)/SUMPRODUCT(--($D$335:$V$335=T$335),--($D788:$V788=1)),0)+SUM(T485)+IF(COUNTIF(T$641:T788,1)=1,5,0)+IF(COUNTIF(U486:$Z486,"&gt;"&amp;0)&gt;5,IF(MOD(COUNTIF(T$641:T788,1),7)=0,$C$4,0),0)</f>
        <v>137.656257829764</v>
      </c>
      <c r="U486" s="81" cm="1">
        <f ca="1" t="array" ref="U486">IF(U788=1,OFFSET($Z$338,$B486,U$335-1)/SUMPRODUCT(--($D$335:$V$335=U$335),--($D788:$V788=1)),0)+SUM(U485)+IF(COUNTIF(U$641:U788,1)=1,5,0)+IF(COUNTIF(V486:$Z486,"&gt;"&amp;0)&gt;5,IF(MOD(COUNTIF(U$641:U788,1),7)=0,$C$4,0),0)</f>
        <v>97.6562578297643</v>
      </c>
      <c r="V486" s="81" cm="1">
        <f ca="1" t="array" ref="V486">IF(V788=1,OFFSET($Z$338,$B486,V$335-1)/SUMPRODUCT(--($D$335:$V$335=V$335),--($D788:$V788=1)),0)+SUM(V485)+IF(COUNTIF(V$641:V788,1)=1,5,0)+IF(COUNTIF(Z486:$Z486,"&gt;"&amp;0)&gt;5,IF(MOD(COUNTIF(V$641:V788,1),7)=0,$C$4,0),0)</f>
        <v>89.6984386404824</v>
      </c>
      <c r="W486" s="81" cm="1">
        <f ca="1" t="array" ref="W486">IF(W788=1,OFFSET($Z$338,$B486,W$335-1)/SUMPRODUCT(--($D$335:$V$335=W$335),--($D788:$V788=1)),0)+SUM(W485)+IF(COUNTIF(W$641:W788,1)=1,5,0)+IF(COUNTIF($Z486:AA486,"&gt;"&amp;0)&gt;5,IF(MOD(COUNTIF(W$641:W788,1),7)=0,$C$4,0),0)</f>
        <v>80.3425695255331</v>
      </c>
      <c r="X486" s="81" cm="1">
        <f ca="1" t="array" ref="X486">IF(X788=1,OFFSET($Z$338,$B486,X$335-1)/SUMPRODUCT(--($D$335:$V$335=X$335),--($D788:$V788=1)),0)+SUM(X485)+IF(COUNTIF(X$641:X788,1)=1,5,0)+IF(COUNTIF($Z486:AB486,"&gt;"&amp;0)&gt;5,IF(MOD(COUNTIF(X$641:X788,1),7)=0,$C$4,0),0)</f>
        <v>73.5789092348996</v>
      </c>
      <c r="Y486" s="81" cm="1">
        <f ca="1" t="array" ref="Y486">IF(Y788=1,OFFSET($Z$338,$B486,Y$335-1)/SUMPRODUCT(--($D$335:$V$335=Y$335),--($D788:$V788=1)),0)+SUM(Y485)+IF(COUNTIF(Y$641:Y788,1)=1,5,0)+IF(COUNTIF($Z486:AC486,"&gt;"&amp;0)&gt;5,IF(MOD(COUNTIF(Y$641:Y788,1),7)=0,$C$4,0),0)</f>
        <v>66.8152489442662</v>
      </c>
      <c r="Z486" s="82" cm="1">
        <f ca="1" t="array" ref="Z486">SUMPRODUCT(TRANSPOSE($AD486:$AJ486),OFFSET($L$10:$L$16,0,Z$335-1))</f>
        <v>0</v>
      </c>
      <c r="AA486" s="82" cm="1">
        <f ca="1" t="array" ref="AA486">SUMPRODUCT(TRANSPOSE($AD486:$AJ486),OFFSET($L$10:$L$16,0,AA$335-1))</f>
        <v>0</v>
      </c>
      <c r="AB486" s="82" cm="1">
        <f ca="1" t="array" ref="AB486">SUMPRODUCT(TRANSPOSE($AD486:$AJ486),OFFSET($L$10:$L$16,0,AB$335-1))</f>
        <v>0</v>
      </c>
      <c r="AC486" s="82" cm="1">
        <f ca="1" t="array" ref="AC486">SUMPRODUCT(TRANSPOSE($AD486:$AJ486),OFFSET($L$10:$L$16,0,AC$335-1))</f>
        <v>0</v>
      </c>
      <c r="AD486" s="83">
        <f ca="1" t="shared" ref="AD486:AJ486" si="619">AK486-AK485</f>
        <v>0</v>
      </c>
      <c r="AE486" s="83">
        <f ca="1" t="shared" si="619"/>
        <v>0</v>
      </c>
      <c r="AF486" s="83">
        <f ca="1" t="shared" si="619"/>
        <v>0</v>
      </c>
      <c r="AG486" s="83">
        <f ca="1" t="shared" si="619"/>
        <v>0</v>
      </c>
      <c r="AH486" s="83">
        <f ca="1" t="shared" si="619"/>
        <v>0</v>
      </c>
      <c r="AI486" s="83">
        <f ca="1" t="shared" si="619"/>
        <v>0</v>
      </c>
      <c r="AJ486" s="83">
        <f ca="1" t="shared" si="619"/>
        <v>0</v>
      </c>
      <c r="AK486" s="83">
        <f ca="1" t="shared" si="581"/>
        <v>450</v>
      </c>
      <c r="AL486" s="83">
        <f ca="1" t="shared" ref="AL486:AQ486" si="620">IF($C486&gt;OFFSET($Q$9,MATCH(AL$338,$AK$338:$AQ$338,0),0),OFFSET($P$9,MATCH(AL$338,$AK$338:$AQ$338,0),0),MAX(0,$C486-OFFSET($Q$9,RIGHT(AL$338,1)-1,0)))</f>
        <v>909</v>
      </c>
      <c r="AM486" s="83">
        <f ca="1" t="shared" si="620"/>
        <v>1818</v>
      </c>
      <c r="AN486" s="83">
        <f ca="1" t="shared" si="620"/>
        <v>2727</v>
      </c>
      <c r="AO486" s="83">
        <f ca="1" t="shared" si="620"/>
        <v>3636</v>
      </c>
      <c r="AP486" s="83">
        <f ca="1" t="shared" si="620"/>
        <v>4545</v>
      </c>
      <c r="AQ486" s="83">
        <f ca="1" t="shared" si="620"/>
        <v>0</v>
      </c>
    </row>
    <row r="487" ht="16.5" spans="2:43">
      <c r="B487" s="65">
        <v>149</v>
      </c>
      <c r="C487" s="80">
        <f t="shared" si="579"/>
        <v>17716</v>
      </c>
      <c r="D487" s="81" cm="1">
        <f ca="1" t="array" ref="D487">IF(D789=1,OFFSET($Z$338,$B487,D$335-1)/SUMPRODUCT(--($D$335:$V$335=D$335),--($D789:$V789=1)),0)+SUM(D486)+IF(COUNTIF(D$641:D789,1)=1,5,0)+IF(COUNTIF(E487:$Z487,"&gt;"&amp;0)&gt;5,IF(MOD(COUNTIF(D$641:D789,1),7)=0,$C$4,0),0)</f>
        <v>1223.82134856666</v>
      </c>
      <c r="E487" s="81" cm="1">
        <f ca="1" t="array" ref="E487">IF(E789=1,OFFSET($Z$338,$B487,E$335-1)/SUMPRODUCT(--($D$335:$V$335=E$335),--($D789:$V789=1)),0)+SUM(E486)+IF(COUNTIF(E$641:E789,1)=1,5,0)+IF(COUNTIF(F487:$Z487,"&gt;"&amp;0)&gt;5,IF(MOD(COUNTIF(E$641:E789,1),7)=0,$C$4,0),0)</f>
        <v>1223.82134856666</v>
      </c>
      <c r="F487" s="81" cm="1">
        <f ca="1" t="array" ref="F487">IF(F789=1,OFFSET($Z$338,$B487,F$335-1)/SUMPRODUCT(--($D$335:$V$335=F$335),--($D789:$V789=1)),0)+SUM(F486)+IF(COUNTIF(F$641:F789,1)=1,5,0)+IF(COUNTIF(G487:$Z487,"&gt;"&amp;0)&gt;5,IF(MOD(COUNTIF(F$641:F789,1),7)=0,$C$4,0),0)</f>
        <v>1223.82134856666</v>
      </c>
      <c r="G487" s="81" cm="1">
        <f ca="1" t="array" ref="G487">IF(G789=1,OFFSET($Z$338,$B487,G$335-1)/SUMPRODUCT(--($D$335:$V$335=G$335),--($D789:$V789=1)),0)+SUM(G486)+IF(COUNTIF(G$641:G789,1)=1,5,0)+IF(COUNTIF(H487:$Z487,"&gt;"&amp;0)&gt;5,IF(MOD(COUNTIF(G$641:G789,1),7)=0,$C$4,0),0)</f>
        <v>512.516666666668</v>
      </c>
      <c r="H487" s="81" cm="1">
        <f ca="1" t="array" ref="H487">IF(H789=1,OFFSET($Z$338,$B487,H$335-1)/SUMPRODUCT(--($D$335:$V$335=H$335),--($D789:$V789=1)),0)+SUM(H486)+IF(COUNTIF(H$641:H789,1)=1,5,0)+IF(COUNTIF(I487:$Z487,"&gt;"&amp;0)&gt;5,IF(MOD(COUNTIF(H$641:H789,1),7)=0,$C$4,0),0)</f>
        <v>512.516666666668</v>
      </c>
      <c r="I487" s="81" cm="1">
        <f ca="1" t="array" ref="I487">IF(I789=1,OFFSET($Z$338,$B487,I$335-1)/SUMPRODUCT(--($D$335:$V$335=I$335),--($D789:$V789=1)),0)+SUM(I486)+IF(COUNTIF(I$641:I789,1)=1,5,0)+IF(COUNTIF(J487:$Z487,"&gt;"&amp;0)&gt;5,IF(MOD(COUNTIF(I$641:I789,1),7)=0,$C$4,0),0)</f>
        <v>512.516666666668</v>
      </c>
      <c r="J487" s="81" cm="1">
        <f ca="1" t="array" ref="J487">IF(J789=1,OFFSET($Z$338,$B487,J$335-1)/SUMPRODUCT(--($D$335:$V$335=J$335),--($D789:$V789=1)),0)+SUM(J486)+IF(COUNTIF(J$641:J789,1)=1,5,0)+IF(COUNTIF(K487:$Z487,"&gt;"&amp;0)&gt;5,IF(MOD(COUNTIF(J$641:J789,1),7)=0,$C$4,0),0)</f>
        <v>512.516666666668</v>
      </c>
      <c r="K487" s="81" cm="1">
        <f ca="1" t="array" ref="K487">IF(K789=1,OFFSET($Z$338,$B487,K$335-1)/SUMPRODUCT(--($D$335:$V$335=K$335),--($D789:$V789=1)),0)+SUM(K486)+IF(COUNTIF(K$641:K789,1)=1,5,0)+IF(COUNTIF(L487:$Z487,"&gt;"&amp;0)&gt;5,IF(MOD(COUNTIF(K$641:K789,1),7)=0,$C$4,0),0)</f>
        <v>512.516666666668</v>
      </c>
      <c r="L487" s="81" cm="1">
        <f ca="1" t="array" ref="L487">IF(L789=1,OFFSET($Z$338,$B487,L$335-1)/SUMPRODUCT(--($D$335:$V$335=L$335),--($D789:$V789=1)),0)+SUM(L486)+IF(COUNTIF(L$641:L789,1)=1,5,0)+IF(COUNTIF(M487:$Z487,"&gt;"&amp;0)&gt;5,IF(MOD(COUNTIF(L$641:L789,1),7)=0,$C$4,0),0)</f>
        <v>505.816666666668</v>
      </c>
      <c r="M487" s="81" cm="1">
        <f ca="1" t="array" ref="M487">IF(M789=1,OFFSET($Z$338,$B487,M$335-1)/SUMPRODUCT(--($D$335:$V$335=M$335),--($D789:$V789=1)),0)+SUM(M486)+IF(COUNTIF(M$641:M789,1)=1,5,0)+IF(COUNTIF(N487:$Z487,"&gt;"&amp;0)&gt;5,IF(MOD(COUNTIF(M$641:M789,1),7)=0,$C$4,0),0)</f>
        <v>260.644107142858</v>
      </c>
      <c r="N487" s="81" cm="1">
        <f ca="1" t="array" ref="N487">IF(N789=1,OFFSET($Z$338,$B487,N$335-1)/SUMPRODUCT(--($D$335:$V$335=N$335),--($D789:$V789=1)),0)+SUM(N486)+IF(COUNTIF(N$641:N789,1)=1,5,0)+IF(COUNTIF(O487:$Z487,"&gt;"&amp;0)&gt;5,IF(MOD(COUNTIF(N$641:N789,1),7)=0,$C$4,0),0)</f>
        <v>252.919107142858</v>
      </c>
      <c r="O487" s="81" cm="1">
        <f ca="1" t="array" ref="O487">IF(O789=1,OFFSET($Z$338,$B487,O$335-1)/SUMPRODUCT(--($D$335:$V$335=O$335),--($D789:$V789=1)),0)+SUM(O486)+IF(COUNTIF(O$641:O789,1)=1,5,0)+IF(COUNTIF(P487:$Z487,"&gt;"&amp;0)&gt;5,IF(MOD(COUNTIF(O$641:O789,1),7)=0,$C$4,0),0)</f>
        <v>245.494107142858</v>
      </c>
      <c r="P487" s="81" cm="1">
        <f ca="1" t="array" ref="P487">IF(P789=1,OFFSET($Z$338,$B487,P$335-1)/SUMPRODUCT(--($D$335:$V$335=P$335),--($D789:$V789=1)),0)+SUM(P486)+IF(COUNTIF(P$641:P789,1)=1,5,0)+IF(COUNTIF(Q487:$Z487,"&gt;"&amp;0)&gt;5,IF(MOD(COUNTIF(P$641:P789,1),7)=0,$C$4,0),0)</f>
        <v>242.560773809524</v>
      </c>
      <c r="Q487" s="81" cm="1">
        <f ca="1" t="array" ref="Q487">IF(Q789=1,OFFSET($Z$338,$B487,Q$335-1)/SUMPRODUCT(--($D$335:$V$335=Q$335),--($D789:$V789=1)),0)+SUM(Q486)+IF(COUNTIF(Q$641:Q789,1)=1,5,0)+IF(COUNTIF(R487:$Z487,"&gt;"&amp;0)&gt;5,IF(MOD(COUNTIF(Q$641:Q789,1),7)=0,$C$4,0),0)</f>
        <v>241.654523809524</v>
      </c>
      <c r="R487" s="81" cm="1">
        <f ca="1" t="array" ref="R487">IF(R789=1,OFFSET($Z$338,$B487,R$335-1)/SUMPRODUCT(--($D$335:$V$335=R$335),--($D789:$V789=1)),0)+SUM(R486)+IF(COUNTIF(R$641:R789,1)=1,5,0)+IF(COUNTIF(S487:$Z487,"&gt;"&amp;0)&gt;5,IF(MOD(COUNTIF(R$641:R789,1),7)=0,$C$4,0),0)</f>
        <v>216.759523809524</v>
      </c>
      <c r="S487" s="81" cm="1">
        <f ca="1" t="array" ref="S487">IF(S789=1,OFFSET($Z$338,$B487,S$335-1)/SUMPRODUCT(--($D$335:$V$335=S$335),--($D789:$V789=1)),0)+SUM(S486)+IF(COUNTIF(S$641:S789,1)=1,5,0)+IF(COUNTIF(T487:$Z487,"&gt;"&amp;0)&gt;5,IF(MOD(COUNTIF(S$641:S789,1),7)=0,$C$4,0),0)</f>
        <v>207.592857142857</v>
      </c>
      <c r="T487" s="81" cm="1">
        <f ca="1" t="array" ref="T487">IF(T789=1,OFFSET($Z$338,$B487,T$335-1)/SUMPRODUCT(--($D$335:$V$335=T$335),--($D789:$V789=1)),0)+SUM(T486)+IF(COUNTIF(T$641:T789,1)=1,5,0)+IF(COUNTIF(U487:$Z487,"&gt;"&amp;0)&gt;5,IF(MOD(COUNTIF(T$641:T789,1),7)=0,$C$4,0),0)</f>
        <v>137.656257829764</v>
      </c>
      <c r="U487" s="81" cm="1">
        <f ca="1" t="array" ref="U487">IF(U789=1,OFFSET($Z$338,$B487,U$335-1)/SUMPRODUCT(--($D$335:$V$335=U$335),--($D789:$V789=1)),0)+SUM(U486)+IF(COUNTIF(U$641:U789,1)=1,5,0)+IF(COUNTIF(V487:$Z487,"&gt;"&amp;0)&gt;5,IF(MOD(COUNTIF(U$641:U789,1),7)=0,$C$4,0),0)</f>
        <v>97.6562578297643</v>
      </c>
      <c r="V487" s="81" cm="1">
        <f ca="1" t="array" ref="V487">IF(V789=1,OFFSET($Z$338,$B487,V$335-1)/SUMPRODUCT(--($D$335:$V$335=V$335),--($D789:$V789=1)),0)+SUM(V486)+IF(COUNTIF(V$641:V789,1)=1,5,0)+IF(COUNTIF(Z487:$Z487,"&gt;"&amp;0)&gt;5,IF(MOD(COUNTIF(V$641:V789,1),7)=0,$C$4,0),0)</f>
        <v>89.6984386404824</v>
      </c>
      <c r="W487" s="81" cm="1">
        <f ca="1" t="array" ref="W487">IF(W789=1,OFFSET($Z$338,$B487,W$335-1)/SUMPRODUCT(--($D$335:$V$335=W$335),--($D789:$V789=1)),0)+SUM(W486)+IF(COUNTIF(W$641:W789,1)=1,5,0)+IF(COUNTIF($Z487:AA487,"&gt;"&amp;0)&gt;5,IF(MOD(COUNTIF(W$641:W789,1),7)=0,$C$4,0),0)</f>
        <v>80.3425695255331</v>
      </c>
      <c r="X487" s="81" cm="1">
        <f ca="1" t="array" ref="X487">IF(X789=1,OFFSET($Z$338,$B487,X$335-1)/SUMPRODUCT(--($D$335:$V$335=X$335),--($D789:$V789=1)),0)+SUM(X486)+IF(COUNTIF(X$641:X789,1)=1,5,0)+IF(COUNTIF($Z487:AB487,"&gt;"&amp;0)&gt;5,IF(MOD(COUNTIF(X$641:X789,1),7)=0,$C$4,0),0)</f>
        <v>73.5789092348996</v>
      </c>
      <c r="Y487" s="81" cm="1">
        <f ca="1" t="array" ref="Y487">IF(Y789=1,OFFSET($Z$338,$B487,Y$335-1)/SUMPRODUCT(--($D$335:$V$335=Y$335),--($D789:$V789=1)),0)+SUM(Y486)+IF(COUNTIF(Y$641:Y789,1)=1,5,0)+IF(COUNTIF($Z487:AC487,"&gt;"&amp;0)&gt;5,IF(MOD(COUNTIF(Y$641:Y789,1),7)=0,$C$4,0),0)</f>
        <v>66.8152489442662</v>
      </c>
      <c r="Z487" s="82" cm="1">
        <f ca="1" t="array" ref="Z487">SUMPRODUCT(TRANSPOSE($AD487:$AJ487),OFFSET($L$10:$L$16,0,Z$335-1))</f>
        <v>0</v>
      </c>
      <c r="AA487" s="82" cm="1">
        <f ca="1" t="array" ref="AA487">SUMPRODUCT(TRANSPOSE($AD487:$AJ487),OFFSET($L$10:$L$16,0,AA$335-1))</f>
        <v>0</v>
      </c>
      <c r="AB487" s="82" cm="1">
        <f ca="1" t="array" ref="AB487">SUMPRODUCT(TRANSPOSE($AD487:$AJ487),OFFSET($L$10:$L$16,0,AB$335-1))</f>
        <v>0</v>
      </c>
      <c r="AC487" s="82" cm="1">
        <f ca="1" t="array" ref="AC487">SUMPRODUCT(TRANSPOSE($AD487:$AJ487),OFFSET($L$10:$L$16,0,AC$335-1))</f>
        <v>0</v>
      </c>
      <c r="AD487" s="83">
        <f ca="1" t="shared" ref="AD487:AJ487" si="621">AK487-AK486</f>
        <v>0</v>
      </c>
      <c r="AE487" s="83">
        <f ca="1" t="shared" si="621"/>
        <v>0</v>
      </c>
      <c r="AF487" s="83">
        <f ca="1" t="shared" si="621"/>
        <v>0</v>
      </c>
      <c r="AG487" s="83">
        <f ca="1" t="shared" si="621"/>
        <v>0</v>
      </c>
      <c r="AH487" s="83">
        <f ca="1" t="shared" si="621"/>
        <v>0</v>
      </c>
      <c r="AI487" s="83">
        <f ca="1" t="shared" si="621"/>
        <v>0</v>
      </c>
      <c r="AJ487" s="83">
        <f ca="1" t="shared" si="621"/>
        <v>0</v>
      </c>
      <c r="AK487" s="83">
        <f ca="1" t="shared" si="581"/>
        <v>450</v>
      </c>
      <c r="AL487" s="83">
        <f ca="1" t="shared" ref="AL487:AQ487" si="622">IF($C487&gt;OFFSET($Q$9,MATCH(AL$338,$AK$338:$AQ$338,0),0),OFFSET($P$9,MATCH(AL$338,$AK$338:$AQ$338,0),0),MAX(0,$C487-OFFSET($Q$9,RIGHT(AL$338,1)-1,0)))</f>
        <v>909</v>
      </c>
      <c r="AM487" s="83">
        <f ca="1" t="shared" si="622"/>
        <v>1818</v>
      </c>
      <c r="AN487" s="83">
        <f ca="1" t="shared" si="622"/>
        <v>2727</v>
      </c>
      <c r="AO487" s="83">
        <f ca="1" t="shared" si="622"/>
        <v>3636</v>
      </c>
      <c r="AP487" s="83">
        <f ca="1" t="shared" si="622"/>
        <v>4545</v>
      </c>
      <c r="AQ487" s="83">
        <f ca="1" t="shared" si="622"/>
        <v>0</v>
      </c>
    </row>
    <row r="488" ht="16.5" spans="2:43">
      <c r="B488" s="65">
        <v>150</v>
      </c>
      <c r="C488" s="80">
        <f t="shared" si="579"/>
        <v>17826</v>
      </c>
      <c r="D488" s="81" cm="1">
        <f ca="1" t="array" ref="D488">IF(D790=1,OFFSET($Z$338,$B488,D$335-1)/SUMPRODUCT(--($D$335:$V$335=D$335),--($D790:$V790=1)),0)+SUM(D487)+IF(COUNTIF(D$641:D790,1)=1,5,0)+IF(COUNTIF(E488:$Z488,"&gt;"&amp;0)&gt;5,IF(MOD(COUNTIF(D$641:D790,1),7)=0,$C$4,0),0)</f>
        <v>1223.82134856666</v>
      </c>
      <c r="E488" s="81" cm="1">
        <f ca="1" t="array" ref="E488">IF(E790=1,OFFSET($Z$338,$B488,E$335-1)/SUMPRODUCT(--($D$335:$V$335=E$335),--($D790:$V790=1)),0)+SUM(E487)+IF(COUNTIF(E$641:E790,1)=1,5,0)+IF(COUNTIF(F488:$Z488,"&gt;"&amp;0)&gt;5,IF(MOD(COUNTIF(E$641:E790,1),7)=0,$C$4,0),0)</f>
        <v>1223.82134856666</v>
      </c>
      <c r="F488" s="81" cm="1">
        <f ca="1" t="array" ref="F488">IF(F790=1,OFFSET($Z$338,$B488,F$335-1)/SUMPRODUCT(--($D$335:$V$335=F$335),--($D790:$V790=1)),0)+SUM(F487)+IF(COUNTIF(F$641:F790,1)=1,5,0)+IF(COUNTIF(G488:$Z488,"&gt;"&amp;0)&gt;5,IF(MOD(COUNTIF(F$641:F790,1),7)=0,$C$4,0),0)</f>
        <v>1223.82134856666</v>
      </c>
      <c r="G488" s="81" cm="1">
        <f ca="1" t="array" ref="G488">IF(G790=1,OFFSET($Z$338,$B488,G$335-1)/SUMPRODUCT(--($D$335:$V$335=G$335),--($D790:$V790=1)),0)+SUM(G487)+IF(COUNTIF(G$641:G790,1)=1,5,0)+IF(COUNTIF(H488:$Z488,"&gt;"&amp;0)&gt;5,IF(MOD(COUNTIF(G$641:G790,1),7)=0,$C$4,0),0)</f>
        <v>512.516666666668</v>
      </c>
      <c r="H488" s="81" cm="1">
        <f ca="1" t="array" ref="H488">IF(H790=1,OFFSET($Z$338,$B488,H$335-1)/SUMPRODUCT(--($D$335:$V$335=H$335),--($D790:$V790=1)),0)+SUM(H487)+IF(COUNTIF(H$641:H790,1)=1,5,0)+IF(COUNTIF(I488:$Z488,"&gt;"&amp;0)&gt;5,IF(MOD(COUNTIF(H$641:H790,1),7)=0,$C$4,0),0)</f>
        <v>512.516666666668</v>
      </c>
      <c r="I488" s="81" cm="1">
        <f ca="1" t="array" ref="I488">IF(I790=1,OFFSET($Z$338,$B488,I$335-1)/SUMPRODUCT(--($D$335:$V$335=I$335),--($D790:$V790=1)),0)+SUM(I487)+IF(COUNTIF(I$641:I790,1)=1,5,0)+IF(COUNTIF(J488:$Z488,"&gt;"&amp;0)&gt;5,IF(MOD(COUNTIF(I$641:I790,1),7)=0,$C$4,0),0)</f>
        <v>512.516666666668</v>
      </c>
      <c r="J488" s="81" cm="1">
        <f ca="1" t="array" ref="J488">IF(J790=1,OFFSET($Z$338,$B488,J$335-1)/SUMPRODUCT(--($D$335:$V$335=J$335),--($D790:$V790=1)),0)+SUM(J487)+IF(COUNTIF(J$641:J790,1)=1,5,0)+IF(COUNTIF(K488:$Z488,"&gt;"&amp;0)&gt;5,IF(MOD(COUNTIF(J$641:J790,1),7)=0,$C$4,0),0)</f>
        <v>512.516666666668</v>
      </c>
      <c r="K488" s="81" cm="1">
        <f ca="1" t="array" ref="K488">IF(K790=1,OFFSET($Z$338,$B488,K$335-1)/SUMPRODUCT(--($D$335:$V$335=K$335),--($D790:$V790=1)),0)+SUM(K487)+IF(COUNTIF(K$641:K790,1)=1,5,0)+IF(COUNTIF(L488:$Z488,"&gt;"&amp;0)&gt;5,IF(MOD(COUNTIF(K$641:K790,1),7)=0,$C$4,0),0)</f>
        <v>512.516666666668</v>
      </c>
      <c r="L488" s="81" cm="1">
        <f ca="1" t="array" ref="L488">IF(L790=1,OFFSET($Z$338,$B488,L$335-1)/SUMPRODUCT(--($D$335:$V$335=L$335),--($D790:$V790=1)),0)+SUM(L487)+IF(COUNTIF(L$641:L790,1)=1,5,0)+IF(COUNTIF(M488:$Z488,"&gt;"&amp;0)&gt;5,IF(MOD(COUNTIF(L$641:L790,1),7)=0,$C$4,0),0)</f>
        <v>505.816666666668</v>
      </c>
      <c r="M488" s="81" cm="1">
        <f ca="1" t="array" ref="M488">IF(M790=1,OFFSET($Z$338,$B488,M$335-1)/SUMPRODUCT(--($D$335:$V$335=M$335),--($D790:$V790=1)),0)+SUM(M487)+IF(COUNTIF(M$641:M790,1)=1,5,0)+IF(COUNTIF(N488:$Z488,"&gt;"&amp;0)&gt;5,IF(MOD(COUNTIF(M$641:M790,1),7)=0,$C$4,0),0)</f>
        <v>260.644107142858</v>
      </c>
      <c r="N488" s="81" cm="1">
        <f ca="1" t="array" ref="N488">IF(N790=1,OFFSET($Z$338,$B488,N$335-1)/SUMPRODUCT(--($D$335:$V$335=N$335),--($D790:$V790=1)),0)+SUM(N487)+IF(COUNTIF(N$641:N790,1)=1,5,0)+IF(COUNTIF(O488:$Z488,"&gt;"&amp;0)&gt;5,IF(MOD(COUNTIF(N$641:N790,1),7)=0,$C$4,0),0)</f>
        <v>252.919107142858</v>
      </c>
      <c r="O488" s="81" cm="1">
        <f ca="1" t="array" ref="O488">IF(O790=1,OFFSET($Z$338,$B488,O$335-1)/SUMPRODUCT(--($D$335:$V$335=O$335),--($D790:$V790=1)),0)+SUM(O487)+IF(COUNTIF(O$641:O790,1)=1,5,0)+IF(COUNTIF(P488:$Z488,"&gt;"&amp;0)&gt;5,IF(MOD(COUNTIF(O$641:O790,1),7)=0,$C$4,0),0)</f>
        <v>250.494107142858</v>
      </c>
      <c r="P488" s="81" cm="1">
        <f ca="1" t="array" ref="P488">IF(P790=1,OFFSET($Z$338,$B488,P$335-1)/SUMPRODUCT(--($D$335:$V$335=P$335),--($D790:$V790=1)),0)+SUM(P487)+IF(COUNTIF(P$641:P790,1)=1,5,0)+IF(COUNTIF(Q488:$Z488,"&gt;"&amp;0)&gt;5,IF(MOD(COUNTIF(P$641:P790,1),7)=0,$C$4,0),0)</f>
        <v>242.560773809524</v>
      </c>
      <c r="Q488" s="81" cm="1">
        <f ca="1" t="array" ref="Q488">IF(Q790=1,OFFSET($Z$338,$B488,Q$335-1)/SUMPRODUCT(--($D$335:$V$335=Q$335),--($D790:$V790=1)),0)+SUM(Q487)+IF(COUNTIF(Q$641:Q790,1)=1,5,0)+IF(COUNTIF(R488:$Z488,"&gt;"&amp;0)&gt;5,IF(MOD(COUNTIF(Q$641:Q790,1),7)=0,$C$4,0),0)</f>
        <v>241.654523809524</v>
      </c>
      <c r="R488" s="81" cm="1">
        <f ca="1" t="array" ref="R488">IF(R790=1,OFFSET($Z$338,$B488,R$335-1)/SUMPRODUCT(--($D$335:$V$335=R$335),--($D790:$V790=1)),0)+SUM(R487)+IF(COUNTIF(R$641:R790,1)=1,5,0)+IF(COUNTIF(S488:$Z488,"&gt;"&amp;0)&gt;5,IF(MOD(COUNTIF(R$641:R790,1),7)=0,$C$4,0),0)</f>
        <v>216.759523809524</v>
      </c>
      <c r="S488" s="81" cm="1">
        <f ca="1" t="array" ref="S488">IF(S790=1,OFFSET($Z$338,$B488,S$335-1)/SUMPRODUCT(--($D$335:$V$335=S$335),--($D790:$V790=1)),0)+SUM(S487)+IF(COUNTIF(S$641:S790,1)=1,5,0)+IF(COUNTIF(T488:$Z488,"&gt;"&amp;0)&gt;5,IF(MOD(COUNTIF(S$641:S790,1),7)=0,$C$4,0),0)</f>
        <v>207.592857142857</v>
      </c>
      <c r="T488" s="81" cm="1">
        <f ca="1" t="array" ref="T488">IF(T790=1,OFFSET($Z$338,$B488,T$335-1)/SUMPRODUCT(--($D$335:$V$335=T$335),--($D790:$V790=1)),0)+SUM(T487)+IF(COUNTIF(T$641:T790,1)=1,5,0)+IF(COUNTIF(U488:$Z488,"&gt;"&amp;0)&gt;5,IF(MOD(COUNTIF(T$641:T790,1),7)=0,$C$4,0),0)</f>
        <v>137.656257829764</v>
      </c>
      <c r="U488" s="81" cm="1">
        <f ca="1" t="array" ref="U488">IF(U790=1,OFFSET($Z$338,$B488,U$335-1)/SUMPRODUCT(--($D$335:$V$335=U$335),--($D790:$V790=1)),0)+SUM(U487)+IF(COUNTIF(U$641:U790,1)=1,5,0)+IF(COUNTIF(V488:$Z488,"&gt;"&amp;0)&gt;5,IF(MOD(COUNTIF(U$641:U790,1),7)=0,$C$4,0),0)</f>
        <v>97.6562578297643</v>
      </c>
      <c r="V488" s="81" cm="1">
        <f ca="1" t="array" ref="V488">IF(V790=1,OFFSET($Z$338,$B488,V$335-1)/SUMPRODUCT(--($D$335:$V$335=V$335),--($D790:$V790=1)),0)+SUM(V487)+IF(COUNTIF(V$641:V790,1)=1,5,0)+IF(COUNTIF(Z488:$Z488,"&gt;"&amp;0)&gt;5,IF(MOD(COUNTIF(V$641:V790,1),7)=0,$C$4,0),0)</f>
        <v>89.6984386404824</v>
      </c>
      <c r="W488" s="81" cm="1">
        <f ca="1" t="array" ref="W488">IF(W790=1,OFFSET($Z$338,$B488,W$335-1)/SUMPRODUCT(--($D$335:$V$335=W$335),--($D790:$V790=1)),0)+SUM(W487)+IF(COUNTIF(W$641:W790,1)=1,5,0)+IF(COUNTIF($Z488:AA488,"&gt;"&amp;0)&gt;5,IF(MOD(COUNTIF(W$641:W790,1),7)=0,$C$4,0),0)</f>
        <v>80.3425695255331</v>
      </c>
      <c r="X488" s="81" cm="1">
        <f ca="1" t="array" ref="X488">IF(X790=1,OFFSET($Z$338,$B488,X$335-1)/SUMPRODUCT(--($D$335:$V$335=X$335),--($D790:$V790=1)),0)+SUM(X487)+IF(COUNTIF(X$641:X790,1)=1,5,0)+IF(COUNTIF($Z488:AB488,"&gt;"&amp;0)&gt;5,IF(MOD(COUNTIF(X$641:X790,1),7)=0,$C$4,0),0)</f>
        <v>73.5789092348996</v>
      </c>
      <c r="Y488" s="81" cm="1">
        <f ca="1" t="array" ref="Y488">IF(Y790=1,OFFSET($Z$338,$B488,Y$335-1)/SUMPRODUCT(--($D$335:$V$335=Y$335),--($D790:$V790=1)),0)+SUM(Y487)+IF(COUNTIF(Y$641:Y790,1)=1,5,0)+IF(COUNTIF($Z488:AC488,"&gt;"&amp;0)&gt;5,IF(MOD(COUNTIF(Y$641:Y790,1),7)=0,$C$4,0),0)</f>
        <v>66.8152489442662</v>
      </c>
      <c r="Z488" s="82" cm="1">
        <f ca="1" t="array" ref="Z488">SUMPRODUCT(TRANSPOSE($AD488:$AJ488),OFFSET($L$10:$L$16,0,Z$335-1))</f>
        <v>0</v>
      </c>
      <c r="AA488" s="82" cm="1">
        <f ca="1" t="array" ref="AA488">SUMPRODUCT(TRANSPOSE($AD488:$AJ488),OFFSET($L$10:$L$16,0,AA$335-1))</f>
        <v>0</v>
      </c>
      <c r="AB488" s="82" cm="1">
        <f ca="1" t="array" ref="AB488">SUMPRODUCT(TRANSPOSE($AD488:$AJ488),OFFSET($L$10:$L$16,0,AB$335-1))</f>
        <v>0</v>
      </c>
      <c r="AC488" s="82" cm="1">
        <f ca="1" t="array" ref="AC488">SUMPRODUCT(TRANSPOSE($AD488:$AJ488),OFFSET($L$10:$L$16,0,AC$335-1))</f>
        <v>0</v>
      </c>
      <c r="AD488" s="83">
        <f ca="1" t="shared" ref="AD488:AJ488" si="623">AK488-AK487</f>
        <v>0</v>
      </c>
      <c r="AE488" s="83">
        <f ca="1" t="shared" si="623"/>
        <v>0</v>
      </c>
      <c r="AF488" s="83">
        <f ca="1" t="shared" si="623"/>
        <v>0</v>
      </c>
      <c r="AG488" s="83">
        <f ca="1" t="shared" si="623"/>
        <v>0</v>
      </c>
      <c r="AH488" s="83">
        <f ca="1" t="shared" si="623"/>
        <v>0</v>
      </c>
      <c r="AI488" s="83">
        <f ca="1" t="shared" si="623"/>
        <v>0</v>
      </c>
      <c r="AJ488" s="83">
        <f ca="1" t="shared" si="623"/>
        <v>0</v>
      </c>
      <c r="AK488" s="83">
        <f ca="1" t="shared" si="581"/>
        <v>450</v>
      </c>
      <c r="AL488" s="83">
        <f ca="1" t="shared" ref="AL488:AQ488" si="624">IF($C488&gt;OFFSET($Q$9,MATCH(AL$338,$AK$338:$AQ$338,0),0),OFFSET($P$9,MATCH(AL$338,$AK$338:$AQ$338,0),0),MAX(0,$C488-OFFSET($Q$9,RIGHT(AL$338,1)-1,0)))</f>
        <v>909</v>
      </c>
      <c r="AM488" s="83">
        <f ca="1" t="shared" si="624"/>
        <v>1818</v>
      </c>
      <c r="AN488" s="83">
        <f ca="1" t="shared" si="624"/>
        <v>2727</v>
      </c>
      <c r="AO488" s="83">
        <f ca="1" t="shared" si="624"/>
        <v>3636</v>
      </c>
      <c r="AP488" s="83">
        <f ca="1" t="shared" si="624"/>
        <v>4545</v>
      </c>
      <c r="AQ488" s="83">
        <f ca="1" t="shared" si="624"/>
        <v>0</v>
      </c>
    </row>
    <row r="489" ht="16.5" spans="2:43">
      <c r="B489" s="65">
        <v>151</v>
      </c>
      <c r="C489" s="80">
        <f t="shared" si="579"/>
        <v>17936</v>
      </c>
      <c r="D489" s="81" cm="1">
        <f ca="1" t="array" ref="D489">IF(D791=1,OFFSET($Z$338,$B489,D$335-1)/SUMPRODUCT(--($D$335:$V$335=D$335),--($D791:$V791=1)),0)+SUM(D488)+IF(COUNTIF(D$641:D791,1)=1,5,0)+IF(COUNTIF(E489:$Z489,"&gt;"&amp;0)&gt;5,IF(MOD(COUNTIF(D$641:D791,1),7)=0,$C$4,0),0)</f>
        <v>1223.82134856666</v>
      </c>
      <c r="E489" s="81" cm="1">
        <f ca="1" t="array" ref="E489">IF(E791=1,OFFSET($Z$338,$B489,E$335-1)/SUMPRODUCT(--($D$335:$V$335=E$335),--($D791:$V791=1)),0)+SUM(E488)+IF(COUNTIF(E$641:E791,1)=1,5,0)+IF(COUNTIF(F489:$Z489,"&gt;"&amp;0)&gt;5,IF(MOD(COUNTIF(E$641:E791,1),7)=0,$C$4,0),0)</f>
        <v>1223.82134856666</v>
      </c>
      <c r="F489" s="81" cm="1">
        <f ca="1" t="array" ref="F489">IF(F791=1,OFFSET($Z$338,$B489,F$335-1)/SUMPRODUCT(--($D$335:$V$335=F$335),--($D791:$V791=1)),0)+SUM(F488)+IF(COUNTIF(F$641:F791,1)=1,5,0)+IF(COUNTIF(G489:$Z489,"&gt;"&amp;0)&gt;5,IF(MOD(COUNTIF(F$641:F791,1),7)=0,$C$4,0),0)</f>
        <v>1223.82134856666</v>
      </c>
      <c r="G489" s="81" cm="1">
        <f ca="1" t="array" ref="G489">IF(G791=1,OFFSET($Z$338,$B489,G$335-1)/SUMPRODUCT(--($D$335:$V$335=G$335),--($D791:$V791=1)),0)+SUM(G488)+IF(COUNTIF(G$641:G791,1)=1,5,0)+IF(COUNTIF(H489:$Z489,"&gt;"&amp;0)&gt;5,IF(MOD(COUNTIF(G$641:G791,1),7)=0,$C$4,0),0)</f>
        <v>512.516666666668</v>
      </c>
      <c r="H489" s="81" cm="1">
        <f ca="1" t="array" ref="H489">IF(H791=1,OFFSET($Z$338,$B489,H$335-1)/SUMPRODUCT(--($D$335:$V$335=H$335),--($D791:$V791=1)),0)+SUM(H488)+IF(COUNTIF(H$641:H791,1)=1,5,0)+IF(COUNTIF(I489:$Z489,"&gt;"&amp;0)&gt;5,IF(MOD(COUNTIF(H$641:H791,1),7)=0,$C$4,0),0)</f>
        <v>512.516666666668</v>
      </c>
      <c r="I489" s="81" cm="1">
        <f ca="1" t="array" ref="I489">IF(I791=1,OFFSET($Z$338,$B489,I$335-1)/SUMPRODUCT(--($D$335:$V$335=I$335),--($D791:$V791=1)),0)+SUM(I488)+IF(COUNTIF(I$641:I791,1)=1,5,0)+IF(COUNTIF(J489:$Z489,"&gt;"&amp;0)&gt;5,IF(MOD(COUNTIF(I$641:I791,1),7)=0,$C$4,0),0)</f>
        <v>512.516666666668</v>
      </c>
      <c r="J489" s="81" cm="1">
        <f ca="1" t="array" ref="J489">IF(J791=1,OFFSET($Z$338,$B489,J$335-1)/SUMPRODUCT(--($D$335:$V$335=J$335),--($D791:$V791=1)),0)+SUM(J488)+IF(COUNTIF(J$641:J791,1)=1,5,0)+IF(COUNTIF(K489:$Z489,"&gt;"&amp;0)&gt;5,IF(MOD(COUNTIF(J$641:J791,1),7)=0,$C$4,0),0)</f>
        <v>512.516666666668</v>
      </c>
      <c r="K489" s="81" cm="1">
        <f ca="1" t="array" ref="K489">IF(K791=1,OFFSET($Z$338,$B489,K$335-1)/SUMPRODUCT(--($D$335:$V$335=K$335),--($D791:$V791=1)),0)+SUM(K488)+IF(COUNTIF(K$641:K791,1)=1,5,0)+IF(COUNTIF(L489:$Z489,"&gt;"&amp;0)&gt;5,IF(MOD(COUNTIF(K$641:K791,1),7)=0,$C$4,0),0)</f>
        <v>512.516666666668</v>
      </c>
      <c r="L489" s="81" cm="1">
        <f ca="1" t="array" ref="L489">IF(L791=1,OFFSET($Z$338,$B489,L$335-1)/SUMPRODUCT(--($D$335:$V$335=L$335),--($D791:$V791=1)),0)+SUM(L488)+IF(COUNTIF(L$641:L791,1)=1,5,0)+IF(COUNTIF(M489:$Z489,"&gt;"&amp;0)&gt;5,IF(MOD(COUNTIF(L$641:L791,1),7)=0,$C$4,0),0)</f>
        <v>505.816666666668</v>
      </c>
      <c r="M489" s="81" cm="1">
        <f ca="1" t="array" ref="M489">IF(M791=1,OFFSET($Z$338,$B489,M$335-1)/SUMPRODUCT(--($D$335:$V$335=M$335),--($D791:$V791=1)),0)+SUM(M488)+IF(COUNTIF(M$641:M791,1)=1,5,0)+IF(COUNTIF(N489:$Z489,"&gt;"&amp;0)&gt;5,IF(MOD(COUNTIF(M$641:M791,1),7)=0,$C$4,0),0)</f>
        <v>260.644107142858</v>
      </c>
      <c r="N489" s="81" cm="1">
        <f ca="1" t="array" ref="N489">IF(N791=1,OFFSET($Z$338,$B489,N$335-1)/SUMPRODUCT(--($D$335:$V$335=N$335),--($D791:$V791=1)),0)+SUM(N488)+IF(COUNTIF(N$641:N791,1)=1,5,0)+IF(COUNTIF(O489:$Z489,"&gt;"&amp;0)&gt;5,IF(MOD(COUNTIF(N$641:N791,1),7)=0,$C$4,0),0)</f>
        <v>252.919107142858</v>
      </c>
      <c r="O489" s="81" cm="1">
        <f ca="1" t="array" ref="O489">IF(O791=1,OFFSET($Z$338,$B489,O$335-1)/SUMPRODUCT(--($D$335:$V$335=O$335),--($D791:$V791=1)),0)+SUM(O488)+IF(COUNTIF(O$641:O791,1)=1,5,0)+IF(COUNTIF(P489:$Z489,"&gt;"&amp;0)&gt;5,IF(MOD(COUNTIF(O$641:O791,1),7)=0,$C$4,0),0)</f>
        <v>250.494107142858</v>
      </c>
      <c r="P489" s="81" cm="1">
        <f ca="1" t="array" ref="P489">IF(P791=1,OFFSET($Z$338,$B489,P$335-1)/SUMPRODUCT(--($D$335:$V$335=P$335),--($D791:$V791=1)),0)+SUM(P488)+IF(COUNTIF(P$641:P791,1)=1,5,0)+IF(COUNTIF(Q489:$Z489,"&gt;"&amp;0)&gt;5,IF(MOD(COUNTIF(P$641:P791,1),7)=0,$C$4,0),0)</f>
        <v>242.560773809524</v>
      </c>
      <c r="Q489" s="81" cm="1">
        <f ca="1" t="array" ref="Q489">IF(Q791=1,OFFSET($Z$338,$B489,Q$335-1)/SUMPRODUCT(--($D$335:$V$335=Q$335),--($D791:$V791=1)),0)+SUM(Q488)+IF(COUNTIF(Q$641:Q791,1)=1,5,0)+IF(COUNTIF(R489:$Z489,"&gt;"&amp;0)&gt;5,IF(MOD(COUNTIF(Q$641:Q791,1),7)=0,$C$4,0),0)</f>
        <v>241.654523809524</v>
      </c>
      <c r="R489" s="81" cm="1">
        <f ca="1" t="array" ref="R489">IF(R791=1,OFFSET($Z$338,$B489,R$335-1)/SUMPRODUCT(--($D$335:$V$335=R$335),--($D791:$V791=1)),0)+SUM(R488)+IF(COUNTIF(R$641:R791,1)=1,5,0)+IF(COUNTIF(S489:$Z489,"&gt;"&amp;0)&gt;5,IF(MOD(COUNTIF(R$641:R791,1),7)=0,$C$4,0),0)</f>
        <v>216.759523809524</v>
      </c>
      <c r="S489" s="81" cm="1">
        <f ca="1" t="array" ref="S489">IF(S791=1,OFFSET($Z$338,$B489,S$335-1)/SUMPRODUCT(--($D$335:$V$335=S$335),--($D791:$V791=1)),0)+SUM(S488)+IF(COUNTIF(S$641:S791,1)=1,5,0)+IF(COUNTIF(T489:$Z489,"&gt;"&amp;0)&gt;5,IF(MOD(COUNTIF(S$641:S791,1),7)=0,$C$4,0),0)</f>
        <v>207.592857142857</v>
      </c>
      <c r="T489" s="81" cm="1">
        <f ca="1" t="array" ref="T489">IF(T791=1,OFFSET($Z$338,$B489,T$335-1)/SUMPRODUCT(--($D$335:$V$335=T$335),--($D791:$V791=1)),0)+SUM(T488)+IF(COUNTIF(T$641:T791,1)=1,5,0)+IF(COUNTIF(U489:$Z489,"&gt;"&amp;0)&gt;5,IF(MOD(COUNTIF(T$641:T791,1),7)=0,$C$4,0),0)</f>
        <v>137.656257829764</v>
      </c>
      <c r="U489" s="81" cm="1">
        <f ca="1" t="array" ref="U489">IF(U791=1,OFFSET($Z$338,$B489,U$335-1)/SUMPRODUCT(--($D$335:$V$335=U$335),--($D791:$V791=1)),0)+SUM(U488)+IF(COUNTIF(U$641:U791,1)=1,5,0)+IF(COUNTIF(V489:$Z489,"&gt;"&amp;0)&gt;5,IF(MOD(COUNTIF(U$641:U791,1),7)=0,$C$4,0),0)</f>
        <v>97.6562578297643</v>
      </c>
      <c r="V489" s="81" cm="1">
        <f ca="1" t="array" ref="V489">IF(V791=1,OFFSET($Z$338,$B489,V$335-1)/SUMPRODUCT(--($D$335:$V$335=V$335),--($D791:$V791=1)),0)+SUM(V488)+IF(COUNTIF(V$641:V791,1)=1,5,0)+IF(COUNTIF(Z489:$Z489,"&gt;"&amp;0)&gt;5,IF(MOD(COUNTIF(V$641:V791,1),7)=0,$C$4,0),0)</f>
        <v>89.6984386404824</v>
      </c>
      <c r="W489" s="81" cm="1">
        <f ca="1" t="array" ref="W489">IF(W791=1,OFFSET($Z$338,$B489,W$335-1)/SUMPRODUCT(--($D$335:$V$335=W$335),--($D791:$V791=1)),0)+SUM(W488)+IF(COUNTIF(W$641:W791,1)=1,5,0)+IF(COUNTIF($Z489:AA489,"&gt;"&amp;0)&gt;5,IF(MOD(COUNTIF(W$641:W791,1),7)=0,$C$4,0),0)</f>
        <v>80.3425695255331</v>
      </c>
      <c r="X489" s="81" cm="1">
        <f ca="1" t="array" ref="X489">IF(X791=1,OFFSET($Z$338,$B489,X$335-1)/SUMPRODUCT(--($D$335:$V$335=X$335),--($D791:$V791=1)),0)+SUM(X488)+IF(COUNTIF(X$641:X791,1)=1,5,0)+IF(COUNTIF($Z489:AB489,"&gt;"&amp;0)&gt;5,IF(MOD(COUNTIF(X$641:X791,1),7)=0,$C$4,0),0)</f>
        <v>73.5789092348996</v>
      </c>
      <c r="Y489" s="81" cm="1">
        <f ca="1" t="array" ref="Y489">IF(Y791=1,OFFSET($Z$338,$B489,Y$335-1)/SUMPRODUCT(--($D$335:$V$335=Y$335),--($D791:$V791=1)),0)+SUM(Y488)+IF(COUNTIF(Y$641:Y791,1)=1,5,0)+IF(COUNTIF($Z489:AC489,"&gt;"&amp;0)&gt;5,IF(MOD(COUNTIF(Y$641:Y791,1),7)=0,$C$4,0),0)</f>
        <v>66.8152489442662</v>
      </c>
      <c r="Z489" s="82" cm="1">
        <f ca="1" t="array" ref="Z489">SUMPRODUCT(TRANSPOSE($AD489:$AJ489),OFFSET($L$10:$L$16,0,Z$335-1))</f>
        <v>0</v>
      </c>
      <c r="AA489" s="82" cm="1">
        <f ca="1" t="array" ref="AA489">SUMPRODUCT(TRANSPOSE($AD489:$AJ489),OFFSET($L$10:$L$16,0,AA$335-1))</f>
        <v>0</v>
      </c>
      <c r="AB489" s="82" cm="1">
        <f ca="1" t="array" ref="AB489">SUMPRODUCT(TRANSPOSE($AD489:$AJ489),OFFSET($L$10:$L$16,0,AB$335-1))</f>
        <v>0</v>
      </c>
      <c r="AC489" s="82" cm="1">
        <f ca="1" t="array" ref="AC489">SUMPRODUCT(TRANSPOSE($AD489:$AJ489),OFFSET($L$10:$L$16,0,AC$335-1))</f>
        <v>0</v>
      </c>
      <c r="AD489" s="83">
        <f ca="1" t="shared" ref="AD489:AJ489" si="625">AK489-AK488</f>
        <v>0</v>
      </c>
      <c r="AE489" s="83">
        <f ca="1" t="shared" si="625"/>
        <v>0</v>
      </c>
      <c r="AF489" s="83">
        <f ca="1" t="shared" si="625"/>
        <v>0</v>
      </c>
      <c r="AG489" s="83">
        <f ca="1" t="shared" si="625"/>
        <v>0</v>
      </c>
      <c r="AH489" s="83">
        <f ca="1" t="shared" si="625"/>
        <v>0</v>
      </c>
      <c r="AI489" s="83">
        <f ca="1" t="shared" si="625"/>
        <v>0</v>
      </c>
      <c r="AJ489" s="83">
        <f ca="1" t="shared" si="625"/>
        <v>0</v>
      </c>
      <c r="AK489" s="83">
        <f ca="1" t="shared" si="581"/>
        <v>450</v>
      </c>
      <c r="AL489" s="83">
        <f ca="1" t="shared" ref="AL489:AQ489" si="626">IF($C489&gt;OFFSET($Q$9,MATCH(AL$338,$AK$338:$AQ$338,0),0),OFFSET($P$9,MATCH(AL$338,$AK$338:$AQ$338,0),0),MAX(0,$C489-OFFSET($Q$9,RIGHT(AL$338,1)-1,0)))</f>
        <v>909</v>
      </c>
      <c r="AM489" s="83">
        <f ca="1" t="shared" si="626"/>
        <v>1818</v>
      </c>
      <c r="AN489" s="83">
        <f ca="1" t="shared" si="626"/>
        <v>2727</v>
      </c>
      <c r="AO489" s="83">
        <f ca="1" t="shared" si="626"/>
        <v>3636</v>
      </c>
      <c r="AP489" s="83">
        <f ca="1" t="shared" si="626"/>
        <v>4545</v>
      </c>
      <c r="AQ489" s="83">
        <f ca="1" t="shared" si="626"/>
        <v>0</v>
      </c>
    </row>
    <row r="490" ht="16.5" spans="2:43">
      <c r="B490" s="65">
        <v>152</v>
      </c>
      <c r="C490" s="80">
        <f t="shared" si="579"/>
        <v>18046</v>
      </c>
      <c r="D490" s="81" cm="1">
        <f ca="1" t="array" ref="D490">IF(D792=1,OFFSET($Z$338,$B490,D$335-1)/SUMPRODUCT(--($D$335:$V$335=D$335),--($D792:$V792=1)),0)+SUM(D489)+IF(COUNTIF(D$641:D792,1)=1,5,0)+IF(COUNTIF(E490:$Z490,"&gt;"&amp;0)&gt;5,IF(MOD(COUNTIF(D$641:D792,1),7)=0,$C$4,0),0)</f>
        <v>1223.82134856666</v>
      </c>
      <c r="E490" s="81" cm="1">
        <f ca="1" t="array" ref="E490">IF(E792=1,OFFSET($Z$338,$B490,E$335-1)/SUMPRODUCT(--($D$335:$V$335=E$335),--($D792:$V792=1)),0)+SUM(E489)+IF(COUNTIF(E$641:E792,1)=1,5,0)+IF(COUNTIF(F490:$Z490,"&gt;"&amp;0)&gt;5,IF(MOD(COUNTIF(E$641:E792,1),7)=0,$C$4,0),0)</f>
        <v>1223.82134856666</v>
      </c>
      <c r="F490" s="81" cm="1">
        <f ca="1" t="array" ref="F490">IF(F792=1,OFFSET($Z$338,$B490,F$335-1)/SUMPRODUCT(--($D$335:$V$335=F$335),--($D792:$V792=1)),0)+SUM(F489)+IF(COUNTIF(F$641:F792,1)=1,5,0)+IF(COUNTIF(G490:$Z490,"&gt;"&amp;0)&gt;5,IF(MOD(COUNTIF(F$641:F792,1),7)=0,$C$4,0),0)</f>
        <v>1223.82134856666</v>
      </c>
      <c r="G490" s="81" cm="1">
        <f ca="1" t="array" ref="G490">IF(G792=1,OFFSET($Z$338,$B490,G$335-1)/SUMPRODUCT(--($D$335:$V$335=G$335),--($D792:$V792=1)),0)+SUM(G489)+IF(COUNTIF(G$641:G792,1)=1,5,0)+IF(COUNTIF(H490:$Z490,"&gt;"&amp;0)&gt;5,IF(MOD(COUNTIF(G$641:G792,1),7)=0,$C$4,0),0)</f>
        <v>512.516666666668</v>
      </c>
      <c r="H490" s="81" cm="1">
        <f ca="1" t="array" ref="H490">IF(H792=1,OFFSET($Z$338,$B490,H$335-1)/SUMPRODUCT(--($D$335:$V$335=H$335),--($D792:$V792=1)),0)+SUM(H489)+IF(COUNTIF(H$641:H792,1)=1,5,0)+IF(COUNTIF(I490:$Z490,"&gt;"&amp;0)&gt;5,IF(MOD(COUNTIF(H$641:H792,1),7)=0,$C$4,0),0)</f>
        <v>512.516666666668</v>
      </c>
      <c r="I490" s="81" cm="1">
        <f ca="1" t="array" ref="I490">IF(I792=1,OFFSET($Z$338,$B490,I$335-1)/SUMPRODUCT(--($D$335:$V$335=I$335),--($D792:$V792=1)),0)+SUM(I489)+IF(COUNTIF(I$641:I792,1)=1,5,0)+IF(COUNTIF(J490:$Z490,"&gt;"&amp;0)&gt;5,IF(MOD(COUNTIF(I$641:I792,1),7)=0,$C$4,0),0)</f>
        <v>512.516666666668</v>
      </c>
      <c r="J490" s="81" cm="1">
        <f ca="1" t="array" ref="J490">IF(J792=1,OFFSET($Z$338,$B490,J$335-1)/SUMPRODUCT(--($D$335:$V$335=J$335),--($D792:$V792=1)),0)+SUM(J489)+IF(COUNTIF(J$641:J792,1)=1,5,0)+IF(COUNTIF(K490:$Z490,"&gt;"&amp;0)&gt;5,IF(MOD(COUNTIF(J$641:J792,1),7)=0,$C$4,0),0)</f>
        <v>512.516666666668</v>
      </c>
      <c r="K490" s="81" cm="1">
        <f ca="1" t="array" ref="K490">IF(K792=1,OFFSET($Z$338,$B490,K$335-1)/SUMPRODUCT(--($D$335:$V$335=K$335),--($D792:$V792=1)),0)+SUM(K489)+IF(COUNTIF(K$641:K792,1)=1,5,0)+IF(COUNTIF(L490:$Z490,"&gt;"&amp;0)&gt;5,IF(MOD(COUNTIF(K$641:K792,1),7)=0,$C$4,0),0)</f>
        <v>512.516666666668</v>
      </c>
      <c r="L490" s="81" cm="1">
        <f ca="1" t="array" ref="L490">IF(L792=1,OFFSET($Z$338,$B490,L$335-1)/SUMPRODUCT(--($D$335:$V$335=L$335),--($D792:$V792=1)),0)+SUM(L489)+IF(COUNTIF(L$641:L792,1)=1,5,0)+IF(COUNTIF(M490:$Z490,"&gt;"&amp;0)&gt;5,IF(MOD(COUNTIF(L$641:L792,1),7)=0,$C$4,0),0)</f>
        <v>505.816666666668</v>
      </c>
      <c r="M490" s="81" cm="1">
        <f ca="1" t="array" ref="M490">IF(M792=1,OFFSET($Z$338,$B490,M$335-1)/SUMPRODUCT(--($D$335:$V$335=M$335),--($D792:$V792=1)),0)+SUM(M489)+IF(COUNTIF(M$641:M792,1)=1,5,0)+IF(COUNTIF(N490:$Z490,"&gt;"&amp;0)&gt;5,IF(MOD(COUNTIF(M$641:M792,1),7)=0,$C$4,0),0)</f>
        <v>260.644107142858</v>
      </c>
      <c r="N490" s="81" cm="1">
        <f ca="1" t="array" ref="N490">IF(N792=1,OFFSET($Z$338,$B490,N$335-1)/SUMPRODUCT(--($D$335:$V$335=N$335),--($D792:$V792=1)),0)+SUM(N489)+IF(COUNTIF(N$641:N792,1)=1,5,0)+IF(COUNTIF(O490:$Z490,"&gt;"&amp;0)&gt;5,IF(MOD(COUNTIF(N$641:N792,1),7)=0,$C$4,0),0)</f>
        <v>252.919107142858</v>
      </c>
      <c r="O490" s="81" cm="1">
        <f ca="1" t="array" ref="O490">IF(O792=1,OFFSET($Z$338,$B490,O$335-1)/SUMPRODUCT(--($D$335:$V$335=O$335),--($D792:$V792=1)),0)+SUM(O489)+IF(COUNTIF(O$641:O792,1)=1,5,0)+IF(COUNTIF(P490:$Z490,"&gt;"&amp;0)&gt;5,IF(MOD(COUNTIF(O$641:O792,1),7)=0,$C$4,0),0)</f>
        <v>250.494107142858</v>
      </c>
      <c r="P490" s="81" cm="1">
        <f ca="1" t="array" ref="P490">IF(P792=1,OFFSET($Z$338,$B490,P$335-1)/SUMPRODUCT(--($D$335:$V$335=P$335),--($D792:$V792=1)),0)+SUM(P489)+IF(COUNTIF(P$641:P792,1)=1,5,0)+IF(COUNTIF(Q490:$Z490,"&gt;"&amp;0)&gt;5,IF(MOD(COUNTIF(P$641:P792,1),7)=0,$C$4,0),0)</f>
        <v>247.560773809524</v>
      </c>
      <c r="Q490" s="81" cm="1">
        <f ca="1" t="array" ref="Q490">IF(Q792=1,OFFSET($Z$338,$B490,Q$335-1)/SUMPRODUCT(--($D$335:$V$335=Q$335),--($D792:$V792=1)),0)+SUM(Q489)+IF(COUNTIF(Q$641:Q792,1)=1,5,0)+IF(COUNTIF(R490:$Z490,"&gt;"&amp;0)&gt;5,IF(MOD(COUNTIF(Q$641:Q792,1),7)=0,$C$4,0),0)</f>
        <v>241.654523809524</v>
      </c>
      <c r="R490" s="81" cm="1">
        <f ca="1" t="array" ref="R490">IF(R792=1,OFFSET($Z$338,$B490,R$335-1)/SUMPRODUCT(--($D$335:$V$335=R$335),--($D792:$V792=1)),0)+SUM(R489)+IF(COUNTIF(R$641:R792,1)=1,5,0)+IF(COUNTIF(S490:$Z490,"&gt;"&amp;0)&gt;5,IF(MOD(COUNTIF(R$641:R792,1),7)=0,$C$4,0),0)</f>
        <v>216.759523809524</v>
      </c>
      <c r="S490" s="81" cm="1">
        <f ca="1" t="array" ref="S490">IF(S792=1,OFFSET($Z$338,$B490,S$335-1)/SUMPRODUCT(--($D$335:$V$335=S$335),--($D792:$V792=1)),0)+SUM(S489)+IF(COUNTIF(S$641:S792,1)=1,5,0)+IF(COUNTIF(T490:$Z490,"&gt;"&amp;0)&gt;5,IF(MOD(COUNTIF(S$641:S792,1),7)=0,$C$4,0),0)</f>
        <v>212.592857142857</v>
      </c>
      <c r="T490" s="81" cm="1">
        <f ca="1" t="array" ref="T490">IF(T792=1,OFFSET($Z$338,$B490,T$335-1)/SUMPRODUCT(--($D$335:$V$335=T$335),--($D792:$V792=1)),0)+SUM(T489)+IF(COUNTIF(T$641:T792,1)=1,5,0)+IF(COUNTIF(U490:$Z490,"&gt;"&amp;0)&gt;5,IF(MOD(COUNTIF(T$641:T792,1),7)=0,$C$4,0),0)</f>
        <v>137.656257829764</v>
      </c>
      <c r="U490" s="81" cm="1">
        <f ca="1" t="array" ref="U490">IF(U792=1,OFFSET($Z$338,$B490,U$335-1)/SUMPRODUCT(--($D$335:$V$335=U$335),--($D792:$V792=1)),0)+SUM(U489)+IF(COUNTIF(U$641:U792,1)=1,5,0)+IF(COUNTIF(V490:$Z490,"&gt;"&amp;0)&gt;5,IF(MOD(COUNTIF(U$641:U792,1),7)=0,$C$4,0),0)</f>
        <v>97.6562578297643</v>
      </c>
      <c r="V490" s="81" cm="1">
        <f ca="1" t="array" ref="V490">IF(V792=1,OFFSET($Z$338,$B490,V$335-1)/SUMPRODUCT(--($D$335:$V$335=V$335),--($D792:$V792=1)),0)+SUM(V489)+IF(COUNTIF(V$641:V792,1)=1,5,0)+IF(COUNTIF(Z490:$Z490,"&gt;"&amp;0)&gt;5,IF(MOD(COUNTIF(V$641:V792,1),7)=0,$C$4,0),0)</f>
        <v>89.6984386404824</v>
      </c>
      <c r="W490" s="81" cm="1">
        <f ca="1" t="array" ref="W490">IF(W792=1,OFFSET($Z$338,$B490,W$335-1)/SUMPRODUCT(--($D$335:$V$335=W$335),--($D792:$V792=1)),0)+SUM(W489)+IF(COUNTIF(W$641:W792,1)=1,5,0)+IF(COUNTIF($Z490:AA490,"&gt;"&amp;0)&gt;5,IF(MOD(COUNTIF(W$641:W792,1),7)=0,$C$4,0),0)</f>
        <v>80.3425695255331</v>
      </c>
      <c r="X490" s="81" cm="1">
        <f ca="1" t="array" ref="X490">IF(X792=1,OFFSET($Z$338,$B490,X$335-1)/SUMPRODUCT(--($D$335:$V$335=X$335),--($D792:$V792=1)),0)+SUM(X489)+IF(COUNTIF(X$641:X792,1)=1,5,0)+IF(COUNTIF($Z490:AB490,"&gt;"&amp;0)&gt;5,IF(MOD(COUNTIF(X$641:X792,1),7)=0,$C$4,0),0)</f>
        <v>73.5789092348996</v>
      </c>
      <c r="Y490" s="81" cm="1">
        <f ca="1" t="array" ref="Y490">IF(Y792=1,OFFSET($Z$338,$B490,Y$335-1)/SUMPRODUCT(--($D$335:$V$335=Y$335),--($D792:$V792=1)),0)+SUM(Y489)+IF(COUNTIF(Y$641:Y792,1)=1,5,0)+IF(COUNTIF($Z490:AC490,"&gt;"&amp;0)&gt;5,IF(MOD(COUNTIF(Y$641:Y792,1),7)=0,$C$4,0),0)</f>
        <v>66.8152489442662</v>
      </c>
      <c r="Z490" s="82" cm="1">
        <f ca="1" t="array" ref="Z490">SUMPRODUCT(TRANSPOSE($AD490:$AJ490),OFFSET($L$10:$L$16,0,Z$335-1))</f>
        <v>0</v>
      </c>
      <c r="AA490" s="82" cm="1">
        <f ca="1" t="array" ref="AA490">SUMPRODUCT(TRANSPOSE($AD490:$AJ490),OFFSET($L$10:$L$16,0,AA$335-1))</f>
        <v>0</v>
      </c>
      <c r="AB490" s="82" cm="1">
        <f ca="1" t="array" ref="AB490">SUMPRODUCT(TRANSPOSE($AD490:$AJ490),OFFSET($L$10:$L$16,0,AB$335-1))</f>
        <v>0</v>
      </c>
      <c r="AC490" s="82" cm="1">
        <f ca="1" t="array" ref="AC490">SUMPRODUCT(TRANSPOSE($AD490:$AJ490),OFFSET($L$10:$L$16,0,AC$335-1))</f>
        <v>0</v>
      </c>
      <c r="AD490" s="83">
        <f ca="1" t="shared" ref="AD490:AJ490" si="627">AK490-AK489</f>
        <v>0</v>
      </c>
      <c r="AE490" s="83">
        <f ca="1" t="shared" si="627"/>
        <v>0</v>
      </c>
      <c r="AF490" s="83">
        <f ca="1" t="shared" si="627"/>
        <v>0</v>
      </c>
      <c r="AG490" s="83">
        <f ca="1" t="shared" si="627"/>
        <v>0</v>
      </c>
      <c r="AH490" s="83">
        <f ca="1" t="shared" si="627"/>
        <v>0</v>
      </c>
      <c r="AI490" s="83">
        <f ca="1" t="shared" si="627"/>
        <v>0</v>
      </c>
      <c r="AJ490" s="83">
        <f ca="1" t="shared" si="627"/>
        <v>0</v>
      </c>
      <c r="AK490" s="83">
        <f ca="1" t="shared" si="581"/>
        <v>450</v>
      </c>
      <c r="AL490" s="83">
        <f ca="1" t="shared" ref="AL490:AQ490" si="628">IF($C490&gt;OFFSET($Q$9,MATCH(AL$338,$AK$338:$AQ$338,0),0),OFFSET($P$9,MATCH(AL$338,$AK$338:$AQ$338,0),0),MAX(0,$C490-OFFSET($Q$9,RIGHT(AL$338,1)-1,0)))</f>
        <v>909</v>
      </c>
      <c r="AM490" s="83">
        <f ca="1" t="shared" si="628"/>
        <v>1818</v>
      </c>
      <c r="AN490" s="83">
        <f ca="1" t="shared" si="628"/>
        <v>2727</v>
      </c>
      <c r="AO490" s="83">
        <f ca="1" t="shared" si="628"/>
        <v>3636</v>
      </c>
      <c r="AP490" s="83">
        <f ca="1" t="shared" si="628"/>
        <v>4545</v>
      </c>
      <c r="AQ490" s="83">
        <f ca="1" t="shared" si="628"/>
        <v>0</v>
      </c>
    </row>
    <row r="491" ht="16.5" spans="2:43">
      <c r="B491" s="65">
        <v>153</v>
      </c>
      <c r="C491" s="80">
        <f t="shared" si="579"/>
        <v>18156</v>
      </c>
      <c r="D491" s="81" cm="1">
        <f ca="1" t="array" ref="D491">IF(D793=1,OFFSET($Z$338,$B491,D$335-1)/SUMPRODUCT(--($D$335:$V$335=D$335),--($D793:$V793=1)),0)+SUM(D490)+IF(COUNTIF(D$641:D793,1)=1,5,0)+IF(COUNTIF(E491:$Z491,"&gt;"&amp;0)&gt;5,IF(MOD(COUNTIF(D$641:D793,1),7)=0,$C$4,0),0)</f>
        <v>1223.82134856666</v>
      </c>
      <c r="E491" s="81" cm="1">
        <f ca="1" t="array" ref="E491">IF(E793=1,OFFSET($Z$338,$B491,E$335-1)/SUMPRODUCT(--($D$335:$V$335=E$335),--($D793:$V793=1)),0)+SUM(E490)+IF(COUNTIF(E$641:E793,1)=1,5,0)+IF(COUNTIF(F491:$Z491,"&gt;"&amp;0)&gt;5,IF(MOD(COUNTIF(E$641:E793,1),7)=0,$C$4,0),0)</f>
        <v>1223.82134856666</v>
      </c>
      <c r="F491" s="81" cm="1">
        <f ca="1" t="array" ref="F491">IF(F793=1,OFFSET($Z$338,$B491,F$335-1)/SUMPRODUCT(--($D$335:$V$335=F$335),--($D793:$V793=1)),0)+SUM(F490)+IF(COUNTIF(F$641:F793,1)=1,5,0)+IF(COUNTIF(G491:$Z491,"&gt;"&amp;0)&gt;5,IF(MOD(COUNTIF(F$641:F793,1),7)=0,$C$4,0),0)</f>
        <v>1223.82134856666</v>
      </c>
      <c r="G491" s="81" cm="1">
        <f ca="1" t="array" ref="G491">IF(G793=1,OFFSET($Z$338,$B491,G$335-1)/SUMPRODUCT(--($D$335:$V$335=G$335),--($D793:$V793=1)),0)+SUM(G490)+IF(COUNTIF(G$641:G793,1)=1,5,0)+IF(COUNTIF(H491:$Z491,"&gt;"&amp;0)&gt;5,IF(MOD(COUNTIF(G$641:G793,1),7)=0,$C$4,0),0)</f>
        <v>512.516666666668</v>
      </c>
      <c r="H491" s="81" cm="1">
        <f ca="1" t="array" ref="H491">IF(H793=1,OFFSET($Z$338,$B491,H$335-1)/SUMPRODUCT(--($D$335:$V$335=H$335),--($D793:$V793=1)),0)+SUM(H490)+IF(COUNTIF(H$641:H793,1)=1,5,0)+IF(COUNTIF(I491:$Z491,"&gt;"&amp;0)&gt;5,IF(MOD(COUNTIF(H$641:H793,1),7)=0,$C$4,0),0)</f>
        <v>512.516666666668</v>
      </c>
      <c r="I491" s="81" cm="1">
        <f ca="1" t="array" ref="I491">IF(I793=1,OFFSET($Z$338,$B491,I$335-1)/SUMPRODUCT(--($D$335:$V$335=I$335),--($D793:$V793=1)),0)+SUM(I490)+IF(COUNTIF(I$641:I793,1)=1,5,0)+IF(COUNTIF(J491:$Z491,"&gt;"&amp;0)&gt;5,IF(MOD(COUNTIF(I$641:I793,1),7)=0,$C$4,0),0)</f>
        <v>512.516666666668</v>
      </c>
      <c r="J491" s="81" cm="1">
        <f ca="1" t="array" ref="J491">IF(J793=1,OFFSET($Z$338,$B491,J$335-1)/SUMPRODUCT(--($D$335:$V$335=J$335),--($D793:$V793=1)),0)+SUM(J490)+IF(COUNTIF(J$641:J793,1)=1,5,0)+IF(COUNTIF(K491:$Z491,"&gt;"&amp;0)&gt;5,IF(MOD(COUNTIF(J$641:J793,1),7)=0,$C$4,0),0)</f>
        <v>512.516666666668</v>
      </c>
      <c r="K491" s="81" cm="1">
        <f ca="1" t="array" ref="K491">IF(K793=1,OFFSET($Z$338,$B491,K$335-1)/SUMPRODUCT(--($D$335:$V$335=K$335),--($D793:$V793=1)),0)+SUM(K490)+IF(COUNTIF(K$641:K793,1)=1,5,0)+IF(COUNTIF(L491:$Z491,"&gt;"&amp;0)&gt;5,IF(MOD(COUNTIF(K$641:K793,1),7)=0,$C$4,0),0)</f>
        <v>512.516666666668</v>
      </c>
      <c r="L491" s="81" cm="1">
        <f ca="1" t="array" ref="L491">IF(L793=1,OFFSET($Z$338,$B491,L$335-1)/SUMPRODUCT(--($D$335:$V$335=L$335),--($D793:$V793=1)),0)+SUM(L490)+IF(COUNTIF(L$641:L793,1)=1,5,0)+IF(COUNTIF(M491:$Z491,"&gt;"&amp;0)&gt;5,IF(MOD(COUNTIF(L$641:L793,1),7)=0,$C$4,0),0)</f>
        <v>505.816666666668</v>
      </c>
      <c r="M491" s="81" cm="1">
        <f ca="1" t="array" ref="M491">IF(M793=1,OFFSET($Z$338,$B491,M$335-1)/SUMPRODUCT(--($D$335:$V$335=M$335),--($D793:$V793=1)),0)+SUM(M490)+IF(COUNTIF(M$641:M793,1)=1,5,0)+IF(COUNTIF(N491:$Z491,"&gt;"&amp;0)&gt;5,IF(MOD(COUNTIF(M$641:M793,1),7)=0,$C$4,0),0)</f>
        <v>260.644107142858</v>
      </c>
      <c r="N491" s="81" cm="1">
        <f ca="1" t="array" ref="N491">IF(N793=1,OFFSET($Z$338,$B491,N$335-1)/SUMPRODUCT(--($D$335:$V$335=N$335),--($D793:$V793=1)),0)+SUM(N490)+IF(COUNTIF(N$641:N793,1)=1,5,0)+IF(COUNTIF(O491:$Z491,"&gt;"&amp;0)&gt;5,IF(MOD(COUNTIF(N$641:N793,1),7)=0,$C$4,0),0)</f>
        <v>252.919107142858</v>
      </c>
      <c r="O491" s="81" cm="1">
        <f ca="1" t="array" ref="O491">IF(O793=1,OFFSET($Z$338,$B491,O$335-1)/SUMPRODUCT(--($D$335:$V$335=O$335),--($D793:$V793=1)),0)+SUM(O490)+IF(COUNTIF(O$641:O793,1)=1,5,0)+IF(COUNTIF(P491:$Z491,"&gt;"&amp;0)&gt;5,IF(MOD(COUNTIF(O$641:O793,1),7)=0,$C$4,0),0)</f>
        <v>250.494107142858</v>
      </c>
      <c r="P491" s="81" cm="1">
        <f ca="1" t="array" ref="P491">IF(P793=1,OFFSET($Z$338,$B491,P$335-1)/SUMPRODUCT(--($D$335:$V$335=P$335),--($D793:$V793=1)),0)+SUM(P490)+IF(COUNTIF(P$641:P793,1)=1,5,0)+IF(COUNTIF(Q491:$Z491,"&gt;"&amp;0)&gt;5,IF(MOD(COUNTIF(P$641:P793,1),7)=0,$C$4,0),0)</f>
        <v>247.560773809524</v>
      </c>
      <c r="Q491" s="81" cm="1">
        <f ca="1" t="array" ref="Q491">IF(Q793=1,OFFSET($Z$338,$B491,Q$335-1)/SUMPRODUCT(--($D$335:$V$335=Q$335),--($D793:$V793=1)),0)+SUM(Q490)+IF(COUNTIF(Q$641:Q793,1)=1,5,0)+IF(COUNTIF(R491:$Z491,"&gt;"&amp;0)&gt;5,IF(MOD(COUNTIF(Q$641:Q793,1),7)=0,$C$4,0),0)</f>
        <v>246.654523809524</v>
      </c>
      <c r="R491" s="81" cm="1">
        <f ca="1" t="array" ref="R491">IF(R793=1,OFFSET($Z$338,$B491,R$335-1)/SUMPRODUCT(--($D$335:$V$335=R$335),--($D793:$V793=1)),0)+SUM(R490)+IF(COUNTIF(R$641:R793,1)=1,5,0)+IF(COUNTIF(S491:$Z491,"&gt;"&amp;0)&gt;5,IF(MOD(COUNTIF(R$641:R793,1),7)=0,$C$4,0),0)</f>
        <v>216.759523809524</v>
      </c>
      <c r="S491" s="81" cm="1">
        <f ca="1" t="array" ref="S491">IF(S793=1,OFFSET($Z$338,$B491,S$335-1)/SUMPRODUCT(--($D$335:$V$335=S$335),--($D793:$V793=1)),0)+SUM(S490)+IF(COUNTIF(S$641:S793,1)=1,5,0)+IF(COUNTIF(T491:$Z491,"&gt;"&amp;0)&gt;5,IF(MOD(COUNTIF(S$641:S793,1),7)=0,$C$4,0),0)</f>
        <v>212.592857142857</v>
      </c>
      <c r="T491" s="81" cm="1">
        <f ca="1" t="array" ref="T491">IF(T793=1,OFFSET($Z$338,$B491,T$335-1)/SUMPRODUCT(--($D$335:$V$335=T$335),--($D793:$V793=1)),0)+SUM(T490)+IF(COUNTIF(T$641:T793,1)=1,5,0)+IF(COUNTIF(U491:$Z491,"&gt;"&amp;0)&gt;5,IF(MOD(COUNTIF(T$641:T793,1),7)=0,$C$4,0),0)</f>
        <v>137.656257829764</v>
      </c>
      <c r="U491" s="81" cm="1">
        <f ca="1" t="array" ref="U491">IF(U793=1,OFFSET($Z$338,$B491,U$335-1)/SUMPRODUCT(--($D$335:$V$335=U$335),--($D793:$V793=1)),0)+SUM(U490)+IF(COUNTIF(U$641:U793,1)=1,5,0)+IF(COUNTIF(V491:$Z491,"&gt;"&amp;0)&gt;5,IF(MOD(COUNTIF(U$641:U793,1),7)=0,$C$4,0),0)</f>
        <v>97.6562578297643</v>
      </c>
      <c r="V491" s="81" cm="1">
        <f ca="1" t="array" ref="V491">IF(V793=1,OFFSET($Z$338,$B491,V$335-1)/SUMPRODUCT(--($D$335:$V$335=V$335),--($D793:$V793=1)),0)+SUM(V490)+IF(COUNTIF(V$641:V793,1)=1,5,0)+IF(COUNTIF(Z491:$Z491,"&gt;"&amp;0)&gt;5,IF(MOD(COUNTIF(V$641:V793,1),7)=0,$C$4,0),0)</f>
        <v>89.6984386404824</v>
      </c>
      <c r="W491" s="81" cm="1">
        <f ca="1" t="array" ref="W491">IF(W793=1,OFFSET($Z$338,$B491,W$335-1)/SUMPRODUCT(--($D$335:$V$335=W$335),--($D793:$V793=1)),0)+SUM(W490)+IF(COUNTIF(W$641:W793,1)=1,5,0)+IF(COUNTIF($Z491:AA491,"&gt;"&amp;0)&gt;5,IF(MOD(COUNTIF(W$641:W793,1),7)=0,$C$4,0),0)</f>
        <v>80.3425695255331</v>
      </c>
      <c r="X491" s="81" cm="1">
        <f ca="1" t="array" ref="X491">IF(X793=1,OFFSET($Z$338,$B491,X$335-1)/SUMPRODUCT(--($D$335:$V$335=X$335),--($D793:$V793=1)),0)+SUM(X490)+IF(COUNTIF(X$641:X793,1)=1,5,0)+IF(COUNTIF($Z491:AB491,"&gt;"&amp;0)&gt;5,IF(MOD(COUNTIF(X$641:X793,1),7)=0,$C$4,0),0)</f>
        <v>73.5789092348996</v>
      </c>
      <c r="Y491" s="81" cm="1">
        <f ca="1" t="array" ref="Y491">IF(Y793=1,OFFSET($Z$338,$B491,Y$335-1)/SUMPRODUCT(--($D$335:$V$335=Y$335),--($D793:$V793=1)),0)+SUM(Y490)+IF(COUNTIF(Y$641:Y793,1)=1,5,0)+IF(COUNTIF($Z491:AC491,"&gt;"&amp;0)&gt;5,IF(MOD(COUNTIF(Y$641:Y793,1),7)=0,$C$4,0),0)</f>
        <v>66.8152489442662</v>
      </c>
      <c r="Z491" s="82" cm="1">
        <f ca="1" t="array" ref="Z491">SUMPRODUCT(TRANSPOSE($AD491:$AJ491),OFFSET($L$10:$L$16,0,Z$335-1))</f>
        <v>0</v>
      </c>
      <c r="AA491" s="82" cm="1">
        <f ca="1" t="array" ref="AA491">SUMPRODUCT(TRANSPOSE($AD491:$AJ491),OFFSET($L$10:$L$16,0,AA$335-1))</f>
        <v>0</v>
      </c>
      <c r="AB491" s="82" cm="1">
        <f ca="1" t="array" ref="AB491">SUMPRODUCT(TRANSPOSE($AD491:$AJ491),OFFSET($L$10:$L$16,0,AB$335-1))</f>
        <v>0</v>
      </c>
      <c r="AC491" s="82" cm="1">
        <f ca="1" t="array" ref="AC491">SUMPRODUCT(TRANSPOSE($AD491:$AJ491),OFFSET($L$10:$L$16,0,AC$335-1))</f>
        <v>0</v>
      </c>
      <c r="AD491" s="83">
        <f ca="1" t="shared" ref="AD491:AJ491" si="629">AK491-AK490</f>
        <v>0</v>
      </c>
      <c r="AE491" s="83">
        <f ca="1" t="shared" si="629"/>
        <v>0</v>
      </c>
      <c r="AF491" s="83">
        <f ca="1" t="shared" si="629"/>
        <v>0</v>
      </c>
      <c r="AG491" s="83">
        <f ca="1" t="shared" si="629"/>
        <v>0</v>
      </c>
      <c r="AH491" s="83">
        <f ca="1" t="shared" si="629"/>
        <v>0</v>
      </c>
      <c r="AI491" s="83">
        <f ca="1" t="shared" si="629"/>
        <v>0</v>
      </c>
      <c r="AJ491" s="83">
        <f ca="1" t="shared" si="629"/>
        <v>0</v>
      </c>
      <c r="AK491" s="83">
        <f ca="1" t="shared" si="581"/>
        <v>450</v>
      </c>
      <c r="AL491" s="83">
        <f ca="1" t="shared" ref="AL491:AQ491" si="630">IF($C491&gt;OFFSET($Q$9,MATCH(AL$338,$AK$338:$AQ$338,0),0),OFFSET($P$9,MATCH(AL$338,$AK$338:$AQ$338,0),0),MAX(0,$C491-OFFSET($Q$9,RIGHT(AL$338,1)-1,0)))</f>
        <v>909</v>
      </c>
      <c r="AM491" s="83">
        <f ca="1" t="shared" si="630"/>
        <v>1818</v>
      </c>
      <c r="AN491" s="83">
        <f ca="1" t="shared" si="630"/>
        <v>2727</v>
      </c>
      <c r="AO491" s="83">
        <f ca="1" t="shared" si="630"/>
        <v>3636</v>
      </c>
      <c r="AP491" s="83">
        <f ca="1" t="shared" si="630"/>
        <v>4545</v>
      </c>
      <c r="AQ491" s="83">
        <f ca="1" t="shared" si="630"/>
        <v>0</v>
      </c>
    </row>
    <row r="492" ht="16.5" spans="2:43">
      <c r="B492" s="65">
        <v>154</v>
      </c>
      <c r="C492" s="80">
        <f t="shared" si="579"/>
        <v>18266</v>
      </c>
      <c r="D492" s="81" cm="1">
        <f ca="1" t="array" ref="D492">IF(D794=1,OFFSET($Z$338,$B492,D$335-1)/SUMPRODUCT(--($D$335:$V$335=D$335),--($D794:$V794=1)),0)+SUM(D491)+IF(COUNTIF(D$641:D794,1)=1,5,0)+IF(COUNTIF(E492:$Z492,"&gt;"&amp;0)&gt;5,IF(MOD(COUNTIF(D$641:D794,1),7)=0,$C$4,0),0)</f>
        <v>1228.82134856666</v>
      </c>
      <c r="E492" s="81" cm="1">
        <f ca="1" t="array" ref="E492">IF(E794=1,OFFSET($Z$338,$B492,E$335-1)/SUMPRODUCT(--($D$335:$V$335=E$335),--($D794:$V794=1)),0)+SUM(E491)+IF(COUNTIF(E$641:E794,1)=1,5,0)+IF(COUNTIF(F492:$Z492,"&gt;"&amp;0)&gt;5,IF(MOD(COUNTIF(E$641:E794,1),7)=0,$C$4,0),0)</f>
        <v>1228.82134856666</v>
      </c>
      <c r="F492" s="81" cm="1">
        <f ca="1" t="array" ref="F492">IF(F794=1,OFFSET($Z$338,$B492,F$335-1)/SUMPRODUCT(--($D$335:$V$335=F$335),--($D794:$V794=1)),0)+SUM(F491)+IF(COUNTIF(F$641:F794,1)=1,5,0)+IF(COUNTIF(G492:$Z492,"&gt;"&amp;0)&gt;5,IF(MOD(COUNTIF(F$641:F794,1),7)=0,$C$4,0),0)</f>
        <v>1228.82134856666</v>
      </c>
      <c r="G492" s="81" cm="1">
        <f ca="1" t="array" ref="G492">IF(G794=1,OFFSET($Z$338,$B492,G$335-1)/SUMPRODUCT(--($D$335:$V$335=G$335),--($D794:$V794=1)),0)+SUM(G491)+IF(COUNTIF(G$641:G794,1)=1,5,0)+IF(COUNTIF(H492:$Z492,"&gt;"&amp;0)&gt;5,IF(MOD(COUNTIF(G$641:G794,1),7)=0,$C$4,0),0)</f>
        <v>517.516666666668</v>
      </c>
      <c r="H492" s="81" cm="1">
        <f ca="1" t="array" ref="H492">IF(H794=1,OFFSET($Z$338,$B492,H$335-1)/SUMPRODUCT(--($D$335:$V$335=H$335),--($D794:$V794=1)),0)+SUM(H491)+IF(COUNTIF(H$641:H794,1)=1,5,0)+IF(COUNTIF(I492:$Z492,"&gt;"&amp;0)&gt;5,IF(MOD(COUNTIF(H$641:H794,1),7)=0,$C$4,0),0)</f>
        <v>517.516666666668</v>
      </c>
      <c r="I492" s="81" cm="1">
        <f ca="1" t="array" ref="I492">IF(I794=1,OFFSET($Z$338,$B492,I$335-1)/SUMPRODUCT(--($D$335:$V$335=I$335),--($D794:$V794=1)),0)+SUM(I491)+IF(COUNTIF(I$641:I794,1)=1,5,0)+IF(COUNTIF(J492:$Z492,"&gt;"&amp;0)&gt;5,IF(MOD(COUNTIF(I$641:I794,1),7)=0,$C$4,0),0)</f>
        <v>517.516666666668</v>
      </c>
      <c r="J492" s="81" cm="1">
        <f ca="1" t="array" ref="J492">IF(J794=1,OFFSET($Z$338,$B492,J$335-1)/SUMPRODUCT(--($D$335:$V$335=J$335),--($D794:$V794=1)),0)+SUM(J491)+IF(COUNTIF(J$641:J794,1)=1,5,0)+IF(COUNTIF(K492:$Z492,"&gt;"&amp;0)&gt;5,IF(MOD(COUNTIF(J$641:J794,1),7)=0,$C$4,0),0)</f>
        <v>517.516666666668</v>
      </c>
      <c r="K492" s="81" cm="1">
        <f ca="1" t="array" ref="K492">IF(K794=1,OFFSET($Z$338,$B492,K$335-1)/SUMPRODUCT(--($D$335:$V$335=K$335),--($D794:$V794=1)),0)+SUM(K491)+IF(COUNTIF(K$641:K794,1)=1,5,0)+IF(COUNTIF(L492:$Z492,"&gt;"&amp;0)&gt;5,IF(MOD(COUNTIF(K$641:K794,1),7)=0,$C$4,0),0)</f>
        <v>517.516666666668</v>
      </c>
      <c r="L492" s="81" cm="1">
        <f ca="1" t="array" ref="L492">IF(L794=1,OFFSET($Z$338,$B492,L$335-1)/SUMPRODUCT(--($D$335:$V$335=L$335),--($D794:$V794=1)),0)+SUM(L491)+IF(COUNTIF(L$641:L794,1)=1,5,0)+IF(COUNTIF(M492:$Z492,"&gt;"&amp;0)&gt;5,IF(MOD(COUNTIF(L$641:L794,1),7)=0,$C$4,0),0)</f>
        <v>505.816666666668</v>
      </c>
      <c r="M492" s="81" cm="1">
        <f ca="1" t="array" ref="M492">IF(M794=1,OFFSET($Z$338,$B492,M$335-1)/SUMPRODUCT(--($D$335:$V$335=M$335),--($D794:$V794=1)),0)+SUM(M491)+IF(COUNTIF(M$641:M794,1)=1,5,0)+IF(COUNTIF(N492:$Z492,"&gt;"&amp;0)&gt;5,IF(MOD(COUNTIF(M$641:M794,1),7)=0,$C$4,0),0)</f>
        <v>260.644107142858</v>
      </c>
      <c r="N492" s="81" cm="1">
        <f ca="1" t="array" ref="N492">IF(N794=1,OFFSET($Z$338,$B492,N$335-1)/SUMPRODUCT(--($D$335:$V$335=N$335),--($D794:$V794=1)),0)+SUM(N491)+IF(COUNTIF(N$641:N794,1)=1,5,0)+IF(COUNTIF(O492:$Z492,"&gt;"&amp;0)&gt;5,IF(MOD(COUNTIF(N$641:N794,1),7)=0,$C$4,0),0)</f>
        <v>252.919107142858</v>
      </c>
      <c r="O492" s="81" cm="1">
        <f ca="1" t="array" ref="O492">IF(O794=1,OFFSET($Z$338,$B492,O$335-1)/SUMPRODUCT(--($D$335:$V$335=O$335),--($D794:$V794=1)),0)+SUM(O491)+IF(COUNTIF(O$641:O794,1)=1,5,0)+IF(COUNTIF(P492:$Z492,"&gt;"&amp;0)&gt;5,IF(MOD(COUNTIF(O$641:O794,1),7)=0,$C$4,0),0)</f>
        <v>250.494107142858</v>
      </c>
      <c r="P492" s="81" cm="1">
        <f ca="1" t="array" ref="P492">IF(P794=1,OFFSET($Z$338,$B492,P$335-1)/SUMPRODUCT(--($D$335:$V$335=P$335),--($D794:$V794=1)),0)+SUM(P491)+IF(COUNTIF(P$641:P794,1)=1,5,0)+IF(COUNTIF(Q492:$Z492,"&gt;"&amp;0)&gt;5,IF(MOD(COUNTIF(P$641:P794,1),7)=0,$C$4,0),0)</f>
        <v>247.560773809524</v>
      </c>
      <c r="Q492" s="81" cm="1">
        <f ca="1" t="array" ref="Q492">IF(Q794=1,OFFSET($Z$338,$B492,Q$335-1)/SUMPRODUCT(--($D$335:$V$335=Q$335),--($D794:$V794=1)),0)+SUM(Q491)+IF(COUNTIF(Q$641:Q794,1)=1,5,0)+IF(COUNTIF(R492:$Z492,"&gt;"&amp;0)&gt;5,IF(MOD(COUNTIF(Q$641:Q794,1),7)=0,$C$4,0),0)</f>
        <v>246.654523809524</v>
      </c>
      <c r="R492" s="81" cm="1">
        <f ca="1" t="array" ref="R492">IF(R794=1,OFFSET($Z$338,$B492,R$335-1)/SUMPRODUCT(--($D$335:$V$335=R$335),--($D794:$V794=1)),0)+SUM(R491)+IF(COUNTIF(R$641:R794,1)=1,5,0)+IF(COUNTIF(S492:$Z492,"&gt;"&amp;0)&gt;5,IF(MOD(COUNTIF(R$641:R794,1),7)=0,$C$4,0),0)</f>
        <v>221.759523809524</v>
      </c>
      <c r="S492" s="81" cm="1">
        <f ca="1" t="array" ref="S492">IF(S794=1,OFFSET($Z$338,$B492,S$335-1)/SUMPRODUCT(--($D$335:$V$335=S$335),--($D794:$V794=1)),0)+SUM(S491)+IF(COUNTIF(S$641:S794,1)=1,5,0)+IF(COUNTIF(T492:$Z492,"&gt;"&amp;0)&gt;5,IF(MOD(COUNTIF(S$641:S794,1),7)=0,$C$4,0),0)</f>
        <v>212.592857142857</v>
      </c>
      <c r="T492" s="81" cm="1">
        <f ca="1" t="array" ref="T492">IF(T794=1,OFFSET($Z$338,$B492,T$335-1)/SUMPRODUCT(--($D$335:$V$335=T$335),--($D794:$V794=1)),0)+SUM(T491)+IF(COUNTIF(T$641:T794,1)=1,5,0)+IF(COUNTIF(U492:$Z492,"&gt;"&amp;0)&gt;5,IF(MOD(COUNTIF(T$641:T794,1),7)=0,$C$4,0),0)</f>
        <v>137.656257829764</v>
      </c>
      <c r="U492" s="81" cm="1">
        <f ca="1" t="array" ref="U492">IF(U794=1,OFFSET($Z$338,$B492,U$335-1)/SUMPRODUCT(--($D$335:$V$335=U$335),--($D794:$V794=1)),0)+SUM(U491)+IF(COUNTIF(U$641:U794,1)=1,5,0)+IF(COUNTIF(V492:$Z492,"&gt;"&amp;0)&gt;5,IF(MOD(COUNTIF(U$641:U794,1),7)=0,$C$4,0),0)</f>
        <v>97.6562578297643</v>
      </c>
      <c r="V492" s="81" cm="1">
        <f ca="1" t="array" ref="V492">IF(V794=1,OFFSET($Z$338,$B492,V$335-1)/SUMPRODUCT(--($D$335:$V$335=V$335),--($D794:$V794=1)),0)+SUM(V491)+IF(COUNTIF(V$641:V794,1)=1,5,0)+IF(COUNTIF(Z492:$Z492,"&gt;"&amp;0)&gt;5,IF(MOD(COUNTIF(V$641:V794,1),7)=0,$C$4,0),0)</f>
        <v>89.6984386404824</v>
      </c>
      <c r="W492" s="81" cm="1">
        <f ca="1" t="array" ref="W492">IF(W794=1,OFFSET($Z$338,$B492,W$335-1)/SUMPRODUCT(--($D$335:$V$335=W$335),--($D794:$V794=1)),0)+SUM(W491)+IF(COUNTIF(W$641:W794,1)=1,5,0)+IF(COUNTIF($Z492:AA492,"&gt;"&amp;0)&gt;5,IF(MOD(COUNTIF(W$641:W794,1),7)=0,$C$4,0),0)</f>
        <v>80.3425695255331</v>
      </c>
      <c r="X492" s="81" cm="1">
        <f ca="1" t="array" ref="X492">IF(X794=1,OFFSET($Z$338,$B492,X$335-1)/SUMPRODUCT(--($D$335:$V$335=X$335),--($D794:$V794=1)),0)+SUM(X491)+IF(COUNTIF(X$641:X794,1)=1,5,0)+IF(COUNTIF($Z492:AB492,"&gt;"&amp;0)&gt;5,IF(MOD(COUNTIF(X$641:X794,1),7)=0,$C$4,0),0)</f>
        <v>73.5789092348996</v>
      </c>
      <c r="Y492" s="81" cm="1">
        <f ca="1" t="array" ref="Y492">IF(Y794=1,OFFSET($Z$338,$B492,Y$335-1)/SUMPRODUCT(--($D$335:$V$335=Y$335),--($D794:$V794=1)),0)+SUM(Y491)+IF(COUNTIF(Y$641:Y794,1)=1,5,0)+IF(COUNTIF($Z492:AC492,"&gt;"&amp;0)&gt;5,IF(MOD(COUNTIF(Y$641:Y794,1),7)=0,$C$4,0),0)</f>
        <v>66.8152489442662</v>
      </c>
      <c r="Z492" s="82" cm="1">
        <f ca="1" t="array" ref="Z492">SUMPRODUCT(TRANSPOSE($AD492:$AJ492),OFFSET($L$10:$L$16,0,Z$335-1))</f>
        <v>0</v>
      </c>
      <c r="AA492" s="82" cm="1">
        <f ca="1" t="array" ref="AA492">SUMPRODUCT(TRANSPOSE($AD492:$AJ492),OFFSET($L$10:$L$16,0,AA$335-1))</f>
        <v>0</v>
      </c>
      <c r="AB492" s="82" cm="1">
        <f ca="1" t="array" ref="AB492">SUMPRODUCT(TRANSPOSE($AD492:$AJ492),OFFSET($L$10:$L$16,0,AB$335-1))</f>
        <v>0</v>
      </c>
      <c r="AC492" s="82" cm="1">
        <f ca="1" t="array" ref="AC492">SUMPRODUCT(TRANSPOSE($AD492:$AJ492),OFFSET($L$10:$L$16,0,AC$335-1))</f>
        <v>0</v>
      </c>
      <c r="AD492" s="83">
        <f ca="1" t="shared" ref="AD492:AJ492" si="631">AK492-AK491</f>
        <v>0</v>
      </c>
      <c r="AE492" s="83">
        <f ca="1" t="shared" si="631"/>
        <v>0</v>
      </c>
      <c r="AF492" s="83">
        <f ca="1" t="shared" si="631"/>
        <v>0</v>
      </c>
      <c r="AG492" s="83">
        <f ca="1" t="shared" si="631"/>
        <v>0</v>
      </c>
      <c r="AH492" s="83">
        <f ca="1" t="shared" si="631"/>
        <v>0</v>
      </c>
      <c r="AI492" s="83">
        <f ca="1" t="shared" si="631"/>
        <v>0</v>
      </c>
      <c r="AJ492" s="83">
        <f ca="1" t="shared" si="631"/>
        <v>0</v>
      </c>
      <c r="AK492" s="83">
        <f ca="1" t="shared" si="581"/>
        <v>450</v>
      </c>
      <c r="AL492" s="83">
        <f ca="1" t="shared" ref="AL492:AQ492" si="632">IF($C492&gt;OFFSET($Q$9,MATCH(AL$338,$AK$338:$AQ$338,0),0),OFFSET($P$9,MATCH(AL$338,$AK$338:$AQ$338,0),0),MAX(0,$C492-OFFSET($Q$9,RIGHT(AL$338,1)-1,0)))</f>
        <v>909</v>
      </c>
      <c r="AM492" s="83">
        <f ca="1" t="shared" si="632"/>
        <v>1818</v>
      </c>
      <c r="AN492" s="83">
        <f ca="1" t="shared" si="632"/>
        <v>2727</v>
      </c>
      <c r="AO492" s="83">
        <f ca="1" t="shared" si="632"/>
        <v>3636</v>
      </c>
      <c r="AP492" s="83">
        <f ca="1" t="shared" si="632"/>
        <v>4545</v>
      </c>
      <c r="AQ492" s="83">
        <f ca="1" t="shared" si="632"/>
        <v>0</v>
      </c>
    </row>
    <row r="493" ht="16.5" spans="2:43">
      <c r="B493" s="65">
        <v>155</v>
      </c>
      <c r="C493" s="80">
        <f t="shared" si="579"/>
        <v>18376</v>
      </c>
      <c r="D493" s="81" cm="1">
        <f ca="1" t="array" ref="D493">IF(D795=1,OFFSET($Z$338,$B493,D$335-1)/SUMPRODUCT(--($D$335:$V$335=D$335),--($D795:$V795=1)),0)+SUM(D492)+IF(COUNTIF(D$641:D795,1)=1,5,0)+IF(COUNTIF(E493:$Z493,"&gt;"&amp;0)&gt;5,IF(MOD(COUNTIF(D$641:D795,1),7)=0,$C$4,0),0)</f>
        <v>1228.82134856666</v>
      </c>
      <c r="E493" s="81" cm="1">
        <f ca="1" t="array" ref="E493">IF(E795=1,OFFSET($Z$338,$B493,E$335-1)/SUMPRODUCT(--($D$335:$V$335=E$335),--($D795:$V795=1)),0)+SUM(E492)+IF(COUNTIF(E$641:E795,1)=1,5,0)+IF(COUNTIF(F493:$Z493,"&gt;"&amp;0)&gt;5,IF(MOD(COUNTIF(E$641:E795,1),7)=0,$C$4,0),0)</f>
        <v>1228.82134856666</v>
      </c>
      <c r="F493" s="81" cm="1">
        <f ca="1" t="array" ref="F493">IF(F795=1,OFFSET($Z$338,$B493,F$335-1)/SUMPRODUCT(--($D$335:$V$335=F$335),--($D795:$V795=1)),0)+SUM(F492)+IF(COUNTIF(F$641:F795,1)=1,5,0)+IF(COUNTIF(G493:$Z493,"&gt;"&amp;0)&gt;5,IF(MOD(COUNTIF(F$641:F795,1),7)=0,$C$4,0),0)</f>
        <v>1228.82134856666</v>
      </c>
      <c r="G493" s="81" cm="1">
        <f ca="1" t="array" ref="G493">IF(G795=1,OFFSET($Z$338,$B493,G$335-1)/SUMPRODUCT(--($D$335:$V$335=G$335),--($D795:$V795=1)),0)+SUM(G492)+IF(COUNTIF(G$641:G795,1)=1,5,0)+IF(COUNTIF(H493:$Z493,"&gt;"&amp;0)&gt;5,IF(MOD(COUNTIF(G$641:G795,1),7)=0,$C$4,0),0)</f>
        <v>517.516666666668</v>
      </c>
      <c r="H493" s="81" cm="1">
        <f ca="1" t="array" ref="H493">IF(H795=1,OFFSET($Z$338,$B493,H$335-1)/SUMPRODUCT(--($D$335:$V$335=H$335),--($D795:$V795=1)),0)+SUM(H492)+IF(COUNTIF(H$641:H795,1)=1,5,0)+IF(COUNTIF(I493:$Z493,"&gt;"&amp;0)&gt;5,IF(MOD(COUNTIF(H$641:H795,1),7)=0,$C$4,0),0)</f>
        <v>517.516666666668</v>
      </c>
      <c r="I493" s="81" cm="1">
        <f ca="1" t="array" ref="I493">IF(I795=1,OFFSET($Z$338,$B493,I$335-1)/SUMPRODUCT(--($D$335:$V$335=I$335),--($D795:$V795=1)),0)+SUM(I492)+IF(COUNTIF(I$641:I795,1)=1,5,0)+IF(COUNTIF(J493:$Z493,"&gt;"&amp;0)&gt;5,IF(MOD(COUNTIF(I$641:I795,1),7)=0,$C$4,0),0)</f>
        <v>517.516666666668</v>
      </c>
      <c r="J493" s="81" cm="1">
        <f ca="1" t="array" ref="J493">IF(J795=1,OFFSET($Z$338,$B493,J$335-1)/SUMPRODUCT(--($D$335:$V$335=J$335),--($D795:$V795=1)),0)+SUM(J492)+IF(COUNTIF(J$641:J795,1)=1,5,0)+IF(COUNTIF(K493:$Z493,"&gt;"&amp;0)&gt;5,IF(MOD(COUNTIF(J$641:J795,1),7)=0,$C$4,0),0)</f>
        <v>517.516666666668</v>
      </c>
      <c r="K493" s="81" cm="1">
        <f ca="1" t="array" ref="K493">IF(K795=1,OFFSET($Z$338,$B493,K$335-1)/SUMPRODUCT(--($D$335:$V$335=K$335),--($D795:$V795=1)),0)+SUM(K492)+IF(COUNTIF(K$641:K795,1)=1,5,0)+IF(COUNTIF(L493:$Z493,"&gt;"&amp;0)&gt;5,IF(MOD(COUNTIF(K$641:K795,1),7)=0,$C$4,0),0)</f>
        <v>517.516666666668</v>
      </c>
      <c r="L493" s="81" cm="1">
        <f ca="1" t="array" ref="L493">IF(L795=1,OFFSET($Z$338,$B493,L$335-1)/SUMPRODUCT(--($D$335:$V$335=L$335),--($D795:$V795=1)),0)+SUM(L492)+IF(COUNTIF(L$641:L795,1)=1,5,0)+IF(COUNTIF(M493:$Z493,"&gt;"&amp;0)&gt;5,IF(MOD(COUNTIF(L$641:L795,1),7)=0,$C$4,0),0)</f>
        <v>510.816666666668</v>
      </c>
      <c r="M493" s="81" cm="1">
        <f ca="1" t="array" ref="M493">IF(M795=1,OFFSET($Z$338,$B493,M$335-1)/SUMPRODUCT(--($D$335:$V$335=M$335),--($D795:$V795=1)),0)+SUM(M492)+IF(COUNTIF(M$641:M795,1)=1,5,0)+IF(COUNTIF(N493:$Z493,"&gt;"&amp;0)&gt;5,IF(MOD(COUNTIF(M$641:M795,1),7)=0,$C$4,0),0)</f>
        <v>265.644107142858</v>
      </c>
      <c r="N493" s="81" cm="1">
        <f ca="1" t="array" ref="N493">IF(N795=1,OFFSET($Z$338,$B493,N$335-1)/SUMPRODUCT(--($D$335:$V$335=N$335),--($D795:$V795=1)),0)+SUM(N492)+IF(COUNTIF(N$641:N795,1)=1,5,0)+IF(COUNTIF(O493:$Z493,"&gt;"&amp;0)&gt;5,IF(MOD(COUNTIF(N$641:N795,1),7)=0,$C$4,0),0)</f>
        <v>252.919107142858</v>
      </c>
      <c r="O493" s="81" cm="1">
        <f ca="1" t="array" ref="O493">IF(O795=1,OFFSET($Z$338,$B493,O$335-1)/SUMPRODUCT(--($D$335:$V$335=O$335),--($D795:$V795=1)),0)+SUM(O492)+IF(COUNTIF(O$641:O795,1)=1,5,0)+IF(COUNTIF(P493:$Z493,"&gt;"&amp;0)&gt;5,IF(MOD(COUNTIF(O$641:O795,1),7)=0,$C$4,0),0)</f>
        <v>250.494107142858</v>
      </c>
      <c r="P493" s="81" cm="1">
        <f ca="1" t="array" ref="P493">IF(P795=1,OFFSET($Z$338,$B493,P$335-1)/SUMPRODUCT(--($D$335:$V$335=P$335),--($D795:$V795=1)),0)+SUM(P492)+IF(COUNTIF(P$641:P795,1)=1,5,0)+IF(COUNTIF(Q493:$Z493,"&gt;"&amp;0)&gt;5,IF(MOD(COUNTIF(P$641:P795,1),7)=0,$C$4,0),0)</f>
        <v>247.560773809524</v>
      </c>
      <c r="Q493" s="81" cm="1">
        <f ca="1" t="array" ref="Q493">IF(Q795=1,OFFSET($Z$338,$B493,Q$335-1)/SUMPRODUCT(--($D$335:$V$335=Q$335),--($D795:$V795=1)),0)+SUM(Q492)+IF(COUNTIF(Q$641:Q795,1)=1,5,0)+IF(COUNTIF(R493:$Z493,"&gt;"&amp;0)&gt;5,IF(MOD(COUNTIF(Q$641:Q795,1),7)=0,$C$4,0),0)</f>
        <v>246.654523809524</v>
      </c>
      <c r="R493" s="81" cm="1">
        <f ca="1" t="array" ref="R493">IF(R795=1,OFFSET($Z$338,$B493,R$335-1)/SUMPRODUCT(--($D$335:$V$335=R$335),--($D795:$V795=1)),0)+SUM(R492)+IF(COUNTIF(R$641:R795,1)=1,5,0)+IF(COUNTIF(S493:$Z493,"&gt;"&amp;0)&gt;5,IF(MOD(COUNTIF(R$641:R795,1),7)=0,$C$4,0),0)</f>
        <v>221.759523809524</v>
      </c>
      <c r="S493" s="81" cm="1">
        <f ca="1" t="array" ref="S493">IF(S795=1,OFFSET($Z$338,$B493,S$335-1)/SUMPRODUCT(--($D$335:$V$335=S$335),--($D795:$V795=1)),0)+SUM(S492)+IF(COUNTIF(S$641:S795,1)=1,5,0)+IF(COUNTIF(T493:$Z493,"&gt;"&amp;0)&gt;5,IF(MOD(COUNTIF(S$641:S795,1),7)=0,$C$4,0),0)</f>
        <v>212.592857142857</v>
      </c>
      <c r="T493" s="81" cm="1">
        <f ca="1" t="array" ref="T493">IF(T795=1,OFFSET($Z$338,$B493,T$335-1)/SUMPRODUCT(--($D$335:$V$335=T$335),--($D795:$V795=1)),0)+SUM(T492)+IF(COUNTIF(T$641:T795,1)=1,5,0)+IF(COUNTIF(U493:$Z493,"&gt;"&amp;0)&gt;5,IF(MOD(COUNTIF(T$641:T795,1),7)=0,$C$4,0),0)</f>
        <v>137.656257829764</v>
      </c>
      <c r="U493" s="81" cm="1">
        <f ca="1" t="array" ref="U493">IF(U795=1,OFFSET($Z$338,$B493,U$335-1)/SUMPRODUCT(--($D$335:$V$335=U$335),--($D795:$V795=1)),0)+SUM(U492)+IF(COUNTIF(U$641:U795,1)=1,5,0)+IF(COUNTIF(V493:$Z493,"&gt;"&amp;0)&gt;5,IF(MOD(COUNTIF(U$641:U795,1),7)=0,$C$4,0),0)</f>
        <v>97.6562578297643</v>
      </c>
      <c r="V493" s="81" cm="1">
        <f ca="1" t="array" ref="V493">IF(V795=1,OFFSET($Z$338,$B493,V$335-1)/SUMPRODUCT(--($D$335:$V$335=V$335),--($D795:$V795=1)),0)+SUM(V492)+IF(COUNTIF(V$641:V795,1)=1,5,0)+IF(COUNTIF(Z493:$Z493,"&gt;"&amp;0)&gt;5,IF(MOD(COUNTIF(V$641:V795,1),7)=0,$C$4,0),0)</f>
        <v>89.6984386404824</v>
      </c>
      <c r="W493" s="81" cm="1">
        <f ca="1" t="array" ref="W493">IF(W795=1,OFFSET($Z$338,$B493,W$335-1)/SUMPRODUCT(--($D$335:$V$335=W$335),--($D795:$V795=1)),0)+SUM(W492)+IF(COUNTIF(W$641:W795,1)=1,5,0)+IF(COUNTIF($Z493:AA493,"&gt;"&amp;0)&gt;5,IF(MOD(COUNTIF(W$641:W795,1),7)=0,$C$4,0),0)</f>
        <v>80.3425695255331</v>
      </c>
      <c r="X493" s="81" cm="1">
        <f ca="1" t="array" ref="X493">IF(X795=1,OFFSET($Z$338,$B493,X$335-1)/SUMPRODUCT(--($D$335:$V$335=X$335),--($D795:$V795=1)),0)+SUM(X492)+IF(COUNTIF(X$641:X795,1)=1,5,0)+IF(COUNTIF($Z493:AB493,"&gt;"&amp;0)&gt;5,IF(MOD(COUNTIF(X$641:X795,1),7)=0,$C$4,0),0)</f>
        <v>73.5789092348996</v>
      </c>
      <c r="Y493" s="81" cm="1">
        <f ca="1" t="array" ref="Y493">IF(Y795=1,OFFSET($Z$338,$B493,Y$335-1)/SUMPRODUCT(--($D$335:$V$335=Y$335),--($D795:$V795=1)),0)+SUM(Y492)+IF(COUNTIF(Y$641:Y795,1)=1,5,0)+IF(COUNTIF($Z493:AC493,"&gt;"&amp;0)&gt;5,IF(MOD(COUNTIF(Y$641:Y795,1),7)=0,$C$4,0),0)</f>
        <v>66.8152489442662</v>
      </c>
      <c r="Z493" s="82" cm="1">
        <f ca="1" t="array" ref="Z493">SUMPRODUCT(TRANSPOSE($AD493:$AJ493),OFFSET($L$10:$L$16,0,Z$335-1))</f>
        <v>0</v>
      </c>
      <c r="AA493" s="82" cm="1">
        <f ca="1" t="array" ref="AA493">SUMPRODUCT(TRANSPOSE($AD493:$AJ493),OFFSET($L$10:$L$16,0,AA$335-1))</f>
        <v>0</v>
      </c>
      <c r="AB493" s="82" cm="1">
        <f ca="1" t="array" ref="AB493">SUMPRODUCT(TRANSPOSE($AD493:$AJ493),OFFSET($L$10:$L$16,0,AB$335-1))</f>
        <v>0</v>
      </c>
      <c r="AC493" s="82" cm="1">
        <f ca="1" t="array" ref="AC493">SUMPRODUCT(TRANSPOSE($AD493:$AJ493),OFFSET($L$10:$L$16,0,AC$335-1))</f>
        <v>0</v>
      </c>
      <c r="AD493" s="83">
        <f ca="1" t="shared" ref="AD493:AJ493" si="633">AK493-AK492</f>
        <v>0</v>
      </c>
      <c r="AE493" s="83">
        <f ca="1" t="shared" si="633"/>
        <v>0</v>
      </c>
      <c r="AF493" s="83">
        <f ca="1" t="shared" si="633"/>
        <v>0</v>
      </c>
      <c r="AG493" s="83">
        <f ca="1" t="shared" si="633"/>
        <v>0</v>
      </c>
      <c r="AH493" s="83">
        <f ca="1" t="shared" si="633"/>
        <v>0</v>
      </c>
      <c r="AI493" s="83">
        <f ca="1" t="shared" si="633"/>
        <v>0</v>
      </c>
      <c r="AJ493" s="83">
        <f ca="1" t="shared" si="633"/>
        <v>0</v>
      </c>
      <c r="AK493" s="83">
        <f ca="1" t="shared" si="581"/>
        <v>450</v>
      </c>
      <c r="AL493" s="83">
        <f ca="1" t="shared" ref="AL493:AQ493" si="634">IF($C493&gt;OFFSET($Q$9,MATCH(AL$338,$AK$338:$AQ$338,0),0),OFFSET($P$9,MATCH(AL$338,$AK$338:$AQ$338,0),0),MAX(0,$C493-OFFSET($Q$9,RIGHT(AL$338,1)-1,0)))</f>
        <v>909</v>
      </c>
      <c r="AM493" s="83">
        <f ca="1" t="shared" si="634"/>
        <v>1818</v>
      </c>
      <c r="AN493" s="83">
        <f ca="1" t="shared" si="634"/>
        <v>2727</v>
      </c>
      <c r="AO493" s="83">
        <f ca="1" t="shared" si="634"/>
        <v>3636</v>
      </c>
      <c r="AP493" s="83">
        <f ca="1" t="shared" si="634"/>
        <v>4545</v>
      </c>
      <c r="AQ493" s="83">
        <f ca="1" t="shared" si="634"/>
        <v>0</v>
      </c>
    </row>
    <row r="494" ht="16.5" spans="2:43">
      <c r="B494" s="65">
        <v>156</v>
      </c>
      <c r="C494" s="80">
        <f t="shared" si="579"/>
        <v>18486</v>
      </c>
      <c r="D494" s="81" cm="1">
        <f ca="1" t="array" ref="D494">IF(D796=1,OFFSET($Z$338,$B494,D$335-1)/SUMPRODUCT(--($D$335:$V$335=D$335),--($D796:$V796=1)),0)+SUM(D493)+IF(COUNTIF(D$641:D796,1)=1,5,0)+IF(COUNTIF(E494:$Z494,"&gt;"&amp;0)&gt;5,IF(MOD(COUNTIF(D$641:D796,1),7)=0,$C$4,0),0)</f>
        <v>1228.82134856666</v>
      </c>
      <c r="E494" s="81" cm="1">
        <f ca="1" t="array" ref="E494">IF(E796=1,OFFSET($Z$338,$B494,E$335-1)/SUMPRODUCT(--($D$335:$V$335=E$335),--($D796:$V796=1)),0)+SUM(E493)+IF(COUNTIF(E$641:E796,1)=1,5,0)+IF(COUNTIF(F494:$Z494,"&gt;"&amp;0)&gt;5,IF(MOD(COUNTIF(E$641:E796,1),7)=0,$C$4,0),0)</f>
        <v>1228.82134856666</v>
      </c>
      <c r="F494" s="81" cm="1">
        <f ca="1" t="array" ref="F494">IF(F796=1,OFFSET($Z$338,$B494,F$335-1)/SUMPRODUCT(--($D$335:$V$335=F$335),--($D796:$V796=1)),0)+SUM(F493)+IF(COUNTIF(F$641:F796,1)=1,5,0)+IF(COUNTIF(G494:$Z494,"&gt;"&amp;0)&gt;5,IF(MOD(COUNTIF(F$641:F796,1),7)=0,$C$4,0),0)</f>
        <v>1228.82134856666</v>
      </c>
      <c r="G494" s="81" cm="1">
        <f ca="1" t="array" ref="G494">IF(G796=1,OFFSET($Z$338,$B494,G$335-1)/SUMPRODUCT(--($D$335:$V$335=G$335),--($D796:$V796=1)),0)+SUM(G493)+IF(COUNTIF(G$641:G796,1)=1,5,0)+IF(COUNTIF(H494:$Z494,"&gt;"&amp;0)&gt;5,IF(MOD(COUNTIF(G$641:G796,1),7)=0,$C$4,0),0)</f>
        <v>517.516666666668</v>
      </c>
      <c r="H494" s="81" cm="1">
        <f ca="1" t="array" ref="H494">IF(H796=1,OFFSET($Z$338,$B494,H$335-1)/SUMPRODUCT(--($D$335:$V$335=H$335),--($D796:$V796=1)),0)+SUM(H493)+IF(COUNTIF(H$641:H796,1)=1,5,0)+IF(COUNTIF(I494:$Z494,"&gt;"&amp;0)&gt;5,IF(MOD(COUNTIF(H$641:H796,1),7)=0,$C$4,0),0)</f>
        <v>517.516666666668</v>
      </c>
      <c r="I494" s="81" cm="1">
        <f ca="1" t="array" ref="I494">IF(I796=1,OFFSET($Z$338,$B494,I$335-1)/SUMPRODUCT(--($D$335:$V$335=I$335),--($D796:$V796=1)),0)+SUM(I493)+IF(COUNTIF(I$641:I796,1)=1,5,0)+IF(COUNTIF(J494:$Z494,"&gt;"&amp;0)&gt;5,IF(MOD(COUNTIF(I$641:I796,1),7)=0,$C$4,0),0)</f>
        <v>517.516666666668</v>
      </c>
      <c r="J494" s="81" cm="1">
        <f ca="1" t="array" ref="J494">IF(J796=1,OFFSET($Z$338,$B494,J$335-1)/SUMPRODUCT(--($D$335:$V$335=J$335),--($D796:$V796=1)),0)+SUM(J493)+IF(COUNTIF(J$641:J796,1)=1,5,0)+IF(COUNTIF(K494:$Z494,"&gt;"&amp;0)&gt;5,IF(MOD(COUNTIF(J$641:J796,1),7)=0,$C$4,0),0)</f>
        <v>517.516666666668</v>
      </c>
      <c r="K494" s="81" cm="1">
        <f ca="1" t="array" ref="K494">IF(K796=1,OFFSET($Z$338,$B494,K$335-1)/SUMPRODUCT(--($D$335:$V$335=K$335),--($D796:$V796=1)),0)+SUM(K493)+IF(COUNTIF(K$641:K796,1)=1,5,0)+IF(COUNTIF(L494:$Z494,"&gt;"&amp;0)&gt;5,IF(MOD(COUNTIF(K$641:K796,1),7)=0,$C$4,0),0)</f>
        <v>517.516666666668</v>
      </c>
      <c r="L494" s="81" cm="1">
        <f ca="1" t="array" ref="L494">IF(L796=1,OFFSET($Z$338,$B494,L$335-1)/SUMPRODUCT(--($D$335:$V$335=L$335),--($D796:$V796=1)),0)+SUM(L493)+IF(COUNTIF(L$641:L796,1)=1,5,0)+IF(COUNTIF(M494:$Z494,"&gt;"&amp;0)&gt;5,IF(MOD(COUNTIF(L$641:L796,1),7)=0,$C$4,0),0)</f>
        <v>510.816666666668</v>
      </c>
      <c r="M494" s="81" cm="1">
        <f ca="1" t="array" ref="M494">IF(M796=1,OFFSET($Z$338,$B494,M$335-1)/SUMPRODUCT(--($D$335:$V$335=M$335),--($D796:$V796=1)),0)+SUM(M493)+IF(COUNTIF(M$641:M796,1)=1,5,0)+IF(COUNTIF(N494:$Z494,"&gt;"&amp;0)&gt;5,IF(MOD(COUNTIF(M$641:M796,1),7)=0,$C$4,0),0)</f>
        <v>265.644107142858</v>
      </c>
      <c r="N494" s="81" cm="1">
        <f ca="1" t="array" ref="N494">IF(N796=1,OFFSET($Z$338,$B494,N$335-1)/SUMPRODUCT(--($D$335:$V$335=N$335),--($D796:$V796=1)),0)+SUM(N493)+IF(COUNTIF(N$641:N796,1)=1,5,0)+IF(COUNTIF(O494:$Z494,"&gt;"&amp;0)&gt;5,IF(MOD(COUNTIF(N$641:N796,1),7)=0,$C$4,0),0)</f>
        <v>257.919107142858</v>
      </c>
      <c r="O494" s="81" cm="1">
        <f ca="1" t="array" ref="O494">IF(O796=1,OFFSET($Z$338,$B494,O$335-1)/SUMPRODUCT(--($D$335:$V$335=O$335),--($D796:$V796=1)),0)+SUM(O493)+IF(COUNTIF(O$641:O796,1)=1,5,0)+IF(COUNTIF(P494:$Z494,"&gt;"&amp;0)&gt;5,IF(MOD(COUNTIF(O$641:O796,1),7)=0,$C$4,0),0)</f>
        <v>250.494107142858</v>
      </c>
      <c r="P494" s="81" cm="1">
        <f ca="1" t="array" ref="P494">IF(P796=1,OFFSET($Z$338,$B494,P$335-1)/SUMPRODUCT(--($D$335:$V$335=P$335),--($D796:$V796=1)),0)+SUM(P493)+IF(COUNTIF(P$641:P796,1)=1,5,0)+IF(COUNTIF(Q494:$Z494,"&gt;"&amp;0)&gt;5,IF(MOD(COUNTIF(P$641:P796,1),7)=0,$C$4,0),0)</f>
        <v>247.560773809524</v>
      </c>
      <c r="Q494" s="81" cm="1">
        <f ca="1" t="array" ref="Q494">IF(Q796=1,OFFSET($Z$338,$B494,Q$335-1)/SUMPRODUCT(--($D$335:$V$335=Q$335),--($D796:$V796=1)),0)+SUM(Q493)+IF(COUNTIF(Q$641:Q796,1)=1,5,0)+IF(COUNTIF(R494:$Z494,"&gt;"&amp;0)&gt;5,IF(MOD(COUNTIF(Q$641:Q796,1),7)=0,$C$4,0),0)</f>
        <v>246.654523809524</v>
      </c>
      <c r="R494" s="81" cm="1">
        <f ca="1" t="array" ref="R494">IF(R796=1,OFFSET($Z$338,$B494,R$335-1)/SUMPRODUCT(--($D$335:$V$335=R$335),--($D796:$V796=1)),0)+SUM(R493)+IF(COUNTIF(R$641:R796,1)=1,5,0)+IF(COUNTIF(S494:$Z494,"&gt;"&amp;0)&gt;5,IF(MOD(COUNTIF(R$641:R796,1),7)=0,$C$4,0),0)</f>
        <v>221.759523809524</v>
      </c>
      <c r="S494" s="81" cm="1">
        <f ca="1" t="array" ref="S494">IF(S796=1,OFFSET($Z$338,$B494,S$335-1)/SUMPRODUCT(--($D$335:$V$335=S$335),--($D796:$V796=1)),0)+SUM(S493)+IF(COUNTIF(S$641:S796,1)=1,5,0)+IF(COUNTIF(T494:$Z494,"&gt;"&amp;0)&gt;5,IF(MOD(COUNTIF(S$641:S796,1),7)=0,$C$4,0),0)</f>
        <v>212.592857142857</v>
      </c>
      <c r="T494" s="81" cm="1">
        <f ca="1" t="array" ref="T494">IF(T796=1,OFFSET($Z$338,$B494,T$335-1)/SUMPRODUCT(--($D$335:$V$335=T$335),--($D796:$V796=1)),0)+SUM(T493)+IF(COUNTIF(T$641:T796,1)=1,5,0)+IF(COUNTIF(U494:$Z494,"&gt;"&amp;0)&gt;5,IF(MOD(COUNTIF(T$641:T796,1),7)=0,$C$4,0),0)</f>
        <v>137.656257829764</v>
      </c>
      <c r="U494" s="81" cm="1">
        <f ca="1" t="array" ref="U494">IF(U796=1,OFFSET($Z$338,$B494,U$335-1)/SUMPRODUCT(--($D$335:$V$335=U$335),--($D796:$V796=1)),0)+SUM(U493)+IF(COUNTIF(U$641:U796,1)=1,5,0)+IF(COUNTIF(V494:$Z494,"&gt;"&amp;0)&gt;5,IF(MOD(COUNTIF(U$641:U796,1),7)=0,$C$4,0),0)</f>
        <v>97.6562578297643</v>
      </c>
      <c r="V494" s="81" cm="1">
        <f ca="1" t="array" ref="V494">IF(V796=1,OFFSET($Z$338,$B494,V$335-1)/SUMPRODUCT(--($D$335:$V$335=V$335),--($D796:$V796=1)),0)+SUM(V493)+IF(COUNTIF(V$641:V796,1)=1,5,0)+IF(COUNTIF(Z494:$Z494,"&gt;"&amp;0)&gt;5,IF(MOD(COUNTIF(V$641:V796,1),7)=0,$C$4,0),0)</f>
        <v>89.6984386404824</v>
      </c>
      <c r="W494" s="81" cm="1">
        <f ca="1" t="array" ref="W494">IF(W796=1,OFFSET($Z$338,$B494,W$335-1)/SUMPRODUCT(--($D$335:$V$335=W$335),--($D796:$V796=1)),0)+SUM(W493)+IF(COUNTIF(W$641:W796,1)=1,5,0)+IF(COUNTIF($Z494:AA494,"&gt;"&amp;0)&gt;5,IF(MOD(COUNTIF(W$641:W796,1),7)=0,$C$4,0),0)</f>
        <v>80.3425695255331</v>
      </c>
      <c r="X494" s="81" cm="1">
        <f ca="1" t="array" ref="X494">IF(X796=1,OFFSET($Z$338,$B494,X$335-1)/SUMPRODUCT(--($D$335:$V$335=X$335),--($D796:$V796=1)),0)+SUM(X493)+IF(COUNTIF(X$641:X796,1)=1,5,0)+IF(COUNTIF($Z494:AB494,"&gt;"&amp;0)&gt;5,IF(MOD(COUNTIF(X$641:X796,1),7)=0,$C$4,0),0)</f>
        <v>73.5789092348996</v>
      </c>
      <c r="Y494" s="81" cm="1">
        <f ca="1" t="array" ref="Y494">IF(Y796=1,OFFSET($Z$338,$B494,Y$335-1)/SUMPRODUCT(--($D$335:$V$335=Y$335),--($D796:$V796=1)),0)+SUM(Y493)+IF(COUNTIF(Y$641:Y796,1)=1,5,0)+IF(COUNTIF($Z494:AC494,"&gt;"&amp;0)&gt;5,IF(MOD(COUNTIF(Y$641:Y796,1),7)=0,$C$4,0),0)</f>
        <v>66.8152489442662</v>
      </c>
      <c r="Z494" s="82" cm="1">
        <f ca="1" t="array" ref="Z494">SUMPRODUCT(TRANSPOSE($AD494:$AJ494),OFFSET($L$10:$L$16,0,Z$335-1))</f>
        <v>0</v>
      </c>
      <c r="AA494" s="82" cm="1">
        <f ca="1" t="array" ref="AA494">SUMPRODUCT(TRANSPOSE($AD494:$AJ494),OFFSET($L$10:$L$16,0,AA$335-1))</f>
        <v>0</v>
      </c>
      <c r="AB494" s="82" cm="1">
        <f ca="1" t="array" ref="AB494">SUMPRODUCT(TRANSPOSE($AD494:$AJ494),OFFSET($L$10:$L$16,0,AB$335-1))</f>
        <v>0</v>
      </c>
      <c r="AC494" s="82" cm="1">
        <f ca="1" t="array" ref="AC494">SUMPRODUCT(TRANSPOSE($AD494:$AJ494),OFFSET($L$10:$L$16,0,AC$335-1))</f>
        <v>0</v>
      </c>
      <c r="AD494" s="83">
        <f ca="1" t="shared" ref="AD494:AJ494" si="635">AK494-AK493</f>
        <v>0</v>
      </c>
      <c r="AE494" s="83">
        <f ca="1" t="shared" si="635"/>
        <v>0</v>
      </c>
      <c r="AF494" s="83">
        <f ca="1" t="shared" si="635"/>
        <v>0</v>
      </c>
      <c r="AG494" s="83">
        <f ca="1" t="shared" si="635"/>
        <v>0</v>
      </c>
      <c r="AH494" s="83">
        <f ca="1" t="shared" si="635"/>
        <v>0</v>
      </c>
      <c r="AI494" s="83">
        <f ca="1" t="shared" si="635"/>
        <v>0</v>
      </c>
      <c r="AJ494" s="83">
        <f ca="1" t="shared" si="635"/>
        <v>0</v>
      </c>
      <c r="AK494" s="83">
        <f ca="1" t="shared" si="581"/>
        <v>450</v>
      </c>
      <c r="AL494" s="83">
        <f ca="1" t="shared" ref="AL494:AQ494" si="636">IF($C494&gt;OFFSET($Q$9,MATCH(AL$338,$AK$338:$AQ$338,0),0),OFFSET($P$9,MATCH(AL$338,$AK$338:$AQ$338,0),0),MAX(0,$C494-OFFSET($Q$9,RIGHT(AL$338,1)-1,0)))</f>
        <v>909</v>
      </c>
      <c r="AM494" s="83">
        <f ca="1" t="shared" si="636"/>
        <v>1818</v>
      </c>
      <c r="AN494" s="83">
        <f ca="1" t="shared" si="636"/>
        <v>2727</v>
      </c>
      <c r="AO494" s="83">
        <f ca="1" t="shared" si="636"/>
        <v>3636</v>
      </c>
      <c r="AP494" s="83">
        <f ca="1" t="shared" si="636"/>
        <v>4545</v>
      </c>
      <c r="AQ494" s="83">
        <f ca="1" t="shared" si="636"/>
        <v>0</v>
      </c>
    </row>
    <row r="495" ht="16.5" spans="2:43">
      <c r="B495" s="65">
        <v>157</v>
      </c>
      <c r="C495" s="80">
        <f t="shared" si="579"/>
        <v>18596</v>
      </c>
      <c r="D495" s="81" cm="1">
        <f ca="1" t="array" ref="D495">IF(D797=1,OFFSET($Z$338,$B495,D$335-1)/SUMPRODUCT(--($D$335:$V$335=D$335),--($D797:$V797=1)),0)+SUM(D494)+IF(COUNTIF(D$641:D797,1)=1,5,0)+IF(COUNTIF(E495:$Z495,"&gt;"&amp;0)&gt;5,IF(MOD(COUNTIF(D$641:D797,1),7)=0,$C$4,0),0)</f>
        <v>1228.82134856666</v>
      </c>
      <c r="E495" s="81" cm="1">
        <f ca="1" t="array" ref="E495">IF(E797=1,OFFSET($Z$338,$B495,E$335-1)/SUMPRODUCT(--($D$335:$V$335=E$335),--($D797:$V797=1)),0)+SUM(E494)+IF(COUNTIF(E$641:E797,1)=1,5,0)+IF(COUNTIF(F495:$Z495,"&gt;"&amp;0)&gt;5,IF(MOD(COUNTIF(E$641:E797,1),7)=0,$C$4,0),0)</f>
        <v>1228.82134856666</v>
      </c>
      <c r="F495" s="81" cm="1">
        <f ca="1" t="array" ref="F495">IF(F797=1,OFFSET($Z$338,$B495,F$335-1)/SUMPRODUCT(--($D$335:$V$335=F$335),--($D797:$V797=1)),0)+SUM(F494)+IF(COUNTIF(F$641:F797,1)=1,5,0)+IF(COUNTIF(G495:$Z495,"&gt;"&amp;0)&gt;5,IF(MOD(COUNTIF(F$641:F797,1),7)=0,$C$4,0),0)</f>
        <v>1228.82134856666</v>
      </c>
      <c r="G495" s="81" cm="1">
        <f ca="1" t="array" ref="G495">IF(G797=1,OFFSET($Z$338,$B495,G$335-1)/SUMPRODUCT(--($D$335:$V$335=G$335),--($D797:$V797=1)),0)+SUM(G494)+IF(COUNTIF(G$641:G797,1)=1,5,0)+IF(COUNTIF(H495:$Z495,"&gt;"&amp;0)&gt;5,IF(MOD(COUNTIF(G$641:G797,1),7)=0,$C$4,0),0)</f>
        <v>517.516666666668</v>
      </c>
      <c r="H495" s="81" cm="1">
        <f ca="1" t="array" ref="H495">IF(H797=1,OFFSET($Z$338,$B495,H$335-1)/SUMPRODUCT(--($D$335:$V$335=H$335),--($D797:$V797=1)),0)+SUM(H494)+IF(COUNTIF(H$641:H797,1)=1,5,0)+IF(COUNTIF(I495:$Z495,"&gt;"&amp;0)&gt;5,IF(MOD(COUNTIF(H$641:H797,1),7)=0,$C$4,0),0)</f>
        <v>517.516666666668</v>
      </c>
      <c r="I495" s="81" cm="1">
        <f ca="1" t="array" ref="I495">IF(I797=1,OFFSET($Z$338,$B495,I$335-1)/SUMPRODUCT(--($D$335:$V$335=I$335),--($D797:$V797=1)),0)+SUM(I494)+IF(COUNTIF(I$641:I797,1)=1,5,0)+IF(COUNTIF(J495:$Z495,"&gt;"&amp;0)&gt;5,IF(MOD(COUNTIF(I$641:I797,1),7)=0,$C$4,0),0)</f>
        <v>517.516666666668</v>
      </c>
      <c r="J495" s="81" cm="1">
        <f ca="1" t="array" ref="J495">IF(J797=1,OFFSET($Z$338,$B495,J$335-1)/SUMPRODUCT(--($D$335:$V$335=J$335),--($D797:$V797=1)),0)+SUM(J494)+IF(COUNTIF(J$641:J797,1)=1,5,0)+IF(COUNTIF(K495:$Z495,"&gt;"&amp;0)&gt;5,IF(MOD(COUNTIF(J$641:J797,1),7)=0,$C$4,0),0)</f>
        <v>517.516666666668</v>
      </c>
      <c r="K495" s="81" cm="1">
        <f ca="1" t="array" ref="K495">IF(K797=1,OFFSET($Z$338,$B495,K$335-1)/SUMPRODUCT(--($D$335:$V$335=K$335),--($D797:$V797=1)),0)+SUM(K494)+IF(COUNTIF(K$641:K797,1)=1,5,0)+IF(COUNTIF(L495:$Z495,"&gt;"&amp;0)&gt;5,IF(MOD(COUNTIF(K$641:K797,1),7)=0,$C$4,0),0)</f>
        <v>517.516666666668</v>
      </c>
      <c r="L495" s="81" cm="1">
        <f ca="1" t="array" ref="L495">IF(L797=1,OFFSET($Z$338,$B495,L$335-1)/SUMPRODUCT(--($D$335:$V$335=L$335),--($D797:$V797=1)),0)+SUM(L494)+IF(COUNTIF(L$641:L797,1)=1,5,0)+IF(COUNTIF(M495:$Z495,"&gt;"&amp;0)&gt;5,IF(MOD(COUNTIF(L$641:L797,1),7)=0,$C$4,0),0)</f>
        <v>510.816666666668</v>
      </c>
      <c r="M495" s="81" cm="1">
        <f ca="1" t="array" ref="M495">IF(M797=1,OFFSET($Z$338,$B495,M$335-1)/SUMPRODUCT(--($D$335:$V$335=M$335),--($D797:$V797=1)),0)+SUM(M494)+IF(COUNTIF(M$641:M797,1)=1,5,0)+IF(COUNTIF(N495:$Z495,"&gt;"&amp;0)&gt;5,IF(MOD(COUNTIF(M$641:M797,1),7)=0,$C$4,0),0)</f>
        <v>265.644107142858</v>
      </c>
      <c r="N495" s="81" cm="1">
        <f ca="1" t="array" ref="N495">IF(N797=1,OFFSET($Z$338,$B495,N$335-1)/SUMPRODUCT(--($D$335:$V$335=N$335),--($D797:$V797=1)),0)+SUM(N494)+IF(COUNTIF(N$641:N797,1)=1,5,0)+IF(COUNTIF(O495:$Z495,"&gt;"&amp;0)&gt;5,IF(MOD(COUNTIF(N$641:N797,1),7)=0,$C$4,0),0)</f>
        <v>257.919107142858</v>
      </c>
      <c r="O495" s="81" cm="1">
        <f ca="1" t="array" ref="O495">IF(O797=1,OFFSET($Z$338,$B495,O$335-1)/SUMPRODUCT(--($D$335:$V$335=O$335),--($D797:$V797=1)),0)+SUM(O494)+IF(COUNTIF(O$641:O797,1)=1,5,0)+IF(COUNTIF(P495:$Z495,"&gt;"&amp;0)&gt;5,IF(MOD(COUNTIF(O$641:O797,1),7)=0,$C$4,0),0)</f>
        <v>255.494107142858</v>
      </c>
      <c r="P495" s="81" cm="1">
        <f ca="1" t="array" ref="P495">IF(P797=1,OFFSET($Z$338,$B495,P$335-1)/SUMPRODUCT(--($D$335:$V$335=P$335),--($D797:$V797=1)),0)+SUM(P494)+IF(COUNTIF(P$641:P797,1)=1,5,0)+IF(COUNTIF(Q495:$Z495,"&gt;"&amp;0)&gt;5,IF(MOD(COUNTIF(P$641:P797,1),7)=0,$C$4,0),0)</f>
        <v>247.560773809524</v>
      </c>
      <c r="Q495" s="81" cm="1">
        <f ca="1" t="array" ref="Q495">IF(Q797=1,OFFSET($Z$338,$B495,Q$335-1)/SUMPRODUCT(--($D$335:$V$335=Q$335),--($D797:$V797=1)),0)+SUM(Q494)+IF(COUNTIF(Q$641:Q797,1)=1,5,0)+IF(COUNTIF(R495:$Z495,"&gt;"&amp;0)&gt;5,IF(MOD(COUNTIF(Q$641:Q797,1),7)=0,$C$4,0),0)</f>
        <v>246.654523809524</v>
      </c>
      <c r="R495" s="81" cm="1">
        <f ca="1" t="array" ref="R495">IF(R797=1,OFFSET($Z$338,$B495,R$335-1)/SUMPRODUCT(--($D$335:$V$335=R$335),--($D797:$V797=1)),0)+SUM(R494)+IF(COUNTIF(R$641:R797,1)=1,5,0)+IF(COUNTIF(S495:$Z495,"&gt;"&amp;0)&gt;5,IF(MOD(COUNTIF(R$641:R797,1),7)=0,$C$4,0),0)</f>
        <v>221.759523809524</v>
      </c>
      <c r="S495" s="81" cm="1">
        <f ca="1" t="array" ref="S495">IF(S797=1,OFFSET($Z$338,$B495,S$335-1)/SUMPRODUCT(--($D$335:$V$335=S$335),--($D797:$V797=1)),0)+SUM(S494)+IF(COUNTIF(S$641:S797,1)=1,5,0)+IF(COUNTIF(T495:$Z495,"&gt;"&amp;0)&gt;5,IF(MOD(COUNTIF(S$641:S797,1),7)=0,$C$4,0),0)</f>
        <v>212.592857142857</v>
      </c>
      <c r="T495" s="81" cm="1">
        <f ca="1" t="array" ref="T495">IF(T797=1,OFFSET($Z$338,$B495,T$335-1)/SUMPRODUCT(--($D$335:$V$335=T$335),--($D797:$V797=1)),0)+SUM(T494)+IF(COUNTIF(T$641:T797,1)=1,5,0)+IF(COUNTIF(U495:$Z495,"&gt;"&amp;0)&gt;5,IF(MOD(COUNTIF(T$641:T797,1),7)=0,$C$4,0),0)</f>
        <v>137.656257829764</v>
      </c>
      <c r="U495" s="81" cm="1">
        <f ca="1" t="array" ref="U495">IF(U797=1,OFFSET($Z$338,$B495,U$335-1)/SUMPRODUCT(--($D$335:$V$335=U$335),--($D797:$V797=1)),0)+SUM(U494)+IF(COUNTIF(U$641:U797,1)=1,5,0)+IF(COUNTIF(V495:$Z495,"&gt;"&amp;0)&gt;5,IF(MOD(COUNTIF(U$641:U797,1),7)=0,$C$4,0),0)</f>
        <v>97.6562578297643</v>
      </c>
      <c r="V495" s="81" cm="1">
        <f ca="1" t="array" ref="V495">IF(V797=1,OFFSET($Z$338,$B495,V$335-1)/SUMPRODUCT(--($D$335:$V$335=V$335),--($D797:$V797=1)),0)+SUM(V494)+IF(COUNTIF(V$641:V797,1)=1,5,0)+IF(COUNTIF(Z495:$Z495,"&gt;"&amp;0)&gt;5,IF(MOD(COUNTIF(V$641:V797,1),7)=0,$C$4,0),0)</f>
        <v>89.6984386404824</v>
      </c>
      <c r="W495" s="81" cm="1">
        <f ca="1" t="array" ref="W495">IF(W797=1,OFFSET($Z$338,$B495,W$335-1)/SUMPRODUCT(--($D$335:$V$335=W$335),--($D797:$V797=1)),0)+SUM(W494)+IF(COUNTIF(W$641:W797,1)=1,5,0)+IF(COUNTIF($Z495:AA495,"&gt;"&amp;0)&gt;5,IF(MOD(COUNTIF(W$641:W797,1),7)=0,$C$4,0),0)</f>
        <v>80.3425695255331</v>
      </c>
      <c r="X495" s="81" cm="1">
        <f ca="1" t="array" ref="X495">IF(X797=1,OFFSET($Z$338,$B495,X$335-1)/SUMPRODUCT(--($D$335:$V$335=X$335),--($D797:$V797=1)),0)+SUM(X494)+IF(COUNTIF(X$641:X797,1)=1,5,0)+IF(COUNTIF($Z495:AB495,"&gt;"&amp;0)&gt;5,IF(MOD(COUNTIF(X$641:X797,1),7)=0,$C$4,0),0)</f>
        <v>73.5789092348996</v>
      </c>
      <c r="Y495" s="81" cm="1">
        <f ca="1" t="array" ref="Y495">IF(Y797=1,OFFSET($Z$338,$B495,Y$335-1)/SUMPRODUCT(--($D$335:$V$335=Y$335),--($D797:$V797=1)),0)+SUM(Y494)+IF(COUNTIF(Y$641:Y797,1)=1,5,0)+IF(COUNTIF($Z495:AC495,"&gt;"&amp;0)&gt;5,IF(MOD(COUNTIF(Y$641:Y797,1),7)=0,$C$4,0),0)</f>
        <v>66.8152489442662</v>
      </c>
      <c r="Z495" s="82" cm="1">
        <f ca="1" t="array" ref="Z495">SUMPRODUCT(TRANSPOSE($AD495:$AJ495),OFFSET($L$10:$L$16,0,Z$335-1))</f>
        <v>0</v>
      </c>
      <c r="AA495" s="82" cm="1">
        <f ca="1" t="array" ref="AA495">SUMPRODUCT(TRANSPOSE($AD495:$AJ495),OFFSET($L$10:$L$16,0,AA$335-1))</f>
        <v>0</v>
      </c>
      <c r="AB495" s="82" cm="1">
        <f ca="1" t="array" ref="AB495">SUMPRODUCT(TRANSPOSE($AD495:$AJ495),OFFSET($L$10:$L$16,0,AB$335-1))</f>
        <v>0</v>
      </c>
      <c r="AC495" s="82" cm="1">
        <f ca="1" t="array" ref="AC495">SUMPRODUCT(TRANSPOSE($AD495:$AJ495),OFFSET($L$10:$L$16,0,AC$335-1))</f>
        <v>0</v>
      </c>
      <c r="AD495" s="83">
        <f ca="1" t="shared" ref="AD495:AJ495" si="637">AK495-AK494</f>
        <v>0</v>
      </c>
      <c r="AE495" s="83">
        <f ca="1" t="shared" si="637"/>
        <v>0</v>
      </c>
      <c r="AF495" s="83">
        <f ca="1" t="shared" si="637"/>
        <v>0</v>
      </c>
      <c r="AG495" s="83">
        <f ca="1" t="shared" si="637"/>
        <v>0</v>
      </c>
      <c r="AH495" s="83">
        <f ca="1" t="shared" si="637"/>
        <v>0</v>
      </c>
      <c r="AI495" s="83">
        <f ca="1" t="shared" si="637"/>
        <v>0</v>
      </c>
      <c r="AJ495" s="83">
        <f ca="1" t="shared" si="637"/>
        <v>0</v>
      </c>
      <c r="AK495" s="83">
        <f ca="1" t="shared" si="581"/>
        <v>450</v>
      </c>
      <c r="AL495" s="83">
        <f ca="1" t="shared" ref="AL495:AQ495" si="638">IF($C495&gt;OFFSET($Q$9,MATCH(AL$338,$AK$338:$AQ$338,0),0),OFFSET($P$9,MATCH(AL$338,$AK$338:$AQ$338,0),0),MAX(0,$C495-OFFSET($Q$9,RIGHT(AL$338,1)-1,0)))</f>
        <v>909</v>
      </c>
      <c r="AM495" s="83">
        <f ca="1" t="shared" si="638"/>
        <v>1818</v>
      </c>
      <c r="AN495" s="83">
        <f ca="1" t="shared" si="638"/>
        <v>2727</v>
      </c>
      <c r="AO495" s="83">
        <f ca="1" t="shared" si="638"/>
        <v>3636</v>
      </c>
      <c r="AP495" s="83">
        <f ca="1" t="shared" si="638"/>
        <v>4545</v>
      </c>
      <c r="AQ495" s="83">
        <f ca="1" t="shared" si="638"/>
        <v>0</v>
      </c>
    </row>
    <row r="496" ht="16.5" spans="2:43">
      <c r="B496" s="65">
        <v>158</v>
      </c>
      <c r="C496" s="80">
        <f t="shared" si="579"/>
        <v>18706</v>
      </c>
      <c r="D496" s="81" cm="1">
        <f ca="1" t="array" ref="D496">IF(D798=1,OFFSET($Z$338,$B496,D$335-1)/SUMPRODUCT(--($D$335:$V$335=D$335),--($D798:$V798=1)),0)+SUM(D495)+IF(COUNTIF(D$641:D798,1)=1,5,0)+IF(COUNTIF(E496:$Z496,"&gt;"&amp;0)&gt;5,IF(MOD(COUNTIF(D$641:D798,1),7)=0,$C$4,0),0)</f>
        <v>1228.82134856666</v>
      </c>
      <c r="E496" s="81" cm="1">
        <f ca="1" t="array" ref="E496">IF(E798=1,OFFSET($Z$338,$B496,E$335-1)/SUMPRODUCT(--($D$335:$V$335=E$335),--($D798:$V798=1)),0)+SUM(E495)+IF(COUNTIF(E$641:E798,1)=1,5,0)+IF(COUNTIF(F496:$Z496,"&gt;"&amp;0)&gt;5,IF(MOD(COUNTIF(E$641:E798,1),7)=0,$C$4,0),0)</f>
        <v>1228.82134856666</v>
      </c>
      <c r="F496" s="81" cm="1">
        <f ca="1" t="array" ref="F496">IF(F798=1,OFFSET($Z$338,$B496,F$335-1)/SUMPRODUCT(--($D$335:$V$335=F$335),--($D798:$V798=1)),0)+SUM(F495)+IF(COUNTIF(F$641:F798,1)=1,5,0)+IF(COUNTIF(G496:$Z496,"&gt;"&amp;0)&gt;5,IF(MOD(COUNTIF(F$641:F798,1),7)=0,$C$4,0),0)</f>
        <v>1228.82134856666</v>
      </c>
      <c r="G496" s="81" cm="1">
        <f ca="1" t="array" ref="G496">IF(G798=1,OFFSET($Z$338,$B496,G$335-1)/SUMPRODUCT(--($D$335:$V$335=G$335),--($D798:$V798=1)),0)+SUM(G495)+IF(COUNTIF(G$641:G798,1)=1,5,0)+IF(COUNTIF(H496:$Z496,"&gt;"&amp;0)&gt;5,IF(MOD(COUNTIF(G$641:G798,1),7)=0,$C$4,0),0)</f>
        <v>517.516666666668</v>
      </c>
      <c r="H496" s="81" cm="1">
        <f ca="1" t="array" ref="H496">IF(H798=1,OFFSET($Z$338,$B496,H$335-1)/SUMPRODUCT(--($D$335:$V$335=H$335),--($D798:$V798=1)),0)+SUM(H495)+IF(COUNTIF(H$641:H798,1)=1,5,0)+IF(COUNTIF(I496:$Z496,"&gt;"&amp;0)&gt;5,IF(MOD(COUNTIF(H$641:H798,1),7)=0,$C$4,0),0)</f>
        <v>517.516666666668</v>
      </c>
      <c r="I496" s="81" cm="1">
        <f ca="1" t="array" ref="I496">IF(I798=1,OFFSET($Z$338,$B496,I$335-1)/SUMPRODUCT(--($D$335:$V$335=I$335),--($D798:$V798=1)),0)+SUM(I495)+IF(COUNTIF(I$641:I798,1)=1,5,0)+IF(COUNTIF(J496:$Z496,"&gt;"&amp;0)&gt;5,IF(MOD(COUNTIF(I$641:I798,1),7)=0,$C$4,0),0)</f>
        <v>517.516666666668</v>
      </c>
      <c r="J496" s="81" cm="1">
        <f ca="1" t="array" ref="J496">IF(J798=1,OFFSET($Z$338,$B496,J$335-1)/SUMPRODUCT(--($D$335:$V$335=J$335),--($D798:$V798=1)),0)+SUM(J495)+IF(COUNTIF(J$641:J798,1)=1,5,0)+IF(COUNTIF(K496:$Z496,"&gt;"&amp;0)&gt;5,IF(MOD(COUNTIF(J$641:J798,1),7)=0,$C$4,0),0)</f>
        <v>517.516666666668</v>
      </c>
      <c r="K496" s="81" cm="1">
        <f ca="1" t="array" ref="K496">IF(K798=1,OFFSET($Z$338,$B496,K$335-1)/SUMPRODUCT(--($D$335:$V$335=K$335),--($D798:$V798=1)),0)+SUM(K495)+IF(COUNTIF(K$641:K798,1)=1,5,0)+IF(COUNTIF(L496:$Z496,"&gt;"&amp;0)&gt;5,IF(MOD(COUNTIF(K$641:K798,1),7)=0,$C$4,0),0)</f>
        <v>517.516666666668</v>
      </c>
      <c r="L496" s="81" cm="1">
        <f ca="1" t="array" ref="L496">IF(L798=1,OFFSET($Z$338,$B496,L$335-1)/SUMPRODUCT(--($D$335:$V$335=L$335),--($D798:$V798=1)),0)+SUM(L495)+IF(COUNTIF(L$641:L798,1)=1,5,0)+IF(COUNTIF(M496:$Z496,"&gt;"&amp;0)&gt;5,IF(MOD(COUNTIF(L$641:L798,1),7)=0,$C$4,0),0)</f>
        <v>510.816666666668</v>
      </c>
      <c r="M496" s="81" cm="1">
        <f ca="1" t="array" ref="M496">IF(M798=1,OFFSET($Z$338,$B496,M$335-1)/SUMPRODUCT(--($D$335:$V$335=M$335),--($D798:$V798=1)),0)+SUM(M495)+IF(COUNTIF(M$641:M798,1)=1,5,0)+IF(COUNTIF(N496:$Z496,"&gt;"&amp;0)&gt;5,IF(MOD(COUNTIF(M$641:M798,1),7)=0,$C$4,0),0)</f>
        <v>265.644107142858</v>
      </c>
      <c r="N496" s="81" cm="1">
        <f ca="1" t="array" ref="N496">IF(N798=1,OFFSET($Z$338,$B496,N$335-1)/SUMPRODUCT(--($D$335:$V$335=N$335),--($D798:$V798=1)),0)+SUM(N495)+IF(COUNTIF(N$641:N798,1)=1,5,0)+IF(COUNTIF(O496:$Z496,"&gt;"&amp;0)&gt;5,IF(MOD(COUNTIF(N$641:N798,1),7)=0,$C$4,0),0)</f>
        <v>257.919107142858</v>
      </c>
      <c r="O496" s="81" cm="1">
        <f ca="1" t="array" ref="O496">IF(O798=1,OFFSET($Z$338,$B496,O$335-1)/SUMPRODUCT(--($D$335:$V$335=O$335),--($D798:$V798=1)),0)+SUM(O495)+IF(COUNTIF(O$641:O798,1)=1,5,0)+IF(COUNTIF(P496:$Z496,"&gt;"&amp;0)&gt;5,IF(MOD(COUNTIF(O$641:O798,1),7)=0,$C$4,0),0)</f>
        <v>255.494107142858</v>
      </c>
      <c r="P496" s="81" cm="1">
        <f ca="1" t="array" ref="P496">IF(P798=1,OFFSET($Z$338,$B496,P$335-1)/SUMPRODUCT(--($D$335:$V$335=P$335),--($D798:$V798=1)),0)+SUM(P495)+IF(COUNTIF(P$641:P798,1)=1,5,0)+IF(COUNTIF(Q496:$Z496,"&gt;"&amp;0)&gt;5,IF(MOD(COUNTIF(P$641:P798,1),7)=0,$C$4,0),0)</f>
        <v>247.560773809524</v>
      </c>
      <c r="Q496" s="81" cm="1">
        <f ca="1" t="array" ref="Q496">IF(Q798=1,OFFSET($Z$338,$B496,Q$335-1)/SUMPRODUCT(--($D$335:$V$335=Q$335),--($D798:$V798=1)),0)+SUM(Q495)+IF(COUNTIF(Q$641:Q798,1)=1,5,0)+IF(COUNTIF(R496:$Z496,"&gt;"&amp;0)&gt;5,IF(MOD(COUNTIF(Q$641:Q798,1),7)=0,$C$4,0),0)</f>
        <v>246.654523809524</v>
      </c>
      <c r="R496" s="81" cm="1">
        <f ca="1" t="array" ref="R496">IF(R798=1,OFFSET($Z$338,$B496,R$335-1)/SUMPRODUCT(--($D$335:$V$335=R$335),--($D798:$V798=1)),0)+SUM(R495)+IF(COUNTIF(R$641:R798,1)=1,5,0)+IF(COUNTIF(S496:$Z496,"&gt;"&amp;0)&gt;5,IF(MOD(COUNTIF(R$641:R798,1),7)=0,$C$4,0),0)</f>
        <v>221.759523809524</v>
      </c>
      <c r="S496" s="81" cm="1">
        <f ca="1" t="array" ref="S496">IF(S798=1,OFFSET($Z$338,$B496,S$335-1)/SUMPRODUCT(--($D$335:$V$335=S$335),--($D798:$V798=1)),0)+SUM(S495)+IF(COUNTIF(S$641:S798,1)=1,5,0)+IF(COUNTIF(T496:$Z496,"&gt;"&amp;0)&gt;5,IF(MOD(COUNTIF(S$641:S798,1),7)=0,$C$4,0),0)</f>
        <v>212.592857142857</v>
      </c>
      <c r="T496" s="81" cm="1">
        <f ca="1" t="array" ref="T496">IF(T798=1,OFFSET($Z$338,$B496,T$335-1)/SUMPRODUCT(--($D$335:$V$335=T$335),--($D798:$V798=1)),0)+SUM(T495)+IF(COUNTIF(T$641:T798,1)=1,5,0)+IF(COUNTIF(U496:$Z496,"&gt;"&amp;0)&gt;5,IF(MOD(COUNTIF(T$641:T798,1),7)=0,$C$4,0),0)</f>
        <v>137.656257829764</v>
      </c>
      <c r="U496" s="81" cm="1">
        <f ca="1" t="array" ref="U496">IF(U798=1,OFFSET($Z$338,$B496,U$335-1)/SUMPRODUCT(--($D$335:$V$335=U$335),--($D798:$V798=1)),0)+SUM(U495)+IF(COUNTIF(U$641:U798,1)=1,5,0)+IF(COUNTIF(V496:$Z496,"&gt;"&amp;0)&gt;5,IF(MOD(COUNTIF(U$641:U798,1),7)=0,$C$4,0),0)</f>
        <v>97.6562578297643</v>
      </c>
      <c r="V496" s="81" cm="1">
        <f ca="1" t="array" ref="V496">IF(V798=1,OFFSET($Z$338,$B496,V$335-1)/SUMPRODUCT(--($D$335:$V$335=V$335),--($D798:$V798=1)),0)+SUM(V495)+IF(COUNTIF(V$641:V798,1)=1,5,0)+IF(COUNTIF(Z496:$Z496,"&gt;"&amp;0)&gt;5,IF(MOD(COUNTIF(V$641:V798,1),7)=0,$C$4,0),0)</f>
        <v>89.6984386404824</v>
      </c>
      <c r="W496" s="81" cm="1">
        <f ca="1" t="array" ref="W496">IF(W798=1,OFFSET($Z$338,$B496,W$335-1)/SUMPRODUCT(--($D$335:$V$335=W$335),--($D798:$V798=1)),0)+SUM(W495)+IF(COUNTIF(W$641:W798,1)=1,5,0)+IF(COUNTIF($Z496:AA496,"&gt;"&amp;0)&gt;5,IF(MOD(COUNTIF(W$641:W798,1),7)=0,$C$4,0),0)</f>
        <v>80.3425695255331</v>
      </c>
      <c r="X496" s="81" cm="1">
        <f ca="1" t="array" ref="X496">IF(X798=1,OFFSET($Z$338,$B496,X$335-1)/SUMPRODUCT(--($D$335:$V$335=X$335),--($D798:$V798=1)),0)+SUM(X495)+IF(COUNTIF(X$641:X798,1)=1,5,0)+IF(COUNTIF($Z496:AB496,"&gt;"&amp;0)&gt;5,IF(MOD(COUNTIF(X$641:X798,1),7)=0,$C$4,0),0)</f>
        <v>73.5789092348996</v>
      </c>
      <c r="Y496" s="81" cm="1">
        <f ca="1" t="array" ref="Y496">IF(Y798=1,OFFSET($Z$338,$B496,Y$335-1)/SUMPRODUCT(--($D$335:$V$335=Y$335),--($D798:$V798=1)),0)+SUM(Y495)+IF(COUNTIF(Y$641:Y798,1)=1,5,0)+IF(COUNTIF($Z496:AC496,"&gt;"&amp;0)&gt;5,IF(MOD(COUNTIF(Y$641:Y798,1),7)=0,$C$4,0),0)</f>
        <v>66.8152489442662</v>
      </c>
      <c r="Z496" s="82" cm="1">
        <f ca="1" t="array" ref="Z496">SUMPRODUCT(TRANSPOSE($AD496:$AJ496),OFFSET($L$10:$L$16,0,Z$335-1))</f>
        <v>0</v>
      </c>
      <c r="AA496" s="82" cm="1">
        <f ca="1" t="array" ref="AA496">SUMPRODUCT(TRANSPOSE($AD496:$AJ496),OFFSET($L$10:$L$16,0,AA$335-1))</f>
        <v>0</v>
      </c>
      <c r="AB496" s="82" cm="1">
        <f ca="1" t="array" ref="AB496">SUMPRODUCT(TRANSPOSE($AD496:$AJ496),OFFSET($L$10:$L$16,0,AB$335-1))</f>
        <v>0</v>
      </c>
      <c r="AC496" s="82" cm="1">
        <f ca="1" t="array" ref="AC496">SUMPRODUCT(TRANSPOSE($AD496:$AJ496),OFFSET($L$10:$L$16,0,AC$335-1))</f>
        <v>0</v>
      </c>
      <c r="AD496" s="83">
        <f ca="1" t="shared" ref="AD496:AJ496" si="639">AK496-AK495</f>
        <v>0</v>
      </c>
      <c r="AE496" s="83">
        <f ca="1" t="shared" si="639"/>
        <v>0</v>
      </c>
      <c r="AF496" s="83">
        <f ca="1" t="shared" si="639"/>
        <v>0</v>
      </c>
      <c r="AG496" s="83">
        <f ca="1" t="shared" si="639"/>
        <v>0</v>
      </c>
      <c r="AH496" s="83">
        <f ca="1" t="shared" si="639"/>
        <v>0</v>
      </c>
      <c r="AI496" s="83">
        <f ca="1" t="shared" si="639"/>
        <v>0</v>
      </c>
      <c r="AJ496" s="83">
        <f ca="1" t="shared" si="639"/>
        <v>0</v>
      </c>
      <c r="AK496" s="83">
        <f ca="1" t="shared" si="581"/>
        <v>450</v>
      </c>
      <c r="AL496" s="83">
        <f ca="1" t="shared" ref="AL496:AQ496" si="640">IF($C496&gt;OFFSET($Q$9,MATCH(AL$338,$AK$338:$AQ$338,0),0),OFFSET($P$9,MATCH(AL$338,$AK$338:$AQ$338,0),0),MAX(0,$C496-OFFSET($Q$9,RIGHT(AL$338,1)-1,0)))</f>
        <v>909</v>
      </c>
      <c r="AM496" s="83">
        <f ca="1" t="shared" si="640"/>
        <v>1818</v>
      </c>
      <c r="AN496" s="83">
        <f ca="1" t="shared" si="640"/>
        <v>2727</v>
      </c>
      <c r="AO496" s="83">
        <f ca="1" t="shared" si="640"/>
        <v>3636</v>
      </c>
      <c r="AP496" s="83">
        <f ca="1" t="shared" si="640"/>
        <v>4545</v>
      </c>
      <c r="AQ496" s="83">
        <f ca="1" t="shared" si="640"/>
        <v>0</v>
      </c>
    </row>
    <row r="497" ht="16.5" spans="2:43">
      <c r="B497" s="65">
        <v>159</v>
      </c>
      <c r="C497" s="80">
        <f t="shared" si="579"/>
        <v>18816</v>
      </c>
      <c r="D497" s="81" cm="1">
        <f ca="1" t="array" ref="D497">IF(D799=1,OFFSET($Z$338,$B497,D$335-1)/SUMPRODUCT(--($D$335:$V$335=D$335),--($D799:$V799=1)),0)+SUM(D496)+IF(COUNTIF(D$641:D799,1)=1,5,0)+IF(COUNTIF(E497:$Z497,"&gt;"&amp;0)&gt;5,IF(MOD(COUNTIF(D$641:D799,1),7)=0,$C$4,0),0)</f>
        <v>1228.82134856666</v>
      </c>
      <c r="E497" s="81" cm="1">
        <f ca="1" t="array" ref="E497">IF(E799=1,OFFSET($Z$338,$B497,E$335-1)/SUMPRODUCT(--($D$335:$V$335=E$335),--($D799:$V799=1)),0)+SUM(E496)+IF(COUNTIF(E$641:E799,1)=1,5,0)+IF(COUNTIF(F497:$Z497,"&gt;"&amp;0)&gt;5,IF(MOD(COUNTIF(E$641:E799,1),7)=0,$C$4,0),0)</f>
        <v>1228.82134856666</v>
      </c>
      <c r="F497" s="81" cm="1">
        <f ca="1" t="array" ref="F497">IF(F799=1,OFFSET($Z$338,$B497,F$335-1)/SUMPRODUCT(--($D$335:$V$335=F$335),--($D799:$V799=1)),0)+SUM(F496)+IF(COUNTIF(F$641:F799,1)=1,5,0)+IF(COUNTIF(G497:$Z497,"&gt;"&amp;0)&gt;5,IF(MOD(COUNTIF(F$641:F799,1),7)=0,$C$4,0),0)</f>
        <v>1228.82134856666</v>
      </c>
      <c r="G497" s="81" cm="1">
        <f ca="1" t="array" ref="G497">IF(G799=1,OFFSET($Z$338,$B497,G$335-1)/SUMPRODUCT(--($D$335:$V$335=G$335),--($D799:$V799=1)),0)+SUM(G496)+IF(COUNTIF(G$641:G799,1)=1,5,0)+IF(COUNTIF(H497:$Z497,"&gt;"&amp;0)&gt;5,IF(MOD(COUNTIF(G$641:G799,1),7)=0,$C$4,0),0)</f>
        <v>517.516666666668</v>
      </c>
      <c r="H497" s="81" cm="1">
        <f ca="1" t="array" ref="H497">IF(H799=1,OFFSET($Z$338,$B497,H$335-1)/SUMPRODUCT(--($D$335:$V$335=H$335),--($D799:$V799=1)),0)+SUM(H496)+IF(COUNTIF(H$641:H799,1)=1,5,0)+IF(COUNTIF(I497:$Z497,"&gt;"&amp;0)&gt;5,IF(MOD(COUNTIF(H$641:H799,1),7)=0,$C$4,0),0)</f>
        <v>517.516666666668</v>
      </c>
      <c r="I497" s="81" cm="1">
        <f ca="1" t="array" ref="I497">IF(I799=1,OFFSET($Z$338,$B497,I$335-1)/SUMPRODUCT(--($D$335:$V$335=I$335),--($D799:$V799=1)),0)+SUM(I496)+IF(COUNTIF(I$641:I799,1)=1,5,0)+IF(COUNTIF(J497:$Z497,"&gt;"&amp;0)&gt;5,IF(MOD(COUNTIF(I$641:I799,1),7)=0,$C$4,0),0)</f>
        <v>517.516666666668</v>
      </c>
      <c r="J497" s="81" cm="1">
        <f ca="1" t="array" ref="J497">IF(J799=1,OFFSET($Z$338,$B497,J$335-1)/SUMPRODUCT(--($D$335:$V$335=J$335),--($D799:$V799=1)),0)+SUM(J496)+IF(COUNTIF(J$641:J799,1)=1,5,0)+IF(COUNTIF(K497:$Z497,"&gt;"&amp;0)&gt;5,IF(MOD(COUNTIF(J$641:J799,1),7)=0,$C$4,0),0)</f>
        <v>517.516666666668</v>
      </c>
      <c r="K497" s="81" cm="1">
        <f ca="1" t="array" ref="K497">IF(K799=1,OFFSET($Z$338,$B497,K$335-1)/SUMPRODUCT(--($D$335:$V$335=K$335),--($D799:$V799=1)),0)+SUM(K496)+IF(COUNTIF(K$641:K799,1)=1,5,0)+IF(COUNTIF(L497:$Z497,"&gt;"&amp;0)&gt;5,IF(MOD(COUNTIF(K$641:K799,1),7)=0,$C$4,0),0)</f>
        <v>517.516666666668</v>
      </c>
      <c r="L497" s="81" cm="1">
        <f ca="1" t="array" ref="L497">IF(L799=1,OFFSET($Z$338,$B497,L$335-1)/SUMPRODUCT(--($D$335:$V$335=L$335),--($D799:$V799=1)),0)+SUM(L496)+IF(COUNTIF(L$641:L799,1)=1,5,0)+IF(COUNTIF(M497:$Z497,"&gt;"&amp;0)&gt;5,IF(MOD(COUNTIF(L$641:L799,1),7)=0,$C$4,0),0)</f>
        <v>510.816666666668</v>
      </c>
      <c r="M497" s="81" cm="1">
        <f ca="1" t="array" ref="M497">IF(M799=1,OFFSET($Z$338,$B497,M$335-1)/SUMPRODUCT(--($D$335:$V$335=M$335),--($D799:$V799=1)),0)+SUM(M496)+IF(COUNTIF(M$641:M799,1)=1,5,0)+IF(COUNTIF(N497:$Z497,"&gt;"&amp;0)&gt;5,IF(MOD(COUNTIF(M$641:M799,1),7)=0,$C$4,0),0)</f>
        <v>265.644107142858</v>
      </c>
      <c r="N497" s="81" cm="1">
        <f ca="1" t="array" ref="N497">IF(N799=1,OFFSET($Z$338,$B497,N$335-1)/SUMPRODUCT(--($D$335:$V$335=N$335),--($D799:$V799=1)),0)+SUM(N496)+IF(COUNTIF(N$641:N799,1)=1,5,0)+IF(COUNTIF(O497:$Z497,"&gt;"&amp;0)&gt;5,IF(MOD(COUNTIF(N$641:N799,1),7)=0,$C$4,0),0)</f>
        <v>257.919107142858</v>
      </c>
      <c r="O497" s="81" cm="1">
        <f ca="1" t="array" ref="O497">IF(O799=1,OFFSET($Z$338,$B497,O$335-1)/SUMPRODUCT(--($D$335:$V$335=O$335),--($D799:$V799=1)),0)+SUM(O496)+IF(COUNTIF(O$641:O799,1)=1,5,0)+IF(COUNTIF(P497:$Z497,"&gt;"&amp;0)&gt;5,IF(MOD(COUNTIF(O$641:O799,1),7)=0,$C$4,0),0)</f>
        <v>255.494107142858</v>
      </c>
      <c r="P497" s="81" cm="1">
        <f ca="1" t="array" ref="P497">IF(P799=1,OFFSET($Z$338,$B497,P$335-1)/SUMPRODUCT(--($D$335:$V$335=P$335),--($D799:$V799=1)),0)+SUM(P496)+IF(COUNTIF(P$641:P799,1)=1,5,0)+IF(COUNTIF(Q497:$Z497,"&gt;"&amp;0)&gt;5,IF(MOD(COUNTIF(P$641:P799,1),7)=0,$C$4,0),0)</f>
        <v>252.560773809524</v>
      </c>
      <c r="Q497" s="81" cm="1">
        <f ca="1" t="array" ref="Q497">IF(Q799=1,OFFSET($Z$338,$B497,Q$335-1)/SUMPRODUCT(--($D$335:$V$335=Q$335),--($D799:$V799=1)),0)+SUM(Q496)+IF(COUNTIF(Q$641:Q799,1)=1,5,0)+IF(COUNTIF(R497:$Z497,"&gt;"&amp;0)&gt;5,IF(MOD(COUNTIF(Q$641:Q799,1),7)=0,$C$4,0),0)</f>
        <v>246.654523809524</v>
      </c>
      <c r="R497" s="81" cm="1">
        <f ca="1" t="array" ref="R497">IF(R799=1,OFFSET($Z$338,$B497,R$335-1)/SUMPRODUCT(--($D$335:$V$335=R$335),--($D799:$V799=1)),0)+SUM(R496)+IF(COUNTIF(R$641:R799,1)=1,5,0)+IF(COUNTIF(S497:$Z497,"&gt;"&amp;0)&gt;5,IF(MOD(COUNTIF(R$641:R799,1),7)=0,$C$4,0),0)</f>
        <v>221.759523809524</v>
      </c>
      <c r="S497" s="81" cm="1">
        <f ca="1" t="array" ref="S497">IF(S799=1,OFFSET($Z$338,$B497,S$335-1)/SUMPRODUCT(--($D$335:$V$335=S$335),--($D799:$V799=1)),0)+SUM(S496)+IF(COUNTIF(S$641:S799,1)=1,5,0)+IF(COUNTIF(T497:$Z497,"&gt;"&amp;0)&gt;5,IF(MOD(COUNTIF(S$641:S799,1),7)=0,$C$4,0),0)</f>
        <v>217.592857142857</v>
      </c>
      <c r="T497" s="81" cm="1">
        <f ca="1" t="array" ref="T497">IF(T799=1,OFFSET($Z$338,$B497,T$335-1)/SUMPRODUCT(--($D$335:$V$335=T$335),--($D799:$V799=1)),0)+SUM(T496)+IF(COUNTIF(T$641:T799,1)=1,5,0)+IF(COUNTIF(U497:$Z497,"&gt;"&amp;0)&gt;5,IF(MOD(COUNTIF(T$641:T799,1),7)=0,$C$4,0),0)</f>
        <v>137.656257829764</v>
      </c>
      <c r="U497" s="81" cm="1">
        <f ca="1" t="array" ref="U497">IF(U799=1,OFFSET($Z$338,$B497,U$335-1)/SUMPRODUCT(--($D$335:$V$335=U$335),--($D799:$V799=1)),0)+SUM(U496)+IF(COUNTIF(U$641:U799,1)=1,5,0)+IF(COUNTIF(V497:$Z497,"&gt;"&amp;0)&gt;5,IF(MOD(COUNTIF(U$641:U799,1),7)=0,$C$4,0),0)</f>
        <v>97.6562578297643</v>
      </c>
      <c r="V497" s="81" cm="1">
        <f ca="1" t="array" ref="V497">IF(V799=1,OFFSET($Z$338,$B497,V$335-1)/SUMPRODUCT(--($D$335:$V$335=V$335),--($D799:$V799=1)),0)+SUM(V496)+IF(COUNTIF(V$641:V799,1)=1,5,0)+IF(COUNTIF(Z497:$Z497,"&gt;"&amp;0)&gt;5,IF(MOD(COUNTIF(V$641:V799,1),7)=0,$C$4,0),0)</f>
        <v>89.6984386404824</v>
      </c>
      <c r="W497" s="81" cm="1">
        <f ca="1" t="array" ref="W497">IF(W799=1,OFFSET($Z$338,$B497,W$335-1)/SUMPRODUCT(--($D$335:$V$335=W$335),--($D799:$V799=1)),0)+SUM(W496)+IF(COUNTIF(W$641:W799,1)=1,5,0)+IF(COUNTIF($Z497:AA497,"&gt;"&amp;0)&gt;5,IF(MOD(COUNTIF(W$641:W799,1),7)=0,$C$4,0),0)</f>
        <v>80.3425695255331</v>
      </c>
      <c r="X497" s="81" cm="1">
        <f ca="1" t="array" ref="X497">IF(X799=1,OFFSET($Z$338,$B497,X$335-1)/SUMPRODUCT(--($D$335:$V$335=X$335),--($D799:$V799=1)),0)+SUM(X496)+IF(COUNTIF(X$641:X799,1)=1,5,0)+IF(COUNTIF($Z497:AB497,"&gt;"&amp;0)&gt;5,IF(MOD(COUNTIF(X$641:X799,1),7)=0,$C$4,0),0)</f>
        <v>73.5789092348996</v>
      </c>
      <c r="Y497" s="81" cm="1">
        <f ca="1" t="array" ref="Y497">IF(Y799=1,OFFSET($Z$338,$B497,Y$335-1)/SUMPRODUCT(--($D$335:$V$335=Y$335),--($D799:$V799=1)),0)+SUM(Y496)+IF(COUNTIF(Y$641:Y799,1)=1,5,0)+IF(COUNTIF($Z497:AC497,"&gt;"&amp;0)&gt;5,IF(MOD(COUNTIF(Y$641:Y799,1),7)=0,$C$4,0),0)</f>
        <v>66.8152489442662</v>
      </c>
      <c r="Z497" s="82" cm="1">
        <f ca="1" t="array" ref="Z497">SUMPRODUCT(TRANSPOSE($AD497:$AJ497),OFFSET($L$10:$L$16,0,Z$335-1))</f>
        <v>0</v>
      </c>
      <c r="AA497" s="82" cm="1">
        <f ca="1" t="array" ref="AA497">SUMPRODUCT(TRANSPOSE($AD497:$AJ497),OFFSET($L$10:$L$16,0,AA$335-1))</f>
        <v>0</v>
      </c>
      <c r="AB497" s="82" cm="1">
        <f ca="1" t="array" ref="AB497">SUMPRODUCT(TRANSPOSE($AD497:$AJ497),OFFSET($L$10:$L$16,0,AB$335-1))</f>
        <v>0</v>
      </c>
      <c r="AC497" s="82" cm="1">
        <f ca="1" t="array" ref="AC497">SUMPRODUCT(TRANSPOSE($AD497:$AJ497),OFFSET($L$10:$L$16,0,AC$335-1))</f>
        <v>0</v>
      </c>
      <c r="AD497" s="83">
        <f ca="1" t="shared" ref="AD497:AJ497" si="641">AK497-AK496</f>
        <v>0</v>
      </c>
      <c r="AE497" s="83">
        <f ca="1" t="shared" si="641"/>
        <v>0</v>
      </c>
      <c r="AF497" s="83">
        <f ca="1" t="shared" si="641"/>
        <v>0</v>
      </c>
      <c r="AG497" s="83">
        <f ca="1" t="shared" si="641"/>
        <v>0</v>
      </c>
      <c r="AH497" s="83">
        <f ca="1" t="shared" si="641"/>
        <v>0</v>
      </c>
      <c r="AI497" s="83">
        <f ca="1" t="shared" si="641"/>
        <v>0</v>
      </c>
      <c r="AJ497" s="83">
        <f ca="1" t="shared" si="641"/>
        <v>0</v>
      </c>
      <c r="AK497" s="83">
        <f ca="1" t="shared" si="581"/>
        <v>450</v>
      </c>
      <c r="AL497" s="83">
        <f ca="1" t="shared" ref="AL497:AQ497" si="642">IF($C497&gt;OFFSET($Q$9,MATCH(AL$338,$AK$338:$AQ$338,0),0),OFFSET($P$9,MATCH(AL$338,$AK$338:$AQ$338,0),0),MAX(0,$C497-OFFSET($Q$9,RIGHT(AL$338,1)-1,0)))</f>
        <v>909</v>
      </c>
      <c r="AM497" s="83">
        <f ca="1" t="shared" si="642"/>
        <v>1818</v>
      </c>
      <c r="AN497" s="83">
        <f ca="1" t="shared" si="642"/>
        <v>2727</v>
      </c>
      <c r="AO497" s="83">
        <f ca="1" t="shared" si="642"/>
        <v>3636</v>
      </c>
      <c r="AP497" s="83">
        <f ca="1" t="shared" si="642"/>
        <v>4545</v>
      </c>
      <c r="AQ497" s="83">
        <f ca="1" t="shared" si="642"/>
        <v>0</v>
      </c>
    </row>
    <row r="498" ht="16.5" spans="2:43">
      <c r="B498" s="65">
        <v>160</v>
      </c>
      <c r="C498" s="80">
        <f t="shared" si="579"/>
        <v>18926</v>
      </c>
      <c r="D498" s="81" cm="1">
        <f ca="1" t="array" ref="D498">IF(D800=1,OFFSET($Z$338,$B498,D$335-1)/SUMPRODUCT(--($D$335:$V$335=D$335),--($D800:$V800=1)),0)+SUM(D497)+IF(COUNTIF(D$641:D800,1)=1,5,0)+IF(COUNTIF(E498:$Z498,"&gt;"&amp;0)&gt;5,IF(MOD(COUNTIF(D$641:D800,1),7)=0,$C$4,0),0)</f>
        <v>1228.82134856666</v>
      </c>
      <c r="E498" s="81" cm="1">
        <f ca="1" t="array" ref="E498">IF(E800=1,OFFSET($Z$338,$B498,E$335-1)/SUMPRODUCT(--($D$335:$V$335=E$335),--($D800:$V800=1)),0)+SUM(E497)+IF(COUNTIF(E$641:E800,1)=1,5,0)+IF(COUNTIF(F498:$Z498,"&gt;"&amp;0)&gt;5,IF(MOD(COUNTIF(E$641:E800,1),7)=0,$C$4,0),0)</f>
        <v>1228.82134856666</v>
      </c>
      <c r="F498" s="81" cm="1">
        <f ca="1" t="array" ref="F498">IF(F800=1,OFFSET($Z$338,$B498,F$335-1)/SUMPRODUCT(--($D$335:$V$335=F$335),--($D800:$V800=1)),0)+SUM(F497)+IF(COUNTIF(F$641:F800,1)=1,5,0)+IF(COUNTIF(G498:$Z498,"&gt;"&amp;0)&gt;5,IF(MOD(COUNTIF(F$641:F800,1),7)=0,$C$4,0),0)</f>
        <v>1228.82134856666</v>
      </c>
      <c r="G498" s="81" cm="1">
        <f ca="1" t="array" ref="G498">IF(G800=1,OFFSET($Z$338,$B498,G$335-1)/SUMPRODUCT(--($D$335:$V$335=G$335),--($D800:$V800=1)),0)+SUM(G497)+IF(COUNTIF(G$641:G800,1)=1,5,0)+IF(COUNTIF(H498:$Z498,"&gt;"&amp;0)&gt;5,IF(MOD(COUNTIF(G$641:G800,1),7)=0,$C$4,0),0)</f>
        <v>517.516666666668</v>
      </c>
      <c r="H498" s="81" cm="1">
        <f ca="1" t="array" ref="H498">IF(H800=1,OFFSET($Z$338,$B498,H$335-1)/SUMPRODUCT(--($D$335:$V$335=H$335),--($D800:$V800=1)),0)+SUM(H497)+IF(COUNTIF(H$641:H800,1)=1,5,0)+IF(COUNTIF(I498:$Z498,"&gt;"&amp;0)&gt;5,IF(MOD(COUNTIF(H$641:H800,1),7)=0,$C$4,0),0)</f>
        <v>517.516666666668</v>
      </c>
      <c r="I498" s="81" cm="1">
        <f ca="1" t="array" ref="I498">IF(I800=1,OFFSET($Z$338,$B498,I$335-1)/SUMPRODUCT(--($D$335:$V$335=I$335),--($D800:$V800=1)),0)+SUM(I497)+IF(COUNTIF(I$641:I800,1)=1,5,0)+IF(COUNTIF(J498:$Z498,"&gt;"&amp;0)&gt;5,IF(MOD(COUNTIF(I$641:I800,1),7)=0,$C$4,0),0)</f>
        <v>517.516666666668</v>
      </c>
      <c r="J498" s="81" cm="1">
        <f ca="1" t="array" ref="J498">IF(J800=1,OFFSET($Z$338,$B498,J$335-1)/SUMPRODUCT(--($D$335:$V$335=J$335),--($D800:$V800=1)),0)+SUM(J497)+IF(COUNTIF(J$641:J800,1)=1,5,0)+IF(COUNTIF(K498:$Z498,"&gt;"&amp;0)&gt;5,IF(MOD(COUNTIF(J$641:J800,1),7)=0,$C$4,0),0)</f>
        <v>517.516666666668</v>
      </c>
      <c r="K498" s="81" cm="1">
        <f ca="1" t="array" ref="K498">IF(K800=1,OFFSET($Z$338,$B498,K$335-1)/SUMPRODUCT(--($D$335:$V$335=K$335),--($D800:$V800=1)),0)+SUM(K497)+IF(COUNTIF(K$641:K800,1)=1,5,0)+IF(COUNTIF(L498:$Z498,"&gt;"&amp;0)&gt;5,IF(MOD(COUNTIF(K$641:K800,1),7)=0,$C$4,0),0)</f>
        <v>517.516666666668</v>
      </c>
      <c r="L498" s="81" cm="1">
        <f ca="1" t="array" ref="L498">IF(L800=1,OFFSET($Z$338,$B498,L$335-1)/SUMPRODUCT(--($D$335:$V$335=L$335),--($D800:$V800=1)),0)+SUM(L497)+IF(COUNTIF(L$641:L800,1)=1,5,0)+IF(COUNTIF(M498:$Z498,"&gt;"&amp;0)&gt;5,IF(MOD(COUNTIF(L$641:L800,1),7)=0,$C$4,0),0)</f>
        <v>510.816666666668</v>
      </c>
      <c r="M498" s="81" cm="1">
        <f ca="1" t="array" ref="M498">IF(M800=1,OFFSET($Z$338,$B498,M$335-1)/SUMPRODUCT(--($D$335:$V$335=M$335),--($D800:$V800=1)),0)+SUM(M497)+IF(COUNTIF(M$641:M800,1)=1,5,0)+IF(COUNTIF(N498:$Z498,"&gt;"&amp;0)&gt;5,IF(MOD(COUNTIF(M$641:M800,1),7)=0,$C$4,0),0)</f>
        <v>265.644107142858</v>
      </c>
      <c r="N498" s="81" cm="1">
        <f ca="1" t="array" ref="N498">IF(N800=1,OFFSET($Z$338,$B498,N$335-1)/SUMPRODUCT(--($D$335:$V$335=N$335),--($D800:$V800=1)),0)+SUM(N497)+IF(COUNTIF(N$641:N800,1)=1,5,0)+IF(COUNTIF(O498:$Z498,"&gt;"&amp;0)&gt;5,IF(MOD(COUNTIF(N$641:N800,1),7)=0,$C$4,0),0)</f>
        <v>257.919107142858</v>
      </c>
      <c r="O498" s="81" cm="1">
        <f ca="1" t="array" ref="O498">IF(O800=1,OFFSET($Z$338,$B498,O$335-1)/SUMPRODUCT(--($D$335:$V$335=O$335),--($D800:$V800=1)),0)+SUM(O497)+IF(COUNTIF(O$641:O800,1)=1,5,0)+IF(COUNTIF(P498:$Z498,"&gt;"&amp;0)&gt;5,IF(MOD(COUNTIF(O$641:O800,1),7)=0,$C$4,0),0)</f>
        <v>255.494107142858</v>
      </c>
      <c r="P498" s="81" cm="1">
        <f ca="1" t="array" ref="P498">IF(P800=1,OFFSET($Z$338,$B498,P$335-1)/SUMPRODUCT(--($D$335:$V$335=P$335),--($D800:$V800=1)),0)+SUM(P497)+IF(COUNTIF(P$641:P800,1)=1,5,0)+IF(COUNTIF(Q498:$Z498,"&gt;"&amp;0)&gt;5,IF(MOD(COUNTIF(P$641:P800,1),7)=0,$C$4,0),0)</f>
        <v>252.560773809524</v>
      </c>
      <c r="Q498" s="81" cm="1">
        <f ca="1" t="array" ref="Q498">IF(Q800=1,OFFSET($Z$338,$B498,Q$335-1)/SUMPRODUCT(--($D$335:$V$335=Q$335),--($D800:$V800=1)),0)+SUM(Q497)+IF(COUNTIF(Q$641:Q800,1)=1,5,0)+IF(COUNTIF(R498:$Z498,"&gt;"&amp;0)&gt;5,IF(MOD(COUNTIF(Q$641:Q800,1),7)=0,$C$4,0),0)</f>
        <v>251.654523809524</v>
      </c>
      <c r="R498" s="81" cm="1">
        <f ca="1" t="array" ref="R498">IF(R800=1,OFFSET($Z$338,$B498,R$335-1)/SUMPRODUCT(--($D$335:$V$335=R$335),--($D800:$V800=1)),0)+SUM(R497)+IF(COUNTIF(R$641:R800,1)=1,5,0)+IF(COUNTIF(S498:$Z498,"&gt;"&amp;0)&gt;5,IF(MOD(COUNTIF(R$641:R800,1),7)=0,$C$4,0),0)</f>
        <v>221.759523809524</v>
      </c>
      <c r="S498" s="81" cm="1">
        <f ca="1" t="array" ref="S498">IF(S800=1,OFFSET($Z$338,$B498,S$335-1)/SUMPRODUCT(--($D$335:$V$335=S$335),--($D800:$V800=1)),0)+SUM(S497)+IF(COUNTIF(S$641:S800,1)=1,5,0)+IF(COUNTIF(T498:$Z498,"&gt;"&amp;0)&gt;5,IF(MOD(COUNTIF(S$641:S800,1),7)=0,$C$4,0),0)</f>
        <v>217.592857142857</v>
      </c>
      <c r="T498" s="81" cm="1">
        <f ca="1" t="array" ref="T498">IF(T800=1,OFFSET($Z$338,$B498,T$335-1)/SUMPRODUCT(--($D$335:$V$335=T$335),--($D800:$V800=1)),0)+SUM(T497)+IF(COUNTIF(T$641:T800,1)=1,5,0)+IF(COUNTIF(U498:$Z498,"&gt;"&amp;0)&gt;5,IF(MOD(COUNTIF(T$641:T800,1),7)=0,$C$4,0),0)</f>
        <v>137.656257829764</v>
      </c>
      <c r="U498" s="81" cm="1">
        <f ca="1" t="array" ref="U498">IF(U800=1,OFFSET($Z$338,$B498,U$335-1)/SUMPRODUCT(--($D$335:$V$335=U$335),--($D800:$V800=1)),0)+SUM(U497)+IF(COUNTIF(U$641:U800,1)=1,5,0)+IF(COUNTIF(V498:$Z498,"&gt;"&amp;0)&gt;5,IF(MOD(COUNTIF(U$641:U800,1),7)=0,$C$4,0),0)</f>
        <v>97.6562578297643</v>
      </c>
      <c r="V498" s="81" cm="1">
        <f ca="1" t="array" ref="V498">IF(V800=1,OFFSET($Z$338,$B498,V$335-1)/SUMPRODUCT(--($D$335:$V$335=V$335),--($D800:$V800=1)),0)+SUM(V497)+IF(COUNTIF(V$641:V800,1)=1,5,0)+IF(COUNTIF(Z498:$Z498,"&gt;"&amp;0)&gt;5,IF(MOD(COUNTIF(V$641:V800,1),7)=0,$C$4,0),0)</f>
        <v>89.6984386404824</v>
      </c>
      <c r="W498" s="81" cm="1">
        <f ca="1" t="array" ref="W498">IF(W800=1,OFFSET($Z$338,$B498,W$335-1)/SUMPRODUCT(--($D$335:$V$335=W$335),--($D800:$V800=1)),0)+SUM(W497)+IF(COUNTIF(W$641:W800,1)=1,5,0)+IF(COUNTIF($Z498:AA498,"&gt;"&amp;0)&gt;5,IF(MOD(COUNTIF(W$641:W800,1),7)=0,$C$4,0),0)</f>
        <v>80.3425695255331</v>
      </c>
      <c r="X498" s="81" cm="1">
        <f ca="1" t="array" ref="X498">IF(X800=1,OFFSET($Z$338,$B498,X$335-1)/SUMPRODUCT(--($D$335:$V$335=X$335),--($D800:$V800=1)),0)+SUM(X497)+IF(COUNTIF(X$641:X800,1)=1,5,0)+IF(COUNTIF($Z498:AB498,"&gt;"&amp;0)&gt;5,IF(MOD(COUNTIF(X$641:X800,1),7)=0,$C$4,0),0)</f>
        <v>73.5789092348996</v>
      </c>
      <c r="Y498" s="81" cm="1">
        <f ca="1" t="array" ref="Y498">IF(Y800=1,OFFSET($Z$338,$B498,Y$335-1)/SUMPRODUCT(--($D$335:$V$335=Y$335),--($D800:$V800=1)),0)+SUM(Y497)+IF(COUNTIF(Y$641:Y800,1)=1,5,0)+IF(COUNTIF($Z498:AC498,"&gt;"&amp;0)&gt;5,IF(MOD(COUNTIF(Y$641:Y800,1),7)=0,$C$4,0),0)</f>
        <v>66.8152489442662</v>
      </c>
      <c r="Z498" s="82" cm="1">
        <f ca="1" t="array" ref="Z498">SUMPRODUCT(TRANSPOSE($AD498:$AJ498),OFFSET($L$10:$L$16,0,Z$335-1))</f>
        <v>0</v>
      </c>
      <c r="AA498" s="82" cm="1">
        <f ca="1" t="array" ref="AA498">SUMPRODUCT(TRANSPOSE($AD498:$AJ498),OFFSET($L$10:$L$16,0,AA$335-1))</f>
        <v>0</v>
      </c>
      <c r="AB498" s="82" cm="1">
        <f ca="1" t="array" ref="AB498">SUMPRODUCT(TRANSPOSE($AD498:$AJ498),OFFSET($L$10:$L$16,0,AB$335-1))</f>
        <v>0</v>
      </c>
      <c r="AC498" s="82" cm="1">
        <f ca="1" t="array" ref="AC498">SUMPRODUCT(TRANSPOSE($AD498:$AJ498),OFFSET($L$10:$L$16,0,AC$335-1))</f>
        <v>0</v>
      </c>
      <c r="AD498" s="83">
        <f ca="1" t="shared" ref="AD498:AJ498" si="643">AK498-AK497</f>
        <v>0</v>
      </c>
      <c r="AE498" s="83">
        <f ca="1" t="shared" si="643"/>
        <v>0</v>
      </c>
      <c r="AF498" s="83">
        <f ca="1" t="shared" si="643"/>
        <v>0</v>
      </c>
      <c r="AG498" s="83">
        <f ca="1" t="shared" si="643"/>
        <v>0</v>
      </c>
      <c r="AH498" s="83">
        <f ca="1" t="shared" si="643"/>
        <v>0</v>
      </c>
      <c r="AI498" s="83">
        <f ca="1" t="shared" si="643"/>
        <v>0</v>
      </c>
      <c r="AJ498" s="83">
        <f ca="1" t="shared" si="643"/>
        <v>0</v>
      </c>
      <c r="AK498" s="83">
        <f ca="1" t="shared" si="581"/>
        <v>450</v>
      </c>
      <c r="AL498" s="83">
        <f ca="1" t="shared" ref="AL498:AQ498" si="644">IF($C498&gt;OFFSET($Q$9,MATCH(AL$338,$AK$338:$AQ$338,0),0),OFFSET($P$9,MATCH(AL$338,$AK$338:$AQ$338,0),0),MAX(0,$C498-OFFSET($Q$9,RIGHT(AL$338,1)-1,0)))</f>
        <v>909</v>
      </c>
      <c r="AM498" s="83">
        <f ca="1" t="shared" si="644"/>
        <v>1818</v>
      </c>
      <c r="AN498" s="83">
        <f ca="1" t="shared" si="644"/>
        <v>2727</v>
      </c>
      <c r="AO498" s="83">
        <f ca="1" t="shared" si="644"/>
        <v>3636</v>
      </c>
      <c r="AP498" s="83">
        <f ca="1" t="shared" si="644"/>
        <v>4545</v>
      </c>
      <c r="AQ498" s="83">
        <f ca="1" t="shared" si="644"/>
        <v>0</v>
      </c>
    </row>
    <row r="499" ht="16.5" spans="2:43">
      <c r="B499" s="65">
        <v>161</v>
      </c>
      <c r="C499" s="80">
        <f t="shared" si="579"/>
        <v>19036</v>
      </c>
      <c r="D499" s="81" cm="1">
        <f ca="1" t="array" ref="D499">IF(D801=1,OFFSET($Z$338,$B499,D$335-1)/SUMPRODUCT(--($D$335:$V$335=D$335),--($D801:$V801=1)),0)+SUM(D498)+IF(COUNTIF(D$641:D801,1)=1,5,0)+IF(COUNTIF(E499:$Z499,"&gt;"&amp;0)&gt;5,IF(MOD(COUNTIF(D$641:D801,1),7)=0,$C$4,0),0)</f>
        <v>1233.82134856666</v>
      </c>
      <c r="E499" s="81" cm="1">
        <f ca="1" t="array" ref="E499">IF(E801=1,OFFSET($Z$338,$B499,E$335-1)/SUMPRODUCT(--($D$335:$V$335=E$335),--($D801:$V801=1)),0)+SUM(E498)+IF(COUNTIF(E$641:E801,1)=1,5,0)+IF(COUNTIF(F499:$Z499,"&gt;"&amp;0)&gt;5,IF(MOD(COUNTIF(E$641:E801,1),7)=0,$C$4,0),0)</f>
        <v>1233.82134856666</v>
      </c>
      <c r="F499" s="81" cm="1">
        <f ca="1" t="array" ref="F499">IF(F801=1,OFFSET($Z$338,$B499,F$335-1)/SUMPRODUCT(--($D$335:$V$335=F$335),--($D801:$V801=1)),0)+SUM(F498)+IF(COUNTIF(F$641:F801,1)=1,5,0)+IF(COUNTIF(G499:$Z499,"&gt;"&amp;0)&gt;5,IF(MOD(COUNTIF(F$641:F801,1),7)=0,$C$4,0),0)</f>
        <v>1233.82134856666</v>
      </c>
      <c r="G499" s="81" cm="1">
        <f ca="1" t="array" ref="G499">IF(G801=1,OFFSET($Z$338,$B499,G$335-1)/SUMPRODUCT(--($D$335:$V$335=G$335),--($D801:$V801=1)),0)+SUM(G498)+IF(COUNTIF(G$641:G801,1)=1,5,0)+IF(COUNTIF(H499:$Z499,"&gt;"&amp;0)&gt;5,IF(MOD(COUNTIF(G$641:G801,1),7)=0,$C$4,0),0)</f>
        <v>522.516666666668</v>
      </c>
      <c r="H499" s="81" cm="1">
        <f ca="1" t="array" ref="H499">IF(H801=1,OFFSET($Z$338,$B499,H$335-1)/SUMPRODUCT(--($D$335:$V$335=H$335),--($D801:$V801=1)),0)+SUM(H498)+IF(COUNTIF(H$641:H801,1)=1,5,0)+IF(COUNTIF(I499:$Z499,"&gt;"&amp;0)&gt;5,IF(MOD(COUNTIF(H$641:H801,1),7)=0,$C$4,0),0)</f>
        <v>522.516666666668</v>
      </c>
      <c r="I499" s="81" cm="1">
        <f ca="1" t="array" ref="I499">IF(I801=1,OFFSET($Z$338,$B499,I$335-1)/SUMPRODUCT(--($D$335:$V$335=I$335),--($D801:$V801=1)),0)+SUM(I498)+IF(COUNTIF(I$641:I801,1)=1,5,0)+IF(COUNTIF(J499:$Z499,"&gt;"&amp;0)&gt;5,IF(MOD(COUNTIF(I$641:I801,1),7)=0,$C$4,0),0)</f>
        <v>522.516666666668</v>
      </c>
      <c r="J499" s="81" cm="1">
        <f ca="1" t="array" ref="J499">IF(J801=1,OFFSET($Z$338,$B499,J$335-1)/SUMPRODUCT(--($D$335:$V$335=J$335),--($D801:$V801=1)),0)+SUM(J498)+IF(COUNTIF(J$641:J801,1)=1,5,0)+IF(COUNTIF(K499:$Z499,"&gt;"&amp;0)&gt;5,IF(MOD(COUNTIF(J$641:J801,1),7)=0,$C$4,0),0)</f>
        <v>522.516666666668</v>
      </c>
      <c r="K499" s="81" cm="1">
        <f ca="1" t="array" ref="K499">IF(K801=1,OFFSET($Z$338,$B499,K$335-1)/SUMPRODUCT(--($D$335:$V$335=K$335),--($D801:$V801=1)),0)+SUM(K498)+IF(COUNTIF(K$641:K801,1)=1,5,0)+IF(COUNTIF(L499:$Z499,"&gt;"&amp;0)&gt;5,IF(MOD(COUNTIF(K$641:K801,1),7)=0,$C$4,0),0)</f>
        <v>522.516666666668</v>
      </c>
      <c r="L499" s="81" cm="1">
        <f ca="1" t="array" ref="L499">IF(L801=1,OFFSET($Z$338,$B499,L$335-1)/SUMPRODUCT(--($D$335:$V$335=L$335),--($D801:$V801=1)),0)+SUM(L498)+IF(COUNTIF(L$641:L801,1)=1,5,0)+IF(COUNTIF(M499:$Z499,"&gt;"&amp;0)&gt;5,IF(MOD(COUNTIF(L$641:L801,1),7)=0,$C$4,0),0)</f>
        <v>510.816666666668</v>
      </c>
      <c r="M499" s="81" cm="1">
        <f ca="1" t="array" ref="M499">IF(M801=1,OFFSET($Z$338,$B499,M$335-1)/SUMPRODUCT(--($D$335:$V$335=M$335),--($D801:$V801=1)),0)+SUM(M498)+IF(COUNTIF(M$641:M801,1)=1,5,0)+IF(COUNTIF(N499:$Z499,"&gt;"&amp;0)&gt;5,IF(MOD(COUNTIF(M$641:M801,1),7)=0,$C$4,0),0)</f>
        <v>265.644107142858</v>
      </c>
      <c r="N499" s="81" cm="1">
        <f ca="1" t="array" ref="N499">IF(N801=1,OFFSET($Z$338,$B499,N$335-1)/SUMPRODUCT(--($D$335:$V$335=N$335),--($D801:$V801=1)),0)+SUM(N498)+IF(COUNTIF(N$641:N801,1)=1,5,0)+IF(COUNTIF(O499:$Z499,"&gt;"&amp;0)&gt;5,IF(MOD(COUNTIF(N$641:N801,1),7)=0,$C$4,0),0)</f>
        <v>257.919107142858</v>
      </c>
      <c r="O499" s="81" cm="1">
        <f ca="1" t="array" ref="O499">IF(O801=1,OFFSET($Z$338,$B499,O$335-1)/SUMPRODUCT(--($D$335:$V$335=O$335),--($D801:$V801=1)),0)+SUM(O498)+IF(COUNTIF(O$641:O801,1)=1,5,0)+IF(COUNTIF(P499:$Z499,"&gt;"&amp;0)&gt;5,IF(MOD(COUNTIF(O$641:O801,1),7)=0,$C$4,0),0)</f>
        <v>255.494107142858</v>
      </c>
      <c r="P499" s="81" cm="1">
        <f ca="1" t="array" ref="P499">IF(P801=1,OFFSET($Z$338,$B499,P$335-1)/SUMPRODUCT(--($D$335:$V$335=P$335),--($D801:$V801=1)),0)+SUM(P498)+IF(COUNTIF(P$641:P801,1)=1,5,0)+IF(COUNTIF(Q499:$Z499,"&gt;"&amp;0)&gt;5,IF(MOD(COUNTIF(P$641:P801,1),7)=0,$C$4,0),0)</f>
        <v>252.560773809524</v>
      </c>
      <c r="Q499" s="81" cm="1">
        <f ca="1" t="array" ref="Q499">IF(Q801=1,OFFSET($Z$338,$B499,Q$335-1)/SUMPRODUCT(--($D$335:$V$335=Q$335),--($D801:$V801=1)),0)+SUM(Q498)+IF(COUNTIF(Q$641:Q801,1)=1,5,0)+IF(COUNTIF(R499:$Z499,"&gt;"&amp;0)&gt;5,IF(MOD(COUNTIF(Q$641:Q801,1),7)=0,$C$4,0),0)</f>
        <v>251.654523809524</v>
      </c>
      <c r="R499" s="81" cm="1">
        <f ca="1" t="array" ref="R499">IF(R801=1,OFFSET($Z$338,$B499,R$335-1)/SUMPRODUCT(--($D$335:$V$335=R$335),--($D801:$V801=1)),0)+SUM(R498)+IF(COUNTIF(R$641:R801,1)=1,5,0)+IF(COUNTIF(S499:$Z499,"&gt;"&amp;0)&gt;5,IF(MOD(COUNTIF(R$641:R801,1),7)=0,$C$4,0),0)</f>
        <v>226.759523809524</v>
      </c>
      <c r="S499" s="81" cm="1">
        <f ca="1" t="array" ref="S499">IF(S801=1,OFFSET($Z$338,$B499,S$335-1)/SUMPRODUCT(--($D$335:$V$335=S$335),--($D801:$V801=1)),0)+SUM(S498)+IF(COUNTIF(S$641:S801,1)=1,5,0)+IF(COUNTIF(T499:$Z499,"&gt;"&amp;0)&gt;5,IF(MOD(COUNTIF(S$641:S801,1),7)=0,$C$4,0),0)</f>
        <v>217.592857142857</v>
      </c>
      <c r="T499" s="81" cm="1">
        <f ca="1" t="array" ref="T499">IF(T801=1,OFFSET($Z$338,$B499,T$335-1)/SUMPRODUCT(--($D$335:$V$335=T$335),--($D801:$V801=1)),0)+SUM(T498)+IF(COUNTIF(T$641:T801,1)=1,5,0)+IF(COUNTIF(U499:$Z499,"&gt;"&amp;0)&gt;5,IF(MOD(COUNTIF(T$641:T801,1),7)=0,$C$4,0),0)</f>
        <v>137.656257829764</v>
      </c>
      <c r="U499" s="81" cm="1">
        <f ca="1" t="array" ref="U499">IF(U801=1,OFFSET($Z$338,$B499,U$335-1)/SUMPRODUCT(--($D$335:$V$335=U$335),--($D801:$V801=1)),0)+SUM(U498)+IF(COUNTIF(U$641:U801,1)=1,5,0)+IF(COUNTIF(V499:$Z499,"&gt;"&amp;0)&gt;5,IF(MOD(COUNTIF(U$641:U801,1),7)=0,$C$4,0),0)</f>
        <v>97.6562578297643</v>
      </c>
      <c r="V499" s="81" cm="1">
        <f ca="1" t="array" ref="V499">IF(V801=1,OFFSET($Z$338,$B499,V$335-1)/SUMPRODUCT(--($D$335:$V$335=V$335),--($D801:$V801=1)),0)+SUM(V498)+IF(COUNTIF(V$641:V801,1)=1,5,0)+IF(COUNTIF(Z499:$Z499,"&gt;"&amp;0)&gt;5,IF(MOD(COUNTIF(V$641:V801,1),7)=0,$C$4,0),0)</f>
        <v>89.6984386404824</v>
      </c>
      <c r="W499" s="81" cm="1">
        <f ca="1" t="array" ref="W499">IF(W801=1,OFFSET($Z$338,$B499,W$335-1)/SUMPRODUCT(--($D$335:$V$335=W$335),--($D801:$V801=1)),0)+SUM(W498)+IF(COUNTIF(W$641:W801,1)=1,5,0)+IF(COUNTIF($Z499:AA499,"&gt;"&amp;0)&gt;5,IF(MOD(COUNTIF(W$641:W801,1),7)=0,$C$4,0),0)</f>
        <v>80.3425695255331</v>
      </c>
      <c r="X499" s="81" cm="1">
        <f ca="1" t="array" ref="X499">IF(X801=1,OFFSET($Z$338,$B499,X$335-1)/SUMPRODUCT(--($D$335:$V$335=X$335),--($D801:$V801=1)),0)+SUM(X498)+IF(COUNTIF(X$641:X801,1)=1,5,0)+IF(COUNTIF($Z499:AB499,"&gt;"&amp;0)&gt;5,IF(MOD(COUNTIF(X$641:X801,1),7)=0,$C$4,0),0)</f>
        <v>73.5789092348996</v>
      </c>
      <c r="Y499" s="81" cm="1">
        <f ca="1" t="array" ref="Y499">IF(Y801=1,OFFSET($Z$338,$B499,Y$335-1)/SUMPRODUCT(--($D$335:$V$335=Y$335),--($D801:$V801=1)),0)+SUM(Y498)+IF(COUNTIF(Y$641:Y801,1)=1,5,0)+IF(COUNTIF($Z499:AC499,"&gt;"&amp;0)&gt;5,IF(MOD(COUNTIF(Y$641:Y801,1),7)=0,$C$4,0),0)</f>
        <v>66.8152489442662</v>
      </c>
      <c r="Z499" s="82" cm="1">
        <f ca="1" t="array" ref="Z499">SUMPRODUCT(TRANSPOSE($AD499:$AJ499),OFFSET($L$10:$L$16,0,Z$335-1))</f>
        <v>0</v>
      </c>
      <c r="AA499" s="82" cm="1">
        <f ca="1" t="array" ref="AA499">SUMPRODUCT(TRANSPOSE($AD499:$AJ499),OFFSET($L$10:$L$16,0,AA$335-1))</f>
        <v>0</v>
      </c>
      <c r="AB499" s="82" cm="1">
        <f ca="1" t="array" ref="AB499">SUMPRODUCT(TRANSPOSE($AD499:$AJ499),OFFSET($L$10:$L$16,0,AB$335-1))</f>
        <v>0</v>
      </c>
      <c r="AC499" s="82" cm="1">
        <f ca="1" t="array" ref="AC499">SUMPRODUCT(TRANSPOSE($AD499:$AJ499),OFFSET($L$10:$L$16,0,AC$335-1))</f>
        <v>0</v>
      </c>
      <c r="AD499" s="83">
        <f ca="1" t="shared" ref="AD499:AJ499" si="645">AK499-AK498</f>
        <v>0</v>
      </c>
      <c r="AE499" s="83">
        <f ca="1" t="shared" si="645"/>
        <v>0</v>
      </c>
      <c r="AF499" s="83">
        <f ca="1" t="shared" si="645"/>
        <v>0</v>
      </c>
      <c r="AG499" s="83">
        <f ca="1" t="shared" si="645"/>
        <v>0</v>
      </c>
      <c r="AH499" s="83">
        <f ca="1" t="shared" si="645"/>
        <v>0</v>
      </c>
      <c r="AI499" s="83">
        <f ca="1" t="shared" si="645"/>
        <v>0</v>
      </c>
      <c r="AJ499" s="83">
        <f ca="1" t="shared" si="645"/>
        <v>0</v>
      </c>
      <c r="AK499" s="83">
        <f ca="1" t="shared" si="581"/>
        <v>450</v>
      </c>
      <c r="AL499" s="83">
        <f ca="1" t="shared" ref="AL499:AQ499" si="646">IF($C499&gt;OFFSET($Q$9,MATCH(AL$338,$AK$338:$AQ$338,0),0),OFFSET($P$9,MATCH(AL$338,$AK$338:$AQ$338,0),0),MAX(0,$C499-OFFSET($Q$9,RIGHT(AL$338,1)-1,0)))</f>
        <v>909</v>
      </c>
      <c r="AM499" s="83">
        <f ca="1" t="shared" si="646"/>
        <v>1818</v>
      </c>
      <c r="AN499" s="83">
        <f ca="1" t="shared" si="646"/>
        <v>2727</v>
      </c>
      <c r="AO499" s="83">
        <f ca="1" t="shared" si="646"/>
        <v>3636</v>
      </c>
      <c r="AP499" s="83">
        <f ca="1" t="shared" si="646"/>
        <v>4545</v>
      </c>
      <c r="AQ499" s="83">
        <f ca="1" t="shared" si="646"/>
        <v>0</v>
      </c>
    </row>
    <row r="500" ht="16.5" spans="2:43">
      <c r="B500" s="65">
        <v>162</v>
      </c>
      <c r="C500" s="80">
        <f t="shared" si="579"/>
        <v>19146</v>
      </c>
      <c r="D500" s="81" cm="1">
        <f ca="1" t="array" ref="D500">IF(D802=1,OFFSET($Z$338,$B500,D$335-1)/SUMPRODUCT(--($D$335:$V$335=D$335),--($D802:$V802=1)),0)+SUM(D499)+IF(COUNTIF(D$641:D802,1)=1,5,0)+IF(COUNTIF(E500:$Z500,"&gt;"&amp;0)&gt;5,IF(MOD(COUNTIF(D$641:D802,1),7)=0,$C$4,0),0)</f>
        <v>1233.82134856666</v>
      </c>
      <c r="E500" s="81" cm="1">
        <f ca="1" t="array" ref="E500">IF(E802=1,OFFSET($Z$338,$B500,E$335-1)/SUMPRODUCT(--($D$335:$V$335=E$335),--($D802:$V802=1)),0)+SUM(E499)+IF(COUNTIF(E$641:E802,1)=1,5,0)+IF(COUNTIF(F500:$Z500,"&gt;"&amp;0)&gt;5,IF(MOD(COUNTIF(E$641:E802,1),7)=0,$C$4,0),0)</f>
        <v>1233.82134856666</v>
      </c>
      <c r="F500" s="81" cm="1">
        <f ca="1" t="array" ref="F500">IF(F802=1,OFFSET($Z$338,$B500,F$335-1)/SUMPRODUCT(--($D$335:$V$335=F$335),--($D802:$V802=1)),0)+SUM(F499)+IF(COUNTIF(F$641:F802,1)=1,5,0)+IF(COUNTIF(G500:$Z500,"&gt;"&amp;0)&gt;5,IF(MOD(COUNTIF(F$641:F802,1),7)=0,$C$4,0),0)</f>
        <v>1233.82134856666</v>
      </c>
      <c r="G500" s="81" cm="1">
        <f ca="1" t="array" ref="G500">IF(G802=1,OFFSET($Z$338,$B500,G$335-1)/SUMPRODUCT(--($D$335:$V$335=G$335),--($D802:$V802=1)),0)+SUM(G499)+IF(COUNTIF(G$641:G802,1)=1,5,0)+IF(COUNTIF(H500:$Z500,"&gt;"&amp;0)&gt;5,IF(MOD(COUNTIF(G$641:G802,1),7)=0,$C$4,0),0)</f>
        <v>522.516666666668</v>
      </c>
      <c r="H500" s="81" cm="1">
        <f ca="1" t="array" ref="H500">IF(H802=1,OFFSET($Z$338,$B500,H$335-1)/SUMPRODUCT(--($D$335:$V$335=H$335),--($D802:$V802=1)),0)+SUM(H499)+IF(COUNTIF(H$641:H802,1)=1,5,0)+IF(COUNTIF(I500:$Z500,"&gt;"&amp;0)&gt;5,IF(MOD(COUNTIF(H$641:H802,1),7)=0,$C$4,0),0)</f>
        <v>522.516666666668</v>
      </c>
      <c r="I500" s="81" cm="1">
        <f ca="1" t="array" ref="I500">IF(I802=1,OFFSET($Z$338,$B500,I$335-1)/SUMPRODUCT(--($D$335:$V$335=I$335),--($D802:$V802=1)),0)+SUM(I499)+IF(COUNTIF(I$641:I802,1)=1,5,0)+IF(COUNTIF(J500:$Z500,"&gt;"&amp;0)&gt;5,IF(MOD(COUNTIF(I$641:I802,1),7)=0,$C$4,0),0)</f>
        <v>522.516666666668</v>
      </c>
      <c r="J500" s="81" cm="1">
        <f ca="1" t="array" ref="J500">IF(J802=1,OFFSET($Z$338,$B500,J$335-1)/SUMPRODUCT(--($D$335:$V$335=J$335),--($D802:$V802=1)),0)+SUM(J499)+IF(COUNTIF(J$641:J802,1)=1,5,0)+IF(COUNTIF(K500:$Z500,"&gt;"&amp;0)&gt;5,IF(MOD(COUNTIF(J$641:J802,1),7)=0,$C$4,0),0)</f>
        <v>522.516666666668</v>
      </c>
      <c r="K500" s="81" cm="1">
        <f ca="1" t="array" ref="K500">IF(K802=1,OFFSET($Z$338,$B500,K$335-1)/SUMPRODUCT(--($D$335:$V$335=K$335),--($D802:$V802=1)),0)+SUM(K499)+IF(COUNTIF(K$641:K802,1)=1,5,0)+IF(COUNTIF(L500:$Z500,"&gt;"&amp;0)&gt;5,IF(MOD(COUNTIF(K$641:K802,1),7)=0,$C$4,0),0)</f>
        <v>522.516666666668</v>
      </c>
      <c r="L500" s="81" cm="1">
        <f ca="1" t="array" ref="L500">IF(L802=1,OFFSET($Z$338,$B500,L$335-1)/SUMPRODUCT(--($D$335:$V$335=L$335),--($D802:$V802=1)),0)+SUM(L499)+IF(COUNTIF(L$641:L802,1)=1,5,0)+IF(COUNTIF(M500:$Z500,"&gt;"&amp;0)&gt;5,IF(MOD(COUNTIF(L$641:L802,1),7)=0,$C$4,0),0)</f>
        <v>515.816666666668</v>
      </c>
      <c r="M500" s="81" cm="1">
        <f ca="1" t="array" ref="M500">IF(M802=1,OFFSET($Z$338,$B500,M$335-1)/SUMPRODUCT(--($D$335:$V$335=M$335),--($D802:$V802=1)),0)+SUM(M499)+IF(COUNTIF(M$641:M802,1)=1,5,0)+IF(COUNTIF(N500:$Z500,"&gt;"&amp;0)&gt;5,IF(MOD(COUNTIF(M$641:M802,1),7)=0,$C$4,0),0)</f>
        <v>270.644107142858</v>
      </c>
      <c r="N500" s="81" cm="1">
        <f ca="1" t="array" ref="N500">IF(N802=1,OFFSET($Z$338,$B500,N$335-1)/SUMPRODUCT(--($D$335:$V$335=N$335),--($D802:$V802=1)),0)+SUM(N499)+IF(COUNTIF(N$641:N802,1)=1,5,0)+IF(COUNTIF(O500:$Z500,"&gt;"&amp;0)&gt;5,IF(MOD(COUNTIF(N$641:N802,1),7)=0,$C$4,0),0)</f>
        <v>257.919107142858</v>
      </c>
      <c r="O500" s="81" cm="1">
        <f ca="1" t="array" ref="O500">IF(O802=1,OFFSET($Z$338,$B500,O$335-1)/SUMPRODUCT(--($D$335:$V$335=O$335),--($D802:$V802=1)),0)+SUM(O499)+IF(COUNTIF(O$641:O802,1)=1,5,0)+IF(COUNTIF(P500:$Z500,"&gt;"&amp;0)&gt;5,IF(MOD(COUNTIF(O$641:O802,1),7)=0,$C$4,0),0)</f>
        <v>255.494107142858</v>
      </c>
      <c r="P500" s="81" cm="1">
        <f ca="1" t="array" ref="P500">IF(P802=1,OFFSET($Z$338,$B500,P$335-1)/SUMPRODUCT(--($D$335:$V$335=P$335),--($D802:$V802=1)),0)+SUM(P499)+IF(COUNTIF(P$641:P802,1)=1,5,0)+IF(COUNTIF(Q500:$Z500,"&gt;"&amp;0)&gt;5,IF(MOD(COUNTIF(P$641:P802,1),7)=0,$C$4,0),0)</f>
        <v>252.560773809524</v>
      </c>
      <c r="Q500" s="81" cm="1">
        <f ca="1" t="array" ref="Q500">IF(Q802=1,OFFSET($Z$338,$B500,Q$335-1)/SUMPRODUCT(--($D$335:$V$335=Q$335),--($D802:$V802=1)),0)+SUM(Q499)+IF(COUNTIF(Q$641:Q802,1)=1,5,0)+IF(COUNTIF(R500:$Z500,"&gt;"&amp;0)&gt;5,IF(MOD(COUNTIF(Q$641:Q802,1),7)=0,$C$4,0),0)</f>
        <v>251.654523809524</v>
      </c>
      <c r="R500" s="81" cm="1">
        <f ca="1" t="array" ref="R500">IF(R802=1,OFFSET($Z$338,$B500,R$335-1)/SUMPRODUCT(--($D$335:$V$335=R$335),--($D802:$V802=1)),0)+SUM(R499)+IF(COUNTIF(R$641:R802,1)=1,5,0)+IF(COUNTIF(S500:$Z500,"&gt;"&amp;0)&gt;5,IF(MOD(COUNTIF(R$641:R802,1),7)=0,$C$4,0),0)</f>
        <v>226.759523809524</v>
      </c>
      <c r="S500" s="81" cm="1">
        <f ca="1" t="array" ref="S500">IF(S802=1,OFFSET($Z$338,$B500,S$335-1)/SUMPRODUCT(--($D$335:$V$335=S$335),--($D802:$V802=1)),0)+SUM(S499)+IF(COUNTIF(S$641:S802,1)=1,5,0)+IF(COUNTIF(T500:$Z500,"&gt;"&amp;0)&gt;5,IF(MOD(COUNTIF(S$641:S802,1),7)=0,$C$4,0),0)</f>
        <v>217.592857142857</v>
      </c>
      <c r="T500" s="81" cm="1">
        <f ca="1" t="array" ref="T500">IF(T802=1,OFFSET($Z$338,$B500,T$335-1)/SUMPRODUCT(--($D$335:$V$335=T$335),--($D802:$V802=1)),0)+SUM(T499)+IF(COUNTIF(T$641:T802,1)=1,5,0)+IF(COUNTIF(U500:$Z500,"&gt;"&amp;0)&gt;5,IF(MOD(COUNTIF(T$641:T802,1),7)=0,$C$4,0),0)</f>
        <v>137.656257829764</v>
      </c>
      <c r="U500" s="81" cm="1">
        <f ca="1" t="array" ref="U500">IF(U802=1,OFFSET($Z$338,$B500,U$335-1)/SUMPRODUCT(--($D$335:$V$335=U$335),--($D802:$V802=1)),0)+SUM(U499)+IF(COUNTIF(U$641:U802,1)=1,5,0)+IF(COUNTIF(V500:$Z500,"&gt;"&amp;0)&gt;5,IF(MOD(COUNTIF(U$641:U802,1),7)=0,$C$4,0),0)</f>
        <v>97.6562578297643</v>
      </c>
      <c r="V500" s="81" cm="1">
        <f ca="1" t="array" ref="V500">IF(V802=1,OFFSET($Z$338,$B500,V$335-1)/SUMPRODUCT(--($D$335:$V$335=V$335),--($D802:$V802=1)),0)+SUM(V499)+IF(COUNTIF(V$641:V802,1)=1,5,0)+IF(COUNTIF(Z500:$Z500,"&gt;"&amp;0)&gt;5,IF(MOD(COUNTIF(V$641:V802,1),7)=0,$C$4,0),0)</f>
        <v>89.6984386404824</v>
      </c>
      <c r="W500" s="81" cm="1">
        <f ca="1" t="array" ref="W500">IF(W802=1,OFFSET($Z$338,$B500,W$335-1)/SUMPRODUCT(--($D$335:$V$335=W$335),--($D802:$V802=1)),0)+SUM(W499)+IF(COUNTIF(W$641:W802,1)=1,5,0)+IF(COUNTIF($Z500:AA500,"&gt;"&amp;0)&gt;5,IF(MOD(COUNTIF(W$641:W802,1),7)=0,$C$4,0),0)</f>
        <v>80.3425695255331</v>
      </c>
      <c r="X500" s="81" cm="1">
        <f ca="1" t="array" ref="X500">IF(X802=1,OFFSET($Z$338,$B500,X$335-1)/SUMPRODUCT(--($D$335:$V$335=X$335),--($D802:$V802=1)),0)+SUM(X499)+IF(COUNTIF(X$641:X802,1)=1,5,0)+IF(COUNTIF($Z500:AB500,"&gt;"&amp;0)&gt;5,IF(MOD(COUNTIF(X$641:X802,1),7)=0,$C$4,0),0)</f>
        <v>73.5789092348996</v>
      </c>
      <c r="Y500" s="81" cm="1">
        <f ca="1" t="array" ref="Y500">IF(Y802=1,OFFSET($Z$338,$B500,Y$335-1)/SUMPRODUCT(--($D$335:$V$335=Y$335),--($D802:$V802=1)),0)+SUM(Y499)+IF(COUNTIF(Y$641:Y802,1)=1,5,0)+IF(COUNTIF($Z500:AC500,"&gt;"&amp;0)&gt;5,IF(MOD(COUNTIF(Y$641:Y802,1),7)=0,$C$4,0),0)</f>
        <v>66.8152489442662</v>
      </c>
      <c r="Z500" s="82" cm="1">
        <f ca="1" t="array" ref="Z500">SUMPRODUCT(TRANSPOSE($AD500:$AJ500),OFFSET($L$10:$L$16,0,Z$335-1))</f>
        <v>0</v>
      </c>
      <c r="AA500" s="82" cm="1">
        <f ca="1" t="array" ref="AA500">SUMPRODUCT(TRANSPOSE($AD500:$AJ500),OFFSET($L$10:$L$16,0,AA$335-1))</f>
        <v>0</v>
      </c>
      <c r="AB500" s="82" cm="1">
        <f ca="1" t="array" ref="AB500">SUMPRODUCT(TRANSPOSE($AD500:$AJ500),OFFSET($L$10:$L$16,0,AB$335-1))</f>
        <v>0</v>
      </c>
      <c r="AC500" s="82" cm="1">
        <f ca="1" t="array" ref="AC500">SUMPRODUCT(TRANSPOSE($AD500:$AJ500),OFFSET($L$10:$L$16,0,AC$335-1))</f>
        <v>0</v>
      </c>
      <c r="AD500" s="83">
        <f ca="1" t="shared" ref="AD500:AJ500" si="647">AK500-AK499</f>
        <v>0</v>
      </c>
      <c r="AE500" s="83">
        <f ca="1" t="shared" si="647"/>
        <v>0</v>
      </c>
      <c r="AF500" s="83">
        <f ca="1" t="shared" si="647"/>
        <v>0</v>
      </c>
      <c r="AG500" s="83">
        <f ca="1" t="shared" si="647"/>
        <v>0</v>
      </c>
      <c r="AH500" s="83">
        <f ca="1" t="shared" si="647"/>
        <v>0</v>
      </c>
      <c r="AI500" s="83">
        <f ca="1" t="shared" si="647"/>
        <v>0</v>
      </c>
      <c r="AJ500" s="83">
        <f ca="1" t="shared" si="647"/>
        <v>0</v>
      </c>
      <c r="AK500" s="83">
        <f ca="1" t="shared" si="581"/>
        <v>450</v>
      </c>
      <c r="AL500" s="83">
        <f ca="1" t="shared" ref="AL500:AQ500" si="648">IF($C500&gt;OFFSET($Q$9,MATCH(AL$338,$AK$338:$AQ$338,0),0),OFFSET($P$9,MATCH(AL$338,$AK$338:$AQ$338,0),0),MAX(0,$C500-OFFSET($Q$9,RIGHT(AL$338,1)-1,0)))</f>
        <v>909</v>
      </c>
      <c r="AM500" s="83">
        <f ca="1" t="shared" si="648"/>
        <v>1818</v>
      </c>
      <c r="AN500" s="83">
        <f ca="1" t="shared" si="648"/>
        <v>2727</v>
      </c>
      <c r="AO500" s="83">
        <f ca="1" t="shared" si="648"/>
        <v>3636</v>
      </c>
      <c r="AP500" s="83">
        <f ca="1" t="shared" si="648"/>
        <v>4545</v>
      </c>
      <c r="AQ500" s="83">
        <f ca="1" t="shared" si="648"/>
        <v>0</v>
      </c>
    </row>
    <row r="501" ht="16.5" spans="2:43">
      <c r="B501" s="65">
        <v>163</v>
      </c>
      <c r="C501" s="80">
        <f t="shared" si="579"/>
        <v>19256</v>
      </c>
      <c r="D501" s="81" cm="1">
        <f ca="1" t="array" ref="D501">IF(D803=1,OFFSET($Z$338,$B501,D$335-1)/SUMPRODUCT(--($D$335:$V$335=D$335),--($D803:$V803=1)),0)+SUM(D500)+IF(COUNTIF(D$641:D803,1)=1,5,0)+IF(COUNTIF(E501:$Z501,"&gt;"&amp;0)&gt;5,IF(MOD(COUNTIF(D$641:D803,1),7)=0,$C$4,0),0)</f>
        <v>1233.82134856666</v>
      </c>
      <c r="E501" s="81" cm="1">
        <f ca="1" t="array" ref="E501">IF(E803=1,OFFSET($Z$338,$B501,E$335-1)/SUMPRODUCT(--($D$335:$V$335=E$335),--($D803:$V803=1)),0)+SUM(E500)+IF(COUNTIF(E$641:E803,1)=1,5,0)+IF(COUNTIF(F501:$Z501,"&gt;"&amp;0)&gt;5,IF(MOD(COUNTIF(E$641:E803,1),7)=0,$C$4,0),0)</f>
        <v>1233.82134856666</v>
      </c>
      <c r="F501" s="81" cm="1">
        <f ca="1" t="array" ref="F501">IF(F803=1,OFFSET($Z$338,$B501,F$335-1)/SUMPRODUCT(--($D$335:$V$335=F$335),--($D803:$V803=1)),0)+SUM(F500)+IF(COUNTIF(F$641:F803,1)=1,5,0)+IF(COUNTIF(G501:$Z501,"&gt;"&amp;0)&gt;5,IF(MOD(COUNTIF(F$641:F803,1),7)=0,$C$4,0),0)</f>
        <v>1233.82134856666</v>
      </c>
      <c r="G501" s="81" cm="1">
        <f ca="1" t="array" ref="G501">IF(G803=1,OFFSET($Z$338,$B501,G$335-1)/SUMPRODUCT(--($D$335:$V$335=G$335),--($D803:$V803=1)),0)+SUM(G500)+IF(COUNTIF(G$641:G803,1)=1,5,0)+IF(COUNTIF(H501:$Z501,"&gt;"&amp;0)&gt;5,IF(MOD(COUNTIF(G$641:G803,1),7)=0,$C$4,0),0)</f>
        <v>522.516666666668</v>
      </c>
      <c r="H501" s="81" cm="1">
        <f ca="1" t="array" ref="H501">IF(H803=1,OFFSET($Z$338,$B501,H$335-1)/SUMPRODUCT(--($D$335:$V$335=H$335),--($D803:$V803=1)),0)+SUM(H500)+IF(COUNTIF(H$641:H803,1)=1,5,0)+IF(COUNTIF(I501:$Z501,"&gt;"&amp;0)&gt;5,IF(MOD(COUNTIF(H$641:H803,1),7)=0,$C$4,0),0)</f>
        <v>522.516666666668</v>
      </c>
      <c r="I501" s="81" cm="1">
        <f ca="1" t="array" ref="I501">IF(I803=1,OFFSET($Z$338,$B501,I$335-1)/SUMPRODUCT(--($D$335:$V$335=I$335),--($D803:$V803=1)),0)+SUM(I500)+IF(COUNTIF(I$641:I803,1)=1,5,0)+IF(COUNTIF(J501:$Z501,"&gt;"&amp;0)&gt;5,IF(MOD(COUNTIF(I$641:I803,1),7)=0,$C$4,0),0)</f>
        <v>522.516666666668</v>
      </c>
      <c r="J501" s="81" cm="1">
        <f ca="1" t="array" ref="J501">IF(J803=1,OFFSET($Z$338,$B501,J$335-1)/SUMPRODUCT(--($D$335:$V$335=J$335),--($D803:$V803=1)),0)+SUM(J500)+IF(COUNTIF(J$641:J803,1)=1,5,0)+IF(COUNTIF(K501:$Z501,"&gt;"&amp;0)&gt;5,IF(MOD(COUNTIF(J$641:J803,1),7)=0,$C$4,0),0)</f>
        <v>522.516666666668</v>
      </c>
      <c r="K501" s="81" cm="1">
        <f ca="1" t="array" ref="K501">IF(K803=1,OFFSET($Z$338,$B501,K$335-1)/SUMPRODUCT(--($D$335:$V$335=K$335),--($D803:$V803=1)),0)+SUM(K500)+IF(COUNTIF(K$641:K803,1)=1,5,0)+IF(COUNTIF(L501:$Z501,"&gt;"&amp;0)&gt;5,IF(MOD(COUNTIF(K$641:K803,1),7)=0,$C$4,0),0)</f>
        <v>522.516666666668</v>
      </c>
      <c r="L501" s="81" cm="1">
        <f ca="1" t="array" ref="L501">IF(L803=1,OFFSET($Z$338,$B501,L$335-1)/SUMPRODUCT(--($D$335:$V$335=L$335),--($D803:$V803=1)),0)+SUM(L500)+IF(COUNTIF(L$641:L803,1)=1,5,0)+IF(COUNTIF(M501:$Z501,"&gt;"&amp;0)&gt;5,IF(MOD(COUNTIF(L$641:L803,1),7)=0,$C$4,0),0)</f>
        <v>515.816666666668</v>
      </c>
      <c r="M501" s="81" cm="1">
        <f ca="1" t="array" ref="M501">IF(M803=1,OFFSET($Z$338,$B501,M$335-1)/SUMPRODUCT(--($D$335:$V$335=M$335),--($D803:$V803=1)),0)+SUM(M500)+IF(COUNTIF(M$641:M803,1)=1,5,0)+IF(COUNTIF(N501:$Z501,"&gt;"&amp;0)&gt;5,IF(MOD(COUNTIF(M$641:M803,1),7)=0,$C$4,0),0)</f>
        <v>270.644107142858</v>
      </c>
      <c r="N501" s="81" cm="1">
        <f ca="1" t="array" ref="N501">IF(N803=1,OFFSET($Z$338,$B501,N$335-1)/SUMPRODUCT(--($D$335:$V$335=N$335),--($D803:$V803=1)),0)+SUM(N500)+IF(COUNTIF(N$641:N803,1)=1,5,0)+IF(COUNTIF(O501:$Z501,"&gt;"&amp;0)&gt;5,IF(MOD(COUNTIF(N$641:N803,1),7)=0,$C$4,0),0)</f>
        <v>262.919107142858</v>
      </c>
      <c r="O501" s="81" cm="1">
        <f ca="1" t="array" ref="O501">IF(O803=1,OFFSET($Z$338,$B501,O$335-1)/SUMPRODUCT(--($D$335:$V$335=O$335),--($D803:$V803=1)),0)+SUM(O500)+IF(COUNTIF(O$641:O803,1)=1,5,0)+IF(COUNTIF(P501:$Z501,"&gt;"&amp;0)&gt;5,IF(MOD(COUNTIF(O$641:O803,1),7)=0,$C$4,0),0)</f>
        <v>255.494107142858</v>
      </c>
      <c r="P501" s="81" cm="1">
        <f ca="1" t="array" ref="P501">IF(P803=1,OFFSET($Z$338,$B501,P$335-1)/SUMPRODUCT(--($D$335:$V$335=P$335),--($D803:$V803=1)),0)+SUM(P500)+IF(COUNTIF(P$641:P803,1)=1,5,0)+IF(COUNTIF(Q501:$Z501,"&gt;"&amp;0)&gt;5,IF(MOD(COUNTIF(P$641:P803,1),7)=0,$C$4,0),0)</f>
        <v>252.560773809524</v>
      </c>
      <c r="Q501" s="81" cm="1">
        <f ca="1" t="array" ref="Q501">IF(Q803=1,OFFSET($Z$338,$B501,Q$335-1)/SUMPRODUCT(--($D$335:$V$335=Q$335),--($D803:$V803=1)),0)+SUM(Q500)+IF(COUNTIF(Q$641:Q803,1)=1,5,0)+IF(COUNTIF(R501:$Z501,"&gt;"&amp;0)&gt;5,IF(MOD(COUNTIF(Q$641:Q803,1),7)=0,$C$4,0),0)</f>
        <v>251.654523809524</v>
      </c>
      <c r="R501" s="81" cm="1">
        <f ca="1" t="array" ref="R501">IF(R803=1,OFFSET($Z$338,$B501,R$335-1)/SUMPRODUCT(--($D$335:$V$335=R$335),--($D803:$V803=1)),0)+SUM(R500)+IF(COUNTIF(R$641:R803,1)=1,5,0)+IF(COUNTIF(S501:$Z501,"&gt;"&amp;0)&gt;5,IF(MOD(COUNTIF(R$641:R803,1),7)=0,$C$4,0),0)</f>
        <v>226.759523809524</v>
      </c>
      <c r="S501" s="81" cm="1">
        <f ca="1" t="array" ref="S501">IF(S803=1,OFFSET($Z$338,$B501,S$335-1)/SUMPRODUCT(--($D$335:$V$335=S$335),--($D803:$V803=1)),0)+SUM(S500)+IF(COUNTIF(S$641:S803,1)=1,5,0)+IF(COUNTIF(T501:$Z501,"&gt;"&amp;0)&gt;5,IF(MOD(COUNTIF(S$641:S803,1),7)=0,$C$4,0),0)</f>
        <v>217.592857142857</v>
      </c>
      <c r="T501" s="81" cm="1">
        <f ca="1" t="array" ref="T501">IF(T803=1,OFFSET($Z$338,$B501,T$335-1)/SUMPRODUCT(--($D$335:$V$335=T$335),--($D803:$V803=1)),0)+SUM(T500)+IF(COUNTIF(T$641:T803,1)=1,5,0)+IF(COUNTIF(U501:$Z501,"&gt;"&amp;0)&gt;5,IF(MOD(COUNTIF(T$641:T803,1),7)=0,$C$4,0),0)</f>
        <v>137.656257829764</v>
      </c>
      <c r="U501" s="81" cm="1">
        <f ca="1" t="array" ref="U501">IF(U803=1,OFFSET($Z$338,$B501,U$335-1)/SUMPRODUCT(--($D$335:$V$335=U$335),--($D803:$V803=1)),0)+SUM(U500)+IF(COUNTIF(U$641:U803,1)=1,5,0)+IF(COUNTIF(V501:$Z501,"&gt;"&amp;0)&gt;5,IF(MOD(COUNTIF(U$641:U803,1),7)=0,$C$4,0),0)</f>
        <v>97.6562578297643</v>
      </c>
      <c r="V501" s="81" cm="1">
        <f ca="1" t="array" ref="V501">IF(V803=1,OFFSET($Z$338,$B501,V$335-1)/SUMPRODUCT(--($D$335:$V$335=V$335),--($D803:$V803=1)),0)+SUM(V500)+IF(COUNTIF(V$641:V803,1)=1,5,0)+IF(COUNTIF(Z501:$Z501,"&gt;"&amp;0)&gt;5,IF(MOD(COUNTIF(V$641:V803,1),7)=0,$C$4,0),0)</f>
        <v>89.6984386404824</v>
      </c>
      <c r="W501" s="81" cm="1">
        <f ca="1" t="array" ref="W501">IF(W803=1,OFFSET($Z$338,$B501,W$335-1)/SUMPRODUCT(--($D$335:$V$335=W$335),--($D803:$V803=1)),0)+SUM(W500)+IF(COUNTIF(W$641:W803,1)=1,5,0)+IF(COUNTIF($Z501:AA501,"&gt;"&amp;0)&gt;5,IF(MOD(COUNTIF(W$641:W803,1),7)=0,$C$4,0),0)</f>
        <v>80.3425695255331</v>
      </c>
      <c r="X501" s="81" cm="1">
        <f ca="1" t="array" ref="X501">IF(X803=1,OFFSET($Z$338,$B501,X$335-1)/SUMPRODUCT(--($D$335:$V$335=X$335),--($D803:$V803=1)),0)+SUM(X500)+IF(COUNTIF(X$641:X803,1)=1,5,0)+IF(COUNTIF($Z501:AB501,"&gt;"&amp;0)&gt;5,IF(MOD(COUNTIF(X$641:X803,1),7)=0,$C$4,0),0)</f>
        <v>73.5789092348996</v>
      </c>
      <c r="Y501" s="81" cm="1">
        <f ca="1" t="array" ref="Y501">IF(Y803=1,OFFSET($Z$338,$B501,Y$335-1)/SUMPRODUCT(--($D$335:$V$335=Y$335),--($D803:$V803=1)),0)+SUM(Y500)+IF(COUNTIF(Y$641:Y803,1)=1,5,0)+IF(COUNTIF($Z501:AC501,"&gt;"&amp;0)&gt;5,IF(MOD(COUNTIF(Y$641:Y803,1),7)=0,$C$4,0),0)</f>
        <v>66.8152489442662</v>
      </c>
      <c r="Z501" s="82" cm="1">
        <f ca="1" t="array" ref="Z501">SUMPRODUCT(TRANSPOSE($AD501:$AJ501),OFFSET($L$10:$L$16,0,Z$335-1))</f>
        <v>0</v>
      </c>
      <c r="AA501" s="82" cm="1">
        <f ca="1" t="array" ref="AA501">SUMPRODUCT(TRANSPOSE($AD501:$AJ501),OFFSET($L$10:$L$16,0,AA$335-1))</f>
        <v>0</v>
      </c>
      <c r="AB501" s="82" cm="1">
        <f ca="1" t="array" ref="AB501">SUMPRODUCT(TRANSPOSE($AD501:$AJ501),OFFSET($L$10:$L$16,0,AB$335-1))</f>
        <v>0</v>
      </c>
      <c r="AC501" s="82" cm="1">
        <f ca="1" t="array" ref="AC501">SUMPRODUCT(TRANSPOSE($AD501:$AJ501),OFFSET($L$10:$L$16,0,AC$335-1))</f>
        <v>0</v>
      </c>
      <c r="AD501" s="83">
        <f ca="1" t="shared" ref="AD501:AJ501" si="649">AK501-AK500</f>
        <v>0</v>
      </c>
      <c r="AE501" s="83">
        <f ca="1" t="shared" si="649"/>
        <v>0</v>
      </c>
      <c r="AF501" s="83">
        <f ca="1" t="shared" si="649"/>
        <v>0</v>
      </c>
      <c r="AG501" s="83">
        <f ca="1" t="shared" si="649"/>
        <v>0</v>
      </c>
      <c r="AH501" s="83">
        <f ca="1" t="shared" si="649"/>
        <v>0</v>
      </c>
      <c r="AI501" s="83">
        <f ca="1" t="shared" si="649"/>
        <v>0</v>
      </c>
      <c r="AJ501" s="83">
        <f ca="1" t="shared" si="649"/>
        <v>0</v>
      </c>
      <c r="AK501" s="83">
        <f ca="1" t="shared" si="581"/>
        <v>450</v>
      </c>
      <c r="AL501" s="83">
        <f ca="1" t="shared" ref="AL501:AQ501" si="650">IF($C501&gt;OFFSET($Q$9,MATCH(AL$338,$AK$338:$AQ$338,0),0),OFFSET($P$9,MATCH(AL$338,$AK$338:$AQ$338,0),0),MAX(0,$C501-OFFSET($Q$9,RIGHT(AL$338,1)-1,0)))</f>
        <v>909</v>
      </c>
      <c r="AM501" s="83">
        <f ca="1" t="shared" si="650"/>
        <v>1818</v>
      </c>
      <c r="AN501" s="83">
        <f ca="1" t="shared" si="650"/>
        <v>2727</v>
      </c>
      <c r="AO501" s="83">
        <f ca="1" t="shared" si="650"/>
        <v>3636</v>
      </c>
      <c r="AP501" s="83">
        <f ca="1" t="shared" si="650"/>
        <v>4545</v>
      </c>
      <c r="AQ501" s="83">
        <f ca="1" t="shared" si="650"/>
        <v>0</v>
      </c>
    </row>
    <row r="502" ht="16.5" spans="2:43">
      <c r="B502" s="65">
        <v>164</v>
      </c>
      <c r="C502" s="80">
        <f t="shared" si="579"/>
        <v>19366</v>
      </c>
      <c r="D502" s="81" cm="1">
        <f ca="1" t="array" ref="D502">IF(D804=1,OFFSET($Z$338,$B502,D$335-1)/SUMPRODUCT(--($D$335:$V$335=D$335),--($D804:$V804=1)),0)+SUM(D501)+IF(COUNTIF(D$641:D804,1)=1,5,0)+IF(COUNTIF(E502:$Z502,"&gt;"&amp;0)&gt;5,IF(MOD(COUNTIF(D$641:D804,1),7)=0,$C$4,0),0)</f>
        <v>1233.82134856666</v>
      </c>
      <c r="E502" s="81" cm="1">
        <f ca="1" t="array" ref="E502">IF(E804=1,OFFSET($Z$338,$B502,E$335-1)/SUMPRODUCT(--($D$335:$V$335=E$335),--($D804:$V804=1)),0)+SUM(E501)+IF(COUNTIF(E$641:E804,1)=1,5,0)+IF(COUNTIF(F502:$Z502,"&gt;"&amp;0)&gt;5,IF(MOD(COUNTIF(E$641:E804,1),7)=0,$C$4,0),0)</f>
        <v>1233.82134856666</v>
      </c>
      <c r="F502" s="81" cm="1">
        <f ca="1" t="array" ref="F502">IF(F804=1,OFFSET($Z$338,$B502,F$335-1)/SUMPRODUCT(--($D$335:$V$335=F$335),--($D804:$V804=1)),0)+SUM(F501)+IF(COUNTIF(F$641:F804,1)=1,5,0)+IF(COUNTIF(G502:$Z502,"&gt;"&amp;0)&gt;5,IF(MOD(COUNTIF(F$641:F804,1),7)=0,$C$4,0),0)</f>
        <v>1233.82134856666</v>
      </c>
      <c r="G502" s="81" cm="1">
        <f ca="1" t="array" ref="G502">IF(G804=1,OFFSET($Z$338,$B502,G$335-1)/SUMPRODUCT(--($D$335:$V$335=G$335),--($D804:$V804=1)),0)+SUM(G501)+IF(COUNTIF(G$641:G804,1)=1,5,0)+IF(COUNTIF(H502:$Z502,"&gt;"&amp;0)&gt;5,IF(MOD(COUNTIF(G$641:G804,1),7)=0,$C$4,0),0)</f>
        <v>522.516666666668</v>
      </c>
      <c r="H502" s="81" cm="1">
        <f ca="1" t="array" ref="H502">IF(H804=1,OFFSET($Z$338,$B502,H$335-1)/SUMPRODUCT(--($D$335:$V$335=H$335),--($D804:$V804=1)),0)+SUM(H501)+IF(COUNTIF(H$641:H804,1)=1,5,0)+IF(COUNTIF(I502:$Z502,"&gt;"&amp;0)&gt;5,IF(MOD(COUNTIF(H$641:H804,1),7)=0,$C$4,0),0)</f>
        <v>522.516666666668</v>
      </c>
      <c r="I502" s="81" cm="1">
        <f ca="1" t="array" ref="I502">IF(I804=1,OFFSET($Z$338,$B502,I$335-1)/SUMPRODUCT(--($D$335:$V$335=I$335),--($D804:$V804=1)),0)+SUM(I501)+IF(COUNTIF(I$641:I804,1)=1,5,0)+IF(COUNTIF(J502:$Z502,"&gt;"&amp;0)&gt;5,IF(MOD(COUNTIF(I$641:I804,1),7)=0,$C$4,0),0)</f>
        <v>522.516666666668</v>
      </c>
      <c r="J502" s="81" cm="1">
        <f ca="1" t="array" ref="J502">IF(J804=1,OFFSET($Z$338,$B502,J$335-1)/SUMPRODUCT(--($D$335:$V$335=J$335),--($D804:$V804=1)),0)+SUM(J501)+IF(COUNTIF(J$641:J804,1)=1,5,0)+IF(COUNTIF(K502:$Z502,"&gt;"&amp;0)&gt;5,IF(MOD(COUNTIF(J$641:J804,1),7)=0,$C$4,0),0)</f>
        <v>522.516666666668</v>
      </c>
      <c r="K502" s="81" cm="1">
        <f ca="1" t="array" ref="K502">IF(K804=1,OFFSET($Z$338,$B502,K$335-1)/SUMPRODUCT(--($D$335:$V$335=K$335),--($D804:$V804=1)),0)+SUM(K501)+IF(COUNTIF(K$641:K804,1)=1,5,0)+IF(COUNTIF(L502:$Z502,"&gt;"&amp;0)&gt;5,IF(MOD(COUNTIF(K$641:K804,1),7)=0,$C$4,0),0)</f>
        <v>522.516666666668</v>
      </c>
      <c r="L502" s="81" cm="1">
        <f ca="1" t="array" ref="L502">IF(L804=1,OFFSET($Z$338,$B502,L$335-1)/SUMPRODUCT(--($D$335:$V$335=L$335),--($D804:$V804=1)),0)+SUM(L501)+IF(COUNTIF(L$641:L804,1)=1,5,0)+IF(COUNTIF(M502:$Z502,"&gt;"&amp;0)&gt;5,IF(MOD(COUNTIF(L$641:L804,1),7)=0,$C$4,0),0)</f>
        <v>515.816666666668</v>
      </c>
      <c r="M502" s="81" cm="1">
        <f ca="1" t="array" ref="M502">IF(M804=1,OFFSET($Z$338,$B502,M$335-1)/SUMPRODUCT(--($D$335:$V$335=M$335),--($D804:$V804=1)),0)+SUM(M501)+IF(COUNTIF(M$641:M804,1)=1,5,0)+IF(COUNTIF(N502:$Z502,"&gt;"&amp;0)&gt;5,IF(MOD(COUNTIF(M$641:M804,1),7)=0,$C$4,0),0)</f>
        <v>270.644107142858</v>
      </c>
      <c r="N502" s="81" cm="1">
        <f ca="1" t="array" ref="N502">IF(N804=1,OFFSET($Z$338,$B502,N$335-1)/SUMPRODUCT(--($D$335:$V$335=N$335),--($D804:$V804=1)),0)+SUM(N501)+IF(COUNTIF(N$641:N804,1)=1,5,0)+IF(COUNTIF(O502:$Z502,"&gt;"&amp;0)&gt;5,IF(MOD(COUNTIF(N$641:N804,1),7)=0,$C$4,0),0)</f>
        <v>262.919107142858</v>
      </c>
      <c r="O502" s="81" cm="1">
        <f ca="1" t="array" ref="O502">IF(O804=1,OFFSET($Z$338,$B502,O$335-1)/SUMPRODUCT(--($D$335:$V$335=O$335),--($D804:$V804=1)),0)+SUM(O501)+IF(COUNTIF(O$641:O804,1)=1,5,0)+IF(COUNTIF(P502:$Z502,"&gt;"&amp;0)&gt;5,IF(MOD(COUNTIF(O$641:O804,1),7)=0,$C$4,0),0)</f>
        <v>260.494107142858</v>
      </c>
      <c r="P502" s="81" cm="1">
        <f ca="1" t="array" ref="P502">IF(P804=1,OFFSET($Z$338,$B502,P$335-1)/SUMPRODUCT(--($D$335:$V$335=P$335),--($D804:$V804=1)),0)+SUM(P501)+IF(COUNTIF(P$641:P804,1)=1,5,0)+IF(COUNTIF(Q502:$Z502,"&gt;"&amp;0)&gt;5,IF(MOD(COUNTIF(P$641:P804,1),7)=0,$C$4,0),0)</f>
        <v>252.560773809524</v>
      </c>
      <c r="Q502" s="81" cm="1">
        <f ca="1" t="array" ref="Q502">IF(Q804=1,OFFSET($Z$338,$B502,Q$335-1)/SUMPRODUCT(--($D$335:$V$335=Q$335),--($D804:$V804=1)),0)+SUM(Q501)+IF(COUNTIF(Q$641:Q804,1)=1,5,0)+IF(COUNTIF(R502:$Z502,"&gt;"&amp;0)&gt;5,IF(MOD(COUNTIF(Q$641:Q804,1),7)=0,$C$4,0),0)</f>
        <v>251.654523809524</v>
      </c>
      <c r="R502" s="81" cm="1">
        <f ca="1" t="array" ref="R502">IF(R804=1,OFFSET($Z$338,$B502,R$335-1)/SUMPRODUCT(--($D$335:$V$335=R$335),--($D804:$V804=1)),0)+SUM(R501)+IF(COUNTIF(R$641:R804,1)=1,5,0)+IF(COUNTIF(S502:$Z502,"&gt;"&amp;0)&gt;5,IF(MOD(COUNTIF(R$641:R804,1),7)=0,$C$4,0),0)</f>
        <v>226.759523809524</v>
      </c>
      <c r="S502" s="81" cm="1">
        <f ca="1" t="array" ref="S502">IF(S804=1,OFFSET($Z$338,$B502,S$335-1)/SUMPRODUCT(--($D$335:$V$335=S$335),--($D804:$V804=1)),0)+SUM(S501)+IF(COUNTIF(S$641:S804,1)=1,5,0)+IF(COUNTIF(T502:$Z502,"&gt;"&amp;0)&gt;5,IF(MOD(COUNTIF(S$641:S804,1),7)=0,$C$4,0),0)</f>
        <v>217.592857142857</v>
      </c>
      <c r="T502" s="81" cm="1">
        <f ca="1" t="array" ref="T502">IF(T804=1,OFFSET($Z$338,$B502,T$335-1)/SUMPRODUCT(--($D$335:$V$335=T$335),--($D804:$V804=1)),0)+SUM(T501)+IF(COUNTIF(T$641:T804,1)=1,5,0)+IF(COUNTIF(U502:$Z502,"&gt;"&amp;0)&gt;5,IF(MOD(COUNTIF(T$641:T804,1),7)=0,$C$4,0),0)</f>
        <v>137.656257829764</v>
      </c>
      <c r="U502" s="81" cm="1">
        <f ca="1" t="array" ref="U502">IF(U804=1,OFFSET($Z$338,$B502,U$335-1)/SUMPRODUCT(--($D$335:$V$335=U$335),--($D804:$V804=1)),0)+SUM(U501)+IF(COUNTIF(U$641:U804,1)=1,5,0)+IF(COUNTIF(V502:$Z502,"&gt;"&amp;0)&gt;5,IF(MOD(COUNTIF(U$641:U804,1),7)=0,$C$4,0),0)</f>
        <v>97.6562578297643</v>
      </c>
      <c r="V502" s="81" cm="1">
        <f ca="1" t="array" ref="V502">IF(V804=1,OFFSET($Z$338,$B502,V$335-1)/SUMPRODUCT(--($D$335:$V$335=V$335),--($D804:$V804=1)),0)+SUM(V501)+IF(COUNTIF(V$641:V804,1)=1,5,0)+IF(COUNTIF(Z502:$Z502,"&gt;"&amp;0)&gt;5,IF(MOD(COUNTIF(V$641:V804,1),7)=0,$C$4,0),0)</f>
        <v>89.6984386404824</v>
      </c>
      <c r="W502" s="81" cm="1">
        <f ca="1" t="array" ref="W502">IF(W804=1,OFFSET($Z$338,$B502,W$335-1)/SUMPRODUCT(--($D$335:$V$335=W$335),--($D804:$V804=1)),0)+SUM(W501)+IF(COUNTIF(W$641:W804,1)=1,5,0)+IF(COUNTIF($Z502:AA502,"&gt;"&amp;0)&gt;5,IF(MOD(COUNTIF(W$641:W804,1),7)=0,$C$4,0),0)</f>
        <v>80.3425695255331</v>
      </c>
      <c r="X502" s="81" cm="1">
        <f ca="1" t="array" ref="X502">IF(X804=1,OFFSET($Z$338,$B502,X$335-1)/SUMPRODUCT(--($D$335:$V$335=X$335),--($D804:$V804=1)),0)+SUM(X501)+IF(COUNTIF(X$641:X804,1)=1,5,0)+IF(COUNTIF($Z502:AB502,"&gt;"&amp;0)&gt;5,IF(MOD(COUNTIF(X$641:X804,1),7)=0,$C$4,0),0)</f>
        <v>73.5789092348996</v>
      </c>
      <c r="Y502" s="81" cm="1">
        <f ca="1" t="array" ref="Y502">IF(Y804=1,OFFSET($Z$338,$B502,Y$335-1)/SUMPRODUCT(--($D$335:$V$335=Y$335),--($D804:$V804=1)),0)+SUM(Y501)+IF(COUNTIF(Y$641:Y804,1)=1,5,0)+IF(COUNTIF($Z502:AC502,"&gt;"&amp;0)&gt;5,IF(MOD(COUNTIF(Y$641:Y804,1),7)=0,$C$4,0),0)</f>
        <v>66.8152489442662</v>
      </c>
      <c r="Z502" s="82" cm="1">
        <f ca="1" t="array" ref="Z502">SUMPRODUCT(TRANSPOSE($AD502:$AJ502),OFFSET($L$10:$L$16,0,Z$335-1))</f>
        <v>0</v>
      </c>
      <c r="AA502" s="82" cm="1">
        <f ca="1" t="array" ref="AA502">SUMPRODUCT(TRANSPOSE($AD502:$AJ502),OFFSET($L$10:$L$16,0,AA$335-1))</f>
        <v>0</v>
      </c>
      <c r="AB502" s="82" cm="1">
        <f ca="1" t="array" ref="AB502">SUMPRODUCT(TRANSPOSE($AD502:$AJ502),OFFSET($L$10:$L$16,0,AB$335-1))</f>
        <v>0</v>
      </c>
      <c r="AC502" s="82" cm="1">
        <f ca="1" t="array" ref="AC502">SUMPRODUCT(TRANSPOSE($AD502:$AJ502),OFFSET($L$10:$L$16,0,AC$335-1))</f>
        <v>0</v>
      </c>
      <c r="AD502" s="83">
        <f ca="1" t="shared" ref="AD502:AJ502" si="651">AK502-AK501</f>
        <v>0</v>
      </c>
      <c r="AE502" s="83">
        <f ca="1" t="shared" si="651"/>
        <v>0</v>
      </c>
      <c r="AF502" s="83">
        <f ca="1" t="shared" si="651"/>
        <v>0</v>
      </c>
      <c r="AG502" s="83">
        <f ca="1" t="shared" si="651"/>
        <v>0</v>
      </c>
      <c r="AH502" s="83">
        <f ca="1" t="shared" si="651"/>
        <v>0</v>
      </c>
      <c r="AI502" s="83">
        <f ca="1" t="shared" si="651"/>
        <v>0</v>
      </c>
      <c r="AJ502" s="83">
        <f ca="1" t="shared" si="651"/>
        <v>0</v>
      </c>
      <c r="AK502" s="83">
        <f ca="1" t="shared" si="581"/>
        <v>450</v>
      </c>
      <c r="AL502" s="83">
        <f ca="1" t="shared" ref="AL502:AQ502" si="652">IF($C502&gt;OFFSET($Q$9,MATCH(AL$338,$AK$338:$AQ$338,0),0),OFFSET($P$9,MATCH(AL$338,$AK$338:$AQ$338,0),0),MAX(0,$C502-OFFSET($Q$9,RIGHT(AL$338,1)-1,0)))</f>
        <v>909</v>
      </c>
      <c r="AM502" s="83">
        <f ca="1" t="shared" si="652"/>
        <v>1818</v>
      </c>
      <c r="AN502" s="83">
        <f ca="1" t="shared" si="652"/>
        <v>2727</v>
      </c>
      <c r="AO502" s="83">
        <f ca="1" t="shared" si="652"/>
        <v>3636</v>
      </c>
      <c r="AP502" s="83">
        <f ca="1" t="shared" si="652"/>
        <v>4545</v>
      </c>
      <c r="AQ502" s="83">
        <f ca="1" t="shared" si="652"/>
        <v>0</v>
      </c>
    </row>
    <row r="503" ht="16.5" spans="2:43">
      <c r="B503" s="65">
        <v>165</v>
      </c>
      <c r="C503" s="80">
        <f t="shared" si="579"/>
        <v>19476</v>
      </c>
      <c r="D503" s="81" cm="1">
        <f ca="1" t="array" ref="D503">IF(D805=1,OFFSET($Z$338,$B503,D$335-1)/SUMPRODUCT(--($D$335:$V$335=D$335),--($D805:$V805=1)),0)+SUM(D502)+IF(COUNTIF(D$641:D805,1)=1,5,0)+IF(COUNTIF(E503:$Z503,"&gt;"&amp;0)&gt;5,IF(MOD(COUNTIF(D$641:D805,1),7)=0,$C$4,0),0)</f>
        <v>1233.82134856666</v>
      </c>
      <c r="E503" s="81" cm="1">
        <f ca="1" t="array" ref="E503">IF(E805=1,OFFSET($Z$338,$B503,E$335-1)/SUMPRODUCT(--($D$335:$V$335=E$335),--($D805:$V805=1)),0)+SUM(E502)+IF(COUNTIF(E$641:E805,1)=1,5,0)+IF(COUNTIF(F503:$Z503,"&gt;"&amp;0)&gt;5,IF(MOD(COUNTIF(E$641:E805,1),7)=0,$C$4,0),0)</f>
        <v>1233.82134856666</v>
      </c>
      <c r="F503" s="81" cm="1">
        <f ca="1" t="array" ref="F503">IF(F805=1,OFFSET($Z$338,$B503,F$335-1)/SUMPRODUCT(--($D$335:$V$335=F$335),--($D805:$V805=1)),0)+SUM(F502)+IF(COUNTIF(F$641:F805,1)=1,5,0)+IF(COUNTIF(G503:$Z503,"&gt;"&amp;0)&gt;5,IF(MOD(COUNTIF(F$641:F805,1),7)=0,$C$4,0),0)</f>
        <v>1233.82134856666</v>
      </c>
      <c r="G503" s="81" cm="1">
        <f ca="1" t="array" ref="G503">IF(G805=1,OFFSET($Z$338,$B503,G$335-1)/SUMPRODUCT(--($D$335:$V$335=G$335),--($D805:$V805=1)),0)+SUM(G502)+IF(COUNTIF(G$641:G805,1)=1,5,0)+IF(COUNTIF(H503:$Z503,"&gt;"&amp;0)&gt;5,IF(MOD(COUNTIF(G$641:G805,1),7)=0,$C$4,0),0)</f>
        <v>522.516666666668</v>
      </c>
      <c r="H503" s="81" cm="1">
        <f ca="1" t="array" ref="H503">IF(H805=1,OFFSET($Z$338,$B503,H$335-1)/SUMPRODUCT(--($D$335:$V$335=H$335),--($D805:$V805=1)),0)+SUM(H502)+IF(COUNTIF(H$641:H805,1)=1,5,0)+IF(COUNTIF(I503:$Z503,"&gt;"&amp;0)&gt;5,IF(MOD(COUNTIF(H$641:H805,1),7)=0,$C$4,0),0)</f>
        <v>522.516666666668</v>
      </c>
      <c r="I503" s="81" cm="1">
        <f ca="1" t="array" ref="I503">IF(I805=1,OFFSET($Z$338,$B503,I$335-1)/SUMPRODUCT(--($D$335:$V$335=I$335),--($D805:$V805=1)),0)+SUM(I502)+IF(COUNTIF(I$641:I805,1)=1,5,0)+IF(COUNTIF(J503:$Z503,"&gt;"&amp;0)&gt;5,IF(MOD(COUNTIF(I$641:I805,1),7)=0,$C$4,0),0)</f>
        <v>522.516666666668</v>
      </c>
      <c r="J503" s="81" cm="1">
        <f ca="1" t="array" ref="J503">IF(J805=1,OFFSET($Z$338,$B503,J$335-1)/SUMPRODUCT(--($D$335:$V$335=J$335),--($D805:$V805=1)),0)+SUM(J502)+IF(COUNTIF(J$641:J805,1)=1,5,0)+IF(COUNTIF(K503:$Z503,"&gt;"&amp;0)&gt;5,IF(MOD(COUNTIF(J$641:J805,1),7)=0,$C$4,0),0)</f>
        <v>522.516666666668</v>
      </c>
      <c r="K503" s="81" cm="1">
        <f ca="1" t="array" ref="K503">IF(K805=1,OFFSET($Z$338,$B503,K$335-1)/SUMPRODUCT(--($D$335:$V$335=K$335),--($D805:$V805=1)),0)+SUM(K502)+IF(COUNTIF(K$641:K805,1)=1,5,0)+IF(COUNTIF(L503:$Z503,"&gt;"&amp;0)&gt;5,IF(MOD(COUNTIF(K$641:K805,1),7)=0,$C$4,0),0)</f>
        <v>522.516666666668</v>
      </c>
      <c r="L503" s="81" cm="1">
        <f ca="1" t="array" ref="L503">IF(L805=1,OFFSET($Z$338,$B503,L$335-1)/SUMPRODUCT(--($D$335:$V$335=L$335),--($D805:$V805=1)),0)+SUM(L502)+IF(COUNTIF(L$641:L805,1)=1,5,0)+IF(COUNTIF(M503:$Z503,"&gt;"&amp;0)&gt;5,IF(MOD(COUNTIF(L$641:L805,1),7)=0,$C$4,0),0)</f>
        <v>515.816666666668</v>
      </c>
      <c r="M503" s="81" cm="1">
        <f ca="1" t="array" ref="M503">IF(M805=1,OFFSET($Z$338,$B503,M$335-1)/SUMPRODUCT(--($D$335:$V$335=M$335),--($D805:$V805=1)),0)+SUM(M502)+IF(COUNTIF(M$641:M805,1)=1,5,0)+IF(COUNTIF(N503:$Z503,"&gt;"&amp;0)&gt;5,IF(MOD(COUNTIF(M$641:M805,1),7)=0,$C$4,0),0)</f>
        <v>270.644107142858</v>
      </c>
      <c r="N503" s="81" cm="1">
        <f ca="1" t="array" ref="N503">IF(N805=1,OFFSET($Z$338,$B503,N$335-1)/SUMPRODUCT(--($D$335:$V$335=N$335),--($D805:$V805=1)),0)+SUM(N502)+IF(COUNTIF(N$641:N805,1)=1,5,0)+IF(COUNTIF(O503:$Z503,"&gt;"&amp;0)&gt;5,IF(MOD(COUNTIF(N$641:N805,1),7)=0,$C$4,0),0)</f>
        <v>262.919107142858</v>
      </c>
      <c r="O503" s="81" cm="1">
        <f ca="1" t="array" ref="O503">IF(O805=1,OFFSET($Z$338,$B503,O$335-1)/SUMPRODUCT(--($D$335:$V$335=O$335),--($D805:$V805=1)),0)+SUM(O502)+IF(COUNTIF(O$641:O805,1)=1,5,0)+IF(COUNTIF(P503:$Z503,"&gt;"&amp;0)&gt;5,IF(MOD(COUNTIF(O$641:O805,1),7)=0,$C$4,0),0)</f>
        <v>260.494107142858</v>
      </c>
      <c r="P503" s="81" cm="1">
        <f ca="1" t="array" ref="P503">IF(P805=1,OFFSET($Z$338,$B503,P$335-1)/SUMPRODUCT(--($D$335:$V$335=P$335),--($D805:$V805=1)),0)+SUM(P502)+IF(COUNTIF(P$641:P805,1)=1,5,0)+IF(COUNTIF(Q503:$Z503,"&gt;"&amp;0)&gt;5,IF(MOD(COUNTIF(P$641:P805,1),7)=0,$C$4,0),0)</f>
        <v>252.560773809524</v>
      </c>
      <c r="Q503" s="81" cm="1">
        <f ca="1" t="array" ref="Q503">IF(Q805=1,OFFSET($Z$338,$B503,Q$335-1)/SUMPRODUCT(--($D$335:$V$335=Q$335),--($D805:$V805=1)),0)+SUM(Q502)+IF(COUNTIF(Q$641:Q805,1)=1,5,0)+IF(COUNTIF(R503:$Z503,"&gt;"&amp;0)&gt;5,IF(MOD(COUNTIF(Q$641:Q805,1),7)=0,$C$4,0),0)</f>
        <v>251.654523809524</v>
      </c>
      <c r="R503" s="81" cm="1">
        <f ca="1" t="array" ref="R503">IF(R805=1,OFFSET($Z$338,$B503,R$335-1)/SUMPRODUCT(--($D$335:$V$335=R$335),--($D805:$V805=1)),0)+SUM(R502)+IF(COUNTIF(R$641:R805,1)=1,5,0)+IF(COUNTIF(S503:$Z503,"&gt;"&amp;0)&gt;5,IF(MOD(COUNTIF(R$641:R805,1),7)=0,$C$4,0),0)</f>
        <v>226.759523809524</v>
      </c>
      <c r="S503" s="81" cm="1">
        <f ca="1" t="array" ref="S503">IF(S805=1,OFFSET($Z$338,$B503,S$335-1)/SUMPRODUCT(--($D$335:$V$335=S$335),--($D805:$V805=1)),0)+SUM(S502)+IF(COUNTIF(S$641:S805,1)=1,5,0)+IF(COUNTIF(T503:$Z503,"&gt;"&amp;0)&gt;5,IF(MOD(COUNTIF(S$641:S805,1),7)=0,$C$4,0),0)</f>
        <v>217.592857142857</v>
      </c>
      <c r="T503" s="81" cm="1">
        <f ca="1" t="array" ref="T503">IF(T805=1,OFFSET($Z$338,$B503,T$335-1)/SUMPRODUCT(--($D$335:$V$335=T$335),--($D805:$V805=1)),0)+SUM(T502)+IF(COUNTIF(T$641:T805,1)=1,5,0)+IF(COUNTIF(U503:$Z503,"&gt;"&amp;0)&gt;5,IF(MOD(COUNTIF(T$641:T805,1),7)=0,$C$4,0),0)</f>
        <v>137.656257829764</v>
      </c>
      <c r="U503" s="81" cm="1">
        <f ca="1" t="array" ref="U503">IF(U805=1,OFFSET($Z$338,$B503,U$335-1)/SUMPRODUCT(--($D$335:$V$335=U$335),--($D805:$V805=1)),0)+SUM(U502)+IF(COUNTIF(U$641:U805,1)=1,5,0)+IF(COUNTIF(V503:$Z503,"&gt;"&amp;0)&gt;5,IF(MOD(COUNTIF(U$641:U805,1),7)=0,$C$4,0),0)</f>
        <v>97.6562578297643</v>
      </c>
      <c r="V503" s="81" cm="1">
        <f ca="1" t="array" ref="V503">IF(V805=1,OFFSET($Z$338,$B503,V$335-1)/SUMPRODUCT(--($D$335:$V$335=V$335),--($D805:$V805=1)),0)+SUM(V502)+IF(COUNTIF(V$641:V805,1)=1,5,0)+IF(COUNTIF(Z503:$Z503,"&gt;"&amp;0)&gt;5,IF(MOD(COUNTIF(V$641:V805,1),7)=0,$C$4,0),0)</f>
        <v>89.6984386404824</v>
      </c>
      <c r="W503" s="81" cm="1">
        <f ca="1" t="array" ref="W503">IF(W805=1,OFFSET($Z$338,$B503,W$335-1)/SUMPRODUCT(--($D$335:$V$335=W$335),--($D805:$V805=1)),0)+SUM(W502)+IF(COUNTIF(W$641:W805,1)=1,5,0)+IF(COUNTIF($Z503:AA503,"&gt;"&amp;0)&gt;5,IF(MOD(COUNTIF(W$641:W805,1),7)=0,$C$4,0),0)</f>
        <v>80.3425695255331</v>
      </c>
      <c r="X503" s="81" cm="1">
        <f ca="1" t="array" ref="X503">IF(X805=1,OFFSET($Z$338,$B503,X$335-1)/SUMPRODUCT(--($D$335:$V$335=X$335),--($D805:$V805=1)),0)+SUM(X502)+IF(COUNTIF(X$641:X805,1)=1,5,0)+IF(COUNTIF($Z503:AB503,"&gt;"&amp;0)&gt;5,IF(MOD(COUNTIF(X$641:X805,1),7)=0,$C$4,0),0)</f>
        <v>73.5789092348996</v>
      </c>
      <c r="Y503" s="81" cm="1">
        <f ca="1" t="array" ref="Y503">IF(Y805=1,OFFSET($Z$338,$B503,Y$335-1)/SUMPRODUCT(--($D$335:$V$335=Y$335),--($D805:$V805=1)),0)+SUM(Y502)+IF(COUNTIF(Y$641:Y805,1)=1,5,0)+IF(COUNTIF($Z503:AC503,"&gt;"&amp;0)&gt;5,IF(MOD(COUNTIF(Y$641:Y805,1),7)=0,$C$4,0),0)</f>
        <v>66.8152489442662</v>
      </c>
      <c r="Z503" s="82" cm="1">
        <f ca="1" t="array" ref="Z503">SUMPRODUCT(TRANSPOSE($AD503:$AJ503),OFFSET($L$10:$L$16,0,Z$335-1))</f>
        <v>0</v>
      </c>
      <c r="AA503" s="82" cm="1">
        <f ca="1" t="array" ref="AA503">SUMPRODUCT(TRANSPOSE($AD503:$AJ503),OFFSET($L$10:$L$16,0,AA$335-1))</f>
        <v>0</v>
      </c>
      <c r="AB503" s="82" cm="1">
        <f ca="1" t="array" ref="AB503">SUMPRODUCT(TRANSPOSE($AD503:$AJ503),OFFSET($L$10:$L$16,0,AB$335-1))</f>
        <v>0</v>
      </c>
      <c r="AC503" s="82" cm="1">
        <f ca="1" t="array" ref="AC503">SUMPRODUCT(TRANSPOSE($AD503:$AJ503),OFFSET($L$10:$L$16,0,AC$335-1))</f>
        <v>0</v>
      </c>
      <c r="AD503" s="83">
        <f ca="1" t="shared" ref="AD503:AJ503" si="653">AK503-AK502</f>
        <v>0</v>
      </c>
      <c r="AE503" s="83">
        <f ca="1" t="shared" si="653"/>
        <v>0</v>
      </c>
      <c r="AF503" s="83">
        <f ca="1" t="shared" si="653"/>
        <v>0</v>
      </c>
      <c r="AG503" s="83">
        <f ca="1" t="shared" si="653"/>
        <v>0</v>
      </c>
      <c r="AH503" s="83">
        <f ca="1" t="shared" si="653"/>
        <v>0</v>
      </c>
      <c r="AI503" s="83">
        <f ca="1" t="shared" si="653"/>
        <v>0</v>
      </c>
      <c r="AJ503" s="83">
        <f ca="1" t="shared" si="653"/>
        <v>0</v>
      </c>
      <c r="AK503" s="83">
        <f ca="1" t="shared" si="581"/>
        <v>450</v>
      </c>
      <c r="AL503" s="83">
        <f ca="1" t="shared" ref="AL503:AQ503" si="654">IF($C503&gt;OFFSET($Q$9,MATCH(AL$338,$AK$338:$AQ$338,0),0),OFFSET($P$9,MATCH(AL$338,$AK$338:$AQ$338,0),0),MAX(0,$C503-OFFSET($Q$9,RIGHT(AL$338,1)-1,0)))</f>
        <v>909</v>
      </c>
      <c r="AM503" s="83">
        <f ca="1" t="shared" si="654"/>
        <v>1818</v>
      </c>
      <c r="AN503" s="83">
        <f ca="1" t="shared" si="654"/>
        <v>2727</v>
      </c>
      <c r="AO503" s="83">
        <f ca="1" t="shared" si="654"/>
        <v>3636</v>
      </c>
      <c r="AP503" s="83">
        <f ca="1" t="shared" si="654"/>
        <v>4545</v>
      </c>
      <c r="AQ503" s="83">
        <f ca="1" t="shared" si="654"/>
        <v>0</v>
      </c>
    </row>
    <row r="504" ht="16.5" spans="2:43">
      <c r="B504" s="65">
        <v>166</v>
      </c>
      <c r="C504" s="80">
        <f t="shared" si="579"/>
        <v>19586</v>
      </c>
      <c r="D504" s="81" cm="1">
        <f ca="1" t="array" ref="D504">IF(D806=1,OFFSET($Z$338,$B504,D$335-1)/SUMPRODUCT(--($D$335:$V$335=D$335),--($D806:$V806=1)),0)+SUM(D503)+IF(COUNTIF(D$641:D806,1)=1,5,0)+IF(COUNTIF(E504:$Z504,"&gt;"&amp;0)&gt;5,IF(MOD(COUNTIF(D$641:D806,1),7)=0,$C$4,0),0)</f>
        <v>1233.82134856666</v>
      </c>
      <c r="E504" s="81" cm="1">
        <f ca="1" t="array" ref="E504">IF(E806=1,OFFSET($Z$338,$B504,E$335-1)/SUMPRODUCT(--($D$335:$V$335=E$335),--($D806:$V806=1)),0)+SUM(E503)+IF(COUNTIF(E$641:E806,1)=1,5,0)+IF(COUNTIF(F504:$Z504,"&gt;"&amp;0)&gt;5,IF(MOD(COUNTIF(E$641:E806,1),7)=0,$C$4,0),0)</f>
        <v>1233.82134856666</v>
      </c>
      <c r="F504" s="81" cm="1">
        <f ca="1" t="array" ref="F504">IF(F806=1,OFFSET($Z$338,$B504,F$335-1)/SUMPRODUCT(--($D$335:$V$335=F$335),--($D806:$V806=1)),0)+SUM(F503)+IF(COUNTIF(F$641:F806,1)=1,5,0)+IF(COUNTIF(G504:$Z504,"&gt;"&amp;0)&gt;5,IF(MOD(COUNTIF(F$641:F806,1),7)=0,$C$4,0),0)</f>
        <v>1233.82134856666</v>
      </c>
      <c r="G504" s="81" cm="1">
        <f ca="1" t="array" ref="G504">IF(G806=1,OFFSET($Z$338,$B504,G$335-1)/SUMPRODUCT(--($D$335:$V$335=G$335),--($D806:$V806=1)),0)+SUM(G503)+IF(COUNTIF(G$641:G806,1)=1,5,0)+IF(COUNTIF(H504:$Z504,"&gt;"&amp;0)&gt;5,IF(MOD(COUNTIF(G$641:G806,1),7)=0,$C$4,0),0)</f>
        <v>522.516666666668</v>
      </c>
      <c r="H504" s="81" cm="1">
        <f ca="1" t="array" ref="H504">IF(H806=1,OFFSET($Z$338,$B504,H$335-1)/SUMPRODUCT(--($D$335:$V$335=H$335),--($D806:$V806=1)),0)+SUM(H503)+IF(COUNTIF(H$641:H806,1)=1,5,0)+IF(COUNTIF(I504:$Z504,"&gt;"&amp;0)&gt;5,IF(MOD(COUNTIF(H$641:H806,1),7)=0,$C$4,0),0)</f>
        <v>522.516666666668</v>
      </c>
      <c r="I504" s="81" cm="1">
        <f ca="1" t="array" ref="I504">IF(I806=1,OFFSET($Z$338,$B504,I$335-1)/SUMPRODUCT(--($D$335:$V$335=I$335),--($D806:$V806=1)),0)+SUM(I503)+IF(COUNTIF(I$641:I806,1)=1,5,0)+IF(COUNTIF(J504:$Z504,"&gt;"&amp;0)&gt;5,IF(MOD(COUNTIF(I$641:I806,1),7)=0,$C$4,0),0)</f>
        <v>522.516666666668</v>
      </c>
      <c r="J504" s="81" cm="1">
        <f ca="1" t="array" ref="J504">IF(J806=1,OFFSET($Z$338,$B504,J$335-1)/SUMPRODUCT(--($D$335:$V$335=J$335),--($D806:$V806=1)),0)+SUM(J503)+IF(COUNTIF(J$641:J806,1)=1,5,0)+IF(COUNTIF(K504:$Z504,"&gt;"&amp;0)&gt;5,IF(MOD(COUNTIF(J$641:J806,1),7)=0,$C$4,0),0)</f>
        <v>522.516666666668</v>
      </c>
      <c r="K504" s="81" cm="1">
        <f ca="1" t="array" ref="K504">IF(K806=1,OFFSET($Z$338,$B504,K$335-1)/SUMPRODUCT(--($D$335:$V$335=K$335),--($D806:$V806=1)),0)+SUM(K503)+IF(COUNTIF(K$641:K806,1)=1,5,0)+IF(COUNTIF(L504:$Z504,"&gt;"&amp;0)&gt;5,IF(MOD(COUNTIF(K$641:K806,1),7)=0,$C$4,0),0)</f>
        <v>522.516666666668</v>
      </c>
      <c r="L504" s="81" cm="1">
        <f ca="1" t="array" ref="L504">IF(L806=1,OFFSET($Z$338,$B504,L$335-1)/SUMPRODUCT(--($D$335:$V$335=L$335),--($D806:$V806=1)),0)+SUM(L503)+IF(COUNTIF(L$641:L806,1)=1,5,0)+IF(COUNTIF(M504:$Z504,"&gt;"&amp;0)&gt;5,IF(MOD(COUNTIF(L$641:L806,1),7)=0,$C$4,0),0)</f>
        <v>515.816666666668</v>
      </c>
      <c r="M504" s="81" cm="1">
        <f ca="1" t="array" ref="M504">IF(M806=1,OFFSET($Z$338,$B504,M$335-1)/SUMPRODUCT(--($D$335:$V$335=M$335),--($D806:$V806=1)),0)+SUM(M503)+IF(COUNTIF(M$641:M806,1)=1,5,0)+IF(COUNTIF(N504:$Z504,"&gt;"&amp;0)&gt;5,IF(MOD(COUNTIF(M$641:M806,1),7)=0,$C$4,0),0)</f>
        <v>270.644107142858</v>
      </c>
      <c r="N504" s="81" cm="1">
        <f ca="1" t="array" ref="N504">IF(N806=1,OFFSET($Z$338,$B504,N$335-1)/SUMPRODUCT(--($D$335:$V$335=N$335),--($D806:$V806=1)),0)+SUM(N503)+IF(COUNTIF(N$641:N806,1)=1,5,0)+IF(COUNTIF(O504:$Z504,"&gt;"&amp;0)&gt;5,IF(MOD(COUNTIF(N$641:N806,1),7)=0,$C$4,0),0)</f>
        <v>262.919107142858</v>
      </c>
      <c r="O504" s="81" cm="1">
        <f ca="1" t="array" ref="O504">IF(O806=1,OFFSET($Z$338,$B504,O$335-1)/SUMPRODUCT(--($D$335:$V$335=O$335),--($D806:$V806=1)),0)+SUM(O503)+IF(COUNTIF(O$641:O806,1)=1,5,0)+IF(COUNTIF(P504:$Z504,"&gt;"&amp;0)&gt;5,IF(MOD(COUNTIF(O$641:O806,1),7)=0,$C$4,0),0)</f>
        <v>260.494107142858</v>
      </c>
      <c r="P504" s="81" cm="1">
        <f ca="1" t="array" ref="P504">IF(P806=1,OFFSET($Z$338,$B504,P$335-1)/SUMPRODUCT(--($D$335:$V$335=P$335),--($D806:$V806=1)),0)+SUM(P503)+IF(COUNTIF(P$641:P806,1)=1,5,0)+IF(COUNTIF(Q504:$Z504,"&gt;"&amp;0)&gt;5,IF(MOD(COUNTIF(P$641:P806,1),7)=0,$C$4,0),0)</f>
        <v>257.560773809524</v>
      </c>
      <c r="Q504" s="81" cm="1">
        <f ca="1" t="array" ref="Q504">IF(Q806=1,OFFSET($Z$338,$B504,Q$335-1)/SUMPRODUCT(--($D$335:$V$335=Q$335),--($D806:$V806=1)),0)+SUM(Q503)+IF(COUNTIF(Q$641:Q806,1)=1,5,0)+IF(COUNTIF(R504:$Z504,"&gt;"&amp;0)&gt;5,IF(MOD(COUNTIF(Q$641:Q806,1),7)=0,$C$4,0),0)</f>
        <v>251.654523809524</v>
      </c>
      <c r="R504" s="81" cm="1">
        <f ca="1" t="array" ref="R504">IF(R806=1,OFFSET($Z$338,$B504,R$335-1)/SUMPRODUCT(--($D$335:$V$335=R$335),--($D806:$V806=1)),0)+SUM(R503)+IF(COUNTIF(R$641:R806,1)=1,5,0)+IF(COUNTIF(S504:$Z504,"&gt;"&amp;0)&gt;5,IF(MOD(COUNTIF(R$641:R806,1),7)=0,$C$4,0),0)</f>
        <v>226.759523809524</v>
      </c>
      <c r="S504" s="81" cm="1">
        <f ca="1" t="array" ref="S504">IF(S806=1,OFFSET($Z$338,$B504,S$335-1)/SUMPRODUCT(--($D$335:$V$335=S$335),--($D806:$V806=1)),0)+SUM(S503)+IF(COUNTIF(S$641:S806,1)=1,5,0)+IF(COUNTIF(T504:$Z504,"&gt;"&amp;0)&gt;5,IF(MOD(COUNTIF(S$641:S806,1),7)=0,$C$4,0),0)</f>
        <v>222.592857142857</v>
      </c>
      <c r="T504" s="81" cm="1">
        <f ca="1" t="array" ref="T504">IF(T806=1,OFFSET($Z$338,$B504,T$335-1)/SUMPRODUCT(--($D$335:$V$335=T$335),--($D806:$V806=1)),0)+SUM(T503)+IF(COUNTIF(T$641:T806,1)=1,5,0)+IF(COUNTIF(U504:$Z504,"&gt;"&amp;0)&gt;5,IF(MOD(COUNTIF(T$641:T806,1),7)=0,$C$4,0),0)</f>
        <v>137.656257829764</v>
      </c>
      <c r="U504" s="81" cm="1">
        <f ca="1" t="array" ref="U504">IF(U806=1,OFFSET($Z$338,$B504,U$335-1)/SUMPRODUCT(--($D$335:$V$335=U$335),--($D806:$V806=1)),0)+SUM(U503)+IF(COUNTIF(U$641:U806,1)=1,5,0)+IF(COUNTIF(V504:$Z504,"&gt;"&amp;0)&gt;5,IF(MOD(COUNTIF(U$641:U806,1),7)=0,$C$4,0),0)</f>
        <v>97.6562578297643</v>
      </c>
      <c r="V504" s="81" cm="1">
        <f ca="1" t="array" ref="V504">IF(V806=1,OFFSET($Z$338,$B504,V$335-1)/SUMPRODUCT(--($D$335:$V$335=V$335),--($D806:$V806=1)),0)+SUM(V503)+IF(COUNTIF(V$641:V806,1)=1,5,0)+IF(COUNTIF(Z504:$Z504,"&gt;"&amp;0)&gt;5,IF(MOD(COUNTIF(V$641:V806,1),7)=0,$C$4,0),0)</f>
        <v>89.6984386404824</v>
      </c>
      <c r="W504" s="81" cm="1">
        <f ca="1" t="array" ref="W504">IF(W806=1,OFFSET($Z$338,$B504,W$335-1)/SUMPRODUCT(--($D$335:$V$335=W$335),--($D806:$V806=1)),0)+SUM(W503)+IF(COUNTIF(W$641:W806,1)=1,5,0)+IF(COUNTIF($Z504:AA504,"&gt;"&amp;0)&gt;5,IF(MOD(COUNTIF(W$641:W806,1),7)=0,$C$4,0),0)</f>
        <v>80.3425695255331</v>
      </c>
      <c r="X504" s="81" cm="1">
        <f ca="1" t="array" ref="X504">IF(X806=1,OFFSET($Z$338,$B504,X$335-1)/SUMPRODUCT(--($D$335:$V$335=X$335),--($D806:$V806=1)),0)+SUM(X503)+IF(COUNTIF(X$641:X806,1)=1,5,0)+IF(COUNTIF($Z504:AB504,"&gt;"&amp;0)&gt;5,IF(MOD(COUNTIF(X$641:X806,1),7)=0,$C$4,0),0)</f>
        <v>73.5789092348996</v>
      </c>
      <c r="Y504" s="81" cm="1">
        <f ca="1" t="array" ref="Y504">IF(Y806=1,OFFSET($Z$338,$B504,Y$335-1)/SUMPRODUCT(--($D$335:$V$335=Y$335),--($D806:$V806=1)),0)+SUM(Y503)+IF(COUNTIF(Y$641:Y806,1)=1,5,0)+IF(COUNTIF($Z504:AC504,"&gt;"&amp;0)&gt;5,IF(MOD(COUNTIF(Y$641:Y806,1),7)=0,$C$4,0),0)</f>
        <v>66.8152489442662</v>
      </c>
      <c r="Z504" s="82" cm="1">
        <f ca="1" t="array" ref="Z504">SUMPRODUCT(TRANSPOSE($AD504:$AJ504),OFFSET($L$10:$L$16,0,Z$335-1))</f>
        <v>0</v>
      </c>
      <c r="AA504" s="82" cm="1">
        <f ca="1" t="array" ref="AA504">SUMPRODUCT(TRANSPOSE($AD504:$AJ504),OFFSET($L$10:$L$16,0,AA$335-1))</f>
        <v>0</v>
      </c>
      <c r="AB504" s="82" cm="1">
        <f ca="1" t="array" ref="AB504">SUMPRODUCT(TRANSPOSE($AD504:$AJ504),OFFSET($L$10:$L$16,0,AB$335-1))</f>
        <v>0</v>
      </c>
      <c r="AC504" s="82" cm="1">
        <f ca="1" t="array" ref="AC504">SUMPRODUCT(TRANSPOSE($AD504:$AJ504),OFFSET($L$10:$L$16,0,AC$335-1))</f>
        <v>0</v>
      </c>
      <c r="AD504" s="83">
        <f ca="1" t="shared" ref="AD504:AJ504" si="655">AK504-AK503</f>
        <v>0</v>
      </c>
      <c r="AE504" s="83">
        <f ca="1" t="shared" si="655"/>
        <v>0</v>
      </c>
      <c r="AF504" s="83">
        <f ca="1" t="shared" si="655"/>
        <v>0</v>
      </c>
      <c r="AG504" s="83">
        <f ca="1" t="shared" si="655"/>
        <v>0</v>
      </c>
      <c r="AH504" s="83">
        <f ca="1" t="shared" si="655"/>
        <v>0</v>
      </c>
      <c r="AI504" s="83">
        <f ca="1" t="shared" si="655"/>
        <v>0</v>
      </c>
      <c r="AJ504" s="83">
        <f ca="1" t="shared" si="655"/>
        <v>0</v>
      </c>
      <c r="AK504" s="83">
        <f ca="1" t="shared" si="581"/>
        <v>450</v>
      </c>
      <c r="AL504" s="83">
        <f ca="1" t="shared" ref="AL504:AQ504" si="656">IF($C504&gt;OFFSET($Q$9,MATCH(AL$338,$AK$338:$AQ$338,0),0),OFFSET($P$9,MATCH(AL$338,$AK$338:$AQ$338,0),0),MAX(0,$C504-OFFSET($Q$9,RIGHT(AL$338,1)-1,0)))</f>
        <v>909</v>
      </c>
      <c r="AM504" s="83">
        <f ca="1" t="shared" si="656"/>
        <v>1818</v>
      </c>
      <c r="AN504" s="83">
        <f ca="1" t="shared" si="656"/>
        <v>2727</v>
      </c>
      <c r="AO504" s="83">
        <f ca="1" t="shared" si="656"/>
        <v>3636</v>
      </c>
      <c r="AP504" s="83">
        <f ca="1" t="shared" si="656"/>
        <v>4545</v>
      </c>
      <c r="AQ504" s="83">
        <f ca="1" t="shared" si="656"/>
        <v>0</v>
      </c>
    </row>
    <row r="505" ht="16.5" spans="2:43">
      <c r="B505" s="65">
        <v>167</v>
      </c>
      <c r="C505" s="80">
        <f t="shared" si="579"/>
        <v>19696</v>
      </c>
      <c r="D505" s="81" cm="1">
        <f ca="1" t="array" ref="D505">IF(D807=1,OFFSET($Z$338,$B505,D$335-1)/SUMPRODUCT(--($D$335:$V$335=D$335),--($D807:$V807=1)),0)+SUM(D504)+IF(COUNTIF(D$641:D807,1)=1,5,0)+IF(COUNTIF(E505:$Z505,"&gt;"&amp;0)&gt;5,IF(MOD(COUNTIF(D$641:D807,1),7)=0,$C$4,0),0)</f>
        <v>1233.82134856666</v>
      </c>
      <c r="E505" s="81" cm="1">
        <f ca="1" t="array" ref="E505">IF(E807=1,OFFSET($Z$338,$B505,E$335-1)/SUMPRODUCT(--($D$335:$V$335=E$335),--($D807:$V807=1)),0)+SUM(E504)+IF(COUNTIF(E$641:E807,1)=1,5,0)+IF(COUNTIF(F505:$Z505,"&gt;"&amp;0)&gt;5,IF(MOD(COUNTIF(E$641:E807,1),7)=0,$C$4,0),0)</f>
        <v>1233.82134856666</v>
      </c>
      <c r="F505" s="81" cm="1">
        <f ca="1" t="array" ref="F505">IF(F807=1,OFFSET($Z$338,$B505,F$335-1)/SUMPRODUCT(--($D$335:$V$335=F$335),--($D807:$V807=1)),0)+SUM(F504)+IF(COUNTIF(F$641:F807,1)=1,5,0)+IF(COUNTIF(G505:$Z505,"&gt;"&amp;0)&gt;5,IF(MOD(COUNTIF(F$641:F807,1),7)=0,$C$4,0),0)</f>
        <v>1233.82134856666</v>
      </c>
      <c r="G505" s="81" cm="1">
        <f ca="1" t="array" ref="G505">IF(G807=1,OFFSET($Z$338,$B505,G$335-1)/SUMPRODUCT(--($D$335:$V$335=G$335),--($D807:$V807=1)),0)+SUM(G504)+IF(COUNTIF(G$641:G807,1)=1,5,0)+IF(COUNTIF(H505:$Z505,"&gt;"&amp;0)&gt;5,IF(MOD(COUNTIF(G$641:G807,1),7)=0,$C$4,0),0)</f>
        <v>522.516666666668</v>
      </c>
      <c r="H505" s="81" cm="1">
        <f ca="1" t="array" ref="H505">IF(H807=1,OFFSET($Z$338,$B505,H$335-1)/SUMPRODUCT(--($D$335:$V$335=H$335),--($D807:$V807=1)),0)+SUM(H504)+IF(COUNTIF(H$641:H807,1)=1,5,0)+IF(COUNTIF(I505:$Z505,"&gt;"&amp;0)&gt;5,IF(MOD(COUNTIF(H$641:H807,1),7)=0,$C$4,0),0)</f>
        <v>522.516666666668</v>
      </c>
      <c r="I505" s="81" cm="1">
        <f ca="1" t="array" ref="I505">IF(I807=1,OFFSET($Z$338,$B505,I$335-1)/SUMPRODUCT(--($D$335:$V$335=I$335),--($D807:$V807=1)),0)+SUM(I504)+IF(COUNTIF(I$641:I807,1)=1,5,0)+IF(COUNTIF(J505:$Z505,"&gt;"&amp;0)&gt;5,IF(MOD(COUNTIF(I$641:I807,1),7)=0,$C$4,0),0)</f>
        <v>522.516666666668</v>
      </c>
      <c r="J505" s="81" cm="1">
        <f ca="1" t="array" ref="J505">IF(J807=1,OFFSET($Z$338,$B505,J$335-1)/SUMPRODUCT(--($D$335:$V$335=J$335),--($D807:$V807=1)),0)+SUM(J504)+IF(COUNTIF(J$641:J807,1)=1,5,0)+IF(COUNTIF(K505:$Z505,"&gt;"&amp;0)&gt;5,IF(MOD(COUNTIF(J$641:J807,1),7)=0,$C$4,0),0)</f>
        <v>522.516666666668</v>
      </c>
      <c r="K505" s="81" cm="1">
        <f ca="1" t="array" ref="K505">IF(K807=1,OFFSET($Z$338,$B505,K$335-1)/SUMPRODUCT(--($D$335:$V$335=K$335),--($D807:$V807=1)),0)+SUM(K504)+IF(COUNTIF(K$641:K807,1)=1,5,0)+IF(COUNTIF(L505:$Z505,"&gt;"&amp;0)&gt;5,IF(MOD(COUNTIF(K$641:K807,1),7)=0,$C$4,0),0)</f>
        <v>522.516666666668</v>
      </c>
      <c r="L505" s="81" cm="1">
        <f ca="1" t="array" ref="L505">IF(L807=1,OFFSET($Z$338,$B505,L$335-1)/SUMPRODUCT(--($D$335:$V$335=L$335),--($D807:$V807=1)),0)+SUM(L504)+IF(COUNTIF(L$641:L807,1)=1,5,0)+IF(COUNTIF(M505:$Z505,"&gt;"&amp;0)&gt;5,IF(MOD(COUNTIF(L$641:L807,1),7)=0,$C$4,0),0)</f>
        <v>515.816666666668</v>
      </c>
      <c r="M505" s="81" cm="1">
        <f ca="1" t="array" ref="M505">IF(M807=1,OFFSET($Z$338,$B505,M$335-1)/SUMPRODUCT(--($D$335:$V$335=M$335),--($D807:$V807=1)),0)+SUM(M504)+IF(COUNTIF(M$641:M807,1)=1,5,0)+IF(COUNTIF(N505:$Z505,"&gt;"&amp;0)&gt;5,IF(MOD(COUNTIF(M$641:M807,1),7)=0,$C$4,0),0)</f>
        <v>270.644107142858</v>
      </c>
      <c r="N505" s="81" cm="1">
        <f ca="1" t="array" ref="N505">IF(N807=1,OFFSET($Z$338,$B505,N$335-1)/SUMPRODUCT(--($D$335:$V$335=N$335),--($D807:$V807=1)),0)+SUM(N504)+IF(COUNTIF(N$641:N807,1)=1,5,0)+IF(COUNTIF(O505:$Z505,"&gt;"&amp;0)&gt;5,IF(MOD(COUNTIF(N$641:N807,1),7)=0,$C$4,0),0)</f>
        <v>262.919107142858</v>
      </c>
      <c r="O505" s="81" cm="1">
        <f ca="1" t="array" ref="O505">IF(O807=1,OFFSET($Z$338,$B505,O$335-1)/SUMPRODUCT(--($D$335:$V$335=O$335),--($D807:$V807=1)),0)+SUM(O504)+IF(COUNTIF(O$641:O807,1)=1,5,0)+IF(COUNTIF(P505:$Z505,"&gt;"&amp;0)&gt;5,IF(MOD(COUNTIF(O$641:O807,1),7)=0,$C$4,0),0)</f>
        <v>260.494107142858</v>
      </c>
      <c r="P505" s="81" cm="1">
        <f ca="1" t="array" ref="P505">IF(P807=1,OFFSET($Z$338,$B505,P$335-1)/SUMPRODUCT(--($D$335:$V$335=P$335),--($D807:$V807=1)),0)+SUM(P504)+IF(COUNTIF(P$641:P807,1)=1,5,0)+IF(COUNTIF(Q505:$Z505,"&gt;"&amp;0)&gt;5,IF(MOD(COUNTIF(P$641:P807,1),7)=0,$C$4,0),0)</f>
        <v>257.560773809524</v>
      </c>
      <c r="Q505" s="81" cm="1">
        <f ca="1" t="array" ref="Q505">IF(Q807=1,OFFSET($Z$338,$B505,Q$335-1)/SUMPRODUCT(--($D$335:$V$335=Q$335),--($D807:$V807=1)),0)+SUM(Q504)+IF(COUNTIF(Q$641:Q807,1)=1,5,0)+IF(COUNTIF(R505:$Z505,"&gt;"&amp;0)&gt;5,IF(MOD(COUNTIF(Q$641:Q807,1),7)=0,$C$4,0),0)</f>
        <v>256.654523809524</v>
      </c>
      <c r="R505" s="81" cm="1">
        <f ca="1" t="array" ref="R505">IF(R807=1,OFFSET($Z$338,$B505,R$335-1)/SUMPRODUCT(--($D$335:$V$335=R$335),--($D807:$V807=1)),0)+SUM(R504)+IF(COUNTIF(R$641:R807,1)=1,5,0)+IF(COUNTIF(S505:$Z505,"&gt;"&amp;0)&gt;5,IF(MOD(COUNTIF(R$641:R807,1),7)=0,$C$4,0),0)</f>
        <v>226.759523809524</v>
      </c>
      <c r="S505" s="81" cm="1">
        <f ca="1" t="array" ref="S505">IF(S807=1,OFFSET($Z$338,$B505,S$335-1)/SUMPRODUCT(--($D$335:$V$335=S$335),--($D807:$V807=1)),0)+SUM(S504)+IF(COUNTIF(S$641:S807,1)=1,5,0)+IF(COUNTIF(T505:$Z505,"&gt;"&amp;0)&gt;5,IF(MOD(COUNTIF(S$641:S807,1),7)=0,$C$4,0),0)</f>
        <v>222.592857142857</v>
      </c>
      <c r="T505" s="81" cm="1">
        <f ca="1" t="array" ref="T505">IF(T807=1,OFFSET($Z$338,$B505,T$335-1)/SUMPRODUCT(--($D$335:$V$335=T$335),--($D807:$V807=1)),0)+SUM(T504)+IF(COUNTIF(T$641:T807,1)=1,5,0)+IF(COUNTIF(U505:$Z505,"&gt;"&amp;0)&gt;5,IF(MOD(COUNTIF(T$641:T807,1),7)=0,$C$4,0),0)</f>
        <v>137.656257829764</v>
      </c>
      <c r="U505" s="81" cm="1">
        <f ca="1" t="array" ref="U505">IF(U807=1,OFFSET($Z$338,$B505,U$335-1)/SUMPRODUCT(--($D$335:$V$335=U$335),--($D807:$V807=1)),0)+SUM(U504)+IF(COUNTIF(U$641:U807,1)=1,5,0)+IF(COUNTIF(V505:$Z505,"&gt;"&amp;0)&gt;5,IF(MOD(COUNTIF(U$641:U807,1),7)=0,$C$4,0),0)</f>
        <v>97.6562578297643</v>
      </c>
      <c r="V505" s="81" cm="1">
        <f ca="1" t="array" ref="V505">IF(V807=1,OFFSET($Z$338,$B505,V$335-1)/SUMPRODUCT(--($D$335:$V$335=V$335),--($D807:$V807=1)),0)+SUM(V504)+IF(COUNTIF(V$641:V807,1)=1,5,0)+IF(COUNTIF(Z505:$Z505,"&gt;"&amp;0)&gt;5,IF(MOD(COUNTIF(V$641:V807,1),7)=0,$C$4,0),0)</f>
        <v>89.6984386404824</v>
      </c>
      <c r="W505" s="81" cm="1">
        <f ca="1" t="array" ref="W505">IF(W807=1,OFFSET($Z$338,$B505,W$335-1)/SUMPRODUCT(--($D$335:$V$335=W$335),--($D807:$V807=1)),0)+SUM(W504)+IF(COUNTIF(W$641:W807,1)=1,5,0)+IF(COUNTIF($Z505:AA505,"&gt;"&amp;0)&gt;5,IF(MOD(COUNTIF(W$641:W807,1),7)=0,$C$4,0),0)</f>
        <v>80.3425695255331</v>
      </c>
      <c r="X505" s="81" cm="1">
        <f ca="1" t="array" ref="X505">IF(X807=1,OFFSET($Z$338,$B505,X$335-1)/SUMPRODUCT(--($D$335:$V$335=X$335),--($D807:$V807=1)),0)+SUM(X504)+IF(COUNTIF(X$641:X807,1)=1,5,0)+IF(COUNTIF($Z505:AB505,"&gt;"&amp;0)&gt;5,IF(MOD(COUNTIF(X$641:X807,1),7)=0,$C$4,0),0)</f>
        <v>73.5789092348996</v>
      </c>
      <c r="Y505" s="81" cm="1">
        <f ca="1" t="array" ref="Y505">IF(Y807=1,OFFSET($Z$338,$B505,Y$335-1)/SUMPRODUCT(--($D$335:$V$335=Y$335),--($D807:$V807=1)),0)+SUM(Y504)+IF(COUNTIF(Y$641:Y807,1)=1,5,0)+IF(COUNTIF($Z505:AC505,"&gt;"&amp;0)&gt;5,IF(MOD(COUNTIF(Y$641:Y807,1),7)=0,$C$4,0),0)</f>
        <v>66.8152489442662</v>
      </c>
      <c r="Z505" s="82" cm="1">
        <f ca="1" t="array" ref="Z505">SUMPRODUCT(TRANSPOSE($AD505:$AJ505),OFFSET($L$10:$L$16,0,Z$335-1))</f>
        <v>0</v>
      </c>
      <c r="AA505" s="82" cm="1">
        <f ca="1" t="array" ref="AA505">SUMPRODUCT(TRANSPOSE($AD505:$AJ505),OFFSET($L$10:$L$16,0,AA$335-1))</f>
        <v>0</v>
      </c>
      <c r="AB505" s="82" cm="1">
        <f ca="1" t="array" ref="AB505">SUMPRODUCT(TRANSPOSE($AD505:$AJ505),OFFSET($L$10:$L$16,0,AB$335-1))</f>
        <v>0</v>
      </c>
      <c r="AC505" s="82" cm="1">
        <f ca="1" t="array" ref="AC505">SUMPRODUCT(TRANSPOSE($AD505:$AJ505),OFFSET($L$10:$L$16,0,AC$335-1))</f>
        <v>0</v>
      </c>
      <c r="AD505" s="83">
        <f ca="1" t="shared" ref="AD505:AJ505" si="657">AK505-AK504</f>
        <v>0</v>
      </c>
      <c r="AE505" s="83">
        <f ca="1" t="shared" si="657"/>
        <v>0</v>
      </c>
      <c r="AF505" s="83">
        <f ca="1" t="shared" si="657"/>
        <v>0</v>
      </c>
      <c r="AG505" s="83">
        <f ca="1" t="shared" si="657"/>
        <v>0</v>
      </c>
      <c r="AH505" s="83">
        <f ca="1" t="shared" si="657"/>
        <v>0</v>
      </c>
      <c r="AI505" s="83">
        <f ca="1" t="shared" si="657"/>
        <v>0</v>
      </c>
      <c r="AJ505" s="83">
        <f ca="1" t="shared" si="657"/>
        <v>0</v>
      </c>
      <c r="AK505" s="83">
        <f ca="1" t="shared" si="581"/>
        <v>450</v>
      </c>
      <c r="AL505" s="83">
        <f ca="1" t="shared" ref="AL505:AQ505" si="658">IF($C505&gt;OFFSET($Q$9,MATCH(AL$338,$AK$338:$AQ$338,0),0),OFFSET($P$9,MATCH(AL$338,$AK$338:$AQ$338,0),0),MAX(0,$C505-OFFSET($Q$9,RIGHT(AL$338,1)-1,0)))</f>
        <v>909</v>
      </c>
      <c r="AM505" s="83">
        <f ca="1" t="shared" si="658"/>
        <v>1818</v>
      </c>
      <c r="AN505" s="83">
        <f ca="1" t="shared" si="658"/>
        <v>2727</v>
      </c>
      <c r="AO505" s="83">
        <f ca="1" t="shared" si="658"/>
        <v>3636</v>
      </c>
      <c r="AP505" s="83">
        <f ca="1" t="shared" si="658"/>
        <v>4545</v>
      </c>
      <c r="AQ505" s="83">
        <f ca="1" t="shared" si="658"/>
        <v>0</v>
      </c>
    </row>
    <row r="506" ht="16.5" spans="2:43">
      <c r="B506" s="65">
        <v>168</v>
      </c>
      <c r="C506" s="80">
        <f t="shared" si="579"/>
        <v>19806</v>
      </c>
      <c r="D506" s="81" cm="1">
        <f ca="1" t="array" ref="D506">IF(D808=1,OFFSET($Z$338,$B506,D$335-1)/SUMPRODUCT(--($D$335:$V$335=D$335),--($D808:$V808=1)),0)+SUM(D505)+IF(COUNTIF(D$641:D808,1)=1,5,0)+IF(COUNTIF(E506:$Z506,"&gt;"&amp;0)&gt;5,IF(MOD(COUNTIF(D$641:D808,1),7)=0,$C$4,0),0)</f>
        <v>1238.82134856666</v>
      </c>
      <c r="E506" s="81" cm="1">
        <f ca="1" t="array" ref="E506">IF(E808=1,OFFSET($Z$338,$B506,E$335-1)/SUMPRODUCT(--($D$335:$V$335=E$335),--($D808:$V808=1)),0)+SUM(E505)+IF(COUNTIF(E$641:E808,1)=1,5,0)+IF(COUNTIF(F506:$Z506,"&gt;"&amp;0)&gt;5,IF(MOD(COUNTIF(E$641:E808,1),7)=0,$C$4,0),0)</f>
        <v>1238.82134856666</v>
      </c>
      <c r="F506" s="81" cm="1">
        <f ca="1" t="array" ref="F506">IF(F808=1,OFFSET($Z$338,$B506,F$335-1)/SUMPRODUCT(--($D$335:$V$335=F$335),--($D808:$V808=1)),0)+SUM(F505)+IF(COUNTIF(F$641:F808,1)=1,5,0)+IF(COUNTIF(G506:$Z506,"&gt;"&amp;0)&gt;5,IF(MOD(COUNTIF(F$641:F808,1),7)=0,$C$4,0),0)</f>
        <v>1238.82134856666</v>
      </c>
      <c r="G506" s="81" cm="1">
        <f ca="1" t="array" ref="G506">IF(G808=1,OFFSET($Z$338,$B506,G$335-1)/SUMPRODUCT(--($D$335:$V$335=G$335),--($D808:$V808=1)),0)+SUM(G505)+IF(COUNTIF(G$641:G808,1)=1,5,0)+IF(COUNTIF(H506:$Z506,"&gt;"&amp;0)&gt;5,IF(MOD(COUNTIF(G$641:G808,1),7)=0,$C$4,0),0)</f>
        <v>527.516666666668</v>
      </c>
      <c r="H506" s="81" cm="1">
        <f ca="1" t="array" ref="H506">IF(H808=1,OFFSET($Z$338,$B506,H$335-1)/SUMPRODUCT(--($D$335:$V$335=H$335),--($D808:$V808=1)),0)+SUM(H505)+IF(COUNTIF(H$641:H808,1)=1,5,0)+IF(COUNTIF(I506:$Z506,"&gt;"&amp;0)&gt;5,IF(MOD(COUNTIF(H$641:H808,1),7)=0,$C$4,0),0)</f>
        <v>527.516666666668</v>
      </c>
      <c r="I506" s="81" cm="1">
        <f ca="1" t="array" ref="I506">IF(I808=1,OFFSET($Z$338,$B506,I$335-1)/SUMPRODUCT(--($D$335:$V$335=I$335),--($D808:$V808=1)),0)+SUM(I505)+IF(COUNTIF(I$641:I808,1)=1,5,0)+IF(COUNTIF(J506:$Z506,"&gt;"&amp;0)&gt;5,IF(MOD(COUNTIF(I$641:I808,1),7)=0,$C$4,0),0)</f>
        <v>527.516666666668</v>
      </c>
      <c r="J506" s="81" cm="1">
        <f ca="1" t="array" ref="J506">IF(J808=1,OFFSET($Z$338,$B506,J$335-1)/SUMPRODUCT(--($D$335:$V$335=J$335),--($D808:$V808=1)),0)+SUM(J505)+IF(COUNTIF(J$641:J808,1)=1,5,0)+IF(COUNTIF(K506:$Z506,"&gt;"&amp;0)&gt;5,IF(MOD(COUNTIF(J$641:J808,1),7)=0,$C$4,0),0)</f>
        <v>527.516666666668</v>
      </c>
      <c r="K506" s="81" cm="1">
        <f ca="1" t="array" ref="K506">IF(K808=1,OFFSET($Z$338,$B506,K$335-1)/SUMPRODUCT(--($D$335:$V$335=K$335),--($D808:$V808=1)),0)+SUM(K505)+IF(COUNTIF(K$641:K808,1)=1,5,0)+IF(COUNTIF(L506:$Z506,"&gt;"&amp;0)&gt;5,IF(MOD(COUNTIF(K$641:K808,1),7)=0,$C$4,0),0)</f>
        <v>527.516666666668</v>
      </c>
      <c r="L506" s="81" cm="1">
        <f ca="1" t="array" ref="L506">IF(L808=1,OFFSET($Z$338,$B506,L$335-1)/SUMPRODUCT(--($D$335:$V$335=L$335),--($D808:$V808=1)),0)+SUM(L505)+IF(COUNTIF(L$641:L808,1)=1,5,0)+IF(COUNTIF(M506:$Z506,"&gt;"&amp;0)&gt;5,IF(MOD(COUNTIF(L$641:L808,1),7)=0,$C$4,0),0)</f>
        <v>515.816666666668</v>
      </c>
      <c r="M506" s="81" cm="1">
        <f ca="1" t="array" ref="M506">IF(M808=1,OFFSET($Z$338,$B506,M$335-1)/SUMPRODUCT(--($D$335:$V$335=M$335),--($D808:$V808=1)),0)+SUM(M505)+IF(COUNTIF(M$641:M808,1)=1,5,0)+IF(COUNTIF(N506:$Z506,"&gt;"&amp;0)&gt;5,IF(MOD(COUNTIF(M$641:M808,1),7)=0,$C$4,0),0)</f>
        <v>270.644107142858</v>
      </c>
      <c r="N506" s="81" cm="1">
        <f ca="1" t="array" ref="N506">IF(N808=1,OFFSET($Z$338,$B506,N$335-1)/SUMPRODUCT(--($D$335:$V$335=N$335),--($D808:$V808=1)),0)+SUM(N505)+IF(COUNTIF(N$641:N808,1)=1,5,0)+IF(COUNTIF(O506:$Z506,"&gt;"&amp;0)&gt;5,IF(MOD(COUNTIF(N$641:N808,1),7)=0,$C$4,0),0)</f>
        <v>262.919107142858</v>
      </c>
      <c r="O506" s="81" cm="1">
        <f ca="1" t="array" ref="O506">IF(O808=1,OFFSET($Z$338,$B506,O$335-1)/SUMPRODUCT(--($D$335:$V$335=O$335),--($D808:$V808=1)),0)+SUM(O505)+IF(COUNTIF(O$641:O808,1)=1,5,0)+IF(COUNTIF(P506:$Z506,"&gt;"&amp;0)&gt;5,IF(MOD(COUNTIF(O$641:O808,1),7)=0,$C$4,0),0)</f>
        <v>260.494107142858</v>
      </c>
      <c r="P506" s="81" cm="1">
        <f ca="1" t="array" ref="P506">IF(P808=1,OFFSET($Z$338,$B506,P$335-1)/SUMPRODUCT(--($D$335:$V$335=P$335),--($D808:$V808=1)),0)+SUM(P505)+IF(COUNTIF(P$641:P808,1)=1,5,0)+IF(COUNTIF(Q506:$Z506,"&gt;"&amp;0)&gt;5,IF(MOD(COUNTIF(P$641:P808,1),7)=0,$C$4,0),0)</f>
        <v>257.560773809524</v>
      </c>
      <c r="Q506" s="81" cm="1">
        <f ca="1" t="array" ref="Q506">IF(Q808=1,OFFSET($Z$338,$B506,Q$335-1)/SUMPRODUCT(--($D$335:$V$335=Q$335),--($D808:$V808=1)),0)+SUM(Q505)+IF(COUNTIF(Q$641:Q808,1)=1,5,0)+IF(COUNTIF(R506:$Z506,"&gt;"&amp;0)&gt;5,IF(MOD(COUNTIF(Q$641:Q808,1),7)=0,$C$4,0),0)</f>
        <v>256.654523809524</v>
      </c>
      <c r="R506" s="81" cm="1">
        <f ca="1" t="array" ref="R506">IF(R808=1,OFFSET($Z$338,$B506,R$335-1)/SUMPRODUCT(--($D$335:$V$335=R$335),--($D808:$V808=1)),0)+SUM(R505)+IF(COUNTIF(R$641:R808,1)=1,5,0)+IF(COUNTIF(S506:$Z506,"&gt;"&amp;0)&gt;5,IF(MOD(COUNTIF(R$641:R808,1),7)=0,$C$4,0),0)</f>
        <v>231.759523809524</v>
      </c>
      <c r="S506" s="81" cm="1">
        <f ca="1" t="array" ref="S506">IF(S808=1,OFFSET($Z$338,$B506,S$335-1)/SUMPRODUCT(--($D$335:$V$335=S$335),--($D808:$V808=1)),0)+SUM(S505)+IF(COUNTIF(S$641:S808,1)=1,5,0)+IF(COUNTIF(T506:$Z506,"&gt;"&amp;0)&gt;5,IF(MOD(COUNTIF(S$641:S808,1),7)=0,$C$4,0),0)</f>
        <v>222.592857142857</v>
      </c>
      <c r="T506" s="81" cm="1">
        <f ca="1" t="array" ref="T506">IF(T808=1,OFFSET($Z$338,$B506,T$335-1)/SUMPRODUCT(--($D$335:$V$335=T$335),--($D808:$V808=1)),0)+SUM(T505)+IF(COUNTIF(T$641:T808,1)=1,5,0)+IF(COUNTIF(U506:$Z506,"&gt;"&amp;0)&gt;5,IF(MOD(COUNTIF(T$641:T808,1),7)=0,$C$4,0),0)</f>
        <v>137.656257829764</v>
      </c>
      <c r="U506" s="81" cm="1">
        <f ca="1" t="array" ref="U506">IF(U808=1,OFFSET($Z$338,$B506,U$335-1)/SUMPRODUCT(--($D$335:$V$335=U$335),--($D808:$V808=1)),0)+SUM(U505)+IF(COUNTIF(U$641:U808,1)=1,5,0)+IF(COUNTIF(V506:$Z506,"&gt;"&amp;0)&gt;5,IF(MOD(COUNTIF(U$641:U808,1),7)=0,$C$4,0),0)</f>
        <v>97.6562578297643</v>
      </c>
      <c r="V506" s="81" cm="1">
        <f ca="1" t="array" ref="V506">IF(V808=1,OFFSET($Z$338,$B506,V$335-1)/SUMPRODUCT(--($D$335:$V$335=V$335),--($D808:$V808=1)),0)+SUM(V505)+IF(COUNTIF(V$641:V808,1)=1,5,0)+IF(COUNTIF(Z506:$Z506,"&gt;"&amp;0)&gt;5,IF(MOD(COUNTIF(V$641:V808,1),7)=0,$C$4,0),0)</f>
        <v>89.6984386404824</v>
      </c>
      <c r="W506" s="81" cm="1">
        <f ca="1" t="array" ref="W506">IF(W808=1,OFFSET($Z$338,$B506,W$335-1)/SUMPRODUCT(--($D$335:$V$335=W$335),--($D808:$V808=1)),0)+SUM(W505)+IF(COUNTIF(W$641:W808,1)=1,5,0)+IF(COUNTIF($Z506:AA506,"&gt;"&amp;0)&gt;5,IF(MOD(COUNTIF(W$641:W808,1),7)=0,$C$4,0),0)</f>
        <v>80.3425695255331</v>
      </c>
      <c r="X506" s="81" cm="1">
        <f ca="1" t="array" ref="X506">IF(X808=1,OFFSET($Z$338,$B506,X$335-1)/SUMPRODUCT(--($D$335:$V$335=X$335),--($D808:$V808=1)),0)+SUM(X505)+IF(COUNTIF(X$641:X808,1)=1,5,0)+IF(COUNTIF($Z506:AB506,"&gt;"&amp;0)&gt;5,IF(MOD(COUNTIF(X$641:X808,1),7)=0,$C$4,0),0)</f>
        <v>73.5789092348996</v>
      </c>
      <c r="Y506" s="81" cm="1">
        <f ca="1" t="array" ref="Y506">IF(Y808=1,OFFSET($Z$338,$B506,Y$335-1)/SUMPRODUCT(--($D$335:$V$335=Y$335),--($D808:$V808=1)),0)+SUM(Y505)+IF(COUNTIF(Y$641:Y808,1)=1,5,0)+IF(COUNTIF($Z506:AC506,"&gt;"&amp;0)&gt;5,IF(MOD(COUNTIF(Y$641:Y808,1),7)=0,$C$4,0),0)</f>
        <v>66.8152489442662</v>
      </c>
      <c r="Z506" s="82" cm="1">
        <f ca="1" t="array" ref="Z506">SUMPRODUCT(TRANSPOSE($AD506:$AJ506),OFFSET($L$10:$L$16,0,Z$335-1))</f>
        <v>0</v>
      </c>
      <c r="AA506" s="82" cm="1">
        <f ca="1" t="array" ref="AA506">SUMPRODUCT(TRANSPOSE($AD506:$AJ506),OFFSET($L$10:$L$16,0,AA$335-1))</f>
        <v>0</v>
      </c>
      <c r="AB506" s="82" cm="1">
        <f ca="1" t="array" ref="AB506">SUMPRODUCT(TRANSPOSE($AD506:$AJ506),OFFSET($L$10:$L$16,0,AB$335-1))</f>
        <v>0</v>
      </c>
      <c r="AC506" s="82" cm="1">
        <f ca="1" t="array" ref="AC506">SUMPRODUCT(TRANSPOSE($AD506:$AJ506),OFFSET($L$10:$L$16,0,AC$335-1))</f>
        <v>0</v>
      </c>
      <c r="AD506" s="83">
        <f ca="1" t="shared" ref="AD506:AJ506" si="659">AK506-AK505</f>
        <v>0</v>
      </c>
      <c r="AE506" s="83">
        <f ca="1" t="shared" si="659"/>
        <v>0</v>
      </c>
      <c r="AF506" s="83">
        <f ca="1" t="shared" si="659"/>
        <v>0</v>
      </c>
      <c r="AG506" s="83">
        <f ca="1" t="shared" si="659"/>
        <v>0</v>
      </c>
      <c r="AH506" s="83">
        <f ca="1" t="shared" si="659"/>
        <v>0</v>
      </c>
      <c r="AI506" s="83">
        <f ca="1" t="shared" si="659"/>
        <v>0</v>
      </c>
      <c r="AJ506" s="83">
        <f ca="1" t="shared" si="659"/>
        <v>0</v>
      </c>
      <c r="AK506" s="83">
        <f ca="1" t="shared" si="581"/>
        <v>450</v>
      </c>
      <c r="AL506" s="83">
        <f ca="1" t="shared" ref="AL506:AQ506" si="660">IF($C506&gt;OFFSET($Q$9,MATCH(AL$338,$AK$338:$AQ$338,0),0),OFFSET($P$9,MATCH(AL$338,$AK$338:$AQ$338,0),0),MAX(0,$C506-OFFSET($Q$9,RIGHT(AL$338,1)-1,0)))</f>
        <v>909</v>
      </c>
      <c r="AM506" s="83">
        <f ca="1" t="shared" si="660"/>
        <v>1818</v>
      </c>
      <c r="AN506" s="83">
        <f ca="1" t="shared" si="660"/>
        <v>2727</v>
      </c>
      <c r="AO506" s="83">
        <f ca="1" t="shared" si="660"/>
        <v>3636</v>
      </c>
      <c r="AP506" s="83">
        <f ca="1" t="shared" si="660"/>
        <v>4545</v>
      </c>
      <c r="AQ506" s="83">
        <f ca="1" t="shared" si="660"/>
        <v>0</v>
      </c>
    </row>
    <row r="507" ht="16.5" spans="2:43">
      <c r="B507" s="65">
        <v>169</v>
      </c>
      <c r="C507" s="80">
        <f t="shared" si="579"/>
        <v>19916</v>
      </c>
      <c r="D507" s="81" cm="1">
        <f ca="1" t="array" ref="D507">IF(D809=1,OFFSET($Z$338,$B507,D$335-1)/SUMPRODUCT(--($D$335:$V$335=D$335),--($D809:$V809=1)),0)+SUM(D506)+IF(COUNTIF(D$641:D809,1)=1,5,0)+IF(COUNTIF(E507:$Z507,"&gt;"&amp;0)&gt;5,IF(MOD(COUNTIF(D$641:D809,1),7)=0,$C$4,0),0)</f>
        <v>1238.82134856666</v>
      </c>
      <c r="E507" s="81" cm="1">
        <f ca="1" t="array" ref="E507">IF(E809=1,OFFSET($Z$338,$B507,E$335-1)/SUMPRODUCT(--($D$335:$V$335=E$335),--($D809:$V809=1)),0)+SUM(E506)+IF(COUNTIF(E$641:E809,1)=1,5,0)+IF(COUNTIF(F507:$Z507,"&gt;"&amp;0)&gt;5,IF(MOD(COUNTIF(E$641:E809,1),7)=0,$C$4,0),0)</f>
        <v>1238.82134856666</v>
      </c>
      <c r="F507" s="81" cm="1">
        <f ca="1" t="array" ref="F507">IF(F809=1,OFFSET($Z$338,$B507,F$335-1)/SUMPRODUCT(--($D$335:$V$335=F$335),--($D809:$V809=1)),0)+SUM(F506)+IF(COUNTIF(F$641:F809,1)=1,5,0)+IF(COUNTIF(G507:$Z507,"&gt;"&amp;0)&gt;5,IF(MOD(COUNTIF(F$641:F809,1),7)=0,$C$4,0),0)</f>
        <v>1238.82134856666</v>
      </c>
      <c r="G507" s="81" cm="1">
        <f ca="1" t="array" ref="G507">IF(G809=1,OFFSET($Z$338,$B507,G$335-1)/SUMPRODUCT(--($D$335:$V$335=G$335),--($D809:$V809=1)),0)+SUM(G506)+IF(COUNTIF(G$641:G809,1)=1,5,0)+IF(COUNTIF(H507:$Z507,"&gt;"&amp;0)&gt;5,IF(MOD(COUNTIF(G$641:G809,1),7)=0,$C$4,0),0)</f>
        <v>527.516666666668</v>
      </c>
      <c r="H507" s="81" cm="1">
        <f ca="1" t="array" ref="H507">IF(H809=1,OFFSET($Z$338,$B507,H$335-1)/SUMPRODUCT(--($D$335:$V$335=H$335),--($D809:$V809=1)),0)+SUM(H506)+IF(COUNTIF(H$641:H809,1)=1,5,0)+IF(COUNTIF(I507:$Z507,"&gt;"&amp;0)&gt;5,IF(MOD(COUNTIF(H$641:H809,1),7)=0,$C$4,0),0)</f>
        <v>527.516666666668</v>
      </c>
      <c r="I507" s="81" cm="1">
        <f ca="1" t="array" ref="I507">IF(I809=1,OFFSET($Z$338,$B507,I$335-1)/SUMPRODUCT(--($D$335:$V$335=I$335),--($D809:$V809=1)),0)+SUM(I506)+IF(COUNTIF(I$641:I809,1)=1,5,0)+IF(COUNTIF(J507:$Z507,"&gt;"&amp;0)&gt;5,IF(MOD(COUNTIF(I$641:I809,1),7)=0,$C$4,0),0)</f>
        <v>527.516666666668</v>
      </c>
      <c r="J507" s="81" cm="1">
        <f ca="1" t="array" ref="J507">IF(J809=1,OFFSET($Z$338,$B507,J$335-1)/SUMPRODUCT(--($D$335:$V$335=J$335),--($D809:$V809=1)),0)+SUM(J506)+IF(COUNTIF(J$641:J809,1)=1,5,0)+IF(COUNTIF(K507:$Z507,"&gt;"&amp;0)&gt;5,IF(MOD(COUNTIF(J$641:J809,1),7)=0,$C$4,0),0)</f>
        <v>527.516666666668</v>
      </c>
      <c r="K507" s="81" cm="1">
        <f ca="1" t="array" ref="K507">IF(K809=1,OFFSET($Z$338,$B507,K$335-1)/SUMPRODUCT(--($D$335:$V$335=K$335),--($D809:$V809=1)),0)+SUM(K506)+IF(COUNTIF(K$641:K809,1)=1,5,0)+IF(COUNTIF(L507:$Z507,"&gt;"&amp;0)&gt;5,IF(MOD(COUNTIF(K$641:K809,1),7)=0,$C$4,0),0)</f>
        <v>527.516666666668</v>
      </c>
      <c r="L507" s="81" cm="1">
        <f ca="1" t="array" ref="L507">IF(L809=1,OFFSET($Z$338,$B507,L$335-1)/SUMPRODUCT(--($D$335:$V$335=L$335),--($D809:$V809=1)),0)+SUM(L506)+IF(COUNTIF(L$641:L809,1)=1,5,0)+IF(COUNTIF(M507:$Z507,"&gt;"&amp;0)&gt;5,IF(MOD(COUNTIF(L$641:L809,1),7)=0,$C$4,0),0)</f>
        <v>520.816666666668</v>
      </c>
      <c r="M507" s="81" cm="1">
        <f ca="1" t="array" ref="M507">IF(M809=1,OFFSET($Z$338,$B507,M$335-1)/SUMPRODUCT(--($D$335:$V$335=M$335),--($D809:$V809=1)),0)+SUM(M506)+IF(COUNTIF(M$641:M809,1)=1,5,0)+IF(COUNTIF(N507:$Z507,"&gt;"&amp;0)&gt;5,IF(MOD(COUNTIF(M$641:M809,1),7)=0,$C$4,0),0)</f>
        <v>275.644107142858</v>
      </c>
      <c r="N507" s="81" cm="1">
        <f ca="1" t="array" ref="N507">IF(N809=1,OFFSET($Z$338,$B507,N$335-1)/SUMPRODUCT(--($D$335:$V$335=N$335),--($D809:$V809=1)),0)+SUM(N506)+IF(COUNTIF(N$641:N809,1)=1,5,0)+IF(COUNTIF(O507:$Z507,"&gt;"&amp;0)&gt;5,IF(MOD(COUNTIF(N$641:N809,1),7)=0,$C$4,0),0)</f>
        <v>262.919107142858</v>
      </c>
      <c r="O507" s="81" cm="1">
        <f ca="1" t="array" ref="O507">IF(O809=1,OFFSET($Z$338,$B507,O$335-1)/SUMPRODUCT(--($D$335:$V$335=O$335),--($D809:$V809=1)),0)+SUM(O506)+IF(COUNTIF(O$641:O809,1)=1,5,0)+IF(COUNTIF(P507:$Z507,"&gt;"&amp;0)&gt;5,IF(MOD(COUNTIF(O$641:O809,1),7)=0,$C$4,0),0)</f>
        <v>260.494107142858</v>
      </c>
      <c r="P507" s="81" cm="1">
        <f ca="1" t="array" ref="P507">IF(P809=1,OFFSET($Z$338,$B507,P$335-1)/SUMPRODUCT(--($D$335:$V$335=P$335),--($D809:$V809=1)),0)+SUM(P506)+IF(COUNTIF(P$641:P809,1)=1,5,0)+IF(COUNTIF(Q507:$Z507,"&gt;"&amp;0)&gt;5,IF(MOD(COUNTIF(P$641:P809,1),7)=0,$C$4,0),0)</f>
        <v>257.560773809524</v>
      </c>
      <c r="Q507" s="81" cm="1">
        <f ca="1" t="array" ref="Q507">IF(Q809=1,OFFSET($Z$338,$B507,Q$335-1)/SUMPRODUCT(--($D$335:$V$335=Q$335),--($D809:$V809=1)),0)+SUM(Q506)+IF(COUNTIF(Q$641:Q809,1)=1,5,0)+IF(COUNTIF(R507:$Z507,"&gt;"&amp;0)&gt;5,IF(MOD(COUNTIF(Q$641:Q809,1),7)=0,$C$4,0),0)</f>
        <v>256.654523809524</v>
      </c>
      <c r="R507" s="81" cm="1">
        <f ca="1" t="array" ref="R507">IF(R809=1,OFFSET($Z$338,$B507,R$335-1)/SUMPRODUCT(--($D$335:$V$335=R$335),--($D809:$V809=1)),0)+SUM(R506)+IF(COUNTIF(R$641:R809,1)=1,5,0)+IF(COUNTIF(S507:$Z507,"&gt;"&amp;0)&gt;5,IF(MOD(COUNTIF(R$641:R809,1),7)=0,$C$4,0),0)</f>
        <v>231.759523809524</v>
      </c>
      <c r="S507" s="81" cm="1">
        <f ca="1" t="array" ref="S507">IF(S809=1,OFFSET($Z$338,$B507,S$335-1)/SUMPRODUCT(--($D$335:$V$335=S$335),--($D809:$V809=1)),0)+SUM(S506)+IF(COUNTIF(S$641:S809,1)=1,5,0)+IF(COUNTIF(T507:$Z507,"&gt;"&amp;0)&gt;5,IF(MOD(COUNTIF(S$641:S809,1),7)=0,$C$4,0),0)</f>
        <v>222.592857142857</v>
      </c>
      <c r="T507" s="81" cm="1">
        <f ca="1" t="array" ref="T507">IF(T809=1,OFFSET($Z$338,$B507,T$335-1)/SUMPRODUCT(--($D$335:$V$335=T$335),--($D809:$V809=1)),0)+SUM(T506)+IF(COUNTIF(T$641:T809,1)=1,5,0)+IF(COUNTIF(U507:$Z507,"&gt;"&amp;0)&gt;5,IF(MOD(COUNTIF(T$641:T809,1),7)=0,$C$4,0),0)</f>
        <v>137.656257829764</v>
      </c>
      <c r="U507" s="81" cm="1">
        <f ca="1" t="array" ref="U507">IF(U809=1,OFFSET($Z$338,$B507,U$335-1)/SUMPRODUCT(--($D$335:$V$335=U$335),--($D809:$V809=1)),0)+SUM(U506)+IF(COUNTIF(U$641:U809,1)=1,5,0)+IF(COUNTIF(V507:$Z507,"&gt;"&amp;0)&gt;5,IF(MOD(COUNTIF(U$641:U809,1),7)=0,$C$4,0),0)</f>
        <v>97.6562578297643</v>
      </c>
      <c r="V507" s="81" cm="1">
        <f ca="1" t="array" ref="V507">IF(V809=1,OFFSET($Z$338,$B507,V$335-1)/SUMPRODUCT(--($D$335:$V$335=V$335),--($D809:$V809=1)),0)+SUM(V506)+IF(COUNTIF(V$641:V809,1)=1,5,0)+IF(COUNTIF(Z507:$Z507,"&gt;"&amp;0)&gt;5,IF(MOD(COUNTIF(V$641:V809,1),7)=0,$C$4,0),0)</f>
        <v>89.6984386404824</v>
      </c>
      <c r="W507" s="81" cm="1">
        <f ca="1" t="array" ref="W507">IF(W809=1,OFFSET($Z$338,$B507,W$335-1)/SUMPRODUCT(--($D$335:$V$335=W$335),--($D809:$V809=1)),0)+SUM(W506)+IF(COUNTIF(W$641:W809,1)=1,5,0)+IF(COUNTIF($Z507:AA507,"&gt;"&amp;0)&gt;5,IF(MOD(COUNTIF(W$641:W809,1),7)=0,$C$4,0),0)</f>
        <v>80.3425695255331</v>
      </c>
      <c r="X507" s="81" cm="1">
        <f ca="1" t="array" ref="X507">IF(X809=1,OFFSET($Z$338,$B507,X$335-1)/SUMPRODUCT(--($D$335:$V$335=X$335),--($D809:$V809=1)),0)+SUM(X506)+IF(COUNTIF(X$641:X809,1)=1,5,0)+IF(COUNTIF($Z507:AB507,"&gt;"&amp;0)&gt;5,IF(MOD(COUNTIF(X$641:X809,1),7)=0,$C$4,0),0)</f>
        <v>73.5789092348996</v>
      </c>
      <c r="Y507" s="81" cm="1">
        <f ca="1" t="array" ref="Y507">IF(Y809=1,OFFSET($Z$338,$B507,Y$335-1)/SUMPRODUCT(--($D$335:$V$335=Y$335),--($D809:$V809=1)),0)+SUM(Y506)+IF(COUNTIF(Y$641:Y809,1)=1,5,0)+IF(COUNTIF($Z507:AC507,"&gt;"&amp;0)&gt;5,IF(MOD(COUNTIF(Y$641:Y809,1),7)=0,$C$4,0),0)</f>
        <v>66.8152489442662</v>
      </c>
      <c r="Z507" s="82" cm="1">
        <f ca="1" t="array" ref="Z507">SUMPRODUCT(TRANSPOSE($AD507:$AJ507),OFFSET($L$10:$L$16,0,Z$335-1))</f>
        <v>0</v>
      </c>
      <c r="AA507" s="82" cm="1">
        <f ca="1" t="array" ref="AA507">SUMPRODUCT(TRANSPOSE($AD507:$AJ507),OFFSET($L$10:$L$16,0,AA$335-1))</f>
        <v>0</v>
      </c>
      <c r="AB507" s="82" cm="1">
        <f ca="1" t="array" ref="AB507">SUMPRODUCT(TRANSPOSE($AD507:$AJ507),OFFSET($L$10:$L$16,0,AB$335-1))</f>
        <v>0</v>
      </c>
      <c r="AC507" s="82" cm="1">
        <f ca="1" t="array" ref="AC507">SUMPRODUCT(TRANSPOSE($AD507:$AJ507),OFFSET($L$10:$L$16,0,AC$335-1))</f>
        <v>0</v>
      </c>
      <c r="AD507" s="83">
        <f ca="1" t="shared" ref="AD507:AJ507" si="661">AK507-AK506</f>
        <v>0</v>
      </c>
      <c r="AE507" s="83">
        <f ca="1" t="shared" si="661"/>
        <v>0</v>
      </c>
      <c r="AF507" s="83">
        <f ca="1" t="shared" si="661"/>
        <v>0</v>
      </c>
      <c r="AG507" s="83">
        <f ca="1" t="shared" si="661"/>
        <v>0</v>
      </c>
      <c r="AH507" s="83">
        <f ca="1" t="shared" si="661"/>
        <v>0</v>
      </c>
      <c r="AI507" s="83">
        <f ca="1" t="shared" si="661"/>
        <v>0</v>
      </c>
      <c r="AJ507" s="83">
        <f ca="1" t="shared" si="661"/>
        <v>0</v>
      </c>
      <c r="AK507" s="83">
        <f ca="1" t="shared" si="581"/>
        <v>450</v>
      </c>
      <c r="AL507" s="83">
        <f ca="1" t="shared" ref="AL507:AQ507" si="662">IF($C507&gt;OFFSET($Q$9,MATCH(AL$338,$AK$338:$AQ$338,0),0),OFFSET($P$9,MATCH(AL$338,$AK$338:$AQ$338,0),0),MAX(0,$C507-OFFSET($Q$9,RIGHT(AL$338,1)-1,0)))</f>
        <v>909</v>
      </c>
      <c r="AM507" s="83">
        <f ca="1" t="shared" si="662"/>
        <v>1818</v>
      </c>
      <c r="AN507" s="83">
        <f ca="1" t="shared" si="662"/>
        <v>2727</v>
      </c>
      <c r="AO507" s="83">
        <f ca="1" t="shared" si="662"/>
        <v>3636</v>
      </c>
      <c r="AP507" s="83">
        <f ca="1" t="shared" si="662"/>
        <v>4545</v>
      </c>
      <c r="AQ507" s="83">
        <f ca="1" t="shared" si="662"/>
        <v>0</v>
      </c>
    </row>
    <row r="508" ht="16.5" spans="2:43">
      <c r="B508" s="65">
        <v>170</v>
      </c>
      <c r="C508" s="80">
        <f t="shared" si="579"/>
        <v>20026</v>
      </c>
      <c r="D508" s="81" cm="1">
        <f ca="1" t="array" ref="D508">IF(D810=1,OFFSET($Z$338,$B508,D$335-1)/SUMPRODUCT(--($D$335:$V$335=D$335),--($D810:$V810=1)),0)+SUM(D507)+IF(COUNTIF(D$641:D810,1)=1,5,0)+IF(COUNTIF(E508:$Z508,"&gt;"&amp;0)&gt;5,IF(MOD(COUNTIF(D$641:D810,1),7)=0,$C$4,0),0)</f>
        <v>1238.82134856666</v>
      </c>
      <c r="E508" s="81" cm="1">
        <f ca="1" t="array" ref="E508">IF(E810=1,OFFSET($Z$338,$B508,E$335-1)/SUMPRODUCT(--($D$335:$V$335=E$335),--($D810:$V810=1)),0)+SUM(E507)+IF(COUNTIF(E$641:E810,1)=1,5,0)+IF(COUNTIF(F508:$Z508,"&gt;"&amp;0)&gt;5,IF(MOD(COUNTIF(E$641:E810,1),7)=0,$C$4,0),0)</f>
        <v>1238.82134856666</v>
      </c>
      <c r="F508" s="81" cm="1">
        <f ca="1" t="array" ref="F508">IF(F810=1,OFFSET($Z$338,$B508,F$335-1)/SUMPRODUCT(--($D$335:$V$335=F$335),--($D810:$V810=1)),0)+SUM(F507)+IF(COUNTIF(F$641:F810,1)=1,5,0)+IF(COUNTIF(G508:$Z508,"&gt;"&amp;0)&gt;5,IF(MOD(COUNTIF(F$641:F810,1),7)=0,$C$4,0),0)</f>
        <v>1238.82134856666</v>
      </c>
      <c r="G508" s="81" cm="1">
        <f ca="1" t="array" ref="G508">IF(G810=1,OFFSET($Z$338,$B508,G$335-1)/SUMPRODUCT(--($D$335:$V$335=G$335),--($D810:$V810=1)),0)+SUM(G507)+IF(COUNTIF(G$641:G810,1)=1,5,0)+IF(COUNTIF(H508:$Z508,"&gt;"&amp;0)&gt;5,IF(MOD(COUNTIF(G$641:G810,1),7)=0,$C$4,0),0)</f>
        <v>527.516666666668</v>
      </c>
      <c r="H508" s="81" cm="1">
        <f ca="1" t="array" ref="H508">IF(H810=1,OFFSET($Z$338,$B508,H$335-1)/SUMPRODUCT(--($D$335:$V$335=H$335),--($D810:$V810=1)),0)+SUM(H507)+IF(COUNTIF(H$641:H810,1)=1,5,0)+IF(COUNTIF(I508:$Z508,"&gt;"&amp;0)&gt;5,IF(MOD(COUNTIF(H$641:H810,1),7)=0,$C$4,0),0)</f>
        <v>527.516666666668</v>
      </c>
      <c r="I508" s="81" cm="1">
        <f ca="1" t="array" ref="I508">IF(I810=1,OFFSET($Z$338,$B508,I$335-1)/SUMPRODUCT(--($D$335:$V$335=I$335),--($D810:$V810=1)),0)+SUM(I507)+IF(COUNTIF(I$641:I810,1)=1,5,0)+IF(COUNTIF(J508:$Z508,"&gt;"&amp;0)&gt;5,IF(MOD(COUNTIF(I$641:I810,1),7)=0,$C$4,0),0)</f>
        <v>527.516666666668</v>
      </c>
      <c r="J508" s="81" cm="1">
        <f ca="1" t="array" ref="J508">IF(J810=1,OFFSET($Z$338,$B508,J$335-1)/SUMPRODUCT(--($D$335:$V$335=J$335),--($D810:$V810=1)),0)+SUM(J507)+IF(COUNTIF(J$641:J810,1)=1,5,0)+IF(COUNTIF(K508:$Z508,"&gt;"&amp;0)&gt;5,IF(MOD(COUNTIF(J$641:J810,1),7)=0,$C$4,0),0)</f>
        <v>527.516666666668</v>
      </c>
      <c r="K508" s="81" cm="1">
        <f ca="1" t="array" ref="K508">IF(K810=1,OFFSET($Z$338,$B508,K$335-1)/SUMPRODUCT(--($D$335:$V$335=K$335),--($D810:$V810=1)),0)+SUM(K507)+IF(COUNTIF(K$641:K810,1)=1,5,0)+IF(COUNTIF(L508:$Z508,"&gt;"&amp;0)&gt;5,IF(MOD(COUNTIF(K$641:K810,1),7)=0,$C$4,0),0)</f>
        <v>527.516666666668</v>
      </c>
      <c r="L508" s="81" cm="1">
        <f ca="1" t="array" ref="L508">IF(L810=1,OFFSET($Z$338,$B508,L$335-1)/SUMPRODUCT(--($D$335:$V$335=L$335),--($D810:$V810=1)),0)+SUM(L507)+IF(COUNTIF(L$641:L810,1)=1,5,0)+IF(COUNTIF(M508:$Z508,"&gt;"&amp;0)&gt;5,IF(MOD(COUNTIF(L$641:L810,1),7)=0,$C$4,0),0)</f>
        <v>520.816666666668</v>
      </c>
      <c r="M508" s="81" cm="1">
        <f ca="1" t="array" ref="M508">IF(M810=1,OFFSET($Z$338,$B508,M$335-1)/SUMPRODUCT(--($D$335:$V$335=M$335),--($D810:$V810=1)),0)+SUM(M507)+IF(COUNTIF(M$641:M810,1)=1,5,0)+IF(COUNTIF(N508:$Z508,"&gt;"&amp;0)&gt;5,IF(MOD(COUNTIF(M$641:M810,1),7)=0,$C$4,0),0)</f>
        <v>275.644107142858</v>
      </c>
      <c r="N508" s="81" cm="1">
        <f ca="1" t="array" ref="N508">IF(N810=1,OFFSET($Z$338,$B508,N$335-1)/SUMPRODUCT(--($D$335:$V$335=N$335),--($D810:$V810=1)),0)+SUM(N507)+IF(COUNTIF(N$641:N810,1)=1,5,0)+IF(COUNTIF(O508:$Z508,"&gt;"&amp;0)&gt;5,IF(MOD(COUNTIF(N$641:N810,1),7)=0,$C$4,0),0)</f>
        <v>267.919107142858</v>
      </c>
      <c r="O508" s="81" cm="1">
        <f ca="1" t="array" ref="O508">IF(O810=1,OFFSET($Z$338,$B508,O$335-1)/SUMPRODUCT(--($D$335:$V$335=O$335),--($D810:$V810=1)),0)+SUM(O507)+IF(COUNTIF(O$641:O810,1)=1,5,0)+IF(COUNTIF(P508:$Z508,"&gt;"&amp;0)&gt;5,IF(MOD(COUNTIF(O$641:O810,1),7)=0,$C$4,0),0)</f>
        <v>260.494107142858</v>
      </c>
      <c r="P508" s="81" cm="1">
        <f ca="1" t="array" ref="P508">IF(P810=1,OFFSET($Z$338,$B508,P$335-1)/SUMPRODUCT(--($D$335:$V$335=P$335),--($D810:$V810=1)),0)+SUM(P507)+IF(COUNTIF(P$641:P810,1)=1,5,0)+IF(COUNTIF(Q508:$Z508,"&gt;"&amp;0)&gt;5,IF(MOD(COUNTIF(P$641:P810,1),7)=0,$C$4,0),0)</f>
        <v>257.560773809524</v>
      </c>
      <c r="Q508" s="81" cm="1">
        <f ca="1" t="array" ref="Q508">IF(Q810=1,OFFSET($Z$338,$B508,Q$335-1)/SUMPRODUCT(--($D$335:$V$335=Q$335),--($D810:$V810=1)),0)+SUM(Q507)+IF(COUNTIF(Q$641:Q810,1)=1,5,0)+IF(COUNTIF(R508:$Z508,"&gt;"&amp;0)&gt;5,IF(MOD(COUNTIF(Q$641:Q810,1),7)=0,$C$4,0),0)</f>
        <v>256.654523809524</v>
      </c>
      <c r="R508" s="81" cm="1">
        <f ca="1" t="array" ref="R508">IF(R810=1,OFFSET($Z$338,$B508,R$335-1)/SUMPRODUCT(--($D$335:$V$335=R$335),--($D810:$V810=1)),0)+SUM(R507)+IF(COUNTIF(R$641:R810,1)=1,5,0)+IF(COUNTIF(S508:$Z508,"&gt;"&amp;0)&gt;5,IF(MOD(COUNTIF(R$641:R810,1),7)=0,$C$4,0),0)</f>
        <v>231.759523809524</v>
      </c>
      <c r="S508" s="81" cm="1">
        <f ca="1" t="array" ref="S508">IF(S810=1,OFFSET($Z$338,$B508,S$335-1)/SUMPRODUCT(--($D$335:$V$335=S$335),--($D810:$V810=1)),0)+SUM(S507)+IF(COUNTIF(S$641:S810,1)=1,5,0)+IF(COUNTIF(T508:$Z508,"&gt;"&amp;0)&gt;5,IF(MOD(COUNTIF(S$641:S810,1),7)=0,$C$4,0),0)</f>
        <v>222.592857142857</v>
      </c>
      <c r="T508" s="81" cm="1">
        <f ca="1" t="array" ref="T508">IF(T810=1,OFFSET($Z$338,$B508,T$335-1)/SUMPRODUCT(--($D$335:$V$335=T$335),--($D810:$V810=1)),0)+SUM(T507)+IF(COUNTIF(T$641:T810,1)=1,5,0)+IF(COUNTIF(U508:$Z508,"&gt;"&amp;0)&gt;5,IF(MOD(COUNTIF(T$641:T810,1),7)=0,$C$4,0),0)</f>
        <v>137.656257829764</v>
      </c>
      <c r="U508" s="81" cm="1">
        <f ca="1" t="array" ref="U508">IF(U810=1,OFFSET($Z$338,$B508,U$335-1)/SUMPRODUCT(--($D$335:$V$335=U$335),--($D810:$V810=1)),0)+SUM(U507)+IF(COUNTIF(U$641:U810,1)=1,5,0)+IF(COUNTIF(V508:$Z508,"&gt;"&amp;0)&gt;5,IF(MOD(COUNTIF(U$641:U810,1),7)=0,$C$4,0),0)</f>
        <v>97.6562578297643</v>
      </c>
      <c r="V508" s="81" cm="1">
        <f ca="1" t="array" ref="V508">IF(V810=1,OFFSET($Z$338,$B508,V$335-1)/SUMPRODUCT(--($D$335:$V$335=V$335),--($D810:$V810=1)),0)+SUM(V507)+IF(COUNTIF(V$641:V810,1)=1,5,0)+IF(COUNTIF(Z508:$Z508,"&gt;"&amp;0)&gt;5,IF(MOD(COUNTIF(V$641:V810,1),7)=0,$C$4,0),0)</f>
        <v>89.6984386404824</v>
      </c>
      <c r="W508" s="81" cm="1">
        <f ca="1" t="array" ref="W508">IF(W810=1,OFFSET($Z$338,$B508,W$335-1)/SUMPRODUCT(--($D$335:$V$335=W$335),--($D810:$V810=1)),0)+SUM(W507)+IF(COUNTIF(W$641:W810,1)=1,5,0)+IF(COUNTIF($Z508:AA508,"&gt;"&amp;0)&gt;5,IF(MOD(COUNTIF(W$641:W810,1),7)=0,$C$4,0),0)</f>
        <v>80.3425695255331</v>
      </c>
      <c r="X508" s="81" cm="1">
        <f ca="1" t="array" ref="X508">IF(X810=1,OFFSET($Z$338,$B508,X$335-1)/SUMPRODUCT(--($D$335:$V$335=X$335),--($D810:$V810=1)),0)+SUM(X507)+IF(COUNTIF(X$641:X810,1)=1,5,0)+IF(COUNTIF($Z508:AB508,"&gt;"&amp;0)&gt;5,IF(MOD(COUNTIF(X$641:X810,1),7)=0,$C$4,0),0)</f>
        <v>73.5789092348996</v>
      </c>
      <c r="Y508" s="81" cm="1">
        <f ca="1" t="array" ref="Y508">IF(Y810=1,OFFSET($Z$338,$B508,Y$335-1)/SUMPRODUCT(--($D$335:$V$335=Y$335),--($D810:$V810=1)),0)+SUM(Y507)+IF(COUNTIF(Y$641:Y810,1)=1,5,0)+IF(COUNTIF($Z508:AC508,"&gt;"&amp;0)&gt;5,IF(MOD(COUNTIF(Y$641:Y810,1),7)=0,$C$4,0),0)</f>
        <v>66.8152489442662</v>
      </c>
      <c r="Z508" s="82" cm="1">
        <f ca="1" t="array" ref="Z508">SUMPRODUCT(TRANSPOSE($AD508:$AJ508),OFFSET($L$10:$L$16,0,Z$335-1))</f>
        <v>0</v>
      </c>
      <c r="AA508" s="82" cm="1">
        <f ca="1" t="array" ref="AA508">SUMPRODUCT(TRANSPOSE($AD508:$AJ508),OFFSET($L$10:$L$16,0,AA$335-1))</f>
        <v>0</v>
      </c>
      <c r="AB508" s="82" cm="1">
        <f ca="1" t="array" ref="AB508">SUMPRODUCT(TRANSPOSE($AD508:$AJ508),OFFSET($L$10:$L$16,0,AB$335-1))</f>
        <v>0</v>
      </c>
      <c r="AC508" s="82" cm="1">
        <f ca="1" t="array" ref="AC508">SUMPRODUCT(TRANSPOSE($AD508:$AJ508),OFFSET($L$10:$L$16,0,AC$335-1))</f>
        <v>0</v>
      </c>
      <c r="AD508" s="83">
        <f ca="1" t="shared" ref="AD508:AJ508" si="663">AK508-AK507</f>
        <v>0</v>
      </c>
      <c r="AE508" s="83">
        <f ca="1" t="shared" si="663"/>
        <v>0</v>
      </c>
      <c r="AF508" s="83">
        <f ca="1" t="shared" si="663"/>
        <v>0</v>
      </c>
      <c r="AG508" s="83">
        <f ca="1" t="shared" si="663"/>
        <v>0</v>
      </c>
      <c r="AH508" s="83">
        <f ca="1" t="shared" si="663"/>
        <v>0</v>
      </c>
      <c r="AI508" s="83">
        <f ca="1" t="shared" si="663"/>
        <v>0</v>
      </c>
      <c r="AJ508" s="83">
        <f ca="1" t="shared" si="663"/>
        <v>0</v>
      </c>
      <c r="AK508" s="83">
        <f ca="1" t="shared" si="581"/>
        <v>450</v>
      </c>
      <c r="AL508" s="83">
        <f ca="1" t="shared" ref="AL508:AQ508" si="664">IF($C508&gt;OFFSET($Q$9,MATCH(AL$338,$AK$338:$AQ$338,0),0),OFFSET($P$9,MATCH(AL$338,$AK$338:$AQ$338,0),0),MAX(0,$C508-OFFSET($Q$9,RIGHT(AL$338,1)-1,0)))</f>
        <v>909</v>
      </c>
      <c r="AM508" s="83">
        <f ca="1" t="shared" si="664"/>
        <v>1818</v>
      </c>
      <c r="AN508" s="83">
        <f ca="1" t="shared" si="664"/>
        <v>2727</v>
      </c>
      <c r="AO508" s="83">
        <f ca="1" t="shared" si="664"/>
        <v>3636</v>
      </c>
      <c r="AP508" s="83">
        <f ca="1" t="shared" si="664"/>
        <v>4545</v>
      </c>
      <c r="AQ508" s="83">
        <f ca="1" t="shared" si="664"/>
        <v>0</v>
      </c>
    </row>
    <row r="509" ht="16.5" spans="2:43">
      <c r="B509" s="65">
        <v>171</v>
      </c>
      <c r="C509" s="80">
        <f t="shared" si="579"/>
        <v>20136</v>
      </c>
      <c r="D509" s="81" cm="1">
        <f ca="1" t="array" ref="D509">IF(D811=1,OFFSET($Z$338,$B509,D$335-1)/SUMPRODUCT(--($D$335:$V$335=D$335),--($D811:$V811=1)),0)+SUM(D508)+IF(COUNTIF(D$641:D811,1)=1,5,0)+IF(COUNTIF(E509:$Z509,"&gt;"&amp;0)&gt;5,IF(MOD(COUNTIF(D$641:D811,1),7)=0,$C$4,0),0)</f>
        <v>1238.82134856666</v>
      </c>
      <c r="E509" s="81" cm="1">
        <f ca="1" t="array" ref="E509">IF(E811=1,OFFSET($Z$338,$B509,E$335-1)/SUMPRODUCT(--($D$335:$V$335=E$335),--($D811:$V811=1)),0)+SUM(E508)+IF(COUNTIF(E$641:E811,1)=1,5,0)+IF(COUNTIF(F509:$Z509,"&gt;"&amp;0)&gt;5,IF(MOD(COUNTIF(E$641:E811,1),7)=0,$C$4,0),0)</f>
        <v>1238.82134856666</v>
      </c>
      <c r="F509" s="81" cm="1">
        <f ca="1" t="array" ref="F509">IF(F811=1,OFFSET($Z$338,$B509,F$335-1)/SUMPRODUCT(--($D$335:$V$335=F$335),--($D811:$V811=1)),0)+SUM(F508)+IF(COUNTIF(F$641:F811,1)=1,5,0)+IF(COUNTIF(G509:$Z509,"&gt;"&amp;0)&gt;5,IF(MOD(COUNTIF(F$641:F811,1),7)=0,$C$4,0),0)</f>
        <v>1238.82134856666</v>
      </c>
      <c r="G509" s="81" cm="1">
        <f ca="1" t="array" ref="G509">IF(G811=1,OFFSET($Z$338,$B509,G$335-1)/SUMPRODUCT(--($D$335:$V$335=G$335),--($D811:$V811=1)),0)+SUM(G508)+IF(COUNTIF(G$641:G811,1)=1,5,0)+IF(COUNTIF(H509:$Z509,"&gt;"&amp;0)&gt;5,IF(MOD(COUNTIF(G$641:G811,1),7)=0,$C$4,0),0)</f>
        <v>527.516666666668</v>
      </c>
      <c r="H509" s="81" cm="1">
        <f ca="1" t="array" ref="H509">IF(H811=1,OFFSET($Z$338,$B509,H$335-1)/SUMPRODUCT(--($D$335:$V$335=H$335),--($D811:$V811=1)),0)+SUM(H508)+IF(COUNTIF(H$641:H811,1)=1,5,0)+IF(COUNTIF(I509:$Z509,"&gt;"&amp;0)&gt;5,IF(MOD(COUNTIF(H$641:H811,1),7)=0,$C$4,0),0)</f>
        <v>527.516666666668</v>
      </c>
      <c r="I509" s="81" cm="1">
        <f ca="1" t="array" ref="I509">IF(I811=1,OFFSET($Z$338,$B509,I$335-1)/SUMPRODUCT(--($D$335:$V$335=I$335),--($D811:$V811=1)),0)+SUM(I508)+IF(COUNTIF(I$641:I811,1)=1,5,0)+IF(COUNTIF(J509:$Z509,"&gt;"&amp;0)&gt;5,IF(MOD(COUNTIF(I$641:I811,1),7)=0,$C$4,0),0)</f>
        <v>527.516666666668</v>
      </c>
      <c r="J509" s="81" cm="1">
        <f ca="1" t="array" ref="J509">IF(J811=1,OFFSET($Z$338,$B509,J$335-1)/SUMPRODUCT(--($D$335:$V$335=J$335),--($D811:$V811=1)),0)+SUM(J508)+IF(COUNTIF(J$641:J811,1)=1,5,0)+IF(COUNTIF(K509:$Z509,"&gt;"&amp;0)&gt;5,IF(MOD(COUNTIF(J$641:J811,1),7)=0,$C$4,0),0)</f>
        <v>527.516666666668</v>
      </c>
      <c r="K509" s="81" cm="1">
        <f ca="1" t="array" ref="K509">IF(K811=1,OFFSET($Z$338,$B509,K$335-1)/SUMPRODUCT(--($D$335:$V$335=K$335),--($D811:$V811=1)),0)+SUM(K508)+IF(COUNTIF(K$641:K811,1)=1,5,0)+IF(COUNTIF(L509:$Z509,"&gt;"&amp;0)&gt;5,IF(MOD(COUNTIF(K$641:K811,1),7)=0,$C$4,0),0)</f>
        <v>527.516666666668</v>
      </c>
      <c r="L509" s="81" cm="1">
        <f ca="1" t="array" ref="L509">IF(L811=1,OFFSET($Z$338,$B509,L$335-1)/SUMPRODUCT(--($D$335:$V$335=L$335),--($D811:$V811=1)),0)+SUM(L508)+IF(COUNTIF(L$641:L811,1)=1,5,0)+IF(COUNTIF(M509:$Z509,"&gt;"&amp;0)&gt;5,IF(MOD(COUNTIF(L$641:L811,1),7)=0,$C$4,0),0)</f>
        <v>520.816666666668</v>
      </c>
      <c r="M509" s="81" cm="1">
        <f ca="1" t="array" ref="M509">IF(M811=1,OFFSET($Z$338,$B509,M$335-1)/SUMPRODUCT(--($D$335:$V$335=M$335),--($D811:$V811=1)),0)+SUM(M508)+IF(COUNTIF(M$641:M811,1)=1,5,0)+IF(COUNTIF(N509:$Z509,"&gt;"&amp;0)&gt;5,IF(MOD(COUNTIF(M$641:M811,1),7)=0,$C$4,0),0)</f>
        <v>275.644107142858</v>
      </c>
      <c r="N509" s="81" cm="1">
        <f ca="1" t="array" ref="N509">IF(N811=1,OFFSET($Z$338,$B509,N$335-1)/SUMPRODUCT(--($D$335:$V$335=N$335),--($D811:$V811=1)),0)+SUM(N508)+IF(COUNTIF(N$641:N811,1)=1,5,0)+IF(COUNTIF(O509:$Z509,"&gt;"&amp;0)&gt;5,IF(MOD(COUNTIF(N$641:N811,1),7)=0,$C$4,0),0)</f>
        <v>267.919107142858</v>
      </c>
      <c r="O509" s="81" cm="1">
        <f ca="1" t="array" ref="O509">IF(O811=1,OFFSET($Z$338,$B509,O$335-1)/SUMPRODUCT(--($D$335:$V$335=O$335),--($D811:$V811=1)),0)+SUM(O508)+IF(COUNTIF(O$641:O811,1)=1,5,0)+IF(COUNTIF(P509:$Z509,"&gt;"&amp;0)&gt;5,IF(MOD(COUNTIF(O$641:O811,1),7)=0,$C$4,0),0)</f>
        <v>265.494107142858</v>
      </c>
      <c r="P509" s="81" cm="1">
        <f ca="1" t="array" ref="P509">IF(P811=1,OFFSET($Z$338,$B509,P$335-1)/SUMPRODUCT(--($D$335:$V$335=P$335),--($D811:$V811=1)),0)+SUM(P508)+IF(COUNTIF(P$641:P811,1)=1,5,0)+IF(COUNTIF(Q509:$Z509,"&gt;"&amp;0)&gt;5,IF(MOD(COUNTIF(P$641:P811,1),7)=0,$C$4,0),0)</f>
        <v>257.560773809524</v>
      </c>
      <c r="Q509" s="81" cm="1">
        <f ca="1" t="array" ref="Q509">IF(Q811=1,OFFSET($Z$338,$B509,Q$335-1)/SUMPRODUCT(--($D$335:$V$335=Q$335),--($D811:$V811=1)),0)+SUM(Q508)+IF(COUNTIF(Q$641:Q811,1)=1,5,0)+IF(COUNTIF(R509:$Z509,"&gt;"&amp;0)&gt;5,IF(MOD(COUNTIF(Q$641:Q811,1),7)=0,$C$4,0),0)</f>
        <v>256.654523809524</v>
      </c>
      <c r="R509" s="81" cm="1">
        <f ca="1" t="array" ref="R509">IF(R811=1,OFFSET($Z$338,$B509,R$335-1)/SUMPRODUCT(--($D$335:$V$335=R$335),--($D811:$V811=1)),0)+SUM(R508)+IF(COUNTIF(R$641:R811,1)=1,5,0)+IF(COUNTIF(S509:$Z509,"&gt;"&amp;0)&gt;5,IF(MOD(COUNTIF(R$641:R811,1),7)=0,$C$4,0),0)</f>
        <v>231.759523809524</v>
      </c>
      <c r="S509" s="81" cm="1">
        <f ca="1" t="array" ref="S509">IF(S811=1,OFFSET($Z$338,$B509,S$335-1)/SUMPRODUCT(--($D$335:$V$335=S$335),--($D811:$V811=1)),0)+SUM(S508)+IF(COUNTIF(S$641:S811,1)=1,5,0)+IF(COUNTIF(T509:$Z509,"&gt;"&amp;0)&gt;5,IF(MOD(COUNTIF(S$641:S811,1),7)=0,$C$4,0),0)</f>
        <v>222.592857142857</v>
      </c>
      <c r="T509" s="81" cm="1">
        <f ca="1" t="array" ref="T509">IF(T811=1,OFFSET($Z$338,$B509,T$335-1)/SUMPRODUCT(--($D$335:$V$335=T$335),--($D811:$V811=1)),0)+SUM(T508)+IF(COUNTIF(T$641:T811,1)=1,5,0)+IF(COUNTIF(U509:$Z509,"&gt;"&amp;0)&gt;5,IF(MOD(COUNTIF(T$641:T811,1),7)=0,$C$4,0),0)</f>
        <v>137.656257829764</v>
      </c>
      <c r="U509" s="81" cm="1">
        <f ca="1" t="array" ref="U509">IF(U811=1,OFFSET($Z$338,$B509,U$335-1)/SUMPRODUCT(--($D$335:$V$335=U$335),--($D811:$V811=1)),0)+SUM(U508)+IF(COUNTIF(U$641:U811,1)=1,5,0)+IF(COUNTIF(V509:$Z509,"&gt;"&amp;0)&gt;5,IF(MOD(COUNTIF(U$641:U811,1),7)=0,$C$4,0),0)</f>
        <v>97.6562578297643</v>
      </c>
      <c r="V509" s="81" cm="1">
        <f ca="1" t="array" ref="V509">IF(V811=1,OFFSET($Z$338,$B509,V$335-1)/SUMPRODUCT(--($D$335:$V$335=V$335),--($D811:$V811=1)),0)+SUM(V508)+IF(COUNTIF(V$641:V811,1)=1,5,0)+IF(COUNTIF(Z509:$Z509,"&gt;"&amp;0)&gt;5,IF(MOD(COUNTIF(V$641:V811,1),7)=0,$C$4,0),0)</f>
        <v>89.6984386404824</v>
      </c>
      <c r="W509" s="81" cm="1">
        <f ca="1" t="array" ref="W509">IF(W811=1,OFFSET($Z$338,$B509,W$335-1)/SUMPRODUCT(--($D$335:$V$335=W$335),--($D811:$V811=1)),0)+SUM(W508)+IF(COUNTIF(W$641:W811,1)=1,5,0)+IF(COUNTIF($Z509:AA509,"&gt;"&amp;0)&gt;5,IF(MOD(COUNTIF(W$641:W811,1),7)=0,$C$4,0),0)</f>
        <v>80.3425695255331</v>
      </c>
      <c r="X509" s="81" cm="1">
        <f ca="1" t="array" ref="X509">IF(X811=1,OFFSET($Z$338,$B509,X$335-1)/SUMPRODUCT(--($D$335:$V$335=X$335),--($D811:$V811=1)),0)+SUM(X508)+IF(COUNTIF(X$641:X811,1)=1,5,0)+IF(COUNTIF($Z509:AB509,"&gt;"&amp;0)&gt;5,IF(MOD(COUNTIF(X$641:X811,1),7)=0,$C$4,0),0)</f>
        <v>73.5789092348996</v>
      </c>
      <c r="Y509" s="81" cm="1">
        <f ca="1" t="array" ref="Y509">IF(Y811=1,OFFSET($Z$338,$B509,Y$335-1)/SUMPRODUCT(--($D$335:$V$335=Y$335),--($D811:$V811=1)),0)+SUM(Y508)+IF(COUNTIF(Y$641:Y811,1)=1,5,0)+IF(COUNTIF($Z509:AC509,"&gt;"&amp;0)&gt;5,IF(MOD(COUNTIF(Y$641:Y811,1),7)=0,$C$4,0),0)</f>
        <v>66.8152489442662</v>
      </c>
      <c r="Z509" s="82" cm="1">
        <f ca="1" t="array" ref="Z509">SUMPRODUCT(TRANSPOSE($AD509:$AJ509),OFFSET($L$10:$L$16,0,Z$335-1))</f>
        <v>0</v>
      </c>
      <c r="AA509" s="82" cm="1">
        <f ca="1" t="array" ref="AA509">SUMPRODUCT(TRANSPOSE($AD509:$AJ509),OFFSET($L$10:$L$16,0,AA$335-1))</f>
        <v>0</v>
      </c>
      <c r="AB509" s="82" cm="1">
        <f ca="1" t="array" ref="AB509">SUMPRODUCT(TRANSPOSE($AD509:$AJ509),OFFSET($L$10:$L$16,0,AB$335-1))</f>
        <v>0</v>
      </c>
      <c r="AC509" s="82" cm="1">
        <f ca="1" t="array" ref="AC509">SUMPRODUCT(TRANSPOSE($AD509:$AJ509),OFFSET($L$10:$L$16,0,AC$335-1))</f>
        <v>0</v>
      </c>
      <c r="AD509" s="83">
        <f ca="1" t="shared" ref="AD509:AJ509" si="665">AK509-AK508</f>
        <v>0</v>
      </c>
      <c r="AE509" s="83">
        <f ca="1" t="shared" si="665"/>
        <v>0</v>
      </c>
      <c r="AF509" s="83">
        <f ca="1" t="shared" si="665"/>
        <v>0</v>
      </c>
      <c r="AG509" s="83">
        <f ca="1" t="shared" si="665"/>
        <v>0</v>
      </c>
      <c r="AH509" s="83">
        <f ca="1" t="shared" si="665"/>
        <v>0</v>
      </c>
      <c r="AI509" s="83">
        <f ca="1" t="shared" si="665"/>
        <v>0</v>
      </c>
      <c r="AJ509" s="83">
        <f ca="1" t="shared" si="665"/>
        <v>0</v>
      </c>
      <c r="AK509" s="83">
        <f ca="1" t="shared" si="581"/>
        <v>450</v>
      </c>
      <c r="AL509" s="83">
        <f ca="1" t="shared" ref="AL509:AQ509" si="666">IF($C509&gt;OFFSET($Q$9,MATCH(AL$338,$AK$338:$AQ$338,0),0),OFFSET($P$9,MATCH(AL$338,$AK$338:$AQ$338,0),0),MAX(0,$C509-OFFSET($Q$9,RIGHT(AL$338,1)-1,0)))</f>
        <v>909</v>
      </c>
      <c r="AM509" s="83">
        <f ca="1" t="shared" si="666"/>
        <v>1818</v>
      </c>
      <c r="AN509" s="83">
        <f ca="1" t="shared" si="666"/>
        <v>2727</v>
      </c>
      <c r="AO509" s="83">
        <f ca="1" t="shared" si="666"/>
        <v>3636</v>
      </c>
      <c r="AP509" s="83">
        <f ca="1" t="shared" si="666"/>
        <v>4545</v>
      </c>
      <c r="AQ509" s="83">
        <f ca="1" t="shared" si="666"/>
        <v>0</v>
      </c>
    </row>
    <row r="510" ht="16.5" spans="2:43">
      <c r="B510" s="65">
        <v>172</v>
      </c>
      <c r="C510" s="80">
        <f t="shared" si="579"/>
        <v>20246</v>
      </c>
      <c r="D510" s="81" cm="1">
        <f ca="1" t="array" ref="D510">IF(D812=1,OFFSET($Z$338,$B510,D$335-1)/SUMPRODUCT(--($D$335:$V$335=D$335),--($D812:$V812=1)),0)+SUM(D509)+IF(COUNTIF(D$641:D812,1)=1,5,0)+IF(COUNTIF(E510:$Z510,"&gt;"&amp;0)&gt;5,IF(MOD(COUNTIF(D$641:D812,1),7)=0,$C$4,0),0)</f>
        <v>1238.82134856666</v>
      </c>
      <c r="E510" s="81" cm="1">
        <f ca="1" t="array" ref="E510">IF(E812=1,OFFSET($Z$338,$B510,E$335-1)/SUMPRODUCT(--($D$335:$V$335=E$335),--($D812:$V812=1)),0)+SUM(E509)+IF(COUNTIF(E$641:E812,1)=1,5,0)+IF(COUNTIF(F510:$Z510,"&gt;"&amp;0)&gt;5,IF(MOD(COUNTIF(E$641:E812,1),7)=0,$C$4,0),0)</f>
        <v>1238.82134856666</v>
      </c>
      <c r="F510" s="81" cm="1">
        <f ca="1" t="array" ref="F510">IF(F812=1,OFFSET($Z$338,$B510,F$335-1)/SUMPRODUCT(--($D$335:$V$335=F$335),--($D812:$V812=1)),0)+SUM(F509)+IF(COUNTIF(F$641:F812,1)=1,5,0)+IF(COUNTIF(G510:$Z510,"&gt;"&amp;0)&gt;5,IF(MOD(COUNTIF(F$641:F812,1),7)=0,$C$4,0),0)</f>
        <v>1238.82134856666</v>
      </c>
      <c r="G510" s="81" cm="1">
        <f ca="1" t="array" ref="G510">IF(G812=1,OFFSET($Z$338,$B510,G$335-1)/SUMPRODUCT(--($D$335:$V$335=G$335),--($D812:$V812=1)),0)+SUM(G509)+IF(COUNTIF(G$641:G812,1)=1,5,0)+IF(COUNTIF(H510:$Z510,"&gt;"&amp;0)&gt;5,IF(MOD(COUNTIF(G$641:G812,1),7)=0,$C$4,0),0)</f>
        <v>527.516666666668</v>
      </c>
      <c r="H510" s="81" cm="1">
        <f ca="1" t="array" ref="H510">IF(H812=1,OFFSET($Z$338,$B510,H$335-1)/SUMPRODUCT(--($D$335:$V$335=H$335),--($D812:$V812=1)),0)+SUM(H509)+IF(COUNTIF(H$641:H812,1)=1,5,0)+IF(COUNTIF(I510:$Z510,"&gt;"&amp;0)&gt;5,IF(MOD(COUNTIF(H$641:H812,1),7)=0,$C$4,0),0)</f>
        <v>527.516666666668</v>
      </c>
      <c r="I510" s="81" cm="1">
        <f ca="1" t="array" ref="I510">IF(I812=1,OFFSET($Z$338,$B510,I$335-1)/SUMPRODUCT(--($D$335:$V$335=I$335),--($D812:$V812=1)),0)+SUM(I509)+IF(COUNTIF(I$641:I812,1)=1,5,0)+IF(COUNTIF(J510:$Z510,"&gt;"&amp;0)&gt;5,IF(MOD(COUNTIF(I$641:I812,1),7)=0,$C$4,0),0)</f>
        <v>527.516666666668</v>
      </c>
      <c r="J510" s="81" cm="1">
        <f ca="1" t="array" ref="J510">IF(J812=1,OFFSET($Z$338,$B510,J$335-1)/SUMPRODUCT(--($D$335:$V$335=J$335),--($D812:$V812=1)),0)+SUM(J509)+IF(COUNTIF(J$641:J812,1)=1,5,0)+IF(COUNTIF(K510:$Z510,"&gt;"&amp;0)&gt;5,IF(MOD(COUNTIF(J$641:J812,1),7)=0,$C$4,0),0)</f>
        <v>527.516666666668</v>
      </c>
      <c r="K510" s="81" cm="1">
        <f ca="1" t="array" ref="K510">IF(K812=1,OFFSET($Z$338,$B510,K$335-1)/SUMPRODUCT(--($D$335:$V$335=K$335),--($D812:$V812=1)),0)+SUM(K509)+IF(COUNTIF(K$641:K812,1)=1,5,0)+IF(COUNTIF(L510:$Z510,"&gt;"&amp;0)&gt;5,IF(MOD(COUNTIF(K$641:K812,1),7)=0,$C$4,0),0)</f>
        <v>527.516666666668</v>
      </c>
      <c r="L510" s="81" cm="1">
        <f ca="1" t="array" ref="L510">IF(L812=1,OFFSET($Z$338,$B510,L$335-1)/SUMPRODUCT(--($D$335:$V$335=L$335),--($D812:$V812=1)),0)+SUM(L509)+IF(COUNTIF(L$641:L812,1)=1,5,0)+IF(COUNTIF(M510:$Z510,"&gt;"&amp;0)&gt;5,IF(MOD(COUNTIF(L$641:L812,1),7)=0,$C$4,0),0)</f>
        <v>520.816666666668</v>
      </c>
      <c r="M510" s="81" cm="1">
        <f ca="1" t="array" ref="M510">IF(M812=1,OFFSET($Z$338,$B510,M$335-1)/SUMPRODUCT(--($D$335:$V$335=M$335),--($D812:$V812=1)),0)+SUM(M509)+IF(COUNTIF(M$641:M812,1)=1,5,0)+IF(COUNTIF(N510:$Z510,"&gt;"&amp;0)&gt;5,IF(MOD(COUNTIF(M$641:M812,1),7)=0,$C$4,0),0)</f>
        <v>275.644107142858</v>
      </c>
      <c r="N510" s="81" cm="1">
        <f ca="1" t="array" ref="N510">IF(N812=1,OFFSET($Z$338,$B510,N$335-1)/SUMPRODUCT(--($D$335:$V$335=N$335),--($D812:$V812=1)),0)+SUM(N509)+IF(COUNTIF(N$641:N812,1)=1,5,0)+IF(COUNTIF(O510:$Z510,"&gt;"&amp;0)&gt;5,IF(MOD(COUNTIF(N$641:N812,1),7)=0,$C$4,0),0)</f>
        <v>267.919107142858</v>
      </c>
      <c r="O510" s="81" cm="1">
        <f ca="1" t="array" ref="O510">IF(O812=1,OFFSET($Z$338,$B510,O$335-1)/SUMPRODUCT(--($D$335:$V$335=O$335),--($D812:$V812=1)),0)+SUM(O509)+IF(COUNTIF(O$641:O812,1)=1,5,0)+IF(COUNTIF(P510:$Z510,"&gt;"&amp;0)&gt;5,IF(MOD(COUNTIF(O$641:O812,1),7)=0,$C$4,0),0)</f>
        <v>265.494107142858</v>
      </c>
      <c r="P510" s="81" cm="1">
        <f ca="1" t="array" ref="P510">IF(P812=1,OFFSET($Z$338,$B510,P$335-1)/SUMPRODUCT(--($D$335:$V$335=P$335),--($D812:$V812=1)),0)+SUM(P509)+IF(COUNTIF(P$641:P812,1)=1,5,0)+IF(COUNTIF(Q510:$Z510,"&gt;"&amp;0)&gt;5,IF(MOD(COUNTIF(P$641:P812,1),7)=0,$C$4,0),0)</f>
        <v>257.560773809524</v>
      </c>
      <c r="Q510" s="81" cm="1">
        <f ca="1" t="array" ref="Q510">IF(Q812=1,OFFSET($Z$338,$B510,Q$335-1)/SUMPRODUCT(--($D$335:$V$335=Q$335),--($D812:$V812=1)),0)+SUM(Q509)+IF(COUNTIF(Q$641:Q812,1)=1,5,0)+IF(COUNTIF(R510:$Z510,"&gt;"&amp;0)&gt;5,IF(MOD(COUNTIF(Q$641:Q812,1),7)=0,$C$4,0),0)</f>
        <v>256.654523809524</v>
      </c>
      <c r="R510" s="81" cm="1">
        <f ca="1" t="array" ref="R510">IF(R812=1,OFFSET($Z$338,$B510,R$335-1)/SUMPRODUCT(--($D$335:$V$335=R$335),--($D812:$V812=1)),0)+SUM(R509)+IF(COUNTIF(R$641:R812,1)=1,5,0)+IF(COUNTIF(S510:$Z510,"&gt;"&amp;0)&gt;5,IF(MOD(COUNTIF(R$641:R812,1),7)=0,$C$4,0),0)</f>
        <v>231.759523809524</v>
      </c>
      <c r="S510" s="81" cm="1">
        <f ca="1" t="array" ref="S510">IF(S812=1,OFFSET($Z$338,$B510,S$335-1)/SUMPRODUCT(--($D$335:$V$335=S$335),--($D812:$V812=1)),0)+SUM(S509)+IF(COUNTIF(S$641:S812,1)=1,5,0)+IF(COUNTIF(T510:$Z510,"&gt;"&amp;0)&gt;5,IF(MOD(COUNTIF(S$641:S812,1),7)=0,$C$4,0),0)</f>
        <v>222.592857142857</v>
      </c>
      <c r="T510" s="81" cm="1">
        <f ca="1" t="array" ref="T510">IF(T812=1,OFFSET($Z$338,$B510,T$335-1)/SUMPRODUCT(--($D$335:$V$335=T$335),--($D812:$V812=1)),0)+SUM(T509)+IF(COUNTIF(T$641:T812,1)=1,5,0)+IF(COUNTIF(U510:$Z510,"&gt;"&amp;0)&gt;5,IF(MOD(COUNTIF(T$641:T812,1),7)=0,$C$4,0),0)</f>
        <v>137.656257829764</v>
      </c>
      <c r="U510" s="81" cm="1">
        <f ca="1" t="array" ref="U510">IF(U812=1,OFFSET($Z$338,$B510,U$335-1)/SUMPRODUCT(--($D$335:$V$335=U$335),--($D812:$V812=1)),0)+SUM(U509)+IF(COUNTIF(U$641:U812,1)=1,5,0)+IF(COUNTIF(V510:$Z510,"&gt;"&amp;0)&gt;5,IF(MOD(COUNTIF(U$641:U812,1),7)=0,$C$4,0),0)</f>
        <v>97.6562578297643</v>
      </c>
      <c r="V510" s="81" cm="1">
        <f ca="1" t="array" ref="V510">IF(V812=1,OFFSET($Z$338,$B510,V$335-1)/SUMPRODUCT(--($D$335:$V$335=V$335),--($D812:$V812=1)),0)+SUM(V509)+IF(COUNTIF(V$641:V812,1)=1,5,0)+IF(COUNTIF(Z510:$Z510,"&gt;"&amp;0)&gt;5,IF(MOD(COUNTIF(V$641:V812,1),7)=0,$C$4,0),0)</f>
        <v>89.6984386404824</v>
      </c>
      <c r="W510" s="81" cm="1">
        <f ca="1" t="array" ref="W510">IF(W812=1,OFFSET($Z$338,$B510,W$335-1)/SUMPRODUCT(--($D$335:$V$335=W$335),--($D812:$V812=1)),0)+SUM(W509)+IF(COUNTIF(W$641:W812,1)=1,5,0)+IF(COUNTIF($Z510:AA510,"&gt;"&amp;0)&gt;5,IF(MOD(COUNTIF(W$641:W812,1),7)=0,$C$4,0),0)</f>
        <v>80.3425695255331</v>
      </c>
      <c r="X510" s="81" cm="1">
        <f ca="1" t="array" ref="X510">IF(X812=1,OFFSET($Z$338,$B510,X$335-1)/SUMPRODUCT(--($D$335:$V$335=X$335),--($D812:$V812=1)),0)+SUM(X509)+IF(COUNTIF(X$641:X812,1)=1,5,0)+IF(COUNTIF($Z510:AB510,"&gt;"&amp;0)&gt;5,IF(MOD(COUNTIF(X$641:X812,1),7)=0,$C$4,0),0)</f>
        <v>73.5789092348996</v>
      </c>
      <c r="Y510" s="81" cm="1">
        <f ca="1" t="array" ref="Y510">IF(Y812=1,OFFSET($Z$338,$B510,Y$335-1)/SUMPRODUCT(--($D$335:$V$335=Y$335),--($D812:$V812=1)),0)+SUM(Y509)+IF(COUNTIF(Y$641:Y812,1)=1,5,0)+IF(COUNTIF($Z510:AC510,"&gt;"&amp;0)&gt;5,IF(MOD(COUNTIF(Y$641:Y812,1),7)=0,$C$4,0),0)</f>
        <v>66.8152489442662</v>
      </c>
      <c r="Z510" s="82" cm="1">
        <f ca="1" t="array" ref="Z510">SUMPRODUCT(TRANSPOSE($AD510:$AJ510),OFFSET($L$10:$L$16,0,Z$335-1))</f>
        <v>0</v>
      </c>
      <c r="AA510" s="82" cm="1">
        <f ca="1" t="array" ref="AA510">SUMPRODUCT(TRANSPOSE($AD510:$AJ510),OFFSET($L$10:$L$16,0,AA$335-1))</f>
        <v>0</v>
      </c>
      <c r="AB510" s="82" cm="1">
        <f ca="1" t="array" ref="AB510">SUMPRODUCT(TRANSPOSE($AD510:$AJ510),OFFSET($L$10:$L$16,0,AB$335-1))</f>
        <v>0</v>
      </c>
      <c r="AC510" s="82" cm="1">
        <f ca="1" t="array" ref="AC510">SUMPRODUCT(TRANSPOSE($AD510:$AJ510),OFFSET($L$10:$L$16,0,AC$335-1))</f>
        <v>0</v>
      </c>
      <c r="AD510" s="83">
        <f ca="1" t="shared" ref="AD510:AJ510" si="667">AK510-AK509</f>
        <v>0</v>
      </c>
      <c r="AE510" s="83">
        <f ca="1" t="shared" si="667"/>
        <v>0</v>
      </c>
      <c r="AF510" s="83">
        <f ca="1" t="shared" si="667"/>
        <v>0</v>
      </c>
      <c r="AG510" s="83">
        <f ca="1" t="shared" si="667"/>
        <v>0</v>
      </c>
      <c r="AH510" s="83">
        <f ca="1" t="shared" si="667"/>
        <v>0</v>
      </c>
      <c r="AI510" s="83">
        <f ca="1" t="shared" si="667"/>
        <v>0</v>
      </c>
      <c r="AJ510" s="83">
        <f ca="1" t="shared" si="667"/>
        <v>0</v>
      </c>
      <c r="AK510" s="83">
        <f ca="1" t="shared" si="581"/>
        <v>450</v>
      </c>
      <c r="AL510" s="83">
        <f ca="1" t="shared" ref="AL510:AQ510" si="668">IF($C510&gt;OFFSET($Q$9,MATCH(AL$338,$AK$338:$AQ$338,0),0),OFFSET($P$9,MATCH(AL$338,$AK$338:$AQ$338,0),0),MAX(0,$C510-OFFSET($Q$9,RIGHT(AL$338,1)-1,0)))</f>
        <v>909</v>
      </c>
      <c r="AM510" s="83">
        <f ca="1" t="shared" si="668"/>
        <v>1818</v>
      </c>
      <c r="AN510" s="83">
        <f ca="1" t="shared" si="668"/>
        <v>2727</v>
      </c>
      <c r="AO510" s="83">
        <f ca="1" t="shared" si="668"/>
        <v>3636</v>
      </c>
      <c r="AP510" s="83">
        <f ca="1" t="shared" si="668"/>
        <v>4545</v>
      </c>
      <c r="AQ510" s="83">
        <f ca="1" t="shared" si="668"/>
        <v>0</v>
      </c>
    </row>
    <row r="511" ht="16.5" spans="2:43">
      <c r="B511" s="65">
        <v>173</v>
      </c>
      <c r="C511" s="80">
        <f t="shared" si="579"/>
        <v>20356</v>
      </c>
      <c r="D511" s="81" cm="1">
        <f ca="1" t="array" ref="D511">IF(D813=1,OFFSET($Z$338,$B511,D$335-1)/SUMPRODUCT(--($D$335:$V$335=D$335),--($D813:$V813=1)),0)+SUM(D510)+IF(COUNTIF(D$641:D813,1)=1,5,0)+IF(COUNTIF(E511:$Z511,"&gt;"&amp;0)&gt;5,IF(MOD(COUNTIF(D$641:D813,1),7)=0,$C$4,0),0)</f>
        <v>1238.82134856666</v>
      </c>
      <c r="E511" s="81" cm="1">
        <f ca="1" t="array" ref="E511">IF(E813=1,OFFSET($Z$338,$B511,E$335-1)/SUMPRODUCT(--($D$335:$V$335=E$335),--($D813:$V813=1)),0)+SUM(E510)+IF(COUNTIF(E$641:E813,1)=1,5,0)+IF(COUNTIF(F511:$Z511,"&gt;"&amp;0)&gt;5,IF(MOD(COUNTIF(E$641:E813,1),7)=0,$C$4,0),0)</f>
        <v>1238.82134856666</v>
      </c>
      <c r="F511" s="81" cm="1">
        <f ca="1" t="array" ref="F511">IF(F813=1,OFFSET($Z$338,$B511,F$335-1)/SUMPRODUCT(--($D$335:$V$335=F$335),--($D813:$V813=1)),0)+SUM(F510)+IF(COUNTIF(F$641:F813,1)=1,5,0)+IF(COUNTIF(G511:$Z511,"&gt;"&amp;0)&gt;5,IF(MOD(COUNTIF(F$641:F813,1),7)=0,$C$4,0),0)</f>
        <v>1238.82134856666</v>
      </c>
      <c r="G511" s="81" cm="1">
        <f ca="1" t="array" ref="G511">IF(G813=1,OFFSET($Z$338,$B511,G$335-1)/SUMPRODUCT(--($D$335:$V$335=G$335),--($D813:$V813=1)),0)+SUM(G510)+IF(COUNTIF(G$641:G813,1)=1,5,0)+IF(COUNTIF(H511:$Z511,"&gt;"&amp;0)&gt;5,IF(MOD(COUNTIF(G$641:G813,1),7)=0,$C$4,0),0)</f>
        <v>527.516666666668</v>
      </c>
      <c r="H511" s="81" cm="1">
        <f ca="1" t="array" ref="H511">IF(H813=1,OFFSET($Z$338,$B511,H$335-1)/SUMPRODUCT(--($D$335:$V$335=H$335),--($D813:$V813=1)),0)+SUM(H510)+IF(COUNTIF(H$641:H813,1)=1,5,0)+IF(COUNTIF(I511:$Z511,"&gt;"&amp;0)&gt;5,IF(MOD(COUNTIF(H$641:H813,1),7)=0,$C$4,0),0)</f>
        <v>527.516666666668</v>
      </c>
      <c r="I511" s="81" cm="1">
        <f ca="1" t="array" ref="I511">IF(I813=1,OFFSET($Z$338,$B511,I$335-1)/SUMPRODUCT(--($D$335:$V$335=I$335),--($D813:$V813=1)),0)+SUM(I510)+IF(COUNTIF(I$641:I813,1)=1,5,0)+IF(COUNTIF(J511:$Z511,"&gt;"&amp;0)&gt;5,IF(MOD(COUNTIF(I$641:I813,1),7)=0,$C$4,0),0)</f>
        <v>527.516666666668</v>
      </c>
      <c r="J511" s="81" cm="1">
        <f ca="1" t="array" ref="J511">IF(J813=1,OFFSET($Z$338,$B511,J$335-1)/SUMPRODUCT(--($D$335:$V$335=J$335),--($D813:$V813=1)),0)+SUM(J510)+IF(COUNTIF(J$641:J813,1)=1,5,0)+IF(COUNTIF(K511:$Z511,"&gt;"&amp;0)&gt;5,IF(MOD(COUNTIF(J$641:J813,1),7)=0,$C$4,0),0)</f>
        <v>527.516666666668</v>
      </c>
      <c r="K511" s="81" cm="1">
        <f ca="1" t="array" ref="K511">IF(K813=1,OFFSET($Z$338,$B511,K$335-1)/SUMPRODUCT(--($D$335:$V$335=K$335),--($D813:$V813=1)),0)+SUM(K510)+IF(COUNTIF(K$641:K813,1)=1,5,0)+IF(COUNTIF(L511:$Z511,"&gt;"&amp;0)&gt;5,IF(MOD(COUNTIF(K$641:K813,1),7)=0,$C$4,0),0)</f>
        <v>527.516666666668</v>
      </c>
      <c r="L511" s="81" cm="1">
        <f ca="1" t="array" ref="L511">IF(L813=1,OFFSET($Z$338,$B511,L$335-1)/SUMPRODUCT(--($D$335:$V$335=L$335),--($D813:$V813=1)),0)+SUM(L510)+IF(COUNTIF(L$641:L813,1)=1,5,0)+IF(COUNTIF(M511:$Z511,"&gt;"&amp;0)&gt;5,IF(MOD(COUNTIF(L$641:L813,1),7)=0,$C$4,0),0)</f>
        <v>520.816666666668</v>
      </c>
      <c r="M511" s="81" cm="1">
        <f ca="1" t="array" ref="M511">IF(M813=1,OFFSET($Z$338,$B511,M$335-1)/SUMPRODUCT(--($D$335:$V$335=M$335),--($D813:$V813=1)),0)+SUM(M510)+IF(COUNTIF(M$641:M813,1)=1,5,0)+IF(COUNTIF(N511:$Z511,"&gt;"&amp;0)&gt;5,IF(MOD(COUNTIF(M$641:M813,1),7)=0,$C$4,0),0)</f>
        <v>275.644107142858</v>
      </c>
      <c r="N511" s="81" cm="1">
        <f ca="1" t="array" ref="N511">IF(N813=1,OFFSET($Z$338,$B511,N$335-1)/SUMPRODUCT(--($D$335:$V$335=N$335),--($D813:$V813=1)),0)+SUM(N510)+IF(COUNTIF(N$641:N813,1)=1,5,0)+IF(COUNTIF(O511:$Z511,"&gt;"&amp;0)&gt;5,IF(MOD(COUNTIF(N$641:N813,1),7)=0,$C$4,0),0)</f>
        <v>267.919107142858</v>
      </c>
      <c r="O511" s="81" cm="1">
        <f ca="1" t="array" ref="O511">IF(O813=1,OFFSET($Z$338,$B511,O$335-1)/SUMPRODUCT(--($D$335:$V$335=O$335),--($D813:$V813=1)),0)+SUM(O510)+IF(COUNTIF(O$641:O813,1)=1,5,0)+IF(COUNTIF(P511:$Z511,"&gt;"&amp;0)&gt;5,IF(MOD(COUNTIF(O$641:O813,1),7)=0,$C$4,0),0)</f>
        <v>265.494107142858</v>
      </c>
      <c r="P511" s="81" cm="1">
        <f ca="1" t="array" ref="P511">IF(P813=1,OFFSET($Z$338,$B511,P$335-1)/SUMPRODUCT(--($D$335:$V$335=P$335),--($D813:$V813=1)),0)+SUM(P510)+IF(COUNTIF(P$641:P813,1)=1,5,0)+IF(COUNTIF(Q511:$Z511,"&gt;"&amp;0)&gt;5,IF(MOD(COUNTIF(P$641:P813,1),7)=0,$C$4,0),0)</f>
        <v>262.560773809524</v>
      </c>
      <c r="Q511" s="81" cm="1">
        <f ca="1" t="array" ref="Q511">IF(Q813=1,OFFSET($Z$338,$B511,Q$335-1)/SUMPRODUCT(--($D$335:$V$335=Q$335),--($D813:$V813=1)),0)+SUM(Q510)+IF(COUNTIF(Q$641:Q813,1)=1,5,0)+IF(COUNTIF(R511:$Z511,"&gt;"&amp;0)&gt;5,IF(MOD(COUNTIF(Q$641:Q813,1),7)=0,$C$4,0),0)</f>
        <v>256.654523809524</v>
      </c>
      <c r="R511" s="81" cm="1">
        <f ca="1" t="array" ref="R511">IF(R813=1,OFFSET($Z$338,$B511,R$335-1)/SUMPRODUCT(--($D$335:$V$335=R$335),--($D813:$V813=1)),0)+SUM(R510)+IF(COUNTIF(R$641:R813,1)=1,5,0)+IF(COUNTIF(S511:$Z511,"&gt;"&amp;0)&gt;5,IF(MOD(COUNTIF(R$641:R813,1),7)=0,$C$4,0),0)</f>
        <v>231.759523809524</v>
      </c>
      <c r="S511" s="81" cm="1">
        <f ca="1" t="array" ref="S511">IF(S813=1,OFFSET($Z$338,$B511,S$335-1)/SUMPRODUCT(--($D$335:$V$335=S$335),--($D813:$V813=1)),0)+SUM(S510)+IF(COUNTIF(S$641:S813,1)=1,5,0)+IF(COUNTIF(T511:$Z511,"&gt;"&amp;0)&gt;5,IF(MOD(COUNTIF(S$641:S813,1),7)=0,$C$4,0),0)</f>
        <v>227.592857142857</v>
      </c>
      <c r="T511" s="81" cm="1">
        <f ca="1" t="array" ref="T511">IF(T813=1,OFFSET($Z$338,$B511,T$335-1)/SUMPRODUCT(--($D$335:$V$335=T$335),--($D813:$V813=1)),0)+SUM(T510)+IF(COUNTIF(T$641:T813,1)=1,5,0)+IF(COUNTIF(U511:$Z511,"&gt;"&amp;0)&gt;5,IF(MOD(COUNTIF(T$641:T813,1),7)=0,$C$4,0),0)</f>
        <v>137.656257829764</v>
      </c>
      <c r="U511" s="81" cm="1">
        <f ca="1" t="array" ref="U511">IF(U813=1,OFFSET($Z$338,$B511,U$335-1)/SUMPRODUCT(--($D$335:$V$335=U$335),--($D813:$V813=1)),0)+SUM(U510)+IF(COUNTIF(U$641:U813,1)=1,5,0)+IF(COUNTIF(V511:$Z511,"&gt;"&amp;0)&gt;5,IF(MOD(COUNTIF(U$641:U813,1),7)=0,$C$4,0),0)</f>
        <v>97.6562578297643</v>
      </c>
      <c r="V511" s="81" cm="1">
        <f ca="1" t="array" ref="V511">IF(V813=1,OFFSET($Z$338,$B511,V$335-1)/SUMPRODUCT(--($D$335:$V$335=V$335),--($D813:$V813=1)),0)+SUM(V510)+IF(COUNTIF(V$641:V813,1)=1,5,0)+IF(COUNTIF(Z511:$Z511,"&gt;"&amp;0)&gt;5,IF(MOD(COUNTIF(V$641:V813,1),7)=0,$C$4,0),0)</f>
        <v>89.6984386404824</v>
      </c>
      <c r="W511" s="81" cm="1">
        <f ca="1" t="array" ref="W511">IF(W813=1,OFFSET($Z$338,$B511,W$335-1)/SUMPRODUCT(--($D$335:$V$335=W$335),--($D813:$V813=1)),0)+SUM(W510)+IF(COUNTIF(W$641:W813,1)=1,5,0)+IF(COUNTIF($Z511:AA511,"&gt;"&amp;0)&gt;5,IF(MOD(COUNTIF(W$641:W813,1),7)=0,$C$4,0),0)</f>
        <v>80.3425695255331</v>
      </c>
      <c r="X511" s="81" cm="1">
        <f ca="1" t="array" ref="X511">IF(X813=1,OFFSET($Z$338,$B511,X$335-1)/SUMPRODUCT(--($D$335:$V$335=X$335),--($D813:$V813=1)),0)+SUM(X510)+IF(COUNTIF(X$641:X813,1)=1,5,0)+IF(COUNTIF($Z511:AB511,"&gt;"&amp;0)&gt;5,IF(MOD(COUNTIF(X$641:X813,1),7)=0,$C$4,0),0)</f>
        <v>73.5789092348996</v>
      </c>
      <c r="Y511" s="81" cm="1">
        <f ca="1" t="array" ref="Y511">IF(Y813=1,OFFSET($Z$338,$B511,Y$335-1)/SUMPRODUCT(--($D$335:$V$335=Y$335),--($D813:$V813=1)),0)+SUM(Y510)+IF(COUNTIF(Y$641:Y813,1)=1,5,0)+IF(COUNTIF($Z511:AC511,"&gt;"&amp;0)&gt;5,IF(MOD(COUNTIF(Y$641:Y813,1),7)=0,$C$4,0),0)</f>
        <v>66.8152489442662</v>
      </c>
      <c r="Z511" s="82" cm="1">
        <f ca="1" t="array" ref="Z511">SUMPRODUCT(TRANSPOSE($AD511:$AJ511),OFFSET($L$10:$L$16,0,Z$335-1))</f>
        <v>0</v>
      </c>
      <c r="AA511" s="82" cm="1">
        <f ca="1" t="array" ref="AA511">SUMPRODUCT(TRANSPOSE($AD511:$AJ511),OFFSET($L$10:$L$16,0,AA$335-1))</f>
        <v>0</v>
      </c>
      <c r="AB511" s="82" cm="1">
        <f ca="1" t="array" ref="AB511">SUMPRODUCT(TRANSPOSE($AD511:$AJ511),OFFSET($L$10:$L$16,0,AB$335-1))</f>
        <v>0</v>
      </c>
      <c r="AC511" s="82" cm="1">
        <f ca="1" t="array" ref="AC511">SUMPRODUCT(TRANSPOSE($AD511:$AJ511),OFFSET($L$10:$L$16,0,AC$335-1))</f>
        <v>0</v>
      </c>
      <c r="AD511" s="83">
        <f ca="1" t="shared" ref="AD511:AJ511" si="669">AK511-AK510</f>
        <v>0</v>
      </c>
      <c r="AE511" s="83">
        <f ca="1" t="shared" si="669"/>
        <v>0</v>
      </c>
      <c r="AF511" s="83">
        <f ca="1" t="shared" si="669"/>
        <v>0</v>
      </c>
      <c r="AG511" s="83">
        <f ca="1" t="shared" si="669"/>
        <v>0</v>
      </c>
      <c r="AH511" s="83">
        <f ca="1" t="shared" si="669"/>
        <v>0</v>
      </c>
      <c r="AI511" s="83">
        <f ca="1" t="shared" si="669"/>
        <v>0</v>
      </c>
      <c r="AJ511" s="83">
        <f ca="1" t="shared" si="669"/>
        <v>0</v>
      </c>
      <c r="AK511" s="83">
        <f ca="1" t="shared" si="581"/>
        <v>450</v>
      </c>
      <c r="AL511" s="83">
        <f ca="1" t="shared" ref="AL511:AQ511" si="670">IF($C511&gt;OFFSET($Q$9,MATCH(AL$338,$AK$338:$AQ$338,0),0),OFFSET($P$9,MATCH(AL$338,$AK$338:$AQ$338,0),0),MAX(0,$C511-OFFSET($Q$9,RIGHT(AL$338,1)-1,0)))</f>
        <v>909</v>
      </c>
      <c r="AM511" s="83">
        <f ca="1" t="shared" si="670"/>
        <v>1818</v>
      </c>
      <c r="AN511" s="83">
        <f ca="1" t="shared" si="670"/>
        <v>2727</v>
      </c>
      <c r="AO511" s="83">
        <f ca="1" t="shared" si="670"/>
        <v>3636</v>
      </c>
      <c r="AP511" s="83">
        <f ca="1" t="shared" si="670"/>
        <v>4545</v>
      </c>
      <c r="AQ511" s="83">
        <f ca="1" t="shared" si="670"/>
        <v>0</v>
      </c>
    </row>
    <row r="512" ht="16.5" spans="2:43">
      <c r="B512" s="65">
        <v>174</v>
      </c>
      <c r="C512" s="80">
        <f t="shared" si="579"/>
        <v>20466</v>
      </c>
      <c r="D512" s="81" cm="1">
        <f ca="1" t="array" ref="D512">IF(D814=1,OFFSET($Z$338,$B512,D$335-1)/SUMPRODUCT(--($D$335:$V$335=D$335),--($D814:$V814=1)),0)+SUM(D511)+IF(COUNTIF(D$641:D814,1)=1,5,0)+IF(COUNTIF(E512:$Z512,"&gt;"&amp;0)&gt;5,IF(MOD(COUNTIF(D$641:D814,1),7)=0,$C$4,0),0)</f>
        <v>1238.82134856666</v>
      </c>
      <c r="E512" s="81" cm="1">
        <f ca="1" t="array" ref="E512">IF(E814=1,OFFSET($Z$338,$B512,E$335-1)/SUMPRODUCT(--($D$335:$V$335=E$335),--($D814:$V814=1)),0)+SUM(E511)+IF(COUNTIF(E$641:E814,1)=1,5,0)+IF(COUNTIF(F512:$Z512,"&gt;"&amp;0)&gt;5,IF(MOD(COUNTIF(E$641:E814,1),7)=0,$C$4,0),0)</f>
        <v>1238.82134856666</v>
      </c>
      <c r="F512" s="81" cm="1">
        <f ca="1" t="array" ref="F512">IF(F814=1,OFFSET($Z$338,$B512,F$335-1)/SUMPRODUCT(--($D$335:$V$335=F$335),--($D814:$V814=1)),0)+SUM(F511)+IF(COUNTIF(F$641:F814,1)=1,5,0)+IF(COUNTIF(G512:$Z512,"&gt;"&amp;0)&gt;5,IF(MOD(COUNTIF(F$641:F814,1),7)=0,$C$4,0),0)</f>
        <v>1238.82134856666</v>
      </c>
      <c r="G512" s="81" cm="1">
        <f ca="1" t="array" ref="G512">IF(G814=1,OFFSET($Z$338,$B512,G$335-1)/SUMPRODUCT(--($D$335:$V$335=G$335),--($D814:$V814=1)),0)+SUM(G511)+IF(COUNTIF(G$641:G814,1)=1,5,0)+IF(COUNTIF(H512:$Z512,"&gt;"&amp;0)&gt;5,IF(MOD(COUNTIF(G$641:G814,1),7)=0,$C$4,0),0)</f>
        <v>527.516666666668</v>
      </c>
      <c r="H512" s="81" cm="1">
        <f ca="1" t="array" ref="H512">IF(H814=1,OFFSET($Z$338,$B512,H$335-1)/SUMPRODUCT(--($D$335:$V$335=H$335),--($D814:$V814=1)),0)+SUM(H511)+IF(COUNTIF(H$641:H814,1)=1,5,0)+IF(COUNTIF(I512:$Z512,"&gt;"&amp;0)&gt;5,IF(MOD(COUNTIF(H$641:H814,1),7)=0,$C$4,0),0)</f>
        <v>527.516666666668</v>
      </c>
      <c r="I512" s="81" cm="1">
        <f ca="1" t="array" ref="I512">IF(I814=1,OFFSET($Z$338,$B512,I$335-1)/SUMPRODUCT(--($D$335:$V$335=I$335),--($D814:$V814=1)),0)+SUM(I511)+IF(COUNTIF(I$641:I814,1)=1,5,0)+IF(COUNTIF(J512:$Z512,"&gt;"&amp;0)&gt;5,IF(MOD(COUNTIF(I$641:I814,1),7)=0,$C$4,0),0)</f>
        <v>527.516666666668</v>
      </c>
      <c r="J512" s="81" cm="1">
        <f ca="1" t="array" ref="J512">IF(J814=1,OFFSET($Z$338,$B512,J$335-1)/SUMPRODUCT(--($D$335:$V$335=J$335),--($D814:$V814=1)),0)+SUM(J511)+IF(COUNTIF(J$641:J814,1)=1,5,0)+IF(COUNTIF(K512:$Z512,"&gt;"&amp;0)&gt;5,IF(MOD(COUNTIF(J$641:J814,1),7)=0,$C$4,0),0)</f>
        <v>527.516666666668</v>
      </c>
      <c r="K512" s="81" cm="1">
        <f ca="1" t="array" ref="K512">IF(K814=1,OFFSET($Z$338,$B512,K$335-1)/SUMPRODUCT(--($D$335:$V$335=K$335),--($D814:$V814=1)),0)+SUM(K511)+IF(COUNTIF(K$641:K814,1)=1,5,0)+IF(COUNTIF(L512:$Z512,"&gt;"&amp;0)&gt;5,IF(MOD(COUNTIF(K$641:K814,1),7)=0,$C$4,0),0)</f>
        <v>527.516666666668</v>
      </c>
      <c r="L512" s="81" cm="1">
        <f ca="1" t="array" ref="L512">IF(L814=1,OFFSET($Z$338,$B512,L$335-1)/SUMPRODUCT(--($D$335:$V$335=L$335),--($D814:$V814=1)),0)+SUM(L511)+IF(COUNTIF(L$641:L814,1)=1,5,0)+IF(COUNTIF(M512:$Z512,"&gt;"&amp;0)&gt;5,IF(MOD(COUNTIF(L$641:L814,1),7)=0,$C$4,0),0)</f>
        <v>520.816666666668</v>
      </c>
      <c r="M512" s="81" cm="1">
        <f ca="1" t="array" ref="M512">IF(M814=1,OFFSET($Z$338,$B512,M$335-1)/SUMPRODUCT(--($D$335:$V$335=M$335),--($D814:$V814=1)),0)+SUM(M511)+IF(COUNTIF(M$641:M814,1)=1,5,0)+IF(COUNTIF(N512:$Z512,"&gt;"&amp;0)&gt;5,IF(MOD(COUNTIF(M$641:M814,1),7)=0,$C$4,0),0)</f>
        <v>275.644107142858</v>
      </c>
      <c r="N512" s="81" cm="1">
        <f ca="1" t="array" ref="N512">IF(N814=1,OFFSET($Z$338,$B512,N$335-1)/SUMPRODUCT(--($D$335:$V$335=N$335),--($D814:$V814=1)),0)+SUM(N511)+IF(COUNTIF(N$641:N814,1)=1,5,0)+IF(COUNTIF(O512:$Z512,"&gt;"&amp;0)&gt;5,IF(MOD(COUNTIF(N$641:N814,1),7)=0,$C$4,0),0)</f>
        <v>267.919107142858</v>
      </c>
      <c r="O512" s="81" cm="1">
        <f ca="1" t="array" ref="O512">IF(O814=1,OFFSET($Z$338,$B512,O$335-1)/SUMPRODUCT(--($D$335:$V$335=O$335),--($D814:$V814=1)),0)+SUM(O511)+IF(COUNTIF(O$641:O814,1)=1,5,0)+IF(COUNTIF(P512:$Z512,"&gt;"&amp;0)&gt;5,IF(MOD(COUNTIF(O$641:O814,1),7)=0,$C$4,0),0)</f>
        <v>265.494107142858</v>
      </c>
      <c r="P512" s="81" cm="1">
        <f ca="1" t="array" ref="P512">IF(P814=1,OFFSET($Z$338,$B512,P$335-1)/SUMPRODUCT(--($D$335:$V$335=P$335),--($D814:$V814=1)),0)+SUM(P511)+IF(COUNTIF(P$641:P814,1)=1,5,0)+IF(COUNTIF(Q512:$Z512,"&gt;"&amp;0)&gt;5,IF(MOD(COUNTIF(P$641:P814,1),7)=0,$C$4,0),0)</f>
        <v>262.560773809524</v>
      </c>
      <c r="Q512" s="81" cm="1">
        <f ca="1" t="array" ref="Q512">IF(Q814=1,OFFSET($Z$338,$B512,Q$335-1)/SUMPRODUCT(--($D$335:$V$335=Q$335),--($D814:$V814=1)),0)+SUM(Q511)+IF(COUNTIF(Q$641:Q814,1)=1,5,0)+IF(COUNTIF(R512:$Z512,"&gt;"&amp;0)&gt;5,IF(MOD(COUNTIF(Q$641:Q814,1),7)=0,$C$4,0),0)</f>
        <v>261.654523809524</v>
      </c>
      <c r="R512" s="81" cm="1">
        <f ca="1" t="array" ref="R512">IF(R814=1,OFFSET($Z$338,$B512,R$335-1)/SUMPRODUCT(--($D$335:$V$335=R$335),--($D814:$V814=1)),0)+SUM(R511)+IF(COUNTIF(R$641:R814,1)=1,5,0)+IF(COUNTIF(S512:$Z512,"&gt;"&amp;0)&gt;5,IF(MOD(COUNTIF(R$641:R814,1),7)=0,$C$4,0),0)</f>
        <v>231.759523809524</v>
      </c>
      <c r="S512" s="81" cm="1">
        <f ca="1" t="array" ref="S512">IF(S814=1,OFFSET($Z$338,$B512,S$335-1)/SUMPRODUCT(--($D$335:$V$335=S$335),--($D814:$V814=1)),0)+SUM(S511)+IF(COUNTIF(S$641:S814,1)=1,5,0)+IF(COUNTIF(T512:$Z512,"&gt;"&amp;0)&gt;5,IF(MOD(COUNTIF(S$641:S814,1),7)=0,$C$4,0),0)</f>
        <v>227.592857142857</v>
      </c>
      <c r="T512" s="81" cm="1">
        <f ca="1" t="array" ref="T512">IF(T814=1,OFFSET($Z$338,$B512,T$335-1)/SUMPRODUCT(--($D$335:$V$335=T$335),--($D814:$V814=1)),0)+SUM(T511)+IF(COUNTIF(T$641:T814,1)=1,5,0)+IF(COUNTIF(U512:$Z512,"&gt;"&amp;0)&gt;5,IF(MOD(COUNTIF(T$641:T814,1),7)=0,$C$4,0),0)</f>
        <v>137.656257829764</v>
      </c>
      <c r="U512" s="81" cm="1">
        <f ca="1" t="array" ref="U512">IF(U814=1,OFFSET($Z$338,$B512,U$335-1)/SUMPRODUCT(--($D$335:$V$335=U$335),--($D814:$V814=1)),0)+SUM(U511)+IF(COUNTIF(U$641:U814,1)=1,5,0)+IF(COUNTIF(V512:$Z512,"&gt;"&amp;0)&gt;5,IF(MOD(COUNTIF(U$641:U814,1),7)=0,$C$4,0),0)</f>
        <v>97.6562578297643</v>
      </c>
      <c r="V512" s="81" cm="1">
        <f ca="1" t="array" ref="V512">IF(V814=1,OFFSET($Z$338,$B512,V$335-1)/SUMPRODUCT(--($D$335:$V$335=V$335),--($D814:$V814=1)),0)+SUM(V511)+IF(COUNTIF(V$641:V814,1)=1,5,0)+IF(COUNTIF(Z512:$Z512,"&gt;"&amp;0)&gt;5,IF(MOD(COUNTIF(V$641:V814,1),7)=0,$C$4,0),0)</f>
        <v>89.6984386404824</v>
      </c>
      <c r="W512" s="81" cm="1">
        <f ca="1" t="array" ref="W512">IF(W814=1,OFFSET($Z$338,$B512,W$335-1)/SUMPRODUCT(--($D$335:$V$335=W$335),--($D814:$V814=1)),0)+SUM(W511)+IF(COUNTIF(W$641:W814,1)=1,5,0)+IF(COUNTIF($Z512:AA512,"&gt;"&amp;0)&gt;5,IF(MOD(COUNTIF(W$641:W814,1),7)=0,$C$4,0),0)</f>
        <v>80.3425695255331</v>
      </c>
      <c r="X512" s="81" cm="1">
        <f ca="1" t="array" ref="X512">IF(X814=1,OFFSET($Z$338,$B512,X$335-1)/SUMPRODUCT(--($D$335:$V$335=X$335),--($D814:$V814=1)),0)+SUM(X511)+IF(COUNTIF(X$641:X814,1)=1,5,0)+IF(COUNTIF($Z512:AB512,"&gt;"&amp;0)&gt;5,IF(MOD(COUNTIF(X$641:X814,1),7)=0,$C$4,0),0)</f>
        <v>73.5789092348996</v>
      </c>
      <c r="Y512" s="81" cm="1">
        <f ca="1" t="array" ref="Y512">IF(Y814=1,OFFSET($Z$338,$B512,Y$335-1)/SUMPRODUCT(--($D$335:$V$335=Y$335),--($D814:$V814=1)),0)+SUM(Y511)+IF(COUNTIF(Y$641:Y814,1)=1,5,0)+IF(COUNTIF($Z512:AC512,"&gt;"&amp;0)&gt;5,IF(MOD(COUNTIF(Y$641:Y814,1),7)=0,$C$4,0),0)</f>
        <v>66.8152489442662</v>
      </c>
      <c r="Z512" s="82" cm="1">
        <f ca="1" t="array" ref="Z512">SUMPRODUCT(TRANSPOSE($AD512:$AJ512),OFFSET($L$10:$L$16,0,Z$335-1))</f>
        <v>0</v>
      </c>
      <c r="AA512" s="82" cm="1">
        <f ca="1" t="array" ref="AA512">SUMPRODUCT(TRANSPOSE($AD512:$AJ512),OFFSET($L$10:$L$16,0,AA$335-1))</f>
        <v>0</v>
      </c>
      <c r="AB512" s="82" cm="1">
        <f ca="1" t="array" ref="AB512">SUMPRODUCT(TRANSPOSE($AD512:$AJ512),OFFSET($L$10:$L$16,0,AB$335-1))</f>
        <v>0</v>
      </c>
      <c r="AC512" s="82" cm="1">
        <f ca="1" t="array" ref="AC512">SUMPRODUCT(TRANSPOSE($AD512:$AJ512),OFFSET($L$10:$L$16,0,AC$335-1))</f>
        <v>0</v>
      </c>
      <c r="AD512" s="83">
        <f ca="1" t="shared" ref="AD512:AJ512" si="671">AK512-AK511</f>
        <v>0</v>
      </c>
      <c r="AE512" s="83">
        <f ca="1" t="shared" si="671"/>
        <v>0</v>
      </c>
      <c r="AF512" s="83">
        <f ca="1" t="shared" si="671"/>
        <v>0</v>
      </c>
      <c r="AG512" s="83">
        <f ca="1" t="shared" si="671"/>
        <v>0</v>
      </c>
      <c r="AH512" s="83">
        <f ca="1" t="shared" si="671"/>
        <v>0</v>
      </c>
      <c r="AI512" s="83">
        <f ca="1" t="shared" si="671"/>
        <v>0</v>
      </c>
      <c r="AJ512" s="83">
        <f ca="1" t="shared" si="671"/>
        <v>0</v>
      </c>
      <c r="AK512" s="83">
        <f ca="1" t="shared" si="581"/>
        <v>450</v>
      </c>
      <c r="AL512" s="83">
        <f ca="1" t="shared" ref="AL512:AQ512" si="672">IF($C512&gt;OFFSET($Q$9,MATCH(AL$338,$AK$338:$AQ$338,0),0),OFFSET($P$9,MATCH(AL$338,$AK$338:$AQ$338,0),0),MAX(0,$C512-OFFSET($Q$9,RIGHT(AL$338,1)-1,0)))</f>
        <v>909</v>
      </c>
      <c r="AM512" s="83">
        <f ca="1" t="shared" si="672"/>
        <v>1818</v>
      </c>
      <c r="AN512" s="83">
        <f ca="1" t="shared" si="672"/>
        <v>2727</v>
      </c>
      <c r="AO512" s="83">
        <f ca="1" t="shared" si="672"/>
        <v>3636</v>
      </c>
      <c r="AP512" s="83">
        <f ca="1" t="shared" si="672"/>
        <v>4545</v>
      </c>
      <c r="AQ512" s="83">
        <f ca="1" t="shared" si="672"/>
        <v>0</v>
      </c>
    </row>
    <row r="513" ht="16.5" spans="2:43">
      <c r="B513" s="65">
        <v>175</v>
      </c>
      <c r="C513" s="80">
        <f t="shared" si="579"/>
        <v>20576</v>
      </c>
      <c r="D513" s="81" cm="1">
        <f ca="1" t="array" ref="D513">IF(D815=1,OFFSET($Z$338,$B513,D$335-1)/SUMPRODUCT(--($D$335:$V$335=D$335),--($D815:$V815=1)),0)+SUM(D512)+IF(COUNTIF(D$641:D815,1)=1,5,0)+IF(COUNTIF(E513:$Z513,"&gt;"&amp;0)&gt;5,IF(MOD(COUNTIF(D$641:D815,1),7)=0,$C$4,0),0)</f>
        <v>1243.82134856666</v>
      </c>
      <c r="E513" s="81" cm="1">
        <f ca="1" t="array" ref="E513">IF(E815=1,OFFSET($Z$338,$B513,E$335-1)/SUMPRODUCT(--($D$335:$V$335=E$335),--($D815:$V815=1)),0)+SUM(E512)+IF(COUNTIF(E$641:E815,1)=1,5,0)+IF(COUNTIF(F513:$Z513,"&gt;"&amp;0)&gt;5,IF(MOD(COUNTIF(E$641:E815,1),7)=0,$C$4,0),0)</f>
        <v>1243.82134856666</v>
      </c>
      <c r="F513" s="81" cm="1">
        <f ca="1" t="array" ref="F513">IF(F815=1,OFFSET($Z$338,$B513,F$335-1)/SUMPRODUCT(--($D$335:$V$335=F$335),--($D815:$V815=1)),0)+SUM(F512)+IF(COUNTIF(F$641:F815,1)=1,5,0)+IF(COUNTIF(G513:$Z513,"&gt;"&amp;0)&gt;5,IF(MOD(COUNTIF(F$641:F815,1),7)=0,$C$4,0),0)</f>
        <v>1243.82134856666</v>
      </c>
      <c r="G513" s="81" cm="1">
        <f ca="1" t="array" ref="G513">IF(G815=1,OFFSET($Z$338,$B513,G$335-1)/SUMPRODUCT(--($D$335:$V$335=G$335),--($D815:$V815=1)),0)+SUM(G512)+IF(COUNTIF(G$641:G815,1)=1,5,0)+IF(COUNTIF(H513:$Z513,"&gt;"&amp;0)&gt;5,IF(MOD(COUNTIF(G$641:G815,1),7)=0,$C$4,0),0)</f>
        <v>532.516666666668</v>
      </c>
      <c r="H513" s="81" cm="1">
        <f ca="1" t="array" ref="H513">IF(H815=1,OFFSET($Z$338,$B513,H$335-1)/SUMPRODUCT(--($D$335:$V$335=H$335),--($D815:$V815=1)),0)+SUM(H512)+IF(COUNTIF(H$641:H815,1)=1,5,0)+IF(COUNTIF(I513:$Z513,"&gt;"&amp;0)&gt;5,IF(MOD(COUNTIF(H$641:H815,1),7)=0,$C$4,0),0)</f>
        <v>532.516666666668</v>
      </c>
      <c r="I513" s="81" cm="1">
        <f ca="1" t="array" ref="I513">IF(I815=1,OFFSET($Z$338,$B513,I$335-1)/SUMPRODUCT(--($D$335:$V$335=I$335),--($D815:$V815=1)),0)+SUM(I512)+IF(COUNTIF(I$641:I815,1)=1,5,0)+IF(COUNTIF(J513:$Z513,"&gt;"&amp;0)&gt;5,IF(MOD(COUNTIF(I$641:I815,1),7)=0,$C$4,0),0)</f>
        <v>532.516666666668</v>
      </c>
      <c r="J513" s="81" cm="1">
        <f ca="1" t="array" ref="J513">IF(J815=1,OFFSET($Z$338,$B513,J$335-1)/SUMPRODUCT(--($D$335:$V$335=J$335),--($D815:$V815=1)),0)+SUM(J512)+IF(COUNTIF(J$641:J815,1)=1,5,0)+IF(COUNTIF(K513:$Z513,"&gt;"&amp;0)&gt;5,IF(MOD(COUNTIF(J$641:J815,1),7)=0,$C$4,0),0)</f>
        <v>532.516666666668</v>
      </c>
      <c r="K513" s="81" cm="1">
        <f ca="1" t="array" ref="K513">IF(K815=1,OFFSET($Z$338,$B513,K$335-1)/SUMPRODUCT(--($D$335:$V$335=K$335),--($D815:$V815=1)),0)+SUM(K512)+IF(COUNTIF(K$641:K815,1)=1,5,0)+IF(COUNTIF(L513:$Z513,"&gt;"&amp;0)&gt;5,IF(MOD(COUNTIF(K$641:K815,1),7)=0,$C$4,0),0)</f>
        <v>532.516666666668</v>
      </c>
      <c r="L513" s="81" cm="1">
        <f ca="1" t="array" ref="L513">IF(L815=1,OFFSET($Z$338,$B513,L$335-1)/SUMPRODUCT(--($D$335:$V$335=L$335),--($D815:$V815=1)),0)+SUM(L512)+IF(COUNTIF(L$641:L815,1)=1,5,0)+IF(COUNTIF(M513:$Z513,"&gt;"&amp;0)&gt;5,IF(MOD(COUNTIF(L$641:L815,1),7)=0,$C$4,0),0)</f>
        <v>520.816666666668</v>
      </c>
      <c r="M513" s="81" cm="1">
        <f ca="1" t="array" ref="M513">IF(M815=1,OFFSET($Z$338,$B513,M$335-1)/SUMPRODUCT(--($D$335:$V$335=M$335),--($D815:$V815=1)),0)+SUM(M512)+IF(COUNTIF(M$641:M815,1)=1,5,0)+IF(COUNTIF(N513:$Z513,"&gt;"&amp;0)&gt;5,IF(MOD(COUNTIF(M$641:M815,1),7)=0,$C$4,0),0)</f>
        <v>275.644107142858</v>
      </c>
      <c r="N513" s="81" cm="1">
        <f ca="1" t="array" ref="N513">IF(N815=1,OFFSET($Z$338,$B513,N$335-1)/SUMPRODUCT(--($D$335:$V$335=N$335),--($D815:$V815=1)),0)+SUM(N512)+IF(COUNTIF(N$641:N815,1)=1,5,0)+IF(COUNTIF(O513:$Z513,"&gt;"&amp;0)&gt;5,IF(MOD(COUNTIF(N$641:N815,1),7)=0,$C$4,0),0)</f>
        <v>267.919107142858</v>
      </c>
      <c r="O513" s="81" cm="1">
        <f ca="1" t="array" ref="O513">IF(O815=1,OFFSET($Z$338,$B513,O$335-1)/SUMPRODUCT(--($D$335:$V$335=O$335),--($D815:$V815=1)),0)+SUM(O512)+IF(COUNTIF(O$641:O815,1)=1,5,0)+IF(COUNTIF(P513:$Z513,"&gt;"&amp;0)&gt;5,IF(MOD(COUNTIF(O$641:O815,1),7)=0,$C$4,0),0)</f>
        <v>265.494107142858</v>
      </c>
      <c r="P513" s="81" cm="1">
        <f ca="1" t="array" ref="P513">IF(P815=1,OFFSET($Z$338,$B513,P$335-1)/SUMPRODUCT(--($D$335:$V$335=P$335),--($D815:$V815=1)),0)+SUM(P512)+IF(COUNTIF(P$641:P815,1)=1,5,0)+IF(COUNTIF(Q513:$Z513,"&gt;"&amp;0)&gt;5,IF(MOD(COUNTIF(P$641:P815,1),7)=0,$C$4,0),0)</f>
        <v>262.560773809524</v>
      </c>
      <c r="Q513" s="81" cm="1">
        <f ca="1" t="array" ref="Q513">IF(Q815=1,OFFSET($Z$338,$B513,Q$335-1)/SUMPRODUCT(--($D$335:$V$335=Q$335),--($D815:$V815=1)),0)+SUM(Q512)+IF(COUNTIF(Q$641:Q815,1)=1,5,0)+IF(COUNTIF(R513:$Z513,"&gt;"&amp;0)&gt;5,IF(MOD(COUNTIF(Q$641:Q815,1),7)=0,$C$4,0),0)</f>
        <v>261.654523809524</v>
      </c>
      <c r="R513" s="81" cm="1">
        <f ca="1" t="array" ref="R513">IF(R815=1,OFFSET($Z$338,$B513,R$335-1)/SUMPRODUCT(--($D$335:$V$335=R$335),--($D815:$V815=1)),0)+SUM(R512)+IF(COUNTIF(R$641:R815,1)=1,5,0)+IF(COUNTIF(S513:$Z513,"&gt;"&amp;0)&gt;5,IF(MOD(COUNTIF(R$641:R815,1),7)=0,$C$4,0),0)</f>
        <v>236.759523809524</v>
      </c>
      <c r="S513" s="81" cm="1">
        <f ca="1" t="array" ref="S513">IF(S815=1,OFFSET($Z$338,$B513,S$335-1)/SUMPRODUCT(--($D$335:$V$335=S$335),--($D815:$V815=1)),0)+SUM(S512)+IF(COUNTIF(S$641:S815,1)=1,5,0)+IF(COUNTIF(T513:$Z513,"&gt;"&amp;0)&gt;5,IF(MOD(COUNTIF(S$641:S815,1),7)=0,$C$4,0),0)</f>
        <v>227.592857142857</v>
      </c>
      <c r="T513" s="81" cm="1">
        <f ca="1" t="array" ref="T513">IF(T815=1,OFFSET($Z$338,$B513,T$335-1)/SUMPRODUCT(--($D$335:$V$335=T$335),--($D815:$V815=1)),0)+SUM(T512)+IF(COUNTIF(T$641:T815,1)=1,5,0)+IF(COUNTIF(U513:$Z513,"&gt;"&amp;0)&gt;5,IF(MOD(COUNTIF(T$641:T815,1),7)=0,$C$4,0),0)</f>
        <v>137.656257829764</v>
      </c>
      <c r="U513" s="81" cm="1">
        <f ca="1" t="array" ref="U513">IF(U815=1,OFFSET($Z$338,$B513,U$335-1)/SUMPRODUCT(--($D$335:$V$335=U$335),--($D815:$V815=1)),0)+SUM(U512)+IF(COUNTIF(U$641:U815,1)=1,5,0)+IF(COUNTIF(V513:$Z513,"&gt;"&amp;0)&gt;5,IF(MOD(COUNTIF(U$641:U815,1),7)=0,$C$4,0),0)</f>
        <v>97.6562578297643</v>
      </c>
      <c r="V513" s="81" cm="1">
        <f ca="1" t="array" ref="V513">IF(V815=1,OFFSET($Z$338,$B513,V$335-1)/SUMPRODUCT(--($D$335:$V$335=V$335),--($D815:$V815=1)),0)+SUM(V512)+IF(COUNTIF(V$641:V815,1)=1,5,0)+IF(COUNTIF(Z513:$Z513,"&gt;"&amp;0)&gt;5,IF(MOD(COUNTIF(V$641:V815,1),7)=0,$C$4,0),0)</f>
        <v>89.6984386404824</v>
      </c>
      <c r="W513" s="81" cm="1">
        <f ca="1" t="array" ref="W513">IF(W815=1,OFFSET($Z$338,$B513,W$335-1)/SUMPRODUCT(--($D$335:$V$335=W$335),--($D815:$V815=1)),0)+SUM(W512)+IF(COUNTIF(W$641:W815,1)=1,5,0)+IF(COUNTIF($Z513:AA513,"&gt;"&amp;0)&gt;5,IF(MOD(COUNTIF(W$641:W815,1),7)=0,$C$4,0),0)</f>
        <v>80.3425695255331</v>
      </c>
      <c r="X513" s="81" cm="1">
        <f ca="1" t="array" ref="X513">IF(X815=1,OFFSET($Z$338,$B513,X$335-1)/SUMPRODUCT(--($D$335:$V$335=X$335),--($D815:$V815=1)),0)+SUM(X512)+IF(COUNTIF(X$641:X815,1)=1,5,0)+IF(COUNTIF($Z513:AB513,"&gt;"&amp;0)&gt;5,IF(MOD(COUNTIF(X$641:X815,1),7)=0,$C$4,0),0)</f>
        <v>73.5789092348996</v>
      </c>
      <c r="Y513" s="81" cm="1">
        <f ca="1" t="array" ref="Y513">IF(Y815=1,OFFSET($Z$338,$B513,Y$335-1)/SUMPRODUCT(--($D$335:$V$335=Y$335),--($D815:$V815=1)),0)+SUM(Y512)+IF(COUNTIF(Y$641:Y815,1)=1,5,0)+IF(COUNTIF($Z513:AC513,"&gt;"&amp;0)&gt;5,IF(MOD(COUNTIF(Y$641:Y815,1),7)=0,$C$4,0),0)</f>
        <v>66.8152489442662</v>
      </c>
      <c r="Z513" s="82" cm="1">
        <f ca="1" t="array" ref="Z513">SUMPRODUCT(TRANSPOSE($AD513:$AJ513),OFFSET($L$10:$L$16,0,Z$335-1))</f>
        <v>0</v>
      </c>
      <c r="AA513" s="82" cm="1">
        <f ca="1" t="array" ref="AA513">SUMPRODUCT(TRANSPOSE($AD513:$AJ513),OFFSET($L$10:$L$16,0,AA$335-1))</f>
        <v>0</v>
      </c>
      <c r="AB513" s="82" cm="1">
        <f ca="1" t="array" ref="AB513">SUMPRODUCT(TRANSPOSE($AD513:$AJ513),OFFSET($L$10:$L$16,0,AB$335-1))</f>
        <v>0</v>
      </c>
      <c r="AC513" s="82" cm="1">
        <f ca="1" t="array" ref="AC513">SUMPRODUCT(TRANSPOSE($AD513:$AJ513),OFFSET($L$10:$L$16,0,AC$335-1))</f>
        <v>0</v>
      </c>
      <c r="AD513" s="83">
        <f ca="1" t="shared" ref="AD513:AJ513" si="673">AK513-AK512</f>
        <v>0</v>
      </c>
      <c r="AE513" s="83">
        <f ca="1" t="shared" si="673"/>
        <v>0</v>
      </c>
      <c r="AF513" s="83">
        <f ca="1" t="shared" si="673"/>
        <v>0</v>
      </c>
      <c r="AG513" s="83">
        <f ca="1" t="shared" si="673"/>
        <v>0</v>
      </c>
      <c r="AH513" s="83">
        <f ca="1" t="shared" si="673"/>
        <v>0</v>
      </c>
      <c r="AI513" s="83">
        <f ca="1" t="shared" si="673"/>
        <v>0</v>
      </c>
      <c r="AJ513" s="83">
        <f ca="1" t="shared" si="673"/>
        <v>0</v>
      </c>
      <c r="AK513" s="83">
        <f ca="1" t="shared" si="581"/>
        <v>450</v>
      </c>
      <c r="AL513" s="83">
        <f ca="1" t="shared" ref="AL513:AQ513" si="674">IF($C513&gt;OFFSET($Q$9,MATCH(AL$338,$AK$338:$AQ$338,0),0),OFFSET($P$9,MATCH(AL$338,$AK$338:$AQ$338,0),0),MAX(0,$C513-OFFSET($Q$9,RIGHT(AL$338,1)-1,0)))</f>
        <v>909</v>
      </c>
      <c r="AM513" s="83">
        <f ca="1" t="shared" si="674"/>
        <v>1818</v>
      </c>
      <c r="AN513" s="83">
        <f ca="1" t="shared" si="674"/>
        <v>2727</v>
      </c>
      <c r="AO513" s="83">
        <f ca="1" t="shared" si="674"/>
        <v>3636</v>
      </c>
      <c r="AP513" s="83">
        <f ca="1" t="shared" si="674"/>
        <v>4545</v>
      </c>
      <c r="AQ513" s="83">
        <f ca="1" t="shared" si="674"/>
        <v>0</v>
      </c>
    </row>
    <row r="514" ht="16.5" spans="2:43">
      <c r="B514" s="65">
        <v>176</v>
      </c>
      <c r="C514" s="80">
        <f t="shared" si="579"/>
        <v>20686</v>
      </c>
      <c r="D514" s="81" cm="1">
        <f ca="1" t="array" ref="D514">IF(D816=1,OFFSET($Z$338,$B514,D$335-1)/SUMPRODUCT(--($D$335:$V$335=D$335),--($D816:$V816=1)),0)+SUM(D513)+IF(COUNTIF(D$641:D816,1)=1,5,0)+IF(COUNTIF(E514:$Z514,"&gt;"&amp;0)&gt;5,IF(MOD(COUNTIF(D$641:D816,1),7)=0,$C$4,0),0)</f>
        <v>1243.82134856666</v>
      </c>
      <c r="E514" s="81" cm="1">
        <f ca="1" t="array" ref="E514">IF(E816=1,OFFSET($Z$338,$B514,E$335-1)/SUMPRODUCT(--($D$335:$V$335=E$335),--($D816:$V816=1)),0)+SUM(E513)+IF(COUNTIF(E$641:E816,1)=1,5,0)+IF(COUNTIF(F514:$Z514,"&gt;"&amp;0)&gt;5,IF(MOD(COUNTIF(E$641:E816,1),7)=0,$C$4,0),0)</f>
        <v>1243.82134856666</v>
      </c>
      <c r="F514" s="81" cm="1">
        <f ca="1" t="array" ref="F514">IF(F816=1,OFFSET($Z$338,$B514,F$335-1)/SUMPRODUCT(--($D$335:$V$335=F$335),--($D816:$V816=1)),0)+SUM(F513)+IF(COUNTIF(F$641:F816,1)=1,5,0)+IF(COUNTIF(G514:$Z514,"&gt;"&amp;0)&gt;5,IF(MOD(COUNTIF(F$641:F816,1),7)=0,$C$4,0),0)</f>
        <v>1243.82134856666</v>
      </c>
      <c r="G514" s="81" cm="1">
        <f ca="1" t="array" ref="G514">IF(G816=1,OFFSET($Z$338,$B514,G$335-1)/SUMPRODUCT(--($D$335:$V$335=G$335),--($D816:$V816=1)),0)+SUM(G513)+IF(COUNTIF(G$641:G816,1)=1,5,0)+IF(COUNTIF(H514:$Z514,"&gt;"&amp;0)&gt;5,IF(MOD(COUNTIF(G$641:G816,1),7)=0,$C$4,0),0)</f>
        <v>532.516666666668</v>
      </c>
      <c r="H514" s="81" cm="1">
        <f ca="1" t="array" ref="H514">IF(H816=1,OFFSET($Z$338,$B514,H$335-1)/SUMPRODUCT(--($D$335:$V$335=H$335),--($D816:$V816=1)),0)+SUM(H513)+IF(COUNTIF(H$641:H816,1)=1,5,0)+IF(COUNTIF(I514:$Z514,"&gt;"&amp;0)&gt;5,IF(MOD(COUNTIF(H$641:H816,1),7)=0,$C$4,0),0)</f>
        <v>532.516666666668</v>
      </c>
      <c r="I514" s="81" cm="1">
        <f ca="1" t="array" ref="I514">IF(I816=1,OFFSET($Z$338,$B514,I$335-1)/SUMPRODUCT(--($D$335:$V$335=I$335),--($D816:$V816=1)),0)+SUM(I513)+IF(COUNTIF(I$641:I816,1)=1,5,0)+IF(COUNTIF(J514:$Z514,"&gt;"&amp;0)&gt;5,IF(MOD(COUNTIF(I$641:I816,1),7)=0,$C$4,0),0)</f>
        <v>532.516666666668</v>
      </c>
      <c r="J514" s="81" cm="1">
        <f ca="1" t="array" ref="J514">IF(J816=1,OFFSET($Z$338,$B514,J$335-1)/SUMPRODUCT(--($D$335:$V$335=J$335),--($D816:$V816=1)),0)+SUM(J513)+IF(COUNTIF(J$641:J816,1)=1,5,0)+IF(COUNTIF(K514:$Z514,"&gt;"&amp;0)&gt;5,IF(MOD(COUNTIF(J$641:J816,1),7)=0,$C$4,0),0)</f>
        <v>532.516666666668</v>
      </c>
      <c r="K514" s="81" cm="1">
        <f ca="1" t="array" ref="K514">IF(K816=1,OFFSET($Z$338,$B514,K$335-1)/SUMPRODUCT(--($D$335:$V$335=K$335),--($D816:$V816=1)),0)+SUM(K513)+IF(COUNTIF(K$641:K816,1)=1,5,0)+IF(COUNTIF(L514:$Z514,"&gt;"&amp;0)&gt;5,IF(MOD(COUNTIF(K$641:K816,1),7)=0,$C$4,0),0)</f>
        <v>532.516666666668</v>
      </c>
      <c r="L514" s="81" cm="1">
        <f ca="1" t="array" ref="L514">IF(L816=1,OFFSET($Z$338,$B514,L$335-1)/SUMPRODUCT(--($D$335:$V$335=L$335),--($D816:$V816=1)),0)+SUM(L513)+IF(COUNTIF(L$641:L816,1)=1,5,0)+IF(COUNTIF(M514:$Z514,"&gt;"&amp;0)&gt;5,IF(MOD(COUNTIF(L$641:L816,1),7)=0,$C$4,0),0)</f>
        <v>525.816666666668</v>
      </c>
      <c r="M514" s="81" cm="1">
        <f ca="1" t="array" ref="M514">IF(M816=1,OFFSET($Z$338,$B514,M$335-1)/SUMPRODUCT(--($D$335:$V$335=M$335),--($D816:$V816=1)),0)+SUM(M513)+IF(COUNTIF(M$641:M816,1)=1,5,0)+IF(COUNTIF(N514:$Z514,"&gt;"&amp;0)&gt;5,IF(MOD(COUNTIF(M$641:M816,1),7)=0,$C$4,0),0)</f>
        <v>280.644107142858</v>
      </c>
      <c r="N514" s="81" cm="1">
        <f ca="1" t="array" ref="N514">IF(N816=1,OFFSET($Z$338,$B514,N$335-1)/SUMPRODUCT(--($D$335:$V$335=N$335),--($D816:$V816=1)),0)+SUM(N513)+IF(COUNTIF(N$641:N816,1)=1,5,0)+IF(COUNTIF(O514:$Z514,"&gt;"&amp;0)&gt;5,IF(MOD(COUNTIF(N$641:N816,1),7)=0,$C$4,0),0)</f>
        <v>267.919107142858</v>
      </c>
      <c r="O514" s="81" cm="1">
        <f ca="1" t="array" ref="O514">IF(O816=1,OFFSET($Z$338,$B514,O$335-1)/SUMPRODUCT(--($D$335:$V$335=O$335),--($D816:$V816=1)),0)+SUM(O513)+IF(COUNTIF(O$641:O816,1)=1,5,0)+IF(COUNTIF(P514:$Z514,"&gt;"&amp;0)&gt;5,IF(MOD(COUNTIF(O$641:O816,1),7)=0,$C$4,0),0)</f>
        <v>265.494107142858</v>
      </c>
      <c r="P514" s="81" cm="1">
        <f ca="1" t="array" ref="P514">IF(P816=1,OFFSET($Z$338,$B514,P$335-1)/SUMPRODUCT(--($D$335:$V$335=P$335),--($D816:$V816=1)),0)+SUM(P513)+IF(COUNTIF(P$641:P816,1)=1,5,0)+IF(COUNTIF(Q514:$Z514,"&gt;"&amp;0)&gt;5,IF(MOD(COUNTIF(P$641:P816,1),7)=0,$C$4,0),0)</f>
        <v>262.560773809524</v>
      </c>
      <c r="Q514" s="81" cm="1">
        <f ca="1" t="array" ref="Q514">IF(Q816=1,OFFSET($Z$338,$B514,Q$335-1)/SUMPRODUCT(--($D$335:$V$335=Q$335),--($D816:$V816=1)),0)+SUM(Q513)+IF(COUNTIF(Q$641:Q816,1)=1,5,0)+IF(COUNTIF(R514:$Z514,"&gt;"&amp;0)&gt;5,IF(MOD(COUNTIF(Q$641:Q816,1),7)=0,$C$4,0),0)</f>
        <v>261.654523809524</v>
      </c>
      <c r="R514" s="81" cm="1">
        <f ca="1" t="array" ref="R514">IF(R816=1,OFFSET($Z$338,$B514,R$335-1)/SUMPRODUCT(--($D$335:$V$335=R$335),--($D816:$V816=1)),0)+SUM(R513)+IF(COUNTIF(R$641:R816,1)=1,5,0)+IF(COUNTIF(S514:$Z514,"&gt;"&amp;0)&gt;5,IF(MOD(COUNTIF(R$641:R816,1),7)=0,$C$4,0),0)</f>
        <v>236.759523809524</v>
      </c>
      <c r="S514" s="81" cm="1">
        <f ca="1" t="array" ref="S514">IF(S816=1,OFFSET($Z$338,$B514,S$335-1)/SUMPRODUCT(--($D$335:$V$335=S$335),--($D816:$V816=1)),0)+SUM(S513)+IF(COUNTIF(S$641:S816,1)=1,5,0)+IF(COUNTIF(T514:$Z514,"&gt;"&amp;0)&gt;5,IF(MOD(COUNTIF(S$641:S816,1),7)=0,$C$4,0),0)</f>
        <v>227.592857142857</v>
      </c>
      <c r="T514" s="81" cm="1">
        <f ca="1" t="array" ref="T514">IF(T816=1,OFFSET($Z$338,$B514,T$335-1)/SUMPRODUCT(--($D$335:$V$335=T$335),--($D816:$V816=1)),0)+SUM(T513)+IF(COUNTIF(T$641:T816,1)=1,5,0)+IF(COUNTIF(U514:$Z514,"&gt;"&amp;0)&gt;5,IF(MOD(COUNTIF(T$641:T816,1),7)=0,$C$4,0),0)</f>
        <v>137.656257829764</v>
      </c>
      <c r="U514" s="81" cm="1">
        <f ca="1" t="array" ref="U514">IF(U816=1,OFFSET($Z$338,$B514,U$335-1)/SUMPRODUCT(--($D$335:$V$335=U$335),--($D816:$V816=1)),0)+SUM(U513)+IF(COUNTIF(U$641:U816,1)=1,5,0)+IF(COUNTIF(V514:$Z514,"&gt;"&amp;0)&gt;5,IF(MOD(COUNTIF(U$641:U816,1),7)=0,$C$4,0),0)</f>
        <v>97.6562578297643</v>
      </c>
      <c r="V514" s="81" cm="1">
        <f ca="1" t="array" ref="V514">IF(V816=1,OFFSET($Z$338,$B514,V$335-1)/SUMPRODUCT(--($D$335:$V$335=V$335),--($D816:$V816=1)),0)+SUM(V513)+IF(COUNTIF(V$641:V816,1)=1,5,0)+IF(COUNTIF(Z514:$Z514,"&gt;"&amp;0)&gt;5,IF(MOD(COUNTIF(V$641:V816,1),7)=0,$C$4,0),0)</f>
        <v>89.6984386404824</v>
      </c>
      <c r="W514" s="81" cm="1">
        <f ca="1" t="array" ref="W514">IF(W816=1,OFFSET($Z$338,$B514,W$335-1)/SUMPRODUCT(--($D$335:$V$335=W$335),--($D816:$V816=1)),0)+SUM(W513)+IF(COUNTIF(W$641:W816,1)=1,5,0)+IF(COUNTIF($Z514:AA514,"&gt;"&amp;0)&gt;5,IF(MOD(COUNTIF(W$641:W816,1),7)=0,$C$4,0),0)</f>
        <v>80.3425695255331</v>
      </c>
      <c r="X514" s="81" cm="1">
        <f ca="1" t="array" ref="X514">IF(X816=1,OFFSET($Z$338,$B514,X$335-1)/SUMPRODUCT(--($D$335:$V$335=X$335),--($D816:$V816=1)),0)+SUM(X513)+IF(COUNTIF(X$641:X816,1)=1,5,0)+IF(COUNTIF($Z514:AB514,"&gt;"&amp;0)&gt;5,IF(MOD(COUNTIF(X$641:X816,1),7)=0,$C$4,0),0)</f>
        <v>73.5789092348996</v>
      </c>
      <c r="Y514" s="81" cm="1">
        <f ca="1" t="array" ref="Y514">IF(Y816=1,OFFSET($Z$338,$B514,Y$335-1)/SUMPRODUCT(--($D$335:$V$335=Y$335),--($D816:$V816=1)),0)+SUM(Y513)+IF(COUNTIF(Y$641:Y816,1)=1,5,0)+IF(COUNTIF($Z514:AC514,"&gt;"&amp;0)&gt;5,IF(MOD(COUNTIF(Y$641:Y816,1),7)=0,$C$4,0),0)</f>
        <v>66.8152489442662</v>
      </c>
      <c r="Z514" s="82" cm="1">
        <f ca="1" t="array" ref="Z514">SUMPRODUCT(TRANSPOSE($AD514:$AJ514),OFFSET($L$10:$L$16,0,Z$335-1))</f>
        <v>0</v>
      </c>
      <c r="AA514" s="82" cm="1">
        <f ca="1" t="array" ref="AA514">SUMPRODUCT(TRANSPOSE($AD514:$AJ514),OFFSET($L$10:$L$16,0,AA$335-1))</f>
        <v>0</v>
      </c>
      <c r="AB514" s="82" cm="1">
        <f ca="1" t="array" ref="AB514">SUMPRODUCT(TRANSPOSE($AD514:$AJ514),OFFSET($L$10:$L$16,0,AB$335-1))</f>
        <v>0</v>
      </c>
      <c r="AC514" s="82" cm="1">
        <f ca="1" t="array" ref="AC514">SUMPRODUCT(TRANSPOSE($AD514:$AJ514),OFFSET($L$10:$L$16,0,AC$335-1))</f>
        <v>0</v>
      </c>
      <c r="AD514" s="83">
        <f ca="1" t="shared" ref="AD514:AJ514" si="675">AK514-AK513</f>
        <v>0</v>
      </c>
      <c r="AE514" s="83">
        <f ca="1" t="shared" si="675"/>
        <v>0</v>
      </c>
      <c r="AF514" s="83">
        <f ca="1" t="shared" si="675"/>
        <v>0</v>
      </c>
      <c r="AG514" s="83">
        <f ca="1" t="shared" si="675"/>
        <v>0</v>
      </c>
      <c r="AH514" s="83">
        <f ca="1" t="shared" si="675"/>
        <v>0</v>
      </c>
      <c r="AI514" s="83">
        <f ca="1" t="shared" si="675"/>
        <v>0</v>
      </c>
      <c r="AJ514" s="83">
        <f ca="1" t="shared" si="675"/>
        <v>0</v>
      </c>
      <c r="AK514" s="83">
        <f ca="1" t="shared" si="581"/>
        <v>450</v>
      </c>
      <c r="AL514" s="83">
        <f ca="1" t="shared" ref="AL514:AQ514" si="676">IF($C514&gt;OFFSET($Q$9,MATCH(AL$338,$AK$338:$AQ$338,0),0),OFFSET($P$9,MATCH(AL$338,$AK$338:$AQ$338,0),0),MAX(0,$C514-OFFSET($Q$9,RIGHT(AL$338,1)-1,0)))</f>
        <v>909</v>
      </c>
      <c r="AM514" s="83">
        <f ca="1" t="shared" si="676"/>
        <v>1818</v>
      </c>
      <c r="AN514" s="83">
        <f ca="1" t="shared" si="676"/>
        <v>2727</v>
      </c>
      <c r="AO514" s="83">
        <f ca="1" t="shared" si="676"/>
        <v>3636</v>
      </c>
      <c r="AP514" s="83">
        <f ca="1" t="shared" si="676"/>
        <v>4545</v>
      </c>
      <c r="AQ514" s="83">
        <f ca="1" t="shared" si="676"/>
        <v>0</v>
      </c>
    </row>
    <row r="515" ht="16.5" spans="2:43">
      <c r="B515" s="65">
        <v>177</v>
      </c>
      <c r="C515" s="80">
        <f t="shared" si="579"/>
        <v>20796</v>
      </c>
      <c r="D515" s="81" cm="1">
        <f ca="1" t="array" ref="D515">IF(D817=1,OFFSET($Z$338,$B515,D$335-1)/SUMPRODUCT(--($D$335:$V$335=D$335),--($D817:$V817=1)),0)+SUM(D514)+IF(COUNTIF(D$641:D817,1)=1,5,0)+IF(COUNTIF(E515:$Z515,"&gt;"&amp;0)&gt;5,IF(MOD(COUNTIF(D$641:D817,1),7)=0,$C$4,0),0)</f>
        <v>1243.82134856666</v>
      </c>
      <c r="E515" s="81" cm="1">
        <f ca="1" t="array" ref="E515">IF(E817=1,OFFSET($Z$338,$B515,E$335-1)/SUMPRODUCT(--($D$335:$V$335=E$335),--($D817:$V817=1)),0)+SUM(E514)+IF(COUNTIF(E$641:E817,1)=1,5,0)+IF(COUNTIF(F515:$Z515,"&gt;"&amp;0)&gt;5,IF(MOD(COUNTIF(E$641:E817,1),7)=0,$C$4,0),0)</f>
        <v>1243.82134856666</v>
      </c>
      <c r="F515" s="81" cm="1">
        <f ca="1" t="array" ref="F515">IF(F817=1,OFFSET($Z$338,$B515,F$335-1)/SUMPRODUCT(--($D$335:$V$335=F$335),--($D817:$V817=1)),0)+SUM(F514)+IF(COUNTIF(F$641:F817,1)=1,5,0)+IF(COUNTIF(G515:$Z515,"&gt;"&amp;0)&gt;5,IF(MOD(COUNTIF(F$641:F817,1),7)=0,$C$4,0),0)</f>
        <v>1243.82134856666</v>
      </c>
      <c r="G515" s="81" cm="1">
        <f ca="1" t="array" ref="G515">IF(G817=1,OFFSET($Z$338,$B515,G$335-1)/SUMPRODUCT(--($D$335:$V$335=G$335),--($D817:$V817=1)),0)+SUM(G514)+IF(COUNTIF(G$641:G817,1)=1,5,0)+IF(COUNTIF(H515:$Z515,"&gt;"&amp;0)&gt;5,IF(MOD(COUNTIF(G$641:G817,1),7)=0,$C$4,0),0)</f>
        <v>532.516666666668</v>
      </c>
      <c r="H515" s="81" cm="1">
        <f ca="1" t="array" ref="H515">IF(H817=1,OFFSET($Z$338,$B515,H$335-1)/SUMPRODUCT(--($D$335:$V$335=H$335),--($D817:$V817=1)),0)+SUM(H514)+IF(COUNTIF(H$641:H817,1)=1,5,0)+IF(COUNTIF(I515:$Z515,"&gt;"&amp;0)&gt;5,IF(MOD(COUNTIF(H$641:H817,1),7)=0,$C$4,0),0)</f>
        <v>532.516666666668</v>
      </c>
      <c r="I515" s="81" cm="1">
        <f ca="1" t="array" ref="I515">IF(I817=1,OFFSET($Z$338,$B515,I$335-1)/SUMPRODUCT(--($D$335:$V$335=I$335),--($D817:$V817=1)),0)+SUM(I514)+IF(COUNTIF(I$641:I817,1)=1,5,0)+IF(COUNTIF(J515:$Z515,"&gt;"&amp;0)&gt;5,IF(MOD(COUNTIF(I$641:I817,1),7)=0,$C$4,0),0)</f>
        <v>532.516666666668</v>
      </c>
      <c r="J515" s="81" cm="1">
        <f ca="1" t="array" ref="J515">IF(J817=1,OFFSET($Z$338,$B515,J$335-1)/SUMPRODUCT(--($D$335:$V$335=J$335),--($D817:$V817=1)),0)+SUM(J514)+IF(COUNTIF(J$641:J817,1)=1,5,0)+IF(COUNTIF(K515:$Z515,"&gt;"&amp;0)&gt;5,IF(MOD(COUNTIF(J$641:J817,1),7)=0,$C$4,0),0)</f>
        <v>532.516666666668</v>
      </c>
      <c r="K515" s="81" cm="1">
        <f ca="1" t="array" ref="K515">IF(K817=1,OFFSET($Z$338,$B515,K$335-1)/SUMPRODUCT(--($D$335:$V$335=K$335),--($D817:$V817=1)),0)+SUM(K514)+IF(COUNTIF(K$641:K817,1)=1,5,0)+IF(COUNTIF(L515:$Z515,"&gt;"&amp;0)&gt;5,IF(MOD(COUNTIF(K$641:K817,1),7)=0,$C$4,0),0)</f>
        <v>532.516666666668</v>
      </c>
      <c r="L515" s="81" cm="1">
        <f ca="1" t="array" ref="L515">IF(L817=1,OFFSET($Z$338,$B515,L$335-1)/SUMPRODUCT(--($D$335:$V$335=L$335),--($D817:$V817=1)),0)+SUM(L514)+IF(COUNTIF(L$641:L817,1)=1,5,0)+IF(COUNTIF(M515:$Z515,"&gt;"&amp;0)&gt;5,IF(MOD(COUNTIF(L$641:L817,1),7)=0,$C$4,0),0)</f>
        <v>525.816666666668</v>
      </c>
      <c r="M515" s="81" cm="1">
        <f ca="1" t="array" ref="M515">IF(M817=1,OFFSET($Z$338,$B515,M$335-1)/SUMPRODUCT(--($D$335:$V$335=M$335),--($D817:$V817=1)),0)+SUM(M514)+IF(COUNTIF(M$641:M817,1)=1,5,0)+IF(COUNTIF(N515:$Z515,"&gt;"&amp;0)&gt;5,IF(MOD(COUNTIF(M$641:M817,1),7)=0,$C$4,0),0)</f>
        <v>280.644107142858</v>
      </c>
      <c r="N515" s="81" cm="1">
        <f ca="1" t="array" ref="N515">IF(N817=1,OFFSET($Z$338,$B515,N$335-1)/SUMPRODUCT(--($D$335:$V$335=N$335),--($D817:$V817=1)),0)+SUM(N514)+IF(COUNTIF(N$641:N817,1)=1,5,0)+IF(COUNTIF(O515:$Z515,"&gt;"&amp;0)&gt;5,IF(MOD(COUNTIF(N$641:N817,1),7)=0,$C$4,0),0)</f>
        <v>272.919107142858</v>
      </c>
      <c r="O515" s="81" cm="1">
        <f ca="1" t="array" ref="O515">IF(O817=1,OFFSET($Z$338,$B515,O$335-1)/SUMPRODUCT(--($D$335:$V$335=O$335),--($D817:$V817=1)),0)+SUM(O514)+IF(COUNTIF(O$641:O817,1)=1,5,0)+IF(COUNTIF(P515:$Z515,"&gt;"&amp;0)&gt;5,IF(MOD(COUNTIF(O$641:O817,1),7)=0,$C$4,0),0)</f>
        <v>265.494107142858</v>
      </c>
      <c r="P515" s="81" cm="1">
        <f ca="1" t="array" ref="P515">IF(P817=1,OFFSET($Z$338,$B515,P$335-1)/SUMPRODUCT(--($D$335:$V$335=P$335),--($D817:$V817=1)),0)+SUM(P514)+IF(COUNTIF(P$641:P817,1)=1,5,0)+IF(COUNTIF(Q515:$Z515,"&gt;"&amp;0)&gt;5,IF(MOD(COUNTIF(P$641:P817,1),7)=0,$C$4,0),0)</f>
        <v>262.560773809524</v>
      </c>
      <c r="Q515" s="81" cm="1">
        <f ca="1" t="array" ref="Q515">IF(Q817=1,OFFSET($Z$338,$B515,Q$335-1)/SUMPRODUCT(--($D$335:$V$335=Q$335),--($D817:$V817=1)),0)+SUM(Q514)+IF(COUNTIF(Q$641:Q817,1)=1,5,0)+IF(COUNTIF(R515:$Z515,"&gt;"&amp;0)&gt;5,IF(MOD(COUNTIF(Q$641:Q817,1),7)=0,$C$4,0),0)</f>
        <v>261.654523809524</v>
      </c>
      <c r="R515" s="81" cm="1">
        <f ca="1" t="array" ref="R515">IF(R817=1,OFFSET($Z$338,$B515,R$335-1)/SUMPRODUCT(--($D$335:$V$335=R$335),--($D817:$V817=1)),0)+SUM(R514)+IF(COUNTIF(R$641:R817,1)=1,5,0)+IF(COUNTIF(S515:$Z515,"&gt;"&amp;0)&gt;5,IF(MOD(COUNTIF(R$641:R817,1),7)=0,$C$4,0),0)</f>
        <v>236.759523809524</v>
      </c>
      <c r="S515" s="81" cm="1">
        <f ca="1" t="array" ref="S515">IF(S817=1,OFFSET($Z$338,$B515,S$335-1)/SUMPRODUCT(--($D$335:$V$335=S$335),--($D817:$V817=1)),0)+SUM(S514)+IF(COUNTIF(S$641:S817,1)=1,5,0)+IF(COUNTIF(T515:$Z515,"&gt;"&amp;0)&gt;5,IF(MOD(COUNTIF(S$641:S817,1),7)=0,$C$4,0),0)</f>
        <v>227.592857142857</v>
      </c>
      <c r="T515" s="81" cm="1">
        <f ca="1" t="array" ref="T515">IF(T817=1,OFFSET($Z$338,$B515,T$335-1)/SUMPRODUCT(--($D$335:$V$335=T$335),--($D817:$V817=1)),0)+SUM(T514)+IF(COUNTIF(T$641:T817,1)=1,5,0)+IF(COUNTIF(U515:$Z515,"&gt;"&amp;0)&gt;5,IF(MOD(COUNTIF(T$641:T817,1),7)=0,$C$4,0),0)</f>
        <v>137.656257829764</v>
      </c>
      <c r="U515" s="81" cm="1">
        <f ca="1" t="array" ref="U515">IF(U817=1,OFFSET($Z$338,$B515,U$335-1)/SUMPRODUCT(--($D$335:$V$335=U$335),--($D817:$V817=1)),0)+SUM(U514)+IF(COUNTIF(U$641:U817,1)=1,5,0)+IF(COUNTIF(V515:$Z515,"&gt;"&amp;0)&gt;5,IF(MOD(COUNTIF(U$641:U817,1),7)=0,$C$4,0),0)</f>
        <v>97.6562578297643</v>
      </c>
      <c r="V515" s="81" cm="1">
        <f ca="1" t="array" ref="V515">IF(V817=1,OFFSET($Z$338,$B515,V$335-1)/SUMPRODUCT(--($D$335:$V$335=V$335),--($D817:$V817=1)),0)+SUM(V514)+IF(COUNTIF(V$641:V817,1)=1,5,0)+IF(COUNTIF(Z515:$Z515,"&gt;"&amp;0)&gt;5,IF(MOD(COUNTIF(V$641:V817,1),7)=0,$C$4,0),0)</f>
        <v>89.6984386404824</v>
      </c>
      <c r="W515" s="81" cm="1">
        <f ca="1" t="array" ref="W515">IF(W817=1,OFFSET($Z$338,$B515,W$335-1)/SUMPRODUCT(--($D$335:$V$335=W$335),--($D817:$V817=1)),0)+SUM(W514)+IF(COUNTIF(W$641:W817,1)=1,5,0)+IF(COUNTIF($Z515:AA515,"&gt;"&amp;0)&gt;5,IF(MOD(COUNTIF(W$641:W817,1),7)=0,$C$4,0),0)</f>
        <v>80.3425695255331</v>
      </c>
      <c r="X515" s="81" cm="1">
        <f ca="1" t="array" ref="X515">IF(X817=1,OFFSET($Z$338,$B515,X$335-1)/SUMPRODUCT(--($D$335:$V$335=X$335),--($D817:$V817=1)),0)+SUM(X514)+IF(COUNTIF(X$641:X817,1)=1,5,0)+IF(COUNTIF($Z515:AB515,"&gt;"&amp;0)&gt;5,IF(MOD(COUNTIF(X$641:X817,1),7)=0,$C$4,0),0)</f>
        <v>73.5789092348996</v>
      </c>
      <c r="Y515" s="81" cm="1">
        <f ca="1" t="array" ref="Y515">IF(Y817=1,OFFSET($Z$338,$B515,Y$335-1)/SUMPRODUCT(--($D$335:$V$335=Y$335),--($D817:$V817=1)),0)+SUM(Y514)+IF(COUNTIF(Y$641:Y817,1)=1,5,0)+IF(COUNTIF($Z515:AC515,"&gt;"&amp;0)&gt;5,IF(MOD(COUNTIF(Y$641:Y817,1),7)=0,$C$4,0),0)</f>
        <v>66.8152489442662</v>
      </c>
      <c r="Z515" s="82" cm="1">
        <f ca="1" t="array" ref="Z515">SUMPRODUCT(TRANSPOSE($AD515:$AJ515),OFFSET($L$10:$L$16,0,Z$335-1))</f>
        <v>0</v>
      </c>
      <c r="AA515" s="82" cm="1">
        <f ca="1" t="array" ref="AA515">SUMPRODUCT(TRANSPOSE($AD515:$AJ515),OFFSET($L$10:$L$16,0,AA$335-1))</f>
        <v>0</v>
      </c>
      <c r="AB515" s="82" cm="1">
        <f ca="1" t="array" ref="AB515">SUMPRODUCT(TRANSPOSE($AD515:$AJ515),OFFSET($L$10:$L$16,0,AB$335-1))</f>
        <v>0</v>
      </c>
      <c r="AC515" s="82" cm="1">
        <f ca="1" t="array" ref="AC515">SUMPRODUCT(TRANSPOSE($AD515:$AJ515),OFFSET($L$10:$L$16,0,AC$335-1))</f>
        <v>0</v>
      </c>
      <c r="AD515" s="83">
        <f ca="1" t="shared" ref="AD515:AJ515" si="677">AK515-AK514</f>
        <v>0</v>
      </c>
      <c r="AE515" s="83">
        <f ca="1" t="shared" si="677"/>
        <v>0</v>
      </c>
      <c r="AF515" s="83">
        <f ca="1" t="shared" si="677"/>
        <v>0</v>
      </c>
      <c r="AG515" s="83">
        <f ca="1" t="shared" si="677"/>
        <v>0</v>
      </c>
      <c r="AH515" s="83">
        <f ca="1" t="shared" si="677"/>
        <v>0</v>
      </c>
      <c r="AI515" s="83">
        <f ca="1" t="shared" si="677"/>
        <v>0</v>
      </c>
      <c r="AJ515" s="83">
        <f ca="1" t="shared" si="677"/>
        <v>0</v>
      </c>
      <c r="AK515" s="83">
        <f ca="1" t="shared" si="581"/>
        <v>450</v>
      </c>
      <c r="AL515" s="83">
        <f ca="1" t="shared" ref="AL515:AQ515" si="678">IF($C515&gt;OFFSET($Q$9,MATCH(AL$338,$AK$338:$AQ$338,0),0),OFFSET($P$9,MATCH(AL$338,$AK$338:$AQ$338,0),0),MAX(0,$C515-OFFSET($Q$9,RIGHT(AL$338,1)-1,0)))</f>
        <v>909</v>
      </c>
      <c r="AM515" s="83">
        <f ca="1" t="shared" si="678"/>
        <v>1818</v>
      </c>
      <c r="AN515" s="83">
        <f ca="1" t="shared" si="678"/>
        <v>2727</v>
      </c>
      <c r="AO515" s="83">
        <f ca="1" t="shared" si="678"/>
        <v>3636</v>
      </c>
      <c r="AP515" s="83">
        <f ca="1" t="shared" si="678"/>
        <v>4545</v>
      </c>
      <c r="AQ515" s="83">
        <f ca="1" t="shared" si="678"/>
        <v>0</v>
      </c>
    </row>
    <row r="516" ht="16.5" spans="2:43">
      <c r="B516" s="65">
        <v>178</v>
      </c>
      <c r="C516" s="80">
        <f t="shared" si="579"/>
        <v>20906</v>
      </c>
      <c r="D516" s="81" cm="1">
        <f ca="1" t="array" ref="D516">IF(D818=1,OFFSET($Z$338,$B516,D$335-1)/SUMPRODUCT(--($D$335:$V$335=D$335),--($D818:$V818=1)),0)+SUM(D515)+IF(COUNTIF(D$641:D818,1)=1,5,0)+IF(COUNTIF(E516:$Z516,"&gt;"&amp;0)&gt;5,IF(MOD(COUNTIF(D$641:D818,1),7)=0,$C$4,0),0)</f>
        <v>1243.82134856666</v>
      </c>
      <c r="E516" s="81" cm="1">
        <f ca="1" t="array" ref="E516">IF(E818=1,OFFSET($Z$338,$B516,E$335-1)/SUMPRODUCT(--($D$335:$V$335=E$335),--($D818:$V818=1)),0)+SUM(E515)+IF(COUNTIF(E$641:E818,1)=1,5,0)+IF(COUNTIF(F516:$Z516,"&gt;"&amp;0)&gt;5,IF(MOD(COUNTIF(E$641:E818,1),7)=0,$C$4,0),0)</f>
        <v>1243.82134856666</v>
      </c>
      <c r="F516" s="81" cm="1">
        <f ca="1" t="array" ref="F516">IF(F818=1,OFFSET($Z$338,$B516,F$335-1)/SUMPRODUCT(--($D$335:$V$335=F$335),--($D818:$V818=1)),0)+SUM(F515)+IF(COUNTIF(F$641:F818,1)=1,5,0)+IF(COUNTIF(G516:$Z516,"&gt;"&amp;0)&gt;5,IF(MOD(COUNTIF(F$641:F818,1),7)=0,$C$4,0),0)</f>
        <v>1243.82134856666</v>
      </c>
      <c r="G516" s="81" cm="1">
        <f ca="1" t="array" ref="G516">IF(G818=1,OFFSET($Z$338,$B516,G$335-1)/SUMPRODUCT(--($D$335:$V$335=G$335),--($D818:$V818=1)),0)+SUM(G515)+IF(COUNTIF(G$641:G818,1)=1,5,0)+IF(COUNTIF(H516:$Z516,"&gt;"&amp;0)&gt;5,IF(MOD(COUNTIF(G$641:G818,1),7)=0,$C$4,0),0)</f>
        <v>532.516666666668</v>
      </c>
      <c r="H516" s="81" cm="1">
        <f ca="1" t="array" ref="H516">IF(H818=1,OFFSET($Z$338,$B516,H$335-1)/SUMPRODUCT(--($D$335:$V$335=H$335),--($D818:$V818=1)),0)+SUM(H515)+IF(COUNTIF(H$641:H818,1)=1,5,0)+IF(COUNTIF(I516:$Z516,"&gt;"&amp;0)&gt;5,IF(MOD(COUNTIF(H$641:H818,1),7)=0,$C$4,0),0)</f>
        <v>532.516666666668</v>
      </c>
      <c r="I516" s="81" cm="1">
        <f ca="1" t="array" ref="I516">IF(I818=1,OFFSET($Z$338,$B516,I$335-1)/SUMPRODUCT(--($D$335:$V$335=I$335),--($D818:$V818=1)),0)+SUM(I515)+IF(COUNTIF(I$641:I818,1)=1,5,0)+IF(COUNTIF(J516:$Z516,"&gt;"&amp;0)&gt;5,IF(MOD(COUNTIF(I$641:I818,1),7)=0,$C$4,0),0)</f>
        <v>532.516666666668</v>
      </c>
      <c r="J516" s="81" cm="1">
        <f ca="1" t="array" ref="J516">IF(J818=1,OFFSET($Z$338,$B516,J$335-1)/SUMPRODUCT(--($D$335:$V$335=J$335),--($D818:$V818=1)),0)+SUM(J515)+IF(COUNTIF(J$641:J818,1)=1,5,0)+IF(COUNTIF(K516:$Z516,"&gt;"&amp;0)&gt;5,IF(MOD(COUNTIF(J$641:J818,1),7)=0,$C$4,0),0)</f>
        <v>532.516666666668</v>
      </c>
      <c r="K516" s="81" cm="1">
        <f ca="1" t="array" ref="K516">IF(K818=1,OFFSET($Z$338,$B516,K$335-1)/SUMPRODUCT(--($D$335:$V$335=K$335),--($D818:$V818=1)),0)+SUM(K515)+IF(COUNTIF(K$641:K818,1)=1,5,0)+IF(COUNTIF(L516:$Z516,"&gt;"&amp;0)&gt;5,IF(MOD(COUNTIF(K$641:K818,1),7)=0,$C$4,0),0)</f>
        <v>532.516666666668</v>
      </c>
      <c r="L516" s="81" cm="1">
        <f ca="1" t="array" ref="L516">IF(L818=1,OFFSET($Z$338,$B516,L$335-1)/SUMPRODUCT(--($D$335:$V$335=L$335),--($D818:$V818=1)),0)+SUM(L515)+IF(COUNTIF(L$641:L818,1)=1,5,0)+IF(COUNTIF(M516:$Z516,"&gt;"&amp;0)&gt;5,IF(MOD(COUNTIF(L$641:L818,1),7)=0,$C$4,0),0)</f>
        <v>525.816666666668</v>
      </c>
      <c r="M516" s="81" cm="1">
        <f ca="1" t="array" ref="M516">IF(M818=1,OFFSET($Z$338,$B516,M$335-1)/SUMPRODUCT(--($D$335:$V$335=M$335),--($D818:$V818=1)),0)+SUM(M515)+IF(COUNTIF(M$641:M818,1)=1,5,0)+IF(COUNTIF(N516:$Z516,"&gt;"&amp;0)&gt;5,IF(MOD(COUNTIF(M$641:M818,1),7)=0,$C$4,0),0)</f>
        <v>280.644107142858</v>
      </c>
      <c r="N516" s="81" cm="1">
        <f ca="1" t="array" ref="N516">IF(N818=1,OFFSET($Z$338,$B516,N$335-1)/SUMPRODUCT(--($D$335:$V$335=N$335),--($D818:$V818=1)),0)+SUM(N515)+IF(COUNTIF(N$641:N818,1)=1,5,0)+IF(COUNTIF(O516:$Z516,"&gt;"&amp;0)&gt;5,IF(MOD(COUNTIF(N$641:N818,1),7)=0,$C$4,0),0)</f>
        <v>272.919107142858</v>
      </c>
      <c r="O516" s="81" cm="1">
        <f ca="1" t="array" ref="O516">IF(O818=1,OFFSET($Z$338,$B516,O$335-1)/SUMPRODUCT(--($D$335:$V$335=O$335),--($D818:$V818=1)),0)+SUM(O515)+IF(COUNTIF(O$641:O818,1)=1,5,0)+IF(COUNTIF(P516:$Z516,"&gt;"&amp;0)&gt;5,IF(MOD(COUNTIF(O$641:O818,1),7)=0,$C$4,0),0)</f>
        <v>270.494107142858</v>
      </c>
      <c r="P516" s="81" cm="1">
        <f ca="1" t="array" ref="P516">IF(P818=1,OFFSET($Z$338,$B516,P$335-1)/SUMPRODUCT(--($D$335:$V$335=P$335),--($D818:$V818=1)),0)+SUM(P515)+IF(COUNTIF(P$641:P818,1)=1,5,0)+IF(COUNTIF(Q516:$Z516,"&gt;"&amp;0)&gt;5,IF(MOD(COUNTIF(P$641:P818,1),7)=0,$C$4,0),0)</f>
        <v>262.560773809524</v>
      </c>
      <c r="Q516" s="81" cm="1">
        <f ca="1" t="array" ref="Q516">IF(Q818=1,OFFSET($Z$338,$B516,Q$335-1)/SUMPRODUCT(--($D$335:$V$335=Q$335),--($D818:$V818=1)),0)+SUM(Q515)+IF(COUNTIF(Q$641:Q818,1)=1,5,0)+IF(COUNTIF(R516:$Z516,"&gt;"&amp;0)&gt;5,IF(MOD(COUNTIF(Q$641:Q818,1),7)=0,$C$4,0),0)</f>
        <v>261.654523809524</v>
      </c>
      <c r="R516" s="81" cm="1">
        <f ca="1" t="array" ref="R516">IF(R818=1,OFFSET($Z$338,$B516,R$335-1)/SUMPRODUCT(--($D$335:$V$335=R$335),--($D818:$V818=1)),0)+SUM(R515)+IF(COUNTIF(R$641:R818,1)=1,5,0)+IF(COUNTIF(S516:$Z516,"&gt;"&amp;0)&gt;5,IF(MOD(COUNTIF(R$641:R818,1),7)=0,$C$4,0),0)</f>
        <v>236.759523809524</v>
      </c>
      <c r="S516" s="81" cm="1">
        <f ca="1" t="array" ref="S516">IF(S818=1,OFFSET($Z$338,$B516,S$335-1)/SUMPRODUCT(--($D$335:$V$335=S$335),--($D818:$V818=1)),0)+SUM(S515)+IF(COUNTIF(S$641:S818,1)=1,5,0)+IF(COUNTIF(T516:$Z516,"&gt;"&amp;0)&gt;5,IF(MOD(COUNTIF(S$641:S818,1),7)=0,$C$4,0),0)</f>
        <v>227.592857142857</v>
      </c>
      <c r="T516" s="81" cm="1">
        <f ca="1" t="array" ref="T516">IF(T818=1,OFFSET($Z$338,$B516,T$335-1)/SUMPRODUCT(--($D$335:$V$335=T$335),--($D818:$V818=1)),0)+SUM(T515)+IF(COUNTIF(T$641:T818,1)=1,5,0)+IF(COUNTIF(U516:$Z516,"&gt;"&amp;0)&gt;5,IF(MOD(COUNTIF(T$641:T818,1),7)=0,$C$4,0),0)</f>
        <v>137.656257829764</v>
      </c>
      <c r="U516" s="81" cm="1">
        <f ca="1" t="array" ref="U516">IF(U818=1,OFFSET($Z$338,$B516,U$335-1)/SUMPRODUCT(--($D$335:$V$335=U$335),--($D818:$V818=1)),0)+SUM(U515)+IF(COUNTIF(U$641:U818,1)=1,5,0)+IF(COUNTIF(V516:$Z516,"&gt;"&amp;0)&gt;5,IF(MOD(COUNTIF(U$641:U818,1),7)=0,$C$4,0),0)</f>
        <v>97.6562578297643</v>
      </c>
      <c r="V516" s="81" cm="1">
        <f ca="1" t="array" ref="V516">IF(V818=1,OFFSET($Z$338,$B516,V$335-1)/SUMPRODUCT(--($D$335:$V$335=V$335),--($D818:$V818=1)),0)+SUM(V515)+IF(COUNTIF(V$641:V818,1)=1,5,0)+IF(COUNTIF(Z516:$Z516,"&gt;"&amp;0)&gt;5,IF(MOD(COUNTIF(V$641:V818,1),7)=0,$C$4,0),0)</f>
        <v>89.6984386404824</v>
      </c>
      <c r="W516" s="81" cm="1">
        <f ca="1" t="array" ref="W516">IF(W818=1,OFFSET($Z$338,$B516,W$335-1)/SUMPRODUCT(--($D$335:$V$335=W$335),--($D818:$V818=1)),0)+SUM(W515)+IF(COUNTIF(W$641:W818,1)=1,5,0)+IF(COUNTIF($Z516:AA516,"&gt;"&amp;0)&gt;5,IF(MOD(COUNTIF(W$641:W818,1),7)=0,$C$4,0),0)</f>
        <v>80.3425695255331</v>
      </c>
      <c r="X516" s="81" cm="1">
        <f ca="1" t="array" ref="X516">IF(X818=1,OFFSET($Z$338,$B516,X$335-1)/SUMPRODUCT(--($D$335:$V$335=X$335),--($D818:$V818=1)),0)+SUM(X515)+IF(COUNTIF(X$641:X818,1)=1,5,0)+IF(COUNTIF($Z516:AB516,"&gt;"&amp;0)&gt;5,IF(MOD(COUNTIF(X$641:X818,1),7)=0,$C$4,0),0)</f>
        <v>73.5789092348996</v>
      </c>
      <c r="Y516" s="81" cm="1">
        <f ca="1" t="array" ref="Y516">IF(Y818=1,OFFSET($Z$338,$B516,Y$335-1)/SUMPRODUCT(--($D$335:$V$335=Y$335),--($D818:$V818=1)),0)+SUM(Y515)+IF(COUNTIF(Y$641:Y818,1)=1,5,0)+IF(COUNTIF($Z516:AC516,"&gt;"&amp;0)&gt;5,IF(MOD(COUNTIF(Y$641:Y818,1),7)=0,$C$4,0),0)</f>
        <v>66.8152489442662</v>
      </c>
      <c r="Z516" s="82" cm="1">
        <f ca="1" t="array" ref="Z516">SUMPRODUCT(TRANSPOSE($AD516:$AJ516),OFFSET($L$10:$L$16,0,Z$335-1))</f>
        <v>0</v>
      </c>
      <c r="AA516" s="82" cm="1">
        <f ca="1" t="array" ref="AA516">SUMPRODUCT(TRANSPOSE($AD516:$AJ516),OFFSET($L$10:$L$16,0,AA$335-1))</f>
        <v>0</v>
      </c>
      <c r="AB516" s="82" cm="1">
        <f ca="1" t="array" ref="AB516">SUMPRODUCT(TRANSPOSE($AD516:$AJ516),OFFSET($L$10:$L$16,0,AB$335-1))</f>
        <v>0</v>
      </c>
      <c r="AC516" s="82" cm="1">
        <f ca="1" t="array" ref="AC516">SUMPRODUCT(TRANSPOSE($AD516:$AJ516),OFFSET($L$10:$L$16,0,AC$335-1))</f>
        <v>0</v>
      </c>
      <c r="AD516" s="83">
        <f ca="1" t="shared" ref="AD516:AJ516" si="679">AK516-AK515</f>
        <v>0</v>
      </c>
      <c r="AE516" s="83">
        <f ca="1" t="shared" si="679"/>
        <v>0</v>
      </c>
      <c r="AF516" s="83">
        <f ca="1" t="shared" si="679"/>
        <v>0</v>
      </c>
      <c r="AG516" s="83">
        <f ca="1" t="shared" si="679"/>
        <v>0</v>
      </c>
      <c r="AH516" s="83">
        <f ca="1" t="shared" si="679"/>
        <v>0</v>
      </c>
      <c r="AI516" s="83">
        <f ca="1" t="shared" si="679"/>
        <v>0</v>
      </c>
      <c r="AJ516" s="83">
        <f ca="1" t="shared" si="679"/>
        <v>0</v>
      </c>
      <c r="AK516" s="83">
        <f ca="1" t="shared" si="581"/>
        <v>450</v>
      </c>
      <c r="AL516" s="83">
        <f ca="1" t="shared" ref="AL516:AQ516" si="680">IF($C516&gt;OFFSET($Q$9,MATCH(AL$338,$AK$338:$AQ$338,0),0),OFFSET($P$9,MATCH(AL$338,$AK$338:$AQ$338,0),0),MAX(0,$C516-OFFSET($Q$9,RIGHT(AL$338,1)-1,0)))</f>
        <v>909</v>
      </c>
      <c r="AM516" s="83">
        <f ca="1" t="shared" si="680"/>
        <v>1818</v>
      </c>
      <c r="AN516" s="83">
        <f ca="1" t="shared" si="680"/>
        <v>2727</v>
      </c>
      <c r="AO516" s="83">
        <f ca="1" t="shared" si="680"/>
        <v>3636</v>
      </c>
      <c r="AP516" s="83">
        <f ca="1" t="shared" si="680"/>
        <v>4545</v>
      </c>
      <c r="AQ516" s="83">
        <f ca="1" t="shared" si="680"/>
        <v>0</v>
      </c>
    </row>
    <row r="517" ht="16.5" spans="2:43">
      <c r="B517" s="65">
        <v>179</v>
      </c>
      <c r="C517" s="80">
        <f t="shared" si="579"/>
        <v>21016</v>
      </c>
      <c r="D517" s="81" cm="1">
        <f ca="1" t="array" ref="D517">IF(D819=1,OFFSET($Z$338,$B517,D$335-1)/SUMPRODUCT(--($D$335:$V$335=D$335),--($D819:$V819=1)),0)+SUM(D516)+IF(COUNTIF(D$641:D819,1)=1,5,0)+IF(COUNTIF(E517:$Z517,"&gt;"&amp;0)&gt;5,IF(MOD(COUNTIF(D$641:D819,1),7)=0,$C$4,0),0)</f>
        <v>1243.82134856666</v>
      </c>
      <c r="E517" s="81" cm="1">
        <f ca="1" t="array" ref="E517">IF(E819=1,OFFSET($Z$338,$B517,E$335-1)/SUMPRODUCT(--($D$335:$V$335=E$335),--($D819:$V819=1)),0)+SUM(E516)+IF(COUNTIF(E$641:E819,1)=1,5,0)+IF(COUNTIF(F517:$Z517,"&gt;"&amp;0)&gt;5,IF(MOD(COUNTIF(E$641:E819,1),7)=0,$C$4,0),0)</f>
        <v>1243.82134856666</v>
      </c>
      <c r="F517" s="81" cm="1">
        <f ca="1" t="array" ref="F517">IF(F819=1,OFFSET($Z$338,$B517,F$335-1)/SUMPRODUCT(--($D$335:$V$335=F$335),--($D819:$V819=1)),0)+SUM(F516)+IF(COUNTIF(F$641:F819,1)=1,5,0)+IF(COUNTIF(G517:$Z517,"&gt;"&amp;0)&gt;5,IF(MOD(COUNTIF(F$641:F819,1),7)=0,$C$4,0),0)</f>
        <v>1243.82134856666</v>
      </c>
      <c r="G517" s="81" cm="1">
        <f ca="1" t="array" ref="G517">IF(G819=1,OFFSET($Z$338,$B517,G$335-1)/SUMPRODUCT(--($D$335:$V$335=G$335),--($D819:$V819=1)),0)+SUM(G516)+IF(COUNTIF(G$641:G819,1)=1,5,0)+IF(COUNTIF(H517:$Z517,"&gt;"&amp;0)&gt;5,IF(MOD(COUNTIF(G$641:G819,1),7)=0,$C$4,0),0)</f>
        <v>532.516666666668</v>
      </c>
      <c r="H517" s="81" cm="1">
        <f ca="1" t="array" ref="H517">IF(H819=1,OFFSET($Z$338,$B517,H$335-1)/SUMPRODUCT(--($D$335:$V$335=H$335),--($D819:$V819=1)),0)+SUM(H516)+IF(COUNTIF(H$641:H819,1)=1,5,0)+IF(COUNTIF(I517:$Z517,"&gt;"&amp;0)&gt;5,IF(MOD(COUNTIF(H$641:H819,1),7)=0,$C$4,0),0)</f>
        <v>532.516666666668</v>
      </c>
      <c r="I517" s="81" cm="1">
        <f ca="1" t="array" ref="I517">IF(I819=1,OFFSET($Z$338,$B517,I$335-1)/SUMPRODUCT(--($D$335:$V$335=I$335),--($D819:$V819=1)),0)+SUM(I516)+IF(COUNTIF(I$641:I819,1)=1,5,0)+IF(COUNTIF(J517:$Z517,"&gt;"&amp;0)&gt;5,IF(MOD(COUNTIF(I$641:I819,1),7)=0,$C$4,0),0)</f>
        <v>532.516666666668</v>
      </c>
      <c r="J517" s="81" cm="1">
        <f ca="1" t="array" ref="J517">IF(J819=1,OFFSET($Z$338,$B517,J$335-1)/SUMPRODUCT(--($D$335:$V$335=J$335),--($D819:$V819=1)),0)+SUM(J516)+IF(COUNTIF(J$641:J819,1)=1,5,0)+IF(COUNTIF(K517:$Z517,"&gt;"&amp;0)&gt;5,IF(MOD(COUNTIF(J$641:J819,1),7)=0,$C$4,0),0)</f>
        <v>532.516666666668</v>
      </c>
      <c r="K517" s="81" cm="1">
        <f ca="1" t="array" ref="K517">IF(K819=1,OFFSET($Z$338,$B517,K$335-1)/SUMPRODUCT(--($D$335:$V$335=K$335),--($D819:$V819=1)),0)+SUM(K516)+IF(COUNTIF(K$641:K819,1)=1,5,0)+IF(COUNTIF(L517:$Z517,"&gt;"&amp;0)&gt;5,IF(MOD(COUNTIF(K$641:K819,1),7)=0,$C$4,0),0)</f>
        <v>532.516666666668</v>
      </c>
      <c r="L517" s="81" cm="1">
        <f ca="1" t="array" ref="L517">IF(L819=1,OFFSET($Z$338,$B517,L$335-1)/SUMPRODUCT(--($D$335:$V$335=L$335),--($D819:$V819=1)),0)+SUM(L516)+IF(COUNTIF(L$641:L819,1)=1,5,0)+IF(COUNTIF(M517:$Z517,"&gt;"&amp;0)&gt;5,IF(MOD(COUNTIF(L$641:L819,1),7)=0,$C$4,0),0)</f>
        <v>525.816666666668</v>
      </c>
      <c r="M517" s="81" cm="1">
        <f ca="1" t="array" ref="M517">IF(M819=1,OFFSET($Z$338,$B517,M$335-1)/SUMPRODUCT(--($D$335:$V$335=M$335),--($D819:$V819=1)),0)+SUM(M516)+IF(COUNTIF(M$641:M819,1)=1,5,0)+IF(COUNTIF(N517:$Z517,"&gt;"&amp;0)&gt;5,IF(MOD(COUNTIF(M$641:M819,1),7)=0,$C$4,0),0)</f>
        <v>280.644107142858</v>
      </c>
      <c r="N517" s="81" cm="1">
        <f ca="1" t="array" ref="N517">IF(N819=1,OFFSET($Z$338,$B517,N$335-1)/SUMPRODUCT(--($D$335:$V$335=N$335),--($D819:$V819=1)),0)+SUM(N516)+IF(COUNTIF(N$641:N819,1)=1,5,0)+IF(COUNTIF(O517:$Z517,"&gt;"&amp;0)&gt;5,IF(MOD(COUNTIF(N$641:N819,1),7)=0,$C$4,0),0)</f>
        <v>272.919107142858</v>
      </c>
      <c r="O517" s="81" cm="1">
        <f ca="1" t="array" ref="O517">IF(O819=1,OFFSET($Z$338,$B517,O$335-1)/SUMPRODUCT(--($D$335:$V$335=O$335),--($D819:$V819=1)),0)+SUM(O516)+IF(COUNTIF(O$641:O819,1)=1,5,0)+IF(COUNTIF(P517:$Z517,"&gt;"&amp;0)&gt;5,IF(MOD(COUNTIF(O$641:O819,1),7)=0,$C$4,0),0)</f>
        <v>270.494107142858</v>
      </c>
      <c r="P517" s="81" cm="1">
        <f ca="1" t="array" ref="P517">IF(P819=1,OFFSET($Z$338,$B517,P$335-1)/SUMPRODUCT(--($D$335:$V$335=P$335),--($D819:$V819=1)),0)+SUM(P516)+IF(COUNTIF(P$641:P819,1)=1,5,0)+IF(COUNTIF(Q517:$Z517,"&gt;"&amp;0)&gt;5,IF(MOD(COUNTIF(P$641:P819,1),7)=0,$C$4,0),0)</f>
        <v>262.560773809524</v>
      </c>
      <c r="Q517" s="81" cm="1">
        <f ca="1" t="array" ref="Q517">IF(Q819=1,OFFSET($Z$338,$B517,Q$335-1)/SUMPRODUCT(--($D$335:$V$335=Q$335),--($D819:$V819=1)),0)+SUM(Q516)+IF(COUNTIF(Q$641:Q819,1)=1,5,0)+IF(COUNTIF(R517:$Z517,"&gt;"&amp;0)&gt;5,IF(MOD(COUNTIF(Q$641:Q819,1),7)=0,$C$4,0),0)</f>
        <v>261.654523809524</v>
      </c>
      <c r="R517" s="81" cm="1">
        <f ca="1" t="array" ref="R517">IF(R819=1,OFFSET($Z$338,$B517,R$335-1)/SUMPRODUCT(--($D$335:$V$335=R$335),--($D819:$V819=1)),0)+SUM(R516)+IF(COUNTIF(R$641:R819,1)=1,5,0)+IF(COUNTIF(S517:$Z517,"&gt;"&amp;0)&gt;5,IF(MOD(COUNTIF(R$641:R819,1),7)=0,$C$4,0),0)</f>
        <v>236.759523809524</v>
      </c>
      <c r="S517" s="81" cm="1">
        <f ca="1" t="array" ref="S517">IF(S819=1,OFFSET($Z$338,$B517,S$335-1)/SUMPRODUCT(--($D$335:$V$335=S$335),--($D819:$V819=1)),0)+SUM(S516)+IF(COUNTIF(S$641:S819,1)=1,5,0)+IF(COUNTIF(T517:$Z517,"&gt;"&amp;0)&gt;5,IF(MOD(COUNTIF(S$641:S819,1),7)=0,$C$4,0),0)</f>
        <v>227.592857142857</v>
      </c>
      <c r="T517" s="81" cm="1">
        <f ca="1" t="array" ref="T517">IF(T819=1,OFFSET($Z$338,$B517,T$335-1)/SUMPRODUCT(--($D$335:$V$335=T$335),--($D819:$V819=1)),0)+SUM(T516)+IF(COUNTIF(T$641:T819,1)=1,5,0)+IF(COUNTIF(U517:$Z517,"&gt;"&amp;0)&gt;5,IF(MOD(COUNTIF(T$641:T819,1),7)=0,$C$4,0),0)</f>
        <v>137.656257829764</v>
      </c>
      <c r="U517" s="81" cm="1">
        <f ca="1" t="array" ref="U517">IF(U819=1,OFFSET($Z$338,$B517,U$335-1)/SUMPRODUCT(--($D$335:$V$335=U$335),--($D819:$V819=1)),0)+SUM(U516)+IF(COUNTIF(U$641:U819,1)=1,5,0)+IF(COUNTIF(V517:$Z517,"&gt;"&amp;0)&gt;5,IF(MOD(COUNTIF(U$641:U819,1),7)=0,$C$4,0),0)</f>
        <v>97.6562578297643</v>
      </c>
      <c r="V517" s="81" cm="1">
        <f ca="1" t="array" ref="V517">IF(V819=1,OFFSET($Z$338,$B517,V$335-1)/SUMPRODUCT(--($D$335:$V$335=V$335),--($D819:$V819=1)),0)+SUM(V516)+IF(COUNTIF(V$641:V819,1)=1,5,0)+IF(COUNTIF(Z517:$Z517,"&gt;"&amp;0)&gt;5,IF(MOD(COUNTIF(V$641:V819,1),7)=0,$C$4,0),0)</f>
        <v>89.6984386404824</v>
      </c>
      <c r="W517" s="81" cm="1">
        <f ca="1" t="array" ref="W517">IF(W819=1,OFFSET($Z$338,$B517,W$335-1)/SUMPRODUCT(--($D$335:$V$335=W$335),--($D819:$V819=1)),0)+SUM(W516)+IF(COUNTIF(W$641:W819,1)=1,5,0)+IF(COUNTIF($Z517:AA517,"&gt;"&amp;0)&gt;5,IF(MOD(COUNTIF(W$641:W819,1),7)=0,$C$4,0),0)</f>
        <v>80.3425695255331</v>
      </c>
      <c r="X517" s="81" cm="1">
        <f ca="1" t="array" ref="X517">IF(X819=1,OFFSET($Z$338,$B517,X$335-1)/SUMPRODUCT(--($D$335:$V$335=X$335),--($D819:$V819=1)),0)+SUM(X516)+IF(COUNTIF(X$641:X819,1)=1,5,0)+IF(COUNTIF($Z517:AB517,"&gt;"&amp;0)&gt;5,IF(MOD(COUNTIF(X$641:X819,1),7)=0,$C$4,0),0)</f>
        <v>73.5789092348996</v>
      </c>
      <c r="Y517" s="81" cm="1">
        <f ca="1" t="array" ref="Y517">IF(Y819=1,OFFSET($Z$338,$B517,Y$335-1)/SUMPRODUCT(--($D$335:$V$335=Y$335),--($D819:$V819=1)),0)+SUM(Y516)+IF(COUNTIF(Y$641:Y819,1)=1,5,0)+IF(COUNTIF($Z517:AC517,"&gt;"&amp;0)&gt;5,IF(MOD(COUNTIF(Y$641:Y819,1),7)=0,$C$4,0),0)</f>
        <v>66.8152489442662</v>
      </c>
      <c r="Z517" s="82" cm="1">
        <f ca="1" t="array" ref="Z517">SUMPRODUCT(TRANSPOSE($AD517:$AJ517),OFFSET($L$10:$L$16,0,Z$335-1))</f>
        <v>0</v>
      </c>
      <c r="AA517" s="82" cm="1">
        <f ca="1" t="array" ref="AA517">SUMPRODUCT(TRANSPOSE($AD517:$AJ517),OFFSET($L$10:$L$16,0,AA$335-1))</f>
        <v>0</v>
      </c>
      <c r="AB517" s="82" cm="1">
        <f ca="1" t="array" ref="AB517">SUMPRODUCT(TRANSPOSE($AD517:$AJ517),OFFSET($L$10:$L$16,0,AB$335-1))</f>
        <v>0</v>
      </c>
      <c r="AC517" s="82" cm="1">
        <f ca="1" t="array" ref="AC517">SUMPRODUCT(TRANSPOSE($AD517:$AJ517),OFFSET($L$10:$L$16,0,AC$335-1))</f>
        <v>0</v>
      </c>
      <c r="AD517" s="83">
        <f ca="1" t="shared" ref="AD517:AJ517" si="681">AK517-AK516</f>
        <v>0</v>
      </c>
      <c r="AE517" s="83">
        <f ca="1" t="shared" si="681"/>
        <v>0</v>
      </c>
      <c r="AF517" s="83">
        <f ca="1" t="shared" si="681"/>
        <v>0</v>
      </c>
      <c r="AG517" s="83">
        <f ca="1" t="shared" si="681"/>
        <v>0</v>
      </c>
      <c r="AH517" s="83">
        <f ca="1" t="shared" si="681"/>
        <v>0</v>
      </c>
      <c r="AI517" s="83">
        <f ca="1" t="shared" si="681"/>
        <v>0</v>
      </c>
      <c r="AJ517" s="83">
        <f ca="1" t="shared" si="681"/>
        <v>0</v>
      </c>
      <c r="AK517" s="83">
        <f ca="1" t="shared" si="581"/>
        <v>450</v>
      </c>
      <c r="AL517" s="83">
        <f ca="1" t="shared" ref="AL517:AQ517" si="682">IF($C517&gt;OFFSET($Q$9,MATCH(AL$338,$AK$338:$AQ$338,0),0),OFFSET($P$9,MATCH(AL$338,$AK$338:$AQ$338,0),0),MAX(0,$C517-OFFSET($Q$9,RIGHT(AL$338,1)-1,0)))</f>
        <v>909</v>
      </c>
      <c r="AM517" s="83">
        <f ca="1" t="shared" si="682"/>
        <v>1818</v>
      </c>
      <c r="AN517" s="83">
        <f ca="1" t="shared" si="682"/>
        <v>2727</v>
      </c>
      <c r="AO517" s="83">
        <f ca="1" t="shared" si="682"/>
        <v>3636</v>
      </c>
      <c r="AP517" s="83">
        <f ca="1" t="shared" si="682"/>
        <v>4545</v>
      </c>
      <c r="AQ517" s="83">
        <f ca="1" t="shared" si="682"/>
        <v>0</v>
      </c>
    </row>
    <row r="518" ht="16.5" spans="2:43">
      <c r="B518" s="65">
        <v>180</v>
      </c>
      <c r="C518" s="80">
        <f t="shared" si="579"/>
        <v>21126</v>
      </c>
      <c r="D518" s="81" cm="1">
        <f ca="1" t="array" ref="D518">IF(D820=1,OFFSET($Z$338,$B518,D$335-1)/SUMPRODUCT(--($D$335:$V$335=D$335),--($D820:$V820=1)),0)+SUM(D517)+IF(COUNTIF(D$641:D820,1)=1,5,0)+IF(COUNTIF(E518:$Z518,"&gt;"&amp;0)&gt;5,IF(MOD(COUNTIF(D$641:D820,1),7)=0,$C$4,0),0)</f>
        <v>1243.82134856666</v>
      </c>
      <c r="E518" s="81" cm="1">
        <f ca="1" t="array" ref="E518">IF(E820=1,OFFSET($Z$338,$B518,E$335-1)/SUMPRODUCT(--($D$335:$V$335=E$335),--($D820:$V820=1)),0)+SUM(E517)+IF(COUNTIF(E$641:E820,1)=1,5,0)+IF(COUNTIF(F518:$Z518,"&gt;"&amp;0)&gt;5,IF(MOD(COUNTIF(E$641:E820,1),7)=0,$C$4,0),0)</f>
        <v>1243.82134856666</v>
      </c>
      <c r="F518" s="81" cm="1">
        <f ca="1" t="array" ref="F518">IF(F820=1,OFFSET($Z$338,$B518,F$335-1)/SUMPRODUCT(--($D$335:$V$335=F$335),--($D820:$V820=1)),0)+SUM(F517)+IF(COUNTIF(F$641:F820,1)=1,5,0)+IF(COUNTIF(G518:$Z518,"&gt;"&amp;0)&gt;5,IF(MOD(COUNTIF(F$641:F820,1),7)=0,$C$4,0),0)</f>
        <v>1243.82134856666</v>
      </c>
      <c r="G518" s="81" cm="1">
        <f ca="1" t="array" ref="G518">IF(G820=1,OFFSET($Z$338,$B518,G$335-1)/SUMPRODUCT(--($D$335:$V$335=G$335),--($D820:$V820=1)),0)+SUM(G517)+IF(COUNTIF(G$641:G820,1)=1,5,0)+IF(COUNTIF(H518:$Z518,"&gt;"&amp;0)&gt;5,IF(MOD(COUNTIF(G$641:G820,1),7)=0,$C$4,0),0)</f>
        <v>532.516666666668</v>
      </c>
      <c r="H518" s="81" cm="1">
        <f ca="1" t="array" ref="H518">IF(H820=1,OFFSET($Z$338,$B518,H$335-1)/SUMPRODUCT(--($D$335:$V$335=H$335),--($D820:$V820=1)),0)+SUM(H517)+IF(COUNTIF(H$641:H820,1)=1,5,0)+IF(COUNTIF(I518:$Z518,"&gt;"&amp;0)&gt;5,IF(MOD(COUNTIF(H$641:H820,1),7)=0,$C$4,0),0)</f>
        <v>532.516666666668</v>
      </c>
      <c r="I518" s="81" cm="1">
        <f ca="1" t="array" ref="I518">IF(I820=1,OFFSET($Z$338,$B518,I$335-1)/SUMPRODUCT(--($D$335:$V$335=I$335),--($D820:$V820=1)),0)+SUM(I517)+IF(COUNTIF(I$641:I820,1)=1,5,0)+IF(COUNTIF(J518:$Z518,"&gt;"&amp;0)&gt;5,IF(MOD(COUNTIF(I$641:I820,1),7)=0,$C$4,0),0)</f>
        <v>532.516666666668</v>
      </c>
      <c r="J518" s="81" cm="1">
        <f ca="1" t="array" ref="J518">IF(J820=1,OFFSET($Z$338,$B518,J$335-1)/SUMPRODUCT(--($D$335:$V$335=J$335),--($D820:$V820=1)),0)+SUM(J517)+IF(COUNTIF(J$641:J820,1)=1,5,0)+IF(COUNTIF(K518:$Z518,"&gt;"&amp;0)&gt;5,IF(MOD(COUNTIF(J$641:J820,1),7)=0,$C$4,0),0)</f>
        <v>532.516666666668</v>
      </c>
      <c r="K518" s="81" cm="1">
        <f ca="1" t="array" ref="K518">IF(K820=1,OFFSET($Z$338,$B518,K$335-1)/SUMPRODUCT(--($D$335:$V$335=K$335),--($D820:$V820=1)),0)+SUM(K517)+IF(COUNTIF(K$641:K820,1)=1,5,0)+IF(COUNTIF(L518:$Z518,"&gt;"&amp;0)&gt;5,IF(MOD(COUNTIF(K$641:K820,1),7)=0,$C$4,0),0)</f>
        <v>532.516666666668</v>
      </c>
      <c r="L518" s="81" cm="1">
        <f ca="1" t="array" ref="L518">IF(L820=1,OFFSET($Z$338,$B518,L$335-1)/SUMPRODUCT(--($D$335:$V$335=L$335),--($D820:$V820=1)),0)+SUM(L517)+IF(COUNTIF(L$641:L820,1)=1,5,0)+IF(COUNTIF(M518:$Z518,"&gt;"&amp;0)&gt;5,IF(MOD(COUNTIF(L$641:L820,1),7)=0,$C$4,0),0)</f>
        <v>525.816666666668</v>
      </c>
      <c r="M518" s="81" cm="1">
        <f ca="1" t="array" ref="M518">IF(M820=1,OFFSET($Z$338,$B518,M$335-1)/SUMPRODUCT(--($D$335:$V$335=M$335),--($D820:$V820=1)),0)+SUM(M517)+IF(COUNTIF(M$641:M820,1)=1,5,0)+IF(COUNTIF(N518:$Z518,"&gt;"&amp;0)&gt;5,IF(MOD(COUNTIF(M$641:M820,1),7)=0,$C$4,0),0)</f>
        <v>280.644107142858</v>
      </c>
      <c r="N518" s="81" cm="1">
        <f ca="1" t="array" ref="N518">IF(N820=1,OFFSET($Z$338,$B518,N$335-1)/SUMPRODUCT(--($D$335:$V$335=N$335),--($D820:$V820=1)),0)+SUM(N517)+IF(COUNTIF(N$641:N820,1)=1,5,0)+IF(COUNTIF(O518:$Z518,"&gt;"&amp;0)&gt;5,IF(MOD(COUNTIF(N$641:N820,1),7)=0,$C$4,0),0)</f>
        <v>272.919107142858</v>
      </c>
      <c r="O518" s="81" cm="1">
        <f ca="1" t="array" ref="O518">IF(O820=1,OFFSET($Z$338,$B518,O$335-1)/SUMPRODUCT(--($D$335:$V$335=O$335),--($D820:$V820=1)),0)+SUM(O517)+IF(COUNTIF(O$641:O820,1)=1,5,0)+IF(COUNTIF(P518:$Z518,"&gt;"&amp;0)&gt;5,IF(MOD(COUNTIF(O$641:O820,1),7)=0,$C$4,0),0)</f>
        <v>270.494107142858</v>
      </c>
      <c r="P518" s="81" cm="1">
        <f ca="1" t="array" ref="P518">IF(P820=1,OFFSET($Z$338,$B518,P$335-1)/SUMPRODUCT(--($D$335:$V$335=P$335),--($D820:$V820=1)),0)+SUM(P517)+IF(COUNTIF(P$641:P820,1)=1,5,0)+IF(COUNTIF(Q518:$Z518,"&gt;"&amp;0)&gt;5,IF(MOD(COUNTIF(P$641:P820,1),7)=0,$C$4,0),0)</f>
        <v>267.560773809524</v>
      </c>
      <c r="Q518" s="81" cm="1">
        <f ca="1" t="array" ref="Q518">IF(Q820=1,OFFSET($Z$338,$B518,Q$335-1)/SUMPRODUCT(--($D$335:$V$335=Q$335),--($D820:$V820=1)),0)+SUM(Q517)+IF(COUNTIF(Q$641:Q820,1)=1,5,0)+IF(COUNTIF(R518:$Z518,"&gt;"&amp;0)&gt;5,IF(MOD(COUNTIF(Q$641:Q820,1),7)=0,$C$4,0),0)</f>
        <v>261.654523809524</v>
      </c>
      <c r="R518" s="81" cm="1">
        <f ca="1" t="array" ref="R518">IF(R820=1,OFFSET($Z$338,$B518,R$335-1)/SUMPRODUCT(--($D$335:$V$335=R$335),--($D820:$V820=1)),0)+SUM(R517)+IF(COUNTIF(R$641:R820,1)=1,5,0)+IF(COUNTIF(S518:$Z518,"&gt;"&amp;0)&gt;5,IF(MOD(COUNTIF(R$641:R820,1),7)=0,$C$4,0),0)</f>
        <v>236.759523809524</v>
      </c>
      <c r="S518" s="81" cm="1">
        <f ca="1" t="array" ref="S518">IF(S820=1,OFFSET($Z$338,$B518,S$335-1)/SUMPRODUCT(--($D$335:$V$335=S$335),--($D820:$V820=1)),0)+SUM(S517)+IF(COUNTIF(S$641:S820,1)=1,5,0)+IF(COUNTIF(T518:$Z518,"&gt;"&amp;0)&gt;5,IF(MOD(COUNTIF(S$641:S820,1),7)=0,$C$4,0),0)</f>
        <v>232.592857142857</v>
      </c>
      <c r="T518" s="81" cm="1">
        <f ca="1" t="array" ref="T518">IF(T820=1,OFFSET($Z$338,$B518,T$335-1)/SUMPRODUCT(--($D$335:$V$335=T$335),--($D820:$V820=1)),0)+SUM(T517)+IF(COUNTIF(T$641:T820,1)=1,5,0)+IF(COUNTIF(U518:$Z518,"&gt;"&amp;0)&gt;5,IF(MOD(COUNTIF(T$641:T820,1),7)=0,$C$4,0),0)</f>
        <v>137.656257829764</v>
      </c>
      <c r="U518" s="81" cm="1">
        <f ca="1" t="array" ref="U518">IF(U820=1,OFFSET($Z$338,$B518,U$335-1)/SUMPRODUCT(--($D$335:$V$335=U$335),--($D820:$V820=1)),0)+SUM(U517)+IF(COUNTIF(U$641:U820,1)=1,5,0)+IF(COUNTIF(V518:$Z518,"&gt;"&amp;0)&gt;5,IF(MOD(COUNTIF(U$641:U820,1),7)=0,$C$4,0),0)</f>
        <v>97.6562578297643</v>
      </c>
      <c r="V518" s="81" cm="1">
        <f ca="1" t="array" ref="V518">IF(V820=1,OFFSET($Z$338,$B518,V$335-1)/SUMPRODUCT(--($D$335:$V$335=V$335),--($D820:$V820=1)),0)+SUM(V517)+IF(COUNTIF(V$641:V820,1)=1,5,0)+IF(COUNTIF(Z518:$Z518,"&gt;"&amp;0)&gt;5,IF(MOD(COUNTIF(V$641:V820,1),7)=0,$C$4,0),0)</f>
        <v>89.6984386404824</v>
      </c>
      <c r="W518" s="81" cm="1">
        <f ca="1" t="array" ref="W518">IF(W820=1,OFFSET($Z$338,$B518,W$335-1)/SUMPRODUCT(--($D$335:$V$335=W$335),--($D820:$V820=1)),0)+SUM(W517)+IF(COUNTIF(W$641:W820,1)=1,5,0)+IF(COUNTIF($Z518:AA518,"&gt;"&amp;0)&gt;5,IF(MOD(COUNTIF(W$641:W820,1),7)=0,$C$4,0),0)</f>
        <v>80.3425695255331</v>
      </c>
      <c r="X518" s="81" cm="1">
        <f ca="1" t="array" ref="X518">IF(X820=1,OFFSET($Z$338,$B518,X$335-1)/SUMPRODUCT(--($D$335:$V$335=X$335),--($D820:$V820=1)),0)+SUM(X517)+IF(COUNTIF(X$641:X820,1)=1,5,0)+IF(COUNTIF($Z518:AB518,"&gt;"&amp;0)&gt;5,IF(MOD(COUNTIF(X$641:X820,1),7)=0,$C$4,0),0)</f>
        <v>73.5789092348996</v>
      </c>
      <c r="Y518" s="81" cm="1">
        <f ca="1" t="array" ref="Y518">IF(Y820=1,OFFSET($Z$338,$B518,Y$335-1)/SUMPRODUCT(--($D$335:$V$335=Y$335),--($D820:$V820=1)),0)+SUM(Y517)+IF(COUNTIF(Y$641:Y820,1)=1,5,0)+IF(COUNTIF($Z518:AC518,"&gt;"&amp;0)&gt;5,IF(MOD(COUNTIF(Y$641:Y820,1),7)=0,$C$4,0),0)</f>
        <v>66.8152489442662</v>
      </c>
      <c r="Z518" s="82" cm="1">
        <f ca="1" t="array" ref="Z518">SUMPRODUCT(TRANSPOSE($AD518:$AJ518),OFFSET($L$10:$L$16,0,Z$335-1))</f>
        <v>0</v>
      </c>
      <c r="AA518" s="82" cm="1">
        <f ca="1" t="array" ref="AA518">SUMPRODUCT(TRANSPOSE($AD518:$AJ518),OFFSET($L$10:$L$16,0,AA$335-1))</f>
        <v>0</v>
      </c>
      <c r="AB518" s="82" cm="1">
        <f ca="1" t="array" ref="AB518">SUMPRODUCT(TRANSPOSE($AD518:$AJ518),OFFSET($L$10:$L$16,0,AB$335-1))</f>
        <v>0</v>
      </c>
      <c r="AC518" s="82" cm="1">
        <f ca="1" t="array" ref="AC518">SUMPRODUCT(TRANSPOSE($AD518:$AJ518),OFFSET($L$10:$L$16,0,AC$335-1))</f>
        <v>0</v>
      </c>
      <c r="AD518" s="83">
        <f ca="1" t="shared" ref="AD518:AJ518" si="683">AK518-AK517</f>
        <v>0</v>
      </c>
      <c r="AE518" s="83">
        <f ca="1" t="shared" si="683"/>
        <v>0</v>
      </c>
      <c r="AF518" s="83">
        <f ca="1" t="shared" si="683"/>
        <v>0</v>
      </c>
      <c r="AG518" s="83">
        <f ca="1" t="shared" si="683"/>
        <v>0</v>
      </c>
      <c r="AH518" s="83">
        <f ca="1" t="shared" si="683"/>
        <v>0</v>
      </c>
      <c r="AI518" s="83">
        <f ca="1" t="shared" si="683"/>
        <v>0</v>
      </c>
      <c r="AJ518" s="83">
        <f ca="1" t="shared" si="683"/>
        <v>0</v>
      </c>
      <c r="AK518" s="83">
        <f ca="1" t="shared" si="581"/>
        <v>450</v>
      </c>
      <c r="AL518" s="83">
        <f ca="1" t="shared" ref="AL518:AQ518" si="684">IF($C518&gt;OFFSET($Q$9,MATCH(AL$338,$AK$338:$AQ$338,0),0),OFFSET($P$9,MATCH(AL$338,$AK$338:$AQ$338,0),0),MAX(0,$C518-OFFSET($Q$9,RIGHT(AL$338,1)-1,0)))</f>
        <v>909</v>
      </c>
      <c r="AM518" s="83">
        <f ca="1" t="shared" si="684"/>
        <v>1818</v>
      </c>
      <c r="AN518" s="83">
        <f ca="1" t="shared" si="684"/>
        <v>2727</v>
      </c>
      <c r="AO518" s="83">
        <f ca="1" t="shared" si="684"/>
        <v>3636</v>
      </c>
      <c r="AP518" s="83">
        <f ca="1" t="shared" si="684"/>
        <v>4545</v>
      </c>
      <c r="AQ518" s="83">
        <f ca="1" t="shared" si="684"/>
        <v>0</v>
      </c>
    </row>
    <row r="519" ht="16.5" spans="2:43">
      <c r="B519" s="65">
        <v>181</v>
      </c>
      <c r="C519" s="80">
        <f t="shared" si="579"/>
        <v>21236</v>
      </c>
      <c r="D519" s="81" cm="1">
        <f ca="1" t="array" ref="D519">IF(D821=1,OFFSET($Z$338,$B519,D$335-1)/SUMPRODUCT(--($D$335:$V$335=D$335),--($D821:$V821=1)),0)+SUM(D518)+IF(COUNTIF(D$641:D821,1)=1,5,0)+IF(COUNTIF(E519:$Z519,"&gt;"&amp;0)&gt;5,IF(MOD(COUNTIF(D$641:D821,1),7)=0,$C$4,0),0)</f>
        <v>1243.82134856666</v>
      </c>
      <c r="E519" s="81" cm="1">
        <f ca="1" t="array" ref="E519">IF(E821=1,OFFSET($Z$338,$B519,E$335-1)/SUMPRODUCT(--($D$335:$V$335=E$335),--($D821:$V821=1)),0)+SUM(E518)+IF(COUNTIF(E$641:E821,1)=1,5,0)+IF(COUNTIF(F519:$Z519,"&gt;"&amp;0)&gt;5,IF(MOD(COUNTIF(E$641:E821,1),7)=0,$C$4,0),0)</f>
        <v>1243.82134856666</v>
      </c>
      <c r="F519" s="81" cm="1">
        <f ca="1" t="array" ref="F519">IF(F821=1,OFFSET($Z$338,$B519,F$335-1)/SUMPRODUCT(--($D$335:$V$335=F$335),--($D821:$V821=1)),0)+SUM(F518)+IF(COUNTIF(F$641:F821,1)=1,5,0)+IF(COUNTIF(G519:$Z519,"&gt;"&amp;0)&gt;5,IF(MOD(COUNTIF(F$641:F821,1),7)=0,$C$4,0),0)</f>
        <v>1243.82134856666</v>
      </c>
      <c r="G519" s="81" cm="1">
        <f ca="1" t="array" ref="G519">IF(G821=1,OFFSET($Z$338,$B519,G$335-1)/SUMPRODUCT(--($D$335:$V$335=G$335),--($D821:$V821=1)),0)+SUM(G518)+IF(COUNTIF(G$641:G821,1)=1,5,0)+IF(COUNTIF(H519:$Z519,"&gt;"&amp;0)&gt;5,IF(MOD(COUNTIF(G$641:G821,1),7)=0,$C$4,0),0)</f>
        <v>532.516666666668</v>
      </c>
      <c r="H519" s="81" cm="1">
        <f ca="1" t="array" ref="H519">IF(H821=1,OFFSET($Z$338,$B519,H$335-1)/SUMPRODUCT(--($D$335:$V$335=H$335),--($D821:$V821=1)),0)+SUM(H518)+IF(COUNTIF(H$641:H821,1)=1,5,0)+IF(COUNTIF(I519:$Z519,"&gt;"&amp;0)&gt;5,IF(MOD(COUNTIF(H$641:H821,1),7)=0,$C$4,0),0)</f>
        <v>532.516666666668</v>
      </c>
      <c r="I519" s="81" cm="1">
        <f ca="1" t="array" ref="I519">IF(I821=1,OFFSET($Z$338,$B519,I$335-1)/SUMPRODUCT(--($D$335:$V$335=I$335),--($D821:$V821=1)),0)+SUM(I518)+IF(COUNTIF(I$641:I821,1)=1,5,0)+IF(COUNTIF(J519:$Z519,"&gt;"&amp;0)&gt;5,IF(MOD(COUNTIF(I$641:I821,1),7)=0,$C$4,0),0)</f>
        <v>532.516666666668</v>
      </c>
      <c r="J519" s="81" cm="1">
        <f ca="1" t="array" ref="J519">IF(J821=1,OFFSET($Z$338,$B519,J$335-1)/SUMPRODUCT(--($D$335:$V$335=J$335),--($D821:$V821=1)),0)+SUM(J518)+IF(COUNTIF(J$641:J821,1)=1,5,0)+IF(COUNTIF(K519:$Z519,"&gt;"&amp;0)&gt;5,IF(MOD(COUNTIF(J$641:J821,1),7)=0,$C$4,0),0)</f>
        <v>532.516666666668</v>
      </c>
      <c r="K519" s="81" cm="1">
        <f ca="1" t="array" ref="K519">IF(K821=1,OFFSET($Z$338,$B519,K$335-1)/SUMPRODUCT(--($D$335:$V$335=K$335),--($D821:$V821=1)),0)+SUM(K518)+IF(COUNTIF(K$641:K821,1)=1,5,0)+IF(COUNTIF(L519:$Z519,"&gt;"&amp;0)&gt;5,IF(MOD(COUNTIF(K$641:K821,1),7)=0,$C$4,0),0)</f>
        <v>532.516666666668</v>
      </c>
      <c r="L519" s="81" cm="1">
        <f ca="1" t="array" ref="L519">IF(L821=1,OFFSET($Z$338,$B519,L$335-1)/SUMPRODUCT(--($D$335:$V$335=L$335),--($D821:$V821=1)),0)+SUM(L518)+IF(COUNTIF(L$641:L821,1)=1,5,0)+IF(COUNTIF(M519:$Z519,"&gt;"&amp;0)&gt;5,IF(MOD(COUNTIF(L$641:L821,1),7)=0,$C$4,0),0)</f>
        <v>525.816666666668</v>
      </c>
      <c r="M519" s="81" cm="1">
        <f ca="1" t="array" ref="M519">IF(M821=1,OFFSET($Z$338,$B519,M$335-1)/SUMPRODUCT(--($D$335:$V$335=M$335),--($D821:$V821=1)),0)+SUM(M518)+IF(COUNTIF(M$641:M821,1)=1,5,0)+IF(COUNTIF(N519:$Z519,"&gt;"&amp;0)&gt;5,IF(MOD(COUNTIF(M$641:M821,1),7)=0,$C$4,0),0)</f>
        <v>280.644107142858</v>
      </c>
      <c r="N519" s="81" cm="1">
        <f ca="1" t="array" ref="N519">IF(N821=1,OFFSET($Z$338,$B519,N$335-1)/SUMPRODUCT(--($D$335:$V$335=N$335),--($D821:$V821=1)),0)+SUM(N518)+IF(COUNTIF(N$641:N821,1)=1,5,0)+IF(COUNTIF(O519:$Z519,"&gt;"&amp;0)&gt;5,IF(MOD(COUNTIF(N$641:N821,1),7)=0,$C$4,0),0)</f>
        <v>272.919107142858</v>
      </c>
      <c r="O519" s="81" cm="1">
        <f ca="1" t="array" ref="O519">IF(O821=1,OFFSET($Z$338,$B519,O$335-1)/SUMPRODUCT(--($D$335:$V$335=O$335),--($D821:$V821=1)),0)+SUM(O518)+IF(COUNTIF(O$641:O821,1)=1,5,0)+IF(COUNTIF(P519:$Z519,"&gt;"&amp;0)&gt;5,IF(MOD(COUNTIF(O$641:O821,1),7)=0,$C$4,0),0)</f>
        <v>270.494107142858</v>
      </c>
      <c r="P519" s="81" cm="1">
        <f ca="1" t="array" ref="P519">IF(P821=1,OFFSET($Z$338,$B519,P$335-1)/SUMPRODUCT(--($D$335:$V$335=P$335),--($D821:$V821=1)),0)+SUM(P518)+IF(COUNTIF(P$641:P821,1)=1,5,0)+IF(COUNTIF(Q519:$Z519,"&gt;"&amp;0)&gt;5,IF(MOD(COUNTIF(P$641:P821,1),7)=0,$C$4,0),0)</f>
        <v>267.560773809524</v>
      </c>
      <c r="Q519" s="81" cm="1">
        <f ca="1" t="array" ref="Q519">IF(Q821=1,OFFSET($Z$338,$B519,Q$335-1)/SUMPRODUCT(--($D$335:$V$335=Q$335),--($D821:$V821=1)),0)+SUM(Q518)+IF(COUNTIF(Q$641:Q821,1)=1,5,0)+IF(COUNTIF(R519:$Z519,"&gt;"&amp;0)&gt;5,IF(MOD(COUNTIF(Q$641:Q821,1),7)=0,$C$4,0),0)</f>
        <v>266.654523809524</v>
      </c>
      <c r="R519" s="81" cm="1">
        <f ca="1" t="array" ref="R519">IF(R821=1,OFFSET($Z$338,$B519,R$335-1)/SUMPRODUCT(--($D$335:$V$335=R$335),--($D821:$V821=1)),0)+SUM(R518)+IF(COUNTIF(R$641:R821,1)=1,5,0)+IF(COUNTIF(S519:$Z519,"&gt;"&amp;0)&gt;5,IF(MOD(COUNTIF(R$641:R821,1),7)=0,$C$4,0),0)</f>
        <v>236.759523809524</v>
      </c>
      <c r="S519" s="81" cm="1">
        <f ca="1" t="array" ref="S519">IF(S821=1,OFFSET($Z$338,$B519,S$335-1)/SUMPRODUCT(--($D$335:$V$335=S$335),--($D821:$V821=1)),0)+SUM(S518)+IF(COUNTIF(S$641:S821,1)=1,5,0)+IF(COUNTIF(T519:$Z519,"&gt;"&amp;0)&gt;5,IF(MOD(COUNTIF(S$641:S821,1),7)=0,$C$4,0),0)</f>
        <v>232.592857142857</v>
      </c>
      <c r="T519" s="81" cm="1">
        <f ca="1" t="array" ref="T519">IF(T821=1,OFFSET($Z$338,$B519,T$335-1)/SUMPRODUCT(--($D$335:$V$335=T$335),--($D821:$V821=1)),0)+SUM(T518)+IF(COUNTIF(T$641:T821,1)=1,5,0)+IF(COUNTIF(U519:$Z519,"&gt;"&amp;0)&gt;5,IF(MOD(COUNTIF(T$641:T821,1),7)=0,$C$4,0),0)</f>
        <v>137.656257829764</v>
      </c>
      <c r="U519" s="81" cm="1">
        <f ca="1" t="array" ref="U519">IF(U821=1,OFFSET($Z$338,$B519,U$335-1)/SUMPRODUCT(--($D$335:$V$335=U$335),--($D821:$V821=1)),0)+SUM(U518)+IF(COUNTIF(U$641:U821,1)=1,5,0)+IF(COUNTIF(V519:$Z519,"&gt;"&amp;0)&gt;5,IF(MOD(COUNTIF(U$641:U821,1),7)=0,$C$4,0),0)</f>
        <v>97.6562578297643</v>
      </c>
      <c r="V519" s="81" cm="1">
        <f ca="1" t="array" ref="V519">IF(V821=1,OFFSET($Z$338,$B519,V$335-1)/SUMPRODUCT(--($D$335:$V$335=V$335),--($D821:$V821=1)),0)+SUM(V518)+IF(COUNTIF(V$641:V821,1)=1,5,0)+IF(COUNTIF(Z519:$Z519,"&gt;"&amp;0)&gt;5,IF(MOD(COUNTIF(V$641:V821,1),7)=0,$C$4,0),0)</f>
        <v>89.6984386404824</v>
      </c>
      <c r="W519" s="81" cm="1">
        <f ca="1" t="array" ref="W519">IF(W821=1,OFFSET($Z$338,$B519,W$335-1)/SUMPRODUCT(--($D$335:$V$335=W$335),--($D821:$V821=1)),0)+SUM(W518)+IF(COUNTIF(W$641:W821,1)=1,5,0)+IF(COUNTIF($Z519:AA519,"&gt;"&amp;0)&gt;5,IF(MOD(COUNTIF(W$641:W821,1),7)=0,$C$4,0),0)</f>
        <v>80.3425695255331</v>
      </c>
      <c r="X519" s="81" cm="1">
        <f ca="1" t="array" ref="X519">IF(X821=1,OFFSET($Z$338,$B519,X$335-1)/SUMPRODUCT(--($D$335:$V$335=X$335),--($D821:$V821=1)),0)+SUM(X518)+IF(COUNTIF(X$641:X821,1)=1,5,0)+IF(COUNTIF($Z519:AB519,"&gt;"&amp;0)&gt;5,IF(MOD(COUNTIF(X$641:X821,1),7)=0,$C$4,0),0)</f>
        <v>73.5789092348996</v>
      </c>
      <c r="Y519" s="81" cm="1">
        <f ca="1" t="array" ref="Y519">IF(Y821=1,OFFSET($Z$338,$B519,Y$335-1)/SUMPRODUCT(--($D$335:$V$335=Y$335),--($D821:$V821=1)),0)+SUM(Y518)+IF(COUNTIF(Y$641:Y821,1)=1,5,0)+IF(COUNTIF($Z519:AC519,"&gt;"&amp;0)&gt;5,IF(MOD(COUNTIF(Y$641:Y821,1),7)=0,$C$4,0),0)</f>
        <v>66.8152489442662</v>
      </c>
      <c r="Z519" s="82" cm="1">
        <f ca="1" t="array" ref="Z519">SUMPRODUCT(TRANSPOSE($AD519:$AJ519),OFFSET($L$10:$L$16,0,Z$335-1))</f>
        <v>0</v>
      </c>
      <c r="AA519" s="82" cm="1">
        <f ca="1" t="array" ref="AA519">SUMPRODUCT(TRANSPOSE($AD519:$AJ519),OFFSET($L$10:$L$16,0,AA$335-1))</f>
        <v>0</v>
      </c>
      <c r="AB519" s="82" cm="1">
        <f ca="1" t="array" ref="AB519">SUMPRODUCT(TRANSPOSE($AD519:$AJ519),OFFSET($L$10:$L$16,0,AB$335-1))</f>
        <v>0</v>
      </c>
      <c r="AC519" s="82" cm="1">
        <f ca="1" t="array" ref="AC519">SUMPRODUCT(TRANSPOSE($AD519:$AJ519),OFFSET($L$10:$L$16,0,AC$335-1))</f>
        <v>0</v>
      </c>
      <c r="AD519" s="83">
        <f ca="1" t="shared" ref="AD519:AJ519" si="685">AK519-AK518</f>
        <v>0</v>
      </c>
      <c r="AE519" s="83">
        <f ca="1" t="shared" si="685"/>
        <v>0</v>
      </c>
      <c r="AF519" s="83">
        <f ca="1" t="shared" si="685"/>
        <v>0</v>
      </c>
      <c r="AG519" s="83">
        <f ca="1" t="shared" si="685"/>
        <v>0</v>
      </c>
      <c r="AH519" s="83">
        <f ca="1" t="shared" si="685"/>
        <v>0</v>
      </c>
      <c r="AI519" s="83">
        <f ca="1" t="shared" si="685"/>
        <v>0</v>
      </c>
      <c r="AJ519" s="83">
        <f ca="1" t="shared" si="685"/>
        <v>0</v>
      </c>
      <c r="AK519" s="83">
        <f ca="1" t="shared" si="581"/>
        <v>450</v>
      </c>
      <c r="AL519" s="83">
        <f ca="1" t="shared" ref="AL519:AQ519" si="686">IF($C519&gt;OFFSET($Q$9,MATCH(AL$338,$AK$338:$AQ$338,0),0),OFFSET($P$9,MATCH(AL$338,$AK$338:$AQ$338,0),0),MAX(0,$C519-OFFSET($Q$9,RIGHT(AL$338,1)-1,0)))</f>
        <v>909</v>
      </c>
      <c r="AM519" s="83">
        <f ca="1" t="shared" si="686"/>
        <v>1818</v>
      </c>
      <c r="AN519" s="83">
        <f ca="1" t="shared" si="686"/>
        <v>2727</v>
      </c>
      <c r="AO519" s="83">
        <f ca="1" t="shared" si="686"/>
        <v>3636</v>
      </c>
      <c r="AP519" s="83">
        <f ca="1" t="shared" si="686"/>
        <v>4545</v>
      </c>
      <c r="AQ519" s="83">
        <f ca="1" t="shared" si="686"/>
        <v>0</v>
      </c>
    </row>
    <row r="520" ht="16.5" spans="2:43">
      <c r="B520" s="65">
        <v>182</v>
      </c>
      <c r="C520" s="80">
        <f t="shared" si="579"/>
        <v>21346</v>
      </c>
      <c r="D520" s="81" cm="1">
        <f ca="1" t="array" ref="D520">IF(D822=1,OFFSET($Z$338,$B520,D$335-1)/SUMPRODUCT(--($D$335:$V$335=D$335),--($D822:$V822=1)),0)+SUM(D519)+IF(COUNTIF(D$641:D822,1)=1,5,0)+IF(COUNTIF(E520:$Z520,"&gt;"&amp;0)&gt;5,IF(MOD(COUNTIF(D$641:D822,1),7)=0,$C$4,0),0)</f>
        <v>1248.82134856666</v>
      </c>
      <c r="E520" s="81" cm="1">
        <f ca="1" t="array" ref="E520">IF(E822=1,OFFSET($Z$338,$B520,E$335-1)/SUMPRODUCT(--($D$335:$V$335=E$335),--($D822:$V822=1)),0)+SUM(E519)+IF(COUNTIF(E$641:E822,1)=1,5,0)+IF(COUNTIF(F520:$Z520,"&gt;"&amp;0)&gt;5,IF(MOD(COUNTIF(E$641:E822,1),7)=0,$C$4,0),0)</f>
        <v>1248.82134856666</v>
      </c>
      <c r="F520" s="81" cm="1">
        <f ca="1" t="array" ref="F520">IF(F822=1,OFFSET($Z$338,$B520,F$335-1)/SUMPRODUCT(--($D$335:$V$335=F$335),--($D822:$V822=1)),0)+SUM(F519)+IF(COUNTIF(F$641:F822,1)=1,5,0)+IF(COUNTIF(G520:$Z520,"&gt;"&amp;0)&gt;5,IF(MOD(COUNTIF(F$641:F822,1),7)=0,$C$4,0),0)</f>
        <v>1248.82134856666</v>
      </c>
      <c r="G520" s="81" cm="1">
        <f ca="1" t="array" ref="G520">IF(G822=1,OFFSET($Z$338,$B520,G$335-1)/SUMPRODUCT(--($D$335:$V$335=G$335),--($D822:$V822=1)),0)+SUM(G519)+IF(COUNTIF(G$641:G822,1)=1,5,0)+IF(COUNTIF(H520:$Z520,"&gt;"&amp;0)&gt;5,IF(MOD(COUNTIF(G$641:G822,1),7)=0,$C$4,0),0)</f>
        <v>537.516666666668</v>
      </c>
      <c r="H520" s="81" cm="1">
        <f ca="1" t="array" ref="H520">IF(H822=1,OFFSET($Z$338,$B520,H$335-1)/SUMPRODUCT(--($D$335:$V$335=H$335),--($D822:$V822=1)),0)+SUM(H519)+IF(COUNTIF(H$641:H822,1)=1,5,0)+IF(COUNTIF(I520:$Z520,"&gt;"&amp;0)&gt;5,IF(MOD(COUNTIF(H$641:H822,1),7)=0,$C$4,0),0)</f>
        <v>537.516666666668</v>
      </c>
      <c r="I520" s="81" cm="1">
        <f ca="1" t="array" ref="I520">IF(I822=1,OFFSET($Z$338,$B520,I$335-1)/SUMPRODUCT(--($D$335:$V$335=I$335),--($D822:$V822=1)),0)+SUM(I519)+IF(COUNTIF(I$641:I822,1)=1,5,0)+IF(COUNTIF(J520:$Z520,"&gt;"&amp;0)&gt;5,IF(MOD(COUNTIF(I$641:I822,1),7)=0,$C$4,0),0)</f>
        <v>537.516666666668</v>
      </c>
      <c r="J520" s="81" cm="1">
        <f ca="1" t="array" ref="J520">IF(J822=1,OFFSET($Z$338,$B520,J$335-1)/SUMPRODUCT(--($D$335:$V$335=J$335),--($D822:$V822=1)),0)+SUM(J519)+IF(COUNTIF(J$641:J822,1)=1,5,0)+IF(COUNTIF(K520:$Z520,"&gt;"&amp;0)&gt;5,IF(MOD(COUNTIF(J$641:J822,1),7)=0,$C$4,0),0)</f>
        <v>537.516666666668</v>
      </c>
      <c r="K520" s="81" cm="1">
        <f ca="1" t="array" ref="K520">IF(K822=1,OFFSET($Z$338,$B520,K$335-1)/SUMPRODUCT(--($D$335:$V$335=K$335),--($D822:$V822=1)),0)+SUM(K519)+IF(COUNTIF(K$641:K822,1)=1,5,0)+IF(COUNTIF(L520:$Z520,"&gt;"&amp;0)&gt;5,IF(MOD(COUNTIF(K$641:K822,1),7)=0,$C$4,0),0)</f>
        <v>537.516666666668</v>
      </c>
      <c r="L520" s="81" cm="1">
        <f ca="1" t="array" ref="L520">IF(L822=1,OFFSET($Z$338,$B520,L$335-1)/SUMPRODUCT(--($D$335:$V$335=L$335),--($D822:$V822=1)),0)+SUM(L519)+IF(COUNTIF(L$641:L822,1)=1,5,0)+IF(COUNTIF(M520:$Z520,"&gt;"&amp;0)&gt;5,IF(MOD(COUNTIF(L$641:L822,1),7)=0,$C$4,0),0)</f>
        <v>525.816666666668</v>
      </c>
      <c r="M520" s="81" cm="1">
        <f ca="1" t="array" ref="M520">IF(M822=1,OFFSET($Z$338,$B520,M$335-1)/SUMPRODUCT(--($D$335:$V$335=M$335),--($D822:$V822=1)),0)+SUM(M519)+IF(COUNTIF(M$641:M822,1)=1,5,0)+IF(COUNTIF(N520:$Z520,"&gt;"&amp;0)&gt;5,IF(MOD(COUNTIF(M$641:M822,1),7)=0,$C$4,0),0)</f>
        <v>280.644107142858</v>
      </c>
      <c r="N520" s="81" cm="1">
        <f ca="1" t="array" ref="N520">IF(N822=1,OFFSET($Z$338,$B520,N$335-1)/SUMPRODUCT(--($D$335:$V$335=N$335),--($D822:$V822=1)),0)+SUM(N519)+IF(COUNTIF(N$641:N822,1)=1,5,0)+IF(COUNTIF(O520:$Z520,"&gt;"&amp;0)&gt;5,IF(MOD(COUNTIF(N$641:N822,1),7)=0,$C$4,0),0)</f>
        <v>272.919107142858</v>
      </c>
      <c r="O520" s="81" cm="1">
        <f ca="1" t="array" ref="O520">IF(O822=1,OFFSET($Z$338,$B520,O$335-1)/SUMPRODUCT(--($D$335:$V$335=O$335),--($D822:$V822=1)),0)+SUM(O519)+IF(COUNTIF(O$641:O822,1)=1,5,0)+IF(COUNTIF(P520:$Z520,"&gt;"&amp;0)&gt;5,IF(MOD(COUNTIF(O$641:O822,1),7)=0,$C$4,0),0)</f>
        <v>270.494107142858</v>
      </c>
      <c r="P520" s="81" cm="1">
        <f ca="1" t="array" ref="P520">IF(P822=1,OFFSET($Z$338,$B520,P$335-1)/SUMPRODUCT(--($D$335:$V$335=P$335),--($D822:$V822=1)),0)+SUM(P519)+IF(COUNTIF(P$641:P822,1)=1,5,0)+IF(COUNTIF(Q520:$Z520,"&gt;"&amp;0)&gt;5,IF(MOD(COUNTIF(P$641:P822,1),7)=0,$C$4,0),0)</f>
        <v>267.560773809524</v>
      </c>
      <c r="Q520" s="81" cm="1">
        <f ca="1" t="array" ref="Q520">IF(Q822=1,OFFSET($Z$338,$B520,Q$335-1)/SUMPRODUCT(--($D$335:$V$335=Q$335),--($D822:$V822=1)),0)+SUM(Q519)+IF(COUNTIF(Q$641:Q822,1)=1,5,0)+IF(COUNTIF(R520:$Z520,"&gt;"&amp;0)&gt;5,IF(MOD(COUNTIF(Q$641:Q822,1),7)=0,$C$4,0),0)</f>
        <v>266.654523809524</v>
      </c>
      <c r="R520" s="81" cm="1">
        <f ca="1" t="array" ref="R520">IF(R822=1,OFFSET($Z$338,$B520,R$335-1)/SUMPRODUCT(--($D$335:$V$335=R$335),--($D822:$V822=1)),0)+SUM(R519)+IF(COUNTIF(R$641:R822,1)=1,5,0)+IF(COUNTIF(S520:$Z520,"&gt;"&amp;0)&gt;5,IF(MOD(COUNTIF(R$641:R822,1),7)=0,$C$4,0),0)</f>
        <v>241.759523809524</v>
      </c>
      <c r="S520" s="81" cm="1">
        <f ca="1" t="array" ref="S520">IF(S822=1,OFFSET($Z$338,$B520,S$335-1)/SUMPRODUCT(--($D$335:$V$335=S$335),--($D822:$V822=1)),0)+SUM(S519)+IF(COUNTIF(S$641:S822,1)=1,5,0)+IF(COUNTIF(T520:$Z520,"&gt;"&amp;0)&gt;5,IF(MOD(COUNTIF(S$641:S822,1),7)=0,$C$4,0),0)</f>
        <v>232.592857142857</v>
      </c>
      <c r="T520" s="81" cm="1">
        <f ca="1" t="array" ref="T520">IF(T822=1,OFFSET($Z$338,$B520,T$335-1)/SUMPRODUCT(--($D$335:$V$335=T$335),--($D822:$V822=1)),0)+SUM(T519)+IF(COUNTIF(T$641:T822,1)=1,5,0)+IF(COUNTIF(U520:$Z520,"&gt;"&amp;0)&gt;5,IF(MOD(COUNTIF(T$641:T822,1),7)=0,$C$4,0),0)</f>
        <v>137.656257829764</v>
      </c>
      <c r="U520" s="81" cm="1">
        <f ca="1" t="array" ref="U520">IF(U822=1,OFFSET($Z$338,$B520,U$335-1)/SUMPRODUCT(--($D$335:$V$335=U$335),--($D822:$V822=1)),0)+SUM(U519)+IF(COUNTIF(U$641:U822,1)=1,5,0)+IF(COUNTIF(V520:$Z520,"&gt;"&amp;0)&gt;5,IF(MOD(COUNTIF(U$641:U822,1),7)=0,$C$4,0),0)</f>
        <v>97.6562578297643</v>
      </c>
      <c r="V520" s="81" cm="1">
        <f ca="1" t="array" ref="V520">IF(V822=1,OFFSET($Z$338,$B520,V$335-1)/SUMPRODUCT(--($D$335:$V$335=V$335),--($D822:$V822=1)),0)+SUM(V519)+IF(COUNTIF(V$641:V822,1)=1,5,0)+IF(COUNTIF(Z520:$Z520,"&gt;"&amp;0)&gt;5,IF(MOD(COUNTIF(V$641:V822,1),7)=0,$C$4,0),0)</f>
        <v>89.6984386404824</v>
      </c>
      <c r="W520" s="81" cm="1">
        <f ca="1" t="array" ref="W520">IF(W822=1,OFFSET($Z$338,$B520,W$335-1)/SUMPRODUCT(--($D$335:$V$335=W$335),--($D822:$V822=1)),0)+SUM(W519)+IF(COUNTIF(W$641:W822,1)=1,5,0)+IF(COUNTIF($Z520:AA520,"&gt;"&amp;0)&gt;5,IF(MOD(COUNTIF(W$641:W822,1),7)=0,$C$4,0),0)</f>
        <v>80.3425695255331</v>
      </c>
      <c r="X520" s="81" cm="1">
        <f ca="1" t="array" ref="X520">IF(X822=1,OFFSET($Z$338,$B520,X$335-1)/SUMPRODUCT(--($D$335:$V$335=X$335),--($D822:$V822=1)),0)+SUM(X519)+IF(COUNTIF(X$641:X822,1)=1,5,0)+IF(COUNTIF($Z520:AB520,"&gt;"&amp;0)&gt;5,IF(MOD(COUNTIF(X$641:X822,1),7)=0,$C$4,0),0)</f>
        <v>73.5789092348996</v>
      </c>
      <c r="Y520" s="81" cm="1">
        <f ca="1" t="array" ref="Y520">IF(Y822=1,OFFSET($Z$338,$B520,Y$335-1)/SUMPRODUCT(--($D$335:$V$335=Y$335),--($D822:$V822=1)),0)+SUM(Y519)+IF(COUNTIF(Y$641:Y822,1)=1,5,0)+IF(COUNTIF($Z520:AC520,"&gt;"&amp;0)&gt;5,IF(MOD(COUNTIF(Y$641:Y822,1),7)=0,$C$4,0),0)</f>
        <v>66.8152489442662</v>
      </c>
      <c r="Z520" s="82" cm="1">
        <f ca="1" t="array" ref="Z520">SUMPRODUCT(TRANSPOSE($AD520:$AJ520),OFFSET($L$10:$L$16,0,Z$335-1))</f>
        <v>0</v>
      </c>
      <c r="AA520" s="82" cm="1">
        <f ca="1" t="array" ref="AA520">SUMPRODUCT(TRANSPOSE($AD520:$AJ520),OFFSET($L$10:$L$16,0,AA$335-1))</f>
        <v>0</v>
      </c>
      <c r="AB520" s="82" cm="1">
        <f ca="1" t="array" ref="AB520">SUMPRODUCT(TRANSPOSE($AD520:$AJ520),OFFSET($L$10:$L$16,0,AB$335-1))</f>
        <v>0</v>
      </c>
      <c r="AC520" s="82" cm="1">
        <f ca="1" t="array" ref="AC520">SUMPRODUCT(TRANSPOSE($AD520:$AJ520),OFFSET($L$10:$L$16,0,AC$335-1))</f>
        <v>0</v>
      </c>
      <c r="AD520" s="83">
        <f ca="1" t="shared" ref="AD520:AJ520" si="687">AK520-AK519</f>
        <v>0</v>
      </c>
      <c r="AE520" s="83">
        <f ca="1" t="shared" si="687"/>
        <v>0</v>
      </c>
      <c r="AF520" s="83">
        <f ca="1" t="shared" si="687"/>
        <v>0</v>
      </c>
      <c r="AG520" s="83">
        <f ca="1" t="shared" si="687"/>
        <v>0</v>
      </c>
      <c r="AH520" s="83">
        <f ca="1" t="shared" si="687"/>
        <v>0</v>
      </c>
      <c r="AI520" s="83">
        <f ca="1" t="shared" si="687"/>
        <v>0</v>
      </c>
      <c r="AJ520" s="83">
        <f ca="1" t="shared" si="687"/>
        <v>0</v>
      </c>
      <c r="AK520" s="83">
        <f ca="1" t="shared" si="581"/>
        <v>450</v>
      </c>
      <c r="AL520" s="83">
        <f ca="1" t="shared" ref="AL520:AQ520" si="688">IF($C520&gt;OFFSET($Q$9,MATCH(AL$338,$AK$338:$AQ$338,0),0),OFFSET($P$9,MATCH(AL$338,$AK$338:$AQ$338,0),0),MAX(0,$C520-OFFSET($Q$9,RIGHT(AL$338,1)-1,0)))</f>
        <v>909</v>
      </c>
      <c r="AM520" s="83">
        <f ca="1" t="shared" si="688"/>
        <v>1818</v>
      </c>
      <c r="AN520" s="83">
        <f ca="1" t="shared" si="688"/>
        <v>2727</v>
      </c>
      <c r="AO520" s="83">
        <f ca="1" t="shared" si="688"/>
        <v>3636</v>
      </c>
      <c r="AP520" s="83">
        <f ca="1" t="shared" si="688"/>
        <v>4545</v>
      </c>
      <c r="AQ520" s="83">
        <f ca="1" t="shared" si="688"/>
        <v>0</v>
      </c>
    </row>
    <row r="521" ht="16.5" spans="2:43">
      <c r="B521" s="65">
        <v>183</v>
      </c>
      <c r="C521" s="80">
        <f t="shared" si="579"/>
        <v>21456</v>
      </c>
      <c r="D521" s="81" cm="1">
        <f ca="1" t="array" ref="D521">IF(D823=1,OFFSET($Z$338,$B521,D$335-1)/SUMPRODUCT(--($D$335:$V$335=D$335),--($D823:$V823=1)),0)+SUM(D520)+IF(COUNTIF(D$641:D823,1)=1,5,0)+IF(COUNTIF(E521:$Z521,"&gt;"&amp;0)&gt;5,IF(MOD(COUNTIF(D$641:D823,1),7)=0,$C$4,0),0)</f>
        <v>1248.82134856666</v>
      </c>
      <c r="E521" s="81" cm="1">
        <f ca="1" t="array" ref="E521">IF(E823=1,OFFSET($Z$338,$B521,E$335-1)/SUMPRODUCT(--($D$335:$V$335=E$335),--($D823:$V823=1)),0)+SUM(E520)+IF(COUNTIF(E$641:E823,1)=1,5,0)+IF(COUNTIF(F521:$Z521,"&gt;"&amp;0)&gt;5,IF(MOD(COUNTIF(E$641:E823,1),7)=0,$C$4,0),0)</f>
        <v>1248.82134856666</v>
      </c>
      <c r="F521" s="81" cm="1">
        <f ca="1" t="array" ref="F521">IF(F823=1,OFFSET($Z$338,$B521,F$335-1)/SUMPRODUCT(--($D$335:$V$335=F$335),--($D823:$V823=1)),0)+SUM(F520)+IF(COUNTIF(F$641:F823,1)=1,5,0)+IF(COUNTIF(G521:$Z521,"&gt;"&amp;0)&gt;5,IF(MOD(COUNTIF(F$641:F823,1),7)=0,$C$4,0),0)</f>
        <v>1248.82134856666</v>
      </c>
      <c r="G521" s="81" cm="1">
        <f ca="1" t="array" ref="G521">IF(G823=1,OFFSET($Z$338,$B521,G$335-1)/SUMPRODUCT(--($D$335:$V$335=G$335),--($D823:$V823=1)),0)+SUM(G520)+IF(COUNTIF(G$641:G823,1)=1,5,0)+IF(COUNTIF(H521:$Z521,"&gt;"&amp;0)&gt;5,IF(MOD(COUNTIF(G$641:G823,1),7)=0,$C$4,0),0)</f>
        <v>537.516666666668</v>
      </c>
      <c r="H521" s="81" cm="1">
        <f ca="1" t="array" ref="H521">IF(H823=1,OFFSET($Z$338,$B521,H$335-1)/SUMPRODUCT(--($D$335:$V$335=H$335),--($D823:$V823=1)),0)+SUM(H520)+IF(COUNTIF(H$641:H823,1)=1,5,0)+IF(COUNTIF(I521:$Z521,"&gt;"&amp;0)&gt;5,IF(MOD(COUNTIF(H$641:H823,1),7)=0,$C$4,0),0)</f>
        <v>537.516666666668</v>
      </c>
      <c r="I521" s="81" cm="1">
        <f ca="1" t="array" ref="I521">IF(I823=1,OFFSET($Z$338,$B521,I$335-1)/SUMPRODUCT(--($D$335:$V$335=I$335),--($D823:$V823=1)),0)+SUM(I520)+IF(COUNTIF(I$641:I823,1)=1,5,0)+IF(COUNTIF(J521:$Z521,"&gt;"&amp;0)&gt;5,IF(MOD(COUNTIF(I$641:I823,1),7)=0,$C$4,0),0)</f>
        <v>537.516666666668</v>
      </c>
      <c r="J521" s="81" cm="1">
        <f ca="1" t="array" ref="J521">IF(J823=1,OFFSET($Z$338,$B521,J$335-1)/SUMPRODUCT(--($D$335:$V$335=J$335),--($D823:$V823=1)),0)+SUM(J520)+IF(COUNTIF(J$641:J823,1)=1,5,0)+IF(COUNTIF(K521:$Z521,"&gt;"&amp;0)&gt;5,IF(MOD(COUNTIF(J$641:J823,1),7)=0,$C$4,0),0)</f>
        <v>537.516666666668</v>
      </c>
      <c r="K521" s="81" cm="1">
        <f ca="1" t="array" ref="K521">IF(K823=1,OFFSET($Z$338,$B521,K$335-1)/SUMPRODUCT(--($D$335:$V$335=K$335),--($D823:$V823=1)),0)+SUM(K520)+IF(COUNTIF(K$641:K823,1)=1,5,0)+IF(COUNTIF(L521:$Z521,"&gt;"&amp;0)&gt;5,IF(MOD(COUNTIF(K$641:K823,1),7)=0,$C$4,0),0)</f>
        <v>537.516666666668</v>
      </c>
      <c r="L521" s="81" cm="1">
        <f ca="1" t="array" ref="L521">IF(L823=1,OFFSET($Z$338,$B521,L$335-1)/SUMPRODUCT(--($D$335:$V$335=L$335),--($D823:$V823=1)),0)+SUM(L520)+IF(COUNTIF(L$641:L823,1)=1,5,0)+IF(COUNTIF(M521:$Z521,"&gt;"&amp;0)&gt;5,IF(MOD(COUNTIF(L$641:L823,1),7)=0,$C$4,0),0)</f>
        <v>530.816666666668</v>
      </c>
      <c r="M521" s="81" cm="1">
        <f ca="1" t="array" ref="M521">IF(M823=1,OFFSET($Z$338,$B521,M$335-1)/SUMPRODUCT(--($D$335:$V$335=M$335),--($D823:$V823=1)),0)+SUM(M520)+IF(COUNTIF(M$641:M823,1)=1,5,0)+IF(COUNTIF(N521:$Z521,"&gt;"&amp;0)&gt;5,IF(MOD(COUNTIF(M$641:M823,1),7)=0,$C$4,0),0)</f>
        <v>285.644107142858</v>
      </c>
      <c r="N521" s="81" cm="1">
        <f ca="1" t="array" ref="N521">IF(N823=1,OFFSET($Z$338,$B521,N$335-1)/SUMPRODUCT(--($D$335:$V$335=N$335),--($D823:$V823=1)),0)+SUM(N520)+IF(COUNTIF(N$641:N823,1)=1,5,0)+IF(COUNTIF(O521:$Z521,"&gt;"&amp;0)&gt;5,IF(MOD(COUNTIF(N$641:N823,1),7)=0,$C$4,0),0)</f>
        <v>272.919107142858</v>
      </c>
      <c r="O521" s="81" cm="1">
        <f ca="1" t="array" ref="O521">IF(O823=1,OFFSET($Z$338,$B521,O$335-1)/SUMPRODUCT(--($D$335:$V$335=O$335),--($D823:$V823=1)),0)+SUM(O520)+IF(COUNTIF(O$641:O823,1)=1,5,0)+IF(COUNTIF(P521:$Z521,"&gt;"&amp;0)&gt;5,IF(MOD(COUNTIF(O$641:O823,1),7)=0,$C$4,0),0)</f>
        <v>270.494107142858</v>
      </c>
      <c r="P521" s="81" cm="1">
        <f ca="1" t="array" ref="P521">IF(P823=1,OFFSET($Z$338,$B521,P$335-1)/SUMPRODUCT(--($D$335:$V$335=P$335),--($D823:$V823=1)),0)+SUM(P520)+IF(COUNTIF(P$641:P823,1)=1,5,0)+IF(COUNTIF(Q521:$Z521,"&gt;"&amp;0)&gt;5,IF(MOD(COUNTIF(P$641:P823,1),7)=0,$C$4,0),0)</f>
        <v>267.560773809524</v>
      </c>
      <c r="Q521" s="81" cm="1">
        <f ca="1" t="array" ref="Q521">IF(Q823=1,OFFSET($Z$338,$B521,Q$335-1)/SUMPRODUCT(--($D$335:$V$335=Q$335),--($D823:$V823=1)),0)+SUM(Q520)+IF(COUNTIF(Q$641:Q823,1)=1,5,0)+IF(COUNTIF(R521:$Z521,"&gt;"&amp;0)&gt;5,IF(MOD(COUNTIF(Q$641:Q823,1),7)=0,$C$4,0),0)</f>
        <v>266.654523809524</v>
      </c>
      <c r="R521" s="81" cm="1">
        <f ca="1" t="array" ref="R521">IF(R823=1,OFFSET($Z$338,$B521,R$335-1)/SUMPRODUCT(--($D$335:$V$335=R$335),--($D823:$V823=1)),0)+SUM(R520)+IF(COUNTIF(R$641:R823,1)=1,5,0)+IF(COUNTIF(S521:$Z521,"&gt;"&amp;0)&gt;5,IF(MOD(COUNTIF(R$641:R823,1),7)=0,$C$4,0),0)</f>
        <v>241.759523809524</v>
      </c>
      <c r="S521" s="81" cm="1">
        <f ca="1" t="array" ref="S521">IF(S823=1,OFFSET($Z$338,$B521,S$335-1)/SUMPRODUCT(--($D$335:$V$335=S$335),--($D823:$V823=1)),0)+SUM(S520)+IF(COUNTIF(S$641:S823,1)=1,5,0)+IF(COUNTIF(T521:$Z521,"&gt;"&amp;0)&gt;5,IF(MOD(COUNTIF(S$641:S823,1),7)=0,$C$4,0),0)</f>
        <v>232.592857142857</v>
      </c>
      <c r="T521" s="81" cm="1">
        <f ca="1" t="array" ref="T521">IF(T823=1,OFFSET($Z$338,$B521,T$335-1)/SUMPRODUCT(--($D$335:$V$335=T$335),--($D823:$V823=1)),0)+SUM(T520)+IF(COUNTIF(T$641:T823,1)=1,5,0)+IF(COUNTIF(U521:$Z521,"&gt;"&amp;0)&gt;5,IF(MOD(COUNTIF(T$641:T823,1),7)=0,$C$4,0),0)</f>
        <v>137.656257829764</v>
      </c>
      <c r="U521" s="81" cm="1">
        <f ca="1" t="array" ref="U521">IF(U823=1,OFFSET($Z$338,$B521,U$335-1)/SUMPRODUCT(--($D$335:$V$335=U$335),--($D823:$V823=1)),0)+SUM(U520)+IF(COUNTIF(U$641:U823,1)=1,5,0)+IF(COUNTIF(V521:$Z521,"&gt;"&amp;0)&gt;5,IF(MOD(COUNTIF(U$641:U823,1),7)=0,$C$4,0),0)</f>
        <v>97.6562578297643</v>
      </c>
      <c r="V521" s="81" cm="1">
        <f ca="1" t="array" ref="V521">IF(V823=1,OFFSET($Z$338,$B521,V$335-1)/SUMPRODUCT(--($D$335:$V$335=V$335),--($D823:$V823=1)),0)+SUM(V520)+IF(COUNTIF(V$641:V823,1)=1,5,0)+IF(COUNTIF(Z521:$Z521,"&gt;"&amp;0)&gt;5,IF(MOD(COUNTIF(V$641:V823,1),7)=0,$C$4,0),0)</f>
        <v>89.6984386404824</v>
      </c>
      <c r="W521" s="81" cm="1">
        <f ca="1" t="array" ref="W521">IF(W823=1,OFFSET($Z$338,$B521,W$335-1)/SUMPRODUCT(--($D$335:$V$335=W$335),--($D823:$V823=1)),0)+SUM(W520)+IF(COUNTIF(W$641:W823,1)=1,5,0)+IF(COUNTIF($Z521:AA521,"&gt;"&amp;0)&gt;5,IF(MOD(COUNTIF(W$641:W823,1),7)=0,$C$4,0),0)</f>
        <v>80.3425695255331</v>
      </c>
      <c r="X521" s="81" cm="1">
        <f ca="1" t="array" ref="X521">IF(X823=1,OFFSET($Z$338,$B521,X$335-1)/SUMPRODUCT(--($D$335:$V$335=X$335),--($D823:$V823=1)),0)+SUM(X520)+IF(COUNTIF(X$641:X823,1)=1,5,0)+IF(COUNTIF($Z521:AB521,"&gt;"&amp;0)&gt;5,IF(MOD(COUNTIF(X$641:X823,1),7)=0,$C$4,0),0)</f>
        <v>73.5789092348996</v>
      </c>
      <c r="Y521" s="81" cm="1">
        <f ca="1" t="array" ref="Y521">IF(Y823=1,OFFSET($Z$338,$B521,Y$335-1)/SUMPRODUCT(--($D$335:$V$335=Y$335),--($D823:$V823=1)),0)+SUM(Y520)+IF(COUNTIF(Y$641:Y823,1)=1,5,0)+IF(COUNTIF($Z521:AC521,"&gt;"&amp;0)&gt;5,IF(MOD(COUNTIF(Y$641:Y823,1),7)=0,$C$4,0),0)</f>
        <v>66.8152489442662</v>
      </c>
      <c r="Z521" s="82" cm="1">
        <f ca="1" t="array" ref="Z521">SUMPRODUCT(TRANSPOSE($AD521:$AJ521),OFFSET($L$10:$L$16,0,Z$335-1))</f>
        <v>0</v>
      </c>
      <c r="AA521" s="82" cm="1">
        <f ca="1" t="array" ref="AA521">SUMPRODUCT(TRANSPOSE($AD521:$AJ521),OFFSET($L$10:$L$16,0,AA$335-1))</f>
        <v>0</v>
      </c>
      <c r="AB521" s="82" cm="1">
        <f ca="1" t="array" ref="AB521">SUMPRODUCT(TRANSPOSE($AD521:$AJ521),OFFSET($L$10:$L$16,0,AB$335-1))</f>
        <v>0</v>
      </c>
      <c r="AC521" s="82" cm="1">
        <f ca="1" t="array" ref="AC521">SUMPRODUCT(TRANSPOSE($AD521:$AJ521),OFFSET($L$10:$L$16,0,AC$335-1))</f>
        <v>0</v>
      </c>
      <c r="AD521" s="83">
        <f ca="1" t="shared" ref="AD521:AJ521" si="689">AK521-AK520</f>
        <v>0</v>
      </c>
      <c r="AE521" s="83">
        <f ca="1" t="shared" si="689"/>
        <v>0</v>
      </c>
      <c r="AF521" s="83">
        <f ca="1" t="shared" si="689"/>
        <v>0</v>
      </c>
      <c r="AG521" s="83">
        <f ca="1" t="shared" si="689"/>
        <v>0</v>
      </c>
      <c r="AH521" s="83">
        <f ca="1" t="shared" si="689"/>
        <v>0</v>
      </c>
      <c r="AI521" s="83">
        <f ca="1" t="shared" si="689"/>
        <v>0</v>
      </c>
      <c r="AJ521" s="83">
        <f ca="1" t="shared" si="689"/>
        <v>0</v>
      </c>
      <c r="AK521" s="83">
        <f ca="1" t="shared" si="581"/>
        <v>450</v>
      </c>
      <c r="AL521" s="83">
        <f ca="1" t="shared" ref="AL521:AQ521" si="690">IF($C521&gt;OFFSET($Q$9,MATCH(AL$338,$AK$338:$AQ$338,0),0),OFFSET($P$9,MATCH(AL$338,$AK$338:$AQ$338,0),0),MAX(0,$C521-OFFSET($Q$9,RIGHT(AL$338,1)-1,0)))</f>
        <v>909</v>
      </c>
      <c r="AM521" s="83">
        <f ca="1" t="shared" si="690"/>
        <v>1818</v>
      </c>
      <c r="AN521" s="83">
        <f ca="1" t="shared" si="690"/>
        <v>2727</v>
      </c>
      <c r="AO521" s="83">
        <f ca="1" t="shared" si="690"/>
        <v>3636</v>
      </c>
      <c r="AP521" s="83">
        <f ca="1" t="shared" si="690"/>
        <v>4545</v>
      </c>
      <c r="AQ521" s="83">
        <f ca="1" t="shared" si="690"/>
        <v>0</v>
      </c>
    </row>
    <row r="522" ht="16.5" spans="2:43">
      <c r="B522" s="65">
        <v>184</v>
      </c>
      <c r="C522" s="80">
        <f t="shared" si="579"/>
        <v>21566</v>
      </c>
      <c r="D522" s="81" cm="1">
        <f ca="1" t="array" ref="D522">IF(D824=1,OFFSET($Z$338,$B522,D$335-1)/SUMPRODUCT(--($D$335:$V$335=D$335),--($D824:$V824=1)),0)+SUM(D521)+IF(COUNTIF(D$641:D824,1)=1,5,0)+IF(COUNTIF(E522:$Z522,"&gt;"&amp;0)&gt;5,IF(MOD(COUNTIF(D$641:D824,1),7)=0,$C$4,0),0)</f>
        <v>1248.82134856666</v>
      </c>
      <c r="E522" s="81" cm="1">
        <f ca="1" t="array" ref="E522">IF(E824=1,OFFSET($Z$338,$B522,E$335-1)/SUMPRODUCT(--($D$335:$V$335=E$335),--($D824:$V824=1)),0)+SUM(E521)+IF(COUNTIF(E$641:E824,1)=1,5,0)+IF(COUNTIF(F522:$Z522,"&gt;"&amp;0)&gt;5,IF(MOD(COUNTIF(E$641:E824,1),7)=0,$C$4,0),0)</f>
        <v>1248.82134856666</v>
      </c>
      <c r="F522" s="81" cm="1">
        <f ca="1" t="array" ref="F522">IF(F824=1,OFFSET($Z$338,$B522,F$335-1)/SUMPRODUCT(--($D$335:$V$335=F$335),--($D824:$V824=1)),0)+SUM(F521)+IF(COUNTIF(F$641:F824,1)=1,5,0)+IF(COUNTIF(G522:$Z522,"&gt;"&amp;0)&gt;5,IF(MOD(COUNTIF(F$641:F824,1),7)=0,$C$4,0),0)</f>
        <v>1248.82134856666</v>
      </c>
      <c r="G522" s="81" cm="1">
        <f ca="1" t="array" ref="G522">IF(G824=1,OFFSET($Z$338,$B522,G$335-1)/SUMPRODUCT(--($D$335:$V$335=G$335),--($D824:$V824=1)),0)+SUM(G521)+IF(COUNTIF(G$641:G824,1)=1,5,0)+IF(COUNTIF(H522:$Z522,"&gt;"&amp;0)&gt;5,IF(MOD(COUNTIF(G$641:G824,1),7)=0,$C$4,0),0)</f>
        <v>537.516666666668</v>
      </c>
      <c r="H522" s="81" cm="1">
        <f ca="1" t="array" ref="H522">IF(H824=1,OFFSET($Z$338,$B522,H$335-1)/SUMPRODUCT(--($D$335:$V$335=H$335),--($D824:$V824=1)),0)+SUM(H521)+IF(COUNTIF(H$641:H824,1)=1,5,0)+IF(COUNTIF(I522:$Z522,"&gt;"&amp;0)&gt;5,IF(MOD(COUNTIF(H$641:H824,1),7)=0,$C$4,0),0)</f>
        <v>537.516666666668</v>
      </c>
      <c r="I522" s="81" cm="1">
        <f ca="1" t="array" ref="I522">IF(I824=1,OFFSET($Z$338,$B522,I$335-1)/SUMPRODUCT(--($D$335:$V$335=I$335),--($D824:$V824=1)),0)+SUM(I521)+IF(COUNTIF(I$641:I824,1)=1,5,0)+IF(COUNTIF(J522:$Z522,"&gt;"&amp;0)&gt;5,IF(MOD(COUNTIF(I$641:I824,1),7)=0,$C$4,0),0)</f>
        <v>537.516666666668</v>
      </c>
      <c r="J522" s="81" cm="1">
        <f ca="1" t="array" ref="J522">IF(J824=1,OFFSET($Z$338,$B522,J$335-1)/SUMPRODUCT(--($D$335:$V$335=J$335),--($D824:$V824=1)),0)+SUM(J521)+IF(COUNTIF(J$641:J824,1)=1,5,0)+IF(COUNTIF(K522:$Z522,"&gt;"&amp;0)&gt;5,IF(MOD(COUNTIF(J$641:J824,1),7)=0,$C$4,0),0)</f>
        <v>537.516666666668</v>
      </c>
      <c r="K522" s="81" cm="1">
        <f ca="1" t="array" ref="K522">IF(K824=1,OFFSET($Z$338,$B522,K$335-1)/SUMPRODUCT(--($D$335:$V$335=K$335),--($D824:$V824=1)),0)+SUM(K521)+IF(COUNTIF(K$641:K824,1)=1,5,0)+IF(COUNTIF(L522:$Z522,"&gt;"&amp;0)&gt;5,IF(MOD(COUNTIF(K$641:K824,1),7)=0,$C$4,0),0)</f>
        <v>537.516666666668</v>
      </c>
      <c r="L522" s="81" cm="1">
        <f ca="1" t="array" ref="L522">IF(L824=1,OFFSET($Z$338,$B522,L$335-1)/SUMPRODUCT(--($D$335:$V$335=L$335),--($D824:$V824=1)),0)+SUM(L521)+IF(COUNTIF(L$641:L824,1)=1,5,0)+IF(COUNTIF(M522:$Z522,"&gt;"&amp;0)&gt;5,IF(MOD(COUNTIF(L$641:L824,1),7)=0,$C$4,0),0)</f>
        <v>530.816666666668</v>
      </c>
      <c r="M522" s="81" cm="1">
        <f ca="1" t="array" ref="M522">IF(M824=1,OFFSET($Z$338,$B522,M$335-1)/SUMPRODUCT(--($D$335:$V$335=M$335),--($D824:$V824=1)),0)+SUM(M521)+IF(COUNTIF(M$641:M824,1)=1,5,0)+IF(COUNTIF(N522:$Z522,"&gt;"&amp;0)&gt;5,IF(MOD(COUNTIF(M$641:M824,1),7)=0,$C$4,0),0)</f>
        <v>285.644107142858</v>
      </c>
      <c r="N522" s="81" cm="1">
        <f ca="1" t="array" ref="N522">IF(N824=1,OFFSET($Z$338,$B522,N$335-1)/SUMPRODUCT(--($D$335:$V$335=N$335),--($D824:$V824=1)),0)+SUM(N521)+IF(COUNTIF(N$641:N824,1)=1,5,0)+IF(COUNTIF(O522:$Z522,"&gt;"&amp;0)&gt;5,IF(MOD(COUNTIF(N$641:N824,1),7)=0,$C$4,0),0)</f>
        <v>277.919107142858</v>
      </c>
      <c r="O522" s="81" cm="1">
        <f ca="1" t="array" ref="O522">IF(O824=1,OFFSET($Z$338,$B522,O$335-1)/SUMPRODUCT(--($D$335:$V$335=O$335),--($D824:$V824=1)),0)+SUM(O521)+IF(COUNTIF(O$641:O824,1)=1,5,0)+IF(COUNTIF(P522:$Z522,"&gt;"&amp;0)&gt;5,IF(MOD(COUNTIF(O$641:O824,1),7)=0,$C$4,0),0)</f>
        <v>270.494107142858</v>
      </c>
      <c r="P522" s="81" cm="1">
        <f ca="1" t="array" ref="P522">IF(P824=1,OFFSET($Z$338,$B522,P$335-1)/SUMPRODUCT(--($D$335:$V$335=P$335),--($D824:$V824=1)),0)+SUM(P521)+IF(COUNTIF(P$641:P824,1)=1,5,0)+IF(COUNTIF(Q522:$Z522,"&gt;"&amp;0)&gt;5,IF(MOD(COUNTIF(P$641:P824,1),7)=0,$C$4,0),0)</f>
        <v>267.560773809524</v>
      </c>
      <c r="Q522" s="81" cm="1">
        <f ca="1" t="array" ref="Q522">IF(Q824=1,OFFSET($Z$338,$B522,Q$335-1)/SUMPRODUCT(--($D$335:$V$335=Q$335),--($D824:$V824=1)),0)+SUM(Q521)+IF(COUNTIF(Q$641:Q824,1)=1,5,0)+IF(COUNTIF(R522:$Z522,"&gt;"&amp;0)&gt;5,IF(MOD(COUNTIF(Q$641:Q824,1),7)=0,$C$4,0),0)</f>
        <v>266.654523809524</v>
      </c>
      <c r="R522" s="81" cm="1">
        <f ca="1" t="array" ref="R522">IF(R824=1,OFFSET($Z$338,$B522,R$335-1)/SUMPRODUCT(--($D$335:$V$335=R$335),--($D824:$V824=1)),0)+SUM(R521)+IF(COUNTIF(R$641:R824,1)=1,5,0)+IF(COUNTIF(S522:$Z522,"&gt;"&amp;0)&gt;5,IF(MOD(COUNTIF(R$641:R824,1),7)=0,$C$4,0),0)</f>
        <v>241.759523809524</v>
      </c>
      <c r="S522" s="81" cm="1">
        <f ca="1" t="array" ref="S522">IF(S824=1,OFFSET($Z$338,$B522,S$335-1)/SUMPRODUCT(--($D$335:$V$335=S$335),--($D824:$V824=1)),0)+SUM(S521)+IF(COUNTIF(S$641:S824,1)=1,5,0)+IF(COUNTIF(T522:$Z522,"&gt;"&amp;0)&gt;5,IF(MOD(COUNTIF(S$641:S824,1),7)=0,$C$4,0),0)</f>
        <v>232.592857142857</v>
      </c>
      <c r="T522" s="81" cm="1">
        <f ca="1" t="array" ref="T522">IF(T824=1,OFFSET($Z$338,$B522,T$335-1)/SUMPRODUCT(--($D$335:$V$335=T$335),--($D824:$V824=1)),0)+SUM(T521)+IF(COUNTIF(T$641:T824,1)=1,5,0)+IF(COUNTIF(U522:$Z522,"&gt;"&amp;0)&gt;5,IF(MOD(COUNTIF(T$641:T824,1),7)=0,$C$4,0),0)</f>
        <v>137.656257829764</v>
      </c>
      <c r="U522" s="81" cm="1">
        <f ca="1" t="array" ref="U522">IF(U824=1,OFFSET($Z$338,$B522,U$335-1)/SUMPRODUCT(--($D$335:$V$335=U$335),--($D824:$V824=1)),0)+SUM(U521)+IF(COUNTIF(U$641:U824,1)=1,5,0)+IF(COUNTIF(V522:$Z522,"&gt;"&amp;0)&gt;5,IF(MOD(COUNTIF(U$641:U824,1),7)=0,$C$4,0),0)</f>
        <v>97.6562578297643</v>
      </c>
      <c r="V522" s="81" cm="1">
        <f ca="1" t="array" ref="V522">IF(V824=1,OFFSET($Z$338,$B522,V$335-1)/SUMPRODUCT(--($D$335:$V$335=V$335),--($D824:$V824=1)),0)+SUM(V521)+IF(COUNTIF(V$641:V824,1)=1,5,0)+IF(COUNTIF(Z522:$Z522,"&gt;"&amp;0)&gt;5,IF(MOD(COUNTIF(V$641:V824,1),7)=0,$C$4,0),0)</f>
        <v>89.6984386404824</v>
      </c>
      <c r="W522" s="81" cm="1">
        <f ca="1" t="array" ref="W522">IF(W824=1,OFFSET($Z$338,$B522,W$335-1)/SUMPRODUCT(--($D$335:$V$335=W$335),--($D824:$V824=1)),0)+SUM(W521)+IF(COUNTIF(W$641:W824,1)=1,5,0)+IF(COUNTIF($Z522:AA522,"&gt;"&amp;0)&gt;5,IF(MOD(COUNTIF(W$641:W824,1),7)=0,$C$4,0),0)</f>
        <v>80.3425695255331</v>
      </c>
      <c r="X522" s="81" cm="1">
        <f ca="1" t="array" ref="X522">IF(X824=1,OFFSET($Z$338,$B522,X$335-1)/SUMPRODUCT(--($D$335:$V$335=X$335),--($D824:$V824=1)),0)+SUM(X521)+IF(COUNTIF(X$641:X824,1)=1,5,0)+IF(COUNTIF($Z522:AB522,"&gt;"&amp;0)&gt;5,IF(MOD(COUNTIF(X$641:X824,1),7)=0,$C$4,0),0)</f>
        <v>73.5789092348996</v>
      </c>
      <c r="Y522" s="81" cm="1">
        <f ca="1" t="array" ref="Y522">IF(Y824=1,OFFSET($Z$338,$B522,Y$335-1)/SUMPRODUCT(--($D$335:$V$335=Y$335),--($D824:$V824=1)),0)+SUM(Y521)+IF(COUNTIF(Y$641:Y824,1)=1,5,0)+IF(COUNTIF($Z522:AC522,"&gt;"&amp;0)&gt;5,IF(MOD(COUNTIF(Y$641:Y824,1),7)=0,$C$4,0),0)</f>
        <v>66.8152489442662</v>
      </c>
      <c r="Z522" s="82" cm="1">
        <f ca="1" t="array" ref="Z522">SUMPRODUCT(TRANSPOSE($AD522:$AJ522),OFFSET($L$10:$L$16,0,Z$335-1))</f>
        <v>0</v>
      </c>
      <c r="AA522" s="82" cm="1">
        <f ca="1" t="array" ref="AA522">SUMPRODUCT(TRANSPOSE($AD522:$AJ522),OFFSET($L$10:$L$16,0,AA$335-1))</f>
        <v>0</v>
      </c>
      <c r="AB522" s="82" cm="1">
        <f ca="1" t="array" ref="AB522">SUMPRODUCT(TRANSPOSE($AD522:$AJ522),OFFSET($L$10:$L$16,0,AB$335-1))</f>
        <v>0</v>
      </c>
      <c r="AC522" s="82" cm="1">
        <f ca="1" t="array" ref="AC522">SUMPRODUCT(TRANSPOSE($AD522:$AJ522),OFFSET($L$10:$L$16,0,AC$335-1))</f>
        <v>0</v>
      </c>
      <c r="AD522" s="83">
        <f ca="1" t="shared" ref="AD522:AJ522" si="691">AK522-AK521</f>
        <v>0</v>
      </c>
      <c r="AE522" s="83">
        <f ca="1" t="shared" si="691"/>
        <v>0</v>
      </c>
      <c r="AF522" s="83">
        <f ca="1" t="shared" si="691"/>
        <v>0</v>
      </c>
      <c r="AG522" s="83">
        <f ca="1" t="shared" si="691"/>
        <v>0</v>
      </c>
      <c r="AH522" s="83">
        <f ca="1" t="shared" si="691"/>
        <v>0</v>
      </c>
      <c r="AI522" s="83">
        <f ca="1" t="shared" si="691"/>
        <v>0</v>
      </c>
      <c r="AJ522" s="83">
        <f ca="1" t="shared" si="691"/>
        <v>0</v>
      </c>
      <c r="AK522" s="83">
        <f ca="1" t="shared" si="581"/>
        <v>450</v>
      </c>
      <c r="AL522" s="83">
        <f ca="1" t="shared" ref="AL522:AQ522" si="692">IF($C522&gt;OFFSET($Q$9,MATCH(AL$338,$AK$338:$AQ$338,0),0),OFFSET($P$9,MATCH(AL$338,$AK$338:$AQ$338,0),0),MAX(0,$C522-OFFSET($Q$9,RIGHT(AL$338,1)-1,0)))</f>
        <v>909</v>
      </c>
      <c r="AM522" s="83">
        <f ca="1" t="shared" si="692"/>
        <v>1818</v>
      </c>
      <c r="AN522" s="83">
        <f ca="1" t="shared" si="692"/>
        <v>2727</v>
      </c>
      <c r="AO522" s="83">
        <f ca="1" t="shared" si="692"/>
        <v>3636</v>
      </c>
      <c r="AP522" s="83">
        <f ca="1" t="shared" si="692"/>
        <v>4545</v>
      </c>
      <c r="AQ522" s="83">
        <f ca="1" t="shared" si="692"/>
        <v>0</v>
      </c>
    </row>
    <row r="523" ht="16.5" spans="2:43">
      <c r="B523" s="65">
        <v>185</v>
      </c>
      <c r="C523" s="80">
        <f t="shared" si="579"/>
        <v>21676</v>
      </c>
      <c r="D523" s="81" cm="1">
        <f ca="1" t="array" ref="D523">IF(D825=1,OFFSET($Z$338,$B523,D$335-1)/SUMPRODUCT(--($D$335:$V$335=D$335),--($D825:$V825=1)),0)+SUM(D522)+IF(COUNTIF(D$641:D825,1)=1,5,0)+IF(COUNTIF(E523:$Z523,"&gt;"&amp;0)&gt;5,IF(MOD(COUNTIF(D$641:D825,1),7)=0,$C$4,0),0)</f>
        <v>1248.82134856666</v>
      </c>
      <c r="E523" s="81" cm="1">
        <f ca="1" t="array" ref="E523">IF(E825=1,OFFSET($Z$338,$B523,E$335-1)/SUMPRODUCT(--($D$335:$V$335=E$335),--($D825:$V825=1)),0)+SUM(E522)+IF(COUNTIF(E$641:E825,1)=1,5,0)+IF(COUNTIF(F523:$Z523,"&gt;"&amp;0)&gt;5,IF(MOD(COUNTIF(E$641:E825,1),7)=0,$C$4,0),0)</f>
        <v>1248.82134856666</v>
      </c>
      <c r="F523" s="81" cm="1">
        <f ca="1" t="array" ref="F523">IF(F825=1,OFFSET($Z$338,$B523,F$335-1)/SUMPRODUCT(--($D$335:$V$335=F$335),--($D825:$V825=1)),0)+SUM(F522)+IF(COUNTIF(F$641:F825,1)=1,5,0)+IF(COUNTIF(G523:$Z523,"&gt;"&amp;0)&gt;5,IF(MOD(COUNTIF(F$641:F825,1),7)=0,$C$4,0),0)</f>
        <v>1248.82134856666</v>
      </c>
      <c r="G523" s="81" cm="1">
        <f ca="1" t="array" ref="G523">IF(G825=1,OFFSET($Z$338,$B523,G$335-1)/SUMPRODUCT(--($D$335:$V$335=G$335),--($D825:$V825=1)),0)+SUM(G522)+IF(COUNTIF(G$641:G825,1)=1,5,0)+IF(COUNTIF(H523:$Z523,"&gt;"&amp;0)&gt;5,IF(MOD(COUNTIF(G$641:G825,1),7)=0,$C$4,0),0)</f>
        <v>537.516666666668</v>
      </c>
      <c r="H523" s="81" cm="1">
        <f ca="1" t="array" ref="H523">IF(H825=1,OFFSET($Z$338,$B523,H$335-1)/SUMPRODUCT(--($D$335:$V$335=H$335),--($D825:$V825=1)),0)+SUM(H522)+IF(COUNTIF(H$641:H825,1)=1,5,0)+IF(COUNTIF(I523:$Z523,"&gt;"&amp;0)&gt;5,IF(MOD(COUNTIF(H$641:H825,1),7)=0,$C$4,0),0)</f>
        <v>537.516666666668</v>
      </c>
      <c r="I523" s="81" cm="1">
        <f ca="1" t="array" ref="I523">IF(I825=1,OFFSET($Z$338,$B523,I$335-1)/SUMPRODUCT(--($D$335:$V$335=I$335),--($D825:$V825=1)),0)+SUM(I522)+IF(COUNTIF(I$641:I825,1)=1,5,0)+IF(COUNTIF(J523:$Z523,"&gt;"&amp;0)&gt;5,IF(MOD(COUNTIF(I$641:I825,1),7)=0,$C$4,0),0)</f>
        <v>537.516666666668</v>
      </c>
      <c r="J523" s="81" cm="1">
        <f ca="1" t="array" ref="J523">IF(J825=1,OFFSET($Z$338,$B523,J$335-1)/SUMPRODUCT(--($D$335:$V$335=J$335),--($D825:$V825=1)),0)+SUM(J522)+IF(COUNTIF(J$641:J825,1)=1,5,0)+IF(COUNTIF(K523:$Z523,"&gt;"&amp;0)&gt;5,IF(MOD(COUNTIF(J$641:J825,1),7)=0,$C$4,0),0)</f>
        <v>537.516666666668</v>
      </c>
      <c r="K523" s="81" cm="1">
        <f ca="1" t="array" ref="K523">IF(K825=1,OFFSET($Z$338,$B523,K$335-1)/SUMPRODUCT(--($D$335:$V$335=K$335),--($D825:$V825=1)),0)+SUM(K522)+IF(COUNTIF(K$641:K825,1)=1,5,0)+IF(COUNTIF(L523:$Z523,"&gt;"&amp;0)&gt;5,IF(MOD(COUNTIF(K$641:K825,1),7)=0,$C$4,0),0)</f>
        <v>537.516666666668</v>
      </c>
      <c r="L523" s="81" cm="1">
        <f ca="1" t="array" ref="L523">IF(L825=1,OFFSET($Z$338,$B523,L$335-1)/SUMPRODUCT(--($D$335:$V$335=L$335),--($D825:$V825=1)),0)+SUM(L522)+IF(COUNTIF(L$641:L825,1)=1,5,0)+IF(COUNTIF(M523:$Z523,"&gt;"&amp;0)&gt;5,IF(MOD(COUNTIF(L$641:L825,1),7)=0,$C$4,0),0)</f>
        <v>530.816666666668</v>
      </c>
      <c r="M523" s="81" cm="1">
        <f ca="1" t="array" ref="M523">IF(M825=1,OFFSET($Z$338,$B523,M$335-1)/SUMPRODUCT(--($D$335:$V$335=M$335),--($D825:$V825=1)),0)+SUM(M522)+IF(COUNTIF(M$641:M825,1)=1,5,0)+IF(COUNTIF(N523:$Z523,"&gt;"&amp;0)&gt;5,IF(MOD(COUNTIF(M$641:M825,1),7)=0,$C$4,0),0)</f>
        <v>285.644107142858</v>
      </c>
      <c r="N523" s="81" cm="1">
        <f ca="1" t="array" ref="N523">IF(N825=1,OFFSET($Z$338,$B523,N$335-1)/SUMPRODUCT(--($D$335:$V$335=N$335),--($D825:$V825=1)),0)+SUM(N522)+IF(COUNTIF(N$641:N825,1)=1,5,0)+IF(COUNTIF(O523:$Z523,"&gt;"&amp;0)&gt;5,IF(MOD(COUNTIF(N$641:N825,1),7)=0,$C$4,0),0)</f>
        <v>277.919107142858</v>
      </c>
      <c r="O523" s="81" cm="1">
        <f ca="1" t="array" ref="O523">IF(O825=1,OFFSET($Z$338,$B523,O$335-1)/SUMPRODUCT(--($D$335:$V$335=O$335),--($D825:$V825=1)),0)+SUM(O522)+IF(COUNTIF(O$641:O825,1)=1,5,0)+IF(COUNTIF(P523:$Z523,"&gt;"&amp;0)&gt;5,IF(MOD(COUNTIF(O$641:O825,1),7)=0,$C$4,0),0)</f>
        <v>275.494107142858</v>
      </c>
      <c r="P523" s="81" cm="1">
        <f ca="1" t="array" ref="P523">IF(P825=1,OFFSET($Z$338,$B523,P$335-1)/SUMPRODUCT(--($D$335:$V$335=P$335),--($D825:$V825=1)),0)+SUM(P522)+IF(COUNTIF(P$641:P825,1)=1,5,0)+IF(COUNTIF(Q523:$Z523,"&gt;"&amp;0)&gt;5,IF(MOD(COUNTIF(P$641:P825,1),7)=0,$C$4,0),0)</f>
        <v>267.560773809524</v>
      </c>
      <c r="Q523" s="81" cm="1">
        <f ca="1" t="array" ref="Q523">IF(Q825=1,OFFSET($Z$338,$B523,Q$335-1)/SUMPRODUCT(--($D$335:$V$335=Q$335),--($D825:$V825=1)),0)+SUM(Q522)+IF(COUNTIF(Q$641:Q825,1)=1,5,0)+IF(COUNTIF(R523:$Z523,"&gt;"&amp;0)&gt;5,IF(MOD(COUNTIF(Q$641:Q825,1),7)=0,$C$4,0),0)</f>
        <v>266.654523809524</v>
      </c>
      <c r="R523" s="81" cm="1">
        <f ca="1" t="array" ref="R523">IF(R825=1,OFFSET($Z$338,$B523,R$335-1)/SUMPRODUCT(--($D$335:$V$335=R$335),--($D825:$V825=1)),0)+SUM(R522)+IF(COUNTIF(R$641:R825,1)=1,5,0)+IF(COUNTIF(S523:$Z523,"&gt;"&amp;0)&gt;5,IF(MOD(COUNTIF(R$641:R825,1),7)=0,$C$4,0),0)</f>
        <v>241.759523809524</v>
      </c>
      <c r="S523" s="81" cm="1">
        <f ca="1" t="array" ref="S523">IF(S825=1,OFFSET($Z$338,$B523,S$335-1)/SUMPRODUCT(--($D$335:$V$335=S$335),--($D825:$V825=1)),0)+SUM(S522)+IF(COUNTIF(S$641:S825,1)=1,5,0)+IF(COUNTIF(T523:$Z523,"&gt;"&amp;0)&gt;5,IF(MOD(COUNTIF(S$641:S825,1),7)=0,$C$4,0),0)</f>
        <v>232.592857142857</v>
      </c>
      <c r="T523" s="81" cm="1">
        <f ca="1" t="array" ref="T523">IF(T825=1,OFFSET($Z$338,$B523,T$335-1)/SUMPRODUCT(--($D$335:$V$335=T$335),--($D825:$V825=1)),0)+SUM(T522)+IF(COUNTIF(T$641:T825,1)=1,5,0)+IF(COUNTIF(U523:$Z523,"&gt;"&amp;0)&gt;5,IF(MOD(COUNTIF(T$641:T825,1),7)=0,$C$4,0),0)</f>
        <v>137.656257829764</v>
      </c>
      <c r="U523" s="81" cm="1">
        <f ca="1" t="array" ref="U523">IF(U825=1,OFFSET($Z$338,$B523,U$335-1)/SUMPRODUCT(--($D$335:$V$335=U$335),--($D825:$V825=1)),0)+SUM(U522)+IF(COUNTIF(U$641:U825,1)=1,5,0)+IF(COUNTIF(V523:$Z523,"&gt;"&amp;0)&gt;5,IF(MOD(COUNTIF(U$641:U825,1),7)=0,$C$4,0),0)</f>
        <v>97.6562578297643</v>
      </c>
      <c r="V523" s="81" cm="1">
        <f ca="1" t="array" ref="V523">IF(V825=1,OFFSET($Z$338,$B523,V$335-1)/SUMPRODUCT(--($D$335:$V$335=V$335),--($D825:$V825=1)),0)+SUM(V522)+IF(COUNTIF(V$641:V825,1)=1,5,0)+IF(COUNTIF(Z523:$Z523,"&gt;"&amp;0)&gt;5,IF(MOD(COUNTIF(V$641:V825,1),7)=0,$C$4,0),0)</f>
        <v>89.6984386404824</v>
      </c>
      <c r="W523" s="81" cm="1">
        <f ca="1" t="array" ref="W523">IF(W825=1,OFFSET($Z$338,$B523,W$335-1)/SUMPRODUCT(--($D$335:$V$335=W$335),--($D825:$V825=1)),0)+SUM(W522)+IF(COUNTIF(W$641:W825,1)=1,5,0)+IF(COUNTIF($Z523:AA523,"&gt;"&amp;0)&gt;5,IF(MOD(COUNTIF(W$641:W825,1),7)=0,$C$4,0),0)</f>
        <v>80.3425695255331</v>
      </c>
      <c r="X523" s="81" cm="1">
        <f ca="1" t="array" ref="X523">IF(X825=1,OFFSET($Z$338,$B523,X$335-1)/SUMPRODUCT(--($D$335:$V$335=X$335),--($D825:$V825=1)),0)+SUM(X522)+IF(COUNTIF(X$641:X825,1)=1,5,0)+IF(COUNTIF($Z523:AB523,"&gt;"&amp;0)&gt;5,IF(MOD(COUNTIF(X$641:X825,1),7)=0,$C$4,0),0)</f>
        <v>73.5789092348996</v>
      </c>
      <c r="Y523" s="81" cm="1">
        <f ca="1" t="array" ref="Y523">IF(Y825=1,OFFSET($Z$338,$B523,Y$335-1)/SUMPRODUCT(--($D$335:$V$335=Y$335),--($D825:$V825=1)),0)+SUM(Y522)+IF(COUNTIF(Y$641:Y825,1)=1,5,0)+IF(COUNTIF($Z523:AC523,"&gt;"&amp;0)&gt;5,IF(MOD(COUNTIF(Y$641:Y825,1),7)=0,$C$4,0),0)</f>
        <v>66.8152489442662</v>
      </c>
      <c r="Z523" s="82" cm="1">
        <f ca="1" t="array" ref="Z523">SUMPRODUCT(TRANSPOSE($AD523:$AJ523),OFFSET($L$10:$L$16,0,Z$335-1))</f>
        <v>0</v>
      </c>
      <c r="AA523" s="82" cm="1">
        <f ca="1" t="array" ref="AA523">SUMPRODUCT(TRANSPOSE($AD523:$AJ523),OFFSET($L$10:$L$16,0,AA$335-1))</f>
        <v>0</v>
      </c>
      <c r="AB523" s="82" cm="1">
        <f ca="1" t="array" ref="AB523">SUMPRODUCT(TRANSPOSE($AD523:$AJ523),OFFSET($L$10:$L$16,0,AB$335-1))</f>
        <v>0</v>
      </c>
      <c r="AC523" s="82" cm="1">
        <f ca="1" t="array" ref="AC523">SUMPRODUCT(TRANSPOSE($AD523:$AJ523),OFFSET($L$10:$L$16,0,AC$335-1))</f>
        <v>0</v>
      </c>
      <c r="AD523" s="83">
        <f ca="1" t="shared" ref="AD523:AJ523" si="693">AK523-AK522</f>
        <v>0</v>
      </c>
      <c r="AE523" s="83">
        <f ca="1" t="shared" si="693"/>
        <v>0</v>
      </c>
      <c r="AF523" s="83">
        <f ca="1" t="shared" si="693"/>
        <v>0</v>
      </c>
      <c r="AG523" s="83">
        <f ca="1" t="shared" si="693"/>
        <v>0</v>
      </c>
      <c r="AH523" s="83">
        <f ca="1" t="shared" si="693"/>
        <v>0</v>
      </c>
      <c r="AI523" s="83">
        <f ca="1" t="shared" si="693"/>
        <v>0</v>
      </c>
      <c r="AJ523" s="83">
        <f ca="1" t="shared" si="693"/>
        <v>0</v>
      </c>
      <c r="AK523" s="83">
        <f ca="1" t="shared" si="581"/>
        <v>450</v>
      </c>
      <c r="AL523" s="83">
        <f ca="1" t="shared" ref="AL523:AQ523" si="694">IF($C523&gt;OFFSET($Q$9,MATCH(AL$338,$AK$338:$AQ$338,0),0),OFFSET($P$9,MATCH(AL$338,$AK$338:$AQ$338,0),0),MAX(0,$C523-OFFSET($Q$9,RIGHT(AL$338,1)-1,0)))</f>
        <v>909</v>
      </c>
      <c r="AM523" s="83">
        <f ca="1" t="shared" si="694"/>
        <v>1818</v>
      </c>
      <c r="AN523" s="83">
        <f ca="1" t="shared" si="694"/>
        <v>2727</v>
      </c>
      <c r="AO523" s="83">
        <f ca="1" t="shared" si="694"/>
        <v>3636</v>
      </c>
      <c r="AP523" s="83">
        <f ca="1" t="shared" si="694"/>
        <v>4545</v>
      </c>
      <c r="AQ523" s="83">
        <f ca="1" t="shared" si="694"/>
        <v>0</v>
      </c>
    </row>
    <row r="524" ht="16.5" spans="2:43">
      <c r="B524" s="65">
        <v>186</v>
      </c>
      <c r="C524" s="80">
        <f t="shared" si="579"/>
        <v>21786</v>
      </c>
      <c r="D524" s="81" cm="1">
        <f ca="1" t="array" ref="D524">IF(D826=1,OFFSET($Z$338,$B524,D$335-1)/SUMPRODUCT(--($D$335:$V$335=D$335),--($D826:$V826=1)),0)+SUM(D523)+IF(COUNTIF(D$641:D826,1)=1,5,0)+IF(COUNTIF(E524:$Z524,"&gt;"&amp;0)&gt;5,IF(MOD(COUNTIF(D$641:D826,1),7)=0,$C$4,0),0)</f>
        <v>1248.82134856666</v>
      </c>
      <c r="E524" s="81" cm="1">
        <f ca="1" t="array" ref="E524">IF(E826=1,OFFSET($Z$338,$B524,E$335-1)/SUMPRODUCT(--($D$335:$V$335=E$335),--($D826:$V826=1)),0)+SUM(E523)+IF(COUNTIF(E$641:E826,1)=1,5,0)+IF(COUNTIF(F524:$Z524,"&gt;"&amp;0)&gt;5,IF(MOD(COUNTIF(E$641:E826,1),7)=0,$C$4,0),0)</f>
        <v>1248.82134856666</v>
      </c>
      <c r="F524" s="81" cm="1">
        <f ca="1" t="array" ref="F524">IF(F826=1,OFFSET($Z$338,$B524,F$335-1)/SUMPRODUCT(--($D$335:$V$335=F$335),--($D826:$V826=1)),0)+SUM(F523)+IF(COUNTIF(F$641:F826,1)=1,5,0)+IF(COUNTIF(G524:$Z524,"&gt;"&amp;0)&gt;5,IF(MOD(COUNTIF(F$641:F826,1),7)=0,$C$4,0),0)</f>
        <v>1248.82134856666</v>
      </c>
      <c r="G524" s="81" cm="1">
        <f ca="1" t="array" ref="G524">IF(G826=1,OFFSET($Z$338,$B524,G$335-1)/SUMPRODUCT(--($D$335:$V$335=G$335),--($D826:$V826=1)),0)+SUM(G523)+IF(COUNTIF(G$641:G826,1)=1,5,0)+IF(COUNTIF(H524:$Z524,"&gt;"&amp;0)&gt;5,IF(MOD(COUNTIF(G$641:G826,1),7)=0,$C$4,0),0)</f>
        <v>537.516666666668</v>
      </c>
      <c r="H524" s="81" cm="1">
        <f ca="1" t="array" ref="H524">IF(H826=1,OFFSET($Z$338,$B524,H$335-1)/SUMPRODUCT(--($D$335:$V$335=H$335),--($D826:$V826=1)),0)+SUM(H523)+IF(COUNTIF(H$641:H826,1)=1,5,0)+IF(COUNTIF(I524:$Z524,"&gt;"&amp;0)&gt;5,IF(MOD(COUNTIF(H$641:H826,1),7)=0,$C$4,0),0)</f>
        <v>537.516666666668</v>
      </c>
      <c r="I524" s="81" cm="1">
        <f ca="1" t="array" ref="I524">IF(I826=1,OFFSET($Z$338,$B524,I$335-1)/SUMPRODUCT(--($D$335:$V$335=I$335),--($D826:$V826=1)),0)+SUM(I523)+IF(COUNTIF(I$641:I826,1)=1,5,0)+IF(COUNTIF(J524:$Z524,"&gt;"&amp;0)&gt;5,IF(MOD(COUNTIF(I$641:I826,1),7)=0,$C$4,0),0)</f>
        <v>537.516666666668</v>
      </c>
      <c r="J524" s="81" cm="1">
        <f ca="1" t="array" ref="J524">IF(J826=1,OFFSET($Z$338,$B524,J$335-1)/SUMPRODUCT(--($D$335:$V$335=J$335),--($D826:$V826=1)),0)+SUM(J523)+IF(COUNTIF(J$641:J826,1)=1,5,0)+IF(COUNTIF(K524:$Z524,"&gt;"&amp;0)&gt;5,IF(MOD(COUNTIF(J$641:J826,1),7)=0,$C$4,0),0)</f>
        <v>537.516666666668</v>
      </c>
      <c r="K524" s="81" cm="1">
        <f ca="1" t="array" ref="K524">IF(K826=1,OFFSET($Z$338,$B524,K$335-1)/SUMPRODUCT(--($D$335:$V$335=K$335),--($D826:$V826=1)),0)+SUM(K523)+IF(COUNTIF(K$641:K826,1)=1,5,0)+IF(COUNTIF(L524:$Z524,"&gt;"&amp;0)&gt;5,IF(MOD(COUNTIF(K$641:K826,1),7)=0,$C$4,0),0)</f>
        <v>537.516666666668</v>
      </c>
      <c r="L524" s="81" cm="1">
        <f ca="1" t="array" ref="L524">IF(L826=1,OFFSET($Z$338,$B524,L$335-1)/SUMPRODUCT(--($D$335:$V$335=L$335),--($D826:$V826=1)),0)+SUM(L523)+IF(COUNTIF(L$641:L826,1)=1,5,0)+IF(COUNTIF(M524:$Z524,"&gt;"&amp;0)&gt;5,IF(MOD(COUNTIF(L$641:L826,1),7)=0,$C$4,0),0)</f>
        <v>530.816666666668</v>
      </c>
      <c r="M524" s="81" cm="1">
        <f ca="1" t="array" ref="M524">IF(M826=1,OFFSET($Z$338,$B524,M$335-1)/SUMPRODUCT(--($D$335:$V$335=M$335),--($D826:$V826=1)),0)+SUM(M523)+IF(COUNTIF(M$641:M826,1)=1,5,0)+IF(COUNTIF(N524:$Z524,"&gt;"&amp;0)&gt;5,IF(MOD(COUNTIF(M$641:M826,1),7)=0,$C$4,0),0)</f>
        <v>285.644107142858</v>
      </c>
      <c r="N524" s="81" cm="1">
        <f ca="1" t="array" ref="N524">IF(N826=1,OFFSET($Z$338,$B524,N$335-1)/SUMPRODUCT(--($D$335:$V$335=N$335),--($D826:$V826=1)),0)+SUM(N523)+IF(COUNTIF(N$641:N826,1)=1,5,0)+IF(COUNTIF(O524:$Z524,"&gt;"&amp;0)&gt;5,IF(MOD(COUNTIF(N$641:N826,1),7)=0,$C$4,0),0)</f>
        <v>277.919107142858</v>
      </c>
      <c r="O524" s="81" cm="1">
        <f ca="1" t="array" ref="O524">IF(O826=1,OFFSET($Z$338,$B524,O$335-1)/SUMPRODUCT(--($D$335:$V$335=O$335),--($D826:$V826=1)),0)+SUM(O523)+IF(COUNTIF(O$641:O826,1)=1,5,0)+IF(COUNTIF(P524:$Z524,"&gt;"&amp;0)&gt;5,IF(MOD(COUNTIF(O$641:O826,1),7)=0,$C$4,0),0)</f>
        <v>275.494107142858</v>
      </c>
      <c r="P524" s="81" cm="1">
        <f ca="1" t="array" ref="P524">IF(P826=1,OFFSET($Z$338,$B524,P$335-1)/SUMPRODUCT(--($D$335:$V$335=P$335),--($D826:$V826=1)),0)+SUM(P523)+IF(COUNTIF(P$641:P826,1)=1,5,0)+IF(COUNTIF(Q524:$Z524,"&gt;"&amp;0)&gt;5,IF(MOD(COUNTIF(P$641:P826,1),7)=0,$C$4,0),0)</f>
        <v>267.560773809524</v>
      </c>
      <c r="Q524" s="81" cm="1">
        <f ca="1" t="array" ref="Q524">IF(Q826=1,OFFSET($Z$338,$B524,Q$335-1)/SUMPRODUCT(--($D$335:$V$335=Q$335),--($D826:$V826=1)),0)+SUM(Q523)+IF(COUNTIF(Q$641:Q826,1)=1,5,0)+IF(COUNTIF(R524:$Z524,"&gt;"&amp;0)&gt;5,IF(MOD(COUNTIF(Q$641:Q826,1),7)=0,$C$4,0),0)</f>
        <v>266.654523809524</v>
      </c>
      <c r="R524" s="81" cm="1">
        <f ca="1" t="array" ref="R524">IF(R826=1,OFFSET($Z$338,$B524,R$335-1)/SUMPRODUCT(--($D$335:$V$335=R$335),--($D826:$V826=1)),0)+SUM(R523)+IF(COUNTIF(R$641:R826,1)=1,5,0)+IF(COUNTIF(S524:$Z524,"&gt;"&amp;0)&gt;5,IF(MOD(COUNTIF(R$641:R826,1),7)=0,$C$4,0),0)</f>
        <v>241.759523809524</v>
      </c>
      <c r="S524" s="81" cm="1">
        <f ca="1" t="array" ref="S524">IF(S826=1,OFFSET($Z$338,$B524,S$335-1)/SUMPRODUCT(--($D$335:$V$335=S$335),--($D826:$V826=1)),0)+SUM(S523)+IF(COUNTIF(S$641:S826,1)=1,5,0)+IF(COUNTIF(T524:$Z524,"&gt;"&amp;0)&gt;5,IF(MOD(COUNTIF(S$641:S826,1),7)=0,$C$4,0),0)</f>
        <v>232.592857142857</v>
      </c>
      <c r="T524" s="81" cm="1">
        <f ca="1" t="array" ref="T524">IF(T826=1,OFFSET($Z$338,$B524,T$335-1)/SUMPRODUCT(--($D$335:$V$335=T$335),--($D826:$V826=1)),0)+SUM(T523)+IF(COUNTIF(T$641:T826,1)=1,5,0)+IF(COUNTIF(U524:$Z524,"&gt;"&amp;0)&gt;5,IF(MOD(COUNTIF(T$641:T826,1),7)=0,$C$4,0),0)</f>
        <v>137.656257829764</v>
      </c>
      <c r="U524" s="81" cm="1">
        <f ca="1" t="array" ref="U524">IF(U826=1,OFFSET($Z$338,$B524,U$335-1)/SUMPRODUCT(--($D$335:$V$335=U$335),--($D826:$V826=1)),0)+SUM(U523)+IF(COUNTIF(U$641:U826,1)=1,5,0)+IF(COUNTIF(V524:$Z524,"&gt;"&amp;0)&gt;5,IF(MOD(COUNTIF(U$641:U826,1),7)=0,$C$4,0),0)</f>
        <v>97.6562578297643</v>
      </c>
      <c r="V524" s="81" cm="1">
        <f ca="1" t="array" ref="V524">IF(V826=1,OFFSET($Z$338,$B524,V$335-1)/SUMPRODUCT(--($D$335:$V$335=V$335),--($D826:$V826=1)),0)+SUM(V523)+IF(COUNTIF(V$641:V826,1)=1,5,0)+IF(COUNTIF(Z524:$Z524,"&gt;"&amp;0)&gt;5,IF(MOD(COUNTIF(V$641:V826,1),7)=0,$C$4,0),0)</f>
        <v>89.6984386404824</v>
      </c>
      <c r="W524" s="81" cm="1">
        <f ca="1" t="array" ref="W524">IF(W826=1,OFFSET($Z$338,$B524,W$335-1)/SUMPRODUCT(--($D$335:$V$335=W$335),--($D826:$V826=1)),0)+SUM(W523)+IF(COUNTIF(W$641:W826,1)=1,5,0)+IF(COUNTIF($Z524:AA524,"&gt;"&amp;0)&gt;5,IF(MOD(COUNTIF(W$641:W826,1),7)=0,$C$4,0),0)</f>
        <v>80.3425695255331</v>
      </c>
      <c r="X524" s="81" cm="1">
        <f ca="1" t="array" ref="X524">IF(X826=1,OFFSET($Z$338,$B524,X$335-1)/SUMPRODUCT(--($D$335:$V$335=X$335),--($D826:$V826=1)),0)+SUM(X523)+IF(COUNTIF(X$641:X826,1)=1,5,0)+IF(COUNTIF($Z524:AB524,"&gt;"&amp;0)&gt;5,IF(MOD(COUNTIF(X$641:X826,1),7)=0,$C$4,0),0)</f>
        <v>73.5789092348996</v>
      </c>
      <c r="Y524" s="81" cm="1">
        <f ca="1" t="array" ref="Y524">IF(Y826=1,OFFSET($Z$338,$B524,Y$335-1)/SUMPRODUCT(--($D$335:$V$335=Y$335),--($D826:$V826=1)),0)+SUM(Y523)+IF(COUNTIF(Y$641:Y826,1)=1,5,0)+IF(COUNTIF($Z524:AC524,"&gt;"&amp;0)&gt;5,IF(MOD(COUNTIF(Y$641:Y826,1),7)=0,$C$4,0),0)</f>
        <v>66.8152489442662</v>
      </c>
      <c r="Z524" s="82" cm="1">
        <f ca="1" t="array" ref="Z524">SUMPRODUCT(TRANSPOSE($AD524:$AJ524),OFFSET($L$10:$L$16,0,Z$335-1))</f>
        <v>0</v>
      </c>
      <c r="AA524" s="82" cm="1">
        <f ca="1" t="array" ref="AA524">SUMPRODUCT(TRANSPOSE($AD524:$AJ524),OFFSET($L$10:$L$16,0,AA$335-1))</f>
        <v>0</v>
      </c>
      <c r="AB524" s="82" cm="1">
        <f ca="1" t="array" ref="AB524">SUMPRODUCT(TRANSPOSE($AD524:$AJ524),OFFSET($L$10:$L$16,0,AB$335-1))</f>
        <v>0</v>
      </c>
      <c r="AC524" s="82" cm="1">
        <f ca="1" t="array" ref="AC524">SUMPRODUCT(TRANSPOSE($AD524:$AJ524),OFFSET($L$10:$L$16,0,AC$335-1))</f>
        <v>0</v>
      </c>
      <c r="AD524" s="83">
        <f ca="1" t="shared" ref="AD524:AJ524" si="695">AK524-AK523</f>
        <v>0</v>
      </c>
      <c r="AE524" s="83">
        <f ca="1" t="shared" si="695"/>
        <v>0</v>
      </c>
      <c r="AF524" s="83">
        <f ca="1" t="shared" si="695"/>
        <v>0</v>
      </c>
      <c r="AG524" s="83">
        <f ca="1" t="shared" si="695"/>
        <v>0</v>
      </c>
      <c r="AH524" s="83">
        <f ca="1" t="shared" si="695"/>
        <v>0</v>
      </c>
      <c r="AI524" s="83">
        <f ca="1" t="shared" si="695"/>
        <v>0</v>
      </c>
      <c r="AJ524" s="83">
        <f ca="1" t="shared" si="695"/>
        <v>0</v>
      </c>
      <c r="AK524" s="83">
        <f ca="1" t="shared" si="581"/>
        <v>450</v>
      </c>
      <c r="AL524" s="83">
        <f ca="1" t="shared" ref="AL524:AQ524" si="696">IF($C524&gt;OFFSET($Q$9,MATCH(AL$338,$AK$338:$AQ$338,0),0),OFFSET($P$9,MATCH(AL$338,$AK$338:$AQ$338,0),0),MAX(0,$C524-OFFSET($Q$9,RIGHT(AL$338,1)-1,0)))</f>
        <v>909</v>
      </c>
      <c r="AM524" s="83">
        <f ca="1" t="shared" si="696"/>
        <v>1818</v>
      </c>
      <c r="AN524" s="83">
        <f ca="1" t="shared" si="696"/>
        <v>2727</v>
      </c>
      <c r="AO524" s="83">
        <f ca="1" t="shared" si="696"/>
        <v>3636</v>
      </c>
      <c r="AP524" s="83">
        <f ca="1" t="shared" si="696"/>
        <v>4545</v>
      </c>
      <c r="AQ524" s="83">
        <f ca="1" t="shared" si="696"/>
        <v>0</v>
      </c>
    </row>
    <row r="525" ht="16.5" spans="2:43">
      <c r="B525" s="65">
        <v>187</v>
      </c>
      <c r="C525" s="80">
        <f t="shared" si="579"/>
        <v>21896</v>
      </c>
      <c r="D525" s="81" cm="1">
        <f ca="1" t="array" ref="D525">IF(D827=1,OFFSET($Z$338,$B525,D$335-1)/SUMPRODUCT(--($D$335:$V$335=D$335),--($D827:$V827=1)),0)+SUM(D524)+IF(COUNTIF(D$641:D827,1)=1,5,0)+IF(COUNTIF(E525:$Z525,"&gt;"&amp;0)&gt;5,IF(MOD(COUNTIF(D$641:D827,1),7)=0,$C$4,0),0)</f>
        <v>1248.82134856666</v>
      </c>
      <c r="E525" s="81" cm="1">
        <f ca="1" t="array" ref="E525">IF(E827=1,OFFSET($Z$338,$B525,E$335-1)/SUMPRODUCT(--($D$335:$V$335=E$335),--($D827:$V827=1)),0)+SUM(E524)+IF(COUNTIF(E$641:E827,1)=1,5,0)+IF(COUNTIF(F525:$Z525,"&gt;"&amp;0)&gt;5,IF(MOD(COUNTIF(E$641:E827,1),7)=0,$C$4,0),0)</f>
        <v>1248.82134856666</v>
      </c>
      <c r="F525" s="81" cm="1">
        <f ca="1" t="array" ref="F525">IF(F827=1,OFFSET($Z$338,$B525,F$335-1)/SUMPRODUCT(--($D$335:$V$335=F$335),--($D827:$V827=1)),0)+SUM(F524)+IF(COUNTIF(F$641:F827,1)=1,5,0)+IF(COUNTIF(G525:$Z525,"&gt;"&amp;0)&gt;5,IF(MOD(COUNTIF(F$641:F827,1),7)=0,$C$4,0),0)</f>
        <v>1248.82134856666</v>
      </c>
      <c r="G525" s="81" cm="1">
        <f ca="1" t="array" ref="G525">IF(G827=1,OFFSET($Z$338,$B525,G$335-1)/SUMPRODUCT(--($D$335:$V$335=G$335),--($D827:$V827=1)),0)+SUM(G524)+IF(COUNTIF(G$641:G827,1)=1,5,0)+IF(COUNTIF(H525:$Z525,"&gt;"&amp;0)&gt;5,IF(MOD(COUNTIF(G$641:G827,1),7)=0,$C$4,0),0)</f>
        <v>537.516666666668</v>
      </c>
      <c r="H525" s="81" cm="1">
        <f ca="1" t="array" ref="H525">IF(H827=1,OFFSET($Z$338,$B525,H$335-1)/SUMPRODUCT(--($D$335:$V$335=H$335),--($D827:$V827=1)),0)+SUM(H524)+IF(COUNTIF(H$641:H827,1)=1,5,0)+IF(COUNTIF(I525:$Z525,"&gt;"&amp;0)&gt;5,IF(MOD(COUNTIF(H$641:H827,1),7)=0,$C$4,0),0)</f>
        <v>537.516666666668</v>
      </c>
      <c r="I525" s="81" cm="1">
        <f ca="1" t="array" ref="I525">IF(I827=1,OFFSET($Z$338,$B525,I$335-1)/SUMPRODUCT(--($D$335:$V$335=I$335),--($D827:$V827=1)),0)+SUM(I524)+IF(COUNTIF(I$641:I827,1)=1,5,0)+IF(COUNTIF(J525:$Z525,"&gt;"&amp;0)&gt;5,IF(MOD(COUNTIF(I$641:I827,1),7)=0,$C$4,0),0)</f>
        <v>537.516666666668</v>
      </c>
      <c r="J525" s="81" cm="1">
        <f ca="1" t="array" ref="J525">IF(J827=1,OFFSET($Z$338,$B525,J$335-1)/SUMPRODUCT(--($D$335:$V$335=J$335),--($D827:$V827=1)),0)+SUM(J524)+IF(COUNTIF(J$641:J827,1)=1,5,0)+IF(COUNTIF(K525:$Z525,"&gt;"&amp;0)&gt;5,IF(MOD(COUNTIF(J$641:J827,1),7)=0,$C$4,0),0)</f>
        <v>537.516666666668</v>
      </c>
      <c r="K525" s="81" cm="1">
        <f ca="1" t="array" ref="K525">IF(K827=1,OFFSET($Z$338,$B525,K$335-1)/SUMPRODUCT(--($D$335:$V$335=K$335),--($D827:$V827=1)),0)+SUM(K524)+IF(COUNTIF(K$641:K827,1)=1,5,0)+IF(COUNTIF(L525:$Z525,"&gt;"&amp;0)&gt;5,IF(MOD(COUNTIF(K$641:K827,1),7)=0,$C$4,0),0)</f>
        <v>537.516666666668</v>
      </c>
      <c r="L525" s="81" cm="1">
        <f ca="1" t="array" ref="L525">IF(L827=1,OFFSET($Z$338,$B525,L$335-1)/SUMPRODUCT(--($D$335:$V$335=L$335),--($D827:$V827=1)),0)+SUM(L524)+IF(COUNTIF(L$641:L827,1)=1,5,0)+IF(COUNTIF(M525:$Z525,"&gt;"&amp;0)&gt;5,IF(MOD(COUNTIF(L$641:L827,1),7)=0,$C$4,0),0)</f>
        <v>530.816666666668</v>
      </c>
      <c r="M525" s="81" cm="1">
        <f ca="1" t="array" ref="M525">IF(M827=1,OFFSET($Z$338,$B525,M$335-1)/SUMPRODUCT(--($D$335:$V$335=M$335),--($D827:$V827=1)),0)+SUM(M524)+IF(COUNTIF(M$641:M827,1)=1,5,0)+IF(COUNTIF(N525:$Z525,"&gt;"&amp;0)&gt;5,IF(MOD(COUNTIF(M$641:M827,1),7)=0,$C$4,0),0)</f>
        <v>285.644107142858</v>
      </c>
      <c r="N525" s="81" cm="1">
        <f ca="1" t="array" ref="N525">IF(N827=1,OFFSET($Z$338,$B525,N$335-1)/SUMPRODUCT(--($D$335:$V$335=N$335),--($D827:$V827=1)),0)+SUM(N524)+IF(COUNTIF(N$641:N827,1)=1,5,0)+IF(COUNTIF(O525:$Z525,"&gt;"&amp;0)&gt;5,IF(MOD(COUNTIF(N$641:N827,1),7)=0,$C$4,0),0)</f>
        <v>277.919107142858</v>
      </c>
      <c r="O525" s="81" cm="1">
        <f ca="1" t="array" ref="O525">IF(O827=1,OFFSET($Z$338,$B525,O$335-1)/SUMPRODUCT(--($D$335:$V$335=O$335),--($D827:$V827=1)),0)+SUM(O524)+IF(COUNTIF(O$641:O827,1)=1,5,0)+IF(COUNTIF(P525:$Z525,"&gt;"&amp;0)&gt;5,IF(MOD(COUNTIF(O$641:O827,1),7)=0,$C$4,0),0)</f>
        <v>275.494107142858</v>
      </c>
      <c r="P525" s="81" cm="1">
        <f ca="1" t="array" ref="P525">IF(P827=1,OFFSET($Z$338,$B525,P$335-1)/SUMPRODUCT(--($D$335:$V$335=P$335),--($D827:$V827=1)),0)+SUM(P524)+IF(COUNTIF(P$641:P827,1)=1,5,0)+IF(COUNTIF(Q525:$Z525,"&gt;"&amp;0)&gt;5,IF(MOD(COUNTIF(P$641:P827,1),7)=0,$C$4,0),0)</f>
        <v>272.560773809524</v>
      </c>
      <c r="Q525" s="81" cm="1">
        <f ca="1" t="array" ref="Q525">IF(Q827=1,OFFSET($Z$338,$B525,Q$335-1)/SUMPRODUCT(--($D$335:$V$335=Q$335),--($D827:$V827=1)),0)+SUM(Q524)+IF(COUNTIF(Q$641:Q827,1)=1,5,0)+IF(COUNTIF(R525:$Z525,"&gt;"&amp;0)&gt;5,IF(MOD(COUNTIF(Q$641:Q827,1),7)=0,$C$4,0),0)</f>
        <v>266.654523809524</v>
      </c>
      <c r="R525" s="81" cm="1">
        <f ca="1" t="array" ref="R525">IF(R827=1,OFFSET($Z$338,$B525,R$335-1)/SUMPRODUCT(--($D$335:$V$335=R$335),--($D827:$V827=1)),0)+SUM(R524)+IF(COUNTIF(R$641:R827,1)=1,5,0)+IF(COUNTIF(S525:$Z525,"&gt;"&amp;0)&gt;5,IF(MOD(COUNTIF(R$641:R827,1),7)=0,$C$4,0),0)</f>
        <v>241.759523809524</v>
      </c>
      <c r="S525" s="81" cm="1">
        <f ca="1" t="array" ref="S525">IF(S827=1,OFFSET($Z$338,$B525,S$335-1)/SUMPRODUCT(--($D$335:$V$335=S$335),--($D827:$V827=1)),0)+SUM(S524)+IF(COUNTIF(S$641:S827,1)=1,5,0)+IF(COUNTIF(T525:$Z525,"&gt;"&amp;0)&gt;5,IF(MOD(COUNTIF(S$641:S827,1),7)=0,$C$4,0),0)</f>
        <v>237.592857142857</v>
      </c>
      <c r="T525" s="81" cm="1">
        <f ca="1" t="array" ref="T525">IF(T827=1,OFFSET($Z$338,$B525,T$335-1)/SUMPRODUCT(--($D$335:$V$335=T$335),--($D827:$V827=1)),0)+SUM(T524)+IF(COUNTIF(T$641:T827,1)=1,5,0)+IF(COUNTIF(U525:$Z525,"&gt;"&amp;0)&gt;5,IF(MOD(COUNTIF(T$641:T827,1),7)=0,$C$4,0),0)</f>
        <v>137.656257829764</v>
      </c>
      <c r="U525" s="81" cm="1">
        <f ca="1" t="array" ref="U525">IF(U827=1,OFFSET($Z$338,$B525,U$335-1)/SUMPRODUCT(--($D$335:$V$335=U$335),--($D827:$V827=1)),0)+SUM(U524)+IF(COUNTIF(U$641:U827,1)=1,5,0)+IF(COUNTIF(V525:$Z525,"&gt;"&amp;0)&gt;5,IF(MOD(COUNTIF(U$641:U827,1),7)=0,$C$4,0),0)</f>
        <v>97.6562578297643</v>
      </c>
      <c r="V525" s="81" cm="1">
        <f ca="1" t="array" ref="V525">IF(V827=1,OFFSET($Z$338,$B525,V$335-1)/SUMPRODUCT(--($D$335:$V$335=V$335),--($D827:$V827=1)),0)+SUM(V524)+IF(COUNTIF(V$641:V827,1)=1,5,0)+IF(COUNTIF(Z525:$Z525,"&gt;"&amp;0)&gt;5,IF(MOD(COUNTIF(V$641:V827,1),7)=0,$C$4,0),0)</f>
        <v>89.6984386404824</v>
      </c>
      <c r="W525" s="81" cm="1">
        <f ca="1" t="array" ref="W525">IF(W827=1,OFFSET($Z$338,$B525,W$335-1)/SUMPRODUCT(--($D$335:$V$335=W$335),--($D827:$V827=1)),0)+SUM(W524)+IF(COUNTIF(W$641:W827,1)=1,5,0)+IF(COUNTIF($Z525:AA525,"&gt;"&amp;0)&gt;5,IF(MOD(COUNTIF(W$641:W827,1),7)=0,$C$4,0),0)</f>
        <v>80.3425695255331</v>
      </c>
      <c r="X525" s="81" cm="1">
        <f ca="1" t="array" ref="X525">IF(X827=1,OFFSET($Z$338,$B525,X$335-1)/SUMPRODUCT(--($D$335:$V$335=X$335),--($D827:$V827=1)),0)+SUM(X524)+IF(COUNTIF(X$641:X827,1)=1,5,0)+IF(COUNTIF($Z525:AB525,"&gt;"&amp;0)&gt;5,IF(MOD(COUNTIF(X$641:X827,1),7)=0,$C$4,0),0)</f>
        <v>73.5789092348996</v>
      </c>
      <c r="Y525" s="81" cm="1">
        <f ca="1" t="array" ref="Y525">IF(Y827=1,OFFSET($Z$338,$B525,Y$335-1)/SUMPRODUCT(--($D$335:$V$335=Y$335),--($D827:$V827=1)),0)+SUM(Y524)+IF(COUNTIF(Y$641:Y827,1)=1,5,0)+IF(COUNTIF($Z525:AC525,"&gt;"&amp;0)&gt;5,IF(MOD(COUNTIF(Y$641:Y827,1),7)=0,$C$4,0),0)</f>
        <v>66.8152489442662</v>
      </c>
      <c r="Z525" s="82" cm="1">
        <f ca="1" t="array" ref="Z525">SUMPRODUCT(TRANSPOSE($AD525:$AJ525),OFFSET($L$10:$L$16,0,Z$335-1))</f>
        <v>0</v>
      </c>
      <c r="AA525" s="82" cm="1">
        <f ca="1" t="array" ref="AA525">SUMPRODUCT(TRANSPOSE($AD525:$AJ525),OFFSET($L$10:$L$16,0,AA$335-1))</f>
        <v>0</v>
      </c>
      <c r="AB525" s="82" cm="1">
        <f ca="1" t="array" ref="AB525">SUMPRODUCT(TRANSPOSE($AD525:$AJ525),OFFSET($L$10:$L$16,0,AB$335-1))</f>
        <v>0</v>
      </c>
      <c r="AC525" s="82" cm="1">
        <f ca="1" t="array" ref="AC525">SUMPRODUCT(TRANSPOSE($AD525:$AJ525),OFFSET($L$10:$L$16,0,AC$335-1))</f>
        <v>0</v>
      </c>
      <c r="AD525" s="83">
        <f ca="1" t="shared" ref="AD525:AJ525" si="697">AK525-AK524</f>
        <v>0</v>
      </c>
      <c r="AE525" s="83">
        <f ca="1" t="shared" si="697"/>
        <v>0</v>
      </c>
      <c r="AF525" s="83">
        <f ca="1" t="shared" si="697"/>
        <v>0</v>
      </c>
      <c r="AG525" s="83">
        <f ca="1" t="shared" si="697"/>
        <v>0</v>
      </c>
      <c r="AH525" s="83">
        <f ca="1" t="shared" si="697"/>
        <v>0</v>
      </c>
      <c r="AI525" s="83">
        <f ca="1" t="shared" si="697"/>
        <v>0</v>
      </c>
      <c r="AJ525" s="83">
        <f ca="1" t="shared" si="697"/>
        <v>0</v>
      </c>
      <c r="AK525" s="83">
        <f ca="1" t="shared" si="581"/>
        <v>450</v>
      </c>
      <c r="AL525" s="83">
        <f ca="1" t="shared" ref="AL525:AQ525" si="698">IF($C525&gt;OFFSET($Q$9,MATCH(AL$338,$AK$338:$AQ$338,0),0),OFFSET($P$9,MATCH(AL$338,$AK$338:$AQ$338,0),0),MAX(0,$C525-OFFSET($Q$9,RIGHT(AL$338,1)-1,0)))</f>
        <v>909</v>
      </c>
      <c r="AM525" s="83">
        <f ca="1" t="shared" si="698"/>
        <v>1818</v>
      </c>
      <c r="AN525" s="83">
        <f ca="1" t="shared" si="698"/>
        <v>2727</v>
      </c>
      <c r="AO525" s="83">
        <f ca="1" t="shared" si="698"/>
        <v>3636</v>
      </c>
      <c r="AP525" s="83">
        <f ca="1" t="shared" si="698"/>
        <v>4545</v>
      </c>
      <c r="AQ525" s="83">
        <f ca="1" t="shared" si="698"/>
        <v>0</v>
      </c>
    </row>
    <row r="526" ht="16.5" spans="2:43">
      <c r="B526" s="65">
        <v>188</v>
      </c>
      <c r="C526" s="80">
        <f t="shared" si="579"/>
        <v>22006</v>
      </c>
      <c r="D526" s="81" cm="1">
        <f ca="1" t="array" ref="D526">IF(D828=1,OFFSET($Z$338,$B526,D$335-1)/SUMPRODUCT(--($D$335:$V$335=D$335),--($D828:$V828=1)),0)+SUM(D525)+IF(COUNTIF(D$641:D828,1)=1,5,0)+IF(COUNTIF(E526:$Z526,"&gt;"&amp;0)&gt;5,IF(MOD(COUNTIF(D$641:D828,1),7)=0,$C$4,0),0)</f>
        <v>1248.82134856666</v>
      </c>
      <c r="E526" s="81" cm="1">
        <f ca="1" t="array" ref="E526">IF(E828=1,OFFSET($Z$338,$B526,E$335-1)/SUMPRODUCT(--($D$335:$V$335=E$335),--($D828:$V828=1)),0)+SUM(E525)+IF(COUNTIF(E$641:E828,1)=1,5,0)+IF(COUNTIF(F526:$Z526,"&gt;"&amp;0)&gt;5,IF(MOD(COUNTIF(E$641:E828,1),7)=0,$C$4,0),0)</f>
        <v>1248.82134856666</v>
      </c>
      <c r="F526" s="81" cm="1">
        <f ca="1" t="array" ref="F526">IF(F828=1,OFFSET($Z$338,$B526,F$335-1)/SUMPRODUCT(--($D$335:$V$335=F$335),--($D828:$V828=1)),0)+SUM(F525)+IF(COUNTIF(F$641:F828,1)=1,5,0)+IF(COUNTIF(G526:$Z526,"&gt;"&amp;0)&gt;5,IF(MOD(COUNTIF(F$641:F828,1),7)=0,$C$4,0),0)</f>
        <v>1248.82134856666</v>
      </c>
      <c r="G526" s="81" cm="1">
        <f ca="1" t="array" ref="G526">IF(G828=1,OFFSET($Z$338,$B526,G$335-1)/SUMPRODUCT(--($D$335:$V$335=G$335),--($D828:$V828=1)),0)+SUM(G525)+IF(COUNTIF(G$641:G828,1)=1,5,0)+IF(COUNTIF(H526:$Z526,"&gt;"&amp;0)&gt;5,IF(MOD(COUNTIF(G$641:G828,1),7)=0,$C$4,0),0)</f>
        <v>537.516666666668</v>
      </c>
      <c r="H526" s="81" cm="1">
        <f ca="1" t="array" ref="H526">IF(H828=1,OFFSET($Z$338,$B526,H$335-1)/SUMPRODUCT(--($D$335:$V$335=H$335),--($D828:$V828=1)),0)+SUM(H525)+IF(COUNTIF(H$641:H828,1)=1,5,0)+IF(COUNTIF(I526:$Z526,"&gt;"&amp;0)&gt;5,IF(MOD(COUNTIF(H$641:H828,1),7)=0,$C$4,0),0)</f>
        <v>537.516666666668</v>
      </c>
      <c r="I526" s="81" cm="1">
        <f ca="1" t="array" ref="I526">IF(I828=1,OFFSET($Z$338,$B526,I$335-1)/SUMPRODUCT(--($D$335:$V$335=I$335),--($D828:$V828=1)),0)+SUM(I525)+IF(COUNTIF(I$641:I828,1)=1,5,0)+IF(COUNTIF(J526:$Z526,"&gt;"&amp;0)&gt;5,IF(MOD(COUNTIF(I$641:I828,1),7)=0,$C$4,0),0)</f>
        <v>537.516666666668</v>
      </c>
      <c r="J526" s="81" cm="1">
        <f ca="1" t="array" ref="J526">IF(J828=1,OFFSET($Z$338,$B526,J$335-1)/SUMPRODUCT(--($D$335:$V$335=J$335),--($D828:$V828=1)),0)+SUM(J525)+IF(COUNTIF(J$641:J828,1)=1,5,0)+IF(COUNTIF(K526:$Z526,"&gt;"&amp;0)&gt;5,IF(MOD(COUNTIF(J$641:J828,1),7)=0,$C$4,0),0)</f>
        <v>537.516666666668</v>
      </c>
      <c r="K526" s="81" cm="1">
        <f ca="1" t="array" ref="K526">IF(K828=1,OFFSET($Z$338,$B526,K$335-1)/SUMPRODUCT(--($D$335:$V$335=K$335),--($D828:$V828=1)),0)+SUM(K525)+IF(COUNTIF(K$641:K828,1)=1,5,0)+IF(COUNTIF(L526:$Z526,"&gt;"&amp;0)&gt;5,IF(MOD(COUNTIF(K$641:K828,1),7)=0,$C$4,0),0)</f>
        <v>537.516666666668</v>
      </c>
      <c r="L526" s="81" cm="1">
        <f ca="1" t="array" ref="L526">IF(L828=1,OFFSET($Z$338,$B526,L$335-1)/SUMPRODUCT(--($D$335:$V$335=L$335),--($D828:$V828=1)),0)+SUM(L525)+IF(COUNTIF(L$641:L828,1)=1,5,0)+IF(COUNTIF(M526:$Z526,"&gt;"&amp;0)&gt;5,IF(MOD(COUNTIF(L$641:L828,1),7)=0,$C$4,0),0)</f>
        <v>530.816666666668</v>
      </c>
      <c r="M526" s="81" cm="1">
        <f ca="1" t="array" ref="M526">IF(M828=1,OFFSET($Z$338,$B526,M$335-1)/SUMPRODUCT(--($D$335:$V$335=M$335),--($D828:$V828=1)),0)+SUM(M525)+IF(COUNTIF(M$641:M828,1)=1,5,0)+IF(COUNTIF(N526:$Z526,"&gt;"&amp;0)&gt;5,IF(MOD(COUNTIF(M$641:M828,1),7)=0,$C$4,0),0)</f>
        <v>285.644107142858</v>
      </c>
      <c r="N526" s="81" cm="1">
        <f ca="1" t="array" ref="N526">IF(N828=1,OFFSET($Z$338,$B526,N$335-1)/SUMPRODUCT(--($D$335:$V$335=N$335),--($D828:$V828=1)),0)+SUM(N525)+IF(COUNTIF(N$641:N828,1)=1,5,0)+IF(COUNTIF(O526:$Z526,"&gt;"&amp;0)&gt;5,IF(MOD(COUNTIF(N$641:N828,1),7)=0,$C$4,0),0)</f>
        <v>277.919107142858</v>
      </c>
      <c r="O526" s="81" cm="1">
        <f ca="1" t="array" ref="O526">IF(O828=1,OFFSET($Z$338,$B526,O$335-1)/SUMPRODUCT(--($D$335:$V$335=O$335),--($D828:$V828=1)),0)+SUM(O525)+IF(COUNTIF(O$641:O828,1)=1,5,0)+IF(COUNTIF(P526:$Z526,"&gt;"&amp;0)&gt;5,IF(MOD(COUNTIF(O$641:O828,1),7)=0,$C$4,0),0)</f>
        <v>275.494107142858</v>
      </c>
      <c r="P526" s="81" cm="1">
        <f ca="1" t="array" ref="P526">IF(P828=1,OFFSET($Z$338,$B526,P$335-1)/SUMPRODUCT(--($D$335:$V$335=P$335),--($D828:$V828=1)),0)+SUM(P525)+IF(COUNTIF(P$641:P828,1)=1,5,0)+IF(COUNTIF(Q526:$Z526,"&gt;"&amp;0)&gt;5,IF(MOD(COUNTIF(P$641:P828,1),7)=0,$C$4,0),0)</f>
        <v>272.560773809524</v>
      </c>
      <c r="Q526" s="81" cm="1">
        <f ca="1" t="array" ref="Q526">IF(Q828=1,OFFSET($Z$338,$B526,Q$335-1)/SUMPRODUCT(--($D$335:$V$335=Q$335),--($D828:$V828=1)),0)+SUM(Q525)+IF(COUNTIF(Q$641:Q828,1)=1,5,0)+IF(COUNTIF(R526:$Z526,"&gt;"&amp;0)&gt;5,IF(MOD(COUNTIF(Q$641:Q828,1),7)=0,$C$4,0),0)</f>
        <v>271.654523809524</v>
      </c>
      <c r="R526" s="81" cm="1">
        <f ca="1" t="array" ref="R526">IF(R828=1,OFFSET($Z$338,$B526,R$335-1)/SUMPRODUCT(--($D$335:$V$335=R$335),--($D828:$V828=1)),0)+SUM(R525)+IF(COUNTIF(R$641:R828,1)=1,5,0)+IF(COUNTIF(S526:$Z526,"&gt;"&amp;0)&gt;5,IF(MOD(COUNTIF(R$641:R828,1),7)=0,$C$4,0),0)</f>
        <v>241.759523809524</v>
      </c>
      <c r="S526" s="81" cm="1">
        <f ca="1" t="array" ref="S526">IF(S828=1,OFFSET($Z$338,$B526,S$335-1)/SUMPRODUCT(--($D$335:$V$335=S$335),--($D828:$V828=1)),0)+SUM(S525)+IF(COUNTIF(S$641:S828,1)=1,5,0)+IF(COUNTIF(T526:$Z526,"&gt;"&amp;0)&gt;5,IF(MOD(COUNTIF(S$641:S828,1),7)=0,$C$4,0),0)</f>
        <v>237.592857142857</v>
      </c>
      <c r="T526" s="81" cm="1">
        <f ca="1" t="array" ref="T526">IF(T828=1,OFFSET($Z$338,$B526,T$335-1)/SUMPRODUCT(--($D$335:$V$335=T$335),--($D828:$V828=1)),0)+SUM(T525)+IF(COUNTIF(T$641:T828,1)=1,5,0)+IF(COUNTIF(U526:$Z526,"&gt;"&amp;0)&gt;5,IF(MOD(COUNTIF(T$641:T828,1),7)=0,$C$4,0),0)</f>
        <v>137.656257829764</v>
      </c>
      <c r="U526" s="81" cm="1">
        <f ca="1" t="array" ref="U526">IF(U828=1,OFFSET($Z$338,$B526,U$335-1)/SUMPRODUCT(--($D$335:$V$335=U$335),--($D828:$V828=1)),0)+SUM(U525)+IF(COUNTIF(U$641:U828,1)=1,5,0)+IF(COUNTIF(V526:$Z526,"&gt;"&amp;0)&gt;5,IF(MOD(COUNTIF(U$641:U828,1),7)=0,$C$4,0),0)</f>
        <v>97.6562578297643</v>
      </c>
      <c r="V526" s="81" cm="1">
        <f ca="1" t="array" ref="V526">IF(V828=1,OFFSET($Z$338,$B526,V$335-1)/SUMPRODUCT(--($D$335:$V$335=V$335),--($D828:$V828=1)),0)+SUM(V525)+IF(COUNTIF(V$641:V828,1)=1,5,0)+IF(COUNTIF(Z526:$Z526,"&gt;"&amp;0)&gt;5,IF(MOD(COUNTIF(V$641:V828,1),7)=0,$C$4,0),0)</f>
        <v>89.6984386404824</v>
      </c>
      <c r="W526" s="81" cm="1">
        <f ca="1" t="array" ref="W526">IF(W828=1,OFFSET($Z$338,$B526,W$335-1)/SUMPRODUCT(--($D$335:$V$335=W$335),--($D828:$V828=1)),0)+SUM(W525)+IF(COUNTIF(W$641:W828,1)=1,5,0)+IF(COUNTIF($Z526:AA526,"&gt;"&amp;0)&gt;5,IF(MOD(COUNTIF(W$641:W828,1),7)=0,$C$4,0),0)</f>
        <v>80.3425695255331</v>
      </c>
      <c r="X526" s="81" cm="1">
        <f ca="1" t="array" ref="X526">IF(X828=1,OFFSET($Z$338,$B526,X$335-1)/SUMPRODUCT(--($D$335:$V$335=X$335),--($D828:$V828=1)),0)+SUM(X525)+IF(COUNTIF(X$641:X828,1)=1,5,0)+IF(COUNTIF($Z526:AB526,"&gt;"&amp;0)&gt;5,IF(MOD(COUNTIF(X$641:X828,1),7)=0,$C$4,0),0)</f>
        <v>73.5789092348996</v>
      </c>
      <c r="Y526" s="81" cm="1">
        <f ca="1" t="array" ref="Y526">IF(Y828=1,OFFSET($Z$338,$B526,Y$335-1)/SUMPRODUCT(--($D$335:$V$335=Y$335),--($D828:$V828=1)),0)+SUM(Y525)+IF(COUNTIF(Y$641:Y828,1)=1,5,0)+IF(COUNTIF($Z526:AC526,"&gt;"&amp;0)&gt;5,IF(MOD(COUNTIF(Y$641:Y828,1),7)=0,$C$4,0),0)</f>
        <v>66.8152489442662</v>
      </c>
      <c r="Z526" s="82" cm="1">
        <f ca="1" t="array" ref="Z526">SUMPRODUCT(TRANSPOSE($AD526:$AJ526),OFFSET($L$10:$L$16,0,Z$335-1))</f>
        <v>0</v>
      </c>
      <c r="AA526" s="82" cm="1">
        <f ca="1" t="array" ref="AA526">SUMPRODUCT(TRANSPOSE($AD526:$AJ526),OFFSET($L$10:$L$16,0,AA$335-1))</f>
        <v>0</v>
      </c>
      <c r="AB526" s="82" cm="1">
        <f ca="1" t="array" ref="AB526">SUMPRODUCT(TRANSPOSE($AD526:$AJ526),OFFSET($L$10:$L$16,0,AB$335-1))</f>
        <v>0</v>
      </c>
      <c r="AC526" s="82" cm="1">
        <f ca="1" t="array" ref="AC526">SUMPRODUCT(TRANSPOSE($AD526:$AJ526),OFFSET($L$10:$L$16,0,AC$335-1))</f>
        <v>0</v>
      </c>
      <c r="AD526" s="83">
        <f ca="1" t="shared" ref="AD526:AJ526" si="699">AK526-AK525</f>
        <v>0</v>
      </c>
      <c r="AE526" s="83">
        <f ca="1" t="shared" si="699"/>
        <v>0</v>
      </c>
      <c r="AF526" s="83">
        <f ca="1" t="shared" si="699"/>
        <v>0</v>
      </c>
      <c r="AG526" s="83">
        <f ca="1" t="shared" si="699"/>
        <v>0</v>
      </c>
      <c r="AH526" s="83">
        <f ca="1" t="shared" si="699"/>
        <v>0</v>
      </c>
      <c r="AI526" s="83">
        <f ca="1" t="shared" si="699"/>
        <v>0</v>
      </c>
      <c r="AJ526" s="83">
        <f ca="1" t="shared" si="699"/>
        <v>0</v>
      </c>
      <c r="AK526" s="83">
        <f ca="1" t="shared" si="581"/>
        <v>450</v>
      </c>
      <c r="AL526" s="83">
        <f ca="1" t="shared" ref="AL526:AQ526" si="700">IF($C526&gt;OFFSET($Q$9,MATCH(AL$338,$AK$338:$AQ$338,0),0),OFFSET($P$9,MATCH(AL$338,$AK$338:$AQ$338,0),0),MAX(0,$C526-OFFSET($Q$9,RIGHT(AL$338,1)-1,0)))</f>
        <v>909</v>
      </c>
      <c r="AM526" s="83">
        <f ca="1" t="shared" si="700"/>
        <v>1818</v>
      </c>
      <c r="AN526" s="83">
        <f ca="1" t="shared" si="700"/>
        <v>2727</v>
      </c>
      <c r="AO526" s="83">
        <f ca="1" t="shared" si="700"/>
        <v>3636</v>
      </c>
      <c r="AP526" s="83">
        <f ca="1" t="shared" si="700"/>
        <v>4545</v>
      </c>
      <c r="AQ526" s="83">
        <f ca="1" t="shared" si="700"/>
        <v>0</v>
      </c>
    </row>
    <row r="527" ht="16.5" spans="2:43">
      <c r="B527" s="65">
        <v>189</v>
      </c>
      <c r="C527" s="80">
        <f t="shared" si="579"/>
        <v>22116</v>
      </c>
      <c r="D527" s="81" cm="1">
        <f ca="1" t="array" ref="D527">IF(D829=1,OFFSET($Z$338,$B527,D$335-1)/SUMPRODUCT(--($D$335:$V$335=D$335),--($D829:$V829=1)),0)+SUM(D526)+IF(COUNTIF(D$641:D829,1)=1,5,0)+IF(COUNTIF(E527:$Z527,"&gt;"&amp;0)&gt;5,IF(MOD(COUNTIF(D$641:D829,1),7)=0,$C$4,0),0)</f>
        <v>1253.82134856666</v>
      </c>
      <c r="E527" s="81" cm="1">
        <f ca="1" t="array" ref="E527">IF(E829=1,OFFSET($Z$338,$B527,E$335-1)/SUMPRODUCT(--($D$335:$V$335=E$335),--($D829:$V829=1)),0)+SUM(E526)+IF(COUNTIF(E$641:E829,1)=1,5,0)+IF(COUNTIF(F527:$Z527,"&gt;"&amp;0)&gt;5,IF(MOD(COUNTIF(E$641:E829,1),7)=0,$C$4,0),0)</f>
        <v>1253.82134856666</v>
      </c>
      <c r="F527" s="81" cm="1">
        <f ca="1" t="array" ref="F527">IF(F829=1,OFFSET($Z$338,$B527,F$335-1)/SUMPRODUCT(--($D$335:$V$335=F$335),--($D829:$V829=1)),0)+SUM(F526)+IF(COUNTIF(F$641:F829,1)=1,5,0)+IF(COUNTIF(G527:$Z527,"&gt;"&amp;0)&gt;5,IF(MOD(COUNTIF(F$641:F829,1),7)=0,$C$4,0),0)</f>
        <v>1253.82134856666</v>
      </c>
      <c r="G527" s="81" cm="1">
        <f ca="1" t="array" ref="G527">IF(G829=1,OFFSET($Z$338,$B527,G$335-1)/SUMPRODUCT(--($D$335:$V$335=G$335),--($D829:$V829=1)),0)+SUM(G526)+IF(COUNTIF(G$641:G829,1)=1,5,0)+IF(COUNTIF(H527:$Z527,"&gt;"&amp;0)&gt;5,IF(MOD(COUNTIF(G$641:G829,1),7)=0,$C$4,0),0)</f>
        <v>542.516666666668</v>
      </c>
      <c r="H527" s="81" cm="1">
        <f ca="1" t="array" ref="H527">IF(H829=1,OFFSET($Z$338,$B527,H$335-1)/SUMPRODUCT(--($D$335:$V$335=H$335),--($D829:$V829=1)),0)+SUM(H526)+IF(COUNTIF(H$641:H829,1)=1,5,0)+IF(COUNTIF(I527:$Z527,"&gt;"&amp;0)&gt;5,IF(MOD(COUNTIF(H$641:H829,1),7)=0,$C$4,0),0)</f>
        <v>542.516666666668</v>
      </c>
      <c r="I527" s="81" cm="1">
        <f ca="1" t="array" ref="I527">IF(I829=1,OFFSET($Z$338,$B527,I$335-1)/SUMPRODUCT(--($D$335:$V$335=I$335),--($D829:$V829=1)),0)+SUM(I526)+IF(COUNTIF(I$641:I829,1)=1,5,0)+IF(COUNTIF(J527:$Z527,"&gt;"&amp;0)&gt;5,IF(MOD(COUNTIF(I$641:I829,1),7)=0,$C$4,0),0)</f>
        <v>542.516666666668</v>
      </c>
      <c r="J527" s="81" cm="1">
        <f ca="1" t="array" ref="J527">IF(J829=1,OFFSET($Z$338,$B527,J$335-1)/SUMPRODUCT(--($D$335:$V$335=J$335),--($D829:$V829=1)),0)+SUM(J526)+IF(COUNTIF(J$641:J829,1)=1,5,0)+IF(COUNTIF(K527:$Z527,"&gt;"&amp;0)&gt;5,IF(MOD(COUNTIF(J$641:J829,1),7)=0,$C$4,0),0)</f>
        <v>542.516666666668</v>
      </c>
      <c r="K527" s="81" cm="1">
        <f ca="1" t="array" ref="K527">IF(K829=1,OFFSET($Z$338,$B527,K$335-1)/SUMPRODUCT(--($D$335:$V$335=K$335),--($D829:$V829=1)),0)+SUM(K526)+IF(COUNTIF(K$641:K829,1)=1,5,0)+IF(COUNTIF(L527:$Z527,"&gt;"&amp;0)&gt;5,IF(MOD(COUNTIF(K$641:K829,1),7)=0,$C$4,0),0)</f>
        <v>542.516666666668</v>
      </c>
      <c r="L527" s="81" cm="1">
        <f ca="1" t="array" ref="L527">IF(L829=1,OFFSET($Z$338,$B527,L$335-1)/SUMPRODUCT(--($D$335:$V$335=L$335),--($D829:$V829=1)),0)+SUM(L526)+IF(COUNTIF(L$641:L829,1)=1,5,0)+IF(COUNTIF(M527:$Z527,"&gt;"&amp;0)&gt;5,IF(MOD(COUNTIF(L$641:L829,1),7)=0,$C$4,0),0)</f>
        <v>530.816666666668</v>
      </c>
      <c r="M527" s="81" cm="1">
        <f ca="1" t="array" ref="M527">IF(M829=1,OFFSET($Z$338,$B527,M$335-1)/SUMPRODUCT(--($D$335:$V$335=M$335),--($D829:$V829=1)),0)+SUM(M526)+IF(COUNTIF(M$641:M829,1)=1,5,0)+IF(COUNTIF(N527:$Z527,"&gt;"&amp;0)&gt;5,IF(MOD(COUNTIF(M$641:M829,1),7)=0,$C$4,0),0)</f>
        <v>285.644107142858</v>
      </c>
      <c r="N527" s="81" cm="1">
        <f ca="1" t="array" ref="N527">IF(N829=1,OFFSET($Z$338,$B527,N$335-1)/SUMPRODUCT(--($D$335:$V$335=N$335),--($D829:$V829=1)),0)+SUM(N526)+IF(COUNTIF(N$641:N829,1)=1,5,0)+IF(COUNTIF(O527:$Z527,"&gt;"&amp;0)&gt;5,IF(MOD(COUNTIF(N$641:N829,1),7)=0,$C$4,0),0)</f>
        <v>277.919107142858</v>
      </c>
      <c r="O527" s="81" cm="1">
        <f ca="1" t="array" ref="O527">IF(O829=1,OFFSET($Z$338,$B527,O$335-1)/SUMPRODUCT(--($D$335:$V$335=O$335),--($D829:$V829=1)),0)+SUM(O526)+IF(COUNTIF(O$641:O829,1)=1,5,0)+IF(COUNTIF(P527:$Z527,"&gt;"&amp;0)&gt;5,IF(MOD(COUNTIF(O$641:O829,1),7)=0,$C$4,0),0)</f>
        <v>275.494107142858</v>
      </c>
      <c r="P527" s="81" cm="1">
        <f ca="1" t="array" ref="P527">IF(P829=1,OFFSET($Z$338,$B527,P$335-1)/SUMPRODUCT(--($D$335:$V$335=P$335),--($D829:$V829=1)),0)+SUM(P526)+IF(COUNTIF(P$641:P829,1)=1,5,0)+IF(COUNTIF(Q527:$Z527,"&gt;"&amp;0)&gt;5,IF(MOD(COUNTIF(P$641:P829,1),7)=0,$C$4,0),0)</f>
        <v>272.560773809524</v>
      </c>
      <c r="Q527" s="81" cm="1">
        <f ca="1" t="array" ref="Q527">IF(Q829=1,OFFSET($Z$338,$B527,Q$335-1)/SUMPRODUCT(--($D$335:$V$335=Q$335),--($D829:$V829=1)),0)+SUM(Q526)+IF(COUNTIF(Q$641:Q829,1)=1,5,0)+IF(COUNTIF(R527:$Z527,"&gt;"&amp;0)&gt;5,IF(MOD(COUNTIF(Q$641:Q829,1),7)=0,$C$4,0),0)</f>
        <v>271.654523809524</v>
      </c>
      <c r="R527" s="81" cm="1">
        <f ca="1" t="array" ref="R527">IF(R829=1,OFFSET($Z$338,$B527,R$335-1)/SUMPRODUCT(--($D$335:$V$335=R$335),--($D829:$V829=1)),0)+SUM(R526)+IF(COUNTIF(R$641:R829,1)=1,5,0)+IF(COUNTIF(S527:$Z527,"&gt;"&amp;0)&gt;5,IF(MOD(COUNTIF(R$641:R829,1),7)=0,$C$4,0),0)</f>
        <v>246.759523809524</v>
      </c>
      <c r="S527" s="81" cm="1">
        <f ca="1" t="array" ref="S527">IF(S829=1,OFFSET($Z$338,$B527,S$335-1)/SUMPRODUCT(--($D$335:$V$335=S$335),--($D829:$V829=1)),0)+SUM(S526)+IF(COUNTIF(S$641:S829,1)=1,5,0)+IF(COUNTIF(T527:$Z527,"&gt;"&amp;0)&gt;5,IF(MOD(COUNTIF(S$641:S829,1),7)=0,$C$4,0),0)</f>
        <v>237.592857142857</v>
      </c>
      <c r="T527" s="81" cm="1">
        <f ca="1" t="array" ref="T527">IF(T829=1,OFFSET($Z$338,$B527,T$335-1)/SUMPRODUCT(--($D$335:$V$335=T$335),--($D829:$V829=1)),0)+SUM(T526)+IF(COUNTIF(T$641:T829,1)=1,5,0)+IF(COUNTIF(U527:$Z527,"&gt;"&amp;0)&gt;5,IF(MOD(COUNTIF(T$641:T829,1),7)=0,$C$4,0),0)</f>
        <v>137.656257829764</v>
      </c>
      <c r="U527" s="81" cm="1">
        <f ca="1" t="array" ref="U527">IF(U829=1,OFFSET($Z$338,$B527,U$335-1)/SUMPRODUCT(--($D$335:$V$335=U$335),--($D829:$V829=1)),0)+SUM(U526)+IF(COUNTIF(U$641:U829,1)=1,5,0)+IF(COUNTIF(V527:$Z527,"&gt;"&amp;0)&gt;5,IF(MOD(COUNTIF(U$641:U829,1),7)=0,$C$4,0),0)</f>
        <v>97.6562578297643</v>
      </c>
      <c r="V527" s="81" cm="1">
        <f ca="1" t="array" ref="V527">IF(V829=1,OFFSET($Z$338,$B527,V$335-1)/SUMPRODUCT(--($D$335:$V$335=V$335),--($D829:$V829=1)),0)+SUM(V526)+IF(COUNTIF(V$641:V829,1)=1,5,0)+IF(COUNTIF(Z527:$Z527,"&gt;"&amp;0)&gt;5,IF(MOD(COUNTIF(V$641:V829,1),7)=0,$C$4,0),0)</f>
        <v>89.6984386404824</v>
      </c>
      <c r="W527" s="81" cm="1">
        <f ca="1" t="array" ref="W527">IF(W829=1,OFFSET($Z$338,$B527,W$335-1)/SUMPRODUCT(--($D$335:$V$335=W$335),--($D829:$V829=1)),0)+SUM(W526)+IF(COUNTIF(W$641:W829,1)=1,5,0)+IF(COUNTIF($Z527:AA527,"&gt;"&amp;0)&gt;5,IF(MOD(COUNTIF(W$641:W829,1),7)=0,$C$4,0),0)</f>
        <v>80.3425695255331</v>
      </c>
      <c r="X527" s="81" cm="1">
        <f ca="1" t="array" ref="X527">IF(X829=1,OFFSET($Z$338,$B527,X$335-1)/SUMPRODUCT(--($D$335:$V$335=X$335),--($D829:$V829=1)),0)+SUM(X526)+IF(COUNTIF(X$641:X829,1)=1,5,0)+IF(COUNTIF($Z527:AB527,"&gt;"&amp;0)&gt;5,IF(MOD(COUNTIF(X$641:X829,1),7)=0,$C$4,0),0)</f>
        <v>73.5789092348996</v>
      </c>
      <c r="Y527" s="81" cm="1">
        <f ca="1" t="array" ref="Y527">IF(Y829=1,OFFSET($Z$338,$B527,Y$335-1)/SUMPRODUCT(--($D$335:$V$335=Y$335),--($D829:$V829=1)),0)+SUM(Y526)+IF(COUNTIF(Y$641:Y829,1)=1,5,0)+IF(COUNTIF($Z527:AC527,"&gt;"&amp;0)&gt;5,IF(MOD(COUNTIF(Y$641:Y829,1),7)=0,$C$4,0),0)</f>
        <v>66.8152489442662</v>
      </c>
      <c r="Z527" s="82" cm="1">
        <f ca="1" t="array" ref="Z527">SUMPRODUCT(TRANSPOSE($AD527:$AJ527),OFFSET($L$10:$L$16,0,Z$335-1))</f>
        <v>0</v>
      </c>
      <c r="AA527" s="82" cm="1">
        <f ca="1" t="array" ref="AA527">SUMPRODUCT(TRANSPOSE($AD527:$AJ527),OFFSET($L$10:$L$16,0,AA$335-1))</f>
        <v>0</v>
      </c>
      <c r="AB527" s="82" cm="1">
        <f ca="1" t="array" ref="AB527">SUMPRODUCT(TRANSPOSE($AD527:$AJ527),OFFSET($L$10:$L$16,0,AB$335-1))</f>
        <v>0</v>
      </c>
      <c r="AC527" s="82" cm="1">
        <f ca="1" t="array" ref="AC527">SUMPRODUCT(TRANSPOSE($AD527:$AJ527),OFFSET($L$10:$L$16,0,AC$335-1))</f>
        <v>0</v>
      </c>
      <c r="AD527" s="83">
        <f ca="1" t="shared" ref="AD527:AJ527" si="701">AK527-AK526</f>
        <v>0</v>
      </c>
      <c r="AE527" s="83">
        <f ca="1" t="shared" si="701"/>
        <v>0</v>
      </c>
      <c r="AF527" s="83">
        <f ca="1" t="shared" si="701"/>
        <v>0</v>
      </c>
      <c r="AG527" s="83">
        <f ca="1" t="shared" si="701"/>
        <v>0</v>
      </c>
      <c r="AH527" s="83">
        <f ca="1" t="shared" si="701"/>
        <v>0</v>
      </c>
      <c r="AI527" s="83">
        <f ca="1" t="shared" si="701"/>
        <v>0</v>
      </c>
      <c r="AJ527" s="83">
        <f ca="1" t="shared" si="701"/>
        <v>0</v>
      </c>
      <c r="AK527" s="83">
        <f ca="1" t="shared" si="581"/>
        <v>450</v>
      </c>
      <c r="AL527" s="83">
        <f ca="1" t="shared" ref="AL527:AQ527" si="702">IF($C527&gt;OFFSET($Q$9,MATCH(AL$338,$AK$338:$AQ$338,0),0),OFFSET($P$9,MATCH(AL$338,$AK$338:$AQ$338,0),0),MAX(0,$C527-OFFSET($Q$9,RIGHT(AL$338,1)-1,0)))</f>
        <v>909</v>
      </c>
      <c r="AM527" s="83">
        <f ca="1" t="shared" si="702"/>
        <v>1818</v>
      </c>
      <c r="AN527" s="83">
        <f ca="1" t="shared" si="702"/>
        <v>2727</v>
      </c>
      <c r="AO527" s="83">
        <f ca="1" t="shared" si="702"/>
        <v>3636</v>
      </c>
      <c r="AP527" s="83">
        <f ca="1" t="shared" si="702"/>
        <v>4545</v>
      </c>
      <c r="AQ527" s="83">
        <f ca="1" t="shared" si="702"/>
        <v>0</v>
      </c>
    </row>
    <row r="528" ht="16.5" spans="2:43">
      <c r="B528" s="65">
        <v>190</v>
      </c>
      <c r="C528" s="80">
        <f t="shared" si="579"/>
        <v>22226</v>
      </c>
      <c r="D528" s="81" cm="1">
        <f ca="1" t="array" ref="D528">IF(D830=1,OFFSET($Z$338,$B528,D$335-1)/SUMPRODUCT(--($D$335:$V$335=D$335),--($D830:$V830=1)),0)+SUM(D527)+IF(COUNTIF(D$641:D830,1)=1,5,0)+IF(COUNTIF(E528:$Z528,"&gt;"&amp;0)&gt;5,IF(MOD(COUNTIF(D$641:D830,1),7)=0,$C$4,0),0)</f>
        <v>1253.82134856666</v>
      </c>
      <c r="E528" s="81" cm="1">
        <f ca="1" t="array" ref="E528">IF(E830=1,OFFSET($Z$338,$B528,E$335-1)/SUMPRODUCT(--($D$335:$V$335=E$335),--($D830:$V830=1)),0)+SUM(E527)+IF(COUNTIF(E$641:E830,1)=1,5,0)+IF(COUNTIF(F528:$Z528,"&gt;"&amp;0)&gt;5,IF(MOD(COUNTIF(E$641:E830,1),7)=0,$C$4,0),0)</f>
        <v>1253.82134856666</v>
      </c>
      <c r="F528" s="81" cm="1">
        <f ca="1" t="array" ref="F528">IF(F830=1,OFFSET($Z$338,$B528,F$335-1)/SUMPRODUCT(--($D$335:$V$335=F$335),--($D830:$V830=1)),0)+SUM(F527)+IF(COUNTIF(F$641:F830,1)=1,5,0)+IF(COUNTIF(G528:$Z528,"&gt;"&amp;0)&gt;5,IF(MOD(COUNTIF(F$641:F830,1),7)=0,$C$4,0),0)</f>
        <v>1253.82134856666</v>
      </c>
      <c r="G528" s="81" cm="1">
        <f ca="1" t="array" ref="G528">IF(G830=1,OFFSET($Z$338,$B528,G$335-1)/SUMPRODUCT(--($D$335:$V$335=G$335),--($D830:$V830=1)),0)+SUM(G527)+IF(COUNTIF(G$641:G830,1)=1,5,0)+IF(COUNTIF(H528:$Z528,"&gt;"&amp;0)&gt;5,IF(MOD(COUNTIF(G$641:G830,1),7)=0,$C$4,0),0)</f>
        <v>542.516666666668</v>
      </c>
      <c r="H528" s="81" cm="1">
        <f ca="1" t="array" ref="H528">IF(H830=1,OFFSET($Z$338,$B528,H$335-1)/SUMPRODUCT(--($D$335:$V$335=H$335),--($D830:$V830=1)),0)+SUM(H527)+IF(COUNTIF(H$641:H830,1)=1,5,0)+IF(COUNTIF(I528:$Z528,"&gt;"&amp;0)&gt;5,IF(MOD(COUNTIF(H$641:H830,1),7)=0,$C$4,0),0)</f>
        <v>542.516666666668</v>
      </c>
      <c r="I528" s="81" cm="1">
        <f ca="1" t="array" ref="I528">IF(I830=1,OFFSET($Z$338,$B528,I$335-1)/SUMPRODUCT(--($D$335:$V$335=I$335),--($D830:$V830=1)),0)+SUM(I527)+IF(COUNTIF(I$641:I830,1)=1,5,0)+IF(COUNTIF(J528:$Z528,"&gt;"&amp;0)&gt;5,IF(MOD(COUNTIF(I$641:I830,1),7)=0,$C$4,0),0)</f>
        <v>542.516666666668</v>
      </c>
      <c r="J528" s="81" cm="1">
        <f ca="1" t="array" ref="J528">IF(J830=1,OFFSET($Z$338,$B528,J$335-1)/SUMPRODUCT(--($D$335:$V$335=J$335),--($D830:$V830=1)),0)+SUM(J527)+IF(COUNTIF(J$641:J830,1)=1,5,0)+IF(COUNTIF(K528:$Z528,"&gt;"&amp;0)&gt;5,IF(MOD(COUNTIF(J$641:J830,1),7)=0,$C$4,0),0)</f>
        <v>542.516666666668</v>
      </c>
      <c r="K528" s="81" cm="1">
        <f ca="1" t="array" ref="K528">IF(K830=1,OFFSET($Z$338,$B528,K$335-1)/SUMPRODUCT(--($D$335:$V$335=K$335),--($D830:$V830=1)),0)+SUM(K527)+IF(COUNTIF(K$641:K830,1)=1,5,0)+IF(COUNTIF(L528:$Z528,"&gt;"&amp;0)&gt;5,IF(MOD(COUNTIF(K$641:K830,1),7)=0,$C$4,0),0)</f>
        <v>542.516666666668</v>
      </c>
      <c r="L528" s="81" cm="1">
        <f ca="1" t="array" ref="L528">IF(L830=1,OFFSET($Z$338,$B528,L$335-1)/SUMPRODUCT(--($D$335:$V$335=L$335),--($D830:$V830=1)),0)+SUM(L527)+IF(COUNTIF(L$641:L830,1)=1,5,0)+IF(COUNTIF(M528:$Z528,"&gt;"&amp;0)&gt;5,IF(MOD(COUNTIF(L$641:L830,1),7)=0,$C$4,0),0)</f>
        <v>535.816666666668</v>
      </c>
      <c r="M528" s="81" cm="1">
        <f ca="1" t="array" ref="M528">IF(M830=1,OFFSET($Z$338,$B528,M$335-1)/SUMPRODUCT(--($D$335:$V$335=M$335),--($D830:$V830=1)),0)+SUM(M527)+IF(COUNTIF(M$641:M830,1)=1,5,0)+IF(COUNTIF(N528:$Z528,"&gt;"&amp;0)&gt;5,IF(MOD(COUNTIF(M$641:M830,1),7)=0,$C$4,0),0)</f>
        <v>290.644107142858</v>
      </c>
      <c r="N528" s="81" cm="1">
        <f ca="1" t="array" ref="N528">IF(N830=1,OFFSET($Z$338,$B528,N$335-1)/SUMPRODUCT(--($D$335:$V$335=N$335),--($D830:$V830=1)),0)+SUM(N527)+IF(COUNTIF(N$641:N830,1)=1,5,0)+IF(COUNTIF(O528:$Z528,"&gt;"&amp;0)&gt;5,IF(MOD(COUNTIF(N$641:N830,1),7)=0,$C$4,0),0)</f>
        <v>277.919107142858</v>
      </c>
      <c r="O528" s="81" cm="1">
        <f ca="1" t="array" ref="O528">IF(O830=1,OFFSET($Z$338,$B528,O$335-1)/SUMPRODUCT(--($D$335:$V$335=O$335),--($D830:$V830=1)),0)+SUM(O527)+IF(COUNTIF(O$641:O830,1)=1,5,0)+IF(COUNTIF(P528:$Z528,"&gt;"&amp;0)&gt;5,IF(MOD(COUNTIF(O$641:O830,1),7)=0,$C$4,0),0)</f>
        <v>275.494107142858</v>
      </c>
      <c r="P528" s="81" cm="1">
        <f ca="1" t="array" ref="P528">IF(P830=1,OFFSET($Z$338,$B528,P$335-1)/SUMPRODUCT(--($D$335:$V$335=P$335),--($D830:$V830=1)),0)+SUM(P527)+IF(COUNTIF(P$641:P830,1)=1,5,0)+IF(COUNTIF(Q528:$Z528,"&gt;"&amp;0)&gt;5,IF(MOD(COUNTIF(P$641:P830,1),7)=0,$C$4,0),0)</f>
        <v>272.560773809524</v>
      </c>
      <c r="Q528" s="81" cm="1">
        <f ca="1" t="array" ref="Q528">IF(Q830=1,OFFSET($Z$338,$B528,Q$335-1)/SUMPRODUCT(--($D$335:$V$335=Q$335),--($D830:$V830=1)),0)+SUM(Q527)+IF(COUNTIF(Q$641:Q830,1)=1,5,0)+IF(COUNTIF(R528:$Z528,"&gt;"&amp;0)&gt;5,IF(MOD(COUNTIF(Q$641:Q830,1),7)=0,$C$4,0),0)</f>
        <v>271.654523809524</v>
      </c>
      <c r="R528" s="81" cm="1">
        <f ca="1" t="array" ref="R528">IF(R830=1,OFFSET($Z$338,$B528,R$335-1)/SUMPRODUCT(--($D$335:$V$335=R$335),--($D830:$V830=1)),0)+SUM(R527)+IF(COUNTIF(R$641:R830,1)=1,5,0)+IF(COUNTIF(S528:$Z528,"&gt;"&amp;0)&gt;5,IF(MOD(COUNTIF(R$641:R830,1),7)=0,$C$4,0),0)</f>
        <v>246.759523809524</v>
      </c>
      <c r="S528" s="81" cm="1">
        <f ca="1" t="array" ref="S528">IF(S830=1,OFFSET($Z$338,$B528,S$335-1)/SUMPRODUCT(--($D$335:$V$335=S$335),--($D830:$V830=1)),0)+SUM(S527)+IF(COUNTIF(S$641:S830,1)=1,5,0)+IF(COUNTIF(T528:$Z528,"&gt;"&amp;0)&gt;5,IF(MOD(COUNTIF(S$641:S830,1),7)=0,$C$4,0),0)</f>
        <v>237.592857142857</v>
      </c>
      <c r="T528" s="81" cm="1">
        <f ca="1" t="array" ref="T528">IF(T830=1,OFFSET($Z$338,$B528,T$335-1)/SUMPRODUCT(--($D$335:$V$335=T$335),--($D830:$V830=1)),0)+SUM(T527)+IF(COUNTIF(T$641:T830,1)=1,5,0)+IF(COUNTIF(U528:$Z528,"&gt;"&amp;0)&gt;5,IF(MOD(COUNTIF(T$641:T830,1),7)=0,$C$4,0),0)</f>
        <v>137.656257829764</v>
      </c>
      <c r="U528" s="81" cm="1">
        <f ca="1" t="array" ref="U528">IF(U830=1,OFFSET($Z$338,$B528,U$335-1)/SUMPRODUCT(--($D$335:$V$335=U$335),--($D830:$V830=1)),0)+SUM(U527)+IF(COUNTIF(U$641:U830,1)=1,5,0)+IF(COUNTIF(V528:$Z528,"&gt;"&amp;0)&gt;5,IF(MOD(COUNTIF(U$641:U830,1),7)=0,$C$4,0),0)</f>
        <v>97.6562578297643</v>
      </c>
      <c r="V528" s="81" cm="1">
        <f ca="1" t="array" ref="V528">IF(V830=1,OFFSET($Z$338,$B528,V$335-1)/SUMPRODUCT(--($D$335:$V$335=V$335),--($D830:$V830=1)),0)+SUM(V527)+IF(COUNTIF(V$641:V830,1)=1,5,0)+IF(COUNTIF(Z528:$Z528,"&gt;"&amp;0)&gt;5,IF(MOD(COUNTIF(V$641:V830,1),7)=0,$C$4,0),0)</f>
        <v>89.6984386404824</v>
      </c>
      <c r="W528" s="81" cm="1">
        <f ca="1" t="array" ref="W528">IF(W830=1,OFFSET($Z$338,$B528,W$335-1)/SUMPRODUCT(--($D$335:$V$335=W$335),--($D830:$V830=1)),0)+SUM(W527)+IF(COUNTIF(W$641:W830,1)=1,5,0)+IF(COUNTIF($Z528:AA528,"&gt;"&amp;0)&gt;5,IF(MOD(COUNTIF(W$641:W830,1),7)=0,$C$4,0),0)</f>
        <v>80.3425695255331</v>
      </c>
      <c r="X528" s="81" cm="1">
        <f ca="1" t="array" ref="X528">IF(X830=1,OFFSET($Z$338,$B528,X$335-1)/SUMPRODUCT(--($D$335:$V$335=X$335),--($D830:$V830=1)),0)+SUM(X527)+IF(COUNTIF(X$641:X830,1)=1,5,0)+IF(COUNTIF($Z528:AB528,"&gt;"&amp;0)&gt;5,IF(MOD(COUNTIF(X$641:X830,1),7)=0,$C$4,0),0)</f>
        <v>73.5789092348996</v>
      </c>
      <c r="Y528" s="81" cm="1">
        <f ca="1" t="array" ref="Y528">IF(Y830=1,OFFSET($Z$338,$B528,Y$335-1)/SUMPRODUCT(--($D$335:$V$335=Y$335),--($D830:$V830=1)),0)+SUM(Y527)+IF(COUNTIF(Y$641:Y830,1)=1,5,0)+IF(COUNTIF($Z528:AC528,"&gt;"&amp;0)&gt;5,IF(MOD(COUNTIF(Y$641:Y830,1),7)=0,$C$4,0),0)</f>
        <v>66.8152489442662</v>
      </c>
      <c r="Z528" s="82" cm="1">
        <f ca="1" t="array" ref="Z528">SUMPRODUCT(TRANSPOSE($AD528:$AJ528),OFFSET($L$10:$L$16,0,Z$335-1))</f>
        <v>0</v>
      </c>
      <c r="AA528" s="82" cm="1">
        <f ca="1" t="array" ref="AA528">SUMPRODUCT(TRANSPOSE($AD528:$AJ528),OFFSET($L$10:$L$16,0,AA$335-1))</f>
        <v>0</v>
      </c>
      <c r="AB528" s="82" cm="1">
        <f ca="1" t="array" ref="AB528">SUMPRODUCT(TRANSPOSE($AD528:$AJ528),OFFSET($L$10:$L$16,0,AB$335-1))</f>
        <v>0</v>
      </c>
      <c r="AC528" s="82" cm="1">
        <f ca="1" t="array" ref="AC528">SUMPRODUCT(TRANSPOSE($AD528:$AJ528),OFFSET($L$10:$L$16,0,AC$335-1))</f>
        <v>0</v>
      </c>
      <c r="AD528" s="83">
        <f ca="1" t="shared" ref="AD528:AJ528" si="703">AK528-AK527</f>
        <v>0</v>
      </c>
      <c r="AE528" s="83">
        <f ca="1" t="shared" si="703"/>
        <v>0</v>
      </c>
      <c r="AF528" s="83">
        <f ca="1" t="shared" si="703"/>
        <v>0</v>
      </c>
      <c r="AG528" s="83">
        <f ca="1" t="shared" si="703"/>
        <v>0</v>
      </c>
      <c r="AH528" s="83">
        <f ca="1" t="shared" si="703"/>
        <v>0</v>
      </c>
      <c r="AI528" s="83">
        <f ca="1" t="shared" si="703"/>
        <v>0</v>
      </c>
      <c r="AJ528" s="83">
        <f ca="1" t="shared" si="703"/>
        <v>0</v>
      </c>
      <c r="AK528" s="83">
        <f ca="1" t="shared" si="581"/>
        <v>450</v>
      </c>
      <c r="AL528" s="83">
        <f ca="1" t="shared" ref="AL528:AQ528" si="704">IF($C528&gt;OFFSET($Q$9,MATCH(AL$338,$AK$338:$AQ$338,0),0),OFFSET($P$9,MATCH(AL$338,$AK$338:$AQ$338,0),0),MAX(0,$C528-OFFSET($Q$9,RIGHT(AL$338,1)-1,0)))</f>
        <v>909</v>
      </c>
      <c r="AM528" s="83">
        <f ca="1" t="shared" si="704"/>
        <v>1818</v>
      </c>
      <c r="AN528" s="83">
        <f ca="1" t="shared" si="704"/>
        <v>2727</v>
      </c>
      <c r="AO528" s="83">
        <f ca="1" t="shared" si="704"/>
        <v>3636</v>
      </c>
      <c r="AP528" s="83">
        <f ca="1" t="shared" si="704"/>
        <v>4545</v>
      </c>
      <c r="AQ528" s="83">
        <f ca="1" t="shared" si="704"/>
        <v>0</v>
      </c>
    </row>
    <row r="529" ht="16.5" spans="2:43">
      <c r="B529" s="65">
        <v>191</v>
      </c>
      <c r="C529" s="80">
        <f t="shared" si="579"/>
        <v>22336</v>
      </c>
      <c r="D529" s="81" cm="1">
        <f ca="1" t="array" ref="D529">IF(D831=1,OFFSET($Z$338,$B529,D$335-1)/SUMPRODUCT(--($D$335:$V$335=D$335),--($D831:$V831=1)),0)+SUM(D528)+IF(COUNTIF(D$641:D831,1)=1,5,0)+IF(COUNTIF(E529:$Z529,"&gt;"&amp;0)&gt;5,IF(MOD(COUNTIF(D$641:D831,1),7)=0,$C$4,0),0)</f>
        <v>1253.82134856666</v>
      </c>
      <c r="E529" s="81" cm="1">
        <f ca="1" t="array" ref="E529">IF(E831=1,OFFSET($Z$338,$B529,E$335-1)/SUMPRODUCT(--($D$335:$V$335=E$335),--($D831:$V831=1)),0)+SUM(E528)+IF(COUNTIF(E$641:E831,1)=1,5,0)+IF(COUNTIF(F529:$Z529,"&gt;"&amp;0)&gt;5,IF(MOD(COUNTIF(E$641:E831,1),7)=0,$C$4,0),0)</f>
        <v>1253.82134856666</v>
      </c>
      <c r="F529" s="81" cm="1">
        <f ca="1" t="array" ref="F529">IF(F831=1,OFFSET($Z$338,$B529,F$335-1)/SUMPRODUCT(--($D$335:$V$335=F$335),--($D831:$V831=1)),0)+SUM(F528)+IF(COUNTIF(F$641:F831,1)=1,5,0)+IF(COUNTIF(G529:$Z529,"&gt;"&amp;0)&gt;5,IF(MOD(COUNTIF(F$641:F831,1),7)=0,$C$4,0),0)</f>
        <v>1253.82134856666</v>
      </c>
      <c r="G529" s="81" cm="1">
        <f ca="1" t="array" ref="G529">IF(G831=1,OFFSET($Z$338,$B529,G$335-1)/SUMPRODUCT(--($D$335:$V$335=G$335),--($D831:$V831=1)),0)+SUM(G528)+IF(COUNTIF(G$641:G831,1)=1,5,0)+IF(COUNTIF(H529:$Z529,"&gt;"&amp;0)&gt;5,IF(MOD(COUNTIF(G$641:G831,1),7)=0,$C$4,0),0)</f>
        <v>542.516666666668</v>
      </c>
      <c r="H529" s="81" cm="1">
        <f ca="1" t="array" ref="H529">IF(H831=1,OFFSET($Z$338,$B529,H$335-1)/SUMPRODUCT(--($D$335:$V$335=H$335),--($D831:$V831=1)),0)+SUM(H528)+IF(COUNTIF(H$641:H831,1)=1,5,0)+IF(COUNTIF(I529:$Z529,"&gt;"&amp;0)&gt;5,IF(MOD(COUNTIF(H$641:H831,1),7)=0,$C$4,0),0)</f>
        <v>542.516666666668</v>
      </c>
      <c r="I529" s="81" cm="1">
        <f ca="1" t="array" ref="I529">IF(I831=1,OFFSET($Z$338,$B529,I$335-1)/SUMPRODUCT(--($D$335:$V$335=I$335),--($D831:$V831=1)),0)+SUM(I528)+IF(COUNTIF(I$641:I831,1)=1,5,0)+IF(COUNTIF(J529:$Z529,"&gt;"&amp;0)&gt;5,IF(MOD(COUNTIF(I$641:I831,1),7)=0,$C$4,0),0)</f>
        <v>542.516666666668</v>
      </c>
      <c r="J529" s="81" cm="1">
        <f ca="1" t="array" ref="J529">IF(J831=1,OFFSET($Z$338,$B529,J$335-1)/SUMPRODUCT(--($D$335:$V$335=J$335),--($D831:$V831=1)),0)+SUM(J528)+IF(COUNTIF(J$641:J831,1)=1,5,0)+IF(COUNTIF(K529:$Z529,"&gt;"&amp;0)&gt;5,IF(MOD(COUNTIF(J$641:J831,1),7)=0,$C$4,0),0)</f>
        <v>542.516666666668</v>
      </c>
      <c r="K529" s="81" cm="1">
        <f ca="1" t="array" ref="K529">IF(K831=1,OFFSET($Z$338,$B529,K$335-1)/SUMPRODUCT(--($D$335:$V$335=K$335),--($D831:$V831=1)),0)+SUM(K528)+IF(COUNTIF(K$641:K831,1)=1,5,0)+IF(COUNTIF(L529:$Z529,"&gt;"&amp;0)&gt;5,IF(MOD(COUNTIF(K$641:K831,1),7)=0,$C$4,0),0)</f>
        <v>542.516666666668</v>
      </c>
      <c r="L529" s="81" cm="1">
        <f ca="1" t="array" ref="L529">IF(L831=1,OFFSET($Z$338,$B529,L$335-1)/SUMPRODUCT(--($D$335:$V$335=L$335),--($D831:$V831=1)),0)+SUM(L528)+IF(COUNTIF(L$641:L831,1)=1,5,0)+IF(COUNTIF(M529:$Z529,"&gt;"&amp;0)&gt;5,IF(MOD(COUNTIF(L$641:L831,1),7)=0,$C$4,0),0)</f>
        <v>535.816666666668</v>
      </c>
      <c r="M529" s="81" cm="1">
        <f ca="1" t="array" ref="M529">IF(M831=1,OFFSET($Z$338,$B529,M$335-1)/SUMPRODUCT(--($D$335:$V$335=M$335),--($D831:$V831=1)),0)+SUM(M528)+IF(COUNTIF(M$641:M831,1)=1,5,0)+IF(COUNTIF(N529:$Z529,"&gt;"&amp;0)&gt;5,IF(MOD(COUNTIF(M$641:M831,1),7)=0,$C$4,0),0)</f>
        <v>290.644107142858</v>
      </c>
      <c r="N529" s="81" cm="1">
        <f ca="1" t="array" ref="N529">IF(N831=1,OFFSET($Z$338,$B529,N$335-1)/SUMPRODUCT(--($D$335:$V$335=N$335),--($D831:$V831=1)),0)+SUM(N528)+IF(COUNTIF(N$641:N831,1)=1,5,0)+IF(COUNTIF(O529:$Z529,"&gt;"&amp;0)&gt;5,IF(MOD(COUNTIF(N$641:N831,1),7)=0,$C$4,0),0)</f>
        <v>282.919107142858</v>
      </c>
      <c r="O529" s="81" cm="1">
        <f ca="1" t="array" ref="O529">IF(O831=1,OFFSET($Z$338,$B529,O$335-1)/SUMPRODUCT(--($D$335:$V$335=O$335),--($D831:$V831=1)),0)+SUM(O528)+IF(COUNTIF(O$641:O831,1)=1,5,0)+IF(COUNTIF(P529:$Z529,"&gt;"&amp;0)&gt;5,IF(MOD(COUNTIF(O$641:O831,1),7)=0,$C$4,0),0)</f>
        <v>275.494107142858</v>
      </c>
      <c r="P529" s="81" cm="1">
        <f ca="1" t="array" ref="P529">IF(P831=1,OFFSET($Z$338,$B529,P$335-1)/SUMPRODUCT(--($D$335:$V$335=P$335),--($D831:$V831=1)),0)+SUM(P528)+IF(COUNTIF(P$641:P831,1)=1,5,0)+IF(COUNTIF(Q529:$Z529,"&gt;"&amp;0)&gt;5,IF(MOD(COUNTIF(P$641:P831,1),7)=0,$C$4,0),0)</f>
        <v>272.560773809524</v>
      </c>
      <c r="Q529" s="81" cm="1">
        <f ca="1" t="array" ref="Q529">IF(Q831=1,OFFSET($Z$338,$B529,Q$335-1)/SUMPRODUCT(--($D$335:$V$335=Q$335),--($D831:$V831=1)),0)+SUM(Q528)+IF(COUNTIF(Q$641:Q831,1)=1,5,0)+IF(COUNTIF(R529:$Z529,"&gt;"&amp;0)&gt;5,IF(MOD(COUNTIF(Q$641:Q831,1),7)=0,$C$4,0),0)</f>
        <v>271.654523809524</v>
      </c>
      <c r="R529" s="81" cm="1">
        <f ca="1" t="array" ref="R529">IF(R831=1,OFFSET($Z$338,$B529,R$335-1)/SUMPRODUCT(--($D$335:$V$335=R$335),--($D831:$V831=1)),0)+SUM(R528)+IF(COUNTIF(R$641:R831,1)=1,5,0)+IF(COUNTIF(S529:$Z529,"&gt;"&amp;0)&gt;5,IF(MOD(COUNTIF(R$641:R831,1),7)=0,$C$4,0),0)</f>
        <v>246.759523809524</v>
      </c>
      <c r="S529" s="81" cm="1">
        <f ca="1" t="array" ref="S529">IF(S831=1,OFFSET($Z$338,$B529,S$335-1)/SUMPRODUCT(--($D$335:$V$335=S$335),--($D831:$V831=1)),0)+SUM(S528)+IF(COUNTIF(S$641:S831,1)=1,5,0)+IF(COUNTIF(T529:$Z529,"&gt;"&amp;0)&gt;5,IF(MOD(COUNTIF(S$641:S831,1),7)=0,$C$4,0),0)</f>
        <v>237.592857142857</v>
      </c>
      <c r="T529" s="81" cm="1">
        <f ca="1" t="array" ref="T529">IF(T831=1,OFFSET($Z$338,$B529,T$335-1)/SUMPRODUCT(--($D$335:$V$335=T$335),--($D831:$V831=1)),0)+SUM(T528)+IF(COUNTIF(T$641:T831,1)=1,5,0)+IF(COUNTIF(U529:$Z529,"&gt;"&amp;0)&gt;5,IF(MOD(COUNTIF(T$641:T831,1),7)=0,$C$4,0),0)</f>
        <v>137.656257829764</v>
      </c>
      <c r="U529" s="81" cm="1">
        <f ca="1" t="array" ref="U529">IF(U831=1,OFFSET($Z$338,$B529,U$335-1)/SUMPRODUCT(--($D$335:$V$335=U$335),--($D831:$V831=1)),0)+SUM(U528)+IF(COUNTIF(U$641:U831,1)=1,5,0)+IF(COUNTIF(V529:$Z529,"&gt;"&amp;0)&gt;5,IF(MOD(COUNTIF(U$641:U831,1),7)=0,$C$4,0),0)</f>
        <v>97.6562578297643</v>
      </c>
      <c r="V529" s="81" cm="1">
        <f ca="1" t="array" ref="V529">IF(V831=1,OFFSET($Z$338,$B529,V$335-1)/SUMPRODUCT(--($D$335:$V$335=V$335),--($D831:$V831=1)),0)+SUM(V528)+IF(COUNTIF(V$641:V831,1)=1,5,0)+IF(COUNTIF(Z529:$Z529,"&gt;"&amp;0)&gt;5,IF(MOD(COUNTIF(V$641:V831,1),7)=0,$C$4,0),0)</f>
        <v>89.6984386404824</v>
      </c>
      <c r="W529" s="81" cm="1">
        <f ca="1" t="array" ref="W529">IF(W831=1,OFFSET($Z$338,$B529,W$335-1)/SUMPRODUCT(--($D$335:$V$335=W$335),--($D831:$V831=1)),0)+SUM(W528)+IF(COUNTIF(W$641:W831,1)=1,5,0)+IF(COUNTIF($Z529:AA529,"&gt;"&amp;0)&gt;5,IF(MOD(COUNTIF(W$641:W831,1),7)=0,$C$4,0),0)</f>
        <v>80.3425695255331</v>
      </c>
      <c r="X529" s="81" cm="1">
        <f ca="1" t="array" ref="X529">IF(X831=1,OFFSET($Z$338,$B529,X$335-1)/SUMPRODUCT(--($D$335:$V$335=X$335),--($D831:$V831=1)),0)+SUM(X528)+IF(COUNTIF(X$641:X831,1)=1,5,0)+IF(COUNTIF($Z529:AB529,"&gt;"&amp;0)&gt;5,IF(MOD(COUNTIF(X$641:X831,1),7)=0,$C$4,0),0)</f>
        <v>73.5789092348996</v>
      </c>
      <c r="Y529" s="81" cm="1">
        <f ca="1" t="array" ref="Y529">IF(Y831=1,OFFSET($Z$338,$B529,Y$335-1)/SUMPRODUCT(--($D$335:$V$335=Y$335),--($D831:$V831=1)),0)+SUM(Y528)+IF(COUNTIF(Y$641:Y831,1)=1,5,0)+IF(COUNTIF($Z529:AC529,"&gt;"&amp;0)&gt;5,IF(MOD(COUNTIF(Y$641:Y831,1),7)=0,$C$4,0),0)</f>
        <v>66.8152489442662</v>
      </c>
      <c r="Z529" s="82" cm="1">
        <f ca="1" t="array" ref="Z529">SUMPRODUCT(TRANSPOSE($AD529:$AJ529),OFFSET($L$10:$L$16,0,Z$335-1))</f>
        <v>0</v>
      </c>
      <c r="AA529" s="82" cm="1">
        <f ca="1" t="array" ref="AA529">SUMPRODUCT(TRANSPOSE($AD529:$AJ529),OFFSET($L$10:$L$16,0,AA$335-1))</f>
        <v>0</v>
      </c>
      <c r="AB529" s="82" cm="1">
        <f ca="1" t="array" ref="AB529">SUMPRODUCT(TRANSPOSE($AD529:$AJ529),OFFSET($L$10:$L$16,0,AB$335-1))</f>
        <v>0</v>
      </c>
      <c r="AC529" s="82" cm="1">
        <f ca="1" t="array" ref="AC529">SUMPRODUCT(TRANSPOSE($AD529:$AJ529),OFFSET($L$10:$L$16,0,AC$335-1))</f>
        <v>0</v>
      </c>
      <c r="AD529" s="83">
        <f ca="1" t="shared" ref="AD529:AJ529" si="705">AK529-AK528</f>
        <v>0</v>
      </c>
      <c r="AE529" s="83">
        <f ca="1" t="shared" si="705"/>
        <v>0</v>
      </c>
      <c r="AF529" s="83">
        <f ca="1" t="shared" si="705"/>
        <v>0</v>
      </c>
      <c r="AG529" s="83">
        <f ca="1" t="shared" si="705"/>
        <v>0</v>
      </c>
      <c r="AH529" s="83">
        <f ca="1" t="shared" si="705"/>
        <v>0</v>
      </c>
      <c r="AI529" s="83">
        <f ca="1" t="shared" si="705"/>
        <v>0</v>
      </c>
      <c r="AJ529" s="83">
        <f ca="1" t="shared" si="705"/>
        <v>0</v>
      </c>
      <c r="AK529" s="83">
        <f ca="1" t="shared" si="581"/>
        <v>450</v>
      </c>
      <c r="AL529" s="83">
        <f ca="1" t="shared" ref="AL529:AQ529" si="706">IF($C529&gt;OFFSET($Q$9,MATCH(AL$338,$AK$338:$AQ$338,0),0),OFFSET($P$9,MATCH(AL$338,$AK$338:$AQ$338,0),0),MAX(0,$C529-OFFSET($Q$9,RIGHT(AL$338,1)-1,0)))</f>
        <v>909</v>
      </c>
      <c r="AM529" s="83">
        <f ca="1" t="shared" si="706"/>
        <v>1818</v>
      </c>
      <c r="AN529" s="83">
        <f ca="1" t="shared" si="706"/>
        <v>2727</v>
      </c>
      <c r="AO529" s="83">
        <f ca="1" t="shared" si="706"/>
        <v>3636</v>
      </c>
      <c r="AP529" s="83">
        <f ca="1" t="shared" si="706"/>
        <v>4545</v>
      </c>
      <c r="AQ529" s="83">
        <f ca="1" t="shared" si="706"/>
        <v>0</v>
      </c>
    </row>
    <row r="530" ht="16.5" spans="2:43">
      <c r="B530" s="65">
        <v>192</v>
      </c>
      <c r="C530" s="80">
        <f t="shared" si="579"/>
        <v>22446</v>
      </c>
      <c r="D530" s="81" cm="1">
        <f ca="1" t="array" ref="D530">IF(D832=1,OFFSET($Z$338,$B530,D$335-1)/SUMPRODUCT(--($D$335:$V$335=D$335),--($D832:$V832=1)),0)+SUM(D529)+IF(COUNTIF(D$641:D832,1)=1,5,0)+IF(COUNTIF(E530:$Z530,"&gt;"&amp;0)&gt;5,IF(MOD(COUNTIF(D$641:D832,1),7)=0,$C$4,0),0)</f>
        <v>1253.82134856666</v>
      </c>
      <c r="E530" s="81" cm="1">
        <f ca="1" t="array" ref="E530">IF(E832=1,OFFSET($Z$338,$B530,E$335-1)/SUMPRODUCT(--($D$335:$V$335=E$335),--($D832:$V832=1)),0)+SUM(E529)+IF(COUNTIF(E$641:E832,1)=1,5,0)+IF(COUNTIF(F530:$Z530,"&gt;"&amp;0)&gt;5,IF(MOD(COUNTIF(E$641:E832,1),7)=0,$C$4,0),0)</f>
        <v>1253.82134856666</v>
      </c>
      <c r="F530" s="81" cm="1">
        <f ca="1" t="array" ref="F530">IF(F832=1,OFFSET($Z$338,$B530,F$335-1)/SUMPRODUCT(--($D$335:$V$335=F$335),--($D832:$V832=1)),0)+SUM(F529)+IF(COUNTIF(F$641:F832,1)=1,5,0)+IF(COUNTIF(G530:$Z530,"&gt;"&amp;0)&gt;5,IF(MOD(COUNTIF(F$641:F832,1),7)=0,$C$4,0),0)</f>
        <v>1253.82134856666</v>
      </c>
      <c r="G530" s="81" cm="1">
        <f ca="1" t="array" ref="G530">IF(G832=1,OFFSET($Z$338,$B530,G$335-1)/SUMPRODUCT(--($D$335:$V$335=G$335),--($D832:$V832=1)),0)+SUM(G529)+IF(COUNTIF(G$641:G832,1)=1,5,0)+IF(COUNTIF(H530:$Z530,"&gt;"&amp;0)&gt;5,IF(MOD(COUNTIF(G$641:G832,1),7)=0,$C$4,0),0)</f>
        <v>542.516666666668</v>
      </c>
      <c r="H530" s="81" cm="1">
        <f ca="1" t="array" ref="H530">IF(H832=1,OFFSET($Z$338,$B530,H$335-1)/SUMPRODUCT(--($D$335:$V$335=H$335),--($D832:$V832=1)),0)+SUM(H529)+IF(COUNTIF(H$641:H832,1)=1,5,0)+IF(COUNTIF(I530:$Z530,"&gt;"&amp;0)&gt;5,IF(MOD(COUNTIF(H$641:H832,1),7)=0,$C$4,0),0)</f>
        <v>542.516666666668</v>
      </c>
      <c r="I530" s="81" cm="1">
        <f ca="1" t="array" ref="I530">IF(I832=1,OFFSET($Z$338,$B530,I$335-1)/SUMPRODUCT(--($D$335:$V$335=I$335),--($D832:$V832=1)),0)+SUM(I529)+IF(COUNTIF(I$641:I832,1)=1,5,0)+IF(COUNTIF(J530:$Z530,"&gt;"&amp;0)&gt;5,IF(MOD(COUNTIF(I$641:I832,1),7)=0,$C$4,0),0)</f>
        <v>542.516666666668</v>
      </c>
      <c r="J530" s="81" cm="1">
        <f ca="1" t="array" ref="J530">IF(J832=1,OFFSET($Z$338,$B530,J$335-1)/SUMPRODUCT(--($D$335:$V$335=J$335),--($D832:$V832=1)),0)+SUM(J529)+IF(COUNTIF(J$641:J832,1)=1,5,0)+IF(COUNTIF(K530:$Z530,"&gt;"&amp;0)&gt;5,IF(MOD(COUNTIF(J$641:J832,1),7)=0,$C$4,0),0)</f>
        <v>542.516666666668</v>
      </c>
      <c r="K530" s="81" cm="1">
        <f ca="1" t="array" ref="K530">IF(K832=1,OFFSET($Z$338,$B530,K$335-1)/SUMPRODUCT(--($D$335:$V$335=K$335),--($D832:$V832=1)),0)+SUM(K529)+IF(COUNTIF(K$641:K832,1)=1,5,0)+IF(COUNTIF(L530:$Z530,"&gt;"&amp;0)&gt;5,IF(MOD(COUNTIF(K$641:K832,1),7)=0,$C$4,0),0)</f>
        <v>542.516666666668</v>
      </c>
      <c r="L530" s="81" cm="1">
        <f ca="1" t="array" ref="L530">IF(L832=1,OFFSET($Z$338,$B530,L$335-1)/SUMPRODUCT(--($D$335:$V$335=L$335),--($D832:$V832=1)),0)+SUM(L529)+IF(COUNTIF(L$641:L832,1)=1,5,0)+IF(COUNTIF(M530:$Z530,"&gt;"&amp;0)&gt;5,IF(MOD(COUNTIF(L$641:L832,1),7)=0,$C$4,0),0)</f>
        <v>535.816666666668</v>
      </c>
      <c r="M530" s="81" cm="1">
        <f ca="1" t="array" ref="M530">IF(M832=1,OFFSET($Z$338,$B530,M$335-1)/SUMPRODUCT(--($D$335:$V$335=M$335),--($D832:$V832=1)),0)+SUM(M529)+IF(COUNTIF(M$641:M832,1)=1,5,0)+IF(COUNTIF(N530:$Z530,"&gt;"&amp;0)&gt;5,IF(MOD(COUNTIF(M$641:M832,1),7)=0,$C$4,0),0)</f>
        <v>290.644107142858</v>
      </c>
      <c r="N530" s="81" cm="1">
        <f ca="1" t="array" ref="N530">IF(N832=1,OFFSET($Z$338,$B530,N$335-1)/SUMPRODUCT(--($D$335:$V$335=N$335),--($D832:$V832=1)),0)+SUM(N529)+IF(COUNTIF(N$641:N832,1)=1,5,0)+IF(COUNTIF(O530:$Z530,"&gt;"&amp;0)&gt;5,IF(MOD(COUNTIF(N$641:N832,1),7)=0,$C$4,0),0)</f>
        <v>282.919107142858</v>
      </c>
      <c r="O530" s="81" cm="1">
        <f ca="1" t="array" ref="O530">IF(O832=1,OFFSET($Z$338,$B530,O$335-1)/SUMPRODUCT(--($D$335:$V$335=O$335),--($D832:$V832=1)),0)+SUM(O529)+IF(COUNTIF(O$641:O832,1)=1,5,0)+IF(COUNTIF(P530:$Z530,"&gt;"&amp;0)&gt;5,IF(MOD(COUNTIF(O$641:O832,1),7)=0,$C$4,0),0)</f>
        <v>280.494107142858</v>
      </c>
      <c r="P530" s="81" cm="1">
        <f ca="1" t="array" ref="P530">IF(P832=1,OFFSET($Z$338,$B530,P$335-1)/SUMPRODUCT(--($D$335:$V$335=P$335),--($D832:$V832=1)),0)+SUM(P529)+IF(COUNTIF(P$641:P832,1)=1,5,0)+IF(COUNTIF(Q530:$Z530,"&gt;"&amp;0)&gt;5,IF(MOD(COUNTIF(P$641:P832,1),7)=0,$C$4,0),0)</f>
        <v>272.560773809524</v>
      </c>
      <c r="Q530" s="81" cm="1">
        <f ca="1" t="array" ref="Q530">IF(Q832=1,OFFSET($Z$338,$B530,Q$335-1)/SUMPRODUCT(--($D$335:$V$335=Q$335),--($D832:$V832=1)),0)+SUM(Q529)+IF(COUNTIF(Q$641:Q832,1)=1,5,0)+IF(COUNTIF(R530:$Z530,"&gt;"&amp;0)&gt;5,IF(MOD(COUNTIF(Q$641:Q832,1),7)=0,$C$4,0),0)</f>
        <v>271.654523809524</v>
      </c>
      <c r="R530" s="81" cm="1">
        <f ca="1" t="array" ref="R530">IF(R832=1,OFFSET($Z$338,$B530,R$335-1)/SUMPRODUCT(--($D$335:$V$335=R$335),--($D832:$V832=1)),0)+SUM(R529)+IF(COUNTIF(R$641:R832,1)=1,5,0)+IF(COUNTIF(S530:$Z530,"&gt;"&amp;0)&gt;5,IF(MOD(COUNTIF(R$641:R832,1),7)=0,$C$4,0),0)</f>
        <v>246.759523809524</v>
      </c>
      <c r="S530" s="81" cm="1">
        <f ca="1" t="array" ref="S530">IF(S832=1,OFFSET($Z$338,$B530,S$335-1)/SUMPRODUCT(--($D$335:$V$335=S$335),--($D832:$V832=1)),0)+SUM(S529)+IF(COUNTIF(S$641:S832,1)=1,5,0)+IF(COUNTIF(T530:$Z530,"&gt;"&amp;0)&gt;5,IF(MOD(COUNTIF(S$641:S832,1),7)=0,$C$4,0),0)</f>
        <v>237.592857142857</v>
      </c>
      <c r="T530" s="81" cm="1">
        <f ca="1" t="array" ref="T530">IF(T832=1,OFFSET($Z$338,$B530,T$335-1)/SUMPRODUCT(--($D$335:$V$335=T$335),--($D832:$V832=1)),0)+SUM(T529)+IF(COUNTIF(T$641:T832,1)=1,5,0)+IF(COUNTIF(U530:$Z530,"&gt;"&amp;0)&gt;5,IF(MOD(COUNTIF(T$641:T832,1),7)=0,$C$4,0),0)</f>
        <v>137.656257829764</v>
      </c>
      <c r="U530" s="81" cm="1">
        <f ca="1" t="array" ref="U530">IF(U832=1,OFFSET($Z$338,$B530,U$335-1)/SUMPRODUCT(--($D$335:$V$335=U$335),--($D832:$V832=1)),0)+SUM(U529)+IF(COUNTIF(U$641:U832,1)=1,5,0)+IF(COUNTIF(V530:$Z530,"&gt;"&amp;0)&gt;5,IF(MOD(COUNTIF(U$641:U832,1),7)=0,$C$4,0),0)</f>
        <v>97.6562578297643</v>
      </c>
      <c r="V530" s="81" cm="1">
        <f ca="1" t="array" ref="V530">IF(V832=1,OFFSET($Z$338,$B530,V$335-1)/SUMPRODUCT(--($D$335:$V$335=V$335),--($D832:$V832=1)),0)+SUM(V529)+IF(COUNTIF(V$641:V832,1)=1,5,0)+IF(COUNTIF(Z530:$Z530,"&gt;"&amp;0)&gt;5,IF(MOD(COUNTIF(V$641:V832,1),7)=0,$C$4,0),0)</f>
        <v>89.6984386404824</v>
      </c>
      <c r="W530" s="81" cm="1">
        <f ca="1" t="array" ref="W530">IF(W832=1,OFFSET($Z$338,$B530,W$335-1)/SUMPRODUCT(--($D$335:$V$335=W$335),--($D832:$V832=1)),0)+SUM(W529)+IF(COUNTIF(W$641:W832,1)=1,5,0)+IF(COUNTIF($Z530:AA530,"&gt;"&amp;0)&gt;5,IF(MOD(COUNTIF(W$641:W832,1),7)=0,$C$4,0),0)</f>
        <v>80.3425695255331</v>
      </c>
      <c r="X530" s="81" cm="1">
        <f ca="1" t="array" ref="X530">IF(X832=1,OFFSET($Z$338,$B530,X$335-1)/SUMPRODUCT(--($D$335:$V$335=X$335),--($D832:$V832=1)),0)+SUM(X529)+IF(COUNTIF(X$641:X832,1)=1,5,0)+IF(COUNTIF($Z530:AB530,"&gt;"&amp;0)&gt;5,IF(MOD(COUNTIF(X$641:X832,1),7)=0,$C$4,0),0)</f>
        <v>73.5789092348996</v>
      </c>
      <c r="Y530" s="81" cm="1">
        <f ca="1" t="array" ref="Y530">IF(Y832=1,OFFSET($Z$338,$B530,Y$335-1)/SUMPRODUCT(--($D$335:$V$335=Y$335),--($D832:$V832=1)),0)+SUM(Y529)+IF(COUNTIF(Y$641:Y832,1)=1,5,0)+IF(COUNTIF($Z530:AC530,"&gt;"&amp;0)&gt;5,IF(MOD(COUNTIF(Y$641:Y832,1),7)=0,$C$4,0),0)</f>
        <v>66.8152489442662</v>
      </c>
      <c r="Z530" s="82" cm="1">
        <f ca="1" t="array" ref="Z530">SUMPRODUCT(TRANSPOSE($AD530:$AJ530),OFFSET($L$10:$L$16,0,Z$335-1))</f>
        <v>0</v>
      </c>
      <c r="AA530" s="82" cm="1">
        <f ca="1" t="array" ref="AA530">SUMPRODUCT(TRANSPOSE($AD530:$AJ530),OFFSET($L$10:$L$16,0,AA$335-1))</f>
        <v>0</v>
      </c>
      <c r="AB530" s="82" cm="1">
        <f ca="1" t="array" ref="AB530">SUMPRODUCT(TRANSPOSE($AD530:$AJ530),OFFSET($L$10:$L$16,0,AB$335-1))</f>
        <v>0</v>
      </c>
      <c r="AC530" s="82" cm="1">
        <f ca="1" t="array" ref="AC530">SUMPRODUCT(TRANSPOSE($AD530:$AJ530),OFFSET($L$10:$L$16,0,AC$335-1))</f>
        <v>0</v>
      </c>
      <c r="AD530" s="83">
        <f ca="1" t="shared" ref="AD530:AJ530" si="707">AK530-AK529</f>
        <v>0</v>
      </c>
      <c r="AE530" s="83">
        <f ca="1" t="shared" si="707"/>
        <v>0</v>
      </c>
      <c r="AF530" s="83">
        <f ca="1" t="shared" si="707"/>
        <v>0</v>
      </c>
      <c r="AG530" s="83">
        <f ca="1" t="shared" si="707"/>
        <v>0</v>
      </c>
      <c r="AH530" s="83">
        <f ca="1" t="shared" si="707"/>
        <v>0</v>
      </c>
      <c r="AI530" s="83">
        <f ca="1" t="shared" si="707"/>
        <v>0</v>
      </c>
      <c r="AJ530" s="83">
        <f ca="1" t="shared" si="707"/>
        <v>0</v>
      </c>
      <c r="AK530" s="83">
        <f ca="1" t="shared" si="581"/>
        <v>450</v>
      </c>
      <c r="AL530" s="83">
        <f ca="1" t="shared" ref="AL530:AQ530" si="708">IF($C530&gt;OFFSET($Q$9,MATCH(AL$338,$AK$338:$AQ$338,0),0),OFFSET($P$9,MATCH(AL$338,$AK$338:$AQ$338,0),0),MAX(0,$C530-OFFSET($Q$9,RIGHT(AL$338,1)-1,0)))</f>
        <v>909</v>
      </c>
      <c r="AM530" s="83">
        <f ca="1" t="shared" si="708"/>
        <v>1818</v>
      </c>
      <c r="AN530" s="83">
        <f ca="1" t="shared" si="708"/>
        <v>2727</v>
      </c>
      <c r="AO530" s="83">
        <f ca="1" t="shared" si="708"/>
        <v>3636</v>
      </c>
      <c r="AP530" s="83">
        <f ca="1" t="shared" si="708"/>
        <v>4545</v>
      </c>
      <c r="AQ530" s="83">
        <f ca="1" t="shared" si="708"/>
        <v>0</v>
      </c>
    </row>
    <row r="531" ht="16.5" spans="2:43">
      <c r="B531" s="65">
        <v>193</v>
      </c>
      <c r="C531" s="80">
        <f t="shared" ref="C531:C594" si="709">C226</f>
        <v>22556</v>
      </c>
      <c r="D531" s="81" cm="1">
        <f ca="1" t="array" ref="D531">IF(D833=1,OFFSET($Z$338,$B531,D$335-1)/SUMPRODUCT(--($D$335:$V$335=D$335),--($D833:$V833=1)),0)+SUM(D530)+IF(COUNTIF(D$641:D833,1)=1,5,0)+IF(COUNTIF(E531:$Z531,"&gt;"&amp;0)&gt;5,IF(MOD(COUNTIF(D$641:D833,1),7)=0,$C$4,0),0)</f>
        <v>1253.82134856666</v>
      </c>
      <c r="E531" s="81" cm="1">
        <f ca="1" t="array" ref="E531">IF(E833=1,OFFSET($Z$338,$B531,E$335-1)/SUMPRODUCT(--($D$335:$V$335=E$335),--($D833:$V833=1)),0)+SUM(E530)+IF(COUNTIF(E$641:E833,1)=1,5,0)+IF(COUNTIF(F531:$Z531,"&gt;"&amp;0)&gt;5,IF(MOD(COUNTIF(E$641:E833,1),7)=0,$C$4,0),0)</f>
        <v>1253.82134856666</v>
      </c>
      <c r="F531" s="81" cm="1">
        <f ca="1" t="array" ref="F531">IF(F833=1,OFFSET($Z$338,$B531,F$335-1)/SUMPRODUCT(--($D$335:$V$335=F$335),--($D833:$V833=1)),0)+SUM(F530)+IF(COUNTIF(F$641:F833,1)=1,5,0)+IF(COUNTIF(G531:$Z531,"&gt;"&amp;0)&gt;5,IF(MOD(COUNTIF(F$641:F833,1),7)=0,$C$4,0),0)</f>
        <v>1253.82134856666</v>
      </c>
      <c r="G531" s="81" cm="1">
        <f ca="1" t="array" ref="G531">IF(G833=1,OFFSET($Z$338,$B531,G$335-1)/SUMPRODUCT(--($D$335:$V$335=G$335),--($D833:$V833=1)),0)+SUM(G530)+IF(COUNTIF(G$641:G833,1)=1,5,0)+IF(COUNTIF(H531:$Z531,"&gt;"&amp;0)&gt;5,IF(MOD(COUNTIF(G$641:G833,1),7)=0,$C$4,0),0)</f>
        <v>542.516666666668</v>
      </c>
      <c r="H531" s="81" cm="1">
        <f ca="1" t="array" ref="H531">IF(H833=1,OFFSET($Z$338,$B531,H$335-1)/SUMPRODUCT(--($D$335:$V$335=H$335),--($D833:$V833=1)),0)+SUM(H530)+IF(COUNTIF(H$641:H833,1)=1,5,0)+IF(COUNTIF(I531:$Z531,"&gt;"&amp;0)&gt;5,IF(MOD(COUNTIF(H$641:H833,1),7)=0,$C$4,0),0)</f>
        <v>542.516666666668</v>
      </c>
      <c r="I531" s="81" cm="1">
        <f ca="1" t="array" ref="I531">IF(I833=1,OFFSET($Z$338,$B531,I$335-1)/SUMPRODUCT(--($D$335:$V$335=I$335),--($D833:$V833=1)),0)+SUM(I530)+IF(COUNTIF(I$641:I833,1)=1,5,0)+IF(COUNTIF(J531:$Z531,"&gt;"&amp;0)&gt;5,IF(MOD(COUNTIF(I$641:I833,1),7)=0,$C$4,0),0)</f>
        <v>542.516666666668</v>
      </c>
      <c r="J531" s="81" cm="1">
        <f ca="1" t="array" ref="J531">IF(J833=1,OFFSET($Z$338,$B531,J$335-1)/SUMPRODUCT(--($D$335:$V$335=J$335),--($D833:$V833=1)),0)+SUM(J530)+IF(COUNTIF(J$641:J833,1)=1,5,0)+IF(COUNTIF(K531:$Z531,"&gt;"&amp;0)&gt;5,IF(MOD(COUNTIF(J$641:J833,1),7)=0,$C$4,0),0)</f>
        <v>542.516666666668</v>
      </c>
      <c r="K531" s="81" cm="1">
        <f ca="1" t="array" ref="K531">IF(K833=1,OFFSET($Z$338,$B531,K$335-1)/SUMPRODUCT(--($D$335:$V$335=K$335),--($D833:$V833=1)),0)+SUM(K530)+IF(COUNTIF(K$641:K833,1)=1,5,0)+IF(COUNTIF(L531:$Z531,"&gt;"&amp;0)&gt;5,IF(MOD(COUNTIF(K$641:K833,1),7)=0,$C$4,0),0)</f>
        <v>542.516666666668</v>
      </c>
      <c r="L531" s="81" cm="1">
        <f ca="1" t="array" ref="L531">IF(L833=1,OFFSET($Z$338,$B531,L$335-1)/SUMPRODUCT(--($D$335:$V$335=L$335),--($D833:$V833=1)),0)+SUM(L530)+IF(COUNTIF(L$641:L833,1)=1,5,0)+IF(COUNTIF(M531:$Z531,"&gt;"&amp;0)&gt;5,IF(MOD(COUNTIF(L$641:L833,1),7)=0,$C$4,0),0)</f>
        <v>535.816666666668</v>
      </c>
      <c r="M531" s="81" cm="1">
        <f ca="1" t="array" ref="M531">IF(M833=1,OFFSET($Z$338,$B531,M$335-1)/SUMPRODUCT(--($D$335:$V$335=M$335),--($D833:$V833=1)),0)+SUM(M530)+IF(COUNTIF(M$641:M833,1)=1,5,0)+IF(COUNTIF(N531:$Z531,"&gt;"&amp;0)&gt;5,IF(MOD(COUNTIF(M$641:M833,1),7)=0,$C$4,0),0)</f>
        <v>290.644107142858</v>
      </c>
      <c r="N531" s="81" cm="1">
        <f ca="1" t="array" ref="N531">IF(N833=1,OFFSET($Z$338,$B531,N$335-1)/SUMPRODUCT(--($D$335:$V$335=N$335),--($D833:$V833=1)),0)+SUM(N530)+IF(COUNTIF(N$641:N833,1)=1,5,0)+IF(COUNTIF(O531:$Z531,"&gt;"&amp;0)&gt;5,IF(MOD(COUNTIF(N$641:N833,1),7)=0,$C$4,0),0)</f>
        <v>282.919107142858</v>
      </c>
      <c r="O531" s="81" cm="1">
        <f ca="1" t="array" ref="O531">IF(O833=1,OFFSET($Z$338,$B531,O$335-1)/SUMPRODUCT(--($D$335:$V$335=O$335),--($D833:$V833=1)),0)+SUM(O530)+IF(COUNTIF(O$641:O833,1)=1,5,0)+IF(COUNTIF(P531:$Z531,"&gt;"&amp;0)&gt;5,IF(MOD(COUNTIF(O$641:O833,1),7)=0,$C$4,0),0)</f>
        <v>280.494107142858</v>
      </c>
      <c r="P531" s="81" cm="1">
        <f ca="1" t="array" ref="P531">IF(P833=1,OFFSET($Z$338,$B531,P$335-1)/SUMPRODUCT(--($D$335:$V$335=P$335),--($D833:$V833=1)),0)+SUM(P530)+IF(COUNTIF(P$641:P833,1)=1,5,0)+IF(COUNTIF(Q531:$Z531,"&gt;"&amp;0)&gt;5,IF(MOD(COUNTIF(P$641:P833,1),7)=0,$C$4,0),0)</f>
        <v>272.560773809524</v>
      </c>
      <c r="Q531" s="81" cm="1">
        <f ca="1" t="array" ref="Q531">IF(Q833=1,OFFSET($Z$338,$B531,Q$335-1)/SUMPRODUCT(--($D$335:$V$335=Q$335),--($D833:$V833=1)),0)+SUM(Q530)+IF(COUNTIF(Q$641:Q833,1)=1,5,0)+IF(COUNTIF(R531:$Z531,"&gt;"&amp;0)&gt;5,IF(MOD(COUNTIF(Q$641:Q833,1),7)=0,$C$4,0),0)</f>
        <v>271.654523809524</v>
      </c>
      <c r="R531" s="81" cm="1">
        <f ca="1" t="array" ref="R531">IF(R833=1,OFFSET($Z$338,$B531,R$335-1)/SUMPRODUCT(--($D$335:$V$335=R$335),--($D833:$V833=1)),0)+SUM(R530)+IF(COUNTIF(R$641:R833,1)=1,5,0)+IF(COUNTIF(S531:$Z531,"&gt;"&amp;0)&gt;5,IF(MOD(COUNTIF(R$641:R833,1),7)=0,$C$4,0),0)</f>
        <v>246.759523809524</v>
      </c>
      <c r="S531" s="81" cm="1">
        <f ca="1" t="array" ref="S531">IF(S833=1,OFFSET($Z$338,$B531,S$335-1)/SUMPRODUCT(--($D$335:$V$335=S$335),--($D833:$V833=1)),0)+SUM(S530)+IF(COUNTIF(S$641:S833,1)=1,5,0)+IF(COUNTIF(T531:$Z531,"&gt;"&amp;0)&gt;5,IF(MOD(COUNTIF(S$641:S833,1),7)=0,$C$4,0),0)</f>
        <v>237.592857142857</v>
      </c>
      <c r="T531" s="81" cm="1">
        <f ca="1" t="array" ref="T531">IF(T833=1,OFFSET($Z$338,$B531,T$335-1)/SUMPRODUCT(--($D$335:$V$335=T$335),--($D833:$V833=1)),0)+SUM(T530)+IF(COUNTIF(T$641:T833,1)=1,5,0)+IF(COUNTIF(U531:$Z531,"&gt;"&amp;0)&gt;5,IF(MOD(COUNTIF(T$641:T833,1),7)=0,$C$4,0),0)</f>
        <v>137.656257829764</v>
      </c>
      <c r="U531" s="81" cm="1">
        <f ca="1" t="array" ref="U531">IF(U833=1,OFFSET($Z$338,$B531,U$335-1)/SUMPRODUCT(--($D$335:$V$335=U$335),--($D833:$V833=1)),0)+SUM(U530)+IF(COUNTIF(U$641:U833,1)=1,5,0)+IF(COUNTIF(V531:$Z531,"&gt;"&amp;0)&gt;5,IF(MOD(COUNTIF(U$641:U833,1),7)=0,$C$4,0),0)</f>
        <v>97.6562578297643</v>
      </c>
      <c r="V531" s="81" cm="1">
        <f ca="1" t="array" ref="V531">IF(V833=1,OFFSET($Z$338,$B531,V$335-1)/SUMPRODUCT(--($D$335:$V$335=V$335),--($D833:$V833=1)),0)+SUM(V530)+IF(COUNTIF(V$641:V833,1)=1,5,0)+IF(COUNTIF(Z531:$Z531,"&gt;"&amp;0)&gt;5,IF(MOD(COUNTIF(V$641:V833,1),7)=0,$C$4,0),0)</f>
        <v>89.6984386404824</v>
      </c>
      <c r="W531" s="81" cm="1">
        <f ca="1" t="array" ref="W531">IF(W833=1,OFFSET($Z$338,$B531,W$335-1)/SUMPRODUCT(--($D$335:$V$335=W$335),--($D833:$V833=1)),0)+SUM(W530)+IF(COUNTIF(W$641:W833,1)=1,5,0)+IF(COUNTIF($Z531:AA531,"&gt;"&amp;0)&gt;5,IF(MOD(COUNTIF(W$641:W833,1),7)=0,$C$4,0),0)</f>
        <v>80.3425695255331</v>
      </c>
      <c r="X531" s="81" cm="1">
        <f ca="1" t="array" ref="X531">IF(X833=1,OFFSET($Z$338,$B531,X$335-1)/SUMPRODUCT(--($D$335:$V$335=X$335),--($D833:$V833=1)),0)+SUM(X530)+IF(COUNTIF(X$641:X833,1)=1,5,0)+IF(COUNTIF($Z531:AB531,"&gt;"&amp;0)&gt;5,IF(MOD(COUNTIF(X$641:X833,1),7)=0,$C$4,0),0)</f>
        <v>73.5789092348996</v>
      </c>
      <c r="Y531" s="81" cm="1">
        <f ca="1" t="array" ref="Y531">IF(Y833=1,OFFSET($Z$338,$B531,Y$335-1)/SUMPRODUCT(--($D$335:$V$335=Y$335),--($D833:$V833=1)),0)+SUM(Y530)+IF(COUNTIF(Y$641:Y833,1)=1,5,0)+IF(COUNTIF($Z531:AC531,"&gt;"&amp;0)&gt;5,IF(MOD(COUNTIF(Y$641:Y833,1),7)=0,$C$4,0),0)</f>
        <v>66.8152489442662</v>
      </c>
      <c r="Z531" s="82" cm="1">
        <f ca="1" t="array" ref="Z531">SUMPRODUCT(TRANSPOSE($AD531:$AJ531),OFFSET($L$10:$L$16,0,Z$335-1))</f>
        <v>0</v>
      </c>
      <c r="AA531" s="82" cm="1">
        <f ca="1" t="array" ref="AA531">SUMPRODUCT(TRANSPOSE($AD531:$AJ531),OFFSET($L$10:$L$16,0,AA$335-1))</f>
        <v>0</v>
      </c>
      <c r="AB531" s="82" cm="1">
        <f ca="1" t="array" ref="AB531">SUMPRODUCT(TRANSPOSE($AD531:$AJ531),OFFSET($L$10:$L$16,0,AB$335-1))</f>
        <v>0</v>
      </c>
      <c r="AC531" s="82" cm="1">
        <f ca="1" t="array" ref="AC531">SUMPRODUCT(TRANSPOSE($AD531:$AJ531),OFFSET($L$10:$L$16,0,AC$335-1))</f>
        <v>0</v>
      </c>
      <c r="AD531" s="83">
        <f ca="1" t="shared" ref="AD531:AJ531" si="710">AK531-AK530</f>
        <v>0</v>
      </c>
      <c r="AE531" s="83">
        <f ca="1" t="shared" si="710"/>
        <v>0</v>
      </c>
      <c r="AF531" s="83">
        <f ca="1" t="shared" si="710"/>
        <v>0</v>
      </c>
      <c r="AG531" s="83">
        <f ca="1" t="shared" si="710"/>
        <v>0</v>
      </c>
      <c r="AH531" s="83">
        <f ca="1" t="shared" si="710"/>
        <v>0</v>
      </c>
      <c r="AI531" s="83">
        <f ca="1" t="shared" si="710"/>
        <v>0</v>
      </c>
      <c r="AJ531" s="83">
        <f ca="1" t="shared" si="710"/>
        <v>0</v>
      </c>
      <c r="AK531" s="83">
        <f ca="1" t="shared" ref="AK531:AK594" si="711">IF($C531&gt;OFFSET($Q$9,MATCH(AK$338,$AK$338:$AQ$338,0),0),OFFSET($P$9,MATCH(AK$338,$AK$338:$AQ$338,0),0),$C531)</f>
        <v>450</v>
      </c>
      <c r="AL531" s="83">
        <f ca="1" t="shared" ref="AL531:AQ531" si="712">IF($C531&gt;OFFSET($Q$9,MATCH(AL$338,$AK$338:$AQ$338,0),0),OFFSET($P$9,MATCH(AL$338,$AK$338:$AQ$338,0),0),MAX(0,$C531-OFFSET($Q$9,RIGHT(AL$338,1)-1,0)))</f>
        <v>909</v>
      </c>
      <c r="AM531" s="83">
        <f ca="1" t="shared" si="712"/>
        <v>1818</v>
      </c>
      <c r="AN531" s="83">
        <f ca="1" t="shared" si="712"/>
        <v>2727</v>
      </c>
      <c r="AO531" s="83">
        <f ca="1" t="shared" si="712"/>
        <v>3636</v>
      </c>
      <c r="AP531" s="83">
        <f ca="1" t="shared" si="712"/>
        <v>4545</v>
      </c>
      <c r="AQ531" s="83">
        <f ca="1" t="shared" si="712"/>
        <v>0</v>
      </c>
    </row>
    <row r="532" ht="16.5" spans="2:43">
      <c r="B532" s="65">
        <v>194</v>
      </c>
      <c r="C532" s="80">
        <f t="shared" si="709"/>
        <v>22666</v>
      </c>
      <c r="D532" s="81" cm="1">
        <f ca="1" t="array" ref="D532">IF(D834=1,OFFSET($Z$338,$B532,D$335-1)/SUMPRODUCT(--($D$335:$V$335=D$335),--($D834:$V834=1)),0)+SUM(D531)+IF(COUNTIF(D$641:D834,1)=1,5,0)+IF(COUNTIF(E532:$Z532,"&gt;"&amp;0)&gt;5,IF(MOD(COUNTIF(D$641:D834,1),7)=0,$C$4,0),0)</f>
        <v>1253.82134856666</v>
      </c>
      <c r="E532" s="81" cm="1">
        <f ca="1" t="array" ref="E532">IF(E834=1,OFFSET($Z$338,$B532,E$335-1)/SUMPRODUCT(--($D$335:$V$335=E$335),--($D834:$V834=1)),0)+SUM(E531)+IF(COUNTIF(E$641:E834,1)=1,5,0)+IF(COUNTIF(F532:$Z532,"&gt;"&amp;0)&gt;5,IF(MOD(COUNTIF(E$641:E834,1),7)=0,$C$4,0),0)</f>
        <v>1253.82134856666</v>
      </c>
      <c r="F532" s="81" cm="1">
        <f ca="1" t="array" ref="F532">IF(F834=1,OFFSET($Z$338,$B532,F$335-1)/SUMPRODUCT(--($D$335:$V$335=F$335),--($D834:$V834=1)),0)+SUM(F531)+IF(COUNTIF(F$641:F834,1)=1,5,0)+IF(COUNTIF(G532:$Z532,"&gt;"&amp;0)&gt;5,IF(MOD(COUNTIF(F$641:F834,1),7)=0,$C$4,0),0)</f>
        <v>1253.82134856666</v>
      </c>
      <c r="G532" s="81" cm="1">
        <f ca="1" t="array" ref="G532">IF(G834=1,OFFSET($Z$338,$B532,G$335-1)/SUMPRODUCT(--($D$335:$V$335=G$335),--($D834:$V834=1)),0)+SUM(G531)+IF(COUNTIF(G$641:G834,1)=1,5,0)+IF(COUNTIF(H532:$Z532,"&gt;"&amp;0)&gt;5,IF(MOD(COUNTIF(G$641:G834,1),7)=0,$C$4,0),0)</f>
        <v>542.516666666668</v>
      </c>
      <c r="H532" s="81" cm="1">
        <f ca="1" t="array" ref="H532">IF(H834=1,OFFSET($Z$338,$B532,H$335-1)/SUMPRODUCT(--($D$335:$V$335=H$335),--($D834:$V834=1)),0)+SUM(H531)+IF(COUNTIF(H$641:H834,1)=1,5,0)+IF(COUNTIF(I532:$Z532,"&gt;"&amp;0)&gt;5,IF(MOD(COUNTIF(H$641:H834,1),7)=0,$C$4,0),0)</f>
        <v>542.516666666668</v>
      </c>
      <c r="I532" s="81" cm="1">
        <f ca="1" t="array" ref="I532">IF(I834=1,OFFSET($Z$338,$B532,I$335-1)/SUMPRODUCT(--($D$335:$V$335=I$335),--($D834:$V834=1)),0)+SUM(I531)+IF(COUNTIF(I$641:I834,1)=1,5,0)+IF(COUNTIF(J532:$Z532,"&gt;"&amp;0)&gt;5,IF(MOD(COUNTIF(I$641:I834,1),7)=0,$C$4,0),0)</f>
        <v>542.516666666668</v>
      </c>
      <c r="J532" s="81" cm="1">
        <f ca="1" t="array" ref="J532">IF(J834=1,OFFSET($Z$338,$B532,J$335-1)/SUMPRODUCT(--($D$335:$V$335=J$335),--($D834:$V834=1)),0)+SUM(J531)+IF(COUNTIF(J$641:J834,1)=1,5,0)+IF(COUNTIF(K532:$Z532,"&gt;"&amp;0)&gt;5,IF(MOD(COUNTIF(J$641:J834,1),7)=0,$C$4,0),0)</f>
        <v>542.516666666668</v>
      </c>
      <c r="K532" s="81" cm="1">
        <f ca="1" t="array" ref="K532">IF(K834=1,OFFSET($Z$338,$B532,K$335-1)/SUMPRODUCT(--($D$335:$V$335=K$335),--($D834:$V834=1)),0)+SUM(K531)+IF(COUNTIF(K$641:K834,1)=1,5,0)+IF(COUNTIF(L532:$Z532,"&gt;"&amp;0)&gt;5,IF(MOD(COUNTIF(K$641:K834,1),7)=0,$C$4,0),0)</f>
        <v>542.516666666668</v>
      </c>
      <c r="L532" s="81" cm="1">
        <f ca="1" t="array" ref="L532">IF(L834=1,OFFSET($Z$338,$B532,L$335-1)/SUMPRODUCT(--($D$335:$V$335=L$335),--($D834:$V834=1)),0)+SUM(L531)+IF(COUNTIF(L$641:L834,1)=1,5,0)+IF(COUNTIF(M532:$Z532,"&gt;"&amp;0)&gt;5,IF(MOD(COUNTIF(L$641:L834,1),7)=0,$C$4,0),0)</f>
        <v>535.816666666668</v>
      </c>
      <c r="M532" s="81" cm="1">
        <f ca="1" t="array" ref="M532">IF(M834=1,OFFSET($Z$338,$B532,M$335-1)/SUMPRODUCT(--($D$335:$V$335=M$335),--($D834:$V834=1)),0)+SUM(M531)+IF(COUNTIF(M$641:M834,1)=1,5,0)+IF(COUNTIF(N532:$Z532,"&gt;"&amp;0)&gt;5,IF(MOD(COUNTIF(M$641:M834,1),7)=0,$C$4,0),0)</f>
        <v>290.644107142858</v>
      </c>
      <c r="N532" s="81" cm="1">
        <f ca="1" t="array" ref="N532">IF(N834=1,OFFSET($Z$338,$B532,N$335-1)/SUMPRODUCT(--($D$335:$V$335=N$335),--($D834:$V834=1)),0)+SUM(N531)+IF(COUNTIF(N$641:N834,1)=1,5,0)+IF(COUNTIF(O532:$Z532,"&gt;"&amp;0)&gt;5,IF(MOD(COUNTIF(N$641:N834,1),7)=0,$C$4,0),0)</f>
        <v>282.919107142858</v>
      </c>
      <c r="O532" s="81" cm="1">
        <f ca="1" t="array" ref="O532">IF(O834=1,OFFSET($Z$338,$B532,O$335-1)/SUMPRODUCT(--($D$335:$V$335=O$335),--($D834:$V834=1)),0)+SUM(O531)+IF(COUNTIF(O$641:O834,1)=1,5,0)+IF(COUNTIF(P532:$Z532,"&gt;"&amp;0)&gt;5,IF(MOD(COUNTIF(O$641:O834,1),7)=0,$C$4,0),0)</f>
        <v>280.494107142858</v>
      </c>
      <c r="P532" s="81" cm="1">
        <f ca="1" t="array" ref="P532">IF(P834=1,OFFSET($Z$338,$B532,P$335-1)/SUMPRODUCT(--($D$335:$V$335=P$335),--($D834:$V834=1)),0)+SUM(P531)+IF(COUNTIF(P$641:P834,1)=1,5,0)+IF(COUNTIF(Q532:$Z532,"&gt;"&amp;0)&gt;5,IF(MOD(COUNTIF(P$641:P834,1),7)=0,$C$4,0),0)</f>
        <v>277.560773809524</v>
      </c>
      <c r="Q532" s="81" cm="1">
        <f ca="1" t="array" ref="Q532">IF(Q834=1,OFFSET($Z$338,$B532,Q$335-1)/SUMPRODUCT(--($D$335:$V$335=Q$335),--($D834:$V834=1)),0)+SUM(Q531)+IF(COUNTIF(Q$641:Q834,1)=1,5,0)+IF(COUNTIF(R532:$Z532,"&gt;"&amp;0)&gt;5,IF(MOD(COUNTIF(Q$641:Q834,1),7)=0,$C$4,0),0)</f>
        <v>271.654523809524</v>
      </c>
      <c r="R532" s="81" cm="1">
        <f ca="1" t="array" ref="R532">IF(R834=1,OFFSET($Z$338,$B532,R$335-1)/SUMPRODUCT(--($D$335:$V$335=R$335),--($D834:$V834=1)),0)+SUM(R531)+IF(COUNTIF(R$641:R834,1)=1,5,0)+IF(COUNTIF(S532:$Z532,"&gt;"&amp;0)&gt;5,IF(MOD(COUNTIF(R$641:R834,1),7)=0,$C$4,0),0)</f>
        <v>246.759523809524</v>
      </c>
      <c r="S532" s="81" cm="1">
        <f ca="1" t="array" ref="S532">IF(S834=1,OFFSET($Z$338,$B532,S$335-1)/SUMPRODUCT(--($D$335:$V$335=S$335),--($D834:$V834=1)),0)+SUM(S531)+IF(COUNTIF(S$641:S834,1)=1,5,0)+IF(COUNTIF(T532:$Z532,"&gt;"&amp;0)&gt;5,IF(MOD(COUNTIF(S$641:S834,1),7)=0,$C$4,0),0)</f>
        <v>242.592857142857</v>
      </c>
      <c r="T532" s="81" cm="1">
        <f ca="1" t="array" ref="T532">IF(T834=1,OFFSET($Z$338,$B532,T$335-1)/SUMPRODUCT(--($D$335:$V$335=T$335),--($D834:$V834=1)),0)+SUM(T531)+IF(COUNTIF(T$641:T834,1)=1,5,0)+IF(COUNTIF(U532:$Z532,"&gt;"&amp;0)&gt;5,IF(MOD(COUNTIF(T$641:T834,1),7)=0,$C$4,0),0)</f>
        <v>137.656257829764</v>
      </c>
      <c r="U532" s="81" cm="1">
        <f ca="1" t="array" ref="U532">IF(U834=1,OFFSET($Z$338,$B532,U$335-1)/SUMPRODUCT(--($D$335:$V$335=U$335),--($D834:$V834=1)),0)+SUM(U531)+IF(COUNTIF(U$641:U834,1)=1,5,0)+IF(COUNTIF(V532:$Z532,"&gt;"&amp;0)&gt;5,IF(MOD(COUNTIF(U$641:U834,1),7)=0,$C$4,0),0)</f>
        <v>97.6562578297643</v>
      </c>
      <c r="V532" s="81" cm="1">
        <f ca="1" t="array" ref="V532">IF(V834=1,OFFSET($Z$338,$B532,V$335-1)/SUMPRODUCT(--($D$335:$V$335=V$335),--($D834:$V834=1)),0)+SUM(V531)+IF(COUNTIF(V$641:V834,1)=1,5,0)+IF(COUNTIF(Z532:$Z532,"&gt;"&amp;0)&gt;5,IF(MOD(COUNTIF(V$641:V834,1),7)=0,$C$4,0),0)</f>
        <v>89.6984386404824</v>
      </c>
      <c r="W532" s="81" cm="1">
        <f ca="1" t="array" ref="W532">IF(W834=1,OFFSET($Z$338,$B532,W$335-1)/SUMPRODUCT(--($D$335:$V$335=W$335),--($D834:$V834=1)),0)+SUM(W531)+IF(COUNTIF(W$641:W834,1)=1,5,0)+IF(COUNTIF($Z532:AA532,"&gt;"&amp;0)&gt;5,IF(MOD(COUNTIF(W$641:W834,1),7)=0,$C$4,0),0)</f>
        <v>80.3425695255331</v>
      </c>
      <c r="X532" s="81" cm="1">
        <f ca="1" t="array" ref="X532">IF(X834=1,OFFSET($Z$338,$B532,X$335-1)/SUMPRODUCT(--($D$335:$V$335=X$335),--($D834:$V834=1)),0)+SUM(X531)+IF(COUNTIF(X$641:X834,1)=1,5,0)+IF(COUNTIF($Z532:AB532,"&gt;"&amp;0)&gt;5,IF(MOD(COUNTIF(X$641:X834,1),7)=0,$C$4,0),0)</f>
        <v>73.5789092348996</v>
      </c>
      <c r="Y532" s="81" cm="1">
        <f ca="1" t="array" ref="Y532">IF(Y834=1,OFFSET($Z$338,$B532,Y$335-1)/SUMPRODUCT(--($D$335:$V$335=Y$335),--($D834:$V834=1)),0)+SUM(Y531)+IF(COUNTIF(Y$641:Y834,1)=1,5,0)+IF(COUNTIF($Z532:AC532,"&gt;"&amp;0)&gt;5,IF(MOD(COUNTIF(Y$641:Y834,1),7)=0,$C$4,0),0)</f>
        <v>66.8152489442662</v>
      </c>
      <c r="Z532" s="82" cm="1">
        <f ca="1" t="array" ref="Z532">SUMPRODUCT(TRANSPOSE($AD532:$AJ532),OFFSET($L$10:$L$16,0,Z$335-1))</f>
        <v>0</v>
      </c>
      <c r="AA532" s="82" cm="1">
        <f ca="1" t="array" ref="AA532">SUMPRODUCT(TRANSPOSE($AD532:$AJ532),OFFSET($L$10:$L$16,0,AA$335-1))</f>
        <v>0</v>
      </c>
      <c r="AB532" s="82" cm="1">
        <f ca="1" t="array" ref="AB532">SUMPRODUCT(TRANSPOSE($AD532:$AJ532),OFFSET($L$10:$L$16,0,AB$335-1))</f>
        <v>0</v>
      </c>
      <c r="AC532" s="82" cm="1">
        <f ca="1" t="array" ref="AC532">SUMPRODUCT(TRANSPOSE($AD532:$AJ532),OFFSET($L$10:$L$16,0,AC$335-1))</f>
        <v>0</v>
      </c>
      <c r="AD532" s="83">
        <f ca="1" t="shared" ref="AD532:AJ532" si="713">AK532-AK531</f>
        <v>0</v>
      </c>
      <c r="AE532" s="83">
        <f ca="1" t="shared" si="713"/>
        <v>0</v>
      </c>
      <c r="AF532" s="83">
        <f ca="1" t="shared" si="713"/>
        <v>0</v>
      </c>
      <c r="AG532" s="83">
        <f ca="1" t="shared" si="713"/>
        <v>0</v>
      </c>
      <c r="AH532" s="83">
        <f ca="1" t="shared" si="713"/>
        <v>0</v>
      </c>
      <c r="AI532" s="83">
        <f ca="1" t="shared" si="713"/>
        <v>0</v>
      </c>
      <c r="AJ532" s="83">
        <f ca="1" t="shared" si="713"/>
        <v>0</v>
      </c>
      <c r="AK532" s="83">
        <f ca="1" t="shared" si="711"/>
        <v>450</v>
      </c>
      <c r="AL532" s="83">
        <f ca="1" t="shared" ref="AL532:AQ532" si="714">IF($C532&gt;OFFSET($Q$9,MATCH(AL$338,$AK$338:$AQ$338,0),0),OFFSET($P$9,MATCH(AL$338,$AK$338:$AQ$338,0),0),MAX(0,$C532-OFFSET($Q$9,RIGHT(AL$338,1)-1,0)))</f>
        <v>909</v>
      </c>
      <c r="AM532" s="83">
        <f ca="1" t="shared" si="714"/>
        <v>1818</v>
      </c>
      <c r="AN532" s="83">
        <f ca="1" t="shared" si="714"/>
        <v>2727</v>
      </c>
      <c r="AO532" s="83">
        <f ca="1" t="shared" si="714"/>
        <v>3636</v>
      </c>
      <c r="AP532" s="83">
        <f ca="1" t="shared" si="714"/>
        <v>4545</v>
      </c>
      <c r="AQ532" s="83">
        <f ca="1" t="shared" si="714"/>
        <v>0</v>
      </c>
    </row>
    <row r="533" ht="16.5" spans="2:43">
      <c r="B533" s="65">
        <v>195</v>
      </c>
      <c r="C533" s="80">
        <f t="shared" si="709"/>
        <v>22776</v>
      </c>
      <c r="D533" s="81" cm="1">
        <f ca="1" t="array" ref="D533">IF(D835=1,OFFSET($Z$338,$B533,D$335-1)/SUMPRODUCT(--($D$335:$V$335=D$335),--($D835:$V835=1)),0)+SUM(D532)+IF(COUNTIF(D$641:D835,1)=1,5,0)+IF(COUNTIF(E533:$Z533,"&gt;"&amp;0)&gt;5,IF(MOD(COUNTIF(D$641:D835,1),7)=0,$C$4,0),0)</f>
        <v>1253.82134856666</v>
      </c>
      <c r="E533" s="81" cm="1">
        <f ca="1" t="array" ref="E533">IF(E835=1,OFFSET($Z$338,$B533,E$335-1)/SUMPRODUCT(--($D$335:$V$335=E$335),--($D835:$V835=1)),0)+SUM(E532)+IF(COUNTIF(E$641:E835,1)=1,5,0)+IF(COUNTIF(F533:$Z533,"&gt;"&amp;0)&gt;5,IF(MOD(COUNTIF(E$641:E835,1),7)=0,$C$4,0),0)</f>
        <v>1253.82134856666</v>
      </c>
      <c r="F533" s="81" cm="1">
        <f ca="1" t="array" ref="F533">IF(F835=1,OFFSET($Z$338,$B533,F$335-1)/SUMPRODUCT(--($D$335:$V$335=F$335),--($D835:$V835=1)),0)+SUM(F532)+IF(COUNTIF(F$641:F835,1)=1,5,0)+IF(COUNTIF(G533:$Z533,"&gt;"&amp;0)&gt;5,IF(MOD(COUNTIF(F$641:F835,1),7)=0,$C$4,0),0)</f>
        <v>1253.82134856666</v>
      </c>
      <c r="G533" s="81" cm="1">
        <f ca="1" t="array" ref="G533">IF(G835=1,OFFSET($Z$338,$B533,G$335-1)/SUMPRODUCT(--($D$335:$V$335=G$335),--($D835:$V835=1)),0)+SUM(G532)+IF(COUNTIF(G$641:G835,1)=1,5,0)+IF(COUNTIF(H533:$Z533,"&gt;"&amp;0)&gt;5,IF(MOD(COUNTIF(G$641:G835,1),7)=0,$C$4,0),0)</f>
        <v>542.516666666668</v>
      </c>
      <c r="H533" s="81" cm="1">
        <f ca="1" t="array" ref="H533">IF(H835=1,OFFSET($Z$338,$B533,H$335-1)/SUMPRODUCT(--($D$335:$V$335=H$335),--($D835:$V835=1)),0)+SUM(H532)+IF(COUNTIF(H$641:H835,1)=1,5,0)+IF(COUNTIF(I533:$Z533,"&gt;"&amp;0)&gt;5,IF(MOD(COUNTIF(H$641:H835,1),7)=0,$C$4,0),0)</f>
        <v>542.516666666668</v>
      </c>
      <c r="I533" s="81" cm="1">
        <f ca="1" t="array" ref="I533">IF(I835=1,OFFSET($Z$338,$B533,I$335-1)/SUMPRODUCT(--($D$335:$V$335=I$335),--($D835:$V835=1)),0)+SUM(I532)+IF(COUNTIF(I$641:I835,1)=1,5,0)+IF(COUNTIF(J533:$Z533,"&gt;"&amp;0)&gt;5,IF(MOD(COUNTIF(I$641:I835,1),7)=0,$C$4,0),0)</f>
        <v>542.516666666668</v>
      </c>
      <c r="J533" s="81" cm="1">
        <f ca="1" t="array" ref="J533">IF(J835=1,OFFSET($Z$338,$B533,J$335-1)/SUMPRODUCT(--($D$335:$V$335=J$335),--($D835:$V835=1)),0)+SUM(J532)+IF(COUNTIF(J$641:J835,1)=1,5,0)+IF(COUNTIF(K533:$Z533,"&gt;"&amp;0)&gt;5,IF(MOD(COUNTIF(J$641:J835,1),7)=0,$C$4,0),0)</f>
        <v>542.516666666668</v>
      </c>
      <c r="K533" s="81" cm="1">
        <f ca="1" t="array" ref="K533">IF(K835=1,OFFSET($Z$338,$B533,K$335-1)/SUMPRODUCT(--($D$335:$V$335=K$335),--($D835:$V835=1)),0)+SUM(K532)+IF(COUNTIF(K$641:K835,1)=1,5,0)+IF(COUNTIF(L533:$Z533,"&gt;"&amp;0)&gt;5,IF(MOD(COUNTIF(K$641:K835,1),7)=0,$C$4,0),0)</f>
        <v>542.516666666668</v>
      </c>
      <c r="L533" s="81" cm="1">
        <f ca="1" t="array" ref="L533">IF(L835=1,OFFSET($Z$338,$B533,L$335-1)/SUMPRODUCT(--($D$335:$V$335=L$335),--($D835:$V835=1)),0)+SUM(L532)+IF(COUNTIF(L$641:L835,1)=1,5,0)+IF(COUNTIF(M533:$Z533,"&gt;"&amp;0)&gt;5,IF(MOD(COUNTIF(L$641:L835,1),7)=0,$C$4,0),0)</f>
        <v>535.816666666668</v>
      </c>
      <c r="M533" s="81" cm="1">
        <f ca="1" t="array" ref="M533">IF(M835=1,OFFSET($Z$338,$B533,M$335-1)/SUMPRODUCT(--($D$335:$V$335=M$335),--($D835:$V835=1)),0)+SUM(M532)+IF(COUNTIF(M$641:M835,1)=1,5,0)+IF(COUNTIF(N533:$Z533,"&gt;"&amp;0)&gt;5,IF(MOD(COUNTIF(M$641:M835,1),7)=0,$C$4,0),0)</f>
        <v>290.644107142858</v>
      </c>
      <c r="N533" s="81" cm="1">
        <f ca="1" t="array" ref="N533">IF(N835=1,OFFSET($Z$338,$B533,N$335-1)/SUMPRODUCT(--($D$335:$V$335=N$335),--($D835:$V835=1)),0)+SUM(N532)+IF(COUNTIF(N$641:N835,1)=1,5,0)+IF(COUNTIF(O533:$Z533,"&gt;"&amp;0)&gt;5,IF(MOD(COUNTIF(N$641:N835,1),7)=0,$C$4,0),0)</f>
        <v>282.919107142858</v>
      </c>
      <c r="O533" s="81" cm="1">
        <f ca="1" t="array" ref="O533">IF(O835=1,OFFSET($Z$338,$B533,O$335-1)/SUMPRODUCT(--($D$335:$V$335=O$335),--($D835:$V835=1)),0)+SUM(O532)+IF(COUNTIF(O$641:O835,1)=1,5,0)+IF(COUNTIF(P533:$Z533,"&gt;"&amp;0)&gt;5,IF(MOD(COUNTIF(O$641:O835,1),7)=0,$C$4,0),0)</f>
        <v>280.494107142858</v>
      </c>
      <c r="P533" s="81" cm="1">
        <f ca="1" t="array" ref="P533">IF(P835=1,OFFSET($Z$338,$B533,P$335-1)/SUMPRODUCT(--($D$335:$V$335=P$335),--($D835:$V835=1)),0)+SUM(P532)+IF(COUNTIF(P$641:P835,1)=1,5,0)+IF(COUNTIF(Q533:$Z533,"&gt;"&amp;0)&gt;5,IF(MOD(COUNTIF(P$641:P835,1),7)=0,$C$4,0),0)</f>
        <v>277.560773809524</v>
      </c>
      <c r="Q533" s="81" cm="1">
        <f ca="1" t="array" ref="Q533">IF(Q835=1,OFFSET($Z$338,$B533,Q$335-1)/SUMPRODUCT(--($D$335:$V$335=Q$335),--($D835:$V835=1)),0)+SUM(Q532)+IF(COUNTIF(Q$641:Q835,1)=1,5,0)+IF(COUNTIF(R533:$Z533,"&gt;"&amp;0)&gt;5,IF(MOD(COUNTIF(Q$641:Q835,1),7)=0,$C$4,0),0)</f>
        <v>276.654523809524</v>
      </c>
      <c r="R533" s="81" cm="1">
        <f ca="1" t="array" ref="R533">IF(R835=1,OFFSET($Z$338,$B533,R$335-1)/SUMPRODUCT(--($D$335:$V$335=R$335),--($D835:$V835=1)),0)+SUM(R532)+IF(COUNTIF(R$641:R835,1)=1,5,0)+IF(COUNTIF(S533:$Z533,"&gt;"&amp;0)&gt;5,IF(MOD(COUNTIF(R$641:R835,1),7)=0,$C$4,0),0)</f>
        <v>246.759523809524</v>
      </c>
      <c r="S533" s="81" cm="1">
        <f ca="1" t="array" ref="S533">IF(S835=1,OFFSET($Z$338,$B533,S$335-1)/SUMPRODUCT(--($D$335:$V$335=S$335),--($D835:$V835=1)),0)+SUM(S532)+IF(COUNTIF(S$641:S835,1)=1,5,0)+IF(COUNTIF(T533:$Z533,"&gt;"&amp;0)&gt;5,IF(MOD(COUNTIF(S$641:S835,1),7)=0,$C$4,0),0)</f>
        <v>242.592857142857</v>
      </c>
      <c r="T533" s="81" cm="1">
        <f ca="1" t="array" ref="T533">IF(T835=1,OFFSET($Z$338,$B533,T$335-1)/SUMPRODUCT(--($D$335:$V$335=T$335),--($D835:$V835=1)),0)+SUM(T532)+IF(COUNTIF(T$641:T835,1)=1,5,0)+IF(COUNTIF(U533:$Z533,"&gt;"&amp;0)&gt;5,IF(MOD(COUNTIF(T$641:T835,1),7)=0,$C$4,0),0)</f>
        <v>137.656257829764</v>
      </c>
      <c r="U533" s="81" cm="1">
        <f ca="1" t="array" ref="U533">IF(U835=1,OFFSET($Z$338,$B533,U$335-1)/SUMPRODUCT(--($D$335:$V$335=U$335),--($D835:$V835=1)),0)+SUM(U532)+IF(COUNTIF(U$641:U835,1)=1,5,0)+IF(COUNTIF(V533:$Z533,"&gt;"&amp;0)&gt;5,IF(MOD(COUNTIF(U$641:U835,1),7)=0,$C$4,0),0)</f>
        <v>97.6562578297643</v>
      </c>
      <c r="V533" s="81" cm="1">
        <f ca="1" t="array" ref="V533">IF(V835=1,OFFSET($Z$338,$B533,V$335-1)/SUMPRODUCT(--($D$335:$V$335=V$335),--($D835:$V835=1)),0)+SUM(V532)+IF(COUNTIF(V$641:V835,1)=1,5,0)+IF(COUNTIF(Z533:$Z533,"&gt;"&amp;0)&gt;5,IF(MOD(COUNTIF(V$641:V835,1),7)=0,$C$4,0),0)</f>
        <v>89.6984386404824</v>
      </c>
      <c r="W533" s="81" cm="1">
        <f ca="1" t="array" ref="W533">IF(W835=1,OFFSET($Z$338,$B533,W$335-1)/SUMPRODUCT(--($D$335:$V$335=W$335),--($D835:$V835=1)),0)+SUM(W532)+IF(COUNTIF(W$641:W835,1)=1,5,0)+IF(COUNTIF($Z533:AA533,"&gt;"&amp;0)&gt;5,IF(MOD(COUNTIF(W$641:W835,1),7)=0,$C$4,0),0)</f>
        <v>80.3425695255331</v>
      </c>
      <c r="X533" s="81" cm="1">
        <f ca="1" t="array" ref="X533">IF(X835=1,OFFSET($Z$338,$B533,X$335-1)/SUMPRODUCT(--($D$335:$V$335=X$335),--($D835:$V835=1)),0)+SUM(X532)+IF(COUNTIF(X$641:X835,1)=1,5,0)+IF(COUNTIF($Z533:AB533,"&gt;"&amp;0)&gt;5,IF(MOD(COUNTIF(X$641:X835,1),7)=0,$C$4,0),0)</f>
        <v>73.5789092348996</v>
      </c>
      <c r="Y533" s="81" cm="1">
        <f ca="1" t="array" ref="Y533">IF(Y835=1,OFFSET($Z$338,$B533,Y$335-1)/SUMPRODUCT(--($D$335:$V$335=Y$335),--($D835:$V835=1)),0)+SUM(Y532)+IF(COUNTIF(Y$641:Y835,1)=1,5,0)+IF(COUNTIF($Z533:AC533,"&gt;"&amp;0)&gt;5,IF(MOD(COUNTIF(Y$641:Y835,1),7)=0,$C$4,0),0)</f>
        <v>66.8152489442662</v>
      </c>
      <c r="Z533" s="82" cm="1">
        <f ca="1" t="array" ref="Z533">SUMPRODUCT(TRANSPOSE($AD533:$AJ533),OFFSET($L$10:$L$16,0,Z$335-1))</f>
        <v>0</v>
      </c>
      <c r="AA533" s="82" cm="1">
        <f ca="1" t="array" ref="AA533">SUMPRODUCT(TRANSPOSE($AD533:$AJ533),OFFSET($L$10:$L$16,0,AA$335-1))</f>
        <v>0</v>
      </c>
      <c r="AB533" s="82" cm="1">
        <f ca="1" t="array" ref="AB533">SUMPRODUCT(TRANSPOSE($AD533:$AJ533),OFFSET($L$10:$L$16,0,AB$335-1))</f>
        <v>0</v>
      </c>
      <c r="AC533" s="82" cm="1">
        <f ca="1" t="array" ref="AC533">SUMPRODUCT(TRANSPOSE($AD533:$AJ533),OFFSET($L$10:$L$16,0,AC$335-1))</f>
        <v>0</v>
      </c>
      <c r="AD533" s="83">
        <f ca="1" t="shared" ref="AD533:AJ533" si="715">AK533-AK532</f>
        <v>0</v>
      </c>
      <c r="AE533" s="83">
        <f ca="1" t="shared" si="715"/>
        <v>0</v>
      </c>
      <c r="AF533" s="83">
        <f ca="1" t="shared" si="715"/>
        <v>0</v>
      </c>
      <c r="AG533" s="83">
        <f ca="1" t="shared" si="715"/>
        <v>0</v>
      </c>
      <c r="AH533" s="83">
        <f ca="1" t="shared" si="715"/>
        <v>0</v>
      </c>
      <c r="AI533" s="83">
        <f ca="1" t="shared" si="715"/>
        <v>0</v>
      </c>
      <c r="AJ533" s="83">
        <f ca="1" t="shared" si="715"/>
        <v>0</v>
      </c>
      <c r="AK533" s="83">
        <f ca="1" t="shared" si="711"/>
        <v>450</v>
      </c>
      <c r="AL533" s="83">
        <f ca="1" t="shared" ref="AL533:AQ533" si="716">IF($C533&gt;OFFSET($Q$9,MATCH(AL$338,$AK$338:$AQ$338,0),0),OFFSET($P$9,MATCH(AL$338,$AK$338:$AQ$338,0),0),MAX(0,$C533-OFFSET($Q$9,RIGHT(AL$338,1)-1,0)))</f>
        <v>909</v>
      </c>
      <c r="AM533" s="83">
        <f ca="1" t="shared" si="716"/>
        <v>1818</v>
      </c>
      <c r="AN533" s="83">
        <f ca="1" t="shared" si="716"/>
        <v>2727</v>
      </c>
      <c r="AO533" s="83">
        <f ca="1" t="shared" si="716"/>
        <v>3636</v>
      </c>
      <c r="AP533" s="83">
        <f ca="1" t="shared" si="716"/>
        <v>4545</v>
      </c>
      <c r="AQ533" s="83">
        <f ca="1" t="shared" si="716"/>
        <v>0</v>
      </c>
    </row>
    <row r="534" ht="16.5" spans="2:43">
      <c r="B534" s="65">
        <v>196</v>
      </c>
      <c r="C534" s="80">
        <f t="shared" si="709"/>
        <v>22886</v>
      </c>
      <c r="D534" s="81" cm="1">
        <f ca="1" t="array" ref="D534">IF(D836=1,OFFSET($Z$338,$B534,D$335-1)/SUMPRODUCT(--($D$335:$V$335=D$335),--($D836:$V836=1)),0)+SUM(D533)+IF(COUNTIF(D$641:D836,1)=1,5,0)+IF(COUNTIF(E534:$Z534,"&gt;"&amp;0)&gt;5,IF(MOD(COUNTIF(D$641:D836,1),7)=0,$C$4,0),0)</f>
        <v>1258.82134856666</v>
      </c>
      <c r="E534" s="81" cm="1">
        <f ca="1" t="array" ref="E534">IF(E836=1,OFFSET($Z$338,$B534,E$335-1)/SUMPRODUCT(--($D$335:$V$335=E$335),--($D836:$V836=1)),0)+SUM(E533)+IF(COUNTIF(E$641:E836,1)=1,5,0)+IF(COUNTIF(F534:$Z534,"&gt;"&amp;0)&gt;5,IF(MOD(COUNTIF(E$641:E836,1),7)=0,$C$4,0),0)</f>
        <v>1258.82134856666</v>
      </c>
      <c r="F534" s="81" cm="1">
        <f ca="1" t="array" ref="F534">IF(F836=1,OFFSET($Z$338,$B534,F$335-1)/SUMPRODUCT(--($D$335:$V$335=F$335),--($D836:$V836=1)),0)+SUM(F533)+IF(COUNTIF(F$641:F836,1)=1,5,0)+IF(COUNTIF(G534:$Z534,"&gt;"&amp;0)&gt;5,IF(MOD(COUNTIF(F$641:F836,1),7)=0,$C$4,0),0)</f>
        <v>1258.82134856666</v>
      </c>
      <c r="G534" s="81" cm="1">
        <f ca="1" t="array" ref="G534">IF(G836=1,OFFSET($Z$338,$B534,G$335-1)/SUMPRODUCT(--($D$335:$V$335=G$335),--($D836:$V836=1)),0)+SUM(G533)+IF(COUNTIF(G$641:G836,1)=1,5,0)+IF(COUNTIF(H534:$Z534,"&gt;"&amp;0)&gt;5,IF(MOD(COUNTIF(G$641:G836,1),7)=0,$C$4,0),0)</f>
        <v>547.516666666668</v>
      </c>
      <c r="H534" s="81" cm="1">
        <f ca="1" t="array" ref="H534">IF(H836=1,OFFSET($Z$338,$B534,H$335-1)/SUMPRODUCT(--($D$335:$V$335=H$335),--($D836:$V836=1)),0)+SUM(H533)+IF(COUNTIF(H$641:H836,1)=1,5,0)+IF(COUNTIF(I534:$Z534,"&gt;"&amp;0)&gt;5,IF(MOD(COUNTIF(H$641:H836,1),7)=0,$C$4,0),0)</f>
        <v>547.516666666668</v>
      </c>
      <c r="I534" s="81" cm="1">
        <f ca="1" t="array" ref="I534">IF(I836=1,OFFSET($Z$338,$B534,I$335-1)/SUMPRODUCT(--($D$335:$V$335=I$335),--($D836:$V836=1)),0)+SUM(I533)+IF(COUNTIF(I$641:I836,1)=1,5,0)+IF(COUNTIF(J534:$Z534,"&gt;"&amp;0)&gt;5,IF(MOD(COUNTIF(I$641:I836,1),7)=0,$C$4,0),0)</f>
        <v>547.516666666668</v>
      </c>
      <c r="J534" s="81" cm="1">
        <f ca="1" t="array" ref="J534">IF(J836=1,OFFSET($Z$338,$B534,J$335-1)/SUMPRODUCT(--($D$335:$V$335=J$335),--($D836:$V836=1)),0)+SUM(J533)+IF(COUNTIF(J$641:J836,1)=1,5,0)+IF(COUNTIF(K534:$Z534,"&gt;"&amp;0)&gt;5,IF(MOD(COUNTIF(J$641:J836,1),7)=0,$C$4,0),0)</f>
        <v>547.516666666668</v>
      </c>
      <c r="K534" s="81" cm="1">
        <f ca="1" t="array" ref="K534">IF(K836=1,OFFSET($Z$338,$B534,K$335-1)/SUMPRODUCT(--($D$335:$V$335=K$335),--($D836:$V836=1)),0)+SUM(K533)+IF(COUNTIF(K$641:K836,1)=1,5,0)+IF(COUNTIF(L534:$Z534,"&gt;"&amp;0)&gt;5,IF(MOD(COUNTIF(K$641:K836,1),7)=0,$C$4,0),0)</f>
        <v>547.516666666668</v>
      </c>
      <c r="L534" s="81" cm="1">
        <f ca="1" t="array" ref="L534">IF(L836=1,OFFSET($Z$338,$B534,L$335-1)/SUMPRODUCT(--($D$335:$V$335=L$335),--($D836:$V836=1)),0)+SUM(L533)+IF(COUNTIF(L$641:L836,1)=1,5,0)+IF(COUNTIF(M534:$Z534,"&gt;"&amp;0)&gt;5,IF(MOD(COUNTIF(L$641:L836,1),7)=0,$C$4,0),0)</f>
        <v>535.816666666668</v>
      </c>
      <c r="M534" s="81" cm="1">
        <f ca="1" t="array" ref="M534">IF(M836=1,OFFSET($Z$338,$B534,M$335-1)/SUMPRODUCT(--($D$335:$V$335=M$335),--($D836:$V836=1)),0)+SUM(M533)+IF(COUNTIF(M$641:M836,1)=1,5,0)+IF(COUNTIF(N534:$Z534,"&gt;"&amp;0)&gt;5,IF(MOD(COUNTIF(M$641:M836,1),7)=0,$C$4,0),0)</f>
        <v>290.644107142858</v>
      </c>
      <c r="N534" s="81" cm="1">
        <f ca="1" t="array" ref="N534">IF(N836=1,OFFSET($Z$338,$B534,N$335-1)/SUMPRODUCT(--($D$335:$V$335=N$335),--($D836:$V836=1)),0)+SUM(N533)+IF(COUNTIF(N$641:N836,1)=1,5,0)+IF(COUNTIF(O534:$Z534,"&gt;"&amp;0)&gt;5,IF(MOD(COUNTIF(N$641:N836,1),7)=0,$C$4,0),0)</f>
        <v>282.919107142858</v>
      </c>
      <c r="O534" s="81" cm="1">
        <f ca="1" t="array" ref="O534">IF(O836=1,OFFSET($Z$338,$B534,O$335-1)/SUMPRODUCT(--($D$335:$V$335=O$335),--($D836:$V836=1)),0)+SUM(O533)+IF(COUNTIF(O$641:O836,1)=1,5,0)+IF(COUNTIF(P534:$Z534,"&gt;"&amp;0)&gt;5,IF(MOD(COUNTIF(O$641:O836,1),7)=0,$C$4,0),0)</f>
        <v>280.494107142858</v>
      </c>
      <c r="P534" s="81" cm="1">
        <f ca="1" t="array" ref="P534">IF(P836=1,OFFSET($Z$338,$B534,P$335-1)/SUMPRODUCT(--($D$335:$V$335=P$335),--($D836:$V836=1)),0)+SUM(P533)+IF(COUNTIF(P$641:P836,1)=1,5,0)+IF(COUNTIF(Q534:$Z534,"&gt;"&amp;0)&gt;5,IF(MOD(COUNTIF(P$641:P836,1),7)=0,$C$4,0),0)</f>
        <v>277.560773809524</v>
      </c>
      <c r="Q534" s="81" cm="1">
        <f ca="1" t="array" ref="Q534">IF(Q836=1,OFFSET($Z$338,$B534,Q$335-1)/SUMPRODUCT(--($D$335:$V$335=Q$335),--($D836:$V836=1)),0)+SUM(Q533)+IF(COUNTIF(Q$641:Q836,1)=1,5,0)+IF(COUNTIF(R534:$Z534,"&gt;"&amp;0)&gt;5,IF(MOD(COUNTIF(Q$641:Q836,1),7)=0,$C$4,0),0)</f>
        <v>276.654523809524</v>
      </c>
      <c r="R534" s="81" cm="1">
        <f ca="1" t="array" ref="R534">IF(R836=1,OFFSET($Z$338,$B534,R$335-1)/SUMPRODUCT(--($D$335:$V$335=R$335),--($D836:$V836=1)),0)+SUM(R533)+IF(COUNTIF(R$641:R836,1)=1,5,0)+IF(COUNTIF(S534:$Z534,"&gt;"&amp;0)&gt;5,IF(MOD(COUNTIF(R$641:R836,1),7)=0,$C$4,0),0)</f>
        <v>251.759523809524</v>
      </c>
      <c r="S534" s="81" cm="1">
        <f ca="1" t="array" ref="S534">IF(S836=1,OFFSET($Z$338,$B534,S$335-1)/SUMPRODUCT(--($D$335:$V$335=S$335),--($D836:$V836=1)),0)+SUM(S533)+IF(COUNTIF(S$641:S836,1)=1,5,0)+IF(COUNTIF(T534:$Z534,"&gt;"&amp;0)&gt;5,IF(MOD(COUNTIF(S$641:S836,1),7)=0,$C$4,0),0)</f>
        <v>242.592857142857</v>
      </c>
      <c r="T534" s="81" cm="1">
        <f ca="1" t="array" ref="T534">IF(T836=1,OFFSET($Z$338,$B534,T$335-1)/SUMPRODUCT(--($D$335:$V$335=T$335),--($D836:$V836=1)),0)+SUM(T533)+IF(COUNTIF(T$641:T836,1)=1,5,0)+IF(COUNTIF(U534:$Z534,"&gt;"&amp;0)&gt;5,IF(MOD(COUNTIF(T$641:T836,1),7)=0,$C$4,0),0)</f>
        <v>137.656257829764</v>
      </c>
      <c r="U534" s="81" cm="1">
        <f ca="1" t="array" ref="U534">IF(U836=1,OFFSET($Z$338,$B534,U$335-1)/SUMPRODUCT(--($D$335:$V$335=U$335),--($D836:$V836=1)),0)+SUM(U533)+IF(COUNTIF(U$641:U836,1)=1,5,0)+IF(COUNTIF(V534:$Z534,"&gt;"&amp;0)&gt;5,IF(MOD(COUNTIF(U$641:U836,1),7)=0,$C$4,0),0)</f>
        <v>97.6562578297643</v>
      </c>
      <c r="V534" s="81" cm="1">
        <f ca="1" t="array" ref="V534">IF(V836=1,OFFSET($Z$338,$B534,V$335-1)/SUMPRODUCT(--($D$335:$V$335=V$335),--($D836:$V836=1)),0)+SUM(V533)+IF(COUNTIF(V$641:V836,1)=1,5,0)+IF(COUNTIF(Z534:$Z534,"&gt;"&amp;0)&gt;5,IF(MOD(COUNTIF(V$641:V836,1),7)=0,$C$4,0),0)</f>
        <v>89.6984386404824</v>
      </c>
      <c r="W534" s="81" cm="1">
        <f ca="1" t="array" ref="W534">IF(W836=1,OFFSET($Z$338,$B534,W$335-1)/SUMPRODUCT(--($D$335:$V$335=W$335),--($D836:$V836=1)),0)+SUM(W533)+IF(COUNTIF(W$641:W836,1)=1,5,0)+IF(COUNTIF($Z534:AA534,"&gt;"&amp;0)&gt;5,IF(MOD(COUNTIF(W$641:W836,1),7)=0,$C$4,0),0)</f>
        <v>80.3425695255331</v>
      </c>
      <c r="X534" s="81" cm="1">
        <f ca="1" t="array" ref="X534">IF(X836=1,OFFSET($Z$338,$B534,X$335-1)/SUMPRODUCT(--($D$335:$V$335=X$335),--($D836:$V836=1)),0)+SUM(X533)+IF(COUNTIF(X$641:X836,1)=1,5,0)+IF(COUNTIF($Z534:AB534,"&gt;"&amp;0)&gt;5,IF(MOD(COUNTIF(X$641:X836,1),7)=0,$C$4,0),0)</f>
        <v>73.5789092348996</v>
      </c>
      <c r="Y534" s="81" cm="1">
        <f ca="1" t="array" ref="Y534">IF(Y836=1,OFFSET($Z$338,$B534,Y$335-1)/SUMPRODUCT(--($D$335:$V$335=Y$335),--($D836:$V836=1)),0)+SUM(Y533)+IF(COUNTIF(Y$641:Y836,1)=1,5,0)+IF(COUNTIF($Z534:AC534,"&gt;"&amp;0)&gt;5,IF(MOD(COUNTIF(Y$641:Y836,1),7)=0,$C$4,0),0)</f>
        <v>66.8152489442662</v>
      </c>
      <c r="Z534" s="82" cm="1">
        <f ca="1" t="array" ref="Z534">SUMPRODUCT(TRANSPOSE($AD534:$AJ534),OFFSET($L$10:$L$16,0,Z$335-1))</f>
        <v>0</v>
      </c>
      <c r="AA534" s="82" cm="1">
        <f ca="1" t="array" ref="AA534">SUMPRODUCT(TRANSPOSE($AD534:$AJ534),OFFSET($L$10:$L$16,0,AA$335-1))</f>
        <v>0</v>
      </c>
      <c r="AB534" s="82" cm="1">
        <f ca="1" t="array" ref="AB534">SUMPRODUCT(TRANSPOSE($AD534:$AJ534),OFFSET($L$10:$L$16,0,AB$335-1))</f>
        <v>0</v>
      </c>
      <c r="AC534" s="82" cm="1">
        <f ca="1" t="array" ref="AC534">SUMPRODUCT(TRANSPOSE($AD534:$AJ534),OFFSET($L$10:$L$16,0,AC$335-1))</f>
        <v>0</v>
      </c>
      <c r="AD534" s="83">
        <f ca="1" t="shared" ref="AD534:AJ534" si="717">AK534-AK533</f>
        <v>0</v>
      </c>
      <c r="AE534" s="83">
        <f ca="1" t="shared" si="717"/>
        <v>0</v>
      </c>
      <c r="AF534" s="83">
        <f ca="1" t="shared" si="717"/>
        <v>0</v>
      </c>
      <c r="AG534" s="83">
        <f ca="1" t="shared" si="717"/>
        <v>0</v>
      </c>
      <c r="AH534" s="83">
        <f ca="1" t="shared" si="717"/>
        <v>0</v>
      </c>
      <c r="AI534" s="83">
        <f ca="1" t="shared" si="717"/>
        <v>0</v>
      </c>
      <c r="AJ534" s="83">
        <f ca="1" t="shared" si="717"/>
        <v>0</v>
      </c>
      <c r="AK534" s="83">
        <f ca="1" t="shared" si="711"/>
        <v>450</v>
      </c>
      <c r="AL534" s="83">
        <f ca="1" t="shared" ref="AL534:AQ534" si="718">IF($C534&gt;OFFSET($Q$9,MATCH(AL$338,$AK$338:$AQ$338,0),0),OFFSET($P$9,MATCH(AL$338,$AK$338:$AQ$338,0),0),MAX(0,$C534-OFFSET($Q$9,RIGHT(AL$338,1)-1,0)))</f>
        <v>909</v>
      </c>
      <c r="AM534" s="83">
        <f ca="1" t="shared" si="718"/>
        <v>1818</v>
      </c>
      <c r="AN534" s="83">
        <f ca="1" t="shared" si="718"/>
        <v>2727</v>
      </c>
      <c r="AO534" s="83">
        <f ca="1" t="shared" si="718"/>
        <v>3636</v>
      </c>
      <c r="AP534" s="83">
        <f ca="1" t="shared" si="718"/>
        <v>4545</v>
      </c>
      <c r="AQ534" s="83">
        <f ca="1" t="shared" si="718"/>
        <v>0</v>
      </c>
    </row>
    <row r="535" ht="16.5" spans="2:43">
      <c r="B535" s="65">
        <v>197</v>
      </c>
      <c r="C535" s="80">
        <f t="shared" si="709"/>
        <v>22996</v>
      </c>
      <c r="D535" s="81" cm="1">
        <f ca="1" t="array" ref="D535">IF(D837=1,OFFSET($Z$338,$B535,D$335-1)/SUMPRODUCT(--($D$335:$V$335=D$335),--($D837:$V837=1)),0)+SUM(D534)+IF(COUNTIF(D$641:D837,1)=1,5,0)+IF(COUNTIF(E535:$Z535,"&gt;"&amp;0)&gt;5,IF(MOD(COUNTIF(D$641:D837,1),7)=0,$C$4,0),0)</f>
        <v>1258.82134856666</v>
      </c>
      <c r="E535" s="81" cm="1">
        <f ca="1" t="array" ref="E535">IF(E837=1,OFFSET($Z$338,$B535,E$335-1)/SUMPRODUCT(--($D$335:$V$335=E$335),--($D837:$V837=1)),0)+SUM(E534)+IF(COUNTIF(E$641:E837,1)=1,5,0)+IF(COUNTIF(F535:$Z535,"&gt;"&amp;0)&gt;5,IF(MOD(COUNTIF(E$641:E837,1),7)=0,$C$4,0),0)</f>
        <v>1258.82134856666</v>
      </c>
      <c r="F535" s="81" cm="1">
        <f ca="1" t="array" ref="F535">IF(F837=1,OFFSET($Z$338,$B535,F$335-1)/SUMPRODUCT(--($D$335:$V$335=F$335),--($D837:$V837=1)),0)+SUM(F534)+IF(COUNTIF(F$641:F837,1)=1,5,0)+IF(COUNTIF(G535:$Z535,"&gt;"&amp;0)&gt;5,IF(MOD(COUNTIF(F$641:F837,1),7)=0,$C$4,0),0)</f>
        <v>1258.82134856666</v>
      </c>
      <c r="G535" s="81" cm="1">
        <f ca="1" t="array" ref="G535">IF(G837=1,OFFSET($Z$338,$B535,G$335-1)/SUMPRODUCT(--($D$335:$V$335=G$335),--($D837:$V837=1)),0)+SUM(G534)+IF(COUNTIF(G$641:G837,1)=1,5,0)+IF(COUNTIF(H535:$Z535,"&gt;"&amp;0)&gt;5,IF(MOD(COUNTIF(G$641:G837,1),7)=0,$C$4,0),0)</f>
        <v>547.516666666668</v>
      </c>
      <c r="H535" s="81" cm="1">
        <f ca="1" t="array" ref="H535">IF(H837=1,OFFSET($Z$338,$B535,H$335-1)/SUMPRODUCT(--($D$335:$V$335=H$335),--($D837:$V837=1)),0)+SUM(H534)+IF(COUNTIF(H$641:H837,1)=1,5,0)+IF(COUNTIF(I535:$Z535,"&gt;"&amp;0)&gt;5,IF(MOD(COUNTIF(H$641:H837,1),7)=0,$C$4,0),0)</f>
        <v>547.516666666668</v>
      </c>
      <c r="I535" s="81" cm="1">
        <f ca="1" t="array" ref="I535">IF(I837=1,OFFSET($Z$338,$B535,I$335-1)/SUMPRODUCT(--($D$335:$V$335=I$335),--($D837:$V837=1)),0)+SUM(I534)+IF(COUNTIF(I$641:I837,1)=1,5,0)+IF(COUNTIF(J535:$Z535,"&gt;"&amp;0)&gt;5,IF(MOD(COUNTIF(I$641:I837,1),7)=0,$C$4,0),0)</f>
        <v>547.516666666668</v>
      </c>
      <c r="J535" s="81" cm="1">
        <f ca="1" t="array" ref="J535">IF(J837=1,OFFSET($Z$338,$B535,J$335-1)/SUMPRODUCT(--($D$335:$V$335=J$335),--($D837:$V837=1)),0)+SUM(J534)+IF(COUNTIF(J$641:J837,1)=1,5,0)+IF(COUNTIF(K535:$Z535,"&gt;"&amp;0)&gt;5,IF(MOD(COUNTIF(J$641:J837,1),7)=0,$C$4,0),0)</f>
        <v>547.516666666668</v>
      </c>
      <c r="K535" s="81" cm="1">
        <f ca="1" t="array" ref="K535">IF(K837=1,OFFSET($Z$338,$B535,K$335-1)/SUMPRODUCT(--($D$335:$V$335=K$335),--($D837:$V837=1)),0)+SUM(K534)+IF(COUNTIF(K$641:K837,1)=1,5,0)+IF(COUNTIF(L535:$Z535,"&gt;"&amp;0)&gt;5,IF(MOD(COUNTIF(K$641:K837,1),7)=0,$C$4,0),0)</f>
        <v>547.516666666668</v>
      </c>
      <c r="L535" s="81" cm="1">
        <f ca="1" t="array" ref="L535">IF(L837=1,OFFSET($Z$338,$B535,L$335-1)/SUMPRODUCT(--($D$335:$V$335=L$335),--($D837:$V837=1)),0)+SUM(L534)+IF(COUNTIF(L$641:L837,1)=1,5,0)+IF(COUNTIF(M535:$Z535,"&gt;"&amp;0)&gt;5,IF(MOD(COUNTIF(L$641:L837,1),7)=0,$C$4,0),0)</f>
        <v>540.816666666668</v>
      </c>
      <c r="M535" s="81" cm="1">
        <f ca="1" t="array" ref="M535">IF(M837=1,OFFSET($Z$338,$B535,M$335-1)/SUMPRODUCT(--($D$335:$V$335=M$335),--($D837:$V837=1)),0)+SUM(M534)+IF(COUNTIF(M$641:M837,1)=1,5,0)+IF(COUNTIF(N535:$Z535,"&gt;"&amp;0)&gt;5,IF(MOD(COUNTIF(M$641:M837,1),7)=0,$C$4,0),0)</f>
        <v>295.644107142858</v>
      </c>
      <c r="N535" s="81" cm="1">
        <f ca="1" t="array" ref="N535">IF(N837=1,OFFSET($Z$338,$B535,N$335-1)/SUMPRODUCT(--($D$335:$V$335=N$335),--($D837:$V837=1)),0)+SUM(N534)+IF(COUNTIF(N$641:N837,1)=1,5,0)+IF(COUNTIF(O535:$Z535,"&gt;"&amp;0)&gt;5,IF(MOD(COUNTIF(N$641:N837,1),7)=0,$C$4,0),0)</f>
        <v>282.919107142858</v>
      </c>
      <c r="O535" s="81" cm="1">
        <f ca="1" t="array" ref="O535">IF(O837=1,OFFSET($Z$338,$B535,O$335-1)/SUMPRODUCT(--($D$335:$V$335=O$335),--($D837:$V837=1)),0)+SUM(O534)+IF(COUNTIF(O$641:O837,1)=1,5,0)+IF(COUNTIF(P535:$Z535,"&gt;"&amp;0)&gt;5,IF(MOD(COUNTIF(O$641:O837,1),7)=0,$C$4,0),0)</f>
        <v>280.494107142858</v>
      </c>
      <c r="P535" s="81" cm="1">
        <f ca="1" t="array" ref="P535">IF(P837=1,OFFSET($Z$338,$B535,P$335-1)/SUMPRODUCT(--($D$335:$V$335=P$335),--($D837:$V837=1)),0)+SUM(P534)+IF(COUNTIF(P$641:P837,1)=1,5,0)+IF(COUNTIF(Q535:$Z535,"&gt;"&amp;0)&gt;5,IF(MOD(COUNTIF(P$641:P837,1),7)=0,$C$4,0),0)</f>
        <v>277.560773809524</v>
      </c>
      <c r="Q535" s="81" cm="1">
        <f ca="1" t="array" ref="Q535">IF(Q837=1,OFFSET($Z$338,$B535,Q$335-1)/SUMPRODUCT(--($D$335:$V$335=Q$335),--($D837:$V837=1)),0)+SUM(Q534)+IF(COUNTIF(Q$641:Q837,1)=1,5,0)+IF(COUNTIF(R535:$Z535,"&gt;"&amp;0)&gt;5,IF(MOD(COUNTIF(Q$641:Q837,1),7)=0,$C$4,0),0)</f>
        <v>276.654523809524</v>
      </c>
      <c r="R535" s="81" cm="1">
        <f ca="1" t="array" ref="R535">IF(R837=1,OFFSET($Z$338,$B535,R$335-1)/SUMPRODUCT(--($D$335:$V$335=R$335),--($D837:$V837=1)),0)+SUM(R534)+IF(COUNTIF(R$641:R837,1)=1,5,0)+IF(COUNTIF(S535:$Z535,"&gt;"&amp;0)&gt;5,IF(MOD(COUNTIF(R$641:R837,1),7)=0,$C$4,0),0)</f>
        <v>251.759523809524</v>
      </c>
      <c r="S535" s="81" cm="1">
        <f ca="1" t="array" ref="S535">IF(S837=1,OFFSET($Z$338,$B535,S$335-1)/SUMPRODUCT(--($D$335:$V$335=S$335),--($D837:$V837=1)),0)+SUM(S534)+IF(COUNTIF(S$641:S837,1)=1,5,0)+IF(COUNTIF(T535:$Z535,"&gt;"&amp;0)&gt;5,IF(MOD(COUNTIF(S$641:S837,1),7)=0,$C$4,0),0)</f>
        <v>242.592857142857</v>
      </c>
      <c r="T535" s="81" cm="1">
        <f ca="1" t="array" ref="T535">IF(T837=1,OFFSET($Z$338,$B535,T$335-1)/SUMPRODUCT(--($D$335:$V$335=T$335),--($D837:$V837=1)),0)+SUM(T534)+IF(COUNTIF(T$641:T837,1)=1,5,0)+IF(COUNTIF(U535:$Z535,"&gt;"&amp;0)&gt;5,IF(MOD(COUNTIF(T$641:T837,1),7)=0,$C$4,0),0)</f>
        <v>137.656257829764</v>
      </c>
      <c r="U535" s="81" cm="1">
        <f ca="1" t="array" ref="U535">IF(U837=1,OFFSET($Z$338,$B535,U$335-1)/SUMPRODUCT(--($D$335:$V$335=U$335),--($D837:$V837=1)),0)+SUM(U534)+IF(COUNTIF(U$641:U837,1)=1,5,0)+IF(COUNTIF(V535:$Z535,"&gt;"&amp;0)&gt;5,IF(MOD(COUNTIF(U$641:U837,1),7)=0,$C$4,0),0)</f>
        <v>97.6562578297643</v>
      </c>
      <c r="V535" s="81" cm="1">
        <f ca="1" t="array" ref="V535">IF(V837=1,OFFSET($Z$338,$B535,V$335-1)/SUMPRODUCT(--($D$335:$V$335=V$335),--($D837:$V837=1)),0)+SUM(V534)+IF(COUNTIF(V$641:V837,1)=1,5,0)+IF(COUNTIF(Z535:$Z535,"&gt;"&amp;0)&gt;5,IF(MOD(COUNTIF(V$641:V837,1),7)=0,$C$4,0),0)</f>
        <v>89.6984386404824</v>
      </c>
      <c r="W535" s="81" cm="1">
        <f ca="1" t="array" ref="W535">IF(W837=1,OFFSET($Z$338,$B535,W$335-1)/SUMPRODUCT(--($D$335:$V$335=W$335),--($D837:$V837=1)),0)+SUM(W534)+IF(COUNTIF(W$641:W837,1)=1,5,0)+IF(COUNTIF($Z535:AA535,"&gt;"&amp;0)&gt;5,IF(MOD(COUNTIF(W$641:W837,1),7)=0,$C$4,0),0)</f>
        <v>80.3425695255331</v>
      </c>
      <c r="X535" s="81" cm="1">
        <f ca="1" t="array" ref="X535">IF(X837=1,OFFSET($Z$338,$B535,X$335-1)/SUMPRODUCT(--($D$335:$V$335=X$335),--($D837:$V837=1)),0)+SUM(X534)+IF(COUNTIF(X$641:X837,1)=1,5,0)+IF(COUNTIF($Z535:AB535,"&gt;"&amp;0)&gt;5,IF(MOD(COUNTIF(X$641:X837,1),7)=0,$C$4,0),0)</f>
        <v>73.5789092348996</v>
      </c>
      <c r="Y535" s="81" cm="1">
        <f ca="1" t="array" ref="Y535">IF(Y837=1,OFFSET($Z$338,$B535,Y$335-1)/SUMPRODUCT(--($D$335:$V$335=Y$335),--($D837:$V837=1)),0)+SUM(Y534)+IF(COUNTIF(Y$641:Y837,1)=1,5,0)+IF(COUNTIF($Z535:AC535,"&gt;"&amp;0)&gt;5,IF(MOD(COUNTIF(Y$641:Y837,1),7)=0,$C$4,0),0)</f>
        <v>66.8152489442662</v>
      </c>
      <c r="Z535" s="82" cm="1">
        <f ca="1" t="array" ref="Z535">SUMPRODUCT(TRANSPOSE($AD535:$AJ535),OFFSET($L$10:$L$16,0,Z$335-1))</f>
        <v>0</v>
      </c>
      <c r="AA535" s="82" cm="1">
        <f ca="1" t="array" ref="AA535">SUMPRODUCT(TRANSPOSE($AD535:$AJ535),OFFSET($L$10:$L$16,0,AA$335-1))</f>
        <v>0</v>
      </c>
      <c r="AB535" s="82" cm="1">
        <f ca="1" t="array" ref="AB535">SUMPRODUCT(TRANSPOSE($AD535:$AJ535),OFFSET($L$10:$L$16,0,AB$335-1))</f>
        <v>0</v>
      </c>
      <c r="AC535" s="82" cm="1">
        <f ca="1" t="array" ref="AC535">SUMPRODUCT(TRANSPOSE($AD535:$AJ535),OFFSET($L$10:$L$16,0,AC$335-1))</f>
        <v>0</v>
      </c>
      <c r="AD535" s="83">
        <f ca="1" t="shared" ref="AD535:AJ535" si="719">AK535-AK534</f>
        <v>0</v>
      </c>
      <c r="AE535" s="83">
        <f ca="1" t="shared" si="719"/>
        <v>0</v>
      </c>
      <c r="AF535" s="83">
        <f ca="1" t="shared" si="719"/>
        <v>0</v>
      </c>
      <c r="AG535" s="83">
        <f ca="1" t="shared" si="719"/>
        <v>0</v>
      </c>
      <c r="AH535" s="83">
        <f ca="1" t="shared" si="719"/>
        <v>0</v>
      </c>
      <c r="AI535" s="83">
        <f ca="1" t="shared" si="719"/>
        <v>0</v>
      </c>
      <c r="AJ535" s="83">
        <f ca="1" t="shared" si="719"/>
        <v>0</v>
      </c>
      <c r="AK535" s="83">
        <f ca="1" t="shared" si="711"/>
        <v>450</v>
      </c>
      <c r="AL535" s="83">
        <f ca="1" t="shared" ref="AL535:AQ535" si="720">IF($C535&gt;OFFSET($Q$9,MATCH(AL$338,$AK$338:$AQ$338,0),0),OFFSET($P$9,MATCH(AL$338,$AK$338:$AQ$338,0),0),MAX(0,$C535-OFFSET($Q$9,RIGHT(AL$338,1)-1,0)))</f>
        <v>909</v>
      </c>
      <c r="AM535" s="83">
        <f ca="1" t="shared" si="720"/>
        <v>1818</v>
      </c>
      <c r="AN535" s="83">
        <f ca="1" t="shared" si="720"/>
        <v>2727</v>
      </c>
      <c r="AO535" s="83">
        <f ca="1" t="shared" si="720"/>
        <v>3636</v>
      </c>
      <c r="AP535" s="83">
        <f ca="1" t="shared" si="720"/>
        <v>4545</v>
      </c>
      <c r="AQ535" s="83">
        <f ca="1" t="shared" si="720"/>
        <v>0</v>
      </c>
    </row>
    <row r="536" ht="16.5" spans="2:43">
      <c r="B536" s="65">
        <v>198</v>
      </c>
      <c r="C536" s="80">
        <f t="shared" si="709"/>
        <v>23106</v>
      </c>
      <c r="D536" s="81" cm="1">
        <f ca="1" t="array" ref="D536">IF(D838=1,OFFSET($Z$338,$B536,D$335-1)/SUMPRODUCT(--($D$335:$V$335=D$335),--($D838:$V838=1)),0)+SUM(D535)+IF(COUNTIF(D$641:D838,1)=1,5,0)+IF(COUNTIF(E536:$Z536,"&gt;"&amp;0)&gt;5,IF(MOD(COUNTIF(D$641:D838,1),7)=0,$C$4,0),0)</f>
        <v>1258.82134856666</v>
      </c>
      <c r="E536" s="81" cm="1">
        <f ca="1" t="array" ref="E536">IF(E838=1,OFFSET($Z$338,$B536,E$335-1)/SUMPRODUCT(--($D$335:$V$335=E$335),--($D838:$V838=1)),0)+SUM(E535)+IF(COUNTIF(E$641:E838,1)=1,5,0)+IF(COUNTIF(F536:$Z536,"&gt;"&amp;0)&gt;5,IF(MOD(COUNTIF(E$641:E838,1),7)=0,$C$4,0),0)</f>
        <v>1258.82134856666</v>
      </c>
      <c r="F536" s="81" cm="1">
        <f ca="1" t="array" ref="F536">IF(F838=1,OFFSET($Z$338,$B536,F$335-1)/SUMPRODUCT(--($D$335:$V$335=F$335),--($D838:$V838=1)),0)+SUM(F535)+IF(COUNTIF(F$641:F838,1)=1,5,0)+IF(COUNTIF(G536:$Z536,"&gt;"&amp;0)&gt;5,IF(MOD(COUNTIF(F$641:F838,1),7)=0,$C$4,0),0)</f>
        <v>1258.82134856666</v>
      </c>
      <c r="G536" s="81" cm="1">
        <f ca="1" t="array" ref="G536">IF(G838=1,OFFSET($Z$338,$B536,G$335-1)/SUMPRODUCT(--($D$335:$V$335=G$335),--($D838:$V838=1)),0)+SUM(G535)+IF(COUNTIF(G$641:G838,1)=1,5,0)+IF(COUNTIF(H536:$Z536,"&gt;"&amp;0)&gt;5,IF(MOD(COUNTIF(G$641:G838,1),7)=0,$C$4,0),0)</f>
        <v>547.516666666668</v>
      </c>
      <c r="H536" s="81" cm="1">
        <f ca="1" t="array" ref="H536">IF(H838=1,OFFSET($Z$338,$B536,H$335-1)/SUMPRODUCT(--($D$335:$V$335=H$335),--($D838:$V838=1)),0)+SUM(H535)+IF(COUNTIF(H$641:H838,1)=1,5,0)+IF(COUNTIF(I536:$Z536,"&gt;"&amp;0)&gt;5,IF(MOD(COUNTIF(H$641:H838,1),7)=0,$C$4,0),0)</f>
        <v>547.516666666668</v>
      </c>
      <c r="I536" s="81" cm="1">
        <f ca="1" t="array" ref="I536">IF(I838=1,OFFSET($Z$338,$B536,I$335-1)/SUMPRODUCT(--($D$335:$V$335=I$335),--($D838:$V838=1)),0)+SUM(I535)+IF(COUNTIF(I$641:I838,1)=1,5,0)+IF(COUNTIF(J536:$Z536,"&gt;"&amp;0)&gt;5,IF(MOD(COUNTIF(I$641:I838,1),7)=0,$C$4,0),0)</f>
        <v>547.516666666668</v>
      </c>
      <c r="J536" s="81" cm="1">
        <f ca="1" t="array" ref="J536">IF(J838=1,OFFSET($Z$338,$B536,J$335-1)/SUMPRODUCT(--($D$335:$V$335=J$335),--($D838:$V838=1)),0)+SUM(J535)+IF(COUNTIF(J$641:J838,1)=1,5,0)+IF(COUNTIF(K536:$Z536,"&gt;"&amp;0)&gt;5,IF(MOD(COUNTIF(J$641:J838,1),7)=0,$C$4,0),0)</f>
        <v>547.516666666668</v>
      </c>
      <c r="K536" s="81" cm="1">
        <f ca="1" t="array" ref="K536">IF(K838=1,OFFSET($Z$338,$B536,K$335-1)/SUMPRODUCT(--($D$335:$V$335=K$335),--($D838:$V838=1)),0)+SUM(K535)+IF(COUNTIF(K$641:K838,1)=1,5,0)+IF(COUNTIF(L536:$Z536,"&gt;"&amp;0)&gt;5,IF(MOD(COUNTIF(K$641:K838,1),7)=0,$C$4,0),0)</f>
        <v>547.516666666668</v>
      </c>
      <c r="L536" s="81" cm="1">
        <f ca="1" t="array" ref="L536">IF(L838=1,OFFSET($Z$338,$B536,L$335-1)/SUMPRODUCT(--($D$335:$V$335=L$335),--($D838:$V838=1)),0)+SUM(L535)+IF(COUNTIF(L$641:L838,1)=1,5,0)+IF(COUNTIF(M536:$Z536,"&gt;"&amp;0)&gt;5,IF(MOD(COUNTIF(L$641:L838,1),7)=0,$C$4,0),0)</f>
        <v>540.816666666668</v>
      </c>
      <c r="M536" s="81" cm="1">
        <f ca="1" t="array" ref="M536">IF(M838=1,OFFSET($Z$338,$B536,M$335-1)/SUMPRODUCT(--($D$335:$V$335=M$335),--($D838:$V838=1)),0)+SUM(M535)+IF(COUNTIF(M$641:M838,1)=1,5,0)+IF(COUNTIF(N536:$Z536,"&gt;"&amp;0)&gt;5,IF(MOD(COUNTIF(M$641:M838,1),7)=0,$C$4,0),0)</f>
        <v>295.644107142858</v>
      </c>
      <c r="N536" s="81" cm="1">
        <f ca="1" t="array" ref="N536">IF(N838=1,OFFSET($Z$338,$B536,N$335-1)/SUMPRODUCT(--($D$335:$V$335=N$335),--($D838:$V838=1)),0)+SUM(N535)+IF(COUNTIF(N$641:N838,1)=1,5,0)+IF(COUNTIF(O536:$Z536,"&gt;"&amp;0)&gt;5,IF(MOD(COUNTIF(N$641:N838,1),7)=0,$C$4,0),0)</f>
        <v>287.919107142858</v>
      </c>
      <c r="O536" s="81" cm="1">
        <f ca="1" t="array" ref="O536">IF(O838=1,OFFSET($Z$338,$B536,O$335-1)/SUMPRODUCT(--($D$335:$V$335=O$335),--($D838:$V838=1)),0)+SUM(O535)+IF(COUNTIF(O$641:O838,1)=1,5,0)+IF(COUNTIF(P536:$Z536,"&gt;"&amp;0)&gt;5,IF(MOD(COUNTIF(O$641:O838,1),7)=0,$C$4,0),0)</f>
        <v>280.494107142858</v>
      </c>
      <c r="P536" s="81" cm="1">
        <f ca="1" t="array" ref="P536">IF(P838=1,OFFSET($Z$338,$B536,P$335-1)/SUMPRODUCT(--($D$335:$V$335=P$335),--($D838:$V838=1)),0)+SUM(P535)+IF(COUNTIF(P$641:P838,1)=1,5,0)+IF(COUNTIF(Q536:$Z536,"&gt;"&amp;0)&gt;5,IF(MOD(COUNTIF(P$641:P838,1),7)=0,$C$4,0),0)</f>
        <v>277.560773809524</v>
      </c>
      <c r="Q536" s="81" cm="1">
        <f ca="1" t="array" ref="Q536">IF(Q838=1,OFFSET($Z$338,$B536,Q$335-1)/SUMPRODUCT(--($D$335:$V$335=Q$335),--($D838:$V838=1)),0)+SUM(Q535)+IF(COUNTIF(Q$641:Q838,1)=1,5,0)+IF(COUNTIF(R536:$Z536,"&gt;"&amp;0)&gt;5,IF(MOD(COUNTIF(Q$641:Q838,1),7)=0,$C$4,0),0)</f>
        <v>276.654523809524</v>
      </c>
      <c r="R536" s="81" cm="1">
        <f ca="1" t="array" ref="R536">IF(R838=1,OFFSET($Z$338,$B536,R$335-1)/SUMPRODUCT(--($D$335:$V$335=R$335),--($D838:$V838=1)),0)+SUM(R535)+IF(COUNTIF(R$641:R838,1)=1,5,0)+IF(COUNTIF(S536:$Z536,"&gt;"&amp;0)&gt;5,IF(MOD(COUNTIF(R$641:R838,1),7)=0,$C$4,0),0)</f>
        <v>251.759523809524</v>
      </c>
      <c r="S536" s="81" cm="1">
        <f ca="1" t="array" ref="S536">IF(S838=1,OFFSET($Z$338,$B536,S$335-1)/SUMPRODUCT(--($D$335:$V$335=S$335),--($D838:$V838=1)),0)+SUM(S535)+IF(COUNTIF(S$641:S838,1)=1,5,0)+IF(COUNTIF(T536:$Z536,"&gt;"&amp;0)&gt;5,IF(MOD(COUNTIF(S$641:S838,1),7)=0,$C$4,0),0)</f>
        <v>242.592857142857</v>
      </c>
      <c r="T536" s="81" cm="1">
        <f ca="1" t="array" ref="T536">IF(T838=1,OFFSET($Z$338,$B536,T$335-1)/SUMPRODUCT(--($D$335:$V$335=T$335),--($D838:$V838=1)),0)+SUM(T535)+IF(COUNTIF(T$641:T838,1)=1,5,0)+IF(COUNTIF(U536:$Z536,"&gt;"&amp;0)&gt;5,IF(MOD(COUNTIF(T$641:T838,1),7)=0,$C$4,0),0)</f>
        <v>137.656257829764</v>
      </c>
      <c r="U536" s="81" cm="1">
        <f ca="1" t="array" ref="U536">IF(U838=1,OFFSET($Z$338,$B536,U$335-1)/SUMPRODUCT(--($D$335:$V$335=U$335),--($D838:$V838=1)),0)+SUM(U535)+IF(COUNTIF(U$641:U838,1)=1,5,0)+IF(COUNTIF(V536:$Z536,"&gt;"&amp;0)&gt;5,IF(MOD(COUNTIF(U$641:U838,1),7)=0,$C$4,0),0)</f>
        <v>97.6562578297643</v>
      </c>
      <c r="V536" s="81" cm="1">
        <f ca="1" t="array" ref="V536">IF(V838=1,OFFSET($Z$338,$B536,V$335-1)/SUMPRODUCT(--($D$335:$V$335=V$335),--($D838:$V838=1)),0)+SUM(V535)+IF(COUNTIF(V$641:V838,1)=1,5,0)+IF(COUNTIF(Z536:$Z536,"&gt;"&amp;0)&gt;5,IF(MOD(COUNTIF(V$641:V838,1),7)=0,$C$4,0),0)</f>
        <v>89.6984386404824</v>
      </c>
      <c r="W536" s="81" cm="1">
        <f ca="1" t="array" ref="W536">IF(W838=1,OFFSET($Z$338,$B536,W$335-1)/SUMPRODUCT(--($D$335:$V$335=W$335),--($D838:$V838=1)),0)+SUM(W535)+IF(COUNTIF(W$641:W838,1)=1,5,0)+IF(COUNTIF($Z536:AA536,"&gt;"&amp;0)&gt;5,IF(MOD(COUNTIF(W$641:W838,1),7)=0,$C$4,0),0)</f>
        <v>80.3425695255331</v>
      </c>
      <c r="X536" s="81" cm="1">
        <f ca="1" t="array" ref="X536">IF(X838=1,OFFSET($Z$338,$B536,X$335-1)/SUMPRODUCT(--($D$335:$V$335=X$335),--($D838:$V838=1)),0)+SUM(X535)+IF(COUNTIF(X$641:X838,1)=1,5,0)+IF(COUNTIF($Z536:AB536,"&gt;"&amp;0)&gt;5,IF(MOD(COUNTIF(X$641:X838,1),7)=0,$C$4,0),0)</f>
        <v>73.5789092348996</v>
      </c>
      <c r="Y536" s="81" cm="1">
        <f ca="1" t="array" ref="Y536">IF(Y838=1,OFFSET($Z$338,$B536,Y$335-1)/SUMPRODUCT(--($D$335:$V$335=Y$335),--($D838:$V838=1)),0)+SUM(Y535)+IF(COUNTIF(Y$641:Y838,1)=1,5,0)+IF(COUNTIF($Z536:AC536,"&gt;"&amp;0)&gt;5,IF(MOD(COUNTIF(Y$641:Y838,1),7)=0,$C$4,0),0)</f>
        <v>66.8152489442662</v>
      </c>
      <c r="Z536" s="82" cm="1">
        <f ca="1" t="array" ref="Z536">SUMPRODUCT(TRANSPOSE($AD536:$AJ536),OFFSET($L$10:$L$16,0,Z$335-1))</f>
        <v>0</v>
      </c>
      <c r="AA536" s="82" cm="1">
        <f ca="1" t="array" ref="AA536">SUMPRODUCT(TRANSPOSE($AD536:$AJ536),OFFSET($L$10:$L$16,0,AA$335-1))</f>
        <v>0</v>
      </c>
      <c r="AB536" s="82" cm="1">
        <f ca="1" t="array" ref="AB536">SUMPRODUCT(TRANSPOSE($AD536:$AJ536),OFFSET($L$10:$L$16,0,AB$335-1))</f>
        <v>0</v>
      </c>
      <c r="AC536" s="82" cm="1">
        <f ca="1" t="array" ref="AC536">SUMPRODUCT(TRANSPOSE($AD536:$AJ536),OFFSET($L$10:$L$16,0,AC$335-1))</f>
        <v>0</v>
      </c>
      <c r="AD536" s="83">
        <f ca="1" t="shared" ref="AD536:AJ536" si="721">AK536-AK535</f>
        <v>0</v>
      </c>
      <c r="AE536" s="83">
        <f ca="1" t="shared" si="721"/>
        <v>0</v>
      </c>
      <c r="AF536" s="83">
        <f ca="1" t="shared" si="721"/>
        <v>0</v>
      </c>
      <c r="AG536" s="83">
        <f ca="1" t="shared" si="721"/>
        <v>0</v>
      </c>
      <c r="AH536" s="83">
        <f ca="1" t="shared" si="721"/>
        <v>0</v>
      </c>
      <c r="AI536" s="83">
        <f ca="1" t="shared" si="721"/>
        <v>0</v>
      </c>
      <c r="AJ536" s="83">
        <f ca="1" t="shared" si="721"/>
        <v>0</v>
      </c>
      <c r="AK536" s="83">
        <f ca="1" t="shared" si="711"/>
        <v>450</v>
      </c>
      <c r="AL536" s="83">
        <f ca="1" t="shared" ref="AL536:AQ536" si="722">IF($C536&gt;OFFSET($Q$9,MATCH(AL$338,$AK$338:$AQ$338,0),0),OFFSET($P$9,MATCH(AL$338,$AK$338:$AQ$338,0),0),MAX(0,$C536-OFFSET($Q$9,RIGHT(AL$338,1)-1,0)))</f>
        <v>909</v>
      </c>
      <c r="AM536" s="83">
        <f ca="1" t="shared" si="722"/>
        <v>1818</v>
      </c>
      <c r="AN536" s="83">
        <f ca="1" t="shared" si="722"/>
        <v>2727</v>
      </c>
      <c r="AO536" s="83">
        <f ca="1" t="shared" si="722"/>
        <v>3636</v>
      </c>
      <c r="AP536" s="83">
        <f ca="1" t="shared" si="722"/>
        <v>4545</v>
      </c>
      <c r="AQ536" s="83">
        <f ca="1" t="shared" si="722"/>
        <v>0</v>
      </c>
    </row>
    <row r="537" ht="16.5" spans="2:43">
      <c r="B537" s="65">
        <v>199</v>
      </c>
      <c r="C537" s="80">
        <f t="shared" si="709"/>
        <v>23216</v>
      </c>
      <c r="D537" s="81" cm="1">
        <f ca="1" t="array" ref="D537">IF(D839=1,OFFSET($Z$338,$B537,D$335-1)/SUMPRODUCT(--($D$335:$V$335=D$335),--($D839:$V839=1)),0)+SUM(D536)+IF(COUNTIF(D$641:D839,1)=1,5,0)+IF(COUNTIF(E537:$Z537,"&gt;"&amp;0)&gt;5,IF(MOD(COUNTIF(D$641:D839,1),7)=0,$C$4,0),0)</f>
        <v>1258.82134856666</v>
      </c>
      <c r="E537" s="81" cm="1">
        <f ca="1" t="array" ref="E537">IF(E839=1,OFFSET($Z$338,$B537,E$335-1)/SUMPRODUCT(--($D$335:$V$335=E$335),--($D839:$V839=1)),0)+SUM(E536)+IF(COUNTIF(E$641:E839,1)=1,5,0)+IF(COUNTIF(F537:$Z537,"&gt;"&amp;0)&gt;5,IF(MOD(COUNTIF(E$641:E839,1),7)=0,$C$4,0),0)</f>
        <v>1258.82134856666</v>
      </c>
      <c r="F537" s="81" cm="1">
        <f ca="1" t="array" ref="F537">IF(F839=1,OFFSET($Z$338,$B537,F$335-1)/SUMPRODUCT(--($D$335:$V$335=F$335),--($D839:$V839=1)),0)+SUM(F536)+IF(COUNTIF(F$641:F839,1)=1,5,0)+IF(COUNTIF(G537:$Z537,"&gt;"&amp;0)&gt;5,IF(MOD(COUNTIF(F$641:F839,1),7)=0,$C$4,0),0)</f>
        <v>1258.82134856666</v>
      </c>
      <c r="G537" s="81" cm="1">
        <f ca="1" t="array" ref="G537">IF(G839=1,OFFSET($Z$338,$B537,G$335-1)/SUMPRODUCT(--($D$335:$V$335=G$335),--($D839:$V839=1)),0)+SUM(G536)+IF(COUNTIF(G$641:G839,1)=1,5,0)+IF(COUNTIF(H537:$Z537,"&gt;"&amp;0)&gt;5,IF(MOD(COUNTIF(G$641:G839,1),7)=0,$C$4,0),0)</f>
        <v>547.516666666668</v>
      </c>
      <c r="H537" s="81" cm="1">
        <f ca="1" t="array" ref="H537">IF(H839=1,OFFSET($Z$338,$B537,H$335-1)/SUMPRODUCT(--($D$335:$V$335=H$335),--($D839:$V839=1)),0)+SUM(H536)+IF(COUNTIF(H$641:H839,1)=1,5,0)+IF(COUNTIF(I537:$Z537,"&gt;"&amp;0)&gt;5,IF(MOD(COUNTIF(H$641:H839,1),7)=0,$C$4,0),0)</f>
        <v>547.516666666668</v>
      </c>
      <c r="I537" s="81" cm="1">
        <f ca="1" t="array" ref="I537">IF(I839=1,OFFSET($Z$338,$B537,I$335-1)/SUMPRODUCT(--($D$335:$V$335=I$335),--($D839:$V839=1)),0)+SUM(I536)+IF(COUNTIF(I$641:I839,1)=1,5,0)+IF(COUNTIF(J537:$Z537,"&gt;"&amp;0)&gt;5,IF(MOD(COUNTIF(I$641:I839,1),7)=0,$C$4,0),0)</f>
        <v>547.516666666668</v>
      </c>
      <c r="J537" s="81" cm="1">
        <f ca="1" t="array" ref="J537">IF(J839=1,OFFSET($Z$338,$B537,J$335-1)/SUMPRODUCT(--($D$335:$V$335=J$335),--($D839:$V839=1)),0)+SUM(J536)+IF(COUNTIF(J$641:J839,1)=1,5,0)+IF(COUNTIF(K537:$Z537,"&gt;"&amp;0)&gt;5,IF(MOD(COUNTIF(J$641:J839,1),7)=0,$C$4,0),0)</f>
        <v>547.516666666668</v>
      </c>
      <c r="K537" s="81" cm="1">
        <f ca="1" t="array" ref="K537">IF(K839=1,OFFSET($Z$338,$B537,K$335-1)/SUMPRODUCT(--($D$335:$V$335=K$335),--($D839:$V839=1)),0)+SUM(K536)+IF(COUNTIF(K$641:K839,1)=1,5,0)+IF(COUNTIF(L537:$Z537,"&gt;"&amp;0)&gt;5,IF(MOD(COUNTIF(K$641:K839,1),7)=0,$C$4,0),0)</f>
        <v>547.516666666668</v>
      </c>
      <c r="L537" s="81" cm="1">
        <f ca="1" t="array" ref="L537">IF(L839=1,OFFSET($Z$338,$B537,L$335-1)/SUMPRODUCT(--($D$335:$V$335=L$335),--($D839:$V839=1)),0)+SUM(L536)+IF(COUNTIF(L$641:L839,1)=1,5,0)+IF(COUNTIF(M537:$Z537,"&gt;"&amp;0)&gt;5,IF(MOD(COUNTIF(L$641:L839,1),7)=0,$C$4,0),0)</f>
        <v>540.816666666668</v>
      </c>
      <c r="M537" s="81" cm="1">
        <f ca="1" t="array" ref="M537">IF(M839=1,OFFSET($Z$338,$B537,M$335-1)/SUMPRODUCT(--($D$335:$V$335=M$335),--($D839:$V839=1)),0)+SUM(M536)+IF(COUNTIF(M$641:M839,1)=1,5,0)+IF(COUNTIF(N537:$Z537,"&gt;"&amp;0)&gt;5,IF(MOD(COUNTIF(M$641:M839,1),7)=0,$C$4,0),0)</f>
        <v>295.644107142858</v>
      </c>
      <c r="N537" s="81" cm="1">
        <f ca="1" t="array" ref="N537">IF(N839=1,OFFSET($Z$338,$B537,N$335-1)/SUMPRODUCT(--($D$335:$V$335=N$335),--($D839:$V839=1)),0)+SUM(N536)+IF(COUNTIF(N$641:N839,1)=1,5,0)+IF(COUNTIF(O537:$Z537,"&gt;"&amp;0)&gt;5,IF(MOD(COUNTIF(N$641:N839,1),7)=0,$C$4,0),0)</f>
        <v>287.919107142858</v>
      </c>
      <c r="O537" s="81" cm="1">
        <f ca="1" t="array" ref="O537">IF(O839=1,OFFSET($Z$338,$B537,O$335-1)/SUMPRODUCT(--($D$335:$V$335=O$335),--($D839:$V839=1)),0)+SUM(O536)+IF(COUNTIF(O$641:O839,1)=1,5,0)+IF(COUNTIF(P537:$Z537,"&gt;"&amp;0)&gt;5,IF(MOD(COUNTIF(O$641:O839,1),7)=0,$C$4,0),0)</f>
        <v>285.494107142858</v>
      </c>
      <c r="P537" s="81" cm="1">
        <f ca="1" t="array" ref="P537">IF(P839=1,OFFSET($Z$338,$B537,P$335-1)/SUMPRODUCT(--($D$335:$V$335=P$335),--($D839:$V839=1)),0)+SUM(P536)+IF(COUNTIF(P$641:P839,1)=1,5,0)+IF(COUNTIF(Q537:$Z537,"&gt;"&amp;0)&gt;5,IF(MOD(COUNTIF(P$641:P839,1),7)=0,$C$4,0),0)</f>
        <v>277.560773809524</v>
      </c>
      <c r="Q537" s="81" cm="1">
        <f ca="1" t="array" ref="Q537">IF(Q839=1,OFFSET($Z$338,$B537,Q$335-1)/SUMPRODUCT(--($D$335:$V$335=Q$335),--($D839:$V839=1)),0)+SUM(Q536)+IF(COUNTIF(Q$641:Q839,1)=1,5,0)+IF(COUNTIF(R537:$Z537,"&gt;"&amp;0)&gt;5,IF(MOD(COUNTIF(Q$641:Q839,1),7)=0,$C$4,0),0)</f>
        <v>276.654523809524</v>
      </c>
      <c r="R537" s="81" cm="1">
        <f ca="1" t="array" ref="R537">IF(R839=1,OFFSET($Z$338,$B537,R$335-1)/SUMPRODUCT(--($D$335:$V$335=R$335),--($D839:$V839=1)),0)+SUM(R536)+IF(COUNTIF(R$641:R839,1)=1,5,0)+IF(COUNTIF(S537:$Z537,"&gt;"&amp;0)&gt;5,IF(MOD(COUNTIF(R$641:R839,1),7)=0,$C$4,0),0)</f>
        <v>251.759523809524</v>
      </c>
      <c r="S537" s="81" cm="1">
        <f ca="1" t="array" ref="S537">IF(S839=1,OFFSET($Z$338,$B537,S$335-1)/SUMPRODUCT(--($D$335:$V$335=S$335),--($D839:$V839=1)),0)+SUM(S536)+IF(COUNTIF(S$641:S839,1)=1,5,0)+IF(COUNTIF(T537:$Z537,"&gt;"&amp;0)&gt;5,IF(MOD(COUNTIF(S$641:S839,1),7)=0,$C$4,0),0)</f>
        <v>242.592857142857</v>
      </c>
      <c r="T537" s="81" cm="1">
        <f ca="1" t="array" ref="T537">IF(T839=1,OFFSET($Z$338,$B537,T$335-1)/SUMPRODUCT(--($D$335:$V$335=T$335),--($D839:$V839=1)),0)+SUM(T536)+IF(COUNTIF(T$641:T839,1)=1,5,0)+IF(COUNTIF(U537:$Z537,"&gt;"&amp;0)&gt;5,IF(MOD(COUNTIF(T$641:T839,1),7)=0,$C$4,0),0)</f>
        <v>137.656257829764</v>
      </c>
      <c r="U537" s="81" cm="1">
        <f ca="1" t="array" ref="U537">IF(U839=1,OFFSET($Z$338,$B537,U$335-1)/SUMPRODUCT(--($D$335:$V$335=U$335),--($D839:$V839=1)),0)+SUM(U536)+IF(COUNTIF(U$641:U839,1)=1,5,0)+IF(COUNTIF(V537:$Z537,"&gt;"&amp;0)&gt;5,IF(MOD(COUNTIF(U$641:U839,1),7)=0,$C$4,0),0)</f>
        <v>97.6562578297643</v>
      </c>
      <c r="V537" s="81" cm="1">
        <f ca="1" t="array" ref="V537">IF(V839=1,OFFSET($Z$338,$B537,V$335-1)/SUMPRODUCT(--($D$335:$V$335=V$335),--($D839:$V839=1)),0)+SUM(V536)+IF(COUNTIF(V$641:V839,1)=1,5,0)+IF(COUNTIF(Z537:$Z537,"&gt;"&amp;0)&gt;5,IF(MOD(COUNTIF(V$641:V839,1),7)=0,$C$4,0),0)</f>
        <v>89.6984386404824</v>
      </c>
      <c r="W537" s="81" cm="1">
        <f ca="1" t="array" ref="W537">IF(W839=1,OFFSET($Z$338,$B537,W$335-1)/SUMPRODUCT(--($D$335:$V$335=W$335),--($D839:$V839=1)),0)+SUM(W536)+IF(COUNTIF(W$641:W839,1)=1,5,0)+IF(COUNTIF($Z537:AA537,"&gt;"&amp;0)&gt;5,IF(MOD(COUNTIF(W$641:W839,1),7)=0,$C$4,0),0)</f>
        <v>80.3425695255331</v>
      </c>
      <c r="X537" s="81" cm="1">
        <f ca="1" t="array" ref="X537">IF(X839=1,OFFSET($Z$338,$B537,X$335-1)/SUMPRODUCT(--($D$335:$V$335=X$335),--($D839:$V839=1)),0)+SUM(X536)+IF(COUNTIF(X$641:X839,1)=1,5,0)+IF(COUNTIF($Z537:AB537,"&gt;"&amp;0)&gt;5,IF(MOD(COUNTIF(X$641:X839,1),7)=0,$C$4,0),0)</f>
        <v>73.5789092348996</v>
      </c>
      <c r="Y537" s="81" cm="1">
        <f ca="1" t="array" ref="Y537">IF(Y839=1,OFFSET($Z$338,$B537,Y$335-1)/SUMPRODUCT(--($D$335:$V$335=Y$335),--($D839:$V839=1)),0)+SUM(Y536)+IF(COUNTIF(Y$641:Y839,1)=1,5,0)+IF(COUNTIF($Z537:AC537,"&gt;"&amp;0)&gt;5,IF(MOD(COUNTIF(Y$641:Y839,1),7)=0,$C$4,0),0)</f>
        <v>66.8152489442662</v>
      </c>
      <c r="Z537" s="82" cm="1">
        <f ca="1" t="array" ref="Z537">SUMPRODUCT(TRANSPOSE($AD537:$AJ537),OFFSET($L$10:$L$16,0,Z$335-1))</f>
        <v>0</v>
      </c>
      <c r="AA537" s="82" cm="1">
        <f ca="1" t="array" ref="AA537">SUMPRODUCT(TRANSPOSE($AD537:$AJ537),OFFSET($L$10:$L$16,0,AA$335-1))</f>
        <v>0</v>
      </c>
      <c r="AB537" s="82" cm="1">
        <f ca="1" t="array" ref="AB537">SUMPRODUCT(TRANSPOSE($AD537:$AJ537),OFFSET($L$10:$L$16,0,AB$335-1))</f>
        <v>0</v>
      </c>
      <c r="AC537" s="82" cm="1">
        <f ca="1" t="array" ref="AC537">SUMPRODUCT(TRANSPOSE($AD537:$AJ537),OFFSET($L$10:$L$16,0,AC$335-1))</f>
        <v>0</v>
      </c>
      <c r="AD537" s="83">
        <f ca="1" t="shared" ref="AD537:AJ537" si="723">AK537-AK536</f>
        <v>0</v>
      </c>
      <c r="AE537" s="83">
        <f ca="1" t="shared" si="723"/>
        <v>0</v>
      </c>
      <c r="AF537" s="83">
        <f ca="1" t="shared" si="723"/>
        <v>0</v>
      </c>
      <c r="AG537" s="83">
        <f ca="1" t="shared" si="723"/>
        <v>0</v>
      </c>
      <c r="AH537" s="83">
        <f ca="1" t="shared" si="723"/>
        <v>0</v>
      </c>
      <c r="AI537" s="83">
        <f ca="1" t="shared" si="723"/>
        <v>0</v>
      </c>
      <c r="AJ537" s="83">
        <f ca="1" t="shared" si="723"/>
        <v>0</v>
      </c>
      <c r="AK537" s="83">
        <f ca="1" t="shared" si="711"/>
        <v>450</v>
      </c>
      <c r="AL537" s="83">
        <f ca="1" t="shared" ref="AL537:AQ537" si="724">IF($C537&gt;OFFSET($Q$9,MATCH(AL$338,$AK$338:$AQ$338,0),0),OFFSET($P$9,MATCH(AL$338,$AK$338:$AQ$338,0),0),MAX(0,$C537-OFFSET($Q$9,RIGHT(AL$338,1)-1,0)))</f>
        <v>909</v>
      </c>
      <c r="AM537" s="83">
        <f ca="1" t="shared" si="724"/>
        <v>1818</v>
      </c>
      <c r="AN537" s="83">
        <f ca="1" t="shared" si="724"/>
        <v>2727</v>
      </c>
      <c r="AO537" s="83">
        <f ca="1" t="shared" si="724"/>
        <v>3636</v>
      </c>
      <c r="AP537" s="83">
        <f ca="1" t="shared" si="724"/>
        <v>4545</v>
      </c>
      <c r="AQ537" s="83">
        <f ca="1" t="shared" si="724"/>
        <v>0</v>
      </c>
    </row>
    <row r="538" ht="16.5" spans="2:43">
      <c r="B538" s="65">
        <v>200</v>
      </c>
      <c r="C538" s="80">
        <f t="shared" si="709"/>
        <v>23326</v>
      </c>
      <c r="D538" s="81" cm="1">
        <f ca="1" t="array" ref="D538">IF(D840=1,OFFSET($Z$338,$B538,D$335-1)/SUMPRODUCT(--($D$335:$V$335=D$335),--($D840:$V840=1)),0)+SUM(D537)+IF(COUNTIF(D$641:D840,1)=1,5,0)+IF(COUNTIF(E538:$Z538,"&gt;"&amp;0)&gt;5,IF(MOD(COUNTIF(D$641:D840,1),7)=0,$C$4,0),0)</f>
        <v>1258.82134856666</v>
      </c>
      <c r="E538" s="81" cm="1">
        <f ca="1" t="array" ref="E538">IF(E840=1,OFFSET($Z$338,$B538,E$335-1)/SUMPRODUCT(--($D$335:$V$335=E$335),--($D840:$V840=1)),0)+SUM(E537)+IF(COUNTIF(E$641:E840,1)=1,5,0)+IF(COUNTIF(F538:$Z538,"&gt;"&amp;0)&gt;5,IF(MOD(COUNTIF(E$641:E840,1),7)=0,$C$4,0),0)</f>
        <v>1258.82134856666</v>
      </c>
      <c r="F538" s="81" cm="1">
        <f ca="1" t="array" ref="F538">IF(F840=1,OFFSET($Z$338,$B538,F$335-1)/SUMPRODUCT(--($D$335:$V$335=F$335),--($D840:$V840=1)),0)+SUM(F537)+IF(COUNTIF(F$641:F840,1)=1,5,0)+IF(COUNTIF(G538:$Z538,"&gt;"&amp;0)&gt;5,IF(MOD(COUNTIF(F$641:F840,1),7)=0,$C$4,0),0)</f>
        <v>1258.82134856666</v>
      </c>
      <c r="G538" s="81" cm="1">
        <f ca="1" t="array" ref="G538">IF(G840=1,OFFSET($Z$338,$B538,G$335-1)/SUMPRODUCT(--($D$335:$V$335=G$335),--($D840:$V840=1)),0)+SUM(G537)+IF(COUNTIF(G$641:G840,1)=1,5,0)+IF(COUNTIF(H538:$Z538,"&gt;"&amp;0)&gt;5,IF(MOD(COUNTIF(G$641:G840,1),7)=0,$C$4,0),0)</f>
        <v>547.516666666668</v>
      </c>
      <c r="H538" s="81" cm="1">
        <f ca="1" t="array" ref="H538">IF(H840=1,OFFSET($Z$338,$B538,H$335-1)/SUMPRODUCT(--($D$335:$V$335=H$335),--($D840:$V840=1)),0)+SUM(H537)+IF(COUNTIF(H$641:H840,1)=1,5,0)+IF(COUNTIF(I538:$Z538,"&gt;"&amp;0)&gt;5,IF(MOD(COUNTIF(H$641:H840,1),7)=0,$C$4,0),0)</f>
        <v>547.516666666668</v>
      </c>
      <c r="I538" s="81" cm="1">
        <f ca="1" t="array" ref="I538">IF(I840=1,OFFSET($Z$338,$B538,I$335-1)/SUMPRODUCT(--($D$335:$V$335=I$335),--($D840:$V840=1)),0)+SUM(I537)+IF(COUNTIF(I$641:I840,1)=1,5,0)+IF(COUNTIF(J538:$Z538,"&gt;"&amp;0)&gt;5,IF(MOD(COUNTIF(I$641:I840,1),7)=0,$C$4,0),0)</f>
        <v>547.516666666668</v>
      </c>
      <c r="J538" s="81" cm="1">
        <f ca="1" t="array" ref="J538">IF(J840=1,OFFSET($Z$338,$B538,J$335-1)/SUMPRODUCT(--($D$335:$V$335=J$335),--($D840:$V840=1)),0)+SUM(J537)+IF(COUNTIF(J$641:J840,1)=1,5,0)+IF(COUNTIF(K538:$Z538,"&gt;"&amp;0)&gt;5,IF(MOD(COUNTIF(J$641:J840,1),7)=0,$C$4,0),0)</f>
        <v>547.516666666668</v>
      </c>
      <c r="K538" s="81" cm="1">
        <f ca="1" t="array" ref="K538">IF(K840=1,OFFSET($Z$338,$B538,K$335-1)/SUMPRODUCT(--($D$335:$V$335=K$335),--($D840:$V840=1)),0)+SUM(K537)+IF(COUNTIF(K$641:K840,1)=1,5,0)+IF(COUNTIF(L538:$Z538,"&gt;"&amp;0)&gt;5,IF(MOD(COUNTIF(K$641:K840,1),7)=0,$C$4,0),0)</f>
        <v>547.516666666668</v>
      </c>
      <c r="L538" s="81" cm="1">
        <f ca="1" t="array" ref="L538">IF(L840=1,OFFSET($Z$338,$B538,L$335-1)/SUMPRODUCT(--($D$335:$V$335=L$335),--($D840:$V840=1)),0)+SUM(L537)+IF(COUNTIF(L$641:L840,1)=1,5,0)+IF(COUNTIF(M538:$Z538,"&gt;"&amp;0)&gt;5,IF(MOD(COUNTIF(L$641:L840,1),7)=0,$C$4,0),0)</f>
        <v>540.816666666668</v>
      </c>
      <c r="M538" s="81" cm="1">
        <f ca="1" t="array" ref="M538">IF(M840=1,OFFSET($Z$338,$B538,M$335-1)/SUMPRODUCT(--($D$335:$V$335=M$335),--($D840:$V840=1)),0)+SUM(M537)+IF(COUNTIF(M$641:M840,1)=1,5,0)+IF(COUNTIF(N538:$Z538,"&gt;"&amp;0)&gt;5,IF(MOD(COUNTIF(M$641:M840,1),7)=0,$C$4,0),0)</f>
        <v>295.644107142858</v>
      </c>
      <c r="N538" s="81" cm="1">
        <f ca="1" t="array" ref="N538">IF(N840=1,OFFSET($Z$338,$B538,N$335-1)/SUMPRODUCT(--($D$335:$V$335=N$335),--($D840:$V840=1)),0)+SUM(N537)+IF(COUNTIF(N$641:N840,1)=1,5,0)+IF(COUNTIF(O538:$Z538,"&gt;"&amp;0)&gt;5,IF(MOD(COUNTIF(N$641:N840,1),7)=0,$C$4,0),0)</f>
        <v>287.919107142858</v>
      </c>
      <c r="O538" s="81" cm="1">
        <f ca="1" t="array" ref="O538">IF(O840=1,OFFSET($Z$338,$B538,O$335-1)/SUMPRODUCT(--($D$335:$V$335=O$335),--($D840:$V840=1)),0)+SUM(O537)+IF(COUNTIF(O$641:O840,1)=1,5,0)+IF(COUNTIF(P538:$Z538,"&gt;"&amp;0)&gt;5,IF(MOD(COUNTIF(O$641:O840,1),7)=0,$C$4,0),0)</f>
        <v>285.494107142858</v>
      </c>
      <c r="P538" s="81" cm="1">
        <f ca="1" t="array" ref="P538">IF(P840=1,OFFSET($Z$338,$B538,P$335-1)/SUMPRODUCT(--($D$335:$V$335=P$335),--($D840:$V840=1)),0)+SUM(P537)+IF(COUNTIF(P$641:P840,1)=1,5,0)+IF(COUNTIF(Q538:$Z538,"&gt;"&amp;0)&gt;5,IF(MOD(COUNTIF(P$641:P840,1),7)=0,$C$4,0),0)</f>
        <v>277.560773809524</v>
      </c>
      <c r="Q538" s="81" cm="1">
        <f ca="1" t="array" ref="Q538">IF(Q840=1,OFFSET($Z$338,$B538,Q$335-1)/SUMPRODUCT(--($D$335:$V$335=Q$335),--($D840:$V840=1)),0)+SUM(Q537)+IF(COUNTIF(Q$641:Q840,1)=1,5,0)+IF(COUNTIF(R538:$Z538,"&gt;"&amp;0)&gt;5,IF(MOD(COUNTIF(Q$641:Q840,1),7)=0,$C$4,0),0)</f>
        <v>276.654523809524</v>
      </c>
      <c r="R538" s="81" cm="1">
        <f ca="1" t="array" ref="R538">IF(R840=1,OFFSET($Z$338,$B538,R$335-1)/SUMPRODUCT(--($D$335:$V$335=R$335),--($D840:$V840=1)),0)+SUM(R537)+IF(COUNTIF(R$641:R840,1)=1,5,0)+IF(COUNTIF(S538:$Z538,"&gt;"&amp;0)&gt;5,IF(MOD(COUNTIF(R$641:R840,1),7)=0,$C$4,0),0)</f>
        <v>251.759523809524</v>
      </c>
      <c r="S538" s="81" cm="1">
        <f ca="1" t="array" ref="S538">IF(S840=1,OFFSET($Z$338,$B538,S$335-1)/SUMPRODUCT(--($D$335:$V$335=S$335),--($D840:$V840=1)),0)+SUM(S537)+IF(COUNTIF(S$641:S840,1)=1,5,0)+IF(COUNTIF(T538:$Z538,"&gt;"&amp;0)&gt;5,IF(MOD(COUNTIF(S$641:S840,1),7)=0,$C$4,0),0)</f>
        <v>242.592857142857</v>
      </c>
      <c r="T538" s="81" cm="1">
        <f ca="1" t="array" ref="T538">IF(T840=1,OFFSET($Z$338,$B538,T$335-1)/SUMPRODUCT(--($D$335:$V$335=T$335),--($D840:$V840=1)),0)+SUM(T537)+IF(COUNTIF(T$641:T840,1)=1,5,0)+IF(COUNTIF(U538:$Z538,"&gt;"&amp;0)&gt;5,IF(MOD(COUNTIF(T$641:T840,1),7)=0,$C$4,0),0)</f>
        <v>137.656257829764</v>
      </c>
      <c r="U538" s="81" cm="1">
        <f ca="1" t="array" ref="U538">IF(U840=1,OFFSET($Z$338,$B538,U$335-1)/SUMPRODUCT(--($D$335:$V$335=U$335),--($D840:$V840=1)),0)+SUM(U537)+IF(COUNTIF(U$641:U840,1)=1,5,0)+IF(COUNTIF(V538:$Z538,"&gt;"&amp;0)&gt;5,IF(MOD(COUNTIF(U$641:U840,1),7)=0,$C$4,0),0)</f>
        <v>97.6562578297643</v>
      </c>
      <c r="V538" s="81" cm="1">
        <f ca="1" t="array" ref="V538">IF(V840=1,OFFSET($Z$338,$B538,V$335-1)/SUMPRODUCT(--($D$335:$V$335=V$335),--($D840:$V840=1)),0)+SUM(V537)+IF(COUNTIF(V$641:V840,1)=1,5,0)+IF(COUNTIF(Z538:$Z538,"&gt;"&amp;0)&gt;5,IF(MOD(COUNTIF(V$641:V840,1),7)=0,$C$4,0),0)</f>
        <v>89.6984386404824</v>
      </c>
      <c r="W538" s="81" cm="1">
        <f ca="1" t="array" ref="W538">IF(W840=1,OFFSET($Z$338,$B538,W$335-1)/SUMPRODUCT(--($D$335:$V$335=W$335),--($D840:$V840=1)),0)+SUM(W537)+IF(COUNTIF(W$641:W840,1)=1,5,0)+IF(COUNTIF($Z538:AA538,"&gt;"&amp;0)&gt;5,IF(MOD(COUNTIF(W$641:W840,1),7)=0,$C$4,0),0)</f>
        <v>80.3425695255331</v>
      </c>
      <c r="X538" s="81" cm="1">
        <f ca="1" t="array" ref="X538">IF(X840=1,OFFSET($Z$338,$B538,X$335-1)/SUMPRODUCT(--($D$335:$V$335=X$335),--($D840:$V840=1)),0)+SUM(X537)+IF(COUNTIF(X$641:X840,1)=1,5,0)+IF(COUNTIF($Z538:AB538,"&gt;"&amp;0)&gt;5,IF(MOD(COUNTIF(X$641:X840,1),7)=0,$C$4,0),0)</f>
        <v>73.5789092348996</v>
      </c>
      <c r="Y538" s="81" cm="1">
        <f ca="1" t="array" ref="Y538">IF(Y840=1,OFFSET($Z$338,$B538,Y$335-1)/SUMPRODUCT(--($D$335:$V$335=Y$335),--($D840:$V840=1)),0)+SUM(Y537)+IF(COUNTIF(Y$641:Y840,1)=1,5,0)+IF(COUNTIF($Z538:AC538,"&gt;"&amp;0)&gt;5,IF(MOD(COUNTIF(Y$641:Y840,1),7)=0,$C$4,0),0)</f>
        <v>66.8152489442662</v>
      </c>
      <c r="Z538" s="82" cm="1">
        <f ca="1" t="array" ref="Z538">SUMPRODUCT(TRANSPOSE($AD538:$AJ538),OFFSET($L$10:$L$16,0,Z$335-1))</f>
        <v>0</v>
      </c>
      <c r="AA538" s="82" cm="1">
        <f ca="1" t="array" ref="AA538">SUMPRODUCT(TRANSPOSE($AD538:$AJ538),OFFSET($L$10:$L$16,0,AA$335-1))</f>
        <v>0</v>
      </c>
      <c r="AB538" s="82" cm="1">
        <f ca="1" t="array" ref="AB538">SUMPRODUCT(TRANSPOSE($AD538:$AJ538),OFFSET($L$10:$L$16,0,AB$335-1))</f>
        <v>0</v>
      </c>
      <c r="AC538" s="82" cm="1">
        <f ca="1" t="array" ref="AC538">SUMPRODUCT(TRANSPOSE($AD538:$AJ538),OFFSET($L$10:$L$16,0,AC$335-1))</f>
        <v>0</v>
      </c>
      <c r="AD538" s="83">
        <f ca="1" t="shared" ref="AD538:AJ538" si="725">AK538-AK537</f>
        <v>0</v>
      </c>
      <c r="AE538" s="83">
        <f ca="1" t="shared" si="725"/>
        <v>0</v>
      </c>
      <c r="AF538" s="83">
        <f ca="1" t="shared" si="725"/>
        <v>0</v>
      </c>
      <c r="AG538" s="83">
        <f ca="1" t="shared" si="725"/>
        <v>0</v>
      </c>
      <c r="AH538" s="83">
        <f ca="1" t="shared" si="725"/>
        <v>0</v>
      </c>
      <c r="AI538" s="83">
        <f ca="1" t="shared" si="725"/>
        <v>0</v>
      </c>
      <c r="AJ538" s="83">
        <f ca="1" t="shared" si="725"/>
        <v>0</v>
      </c>
      <c r="AK538" s="83">
        <f ca="1" t="shared" si="711"/>
        <v>450</v>
      </c>
      <c r="AL538" s="83">
        <f ca="1" t="shared" ref="AL538:AQ538" si="726">IF($C538&gt;OFFSET($Q$9,MATCH(AL$338,$AK$338:$AQ$338,0),0),OFFSET($P$9,MATCH(AL$338,$AK$338:$AQ$338,0),0),MAX(0,$C538-OFFSET($Q$9,RIGHT(AL$338,1)-1,0)))</f>
        <v>909</v>
      </c>
      <c r="AM538" s="83">
        <f ca="1" t="shared" si="726"/>
        <v>1818</v>
      </c>
      <c r="AN538" s="83">
        <f ca="1" t="shared" si="726"/>
        <v>2727</v>
      </c>
      <c r="AO538" s="83">
        <f ca="1" t="shared" si="726"/>
        <v>3636</v>
      </c>
      <c r="AP538" s="83">
        <f ca="1" t="shared" si="726"/>
        <v>4545</v>
      </c>
      <c r="AQ538" s="83">
        <f ca="1" t="shared" si="726"/>
        <v>0</v>
      </c>
    </row>
    <row r="539" ht="16.5" spans="2:43">
      <c r="B539" s="65">
        <v>201</v>
      </c>
      <c r="C539" s="80">
        <f t="shared" si="709"/>
        <v>23436</v>
      </c>
      <c r="D539" s="81" cm="1">
        <f ca="1" t="array" ref="D539">IF(D841=1,OFFSET($Z$338,$B539,D$335-1)/SUMPRODUCT(--($D$335:$V$335=D$335),--($D841:$V841=1)),0)+SUM(D538)+IF(COUNTIF(D$641:D841,1)=1,5,0)+IF(COUNTIF(E539:$Z539,"&gt;"&amp;0)&gt;5,IF(MOD(COUNTIF(D$641:D841,1),7)=0,$C$4,0),0)</f>
        <v>1258.82134856666</v>
      </c>
      <c r="E539" s="81" cm="1">
        <f ca="1" t="array" ref="E539">IF(E841=1,OFFSET($Z$338,$B539,E$335-1)/SUMPRODUCT(--($D$335:$V$335=E$335),--($D841:$V841=1)),0)+SUM(E538)+IF(COUNTIF(E$641:E841,1)=1,5,0)+IF(COUNTIF(F539:$Z539,"&gt;"&amp;0)&gt;5,IF(MOD(COUNTIF(E$641:E841,1),7)=0,$C$4,0),0)</f>
        <v>1258.82134856666</v>
      </c>
      <c r="F539" s="81" cm="1">
        <f ca="1" t="array" ref="F539">IF(F841=1,OFFSET($Z$338,$B539,F$335-1)/SUMPRODUCT(--($D$335:$V$335=F$335),--($D841:$V841=1)),0)+SUM(F538)+IF(COUNTIF(F$641:F841,1)=1,5,0)+IF(COUNTIF(G539:$Z539,"&gt;"&amp;0)&gt;5,IF(MOD(COUNTIF(F$641:F841,1),7)=0,$C$4,0),0)</f>
        <v>1258.82134856666</v>
      </c>
      <c r="G539" s="81" cm="1">
        <f ca="1" t="array" ref="G539">IF(G841=1,OFFSET($Z$338,$B539,G$335-1)/SUMPRODUCT(--($D$335:$V$335=G$335),--($D841:$V841=1)),0)+SUM(G538)+IF(COUNTIF(G$641:G841,1)=1,5,0)+IF(COUNTIF(H539:$Z539,"&gt;"&amp;0)&gt;5,IF(MOD(COUNTIF(G$641:G841,1),7)=0,$C$4,0),0)</f>
        <v>547.516666666668</v>
      </c>
      <c r="H539" s="81" cm="1">
        <f ca="1" t="array" ref="H539">IF(H841=1,OFFSET($Z$338,$B539,H$335-1)/SUMPRODUCT(--($D$335:$V$335=H$335),--($D841:$V841=1)),0)+SUM(H538)+IF(COUNTIF(H$641:H841,1)=1,5,0)+IF(COUNTIF(I539:$Z539,"&gt;"&amp;0)&gt;5,IF(MOD(COUNTIF(H$641:H841,1),7)=0,$C$4,0),0)</f>
        <v>547.516666666668</v>
      </c>
      <c r="I539" s="81" cm="1">
        <f ca="1" t="array" ref="I539">IF(I841=1,OFFSET($Z$338,$B539,I$335-1)/SUMPRODUCT(--($D$335:$V$335=I$335),--($D841:$V841=1)),0)+SUM(I538)+IF(COUNTIF(I$641:I841,1)=1,5,0)+IF(COUNTIF(J539:$Z539,"&gt;"&amp;0)&gt;5,IF(MOD(COUNTIF(I$641:I841,1),7)=0,$C$4,0),0)</f>
        <v>547.516666666668</v>
      </c>
      <c r="J539" s="81" cm="1">
        <f ca="1" t="array" ref="J539">IF(J841=1,OFFSET($Z$338,$B539,J$335-1)/SUMPRODUCT(--($D$335:$V$335=J$335),--($D841:$V841=1)),0)+SUM(J538)+IF(COUNTIF(J$641:J841,1)=1,5,0)+IF(COUNTIF(K539:$Z539,"&gt;"&amp;0)&gt;5,IF(MOD(COUNTIF(J$641:J841,1),7)=0,$C$4,0),0)</f>
        <v>547.516666666668</v>
      </c>
      <c r="K539" s="81" cm="1">
        <f ca="1" t="array" ref="K539">IF(K841=1,OFFSET($Z$338,$B539,K$335-1)/SUMPRODUCT(--($D$335:$V$335=K$335),--($D841:$V841=1)),0)+SUM(K538)+IF(COUNTIF(K$641:K841,1)=1,5,0)+IF(COUNTIF(L539:$Z539,"&gt;"&amp;0)&gt;5,IF(MOD(COUNTIF(K$641:K841,1),7)=0,$C$4,0),0)</f>
        <v>547.516666666668</v>
      </c>
      <c r="L539" s="81" cm="1">
        <f ca="1" t="array" ref="L539">IF(L841=1,OFFSET($Z$338,$B539,L$335-1)/SUMPRODUCT(--($D$335:$V$335=L$335),--($D841:$V841=1)),0)+SUM(L538)+IF(COUNTIF(L$641:L841,1)=1,5,0)+IF(COUNTIF(M539:$Z539,"&gt;"&amp;0)&gt;5,IF(MOD(COUNTIF(L$641:L841,1),7)=0,$C$4,0),0)</f>
        <v>540.816666666668</v>
      </c>
      <c r="M539" s="81" cm="1">
        <f ca="1" t="array" ref="M539">IF(M841=1,OFFSET($Z$338,$B539,M$335-1)/SUMPRODUCT(--($D$335:$V$335=M$335),--($D841:$V841=1)),0)+SUM(M538)+IF(COUNTIF(M$641:M841,1)=1,5,0)+IF(COUNTIF(N539:$Z539,"&gt;"&amp;0)&gt;5,IF(MOD(COUNTIF(M$641:M841,1),7)=0,$C$4,0),0)</f>
        <v>295.644107142858</v>
      </c>
      <c r="N539" s="81" cm="1">
        <f ca="1" t="array" ref="N539">IF(N841=1,OFFSET($Z$338,$B539,N$335-1)/SUMPRODUCT(--($D$335:$V$335=N$335),--($D841:$V841=1)),0)+SUM(N538)+IF(COUNTIF(N$641:N841,1)=1,5,0)+IF(COUNTIF(O539:$Z539,"&gt;"&amp;0)&gt;5,IF(MOD(COUNTIF(N$641:N841,1),7)=0,$C$4,0),0)</f>
        <v>287.919107142858</v>
      </c>
      <c r="O539" s="81" cm="1">
        <f ca="1" t="array" ref="O539">IF(O841=1,OFFSET($Z$338,$B539,O$335-1)/SUMPRODUCT(--($D$335:$V$335=O$335),--($D841:$V841=1)),0)+SUM(O538)+IF(COUNTIF(O$641:O841,1)=1,5,0)+IF(COUNTIF(P539:$Z539,"&gt;"&amp;0)&gt;5,IF(MOD(COUNTIF(O$641:O841,1),7)=0,$C$4,0),0)</f>
        <v>285.494107142858</v>
      </c>
      <c r="P539" s="81" cm="1">
        <f ca="1" t="array" ref="P539">IF(P841=1,OFFSET($Z$338,$B539,P$335-1)/SUMPRODUCT(--($D$335:$V$335=P$335),--($D841:$V841=1)),0)+SUM(P538)+IF(COUNTIF(P$641:P841,1)=1,5,0)+IF(COUNTIF(Q539:$Z539,"&gt;"&amp;0)&gt;5,IF(MOD(COUNTIF(P$641:P841,1),7)=0,$C$4,0),0)</f>
        <v>282.560773809524</v>
      </c>
      <c r="Q539" s="81" cm="1">
        <f ca="1" t="array" ref="Q539">IF(Q841=1,OFFSET($Z$338,$B539,Q$335-1)/SUMPRODUCT(--($D$335:$V$335=Q$335),--($D841:$V841=1)),0)+SUM(Q538)+IF(COUNTIF(Q$641:Q841,1)=1,5,0)+IF(COUNTIF(R539:$Z539,"&gt;"&amp;0)&gt;5,IF(MOD(COUNTIF(Q$641:Q841,1),7)=0,$C$4,0),0)</f>
        <v>276.654523809524</v>
      </c>
      <c r="R539" s="81" cm="1">
        <f ca="1" t="array" ref="R539">IF(R841=1,OFFSET($Z$338,$B539,R$335-1)/SUMPRODUCT(--($D$335:$V$335=R$335),--($D841:$V841=1)),0)+SUM(R538)+IF(COUNTIF(R$641:R841,1)=1,5,0)+IF(COUNTIF(S539:$Z539,"&gt;"&amp;0)&gt;5,IF(MOD(COUNTIF(R$641:R841,1),7)=0,$C$4,0),0)</f>
        <v>251.759523809524</v>
      </c>
      <c r="S539" s="81" cm="1">
        <f ca="1" t="array" ref="S539">IF(S841=1,OFFSET($Z$338,$B539,S$335-1)/SUMPRODUCT(--($D$335:$V$335=S$335),--($D841:$V841=1)),0)+SUM(S538)+IF(COUNTIF(S$641:S841,1)=1,5,0)+IF(COUNTIF(T539:$Z539,"&gt;"&amp;0)&gt;5,IF(MOD(COUNTIF(S$641:S841,1),7)=0,$C$4,0),0)</f>
        <v>247.592857142857</v>
      </c>
      <c r="T539" s="81" cm="1">
        <f ca="1" t="array" ref="T539">IF(T841=1,OFFSET($Z$338,$B539,T$335-1)/SUMPRODUCT(--($D$335:$V$335=T$335),--($D841:$V841=1)),0)+SUM(T538)+IF(COUNTIF(T$641:T841,1)=1,5,0)+IF(COUNTIF(U539:$Z539,"&gt;"&amp;0)&gt;5,IF(MOD(COUNTIF(T$641:T841,1),7)=0,$C$4,0),0)</f>
        <v>137.656257829764</v>
      </c>
      <c r="U539" s="81" cm="1">
        <f ca="1" t="array" ref="U539">IF(U841=1,OFFSET($Z$338,$B539,U$335-1)/SUMPRODUCT(--($D$335:$V$335=U$335),--($D841:$V841=1)),0)+SUM(U538)+IF(COUNTIF(U$641:U841,1)=1,5,0)+IF(COUNTIF(V539:$Z539,"&gt;"&amp;0)&gt;5,IF(MOD(COUNTIF(U$641:U841,1),7)=0,$C$4,0),0)</f>
        <v>97.6562578297643</v>
      </c>
      <c r="V539" s="81" cm="1">
        <f ca="1" t="array" ref="V539">IF(V841=1,OFFSET($Z$338,$B539,V$335-1)/SUMPRODUCT(--($D$335:$V$335=V$335),--($D841:$V841=1)),0)+SUM(V538)+IF(COUNTIF(V$641:V841,1)=1,5,0)+IF(COUNTIF(Z539:$Z539,"&gt;"&amp;0)&gt;5,IF(MOD(COUNTIF(V$641:V841,1),7)=0,$C$4,0),0)</f>
        <v>89.6984386404824</v>
      </c>
      <c r="W539" s="81" cm="1">
        <f ca="1" t="array" ref="W539">IF(W841=1,OFFSET($Z$338,$B539,W$335-1)/SUMPRODUCT(--($D$335:$V$335=W$335),--($D841:$V841=1)),0)+SUM(W538)+IF(COUNTIF(W$641:W841,1)=1,5,0)+IF(COUNTIF($Z539:AA539,"&gt;"&amp;0)&gt;5,IF(MOD(COUNTIF(W$641:W841,1),7)=0,$C$4,0),0)</f>
        <v>80.3425695255331</v>
      </c>
      <c r="X539" s="81" cm="1">
        <f ca="1" t="array" ref="X539">IF(X841=1,OFFSET($Z$338,$B539,X$335-1)/SUMPRODUCT(--($D$335:$V$335=X$335),--($D841:$V841=1)),0)+SUM(X538)+IF(COUNTIF(X$641:X841,1)=1,5,0)+IF(COUNTIF($Z539:AB539,"&gt;"&amp;0)&gt;5,IF(MOD(COUNTIF(X$641:X841,1),7)=0,$C$4,0),0)</f>
        <v>73.5789092348996</v>
      </c>
      <c r="Y539" s="81" cm="1">
        <f ca="1" t="array" ref="Y539">IF(Y841=1,OFFSET($Z$338,$B539,Y$335-1)/SUMPRODUCT(--($D$335:$V$335=Y$335),--($D841:$V841=1)),0)+SUM(Y538)+IF(COUNTIF(Y$641:Y841,1)=1,5,0)+IF(COUNTIF($Z539:AC539,"&gt;"&amp;0)&gt;5,IF(MOD(COUNTIF(Y$641:Y841,1),7)=0,$C$4,0),0)</f>
        <v>66.8152489442662</v>
      </c>
      <c r="Z539" s="82" cm="1">
        <f ca="1" t="array" ref="Z539">SUMPRODUCT(TRANSPOSE($AD539:$AJ539),OFFSET($L$10:$L$16,0,Z$335-1))</f>
        <v>0</v>
      </c>
      <c r="AA539" s="82" cm="1">
        <f ca="1" t="array" ref="AA539">SUMPRODUCT(TRANSPOSE($AD539:$AJ539),OFFSET($L$10:$L$16,0,AA$335-1))</f>
        <v>0</v>
      </c>
      <c r="AB539" s="82" cm="1">
        <f ca="1" t="array" ref="AB539">SUMPRODUCT(TRANSPOSE($AD539:$AJ539),OFFSET($L$10:$L$16,0,AB$335-1))</f>
        <v>0</v>
      </c>
      <c r="AC539" s="82" cm="1">
        <f ca="1" t="array" ref="AC539">SUMPRODUCT(TRANSPOSE($AD539:$AJ539),OFFSET($L$10:$L$16,0,AC$335-1))</f>
        <v>0</v>
      </c>
      <c r="AD539" s="83">
        <f ca="1" t="shared" ref="AD539:AJ539" si="727">AK539-AK538</f>
        <v>0</v>
      </c>
      <c r="AE539" s="83">
        <f ca="1" t="shared" si="727"/>
        <v>0</v>
      </c>
      <c r="AF539" s="83">
        <f ca="1" t="shared" si="727"/>
        <v>0</v>
      </c>
      <c r="AG539" s="83">
        <f ca="1" t="shared" si="727"/>
        <v>0</v>
      </c>
      <c r="AH539" s="83">
        <f ca="1" t="shared" si="727"/>
        <v>0</v>
      </c>
      <c r="AI539" s="83">
        <f ca="1" t="shared" si="727"/>
        <v>0</v>
      </c>
      <c r="AJ539" s="83">
        <f ca="1" t="shared" si="727"/>
        <v>0</v>
      </c>
      <c r="AK539" s="83">
        <f ca="1" t="shared" si="711"/>
        <v>450</v>
      </c>
      <c r="AL539" s="83">
        <f ca="1" t="shared" ref="AL539:AQ539" si="728">IF($C539&gt;OFFSET($Q$9,MATCH(AL$338,$AK$338:$AQ$338,0),0),OFFSET($P$9,MATCH(AL$338,$AK$338:$AQ$338,0),0),MAX(0,$C539-OFFSET($Q$9,RIGHT(AL$338,1)-1,0)))</f>
        <v>909</v>
      </c>
      <c r="AM539" s="83">
        <f ca="1" t="shared" si="728"/>
        <v>1818</v>
      </c>
      <c r="AN539" s="83">
        <f ca="1" t="shared" si="728"/>
        <v>2727</v>
      </c>
      <c r="AO539" s="83">
        <f ca="1" t="shared" si="728"/>
        <v>3636</v>
      </c>
      <c r="AP539" s="83">
        <f ca="1" t="shared" si="728"/>
        <v>4545</v>
      </c>
      <c r="AQ539" s="83">
        <f ca="1" t="shared" si="728"/>
        <v>0</v>
      </c>
    </row>
    <row r="540" ht="16.5" spans="2:43">
      <c r="B540" s="65">
        <v>202</v>
      </c>
      <c r="C540" s="80">
        <f t="shared" si="709"/>
        <v>23546</v>
      </c>
      <c r="D540" s="81" cm="1">
        <f ca="1" t="array" ref="D540">IF(D842=1,OFFSET($Z$338,$B540,D$335-1)/SUMPRODUCT(--($D$335:$V$335=D$335),--($D842:$V842=1)),0)+SUM(D539)+IF(COUNTIF(D$641:D842,1)=1,5,0)+IF(COUNTIF(E540:$Z540,"&gt;"&amp;0)&gt;5,IF(MOD(COUNTIF(D$641:D842,1),7)=0,$C$4,0),0)</f>
        <v>1258.82134856666</v>
      </c>
      <c r="E540" s="81" cm="1">
        <f ca="1" t="array" ref="E540">IF(E842=1,OFFSET($Z$338,$B540,E$335-1)/SUMPRODUCT(--($D$335:$V$335=E$335),--($D842:$V842=1)),0)+SUM(E539)+IF(COUNTIF(E$641:E842,1)=1,5,0)+IF(COUNTIF(F540:$Z540,"&gt;"&amp;0)&gt;5,IF(MOD(COUNTIF(E$641:E842,1),7)=0,$C$4,0),0)</f>
        <v>1258.82134856666</v>
      </c>
      <c r="F540" s="81" cm="1">
        <f ca="1" t="array" ref="F540">IF(F842=1,OFFSET($Z$338,$B540,F$335-1)/SUMPRODUCT(--($D$335:$V$335=F$335),--($D842:$V842=1)),0)+SUM(F539)+IF(COUNTIF(F$641:F842,1)=1,5,0)+IF(COUNTIF(G540:$Z540,"&gt;"&amp;0)&gt;5,IF(MOD(COUNTIF(F$641:F842,1),7)=0,$C$4,0),0)</f>
        <v>1258.82134856666</v>
      </c>
      <c r="G540" s="81" cm="1">
        <f ca="1" t="array" ref="G540">IF(G842=1,OFFSET($Z$338,$B540,G$335-1)/SUMPRODUCT(--($D$335:$V$335=G$335),--($D842:$V842=1)),0)+SUM(G539)+IF(COUNTIF(G$641:G842,1)=1,5,0)+IF(COUNTIF(H540:$Z540,"&gt;"&amp;0)&gt;5,IF(MOD(COUNTIF(G$641:G842,1),7)=0,$C$4,0),0)</f>
        <v>547.516666666668</v>
      </c>
      <c r="H540" s="81" cm="1">
        <f ca="1" t="array" ref="H540">IF(H842=1,OFFSET($Z$338,$B540,H$335-1)/SUMPRODUCT(--($D$335:$V$335=H$335),--($D842:$V842=1)),0)+SUM(H539)+IF(COUNTIF(H$641:H842,1)=1,5,0)+IF(COUNTIF(I540:$Z540,"&gt;"&amp;0)&gt;5,IF(MOD(COUNTIF(H$641:H842,1),7)=0,$C$4,0),0)</f>
        <v>547.516666666668</v>
      </c>
      <c r="I540" s="81" cm="1">
        <f ca="1" t="array" ref="I540">IF(I842=1,OFFSET($Z$338,$B540,I$335-1)/SUMPRODUCT(--($D$335:$V$335=I$335),--($D842:$V842=1)),0)+SUM(I539)+IF(COUNTIF(I$641:I842,1)=1,5,0)+IF(COUNTIF(J540:$Z540,"&gt;"&amp;0)&gt;5,IF(MOD(COUNTIF(I$641:I842,1),7)=0,$C$4,0),0)</f>
        <v>547.516666666668</v>
      </c>
      <c r="J540" s="81" cm="1">
        <f ca="1" t="array" ref="J540">IF(J842=1,OFFSET($Z$338,$B540,J$335-1)/SUMPRODUCT(--($D$335:$V$335=J$335),--($D842:$V842=1)),0)+SUM(J539)+IF(COUNTIF(J$641:J842,1)=1,5,0)+IF(COUNTIF(K540:$Z540,"&gt;"&amp;0)&gt;5,IF(MOD(COUNTIF(J$641:J842,1),7)=0,$C$4,0),0)</f>
        <v>547.516666666668</v>
      </c>
      <c r="K540" s="81" cm="1">
        <f ca="1" t="array" ref="K540">IF(K842=1,OFFSET($Z$338,$B540,K$335-1)/SUMPRODUCT(--($D$335:$V$335=K$335),--($D842:$V842=1)),0)+SUM(K539)+IF(COUNTIF(K$641:K842,1)=1,5,0)+IF(COUNTIF(L540:$Z540,"&gt;"&amp;0)&gt;5,IF(MOD(COUNTIF(K$641:K842,1),7)=0,$C$4,0),0)</f>
        <v>547.516666666668</v>
      </c>
      <c r="L540" s="81" cm="1">
        <f ca="1" t="array" ref="L540">IF(L842=1,OFFSET($Z$338,$B540,L$335-1)/SUMPRODUCT(--($D$335:$V$335=L$335),--($D842:$V842=1)),0)+SUM(L539)+IF(COUNTIF(L$641:L842,1)=1,5,0)+IF(COUNTIF(M540:$Z540,"&gt;"&amp;0)&gt;5,IF(MOD(COUNTIF(L$641:L842,1),7)=0,$C$4,0),0)</f>
        <v>540.816666666668</v>
      </c>
      <c r="M540" s="81" cm="1">
        <f ca="1" t="array" ref="M540">IF(M842=1,OFFSET($Z$338,$B540,M$335-1)/SUMPRODUCT(--($D$335:$V$335=M$335),--($D842:$V842=1)),0)+SUM(M539)+IF(COUNTIF(M$641:M842,1)=1,5,0)+IF(COUNTIF(N540:$Z540,"&gt;"&amp;0)&gt;5,IF(MOD(COUNTIF(M$641:M842,1),7)=0,$C$4,0),0)</f>
        <v>295.644107142858</v>
      </c>
      <c r="N540" s="81" cm="1">
        <f ca="1" t="array" ref="N540">IF(N842=1,OFFSET($Z$338,$B540,N$335-1)/SUMPRODUCT(--($D$335:$V$335=N$335),--($D842:$V842=1)),0)+SUM(N539)+IF(COUNTIF(N$641:N842,1)=1,5,0)+IF(COUNTIF(O540:$Z540,"&gt;"&amp;0)&gt;5,IF(MOD(COUNTIF(N$641:N842,1),7)=0,$C$4,0),0)</f>
        <v>287.919107142858</v>
      </c>
      <c r="O540" s="81" cm="1">
        <f ca="1" t="array" ref="O540">IF(O842=1,OFFSET($Z$338,$B540,O$335-1)/SUMPRODUCT(--($D$335:$V$335=O$335),--($D842:$V842=1)),0)+SUM(O539)+IF(COUNTIF(O$641:O842,1)=1,5,0)+IF(COUNTIF(P540:$Z540,"&gt;"&amp;0)&gt;5,IF(MOD(COUNTIF(O$641:O842,1),7)=0,$C$4,0),0)</f>
        <v>285.494107142858</v>
      </c>
      <c r="P540" s="81" cm="1">
        <f ca="1" t="array" ref="P540">IF(P842=1,OFFSET($Z$338,$B540,P$335-1)/SUMPRODUCT(--($D$335:$V$335=P$335),--($D842:$V842=1)),0)+SUM(P539)+IF(COUNTIF(P$641:P842,1)=1,5,0)+IF(COUNTIF(Q540:$Z540,"&gt;"&amp;0)&gt;5,IF(MOD(COUNTIF(P$641:P842,1),7)=0,$C$4,0),0)</f>
        <v>282.560773809524</v>
      </c>
      <c r="Q540" s="81" cm="1">
        <f ca="1" t="array" ref="Q540">IF(Q842=1,OFFSET($Z$338,$B540,Q$335-1)/SUMPRODUCT(--($D$335:$V$335=Q$335),--($D842:$V842=1)),0)+SUM(Q539)+IF(COUNTIF(Q$641:Q842,1)=1,5,0)+IF(COUNTIF(R540:$Z540,"&gt;"&amp;0)&gt;5,IF(MOD(COUNTIF(Q$641:Q842,1),7)=0,$C$4,0),0)</f>
        <v>281.654523809524</v>
      </c>
      <c r="R540" s="81" cm="1">
        <f ca="1" t="array" ref="R540">IF(R842=1,OFFSET($Z$338,$B540,R$335-1)/SUMPRODUCT(--($D$335:$V$335=R$335),--($D842:$V842=1)),0)+SUM(R539)+IF(COUNTIF(R$641:R842,1)=1,5,0)+IF(COUNTIF(S540:$Z540,"&gt;"&amp;0)&gt;5,IF(MOD(COUNTIF(R$641:R842,1),7)=0,$C$4,0),0)</f>
        <v>251.759523809524</v>
      </c>
      <c r="S540" s="81" cm="1">
        <f ca="1" t="array" ref="S540">IF(S842=1,OFFSET($Z$338,$B540,S$335-1)/SUMPRODUCT(--($D$335:$V$335=S$335),--($D842:$V842=1)),0)+SUM(S539)+IF(COUNTIF(S$641:S842,1)=1,5,0)+IF(COUNTIF(T540:$Z540,"&gt;"&amp;0)&gt;5,IF(MOD(COUNTIF(S$641:S842,1),7)=0,$C$4,0),0)</f>
        <v>247.592857142857</v>
      </c>
      <c r="T540" s="81" cm="1">
        <f ca="1" t="array" ref="T540">IF(T842=1,OFFSET($Z$338,$B540,T$335-1)/SUMPRODUCT(--($D$335:$V$335=T$335),--($D842:$V842=1)),0)+SUM(T539)+IF(COUNTIF(T$641:T842,1)=1,5,0)+IF(COUNTIF(U540:$Z540,"&gt;"&amp;0)&gt;5,IF(MOD(COUNTIF(T$641:T842,1),7)=0,$C$4,0),0)</f>
        <v>137.656257829764</v>
      </c>
      <c r="U540" s="81" cm="1">
        <f ca="1" t="array" ref="U540">IF(U842=1,OFFSET($Z$338,$B540,U$335-1)/SUMPRODUCT(--($D$335:$V$335=U$335),--($D842:$V842=1)),0)+SUM(U539)+IF(COUNTIF(U$641:U842,1)=1,5,0)+IF(COUNTIF(V540:$Z540,"&gt;"&amp;0)&gt;5,IF(MOD(COUNTIF(U$641:U842,1),7)=0,$C$4,0),0)</f>
        <v>97.6562578297643</v>
      </c>
      <c r="V540" s="81" cm="1">
        <f ca="1" t="array" ref="V540">IF(V842=1,OFFSET($Z$338,$B540,V$335-1)/SUMPRODUCT(--($D$335:$V$335=V$335),--($D842:$V842=1)),0)+SUM(V539)+IF(COUNTIF(V$641:V842,1)=1,5,0)+IF(COUNTIF(Z540:$Z540,"&gt;"&amp;0)&gt;5,IF(MOD(COUNTIF(V$641:V842,1),7)=0,$C$4,0),0)</f>
        <v>89.6984386404824</v>
      </c>
      <c r="W540" s="81" cm="1">
        <f ca="1" t="array" ref="W540">IF(W842=1,OFFSET($Z$338,$B540,W$335-1)/SUMPRODUCT(--($D$335:$V$335=W$335),--($D842:$V842=1)),0)+SUM(W539)+IF(COUNTIF(W$641:W842,1)=1,5,0)+IF(COUNTIF($Z540:AA540,"&gt;"&amp;0)&gt;5,IF(MOD(COUNTIF(W$641:W842,1),7)=0,$C$4,0),0)</f>
        <v>80.3425695255331</v>
      </c>
      <c r="X540" s="81" cm="1">
        <f ca="1" t="array" ref="X540">IF(X842=1,OFFSET($Z$338,$B540,X$335-1)/SUMPRODUCT(--($D$335:$V$335=X$335),--($D842:$V842=1)),0)+SUM(X539)+IF(COUNTIF(X$641:X842,1)=1,5,0)+IF(COUNTIF($Z540:AB540,"&gt;"&amp;0)&gt;5,IF(MOD(COUNTIF(X$641:X842,1),7)=0,$C$4,0),0)</f>
        <v>73.5789092348996</v>
      </c>
      <c r="Y540" s="81" cm="1">
        <f ca="1" t="array" ref="Y540">IF(Y842=1,OFFSET($Z$338,$B540,Y$335-1)/SUMPRODUCT(--($D$335:$V$335=Y$335),--($D842:$V842=1)),0)+SUM(Y539)+IF(COUNTIF(Y$641:Y842,1)=1,5,0)+IF(COUNTIF($Z540:AC540,"&gt;"&amp;0)&gt;5,IF(MOD(COUNTIF(Y$641:Y842,1),7)=0,$C$4,0),0)</f>
        <v>66.8152489442662</v>
      </c>
      <c r="Z540" s="82" cm="1">
        <f ca="1" t="array" ref="Z540">SUMPRODUCT(TRANSPOSE($AD540:$AJ540),OFFSET($L$10:$L$16,0,Z$335-1))</f>
        <v>0</v>
      </c>
      <c r="AA540" s="82" cm="1">
        <f ca="1" t="array" ref="AA540">SUMPRODUCT(TRANSPOSE($AD540:$AJ540),OFFSET($L$10:$L$16,0,AA$335-1))</f>
        <v>0</v>
      </c>
      <c r="AB540" s="82" cm="1">
        <f ca="1" t="array" ref="AB540">SUMPRODUCT(TRANSPOSE($AD540:$AJ540),OFFSET($L$10:$L$16,0,AB$335-1))</f>
        <v>0</v>
      </c>
      <c r="AC540" s="82" cm="1">
        <f ca="1" t="array" ref="AC540">SUMPRODUCT(TRANSPOSE($AD540:$AJ540),OFFSET($L$10:$L$16,0,AC$335-1))</f>
        <v>0</v>
      </c>
      <c r="AD540" s="83">
        <f ca="1" t="shared" ref="AD540:AJ540" si="729">AK540-AK539</f>
        <v>0</v>
      </c>
      <c r="AE540" s="83">
        <f ca="1" t="shared" si="729"/>
        <v>0</v>
      </c>
      <c r="AF540" s="83">
        <f ca="1" t="shared" si="729"/>
        <v>0</v>
      </c>
      <c r="AG540" s="83">
        <f ca="1" t="shared" si="729"/>
        <v>0</v>
      </c>
      <c r="AH540" s="83">
        <f ca="1" t="shared" si="729"/>
        <v>0</v>
      </c>
      <c r="AI540" s="83">
        <f ca="1" t="shared" si="729"/>
        <v>0</v>
      </c>
      <c r="AJ540" s="83">
        <f ca="1" t="shared" si="729"/>
        <v>0</v>
      </c>
      <c r="AK540" s="83">
        <f ca="1" t="shared" si="711"/>
        <v>450</v>
      </c>
      <c r="AL540" s="83">
        <f ca="1" t="shared" ref="AL540:AQ540" si="730">IF($C540&gt;OFFSET($Q$9,MATCH(AL$338,$AK$338:$AQ$338,0),0),OFFSET($P$9,MATCH(AL$338,$AK$338:$AQ$338,0),0),MAX(0,$C540-OFFSET($Q$9,RIGHT(AL$338,1)-1,0)))</f>
        <v>909</v>
      </c>
      <c r="AM540" s="83">
        <f ca="1" t="shared" si="730"/>
        <v>1818</v>
      </c>
      <c r="AN540" s="83">
        <f ca="1" t="shared" si="730"/>
        <v>2727</v>
      </c>
      <c r="AO540" s="83">
        <f ca="1" t="shared" si="730"/>
        <v>3636</v>
      </c>
      <c r="AP540" s="83">
        <f ca="1" t="shared" si="730"/>
        <v>4545</v>
      </c>
      <c r="AQ540" s="83">
        <f ca="1" t="shared" si="730"/>
        <v>0</v>
      </c>
    </row>
    <row r="541" ht="16.5" spans="2:43">
      <c r="B541" s="65">
        <v>203</v>
      </c>
      <c r="C541" s="80">
        <f t="shared" si="709"/>
        <v>23656</v>
      </c>
      <c r="D541" s="81" cm="1">
        <f ca="1" t="array" ref="D541">IF(D843=1,OFFSET($Z$338,$B541,D$335-1)/SUMPRODUCT(--($D$335:$V$335=D$335),--($D843:$V843=1)),0)+SUM(D540)+IF(COUNTIF(D$641:D843,1)=1,5,0)+IF(COUNTIF(E541:$Z541,"&gt;"&amp;0)&gt;5,IF(MOD(COUNTIF(D$641:D843,1),7)=0,$C$4,0),0)</f>
        <v>1263.82134856666</v>
      </c>
      <c r="E541" s="81" cm="1">
        <f ca="1" t="array" ref="E541">IF(E843=1,OFFSET($Z$338,$B541,E$335-1)/SUMPRODUCT(--($D$335:$V$335=E$335),--($D843:$V843=1)),0)+SUM(E540)+IF(COUNTIF(E$641:E843,1)=1,5,0)+IF(COUNTIF(F541:$Z541,"&gt;"&amp;0)&gt;5,IF(MOD(COUNTIF(E$641:E843,1),7)=0,$C$4,0),0)</f>
        <v>1263.82134856666</v>
      </c>
      <c r="F541" s="81" cm="1">
        <f ca="1" t="array" ref="F541">IF(F843=1,OFFSET($Z$338,$B541,F$335-1)/SUMPRODUCT(--($D$335:$V$335=F$335),--($D843:$V843=1)),0)+SUM(F540)+IF(COUNTIF(F$641:F843,1)=1,5,0)+IF(COUNTIF(G541:$Z541,"&gt;"&amp;0)&gt;5,IF(MOD(COUNTIF(F$641:F843,1),7)=0,$C$4,0),0)</f>
        <v>1263.82134856666</v>
      </c>
      <c r="G541" s="81" cm="1">
        <f ca="1" t="array" ref="G541">IF(G843=1,OFFSET($Z$338,$B541,G$335-1)/SUMPRODUCT(--($D$335:$V$335=G$335),--($D843:$V843=1)),0)+SUM(G540)+IF(COUNTIF(G$641:G843,1)=1,5,0)+IF(COUNTIF(H541:$Z541,"&gt;"&amp;0)&gt;5,IF(MOD(COUNTIF(G$641:G843,1),7)=0,$C$4,0),0)</f>
        <v>552.516666666668</v>
      </c>
      <c r="H541" s="81" cm="1">
        <f ca="1" t="array" ref="H541">IF(H843=1,OFFSET($Z$338,$B541,H$335-1)/SUMPRODUCT(--($D$335:$V$335=H$335),--($D843:$V843=1)),0)+SUM(H540)+IF(COUNTIF(H$641:H843,1)=1,5,0)+IF(COUNTIF(I541:$Z541,"&gt;"&amp;0)&gt;5,IF(MOD(COUNTIF(H$641:H843,1),7)=0,$C$4,0),0)</f>
        <v>552.516666666668</v>
      </c>
      <c r="I541" s="81" cm="1">
        <f ca="1" t="array" ref="I541">IF(I843=1,OFFSET($Z$338,$B541,I$335-1)/SUMPRODUCT(--($D$335:$V$335=I$335),--($D843:$V843=1)),0)+SUM(I540)+IF(COUNTIF(I$641:I843,1)=1,5,0)+IF(COUNTIF(J541:$Z541,"&gt;"&amp;0)&gt;5,IF(MOD(COUNTIF(I$641:I843,1),7)=0,$C$4,0),0)</f>
        <v>552.516666666668</v>
      </c>
      <c r="J541" s="81" cm="1">
        <f ca="1" t="array" ref="J541">IF(J843=1,OFFSET($Z$338,$B541,J$335-1)/SUMPRODUCT(--($D$335:$V$335=J$335),--($D843:$V843=1)),0)+SUM(J540)+IF(COUNTIF(J$641:J843,1)=1,5,0)+IF(COUNTIF(K541:$Z541,"&gt;"&amp;0)&gt;5,IF(MOD(COUNTIF(J$641:J843,1),7)=0,$C$4,0),0)</f>
        <v>552.516666666668</v>
      </c>
      <c r="K541" s="81" cm="1">
        <f ca="1" t="array" ref="K541">IF(K843=1,OFFSET($Z$338,$B541,K$335-1)/SUMPRODUCT(--($D$335:$V$335=K$335),--($D843:$V843=1)),0)+SUM(K540)+IF(COUNTIF(K$641:K843,1)=1,5,0)+IF(COUNTIF(L541:$Z541,"&gt;"&amp;0)&gt;5,IF(MOD(COUNTIF(K$641:K843,1),7)=0,$C$4,0),0)</f>
        <v>552.516666666668</v>
      </c>
      <c r="L541" s="81" cm="1">
        <f ca="1" t="array" ref="L541">IF(L843=1,OFFSET($Z$338,$B541,L$335-1)/SUMPRODUCT(--($D$335:$V$335=L$335),--($D843:$V843=1)),0)+SUM(L540)+IF(COUNTIF(L$641:L843,1)=1,5,0)+IF(COUNTIF(M541:$Z541,"&gt;"&amp;0)&gt;5,IF(MOD(COUNTIF(L$641:L843,1),7)=0,$C$4,0),0)</f>
        <v>540.816666666668</v>
      </c>
      <c r="M541" s="81" cm="1">
        <f ca="1" t="array" ref="M541">IF(M843=1,OFFSET($Z$338,$B541,M$335-1)/SUMPRODUCT(--($D$335:$V$335=M$335),--($D843:$V843=1)),0)+SUM(M540)+IF(COUNTIF(M$641:M843,1)=1,5,0)+IF(COUNTIF(N541:$Z541,"&gt;"&amp;0)&gt;5,IF(MOD(COUNTIF(M$641:M843,1),7)=0,$C$4,0),0)</f>
        <v>295.644107142858</v>
      </c>
      <c r="N541" s="81" cm="1">
        <f ca="1" t="array" ref="N541">IF(N843=1,OFFSET($Z$338,$B541,N$335-1)/SUMPRODUCT(--($D$335:$V$335=N$335),--($D843:$V843=1)),0)+SUM(N540)+IF(COUNTIF(N$641:N843,1)=1,5,0)+IF(COUNTIF(O541:$Z541,"&gt;"&amp;0)&gt;5,IF(MOD(COUNTIF(N$641:N843,1),7)=0,$C$4,0),0)</f>
        <v>287.919107142858</v>
      </c>
      <c r="O541" s="81" cm="1">
        <f ca="1" t="array" ref="O541">IF(O843=1,OFFSET($Z$338,$B541,O$335-1)/SUMPRODUCT(--($D$335:$V$335=O$335),--($D843:$V843=1)),0)+SUM(O540)+IF(COUNTIF(O$641:O843,1)=1,5,0)+IF(COUNTIF(P541:$Z541,"&gt;"&amp;0)&gt;5,IF(MOD(COUNTIF(O$641:O843,1),7)=0,$C$4,0),0)</f>
        <v>285.494107142858</v>
      </c>
      <c r="P541" s="81" cm="1">
        <f ca="1" t="array" ref="P541">IF(P843=1,OFFSET($Z$338,$B541,P$335-1)/SUMPRODUCT(--($D$335:$V$335=P$335),--($D843:$V843=1)),0)+SUM(P540)+IF(COUNTIF(P$641:P843,1)=1,5,0)+IF(COUNTIF(Q541:$Z541,"&gt;"&amp;0)&gt;5,IF(MOD(COUNTIF(P$641:P843,1),7)=0,$C$4,0),0)</f>
        <v>282.560773809524</v>
      </c>
      <c r="Q541" s="81" cm="1">
        <f ca="1" t="array" ref="Q541">IF(Q843=1,OFFSET($Z$338,$B541,Q$335-1)/SUMPRODUCT(--($D$335:$V$335=Q$335),--($D843:$V843=1)),0)+SUM(Q540)+IF(COUNTIF(Q$641:Q843,1)=1,5,0)+IF(COUNTIF(R541:$Z541,"&gt;"&amp;0)&gt;5,IF(MOD(COUNTIF(Q$641:Q843,1),7)=0,$C$4,0),0)</f>
        <v>281.654523809524</v>
      </c>
      <c r="R541" s="81" cm="1">
        <f ca="1" t="array" ref="R541">IF(R843=1,OFFSET($Z$338,$B541,R$335-1)/SUMPRODUCT(--($D$335:$V$335=R$335),--($D843:$V843=1)),0)+SUM(R540)+IF(COUNTIF(R$641:R843,1)=1,5,0)+IF(COUNTIF(S541:$Z541,"&gt;"&amp;0)&gt;5,IF(MOD(COUNTIF(R$641:R843,1),7)=0,$C$4,0),0)</f>
        <v>256.759523809524</v>
      </c>
      <c r="S541" s="81" cm="1">
        <f ca="1" t="array" ref="S541">IF(S843=1,OFFSET($Z$338,$B541,S$335-1)/SUMPRODUCT(--($D$335:$V$335=S$335),--($D843:$V843=1)),0)+SUM(S540)+IF(COUNTIF(S$641:S843,1)=1,5,0)+IF(COUNTIF(T541:$Z541,"&gt;"&amp;0)&gt;5,IF(MOD(COUNTIF(S$641:S843,1),7)=0,$C$4,0),0)</f>
        <v>247.592857142857</v>
      </c>
      <c r="T541" s="81" cm="1">
        <f ca="1" t="array" ref="T541">IF(T843=1,OFFSET($Z$338,$B541,T$335-1)/SUMPRODUCT(--($D$335:$V$335=T$335),--($D843:$V843=1)),0)+SUM(T540)+IF(COUNTIF(T$641:T843,1)=1,5,0)+IF(COUNTIF(U541:$Z541,"&gt;"&amp;0)&gt;5,IF(MOD(COUNTIF(T$641:T843,1),7)=0,$C$4,0),0)</f>
        <v>137.656257829764</v>
      </c>
      <c r="U541" s="81" cm="1">
        <f ca="1" t="array" ref="U541">IF(U843=1,OFFSET($Z$338,$B541,U$335-1)/SUMPRODUCT(--($D$335:$V$335=U$335),--($D843:$V843=1)),0)+SUM(U540)+IF(COUNTIF(U$641:U843,1)=1,5,0)+IF(COUNTIF(V541:$Z541,"&gt;"&amp;0)&gt;5,IF(MOD(COUNTIF(U$641:U843,1),7)=0,$C$4,0),0)</f>
        <v>97.6562578297643</v>
      </c>
      <c r="V541" s="81" cm="1">
        <f ca="1" t="array" ref="V541">IF(V843=1,OFFSET($Z$338,$B541,V$335-1)/SUMPRODUCT(--($D$335:$V$335=V$335),--($D843:$V843=1)),0)+SUM(V540)+IF(COUNTIF(V$641:V843,1)=1,5,0)+IF(COUNTIF(Z541:$Z541,"&gt;"&amp;0)&gt;5,IF(MOD(COUNTIF(V$641:V843,1),7)=0,$C$4,0),0)</f>
        <v>89.6984386404824</v>
      </c>
      <c r="W541" s="81" cm="1">
        <f ca="1" t="array" ref="W541">IF(W843=1,OFFSET($Z$338,$B541,W$335-1)/SUMPRODUCT(--($D$335:$V$335=W$335),--($D843:$V843=1)),0)+SUM(W540)+IF(COUNTIF(W$641:W843,1)=1,5,0)+IF(COUNTIF($Z541:AA541,"&gt;"&amp;0)&gt;5,IF(MOD(COUNTIF(W$641:W843,1),7)=0,$C$4,0),0)</f>
        <v>80.3425695255331</v>
      </c>
      <c r="X541" s="81" cm="1">
        <f ca="1" t="array" ref="X541">IF(X843=1,OFFSET($Z$338,$B541,X$335-1)/SUMPRODUCT(--($D$335:$V$335=X$335),--($D843:$V843=1)),0)+SUM(X540)+IF(COUNTIF(X$641:X843,1)=1,5,0)+IF(COUNTIF($Z541:AB541,"&gt;"&amp;0)&gt;5,IF(MOD(COUNTIF(X$641:X843,1),7)=0,$C$4,0),0)</f>
        <v>73.5789092348996</v>
      </c>
      <c r="Y541" s="81" cm="1">
        <f ca="1" t="array" ref="Y541">IF(Y843=1,OFFSET($Z$338,$B541,Y$335-1)/SUMPRODUCT(--($D$335:$V$335=Y$335),--($D843:$V843=1)),0)+SUM(Y540)+IF(COUNTIF(Y$641:Y843,1)=1,5,0)+IF(COUNTIF($Z541:AC541,"&gt;"&amp;0)&gt;5,IF(MOD(COUNTIF(Y$641:Y843,1),7)=0,$C$4,0),0)</f>
        <v>66.8152489442662</v>
      </c>
      <c r="Z541" s="82" cm="1">
        <f ca="1" t="array" ref="Z541">SUMPRODUCT(TRANSPOSE($AD541:$AJ541),OFFSET($L$10:$L$16,0,Z$335-1))</f>
        <v>0</v>
      </c>
      <c r="AA541" s="82" cm="1">
        <f ca="1" t="array" ref="AA541">SUMPRODUCT(TRANSPOSE($AD541:$AJ541),OFFSET($L$10:$L$16,0,AA$335-1))</f>
        <v>0</v>
      </c>
      <c r="AB541" s="82" cm="1">
        <f ca="1" t="array" ref="AB541">SUMPRODUCT(TRANSPOSE($AD541:$AJ541),OFFSET($L$10:$L$16,0,AB$335-1))</f>
        <v>0</v>
      </c>
      <c r="AC541" s="82" cm="1">
        <f ca="1" t="array" ref="AC541">SUMPRODUCT(TRANSPOSE($AD541:$AJ541),OFFSET($L$10:$L$16,0,AC$335-1))</f>
        <v>0</v>
      </c>
      <c r="AD541" s="83">
        <f ca="1" t="shared" ref="AD541:AJ541" si="731">AK541-AK540</f>
        <v>0</v>
      </c>
      <c r="AE541" s="83">
        <f ca="1" t="shared" si="731"/>
        <v>0</v>
      </c>
      <c r="AF541" s="83">
        <f ca="1" t="shared" si="731"/>
        <v>0</v>
      </c>
      <c r="AG541" s="83">
        <f ca="1" t="shared" si="731"/>
        <v>0</v>
      </c>
      <c r="AH541" s="83">
        <f ca="1" t="shared" si="731"/>
        <v>0</v>
      </c>
      <c r="AI541" s="83">
        <f ca="1" t="shared" si="731"/>
        <v>0</v>
      </c>
      <c r="AJ541" s="83">
        <f ca="1" t="shared" si="731"/>
        <v>0</v>
      </c>
      <c r="AK541" s="83">
        <f ca="1" t="shared" si="711"/>
        <v>450</v>
      </c>
      <c r="AL541" s="83">
        <f ca="1" t="shared" ref="AL541:AQ541" si="732">IF($C541&gt;OFFSET($Q$9,MATCH(AL$338,$AK$338:$AQ$338,0),0),OFFSET($P$9,MATCH(AL$338,$AK$338:$AQ$338,0),0),MAX(0,$C541-OFFSET($Q$9,RIGHT(AL$338,1)-1,0)))</f>
        <v>909</v>
      </c>
      <c r="AM541" s="83">
        <f ca="1" t="shared" si="732"/>
        <v>1818</v>
      </c>
      <c r="AN541" s="83">
        <f ca="1" t="shared" si="732"/>
        <v>2727</v>
      </c>
      <c r="AO541" s="83">
        <f ca="1" t="shared" si="732"/>
        <v>3636</v>
      </c>
      <c r="AP541" s="83">
        <f ca="1" t="shared" si="732"/>
        <v>4545</v>
      </c>
      <c r="AQ541" s="83">
        <f ca="1" t="shared" si="732"/>
        <v>0</v>
      </c>
    </row>
    <row r="542" ht="16.5" spans="2:43">
      <c r="B542" s="65">
        <v>204</v>
      </c>
      <c r="C542" s="80">
        <f t="shared" si="709"/>
        <v>23766</v>
      </c>
      <c r="D542" s="81" cm="1">
        <f ca="1" t="array" ref="D542">IF(D844=1,OFFSET($Z$338,$B542,D$335-1)/SUMPRODUCT(--($D$335:$V$335=D$335),--($D844:$V844=1)),0)+SUM(D541)+IF(COUNTIF(D$641:D844,1)=1,5,0)+IF(COUNTIF(E542:$Z542,"&gt;"&amp;0)&gt;5,IF(MOD(COUNTIF(D$641:D844,1),7)=0,$C$4,0),0)</f>
        <v>1263.82134856666</v>
      </c>
      <c r="E542" s="81" cm="1">
        <f ca="1" t="array" ref="E542">IF(E844=1,OFFSET($Z$338,$B542,E$335-1)/SUMPRODUCT(--($D$335:$V$335=E$335),--($D844:$V844=1)),0)+SUM(E541)+IF(COUNTIF(E$641:E844,1)=1,5,0)+IF(COUNTIF(F542:$Z542,"&gt;"&amp;0)&gt;5,IF(MOD(COUNTIF(E$641:E844,1),7)=0,$C$4,0),0)</f>
        <v>1263.82134856666</v>
      </c>
      <c r="F542" s="81" cm="1">
        <f ca="1" t="array" ref="F542">IF(F844=1,OFFSET($Z$338,$B542,F$335-1)/SUMPRODUCT(--($D$335:$V$335=F$335),--($D844:$V844=1)),0)+SUM(F541)+IF(COUNTIF(F$641:F844,1)=1,5,0)+IF(COUNTIF(G542:$Z542,"&gt;"&amp;0)&gt;5,IF(MOD(COUNTIF(F$641:F844,1),7)=0,$C$4,0),0)</f>
        <v>1263.82134856666</v>
      </c>
      <c r="G542" s="81" cm="1">
        <f ca="1" t="array" ref="G542">IF(G844=1,OFFSET($Z$338,$B542,G$335-1)/SUMPRODUCT(--($D$335:$V$335=G$335),--($D844:$V844=1)),0)+SUM(G541)+IF(COUNTIF(G$641:G844,1)=1,5,0)+IF(COUNTIF(H542:$Z542,"&gt;"&amp;0)&gt;5,IF(MOD(COUNTIF(G$641:G844,1),7)=0,$C$4,0),0)</f>
        <v>552.516666666668</v>
      </c>
      <c r="H542" s="81" cm="1">
        <f ca="1" t="array" ref="H542">IF(H844=1,OFFSET($Z$338,$B542,H$335-1)/SUMPRODUCT(--($D$335:$V$335=H$335),--($D844:$V844=1)),0)+SUM(H541)+IF(COUNTIF(H$641:H844,1)=1,5,0)+IF(COUNTIF(I542:$Z542,"&gt;"&amp;0)&gt;5,IF(MOD(COUNTIF(H$641:H844,1),7)=0,$C$4,0),0)</f>
        <v>552.516666666668</v>
      </c>
      <c r="I542" s="81" cm="1">
        <f ca="1" t="array" ref="I542">IF(I844=1,OFFSET($Z$338,$B542,I$335-1)/SUMPRODUCT(--($D$335:$V$335=I$335),--($D844:$V844=1)),0)+SUM(I541)+IF(COUNTIF(I$641:I844,1)=1,5,0)+IF(COUNTIF(J542:$Z542,"&gt;"&amp;0)&gt;5,IF(MOD(COUNTIF(I$641:I844,1),7)=0,$C$4,0),0)</f>
        <v>552.516666666668</v>
      </c>
      <c r="J542" s="81" cm="1">
        <f ca="1" t="array" ref="J542">IF(J844=1,OFFSET($Z$338,$B542,J$335-1)/SUMPRODUCT(--($D$335:$V$335=J$335),--($D844:$V844=1)),0)+SUM(J541)+IF(COUNTIF(J$641:J844,1)=1,5,0)+IF(COUNTIF(K542:$Z542,"&gt;"&amp;0)&gt;5,IF(MOD(COUNTIF(J$641:J844,1),7)=0,$C$4,0),0)</f>
        <v>552.516666666668</v>
      </c>
      <c r="K542" s="81" cm="1">
        <f ca="1" t="array" ref="K542">IF(K844=1,OFFSET($Z$338,$B542,K$335-1)/SUMPRODUCT(--($D$335:$V$335=K$335),--($D844:$V844=1)),0)+SUM(K541)+IF(COUNTIF(K$641:K844,1)=1,5,0)+IF(COUNTIF(L542:$Z542,"&gt;"&amp;0)&gt;5,IF(MOD(COUNTIF(K$641:K844,1),7)=0,$C$4,0),0)</f>
        <v>552.516666666668</v>
      </c>
      <c r="L542" s="81" cm="1">
        <f ca="1" t="array" ref="L542">IF(L844=1,OFFSET($Z$338,$B542,L$335-1)/SUMPRODUCT(--($D$335:$V$335=L$335),--($D844:$V844=1)),0)+SUM(L541)+IF(COUNTIF(L$641:L844,1)=1,5,0)+IF(COUNTIF(M542:$Z542,"&gt;"&amp;0)&gt;5,IF(MOD(COUNTIF(L$641:L844,1),7)=0,$C$4,0),0)</f>
        <v>545.816666666668</v>
      </c>
      <c r="M542" s="81" cm="1">
        <f ca="1" t="array" ref="M542">IF(M844=1,OFFSET($Z$338,$B542,M$335-1)/SUMPRODUCT(--($D$335:$V$335=M$335),--($D844:$V844=1)),0)+SUM(M541)+IF(COUNTIF(M$641:M844,1)=1,5,0)+IF(COUNTIF(N542:$Z542,"&gt;"&amp;0)&gt;5,IF(MOD(COUNTIF(M$641:M844,1),7)=0,$C$4,0),0)</f>
        <v>300.644107142858</v>
      </c>
      <c r="N542" s="81" cm="1">
        <f ca="1" t="array" ref="N542">IF(N844=1,OFFSET($Z$338,$B542,N$335-1)/SUMPRODUCT(--($D$335:$V$335=N$335),--($D844:$V844=1)),0)+SUM(N541)+IF(COUNTIF(N$641:N844,1)=1,5,0)+IF(COUNTIF(O542:$Z542,"&gt;"&amp;0)&gt;5,IF(MOD(COUNTIF(N$641:N844,1),7)=0,$C$4,0),0)</f>
        <v>287.919107142858</v>
      </c>
      <c r="O542" s="81" cm="1">
        <f ca="1" t="array" ref="O542">IF(O844=1,OFFSET($Z$338,$B542,O$335-1)/SUMPRODUCT(--($D$335:$V$335=O$335),--($D844:$V844=1)),0)+SUM(O541)+IF(COUNTIF(O$641:O844,1)=1,5,0)+IF(COUNTIF(P542:$Z542,"&gt;"&amp;0)&gt;5,IF(MOD(COUNTIF(O$641:O844,1),7)=0,$C$4,0),0)</f>
        <v>285.494107142858</v>
      </c>
      <c r="P542" s="81" cm="1">
        <f ca="1" t="array" ref="P542">IF(P844=1,OFFSET($Z$338,$B542,P$335-1)/SUMPRODUCT(--($D$335:$V$335=P$335),--($D844:$V844=1)),0)+SUM(P541)+IF(COUNTIF(P$641:P844,1)=1,5,0)+IF(COUNTIF(Q542:$Z542,"&gt;"&amp;0)&gt;5,IF(MOD(COUNTIF(P$641:P844,1),7)=0,$C$4,0),0)</f>
        <v>282.560773809524</v>
      </c>
      <c r="Q542" s="81" cm="1">
        <f ca="1" t="array" ref="Q542">IF(Q844=1,OFFSET($Z$338,$B542,Q$335-1)/SUMPRODUCT(--($D$335:$V$335=Q$335),--($D844:$V844=1)),0)+SUM(Q541)+IF(COUNTIF(Q$641:Q844,1)=1,5,0)+IF(COUNTIF(R542:$Z542,"&gt;"&amp;0)&gt;5,IF(MOD(COUNTIF(Q$641:Q844,1),7)=0,$C$4,0),0)</f>
        <v>281.654523809524</v>
      </c>
      <c r="R542" s="81" cm="1">
        <f ca="1" t="array" ref="R542">IF(R844=1,OFFSET($Z$338,$B542,R$335-1)/SUMPRODUCT(--($D$335:$V$335=R$335),--($D844:$V844=1)),0)+SUM(R541)+IF(COUNTIF(R$641:R844,1)=1,5,0)+IF(COUNTIF(S542:$Z542,"&gt;"&amp;0)&gt;5,IF(MOD(COUNTIF(R$641:R844,1),7)=0,$C$4,0),0)</f>
        <v>256.759523809524</v>
      </c>
      <c r="S542" s="81" cm="1">
        <f ca="1" t="array" ref="S542">IF(S844=1,OFFSET($Z$338,$B542,S$335-1)/SUMPRODUCT(--($D$335:$V$335=S$335),--($D844:$V844=1)),0)+SUM(S541)+IF(COUNTIF(S$641:S844,1)=1,5,0)+IF(COUNTIF(T542:$Z542,"&gt;"&amp;0)&gt;5,IF(MOD(COUNTIF(S$641:S844,1),7)=0,$C$4,0),0)</f>
        <v>247.592857142857</v>
      </c>
      <c r="T542" s="81" cm="1">
        <f ca="1" t="array" ref="T542">IF(T844=1,OFFSET($Z$338,$B542,T$335-1)/SUMPRODUCT(--($D$335:$V$335=T$335),--($D844:$V844=1)),0)+SUM(T541)+IF(COUNTIF(T$641:T844,1)=1,5,0)+IF(COUNTIF(U542:$Z542,"&gt;"&amp;0)&gt;5,IF(MOD(COUNTIF(T$641:T844,1),7)=0,$C$4,0),0)</f>
        <v>137.656257829764</v>
      </c>
      <c r="U542" s="81" cm="1">
        <f ca="1" t="array" ref="U542">IF(U844=1,OFFSET($Z$338,$B542,U$335-1)/SUMPRODUCT(--($D$335:$V$335=U$335),--($D844:$V844=1)),0)+SUM(U541)+IF(COUNTIF(U$641:U844,1)=1,5,0)+IF(COUNTIF(V542:$Z542,"&gt;"&amp;0)&gt;5,IF(MOD(COUNTIF(U$641:U844,1),7)=0,$C$4,0),0)</f>
        <v>97.6562578297643</v>
      </c>
      <c r="V542" s="81" cm="1">
        <f ca="1" t="array" ref="V542">IF(V844=1,OFFSET($Z$338,$B542,V$335-1)/SUMPRODUCT(--($D$335:$V$335=V$335),--($D844:$V844=1)),0)+SUM(V541)+IF(COUNTIF(V$641:V844,1)=1,5,0)+IF(COUNTIF(Z542:$Z542,"&gt;"&amp;0)&gt;5,IF(MOD(COUNTIF(V$641:V844,1),7)=0,$C$4,0),0)</f>
        <v>89.6984386404824</v>
      </c>
      <c r="W542" s="81" cm="1">
        <f ca="1" t="array" ref="W542">IF(W844=1,OFFSET($Z$338,$B542,W$335-1)/SUMPRODUCT(--($D$335:$V$335=W$335),--($D844:$V844=1)),0)+SUM(W541)+IF(COUNTIF(W$641:W844,1)=1,5,0)+IF(COUNTIF($Z542:AA542,"&gt;"&amp;0)&gt;5,IF(MOD(COUNTIF(W$641:W844,1),7)=0,$C$4,0),0)</f>
        <v>80.3425695255331</v>
      </c>
      <c r="X542" s="81" cm="1">
        <f ca="1" t="array" ref="X542">IF(X844=1,OFFSET($Z$338,$B542,X$335-1)/SUMPRODUCT(--($D$335:$V$335=X$335),--($D844:$V844=1)),0)+SUM(X541)+IF(COUNTIF(X$641:X844,1)=1,5,0)+IF(COUNTIF($Z542:AB542,"&gt;"&amp;0)&gt;5,IF(MOD(COUNTIF(X$641:X844,1),7)=0,$C$4,0),0)</f>
        <v>73.5789092348996</v>
      </c>
      <c r="Y542" s="81" cm="1">
        <f ca="1" t="array" ref="Y542">IF(Y844=1,OFFSET($Z$338,$B542,Y$335-1)/SUMPRODUCT(--($D$335:$V$335=Y$335),--($D844:$V844=1)),0)+SUM(Y541)+IF(COUNTIF(Y$641:Y844,1)=1,5,0)+IF(COUNTIF($Z542:AC542,"&gt;"&amp;0)&gt;5,IF(MOD(COUNTIF(Y$641:Y844,1),7)=0,$C$4,0),0)</f>
        <v>66.8152489442662</v>
      </c>
      <c r="Z542" s="82" cm="1">
        <f ca="1" t="array" ref="Z542">SUMPRODUCT(TRANSPOSE($AD542:$AJ542),OFFSET($L$10:$L$16,0,Z$335-1))</f>
        <v>0</v>
      </c>
      <c r="AA542" s="82" cm="1">
        <f ca="1" t="array" ref="AA542">SUMPRODUCT(TRANSPOSE($AD542:$AJ542),OFFSET($L$10:$L$16,0,AA$335-1))</f>
        <v>0</v>
      </c>
      <c r="AB542" s="82" cm="1">
        <f ca="1" t="array" ref="AB542">SUMPRODUCT(TRANSPOSE($AD542:$AJ542),OFFSET($L$10:$L$16,0,AB$335-1))</f>
        <v>0</v>
      </c>
      <c r="AC542" s="82" cm="1">
        <f ca="1" t="array" ref="AC542">SUMPRODUCT(TRANSPOSE($AD542:$AJ542),OFFSET($L$10:$L$16,0,AC$335-1))</f>
        <v>0</v>
      </c>
      <c r="AD542" s="83">
        <f ca="1" t="shared" ref="AD542:AJ542" si="733">AK542-AK541</f>
        <v>0</v>
      </c>
      <c r="AE542" s="83">
        <f ca="1" t="shared" si="733"/>
        <v>0</v>
      </c>
      <c r="AF542" s="83">
        <f ca="1" t="shared" si="733"/>
        <v>0</v>
      </c>
      <c r="AG542" s="83">
        <f ca="1" t="shared" si="733"/>
        <v>0</v>
      </c>
      <c r="AH542" s="83">
        <f ca="1" t="shared" si="733"/>
        <v>0</v>
      </c>
      <c r="AI542" s="83">
        <f ca="1" t="shared" si="733"/>
        <v>0</v>
      </c>
      <c r="AJ542" s="83">
        <f ca="1" t="shared" si="733"/>
        <v>0</v>
      </c>
      <c r="AK542" s="83">
        <f ca="1" t="shared" si="711"/>
        <v>450</v>
      </c>
      <c r="AL542" s="83">
        <f ca="1" t="shared" ref="AL542:AQ542" si="734">IF($C542&gt;OFFSET($Q$9,MATCH(AL$338,$AK$338:$AQ$338,0),0),OFFSET($P$9,MATCH(AL$338,$AK$338:$AQ$338,0),0),MAX(0,$C542-OFFSET($Q$9,RIGHT(AL$338,1)-1,0)))</f>
        <v>909</v>
      </c>
      <c r="AM542" s="83">
        <f ca="1" t="shared" si="734"/>
        <v>1818</v>
      </c>
      <c r="AN542" s="83">
        <f ca="1" t="shared" si="734"/>
        <v>2727</v>
      </c>
      <c r="AO542" s="83">
        <f ca="1" t="shared" si="734"/>
        <v>3636</v>
      </c>
      <c r="AP542" s="83">
        <f ca="1" t="shared" si="734"/>
        <v>4545</v>
      </c>
      <c r="AQ542" s="83">
        <f ca="1" t="shared" si="734"/>
        <v>0</v>
      </c>
    </row>
    <row r="543" ht="16.5" spans="2:43">
      <c r="B543" s="65">
        <v>205</v>
      </c>
      <c r="C543" s="80">
        <f t="shared" si="709"/>
        <v>23876</v>
      </c>
      <c r="D543" s="81" cm="1">
        <f ca="1" t="array" ref="D543">IF(D845=1,OFFSET($Z$338,$B543,D$335-1)/SUMPRODUCT(--($D$335:$V$335=D$335),--($D845:$V845=1)),0)+SUM(D542)+IF(COUNTIF(D$641:D845,1)=1,5,0)+IF(COUNTIF(E543:$Z543,"&gt;"&amp;0)&gt;5,IF(MOD(COUNTIF(D$641:D845,1),7)=0,$C$4,0),0)</f>
        <v>1263.82134856666</v>
      </c>
      <c r="E543" s="81" cm="1">
        <f ca="1" t="array" ref="E543">IF(E845=1,OFFSET($Z$338,$B543,E$335-1)/SUMPRODUCT(--($D$335:$V$335=E$335),--($D845:$V845=1)),0)+SUM(E542)+IF(COUNTIF(E$641:E845,1)=1,5,0)+IF(COUNTIF(F543:$Z543,"&gt;"&amp;0)&gt;5,IF(MOD(COUNTIF(E$641:E845,1),7)=0,$C$4,0),0)</f>
        <v>1263.82134856666</v>
      </c>
      <c r="F543" s="81" cm="1">
        <f ca="1" t="array" ref="F543">IF(F845=1,OFFSET($Z$338,$B543,F$335-1)/SUMPRODUCT(--($D$335:$V$335=F$335),--($D845:$V845=1)),0)+SUM(F542)+IF(COUNTIF(F$641:F845,1)=1,5,0)+IF(COUNTIF(G543:$Z543,"&gt;"&amp;0)&gt;5,IF(MOD(COUNTIF(F$641:F845,1),7)=0,$C$4,0),0)</f>
        <v>1263.82134856666</v>
      </c>
      <c r="G543" s="81" cm="1">
        <f ca="1" t="array" ref="G543">IF(G845=1,OFFSET($Z$338,$B543,G$335-1)/SUMPRODUCT(--($D$335:$V$335=G$335),--($D845:$V845=1)),0)+SUM(G542)+IF(COUNTIF(G$641:G845,1)=1,5,0)+IF(COUNTIF(H543:$Z543,"&gt;"&amp;0)&gt;5,IF(MOD(COUNTIF(G$641:G845,1),7)=0,$C$4,0),0)</f>
        <v>552.516666666668</v>
      </c>
      <c r="H543" s="81" cm="1">
        <f ca="1" t="array" ref="H543">IF(H845=1,OFFSET($Z$338,$B543,H$335-1)/SUMPRODUCT(--($D$335:$V$335=H$335),--($D845:$V845=1)),0)+SUM(H542)+IF(COUNTIF(H$641:H845,1)=1,5,0)+IF(COUNTIF(I543:$Z543,"&gt;"&amp;0)&gt;5,IF(MOD(COUNTIF(H$641:H845,1),7)=0,$C$4,0),0)</f>
        <v>552.516666666668</v>
      </c>
      <c r="I543" s="81" cm="1">
        <f ca="1" t="array" ref="I543">IF(I845=1,OFFSET($Z$338,$B543,I$335-1)/SUMPRODUCT(--($D$335:$V$335=I$335),--($D845:$V845=1)),0)+SUM(I542)+IF(COUNTIF(I$641:I845,1)=1,5,0)+IF(COUNTIF(J543:$Z543,"&gt;"&amp;0)&gt;5,IF(MOD(COUNTIF(I$641:I845,1),7)=0,$C$4,0),0)</f>
        <v>552.516666666668</v>
      </c>
      <c r="J543" s="81" cm="1">
        <f ca="1" t="array" ref="J543">IF(J845=1,OFFSET($Z$338,$B543,J$335-1)/SUMPRODUCT(--($D$335:$V$335=J$335),--($D845:$V845=1)),0)+SUM(J542)+IF(COUNTIF(J$641:J845,1)=1,5,0)+IF(COUNTIF(K543:$Z543,"&gt;"&amp;0)&gt;5,IF(MOD(COUNTIF(J$641:J845,1),7)=0,$C$4,0),0)</f>
        <v>552.516666666668</v>
      </c>
      <c r="K543" s="81" cm="1">
        <f ca="1" t="array" ref="K543">IF(K845=1,OFFSET($Z$338,$B543,K$335-1)/SUMPRODUCT(--($D$335:$V$335=K$335),--($D845:$V845=1)),0)+SUM(K542)+IF(COUNTIF(K$641:K845,1)=1,5,0)+IF(COUNTIF(L543:$Z543,"&gt;"&amp;0)&gt;5,IF(MOD(COUNTIF(K$641:K845,1),7)=0,$C$4,0),0)</f>
        <v>552.516666666668</v>
      </c>
      <c r="L543" s="81" cm="1">
        <f ca="1" t="array" ref="L543">IF(L845=1,OFFSET($Z$338,$B543,L$335-1)/SUMPRODUCT(--($D$335:$V$335=L$335),--($D845:$V845=1)),0)+SUM(L542)+IF(COUNTIF(L$641:L845,1)=1,5,0)+IF(COUNTIF(M543:$Z543,"&gt;"&amp;0)&gt;5,IF(MOD(COUNTIF(L$641:L845,1),7)=0,$C$4,0),0)</f>
        <v>545.816666666668</v>
      </c>
      <c r="M543" s="81" cm="1">
        <f ca="1" t="array" ref="M543">IF(M845=1,OFFSET($Z$338,$B543,M$335-1)/SUMPRODUCT(--($D$335:$V$335=M$335),--($D845:$V845=1)),0)+SUM(M542)+IF(COUNTIF(M$641:M845,1)=1,5,0)+IF(COUNTIF(N543:$Z543,"&gt;"&amp;0)&gt;5,IF(MOD(COUNTIF(M$641:M845,1),7)=0,$C$4,0),0)</f>
        <v>300.644107142858</v>
      </c>
      <c r="N543" s="81" cm="1">
        <f ca="1" t="array" ref="N543">IF(N845=1,OFFSET($Z$338,$B543,N$335-1)/SUMPRODUCT(--($D$335:$V$335=N$335),--($D845:$V845=1)),0)+SUM(N542)+IF(COUNTIF(N$641:N845,1)=1,5,0)+IF(COUNTIF(O543:$Z543,"&gt;"&amp;0)&gt;5,IF(MOD(COUNTIF(N$641:N845,1),7)=0,$C$4,0),0)</f>
        <v>292.919107142858</v>
      </c>
      <c r="O543" s="81" cm="1">
        <f ca="1" t="array" ref="O543">IF(O845=1,OFFSET($Z$338,$B543,O$335-1)/SUMPRODUCT(--($D$335:$V$335=O$335),--($D845:$V845=1)),0)+SUM(O542)+IF(COUNTIF(O$641:O845,1)=1,5,0)+IF(COUNTIF(P543:$Z543,"&gt;"&amp;0)&gt;5,IF(MOD(COUNTIF(O$641:O845,1),7)=0,$C$4,0),0)</f>
        <v>285.494107142858</v>
      </c>
      <c r="P543" s="81" cm="1">
        <f ca="1" t="array" ref="P543">IF(P845=1,OFFSET($Z$338,$B543,P$335-1)/SUMPRODUCT(--($D$335:$V$335=P$335),--($D845:$V845=1)),0)+SUM(P542)+IF(COUNTIF(P$641:P845,1)=1,5,0)+IF(COUNTIF(Q543:$Z543,"&gt;"&amp;0)&gt;5,IF(MOD(COUNTIF(P$641:P845,1),7)=0,$C$4,0),0)</f>
        <v>282.560773809524</v>
      </c>
      <c r="Q543" s="81" cm="1">
        <f ca="1" t="array" ref="Q543">IF(Q845=1,OFFSET($Z$338,$B543,Q$335-1)/SUMPRODUCT(--($D$335:$V$335=Q$335),--($D845:$V845=1)),0)+SUM(Q542)+IF(COUNTIF(Q$641:Q845,1)=1,5,0)+IF(COUNTIF(R543:$Z543,"&gt;"&amp;0)&gt;5,IF(MOD(COUNTIF(Q$641:Q845,1),7)=0,$C$4,0),0)</f>
        <v>281.654523809524</v>
      </c>
      <c r="R543" s="81" cm="1">
        <f ca="1" t="array" ref="R543">IF(R845=1,OFFSET($Z$338,$B543,R$335-1)/SUMPRODUCT(--($D$335:$V$335=R$335),--($D845:$V845=1)),0)+SUM(R542)+IF(COUNTIF(R$641:R845,1)=1,5,0)+IF(COUNTIF(S543:$Z543,"&gt;"&amp;0)&gt;5,IF(MOD(COUNTIF(R$641:R845,1),7)=0,$C$4,0),0)</f>
        <v>256.759523809524</v>
      </c>
      <c r="S543" s="81" cm="1">
        <f ca="1" t="array" ref="S543">IF(S845=1,OFFSET($Z$338,$B543,S$335-1)/SUMPRODUCT(--($D$335:$V$335=S$335),--($D845:$V845=1)),0)+SUM(S542)+IF(COUNTIF(S$641:S845,1)=1,5,0)+IF(COUNTIF(T543:$Z543,"&gt;"&amp;0)&gt;5,IF(MOD(COUNTIF(S$641:S845,1),7)=0,$C$4,0),0)</f>
        <v>247.592857142857</v>
      </c>
      <c r="T543" s="81" cm="1">
        <f ca="1" t="array" ref="T543">IF(T845=1,OFFSET($Z$338,$B543,T$335-1)/SUMPRODUCT(--($D$335:$V$335=T$335),--($D845:$V845=1)),0)+SUM(T542)+IF(COUNTIF(T$641:T845,1)=1,5,0)+IF(COUNTIF(U543:$Z543,"&gt;"&amp;0)&gt;5,IF(MOD(COUNTIF(T$641:T845,1),7)=0,$C$4,0),0)</f>
        <v>137.656257829764</v>
      </c>
      <c r="U543" s="81" cm="1">
        <f ca="1" t="array" ref="U543">IF(U845=1,OFFSET($Z$338,$B543,U$335-1)/SUMPRODUCT(--($D$335:$V$335=U$335),--($D845:$V845=1)),0)+SUM(U542)+IF(COUNTIF(U$641:U845,1)=1,5,0)+IF(COUNTIF(V543:$Z543,"&gt;"&amp;0)&gt;5,IF(MOD(COUNTIF(U$641:U845,1),7)=0,$C$4,0),0)</f>
        <v>97.6562578297643</v>
      </c>
      <c r="V543" s="81" cm="1">
        <f ca="1" t="array" ref="V543">IF(V845=1,OFFSET($Z$338,$B543,V$335-1)/SUMPRODUCT(--($D$335:$V$335=V$335),--($D845:$V845=1)),0)+SUM(V542)+IF(COUNTIF(V$641:V845,1)=1,5,0)+IF(COUNTIF(Z543:$Z543,"&gt;"&amp;0)&gt;5,IF(MOD(COUNTIF(V$641:V845,1),7)=0,$C$4,0),0)</f>
        <v>89.6984386404824</v>
      </c>
      <c r="W543" s="81" cm="1">
        <f ca="1" t="array" ref="W543">IF(W845=1,OFFSET($Z$338,$B543,W$335-1)/SUMPRODUCT(--($D$335:$V$335=W$335),--($D845:$V845=1)),0)+SUM(W542)+IF(COUNTIF(W$641:W845,1)=1,5,0)+IF(COUNTIF($Z543:AA543,"&gt;"&amp;0)&gt;5,IF(MOD(COUNTIF(W$641:W845,1),7)=0,$C$4,0),0)</f>
        <v>80.3425695255331</v>
      </c>
      <c r="X543" s="81" cm="1">
        <f ca="1" t="array" ref="X543">IF(X845=1,OFFSET($Z$338,$B543,X$335-1)/SUMPRODUCT(--($D$335:$V$335=X$335),--($D845:$V845=1)),0)+SUM(X542)+IF(COUNTIF(X$641:X845,1)=1,5,0)+IF(COUNTIF($Z543:AB543,"&gt;"&amp;0)&gt;5,IF(MOD(COUNTIF(X$641:X845,1),7)=0,$C$4,0),0)</f>
        <v>73.5789092348996</v>
      </c>
      <c r="Y543" s="81" cm="1">
        <f ca="1" t="array" ref="Y543">IF(Y845=1,OFFSET($Z$338,$B543,Y$335-1)/SUMPRODUCT(--($D$335:$V$335=Y$335),--($D845:$V845=1)),0)+SUM(Y542)+IF(COUNTIF(Y$641:Y845,1)=1,5,0)+IF(COUNTIF($Z543:AC543,"&gt;"&amp;0)&gt;5,IF(MOD(COUNTIF(Y$641:Y845,1),7)=0,$C$4,0),0)</f>
        <v>66.8152489442662</v>
      </c>
      <c r="Z543" s="82" cm="1">
        <f ca="1" t="array" ref="Z543">SUMPRODUCT(TRANSPOSE($AD543:$AJ543),OFFSET($L$10:$L$16,0,Z$335-1))</f>
        <v>0</v>
      </c>
      <c r="AA543" s="82" cm="1">
        <f ca="1" t="array" ref="AA543">SUMPRODUCT(TRANSPOSE($AD543:$AJ543),OFFSET($L$10:$L$16,0,AA$335-1))</f>
        <v>0</v>
      </c>
      <c r="AB543" s="82" cm="1">
        <f ca="1" t="array" ref="AB543">SUMPRODUCT(TRANSPOSE($AD543:$AJ543),OFFSET($L$10:$L$16,0,AB$335-1))</f>
        <v>0</v>
      </c>
      <c r="AC543" s="82" cm="1">
        <f ca="1" t="array" ref="AC543">SUMPRODUCT(TRANSPOSE($AD543:$AJ543),OFFSET($L$10:$L$16,0,AC$335-1))</f>
        <v>0</v>
      </c>
      <c r="AD543" s="83">
        <f ca="1" t="shared" ref="AD543:AJ543" si="735">AK543-AK542</f>
        <v>0</v>
      </c>
      <c r="AE543" s="83">
        <f ca="1" t="shared" si="735"/>
        <v>0</v>
      </c>
      <c r="AF543" s="83">
        <f ca="1" t="shared" si="735"/>
        <v>0</v>
      </c>
      <c r="AG543" s="83">
        <f ca="1" t="shared" si="735"/>
        <v>0</v>
      </c>
      <c r="AH543" s="83">
        <f ca="1" t="shared" si="735"/>
        <v>0</v>
      </c>
      <c r="AI543" s="83">
        <f ca="1" t="shared" si="735"/>
        <v>0</v>
      </c>
      <c r="AJ543" s="83">
        <f ca="1" t="shared" si="735"/>
        <v>0</v>
      </c>
      <c r="AK543" s="83">
        <f ca="1" t="shared" si="711"/>
        <v>450</v>
      </c>
      <c r="AL543" s="83">
        <f ca="1" t="shared" ref="AL543:AQ543" si="736">IF($C543&gt;OFFSET($Q$9,MATCH(AL$338,$AK$338:$AQ$338,0),0),OFFSET($P$9,MATCH(AL$338,$AK$338:$AQ$338,0),0),MAX(0,$C543-OFFSET($Q$9,RIGHT(AL$338,1)-1,0)))</f>
        <v>909</v>
      </c>
      <c r="AM543" s="83">
        <f ca="1" t="shared" si="736"/>
        <v>1818</v>
      </c>
      <c r="AN543" s="83">
        <f ca="1" t="shared" si="736"/>
        <v>2727</v>
      </c>
      <c r="AO543" s="83">
        <f ca="1" t="shared" si="736"/>
        <v>3636</v>
      </c>
      <c r="AP543" s="83">
        <f ca="1" t="shared" si="736"/>
        <v>4545</v>
      </c>
      <c r="AQ543" s="83">
        <f ca="1" t="shared" si="736"/>
        <v>0</v>
      </c>
    </row>
    <row r="544" ht="16.5" spans="2:43">
      <c r="B544" s="65">
        <v>206</v>
      </c>
      <c r="C544" s="80">
        <f t="shared" si="709"/>
        <v>23986</v>
      </c>
      <c r="D544" s="81" cm="1">
        <f ca="1" t="array" ref="D544">IF(D846=1,OFFSET($Z$338,$B544,D$335-1)/SUMPRODUCT(--($D$335:$V$335=D$335),--($D846:$V846=1)),0)+SUM(D543)+IF(COUNTIF(D$641:D846,1)=1,5,0)+IF(COUNTIF(E544:$Z544,"&gt;"&amp;0)&gt;5,IF(MOD(COUNTIF(D$641:D846,1),7)=0,$C$4,0),0)</f>
        <v>1263.82134856666</v>
      </c>
      <c r="E544" s="81" cm="1">
        <f ca="1" t="array" ref="E544">IF(E846=1,OFFSET($Z$338,$B544,E$335-1)/SUMPRODUCT(--($D$335:$V$335=E$335),--($D846:$V846=1)),0)+SUM(E543)+IF(COUNTIF(E$641:E846,1)=1,5,0)+IF(COUNTIF(F544:$Z544,"&gt;"&amp;0)&gt;5,IF(MOD(COUNTIF(E$641:E846,1),7)=0,$C$4,0),0)</f>
        <v>1263.82134856666</v>
      </c>
      <c r="F544" s="81" cm="1">
        <f ca="1" t="array" ref="F544">IF(F846=1,OFFSET($Z$338,$B544,F$335-1)/SUMPRODUCT(--($D$335:$V$335=F$335),--($D846:$V846=1)),0)+SUM(F543)+IF(COUNTIF(F$641:F846,1)=1,5,0)+IF(COUNTIF(G544:$Z544,"&gt;"&amp;0)&gt;5,IF(MOD(COUNTIF(F$641:F846,1),7)=0,$C$4,0),0)</f>
        <v>1263.82134856666</v>
      </c>
      <c r="G544" s="81" cm="1">
        <f ca="1" t="array" ref="G544">IF(G846=1,OFFSET($Z$338,$B544,G$335-1)/SUMPRODUCT(--($D$335:$V$335=G$335),--($D846:$V846=1)),0)+SUM(G543)+IF(COUNTIF(G$641:G846,1)=1,5,0)+IF(COUNTIF(H544:$Z544,"&gt;"&amp;0)&gt;5,IF(MOD(COUNTIF(G$641:G846,1),7)=0,$C$4,0),0)</f>
        <v>552.516666666668</v>
      </c>
      <c r="H544" s="81" cm="1">
        <f ca="1" t="array" ref="H544">IF(H846=1,OFFSET($Z$338,$B544,H$335-1)/SUMPRODUCT(--($D$335:$V$335=H$335),--($D846:$V846=1)),0)+SUM(H543)+IF(COUNTIF(H$641:H846,1)=1,5,0)+IF(COUNTIF(I544:$Z544,"&gt;"&amp;0)&gt;5,IF(MOD(COUNTIF(H$641:H846,1),7)=0,$C$4,0),0)</f>
        <v>552.516666666668</v>
      </c>
      <c r="I544" s="81" cm="1">
        <f ca="1" t="array" ref="I544">IF(I846=1,OFFSET($Z$338,$B544,I$335-1)/SUMPRODUCT(--($D$335:$V$335=I$335),--($D846:$V846=1)),0)+SUM(I543)+IF(COUNTIF(I$641:I846,1)=1,5,0)+IF(COUNTIF(J544:$Z544,"&gt;"&amp;0)&gt;5,IF(MOD(COUNTIF(I$641:I846,1),7)=0,$C$4,0),0)</f>
        <v>552.516666666668</v>
      </c>
      <c r="J544" s="81" cm="1">
        <f ca="1" t="array" ref="J544">IF(J846=1,OFFSET($Z$338,$B544,J$335-1)/SUMPRODUCT(--($D$335:$V$335=J$335),--($D846:$V846=1)),0)+SUM(J543)+IF(COUNTIF(J$641:J846,1)=1,5,0)+IF(COUNTIF(K544:$Z544,"&gt;"&amp;0)&gt;5,IF(MOD(COUNTIF(J$641:J846,1),7)=0,$C$4,0),0)</f>
        <v>552.516666666668</v>
      </c>
      <c r="K544" s="81" cm="1">
        <f ca="1" t="array" ref="K544">IF(K846=1,OFFSET($Z$338,$B544,K$335-1)/SUMPRODUCT(--($D$335:$V$335=K$335),--($D846:$V846=1)),0)+SUM(K543)+IF(COUNTIF(K$641:K846,1)=1,5,0)+IF(COUNTIF(L544:$Z544,"&gt;"&amp;0)&gt;5,IF(MOD(COUNTIF(K$641:K846,1),7)=0,$C$4,0),0)</f>
        <v>552.516666666668</v>
      </c>
      <c r="L544" s="81" cm="1">
        <f ca="1" t="array" ref="L544">IF(L846=1,OFFSET($Z$338,$B544,L$335-1)/SUMPRODUCT(--($D$335:$V$335=L$335),--($D846:$V846=1)),0)+SUM(L543)+IF(COUNTIF(L$641:L846,1)=1,5,0)+IF(COUNTIF(M544:$Z544,"&gt;"&amp;0)&gt;5,IF(MOD(COUNTIF(L$641:L846,1),7)=0,$C$4,0),0)</f>
        <v>545.816666666668</v>
      </c>
      <c r="M544" s="81" cm="1">
        <f ca="1" t="array" ref="M544">IF(M846=1,OFFSET($Z$338,$B544,M$335-1)/SUMPRODUCT(--($D$335:$V$335=M$335),--($D846:$V846=1)),0)+SUM(M543)+IF(COUNTIF(M$641:M846,1)=1,5,0)+IF(COUNTIF(N544:$Z544,"&gt;"&amp;0)&gt;5,IF(MOD(COUNTIF(M$641:M846,1),7)=0,$C$4,0),0)</f>
        <v>300.644107142858</v>
      </c>
      <c r="N544" s="81" cm="1">
        <f ca="1" t="array" ref="N544">IF(N846=1,OFFSET($Z$338,$B544,N$335-1)/SUMPRODUCT(--($D$335:$V$335=N$335),--($D846:$V846=1)),0)+SUM(N543)+IF(COUNTIF(N$641:N846,1)=1,5,0)+IF(COUNTIF(O544:$Z544,"&gt;"&amp;0)&gt;5,IF(MOD(COUNTIF(N$641:N846,1),7)=0,$C$4,0),0)</f>
        <v>292.919107142858</v>
      </c>
      <c r="O544" s="81" cm="1">
        <f ca="1" t="array" ref="O544">IF(O846=1,OFFSET($Z$338,$B544,O$335-1)/SUMPRODUCT(--($D$335:$V$335=O$335),--($D846:$V846=1)),0)+SUM(O543)+IF(COUNTIF(O$641:O846,1)=1,5,0)+IF(COUNTIF(P544:$Z544,"&gt;"&amp;0)&gt;5,IF(MOD(COUNTIF(O$641:O846,1),7)=0,$C$4,0),0)</f>
        <v>290.494107142858</v>
      </c>
      <c r="P544" s="81" cm="1">
        <f ca="1" t="array" ref="P544">IF(P846=1,OFFSET($Z$338,$B544,P$335-1)/SUMPRODUCT(--($D$335:$V$335=P$335),--($D846:$V846=1)),0)+SUM(P543)+IF(COUNTIF(P$641:P846,1)=1,5,0)+IF(COUNTIF(Q544:$Z544,"&gt;"&amp;0)&gt;5,IF(MOD(COUNTIF(P$641:P846,1),7)=0,$C$4,0),0)</f>
        <v>282.560773809524</v>
      </c>
      <c r="Q544" s="81" cm="1">
        <f ca="1" t="array" ref="Q544">IF(Q846=1,OFFSET($Z$338,$B544,Q$335-1)/SUMPRODUCT(--($D$335:$V$335=Q$335),--($D846:$V846=1)),0)+SUM(Q543)+IF(COUNTIF(Q$641:Q846,1)=1,5,0)+IF(COUNTIF(R544:$Z544,"&gt;"&amp;0)&gt;5,IF(MOD(COUNTIF(Q$641:Q846,1),7)=0,$C$4,0),0)</f>
        <v>281.654523809524</v>
      </c>
      <c r="R544" s="81" cm="1">
        <f ca="1" t="array" ref="R544">IF(R846=1,OFFSET($Z$338,$B544,R$335-1)/SUMPRODUCT(--($D$335:$V$335=R$335),--($D846:$V846=1)),0)+SUM(R543)+IF(COUNTIF(R$641:R846,1)=1,5,0)+IF(COUNTIF(S544:$Z544,"&gt;"&amp;0)&gt;5,IF(MOD(COUNTIF(R$641:R846,1),7)=0,$C$4,0),0)</f>
        <v>256.759523809524</v>
      </c>
      <c r="S544" s="81" cm="1">
        <f ca="1" t="array" ref="S544">IF(S846=1,OFFSET($Z$338,$B544,S$335-1)/SUMPRODUCT(--($D$335:$V$335=S$335),--($D846:$V846=1)),0)+SUM(S543)+IF(COUNTIF(S$641:S846,1)=1,5,0)+IF(COUNTIF(T544:$Z544,"&gt;"&amp;0)&gt;5,IF(MOD(COUNTIF(S$641:S846,1),7)=0,$C$4,0),0)</f>
        <v>247.592857142857</v>
      </c>
      <c r="T544" s="81" cm="1">
        <f ca="1" t="array" ref="T544">IF(T846=1,OFFSET($Z$338,$B544,T$335-1)/SUMPRODUCT(--($D$335:$V$335=T$335),--($D846:$V846=1)),0)+SUM(T543)+IF(COUNTIF(T$641:T846,1)=1,5,0)+IF(COUNTIF(U544:$Z544,"&gt;"&amp;0)&gt;5,IF(MOD(COUNTIF(T$641:T846,1),7)=0,$C$4,0),0)</f>
        <v>137.656257829764</v>
      </c>
      <c r="U544" s="81" cm="1">
        <f ca="1" t="array" ref="U544">IF(U846=1,OFFSET($Z$338,$B544,U$335-1)/SUMPRODUCT(--($D$335:$V$335=U$335),--($D846:$V846=1)),0)+SUM(U543)+IF(COUNTIF(U$641:U846,1)=1,5,0)+IF(COUNTIF(V544:$Z544,"&gt;"&amp;0)&gt;5,IF(MOD(COUNTIF(U$641:U846,1),7)=0,$C$4,0),0)</f>
        <v>97.6562578297643</v>
      </c>
      <c r="V544" s="81" cm="1">
        <f ca="1" t="array" ref="V544">IF(V846=1,OFFSET($Z$338,$B544,V$335-1)/SUMPRODUCT(--($D$335:$V$335=V$335),--($D846:$V846=1)),0)+SUM(V543)+IF(COUNTIF(V$641:V846,1)=1,5,0)+IF(COUNTIF(Z544:$Z544,"&gt;"&amp;0)&gt;5,IF(MOD(COUNTIF(V$641:V846,1),7)=0,$C$4,0),0)</f>
        <v>89.6984386404824</v>
      </c>
      <c r="W544" s="81" cm="1">
        <f ca="1" t="array" ref="W544">IF(W846=1,OFFSET($Z$338,$B544,W$335-1)/SUMPRODUCT(--($D$335:$V$335=W$335),--($D846:$V846=1)),0)+SUM(W543)+IF(COUNTIF(W$641:W846,1)=1,5,0)+IF(COUNTIF($Z544:AA544,"&gt;"&amp;0)&gt;5,IF(MOD(COUNTIF(W$641:W846,1),7)=0,$C$4,0),0)</f>
        <v>80.3425695255331</v>
      </c>
      <c r="X544" s="81" cm="1">
        <f ca="1" t="array" ref="X544">IF(X846=1,OFFSET($Z$338,$B544,X$335-1)/SUMPRODUCT(--($D$335:$V$335=X$335),--($D846:$V846=1)),0)+SUM(X543)+IF(COUNTIF(X$641:X846,1)=1,5,0)+IF(COUNTIF($Z544:AB544,"&gt;"&amp;0)&gt;5,IF(MOD(COUNTIF(X$641:X846,1),7)=0,$C$4,0),0)</f>
        <v>73.5789092348996</v>
      </c>
      <c r="Y544" s="81" cm="1">
        <f ca="1" t="array" ref="Y544">IF(Y846=1,OFFSET($Z$338,$B544,Y$335-1)/SUMPRODUCT(--($D$335:$V$335=Y$335),--($D846:$V846=1)),0)+SUM(Y543)+IF(COUNTIF(Y$641:Y846,1)=1,5,0)+IF(COUNTIF($Z544:AC544,"&gt;"&amp;0)&gt;5,IF(MOD(COUNTIF(Y$641:Y846,1),7)=0,$C$4,0),0)</f>
        <v>66.8152489442662</v>
      </c>
      <c r="Z544" s="82" cm="1">
        <f ca="1" t="array" ref="Z544">SUMPRODUCT(TRANSPOSE($AD544:$AJ544),OFFSET($L$10:$L$16,0,Z$335-1))</f>
        <v>0</v>
      </c>
      <c r="AA544" s="82" cm="1">
        <f ca="1" t="array" ref="AA544">SUMPRODUCT(TRANSPOSE($AD544:$AJ544),OFFSET($L$10:$L$16,0,AA$335-1))</f>
        <v>0</v>
      </c>
      <c r="AB544" s="82" cm="1">
        <f ca="1" t="array" ref="AB544">SUMPRODUCT(TRANSPOSE($AD544:$AJ544),OFFSET($L$10:$L$16,0,AB$335-1))</f>
        <v>0</v>
      </c>
      <c r="AC544" s="82" cm="1">
        <f ca="1" t="array" ref="AC544">SUMPRODUCT(TRANSPOSE($AD544:$AJ544),OFFSET($L$10:$L$16,0,AC$335-1))</f>
        <v>0</v>
      </c>
      <c r="AD544" s="83">
        <f ca="1" t="shared" ref="AD544:AJ544" si="737">AK544-AK543</f>
        <v>0</v>
      </c>
      <c r="AE544" s="83">
        <f ca="1" t="shared" si="737"/>
        <v>0</v>
      </c>
      <c r="AF544" s="83">
        <f ca="1" t="shared" si="737"/>
        <v>0</v>
      </c>
      <c r="AG544" s="83">
        <f ca="1" t="shared" si="737"/>
        <v>0</v>
      </c>
      <c r="AH544" s="83">
        <f ca="1" t="shared" si="737"/>
        <v>0</v>
      </c>
      <c r="AI544" s="83">
        <f ca="1" t="shared" si="737"/>
        <v>0</v>
      </c>
      <c r="AJ544" s="83">
        <f ca="1" t="shared" si="737"/>
        <v>0</v>
      </c>
      <c r="AK544" s="83">
        <f ca="1" t="shared" si="711"/>
        <v>450</v>
      </c>
      <c r="AL544" s="83">
        <f ca="1" t="shared" ref="AL544:AQ544" si="738">IF($C544&gt;OFFSET($Q$9,MATCH(AL$338,$AK$338:$AQ$338,0),0),OFFSET($P$9,MATCH(AL$338,$AK$338:$AQ$338,0),0),MAX(0,$C544-OFFSET($Q$9,RIGHT(AL$338,1)-1,0)))</f>
        <v>909</v>
      </c>
      <c r="AM544" s="83">
        <f ca="1" t="shared" si="738"/>
        <v>1818</v>
      </c>
      <c r="AN544" s="83">
        <f ca="1" t="shared" si="738"/>
        <v>2727</v>
      </c>
      <c r="AO544" s="83">
        <f ca="1" t="shared" si="738"/>
        <v>3636</v>
      </c>
      <c r="AP544" s="83">
        <f ca="1" t="shared" si="738"/>
        <v>4545</v>
      </c>
      <c r="AQ544" s="83">
        <f ca="1" t="shared" si="738"/>
        <v>0</v>
      </c>
    </row>
    <row r="545" ht="16.5" spans="2:43">
      <c r="B545" s="65">
        <v>207</v>
      </c>
      <c r="C545" s="80">
        <f t="shared" si="709"/>
        <v>24096</v>
      </c>
      <c r="D545" s="81" cm="1">
        <f ca="1" t="array" ref="D545">IF(D847=1,OFFSET($Z$338,$B545,D$335-1)/SUMPRODUCT(--($D$335:$V$335=D$335),--($D847:$V847=1)),0)+SUM(D544)+IF(COUNTIF(D$641:D847,1)=1,5,0)+IF(COUNTIF(E545:$Z545,"&gt;"&amp;0)&gt;5,IF(MOD(COUNTIF(D$641:D847,1),7)=0,$C$4,0),0)</f>
        <v>1263.82134856666</v>
      </c>
      <c r="E545" s="81" cm="1">
        <f ca="1" t="array" ref="E545">IF(E847=1,OFFSET($Z$338,$B545,E$335-1)/SUMPRODUCT(--($D$335:$V$335=E$335),--($D847:$V847=1)),0)+SUM(E544)+IF(COUNTIF(E$641:E847,1)=1,5,0)+IF(COUNTIF(F545:$Z545,"&gt;"&amp;0)&gt;5,IF(MOD(COUNTIF(E$641:E847,1),7)=0,$C$4,0),0)</f>
        <v>1263.82134856666</v>
      </c>
      <c r="F545" s="81" cm="1">
        <f ca="1" t="array" ref="F545">IF(F847=1,OFFSET($Z$338,$B545,F$335-1)/SUMPRODUCT(--($D$335:$V$335=F$335),--($D847:$V847=1)),0)+SUM(F544)+IF(COUNTIF(F$641:F847,1)=1,5,0)+IF(COUNTIF(G545:$Z545,"&gt;"&amp;0)&gt;5,IF(MOD(COUNTIF(F$641:F847,1),7)=0,$C$4,0),0)</f>
        <v>1263.82134856666</v>
      </c>
      <c r="G545" s="81" cm="1">
        <f ca="1" t="array" ref="G545">IF(G847=1,OFFSET($Z$338,$B545,G$335-1)/SUMPRODUCT(--($D$335:$V$335=G$335),--($D847:$V847=1)),0)+SUM(G544)+IF(COUNTIF(G$641:G847,1)=1,5,0)+IF(COUNTIF(H545:$Z545,"&gt;"&amp;0)&gt;5,IF(MOD(COUNTIF(G$641:G847,1),7)=0,$C$4,0),0)</f>
        <v>552.516666666668</v>
      </c>
      <c r="H545" s="81" cm="1">
        <f ca="1" t="array" ref="H545">IF(H847=1,OFFSET($Z$338,$B545,H$335-1)/SUMPRODUCT(--($D$335:$V$335=H$335),--($D847:$V847=1)),0)+SUM(H544)+IF(COUNTIF(H$641:H847,1)=1,5,0)+IF(COUNTIF(I545:$Z545,"&gt;"&amp;0)&gt;5,IF(MOD(COUNTIF(H$641:H847,1),7)=0,$C$4,0),0)</f>
        <v>552.516666666668</v>
      </c>
      <c r="I545" s="81" cm="1">
        <f ca="1" t="array" ref="I545">IF(I847=1,OFFSET($Z$338,$B545,I$335-1)/SUMPRODUCT(--($D$335:$V$335=I$335),--($D847:$V847=1)),0)+SUM(I544)+IF(COUNTIF(I$641:I847,1)=1,5,0)+IF(COUNTIF(J545:$Z545,"&gt;"&amp;0)&gt;5,IF(MOD(COUNTIF(I$641:I847,1),7)=0,$C$4,0),0)</f>
        <v>552.516666666668</v>
      </c>
      <c r="J545" s="81" cm="1">
        <f ca="1" t="array" ref="J545">IF(J847=1,OFFSET($Z$338,$B545,J$335-1)/SUMPRODUCT(--($D$335:$V$335=J$335),--($D847:$V847=1)),0)+SUM(J544)+IF(COUNTIF(J$641:J847,1)=1,5,0)+IF(COUNTIF(K545:$Z545,"&gt;"&amp;0)&gt;5,IF(MOD(COUNTIF(J$641:J847,1),7)=0,$C$4,0),0)</f>
        <v>552.516666666668</v>
      </c>
      <c r="K545" s="81" cm="1">
        <f ca="1" t="array" ref="K545">IF(K847=1,OFFSET($Z$338,$B545,K$335-1)/SUMPRODUCT(--($D$335:$V$335=K$335),--($D847:$V847=1)),0)+SUM(K544)+IF(COUNTIF(K$641:K847,1)=1,5,0)+IF(COUNTIF(L545:$Z545,"&gt;"&amp;0)&gt;5,IF(MOD(COUNTIF(K$641:K847,1),7)=0,$C$4,0),0)</f>
        <v>552.516666666668</v>
      </c>
      <c r="L545" s="81" cm="1">
        <f ca="1" t="array" ref="L545">IF(L847=1,OFFSET($Z$338,$B545,L$335-1)/SUMPRODUCT(--($D$335:$V$335=L$335),--($D847:$V847=1)),0)+SUM(L544)+IF(COUNTIF(L$641:L847,1)=1,5,0)+IF(COUNTIF(M545:$Z545,"&gt;"&amp;0)&gt;5,IF(MOD(COUNTIF(L$641:L847,1),7)=0,$C$4,0),0)</f>
        <v>545.816666666668</v>
      </c>
      <c r="M545" s="81" cm="1">
        <f ca="1" t="array" ref="M545">IF(M847=1,OFFSET($Z$338,$B545,M$335-1)/SUMPRODUCT(--($D$335:$V$335=M$335),--($D847:$V847=1)),0)+SUM(M544)+IF(COUNTIF(M$641:M847,1)=1,5,0)+IF(COUNTIF(N545:$Z545,"&gt;"&amp;0)&gt;5,IF(MOD(COUNTIF(M$641:M847,1),7)=0,$C$4,0),0)</f>
        <v>300.644107142858</v>
      </c>
      <c r="N545" s="81" cm="1">
        <f ca="1" t="array" ref="N545">IF(N847=1,OFFSET($Z$338,$B545,N$335-1)/SUMPRODUCT(--($D$335:$V$335=N$335),--($D847:$V847=1)),0)+SUM(N544)+IF(COUNTIF(N$641:N847,1)=1,5,0)+IF(COUNTIF(O545:$Z545,"&gt;"&amp;0)&gt;5,IF(MOD(COUNTIF(N$641:N847,1),7)=0,$C$4,0),0)</f>
        <v>292.919107142858</v>
      </c>
      <c r="O545" s="81" cm="1">
        <f ca="1" t="array" ref="O545">IF(O847=1,OFFSET($Z$338,$B545,O$335-1)/SUMPRODUCT(--($D$335:$V$335=O$335),--($D847:$V847=1)),0)+SUM(O544)+IF(COUNTIF(O$641:O847,1)=1,5,0)+IF(COUNTIF(P545:$Z545,"&gt;"&amp;0)&gt;5,IF(MOD(COUNTIF(O$641:O847,1),7)=0,$C$4,0),0)</f>
        <v>290.494107142858</v>
      </c>
      <c r="P545" s="81" cm="1">
        <f ca="1" t="array" ref="P545">IF(P847=1,OFFSET($Z$338,$B545,P$335-1)/SUMPRODUCT(--($D$335:$V$335=P$335),--($D847:$V847=1)),0)+SUM(P544)+IF(COUNTIF(P$641:P847,1)=1,5,0)+IF(COUNTIF(Q545:$Z545,"&gt;"&amp;0)&gt;5,IF(MOD(COUNTIF(P$641:P847,1),7)=0,$C$4,0),0)</f>
        <v>282.560773809524</v>
      </c>
      <c r="Q545" s="81" cm="1">
        <f ca="1" t="array" ref="Q545">IF(Q847=1,OFFSET($Z$338,$B545,Q$335-1)/SUMPRODUCT(--($D$335:$V$335=Q$335),--($D847:$V847=1)),0)+SUM(Q544)+IF(COUNTIF(Q$641:Q847,1)=1,5,0)+IF(COUNTIF(R545:$Z545,"&gt;"&amp;0)&gt;5,IF(MOD(COUNTIF(Q$641:Q847,1),7)=0,$C$4,0),0)</f>
        <v>281.654523809524</v>
      </c>
      <c r="R545" s="81" cm="1">
        <f ca="1" t="array" ref="R545">IF(R847=1,OFFSET($Z$338,$B545,R$335-1)/SUMPRODUCT(--($D$335:$V$335=R$335),--($D847:$V847=1)),0)+SUM(R544)+IF(COUNTIF(R$641:R847,1)=1,5,0)+IF(COUNTIF(S545:$Z545,"&gt;"&amp;0)&gt;5,IF(MOD(COUNTIF(R$641:R847,1),7)=0,$C$4,0),0)</f>
        <v>256.759523809524</v>
      </c>
      <c r="S545" s="81" cm="1">
        <f ca="1" t="array" ref="S545">IF(S847=1,OFFSET($Z$338,$B545,S$335-1)/SUMPRODUCT(--($D$335:$V$335=S$335),--($D847:$V847=1)),0)+SUM(S544)+IF(COUNTIF(S$641:S847,1)=1,5,0)+IF(COUNTIF(T545:$Z545,"&gt;"&amp;0)&gt;5,IF(MOD(COUNTIF(S$641:S847,1),7)=0,$C$4,0),0)</f>
        <v>247.592857142857</v>
      </c>
      <c r="T545" s="81" cm="1">
        <f ca="1" t="array" ref="T545">IF(T847=1,OFFSET($Z$338,$B545,T$335-1)/SUMPRODUCT(--($D$335:$V$335=T$335),--($D847:$V847=1)),0)+SUM(T544)+IF(COUNTIF(T$641:T847,1)=1,5,0)+IF(COUNTIF(U545:$Z545,"&gt;"&amp;0)&gt;5,IF(MOD(COUNTIF(T$641:T847,1),7)=0,$C$4,0),0)</f>
        <v>137.656257829764</v>
      </c>
      <c r="U545" s="81" cm="1">
        <f ca="1" t="array" ref="U545">IF(U847=1,OFFSET($Z$338,$B545,U$335-1)/SUMPRODUCT(--($D$335:$V$335=U$335),--($D847:$V847=1)),0)+SUM(U544)+IF(COUNTIF(U$641:U847,1)=1,5,0)+IF(COUNTIF(V545:$Z545,"&gt;"&amp;0)&gt;5,IF(MOD(COUNTIF(U$641:U847,1),7)=0,$C$4,0),0)</f>
        <v>97.6562578297643</v>
      </c>
      <c r="V545" s="81" cm="1">
        <f ca="1" t="array" ref="V545">IF(V847=1,OFFSET($Z$338,$B545,V$335-1)/SUMPRODUCT(--($D$335:$V$335=V$335),--($D847:$V847=1)),0)+SUM(V544)+IF(COUNTIF(V$641:V847,1)=1,5,0)+IF(COUNTIF(Z545:$Z545,"&gt;"&amp;0)&gt;5,IF(MOD(COUNTIF(V$641:V847,1),7)=0,$C$4,0),0)</f>
        <v>89.6984386404824</v>
      </c>
      <c r="W545" s="81" cm="1">
        <f ca="1" t="array" ref="W545">IF(W847=1,OFFSET($Z$338,$B545,W$335-1)/SUMPRODUCT(--($D$335:$V$335=W$335),--($D847:$V847=1)),0)+SUM(W544)+IF(COUNTIF(W$641:W847,1)=1,5,0)+IF(COUNTIF($Z545:AA545,"&gt;"&amp;0)&gt;5,IF(MOD(COUNTIF(W$641:W847,1),7)=0,$C$4,0),0)</f>
        <v>80.3425695255331</v>
      </c>
      <c r="X545" s="81" cm="1">
        <f ca="1" t="array" ref="X545">IF(X847=1,OFFSET($Z$338,$B545,X$335-1)/SUMPRODUCT(--($D$335:$V$335=X$335),--($D847:$V847=1)),0)+SUM(X544)+IF(COUNTIF(X$641:X847,1)=1,5,0)+IF(COUNTIF($Z545:AB545,"&gt;"&amp;0)&gt;5,IF(MOD(COUNTIF(X$641:X847,1),7)=0,$C$4,0),0)</f>
        <v>73.5789092348996</v>
      </c>
      <c r="Y545" s="81" cm="1">
        <f ca="1" t="array" ref="Y545">IF(Y847=1,OFFSET($Z$338,$B545,Y$335-1)/SUMPRODUCT(--($D$335:$V$335=Y$335),--($D847:$V847=1)),0)+SUM(Y544)+IF(COUNTIF(Y$641:Y847,1)=1,5,0)+IF(COUNTIF($Z545:AC545,"&gt;"&amp;0)&gt;5,IF(MOD(COUNTIF(Y$641:Y847,1),7)=0,$C$4,0),0)</f>
        <v>66.8152489442662</v>
      </c>
      <c r="Z545" s="82" cm="1">
        <f ca="1" t="array" ref="Z545">SUMPRODUCT(TRANSPOSE($AD545:$AJ545),OFFSET($L$10:$L$16,0,Z$335-1))</f>
        <v>0</v>
      </c>
      <c r="AA545" s="82" cm="1">
        <f ca="1" t="array" ref="AA545">SUMPRODUCT(TRANSPOSE($AD545:$AJ545),OFFSET($L$10:$L$16,0,AA$335-1))</f>
        <v>0</v>
      </c>
      <c r="AB545" s="82" cm="1">
        <f ca="1" t="array" ref="AB545">SUMPRODUCT(TRANSPOSE($AD545:$AJ545),OFFSET($L$10:$L$16,0,AB$335-1))</f>
        <v>0</v>
      </c>
      <c r="AC545" s="82" cm="1">
        <f ca="1" t="array" ref="AC545">SUMPRODUCT(TRANSPOSE($AD545:$AJ545),OFFSET($L$10:$L$16,0,AC$335-1))</f>
        <v>0</v>
      </c>
      <c r="AD545" s="83">
        <f ca="1" t="shared" ref="AD545:AJ545" si="739">AK545-AK544</f>
        <v>0</v>
      </c>
      <c r="AE545" s="83">
        <f ca="1" t="shared" si="739"/>
        <v>0</v>
      </c>
      <c r="AF545" s="83">
        <f ca="1" t="shared" si="739"/>
        <v>0</v>
      </c>
      <c r="AG545" s="83">
        <f ca="1" t="shared" si="739"/>
        <v>0</v>
      </c>
      <c r="AH545" s="83">
        <f ca="1" t="shared" si="739"/>
        <v>0</v>
      </c>
      <c r="AI545" s="83">
        <f ca="1" t="shared" si="739"/>
        <v>0</v>
      </c>
      <c r="AJ545" s="83">
        <f ca="1" t="shared" si="739"/>
        <v>0</v>
      </c>
      <c r="AK545" s="83">
        <f ca="1" t="shared" si="711"/>
        <v>450</v>
      </c>
      <c r="AL545" s="83">
        <f ca="1" t="shared" ref="AL545:AQ545" si="740">IF($C545&gt;OFFSET($Q$9,MATCH(AL$338,$AK$338:$AQ$338,0),0),OFFSET($P$9,MATCH(AL$338,$AK$338:$AQ$338,0),0),MAX(0,$C545-OFFSET($Q$9,RIGHT(AL$338,1)-1,0)))</f>
        <v>909</v>
      </c>
      <c r="AM545" s="83">
        <f ca="1" t="shared" si="740"/>
        <v>1818</v>
      </c>
      <c r="AN545" s="83">
        <f ca="1" t="shared" si="740"/>
        <v>2727</v>
      </c>
      <c r="AO545" s="83">
        <f ca="1" t="shared" si="740"/>
        <v>3636</v>
      </c>
      <c r="AP545" s="83">
        <f ca="1" t="shared" si="740"/>
        <v>4545</v>
      </c>
      <c r="AQ545" s="83">
        <f ca="1" t="shared" si="740"/>
        <v>0</v>
      </c>
    </row>
    <row r="546" ht="16.5" spans="2:43">
      <c r="B546" s="65">
        <v>208</v>
      </c>
      <c r="C546" s="80">
        <f t="shared" si="709"/>
        <v>24206</v>
      </c>
      <c r="D546" s="81" cm="1">
        <f ca="1" t="array" ref="D546">IF(D848=1,OFFSET($Z$338,$B546,D$335-1)/SUMPRODUCT(--($D$335:$V$335=D$335),--($D848:$V848=1)),0)+SUM(D545)+IF(COUNTIF(D$641:D848,1)=1,5,0)+IF(COUNTIF(E546:$Z546,"&gt;"&amp;0)&gt;5,IF(MOD(COUNTIF(D$641:D848,1),7)=0,$C$4,0),0)</f>
        <v>1263.82134856666</v>
      </c>
      <c r="E546" s="81" cm="1">
        <f ca="1" t="array" ref="E546">IF(E848=1,OFFSET($Z$338,$B546,E$335-1)/SUMPRODUCT(--($D$335:$V$335=E$335),--($D848:$V848=1)),0)+SUM(E545)+IF(COUNTIF(E$641:E848,1)=1,5,0)+IF(COUNTIF(F546:$Z546,"&gt;"&amp;0)&gt;5,IF(MOD(COUNTIF(E$641:E848,1),7)=0,$C$4,0),0)</f>
        <v>1263.82134856666</v>
      </c>
      <c r="F546" s="81" cm="1">
        <f ca="1" t="array" ref="F546">IF(F848=1,OFFSET($Z$338,$B546,F$335-1)/SUMPRODUCT(--($D$335:$V$335=F$335),--($D848:$V848=1)),0)+SUM(F545)+IF(COUNTIF(F$641:F848,1)=1,5,0)+IF(COUNTIF(G546:$Z546,"&gt;"&amp;0)&gt;5,IF(MOD(COUNTIF(F$641:F848,1),7)=0,$C$4,0),0)</f>
        <v>1263.82134856666</v>
      </c>
      <c r="G546" s="81" cm="1">
        <f ca="1" t="array" ref="G546">IF(G848=1,OFFSET($Z$338,$B546,G$335-1)/SUMPRODUCT(--($D$335:$V$335=G$335),--($D848:$V848=1)),0)+SUM(G545)+IF(COUNTIF(G$641:G848,1)=1,5,0)+IF(COUNTIF(H546:$Z546,"&gt;"&amp;0)&gt;5,IF(MOD(COUNTIF(G$641:G848,1),7)=0,$C$4,0),0)</f>
        <v>552.516666666668</v>
      </c>
      <c r="H546" s="81" cm="1">
        <f ca="1" t="array" ref="H546">IF(H848=1,OFFSET($Z$338,$B546,H$335-1)/SUMPRODUCT(--($D$335:$V$335=H$335),--($D848:$V848=1)),0)+SUM(H545)+IF(COUNTIF(H$641:H848,1)=1,5,0)+IF(COUNTIF(I546:$Z546,"&gt;"&amp;0)&gt;5,IF(MOD(COUNTIF(H$641:H848,1),7)=0,$C$4,0),0)</f>
        <v>552.516666666668</v>
      </c>
      <c r="I546" s="81" cm="1">
        <f ca="1" t="array" ref="I546">IF(I848=1,OFFSET($Z$338,$B546,I$335-1)/SUMPRODUCT(--($D$335:$V$335=I$335),--($D848:$V848=1)),0)+SUM(I545)+IF(COUNTIF(I$641:I848,1)=1,5,0)+IF(COUNTIF(J546:$Z546,"&gt;"&amp;0)&gt;5,IF(MOD(COUNTIF(I$641:I848,1),7)=0,$C$4,0),0)</f>
        <v>552.516666666668</v>
      </c>
      <c r="J546" s="81" cm="1">
        <f ca="1" t="array" ref="J546">IF(J848=1,OFFSET($Z$338,$B546,J$335-1)/SUMPRODUCT(--($D$335:$V$335=J$335),--($D848:$V848=1)),0)+SUM(J545)+IF(COUNTIF(J$641:J848,1)=1,5,0)+IF(COUNTIF(K546:$Z546,"&gt;"&amp;0)&gt;5,IF(MOD(COUNTIF(J$641:J848,1),7)=0,$C$4,0),0)</f>
        <v>552.516666666668</v>
      </c>
      <c r="K546" s="81" cm="1">
        <f ca="1" t="array" ref="K546">IF(K848=1,OFFSET($Z$338,$B546,K$335-1)/SUMPRODUCT(--($D$335:$V$335=K$335),--($D848:$V848=1)),0)+SUM(K545)+IF(COUNTIF(K$641:K848,1)=1,5,0)+IF(COUNTIF(L546:$Z546,"&gt;"&amp;0)&gt;5,IF(MOD(COUNTIF(K$641:K848,1),7)=0,$C$4,0),0)</f>
        <v>552.516666666668</v>
      </c>
      <c r="L546" s="81" cm="1">
        <f ca="1" t="array" ref="L546">IF(L848=1,OFFSET($Z$338,$B546,L$335-1)/SUMPRODUCT(--($D$335:$V$335=L$335),--($D848:$V848=1)),0)+SUM(L545)+IF(COUNTIF(L$641:L848,1)=1,5,0)+IF(COUNTIF(M546:$Z546,"&gt;"&amp;0)&gt;5,IF(MOD(COUNTIF(L$641:L848,1),7)=0,$C$4,0),0)</f>
        <v>545.816666666668</v>
      </c>
      <c r="M546" s="81" cm="1">
        <f ca="1" t="array" ref="M546">IF(M848=1,OFFSET($Z$338,$B546,M$335-1)/SUMPRODUCT(--($D$335:$V$335=M$335),--($D848:$V848=1)),0)+SUM(M545)+IF(COUNTIF(M$641:M848,1)=1,5,0)+IF(COUNTIF(N546:$Z546,"&gt;"&amp;0)&gt;5,IF(MOD(COUNTIF(M$641:M848,1),7)=0,$C$4,0),0)</f>
        <v>300.644107142858</v>
      </c>
      <c r="N546" s="81" cm="1">
        <f ca="1" t="array" ref="N546">IF(N848=1,OFFSET($Z$338,$B546,N$335-1)/SUMPRODUCT(--($D$335:$V$335=N$335),--($D848:$V848=1)),0)+SUM(N545)+IF(COUNTIF(N$641:N848,1)=1,5,0)+IF(COUNTIF(O546:$Z546,"&gt;"&amp;0)&gt;5,IF(MOD(COUNTIF(N$641:N848,1),7)=0,$C$4,0),0)</f>
        <v>292.919107142858</v>
      </c>
      <c r="O546" s="81" cm="1">
        <f ca="1" t="array" ref="O546">IF(O848=1,OFFSET($Z$338,$B546,O$335-1)/SUMPRODUCT(--($D$335:$V$335=O$335),--($D848:$V848=1)),0)+SUM(O545)+IF(COUNTIF(O$641:O848,1)=1,5,0)+IF(COUNTIF(P546:$Z546,"&gt;"&amp;0)&gt;5,IF(MOD(COUNTIF(O$641:O848,1),7)=0,$C$4,0),0)</f>
        <v>290.494107142858</v>
      </c>
      <c r="P546" s="81" cm="1">
        <f ca="1" t="array" ref="P546">IF(P848=1,OFFSET($Z$338,$B546,P$335-1)/SUMPRODUCT(--($D$335:$V$335=P$335),--($D848:$V848=1)),0)+SUM(P545)+IF(COUNTIF(P$641:P848,1)=1,5,0)+IF(COUNTIF(Q546:$Z546,"&gt;"&amp;0)&gt;5,IF(MOD(COUNTIF(P$641:P848,1),7)=0,$C$4,0),0)</f>
        <v>287.560773809524</v>
      </c>
      <c r="Q546" s="81" cm="1">
        <f ca="1" t="array" ref="Q546">IF(Q848=1,OFFSET($Z$338,$B546,Q$335-1)/SUMPRODUCT(--($D$335:$V$335=Q$335),--($D848:$V848=1)),0)+SUM(Q545)+IF(COUNTIF(Q$641:Q848,1)=1,5,0)+IF(COUNTIF(R546:$Z546,"&gt;"&amp;0)&gt;5,IF(MOD(COUNTIF(Q$641:Q848,1),7)=0,$C$4,0),0)</f>
        <v>281.654523809524</v>
      </c>
      <c r="R546" s="81" cm="1">
        <f ca="1" t="array" ref="R546">IF(R848=1,OFFSET($Z$338,$B546,R$335-1)/SUMPRODUCT(--($D$335:$V$335=R$335),--($D848:$V848=1)),0)+SUM(R545)+IF(COUNTIF(R$641:R848,1)=1,5,0)+IF(COUNTIF(S546:$Z546,"&gt;"&amp;0)&gt;5,IF(MOD(COUNTIF(R$641:R848,1),7)=0,$C$4,0),0)</f>
        <v>256.759523809524</v>
      </c>
      <c r="S546" s="81" cm="1">
        <f ca="1" t="array" ref="S546">IF(S848=1,OFFSET($Z$338,$B546,S$335-1)/SUMPRODUCT(--($D$335:$V$335=S$335),--($D848:$V848=1)),0)+SUM(S545)+IF(COUNTIF(S$641:S848,1)=1,5,0)+IF(COUNTIF(T546:$Z546,"&gt;"&amp;0)&gt;5,IF(MOD(COUNTIF(S$641:S848,1),7)=0,$C$4,0),0)</f>
        <v>252.592857142857</v>
      </c>
      <c r="T546" s="81" cm="1">
        <f ca="1" t="array" ref="T546">IF(T848=1,OFFSET($Z$338,$B546,T$335-1)/SUMPRODUCT(--($D$335:$V$335=T$335),--($D848:$V848=1)),0)+SUM(T545)+IF(COUNTIF(T$641:T848,1)=1,5,0)+IF(COUNTIF(U546:$Z546,"&gt;"&amp;0)&gt;5,IF(MOD(COUNTIF(T$641:T848,1),7)=0,$C$4,0),0)</f>
        <v>137.656257829764</v>
      </c>
      <c r="U546" s="81" cm="1">
        <f ca="1" t="array" ref="U546">IF(U848=1,OFFSET($Z$338,$B546,U$335-1)/SUMPRODUCT(--($D$335:$V$335=U$335),--($D848:$V848=1)),0)+SUM(U545)+IF(COUNTIF(U$641:U848,1)=1,5,0)+IF(COUNTIF(V546:$Z546,"&gt;"&amp;0)&gt;5,IF(MOD(COUNTIF(U$641:U848,1),7)=0,$C$4,0),0)</f>
        <v>97.6562578297643</v>
      </c>
      <c r="V546" s="81" cm="1">
        <f ca="1" t="array" ref="V546">IF(V848=1,OFFSET($Z$338,$B546,V$335-1)/SUMPRODUCT(--($D$335:$V$335=V$335),--($D848:$V848=1)),0)+SUM(V545)+IF(COUNTIF(V$641:V848,1)=1,5,0)+IF(COUNTIF(Z546:$Z546,"&gt;"&amp;0)&gt;5,IF(MOD(COUNTIF(V$641:V848,1),7)=0,$C$4,0),0)</f>
        <v>89.6984386404824</v>
      </c>
      <c r="W546" s="81" cm="1">
        <f ca="1" t="array" ref="W546">IF(W848=1,OFFSET($Z$338,$B546,W$335-1)/SUMPRODUCT(--($D$335:$V$335=W$335),--($D848:$V848=1)),0)+SUM(W545)+IF(COUNTIF(W$641:W848,1)=1,5,0)+IF(COUNTIF($Z546:AA546,"&gt;"&amp;0)&gt;5,IF(MOD(COUNTIF(W$641:W848,1),7)=0,$C$4,0),0)</f>
        <v>80.3425695255331</v>
      </c>
      <c r="X546" s="81" cm="1">
        <f ca="1" t="array" ref="X546">IF(X848=1,OFFSET($Z$338,$B546,X$335-1)/SUMPRODUCT(--($D$335:$V$335=X$335),--($D848:$V848=1)),0)+SUM(X545)+IF(COUNTIF(X$641:X848,1)=1,5,0)+IF(COUNTIF($Z546:AB546,"&gt;"&amp;0)&gt;5,IF(MOD(COUNTIF(X$641:X848,1),7)=0,$C$4,0),0)</f>
        <v>73.5789092348996</v>
      </c>
      <c r="Y546" s="81" cm="1">
        <f ca="1" t="array" ref="Y546">IF(Y848=1,OFFSET($Z$338,$B546,Y$335-1)/SUMPRODUCT(--($D$335:$V$335=Y$335),--($D848:$V848=1)),0)+SUM(Y545)+IF(COUNTIF(Y$641:Y848,1)=1,5,0)+IF(COUNTIF($Z546:AC546,"&gt;"&amp;0)&gt;5,IF(MOD(COUNTIF(Y$641:Y848,1),7)=0,$C$4,0),0)</f>
        <v>66.8152489442662</v>
      </c>
      <c r="Z546" s="82" cm="1">
        <f ca="1" t="array" ref="Z546">SUMPRODUCT(TRANSPOSE($AD546:$AJ546),OFFSET($L$10:$L$16,0,Z$335-1))</f>
        <v>0</v>
      </c>
      <c r="AA546" s="82" cm="1">
        <f ca="1" t="array" ref="AA546">SUMPRODUCT(TRANSPOSE($AD546:$AJ546),OFFSET($L$10:$L$16,0,AA$335-1))</f>
        <v>0</v>
      </c>
      <c r="AB546" s="82" cm="1">
        <f ca="1" t="array" ref="AB546">SUMPRODUCT(TRANSPOSE($AD546:$AJ546),OFFSET($L$10:$L$16,0,AB$335-1))</f>
        <v>0</v>
      </c>
      <c r="AC546" s="82" cm="1">
        <f ca="1" t="array" ref="AC546">SUMPRODUCT(TRANSPOSE($AD546:$AJ546),OFFSET($L$10:$L$16,0,AC$335-1))</f>
        <v>0</v>
      </c>
      <c r="AD546" s="83">
        <f ca="1" t="shared" ref="AD546:AJ546" si="741">AK546-AK545</f>
        <v>0</v>
      </c>
      <c r="AE546" s="83">
        <f ca="1" t="shared" si="741"/>
        <v>0</v>
      </c>
      <c r="AF546" s="83">
        <f ca="1" t="shared" si="741"/>
        <v>0</v>
      </c>
      <c r="AG546" s="83">
        <f ca="1" t="shared" si="741"/>
        <v>0</v>
      </c>
      <c r="AH546" s="83">
        <f ca="1" t="shared" si="741"/>
        <v>0</v>
      </c>
      <c r="AI546" s="83">
        <f ca="1" t="shared" si="741"/>
        <v>0</v>
      </c>
      <c r="AJ546" s="83">
        <f ca="1" t="shared" si="741"/>
        <v>0</v>
      </c>
      <c r="AK546" s="83">
        <f ca="1" t="shared" si="711"/>
        <v>450</v>
      </c>
      <c r="AL546" s="83">
        <f ca="1" t="shared" ref="AL546:AQ546" si="742">IF($C546&gt;OFFSET($Q$9,MATCH(AL$338,$AK$338:$AQ$338,0),0),OFFSET($P$9,MATCH(AL$338,$AK$338:$AQ$338,0),0),MAX(0,$C546-OFFSET($Q$9,RIGHT(AL$338,1)-1,0)))</f>
        <v>909</v>
      </c>
      <c r="AM546" s="83">
        <f ca="1" t="shared" si="742"/>
        <v>1818</v>
      </c>
      <c r="AN546" s="83">
        <f ca="1" t="shared" si="742"/>
        <v>2727</v>
      </c>
      <c r="AO546" s="83">
        <f ca="1" t="shared" si="742"/>
        <v>3636</v>
      </c>
      <c r="AP546" s="83">
        <f ca="1" t="shared" si="742"/>
        <v>4545</v>
      </c>
      <c r="AQ546" s="83">
        <f ca="1" t="shared" si="742"/>
        <v>0</v>
      </c>
    </row>
    <row r="547" ht="16.5" spans="2:43">
      <c r="B547" s="65">
        <v>209</v>
      </c>
      <c r="C547" s="80">
        <f t="shared" si="709"/>
        <v>24316</v>
      </c>
      <c r="D547" s="81" cm="1">
        <f ca="1" t="array" ref="D547">IF(D849=1,OFFSET($Z$338,$B547,D$335-1)/SUMPRODUCT(--($D$335:$V$335=D$335),--($D849:$V849=1)),0)+SUM(D546)+IF(COUNTIF(D$641:D849,1)=1,5,0)+IF(COUNTIF(E547:$Z547,"&gt;"&amp;0)&gt;5,IF(MOD(COUNTIF(D$641:D849,1),7)=0,$C$4,0),0)</f>
        <v>1263.82134856666</v>
      </c>
      <c r="E547" s="81" cm="1">
        <f ca="1" t="array" ref="E547">IF(E849=1,OFFSET($Z$338,$B547,E$335-1)/SUMPRODUCT(--($D$335:$V$335=E$335),--($D849:$V849=1)),0)+SUM(E546)+IF(COUNTIF(E$641:E849,1)=1,5,0)+IF(COUNTIF(F547:$Z547,"&gt;"&amp;0)&gt;5,IF(MOD(COUNTIF(E$641:E849,1),7)=0,$C$4,0),0)</f>
        <v>1263.82134856666</v>
      </c>
      <c r="F547" s="81" cm="1">
        <f ca="1" t="array" ref="F547">IF(F849=1,OFFSET($Z$338,$B547,F$335-1)/SUMPRODUCT(--($D$335:$V$335=F$335),--($D849:$V849=1)),0)+SUM(F546)+IF(COUNTIF(F$641:F849,1)=1,5,0)+IF(COUNTIF(G547:$Z547,"&gt;"&amp;0)&gt;5,IF(MOD(COUNTIF(F$641:F849,1),7)=0,$C$4,0),0)</f>
        <v>1263.82134856666</v>
      </c>
      <c r="G547" s="81" cm="1">
        <f ca="1" t="array" ref="G547">IF(G849=1,OFFSET($Z$338,$B547,G$335-1)/SUMPRODUCT(--($D$335:$V$335=G$335),--($D849:$V849=1)),0)+SUM(G546)+IF(COUNTIF(G$641:G849,1)=1,5,0)+IF(COUNTIF(H547:$Z547,"&gt;"&amp;0)&gt;5,IF(MOD(COUNTIF(G$641:G849,1),7)=0,$C$4,0),0)</f>
        <v>552.516666666668</v>
      </c>
      <c r="H547" s="81" cm="1">
        <f ca="1" t="array" ref="H547">IF(H849=1,OFFSET($Z$338,$B547,H$335-1)/SUMPRODUCT(--($D$335:$V$335=H$335),--($D849:$V849=1)),0)+SUM(H546)+IF(COUNTIF(H$641:H849,1)=1,5,0)+IF(COUNTIF(I547:$Z547,"&gt;"&amp;0)&gt;5,IF(MOD(COUNTIF(H$641:H849,1),7)=0,$C$4,0),0)</f>
        <v>552.516666666668</v>
      </c>
      <c r="I547" s="81" cm="1">
        <f ca="1" t="array" ref="I547">IF(I849=1,OFFSET($Z$338,$B547,I$335-1)/SUMPRODUCT(--($D$335:$V$335=I$335),--($D849:$V849=1)),0)+SUM(I546)+IF(COUNTIF(I$641:I849,1)=1,5,0)+IF(COUNTIF(J547:$Z547,"&gt;"&amp;0)&gt;5,IF(MOD(COUNTIF(I$641:I849,1),7)=0,$C$4,0),0)</f>
        <v>552.516666666668</v>
      </c>
      <c r="J547" s="81" cm="1">
        <f ca="1" t="array" ref="J547">IF(J849=1,OFFSET($Z$338,$B547,J$335-1)/SUMPRODUCT(--($D$335:$V$335=J$335),--($D849:$V849=1)),0)+SUM(J546)+IF(COUNTIF(J$641:J849,1)=1,5,0)+IF(COUNTIF(K547:$Z547,"&gt;"&amp;0)&gt;5,IF(MOD(COUNTIF(J$641:J849,1),7)=0,$C$4,0),0)</f>
        <v>552.516666666668</v>
      </c>
      <c r="K547" s="81" cm="1">
        <f ca="1" t="array" ref="K547">IF(K849=1,OFFSET($Z$338,$B547,K$335-1)/SUMPRODUCT(--($D$335:$V$335=K$335),--($D849:$V849=1)),0)+SUM(K546)+IF(COUNTIF(K$641:K849,1)=1,5,0)+IF(COUNTIF(L547:$Z547,"&gt;"&amp;0)&gt;5,IF(MOD(COUNTIF(K$641:K849,1),7)=0,$C$4,0),0)</f>
        <v>552.516666666668</v>
      </c>
      <c r="L547" s="81" cm="1">
        <f ca="1" t="array" ref="L547">IF(L849=1,OFFSET($Z$338,$B547,L$335-1)/SUMPRODUCT(--($D$335:$V$335=L$335),--($D849:$V849=1)),0)+SUM(L546)+IF(COUNTIF(L$641:L849,1)=1,5,0)+IF(COUNTIF(M547:$Z547,"&gt;"&amp;0)&gt;5,IF(MOD(COUNTIF(L$641:L849,1),7)=0,$C$4,0),0)</f>
        <v>545.816666666668</v>
      </c>
      <c r="M547" s="81" cm="1">
        <f ca="1" t="array" ref="M547">IF(M849=1,OFFSET($Z$338,$B547,M$335-1)/SUMPRODUCT(--($D$335:$V$335=M$335),--($D849:$V849=1)),0)+SUM(M546)+IF(COUNTIF(M$641:M849,1)=1,5,0)+IF(COUNTIF(N547:$Z547,"&gt;"&amp;0)&gt;5,IF(MOD(COUNTIF(M$641:M849,1),7)=0,$C$4,0),0)</f>
        <v>300.644107142858</v>
      </c>
      <c r="N547" s="81" cm="1">
        <f ca="1" t="array" ref="N547">IF(N849=1,OFFSET($Z$338,$B547,N$335-1)/SUMPRODUCT(--($D$335:$V$335=N$335),--($D849:$V849=1)),0)+SUM(N546)+IF(COUNTIF(N$641:N849,1)=1,5,0)+IF(COUNTIF(O547:$Z547,"&gt;"&amp;0)&gt;5,IF(MOD(COUNTIF(N$641:N849,1),7)=0,$C$4,0),0)</f>
        <v>292.919107142858</v>
      </c>
      <c r="O547" s="81" cm="1">
        <f ca="1" t="array" ref="O547">IF(O849=1,OFFSET($Z$338,$B547,O$335-1)/SUMPRODUCT(--($D$335:$V$335=O$335),--($D849:$V849=1)),0)+SUM(O546)+IF(COUNTIF(O$641:O849,1)=1,5,0)+IF(COUNTIF(P547:$Z547,"&gt;"&amp;0)&gt;5,IF(MOD(COUNTIF(O$641:O849,1),7)=0,$C$4,0),0)</f>
        <v>290.494107142858</v>
      </c>
      <c r="P547" s="81" cm="1">
        <f ca="1" t="array" ref="P547">IF(P849=1,OFFSET($Z$338,$B547,P$335-1)/SUMPRODUCT(--($D$335:$V$335=P$335),--($D849:$V849=1)),0)+SUM(P546)+IF(COUNTIF(P$641:P849,1)=1,5,0)+IF(COUNTIF(Q547:$Z547,"&gt;"&amp;0)&gt;5,IF(MOD(COUNTIF(P$641:P849,1),7)=0,$C$4,0),0)</f>
        <v>287.560773809524</v>
      </c>
      <c r="Q547" s="81" cm="1">
        <f ca="1" t="array" ref="Q547">IF(Q849=1,OFFSET($Z$338,$B547,Q$335-1)/SUMPRODUCT(--($D$335:$V$335=Q$335),--($D849:$V849=1)),0)+SUM(Q546)+IF(COUNTIF(Q$641:Q849,1)=1,5,0)+IF(COUNTIF(R547:$Z547,"&gt;"&amp;0)&gt;5,IF(MOD(COUNTIF(Q$641:Q849,1),7)=0,$C$4,0),0)</f>
        <v>286.654523809524</v>
      </c>
      <c r="R547" s="81" cm="1">
        <f ca="1" t="array" ref="R547">IF(R849=1,OFFSET($Z$338,$B547,R$335-1)/SUMPRODUCT(--($D$335:$V$335=R$335),--($D849:$V849=1)),0)+SUM(R546)+IF(COUNTIF(R$641:R849,1)=1,5,0)+IF(COUNTIF(S547:$Z547,"&gt;"&amp;0)&gt;5,IF(MOD(COUNTIF(R$641:R849,1),7)=0,$C$4,0),0)</f>
        <v>256.759523809524</v>
      </c>
      <c r="S547" s="81" cm="1">
        <f ca="1" t="array" ref="S547">IF(S849=1,OFFSET($Z$338,$B547,S$335-1)/SUMPRODUCT(--($D$335:$V$335=S$335),--($D849:$V849=1)),0)+SUM(S546)+IF(COUNTIF(S$641:S849,1)=1,5,0)+IF(COUNTIF(T547:$Z547,"&gt;"&amp;0)&gt;5,IF(MOD(COUNTIF(S$641:S849,1),7)=0,$C$4,0),0)</f>
        <v>252.592857142857</v>
      </c>
      <c r="T547" s="81" cm="1">
        <f ca="1" t="array" ref="T547">IF(T849=1,OFFSET($Z$338,$B547,T$335-1)/SUMPRODUCT(--($D$335:$V$335=T$335),--($D849:$V849=1)),0)+SUM(T546)+IF(COUNTIF(T$641:T849,1)=1,5,0)+IF(COUNTIF(U547:$Z547,"&gt;"&amp;0)&gt;5,IF(MOD(COUNTIF(T$641:T849,1),7)=0,$C$4,0),0)</f>
        <v>137.656257829764</v>
      </c>
      <c r="U547" s="81" cm="1">
        <f ca="1" t="array" ref="U547">IF(U849=1,OFFSET($Z$338,$B547,U$335-1)/SUMPRODUCT(--($D$335:$V$335=U$335),--($D849:$V849=1)),0)+SUM(U546)+IF(COUNTIF(U$641:U849,1)=1,5,0)+IF(COUNTIF(V547:$Z547,"&gt;"&amp;0)&gt;5,IF(MOD(COUNTIF(U$641:U849,1),7)=0,$C$4,0),0)</f>
        <v>97.6562578297643</v>
      </c>
      <c r="V547" s="81" cm="1">
        <f ca="1" t="array" ref="V547">IF(V849=1,OFFSET($Z$338,$B547,V$335-1)/SUMPRODUCT(--($D$335:$V$335=V$335),--($D849:$V849=1)),0)+SUM(V546)+IF(COUNTIF(V$641:V849,1)=1,5,0)+IF(COUNTIF(Z547:$Z547,"&gt;"&amp;0)&gt;5,IF(MOD(COUNTIF(V$641:V849,1),7)=0,$C$4,0),0)</f>
        <v>89.6984386404824</v>
      </c>
      <c r="W547" s="81" cm="1">
        <f ca="1" t="array" ref="W547">IF(W849=1,OFFSET($Z$338,$B547,W$335-1)/SUMPRODUCT(--($D$335:$V$335=W$335),--($D849:$V849=1)),0)+SUM(W546)+IF(COUNTIF(W$641:W849,1)=1,5,0)+IF(COUNTIF($Z547:AA547,"&gt;"&amp;0)&gt;5,IF(MOD(COUNTIF(W$641:W849,1),7)=0,$C$4,0),0)</f>
        <v>80.3425695255331</v>
      </c>
      <c r="X547" s="81" cm="1">
        <f ca="1" t="array" ref="X547">IF(X849=1,OFFSET($Z$338,$B547,X$335-1)/SUMPRODUCT(--($D$335:$V$335=X$335),--($D849:$V849=1)),0)+SUM(X546)+IF(COUNTIF(X$641:X849,1)=1,5,0)+IF(COUNTIF($Z547:AB547,"&gt;"&amp;0)&gt;5,IF(MOD(COUNTIF(X$641:X849,1),7)=0,$C$4,0),0)</f>
        <v>73.5789092348996</v>
      </c>
      <c r="Y547" s="81" cm="1">
        <f ca="1" t="array" ref="Y547">IF(Y849=1,OFFSET($Z$338,$B547,Y$335-1)/SUMPRODUCT(--($D$335:$V$335=Y$335),--($D849:$V849=1)),0)+SUM(Y546)+IF(COUNTIF(Y$641:Y849,1)=1,5,0)+IF(COUNTIF($Z547:AC547,"&gt;"&amp;0)&gt;5,IF(MOD(COUNTIF(Y$641:Y849,1),7)=0,$C$4,0),0)</f>
        <v>66.8152489442662</v>
      </c>
      <c r="Z547" s="82" cm="1">
        <f ca="1" t="array" ref="Z547">SUMPRODUCT(TRANSPOSE($AD547:$AJ547),OFFSET($L$10:$L$16,0,Z$335-1))</f>
        <v>0</v>
      </c>
      <c r="AA547" s="82" cm="1">
        <f ca="1" t="array" ref="AA547">SUMPRODUCT(TRANSPOSE($AD547:$AJ547),OFFSET($L$10:$L$16,0,AA$335-1))</f>
        <v>0</v>
      </c>
      <c r="AB547" s="82" cm="1">
        <f ca="1" t="array" ref="AB547">SUMPRODUCT(TRANSPOSE($AD547:$AJ547),OFFSET($L$10:$L$16,0,AB$335-1))</f>
        <v>0</v>
      </c>
      <c r="AC547" s="82" cm="1">
        <f ca="1" t="array" ref="AC547">SUMPRODUCT(TRANSPOSE($AD547:$AJ547),OFFSET($L$10:$L$16,0,AC$335-1))</f>
        <v>0</v>
      </c>
      <c r="AD547" s="83">
        <f ca="1" t="shared" ref="AD547:AJ547" si="743">AK547-AK546</f>
        <v>0</v>
      </c>
      <c r="AE547" s="83">
        <f ca="1" t="shared" si="743"/>
        <v>0</v>
      </c>
      <c r="AF547" s="83">
        <f ca="1" t="shared" si="743"/>
        <v>0</v>
      </c>
      <c r="AG547" s="83">
        <f ca="1" t="shared" si="743"/>
        <v>0</v>
      </c>
      <c r="AH547" s="83">
        <f ca="1" t="shared" si="743"/>
        <v>0</v>
      </c>
      <c r="AI547" s="83">
        <f ca="1" t="shared" si="743"/>
        <v>0</v>
      </c>
      <c r="AJ547" s="83">
        <f ca="1" t="shared" si="743"/>
        <v>0</v>
      </c>
      <c r="AK547" s="83">
        <f ca="1" t="shared" si="711"/>
        <v>450</v>
      </c>
      <c r="AL547" s="83">
        <f ca="1" t="shared" ref="AL547:AQ547" si="744">IF($C547&gt;OFFSET($Q$9,MATCH(AL$338,$AK$338:$AQ$338,0),0),OFFSET($P$9,MATCH(AL$338,$AK$338:$AQ$338,0),0),MAX(0,$C547-OFFSET($Q$9,RIGHT(AL$338,1)-1,0)))</f>
        <v>909</v>
      </c>
      <c r="AM547" s="83">
        <f ca="1" t="shared" si="744"/>
        <v>1818</v>
      </c>
      <c r="AN547" s="83">
        <f ca="1" t="shared" si="744"/>
        <v>2727</v>
      </c>
      <c r="AO547" s="83">
        <f ca="1" t="shared" si="744"/>
        <v>3636</v>
      </c>
      <c r="AP547" s="83">
        <f ca="1" t="shared" si="744"/>
        <v>4545</v>
      </c>
      <c r="AQ547" s="83">
        <f ca="1" t="shared" si="744"/>
        <v>0</v>
      </c>
    </row>
    <row r="548" ht="16.5" spans="2:43">
      <c r="B548" s="65">
        <v>210</v>
      </c>
      <c r="C548" s="80">
        <f t="shared" si="709"/>
        <v>24426</v>
      </c>
      <c r="D548" s="81" cm="1">
        <f ca="1" t="array" ref="D548">IF(D850=1,OFFSET($Z$338,$B548,D$335-1)/SUMPRODUCT(--($D$335:$V$335=D$335),--($D850:$V850=1)),0)+SUM(D547)+IF(COUNTIF(D$641:D850,1)=1,5,0)+IF(COUNTIF(E548:$Z548,"&gt;"&amp;0)&gt;5,IF(MOD(COUNTIF(D$641:D850,1),7)=0,$C$4,0),0)</f>
        <v>1268.82134856666</v>
      </c>
      <c r="E548" s="81" cm="1">
        <f ca="1" t="array" ref="E548">IF(E850=1,OFFSET($Z$338,$B548,E$335-1)/SUMPRODUCT(--($D$335:$V$335=E$335),--($D850:$V850=1)),0)+SUM(E547)+IF(COUNTIF(E$641:E850,1)=1,5,0)+IF(COUNTIF(F548:$Z548,"&gt;"&amp;0)&gt;5,IF(MOD(COUNTIF(E$641:E850,1),7)=0,$C$4,0),0)</f>
        <v>1268.82134856666</v>
      </c>
      <c r="F548" s="81" cm="1">
        <f ca="1" t="array" ref="F548">IF(F850=1,OFFSET($Z$338,$B548,F$335-1)/SUMPRODUCT(--($D$335:$V$335=F$335),--($D850:$V850=1)),0)+SUM(F547)+IF(COUNTIF(F$641:F850,1)=1,5,0)+IF(COUNTIF(G548:$Z548,"&gt;"&amp;0)&gt;5,IF(MOD(COUNTIF(F$641:F850,1),7)=0,$C$4,0),0)</f>
        <v>1268.82134856666</v>
      </c>
      <c r="G548" s="81" cm="1">
        <f ca="1" t="array" ref="G548">IF(G850=1,OFFSET($Z$338,$B548,G$335-1)/SUMPRODUCT(--($D$335:$V$335=G$335),--($D850:$V850=1)),0)+SUM(G547)+IF(COUNTIF(G$641:G850,1)=1,5,0)+IF(COUNTIF(H548:$Z548,"&gt;"&amp;0)&gt;5,IF(MOD(COUNTIF(G$641:G850,1),7)=0,$C$4,0),0)</f>
        <v>557.516666666668</v>
      </c>
      <c r="H548" s="81" cm="1">
        <f ca="1" t="array" ref="H548">IF(H850=1,OFFSET($Z$338,$B548,H$335-1)/SUMPRODUCT(--($D$335:$V$335=H$335),--($D850:$V850=1)),0)+SUM(H547)+IF(COUNTIF(H$641:H850,1)=1,5,0)+IF(COUNTIF(I548:$Z548,"&gt;"&amp;0)&gt;5,IF(MOD(COUNTIF(H$641:H850,1),7)=0,$C$4,0),0)</f>
        <v>557.516666666668</v>
      </c>
      <c r="I548" s="81" cm="1">
        <f ca="1" t="array" ref="I548">IF(I850=1,OFFSET($Z$338,$B548,I$335-1)/SUMPRODUCT(--($D$335:$V$335=I$335),--($D850:$V850=1)),0)+SUM(I547)+IF(COUNTIF(I$641:I850,1)=1,5,0)+IF(COUNTIF(J548:$Z548,"&gt;"&amp;0)&gt;5,IF(MOD(COUNTIF(I$641:I850,1),7)=0,$C$4,0),0)</f>
        <v>557.516666666668</v>
      </c>
      <c r="J548" s="81" cm="1">
        <f ca="1" t="array" ref="J548">IF(J850=1,OFFSET($Z$338,$B548,J$335-1)/SUMPRODUCT(--($D$335:$V$335=J$335),--($D850:$V850=1)),0)+SUM(J547)+IF(COUNTIF(J$641:J850,1)=1,5,0)+IF(COUNTIF(K548:$Z548,"&gt;"&amp;0)&gt;5,IF(MOD(COUNTIF(J$641:J850,1),7)=0,$C$4,0),0)</f>
        <v>557.516666666668</v>
      </c>
      <c r="K548" s="81" cm="1">
        <f ca="1" t="array" ref="K548">IF(K850=1,OFFSET($Z$338,$B548,K$335-1)/SUMPRODUCT(--($D$335:$V$335=K$335),--($D850:$V850=1)),0)+SUM(K547)+IF(COUNTIF(K$641:K850,1)=1,5,0)+IF(COUNTIF(L548:$Z548,"&gt;"&amp;0)&gt;5,IF(MOD(COUNTIF(K$641:K850,1),7)=0,$C$4,0),0)</f>
        <v>557.516666666668</v>
      </c>
      <c r="L548" s="81" cm="1">
        <f ca="1" t="array" ref="L548">IF(L850=1,OFFSET($Z$338,$B548,L$335-1)/SUMPRODUCT(--($D$335:$V$335=L$335),--($D850:$V850=1)),0)+SUM(L547)+IF(COUNTIF(L$641:L850,1)=1,5,0)+IF(COUNTIF(M548:$Z548,"&gt;"&amp;0)&gt;5,IF(MOD(COUNTIF(L$641:L850,1),7)=0,$C$4,0),0)</f>
        <v>545.816666666668</v>
      </c>
      <c r="M548" s="81" cm="1">
        <f ca="1" t="array" ref="M548">IF(M850=1,OFFSET($Z$338,$B548,M$335-1)/SUMPRODUCT(--($D$335:$V$335=M$335),--($D850:$V850=1)),0)+SUM(M547)+IF(COUNTIF(M$641:M850,1)=1,5,0)+IF(COUNTIF(N548:$Z548,"&gt;"&amp;0)&gt;5,IF(MOD(COUNTIF(M$641:M850,1),7)=0,$C$4,0),0)</f>
        <v>300.644107142858</v>
      </c>
      <c r="N548" s="81" cm="1">
        <f ca="1" t="array" ref="N548">IF(N850=1,OFFSET($Z$338,$B548,N$335-1)/SUMPRODUCT(--($D$335:$V$335=N$335),--($D850:$V850=1)),0)+SUM(N547)+IF(COUNTIF(N$641:N850,1)=1,5,0)+IF(COUNTIF(O548:$Z548,"&gt;"&amp;0)&gt;5,IF(MOD(COUNTIF(N$641:N850,1),7)=0,$C$4,0),0)</f>
        <v>292.919107142858</v>
      </c>
      <c r="O548" s="81" cm="1">
        <f ca="1" t="array" ref="O548">IF(O850=1,OFFSET($Z$338,$B548,O$335-1)/SUMPRODUCT(--($D$335:$V$335=O$335),--($D850:$V850=1)),0)+SUM(O547)+IF(COUNTIF(O$641:O850,1)=1,5,0)+IF(COUNTIF(P548:$Z548,"&gt;"&amp;0)&gt;5,IF(MOD(COUNTIF(O$641:O850,1),7)=0,$C$4,0),0)</f>
        <v>290.494107142858</v>
      </c>
      <c r="P548" s="81" cm="1">
        <f ca="1" t="array" ref="P548">IF(P850=1,OFFSET($Z$338,$B548,P$335-1)/SUMPRODUCT(--($D$335:$V$335=P$335),--($D850:$V850=1)),0)+SUM(P547)+IF(COUNTIF(P$641:P850,1)=1,5,0)+IF(COUNTIF(Q548:$Z548,"&gt;"&amp;0)&gt;5,IF(MOD(COUNTIF(P$641:P850,1),7)=0,$C$4,0),0)</f>
        <v>287.560773809524</v>
      </c>
      <c r="Q548" s="81" cm="1">
        <f ca="1" t="array" ref="Q548">IF(Q850=1,OFFSET($Z$338,$B548,Q$335-1)/SUMPRODUCT(--($D$335:$V$335=Q$335),--($D850:$V850=1)),0)+SUM(Q547)+IF(COUNTIF(Q$641:Q850,1)=1,5,0)+IF(COUNTIF(R548:$Z548,"&gt;"&amp;0)&gt;5,IF(MOD(COUNTIF(Q$641:Q850,1),7)=0,$C$4,0),0)</f>
        <v>286.654523809524</v>
      </c>
      <c r="R548" s="81" cm="1">
        <f ca="1" t="array" ref="R548">IF(R850=1,OFFSET($Z$338,$B548,R$335-1)/SUMPRODUCT(--($D$335:$V$335=R$335),--($D850:$V850=1)),0)+SUM(R547)+IF(COUNTIF(R$641:R850,1)=1,5,0)+IF(COUNTIF(S548:$Z548,"&gt;"&amp;0)&gt;5,IF(MOD(COUNTIF(R$641:R850,1),7)=0,$C$4,0),0)</f>
        <v>261.759523809524</v>
      </c>
      <c r="S548" s="81" cm="1">
        <f ca="1" t="array" ref="S548">IF(S850=1,OFFSET($Z$338,$B548,S$335-1)/SUMPRODUCT(--($D$335:$V$335=S$335),--($D850:$V850=1)),0)+SUM(S547)+IF(COUNTIF(S$641:S850,1)=1,5,0)+IF(COUNTIF(T548:$Z548,"&gt;"&amp;0)&gt;5,IF(MOD(COUNTIF(S$641:S850,1),7)=0,$C$4,0),0)</f>
        <v>252.592857142857</v>
      </c>
      <c r="T548" s="81" cm="1">
        <f ca="1" t="array" ref="T548">IF(T850=1,OFFSET($Z$338,$B548,T$335-1)/SUMPRODUCT(--($D$335:$V$335=T$335),--($D850:$V850=1)),0)+SUM(T547)+IF(COUNTIF(T$641:T850,1)=1,5,0)+IF(COUNTIF(U548:$Z548,"&gt;"&amp;0)&gt;5,IF(MOD(COUNTIF(T$641:T850,1),7)=0,$C$4,0),0)</f>
        <v>137.656257829764</v>
      </c>
      <c r="U548" s="81" cm="1">
        <f ca="1" t="array" ref="U548">IF(U850=1,OFFSET($Z$338,$B548,U$335-1)/SUMPRODUCT(--($D$335:$V$335=U$335),--($D850:$V850=1)),0)+SUM(U547)+IF(COUNTIF(U$641:U850,1)=1,5,0)+IF(COUNTIF(V548:$Z548,"&gt;"&amp;0)&gt;5,IF(MOD(COUNTIF(U$641:U850,1),7)=0,$C$4,0),0)</f>
        <v>97.6562578297643</v>
      </c>
      <c r="V548" s="81" cm="1">
        <f ca="1" t="array" ref="V548">IF(V850=1,OFFSET($Z$338,$B548,V$335-1)/SUMPRODUCT(--($D$335:$V$335=V$335),--($D850:$V850=1)),0)+SUM(V547)+IF(COUNTIF(V$641:V850,1)=1,5,0)+IF(COUNTIF(Z548:$Z548,"&gt;"&amp;0)&gt;5,IF(MOD(COUNTIF(V$641:V850,1),7)=0,$C$4,0),0)</f>
        <v>89.6984386404824</v>
      </c>
      <c r="W548" s="81" cm="1">
        <f ca="1" t="array" ref="W548">IF(W850=1,OFFSET($Z$338,$B548,W$335-1)/SUMPRODUCT(--($D$335:$V$335=W$335),--($D850:$V850=1)),0)+SUM(W547)+IF(COUNTIF(W$641:W850,1)=1,5,0)+IF(COUNTIF($Z548:AA548,"&gt;"&amp;0)&gt;5,IF(MOD(COUNTIF(W$641:W850,1),7)=0,$C$4,0),0)</f>
        <v>80.3425695255331</v>
      </c>
      <c r="X548" s="81" cm="1">
        <f ca="1" t="array" ref="X548">IF(X850=1,OFFSET($Z$338,$B548,X$335-1)/SUMPRODUCT(--($D$335:$V$335=X$335),--($D850:$V850=1)),0)+SUM(X547)+IF(COUNTIF(X$641:X850,1)=1,5,0)+IF(COUNTIF($Z548:AB548,"&gt;"&amp;0)&gt;5,IF(MOD(COUNTIF(X$641:X850,1),7)=0,$C$4,0),0)</f>
        <v>73.5789092348996</v>
      </c>
      <c r="Y548" s="81" cm="1">
        <f ca="1" t="array" ref="Y548">IF(Y850=1,OFFSET($Z$338,$B548,Y$335-1)/SUMPRODUCT(--($D$335:$V$335=Y$335),--($D850:$V850=1)),0)+SUM(Y547)+IF(COUNTIF(Y$641:Y850,1)=1,5,0)+IF(COUNTIF($Z548:AC548,"&gt;"&amp;0)&gt;5,IF(MOD(COUNTIF(Y$641:Y850,1),7)=0,$C$4,0),0)</f>
        <v>66.8152489442662</v>
      </c>
      <c r="Z548" s="82" cm="1">
        <f ca="1" t="array" ref="Z548">SUMPRODUCT(TRANSPOSE($AD548:$AJ548),OFFSET($L$10:$L$16,0,Z$335-1))</f>
        <v>0</v>
      </c>
      <c r="AA548" s="82" cm="1">
        <f ca="1" t="array" ref="AA548">SUMPRODUCT(TRANSPOSE($AD548:$AJ548),OFFSET($L$10:$L$16,0,AA$335-1))</f>
        <v>0</v>
      </c>
      <c r="AB548" s="82" cm="1">
        <f ca="1" t="array" ref="AB548">SUMPRODUCT(TRANSPOSE($AD548:$AJ548),OFFSET($L$10:$L$16,0,AB$335-1))</f>
        <v>0</v>
      </c>
      <c r="AC548" s="82" cm="1">
        <f ca="1" t="array" ref="AC548">SUMPRODUCT(TRANSPOSE($AD548:$AJ548),OFFSET($L$10:$L$16,0,AC$335-1))</f>
        <v>0</v>
      </c>
      <c r="AD548" s="83">
        <f ca="1" t="shared" ref="AD548:AJ548" si="745">AK548-AK547</f>
        <v>0</v>
      </c>
      <c r="AE548" s="83">
        <f ca="1" t="shared" si="745"/>
        <v>0</v>
      </c>
      <c r="AF548" s="83">
        <f ca="1" t="shared" si="745"/>
        <v>0</v>
      </c>
      <c r="AG548" s="83">
        <f ca="1" t="shared" si="745"/>
        <v>0</v>
      </c>
      <c r="AH548" s="83">
        <f ca="1" t="shared" si="745"/>
        <v>0</v>
      </c>
      <c r="AI548" s="83">
        <f ca="1" t="shared" si="745"/>
        <v>0</v>
      </c>
      <c r="AJ548" s="83">
        <f ca="1" t="shared" si="745"/>
        <v>0</v>
      </c>
      <c r="AK548" s="83">
        <f ca="1" t="shared" si="711"/>
        <v>450</v>
      </c>
      <c r="AL548" s="83">
        <f ca="1" t="shared" ref="AL548:AQ548" si="746">IF($C548&gt;OFFSET($Q$9,MATCH(AL$338,$AK$338:$AQ$338,0),0),OFFSET($P$9,MATCH(AL$338,$AK$338:$AQ$338,0),0),MAX(0,$C548-OFFSET($Q$9,RIGHT(AL$338,1)-1,0)))</f>
        <v>909</v>
      </c>
      <c r="AM548" s="83">
        <f ca="1" t="shared" si="746"/>
        <v>1818</v>
      </c>
      <c r="AN548" s="83">
        <f ca="1" t="shared" si="746"/>
        <v>2727</v>
      </c>
      <c r="AO548" s="83">
        <f ca="1" t="shared" si="746"/>
        <v>3636</v>
      </c>
      <c r="AP548" s="83">
        <f ca="1" t="shared" si="746"/>
        <v>4545</v>
      </c>
      <c r="AQ548" s="83">
        <f ca="1" t="shared" si="746"/>
        <v>0</v>
      </c>
    </row>
    <row r="549" ht="16.5" spans="2:43">
      <c r="B549" s="65">
        <v>211</v>
      </c>
      <c r="C549" s="80">
        <f t="shared" si="709"/>
        <v>24536</v>
      </c>
      <c r="D549" s="81" cm="1">
        <f ca="1" t="array" ref="D549">IF(D851=1,OFFSET($Z$338,$B549,D$335-1)/SUMPRODUCT(--($D$335:$V$335=D$335),--($D851:$V851=1)),0)+SUM(D548)+IF(COUNTIF(D$641:D851,1)=1,5,0)+IF(COUNTIF(E549:$Z549,"&gt;"&amp;0)&gt;5,IF(MOD(COUNTIF(D$641:D851,1),7)=0,$C$4,0),0)</f>
        <v>1268.82134856666</v>
      </c>
      <c r="E549" s="81" cm="1">
        <f ca="1" t="array" ref="E549">IF(E851=1,OFFSET($Z$338,$B549,E$335-1)/SUMPRODUCT(--($D$335:$V$335=E$335),--($D851:$V851=1)),0)+SUM(E548)+IF(COUNTIF(E$641:E851,1)=1,5,0)+IF(COUNTIF(F549:$Z549,"&gt;"&amp;0)&gt;5,IF(MOD(COUNTIF(E$641:E851,1),7)=0,$C$4,0),0)</f>
        <v>1268.82134856666</v>
      </c>
      <c r="F549" s="81" cm="1">
        <f ca="1" t="array" ref="F549">IF(F851=1,OFFSET($Z$338,$B549,F$335-1)/SUMPRODUCT(--($D$335:$V$335=F$335),--($D851:$V851=1)),0)+SUM(F548)+IF(COUNTIF(F$641:F851,1)=1,5,0)+IF(COUNTIF(G549:$Z549,"&gt;"&amp;0)&gt;5,IF(MOD(COUNTIF(F$641:F851,1),7)=0,$C$4,0),0)</f>
        <v>1268.82134856666</v>
      </c>
      <c r="G549" s="81" cm="1">
        <f ca="1" t="array" ref="G549">IF(G851=1,OFFSET($Z$338,$B549,G$335-1)/SUMPRODUCT(--($D$335:$V$335=G$335),--($D851:$V851=1)),0)+SUM(G548)+IF(COUNTIF(G$641:G851,1)=1,5,0)+IF(COUNTIF(H549:$Z549,"&gt;"&amp;0)&gt;5,IF(MOD(COUNTIF(G$641:G851,1),7)=0,$C$4,0),0)</f>
        <v>557.516666666668</v>
      </c>
      <c r="H549" s="81" cm="1">
        <f ca="1" t="array" ref="H549">IF(H851=1,OFFSET($Z$338,$B549,H$335-1)/SUMPRODUCT(--($D$335:$V$335=H$335),--($D851:$V851=1)),0)+SUM(H548)+IF(COUNTIF(H$641:H851,1)=1,5,0)+IF(COUNTIF(I549:$Z549,"&gt;"&amp;0)&gt;5,IF(MOD(COUNTIF(H$641:H851,1),7)=0,$C$4,0),0)</f>
        <v>557.516666666668</v>
      </c>
      <c r="I549" s="81" cm="1">
        <f ca="1" t="array" ref="I549">IF(I851=1,OFFSET($Z$338,$B549,I$335-1)/SUMPRODUCT(--($D$335:$V$335=I$335),--($D851:$V851=1)),0)+SUM(I548)+IF(COUNTIF(I$641:I851,1)=1,5,0)+IF(COUNTIF(J549:$Z549,"&gt;"&amp;0)&gt;5,IF(MOD(COUNTIF(I$641:I851,1),7)=0,$C$4,0),0)</f>
        <v>557.516666666668</v>
      </c>
      <c r="J549" s="81" cm="1">
        <f ca="1" t="array" ref="J549">IF(J851=1,OFFSET($Z$338,$B549,J$335-1)/SUMPRODUCT(--($D$335:$V$335=J$335),--($D851:$V851=1)),0)+SUM(J548)+IF(COUNTIF(J$641:J851,1)=1,5,0)+IF(COUNTIF(K549:$Z549,"&gt;"&amp;0)&gt;5,IF(MOD(COUNTIF(J$641:J851,1),7)=0,$C$4,0),0)</f>
        <v>557.516666666668</v>
      </c>
      <c r="K549" s="81" cm="1">
        <f ca="1" t="array" ref="K549">IF(K851=1,OFFSET($Z$338,$B549,K$335-1)/SUMPRODUCT(--($D$335:$V$335=K$335),--($D851:$V851=1)),0)+SUM(K548)+IF(COUNTIF(K$641:K851,1)=1,5,0)+IF(COUNTIF(L549:$Z549,"&gt;"&amp;0)&gt;5,IF(MOD(COUNTIF(K$641:K851,1),7)=0,$C$4,0),0)</f>
        <v>557.516666666668</v>
      </c>
      <c r="L549" s="81" cm="1">
        <f ca="1" t="array" ref="L549">IF(L851=1,OFFSET($Z$338,$B549,L$335-1)/SUMPRODUCT(--($D$335:$V$335=L$335),--($D851:$V851=1)),0)+SUM(L548)+IF(COUNTIF(L$641:L851,1)=1,5,0)+IF(COUNTIF(M549:$Z549,"&gt;"&amp;0)&gt;5,IF(MOD(COUNTIF(L$641:L851,1),7)=0,$C$4,0),0)</f>
        <v>550.816666666668</v>
      </c>
      <c r="M549" s="81" cm="1">
        <f ca="1" t="array" ref="M549">IF(M851=1,OFFSET($Z$338,$B549,M$335-1)/SUMPRODUCT(--($D$335:$V$335=M$335),--($D851:$V851=1)),0)+SUM(M548)+IF(COUNTIF(M$641:M851,1)=1,5,0)+IF(COUNTIF(N549:$Z549,"&gt;"&amp;0)&gt;5,IF(MOD(COUNTIF(M$641:M851,1),7)=0,$C$4,0),0)</f>
        <v>305.644107142858</v>
      </c>
      <c r="N549" s="81" cm="1">
        <f ca="1" t="array" ref="N549">IF(N851=1,OFFSET($Z$338,$B549,N$335-1)/SUMPRODUCT(--($D$335:$V$335=N$335),--($D851:$V851=1)),0)+SUM(N548)+IF(COUNTIF(N$641:N851,1)=1,5,0)+IF(COUNTIF(O549:$Z549,"&gt;"&amp;0)&gt;5,IF(MOD(COUNTIF(N$641:N851,1),7)=0,$C$4,0),0)</f>
        <v>292.919107142858</v>
      </c>
      <c r="O549" s="81" cm="1">
        <f ca="1" t="array" ref="O549">IF(O851=1,OFFSET($Z$338,$B549,O$335-1)/SUMPRODUCT(--($D$335:$V$335=O$335),--($D851:$V851=1)),0)+SUM(O548)+IF(COUNTIF(O$641:O851,1)=1,5,0)+IF(COUNTIF(P549:$Z549,"&gt;"&amp;0)&gt;5,IF(MOD(COUNTIF(O$641:O851,1),7)=0,$C$4,0),0)</f>
        <v>290.494107142858</v>
      </c>
      <c r="P549" s="81" cm="1">
        <f ca="1" t="array" ref="P549">IF(P851=1,OFFSET($Z$338,$B549,P$335-1)/SUMPRODUCT(--($D$335:$V$335=P$335),--($D851:$V851=1)),0)+SUM(P548)+IF(COUNTIF(P$641:P851,1)=1,5,0)+IF(COUNTIF(Q549:$Z549,"&gt;"&amp;0)&gt;5,IF(MOD(COUNTIF(P$641:P851,1),7)=0,$C$4,0),0)</f>
        <v>287.560773809524</v>
      </c>
      <c r="Q549" s="81" cm="1">
        <f ca="1" t="array" ref="Q549">IF(Q851=1,OFFSET($Z$338,$B549,Q$335-1)/SUMPRODUCT(--($D$335:$V$335=Q$335),--($D851:$V851=1)),0)+SUM(Q548)+IF(COUNTIF(Q$641:Q851,1)=1,5,0)+IF(COUNTIF(R549:$Z549,"&gt;"&amp;0)&gt;5,IF(MOD(COUNTIF(Q$641:Q851,1),7)=0,$C$4,0),0)</f>
        <v>286.654523809524</v>
      </c>
      <c r="R549" s="81" cm="1">
        <f ca="1" t="array" ref="R549">IF(R851=1,OFFSET($Z$338,$B549,R$335-1)/SUMPRODUCT(--($D$335:$V$335=R$335),--($D851:$V851=1)),0)+SUM(R548)+IF(COUNTIF(R$641:R851,1)=1,5,0)+IF(COUNTIF(S549:$Z549,"&gt;"&amp;0)&gt;5,IF(MOD(COUNTIF(R$641:R851,1),7)=0,$C$4,0),0)</f>
        <v>261.759523809524</v>
      </c>
      <c r="S549" s="81" cm="1">
        <f ca="1" t="array" ref="S549">IF(S851=1,OFFSET($Z$338,$B549,S$335-1)/SUMPRODUCT(--($D$335:$V$335=S$335),--($D851:$V851=1)),0)+SUM(S548)+IF(COUNTIF(S$641:S851,1)=1,5,0)+IF(COUNTIF(T549:$Z549,"&gt;"&amp;0)&gt;5,IF(MOD(COUNTIF(S$641:S851,1),7)=0,$C$4,0),0)</f>
        <v>252.592857142857</v>
      </c>
      <c r="T549" s="81" cm="1">
        <f ca="1" t="array" ref="T549">IF(T851=1,OFFSET($Z$338,$B549,T$335-1)/SUMPRODUCT(--($D$335:$V$335=T$335),--($D851:$V851=1)),0)+SUM(T548)+IF(COUNTIF(T$641:T851,1)=1,5,0)+IF(COUNTIF(U549:$Z549,"&gt;"&amp;0)&gt;5,IF(MOD(COUNTIF(T$641:T851,1),7)=0,$C$4,0),0)</f>
        <v>137.656257829764</v>
      </c>
      <c r="U549" s="81" cm="1">
        <f ca="1" t="array" ref="U549">IF(U851=1,OFFSET($Z$338,$B549,U$335-1)/SUMPRODUCT(--($D$335:$V$335=U$335),--($D851:$V851=1)),0)+SUM(U548)+IF(COUNTIF(U$641:U851,1)=1,5,0)+IF(COUNTIF(V549:$Z549,"&gt;"&amp;0)&gt;5,IF(MOD(COUNTIF(U$641:U851,1),7)=0,$C$4,0),0)</f>
        <v>97.6562578297643</v>
      </c>
      <c r="V549" s="81" cm="1">
        <f ca="1" t="array" ref="V549">IF(V851=1,OFFSET($Z$338,$B549,V$335-1)/SUMPRODUCT(--($D$335:$V$335=V$335),--($D851:$V851=1)),0)+SUM(V548)+IF(COUNTIF(V$641:V851,1)=1,5,0)+IF(COUNTIF(Z549:$Z549,"&gt;"&amp;0)&gt;5,IF(MOD(COUNTIF(V$641:V851,1),7)=0,$C$4,0),0)</f>
        <v>89.6984386404824</v>
      </c>
      <c r="W549" s="81" cm="1">
        <f ca="1" t="array" ref="W549">IF(W851=1,OFFSET($Z$338,$B549,W$335-1)/SUMPRODUCT(--($D$335:$V$335=W$335),--($D851:$V851=1)),0)+SUM(W548)+IF(COUNTIF(W$641:W851,1)=1,5,0)+IF(COUNTIF($Z549:AA549,"&gt;"&amp;0)&gt;5,IF(MOD(COUNTIF(W$641:W851,1),7)=0,$C$4,0),0)</f>
        <v>80.3425695255331</v>
      </c>
      <c r="X549" s="81" cm="1">
        <f ca="1" t="array" ref="X549">IF(X851=1,OFFSET($Z$338,$B549,X$335-1)/SUMPRODUCT(--($D$335:$V$335=X$335),--($D851:$V851=1)),0)+SUM(X548)+IF(COUNTIF(X$641:X851,1)=1,5,0)+IF(COUNTIF($Z549:AB549,"&gt;"&amp;0)&gt;5,IF(MOD(COUNTIF(X$641:X851,1),7)=0,$C$4,0),0)</f>
        <v>73.5789092348996</v>
      </c>
      <c r="Y549" s="81" cm="1">
        <f ca="1" t="array" ref="Y549">IF(Y851=1,OFFSET($Z$338,$B549,Y$335-1)/SUMPRODUCT(--($D$335:$V$335=Y$335),--($D851:$V851=1)),0)+SUM(Y548)+IF(COUNTIF(Y$641:Y851,1)=1,5,0)+IF(COUNTIF($Z549:AC549,"&gt;"&amp;0)&gt;5,IF(MOD(COUNTIF(Y$641:Y851,1),7)=0,$C$4,0),0)</f>
        <v>66.8152489442662</v>
      </c>
      <c r="Z549" s="82" cm="1">
        <f ca="1" t="array" ref="Z549">SUMPRODUCT(TRANSPOSE($AD549:$AJ549),OFFSET($L$10:$L$16,0,Z$335-1))</f>
        <v>0</v>
      </c>
      <c r="AA549" s="82" cm="1">
        <f ca="1" t="array" ref="AA549">SUMPRODUCT(TRANSPOSE($AD549:$AJ549),OFFSET($L$10:$L$16,0,AA$335-1))</f>
        <v>0</v>
      </c>
      <c r="AB549" s="82" cm="1">
        <f ca="1" t="array" ref="AB549">SUMPRODUCT(TRANSPOSE($AD549:$AJ549),OFFSET($L$10:$L$16,0,AB$335-1))</f>
        <v>0</v>
      </c>
      <c r="AC549" s="82" cm="1">
        <f ca="1" t="array" ref="AC549">SUMPRODUCT(TRANSPOSE($AD549:$AJ549),OFFSET($L$10:$L$16,0,AC$335-1))</f>
        <v>0</v>
      </c>
      <c r="AD549" s="83">
        <f ca="1" t="shared" ref="AD549:AJ549" si="747">AK549-AK548</f>
        <v>0</v>
      </c>
      <c r="AE549" s="83">
        <f ca="1" t="shared" si="747"/>
        <v>0</v>
      </c>
      <c r="AF549" s="83">
        <f ca="1" t="shared" si="747"/>
        <v>0</v>
      </c>
      <c r="AG549" s="83">
        <f ca="1" t="shared" si="747"/>
        <v>0</v>
      </c>
      <c r="AH549" s="83">
        <f ca="1" t="shared" si="747"/>
        <v>0</v>
      </c>
      <c r="AI549" s="83">
        <f ca="1" t="shared" si="747"/>
        <v>0</v>
      </c>
      <c r="AJ549" s="83">
        <f ca="1" t="shared" si="747"/>
        <v>0</v>
      </c>
      <c r="AK549" s="83">
        <f ca="1" t="shared" si="711"/>
        <v>450</v>
      </c>
      <c r="AL549" s="83">
        <f ca="1" t="shared" ref="AL549:AQ549" si="748">IF($C549&gt;OFFSET($Q$9,MATCH(AL$338,$AK$338:$AQ$338,0),0),OFFSET($P$9,MATCH(AL$338,$AK$338:$AQ$338,0),0),MAX(0,$C549-OFFSET($Q$9,RIGHT(AL$338,1)-1,0)))</f>
        <v>909</v>
      </c>
      <c r="AM549" s="83">
        <f ca="1" t="shared" si="748"/>
        <v>1818</v>
      </c>
      <c r="AN549" s="83">
        <f ca="1" t="shared" si="748"/>
        <v>2727</v>
      </c>
      <c r="AO549" s="83">
        <f ca="1" t="shared" si="748"/>
        <v>3636</v>
      </c>
      <c r="AP549" s="83">
        <f ca="1" t="shared" si="748"/>
        <v>4545</v>
      </c>
      <c r="AQ549" s="83">
        <f ca="1" t="shared" si="748"/>
        <v>0</v>
      </c>
    </row>
    <row r="550" ht="16.5" spans="2:43">
      <c r="B550" s="65">
        <v>212</v>
      </c>
      <c r="C550" s="80">
        <f t="shared" si="709"/>
        <v>24646</v>
      </c>
      <c r="D550" s="81" cm="1">
        <f ca="1" t="array" ref="D550">IF(D852=1,OFFSET($Z$338,$B550,D$335-1)/SUMPRODUCT(--($D$335:$V$335=D$335),--($D852:$V852=1)),0)+SUM(D549)+IF(COUNTIF(D$641:D852,1)=1,5,0)+IF(COUNTIF(E550:$Z550,"&gt;"&amp;0)&gt;5,IF(MOD(COUNTIF(D$641:D852,1),7)=0,$C$4,0),0)</f>
        <v>1268.82134856666</v>
      </c>
      <c r="E550" s="81" cm="1">
        <f ca="1" t="array" ref="E550">IF(E852=1,OFFSET($Z$338,$B550,E$335-1)/SUMPRODUCT(--($D$335:$V$335=E$335),--($D852:$V852=1)),0)+SUM(E549)+IF(COUNTIF(E$641:E852,1)=1,5,0)+IF(COUNTIF(F550:$Z550,"&gt;"&amp;0)&gt;5,IF(MOD(COUNTIF(E$641:E852,1),7)=0,$C$4,0),0)</f>
        <v>1268.82134856666</v>
      </c>
      <c r="F550" s="81" cm="1">
        <f ca="1" t="array" ref="F550">IF(F852=1,OFFSET($Z$338,$B550,F$335-1)/SUMPRODUCT(--($D$335:$V$335=F$335),--($D852:$V852=1)),0)+SUM(F549)+IF(COUNTIF(F$641:F852,1)=1,5,0)+IF(COUNTIF(G550:$Z550,"&gt;"&amp;0)&gt;5,IF(MOD(COUNTIF(F$641:F852,1),7)=0,$C$4,0),0)</f>
        <v>1268.82134856666</v>
      </c>
      <c r="G550" s="81" cm="1">
        <f ca="1" t="array" ref="G550">IF(G852=1,OFFSET($Z$338,$B550,G$335-1)/SUMPRODUCT(--($D$335:$V$335=G$335),--($D852:$V852=1)),0)+SUM(G549)+IF(COUNTIF(G$641:G852,1)=1,5,0)+IF(COUNTIF(H550:$Z550,"&gt;"&amp;0)&gt;5,IF(MOD(COUNTIF(G$641:G852,1),7)=0,$C$4,0),0)</f>
        <v>557.516666666668</v>
      </c>
      <c r="H550" s="81" cm="1">
        <f ca="1" t="array" ref="H550">IF(H852=1,OFFSET($Z$338,$B550,H$335-1)/SUMPRODUCT(--($D$335:$V$335=H$335),--($D852:$V852=1)),0)+SUM(H549)+IF(COUNTIF(H$641:H852,1)=1,5,0)+IF(COUNTIF(I550:$Z550,"&gt;"&amp;0)&gt;5,IF(MOD(COUNTIF(H$641:H852,1),7)=0,$C$4,0),0)</f>
        <v>557.516666666668</v>
      </c>
      <c r="I550" s="81" cm="1">
        <f ca="1" t="array" ref="I550">IF(I852=1,OFFSET($Z$338,$B550,I$335-1)/SUMPRODUCT(--($D$335:$V$335=I$335),--($D852:$V852=1)),0)+SUM(I549)+IF(COUNTIF(I$641:I852,1)=1,5,0)+IF(COUNTIF(J550:$Z550,"&gt;"&amp;0)&gt;5,IF(MOD(COUNTIF(I$641:I852,1),7)=0,$C$4,0),0)</f>
        <v>557.516666666668</v>
      </c>
      <c r="J550" s="81" cm="1">
        <f ca="1" t="array" ref="J550">IF(J852=1,OFFSET($Z$338,$B550,J$335-1)/SUMPRODUCT(--($D$335:$V$335=J$335),--($D852:$V852=1)),0)+SUM(J549)+IF(COUNTIF(J$641:J852,1)=1,5,0)+IF(COUNTIF(K550:$Z550,"&gt;"&amp;0)&gt;5,IF(MOD(COUNTIF(J$641:J852,1),7)=0,$C$4,0),0)</f>
        <v>557.516666666668</v>
      </c>
      <c r="K550" s="81" cm="1">
        <f ca="1" t="array" ref="K550">IF(K852=1,OFFSET($Z$338,$B550,K$335-1)/SUMPRODUCT(--($D$335:$V$335=K$335),--($D852:$V852=1)),0)+SUM(K549)+IF(COUNTIF(K$641:K852,1)=1,5,0)+IF(COUNTIF(L550:$Z550,"&gt;"&amp;0)&gt;5,IF(MOD(COUNTIF(K$641:K852,1),7)=0,$C$4,0),0)</f>
        <v>557.516666666668</v>
      </c>
      <c r="L550" s="81" cm="1">
        <f ca="1" t="array" ref="L550">IF(L852=1,OFFSET($Z$338,$B550,L$335-1)/SUMPRODUCT(--($D$335:$V$335=L$335),--($D852:$V852=1)),0)+SUM(L549)+IF(COUNTIF(L$641:L852,1)=1,5,0)+IF(COUNTIF(M550:$Z550,"&gt;"&amp;0)&gt;5,IF(MOD(COUNTIF(L$641:L852,1),7)=0,$C$4,0),0)</f>
        <v>550.816666666668</v>
      </c>
      <c r="M550" s="81" cm="1">
        <f ca="1" t="array" ref="M550">IF(M852=1,OFFSET($Z$338,$B550,M$335-1)/SUMPRODUCT(--($D$335:$V$335=M$335),--($D852:$V852=1)),0)+SUM(M549)+IF(COUNTIF(M$641:M852,1)=1,5,0)+IF(COUNTIF(N550:$Z550,"&gt;"&amp;0)&gt;5,IF(MOD(COUNTIF(M$641:M852,1),7)=0,$C$4,0),0)</f>
        <v>305.644107142858</v>
      </c>
      <c r="N550" s="81" cm="1">
        <f ca="1" t="array" ref="N550">IF(N852=1,OFFSET($Z$338,$B550,N$335-1)/SUMPRODUCT(--($D$335:$V$335=N$335),--($D852:$V852=1)),0)+SUM(N549)+IF(COUNTIF(N$641:N852,1)=1,5,0)+IF(COUNTIF(O550:$Z550,"&gt;"&amp;0)&gt;5,IF(MOD(COUNTIF(N$641:N852,1),7)=0,$C$4,0),0)</f>
        <v>297.919107142858</v>
      </c>
      <c r="O550" s="81" cm="1">
        <f ca="1" t="array" ref="O550">IF(O852=1,OFFSET($Z$338,$B550,O$335-1)/SUMPRODUCT(--($D$335:$V$335=O$335),--($D852:$V852=1)),0)+SUM(O549)+IF(COUNTIF(O$641:O852,1)=1,5,0)+IF(COUNTIF(P550:$Z550,"&gt;"&amp;0)&gt;5,IF(MOD(COUNTIF(O$641:O852,1),7)=0,$C$4,0),0)</f>
        <v>290.494107142858</v>
      </c>
      <c r="P550" s="81" cm="1">
        <f ca="1" t="array" ref="P550">IF(P852=1,OFFSET($Z$338,$B550,P$335-1)/SUMPRODUCT(--($D$335:$V$335=P$335),--($D852:$V852=1)),0)+SUM(P549)+IF(COUNTIF(P$641:P852,1)=1,5,0)+IF(COUNTIF(Q550:$Z550,"&gt;"&amp;0)&gt;5,IF(MOD(COUNTIF(P$641:P852,1),7)=0,$C$4,0),0)</f>
        <v>287.560773809524</v>
      </c>
      <c r="Q550" s="81" cm="1">
        <f ca="1" t="array" ref="Q550">IF(Q852=1,OFFSET($Z$338,$B550,Q$335-1)/SUMPRODUCT(--($D$335:$V$335=Q$335),--($D852:$V852=1)),0)+SUM(Q549)+IF(COUNTIF(Q$641:Q852,1)=1,5,0)+IF(COUNTIF(R550:$Z550,"&gt;"&amp;0)&gt;5,IF(MOD(COUNTIF(Q$641:Q852,1),7)=0,$C$4,0),0)</f>
        <v>286.654523809524</v>
      </c>
      <c r="R550" s="81" cm="1">
        <f ca="1" t="array" ref="R550">IF(R852=1,OFFSET($Z$338,$B550,R$335-1)/SUMPRODUCT(--($D$335:$V$335=R$335),--($D852:$V852=1)),0)+SUM(R549)+IF(COUNTIF(R$641:R852,1)=1,5,0)+IF(COUNTIF(S550:$Z550,"&gt;"&amp;0)&gt;5,IF(MOD(COUNTIF(R$641:R852,1),7)=0,$C$4,0),0)</f>
        <v>261.759523809524</v>
      </c>
      <c r="S550" s="81" cm="1">
        <f ca="1" t="array" ref="S550">IF(S852=1,OFFSET($Z$338,$B550,S$335-1)/SUMPRODUCT(--($D$335:$V$335=S$335),--($D852:$V852=1)),0)+SUM(S549)+IF(COUNTIF(S$641:S852,1)=1,5,0)+IF(COUNTIF(T550:$Z550,"&gt;"&amp;0)&gt;5,IF(MOD(COUNTIF(S$641:S852,1),7)=0,$C$4,0),0)</f>
        <v>252.592857142857</v>
      </c>
      <c r="T550" s="81" cm="1">
        <f ca="1" t="array" ref="T550">IF(T852=1,OFFSET($Z$338,$B550,T$335-1)/SUMPRODUCT(--($D$335:$V$335=T$335),--($D852:$V852=1)),0)+SUM(T549)+IF(COUNTIF(T$641:T852,1)=1,5,0)+IF(COUNTIF(U550:$Z550,"&gt;"&amp;0)&gt;5,IF(MOD(COUNTIF(T$641:T852,1),7)=0,$C$4,0),0)</f>
        <v>137.656257829764</v>
      </c>
      <c r="U550" s="81" cm="1">
        <f ca="1" t="array" ref="U550">IF(U852=1,OFFSET($Z$338,$B550,U$335-1)/SUMPRODUCT(--($D$335:$V$335=U$335),--($D852:$V852=1)),0)+SUM(U549)+IF(COUNTIF(U$641:U852,1)=1,5,0)+IF(COUNTIF(V550:$Z550,"&gt;"&amp;0)&gt;5,IF(MOD(COUNTIF(U$641:U852,1),7)=0,$C$4,0),0)</f>
        <v>97.6562578297643</v>
      </c>
      <c r="V550" s="81" cm="1">
        <f ca="1" t="array" ref="V550">IF(V852=1,OFFSET($Z$338,$B550,V$335-1)/SUMPRODUCT(--($D$335:$V$335=V$335),--($D852:$V852=1)),0)+SUM(V549)+IF(COUNTIF(V$641:V852,1)=1,5,0)+IF(COUNTIF(Z550:$Z550,"&gt;"&amp;0)&gt;5,IF(MOD(COUNTIF(V$641:V852,1),7)=0,$C$4,0),0)</f>
        <v>89.6984386404824</v>
      </c>
      <c r="W550" s="81" cm="1">
        <f ca="1" t="array" ref="W550">IF(W852=1,OFFSET($Z$338,$B550,W$335-1)/SUMPRODUCT(--($D$335:$V$335=W$335),--($D852:$V852=1)),0)+SUM(W549)+IF(COUNTIF(W$641:W852,1)=1,5,0)+IF(COUNTIF($Z550:AA550,"&gt;"&amp;0)&gt;5,IF(MOD(COUNTIF(W$641:W852,1),7)=0,$C$4,0),0)</f>
        <v>80.3425695255331</v>
      </c>
      <c r="X550" s="81" cm="1">
        <f ca="1" t="array" ref="X550">IF(X852=1,OFFSET($Z$338,$B550,X$335-1)/SUMPRODUCT(--($D$335:$V$335=X$335),--($D852:$V852=1)),0)+SUM(X549)+IF(COUNTIF(X$641:X852,1)=1,5,0)+IF(COUNTIF($Z550:AB550,"&gt;"&amp;0)&gt;5,IF(MOD(COUNTIF(X$641:X852,1),7)=0,$C$4,0),0)</f>
        <v>73.5789092348996</v>
      </c>
      <c r="Y550" s="81" cm="1">
        <f ca="1" t="array" ref="Y550">IF(Y852=1,OFFSET($Z$338,$B550,Y$335-1)/SUMPRODUCT(--($D$335:$V$335=Y$335),--($D852:$V852=1)),0)+SUM(Y549)+IF(COUNTIF(Y$641:Y852,1)=1,5,0)+IF(COUNTIF($Z550:AC550,"&gt;"&amp;0)&gt;5,IF(MOD(COUNTIF(Y$641:Y852,1),7)=0,$C$4,0),0)</f>
        <v>66.8152489442662</v>
      </c>
      <c r="Z550" s="82" cm="1">
        <f ca="1" t="array" ref="Z550">SUMPRODUCT(TRANSPOSE($AD550:$AJ550),OFFSET($L$10:$L$16,0,Z$335-1))</f>
        <v>0</v>
      </c>
      <c r="AA550" s="82" cm="1">
        <f ca="1" t="array" ref="AA550">SUMPRODUCT(TRANSPOSE($AD550:$AJ550),OFFSET($L$10:$L$16,0,AA$335-1))</f>
        <v>0</v>
      </c>
      <c r="AB550" s="82" cm="1">
        <f ca="1" t="array" ref="AB550">SUMPRODUCT(TRANSPOSE($AD550:$AJ550),OFFSET($L$10:$L$16,0,AB$335-1))</f>
        <v>0</v>
      </c>
      <c r="AC550" s="82" cm="1">
        <f ca="1" t="array" ref="AC550">SUMPRODUCT(TRANSPOSE($AD550:$AJ550),OFFSET($L$10:$L$16,0,AC$335-1))</f>
        <v>0</v>
      </c>
      <c r="AD550" s="83">
        <f ca="1" t="shared" ref="AD550:AJ550" si="749">AK550-AK549</f>
        <v>0</v>
      </c>
      <c r="AE550" s="83">
        <f ca="1" t="shared" si="749"/>
        <v>0</v>
      </c>
      <c r="AF550" s="83">
        <f ca="1" t="shared" si="749"/>
        <v>0</v>
      </c>
      <c r="AG550" s="83">
        <f ca="1" t="shared" si="749"/>
        <v>0</v>
      </c>
      <c r="AH550" s="83">
        <f ca="1" t="shared" si="749"/>
        <v>0</v>
      </c>
      <c r="AI550" s="83">
        <f ca="1" t="shared" si="749"/>
        <v>0</v>
      </c>
      <c r="AJ550" s="83">
        <f ca="1" t="shared" si="749"/>
        <v>0</v>
      </c>
      <c r="AK550" s="83">
        <f ca="1" t="shared" si="711"/>
        <v>450</v>
      </c>
      <c r="AL550" s="83">
        <f ca="1" t="shared" ref="AL550:AQ550" si="750">IF($C550&gt;OFFSET($Q$9,MATCH(AL$338,$AK$338:$AQ$338,0),0),OFFSET($P$9,MATCH(AL$338,$AK$338:$AQ$338,0),0),MAX(0,$C550-OFFSET($Q$9,RIGHT(AL$338,1)-1,0)))</f>
        <v>909</v>
      </c>
      <c r="AM550" s="83">
        <f ca="1" t="shared" si="750"/>
        <v>1818</v>
      </c>
      <c r="AN550" s="83">
        <f ca="1" t="shared" si="750"/>
        <v>2727</v>
      </c>
      <c r="AO550" s="83">
        <f ca="1" t="shared" si="750"/>
        <v>3636</v>
      </c>
      <c r="AP550" s="83">
        <f ca="1" t="shared" si="750"/>
        <v>4545</v>
      </c>
      <c r="AQ550" s="83">
        <f ca="1" t="shared" si="750"/>
        <v>0</v>
      </c>
    </row>
    <row r="551" ht="16.5" spans="2:43">
      <c r="B551" s="65">
        <v>213</v>
      </c>
      <c r="C551" s="80">
        <f t="shared" si="709"/>
        <v>24756</v>
      </c>
      <c r="D551" s="81" cm="1">
        <f ca="1" t="array" ref="D551">IF(D853=1,OFFSET($Z$338,$B551,D$335-1)/SUMPRODUCT(--($D$335:$V$335=D$335),--($D853:$V853=1)),0)+SUM(D550)+IF(COUNTIF(D$641:D853,1)=1,5,0)+IF(COUNTIF(E551:$Z551,"&gt;"&amp;0)&gt;5,IF(MOD(COUNTIF(D$641:D853,1),7)=0,$C$4,0),0)</f>
        <v>1268.82134856666</v>
      </c>
      <c r="E551" s="81" cm="1">
        <f ca="1" t="array" ref="E551">IF(E853=1,OFFSET($Z$338,$B551,E$335-1)/SUMPRODUCT(--($D$335:$V$335=E$335),--($D853:$V853=1)),0)+SUM(E550)+IF(COUNTIF(E$641:E853,1)=1,5,0)+IF(COUNTIF(F551:$Z551,"&gt;"&amp;0)&gt;5,IF(MOD(COUNTIF(E$641:E853,1),7)=0,$C$4,0),0)</f>
        <v>1268.82134856666</v>
      </c>
      <c r="F551" s="81" cm="1">
        <f ca="1" t="array" ref="F551">IF(F853=1,OFFSET($Z$338,$B551,F$335-1)/SUMPRODUCT(--($D$335:$V$335=F$335),--($D853:$V853=1)),0)+SUM(F550)+IF(COUNTIF(F$641:F853,1)=1,5,0)+IF(COUNTIF(G551:$Z551,"&gt;"&amp;0)&gt;5,IF(MOD(COUNTIF(F$641:F853,1),7)=0,$C$4,0),0)</f>
        <v>1268.82134856666</v>
      </c>
      <c r="G551" s="81" cm="1">
        <f ca="1" t="array" ref="G551">IF(G853=1,OFFSET($Z$338,$B551,G$335-1)/SUMPRODUCT(--($D$335:$V$335=G$335),--($D853:$V853=1)),0)+SUM(G550)+IF(COUNTIF(G$641:G853,1)=1,5,0)+IF(COUNTIF(H551:$Z551,"&gt;"&amp;0)&gt;5,IF(MOD(COUNTIF(G$641:G853,1),7)=0,$C$4,0),0)</f>
        <v>557.516666666668</v>
      </c>
      <c r="H551" s="81" cm="1">
        <f ca="1" t="array" ref="H551">IF(H853=1,OFFSET($Z$338,$B551,H$335-1)/SUMPRODUCT(--($D$335:$V$335=H$335),--($D853:$V853=1)),0)+SUM(H550)+IF(COUNTIF(H$641:H853,1)=1,5,0)+IF(COUNTIF(I551:$Z551,"&gt;"&amp;0)&gt;5,IF(MOD(COUNTIF(H$641:H853,1),7)=0,$C$4,0),0)</f>
        <v>557.516666666668</v>
      </c>
      <c r="I551" s="81" cm="1">
        <f ca="1" t="array" ref="I551">IF(I853=1,OFFSET($Z$338,$B551,I$335-1)/SUMPRODUCT(--($D$335:$V$335=I$335),--($D853:$V853=1)),0)+SUM(I550)+IF(COUNTIF(I$641:I853,1)=1,5,0)+IF(COUNTIF(J551:$Z551,"&gt;"&amp;0)&gt;5,IF(MOD(COUNTIF(I$641:I853,1),7)=0,$C$4,0),0)</f>
        <v>557.516666666668</v>
      </c>
      <c r="J551" s="81" cm="1">
        <f ca="1" t="array" ref="J551">IF(J853=1,OFFSET($Z$338,$B551,J$335-1)/SUMPRODUCT(--($D$335:$V$335=J$335),--($D853:$V853=1)),0)+SUM(J550)+IF(COUNTIF(J$641:J853,1)=1,5,0)+IF(COUNTIF(K551:$Z551,"&gt;"&amp;0)&gt;5,IF(MOD(COUNTIF(J$641:J853,1),7)=0,$C$4,0),0)</f>
        <v>557.516666666668</v>
      </c>
      <c r="K551" s="81" cm="1">
        <f ca="1" t="array" ref="K551">IF(K853=1,OFFSET($Z$338,$B551,K$335-1)/SUMPRODUCT(--($D$335:$V$335=K$335),--($D853:$V853=1)),0)+SUM(K550)+IF(COUNTIF(K$641:K853,1)=1,5,0)+IF(COUNTIF(L551:$Z551,"&gt;"&amp;0)&gt;5,IF(MOD(COUNTIF(K$641:K853,1),7)=0,$C$4,0),0)</f>
        <v>557.516666666668</v>
      </c>
      <c r="L551" s="81" cm="1">
        <f ca="1" t="array" ref="L551">IF(L853=1,OFFSET($Z$338,$B551,L$335-1)/SUMPRODUCT(--($D$335:$V$335=L$335),--($D853:$V853=1)),0)+SUM(L550)+IF(COUNTIF(L$641:L853,1)=1,5,0)+IF(COUNTIF(M551:$Z551,"&gt;"&amp;0)&gt;5,IF(MOD(COUNTIF(L$641:L853,1),7)=0,$C$4,0),0)</f>
        <v>550.816666666668</v>
      </c>
      <c r="M551" s="81" cm="1">
        <f ca="1" t="array" ref="M551">IF(M853=1,OFFSET($Z$338,$B551,M$335-1)/SUMPRODUCT(--($D$335:$V$335=M$335),--($D853:$V853=1)),0)+SUM(M550)+IF(COUNTIF(M$641:M853,1)=1,5,0)+IF(COUNTIF(N551:$Z551,"&gt;"&amp;0)&gt;5,IF(MOD(COUNTIF(M$641:M853,1),7)=0,$C$4,0),0)</f>
        <v>305.644107142858</v>
      </c>
      <c r="N551" s="81" cm="1">
        <f ca="1" t="array" ref="N551">IF(N853=1,OFFSET($Z$338,$B551,N$335-1)/SUMPRODUCT(--($D$335:$V$335=N$335),--($D853:$V853=1)),0)+SUM(N550)+IF(COUNTIF(N$641:N853,1)=1,5,0)+IF(COUNTIF(O551:$Z551,"&gt;"&amp;0)&gt;5,IF(MOD(COUNTIF(N$641:N853,1),7)=0,$C$4,0),0)</f>
        <v>297.919107142858</v>
      </c>
      <c r="O551" s="81" cm="1">
        <f ca="1" t="array" ref="O551">IF(O853=1,OFFSET($Z$338,$B551,O$335-1)/SUMPRODUCT(--($D$335:$V$335=O$335),--($D853:$V853=1)),0)+SUM(O550)+IF(COUNTIF(O$641:O853,1)=1,5,0)+IF(COUNTIF(P551:$Z551,"&gt;"&amp;0)&gt;5,IF(MOD(COUNTIF(O$641:O853,1),7)=0,$C$4,0),0)</f>
        <v>295.494107142858</v>
      </c>
      <c r="P551" s="81" cm="1">
        <f ca="1" t="array" ref="P551">IF(P853=1,OFFSET($Z$338,$B551,P$335-1)/SUMPRODUCT(--($D$335:$V$335=P$335),--($D853:$V853=1)),0)+SUM(P550)+IF(COUNTIF(P$641:P853,1)=1,5,0)+IF(COUNTIF(Q551:$Z551,"&gt;"&amp;0)&gt;5,IF(MOD(COUNTIF(P$641:P853,1),7)=0,$C$4,0),0)</f>
        <v>287.560773809524</v>
      </c>
      <c r="Q551" s="81" cm="1">
        <f ca="1" t="array" ref="Q551">IF(Q853=1,OFFSET($Z$338,$B551,Q$335-1)/SUMPRODUCT(--($D$335:$V$335=Q$335),--($D853:$V853=1)),0)+SUM(Q550)+IF(COUNTIF(Q$641:Q853,1)=1,5,0)+IF(COUNTIF(R551:$Z551,"&gt;"&amp;0)&gt;5,IF(MOD(COUNTIF(Q$641:Q853,1),7)=0,$C$4,0),0)</f>
        <v>286.654523809524</v>
      </c>
      <c r="R551" s="81" cm="1">
        <f ca="1" t="array" ref="R551">IF(R853=1,OFFSET($Z$338,$B551,R$335-1)/SUMPRODUCT(--($D$335:$V$335=R$335),--($D853:$V853=1)),0)+SUM(R550)+IF(COUNTIF(R$641:R853,1)=1,5,0)+IF(COUNTIF(S551:$Z551,"&gt;"&amp;0)&gt;5,IF(MOD(COUNTIF(R$641:R853,1),7)=0,$C$4,0),0)</f>
        <v>261.759523809524</v>
      </c>
      <c r="S551" s="81" cm="1">
        <f ca="1" t="array" ref="S551">IF(S853=1,OFFSET($Z$338,$B551,S$335-1)/SUMPRODUCT(--($D$335:$V$335=S$335),--($D853:$V853=1)),0)+SUM(S550)+IF(COUNTIF(S$641:S853,1)=1,5,0)+IF(COUNTIF(T551:$Z551,"&gt;"&amp;0)&gt;5,IF(MOD(COUNTIF(S$641:S853,1),7)=0,$C$4,0),0)</f>
        <v>252.592857142857</v>
      </c>
      <c r="T551" s="81" cm="1">
        <f ca="1" t="array" ref="T551">IF(T853=1,OFFSET($Z$338,$B551,T$335-1)/SUMPRODUCT(--($D$335:$V$335=T$335),--($D853:$V853=1)),0)+SUM(T550)+IF(COUNTIF(T$641:T853,1)=1,5,0)+IF(COUNTIF(U551:$Z551,"&gt;"&amp;0)&gt;5,IF(MOD(COUNTIF(T$641:T853,1),7)=0,$C$4,0),0)</f>
        <v>137.656257829764</v>
      </c>
      <c r="U551" s="81" cm="1">
        <f ca="1" t="array" ref="U551">IF(U853=1,OFFSET($Z$338,$B551,U$335-1)/SUMPRODUCT(--($D$335:$V$335=U$335),--($D853:$V853=1)),0)+SUM(U550)+IF(COUNTIF(U$641:U853,1)=1,5,0)+IF(COUNTIF(V551:$Z551,"&gt;"&amp;0)&gt;5,IF(MOD(COUNTIF(U$641:U853,1),7)=0,$C$4,0),0)</f>
        <v>97.6562578297643</v>
      </c>
      <c r="V551" s="81" cm="1">
        <f ca="1" t="array" ref="V551">IF(V853=1,OFFSET($Z$338,$B551,V$335-1)/SUMPRODUCT(--($D$335:$V$335=V$335),--($D853:$V853=1)),0)+SUM(V550)+IF(COUNTIF(V$641:V853,1)=1,5,0)+IF(COUNTIF(Z551:$Z551,"&gt;"&amp;0)&gt;5,IF(MOD(COUNTIF(V$641:V853,1),7)=0,$C$4,0),0)</f>
        <v>89.6984386404824</v>
      </c>
      <c r="W551" s="81" cm="1">
        <f ca="1" t="array" ref="W551">IF(W853=1,OFFSET($Z$338,$B551,W$335-1)/SUMPRODUCT(--($D$335:$V$335=W$335),--($D853:$V853=1)),0)+SUM(W550)+IF(COUNTIF(W$641:W853,1)=1,5,0)+IF(COUNTIF($Z551:AA551,"&gt;"&amp;0)&gt;5,IF(MOD(COUNTIF(W$641:W853,1),7)=0,$C$4,0),0)</f>
        <v>80.3425695255331</v>
      </c>
      <c r="X551" s="81" cm="1">
        <f ca="1" t="array" ref="X551">IF(X853=1,OFFSET($Z$338,$B551,X$335-1)/SUMPRODUCT(--($D$335:$V$335=X$335),--($D853:$V853=1)),0)+SUM(X550)+IF(COUNTIF(X$641:X853,1)=1,5,0)+IF(COUNTIF($Z551:AB551,"&gt;"&amp;0)&gt;5,IF(MOD(COUNTIF(X$641:X853,1),7)=0,$C$4,0),0)</f>
        <v>73.5789092348996</v>
      </c>
      <c r="Y551" s="81" cm="1">
        <f ca="1" t="array" ref="Y551">IF(Y853=1,OFFSET($Z$338,$B551,Y$335-1)/SUMPRODUCT(--($D$335:$V$335=Y$335),--($D853:$V853=1)),0)+SUM(Y550)+IF(COUNTIF(Y$641:Y853,1)=1,5,0)+IF(COUNTIF($Z551:AC551,"&gt;"&amp;0)&gt;5,IF(MOD(COUNTIF(Y$641:Y853,1),7)=0,$C$4,0),0)</f>
        <v>66.8152489442662</v>
      </c>
      <c r="Z551" s="82" cm="1">
        <f ca="1" t="array" ref="Z551">SUMPRODUCT(TRANSPOSE($AD551:$AJ551),OFFSET($L$10:$L$16,0,Z$335-1))</f>
        <v>0</v>
      </c>
      <c r="AA551" s="82" cm="1">
        <f ca="1" t="array" ref="AA551">SUMPRODUCT(TRANSPOSE($AD551:$AJ551),OFFSET($L$10:$L$16,0,AA$335-1))</f>
        <v>0</v>
      </c>
      <c r="AB551" s="82" cm="1">
        <f ca="1" t="array" ref="AB551">SUMPRODUCT(TRANSPOSE($AD551:$AJ551),OFFSET($L$10:$L$16,0,AB$335-1))</f>
        <v>0</v>
      </c>
      <c r="AC551" s="82" cm="1">
        <f ca="1" t="array" ref="AC551">SUMPRODUCT(TRANSPOSE($AD551:$AJ551),OFFSET($L$10:$L$16,0,AC$335-1))</f>
        <v>0</v>
      </c>
      <c r="AD551" s="83">
        <f ca="1" t="shared" ref="AD551:AJ551" si="751">AK551-AK550</f>
        <v>0</v>
      </c>
      <c r="AE551" s="83">
        <f ca="1" t="shared" si="751"/>
        <v>0</v>
      </c>
      <c r="AF551" s="83">
        <f ca="1" t="shared" si="751"/>
        <v>0</v>
      </c>
      <c r="AG551" s="83">
        <f ca="1" t="shared" si="751"/>
        <v>0</v>
      </c>
      <c r="AH551" s="83">
        <f ca="1" t="shared" si="751"/>
        <v>0</v>
      </c>
      <c r="AI551" s="83">
        <f ca="1" t="shared" si="751"/>
        <v>0</v>
      </c>
      <c r="AJ551" s="83">
        <f ca="1" t="shared" si="751"/>
        <v>0</v>
      </c>
      <c r="AK551" s="83">
        <f ca="1" t="shared" si="711"/>
        <v>450</v>
      </c>
      <c r="AL551" s="83">
        <f ca="1" t="shared" ref="AL551:AQ551" si="752">IF($C551&gt;OFFSET($Q$9,MATCH(AL$338,$AK$338:$AQ$338,0),0),OFFSET($P$9,MATCH(AL$338,$AK$338:$AQ$338,0),0),MAX(0,$C551-OFFSET($Q$9,RIGHT(AL$338,1)-1,0)))</f>
        <v>909</v>
      </c>
      <c r="AM551" s="83">
        <f ca="1" t="shared" si="752"/>
        <v>1818</v>
      </c>
      <c r="AN551" s="83">
        <f ca="1" t="shared" si="752"/>
        <v>2727</v>
      </c>
      <c r="AO551" s="83">
        <f ca="1" t="shared" si="752"/>
        <v>3636</v>
      </c>
      <c r="AP551" s="83">
        <f ca="1" t="shared" si="752"/>
        <v>4545</v>
      </c>
      <c r="AQ551" s="83">
        <f ca="1" t="shared" si="752"/>
        <v>0</v>
      </c>
    </row>
    <row r="552" ht="16.5" spans="2:43">
      <c r="B552" s="65">
        <v>214</v>
      </c>
      <c r="C552" s="80">
        <f t="shared" si="709"/>
        <v>24866</v>
      </c>
      <c r="D552" s="81" cm="1">
        <f ca="1" t="array" ref="D552">IF(D854=1,OFFSET($Z$338,$B552,D$335-1)/SUMPRODUCT(--($D$335:$V$335=D$335),--($D854:$V854=1)),0)+SUM(D551)+IF(COUNTIF(D$641:D854,1)=1,5,0)+IF(COUNTIF(E552:$Z552,"&gt;"&amp;0)&gt;5,IF(MOD(COUNTIF(D$641:D854,1),7)=0,$C$4,0),0)</f>
        <v>1268.82134856666</v>
      </c>
      <c r="E552" s="81" cm="1">
        <f ca="1" t="array" ref="E552">IF(E854=1,OFFSET($Z$338,$B552,E$335-1)/SUMPRODUCT(--($D$335:$V$335=E$335),--($D854:$V854=1)),0)+SUM(E551)+IF(COUNTIF(E$641:E854,1)=1,5,0)+IF(COUNTIF(F552:$Z552,"&gt;"&amp;0)&gt;5,IF(MOD(COUNTIF(E$641:E854,1),7)=0,$C$4,0),0)</f>
        <v>1268.82134856666</v>
      </c>
      <c r="F552" s="81" cm="1">
        <f ca="1" t="array" ref="F552">IF(F854=1,OFFSET($Z$338,$B552,F$335-1)/SUMPRODUCT(--($D$335:$V$335=F$335),--($D854:$V854=1)),0)+SUM(F551)+IF(COUNTIF(F$641:F854,1)=1,5,0)+IF(COUNTIF(G552:$Z552,"&gt;"&amp;0)&gt;5,IF(MOD(COUNTIF(F$641:F854,1),7)=0,$C$4,0),0)</f>
        <v>1268.82134856666</v>
      </c>
      <c r="G552" s="81" cm="1">
        <f ca="1" t="array" ref="G552">IF(G854=1,OFFSET($Z$338,$B552,G$335-1)/SUMPRODUCT(--($D$335:$V$335=G$335),--($D854:$V854=1)),0)+SUM(G551)+IF(COUNTIF(G$641:G854,1)=1,5,0)+IF(COUNTIF(H552:$Z552,"&gt;"&amp;0)&gt;5,IF(MOD(COUNTIF(G$641:G854,1),7)=0,$C$4,0),0)</f>
        <v>557.516666666668</v>
      </c>
      <c r="H552" s="81" cm="1">
        <f ca="1" t="array" ref="H552">IF(H854=1,OFFSET($Z$338,$B552,H$335-1)/SUMPRODUCT(--($D$335:$V$335=H$335),--($D854:$V854=1)),0)+SUM(H551)+IF(COUNTIF(H$641:H854,1)=1,5,0)+IF(COUNTIF(I552:$Z552,"&gt;"&amp;0)&gt;5,IF(MOD(COUNTIF(H$641:H854,1),7)=0,$C$4,0),0)</f>
        <v>557.516666666668</v>
      </c>
      <c r="I552" s="81" cm="1">
        <f ca="1" t="array" ref="I552">IF(I854=1,OFFSET($Z$338,$B552,I$335-1)/SUMPRODUCT(--($D$335:$V$335=I$335),--($D854:$V854=1)),0)+SUM(I551)+IF(COUNTIF(I$641:I854,1)=1,5,0)+IF(COUNTIF(J552:$Z552,"&gt;"&amp;0)&gt;5,IF(MOD(COUNTIF(I$641:I854,1),7)=0,$C$4,0),0)</f>
        <v>557.516666666668</v>
      </c>
      <c r="J552" s="81" cm="1">
        <f ca="1" t="array" ref="J552">IF(J854=1,OFFSET($Z$338,$B552,J$335-1)/SUMPRODUCT(--($D$335:$V$335=J$335),--($D854:$V854=1)),0)+SUM(J551)+IF(COUNTIF(J$641:J854,1)=1,5,0)+IF(COUNTIF(K552:$Z552,"&gt;"&amp;0)&gt;5,IF(MOD(COUNTIF(J$641:J854,1),7)=0,$C$4,0),0)</f>
        <v>557.516666666668</v>
      </c>
      <c r="K552" s="81" cm="1">
        <f ca="1" t="array" ref="K552">IF(K854=1,OFFSET($Z$338,$B552,K$335-1)/SUMPRODUCT(--($D$335:$V$335=K$335),--($D854:$V854=1)),0)+SUM(K551)+IF(COUNTIF(K$641:K854,1)=1,5,0)+IF(COUNTIF(L552:$Z552,"&gt;"&amp;0)&gt;5,IF(MOD(COUNTIF(K$641:K854,1),7)=0,$C$4,0),0)</f>
        <v>557.516666666668</v>
      </c>
      <c r="L552" s="81" cm="1">
        <f ca="1" t="array" ref="L552">IF(L854=1,OFFSET($Z$338,$B552,L$335-1)/SUMPRODUCT(--($D$335:$V$335=L$335),--($D854:$V854=1)),0)+SUM(L551)+IF(COUNTIF(L$641:L854,1)=1,5,0)+IF(COUNTIF(M552:$Z552,"&gt;"&amp;0)&gt;5,IF(MOD(COUNTIF(L$641:L854,1),7)=0,$C$4,0),0)</f>
        <v>550.816666666668</v>
      </c>
      <c r="M552" s="81" cm="1">
        <f ca="1" t="array" ref="M552">IF(M854=1,OFFSET($Z$338,$B552,M$335-1)/SUMPRODUCT(--($D$335:$V$335=M$335),--($D854:$V854=1)),0)+SUM(M551)+IF(COUNTIF(M$641:M854,1)=1,5,0)+IF(COUNTIF(N552:$Z552,"&gt;"&amp;0)&gt;5,IF(MOD(COUNTIF(M$641:M854,1),7)=0,$C$4,0),0)</f>
        <v>305.644107142858</v>
      </c>
      <c r="N552" s="81" cm="1">
        <f ca="1" t="array" ref="N552">IF(N854=1,OFFSET($Z$338,$B552,N$335-1)/SUMPRODUCT(--($D$335:$V$335=N$335),--($D854:$V854=1)),0)+SUM(N551)+IF(COUNTIF(N$641:N854,1)=1,5,0)+IF(COUNTIF(O552:$Z552,"&gt;"&amp;0)&gt;5,IF(MOD(COUNTIF(N$641:N854,1),7)=0,$C$4,0),0)</f>
        <v>297.919107142858</v>
      </c>
      <c r="O552" s="81" cm="1">
        <f ca="1" t="array" ref="O552">IF(O854=1,OFFSET($Z$338,$B552,O$335-1)/SUMPRODUCT(--($D$335:$V$335=O$335),--($D854:$V854=1)),0)+SUM(O551)+IF(COUNTIF(O$641:O854,1)=1,5,0)+IF(COUNTIF(P552:$Z552,"&gt;"&amp;0)&gt;5,IF(MOD(COUNTIF(O$641:O854,1),7)=0,$C$4,0),0)</f>
        <v>295.494107142858</v>
      </c>
      <c r="P552" s="81" cm="1">
        <f ca="1" t="array" ref="P552">IF(P854=1,OFFSET($Z$338,$B552,P$335-1)/SUMPRODUCT(--($D$335:$V$335=P$335),--($D854:$V854=1)),0)+SUM(P551)+IF(COUNTIF(P$641:P854,1)=1,5,0)+IF(COUNTIF(Q552:$Z552,"&gt;"&amp;0)&gt;5,IF(MOD(COUNTIF(P$641:P854,1),7)=0,$C$4,0),0)</f>
        <v>287.560773809524</v>
      </c>
      <c r="Q552" s="81" cm="1">
        <f ca="1" t="array" ref="Q552">IF(Q854=1,OFFSET($Z$338,$B552,Q$335-1)/SUMPRODUCT(--($D$335:$V$335=Q$335),--($D854:$V854=1)),0)+SUM(Q551)+IF(COUNTIF(Q$641:Q854,1)=1,5,0)+IF(COUNTIF(R552:$Z552,"&gt;"&amp;0)&gt;5,IF(MOD(COUNTIF(Q$641:Q854,1),7)=0,$C$4,0),0)</f>
        <v>286.654523809524</v>
      </c>
      <c r="R552" s="81" cm="1">
        <f ca="1" t="array" ref="R552">IF(R854=1,OFFSET($Z$338,$B552,R$335-1)/SUMPRODUCT(--($D$335:$V$335=R$335),--($D854:$V854=1)),0)+SUM(R551)+IF(COUNTIF(R$641:R854,1)=1,5,0)+IF(COUNTIF(S552:$Z552,"&gt;"&amp;0)&gt;5,IF(MOD(COUNTIF(R$641:R854,1),7)=0,$C$4,0),0)</f>
        <v>261.759523809524</v>
      </c>
      <c r="S552" s="81" cm="1">
        <f ca="1" t="array" ref="S552">IF(S854=1,OFFSET($Z$338,$B552,S$335-1)/SUMPRODUCT(--($D$335:$V$335=S$335),--($D854:$V854=1)),0)+SUM(S551)+IF(COUNTIF(S$641:S854,1)=1,5,0)+IF(COUNTIF(T552:$Z552,"&gt;"&amp;0)&gt;5,IF(MOD(COUNTIF(S$641:S854,1),7)=0,$C$4,0),0)</f>
        <v>252.592857142857</v>
      </c>
      <c r="T552" s="81" cm="1">
        <f ca="1" t="array" ref="T552">IF(T854=1,OFFSET($Z$338,$B552,T$335-1)/SUMPRODUCT(--($D$335:$V$335=T$335),--($D854:$V854=1)),0)+SUM(T551)+IF(COUNTIF(T$641:T854,1)=1,5,0)+IF(COUNTIF(U552:$Z552,"&gt;"&amp;0)&gt;5,IF(MOD(COUNTIF(T$641:T854,1),7)=0,$C$4,0),0)</f>
        <v>137.656257829764</v>
      </c>
      <c r="U552" s="81" cm="1">
        <f ca="1" t="array" ref="U552">IF(U854=1,OFFSET($Z$338,$B552,U$335-1)/SUMPRODUCT(--($D$335:$V$335=U$335),--($D854:$V854=1)),0)+SUM(U551)+IF(COUNTIF(U$641:U854,1)=1,5,0)+IF(COUNTIF(V552:$Z552,"&gt;"&amp;0)&gt;5,IF(MOD(COUNTIF(U$641:U854,1),7)=0,$C$4,0),0)</f>
        <v>97.6562578297643</v>
      </c>
      <c r="V552" s="81" cm="1">
        <f ca="1" t="array" ref="V552">IF(V854=1,OFFSET($Z$338,$B552,V$335-1)/SUMPRODUCT(--($D$335:$V$335=V$335),--($D854:$V854=1)),0)+SUM(V551)+IF(COUNTIF(V$641:V854,1)=1,5,0)+IF(COUNTIF(Z552:$Z552,"&gt;"&amp;0)&gt;5,IF(MOD(COUNTIF(V$641:V854,1),7)=0,$C$4,0),0)</f>
        <v>89.6984386404824</v>
      </c>
      <c r="W552" s="81" cm="1">
        <f ca="1" t="array" ref="W552">IF(W854=1,OFFSET($Z$338,$B552,W$335-1)/SUMPRODUCT(--($D$335:$V$335=W$335),--($D854:$V854=1)),0)+SUM(W551)+IF(COUNTIF(W$641:W854,1)=1,5,0)+IF(COUNTIF($Z552:AA552,"&gt;"&amp;0)&gt;5,IF(MOD(COUNTIF(W$641:W854,1),7)=0,$C$4,0),0)</f>
        <v>80.3425695255331</v>
      </c>
      <c r="X552" s="81" cm="1">
        <f ca="1" t="array" ref="X552">IF(X854=1,OFFSET($Z$338,$B552,X$335-1)/SUMPRODUCT(--($D$335:$V$335=X$335),--($D854:$V854=1)),0)+SUM(X551)+IF(COUNTIF(X$641:X854,1)=1,5,0)+IF(COUNTIF($Z552:AB552,"&gt;"&amp;0)&gt;5,IF(MOD(COUNTIF(X$641:X854,1),7)=0,$C$4,0),0)</f>
        <v>73.5789092348996</v>
      </c>
      <c r="Y552" s="81" cm="1">
        <f ca="1" t="array" ref="Y552">IF(Y854=1,OFFSET($Z$338,$B552,Y$335-1)/SUMPRODUCT(--($D$335:$V$335=Y$335),--($D854:$V854=1)),0)+SUM(Y551)+IF(COUNTIF(Y$641:Y854,1)=1,5,0)+IF(COUNTIF($Z552:AC552,"&gt;"&amp;0)&gt;5,IF(MOD(COUNTIF(Y$641:Y854,1),7)=0,$C$4,0),0)</f>
        <v>66.8152489442662</v>
      </c>
      <c r="Z552" s="82" cm="1">
        <f ca="1" t="array" ref="Z552">SUMPRODUCT(TRANSPOSE($AD552:$AJ552),OFFSET($L$10:$L$16,0,Z$335-1))</f>
        <v>0</v>
      </c>
      <c r="AA552" s="82" cm="1">
        <f ca="1" t="array" ref="AA552">SUMPRODUCT(TRANSPOSE($AD552:$AJ552),OFFSET($L$10:$L$16,0,AA$335-1))</f>
        <v>0</v>
      </c>
      <c r="AB552" s="82" cm="1">
        <f ca="1" t="array" ref="AB552">SUMPRODUCT(TRANSPOSE($AD552:$AJ552),OFFSET($L$10:$L$16,0,AB$335-1))</f>
        <v>0</v>
      </c>
      <c r="AC552" s="82" cm="1">
        <f ca="1" t="array" ref="AC552">SUMPRODUCT(TRANSPOSE($AD552:$AJ552),OFFSET($L$10:$L$16,0,AC$335-1))</f>
        <v>0</v>
      </c>
      <c r="AD552" s="83">
        <f ca="1" t="shared" ref="AD552:AJ552" si="753">AK552-AK551</f>
        <v>0</v>
      </c>
      <c r="AE552" s="83">
        <f ca="1" t="shared" si="753"/>
        <v>0</v>
      </c>
      <c r="AF552" s="83">
        <f ca="1" t="shared" si="753"/>
        <v>0</v>
      </c>
      <c r="AG552" s="83">
        <f ca="1" t="shared" si="753"/>
        <v>0</v>
      </c>
      <c r="AH552" s="83">
        <f ca="1" t="shared" si="753"/>
        <v>0</v>
      </c>
      <c r="AI552" s="83">
        <f ca="1" t="shared" si="753"/>
        <v>0</v>
      </c>
      <c r="AJ552" s="83">
        <f ca="1" t="shared" si="753"/>
        <v>0</v>
      </c>
      <c r="AK552" s="83">
        <f ca="1" t="shared" si="711"/>
        <v>450</v>
      </c>
      <c r="AL552" s="83">
        <f ca="1" t="shared" ref="AL552:AQ552" si="754">IF($C552&gt;OFFSET($Q$9,MATCH(AL$338,$AK$338:$AQ$338,0),0),OFFSET($P$9,MATCH(AL$338,$AK$338:$AQ$338,0),0),MAX(0,$C552-OFFSET($Q$9,RIGHT(AL$338,1)-1,0)))</f>
        <v>909</v>
      </c>
      <c r="AM552" s="83">
        <f ca="1" t="shared" si="754"/>
        <v>1818</v>
      </c>
      <c r="AN552" s="83">
        <f ca="1" t="shared" si="754"/>
        <v>2727</v>
      </c>
      <c r="AO552" s="83">
        <f ca="1" t="shared" si="754"/>
        <v>3636</v>
      </c>
      <c r="AP552" s="83">
        <f ca="1" t="shared" si="754"/>
        <v>4545</v>
      </c>
      <c r="AQ552" s="83">
        <f ca="1" t="shared" si="754"/>
        <v>0</v>
      </c>
    </row>
    <row r="553" ht="16.5" spans="2:43">
      <c r="B553" s="65">
        <v>215</v>
      </c>
      <c r="C553" s="80">
        <f t="shared" si="709"/>
        <v>24976</v>
      </c>
      <c r="D553" s="81" cm="1">
        <f ca="1" t="array" ref="D553">IF(D855=1,OFFSET($Z$338,$B553,D$335-1)/SUMPRODUCT(--($D$335:$V$335=D$335),--($D855:$V855=1)),0)+SUM(D552)+IF(COUNTIF(D$641:D855,1)=1,5,0)+IF(COUNTIF(E553:$Z553,"&gt;"&amp;0)&gt;5,IF(MOD(COUNTIF(D$641:D855,1),7)=0,$C$4,0),0)</f>
        <v>1268.82134856666</v>
      </c>
      <c r="E553" s="81" cm="1">
        <f ca="1" t="array" ref="E553">IF(E855=1,OFFSET($Z$338,$B553,E$335-1)/SUMPRODUCT(--($D$335:$V$335=E$335),--($D855:$V855=1)),0)+SUM(E552)+IF(COUNTIF(E$641:E855,1)=1,5,0)+IF(COUNTIF(F553:$Z553,"&gt;"&amp;0)&gt;5,IF(MOD(COUNTIF(E$641:E855,1),7)=0,$C$4,0),0)</f>
        <v>1268.82134856666</v>
      </c>
      <c r="F553" s="81" cm="1">
        <f ca="1" t="array" ref="F553">IF(F855=1,OFFSET($Z$338,$B553,F$335-1)/SUMPRODUCT(--($D$335:$V$335=F$335),--($D855:$V855=1)),0)+SUM(F552)+IF(COUNTIF(F$641:F855,1)=1,5,0)+IF(COUNTIF(G553:$Z553,"&gt;"&amp;0)&gt;5,IF(MOD(COUNTIF(F$641:F855,1),7)=0,$C$4,0),0)</f>
        <v>1268.82134856666</v>
      </c>
      <c r="G553" s="81" cm="1">
        <f ca="1" t="array" ref="G553">IF(G855=1,OFFSET($Z$338,$B553,G$335-1)/SUMPRODUCT(--($D$335:$V$335=G$335),--($D855:$V855=1)),0)+SUM(G552)+IF(COUNTIF(G$641:G855,1)=1,5,0)+IF(COUNTIF(H553:$Z553,"&gt;"&amp;0)&gt;5,IF(MOD(COUNTIF(G$641:G855,1),7)=0,$C$4,0),0)</f>
        <v>557.516666666668</v>
      </c>
      <c r="H553" s="81" cm="1">
        <f ca="1" t="array" ref="H553">IF(H855=1,OFFSET($Z$338,$B553,H$335-1)/SUMPRODUCT(--($D$335:$V$335=H$335),--($D855:$V855=1)),0)+SUM(H552)+IF(COUNTIF(H$641:H855,1)=1,5,0)+IF(COUNTIF(I553:$Z553,"&gt;"&amp;0)&gt;5,IF(MOD(COUNTIF(H$641:H855,1),7)=0,$C$4,0),0)</f>
        <v>557.516666666668</v>
      </c>
      <c r="I553" s="81" cm="1">
        <f ca="1" t="array" ref="I553">IF(I855=1,OFFSET($Z$338,$B553,I$335-1)/SUMPRODUCT(--($D$335:$V$335=I$335),--($D855:$V855=1)),0)+SUM(I552)+IF(COUNTIF(I$641:I855,1)=1,5,0)+IF(COUNTIF(J553:$Z553,"&gt;"&amp;0)&gt;5,IF(MOD(COUNTIF(I$641:I855,1),7)=0,$C$4,0),0)</f>
        <v>557.516666666668</v>
      </c>
      <c r="J553" s="81" cm="1">
        <f ca="1" t="array" ref="J553">IF(J855=1,OFFSET($Z$338,$B553,J$335-1)/SUMPRODUCT(--($D$335:$V$335=J$335),--($D855:$V855=1)),0)+SUM(J552)+IF(COUNTIF(J$641:J855,1)=1,5,0)+IF(COUNTIF(K553:$Z553,"&gt;"&amp;0)&gt;5,IF(MOD(COUNTIF(J$641:J855,1),7)=0,$C$4,0),0)</f>
        <v>557.516666666668</v>
      </c>
      <c r="K553" s="81" cm="1">
        <f ca="1" t="array" ref="K553">IF(K855=1,OFFSET($Z$338,$B553,K$335-1)/SUMPRODUCT(--($D$335:$V$335=K$335),--($D855:$V855=1)),0)+SUM(K552)+IF(COUNTIF(K$641:K855,1)=1,5,0)+IF(COUNTIF(L553:$Z553,"&gt;"&amp;0)&gt;5,IF(MOD(COUNTIF(K$641:K855,1),7)=0,$C$4,0),0)</f>
        <v>557.516666666668</v>
      </c>
      <c r="L553" s="81" cm="1">
        <f ca="1" t="array" ref="L553">IF(L855=1,OFFSET($Z$338,$B553,L$335-1)/SUMPRODUCT(--($D$335:$V$335=L$335),--($D855:$V855=1)),0)+SUM(L552)+IF(COUNTIF(L$641:L855,1)=1,5,0)+IF(COUNTIF(M553:$Z553,"&gt;"&amp;0)&gt;5,IF(MOD(COUNTIF(L$641:L855,1),7)=0,$C$4,0),0)</f>
        <v>550.816666666668</v>
      </c>
      <c r="M553" s="81" cm="1">
        <f ca="1" t="array" ref="M553">IF(M855=1,OFFSET($Z$338,$B553,M$335-1)/SUMPRODUCT(--($D$335:$V$335=M$335),--($D855:$V855=1)),0)+SUM(M552)+IF(COUNTIF(M$641:M855,1)=1,5,0)+IF(COUNTIF(N553:$Z553,"&gt;"&amp;0)&gt;5,IF(MOD(COUNTIF(M$641:M855,1),7)=0,$C$4,0),0)</f>
        <v>305.644107142858</v>
      </c>
      <c r="N553" s="81" cm="1">
        <f ca="1" t="array" ref="N553">IF(N855=1,OFFSET($Z$338,$B553,N$335-1)/SUMPRODUCT(--($D$335:$V$335=N$335),--($D855:$V855=1)),0)+SUM(N552)+IF(COUNTIF(N$641:N855,1)=1,5,0)+IF(COUNTIF(O553:$Z553,"&gt;"&amp;0)&gt;5,IF(MOD(COUNTIF(N$641:N855,1),7)=0,$C$4,0),0)</f>
        <v>297.919107142858</v>
      </c>
      <c r="O553" s="81" cm="1">
        <f ca="1" t="array" ref="O553">IF(O855=1,OFFSET($Z$338,$B553,O$335-1)/SUMPRODUCT(--($D$335:$V$335=O$335),--($D855:$V855=1)),0)+SUM(O552)+IF(COUNTIF(O$641:O855,1)=1,5,0)+IF(COUNTIF(P553:$Z553,"&gt;"&amp;0)&gt;5,IF(MOD(COUNTIF(O$641:O855,1),7)=0,$C$4,0),0)</f>
        <v>295.494107142858</v>
      </c>
      <c r="P553" s="81" cm="1">
        <f ca="1" t="array" ref="P553">IF(P855=1,OFFSET($Z$338,$B553,P$335-1)/SUMPRODUCT(--($D$335:$V$335=P$335),--($D855:$V855=1)),0)+SUM(P552)+IF(COUNTIF(P$641:P855,1)=1,5,0)+IF(COUNTIF(Q553:$Z553,"&gt;"&amp;0)&gt;5,IF(MOD(COUNTIF(P$641:P855,1),7)=0,$C$4,0),0)</f>
        <v>292.560773809524</v>
      </c>
      <c r="Q553" s="81" cm="1">
        <f ca="1" t="array" ref="Q553">IF(Q855=1,OFFSET($Z$338,$B553,Q$335-1)/SUMPRODUCT(--($D$335:$V$335=Q$335),--($D855:$V855=1)),0)+SUM(Q552)+IF(COUNTIF(Q$641:Q855,1)=1,5,0)+IF(COUNTIF(R553:$Z553,"&gt;"&amp;0)&gt;5,IF(MOD(COUNTIF(Q$641:Q855,1),7)=0,$C$4,0),0)</f>
        <v>286.654523809524</v>
      </c>
      <c r="R553" s="81" cm="1">
        <f ca="1" t="array" ref="R553">IF(R855=1,OFFSET($Z$338,$B553,R$335-1)/SUMPRODUCT(--($D$335:$V$335=R$335),--($D855:$V855=1)),0)+SUM(R552)+IF(COUNTIF(R$641:R855,1)=1,5,0)+IF(COUNTIF(S553:$Z553,"&gt;"&amp;0)&gt;5,IF(MOD(COUNTIF(R$641:R855,1),7)=0,$C$4,0),0)</f>
        <v>261.759523809524</v>
      </c>
      <c r="S553" s="81" cm="1">
        <f ca="1" t="array" ref="S553">IF(S855=1,OFFSET($Z$338,$B553,S$335-1)/SUMPRODUCT(--($D$335:$V$335=S$335),--($D855:$V855=1)),0)+SUM(S552)+IF(COUNTIF(S$641:S855,1)=1,5,0)+IF(COUNTIF(T553:$Z553,"&gt;"&amp;0)&gt;5,IF(MOD(COUNTIF(S$641:S855,1),7)=0,$C$4,0),0)</f>
        <v>257.592857142857</v>
      </c>
      <c r="T553" s="81" cm="1">
        <f ca="1" t="array" ref="T553">IF(T855=1,OFFSET($Z$338,$B553,T$335-1)/SUMPRODUCT(--($D$335:$V$335=T$335),--($D855:$V855=1)),0)+SUM(T552)+IF(COUNTIF(T$641:T855,1)=1,5,0)+IF(COUNTIF(U553:$Z553,"&gt;"&amp;0)&gt;5,IF(MOD(COUNTIF(T$641:T855,1),7)=0,$C$4,0),0)</f>
        <v>137.656257829764</v>
      </c>
      <c r="U553" s="81" cm="1">
        <f ca="1" t="array" ref="U553">IF(U855=1,OFFSET($Z$338,$B553,U$335-1)/SUMPRODUCT(--($D$335:$V$335=U$335),--($D855:$V855=1)),0)+SUM(U552)+IF(COUNTIF(U$641:U855,1)=1,5,0)+IF(COUNTIF(V553:$Z553,"&gt;"&amp;0)&gt;5,IF(MOD(COUNTIF(U$641:U855,1),7)=0,$C$4,0),0)</f>
        <v>97.6562578297643</v>
      </c>
      <c r="V553" s="81" cm="1">
        <f ca="1" t="array" ref="V553">IF(V855=1,OFFSET($Z$338,$B553,V$335-1)/SUMPRODUCT(--($D$335:$V$335=V$335),--($D855:$V855=1)),0)+SUM(V552)+IF(COUNTIF(V$641:V855,1)=1,5,0)+IF(COUNTIF(Z553:$Z553,"&gt;"&amp;0)&gt;5,IF(MOD(COUNTIF(V$641:V855,1),7)=0,$C$4,0),0)</f>
        <v>89.6984386404824</v>
      </c>
      <c r="W553" s="81" cm="1">
        <f ca="1" t="array" ref="W553">IF(W855=1,OFFSET($Z$338,$B553,W$335-1)/SUMPRODUCT(--($D$335:$V$335=W$335),--($D855:$V855=1)),0)+SUM(W552)+IF(COUNTIF(W$641:W855,1)=1,5,0)+IF(COUNTIF($Z553:AA553,"&gt;"&amp;0)&gt;5,IF(MOD(COUNTIF(W$641:W855,1),7)=0,$C$4,0),0)</f>
        <v>80.3425695255331</v>
      </c>
      <c r="X553" s="81" cm="1">
        <f ca="1" t="array" ref="X553">IF(X855=1,OFFSET($Z$338,$B553,X$335-1)/SUMPRODUCT(--($D$335:$V$335=X$335),--($D855:$V855=1)),0)+SUM(X552)+IF(COUNTIF(X$641:X855,1)=1,5,0)+IF(COUNTIF($Z553:AB553,"&gt;"&amp;0)&gt;5,IF(MOD(COUNTIF(X$641:X855,1),7)=0,$C$4,0),0)</f>
        <v>73.5789092348996</v>
      </c>
      <c r="Y553" s="81" cm="1">
        <f ca="1" t="array" ref="Y553">IF(Y855=1,OFFSET($Z$338,$B553,Y$335-1)/SUMPRODUCT(--($D$335:$V$335=Y$335),--($D855:$V855=1)),0)+SUM(Y552)+IF(COUNTIF(Y$641:Y855,1)=1,5,0)+IF(COUNTIF($Z553:AC553,"&gt;"&amp;0)&gt;5,IF(MOD(COUNTIF(Y$641:Y855,1),7)=0,$C$4,0),0)</f>
        <v>66.8152489442662</v>
      </c>
      <c r="Z553" s="82" cm="1">
        <f ca="1" t="array" ref="Z553">SUMPRODUCT(TRANSPOSE($AD553:$AJ553),OFFSET($L$10:$L$16,0,Z$335-1))</f>
        <v>0</v>
      </c>
      <c r="AA553" s="82" cm="1">
        <f ca="1" t="array" ref="AA553">SUMPRODUCT(TRANSPOSE($AD553:$AJ553),OFFSET($L$10:$L$16,0,AA$335-1))</f>
        <v>0</v>
      </c>
      <c r="AB553" s="82" cm="1">
        <f ca="1" t="array" ref="AB553">SUMPRODUCT(TRANSPOSE($AD553:$AJ553),OFFSET($L$10:$L$16,0,AB$335-1))</f>
        <v>0</v>
      </c>
      <c r="AC553" s="82" cm="1">
        <f ca="1" t="array" ref="AC553">SUMPRODUCT(TRANSPOSE($AD553:$AJ553),OFFSET($L$10:$L$16,0,AC$335-1))</f>
        <v>0</v>
      </c>
      <c r="AD553" s="83">
        <f ca="1" t="shared" ref="AD553:AJ553" si="755">AK553-AK552</f>
        <v>0</v>
      </c>
      <c r="AE553" s="83">
        <f ca="1" t="shared" si="755"/>
        <v>0</v>
      </c>
      <c r="AF553" s="83">
        <f ca="1" t="shared" si="755"/>
        <v>0</v>
      </c>
      <c r="AG553" s="83">
        <f ca="1" t="shared" si="755"/>
        <v>0</v>
      </c>
      <c r="AH553" s="83">
        <f ca="1" t="shared" si="755"/>
        <v>0</v>
      </c>
      <c r="AI553" s="83">
        <f ca="1" t="shared" si="755"/>
        <v>0</v>
      </c>
      <c r="AJ553" s="83">
        <f ca="1" t="shared" si="755"/>
        <v>0</v>
      </c>
      <c r="AK553" s="83">
        <f ca="1" t="shared" si="711"/>
        <v>450</v>
      </c>
      <c r="AL553" s="83">
        <f ca="1" t="shared" ref="AL553:AQ553" si="756">IF($C553&gt;OFFSET($Q$9,MATCH(AL$338,$AK$338:$AQ$338,0),0),OFFSET($P$9,MATCH(AL$338,$AK$338:$AQ$338,0),0),MAX(0,$C553-OFFSET($Q$9,RIGHT(AL$338,1)-1,0)))</f>
        <v>909</v>
      </c>
      <c r="AM553" s="83">
        <f ca="1" t="shared" si="756"/>
        <v>1818</v>
      </c>
      <c r="AN553" s="83">
        <f ca="1" t="shared" si="756"/>
        <v>2727</v>
      </c>
      <c r="AO553" s="83">
        <f ca="1" t="shared" si="756"/>
        <v>3636</v>
      </c>
      <c r="AP553" s="83">
        <f ca="1" t="shared" si="756"/>
        <v>4545</v>
      </c>
      <c r="AQ553" s="83">
        <f ca="1" t="shared" si="756"/>
        <v>0</v>
      </c>
    </row>
    <row r="554" ht="16.5" spans="2:43">
      <c r="B554" s="65">
        <v>216</v>
      </c>
      <c r="C554" s="80">
        <f t="shared" si="709"/>
        <v>25086</v>
      </c>
      <c r="D554" s="81" cm="1">
        <f ca="1" t="array" ref="D554">IF(D856=1,OFFSET($Z$338,$B554,D$335-1)/SUMPRODUCT(--($D$335:$V$335=D$335),--($D856:$V856=1)),0)+SUM(D553)+IF(COUNTIF(D$641:D856,1)=1,5,0)+IF(COUNTIF(E554:$Z554,"&gt;"&amp;0)&gt;5,IF(MOD(COUNTIF(D$641:D856,1),7)=0,$C$4,0),0)</f>
        <v>1268.82134856666</v>
      </c>
      <c r="E554" s="81" cm="1">
        <f ca="1" t="array" ref="E554">IF(E856=1,OFFSET($Z$338,$B554,E$335-1)/SUMPRODUCT(--($D$335:$V$335=E$335),--($D856:$V856=1)),0)+SUM(E553)+IF(COUNTIF(E$641:E856,1)=1,5,0)+IF(COUNTIF(F554:$Z554,"&gt;"&amp;0)&gt;5,IF(MOD(COUNTIF(E$641:E856,1),7)=0,$C$4,0),0)</f>
        <v>1268.82134856666</v>
      </c>
      <c r="F554" s="81" cm="1">
        <f ca="1" t="array" ref="F554">IF(F856=1,OFFSET($Z$338,$B554,F$335-1)/SUMPRODUCT(--($D$335:$V$335=F$335),--($D856:$V856=1)),0)+SUM(F553)+IF(COUNTIF(F$641:F856,1)=1,5,0)+IF(COUNTIF(G554:$Z554,"&gt;"&amp;0)&gt;5,IF(MOD(COUNTIF(F$641:F856,1),7)=0,$C$4,0),0)</f>
        <v>1268.82134856666</v>
      </c>
      <c r="G554" s="81" cm="1">
        <f ca="1" t="array" ref="G554">IF(G856=1,OFFSET($Z$338,$B554,G$335-1)/SUMPRODUCT(--($D$335:$V$335=G$335),--($D856:$V856=1)),0)+SUM(G553)+IF(COUNTIF(G$641:G856,1)=1,5,0)+IF(COUNTIF(H554:$Z554,"&gt;"&amp;0)&gt;5,IF(MOD(COUNTIF(G$641:G856,1),7)=0,$C$4,0),0)</f>
        <v>557.516666666668</v>
      </c>
      <c r="H554" s="81" cm="1">
        <f ca="1" t="array" ref="H554">IF(H856=1,OFFSET($Z$338,$B554,H$335-1)/SUMPRODUCT(--($D$335:$V$335=H$335),--($D856:$V856=1)),0)+SUM(H553)+IF(COUNTIF(H$641:H856,1)=1,5,0)+IF(COUNTIF(I554:$Z554,"&gt;"&amp;0)&gt;5,IF(MOD(COUNTIF(H$641:H856,1),7)=0,$C$4,0),0)</f>
        <v>557.516666666668</v>
      </c>
      <c r="I554" s="81" cm="1">
        <f ca="1" t="array" ref="I554">IF(I856=1,OFFSET($Z$338,$B554,I$335-1)/SUMPRODUCT(--($D$335:$V$335=I$335),--($D856:$V856=1)),0)+SUM(I553)+IF(COUNTIF(I$641:I856,1)=1,5,0)+IF(COUNTIF(J554:$Z554,"&gt;"&amp;0)&gt;5,IF(MOD(COUNTIF(I$641:I856,1),7)=0,$C$4,0),0)</f>
        <v>557.516666666668</v>
      </c>
      <c r="J554" s="81" cm="1">
        <f ca="1" t="array" ref="J554">IF(J856=1,OFFSET($Z$338,$B554,J$335-1)/SUMPRODUCT(--($D$335:$V$335=J$335),--($D856:$V856=1)),0)+SUM(J553)+IF(COUNTIF(J$641:J856,1)=1,5,0)+IF(COUNTIF(K554:$Z554,"&gt;"&amp;0)&gt;5,IF(MOD(COUNTIF(J$641:J856,1),7)=0,$C$4,0),0)</f>
        <v>557.516666666668</v>
      </c>
      <c r="K554" s="81" cm="1">
        <f ca="1" t="array" ref="K554">IF(K856=1,OFFSET($Z$338,$B554,K$335-1)/SUMPRODUCT(--($D$335:$V$335=K$335),--($D856:$V856=1)),0)+SUM(K553)+IF(COUNTIF(K$641:K856,1)=1,5,0)+IF(COUNTIF(L554:$Z554,"&gt;"&amp;0)&gt;5,IF(MOD(COUNTIF(K$641:K856,1),7)=0,$C$4,0),0)</f>
        <v>557.516666666668</v>
      </c>
      <c r="L554" s="81" cm="1">
        <f ca="1" t="array" ref="L554">IF(L856=1,OFFSET($Z$338,$B554,L$335-1)/SUMPRODUCT(--($D$335:$V$335=L$335),--($D856:$V856=1)),0)+SUM(L553)+IF(COUNTIF(L$641:L856,1)=1,5,0)+IF(COUNTIF(M554:$Z554,"&gt;"&amp;0)&gt;5,IF(MOD(COUNTIF(L$641:L856,1),7)=0,$C$4,0),0)</f>
        <v>550.816666666668</v>
      </c>
      <c r="M554" s="81" cm="1">
        <f ca="1" t="array" ref="M554">IF(M856=1,OFFSET($Z$338,$B554,M$335-1)/SUMPRODUCT(--($D$335:$V$335=M$335),--($D856:$V856=1)),0)+SUM(M553)+IF(COUNTIF(M$641:M856,1)=1,5,0)+IF(COUNTIF(N554:$Z554,"&gt;"&amp;0)&gt;5,IF(MOD(COUNTIF(M$641:M856,1),7)=0,$C$4,0),0)</f>
        <v>305.644107142858</v>
      </c>
      <c r="N554" s="81" cm="1">
        <f ca="1" t="array" ref="N554">IF(N856=1,OFFSET($Z$338,$B554,N$335-1)/SUMPRODUCT(--($D$335:$V$335=N$335),--($D856:$V856=1)),0)+SUM(N553)+IF(COUNTIF(N$641:N856,1)=1,5,0)+IF(COUNTIF(O554:$Z554,"&gt;"&amp;0)&gt;5,IF(MOD(COUNTIF(N$641:N856,1),7)=0,$C$4,0),0)</f>
        <v>297.919107142858</v>
      </c>
      <c r="O554" s="81" cm="1">
        <f ca="1" t="array" ref="O554">IF(O856=1,OFFSET($Z$338,$B554,O$335-1)/SUMPRODUCT(--($D$335:$V$335=O$335),--($D856:$V856=1)),0)+SUM(O553)+IF(COUNTIF(O$641:O856,1)=1,5,0)+IF(COUNTIF(P554:$Z554,"&gt;"&amp;0)&gt;5,IF(MOD(COUNTIF(O$641:O856,1),7)=0,$C$4,0),0)</f>
        <v>295.494107142858</v>
      </c>
      <c r="P554" s="81" cm="1">
        <f ca="1" t="array" ref="P554">IF(P856=1,OFFSET($Z$338,$B554,P$335-1)/SUMPRODUCT(--($D$335:$V$335=P$335),--($D856:$V856=1)),0)+SUM(P553)+IF(COUNTIF(P$641:P856,1)=1,5,0)+IF(COUNTIF(Q554:$Z554,"&gt;"&amp;0)&gt;5,IF(MOD(COUNTIF(P$641:P856,1),7)=0,$C$4,0),0)</f>
        <v>292.560773809524</v>
      </c>
      <c r="Q554" s="81" cm="1">
        <f ca="1" t="array" ref="Q554">IF(Q856=1,OFFSET($Z$338,$B554,Q$335-1)/SUMPRODUCT(--($D$335:$V$335=Q$335),--($D856:$V856=1)),0)+SUM(Q553)+IF(COUNTIF(Q$641:Q856,1)=1,5,0)+IF(COUNTIF(R554:$Z554,"&gt;"&amp;0)&gt;5,IF(MOD(COUNTIF(Q$641:Q856,1),7)=0,$C$4,0),0)</f>
        <v>291.654523809524</v>
      </c>
      <c r="R554" s="81" cm="1">
        <f ca="1" t="array" ref="R554">IF(R856=1,OFFSET($Z$338,$B554,R$335-1)/SUMPRODUCT(--($D$335:$V$335=R$335),--($D856:$V856=1)),0)+SUM(R553)+IF(COUNTIF(R$641:R856,1)=1,5,0)+IF(COUNTIF(S554:$Z554,"&gt;"&amp;0)&gt;5,IF(MOD(COUNTIF(R$641:R856,1),7)=0,$C$4,0),0)</f>
        <v>261.759523809524</v>
      </c>
      <c r="S554" s="81" cm="1">
        <f ca="1" t="array" ref="S554">IF(S856=1,OFFSET($Z$338,$B554,S$335-1)/SUMPRODUCT(--($D$335:$V$335=S$335),--($D856:$V856=1)),0)+SUM(S553)+IF(COUNTIF(S$641:S856,1)=1,5,0)+IF(COUNTIF(T554:$Z554,"&gt;"&amp;0)&gt;5,IF(MOD(COUNTIF(S$641:S856,1),7)=0,$C$4,0),0)</f>
        <v>257.592857142857</v>
      </c>
      <c r="T554" s="81" cm="1">
        <f ca="1" t="array" ref="T554">IF(T856=1,OFFSET($Z$338,$B554,T$335-1)/SUMPRODUCT(--($D$335:$V$335=T$335),--($D856:$V856=1)),0)+SUM(T553)+IF(COUNTIF(T$641:T856,1)=1,5,0)+IF(COUNTIF(U554:$Z554,"&gt;"&amp;0)&gt;5,IF(MOD(COUNTIF(T$641:T856,1),7)=0,$C$4,0),0)</f>
        <v>137.656257829764</v>
      </c>
      <c r="U554" s="81" cm="1">
        <f ca="1" t="array" ref="U554">IF(U856=1,OFFSET($Z$338,$B554,U$335-1)/SUMPRODUCT(--($D$335:$V$335=U$335),--($D856:$V856=1)),0)+SUM(U553)+IF(COUNTIF(U$641:U856,1)=1,5,0)+IF(COUNTIF(V554:$Z554,"&gt;"&amp;0)&gt;5,IF(MOD(COUNTIF(U$641:U856,1),7)=0,$C$4,0),0)</f>
        <v>97.6562578297643</v>
      </c>
      <c r="V554" s="81" cm="1">
        <f ca="1" t="array" ref="V554">IF(V856=1,OFFSET($Z$338,$B554,V$335-1)/SUMPRODUCT(--($D$335:$V$335=V$335),--($D856:$V856=1)),0)+SUM(V553)+IF(COUNTIF(V$641:V856,1)=1,5,0)+IF(COUNTIF(Z554:$Z554,"&gt;"&amp;0)&gt;5,IF(MOD(COUNTIF(V$641:V856,1),7)=0,$C$4,0),0)</f>
        <v>89.6984386404824</v>
      </c>
      <c r="W554" s="81" cm="1">
        <f ca="1" t="array" ref="W554">IF(W856=1,OFFSET($Z$338,$B554,W$335-1)/SUMPRODUCT(--($D$335:$V$335=W$335),--($D856:$V856=1)),0)+SUM(W553)+IF(COUNTIF(W$641:W856,1)=1,5,0)+IF(COUNTIF($Z554:AA554,"&gt;"&amp;0)&gt;5,IF(MOD(COUNTIF(W$641:W856,1),7)=0,$C$4,0),0)</f>
        <v>80.3425695255331</v>
      </c>
      <c r="X554" s="81" cm="1">
        <f ca="1" t="array" ref="X554">IF(X856=1,OFFSET($Z$338,$B554,X$335-1)/SUMPRODUCT(--($D$335:$V$335=X$335),--($D856:$V856=1)),0)+SUM(X553)+IF(COUNTIF(X$641:X856,1)=1,5,0)+IF(COUNTIF($Z554:AB554,"&gt;"&amp;0)&gt;5,IF(MOD(COUNTIF(X$641:X856,1),7)=0,$C$4,0),0)</f>
        <v>73.5789092348996</v>
      </c>
      <c r="Y554" s="81" cm="1">
        <f ca="1" t="array" ref="Y554">IF(Y856=1,OFFSET($Z$338,$B554,Y$335-1)/SUMPRODUCT(--($D$335:$V$335=Y$335),--($D856:$V856=1)),0)+SUM(Y553)+IF(COUNTIF(Y$641:Y856,1)=1,5,0)+IF(COUNTIF($Z554:AC554,"&gt;"&amp;0)&gt;5,IF(MOD(COUNTIF(Y$641:Y856,1),7)=0,$C$4,0),0)</f>
        <v>66.8152489442662</v>
      </c>
      <c r="Z554" s="82" cm="1">
        <f ca="1" t="array" ref="Z554">SUMPRODUCT(TRANSPOSE($AD554:$AJ554),OFFSET($L$10:$L$16,0,Z$335-1))</f>
        <v>0</v>
      </c>
      <c r="AA554" s="82" cm="1">
        <f ca="1" t="array" ref="AA554">SUMPRODUCT(TRANSPOSE($AD554:$AJ554),OFFSET($L$10:$L$16,0,AA$335-1))</f>
        <v>0</v>
      </c>
      <c r="AB554" s="82" cm="1">
        <f ca="1" t="array" ref="AB554">SUMPRODUCT(TRANSPOSE($AD554:$AJ554),OFFSET($L$10:$L$16,0,AB$335-1))</f>
        <v>0</v>
      </c>
      <c r="AC554" s="82" cm="1">
        <f ca="1" t="array" ref="AC554">SUMPRODUCT(TRANSPOSE($AD554:$AJ554),OFFSET($L$10:$L$16,0,AC$335-1))</f>
        <v>0</v>
      </c>
      <c r="AD554" s="83">
        <f ca="1" t="shared" ref="AD554:AJ554" si="757">AK554-AK553</f>
        <v>0</v>
      </c>
      <c r="AE554" s="83">
        <f ca="1" t="shared" si="757"/>
        <v>0</v>
      </c>
      <c r="AF554" s="83">
        <f ca="1" t="shared" si="757"/>
        <v>0</v>
      </c>
      <c r="AG554" s="83">
        <f ca="1" t="shared" si="757"/>
        <v>0</v>
      </c>
      <c r="AH554" s="83">
        <f ca="1" t="shared" si="757"/>
        <v>0</v>
      </c>
      <c r="AI554" s="83">
        <f ca="1" t="shared" si="757"/>
        <v>0</v>
      </c>
      <c r="AJ554" s="83">
        <f ca="1" t="shared" si="757"/>
        <v>0</v>
      </c>
      <c r="AK554" s="83">
        <f ca="1" t="shared" si="711"/>
        <v>450</v>
      </c>
      <c r="AL554" s="83">
        <f ca="1" t="shared" ref="AL554:AQ554" si="758">IF($C554&gt;OFFSET($Q$9,MATCH(AL$338,$AK$338:$AQ$338,0),0),OFFSET($P$9,MATCH(AL$338,$AK$338:$AQ$338,0),0),MAX(0,$C554-OFFSET($Q$9,RIGHT(AL$338,1)-1,0)))</f>
        <v>909</v>
      </c>
      <c r="AM554" s="83">
        <f ca="1" t="shared" si="758"/>
        <v>1818</v>
      </c>
      <c r="AN554" s="83">
        <f ca="1" t="shared" si="758"/>
        <v>2727</v>
      </c>
      <c r="AO554" s="83">
        <f ca="1" t="shared" si="758"/>
        <v>3636</v>
      </c>
      <c r="AP554" s="83">
        <f ca="1" t="shared" si="758"/>
        <v>4545</v>
      </c>
      <c r="AQ554" s="83">
        <f ca="1" t="shared" si="758"/>
        <v>0</v>
      </c>
    </row>
    <row r="555" ht="16.5" spans="2:43">
      <c r="B555" s="65">
        <v>217</v>
      </c>
      <c r="C555" s="80">
        <f t="shared" si="709"/>
        <v>25196</v>
      </c>
      <c r="D555" s="81" cm="1">
        <f ca="1" t="array" ref="D555">IF(D857=1,OFFSET($Z$338,$B555,D$335-1)/SUMPRODUCT(--($D$335:$V$335=D$335),--($D857:$V857=1)),0)+SUM(D554)+IF(COUNTIF(D$641:D857,1)=1,5,0)+IF(COUNTIF(E555:$Z555,"&gt;"&amp;0)&gt;5,IF(MOD(COUNTIF(D$641:D857,1),7)=0,$C$4,0),0)</f>
        <v>1273.82134856666</v>
      </c>
      <c r="E555" s="81" cm="1">
        <f ca="1" t="array" ref="E555">IF(E857=1,OFFSET($Z$338,$B555,E$335-1)/SUMPRODUCT(--($D$335:$V$335=E$335),--($D857:$V857=1)),0)+SUM(E554)+IF(COUNTIF(E$641:E857,1)=1,5,0)+IF(COUNTIF(F555:$Z555,"&gt;"&amp;0)&gt;5,IF(MOD(COUNTIF(E$641:E857,1),7)=0,$C$4,0),0)</f>
        <v>1273.82134856666</v>
      </c>
      <c r="F555" s="81" cm="1">
        <f ca="1" t="array" ref="F555">IF(F857=1,OFFSET($Z$338,$B555,F$335-1)/SUMPRODUCT(--($D$335:$V$335=F$335),--($D857:$V857=1)),0)+SUM(F554)+IF(COUNTIF(F$641:F857,1)=1,5,0)+IF(COUNTIF(G555:$Z555,"&gt;"&amp;0)&gt;5,IF(MOD(COUNTIF(F$641:F857,1),7)=0,$C$4,0),0)</f>
        <v>1273.82134856666</v>
      </c>
      <c r="G555" s="81" cm="1">
        <f ca="1" t="array" ref="G555">IF(G857=1,OFFSET($Z$338,$B555,G$335-1)/SUMPRODUCT(--($D$335:$V$335=G$335),--($D857:$V857=1)),0)+SUM(G554)+IF(COUNTIF(G$641:G857,1)=1,5,0)+IF(COUNTIF(H555:$Z555,"&gt;"&amp;0)&gt;5,IF(MOD(COUNTIF(G$641:G857,1),7)=0,$C$4,0),0)</f>
        <v>562.516666666668</v>
      </c>
      <c r="H555" s="81" cm="1">
        <f ca="1" t="array" ref="H555">IF(H857=1,OFFSET($Z$338,$B555,H$335-1)/SUMPRODUCT(--($D$335:$V$335=H$335),--($D857:$V857=1)),0)+SUM(H554)+IF(COUNTIF(H$641:H857,1)=1,5,0)+IF(COUNTIF(I555:$Z555,"&gt;"&amp;0)&gt;5,IF(MOD(COUNTIF(H$641:H857,1),7)=0,$C$4,0),0)</f>
        <v>562.516666666668</v>
      </c>
      <c r="I555" s="81" cm="1">
        <f ca="1" t="array" ref="I555">IF(I857=1,OFFSET($Z$338,$B555,I$335-1)/SUMPRODUCT(--($D$335:$V$335=I$335),--($D857:$V857=1)),0)+SUM(I554)+IF(COUNTIF(I$641:I857,1)=1,5,0)+IF(COUNTIF(J555:$Z555,"&gt;"&amp;0)&gt;5,IF(MOD(COUNTIF(I$641:I857,1),7)=0,$C$4,0),0)</f>
        <v>562.516666666668</v>
      </c>
      <c r="J555" s="81" cm="1">
        <f ca="1" t="array" ref="J555">IF(J857=1,OFFSET($Z$338,$B555,J$335-1)/SUMPRODUCT(--($D$335:$V$335=J$335),--($D857:$V857=1)),0)+SUM(J554)+IF(COUNTIF(J$641:J857,1)=1,5,0)+IF(COUNTIF(K555:$Z555,"&gt;"&amp;0)&gt;5,IF(MOD(COUNTIF(J$641:J857,1),7)=0,$C$4,0),0)</f>
        <v>562.516666666668</v>
      </c>
      <c r="K555" s="81" cm="1">
        <f ca="1" t="array" ref="K555">IF(K857=1,OFFSET($Z$338,$B555,K$335-1)/SUMPRODUCT(--($D$335:$V$335=K$335),--($D857:$V857=1)),0)+SUM(K554)+IF(COUNTIF(K$641:K857,1)=1,5,0)+IF(COUNTIF(L555:$Z555,"&gt;"&amp;0)&gt;5,IF(MOD(COUNTIF(K$641:K857,1),7)=0,$C$4,0),0)</f>
        <v>562.516666666668</v>
      </c>
      <c r="L555" s="81" cm="1">
        <f ca="1" t="array" ref="L555">IF(L857=1,OFFSET($Z$338,$B555,L$335-1)/SUMPRODUCT(--($D$335:$V$335=L$335),--($D857:$V857=1)),0)+SUM(L554)+IF(COUNTIF(L$641:L857,1)=1,5,0)+IF(COUNTIF(M555:$Z555,"&gt;"&amp;0)&gt;5,IF(MOD(COUNTIF(L$641:L857,1),7)=0,$C$4,0),0)</f>
        <v>550.816666666668</v>
      </c>
      <c r="M555" s="81" cm="1">
        <f ca="1" t="array" ref="M555">IF(M857=1,OFFSET($Z$338,$B555,M$335-1)/SUMPRODUCT(--($D$335:$V$335=M$335),--($D857:$V857=1)),0)+SUM(M554)+IF(COUNTIF(M$641:M857,1)=1,5,0)+IF(COUNTIF(N555:$Z555,"&gt;"&amp;0)&gt;5,IF(MOD(COUNTIF(M$641:M857,1),7)=0,$C$4,0),0)</f>
        <v>305.644107142858</v>
      </c>
      <c r="N555" s="81" cm="1">
        <f ca="1" t="array" ref="N555">IF(N857=1,OFFSET($Z$338,$B555,N$335-1)/SUMPRODUCT(--($D$335:$V$335=N$335),--($D857:$V857=1)),0)+SUM(N554)+IF(COUNTIF(N$641:N857,1)=1,5,0)+IF(COUNTIF(O555:$Z555,"&gt;"&amp;0)&gt;5,IF(MOD(COUNTIF(N$641:N857,1),7)=0,$C$4,0),0)</f>
        <v>297.919107142858</v>
      </c>
      <c r="O555" s="81" cm="1">
        <f ca="1" t="array" ref="O555">IF(O857=1,OFFSET($Z$338,$B555,O$335-1)/SUMPRODUCT(--($D$335:$V$335=O$335),--($D857:$V857=1)),0)+SUM(O554)+IF(COUNTIF(O$641:O857,1)=1,5,0)+IF(COUNTIF(P555:$Z555,"&gt;"&amp;0)&gt;5,IF(MOD(COUNTIF(O$641:O857,1),7)=0,$C$4,0),0)</f>
        <v>295.494107142858</v>
      </c>
      <c r="P555" s="81" cm="1">
        <f ca="1" t="array" ref="P555">IF(P857=1,OFFSET($Z$338,$B555,P$335-1)/SUMPRODUCT(--($D$335:$V$335=P$335),--($D857:$V857=1)),0)+SUM(P554)+IF(COUNTIF(P$641:P857,1)=1,5,0)+IF(COUNTIF(Q555:$Z555,"&gt;"&amp;0)&gt;5,IF(MOD(COUNTIF(P$641:P857,1),7)=0,$C$4,0),0)</f>
        <v>292.560773809524</v>
      </c>
      <c r="Q555" s="81" cm="1">
        <f ca="1" t="array" ref="Q555">IF(Q857=1,OFFSET($Z$338,$B555,Q$335-1)/SUMPRODUCT(--($D$335:$V$335=Q$335),--($D857:$V857=1)),0)+SUM(Q554)+IF(COUNTIF(Q$641:Q857,1)=1,5,0)+IF(COUNTIF(R555:$Z555,"&gt;"&amp;0)&gt;5,IF(MOD(COUNTIF(Q$641:Q857,1),7)=0,$C$4,0),0)</f>
        <v>291.654523809524</v>
      </c>
      <c r="R555" s="81" cm="1">
        <f ca="1" t="array" ref="R555">IF(R857=1,OFFSET($Z$338,$B555,R$335-1)/SUMPRODUCT(--($D$335:$V$335=R$335),--($D857:$V857=1)),0)+SUM(R554)+IF(COUNTIF(R$641:R857,1)=1,5,0)+IF(COUNTIF(S555:$Z555,"&gt;"&amp;0)&gt;5,IF(MOD(COUNTIF(R$641:R857,1),7)=0,$C$4,0),0)</f>
        <v>266.759523809524</v>
      </c>
      <c r="S555" s="81" cm="1">
        <f ca="1" t="array" ref="S555">IF(S857=1,OFFSET($Z$338,$B555,S$335-1)/SUMPRODUCT(--($D$335:$V$335=S$335),--($D857:$V857=1)),0)+SUM(S554)+IF(COUNTIF(S$641:S857,1)=1,5,0)+IF(COUNTIF(T555:$Z555,"&gt;"&amp;0)&gt;5,IF(MOD(COUNTIF(S$641:S857,1),7)=0,$C$4,0),0)</f>
        <v>257.592857142857</v>
      </c>
      <c r="T555" s="81" cm="1">
        <f ca="1" t="array" ref="T555">IF(T857=1,OFFSET($Z$338,$B555,T$335-1)/SUMPRODUCT(--($D$335:$V$335=T$335),--($D857:$V857=1)),0)+SUM(T554)+IF(COUNTIF(T$641:T857,1)=1,5,0)+IF(COUNTIF(U555:$Z555,"&gt;"&amp;0)&gt;5,IF(MOD(COUNTIF(T$641:T857,1),7)=0,$C$4,0),0)</f>
        <v>137.656257829764</v>
      </c>
      <c r="U555" s="81" cm="1">
        <f ca="1" t="array" ref="U555">IF(U857=1,OFFSET($Z$338,$B555,U$335-1)/SUMPRODUCT(--($D$335:$V$335=U$335),--($D857:$V857=1)),0)+SUM(U554)+IF(COUNTIF(U$641:U857,1)=1,5,0)+IF(COUNTIF(V555:$Z555,"&gt;"&amp;0)&gt;5,IF(MOD(COUNTIF(U$641:U857,1),7)=0,$C$4,0),0)</f>
        <v>97.6562578297643</v>
      </c>
      <c r="V555" s="81" cm="1">
        <f ca="1" t="array" ref="V555">IF(V857=1,OFFSET($Z$338,$B555,V$335-1)/SUMPRODUCT(--($D$335:$V$335=V$335),--($D857:$V857=1)),0)+SUM(V554)+IF(COUNTIF(V$641:V857,1)=1,5,0)+IF(COUNTIF(Z555:$Z555,"&gt;"&amp;0)&gt;5,IF(MOD(COUNTIF(V$641:V857,1),7)=0,$C$4,0),0)</f>
        <v>89.6984386404824</v>
      </c>
      <c r="W555" s="81" cm="1">
        <f ca="1" t="array" ref="W555">IF(W857=1,OFFSET($Z$338,$B555,W$335-1)/SUMPRODUCT(--($D$335:$V$335=W$335),--($D857:$V857=1)),0)+SUM(W554)+IF(COUNTIF(W$641:W857,1)=1,5,0)+IF(COUNTIF($Z555:AA555,"&gt;"&amp;0)&gt;5,IF(MOD(COUNTIF(W$641:W857,1),7)=0,$C$4,0),0)</f>
        <v>80.3425695255331</v>
      </c>
      <c r="X555" s="81" cm="1">
        <f ca="1" t="array" ref="X555">IF(X857=1,OFFSET($Z$338,$B555,X$335-1)/SUMPRODUCT(--($D$335:$V$335=X$335),--($D857:$V857=1)),0)+SUM(X554)+IF(COUNTIF(X$641:X857,1)=1,5,0)+IF(COUNTIF($Z555:AB555,"&gt;"&amp;0)&gt;5,IF(MOD(COUNTIF(X$641:X857,1),7)=0,$C$4,0),0)</f>
        <v>73.5789092348996</v>
      </c>
      <c r="Y555" s="81" cm="1">
        <f ca="1" t="array" ref="Y555">IF(Y857=1,OFFSET($Z$338,$B555,Y$335-1)/SUMPRODUCT(--($D$335:$V$335=Y$335),--($D857:$V857=1)),0)+SUM(Y554)+IF(COUNTIF(Y$641:Y857,1)=1,5,0)+IF(COUNTIF($Z555:AC555,"&gt;"&amp;0)&gt;5,IF(MOD(COUNTIF(Y$641:Y857,1),7)=0,$C$4,0),0)</f>
        <v>66.8152489442662</v>
      </c>
      <c r="Z555" s="82" cm="1">
        <f ca="1" t="array" ref="Z555">SUMPRODUCT(TRANSPOSE($AD555:$AJ555),OFFSET($L$10:$L$16,0,Z$335-1))</f>
        <v>0</v>
      </c>
      <c r="AA555" s="82" cm="1">
        <f ca="1" t="array" ref="AA555">SUMPRODUCT(TRANSPOSE($AD555:$AJ555),OFFSET($L$10:$L$16,0,AA$335-1))</f>
        <v>0</v>
      </c>
      <c r="AB555" s="82" cm="1">
        <f ca="1" t="array" ref="AB555">SUMPRODUCT(TRANSPOSE($AD555:$AJ555),OFFSET($L$10:$L$16,0,AB$335-1))</f>
        <v>0</v>
      </c>
      <c r="AC555" s="82" cm="1">
        <f ca="1" t="array" ref="AC555">SUMPRODUCT(TRANSPOSE($AD555:$AJ555),OFFSET($L$10:$L$16,0,AC$335-1))</f>
        <v>0</v>
      </c>
      <c r="AD555" s="83">
        <f ca="1" t="shared" ref="AD555:AJ555" si="759">AK555-AK554</f>
        <v>0</v>
      </c>
      <c r="AE555" s="83">
        <f ca="1" t="shared" si="759"/>
        <v>0</v>
      </c>
      <c r="AF555" s="83">
        <f ca="1" t="shared" si="759"/>
        <v>0</v>
      </c>
      <c r="AG555" s="83">
        <f ca="1" t="shared" si="759"/>
        <v>0</v>
      </c>
      <c r="AH555" s="83">
        <f ca="1" t="shared" si="759"/>
        <v>0</v>
      </c>
      <c r="AI555" s="83">
        <f ca="1" t="shared" si="759"/>
        <v>0</v>
      </c>
      <c r="AJ555" s="83">
        <f ca="1" t="shared" si="759"/>
        <v>0</v>
      </c>
      <c r="AK555" s="83">
        <f ca="1" t="shared" si="711"/>
        <v>450</v>
      </c>
      <c r="AL555" s="83">
        <f ca="1" t="shared" ref="AL555:AQ555" si="760">IF($C555&gt;OFFSET($Q$9,MATCH(AL$338,$AK$338:$AQ$338,0),0),OFFSET($P$9,MATCH(AL$338,$AK$338:$AQ$338,0),0),MAX(0,$C555-OFFSET($Q$9,RIGHT(AL$338,1)-1,0)))</f>
        <v>909</v>
      </c>
      <c r="AM555" s="83">
        <f ca="1" t="shared" si="760"/>
        <v>1818</v>
      </c>
      <c r="AN555" s="83">
        <f ca="1" t="shared" si="760"/>
        <v>2727</v>
      </c>
      <c r="AO555" s="83">
        <f ca="1" t="shared" si="760"/>
        <v>3636</v>
      </c>
      <c r="AP555" s="83">
        <f ca="1" t="shared" si="760"/>
        <v>4545</v>
      </c>
      <c r="AQ555" s="83">
        <f ca="1" t="shared" si="760"/>
        <v>0</v>
      </c>
    </row>
    <row r="556" ht="16.5" spans="2:43">
      <c r="B556" s="65">
        <v>218</v>
      </c>
      <c r="C556" s="80">
        <f t="shared" si="709"/>
        <v>25306</v>
      </c>
      <c r="D556" s="81" cm="1">
        <f ca="1" t="array" ref="D556">IF(D858=1,OFFSET($Z$338,$B556,D$335-1)/SUMPRODUCT(--($D$335:$V$335=D$335),--($D858:$V858=1)),0)+SUM(D555)+IF(COUNTIF(D$641:D858,1)=1,5,0)+IF(COUNTIF(E556:$Z556,"&gt;"&amp;0)&gt;5,IF(MOD(COUNTIF(D$641:D858,1),7)=0,$C$4,0),0)</f>
        <v>1273.82134856666</v>
      </c>
      <c r="E556" s="81" cm="1">
        <f ca="1" t="array" ref="E556">IF(E858=1,OFFSET($Z$338,$B556,E$335-1)/SUMPRODUCT(--($D$335:$V$335=E$335),--($D858:$V858=1)),0)+SUM(E555)+IF(COUNTIF(E$641:E858,1)=1,5,0)+IF(COUNTIF(F556:$Z556,"&gt;"&amp;0)&gt;5,IF(MOD(COUNTIF(E$641:E858,1),7)=0,$C$4,0),0)</f>
        <v>1273.82134856666</v>
      </c>
      <c r="F556" s="81" cm="1">
        <f ca="1" t="array" ref="F556">IF(F858=1,OFFSET($Z$338,$B556,F$335-1)/SUMPRODUCT(--($D$335:$V$335=F$335),--($D858:$V858=1)),0)+SUM(F555)+IF(COUNTIF(F$641:F858,1)=1,5,0)+IF(COUNTIF(G556:$Z556,"&gt;"&amp;0)&gt;5,IF(MOD(COUNTIF(F$641:F858,1),7)=0,$C$4,0),0)</f>
        <v>1273.82134856666</v>
      </c>
      <c r="G556" s="81" cm="1">
        <f ca="1" t="array" ref="G556">IF(G858=1,OFFSET($Z$338,$B556,G$335-1)/SUMPRODUCT(--($D$335:$V$335=G$335),--($D858:$V858=1)),0)+SUM(G555)+IF(COUNTIF(G$641:G858,1)=1,5,0)+IF(COUNTIF(H556:$Z556,"&gt;"&amp;0)&gt;5,IF(MOD(COUNTIF(G$641:G858,1),7)=0,$C$4,0),0)</f>
        <v>562.516666666668</v>
      </c>
      <c r="H556" s="81" cm="1">
        <f ca="1" t="array" ref="H556">IF(H858=1,OFFSET($Z$338,$B556,H$335-1)/SUMPRODUCT(--($D$335:$V$335=H$335),--($D858:$V858=1)),0)+SUM(H555)+IF(COUNTIF(H$641:H858,1)=1,5,0)+IF(COUNTIF(I556:$Z556,"&gt;"&amp;0)&gt;5,IF(MOD(COUNTIF(H$641:H858,1),7)=0,$C$4,0),0)</f>
        <v>562.516666666668</v>
      </c>
      <c r="I556" s="81" cm="1">
        <f ca="1" t="array" ref="I556">IF(I858=1,OFFSET($Z$338,$B556,I$335-1)/SUMPRODUCT(--($D$335:$V$335=I$335),--($D858:$V858=1)),0)+SUM(I555)+IF(COUNTIF(I$641:I858,1)=1,5,0)+IF(COUNTIF(J556:$Z556,"&gt;"&amp;0)&gt;5,IF(MOD(COUNTIF(I$641:I858,1),7)=0,$C$4,0),0)</f>
        <v>562.516666666668</v>
      </c>
      <c r="J556" s="81" cm="1">
        <f ca="1" t="array" ref="J556">IF(J858=1,OFFSET($Z$338,$B556,J$335-1)/SUMPRODUCT(--($D$335:$V$335=J$335),--($D858:$V858=1)),0)+SUM(J555)+IF(COUNTIF(J$641:J858,1)=1,5,0)+IF(COUNTIF(K556:$Z556,"&gt;"&amp;0)&gt;5,IF(MOD(COUNTIF(J$641:J858,1),7)=0,$C$4,0),0)</f>
        <v>562.516666666668</v>
      </c>
      <c r="K556" s="81" cm="1">
        <f ca="1" t="array" ref="K556">IF(K858=1,OFFSET($Z$338,$B556,K$335-1)/SUMPRODUCT(--($D$335:$V$335=K$335),--($D858:$V858=1)),0)+SUM(K555)+IF(COUNTIF(K$641:K858,1)=1,5,0)+IF(COUNTIF(L556:$Z556,"&gt;"&amp;0)&gt;5,IF(MOD(COUNTIF(K$641:K858,1),7)=0,$C$4,0),0)</f>
        <v>562.516666666668</v>
      </c>
      <c r="L556" s="81" cm="1">
        <f ca="1" t="array" ref="L556">IF(L858=1,OFFSET($Z$338,$B556,L$335-1)/SUMPRODUCT(--($D$335:$V$335=L$335),--($D858:$V858=1)),0)+SUM(L555)+IF(COUNTIF(L$641:L858,1)=1,5,0)+IF(COUNTIF(M556:$Z556,"&gt;"&amp;0)&gt;5,IF(MOD(COUNTIF(L$641:L858,1),7)=0,$C$4,0),0)</f>
        <v>555.816666666668</v>
      </c>
      <c r="M556" s="81" cm="1">
        <f ca="1" t="array" ref="M556">IF(M858=1,OFFSET($Z$338,$B556,M$335-1)/SUMPRODUCT(--($D$335:$V$335=M$335),--($D858:$V858=1)),0)+SUM(M555)+IF(COUNTIF(M$641:M858,1)=1,5,0)+IF(COUNTIF(N556:$Z556,"&gt;"&amp;0)&gt;5,IF(MOD(COUNTIF(M$641:M858,1),7)=0,$C$4,0),0)</f>
        <v>310.644107142858</v>
      </c>
      <c r="N556" s="81" cm="1">
        <f ca="1" t="array" ref="N556">IF(N858=1,OFFSET($Z$338,$B556,N$335-1)/SUMPRODUCT(--($D$335:$V$335=N$335),--($D858:$V858=1)),0)+SUM(N555)+IF(COUNTIF(N$641:N858,1)=1,5,0)+IF(COUNTIF(O556:$Z556,"&gt;"&amp;0)&gt;5,IF(MOD(COUNTIF(N$641:N858,1),7)=0,$C$4,0),0)</f>
        <v>297.919107142858</v>
      </c>
      <c r="O556" s="81" cm="1">
        <f ca="1" t="array" ref="O556">IF(O858=1,OFFSET($Z$338,$B556,O$335-1)/SUMPRODUCT(--($D$335:$V$335=O$335),--($D858:$V858=1)),0)+SUM(O555)+IF(COUNTIF(O$641:O858,1)=1,5,0)+IF(COUNTIF(P556:$Z556,"&gt;"&amp;0)&gt;5,IF(MOD(COUNTIF(O$641:O858,1),7)=0,$C$4,0),0)</f>
        <v>295.494107142858</v>
      </c>
      <c r="P556" s="81" cm="1">
        <f ca="1" t="array" ref="P556">IF(P858=1,OFFSET($Z$338,$B556,P$335-1)/SUMPRODUCT(--($D$335:$V$335=P$335),--($D858:$V858=1)),0)+SUM(P555)+IF(COUNTIF(P$641:P858,1)=1,5,0)+IF(COUNTIF(Q556:$Z556,"&gt;"&amp;0)&gt;5,IF(MOD(COUNTIF(P$641:P858,1),7)=0,$C$4,0),0)</f>
        <v>292.560773809524</v>
      </c>
      <c r="Q556" s="81" cm="1">
        <f ca="1" t="array" ref="Q556">IF(Q858=1,OFFSET($Z$338,$B556,Q$335-1)/SUMPRODUCT(--($D$335:$V$335=Q$335),--($D858:$V858=1)),0)+SUM(Q555)+IF(COUNTIF(Q$641:Q858,1)=1,5,0)+IF(COUNTIF(R556:$Z556,"&gt;"&amp;0)&gt;5,IF(MOD(COUNTIF(Q$641:Q858,1),7)=0,$C$4,0),0)</f>
        <v>291.654523809524</v>
      </c>
      <c r="R556" s="81" cm="1">
        <f ca="1" t="array" ref="R556">IF(R858=1,OFFSET($Z$338,$B556,R$335-1)/SUMPRODUCT(--($D$335:$V$335=R$335),--($D858:$V858=1)),0)+SUM(R555)+IF(COUNTIF(R$641:R858,1)=1,5,0)+IF(COUNTIF(S556:$Z556,"&gt;"&amp;0)&gt;5,IF(MOD(COUNTIF(R$641:R858,1),7)=0,$C$4,0),0)</f>
        <v>266.759523809524</v>
      </c>
      <c r="S556" s="81" cm="1">
        <f ca="1" t="array" ref="S556">IF(S858=1,OFFSET($Z$338,$B556,S$335-1)/SUMPRODUCT(--($D$335:$V$335=S$335),--($D858:$V858=1)),0)+SUM(S555)+IF(COUNTIF(S$641:S858,1)=1,5,0)+IF(COUNTIF(T556:$Z556,"&gt;"&amp;0)&gt;5,IF(MOD(COUNTIF(S$641:S858,1),7)=0,$C$4,0),0)</f>
        <v>257.592857142857</v>
      </c>
      <c r="T556" s="81" cm="1">
        <f ca="1" t="array" ref="T556">IF(T858=1,OFFSET($Z$338,$B556,T$335-1)/SUMPRODUCT(--($D$335:$V$335=T$335),--($D858:$V858=1)),0)+SUM(T555)+IF(COUNTIF(T$641:T858,1)=1,5,0)+IF(COUNTIF(U556:$Z556,"&gt;"&amp;0)&gt;5,IF(MOD(COUNTIF(T$641:T858,1),7)=0,$C$4,0),0)</f>
        <v>137.656257829764</v>
      </c>
      <c r="U556" s="81" cm="1">
        <f ca="1" t="array" ref="U556">IF(U858=1,OFFSET($Z$338,$B556,U$335-1)/SUMPRODUCT(--($D$335:$V$335=U$335),--($D858:$V858=1)),0)+SUM(U555)+IF(COUNTIF(U$641:U858,1)=1,5,0)+IF(COUNTIF(V556:$Z556,"&gt;"&amp;0)&gt;5,IF(MOD(COUNTIF(U$641:U858,1),7)=0,$C$4,0),0)</f>
        <v>97.6562578297643</v>
      </c>
      <c r="V556" s="81" cm="1">
        <f ca="1" t="array" ref="V556">IF(V858=1,OFFSET($Z$338,$B556,V$335-1)/SUMPRODUCT(--($D$335:$V$335=V$335),--($D858:$V858=1)),0)+SUM(V555)+IF(COUNTIF(V$641:V858,1)=1,5,0)+IF(COUNTIF(Z556:$Z556,"&gt;"&amp;0)&gt;5,IF(MOD(COUNTIF(V$641:V858,1),7)=0,$C$4,0),0)</f>
        <v>89.6984386404824</v>
      </c>
      <c r="W556" s="81" cm="1">
        <f ca="1" t="array" ref="W556">IF(W858=1,OFFSET($Z$338,$B556,W$335-1)/SUMPRODUCT(--($D$335:$V$335=W$335),--($D858:$V858=1)),0)+SUM(W555)+IF(COUNTIF(W$641:W858,1)=1,5,0)+IF(COUNTIF($Z556:AA556,"&gt;"&amp;0)&gt;5,IF(MOD(COUNTIF(W$641:W858,1),7)=0,$C$4,0),0)</f>
        <v>80.3425695255331</v>
      </c>
      <c r="X556" s="81" cm="1">
        <f ca="1" t="array" ref="X556">IF(X858=1,OFFSET($Z$338,$B556,X$335-1)/SUMPRODUCT(--($D$335:$V$335=X$335),--($D858:$V858=1)),0)+SUM(X555)+IF(COUNTIF(X$641:X858,1)=1,5,0)+IF(COUNTIF($Z556:AB556,"&gt;"&amp;0)&gt;5,IF(MOD(COUNTIF(X$641:X858,1),7)=0,$C$4,0),0)</f>
        <v>73.5789092348996</v>
      </c>
      <c r="Y556" s="81" cm="1">
        <f ca="1" t="array" ref="Y556">IF(Y858=1,OFFSET($Z$338,$B556,Y$335-1)/SUMPRODUCT(--($D$335:$V$335=Y$335),--($D858:$V858=1)),0)+SUM(Y555)+IF(COUNTIF(Y$641:Y858,1)=1,5,0)+IF(COUNTIF($Z556:AC556,"&gt;"&amp;0)&gt;5,IF(MOD(COUNTIF(Y$641:Y858,1),7)=0,$C$4,0),0)</f>
        <v>66.8152489442662</v>
      </c>
      <c r="Z556" s="82" cm="1">
        <f ca="1" t="array" ref="Z556">SUMPRODUCT(TRANSPOSE($AD556:$AJ556),OFFSET($L$10:$L$16,0,Z$335-1))</f>
        <v>0</v>
      </c>
      <c r="AA556" s="82" cm="1">
        <f ca="1" t="array" ref="AA556">SUMPRODUCT(TRANSPOSE($AD556:$AJ556),OFFSET($L$10:$L$16,0,AA$335-1))</f>
        <v>0</v>
      </c>
      <c r="AB556" s="82" cm="1">
        <f ca="1" t="array" ref="AB556">SUMPRODUCT(TRANSPOSE($AD556:$AJ556),OFFSET($L$10:$L$16,0,AB$335-1))</f>
        <v>0</v>
      </c>
      <c r="AC556" s="82" cm="1">
        <f ca="1" t="array" ref="AC556">SUMPRODUCT(TRANSPOSE($AD556:$AJ556),OFFSET($L$10:$L$16,0,AC$335-1))</f>
        <v>0</v>
      </c>
      <c r="AD556" s="83">
        <f ca="1" t="shared" ref="AD556:AJ556" si="761">AK556-AK555</f>
        <v>0</v>
      </c>
      <c r="AE556" s="83">
        <f ca="1" t="shared" si="761"/>
        <v>0</v>
      </c>
      <c r="AF556" s="83">
        <f ca="1" t="shared" si="761"/>
        <v>0</v>
      </c>
      <c r="AG556" s="83">
        <f ca="1" t="shared" si="761"/>
        <v>0</v>
      </c>
      <c r="AH556" s="83">
        <f ca="1" t="shared" si="761"/>
        <v>0</v>
      </c>
      <c r="AI556" s="83">
        <f ca="1" t="shared" si="761"/>
        <v>0</v>
      </c>
      <c r="AJ556" s="83">
        <f ca="1" t="shared" si="761"/>
        <v>0</v>
      </c>
      <c r="AK556" s="83">
        <f ca="1" t="shared" si="711"/>
        <v>450</v>
      </c>
      <c r="AL556" s="83">
        <f ca="1" t="shared" ref="AL556:AQ556" si="762">IF($C556&gt;OFFSET($Q$9,MATCH(AL$338,$AK$338:$AQ$338,0),0),OFFSET($P$9,MATCH(AL$338,$AK$338:$AQ$338,0),0),MAX(0,$C556-OFFSET($Q$9,RIGHT(AL$338,1)-1,0)))</f>
        <v>909</v>
      </c>
      <c r="AM556" s="83">
        <f ca="1" t="shared" si="762"/>
        <v>1818</v>
      </c>
      <c r="AN556" s="83">
        <f ca="1" t="shared" si="762"/>
        <v>2727</v>
      </c>
      <c r="AO556" s="83">
        <f ca="1" t="shared" si="762"/>
        <v>3636</v>
      </c>
      <c r="AP556" s="83">
        <f ca="1" t="shared" si="762"/>
        <v>4545</v>
      </c>
      <c r="AQ556" s="83">
        <f ca="1" t="shared" si="762"/>
        <v>0</v>
      </c>
    </row>
    <row r="557" ht="16.5" spans="2:43">
      <c r="B557" s="65">
        <v>219</v>
      </c>
      <c r="C557" s="80">
        <f t="shared" si="709"/>
        <v>25416</v>
      </c>
      <c r="D557" s="81" cm="1">
        <f ca="1" t="array" ref="D557">IF(D859=1,OFFSET($Z$338,$B557,D$335-1)/SUMPRODUCT(--($D$335:$V$335=D$335),--($D859:$V859=1)),0)+SUM(D556)+IF(COUNTIF(D$641:D859,1)=1,5,0)+IF(COUNTIF(E557:$Z557,"&gt;"&amp;0)&gt;5,IF(MOD(COUNTIF(D$641:D859,1),7)=0,$C$4,0),0)</f>
        <v>1273.82134856666</v>
      </c>
      <c r="E557" s="81" cm="1">
        <f ca="1" t="array" ref="E557">IF(E859=1,OFFSET($Z$338,$B557,E$335-1)/SUMPRODUCT(--($D$335:$V$335=E$335),--($D859:$V859=1)),0)+SUM(E556)+IF(COUNTIF(E$641:E859,1)=1,5,0)+IF(COUNTIF(F557:$Z557,"&gt;"&amp;0)&gt;5,IF(MOD(COUNTIF(E$641:E859,1),7)=0,$C$4,0),0)</f>
        <v>1273.82134856666</v>
      </c>
      <c r="F557" s="81" cm="1">
        <f ca="1" t="array" ref="F557">IF(F859=1,OFFSET($Z$338,$B557,F$335-1)/SUMPRODUCT(--($D$335:$V$335=F$335),--($D859:$V859=1)),0)+SUM(F556)+IF(COUNTIF(F$641:F859,1)=1,5,0)+IF(COUNTIF(G557:$Z557,"&gt;"&amp;0)&gt;5,IF(MOD(COUNTIF(F$641:F859,1),7)=0,$C$4,0),0)</f>
        <v>1273.82134856666</v>
      </c>
      <c r="G557" s="81" cm="1">
        <f ca="1" t="array" ref="G557">IF(G859=1,OFFSET($Z$338,$B557,G$335-1)/SUMPRODUCT(--($D$335:$V$335=G$335),--($D859:$V859=1)),0)+SUM(G556)+IF(COUNTIF(G$641:G859,1)=1,5,0)+IF(COUNTIF(H557:$Z557,"&gt;"&amp;0)&gt;5,IF(MOD(COUNTIF(G$641:G859,1),7)=0,$C$4,0),0)</f>
        <v>562.516666666668</v>
      </c>
      <c r="H557" s="81" cm="1">
        <f ca="1" t="array" ref="H557">IF(H859=1,OFFSET($Z$338,$B557,H$335-1)/SUMPRODUCT(--($D$335:$V$335=H$335),--($D859:$V859=1)),0)+SUM(H556)+IF(COUNTIF(H$641:H859,1)=1,5,0)+IF(COUNTIF(I557:$Z557,"&gt;"&amp;0)&gt;5,IF(MOD(COUNTIF(H$641:H859,1),7)=0,$C$4,0),0)</f>
        <v>562.516666666668</v>
      </c>
      <c r="I557" s="81" cm="1">
        <f ca="1" t="array" ref="I557">IF(I859=1,OFFSET($Z$338,$B557,I$335-1)/SUMPRODUCT(--($D$335:$V$335=I$335),--($D859:$V859=1)),0)+SUM(I556)+IF(COUNTIF(I$641:I859,1)=1,5,0)+IF(COUNTIF(J557:$Z557,"&gt;"&amp;0)&gt;5,IF(MOD(COUNTIF(I$641:I859,1),7)=0,$C$4,0),0)</f>
        <v>562.516666666668</v>
      </c>
      <c r="J557" s="81" cm="1">
        <f ca="1" t="array" ref="J557">IF(J859=1,OFFSET($Z$338,$B557,J$335-1)/SUMPRODUCT(--($D$335:$V$335=J$335),--($D859:$V859=1)),0)+SUM(J556)+IF(COUNTIF(J$641:J859,1)=1,5,0)+IF(COUNTIF(K557:$Z557,"&gt;"&amp;0)&gt;5,IF(MOD(COUNTIF(J$641:J859,1),7)=0,$C$4,0),0)</f>
        <v>562.516666666668</v>
      </c>
      <c r="K557" s="81" cm="1">
        <f ca="1" t="array" ref="K557">IF(K859=1,OFFSET($Z$338,$B557,K$335-1)/SUMPRODUCT(--($D$335:$V$335=K$335),--($D859:$V859=1)),0)+SUM(K556)+IF(COUNTIF(K$641:K859,1)=1,5,0)+IF(COUNTIF(L557:$Z557,"&gt;"&amp;0)&gt;5,IF(MOD(COUNTIF(K$641:K859,1),7)=0,$C$4,0),0)</f>
        <v>562.516666666668</v>
      </c>
      <c r="L557" s="81" cm="1">
        <f ca="1" t="array" ref="L557">IF(L859=1,OFFSET($Z$338,$B557,L$335-1)/SUMPRODUCT(--($D$335:$V$335=L$335),--($D859:$V859=1)),0)+SUM(L556)+IF(COUNTIF(L$641:L859,1)=1,5,0)+IF(COUNTIF(M557:$Z557,"&gt;"&amp;0)&gt;5,IF(MOD(COUNTIF(L$641:L859,1),7)=0,$C$4,0),0)</f>
        <v>555.816666666668</v>
      </c>
      <c r="M557" s="81" cm="1">
        <f ca="1" t="array" ref="M557">IF(M859=1,OFFSET($Z$338,$B557,M$335-1)/SUMPRODUCT(--($D$335:$V$335=M$335),--($D859:$V859=1)),0)+SUM(M556)+IF(COUNTIF(M$641:M859,1)=1,5,0)+IF(COUNTIF(N557:$Z557,"&gt;"&amp;0)&gt;5,IF(MOD(COUNTIF(M$641:M859,1),7)=0,$C$4,0),0)</f>
        <v>310.644107142858</v>
      </c>
      <c r="N557" s="81" cm="1">
        <f ca="1" t="array" ref="N557">IF(N859=1,OFFSET($Z$338,$B557,N$335-1)/SUMPRODUCT(--($D$335:$V$335=N$335),--($D859:$V859=1)),0)+SUM(N556)+IF(COUNTIF(N$641:N859,1)=1,5,0)+IF(COUNTIF(O557:$Z557,"&gt;"&amp;0)&gt;5,IF(MOD(COUNTIF(N$641:N859,1),7)=0,$C$4,0),0)</f>
        <v>302.919107142858</v>
      </c>
      <c r="O557" s="81" cm="1">
        <f ca="1" t="array" ref="O557">IF(O859=1,OFFSET($Z$338,$B557,O$335-1)/SUMPRODUCT(--($D$335:$V$335=O$335),--($D859:$V859=1)),0)+SUM(O556)+IF(COUNTIF(O$641:O859,1)=1,5,0)+IF(COUNTIF(P557:$Z557,"&gt;"&amp;0)&gt;5,IF(MOD(COUNTIF(O$641:O859,1),7)=0,$C$4,0),0)</f>
        <v>295.494107142858</v>
      </c>
      <c r="P557" s="81" cm="1">
        <f ca="1" t="array" ref="P557">IF(P859=1,OFFSET($Z$338,$B557,P$335-1)/SUMPRODUCT(--($D$335:$V$335=P$335),--($D859:$V859=1)),0)+SUM(P556)+IF(COUNTIF(P$641:P859,1)=1,5,0)+IF(COUNTIF(Q557:$Z557,"&gt;"&amp;0)&gt;5,IF(MOD(COUNTIF(P$641:P859,1),7)=0,$C$4,0),0)</f>
        <v>292.560773809524</v>
      </c>
      <c r="Q557" s="81" cm="1">
        <f ca="1" t="array" ref="Q557">IF(Q859=1,OFFSET($Z$338,$B557,Q$335-1)/SUMPRODUCT(--($D$335:$V$335=Q$335),--($D859:$V859=1)),0)+SUM(Q556)+IF(COUNTIF(Q$641:Q859,1)=1,5,0)+IF(COUNTIF(R557:$Z557,"&gt;"&amp;0)&gt;5,IF(MOD(COUNTIF(Q$641:Q859,1),7)=0,$C$4,0),0)</f>
        <v>291.654523809524</v>
      </c>
      <c r="R557" s="81" cm="1">
        <f ca="1" t="array" ref="R557">IF(R859=1,OFFSET($Z$338,$B557,R$335-1)/SUMPRODUCT(--($D$335:$V$335=R$335),--($D859:$V859=1)),0)+SUM(R556)+IF(COUNTIF(R$641:R859,1)=1,5,0)+IF(COUNTIF(S557:$Z557,"&gt;"&amp;0)&gt;5,IF(MOD(COUNTIF(R$641:R859,1),7)=0,$C$4,0),0)</f>
        <v>266.759523809524</v>
      </c>
      <c r="S557" s="81" cm="1">
        <f ca="1" t="array" ref="S557">IF(S859=1,OFFSET($Z$338,$B557,S$335-1)/SUMPRODUCT(--($D$335:$V$335=S$335),--($D859:$V859=1)),0)+SUM(S556)+IF(COUNTIF(S$641:S859,1)=1,5,0)+IF(COUNTIF(T557:$Z557,"&gt;"&amp;0)&gt;5,IF(MOD(COUNTIF(S$641:S859,1),7)=0,$C$4,0),0)</f>
        <v>257.592857142857</v>
      </c>
      <c r="T557" s="81" cm="1">
        <f ca="1" t="array" ref="T557">IF(T859=1,OFFSET($Z$338,$B557,T$335-1)/SUMPRODUCT(--($D$335:$V$335=T$335),--($D859:$V859=1)),0)+SUM(T556)+IF(COUNTIF(T$641:T859,1)=1,5,0)+IF(COUNTIF(U557:$Z557,"&gt;"&amp;0)&gt;5,IF(MOD(COUNTIF(T$641:T859,1),7)=0,$C$4,0),0)</f>
        <v>137.656257829764</v>
      </c>
      <c r="U557" s="81" cm="1">
        <f ca="1" t="array" ref="U557">IF(U859=1,OFFSET($Z$338,$B557,U$335-1)/SUMPRODUCT(--($D$335:$V$335=U$335),--($D859:$V859=1)),0)+SUM(U556)+IF(COUNTIF(U$641:U859,1)=1,5,0)+IF(COUNTIF(V557:$Z557,"&gt;"&amp;0)&gt;5,IF(MOD(COUNTIF(U$641:U859,1),7)=0,$C$4,0),0)</f>
        <v>97.6562578297643</v>
      </c>
      <c r="V557" s="81" cm="1">
        <f ca="1" t="array" ref="V557">IF(V859=1,OFFSET($Z$338,$B557,V$335-1)/SUMPRODUCT(--($D$335:$V$335=V$335),--($D859:$V859=1)),0)+SUM(V556)+IF(COUNTIF(V$641:V859,1)=1,5,0)+IF(COUNTIF(Z557:$Z557,"&gt;"&amp;0)&gt;5,IF(MOD(COUNTIF(V$641:V859,1),7)=0,$C$4,0),0)</f>
        <v>89.6984386404824</v>
      </c>
      <c r="W557" s="81" cm="1">
        <f ca="1" t="array" ref="W557">IF(W859=1,OFFSET($Z$338,$B557,W$335-1)/SUMPRODUCT(--($D$335:$V$335=W$335),--($D859:$V859=1)),0)+SUM(W556)+IF(COUNTIF(W$641:W859,1)=1,5,0)+IF(COUNTIF($Z557:AA557,"&gt;"&amp;0)&gt;5,IF(MOD(COUNTIF(W$641:W859,1),7)=0,$C$4,0),0)</f>
        <v>80.3425695255331</v>
      </c>
      <c r="X557" s="81" cm="1">
        <f ca="1" t="array" ref="X557">IF(X859=1,OFFSET($Z$338,$B557,X$335-1)/SUMPRODUCT(--($D$335:$V$335=X$335),--($D859:$V859=1)),0)+SUM(X556)+IF(COUNTIF(X$641:X859,1)=1,5,0)+IF(COUNTIF($Z557:AB557,"&gt;"&amp;0)&gt;5,IF(MOD(COUNTIF(X$641:X859,1),7)=0,$C$4,0),0)</f>
        <v>73.5789092348996</v>
      </c>
      <c r="Y557" s="81" cm="1">
        <f ca="1" t="array" ref="Y557">IF(Y859=1,OFFSET($Z$338,$B557,Y$335-1)/SUMPRODUCT(--($D$335:$V$335=Y$335),--($D859:$V859=1)),0)+SUM(Y556)+IF(COUNTIF(Y$641:Y859,1)=1,5,0)+IF(COUNTIF($Z557:AC557,"&gt;"&amp;0)&gt;5,IF(MOD(COUNTIF(Y$641:Y859,1),7)=0,$C$4,0),0)</f>
        <v>66.8152489442662</v>
      </c>
      <c r="Z557" s="82" cm="1">
        <f ca="1" t="array" ref="Z557">SUMPRODUCT(TRANSPOSE($AD557:$AJ557),OFFSET($L$10:$L$16,0,Z$335-1))</f>
        <v>0</v>
      </c>
      <c r="AA557" s="82" cm="1">
        <f ca="1" t="array" ref="AA557">SUMPRODUCT(TRANSPOSE($AD557:$AJ557),OFFSET($L$10:$L$16,0,AA$335-1))</f>
        <v>0</v>
      </c>
      <c r="AB557" s="82" cm="1">
        <f ca="1" t="array" ref="AB557">SUMPRODUCT(TRANSPOSE($AD557:$AJ557),OFFSET($L$10:$L$16,0,AB$335-1))</f>
        <v>0</v>
      </c>
      <c r="AC557" s="82" cm="1">
        <f ca="1" t="array" ref="AC557">SUMPRODUCT(TRANSPOSE($AD557:$AJ557),OFFSET($L$10:$L$16,0,AC$335-1))</f>
        <v>0</v>
      </c>
      <c r="AD557" s="83">
        <f ca="1" t="shared" ref="AD557:AJ557" si="763">AK557-AK556</f>
        <v>0</v>
      </c>
      <c r="AE557" s="83">
        <f ca="1" t="shared" si="763"/>
        <v>0</v>
      </c>
      <c r="AF557" s="83">
        <f ca="1" t="shared" si="763"/>
        <v>0</v>
      </c>
      <c r="AG557" s="83">
        <f ca="1" t="shared" si="763"/>
        <v>0</v>
      </c>
      <c r="AH557" s="83">
        <f ca="1" t="shared" si="763"/>
        <v>0</v>
      </c>
      <c r="AI557" s="83">
        <f ca="1" t="shared" si="763"/>
        <v>0</v>
      </c>
      <c r="AJ557" s="83">
        <f ca="1" t="shared" si="763"/>
        <v>0</v>
      </c>
      <c r="AK557" s="83">
        <f ca="1" t="shared" si="711"/>
        <v>450</v>
      </c>
      <c r="AL557" s="83">
        <f ca="1" t="shared" ref="AL557:AQ557" si="764">IF($C557&gt;OFFSET($Q$9,MATCH(AL$338,$AK$338:$AQ$338,0),0),OFFSET($P$9,MATCH(AL$338,$AK$338:$AQ$338,0),0),MAX(0,$C557-OFFSET($Q$9,RIGHT(AL$338,1)-1,0)))</f>
        <v>909</v>
      </c>
      <c r="AM557" s="83">
        <f ca="1" t="shared" si="764"/>
        <v>1818</v>
      </c>
      <c r="AN557" s="83">
        <f ca="1" t="shared" si="764"/>
        <v>2727</v>
      </c>
      <c r="AO557" s="83">
        <f ca="1" t="shared" si="764"/>
        <v>3636</v>
      </c>
      <c r="AP557" s="83">
        <f ca="1" t="shared" si="764"/>
        <v>4545</v>
      </c>
      <c r="AQ557" s="83">
        <f ca="1" t="shared" si="764"/>
        <v>0</v>
      </c>
    </row>
    <row r="558" ht="16.5" spans="2:43">
      <c r="B558" s="65">
        <v>220</v>
      </c>
      <c r="C558" s="80">
        <f t="shared" si="709"/>
        <v>25526</v>
      </c>
      <c r="D558" s="81" cm="1">
        <f ca="1" t="array" ref="D558">IF(D860=1,OFFSET($Z$338,$B558,D$335-1)/SUMPRODUCT(--($D$335:$V$335=D$335),--($D860:$V860=1)),0)+SUM(D557)+IF(COUNTIF(D$641:D860,1)=1,5,0)+IF(COUNTIF(E558:$Z558,"&gt;"&amp;0)&gt;5,IF(MOD(COUNTIF(D$641:D860,1),7)=0,$C$4,0),0)</f>
        <v>1273.82134856666</v>
      </c>
      <c r="E558" s="81" cm="1">
        <f ca="1" t="array" ref="E558">IF(E860=1,OFFSET($Z$338,$B558,E$335-1)/SUMPRODUCT(--($D$335:$V$335=E$335),--($D860:$V860=1)),0)+SUM(E557)+IF(COUNTIF(E$641:E860,1)=1,5,0)+IF(COUNTIF(F558:$Z558,"&gt;"&amp;0)&gt;5,IF(MOD(COUNTIF(E$641:E860,1),7)=0,$C$4,0),0)</f>
        <v>1273.82134856666</v>
      </c>
      <c r="F558" s="81" cm="1">
        <f ca="1" t="array" ref="F558">IF(F860=1,OFFSET($Z$338,$B558,F$335-1)/SUMPRODUCT(--($D$335:$V$335=F$335),--($D860:$V860=1)),0)+SUM(F557)+IF(COUNTIF(F$641:F860,1)=1,5,0)+IF(COUNTIF(G558:$Z558,"&gt;"&amp;0)&gt;5,IF(MOD(COUNTIF(F$641:F860,1),7)=0,$C$4,0),0)</f>
        <v>1273.82134856666</v>
      </c>
      <c r="G558" s="81" cm="1">
        <f ca="1" t="array" ref="G558">IF(G860=1,OFFSET($Z$338,$B558,G$335-1)/SUMPRODUCT(--($D$335:$V$335=G$335),--($D860:$V860=1)),0)+SUM(G557)+IF(COUNTIF(G$641:G860,1)=1,5,0)+IF(COUNTIF(H558:$Z558,"&gt;"&amp;0)&gt;5,IF(MOD(COUNTIF(G$641:G860,1),7)=0,$C$4,0),0)</f>
        <v>562.516666666668</v>
      </c>
      <c r="H558" s="81" cm="1">
        <f ca="1" t="array" ref="H558">IF(H860=1,OFFSET($Z$338,$B558,H$335-1)/SUMPRODUCT(--($D$335:$V$335=H$335),--($D860:$V860=1)),0)+SUM(H557)+IF(COUNTIF(H$641:H860,1)=1,5,0)+IF(COUNTIF(I558:$Z558,"&gt;"&amp;0)&gt;5,IF(MOD(COUNTIF(H$641:H860,1),7)=0,$C$4,0),0)</f>
        <v>562.516666666668</v>
      </c>
      <c r="I558" s="81" cm="1">
        <f ca="1" t="array" ref="I558">IF(I860=1,OFFSET($Z$338,$B558,I$335-1)/SUMPRODUCT(--($D$335:$V$335=I$335),--($D860:$V860=1)),0)+SUM(I557)+IF(COUNTIF(I$641:I860,1)=1,5,0)+IF(COUNTIF(J558:$Z558,"&gt;"&amp;0)&gt;5,IF(MOD(COUNTIF(I$641:I860,1),7)=0,$C$4,0),0)</f>
        <v>562.516666666668</v>
      </c>
      <c r="J558" s="81" cm="1">
        <f ca="1" t="array" ref="J558">IF(J860=1,OFFSET($Z$338,$B558,J$335-1)/SUMPRODUCT(--($D$335:$V$335=J$335),--($D860:$V860=1)),0)+SUM(J557)+IF(COUNTIF(J$641:J860,1)=1,5,0)+IF(COUNTIF(K558:$Z558,"&gt;"&amp;0)&gt;5,IF(MOD(COUNTIF(J$641:J860,1),7)=0,$C$4,0),0)</f>
        <v>562.516666666668</v>
      </c>
      <c r="K558" s="81" cm="1">
        <f ca="1" t="array" ref="K558">IF(K860=1,OFFSET($Z$338,$B558,K$335-1)/SUMPRODUCT(--($D$335:$V$335=K$335),--($D860:$V860=1)),0)+SUM(K557)+IF(COUNTIF(K$641:K860,1)=1,5,0)+IF(COUNTIF(L558:$Z558,"&gt;"&amp;0)&gt;5,IF(MOD(COUNTIF(K$641:K860,1),7)=0,$C$4,0),0)</f>
        <v>562.516666666668</v>
      </c>
      <c r="L558" s="81" cm="1">
        <f ca="1" t="array" ref="L558">IF(L860=1,OFFSET($Z$338,$B558,L$335-1)/SUMPRODUCT(--($D$335:$V$335=L$335),--($D860:$V860=1)),0)+SUM(L557)+IF(COUNTIF(L$641:L860,1)=1,5,0)+IF(COUNTIF(M558:$Z558,"&gt;"&amp;0)&gt;5,IF(MOD(COUNTIF(L$641:L860,1),7)=0,$C$4,0),0)</f>
        <v>555.816666666668</v>
      </c>
      <c r="M558" s="81" cm="1">
        <f ca="1" t="array" ref="M558">IF(M860=1,OFFSET($Z$338,$B558,M$335-1)/SUMPRODUCT(--($D$335:$V$335=M$335),--($D860:$V860=1)),0)+SUM(M557)+IF(COUNTIF(M$641:M860,1)=1,5,0)+IF(COUNTIF(N558:$Z558,"&gt;"&amp;0)&gt;5,IF(MOD(COUNTIF(M$641:M860,1),7)=0,$C$4,0),0)</f>
        <v>310.644107142858</v>
      </c>
      <c r="N558" s="81" cm="1">
        <f ca="1" t="array" ref="N558">IF(N860=1,OFFSET($Z$338,$B558,N$335-1)/SUMPRODUCT(--($D$335:$V$335=N$335),--($D860:$V860=1)),0)+SUM(N557)+IF(COUNTIF(N$641:N860,1)=1,5,0)+IF(COUNTIF(O558:$Z558,"&gt;"&amp;0)&gt;5,IF(MOD(COUNTIF(N$641:N860,1),7)=0,$C$4,0),0)</f>
        <v>302.919107142858</v>
      </c>
      <c r="O558" s="81" cm="1">
        <f ca="1" t="array" ref="O558">IF(O860=1,OFFSET($Z$338,$B558,O$335-1)/SUMPRODUCT(--($D$335:$V$335=O$335),--($D860:$V860=1)),0)+SUM(O557)+IF(COUNTIF(O$641:O860,1)=1,5,0)+IF(COUNTIF(P558:$Z558,"&gt;"&amp;0)&gt;5,IF(MOD(COUNTIF(O$641:O860,1),7)=0,$C$4,0),0)</f>
        <v>300.494107142858</v>
      </c>
      <c r="P558" s="81" cm="1">
        <f ca="1" t="array" ref="P558">IF(P860=1,OFFSET($Z$338,$B558,P$335-1)/SUMPRODUCT(--($D$335:$V$335=P$335),--($D860:$V860=1)),0)+SUM(P557)+IF(COUNTIF(P$641:P860,1)=1,5,0)+IF(COUNTIF(Q558:$Z558,"&gt;"&amp;0)&gt;5,IF(MOD(COUNTIF(P$641:P860,1),7)=0,$C$4,0),0)</f>
        <v>292.560773809524</v>
      </c>
      <c r="Q558" s="81" cm="1">
        <f ca="1" t="array" ref="Q558">IF(Q860=1,OFFSET($Z$338,$B558,Q$335-1)/SUMPRODUCT(--($D$335:$V$335=Q$335),--($D860:$V860=1)),0)+SUM(Q557)+IF(COUNTIF(Q$641:Q860,1)=1,5,0)+IF(COUNTIF(R558:$Z558,"&gt;"&amp;0)&gt;5,IF(MOD(COUNTIF(Q$641:Q860,1),7)=0,$C$4,0),0)</f>
        <v>291.654523809524</v>
      </c>
      <c r="R558" s="81" cm="1">
        <f ca="1" t="array" ref="R558">IF(R860=1,OFFSET($Z$338,$B558,R$335-1)/SUMPRODUCT(--($D$335:$V$335=R$335),--($D860:$V860=1)),0)+SUM(R557)+IF(COUNTIF(R$641:R860,1)=1,5,0)+IF(COUNTIF(S558:$Z558,"&gt;"&amp;0)&gt;5,IF(MOD(COUNTIF(R$641:R860,1),7)=0,$C$4,0),0)</f>
        <v>266.759523809524</v>
      </c>
      <c r="S558" s="81" cm="1">
        <f ca="1" t="array" ref="S558">IF(S860=1,OFFSET($Z$338,$B558,S$335-1)/SUMPRODUCT(--($D$335:$V$335=S$335),--($D860:$V860=1)),0)+SUM(S557)+IF(COUNTIF(S$641:S860,1)=1,5,0)+IF(COUNTIF(T558:$Z558,"&gt;"&amp;0)&gt;5,IF(MOD(COUNTIF(S$641:S860,1),7)=0,$C$4,0),0)</f>
        <v>257.592857142857</v>
      </c>
      <c r="T558" s="81" cm="1">
        <f ca="1" t="array" ref="T558">IF(T860=1,OFFSET($Z$338,$B558,T$335-1)/SUMPRODUCT(--($D$335:$V$335=T$335),--($D860:$V860=1)),0)+SUM(T557)+IF(COUNTIF(T$641:T860,1)=1,5,0)+IF(COUNTIF(U558:$Z558,"&gt;"&amp;0)&gt;5,IF(MOD(COUNTIF(T$641:T860,1),7)=0,$C$4,0),0)</f>
        <v>137.656257829764</v>
      </c>
      <c r="U558" s="81" cm="1">
        <f ca="1" t="array" ref="U558">IF(U860=1,OFFSET($Z$338,$B558,U$335-1)/SUMPRODUCT(--($D$335:$V$335=U$335),--($D860:$V860=1)),0)+SUM(U557)+IF(COUNTIF(U$641:U860,1)=1,5,0)+IF(COUNTIF(V558:$Z558,"&gt;"&amp;0)&gt;5,IF(MOD(COUNTIF(U$641:U860,1),7)=0,$C$4,0),0)</f>
        <v>97.6562578297643</v>
      </c>
      <c r="V558" s="81" cm="1">
        <f ca="1" t="array" ref="V558">IF(V860=1,OFFSET($Z$338,$B558,V$335-1)/SUMPRODUCT(--($D$335:$V$335=V$335),--($D860:$V860=1)),0)+SUM(V557)+IF(COUNTIF(V$641:V860,1)=1,5,0)+IF(COUNTIF(Z558:$Z558,"&gt;"&amp;0)&gt;5,IF(MOD(COUNTIF(V$641:V860,1),7)=0,$C$4,0),0)</f>
        <v>89.6984386404824</v>
      </c>
      <c r="W558" s="81" cm="1">
        <f ca="1" t="array" ref="W558">IF(W860=1,OFFSET($Z$338,$B558,W$335-1)/SUMPRODUCT(--($D$335:$V$335=W$335),--($D860:$V860=1)),0)+SUM(W557)+IF(COUNTIF(W$641:W860,1)=1,5,0)+IF(COUNTIF($Z558:AA558,"&gt;"&amp;0)&gt;5,IF(MOD(COUNTIF(W$641:W860,1),7)=0,$C$4,0),0)</f>
        <v>80.3425695255331</v>
      </c>
      <c r="X558" s="81" cm="1">
        <f ca="1" t="array" ref="X558">IF(X860=1,OFFSET($Z$338,$B558,X$335-1)/SUMPRODUCT(--($D$335:$V$335=X$335),--($D860:$V860=1)),0)+SUM(X557)+IF(COUNTIF(X$641:X860,1)=1,5,0)+IF(COUNTIF($Z558:AB558,"&gt;"&amp;0)&gt;5,IF(MOD(COUNTIF(X$641:X860,1),7)=0,$C$4,0),0)</f>
        <v>73.5789092348996</v>
      </c>
      <c r="Y558" s="81" cm="1">
        <f ca="1" t="array" ref="Y558">IF(Y860=1,OFFSET($Z$338,$B558,Y$335-1)/SUMPRODUCT(--($D$335:$V$335=Y$335),--($D860:$V860=1)),0)+SUM(Y557)+IF(COUNTIF(Y$641:Y860,1)=1,5,0)+IF(COUNTIF($Z558:AC558,"&gt;"&amp;0)&gt;5,IF(MOD(COUNTIF(Y$641:Y860,1),7)=0,$C$4,0),0)</f>
        <v>66.8152489442662</v>
      </c>
      <c r="Z558" s="82" cm="1">
        <f ca="1" t="array" ref="Z558">SUMPRODUCT(TRANSPOSE($AD558:$AJ558),OFFSET($L$10:$L$16,0,Z$335-1))</f>
        <v>0</v>
      </c>
      <c r="AA558" s="82" cm="1">
        <f ca="1" t="array" ref="AA558">SUMPRODUCT(TRANSPOSE($AD558:$AJ558),OFFSET($L$10:$L$16,0,AA$335-1))</f>
        <v>0</v>
      </c>
      <c r="AB558" s="82" cm="1">
        <f ca="1" t="array" ref="AB558">SUMPRODUCT(TRANSPOSE($AD558:$AJ558),OFFSET($L$10:$L$16,0,AB$335-1))</f>
        <v>0</v>
      </c>
      <c r="AC558" s="82" cm="1">
        <f ca="1" t="array" ref="AC558">SUMPRODUCT(TRANSPOSE($AD558:$AJ558),OFFSET($L$10:$L$16,0,AC$335-1))</f>
        <v>0</v>
      </c>
      <c r="AD558" s="83">
        <f ca="1" t="shared" ref="AD558:AJ558" si="765">AK558-AK557</f>
        <v>0</v>
      </c>
      <c r="AE558" s="83">
        <f ca="1" t="shared" si="765"/>
        <v>0</v>
      </c>
      <c r="AF558" s="83">
        <f ca="1" t="shared" si="765"/>
        <v>0</v>
      </c>
      <c r="AG558" s="83">
        <f ca="1" t="shared" si="765"/>
        <v>0</v>
      </c>
      <c r="AH558" s="83">
        <f ca="1" t="shared" si="765"/>
        <v>0</v>
      </c>
      <c r="AI558" s="83">
        <f ca="1" t="shared" si="765"/>
        <v>0</v>
      </c>
      <c r="AJ558" s="83">
        <f ca="1" t="shared" si="765"/>
        <v>0</v>
      </c>
      <c r="AK558" s="83">
        <f ca="1" t="shared" si="711"/>
        <v>450</v>
      </c>
      <c r="AL558" s="83">
        <f ca="1" t="shared" ref="AL558:AQ558" si="766">IF($C558&gt;OFFSET($Q$9,MATCH(AL$338,$AK$338:$AQ$338,0),0),OFFSET($P$9,MATCH(AL$338,$AK$338:$AQ$338,0),0),MAX(0,$C558-OFFSET($Q$9,RIGHT(AL$338,1)-1,0)))</f>
        <v>909</v>
      </c>
      <c r="AM558" s="83">
        <f ca="1" t="shared" si="766"/>
        <v>1818</v>
      </c>
      <c r="AN558" s="83">
        <f ca="1" t="shared" si="766"/>
        <v>2727</v>
      </c>
      <c r="AO558" s="83">
        <f ca="1" t="shared" si="766"/>
        <v>3636</v>
      </c>
      <c r="AP558" s="83">
        <f ca="1" t="shared" si="766"/>
        <v>4545</v>
      </c>
      <c r="AQ558" s="83">
        <f ca="1" t="shared" si="766"/>
        <v>0</v>
      </c>
    </row>
    <row r="559" ht="16.5" spans="2:43">
      <c r="B559" s="65">
        <v>221</v>
      </c>
      <c r="C559" s="80">
        <f t="shared" si="709"/>
        <v>25636</v>
      </c>
      <c r="D559" s="81" cm="1">
        <f ca="1" t="array" ref="D559">IF(D861=1,OFFSET($Z$338,$B559,D$335-1)/SUMPRODUCT(--($D$335:$V$335=D$335),--($D861:$V861=1)),0)+SUM(D558)+IF(COUNTIF(D$641:D861,1)=1,5,0)+IF(COUNTIF(E559:$Z559,"&gt;"&amp;0)&gt;5,IF(MOD(COUNTIF(D$641:D861,1),7)=0,$C$4,0),0)</f>
        <v>1273.82134856666</v>
      </c>
      <c r="E559" s="81" cm="1">
        <f ca="1" t="array" ref="E559">IF(E861=1,OFFSET($Z$338,$B559,E$335-1)/SUMPRODUCT(--($D$335:$V$335=E$335),--($D861:$V861=1)),0)+SUM(E558)+IF(COUNTIF(E$641:E861,1)=1,5,0)+IF(COUNTIF(F559:$Z559,"&gt;"&amp;0)&gt;5,IF(MOD(COUNTIF(E$641:E861,1),7)=0,$C$4,0),0)</f>
        <v>1273.82134856666</v>
      </c>
      <c r="F559" s="81" cm="1">
        <f ca="1" t="array" ref="F559">IF(F861=1,OFFSET($Z$338,$B559,F$335-1)/SUMPRODUCT(--($D$335:$V$335=F$335),--($D861:$V861=1)),0)+SUM(F558)+IF(COUNTIF(F$641:F861,1)=1,5,0)+IF(COUNTIF(G559:$Z559,"&gt;"&amp;0)&gt;5,IF(MOD(COUNTIF(F$641:F861,1),7)=0,$C$4,0),0)</f>
        <v>1273.82134856666</v>
      </c>
      <c r="G559" s="81" cm="1">
        <f ca="1" t="array" ref="G559">IF(G861=1,OFFSET($Z$338,$B559,G$335-1)/SUMPRODUCT(--($D$335:$V$335=G$335),--($D861:$V861=1)),0)+SUM(G558)+IF(COUNTIF(G$641:G861,1)=1,5,0)+IF(COUNTIF(H559:$Z559,"&gt;"&amp;0)&gt;5,IF(MOD(COUNTIF(G$641:G861,1),7)=0,$C$4,0),0)</f>
        <v>562.516666666668</v>
      </c>
      <c r="H559" s="81" cm="1">
        <f ca="1" t="array" ref="H559">IF(H861=1,OFFSET($Z$338,$B559,H$335-1)/SUMPRODUCT(--($D$335:$V$335=H$335),--($D861:$V861=1)),0)+SUM(H558)+IF(COUNTIF(H$641:H861,1)=1,5,0)+IF(COUNTIF(I559:$Z559,"&gt;"&amp;0)&gt;5,IF(MOD(COUNTIF(H$641:H861,1),7)=0,$C$4,0),0)</f>
        <v>562.516666666668</v>
      </c>
      <c r="I559" s="81" cm="1">
        <f ca="1" t="array" ref="I559">IF(I861=1,OFFSET($Z$338,$B559,I$335-1)/SUMPRODUCT(--($D$335:$V$335=I$335),--($D861:$V861=1)),0)+SUM(I558)+IF(COUNTIF(I$641:I861,1)=1,5,0)+IF(COUNTIF(J559:$Z559,"&gt;"&amp;0)&gt;5,IF(MOD(COUNTIF(I$641:I861,1),7)=0,$C$4,0),0)</f>
        <v>562.516666666668</v>
      </c>
      <c r="J559" s="81" cm="1">
        <f ca="1" t="array" ref="J559">IF(J861=1,OFFSET($Z$338,$B559,J$335-1)/SUMPRODUCT(--($D$335:$V$335=J$335),--($D861:$V861=1)),0)+SUM(J558)+IF(COUNTIF(J$641:J861,1)=1,5,0)+IF(COUNTIF(K559:$Z559,"&gt;"&amp;0)&gt;5,IF(MOD(COUNTIF(J$641:J861,1),7)=0,$C$4,0),0)</f>
        <v>562.516666666668</v>
      </c>
      <c r="K559" s="81" cm="1">
        <f ca="1" t="array" ref="K559">IF(K861=1,OFFSET($Z$338,$B559,K$335-1)/SUMPRODUCT(--($D$335:$V$335=K$335),--($D861:$V861=1)),0)+SUM(K558)+IF(COUNTIF(K$641:K861,1)=1,5,0)+IF(COUNTIF(L559:$Z559,"&gt;"&amp;0)&gt;5,IF(MOD(COUNTIF(K$641:K861,1),7)=0,$C$4,0),0)</f>
        <v>562.516666666668</v>
      </c>
      <c r="L559" s="81" cm="1">
        <f ca="1" t="array" ref="L559">IF(L861=1,OFFSET($Z$338,$B559,L$335-1)/SUMPRODUCT(--($D$335:$V$335=L$335),--($D861:$V861=1)),0)+SUM(L558)+IF(COUNTIF(L$641:L861,1)=1,5,0)+IF(COUNTIF(M559:$Z559,"&gt;"&amp;0)&gt;5,IF(MOD(COUNTIF(L$641:L861,1),7)=0,$C$4,0),0)</f>
        <v>555.816666666668</v>
      </c>
      <c r="M559" s="81" cm="1">
        <f ca="1" t="array" ref="M559">IF(M861=1,OFFSET($Z$338,$B559,M$335-1)/SUMPRODUCT(--($D$335:$V$335=M$335),--($D861:$V861=1)),0)+SUM(M558)+IF(COUNTIF(M$641:M861,1)=1,5,0)+IF(COUNTIF(N559:$Z559,"&gt;"&amp;0)&gt;5,IF(MOD(COUNTIF(M$641:M861,1),7)=0,$C$4,0),0)</f>
        <v>310.644107142858</v>
      </c>
      <c r="N559" s="81" cm="1">
        <f ca="1" t="array" ref="N559">IF(N861=1,OFFSET($Z$338,$B559,N$335-1)/SUMPRODUCT(--($D$335:$V$335=N$335),--($D861:$V861=1)),0)+SUM(N558)+IF(COUNTIF(N$641:N861,1)=1,5,0)+IF(COUNTIF(O559:$Z559,"&gt;"&amp;0)&gt;5,IF(MOD(COUNTIF(N$641:N861,1),7)=0,$C$4,0),0)</f>
        <v>302.919107142858</v>
      </c>
      <c r="O559" s="81" cm="1">
        <f ca="1" t="array" ref="O559">IF(O861=1,OFFSET($Z$338,$B559,O$335-1)/SUMPRODUCT(--($D$335:$V$335=O$335),--($D861:$V861=1)),0)+SUM(O558)+IF(COUNTIF(O$641:O861,1)=1,5,0)+IF(COUNTIF(P559:$Z559,"&gt;"&amp;0)&gt;5,IF(MOD(COUNTIF(O$641:O861,1),7)=0,$C$4,0),0)</f>
        <v>300.494107142858</v>
      </c>
      <c r="P559" s="81" cm="1">
        <f ca="1" t="array" ref="P559">IF(P861=1,OFFSET($Z$338,$B559,P$335-1)/SUMPRODUCT(--($D$335:$V$335=P$335),--($D861:$V861=1)),0)+SUM(P558)+IF(COUNTIF(P$641:P861,1)=1,5,0)+IF(COUNTIF(Q559:$Z559,"&gt;"&amp;0)&gt;5,IF(MOD(COUNTIF(P$641:P861,1),7)=0,$C$4,0),0)</f>
        <v>292.560773809524</v>
      </c>
      <c r="Q559" s="81" cm="1">
        <f ca="1" t="array" ref="Q559">IF(Q861=1,OFFSET($Z$338,$B559,Q$335-1)/SUMPRODUCT(--($D$335:$V$335=Q$335),--($D861:$V861=1)),0)+SUM(Q558)+IF(COUNTIF(Q$641:Q861,1)=1,5,0)+IF(COUNTIF(R559:$Z559,"&gt;"&amp;0)&gt;5,IF(MOD(COUNTIF(Q$641:Q861,1),7)=0,$C$4,0),0)</f>
        <v>291.654523809524</v>
      </c>
      <c r="R559" s="81" cm="1">
        <f ca="1" t="array" ref="R559">IF(R861=1,OFFSET($Z$338,$B559,R$335-1)/SUMPRODUCT(--($D$335:$V$335=R$335),--($D861:$V861=1)),0)+SUM(R558)+IF(COUNTIF(R$641:R861,1)=1,5,0)+IF(COUNTIF(S559:$Z559,"&gt;"&amp;0)&gt;5,IF(MOD(COUNTIF(R$641:R861,1),7)=0,$C$4,0),0)</f>
        <v>266.759523809524</v>
      </c>
      <c r="S559" s="81" cm="1">
        <f ca="1" t="array" ref="S559">IF(S861=1,OFFSET($Z$338,$B559,S$335-1)/SUMPRODUCT(--($D$335:$V$335=S$335),--($D861:$V861=1)),0)+SUM(S558)+IF(COUNTIF(S$641:S861,1)=1,5,0)+IF(COUNTIF(T559:$Z559,"&gt;"&amp;0)&gt;5,IF(MOD(COUNTIF(S$641:S861,1),7)=0,$C$4,0),0)</f>
        <v>257.592857142857</v>
      </c>
      <c r="T559" s="81" cm="1">
        <f ca="1" t="array" ref="T559">IF(T861=1,OFFSET($Z$338,$B559,T$335-1)/SUMPRODUCT(--($D$335:$V$335=T$335),--($D861:$V861=1)),0)+SUM(T558)+IF(COUNTIF(T$641:T861,1)=1,5,0)+IF(COUNTIF(U559:$Z559,"&gt;"&amp;0)&gt;5,IF(MOD(COUNTIF(T$641:T861,1),7)=0,$C$4,0),0)</f>
        <v>137.656257829764</v>
      </c>
      <c r="U559" s="81" cm="1">
        <f ca="1" t="array" ref="U559">IF(U861=1,OFFSET($Z$338,$B559,U$335-1)/SUMPRODUCT(--($D$335:$V$335=U$335),--($D861:$V861=1)),0)+SUM(U558)+IF(COUNTIF(U$641:U861,1)=1,5,0)+IF(COUNTIF(V559:$Z559,"&gt;"&amp;0)&gt;5,IF(MOD(COUNTIF(U$641:U861,1),7)=0,$C$4,0),0)</f>
        <v>97.6562578297643</v>
      </c>
      <c r="V559" s="81" cm="1">
        <f ca="1" t="array" ref="V559">IF(V861=1,OFFSET($Z$338,$B559,V$335-1)/SUMPRODUCT(--($D$335:$V$335=V$335),--($D861:$V861=1)),0)+SUM(V558)+IF(COUNTIF(V$641:V861,1)=1,5,0)+IF(COUNTIF(Z559:$Z559,"&gt;"&amp;0)&gt;5,IF(MOD(COUNTIF(V$641:V861,1),7)=0,$C$4,0),0)</f>
        <v>89.6984386404824</v>
      </c>
      <c r="W559" s="81" cm="1">
        <f ca="1" t="array" ref="W559">IF(W861=1,OFFSET($Z$338,$B559,W$335-1)/SUMPRODUCT(--($D$335:$V$335=W$335),--($D861:$V861=1)),0)+SUM(W558)+IF(COUNTIF(W$641:W861,1)=1,5,0)+IF(COUNTIF($Z559:AA559,"&gt;"&amp;0)&gt;5,IF(MOD(COUNTIF(W$641:W861,1),7)=0,$C$4,0),0)</f>
        <v>80.3425695255331</v>
      </c>
      <c r="X559" s="81" cm="1">
        <f ca="1" t="array" ref="X559">IF(X861=1,OFFSET($Z$338,$B559,X$335-1)/SUMPRODUCT(--($D$335:$V$335=X$335),--($D861:$V861=1)),0)+SUM(X558)+IF(COUNTIF(X$641:X861,1)=1,5,0)+IF(COUNTIF($Z559:AB559,"&gt;"&amp;0)&gt;5,IF(MOD(COUNTIF(X$641:X861,1),7)=0,$C$4,0),0)</f>
        <v>73.5789092348996</v>
      </c>
      <c r="Y559" s="81" cm="1">
        <f ca="1" t="array" ref="Y559">IF(Y861=1,OFFSET($Z$338,$B559,Y$335-1)/SUMPRODUCT(--($D$335:$V$335=Y$335),--($D861:$V861=1)),0)+SUM(Y558)+IF(COUNTIF(Y$641:Y861,1)=1,5,0)+IF(COUNTIF($Z559:AC559,"&gt;"&amp;0)&gt;5,IF(MOD(COUNTIF(Y$641:Y861,1),7)=0,$C$4,0),0)</f>
        <v>66.8152489442662</v>
      </c>
      <c r="Z559" s="82" cm="1">
        <f ca="1" t="array" ref="Z559">SUMPRODUCT(TRANSPOSE($AD559:$AJ559),OFFSET($L$10:$L$16,0,Z$335-1))</f>
        <v>0</v>
      </c>
      <c r="AA559" s="82" cm="1">
        <f ca="1" t="array" ref="AA559">SUMPRODUCT(TRANSPOSE($AD559:$AJ559),OFFSET($L$10:$L$16,0,AA$335-1))</f>
        <v>0</v>
      </c>
      <c r="AB559" s="82" cm="1">
        <f ca="1" t="array" ref="AB559">SUMPRODUCT(TRANSPOSE($AD559:$AJ559),OFFSET($L$10:$L$16,0,AB$335-1))</f>
        <v>0</v>
      </c>
      <c r="AC559" s="82" cm="1">
        <f ca="1" t="array" ref="AC559">SUMPRODUCT(TRANSPOSE($AD559:$AJ559),OFFSET($L$10:$L$16,0,AC$335-1))</f>
        <v>0</v>
      </c>
      <c r="AD559" s="83">
        <f ca="1" t="shared" ref="AD559:AJ559" si="767">AK559-AK558</f>
        <v>0</v>
      </c>
      <c r="AE559" s="83">
        <f ca="1" t="shared" si="767"/>
        <v>0</v>
      </c>
      <c r="AF559" s="83">
        <f ca="1" t="shared" si="767"/>
        <v>0</v>
      </c>
      <c r="AG559" s="83">
        <f ca="1" t="shared" si="767"/>
        <v>0</v>
      </c>
      <c r="AH559" s="83">
        <f ca="1" t="shared" si="767"/>
        <v>0</v>
      </c>
      <c r="AI559" s="83">
        <f ca="1" t="shared" si="767"/>
        <v>0</v>
      </c>
      <c r="AJ559" s="83">
        <f ca="1" t="shared" si="767"/>
        <v>0</v>
      </c>
      <c r="AK559" s="83">
        <f ca="1" t="shared" si="711"/>
        <v>450</v>
      </c>
      <c r="AL559" s="83">
        <f ca="1" t="shared" ref="AL559:AQ559" si="768">IF($C559&gt;OFFSET($Q$9,MATCH(AL$338,$AK$338:$AQ$338,0),0),OFFSET($P$9,MATCH(AL$338,$AK$338:$AQ$338,0),0),MAX(0,$C559-OFFSET($Q$9,RIGHT(AL$338,1)-1,0)))</f>
        <v>909</v>
      </c>
      <c r="AM559" s="83">
        <f ca="1" t="shared" si="768"/>
        <v>1818</v>
      </c>
      <c r="AN559" s="83">
        <f ca="1" t="shared" si="768"/>
        <v>2727</v>
      </c>
      <c r="AO559" s="83">
        <f ca="1" t="shared" si="768"/>
        <v>3636</v>
      </c>
      <c r="AP559" s="83">
        <f ca="1" t="shared" si="768"/>
        <v>4545</v>
      </c>
      <c r="AQ559" s="83">
        <f ca="1" t="shared" si="768"/>
        <v>0</v>
      </c>
    </row>
    <row r="560" ht="16.5" spans="2:43">
      <c r="B560" s="65">
        <v>222</v>
      </c>
      <c r="C560" s="80">
        <f t="shared" si="709"/>
        <v>25746</v>
      </c>
      <c r="D560" s="81" cm="1">
        <f ca="1" t="array" ref="D560">IF(D862=1,OFFSET($Z$338,$B560,D$335-1)/SUMPRODUCT(--($D$335:$V$335=D$335),--($D862:$V862=1)),0)+SUM(D559)+IF(COUNTIF(D$641:D862,1)=1,5,0)+IF(COUNTIF(E560:$Z560,"&gt;"&amp;0)&gt;5,IF(MOD(COUNTIF(D$641:D862,1),7)=0,$C$4,0),0)</f>
        <v>1273.82134856666</v>
      </c>
      <c r="E560" s="81" cm="1">
        <f ca="1" t="array" ref="E560">IF(E862=1,OFFSET($Z$338,$B560,E$335-1)/SUMPRODUCT(--($D$335:$V$335=E$335),--($D862:$V862=1)),0)+SUM(E559)+IF(COUNTIF(E$641:E862,1)=1,5,0)+IF(COUNTIF(F560:$Z560,"&gt;"&amp;0)&gt;5,IF(MOD(COUNTIF(E$641:E862,1),7)=0,$C$4,0),0)</f>
        <v>1273.82134856666</v>
      </c>
      <c r="F560" s="81" cm="1">
        <f ca="1" t="array" ref="F560">IF(F862=1,OFFSET($Z$338,$B560,F$335-1)/SUMPRODUCT(--($D$335:$V$335=F$335),--($D862:$V862=1)),0)+SUM(F559)+IF(COUNTIF(F$641:F862,1)=1,5,0)+IF(COUNTIF(G560:$Z560,"&gt;"&amp;0)&gt;5,IF(MOD(COUNTIF(F$641:F862,1),7)=0,$C$4,0),0)</f>
        <v>1273.82134856666</v>
      </c>
      <c r="G560" s="81" cm="1">
        <f ca="1" t="array" ref="G560">IF(G862=1,OFFSET($Z$338,$B560,G$335-1)/SUMPRODUCT(--($D$335:$V$335=G$335),--($D862:$V862=1)),0)+SUM(G559)+IF(COUNTIF(G$641:G862,1)=1,5,0)+IF(COUNTIF(H560:$Z560,"&gt;"&amp;0)&gt;5,IF(MOD(COUNTIF(G$641:G862,1),7)=0,$C$4,0),0)</f>
        <v>562.516666666668</v>
      </c>
      <c r="H560" s="81" cm="1">
        <f ca="1" t="array" ref="H560">IF(H862=1,OFFSET($Z$338,$B560,H$335-1)/SUMPRODUCT(--($D$335:$V$335=H$335),--($D862:$V862=1)),0)+SUM(H559)+IF(COUNTIF(H$641:H862,1)=1,5,0)+IF(COUNTIF(I560:$Z560,"&gt;"&amp;0)&gt;5,IF(MOD(COUNTIF(H$641:H862,1),7)=0,$C$4,0),0)</f>
        <v>562.516666666668</v>
      </c>
      <c r="I560" s="81" cm="1">
        <f ca="1" t="array" ref="I560">IF(I862=1,OFFSET($Z$338,$B560,I$335-1)/SUMPRODUCT(--($D$335:$V$335=I$335),--($D862:$V862=1)),0)+SUM(I559)+IF(COUNTIF(I$641:I862,1)=1,5,0)+IF(COUNTIF(J560:$Z560,"&gt;"&amp;0)&gt;5,IF(MOD(COUNTIF(I$641:I862,1),7)=0,$C$4,0),0)</f>
        <v>562.516666666668</v>
      </c>
      <c r="J560" s="81" cm="1">
        <f ca="1" t="array" ref="J560">IF(J862=1,OFFSET($Z$338,$B560,J$335-1)/SUMPRODUCT(--($D$335:$V$335=J$335),--($D862:$V862=1)),0)+SUM(J559)+IF(COUNTIF(J$641:J862,1)=1,5,0)+IF(COUNTIF(K560:$Z560,"&gt;"&amp;0)&gt;5,IF(MOD(COUNTIF(J$641:J862,1),7)=0,$C$4,0),0)</f>
        <v>562.516666666668</v>
      </c>
      <c r="K560" s="81" cm="1">
        <f ca="1" t="array" ref="K560">IF(K862=1,OFFSET($Z$338,$B560,K$335-1)/SUMPRODUCT(--($D$335:$V$335=K$335),--($D862:$V862=1)),0)+SUM(K559)+IF(COUNTIF(K$641:K862,1)=1,5,0)+IF(COUNTIF(L560:$Z560,"&gt;"&amp;0)&gt;5,IF(MOD(COUNTIF(K$641:K862,1),7)=0,$C$4,0),0)</f>
        <v>562.516666666668</v>
      </c>
      <c r="L560" s="81" cm="1">
        <f ca="1" t="array" ref="L560">IF(L862=1,OFFSET($Z$338,$B560,L$335-1)/SUMPRODUCT(--($D$335:$V$335=L$335),--($D862:$V862=1)),0)+SUM(L559)+IF(COUNTIF(L$641:L862,1)=1,5,0)+IF(COUNTIF(M560:$Z560,"&gt;"&amp;0)&gt;5,IF(MOD(COUNTIF(L$641:L862,1),7)=0,$C$4,0),0)</f>
        <v>555.816666666668</v>
      </c>
      <c r="M560" s="81" cm="1">
        <f ca="1" t="array" ref="M560">IF(M862=1,OFFSET($Z$338,$B560,M$335-1)/SUMPRODUCT(--($D$335:$V$335=M$335),--($D862:$V862=1)),0)+SUM(M559)+IF(COUNTIF(M$641:M862,1)=1,5,0)+IF(COUNTIF(N560:$Z560,"&gt;"&amp;0)&gt;5,IF(MOD(COUNTIF(M$641:M862,1),7)=0,$C$4,0),0)</f>
        <v>310.644107142858</v>
      </c>
      <c r="N560" s="81" cm="1">
        <f ca="1" t="array" ref="N560">IF(N862=1,OFFSET($Z$338,$B560,N$335-1)/SUMPRODUCT(--($D$335:$V$335=N$335),--($D862:$V862=1)),0)+SUM(N559)+IF(COUNTIF(N$641:N862,1)=1,5,0)+IF(COUNTIF(O560:$Z560,"&gt;"&amp;0)&gt;5,IF(MOD(COUNTIF(N$641:N862,1),7)=0,$C$4,0),0)</f>
        <v>302.919107142858</v>
      </c>
      <c r="O560" s="81" cm="1">
        <f ca="1" t="array" ref="O560">IF(O862=1,OFFSET($Z$338,$B560,O$335-1)/SUMPRODUCT(--($D$335:$V$335=O$335),--($D862:$V862=1)),0)+SUM(O559)+IF(COUNTIF(O$641:O862,1)=1,5,0)+IF(COUNTIF(P560:$Z560,"&gt;"&amp;0)&gt;5,IF(MOD(COUNTIF(O$641:O862,1),7)=0,$C$4,0),0)</f>
        <v>300.494107142858</v>
      </c>
      <c r="P560" s="81" cm="1">
        <f ca="1" t="array" ref="P560">IF(P862=1,OFFSET($Z$338,$B560,P$335-1)/SUMPRODUCT(--($D$335:$V$335=P$335),--($D862:$V862=1)),0)+SUM(P559)+IF(COUNTIF(P$641:P862,1)=1,5,0)+IF(COUNTIF(Q560:$Z560,"&gt;"&amp;0)&gt;5,IF(MOD(COUNTIF(P$641:P862,1),7)=0,$C$4,0),0)</f>
        <v>297.560773809524</v>
      </c>
      <c r="Q560" s="81" cm="1">
        <f ca="1" t="array" ref="Q560">IF(Q862=1,OFFSET($Z$338,$B560,Q$335-1)/SUMPRODUCT(--($D$335:$V$335=Q$335),--($D862:$V862=1)),0)+SUM(Q559)+IF(COUNTIF(Q$641:Q862,1)=1,5,0)+IF(COUNTIF(R560:$Z560,"&gt;"&amp;0)&gt;5,IF(MOD(COUNTIF(Q$641:Q862,1),7)=0,$C$4,0),0)</f>
        <v>291.654523809524</v>
      </c>
      <c r="R560" s="81" cm="1">
        <f ca="1" t="array" ref="R560">IF(R862=1,OFFSET($Z$338,$B560,R$335-1)/SUMPRODUCT(--($D$335:$V$335=R$335),--($D862:$V862=1)),0)+SUM(R559)+IF(COUNTIF(R$641:R862,1)=1,5,0)+IF(COUNTIF(S560:$Z560,"&gt;"&amp;0)&gt;5,IF(MOD(COUNTIF(R$641:R862,1),7)=0,$C$4,0),0)</f>
        <v>266.759523809524</v>
      </c>
      <c r="S560" s="81" cm="1">
        <f ca="1" t="array" ref="S560">IF(S862=1,OFFSET($Z$338,$B560,S$335-1)/SUMPRODUCT(--($D$335:$V$335=S$335),--($D862:$V862=1)),0)+SUM(S559)+IF(COUNTIF(S$641:S862,1)=1,5,0)+IF(COUNTIF(T560:$Z560,"&gt;"&amp;0)&gt;5,IF(MOD(COUNTIF(S$641:S862,1),7)=0,$C$4,0),0)</f>
        <v>262.592857142857</v>
      </c>
      <c r="T560" s="81" cm="1">
        <f ca="1" t="array" ref="T560">IF(T862=1,OFFSET($Z$338,$B560,T$335-1)/SUMPRODUCT(--($D$335:$V$335=T$335),--($D862:$V862=1)),0)+SUM(T559)+IF(COUNTIF(T$641:T862,1)=1,5,0)+IF(COUNTIF(U560:$Z560,"&gt;"&amp;0)&gt;5,IF(MOD(COUNTIF(T$641:T862,1),7)=0,$C$4,0),0)</f>
        <v>137.656257829764</v>
      </c>
      <c r="U560" s="81" cm="1">
        <f ca="1" t="array" ref="U560">IF(U862=1,OFFSET($Z$338,$B560,U$335-1)/SUMPRODUCT(--($D$335:$V$335=U$335),--($D862:$V862=1)),0)+SUM(U559)+IF(COUNTIF(U$641:U862,1)=1,5,0)+IF(COUNTIF(V560:$Z560,"&gt;"&amp;0)&gt;5,IF(MOD(COUNTIF(U$641:U862,1),7)=0,$C$4,0),0)</f>
        <v>97.6562578297643</v>
      </c>
      <c r="V560" s="81" cm="1">
        <f ca="1" t="array" ref="V560">IF(V862=1,OFFSET($Z$338,$B560,V$335-1)/SUMPRODUCT(--($D$335:$V$335=V$335),--($D862:$V862=1)),0)+SUM(V559)+IF(COUNTIF(V$641:V862,1)=1,5,0)+IF(COUNTIF(Z560:$Z560,"&gt;"&amp;0)&gt;5,IF(MOD(COUNTIF(V$641:V862,1),7)=0,$C$4,0),0)</f>
        <v>89.6984386404824</v>
      </c>
      <c r="W560" s="81" cm="1">
        <f ca="1" t="array" ref="W560">IF(W862=1,OFFSET($Z$338,$B560,W$335-1)/SUMPRODUCT(--($D$335:$V$335=W$335),--($D862:$V862=1)),0)+SUM(W559)+IF(COUNTIF(W$641:W862,1)=1,5,0)+IF(COUNTIF($Z560:AA560,"&gt;"&amp;0)&gt;5,IF(MOD(COUNTIF(W$641:W862,1),7)=0,$C$4,0),0)</f>
        <v>80.3425695255331</v>
      </c>
      <c r="X560" s="81" cm="1">
        <f ca="1" t="array" ref="X560">IF(X862=1,OFFSET($Z$338,$B560,X$335-1)/SUMPRODUCT(--($D$335:$V$335=X$335),--($D862:$V862=1)),0)+SUM(X559)+IF(COUNTIF(X$641:X862,1)=1,5,0)+IF(COUNTIF($Z560:AB560,"&gt;"&amp;0)&gt;5,IF(MOD(COUNTIF(X$641:X862,1),7)=0,$C$4,0),0)</f>
        <v>73.5789092348996</v>
      </c>
      <c r="Y560" s="81" cm="1">
        <f ca="1" t="array" ref="Y560">IF(Y862=1,OFFSET($Z$338,$B560,Y$335-1)/SUMPRODUCT(--($D$335:$V$335=Y$335),--($D862:$V862=1)),0)+SUM(Y559)+IF(COUNTIF(Y$641:Y862,1)=1,5,0)+IF(COUNTIF($Z560:AC560,"&gt;"&amp;0)&gt;5,IF(MOD(COUNTIF(Y$641:Y862,1),7)=0,$C$4,0),0)</f>
        <v>66.8152489442662</v>
      </c>
      <c r="Z560" s="82" cm="1">
        <f ca="1" t="array" ref="Z560">SUMPRODUCT(TRANSPOSE($AD560:$AJ560),OFFSET($L$10:$L$16,0,Z$335-1))</f>
        <v>0</v>
      </c>
      <c r="AA560" s="82" cm="1">
        <f ca="1" t="array" ref="AA560">SUMPRODUCT(TRANSPOSE($AD560:$AJ560),OFFSET($L$10:$L$16,0,AA$335-1))</f>
        <v>0</v>
      </c>
      <c r="AB560" s="82" cm="1">
        <f ca="1" t="array" ref="AB560">SUMPRODUCT(TRANSPOSE($AD560:$AJ560),OFFSET($L$10:$L$16,0,AB$335-1))</f>
        <v>0</v>
      </c>
      <c r="AC560" s="82" cm="1">
        <f ca="1" t="array" ref="AC560">SUMPRODUCT(TRANSPOSE($AD560:$AJ560),OFFSET($L$10:$L$16,0,AC$335-1))</f>
        <v>0</v>
      </c>
      <c r="AD560" s="83">
        <f ca="1" t="shared" ref="AD560:AJ560" si="769">AK560-AK559</f>
        <v>0</v>
      </c>
      <c r="AE560" s="83">
        <f ca="1" t="shared" si="769"/>
        <v>0</v>
      </c>
      <c r="AF560" s="83">
        <f ca="1" t="shared" si="769"/>
        <v>0</v>
      </c>
      <c r="AG560" s="83">
        <f ca="1" t="shared" si="769"/>
        <v>0</v>
      </c>
      <c r="AH560" s="83">
        <f ca="1" t="shared" si="769"/>
        <v>0</v>
      </c>
      <c r="AI560" s="83">
        <f ca="1" t="shared" si="769"/>
        <v>0</v>
      </c>
      <c r="AJ560" s="83">
        <f ca="1" t="shared" si="769"/>
        <v>0</v>
      </c>
      <c r="AK560" s="83">
        <f ca="1" t="shared" si="711"/>
        <v>450</v>
      </c>
      <c r="AL560" s="83">
        <f ca="1" t="shared" ref="AL560:AQ560" si="770">IF($C560&gt;OFFSET($Q$9,MATCH(AL$338,$AK$338:$AQ$338,0),0),OFFSET($P$9,MATCH(AL$338,$AK$338:$AQ$338,0),0),MAX(0,$C560-OFFSET($Q$9,RIGHT(AL$338,1)-1,0)))</f>
        <v>909</v>
      </c>
      <c r="AM560" s="83">
        <f ca="1" t="shared" si="770"/>
        <v>1818</v>
      </c>
      <c r="AN560" s="83">
        <f ca="1" t="shared" si="770"/>
        <v>2727</v>
      </c>
      <c r="AO560" s="83">
        <f ca="1" t="shared" si="770"/>
        <v>3636</v>
      </c>
      <c r="AP560" s="83">
        <f ca="1" t="shared" si="770"/>
        <v>4545</v>
      </c>
      <c r="AQ560" s="83">
        <f ca="1" t="shared" si="770"/>
        <v>0</v>
      </c>
    </row>
    <row r="561" ht="16.5" spans="2:43">
      <c r="B561" s="65">
        <v>223</v>
      </c>
      <c r="C561" s="80">
        <f t="shared" si="709"/>
        <v>25856</v>
      </c>
      <c r="D561" s="81" cm="1">
        <f ca="1" t="array" ref="D561">IF(D863=1,OFFSET($Z$338,$B561,D$335-1)/SUMPRODUCT(--($D$335:$V$335=D$335),--($D863:$V863=1)),0)+SUM(D560)+IF(COUNTIF(D$641:D863,1)=1,5,0)+IF(COUNTIF(E561:$Z561,"&gt;"&amp;0)&gt;5,IF(MOD(COUNTIF(D$641:D863,1),7)=0,$C$4,0),0)</f>
        <v>1273.82134856666</v>
      </c>
      <c r="E561" s="81" cm="1">
        <f ca="1" t="array" ref="E561">IF(E863=1,OFFSET($Z$338,$B561,E$335-1)/SUMPRODUCT(--($D$335:$V$335=E$335),--($D863:$V863=1)),0)+SUM(E560)+IF(COUNTIF(E$641:E863,1)=1,5,0)+IF(COUNTIF(F561:$Z561,"&gt;"&amp;0)&gt;5,IF(MOD(COUNTIF(E$641:E863,1),7)=0,$C$4,0),0)</f>
        <v>1273.82134856666</v>
      </c>
      <c r="F561" s="81" cm="1">
        <f ca="1" t="array" ref="F561">IF(F863=1,OFFSET($Z$338,$B561,F$335-1)/SUMPRODUCT(--($D$335:$V$335=F$335),--($D863:$V863=1)),0)+SUM(F560)+IF(COUNTIF(F$641:F863,1)=1,5,0)+IF(COUNTIF(G561:$Z561,"&gt;"&amp;0)&gt;5,IF(MOD(COUNTIF(F$641:F863,1),7)=0,$C$4,0),0)</f>
        <v>1273.82134856666</v>
      </c>
      <c r="G561" s="81" cm="1">
        <f ca="1" t="array" ref="G561">IF(G863=1,OFFSET($Z$338,$B561,G$335-1)/SUMPRODUCT(--($D$335:$V$335=G$335),--($D863:$V863=1)),0)+SUM(G560)+IF(COUNTIF(G$641:G863,1)=1,5,0)+IF(COUNTIF(H561:$Z561,"&gt;"&amp;0)&gt;5,IF(MOD(COUNTIF(G$641:G863,1),7)=0,$C$4,0),0)</f>
        <v>562.516666666668</v>
      </c>
      <c r="H561" s="81" cm="1">
        <f ca="1" t="array" ref="H561">IF(H863=1,OFFSET($Z$338,$B561,H$335-1)/SUMPRODUCT(--($D$335:$V$335=H$335),--($D863:$V863=1)),0)+SUM(H560)+IF(COUNTIF(H$641:H863,1)=1,5,0)+IF(COUNTIF(I561:$Z561,"&gt;"&amp;0)&gt;5,IF(MOD(COUNTIF(H$641:H863,1),7)=0,$C$4,0),0)</f>
        <v>562.516666666668</v>
      </c>
      <c r="I561" s="81" cm="1">
        <f ca="1" t="array" ref="I561">IF(I863=1,OFFSET($Z$338,$B561,I$335-1)/SUMPRODUCT(--($D$335:$V$335=I$335),--($D863:$V863=1)),0)+SUM(I560)+IF(COUNTIF(I$641:I863,1)=1,5,0)+IF(COUNTIF(J561:$Z561,"&gt;"&amp;0)&gt;5,IF(MOD(COUNTIF(I$641:I863,1),7)=0,$C$4,0),0)</f>
        <v>562.516666666668</v>
      </c>
      <c r="J561" s="81" cm="1">
        <f ca="1" t="array" ref="J561">IF(J863=1,OFFSET($Z$338,$B561,J$335-1)/SUMPRODUCT(--($D$335:$V$335=J$335),--($D863:$V863=1)),0)+SUM(J560)+IF(COUNTIF(J$641:J863,1)=1,5,0)+IF(COUNTIF(K561:$Z561,"&gt;"&amp;0)&gt;5,IF(MOD(COUNTIF(J$641:J863,1),7)=0,$C$4,0),0)</f>
        <v>562.516666666668</v>
      </c>
      <c r="K561" s="81" cm="1">
        <f ca="1" t="array" ref="K561">IF(K863=1,OFFSET($Z$338,$B561,K$335-1)/SUMPRODUCT(--($D$335:$V$335=K$335),--($D863:$V863=1)),0)+SUM(K560)+IF(COUNTIF(K$641:K863,1)=1,5,0)+IF(COUNTIF(L561:$Z561,"&gt;"&amp;0)&gt;5,IF(MOD(COUNTIF(K$641:K863,1),7)=0,$C$4,0),0)</f>
        <v>562.516666666668</v>
      </c>
      <c r="L561" s="81" cm="1">
        <f ca="1" t="array" ref="L561">IF(L863=1,OFFSET($Z$338,$B561,L$335-1)/SUMPRODUCT(--($D$335:$V$335=L$335),--($D863:$V863=1)),0)+SUM(L560)+IF(COUNTIF(L$641:L863,1)=1,5,0)+IF(COUNTIF(M561:$Z561,"&gt;"&amp;0)&gt;5,IF(MOD(COUNTIF(L$641:L863,1),7)=0,$C$4,0),0)</f>
        <v>555.816666666668</v>
      </c>
      <c r="M561" s="81" cm="1">
        <f ca="1" t="array" ref="M561">IF(M863=1,OFFSET($Z$338,$B561,M$335-1)/SUMPRODUCT(--($D$335:$V$335=M$335),--($D863:$V863=1)),0)+SUM(M560)+IF(COUNTIF(M$641:M863,1)=1,5,0)+IF(COUNTIF(N561:$Z561,"&gt;"&amp;0)&gt;5,IF(MOD(COUNTIF(M$641:M863,1),7)=0,$C$4,0),0)</f>
        <v>310.644107142858</v>
      </c>
      <c r="N561" s="81" cm="1">
        <f ca="1" t="array" ref="N561">IF(N863=1,OFFSET($Z$338,$B561,N$335-1)/SUMPRODUCT(--($D$335:$V$335=N$335),--($D863:$V863=1)),0)+SUM(N560)+IF(COUNTIF(N$641:N863,1)=1,5,0)+IF(COUNTIF(O561:$Z561,"&gt;"&amp;0)&gt;5,IF(MOD(COUNTIF(N$641:N863,1),7)=0,$C$4,0),0)</f>
        <v>302.919107142858</v>
      </c>
      <c r="O561" s="81" cm="1">
        <f ca="1" t="array" ref="O561">IF(O863=1,OFFSET($Z$338,$B561,O$335-1)/SUMPRODUCT(--($D$335:$V$335=O$335),--($D863:$V863=1)),0)+SUM(O560)+IF(COUNTIF(O$641:O863,1)=1,5,0)+IF(COUNTIF(P561:$Z561,"&gt;"&amp;0)&gt;5,IF(MOD(COUNTIF(O$641:O863,1),7)=0,$C$4,0),0)</f>
        <v>300.494107142858</v>
      </c>
      <c r="P561" s="81" cm="1">
        <f ca="1" t="array" ref="P561">IF(P863=1,OFFSET($Z$338,$B561,P$335-1)/SUMPRODUCT(--($D$335:$V$335=P$335),--($D863:$V863=1)),0)+SUM(P560)+IF(COUNTIF(P$641:P863,1)=1,5,0)+IF(COUNTIF(Q561:$Z561,"&gt;"&amp;0)&gt;5,IF(MOD(COUNTIF(P$641:P863,1),7)=0,$C$4,0),0)</f>
        <v>297.560773809524</v>
      </c>
      <c r="Q561" s="81" cm="1">
        <f ca="1" t="array" ref="Q561">IF(Q863=1,OFFSET($Z$338,$B561,Q$335-1)/SUMPRODUCT(--($D$335:$V$335=Q$335),--($D863:$V863=1)),0)+SUM(Q560)+IF(COUNTIF(Q$641:Q863,1)=1,5,0)+IF(COUNTIF(R561:$Z561,"&gt;"&amp;0)&gt;5,IF(MOD(COUNTIF(Q$641:Q863,1),7)=0,$C$4,0),0)</f>
        <v>296.654523809524</v>
      </c>
      <c r="R561" s="81" cm="1">
        <f ca="1" t="array" ref="R561">IF(R863=1,OFFSET($Z$338,$B561,R$335-1)/SUMPRODUCT(--($D$335:$V$335=R$335),--($D863:$V863=1)),0)+SUM(R560)+IF(COUNTIF(R$641:R863,1)=1,5,0)+IF(COUNTIF(S561:$Z561,"&gt;"&amp;0)&gt;5,IF(MOD(COUNTIF(R$641:R863,1),7)=0,$C$4,0),0)</f>
        <v>266.759523809524</v>
      </c>
      <c r="S561" s="81" cm="1">
        <f ca="1" t="array" ref="S561">IF(S863=1,OFFSET($Z$338,$B561,S$335-1)/SUMPRODUCT(--($D$335:$V$335=S$335),--($D863:$V863=1)),0)+SUM(S560)+IF(COUNTIF(S$641:S863,1)=1,5,0)+IF(COUNTIF(T561:$Z561,"&gt;"&amp;0)&gt;5,IF(MOD(COUNTIF(S$641:S863,1),7)=0,$C$4,0),0)</f>
        <v>262.592857142857</v>
      </c>
      <c r="T561" s="81" cm="1">
        <f ca="1" t="array" ref="T561">IF(T863=1,OFFSET($Z$338,$B561,T$335-1)/SUMPRODUCT(--($D$335:$V$335=T$335),--($D863:$V863=1)),0)+SUM(T560)+IF(COUNTIF(T$641:T863,1)=1,5,0)+IF(COUNTIF(U561:$Z561,"&gt;"&amp;0)&gt;5,IF(MOD(COUNTIF(T$641:T863,1),7)=0,$C$4,0),0)</f>
        <v>137.656257829764</v>
      </c>
      <c r="U561" s="81" cm="1">
        <f ca="1" t="array" ref="U561">IF(U863=1,OFFSET($Z$338,$B561,U$335-1)/SUMPRODUCT(--($D$335:$V$335=U$335),--($D863:$V863=1)),0)+SUM(U560)+IF(COUNTIF(U$641:U863,1)=1,5,0)+IF(COUNTIF(V561:$Z561,"&gt;"&amp;0)&gt;5,IF(MOD(COUNTIF(U$641:U863,1),7)=0,$C$4,0),0)</f>
        <v>97.6562578297643</v>
      </c>
      <c r="V561" s="81" cm="1">
        <f ca="1" t="array" ref="V561">IF(V863=1,OFFSET($Z$338,$B561,V$335-1)/SUMPRODUCT(--($D$335:$V$335=V$335),--($D863:$V863=1)),0)+SUM(V560)+IF(COUNTIF(V$641:V863,1)=1,5,0)+IF(COUNTIF(Z561:$Z561,"&gt;"&amp;0)&gt;5,IF(MOD(COUNTIF(V$641:V863,1),7)=0,$C$4,0),0)</f>
        <v>89.6984386404824</v>
      </c>
      <c r="W561" s="81" cm="1">
        <f ca="1" t="array" ref="W561">IF(W863=1,OFFSET($Z$338,$B561,W$335-1)/SUMPRODUCT(--($D$335:$V$335=W$335),--($D863:$V863=1)),0)+SUM(W560)+IF(COUNTIF(W$641:W863,1)=1,5,0)+IF(COUNTIF($Z561:AA561,"&gt;"&amp;0)&gt;5,IF(MOD(COUNTIF(W$641:W863,1),7)=0,$C$4,0),0)</f>
        <v>80.3425695255331</v>
      </c>
      <c r="X561" s="81" cm="1">
        <f ca="1" t="array" ref="X561">IF(X863=1,OFFSET($Z$338,$B561,X$335-1)/SUMPRODUCT(--($D$335:$V$335=X$335),--($D863:$V863=1)),0)+SUM(X560)+IF(COUNTIF(X$641:X863,1)=1,5,0)+IF(COUNTIF($Z561:AB561,"&gt;"&amp;0)&gt;5,IF(MOD(COUNTIF(X$641:X863,1),7)=0,$C$4,0),0)</f>
        <v>73.5789092348996</v>
      </c>
      <c r="Y561" s="81" cm="1">
        <f ca="1" t="array" ref="Y561">IF(Y863=1,OFFSET($Z$338,$B561,Y$335-1)/SUMPRODUCT(--($D$335:$V$335=Y$335),--($D863:$V863=1)),0)+SUM(Y560)+IF(COUNTIF(Y$641:Y863,1)=1,5,0)+IF(COUNTIF($Z561:AC561,"&gt;"&amp;0)&gt;5,IF(MOD(COUNTIF(Y$641:Y863,1),7)=0,$C$4,0),0)</f>
        <v>66.8152489442662</v>
      </c>
      <c r="Z561" s="82" cm="1">
        <f ca="1" t="array" ref="Z561">SUMPRODUCT(TRANSPOSE($AD561:$AJ561),OFFSET($L$10:$L$16,0,Z$335-1))</f>
        <v>0</v>
      </c>
      <c r="AA561" s="82" cm="1">
        <f ca="1" t="array" ref="AA561">SUMPRODUCT(TRANSPOSE($AD561:$AJ561),OFFSET($L$10:$L$16,0,AA$335-1))</f>
        <v>0</v>
      </c>
      <c r="AB561" s="82" cm="1">
        <f ca="1" t="array" ref="AB561">SUMPRODUCT(TRANSPOSE($AD561:$AJ561),OFFSET($L$10:$L$16,0,AB$335-1))</f>
        <v>0</v>
      </c>
      <c r="AC561" s="82" cm="1">
        <f ca="1" t="array" ref="AC561">SUMPRODUCT(TRANSPOSE($AD561:$AJ561),OFFSET($L$10:$L$16,0,AC$335-1))</f>
        <v>0</v>
      </c>
      <c r="AD561" s="83">
        <f ca="1" t="shared" ref="AD561:AJ561" si="771">AK561-AK560</f>
        <v>0</v>
      </c>
      <c r="AE561" s="83">
        <f ca="1" t="shared" si="771"/>
        <v>0</v>
      </c>
      <c r="AF561" s="83">
        <f ca="1" t="shared" si="771"/>
        <v>0</v>
      </c>
      <c r="AG561" s="83">
        <f ca="1" t="shared" si="771"/>
        <v>0</v>
      </c>
      <c r="AH561" s="83">
        <f ca="1" t="shared" si="771"/>
        <v>0</v>
      </c>
      <c r="AI561" s="83">
        <f ca="1" t="shared" si="771"/>
        <v>0</v>
      </c>
      <c r="AJ561" s="83">
        <f ca="1" t="shared" si="771"/>
        <v>0</v>
      </c>
      <c r="AK561" s="83">
        <f ca="1" t="shared" si="711"/>
        <v>450</v>
      </c>
      <c r="AL561" s="83">
        <f ca="1" t="shared" ref="AL561:AQ561" si="772">IF($C561&gt;OFFSET($Q$9,MATCH(AL$338,$AK$338:$AQ$338,0),0),OFFSET($P$9,MATCH(AL$338,$AK$338:$AQ$338,0),0),MAX(0,$C561-OFFSET($Q$9,RIGHT(AL$338,1)-1,0)))</f>
        <v>909</v>
      </c>
      <c r="AM561" s="83">
        <f ca="1" t="shared" si="772"/>
        <v>1818</v>
      </c>
      <c r="AN561" s="83">
        <f ca="1" t="shared" si="772"/>
        <v>2727</v>
      </c>
      <c r="AO561" s="83">
        <f ca="1" t="shared" si="772"/>
        <v>3636</v>
      </c>
      <c r="AP561" s="83">
        <f ca="1" t="shared" si="772"/>
        <v>4545</v>
      </c>
      <c r="AQ561" s="83">
        <f ca="1" t="shared" si="772"/>
        <v>0</v>
      </c>
    </row>
    <row r="562" ht="16.5" spans="2:43">
      <c r="B562" s="65">
        <v>224</v>
      </c>
      <c r="C562" s="80">
        <f t="shared" si="709"/>
        <v>25966</v>
      </c>
      <c r="D562" s="81" cm="1">
        <f ca="1" t="array" ref="D562">IF(D864=1,OFFSET($Z$338,$B562,D$335-1)/SUMPRODUCT(--($D$335:$V$335=D$335),--($D864:$V864=1)),0)+SUM(D561)+IF(COUNTIF(D$641:D864,1)=1,5,0)+IF(COUNTIF(E562:$Z562,"&gt;"&amp;0)&gt;5,IF(MOD(COUNTIF(D$641:D864,1),7)=0,$C$4,0),0)</f>
        <v>1278.82134856666</v>
      </c>
      <c r="E562" s="81" cm="1">
        <f ca="1" t="array" ref="E562">IF(E864=1,OFFSET($Z$338,$B562,E$335-1)/SUMPRODUCT(--($D$335:$V$335=E$335),--($D864:$V864=1)),0)+SUM(E561)+IF(COUNTIF(E$641:E864,1)=1,5,0)+IF(COUNTIF(F562:$Z562,"&gt;"&amp;0)&gt;5,IF(MOD(COUNTIF(E$641:E864,1),7)=0,$C$4,0),0)</f>
        <v>1278.82134856666</v>
      </c>
      <c r="F562" s="81" cm="1">
        <f ca="1" t="array" ref="F562">IF(F864=1,OFFSET($Z$338,$B562,F$335-1)/SUMPRODUCT(--($D$335:$V$335=F$335),--($D864:$V864=1)),0)+SUM(F561)+IF(COUNTIF(F$641:F864,1)=1,5,0)+IF(COUNTIF(G562:$Z562,"&gt;"&amp;0)&gt;5,IF(MOD(COUNTIF(F$641:F864,1),7)=0,$C$4,0),0)</f>
        <v>1278.82134856666</v>
      </c>
      <c r="G562" s="81" cm="1">
        <f ca="1" t="array" ref="G562">IF(G864=1,OFFSET($Z$338,$B562,G$335-1)/SUMPRODUCT(--($D$335:$V$335=G$335),--($D864:$V864=1)),0)+SUM(G561)+IF(COUNTIF(G$641:G864,1)=1,5,0)+IF(COUNTIF(H562:$Z562,"&gt;"&amp;0)&gt;5,IF(MOD(COUNTIF(G$641:G864,1),7)=0,$C$4,0),0)</f>
        <v>567.516666666668</v>
      </c>
      <c r="H562" s="81" cm="1">
        <f ca="1" t="array" ref="H562">IF(H864=1,OFFSET($Z$338,$B562,H$335-1)/SUMPRODUCT(--($D$335:$V$335=H$335),--($D864:$V864=1)),0)+SUM(H561)+IF(COUNTIF(H$641:H864,1)=1,5,0)+IF(COUNTIF(I562:$Z562,"&gt;"&amp;0)&gt;5,IF(MOD(COUNTIF(H$641:H864,1),7)=0,$C$4,0),0)</f>
        <v>567.516666666668</v>
      </c>
      <c r="I562" s="81" cm="1">
        <f ca="1" t="array" ref="I562">IF(I864=1,OFFSET($Z$338,$B562,I$335-1)/SUMPRODUCT(--($D$335:$V$335=I$335),--($D864:$V864=1)),0)+SUM(I561)+IF(COUNTIF(I$641:I864,1)=1,5,0)+IF(COUNTIF(J562:$Z562,"&gt;"&amp;0)&gt;5,IF(MOD(COUNTIF(I$641:I864,1),7)=0,$C$4,0),0)</f>
        <v>567.516666666668</v>
      </c>
      <c r="J562" s="81" cm="1">
        <f ca="1" t="array" ref="J562">IF(J864=1,OFFSET($Z$338,$B562,J$335-1)/SUMPRODUCT(--($D$335:$V$335=J$335),--($D864:$V864=1)),0)+SUM(J561)+IF(COUNTIF(J$641:J864,1)=1,5,0)+IF(COUNTIF(K562:$Z562,"&gt;"&amp;0)&gt;5,IF(MOD(COUNTIF(J$641:J864,1),7)=0,$C$4,0),0)</f>
        <v>567.516666666668</v>
      </c>
      <c r="K562" s="81" cm="1">
        <f ca="1" t="array" ref="K562">IF(K864=1,OFFSET($Z$338,$B562,K$335-1)/SUMPRODUCT(--($D$335:$V$335=K$335),--($D864:$V864=1)),0)+SUM(K561)+IF(COUNTIF(K$641:K864,1)=1,5,0)+IF(COUNTIF(L562:$Z562,"&gt;"&amp;0)&gt;5,IF(MOD(COUNTIF(K$641:K864,1),7)=0,$C$4,0),0)</f>
        <v>567.516666666668</v>
      </c>
      <c r="L562" s="81" cm="1">
        <f ca="1" t="array" ref="L562">IF(L864=1,OFFSET($Z$338,$B562,L$335-1)/SUMPRODUCT(--($D$335:$V$335=L$335),--($D864:$V864=1)),0)+SUM(L561)+IF(COUNTIF(L$641:L864,1)=1,5,0)+IF(COUNTIF(M562:$Z562,"&gt;"&amp;0)&gt;5,IF(MOD(COUNTIF(L$641:L864,1),7)=0,$C$4,0),0)</f>
        <v>555.816666666668</v>
      </c>
      <c r="M562" s="81" cm="1">
        <f ca="1" t="array" ref="M562">IF(M864=1,OFFSET($Z$338,$B562,M$335-1)/SUMPRODUCT(--($D$335:$V$335=M$335),--($D864:$V864=1)),0)+SUM(M561)+IF(COUNTIF(M$641:M864,1)=1,5,0)+IF(COUNTIF(N562:$Z562,"&gt;"&amp;0)&gt;5,IF(MOD(COUNTIF(M$641:M864,1),7)=0,$C$4,0),0)</f>
        <v>310.644107142858</v>
      </c>
      <c r="N562" s="81" cm="1">
        <f ca="1" t="array" ref="N562">IF(N864=1,OFFSET($Z$338,$B562,N$335-1)/SUMPRODUCT(--($D$335:$V$335=N$335),--($D864:$V864=1)),0)+SUM(N561)+IF(COUNTIF(N$641:N864,1)=1,5,0)+IF(COUNTIF(O562:$Z562,"&gt;"&amp;0)&gt;5,IF(MOD(COUNTIF(N$641:N864,1),7)=0,$C$4,0),0)</f>
        <v>302.919107142858</v>
      </c>
      <c r="O562" s="81" cm="1">
        <f ca="1" t="array" ref="O562">IF(O864=1,OFFSET($Z$338,$B562,O$335-1)/SUMPRODUCT(--($D$335:$V$335=O$335),--($D864:$V864=1)),0)+SUM(O561)+IF(COUNTIF(O$641:O864,1)=1,5,0)+IF(COUNTIF(P562:$Z562,"&gt;"&amp;0)&gt;5,IF(MOD(COUNTIF(O$641:O864,1),7)=0,$C$4,0),0)</f>
        <v>300.494107142858</v>
      </c>
      <c r="P562" s="81" cm="1">
        <f ca="1" t="array" ref="P562">IF(P864=1,OFFSET($Z$338,$B562,P$335-1)/SUMPRODUCT(--($D$335:$V$335=P$335),--($D864:$V864=1)),0)+SUM(P561)+IF(COUNTIF(P$641:P864,1)=1,5,0)+IF(COUNTIF(Q562:$Z562,"&gt;"&amp;0)&gt;5,IF(MOD(COUNTIF(P$641:P864,1),7)=0,$C$4,0),0)</f>
        <v>297.560773809524</v>
      </c>
      <c r="Q562" s="81" cm="1">
        <f ca="1" t="array" ref="Q562">IF(Q864=1,OFFSET($Z$338,$B562,Q$335-1)/SUMPRODUCT(--($D$335:$V$335=Q$335),--($D864:$V864=1)),0)+SUM(Q561)+IF(COUNTIF(Q$641:Q864,1)=1,5,0)+IF(COUNTIF(R562:$Z562,"&gt;"&amp;0)&gt;5,IF(MOD(COUNTIF(Q$641:Q864,1),7)=0,$C$4,0),0)</f>
        <v>296.654523809524</v>
      </c>
      <c r="R562" s="81" cm="1">
        <f ca="1" t="array" ref="R562">IF(R864=1,OFFSET($Z$338,$B562,R$335-1)/SUMPRODUCT(--($D$335:$V$335=R$335),--($D864:$V864=1)),0)+SUM(R561)+IF(COUNTIF(R$641:R864,1)=1,5,0)+IF(COUNTIF(S562:$Z562,"&gt;"&amp;0)&gt;5,IF(MOD(COUNTIF(R$641:R864,1),7)=0,$C$4,0),0)</f>
        <v>271.759523809524</v>
      </c>
      <c r="S562" s="81" cm="1">
        <f ca="1" t="array" ref="S562">IF(S864=1,OFFSET($Z$338,$B562,S$335-1)/SUMPRODUCT(--($D$335:$V$335=S$335),--($D864:$V864=1)),0)+SUM(S561)+IF(COUNTIF(S$641:S864,1)=1,5,0)+IF(COUNTIF(T562:$Z562,"&gt;"&amp;0)&gt;5,IF(MOD(COUNTIF(S$641:S864,1),7)=0,$C$4,0),0)</f>
        <v>262.592857142857</v>
      </c>
      <c r="T562" s="81" cm="1">
        <f ca="1" t="array" ref="T562">IF(T864=1,OFFSET($Z$338,$B562,T$335-1)/SUMPRODUCT(--($D$335:$V$335=T$335),--($D864:$V864=1)),0)+SUM(T561)+IF(COUNTIF(T$641:T864,1)=1,5,0)+IF(COUNTIF(U562:$Z562,"&gt;"&amp;0)&gt;5,IF(MOD(COUNTIF(T$641:T864,1),7)=0,$C$4,0),0)</f>
        <v>137.656257829764</v>
      </c>
      <c r="U562" s="81" cm="1">
        <f ca="1" t="array" ref="U562">IF(U864=1,OFFSET($Z$338,$B562,U$335-1)/SUMPRODUCT(--($D$335:$V$335=U$335),--($D864:$V864=1)),0)+SUM(U561)+IF(COUNTIF(U$641:U864,1)=1,5,0)+IF(COUNTIF(V562:$Z562,"&gt;"&amp;0)&gt;5,IF(MOD(COUNTIF(U$641:U864,1),7)=0,$C$4,0),0)</f>
        <v>97.6562578297643</v>
      </c>
      <c r="V562" s="81" cm="1">
        <f ca="1" t="array" ref="V562">IF(V864=1,OFFSET($Z$338,$B562,V$335-1)/SUMPRODUCT(--($D$335:$V$335=V$335),--($D864:$V864=1)),0)+SUM(V561)+IF(COUNTIF(V$641:V864,1)=1,5,0)+IF(COUNTIF(Z562:$Z562,"&gt;"&amp;0)&gt;5,IF(MOD(COUNTIF(V$641:V864,1),7)=0,$C$4,0),0)</f>
        <v>89.6984386404824</v>
      </c>
      <c r="W562" s="81" cm="1">
        <f ca="1" t="array" ref="W562">IF(W864=1,OFFSET($Z$338,$B562,W$335-1)/SUMPRODUCT(--($D$335:$V$335=W$335),--($D864:$V864=1)),0)+SUM(W561)+IF(COUNTIF(W$641:W864,1)=1,5,0)+IF(COUNTIF($Z562:AA562,"&gt;"&amp;0)&gt;5,IF(MOD(COUNTIF(W$641:W864,1),7)=0,$C$4,0),0)</f>
        <v>80.3425695255331</v>
      </c>
      <c r="X562" s="81" cm="1">
        <f ca="1" t="array" ref="X562">IF(X864=1,OFFSET($Z$338,$B562,X$335-1)/SUMPRODUCT(--($D$335:$V$335=X$335),--($D864:$V864=1)),0)+SUM(X561)+IF(COUNTIF(X$641:X864,1)=1,5,0)+IF(COUNTIF($Z562:AB562,"&gt;"&amp;0)&gt;5,IF(MOD(COUNTIF(X$641:X864,1),7)=0,$C$4,0),0)</f>
        <v>73.5789092348996</v>
      </c>
      <c r="Y562" s="81" cm="1">
        <f ca="1" t="array" ref="Y562">IF(Y864=1,OFFSET($Z$338,$B562,Y$335-1)/SUMPRODUCT(--($D$335:$V$335=Y$335),--($D864:$V864=1)),0)+SUM(Y561)+IF(COUNTIF(Y$641:Y864,1)=1,5,0)+IF(COUNTIF($Z562:AC562,"&gt;"&amp;0)&gt;5,IF(MOD(COUNTIF(Y$641:Y864,1),7)=0,$C$4,0),0)</f>
        <v>66.8152489442662</v>
      </c>
      <c r="Z562" s="82" cm="1">
        <f ca="1" t="array" ref="Z562">SUMPRODUCT(TRANSPOSE($AD562:$AJ562),OFFSET($L$10:$L$16,0,Z$335-1))</f>
        <v>0</v>
      </c>
      <c r="AA562" s="82" cm="1">
        <f ca="1" t="array" ref="AA562">SUMPRODUCT(TRANSPOSE($AD562:$AJ562),OFFSET($L$10:$L$16,0,AA$335-1))</f>
        <v>0</v>
      </c>
      <c r="AB562" s="82" cm="1">
        <f ca="1" t="array" ref="AB562">SUMPRODUCT(TRANSPOSE($AD562:$AJ562),OFFSET($L$10:$L$16,0,AB$335-1))</f>
        <v>0</v>
      </c>
      <c r="AC562" s="82" cm="1">
        <f ca="1" t="array" ref="AC562">SUMPRODUCT(TRANSPOSE($AD562:$AJ562),OFFSET($L$10:$L$16,0,AC$335-1))</f>
        <v>0</v>
      </c>
      <c r="AD562" s="83">
        <f ca="1" t="shared" ref="AD562:AJ562" si="773">AK562-AK561</f>
        <v>0</v>
      </c>
      <c r="AE562" s="83">
        <f ca="1" t="shared" si="773"/>
        <v>0</v>
      </c>
      <c r="AF562" s="83">
        <f ca="1" t="shared" si="773"/>
        <v>0</v>
      </c>
      <c r="AG562" s="83">
        <f ca="1" t="shared" si="773"/>
        <v>0</v>
      </c>
      <c r="AH562" s="83">
        <f ca="1" t="shared" si="773"/>
        <v>0</v>
      </c>
      <c r="AI562" s="83">
        <f ca="1" t="shared" si="773"/>
        <v>0</v>
      </c>
      <c r="AJ562" s="83">
        <f ca="1" t="shared" si="773"/>
        <v>0</v>
      </c>
      <c r="AK562" s="83">
        <f ca="1" t="shared" si="711"/>
        <v>450</v>
      </c>
      <c r="AL562" s="83">
        <f ca="1" t="shared" ref="AL562:AQ562" si="774">IF($C562&gt;OFFSET($Q$9,MATCH(AL$338,$AK$338:$AQ$338,0),0),OFFSET($P$9,MATCH(AL$338,$AK$338:$AQ$338,0),0),MAX(0,$C562-OFFSET($Q$9,RIGHT(AL$338,1)-1,0)))</f>
        <v>909</v>
      </c>
      <c r="AM562" s="83">
        <f ca="1" t="shared" si="774"/>
        <v>1818</v>
      </c>
      <c r="AN562" s="83">
        <f ca="1" t="shared" si="774"/>
        <v>2727</v>
      </c>
      <c r="AO562" s="83">
        <f ca="1" t="shared" si="774"/>
        <v>3636</v>
      </c>
      <c r="AP562" s="83">
        <f ca="1" t="shared" si="774"/>
        <v>4545</v>
      </c>
      <c r="AQ562" s="83">
        <f ca="1" t="shared" si="774"/>
        <v>0</v>
      </c>
    </row>
    <row r="563" ht="16.5" spans="2:43">
      <c r="B563" s="65">
        <v>225</v>
      </c>
      <c r="C563" s="80">
        <f t="shared" si="709"/>
        <v>26076</v>
      </c>
      <c r="D563" s="81" cm="1">
        <f ca="1" t="array" ref="D563">IF(D865=1,OFFSET($Z$338,$B563,D$335-1)/SUMPRODUCT(--($D$335:$V$335=D$335),--($D865:$V865=1)),0)+SUM(D562)+IF(COUNTIF(D$641:D865,1)=1,5,0)+IF(COUNTIF(E563:$Z563,"&gt;"&amp;0)&gt;5,IF(MOD(COUNTIF(D$641:D865,1),7)=0,$C$4,0),0)</f>
        <v>1278.82134856666</v>
      </c>
      <c r="E563" s="81" cm="1">
        <f ca="1" t="array" ref="E563">IF(E865=1,OFFSET($Z$338,$B563,E$335-1)/SUMPRODUCT(--($D$335:$V$335=E$335),--($D865:$V865=1)),0)+SUM(E562)+IF(COUNTIF(E$641:E865,1)=1,5,0)+IF(COUNTIF(F563:$Z563,"&gt;"&amp;0)&gt;5,IF(MOD(COUNTIF(E$641:E865,1),7)=0,$C$4,0),0)</f>
        <v>1278.82134856666</v>
      </c>
      <c r="F563" s="81" cm="1">
        <f ca="1" t="array" ref="F563">IF(F865=1,OFFSET($Z$338,$B563,F$335-1)/SUMPRODUCT(--($D$335:$V$335=F$335),--($D865:$V865=1)),0)+SUM(F562)+IF(COUNTIF(F$641:F865,1)=1,5,0)+IF(COUNTIF(G563:$Z563,"&gt;"&amp;0)&gt;5,IF(MOD(COUNTIF(F$641:F865,1),7)=0,$C$4,0),0)</f>
        <v>1278.82134856666</v>
      </c>
      <c r="G563" s="81" cm="1">
        <f ca="1" t="array" ref="G563">IF(G865=1,OFFSET($Z$338,$B563,G$335-1)/SUMPRODUCT(--($D$335:$V$335=G$335),--($D865:$V865=1)),0)+SUM(G562)+IF(COUNTIF(G$641:G865,1)=1,5,0)+IF(COUNTIF(H563:$Z563,"&gt;"&amp;0)&gt;5,IF(MOD(COUNTIF(G$641:G865,1),7)=0,$C$4,0),0)</f>
        <v>567.516666666668</v>
      </c>
      <c r="H563" s="81" cm="1">
        <f ca="1" t="array" ref="H563">IF(H865=1,OFFSET($Z$338,$B563,H$335-1)/SUMPRODUCT(--($D$335:$V$335=H$335),--($D865:$V865=1)),0)+SUM(H562)+IF(COUNTIF(H$641:H865,1)=1,5,0)+IF(COUNTIF(I563:$Z563,"&gt;"&amp;0)&gt;5,IF(MOD(COUNTIF(H$641:H865,1),7)=0,$C$4,0),0)</f>
        <v>567.516666666668</v>
      </c>
      <c r="I563" s="81" cm="1">
        <f ca="1" t="array" ref="I563">IF(I865=1,OFFSET($Z$338,$B563,I$335-1)/SUMPRODUCT(--($D$335:$V$335=I$335),--($D865:$V865=1)),0)+SUM(I562)+IF(COUNTIF(I$641:I865,1)=1,5,0)+IF(COUNTIF(J563:$Z563,"&gt;"&amp;0)&gt;5,IF(MOD(COUNTIF(I$641:I865,1),7)=0,$C$4,0),0)</f>
        <v>567.516666666668</v>
      </c>
      <c r="J563" s="81" cm="1">
        <f ca="1" t="array" ref="J563">IF(J865=1,OFFSET($Z$338,$B563,J$335-1)/SUMPRODUCT(--($D$335:$V$335=J$335),--($D865:$V865=1)),0)+SUM(J562)+IF(COUNTIF(J$641:J865,1)=1,5,0)+IF(COUNTIF(K563:$Z563,"&gt;"&amp;0)&gt;5,IF(MOD(COUNTIF(J$641:J865,1),7)=0,$C$4,0),0)</f>
        <v>567.516666666668</v>
      </c>
      <c r="K563" s="81" cm="1">
        <f ca="1" t="array" ref="K563">IF(K865=1,OFFSET($Z$338,$B563,K$335-1)/SUMPRODUCT(--($D$335:$V$335=K$335),--($D865:$V865=1)),0)+SUM(K562)+IF(COUNTIF(K$641:K865,1)=1,5,0)+IF(COUNTIF(L563:$Z563,"&gt;"&amp;0)&gt;5,IF(MOD(COUNTIF(K$641:K865,1),7)=0,$C$4,0),0)</f>
        <v>567.516666666668</v>
      </c>
      <c r="L563" s="81" cm="1">
        <f ca="1" t="array" ref="L563">IF(L865=1,OFFSET($Z$338,$B563,L$335-1)/SUMPRODUCT(--($D$335:$V$335=L$335),--($D865:$V865=1)),0)+SUM(L562)+IF(COUNTIF(L$641:L865,1)=1,5,0)+IF(COUNTIF(M563:$Z563,"&gt;"&amp;0)&gt;5,IF(MOD(COUNTIF(L$641:L865,1),7)=0,$C$4,0),0)</f>
        <v>560.816666666668</v>
      </c>
      <c r="M563" s="81" cm="1">
        <f ca="1" t="array" ref="M563">IF(M865=1,OFFSET($Z$338,$B563,M$335-1)/SUMPRODUCT(--($D$335:$V$335=M$335),--($D865:$V865=1)),0)+SUM(M562)+IF(COUNTIF(M$641:M865,1)=1,5,0)+IF(COUNTIF(N563:$Z563,"&gt;"&amp;0)&gt;5,IF(MOD(COUNTIF(M$641:M865,1),7)=0,$C$4,0),0)</f>
        <v>315.644107142858</v>
      </c>
      <c r="N563" s="81" cm="1">
        <f ca="1" t="array" ref="N563">IF(N865=1,OFFSET($Z$338,$B563,N$335-1)/SUMPRODUCT(--($D$335:$V$335=N$335),--($D865:$V865=1)),0)+SUM(N562)+IF(COUNTIF(N$641:N865,1)=1,5,0)+IF(COUNTIF(O563:$Z563,"&gt;"&amp;0)&gt;5,IF(MOD(COUNTIF(N$641:N865,1),7)=0,$C$4,0),0)</f>
        <v>302.919107142858</v>
      </c>
      <c r="O563" s="81" cm="1">
        <f ca="1" t="array" ref="O563">IF(O865=1,OFFSET($Z$338,$B563,O$335-1)/SUMPRODUCT(--($D$335:$V$335=O$335),--($D865:$V865=1)),0)+SUM(O562)+IF(COUNTIF(O$641:O865,1)=1,5,0)+IF(COUNTIF(P563:$Z563,"&gt;"&amp;0)&gt;5,IF(MOD(COUNTIF(O$641:O865,1),7)=0,$C$4,0),0)</f>
        <v>300.494107142858</v>
      </c>
      <c r="P563" s="81" cm="1">
        <f ca="1" t="array" ref="P563">IF(P865=1,OFFSET($Z$338,$B563,P$335-1)/SUMPRODUCT(--($D$335:$V$335=P$335),--($D865:$V865=1)),0)+SUM(P562)+IF(COUNTIF(P$641:P865,1)=1,5,0)+IF(COUNTIF(Q563:$Z563,"&gt;"&amp;0)&gt;5,IF(MOD(COUNTIF(P$641:P865,1),7)=0,$C$4,0),0)</f>
        <v>297.560773809524</v>
      </c>
      <c r="Q563" s="81" cm="1">
        <f ca="1" t="array" ref="Q563">IF(Q865=1,OFFSET($Z$338,$B563,Q$335-1)/SUMPRODUCT(--($D$335:$V$335=Q$335),--($D865:$V865=1)),0)+SUM(Q562)+IF(COUNTIF(Q$641:Q865,1)=1,5,0)+IF(COUNTIF(R563:$Z563,"&gt;"&amp;0)&gt;5,IF(MOD(COUNTIF(Q$641:Q865,1),7)=0,$C$4,0),0)</f>
        <v>296.654523809524</v>
      </c>
      <c r="R563" s="81" cm="1">
        <f ca="1" t="array" ref="R563">IF(R865=1,OFFSET($Z$338,$B563,R$335-1)/SUMPRODUCT(--($D$335:$V$335=R$335),--($D865:$V865=1)),0)+SUM(R562)+IF(COUNTIF(R$641:R865,1)=1,5,0)+IF(COUNTIF(S563:$Z563,"&gt;"&amp;0)&gt;5,IF(MOD(COUNTIF(R$641:R865,1),7)=0,$C$4,0),0)</f>
        <v>271.759523809524</v>
      </c>
      <c r="S563" s="81" cm="1">
        <f ca="1" t="array" ref="S563">IF(S865=1,OFFSET($Z$338,$B563,S$335-1)/SUMPRODUCT(--($D$335:$V$335=S$335),--($D865:$V865=1)),0)+SUM(S562)+IF(COUNTIF(S$641:S865,1)=1,5,0)+IF(COUNTIF(T563:$Z563,"&gt;"&amp;0)&gt;5,IF(MOD(COUNTIF(S$641:S865,1),7)=0,$C$4,0),0)</f>
        <v>262.592857142857</v>
      </c>
      <c r="T563" s="81" cm="1">
        <f ca="1" t="array" ref="T563">IF(T865=1,OFFSET($Z$338,$B563,T$335-1)/SUMPRODUCT(--($D$335:$V$335=T$335),--($D865:$V865=1)),0)+SUM(T562)+IF(COUNTIF(T$641:T865,1)=1,5,0)+IF(COUNTIF(U563:$Z563,"&gt;"&amp;0)&gt;5,IF(MOD(COUNTIF(T$641:T865,1),7)=0,$C$4,0),0)</f>
        <v>137.656257829764</v>
      </c>
      <c r="U563" s="81" cm="1">
        <f ca="1" t="array" ref="U563">IF(U865=1,OFFSET($Z$338,$B563,U$335-1)/SUMPRODUCT(--($D$335:$V$335=U$335),--($D865:$V865=1)),0)+SUM(U562)+IF(COUNTIF(U$641:U865,1)=1,5,0)+IF(COUNTIF(V563:$Z563,"&gt;"&amp;0)&gt;5,IF(MOD(COUNTIF(U$641:U865,1),7)=0,$C$4,0),0)</f>
        <v>97.6562578297643</v>
      </c>
      <c r="V563" s="81" cm="1">
        <f ca="1" t="array" ref="V563">IF(V865=1,OFFSET($Z$338,$B563,V$335-1)/SUMPRODUCT(--($D$335:$V$335=V$335),--($D865:$V865=1)),0)+SUM(V562)+IF(COUNTIF(V$641:V865,1)=1,5,0)+IF(COUNTIF(Z563:$Z563,"&gt;"&amp;0)&gt;5,IF(MOD(COUNTIF(V$641:V865,1),7)=0,$C$4,0),0)</f>
        <v>89.6984386404824</v>
      </c>
      <c r="W563" s="81" cm="1">
        <f ca="1" t="array" ref="W563">IF(W865=1,OFFSET($Z$338,$B563,W$335-1)/SUMPRODUCT(--($D$335:$V$335=W$335),--($D865:$V865=1)),0)+SUM(W562)+IF(COUNTIF(W$641:W865,1)=1,5,0)+IF(COUNTIF($Z563:AA563,"&gt;"&amp;0)&gt;5,IF(MOD(COUNTIF(W$641:W865,1),7)=0,$C$4,0),0)</f>
        <v>80.3425695255331</v>
      </c>
      <c r="X563" s="81" cm="1">
        <f ca="1" t="array" ref="X563">IF(X865=1,OFFSET($Z$338,$B563,X$335-1)/SUMPRODUCT(--($D$335:$V$335=X$335),--($D865:$V865=1)),0)+SUM(X562)+IF(COUNTIF(X$641:X865,1)=1,5,0)+IF(COUNTIF($Z563:AB563,"&gt;"&amp;0)&gt;5,IF(MOD(COUNTIF(X$641:X865,1),7)=0,$C$4,0),0)</f>
        <v>73.5789092348996</v>
      </c>
      <c r="Y563" s="81" cm="1">
        <f ca="1" t="array" ref="Y563">IF(Y865=1,OFFSET($Z$338,$B563,Y$335-1)/SUMPRODUCT(--($D$335:$V$335=Y$335),--($D865:$V865=1)),0)+SUM(Y562)+IF(COUNTIF(Y$641:Y865,1)=1,5,0)+IF(COUNTIF($Z563:AC563,"&gt;"&amp;0)&gt;5,IF(MOD(COUNTIF(Y$641:Y865,1),7)=0,$C$4,0),0)</f>
        <v>66.8152489442662</v>
      </c>
      <c r="Z563" s="82" cm="1">
        <f ca="1" t="array" ref="Z563">SUMPRODUCT(TRANSPOSE($AD563:$AJ563),OFFSET($L$10:$L$16,0,Z$335-1))</f>
        <v>0</v>
      </c>
      <c r="AA563" s="82" cm="1">
        <f ca="1" t="array" ref="AA563">SUMPRODUCT(TRANSPOSE($AD563:$AJ563),OFFSET($L$10:$L$16,0,AA$335-1))</f>
        <v>0</v>
      </c>
      <c r="AB563" s="82" cm="1">
        <f ca="1" t="array" ref="AB563">SUMPRODUCT(TRANSPOSE($AD563:$AJ563),OFFSET($L$10:$L$16,0,AB$335-1))</f>
        <v>0</v>
      </c>
      <c r="AC563" s="82" cm="1">
        <f ca="1" t="array" ref="AC563">SUMPRODUCT(TRANSPOSE($AD563:$AJ563),OFFSET($L$10:$L$16,0,AC$335-1))</f>
        <v>0</v>
      </c>
      <c r="AD563" s="83">
        <f ca="1" t="shared" ref="AD563:AJ563" si="775">AK563-AK562</f>
        <v>0</v>
      </c>
      <c r="AE563" s="83">
        <f ca="1" t="shared" si="775"/>
        <v>0</v>
      </c>
      <c r="AF563" s="83">
        <f ca="1" t="shared" si="775"/>
        <v>0</v>
      </c>
      <c r="AG563" s="83">
        <f ca="1" t="shared" si="775"/>
        <v>0</v>
      </c>
      <c r="AH563" s="83">
        <f ca="1" t="shared" si="775"/>
        <v>0</v>
      </c>
      <c r="AI563" s="83">
        <f ca="1" t="shared" si="775"/>
        <v>0</v>
      </c>
      <c r="AJ563" s="83">
        <f ca="1" t="shared" si="775"/>
        <v>0</v>
      </c>
      <c r="AK563" s="83">
        <f ca="1" t="shared" si="711"/>
        <v>450</v>
      </c>
      <c r="AL563" s="83">
        <f ca="1" t="shared" ref="AL563:AQ563" si="776">IF($C563&gt;OFFSET($Q$9,MATCH(AL$338,$AK$338:$AQ$338,0),0),OFFSET($P$9,MATCH(AL$338,$AK$338:$AQ$338,0),0),MAX(0,$C563-OFFSET($Q$9,RIGHT(AL$338,1)-1,0)))</f>
        <v>909</v>
      </c>
      <c r="AM563" s="83">
        <f ca="1" t="shared" si="776"/>
        <v>1818</v>
      </c>
      <c r="AN563" s="83">
        <f ca="1" t="shared" si="776"/>
        <v>2727</v>
      </c>
      <c r="AO563" s="83">
        <f ca="1" t="shared" si="776"/>
        <v>3636</v>
      </c>
      <c r="AP563" s="83">
        <f ca="1" t="shared" si="776"/>
        <v>4545</v>
      </c>
      <c r="AQ563" s="83">
        <f ca="1" t="shared" si="776"/>
        <v>0</v>
      </c>
    </row>
    <row r="564" ht="16.5" spans="2:43">
      <c r="B564" s="65">
        <v>226</v>
      </c>
      <c r="C564" s="80">
        <f t="shared" si="709"/>
        <v>26186</v>
      </c>
      <c r="D564" s="81" cm="1">
        <f ca="1" t="array" ref="D564">IF(D866=1,OFFSET($Z$338,$B564,D$335-1)/SUMPRODUCT(--($D$335:$V$335=D$335),--($D866:$V866=1)),0)+SUM(D563)+IF(COUNTIF(D$641:D866,1)=1,5,0)+IF(COUNTIF(E564:$Z564,"&gt;"&amp;0)&gt;5,IF(MOD(COUNTIF(D$641:D866,1),7)=0,$C$4,0),0)</f>
        <v>1278.82134856666</v>
      </c>
      <c r="E564" s="81" cm="1">
        <f ca="1" t="array" ref="E564">IF(E866=1,OFFSET($Z$338,$B564,E$335-1)/SUMPRODUCT(--($D$335:$V$335=E$335),--($D866:$V866=1)),0)+SUM(E563)+IF(COUNTIF(E$641:E866,1)=1,5,0)+IF(COUNTIF(F564:$Z564,"&gt;"&amp;0)&gt;5,IF(MOD(COUNTIF(E$641:E866,1),7)=0,$C$4,0),0)</f>
        <v>1278.82134856666</v>
      </c>
      <c r="F564" s="81" cm="1">
        <f ca="1" t="array" ref="F564">IF(F866=1,OFFSET($Z$338,$B564,F$335-1)/SUMPRODUCT(--($D$335:$V$335=F$335),--($D866:$V866=1)),0)+SUM(F563)+IF(COUNTIF(F$641:F866,1)=1,5,0)+IF(COUNTIF(G564:$Z564,"&gt;"&amp;0)&gt;5,IF(MOD(COUNTIF(F$641:F866,1),7)=0,$C$4,0),0)</f>
        <v>1278.82134856666</v>
      </c>
      <c r="G564" s="81" cm="1">
        <f ca="1" t="array" ref="G564">IF(G866=1,OFFSET($Z$338,$B564,G$335-1)/SUMPRODUCT(--($D$335:$V$335=G$335),--($D866:$V866=1)),0)+SUM(G563)+IF(COUNTIF(G$641:G866,1)=1,5,0)+IF(COUNTIF(H564:$Z564,"&gt;"&amp;0)&gt;5,IF(MOD(COUNTIF(G$641:G866,1),7)=0,$C$4,0),0)</f>
        <v>567.516666666668</v>
      </c>
      <c r="H564" s="81" cm="1">
        <f ca="1" t="array" ref="H564">IF(H866=1,OFFSET($Z$338,$B564,H$335-1)/SUMPRODUCT(--($D$335:$V$335=H$335),--($D866:$V866=1)),0)+SUM(H563)+IF(COUNTIF(H$641:H866,1)=1,5,0)+IF(COUNTIF(I564:$Z564,"&gt;"&amp;0)&gt;5,IF(MOD(COUNTIF(H$641:H866,1),7)=0,$C$4,0),0)</f>
        <v>567.516666666668</v>
      </c>
      <c r="I564" s="81" cm="1">
        <f ca="1" t="array" ref="I564">IF(I866=1,OFFSET($Z$338,$B564,I$335-1)/SUMPRODUCT(--($D$335:$V$335=I$335),--($D866:$V866=1)),0)+SUM(I563)+IF(COUNTIF(I$641:I866,1)=1,5,0)+IF(COUNTIF(J564:$Z564,"&gt;"&amp;0)&gt;5,IF(MOD(COUNTIF(I$641:I866,1),7)=0,$C$4,0),0)</f>
        <v>567.516666666668</v>
      </c>
      <c r="J564" s="81" cm="1">
        <f ca="1" t="array" ref="J564">IF(J866=1,OFFSET($Z$338,$B564,J$335-1)/SUMPRODUCT(--($D$335:$V$335=J$335),--($D866:$V866=1)),0)+SUM(J563)+IF(COUNTIF(J$641:J866,1)=1,5,0)+IF(COUNTIF(K564:$Z564,"&gt;"&amp;0)&gt;5,IF(MOD(COUNTIF(J$641:J866,1),7)=0,$C$4,0),0)</f>
        <v>567.516666666668</v>
      </c>
      <c r="K564" s="81" cm="1">
        <f ca="1" t="array" ref="K564">IF(K866=1,OFFSET($Z$338,$B564,K$335-1)/SUMPRODUCT(--($D$335:$V$335=K$335),--($D866:$V866=1)),0)+SUM(K563)+IF(COUNTIF(K$641:K866,1)=1,5,0)+IF(COUNTIF(L564:$Z564,"&gt;"&amp;0)&gt;5,IF(MOD(COUNTIF(K$641:K866,1),7)=0,$C$4,0),0)</f>
        <v>567.516666666668</v>
      </c>
      <c r="L564" s="81" cm="1">
        <f ca="1" t="array" ref="L564">IF(L866=1,OFFSET($Z$338,$B564,L$335-1)/SUMPRODUCT(--($D$335:$V$335=L$335),--($D866:$V866=1)),0)+SUM(L563)+IF(COUNTIF(L$641:L866,1)=1,5,0)+IF(COUNTIF(M564:$Z564,"&gt;"&amp;0)&gt;5,IF(MOD(COUNTIF(L$641:L866,1),7)=0,$C$4,0),0)</f>
        <v>560.816666666668</v>
      </c>
      <c r="M564" s="81" cm="1">
        <f ca="1" t="array" ref="M564">IF(M866=1,OFFSET($Z$338,$B564,M$335-1)/SUMPRODUCT(--($D$335:$V$335=M$335),--($D866:$V866=1)),0)+SUM(M563)+IF(COUNTIF(M$641:M866,1)=1,5,0)+IF(COUNTIF(N564:$Z564,"&gt;"&amp;0)&gt;5,IF(MOD(COUNTIF(M$641:M866,1),7)=0,$C$4,0),0)</f>
        <v>315.644107142858</v>
      </c>
      <c r="N564" s="81" cm="1">
        <f ca="1" t="array" ref="N564">IF(N866=1,OFFSET($Z$338,$B564,N$335-1)/SUMPRODUCT(--($D$335:$V$335=N$335),--($D866:$V866=1)),0)+SUM(N563)+IF(COUNTIF(N$641:N866,1)=1,5,0)+IF(COUNTIF(O564:$Z564,"&gt;"&amp;0)&gt;5,IF(MOD(COUNTIF(N$641:N866,1),7)=0,$C$4,0),0)</f>
        <v>307.919107142858</v>
      </c>
      <c r="O564" s="81" cm="1">
        <f ca="1" t="array" ref="O564">IF(O866=1,OFFSET($Z$338,$B564,O$335-1)/SUMPRODUCT(--($D$335:$V$335=O$335),--($D866:$V866=1)),0)+SUM(O563)+IF(COUNTIF(O$641:O866,1)=1,5,0)+IF(COUNTIF(P564:$Z564,"&gt;"&amp;0)&gt;5,IF(MOD(COUNTIF(O$641:O866,1),7)=0,$C$4,0),0)</f>
        <v>300.494107142858</v>
      </c>
      <c r="P564" s="81" cm="1">
        <f ca="1" t="array" ref="P564">IF(P866=1,OFFSET($Z$338,$B564,P$335-1)/SUMPRODUCT(--($D$335:$V$335=P$335),--($D866:$V866=1)),0)+SUM(P563)+IF(COUNTIF(P$641:P866,1)=1,5,0)+IF(COUNTIF(Q564:$Z564,"&gt;"&amp;0)&gt;5,IF(MOD(COUNTIF(P$641:P866,1),7)=0,$C$4,0),0)</f>
        <v>297.560773809524</v>
      </c>
      <c r="Q564" s="81" cm="1">
        <f ca="1" t="array" ref="Q564">IF(Q866=1,OFFSET($Z$338,$B564,Q$335-1)/SUMPRODUCT(--($D$335:$V$335=Q$335),--($D866:$V866=1)),0)+SUM(Q563)+IF(COUNTIF(Q$641:Q866,1)=1,5,0)+IF(COUNTIF(R564:$Z564,"&gt;"&amp;0)&gt;5,IF(MOD(COUNTIF(Q$641:Q866,1),7)=0,$C$4,0),0)</f>
        <v>296.654523809524</v>
      </c>
      <c r="R564" s="81" cm="1">
        <f ca="1" t="array" ref="R564">IF(R866=1,OFFSET($Z$338,$B564,R$335-1)/SUMPRODUCT(--($D$335:$V$335=R$335),--($D866:$V866=1)),0)+SUM(R563)+IF(COUNTIF(R$641:R866,1)=1,5,0)+IF(COUNTIF(S564:$Z564,"&gt;"&amp;0)&gt;5,IF(MOD(COUNTIF(R$641:R866,1),7)=0,$C$4,0),0)</f>
        <v>271.759523809524</v>
      </c>
      <c r="S564" s="81" cm="1">
        <f ca="1" t="array" ref="S564">IF(S866=1,OFFSET($Z$338,$B564,S$335-1)/SUMPRODUCT(--($D$335:$V$335=S$335),--($D866:$V866=1)),0)+SUM(S563)+IF(COUNTIF(S$641:S866,1)=1,5,0)+IF(COUNTIF(T564:$Z564,"&gt;"&amp;0)&gt;5,IF(MOD(COUNTIF(S$641:S866,1),7)=0,$C$4,0),0)</f>
        <v>262.592857142857</v>
      </c>
      <c r="T564" s="81" cm="1">
        <f ca="1" t="array" ref="T564">IF(T866=1,OFFSET($Z$338,$B564,T$335-1)/SUMPRODUCT(--($D$335:$V$335=T$335),--($D866:$V866=1)),0)+SUM(T563)+IF(COUNTIF(T$641:T866,1)=1,5,0)+IF(COUNTIF(U564:$Z564,"&gt;"&amp;0)&gt;5,IF(MOD(COUNTIF(T$641:T866,1),7)=0,$C$4,0),0)</f>
        <v>137.656257829764</v>
      </c>
      <c r="U564" s="81" cm="1">
        <f ca="1" t="array" ref="U564">IF(U866=1,OFFSET($Z$338,$B564,U$335-1)/SUMPRODUCT(--($D$335:$V$335=U$335),--($D866:$V866=1)),0)+SUM(U563)+IF(COUNTIF(U$641:U866,1)=1,5,0)+IF(COUNTIF(V564:$Z564,"&gt;"&amp;0)&gt;5,IF(MOD(COUNTIF(U$641:U866,1),7)=0,$C$4,0),0)</f>
        <v>97.6562578297643</v>
      </c>
      <c r="V564" s="81" cm="1">
        <f ca="1" t="array" ref="V564">IF(V866=1,OFFSET($Z$338,$B564,V$335-1)/SUMPRODUCT(--($D$335:$V$335=V$335),--($D866:$V866=1)),0)+SUM(V563)+IF(COUNTIF(V$641:V866,1)=1,5,0)+IF(COUNTIF(Z564:$Z564,"&gt;"&amp;0)&gt;5,IF(MOD(COUNTIF(V$641:V866,1),7)=0,$C$4,0),0)</f>
        <v>89.6984386404824</v>
      </c>
      <c r="W564" s="81" cm="1">
        <f ca="1" t="array" ref="W564">IF(W866=1,OFFSET($Z$338,$B564,W$335-1)/SUMPRODUCT(--($D$335:$V$335=W$335),--($D866:$V866=1)),0)+SUM(W563)+IF(COUNTIF(W$641:W866,1)=1,5,0)+IF(COUNTIF($Z564:AA564,"&gt;"&amp;0)&gt;5,IF(MOD(COUNTIF(W$641:W866,1),7)=0,$C$4,0),0)</f>
        <v>80.3425695255331</v>
      </c>
      <c r="X564" s="81" cm="1">
        <f ca="1" t="array" ref="X564">IF(X866=1,OFFSET($Z$338,$B564,X$335-1)/SUMPRODUCT(--($D$335:$V$335=X$335),--($D866:$V866=1)),0)+SUM(X563)+IF(COUNTIF(X$641:X866,1)=1,5,0)+IF(COUNTIF($Z564:AB564,"&gt;"&amp;0)&gt;5,IF(MOD(COUNTIF(X$641:X866,1),7)=0,$C$4,0),0)</f>
        <v>73.5789092348996</v>
      </c>
      <c r="Y564" s="81" cm="1">
        <f ca="1" t="array" ref="Y564">IF(Y866=1,OFFSET($Z$338,$B564,Y$335-1)/SUMPRODUCT(--($D$335:$V$335=Y$335),--($D866:$V866=1)),0)+SUM(Y563)+IF(COUNTIF(Y$641:Y866,1)=1,5,0)+IF(COUNTIF($Z564:AC564,"&gt;"&amp;0)&gt;5,IF(MOD(COUNTIF(Y$641:Y866,1),7)=0,$C$4,0),0)</f>
        <v>66.8152489442662</v>
      </c>
      <c r="Z564" s="82" cm="1">
        <f ca="1" t="array" ref="Z564">SUMPRODUCT(TRANSPOSE($AD564:$AJ564),OFFSET($L$10:$L$16,0,Z$335-1))</f>
        <v>0</v>
      </c>
      <c r="AA564" s="82" cm="1">
        <f ca="1" t="array" ref="AA564">SUMPRODUCT(TRANSPOSE($AD564:$AJ564),OFFSET($L$10:$L$16,0,AA$335-1))</f>
        <v>0</v>
      </c>
      <c r="AB564" s="82" cm="1">
        <f ca="1" t="array" ref="AB564">SUMPRODUCT(TRANSPOSE($AD564:$AJ564),OFFSET($L$10:$L$16,0,AB$335-1))</f>
        <v>0</v>
      </c>
      <c r="AC564" s="82" cm="1">
        <f ca="1" t="array" ref="AC564">SUMPRODUCT(TRANSPOSE($AD564:$AJ564),OFFSET($L$10:$L$16,0,AC$335-1))</f>
        <v>0</v>
      </c>
      <c r="AD564" s="83">
        <f ca="1" t="shared" ref="AD564:AJ564" si="777">AK564-AK563</f>
        <v>0</v>
      </c>
      <c r="AE564" s="83">
        <f ca="1" t="shared" si="777"/>
        <v>0</v>
      </c>
      <c r="AF564" s="83">
        <f ca="1" t="shared" si="777"/>
        <v>0</v>
      </c>
      <c r="AG564" s="83">
        <f ca="1" t="shared" si="777"/>
        <v>0</v>
      </c>
      <c r="AH564" s="83">
        <f ca="1" t="shared" si="777"/>
        <v>0</v>
      </c>
      <c r="AI564" s="83">
        <f ca="1" t="shared" si="777"/>
        <v>0</v>
      </c>
      <c r="AJ564" s="83">
        <f ca="1" t="shared" si="777"/>
        <v>0</v>
      </c>
      <c r="AK564" s="83">
        <f ca="1" t="shared" si="711"/>
        <v>450</v>
      </c>
      <c r="AL564" s="83">
        <f ca="1" t="shared" ref="AL564:AQ564" si="778">IF($C564&gt;OFFSET($Q$9,MATCH(AL$338,$AK$338:$AQ$338,0),0),OFFSET($P$9,MATCH(AL$338,$AK$338:$AQ$338,0),0),MAX(0,$C564-OFFSET($Q$9,RIGHT(AL$338,1)-1,0)))</f>
        <v>909</v>
      </c>
      <c r="AM564" s="83">
        <f ca="1" t="shared" si="778"/>
        <v>1818</v>
      </c>
      <c r="AN564" s="83">
        <f ca="1" t="shared" si="778"/>
        <v>2727</v>
      </c>
      <c r="AO564" s="83">
        <f ca="1" t="shared" si="778"/>
        <v>3636</v>
      </c>
      <c r="AP564" s="83">
        <f ca="1" t="shared" si="778"/>
        <v>4545</v>
      </c>
      <c r="AQ564" s="83">
        <f ca="1" t="shared" si="778"/>
        <v>0</v>
      </c>
    </row>
    <row r="565" ht="16.5" spans="2:43">
      <c r="B565" s="65">
        <v>227</v>
      </c>
      <c r="C565" s="80">
        <f t="shared" si="709"/>
        <v>26296</v>
      </c>
      <c r="D565" s="81" cm="1">
        <f ca="1" t="array" ref="D565">IF(D867=1,OFFSET($Z$338,$B565,D$335-1)/SUMPRODUCT(--($D$335:$V$335=D$335),--($D867:$V867=1)),0)+SUM(D564)+IF(COUNTIF(D$641:D867,1)=1,5,0)+IF(COUNTIF(E565:$Z565,"&gt;"&amp;0)&gt;5,IF(MOD(COUNTIF(D$641:D867,1),7)=0,$C$4,0),0)</f>
        <v>1278.82134856666</v>
      </c>
      <c r="E565" s="81" cm="1">
        <f ca="1" t="array" ref="E565">IF(E867=1,OFFSET($Z$338,$B565,E$335-1)/SUMPRODUCT(--($D$335:$V$335=E$335),--($D867:$V867=1)),0)+SUM(E564)+IF(COUNTIF(E$641:E867,1)=1,5,0)+IF(COUNTIF(F565:$Z565,"&gt;"&amp;0)&gt;5,IF(MOD(COUNTIF(E$641:E867,1),7)=0,$C$4,0),0)</f>
        <v>1278.82134856666</v>
      </c>
      <c r="F565" s="81" cm="1">
        <f ca="1" t="array" ref="F565">IF(F867=1,OFFSET($Z$338,$B565,F$335-1)/SUMPRODUCT(--($D$335:$V$335=F$335),--($D867:$V867=1)),0)+SUM(F564)+IF(COUNTIF(F$641:F867,1)=1,5,0)+IF(COUNTIF(G565:$Z565,"&gt;"&amp;0)&gt;5,IF(MOD(COUNTIF(F$641:F867,1),7)=0,$C$4,0),0)</f>
        <v>1278.82134856666</v>
      </c>
      <c r="G565" s="81" cm="1">
        <f ca="1" t="array" ref="G565">IF(G867=1,OFFSET($Z$338,$B565,G$335-1)/SUMPRODUCT(--($D$335:$V$335=G$335),--($D867:$V867=1)),0)+SUM(G564)+IF(COUNTIF(G$641:G867,1)=1,5,0)+IF(COUNTIF(H565:$Z565,"&gt;"&amp;0)&gt;5,IF(MOD(COUNTIF(G$641:G867,1),7)=0,$C$4,0),0)</f>
        <v>567.516666666668</v>
      </c>
      <c r="H565" s="81" cm="1">
        <f ca="1" t="array" ref="H565">IF(H867=1,OFFSET($Z$338,$B565,H$335-1)/SUMPRODUCT(--($D$335:$V$335=H$335),--($D867:$V867=1)),0)+SUM(H564)+IF(COUNTIF(H$641:H867,1)=1,5,0)+IF(COUNTIF(I565:$Z565,"&gt;"&amp;0)&gt;5,IF(MOD(COUNTIF(H$641:H867,1),7)=0,$C$4,0),0)</f>
        <v>567.516666666668</v>
      </c>
      <c r="I565" s="81" cm="1">
        <f ca="1" t="array" ref="I565">IF(I867=1,OFFSET($Z$338,$B565,I$335-1)/SUMPRODUCT(--($D$335:$V$335=I$335),--($D867:$V867=1)),0)+SUM(I564)+IF(COUNTIF(I$641:I867,1)=1,5,0)+IF(COUNTIF(J565:$Z565,"&gt;"&amp;0)&gt;5,IF(MOD(COUNTIF(I$641:I867,1),7)=0,$C$4,0),0)</f>
        <v>567.516666666668</v>
      </c>
      <c r="J565" s="81" cm="1">
        <f ca="1" t="array" ref="J565">IF(J867=1,OFFSET($Z$338,$B565,J$335-1)/SUMPRODUCT(--($D$335:$V$335=J$335),--($D867:$V867=1)),0)+SUM(J564)+IF(COUNTIF(J$641:J867,1)=1,5,0)+IF(COUNTIF(K565:$Z565,"&gt;"&amp;0)&gt;5,IF(MOD(COUNTIF(J$641:J867,1),7)=0,$C$4,0),0)</f>
        <v>567.516666666668</v>
      </c>
      <c r="K565" s="81" cm="1">
        <f ca="1" t="array" ref="K565">IF(K867=1,OFFSET($Z$338,$B565,K$335-1)/SUMPRODUCT(--($D$335:$V$335=K$335),--($D867:$V867=1)),0)+SUM(K564)+IF(COUNTIF(K$641:K867,1)=1,5,0)+IF(COUNTIF(L565:$Z565,"&gt;"&amp;0)&gt;5,IF(MOD(COUNTIF(K$641:K867,1),7)=0,$C$4,0),0)</f>
        <v>567.516666666668</v>
      </c>
      <c r="L565" s="81" cm="1">
        <f ca="1" t="array" ref="L565">IF(L867=1,OFFSET($Z$338,$B565,L$335-1)/SUMPRODUCT(--($D$335:$V$335=L$335),--($D867:$V867=1)),0)+SUM(L564)+IF(COUNTIF(L$641:L867,1)=1,5,0)+IF(COUNTIF(M565:$Z565,"&gt;"&amp;0)&gt;5,IF(MOD(COUNTIF(L$641:L867,1),7)=0,$C$4,0),0)</f>
        <v>560.816666666668</v>
      </c>
      <c r="M565" s="81" cm="1">
        <f ca="1" t="array" ref="M565">IF(M867=1,OFFSET($Z$338,$B565,M$335-1)/SUMPRODUCT(--($D$335:$V$335=M$335),--($D867:$V867=1)),0)+SUM(M564)+IF(COUNTIF(M$641:M867,1)=1,5,0)+IF(COUNTIF(N565:$Z565,"&gt;"&amp;0)&gt;5,IF(MOD(COUNTIF(M$641:M867,1),7)=0,$C$4,0),0)</f>
        <v>315.644107142858</v>
      </c>
      <c r="N565" s="81" cm="1">
        <f ca="1" t="array" ref="N565">IF(N867=1,OFFSET($Z$338,$B565,N$335-1)/SUMPRODUCT(--($D$335:$V$335=N$335),--($D867:$V867=1)),0)+SUM(N564)+IF(COUNTIF(N$641:N867,1)=1,5,0)+IF(COUNTIF(O565:$Z565,"&gt;"&amp;0)&gt;5,IF(MOD(COUNTIF(N$641:N867,1),7)=0,$C$4,0),0)</f>
        <v>307.919107142858</v>
      </c>
      <c r="O565" s="81" cm="1">
        <f ca="1" t="array" ref="O565">IF(O867=1,OFFSET($Z$338,$B565,O$335-1)/SUMPRODUCT(--($D$335:$V$335=O$335),--($D867:$V867=1)),0)+SUM(O564)+IF(COUNTIF(O$641:O867,1)=1,5,0)+IF(COUNTIF(P565:$Z565,"&gt;"&amp;0)&gt;5,IF(MOD(COUNTIF(O$641:O867,1),7)=0,$C$4,0),0)</f>
        <v>305.494107142858</v>
      </c>
      <c r="P565" s="81" cm="1">
        <f ca="1" t="array" ref="P565">IF(P867=1,OFFSET($Z$338,$B565,P$335-1)/SUMPRODUCT(--($D$335:$V$335=P$335),--($D867:$V867=1)),0)+SUM(P564)+IF(COUNTIF(P$641:P867,1)=1,5,0)+IF(COUNTIF(Q565:$Z565,"&gt;"&amp;0)&gt;5,IF(MOD(COUNTIF(P$641:P867,1),7)=0,$C$4,0),0)</f>
        <v>297.560773809524</v>
      </c>
      <c r="Q565" s="81" cm="1">
        <f ca="1" t="array" ref="Q565">IF(Q867=1,OFFSET($Z$338,$B565,Q$335-1)/SUMPRODUCT(--($D$335:$V$335=Q$335),--($D867:$V867=1)),0)+SUM(Q564)+IF(COUNTIF(Q$641:Q867,1)=1,5,0)+IF(COUNTIF(R565:$Z565,"&gt;"&amp;0)&gt;5,IF(MOD(COUNTIF(Q$641:Q867,1),7)=0,$C$4,0),0)</f>
        <v>296.654523809524</v>
      </c>
      <c r="R565" s="81" cm="1">
        <f ca="1" t="array" ref="R565">IF(R867=1,OFFSET($Z$338,$B565,R$335-1)/SUMPRODUCT(--($D$335:$V$335=R$335),--($D867:$V867=1)),0)+SUM(R564)+IF(COUNTIF(R$641:R867,1)=1,5,0)+IF(COUNTIF(S565:$Z565,"&gt;"&amp;0)&gt;5,IF(MOD(COUNTIF(R$641:R867,1),7)=0,$C$4,0),0)</f>
        <v>271.759523809524</v>
      </c>
      <c r="S565" s="81" cm="1">
        <f ca="1" t="array" ref="S565">IF(S867=1,OFFSET($Z$338,$B565,S$335-1)/SUMPRODUCT(--($D$335:$V$335=S$335),--($D867:$V867=1)),0)+SUM(S564)+IF(COUNTIF(S$641:S867,1)=1,5,0)+IF(COUNTIF(T565:$Z565,"&gt;"&amp;0)&gt;5,IF(MOD(COUNTIF(S$641:S867,1),7)=0,$C$4,0),0)</f>
        <v>262.592857142857</v>
      </c>
      <c r="T565" s="81" cm="1">
        <f ca="1" t="array" ref="T565">IF(T867=1,OFFSET($Z$338,$B565,T$335-1)/SUMPRODUCT(--($D$335:$V$335=T$335),--($D867:$V867=1)),0)+SUM(T564)+IF(COUNTIF(T$641:T867,1)=1,5,0)+IF(COUNTIF(U565:$Z565,"&gt;"&amp;0)&gt;5,IF(MOD(COUNTIF(T$641:T867,1),7)=0,$C$4,0),0)</f>
        <v>137.656257829764</v>
      </c>
      <c r="U565" s="81" cm="1">
        <f ca="1" t="array" ref="U565">IF(U867=1,OFFSET($Z$338,$B565,U$335-1)/SUMPRODUCT(--($D$335:$V$335=U$335),--($D867:$V867=1)),0)+SUM(U564)+IF(COUNTIF(U$641:U867,1)=1,5,0)+IF(COUNTIF(V565:$Z565,"&gt;"&amp;0)&gt;5,IF(MOD(COUNTIF(U$641:U867,1),7)=0,$C$4,0),0)</f>
        <v>97.6562578297643</v>
      </c>
      <c r="V565" s="81" cm="1">
        <f ca="1" t="array" ref="V565">IF(V867=1,OFFSET($Z$338,$B565,V$335-1)/SUMPRODUCT(--($D$335:$V$335=V$335),--($D867:$V867=1)),0)+SUM(V564)+IF(COUNTIF(V$641:V867,1)=1,5,0)+IF(COUNTIF(Z565:$Z565,"&gt;"&amp;0)&gt;5,IF(MOD(COUNTIF(V$641:V867,1),7)=0,$C$4,0),0)</f>
        <v>89.6984386404824</v>
      </c>
      <c r="W565" s="81" cm="1">
        <f ca="1" t="array" ref="W565">IF(W867=1,OFFSET($Z$338,$B565,W$335-1)/SUMPRODUCT(--($D$335:$V$335=W$335),--($D867:$V867=1)),0)+SUM(W564)+IF(COUNTIF(W$641:W867,1)=1,5,0)+IF(COUNTIF($Z565:AA565,"&gt;"&amp;0)&gt;5,IF(MOD(COUNTIF(W$641:W867,1),7)=0,$C$4,0),0)</f>
        <v>80.3425695255331</v>
      </c>
      <c r="X565" s="81" cm="1">
        <f ca="1" t="array" ref="X565">IF(X867=1,OFFSET($Z$338,$B565,X$335-1)/SUMPRODUCT(--($D$335:$V$335=X$335),--($D867:$V867=1)),0)+SUM(X564)+IF(COUNTIF(X$641:X867,1)=1,5,0)+IF(COUNTIF($Z565:AB565,"&gt;"&amp;0)&gt;5,IF(MOD(COUNTIF(X$641:X867,1),7)=0,$C$4,0),0)</f>
        <v>73.5789092348996</v>
      </c>
      <c r="Y565" s="81" cm="1">
        <f ca="1" t="array" ref="Y565">IF(Y867=1,OFFSET($Z$338,$B565,Y$335-1)/SUMPRODUCT(--($D$335:$V$335=Y$335),--($D867:$V867=1)),0)+SUM(Y564)+IF(COUNTIF(Y$641:Y867,1)=1,5,0)+IF(COUNTIF($Z565:AC565,"&gt;"&amp;0)&gt;5,IF(MOD(COUNTIF(Y$641:Y867,1),7)=0,$C$4,0),0)</f>
        <v>66.8152489442662</v>
      </c>
      <c r="Z565" s="82" cm="1">
        <f ca="1" t="array" ref="Z565">SUMPRODUCT(TRANSPOSE($AD565:$AJ565),OFFSET($L$10:$L$16,0,Z$335-1))</f>
        <v>0</v>
      </c>
      <c r="AA565" s="82" cm="1">
        <f ca="1" t="array" ref="AA565">SUMPRODUCT(TRANSPOSE($AD565:$AJ565),OFFSET($L$10:$L$16,0,AA$335-1))</f>
        <v>0</v>
      </c>
      <c r="AB565" s="82" cm="1">
        <f ca="1" t="array" ref="AB565">SUMPRODUCT(TRANSPOSE($AD565:$AJ565),OFFSET($L$10:$L$16,0,AB$335-1))</f>
        <v>0</v>
      </c>
      <c r="AC565" s="82" cm="1">
        <f ca="1" t="array" ref="AC565">SUMPRODUCT(TRANSPOSE($AD565:$AJ565),OFFSET($L$10:$L$16,0,AC$335-1))</f>
        <v>0</v>
      </c>
      <c r="AD565" s="83">
        <f ca="1" t="shared" ref="AD565:AJ565" si="779">AK565-AK564</f>
        <v>0</v>
      </c>
      <c r="AE565" s="83">
        <f ca="1" t="shared" si="779"/>
        <v>0</v>
      </c>
      <c r="AF565" s="83">
        <f ca="1" t="shared" si="779"/>
        <v>0</v>
      </c>
      <c r="AG565" s="83">
        <f ca="1" t="shared" si="779"/>
        <v>0</v>
      </c>
      <c r="AH565" s="83">
        <f ca="1" t="shared" si="779"/>
        <v>0</v>
      </c>
      <c r="AI565" s="83">
        <f ca="1" t="shared" si="779"/>
        <v>0</v>
      </c>
      <c r="AJ565" s="83">
        <f ca="1" t="shared" si="779"/>
        <v>0</v>
      </c>
      <c r="AK565" s="83">
        <f ca="1" t="shared" si="711"/>
        <v>450</v>
      </c>
      <c r="AL565" s="83">
        <f ca="1" t="shared" ref="AL565:AQ565" si="780">IF($C565&gt;OFFSET($Q$9,MATCH(AL$338,$AK$338:$AQ$338,0),0),OFFSET($P$9,MATCH(AL$338,$AK$338:$AQ$338,0),0),MAX(0,$C565-OFFSET($Q$9,RIGHT(AL$338,1)-1,0)))</f>
        <v>909</v>
      </c>
      <c r="AM565" s="83">
        <f ca="1" t="shared" si="780"/>
        <v>1818</v>
      </c>
      <c r="AN565" s="83">
        <f ca="1" t="shared" si="780"/>
        <v>2727</v>
      </c>
      <c r="AO565" s="83">
        <f ca="1" t="shared" si="780"/>
        <v>3636</v>
      </c>
      <c r="AP565" s="83">
        <f ca="1" t="shared" si="780"/>
        <v>4545</v>
      </c>
      <c r="AQ565" s="83">
        <f ca="1" t="shared" si="780"/>
        <v>0</v>
      </c>
    </row>
    <row r="566" ht="16.5" spans="2:43">
      <c r="B566" s="65">
        <v>228</v>
      </c>
      <c r="C566" s="80">
        <f t="shared" si="709"/>
        <v>26406</v>
      </c>
      <c r="D566" s="81" cm="1">
        <f ca="1" t="array" ref="D566">IF(D868=1,OFFSET($Z$338,$B566,D$335-1)/SUMPRODUCT(--($D$335:$V$335=D$335),--($D868:$V868=1)),0)+SUM(D565)+IF(COUNTIF(D$641:D868,1)=1,5,0)+IF(COUNTIF(E566:$Z566,"&gt;"&amp;0)&gt;5,IF(MOD(COUNTIF(D$641:D868,1),7)=0,$C$4,0),0)</f>
        <v>1278.82134856666</v>
      </c>
      <c r="E566" s="81" cm="1">
        <f ca="1" t="array" ref="E566">IF(E868=1,OFFSET($Z$338,$B566,E$335-1)/SUMPRODUCT(--($D$335:$V$335=E$335),--($D868:$V868=1)),0)+SUM(E565)+IF(COUNTIF(E$641:E868,1)=1,5,0)+IF(COUNTIF(F566:$Z566,"&gt;"&amp;0)&gt;5,IF(MOD(COUNTIF(E$641:E868,1),7)=0,$C$4,0),0)</f>
        <v>1278.82134856666</v>
      </c>
      <c r="F566" s="81" cm="1">
        <f ca="1" t="array" ref="F566">IF(F868=1,OFFSET($Z$338,$B566,F$335-1)/SUMPRODUCT(--($D$335:$V$335=F$335),--($D868:$V868=1)),0)+SUM(F565)+IF(COUNTIF(F$641:F868,1)=1,5,0)+IF(COUNTIF(G566:$Z566,"&gt;"&amp;0)&gt;5,IF(MOD(COUNTIF(F$641:F868,1),7)=0,$C$4,0),0)</f>
        <v>1278.82134856666</v>
      </c>
      <c r="G566" s="81" cm="1">
        <f ca="1" t="array" ref="G566">IF(G868=1,OFFSET($Z$338,$B566,G$335-1)/SUMPRODUCT(--($D$335:$V$335=G$335),--($D868:$V868=1)),0)+SUM(G565)+IF(COUNTIF(G$641:G868,1)=1,5,0)+IF(COUNTIF(H566:$Z566,"&gt;"&amp;0)&gt;5,IF(MOD(COUNTIF(G$641:G868,1),7)=0,$C$4,0),0)</f>
        <v>567.516666666668</v>
      </c>
      <c r="H566" s="81" cm="1">
        <f ca="1" t="array" ref="H566">IF(H868=1,OFFSET($Z$338,$B566,H$335-1)/SUMPRODUCT(--($D$335:$V$335=H$335),--($D868:$V868=1)),0)+SUM(H565)+IF(COUNTIF(H$641:H868,1)=1,5,0)+IF(COUNTIF(I566:$Z566,"&gt;"&amp;0)&gt;5,IF(MOD(COUNTIF(H$641:H868,1),7)=0,$C$4,0),0)</f>
        <v>567.516666666668</v>
      </c>
      <c r="I566" s="81" cm="1">
        <f ca="1" t="array" ref="I566">IF(I868=1,OFFSET($Z$338,$B566,I$335-1)/SUMPRODUCT(--($D$335:$V$335=I$335),--($D868:$V868=1)),0)+SUM(I565)+IF(COUNTIF(I$641:I868,1)=1,5,0)+IF(COUNTIF(J566:$Z566,"&gt;"&amp;0)&gt;5,IF(MOD(COUNTIF(I$641:I868,1),7)=0,$C$4,0),0)</f>
        <v>567.516666666668</v>
      </c>
      <c r="J566" s="81" cm="1">
        <f ca="1" t="array" ref="J566">IF(J868=1,OFFSET($Z$338,$B566,J$335-1)/SUMPRODUCT(--($D$335:$V$335=J$335),--($D868:$V868=1)),0)+SUM(J565)+IF(COUNTIF(J$641:J868,1)=1,5,0)+IF(COUNTIF(K566:$Z566,"&gt;"&amp;0)&gt;5,IF(MOD(COUNTIF(J$641:J868,1),7)=0,$C$4,0),0)</f>
        <v>567.516666666668</v>
      </c>
      <c r="K566" s="81" cm="1">
        <f ca="1" t="array" ref="K566">IF(K868=1,OFFSET($Z$338,$B566,K$335-1)/SUMPRODUCT(--($D$335:$V$335=K$335),--($D868:$V868=1)),0)+SUM(K565)+IF(COUNTIF(K$641:K868,1)=1,5,0)+IF(COUNTIF(L566:$Z566,"&gt;"&amp;0)&gt;5,IF(MOD(COUNTIF(K$641:K868,1),7)=0,$C$4,0),0)</f>
        <v>567.516666666668</v>
      </c>
      <c r="L566" s="81" cm="1">
        <f ca="1" t="array" ref="L566">IF(L868=1,OFFSET($Z$338,$B566,L$335-1)/SUMPRODUCT(--($D$335:$V$335=L$335),--($D868:$V868=1)),0)+SUM(L565)+IF(COUNTIF(L$641:L868,1)=1,5,0)+IF(COUNTIF(M566:$Z566,"&gt;"&amp;0)&gt;5,IF(MOD(COUNTIF(L$641:L868,1),7)=0,$C$4,0),0)</f>
        <v>560.816666666668</v>
      </c>
      <c r="M566" s="81" cm="1">
        <f ca="1" t="array" ref="M566">IF(M868=1,OFFSET($Z$338,$B566,M$335-1)/SUMPRODUCT(--($D$335:$V$335=M$335),--($D868:$V868=1)),0)+SUM(M565)+IF(COUNTIF(M$641:M868,1)=1,5,0)+IF(COUNTIF(N566:$Z566,"&gt;"&amp;0)&gt;5,IF(MOD(COUNTIF(M$641:M868,1),7)=0,$C$4,0),0)</f>
        <v>315.644107142858</v>
      </c>
      <c r="N566" s="81" cm="1">
        <f ca="1" t="array" ref="N566">IF(N868=1,OFFSET($Z$338,$B566,N$335-1)/SUMPRODUCT(--($D$335:$V$335=N$335),--($D868:$V868=1)),0)+SUM(N565)+IF(COUNTIF(N$641:N868,1)=1,5,0)+IF(COUNTIF(O566:$Z566,"&gt;"&amp;0)&gt;5,IF(MOD(COUNTIF(N$641:N868,1),7)=0,$C$4,0),0)</f>
        <v>307.919107142858</v>
      </c>
      <c r="O566" s="81" cm="1">
        <f ca="1" t="array" ref="O566">IF(O868=1,OFFSET($Z$338,$B566,O$335-1)/SUMPRODUCT(--($D$335:$V$335=O$335),--($D868:$V868=1)),0)+SUM(O565)+IF(COUNTIF(O$641:O868,1)=1,5,0)+IF(COUNTIF(P566:$Z566,"&gt;"&amp;0)&gt;5,IF(MOD(COUNTIF(O$641:O868,1),7)=0,$C$4,0),0)</f>
        <v>305.494107142858</v>
      </c>
      <c r="P566" s="81" cm="1">
        <f ca="1" t="array" ref="P566">IF(P868=1,OFFSET($Z$338,$B566,P$335-1)/SUMPRODUCT(--($D$335:$V$335=P$335),--($D868:$V868=1)),0)+SUM(P565)+IF(COUNTIF(P$641:P868,1)=1,5,0)+IF(COUNTIF(Q566:$Z566,"&gt;"&amp;0)&gt;5,IF(MOD(COUNTIF(P$641:P868,1),7)=0,$C$4,0),0)</f>
        <v>297.560773809524</v>
      </c>
      <c r="Q566" s="81" cm="1">
        <f ca="1" t="array" ref="Q566">IF(Q868=1,OFFSET($Z$338,$B566,Q$335-1)/SUMPRODUCT(--($D$335:$V$335=Q$335),--($D868:$V868=1)),0)+SUM(Q565)+IF(COUNTIF(Q$641:Q868,1)=1,5,0)+IF(COUNTIF(R566:$Z566,"&gt;"&amp;0)&gt;5,IF(MOD(COUNTIF(Q$641:Q868,1),7)=0,$C$4,0),0)</f>
        <v>296.654523809524</v>
      </c>
      <c r="R566" s="81" cm="1">
        <f ca="1" t="array" ref="R566">IF(R868=1,OFFSET($Z$338,$B566,R$335-1)/SUMPRODUCT(--($D$335:$V$335=R$335),--($D868:$V868=1)),0)+SUM(R565)+IF(COUNTIF(R$641:R868,1)=1,5,0)+IF(COUNTIF(S566:$Z566,"&gt;"&amp;0)&gt;5,IF(MOD(COUNTIF(R$641:R868,1),7)=0,$C$4,0),0)</f>
        <v>271.759523809524</v>
      </c>
      <c r="S566" s="81" cm="1">
        <f ca="1" t="array" ref="S566">IF(S868=1,OFFSET($Z$338,$B566,S$335-1)/SUMPRODUCT(--($D$335:$V$335=S$335),--($D868:$V868=1)),0)+SUM(S565)+IF(COUNTIF(S$641:S868,1)=1,5,0)+IF(COUNTIF(T566:$Z566,"&gt;"&amp;0)&gt;5,IF(MOD(COUNTIF(S$641:S868,1),7)=0,$C$4,0),0)</f>
        <v>262.592857142857</v>
      </c>
      <c r="T566" s="81" cm="1">
        <f ca="1" t="array" ref="T566">IF(T868=1,OFFSET($Z$338,$B566,T$335-1)/SUMPRODUCT(--($D$335:$V$335=T$335),--($D868:$V868=1)),0)+SUM(T565)+IF(COUNTIF(T$641:T868,1)=1,5,0)+IF(COUNTIF(U566:$Z566,"&gt;"&amp;0)&gt;5,IF(MOD(COUNTIF(T$641:T868,1),7)=0,$C$4,0),0)</f>
        <v>137.656257829764</v>
      </c>
      <c r="U566" s="81" cm="1">
        <f ca="1" t="array" ref="U566">IF(U868=1,OFFSET($Z$338,$B566,U$335-1)/SUMPRODUCT(--($D$335:$V$335=U$335),--($D868:$V868=1)),0)+SUM(U565)+IF(COUNTIF(U$641:U868,1)=1,5,0)+IF(COUNTIF(V566:$Z566,"&gt;"&amp;0)&gt;5,IF(MOD(COUNTIF(U$641:U868,1),7)=0,$C$4,0),0)</f>
        <v>97.6562578297643</v>
      </c>
      <c r="V566" s="81" cm="1">
        <f ca="1" t="array" ref="V566">IF(V868=1,OFFSET($Z$338,$B566,V$335-1)/SUMPRODUCT(--($D$335:$V$335=V$335),--($D868:$V868=1)),0)+SUM(V565)+IF(COUNTIF(V$641:V868,1)=1,5,0)+IF(COUNTIF(Z566:$Z566,"&gt;"&amp;0)&gt;5,IF(MOD(COUNTIF(V$641:V868,1),7)=0,$C$4,0),0)</f>
        <v>89.6984386404824</v>
      </c>
      <c r="W566" s="81" cm="1">
        <f ca="1" t="array" ref="W566">IF(W868=1,OFFSET($Z$338,$B566,W$335-1)/SUMPRODUCT(--($D$335:$V$335=W$335),--($D868:$V868=1)),0)+SUM(W565)+IF(COUNTIF(W$641:W868,1)=1,5,0)+IF(COUNTIF($Z566:AA566,"&gt;"&amp;0)&gt;5,IF(MOD(COUNTIF(W$641:W868,1),7)=0,$C$4,0),0)</f>
        <v>80.3425695255331</v>
      </c>
      <c r="X566" s="81" cm="1">
        <f ca="1" t="array" ref="X566">IF(X868=1,OFFSET($Z$338,$B566,X$335-1)/SUMPRODUCT(--($D$335:$V$335=X$335),--($D868:$V868=1)),0)+SUM(X565)+IF(COUNTIF(X$641:X868,1)=1,5,0)+IF(COUNTIF($Z566:AB566,"&gt;"&amp;0)&gt;5,IF(MOD(COUNTIF(X$641:X868,1),7)=0,$C$4,0),0)</f>
        <v>73.5789092348996</v>
      </c>
      <c r="Y566" s="81" cm="1">
        <f ca="1" t="array" ref="Y566">IF(Y868=1,OFFSET($Z$338,$B566,Y$335-1)/SUMPRODUCT(--($D$335:$V$335=Y$335),--($D868:$V868=1)),0)+SUM(Y565)+IF(COUNTIF(Y$641:Y868,1)=1,5,0)+IF(COUNTIF($Z566:AC566,"&gt;"&amp;0)&gt;5,IF(MOD(COUNTIF(Y$641:Y868,1),7)=0,$C$4,0),0)</f>
        <v>66.8152489442662</v>
      </c>
      <c r="Z566" s="82" cm="1">
        <f ca="1" t="array" ref="Z566">SUMPRODUCT(TRANSPOSE($AD566:$AJ566),OFFSET($L$10:$L$16,0,Z$335-1))</f>
        <v>0</v>
      </c>
      <c r="AA566" s="82" cm="1">
        <f ca="1" t="array" ref="AA566">SUMPRODUCT(TRANSPOSE($AD566:$AJ566),OFFSET($L$10:$L$16,0,AA$335-1))</f>
        <v>0</v>
      </c>
      <c r="AB566" s="82" cm="1">
        <f ca="1" t="array" ref="AB566">SUMPRODUCT(TRANSPOSE($AD566:$AJ566),OFFSET($L$10:$L$16,0,AB$335-1))</f>
        <v>0</v>
      </c>
      <c r="AC566" s="82" cm="1">
        <f ca="1" t="array" ref="AC566">SUMPRODUCT(TRANSPOSE($AD566:$AJ566),OFFSET($L$10:$L$16,0,AC$335-1))</f>
        <v>0</v>
      </c>
      <c r="AD566" s="83">
        <f ca="1" t="shared" ref="AD566:AJ566" si="781">AK566-AK565</f>
        <v>0</v>
      </c>
      <c r="AE566" s="83">
        <f ca="1" t="shared" si="781"/>
        <v>0</v>
      </c>
      <c r="AF566" s="83">
        <f ca="1" t="shared" si="781"/>
        <v>0</v>
      </c>
      <c r="AG566" s="83">
        <f ca="1" t="shared" si="781"/>
        <v>0</v>
      </c>
      <c r="AH566" s="83">
        <f ca="1" t="shared" si="781"/>
        <v>0</v>
      </c>
      <c r="AI566" s="83">
        <f ca="1" t="shared" si="781"/>
        <v>0</v>
      </c>
      <c r="AJ566" s="83">
        <f ca="1" t="shared" si="781"/>
        <v>0</v>
      </c>
      <c r="AK566" s="83">
        <f ca="1" t="shared" si="711"/>
        <v>450</v>
      </c>
      <c r="AL566" s="83">
        <f ca="1" t="shared" ref="AL566:AQ566" si="782">IF($C566&gt;OFFSET($Q$9,MATCH(AL$338,$AK$338:$AQ$338,0),0),OFFSET($P$9,MATCH(AL$338,$AK$338:$AQ$338,0),0),MAX(0,$C566-OFFSET($Q$9,RIGHT(AL$338,1)-1,0)))</f>
        <v>909</v>
      </c>
      <c r="AM566" s="83">
        <f ca="1" t="shared" si="782"/>
        <v>1818</v>
      </c>
      <c r="AN566" s="83">
        <f ca="1" t="shared" si="782"/>
        <v>2727</v>
      </c>
      <c r="AO566" s="83">
        <f ca="1" t="shared" si="782"/>
        <v>3636</v>
      </c>
      <c r="AP566" s="83">
        <f ca="1" t="shared" si="782"/>
        <v>4545</v>
      </c>
      <c r="AQ566" s="83">
        <f ca="1" t="shared" si="782"/>
        <v>0</v>
      </c>
    </row>
    <row r="567" ht="16.5" spans="2:43">
      <c r="B567" s="65">
        <v>229</v>
      </c>
      <c r="C567" s="80">
        <f t="shared" si="709"/>
        <v>26516</v>
      </c>
      <c r="D567" s="81" cm="1">
        <f ca="1" t="array" ref="D567">IF(D869=1,OFFSET($Z$338,$B567,D$335-1)/SUMPRODUCT(--($D$335:$V$335=D$335),--($D869:$V869=1)),0)+SUM(D566)+IF(COUNTIF(D$641:D869,1)=1,5,0)+IF(COUNTIF(E567:$Z567,"&gt;"&amp;0)&gt;5,IF(MOD(COUNTIF(D$641:D869,1),7)=0,$C$4,0),0)</f>
        <v>1278.82134856666</v>
      </c>
      <c r="E567" s="81" cm="1">
        <f ca="1" t="array" ref="E567">IF(E869=1,OFFSET($Z$338,$B567,E$335-1)/SUMPRODUCT(--($D$335:$V$335=E$335),--($D869:$V869=1)),0)+SUM(E566)+IF(COUNTIF(E$641:E869,1)=1,5,0)+IF(COUNTIF(F567:$Z567,"&gt;"&amp;0)&gt;5,IF(MOD(COUNTIF(E$641:E869,1),7)=0,$C$4,0),0)</f>
        <v>1278.82134856666</v>
      </c>
      <c r="F567" s="81" cm="1">
        <f ca="1" t="array" ref="F567">IF(F869=1,OFFSET($Z$338,$B567,F$335-1)/SUMPRODUCT(--($D$335:$V$335=F$335),--($D869:$V869=1)),0)+SUM(F566)+IF(COUNTIF(F$641:F869,1)=1,5,0)+IF(COUNTIF(G567:$Z567,"&gt;"&amp;0)&gt;5,IF(MOD(COUNTIF(F$641:F869,1),7)=0,$C$4,0),0)</f>
        <v>1278.82134856666</v>
      </c>
      <c r="G567" s="81" cm="1">
        <f ca="1" t="array" ref="G567">IF(G869=1,OFFSET($Z$338,$B567,G$335-1)/SUMPRODUCT(--($D$335:$V$335=G$335),--($D869:$V869=1)),0)+SUM(G566)+IF(COUNTIF(G$641:G869,1)=1,5,0)+IF(COUNTIF(H567:$Z567,"&gt;"&amp;0)&gt;5,IF(MOD(COUNTIF(G$641:G869,1),7)=0,$C$4,0),0)</f>
        <v>567.516666666668</v>
      </c>
      <c r="H567" s="81" cm="1">
        <f ca="1" t="array" ref="H567">IF(H869=1,OFFSET($Z$338,$B567,H$335-1)/SUMPRODUCT(--($D$335:$V$335=H$335),--($D869:$V869=1)),0)+SUM(H566)+IF(COUNTIF(H$641:H869,1)=1,5,0)+IF(COUNTIF(I567:$Z567,"&gt;"&amp;0)&gt;5,IF(MOD(COUNTIF(H$641:H869,1),7)=0,$C$4,0),0)</f>
        <v>567.516666666668</v>
      </c>
      <c r="I567" s="81" cm="1">
        <f ca="1" t="array" ref="I567">IF(I869=1,OFFSET($Z$338,$B567,I$335-1)/SUMPRODUCT(--($D$335:$V$335=I$335),--($D869:$V869=1)),0)+SUM(I566)+IF(COUNTIF(I$641:I869,1)=1,5,0)+IF(COUNTIF(J567:$Z567,"&gt;"&amp;0)&gt;5,IF(MOD(COUNTIF(I$641:I869,1),7)=0,$C$4,0),0)</f>
        <v>567.516666666668</v>
      </c>
      <c r="J567" s="81" cm="1">
        <f ca="1" t="array" ref="J567">IF(J869=1,OFFSET($Z$338,$B567,J$335-1)/SUMPRODUCT(--($D$335:$V$335=J$335),--($D869:$V869=1)),0)+SUM(J566)+IF(COUNTIF(J$641:J869,1)=1,5,0)+IF(COUNTIF(K567:$Z567,"&gt;"&amp;0)&gt;5,IF(MOD(COUNTIF(J$641:J869,1),7)=0,$C$4,0),0)</f>
        <v>567.516666666668</v>
      </c>
      <c r="K567" s="81" cm="1">
        <f ca="1" t="array" ref="K567">IF(K869=1,OFFSET($Z$338,$B567,K$335-1)/SUMPRODUCT(--($D$335:$V$335=K$335),--($D869:$V869=1)),0)+SUM(K566)+IF(COUNTIF(K$641:K869,1)=1,5,0)+IF(COUNTIF(L567:$Z567,"&gt;"&amp;0)&gt;5,IF(MOD(COUNTIF(K$641:K869,1),7)=0,$C$4,0),0)</f>
        <v>567.516666666668</v>
      </c>
      <c r="L567" s="81" cm="1">
        <f ca="1" t="array" ref="L567">IF(L869=1,OFFSET($Z$338,$B567,L$335-1)/SUMPRODUCT(--($D$335:$V$335=L$335),--($D869:$V869=1)),0)+SUM(L566)+IF(COUNTIF(L$641:L869,1)=1,5,0)+IF(COUNTIF(M567:$Z567,"&gt;"&amp;0)&gt;5,IF(MOD(COUNTIF(L$641:L869,1),7)=0,$C$4,0),0)</f>
        <v>560.816666666668</v>
      </c>
      <c r="M567" s="81" cm="1">
        <f ca="1" t="array" ref="M567">IF(M869=1,OFFSET($Z$338,$B567,M$335-1)/SUMPRODUCT(--($D$335:$V$335=M$335),--($D869:$V869=1)),0)+SUM(M566)+IF(COUNTIF(M$641:M869,1)=1,5,0)+IF(COUNTIF(N567:$Z567,"&gt;"&amp;0)&gt;5,IF(MOD(COUNTIF(M$641:M869,1),7)=0,$C$4,0),0)</f>
        <v>315.644107142858</v>
      </c>
      <c r="N567" s="81" cm="1">
        <f ca="1" t="array" ref="N567">IF(N869=1,OFFSET($Z$338,$B567,N$335-1)/SUMPRODUCT(--($D$335:$V$335=N$335),--($D869:$V869=1)),0)+SUM(N566)+IF(COUNTIF(N$641:N869,1)=1,5,0)+IF(COUNTIF(O567:$Z567,"&gt;"&amp;0)&gt;5,IF(MOD(COUNTIF(N$641:N869,1),7)=0,$C$4,0),0)</f>
        <v>307.919107142858</v>
      </c>
      <c r="O567" s="81" cm="1">
        <f ca="1" t="array" ref="O567">IF(O869=1,OFFSET($Z$338,$B567,O$335-1)/SUMPRODUCT(--($D$335:$V$335=O$335),--($D869:$V869=1)),0)+SUM(O566)+IF(COUNTIF(O$641:O869,1)=1,5,0)+IF(COUNTIF(P567:$Z567,"&gt;"&amp;0)&gt;5,IF(MOD(COUNTIF(O$641:O869,1),7)=0,$C$4,0),0)</f>
        <v>305.494107142858</v>
      </c>
      <c r="P567" s="81" cm="1">
        <f ca="1" t="array" ref="P567">IF(P869=1,OFFSET($Z$338,$B567,P$335-1)/SUMPRODUCT(--($D$335:$V$335=P$335),--($D869:$V869=1)),0)+SUM(P566)+IF(COUNTIF(P$641:P869,1)=1,5,0)+IF(COUNTIF(Q567:$Z567,"&gt;"&amp;0)&gt;5,IF(MOD(COUNTIF(P$641:P869,1),7)=0,$C$4,0),0)</f>
        <v>302.560773809524</v>
      </c>
      <c r="Q567" s="81" cm="1">
        <f ca="1" t="array" ref="Q567">IF(Q869=1,OFFSET($Z$338,$B567,Q$335-1)/SUMPRODUCT(--($D$335:$V$335=Q$335),--($D869:$V869=1)),0)+SUM(Q566)+IF(COUNTIF(Q$641:Q869,1)=1,5,0)+IF(COUNTIF(R567:$Z567,"&gt;"&amp;0)&gt;5,IF(MOD(COUNTIF(Q$641:Q869,1),7)=0,$C$4,0),0)</f>
        <v>296.654523809524</v>
      </c>
      <c r="R567" s="81" cm="1">
        <f ca="1" t="array" ref="R567">IF(R869=1,OFFSET($Z$338,$B567,R$335-1)/SUMPRODUCT(--($D$335:$V$335=R$335),--($D869:$V869=1)),0)+SUM(R566)+IF(COUNTIF(R$641:R869,1)=1,5,0)+IF(COUNTIF(S567:$Z567,"&gt;"&amp;0)&gt;5,IF(MOD(COUNTIF(R$641:R869,1),7)=0,$C$4,0),0)</f>
        <v>271.759523809524</v>
      </c>
      <c r="S567" s="81" cm="1">
        <f ca="1" t="array" ref="S567">IF(S869=1,OFFSET($Z$338,$B567,S$335-1)/SUMPRODUCT(--($D$335:$V$335=S$335),--($D869:$V869=1)),0)+SUM(S566)+IF(COUNTIF(S$641:S869,1)=1,5,0)+IF(COUNTIF(T567:$Z567,"&gt;"&amp;0)&gt;5,IF(MOD(COUNTIF(S$641:S869,1),7)=0,$C$4,0),0)</f>
        <v>267.592857142857</v>
      </c>
      <c r="T567" s="81" cm="1">
        <f ca="1" t="array" ref="T567">IF(T869=1,OFFSET($Z$338,$B567,T$335-1)/SUMPRODUCT(--($D$335:$V$335=T$335),--($D869:$V869=1)),0)+SUM(T566)+IF(COUNTIF(T$641:T869,1)=1,5,0)+IF(COUNTIF(U567:$Z567,"&gt;"&amp;0)&gt;5,IF(MOD(COUNTIF(T$641:T869,1),7)=0,$C$4,0),0)</f>
        <v>137.656257829764</v>
      </c>
      <c r="U567" s="81" cm="1">
        <f ca="1" t="array" ref="U567">IF(U869=1,OFFSET($Z$338,$B567,U$335-1)/SUMPRODUCT(--($D$335:$V$335=U$335),--($D869:$V869=1)),0)+SUM(U566)+IF(COUNTIF(U$641:U869,1)=1,5,0)+IF(COUNTIF(V567:$Z567,"&gt;"&amp;0)&gt;5,IF(MOD(COUNTIF(U$641:U869,1),7)=0,$C$4,0),0)</f>
        <v>97.6562578297643</v>
      </c>
      <c r="V567" s="81" cm="1">
        <f ca="1" t="array" ref="V567">IF(V869=1,OFFSET($Z$338,$B567,V$335-1)/SUMPRODUCT(--($D$335:$V$335=V$335),--($D869:$V869=1)),0)+SUM(V566)+IF(COUNTIF(V$641:V869,1)=1,5,0)+IF(COUNTIF(Z567:$Z567,"&gt;"&amp;0)&gt;5,IF(MOD(COUNTIF(V$641:V869,1),7)=0,$C$4,0),0)</f>
        <v>89.6984386404824</v>
      </c>
      <c r="W567" s="81" cm="1">
        <f ca="1" t="array" ref="W567">IF(W869=1,OFFSET($Z$338,$B567,W$335-1)/SUMPRODUCT(--($D$335:$V$335=W$335),--($D869:$V869=1)),0)+SUM(W566)+IF(COUNTIF(W$641:W869,1)=1,5,0)+IF(COUNTIF($Z567:AA567,"&gt;"&amp;0)&gt;5,IF(MOD(COUNTIF(W$641:W869,1),7)=0,$C$4,0),0)</f>
        <v>80.3425695255331</v>
      </c>
      <c r="X567" s="81" cm="1">
        <f ca="1" t="array" ref="X567">IF(X869=1,OFFSET($Z$338,$B567,X$335-1)/SUMPRODUCT(--($D$335:$V$335=X$335),--($D869:$V869=1)),0)+SUM(X566)+IF(COUNTIF(X$641:X869,1)=1,5,0)+IF(COUNTIF($Z567:AB567,"&gt;"&amp;0)&gt;5,IF(MOD(COUNTIF(X$641:X869,1),7)=0,$C$4,0),0)</f>
        <v>73.5789092348996</v>
      </c>
      <c r="Y567" s="81" cm="1">
        <f ca="1" t="array" ref="Y567">IF(Y869=1,OFFSET($Z$338,$B567,Y$335-1)/SUMPRODUCT(--($D$335:$V$335=Y$335),--($D869:$V869=1)),0)+SUM(Y566)+IF(COUNTIF(Y$641:Y869,1)=1,5,0)+IF(COUNTIF($Z567:AC567,"&gt;"&amp;0)&gt;5,IF(MOD(COUNTIF(Y$641:Y869,1),7)=0,$C$4,0),0)</f>
        <v>66.8152489442662</v>
      </c>
      <c r="Z567" s="82" cm="1">
        <f ca="1" t="array" ref="Z567">SUMPRODUCT(TRANSPOSE($AD567:$AJ567),OFFSET($L$10:$L$16,0,Z$335-1))</f>
        <v>0</v>
      </c>
      <c r="AA567" s="82" cm="1">
        <f ca="1" t="array" ref="AA567">SUMPRODUCT(TRANSPOSE($AD567:$AJ567),OFFSET($L$10:$L$16,0,AA$335-1))</f>
        <v>0</v>
      </c>
      <c r="AB567" s="82" cm="1">
        <f ca="1" t="array" ref="AB567">SUMPRODUCT(TRANSPOSE($AD567:$AJ567),OFFSET($L$10:$L$16,0,AB$335-1))</f>
        <v>0</v>
      </c>
      <c r="AC567" s="82" cm="1">
        <f ca="1" t="array" ref="AC567">SUMPRODUCT(TRANSPOSE($AD567:$AJ567),OFFSET($L$10:$L$16,0,AC$335-1))</f>
        <v>0</v>
      </c>
      <c r="AD567" s="83">
        <f ca="1" t="shared" ref="AD567:AJ567" si="783">AK567-AK566</f>
        <v>0</v>
      </c>
      <c r="AE567" s="83">
        <f ca="1" t="shared" si="783"/>
        <v>0</v>
      </c>
      <c r="AF567" s="83">
        <f ca="1" t="shared" si="783"/>
        <v>0</v>
      </c>
      <c r="AG567" s="83">
        <f ca="1" t="shared" si="783"/>
        <v>0</v>
      </c>
      <c r="AH567" s="83">
        <f ca="1" t="shared" si="783"/>
        <v>0</v>
      </c>
      <c r="AI567" s="83">
        <f ca="1" t="shared" si="783"/>
        <v>0</v>
      </c>
      <c r="AJ567" s="83">
        <f ca="1" t="shared" si="783"/>
        <v>0</v>
      </c>
      <c r="AK567" s="83">
        <f ca="1" t="shared" si="711"/>
        <v>450</v>
      </c>
      <c r="AL567" s="83">
        <f ca="1" t="shared" ref="AL567:AQ567" si="784">IF($C567&gt;OFFSET($Q$9,MATCH(AL$338,$AK$338:$AQ$338,0),0),OFFSET($P$9,MATCH(AL$338,$AK$338:$AQ$338,0),0),MAX(0,$C567-OFFSET($Q$9,RIGHT(AL$338,1)-1,0)))</f>
        <v>909</v>
      </c>
      <c r="AM567" s="83">
        <f ca="1" t="shared" si="784"/>
        <v>1818</v>
      </c>
      <c r="AN567" s="83">
        <f ca="1" t="shared" si="784"/>
        <v>2727</v>
      </c>
      <c r="AO567" s="83">
        <f ca="1" t="shared" si="784"/>
        <v>3636</v>
      </c>
      <c r="AP567" s="83">
        <f ca="1" t="shared" si="784"/>
        <v>4545</v>
      </c>
      <c r="AQ567" s="83">
        <f ca="1" t="shared" si="784"/>
        <v>0</v>
      </c>
    </row>
    <row r="568" ht="16.5" spans="2:43">
      <c r="B568" s="65">
        <v>230</v>
      </c>
      <c r="C568" s="80">
        <f t="shared" si="709"/>
        <v>26626</v>
      </c>
      <c r="D568" s="81" cm="1">
        <f ca="1" t="array" ref="D568">IF(D870=1,OFFSET($Z$338,$B568,D$335-1)/SUMPRODUCT(--($D$335:$V$335=D$335),--($D870:$V870=1)),0)+SUM(D567)+IF(COUNTIF(D$641:D870,1)=1,5,0)+IF(COUNTIF(E568:$Z568,"&gt;"&amp;0)&gt;5,IF(MOD(COUNTIF(D$641:D870,1),7)=0,$C$4,0),0)</f>
        <v>1278.82134856666</v>
      </c>
      <c r="E568" s="81" cm="1">
        <f ca="1" t="array" ref="E568">IF(E870=1,OFFSET($Z$338,$B568,E$335-1)/SUMPRODUCT(--($D$335:$V$335=E$335),--($D870:$V870=1)),0)+SUM(E567)+IF(COUNTIF(E$641:E870,1)=1,5,0)+IF(COUNTIF(F568:$Z568,"&gt;"&amp;0)&gt;5,IF(MOD(COUNTIF(E$641:E870,1),7)=0,$C$4,0),0)</f>
        <v>1278.82134856666</v>
      </c>
      <c r="F568" s="81" cm="1">
        <f ca="1" t="array" ref="F568">IF(F870=1,OFFSET($Z$338,$B568,F$335-1)/SUMPRODUCT(--($D$335:$V$335=F$335),--($D870:$V870=1)),0)+SUM(F567)+IF(COUNTIF(F$641:F870,1)=1,5,0)+IF(COUNTIF(G568:$Z568,"&gt;"&amp;0)&gt;5,IF(MOD(COUNTIF(F$641:F870,1),7)=0,$C$4,0),0)</f>
        <v>1278.82134856666</v>
      </c>
      <c r="G568" s="81" cm="1">
        <f ca="1" t="array" ref="G568">IF(G870=1,OFFSET($Z$338,$B568,G$335-1)/SUMPRODUCT(--($D$335:$V$335=G$335),--($D870:$V870=1)),0)+SUM(G567)+IF(COUNTIF(G$641:G870,1)=1,5,0)+IF(COUNTIF(H568:$Z568,"&gt;"&amp;0)&gt;5,IF(MOD(COUNTIF(G$641:G870,1),7)=0,$C$4,0),0)</f>
        <v>567.516666666668</v>
      </c>
      <c r="H568" s="81" cm="1">
        <f ca="1" t="array" ref="H568">IF(H870=1,OFFSET($Z$338,$B568,H$335-1)/SUMPRODUCT(--($D$335:$V$335=H$335),--($D870:$V870=1)),0)+SUM(H567)+IF(COUNTIF(H$641:H870,1)=1,5,0)+IF(COUNTIF(I568:$Z568,"&gt;"&amp;0)&gt;5,IF(MOD(COUNTIF(H$641:H870,1),7)=0,$C$4,0),0)</f>
        <v>567.516666666668</v>
      </c>
      <c r="I568" s="81" cm="1">
        <f ca="1" t="array" ref="I568">IF(I870=1,OFFSET($Z$338,$B568,I$335-1)/SUMPRODUCT(--($D$335:$V$335=I$335),--($D870:$V870=1)),0)+SUM(I567)+IF(COUNTIF(I$641:I870,1)=1,5,0)+IF(COUNTIF(J568:$Z568,"&gt;"&amp;0)&gt;5,IF(MOD(COUNTIF(I$641:I870,1),7)=0,$C$4,0),0)</f>
        <v>567.516666666668</v>
      </c>
      <c r="J568" s="81" cm="1">
        <f ca="1" t="array" ref="J568">IF(J870=1,OFFSET($Z$338,$B568,J$335-1)/SUMPRODUCT(--($D$335:$V$335=J$335),--($D870:$V870=1)),0)+SUM(J567)+IF(COUNTIF(J$641:J870,1)=1,5,0)+IF(COUNTIF(K568:$Z568,"&gt;"&amp;0)&gt;5,IF(MOD(COUNTIF(J$641:J870,1),7)=0,$C$4,0),0)</f>
        <v>567.516666666668</v>
      </c>
      <c r="K568" s="81" cm="1">
        <f ca="1" t="array" ref="K568">IF(K870=1,OFFSET($Z$338,$B568,K$335-1)/SUMPRODUCT(--($D$335:$V$335=K$335),--($D870:$V870=1)),0)+SUM(K567)+IF(COUNTIF(K$641:K870,1)=1,5,0)+IF(COUNTIF(L568:$Z568,"&gt;"&amp;0)&gt;5,IF(MOD(COUNTIF(K$641:K870,1),7)=0,$C$4,0),0)</f>
        <v>567.516666666668</v>
      </c>
      <c r="L568" s="81" cm="1">
        <f ca="1" t="array" ref="L568">IF(L870=1,OFFSET($Z$338,$B568,L$335-1)/SUMPRODUCT(--($D$335:$V$335=L$335),--($D870:$V870=1)),0)+SUM(L567)+IF(COUNTIF(L$641:L870,1)=1,5,0)+IF(COUNTIF(M568:$Z568,"&gt;"&amp;0)&gt;5,IF(MOD(COUNTIF(L$641:L870,1),7)=0,$C$4,0),0)</f>
        <v>560.816666666668</v>
      </c>
      <c r="M568" s="81" cm="1">
        <f ca="1" t="array" ref="M568">IF(M870=1,OFFSET($Z$338,$B568,M$335-1)/SUMPRODUCT(--($D$335:$V$335=M$335),--($D870:$V870=1)),0)+SUM(M567)+IF(COUNTIF(M$641:M870,1)=1,5,0)+IF(COUNTIF(N568:$Z568,"&gt;"&amp;0)&gt;5,IF(MOD(COUNTIF(M$641:M870,1),7)=0,$C$4,0),0)</f>
        <v>315.644107142858</v>
      </c>
      <c r="N568" s="81" cm="1">
        <f ca="1" t="array" ref="N568">IF(N870=1,OFFSET($Z$338,$B568,N$335-1)/SUMPRODUCT(--($D$335:$V$335=N$335),--($D870:$V870=1)),0)+SUM(N567)+IF(COUNTIF(N$641:N870,1)=1,5,0)+IF(COUNTIF(O568:$Z568,"&gt;"&amp;0)&gt;5,IF(MOD(COUNTIF(N$641:N870,1),7)=0,$C$4,0),0)</f>
        <v>307.919107142858</v>
      </c>
      <c r="O568" s="81" cm="1">
        <f ca="1" t="array" ref="O568">IF(O870=1,OFFSET($Z$338,$B568,O$335-1)/SUMPRODUCT(--($D$335:$V$335=O$335),--($D870:$V870=1)),0)+SUM(O567)+IF(COUNTIF(O$641:O870,1)=1,5,0)+IF(COUNTIF(P568:$Z568,"&gt;"&amp;0)&gt;5,IF(MOD(COUNTIF(O$641:O870,1),7)=0,$C$4,0),0)</f>
        <v>305.494107142858</v>
      </c>
      <c r="P568" s="81" cm="1">
        <f ca="1" t="array" ref="P568">IF(P870=1,OFFSET($Z$338,$B568,P$335-1)/SUMPRODUCT(--($D$335:$V$335=P$335),--($D870:$V870=1)),0)+SUM(P567)+IF(COUNTIF(P$641:P870,1)=1,5,0)+IF(COUNTIF(Q568:$Z568,"&gt;"&amp;0)&gt;5,IF(MOD(COUNTIF(P$641:P870,1),7)=0,$C$4,0),0)</f>
        <v>302.560773809524</v>
      </c>
      <c r="Q568" s="81" cm="1">
        <f ca="1" t="array" ref="Q568">IF(Q870=1,OFFSET($Z$338,$B568,Q$335-1)/SUMPRODUCT(--($D$335:$V$335=Q$335),--($D870:$V870=1)),0)+SUM(Q567)+IF(COUNTIF(Q$641:Q870,1)=1,5,0)+IF(COUNTIF(R568:$Z568,"&gt;"&amp;0)&gt;5,IF(MOD(COUNTIF(Q$641:Q870,1),7)=0,$C$4,0),0)</f>
        <v>301.654523809524</v>
      </c>
      <c r="R568" s="81" cm="1">
        <f ca="1" t="array" ref="R568">IF(R870=1,OFFSET($Z$338,$B568,R$335-1)/SUMPRODUCT(--($D$335:$V$335=R$335),--($D870:$V870=1)),0)+SUM(R567)+IF(COUNTIF(R$641:R870,1)=1,5,0)+IF(COUNTIF(S568:$Z568,"&gt;"&amp;0)&gt;5,IF(MOD(COUNTIF(R$641:R870,1),7)=0,$C$4,0),0)</f>
        <v>271.759523809524</v>
      </c>
      <c r="S568" s="81" cm="1">
        <f ca="1" t="array" ref="S568">IF(S870=1,OFFSET($Z$338,$B568,S$335-1)/SUMPRODUCT(--($D$335:$V$335=S$335),--($D870:$V870=1)),0)+SUM(S567)+IF(COUNTIF(S$641:S870,1)=1,5,0)+IF(COUNTIF(T568:$Z568,"&gt;"&amp;0)&gt;5,IF(MOD(COUNTIF(S$641:S870,1),7)=0,$C$4,0),0)</f>
        <v>267.592857142857</v>
      </c>
      <c r="T568" s="81" cm="1">
        <f ca="1" t="array" ref="T568">IF(T870=1,OFFSET($Z$338,$B568,T$335-1)/SUMPRODUCT(--($D$335:$V$335=T$335),--($D870:$V870=1)),0)+SUM(T567)+IF(COUNTIF(T$641:T870,1)=1,5,0)+IF(COUNTIF(U568:$Z568,"&gt;"&amp;0)&gt;5,IF(MOD(COUNTIF(T$641:T870,1),7)=0,$C$4,0),0)</f>
        <v>137.656257829764</v>
      </c>
      <c r="U568" s="81" cm="1">
        <f ca="1" t="array" ref="U568">IF(U870=1,OFFSET($Z$338,$B568,U$335-1)/SUMPRODUCT(--($D$335:$V$335=U$335),--($D870:$V870=1)),0)+SUM(U567)+IF(COUNTIF(U$641:U870,1)=1,5,0)+IF(COUNTIF(V568:$Z568,"&gt;"&amp;0)&gt;5,IF(MOD(COUNTIF(U$641:U870,1),7)=0,$C$4,0),0)</f>
        <v>97.6562578297643</v>
      </c>
      <c r="V568" s="81" cm="1">
        <f ca="1" t="array" ref="V568">IF(V870=1,OFFSET($Z$338,$B568,V$335-1)/SUMPRODUCT(--($D$335:$V$335=V$335),--($D870:$V870=1)),0)+SUM(V567)+IF(COUNTIF(V$641:V870,1)=1,5,0)+IF(COUNTIF(Z568:$Z568,"&gt;"&amp;0)&gt;5,IF(MOD(COUNTIF(V$641:V870,1),7)=0,$C$4,0),0)</f>
        <v>89.6984386404824</v>
      </c>
      <c r="W568" s="81" cm="1">
        <f ca="1" t="array" ref="W568">IF(W870=1,OFFSET($Z$338,$B568,W$335-1)/SUMPRODUCT(--($D$335:$V$335=W$335),--($D870:$V870=1)),0)+SUM(W567)+IF(COUNTIF(W$641:W870,1)=1,5,0)+IF(COUNTIF($Z568:AA568,"&gt;"&amp;0)&gt;5,IF(MOD(COUNTIF(W$641:W870,1),7)=0,$C$4,0),0)</f>
        <v>80.3425695255331</v>
      </c>
      <c r="X568" s="81" cm="1">
        <f ca="1" t="array" ref="X568">IF(X870=1,OFFSET($Z$338,$B568,X$335-1)/SUMPRODUCT(--($D$335:$V$335=X$335),--($D870:$V870=1)),0)+SUM(X567)+IF(COUNTIF(X$641:X870,1)=1,5,0)+IF(COUNTIF($Z568:AB568,"&gt;"&amp;0)&gt;5,IF(MOD(COUNTIF(X$641:X870,1),7)=0,$C$4,0),0)</f>
        <v>73.5789092348996</v>
      </c>
      <c r="Y568" s="81" cm="1">
        <f ca="1" t="array" ref="Y568">IF(Y870=1,OFFSET($Z$338,$B568,Y$335-1)/SUMPRODUCT(--($D$335:$V$335=Y$335),--($D870:$V870=1)),0)+SUM(Y567)+IF(COUNTIF(Y$641:Y870,1)=1,5,0)+IF(COUNTIF($Z568:AC568,"&gt;"&amp;0)&gt;5,IF(MOD(COUNTIF(Y$641:Y870,1),7)=0,$C$4,0),0)</f>
        <v>66.8152489442662</v>
      </c>
      <c r="Z568" s="82" cm="1">
        <f ca="1" t="array" ref="Z568">SUMPRODUCT(TRANSPOSE($AD568:$AJ568),OFFSET($L$10:$L$16,0,Z$335-1))</f>
        <v>0</v>
      </c>
      <c r="AA568" s="82" cm="1">
        <f ca="1" t="array" ref="AA568">SUMPRODUCT(TRANSPOSE($AD568:$AJ568),OFFSET($L$10:$L$16,0,AA$335-1))</f>
        <v>0</v>
      </c>
      <c r="AB568" s="82" cm="1">
        <f ca="1" t="array" ref="AB568">SUMPRODUCT(TRANSPOSE($AD568:$AJ568),OFFSET($L$10:$L$16,0,AB$335-1))</f>
        <v>0</v>
      </c>
      <c r="AC568" s="82" cm="1">
        <f ca="1" t="array" ref="AC568">SUMPRODUCT(TRANSPOSE($AD568:$AJ568),OFFSET($L$10:$L$16,0,AC$335-1))</f>
        <v>0</v>
      </c>
      <c r="AD568" s="83">
        <f ca="1" t="shared" ref="AD568:AJ568" si="785">AK568-AK567</f>
        <v>0</v>
      </c>
      <c r="AE568" s="83">
        <f ca="1" t="shared" si="785"/>
        <v>0</v>
      </c>
      <c r="AF568" s="83">
        <f ca="1" t="shared" si="785"/>
        <v>0</v>
      </c>
      <c r="AG568" s="83">
        <f ca="1" t="shared" si="785"/>
        <v>0</v>
      </c>
      <c r="AH568" s="83">
        <f ca="1" t="shared" si="785"/>
        <v>0</v>
      </c>
      <c r="AI568" s="83">
        <f ca="1" t="shared" si="785"/>
        <v>0</v>
      </c>
      <c r="AJ568" s="83">
        <f ca="1" t="shared" si="785"/>
        <v>0</v>
      </c>
      <c r="AK568" s="83">
        <f ca="1" t="shared" si="711"/>
        <v>450</v>
      </c>
      <c r="AL568" s="83">
        <f ca="1" t="shared" ref="AL568:AQ568" si="786">IF($C568&gt;OFFSET($Q$9,MATCH(AL$338,$AK$338:$AQ$338,0),0),OFFSET($P$9,MATCH(AL$338,$AK$338:$AQ$338,0),0),MAX(0,$C568-OFFSET($Q$9,RIGHT(AL$338,1)-1,0)))</f>
        <v>909</v>
      </c>
      <c r="AM568" s="83">
        <f ca="1" t="shared" si="786"/>
        <v>1818</v>
      </c>
      <c r="AN568" s="83">
        <f ca="1" t="shared" si="786"/>
        <v>2727</v>
      </c>
      <c r="AO568" s="83">
        <f ca="1" t="shared" si="786"/>
        <v>3636</v>
      </c>
      <c r="AP568" s="83">
        <f ca="1" t="shared" si="786"/>
        <v>4545</v>
      </c>
      <c r="AQ568" s="83">
        <f ca="1" t="shared" si="786"/>
        <v>0</v>
      </c>
    </row>
    <row r="569" ht="16.5" spans="2:43">
      <c r="B569" s="65">
        <v>231</v>
      </c>
      <c r="C569" s="80">
        <f t="shared" si="709"/>
        <v>26736</v>
      </c>
      <c r="D569" s="81" cm="1">
        <f ca="1" t="array" ref="D569">IF(D871=1,OFFSET($Z$338,$B569,D$335-1)/SUMPRODUCT(--($D$335:$V$335=D$335),--($D871:$V871=1)),0)+SUM(D568)+IF(COUNTIF(D$641:D871,1)=1,5,0)+IF(COUNTIF(E569:$Z569,"&gt;"&amp;0)&gt;5,IF(MOD(COUNTIF(D$641:D871,1),7)=0,$C$4,0),0)</f>
        <v>1283.82134856666</v>
      </c>
      <c r="E569" s="81" cm="1">
        <f ca="1" t="array" ref="E569">IF(E871=1,OFFSET($Z$338,$B569,E$335-1)/SUMPRODUCT(--($D$335:$V$335=E$335),--($D871:$V871=1)),0)+SUM(E568)+IF(COUNTIF(E$641:E871,1)=1,5,0)+IF(COUNTIF(F569:$Z569,"&gt;"&amp;0)&gt;5,IF(MOD(COUNTIF(E$641:E871,1),7)=0,$C$4,0),0)</f>
        <v>1283.82134856666</v>
      </c>
      <c r="F569" s="81" cm="1">
        <f ca="1" t="array" ref="F569">IF(F871=1,OFFSET($Z$338,$B569,F$335-1)/SUMPRODUCT(--($D$335:$V$335=F$335),--($D871:$V871=1)),0)+SUM(F568)+IF(COUNTIF(F$641:F871,1)=1,5,0)+IF(COUNTIF(G569:$Z569,"&gt;"&amp;0)&gt;5,IF(MOD(COUNTIF(F$641:F871,1),7)=0,$C$4,0),0)</f>
        <v>1283.82134856666</v>
      </c>
      <c r="G569" s="81" cm="1">
        <f ca="1" t="array" ref="G569">IF(G871=1,OFFSET($Z$338,$B569,G$335-1)/SUMPRODUCT(--($D$335:$V$335=G$335),--($D871:$V871=1)),0)+SUM(G568)+IF(COUNTIF(G$641:G871,1)=1,5,0)+IF(COUNTIF(H569:$Z569,"&gt;"&amp;0)&gt;5,IF(MOD(COUNTIF(G$641:G871,1),7)=0,$C$4,0),0)</f>
        <v>572.516666666668</v>
      </c>
      <c r="H569" s="81" cm="1">
        <f ca="1" t="array" ref="H569">IF(H871=1,OFFSET($Z$338,$B569,H$335-1)/SUMPRODUCT(--($D$335:$V$335=H$335),--($D871:$V871=1)),0)+SUM(H568)+IF(COUNTIF(H$641:H871,1)=1,5,0)+IF(COUNTIF(I569:$Z569,"&gt;"&amp;0)&gt;5,IF(MOD(COUNTIF(H$641:H871,1),7)=0,$C$4,0),0)</f>
        <v>572.516666666668</v>
      </c>
      <c r="I569" s="81" cm="1">
        <f ca="1" t="array" ref="I569">IF(I871=1,OFFSET($Z$338,$B569,I$335-1)/SUMPRODUCT(--($D$335:$V$335=I$335),--($D871:$V871=1)),0)+SUM(I568)+IF(COUNTIF(I$641:I871,1)=1,5,0)+IF(COUNTIF(J569:$Z569,"&gt;"&amp;0)&gt;5,IF(MOD(COUNTIF(I$641:I871,1),7)=0,$C$4,0),0)</f>
        <v>572.516666666668</v>
      </c>
      <c r="J569" s="81" cm="1">
        <f ca="1" t="array" ref="J569">IF(J871=1,OFFSET($Z$338,$B569,J$335-1)/SUMPRODUCT(--($D$335:$V$335=J$335),--($D871:$V871=1)),0)+SUM(J568)+IF(COUNTIF(J$641:J871,1)=1,5,0)+IF(COUNTIF(K569:$Z569,"&gt;"&amp;0)&gt;5,IF(MOD(COUNTIF(J$641:J871,1),7)=0,$C$4,0),0)</f>
        <v>572.516666666668</v>
      </c>
      <c r="K569" s="81" cm="1">
        <f ca="1" t="array" ref="K569">IF(K871=1,OFFSET($Z$338,$B569,K$335-1)/SUMPRODUCT(--($D$335:$V$335=K$335),--($D871:$V871=1)),0)+SUM(K568)+IF(COUNTIF(K$641:K871,1)=1,5,0)+IF(COUNTIF(L569:$Z569,"&gt;"&amp;0)&gt;5,IF(MOD(COUNTIF(K$641:K871,1),7)=0,$C$4,0),0)</f>
        <v>572.516666666668</v>
      </c>
      <c r="L569" s="81" cm="1">
        <f ca="1" t="array" ref="L569">IF(L871=1,OFFSET($Z$338,$B569,L$335-1)/SUMPRODUCT(--($D$335:$V$335=L$335),--($D871:$V871=1)),0)+SUM(L568)+IF(COUNTIF(L$641:L871,1)=1,5,0)+IF(COUNTIF(M569:$Z569,"&gt;"&amp;0)&gt;5,IF(MOD(COUNTIF(L$641:L871,1),7)=0,$C$4,0),0)</f>
        <v>560.816666666668</v>
      </c>
      <c r="M569" s="81" cm="1">
        <f ca="1" t="array" ref="M569">IF(M871=1,OFFSET($Z$338,$B569,M$335-1)/SUMPRODUCT(--($D$335:$V$335=M$335),--($D871:$V871=1)),0)+SUM(M568)+IF(COUNTIF(M$641:M871,1)=1,5,0)+IF(COUNTIF(N569:$Z569,"&gt;"&amp;0)&gt;5,IF(MOD(COUNTIF(M$641:M871,1),7)=0,$C$4,0),0)</f>
        <v>315.644107142858</v>
      </c>
      <c r="N569" s="81" cm="1">
        <f ca="1" t="array" ref="N569">IF(N871=1,OFFSET($Z$338,$B569,N$335-1)/SUMPRODUCT(--($D$335:$V$335=N$335),--($D871:$V871=1)),0)+SUM(N568)+IF(COUNTIF(N$641:N871,1)=1,5,0)+IF(COUNTIF(O569:$Z569,"&gt;"&amp;0)&gt;5,IF(MOD(COUNTIF(N$641:N871,1),7)=0,$C$4,0),0)</f>
        <v>307.919107142858</v>
      </c>
      <c r="O569" s="81" cm="1">
        <f ca="1" t="array" ref="O569">IF(O871=1,OFFSET($Z$338,$B569,O$335-1)/SUMPRODUCT(--($D$335:$V$335=O$335),--($D871:$V871=1)),0)+SUM(O568)+IF(COUNTIF(O$641:O871,1)=1,5,0)+IF(COUNTIF(P569:$Z569,"&gt;"&amp;0)&gt;5,IF(MOD(COUNTIF(O$641:O871,1),7)=0,$C$4,0),0)</f>
        <v>305.494107142858</v>
      </c>
      <c r="P569" s="81" cm="1">
        <f ca="1" t="array" ref="P569">IF(P871=1,OFFSET($Z$338,$B569,P$335-1)/SUMPRODUCT(--($D$335:$V$335=P$335),--($D871:$V871=1)),0)+SUM(P568)+IF(COUNTIF(P$641:P871,1)=1,5,0)+IF(COUNTIF(Q569:$Z569,"&gt;"&amp;0)&gt;5,IF(MOD(COUNTIF(P$641:P871,1),7)=0,$C$4,0),0)</f>
        <v>302.560773809524</v>
      </c>
      <c r="Q569" s="81" cm="1">
        <f ca="1" t="array" ref="Q569">IF(Q871=1,OFFSET($Z$338,$B569,Q$335-1)/SUMPRODUCT(--($D$335:$V$335=Q$335),--($D871:$V871=1)),0)+SUM(Q568)+IF(COUNTIF(Q$641:Q871,1)=1,5,0)+IF(COUNTIF(R569:$Z569,"&gt;"&amp;0)&gt;5,IF(MOD(COUNTIF(Q$641:Q871,1),7)=0,$C$4,0),0)</f>
        <v>301.654523809524</v>
      </c>
      <c r="R569" s="81" cm="1">
        <f ca="1" t="array" ref="R569">IF(R871=1,OFFSET($Z$338,$B569,R$335-1)/SUMPRODUCT(--($D$335:$V$335=R$335),--($D871:$V871=1)),0)+SUM(R568)+IF(COUNTIF(R$641:R871,1)=1,5,0)+IF(COUNTIF(S569:$Z569,"&gt;"&amp;0)&gt;5,IF(MOD(COUNTIF(R$641:R871,1),7)=0,$C$4,0),0)</f>
        <v>276.759523809524</v>
      </c>
      <c r="S569" s="81" cm="1">
        <f ca="1" t="array" ref="S569">IF(S871=1,OFFSET($Z$338,$B569,S$335-1)/SUMPRODUCT(--($D$335:$V$335=S$335),--($D871:$V871=1)),0)+SUM(S568)+IF(COUNTIF(S$641:S871,1)=1,5,0)+IF(COUNTIF(T569:$Z569,"&gt;"&amp;0)&gt;5,IF(MOD(COUNTIF(S$641:S871,1),7)=0,$C$4,0),0)</f>
        <v>267.592857142857</v>
      </c>
      <c r="T569" s="81" cm="1">
        <f ca="1" t="array" ref="T569">IF(T871=1,OFFSET($Z$338,$B569,T$335-1)/SUMPRODUCT(--($D$335:$V$335=T$335),--($D871:$V871=1)),0)+SUM(T568)+IF(COUNTIF(T$641:T871,1)=1,5,0)+IF(COUNTIF(U569:$Z569,"&gt;"&amp;0)&gt;5,IF(MOD(COUNTIF(T$641:T871,1),7)=0,$C$4,0),0)</f>
        <v>137.656257829764</v>
      </c>
      <c r="U569" s="81" cm="1">
        <f ca="1" t="array" ref="U569">IF(U871=1,OFFSET($Z$338,$B569,U$335-1)/SUMPRODUCT(--($D$335:$V$335=U$335),--($D871:$V871=1)),0)+SUM(U568)+IF(COUNTIF(U$641:U871,1)=1,5,0)+IF(COUNTIF(V569:$Z569,"&gt;"&amp;0)&gt;5,IF(MOD(COUNTIF(U$641:U871,1),7)=0,$C$4,0),0)</f>
        <v>97.6562578297643</v>
      </c>
      <c r="V569" s="81" cm="1">
        <f ca="1" t="array" ref="V569">IF(V871=1,OFFSET($Z$338,$B569,V$335-1)/SUMPRODUCT(--($D$335:$V$335=V$335),--($D871:$V871=1)),0)+SUM(V568)+IF(COUNTIF(V$641:V871,1)=1,5,0)+IF(COUNTIF(Z569:$Z569,"&gt;"&amp;0)&gt;5,IF(MOD(COUNTIF(V$641:V871,1),7)=0,$C$4,0),0)</f>
        <v>89.6984386404824</v>
      </c>
      <c r="W569" s="81" cm="1">
        <f ca="1" t="array" ref="W569">IF(W871=1,OFFSET($Z$338,$B569,W$335-1)/SUMPRODUCT(--($D$335:$V$335=W$335),--($D871:$V871=1)),0)+SUM(W568)+IF(COUNTIF(W$641:W871,1)=1,5,0)+IF(COUNTIF($Z569:AA569,"&gt;"&amp;0)&gt;5,IF(MOD(COUNTIF(W$641:W871,1),7)=0,$C$4,0),0)</f>
        <v>80.3425695255331</v>
      </c>
      <c r="X569" s="81" cm="1">
        <f ca="1" t="array" ref="X569">IF(X871=1,OFFSET($Z$338,$B569,X$335-1)/SUMPRODUCT(--($D$335:$V$335=X$335),--($D871:$V871=1)),0)+SUM(X568)+IF(COUNTIF(X$641:X871,1)=1,5,0)+IF(COUNTIF($Z569:AB569,"&gt;"&amp;0)&gt;5,IF(MOD(COUNTIF(X$641:X871,1),7)=0,$C$4,0),0)</f>
        <v>73.5789092348996</v>
      </c>
      <c r="Y569" s="81" cm="1">
        <f ca="1" t="array" ref="Y569">IF(Y871=1,OFFSET($Z$338,$B569,Y$335-1)/SUMPRODUCT(--($D$335:$V$335=Y$335),--($D871:$V871=1)),0)+SUM(Y568)+IF(COUNTIF(Y$641:Y871,1)=1,5,0)+IF(COUNTIF($Z569:AC569,"&gt;"&amp;0)&gt;5,IF(MOD(COUNTIF(Y$641:Y871,1),7)=0,$C$4,0),0)</f>
        <v>66.8152489442662</v>
      </c>
      <c r="Z569" s="82" cm="1">
        <f ca="1" t="array" ref="Z569">SUMPRODUCT(TRANSPOSE($AD569:$AJ569),OFFSET($L$10:$L$16,0,Z$335-1))</f>
        <v>0</v>
      </c>
      <c r="AA569" s="82" cm="1">
        <f ca="1" t="array" ref="AA569">SUMPRODUCT(TRANSPOSE($AD569:$AJ569),OFFSET($L$10:$L$16,0,AA$335-1))</f>
        <v>0</v>
      </c>
      <c r="AB569" s="82" cm="1">
        <f ca="1" t="array" ref="AB569">SUMPRODUCT(TRANSPOSE($AD569:$AJ569),OFFSET($L$10:$L$16,0,AB$335-1))</f>
        <v>0</v>
      </c>
      <c r="AC569" s="82" cm="1">
        <f ca="1" t="array" ref="AC569">SUMPRODUCT(TRANSPOSE($AD569:$AJ569),OFFSET($L$10:$L$16,0,AC$335-1))</f>
        <v>0</v>
      </c>
      <c r="AD569" s="83">
        <f ca="1" t="shared" ref="AD569:AJ569" si="787">AK569-AK568</f>
        <v>0</v>
      </c>
      <c r="AE569" s="83">
        <f ca="1" t="shared" si="787"/>
        <v>0</v>
      </c>
      <c r="AF569" s="83">
        <f ca="1" t="shared" si="787"/>
        <v>0</v>
      </c>
      <c r="AG569" s="83">
        <f ca="1" t="shared" si="787"/>
        <v>0</v>
      </c>
      <c r="AH569" s="83">
        <f ca="1" t="shared" si="787"/>
        <v>0</v>
      </c>
      <c r="AI569" s="83">
        <f ca="1" t="shared" si="787"/>
        <v>0</v>
      </c>
      <c r="AJ569" s="83">
        <f ca="1" t="shared" si="787"/>
        <v>0</v>
      </c>
      <c r="AK569" s="83">
        <f ca="1" t="shared" si="711"/>
        <v>450</v>
      </c>
      <c r="AL569" s="83">
        <f ca="1" t="shared" ref="AL569:AQ569" si="788">IF($C569&gt;OFFSET($Q$9,MATCH(AL$338,$AK$338:$AQ$338,0),0),OFFSET($P$9,MATCH(AL$338,$AK$338:$AQ$338,0),0),MAX(0,$C569-OFFSET($Q$9,RIGHT(AL$338,1)-1,0)))</f>
        <v>909</v>
      </c>
      <c r="AM569" s="83">
        <f ca="1" t="shared" si="788"/>
        <v>1818</v>
      </c>
      <c r="AN569" s="83">
        <f ca="1" t="shared" si="788"/>
        <v>2727</v>
      </c>
      <c r="AO569" s="83">
        <f ca="1" t="shared" si="788"/>
        <v>3636</v>
      </c>
      <c r="AP569" s="83">
        <f ca="1" t="shared" si="788"/>
        <v>4545</v>
      </c>
      <c r="AQ569" s="83">
        <f ca="1" t="shared" si="788"/>
        <v>0</v>
      </c>
    </row>
    <row r="570" ht="16.5" spans="2:43">
      <c r="B570" s="65">
        <v>232</v>
      </c>
      <c r="C570" s="80">
        <f t="shared" si="709"/>
        <v>26846</v>
      </c>
      <c r="D570" s="81" cm="1">
        <f ca="1" t="array" ref="D570">IF(D872=1,OFFSET($Z$338,$B570,D$335-1)/SUMPRODUCT(--($D$335:$V$335=D$335),--($D872:$V872=1)),0)+SUM(D569)+IF(COUNTIF(D$641:D872,1)=1,5,0)+IF(COUNTIF(E570:$Z570,"&gt;"&amp;0)&gt;5,IF(MOD(COUNTIF(D$641:D872,1),7)=0,$C$4,0),0)</f>
        <v>1283.82134856666</v>
      </c>
      <c r="E570" s="81" cm="1">
        <f ca="1" t="array" ref="E570">IF(E872=1,OFFSET($Z$338,$B570,E$335-1)/SUMPRODUCT(--($D$335:$V$335=E$335),--($D872:$V872=1)),0)+SUM(E569)+IF(COUNTIF(E$641:E872,1)=1,5,0)+IF(COUNTIF(F570:$Z570,"&gt;"&amp;0)&gt;5,IF(MOD(COUNTIF(E$641:E872,1),7)=0,$C$4,0),0)</f>
        <v>1283.82134856666</v>
      </c>
      <c r="F570" s="81" cm="1">
        <f ca="1" t="array" ref="F570">IF(F872=1,OFFSET($Z$338,$B570,F$335-1)/SUMPRODUCT(--($D$335:$V$335=F$335),--($D872:$V872=1)),0)+SUM(F569)+IF(COUNTIF(F$641:F872,1)=1,5,0)+IF(COUNTIF(G570:$Z570,"&gt;"&amp;0)&gt;5,IF(MOD(COUNTIF(F$641:F872,1),7)=0,$C$4,0),0)</f>
        <v>1283.82134856666</v>
      </c>
      <c r="G570" s="81" cm="1">
        <f ca="1" t="array" ref="G570">IF(G872=1,OFFSET($Z$338,$B570,G$335-1)/SUMPRODUCT(--($D$335:$V$335=G$335),--($D872:$V872=1)),0)+SUM(G569)+IF(COUNTIF(G$641:G872,1)=1,5,0)+IF(COUNTIF(H570:$Z570,"&gt;"&amp;0)&gt;5,IF(MOD(COUNTIF(G$641:G872,1),7)=0,$C$4,0),0)</f>
        <v>572.516666666668</v>
      </c>
      <c r="H570" s="81" cm="1">
        <f ca="1" t="array" ref="H570">IF(H872=1,OFFSET($Z$338,$B570,H$335-1)/SUMPRODUCT(--($D$335:$V$335=H$335),--($D872:$V872=1)),0)+SUM(H569)+IF(COUNTIF(H$641:H872,1)=1,5,0)+IF(COUNTIF(I570:$Z570,"&gt;"&amp;0)&gt;5,IF(MOD(COUNTIF(H$641:H872,1),7)=0,$C$4,0),0)</f>
        <v>572.516666666668</v>
      </c>
      <c r="I570" s="81" cm="1">
        <f ca="1" t="array" ref="I570">IF(I872=1,OFFSET($Z$338,$B570,I$335-1)/SUMPRODUCT(--($D$335:$V$335=I$335),--($D872:$V872=1)),0)+SUM(I569)+IF(COUNTIF(I$641:I872,1)=1,5,0)+IF(COUNTIF(J570:$Z570,"&gt;"&amp;0)&gt;5,IF(MOD(COUNTIF(I$641:I872,1),7)=0,$C$4,0),0)</f>
        <v>572.516666666668</v>
      </c>
      <c r="J570" s="81" cm="1">
        <f ca="1" t="array" ref="J570">IF(J872=1,OFFSET($Z$338,$B570,J$335-1)/SUMPRODUCT(--($D$335:$V$335=J$335),--($D872:$V872=1)),0)+SUM(J569)+IF(COUNTIF(J$641:J872,1)=1,5,0)+IF(COUNTIF(K570:$Z570,"&gt;"&amp;0)&gt;5,IF(MOD(COUNTIF(J$641:J872,1),7)=0,$C$4,0),0)</f>
        <v>572.516666666668</v>
      </c>
      <c r="K570" s="81" cm="1">
        <f ca="1" t="array" ref="K570">IF(K872=1,OFFSET($Z$338,$B570,K$335-1)/SUMPRODUCT(--($D$335:$V$335=K$335),--($D872:$V872=1)),0)+SUM(K569)+IF(COUNTIF(K$641:K872,1)=1,5,0)+IF(COUNTIF(L570:$Z570,"&gt;"&amp;0)&gt;5,IF(MOD(COUNTIF(K$641:K872,1),7)=0,$C$4,0),0)</f>
        <v>572.516666666668</v>
      </c>
      <c r="L570" s="81" cm="1">
        <f ca="1" t="array" ref="L570">IF(L872=1,OFFSET($Z$338,$B570,L$335-1)/SUMPRODUCT(--($D$335:$V$335=L$335),--($D872:$V872=1)),0)+SUM(L569)+IF(COUNTIF(L$641:L872,1)=1,5,0)+IF(COUNTIF(M570:$Z570,"&gt;"&amp;0)&gt;5,IF(MOD(COUNTIF(L$641:L872,1),7)=0,$C$4,0),0)</f>
        <v>565.816666666668</v>
      </c>
      <c r="M570" s="81" cm="1">
        <f ca="1" t="array" ref="M570">IF(M872=1,OFFSET($Z$338,$B570,M$335-1)/SUMPRODUCT(--($D$335:$V$335=M$335),--($D872:$V872=1)),0)+SUM(M569)+IF(COUNTIF(M$641:M872,1)=1,5,0)+IF(COUNTIF(N570:$Z570,"&gt;"&amp;0)&gt;5,IF(MOD(COUNTIF(M$641:M872,1),7)=0,$C$4,0),0)</f>
        <v>320.644107142858</v>
      </c>
      <c r="N570" s="81" cm="1">
        <f ca="1" t="array" ref="N570">IF(N872=1,OFFSET($Z$338,$B570,N$335-1)/SUMPRODUCT(--($D$335:$V$335=N$335),--($D872:$V872=1)),0)+SUM(N569)+IF(COUNTIF(N$641:N872,1)=1,5,0)+IF(COUNTIF(O570:$Z570,"&gt;"&amp;0)&gt;5,IF(MOD(COUNTIF(N$641:N872,1),7)=0,$C$4,0),0)</f>
        <v>307.919107142858</v>
      </c>
      <c r="O570" s="81" cm="1">
        <f ca="1" t="array" ref="O570">IF(O872=1,OFFSET($Z$338,$B570,O$335-1)/SUMPRODUCT(--($D$335:$V$335=O$335),--($D872:$V872=1)),0)+SUM(O569)+IF(COUNTIF(O$641:O872,1)=1,5,0)+IF(COUNTIF(P570:$Z570,"&gt;"&amp;0)&gt;5,IF(MOD(COUNTIF(O$641:O872,1),7)=0,$C$4,0),0)</f>
        <v>305.494107142858</v>
      </c>
      <c r="P570" s="81" cm="1">
        <f ca="1" t="array" ref="P570">IF(P872=1,OFFSET($Z$338,$B570,P$335-1)/SUMPRODUCT(--($D$335:$V$335=P$335),--($D872:$V872=1)),0)+SUM(P569)+IF(COUNTIF(P$641:P872,1)=1,5,0)+IF(COUNTIF(Q570:$Z570,"&gt;"&amp;0)&gt;5,IF(MOD(COUNTIF(P$641:P872,1),7)=0,$C$4,0),0)</f>
        <v>302.560773809524</v>
      </c>
      <c r="Q570" s="81" cm="1">
        <f ca="1" t="array" ref="Q570">IF(Q872=1,OFFSET($Z$338,$B570,Q$335-1)/SUMPRODUCT(--($D$335:$V$335=Q$335),--($D872:$V872=1)),0)+SUM(Q569)+IF(COUNTIF(Q$641:Q872,1)=1,5,0)+IF(COUNTIF(R570:$Z570,"&gt;"&amp;0)&gt;5,IF(MOD(COUNTIF(Q$641:Q872,1),7)=0,$C$4,0),0)</f>
        <v>301.654523809524</v>
      </c>
      <c r="R570" s="81" cm="1">
        <f ca="1" t="array" ref="R570">IF(R872=1,OFFSET($Z$338,$B570,R$335-1)/SUMPRODUCT(--($D$335:$V$335=R$335),--($D872:$V872=1)),0)+SUM(R569)+IF(COUNTIF(R$641:R872,1)=1,5,0)+IF(COUNTIF(S570:$Z570,"&gt;"&amp;0)&gt;5,IF(MOD(COUNTIF(R$641:R872,1),7)=0,$C$4,0),0)</f>
        <v>276.759523809524</v>
      </c>
      <c r="S570" s="81" cm="1">
        <f ca="1" t="array" ref="S570">IF(S872=1,OFFSET($Z$338,$B570,S$335-1)/SUMPRODUCT(--($D$335:$V$335=S$335),--($D872:$V872=1)),0)+SUM(S569)+IF(COUNTIF(S$641:S872,1)=1,5,0)+IF(COUNTIF(T570:$Z570,"&gt;"&amp;0)&gt;5,IF(MOD(COUNTIF(S$641:S872,1),7)=0,$C$4,0),0)</f>
        <v>267.592857142857</v>
      </c>
      <c r="T570" s="81" cm="1">
        <f ca="1" t="array" ref="T570">IF(T872=1,OFFSET($Z$338,$B570,T$335-1)/SUMPRODUCT(--($D$335:$V$335=T$335),--($D872:$V872=1)),0)+SUM(T569)+IF(COUNTIF(T$641:T872,1)=1,5,0)+IF(COUNTIF(U570:$Z570,"&gt;"&amp;0)&gt;5,IF(MOD(COUNTIF(T$641:T872,1),7)=0,$C$4,0),0)</f>
        <v>137.656257829764</v>
      </c>
      <c r="U570" s="81" cm="1">
        <f ca="1" t="array" ref="U570">IF(U872=1,OFFSET($Z$338,$B570,U$335-1)/SUMPRODUCT(--($D$335:$V$335=U$335),--($D872:$V872=1)),0)+SUM(U569)+IF(COUNTIF(U$641:U872,1)=1,5,0)+IF(COUNTIF(V570:$Z570,"&gt;"&amp;0)&gt;5,IF(MOD(COUNTIF(U$641:U872,1),7)=0,$C$4,0),0)</f>
        <v>97.6562578297643</v>
      </c>
      <c r="V570" s="81" cm="1">
        <f ca="1" t="array" ref="V570">IF(V872=1,OFFSET($Z$338,$B570,V$335-1)/SUMPRODUCT(--($D$335:$V$335=V$335),--($D872:$V872=1)),0)+SUM(V569)+IF(COUNTIF(V$641:V872,1)=1,5,0)+IF(COUNTIF(Z570:$Z570,"&gt;"&amp;0)&gt;5,IF(MOD(COUNTIF(V$641:V872,1),7)=0,$C$4,0),0)</f>
        <v>89.6984386404824</v>
      </c>
      <c r="W570" s="81" cm="1">
        <f ca="1" t="array" ref="W570">IF(W872=1,OFFSET($Z$338,$B570,W$335-1)/SUMPRODUCT(--($D$335:$V$335=W$335),--($D872:$V872=1)),0)+SUM(W569)+IF(COUNTIF(W$641:W872,1)=1,5,0)+IF(COUNTIF($Z570:AA570,"&gt;"&amp;0)&gt;5,IF(MOD(COUNTIF(W$641:W872,1),7)=0,$C$4,0),0)</f>
        <v>80.3425695255331</v>
      </c>
      <c r="X570" s="81" cm="1">
        <f ca="1" t="array" ref="X570">IF(X872=1,OFFSET($Z$338,$B570,X$335-1)/SUMPRODUCT(--($D$335:$V$335=X$335),--($D872:$V872=1)),0)+SUM(X569)+IF(COUNTIF(X$641:X872,1)=1,5,0)+IF(COUNTIF($Z570:AB570,"&gt;"&amp;0)&gt;5,IF(MOD(COUNTIF(X$641:X872,1),7)=0,$C$4,0),0)</f>
        <v>73.5789092348996</v>
      </c>
      <c r="Y570" s="81" cm="1">
        <f ca="1" t="array" ref="Y570">IF(Y872=1,OFFSET($Z$338,$B570,Y$335-1)/SUMPRODUCT(--($D$335:$V$335=Y$335),--($D872:$V872=1)),0)+SUM(Y569)+IF(COUNTIF(Y$641:Y872,1)=1,5,0)+IF(COUNTIF($Z570:AC570,"&gt;"&amp;0)&gt;5,IF(MOD(COUNTIF(Y$641:Y872,1),7)=0,$C$4,0),0)</f>
        <v>66.8152489442662</v>
      </c>
      <c r="Z570" s="82" cm="1">
        <f ca="1" t="array" ref="Z570">SUMPRODUCT(TRANSPOSE($AD570:$AJ570),OFFSET($L$10:$L$16,0,Z$335-1))</f>
        <v>0</v>
      </c>
      <c r="AA570" s="82" cm="1">
        <f ca="1" t="array" ref="AA570">SUMPRODUCT(TRANSPOSE($AD570:$AJ570),OFFSET($L$10:$L$16,0,AA$335-1))</f>
        <v>0</v>
      </c>
      <c r="AB570" s="82" cm="1">
        <f ca="1" t="array" ref="AB570">SUMPRODUCT(TRANSPOSE($AD570:$AJ570),OFFSET($L$10:$L$16,0,AB$335-1))</f>
        <v>0</v>
      </c>
      <c r="AC570" s="82" cm="1">
        <f ca="1" t="array" ref="AC570">SUMPRODUCT(TRANSPOSE($AD570:$AJ570),OFFSET($L$10:$L$16,0,AC$335-1))</f>
        <v>0</v>
      </c>
      <c r="AD570" s="83">
        <f ca="1" t="shared" ref="AD570:AJ570" si="789">AK570-AK569</f>
        <v>0</v>
      </c>
      <c r="AE570" s="83">
        <f ca="1" t="shared" si="789"/>
        <v>0</v>
      </c>
      <c r="AF570" s="83">
        <f ca="1" t="shared" si="789"/>
        <v>0</v>
      </c>
      <c r="AG570" s="83">
        <f ca="1" t="shared" si="789"/>
        <v>0</v>
      </c>
      <c r="AH570" s="83">
        <f ca="1" t="shared" si="789"/>
        <v>0</v>
      </c>
      <c r="AI570" s="83">
        <f ca="1" t="shared" si="789"/>
        <v>0</v>
      </c>
      <c r="AJ570" s="83">
        <f ca="1" t="shared" si="789"/>
        <v>0</v>
      </c>
      <c r="AK570" s="83">
        <f ca="1" t="shared" si="711"/>
        <v>450</v>
      </c>
      <c r="AL570" s="83">
        <f ca="1" t="shared" ref="AL570:AQ570" si="790">IF($C570&gt;OFFSET($Q$9,MATCH(AL$338,$AK$338:$AQ$338,0),0),OFFSET($P$9,MATCH(AL$338,$AK$338:$AQ$338,0),0),MAX(0,$C570-OFFSET($Q$9,RIGHT(AL$338,1)-1,0)))</f>
        <v>909</v>
      </c>
      <c r="AM570" s="83">
        <f ca="1" t="shared" si="790"/>
        <v>1818</v>
      </c>
      <c r="AN570" s="83">
        <f ca="1" t="shared" si="790"/>
        <v>2727</v>
      </c>
      <c r="AO570" s="83">
        <f ca="1" t="shared" si="790"/>
        <v>3636</v>
      </c>
      <c r="AP570" s="83">
        <f ca="1" t="shared" si="790"/>
        <v>4545</v>
      </c>
      <c r="AQ570" s="83">
        <f ca="1" t="shared" si="790"/>
        <v>0</v>
      </c>
    </row>
    <row r="571" ht="16.5" spans="2:43">
      <c r="B571" s="65">
        <v>233</v>
      </c>
      <c r="C571" s="80">
        <f t="shared" si="709"/>
        <v>26956</v>
      </c>
      <c r="D571" s="81" cm="1">
        <f ca="1" t="array" ref="D571">IF(D873=1,OFFSET($Z$338,$B571,D$335-1)/SUMPRODUCT(--($D$335:$V$335=D$335),--($D873:$V873=1)),0)+SUM(D570)+IF(COUNTIF(D$641:D873,1)=1,5,0)+IF(COUNTIF(E571:$Z571,"&gt;"&amp;0)&gt;5,IF(MOD(COUNTIF(D$641:D873,1),7)=0,$C$4,0),0)</f>
        <v>1283.82134856666</v>
      </c>
      <c r="E571" s="81" cm="1">
        <f ca="1" t="array" ref="E571">IF(E873=1,OFFSET($Z$338,$B571,E$335-1)/SUMPRODUCT(--($D$335:$V$335=E$335),--($D873:$V873=1)),0)+SUM(E570)+IF(COUNTIF(E$641:E873,1)=1,5,0)+IF(COUNTIF(F571:$Z571,"&gt;"&amp;0)&gt;5,IF(MOD(COUNTIF(E$641:E873,1),7)=0,$C$4,0),0)</f>
        <v>1283.82134856666</v>
      </c>
      <c r="F571" s="81" cm="1">
        <f ca="1" t="array" ref="F571">IF(F873=1,OFFSET($Z$338,$B571,F$335-1)/SUMPRODUCT(--($D$335:$V$335=F$335),--($D873:$V873=1)),0)+SUM(F570)+IF(COUNTIF(F$641:F873,1)=1,5,0)+IF(COUNTIF(G571:$Z571,"&gt;"&amp;0)&gt;5,IF(MOD(COUNTIF(F$641:F873,1),7)=0,$C$4,0),0)</f>
        <v>1283.82134856666</v>
      </c>
      <c r="G571" s="81" cm="1">
        <f ca="1" t="array" ref="G571">IF(G873=1,OFFSET($Z$338,$B571,G$335-1)/SUMPRODUCT(--($D$335:$V$335=G$335),--($D873:$V873=1)),0)+SUM(G570)+IF(COUNTIF(G$641:G873,1)=1,5,0)+IF(COUNTIF(H571:$Z571,"&gt;"&amp;0)&gt;5,IF(MOD(COUNTIF(G$641:G873,1),7)=0,$C$4,0),0)</f>
        <v>572.516666666668</v>
      </c>
      <c r="H571" s="81" cm="1">
        <f ca="1" t="array" ref="H571">IF(H873=1,OFFSET($Z$338,$B571,H$335-1)/SUMPRODUCT(--($D$335:$V$335=H$335),--($D873:$V873=1)),0)+SUM(H570)+IF(COUNTIF(H$641:H873,1)=1,5,0)+IF(COUNTIF(I571:$Z571,"&gt;"&amp;0)&gt;5,IF(MOD(COUNTIF(H$641:H873,1),7)=0,$C$4,0),0)</f>
        <v>572.516666666668</v>
      </c>
      <c r="I571" s="81" cm="1">
        <f ca="1" t="array" ref="I571">IF(I873=1,OFFSET($Z$338,$B571,I$335-1)/SUMPRODUCT(--($D$335:$V$335=I$335),--($D873:$V873=1)),0)+SUM(I570)+IF(COUNTIF(I$641:I873,1)=1,5,0)+IF(COUNTIF(J571:$Z571,"&gt;"&amp;0)&gt;5,IF(MOD(COUNTIF(I$641:I873,1),7)=0,$C$4,0),0)</f>
        <v>572.516666666668</v>
      </c>
      <c r="J571" s="81" cm="1">
        <f ca="1" t="array" ref="J571">IF(J873=1,OFFSET($Z$338,$B571,J$335-1)/SUMPRODUCT(--($D$335:$V$335=J$335),--($D873:$V873=1)),0)+SUM(J570)+IF(COUNTIF(J$641:J873,1)=1,5,0)+IF(COUNTIF(K571:$Z571,"&gt;"&amp;0)&gt;5,IF(MOD(COUNTIF(J$641:J873,1),7)=0,$C$4,0),0)</f>
        <v>572.516666666668</v>
      </c>
      <c r="K571" s="81" cm="1">
        <f ca="1" t="array" ref="K571">IF(K873=1,OFFSET($Z$338,$B571,K$335-1)/SUMPRODUCT(--($D$335:$V$335=K$335),--($D873:$V873=1)),0)+SUM(K570)+IF(COUNTIF(K$641:K873,1)=1,5,0)+IF(COUNTIF(L571:$Z571,"&gt;"&amp;0)&gt;5,IF(MOD(COUNTIF(K$641:K873,1),7)=0,$C$4,0),0)</f>
        <v>572.516666666668</v>
      </c>
      <c r="L571" s="81" cm="1">
        <f ca="1" t="array" ref="L571">IF(L873=1,OFFSET($Z$338,$B571,L$335-1)/SUMPRODUCT(--($D$335:$V$335=L$335),--($D873:$V873=1)),0)+SUM(L570)+IF(COUNTIF(L$641:L873,1)=1,5,0)+IF(COUNTIF(M571:$Z571,"&gt;"&amp;0)&gt;5,IF(MOD(COUNTIF(L$641:L873,1),7)=0,$C$4,0),0)</f>
        <v>565.816666666668</v>
      </c>
      <c r="M571" s="81" cm="1">
        <f ca="1" t="array" ref="M571">IF(M873=1,OFFSET($Z$338,$B571,M$335-1)/SUMPRODUCT(--($D$335:$V$335=M$335),--($D873:$V873=1)),0)+SUM(M570)+IF(COUNTIF(M$641:M873,1)=1,5,0)+IF(COUNTIF(N571:$Z571,"&gt;"&amp;0)&gt;5,IF(MOD(COUNTIF(M$641:M873,1),7)=0,$C$4,0),0)</f>
        <v>320.644107142858</v>
      </c>
      <c r="N571" s="81" cm="1">
        <f ca="1" t="array" ref="N571">IF(N873=1,OFFSET($Z$338,$B571,N$335-1)/SUMPRODUCT(--($D$335:$V$335=N$335),--($D873:$V873=1)),0)+SUM(N570)+IF(COUNTIF(N$641:N873,1)=1,5,0)+IF(COUNTIF(O571:$Z571,"&gt;"&amp;0)&gt;5,IF(MOD(COUNTIF(N$641:N873,1),7)=0,$C$4,0),0)</f>
        <v>312.919107142858</v>
      </c>
      <c r="O571" s="81" cm="1">
        <f ca="1" t="array" ref="O571">IF(O873=1,OFFSET($Z$338,$B571,O$335-1)/SUMPRODUCT(--($D$335:$V$335=O$335),--($D873:$V873=1)),0)+SUM(O570)+IF(COUNTIF(O$641:O873,1)=1,5,0)+IF(COUNTIF(P571:$Z571,"&gt;"&amp;0)&gt;5,IF(MOD(COUNTIF(O$641:O873,1),7)=0,$C$4,0),0)</f>
        <v>305.494107142858</v>
      </c>
      <c r="P571" s="81" cm="1">
        <f ca="1" t="array" ref="P571">IF(P873=1,OFFSET($Z$338,$B571,P$335-1)/SUMPRODUCT(--($D$335:$V$335=P$335),--($D873:$V873=1)),0)+SUM(P570)+IF(COUNTIF(P$641:P873,1)=1,5,0)+IF(COUNTIF(Q571:$Z571,"&gt;"&amp;0)&gt;5,IF(MOD(COUNTIF(P$641:P873,1),7)=0,$C$4,0),0)</f>
        <v>302.560773809524</v>
      </c>
      <c r="Q571" s="81" cm="1">
        <f ca="1" t="array" ref="Q571">IF(Q873=1,OFFSET($Z$338,$B571,Q$335-1)/SUMPRODUCT(--($D$335:$V$335=Q$335),--($D873:$V873=1)),0)+SUM(Q570)+IF(COUNTIF(Q$641:Q873,1)=1,5,0)+IF(COUNTIF(R571:$Z571,"&gt;"&amp;0)&gt;5,IF(MOD(COUNTIF(Q$641:Q873,1),7)=0,$C$4,0),0)</f>
        <v>301.654523809524</v>
      </c>
      <c r="R571" s="81" cm="1">
        <f ca="1" t="array" ref="R571">IF(R873=1,OFFSET($Z$338,$B571,R$335-1)/SUMPRODUCT(--($D$335:$V$335=R$335),--($D873:$V873=1)),0)+SUM(R570)+IF(COUNTIF(R$641:R873,1)=1,5,0)+IF(COUNTIF(S571:$Z571,"&gt;"&amp;0)&gt;5,IF(MOD(COUNTIF(R$641:R873,1),7)=0,$C$4,0),0)</f>
        <v>276.759523809524</v>
      </c>
      <c r="S571" s="81" cm="1">
        <f ca="1" t="array" ref="S571">IF(S873=1,OFFSET($Z$338,$B571,S$335-1)/SUMPRODUCT(--($D$335:$V$335=S$335),--($D873:$V873=1)),0)+SUM(S570)+IF(COUNTIF(S$641:S873,1)=1,5,0)+IF(COUNTIF(T571:$Z571,"&gt;"&amp;0)&gt;5,IF(MOD(COUNTIF(S$641:S873,1),7)=0,$C$4,0),0)</f>
        <v>267.592857142857</v>
      </c>
      <c r="T571" s="81" cm="1">
        <f ca="1" t="array" ref="T571">IF(T873=1,OFFSET($Z$338,$B571,T$335-1)/SUMPRODUCT(--($D$335:$V$335=T$335),--($D873:$V873=1)),0)+SUM(T570)+IF(COUNTIF(T$641:T873,1)=1,5,0)+IF(COUNTIF(U571:$Z571,"&gt;"&amp;0)&gt;5,IF(MOD(COUNTIF(T$641:T873,1),7)=0,$C$4,0),0)</f>
        <v>137.656257829764</v>
      </c>
      <c r="U571" s="81" cm="1">
        <f ca="1" t="array" ref="U571">IF(U873=1,OFFSET($Z$338,$B571,U$335-1)/SUMPRODUCT(--($D$335:$V$335=U$335),--($D873:$V873=1)),0)+SUM(U570)+IF(COUNTIF(U$641:U873,1)=1,5,0)+IF(COUNTIF(V571:$Z571,"&gt;"&amp;0)&gt;5,IF(MOD(COUNTIF(U$641:U873,1),7)=0,$C$4,0),0)</f>
        <v>97.6562578297643</v>
      </c>
      <c r="V571" s="81" cm="1">
        <f ca="1" t="array" ref="V571">IF(V873=1,OFFSET($Z$338,$B571,V$335-1)/SUMPRODUCT(--($D$335:$V$335=V$335),--($D873:$V873=1)),0)+SUM(V570)+IF(COUNTIF(V$641:V873,1)=1,5,0)+IF(COUNTIF(Z571:$Z571,"&gt;"&amp;0)&gt;5,IF(MOD(COUNTIF(V$641:V873,1),7)=0,$C$4,0),0)</f>
        <v>89.6984386404824</v>
      </c>
      <c r="W571" s="81" cm="1">
        <f ca="1" t="array" ref="W571">IF(W873=1,OFFSET($Z$338,$B571,W$335-1)/SUMPRODUCT(--($D$335:$V$335=W$335),--($D873:$V873=1)),0)+SUM(W570)+IF(COUNTIF(W$641:W873,1)=1,5,0)+IF(COUNTIF($Z571:AA571,"&gt;"&amp;0)&gt;5,IF(MOD(COUNTIF(W$641:W873,1),7)=0,$C$4,0),0)</f>
        <v>80.3425695255331</v>
      </c>
      <c r="X571" s="81" cm="1">
        <f ca="1" t="array" ref="X571">IF(X873=1,OFFSET($Z$338,$B571,X$335-1)/SUMPRODUCT(--($D$335:$V$335=X$335),--($D873:$V873=1)),0)+SUM(X570)+IF(COUNTIF(X$641:X873,1)=1,5,0)+IF(COUNTIF($Z571:AB571,"&gt;"&amp;0)&gt;5,IF(MOD(COUNTIF(X$641:X873,1),7)=0,$C$4,0),0)</f>
        <v>73.5789092348996</v>
      </c>
      <c r="Y571" s="81" cm="1">
        <f ca="1" t="array" ref="Y571">IF(Y873=1,OFFSET($Z$338,$B571,Y$335-1)/SUMPRODUCT(--($D$335:$V$335=Y$335),--($D873:$V873=1)),0)+SUM(Y570)+IF(COUNTIF(Y$641:Y873,1)=1,5,0)+IF(COUNTIF($Z571:AC571,"&gt;"&amp;0)&gt;5,IF(MOD(COUNTIF(Y$641:Y873,1),7)=0,$C$4,0),0)</f>
        <v>66.8152489442662</v>
      </c>
      <c r="Z571" s="82" cm="1">
        <f ca="1" t="array" ref="Z571">SUMPRODUCT(TRANSPOSE($AD571:$AJ571),OFFSET($L$10:$L$16,0,Z$335-1))</f>
        <v>0</v>
      </c>
      <c r="AA571" s="82" cm="1">
        <f ca="1" t="array" ref="AA571">SUMPRODUCT(TRANSPOSE($AD571:$AJ571),OFFSET($L$10:$L$16,0,AA$335-1))</f>
        <v>0</v>
      </c>
      <c r="AB571" s="82" cm="1">
        <f ca="1" t="array" ref="AB571">SUMPRODUCT(TRANSPOSE($AD571:$AJ571),OFFSET($L$10:$L$16,0,AB$335-1))</f>
        <v>0</v>
      </c>
      <c r="AC571" s="82" cm="1">
        <f ca="1" t="array" ref="AC571">SUMPRODUCT(TRANSPOSE($AD571:$AJ571),OFFSET($L$10:$L$16,0,AC$335-1))</f>
        <v>0</v>
      </c>
      <c r="AD571" s="83">
        <f ca="1" t="shared" ref="AD571:AJ571" si="791">AK571-AK570</f>
        <v>0</v>
      </c>
      <c r="AE571" s="83">
        <f ca="1" t="shared" si="791"/>
        <v>0</v>
      </c>
      <c r="AF571" s="83">
        <f ca="1" t="shared" si="791"/>
        <v>0</v>
      </c>
      <c r="AG571" s="83">
        <f ca="1" t="shared" si="791"/>
        <v>0</v>
      </c>
      <c r="AH571" s="83">
        <f ca="1" t="shared" si="791"/>
        <v>0</v>
      </c>
      <c r="AI571" s="83">
        <f ca="1" t="shared" si="791"/>
        <v>0</v>
      </c>
      <c r="AJ571" s="83">
        <f ca="1" t="shared" si="791"/>
        <v>0</v>
      </c>
      <c r="AK571" s="83">
        <f ca="1" t="shared" si="711"/>
        <v>450</v>
      </c>
      <c r="AL571" s="83">
        <f ca="1" t="shared" ref="AL571:AQ571" si="792">IF($C571&gt;OFFSET($Q$9,MATCH(AL$338,$AK$338:$AQ$338,0),0),OFFSET($P$9,MATCH(AL$338,$AK$338:$AQ$338,0),0),MAX(0,$C571-OFFSET($Q$9,RIGHT(AL$338,1)-1,0)))</f>
        <v>909</v>
      </c>
      <c r="AM571" s="83">
        <f ca="1" t="shared" si="792"/>
        <v>1818</v>
      </c>
      <c r="AN571" s="83">
        <f ca="1" t="shared" si="792"/>
        <v>2727</v>
      </c>
      <c r="AO571" s="83">
        <f ca="1" t="shared" si="792"/>
        <v>3636</v>
      </c>
      <c r="AP571" s="83">
        <f ca="1" t="shared" si="792"/>
        <v>4545</v>
      </c>
      <c r="AQ571" s="83">
        <f ca="1" t="shared" si="792"/>
        <v>0</v>
      </c>
    </row>
    <row r="572" ht="16.5" spans="2:43">
      <c r="B572" s="65">
        <v>234</v>
      </c>
      <c r="C572" s="80">
        <f t="shared" si="709"/>
        <v>27066</v>
      </c>
      <c r="D572" s="81" cm="1">
        <f ca="1" t="array" ref="D572">IF(D874=1,OFFSET($Z$338,$B572,D$335-1)/SUMPRODUCT(--($D$335:$V$335=D$335),--($D874:$V874=1)),0)+SUM(D571)+IF(COUNTIF(D$641:D874,1)=1,5,0)+IF(COUNTIF(E572:$Z572,"&gt;"&amp;0)&gt;5,IF(MOD(COUNTIF(D$641:D874,1),7)=0,$C$4,0),0)</f>
        <v>1283.82134856666</v>
      </c>
      <c r="E572" s="81" cm="1">
        <f ca="1" t="array" ref="E572">IF(E874=1,OFFSET($Z$338,$B572,E$335-1)/SUMPRODUCT(--($D$335:$V$335=E$335),--($D874:$V874=1)),0)+SUM(E571)+IF(COUNTIF(E$641:E874,1)=1,5,0)+IF(COUNTIF(F572:$Z572,"&gt;"&amp;0)&gt;5,IF(MOD(COUNTIF(E$641:E874,1),7)=0,$C$4,0),0)</f>
        <v>1283.82134856666</v>
      </c>
      <c r="F572" s="81" cm="1">
        <f ca="1" t="array" ref="F572">IF(F874=1,OFFSET($Z$338,$B572,F$335-1)/SUMPRODUCT(--($D$335:$V$335=F$335),--($D874:$V874=1)),0)+SUM(F571)+IF(COUNTIF(F$641:F874,1)=1,5,0)+IF(COUNTIF(G572:$Z572,"&gt;"&amp;0)&gt;5,IF(MOD(COUNTIF(F$641:F874,1),7)=0,$C$4,0),0)</f>
        <v>1283.82134856666</v>
      </c>
      <c r="G572" s="81" cm="1">
        <f ca="1" t="array" ref="G572">IF(G874=1,OFFSET($Z$338,$B572,G$335-1)/SUMPRODUCT(--($D$335:$V$335=G$335),--($D874:$V874=1)),0)+SUM(G571)+IF(COUNTIF(G$641:G874,1)=1,5,0)+IF(COUNTIF(H572:$Z572,"&gt;"&amp;0)&gt;5,IF(MOD(COUNTIF(G$641:G874,1),7)=0,$C$4,0),0)</f>
        <v>572.516666666668</v>
      </c>
      <c r="H572" s="81" cm="1">
        <f ca="1" t="array" ref="H572">IF(H874=1,OFFSET($Z$338,$B572,H$335-1)/SUMPRODUCT(--($D$335:$V$335=H$335),--($D874:$V874=1)),0)+SUM(H571)+IF(COUNTIF(H$641:H874,1)=1,5,0)+IF(COUNTIF(I572:$Z572,"&gt;"&amp;0)&gt;5,IF(MOD(COUNTIF(H$641:H874,1),7)=0,$C$4,0),0)</f>
        <v>572.516666666668</v>
      </c>
      <c r="I572" s="81" cm="1">
        <f ca="1" t="array" ref="I572">IF(I874=1,OFFSET($Z$338,$B572,I$335-1)/SUMPRODUCT(--($D$335:$V$335=I$335),--($D874:$V874=1)),0)+SUM(I571)+IF(COUNTIF(I$641:I874,1)=1,5,0)+IF(COUNTIF(J572:$Z572,"&gt;"&amp;0)&gt;5,IF(MOD(COUNTIF(I$641:I874,1),7)=0,$C$4,0),0)</f>
        <v>572.516666666668</v>
      </c>
      <c r="J572" s="81" cm="1">
        <f ca="1" t="array" ref="J572">IF(J874=1,OFFSET($Z$338,$B572,J$335-1)/SUMPRODUCT(--($D$335:$V$335=J$335),--($D874:$V874=1)),0)+SUM(J571)+IF(COUNTIF(J$641:J874,1)=1,5,0)+IF(COUNTIF(K572:$Z572,"&gt;"&amp;0)&gt;5,IF(MOD(COUNTIF(J$641:J874,1),7)=0,$C$4,0),0)</f>
        <v>572.516666666668</v>
      </c>
      <c r="K572" s="81" cm="1">
        <f ca="1" t="array" ref="K572">IF(K874=1,OFFSET($Z$338,$B572,K$335-1)/SUMPRODUCT(--($D$335:$V$335=K$335),--($D874:$V874=1)),0)+SUM(K571)+IF(COUNTIF(K$641:K874,1)=1,5,0)+IF(COUNTIF(L572:$Z572,"&gt;"&amp;0)&gt;5,IF(MOD(COUNTIF(K$641:K874,1),7)=0,$C$4,0),0)</f>
        <v>572.516666666668</v>
      </c>
      <c r="L572" s="81" cm="1">
        <f ca="1" t="array" ref="L572">IF(L874=1,OFFSET($Z$338,$B572,L$335-1)/SUMPRODUCT(--($D$335:$V$335=L$335),--($D874:$V874=1)),0)+SUM(L571)+IF(COUNTIF(L$641:L874,1)=1,5,0)+IF(COUNTIF(M572:$Z572,"&gt;"&amp;0)&gt;5,IF(MOD(COUNTIF(L$641:L874,1),7)=0,$C$4,0),0)</f>
        <v>565.816666666668</v>
      </c>
      <c r="M572" s="81" cm="1">
        <f ca="1" t="array" ref="M572">IF(M874=1,OFFSET($Z$338,$B572,M$335-1)/SUMPRODUCT(--($D$335:$V$335=M$335),--($D874:$V874=1)),0)+SUM(M571)+IF(COUNTIF(M$641:M874,1)=1,5,0)+IF(COUNTIF(N572:$Z572,"&gt;"&amp;0)&gt;5,IF(MOD(COUNTIF(M$641:M874,1),7)=0,$C$4,0),0)</f>
        <v>320.644107142858</v>
      </c>
      <c r="N572" s="81" cm="1">
        <f ca="1" t="array" ref="N572">IF(N874=1,OFFSET($Z$338,$B572,N$335-1)/SUMPRODUCT(--($D$335:$V$335=N$335),--($D874:$V874=1)),0)+SUM(N571)+IF(COUNTIF(N$641:N874,1)=1,5,0)+IF(COUNTIF(O572:$Z572,"&gt;"&amp;0)&gt;5,IF(MOD(COUNTIF(N$641:N874,1),7)=0,$C$4,0),0)</f>
        <v>312.919107142858</v>
      </c>
      <c r="O572" s="81" cm="1">
        <f ca="1" t="array" ref="O572">IF(O874=1,OFFSET($Z$338,$B572,O$335-1)/SUMPRODUCT(--($D$335:$V$335=O$335),--($D874:$V874=1)),0)+SUM(O571)+IF(COUNTIF(O$641:O874,1)=1,5,0)+IF(COUNTIF(P572:$Z572,"&gt;"&amp;0)&gt;5,IF(MOD(COUNTIF(O$641:O874,1),7)=0,$C$4,0),0)</f>
        <v>310.494107142858</v>
      </c>
      <c r="P572" s="81" cm="1">
        <f ca="1" t="array" ref="P572">IF(P874=1,OFFSET($Z$338,$B572,P$335-1)/SUMPRODUCT(--($D$335:$V$335=P$335),--($D874:$V874=1)),0)+SUM(P571)+IF(COUNTIF(P$641:P874,1)=1,5,0)+IF(COUNTIF(Q572:$Z572,"&gt;"&amp;0)&gt;5,IF(MOD(COUNTIF(P$641:P874,1),7)=0,$C$4,0),0)</f>
        <v>302.560773809524</v>
      </c>
      <c r="Q572" s="81" cm="1">
        <f ca="1" t="array" ref="Q572">IF(Q874=1,OFFSET($Z$338,$B572,Q$335-1)/SUMPRODUCT(--($D$335:$V$335=Q$335),--($D874:$V874=1)),0)+SUM(Q571)+IF(COUNTIF(Q$641:Q874,1)=1,5,0)+IF(COUNTIF(R572:$Z572,"&gt;"&amp;0)&gt;5,IF(MOD(COUNTIF(Q$641:Q874,1),7)=0,$C$4,0),0)</f>
        <v>301.654523809524</v>
      </c>
      <c r="R572" s="81" cm="1">
        <f ca="1" t="array" ref="R572">IF(R874=1,OFFSET($Z$338,$B572,R$335-1)/SUMPRODUCT(--($D$335:$V$335=R$335),--($D874:$V874=1)),0)+SUM(R571)+IF(COUNTIF(R$641:R874,1)=1,5,0)+IF(COUNTIF(S572:$Z572,"&gt;"&amp;0)&gt;5,IF(MOD(COUNTIF(R$641:R874,1),7)=0,$C$4,0),0)</f>
        <v>276.759523809524</v>
      </c>
      <c r="S572" s="81" cm="1">
        <f ca="1" t="array" ref="S572">IF(S874=1,OFFSET($Z$338,$B572,S$335-1)/SUMPRODUCT(--($D$335:$V$335=S$335),--($D874:$V874=1)),0)+SUM(S571)+IF(COUNTIF(S$641:S874,1)=1,5,0)+IF(COUNTIF(T572:$Z572,"&gt;"&amp;0)&gt;5,IF(MOD(COUNTIF(S$641:S874,1),7)=0,$C$4,0),0)</f>
        <v>267.592857142857</v>
      </c>
      <c r="T572" s="81" cm="1">
        <f ca="1" t="array" ref="T572">IF(T874=1,OFFSET($Z$338,$B572,T$335-1)/SUMPRODUCT(--($D$335:$V$335=T$335),--($D874:$V874=1)),0)+SUM(T571)+IF(COUNTIF(T$641:T874,1)=1,5,0)+IF(COUNTIF(U572:$Z572,"&gt;"&amp;0)&gt;5,IF(MOD(COUNTIF(T$641:T874,1),7)=0,$C$4,0),0)</f>
        <v>137.656257829764</v>
      </c>
      <c r="U572" s="81" cm="1">
        <f ca="1" t="array" ref="U572">IF(U874=1,OFFSET($Z$338,$B572,U$335-1)/SUMPRODUCT(--($D$335:$V$335=U$335),--($D874:$V874=1)),0)+SUM(U571)+IF(COUNTIF(U$641:U874,1)=1,5,0)+IF(COUNTIF(V572:$Z572,"&gt;"&amp;0)&gt;5,IF(MOD(COUNTIF(U$641:U874,1),7)=0,$C$4,0),0)</f>
        <v>97.6562578297643</v>
      </c>
      <c r="V572" s="81" cm="1">
        <f ca="1" t="array" ref="V572">IF(V874=1,OFFSET($Z$338,$B572,V$335-1)/SUMPRODUCT(--($D$335:$V$335=V$335),--($D874:$V874=1)),0)+SUM(V571)+IF(COUNTIF(V$641:V874,1)=1,5,0)+IF(COUNTIF(Z572:$Z572,"&gt;"&amp;0)&gt;5,IF(MOD(COUNTIF(V$641:V874,1),7)=0,$C$4,0),0)</f>
        <v>89.6984386404824</v>
      </c>
      <c r="W572" s="81" cm="1">
        <f ca="1" t="array" ref="W572">IF(W874=1,OFFSET($Z$338,$B572,W$335-1)/SUMPRODUCT(--($D$335:$V$335=W$335),--($D874:$V874=1)),0)+SUM(W571)+IF(COUNTIF(W$641:W874,1)=1,5,0)+IF(COUNTIF($Z572:AA572,"&gt;"&amp;0)&gt;5,IF(MOD(COUNTIF(W$641:W874,1),7)=0,$C$4,0),0)</f>
        <v>80.3425695255331</v>
      </c>
      <c r="X572" s="81" cm="1">
        <f ca="1" t="array" ref="X572">IF(X874=1,OFFSET($Z$338,$B572,X$335-1)/SUMPRODUCT(--($D$335:$V$335=X$335),--($D874:$V874=1)),0)+SUM(X571)+IF(COUNTIF(X$641:X874,1)=1,5,0)+IF(COUNTIF($Z572:AB572,"&gt;"&amp;0)&gt;5,IF(MOD(COUNTIF(X$641:X874,1),7)=0,$C$4,0),0)</f>
        <v>73.5789092348996</v>
      </c>
      <c r="Y572" s="81" cm="1">
        <f ca="1" t="array" ref="Y572">IF(Y874=1,OFFSET($Z$338,$B572,Y$335-1)/SUMPRODUCT(--($D$335:$V$335=Y$335),--($D874:$V874=1)),0)+SUM(Y571)+IF(COUNTIF(Y$641:Y874,1)=1,5,0)+IF(COUNTIF($Z572:AC572,"&gt;"&amp;0)&gt;5,IF(MOD(COUNTIF(Y$641:Y874,1),7)=0,$C$4,0),0)</f>
        <v>66.8152489442662</v>
      </c>
      <c r="Z572" s="82" cm="1">
        <f ca="1" t="array" ref="Z572">SUMPRODUCT(TRANSPOSE($AD572:$AJ572),OFFSET($L$10:$L$16,0,Z$335-1))</f>
        <v>0</v>
      </c>
      <c r="AA572" s="82" cm="1">
        <f ca="1" t="array" ref="AA572">SUMPRODUCT(TRANSPOSE($AD572:$AJ572),OFFSET($L$10:$L$16,0,AA$335-1))</f>
        <v>0</v>
      </c>
      <c r="AB572" s="82" cm="1">
        <f ca="1" t="array" ref="AB572">SUMPRODUCT(TRANSPOSE($AD572:$AJ572),OFFSET($L$10:$L$16,0,AB$335-1))</f>
        <v>0</v>
      </c>
      <c r="AC572" s="82" cm="1">
        <f ca="1" t="array" ref="AC572">SUMPRODUCT(TRANSPOSE($AD572:$AJ572),OFFSET($L$10:$L$16,0,AC$335-1))</f>
        <v>0</v>
      </c>
      <c r="AD572" s="83">
        <f ca="1" t="shared" ref="AD572:AJ572" si="793">AK572-AK571</f>
        <v>0</v>
      </c>
      <c r="AE572" s="83">
        <f ca="1" t="shared" si="793"/>
        <v>0</v>
      </c>
      <c r="AF572" s="83">
        <f ca="1" t="shared" si="793"/>
        <v>0</v>
      </c>
      <c r="AG572" s="83">
        <f ca="1" t="shared" si="793"/>
        <v>0</v>
      </c>
      <c r="AH572" s="83">
        <f ca="1" t="shared" si="793"/>
        <v>0</v>
      </c>
      <c r="AI572" s="83">
        <f ca="1" t="shared" si="793"/>
        <v>0</v>
      </c>
      <c r="AJ572" s="83">
        <f ca="1" t="shared" si="793"/>
        <v>0</v>
      </c>
      <c r="AK572" s="83">
        <f ca="1" t="shared" si="711"/>
        <v>450</v>
      </c>
      <c r="AL572" s="83">
        <f ca="1" t="shared" ref="AL572:AQ572" si="794">IF($C572&gt;OFFSET($Q$9,MATCH(AL$338,$AK$338:$AQ$338,0),0),OFFSET($P$9,MATCH(AL$338,$AK$338:$AQ$338,0),0),MAX(0,$C572-OFFSET($Q$9,RIGHT(AL$338,1)-1,0)))</f>
        <v>909</v>
      </c>
      <c r="AM572" s="83">
        <f ca="1" t="shared" si="794"/>
        <v>1818</v>
      </c>
      <c r="AN572" s="83">
        <f ca="1" t="shared" si="794"/>
        <v>2727</v>
      </c>
      <c r="AO572" s="83">
        <f ca="1" t="shared" si="794"/>
        <v>3636</v>
      </c>
      <c r="AP572" s="83">
        <f ca="1" t="shared" si="794"/>
        <v>4545</v>
      </c>
      <c r="AQ572" s="83">
        <f ca="1" t="shared" si="794"/>
        <v>0</v>
      </c>
    </row>
    <row r="573" ht="16.5" spans="2:43">
      <c r="B573" s="65">
        <v>235</v>
      </c>
      <c r="C573" s="80">
        <f t="shared" si="709"/>
        <v>27176</v>
      </c>
      <c r="D573" s="81" cm="1">
        <f ca="1" t="array" ref="D573">IF(D875=1,OFFSET($Z$338,$B573,D$335-1)/SUMPRODUCT(--($D$335:$V$335=D$335),--($D875:$V875=1)),0)+SUM(D572)+IF(COUNTIF(D$641:D875,1)=1,5,0)+IF(COUNTIF(E573:$Z573,"&gt;"&amp;0)&gt;5,IF(MOD(COUNTIF(D$641:D875,1),7)=0,$C$4,0),0)</f>
        <v>1283.82134856666</v>
      </c>
      <c r="E573" s="81" cm="1">
        <f ca="1" t="array" ref="E573">IF(E875=1,OFFSET($Z$338,$B573,E$335-1)/SUMPRODUCT(--($D$335:$V$335=E$335),--($D875:$V875=1)),0)+SUM(E572)+IF(COUNTIF(E$641:E875,1)=1,5,0)+IF(COUNTIF(F573:$Z573,"&gt;"&amp;0)&gt;5,IF(MOD(COUNTIF(E$641:E875,1),7)=0,$C$4,0),0)</f>
        <v>1283.82134856666</v>
      </c>
      <c r="F573" s="81" cm="1">
        <f ca="1" t="array" ref="F573">IF(F875=1,OFFSET($Z$338,$B573,F$335-1)/SUMPRODUCT(--($D$335:$V$335=F$335),--($D875:$V875=1)),0)+SUM(F572)+IF(COUNTIF(F$641:F875,1)=1,5,0)+IF(COUNTIF(G573:$Z573,"&gt;"&amp;0)&gt;5,IF(MOD(COUNTIF(F$641:F875,1),7)=0,$C$4,0),0)</f>
        <v>1283.82134856666</v>
      </c>
      <c r="G573" s="81" cm="1">
        <f ca="1" t="array" ref="G573">IF(G875=1,OFFSET($Z$338,$B573,G$335-1)/SUMPRODUCT(--($D$335:$V$335=G$335),--($D875:$V875=1)),0)+SUM(G572)+IF(COUNTIF(G$641:G875,1)=1,5,0)+IF(COUNTIF(H573:$Z573,"&gt;"&amp;0)&gt;5,IF(MOD(COUNTIF(G$641:G875,1),7)=0,$C$4,0),0)</f>
        <v>572.516666666668</v>
      </c>
      <c r="H573" s="81" cm="1">
        <f ca="1" t="array" ref="H573">IF(H875=1,OFFSET($Z$338,$B573,H$335-1)/SUMPRODUCT(--($D$335:$V$335=H$335),--($D875:$V875=1)),0)+SUM(H572)+IF(COUNTIF(H$641:H875,1)=1,5,0)+IF(COUNTIF(I573:$Z573,"&gt;"&amp;0)&gt;5,IF(MOD(COUNTIF(H$641:H875,1),7)=0,$C$4,0),0)</f>
        <v>572.516666666668</v>
      </c>
      <c r="I573" s="81" cm="1">
        <f ca="1" t="array" ref="I573">IF(I875=1,OFFSET($Z$338,$B573,I$335-1)/SUMPRODUCT(--($D$335:$V$335=I$335),--($D875:$V875=1)),0)+SUM(I572)+IF(COUNTIF(I$641:I875,1)=1,5,0)+IF(COUNTIF(J573:$Z573,"&gt;"&amp;0)&gt;5,IF(MOD(COUNTIF(I$641:I875,1),7)=0,$C$4,0),0)</f>
        <v>572.516666666668</v>
      </c>
      <c r="J573" s="81" cm="1">
        <f ca="1" t="array" ref="J573">IF(J875=1,OFFSET($Z$338,$B573,J$335-1)/SUMPRODUCT(--($D$335:$V$335=J$335),--($D875:$V875=1)),0)+SUM(J572)+IF(COUNTIF(J$641:J875,1)=1,5,0)+IF(COUNTIF(K573:$Z573,"&gt;"&amp;0)&gt;5,IF(MOD(COUNTIF(J$641:J875,1),7)=0,$C$4,0),0)</f>
        <v>572.516666666668</v>
      </c>
      <c r="K573" s="81" cm="1">
        <f ca="1" t="array" ref="K573">IF(K875=1,OFFSET($Z$338,$B573,K$335-1)/SUMPRODUCT(--($D$335:$V$335=K$335),--($D875:$V875=1)),0)+SUM(K572)+IF(COUNTIF(K$641:K875,1)=1,5,0)+IF(COUNTIF(L573:$Z573,"&gt;"&amp;0)&gt;5,IF(MOD(COUNTIF(K$641:K875,1),7)=0,$C$4,0),0)</f>
        <v>572.516666666668</v>
      </c>
      <c r="L573" s="81" cm="1">
        <f ca="1" t="array" ref="L573">IF(L875=1,OFFSET($Z$338,$B573,L$335-1)/SUMPRODUCT(--($D$335:$V$335=L$335),--($D875:$V875=1)),0)+SUM(L572)+IF(COUNTIF(L$641:L875,1)=1,5,0)+IF(COUNTIF(M573:$Z573,"&gt;"&amp;0)&gt;5,IF(MOD(COUNTIF(L$641:L875,1),7)=0,$C$4,0),0)</f>
        <v>565.816666666668</v>
      </c>
      <c r="M573" s="81" cm="1">
        <f ca="1" t="array" ref="M573">IF(M875=1,OFFSET($Z$338,$B573,M$335-1)/SUMPRODUCT(--($D$335:$V$335=M$335),--($D875:$V875=1)),0)+SUM(M572)+IF(COUNTIF(M$641:M875,1)=1,5,0)+IF(COUNTIF(N573:$Z573,"&gt;"&amp;0)&gt;5,IF(MOD(COUNTIF(M$641:M875,1),7)=0,$C$4,0),0)</f>
        <v>320.644107142858</v>
      </c>
      <c r="N573" s="81" cm="1">
        <f ca="1" t="array" ref="N573">IF(N875=1,OFFSET($Z$338,$B573,N$335-1)/SUMPRODUCT(--($D$335:$V$335=N$335),--($D875:$V875=1)),0)+SUM(N572)+IF(COUNTIF(N$641:N875,1)=1,5,0)+IF(COUNTIF(O573:$Z573,"&gt;"&amp;0)&gt;5,IF(MOD(COUNTIF(N$641:N875,1),7)=0,$C$4,0),0)</f>
        <v>312.919107142858</v>
      </c>
      <c r="O573" s="81" cm="1">
        <f ca="1" t="array" ref="O573">IF(O875=1,OFFSET($Z$338,$B573,O$335-1)/SUMPRODUCT(--($D$335:$V$335=O$335),--($D875:$V875=1)),0)+SUM(O572)+IF(COUNTIF(O$641:O875,1)=1,5,0)+IF(COUNTIF(P573:$Z573,"&gt;"&amp;0)&gt;5,IF(MOD(COUNTIF(O$641:O875,1),7)=0,$C$4,0),0)</f>
        <v>310.494107142858</v>
      </c>
      <c r="P573" s="81" cm="1">
        <f ca="1" t="array" ref="P573">IF(P875=1,OFFSET($Z$338,$B573,P$335-1)/SUMPRODUCT(--($D$335:$V$335=P$335),--($D875:$V875=1)),0)+SUM(P572)+IF(COUNTIF(P$641:P875,1)=1,5,0)+IF(COUNTIF(Q573:$Z573,"&gt;"&amp;0)&gt;5,IF(MOD(COUNTIF(P$641:P875,1),7)=0,$C$4,0),0)</f>
        <v>302.560773809524</v>
      </c>
      <c r="Q573" s="81" cm="1">
        <f ca="1" t="array" ref="Q573">IF(Q875=1,OFFSET($Z$338,$B573,Q$335-1)/SUMPRODUCT(--($D$335:$V$335=Q$335),--($D875:$V875=1)),0)+SUM(Q572)+IF(COUNTIF(Q$641:Q875,1)=1,5,0)+IF(COUNTIF(R573:$Z573,"&gt;"&amp;0)&gt;5,IF(MOD(COUNTIF(Q$641:Q875,1),7)=0,$C$4,0),0)</f>
        <v>301.654523809524</v>
      </c>
      <c r="R573" s="81" cm="1">
        <f ca="1" t="array" ref="R573">IF(R875=1,OFFSET($Z$338,$B573,R$335-1)/SUMPRODUCT(--($D$335:$V$335=R$335),--($D875:$V875=1)),0)+SUM(R572)+IF(COUNTIF(R$641:R875,1)=1,5,0)+IF(COUNTIF(S573:$Z573,"&gt;"&amp;0)&gt;5,IF(MOD(COUNTIF(R$641:R875,1),7)=0,$C$4,0),0)</f>
        <v>276.759523809524</v>
      </c>
      <c r="S573" s="81" cm="1">
        <f ca="1" t="array" ref="S573">IF(S875=1,OFFSET($Z$338,$B573,S$335-1)/SUMPRODUCT(--($D$335:$V$335=S$335),--($D875:$V875=1)),0)+SUM(S572)+IF(COUNTIF(S$641:S875,1)=1,5,0)+IF(COUNTIF(T573:$Z573,"&gt;"&amp;0)&gt;5,IF(MOD(COUNTIF(S$641:S875,1),7)=0,$C$4,0),0)</f>
        <v>267.592857142857</v>
      </c>
      <c r="T573" s="81" cm="1">
        <f ca="1" t="array" ref="T573">IF(T875=1,OFFSET($Z$338,$B573,T$335-1)/SUMPRODUCT(--($D$335:$V$335=T$335),--($D875:$V875=1)),0)+SUM(T572)+IF(COUNTIF(T$641:T875,1)=1,5,0)+IF(COUNTIF(U573:$Z573,"&gt;"&amp;0)&gt;5,IF(MOD(COUNTIF(T$641:T875,1),7)=0,$C$4,0),0)</f>
        <v>137.656257829764</v>
      </c>
      <c r="U573" s="81" cm="1">
        <f ca="1" t="array" ref="U573">IF(U875=1,OFFSET($Z$338,$B573,U$335-1)/SUMPRODUCT(--($D$335:$V$335=U$335),--($D875:$V875=1)),0)+SUM(U572)+IF(COUNTIF(U$641:U875,1)=1,5,0)+IF(COUNTIF(V573:$Z573,"&gt;"&amp;0)&gt;5,IF(MOD(COUNTIF(U$641:U875,1),7)=0,$C$4,0),0)</f>
        <v>97.6562578297643</v>
      </c>
      <c r="V573" s="81" cm="1">
        <f ca="1" t="array" ref="V573">IF(V875=1,OFFSET($Z$338,$B573,V$335-1)/SUMPRODUCT(--($D$335:$V$335=V$335),--($D875:$V875=1)),0)+SUM(V572)+IF(COUNTIF(V$641:V875,1)=1,5,0)+IF(COUNTIF(Z573:$Z573,"&gt;"&amp;0)&gt;5,IF(MOD(COUNTIF(V$641:V875,1),7)=0,$C$4,0),0)</f>
        <v>89.6984386404824</v>
      </c>
      <c r="W573" s="81" cm="1">
        <f ca="1" t="array" ref="W573">IF(W875=1,OFFSET($Z$338,$B573,W$335-1)/SUMPRODUCT(--($D$335:$V$335=W$335),--($D875:$V875=1)),0)+SUM(W572)+IF(COUNTIF(W$641:W875,1)=1,5,0)+IF(COUNTIF($Z573:AA573,"&gt;"&amp;0)&gt;5,IF(MOD(COUNTIF(W$641:W875,1),7)=0,$C$4,0),0)</f>
        <v>80.3425695255331</v>
      </c>
      <c r="X573" s="81" cm="1">
        <f ca="1" t="array" ref="X573">IF(X875=1,OFFSET($Z$338,$B573,X$335-1)/SUMPRODUCT(--($D$335:$V$335=X$335),--($D875:$V875=1)),0)+SUM(X572)+IF(COUNTIF(X$641:X875,1)=1,5,0)+IF(COUNTIF($Z573:AB573,"&gt;"&amp;0)&gt;5,IF(MOD(COUNTIF(X$641:X875,1),7)=0,$C$4,0),0)</f>
        <v>73.5789092348996</v>
      </c>
      <c r="Y573" s="81" cm="1">
        <f ca="1" t="array" ref="Y573">IF(Y875=1,OFFSET($Z$338,$B573,Y$335-1)/SUMPRODUCT(--($D$335:$V$335=Y$335),--($D875:$V875=1)),0)+SUM(Y572)+IF(COUNTIF(Y$641:Y875,1)=1,5,0)+IF(COUNTIF($Z573:AC573,"&gt;"&amp;0)&gt;5,IF(MOD(COUNTIF(Y$641:Y875,1),7)=0,$C$4,0),0)</f>
        <v>66.8152489442662</v>
      </c>
      <c r="Z573" s="82" cm="1">
        <f ca="1" t="array" ref="Z573">SUMPRODUCT(TRANSPOSE($AD573:$AJ573),OFFSET($L$10:$L$16,0,Z$335-1))</f>
        <v>0</v>
      </c>
      <c r="AA573" s="82" cm="1">
        <f ca="1" t="array" ref="AA573">SUMPRODUCT(TRANSPOSE($AD573:$AJ573),OFFSET($L$10:$L$16,0,AA$335-1))</f>
        <v>0</v>
      </c>
      <c r="AB573" s="82" cm="1">
        <f ca="1" t="array" ref="AB573">SUMPRODUCT(TRANSPOSE($AD573:$AJ573),OFFSET($L$10:$L$16,0,AB$335-1))</f>
        <v>0</v>
      </c>
      <c r="AC573" s="82" cm="1">
        <f ca="1" t="array" ref="AC573">SUMPRODUCT(TRANSPOSE($AD573:$AJ573),OFFSET($L$10:$L$16,0,AC$335-1))</f>
        <v>0</v>
      </c>
      <c r="AD573" s="83">
        <f ca="1" t="shared" ref="AD573:AJ573" si="795">AK573-AK572</f>
        <v>0</v>
      </c>
      <c r="AE573" s="83">
        <f ca="1" t="shared" si="795"/>
        <v>0</v>
      </c>
      <c r="AF573" s="83">
        <f ca="1" t="shared" si="795"/>
        <v>0</v>
      </c>
      <c r="AG573" s="83">
        <f ca="1" t="shared" si="795"/>
        <v>0</v>
      </c>
      <c r="AH573" s="83">
        <f ca="1" t="shared" si="795"/>
        <v>0</v>
      </c>
      <c r="AI573" s="83">
        <f ca="1" t="shared" si="795"/>
        <v>0</v>
      </c>
      <c r="AJ573" s="83">
        <f ca="1" t="shared" si="795"/>
        <v>0</v>
      </c>
      <c r="AK573" s="83">
        <f ca="1" t="shared" si="711"/>
        <v>450</v>
      </c>
      <c r="AL573" s="83">
        <f ca="1" t="shared" ref="AL573:AQ573" si="796">IF($C573&gt;OFFSET($Q$9,MATCH(AL$338,$AK$338:$AQ$338,0),0),OFFSET($P$9,MATCH(AL$338,$AK$338:$AQ$338,0),0),MAX(0,$C573-OFFSET($Q$9,RIGHT(AL$338,1)-1,0)))</f>
        <v>909</v>
      </c>
      <c r="AM573" s="83">
        <f ca="1" t="shared" si="796"/>
        <v>1818</v>
      </c>
      <c r="AN573" s="83">
        <f ca="1" t="shared" si="796"/>
        <v>2727</v>
      </c>
      <c r="AO573" s="83">
        <f ca="1" t="shared" si="796"/>
        <v>3636</v>
      </c>
      <c r="AP573" s="83">
        <f ca="1" t="shared" si="796"/>
        <v>4545</v>
      </c>
      <c r="AQ573" s="83">
        <f ca="1" t="shared" si="796"/>
        <v>0</v>
      </c>
    </row>
    <row r="574" ht="16.5" spans="2:43">
      <c r="B574" s="65">
        <v>236</v>
      </c>
      <c r="C574" s="80">
        <f t="shared" si="709"/>
        <v>27286</v>
      </c>
      <c r="D574" s="81" cm="1">
        <f ca="1" t="array" ref="D574">IF(D876=1,OFFSET($Z$338,$B574,D$335-1)/SUMPRODUCT(--($D$335:$V$335=D$335),--($D876:$V876=1)),0)+SUM(D573)+IF(COUNTIF(D$641:D876,1)=1,5,0)+IF(COUNTIF(E574:$Z574,"&gt;"&amp;0)&gt;5,IF(MOD(COUNTIF(D$641:D876,1),7)=0,$C$4,0),0)</f>
        <v>1283.82134856666</v>
      </c>
      <c r="E574" s="81" cm="1">
        <f ca="1" t="array" ref="E574">IF(E876=1,OFFSET($Z$338,$B574,E$335-1)/SUMPRODUCT(--($D$335:$V$335=E$335),--($D876:$V876=1)),0)+SUM(E573)+IF(COUNTIF(E$641:E876,1)=1,5,0)+IF(COUNTIF(F574:$Z574,"&gt;"&amp;0)&gt;5,IF(MOD(COUNTIF(E$641:E876,1),7)=0,$C$4,0),0)</f>
        <v>1283.82134856666</v>
      </c>
      <c r="F574" s="81" cm="1">
        <f ca="1" t="array" ref="F574">IF(F876=1,OFFSET($Z$338,$B574,F$335-1)/SUMPRODUCT(--($D$335:$V$335=F$335),--($D876:$V876=1)),0)+SUM(F573)+IF(COUNTIF(F$641:F876,1)=1,5,0)+IF(COUNTIF(G574:$Z574,"&gt;"&amp;0)&gt;5,IF(MOD(COUNTIF(F$641:F876,1),7)=0,$C$4,0),0)</f>
        <v>1283.82134856666</v>
      </c>
      <c r="G574" s="81" cm="1">
        <f ca="1" t="array" ref="G574">IF(G876=1,OFFSET($Z$338,$B574,G$335-1)/SUMPRODUCT(--($D$335:$V$335=G$335),--($D876:$V876=1)),0)+SUM(G573)+IF(COUNTIF(G$641:G876,1)=1,5,0)+IF(COUNTIF(H574:$Z574,"&gt;"&amp;0)&gt;5,IF(MOD(COUNTIF(G$641:G876,1),7)=0,$C$4,0),0)</f>
        <v>572.516666666668</v>
      </c>
      <c r="H574" s="81" cm="1">
        <f ca="1" t="array" ref="H574">IF(H876=1,OFFSET($Z$338,$B574,H$335-1)/SUMPRODUCT(--($D$335:$V$335=H$335),--($D876:$V876=1)),0)+SUM(H573)+IF(COUNTIF(H$641:H876,1)=1,5,0)+IF(COUNTIF(I574:$Z574,"&gt;"&amp;0)&gt;5,IF(MOD(COUNTIF(H$641:H876,1),7)=0,$C$4,0),0)</f>
        <v>572.516666666668</v>
      </c>
      <c r="I574" s="81" cm="1">
        <f ca="1" t="array" ref="I574">IF(I876=1,OFFSET($Z$338,$B574,I$335-1)/SUMPRODUCT(--($D$335:$V$335=I$335),--($D876:$V876=1)),0)+SUM(I573)+IF(COUNTIF(I$641:I876,1)=1,5,0)+IF(COUNTIF(J574:$Z574,"&gt;"&amp;0)&gt;5,IF(MOD(COUNTIF(I$641:I876,1),7)=0,$C$4,0),0)</f>
        <v>572.516666666668</v>
      </c>
      <c r="J574" s="81" cm="1">
        <f ca="1" t="array" ref="J574">IF(J876=1,OFFSET($Z$338,$B574,J$335-1)/SUMPRODUCT(--($D$335:$V$335=J$335),--($D876:$V876=1)),0)+SUM(J573)+IF(COUNTIF(J$641:J876,1)=1,5,0)+IF(COUNTIF(K574:$Z574,"&gt;"&amp;0)&gt;5,IF(MOD(COUNTIF(J$641:J876,1),7)=0,$C$4,0),0)</f>
        <v>572.516666666668</v>
      </c>
      <c r="K574" s="81" cm="1">
        <f ca="1" t="array" ref="K574">IF(K876=1,OFFSET($Z$338,$B574,K$335-1)/SUMPRODUCT(--($D$335:$V$335=K$335),--($D876:$V876=1)),0)+SUM(K573)+IF(COUNTIF(K$641:K876,1)=1,5,0)+IF(COUNTIF(L574:$Z574,"&gt;"&amp;0)&gt;5,IF(MOD(COUNTIF(K$641:K876,1),7)=0,$C$4,0),0)</f>
        <v>572.516666666668</v>
      </c>
      <c r="L574" s="81" cm="1">
        <f ca="1" t="array" ref="L574">IF(L876=1,OFFSET($Z$338,$B574,L$335-1)/SUMPRODUCT(--($D$335:$V$335=L$335),--($D876:$V876=1)),0)+SUM(L573)+IF(COUNTIF(L$641:L876,1)=1,5,0)+IF(COUNTIF(M574:$Z574,"&gt;"&amp;0)&gt;5,IF(MOD(COUNTIF(L$641:L876,1),7)=0,$C$4,0),0)</f>
        <v>565.816666666668</v>
      </c>
      <c r="M574" s="81" cm="1">
        <f ca="1" t="array" ref="M574">IF(M876=1,OFFSET($Z$338,$B574,M$335-1)/SUMPRODUCT(--($D$335:$V$335=M$335),--($D876:$V876=1)),0)+SUM(M573)+IF(COUNTIF(M$641:M876,1)=1,5,0)+IF(COUNTIF(N574:$Z574,"&gt;"&amp;0)&gt;5,IF(MOD(COUNTIF(M$641:M876,1),7)=0,$C$4,0),0)</f>
        <v>320.644107142858</v>
      </c>
      <c r="N574" s="81" cm="1">
        <f ca="1" t="array" ref="N574">IF(N876=1,OFFSET($Z$338,$B574,N$335-1)/SUMPRODUCT(--($D$335:$V$335=N$335),--($D876:$V876=1)),0)+SUM(N573)+IF(COUNTIF(N$641:N876,1)=1,5,0)+IF(COUNTIF(O574:$Z574,"&gt;"&amp;0)&gt;5,IF(MOD(COUNTIF(N$641:N876,1),7)=0,$C$4,0),0)</f>
        <v>312.919107142858</v>
      </c>
      <c r="O574" s="81" cm="1">
        <f ca="1" t="array" ref="O574">IF(O876=1,OFFSET($Z$338,$B574,O$335-1)/SUMPRODUCT(--($D$335:$V$335=O$335),--($D876:$V876=1)),0)+SUM(O573)+IF(COUNTIF(O$641:O876,1)=1,5,0)+IF(COUNTIF(P574:$Z574,"&gt;"&amp;0)&gt;5,IF(MOD(COUNTIF(O$641:O876,1),7)=0,$C$4,0),0)</f>
        <v>310.494107142858</v>
      </c>
      <c r="P574" s="81" cm="1">
        <f ca="1" t="array" ref="P574">IF(P876=1,OFFSET($Z$338,$B574,P$335-1)/SUMPRODUCT(--($D$335:$V$335=P$335),--($D876:$V876=1)),0)+SUM(P573)+IF(COUNTIF(P$641:P876,1)=1,5,0)+IF(COUNTIF(Q574:$Z574,"&gt;"&amp;0)&gt;5,IF(MOD(COUNTIF(P$641:P876,1),7)=0,$C$4,0),0)</f>
        <v>307.560773809524</v>
      </c>
      <c r="Q574" s="81" cm="1">
        <f ca="1" t="array" ref="Q574">IF(Q876=1,OFFSET($Z$338,$B574,Q$335-1)/SUMPRODUCT(--($D$335:$V$335=Q$335),--($D876:$V876=1)),0)+SUM(Q573)+IF(COUNTIF(Q$641:Q876,1)=1,5,0)+IF(COUNTIF(R574:$Z574,"&gt;"&amp;0)&gt;5,IF(MOD(COUNTIF(Q$641:Q876,1),7)=0,$C$4,0),0)</f>
        <v>301.654523809524</v>
      </c>
      <c r="R574" s="81" cm="1">
        <f ca="1" t="array" ref="R574">IF(R876=1,OFFSET($Z$338,$B574,R$335-1)/SUMPRODUCT(--($D$335:$V$335=R$335),--($D876:$V876=1)),0)+SUM(R573)+IF(COUNTIF(R$641:R876,1)=1,5,0)+IF(COUNTIF(S574:$Z574,"&gt;"&amp;0)&gt;5,IF(MOD(COUNTIF(R$641:R876,1),7)=0,$C$4,0),0)</f>
        <v>276.759523809524</v>
      </c>
      <c r="S574" s="81" cm="1">
        <f ca="1" t="array" ref="S574">IF(S876=1,OFFSET($Z$338,$B574,S$335-1)/SUMPRODUCT(--($D$335:$V$335=S$335),--($D876:$V876=1)),0)+SUM(S573)+IF(COUNTIF(S$641:S876,1)=1,5,0)+IF(COUNTIF(T574:$Z574,"&gt;"&amp;0)&gt;5,IF(MOD(COUNTIF(S$641:S876,1),7)=0,$C$4,0),0)</f>
        <v>272.592857142857</v>
      </c>
      <c r="T574" s="81" cm="1">
        <f ca="1" t="array" ref="T574">IF(T876=1,OFFSET($Z$338,$B574,T$335-1)/SUMPRODUCT(--($D$335:$V$335=T$335),--($D876:$V876=1)),0)+SUM(T573)+IF(COUNTIF(T$641:T876,1)=1,5,0)+IF(COUNTIF(U574:$Z574,"&gt;"&amp;0)&gt;5,IF(MOD(COUNTIF(T$641:T876,1),7)=0,$C$4,0),0)</f>
        <v>137.656257829764</v>
      </c>
      <c r="U574" s="81" cm="1">
        <f ca="1" t="array" ref="U574">IF(U876=1,OFFSET($Z$338,$B574,U$335-1)/SUMPRODUCT(--($D$335:$V$335=U$335),--($D876:$V876=1)),0)+SUM(U573)+IF(COUNTIF(U$641:U876,1)=1,5,0)+IF(COUNTIF(V574:$Z574,"&gt;"&amp;0)&gt;5,IF(MOD(COUNTIF(U$641:U876,1),7)=0,$C$4,0),0)</f>
        <v>97.6562578297643</v>
      </c>
      <c r="V574" s="81" cm="1">
        <f ca="1" t="array" ref="V574">IF(V876=1,OFFSET($Z$338,$B574,V$335-1)/SUMPRODUCT(--($D$335:$V$335=V$335),--($D876:$V876=1)),0)+SUM(V573)+IF(COUNTIF(V$641:V876,1)=1,5,0)+IF(COUNTIF(Z574:$Z574,"&gt;"&amp;0)&gt;5,IF(MOD(COUNTIF(V$641:V876,1),7)=0,$C$4,0),0)</f>
        <v>89.6984386404824</v>
      </c>
      <c r="W574" s="81" cm="1">
        <f ca="1" t="array" ref="W574">IF(W876=1,OFFSET($Z$338,$B574,W$335-1)/SUMPRODUCT(--($D$335:$V$335=W$335),--($D876:$V876=1)),0)+SUM(W573)+IF(COUNTIF(W$641:W876,1)=1,5,0)+IF(COUNTIF($Z574:AA574,"&gt;"&amp;0)&gt;5,IF(MOD(COUNTIF(W$641:W876,1),7)=0,$C$4,0),0)</f>
        <v>80.3425695255331</v>
      </c>
      <c r="X574" s="81" cm="1">
        <f ca="1" t="array" ref="X574">IF(X876=1,OFFSET($Z$338,$B574,X$335-1)/SUMPRODUCT(--($D$335:$V$335=X$335),--($D876:$V876=1)),0)+SUM(X573)+IF(COUNTIF(X$641:X876,1)=1,5,0)+IF(COUNTIF($Z574:AB574,"&gt;"&amp;0)&gt;5,IF(MOD(COUNTIF(X$641:X876,1),7)=0,$C$4,0),0)</f>
        <v>73.5789092348996</v>
      </c>
      <c r="Y574" s="81" cm="1">
        <f ca="1" t="array" ref="Y574">IF(Y876=1,OFFSET($Z$338,$B574,Y$335-1)/SUMPRODUCT(--($D$335:$V$335=Y$335),--($D876:$V876=1)),0)+SUM(Y573)+IF(COUNTIF(Y$641:Y876,1)=1,5,0)+IF(COUNTIF($Z574:AC574,"&gt;"&amp;0)&gt;5,IF(MOD(COUNTIF(Y$641:Y876,1),7)=0,$C$4,0),0)</f>
        <v>66.8152489442662</v>
      </c>
      <c r="Z574" s="82" cm="1">
        <f ca="1" t="array" ref="Z574">SUMPRODUCT(TRANSPOSE($AD574:$AJ574),OFFSET($L$10:$L$16,0,Z$335-1))</f>
        <v>0</v>
      </c>
      <c r="AA574" s="82" cm="1">
        <f ca="1" t="array" ref="AA574">SUMPRODUCT(TRANSPOSE($AD574:$AJ574),OFFSET($L$10:$L$16,0,AA$335-1))</f>
        <v>0</v>
      </c>
      <c r="AB574" s="82" cm="1">
        <f ca="1" t="array" ref="AB574">SUMPRODUCT(TRANSPOSE($AD574:$AJ574),OFFSET($L$10:$L$16,0,AB$335-1))</f>
        <v>0</v>
      </c>
      <c r="AC574" s="82" cm="1">
        <f ca="1" t="array" ref="AC574">SUMPRODUCT(TRANSPOSE($AD574:$AJ574),OFFSET($L$10:$L$16,0,AC$335-1))</f>
        <v>0</v>
      </c>
      <c r="AD574" s="83">
        <f ca="1" t="shared" ref="AD574:AJ574" si="797">AK574-AK573</f>
        <v>0</v>
      </c>
      <c r="AE574" s="83">
        <f ca="1" t="shared" si="797"/>
        <v>0</v>
      </c>
      <c r="AF574" s="83">
        <f ca="1" t="shared" si="797"/>
        <v>0</v>
      </c>
      <c r="AG574" s="83">
        <f ca="1" t="shared" si="797"/>
        <v>0</v>
      </c>
      <c r="AH574" s="83">
        <f ca="1" t="shared" si="797"/>
        <v>0</v>
      </c>
      <c r="AI574" s="83">
        <f ca="1" t="shared" si="797"/>
        <v>0</v>
      </c>
      <c r="AJ574" s="83">
        <f ca="1" t="shared" si="797"/>
        <v>0</v>
      </c>
      <c r="AK574" s="83">
        <f ca="1" t="shared" si="711"/>
        <v>450</v>
      </c>
      <c r="AL574" s="83">
        <f ca="1" t="shared" ref="AL574:AQ574" si="798">IF($C574&gt;OFFSET($Q$9,MATCH(AL$338,$AK$338:$AQ$338,0),0),OFFSET($P$9,MATCH(AL$338,$AK$338:$AQ$338,0),0),MAX(0,$C574-OFFSET($Q$9,RIGHT(AL$338,1)-1,0)))</f>
        <v>909</v>
      </c>
      <c r="AM574" s="83">
        <f ca="1" t="shared" si="798"/>
        <v>1818</v>
      </c>
      <c r="AN574" s="83">
        <f ca="1" t="shared" si="798"/>
        <v>2727</v>
      </c>
      <c r="AO574" s="83">
        <f ca="1" t="shared" si="798"/>
        <v>3636</v>
      </c>
      <c r="AP574" s="83">
        <f ca="1" t="shared" si="798"/>
        <v>4545</v>
      </c>
      <c r="AQ574" s="83">
        <f ca="1" t="shared" si="798"/>
        <v>0</v>
      </c>
    </row>
    <row r="575" ht="16.5" spans="2:43">
      <c r="B575" s="65">
        <v>237</v>
      </c>
      <c r="C575" s="80">
        <f t="shared" si="709"/>
        <v>27396</v>
      </c>
      <c r="D575" s="81" cm="1">
        <f ca="1" t="array" ref="D575">IF(D877=1,OFFSET($Z$338,$B575,D$335-1)/SUMPRODUCT(--($D$335:$V$335=D$335),--($D877:$V877=1)),0)+SUM(D574)+IF(COUNTIF(D$641:D877,1)=1,5,0)+IF(COUNTIF(E575:$Z575,"&gt;"&amp;0)&gt;5,IF(MOD(COUNTIF(D$641:D877,1),7)=0,$C$4,0),0)</f>
        <v>1283.82134856666</v>
      </c>
      <c r="E575" s="81" cm="1">
        <f ca="1" t="array" ref="E575">IF(E877=1,OFFSET($Z$338,$B575,E$335-1)/SUMPRODUCT(--($D$335:$V$335=E$335),--($D877:$V877=1)),0)+SUM(E574)+IF(COUNTIF(E$641:E877,1)=1,5,0)+IF(COUNTIF(F575:$Z575,"&gt;"&amp;0)&gt;5,IF(MOD(COUNTIF(E$641:E877,1),7)=0,$C$4,0),0)</f>
        <v>1283.82134856666</v>
      </c>
      <c r="F575" s="81" cm="1">
        <f ca="1" t="array" ref="F575">IF(F877=1,OFFSET($Z$338,$B575,F$335-1)/SUMPRODUCT(--($D$335:$V$335=F$335),--($D877:$V877=1)),0)+SUM(F574)+IF(COUNTIF(F$641:F877,1)=1,5,0)+IF(COUNTIF(G575:$Z575,"&gt;"&amp;0)&gt;5,IF(MOD(COUNTIF(F$641:F877,1),7)=0,$C$4,0),0)</f>
        <v>1283.82134856666</v>
      </c>
      <c r="G575" s="81" cm="1">
        <f ca="1" t="array" ref="G575">IF(G877=1,OFFSET($Z$338,$B575,G$335-1)/SUMPRODUCT(--($D$335:$V$335=G$335),--($D877:$V877=1)),0)+SUM(G574)+IF(COUNTIF(G$641:G877,1)=1,5,0)+IF(COUNTIF(H575:$Z575,"&gt;"&amp;0)&gt;5,IF(MOD(COUNTIF(G$641:G877,1),7)=0,$C$4,0),0)</f>
        <v>572.516666666668</v>
      </c>
      <c r="H575" s="81" cm="1">
        <f ca="1" t="array" ref="H575">IF(H877=1,OFFSET($Z$338,$B575,H$335-1)/SUMPRODUCT(--($D$335:$V$335=H$335),--($D877:$V877=1)),0)+SUM(H574)+IF(COUNTIF(H$641:H877,1)=1,5,0)+IF(COUNTIF(I575:$Z575,"&gt;"&amp;0)&gt;5,IF(MOD(COUNTIF(H$641:H877,1),7)=0,$C$4,0),0)</f>
        <v>572.516666666668</v>
      </c>
      <c r="I575" s="81" cm="1">
        <f ca="1" t="array" ref="I575">IF(I877=1,OFFSET($Z$338,$B575,I$335-1)/SUMPRODUCT(--($D$335:$V$335=I$335),--($D877:$V877=1)),0)+SUM(I574)+IF(COUNTIF(I$641:I877,1)=1,5,0)+IF(COUNTIF(J575:$Z575,"&gt;"&amp;0)&gt;5,IF(MOD(COUNTIF(I$641:I877,1),7)=0,$C$4,0),0)</f>
        <v>572.516666666668</v>
      </c>
      <c r="J575" s="81" cm="1">
        <f ca="1" t="array" ref="J575">IF(J877=1,OFFSET($Z$338,$B575,J$335-1)/SUMPRODUCT(--($D$335:$V$335=J$335),--($D877:$V877=1)),0)+SUM(J574)+IF(COUNTIF(J$641:J877,1)=1,5,0)+IF(COUNTIF(K575:$Z575,"&gt;"&amp;0)&gt;5,IF(MOD(COUNTIF(J$641:J877,1),7)=0,$C$4,0),0)</f>
        <v>572.516666666668</v>
      </c>
      <c r="K575" s="81" cm="1">
        <f ca="1" t="array" ref="K575">IF(K877=1,OFFSET($Z$338,$B575,K$335-1)/SUMPRODUCT(--($D$335:$V$335=K$335),--($D877:$V877=1)),0)+SUM(K574)+IF(COUNTIF(K$641:K877,1)=1,5,0)+IF(COUNTIF(L575:$Z575,"&gt;"&amp;0)&gt;5,IF(MOD(COUNTIF(K$641:K877,1),7)=0,$C$4,0),0)</f>
        <v>572.516666666668</v>
      </c>
      <c r="L575" s="81" cm="1">
        <f ca="1" t="array" ref="L575">IF(L877=1,OFFSET($Z$338,$B575,L$335-1)/SUMPRODUCT(--($D$335:$V$335=L$335),--($D877:$V877=1)),0)+SUM(L574)+IF(COUNTIF(L$641:L877,1)=1,5,0)+IF(COUNTIF(M575:$Z575,"&gt;"&amp;0)&gt;5,IF(MOD(COUNTIF(L$641:L877,1),7)=0,$C$4,0),0)</f>
        <v>565.816666666668</v>
      </c>
      <c r="M575" s="81" cm="1">
        <f ca="1" t="array" ref="M575">IF(M877=1,OFFSET($Z$338,$B575,M$335-1)/SUMPRODUCT(--($D$335:$V$335=M$335),--($D877:$V877=1)),0)+SUM(M574)+IF(COUNTIF(M$641:M877,1)=1,5,0)+IF(COUNTIF(N575:$Z575,"&gt;"&amp;0)&gt;5,IF(MOD(COUNTIF(M$641:M877,1),7)=0,$C$4,0),0)</f>
        <v>320.644107142858</v>
      </c>
      <c r="N575" s="81" cm="1">
        <f ca="1" t="array" ref="N575">IF(N877=1,OFFSET($Z$338,$B575,N$335-1)/SUMPRODUCT(--($D$335:$V$335=N$335),--($D877:$V877=1)),0)+SUM(N574)+IF(COUNTIF(N$641:N877,1)=1,5,0)+IF(COUNTIF(O575:$Z575,"&gt;"&amp;0)&gt;5,IF(MOD(COUNTIF(N$641:N877,1),7)=0,$C$4,0),0)</f>
        <v>312.919107142858</v>
      </c>
      <c r="O575" s="81" cm="1">
        <f ca="1" t="array" ref="O575">IF(O877=1,OFFSET($Z$338,$B575,O$335-1)/SUMPRODUCT(--($D$335:$V$335=O$335),--($D877:$V877=1)),0)+SUM(O574)+IF(COUNTIF(O$641:O877,1)=1,5,0)+IF(COUNTIF(P575:$Z575,"&gt;"&amp;0)&gt;5,IF(MOD(COUNTIF(O$641:O877,1),7)=0,$C$4,0),0)</f>
        <v>310.494107142858</v>
      </c>
      <c r="P575" s="81" cm="1">
        <f ca="1" t="array" ref="P575">IF(P877=1,OFFSET($Z$338,$B575,P$335-1)/SUMPRODUCT(--($D$335:$V$335=P$335),--($D877:$V877=1)),0)+SUM(P574)+IF(COUNTIF(P$641:P877,1)=1,5,0)+IF(COUNTIF(Q575:$Z575,"&gt;"&amp;0)&gt;5,IF(MOD(COUNTIF(P$641:P877,1),7)=0,$C$4,0),0)</f>
        <v>307.560773809524</v>
      </c>
      <c r="Q575" s="81" cm="1">
        <f ca="1" t="array" ref="Q575">IF(Q877=1,OFFSET($Z$338,$B575,Q$335-1)/SUMPRODUCT(--($D$335:$V$335=Q$335),--($D877:$V877=1)),0)+SUM(Q574)+IF(COUNTIF(Q$641:Q877,1)=1,5,0)+IF(COUNTIF(R575:$Z575,"&gt;"&amp;0)&gt;5,IF(MOD(COUNTIF(Q$641:Q877,1),7)=0,$C$4,0),0)</f>
        <v>306.654523809524</v>
      </c>
      <c r="R575" s="81" cm="1">
        <f ca="1" t="array" ref="R575">IF(R877=1,OFFSET($Z$338,$B575,R$335-1)/SUMPRODUCT(--($D$335:$V$335=R$335),--($D877:$V877=1)),0)+SUM(R574)+IF(COUNTIF(R$641:R877,1)=1,5,0)+IF(COUNTIF(S575:$Z575,"&gt;"&amp;0)&gt;5,IF(MOD(COUNTIF(R$641:R877,1),7)=0,$C$4,0),0)</f>
        <v>276.759523809524</v>
      </c>
      <c r="S575" s="81" cm="1">
        <f ca="1" t="array" ref="S575">IF(S877=1,OFFSET($Z$338,$B575,S$335-1)/SUMPRODUCT(--($D$335:$V$335=S$335),--($D877:$V877=1)),0)+SUM(S574)+IF(COUNTIF(S$641:S877,1)=1,5,0)+IF(COUNTIF(T575:$Z575,"&gt;"&amp;0)&gt;5,IF(MOD(COUNTIF(S$641:S877,1),7)=0,$C$4,0),0)</f>
        <v>272.592857142857</v>
      </c>
      <c r="T575" s="81" cm="1">
        <f ca="1" t="array" ref="T575">IF(T877=1,OFFSET($Z$338,$B575,T$335-1)/SUMPRODUCT(--($D$335:$V$335=T$335),--($D877:$V877=1)),0)+SUM(T574)+IF(COUNTIF(T$641:T877,1)=1,5,0)+IF(COUNTIF(U575:$Z575,"&gt;"&amp;0)&gt;5,IF(MOD(COUNTIF(T$641:T877,1),7)=0,$C$4,0),0)</f>
        <v>137.656257829764</v>
      </c>
      <c r="U575" s="81" cm="1">
        <f ca="1" t="array" ref="U575">IF(U877=1,OFFSET($Z$338,$B575,U$335-1)/SUMPRODUCT(--($D$335:$V$335=U$335),--($D877:$V877=1)),0)+SUM(U574)+IF(COUNTIF(U$641:U877,1)=1,5,0)+IF(COUNTIF(V575:$Z575,"&gt;"&amp;0)&gt;5,IF(MOD(COUNTIF(U$641:U877,1),7)=0,$C$4,0),0)</f>
        <v>97.6562578297643</v>
      </c>
      <c r="V575" s="81" cm="1">
        <f ca="1" t="array" ref="V575">IF(V877=1,OFFSET($Z$338,$B575,V$335-1)/SUMPRODUCT(--($D$335:$V$335=V$335),--($D877:$V877=1)),0)+SUM(V574)+IF(COUNTIF(V$641:V877,1)=1,5,0)+IF(COUNTIF(Z575:$Z575,"&gt;"&amp;0)&gt;5,IF(MOD(COUNTIF(V$641:V877,1),7)=0,$C$4,0),0)</f>
        <v>89.6984386404824</v>
      </c>
      <c r="W575" s="81" cm="1">
        <f ca="1" t="array" ref="W575">IF(W877=1,OFFSET($Z$338,$B575,W$335-1)/SUMPRODUCT(--($D$335:$V$335=W$335),--($D877:$V877=1)),0)+SUM(W574)+IF(COUNTIF(W$641:W877,1)=1,5,0)+IF(COUNTIF($Z575:AA575,"&gt;"&amp;0)&gt;5,IF(MOD(COUNTIF(W$641:W877,1),7)=0,$C$4,0),0)</f>
        <v>80.3425695255331</v>
      </c>
      <c r="X575" s="81" cm="1">
        <f ca="1" t="array" ref="X575">IF(X877=1,OFFSET($Z$338,$B575,X$335-1)/SUMPRODUCT(--($D$335:$V$335=X$335),--($D877:$V877=1)),0)+SUM(X574)+IF(COUNTIF(X$641:X877,1)=1,5,0)+IF(COUNTIF($Z575:AB575,"&gt;"&amp;0)&gt;5,IF(MOD(COUNTIF(X$641:X877,1),7)=0,$C$4,0),0)</f>
        <v>73.5789092348996</v>
      </c>
      <c r="Y575" s="81" cm="1">
        <f ca="1" t="array" ref="Y575">IF(Y877=1,OFFSET($Z$338,$B575,Y$335-1)/SUMPRODUCT(--($D$335:$V$335=Y$335),--($D877:$V877=1)),0)+SUM(Y574)+IF(COUNTIF(Y$641:Y877,1)=1,5,0)+IF(COUNTIF($Z575:AC575,"&gt;"&amp;0)&gt;5,IF(MOD(COUNTIF(Y$641:Y877,1),7)=0,$C$4,0),0)</f>
        <v>66.8152489442662</v>
      </c>
      <c r="Z575" s="82" cm="1">
        <f ca="1" t="array" ref="Z575">SUMPRODUCT(TRANSPOSE($AD575:$AJ575),OFFSET($L$10:$L$16,0,Z$335-1))</f>
        <v>0</v>
      </c>
      <c r="AA575" s="82" cm="1">
        <f ca="1" t="array" ref="AA575">SUMPRODUCT(TRANSPOSE($AD575:$AJ575),OFFSET($L$10:$L$16,0,AA$335-1))</f>
        <v>0</v>
      </c>
      <c r="AB575" s="82" cm="1">
        <f ca="1" t="array" ref="AB575">SUMPRODUCT(TRANSPOSE($AD575:$AJ575),OFFSET($L$10:$L$16,0,AB$335-1))</f>
        <v>0</v>
      </c>
      <c r="AC575" s="82" cm="1">
        <f ca="1" t="array" ref="AC575">SUMPRODUCT(TRANSPOSE($AD575:$AJ575),OFFSET($L$10:$L$16,0,AC$335-1))</f>
        <v>0</v>
      </c>
      <c r="AD575" s="83">
        <f ca="1" t="shared" ref="AD575:AJ575" si="799">AK575-AK574</f>
        <v>0</v>
      </c>
      <c r="AE575" s="83">
        <f ca="1" t="shared" si="799"/>
        <v>0</v>
      </c>
      <c r="AF575" s="83">
        <f ca="1" t="shared" si="799"/>
        <v>0</v>
      </c>
      <c r="AG575" s="83">
        <f ca="1" t="shared" si="799"/>
        <v>0</v>
      </c>
      <c r="AH575" s="83">
        <f ca="1" t="shared" si="799"/>
        <v>0</v>
      </c>
      <c r="AI575" s="83">
        <f ca="1" t="shared" si="799"/>
        <v>0</v>
      </c>
      <c r="AJ575" s="83">
        <f ca="1" t="shared" si="799"/>
        <v>0</v>
      </c>
      <c r="AK575" s="83">
        <f ca="1" t="shared" si="711"/>
        <v>450</v>
      </c>
      <c r="AL575" s="83">
        <f ca="1" t="shared" ref="AL575:AQ575" si="800">IF($C575&gt;OFFSET($Q$9,MATCH(AL$338,$AK$338:$AQ$338,0),0),OFFSET($P$9,MATCH(AL$338,$AK$338:$AQ$338,0),0),MAX(0,$C575-OFFSET($Q$9,RIGHT(AL$338,1)-1,0)))</f>
        <v>909</v>
      </c>
      <c r="AM575" s="83">
        <f ca="1" t="shared" si="800"/>
        <v>1818</v>
      </c>
      <c r="AN575" s="83">
        <f ca="1" t="shared" si="800"/>
        <v>2727</v>
      </c>
      <c r="AO575" s="83">
        <f ca="1" t="shared" si="800"/>
        <v>3636</v>
      </c>
      <c r="AP575" s="83">
        <f ca="1" t="shared" si="800"/>
        <v>4545</v>
      </c>
      <c r="AQ575" s="83">
        <f ca="1" t="shared" si="800"/>
        <v>0</v>
      </c>
    </row>
    <row r="576" ht="16.5" spans="2:43">
      <c r="B576" s="65">
        <v>238</v>
      </c>
      <c r="C576" s="80">
        <f t="shared" si="709"/>
        <v>27506</v>
      </c>
      <c r="D576" s="81" cm="1">
        <f ca="1" t="array" ref="D576">IF(D878=1,OFFSET($Z$338,$B576,D$335-1)/SUMPRODUCT(--($D$335:$V$335=D$335),--($D878:$V878=1)),0)+SUM(D575)+IF(COUNTIF(D$641:D878,1)=1,5,0)+IF(COUNTIF(E576:$Z576,"&gt;"&amp;0)&gt;5,IF(MOD(COUNTIF(D$641:D878,1),7)=0,$C$4,0),0)</f>
        <v>1288.82134856666</v>
      </c>
      <c r="E576" s="81" cm="1">
        <f ca="1" t="array" ref="E576">IF(E878=1,OFFSET($Z$338,$B576,E$335-1)/SUMPRODUCT(--($D$335:$V$335=E$335),--($D878:$V878=1)),0)+SUM(E575)+IF(COUNTIF(E$641:E878,1)=1,5,0)+IF(COUNTIF(F576:$Z576,"&gt;"&amp;0)&gt;5,IF(MOD(COUNTIF(E$641:E878,1),7)=0,$C$4,0),0)</f>
        <v>1288.82134856666</v>
      </c>
      <c r="F576" s="81" cm="1">
        <f ca="1" t="array" ref="F576">IF(F878=1,OFFSET($Z$338,$B576,F$335-1)/SUMPRODUCT(--($D$335:$V$335=F$335),--($D878:$V878=1)),0)+SUM(F575)+IF(COUNTIF(F$641:F878,1)=1,5,0)+IF(COUNTIF(G576:$Z576,"&gt;"&amp;0)&gt;5,IF(MOD(COUNTIF(F$641:F878,1),7)=0,$C$4,0),0)</f>
        <v>1288.82134856666</v>
      </c>
      <c r="G576" s="81" cm="1">
        <f ca="1" t="array" ref="G576">IF(G878=1,OFFSET($Z$338,$B576,G$335-1)/SUMPRODUCT(--($D$335:$V$335=G$335),--($D878:$V878=1)),0)+SUM(G575)+IF(COUNTIF(G$641:G878,1)=1,5,0)+IF(COUNTIF(H576:$Z576,"&gt;"&amp;0)&gt;5,IF(MOD(COUNTIF(G$641:G878,1),7)=0,$C$4,0),0)</f>
        <v>577.516666666668</v>
      </c>
      <c r="H576" s="81" cm="1">
        <f ca="1" t="array" ref="H576">IF(H878=1,OFFSET($Z$338,$B576,H$335-1)/SUMPRODUCT(--($D$335:$V$335=H$335),--($D878:$V878=1)),0)+SUM(H575)+IF(COUNTIF(H$641:H878,1)=1,5,0)+IF(COUNTIF(I576:$Z576,"&gt;"&amp;0)&gt;5,IF(MOD(COUNTIF(H$641:H878,1),7)=0,$C$4,0),0)</f>
        <v>577.516666666668</v>
      </c>
      <c r="I576" s="81" cm="1">
        <f ca="1" t="array" ref="I576">IF(I878=1,OFFSET($Z$338,$B576,I$335-1)/SUMPRODUCT(--($D$335:$V$335=I$335),--($D878:$V878=1)),0)+SUM(I575)+IF(COUNTIF(I$641:I878,1)=1,5,0)+IF(COUNTIF(J576:$Z576,"&gt;"&amp;0)&gt;5,IF(MOD(COUNTIF(I$641:I878,1),7)=0,$C$4,0),0)</f>
        <v>577.516666666668</v>
      </c>
      <c r="J576" s="81" cm="1">
        <f ca="1" t="array" ref="J576">IF(J878=1,OFFSET($Z$338,$B576,J$335-1)/SUMPRODUCT(--($D$335:$V$335=J$335),--($D878:$V878=1)),0)+SUM(J575)+IF(COUNTIF(J$641:J878,1)=1,5,0)+IF(COUNTIF(K576:$Z576,"&gt;"&amp;0)&gt;5,IF(MOD(COUNTIF(J$641:J878,1),7)=0,$C$4,0),0)</f>
        <v>577.516666666668</v>
      </c>
      <c r="K576" s="81" cm="1">
        <f ca="1" t="array" ref="K576">IF(K878=1,OFFSET($Z$338,$B576,K$335-1)/SUMPRODUCT(--($D$335:$V$335=K$335),--($D878:$V878=1)),0)+SUM(K575)+IF(COUNTIF(K$641:K878,1)=1,5,0)+IF(COUNTIF(L576:$Z576,"&gt;"&amp;0)&gt;5,IF(MOD(COUNTIF(K$641:K878,1),7)=0,$C$4,0),0)</f>
        <v>577.516666666668</v>
      </c>
      <c r="L576" s="81" cm="1">
        <f ca="1" t="array" ref="L576">IF(L878=1,OFFSET($Z$338,$B576,L$335-1)/SUMPRODUCT(--($D$335:$V$335=L$335),--($D878:$V878=1)),0)+SUM(L575)+IF(COUNTIF(L$641:L878,1)=1,5,0)+IF(COUNTIF(M576:$Z576,"&gt;"&amp;0)&gt;5,IF(MOD(COUNTIF(L$641:L878,1),7)=0,$C$4,0),0)</f>
        <v>565.816666666668</v>
      </c>
      <c r="M576" s="81" cm="1">
        <f ca="1" t="array" ref="M576">IF(M878=1,OFFSET($Z$338,$B576,M$335-1)/SUMPRODUCT(--($D$335:$V$335=M$335),--($D878:$V878=1)),0)+SUM(M575)+IF(COUNTIF(M$641:M878,1)=1,5,0)+IF(COUNTIF(N576:$Z576,"&gt;"&amp;0)&gt;5,IF(MOD(COUNTIF(M$641:M878,1),7)=0,$C$4,0),0)</f>
        <v>320.644107142858</v>
      </c>
      <c r="N576" s="81" cm="1">
        <f ca="1" t="array" ref="N576">IF(N878=1,OFFSET($Z$338,$B576,N$335-1)/SUMPRODUCT(--($D$335:$V$335=N$335),--($D878:$V878=1)),0)+SUM(N575)+IF(COUNTIF(N$641:N878,1)=1,5,0)+IF(COUNTIF(O576:$Z576,"&gt;"&amp;0)&gt;5,IF(MOD(COUNTIF(N$641:N878,1),7)=0,$C$4,0),0)</f>
        <v>312.919107142858</v>
      </c>
      <c r="O576" s="81" cm="1">
        <f ca="1" t="array" ref="O576">IF(O878=1,OFFSET($Z$338,$B576,O$335-1)/SUMPRODUCT(--($D$335:$V$335=O$335),--($D878:$V878=1)),0)+SUM(O575)+IF(COUNTIF(O$641:O878,1)=1,5,0)+IF(COUNTIF(P576:$Z576,"&gt;"&amp;0)&gt;5,IF(MOD(COUNTIF(O$641:O878,1),7)=0,$C$4,0),0)</f>
        <v>310.494107142858</v>
      </c>
      <c r="P576" s="81" cm="1">
        <f ca="1" t="array" ref="P576">IF(P878=1,OFFSET($Z$338,$B576,P$335-1)/SUMPRODUCT(--($D$335:$V$335=P$335),--($D878:$V878=1)),0)+SUM(P575)+IF(COUNTIF(P$641:P878,1)=1,5,0)+IF(COUNTIF(Q576:$Z576,"&gt;"&amp;0)&gt;5,IF(MOD(COUNTIF(P$641:P878,1),7)=0,$C$4,0),0)</f>
        <v>307.560773809524</v>
      </c>
      <c r="Q576" s="81" cm="1">
        <f ca="1" t="array" ref="Q576">IF(Q878=1,OFFSET($Z$338,$B576,Q$335-1)/SUMPRODUCT(--($D$335:$V$335=Q$335),--($D878:$V878=1)),0)+SUM(Q575)+IF(COUNTIF(Q$641:Q878,1)=1,5,0)+IF(COUNTIF(R576:$Z576,"&gt;"&amp;0)&gt;5,IF(MOD(COUNTIF(Q$641:Q878,1),7)=0,$C$4,0),0)</f>
        <v>306.654523809524</v>
      </c>
      <c r="R576" s="81" cm="1">
        <f ca="1" t="array" ref="R576">IF(R878=1,OFFSET($Z$338,$B576,R$335-1)/SUMPRODUCT(--($D$335:$V$335=R$335),--($D878:$V878=1)),0)+SUM(R575)+IF(COUNTIF(R$641:R878,1)=1,5,0)+IF(COUNTIF(S576:$Z576,"&gt;"&amp;0)&gt;5,IF(MOD(COUNTIF(R$641:R878,1),7)=0,$C$4,0),0)</f>
        <v>281.759523809524</v>
      </c>
      <c r="S576" s="81" cm="1">
        <f ca="1" t="array" ref="S576">IF(S878=1,OFFSET($Z$338,$B576,S$335-1)/SUMPRODUCT(--($D$335:$V$335=S$335),--($D878:$V878=1)),0)+SUM(S575)+IF(COUNTIF(S$641:S878,1)=1,5,0)+IF(COUNTIF(T576:$Z576,"&gt;"&amp;0)&gt;5,IF(MOD(COUNTIF(S$641:S878,1),7)=0,$C$4,0),0)</f>
        <v>272.592857142857</v>
      </c>
      <c r="T576" s="81" cm="1">
        <f ca="1" t="array" ref="T576">IF(T878=1,OFFSET($Z$338,$B576,T$335-1)/SUMPRODUCT(--($D$335:$V$335=T$335),--($D878:$V878=1)),0)+SUM(T575)+IF(COUNTIF(T$641:T878,1)=1,5,0)+IF(COUNTIF(U576:$Z576,"&gt;"&amp;0)&gt;5,IF(MOD(COUNTIF(T$641:T878,1),7)=0,$C$4,0),0)</f>
        <v>137.656257829764</v>
      </c>
      <c r="U576" s="81" cm="1">
        <f ca="1" t="array" ref="U576">IF(U878=1,OFFSET($Z$338,$B576,U$335-1)/SUMPRODUCT(--($D$335:$V$335=U$335),--($D878:$V878=1)),0)+SUM(U575)+IF(COUNTIF(U$641:U878,1)=1,5,0)+IF(COUNTIF(V576:$Z576,"&gt;"&amp;0)&gt;5,IF(MOD(COUNTIF(U$641:U878,1),7)=0,$C$4,0),0)</f>
        <v>97.6562578297643</v>
      </c>
      <c r="V576" s="81" cm="1">
        <f ca="1" t="array" ref="V576">IF(V878=1,OFFSET($Z$338,$B576,V$335-1)/SUMPRODUCT(--($D$335:$V$335=V$335),--($D878:$V878=1)),0)+SUM(V575)+IF(COUNTIF(V$641:V878,1)=1,5,0)+IF(COUNTIF(Z576:$Z576,"&gt;"&amp;0)&gt;5,IF(MOD(COUNTIF(V$641:V878,1),7)=0,$C$4,0),0)</f>
        <v>89.6984386404824</v>
      </c>
      <c r="W576" s="81" cm="1">
        <f ca="1" t="array" ref="W576">IF(W878=1,OFFSET($Z$338,$B576,W$335-1)/SUMPRODUCT(--($D$335:$V$335=W$335),--($D878:$V878=1)),0)+SUM(W575)+IF(COUNTIF(W$641:W878,1)=1,5,0)+IF(COUNTIF($Z576:AA576,"&gt;"&amp;0)&gt;5,IF(MOD(COUNTIF(W$641:W878,1),7)=0,$C$4,0),0)</f>
        <v>80.3425695255331</v>
      </c>
      <c r="X576" s="81" cm="1">
        <f ca="1" t="array" ref="X576">IF(X878=1,OFFSET($Z$338,$B576,X$335-1)/SUMPRODUCT(--($D$335:$V$335=X$335),--($D878:$V878=1)),0)+SUM(X575)+IF(COUNTIF(X$641:X878,1)=1,5,0)+IF(COUNTIF($Z576:AB576,"&gt;"&amp;0)&gt;5,IF(MOD(COUNTIF(X$641:X878,1),7)=0,$C$4,0),0)</f>
        <v>73.5789092348996</v>
      </c>
      <c r="Y576" s="81" cm="1">
        <f ca="1" t="array" ref="Y576">IF(Y878=1,OFFSET($Z$338,$B576,Y$335-1)/SUMPRODUCT(--($D$335:$V$335=Y$335),--($D878:$V878=1)),0)+SUM(Y575)+IF(COUNTIF(Y$641:Y878,1)=1,5,0)+IF(COUNTIF($Z576:AC576,"&gt;"&amp;0)&gt;5,IF(MOD(COUNTIF(Y$641:Y878,1),7)=0,$C$4,0),0)</f>
        <v>66.8152489442662</v>
      </c>
      <c r="Z576" s="82" cm="1">
        <f ca="1" t="array" ref="Z576">SUMPRODUCT(TRANSPOSE($AD576:$AJ576),OFFSET($L$10:$L$16,0,Z$335-1))</f>
        <v>0</v>
      </c>
      <c r="AA576" s="82" cm="1">
        <f ca="1" t="array" ref="AA576">SUMPRODUCT(TRANSPOSE($AD576:$AJ576),OFFSET($L$10:$L$16,0,AA$335-1))</f>
        <v>0</v>
      </c>
      <c r="AB576" s="82" cm="1">
        <f ca="1" t="array" ref="AB576">SUMPRODUCT(TRANSPOSE($AD576:$AJ576),OFFSET($L$10:$L$16,0,AB$335-1))</f>
        <v>0</v>
      </c>
      <c r="AC576" s="82" cm="1">
        <f ca="1" t="array" ref="AC576">SUMPRODUCT(TRANSPOSE($AD576:$AJ576),OFFSET($L$10:$L$16,0,AC$335-1))</f>
        <v>0</v>
      </c>
      <c r="AD576" s="83">
        <f ca="1" t="shared" ref="AD576:AJ576" si="801">AK576-AK575</f>
        <v>0</v>
      </c>
      <c r="AE576" s="83">
        <f ca="1" t="shared" si="801"/>
        <v>0</v>
      </c>
      <c r="AF576" s="83">
        <f ca="1" t="shared" si="801"/>
        <v>0</v>
      </c>
      <c r="AG576" s="83">
        <f ca="1" t="shared" si="801"/>
        <v>0</v>
      </c>
      <c r="AH576" s="83">
        <f ca="1" t="shared" si="801"/>
        <v>0</v>
      </c>
      <c r="AI576" s="83">
        <f ca="1" t="shared" si="801"/>
        <v>0</v>
      </c>
      <c r="AJ576" s="83">
        <f ca="1" t="shared" si="801"/>
        <v>0</v>
      </c>
      <c r="AK576" s="83">
        <f ca="1" t="shared" si="711"/>
        <v>450</v>
      </c>
      <c r="AL576" s="83">
        <f ca="1" t="shared" ref="AL576:AQ576" si="802">IF($C576&gt;OFFSET($Q$9,MATCH(AL$338,$AK$338:$AQ$338,0),0),OFFSET($P$9,MATCH(AL$338,$AK$338:$AQ$338,0),0),MAX(0,$C576-OFFSET($Q$9,RIGHT(AL$338,1)-1,0)))</f>
        <v>909</v>
      </c>
      <c r="AM576" s="83">
        <f ca="1" t="shared" si="802"/>
        <v>1818</v>
      </c>
      <c r="AN576" s="83">
        <f ca="1" t="shared" si="802"/>
        <v>2727</v>
      </c>
      <c r="AO576" s="83">
        <f ca="1" t="shared" si="802"/>
        <v>3636</v>
      </c>
      <c r="AP576" s="83">
        <f ca="1" t="shared" si="802"/>
        <v>4545</v>
      </c>
      <c r="AQ576" s="83">
        <f ca="1" t="shared" si="802"/>
        <v>0</v>
      </c>
    </row>
    <row r="577" ht="16.5" spans="2:43">
      <c r="B577" s="65">
        <v>239</v>
      </c>
      <c r="C577" s="80">
        <f t="shared" si="709"/>
        <v>27616</v>
      </c>
      <c r="D577" s="81" cm="1">
        <f ca="1" t="array" ref="D577">IF(D879=1,OFFSET($Z$338,$B577,D$335-1)/SUMPRODUCT(--($D$335:$V$335=D$335),--($D879:$V879=1)),0)+SUM(D576)+IF(COUNTIF(D$641:D879,1)=1,5,0)+IF(COUNTIF(E577:$Z577,"&gt;"&amp;0)&gt;5,IF(MOD(COUNTIF(D$641:D879,1),7)=0,$C$4,0),0)</f>
        <v>1288.82134856666</v>
      </c>
      <c r="E577" s="81" cm="1">
        <f ca="1" t="array" ref="E577">IF(E879=1,OFFSET($Z$338,$B577,E$335-1)/SUMPRODUCT(--($D$335:$V$335=E$335),--($D879:$V879=1)),0)+SUM(E576)+IF(COUNTIF(E$641:E879,1)=1,5,0)+IF(COUNTIF(F577:$Z577,"&gt;"&amp;0)&gt;5,IF(MOD(COUNTIF(E$641:E879,1),7)=0,$C$4,0),0)</f>
        <v>1288.82134856666</v>
      </c>
      <c r="F577" s="81" cm="1">
        <f ca="1" t="array" ref="F577">IF(F879=1,OFFSET($Z$338,$B577,F$335-1)/SUMPRODUCT(--($D$335:$V$335=F$335),--($D879:$V879=1)),0)+SUM(F576)+IF(COUNTIF(F$641:F879,1)=1,5,0)+IF(COUNTIF(G577:$Z577,"&gt;"&amp;0)&gt;5,IF(MOD(COUNTIF(F$641:F879,1),7)=0,$C$4,0),0)</f>
        <v>1288.82134856666</v>
      </c>
      <c r="G577" s="81" cm="1">
        <f ca="1" t="array" ref="G577">IF(G879=1,OFFSET($Z$338,$B577,G$335-1)/SUMPRODUCT(--($D$335:$V$335=G$335),--($D879:$V879=1)),0)+SUM(G576)+IF(COUNTIF(G$641:G879,1)=1,5,0)+IF(COUNTIF(H577:$Z577,"&gt;"&amp;0)&gt;5,IF(MOD(COUNTIF(G$641:G879,1),7)=0,$C$4,0),0)</f>
        <v>577.516666666668</v>
      </c>
      <c r="H577" s="81" cm="1">
        <f ca="1" t="array" ref="H577">IF(H879=1,OFFSET($Z$338,$B577,H$335-1)/SUMPRODUCT(--($D$335:$V$335=H$335),--($D879:$V879=1)),0)+SUM(H576)+IF(COUNTIF(H$641:H879,1)=1,5,0)+IF(COUNTIF(I577:$Z577,"&gt;"&amp;0)&gt;5,IF(MOD(COUNTIF(H$641:H879,1),7)=0,$C$4,0),0)</f>
        <v>577.516666666668</v>
      </c>
      <c r="I577" s="81" cm="1">
        <f ca="1" t="array" ref="I577">IF(I879=1,OFFSET($Z$338,$B577,I$335-1)/SUMPRODUCT(--($D$335:$V$335=I$335),--($D879:$V879=1)),0)+SUM(I576)+IF(COUNTIF(I$641:I879,1)=1,5,0)+IF(COUNTIF(J577:$Z577,"&gt;"&amp;0)&gt;5,IF(MOD(COUNTIF(I$641:I879,1),7)=0,$C$4,0),0)</f>
        <v>577.516666666668</v>
      </c>
      <c r="J577" s="81" cm="1">
        <f ca="1" t="array" ref="J577">IF(J879=1,OFFSET($Z$338,$B577,J$335-1)/SUMPRODUCT(--($D$335:$V$335=J$335),--($D879:$V879=1)),0)+SUM(J576)+IF(COUNTIF(J$641:J879,1)=1,5,0)+IF(COUNTIF(K577:$Z577,"&gt;"&amp;0)&gt;5,IF(MOD(COUNTIF(J$641:J879,1),7)=0,$C$4,0),0)</f>
        <v>577.516666666668</v>
      </c>
      <c r="K577" s="81" cm="1">
        <f ca="1" t="array" ref="K577">IF(K879=1,OFFSET($Z$338,$B577,K$335-1)/SUMPRODUCT(--($D$335:$V$335=K$335),--($D879:$V879=1)),0)+SUM(K576)+IF(COUNTIF(K$641:K879,1)=1,5,0)+IF(COUNTIF(L577:$Z577,"&gt;"&amp;0)&gt;5,IF(MOD(COUNTIF(K$641:K879,1),7)=0,$C$4,0),0)</f>
        <v>577.516666666668</v>
      </c>
      <c r="L577" s="81" cm="1">
        <f ca="1" t="array" ref="L577">IF(L879=1,OFFSET($Z$338,$B577,L$335-1)/SUMPRODUCT(--($D$335:$V$335=L$335),--($D879:$V879=1)),0)+SUM(L576)+IF(COUNTIF(L$641:L879,1)=1,5,0)+IF(COUNTIF(M577:$Z577,"&gt;"&amp;0)&gt;5,IF(MOD(COUNTIF(L$641:L879,1),7)=0,$C$4,0),0)</f>
        <v>570.816666666668</v>
      </c>
      <c r="M577" s="81" cm="1">
        <f ca="1" t="array" ref="M577">IF(M879=1,OFFSET($Z$338,$B577,M$335-1)/SUMPRODUCT(--($D$335:$V$335=M$335),--($D879:$V879=1)),0)+SUM(M576)+IF(COUNTIF(M$641:M879,1)=1,5,0)+IF(COUNTIF(N577:$Z577,"&gt;"&amp;0)&gt;5,IF(MOD(COUNTIF(M$641:M879,1),7)=0,$C$4,0),0)</f>
        <v>325.644107142858</v>
      </c>
      <c r="N577" s="81" cm="1">
        <f ca="1" t="array" ref="N577">IF(N879=1,OFFSET($Z$338,$B577,N$335-1)/SUMPRODUCT(--($D$335:$V$335=N$335),--($D879:$V879=1)),0)+SUM(N576)+IF(COUNTIF(N$641:N879,1)=1,5,0)+IF(COUNTIF(O577:$Z577,"&gt;"&amp;0)&gt;5,IF(MOD(COUNTIF(N$641:N879,1),7)=0,$C$4,0),0)</f>
        <v>312.919107142858</v>
      </c>
      <c r="O577" s="81" cm="1">
        <f ca="1" t="array" ref="O577">IF(O879=1,OFFSET($Z$338,$B577,O$335-1)/SUMPRODUCT(--($D$335:$V$335=O$335),--($D879:$V879=1)),0)+SUM(O576)+IF(COUNTIF(O$641:O879,1)=1,5,0)+IF(COUNTIF(P577:$Z577,"&gt;"&amp;0)&gt;5,IF(MOD(COUNTIF(O$641:O879,1),7)=0,$C$4,0),0)</f>
        <v>310.494107142858</v>
      </c>
      <c r="P577" s="81" cm="1">
        <f ca="1" t="array" ref="P577">IF(P879=1,OFFSET($Z$338,$B577,P$335-1)/SUMPRODUCT(--($D$335:$V$335=P$335),--($D879:$V879=1)),0)+SUM(P576)+IF(COUNTIF(P$641:P879,1)=1,5,0)+IF(COUNTIF(Q577:$Z577,"&gt;"&amp;0)&gt;5,IF(MOD(COUNTIF(P$641:P879,1),7)=0,$C$4,0),0)</f>
        <v>307.560773809524</v>
      </c>
      <c r="Q577" s="81" cm="1">
        <f ca="1" t="array" ref="Q577">IF(Q879=1,OFFSET($Z$338,$B577,Q$335-1)/SUMPRODUCT(--($D$335:$V$335=Q$335),--($D879:$V879=1)),0)+SUM(Q576)+IF(COUNTIF(Q$641:Q879,1)=1,5,0)+IF(COUNTIF(R577:$Z577,"&gt;"&amp;0)&gt;5,IF(MOD(COUNTIF(Q$641:Q879,1),7)=0,$C$4,0),0)</f>
        <v>306.654523809524</v>
      </c>
      <c r="R577" s="81" cm="1">
        <f ca="1" t="array" ref="R577">IF(R879=1,OFFSET($Z$338,$B577,R$335-1)/SUMPRODUCT(--($D$335:$V$335=R$335),--($D879:$V879=1)),0)+SUM(R576)+IF(COUNTIF(R$641:R879,1)=1,5,0)+IF(COUNTIF(S577:$Z577,"&gt;"&amp;0)&gt;5,IF(MOD(COUNTIF(R$641:R879,1),7)=0,$C$4,0),0)</f>
        <v>281.759523809524</v>
      </c>
      <c r="S577" s="81" cm="1">
        <f ca="1" t="array" ref="S577">IF(S879=1,OFFSET($Z$338,$B577,S$335-1)/SUMPRODUCT(--($D$335:$V$335=S$335),--($D879:$V879=1)),0)+SUM(S576)+IF(COUNTIF(S$641:S879,1)=1,5,0)+IF(COUNTIF(T577:$Z577,"&gt;"&amp;0)&gt;5,IF(MOD(COUNTIF(S$641:S879,1),7)=0,$C$4,0),0)</f>
        <v>272.592857142857</v>
      </c>
      <c r="T577" s="81" cm="1">
        <f ca="1" t="array" ref="T577">IF(T879=1,OFFSET($Z$338,$B577,T$335-1)/SUMPRODUCT(--($D$335:$V$335=T$335),--($D879:$V879=1)),0)+SUM(T576)+IF(COUNTIF(T$641:T879,1)=1,5,0)+IF(COUNTIF(U577:$Z577,"&gt;"&amp;0)&gt;5,IF(MOD(COUNTIF(T$641:T879,1),7)=0,$C$4,0),0)</f>
        <v>137.656257829764</v>
      </c>
      <c r="U577" s="81" cm="1">
        <f ca="1" t="array" ref="U577">IF(U879=1,OFFSET($Z$338,$B577,U$335-1)/SUMPRODUCT(--($D$335:$V$335=U$335),--($D879:$V879=1)),0)+SUM(U576)+IF(COUNTIF(U$641:U879,1)=1,5,0)+IF(COUNTIF(V577:$Z577,"&gt;"&amp;0)&gt;5,IF(MOD(COUNTIF(U$641:U879,1),7)=0,$C$4,0),0)</f>
        <v>97.6562578297643</v>
      </c>
      <c r="V577" s="81" cm="1">
        <f ca="1" t="array" ref="V577">IF(V879=1,OFFSET($Z$338,$B577,V$335-1)/SUMPRODUCT(--($D$335:$V$335=V$335),--($D879:$V879=1)),0)+SUM(V576)+IF(COUNTIF(V$641:V879,1)=1,5,0)+IF(COUNTIF(Z577:$Z577,"&gt;"&amp;0)&gt;5,IF(MOD(COUNTIF(V$641:V879,1),7)=0,$C$4,0),0)</f>
        <v>89.6984386404824</v>
      </c>
      <c r="W577" s="81" cm="1">
        <f ca="1" t="array" ref="W577">IF(W879=1,OFFSET($Z$338,$B577,W$335-1)/SUMPRODUCT(--($D$335:$V$335=W$335),--($D879:$V879=1)),0)+SUM(W576)+IF(COUNTIF(W$641:W879,1)=1,5,0)+IF(COUNTIF($Z577:AA577,"&gt;"&amp;0)&gt;5,IF(MOD(COUNTIF(W$641:W879,1),7)=0,$C$4,0),0)</f>
        <v>80.3425695255331</v>
      </c>
      <c r="X577" s="81" cm="1">
        <f ca="1" t="array" ref="X577">IF(X879=1,OFFSET($Z$338,$B577,X$335-1)/SUMPRODUCT(--($D$335:$V$335=X$335),--($D879:$V879=1)),0)+SUM(X576)+IF(COUNTIF(X$641:X879,1)=1,5,0)+IF(COUNTIF($Z577:AB577,"&gt;"&amp;0)&gt;5,IF(MOD(COUNTIF(X$641:X879,1),7)=0,$C$4,0),0)</f>
        <v>73.5789092348996</v>
      </c>
      <c r="Y577" s="81" cm="1">
        <f ca="1" t="array" ref="Y577">IF(Y879=1,OFFSET($Z$338,$B577,Y$335-1)/SUMPRODUCT(--($D$335:$V$335=Y$335),--($D879:$V879=1)),0)+SUM(Y576)+IF(COUNTIF(Y$641:Y879,1)=1,5,0)+IF(COUNTIF($Z577:AC577,"&gt;"&amp;0)&gt;5,IF(MOD(COUNTIF(Y$641:Y879,1),7)=0,$C$4,0),0)</f>
        <v>66.8152489442662</v>
      </c>
      <c r="Z577" s="82" cm="1">
        <f ca="1" t="array" ref="Z577">SUMPRODUCT(TRANSPOSE($AD577:$AJ577),OFFSET($L$10:$L$16,0,Z$335-1))</f>
        <v>0</v>
      </c>
      <c r="AA577" s="82" cm="1">
        <f ca="1" t="array" ref="AA577">SUMPRODUCT(TRANSPOSE($AD577:$AJ577),OFFSET($L$10:$L$16,0,AA$335-1))</f>
        <v>0</v>
      </c>
      <c r="AB577" s="82" cm="1">
        <f ca="1" t="array" ref="AB577">SUMPRODUCT(TRANSPOSE($AD577:$AJ577),OFFSET($L$10:$L$16,0,AB$335-1))</f>
        <v>0</v>
      </c>
      <c r="AC577" s="82" cm="1">
        <f ca="1" t="array" ref="AC577">SUMPRODUCT(TRANSPOSE($AD577:$AJ577),OFFSET($L$10:$L$16,0,AC$335-1))</f>
        <v>0</v>
      </c>
      <c r="AD577" s="83">
        <f ca="1" t="shared" ref="AD577:AJ577" si="803">AK577-AK576</f>
        <v>0</v>
      </c>
      <c r="AE577" s="83">
        <f ca="1" t="shared" si="803"/>
        <v>0</v>
      </c>
      <c r="AF577" s="83">
        <f ca="1" t="shared" si="803"/>
        <v>0</v>
      </c>
      <c r="AG577" s="83">
        <f ca="1" t="shared" si="803"/>
        <v>0</v>
      </c>
      <c r="AH577" s="83">
        <f ca="1" t="shared" si="803"/>
        <v>0</v>
      </c>
      <c r="AI577" s="83">
        <f ca="1" t="shared" si="803"/>
        <v>0</v>
      </c>
      <c r="AJ577" s="83">
        <f ca="1" t="shared" si="803"/>
        <v>0</v>
      </c>
      <c r="AK577" s="83">
        <f ca="1" t="shared" si="711"/>
        <v>450</v>
      </c>
      <c r="AL577" s="83">
        <f ca="1" t="shared" ref="AL577:AQ577" si="804">IF($C577&gt;OFFSET($Q$9,MATCH(AL$338,$AK$338:$AQ$338,0),0),OFFSET($P$9,MATCH(AL$338,$AK$338:$AQ$338,0),0),MAX(0,$C577-OFFSET($Q$9,RIGHT(AL$338,1)-1,0)))</f>
        <v>909</v>
      </c>
      <c r="AM577" s="83">
        <f ca="1" t="shared" si="804"/>
        <v>1818</v>
      </c>
      <c r="AN577" s="83">
        <f ca="1" t="shared" si="804"/>
        <v>2727</v>
      </c>
      <c r="AO577" s="83">
        <f ca="1" t="shared" si="804"/>
        <v>3636</v>
      </c>
      <c r="AP577" s="83">
        <f ca="1" t="shared" si="804"/>
        <v>4545</v>
      </c>
      <c r="AQ577" s="83">
        <f ca="1" t="shared" si="804"/>
        <v>0</v>
      </c>
    </row>
    <row r="578" ht="16.5" spans="2:43">
      <c r="B578" s="65">
        <v>240</v>
      </c>
      <c r="C578" s="80">
        <f t="shared" si="709"/>
        <v>27726</v>
      </c>
      <c r="D578" s="81" cm="1">
        <f ca="1" t="array" ref="D578">IF(D880=1,OFFSET($Z$338,$B578,D$335-1)/SUMPRODUCT(--($D$335:$V$335=D$335),--($D880:$V880=1)),0)+SUM(D577)+IF(COUNTIF(D$641:D880,1)=1,5,0)+IF(COUNTIF(E578:$Z578,"&gt;"&amp;0)&gt;5,IF(MOD(COUNTIF(D$641:D880,1),7)=0,$C$4,0),0)</f>
        <v>1288.82134856666</v>
      </c>
      <c r="E578" s="81" cm="1">
        <f ca="1" t="array" ref="E578">IF(E880=1,OFFSET($Z$338,$B578,E$335-1)/SUMPRODUCT(--($D$335:$V$335=E$335),--($D880:$V880=1)),0)+SUM(E577)+IF(COUNTIF(E$641:E880,1)=1,5,0)+IF(COUNTIF(F578:$Z578,"&gt;"&amp;0)&gt;5,IF(MOD(COUNTIF(E$641:E880,1),7)=0,$C$4,0),0)</f>
        <v>1288.82134856666</v>
      </c>
      <c r="F578" s="81" cm="1">
        <f ca="1" t="array" ref="F578">IF(F880=1,OFFSET($Z$338,$B578,F$335-1)/SUMPRODUCT(--($D$335:$V$335=F$335),--($D880:$V880=1)),0)+SUM(F577)+IF(COUNTIF(F$641:F880,1)=1,5,0)+IF(COUNTIF(G578:$Z578,"&gt;"&amp;0)&gt;5,IF(MOD(COUNTIF(F$641:F880,1),7)=0,$C$4,0),0)</f>
        <v>1288.82134856666</v>
      </c>
      <c r="G578" s="81" cm="1">
        <f ca="1" t="array" ref="G578">IF(G880=1,OFFSET($Z$338,$B578,G$335-1)/SUMPRODUCT(--($D$335:$V$335=G$335),--($D880:$V880=1)),0)+SUM(G577)+IF(COUNTIF(G$641:G880,1)=1,5,0)+IF(COUNTIF(H578:$Z578,"&gt;"&amp;0)&gt;5,IF(MOD(COUNTIF(G$641:G880,1),7)=0,$C$4,0),0)</f>
        <v>577.516666666668</v>
      </c>
      <c r="H578" s="81" cm="1">
        <f ca="1" t="array" ref="H578">IF(H880=1,OFFSET($Z$338,$B578,H$335-1)/SUMPRODUCT(--($D$335:$V$335=H$335),--($D880:$V880=1)),0)+SUM(H577)+IF(COUNTIF(H$641:H880,1)=1,5,0)+IF(COUNTIF(I578:$Z578,"&gt;"&amp;0)&gt;5,IF(MOD(COUNTIF(H$641:H880,1),7)=0,$C$4,0),0)</f>
        <v>577.516666666668</v>
      </c>
      <c r="I578" s="81" cm="1">
        <f ca="1" t="array" ref="I578">IF(I880=1,OFFSET($Z$338,$B578,I$335-1)/SUMPRODUCT(--($D$335:$V$335=I$335),--($D880:$V880=1)),0)+SUM(I577)+IF(COUNTIF(I$641:I880,1)=1,5,0)+IF(COUNTIF(J578:$Z578,"&gt;"&amp;0)&gt;5,IF(MOD(COUNTIF(I$641:I880,1),7)=0,$C$4,0),0)</f>
        <v>577.516666666668</v>
      </c>
      <c r="J578" s="81" cm="1">
        <f ca="1" t="array" ref="J578">IF(J880=1,OFFSET($Z$338,$B578,J$335-1)/SUMPRODUCT(--($D$335:$V$335=J$335),--($D880:$V880=1)),0)+SUM(J577)+IF(COUNTIF(J$641:J880,1)=1,5,0)+IF(COUNTIF(K578:$Z578,"&gt;"&amp;0)&gt;5,IF(MOD(COUNTIF(J$641:J880,1),7)=0,$C$4,0),0)</f>
        <v>577.516666666668</v>
      </c>
      <c r="K578" s="81" cm="1">
        <f ca="1" t="array" ref="K578">IF(K880=1,OFFSET($Z$338,$B578,K$335-1)/SUMPRODUCT(--($D$335:$V$335=K$335),--($D880:$V880=1)),0)+SUM(K577)+IF(COUNTIF(K$641:K880,1)=1,5,0)+IF(COUNTIF(L578:$Z578,"&gt;"&amp;0)&gt;5,IF(MOD(COUNTIF(K$641:K880,1),7)=0,$C$4,0),0)</f>
        <v>577.516666666668</v>
      </c>
      <c r="L578" s="81" cm="1">
        <f ca="1" t="array" ref="L578">IF(L880=1,OFFSET($Z$338,$B578,L$335-1)/SUMPRODUCT(--($D$335:$V$335=L$335),--($D880:$V880=1)),0)+SUM(L577)+IF(COUNTIF(L$641:L880,1)=1,5,0)+IF(COUNTIF(M578:$Z578,"&gt;"&amp;0)&gt;5,IF(MOD(COUNTIF(L$641:L880,1),7)=0,$C$4,0),0)</f>
        <v>570.816666666668</v>
      </c>
      <c r="M578" s="81" cm="1">
        <f ca="1" t="array" ref="M578">IF(M880=1,OFFSET($Z$338,$B578,M$335-1)/SUMPRODUCT(--($D$335:$V$335=M$335),--($D880:$V880=1)),0)+SUM(M577)+IF(COUNTIF(M$641:M880,1)=1,5,0)+IF(COUNTIF(N578:$Z578,"&gt;"&amp;0)&gt;5,IF(MOD(COUNTIF(M$641:M880,1),7)=0,$C$4,0),0)</f>
        <v>325.644107142858</v>
      </c>
      <c r="N578" s="81" cm="1">
        <f ca="1" t="array" ref="N578">IF(N880=1,OFFSET($Z$338,$B578,N$335-1)/SUMPRODUCT(--($D$335:$V$335=N$335),--($D880:$V880=1)),0)+SUM(N577)+IF(COUNTIF(N$641:N880,1)=1,5,0)+IF(COUNTIF(O578:$Z578,"&gt;"&amp;0)&gt;5,IF(MOD(COUNTIF(N$641:N880,1),7)=0,$C$4,0),0)</f>
        <v>317.919107142858</v>
      </c>
      <c r="O578" s="81" cm="1">
        <f ca="1" t="array" ref="O578">IF(O880=1,OFFSET($Z$338,$B578,O$335-1)/SUMPRODUCT(--($D$335:$V$335=O$335),--($D880:$V880=1)),0)+SUM(O577)+IF(COUNTIF(O$641:O880,1)=1,5,0)+IF(COUNTIF(P578:$Z578,"&gt;"&amp;0)&gt;5,IF(MOD(COUNTIF(O$641:O880,1),7)=0,$C$4,0),0)</f>
        <v>310.494107142858</v>
      </c>
      <c r="P578" s="81" cm="1">
        <f ca="1" t="array" ref="P578">IF(P880=1,OFFSET($Z$338,$B578,P$335-1)/SUMPRODUCT(--($D$335:$V$335=P$335),--($D880:$V880=1)),0)+SUM(P577)+IF(COUNTIF(P$641:P880,1)=1,5,0)+IF(COUNTIF(Q578:$Z578,"&gt;"&amp;0)&gt;5,IF(MOD(COUNTIF(P$641:P880,1),7)=0,$C$4,0),0)</f>
        <v>307.560773809524</v>
      </c>
      <c r="Q578" s="81" cm="1">
        <f ca="1" t="array" ref="Q578">IF(Q880=1,OFFSET($Z$338,$B578,Q$335-1)/SUMPRODUCT(--($D$335:$V$335=Q$335),--($D880:$V880=1)),0)+SUM(Q577)+IF(COUNTIF(Q$641:Q880,1)=1,5,0)+IF(COUNTIF(R578:$Z578,"&gt;"&amp;0)&gt;5,IF(MOD(COUNTIF(Q$641:Q880,1),7)=0,$C$4,0),0)</f>
        <v>306.654523809524</v>
      </c>
      <c r="R578" s="81" cm="1">
        <f ca="1" t="array" ref="R578">IF(R880=1,OFFSET($Z$338,$B578,R$335-1)/SUMPRODUCT(--($D$335:$V$335=R$335),--($D880:$V880=1)),0)+SUM(R577)+IF(COUNTIF(R$641:R880,1)=1,5,0)+IF(COUNTIF(S578:$Z578,"&gt;"&amp;0)&gt;5,IF(MOD(COUNTIF(R$641:R880,1),7)=0,$C$4,0),0)</f>
        <v>281.759523809524</v>
      </c>
      <c r="S578" s="81" cm="1">
        <f ca="1" t="array" ref="S578">IF(S880=1,OFFSET($Z$338,$B578,S$335-1)/SUMPRODUCT(--($D$335:$V$335=S$335),--($D880:$V880=1)),0)+SUM(S577)+IF(COUNTIF(S$641:S880,1)=1,5,0)+IF(COUNTIF(T578:$Z578,"&gt;"&amp;0)&gt;5,IF(MOD(COUNTIF(S$641:S880,1),7)=0,$C$4,0),0)</f>
        <v>272.592857142857</v>
      </c>
      <c r="T578" s="81" cm="1">
        <f ca="1" t="array" ref="T578">IF(T880=1,OFFSET($Z$338,$B578,T$335-1)/SUMPRODUCT(--($D$335:$V$335=T$335),--($D880:$V880=1)),0)+SUM(T577)+IF(COUNTIF(T$641:T880,1)=1,5,0)+IF(COUNTIF(U578:$Z578,"&gt;"&amp;0)&gt;5,IF(MOD(COUNTIF(T$641:T880,1),7)=0,$C$4,0),0)</f>
        <v>137.656257829764</v>
      </c>
      <c r="U578" s="81" cm="1">
        <f ca="1" t="array" ref="U578">IF(U880=1,OFFSET($Z$338,$B578,U$335-1)/SUMPRODUCT(--($D$335:$V$335=U$335),--($D880:$V880=1)),0)+SUM(U577)+IF(COUNTIF(U$641:U880,1)=1,5,0)+IF(COUNTIF(V578:$Z578,"&gt;"&amp;0)&gt;5,IF(MOD(COUNTIF(U$641:U880,1),7)=0,$C$4,0),0)</f>
        <v>97.6562578297643</v>
      </c>
      <c r="V578" s="81" cm="1">
        <f ca="1" t="array" ref="V578">IF(V880=1,OFFSET($Z$338,$B578,V$335-1)/SUMPRODUCT(--($D$335:$V$335=V$335),--($D880:$V880=1)),0)+SUM(V577)+IF(COUNTIF(V$641:V880,1)=1,5,0)+IF(COUNTIF(Z578:$Z578,"&gt;"&amp;0)&gt;5,IF(MOD(COUNTIF(V$641:V880,1),7)=0,$C$4,0),0)</f>
        <v>89.6984386404824</v>
      </c>
      <c r="W578" s="81" cm="1">
        <f ca="1" t="array" ref="W578">IF(W880=1,OFFSET($Z$338,$B578,W$335-1)/SUMPRODUCT(--($D$335:$V$335=W$335),--($D880:$V880=1)),0)+SUM(W577)+IF(COUNTIF(W$641:W880,1)=1,5,0)+IF(COUNTIF($Z578:AA578,"&gt;"&amp;0)&gt;5,IF(MOD(COUNTIF(W$641:W880,1),7)=0,$C$4,0),0)</f>
        <v>80.3425695255331</v>
      </c>
      <c r="X578" s="81" cm="1">
        <f ca="1" t="array" ref="X578">IF(X880=1,OFFSET($Z$338,$B578,X$335-1)/SUMPRODUCT(--($D$335:$V$335=X$335),--($D880:$V880=1)),0)+SUM(X577)+IF(COUNTIF(X$641:X880,1)=1,5,0)+IF(COUNTIF($Z578:AB578,"&gt;"&amp;0)&gt;5,IF(MOD(COUNTIF(X$641:X880,1),7)=0,$C$4,0),0)</f>
        <v>73.5789092348996</v>
      </c>
      <c r="Y578" s="81" cm="1">
        <f ca="1" t="array" ref="Y578">IF(Y880=1,OFFSET($Z$338,$B578,Y$335-1)/SUMPRODUCT(--($D$335:$V$335=Y$335),--($D880:$V880=1)),0)+SUM(Y577)+IF(COUNTIF(Y$641:Y880,1)=1,5,0)+IF(COUNTIF($Z578:AC578,"&gt;"&amp;0)&gt;5,IF(MOD(COUNTIF(Y$641:Y880,1),7)=0,$C$4,0),0)</f>
        <v>66.8152489442662</v>
      </c>
      <c r="Z578" s="82" cm="1">
        <f ca="1" t="array" ref="Z578">SUMPRODUCT(TRANSPOSE($AD578:$AJ578),OFFSET($L$10:$L$16,0,Z$335-1))</f>
        <v>0</v>
      </c>
      <c r="AA578" s="82" cm="1">
        <f ca="1" t="array" ref="AA578">SUMPRODUCT(TRANSPOSE($AD578:$AJ578),OFFSET($L$10:$L$16,0,AA$335-1))</f>
        <v>0</v>
      </c>
      <c r="AB578" s="82" cm="1">
        <f ca="1" t="array" ref="AB578">SUMPRODUCT(TRANSPOSE($AD578:$AJ578),OFFSET($L$10:$L$16,0,AB$335-1))</f>
        <v>0</v>
      </c>
      <c r="AC578" s="82" cm="1">
        <f ca="1" t="array" ref="AC578">SUMPRODUCT(TRANSPOSE($AD578:$AJ578),OFFSET($L$10:$L$16,0,AC$335-1))</f>
        <v>0</v>
      </c>
      <c r="AD578" s="83">
        <f ca="1" t="shared" ref="AD578:AJ578" si="805">AK578-AK577</f>
        <v>0</v>
      </c>
      <c r="AE578" s="83">
        <f ca="1" t="shared" si="805"/>
        <v>0</v>
      </c>
      <c r="AF578" s="83">
        <f ca="1" t="shared" si="805"/>
        <v>0</v>
      </c>
      <c r="AG578" s="83">
        <f ca="1" t="shared" si="805"/>
        <v>0</v>
      </c>
      <c r="AH578" s="83">
        <f ca="1" t="shared" si="805"/>
        <v>0</v>
      </c>
      <c r="AI578" s="83">
        <f ca="1" t="shared" si="805"/>
        <v>0</v>
      </c>
      <c r="AJ578" s="83">
        <f ca="1" t="shared" si="805"/>
        <v>0</v>
      </c>
      <c r="AK578" s="83">
        <f ca="1" t="shared" si="711"/>
        <v>450</v>
      </c>
      <c r="AL578" s="83">
        <f ca="1" t="shared" ref="AL578:AQ578" si="806">IF($C578&gt;OFFSET($Q$9,MATCH(AL$338,$AK$338:$AQ$338,0),0),OFFSET($P$9,MATCH(AL$338,$AK$338:$AQ$338,0),0),MAX(0,$C578-OFFSET($Q$9,RIGHT(AL$338,1)-1,0)))</f>
        <v>909</v>
      </c>
      <c r="AM578" s="83">
        <f ca="1" t="shared" si="806"/>
        <v>1818</v>
      </c>
      <c r="AN578" s="83">
        <f ca="1" t="shared" si="806"/>
        <v>2727</v>
      </c>
      <c r="AO578" s="83">
        <f ca="1" t="shared" si="806"/>
        <v>3636</v>
      </c>
      <c r="AP578" s="83">
        <f ca="1" t="shared" si="806"/>
        <v>4545</v>
      </c>
      <c r="AQ578" s="83">
        <f ca="1" t="shared" si="806"/>
        <v>0</v>
      </c>
    </row>
    <row r="579" ht="16.5" spans="2:43">
      <c r="B579" s="65">
        <v>241</v>
      </c>
      <c r="C579" s="80">
        <f t="shared" si="709"/>
        <v>27836</v>
      </c>
      <c r="D579" s="81" cm="1">
        <f ca="1" t="array" ref="D579">IF(D881=1,OFFSET($Z$338,$B579,D$335-1)/SUMPRODUCT(--($D$335:$V$335=D$335),--($D881:$V881=1)),0)+SUM(D578)+IF(COUNTIF(D$641:D881,1)=1,5,0)+IF(COUNTIF(E579:$Z579,"&gt;"&amp;0)&gt;5,IF(MOD(COUNTIF(D$641:D881,1),7)=0,$C$4,0),0)</f>
        <v>1288.82134856666</v>
      </c>
      <c r="E579" s="81" cm="1">
        <f ca="1" t="array" ref="E579">IF(E881=1,OFFSET($Z$338,$B579,E$335-1)/SUMPRODUCT(--($D$335:$V$335=E$335),--($D881:$V881=1)),0)+SUM(E578)+IF(COUNTIF(E$641:E881,1)=1,5,0)+IF(COUNTIF(F579:$Z579,"&gt;"&amp;0)&gt;5,IF(MOD(COUNTIF(E$641:E881,1),7)=0,$C$4,0),0)</f>
        <v>1288.82134856666</v>
      </c>
      <c r="F579" s="81" cm="1">
        <f ca="1" t="array" ref="F579">IF(F881=1,OFFSET($Z$338,$B579,F$335-1)/SUMPRODUCT(--($D$335:$V$335=F$335),--($D881:$V881=1)),0)+SUM(F578)+IF(COUNTIF(F$641:F881,1)=1,5,0)+IF(COUNTIF(G579:$Z579,"&gt;"&amp;0)&gt;5,IF(MOD(COUNTIF(F$641:F881,1),7)=0,$C$4,0),0)</f>
        <v>1288.82134856666</v>
      </c>
      <c r="G579" s="81" cm="1">
        <f ca="1" t="array" ref="G579">IF(G881=1,OFFSET($Z$338,$B579,G$335-1)/SUMPRODUCT(--($D$335:$V$335=G$335),--($D881:$V881=1)),0)+SUM(G578)+IF(COUNTIF(G$641:G881,1)=1,5,0)+IF(COUNTIF(H579:$Z579,"&gt;"&amp;0)&gt;5,IF(MOD(COUNTIF(G$641:G881,1),7)=0,$C$4,0),0)</f>
        <v>577.516666666668</v>
      </c>
      <c r="H579" s="81" cm="1">
        <f ca="1" t="array" ref="H579">IF(H881=1,OFFSET($Z$338,$B579,H$335-1)/SUMPRODUCT(--($D$335:$V$335=H$335),--($D881:$V881=1)),0)+SUM(H578)+IF(COUNTIF(H$641:H881,1)=1,5,0)+IF(COUNTIF(I579:$Z579,"&gt;"&amp;0)&gt;5,IF(MOD(COUNTIF(H$641:H881,1),7)=0,$C$4,0),0)</f>
        <v>577.516666666668</v>
      </c>
      <c r="I579" s="81" cm="1">
        <f ca="1" t="array" ref="I579">IF(I881=1,OFFSET($Z$338,$B579,I$335-1)/SUMPRODUCT(--($D$335:$V$335=I$335),--($D881:$V881=1)),0)+SUM(I578)+IF(COUNTIF(I$641:I881,1)=1,5,0)+IF(COUNTIF(J579:$Z579,"&gt;"&amp;0)&gt;5,IF(MOD(COUNTIF(I$641:I881,1),7)=0,$C$4,0),0)</f>
        <v>577.516666666668</v>
      </c>
      <c r="J579" s="81" cm="1">
        <f ca="1" t="array" ref="J579">IF(J881=1,OFFSET($Z$338,$B579,J$335-1)/SUMPRODUCT(--($D$335:$V$335=J$335),--($D881:$V881=1)),0)+SUM(J578)+IF(COUNTIF(J$641:J881,1)=1,5,0)+IF(COUNTIF(K579:$Z579,"&gt;"&amp;0)&gt;5,IF(MOD(COUNTIF(J$641:J881,1),7)=0,$C$4,0),0)</f>
        <v>577.516666666668</v>
      </c>
      <c r="K579" s="81" cm="1">
        <f ca="1" t="array" ref="K579">IF(K881=1,OFFSET($Z$338,$B579,K$335-1)/SUMPRODUCT(--($D$335:$V$335=K$335),--($D881:$V881=1)),0)+SUM(K578)+IF(COUNTIF(K$641:K881,1)=1,5,0)+IF(COUNTIF(L579:$Z579,"&gt;"&amp;0)&gt;5,IF(MOD(COUNTIF(K$641:K881,1),7)=0,$C$4,0),0)</f>
        <v>577.516666666668</v>
      </c>
      <c r="L579" s="81" cm="1">
        <f ca="1" t="array" ref="L579">IF(L881=1,OFFSET($Z$338,$B579,L$335-1)/SUMPRODUCT(--($D$335:$V$335=L$335),--($D881:$V881=1)),0)+SUM(L578)+IF(COUNTIF(L$641:L881,1)=1,5,0)+IF(COUNTIF(M579:$Z579,"&gt;"&amp;0)&gt;5,IF(MOD(COUNTIF(L$641:L881,1),7)=0,$C$4,0),0)</f>
        <v>570.816666666668</v>
      </c>
      <c r="M579" s="81" cm="1">
        <f ca="1" t="array" ref="M579">IF(M881=1,OFFSET($Z$338,$B579,M$335-1)/SUMPRODUCT(--($D$335:$V$335=M$335),--($D881:$V881=1)),0)+SUM(M578)+IF(COUNTIF(M$641:M881,1)=1,5,0)+IF(COUNTIF(N579:$Z579,"&gt;"&amp;0)&gt;5,IF(MOD(COUNTIF(M$641:M881,1),7)=0,$C$4,0),0)</f>
        <v>325.644107142858</v>
      </c>
      <c r="N579" s="81" cm="1">
        <f ca="1" t="array" ref="N579">IF(N881=1,OFFSET($Z$338,$B579,N$335-1)/SUMPRODUCT(--($D$335:$V$335=N$335),--($D881:$V881=1)),0)+SUM(N578)+IF(COUNTIF(N$641:N881,1)=1,5,0)+IF(COUNTIF(O579:$Z579,"&gt;"&amp;0)&gt;5,IF(MOD(COUNTIF(N$641:N881,1),7)=0,$C$4,0),0)</f>
        <v>317.919107142858</v>
      </c>
      <c r="O579" s="81" cm="1">
        <f ca="1" t="array" ref="O579">IF(O881=1,OFFSET($Z$338,$B579,O$335-1)/SUMPRODUCT(--($D$335:$V$335=O$335),--($D881:$V881=1)),0)+SUM(O578)+IF(COUNTIF(O$641:O881,1)=1,5,0)+IF(COUNTIF(P579:$Z579,"&gt;"&amp;0)&gt;5,IF(MOD(COUNTIF(O$641:O881,1),7)=0,$C$4,0),0)</f>
        <v>315.494107142858</v>
      </c>
      <c r="P579" s="81" cm="1">
        <f ca="1" t="array" ref="P579">IF(P881=1,OFFSET($Z$338,$B579,P$335-1)/SUMPRODUCT(--($D$335:$V$335=P$335),--($D881:$V881=1)),0)+SUM(P578)+IF(COUNTIF(P$641:P881,1)=1,5,0)+IF(COUNTIF(Q579:$Z579,"&gt;"&amp;0)&gt;5,IF(MOD(COUNTIF(P$641:P881,1),7)=0,$C$4,0),0)</f>
        <v>307.560773809524</v>
      </c>
      <c r="Q579" s="81" cm="1">
        <f ca="1" t="array" ref="Q579">IF(Q881=1,OFFSET($Z$338,$B579,Q$335-1)/SUMPRODUCT(--($D$335:$V$335=Q$335),--($D881:$V881=1)),0)+SUM(Q578)+IF(COUNTIF(Q$641:Q881,1)=1,5,0)+IF(COUNTIF(R579:$Z579,"&gt;"&amp;0)&gt;5,IF(MOD(COUNTIF(Q$641:Q881,1),7)=0,$C$4,0),0)</f>
        <v>306.654523809524</v>
      </c>
      <c r="R579" s="81" cm="1">
        <f ca="1" t="array" ref="R579">IF(R881=1,OFFSET($Z$338,$B579,R$335-1)/SUMPRODUCT(--($D$335:$V$335=R$335),--($D881:$V881=1)),0)+SUM(R578)+IF(COUNTIF(R$641:R881,1)=1,5,0)+IF(COUNTIF(S579:$Z579,"&gt;"&amp;0)&gt;5,IF(MOD(COUNTIF(R$641:R881,1),7)=0,$C$4,0),0)</f>
        <v>281.759523809524</v>
      </c>
      <c r="S579" s="81" cm="1">
        <f ca="1" t="array" ref="S579">IF(S881=1,OFFSET($Z$338,$B579,S$335-1)/SUMPRODUCT(--($D$335:$V$335=S$335),--($D881:$V881=1)),0)+SUM(S578)+IF(COUNTIF(S$641:S881,1)=1,5,0)+IF(COUNTIF(T579:$Z579,"&gt;"&amp;0)&gt;5,IF(MOD(COUNTIF(S$641:S881,1),7)=0,$C$4,0),0)</f>
        <v>272.592857142857</v>
      </c>
      <c r="T579" s="81" cm="1">
        <f ca="1" t="array" ref="T579">IF(T881=1,OFFSET($Z$338,$B579,T$335-1)/SUMPRODUCT(--($D$335:$V$335=T$335),--($D881:$V881=1)),0)+SUM(T578)+IF(COUNTIF(T$641:T881,1)=1,5,0)+IF(COUNTIF(U579:$Z579,"&gt;"&amp;0)&gt;5,IF(MOD(COUNTIF(T$641:T881,1),7)=0,$C$4,0),0)</f>
        <v>137.656257829764</v>
      </c>
      <c r="U579" s="81" cm="1">
        <f ca="1" t="array" ref="U579">IF(U881=1,OFFSET($Z$338,$B579,U$335-1)/SUMPRODUCT(--($D$335:$V$335=U$335),--($D881:$V881=1)),0)+SUM(U578)+IF(COUNTIF(U$641:U881,1)=1,5,0)+IF(COUNTIF(V579:$Z579,"&gt;"&amp;0)&gt;5,IF(MOD(COUNTIF(U$641:U881,1),7)=0,$C$4,0),0)</f>
        <v>97.6562578297643</v>
      </c>
      <c r="V579" s="81" cm="1">
        <f ca="1" t="array" ref="V579">IF(V881=1,OFFSET($Z$338,$B579,V$335-1)/SUMPRODUCT(--($D$335:$V$335=V$335),--($D881:$V881=1)),0)+SUM(V578)+IF(COUNTIF(V$641:V881,1)=1,5,0)+IF(COUNTIF(Z579:$Z579,"&gt;"&amp;0)&gt;5,IF(MOD(COUNTIF(V$641:V881,1),7)=0,$C$4,0),0)</f>
        <v>89.6984386404824</v>
      </c>
      <c r="W579" s="81" cm="1">
        <f ca="1" t="array" ref="W579">IF(W881=1,OFFSET($Z$338,$B579,W$335-1)/SUMPRODUCT(--($D$335:$V$335=W$335),--($D881:$V881=1)),0)+SUM(W578)+IF(COUNTIF(W$641:W881,1)=1,5,0)+IF(COUNTIF($Z579:AA579,"&gt;"&amp;0)&gt;5,IF(MOD(COUNTIF(W$641:W881,1),7)=0,$C$4,0),0)</f>
        <v>80.3425695255331</v>
      </c>
      <c r="X579" s="81" cm="1">
        <f ca="1" t="array" ref="X579">IF(X881=1,OFFSET($Z$338,$B579,X$335-1)/SUMPRODUCT(--($D$335:$V$335=X$335),--($D881:$V881=1)),0)+SUM(X578)+IF(COUNTIF(X$641:X881,1)=1,5,0)+IF(COUNTIF($Z579:AB579,"&gt;"&amp;0)&gt;5,IF(MOD(COUNTIF(X$641:X881,1),7)=0,$C$4,0),0)</f>
        <v>73.5789092348996</v>
      </c>
      <c r="Y579" s="81" cm="1">
        <f ca="1" t="array" ref="Y579">IF(Y881=1,OFFSET($Z$338,$B579,Y$335-1)/SUMPRODUCT(--($D$335:$V$335=Y$335),--($D881:$V881=1)),0)+SUM(Y578)+IF(COUNTIF(Y$641:Y881,1)=1,5,0)+IF(COUNTIF($Z579:AC579,"&gt;"&amp;0)&gt;5,IF(MOD(COUNTIF(Y$641:Y881,1),7)=0,$C$4,0),0)</f>
        <v>66.8152489442662</v>
      </c>
      <c r="Z579" s="82" cm="1">
        <f ca="1" t="array" ref="Z579">SUMPRODUCT(TRANSPOSE($AD579:$AJ579),OFFSET($L$10:$L$16,0,Z$335-1))</f>
        <v>0</v>
      </c>
      <c r="AA579" s="82" cm="1">
        <f ca="1" t="array" ref="AA579">SUMPRODUCT(TRANSPOSE($AD579:$AJ579),OFFSET($L$10:$L$16,0,AA$335-1))</f>
        <v>0</v>
      </c>
      <c r="AB579" s="82" cm="1">
        <f ca="1" t="array" ref="AB579">SUMPRODUCT(TRANSPOSE($AD579:$AJ579),OFFSET($L$10:$L$16,0,AB$335-1))</f>
        <v>0</v>
      </c>
      <c r="AC579" s="82" cm="1">
        <f ca="1" t="array" ref="AC579">SUMPRODUCT(TRANSPOSE($AD579:$AJ579),OFFSET($L$10:$L$16,0,AC$335-1))</f>
        <v>0</v>
      </c>
      <c r="AD579" s="83">
        <f ca="1" t="shared" ref="AD579:AJ579" si="807">AK579-AK578</f>
        <v>0</v>
      </c>
      <c r="AE579" s="83">
        <f ca="1" t="shared" si="807"/>
        <v>0</v>
      </c>
      <c r="AF579" s="83">
        <f ca="1" t="shared" si="807"/>
        <v>0</v>
      </c>
      <c r="AG579" s="83">
        <f ca="1" t="shared" si="807"/>
        <v>0</v>
      </c>
      <c r="AH579" s="83">
        <f ca="1" t="shared" si="807"/>
        <v>0</v>
      </c>
      <c r="AI579" s="83">
        <f ca="1" t="shared" si="807"/>
        <v>0</v>
      </c>
      <c r="AJ579" s="83">
        <f ca="1" t="shared" si="807"/>
        <v>0</v>
      </c>
      <c r="AK579" s="83">
        <f ca="1" t="shared" si="711"/>
        <v>450</v>
      </c>
      <c r="AL579" s="83">
        <f ca="1" t="shared" ref="AL579:AQ579" si="808">IF($C579&gt;OFFSET($Q$9,MATCH(AL$338,$AK$338:$AQ$338,0),0),OFFSET($P$9,MATCH(AL$338,$AK$338:$AQ$338,0),0),MAX(0,$C579-OFFSET($Q$9,RIGHT(AL$338,1)-1,0)))</f>
        <v>909</v>
      </c>
      <c r="AM579" s="83">
        <f ca="1" t="shared" si="808"/>
        <v>1818</v>
      </c>
      <c r="AN579" s="83">
        <f ca="1" t="shared" si="808"/>
        <v>2727</v>
      </c>
      <c r="AO579" s="83">
        <f ca="1" t="shared" si="808"/>
        <v>3636</v>
      </c>
      <c r="AP579" s="83">
        <f ca="1" t="shared" si="808"/>
        <v>4545</v>
      </c>
      <c r="AQ579" s="83">
        <f ca="1" t="shared" si="808"/>
        <v>0</v>
      </c>
    </row>
    <row r="580" ht="16.5" spans="2:43">
      <c r="B580" s="65">
        <v>242</v>
      </c>
      <c r="C580" s="80">
        <f t="shared" si="709"/>
        <v>27946</v>
      </c>
      <c r="D580" s="81" cm="1">
        <f ca="1" t="array" ref="D580">IF(D882=1,OFFSET($Z$338,$B580,D$335-1)/SUMPRODUCT(--($D$335:$V$335=D$335),--($D882:$V882=1)),0)+SUM(D579)+IF(COUNTIF(D$641:D882,1)=1,5,0)+IF(COUNTIF(E580:$Z580,"&gt;"&amp;0)&gt;5,IF(MOD(COUNTIF(D$641:D882,1),7)=0,$C$4,0),0)</f>
        <v>1288.82134856666</v>
      </c>
      <c r="E580" s="81" cm="1">
        <f ca="1" t="array" ref="E580">IF(E882=1,OFFSET($Z$338,$B580,E$335-1)/SUMPRODUCT(--($D$335:$V$335=E$335),--($D882:$V882=1)),0)+SUM(E579)+IF(COUNTIF(E$641:E882,1)=1,5,0)+IF(COUNTIF(F580:$Z580,"&gt;"&amp;0)&gt;5,IF(MOD(COUNTIF(E$641:E882,1),7)=0,$C$4,0),0)</f>
        <v>1288.82134856666</v>
      </c>
      <c r="F580" s="81" cm="1">
        <f ca="1" t="array" ref="F580">IF(F882=1,OFFSET($Z$338,$B580,F$335-1)/SUMPRODUCT(--($D$335:$V$335=F$335),--($D882:$V882=1)),0)+SUM(F579)+IF(COUNTIF(F$641:F882,1)=1,5,0)+IF(COUNTIF(G580:$Z580,"&gt;"&amp;0)&gt;5,IF(MOD(COUNTIF(F$641:F882,1),7)=0,$C$4,0),0)</f>
        <v>1288.82134856666</v>
      </c>
      <c r="G580" s="81" cm="1">
        <f ca="1" t="array" ref="G580">IF(G882=1,OFFSET($Z$338,$B580,G$335-1)/SUMPRODUCT(--($D$335:$V$335=G$335),--($D882:$V882=1)),0)+SUM(G579)+IF(COUNTIF(G$641:G882,1)=1,5,0)+IF(COUNTIF(H580:$Z580,"&gt;"&amp;0)&gt;5,IF(MOD(COUNTIF(G$641:G882,1),7)=0,$C$4,0),0)</f>
        <v>577.516666666668</v>
      </c>
      <c r="H580" s="81" cm="1">
        <f ca="1" t="array" ref="H580">IF(H882=1,OFFSET($Z$338,$B580,H$335-1)/SUMPRODUCT(--($D$335:$V$335=H$335),--($D882:$V882=1)),0)+SUM(H579)+IF(COUNTIF(H$641:H882,1)=1,5,0)+IF(COUNTIF(I580:$Z580,"&gt;"&amp;0)&gt;5,IF(MOD(COUNTIF(H$641:H882,1),7)=0,$C$4,0),0)</f>
        <v>577.516666666668</v>
      </c>
      <c r="I580" s="81" cm="1">
        <f ca="1" t="array" ref="I580">IF(I882=1,OFFSET($Z$338,$B580,I$335-1)/SUMPRODUCT(--($D$335:$V$335=I$335),--($D882:$V882=1)),0)+SUM(I579)+IF(COUNTIF(I$641:I882,1)=1,5,0)+IF(COUNTIF(J580:$Z580,"&gt;"&amp;0)&gt;5,IF(MOD(COUNTIF(I$641:I882,1),7)=0,$C$4,0),0)</f>
        <v>577.516666666668</v>
      </c>
      <c r="J580" s="81" cm="1">
        <f ca="1" t="array" ref="J580">IF(J882=1,OFFSET($Z$338,$B580,J$335-1)/SUMPRODUCT(--($D$335:$V$335=J$335),--($D882:$V882=1)),0)+SUM(J579)+IF(COUNTIF(J$641:J882,1)=1,5,0)+IF(COUNTIF(K580:$Z580,"&gt;"&amp;0)&gt;5,IF(MOD(COUNTIF(J$641:J882,1),7)=0,$C$4,0),0)</f>
        <v>577.516666666668</v>
      </c>
      <c r="K580" s="81" cm="1">
        <f ca="1" t="array" ref="K580">IF(K882=1,OFFSET($Z$338,$B580,K$335-1)/SUMPRODUCT(--($D$335:$V$335=K$335),--($D882:$V882=1)),0)+SUM(K579)+IF(COUNTIF(K$641:K882,1)=1,5,0)+IF(COUNTIF(L580:$Z580,"&gt;"&amp;0)&gt;5,IF(MOD(COUNTIF(K$641:K882,1),7)=0,$C$4,0),0)</f>
        <v>577.516666666668</v>
      </c>
      <c r="L580" s="81" cm="1">
        <f ca="1" t="array" ref="L580">IF(L882=1,OFFSET($Z$338,$B580,L$335-1)/SUMPRODUCT(--($D$335:$V$335=L$335),--($D882:$V882=1)),0)+SUM(L579)+IF(COUNTIF(L$641:L882,1)=1,5,0)+IF(COUNTIF(M580:$Z580,"&gt;"&amp;0)&gt;5,IF(MOD(COUNTIF(L$641:L882,1),7)=0,$C$4,0),0)</f>
        <v>570.816666666668</v>
      </c>
      <c r="M580" s="81" cm="1">
        <f ca="1" t="array" ref="M580">IF(M882=1,OFFSET($Z$338,$B580,M$335-1)/SUMPRODUCT(--($D$335:$V$335=M$335),--($D882:$V882=1)),0)+SUM(M579)+IF(COUNTIF(M$641:M882,1)=1,5,0)+IF(COUNTIF(N580:$Z580,"&gt;"&amp;0)&gt;5,IF(MOD(COUNTIF(M$641:M882,1),7)=0,$C$4,0),0)</f>
        <v>325.644107142858</v>
      </c>
      <c r="N580" s="81" cm="1">
        <f ca="1" t="array" ref="N580">IF(N882=1,OFFSET($Z$338,$B580,N$335-1)/SUMPRODUCT(--($D$335:$V$335=N$335),--($D882:$V882=1)),0)+SUM(N579)+IF(COUNTIF(N$641:N882,1)=1,5,0)+IF(COUNTIF(O580:$Z580,"&gt;"&amp;0)&gt;5,IF(MOD(COUNTIF(N$641:N882,1),7)=0,$C$4,0),0)</f>
        <v>317.919107142858</v>
      </c>
      <c r="O580" s="81" cm="1">
        <f ca="1" t="array" ref="O580">IF(O882=1,OFFSET($Z$338,$B580,O$335-1)/SUMPRODUCT(--($D$335:$V$335=O$335),--($D882:$V882=1)),0)+SUM(O579)+IF(COUNTIF(O$641:O882,1)=1,5,0)+IF(COUNTIF(P580:$Z580,"&gt;"&amp;0)&gt;5,IF(MOD(COUNTIF(O$641:O882,1),7)=0,$C$4,0),0)</f>
        <v>315.494107142858</v>
      </c>
      <c r="P580" s="81" cm="1">
        <f ca="1" t="array" ref="P580">IF(P882=1,OFFSET($Z$338,$B580,P$335-1)/SUMPRODUCT(--($D$335:$V$335=P$335),--($D882:$V882=1)),0)+SUM(P579)+IF(COUNTIF(P$641:P882,1)=1,5,0)+IF(COUNTIF(Q580:$Z580,"&gt;"&amp;0)&gt;5,IF(MOD(COUNTIF(P$641:P882,1),7)=0,$C$4,0),0)</f>
        <v>307.560773809524</v>
      </c>
      <c r="Q580" s="81" cm="1">
        <f ca="1" t="array" ref="Q580">IF(Q882=1,OFFSET($Z$338,$B580,Q$335-1)/SUMPRODUCT(--($D$335:$V$335=Q$335),--($D882:$V882=1)),0)+SUM(Q579)+IF(COUNTIF(Q$641:Q882,1)=1,5,0)+IF(COUNTIF(R580:$Z580,"&gt;"&amp;0)&gt;5,IF(MOD(COUNTIF(Q$641:Q882,1),7)=0,$C$4,0),0)</f>
        <v>306.654523809524</v>
      </c>
      <c r="R580" s="81" cm="1">
        <f ca="1" t="array" ref="R580">IF(R882=1,OFFSET($Z$338,$B580,R$335-1)/SUMPRODUCT(--($D$335:$V$335=R$335),--($D882:$V882=1)),0)+SUM(R579)+IF(COUNTIF(R$641:R882,1)=1,5,0)+IF(COUNTIF(S580:$Z580,"&gt;"&amp;0)&gt;5,IF(MOD(COUNTIF(R$641:R882,1),7)=0,$C$4,0),0)</f>
        <v>281.759523809524</v>
      </c>
      <c r="S580" s="81" cm="1">
        <f ca="1" t="array" ref="S580">IF(S882=1,OFFSET($Z$338,$B580,S$335-1)/SUMPRODUCT(--($D$335:$V$335=S$335),--($D882:$V882=1)),0)+SUM(S579)+IF(COUNTIF(S$641:S882,1)=1,5,0)+IF(COUNTIF(T580:$Z580,"&gt;"&amp;0)&gt;5,IF(MOD(COUNTIF(S$641:S882,1),7)=0,$C$4,0),0)</f>
        <v>272.592857142857</v>
      </c>
      <c r="T580" s="81" cm="1">
        <f ca="1" t="array" ref="T580">IF(T882=1,OFFSET($Z$338,$B580,T$335-1)/SUMPRODUCT(--($D$335:$V$335=T$335),--($D882:$V882=1)),0)+SUM(T579)+IF(COUNTIF(T$641:T882,1)=1,5,0)+IF(COUNTIF(U580:$Z580,"&gt;"&amp;0)&gt;5,IF(MOD(COUNTIF(T$641:T882,1),7)=0,$C$4,0),0)</f>
        <v>137.656257829764</v>
      </c>
      <c r="U580" s="81" cm="1">
        <f ca="1" t="array" ref="U580">IF(U882=1,OFFSET($Z$338,$B580,U$335-1)/SUMPRODUCT(--($D$335:$V$335=U$335),--($D882:$V882=1)),0)+SUM(U579)+IF(COUNTIF(U$641:U882,1)=1,5,0)+IF(COUNTIF(V580:$Z580,"&gt;"&amp;0)&gt;5,IF(MOD(COUNTIF(U$641:U882,1),7)=0,$C$4,0),0)</f>
        <v>97.6562578297643</v>
      </c>
      <c r="V580" s="81" cm="1">
        <f ca="1" t="array" ref="V580">IF(V882=1,OFFSET($Z$338,$B580,V$335-1)/SUMPRODUCT(--($D$335:$V$335=V$335),--($D882:$V882=1)),0)+SUM(V579)+IF(COUNTIF(V$641:V882,1)=1,5,0)+IF(COUNTIF(Z580:$Z580,"&gt;"&amp;0)&gt;5,IF(MOD(COUNTIF(V$641:V882,1),7)=0,$C$4,0),0)</f>
        <v>89.6984386404824</v>
      </c>
      <c r="W580" s="81" cm="1">
        <f ca="1" t="array" ref="W580">IF(W882=1,OFFSET($Z$338,$B580,W$335-1)/SUMPRODUCT(--($D$335:$V$335=W$335),--($D882:$V882=1)),0)+SUM(W579)+IF(COUNTIF(W$641:W882,1)=1,5,0)+IF(COUNTIF($Z580:AA580,"&gt;"&amp;0)&gt;5,IF(MOD(COUNTIF(W$641:W882,1),7)=0,$C$4,0),0)</f>
        <v>80.3425695255331</v>
      </c>
      <c r="X580" s="81" cm="1">
        <f ca="1" t="array" ref="X580">IF(X882=1,OFFSET($Z$338,$B580,X$335-1)/SUMPRODUCT(--($D$335:$V$335=X$335),--($D882:$V882=1)),0)+SUM(X579)+IF(COUNTIF(X$641:X882,1)=1,5,0)+IF(COUNTIF($Z580:AB580,"&gt;"&amp;0)&gt;5,IF(MOD(COUNTIF(X$641:X882,1),7)=0,$C$4,0),0)</f>
        <v>73.5789092348996</v>
      </c>
      <c r="Y580" s="81" cm="1">
        <f ca="1" t="array" ref="Y580">IF(Y882=1,OFFSET($Z$338,$B580,Y$335-1)/SUMPRODUCT(--($D$335:$V$335=Y$335),--($D882:$V882=1)),0)+SUM(Y579)+IF(COUNTIF(Y$641:Y882,1)=1,5,0)+IF(COUNTIF($Z580:AC580,"&gt;"&amp;0)&gt;5,IF(MOD(COUNTIF(Y$641:Y882,1),7)=0,$C$4,0),0)</f>
        <v>66.8152489442662</v>
      </c>
      <c r="Z580" s="82" cm="1">
        <f ca="1" t="array" ref="Z580">SUMPRODUCT(TRANSPOSE($AD580:$AJ580),OFFSET($L$10:$L$16,0,Z$335-1))</f>
        <v>0</v>
      </c>
      <c r="AA580" s="82" cm="1">
        <f ca="1" t="array" ref="AA580">SUMPRODUCT(TRANSPOSE($AD580:$AJ580),OFFSET($L$10:$L$16,0,AA$335-1))</f>
        <v>0</v>
      </c>
      <c r="AB580" s="82" cm="1">
        <f ca="1" t="array" ref="AB580">SUMPRODUCT(TRANSPOSE($AD580:$AJ580),OFFSET($L$10:$L$16,0,AB$335-1))</f>
        <v>0</v>
      </c>
      <c r="AC580" s="82" cm="1">
        <f ca="1" t="array" ref="AC580">SUMPRODUCT(TRANSPOSE($AD580:$AJ580),OFFSET($L$10:$L$16,0,AC$335-1))</f>
        <v>0</v>
      </c>
      <c r="AD580" s="83">
        <f ca="1" t="shared" ref="AD580:AJ580" si="809">AK580-AK579</f>
        <v>0</v>
      </c>
      <c r="AE580" s="83">
        <f ca="1" t="shared" si="809"/>
        <v>0</v>
      </c>
      <c r="AF580" s="83">
        <f ca="1" t="shared" si="809"/>
        <v>0</v>
      </c>
      <c r="AG580" s="83">
        <f ca="1" t="shared" si="809"/>
        <v>0</v>
      </c>
      <c r="AH580" s="83">
        <f ca="1" t="shared" si="809"/>
        <v>0</v>
      </c>
      <c r="AI580" s="83">
        <f ca="1" t="shared" si="809"/>
        <v>0</v>
      </c>
      <c r="AJ580" s="83">
        <f ca="1" t="shared" si="809"/>
        <v>0</v>
      </c>
      <c r="AK580" s="83">
        <f ca="1" t="shared" si="711"/>
        <v>450</v>
      </c>
      <c r="AL580" s="83">
        <f ca="1" t="shared" ref="AL580:AQ580" si="810">IF($C580&gt;OFFSET($Q$9,MATCH(AL$338,$AK$338:$AQ$338,0),0),OFFSET($P$9,MATCH(AL$338,$AK$338:$AQ$338,0),0),MAX(0,$C580-OFFSET($Q$9,RIGHT(AL$338,1)-1,0)))</f>
        <v>909</v>
      </c>
      <c r="AM580" s="83">
        <f ca="1" t="shared" si="810"/>
        <v>1818</v>
      </c>
      <c r="AN580" s="83">
        <f ca="1" t="shared" si="810"/>
        <v>2727</v>
      </c>
      <c r="AO580" s="83">
        <f ca="1" t="shared" si="810"/>
        <v>3636</v>
      </c>
      <c r="AP580" s="83">
        <f ca="1" t="shared" si="810"/>
        <v>4545</v>
      </c>
      <c r="AQ580" s="83">
        <f ca="1" t="shared" si="810"/>
        <v>0</v>
      </c>
    </row>
    <row r="581" ht="16.5" spans="2:43">
      <c r="B581" s="65">
        <v>243</v>
      </c>
      <c r="C581" s="80">
        <f t="shared" si="709"/>
        <v>28056</v>
      </c>
      <c r="D581" s="81" cm="1">
        <f ca="1" t="array" ref="D581">IF(D883=1,OFFSET($Z$338,$B581,D$335-1)/SUMPRODUCT(--($D$335:$V$335=D$335),--($D883:$V883=1)),0)+SUM(D580)+IF(COUNTIF(D$641:D883,1)=1,5,0)+IF(COUNTIF(E581:$Z581,"&gt;"&amp;0)&gt;5,IF(MOD(COUNTIF(D$641:D883,1),7)=0,$C$4,0),0)</f>
        <v>1288.82134856666</v>
      </c>
      <c r="E581" s="81" cm="1">
        <f ca="1" t="array" ref="E581">IF(E883=1,OFFSET($Z$338,$B581,E$335-1)/SUMPRODUCT(--($D$335:$V$335=E$335),--($D883:$V883=1)),0)+SUM(E580)+IF(COUNTIF(E$641:E883,1)=1,5,0)+IF(COUNTIF(F581:$Z581,"&gt;"&amp;0)&gt;5,IF(MOD(COUNTIF(E$641:E883,1),7)=0,$C$4,0),0)</f>
        <v>1288.82134856666</v>
      </c>
      <c r="F581" s="81" cm="1">
        <f ca="1" t="array" ref="F581">IF(F883=1,OFFSET($Z$338,$B581,F$335-1)/SUMPRODUCT(--($D$335:$V$335=F$335),--($D883:$V883=1)),0)+SUM(F580)+IF(COUNTIF(F$641:F883,1)=1,5,0)+IF(COUNTIF(G581:$Z581,"&gt;"&amp;0)&gt;5,IF(MOD(COUNTIF(F$641:F883,1),7)=0,$C$4,0),0)</f>
        <v>1288.82134856666</v>
      </c>
      <c r="G581" s="81" cm="1">
        <f ca="1" t="array" ref="G581">IF(G883=1,OFFSET($Z$338,$B581,G$335-1)/SUMPRODUCT(--($D$335:$V$335=G$335),--($D883:$V883=1)),0)+SUM(G580)+IF(COUNTIF(G$641:G883,1)=1,5,0)+IF(COUNTIF(H581:$Z581,"&gt;"&amp;0)&gt;5,IF(MOD(COUNTIF(G$641:G883,1),7)=0,$C$4,0),0)</f>
        <v>577.516666666668</v>
      </c>
      <c r="H581" s="81" cm="1">
        <f ca="1" t="array" ref="H581">IF(H883=1,OFFSET($Z$338,$B581,H$335-1)/SUMPRODUCT(--($D$335:$V$335=H$335),--($D883:$V883=1)),0)+SUM(H580)+IF(COUNTIF(H$641:H883,1)=1,5,0)+IF(COUNTIF(I581:$Z581,"&gt;"&amp;0)&gt;5,IF(MOD(COUNTIF(H$641:H883,1),7)=0,$C$4,0),0)</f>
        <v>577.516666666668</v>
      </c>
      <c r="I581" s="81" cm="1">
        <f ca="1" t="array" ref="I581">IF(I883=1,OFFSET($Z$338,$B581,I$335-1)/SUMPRODUCT(--($D$335:$V$335=I$335),--($D883:$V883=1)),0)+SUM(I580)+IF(COUNTIF(I$641:I883,1)=1,5,0)+IF(COUNTIF(J581:$Z581,"&gt;"&amp;0)&gt;5,IF(MOD(COUNTIF(I$641:I883,1),7)=0,$C$4,0),0)</f>
        <v>577.516666666668</v>
      </c>
      <c r="J581" s="81" cm="1">
        <f ca="1" t="array" ref="J581">IF(J883=1,OFFSET($Z$338,$B581,J$335-1)/SUMPRODUCT(--($D$335:$V$335=J$335),--($D883:$V883=1)),0)+SUM(J580)+IF(COUNTIF(J$641:J883,1)=1,5,0)+IF(COUNTIF(K581:$Z581,"&gt;"&amp;0)&gt;5,IF(MOD(COUNTIF(J$641:J883,1),7)=0,$C$4,0),0)</f>
        <v>577.516666666668</v>
      </c>
      <c r="K581" s="81" cm="1">
        <f ca="1" t="array" ref="K581">IF(K883=1,OFFSET($Z$338,$B581,K$335-1)/SUMPRODUCT(--($D$335:$V$335=K$335),--($D883:$V883=1)),0)+SUM(K580)+IF(COUNTIF(K$641:K883,1)=1,5,0)+IF(COUNTIF(L581:$Z581,"&gt;"&amp;0)&gt;5,IF(MOD(COUNTIF(K$641:K883,1),7)=0,$C$4,0),0)</f>
        <v>577.516666666668</v>
      </c>
      <c r="L581" s="81" cm="1">
        <f ca="1" t="array" ref="L581">IF(L883=1,OFFSET($Z$338,$B581,L$335-1)/SUMPRODUCT(--($D$335:$V$335=L$335),--($D883:$V883=1)),0)+SUM(L580)+IF(COUNTIF(L$641:L883,1)=1,5,0)+IF(COUNTIF(M581:$Z581,"&gt;"&amp;0)&gt;5,IF(MOD(COUNTIF(L$641:L883,1),7)=0,$C$4,0),0)</f>
        <v>570.816666666668</v>
      </c>
      <c r="M581" s="81" cm="1">
        <f ca="1" t="array" ref="M581">IF(M883=1,OFFSET($Z$338,$B581,M$335-1)/SUMPRODUCT(--($D$335:$V$335=M$335),--($D883:$V883=1)),0)+SUM(M580)+IF(COUNTIF(M$641:M883,1)=1,5,0)+IF(COUNTIF(N581:$Z581,"&gt;"&amp;0)&gt;5,IF(MOD(COUNTIF(M$641:M883,1),7)=0,$C$4,0),0)</f>
        <v>325.644107142858</v>
      </c>
      <c r="N581" s="81" cm="1">
        <f ca="1" t="array" ref="N581">IF(N883=1,OFFSET($Z$338,$B581,N$335-1)/SUMPRODUCT(--($D$335:$V$335=N$335),--($D883:$V883=1)),0)+SUM(N580)+IF(COUNTIF(N$641:N883,1)=1,5,0)+IF(COUNTIF(O581:$Z581,"&gt;"&amp;0)&gt;5,IF(MOD(COUNTIF(N$641:N883,1),7)=0,$C$4,0),0)</f>
        <v>317.919107142858</v>
      </c>
      <c r="O581" s="81" cm="1">
        <f ca="1" t="array" ref="O581">IF(O883=1,OFFSET($Z$338,$B581,O$335-1)/SUMPRODUCT(--($D$335:$V$335=O$335),--($D883:$V883=1)),0)+SUM(O580)+IF(COUNTIF(O$641:O883,1)=1,5,0)+IF(COUNTIF(P581:$Z581,"&gt;"&amp;0)&gt;5,IF(MOD(COUNTIF(O$641:O883,1),7)=0,$C$4,0),0)</f>
        <v>315.494107142858</v>
      </c>
      <c r="P581" s="81" cm="1">
        <f ca="1" t="array" ref="P581">IF(P883=1,OFFSET($Z$338,$B581,P$335-1)/SUMPRODUCT(--($D$335:$V$335=P$335),--($D883:$V883=1)),0)+SUM(P580)+IF(COUNTIF(P$641:P883,1)=1,5,0)+IF(COUNTIF(Q581:$Z581,"&gt;"&amp;0)&gt;5,IF(MOD(COUNTIF(P$641:P883,1),7)=0,$C$4,0),0)</f>
        <v>312.560773809524</v>
      </c>
      <c r="Q581" s="81" cm="1">
        <f ca="1" t="array" ref="Q581">IF(Q883=1,OFFSET($Z$338,$B581,Q$335-1)/SUMPRODUCT(--($D$335:$V$335=Q$335),--($D883:$V883=1)),0)+SUM(Q580)+IF(COUNTIF(Q$641:Q883,1)=1,5,0)+IF(COUNTIF(R581:$Z581,"&gt;"&amp;0)&gt;5,IF(MOD(COUNTIF(Q$641:Q883,1),7)=0,$C$4,0),0)</f>
        <v>306.654523809524</v>
      </c>
      <c r="R581" s="81" cm="1">
        <f ca="1" t="array" ref="R581">IF(R883=1,OFFSET($Z$338,$B581,R$335-1)/SUMPRODUCT(--($D$335:$V$335=R$335),--($D883:$V883=1)),0)+SUM(R580)+IF(COUNTIF(R$641:R883,1)=1,5,0)+IF(COUNTIF(S581:$Z581,"&gt;"&amp;0)&gt;5,IF(MOD(COUNTIF(R$641:R883,1),7)=0,$C$4,0),0)</f>
        <v>281.759523809524</v>
      </c>
      <c r="S581" s="81" cm="1">
        <f ca="1" t="array" ref="S581">IF(S883=1,OFFSET($Z$338,$B581,S$335-1)/SUMPRODUCT(--($D$335:$V$335=S$335),--($D883:$V883=1)),0)+SUM(S580)+IF(COUNTIF(S$641:S883,1)=1,5,0)+IF(COUNTIF(T581:$Z581,"&gt;"&amp;0)&gt;5,IF(MOD(COUNTIF(S$641:S883,1),7)=0,$C$4,0),0)</f>
        <v>277.592857142857</v>
      </c>
      <c r="T581" s="81" cm="1">
        <f ca="1" t="array" ref="T581">IF(T883=1,OFFSET($Z$338,$B581,T$335-1)/SUMPRODUCT(--($D$335:$V$335=T$335),--($D883:$V883=1)),0)+SUM(T580)+IF(COUNTIF(T$641:T883,1)=1,5,0)+IF(COUNTIF(U581:$Z581,"&gt;"&amp;0)&gt;5,IF(MOD(COUNTIF(T$641:T883,1),7)=0,$C$4,0),0)</f>
        <v>137.656257829764</v>
      </c>
      <c r="U581" s="81" cm="1">
        <f ca="1" t="array" ref="U581">IF(U883=1,OFFSET($Z$338,$B581,U$335-1)/SUMPRODUCT(--($D$335:$V$335=U$335),--($D883:$V883=1)),0)+SUM(U580)+IF(COUNTIF(U$641:U883,1)=1,5,0)+IF(COUNTIF(V581:$Z581,"&gt;"&amp;0)&gt;5,IF(MOD(COUNTIF(U$641:U883,1),7)=0,$C$4,0),0)</f>
        <v>97.6562578297643</v>
      </c>
      <c r="V581" s="81" cm="1">
        <f ca="1" t="array" ref="V581">IF(V883=1,OFFSET($Z$338,$B581,V$335-1)/SUMPRODUCT(--($D$335:$V$335=V$335),--($D883:$V883=1)),0)+SUM(V580)+IF(COUNTIF(V$641:V883,1)=1,5,0)+IF(COUNTIF(Z581:$Z581,"&gt;"&amp;0)&gt;5,IF(MOD(COUNTIF(V$641:V883,1),7)=0,$C$4,0),0)</f>
        <v>89.6984386404824</v>
      </c>
      <c r="W581" s="81" cm="1">
        <f ca="1" t="array" ref="W581">IF(W883=1,OFFSET($Z$338,$B581,W$335-1)/SUMPRODUCT(--($D$335:$V$335=W$335),--($D883:$V883=1)),0)+SUM(W580)+IF(COUNTIF(W$641:W883,1)=1,5,0)+IF(COUNTIF($Z581:AA581,"&gt;"&amp;0)&gt;5,IF(MOD(COUNTIF(W$641:W883,1),7)=0,$C$4,0),0)</f>
        <v>80.3425695255331</v>
      </c>
      <c r="X581" s="81" cm="1">
        <f ca="1" t="array" ref="X581">IF(X883=1,OFFSET($Z$338,$B581,X$335-1)/SUMPRODUCT(--($D$335:$V$335=X$335),--($D883:$V883=1)),0)+SUM(X580)+IF(COUNTIF(X$641:X883,1)=1,5,0)+IF(COUNTIF($Z581:AB581,"&gt;"&amp;0)&gt;5,IF(MOD(COUNTIF(X$641:X883,1),7)=0,$C$4,0),0)</f>
        <v>73.5789092348996</v>
      </c>
      <c r="Y581" s="81" cm="1">
        <f ca="1" t="array" ref="Y581">IF(Y883=1,OFFSET($Z$338,$B581,Y$335-1)/SUMPRODUCT(--($D$335:$V$335=Y$335),--($D883:$V883=1)),0)+SUM(Y580)+IF(COUNTIF(Y$641:Y883,1)=1,5,0)+IF(COUNTIF($Z581:AC581,"&gt;"&amp;0)&gt;5,IF(MOD(COUNTIF(Y$641:Y883,1),7)=0,$C$4,0),0)</f>
        <v>66.8152489442662</v>
      </c>
      <c r="Z581" s="82" cm="1">
        <f ca="1" t="array" ref="Z581">SUMPRODUCT(TRANSPOSE($AD581:$AJ581),OFFSET($L$10:$L$16,0,Z$335-1))</f>
        <v>0</v>
      </c>
      <c r="AA581" s="82" cm="1">
        <f ca="1" t="array" ref="AA581">SUMPRODUCT(TRANSPOSE($AD581:$AJ581),OFFSET($L$10:$L$16,0,AA$335-1))</f>
        <v>0</v>
      </c>
      <c r="AB581" s="82" cm="1">
        <f ca="1" t="array" ref="AB581">SUMPRODUCT(TRANSPOSE($AD581:$AJ581),OFFSET($L$10:$L$16,0,AB$335-1))</f>
        <v>0</v>
      </c>
      <c r="AC581" s="82" cm="1">
        <f ca="1" t="array" ref="AC581">SUMPRODUCT(TRANSPOSE($AD581:$AJ581),OFFSET($L$10:$L$16,0,AC$335-1))</f>
        <v>0</v>
      </c>
      <c r="AD581" s="83">
        <f ca="1" t="shared" ref="AD581:AJ581" si="811">AK581-AK580</f>
        <v>0</v>
      </c>
      <c r="AE581" s="83">
        <f ca="1" t="shared" si="811"/>
        <v>0</v>
      </c>
      <c r="AF581" s="83">
        <f ca="1" t="shared" si="811"/>
        <v>0</v>
      </c>
      <c r="AG581" s="83">
        <f ca="1" t="shared" si="811"/>
        <v>0</v>
      </c>
      <c r="AH581" s="83">
        <f ca="1" t="shared" si="811"/>
        <v>0</v>
      </c>
      <c r="AI581" s="83">
        <f ca="1" t="shared" si="811"/>
        <v>0</v>
      </c>
      <c r="AJ581" s="83">
        <f ca="1" t="shared" si="811"/>
        <v>0</v>
      </c>
      <c r="AK581" s="83">
        <f ca="1" t="shared" si="711"/>
        <v>450</v>
      </c>
      <c r="AL581" s="83">
        <f ca="1" t="shared" ref="AL581:AQ581" si="812">IF($C581&gt;OFFSET($Q$9,MATCH(AL$338,$AK$338:$AQ$338,0),0),OFFSET($P$9,MATCH(AL$338,$AK$338:$AQ$338,0),0),MAX(0,$C581-OFFSET($Q$9,RIGHT(AL$338,1)-1,0)))</f>
        <v>909</v>
      </c>
      <c r="AM581" s="83">
        <f ca="1" t="shared" si="812"/>
        <v>1818</v>
      </c>
      <c r="AN581" s="83">
        <f ca="1" t="shared" si="812"/>
        <v>2727</v>
      </c>
      <c r="AO581" s="83">
        <f ca="1" t="shared" si="812"/>
        <v>3636</v>
      </c>
      <c r="AP581" s="83">
        <f ca="1" t="shared" si="812"/>
        <v>4545</v>
      </c>
      <c r="AQ581" s="83">
        <f ca="1" t="shared" si="812"/>
        <v>0</v>
      </c>
    </row>
    <row r="582" ht="16.5" spans="2:43">
      <c r="B582" s="65">
        <v>244</v>
      </c>
      <c r="C582" s="80">
        <f t="shared" si="709"/>
        <v>28166</v>
      </c>
      <c r="D582" s="81" cm="1">
        <f ca="1" t="array" ref="D582">IF(D884=1,OFFSET($Z$338,$B582,D$335-1)/SUMPRODUCT(--($D$335:$V$335=D$335),--($D884:$V884=1)),0)+SUM(D581)+IF(COUNTIF(D$641:D884,1)=1,5,0)+IF(COUNTIF(E582:$Z582,"&gt;"&amp;0)&gt;5,IF(MOD(COUNTIF(D$641:D884,1),7)=0,$C$4,0),0)</f>
        <v>1288.82134856666</v>
      </c>
      <c r="E582" s="81" cm="1">
        <f ca="1" t="array" ref="E582">IF(E884=1,OFFSET($Z$338,$B582,E$335-1)/SUMPRODUCT(--($D$335:$V$335=E$335),--($D884:$V884=1)),0)+SUM(E581)+IF(COUNTIF(E$641:E884,1)=1,5,0)+IF(COUNTIF(F582:$Z582,"&gt;"&amp;0)&gt;5,IF(MOD(COUNTIF(E$641:E884,1),7)=0,$C$4,0),0)</f>
        <v>1288.82134856666</v>
      </c>
      <c r="F582" s="81" cm="1">
        <f ca="1" t="array" ref="F582">IF(F884=1,OFFSET($Z$338,$B582,F$335-1)/SUMPRODUCT(--($D$335:$V$335=F$335),--($D884:$V884=1)),0)+SUM(F581)+IF(COUNTIF(F$641:F884,1)=1,5,0)+IF(COUNTIF(G582:$Z582,"&gt;"&amp;0)&gt;5,IF(MOD(COUNTIF(F$641:F884,1),7)=0,$C$4,0),0)</f>
        <v>1288.82134856666</v>
      </c>
      <c r="G582" s="81" cm="1">
        <f ca="1" t="array" ref="G582">IF(G884=1,OFFSET($Z$338,$B582,G$335-1)/SUMPRODUCT(--($D$335:$V$335=G$335),--($D884:$V884=1)),0)+SUM(G581)+IF(COUNTIF(G$641:G884,1)=1,5,0)+IF(COUNTIF(H582:$Z582,"&gt;"&amp;0)&gt;5,IF(MOD(COUNTIF(G$641:G884,1),7)=0,$C$4,0),0)</f>
        <v>577.516666666668</v>
      </c>
      <c r="H582" s="81" cm="1">
        <f ca="1" t="array" ref="H582">IF(H884=1,OFFSET($Z$338,$B582,H$335-1)/SUMPRODUCT(--($D$335:$V$335=H$335),--($D884:$V884=1)),0)+SUM(H581)+IF(COUNTIF(H$641:H884,1)=1,5,0)+IF(COUNTIF(I582:$Z582,"&gt;"&amp;0)&gt;5,IF(MOD(COUNTIF(H$641:H884,1),7)=0,$C$4,0),0)</f>
        <v>577.516666666668</v>
      </c>
      <c r="I582" s="81" cm="1">
        <f ca="1" t="array" ref="I582">IF(I884=1,OFFSET($Z$338,$B582,I$335-1)/SUMPRODUCT(--($D$335:$V$335=I$335),--($D884:$V884=1)),0)+SUM(I581)+IF(COUNTIF(I$641:I884,1)=1,5,0)+IF(COUNTIF(J582:$Z582,"&gt;"&amp;0)&gt;5,IF(MOD(COUNTIF(I$641:I884,1),7)=0,$C$4,0),0)</f>
        <v>577.516666666668</v>
      </c>
      <c r="J582" s="81" cm="1">
        <f ca="1" t="array" ref="J582">IF(J884=1,OFFSET($Z$338,$B582,J$335-1)/SUMPRODUCT(--($D$335:$V$335=J$335),--($D884:$V884=1)),0)+SUM(J581)+IF(COUNTIF(J$641:J884,1)=1,5,0)+IF(COUNTIF(K582:$Z582,"&gt;"&amp;0)&gt;5,IF(MOD(COUNTIF(J$641:J884,1),7)=0,$C$4,0),0)</f>
        <v>577.516666666668</v>
      </c>
      <c r="K582" s="81" cm="1">
        <f ca="1" t="array" ref="K582">IF(K884=1,OFFSET($Z$338,$B582,K$335-1)/SUMPRODUCT(--($D$335:$V$335=K$335),--($D884:$V884=1)),0)+SUM(K581)+IF(COUNTIF(K$641:K884,1)=1,5,0)+IF(COUNTIF(L582:$Z582,"&gt;"&amp;0)&gt;5,IF(MOD(COUNTIF(K$641:K884,1),7)=0,$C$4,0),0)</f>
        <v>577.516666666668</v>
      </c>
      <c r="L582" s="81" cm="1">
        <f ca="1" t="array" ref="L582">IF(L884=1,OFFSET($Z$338,$B582,L$335-1)/SUMPRODUCT(--($D$335:$V$335=L$335),--($D884:$V884=1)),0)+SUM(L581)+IF(COUNTIF(L$641:L884,1)=1,5,0)+IF(COUNTIF(M582:$Z582,"&gt;"&amp;0)&gt;5,IF(MOD(COUNTIF(L$641:L884,1),7)=0,$C$4,0),0)</f>
        <v>570.816666666668</v>
      </c>
      <c r="M582" s="81" cm="1">
        <f ca="1" t="array" ref="M582">IF(M884=1,OFFSET($Z$338,$B582,M$335-1)/SUMPRODUCT(--($D$335:$V$335=M$335),--($D884:$V884=1)),0)+SUM(M581)+IF(COUNTIF(M$641:M884,1)=1,5,0)+IF(COUNTIF(N582:$Z582,"&gt;"&amp;0)&gt;5,IF(MOD(COUNTIF(M$641:M884,1),7)=0,$C$4,0),0)</f>
        <v>325.644107142858</v>
      </c>
      <c r="N582" s="81" cm="1">
        <f ca="1" t="array" ref="N582">IF(N884=1,OFFSET($Z$338,$B582,N$335-1)/SUMPRODUCT(--($D$335:$V$335=N$335),--($D884:$V884=1)),0)+SUM(N581)+IF(COUNTIF(N$641:N884,1)=1,5,0)+IF(COUNTIF(O582:$Z582,"&gt;"&amp;0)&gt;5,IF(MOD(COUNTIF(N$641:N884,1),7)=0,$C$4,0),0)</f>
        <v>317.919107142858</v>
      </c>
      <c r="O582" s="81" cm="1">
        <f ca="1" t="array" ref="O582">IF(O884=1,OFFSET($Z$338,$B582,O$335-1)/SUMPRODUCT(--($D$335:$V$335=O$335),--($D884:$V884=1)),0)+SUM(O581)+IF(COUNTIF(O$641:O884,1)=1,5,0)+IF(COUNTIF(P582:$Z582,"&gt;"&amp;0)&gt;5,IF(MOD(COUNTIF(O$641:O884,1),7)=0,$C$4,0),0)</f>
        <v>315.494107142858</v>
      </c>
      <c r="P582" s="81" cm="1">
        <f ca="1" t="array" ref="P582">IF(P884=1,OFFSET($Z$338,$B582,P$335-1)/SUMPRODUCT(--($D$335:$V$335=P$335),--($D884:$V884=1)),0)+SUM(P581)+IF(COUNTIF(P$641:P884,1)=1,5,0)+IF(COUNTIF(Q582:$Z582,"&gt;"&amp;0)&gt;5,IF(MOD(COUNTIF(P$641:P884,1),7)=0,$C$4,0),0)</f>
        <v>312.560773809524</v>
      </c>
      <c r="Q582" s="81" cm="1">
        <f ca="1" t="array" ref="Q582">IF(Q884=1,OFFSET($Z$338,$B582,Q$335-1)/SUMPRODUCT(--($D$335:$V$335=Q$335),--($D884:$V884=1)),0)+SUM(Q581)+IF(COUNTIF(Q$641:Q884,1)=1,5,0)+IF(COUNTIF(R582:$Z582,"&gt;"&amp;0)&gt;5,IF(MOD(COUNTIF(Q$641:Q884,1),7)=0,$C$4,0),0)</f>
        <v>311.654523809524</v>
      </c>
      <c r="R582" s="81" cm="1">
        <f ca="1" t="array" ref="R582">IF(R884=1,OFFSET($Z$338,$B582,R$335-1)/SUMPRODUCT(--($D$335:$V$335=R$335),--($D884:$V884=1)),0)+SUM(R581)+IF(COUNTIF(R$641:R884,1)=1,5,0)+IF(COUNTIF(S582:$Z582,"&gt;"&amp;0)&gt;5,IF(MOD(COUNTIF(R$641:R884,1),7)=0,$C$4,0),0)</f>
        <v>281.759523809524</v>
      </c>
      <c r="S582" s="81" cm="1">
        <f ca="1" t="array" ref="S582">IF(S884=1,OFFSET($Z$338,$B582,S$335-1)/SUMPRODUCT(--($D$335:$V$335=S$335),--($D884:$V884=1)),0)+SUM(S581)+IF(COUNTIF(S$641:S884,1)=1,5,0)+IF(COUNTIF(T582:$Z582,"&gt;"&amp;0)&gt;5,IF(MOD(COUNTIF(S$641:S884,1),7)=0,$C$4,0),0)</f>
        <v>277.592857142857</v>
      </c>
      <c r="T582" s="81" cm="1">
        <f ca="1" t="array" ref="T582">IF(T884=1,OFFSET($Z$338,$B582,T$335-1)/SUMPRODUCT(--($D$335:$V$335=T$335),--($D884:$V884=1)),0)+SUM(T581)+IF(COUNTIF(T$641:T884,1)=1,5,0)+IF(COUNTIF(U582:$Z582,"&gt;"&amp;0)&gt;5,IF(MOD(COUNTIF(T$641:T884,1),7)=0,$C$4,0),0)</f>
        <v>137.656257829764</v>
      </c>
      <c r="U582" s="81" cm="1">
        <f ca="1" t="array" ref="U582">IF(U884=1,OFFSET($Z$338,$B582,U$335-1)/SUMPRODUCT(--($D$335:$V$335=U$335),--($D884:$V884=1)),0)+SUM(U581)+IF(COUNTIF(U$641:U884,1)=1,5,0)+IF(COUNTIF(V582:$Z582,"&gt;"&amp;0)&gt;5,IF(MOD(COUNTIF(U$641:U884,1),7)=0,$C$4,0),0)</f>
        <v>97.6562578297643</v>
      </c>
      <c r="V582" s="81" cm="1">
        <f ca="1" t="array" ref="V582">IF(V884=1,OFFSET($Z$338,$B582,V$335-1)/SUMPRODUCT(--($D$335:$V$335=V$335),--($D884:$V884=1)),0)+SUM(V581)+IF(COUNTIF(V$641:V884,1)=1,5,0)+IF(COUNTIF(Z582:$Z582,"&gt;"&amp;0)&gt;5,IF(MOD(COUNTIF(V$641:V884,1),7)=0,$C$4,0),0)</f>
        <v>89.6984386404824</v>
      </c>
      <c r="W582" s="81" cm="1">
        <f ca="1" t="array" ref="W582">IF(W884=1,OFFSET($Z$338,$B582,W$335-1)/SUMPRODUCT(--($D$335:$V$335=W$335),--($D884:$V884=1)),0)+SUM(W581)+IF(COUNTIF(W$641:W884,1)=1,5,0)+IF(COUNTIF($Z582:AA582,"&gt;"&amp;0)&gt;5,IF(MOD(COUNTIF(W$641:W884,1),7)=0,$C$4,0),0)</f>
        <v>80.3425695255331</v>
      </c>
      <c r="X582" s="81" cm="1">
        <f ca="1" t="array" ref="X582">IF(X884=1,OFFSET($Z$338,$B582,X$335-1)/SUMPRODUCT(--($D$335:$V$335=X$335),--($D884:$V884=1)),0)+SUM(X581)+IF(COUNTIF(X$641:X884,1)=1,5,0)+IF(COUNTIF($Z582:AB582,"&gt;"&amp;0)&gt;5,IF(MOD(COUNTIF(X$641:X884,1),7)=0,$C$4,0),0)</f>
        <v>73.5789092348996</v>
      </c>
      <c r="Y582" s="81" cm="1">
        <f ca="1" t="array" ref="Y582">IF(Y884=1,OFFSET($Z$338,$B582,Y$335-1)/SUMPRODUCT(--($D$335:$V$335=Y$335),--($D884:$V884=1)),0)+SUM(Y581)+IF(COUNTIF(Y$641:Y884,1)=1,5,0)+IF(COUNTIF($Z582:AC582,"&gt;"&amp;0)&gt;5,IF(MOD(COUNTIF(Y$641:Y884,1),7)=0,$C$4,0),0)</f>
        <v>66.8152489442662</v>
      </c>
      <c r="Z582" s="82" cm="1">
        <f ca="1" t="array" ref="Z582">SUMPRODUCT(TRANSPOSE($AD582:$AJ582),OFFSET($L$10:$L$16,0,Z$335-1))</f>
        <v>0</v>
      </c>
      <c r="AA582" s="82" cm="1">
        <f ca="1" t="array" ref="AA582">SUMPRODUCT(TRANSPOSE($AD582:$AJ582),OFFSET($L$10:$L$16,0,AA$335-1))</f>
        <v>0</v>
      </c>
      <c r="AB582" s="82" cm="1">
        <f ca="1" t="array" ref="AB582">SUMPRODUCT(TRANSPOSE($AD582:$AJ582),OFFSET($L$10:$L$16,0,AB$335-1))</f>
        <v>0</v>
      </c>
      <c r="AC582" s="82" cm="1">
        <f ca="1" t="array" ref="AC582">SUMPRODUCT(TRANSPOSE($AD582:$AJ582),OFFSET($L$10:$L$16,0,AC$335-1))</f>
        <v>0</v>
      </c>
      <c r="AD582" s="83">
        <f ca="1" t="shared" ref="AD582:AJ582" si="813">AK582-AK581</f>
        <v>0</v>
      </c>
      <c r="AE582" s="83">
        <f ca="1" t="shared" si="813"/>
        <v>0</v>
      </c>
      <c r="AF582" s="83">
        <f ca="1" t="shared" si="813"/>
        <v>0</v>
      </c>
      <c r="AG582" s="83">
        <f ca="1" t="shared" si="813"/>
        <v>0</v>
      </c>
      <c r="AH582" s="83">
        <f ca="1" t="shared" si="813"/>
        <v>0</v>
      </c>
      <c r="AI582" s="83">
        <f ca="1" t="shared" si="813"/>
        <v>0</v>
      </c>
      <c r="AJ582" s="83">
        <f ca="1" t="shared" si="813"/>
        <v>0</v>
      </c>
      <c r="AK582" s="83">
        <f ca="1" t="shared" si="711"/>
        <v>450</v>
      </c>
      <c r="AL582" s="83">
        <f ca="1" t="shared" ref="AL582:AQ582" si="814">IF($C582&gt;OFFSET($Q$9,MATCH(AL$338,$AK$338:$AQ$338,0),0),OFFSET($P$9,MATCH(AL$338,$AK$338:$AQ$338,0),0),MAX(0,$C582-OFFSET($Q$9,RIGHT(AL$338,1)-1,0)))</f>
        <v>909</v>
      </c>
      <c r="AM582" s="83">
        <f ca="1" t="shared" si="814"/>
        <v>1818</v>
      </c>
      <c r="AN582" s="83">
        <f ca="1" t="shared" si="814"/>
        <v>2727</v>
      </c>
      <c r="AO582" s="83">
        <f ca="1" t="shared" si="814"/>
        <v>3636</v>
      </c>
      <c r="AP582" s="83">
        <f ca="1" t="shared" si="814"/>
        <v>4545</v>
      </c>
      <c r="AQ582" s="83">
        <f ca="1" t="shared" si="814"/>
        <v>0</v>
      </c>
    </row>
    <row r="583" ht="16.5" spans="2:43">
      <c r="B583" s="65">
        <v>245</v>
      </c>
      <c r="C583" s="80">
        <f t="shared" si="709"/>
        <v>28276</v>
      </c>
      <c r="D583" s="81" cm="1">
        <f ca="1" t="array" ref="D583">IF(D885=1,OFFSET($Z$338,$B583,D$335-1)/SUMPRODUCT(--($D$335:$V$335=D$335),--($D885:$V885=1)),0)+SUM(D582)+IF(COUNTIF(D$641:D885,1)=1,5,0)+IF(COUNTIF(E583:$Z583,"&gt;"&amp;0)&gt;5,IF(MOD(COUNTIF(D$641:D885,1),7)=0,$C$4,0),0)</f>
        <v>1293.82134856666</v>
      </c>
      <c r="E583" s="81" cm="1">
        <f ca="1" t="array" ref="E583">IF(E885=1,OFFSET($Z$338,$B583,E$335-1)/SUMPRODUCT(--($D$335:$V$335=E$335),--($D885:$V885=1)),0)+SUM(E582)+IF(COUNTIF(E$641:E885,1)=1,5,0)+IF(COUNTIF(F583:$Z583,"&gt;"&amp;0)&gt;5,IF(MOD(COUNTIF(E$641:E885,1),7)=0,$C$4,0),0)</f>
        <v>1293.82134856666</v>
      </c>
      <c r="F583" s="81" cm="1">
        <f ca="1" t="array" ref="F583">IF(F885=1,OFFSET($Z$338,$B583,F$335-1)/SUMPRODUCT(--($D$335:$V$335=F$335),--($D885:$V885=1)),0)+SUM(F582)+IF(COUNTIF(F$641:F885,1)=1,5,0)+IF(COUNTIF(G583:$Z583,"&gt;"&amp;0)&gt;5,IF(MOD(COUNTIF(F$641:F885,1),7)=0,$C$4,0),0)</f>
        <v>1293.82134856666</v>
      </c>
      <c r="G583" s="81" cm="1">
        <f ca="1" t="array" ref="G583">IF(G885=1,OFFSET($Z$338,$B583,G$335-1)/SUMPRODUCT(--($D$335:$V$335=G$335),--($D885:$V885=1)),0)+SUM(G582)+IF(COUNTIF(G$641:G885,1)=1,5,0)+IF(COUNTIF(H583:$Z583,"&gt;"&amp;0)&gt;5,IF(MOD(COUNTIF(G$641:G885,1),7)=0,$C$4,0),0)</f>
        <v>582.516666666668</v>
      </c>
      <c r="H583" s="81" cm="1">
        <f ca="1" t="array" ref="H583">IF(H885=1,OFFSET($Z$338,$B583,H$335-1)/SUMPRODUCT(--($D$335:$V$335=H$335),--($D885:$V885=1)),0)+SUM(H582)+IF(COUNTIF(H$641:H885,1)=1,5,0)+IF(COUNTIF(I583:$Z583,"&gt;"&amp;0)&gt;5,IF(MOD(COUNTIF(H$641:H885,1),7)=0,$C$4,0),0)</f>
        <v>582.516666666668</v>
      </c>
      <c r="I583" s="81" cm="1">
        <f ca="1" t="array" ref="I583">IF(I885=1,OFFSET($Z$338,$B583,I$335-1)/SUMPRODUCT(--($D$335:$V$335=I$335),--($D885:$V885=1)),0)+SUM(I582)+IF(COUNTIF(I$641:I885,1)=1,5,0)+IF(COUNTIF(J583:$Z583,"&gt;"&amp;0)&gt;5,IF(MOD(COUNTIF(I$641:I885,1),7)=0,$C$4,0),0)</f>
        <v>582.516666666668</v>
      </c>
      <c r="J583" s="81" cm="1">
        <f ca="1" t="array" ref="J583">IF(J885=1,OFFSET($Z$338,$B583,J$335-1)/SUMPRODUCT(--($D$335:$V$335=J$335),--($D885:$V885=1)),0)+SUM(J582)+IF(COUNTIF(J$641:J885,1)=1,5,0)+IF(COUNTIF(K583:$Z583,"&gt;"&amp;0)&gt;5,IF(MOD(COUNTIF(J$641:J885,1),7)=0,$C$4,0),0)</f>
        <v>582.516666666668</v>
      </c>
      <c r="K583" s="81" cm="1">
        <f ca="1" t="array" ref="K583">IF(K885=1,OFFSET($Z$338,$B583,K$335-1)/SUMPRODUCT(--($D$335:$V$335=K$335),--($D885:$V885=1)),0)+SUM(K582)+IF(COUNTIF(K$641:K885,1)=1,5,0)+IF(COUNTIF(L583:$Z583,"&gt;"&amp;0)&gt;5,IF(MOD(COUNTIF(K$641:K885,1),7)=0,$C$4,0),0)</f>
        <v>582.516666666668</v>
      </c>
      <c r="L583" s="81" cm="1">
        <f ca="1" t="array" ref="L583">IF(L885=1,OFFSET($Z$338,$B583,L$335-1)/SUMPRODUCT(--($D$335:$V$335=L$335),--($D885:$V885=1)),0)+SUM(L582)+IF(COUNTIF(L$641:L885,1)=1,5,0)+IF(COUNTIF(M583:$Z583,"&gt;"&amp;0)&gt;5,IF(MOD(COUNTIF(L$641:L885,1),7)=0,$C$4,0),0)</f>
        <v>570.816666666668</v>
      </c>
      <c r="M583" s="81" cm="1">
        <f ca="1" t="array" ref="M583">IF(M885=1,OFFSET($Z$338,$B583,M$335-1)/SUMPRODUCT(--($D$335:$V$335=M$335),--($D885:$V885=1)),0)+SUM(M582)+IF(COUNTIF(M$641:M885,1)=1,5,0)+IF(COUNTIF(N583:$Z583,"&gt;"&amp;0)&gt;5,IF(MOD(COUNTIF(M$641:M885,1),7)=0,$C$4,0),0)</f>
        <v>325.644107142858</v>
      </c>
      <c r="N583" s="81" cm="1">
        <f ca="1" t="array" ref="N583">IF(N885=1,OFFSET($Z$338,$B583,N$335-1)/SUMPRODUCT(--($D$335:$V$335=N$335),--($D885:$V885=1)),0)+SUM(N582)+IF(COUNTIF(N$641:N885,1)=1,5,0)+IF(COUNTIF(O583:$Z583,"&gt;"&amp;0)&gt;5,IF(MOD(COUNTIF(N$641:N885,1),7)=0,$C$4,0),0)</f>
        <v>317.919107142858</v>
      </c>
      <c r="O583" s="81" cm="1">
        <f ca="1" t="array" ref="O583">IF(O885=1,OFFSET($Z$338,$B583,O$335-1)/SUMPRODUCT(--($D$335:$V$335=O$335),--($D885:$V885=1)),0)+SUM(O582)+IF(COUNTIF(O$641:O885,1)=1,5,0)+IF(COUNTIF(P583:$Z583,"&gt;"&amp;0)&gt;5,IF(MOD(COUNTIF(O$641:O885,1),7)=0,$C$4,0),0)</f>
        <v>315.494107142858</v>
      </c>
      <c r="P583" s="81" cm="1">
        <f ca="1" t="array" ref="P583">IF(P885=1,OFFSET($Z$338,$B583,P$335-1)/SUMPRODUCT(--($D$335:$V$335=P$335),--($D885:$V885=1)),0)+SUM(P582)+IF(COUNTIF(P$641:P885,1)=1,5,0)+IF(COUNTIF(Q583:$Z583,"&gt;"&amp;0)&gt;5,IF(MOD(COUNTIF(P$641:P885,1),7)=0,$C$4,0),0)</f>
        <v>312.560773809524</v>
      </c>
      <c r="Q583" s="81" cm="1">
        <f ca="1" t="array" ref="Q583">IF(Q885=1,OFFSET($Z$338,$B583,Q$335-1)/SUMPRODUCT(--($D$335:$V$335=Q$335),--($D885:$V885=1)),0)+SUM(Q582)+IF(COUNTIF(Q$641:Q885,1)=1,5,0)+IF(COUNTIF(R583:$Z583,"&gt;"&amp;0)&gt;5,IF(MOD(COUNTIF(Q$641:Q885,1),7)=0,$C$4,0),0)</f>
        <v>311.654523809524</v>
      </c>
      <c r="R583" s="81" cm="1">
        <f ca="1" t="array" ref="R583">IF(R885=1,OFFSET($Z$338,$B583,R$335-1)/SUMPRODUCT(--($D$335:$V$335=R$335),--($D885:$V885=1)),0)+SUM(R582)+IF(COUNTIF(R$641:R885,1)=1,5,0)+IF(COUNTIF(S583:$Z583,"&gt;"&amp;0)&gt;5,IF(MOD(COUNTIF(R$641:R885,1),7)=0,$C$4,0),0)</f>
        <v>286.759523809524</v>
      </c>
      <c r="S583" s="81" cm="1">
        <f ca="1" t="array" ref="S583">IF(S885=1,OFFSET($Z$338,$B583,S$335-1)/SUMPRODUCT(--($D$335:$V$335=S$335),--($D885:$V885=1)),0)+SUM(S582)+IF(COUNTIF(S$641:S885,1)=1,5,0)+IF(COUNTIF(T583:$Z583,"&gt;"&amp;0)&gt;5,IF(MOD(COUNTIF(S$641:S885,1),7)=0,$C$4,0),0)</f>
        <v>277.592857142857</v>
      </c>
      <c r="T583" s="81" cm="1">
        <f ca="1" t="array" ref="T583">IF(T885=1,OFFSET($Z$338,$B583,T$335-1)/SUMPRODUCT(--($D$335:$V$335=T$335),--($D885:$V885=1)),0)+SUM(T582)+IF(COUNTIF(T$641:T885,1)=1,5,0)+IF(COUNTIF(U583:$Z583,"&gt;"&amp;0)&gt;5,IF(MOD(COUNTIF(T$641:T885,1),7)=0,$C$4,0),0)</f>
        <v>137.656257829764</v>
      </c>
      <c r="U583" s="81" cm="1">
        <f ca="1" t="array" ref="U583">IF(U885=1,OFFSET($Z$338,$B583,U$335-1)/SUMPRODUCT(--($D$335:$V$335=U$335),--($D885:$V885=1)),0)+SUM(U582)+IF(COUNTIF(U$641:U885,1)=1,5,0)+IF(COUNTIF(V583:$Z583,"&gt;"&amp;0)&gt;5,IF(MOD(COUNTIF(U$641:U885,1),7)=0,$C$4,0),0)</f>
        <v>97.6562578297643</v>
      </c>
      <c r="V583" s="81" cm="1">
        <f ca="1" t="array" ref="V583">IF(V885=1,OFFSET($Z$338,$B583,V$335-1)/SUMPRODUCT(--($D$335:$V$335=V$335),--($D885:$V885=1)),0)+SUM(V582)+IF(COUNTIF(V$641:V885,1)=1,5,0)+IF(COUNTIF(Z583:$Z583,"&gt;"&amp;0)&gt;5,IF(MOD(COUNTIF(V$641:V885,1),7)=0,$C$4,0),0)</f>
        <v>89.6984386404824</v>
      </c>
      <c r="W583" s="81" cm="1">
        <f ca="1" t="array" ref="W583">IF(W885=1,OFFSET($Z$338,$B583,W$335-1)/SUMPRODUCT(--($D$335:$V$335=W$335),--($D885:$V885=1)),0)+SUM(W582)+IF(COUNTIF(W$641:W885,1)=1,5,0)+IF(COUNTIF($Z583:AA583,"&gt;"&amp;0)&gt;5,IF(MOD(COUNTIF(W$641:W885,1),7)=0,$C$4,0),0)</f>
        <v>80.3425695255331</v>
      </c>
      <c r="X583" s="81" cm="1">
        <f ca="1" t="array" ref="X583">IF(X885=1,OFFSET($Z$338,$B583,X$335-1)/SUMPRODUCT(--($D$335:$V$335=X$335),--($D885:$V885=1)),0)+SUM(X582)+IF(COUNTIF(X$641:X885,1)=1,5,0)+IF(COUNTIF($Z583:AB583,"&gt;"&amp;0)&gt;5,IF(MOD(COUNTIF(X$641:X885,1),7)=0,$C$4,0),0)</f>
        <v>73.5789092348996</v>
      </c>
      <c r="Y583" s="81" cm="1">
        <f ca="1" t="array" ref="Y583">IF(Y885=1,OFFSET($Z$338,$B583,Y$335-1)/SUMPRODUCT(--($D$335:$V$335=Y$335),--($D885:$V885=1)),0)+SUM(Y582)+IF(COUNTIF(Y$641:Y885,1)=1,5,0)+IF(COUNTIF($Z583:AC583,"&gt;"&amp;0)&gt;5,IF(MOD(COUNTIF(Y$641:Y885,1),7)=0,$C$4,0),0)</f>
        <v>66.8152489442662</v>
      </c>
      <c r="Z583" s="82" cm="1">
        <f ca="1" t="array" ref="Z583">SUMPRODUCT(TRANSPOSE($AD583:$AJ583),OFFSET($L$10:$L$16,0,Z$335-1))</f>
        <v>0</v>
      </c>
      <c r="AA583" s="82" cm="1">
        <f ca="1" t="array" ref="AA583">SUMPRODUCT(TRANSPOSE($AD583:$AJ583),OFFSET($L$10:$L$16,0,AA$335-1))</f>
        <v>0</v>
      </c>
      <c r="AB583" s="82" cm="1">
        <f ca="1" t="array" ref="AB583">SUMPRODUCT(TRANSPOSE($AD583:$AJ583),OFFSET($L$10:$L$16,0,AB$335-1))</f>
        <v>0</v>
      </c>
      <c r="AC583" s="82" cm="1">
        <f ca="1" t="array" ref="AC583">SUMPRODUCT(TRANSPOSE($AD583:$AJ583),OFFSET($L$10:$L$16,0,AC$335-1))</f>
        <v>0</v>
      </c>
      <c r="AD583" s="83">
        <f ca="1" t="shared" ref="AD583:AJ583" si="815">AK583-AK582</f>
        <v>0</v>
      </c>
      <c r="AE583" s="83">
        <f ca="1" t="shared" si="815"/>
        <v>0</v>
      </c>
      <c r="AF583" s="83">
        <f ca="1" t="shared" si="815"/>
        <v>0</v>
      </c>
      <c r="AG583" s="83">
        <f ca="1" t="shared" si="815"/>
        <v>0</v>
      </c>
      <c r="AH583" s="83">
        <f ca="1" t="shared" si="815"/>
        <v>0</v>
      </c>
      <c r="AI583" s="83">
        <f ca="1" t="shared" si="815"/>
        <v>0</v>
      </c>
      <c r="AJ583" s="83">
        <f ca="1" t="shared" si="815"/>
        <v>0</v>
      </c>
      <c r="AK583" s="83">
        <f ca="1" t="shared" si="711"/>
        <v>450</v>
      </c>
      <c r="AL583" s="83">
        <f ca="1" t="shared" ref="AL583:AQ583" si="816">IF($C583&gt;OFFSET($Q$9,MATCH(AL$338,$AK$338:$AQ$338,0),0),OFFSET($P$9,MATCH(AL$338,$AK$338:$AQ$338,0),0),MAX(0,$C583-OFFSET($Q$9,RIGHT(AL$338,1)-1,0)))</f>
        <v>909</v>
      </c>
      <c r="AM583" s="83">
        <f ca="1" t="shared" si="816"/>
        <v>1818</v>
      </c>
      <c r="AN583" s="83">
        <f ca="1" t="shared" si="816"/>
        <v>2727</v>
      </c>
      <c r="AO583" s="83">
        <f ca="1" t="shared" si="816"/>
        <v>3636</v>
      </c>
      <c r="AP583" s="83">
        <f ca="1" t="shared" si="816"/>
        <v>4545</v>
      </c>
      <c r="AQ583" s="83">
        <f ca="1" t="shared" si="816"/>
        <v>0</v>
      </c>
    </row>
    <row r="584" ht="16.5" spans="2:43">
      <c r="B584" s="65">
        <v>246</v>
      </c>
      <c r="C584" s="80">
        <f t="shared" si="709"/>
        <v>28386</v>
      </c>
      <c r="D584" s="81" cm="1">
        <f ca="1" t="array" ref="D584">IF(D886=1,OFFSET($Z$338,$B584,D$335-1)/SUMPRODUCT(--($D$335:$V$335=D$335),--($D886:$V886=1)),0)+SUM(D583)+IF(COUNTIF(D$641:D886,1)=1,5,0)+IF(COUNTIF(E584:$Z584,"&gt;"&amp;0)&gt;5,IF(MOD(COUNTIF(D$641:D886,1),7)=0,$C$4,0),0)</f>
        <v>1293.82134856666</v>
      </c>
      <c r="E584" s="81" cm="1">
        <f ca="1" t="array" ref="E584">IF(E886=1,OFFSET($Z$338,$B584,E$335-1)/SUMPRODUCT(--($D$335:$V$335=E$335),--($D886:$V886=1)),0)+SUM(E583)+IF(COUNTIF(E$641:E886,1)=1,5,0)+IF(COUNTIF(F584:$Z584,"&gt;"&amp;0)&gt;5,IF(MOD(COUNTIF(E$641:E886,1),7)=0,$C$4,0),0)</f>
        <v>1293.82134856666</v>
      </c>
      <c r="F584" s="81" cm="1">
        <f ca="1" t="array" ref="F584">IF(F886=1,OFFSET($Z$338,$B584,F$335-1)/SUMPRODUCT(--($D$335:$V$335=F$335),--($D886:$V886=1)),0)+SUM(F583)+IF(COUNTIF(F$641:F886,1)=1,5,0)+IF(COUNTIF(G584:$Z584,"&gt;"&amp;0)&gt;5,IF(MOD(COUNTIF(F$641:F886,1),7)=0,$C$4,0),0)</f>
        <v>1293.82134856666</v>
      </c>
      <c r="G584" s="81" cm="1">
        <f ca="1" t="array" ref="G584">IF(G886=1,OFFSET($Z$338,$B584,G$335-1)/SUMPRODUCT(--($D$335:$V$335=G$335),--($D886:$V886=1)),0)+SUM(G583)+IF(COUNTIF(G$641:G886,1)=1,5,0)+IF(COUNTIF(H584:$Z584,"&gt;"&amp;0)&gt;5,IF(MOD(COUNTIF(G$641:G886,1),7)=0,$C$4,0),0)</f>
        <v>582.516666666668</v>
      </c>
      <c r="H584" s="81" cm="1">
        <f ca="1" t="array" ref="H584">IF(H886=1,OFFSET($Z$338,$B584,H$335-1)/SUMPRODUCT(--($D$335:$V$335=H$335),--($D886:$V886=1)),0)+SUM(H583)+IF(COUNTIF(H$641:H886,1)=1,5,0)+IF(COUNTIF(I584:$Z584,"&gt;"&amp;0)&gt;5,IF(MOD(COUNTIF(H$641:H886,1),7)=0,$C$4,0),0)</f>
        <v>582.516666666668</v>
      </c>
      <c r="I584" s="81" cm="1">
        <f ca="1" t="array" ref="I584">IF(I886=1,OFFSET($Z$338,$B584,I$335-1)/SUMPRODUCT(--($D$335:$V$335=I$335),--($D886:$V886=1)),0)+SUM(I583)+IF(COUNTIF(I$641:I886,1)=1,5,0)+IF(COUNTIF(J584:$Z584,"&gt;"&amp;0)&gt;5,IF(MOD(COUNTIF(I$641:I886,1),7)=0,$C$4,0),0)</f>
        <v>582.516666666668</v>
      </c>
      <c r="J584" s="81" cm="1">
        <f ca="1" t="array" ref="J584">IF(J886=1,OFFSET($Z$338,$B584,J$335-1)/SUMPRODUCT(--($D$335:$V$335=J$335),--($D886:$V886=1)),0)+SUM(J583)+IF(COUNTIF(J$641:J886,1)=1,5,0)+IF(COUNTIF(K584:$Z584,"&gt;"&amp;0)&gt;5,IF(MOD(COUNTIF(J$641:J886,1),7)=0,$C$4,0),0)</f>
        <v>582.516666666668</v>
      </c>
      <c r="K584" s="81" cm="1">
        <f ca="1" t="array" ref="K584">IF(K886=1,OFFSET($Z$338,$B584,K$335-1)/SUMPRODUCT(--($D$335:$V$335=K$335),--($D886:$V886=1)),0)+SUM(K583)+IF(COUNTIF(K$641:K886,1)=1,5,0)+IF(COUNTIF(L584:$Z584,"&gt;"&amp;0)&gt;5,IF(MOD(COUNTIF(K$641:K886,1),7)=0,$C$4,0),0)</f>
        <v>582.516666666668</v>
      </c>
      <c r="L584" s="81" cm="1">
        <f ca="1" t="array" ref="L584">IF(L886=1,OFFSET($Z$338,$B584,L$335-1)/SUMPRODUCT(--($D$335:$V$335=L$335),--($D886:$V886=1)),0)+SUM(L583)+IF(COUNTIF(L$641:L886,1)=1,5,0)+IF(COUNTIF(M584:$Z584,"&gt;"&amp;0)&gt;5,IF(MOD(COUNTIF(L$641:L886,1),7)=0,$C$4,0),0)</f>
        <v>575.816666666668</v>
      </c>
      <c r="M584" s="81" cm="1">
        <f ca="1" t="array" ref="M584">IF(M886=1,OFFSET($Z$338,$B584,M$335-1)/SUMPRODUCT(--($D$335:$V$335=M$335),--($D886:$V886=1)),0)+SUM(M583)+IF(COUNTIF(M$641:M886,1)=1,5,0)+IF(COUNTIF(N584:$Z584,"&gt;"&amp;0)&gt;5,IF(MOD(COUNTIF(M$641:M886,1),7)=0,$C$4,0),0)</f>
        <v>330.644107142858</v>
      </c>
      <c r="N584" s="81" cm="1">
        <f ca="1" t="array" ref="N584">IF(N886=1,OFFSET($Z$338,$B584,N$335-1)/SUMPRODUCT(--($D$335:$V$335=N$335),--($D886:$V886=1)),0)+SUM(N583)+IF(COUNTIF(N$641:N886,1)=1,5,0)+IF(COUNTIF(O584:$Z584,"&gt;"&amp;0)&gt;5,IF(MOD(COUNTIF(N$641:N886,1),7)=0,$C$4,0),0)</f>
        <v>317.919107142858</v>
      </c>
      <c r="O584" s="81" cm="1">
        <f ca="1" t="array" ref="O584">IF(O886=1,OFFSET($Z$338,$B584,O$335-1)/SUMPRODUCT(--($D$335:$V$335=O$335),--($D886:$V886=1)),0)+SUM(O583)+IF(COUNTIF(O$641:O886,1)=1,5,0)+IF(COUNTIF(P584:$Z584,"&gt;"&amp;0)&gt;5,IF(MOD(COUNTIF(O$641:O886,1),7)=0,$C$4,0),0)</f>
        <v>315.494107142858</v>
      </c>
      <c r="P584" s="81" cm="1">
        <f ca="1" t="array" ref="P584">IF(P886=1,OFFSET($Z$338,$B584,P$335-1)/SUMPRODUCT(--($D$335:$V$335=P$335),--($D886:$V886=1)),0)+SUM(P583)+IF(COUNTIF(P$641:P886,1)=1,5,0)+IF(COUNTIF(Q584:$Z584,"&gt;"&amp;0)&gt;5,IF(MOD(COUNTIF(P$641:P886,1),7)=0,$C$4,0),0)</f>
        <v>312.560773809524</v>
      </c>
      <c r="Q584" s="81" cm="1">
        <f ca="1" t="array" ref="Q584">IF(Q886=1,OFFSET($Z$338,$B584,Q$335-1)/SUMPRODUCT(--($D$335:$V$335=Q$335),--($D886:$V886=1)),0)+SUM(Q583)+IF(COUNTIF(Q$641:Q886,1)=1,5,0)+IF(COUNTIF(R584:$Z584,"&gt;"&amp;0)&gt;5,IF(MOD(COUNTIF(Q$641:Q886,1),7)=0,$C$4,0),0)</f>
        <v>311.654523809524</v>
      </c>
      <c r="R584" s="81" cm="1">
        <f ca="1" t="array" ref="R584">IF(R886=1,OFFSET($Z$338,$B584,R$335-1)/SUMPRODUCT(--($D$335:$V$335=R$335),--($D886:$V886=1)),0)+SUM(R583)+IF(COUNTIF(R$641:R886,1)=1,5,0)+IF(COUNTIF(S584:$Z584,"&gt;"&amp;0)&gt;5,IF(MOD(COUNTIF(R$641:R886,1),7)=0,$C$4,0),0)</f>
        <v>286.759523809524</v>
      </c>
      <c r="S584" s="81" cm="1">
        <f ca="1" t="array" ref="S584">IF(S886=1,OFFSET($Z$338,$B584,S$335-1)/SUMPRODUCT(--($D$335:$V$335=S$335),--($D886:$V886=1)),0)+SUM(S583)+IF(COUNTIF(S$641:S886,1)=1,5,0)+IF(COUNTIF(T584:$Z584,"&gt;"&amp;0)&gt;5,IF(MOD(COUNTIF(S$641:S886,1),7)=0,$C$4,0),0)</f>
        <v>277.592857142857</v>
      </c>
      <c r="T584" s="81" cm="1">
        <f ca="1" t="array" ref="T584">IF(T886=1,OFFSET($Z$338,$B584,T$335-1)/SUMPRODUCT(--($D$335:$V$335=T$335),--($D886:$V886=1)),0)+SUM(T583)+IF(COUNTIF(T$641:T886,1)=1,5,0)+IF(COUNTIF(U584:$Z584,"&gt;"&amp;0)&gt;5,IF(MOD(COUNTIF(T$641:T886,1),7)=0,$C$4,0),0)</f>
        <v>137.656257829764</v>
      </c>
      <c r="U584" s="81" cm="1">
        <f ca="1" t="array" ref="U584">IF(U886=1,OFFSET($Z$338,$B584,U$335-1)/SUMPRODUCT(--($D$335:$V$335=U$335),--($D886:$V886=1)),0)+SUM(U583)+IF(COUNTIF(U$641:U886,1)=1,5,0)+IF(COUNTIF(V584:$Z584,"&gt;"&amp;0)&gt;5,IF(MOD(COUNTIF(U$641:U886,1),7)=0,$C$4,0),0)</f>
        <v>97.6562578297643</v>
      </c>
      <c r="V584" s="81" cm="1">
        <f ca="1" t="array" ref="V584">IF(V886=1,OFFSET($Z$338,$B584,V$335-1)/SUMPRODUCT(--($D$335:$V$335=V$335),--($D886:$V886=1)),0)+SUM(V583)+IF(COUNTIF(V$641:V886,1)=1,5,0)+IF(COUNTIF(Z584:$Z584,"&gt;"&amp;0)&gt;5,IF(MOD(COUNTIF(V$641:V886,1),7)=0,$C$4,0),0)</f>
        <v>89.6984386404824</v>
      </c>
      <c r="W584" s="81" cm="1">
        <f ca="1" t="array" ref="W584">IF(W886=1,OFFSET($Z$338,$B584,W$335-1)/SUMPRODUCT(--($D$335:$V$335=W$335),--($D886:$V886=1)),0)+SUM(W583)+IF(COUNTIF(W$641:W886,1)=1,5,0)+IF(COUNTIF($Z584:AA584,"&gt;"&amp;0)&gt;5,IF(MOD(COUNTIF(W$641:W886,1),7)=0,$C$4,0),0)</f>
        <v>80.3425695255331</v>
      </c>
      <c r="X584" s="81" cm="1">
        <f ca="1" t="array" ref="X584">IF(X886=1,OFFSET($Z$338,$B584,X$335-1)/SUMPRODUCT(--($D$335:$V$335=X$335),--($D886:$V886=1)),0)+SUM(X583)+IF(COUNTIF(X$641:X886,1)=1,5,0)+IF(COUNTIF($Z584:AB584,"&gt;"&amp;0)&gt;5,IF(MOD(COUNTIF(X$641:X886,1),7)=0,$C$4,0),0)</f>
        <v>73.5789092348996</v>
      </c>
      <c r="Y584" s="81" cm="1">
        <f ca="1" t="array" ref="Y584">IF(Y886=1,OFFSET($Z$338,$B584,Y$335-1)/SUMPRODUCT(--($D$335:$V$335=Y$335),--($D886:$V886=1)),0)+SUM(Y583)+IF(COUNTIF(Y$641:Y886,1)=1,5,0)+IF(COUNTIF($Z584:AC584,"&gt;"&amp;0)&gt;5,IF(MOD(COUNTIF(Y$641:Y886,1),7)=0,$C$4,0),0)</f>
        <v>66.8152489442662</v>
      </c>
      <c r="Z584" s="82" cm="1">
        <f ca="1" t="array" ref="Z584">SUMPRODUCT(TRANSPOSE($AD584:$AJ584),OFFSET($L$10:$L$16,0,Z$335-1))</f>
        <v>0</v>
      </c>
      <c r="AA584" s="82" cm="1">
        <f ca="1" t="array" ref="AA584">SUMPRODUCT(TRANSPOSE($AD584:$AJ584),OFFSET($L$10:$L$16,0,AA$335-1))</f>
        <v>0</v>
      </c>
      <c r="AB584" s="82" cm="1">
        <f ca="1" t="array" ref="AB584">SUMPRODUCT(TRANSPOSE($AD584:$AJ584),OFFSET($L$10:$L$16,0,AB$335-1))</f>
        <v>0</v>
      </c>
      <c r="AC584" s="82" cm="1">
        <f ca="1" t="array" ref="AC584">SUMPRODUCT(TRANSPOSE($AD584:$AJ584),OFFSET($L$10:$L$16,0,AC$335-1))</f>
        <v>0</v>
      </c>
      <c r="AD584" s="83">
        <f ca="1" t="shared" ref="AD584:AJ584" si="817">AK584-AK583</f>
        <v>0</v>
      </c>
      <c r="AE584" s="83">
        <f ca="1" t="shared" si="817"/>
        <v>0</v>
      </c>
      <c r="AF584" s="83">
        <f ca="1" t="shared" si="817"/>
        <v>0</v>
      </c>
      <c r="AG584" s="83">
        <f ca="1" t="shared" si="817"/>
        <v>0</v>
      </c>
      <c r="AH584" s="83">
        <f ca="1" t="shared" si="817"/>
        <v>0</v>
      </c>
      <c r="AI584" s="83">
        <f ca="1" t="shared" si="817"/>
        <v>0</v>
      </c>
      <c r="AJ584" s="83">
        <f ca="1" t="shared" si="817"/>
        <v>0</v>
      </c>
      <c r="AK584" s="83">
        <f ca="1" t="shared" si="711"/>
        <v>450</v>
      </c>
      <c r="AL584" s="83">
        <f ca="1" t="shared" ref="AL584:AQ584" si="818">IF($C584&gt;OFFSET($Q$9,MATCH(AL$338,$AK$338:$AQ$338,0),0),OFFSET($P$9,MATCH(AL$338,$AK$338:$AQ$338,0),0),MAX(0,$C584-OFFSET($Q$9,RIGHT(AL$338,1)-1,0)))</f>
        <v>909</v>
      </c>
      <c r="AM584" s="83">
        <f ca="1" t="shared" si="818"/>
        <v>1818</v>
      </c>
      <c r="AN584" s="83">
        <f ca="1" t="shared" si="818"/>
        <v>2727</v>
      </c>
      <c r="AO584" s="83">
        <f ca="1" t="shared" si="818"/>
        <v>3636</v>
      </c>
      <c r="AP584" s="83">
        <f ca="1" t="shared" si="818"/>
        <v>4545</v>
      </c>
      <c r="AQ584" s="83">
        <f ca="1" t="shared" si="818"/>
        <v>0</v>
      </c>
    </row>
    <row r="585" ht="16.5" spans="2:43">
      <c r="B585" s="65">
        <v>247</v>
      </c>
      <c r="C585" s="80">
        <f t="shared" si="709"/>
        <v>28496</v>
      </c>
      <c r="D585" s="81" cm="1">
        <f ca="1" t="array" ref="D585">IF(D887=1,OFFSET($Z$338,$B585,D$335-1)/SUMPRODUCT(--($D$335:$V$335=D$335),--($D887:$V887=1)),0)+SUM(D584)+IF(COUNTIF(D$641:D887,1)=1,5,0)+IF(COUNTIF(E585:$Z585,"&gt;"&amp;0)&gt;5,IF(MOD(COUNTIF(D$641:D887,1),7)=0,$C$4,0),0)</f>
        <v>1293.82134856666</v>
      </c>
      <c r="E585" s="81" cm="1">
        <f ca="1" t="array" ref="E585">IF(E887=1,OFFSET($Z$338,$B585,E$335-1)/SUMPRODUCT(--($D$335:$V$335=E$335),--($D887:$V887=1)),0)+SUM(E584)+IF(COUNTIF(E$641:E887,1)=1,5,0)+IF(COUNTIF(F585:$Z585,"&gt;"&amp;0)&gt;5,IF(MOD(COUNTIF(E$641:E887,1),7)=0,$C$4,0),0)</f>
        <v>1293.82134856666</v>
      </c>
      <c r="F585" s="81" cm="1">
        <f ca="1" t="array" ref="F585">IF(F887=1,OFFSET($Z$338,$B585,F$335-1)/SUMPRODUCT(--($D$335:$V$335=F$335),--($D887:$V887=1)),0)+SUM(F584)+IF(COUNTIF(F$641:F887,1)=1,5,0)+IF(COUNTIF(G585:$Z585,"&gt;"&amp;0)&gt;5,IF(MOD(COUNTIF(F$641:F887,1),7)=0,$C$4,0),0)</f>
        <v>1293.82134856666</v>
      </c>
      <c r="G585" s="81" cm="1">
        <f ca="1" t="array" ref="G585">IF(G887=1,OFFSET($Z$338,$B585,G$335-1)/SUMPRODUCT(--($D$335:$V$335=G$335),--($D887:$V887=1)),0)+SUM(G584)+IF(COUNTIF(G$641:G887,1)=1,5,0)+IF(COUNTIF(H585:$Z585,"&gt;"&amp;0)&gt;5,IF(MOD(COUNTIF(G$641:G887,1),7)=0,$C$4,0),0)</f>
        <v>582.516666666668</v>
      </c>
      <c r="H585" s="81" cm="1">
        <f ca="1" t="array" ref="H585">IF(H887=1,OFFSET($Z$338,$B585,H$335-1)/SUMPRODUCT(--($D$335:$V$335=H$335),--($D887:$V887=1)),0)+SUM(H584)+IF(COUNTIF(H$641:H887,1)=1,5,0)+IF(COUNTIF(I585:$Z585,"&gt;"&amp;0)&gt;5,IF(MOD(COUNTIF(H$641:H887,1),7)=0,$C$4,0),0)</f>
        <v>582.516666666668</v>
      </c>
      <c r="I585" s="81" cm="1">
        <f ca="1" t="array" ref="I585">IF(I887=1,OFFSET($Z$338,$B585,I$335-1)/SUMPRODUCT(--($D$335:$V$335=I$335),--($D887:$V887=1)),0)+SUM(I584)+IF(COUNTIF(I$641:I887,1)=1,5,0)+IF(COUNTIF(J585:$Z585,"&gt;"&amp;0)&gt;5,IF(MOD(COUNTIF(I$641:I887,1),7)=0,$C$4,0),0)</f>
        <v>582.516666666668</v>
      </c>
      <c r="J585" s="81" cm="1">
        <f ca="1" t="array" ref="J585">IF(J887=1,OFFSET($Z$338,$B585,J$335-1)/SUMPRODUCT(--($D$335:$V$335=J$335),--($D887:$V887=1)),0)+SUM(J584)+IF(COUNTIF(J$641:J887,1)=1,5,0)+IF(COUNTIF(K585:$Z585,"&gt;"&amp;0)&gt;5,IF(MOD(COUNTIF(J$641:J887,1),7)=0,$C$4,0),0)</f>
        <v>582.516666666668</v>
      </c>
      <c r="K585" s="81" cm="1">
        <f ca="1" t="array" ref="K585">IF(K887=1,OFFSET($Z$338,$B585,K$335-1)/SUMPRODUCT(--($D$335:$V$335=K$335),--($D887:$V887=1)),0)+SUM(K584)+IF(COUNTIF(K$641:K887,1)=1,5,0)+IF(COUNTIF(L585:$Z585,"&gt;"&amp;0)&gt;5,IF(MOD(COUNTIF(K$641:K887,1),7)=0,$C$4,0),0)</f>
        <v>582.516666666668</v>
      </c>
      <c r="L585" s="81" cm="1">
        <f ca="1" t="array" ref="L585">IF(L887=1,OFFSET($Z$338,$B585,L$335-1)/SUMPRODUCT(--($D$335:$V$335=L$335),--($D887:$V887=1)),0)+SUM(L584)+IF(COUNTIF(L$641:L887,1)=1,5,0)+IF(COUNTIF(M585:$Z585,"&gt;"&amp;0)&gt;5,IF(MOD(COUNTIF(L$641:L887,1),7)=0,$C$4,0),0)</f>
        <v>575.816666666668</v>
      </c>
      <c r="M585" s="81" cm="1">
        <f ca="1" t="array" ref="M585">IF(M887=1,OFFSET($Z$338,$B585,M$335-1)/SUMPRODUCT(--($D$335:$V$335=M$335),--($D887:$V887=1)),0)+SUM(M584)+IF(COUNTIF(M$641:M887,1)=1,5,0)+IF(COUNTIF(N585:$Z585,"&gt;"&amp;0)&gt;5,IF(MOD(COUNTIF(M$641:M887,1),7)=0,$C$4,0),0)</f>
        <v>330.644107142858</v>
      </c>
      <c r="N585" s="81" cm="1">
        <f ca="1" t="array" ref="N585">IF(N887=1,OFFSET($Z$338,$B585,N$335-1)/SUMPRODUCT(--($D$335:$V$335=N$335),--($D887:$V887=1)),0)+SUM(N584)+IF(COUNTIF(N$641:N887,1)=1,5,0)+IF(COUNTIF(O585:$Z585,"&gt;"&amp;0)&gt;5,IF(MOD(COUNTIF(N$641:N887,1),7)=0,$C$4,0),0)</f>
        <v>322.919107142858</v>
      </c>
      <c r="O585" s="81" cm="1">
        <f ca="1" t="array" ref="O585">IF(O887=1,OFFSET($Z$338,$B585,O$335-1)/SUMPRODUCT(--($D$335:$V$335=O$335),--($D887:$V887=1)),0)+SUM(O584)+IF(COUNTIF(O$641:O887,1)=1,5,0)+IF(COUNTIF(P585:$Z585,"&gt;"&amp;0)&gt;5,IF(MOD(COUNTIF(O$641:O887,1),7)=0,$C$4,0),0)</f>
        <v>315.494107142858</v>
      </c>
      <c r="P585" s="81" cm="1">
        <f ca="1" t="array" ref="P585">IF(P887=1,OFFSET($Z$338,$B585,P$335-1)/SUMPRODUCT(--($D$335:$V$335=P$335),--($D887:$V887=1)),0)+SUM(P584)+IF(COUNTIF(P$641:P887,1)=1,5,0)+IF(COUNTIF(Q585:$Z585,"&gt;"&amp;0)&gt;5,IF(MOD(COUNTIF(P$641:P887,1),7)=0,$C$4,0),0)</f>
        <v>312.560773809524</v>
      </c>
      <c r="Q585" s="81" cm="1">
        <f ca="1" t="array" ref="Q585">IF(Q887=1,OFFSET($Z$338,$B585,Q$335-1)/SUMPRODUCT(--($D$335:$V$335=Q$335),--($D887:$V887=1)),0)+SUM(Q584)+IF(COUNTIF(Q$641:Q887,1)=1,5,0)+IF(COUNTIF(R585:$Z585,"&gt;"&amp;0)&gt;5,IF(MOD(COUNTIF(Q$641:Q887,1),7)=0,$C$4,0),0)</f>
        <v>311.654523809524</v>
      </c>
      <c r="R585" s="81" cm="1">
        <f ca="1" t="array" ref="R585">IF(R887=1,OFFSET($Z$338,$B585,R$335-1)/SUMPRODUCT(--($D$335:$V$335=R$335),--($D887:$V887=1)),0)+SUM(R584)+IF(COUNTIF(R$641:R887,1)=1,5,0)+IF(COUNTIF(S585:$Z585,"&gt;"&amp;0)&gt;5,IF(MOD(COUNTIF(R$641:R887,1),7)=0,$C$4,0),0)</f>
        <v>286.759523809524</v>
      </c>
      <c r="S585" s="81" cm="1">
        <f ca="1" t="array" ref="S585">IF(S887=1,OFFSET($Z$338,$B585,S$335-1)/SUMPRODUCT(--($D$335:$V$335=S$335),--($D887:$V887=1)),0)+SUM(S584)+IF(COUNTIF(S$641:S887,1)=1,5,0)+IF(COUNTIF(T585:$Z585,"&gt;"&amp;0)&gt;5,IF(MOD(COUNTIF(S$641:S887,1),7)=0,$C$4,0),0)</f>
        <v>277.592857142857</v>
      </c>
      <c r="T585" s="81" cm="1">
        <f ca="1" t="array" ref="T585">IF(T887=1,OFFSET($Z$338,$B585,T$335-1)/SUMPRODUCT(--($D$335:$V$335=T$335),--($D887:$V887=1)),0)+SUM(T584)+IF(COUNTIF(T$641:T887,1)=1,5,0)+IF(COUNTIF(U585:$Z585,"&gt;"&amp;0)&gt;5,IF(MOD(COUNTIF(T$641:T887,1),7)=0,$C$4,0),0)</f>
        <v>137.656257829764</v>
      </c>
      <c r="U585" s="81" cm="1">
        <f ca="1" t="array" ref="U585">IF(U887=1,OFFSET($Z$338,$B585,U$335-1)/SUMPRODUCT(--($D$335:$V$335=U$335),--($D887:$V887=1)),0)+SUM(U584)+IF(COUNTIF(U$641:U887,1)=1,5,0)+IF(COUNTIF(V585:$Z585,"&gt;"&amp;0)&gt;5,IF(MOD(COUNTIF(U$641:U887,1),7)=0,$C$4,0),0)</f>
        <v>97.6562578297643</v>
      </c>
      <c r="V585" s="81" cm="1">
        <f ca="1" t="array" ref="V585">IF(V887=1,OFFSET($Z$338,$B585,V$335-1)/SUMPRODUCT(--($D$335:$V$335=V$335),--($D887:$V887=1)),0)+SUM(V584)+IF(COUNTIF(V$641:V887,1)=1,5,0)+IF(COUNTIF(Z585:$Z585,"&gt;"&amp;0)&gt;5,IF(MOD(COUNTIF(V$641:V887,1),7)=0,$C$4,0),0)</f>
        <v>89.6984386404824</v>
      </c>
      <c r="W585" s="81" cm="1">
        <f ca="1" t="array" ref="W585">IF(W887=1,OFFSET($Z$338,$B585,W$335-1)/SUMPRODUCT(--($D$335:$V$335=W$335),--($D887:$V887=1)),0)+SUM(W584)+IF(COUNTIF(W$641:W887,1)=1,5,0)+IF(COUNTIF($Z585:AA585,"&gt;"&amp;0)&gt;5,IF(MOD(COUNTIF(W$641:W887,1),7)=0,$C$4,0),0)</f>
        <v>80.3425695255331</v>
      </c>
      <c r="X585" s="81" cm="1">
        <f ca="1" t="array" ref="X585">IF(X887=1,OFFSET($Z$338,$B585,X$335-1)/SUMPRODUCT(--($D$335:$V$335=X$335),--($D887:$V887=1)),0)+SUM(X584)+IF(COUNTIF(X$641:X887,1)=1,5,0)+IF(COUNTIF($Z585:AB585,"&gt;"&amp;0)&gt;5,IF(MOD(COUNTIF(X$641:X887,1),7)=0,$C$4,0),0)</f>
        <v>73.5789092348996</v>
      </c>
      <c r="Y585" s="81" cm="1">
        <f ca="1" t="array" ref="Y585">IF(Y887=1,OFFSET($Z$338,$B585,Y$335-1)/SUMPRODUCT(--($D$335:$V$335=Y$335),--($D887:$V887=1)),0)+SUM(Y584)+IF(COUNTIF(Y$641:Y887,1)=1,5,0)+IF(COUNTIF($Z585:AC585,"&gt;"&amp;0)&gt;5,IF(MOD(COUNTIF(Y$641:Y887,1),7)=0,$C$4,0),0)</f>
        <v>66.8152489442662</v>
      </c>
      <c r="Z585" s="82" cm="1">
        <f ca="1" t="array" ref="Z585">SUMPRODUCT(TRANSPOSE($AD585:$AJ585),OFFSET($L$10:$L$16,0,Z$335-1))</f>
        <v>0</v>
      </c>
      <c r="AA585" s="82" cm="1">
        <f ca="1" t="array" ref="AA585">SUMPRODUCT(TRANSPOSE($AD585:$AJ585),OFFSET($L$10:$L$16,0,AA$335-1))</f>
        <v>0</v>
      </c>
      <c r="AB585" s="82" cm="1">
        <f ca="1" t="array" ref="AB585">SUMPRODUCT(TRANSPOSE($AD585:$AJ585),OFFSET($L$10:$L$16,0,AB$335-1))</f>
        <v>0</v>
      </c>
      <c r="AC585" s="82" cm="1">
        <f ca="1" t="array" ref="AC585">SUMPRODUCT(TRANSPOSE($AD585:$AJ585),OFFSET($L$10:$L$16,0,AC$335-1))</f>
        <v>0</v>
      </c>
      <c r="AD585" s="83">
        <f ca="1" t="shared" ref="AD585:AJ585" si="819">AK585-AK584</f>
        <v>0</v>
      </c>
      <c r="AE585" s="83">
        <f ca="1" t="shared" si="819"/>
        <v>0</v>
      </c>
      <c r="AF585" s="83">
        <f ca="1" t="shared" si="819"/>
        <v>0</v>
      </c>
      <c r="AG585" s="83">
        <f ca="1" t="shared" si="819"/>
        <v>0</v>
      </c>
      <c r="AH585" s="83">
        <f ca="1" t="shared" si="819"/>
        <v>0</v>
      </c>
      <c r="AI585" s="83">
        <f ca="1" t="shared" si="819"/>
        <v>0</v>
      </c>
      <c r="AJ585" s="83">
        <f ca="1" t="shared" si="819"/>
        <v>0</v>
      </c>
      <c r="AK585" s="83">
        <f ca="1" t="shared" si="711"/>
        <v>450</v>
      </c>
      <c r="AL585" s="83">
        <f ca="1" t="shared" ref="AL585:AQ585" si="820">IF($C585&gt;OFFSET($Q$9,MATCH(AL$338,$AK$338:$AQ$338,0),0),OFFSET($P$9,MATCH(AL$338,$AK$338:$AQ$338,0),0),MAX(0,$C585-OFFSET($Q$9,RIGHT(AL$338,1)-1,0)))</f>
        <v>909</v>
      </c>
      <c r="AM585" s="83">
        <f ca="1" t="shared" si="820"/>
        <v>1818</v>
      </c>
      <c r="AN585" s="83">
        <f ca="1" t="shared" si="820"/>
        <v>2727</v>
      </c>
      <c r="AO585" s="83">
        <f ca="1" t="shared" si="820"/>
        <v>3636</v>
      </c>
      <c r="AP585" s="83">
        <f ca="1" t="shared" si="820"/>
        <v>4545</v>
      </c>
      <c r="AQ585" s="83">
        <f ca="1" t="shared" si="820"/>
        <v>0</v>
      </c>
    </row>
    <row r="586" ht="16.5" spans="2:43">
      <c r="B586" s="65">
        <v>248</v>
      </c>
      <c r="C586" s="80">
        <f t="shared" si="709"/>
        <v>28606</v>
      </c>
      <c r="D586" s="81" cm="1">
        <f ca="1" t="array" ref="D586">IF(D888=1,OFFSET($Z$338,$B586,D$335-1)/SUMPRODUCT(--($D$335:$V$335=D$335),--($D888:$V888=1)),0)+SUM(D585)+IF(COUNTIF(D$641:D888,1)=1,5,0)+IF(COUNTIF(E586:$Z586,"&gt;"&amp;0)&gt;5,IF(MOD(COUNTIF(D$641:D888,1),7)=0,$C$4,0),0)</f>
        <v>1293.82134856666</v>
      </c>
      <c r="E586" s="81" cm="1">
        <f ca="1" t="array" ref="E586">IF(E888=1,OFFSET($Z$338,$B586,E$335-1)/SUMPRODUCT(--($D$335:$V$335=E$335),--($D888:$V888=1)),0)+SUM(E585)+IF(COUNTIF(E$641:E888,1)=1,5,0)+IF(COUNTIF(F586:$Z586,"&gt;"&amp;0)&gt;5,IF(MOD(COUNTIF(E$641:E888,1),7)=0,$C$4,0),0)</f>
        <v>1293.82134856666</v>
      </c>
      <c r="F586" s="81" cm="1">
        <f ca="1" t="array" ref="F586">IF(F888=1,OFFSET($Z$338,$B586,F$335-1)/SUMPRODUCT(--($D$335:$V$335=F$335),--($D888:$V888=1)),0)+SUM(F585)+IF(COUNTIF(F$641:F888,1)=1,5,0)+IF(COUNTIF(G586:$Z586,"&gt;"&amp;0)&gt;5,IF(MOD(COUNTIF(F$641:F888,1),7)=0,$C$4,0),0)</f>
        <v>1293.82134856666</v>
      </c>
      <c r="G586" s="81" cm="1">
        <f ca="1" t="array" ref="G586">IF(G888=1,OFFSET($Z$338,$B586,G$335-1)/SUMPRODUCT(--($D$335:$V$335=G$335),--($D888:$V888=1)),0)+SUM(G585)+IF(COUNTIF(G$641:G888,1)=1,5,0)+IF(COUNTIF(H586:$Z586,"&gt;"&amp;0)&gt;5,IF(MOD(COUNTIF(G$641:G888,1),7)=0,$C$4,0),0)</f>
        <v>582.516666666668</v>
      </c>
      <c r="H586" s="81" cm="1">
        <f ca="1" t="array" ref="H586">IF(H888=1,OFFSET($Z$338,$B586,H$335-1)/SUMPRODUCT(--($D$335:$V$335=H$335),--($D888:$V888=1)),0)+SUM(H585)+IF(COUNTIF(H$641:H888,1)=1,5,0)+IF(COUNTIF(I586:$Z586,"&gt;"&amp;0)&gt;5,IF(MOD(COUNTIF(H$641:H888,1),7)=0,$C$4,0),0)</f>
        <v>582.516666666668</v>
      </c>
      <c r="I586" s="81" cm="1">
        <f ca="1" t="array" ref="I586">IF(I888=1,OFFSET($Z$338,$B586,I$335-1)/SUMPRODUCT(--($D$335:$V$335=I$335),--($D888:$V888=1)),0)+SUM(I585)+IF(COUNTIF(I$641:I888,1)=1,5,0)+IF(COUNTIF(J586:$Z586,"&gt;"&amp;0)&gt;5,IF(MOD(COUNTIF(I$641:I888,1),7)=0,$C$4,0),0)</f>
        <v>582.516666666668</v>
      </c>
      <c r="J586" s="81" cm="1">
        <f ca="1" t="array" ref="J586">IF(J888=1,OFFSET($Z$338,$B586,J$335-1)/SUMPRODUCT(--($D$335:$V$335=J$335),--($D888:$V888=1)),0)+SUM(J585)+IF(COUNTIF(J$641:J888,1)=1,5,0)+IF(COUNTIF(K586:$Z586,"&gt;"&amp;0)&gt;5,IF(MOD(COUNTIF(J$641:J888,1),7)=0,$C$4,0),0)</f>
        <v>582.516666666668</v>
      </c>
      <c r="K586" s="81" cm="1">
        <f ca="1" t="array" ref="K586">IF(K888=1,OFFSET($Z$338,$B586,K$335-1)/SUMPRODUCT(--($D$335:$V$335=K$335),--($D888:$V888=1)),0)+SUM(K585)+IF(COUNTIF(K$641:K888,1)=1,5,0)+IF(COUNTIF(L586:$Z586,"&gt;"&amp;0)&gt;5,IF(MOD(COUNTIF(K$641:K888,1),7)=0,$C$4,0),0)</f>
        <v>582.516666666668</v>
      </c>
      <c r="L586" s="81" cm="1">
        <f ca="1" t="array" ref="L586">IF(L888=1,OFFSET($Z$338,$B586,L$335-1)/SUMPRODUCT(--($D$335:$V$335=L$335),--($D888:$V888=1)),0)+SUM(L585)+IF(COUNTIF(L$641:L888,1)=1,5,0)+IF(COUNTIF(M586:$Z586,"&gt;"&amp;0)&gt;5,IF(MOD(COUNTIF(L$641:L888,1),7)=0,$C$4,0),0)</f>
        <v>575.816666666668</v>
      </c>
      <c r="M586" s="81" cm="1">
        <f ca="1" t="array" ref="M586">IF(M888=1,OFFSET($Z$338,$B586,M$335-1)/SUMPRODUCT(--($D$335:$V$335=M$335),--($D888:$V888=1)),0)+SUM(M585)+IF(COUNTIF(M$641:M888,1)=1,5,0)+IF(COUNTIF(N586:$Z586,"&gt;"&amp;0)&gt;5,IF(MOD(COUNTIF(M$641:M888,1),7)=0,$C$4,0),0)</f>
        <v>330.644107142858</v>
      </c>
      <c r="N586" s="81" cm="1">
        <f ca="1" t="array" ref="N586">IF(N888=1,OFFSET($Z$338,$B586,N$335-1)/SUMPRODUCT(--($D$335:$V$335=N$335),--($D888:$V888=1)),0)+SUM(N585)+IF(COUNTIF(N$641:N888,1)=1,5,0)+IF(COUNTIF(O586:$Z586,"&gt;"&amp;0)&gt;5,IF(MOD(COUNTIF(N$641:N888,1),7)=0,$C$4,0),0)</f>
        <v>322.919107142858</v>
      </c>
      <c r="O586" s="81" cm="1">
        <f ca="1" t="array" ref="O586">IF(O888=1,OFFSET($Z$338,$B586,O$335-1)/SUMPRODUCT(--($D$335:$V$335=O$335),--($D888:$V888=1)),0)+SUM(O585)+IF(COUNTIF(O$641:O888,1)=1,5,0)+IF(COUNTIF(P586:$Z586,"&gt;"&amp;0)&gt;5,IF(MOD(COUNTIF(O$641:O888,1),7)=0,$C$4,0),0)</f>
        <v>320.494107142858</v>
      </c>
      <c r="P586" s="81" cm="1">
        <f ca="1" t="array" ref="P586">IF(P888=1,OFFSET($Z$338,$B586,P$335-1)/SUMPRODUCT(--($D$335:$V$335=P$335),--($D888:$V888=1)),0)+SUM(P585)+IF(COUNTIF(P$641:P888,1)=1,5,0)+IF(COUNTIF(Q586:$Z586,"&gt;"&amp;0)&gt;5,IF(MOD(COUNTIF(P$641:P888,1),7)=0,$C$4,0),0)</f>
        <v>312.560773809524</v>
      </c>
      <c r="Q586" s="81" cm="1">
        <f ca="1" t="array" ref="Q586">IF(Q888=1,OFFSET($Z$338,$B586,Q$335-1)/SUMPRODUCT(--($D$335:$V$335=Q$335),--($D888:$V888=1)),0)+SUM(Q585)+IF(COUNTIF(Q$641:Q888,1)=1,5,0)+IF(COUNTIF(R586:$Z586,"&gt;"&amp;0)&gt;5,IF(MOD(COUNTIF(Q$641:Q888,1),7)=0,$C$4,0),0)</f>
        <v>311.654523809524</v>
      </c>
      <c r="R586" s="81" cm="1">
        <f ca="1" t="array" ref="R586">IF(R888=1,OFFSET($Z$338,$B586,R$335-1)/SUMPRODUCT(--($D$335:$V$335=R$335),--($D888:$V888=1)),0)+SUM(R585)+IF(COUNTIF(R$641:R888,1)=1,5,0)+IF(COUNTIF(S586:$Z586,"&gt;"&amp;0)&gt;5,IF(MOD(COUNTIF(R$641:R888,1),7)=0,$C$4,0),0)</f>
        <v>286.759523809524</v>
      </c>
      <c r="S586" s="81" cm="1">
        <f ca="1" t="array" ref="S586">IF(S888=1,OFFSET($Z$338,$B586,S$335-1)/SUMPRODUCT(--($D$335:$V$335=S$335),--($D888:$V888=1)),0)+SUM(S585)+IF(COUNTIF(S$641:S888,1)=1,5,0)+IF(COUNTIF(T586:$Z586,"&gt;"&amp;0)&gt;5,IF(MOD(COUNTIF(S$641:S888,1),7)=0,$C$4,0),0)</f>
        <v>277.592857142857</v>
      </c>
      <c r="T586" s="81" cm="1">
        <f ca="1" t="array" ref="T586">IF(T888=1,OFFSET($Z$338,$B586,T$335-1)/SUMPRODUCT(--($D$335:$V$335=T$335),--($D888:$V888=1)),0)+SUM(T585)+IF(COUNTIF(T$641:T888,1)=1,5,0)+IF(COUNTIF(U586:$Z586,"&gt;"&amp;0)&gt;5,IF(MOD(COUNTIF(T$641:T888,1),7)=0,$C$4,0),0)</f>
        <v>137.656257829764</v>
      </c>
      <c r="U586" s="81" cm="1">
        <f ca="1" t="array" ref="U586">IF(U888=1,OFFSET($Z$338,$B586,U$335-1)/SUMPRODUCT(--($D$335:$V$335=U$335),--($D888:$V888=1)),0)+SUM(U585)+IF(COUNTIF(U$641:U888,1)=1,5,0)+IF(COUNTIF(V586:$Z586,"&gt;"&amp;0)&gt;5,IF(MOD(COUNTIF(U$641:U888,1),7)=0,$C$4,0),0)</f>
        <v>97.6562578297643</v>
      </c>
      <c r="V586" s="81" cm="1">
        <f ca="1" t="array" ref="V586">IF(V888=1,OFFSET($Z$338,$B586,V$335-1)/SUMPRODUCT(--($D$335:$V$335=V$335),--($D888:$V888=1)),0)+SUM(V585)+IF(COUNTIF(V$641:V888,1)=1,5,0)+IF(COUNTIF(Z586:$Z586,"&gt;"&amp;0)&gt;5,IF(MOD(COUNTIF(V$641:V888,1),7)=0,$C$4,0),0)</f>
        <v>89.6984386404824</v>
      </c>
      <c r="W586" s="81" cm="1">
        <f ca="1" t="array" ref="W586">IF(W888=1,OFFSET($Z$338,$B586,W$335-1)/SUMPRODUCT(--($D$335:$V$335=W$335),--($D888:$V888=1)),0)+SUM(W585)+IF(COUNTIF(W$641:W888,1)=1,5,0)+IF(COUNTIF($Z586:AA586,"&gt;"&amp;0)&gt;5,IF(MOD(COUNTIF(W$641:W888,1),7)=0,$C$4,0),0)</f>
        <v>80.3425695255331</v>
      </c>
      <c r="X586" s="81" cm="1">
        <f ca="1" t="array" ref="X586">IF(X888=1,OFFSET($Z$338,$B586,X$335-1)/SUMPRODUCT(--($D$335:$V$335=X$335),--($D888:$V888=1)),0)+SUM(X585)+IF(COUNTIF(X$641:X888,1)=1,5,0)+IF(COUNTIF($Z586:AB586,"&gt;"&amp;0)&gt;5,IF(MOD(COUNTIF(X$641:X888,1),7)=0,$C$4,0),0)</f>
        <v>73.5789092348996</v>
      </c>
      <c r="Y586" s="81" cm="1">
        <f ca="1" t="array" ref="Y586">IF(Y888=1,OFFSET($Z$338,$B586,Y$335-1)/SUMPRODUCT(--($D$335:$V$335=Y$335),--($D888:$V888=1)),0)+SUM(Y585)+IF(COUNTIF(Y$641:Y888,1)=1,5,0)+IF(COUNTIF($Z586:AC586,"&gt;"&amp;0)&gt;5,IF(MOD(COUNTIF(Y$641:Y888,1),7)=0,$C$4,0),0)</f>
        <v>66.8152489442662</v>
      </c>
      <c r="Z586" s="82" cm="1">
        <f ca="1" t="array" ref="Z586">SUMPRODUCT(TRANSPOSE($AD586:$AJ586),OFFSET($L$10:$L$16,0,Z$335-1))</f>
        <v>0</v>
      </c>
      <c r="AA586" s="82" cm="1">
        <f ca="1" t="array" ref="AA586">SUMPRODUCT(TRANSPOSE($AD586:$AJ586),OFFSET($L$10:$L$16,0,AA$335-1))</f>
        <v>0</v>
      </c>
      <c r="AB586" s="82" cm="1">
        <f ca="1" t="array" ref="AB586">SUMPRODUCT(TRANSPOSE($AD586:$AJ586),OFFSET($L$10:$L$16,0,AB$335-1))</f>
        <v>0</v>
      </c>
      <c r="AC586" s="82" cm="1">
        <f ca="1" t="array" ref="AC586">SUMPRODUCT(TRANSPOSE($AD586:$AJ586),OFFSET($L$10:$L$16,0,AC$335-1))</f>
        <v>0</v>
      </c>
      <c r="AD586" s="83">
        <f ca="1" t="shared" ref="AD586:AJ586" si="821">AK586-AK585</f>
        <v>0</v>
      </c>
      <c r="AE586" s="83">
        <f ca="1" t="shared" si="821"/>
        <v>0</v>
      </c>
      <c r="AF586" s="83">
        <f ca="1" t="shared" si="821"/>
        <v>0</v>
      </c>
      <c r="AG586" s="83">
        <f ca="1" t="shared" si="821"/>
        <v>0</v>
      </c>
      <c r="AH586" s="83">
        <f ca="1" t="shared" si="821"/>
        <v>0</v>
      </c>
      <c r="AI586" s="83">
        <f ca="1" t="shared" si="821"/>
        <v>0</v>
      </c>
      <c r="AJ586" s="83">
        <f ca="1" t="shared" si="821"/>
        <v>0</v>
      </c>
      <c r="AK586" s="83">
        <f ca="1" t="shared" si="711"/>
        <v>450</v>
      </c>
      <c r="AL586" s="83">
        <f ca="1" t="shared" ref="AL586:AQ586" si="822">IF($C586&gt;OFFSET($Q$9,MATCH(AL$338,$AK$338:$AQ$338,0),0),OFFSET($P$9,MATCH(AL$338,$AK$338:$AQ$338,0),0),MAX(0,$C586-OFFSET($Q$9,RIGHT(AL$338,1)-1,0)))</f>
        <v>909</v>
      </c>
      <c r="AM586" s="83">
        <f ca="1" t="shared" si="822"/>
        <v>1818</v>
      </c>
      <c r="AN586" s="83">
        <f ca="1" t="shared" si="822"/>
        <v>2727</v>
      </c>
      <c r="AO586" s="83">
        <f ca="1" t="shared" si="822"/>
        <v>3636</v>
      </c>
      <c r="AP586" s="83">
        <f ca="1" t="shared" si="822"/>
        <v>4545</v>
      </c>
      <c r="AQ586" s="83">
        <f ca="1" t="shared" si="822"/>
        <v>0</v>
      </c>
    </row>
    <row r="587" ht="16.5" spans="2:43">
      <c r="B587" s="65">
        <v>249</v>
      </c>
      <c r="C587" s="80">
        <f t="shared" si="709"/>
        <v>28716</v>
      </c>
      <c r="D587" s="81" cm="1">
        <f ca="1" t="array" ref="D587">IF(D889=1,OFFSET($Z$338,$B587,D$335-1)/SUMPRODUCT(--($D$335:$V$335=D$335),--($D889:$V889=1)),0)+SUM(D586)+IF(COUNTIF(D$641:D889,1)=1,5,0)+IF(COUNTIF(E587:$Z587,"&gt;"&amp;0)&gt;5,IF(MOD(COUNTIF(D$641:D889,1),7)=0,$C$4,0),0)</f>
        <v>1293.82134856666</v>
      </c>
      <c r="E587" s="81" cm="1">
        <f ca="1" t="array" ref="E587">IF(E889=1,OFFSET($Z$338,$B587,E$335-1)/SUMPRODUCT(--($D$335:$V$335=E$335),--($D889:$V889=1)),0)+SUM(E586)+IF(COUNTIF(E$641:E889,1)=1,5,0)+IF(COUNTIF(F587:$Z587,"&gt;"&amp;0)&gt;5,IF(MOD(COUNTIF(E$641:E889,1),7)=0,$C$4,0),0)</f>
        <v>1293.82134856666</v>
      </c>
      <c r="F587" s="81" cm="1">
        <f ca="1" t="array" ref="F587">IF(F889=1,OFFSET($Z$338,$B587,F$335-1)/SUMPRODUCT(--($D$335:$V$335=F$335),--($D889:$V889=1)),0)+SUM(F586)+IF(COUNTIF(F$641:F889,1)=1,5,0)+IF(COUNTIF(G587:$Z587,"&gt;"&amp;0)&gt;5,IF(MOD(COUNTIF(F$641:F889,1),7)=0,$C$4,0),0)</f>
        <v>1293.82134856666</v>
      </c>
      <c r="G587" s="81" cm="1">
        <f ca="1" t="array" ref="G587">IF(G889=1,OFFSET($Z$338,$B587,G$335-1)/SUMPRODUCT(--($D$335:$V$335=G$335),--($D889:$V889=1)),0)+SUM(G586)+IF(COUNTIF(G$641:G889,1)=1,5,0)+IF(COUNTIF(H587:$Z587,"&gt;"&amp;0)&gt;5,IF(MOD(COUNTIF(G$641:G889,1),7)=0,$C$4,0),0)</f>
        <v>582.516666666668</v>
      </c>
      <c r="H587" s="81" cm="1">
        <f ca="1" t="array" ref="H587">IF(H889=1,OFFSET($Z$338,$B587,H$335-1)/SUMPRODUCT(--($D$335:$V$335=H$335),--($D889:$V889=1)),0)+SUM(H586)+IF(COUNTIF(H$641:H889,1)=1,5,0)+IF(COUNTIF(I587:$Z587,"&gt;"&amp;0)&gt;5,IF(MOD(COUNTIF(H$641:H889,1),7)=0,$C$4,0),0)</f>
        <v>582.516666666668</v>
      </c>
      <c r="I587" s="81" cm="1">
        <f ca="1" t="array" ref="I587">IF(I889=1,OFFSET($Z$338,$B587,I$335-1)/SUMPRODUCT(--($D$335:$V$335=I$335),--($D889:$V889=1)),0)+SUM(I586)+IF(COUNTIF(I$641:I889,1)=1,5,0)+IF(COUNTIF(J587:$Z587,"&gt;"&amp;0)&gt;5,IF(MOD(COUNTIF(I$641:I889,1),7)=0,$C$4,0),0)</f>
        <v>582.516666666668</v>
      </c>
      <c r="J587" s="81" cm="1">
        <f ca="1" t="array" ref="J587">IF(J889=1,OFFSET($Z$338,$B587,J$335-1)/SUMPRODUCT(--($D$335:$V$335=J$335),--($D889:$V889=1)),0)+SUM(J586)+IF(COUNTIF(J$641:J889,1)=1,5,0)+IF(COUNTIF(K587:$Z587,"&gt;"&amp;0)&gt;5,IF(MOD(COUNTIF(J$641:J889,1),7)=0,$C$4,0),0)</f>
        <v>582.516666666668</v>
      </c>
      <c r="K587" s="81" cm="1">
        <f ca="1" t="array" ref="K587">IF(K889=1,OFFSET($Z$338,$B587,K$335-1)/SUMPRODUCT(--($D$335:$V$335=K$335),--($D889:$V889=1)),0)+SUM(K586)+IF(COUNTIF(K$641:K889,1)=1,5,0)+IF(COUNTIF(L587:$Z587,"&gt;"&amp;0)&gt;5,IF(MOD(COUNTIF(K$641:K889,1),7)=0,$C$4,0),0)</f>
        <v>582.516666666668</v>
      </c>
      <c r="L587" s="81" cm="1">
        <f ca="1" t="array" ref="L587">IF(L889=1,OFFSET($Z$338,$B587,L$335-1)/SUMPRODUCT(--($D$335:$V$335=L$335),--($D889:$V889=1)),0)+SUM(L586)+IF(COUNTIF(L$641:L889,1)=1,5,0)+IF(COUNTIF(M587:$Z587,"&gt;"&amp;0)&gt;5,IF(MOD(COUNTIF(L$641:L889,1),7)=0,$C$4,0),0)</f>
        <v>575.816666666668</v>
      </c>
      <c r="M587" s="81" cm="1">
        <f ca="1" t="array" ref="M587">IF(M889=1,OFFSET($Z$338,$B587,M$335-1)/SUMPRODUCT(--($D$335:$V$335=M$335),--($D889:$V889=1)),0)+SUM(M586)+IF(COUNTIF(M$641:M889,1)=1,5,0)+IF(COUNTIF(N587:$Z587,"&gt;"&amp;0)&gt;5,IF(MOD(COUNTIF(M$641:M889,1),7)=0,$C$4,0),0)</f>
        <v>330.644107142858</v>
      </c>
      <c r="N587" s="81" cm="1">
        <f ca="1" t="array" ref="N587">IF(N889=1,OFFSET($Z$338,$B587,N$335-1)/SUMPRODUCT(--($D$335:$V$335=N$335),--($D889:$V889=1)),0)+SUM(N586)+IF(COUNTIF(N$641:N889,1)=1,5,0)+IF(COUNTIF(O587:$Z587,"&gt;"&amp;0)&gt;5,IF(MOD(COUNTIF(N$641:N889,1),7)=0,$C$4,0),0)</f>
        <v>322.919107142858</v>
      </c>
      <c r="O587" s="81" cm="1">
        <f ca="1" t="array" ref="O587">IF(O889=1,OFFSET($Z$338,$B587,O$335-1)/SUMPRODUCT(--($D$335:$V$335=O$335),--($D889:$V889=1)),0)+SUM(O586)+IF(COUNTIF(O$641:O889,1)=1,5,0)+IF(COUNTIF(P587:$Z587,"&gt;"&amp;0)&gt;5,IF(MOD(COUNTIF(O$641:O889,1),7)=0,$C$4,0),0)</f>
        <v>320.494107142858</v>
      </c>
      <c r="P587" s="81" cm="1">
        <f ca="1" t="array" ref="P587">IF(P889=1,OFFSET($Z$338,$B587,P$335-1)/SUMPRODUCT(--($D$335:$V$335=P$335),--($D889:$V889=1)),0)+SUM(P586)+IF(COUNTIF(P$641:P889,1)=1,5,0)+IF(COUNTIF(Q587:$Z587,"&gt;"&amp;0)&gt;5,IF(MOD(COUNTIF(P$641:P889,1),7)=0,$C$4,0),0)</f>
        <v>312.560773809524</v>
      </c>
      <c r="Q587" s="81" cm="1">
        <f ca="1" t="array" ref="Q587">IF(Q889=1,OFFSET($Z$338,$B587,Q$335-1)/SUMPRODUCT(--($D$335:$V$335=Q$335),--($D889:$V889=1)),0)+SUM(Q586)+IF(COUNTIF(Q$641:Q889,1)=1,5,0)+IF(COUNTIF(R587:$Z587,"&gt;"&amp;0)&gt;5,IF(MOD(COUNTIF(Q$641:Q889,1),7)=0,$C$4,0),0)</f>
        <v>311.654523809524</v>
      </c>
      <c r="R587" s="81" cm="1">
        <f ca="1" t="array" ref="R587">IF(R889=1,OFFSET($Z$338,$B587,R$335-1)/SUMPRODUCT(--($D$335:$V$335=R$335),--($D889:$V889=1)),0)+SUM(R586)+IF(COUNTIF(R$641:R889,1)=1,5,0)+IF(COUNTIF(S587:$Z587,"&gt;"&amp;0)&gt;5,IF(MOD(COUNTIF(R$641:R889,1),7)=0,$C$4,0),0)</f>
        <v>286.759523809524</v>
      </c>
      <c r="S587" s="81" cm="1">
        <f ca="1" t="array" ref="S587">IF(S889=1,OFFSET($Z$338,$B587,S$335-1)/SUMPRODUCT(--($D$335:$V$335=S$335),--($D889:$V889=1)),0)+SUM(S586)+IF(COUNTIF(S$641:S889,1)=1,5,0)+IF(COUNTIF(T587:$Z587,"&gt;"&amp;0)&gt;5,IF(MOD(COUNTIF(S$641:S889,1),7)=0,$C$4,0),0)</f>
        <v>277.592857142857</v>
      </c>
      <c r="T587" s="81" cm="1">
        <f ca="1" t="array" ref="T587">IF(T889=1,OFFSET($Z$338,$B587,T$335-1)/SUMPRODUCT(--($D$335:$V$335=T$335),--($D889:$V889=1)),0)+SUM(T586)+IF(COUNTIF(T$641:T889,1)=1,5,0)+IF(COUNTIF(U587:$Z587,"&gt;"&amp;0)&gt;5,IF(MOD(COUNTIF(T$641:T889,1),7)=0,$C$4,0),0)</f>
        <v>137.656257829764</v>
      </c>
      <c r="U587" s="81" cm="1">
        <f ca="1" t="array" ref="U587">IF(U889=1,OFFSET($Z$338,$B587,U$335-1)/SUMPRODUCT(--($D$335:$V$335=U$335),--($D889:$V889=1)),0)+SUM(U586)+IF(COUNTIF(U$641:U889,1)=1,5,0)+IF(COUNTIF(V587:$Z587,"&gt;"&amp;0)&gt;5,IF(MOD(COUNTIF(U$641:U889,1),7)=0,$C$4,0),0)</f>
        <v>97.6562578297643</v>
      </c>
      <c r="V587" s="81" cm="1">
        <f ca="1" t="array" ref="V587">IF(V889=1,OFFSET($Z$338,$B587,V$335-1)/SUMPRODUCT(--($D$335:$V$335=V$335),--($D889:$V889=1)),0)+SUM(V586)+IF(COUNTIF(V$641:V889,1)=1,5,0)+IF(COUNTIF(Z587:$Z587,"&gt;"&amp;0)&gt;5,IF(MOD(COUNTIF(V$641:V889,1),7)=0,$C$4,0),0)</f>
        <v>89.6984386404824</v>
      </c>
      <c r="W587" s="81" cm="1">
        <f ca="1" t="array" ref="W587">IF(W889=1,OFFSET($Z$338,$B587,W$335-1)/SUMPRODUCT(--($D$335:$V$335=W$335),--($D889:$V889=1)),0)+SUM(W586)+IF(COUNTIF(W$641:W889,1)=1,5,0)+IF(COUNTIF($Z587:AA587,"&gt;"&amp;0)&gt;5,IF(MOD(COUNTIF(W$641:W889,1),7)=0,$C$4,0),0)</f>
        <v>80.3425695255331</v>
      </c>
      <c r="X587" s="81" cm="1">
        <f ca="1" t="array" ref="X587">IF(X889=1,OFFSET($Z$338,$B587,X$335-1)/SUMPRODUCT(--($D$335:$V$335=X$335),--($D889:$V889=1)),0)+SUM(X586)+IF(COUNTIF(X$641:X889,1)=1,5,0)+IF(COUNTIF($Z587:AB587,"&gt;"&amp;0)&gt;5,IF(MOD(COUNTIF(X$641:X889,1),7)=0,$C$4,0),0)</f>
        <v>73.5789092348996</v>
      </c>
      <c r="Y587" s="81" cm="1">
        <f ca="1" t="array" ref="Y587">IF(Y889=1,OFFSET($Z$338,$B587,Y$335-1)/SUMPRODUCT(--($D$335:$V$335=Y$335),--($D889:$V889=1)),0)+SUM(Y586)+IF(COUNTIF(Y$641:Y889,1)=1,5,0)+IF(COUNTIF($Z587:AC587,"&gt;"&amp;0)&gt;5,IF(MOD(COUNTIF(Y$641:Y889,1),7)=0,$C$4,0),0)</f>
        <v>66.8152489442662</v>
      </c>
      <c r="Z587" s="82" cm="1">
        <f ca="1" t="array" ref="Z587">SUMPRODUCT(TRANSPOSE($AD587:$AJ587),OFFSET($L$10:$L$16,0,Z$335-1))</f>
        <v>0</v>
      </c>
      <c r="AA587" s="82" cm="1">
        <f ca="1" t="array" ref="AA587">SUMPRODUCT(TRANSPOSE($AD587:$AJ587),OFFSET($L$10:$L$16,0,AA$335-1))</f>
        <v>0</v>
      </c>
      <c r="AB587" s="82" cm="1">
        <f ca="1" t="array" ref="AB587">SUMPRODUCT(TRANSPOSE($AD587:$AJ587),OFFSET($L$10:$L$16,0,AB$335-1))</f>
        <v>0</v>
      </c>
      <c r="AC587" s="82" cm="1">
        <f ca="1" t="array" ref="AC587">SUMPRODUCT(TRANSPOSE($AD587:$AJ587),OFFSET($L$10:$L$16,0,AC$335-1))</f>
        <v>0</v>
      </c>
      <c r="AD587" s="83">
        <f ca="1" t="shared" ref="AD587:AJ587" si="823">AK587-AK586</f>
        <v>0</v>
      </c>
      <c r="AE587" s="83">
        <f ca="1" t="shared" si="823"/>
        <v>0</v>
      </c>
      <c r="AF587" s="83">
        <f ca="1" t="shared" si="823"/>
        <v>0</v>
      </c>
      <c r="AG587" s="83">
        <f ca="1" t="shared" si="823"/>
        <v>0</v>
      </c>
      <c r="AH587" s="83">
        <f ca="1" t="shared" si="823"/>
        <v>0</v>
      </c>
      <c r="AI587" s="83">
        <f ca="1" t="shared" si="823"/>
        <v>0</v>
      </c>
      <c r="AJ587" s="83">
        <f ca="1" t="shared" si="823"/>
        <v>0</v>
      </c>
      <c r="AK587" s="83">
        <f ca="1" t="shared" si="711"/>
        <v>450</v>
      </c>
      <c r="AL587" s="83">
        <f ca="1" t="shared" ref="AL587:AQ587" si="824">IF($C587&gt;OFFSET($Q$9,MATCH(AL$338,$AK$338:$AQ$338,0),0),OFFSET($P$9,MATCH(AL$338,$AK$338:$AQ$338,0),0),MAX(0,$C587-OFFSET($Q$9,RIGHT(AL$338,1)-1,0)))</f>
        <v>909</v>
      </c>
      <c r="AM587" s="83">
        <f ca="1" t="shared" si="824"/>
        <v>1818</v>
      </c>
      <c r="AN587" s="83">
        <f ca="1" t="shared" si="824"/>
        <v>2727</v>
      </c>
      <c r="AO587" s="83">
        <f ca="1" t="shared" si="824"/>
        <v>3636</v>
      </c>
      <c r="AP587" s="83">
        <f ca="1" t="shared" si="824"/>
        <v>4545</v>
      </c>
      <c r="AQ587" s="83">
        <f ca="1" t="shared" si="824"/>
        <v>0</v>
      </c>
    </row>
    <row r="588" ht="16.5" spans="2:43">
      <c r="B588" s="65">
        <v>250</v>
      </c>
      <c r="C588" s="80">
        <f t="shared" si="709"/>
        <v>28826</v>
      </c>
      <c r="D588" s="81" cm="1">
        <f ca="1" t="array" ref="D588">IF(D890=1,OFFSET($Z$338,$B588,D$335-1)/SUMPRODUCT(--($D$335:$V$335=D$335),--($D890:$V890=1)),0)+SUM(D587)+IF(COUNTIF(D$641:D890,1)=1,5,0)+IF(COUNTIF(E588:$Z588,"&gt;"&amp;0)&gt;5,IF(MOD(COUNTIF(D$641:D890,1),7)=0,$C$4,0),0)</f>
        <v>1293.82134856666</v>
      </c>
      <c r="E588" s="81" cm="1">
        <f ca="1" t="array" ref="E588">IF(E890=1,OFFSET($Z$338,$B588,E$335-1)/SUMPRODUCT(--($D$335:$V$335=E$335),--($D890:$V890=1)),0)+SUM(E587)+IF(COUNTIF(E$641:E890,1)=1,5,0)+IF(COUNTIF(F588:$Z588,"&gt;"&amp;0)&gt;5,IF(MOD(COUNTIF(E$641:E890,1),7)=0,$C$4,0),0)</f>
        <v>1293.82134856666</v>
      </c>
      <c r="F588" s="81" cm="1">
        <f ca="1" t="array" ref="F588">IF(F890=1,OFFSET($Z$338,$B588,F$335-1)/SUMPRODUCT(--($D$335:$V$335=F$335),--($D890:$V890=1)),0)+SUM(F587)+IF(COUNTIF(F$641:F890,1)=1,5,0)+IF(COUNTIF(G588:$Z588,"&gt;"&amp;0)&gt;5,IF(MOD(COUNTIF(F$641:F890,1),7)=0,$C$4,0),0)</f>
        <v>1293.82134856666</v>
      </c>
      <c r="G588" s="81" cm="1">
        <f ca="1" t="array" ref="G588">IF(G890=1,OFFSET($Z$338,$B588,G$335-1)/SUMPRODUCT(--($D$335:$V$335=G$335),--($D890:$V890=1)),0)+SUM(G587)+IF(COUNTIF(G$641:G890,1)=1,5,0)+IF(COUNTIF(H588:$Z588,"&gt;"&amp;0)&gt;5,IF(MOD(COUNTIF(G$641:G890,1),7)=0,$C$4,0),0)</f>
        <v>582.516666666668</v>
      </c>
      <c r="H588" s="81" cm="1">
        <f ca="1" t="array" ref="H588">IF(H890=1,OFFSET($Z$338,$B588,H$335-1)/SUMPRODUCT(--($D$335:$V$335=H$335),--($D890:$V890=1)),0)+SUM(H587)+IF(COUNTIF(H$641:H890,1)=1,5,0)+IF(COUNTIF(I588:$Z588,"&gt;"&amp;0)&gt;5,IF(MOD(COUNTIF(H$641:H890,1),7)=0,$C$4,0),0)</f>
        <v>582.516666666668</v>
      </c>
      <c r="I588" s="81" cm="1">
        <f ca="1" t="array" ref="I588">IF(I890=1,OFFSET($Z$338,$B588,I$335-1)/SUMPRODUCT(--($D$335:$V$335=I$335),--($D890:$V890=1)),0)+SUM(I587)+IF(COUNTIF(I$641:I890,1)=1,5,0)+IF(COUNTIF(J588:$Z588,"&gt;"&amp;0)&gt;5,IF(MOD(COUNTIF(I$641:I890,1),7)=0,$C$4,0),0)</f>
        <v>582.516666666668</v>
      </c>
      <c r="J588" s="81" cm="1">
        <f ca="1" t="array" ref="J588">IF(J890=1,OFFSET($Z$338,$B588,J$335-1)/SUMPRODUCT(--($D$335:$V$335=J$335),--($D890:$V890=1)),0)+SUM(J587)+IF(COUNTIF(J$641:J890,1)=1,5,0)+IF(COUNTIF(K588:$Z588,"&gt;"&amp;0)&gt;5,IF(MOD(COUNTIF(J$641:J890,1),7)=0,$C$4,0),0)</f>
        <v>582.516666666668</v>
      </c>
      <c r="K588" s="81" cm="1">
        <f ca="1" t="array" ref="K588">IF(K890=1,OFFSET($Z$338,$B588,K$335-1)/SUMPRODUCT(--($D$335:$V$335=K$335),--($D890:$V890=1)),0)+SUM(K587)+IF(COUNTIF(K$641:K890,1)=1,5,0)+IF(COUNTIF(L588:$Z588,"&gt;"&amp;0)&gt;5,IF(MOD(COUNTIF(K$641:K890,1),7)=0,$C$4,0),0)</f>
        <v>582.516666666668</v>
      </c>
      <c r="L588" s="81" cm="1">
        <f ca="1" t="array" ref="L588">IF(L890=1,OFFSET($Z$338,$B588,L$335-1)/SUMPRODUCT(--($D$335:$V$335=L$335),--($D890:$V890=1)),0)+SUM(L587)+IF(COUNTIF(L$641:L890,1)=1,5,0)+IF(COUNTIF(M588:$Z588,"&gt;"&amp;0)&gt;5,IF(MOD(COUNTIF(L$641:L890,1),7)=0,$C$4,0),0)</f>
        <v>575.816666666668</v>
      </c>
      <c r="M588" s="81" cm="1">
        <f ca="1" t="array" ref="M588">IF(M890=1,OFFSET($Z$338,$B588,M$335-1)/SUMPRODUCT(--($D$335:$V$335=M$335),--($D890:$V890=1)),0)+SUM(M587)+IF(COUNTIF(M$641:M890,1)=1,5,0)+IF(COUNTIF(N588:$Z588,"&gt;"&amp;0)&gt;5,IF(MOD(COUNTIF(M$641:M890,1),7)=0,$C$4,0),0)</f>
        <v>330.644107142858</v>
      </c>
      <c r="N588" s="81" cm="1">
        <f ca="1" t="array" ref="N588">IF(N890=1,OFFSET($Z$338,$B588,N$335-1)/SUMPRODUCT(--($D$335:$V$335=N$335),--($D890:$V890=1)),0)+SUM(N587)+IF(COUNTIF(N$641:N890,1)=1,5,0)+IF(COUNTIF(O588:$Z588,"&gt;"&amp;0)&gt;5,IF(MOD(COUNTIF(N$641:N890,1),7)=0,$C$4,0),0)</f>
        <v>322.919107142858</v>
      </c>
      <c r="O588" s="81" cm="1">
        <f ca="1" t="array" ref="O588">IF(O890=1,OFFSET($Z$338,$B588,O$335-1)/SUMPRODUCT(--($D$335:$V$335=O$335),--($D890:$V890=1)),0)+SUM(O587)+IF(COUNTIF(O$641:O890,1)=1,5,0)+IF(COUNTIF(P588:$Z588,"&gt;"&amp;0)&gt;5,IF(MOD(COUNTIF(O$641:O890,1),7)=0,$C$4,0),0)</f>
        <v>320.494107142858</v>
      </c>
      <c r="P588" s="81" cm="1">
        <f ca="1" t="array" ref="P588">IF(P890=1,OFFSET($Z$338,$B588,P$335-1)/SUMPRODUCT(--($D$335:$V$335=P$335),--($D890:$V890=1)),0)+SUM(P587)+IF(COUNTIF(P$641:P890,1)=1,5,0)+IF(COUNTIF(Q588:$Z588,"&gt;"&amp;0)&gt;5,IF(MOD(COUNTIF(P$641:P890,1),7)=0,$C$4,0),0)</f>
        <v>317.560773809524</v>
      </c>
      <c r="Q588" s="81" cm="1">
        <f ca="1" t="array" ref="Q588">IF(Q890=1,OFFSET($Z$338,$B588,Q$335-1)/SUMPRODUCT(--($D$335:$V$335=Q$335),--($D890:$V890=1)),0)+SUM(Q587)+IF(COUNTIF(Q$641:Q890,1)=1,5,0)+IF(COUNTIF(R588:$Z588,"&gt;"&amp;0)&gt;5,IF(MOD(COUNTIF(Q$641:Q890,1),7)=0,$C$4,0),0)</f>
        <v>311.654523809524</v>
      </c>
      <c r="R588" s="81" cm="1">
        <f ca="1" t="array" ref="R588">IF(R890=1,OFFSET($Z$338,$B588,R$335-1)/SUMPRODUCT(--($D$335:$V$335=R$335),--($D890:$V890=1)),0)+SUM(R587)+IF(COUNTIF(R$641:R890,1)=1,5,0)+IF(COUNTIF(S588:$Z588,"&gt;"&amp;0)&gt;5,IF(MOD(COUNTIF(R$641:R890,1),7)=0,$C$4,0),0)</f>
        <v>286.759523809524</v>
      </c>
      <c r="S588" s="81" cm="1">
        <f ca="1" t="array" ref="S588">IF(S890=1,OFFSET($Z$338,$B588,S$335-1)/SUMPRODUCT(--($D$335:$V$335=S$335),--($D890:$V890=1)),0)+SUM(S587)+IF(COUNTIF(S$641:S890,1)=1,5,0)+IF(COUNTIF(T588:$Z588,"&gt;"&amp;0)&gt;5,IF(MOD(COUNTIF(S$641:S890,1),7)=0,$C$4,0),0)</f>
        <v>282.592857142857</v>
      </c>
      <c r="T588" s="81" cm="1">
        <f ca="1" t="array" ref="T588">IF(T890=1,OFFSET($Z$338,$B588,T$335-1)/SUMPRODUCT(--($D$335:$V$335=T$335),--($D890:$V890=1)),0)+SUM(T587)+IF(COUNTIF(T$641:T890,1)=1,5,0)+IF(COUNTIF(U588:$Z588,"&gt;"&amp;0)&gt;5,IF(MOD(COUNTIF(T$641:T890,1),7)=0,$C$4,0),0)</f>
        <v>137.656257829764</v>
      </c>
      <c r="U588" s="81" cm="1">
        <f ca="1" t="array" ref="U588">IF(U890=1,OFFSET($Z$338,$B588,U$335-1)/SUMPRODUCT(--($D$335:$V$335=U$335),--($D890:$V890=1)),0)+SUM(U587)+IF(COUNTIF(U$641:U890,1)=1,5,0)+IF(COUNTIF(V588:$Z588,"&gt;"&amp;0)&gt;5,IF(MOD(COUNTIF(U$641:U890,1),7)=0,$C$4,0),0)</f>
        <v>97.6562578297643</v>
      </c>
      <c r="V588" s="81" cm="1">
        <f ca="1" t="array" ref="V588">IF(V890=1,OFFSET($Z$338,$B588,V$335-1)/SUMPRODUCT(--($D$335:$V$335=V$335),--($D890:$V890=1)),0)+SUM(V587)+IF(COUNTIF(V$641:V890,1)=1,5,0)+IF(COUNTIF(Z588:$Z588,"&gt;"&amp;0)&gt;5,IF(MOD(COUNTIF(V$641:V890,1),7)=0,$C$4,0),0)</f>
        <v>89.6984386404824</v>
      </c>
      <c r="W588" s="81" cm="1">
        <f ca="1" t="array" ref="W588">IF(W890=1,OFFSET($Z$338,$B588,W$335-1)/SUMPRODUCT(--($D$335:$V$335=W$335),--($D890:$V890=1)),0)+SUM(W587)+IF(COUNTIF(W$641:W890,1)=1,5,0)+IF(COUNTIF($Z588:AA588,"&gt;"&amp;0)&gt;5,IF(MOD(COUNTIF(W$641:W890,1),7)=0,$C$4,0),0)</f>
        <v>80.3425695255331</v>
      </c>
      <c r="X588" s="81" cm="1">
        <f ca="1" t="array" ref="X588">IF(X890=1,OFFSET($Z$338,$B588,X$335-1)/SUMPRODUCT(--($D$335:$V$335=X$335),--($D890:$V890=1)),0)+SUM(X587)+IF(COUNTIF(X$641:X890,1)=1,5,0)+IF(COUNTIF($Z588:AB588,"&gt;"&amp;0)&gt;5,IF(MOD(COUNTIF(X$641:X890,1),7)=0,$C$4,0),0)</f>
        <v>73.5789092348996</v>
      </c>
      <c r="Y588" s="81" cm="1">
        <f ca="1" t="array" ref="Y588">IF(Y890=1,OFFSET($Z$338,$B588,Y$335-1)/SUMPRODUCT(--($D$335:$V$335=Y$335),--($D890:$V890=1)),0)+SUM(Y587)+IF(COUNTIF(Y$641:Y890,1)=1,5,0)+IF(COUNTIF($Z588:AC588,"&gt;"&amp;0)&gt;5,IF(MOD(COUNTIF(Y$641:Y890,1),7)=0,$C$4,0),0)</f>
        <v>66.8152489442662</v>
      </c>
      <c r="Z588" s="82" cm="1">
        <f ca="1" t="array" ref="Z588">SUMPRODUCT(TRANSPOSE($AD588:$AJ588),OFFSET($L$10:$L$16,0,Z$335-1))</f>
        <v>0</v>
      </c>
      <c r="AA588" s="82" cm="1">
        <f ca="1" t="array" ref="AA588">SUMPRODUCT(TRANSPOSE($AD588:$AJ588),OFFSET($L$10:$L$16,0,AA$335-1))</f>
        <v>0</v>
      </c>
      <c r="AB588" s="82" cm="1">
        <f ca="1" t="array" ref="AB588">SUMPRODUCT(TRANSPOSE($AD588:$AJ588),OFFSET($L$10:$L$16,0,AB$335-1))</f>
        <v>0</v>
      </c>
      <c r="AC588" s="82" cm="1">
        <f ca="1" t="array" ref="AC588">SUMPRODUCT(TRANSPOSE($AD588:$AJ588),OFFSET($L$10:$L$16,0,AC$335-1))</f>
        <v>0</v>
      </c>
      <c r="AD588" s="83">
        <f ca="1" t="shared" ref="AD588:AJ588" si="825">AK588-AK587</f>
        <v>0</v>
      </c>
      <c r="AE588" s="83">
        <f ca="1" t="shared" si="825"/>
        <v>0</v>
      </c>
      <c r="AF588" s="83">
        <f ca="1" t="shared" si="825"/>
        <v>0</v>
      </c>
      <c r="AG588" s="83">
        <f ca="1" t="shared" si="825"/>
        <v>0</v>
      </c>
      <c r="AH588" s="83">
        <f ca="1" t="shared" si="825"/>
        <v>0</v>
      </c>
      <c r="AI588" s="83">
        <f ca="1" t="shared" si="825"/>
        <v>0</v>
      </c>
      <c r="AJ588" s="83">
        <f ca="1" t="shared" si="825"/>
        <v>0</v>
      </c>
      <c r="AK588" s="83">
        <f ca="1" t="shared" si="711"/>
        <v>450</v>
      </c>
      <c r="AL588" s="83">
        <f ca="1" t="shared" ref="AL588:AQ588" si="826">IF($C588&gt;OFFSET($Q$9,MATCH(AL$338,$AK$338:$AQ$338,0),0),OFFSET($P$9,MATCH(AL$338,$AK$338:$AQ$338,0),0),MAX(0,$C588-OFFSET($Q$9,RIGHT(AL$338,1)-1,0)))</f>
        <v>909</v>
      </c>
      <c r="AM588" s="83">
        <f ca="1" t="shared" si="826"/>
        <v>1818</v>
      </c>
      <c r="AN588" s="83">
        <f ca="1" t="shared" si="826"/>
        <v>2727</v>
      </c>
      <c r="AO588" s="83">
        <f ca="1" t="shared" si="826"/>
        <v>3636</v>
      </c>
      <c r="AP588" s="83">
        <f ca="1" t="shared" si="826"/>
        <v>4545</v>
      </c>
      <c r="AQ588" s="83">
        <f ca="1" t="shared" si="826"/>
        <v>0</v>
      </c>
    </row>
    <row r="589" ht="16.5" spans="2:43">
      <c r="B589" s="65">
        <v>251</v>
      </c>
      <c r="C589" s="80">
        <f t="shared" si="709"/>
        <v>28936</v>
      </c>
      <c r="D589" s="81" cm="1">
        <f ca="1" t="array" ref="D589">IF(D891=1,OFFSET($Z$338,$B589,D$335-1)/SUMPRODUCT(--($D$335:$V$335=D$335),--($D891:$V891=1)),0)+SUM(D588)+IF(COUNTIF(D$641:D891,1)=1,5,0)+IF(COUNTIF(E589:$Z589,"&gt;"&amp;0)&gt;5,IF(MOD(COUNTIF(D$641:D891,1),7)=0,$C$4,0),0)</f>
        <v>1293.82134856666</v>
      </c>
      <c r="E589" s="81" cm="1">
        <f ca="1" t="array" ref="E589">IF(E891=1,OFFSET($Z$338,$B589,E$335-1)/SUMPRODUCT(--($D$335:$V$335=E$335),--($D891:$V891=1)),0)+SUM(E588)+IF(COUNTIF(E$641:E891,1)=1,5,0)+IF(COUNTIF(F589:$Z589,"&gt;"&amp;0)&gt;5,IF(MOD(COUNTIF(E$641:E891,1),7)=0,$C$4,0),0)</f>
        <v>1293.82134856666</v>
      </c>
      <c r="F589" s="81" cm="1">
        <f ca="1" t="array" ref="F589">IF(F891=1,OFFSET($Z$338,$B589,F$335-1)/SUMPRODUCT(--($D$335:$V$335=F$335),--($D891:$V891=1)),0)+SUM(F588)+IF(COUNTIF(F$641:F891,1)=1,5,0)+IF(COUNTIF(G589:$Z589,"&gt;"&amp;0)&gt;5,IF(MOD(COUNTIF(F$641:F891,1),7)=0,$C$4,0),0)</f>
        <v>1293.82134856666</v>
      </c>
      <c r="G589" s="81" cm="1">
        <f ca="1" t="array" ref="G589">IF(G891=1,OFFSET($Z$338,$B589,G$335-1)/SUMPRODUCT(--($D$335:$V$335=G$335),--($D891:$V891=1)),0)+SUM(G588)+IF(COUNTIF(G$641:G891,1)=1,5,0)+IF(COUNTIF(H589:$Z589,"&gt;"&amp;0)&gt;5,IF(MOD(COUNTIF(G$641:G891,1),7)=0,$C$4,0),0)</f>
        <v>582.516666666668</v>
      </c>
      <c r="H589" s="81" cm="1">
        <f ca="1" t="array" ref="H589">IF(H891=1,OFFSET($Z$338,$B589,H$335-1)/SUMPRODUCT(--($D$335:$V$335=H$335),--($D891:$V891=1)),0)+SUM(H588)+IF(COUNTIF(H$641:H891,1)=1,5,0)+IF(COUNTIF(I589:$Z589,"&gt;"&amp;0)&gt;5,IF(MOD(COUNTIF(H$641:H891,1),7)=0,$C$4,0),0)</f>
        <v>582.516666666668</v>
      </c>
      <c r="I589" s="81" cm="1">
        <f ca="1" t="array" ref="I589">IF(I891=1,OFFSET($Z$338,$B589,I$335-1)/SUMPRODUCT(--($D$335:$V$335=I$335),--($D891:$V891=1)),0)+SUM(I588)+IF(COUNTIF(I$641:I891,1)=1,5,0)+IF(COUNTIF(J589:$Z589,"&gt;"&amp;0)&gt;5,IF(MOD(COUNTIF(I$641:I891,1),7)=0,$C$4,0),0)</f>
        <v>582.516666666668</v>
      </c>
      <c r="J589" s="81" cm="1">
        <f ca="1" t="array" ref="J589">IF(J891=1,OFFSET($Z$338,$B589,J$335-1)/SUMPRODUCT(--($D$335:$V$335=J$335),--($D891:$V891=1)),0)+SUM(J588)+IF(COUNTIF(J$641:J891,1)=1,5,0)+IF(COUNTIF(K589:$Z589,"&gt;"&amp;0)&gt;5,IF(MOD(COUNTIF(J$641:J891,1),7)=0,$C$4,0),0)</f>
        <v>582.516666666668</v>
      </c>
      <c r="K589" s="81" cm="1">
        <f ca="1" t="array" ref="K589">IF(K891=1,OFFSET($Z$338,$B589,K$335-1)/SUMPRODUCT(--($D$335:$V$335=K$335),--($D891:$V891=1)),0)+SUM(K588)+IF(COUNTIF(K$641:K891,1)=1,5,0)+IF(COUNTIF(L589:$Z589,"&gt;"&amp;0)&gt;5,IF(MOD(COUNTIF(K$641:K891,1),7)=0,$C$4,0),0)</f>
        <v>582.516666666668</v>
      </c>
      <c r="L589" s="81" cm="1">
        <f ca="1" t="array" ref="L589">IF(L891=1,OFFSET($Z$338,$B589,L$335-1)/SUMPRODUCT(--($D$335:$V$335=L$335),--($D891:$V891=1)),0)+SUM(L588)+IF(COUNTIF(L$641:L891,1)=1,5,0)+IF(COUNTIF(M589:$Z589,"&gt;"&amp;0)&gt;5,IF(MOD(COUNTIF(L$641:L891,1),7)=0,$C$4,0),0)</f>
        <v>575.816666666668</v>
      </c>
      <c r="M589" s="81" cm="1">
        <f ca="1" t="array" ref="M589">IF(M891=1,OFFSET($Z$338,$B589,M$335-1)/SUMPRODUCT(--($D$335:$V$335=M$335),--($D891:$V891=1)),0)+SUM(M588)+IF(COUNTIF(M$641:M891,1)=1,5,0)+IF(COUNTIF(N589:$Z589,"&gt;"&amp;0)&gt;5,IF(MOD(COUNTIF(M$641:M891,1),7)=0,$C$4,0),0)</f>
        <v>330.644107142858</v>
      </c>
      <c r="N589" s="81" cm="1">
        <f ca="1" t="array" ref="N589">IF(N891=1,OFFSET($Z$338,$B589,N$335-1)/SUMPRODUCT(--($D$335:$V$335=N$335),--($D891:$V891=1)),0)+SUM(N588)+IF(COUNTIF(N$641:N891,1)=1,5,0)+IF(COUNTIF(O589:$Z589,"&gt;"&amp;0)&gt;5,IF(MOD(COUNTIF(N$641:N891,1),7)=0,$C$4,0),0)</f>
        <v>322.919107142858</v>
      </c>
      <c r="O589" s="81" cm="1">
        <f ca="1" t="array" ref="O589">IF(O891=1,OFFSET($Z$338,$B589,O$335-1)/SUMPRODUCT(--($D$335:$V$335=O$335),--($D891:$V891=1)),0)+SUM(O588)+IF(COUNTIF(O$641:O891,1)=1,5,0)+IF(COUNTIF(P589:$Z589,"&gt;"&amp;0)&gt;5,IF(MOD(COUNTIF(O$641:O891,1),7)=0,$C$4,0),0)</f>
        <v>320.494107142858</v>
      </c>
      <c r="P589" s="81" cm="1">
        <f ca="1" t="array" ref="P589">IF(P891=1,OFFSET($Z$338,$B589,P$335-1)/SUMPRODUCT(--($D$335:$V$335=P$335),--($D891:$V891=1)),0)+SUM(P588)+IF(COUNTIF(P$641:P891,1)=1,5,0)+IF(COUNTIF(Q589:$Z589,"&gt;"&amp;0)&gt;5,IF(MOD(COUNTIF(P$641:P891,1),7)=0,$C$4,0),0)</f>
        <v>317.560773809524</v>
      </c>
      <c r="Q589" s="81" cm="1">
        <f ca="1" t="array" ref="Q589">IF(Q891=1,OFFSET($Z$338,$B589,Q$335-1)/SUMPRODUCT(--($D$335:$V$335=Q$335),--($D891:$V891=1)),0)+SUM(Q588)+IF(COUNTIF(Q$641:Q891,1)=1,5,0)+IF(COUNTIF(R589:$Z589,"&gt;"&amp;0)&gt;5,IF(MOD(COUNTIF(Q$641:Q891,1),7)=0,$C$4,0),0)</f>
        <v>316.654523809524</v>
      </c>
      <c r="R589" s="81" cm="1">
        <f ca="1" t="array" ref="R589">IF(R891=1,OFFSET($Z$338,$B589,R$335-1)/SUMPRODUCT(--($D$335:$V$335=R$335),--($D891:$V891=1)),0)+SUM(R588)+IF(COUNTIF(R$641:R891,1)=1,5,0)+IF(COUNTIF(S589:$Z589,"&gt;"&amp;0)&gt;5,IF(MOD(COUNTIF(R$641:R891,1),7)=0,$C$4,0),0)</f>
        <v>286.759523809524</v>
      </c>
      <c r="S589" s="81" cm="1">
        <f ca="1" t="array" ref="S589">IF(S891=1,OFFSET($Z$338,$B589,S$335-1)/SUMPRODUCT(--($D$335:$V$335=S$335),--($D891:$V891=1)),0)+SUM(S588)+IF(COUNTIF(S$641:S891,1)=1,5,0)+IF(COUNTIF(T589:$Z589,"&gt;"&amp;0)&gt;5,IF(MOD(COUNTIF(S$641:S891,1),7)=0,$C$4,0),0)</f>
        <v>282.592857142857</v>
      </c>
      <c r="T589" s="81" cm="1">
        <f ca="1" t="array" ref="T589">IF(T891=1,OFFSET($Z$338,$B589,T$335-1)/SUMPRODUCT(--($D$335:$V$335=T$335),--($D891:$V891=1)),0)+SUM(T588)+IF(COUNTIF(T$641:T891,1)=1,5,0)+IF(COUNTIF(U589:$Z589,"&gt;"&amp;0)&gt;5,IF(MOD(COUNTIF(T$641:T891,1),7)=0,$C$4,0),0)</f>
        <v>137.656257829764</v>
      </c>
      <c r="U589" s="81" cm="1">
        <f ca="1" t="array" ref="U589">IF(U891=1,OFFSET($Z$338,$B589,U$335-1)/SUMPRODUCT(--($D$335:$V$335=U$335),--($D891:$V891=1)),0)+SUM(U588)+IF(COUNTIF(U$641:U891,1)=1,5,0)+IF(COUNTIF(V589:$Z589,"&gt;"&amp;0)&gt;5,IF(MOD(COUNTIF(U$641:U891,1),7)=0,$C$4,0),0)</f>
        <v>97.6562578297643</v>
      </c>
      <c r="V589" s="81" cm="1">
        <f ca="1" t="array" ref="V589">IF(V891=1,OFFSET($Z$338,$B589,V$335-1)/SUMPRODUCT(--($D$335:$V$335=V$335),--($D891:$V891=1)),0)+SUM(V588)+IF(COUNTIF(V$641:V891,1)=1,5,0)+IF(COUNTIF(Z589:$Z589,"&gt;"&amp;0)&gt;5,IF(MOD(COUNTIF(V$641:V891,1),7)=0,$C$4,0),0)</f>
        <v>89.6984386404824</v>
      </c>
      <c r="W589" s="81" cm="1">
        <f ca="1" t="array" ref="W589">IF(W891=1,OFFSET($Z$338,$B589,W$335-1)/SUMPRODUCT(--($D$335:$V$335=W$335),--($D891:$V891=1)),0)+SUM(W588)+IF(COUNTIF(W$641:W891,1)=1,5,0)+IF(COUNTIF($Z589:AA589,"&gt;"&amp;0)&gt;5,IF(MOD(COUNTIF(W$641:W891,1),7)=0,$C$4,0),0)</f>
        <v>80.3425695255331</v>
      </c>
      <c r="X589" s="81" cm="1">
        <f ca="1" t="array" ref="X589">IF(X891=1,OFFSET($Z$338,$B589,X$335-1)/SUMPRODUCT(--($D$335:$V$335=X$335),--($D891:$V891=1)),0)+SUM(X588)+IF(COUNTIF(X$641:X891,1)=1,5,0)+IF(COUNTIF($Z589:AB589,"&gt;"&amp;0)&gt;5,IF(MOD(COUNTIF(X$641:X891,1),7)=0,$C$4,0),0)</f>
        <v>73.5789092348996</v>
      </c>
      <c r="Y589" s="81" cm="1">
        <f ca="1" t="array" ref="Y589">IF(Y891=1,OFFSET($Z$338,$B589,Y$335-1)/SUMPRODUCT(--($D$335:$V$335=Y$335),--($D891:$V891=1)),0)+SUM(Y588)+IF(COUNTIF(Y$641:Y891,1)=1,5,0)+IF(COUNTIF($Z589:AC589,"&gt;"&amp;0)&gt;5,IF(MOD(COUNTIF(Y$641:Y891,1),7)=0,$C$4,0),0)</f>
        <v>66.8152489442662</v>
      </c>
      <c r="Z589" s="82" cm="1">
        <f ca="1" t="array" ref="Z589">SUMPRODUCT(TRANSPOSE($AD589:$AJ589),OFFSET($L$10:$L$16,0,Z$335-1))</f>
        <v>0</v>
      </c>
      <c r="AA589" s="82" cm="1">
        <f ca="1" t="array" ref="AA589">SUMPRODUCT(TRANSPOSE($AD589:$AJ589),OFFSET($L$10:$L$16,0,AA$335-1))</f>
        <v>0</v>
      </c>
      <c r="AB589" s="82" cm="1">
        <f ca="1" t="array" ref="AB589">SUMPRODUCT(TRANSPOSE($AD589:$AJ589),OFFSET($L$10:$L$16,0,AB$335-1))</f>
        <v>0</v>
      </c>
      <c r="AC589" s="82" cm="1">
        <f ca="1" t="array" ref="AC589">SUMPRODUCT(TRANSPOSE($AD589:$AJ589),OFFSET($L$10:$L$16,0,AC$335-1))</f>
        <v>0</v>
      </c>
      <c r="AD589" s="83">
        <f ca="1" t="shared" ref="AD589:AJ589" si="827">AK589-AK588</f>
        <v>0</v>
      </c>
      <c r="AE589" s="83">
        <f ca="1" t="shared" si="827"/>
        <v>0</v>
      </c>
      <c r="AF589" s="83">
        <f ca="1" t="shared" si="827"/>
        <v>0</v>
      </c>
      <c r="AG589" s="83">
        <f ca="1" t="shared" si="827"/>
        <v>0</v>
      </c>
      <c r="AH589" s="83">
        <f ca="1" t="shared" si="827"/>
        <v>0</v>
      </c>
      <c r="AI589" s="83">
        <f ca="1" t="shared" si="827"/>
        <v>0</v>
      </c>
      <c r="AJ589" s="83">
        <f ca="1" t="shared" si="827"/>
        <v>0</v>
      </c>
      <c r="AK589" s="83">
        <f ca="1" t="shared" si="711"/>
        <v>450</v>
      </c>
      <c r="AL589" s="83">
        <f ca="1" t="shared" ref="AL589:AQ589" si="828">IF($C589&gt;OFFSET($Q$9,MATCH(AL$338,$AK$338:$AQ$338,0),0),OFFSET($P$9,MATCH(AL$338,$AK$338:$AQ$338,0),0),MAX(0,$C589-OFFSET($Q$9,RIGHT(AL$338,1)-1,0)))</f>
        <v>909</v>
      </c>
      <c r="AM589" s="83">
        <f ca="1" t="shared" si="828"/>
        <v>1818</v>
      </c>
      <c r="AN589" s="83">
        <f ca="1" t="shared" si="828"/>
        <v>2727</v>
      </c>
      <c r="AO589" s="83">
        <f ca="1" t="shared" si="828"/>
        <v>3636</v>
      </c>
      <c r="AP589" s="83">
        <f ca="1" t="shared" si="828"/>
        <v>4545</v>
      </c>
      <c r="AQ589" s="83">
        <f ca="1" t="shared" si="828"/>
        <v>0</v>
      </c>
    </row>
    <row r="590" ht="16.5" spans="2:43">
      <c r="B590" s="65">
        <v>252</v>
      </c>
      <c r="C590" s="80">
        <f t="shared" si="709"/>
        <v>29046</v>
      </c>
      <c r="D590" s="81" cm="1">
        <f ca="1" t="array" ref="D590">IF(D892=1,OFFSET($Z$338,$B590,D$335-1)/SUMPRODUCT(--($D$335:$V$335=D$335),--($D892:$V892=1)),0)+SUM(D589)+IF(COUNTIF(D$641:D892,1)=1,5,0)+IF(COUNTIF(E590:$Z590,"&gt;"&amp;0)&gt;5,IF(MOD(COUNTIF(D$641:D892,1),7)=0,$C$4,0),0)</f>
        <v>1298.82134856666</v>
      </c>
      <c r="E590" s="81" cm="1">
        <f ca="1" t="array" ref="E590">IF(E892=1,OFFSET($Z$338,$B590,E$335-1)/SUMPRODUCT(--($D$335:$V$335=E$335),--($D892:$V892=1)),0)+SUM(E589)+IF(COUNTIF(E$641:E892,1)=1,5,0)+IF(COUNTIF(F590:$Z590,"&gt;"&amp;0)&gt;5,IF(MOD(COUNTIF(E$641:E892,1),7)=0,$C$4,0),0)</f>
        <v>1298.82134856666</v>
      </c>
      <c r="F590" s="81" cm="1">
        <f ca="1" t="array" ref="F590">IF(F892=1,OFFSET($Z$338,$B590,F$335-1)/SUMPRODUCT(--($D$335:$V$335=F$335),--($D892:$V892=1)),0)+SUM(F589)+IF(COUNTIF(F$641:F892,1)=1,5,0)+IF(COUNTIF(G590:$Z590,"&gt;"&amp;0)&gt;5,IF(MOD(COUNTIF(F$641:F892,1),7)=0,$C$4,0),0)</f>
        <v>1298.82134856666</v>
      </c>
      <c r="G590" s="81" cm="1">
        <f ca="1" t="array" ref="G590">IF(G892=1,OFFSET($Z$338,$B590,G$335-1)/SUMPRODUCT(--($D$335:$V$335=G$335),--($D892:$V892=1)),0)+SUM(G589)+IF(COUNTIF(G$641:G892,1)=1,5,0)+IF(COUNTIF(H590:$Z590,"&gt;"&amp;0)&gt;5,IF(MOD(COUNTIF(G$641:G892,1),7)=0,$C$4,0),0)</f>
        <v>587.516666666668</v>
      </c>
      <c r="H590" s="81" cm="1">
        <f ca="1" t="array" ref="H590">IF(H892=1,OFFSET($Z$338,$B590,H$335-1)/SUMPRODUCT(--($D$335:$V$335=H$335),--($D892:$V892=1)),0)+SUM(H589)+IF(COUNTIF(H$641:H892,1)=1,5,0)+IF(COUNTIF(I590:$Z590,"&gt;"&amp;0)&gt;5,IF(MOD(COUNTIF(H$641:H892,1),7)=0,$C$4,0),0)</f>
        <v>587.516666666668</v>
      </c>
      <c r="I590" s="81" cm="1">
        <f ca="1" t="array" ref="I590">IF(I892=1,OFFSET($Z$338,$B590,I$335-1)/SUMPRODUCT(--($D$335:$V$335=I$335),--($D892:$V892=1)),0)+SUM(I589)+IF(COUNTIF(I$641:I892,1)=1,5,0)+IF(COUNTIF(J590:$Z590,"&gt;"&amp;0)&gt;5,IF(MOD(COUNTIF(I$641:I892,1),7)=0,$C$4,0),0)</f>
        <v>587.516666666668</v>
      </c>
      <c r="J590" s="81" cm="1">
        <f ca="1" t="array" ref="J590">IF(J892=1,OFFSET($Z$338,$B590,J$335-1)/SUMPRODUCT(--($D$335:$V$335=J$335),--($D892:$V892=1)),0)+SUM(J589)+IF(COUNTIF(J$641:J892,1)=1,5,0)+IF(COUNTIF(K590:$Z590,"&gt;"&amp;0)&gt;5,IF(MOD(COUNTIF(J$641:J892,1),7)=0,$C$4,0),0)</f>
        <v>587.516666666668</v>
      </c>
      <c r="K590" s="81" cm="1">
        <f ca="1" t="array" ref="K590">IF(K892=1,OFFSET($Z$338,$B590,K$335-1)/SUMPRODUCT(--($D$335:$V$335=K$335),--($D892:$V892=1)),0)+SUM(K589)+IF(COUNTIF(K$641:K892,1)=1,5,0)+IF(COUNTIF(L590:$Z590,"&gt;"&amp;0)&gt;5,IF(MOD(COUNTIF(K$641:K892,1),7)=0,$C$4,0),0)</f>
        <v>587.516666666668</v>
      </c>
      <c r="L590" s="81" cm="1">
        <f ca="1" t="array" ref="L590">IF(L892=1,OFFSET($Z$338,$B590,L$335-1)/SUMPRODUCT(--($D$335:$V$335=L$335),--($D892:$V892=1)),0)+SUM(L589)+IF(COUNTIF(L$641:L892,1)=1,5,0)+IF(COUNTIF(M590:$Z590,"&gt;"&amp;0)&gt;5,IF(MOD(COUNTIF(L$641:L892,1),7)=0,$C$4,0),0)</f>
        <v>575.816666666668</v>
      </c>
      <c r="M590" s="81" cm="1">
        <f ca="1" t="array" ref="M590">IF(M892=1,OFFSET($Z$338,$B590,M$335-1)/SUMPRODUCT(--($D$335:$V$335=M$335),--($D892:$V892=1)),0)+SUM(M589)+IF(COUNTIF(M$641:M892,1)=1,5,0)+IF(COUNTIF(N590:$Z590,"&gt;"&amp;0)&gt;5,IF(MOD(COUNTIF(M$641:M892,1),7)=0,$C$4,0),0)</f>
        <v>330.644107142858</v>
      </c>
      <c r="N590" s="81" cm="1">
        <f ca="1" t="array" ref="N590">IF(N892=1,OFFSET($Z$338,$B590,N$335-1)/SUMPRODUCT(--($D$335:$V$335=N$335),--($D892:$V892=1)),0)+SUM(N589)+IF(COUNTIF(N$641:N892,1)=1,5,0)+IF(COUNTIF(O590:$Z590,"&gt;"&amp;0)&gt;5,IF(MOD(COUNTIF(N$641:N892,1),7)=0,$C$4,0),0)</f>
        <v>322.919107142858</v>
      </c>
      <c r="O590" s="81" cm="1">
        <f ca="1" t="array" ref="O590">IF(O892=1,OFFSET($Z$338,$B590,O$335-1)/SUMPRODUCT(--($D$335:$V$335=O$335),--($D892:$V892=1)),0)+SUM(O589)+IF(COUNTIF(O$641:O892,1)=1,5,0)+IF(COUNTIF(P590:$Z590,"&gt;"&amp;0)&gt;5,IF(MOD(COUNTIF(O$641:O892,1),7)=0,$C$4,0),0)</f>
        <v>320.494107142858</v>
      </c>
      <c r="P590" s="81" cm="1">
        <f ca="1" t="array" ref="P590">IF(P892=1,OFFSET($Z$338,$B590,P$335-1)/SUMPRODUCT(--($D$335:$V$335=P$335),--($D892:$V892=1)),0)+SUM(P589)+IF(COUNTIF(P$641:P892,1)=1,5,0)+IF(COUNTIF(Q590:$Z590,"&gt;"&amp;0)&gt;5,IF(MOD(COUNTIF(P$641:P892,1),7)=0,$C$4,0),0)</f>
        <v>317.560773809524</v>
      </c>
      <c r="Q590" s="81" cm="1">
        <f ca="1" t="array" ref="Q590">IF(Q892=1,OFFSET($Z$338,$B590,Q$335-1)/SUMPRODUCT(--($D$335:$V$335=Q$335),--($D892:$V892=1)),0)+SUM(Q589)+IF(COUNTIF(Q$641:Q892,1)=1,5,0)+IF(COUNTIF(R590:$Z590,"&gt;"&amp;0)&gt;5,IF(MOD(COUNTIF(Q$641:Q892,1),7)=0,$C$4,0),0)</f>
        <v>316.654523809524</v>
      </c>
      <c r="R590" s="81" cm="1">
        <f ca="1" t="array" ref="R590">IF(R892=1,OFFSET($Z$338,$B590,R$335-1)/SUMPRODUCT(--($D$335:$V$335=R$335),--($D892:$V892=1)),0)+SUM(R589)+IF(COUNTIF(R$641:R892,1)=1,5,0)+IF(COUNTIF(S590:$Z590,"&gt;"&amp;0)&gt;5,IF(MOD(COUNTIF(R$641:R892,1),7)=0,$C$4,0),0)</f>
        <v>291.759523809524</v>
      </c>
      <c r="S590" s="81" cm="1">
        <f ca="1" t="array" ref="S590">IF(S892=1,OFFSET($Z$338,$B590,S$335-1)/SUMPRODUCT(--($D$335:$V$335=S$335),--($D892:$V892=1)),0)+SUM(S589)+IF(COUNTIF(S$641:S892,1)=1,5,0)+IF(COUNTIF(T590:$Z590,"&gt;"&amp;0)&gt;5,IF(MOD(COUNTIF(S$641:S892,1),7)=0,$C$4,0),0)</f>
        <v>282.592857142857</v>
      </c>
      <c r="T590" s="81" cm="1">
        <f ca="1" t="array" ref="T590">IF(T892=1,OFFSET($Z$338,$B590,T$335-1)/SUMPRODUCT(--($D$335:$V$335=T$335),--($D892:$V892=1)),0)+SUM(T589)+IF(COUNTIF(T$641:T892,1)=1,5,0)+IF(COUNTIF(U590:$Z590,"&gt;"&amp;0)&gt;5,IF(MOD(COUNTIF(T$641:T892,1),7)=0,$C$4,0),0)</f>
        <v>137.656257829764</v>
      </c>
      <c r="U590" s="81" cm="1">
        <f ca="1" t="array" ref="U590">IF(U892=1,OFFSET($Z$338,$B590,U$335-1)/SUMPRODUCT(--($D$335:$V$335=U$335),--($D892:$V892=1)),0)+SUM(U589)+IF(COUNTIF(U$641:U892,1)=1,5,0)+IF(COUNTIF(V590:$Z590,"&gt;"&amp;0)&gt;5,IF(MOD(COUNTIF(U$641:U892,1),7)=0,$C$4,0),0)</f>
        <v>97.6562578297643</v>
      </c>
      <c r="V590" s="81" cm="1">
        <f ca="1" t="array" ref="V590">IF(V892=1,OFFSET($Z$338,$B590,V$335-1)/SUMPRODUCT(--($D$335:$V$335=V$335),--($D892:$V892=1)),0)+SUM(V589)+IF(COUNTIF(V$641:V892,1)=1,5,0)+IF(COUNTIF(Z590:$Z590,"&gt;"&amp;0)&gt;5,IF(MOD(COUNTIF(V$641:V892,1),7)=0,$C$4,0),0)</f>
        <v>89.6984386404824</v>
      </c>
      <c r="W590" s="81" cm="1">
        <f ca="1" t="array" ref="W590">IF(W892=1,OFFSET($Z$338,$B590,W$335-1)/SUMPRODUCT(--($D$335:$V$335=W$335),--($D892:$V892=1)),0)+SUM(W589)+IF(COUNTIF(W$641:W892,1)=1,5,0)+IF(COUNTIF($Z590:AA590,"&gt;"&amp;0)&gt;5,IF(MOD(COUNTIF(W$641:W892,1),7)=0,$C$4,0),0)</f>
        <v>80.3425695255331</v>
      </c>
      <c r="X590" s="81" cm="1">
        <f ca="1" t="array" ref="X590">IF(X892=1,OFFSET($Z$338,$B590,X$335-1)/SUMPRODUCT(--($D$335:$V$335=X$335),--($D892:$V892=1)),0)+SUM(X589)+IF(COUNTIF(X$641:X892,1)=1,5,0)+IF(COUNTIF($Z590:AB590,"&gt;"&amp;0)&gt;5,IF(MOD(COUNTIF(X$641:X892,1),7)=0,$C$4,0),0)</f>
        <v>73.5789092348996</v>
      </c>
      <c r="Y590" s="81" cm="1">
        <f ca="1" t="array" ref="Y590">IF(Y892=1,OFFSET($Z$338,$B590,Y$335-1)/SUMPRODUCT(--($D$335:$V$335=Y$335),--($D892:$V892=1)),0)+SUM(Y589)+IF(COUNTIF(Y$641:Y892,1)=1,5,0)+IF(COUNTIF($Z590:AC590,"&gt;"&amp;0)&gt;5,IF(MOD(COUNTIF(Y$641:Y892,1),7)=0,$C$4,0),0)</f>
        <v>66.8152489442662</v>
      </c>
      <c r="Z590" s="82" cm="1">
        <f ca="1" t="array" ref="Z590">SUMPRODUCT(TRANSPOSE($AD590:$AJ590),OFFSET($L$10:$L$16,0,Z$335-1))</f>
        <v>0</v>
      </c>
      <c r="AA590" s="82" cm="1">
        <f ca="1" t="array" ref="AA590">SUMPRODUCT(TRANSPOSE($AD590:$AJ590),OFFSET($L$10:$L$16,0,AA$335-1))</f>
        <v>0</v>
      </c>
      <c r="AB590" s="82" cm="1">
        <f ca="1" t="array" ref="AB590">SUMPRODUCT(TRANSPOSE($AD590:$AJ590),OFFSET($L$10:$L$16,0,AB$335-1))</f>
        <v>0</v>
      </c>
      <c r="AC590" s="82" cm="1">
        <f ca="1" t="array" ref="AC590">SUMPRODUCT(TRANSPOSE($AD590:$AJ590),OFFSET($L$10:$L$16,0,AC$335-1))</f>
        <v>0</v>
      </c>
      <c r="AD590" s="83">
        <f ca="1" t="shared" ref="AD590:AJ590" si="829">AK590-AK589</f>
        <v>0</v>
      </c>
      <c r="AE590" s="83">
        <f ca="1" t="shared" si="829"/>
        <v>0</v>
      </c>
      <c r="AF590" s="83">
        <f ca="1" t="shared" si="829"/>
        <v>0</v>
      </c>
      <c r="AG590" s="83">
        <f ca="1" t="shared" si="829"/>
        <v>0</v>
      </c>
      <c r="AH590" s="83">
        <f ca="1" t="shared" si="829"/>
        <v>0</v>
      </c>
      <c r="AI590" s="83">
        <f ca="1" t="shared" si="829"/>
        <v>0</v>
      </c>
      <c r="AJ590" s="83">
        <f ca="1" t="shared" si="829"/>
        <v>0</v>
      </c>
      <c r="AK590" s="83">
        <f ca="1" t="shared" si="711"/>
        <v>450</v>
      </c>
      <c r="AL590" s="83">
        <f ca="1" t="shared" ref="AL590:AQ590" si="830">IF($C590&gt;OFFSET($Q$9,MATCH(AL$338,$AK$338:$AQ$338,0),0),OFFSET($P$9,MATCH(AL$338,$AK$338:$AQ$338,0),0),MAX(0,$C590-OFFSET($Q$9,RIGHT(AL$338,1)-1,0)))</f>
        <v>909</v>
      </c>
      <c r="AM590" s="83">
        <f ca="1" t="shared" si="830"/>
        <v>1818</v>
      </c>
      <c r="AN590" s="83">
        <f ca="1" t="shared" si="830"/>
        <v>2727</v>
      </c>
      <c r="AO590" s="83">
        <f ca="1" t="shared" si="830"/>
        <v>3636</v>
      </c>
      <c r="AP590" s="83">
        <f ca="1" t="shared" si="830"/>
        <v>4545</v>
      </c>
      <c r="AQ590" s="83">
        <f ca="1" t="shared" si="830"/>
        <v>0</v>
      </c>
    </row>
    <row r="591" ht="16.5" spans="2:43">
      <c r="B591" s="65">
        <v>253</v>
      </c>
      <c r="C591" s="80">
        <f t="shared" si="709"/>
        <v>29156</v>
      </c>
      <c r="D591" s="81" cm="1">
        <f ca="1" t="array" ref="D591">IF(D893=1,OFFSET($Z$338,$B591,D$335-1)/SUMPRODUCT(--($D$335:$V$335=D$335),--($D893:$V893=1)),0)+SUM(D590)+IF(COUNTIF(D$641:D893,1)=1,5,0)+IF(COUNTIF(E591:$Z591,"&gt;"&amp;0)&gt;5,IF(MOD(COUNTIF(D$641:D893,1),7)=0,$C$4,0),0)</f>
        <v>1298.82134856666</v>
      </c>
      <c r="E591" s="81" cm="1">
        <f ca="1" t="array" ref="E591">IF(E893=1,OFFSET($Z$338,$B591,E$335-1)/SUMPRODUCT(--($D$335:$V$335=E$335),--($D893:$V893=1)),0)+SUM(E590)+IF(COUNTIF(E$641:E893,1)=1,5,0)+IF(COUNTIF(F591:$Z591,"&gt;"&amp;0)&gt;5,IF(MOD(COUNTIF(E$641:E893,1),7)=0,$C$4,0),0)</f>
        <v>1298.82134856666</v>
      </c>
      <c r="F591" s="81" cm="1">
        <f ca="1" t="array" ref="F591">IF(F893=1,OFFSET($Z$338,$B591,F$335-1)/SUMPRODUCT(--($D$335:$V$335=F$335),--($D893:$V893=1)),0)+SUM(F590)+IF(COUNTIF(F$641:F893,1)=1,5,0)+IF(COUNTIF(G591:$Z591,"&gt;"&amp;0)&gt;5,IF(MOD(COUNTIF(F$641:F893,1),7)=0,$C$4,0),0)</f>
        <v>1298.82134856666</v>
      </c>
      <c r="G591" s="81" cm="1">
        <f ca="1" t="array" ref="G591">IF(G893=1,OFFSET($Z$338,$B591,G$335-1)/SUMPRODUCT(--($D$335:$V$335=G$335),--($D893:$V893=1)),0)+SUM(G590)+IF(COUNTIF(G$641:G893,1)=1,5,0)+IF(COUNTIF(H591:$Z591,"&gt;"&amp;0)&gt;5,IF(MOD(COUNTIF(G$641:G893,1),7)=0,$C$4,0),0)</f>
        <v>587.516666666668</v>
      </c>
      <c r="H591" s="81" cm="1">
        <f ca="1" t="array" ref="H591">IF(H893=1,OFFSET($Z$338,$B591,H$335-1)/SUMPRODUCT(--($D$335:$V$335=H$335),--($D893:$V893=1)),0)+SUM(H590)+IF(COUNTIF(H$641:H893,1)=1,5,0)+IF(COUNTIF(I591:$Z591,"&gt;"&amp;0)&gt;5,IF(MOD(COUNTIF(H$641:H893,1),7)=0,$C$4,0),0)</f>
        <v>587.516666666668</v>
      </c>
      <c r="I591" s="81" cm="1">
        <f ca="1" t="array" ref="I591">IF(I893=1,OFFSET($Z$338,$B591,I$335-1)/SUMPRODUCT(--($D$335:$V$335=I$335),--($D893:$V893=1)),0)+SUM(I590)+IF(COUNTIF(I$641:I893,1)=1,5,0)+IF(COUNTIF(J591:$Z591,"&gt;"&amp;0)&gt;5,IF(MOD(COUNTIF(I$641:I893,1),7)=0,$C$4,0),0)</f>
        <v>587.516666666668</v>
      </c>
      <c r="J591" s="81" cm="1">
        <f ca="1" t="array" ref="J591">IF(J893=1,OFFSET($Z$338,$B591,J$335-1)/SUMPRODUCT(--($D$335:$V$335=J$335),--($D893:$V893=1)),0)+SUM(J590)+IF(COUNTIF(J$641:J893,1)=1,5,0)+IF(COUNTIF(K591:$Z591,"&gt;"&amp;0)&gt;5,IF(MOD(COUNTIF(J$641:J893,1),7)=0,$C$4,0),0)</f>
        <v>587.516666666668</v>
      </c>
      <c r="K591" s="81" cm="1">
        <f ca="1" t="array" ref="K591">IF(K893=1,OFFSET($Z$338,$B591,K$335-1)/SUMPRODUCT(--($D$335:$V$335=K$335),--($D893:$V893=1)),0)+SUM(K590)+IF(COUNTIF(K$641:K893,1)=1,5,0)+IF(COUNTIF(L591:$Z591,"&gt;"&amp;0)&gt;5,IF(MOD(COUNTIF(K$641:K893,1),7)=0,$C$4,0),0)</f>
        <v>587.516666666668</v>
      </c>
      <c r="L591" s="81" cm="1">
        <f ca="1" t="array" ref="L591">IF(L893=1,OFFSET($Z$338,$B591,L$335-1)/SUMPRODUCT(--($D$335:$V$335=L$335),--($D893:$V893=1)),0)+SUM(L590)+IF(COUNTIF(L$641:L893,1)=1,5,0)+IF(COUNTIF(M591:$Z591,"&gt;"&amp;0)&gt;5,IF(MOD(COUNTIF(L$641:L893,1),7)=0,$C$4,0),0)</f>
        <v>580.816666666668</v>
      </c>
      <c r="M591" s="81" cm="1">
        <f ca="1" t="array" ref="M591">IF(M893=1,OFFSET($Z$338,$B591,M$335-1)/SUMPRODUCT(--($D$335:$V$335=M$335),--($D893:$V893=1)),0)+SUM(M590)+IF(COUNTIF(M$641:M893,1)=1,5,0)+IF(COUNTIF(N591:$Z591,"&gt;"&amp;0)&gt;5,IF(MOD(COUNTIF(M$641:M893,1),7)=0,$C$4,0),0)</f>
        <v>335.644107142858</v>
      </c>
      <c r="N591" s="81" cm="1">
        <f ca="1" t="array" ref="N591">IF(N893=1,OFFSET($Z$338,$B591,N$335-1)/SUMPRODUCT(--($D$335:$V$335=N$335),--($D893:$V893=1)),0)+SUM(N590)+IF(COUNTIF(N$641:N893,1)=1,5,0)+IF(COUNTIF(O591:$Z591,"&gt;"&amp;0)&gt;5,IF(MOD(COUNTIF(N$641:N893,1),7)=0,$C$4,0),0)</f>
        <v>322.919107142858</v>
      </c>
      <c r="O591" s="81" cm="1">
        <f ca="1" t="array" ref="O591">IF(O893=1,OFFSET($Z$338,$B591,O$335-1)/SUMPRODUCT(--($D$335:$V$335=O$335),--($D893:$V893=1)),0)+SUM(O590)+IF(COUNTIF(O$641:O893,1)=1,5,0)+IF(COUNTIF(P591:$Z591,"&gt;"&amp;0)&gt;5,IF(MOD(COUNTIF(O$641:O893,1),7)=0,$C$4,0),0)</f>
        <v>320.494107142858</v>
      </c>
      <c r="P591" s="81" cm="1">
        <f ca="1" t="array" ref="P591">IF(P893=1,OFFSET($Z$338,$B591,P$335-1)/SUMPRODUCT(--($D$335:$V$335=P$335),--($D893:$V893=1)),0)+SUM(P590)+IF(COUNTIF(P$641:P893,1)=1,5,0)+IF(COUNTIF(Q591:$Z591,"&gt;"&amp;0)&gt;5,IF(MOD(COUNTIF(P$641:P893,1),7)=0,$C$4,0),0)</f>
        <v>317.560773809524</v>
      </c>
      <c r="Q591" s="81" cm="1">
        <f ca="1" t="array" ref="Q591">IF(Q893=1,OFFSET($Z$338,$B591,Q$335-1)/SUMPRODUCT(--($D$335:$V$335=Q$335),--($D893:$V893=1)),0)+SUM(Q590)+IF(COUNTIF(Q$641:Q893,1)=1,5,0)+IF(COUNTIF(R591:$Z591,"&gt;"&amp;0)&gt;5,IF(MOD(COUNTIF(Q$641:Q893,1),7)=0,$C$4,0),0)</f>
        <v>316.654523809524</v>
      </c>
      <c r="R591" s="81" cm="1">
        <f ca="1" t="array" ref="R591">IF(R893=1,OFFSET($Z$338,$B591,R$335-1)/SUMPRODUCT(--($D$335:$V$335=R$335),--($D893:$V893=1)),0)+SUM(R590)+IF(COUNTIF(R$641:R893,1)=1,5,0)+IF(COUNTIF(S591:$Z591,"&gt;"&amp;0)&gt;5,IF(MOD(COUNTIF(R$641:R893,1),7)=0,$C$4,0),0)</f>
        <v>291.759523809524</v>
      </c>
      <c r="S591" s="81" cm="1">
        <f ca="1" t="array" ref="S591">IF(S893=1,OFFSET($Z$338,$B591,S$335-1)/SUMPRODUCT(--($D$335:$V$335=S$335),--($D893:$V893=1)),0)+SUM(S590)+IF(COUNTIF(S$641:S893,1)=1,5,0)+IF(COUNTIF(T591:$Z591,"&gt;"&amp;0)&gt;5,IF(MOD(COUNTIF(S$641:S893,1),7)=0,$C$4,0),0)</f>
        <v>282.592857142857</v>
      </c>
      <c r="T591" s="81" cm="1">
        <f ca="1" t="array" ref="T591">IF(T893=1,OFFSET($Z$338,$B591,T$335-1)/SUMPRODUCT(--($D$335:$V$335=T$335),--($D893:$V893=1)),0)+SUM(T590)+IF(COUNTIF(T$641:T893,1)=1,5,0)+IF(COUNTIF(U591:$Z591,"&gt;"&amp;0)&gt;5,IF(MOD(COUNTIF(T$641:T893,1),7)=0,$C$4,0),0)</f>
        <v>137.656257829764</v>
      </c>
      <c r="U591" s="81" cm="1">
        <f ca="1" t="array" ref="U591">IF(U893=1,OFFSET($Z$338,$B591,U$335-1)/SUMPRODUCT(--($D$335:$V$335=U$335),--($D893:$V893=1)),0)+SUM(U590)+IF(COUNTIF(U$641:U893,1)=1,5,0)+IF(COUNTIF(V591:$Z591,"&gt;"&amp;0)&gt;5,IF(MOD(COUNTIF(U$641:U893,1),7)=0,$C$4,0),0)</f>
        <v>97.6562578297643</v>
      </c>
      <c r="V591" s="81" cm="1">
        <f ca="1" t="array" ref="V591">IF(V893=1,OFFSET($Z$338,$B591,V$335-1)/SUMPRODUCT(--($D$335:$V$335=V$335),--($D893:$V893=1)),0)+SUM(V590)+IF(COUNTIF(V$641:V893,1)=1,5,0)+IF(COUNTIF(Z591:$Z591,"&gt;"&amp;0)&gt;5,IF(MOD(COUNTIF(V$641:V893,1),7)=0,$C$4,0),0)</f>
        <v>89.6984386404824</v>
      </c>
      <c r="W591" s="81" cm="1">
        <f ca="1" t="array" ref="W591">IF(W893=1,OFFSET($Z$338,$B591,W$335-1)/SUMPRODUCT(--($D$335:$V$335=W$335),--($D893:$V893=1)),0)+SUM(W590)+IF(COUNTIF(W$641:W893,1)=1,5,0)+IF(COUNTIF($Z591:AA591,"&gt;"&amp;0)&gt;5,IF(MOD(COUNTIF(W$641:W893,1),7)=0,$C$4,0),0)</f>
        <v>80.3425695255331</v>
      </c>
      <c r="X591" s="81" cm="1">
        <f ca="1" t="array" ref="X591">IF(X893=1,OFFSET($Z$338,$B591,X$335-1)/SUMPRODUCT(--($D$335:$V$335=X$335),--($D893:$V893=1)),0)+SUM(X590)+IF(COUNTIF(X$641:X893,1)=1,5,0)+IF(COUNTIF($Z591:AB591,"&gt;"&amp;0)&gt;5,IF(MOD(COUNTIF(X$641:X893,1),7)=0,$C$4,0),0)</f>
        <v>73.5789092348996</v>
      </c>
      <c r="Y591" s="81" cm="1">
        <f ca="1" t="array" ref="Y591">IF(Y893=1,OFFSET($Z$338,$B591,Y$335-1)/SUMPRODUCT(--($D$335:$V$335=Y$335),--($D893:$V893=1)),0)+SUM(Y590)+IF(COUNTIF(Y$641:Y893,1)=1,5,0)+IF(COUNTIF($Z591:AC591,"&gt;"&amp;0)&gt;5,IF(MOD(COUNTIF(Y$641:Y893,1),7)=0,$C$4,0),0)</f>
        <v>66.8152489442662</v>
      </c>
      <c r="Z591" s="82" cm="1">
        <f ca="1" t="array" ref="Z591">SUMPRODUCT(TRANSPOSE($AD591:$AJ591),OFFSET($L$10:$L$16,0,Z$335-1))</f>
        <v>0</v>
      </c>
      <c r="AA591" s="82" cm="1">
        <f ca="1" t="array" ref="AA591">SUMPRODUCT(TRANSPOSE($AD591:$AJ591),OFFSET($L$10:$L$16,0,AA$335-1))</f>
        <v>0</v>
      </c>
      <c r="AB591" s="82" cm="1">
        <f ca="1" t="array" ref="AB591">SUMPRODUCT(TRANSPOSE($AD591:$AJ591),OFFSET($L$10:$L$16,0,AB$335-1))</f>
        <v>0</v>
      </c>
      <c r="AC591" s="82" cm="1">
        <f ca="1" t="array" ref="AC591">SUMPRODUCT(TRANSPOSE($AD591:$AJ591),OFFSET($L$10:$L$16,0,AC$335-1))</f>
        <v>0</v>
      </c>
      <c r="AD591" s="83">
        <f ca="1" t="shared" ref="AD591:AJ591" si="831">AK591-AK590</f>
        <v>0</v>
      </c>
      <c r="AE591" s="83">
        <f ca="1" t="shared" si="831"/>
        <v>0</v>
      </c>
      <c r="AF591" s="83">
        <f ca="1" t="shared" si="831"/>
        <v>0</v>
      </c>
      <c r="AG591" s="83">
        <f ca="1" t="shared" si="831"/>
        <v>0</v>
      </c>
      <c r="AH591" s="83">
        <f ca="1" t="shared" si="831"/>
        <v>0</v>
      </c>
      <c r="AI591" s="83">
        <f ca="1" t="shared" si="831"/>
        <v>0</v>
      </c>
      <c r="AJ591" s="83">
        <f ca="1" t="shared" si="831"/>
        <v>0</v>
      </c>
      <c r="AK591" s="83">
        <f ca="1" t="shared" si="711"/>
        <v>450</v>
      </c>
      <c r="AL591" s="83">
        <f ca="1" t="shared" ref="AL591:AQ591" si="832">IF($C591&gt;OFFSET($Q$9,MATCH(AL$338,$AK$338:$AQ$338,0),0),OFFSET($P$9,MATCH(AL$338,$AK$338:$AQ$338,0),0),MAX(0,$C591-OFFSET($Q$9,RIGHT(AL$338,1)-1,0)))</f>
        <v>909</v>
      </c>
      <c r="AM591" s="83">
        <f ca="1" t="shared" si="832"/>
        <v>1818</v>
      </c>
      <c r="AN591" s="83">
        <f ca="1" t="shared" si="832"/>
        <v>2727</v>
      </c>
      <c r="AO591" s="83">
        <f ca="1" t="shared" si="832"/>
        <v>3636</v>
      </c>
      <c r="AP591" s="83">
        <f ca="1" t="shared" si="832"/>
        <v>4545</v>
      </c>
      <c r="AQ591" s="83">
        <f ca="1" t="shared" si="832"/>
        <v>0</v>
      </c>
    </row>
    <row r="592" ht="16.5" spans="2:43">
      <c r="B592" s="65">
        <v>254</v>
      </c>
      <c r="C592" s="80">
        <f t="shared" si="709"/>
        <v>29266</v>
      </c>
      <c r="D592" s="81" cm="1">
        <f ca="1" t="array" ref="D592">IF(D894=1,OFFSET($Z$338,$B592,D$335-1)/SUMPRODUCT(--($D$335:$V$335=D$335),--($D894:$V894=1)),0)+SUM(D591)+IF(COUNTIF(D$641:D894,1)=1,5,0)+IF(COUNTIF(E592:$Z592,"&gt;"&amp;0)&gt;5,IF(MOD(COUNTIF(D$641:D894,1),7)=0,$C$4,0),0)</f>
        <v>1298.82134856666</v>
      </c>
      <c r="E592" s="81" cm="1">
        <f ca="1" t="array" ref="E592">IF(E894=1,OFFSET($Z$338,$B592,E$335-1)/SUMPRODUCT(--($D$335:$V$335=E$335),--($D894:$V894=1)),0)+SUM(E591)+IF(COUNTIF(E$641:E894,1)=1,5,0)+IF(COUNTIF(F592:$Z592,"&gt;"&amp;0)&gt;5,IF(MOD(COUNTIF(E$641:E894,1),7)=0,$C$4,0),0)</f>
        <v>1298.82134856666</v>
      </c>
      <c r="F592" s="81" cm="1">
        <f ca="1" t="array" ref="F592">IF(F894=1,OFFSET($Z$338,$B592,F$335-1)/SUMPRODUCT(--($D$335:$V$335=F$335),--($D894:$V894=1)),0)+SUM(F591)+IF(COUNTIF(F$641:F894,1)=1,5,0)+IF(COUNTIF(G592:$Z592,"&gt;"&amp;0)&gt;5,IF(MOD(COUNTIF(F$641:F894,1),7)=0,$C$4,0),0)</f>
        <v>1298.82134856666</v>
      </c>
      <c r="G592" s="81" cm="1">
        <f ca="1" t="array" ref="G592">IF(G894=1,OFFSET($Z$338,$B592,G$335-1)/SUMPRODUCT(--($D$335:$V$335=G$335),--($D894:$V894=1)),0)+SUM(G591)+IF(COUNTIF(G$641:G894,1)=1,5,0)+IF(COUNTIF(H592:$Z592,"&gt;"&amp;0)&gt;5,IF(MOD(COUNTIF(G$641:G894,1),7)=0,$C$4,0),0)</f>
        <v>587.516666666668</v>
      </c>
      <c r="H592" s="81" cm="1">
        <f ca="1" t="array" ref="H592">IF(H894=1,OFFSET($Z$338,$B592,H$335-1)/SUMPRODUCT(--($D$335:$V$335=H$335),--($D894:$V894=1)),0)+SUM(H591)+IF(COUNTIF(H$641:H894,1)=1,5,0)+IF(COUNTIF(I592:$Z592,"&gt;"&amp;0)&gt;5,IF(MOD(COUNTIF(H$641:H894,1),7)=0,$C$4,0),0)</f>
        <v>587.516666666668</v>
      </c>
      <c r="I592" s="81" cm="1">
        <f ca="1" t="array" ref="I592">IF(I894=1,OFFSET($Z$338,$B592,I$335-1)/SUMPRODUCT(--($D$335:$V$335=I$335),--($D894:$V894=1)),0)+SUM(I591)+IF(COUNTIF(I$641:I894,1)=1,5,0)+IF(COUNTIF(J592:$Z592,"&gt;"&amp;0)&gt;5,IF(MOD(COUNTIF(I$641:I894,1),7)=0,$C$4,0),0)</f>
        <v>587.516666666668</v>
      </c>
      <c r="J592" s="81" cm="1">
        <f ca="1" t="array" ref="J592">IF(J894=1,OFFSET($Z$338,$B592,J$335-1)/SUMPRODUCT(--($D$335:$V$335=J$335),--($D894:$V894=1)),0)+SUM(J591)+IF(COUNTIF(J$641:J894,1)=1,5,0)+IF(COUNTIF(K592:$Z592,"&gt;"&amp;0)&gt;5,IF(MOD(COUNTIF(J$641:J894,1),7)=0,$C$4,0),0)</f>
        <v>587.516666666668</v>
      </c>
      <c r="K592" s="81" cm="1">
        <f ca="1" t="array" ref="K592">IF(K894=1,OFFSET($Z$338,$B592,K$335-1)/SUMPRODUCT(--($D$335:$V$335=K$335),--($D894:$V894=1)),0)+SUM(K591)+IF(COUNTIF(K$641:K894,1)=1,5,0)+IF(COUNTIF(L592:$Z592,"&gt;"&amp;0)&gt;5,IF(MOD(COUNTIF(K$641:K894,1),7)=0,$C$4,0),0)</f>
        <v>587.516666666668</v>
      </c>
      <c r="L592" s="81" cm="1">
        <f ca="1" t="array" ref="L592">IF(L894=1,OFFSET($Z$338,$B592,L$335-1)/SUMPRODUCT(--($D$335:$V$335=L$335),--($D894:$V894=1)),0)+SUM(L591)+IF(COUNTIF(L$641:L894,1)=1,5,0)+IF(COUNTIF(M592:$Z592,"&gt;"&amp;0)&gt;5,IF(MOD(COUNTIF(L$641:L894,1),7)=0,$C$4,0),0)</f>
        <v>580.816666666668</v>
      </c>
      <c r="M592" s="81" cm="1">
        <f ca="1" t="array" ref="M592">IF(M894=1,OFFSET($Z$338,$B592,M$335-1)/SUMPRODUCT(--($D$335:$V$335=M$335),--($D894:$V894=1)),0)+SUM(M591)+IF(COUNTIF(M$641:M894,1)=1,5,0)+IF(COUNTIF(N592:$Z592,"&gt;"&amp;0)&gt;5,IF(MOD(COUNTIF(M$641:M894,1),7)=0,$C$4,0),0)</f>
        <v>335.644107142858</v>
      </c>
      <c r="N592" s="81" cm="1">
        <f ca="1" t="array" ref="N592">IF(N894=1,OFFSET($Z$338,$B592,N$335-1)/SUMPRODUCT(--($D$335:$V$335=N$335),--($D894:$V894=1)),0)+SUM(N591)+IF(COUNTIF(N$641:N894,1)=1,5,0)+IF(COUNTIF(O592:$Z592,"&gt;"&amp;0)&gt;5,IF(MOD(COUNTIF(N$641:N894,1),7)=0,$C$4,0),0)</f>
        <v>327.919107142858</v>
      </c>
      <c r="O592" s="81" cm="1">
        <f ca="1" t="array" ref="O592">IF(O894=1,OFFSET($Z$338,$B592,O$335-1)/SUMPRODUCT(--($D$335:$V$335=O$335),--($D894:$V894=1)),0)+SUM(O591)+IF(COUNTIF(O$641:O894,1)=1,5,0)+IF(COUNTIF(P592:$Z592,"&gt;"&amp;0)&gt;5,IF(MOD(COUNTIF(O$641:O894,1),7)=0,$C$4,0),0)</f>
        <v>320.494107142858</v>
      </c>
      <c r="P592" s="81" cm="1">
        <f ca="1" t="array" ref="P592">IF(P894=1,OFFSET($Z$338,$B592,P$335-1)/SUMPRODUCT(--($D$335:$V$335=P$335),--($D894:$V894=1)),0)+SUM(P591)+IF(COUNTIF(P$641:P894,1)=1,5,0)+IF(COUNTIF(Q592:$Z592,"&gt;"&amp;0)&gt;5,IF(MOD(COUNTIF(P$641:P894,1),7)=0,$C$4,0),0)</f>
        <v>317.560773809524</v>
      </c>
      <c r="Q592" s="81" cm="1">
        <f ca="1" t="array" ref="Q592">IF(Q894=1,OFFSET($Z$338,$B592,Q$335-1)/SUMPRODUCT(--($D$335:$V$335=Q$335),--($D894:$V894=1)),0)+SUM(Q591)+IF(COUNTIF(Q$641:Q894,1)=1,5,0)+IF(COUNTIF(R592:$Z592,"&gt;"&amp;0)&gt;5,IF(MOD(COUNTIF(Q$641:Q894,1),7)=0,$C$4,0),0)</f>
        <v>316.654523809524</v>
      </c>
      <c r="R592" s="81" cm="1">
        <f ca="1" t="array" ref="R592">IF(R894=1,OFFSET($Z$338,$B592,R$335-1)/SUMPRODUCT(--($D$335:$V$335=R$335),--($D894:$V894=1)),0)+SUM(R591)+IF(COUNTIF(R$641:R894,1)=1,5,0)+IF(COUNTIF(S592:$Z592,"&gt;"&amp;0)&gt;5,IF(MOD(COUNTIF(R$641:R894,1),7)=0,$C$4,0),0)</f>
        <v>291.759523809524</v>
      </c>
      <c r="S592" s="81" cm="1">
        <f ca="1" t="array" ref="S592">IF(S894=1,OFFSET($Z$338,$B592,S$335-1)/SUMPRODUCT(--($D$335:$V$335=S$335),--($D894:$V894=1)),0)+SUM(S591)+IF(COUNTIF(S$641:S894,1)=1,5,0)+IF(COUNTIF(T592:$Z592,"&gt;"&amp;0)&gt;5,IF(MOD(COUNTIF(S$641:S894,1),7)=0,$C$4,0),0)</f>
        <v>282.592857142857</v>
      </c>
      <c r="T592" s="81" cm="1">
        <f ca="1" t="array" ref="T592">IF(T894=1,OFFSET($Z$338,$B592,T$335-1)/SUMPRODUCT(--($D$335:$V$335=T$335),--($D894:$V894=1)),0)+SUM(T591)+IF(COUNTIF(T$641:T894,1)=1,5,0)+IF(COUNTIF(U592:$Z592,"&gt;"&amp;0)&gt;5,IF(MOD(COUNTIF(T$641:T894,1),7)=0,$C$4,0),0)</f>
        <v>137.656257829764</v>
      </c>
      <c r="U592" s="81" cm="1">
        <f ca="1" t="array" ref="U592">IF(U894=1,OFFSET($Z$338,$B592,U$335-1)/SUMPRODUCT(--($D$335:$V$335=U$335),--($D894:$V894=1)),0)+SUM(U591)+IF(COUNTIF(U$641:U894,1)=1,5,0)+IF(COUNTIF(V592:$Z592,"&gt;"&amp;0)&gt;5,IF(MOD(COUNTIF(U$641:U894,1),7)=0,$C$4,0),0)</f>
        <v>97.6562578297643</v>
      </c>
      <c r="V592" s="81" cm="1">
        <f ca="1" t="array" ref="V592">IF(V894=1,OFFSET($Z$338,$B592,V$335-1)/SUMPRODUCT(--($D$335:$V$335=V$335),--($D894:$V894=1)),0)+SUM(V591)+IF(COUNTIF(V$641:V894,1)=1,5,0)+IF(COUNTIF(Z592:$Z592,"&gt;"&amp;0)&gt;5,IF(MOD(COUNTIF(V$641:V894,1),7)=0,$C$4,0),0)</f>
        <v>89.6984386404824</v>
      </c>
      <c r="W592" s="81" cm="1">
        <f ca="1" t="array" ref="W592">IF(W894=1,OFFSET($Z$338,$B592,W$335-1)/SUMPRODUCT(--($D$335:$V$335=W$335),--($D894:$V894=1)),0)+SUM(W591)+IF(COUNTIF(W$641:W894,1)=1,5,0)+IF(COUNTIF($Z592:AA592,"&gt;"&amp;0)&gt;5,IF(MOD(COUNTIF(W$641:W894,1),7)=0,$C$4,0),0)</f>
        <v>80.3425695255331</v>
      </c>
      <c r="X592" s="81" cm="1">
        <f ca="1" t="array" ref="X592">IF(X894=1,OFFSET($Z$338,$B592,X$335-1)/SUMPRODUCT(--($D$335:$V$335=X$335),--($D894:$V894=1)),0)+SUM(X591)+IF(COUNTIF(X$641:X894,1)=1,5,0)+IF(COUNTIF($Z592:AB592,"&gt;"&amp;0)&gt;5,IF(MOD(COUNTIF(X$641:X894,1),7)=0,$C$4,0),0)</f>
        <v>73.5789092348996</v>
      </c>
      <c r="Y592" s="81" cm="1">
        <f ca="1" t="array" ref="Y592">IF(Y894=1,OFFSET($Z$338,$B592,Y$335-1)/SUMPRODUCT(--($D$335:$V$335=Y$335),--($D894:$V894=1)),0)+SUM(Y591)+IF(COUNTIF(Y$641:Y894,1)=1,5,0)+IF(COUNTIF($Z592:AC592,"&gt;"&amp;0)&gt;5,IF(MOD(COUNTIF(Y$641:Y894,1),7)=0,$C$4,0),0)</f>
        <v>66.8152489442662</v>
      </c>
      <c r="Z592" s="82" cm="1">
        <f ca="1" t="array" ref="Z592">SUMPRODUCT(TRANSPOSE($AD592:$AJ592),OFFSET($L$10:$L$16,0,Z$335-1))</f>
        <v>0</v>
      </c>
      <c r="AA592" s="82" cm="1">
        <f ca="1" t="array" ref="AA592">SUMPRODUCT(TRANSPOSE($AD592:$AJ592),OFFSET($L$10:$L$16,0,AA$335-1))</f>
        <v>0</v>
      </c>
      <c r="AB592" s="82" cm="1">
        <f ca="1" t="array" ref="AB592">SUMPRODUCT(TRANSPOSE($AD592:$AJ592),OFFSET($L$10:$L$16,0,AB$335-1))</f>
        <v>0</v>
      </c>
      <c r="AC592" s="82" cm="1">
        <f ca="1" t="array" ref="AC592">SUMPRODUCT(TRANSPOSE($AD592:$AJ592),OFFSET($L$10:$L$16,0,AC$335-1))</f>
        <v>0</v>
      </c>
      <c r="AD592" s="83">
        <f ca="1" t="shared" ref="AD592:AJ592" si="833">AK592-AK591</f>
        <v>0</v>
      </c>
      <c r="AE592" s="83">
        <f ca="1" t="shared" si="833"/>
        <v>0</v>
      </c>
      <c r="AF592" s="83">
        <f ca="1" t="shared" si="833"/>
        <v>0</v>
      </c>
      <c r="AG592" s="83">
        <f ca="1" t="shared" si="833"/>
        <v>0</v>
      </c>
      <c r="AH592" s="83">
        <f ca="1" t="shared" si="833"/>
        <v>0</v>
      </c>
      <c r="AI592" s="83">
        <f ca="1" t="shared" si="833"/>
        <v>0</v>
      </c>
      <c r="AJ592" s="83">
        <f ca="1" t="shared" si="833"/>
        <v>0</v>
      </c>
      <c r="AK592" s="83">
        <f ca="1" t="shared" si="711"/>
        <v>450</v>
      </c>
      <c r="AL592" s="83">
        <f ca="1" t="shared" ref="AL592:AQ592" si="834">IF($C592&gt;OFFSET($Q$9,MATCH(AL$338,$AK$338:$AQ$338,0),0),OFFSET($P$9,MATCH(AL$338,$AK$338:$AQ$338,0),0),MAX(0,$C592-OFFSET($Q$9,RIGHT(AL$338,1)-1,0)))</f>
        <v>909</v>
      </c>
      <c r="AM592" s="83">
        <f ca="1" t="shared" si="834"/>
        <v>1818</v>
      </c>
      <c r="AN592" s="83">
        <f ca="1" t="shared" si="834"/>
        <v>2727</v>
      </c>
      <c r="AO592" s="83">
        <f ca="1" t="shared" si="834"/>
        <v>3636</v>
      </c>
      <c r="AP592" s="83">
        <f ca="1" t="shared" si="834"/>
        <v>4545</v>
      </c>
      <c r="AQ592" s="83">
        <f ca="1" t="shared" si="834"/>
        <v>0</v>
      </c>
    </row>
    <row r="593" ht="16.5" spans="2:43">
      <c r="B593" s="65">
        <v>255</v>
      </c>
      <c r="C593" s="80">
        <f t="shared" si="709"/>
        <v>29376</v>
      </c>
      <c r="D593" s="81" cm="1">
        <f ca="1" t="array" ref="D593">IF(D895=1,OFFSET($Z$338,$B593,D$335-1)/SUMPRODUCT(--($D$335:$V$335=D$335),--($D895:$V895=1)),0)+SUM(D592)+IF(COUNTIF(D$641:D895,1)=1,5,0)+IF(COUNTIF(E593:$Z593,"&gt;"&amp;0)&gt;5,IF(MOD(COUNTIF(D$641:D895,1),7)=0,$C$4,0),0)</f>
        <v>1298.82134856666</v>
      </c>
      <c r="E593" s="81" cm="1">
        <f ca="1" t="array" ref="E593">IF(E895=1,OFFSET($Z$338,$B593,E$335-1)/SUMPRODUCT(--($D$335:$V$335=E$335),--($D895:$V895=1)),0)+SUM(E592)+IF(COUNTIF(E$641:E895,1)=1,5,0)+IF(COUNTIF(F593:$Z593,"&gt;"&amp;0)&gt;5,IF(MOD(COUNTIF(E$641:E895,1),7)=0,$C$4,0),0)</f>
        <v>1298.82134856666</v>
      </c>
      <c r="F593" s="81" cm="1">
        <f ca="1" t="array" ref="F593">IF(F895=1,OFFSET($Z$338,$B593,F$335-1)/SUMPRODUCT(--($D$335:$V$335=F$335),--($D895:$V895=1)),0)+SUM(F592)+IF(COUNTIF(F$641:F895,1)=1,5,0)+IF(COUNTIF(G593:$Z593,"&gt;"&amp;0)&gt;5,IF(MOD(COUNTIF(F$641:F895,1),7)=0,$C$4,0),0)</f>
        <v>1298.82134856666</v>
      </c>
      <c r="G593" s="81" cm="1">
        <f ca="1" t="array" ref="G593">IF(G895=1,OFFSET($Z$338,$B593,G$335-1)/SUMPRODUCT(--($D$335:$V$335=G$335),--($D895:$V895=1)),0)+SUM(G592)+IF(COUNTIF(G$641:G895,1)=1,5,0)+IF(COUNTIF(H593:$Z593,"&gt;"&amp;0)&gt;5,IF(MOD(COUNTIF(G$641:G895,1),7)=0,$C$4,0),0)</f>
        <v>587.516666666668</v>
      </c>
      <c r="H593" s="81" cm="1">
        <f ca="1" t="array" ref="H593">IF(H895=1,OFFSET($Z$338,$B593,H$335-1)/SUMPRODUCT(--($D$335:$V$335=H$335),--($D895:$V895=1)),0)+SUM(H592)+IF(COUNTIF(H$641:H895,1)=1,5,0)+IF(COUNTIF(I593:$Z593,"&gt;"&amp;0)&gt;5,IF(MOD(COUNTIF(H$641:H895,1),7)=0,$C$4,0),0)</f>
        <v>587.516666666668</v>
      </c>
      <c r="I593" s="81" cm="1">
        <f ca="1" t="array" ref="I593">IF(I895=1,OFFSET($Z$338,$B593,I$335-1)/SUMPRODUCT(--($D$335:$V$335=I$335),--($D895:$V895=1)),0)+SUM(I592)+IF(COUNTIF(I$641:I895,1)=1,5,0)+IF(COUNTIF(J593:$Z593,"&gt;"&amp;0)&gt;5,IF(MOD(COUNTIF(I$641:I895,1),7)=0,$C$4,0),0)</f>
        <v>587.516666666668</v>
      </c>
      <c r="J593" s="81" cm="1">
        <f ca="1" t="array" ref="J593">IF(J895=1,OFFSET($Z$338,$B593,J$335-1)/SUMPRODUCT(--($D$335:$V$335=J$335),--($D895:$V895=1)),0)+SUM(J592)+IF(COUNTIF(J$641:J895,1)=1,5,0)+IF(COUNTIF(K593:$Z593,"&gt;"&amp;0)&gt;5,IF(MOD(COUNTIF(J$641:J895,1),7)=0,$C$4,0),0)</f>
        <v>587.516666666668</v>
      </c>
      <c r="K593" s="81" cm="1">
        <f ca="1" t="array" ref="K593">IF(K895=1,OFFSET($Z$338,$B593,K$335-1)/SUMPRODUCT(--($D$335:$V$335=K$335),--($D895:$V895=1)),0)+SUM(K592)+IF(COUNTIF(K$641:K895,1)=1,5,0)+IF(COUNTIF(L593:$Z593,"&gt;"&amp;0)&gt;5,IF(MOD(COUNTIF(K$641:K895,1),7)=0,$C$4,0),0)</f>
        <v>587.516666666668</v>
      </c>
      <c r="L593" s="81" cm="1">
        <f ca="1" t="array" ref="L593">IF(L895=1,OFFSET($Z$338,$B593,L$335-1)/SUMPRODUCT(--($D$335:$V$335=L$335),--($D895:$V895=1)),0)+SUM(L592)+IF(COUNTIF(L$641:L895,1)=1,5,0)+IF(COUNTIF(M593:$Z593,"&gt;"&amp;0)&gt;5,IF(MOD(COUNTIF(L$641:L895,1),7)=0,$C$4,0),0)</f>
        <v>580.816666666668</v>
      </c>
      <c r="M593" s="81" cm="1">
        <f ca="1" t="array" ref="M593">IF(M895=1,OFFSET($Z$338,$B593,M$335-1)/SUMPRODUCT(--($D$335:$V$335=M$335),--($D895:$V895=1)),0)+SUM(M592)+IF(COUNTIF(M$641:M895,1)=1,5,0)+IF(COUNTIF(N593:$Z593,"&gt;"&amp;0)&gt;5,IF(MOD(COUNTIF(M$641:M895,1),7)=0,$C$4,0),0)</f>
        <v>335.644107142858</v>
      </c>
      <c r="N593" s="81" cm="1">
        <f ca="1" t="array" ref="N593">IF(N895=1,OFFSET($Z$338,$B593,N$335-1)/SUMPRODUCT(--($D$335:$V$335=N$335),--($D895:$V895=1)),0)+SUM(N592)+IF(COUNTIF(N$641:N895,1)=1,5,0)+IF(COUNTIF(O593:$Z593,"&gt;"&amp;0)&gt;5,IF(MOD(COUNTIF(N$641:N895,1),7)=0,$C$4,0),0)</f>
        <v>327.919107142858</v>
      </c>
      <c r="O593" s="81" cm="1">
        <f ca="1" t="array" ref="O593">IF(O895=1,OFFSET($Z$338,$B593,O$335-1)/SUMPRODUCT(--($D$335:$V$335=O$335),--($D895:$V895=1)),0)+SUM(O592)+IF(COUNTIF(O$641:O895,1)=1,5,0)+IF(COUNTIF(P593:$Z593,"&gt;"&amp;0)&gt;5,IF(MOD(COUNTIF(O$641:O895,1),7)=0,$C$4,0),0)</f>
        <v>325.494107142858</v>
      </c>
      <c r="P593" s="81" cm="1">
        <f ca="1" t="array" ref="P593">IF(P895=1,OFFSET($Z$338,$B593,P$335-1)/SUMPRODUCT(--($D$335:$V$335=P$335),--($D895:$V895=1)),0)+SUM(P592)+IF(COUNTIF(P$641:P895,1)=1,5,0)+IF(COUNTIF(Q593:$Z593,"&gt;"&amp;0)&gt;5,IF(MOD(COUNTIF(P$641:P895,1),7)=0,$C$4,0),0)</f>
        <v>317.560773809524</v>
      </c>
      <c r="Q593" s="81" cm="1">
        <f ca="1" t="array" ref="Q593">IF(Q895=1,OFFSET($Z$338,$B593,Q$335-1)/SUMPRODUCT(--($D$335:$V$335=Q$335),--($D895:$V895=1)),0)+SUM(Q592)+IF(COUNTIF(Q$641:Q895,1)=1,5,0)+IF(COUNTIF(R593:$Z593,"&gt;"&amp;0)&gt;5,IF(MOD(COUNTIF(Q$641:Q895,1),7)=0,$C$4,0),0)</f>
        <v>316.654523809524</v>
      </c>
      <c r="R593" s="81" cm="1">
        <f ca="1" t="array" ref="R593">IF(R895=1,OFFSET($Z$338,$B593,R$335-1)/SUMPRODUCT(--($D$335:$V$335=R$335),--($D895:$V895=1)),0)+SUM(R592)+IF(COUNTIF(R$641:R895,1)=1,5,0)+IF(COUNTIF(S593:$Z593,"&gt;"&amp;0)&gt;5,IF(MOD(COUNTIF(R$641:R895,1),7)=0,$C$4,0),0)</f>
        <v>291.759523809524</v>
      </c>
      <c r="S593" s="81" cm="1">
        <f ca="1" t="array" ref="S593">IF(S895=1,OFFSET($Z$338,$B593,S$335-1)/SUMPRODUCT(--($D$335:$V$335=S$335),--($D895:$V895=1)),0)+SUM(S592)+IF(COUNTIF(S$641:S895,1)=1,5,0)+IF(COUNTIF(T593:$Z593,"&gt;"&amp;0)&gt;5,IF(MOD(COUNTIF(S$641:S895,1),7)=0,$C$4,0),0)</f>
        <v>282.592857142857</v>
      </c>
      <c r="T593" s="81" cm="1">
        <f ca="1" t="array" ref="T593">IF(T895=1,OFFSET($Z$338,$B593,T$335-1)/SUMPRODUCT(--($D$335:$V$335=T$335),--($D895:$V895=1)),0)+SUM(T592)+IF(COUNTIF(T$641:T895,1)=1,5,0)+IF(COUNTIF(U593:$Z593,"&gt;"&amp;0)&gt;5,IF(MOD(COUNTIF(T$641:T895,1),7)=0,$C$4,0),0)</f>
        <v>137.656257829764</v>
      </c>
      <c r="U593" s="81" cm="1">
        <f ca="1" t="array" ref="U593">IF(U895=1,OFFSET($Z$338,$B593,U$335-1)/SUMPRODUCT(--($D$335:$V$335=U$335),--($D895:$V895=1)),0)+SUM(U592)+IF(COUNTIF(U$641:U895,1)=1,5,0)+IF(COUNTIF(V593:$Z593,"&gt;"&amp;0)&gt;5,IF(MOD(COUNTIF(U$641:U895,1),7)=0,$C$4,0),0)</f>
        <v>97.6562578297643</v>
      </c>
      <c r="V593" s="81" cm="1">
        <f ca="1" t="array" ref="V593">IF(V895=1,OFFSET($Z$338,$B593,V$335-1)/SUMPRODUCT(--($D$335:$V$335=V$335),--($D895:$V895=1)),0)+SUM(V592)+IF(COUNTIF(V$641:V895,1)=1,5,0)+IF(COUNTIF(Z593:$Z593,"&gt;"&amp;0)&gt;5,IF(MOD(COUNTIF(V$641:V895,1),7)=0,$C$4,0),0)</f>
        <v>89.6984386404824</v>
      </c>
      <c r="W593" s="81" cm="1">
        <f ca="1" t="array" ref="W593">IF(W895=1,OFFSET($Z$338,$B593,W$335-1)/SUMPRODUCT(--($D$335:$V$335=W$335),--($D895:$V895=1)),0)+SUM(W592)+IF(COUNTIF(W$641:W895,1)=1,5,0)+IF(COUNTIF($Z593:AA593,"&gt;"&amp;0)&gt;5,IF(MOD(COUNTIF(W$641:W895,1),7)=0,$C$4,0),0)</f>
        <v>80.3425695255331</v>
      </c>
      <c r="X593" s="81" cm="1">
        <f ca="1" t="array" ref="X593">IF(X895=1,OFFSET($Z$338,$B593,X$335-1)/SUMPRODUCT(--($D$335:$V$335=X$335),--($D895:$V895=1)),0)+SUM(X592)+IF(COUNTIF(X$641:X895,1)=1,5,0)+IF(COUNTIF($Z593:AB593,"&gt;"&amp;0)&gt;5,IF(MOD(COUNTIF(X$641:X895,1),7)=0,$C$4,0),0)</f>
        <v>73.5789092348996</v>
      </c>
      <c r="Y593" s="81" cm="1">
        <f ca="1" t="array" ref="Y593">IF(Y895=1,OFFSET($Z$338,$B593,Y$335-1)/SUMPRODUCT(--($D$335:$V$335=Y$335),--($D895:$V895=1)),0)+SUM(Y592)+IF(COUNTIF(Y$641:Y895,1)=1,5,0)+IF(COUNTIF($Z593:AC593,"&gt;"&amp;0)&gt;5,IF(MOD(COUNTIF(Y$641:Y895,1),7)=0,$C$4,0),0)</f>
        <v>66.8152489442662</v>
      </c>
      <c r="Z593" s="82" cm="1">
        <f ca="1" t="array" ref="Z593">SUMPRODUCT(TRANSPOSE($AD593:$AJ593),OFFSET($L$10:$L$16,0,Z$335-1))</f>
        <v>0</v>
      </c>
      <c r="AA593" s="82" cm="1">
        <f ca="1" t="array" ref="AA593">SUMPRODUCT(TRANSPOSE($AD593:$AJ593),OFFSET($L$10:$L$16,0,AA$335-1))</f>
        <v>0</v>
      </c>
      <c r="AB593" s="82" cm="1">
        <f ca="1" t="array" ref="AB593">SUMPRODUCT(TRANSPOSE($AD593:$AJ593),OFFSET($L$10:$L$16,0,AB$335-1))</f>
        <v>0</v>
      </c>
      <c r="AC593" s="82" cm="1">
        <f ca="1" t="array" ref="AC593">SUMPRODUCT(TRANSPOSE($AD593:$AJ593),OFFSET($L$10:$L$16,0,AC$335-1))</f>
        <v>0</v>
      </c>
      <c r="AD593" s="83">
        <f ca="1" t="shared" ref="AD593:AJ593" si="835">AK593-AK592</f>
        <v>0</v>
      </c>
      <c r="AE593" s="83">
        <f ca="1" t="shared" si="835"/>
        <v>0</v>
      </c>
      <c r="AF593" s="83">
        <f ca="1" t="shared" si="835"/>
        <v>0</v>
      </c>
      <c r="AG593" s="83">
        <f ca="1" t="shared" si="835"/>
        <v>0</v>
      </c>
      <c r="AH593" s="83">
        <f ca="1" t="shared" si="835"/>
        <v>0</v>
      </c>
      <c r="AI593" s="83">
        <f ca="1" t="shared" si="835"/>
        <v>0</v>
      </c>
      <c r="AJ593" s="83">
        <f ca="1" t="shared" si="835"/>
        <v>0</v>
      </c>
      <c r="AK593" s="83">
        <f ca="1" t="shared" si="711"/>
        <v>450</v>
      </c>
      <c r="AL593" s="83">
        <f ca="1" t="shared" ref="AL593:AQ593" si="836">IF($C593&gt;OFFSET($Q$9,MATCH(AL$338,$AK$338:$AQ$338,0),0),OFFSET($P$9,MATCH(AL$338,$AK$338:$AQ$338,0),0),MAX(0,$C593-OFFSET($Q$9,RIGHT(AL$338,1)-1,0)))</f>
        <v>909</v>
      </c>
      <c r="AM593" s="83">
        <f ca="1" t="shared" si="836"/>
        <v>1818</v>
      </c>
      <c r="AN593" s="83">
        <f ca="1" t="shared" si="836"/>
        <v>2727</v>
      </c>
      <c r="AO593" s="83">
        <f ca="1" t="shared" si="836"/>
        <v>3636</v>
      </c>
      <c r="AP593" s="83">
        <f ca="1" t="shared" si="836"/>
        <v>4545</v>
      </c>
      <c r="AQ593" s="83">
        <f ca="1" t="shared" si="836"/>
        <v>0</v>
      </c>
    </row>
    <row r="594" ht="16.5" spans="2:43">
      <c r="B594" s="65">
        <v>256</v>
      </c>
      <c r="C594" s="80">
        <f t="shared" si="709"/>
        <v>29486</v>
      </c>
      <c r="D594" s="81" cm="1">
        <f ca="1" t="array" ref="D594">IF(D896=1,OFFSET($Z$338,$B594,D$335-1)/SUMPRODUCT(--($D$335:$V$335=D$335),--($D896:$V896=1)),0)+SUM(D593)+IF(COUNTIF(D$641:D896,1)=1,5,0)+IF(COUNTIF(E594:$Z594,"&gt;"&amp;0)&gt;5,IF(MOD(COUNTIF(D$641:D896,1),7)=0,$C$4,0),0)</f>
        <v>1298.82134856666</v>
      </c>
      <c r="E594" s="81" cm="1">
        <f ca="1" t="array" ref="E594">IF(E896=1,OFFSET($Z$338,$B594,E$335-1)/SUMPRODUCT(--($D$335:$V$335=E$335),--($D896:$V896=1)),0)+SUM(E593)+IF(COUNTIF(E$641:E896,1)=1,5,0)+IF(COUNTIF(F594:$Z594,"&gt;"&amp;0)&gt;5,IF(MOD(COUNTIF(E$641:E896,1),7)=0,$C$4,0),0)</f>
        <v>1298.82134856666</v>
      </c>
      <c r="F594" s="81" cm="1">
        <f ca="1" t="array" ref="F594">IF(F896=1,OFFSET($Z$338,$B594,F$335-1)/SUMPRODUCT(--($D$335:$V$335=F$335),--($D896:$V896=1)),0)+SUM(F593)+IF(COUNTIF(F$641:F896,1)=1,5,0)+IF(COUNTIF(G594:$Z594,"&gt;"&amp;0)&gt;5,IF(MOD(COUNTIF(F$641:F896,1),7)=0,$C$4,0),0)</f>
        <v>1298.82134856666</v>
      </c>
      <c r="G594" s="81" cm="1">
        <f ca="1" t="array" ref="G594">IF(G896=1,OFFSET($Z$338,$B594,G$335-1)/SUMPRODUCT(--($D$335:$V$335=G$335),--($D896:$V896=1)),0)+SUM(G593)+IF(COUNTIF(G$641:G896,1)=1,5,0)+IF(COUNTIF(H594:$Z594,"&gt;"&amp;0)&gt;5,IF(MOD(COUNTIF(G$641:G896,1),7)=0,$C$4,0),0)</f>
        <v>587.516666666668</v>
      </c>
      <c r="H594" s="81" cm="1">
        <f ca="1" t="array" ref="H594">IF(H896=1,OFFSET($Z$338,$B594,H$335-1)/SUMPRODUCT(--($D$335:$V$335=H$335),--($D896:$V896=1)),0)+SUM(H593)+IF(COUNTIF(H$641:H896,1)=1,5,0)+IF(COUNTIF(I594:$Z594,"&gt;"&amp;0)&gt;5,IF(MOD(COUNTIF(H$641:H896,1),7)=0,$C$4,0),0)</f>
        <v>587.516666666668</v>
      </c>
      <c r="I594" s="81" cm="1">
        <f ca="1" t="array" ref="I594">IF(I896=1,OFFSET($Z$338,$B594,I$335-1)/SUMPRODUCT(--($D$335:$V$335=I$335),--($D896:$V896=1)),0)+SUM(I593)+IF(COUNTIF(I$641:I896,1)=1,5,0)+IF(COUNTIF(J594:$Z594,"&gt;"&amp;0)&gt;5,IF(MOD(COUNTIF(I$641:I896,1),7)=0,$C$4,0),0)</f>
        <v>587.516666666668</v>
      </c>
      <c r="J594" s="81" cm="1">
        <f ca="1" t="array" ref="J594">IF(J896=1,OFFSET($Z$338,$B594,J$335-1)/SUMPRODUCT(--($D$335:$V$335=J$335),--($D896:$V896=1)),0)+SUM(J593)+IF(COUNTIF(J$641:J896,1)=1,5,0)+IF(COUNTIF(K594:$Z594,"&gt;"&amp;0)&gt;5,IF(MOD(COUNTIF(J$641:J896,1),7)=0,$C$4,0),0)</f>
        <v>587.516666666668</v>
      </c>
      <c r="K594" s="81" cm="1">
        <f ca="1" t="array" ref="K594">IF(K896=1,OFFSET($Z$338,$B594,K$335-1)/SUMPRODUCT(--($D$335:$V$335=K$335),--($D896:$V896=1)),0)+SUM(K593)+IF(COUNTIF(K$641:K896,1)=1,5,0)+IF(COUNTIF(L594:$Z594,"&gt;"&amp;0)&gt;5,IF(MOD(COUNTIF(K$641:K896,1),7)=0,$C$4,0),0)</f>
        <v>587.516666666668</v>
      </c>
      <c r="L594" s="81" cm="1">
        <f ca="1" t="array" ref="L594">IF(L896=1,OFFSET($Z$338,$B594,L$335-1)/SUMPRODUCT(--($D$335:$V$335=L$335),--($D896:$V896=1)),0)+SUM(L593)+IF(COUNTIF(L$641:L896,1)=1,5,0)+IF(COUNTIF(M594:$Z594,"&gt;"&amp;0)&gt;5,IF(MOD(COUNTIF(L$641:L896,1),7)=0,$C$4,0),0)</f>
        <v>580.816666666668</v>
      </c>
      <c r="M594" s="81" cm="1">
        <f ca="1" t="array" ref="M594">IF(M896=1,OFFSET($Z$338,$B594,M$335-1)/SUMPRODUCT(--($D$335:$V$335=M$335),--($D896:$V896=1)),0)+SUM(M593)+IF(COUNTIF(M$641:M896,1)=1,5,0)+IF(COUNTIF(N594:$Z594,"&gt;"&amp;0)&gt;5,IF(MOD(COUNTIF(M$641:M896,1),7)=0,$C$4,0),0)</f>
        <v>335.644107142858</v>
      </c>
      <c r="N594" s="81" cm="1">
        <f ca="1" t="array" ref="N594">IF(N896=1,OFFSET($Z$338,$B594,N$335-1)/SUMPRODUCT(--($D$335:$V$335=N$335),--($D896:$V896=1)),0)+SUM(N593)+IF(COUNTIF(N$641:N896,1)=1,5,0)+IF(COUNTIF(O594:$Z594,"&gt;"&amp;0)&gt;5,IF(MOD(COUNTIF(N$641:N896,1),7)=0,$C$4,0),0)</f>
        <v>327.919107142858</v>
      </c>
      <c r="O594" s="81" cm="1">
        <f ca="1" t="array" ref="O594">IF(O896=1,OFFSET($Z$338,$B594,O$335-1)/SUMPRODUCT(--($D$335:$V$335=O$335),--($D896:$V896=1)),0)+SUM(O593)+IF(COUNTIF(O$641:O896,1)=1,5,0)+IF(COUNTIF(P594:$Z594,"&gt;"&amp;0)&gt;5,IF(MOD(COUNTIF(O$641:O896,1),7)=0,$C$4,0),0)</f>
        <v>325.494107142858</v>
      </c>
      <c r="P594" s="81" cm="1">
        <f ca="1" t="array" ref="P594">IF(P896=1,OFFSET($Z$338,$B594,P$335-1)/SUMPRODUCT(--($D$335:$V$335=P$335),--($D896:$V896=1)),0)+SUM(P593)+IF(COUNTIF(P$641:P896,1)=1,5,0)+IF(COUNTIF(Q594:$Z594,"&gt;"&amp;0)&gt;5,IF(MOD(COUNTIF(P$641:P896,1),7)=0,$C$4,0),0)</f>
        <v>317.560773809524</v>
      </c>
      <c r="Q594" s="81" cm="1">
        <f ca="1" t="array" ref="Q594">IF(Q896=1,OFFSET($Z$338,$B594,Q$335-1)/SUMPRODUCT(--($D$335:$V$335=Q$335),--($D896:$V896=1)),0)+SUM(Q593)+IF(COUNTIF(Q$641:Q896,1)=1,5,0)+IF(COUNTIF(R594:$Z594,"&gt;"&amp;0)&gt;5,IF(MOD(COUNTIF(Q$641:Q896,1),7)=0,$C$4,0),0)</f>
        <v>316.654523809524</v>
      </c>
      <c r="R594" s="81" cm="1">
        <f ca="1" t="array" ref="R594">IF(R896=1,OFFSET($Z$338,$B594,R$335-1)/SUMPRODUCT(--($D$335:$V$335=R$335),--($D896:$V896=1)),0)+SUM(R593)+IF(COUNTIF(R$641:R896,1)=1,5,0)+IF(COUNTIF(S594:$Z594,"&gt;"&amp;0)&gt;5,IF(MOD(COUNTIF(R$641:R896,1),7)=0,$C$4,0),0)</f>
        <v>291.759523809524</v>
      </c>
      <c r="S594" s="81" cm="1">
        <f ca="1" t="array" ref="S594">IF(S896=1,OFFSET($Z$338,$B594,S$335-1)/SUMPRODUCT(--($D$335:$V$335=S$335),--($D896:$V896=1)),0)+SUM(S593)+IF(COUNTIF(S$641:S896,1)=1,5,0)+IF(COUNTIF(T594:$Z594,"&gt;"&amp;0)&gt;5,IF(MOD(COUNTIF(S$641:S896,1),7)=0,$C$4,0),0)</f>
        <v>282.592857142857</v>
      </c>
      <c r="T594" s="81" cm="1">
        <f ca="1" t="array" ref="T594">IF(T896=1,OFFSET($Z$338,$B594,T$335-1)/SUMPRODUCT(--($D$335:$V$335=T$335),--($D896:$V896=1)),0)+SUM(T593)+IF(COUNTIF(T$641:T896,1)=1,5,0)+IF(COUNTIF(U594:$Z594,"&gt;"&amp;0)&gt;5,IF(MOD(COUNTIF(T$641:T896,1),7)=0,$C$4,0),0)</f>
        <v>137.656257829764</v>
      </c>
      <c r="U594" s="81" cm="1">
        <f ca="1" t="array" ref="U594">IF(U896=1,OFFSET($Z$338,$B594,U$335-1)/SUMPRODUCT(--($D$335:$V$335=U$335),--($D896:$V896=1)),0)+SUM(U593)+IF(COUNTIF(U$641:U896,1)=1,5,0)+IF(COUNTIF(V594:$Z594,"&gt;"&amp;0)&gt;5,IF(MOD(COUNTIF(U$641:U896,1),7)=0,$C$4,0),0)</f>
        <v>97.6562578297643</v>
      </c>
      <c r="V594" s="81" cm="1">
        <f ca="1" t="array" ref="V594">IF(V896=1,OFFSET($Z$338,$B594,V$335-1)/SUMPRODUCT(--($D$335:$V$335=V$335),--($D896:$V896=1)),0)+SUM(V593)+IF(COUNTIF(V$641:V896,1)=1,5,0)+IF(COUNTIF(Z594:$Z594,"&gt;"&amp;0)&gt;5,IF(MOD(COUNTIF(V$641:V896,1),7)=0,$C$4,0),0)</f>
        <v>89.6984386404824</v>
      </c>
      <c r="W594" s="81" cm="1">
        <f ca="1" t="array" ref="W594">IF(W896=1,OFFSET($Z$338,$B594,W$335-1)/SUMPRODUCT(--($D$335:$V$335=W$335),--($D896:$V896=1)),0)+SUM(W593)+IF(COUNTIF(W$641:W896,1)=1,5,0)+IF(COUNTIF($Z594:AA594,"&gt;"&amp;0)&gt;5,IF(MOD(COUNTIF(W$641:W896,1),7)=0,$C$4,0),0)</f>
        <v>80.3425695255331</v>
      </c>
      <c r="X594" s="81" cm="1">
        <f ca="1" t="array" ref="X594">IF(X896=1,OFFSET($Z$338,$B594,X$335-1)/SUMPRODUCT(--($D$335:$V$335=X$335),--($D896:$V896=1)),0)+SUM(X593)+IF(COUNTIF(X$641:X896,1)=1,5,0)+IF(COUNTIF($Z594:AB594,"&gt;"&amp;0)&gt;5,IF(MOD(COUNTIF(X$641:X896,1),7)=0,$C$4,0),0)</f>
        <v>73.5789092348996</v>
      </c>
      <c r="Y594" s="81" cm="1">
        <f ca="1" t="array" ref="Y594">IF(Y896=1,OFFSET($Z$338,$B594,Y$335-1)/SUMPRODUCT(--($D$335:$V$335=Y$335),--($D896:$V896=1)),0)+SUM(Y593)+IF(COUNTIF(Y$641:Y896,1)=1,5,0)+IF(COUNTIF($Z594:AC594,"&gt;"&amp;0)&gt;5,IF(MOD(COUNTIF(Y$641:Y896,1),7)=0,$C$4,0),0)</f>
        <v>66.8152489442662</v>
      </c>
      <c r="Z594" s="82" cm="1">
        <f ca="1" t="array" ref="Z594">SUMPRODUCT(TRANSPOSE($AD594:$AJ594),OFFSET($L$10:$L$16,0,Z$335-1))</f>
        <v>0</v>
      </c>
      <c r="AA594" s="82" cm="1">
        <f ca="1" t="array" ref="AA594">SUMPRODUCT(TRANSPOSE($AD594:$AJ594),OFFSET($L$10:$L$16,0,AA$335-1))</f>
        <v>0</v>
      </c>
      <c r="AB594" s="82" cm="1">
        <f ca="1" t="array" ref="AB594">SUMPRODUCT(TRANSPOSE($AD594:$AJ594),OFFSET($L$10:$L$16,0,AB$335-1))</f>
        <v>0</v>
      </c>
      <c r="AC594" s="82" cm="1">
        <f ca="1" t="array" ref="AC594">SUMPRODUCT(TRANSPOSE($AD594:$AJ594),OFFSET($L$10:$L$16,0,AC$335-1))</f>
        <v>0</v>
      </c>
      <c r="AD594" s="83">
        <f ca="1" t="shared" ref="AD594:AJ594" si="837">AK594-AK593</f>
        <v>0</v>
      </c>
      <c r="AE594" s="83">
        <f ca="1" t="shared" si="837"/>
        <v>0</v>
      </c>
      <c r="AF594" s="83">
        <f ca="1" t="shared" si="837"/>
        <v>0</v>
      </c>
      <c r="AG594" s="83">
        <f ca="1" t="shared" si="837"/>
        <v>0</v>
      </c>
      <c r="AH594" s="83">
        <f ca="1" t="shared" si="837"/>
        <v>0</v>
      </c>
      <c r="AI594" s="83">
        <f ca="1" t="shared" si="837"/>
        <v>0</v>
      </c>
      <c r="AJ594" s="83">
        <f ca="1" t="shared" si="837"/>
        <v>0</v>
      </c>
      <c r="AK594" s="83">
        <f ca="1" t="shared" si="711"/>
        <v>450</v>
      </c>
      <c r="AL594" s="83">
        <f ca="1" t="shared" ref="AL594:AQ594" si="838">IF($C594&gt;OFFSET($Q$9,MATCH(AL$338,$AK$338:$AQ$338,0),0),OFFSET($P$9,MATCH(AL$338,$AK$338:$AQ$338,0),0),MAX(0,$C594-OFFSET($Q$9,RIGHT(AL$338,1)-1,0)))</f>
        <v>909</v>
      </c>
      <c r="AM594" s="83">
        <f ca="1" t="shared" si="838"/>
        <v>1818</v>
      </c>
      <c r="AN594" s="83">
        <f ca="1" t="shared" si="838"/>
        <v>2727</v>
      </c>
      <c r="AO594" s="83">
        <f ca="1" t="shared" si="838"/>
        <v>3636</v>
      </c>
      <c r="AP594" s="83">
        <f ca="1" t="shared" si="838"/>
        <v>4545</v>
      </c>
      <c r="AQ594" s="83">
        <f ca="1" t="shared" si="838"/>
        <v>0</v>
      </c>
    </row>
    <row r="595" ht="16.5" spans="2:43">
      <c r="B595" s="65">
        <v>257</v>
      </c>
      <c r="C595" s="80">
        <f t="shared" ref="C595:C638" si="839">C290</f>
        <v>29596</v>
      </c>
      <c r="D595" s="81" cm="1">
        <f ca="1" t="array" ref="D595">IF(D897=1,OFFSET($Z$338,$B595,D$335-1)/SUMPRODUCT(--($D$335:$V$335=D$335),--($D897:$V897=1)),0)+SUM(D594)+IF(COUNTIF(D$641:D897,1)=1,5,0)+IF(COUNTIF(E595:$Z595,"&gt;"&amp;0)&gt;5,IF(MOD(COUNTIF(D$641:D897,1),7)=0,$C$4,0),0)</f>
        <v>1298.82134856666</v>
      </c>
      <c r="E595" s="81" cm="1">
        <f ca="1" t="array" ref="E595">IF(E897=1,OFFSET($Z$338,$B595,E$335-1)/SUMPRODUCT(--($D$335:$V$335=E$335),--($D897:$V897=1)),0)+SUM(E594)+IF(COUNTIF(E$641:E897,1)=1,5,0)+IF(COUNTIF(F595:$Z595,"&gt;"&amp;0)&gt;5,IF(MOD(COUNTIF(E$641:E897,1),7)=0,$C$4,0),0)</f>
        <v>1298.82134856666</v>
      </c>
      <c r="F595" s="81" cm="1">
        <f ca="1" t="array" ref="F595">IF(F897=1,OFFSET($Z$338,$B595,F$335-1)/SUMPRODUCT(--($D$335:$V$335=F$335),--($D897:$V897=1)),0)+SUM(F594)+IF(COUNTIF(F$641:F897,1)=1,5,0)+IF(COUNTIF(G595:$Z595,"&gt;"&amp;0)&gt;5,IF(MOD(COUNTIF(F$641:F897,1),7)=0,$C$4,0),0)</f>
        <v>1298.82134856666</v>
      </c>
      <c r="G595" s="81" cm="1">
        <f ca="1" t="array" ref="G595">IF(G897=1,OFFSET($Z$338,$B595,G$335-1)/SUMPRODUCT(--($D$335:$V$335=G$335),--($D897:$V897=1)),0)+SUM(G594)+IF(COUNTIF(G$641:G897,1)=1,5,0)+IF(COUNTIF(H595:$Z595,"&gt;"&amp;0)&gt;5,IF(MOD(COUNTIF(G$641:G897,1),7)=0,$C$4,0),0)</f>
        <v>587.516666666668</v>
      </c>
      <c r="H595" s="81" cm="1">
        <f ca="1" t="array" ref="H595">IF(H897=1,OFFSET($Z$338,$B595,H$335-1)/SUMPRODUCT(--($D$335:$V$335=H$335),--($D897:$V897=1)),0)+SUM(H594)+IF(COUNTIF(H$641:H897,1)=1,5,0)+IF(COUNTIF(I595:$Z595,"&gt;"&amp;0)&gt;5,IF(MOD(COUNTIF(H$641:H897,1),7)=0,$C$4,0),0)</f>
        <v>587.516666666668</v>
      </c>
      <c r="I595" s="81" cm="1">
        <f ca="1" t="array" ref="I595">IF(I897=1,OFFSET($Z$338,$B595,I$335-1)/SUMPRODUCT(--($D$335:$V$335=I$335),--($D897:$V897=1)),0)+SUM(I594)+IF(COUNTIF(I$641:I897,1)=1,5,0)+IF(COUNTIF(J595:$Z595,"&gt;"&amp;0)&gt;5,IF(MOD(COUNTIF(I$641:I897,1),7)=0,$C$4,0),0)</f>
        <v>587.516666666668</v>
      </c>
      <c r="J595" s="81" cm="1">
        <f ca="1" t="array" ref="J595">IF(J897=1,OFFSET($Z$338,$B595,J$335-1)/SUMPRODUCT(--($D$335:$V$335=J$335),--($D897:$V897=1)),0)+SUM(J594)+IF(COUNTIF(J$641:J897,1)=1,5,0)+IF(COUNTIF(K595:$Z595,"&gt;"&amp;0)&gt;5,IF(MOD(COUNTIF(J$641:J897,1),7)=0,$C$4,0),0)</f>
        <v>587.516666666668</v>
      </c>
      <c r="K595" s="81" cm="1">
        <f ca="1" t="array" ref="K595">IF(K897=1,OFFSET($Z$338,$B595,K$335-1)/SUMPRODUCT(--($D$335:$V$335=K$335),--($D897:$V897=1)),0)+SUM(K594)+IF(COUNTIF(K$641:K897,1)=1,5,0)+IF(COUNTIF(L595:$Z595,"&gt;"&amp;0)&gt;5,IF(MOD(COUNTIF(K$641:K897,1),7)=0,$C$4,0),0)</f>
        <v>587.516666666668</v>
      </c>
      <c r="L595" s="81" cm="1">
        <f ca="1" t="array" ref="L595">IF(L897=1,OFFSET($Z$338,$B595,L$335-1)/SUMPRODUCT(--($D$335:$V$335=L$335),--($D897:$V897=1)),0)+SUM(L594)+IF(COUNTIF(L$641:L897,1)=1,5,0)+IF(COUNTIF(M595:$Z595,"&gt;"&amp;0)&gt;5,IF(MOD(COUNTIF(L$641:L897,1),7)=0,$C$4,0),0)</f>
        <v>580.816666666668</v>
      </c>
      <c r="M595" s="81" cm="1">
        <f ca="1" t="array" ref="M595">IF(M897=1,OFFSET($Z$338,$B595,M$335-1)/SUMPRODUCT(--($D$335:$V$335=M$335),--($D897:$V897=1)),0)+SUM(M594)+IF(COUNTIF(M$641:M897,1)=1,5,0)+IF(COUNTIF(N595:$Z595,"&gt;"&amp;0)&gt;5,IF(MOD(COUNTIF(M$641:M897,1),7)=0,$C$4,0),0)</f>
        <v>335.644107142858</v>
      </c>
      <c r="N595" s="81" cm="1">
        <f ca="1" t="array" ref="N595">IF(N897=1,OFFSET($Z$338,$B595,N$335-1)/SUMPRODUCT(--($D$335:$V$335=N$335),--($D897:$V897=1)),0)+SUM(N594)+IF(COUNTIF(N$641:N897,1)=1,5,0)+IF(COUNTIF(O595:$Z595,"&gt;"&amp;0)&gt;5,IF(MOD(COUNTIF(N$641:N897,1),7)=0,$C$4,0),0)</f>
        <v>327.919107142858</v>
      </c>
      <c r="O595" s="81" cm="1">
        <f ca="1" t="array" ref="O595">IF(O897=1,OFFSET($Z$338,$B595,O$335-1)/SUMPRODUCT(--($D$335:$V$335=O$335),--($D897:$V897=1)),0)+SUM(O594)+IF(COUNTIF(O$641:O897,1)=1,5,0)+IF(COUNTIF(P595:$Z595,"&gt;"&amp;0)&gt;5,IF(MOD(COUNTIF(O$641:O897,1),7)=0,$C$4,0),0)</f>
        <v>325.494107142858</v>
      </c>
      <c r="P595" s="81" cm="1">
        <f ca="1" t="array" ref="P595">IF(P897=1,OFFSET($Z$338,$B595,P$335-1)/SUMPRODUCT(--($D$335:$V$335=P$335),--($D897:$V897=1)),0)+SUM(P594)+IF(COUNTIF(P$641:P897,1)=1,5,0)+IF(COUNTIF(Q595:$Z595,"&gt;"&amp;0)&gt;5,IF(MOD(COUNTIF(P$641:P897,1),7)=0,$C$4,0),0)</f>
        <v>322.560773809524</v>
      </c>
      <c r="Q595" s="81" cm="1">
        <f ca="1" t="array" ref="Q595">IF(Q897=1,OFFSET($Z$338,$B595,Q$335-1)/SUMPRODUCT(--($D$335:$V$335=Q$335),--($D897:$V897=1)),0)+SUM(Q594)+IF(COUNTIF(Q$641:Q897,1)=1,5,0)+IF(COUNTIF(R595:$Z595,"&gt;"&amp;0)&gt;5,IF(MOD(COUNTIF(Q$641:Q897,1),7)=0,$C$4,0),0)</f>
        <v>316.654523809524</v>
      </c>
      <c r="R595" s="81" cm="1">
        <f ca="1" t="array" ref="R595">IF(R897=1,OFFSET($Z$338,$B595,R$335-1)/SUMPRODUCT(--($D$335:$V$335=R$335),--($D897:$V897=1)),0)+SUM(R594)+IF(COUNTIF(R$641:R897,1)=1,5,0)+IF(COUNTIF(S595:$Z595,"&gt;"&amp;0)&gt;5,IF(MOD(COUNTIF(R$641:R897,1),7)=0,$C$4,0),0)</f>
        <v>291.759523809524</v>
      </c>
      <c r="S595" s="81" cm="1">
        <f ca="1" t="array" ref="S595">IF(S897=1,OFFSET($Z$338,$B595,S$335-1)/SUMPRODUCT(--($D$335:$V$335=S$335),--($D897:$V897=1)),0)+SUM(S594)+IF(COUNTIF(S$641:S897,1)=1,5,0)+IF(COUNTIF(T595:$Z595,"&gt;"&amp;0)&gt;5,IF(MOD(COUNTIF(S$641:S897,1),7)=0,$C$4,0),0)</f>
        <v>287.592857142857</v>
      </c>
      <c r="T595" s="81" cm="1">
        <f ca="1" t="array" ref="T595">IF(T897=1,OFFSET($Z$338,$B595,T$335-1)/SUMPRODUCT(--($D$335:$V$335=T$335),--($D897:$V897=1)),0)+SUM(T594)+IF(COUNTIF(T$641:T897,1)=1,5,0)+IF(COUNTIF(U595:$Z595,"&gt;"&amp;0)&gt;5,IF(MOD(COUNTIF(T$641:T897,1),7)=0,$C$4,0),0)</f>
        <v>137.656257829764</v>
      </c>
      <c r="U595" s="81" cm="1">
        <f ca="1" t="array" ref="U595">IF(U897=1,OFFSET($Z$338,$B595,U$335-1)/SUMPRODUCT(--($D$335:$V$335=U$335),--($D897:$V897=1)),0)+SUM(U594)+IF(COUNTIF(U$641:U897,1)=1,5,0)+IF(COUNTIF(V595:$Z595,"&gt;"&amp;0)&gt;5,IF(MOD(COUNTIF(U$641:U897,1),7)=0,$C$4,0),0)</f>
        <v>97.6562578297643</v>
      </c>
      <c r="V595" s="81" cm="1">
        <f ca="1" t="array" ref="V595">IF(V897=1,OFFSET($Z$338,$B595,V$335-1)/SUMPRODUCT(--($D$335:$V$335=V$335),--($D897:$V897=1)),0)+SUM(V594)+IF(COUNTIF(V$641:V897,1)=1,5,0)+IF(COUNTIF(Z595:$Z595,"&gt;"&amp;0)&gt;5,IF(MOD(COUNTIF(V$641:V897,1),7)=0,$C$4,0),0)</f>
        <v>89.6984386404824</v>
      </c>
      <c r="W595" s="81" cm="1">
        <f ca="1" t="array" ref="W595">IF(W897=1,OFFSET($Z$338,$B595,W$335-1)/SUMPRODUCT(--($D$335:$V$335=W$335),--($D897:$V897=1)),0)+SUM(W594)+IF(COUNTIF(W$641:W897,1)=1,5,0)+IF(COUNTIF($Z595:AA595,"&gt;"&amp;0)&gt;5,IF(MOD(COUNTIF(W$641:W897,1),7)=0,$C$4,0),0)</f>
        <v>80.3425695255331</v>
      </c>
      <c r="X595" s="81" cm="1">
        <f ca="1" t="array" ref="X595">IF(X897=1,OFFSET($Z$338,$B595,X$335-1)/SUMPRODUCT(--($D$335:$V$335=X$335),--($D897:$V897=1)),0)+SUM(X594)+IF(COUNTIF(X$641:X897,1)=1,5,0)+IF(COUNTIF($Z595:AB595,"&gt;"&amp;0)&gt;5,IF(MOD(COUNTIF(X$641:X897,1),7)=0,$C$4,0),0)</f>
        <v>73.5789092348996</v>
      </c>
      <c r="Y595" s="81" cm="1">
        <f ca="1" t="array" ref="Y595">IF(Y897=1,OFFSET($Z$338,$B595,Y$335-1)/SUMPRODUCT(--($D$335:$V$335=Y$335),--($D897:$V897=1)),0)+SUM(Y594)+IF(COUNTIF(Y$641:Y897,1)=1,5,0)+IF(COUNTIF($Z595:AC595,"&gt;"&amp;0)&gt;5,IF(MOD(COUNTIF(Y$641:Y897,1),7)=0,$C$4,0),0)</f>
        <v>66.8152489442662</v>
      </c>
      <c r="Z595" s="82" cm="1">
        <f ca="1" t="array" ref="Z595">SUMPRODUCT(TRANSPOSE($AD595:$AJ595),OFFSET($L$10:$L$16,0,Z$335-1))</f>
        <v>0</v>
      </c>
      <c r="AA595" s="82" cm="1">
        <f ca="1" t="array" ref="AA595">SUMPRODUCT(TRANSPOSE($AD595:$AJ595),OFFSET($L$10:$L$16,0,AA$335-1))</f>
        <v>0</v>
      </c>
      <c r="AB595" s="82" cm="1">
        <f ca="1" t="array" ref="AB595">SUMPRODUCT(TRANSPOSE($AD595:$AJ595),OFFSET($L$10:$L$16,0,AB$335-1))</f>
        <v>0</v>
      </c>
      <c r="AC595" s="82" cm="1">
        <f ca="1" t="array" ref="AC595">SUMPRODUCT(TRANSPOSE($AD595:$AJ595),OFFSET($L$10:$L$16,0,AC$335-1))</f>
        <v>0</v>
      </c>
      <c r="AD595" s="83">
        <f ca="1" t="shared" ref="AD595:AJ595" si="840">AK595-AK594</f>
        <v>0</v>
      </c>
      <c r="AE595" s="83">
        <f ca="1" t="shared" si="840"/>
        <v>0</v>
      </c>
      <c r="AF595" s="83">
        <f ca="1" t="shared" si="840"/>
        <v>0</v>
      </c>
      <c r="AG595" s="83">
        <f ca="1" t="shared" si="840"/>
        <v>0</v>
      </c>
      <c r="AH595" s="83">
        <f ca="1" t="shared" si="840"/>
        <v>0</v>
      </c>
      <c r="AI595" s="83">
        <f ca="1" t="shared" si="840"/>
        <v>0</v>
      </c>
      <c r="AJ595" s="83">
        <f ca="1" t="shared" si="840"/>
        <v>0</v>
      </c>
      <c r="AK595" s="83">
        <f ca="1" t="shared" ref="AK595:AK638" si="841">IF($C595&gt;OFFSET($Q$9,MATCH(AK$338,$AK$338:$AQ$338,0),0),OFFSET($P$9,MATCH(AK$338,$AK$338:$AQ$338,0),0),$C595)</f>
        <v>450</v>
      </c>
      <c r="AL595" s="83">
        <f ca="1" t="shared" ref="AL595:AQ595" si="842">IF($C595&gt;OFFSET($Q$9,MATCH(AL$338,$AK$338:$AQ$338,0),0),OFFSET($P$9,MATCH(AL$338,$AK$338:$AQ$338,0),0),MAX(0,$C595-OFFSET($Q$9,RIGHT(AL$338,1)-1,0)))</f>
        <v>909</v>
      </c>
      <c r="AM595" s="83">
        <f ca="1" t="shared" si="842"/>
        <v>1818</v>
      </c>
      <c r="AN595" s="83">
        <f ca="1" t="shared" si="842"/>
        <v>2727</v>
      </c>
      <c r="AO595" s="83">
        <f ca="1" t="shared" si="842"/>
        <v>3636</v>
      </c>
      <c r="AP595" s="83">
        <f ca="1" t="shared" si="842"/>
        <v>4545</v>
      </c>
      <c r="AQ595" s="83">
        <f ca="1" t="shared" si="842"/>
        <v>0</v>
      </c>
    </row>
    <row r="596" ht="16.5" spans="2:43">
      <c r="B596" s="65">
        <v>258</v>
      </c>
      <c r="C596" s="80">
        <f t="shared" si="839"/>
        <v>29706</v>
      </c>
      <c r="D596" s="81" cm="1">
        <f ca="1" t="array" ref="D596">IF(D898=1,OFFSET($Z$338,$B596,D$335-1)/SUMPRODUCT(--($D$335:$V$335=D$335),--($D898:$V898=1)),0)+SUM(D595)+IF(COUNTIF(D$641:D898,1)=1,5,0)+IF(COUNTIF(E596:$Z596,"&gt;"&amp;0)&gt;5,IF(MOD(COUNTIF(D$641:D898,1),7)=0,$C$4,0),0)</f>
        <v>1298.82134856666</v>
      </c>
      <c r="E596" s="81" cm="1">
        <f ca="1" t="array" ref="E596">IF(E898=1,OFFSET($Z$338,$B596,E$335-1)/SUMPRODUCT(--($D$335:$V$335=E$335),--($D898:$V898=1)),0)+SUM(E595)+IF(COUNTIF(E$641:E898,1)=1,5,0)+IF(COUNTIF(F596:$Z596,"&gt;"&amp;0)&gt;5,IF(MOD(COUNTIF(E$641:E898,1),7)=0,$C$4,0),0)</f>
        <v>1298.82134856666</v>
      </c>
      <c r="F596" s="81" cm="1">
        <f ca="1" t="array" ref="F596">IF(F898=1,OFFSET($Z$338,$B596,F$335-1)/SUMPRODUCT(--($D$335:$V$335=F$335),--($D898:$V898=1)),0)+SUM(F595)+IF(COUNTIF(F$641:F898,1)=1,5,0)+IF(COUNTIF(G596:$Z596,"&gt;"&amp;0)&gt;5,IF(MOD(COUNTIF(F$641:F898,1),7)=0,$C$4,0),0)</f>
        <v>1298.82134856666</v>
      </c>
      <c r="G596" s="81" cm="1">
        <f ca="1" t="array" ref="G596">IF(G898=1,OFFSET($Z$338,$B596,G$335-1)/SUMPRODUCT(--($D$335:$V$335=G$335),--($D898:$V898=1)),0)+SUM(G595)+IF(COUNTIF(G$641:G898,1)=1,5,0)+IF(COUNTIF(H596:$Z596,"&gt;"&amp;0)&gt;5,IF(MOD(COUNTIF(G$641:G898,1),7)=0,$C$4,0),0)</f>
        <v>587.516666666668</v>
      </c>
      <c r="H596" s="81" cm="1">
        <f ca="1" t="array" ref="H596">IF(H898=1,OFFSET($Z$338,$B596,H$335-1)/SUMPRODUCT(--($D$335:$V$335=H$335),--($D898:$V898=1)),0)+SUM(H595)+IF(COUNTIF(H$641:H898,1)=1,5,0)+IF(COUNTIF(I596:$Z596,"&gt;"&amp;0)&gt;5,IF(MOD(COUNTIF(H$641:H898,1),7)=0,$C$4,0),0)</f>
        <v>587.516666666668</v>
      </c>
      <c r="I596" s="81" cm="1">
        <f ca="1" t="array" ref="I596">IF(I898=1,OFFSET($Z$338,$B596,I$335-1)/SUMPRODUCT(--($D$335:$V$335=I$335),--($D898:$V898=1)),0)+SUM(I595)+IF(COUNTIF(I$641:I898,1)=1,5,0)+IF(COUNTIF(J596:$Z596,"&gt;"&amp;0)&gt;5,IF(MOD(COUNTIF(I$641:I898,1),7)=0,$C$4,0),0)</f>
        <v>587.516666666668</v>
      </c>
      <c r="J596" s="81" cm="1">
        <f ca="1" t="array" ref="J596">IF(J898=1,OFFSET($Z$338,$B596,J$335-1)/SUMPRODUCT(--($D$335:$V$335=J$335),--($D898:$V898=1)),0)+SUM(J595)+IF(COUNTIF(J$641:J898,1)=1,5,0)+IF(COUNTIF(K596:$Z596,"&gt;"&amp;0)&gt;5,IF(MOD(COUNTIF(J$641:J898,1),7)=0,$C$4,0),0)</f>
        <v>587.516666666668</v>
      </c>
      <c r="K596" s="81" cm="1">
        <f ca="1" t="array" ref="K596">IF(K898=1,OFFSET($Z$338,$B596,K$335-1)/SUMPRODUCT(--($D$335:$V$335=K$335),--($D898:$V898=1)),0)+SUM(K595)+IF(COUNTIF(K$641:K898,1)=1,5,0)+IF(COUNTIF(L596:$Z596,"&gt;"&amp;0)&gt;5,IF(MOD(COUNTIF(K$641:K898,1),7)=0,$C$4,0),0)</f>
        <v>587.516666666668</v>
      </c>
      <c r="L596" s="81" cm="1">
        <f ca="1" t="array" ref="L596">IF(L898=1,OFFSET($Z$338,$B596,L$335-1)/SUMPRODUCT(--($D$335:$V$335=L$335),--($D898:$V898=1)),0)+SUM(L595)+IF(COUNTIF(L$641:L898,1)=1,5,0)+IF(COUNTIF(M596:$Z596,"&gt;"&amp;0)&gt;5,IF(MOD(COUNTIF(L$641:L898,1),7)=0,$C$4,0),0)</f>
        <v>580.816666666668</v>
      </c>
      <c r="M596" s="81" cm="1">
        <f ca="1" t="array" ref="M596">IF(M898=1,OFFSET($Z$338,$B596,M$335-1)/SUMPRODUCT(--($D$335:$V$335=M$335),--($D898:$V898=1)),0)+SUM(M595)+IF(COUNTIF(M$641:M898,1)=1,5,0)+IF(COUNTIF(N596:$Z596,"&gt;"&amp;0)&gt;5,IF(MOD(COUNTIF(M$641:M898,1),7)=0,$C$4,0),0)</f>
        <v>335.644107142858</v>
      </c>
      <c r="N596" s="81" cm="1">
        <f ca="1" t="array" ref="N596">IF(N898=1,OFFSET($Z$338,$B596,N$335-1)/SUMPRODUCT(--($D$335:$V$335=N$335),--($D898:$V898=1)),0)+SUM(N595)+IF(COUNTIF(N$641:N898,1)=1,5,0)+IF(COUNTIF(O596:$Z596,"&gt;"&amp;0)&gt;5,IF(MOD(COUNTIF(N$641:N898,1),7)=0,$C$4,0),0)</f>
        <v>327.919107142858</v>
      </c>
      <c r="O596" s="81" cm="1">
        <f ca="1" t="array" ref="O596">IF(O898=1,OFFSET($Z$338,$B596,O$335-1)/SUMPRODUCT(--($D$335:$V$335=O$335),--($D898:$V898=1)),0)+SUM(O595)+IF(COUNTIF(O$641:O898,1)=1,5,0)+IF(COUNTIF(P596:$Z596,"&gt;"&amp;0)&gt;5,IF(MOD(COUNTIF(O$641:O898,1),7)=0,$C$4,0),0)</f>
        <v>325.494107142858</v>
      </c>
      <c r="P596" s="81" cm="1">
        <f ca="1" t="array" ref="P596">IF(P898=1,OFFSET($Z$338,$B596,P$335-1)/SUMPRODUCT(--($D$335:$V$335=P$335),--($D898:$V898=1)),0)+SUM(P595)+IF(COUNTIF(P$641:P898,1)=1,5,0)+IF(COUNTIF(Q596:$Z596,"&gt;"&amp;0)&gt;5,IF(MOD(COUNTIF(P$641:P898,1),7)=0,$C$4,0),0)</f>
        <v>322.560773809524</v>
      </c>
      <c r="Q596" s="81" cm="1">
        <f ca="1" t="array" ref="Q596">IF(Q898=1,OFFSET($Z$338,$B596,Q$335-1)/SUMPRODUCT(--($D$335:$V$335=Q$335),--($D898:$V898=1)),0)+SUM(Q595)+IF(COUNTIF(Q$641:Q898,1)=1,5,0)+IF(COUNTIF(R596:$Z596,"&gt;"&amp;0)&gt;5,IF(MOD(COUNTIF(Q$641:Q898,1),7)=0,$C$4,0),0)</f>
        <v>321.654523809524</v>
      </c>
      <c r="R596" s="81" cm="1">
        <f ca="1" t="array" ref="R596">IF(R898=1,OFFSET($Z$338,$B596,R$335-1)/SUMPRODUCT(--($D$335:$V$335=R$335),--($D898:$V898=1)),0)+SUM(R595)+IF(COUNTIF(R$641:R898,1)=1,5,0)+IF(COUNTIF(S596:$Z596,"&gt;"&amp;0)&gt;5,IF(MOD(COUNTIF(R$641:R898,1),7)=0,$C$4,0),0)</f>
        <v>291.759523809524</v>
      </c>
      <c r="S596" s="81" cm="1">
        <f ca="1" t="array" ref="S596">IF(S898=1,OFFSET($Z$338,$B596,S$335-1)/SUMPRODUCT(--($D$335:$V$335=S$335),--($D898:$V898=1)),0)+SUM(S595)+IF(COUNTIF(S$641:S898,1)=1,5,0)+IF(COUNTIF(T596:$Z596,"&gt;"&amp;0)&gt;5,IF(MOD(COUNTIF(S$641:S898,1),7)=0,$C$4,0),0)</f>
        <v>287.592857142857</v>
      </c>
      <c r="T596" s="81" cm="1">
        <f ca="1" t="array" ref="T596">IF(T898=1,OFFSET($Z$338,$B596,T$335-1)/SUMPRODUCT(--($D$335:$V$335=T$335),--($D898:$V898=1)),0)+SUM(T595)+IF(COUNTIF(T$641:T898,1)=1,5,0)+IF(COUNTIF(U596:$Z596,"&gt;"&amp;0)&gt;5,IF(MOD(COUNTIF(T$641:T898,1),7)=0,$C$4,0),0)</f>
        <v>137.656257829764</v>
      </c>
      <c r="U596" s="81" cm="1">
        <f ca="1" t="array" ref="U596">IF(U898=1,OFFSET($Z$338,$B596,U$335-1)/SUMPRODUCT(--($D$335:$V$335=U$335),--($D898:$V898=1)),0)+SUM(U595)+IF(COUNTIF(U$641:U898,1)=1,5,0)+IF(COUNTIF(V596:$Z596,"&gt;"&amp;0)&gt;5,IF(MOD(COUNTIF(U$641:U898,1),7)=0,$C$4,0),0)</f>
        <v>97.6562578297643</v>
      </c>
      <c r="V596" s="81" cm="1">
        <f ca="1" t="array" ref="V596">IF(V898=1,OFFSET($Z$338,$B596,V$335-1)/SUMPRODUCT(--($D$335:$V$335=V$335),--($D898:$V898=1)),0)+SUM(V595)+IF(COUNTIF(V$641:V898,1)=1,5,0)+IF(COUNTIF(Z596:$Z596,"&gt;"&amp;0)&gt;5,IF(MOD(COUNTIF(V$641:V898,1),7)=0,$C$4,0),0)</f>
        <v>89.6984386404824</v>
      </c>
      <c r="W596" s="81" cm="1">
        <f ca="1" t="array" ref="W596">IF(W898=1,OFFSET($Z$338,$B596,W$335-1)/SUMPRODUCT(--($D$335:$V$335=W$335),--($D898:$V898=1)),0)+SUM(W595)+IF(COUNTIF(W$641:W898,1)=1,5,0)+IF(COUNTIF($Z596:AA596,"&gt;"&amp;0)&gt;5,IF(MOD(COUNTIF(W$641:W898,1),7)=0,$C$4,0),0)</f>
        <v>80.3425695255331</v>
      </c>
      <c r="X596" s="81" cm="1">
        <f ca="1" t="array" ref="X596">IF(X898=1,OFFSET($Z$338,$B596,X$335-1)/SUMPRODUCT(--($D$335:$V$335=X$335),--($D898:$V898=1)),0)+SUM(X595)+IF(COUNTIF(X$641:X898,1)=1,5,0)+IF(COUNTIF($Z596:AB596,"&gt;"&amp;0)&gt;5,IF(MOD(COUNTIF(X$641:X898,1),7)=0,$C$4,0),0)</f>
        <v>73.5789092348996</v>
      </c>
      <c r="Y596" s="81" cm="1">
        <f ca="1" t="array" ref="Y596">IF(Y898=1,OFFSET($Z$338,$B596,Y$335-1)/SUMPRODUCT(--($D$335:$V$335=Y$335),--($D898:$V898=1)),0)+SUM(Y595)+IF(COUNTIF(Y$641:Y898,1)=1,5,0)+IF(COUNTIF($Z596:AC596,"&gt;"&amp;0)&gt;5,IF(MOD(COUNTIF(Y$641:Y898,1),7)=0,$C$4,0),0)</f>
        <v>66.8152489442662</v>
      </c>
      <c r="Z596" s="82" cm="1">
        <f ca="1" t="array" ref="Z596">SUMPRODUCT(TRANSPOSE($AD596:$AJ596),OFFSET($L$10:$L$16,0,Z$335-1))</f>
        <v>0</v>
      </c>
      <c r="AA596" s="82" cm="1">
        <f ca="1" t="array" ref="AA596">SUMPRODUCT(TRANSPOSE($AD596:$AJ596),OFFSET($L$10:$L$16,0,AA$335-1))</f>
        <v>0</v>
      </c>
      <c r="AB596" s="82" cm="1">
        <f ca="1" t="array" ref="AB596">SUMPRODUCT(TRANSPOSE($AD596:$AJ596),OFFSET($L$10:$L$16,0,AB$335-1))</f>
        <v>0</v>
      </c>
      <c r="AC596" s="82" cm="1">
        <f ca="1" t="array" ref="AC596">SUMPRODUCT(TRANSPOSE($AD596:$AJ596),OFFSET($L$10:$L$16,0,AC$335-1))</f>
        <v>0</v>
      </c>
      <c r="AD596" s="83">
        <f ca="1" t="shared" ref="AD596:AJ596" si="843">AK596-AK595</f>
        <v>0</v>
      </c>
      <c r="AE596" s="83">
        <f ca="1" t="shared" si="843"/>
        <v>0</v>
      </c>
      <c r="AF596" s="83">
        <f ca="1" t="shared" si="843"/>
        <v>0</v>
      </c>
      <c r="AG596" s="83">
        <f ca="1" t="shared" si="843"/>
        <v>0</v>
      </c>
      <c r="AH596" s="83">
        <f ca="1" t="shared" si="843"/>
        <v>0</v>
      </c>
      <c r="AI596" s="83">
        <f ca="1" t="shared" si="843"/>
        <v>0</v>
      </c>
      <c r="AJ596" s="83">
        <f ca="1" t="shared" si="843"/>
        <v>0</v>
      </c>
      <c r="AK596" s="83">
        <f ca="1" t="shared" si="841"/>
        <v>450</v>
      </c>
      <c r="AL596" s="83">
        <f ca="1" t="shared" ref="AL596:AQ596" si="844">IF($C596&gt;OFFSET($Q$9,MATCH(AL$338,$AK$338:$AQ$338,0),0),OFFSET($P$9,MATCH(AL$338,$AK$338:$AQ$338,0),0),MAX(0,$C596-OFFSET($Q$9,RIGHT(AL$338,1)-1,0)))</f>
        <v>909</v>
      </c>
      <c r="AM596" s="83">
        <f ca="1" t="shared" si="844"/>
        <v>1818</v>
      </c>
      <c r="AN596" s="83">
        <f ca="1" t="shared" si="844"/>
        <v>2727</v>
      </c>
      <c r="AO596" s="83">
        <f ca="1" t="shared" si="844"/>
        <v>3636</v>
      </c>
      <c r="AP596" s="83">
        <f ca="1" t="shared" si="844"/>
        <v>4545</v>
      </c>
      <c r="AQ596" s="83">
        <f ca="1" t="shared" si="844"/>
        <v>0</v>
      </c>
    </row>
    <row r="597" ht="16.5" spans="2:43">
      <c r="B597" s="65">
        <v>259</v>
      </c>
      <c r="C597" s="80">
        <f t="shared" si="839"/>
        <v>29816</v>
      </c>
      <c r="D597" s="81" cm="1">
        <f ca="1" t="array" ref="D597">IF(D899=1,OFFSET($Z$338,$B597,D$335-1)/SUMPRODUCT(--($D$335:$V$335=D$335),--($D899:$V899=1)),0)+SUM(D596)+IF(COUNTIF(D$641:D899,1)=1,5,0)+IF(COUNTIF(E597:$Z597,"&gt;"&amp;0)&gt;5,IF(MOD(COUNTIF(D$641:D899,1),7)=0,$C$4,0),0)</f>
        <v>1303.82134856666</v>
      </c>
      <c r="E597" s="81" cm="1">
        <f ca="1" t="array" ref="E597">IF(E899=1,OFFSET($Z$338,$B597,E$335-1)/SUMPRODUCT(--($D$335:$V$335=E$335),--($D899:$V899=1)),0)+SUM(E596)+IF(COUNTIF(E$641:E899,1)=1,5,0)+IF(COUNTIF(F597:$Z597,"&gt;"&amp;0)&gt;5,IF(MOD(COUNTIF(E$641:E899,1),7)=0,$C$4,0),0)</f>
        <v>1303.82134856666</v>
      </c>
      <c r="F597" s="81" cm="1">
        <f ca="1" t="array" ref="F597">IF(F899=1,OFFSET($Z$338,$B597,F$335-1)/SUMPRODUCT(--($D$335:$V$335=F$335),--($D899:$V899=1)),0)+SUM(F596)+IF(COUNTIF(F$641:F899,1)=1,5,0)+IF(COUNTIF(G597:$Z597,"&gt;"&amp;0)&gt;5,IF(MOD(COUNTIF(F$641:F899,1),7)=0,$C$4,0),0)</f>
        <v>1303.82134856666</v>
      </c>
      <c r="G597" s="81" cm="1">
        <f ca="1" t="array" ref="G597">IF(G899=1,OFFSET($Z$338,$B597,G$335-1)/SUMPRODUCT(--($D$335:$V$335=G$335),--($D899:$V899=1)),0)+SUM(G596)+IF(COUNTIF(G$641:G899,1)=1,5,0)+IF(COUNTIF(H597:$Z597,"&gt;"&amp;0)&gt;5,IF(MOD(COUNTIF(G$641:G899,1),7)=0,$C$4,0),0)</f>
        <v>592.516666666668</v>
      </c>
      <c r="H597" s="81" cm="1">
        <f ca="1" t="array" ref="H597">IF(H899=1,OFFSET($Z$338,$B597,H$335-1)/SUMPRODUCT(--($D$335:$V$335=H$335),--($D899:$V899=1)),0)+SUM(H596)+IF(COUNTIF(H$641:H899,1)=1,5,0)+IF(COUNTIF(I597:$Z597,"&gt;"&amp;0)&gt;5,IF(MOD(COUNTIF(H$641:H899,1),7)=0,$C$4,0),0)</f>
        <v>592.516666666668</v>
      </c>
      <c r="I597" s="81" cm="1">
        <f ca="1" t="array" ref="I597">IF(I899=1,OFFSET($Z$338,$B597,I$335-1)/SUMPRODUCT(--($D$335:$V$335=I$335),--($D899:$V899=1)),0)+SUM(I596)+IF(COUNTIF(I$641:I899,1)=1,5,0)+IF(COUNTIF(J597:$Z597,"&gt;"&amp;0)&gt;5,IF(MOD(COUNTIF(I$641:I899,1),7)=0,$C$4,0),0)</f>
        <v>592.516666666668</v>
      </c>
      <c r="J597" s="81" cm="1">
        <f ca="1" t="array" ref="J597">IF(J899=1,OFFSET($Z$338,$B597,J$335-1)/SUMPRODUCT(--($D$335:$V$335=J$335),--($D899:$V899=1)),0)+SUM(J596)+IF(COUNTIF(J$641:J899,1)=1,5,0)+IF(COUNTIF(K597:$Z597,"&gt;"&amp;0)&gt;5,IF(MOD(COUNTIF(J$641:J899,1),7)=0,$C$4,0),0)</f>
        <v>592.516666666668</v>
      </c>
      <c r="K597" s="81" cm="1">
        <f ca="1" t="array" ref="K597">IF(K899=1,OFFSET($Z$338,$B597,K$335-1)/SUMPRODUCT(--($D$335:$V$335=K$335),--($D899:$V899=1)),0)+SUM(K596)+IF(COUNTIF(K$641:K899,1)=1,5,0)+IF(COUNTIF(L597:$Z597,"&gt;"&amp;0)&gt;5,IF(MOD(COUNTIF(K$641:K899,1),7)=0,$C$4,0),0)</f>
        <v>592.516666666668</v>
      </c>
      <c r="L597" s="81" cm="1">
        <f ca="1" t="array" ref="L597">IF(L899=1,OFFSET($Z$338,$B597,L$335-1)/SUMPRODUCT(--($D$335:$V$335=L$335),--($D899:$V899=1)),0)+SUM(L596)+IF(COUNTIF(L$641:L899,1)=1,5,0)+IF(COUNTIF(M597:$Z597,"&gt;"&amp;0)&gt;5,IF(MOD(COUNTIF(L$641:L899,1),7)=0,$C$4,0),0)</f>
        <v>580.816666666668</v>
      </c>
      <c r="M597" s="81" cm="1">
        <f ca="1" t="array" ref="M597">IF(M899=1,OFFSET($Z$338,$B597,M$335-1)/SUMPRODUCT(--($D$335:$V$335=M$335),--($D899:$V899=1)),0)+SUM(M596)+IF(COUNTIF(M$641:M899,1)=1,5,0)+IF(COUNTIF(N597:$Z597,"&gt;"&amp;0)&gt;5,IF(MOD(COUNTIF(M$641:M899,1),7)=0,$C$4,0),0)</f>
        <v>335.644107142858</v>
      </c>
      <c r="N597" s="81" cm="1">
        <f ca="1" t="array" ref="N597">IF(N899=1,OFFSET($Z$338,$B597,N$335-1)/SUMPRODUCT(--($D$335:$V$335=N$335),--($D899:$V899=1)),0)+SUM(N596)+IF(COUNTIF(N$641:N899,1)=1,5,0)+IF(COUNTIF(O597:$Z597,"&gt;"&amp;0)&gt;5,IF(MOD(COUNTIF(N$641:N899,1),7)=0,$C$4,0),0)</f>
        <v>327.919107142858</v>
      </c>
      <c r="O597" s="81" cm="1">
        <f ca="1" t="array" ref="O597">IF(O899=1,OFFSET($Z$338,$B597,O$335-1)/SUMPRODUCT(--($D$335:$V$335=O$335),--($D899:$V899=1)),0)+SUM(O596)+IF(COUNTIF(O$641:O899,1)=1,5,0)+IF(COUNTIF(P597:$Z597,"&gt;"&amp;0)&gt;5,IF(MOD(COUNTIF(O$641:O899,1),7)=0,$C$4,0),0)</f>
        <v>325.494107142858</v>
      </c>
      <c r="P597" s="81" cm="1">
        <f ca="1" t="array" ref="P597">IF(P899=1,OFFSET($Z$338,$B597,P$335-1)/SUMPRODUCT(--($D$335:$V$335=P$335),--($D899:$V899=1)),0)+SUM(P596)+IF(COUNTIF(P$641:P899,1)=1,5,0)+IF(COUNTIF(Q597:$Z597,"&gt;"&amp;0)&gt;5,IF(MOD(COUNTIF(P$641:P899,1),7)=0,$C$4,0),0)</f>
        <v>322.560773809524</v>
      </c>
      <c r="Q597" s="81" cm="1">
        <f ca="1" t="array" ref="Q597">IF(Q899=1,OFFSET($Z$338,$B597,Q$335-1)/SUMPRODUCT(--($D$335:$V$335=Q$335),--($D899:$V899=1)),0)+SUM(Q596)+IF(COUNTIF(Q$641:Q899,1)=1,5,0)+IF(COUNTIF(R597:$Z597,"&gt;"&amp;0)&gt;5,IF(MOD(COUNTIF(Q$641:Q899,1),7)=0,$C$4,0),0)</f>
        <v>321.654523809524</v>
      </c>
      <c r="R597" s="81" cm="1">
        <f ca="1" t="array" ref="R597">IF(R899=1,OFFSET($Z$338,$B597,R$335-1)/SUMPRODUCT(--($D$335:$V$335=R$335),--($D899:$V899=1)),0)+SUM(R596)+IF(COUNTIF(R$641:R899,1)=1,5,0)+IF(COUNTIF(S597:$Z597,"&gt;"&amp;0)&gt;5,IF(MOD(COUNTIF(R$641:R899,1),7)=0,$C$4,0),0)</f>
        <v>296.759523809524</v>
      </c>
      <c r="S597" s="81" cm="1">
        <f ca="1" t="array" ref="S597">IF(S899=1,OFFSET($Z$338,$B597,S$335-1)/SUMPRODUCT(--($D$335:$V$335=S$335),--($D899:$V899=1)),0)+SUM(S596)+IF(COUNTIF(S$641:S899,1)=1,5,0)+IF(COUNTIF(T597:$Z597,"&gt;"&amp;0)&gt;5,IF(MOD(COUNTIF(S$641:S899,1),7)=0,$C$4,0),0)</f>
        <v>287.592857142857</v>
      </c>
      <c r="T597" s="81" cm="1">
        <f ca="1" t="array" ref="T597">IF(T899=1,OFFSET($Z$338,$B597,T$335-1)/SUMPRODUCT(--($D$335:$V$335=T$335),--($D899:$V899=1)),0)+SUM(T596)+IF(COUNTIF(T$641:T899,1)=1,5,0)+IF(COUNTIF(U597:$Z597,"&gt;"&amp;0)&gt;5,IF(MOD(COUNTIF(T$641:T899,1),7)=0,$C$4,0),0)</f>
        <v>137.656257829764</v>
      </c>
      <c r="U597" s="81" cm="1">
        <f ca="1" t="array" ref="U597">IF(U899=1,OFFSET($Z$338,$B597,U$335-1)/SUMPRODUCT(--($D$335:$V$335=U$335),--($D899:$V899=1)),0)+SUM(U596)+IF(COUNTIF(U$641:U899,1)=1,5,0)+IF(COUNTIF(V597:$Z597,"&gt;"&amp;0)&gt;5,IF(MOD(COUNTIF(U$641:U899,1),7)=0,$C$4,0),0)</f>
        <v>97.6562578297643</v>
      </c>
      <c r="V597" s="81" cm="1">
        <f ca="1" t="array" ref="V597">IF(V899=1,OFFSET($Z$338,$B597,V$335-1)/SUMPRODUCT(--($D$335:$V$335=V$335),--($D899:$V899=1)),0)+SUM(V596)+IF(COUNTIF(V$641:V899,1)=1,5,0)+IF(COUNTIF(Z597:$Z597,"&gt;"&amp;0)&gt;5,IF(MOD(COUNTIF(V$641:V899,1),7)=0,$C$4,0),0)</f>
        <v>89.6984386404824</v>
      </c>
      <c r="W597" s="81" cm="1">
        <f ca="1" t="array" ref="W597">IF(W899=1,OFFSET($Z$338,$B597,W$335-1)/SUMPRODUCT(--($D$335:$V$335=W$335),--($D899:$V899=1)),0)+SUM(W596)+IF(COUNTIF(W$641:W899,1)=1,5,0)+IF(COUNTIF($Z597:AA597,"&gt;"&amp;0)&gt;5,IF(MOD(COUNTIF(W$641:W899,1),7)=0,$C$4,0),0)</f>
        <v>80.3425695255331</v>
      </c>
      <c r="X597" s="81" cm="1">
        <f ca="1" t="array" ref="X597">IF(X899=1,OFFSET($Z$338,$B597,X$335-1)/SUMPRODUCT(--($D$335:$V$335=X$335),--($D899:$V899=1)),0)+SUM(X596)+IF(COUNTIF(X$641:X899,1)=1,5,0)+IF(COUNTIF($Z597:AB597,"&gt;"&amp;0)&gt;5,IF(MOD(COUNTIF(X$641:X899,1),7)=0,$C$4,0),0)</f>
        <v>73.5789092348996</v>
      </c>
      <c r="Y597" s="81" cm="1">
        <f ca="1" t="array" ref="Y597">IF(Y899=1,OFFSET($Z$338,$B597,Y$335-1)/SUMPRODUCT(--($D$335:$V$335=Y$335),--($D899:$V899=1)),0)+SUM(Y596)+IF(COUNTIF(Y$641:Y899,1)=1,5,0)+IF(COUNTIF($Z597:AC597,"&gt;"&amp;0)&gt;5,IF(MOD(COUNTIF(Y$641:Y899,1),7)=0,$C$4,0),0)</f>
        <v>66.8152489442662</v>
      </c>
      <c r="Z597" s="82" cm="1">
        <f ca="1" t="array" ref="Z597">SUMPRODUCT(TRANSPOSE($AD597:$AJ597),OFFSET($L$10:$L$16,0,Z$335-1))</f>
        <v>0</v>
      </c>
      <c r="AA597" s="82" cm="1">
        <f ca="1" t="array" ref="AA597">SUMPRODUCT(TRANSPOSE($AD597:$AJ597),OFFSET($L$10:$L$16,0,AA$335-1))</f>
        <v>0</v>
      </c>
      <c r="AB597" s="82" cm="1">
        <f ca="1" t="array" ref="AB597">SUMPRODUCT(TRANSPOSE($AD597:$AJ597),OFFSET($L$10:$L$16,0,AB$335-1))</f>
        <v>0</v>
      </c>
      <c r="AC597" s="82" cm="1">
        <f ca="1" t="array" ref="AC597">SUMPRODUCT(TRANSPOSE($AD597:$AJ597),OFFSET($L$10:$L$16,0,AC$335-1))</f>
        <v>0</v>
      </c>
      <c r="AD597" s="83">
        <f ca="1" t="shared" ref="AD597:AJ597" si="845">AK597-AK596</f>
        <v>0</v>
      </c>
      <c r="AE597" s="83">
        <f ca="1" t="shared" si="845"/>
        <v>0</v>
      </c>
      <c r="AF597" s="83">
        <f ca="1" t="shared" si="845"/>
        <v>0</v>
      </c>
      <c r="AG597" s="83">
        <f ca="1" t="shared" si="845"/>
        <v>0</v>
      </c>
      <c r="AH597" s="83">
        <f ca="1" t="shared" si="845"/>
        <v>0</v>
      </c>
      <c r="AI597" s="83">
        <f ca="1" t="shared" si="845"/>
        <v>0</v>
      </c>
      <c r="AJ597" s="83">
        <f ca="1" t="shared" si="845"/>
        <v>0</v>
      </c>
      <c r="AK597" s="83">
        <f ca="1" t="shared" si="841"/>
        <v>450</v>
      </c>
      <c r="AL597" s="83">
        <f ca="1" t="shared" ref="AL597:AQ597" si="846">IF($C597&gt;OFFSET($Q$9,MATCH(AL$338,$AK$338:$AQ$338,0),0),OFFSET($P$9,MATCH(AL$338,$AK$338:$AQ$338,0),0),MAX(0,$C597-OFFSET($Q$9,RIGHT(AL$338,1)-1,0)))</f>
        <v>909</v>
      </c>
      <c r="AM597" s="83">
        <f ca="1" t="shared" si="846"/>
        <v>1818</v>
      </c>
      <c r="AN597" s="83">
        <f ca="1" t="shared" si="846"/>
        <v>2727</v>
      </c>
      <c r="AO597" s="83">
        <f ca="1" t="shared" si="846"/>
        <v>3636</v>
      </c>
      <c r="AP597" s="83">
        <f ca="1" t="shared" si="846"/>
        <v>4545</v>
      </c>
      <c r="AQ597" s="83">
        <f ca="1" t="shared" si="846"/>
        <v>0</v>
      </c>
    </row>
    <row r="598" ht="16.5" spans="2:43">
      <c r="B598" s="65">
        <v>260</v>
      </c>
      <c r="C598" s="80">
        <f t="shared" si="839"/>
        <v>29926</v>
      </c>
      <c r="D598" s="81" cm="1">
        <f ca="1" t="array" ref="D598">IF(D900=1,OFFSET($Z$338,$B598,D$335-1)/SUMPRODUCT(--($D$335:$V$335=D$335),--($D900:$V900=1)),0)+SUM(D597)+IF(COUNTIF(D$641:D900,1)=1,5,0)+IF(COUNTIF(E598:$Z598,"&gt;"&amp;0)&gt;5,IF(MOD(COUNTIF(D$641:D900,1),7)=0,$C$4,0),0)</f>
        <v>1303.82134856666</v>
      </c>
      <c r="E598" s="81" cm="1">
        <f ca="1" t="array" ref="E598">IF(E900=1,OFFSET($Z$338,$B598,E$335-1)/SUMPRODUCT(--($D$335:$V$335=E$335),--($D900:$V900=1)),0)+SUM(E597)+IF(COUNTIF(E$641:E900,1)=1,5,0)+IF(COUNTIF(F598:$Z598,"&gt;"&amp;0)&gt;5,IF(MOD(COUNTIF(E$641:E900,1),7)=0,$C$4,0),0)</f>
        <v>1303.82134856666</v>
      </c>
      <c r="F598" s="81" cm="1">
        <f ca="1" t="array" ref="F598">IF(F900=1,OFFSET($Z$338,$B598,F$335-1)/SUMPRODUCT(--($D$335:$V$335=F$335),--($D900:$V900=1)),0)+SUM(F597)+IF(COUNTIF(F$641:F900,1)=1,5,0)+IF(COUNTIF(G598:$Z598,"&gt;"&amp;0)&gt;5,IF(MOD(COUNTIF(F$641:F900,1),7)=0,$C$4,0),0)</f>
        <v>1303.82134856666</v>
      </c>
      <c r="G598" s="81" cm="1">
        <f ca="1" t="array" ref="G598">IF(G900=1,OFFSET($Z$338,$B598,G$335-1)/SUMPRODUCT(--($D$335:$V$335=G$335),--($D900:$V900=1)),0)+SUM(G597)+IF(COUNTIF(G$641:G900,1)=1,5,0)+IF(COUNTIF(H598:$Z598,"&gt;"&amp;0)&gt;5,IF(MOD(COUNTIF(G$641:G900,1),7)=0,$C$4,0),0)</f>
        <v>592.516666666668</v>
      </c>
      <c r="H598" s="81" cm="1">
        <f ca="1" t="array" ref="H598">IF(H900=1,OFFSET($Z$338,$B598,H$335-1)/SUMPRODUCT(--($D$335:$V$335=H$335),--($D900:$V900=1)),0)+SUM(H597)+IF(COUNTIF(H$641:H900,1)=1,5,0)+IF(COUNTIF(I598:$Z598,"&gt;"&amp;0)&gt;5,IF(MOD(COUNTIF(H$641:H900,1),7)=0,$C$4,0),0)</f>
        <v>592.516666666668</v>
      </c>
      <c r="I598" s="81" cm="1">
        <f ca="1" t="array" ref="I598">IF(I900=1,OFFSET($Z$338,$B598,I$335-1)/SUMPRODUCT(--($D$335:$V$335=I$335),--($D900:$V900=1)),0)+SUM(I597)+IF(COUNTIF(I$641:I900,1)=1,5,0)+IF(COUNTIF(J598:$Z598,"&gt;"&amp;0)&gt;5,IF(MOD(COUNTIF(I$641:I900,1),7)=0,$C$4,0),0)</f>
        <v>592.516666666668</v>
      </c>
      <c r="J598" s="81" cm="1">
        <f ca="1" t="array" ref="J598">IF(J900=1,OFFSET($Z$338,$B598,J$335-1)/SUMPRODUCT(--($D$335:$V$335=J$335),--($D900:$V900=1)),0)+SUM(J597)+IF(COUNTIF(J$641:J900,1)=1,5,0)+IF(COUNTIF(K598:$Z598,"&gt;"&amp;0)&gt;5,IF(MOD(COUNTIF(J$641:J900,1),7)=0,$C$4,0),0)</f>
        <v>592.516666666668</v>
      </c>
      <c r="K598" s="81" cm="1">
        <f ca="1" t="array" ref="K598">IF(K900=1,OFFSET($Z$338,$B598,K$335-1)/SUMPRODUCT(--($D$335:$V$335=K$335),--($D900:$V900=1)),0)+SUM(K597)+IF(COUNTIF(K$641:K900,1)=1,5,0)+IF(COUNTIF(L598:$Z598,"&gt;"&amp;0)&gt;5,IF(MOD(COUNTIF(K$641:K900,1),7)=0,$C$4,0),0)</f>
        <v>592.516666666668</v>
      </c>
      <c r="L598" s="81" cm="1">
        <f ca="1" t="array" ref="L598">IF(L900=1,OFFSET($Z$338,$B598,L$335-1)/SUMPRODUCT(--($D$335:$V$335=L$335),--($D900:$V900=1)),0)+SUM(L597)+IF(COUNTIF(L$641:L900,1)=1,5,0)+IF(COUNTIF(M598:$Z598,"&gt;"&amp;0)&gt;5,IF(MOD(COUNTIF(L$641:L900,1),7)=0,$C$4,0),0)</f>
        <v>585.816666666668</v>
      </c>
      <c r="M598" s="81" cm="1">
        <f ca="1" t="array" ref="M598">IF(M900=1,OFFSET($Z$338,$B598,M$335-1)/SUMPRODUCT(--($D$335:$V$335=M$335),--($D900:$V900=1)),0)+SUM(M597)+IF(COUNTIF(M$641:M900,1)=1,5,0)+IF(COUNTIF(N598:$Z598,"&gt;"&amp;0)&gt;5,IF(MOD(COUNTIF(M$641:M900,1),7)=0,$C$4,0),0)</f>
        <v>340.644107142858</v>
      </c>
      <c r="N598" s="81" cm="1">
        <f ca="1" t="array" ref="N598">IF(N900=1,OFFSET($Z$338,$B598,N$335-1)/SUMPRODUCT(--($D$335:$V$335=N$335),--($D900:$V900=1)),0)+SUM(N597)+IF(COUNTIF(N$641:N900,1)=1,5,0)+IF(COUNTIF(O598:$Z598,"&gt;"&amp;0)&gt;5,IF(MOD(COUNTIF(N$641:N900,1),7)=0,$C$4,0),0)</f>
        <v>327.919107142858</v>
      </c>
      <c r="O598" s="81" cm="1">
        <f ca="1" t="array" ref="O598">IF(O900=1,OFFSET($Z$338,$B598,O$335-1)/SUMPRODUCT(--($D$335:$V$335=O$335),--($D900:$V900=1)),0)+SUM(O597)+IF(COUNTIF(O$641:O900,1)=1,5,0)+IF(COUNTIF(P598:$Z598,"&gt;"&amp;0)&gt;5,IF(MOD(COUNTIF(O$641:O900,1),7)=0,$C$4,0),0)</f>
        <v>325.494107142858</v>
      </c>
      <c r="P598" s="81" cm="1">
        <f ca="1" t="array" ref="P598">IF(P900=1,OFFSET($Z$338,$B598,P$335-1)/SUMPRODUCT(--($D$335:$V$335=P$335),--($D900:$V900=1)),0)+SUM(P597)+IF(COUNTIF(P$641:P900,1)=1,5,0)+IF(COUNTIF(Q598:$Z598,"&gt;"&amp;0)&gt;5,IF(MOD(COUNTIF(P$641:P900,1),7)=0,$C$4,0),0)</f>
        <v>322.560773809524</v>
      </c>
      <c r="Q598" s="81" cm="1">
        <f ca="1" t="array" ref="Q598">IF(Q900=1,OFFSET($Z$338,$B598,Q$335-1)/SUMPRODUCT(--($D$335:$V$335=Q$335),--($D900:$V900=1)),0)+SUM(Q597)+IF(COUNTIF(Q$641:Q900,1)=1,5,0)+IF(COUNTIF(R598:$Z598,"&gt;"&amp;0)&gt;5,IF(MOD(COUNTIF(Q$641:Q900,1),7)=0,$C$4,0),0)</f>
        <v>321.654523809524</v>
      </c>
      <c r="R598" s="81" cm="1">
        <f ca="1" t="array" ref="R598">IF(R900=1,OFFSET($Z$338,$B598,R$335-1)/SUMPRODUCT(--($D$335:$V$335=R$335),--($D900:$V900=1)),0)+SUM(R597)+IF(COUNTIF(R$641:R900,1)=1,5,0)+IF(COUNTIF(S598:$Z598,"&gt;"&amp;0)&gt;5,IF(MOD(COUNTIF(R$641:R900,1),7)=0,$C$4,0),0)</f>
        <v>296.759523809524</v>
      </c>
      <c r="S598" s="81" cm="1">
        <f ca="1" t="array" ref="S598">IF(S900=1,OFFSET($Z$338,$B598,S$335-1)/SUMPRODUCT(--($D$335:$V$335=S$335),--($D900:$V900=1)),0)+SUM(S597)+IF(COUNTIF(S$641:S900,1)=1,5,0)+IF(COUNTIF(T598:$Z598,"&gt;"&amp;0)&gt;5,IF(MOD(COUNTIF(S$641:S900,1),7)=0,$C$4,0),0)</f>
        <v>287.592857142857</v>
      </c>
      <c r="T598" s="81" cm="1">
        <f ca="1" t="array" ref="T598">IF(T900=1,OFFSET($Z$338,$B598,T$335-1)/SUMPRODUCT(--($D$335:$V$335=T$335),--($D900:$V900=1)),0)+SUM(T597)+IF(COUNTIF(T$641:T900,1)=1,5,0)+IF(COUNTIF(U598:$Z598,"&gt;"&amp;0)&gt;5,IF(MOD(COUNTIF(T$641:T900,1),7)=0,$C$4,0),0)</f>
        <v>137.656257829764</v>
      </c>
      <c r="U598" s="81" cm="1">
        <f ca="1" t="array" ref="U598">IF(U900=1,OFFSET($Z$338,$B598,U$335-1)/SUMPRODUCT(--($D$335:$V$335=U$335),--($D900:$V900=1)),0)+SUM(U597)+IF(COUNTIF(U$641:U900,1)=1,5,0)+IF(COUNTIF(V598:$Z598,"&gt;"&amp;0)&gt;5,IF(MOD(COUNTIF(U$641:U900,1),7)=0,$C$4,0),0)</f>
        <v>97.6562578297643</v>
      </c>
      <c r="V598" s="81" cm="1">
        <f ca="1" t="array" ref="V598">IF(V900=1,OFFSET($Z$338,$B598,V$335-1)/SUMPRODUCT(--($D$335:$V$335=V$335),--($D900:$V900=1)),0)+SUM(V597)+IF(COUNTIF(V$641:V900,1)=1,5,0)+IF(COUNTIF(Z598:$Z598,"&gt;"&amp;0)&gt;5,IF(MOD(COUNTIF(V$641:V900,1),7)=0,$C$4,0),0)</f>
        <v>89.6984386404824</v>
      </c>
      <c r="W598" s="81" cm="1">
        <f ca="1" t="array" ref="W598">IF(W900=1,OFFSET($Z$338,$B598,W$335-1)/SUMPRODUCT(--($D$335:$V$335=W$335),--($D900:$V900=1)),0)+SUM(W597)+IF(COUNTIF(W$641:W900,1)=1,5,0)+IF(COUNTIF($Z598:AA598,"&gt;"&amp;0)&gt;5,IF(MOD(COUNTIF(W$641:W900,1),7)=0,$C$4,0),0)</f>
        <v>80.3425695255331</v>
      </c>
      <c r="X598" s="81" cm="1">
        <f ca="1" t="array" ref="X598">IF(X900=1,OFFSET($Z$338,$B598,X$335-1)/SUMPRODUCT(--($D$335:$V$335=X$335),--($D900:$V900=1)),0)+SUM(X597)+IF(COUNTIF(X$641:X900,1)=1,5,0)+IF(COUNTIF($Z598:AB598,"&gt;"&amp;0)&gt;5,IF(MOD(COUNTIF(X$641:X900,1),7)=0,$C$4,0),0)</f>
        <v>73.5789092348996</v>
      </c>
      <c r="Y598" s="81" cm="1">
        <f ca="1" t="array" ref="Y598">IF(Y900=1,OFFSET($Z$338,$B598,Y$335-1)/SUMPRODUCT(--($D$335:$V$335=Y$335),--($D900:$V900=1)),0)+SUM(Y597)+IF(COUNTIF(Y$641:Y900,1)=1,5,0)+IF(COUNTIF($Z598:AC598,"&gt;"&amp;0)&gt;5,IF(MOD(COUNTIF(Y$641:Y900,1),7)=0,$C$4,0),0)</f>
        <v>66.8152489442662</v>
      </c>
      <c r="Z598" s="82" cm="1">
        <f ca="1" t="array" ref="Z598">SUMPRODUCT(TRANSPOSE($AD598:$AJ598),OFFSET($L$10:$L$16,0,Z$335-1))</f>
        <v>0</v>
      </c>
      <c r="AA598" s="82" cm="1">
        <f ca="1" t="array" ref="AA598">SUMPRODUCT(TRANSPOSE($AD598:$AJ598),OFFSET($L$10:$L$16,0,AA$335-1))</f>
        <v>0</v>
      </c>
      <c r="AB598" s="82" cm="1">
        <f ca="1" t="array" ref="AB598">SUMPRODUCT(TRANSPOSE($AD598:$AJ598),OFFSET($L$10:$L$16,0,AB$335-1))</f>
        <v>0</v>
      </c>
      <c r="AC598" s="82" cm="1">
        <f ca="1" t="array" ref="AC598">SUMPRODUCT(TRANSPOSE($AD598:$AJ598),OFFSET($L$10:$L$16,0,AC$335-1))</f>
        <v>0</v>
      </c>
      <c r="AD598" s="83">
        <f ca="1" t="shared" ref="AD598:AJ598" si="847">AK598-AK597</f>
        <v>0</v>
      </c>
      <c r="AE598" s="83">
        <f ca="1" t="shared" si="847"/>
        <v>0</v>
      </c>
      <c r="AF598" s="83">
        <f ca="1" t="shared" si="847"/>
        <v>0</v>
      </c>
      <c r="AG598" s="83">
        <f ca="1" t="shared" si="847"/>
        <v>0</v>
      </c>
      <c r="AH598" s="83">
        <f ca="1" t="shared" si="847"/>
        <v>0</v>
      </c>
      <c r="AI598" s="83">
        <f ca="1" t="shared" si="847"/>
        <v>0</v>
      </c>
      <c r="AJ598" s="83">
        <f ca="1" t="shared" si="847"/>
        <v>0</v>
      </c>
      <c r="AK598" s="83">
        <f ca="1" t="shared" si="841"/>
        <v>450</v>
      </c>
      <c r="AL598" s="83">
        <f ca="1" t="shared" ref="AL598:AQ598" si="848">IF($C598&gt;OFFSET($Q$9,MATCH(AL$338,$AK$338:$AQ$338,0),0),OFFSET($P$9,MATCH(AL$338,$AK$338:$AQ$338,0),0),MAX(0,$C598-OFFSET($Q$9,RIGHT(AL$338,1)-1,0)))</f>
        <v>909</v>
      </c>
      <c r="AM598" s="83">
        <f ca="1" t="shared" si="848"/>
        <v>1818</v>
      </c>
      <c r="AN598" s="83">
        <f ca="1" t="shared" si="848"/>
        <v>2727</v>
      </c>
      <c r="AO598" s="83">
        <f ca="1" t="shared" si="848"/>
        <v>3636</v>
      </c>
      <c r="AP598" s="83">
        <f ca="1" t="shared" si="848"/>
        <v>4545</v>
      </c>
      <c r="AQ598" s="83">
        <f ca="1" t="shared" si="848"/>
        <v>0</v>
      </c>
    </row>
    <row r="599" ht="16.5" spans="2:43">
      <c r="B599" s="65">
        <v>261</v>
      </c>
      <c r="C599" s="80">
        <f t="shared" si="839"/>
        <v>30036</v>
      </c>
      <c r="D599" s="81" cm="1">
        <f ca="1" t="array" ref="D599">IF(D901=1,OFFSET($Z$338,$B599,D$335-1)/SUMPRODUCT(--($D$335:$V$335=D$335),--($D901:$V901=1)),0)+SUM(D598)+IF(COUNTIF(D$641:D901,1)=1,5,0)+IF(COUNTIF(E599:$Z599,"&gt;"&amp;0)&gt;5,IF(MOD(COUNTIF(D$641:D901,1),7)=0,$C$4,0),0)</f>
        <v>1303.82134856666</v>
      </c>
      <c r="E599" s="81" cm="1">
        <f ca="1" t="array" ref="E599">IF(E901=1,OFFSET($Z$338,$B599,E$335-1)/SUMPRODUCT(--($D$335:$V$335=E$335),--($D901:$V901=1)),0)+SUM(E598)+IF(COUNTIF(E$641:E901,1)=1,5,0)+IF(COUNTIF(F599:$Z599,"&gt;"&amp;0)&gt;5,IF(MOD(COUNTIF(E$641:E901,1),7)=0,$C$4,0),0)</f>
        <v>1303.82134856666</v>
      </c>
      <c r="F599" s="81" cm="1">
        <f ca="1" t="array" ref="F599">IF(F901=1,OFFSET($Z$338,$B599,F$335-1)/SUMPRODUCT(--($D$335:$V$335=F$335),--($D901:$V901=1)),0)+SUM(F598)+IF(COUNTIF(F$641:F901,1)=1,5,0)+IF(COUNTIF(G599:$Z599,"&gt;"&amp;0)&gt;5,IF(MOD(COUNTIF(F$641:F901,1),7)=0,$C$4,0),0)</f>
        <v>1303.82134856666</v>
      </c>
      <c r="G599" s="81" cm="1">
        <f ca="1" t="array" ref="G599">IF(G901=1,OFFSET($Z$338,$B599,G$335-1)/SUMPRODUCT(--($D$335:$V$335=G$335),--($D901:$V901=1)),0)+SUM(G598)+IF(COUNTIF(G$641:G901,1)=1,5,0)+IF(COUNTIF(H599:$Z599,"&gt;"&amp;0)&gt;5,IF(MOD(COUNTIF(G$641:G901,1),7)=0,$C$4,0),0)</f>
        <v>592.516666666668</v>
      </c>
      <c r="H599" s="81" cm="1">
        <f ca="1" t="array" ref="H599">IF(H901=1,OFFSET($Z$338,$B599,H$335-1)/SUMPRODUCT(--($D$335:$V$335=H$335),--($D901:$V901=1)),0)+SUM(H598)+IF(COUNTIF(H$641:H901,1)=1,5,0)+IF(COUNTIF(I599:$Z599,"&gt;"&amp;0)&gt;5,IF(MOD(COUNTIF(H$641:H901,1),7)=0,$C$4,0),0)</f>
        <v>592.516666666668</v>
      </c>
      <c r="I599" s="81" cm="1">
        <f ca="1" t="array" ref="I599">IF(I901=1,OFFSET($Z$338,$B599,I$335-1)/SUMPRODUCT(--($D$335:$V$335=I$335),--($D901:$V901=1)),0)+SUM(I598)+IF(COUNTIF(I$641:I901,1)=1,5,0)+IF(COUNTIF(J599:$Z599,"&gt;"&amp;0)&gt;5,IF(MOD(COUNTIF(I$641:I901,1),7)=0,$C$4,0),0)</f>
        <v>592.516666666668</v>
      </c>
      <c r="J599" s="81" cm="1">
        <f ca="1" t="array" ref="J599">IF(J901=1,OFFSET($Z$338,$B599,J$335-1)/SUMPRODUCT(--($D$335:$V$335=J$335),--($D901:$V901=1)),0)+SUM(J598)+IF(COUNTIF(J$641:J901,1)=1,5,0)+IF(COUNTIF(K599:$Z599,"&gt;"&amp;0)&gt;5,IF(MOD(COUNTIF(J$641:J901,1),7)=0,$C$4,0),0)</f>
        <v>592.516666666668</v>
      </c>
      <c r="K599" s="81" cm="1">
        <f ca="1" t="array" ref="K599">IF(K901=1,OFFSET($Z$338,$B599,K$335-1)/SUMPRODUCT(--($D$335:$V$335=K$335),--($D901:$V901=1)),0)+SUM(K598)+IF(COUNTIF(K$641:K901,1)=1,5,0)+IF(COUNTIF(L599:$Z599,"&gt;"&amp;0)&gt;5,IF(MOD(COUNTIF(K$641:K901,1),7)=0,$C$4,0),0)</f>
        <v>592.516666666668</v>
      </c>
      <c r="L599" s="81" cm="1">
        <f ca="1" t="array" ref="L599">IF(L901=1,OFFSET($Z$338,$B599,L$335-1)/SUMPRODUCT(--($D$335:$V$335=L$335),--($D901:$V901=1)),0)+SUM(L598)+IF(COUNTIF(L$641:L901,1)=1,5,0)+IF(COUNTIF(M599:$Z599,"&gt;"&amp;0)&gt;5,IF(MOD(COUNTIF(L$641:L901,1),7)=0,$C$4,0),0)</f>
        <v>585.816666666668</v>
      </c>
      <c r="M599" s="81" cm="1">
        <f ca="1" t="array" ref="M599">IF(M901=1,OFFSET($Z$338,$B599,M$335-1)/SUMPRODUCT(--($D$335:$V$335=M$335),--($D901:$V901=1)),0)+SUM(M598)+IF(COUNTIF(M$641:M901,1)=1,5,0)+IF(COUNTIF(N599:$Z599,"&gt;"&amp;0)&gt;5,IF(MOD(COUNTIF(M$641:M901,1),7)=0,$C$4,0),0)</f>
        <v>340.644107142858</v>
      </c>
      <c r="N599" s="81" cm="1">
        <f ca="1" t="array" ref="N599">IF(N901=1,OFFSET($Z$338,$B599,N$335-1)/SUMPRODUCT(--($D$335:$V$335=N$335),--($D901:$V901=1)),0)+SUM(N598)+IF(COUNTIF(N$641:N901,1)=1,5,0)+IF(COUNTIF(O599:$Z599,"&gt;"&amp;0)&gt;5,IF(MOD(COUNTIF(N$641:N901,1),7)=0,$C$4,0),0)</f>
        <v>332.919107142858</v>
      </c>
      <c r="O599" s="81" cm="1">
        <f ca="1" t="array" ref="O599">IF(O901=1,OFFSET($Z$338,$B599,O$335-1)/SUMPRODUCT(--($D$335:$V$335=O$335),--($D901:$V901=1)),0)+SUM(O598)+IF(COUNTIF(O$641:O901,1)=1,5,0)+IF(COUNTIF(P599:$Z599,"&gt;"&amp;0)&gt;5,IF(MOD(COUNTIF(O$641:O901,1),7)=0,$C$4,0),0)</f>
        <v>325.494107142858</v>
      </c>
      <c r="P599" s="81" cm="1">
        <f ca="1" t="array" ref="P599">IF(P901=1,OFFSET($Z$338,$B599,P$335-1)/SUMPRODUCT(--($D$335:$V$335=P$335),--($D901:$V901=1)),0)+SUM(P598)+IF(COUNTIF(P$641:P901,1)=1,5,0)+IF(COUNTIF(Q599:$Z599,"&gt;"&amp;0)&gt;5,IF(MOD(COUNTIF(P$641:P901,1),7)=0,$C$4,0),0)</f>
        <v>322.560773809524</v>
      </c>
      <c r="Q599" s="81" cm="1">
        <f ca="1" t="array" ref="Q599">IF(Q901=1,OFFSET($Z$338,$B599,Q$335-1)/SUMPRODUCT(--($D$335:$V$335=Q$335),--($D901:$V901=1)),0)+SUM(Q598)+IF(COUNTIF(Q$641:Q901,1)=1,5,0)+IF(COUNTIF(R599:$Z599,"&gt;"&amp;0)&gt;5,IF(MOD(COUNTIF(Q$641:Q901,1),7)=0,$C$4,0),0)</f>
        <v>321.654523809524</v>
      </c>
      <c r="R599" s="81" cm="1">
        <f ca="1" t="array" ref="R599">IF(R901=1,OFFSET($Z$338,$B599,R$335-1)/SUMPRODUCT(--($D$335:$V$335=R$335),--($D901:$V901=1)),0)+SUM(R598)+IF(COUNTIF(R$641:R901,1)=1,5,0)+IF(COUNTIF(S599:$Z599,"&gt;"&amp;0)&gt;5,IF(MOD(COUNTIF(R$641:R901,1),7)=0,$C$4,0),0)</f>
        <v>296.759523809524</v>
      </c>
      <c r="S599" s="81" cm="1">
        <f ca="1" t="array" ref="S599">IF(S901=1,OFFSET($Z$338,$B599,S$335-1)/SUMPRODUCT(--($D$335:$V$335=S$335),--($D901:$V901=1)),0)+SUM(S598)+IF(COUNTIF(S$641:S901,1)=1,5,0)+IF(COUNTIF(T599:$Z599,"&gt;"&amp;0)&gt;5,IF(MOD(COUNTIF(S$641:S901,1),7)=0,$C$4,0),0)</f>
        <v>287.592857142857</v>
      </c>
      <c r="T599" s="81" cm="1">
        <f ca="1" t="array" ref="T599">IF(T901=1,OFFSET($Z$338,$B599,T$335-1)/SUMPRODUCT(--($D$335:$V$335=T$335),--($D901:$V901=1)),0)+SUM(T598)+IF(COUNTIF(T$641:T901,1)=1,5,0)+IF(COUNTIF(U599:$Z599,"&gt;"&amp;0)&gt;5,IF(MOD(COUNTIF(T$641:T901,1),7)=0,$C$4,0),0)</f>
        <v>137.656257829764</v>
      </c>
      <c r="U599" s="81" cm="1">
        <f ca="1" t="array" ref="U599">IF(U901=1,OFFSET($Z$338,$B599,U$335-1)/SUMPRODUCT(--($D$335:$V$335=U$335),--($D901:$V901=1)),0)+SUM(U598)+IF(COUNTIF(U$641:U901,1)=1,5,0)+IF(COUNTIF(V599:$Z599,"&gt;"&amp;0)&gt;5,IF(MOD(COUNTIF(U$641:U901,1),7)=0,$C$4,0),0)</f>
        <v>97.6562578297643</v>
      </c>
      <c r="V599" s="81" cm="1">
        <f ca="1" t="array" ref="V599">IF(V901=1,OFFSET($Z$338,$B599,V$335-1)/SUMPRODUCT(--($D$335:$V$335=V$335),--($D901:$V901=1)),0)+SUM(V598)+IF(COUNTIF(V$641:V901,1)=1,5,0)+IF(COUNTIF(Z599:$Z599,"&gt;"&amp;0)&gt;5,IF(MOD(COUNTIF(V$641:V901,1),7)=0,$C$4,0),0)</f>
        <v>89.6984386404824</v>
      </c>
      <c r="W599" s="81" cm="1">
        <f ca="1" t="array" ref="W599">IF(W901=1,OFFSET($Z$338,$B599,W$335-1)/SUMPRODUCT(--($D$335:$V$335=W$335),--($D901:$V901=1)),0)+SUM(W598)+IF(COUNTIF(W$641:W901,1)=1,5,0)+IF(COUNTIF($Z599:AA599,"&gt;"&amp;0)&gt;5,IF(MOD(COUNTIF(W$641:W901,1),7)=0,$C$4,0),0)</f>
        <v>80.3425695255331</v>
      </c>
      <c r="X599" s="81" cm="1">
        <f ca="1" t="array" ref="X599">IF(X901=1,OFFSET($Z$338,$B599,X$335-1)/SUMPRODUCT(--($D$335:$V$335=X$335),--($D901:$V901=1)),0)+SUM(X598)+IF(COUNTIF(X$641:X901,1)=1,5,0)+IF(COUNTIF($Z599:AB599,"&gt;"&amp;0)&gt;5,IF(MOD(COUNTIF(X$641:X901,1),7)=0,$C$4,0),0)</f>
        <v>73.5789092348996</v>
      </c>
      <c r="Y599" s="81" cm="1">
        <f ca="1" t="array" ref="Y599">IF(Y901=1,OFFSET($Z$338,$B599,Y$335-1)/SUMPRODUCT(--($D$335:$V$335=Y$335),--($D901:$V901=1)),0)+SUM(Y598)+IF(COUNTIF(Y$641:Y901,1)=1,5,0)+IF(COUNTIF($Z599:AC599,"&gt;"&amp;0)&gt;5,IF(MOD(COUNTIF(Y$641:Y901,1),7)=0,$C$4,0),0)</f>
        <v>66.8152489442662</v>
      </c>
      <c r="Z599" s="82" cm="1">
        <f ca="1" t="array" ref="Z599">SUMPRODUCT(TRANSPOSE($AD599:$AJ599),OFFSET($L$10:$L$16,0,Z$335-1))</f>
        <v>0</v>
      </c>
      <c r="AA599" s="82" cm="1">
        <f ca="1" t="array" ref="AA599">SUMPRODUCT(TRANSPOSE($AD599:$AJ599),OFFSET($L$10:$L$16,0,AA$335-1))</f>
        <v>0</v>
      </c>
      <c r="AB599" s="82" cm="1">
        <f ca="1" t="array" ref="AB599">SUMPRODUCT(TRANSPOSE($AD599:$AJ599),OFFSET($L$10:$L$16,0,AB$335-1))</f>
        <v>0</v>
      </c>
      <c r="AC599" s="82" cm="1">
        <f ca="1" t="array" ref="AC599">SUMPRODUCT(TRANSPOSE($AD599:$AJ599),OFFSET($L$10:$L$16,0,AC$335-1))</f>
        <v>0</v>
      </c>
      <c r="AD599" s="83">
        <f ca="1" t="shared" ref="AD599:AJ599" si="849">AK599-AK598</f>
        <v>0</v>
      </c>
      <c r="AE599" s="83">
        <f ca="1" t="shared" si="849"/>
        <v>0</v>
      </c>
      <c r="AF599" s="83">
        <f ca="1" t="shared" si="849"/>
        <v>0</v>
      </c>
      <c r="AG599" s="83">
        <f ca="1" t="shared" si="849"/>
        <v>0</v>
      </c>
      <c r="AH599" s="83">
        <f ca="1" t="shared" si="849"/>
        <v>0</v>
      </c>
      <c r="AI599" s="83">
        <f ca="1" t="shared" si="849"/>
        <v>0</v>
      </c>
      <c r="AJ599" s="83">
        <f ca="1" t="shared" si="849"/>
        <v>0</v>
      </c>
      <c r="AK599" s="83">
        <f ca="1" t="shared" si="841"/>
        <v>450</v>
      </c>
      <c r="AL599" s="83">
        <f ca="1" t="shared" ref="AL599:AQ599" si="850">IF($C599&gt;OFFSET($Q$9,MATCH(AL$338,$AK$338:$AQ$338,0),0),OFFSET($P$9,MATCH(AL$338,$AK$338:$AQ$338,0),0),MAX(0,$C599-OFFSET($Q$9,RIGHT(AL$338,1)-1,0)))</f>
        <v>909</v>
      </c>
      <c r="AM599" s="83">
        <f ca="1" t="shared" si="850"/>
        <v>1818</v>
      </c>
      <c r="AN599" s="83">
        <f ca="1" t="shared" si="850"/>
        <v>2727</v>
      </c>
      <c r="AO599" s="83">
        <f ca="1" t="shared" si="850"/>
        <v>3636</v>
      </c>
      <c r="AP599" s="83">
        <f ca="1" t="shared" si="850"/>
        <v>4545</v>
      </c>
      <c r="AQ599" s="83">
        <f ca="1" t="shared" si="850"/>
        <v>0</v>
      </c>
    </row>
    <row r="600" ht="16.5" spans="2:43">
      <c r="B600" s="65">
        <v>262</v>
      </c>
      <c r="C600" s="80">
        <f t="shared" si="839"/>
        <v>30146</v>
      </c>
      <c r="D600" s="81" cm="1">
        <f ca="1" t="array" ref="D600">IF(D902=1,OFFSET($Z$338,$B600,D$335-1)/SUMPRODUCT(--($D$335:$V$335=D$335),--($D902:$V902=1)),0)+SUM(D599)+IF(COUNTIF(D$641:D902,1)=1,5,0)+IF(COUNTIF(E600:$Z600,"&gt;"&amp;0)&gt;5,IF(MOD(COUNTIF(D$641:D902,1),7)=0,$C$4,0),0)</f>
        <v>1303.82134856666</v>
      </c>
      <c r="E600" s="81" cm="1">
        <f ca="1" t="array" ref="E600">IF(E902=1,OFFSET($Z$338,$B600,E$335-1)/SUMPRODUCT(--($D$335:$V$335=E$335),--($D902:$V902=1)),0)+SUM(E599)+IF(COUNTIF(E$641:E902,1)=1,5,0)+IF(COUNTIF(F600:$Z600,"&gt;"&amp;0)&gt;5,IF(MOD(COUNTIF(E$641:E902,1),7)=0,$C$4,0),0)</f>
        <v>1303.82134856666</v>
      </c>
      <c r="F600" s="81" cm="1">
        <f ca="1" t="array" ref="F600">IF(F902=1,OFFSET($Z$338,$B600,F$335-1)/SUMPRODUCT(--($D$335:$V$335=F$335),--($D902:$V902=1)),0)+SUM(F599)+IF(COUNTIF(F$641:F902,1)=1,5,0)+IF(COUNTIF(G600:$Z600,"&gt;"&amp;0)&gt;5,IF(MOD(COUNTIF(F$641:F902,1),7)=0,$C$4,0),0)</f>
        <v>1303.82134856666</v>
      </c>
      <c r="G600" s="81" cm="1">
        <f ca="1" t="array" ref="G600">IF(G902=1,OFFSET($Z$338,$B600,G$335-1)/SUMPRODUCT(--($D$335:$V$335=G$335),--($D902:$V902=1)),0)+SUM(G599)+IF(COUNTIF(G$641:G902,1)=1,5,0)+IF(COUNTIF(H600:$Z600,"&gt;"&amp;0)&gt;5,IF(MOD(COUNTIF(G$641:G902,1),7)=0,$C$4,0),0)</f>
        <v>592.516666666668</v>
      </c>
      <c r="H600" s="81" cm="1">
        <f ca="1" t="array" ref="H600">IF(H902=1,OFFSET($Z$338,$B600,H$335-1)/SUMPRODUCT(--($D$335:$V$335=H$335),--($D902:$V902=1)),0)+SUM(H599)+IF(COUNTIF(H$641:H902,1)=1,5,0)+IF(COUNTIF(I600:$Z600,"&gt;"&amp;0)&gt;5,IF(MOD(COUNTIF(H$641:H902,1),7)=0,$C$4,0),0)</f>
        <v>592.516666666668</v>
      </c>
      <c r="I600" s="81" cm="1">
        <f ca="1" t="array" ref="I600">IF(I902=1,OFFSET($Z$338,$B600,I$335-1)/SUMPRODUCT(--($D$335:$V$335=I$335),--($D902:$V902=1)),0)+SUM(I599)+IF(COUNTIF(I$641:I902,1)=1,5,0)+IF(COUNTIF(J600:$Z600,"&gt;"&amp;0)&gt;5,IF(MOD(COUNTIF(I$641:I902,1),7)=0,$C$4,0),0)</f>
        <v>592.516666666668</v>
      </c>
      <c r="J600" s="81" cm="1">
        <f ca="1" t="array" ref="J600">IF(J902=1,OFFSET($Z$338,$B600,J$335-1)/SUMPRODUCT(--($D$335:$V$335=J$335),--($D902:$V902=1)),0)+SUM(J599)+IF(COUNTIF(J$641:J902,1)=1,5,0)+IF(COUNTIF(K600:$Z600,"&gt;"&amp;0)&gt;5,IF(MOD(COUNTIF(J$641:J902,1),7)=0,$C$4,0),0)</f>
        <v>592.516666666668</v>
      </c>
      <c r="K600" s="81" cm="1">
        <f ca="1" t="array" ref="K600">IF(K902=1,OFFSET($Z$338,$B600,K$335-1)/SUMPRODUCT(--($D$335:$V$335=K$335),--($D902:$V902=1)),0)+SUM(K599)+IF(COUNTIF(K$641:K902,1)=1,5,0)+IF(COUNTIF(L600:$Z600,"&gt;"&amp;0)&gt;5,IF(MOD(COUNTIF(K$641:K902,1),7)=0,$C$4,0),0)</f>
        <v>592.516666666668</v>
      </c>
      <c r="L600" s="81" cm="1">
        <f ca="1" t="array" ref="L600">IF(L902=1,OFFSET($Z$338,$B600,L$335-1)/SUMPRODUCT(--($D$335:$V$335=L$335),--($D902:$V902=1)),0)+SUM(L599)+IF(COUNTIF(L$641:L902,1)=1,5,0)+IF(COUNTIF(M600:$Z600,"&gt;"&amp;0)&gt;5,IF(MOD(COUNTIF(L$641:L902,1),7)=0,$C$4,0),0)</f>
        <v>585.816666666668</v>
      </c>
      <c r="M600" s="81" cm="1">
        <f ca="1" t="array" ref="M600">IF(M902=1,OFFSET($Z$338,$B600,M$335-1)/SUMPRODUCT(--($D$335:$V$335=M$335),--($D902:$V902=1)),0)+SUM(M599)+IF(COUNTIF(M$641:M902,1)=1,5,0)+IF(COUNTIF(N600:$Z600,"&gt;"&amp;0)&gt;5,IF(MOD(COUNTIF(M$641:M902,1),7)=0,$C$4,0),0)</f>
        <v>340.644107142858</v>
      </c>
      <c r="N600" s="81" cm="1">
        <f ca="1" t="array" ref="N600">IF(N902=1,OFFSET($Z$338,$B600,N$335-1)/SUMPRODUCT(--($D$335:$V$335=N$335),--($D902:$V902=1)),0)+SUM(N599)+IF(COUNTIF(N$641:N902,1)=1,5,0)+IF(COUNTIF(O600:$Z600,"&gt;"&amp;0)&gt;5,IF(MOD(COUNTIF(N$641:N902,1),7)=0,$C$4,0),0)</f>
        <v>332.919107142858</v>
      </c>
      <c r="O600" s="81" cm="1">
        <f ca="1" t="array" ref="O600">IF(O902=1,OFFSET($Z$338,$B600,O$335-1)/SUMPRODUCT(--($D$335:$V$335=O$335),--($D902:$V902=1)),0)+SUM(O599)+IF(COUNTIF(O$641:O902,1)=1,5,0)+IF(COUNTIF(P600:$Z600,"&gt;"&amp;0)&gt;5,IF(MOD(COUNTIF(O$641:O902,1),7)=0,$C$4,0),0)</f>
        <v>330.494107142858</v>
      </c>
      <c r="P600" s="81" cm="1">
        <f ca="1" t="array" ref="P600">IF(P902=1,OFFSET($Z$338,$B600,P$335-1)/SUMPRODUCT(--($D$335:$V$335=P$335),--($D902:$V902=1)),0)+SUM(P599)+IF(COUNTIF(P$641:P902,1)=1,5,0)+IF(COUNTIF(Q600:$Z600,"&gt;"&amp;0)&gt;5,IF(MOD(COUNTIF(P$641:P902,1),7)=0,$C$4,0),0)</f>
        <v>322.560773809524</v>
      </c>
      <c r="Q600" s="81" cm="1">
        <f ca="1" t="array" ref="Q600">IF(Q902=1,OFFSET($Z$338,$B600,Q$335-1)/SUMPRODUCT(--($D$335:$V$335=Q$335),--($D902:$V902=1)),0)+SUM(Q599)+IF(COUNTIF(Q$641:Q902,1)=1,5,0)+IF(COUNTIF(R600:$Z600,"&gt;"&amp;0)&gt;5,IF(MOD(COUNTIF(Q$641:Q902,1),7)=0,$C$4,0),0)</f>
        <v>321.654523809524</v>
      </c>
      <c r="R600" s="81" cm="1">
        <f ca="1" t="array" ref="R600">IF(R902=1,OFFSET($Z$338,$B600,R$335-1)/SUMPRODUCT(--($D$335:$V$335=R$335),--($D902:$V902=1)),0)+SUM(R599)+IF(COUNTIF(R$641:R902,1)=1,5,0)+IF(COUNTIF(S600:$Z600,"&gt;"&amp;0)&gt;5,IF(MOD(COUNTIF(R$641:R902,1),7)=0,$C$4,0),0)</f>
        <v>296.759523809524</v>
      </c>
      <c r="S600" s="81" cm="1">
        <f ca="1" t="array" ref="S600">IF(S902=1,OFFSET($Z$338,$B600,S$335-1)/SUMPRODUCT(--($D$335:$V$335=S$335),--($D902:$V902=1)),0)+SUM(S599)+IF(COUNTIF(S$641:S902,1)=1,5,0)+IF(COUNTIF(T600:$Z600,"&gt;"&amp;0)&gt;5,IF(MOD(COUNTIF(S$641:S902,1),7)=0,$C$4,0),0)</f>
        <v>287.592857142857</v>
      </c>
      <c r="T600" s="81" cm="1">
        <f ca="1" t="array" ref="T600">IF(T902=1,OFFSET($Z$338,$B600,T$335-1)/SUMPRODUCT(--($D$335:$V$335=T$335),--($D902:$V902=1)),0)+SUM(T599)+IF(COUNTIF(T$641:T902,1)=1,5,0)+IF(COUNTIF(U600:$Z600,"&gt;"&amp;0)&gt;5,IF(MOD(COUNTIF(T$641:T902,1),7)=0,$C$4,0),0)</f>
        <v>137.656257829764</v>
      </c>
      <c r="U600" s="81" cm="1">
        <f ca="1" t="array" ref="U600">IF(U902=1,OFFSET($Z$338,$B600,U$335-1)/SUMPRODUCT(--($D$335:$V$335=U$335),--($D902:$V902=1)),0)+SUM(U599)+IF(COUNTIF(U$641:U902,1)=1,5,0)+IF(COUNTIF(V600:$Z600,"&gt;"&amp;0)&gt;5,IF(MOD(COUNTIF(U$641:U902,1),7)=0,$C$4,0),0)</f>
        <v>97.6562578297643</v>
      </c>
      <c r="V600" s="81" cm="1">
        <f ca="1" t="array" ref="V600">IF(V902=1,OFFSET($Z$338,$B600,V$335-1)/SUMPRODUCT(--($D$335:$V$335=V$335),--($D902:$V902=1)),0)+SUM(V599)+IF(COUNTIF(V$641:V902,1)=1,5,0)+IF(COUNTIF(Z600:$Z600,"&gt;"&amp;0)&gt;5,IF(MOD(COUNTIF(V$641:V902,1),7)=0,$C$4,0),0)</f>
        <v>89.6984386404824</v>
      </c>
      <c r="W600" s="81" cm="1">
        <f ca="1" t="array" ref="W600">IF(W902=1,OFFSET($Z$338,$B600,W$335-1)/SUMPRODUCT(--($D$335:$V$335=W$335),--($D902:$V902=1)),0)+SUM(W599)+IF(COUNTIF(W$641:W902,1)=1,5,0)+IF(COUNTIF($Z600:AA600,"&gt;"&amp;0)&gt;5,IF(MOD(COUNTIF(W$641:W902,1),7)=0,$C$4,0),0)</f>
        <v>80.3425695255331</v>
      </c>
      <c r="X600" s="81" cm="1">
        <f ca="1" t="array" ref="X600">IF(X902=1,OFFSET($Z$338,$B600,X$335-1)/SUMPRODUCT(--($D$335:$V$335=X$335),--($D902:$V902=1)),0)+SUM(X599)+IF(COUNTIF(X$641:X902,1)=1,5,0)+IF(COUNTIF($Z600:AB600,"&gt;"&amp;0)&gt;5,IF(MOD(COUNTIF(X$641:X902,1),7)=0,$C$4,0),0)</f>
        <v>73.5789092348996</v>
      </c>
      <c r="Y600" s="81" cm="1">
        <f ca="1" t="array" ref="Y600">IF(Y902=1,OFFSET($Z$338,$B600,Y$335-1)/SUMPRODUCT(--($D$335:$V$335=Y$335),--($D902:$V902=1)),0)+SUM(Y599)+IF(COUNTIF(Y$641:Y902,1)=1,5,0)+IF(COUNTIF($Z600:AC600,"&gt;"&amp;0)&gt;5,IF(MOD(COUNTIF(Y$641:Y902,1),7)=0,$C$4,0),0)</f>
        <v>66.8152489442662</v>
      </c>
      <c r="Z600" s="82" cm="1">
        <f ca="1" t="array" ref="Z600">SUMPRODUCT(TRANSPOSE($AD600:$AJ600),OFFSET($L$10:$L$16,0,Z$335-1))</f>
        <v>0</v>
      </c>
      <c r="AA600" s="82" cm="1">
        <f ca="1" t="array" ref="AA600">SUMPRODUCT(TRANSPOSE($AD600:$AJ600),OFFSET($L$10:$L$16,0,AA$335-1))</f>
        <v>0</v>
      </c>
      <c r="AB600" s="82" cm="1">
        <f ca="1" t="array" ref="AB600">SUMPRODUCT(TRANSPOSE($AD600:$AJ600),OFFSET($L$10:$L$16,0,AB$335-1))</f>
        <v>0</v>
      </c>
      <c r="AC600" s="82" cm="1">
        <f ca="1" t="array" ref="AC600">SUMPRODUCT(TRANSPOSE($AD600:$AJ600),OFFSET($L$10:$L$16,0,AC$335-1))</f>
        <v>0</v>
      </c>
      <c r="AD600" s="83">
        <f ca="1" t="shared" ref="AD600:AJ600" si="851">AK600-AK599</f>
        <v>0</v>
      </c>
      <c r="AE600" s="83">
        <f ca="1" t="shared" si="851"/>
        <v>0</v>
      </c>
      <c r="AF600" s="83">
        <f ca="1" t="shared" si="851"/>
        <v>0</v>
      </c>
      <c r="AG600" s="83">
        <f ca="1" t="shared" si="851"/>
        <v>0</v>
      </c>
      <c r="AH600" s="83">
        <f ca="1" t="shared" si="851"/>
        <v>0</v>
      </c>
      <c r="AI600" s="83">
        <f ca="1" t="shared" si="851"/>
        <v>0</v>
      </c>
      <c r="AJ600" s="83">
        <f ca="1" t="shared" si="851"/>
        <v>0</v>
      </c>
      <c r="AK600" s="83">
        <f ca="1" t="shared" si="841"/>
        <v>450</v>
      </c>
      <c r="AL600" s="83">
        <f ca="1" t="shared" ref="AL600:AQ600" si="852">IF($C600&gt;OFFSET($Q$9,MATCH(AL$338,$AK$338:$AQ$338,0),0),OFFSET($P$9,MATCH(AL$338,$AK$338:$AQ$338,0),0),MAX(0,$C600-OFFSET($Q$9,RIGHT(AL$338,1)-1,0)))</f>
        <v>909</v>
      </c>
      <c r="AM600" s="83">
        <f ca="1" t="shared" si="852"/>
        <v>1818</v>
      </c>
      <c r="AN600" s="83">
        <f ca="1" t="shared" si="852"/>
        <v>2727</v>
      </c>
      <c r="AO600" s="83">
        <f ca="1" t="shared" si="852"/>
        <v>3636</v>
      </c>
      <c r="AP600" s="83">
        <f ca="1" t="shared" si="852"/>
        <v>4545</v>
      </c>
      <c r="AQ600" s="83">
        <f ca="1" t="shared" si="852"/>
        <v>0</v>
      </c>
    </row>
    <row r="601" ht="16.5" spans="2:43">
      <c r="B601" s="65">
        <v>263</v>
      </c>
      <c r="C601" s="80">
        <f t="shared" si="839"/>
        <v>30256</v>
      </c>
      <c r="D601" s="81" cm="1">
        <f ca="1" t="array" ref="D601">IF(D903=1,OFFSET($Z$338,$B601,D$335-1)/SUMPRODUCT(--($D$335:$V$335=D$335),--($D903:$V903=1)),0)+SUM(D600)+IF(COUNTIF(D$641:D903,1)=1,5,0)+IF(COUNTIF(E601:$Z601,"&gt;"&amp;0)&gt;5,IF(MOD(COUNTIF(D$641:D903,1),7)=0,$C$4,0),0)</f>
        <v>1303.82134856666</v>
      </c>
      <c r="E601" s="81" cm="1">
        <f ca="1" t="array" ref="E601">IF(E903=1,OFFSET($Z$338,$B601,E$335-1)/SUMPRODUCT(--($D$335:$V$335=E$335),--($D903:$V903=1)),0)+SUM(E600)+IF(COUNTIF(E$641:E903,1)=1,5,0)+IF(COUNTIF(F601:$Z601,"&gt;"&amp;0)&gt;5,IF(MOD(COUNTIF(E$641:E903,1),7)=0,$C$4,0),0)</f>
        <v>1303.82134856666</v>
      </c>
      <c r="F601" s="81" cm="1">
        <f ca="1" t="array" ref="F601">IF(F903=1,OFFSET($Z$338,$B601,F$335-1)/SUMPRODUCT(--($D$335:$V$335=F$335),--($D903:$V903=1)),0)+SUM(F600)+IF(COUNTIF(F$641:F903,1)=1,5,0)+IF(COUNTIF(G601:$Z601,"&gt;"&amp;0)&gt;5,IF(MOD(COUNTIF(F$641:F903,1),7)=0,$C$4,0),0)</f>
        <v>1303.82134856666</v>
      </c>
      <c r="G601" s="81" cm="1">
        <f ca="1" t="array" ref="G601">IF(G903=1,OFFSET($Z$338,$B601,G$335-1)/SUMPRODUCT(--($D$335:$V$335=G$335),--($D903:$V903=1)),0)+SUM(G600)+IF(COUNTIF(G$641:G903,1)=1,5,0)+IF(COUNTIF(H601:$Z601,"&gt;"&amp;0)&gt;5,IF(MOD(COUNTIF(G$641:G903,1),7)=0,$C$4,0),0)</f>
        <v>592.516666666668</v>
      </c>
      <c r="H601" s="81" cm="1">
        <f ca="1" t="array" ref="H601">IF(H903=1,OFFSET($Z$338,$B601,H$335-1)/SUMPRODUCT(--($D$335:$V$335=H$335),--($D903:$V903=1)),0)+SUM(H600)+IF(COUNTIF(H$641:H903,1)=1,5,0)+IF(COUNTIF(I601:$Z601,"&gt;"&amp;0)&gt;5,IF(MOD(COUNTIF(H$641:H903,1),7)=0,$C$4,0),0)</f>
        <v>592.516666666668</v>
      </c>
      <c r="I601" s="81" cm="1">
        <f ca="1" t="array" ref="I601">IF(I903=1,OFFSET($Z$338,$B601,I$335-1)/SUMPRODUCT(--($D$335:$V$335=I$335),--($D903:$V903=1)),0)+SUM(I600)+IF(COUNTIF(I$641:I903,1)=1,5,0)+IF(COUNTIF(J601:$Z601,"&gt;"&amp;0)&gt;5,IF(MOD(COUNTIF(I$641:I903,1),7)=0,$C$4,0),0)</f>
        <v>592.516666666668</v>
      </c>
      <c r="J601" s="81" cm="1">
        <f ca="1" t="array" ref="J601">IF(J903=1,OFFSET($Z$338,$B601,J$335-1)/SUMPRODUCT(--($D$335:$V$335=J$335),--($D903:$V903=1)),0)+SUM(J600)+IF(COUNTIF(J$641:J903,1)=1,5,0)+IF(COUNTIF(K601:$Z601,"&gt;"&amp;0)&gt;5,IF(MOD(COUNTIF(J$641:J903,1),7)=0,$C$4,0),0)</f>
        <v>592.516666666668</v>
      </c>
      <c r="K601" s="81" cm="1">
        <f ca="1" t="array" ref="K601">IF(K903=1,OFFSET($Z$338,$B601,K$335-1)/SUMPRODUCT(--($D$335:$V$335=K$335),--($D903:$V903=1)),0)+SUM(K600)+IF(COUNTIF(K$641:K903,1)=1,5,0)+IF(COUNTIF(L601:$Z601,"&gt;"&amp;0)&gt;5,IF(MOD(COUNTIF(K$641:K903,1),7)=0,$C$4,0),0)</f>
        <v>592.516666666668</v>
      </c>
      <c r="L601" s="81" cm="1">
        <f ca="1" t="array" ref="L601">IF(L903=1,OFFSET($Z$338,$B601,L$335-1)/SUMPRODUCT(--($D$335:$V$335=L$335),--($D903:$V903=1)),0)+SUM(L600)+IF(COUNTIF(L$641:L903,1)=1,5,0)+IF(COUNTIF(M601:$Z601,"&gt;"&amp;0)&gt;5,IF(MOD(COUNTIF(L$641:L903,1),7)=0,$C$4,0),0)</f>
        <v>585.816666666668</v>
      </c>
      <c r="M601" s="81" cm="1">
        <f ca="1" t="array" ref="M601">IF(M903=1,OFFSET($Z$338,$B601,M$335-1)/SUMPRODUCT(--($D$335:$V$335=M$335),--($D903:$V903=1)),0)+SUM(M600)+IF(COUNTIF(M$641:M903,1)=1,5,0)+IF(COUNTIF(N601:$Z601,"&gt;"&amp;0)&gt;5,IF(MOD(COUNTIF(M$641:M903,1),7)=0,$C$4,0),0)</f>
        <v>340.644107142858</v>
      </c>
      <c r="N601" s="81" cm="1">
        <f ca="1" t="array" ref="N601">IF(N903=1,OFFSET($Z$338,$B601,N$335-1)/SUMPRODUCT(--($D$335:$V$335=N$335),--($D903:$V903=1)),0)+SUM(N600)+IF(COUNTIF(N$641:N903,1)=1,5,0)+IF(COUNTIF(O601:$Z601,"&gt;"&amp;0)&gt;5,IF(MOD(COUNTIF(N$641:N903,1),7)=0,$C$4,0),0)</f>
        <v>332.919107142858</v>
      </c>
      <c r="O601" s="81" cm="1">
        <f ca="1" t="array" ref="O601">IF(O903=1,OFFSET($Z$338,$B601,O$335-1)/SUMPRODUCT(--($D$335:$V$335=O$335),--($D903:$V903=1)),0)+SUM(O600)+IF(COUNTIF(O$641:O903,1)=1,5,0)+IF(COUNTIF(P601:$Z601,"&gt;"&amp;0)&gt;5,IF(MOD(COUNTIF(O$641:O903,1),7)=0,$C$4,0),0)</f>
        <v>330.494107142858</v>
      </c>
      <c r="P601" s="81" cm="1">
        <f ca="1" t="array" ref="P601">IF(P903=1,OFFSET($Z$338,$B601,P$335-1)/SUMPRODUCT(--($D$335:$V$335=P$335),--($D903:$V903=1)),0)+SUM(P600)+IF(COUNTIF(P$641:P903,1)=1,5,0)+IF(COUNTIF(Q601:$Z601,"&gt;"&amp;0)&gt;5,IF(MOD(COUNTIF(P$641:P903,1),7)=0,$C$4,0),0)</f>
        <v>322.560773809524</v>
      </c>
      <c r="Q601" s="81" cm="1">
        <f ca="1" t="array" ref="Q601">IF(Q903=1,OFFSET($Z$338,$B601,Q$335-1)/SUMPRODUCT(--($D$335:$V$335=Q$335),--($D903:$V903=1)),0)+SUM(Q600)+IF(COUNTIF(Q$641:Q903,1)=1,5,0)+IF(COUNTIF(R601:$Z601,"&gt;"&amp;0)&gt;5,IF(MOD(COUNTIF(Q$641:Q903,1),7)=0,$C$4,0),0)</f>
        <v>321.654523809524</v>
      </c>
      <c r="R601" s="81" cm="1">
        <f ca="1" t="array" ref="R601">IF(R903=1,OFFSET($Z$338,$B601,R$335-1)/SUMPRODUCT(--($D$335:$V$335=R$335),--($D903:$V903=1)),0)+SUM(R600)+IF(COUNTIF(R$641:R903,1)=1,5,0)+IF(COUNTIF(S601:$Z601,"&gt;"&amp;0)&gt;5,IF(MOD(COUNTIF(R$641:R903,1),7)=0,$C$4,0),0)</f>
        <v>296.759523809524</v>
      </c>
      <c r="S601" s="81" cm="1">
        <f ca="1" t="array" ref="S601">IF(S903=1,OFFSET($Z$338,$B601,S$335-1)/SUMPRODUCT(--($D$335:$V$335=S$335),--($D903:$V903=1)),0)+SUM(S600)+IF(COUNTIF(S$641:S903,1)=1,5,0)+IF(COUNTIF(T601:$Z601,"&gt;"&amp;0)&gt;5,IF(MOD(COUNTIF(S$641:S903,1),7)=0,$C$4,0),0)</f>
        <v>287.592857142857</v>
      </c>
      <c r="T601" s="81" cm="1">
        <f ca="1" t="array" ref="T601">IF(T903=1,OFFSET($Z$338,$B601,T$335-1)/SUMPRODUCT(--($D$335:$V$335=T$335),--($D903:$V903=1)),0)+SUM(T600)+IF(COUNTIF(T$641:T903,1)=1,5,0)+IF(COUNTIF(U601:$Z601,"&gt;"&amp;0)&gt;5,IF(MOD(COUNTIF(T$641:T903,1),7)=0,$C$4,0),0)</f>
        <v>137.656257829764</v>
      </c>
      <c r="U601" s="81" cm="1">
        <f ca="1" t="array" ref="U601">IF(U903=1,OFFSET($Z$338,$B601,U$335-1)/SUMPRODUCT(--($D$335:$V$335=U$335),--($D903:$V903=1)),0)+SUM(U600)+IF(COUNTIF(U$641:U903,1)=1,5,0)+IF(COUNTIF(V601:$Z601,"&gt;"&amp;0)&gt;5,IF(MOD(COUNTIF(U$641:U903,1),7)=0,$C$4,0),0)</f>
        <v>97.6562578297643</v>
      </c>
      <c r="V601" s="81" cm="1">
        <f ca="1" t="array" ref="V601">IF(V903=1,OFFSET($Z$338,$B601,V$335-1)/SUMPRODUCT(--($D$335:$V$335=V$335),--($D903:$V903=1)),0)+SUM(V600)+IF(COUNTIF(V$641:V903,1)=1,5,0)+IF(COUNTIF(Z601:$Z601,"&gt;"&amp;0)&gt;5,IF(MOD(COUNTIF(V$641:V903,1),7)=0,$C$4,0),0)</f>
        <v>89.6984386404824</v>
      </c>
      <c r="W601" s="81" cm="1">
        <f ca="1" t="array" ref="W601">IF(W903=1,OFFSET($Z$338,$B601,W$335-1)/SUMPRODUCT(--($D$335:$V$335=W$335),--($D903:$V903=1)),0)+SUM(W600)+IF(COUNTIF(W$641:W903,1)=1,5,0)+IF(COUNTIF($Z601:AA601,"&gt;"&amp;0)&gt;5,IF(MOD(COUNTIF(W$641:W903,1),7)=0,$C$4,0),0)</f>
        <v>80.3425695255331</v>
      </c>
      <c r="X601" s="81" cm="1">
        <f ca="1" t="array" ref="X601">IF(X903=1,OFFSET($Z$338,$B601,X$335-1)/SUMPRODUCT(--($D$335:$V$335=X$335),--($D903:$V903=1)),0)+SUM(X600)+IF(COUNTIF(X$641:X903,1)=1,5,0)+IF(COUNTIF($Z601:AB601,"&gt;"&amp;0)&gt;5,IF(MOD(COUNTIF(X$641:X903,1),7)=0,$C$4,0),0)</f>
        <v>73.5789092348996</v>
      </c>
      <c r="Y601" s="81" cm="1">
        <f ca="1" t="array" ref="Y601">IF(Y903=1,OFFSET($Z$338,$B601,Y$335-1)/SUMPRODUCT(--($D$335:$V$335=Y$335),--($D903:$V903=1)),0)+SUM(Y600)+IF(COUNTIF(Y$641:Y903,1)=1,5,0)+IF(COUNTIF($Z601:AC601,"&gt;"&amp;0)&gt;5,IF(MOD(COUNTIF(Y$641:Y903,1),7)=0,$C$4,0),0)</f>
        <v>66.8152489442662</v>
      </c>
      <c r="Z601" s="82" cm="1">
        <f ca="1" t="array" ref="Z601">SUMPRODUCT(TRANSPOSE($AD601:$AJ601),OFFSET($L$10:$L$16,0,Z$335-1))</f>
        <v>0</v>
      </c>
      <c r="AA601" s="82" cm="1">
        <f ca="1" t="array" ref="AA601">SUMPRODUCT(TRANSPOSE($AD601:$AJ601),OFFSET($L$10:$L$16,0,AA$335-1))</f>
        <v>0</v>
      </c>
      <c r="AB601" s="82" cm="1">
        <f ca="1" t="array" ref="AB601">SUMPRODUCT(TRANSPOSE($AD601:$AJ601),OFFSET($L$10:$L$16,0,AB$335-1))</f>
        <v>0</v>
      </c>
      <c r="AC601" s="82" cm="1">
        <f ca="1" t="array" ref="AC601">SUMPRODUCT(TRANSPOSE($AD601:$AJ601),OFFSET($L$10:$L$16,0,AC$335-1))</f>
        <v>0</v>
      </c>
      <c r="AD601" s="83">
        <f ca="1" t="shared" ref="AD601:AJ601" si="853">AK601-AK600</f>
        <v>0</v>
      </c>
      <c r="AE601" s="83">
        <f ca="1" t="shared" si="853"/>
        <v>0</v>
      </c>
      <c r="AF601" s="83">
        <f ca="1" t="shared" si="853"/>
        <v>0</v>
      </c>
      <c r="AG601" s="83">
        <f ca="1" t="shared" si="853"/>
        <v>0</v>
      </c>
      <c r="AH601" s="83">
        <f ca="1" t="shared" si="853"/>
        <v>0</v>
      </c>
      <c r="AI601" s="83">
        <f ca="1" t="shared" si="853"/>
        <v>0</v>
      </c>
      <c r="AJ601" s="83">
        <f ca="1" t="shared" si="853"/>
        <v>0</v>
      </c>
      <c r="AK601" s="83">
        <f ca="1" t="shared" si="841"/>
        <v>450</v>
      </c>
      <c r="AL601" s="83">
        <f ca="1" t="shared" ref="AL601:AQ601" si="854">IF($C601&gt;OFFSET($Q$9,MATCH(AL$338,$AK$338:$AQ$338,0),0),OFFSET($P$9,MATCH(AL$338,$AK$338:$AQ$338,0),0),MAX(0,$C601-OFFSET($Q$9,RIGHT(AL$338,1)-1,0)))</f>
        <v>909</v>
      </c>
      <c r="AM601" s="83">
        <f ca="1" t="shared" si="854"/>
        <v>1818</v>
      </c>
      <c r="AN601" s="83">
        <f ca="1" t="shared" si="854"/>
        <v>2727</v>
      </c>
      <c r="AO601" s="83">
        <f ca="1" t="shared" si="854"/>
        <v>3636</v>
      </c>
      <c r="AP601" s="83">
        <f ca="1" t="shared" si="854"/>
        <v>4545</v>
      </c>
      <c r="AQ601" s="83">
        <f ca="1" t="shared" si="854"/>
        <v>0</v>
      </c>
    </row>
    <row r="602" ht="16.5" spans="2:43">
      <c r="B602" s="65">
        <v>264</v>
      </c>
      <c r="C602" s="80">
        <f t="shared" si="839"/>
        <v>30366</v>
      </c>
      <c r="D602" s="81" cm="1">
        <f ca="1" t="array" ref="D602">IF(D904=1,OFFSET($Z$338,$B602,D$335-1)/SUMPRODUCT(--($D$335:$V$335=D$335),--($D904:$V904=1)),0)+SUM(D601)+IF(COUNTIF(D$641:D904,1)=1,5,0)+IF(COUNTIF(E602:$Z602,"&gt;"&amp;0)&gt;5,IF(MOD(COUNTIF(D$641:D904,1),7)=0,$C$4,0),0)</f>
        <v>1303.82134856666</v>
      </c>
      <c r="E602" s="81" cm="1">
        <f ca="1" t="array" ref="E602">IF(E904=1,OFFSET($Z$338,$B602,E$335-1)/SUMPRODUCT(--($D$335:$V$335=E$335),--($D904:$V904=1)),0)+SUM(E601)+IF(COUNTIF(E$641:E904,1)=1,5,0)+IF(COUNTIF(F602:$Z602,"&gt;"&amp;0)&gt;5,IF(MOD(COUNTIF(E$641:E904,1),7)=0,$C$4,0),0)</f>
        <v>1303.82134856666</v>
      </c>
      <c r="F602" s="81" cm="1">
        <f ca="1" t="array" ref="F602">IF(F904=1,OFFSET($Z$338,$B602,F$335-1)/SUMPRODUCT(--($D$335:$V$335=F$335),--($D904:$V904=1)),0)+SUM(F601)+IF(COUNTIF(F$641:F904,1)=1,5,0)+IF(COUNTIF(G602:$Z602,"&gt;"&amp;0)&gt;5,IF(MOD(COUNTIF(F$641:F904,1),7)=0,$C$4,0),0)</f>
        <v>1303.82134856666</v>
      </c>
      <c r="G602" s="81" cm="1">
        <f ca="1" t="array" ref="G602">IF(G904=1,OFFSET($Z$338,$B602,G$335-1)/SUMPRODUCT(--($D$335:$V$335=G$335),--($D904:$V904=1)),0)+SUM(G601)+IF(COUNTIF(G$641:G904,1)=1,5,0)+IF(COUNTIF(H602:$Z602,"&gt;"&amp;0)&gt;5,IF(MOD(COUNTIF(G$641:G904,1),7)=0,$C$4,0),0)</f>
        <v>592.516666666668</v>
      </c>
      <c r="H602" s="81" cm="1">
        <f ca="1" t="array" ref="H602">IF(H904=1,OFFSET($Z$338,$B602,H$335-1)/SUMPRODUCT(--($D$335:$V$335=H$335),--($D904:$V904=1)),0)+SUM(H601)+IF(COUNTIF(H$641:H904,1)=1,5,0)+IF(COUNTIF(I602:$Z602,"&gt;"&amp;0)&gt;5,IF(MOD(COUNTIF(H$641:H904,1),7)=0,$C$4,0),0)</f>
        <v>592.516666666668</v>
      </c>
      <c r="I602" s="81" cm="1">
        <f ca="1" t="array" ref="I602">IF(I904=1,OFFSET($Z$338,$B602,I$335-1)/SUMPRODUCT(--($D$335:$V$335=I$335),--($D904:$V904=1)),0)+SUM(I601)+IF(COUNTIF(I$641:I904,1)=1,5,0)+IF(COUNTIF(J602:$Z602,"&gt;"&amp;0)&gt;5,IF(MOD(COUNTIF(I$641:I904,1),7)=0,$C$4,0),0)</f>
        <v>592.516666666668</v>
      </c>
      <c r="J602" s="81" cm="1">
        <f ca="1" t="array" ref="J602">IF(J904=1,OFFSET($Z$338,$B602,J$335-1)/SUMPRODUCT(--($D$335:$V$335=J$335),--($D904:$V904=1)),0)+SUM(J601)+IF(COUNTIF(J$641:J904,1)=1,5,0)+IF(COUNTIF(K602:$Z602,"&gt;"&amp;0)&gt;5,IF(MOD(COUNTIF(J$641:J904,1),7)=0,$C$4,0),0)</f>
        <v>592.516666666668</v>
      </c>
      <c r="K602" s="81" cm="1">
        <f ca="1" t="array" ref="K602">IF(K904=1,OFFSET($Z$338,$B602,K$335-1)/SUMPRODUCT(--($D$335:$V$335=K$335),--($D904:$V904=1)),0)+SUM(K601)+IF(COUNTIF(K$641:K904,1)=1,5,0)+IF(COUNTIF(L602:$Z602,"&gt;"&amp;0)&gt;5,IF(MOD(COUNTIF(K$641:K904,1),7)=0,$C$4,0),0)</f>
        <v>592.516666666668</v>
      </c>
      <c r="L602" s="81" cm="1">
        <f ca="1" t="array" ref="L602">IF(L904=1,OFFSET($Z$338,$B602,L$335-1)/SUMPRODUCT(--($D$335:$V$335=L$335),--($D904:$V904=1)),0)+SUM(L601)+IF(COUNTIF(L$641:L904,1)=1,5,0)+IF(COUNTIF(M602:$Z602,"&gt;"&amp;0)&gt;5,IF(MOD(COUNTIF(L$641:L904,1),7)=0,$C$4,0),0)</f>
        <v>585.816666666668</v>
      </c>
      <c r="M602" s="81" cm="1">
        <f ca="1" t="array" ref="M602">IF(M904=1,OFFSET($Z$338,$B602,M$335-1)/SUMPRODUCT(--($D$335:$V$335=M$335),--($D904:$V904=1)),0)+SUM(M601)+IF(COUNTIF(M$641:M904,1)=1,5,0)+IF(COUNTIF(N602:$Z602,"&gt;"&amp;0)&gt;5,IF(MOD(COUNTIF(M$641:M904,1),7)=0,$C$4,0),0)</f>
        <v>340.644107142858</v>
      </c>
      <c r="N602" s="81" cm="1">
        <f ca="1" t="array" ref="N602">IF(N904=1,OFFSET($Z$338,$B602,N$335-1)/SUMPRODUCT(--($D$335:$V$335=N$335),--($D904:$V904=1)),0)+SUM(N601)+IF(COUNTIF(N$641:N904,1)=1,5,0)+IF(COUNTIF(O602:$Z602,"&gt;"&amp;0)&gt;5,IF(MOD(COUNTIF(N$641:N904,1),7)=0,$C$4,0),0)</f>
        <v>332.919107142858</v>
      </c>
      <c r="O602" s="81" cm="1">
        <f ca="1" t="array" ref="O602">IF(O904=1,OFFSET($Z$338,$B602,O$335-1)/SUMPRODUCT(--($D$335:$V$335=O$335),--($D904:$V904=1)),0)+SUM(O601)+IF(COUNTIF(O$641:O904,1)=1,5,0)+IF(COUNTIF(P602:$Z602,"&gt;"&amp;0)&gt;5,IF(MOD(COUNTIF(O$641:O904,1),7)=0,$C$4,0),0)</f>
        <v>330.494107142858</v>
      </c>
      <c r="P602" s="81" cm="1">
        <f ca="1" t="array" ref="P602">IF(P904=1,OFFSET($Z$338,$B602,P$335-1)/SUMPRODUCT(--($D$335:$V$335=P$335),--($D904:$V904=1)),0)+SUM(P601)+IF(COUNTIF(P$641:P904,1)=1,5,0)+IF(COUNTIF(Q602:$Z602,"&gt;"&amp;0)&gt;5,IF(MOD(COUNTIF(P$641:P904,1),7)=0,$C$4,0),0)</f>
        <v>327.560773809524</v>
      </c>
      <c r="Q602" s="81" cm="1">
        <f ca="1" t="array" ref="Q602">IF(Q904=1,OFFSET($Z$338,$B602,Q$335-1)/SUMPRODUCT(--($D$335:$V$335=Q$335),--($D904:$V904=1)),0)+SUM(Q601)+IF(COUNTIF(Q$641:Q904,1)=1,5,0)+IF(COUNTIF(R602:$Z602,"&gt;"&amp;0)&gt;5,IF(MOD(COUNTIF(Q$641:Q904,1),7)=0,$C$4,0),0)</f>
        <v>321.654523809524</v>
      </c>
      <c r="R602" s="81" cm="1">
        <f ca="1" t="array" ref="R602">IF(R904=1,OFFSET($Z$338,$B602,R$335-1)/SUMPRODUCT(--($D$335:$V$335=R$335),--($D904:$V904=1)),0)+SUM(R601)+IF(COUNTIF(R$641:R904,1)=1,5,0)+IF(COUNTIF(S602:$Z602,"&gt;"&amp;0)&gt;5,IF(MOD(COUNTIF(R$641:R904,1),7)=0,$C$4,0),0)</f>
        <v>296.759523809524</v>
      </c>
      <c r="S602" s="81" cm="1">
        <f ca="1" t="array" ref="S602">IF(S904=1,OFFSET($Z$338,$B602,S$335-1)/SUMPRODUCT(--($D$335:$V$335=S$335),--($D904:$V904=1)),0)+SUM(S601)+IF(COUNTIF(S$641:S904,1)=1,5,0)+IF(COUNTIF(T602:$Z602,"&gt;"&amp;0)&gt;5,IF(MOD(COUNTIF(S$641:S904,1),7)=0,$C$4,0),0)</f>
        <v>292.592857142857</v>
      </c>
      <c r="T602" s="81" cm="1">
        <f ca="1" t="array" ref="T602">IF(T904=1,OFFSET($Z$338,$B602,T$335-1)/SUMPRODUCT(--($D$335:$V$335=T$335),--($D904:$V904=1)),0)+SUM(T601)+IF(COUNTIF(T$641:T904,1)=1,5,0)+IF(COUNTIF(U602:$Z602,"&gt;"&amp;0)&gt;5,IF(MOD(COUNTIF(T$641:T904,1),7)=0,$C$4,0),0)</f>
        <v>137.656257829764</v>
      </c>
      <c r="U602" s="81" cm="1">
        <f ca="1" t="array" ref="U602">IF(U904=1,OFFSET($Z$338,$B602,U$335-1)/SUMPRODUCT(--($D$335:$V$335=U$335),--($D904:$V904=1)),0)+SUM(U601)+IF(COUNTIF(U$641:U904,1)=1,5,0)+IF(COUNTIF(V602:$Z602,"&gt;"&amp;0)&gt;5,IF(MOD(COUNTIF(U$641:U904,1),7)=0,$C$4,0),0)</f>
        <v>97.6562578297643</v>
      </c>
      <c r="V602" s="81" cm="1">
        <f ca="1" t="array" ref="V602">IF(V904=1,OFFSET($Z$338,$B602,V$335-1)/SUMPRODUCT(--($D$335:$V$335=V$335),--($D904:$V904=1)),0)+SUM(V601)+IF(COUNTIF(V$641:V904,1)=1,5,0)+IF(COUNTIF(Z602:$Z602,"&gt;"&amp;0)&gt;5,IF(MOD(COUNTIF(V$641:V904,1),7)=0,$C$4,0),0)</f>
        <v>89.6984386404824</v>
      </c>
      <c r="W602" s="81" cm="1">
        <f ca="1" t="array" ref="W602">IF(W904=1,OFFSET($Z$338,$B602,W$335-1)/SUMPRODUCT(--($D$335:$V$335=W$335),--($D904:$V904=1)),0)+SUM(W601)+IF(COUNTIF(W$641:W904,1)=1,5,0)+IF(COUNTIF($Z602:AA602,"&gt;"&amp;0)&gt;5,IF(MOD(COUNTIF(W$641:W904,1),7)=0,$C$4,0),0)</f>
        <v>80.3425695255331</v>
      </c>
      <c r="X602" s="81" cm="1">
        <f ca="1" t="array" ref="X602">IF(X904=1,OFFSET($Z$338,$B602,X$335-1)/SUMPRODUCT(--($D$335:$V$335=X$335),--($D904:$V904=1)),0)+SUM(X601)+IF(COUNTIF(X$641:X904,1)=1,5,0)+IF(COUNTIF($Z602:AB602,"&gt;"&amp;0)&gt;5,IF(MOD(COUNTIF(X$641:X904,1),7)=0,$C$4,0),0)</f>
        <v>73.5789092348996</v>
      </c>
      <c r="Y602" s="81" cm="1">
        <f ca="1" t="array" ref="Y602">IF(Y904=1,OFFSET($Z$338,$B602,Y$335-1)/SUMPRODUCT(--($D$335:$V$335=Y$335),--($D904:$V904=1)),0)+SUM(Y601)+IF(COUNTIF(Y$641:Y904,1)=1,5,0)+IF(COUNTIF($Z602:AC602,"&gt;"&amp;0)&gt;5,IF(MOD(COUNTIF(Y$641:Y904,1),7)=0,$C$4,0),0)</f>
        <v>66.8152489442662</v>
      </c>
      <c r="Z602" s="82" cm="1">
        <f ca="1" t="array" ref="Z602">SUMPRODUCT(TRANSPOSE($AD602:$AJ602),OFFSET($L$10:$L$16,0,Z$335-1))</f>
        <v>0</v>
      </c>
      <c r="AA602" s="82" cm="1">
        <f ca="1" t="array" ref="AA602">SUMPRODUCT(TRANSPOSE($AD602:$AJ602),OFFSET($L$10:$L$16,0,AA$335-1))</f>
        <v>0</v>
      </c>
      <c r="AB602" s="82" cm="1">
        <f ca="1" t="array" ref="AB602">SUMPRODUCT(TRANSPOSE($AD602:$AJ602),OFFSET($L$10:$L$16,0,AB$335-1))</f>
        <v>0</v>
      </c>
      <c r="AC602" s="82" cm="1">
        <f ca="1" t="array" ref="AC602">SUMPRODUCT(TRANSPOSE($AD602:$AJ602),OFFSET($L$10:$L$16,0,AC$335-1))</f>
        <v>0</v>
      </c>
      <c r="AD602" s="83">
        <f ca="1" t="shared" ref="AD602:AJ602" si="855">AK602-AK601</f>
        <v>0</v>
      </c>
      <c r="AE602" s="83">
        <f ca="1" t="shared" si="855"/>
        <v>0</v>
      </c>
      <c r="AF602" s="83">
        <f ca="1" t="shared" si="855"/>
        <v>0</v>
      </c>
      <c r="AG602" s="83">
        <f ca="1" t="shared" si="855"/>
        <v>0</v>
      </c>
      <c r="AH602" s="83">
        <f ca="1" t="shared" si="855"/>
        <v>0</v>
      </c>
      <c r="AI602" s="83">
        <f ca="1" t="shared" si="855"/>
        <v>0</v>
      </c>
      <c r="AJ602" s="83">
        <f ca="1" t="shared" si="855"/>
        <v>0</v>
      </c>
      <c r="AK602" s="83">
        <f ca="1" t="shared" si="841"/>
        <v>450</v>
      </c>
      <c r="AL602" s="83">
        <f ca="1" t="shared" ref="AL602:AQ602" si="856">IF($C602&gt;OFFSET($Q$9,MATCH(AL$338,$AK$338:$AQ$338,0),0),OFFSET($P$9,MATCH(AL$338,$AK$338:$AQ$338,0),0),MAX(0,$C602-OFFSET($Q$9,RIGHT(AL$338,1)-1,0)))</f>
        <v>909</v>
      </c>
      <c r="AM602" s="83">
        <f ca="1" t="shared" si="856"/>
        <v>1818</v>
      </c>
      <c r="AN602" s="83">
        <f ca="1" t="shared" si="856"/>
        <v>2727</v>
      </c>
      <c r="AO602" s="83">
        <f ca="1" t="shared" si="856"/>
        <v>3636</v>
      </c>
      <c r="AP602" s="83">
        <f ca="1" t="shared" si="856"/>
        <v>4545</v>
      </c>
      <c r="AQ602" s="83">
        <f ca="1" t="shared" si="856"/>
        <v>0</v>
      </c>
    </row>
    <row r="603" ht="16.5" spans="2:43">
      <c r="B603" s="65">
        <v>265</v>
      </c>
      <c r="C603" s="80">
        <f t="shared" si="839"/>
        <v>30476</v>
      </c>
      <c r="D603" s="81" cm="1">
        <f ca="1" t="array" ref="D603">IF(D905=1,OFFSET($Z$338,$B603,D$335-1)/SUMPRODUCT(--($D$335:$V$335=D$335),--($D905:$V905=1)),0)+SUM(D602)+IF(COUNTIF(D$641:D905,1)=1,5,0)+IF(COUNTIF(E603:$Z603,"&gt;"&amp;0)&gt;5,IF(MOD(COUNTIF(D$641:D905,1),7)=0,$C$4,0),0)</f>
        <v>1303.82134856666</v>
      </c>
      <c r="E603" s="81" cm="1">
        <f ca="1" t="array" ref="E603">IF(E905=1,OFFSET($Z$338,$B603,E$335-1)/SUMPRODUCT(--($D$335:$V$335=E$335),--($D905:$V905=1)),0)+SUM(E602)+IF(COUNTIF(E$641:E905,1)=1,5,0)+IF(COUNTIF(F603:$Z603,"&gt;"&amp;0)&gt;5,IF(MOD(COUNTIF(E$641:E905,1),7)=0,$C$4,0),0)</f>
        <v>1303.82134856666</v>
      </c>
      <c r="F603" s="81" cm="1">
        <f ca="1" t="array" ref="F603">IF(F905=1,OFFSET($Z$338,$B603,F$335-1)/SUMPRODUCT(--($D$335:$V$335=F$335),--($D905:$V905=1)),0)+SUM(F602)+IF(COUNTIF(F$641:F905,1)=1,5,0)+IF(COUNTIF(G603:$Z603,"&gt;"&amp;0)&gt;5,IF(MOD(COUNTIF(F$641:F905,1),7)=0,$C$4,0),0)</f>
        <v>1303.82134856666</v>
      </c>
      <c r="G603" s="81" cm="1">
        <f ca="1" t="array" ref="G603">IF(G905=1,OFFSET($Z$338,$B603,G$335-1)/SUMPRODUCT(--($D$335:$V$335=G$335),--($D905:$V905=1)),0)+SUM(G602)+IF(COUNTIF(G$641:G905,1)=1,5,0)+IF(COUNTIF(H603:$Z603,"&gt;"&amp;0)&gt;5,IF(MOD(COUNTIF(G$641:G905,1),7)=0,$C$4,0),0)</f>
        <v>592.516666666668</v>
      </c>
      <c r="H603" s="81" cm="1">
        <f ca="1" t="array" ref="H603">IF(H905=1,OFFSET($Z$338,$B603,H$335-1)/SUMPRODUCT(--($D$335:$V$335=H$335),--($D905:$V905=1)),0)+SUM(H602)+IF(COUNTIF(H$641:H905,1)=1,5,0)+IF(COUNTIF(I603:$Z603,"&gt;"&amp;0)&gt;5,IF(MOD(COUNTIF(H$641:H905,1),7)=0,$C$4,0),0)</f>
        <v>592.516666666668</v>
      </c>
      <c r="I603" s="81" cm="1">
        <f ca="1" t="array" ref="I603">IF(I905=1,OFFSET($Z$338,$B603,I$335-1)/SUMPRODUCT(--($D$335:$V$335=I$335),--($D905:$V905=1)),0)+SUM(I602)+IF(COUNTIF(I$641:I905,1)=1,5,0)+IF(COUNTIF(J603:$Z603,"&gt;"&amp;0)&gt;5,IF(MOD(COUNTIF(I$641:I905,1),7)=0,$C$4,0),0)</f>
        <v>592.516666666668</v>
      </c>
      <c r="J603" s="81" cm="1">
        <f ca="1" t="array" ref="J603">IF(J905=1,OFFSET($Z$338,$B603,J$335-1)/SUMPRODUCT(--($D$335:$V$335=J$335),--($D905:$V905=1)),0)+SUM(J602)+IF(COUNTIF(J$641:J905,1)=1,5,0)+IF(COUNTIF(K603:$Z603,"&gt;"&amp;0)&gt;5,IF(MOD(COUNTIF(J$641:J905,1),7)=0,$C$4,0),0)</f>
        <v>592.516666666668</v>
      </c>
      <c r="K603" s="81" cm="1">
        <f ca="1" t="array" ref="K603">IF(K905=1,OFFSET($Z$338,$B603,K$335-1)/SUMPRODUCT(--($D$335:$V$335=K$335),--($D905:$V905=1)),0)+SUM(K602)+IF(COUNTIF(K$641:K905,1)=1,5,0)+IF(COUNTIF(L603:$Z603,"&gt;"&amp;0)&gt;5,IF(MOD(COUNTIF(K$641:K905,1),7)=0,$C$4,0),0)</f>
        <v>592.516666666668</v>
      </c>
      <c r="L603" s="81" cm="1">
        <f ca="1" t="array" ref="L603">IF(L905=1,OFFSET($Z$338,$B603,L$335-1)/SUMPRODUCT(--($D$335:$V$335=L$335),--($D905:$V905=1)),0)+SUM(L602)+IF(COUNTIF(L$641:L905,1)=1,5,0)+IF(COUNTIF(M603:$Z603,"&gt;"&amp;0)&gt;5,IF(MOD(COUNTIF(L$641:L905,1),7)=0,$C$4,0),0)</f>
        <v>585.816666666668</v>
      </c>
      <c r="M603" s="81" cm="1">
        <f ca="1" t="array" ref="M603">IF(M905=1,OFFSET($Z$338,$B603,M$335-1)/SUMPRODUCT(--($D$335:$V$335=M$335),--($D905:$V905=1)),0)+SUM(M602)+IF(COUNTIF(M$641:M905,1)=1,5,0)+IF(COUNTIF(N603:$Z603,"&gt;"&amp;0)&gt;5,IF(MOD(COUNTIF(M$641:M905,1),7)=0,$C$4,0),0)</f>
        <v>340.644107142858</v>
      </c>
      <c r="N603" s="81" cm="1">
        <f ca="1" t="array" ref="N603">IF(N905=1,OFFSET($Z$338,$B603,N$335-1)/SUMPRODUCT(--($D$335:$V$335=N$335),--($D905:$V905=1)),0)+SUM(N602)+IF(COUNTIF(N$641:N905,1)=1,5,0)+IF(COUNTIF(O603:$Z603,"&gt;"&amp;0)&gt;5,IF(MOD(COUNTIF(N$641:N905,1),7)=0,$C$4,0),0)</f>
        <v>332.919107142858</v>
      </c>
      <c r="O603" s="81" cm="1">
        <f ca="1" t="array" ref="O603">IF(O905=1,OFFSET($Z$338,$B603,O$335-1)/SUMPRODUCT(--($D$335:$V$335=O$335),--($D905:$V905=1)),0)+SUM(O602)+IF(COUNTIF(O$641:O905,1)=1,5,0)+IF(COUNTIF(P603:$Z603,"&gt;"&amp;0)&gt;5,IF(MOD(COUNTIF(O$641:O905,1),7)=0,$C$4,0),0)</f>
        <v>330.494107142858</v>
      </c>
      <c r="P603" s="81" cm="1">
        <f ca="1" t="array" ref="P603">IF(P905=1,OFFSET($Z$338,$B603,P$335-1)/SUMPRODUCT(--($D$335:$V$335=P$335),--($D905:$V905=1)),0)+SUM(P602)+IF(COUNTIF(P$641:P905,1)=1,5,0)+IF(COUNTIF(Q603:$Z603,"&gt;"&amp;0)&gt;5,IF(MOD(COUNTIF(P$641:P905,1),7)=0,$C$4,0),0)</f>
        <v>327.560773809524</v>
      </c>
      <c r="Q603" s="81" cm="1">
        <f ca="1" t="array" ref="Q603">IF(Q905=1,OFFSET($Z$338,$B603,Q$335-1)/SUMPRODUCT(--($D$335:$V$335=Q$335),--($D905:$V905=1)),0)+SUM(Q602)+IF(COUNTIF(Q$641:Q905,1)=1,5,0)+IF(COUNTIF(R603:$Z603,"&gt;"&amp;0)&gt;5,IF(MOD(COUNTIF(Q$641:Q905,1),7)=0,$C$4,0),0)</f>
        <v>326.654523809524</v>
      </c>
      <c r="R603" s="81" cm="1">
        <f ca="1" t="array" ref="R603">IF(R905=1,OFFSET($Z$338,$B603,R$335-1)/SUMPRODUCT(--($D$335:$V$335=R$335),--($D905:$V905=1)),0)+SUM(R602)+IF(COUNTIF(R$641:R905,1)=1,5,0)+IF(COUNTIF(S603:$Z603,"&gt;"&amp;0)&gt;5,IF(MOD(COUNTIF(R$641:R905,1),7)=0,$C$4,0),0)</f>
        <v>296.759523809524</v>
      </c>
      <c r="S603" s="81" cm="1">
        <f ca="1" t="array" ref="S603">IF(S905=1,OFFSET($Z$338,$B603,S$335-1)/SUMPRODUCT(--($D$335:$V$335=S$335),--($D905:$V905=1)),0)+SUM(S602)+IF(COUNTIF(S$641:S905,1)=1,5,0)+IF(COUNTIF(T603:$Z603,"&gt;"&amp;0)&gt;5,IF(MOD(COUNTIF(S$641:S905,1),7)=0,$C$4,0),0)</f>
        <v>292.592857142857</v>
      </c>
      <c r="T603" s="81" cm="1">
        <f ca="1" t="array" ref="T603">IF(T905=1,OFFSET($Z$338,$B603,T$335-1)/SUMPRODUCT(--($D$335:$V$335=T$335),--($D905:$V905=1)),0)+SUM(T602)+IF(COUNTIF(T$641:T905,1)=1,5,0)+IF(COUNTIF(U603:$Z603,"&gt;"&amp;0)&gt;5,IF(MOD(COUNTIF(T$641:T905,1),7)=0,$C$4,0),0)</f>
        <v>137.656257829764</v>
      </c>
      <c r="U603" s="81" cm="1">
        <f ca="1" t="array" ref="U603">IF(U905=1,OFFSET($Z$338,$B603,U$335-1)/SUMPRODUCT(--($D$335:$V$335=U$335),--($D905:$V905=1)),0)+SUM(U602)+IF(COUNTIF(U$641:U905,1)=1,5,0)+IF(COUNTIF(V603:$Z603,"&gt;"&amp;0)&gt;5,IF(MOD(COUNTIF(U$641:U905,1),7)=0,$C$4,0),0)</f>
        <v>97.6562578297643</v>
      </c>
      <c r="V603" s="81" cm="1">
        <f ca="1" t="array" ref="V603">IF(V905=1,OFFSET($Z$338,$B603,V$335-1)/SUMPRODUCT(--($D$335:$V$335=V$335),--($D905:$V905=1)),0)+SUM(V602)+IF(COUNTIF(V$641:V905,1)=1,5,0)+IF(COUNTIF(Z603:$Z603,"&gt;"&amp;0)&gt;5,IF(MOD(COUNTIF(V$641:V905,1),7)=0,$C$4,0),0)</f>
        <v>89.6984386404824</v>
      </c>
      <c r="W603" s="81" cm="1">
        <f ca="1" t="array" ref="W603">IF(W905=1,OFFSET($Z$338,$B603,W$335-1)/SUMPRODUCT(--($D$335:$V$335=W$335),--($D905:$V905=1)),0)+SUM(W602)+IF(COUNTIF(W$641:W905,1)=1,5,0)+IF(COUNTIF($Z603:AA603,"&gt;"&amp;0)&gt;5,IF(MOD(COUNTIF(W$641:W905,1),7)=0,$C$4,0),0)</f>
        <v>80.3425695255331</v>
      </c>
      <c r="X603" s="81" cm="1">
        <f ca="1" t="array" ref="X603">IF(X905=1,OFFSET($Z$338,$B603,X$335-1)/SUMPRODUCT(--($D$335:$V$335=X$335),--($D905:$V905=1)),0)+SUM(X602)+IF(COUNTIF(X$641:X905,1)=1,5,0)+IF(COUNTIF($Z603:AB603,"&gt;"&amp;0)&gt;5,IF(MOD(COUNTIF(X$641:X905,1),7)=0,$C$4,0),0)</f>
        <v>73.5789092348996</v>
      </c>
      <c r="Y603" s="81" cm="1">
        <f ca="1" t="array" ref="Y603">IF(Y905=1,OFFSET($Z$338,$B603,Y$335-1)/SUMPRODUCT(--($D$335:$V$335=Y$335),--($D905:$V905=1)),0)+SUM(Y602)+IF(COUNTIF(Y$641:Y905,1)=1,5,0)+IF(COUNTIF($Z603:AC603,"&gt;"&amp;0)&gt;5,IF(MOD(COUNTIF(Y$641:Y905,1),7)=0,$C$4,0),0)</f>
        <v>66.8152489442662</v>
      </c>
      <c r="Z603" s="82" cm="1">
        <f ca="1" t="array" ref="Z603">SUMPRODUCT(TRANSPOSE($AD603:$AJ603),OFFSET($L$10:$L$16,0,Z$335-1))</f>
        <v>0</v>
      </c>
      <c r="AA603" s="82" cm="1">
        <f ca="1" t="array" ref="AA603">SUMPRODUCT(TRANSPOSE($AD603:$AJ603),OFFSET($L$10:$L$16,0,AA$335-1))</f>
        <v>0</v>
      </c>
      <c r="AB603" s="82" cm="1">
        <f ca="1" t="array" ref="AB603">SUMPRODUCT(TRANSPOSE($AD603:$AJ603),OFFSET($L$10:$L$16,0,AB$335-1))</f>
        <v>0</v>
      </c>
      <c r="AC603" s="82" cm="1">
        <f ca="1" t="array" ref="AC603">SUMPRODUCT(TRANSPOSE($AD603:$AJ603),OFFSET($L$10:$L$16,0,AC$335-1))</f>
        <v>0</v>
      </c>
      <c r="AD603" s="83">
        <f ca="1" t="shared" ref="AD603:AJ603" si="857">AK603-AK602</f>
        <v>0</v>
      </c>
      <c r="AE603" s="83">
        <f ca="1" t="shared" si="857"/>
        <v>0</v>
      </c>
      <c r="AF603" s="83">
        <f ca="1" t="shared" si="857"/>
        <v>0</v>
      </c>
      <c r="AG603" s="83">
        <f ca="1" t="shared" si="857"/>
        <v>0</v>
      </c>
      <c r="AH603" s="83">
        <f ca="1" t="shared" si="857"/>
        <v>0</v>
      </c>
      <c r="AI603" s="83">
        <f ca="1" t="shared" si="857"/>
        <v>0</v>
      </c>
      <c r="AJ603" s="83">
        <f ca="1" t="shared" si="857"/>
        <v>0</v>
      </c>
      <c r="AK603" s="83">
        <f ca="1" t="shared" si="841"/>
        <v>450</v>
      </c>
      <c r="AL603" s="83">
        <f ca="1" t="shared" ref="AL603:AQ603" si="858">IF($C603&gt;OFFSET($Q$9,MATCH(AL$338,$AK$338:$AQ$338,0),0),OFFSET($P$9,MATCH(AL$338,$AK$338:$AQ$338,0),0),MAX(0,$C603-OFFSET($Q$9,RIGHT(AL$338,1)-1,0)))</f>
        <v>909</v>
      </c>
      <c r="AM603" s="83">
        <f ca="1" t="shared" si="858"/>
        <v>1818</v>
      </c>
      <c r="AN603" s="83">
        <f ca="1" t="shared" si="858"/>
        <v>2727</v>
      </c>
      <c r="AO603" s="83">
        <f ca="1" t="shared" si="858"/>
        <v>3636</v>
      </c>
      <c r="AP603" s="83">
        <f ca="1" t="shared" si="858"/>
        <v>4545</v>
      </c>
      <c r="AQ603" s="83">
        <f ca="1" t="shared" si="858"/>
        <v>0</v>
      </c>
    </row>
    <row r="604" ht="16.5" spans="2:43">
      <c r="B604" s="65">
        <v>266</v>
      </c>
      <c r="C604" s="80">
        <f t="shared" si="839"/>
        <v>30586</v>
      </c>
      <c r="D604" s="81" cm="1">
        <f ca="1" t="array" ref="D604">IF(D906=1,OFFSET($Z$338,$B604,D$335-1)/SUMPRODUCT(--($D$335:$V$335=D$335),--($D906:$V906=1)),0)+SUM(D603)+IF(COUNTIF(D$641:D906,1)=1,5,0)+IF(COUNTIF(E604:$Z604,"&gt;"&amp;0)&gt;5,IF(MOD(COUNTIF(D$641:D906,1),7)=0,$C$4,0),0)</f>
        <v>1308.82134856666</v>
      </c>
      <c r="E604" s="81" cm="1">
        <f ca="1" t="array" ref="E604">IF(E906=1,OFFSET($Z$338,$B604,E$335-1)/SUMPRODUCT(--($D$335:$V$335=E$335),--($D906:$V906=1)),0)+SUM(E603)+IF(COUNTIF(E$641:E906,1)=1,5,0)+IF(COUNTIF(F604:$Z604,"&gt;"&amp;0)&gt;5,IF(MOD(COUNTIF(E$641:E906,1),7)=0,$C$4,0),0)</f>
        <v>1308.82134856666</v>
      </c>
      <c r="F604" s="81" cm="1">
        <f ca="1" t="array" ref="F604">IF(F906=1,OFFSET($Z$338,$B604,F$335-1)/SUMPRODUCT(--($D$335:$V$335=F$335),--($D906:$V906=1)),0)+SUM(F603)+IF(COUNTIF(F$641:F906,1)=1,5,0)+IF(COUNTIF(G604:$Z604,"&gt;"&amp;0)&gt;5,IF(MOD(COUNTIF(F$641:F906,1),7)=0,$C$4,0),0)</f>
        <v>1308.82134856666</v>
      </c>
      <c r="G604" s="81" cm="1">
        <f ca="1" t="array" ref="G604">IF(G906=1,OFFSET($Z$338,$B604,G$335-1)/SUMPRODUCT(--($D$335:$V$335=G$335),--($D906:$V906=1)),0)+SUM(G603)+IF(COUNTIF(G$641:G906,1)=1,5,0)+IF(COUNTIF(H604:$Z604,"&gt;"&amp;0)&gt;5,IF(MOD(COUNTIF(G$641:G906,1),7)=0,$C$4,0),0)</f>
        <v>597.516666666668</v>
      </c>
      <c r="H604" s="81" cm="1">
        <f ca="1" t="array" ref="H604">IF(H906=1,OFFSET($Z$338,$B604,H$335-1)/SUMPRODUCT(--($D$335:$V$335=H$335),--($D906:$V906=1)),0)+SUM(H603)+IF(COUNTIF(H$641:H906,1)=1,5,0)+IF(COUNTIF(I604:$Z604,"&gt;"&amp;0)&gt;5,IF(MOD(COUNTIF(H$641:H906,1),7)=0,$C$4,0),0)</f>
        <v>597.516666666668</v>
      </c>
      <c r="I604" s="81" cm="1">
        <f ca="1" t="array" ref="I604">IF(I906=1,OFFSET($Z$338,$B604,I$335-1)/SUMPRODUCT(--($D$335:$V$335=I$335),--($D906:$V906=1)),0)+SUM(I603)+IF(COUNTIF(I$641:I906,1)=1,5,0)+IF(COUNTIF(J604:$Z604,"&gt;"&amp;0)&gt;5,IF(MOD(COUNTIF(I$641:I906,1),7)=0,$C$4,0),0)</f>
        <v>597.516666666668</v>
      </c>
      <c r="J604" s="81" cm="1">
        <f ca="1" t="array" ref="J604">IF(J906=1,OFFSET($Z$338,$B604,J$335-1)/SUMPRODUCT(--($D$335:$V$335=J$335),--($D906:$V906=1)),0)+SUM(J603)+IF(COUNTIF(J$641:J906,1)=1,5,0)+IF(COUNTIF(K604:$Z604,"&gt;"&amp;0)&gt;5,IF(MOD(COUNTIF(J$641:J906,1),7)=0,$C$4,0),0)</f>
        <v>597.516666666668</v>
      </c>
      <c r="K604" s="81" cm="1">
        <f ca="1" t="array" ref="K604">IF(K906=1,OFFSET($Z$338,$B604,K$335-1)/SUMPRODUCT(--($D$335:$V$335=K$335),--($D906:$V906=1)),0)+SUM(K603)+IF(COUNTIF(K$641:K906,1)=1,5,0)+IF(COUNTIF(L604:$Z604,"&gt;"&amp;0)&gt;5,IF(MOD(COUNTIF(K$641:K906,1),7)=0,$C$4,0),0)</f>
        <v>597.516666666668</v>
      </c>
      <c r="L604" s="81" cm="1">
        <f ca="1" t="array" ref="L604">IF(L906=1,OFFSET($Z$338,$B604,L$335-1)/SUMPRODUCT(--($D$335:$V$335=L$335),--($D906:$V906=1)),0)+SUM(L603)+IF(COUNTIF(L$641:L906,1)=1,5,0)+IF(COUNTIF(M604:$Z604,"&gt;"&amp;0)&gt;5,IF(MOD(COUNTIF(L$641:L906,1),7)=0,$C$4,0),0)</f>
        <v>585.816666666668</v>
      </c>
      <c r="M604" s="81" cm="1">
        <f ca="1" t="array" ref="M604">IF(M906=1,OFFSET($Z$338,$B604,M$335-1)/SUMPRODUCT(--($D$335:$V$335=M$335),--($D906:$V906=1)),0)+SUM(M603)+IF(COUNTIF(M$641:M906,1)=1,5,0)+IF(COUNTIF(N604:$Z604,"&gt;"&amp;0)&gt;5,IF(MOD(COUNTIF(M$641:M906,1),7)=0,$C$4,0),0)</f>
        <v>340.644107142858</v>
      </c>
      <c r="N604" s="81" cm="1">
        <f ca="1" t="array" ref="N604">IF(N906=1,OFFSET($Z$338,$B604,N$335-1)/SUMPRODUCT(--($D$335:$V$335=N$335),--($D906:$V906=1)),0)+SUM(N603)+IF(COUNTIF(N$641:N906,1)=1,5,0)+IF(COUNTIF(O604:$Z604,"&gt;"&amp;0)&gt;5,IF(MOD(COUNTIF(N$641:N906,1),7)=0,$C$4,0),0)</f>
        <v>332.919107142858</v>
      </c>
      <c r="O604" s="81" cm="1">
        <f ca="1" t="array" ref="O604">IF(O906=1,OFFSET($Z$338,$B604,O$335-1)/SUMPRODUCT(--($D$335:$V$335=O$335),--($D906:$V906=1)),0)+SUM(O603)+IF(COUNTIF(O$641:O906,1)=1,5,0)+IF(COUNTIF(P604:$Z604,"&gt;"&amp;0)&gt;5,IF(MOD(COUNTIF(O$641:O906,1),7)=0,$C$4,0),0)</f>
        <v>330.494107142858</v>
      </c>
      <c r="P604" s="81" cm="1">
        <f ca="1" t="array" ref="P604">IF(P906=1,OFFSET($Z$338,$B604,P$335-1)/SUMPRODUCT(--($D$335:$V$335=P$335),--($D906:$V906=1)),0)+SUM(P603)+IF(COUNTIF(P$641:P906,1)=1,5,0)+IF(COUNTIF(Q604:$Z604,"&gt;"&amp;0)&gt;5,IF(MOD(COUNTIF(P$641:P906,1),7)=0,$C$4,0),0)</f>
        <v>327.560773809524</v>
      </c>
      <c r="Q604" s="81" cm="1">
        <f ca="1" t="array" ref="Q604">IF(Q906=1,OFFSET($Z$338,$B604,Q$335-1)/SUMPRODUCT(--($D$335:$V$335=Q$335),--($D906:$V906=1)),0)+SUM(Q603)+IF(COUNTIF(Q$641:Q906,1)=1,5,0)+IF(COUNTIF(R604:$Z604,"&gt;"&amp;0)&gt;5,IF(MOD(COUNTIF(Q$641:Q906,1),7)=0,$C$4,0),0)</f>
        <v>326.654523809524</v>
      </c>
      <c r="R604" s="81" cm="1">
        <f ca="1" t="array" ref="R604">IF(R906=1,OFFSET($Z$338,$B604,R$335-1)/SUMPRODUCT(--($D$335:$V$335=R$335),--($D906:$V906=1)),0)+SUM(R603)+IF(COUNTIF(R$641:R906,1)=1,5,0)+IF(COUNTIF(S604:$Z604,"&gt;"&amp;0)&gt;5,IF(MOD(COUNTIF(R$641:R906,1),7)=0,$C$4,0),0)</f>
        <v>301.759523809524</v>
      </c>
      <c r="S604" s="81" cm="1">
        <f ca="1" t="array" ref="S604">IF(S906=1,OFFSET($Z$338,$B604,S$335-1)/SUMPRODUCT(--($D$335:$V$335=S$335),--($D906:$V906=1)),0)+SUM(S603)+IF(COUNTIF(S$641:S906,1)=1,5,0)+IF(COUNTIF(T604:$Z604,"&gt;"&amp;0)&gt;5,IF(MOD(COUNTIF(S$641:S906,1),7)=0,$C$4,0),0)</f>
        <v>292.592857142857</v>
      </c>
      <c r="T604" s="81" cm="1">
        <f ca="1" t="array" ref="T604">IF(T906=1,OFFSET($Z$338,$B604,T$335-1)/SUMPRODUCT(--($D$335:$V$335=T$335),--($D906:$V906=1)),0)+SUM(T603)+IF(COUNTIF(T$641:T906,1)=1,5,0)+IF(COUNTIF(U604:$Z604,"&gt;"&amp;0)&gt;5,IF(MOD(COUNTIF(T$641:T906,1),7)=0,$C$4,0),0)</f>
        <v>137.656257829764</v>
      </c>
      <c r="U604" s="81" cm="1">
        <f ca="1" t="array" ref="U604">IF(U906=1,OFFSET($Z$338,$B604,U$335-1)/SUMPRODUCT(--($D$335:$V$335=U$335),--($D906:$V906=1)),0)+SUM(U603)+IF(COUNTIF(U$641:U906,1)=1,5,0)+IF(COUNTIF(V604:$Z604,"&gt;"&amp;0)&gt;5,IF(MOD(COUNTIF(U$641:U906,1),7)=0,$C$4,0),0)</f>
        <v>97.6562578297643</v>
      </c>
      <c r="V604" s="81" cm="1">
        <f ca="1" t="array" ref="V604">IF(V906=1,OFFSET($Z$338,$B604,V$335-1)/SUMPRODUCT(--($D$335:$V$335=V$335),--($D906:$V906=1)),0)+SUM(V603)+IF(COUNTIF(V$641:V906,1)=1,5,0)+IF(COUNTIF(Z604:$Z604,"&gt;"&amp;0)&gt;5,IF(MOD(COUNTIF(V$641:V906,1),7)=0,$C$4,0),0)</f>
        <v>89.6984386404824</v>
      </c>
      <c r="W604" s="81" cm="1">
        <f ca="1" t="array" ref="W604">IF(W906=1,OFFSET($Z$338,$B604,W$335-1)/SUMPRODUCT(--($D$335:$V$335=W$335),--($D906:$V906=1)),0)+SUM(W603)+IF(COUNTIF(W$641:W906,1)=1,5,0)+IF(COUNTIF($Z604:AA604,"&gt;"&amp;0)&gt;5,IF(MOD(COUNTIF(W$641:W906,1),7)=0,$C$4,0),0)</f>
        <v>80.3425695255331</v>
      </c>
      <c r="X604" s="81" cm="1">
        <f ca="1" t="array" ref="X604">IF(X906=1,OFFSET($Z$338,$B604,X$335-1)/SUMPRODUCT(--($D$335:$V$335=X$335),--($D906:$V906=1)),0)+SUM(X603)+IF(COUNTIF(X$641:X906,1)=1,5,0)+IF(COUNTIF($Z604:AB604,"&gt;"&amp;0)&gt;5,IF(MOD(COUNTIF(X$641:X906,1),7)=0,$C$4,0),0)</f>
        <v>73.5789092348996</v>
      </c>
      <c r="Y604" s="81" cm="1">
        <f ca="1" t="array" ref="Y604">IF(Y906=1,OFFSET($Z$338,$B604,Y$335-1)/SUMPRODUCT(--($D$335:$V$335=Y$335),--($D906:$V906=1)),0)+SUM(Y603)+IF(COUNTIF(Y$641:Y906,1)=1,5,0)+IF(COUNTIF($Z604:AC604,"&gt;"&amp;0)&gt;5,IF(MOD(COUNTIF(Y$641:Y906,1),7)=0,$C$4,0),0)</f>
        <v>66.8152489442662</v>
      </c>
      <c r="Z604" s="82" cm="1">
        <f ca="1" t="array" ref="Z604">SUMPRODUCT(TRANSPOSE($AD604:$AJ604),OFFSET($L$10:$L$16,0,Z$335-1))</f>
        <v>0</v>
      </c>
      <c r="AA604" s="82" cm="1">
        <f ca="1" t="array" ref="AA604">SUMPRODUCT(TRANSPOSE($AD604:$AJ604),OFFSET($L$10:$L$16,0,AA$335-1))</f>
        <v>0</v>
      </c>
      <c r="AB604" s="82" cm="1">
        <f ca="1" t="array" ref="AB604">SUMPRODUCT(TRANSPOSE($AD604:$AJ604),OFFSET($L$10:$L$16,0,AB$335-1))</f>
        <v>0</v>
      </c>
      <c r="AC604" s="82" cm="1">
        <f ca="1" t="array" ref="AC604">SUMPRODUCT(TRANSPOSE($AD604:$AJ604),OFFSET($L$10:$L$16,0,AC$335-1))</f>
        <v>0</v>
      </c>
      <c r="AD604" s="83">
        <f ca="1" t="shared" ref="AD604:AJ604" si="859">AK604-AK603</f>
        <v>0</v>
      </c>
      <c r="AE604" s="83">
        <f ca="1" t="shared" si="859"/>
        <v>0</v>
      </c>
      <c r="AF604" s="83">
        <f ca="1" t="shared" si="859"/>
        <v>0</v>
      </c>
      <c r="AG604" s="83">
        <f ca="1" t="shared" si="859"/>
        <v>0</v>
      </c>
      <c r="AH604" s="83">
        <f ca="1" t="shared" si="859"/>
        <v>0</v>
      </c>
      <c r="AI604" s="83">
        <f ca="1" t="shared" si="859"/>
        <v>0</v>
      </c>
      <c r="AJ604" s="83">
        <f ca="1" t="shared" si="859"/>
        <v>0</v>
      </c>
      <c r="AK604" s="83">
        <f ca="1" t="shared" si="841"/>
        <v>450</v>
      </c>
      <c r="AL604" s="83">
        <f ca="1" t="shared" ref="AL604:AQ604" si="860">IF($C604&gt;OFFSET($Q$9,MATCH(AL$338,$AK$338:$AQ$338,0),0),OFFSET($P$9,MATCH(AL$338,$AK$338:$AQ$338,0),0),MAX(0,$C604-OFFSET($Q$9,RIGHT(AL$338,1)-1,0)))</f>
        <v>909</v>
      </c>
      <c r="AM604" s="83">
        <f ca="1" t="shared" si="860"/>
        <v>1818</v>
      </c>
      <c r="AN604" s="83">
        <f ca="1" t="shared" si="860"/>
        <v>2727</v>
      </c>
      <c r="AO604" s="83">
        <f ca="1" t="shared" si="860"/>
        <v>3636</v>
      </c>
      <c r="AP604" s="83">
        <f ca="1" t="shared" si="860"/>
        <v>4545</v>
      </c>
      <c r="AQ604" s="83">
        <f ca="1" t="shared" si="860"/>
        <v>0</v>
      </c>
    </row>
    <row r="605" ht="16.5" spans="2:43">
      <c r="B605" s="65">
        <v>267</v>
      </c>
      <c r="C605" s="80">
        <f t="shared" si="839"/>
        <v>30696</v>
      </c>
      <c r="D605" s="81" cm="1">
        <f ca="1" t="array" ref="D605">IF(D907=1,OFFSET($Z$338,$B605,D$335-1)/SUMPRODUCT(--($D$335:$V$335=D$335),--($D907:$V907=1)),0)+SUM(D604)+IF(COUNTIF(D$641:D907,1)=1,5,0)+IF(COUNTIF(E605:$Z605,"&gt;"&amp;0)&gt;5,IF(MOD(COUNTIF(D$641:D907,1),7)=0,$C$4,0),0)</f>
        <v>1308.82134856666</v>
      </c>
      <c r="E605" s="81" cm="1">
        <f ca="1" t="array" ref="E605">IF(E907=1,OFFSET($Z$338,$B605,E$335-1)/SUMPRODUCT(--($D$335:$V$335=E$335),--($D907:$V907=1)),0)+SUM(E604)+IF(COUNTIF(E$641:E907,1)=1,5,0)+IF(COUNTIF(F605:$Z605,"&gt;"&amp;0)&gt;5,IF(MOD(COUNTIF(E$641:E907,1),7)=0,$C$4,0),0)</f>
        <v>1308.82134856666</v>
      </c>
      <c r="F605" s="81" cm="1">
        <f ca="1" t="array" ref="F605">IF(F907=1,OFFSET($Z$338,$B605,F$335-1)/SUMPRODUCT(--($D$335:$V$335=F$335),--($D907:$V907=1)),0)+SUM(F604)+IF(COUNTIF(F$641:F907,1)=1,5,0)+IF(COUNTIF(G605:$Z605,"&gt;"&amp;0)&gt;5,IF(MOD(COUNTIF(F$641:F907,1),7)=0,$C$4,0),0)</f>
        <v>1308.82134856666</v>
      </c>
      <c r="G605" s="81" cm="1">
        <f ca="1" t="array" ref="G605">IF(G907=1,OFFSET($Z$338,$B605,G$335-1)/SUMPRODUCT(--($D$335:$V$335=G$335),--($D907:$V907=1)),0)+SUM(G604)+IF(COUNTIF(G$641:G907,1)=1,5,0)+IF(COUNTIF(H605:$Z605,"&gt;"&amp;0)&gt;5,IF(MOD(COUNTIF(G$641:G907,1),7)=0,$C$4,0),0)</f>
        <v>597.516666666668</v>
      </c>
      <c r="H605" s="81" cm="1">
        <f ca="1" t="array" ref="H605">IF(H907=1,OFFSET($Z$338,$B605,H$335-1)/SUMPRODUCT(--($D$335:$V$335=H$335),--($D907:$V907=1)),0)+SUM(H604)+IF(COUNTIF(H$641:H907,1)=1,5,0)+IF(COUNTIF(I605:$Z605,"&gt;"&amp;0)&gt;5,IF(MOD(COUNTIF(H$641:H907,1),7)=0,$C$4,0),0)</f>
        <v>597.516666666668</v>
      </c>
      <c r="I605" s="81" cm="1">
        <f ca="1" t="array" ref="I605">IF(I907=1,OFFSET($Z$338,$B605,I$335-1)/SUMPRODUCT(--($D$335:$V$335=I$335),--($D907:$V907=1)),0)+SUM(I604)+IF(COUNTIF(I$641:I907,1)=1,5,0)+IF(COUNTIF(J605:$Z605,"&gt;"&amp;0)&gt;5,IF(MOD(COUNTIF(I$641:I907,1),7)=0,$C$4,0),0)</f>
        <v>597.516666666668</v>
      </c>
      <c r="J605" s="81" cm="1">
        <f ca="1" t="array" ref="J605">IF(J907=1,OFFSET($Z$338,$B605,J$335-1)/SUMPRODUCT(--($D$335:$V$335=J$335),--($D907:$V907=1)),0)+SUM(J604)+IF(COUNTIF(J$641:J907,1)=1,5,0)+IF(COUNTIF(K605:$Z605,"&gt;"&amp;0)&gt;5,IF(MOD(COUNTIF(J$641:J907,1),7)=0,$C$4,0),0)</f>
        <v>597.516666666668</v>
      </c>
      <c r="K605" s="81" cm="1">
        <f ca="1" t="array" ref="K605">IF(K907=1,OFFSET($Z$338,$B605,K$335-1)/SUMPRODUCT(--($D$335:$V$335=K$335),--($D907:$V907=1)),0)+SUM(K604)+IF(COUNTIF(K$641:K907,1)=1,5,0)+IF(COUNTIF(L605:$Z605,"&gt;"&amp;0)&gt;5,IF(MOD(COUNTIF(K$641:K907,1),7)=0,$C$4,0),0)</f>
        <v>597.516666666668</v>
      </c>
      <c r="L605" s="81" cm="1">
        <f ca="1" t="array" ref="L605">IF(L907=1,OFFSET($Z$338,$B605,L$335-1)/SUMPRODUCT(--($D$335:$V$335=L$335),--($D907:$V907=1)),0)+SUM(L604)+IF(COUNTIF(L$641:L907,1)=1,5,0)+IF(COUNTIF(M605:$Z605,"&gt;"&amp;0)&gt;5,IF(MOD(COUNTIF(L$641:L907,1),7)=0,$C$4,0),0)</f>
        <v>590.816666666668</v>
      </c>
      <c r="M605" s="81" cm="1">
        <f ca="1" t="array" ref="M605">IF(M907=1,OFFSET($Z$338,$B605,M$335-1)/SUMPRODUCT(--($D$335:$V$335=M$335),--($D907:$V907=1)),0)+SUM(M604)+IF(COUNTIF(M$641:M907,1)=1,5,0)+IF(COUNTIF(N605:$Z605,"&gt;"&amp;0)&gt;5,IF(MOD(COUNTIF(M$641:M907,1),7)=0,$C$4,0),0)</f>
        <v>345.644107142858</v>
      </c>
      <c r="N605" s="81" cm="1">
        <f ca="1" t="array" ref="N605">IF(N907=1,OFFSET($Z$338,$B605,N$335-1)/SUMPRODUCT(--($D$335:$V$335=N$335),--($D907:$V907=1)),0)+SUM(N604)+IF(COUNTIF(N$641:N907,1)=1,5,0)+IF(COUNTIF(O605:$Z605,"&gt;"&amp;0)&gt;5,IF(MOD(COUNTIF(N$641:N907,1),7)=0,$C$4,0),0)</f>
        <v>332.919107142858</v>
      </c>
      <c r="O605" s="81" cm="1">
        <f ca="1" t="array" ref="O605">IF(O907=1,OFFSET($Z$338,$B605,O$335-1)/SUMPRODUCT(--($D$335:$V$335=O$335),--($D907:$V907=1)),0)+SUM(O604)+IF(COUNTIF(O$641:O907,1)=1,5,0)+IF(COUNTIF(P605:$Z605,"&gt;"&amp;0)&gt;5,IF(MOD(COUNTIF(O$641:O907,1),7)=0,$C$4,0),0)</f>
        <v>330.494107142858</v>
      </c>
      <c r="P605" s="81" cm="1">
        <f ca="1" t="array" ref="P605">IF(P907=1,OFFSET($Z$338,$B605,P$335-1)/SUMPRODUCT(--($D$335:$V$335=P$335),--($D907:$V907=1)),0)+SUM(P604)+IF(COUNTIF(P$641:P907,1)=1,5,0)+IF(COUNTIF(Q605:$Z605,"&gt;"&amp;0)&gt;5,IF(MOD(COUNTIF(P$641:P907,1),7)=0,$C$4,0),0)</f>
        <v>327.560773809524</v>
      </c>
      <c r="Q605" s="81" cm="1">
        <f ca="1" t="array" ref="Q605">IF(Q907=1,OFFSET($Z$338,$B605,Q$335-1)/SUMPRODUCT(--($D$335:$V$335=Q$335),--($D907:$V907=1)),0)+SUM(Q604)+IF(COUNTIF(Q$641:Q907,1)=1,5,0)+IF(COUNTIF(R605:$Z605,"&gt;"&amp;0)&gt;5,IF(MOD(COUNTIF(Q$641:Q907,1),7)=0,$C$4,0),0)</f>
        <v>326.654523809524</v>
      </c>
      <c r="R605" s="81" cm="1">
        <f ca="1" t="array" ref="R605">IF(R907=1,OFFSET($Z$338,$B605,R$335-1)/SUMPRODUCT(--($D$335:$V$335=R$335),--($D907:$V907=1)),0)+SUM(R604)+IF(COUNTIF(R$641:R907,1)=1,5,0)+IF(COUNTIF(S605:$Z605,"&gt;"&amp;0)&gt;5,IF(MOD(COUNTIF(R$641:R907,1),7)=0,$C$4,0),0)</f>
        <v>301.759523809524</v>
      </c>
      <c r="S605" s="81" cm="1">
        <f ca="1" t="array" ref="S605">IF(S907=1,OFFSET($Z$338,$B605,S$335-1)/SUMPRODUCT(--($D$335:$V$335=S$335),--($D907:$V907=1)),0)+SUM(S604)+IF(COUNTIF(S$641:S907,1)=1,5,0)+IF(COUNTIF(T605:$Z605,"&gt;"&amp;0)&gt;5,IF(MOD(COUNTIF(S$641:S907,1),7)=0,$C$4,0),0)</f>
        <v>292.592857142857</v>
      </c>
      <c r="T605" s="81" cm="1">
        <f ca="1" t="array" ref="T605">IF(T907=1,OFFSET($Z$338,$B605,T$335-1)/SUMPRODUCT(--($D$335:$V$335=T$335),--($D907:$V907=1)),0)+SUM(T604)+IF(COUNTIF(T$641:T907,1)=1,5,0)+IF(COUNTIF(U605:$Z605,"&gt;"&amp;0)&gt;5,IF(MOD(COUNTIF(T$641:T907,1),7)=0,$C$4,0),0)</f>
        <v>137.656257829764</v>
      </c>
      <c r="U605" s="81" cm="1">
        <f ca="1" t="array" ref="U605">IF(U907=1,OFFSET($Z$338,$B605,U$335-1)/SUMPRODUCT(--($D$335:$V$335=U$335),--($D907:$V907=1)),0)+SUM(U604)+IF(COUNTIF(U$641:U907,1)=1,5,0)+IF(COUNTIF(V605:$Z605,"&gt;"&amp;0)&gt;5,IF(MOD(COUNTIF(U$641:U907,1),7)=0,$C$4,0),0)</f>
        <v>97.6562578297643</v>
      </c>
      <c r="V605" s="81" cm="1">
        <f ca="1" t="array" ref="V605">IF(V907=1,OFFSET($Z$338,$B605,V$335-1)/SUMPRODUCT(--($D$335:$V$335=V$335),--($D907:$V907=1)),0)+SUM(V604)+IF(COUNTIF(V$641:V907,1)=1,5,0)+IF(COUNTIF(Z605:$Z605,"&gt;"&amp;0)&gt;5,IF(MOD(COUNTIF(V$641:V907,1),7)=0,$C$4,0),0)</f>
        <v>89.6984386404824</v>
      </c>
      <c r="W605" s="81" cm="1">
        <f ca="1" t="array" ref="W605">IF(W907=1,OFFSET($Z$338,$B605,W$335-1)/SUMPRODUCT(--($D$335:$V$335=W$335),--($D907:$V907=1)),0)+SUM(W604)+IF(COUNTIF(W$641:W907,1)=1,5,0)+IF(COUNTIF($Z605:AA605,"&gt;"&amp;0)&gt;5,IF(MOD(COUNTIF(W$641:W907,1),7)=0,$C$4,0),0)</f>
        <v>80.3425695255331</v>
      </c>
      <c r="X605" s="81" cm="1">
        <f ca="1" t="array" ref="X605">IF(X907=1,OFFSET($Z$338,$B605,X$335-1)/SUMPRODUCT(--($D$335:$V$335=X$335),--($D907:$V907=1)),0)+SUM(X604)+IF(COUNTIF(X$641:X907,1)=1,5,0)+IF(COUNTIF($Z605:AB605,"&gt;"&amp;0)&gt;5,IF(MOD(COUNTIF(X$641:X907,1),7)=0,$C$4,0),0)</f>
        <v>73.5789092348996</v>
      </c>
      <c r="Y605" s="81" cm="1">
        <f ca="1" t="array" ref="Y605">IF(Y907=1,OFFSET($Z$338,$B605,Y$335-1)/SUMPRODUCT(--($D$335:$V$335=Y$335),--($D907:$V907=1)),0)+SUM(Y604)+IF(COUNTIF(Y$641:Y907,1)=1,5,0)+IF(COUNTIF($Z605:AC605,"&gt;"&amp;0)&gt;5,IF(MOD(COUNTIF(Y$641:Y907,1),7)=0,$C$4,0),0)</f>
        <v>66.8152489442662</v>
      </c>
      <c r="Z605" s="82" cm="1">
        <f ca="1" t="array" ref="Z605">SUMPRODUCT(TRANSPOSE($AD605:$AJ605),OFFSET($L$10:$L$16,0,Z$335-1))</f>
        <v>0</v>
      </c>
      <c r="AA605" s="82" cm="1">
        <f ca="1" t="array" ref="AA605">SUMPRODUCT(TRANSPOSE($AD605:$AJ605),OFFSET($L$10:$L$16,0,AA$335-1))</f>
        <v>0</v>
      </c>
      <c r="AB605" s="82" cm="1">
        <f ca="1" t="array" ref="AB605">SUMPRODUCT(TRANSPOSE($AD605:$AJ605),OFFSET($L$10:$L$16,0,AB$335-1))</f>
        <v>0</v>
      </c>
      <c r="AC605" s="82" cm="1">
        <f ca="1" t="array" ref="AC605">SUMPRODUCT(TRANSPOSE($AD605:$AJ605),OFFSET($L$10:$L$16,0,AC$335-1))</f>
        <v>0</v>
      </c>
      <c r="AD605" s="83">
        <f ca="1" t="shared" ref="AD605:AJ605" si="861">AK605-AK604</f>
        <v>0</v>
      </c>
      <c r="AE605" s="83">
        <f ca="1" t="shared" si="861"/>
        <v>0</v>
      </c>
      <c r="AF605" s="83">
        <f ca="1" t="shared" si="861"/>
        <v>0</v>
      </c>
      <c r="AG605" s="83">
        <f ca="1" t="shared" si="861"/>
        <v>0</v>
      </c>
      <c r="AH605" s="83">
        <f ca="1" t="shared" si="861"/>
        <v>0</v>
      </c>
      <c r="AI605" s="83">
        <f ca="1" t="shared" si="861"/>
        <v>0</v>
      </c>
      <c r="AJ605" s="83">
        <f ca="1" t="shared" si="861"/>
        <v>0</v>
      </c>
      <c r="AK605" s="83">
        <f ca="1" t="shared" si="841"/>
        <v>450</v>
      </c>
      <c r="AL605" s="83">
        <f ca="1" t="shared" ref="AL605:AQ605" si="862">IF($C605&gt;OFFSET($Q$9,MATCH(AL$338,$AK$338:$AQ$338,0),0),OFFSET($P$9,MATCH(AL$338,$AK$338:$AQ$338,0),0),MAX(0,$C605-OFFSET($Q$9,RIGHT(AL$338,1)-1,0)))</f>
        <v>909</v>
      </c>
      <c r="AM605" s="83">
        <f ca="1" t="shared" si="862"/>
        <v>1818</v>
      </c>
      <c r="AN605" s="83">
        <f ca="1" t="shared" si="862"/>
        <v>2727</v>
      </c>
      <c r="AO605" s="83">
        <f ca="1" t="shared" si="862"/>
        <v>3636</v>
      </c>
      <c r="AP605" s="83">
        <f ca="1" t="shared" si="862"/>
        <v>4545</v>
      </c>
      <c r="AQ605" s="83">
        <f ca="1" t="shared" si="862"/>
        <v>0</v>
      </c>
    </row>
    <row r="606" ht="16.5" spans="2:43">
      <c r="B606" s="65">
        <v>268</v>
      </c>
      <c r="C606" s="80">
        <f t="shared" si="839"/>
        <v>30806</v>
      </c>
      <c r="D606" s="81" cm="1">
        <f ca="1" t="array" ref="D606">IF(D908=1,OFFSET($Z$338,$B606,D$335-1)/SUMPRODUCT(--($D$335:$V$335=D$335),--($D908:$V908=1)),0)+SUM(D605)+IF(COUNTIF(D$641:D908,1)=1,5,0)+IF(COUNTIF(E606:$Z606,"&gt;"&amp;0)&gt;5,IF(MOD(COUNTIF(D$641:D908,1),7)=0,$C$4,0),0)</f>
        <v>1308.82134856666</v>
      </c>
      <c r="E606" s="81" cm="1">
        <f ca="1" t="array" ref="E606">IF(E908=1,OFFSET($Z$338,$B606,E$335-1)/SUMPRODUCT(--($D$335:$V$335=E$335),--($D908:$V908=1)),0)+SUM(E605)+IF(COUNTIF(E$641:E908,1)=1,5,0)+IF(COUNTIF(F606:$Z606,"&gt;"&amp;0)&gt;5,IF(MOD(COUNTIF(E$641:E908,1),7)=0,$C$4,0),0)</f>
        <v>1308.82134856666</v>
      </c>
      <c r="F606" s="81" cm="1">
        <f ca="1" t="array" ref="F606">IF(F908=1,OFFSET($Z$338,$B606,F$335-1)/SUMPRODUCT(--($D$335:$V$335=F$335),--($D908:$V908=1)),0)+SUM(F605)+IF(COUNTIF(F$641:F908,1)=1,5,0)+IF(COUNTIF(G606:$Z606,"&gt;"&amp;0)&gt;5,IF(MOD(COUNTIF(F$641:F908,1),7)=0,$C$4,0),0)</f>
        <v>1308.82134856666</v>
      </c>
      <c r="G606" s="81" cm="1">
        <f ca="1" t="array" ref="G606">IF(G908=1,OFFSET($Z$338,$B606,G$335-1)/SUMPRODUCT(--($D$335:$V$335=G$335),--($D908:$V908=1)),0)+SUM(G605)+IF(COUNTIF(G$641:G908,1)=1,5,0)+IF(COUNTIF(H606:$Z606,"&gt;"&amp;0)&gt;5,IF(MOD(COUNTIF(G$641:G908,1),7)=0,$C$4,0),0)</f>
        <v>597.516666666668</v>
      </c>
      <c r="H606" s="81" cm="1">
        <f ca="1" t="array" ref="H606">IF(H908=1,OFFSET($Z$338,$B606,H$335-1)/SUMPRODUCT(--($D$335:$V$335=H$335),--($D908:$V908=1)),0)+SUM(H605)+IF(COUNTIF(H$641:H908,1)=1,5,0)+IF(COUNTIF(I606:$Z606,"&gt;"&amp;0)&gt;5,IF(MOD(COUNTIF(H$641:H908,1),7)=0,$C$4,0),0)</f>
        <v>597.516666666668</v>
      </c>
      <c r="I606" s="81" cm="1">
        <f ca="1" t="array" ref="I606">IF(I908=1,OFFSET($Z$338,$B606,I$335-1)/SUMPRODUCT(--($D$335:$V$335=I$335),--($D908:$V908=1)),0)+SUM(I605)+IF(COUNTIF(I$641:I908,1)=1,5,0)+IF(COUNTIF(J606:$Z606,"&gt;"&amp;0)&gt;5,IF(MOD(COUNTIF(I$641:I908,1),7)=0,$C$4,0),0)</f>
        <v>597.516666666668</v>
      </c>
      <c r="J606" s="81" cm="1">
        <f ca="1" t="array" ref="J606">IF(J908=1,OFFSET($Z$338,$B606,J$335-1)/SUMPRODUCT(--($D$335:$V$335=J$335),--($D908:$V908=1)),0)+SUM(J605)+IF(COUNTIF(J$641:J908,1)=1,5,0)+IF(COUNTIF(K606:$Z606,"&gt;"&amp;0)&gt;5,IF(MOD(COUNTIF(J$641:J908,1),7)=0,$C$4,0),0)</f>
        <v>597.516666666668</v>
      </c>
      <c r="K606" s="81" cm="1">
        <f ca="1" t="array" ref="K606">IF(K908=1,OFFSET($Z$338,$B606,K$335-1)/SUMPRODUCT(--($D$335:$V$335=K$335),--($D908:$V908=1)),0)+SUM(K605)+IF(COUNTIF(K$641:K908,1)=1,5,0)+IF(COUNTIF(L606:$Z606,"&gt;"&amp;0)&gt;5,IF(MOD(COUNTIF(K$641:K908,1),7)=0,$C$4,0),0)</f>
        <v>597.516666666668</v>
      </c>
      <c r="L606" s="81" cm="1">
        <f ca="1" t="array" ref="L606">IF(L908=1,OFFSET($Z$338,$B606,L$335-1)/SUMPRODUCT(--($D$335:$V$335=L$335),--($D908:$V908=1)),0)+SUM(L605)+IF(COUNTIF(L$641:L908,1)=1,5,0)+IF(COUNTIF(M606:$Z606,"&gt;"&amp;0)&gt;5,IF(MOD(COUNTIF(L$641:L908,1),7)=0,$C$4,0),0)</f>
        <v>590.816666666668</v>
      </c>
      <c r="M606" s="81" cm="1">
        <f ca="1" t="array" ref="M606">IF(M908=1,OFFSET($Z$338,$B606,M$335-1)/SUMPRODUCT(--($D$335:$V$335=M$335),--($D908:$V908=1)),0)+SUM(M605)+IF(COUNTIF(M$641:M908,1)=1,5,0)+IF(COUNTIF(N606:$Z606,"&gt;"&amp;0)&gt;5,IF(MOD(COUNTIF(M$641:M908,1),7)=0,$C$4,0),0)</f>
        <v>345.644107142858</v>
      </c>
      <c r="N606" s="81" cm="1">
        <f ca="1" t="array" ref="N606">IF(N908=1,OFFSET($Z$338,$B606,N$335-1)/SUMPRODUCT(--($D$335:$V$335=N$335),--($D908:$V908=1)),0)+SUM(N605)+IF(COUNTIF(N$641:N908,1)=1,5,0)+IF(COUNTIF(O606:$Z606,"&gt;"&amp;0)&gt;5,IF(MOD(COUNTIF(N$641:N908,1),7)=0,$C$4,0),0)</f>
        <v>337.919107142858</v>
      </c>
      <c r="O606" s="81" cm="1">
        <f ca="1" t="array" ref="O606">IF(O908=1,OFFSET($Z$338,$B606,O$335-1)/SUMPRODUCT(--($D$335:$V$335=O$335),--($D908:$V908=1)),0)+SUM(O605)+IF(COUNTIF(O$641:O908,1)=1,5,0)+IF(COUNTIF(P606:$Z606,"&gt;"&amp;0)&gt;5,IF(MOD(COUNTIF(O$641:O908,1),7)=0,$C$4,0),0)</f>
        <v>330.494107142858</v>
      </c>
      <c r="P606" s="81" cm="1">
        <f ca="1" t="array" ref="P606">IF(P908=1,OFFSET($Z$338,$B606,P$335-1)/SUMPRODUCT(--($D$335:$V$335=P$335),--($D908:$V908=1)),0)+SUM(P605)+IF(COUNTIF(P$641:P908,1)=1,5,0)+IF(COUNTIF(Q606:$Z606,"&gt;"&amp;0)&gt;5,IF(MOD(COUNTIF(P$641:P908,1),7)=0,$C$4,0),0)</f>
        <v>327.560773809524</v>
      </c>
      <c r="Q606" s="81" cm="1">
        <f ca="1" t="array" ref="Q606">IF(Q908=1,OFFSET($Z$338,$B606,Q$335-1)/SUMPRODUCT(--($D$335:$V$335=Q$335),--($D908:$V908=1)),0)+SUM(Q605)+IF(COUNTIF(Q$641:Q908,1)=1,5,0)+IF(COUNTIF(R606:$Z606,"&gt;"&amp;0)&gt;5,IF(MOD(COUNTIF(Q$641:Q908,1),7)=0,$C$4,0),0)</f>
        <v>326.654523809524</v>
      </c>
      <c r="R606" s="81" cm="1">
        <f ca="1" t="array" ref="R606">IF(R908=1,OFFSET($Z$338,$B606,R$335-1)/SUMPRODUCT(--($D$335:$V$335=R$335),--($D908:$V908=1)),0)+SUM(R605)+IF(COUNTIF(R$641:R908,1)=1,5,0)+IF(COUNTIF(S606:$Z606,"&gt;"&amp;0)&gt;5,IF(MOD(COUNTIF(R$641:R908,1),7)=0,$C$4,0),0)</f>
        <v>301.759523809524</v>
      </c>
      <c r="S606" s="81" cm="1">
        <f ca="1" t="array" ref="S606">IF(S908=1,OFFSET($Z$338,$B606,S$335-1)/SUMPRODUCT(--($D$335:$V$335=S$335),--($D908:$V908=1)),0)+SUM(S605)+IF(COUNTIF(S$641:S908,1)=1,5,0)+IF(COUNTIF(T606:$Z606,"&gt;"&amp;0)&gt;5,IF(MOD(COUNTIF(S$641:S908,1),7)=0,$C$4,0),0)</f>
        <v>292.592857142857</v>
      </c>
      <c r="T606" s="81" cm="1">
        <f ca="1" t="array" ref="T606">IF(T908=1,OFFSET($Z$338,$B606,T$335-1)/SUMPRODUCT(--($D$335:$V$335=T$335),--($D908:$V908=1)),0)+SUM(T605)+IF(COUNTIF(T$641:T908,1)=1,5,0)+IF(COUNTIF(U606:$Z606,"&gt;"&amp;0)&gt;5,IF(MOD(COUNTIF(T$641:T908,1),7)=0,$C$4,0),0)</f>
        <v>137.656257829764</v>
      </c>
      <c r="U606" s="81" cm="1">
        <f ca="1" t="array" ref="U606">IF(U908=1,OFFSET($Z$338,$B606,U$335-1)/SUMPRODUCT(--($D$335:$V$335=U$335),--($D908:$V908=1)),0)+SUM(U605)+IF(COUNTIF(U$641:U908,1)=1,5,0)+IF(COUNTIF(V606:$Z606,"&gt;"&amp;0)&gt;5,IF(MOD(COUNTIF(U$641:U908,1),7)=0,$C$4,0),0)</f>
        <v>97.6562578297643</v>
      </c>
      <c r="V606" s="81" cm="1">
        <f ca="1" t="array" ref="V606">IF(V908=1,OFFSET($Z$338,$B606,V$335-1)/SUMPRODUCT(--($D$335:$V$335=V$335),--($D908:$V908=1)),0)+SUM(V605)+IF(COUNTIF(V$641:V908,1)=1,5,0)+IF(COUNTIF(Z606:$Z606,"&gt;"&amp;0)&gt;5,IF(MOD(COUNTIF(V$641:V908,1),7)=0,$C$4,0),0)</f>
        <v>89.6984386404824</v>
      </c>
      <c r="W606" s="81" cm="1">
        <f ca="1" t="array" ref="W606">IF(W908=1,OFFSET($Z$338,$B606,W$335-1)/SUMPRODUCT(--($D$335:$V$335=W$335),--($D908:$V908=1)),0)+SUM(W605)+IF(COUNTIF(W$641:W908,1)=1,5,0)+IF(COUNTIF($Z606:AA606,"&gt;"&amp;0)&gt;5,IF(MOD(COUNTIF(W$641:W908,1),7)=0,$C$4,0),0)</f>
        <v>80.3425695255331</v>
      </c>
      <c r="X606" s="81" cm="1">
        <f ca="1" t="array" ref="X606">IF(X908=1,OFFSET($Z$338,$B606,X$335-1)/SUMPRODUCT(--($D$335:$V$335=X$335),--($D908:$V908=1)),0)+SUM(X605)+IF(COUNTIF(X$641:X908,1)=1,5,0)+IF(COUNTIF($Z606:AB606,"&gt;"&amp;0)&gt;5,IF(MOD(COUNTIF(X$641:X908,1),7)=0,$C$4,0),0)</f>
        <v>73.5789092348996</v>
      </c>
      <c r="Y606" s="81" cm="1">
        <f ca="1" t="array" ref="Y606">IF(Y908=1,OFFSET($Z$338,$B606,Y$335-1)/SUMPRODUCT(--($D$335:$V$335=Y$335),--($D908:$V908=1)),0)+SUM(Y605)+IF(COUNTIF(Y$641:Y908,1)=1,5,0)+IF(COUNTIF($Z606:AC606,"&gt;"&amp;0)&gt;5,IF(MOD(COUNTIF(Y$641:Y908,1),7)=0,$C$4,0),0)</f>
        <v>66.8152489442662</v>
      </c>
      <c r="Z606" s="82" cm="1">
        <f ca="1" t="array" ref="Z606">SUMPRODUCT(TRANSPOSE($AD606:$AJ606),OFFSET($L$10:$L$16,0,Z$335-1))</f>
        <v>0</v>
      </c>
      <c r="AA606" s="82" cm="1">
        <f ca="1" t="array" ref="AA606">SUMPRODUCT(TRANSPOSE($AD606:$AJ606),OFFSET($L$10:$L$16,0,AA$335-1))</f>
        <v>0</v>
      </c>
      <c r="AB606" s="82" cm="1">
        <f ca="1" t="array" ref="AB606">SUMPRODUCT(TRANSPOSE($AD606:$AJ606),OFFSET($L$10:$L$16,0,AB$335-1))</f>
        <v>0</v>
      </c>
      <c r="AC606" s="82" cm="1">
        <f ca="1" t="array" ref="AC606">SUMPRODUCT(TRANSPOSE($AD606:$AJ606),OFFSET($L$10:$L$16,0,AC$335-1))</f>
        <v>0</v>
      </c>
      <c r="AD606" s="83">
        <f ca="1" t="shared" ref="AD606:AJ606" si="863">AK606-AK605</f>
        <v>0</v>
      </c>
      <c r="AE606" s="83">
        <f ca="1" t="shared" si="863"/>
        <v>0</v>
      </c>
      <c r="AF606" s="83">
        <f ca="1" t="shared" si="863"/>
        <v>0</v>
      </c>
      <c r="AG606" s="83">
        <f ca="1" t="shared" si="863"/>
        <v>0</v>
      </c>
      <c r="AH606" s="83">
        <f ca="1" t="shared" si="863"/>
        <v>0</v>
      </c>
      <c r="AI606" s="83">
        <f ca="1" t="shared" si="863"/>
        <v>0</v>
      </c>
      <c r="AJ606" s="83">
        <f ca="1" t="shared" si="863"/>
        <v>0</v>
      </c>
      <c r="AK606" s="83">
        <f ca="1" t="shared" si="841"/>
        <v>450</v>
      </c>
      <c r="AL606" s="83">
        <f ca="1" t="shared" ref="AL606:AQ606" si="864">IF($C606&gt;OFFSET($Q$9,MATCH(AL$338,$AK$338:$AQ$338,0),0),OFFSET($P$9,MATCH(AL$338,$AK$338:$AQ$338,0),0),MAX(0,$C606-OFFSET($Q$9,RIGHT(AL$338,1)-1,0)))</f>
        <v>909</v>
      </c>
      <c r="AM606" s="83">
        <f ca="1" t="shared" si="864"/>
        <v>1818</v>
      </c>
      <c r="AN606" s="83">
        <f ca="1" t="shared" si="864"/>
        <v>2727</v>
      </c>
      <c r="AO606" s="83">
        <f ca="1" t="shared" si="864"/>
        <v>3636</v>
      </c>
      <c r="AP606" s="83">
        <f ca="1" t="shared" si="864"/>
        <v>4545</v>
      </c>
      <c r="AQ606" s="83">
        <f ca="1" t="shared" si="864"/>
        <v>0</v>
      </c>
    </row>
    <row r="607" ht="16.5" spans="2:43">
      <c r="B607" s="65">
        <v>269</v>
      </c>
      <c r="C607" s="80">
        <f t="shared" si="839"/>
        <v>30916</v>
      </c>
      <c r="D607" s="81" cm="1">
        <f ca="1" t="array" ref="D607">IF(D909=1,OFFSET($Z$338,$B607,D$335-1)/SUMPRODUCT(--($D$335:$V$335=D$335),--($D909:$V909=1)),0)+SUM(D606)+IF(COUNTIF(D$641:D909,1)=1,5,0)+IF(COUNTIF(E607:$Z607,"&gt;"&amp;0)&gt;5,IF(MOD(COUNTIF(D$641:D909,1),7)=0,$C$4,0),0)</f>
        <v>1308.82134856666</v>
      </c>
      <c r="E607" s="81" cm="1">
        <f ca="1" t="array" ref="E607">IF(E909=1,OFFSET($Z$338,$B607,E$335-1)/SUMPRODUCT(--($D$335:$V$335=E$335),--($D909:$V909=1)),0)+SUM(E606)+IF(COUNTIF(E$641:E909,1)=1,5,0)+IF(COUNTIF(F607:$Z607,"&gt;"&amp;0)&gt;5,IF(MOD(COUNTIF(E$641:E909,1),7)=0,$C$4,0),0)</f>
        <v>1308.82134856666</v>
      </c>
      <c r="F607" s="81" cm="1">
        <f ca="1" t="array" ref="F607">IF(F909=1,OFFSET($Z$338,$B607,F$335-1)/SUMPRODUCT(--($D$335:$V$335=F$335),--($D909:$V909=1)),0)+SUM(F606)+IF(COUNTIF(F$641:F909,1)=1,5,0)+IF(COUNTIF(G607:$Z607,"&gt;"&amp;0)&gt;5,IF(MOD(COUNTIF(F$641:F909,1),7)=0,$C$4,0),0)</f>
        <v>1308.82134856666</v>
      </c>
      <c r="G607" s="81" cm="1">
        <f ca="1" t="array" ref="G607">IF(G909=1,OFFSET($Z$338,$B607,G$335-1)/SUMPRODUCT(--($D$335:$V$335=G$335),--($D909:$V909=1)),0)+SUM(G606)+IF(COUNTIF(G$641:G909,1)=1,5,0)+IF(COUNTIF(H607:$Z607,"&gt;"&amp;0)&gt;5,IF(MOD(COUNTIF(G$641:G909,1),7)=0,$C$4,0),0)</f>
        <v>597.516666666668</v>
      </c>
      <c r="H607" s="81" cm="1">
        <f ca="1" t="array" ref="H607">IF(H909=1,OFFSET($Z$338,$B607,H$335-1)/SUMPRODUCT(--($D$335:$V$335=H$335),--($D909:$V909=1)),0)+SUM(H606)+IF(COUNTIF(H$641:H909,1)=1,5,0)+IF(COUNTIF(I607:$Z607,"&gt;"&amp;0)&gt;5,IF(MOD(COUNTIF(H$641:H909,1),7)=0,$C$4,0),0)</f>
        <v>597.516666666668</v>
      </c>
      <c r="I607" s="81" cm="1">
        <f ca="1" t="array" ref="I607">IF(I909=1,OFFSET($Z$338,$B607,I$335-1)/SUMPRODUCT(--($D$335:$V$335=I$335),--($D909:$V909=1)),0)+SUM(I606)+IF(COUNTIF(I$641:I909,1)=1,5,0)+IF(COUNTIF(J607:$Z607,"&gt;"&amp;0)&gt;5,IF(MOD(COUNTIF(I$641:I909,1),7)=0,$C$4,0),0)</f>
        <v>597.516666666668</v>
      </c>
      <c r="J607" s="81" cm="1">
        <f ca="1" t="array" ref="J607">IF(J909=1,OFFSET($Z$338,$B607,J$335-1)/SUMPRODUCT(--($D$335:$V$335=J$335),--($D909:$V909=1)),0)+SUM(J606)+IF(COUNTIF(J$641:J909,1)=1,5,0)+IF(COUNTIF(K607:$Z607,"&gt;"&amp;0)&gt;5,IF(MOD(COUNTIF(J$641:J909,1),7)=0,$C$4,0),0)</f>
        <v>597.516666666668</v>
      </c>
      <c r="K607" s="81" cm="1">
        <f ca="1" t="array" ref="K607">IF(K909=1,OFFSET($Z$338,$B607,K$335-1)/SUMPRODUCT(--($D$335:$V$335=K$335),--($D909:$V909=1)),0)+SUM(K606)+IF(COUNTIF(K$641:K909,1)=1,5,0)+IF(COUNTIF(L607:$Z607,"&gt;"&amp;0)&gt;5,IF(MOD(COUNTIF(K$641:K909,1),7)=0,$C$4,0),0)</f>
        <v>597.516666666668</v>
      </c>
      <c r="L607" s="81" cm="1">
        <f ca="1" t="array" ref="L607">IF(L909=1,OFFSET($Z$338,$B607,L$335-1)/SUMPRODUCT(--($D$335:$V$335=L$335),--($D909:$V909=1)),0)+SUM(L606)+IF(COUNTIF(L$641:L909,1)=1,5,0)+IF(COUNTIF(M607:$Z607,"&gt;"&amp;0)&gt;5,IF(MOD(COUNTIF(L$641:L909,1),7)=0,$C$4,0),0)</f>
        <v>590.816666666668</v>
      </c>
      <c r="M607" s="81" cm="1">
        <f ca="1" t="array" ref="M607">IF(M909=1,OFFSET($Z$338,$B607,M$335-1)/SUMPRODUCT(--($D$335:$V$335=M$335),--($D909:$V909=1)),0)+SUM(M606)+IF(COUNTIF(M$641:M909,1)=1,5,0)+IF(COUNTIF(N607:$Z607,"&gt;"&amp;0)&gt;5,IF(MOD(COUNTIF(M$641:M909,1),7)=0,$C$4,0),0)</f>
        <v>345.644107142858</v>
      </c>
      <c r="N607" s="81" cm="1">
        <f ca="1" t="array" ref="N607">IF(N909=1,OFFSET($Z$338,$B607,N$335-1)/SUMPRODUCT(--($D$335:$V$335=N$335),--($D909:$V909=1)),0)+SUM(N606)+IF(COUNTIF(N$641:N909,1)=1,5,0)+IF(COUNTIF(O607:$Z607,"&gt;"&amp;0)&gt;5,IF(MOD(COUNTIF(N$641:N909,1),7)=0,$C$4,0),0)</f>
        <v>337.919107142858</v>
      </c>
      <c r="O607" s="81" cm="1">
        <f ca="1" t="array" ref="O607">IF(O909=1,OFFSET($Z$338,$B607,O$335-1)/SUMPRODUCT(--($D$335:$V$335=O$335),--($D909:$V909=1)),0)+SUM(O606)+IF(COUNTIF(O$641:O909,1)=1,5,0)+IF(COUNTIF(P607:$Z607,"&gt;"&amp;0)&gt;5,IF(MOD(COUNTIF(O$641:O909,1),7)=0,$C$4,0),0)</f>
        <v>335.494107142858</v>
      </c>
      <c r="P607" s="81" cm="1">
        <f ca="1" t="array" ref="P607">IF(P909=1,OFFSET($Z$338,$B607,P$335-1)/SUMPRODUCT(--($D$335:$V$335=P$335),--($D909:$V909=1)),0)+SUM(P606)+IF(COUNTIF(P$641:P909,1)=1,5,0)+IF(COUNTIF(Q607:$Z607,"&gt;"&amp;0)&gt;5,IF(MOD(COUNTIF(P$641:P909,1),7)=0,$C$4,0),0)</f>
        <v>327.560773809524</v>
      </c>
      <c r="Q607" s="81" cm="1">
        <f ca="1" t="array" ref="Q607">IF(Q909=1,OFFSET($Z$338,$B607,Q$335-1)/SUMPRODUCT(--($D$335:$V$335=Q$335),--($D909:$V909=1)),0)+SUM(Q606)+IF(COUNTIF(Q$641:Q909,1)=1,5,0)+IF(COUNTIF(R607:$Z607,"&gt;"&amp;0)&gt;5,IF(MOD(COUNTIF(Q$641:Q909,1),7)=0,$C$4,0),0)</f>
        <v>326.654523809524</v>
      </c>
      <c r="R607" s="81" cm="1">
        <f ca="1" t="array" ref="R607">IF(R909=1,OFFSET($Z$338,$B607,R$335-1)/SUMPRODUCT(--($D$335:$V$335=R$335),--($D909:$V909=1)),0)+SUM(R606)+IF(COUNTIF(R$641:R909,1)=1,5,0)+IF(COUNTIF(S607:$Z607,"&gt;"&amp;0)&gt;5,IF(MOD(COUNTIF(R$641:R909,1),7)=0,$C$4,0),0)</f>
        <v>301.759523809524</v>
      </c>
      <c r="S607" s="81" cm="1">
        <f ca="1" t="array" ref="S607">IF(S909=1,OFFSET($Z$338,$B607,S$335-1)/SUMPRODUCT(--($D$335:$V$335=S$335),--($D909:$V909=1)),0)+SUM(S606)+IF(COUNTIF(S$641:S909,1)=1,5,0)+IF(COUNTIF(T607:$Z607,"&gt;"&amp;0)&gt;5,IF(MOD(COUNTIF(S$641:S909,1),7)=0,$C$4,0),0)</f>
        <v>292.592857142857</v>
      </c>
      <c r="T607" s="81" cm="1">
        <f ca="1" t="array" ref="T607">IF(T909=1,OFFSET($Z$338,$B607,T$335-1)/SUMPRODUCT(--($D$335:$V$335=T$335),--($D909:$V909=1)),0)+SUM(T606)+IF(COUNTIF(T$641:T909,1)=1,5,0)+IF(COUNTIF(U607:$Z607,"&gt;"&amp;0)&gt;5,IF(MOD(COUNTIF(T$641:T909,1),7)=0,$C$4,0),0)</f>
        <v>137.656257829764</v>
      </c>
      <c r="U607" s="81" cm="1">
        <f ca="1" t="array" ref="U607">IF(U909=1,OFFSET($Z$338,$B607,U$335-1)/SUMPRODUCT(--($D$335:$V$335=U$335),--($D909:$V909=1)),0)+SUM(U606)+IF(COUNTIF(U$641:U909,1)=1,5,0)+IF(COUNTIF(V607:$Z607,"&gt;"&amp;0)&gt;5,IF(MOD(COUNTIF(U$641:U909,1),7)=0,$C$4,0),0)</f>
        <v>97.6562578297643</v>
      </c>
      <c r="V607" s="81" cm="1">
        <f ca="1" t="array" ref="V607">IF(V909=1,OFFSET($Z$338,$B607,V$335-1)/SUMPRODUCT(--($D$335:$V$335=V$335),--($D909:$V909=1)),0)+SUM(V606)+IF(COUNTIF(V$641:V909,1)=1,5,0)+IF(COUNTIF(Z607:$Z607,"&gt;"&amp;0)&gt;5,IF(MOD(COUNTIF(V$641:V909,1),7)=0,$C$4,0),0)</f>
        <v>89.6984386404824</v>
      </c>
      <c r="W607" s="81" cm="1">
        <f ca="1" t="array" ref="W607">IF(W909=1,OFFSET($Z$338,$B607,W$335-1)/SUMPRODUCT(--($D$335:$V$335=W$335),--($D909:$V909=1)),0)+SUM(W606)+IF(COUNTIF(W$641:W909,1)=1,5,0)+IF(COUNTIF($Z607:AA607,"&gt;"&amp;0)&gt;5,IF(MOD(COUNTIF(W$641:W909,1),7)=0,$C$4,0),0)</f>
        <v>80.3425695255331</v>
      </c>
      <c r="X607" s="81" cm="1">
        <f ca="1" t="array" ref="X607">IF(X909=1,OFFSET($Z$338,$B607,X$335-1)/SUMPRODUCT(--($D$335:$V$335=X$335),--($D909:$V909=1)),0)+SUM(X606)+IF(COUNTIF(X$641:X909,1)=1,5,0)+IF(COUNTIF($Z607:AB607,"&gt;"&amp;0)&gt;5,IF(MOD(COUNTIF(X$641:X909,1),7)=0,$C$4,0),0)</f>
        <v>73.5789092348996</v>
      </c>
      <c r="Y607" s="81" cm="1">
        <f ca="1" t="array" ref="Y607">IF(Y909=1,OFFSET($Z$338,$B607,Y$335-1)/SUMPRODUCT(--($D$335:$V$335=Y$335),--($D909:$V909=1)),0)+SUM(Y606)+IF(COUNTIF(Y$641:Y909,1)=1,5,0)+IF(COUNTIF($Z607:AC607,"&gt;"&amp;0)&gt;5,IF(MOD(COUNTIF(Y$641:Y909,1),7)=0,$C$4,0),0)</f>
        <v>66.8152489442662</v>
      </c>
      <c r="Z607" s="82" cm="1">
        <f ca="1" t="array" ref="Z607">SUMPRODUCT(TRANSPOSE($AD607:$AJ607),OFFSET($L$10:$L$16,0,Z$335-1))</f>
        <v>0</v>
      </c>
      <c r="AA607" s="82" cm="1">
        <f ca="1" t="array" ref="AA607">SUMPRODUCT(TRANSPOSE($AD607:$AJ607),OFFSET($L$10:$L$16,0,AA$335-1))</f>
        <v>0</v>
      </c>
      <c r="AB607" s="82" cm="1">
        <f ca="1" t="array" ref="AB607">SUMPRODUCT(TRANSPOSE($AD607:$AJ607),OFFSET($L$10:$L$16,0,AB$335-1))</f>
        <v>0</v>
      </c>
      <c r="AC607" s="82" cm="1">
        <f ca="1" t="array" ref="AC607">SUMPRODUCT(TRANSPOSE($AD607:$AJ607),OFFSET($L$10:$L$16,0,AC$335-1))</f>
        <v>0</v>
      </c>
      <c r="AD607" s="83">
        <f ca="1" t="shared" ref="AD607:AJ607" si="865">AK607-AK606</f>
        <v>0</v>
      </c>
      <c r="AE607" s="83">
        <f ca="1" t="shared" si="865"/>
        <v>0</v>
      </c>
      <c r="AF607" s="83">
        <f ca="1" t="shared" si="865"/>
        <v>0</v>
      </c>
      <c r="AG607" s="83">
        <f ca="1" t="shared" si="865"/>
        <v>0</v>
      </c>
      <c r="AH607" s="83">
        <f ca="1" t="shared" si="865"/>
        <v>0</v>
      </c>
      <c r="AI607" s="83">
        <f ca="1" t="shared" si="865"/>
        <v>0</v>
      </c>
      <c r="AJ607" s="83">
        <f ca="1" t="shared" si="865"/>
        <v>0</v>
      </c>
      <c r="AK607" s="83">
        <f ca="1" t="shared" si="841"/>
        <v>450</v>
      </c>
      <c r="AL607" s="83">
        <f ca="1" t="shared" ref="AL607:AQ607" si="866">IF($C607&gt;OFFSET($Q$9,MATCH(AL$338,$AK$338:$AQ$338,0),0),OFFSET($P$9,MATCH(AL$338,$AK$338:$AQ$338,0),0),MAX(0,$C607-OFFSET($Q$9,RIGHT(AL$338,1)-1,0)))</f>
        <v>909</v>
      </c>
      <c r="AM607" s="83">
        <f ca="1" t="shared" si="866"/>
        <v>1818</v>
      </c>
      <c r="AN607" s="83">
        <f ca="1" t="shared" si="866"/>
        <v>2727</v>
      </c>
      <c r="AO607" s="83">
        <f ca="1" t="shared" si="866"/>
        <v>3636</v>
      </c>
      <c r="AP607" s="83">
        <f ca="1" t="shared" si="866"/>
        <v>4545</v>
      </c>
      <c r="AQ607" s="83">
        <f ca="1" t="shared" si="866"/>
        <v>0</v>
      </c>
    </row>
    <row r="608" ht="16.5" spans="2:43">
      <c r="B608" s="65">
        <v>270</v>
      </c>
      <c r="C608" s="80">
        <f t="shared" si="839"/>
        <v>31026</v>
      </c>
      <c r="D608" s="81" cm="1">
        <f ca="1" t="array" ref="D608">IF(D910=1,OFFSET($Z$338,$B608,D$335-1)/SUMPRODUCT(--($D$335:$V$335=D$335),--($D910:$V910=1)),0)+SUM(D607)+IF(COUNTIF(D$641:D910,1)=1,5,0)+IF(COUNTIF(E608:$Z608,"&gt;"&amp;0)&gt;5,IF(MOD(COUNTIF(D$641:D910,1),7)=0,$C$4,0),0)</f>
        <v>1308.82134856666</v>
      </c>
      <c r="E608" s="81" cm="1">
        <f ca="1" t="array" ref="E608">IF(E910=1,OFFSET($Z$338,$B608,E$335-1)/SUMPRODUCT(--($D$335:$V$335=E$335),--($D910:$V910=1)),0)+SUM(E607)+IF(COUNTIF(E$641:E910,1)=1,5,0)+IF(COUNTIF(F608:$Z608,"&gt;"&amp;0)&gt;5,IF(MOD(COUNTIF(E$641:E910,1),7)=0,$C$4,0),0)</f>
        <v>1308.82134856666</v>
      </c>
      <c r="F608" s="81" cm="1">
        <f ca="1" t="array" ref="F608">IF(F910=1,OFFSET($Z$338,$B608,F$335-1)/SUMPRODUCT(--($D$335:$V$335=F$335),--($D910:$V910=1)),0)+SUM(F607)+IF(COUNTIF(F$641:F910,1)=1,5,0)+IF(COUNTIF(G608:$Z608,"&gt;"&amp;0)&gt;5,IF(MOD(COUNTIF(F$641:F910,1),7)=0,$C$4,0),0)</f>
        <v>1308.82134856666</v>
      </c>
      <c r="G608" s="81" cm="1">
        <f ca="1" t="array" ref="G608">IF(G910=1,OFFSET($Z$338,$B608,G$335-1)/SUMPRODUCT(--($D$335:$V$335=G$335),--($D910:$V910=1)),0)+SUM(G607)+IF(COUNTIF(G$641:G910,1)=1,5,0)+IF(COUNTIF(H608:$Z608,"&gt;"&amp;0)&gt;5,IF(MOD(COUNTIF(G$641:G910,1),7)=0,$C$4,0),0)</f>
        <v>597.516666666668</v>
      </c>
      <c r="H608" s="81" cm="1">
        <f ca="1" t="array" ref="H608">IF(H910=1,OFFSET($Z$338,$B608,H$335-1)/SUMPRODUCT(--($D$335:$V$335=H$335),--($D910:$V910=1)),0)+SUM(H607)+IF(COUNTIF(H$641:H910,1)=1,5,0)+IF(COUNTIF(I608:$Z608,"&gt;"&amp;0)&gt;5,IF(MOD(COUNTIF(H$641:H910,1),7)=0,$C$4,0),0)</f>
        <v>597.516666666668</v>
      </c>
      <c r="I608" s="81" cm="1">
        <f ca="1" t="array" ref="I608">IF(I910=1,OFFSET($Z$338,$B608,I$335-1)/SUMPRODUCT(--($D$335:$V$335=I$335),--($D910:$V910=1)),0)+SUM(I607)+IF(COUNTIF(I$641:I910,1)=1,5,0)+IF(COUNTIF(J608:$Z608,"&gt;"&amp;0)&gt;5,IF(MOD(COUNTIF(I$641:I910,1),7)=0,$C$4,0),0)</f>
        <v>597.516666666668</v>
      </c>
      <c r="J608" s="81" cm="1">
        <f ca="1" t="array" ref="J608">IF(J910=1,OFFSET($Z$338,$B608,J$335-1)/SUMPRODUCT(--($D$335:$V$335=J$335),--($D910:$V910=1)),0)+SUM(J607)+IF(COUNTIF(J$641:J910,1)=1,5,0)+IF(COUNTIF(K608:$Z608,"&gt;"&amp;0)&gt;5,IF(MOD(COUNTIF(J$641:J910,1),7)=0,$C$4,0),0)</f>
        <v>597.516666666668</v>
      </c>
      <c r="K608" s="81" cm="1">
        <f ca="1" t="array" ref="K608">IF(K910=1,OFFSET($Z$338,$B608,K$335-1)/SUMPRODUCT(--($D$335:$V$335=K$335),--($D910:$V910=1)),0)+SUM(K607)+IF(COUNTIF(K$641:K910,1)=1,5,0)+IF(COUNTIF(L608:$Z608,"&gt;"&amp;0)&gt;5,IF(MOD(COUNTIF(K$641:K910,1),7)=0,$C$4,0),0)</f>
        <v>597.516666666668</v>
      </c>
      <c r="L608" s="81" cm="1">
        <f ca="1" t="array" ref="L608">IF(L910=1,OFFSET($Z$338,$B608,L$335-1)/SUMPRODUCT(--($D$335:$V$335=L$335),--($D910:$V910=1)),0)+SUM(L607)+IF(COUNTIF(L$641:L910,1)=1,5,0)+IF(COUNTIF(M608:$Z608,"&gt;"&amp;0)&gt;5,IF(MOD(COUNTIF(L$641:L910,1),7)=0,$C$4,0),0)</f>
        <v>590.816666666668</v>
      </c>
      <c r="M608" s="81" cm="1">
        <f ca="1" t="array" ref="M608">IF(M910=1,OFFSET($Z$338,$B608,M$335-1)/SUMPRODUCT(--($D$335:$V$335=M$335),--($D910:$V910=1)),0)+SUM(M607)+IF(COUNTIF(M$641:M910,1)=1,5,0)+IF(COUNTIF(N608:$Z608,"&gt;"&amp;0)&gt;5,IF(MOD(COUNTIF(M$641:M910,1),7)=0,$C$4,0),0)</f>
        <v>345.644107142858</v>
      </c>
      <c r="N608" s="81" cm="1">
        <f ca="1" t="array" ref="N608">IF(N910=1,OFFSET($Z$338,$B608,N$335-1)/SUMPRODUCT(--($D$335:$V$335=N$335),--($D910:$V910=1)),0)+SUM(N607)+IF(COUNTIF(N$641:N910,1)=1,5,0)+IF(COUNTIF(O608:$Z608,"&gt;"&amp;0)&gt;5,IF(MOD(COUNTIF(N$641:N910,1),7)=0,$C$4,0),0)</f>
        <v>337.919107142858</v>
      </c>
      <c r="O608" s="81" cm="1">
        <f ca="1" t="array" ref="O608">IF(O910=1,OFFSET($Z$338,$B608,O$335-1)/SUMPRODUCT(--($D$335:$V$335=O$335),--($D910:$V910=1)),0)+SUM(O607)+IF(COUNTIF(O$641:O910,1)=1,5,0)+IF(COUNTIF(P608:$Z608,"&gt;"&amp;0)&gt;5,IF(MOD(COUNTIF(O$641:O910,1),7)=0,$C$4,0),0)</f>
        <v>335.494107142858</v>
      </c>
      <c r="P608" s="81" cm="1">
        <f ca="1" t="array" ref="P608">IF(P910=1,OFFSET($Z$338,$B608,P$335-1)/SUMPRODUCT(--($D$335:$V$335=P$335),--($D910:$V910=1)),0)+SUM(P607)+IF(COUNTIF(P$641:P910,1)=1,5,0)+IF(COUNTIF(Q608:$Z608,"&gt;"&amp;0)&gt;5,IF(MOD(COUNTIF(P$641:P910,1),7)=0,$C$4,0),0)</f>
        <v>327.560773809524</v>
      </c>
      <c r="Q608" s="81" cm="1">
        <f ca="1" t="array" ref="Q608">IF(Q910=1,OFFSET($Z$338,$B608,Q$335-1)/SUMPRODUCT(--($D$335:$V$335=Q$335),--($D910:$V910=1)),0)+SUM(Q607)+IF(COUNTIF(Q$641:Q910,1)=1,5,0)+IF(COUNTIF(R608:$Z608,"&gt;"&amp;0)&gt;5,IF(MOD(COUNTIF(Q$641:Q910,1),7)=0,$C$4,0),0)</f>
        <v>326.654523809524</v>
      </c>
      <c r="R608" s="81" cm="1">
        <f ca="1" t="array" ref="R608">IF(R910=1,OFFSET($Z$338,$B608,R$335-1)/SUMPRODUCT(--($D$335:$V$335=R$335),--($D910:$V910=1)),0)+SUM(R607)+IF(COUNTIF(R$641:R910,1)=1,5,0)+IF(COUNTIF(S608:$Z608,"&gt;"&amp;0)&gt;5,IF(MOD(COUNTIF(R$641:R910,1),7)=0,$C$4,0),0)</f>
        <v>301.759523809524</v>
      </c>
      <c r="S608" s="81" cm="1">
        <f ca="1" t="array" ref="S608">IF(S910=1,OFFSET($Z$338,$B608,S$335-1)/SUMPRODUCT(--($D$335:$V$335=S$335),--($D910:$V910=1)),0)+SUM(S607)+IF(COUNTIF(S$641:S910,1)=1,5,0)+IF(COUNTIF(T608:$Z608,"&gt;"&amp;0)&gt;5,IF(MOD(COUNTIF(S$641:S910,1),7)=0,$C$4,0),0)</f>
        <v>292.592857142857</v>
      </c>
      <c r="T608" s="81" cm="1">
        <f ca="1" t="array" ref="T608">IF(T910=1,OFFSET($Z$338,$B608,T$335-1)/SUMPRODUCT(--($D$335:$V$335=T$335),--($D910:$V910=1)),0)+SUM(T607)+IF(COUNTIF(T$641:T910,1)=1,5,0)+IF(COUNTIF(U608:$Z608,"&gt;"&amp;0)&gt;5,IF(MOD(COUNTIF(T$641:T910,1),7)=0,$C$4,0),0)</f>
        <v>137.656257829764</v>
      </c>
      <c r="U608" s="81" cm="1">
        <f ca="1" t="array" ref="U608">IF(U910=1,OFFSET($Z$338,$B608,U$335-1)/SUMPRODUCT(--($D$335:$V$335=U$335),--($D910:$V910=1)),0)+SUM(U607)+IF(COUNTIF(U$641:U910,1)=1,5,0)+IF(COUNTIF(V608:$Z608,"&gt;"&amp;0)&gt;5,IF(MOD(COUNTIF(U$641:U910,1),7)=0,$C$4,0),0)</f>
        <v>97.6562578297643</v>
      </c>
      <c r="V608" s="81" cm="1">
        <f ca="1" t="array" ref="V608">IF(V910=1,OFFSET($Z$338,$B608,V$335-1)/SUMPRODUCT(--($D$335:$V$335=V$335),--($D910:$V910=1)),0)+SUM(V607)+IF(COUNTIF(V$641:V910,1)=1,5,0)+IF(COUNTIF(Z608:$Z608,"&gt;"&amp;0)&gt;5,IF(MOD(COUNTIF(V$641:V910,1),7)=0,$C$4,0),0)</f>
        <v>89.6984386404824</v>
      </c>
      <c r="W608" s="81" cm="1">
        <f ca="1" t="array" ref="W608">IF(W910=1,OFFSET($Z$338,$B608,W$335-1)/SUMPRODUCT(--($D$335:$V$335=W$335),--($D910:$V910=1)),0)+SUM(W607)+IF(COUNTIF(W$641:W910,1)=1,5,0)+IF(COUNTIF($Z608:AA608,"&gt;"&amp;0)&gt;5,IF(MOD(COUNTIF(W$641:W910,1),7)=0,$C$4,0),0)</f>
        <v>80.3425695255331</v>
      </c>
      <c r="X608" s="81" cm="1">
        <f ca="1" t="array" ref="X608">IF(X910=1,OFFSET($Z$338,$B608,X$335-1)/SUMPRODUCT(--($D$335:$V$335=X$335),--($D910:$V910=1)),0)+SUM(X607)+IF(COUNTIF(X$641:X910,1)=1,5,0)+IF(COUNTIF($Z608:AB608,"&gt;"&amp;0)&gt;5,IF(MOD(COUNTIF(X$641:X910,1),7)=0,$C$4,0),0)</f>
        <v>73.5789092348996</v>
      </c>
      <c r="Y608" s="81" cm="1">
        <f ca="1" t="array" ref="Y608">IF(Y910=1,OFFSET($Z$338,$B608,Y$335-1)/SUMPRODUCT(--($D$335:$V$335=Y$335),--($D910:$V910=1)),0)+SUM(Y607)+IF(COUNTIF(Y$641:Y910,1)=1,5,0)+IF(COUNTIF($Z608:AC608,"&gt;"&amp;0)&gt;5,IF(MOD(COUNTIF(Y$641:Y910,1),7)=0,$C$4,0),0)</f>
        <v>66.8152489442662</v>
      </c>
      <c r="Z608" s="82" cm="1">
        <f ca="1" t="array" ref="Z608">SUMPRODUCT(TRANSPOSE($AD608:$AJ608),OFFSET($L$10:$L$16,0,Z$335-1))</f>
        <v>0</v>
      </c>
      <c r="AA608" s="82" cm="1">
        <f ca="1" t="array" ref="AA608">SUMPRODUCT(TRANSPOSE($AD608:$AJ608),OFFSET($L$10:$L$16,0,AA$335-1))</f>
        <v>0</v>
      </c>
      <c r="AB608" s="82" cm="1">
        <f ca="1" t="array" ref="AB608">SUMPRODUCT(TRANSPOSE($AD608:$AJ608),OFFSET($L$10:$L$16,0,AB$335-1))</f>
        <v>0</v>
      </c>
      <c r="AC608" s="82" cm="1">
        <f ca="1" t="array" ref="AC608">SUMPRODUCT(TRANSPOSE($AD608:$AJ608),OFFSET($L$10:$L$16,0,AC$335-1))</f>
        <v>0</v>
      </c>
      <c r="AD608" s="83">
        <f ca="1" t="shared" ref="AD608:AJ608" si="867">AK608-AK607</f>
        <v>0</v>
      </c>
      <c r="AE608" s="83">
        <f ca="1" t="shared" si="867"/>
        <v>0</v>
      </c>
      <c r="AF608" s="83">
        <f ca="1" t="shared" si="867"/>
        <v>0</v>
      </c>
      <c r="AG608" s="83">
        <f ca="1" t="shared" si="867"/>
        <v>0</v>
      </c>
      <c r="AH608" s="83">
        <f ca="1" t="shared" si="867"/>
        <v>0</v>
      </c>
      <c r="AI608" s="83">
        <f ca="1" t="shared" si="867"/>
        <v>0</v>
      </c>
      <c r="AJ608" s="83">
        <f ca="1" t="shared" si="867"/>
        <v>0</v>
      </c>
      <c r="AK608" s="83">
        <f ca="1" t="shared" si="841"/>
        <v>450</v>
      </c>
      <c r="AL608" s="83">
        <f ca="1" t="shared" ref="AL608:AQ608" si="868">IF($C608&gt;OFFSET($Q$9,MATCH(AL$338,$AK$338:$AQ$338,0),0),OFFSET($P$9,MATCH(AL$338,$AK$338:$AQ$338,0),0),MAX(0,$C608-OFFSET($Q$9,RIGHT(AL$338,1)-1,0)))</f>
        <v>909</v>
      </c>
      <c r="AM608" s="83">
        <f ca="1" t="shared" si="868"/>
        <v>1818</v>
      </c>
      <c r="AN608" s="83">
        <f ca="1" t="shared" si="868"/>
        <v>2727</v>
      </c>
      <c r="AO608" s="83">
        <f ca="1" t="shared" si="868"/>
        <v>3636</v>
      </c>
      <c r="AP608" s="83">
        <f ca="1" t="shared" si="868"/>
        <v>4545</v>
      </c>
      <c r="AQ608" s="83">
        <f ca="1" t="shared" si="868"/>
        <v>0</v>
      </c>
    </row>
    <row r="609" ht="16.5" spans="2:43">
      <c r="B609" s="65">
        <v>271</v>
      </c>
      <c r="C609" s="80">
        <f t="shared" si="839"/>
        <v>31136</v>
      </c>
      <c r="D609" s="81" cm="1">
        <f ca="1" t="array" ref="D609">IF(D911=1,OFFSET($Z$338,$B609,D$335-1)/SUMPRODUCT(--($D$335:$V$335=D$335),--($D911:$V911=1)),0)+SUM(D608)+IF(COUNTIF(D$641:D911,1)=1,5,0)+IF(COUNTIF(E609:$Z609,"&gt;"&amp;0)&gt;5,IF(MOD(COUNTIF(D$641:D911,1),7)=0,$C$4,0),0)</f>
        <v>1308.82134856666</v>
      </c>
      <c r="E609" s="81" cm="1">
        <f ca="1" t="array" ref="E609">IF(E911=1,OFFSET($Z$338,$B609,E$335-1)/SUMPRODUCT(--($D$335:$V$335=E$335),--($D911:$V911=1)),0)+SUM(E608)+IF(COUNTIF(E$641:E911,1)=1,5,0)+IF(COUNTIF(F609:$Z609,"&gt;"&amp;0)&gt;5,IF(MOD(COUNTIF(E$641:E911,1),7)=0,$C$4,0),0)</f>
        <v>1308.82134856666</v>
      </c>
      <c r="F609" s="81" cm="1">
        <f ca="1" t="array" ref="F609">IF(F911=1,OFFSET($Z$338,$B609,F$335-1)/SUMPRODUCT(--($D$335:$V$335=F$335),--($D911:$V911=1)),0)+SUM(F608)+IF(COUNTIF(F$641:F911,1)=1,5,0)+IF(COUNTIF(G609:$Z609,"&gt;"&amp;0)&gt;5,IF(MOD(COUNTIF(F$641:F911,1),7)=0,$C$4,0),0)</f>
        <v>1308.82134856666</v>
      </c>
      <c r="G609" s="81" cm="1">
        <f ca="1" t="array" ref="G609">IF(G911=1,OFFSET($Z$338,$B609,G$335-1)/SUMPRODUCT(--($D$335:$V$335=G$335),--($D911:$V911=1)),0)+SUM(G608)+IF(COUNTIF(G$641:G911,1)=1,5,0)+IF(COUNTIF(H609:$Z609,"&gt;"&amp;0)&gt;5,IF(MOD(COUNTIF(G$641:G911,1),7)=0,$C$4,0),0)</f>
        <v>597.516666666668</v>
      </c>
      <c r="H609" s="81" cm="1">
        <f ca="1" t="array" ref="H609">IF(H911=1,OFFSET($Z$338,$B609,H$335-1)/SUMPRODUCT(--($D$335:$V$335=H$335),--($D911:$V911=1)),0)+SUM(H608)+IF(COUNTIF(H$641:H911,1)=1,5,0)+IF(COUNTIF(I609:$Z609,"&gt;"&amp;0)&gt;5,IF(MOD(COUNTIF(H$641:H911,1),7)=0,$C$4,0),0)</f>
        <v>597.516666666668</v>
      </c>
      <c r="I609" s="81" cm="1">
        <f ca="1" t="array" ref="I609">IF(I911=1,OFFSET($Z$338,$B609,I$335-1)/SUMPRODUCT(--($D$335:$V$335=I$335),--($D911:$V911=1)),0)+SUM(I608)+IF(COUNTIF(I$641:I911,1)=1,5,0)+IF(COUNTIF(J609:$Z609,"&gt;"&amp;0)&gt;5,IF(MOD(COUNTIF(I$641:I911,1),7)=0,$C$4,0),0)</f>
        <v>597.516666666668</v>
      </c>
      <c r="J609" s="81" cm="1">
        <f ca="1" t="array" ref="J609">IF(J911=1,OFFSET($Z$338,$B609,J$335-1)/SUMPRODUCT(--($D$335:$V$335=J$335),--($D911:$V911=1)),0)+SUM(J608)+IF(COUNTIF(J$641:J911,1)=1,5,0)+IF(COUNTIF(K609:$Z609,"&gt;"&amp;0)&gt;5,IF(MOD(COUNTIF(J$641:J911,1),7)=0,$C$4,0),0)</f>
        <v>597.516666666668</v>
      </c>
      <c r="K609" s="81" cm="1">
        <f ca="1" t="array" ref="K609">IF(K911=1,OFFSET($Z$338,$B609,K$335-1)/SUMPRODUCT(--($D$335:$V$335=K$335),--($D911:$V911=1)),0)+SUM(K608)+IF(COUNTIF(K$641:K911,1)=1,5,0)+IF(COUNTIF(L609:$Z609,"&gt;"&amp;0)&gt;5,IF(MOD(COUNTIF(K$641:K911,1),7)=0,$C$4,0),0)</f>
        <v>597.516666666668</v>
      </c>
      <c r="L609" s="81" cm="1">
        <f ca="1" t="array" ref="L609">IF(L911=1,OFFSET($Z$338,$B609,L$335-1)/SUMPRODUCT(--($D$335:$V$335=L$335),--($D911:$V911=1)),0)+SUM(L608)+IF(COUNTIF(L$641:L911,1)=1,5,0)+IF(COUNTIF(M609:$Z609,"&gt;"&amp;0)&gt;5,IF(MOD(COUNTIF(L$641:L911,1),7)=0,$C$4,0),0)</f>
        <v>590.816666666668</v>
      </c>
      <c r="M609" s="81" cm="1">
        <f ca="1" t="array" ref="M609">IF(M911=1,OFFSET($Z$338,$B609,M$335-1)/SUMPRODUCT(--($D$335:$V$335=M$335),--($D911:$V911=1)),0)+SUM(M608)+IF(COUNTIF(M$641:M911,1)=1,5,0)+IF(COUNTIF(N609:$Z609,"&gt;"&amp;0)&gt;5,IF(MOD(COUNTIF(M$641:M911,1),7)=0,$C$4,0),0)</f>
        <v>345.644107142858</v>
      </c>
      <c r="N609" s="81" cm="1">
        <f ca="1" t="array" ref="N609">IF(N911=1,OFFSET($Z$338,$B609,N$335-1)/SUMPRODUCT(--($D$335:$V$335=N$335),--($D911:$V911=1)),0)+SUM(N608)+IF(COUNTIF(N$641:N911,1)=1,5,0)+IF(COUNTIF(O609:$Z609,"&gt;"&amp;0)&gt;5,IF(MOD(COUNTIF(N$641:N911,1),7)=0,$C$4,0),0)</f>
        <v>337.919107142858</v>
      </c>
      <c r="O609" s="81" cm="1">
        <f ca="1" t="array" ref="O609">IF(O911=1,OFFSET($Z$338,$B609,O$335-1)/SUMPRODUCT(--($D$335:$V$335=O$335),--($D911:$V911=1)),0)+SUM(O608)+IF(COUNTIF(O$641:O911,1)=1,5,0)+IF(COUNTIF(P609:$Z609,"&gt;"&amp;0)&gt;5,IF(MOD(COUNTIF(O$641:O911,1),7)=0,$C$4,0),0)</f>
        <v>335.494107142858</v>
      </c>
      <c r="P609" s="81" cm="1">
        <f ca="1" t="array" ref="P609">IF(P911=1,OFFSET($Z$338,$B609,P$335-1)/SUMPRODUCT(--($D$335:$V$335=P$335),--($D911:$V911=1)),0)+SUM(P608)+IF(COUNTIF(P$641:P911,1)=1,5,0)+IF(COUNTIF(Q609:$Z609,"&gt;"&amp;0)&gt;5,IF(MOD(COUNTIF(P$641:P911,1),7)=0,$C$4,0),0)</f>
        <v>332.560773809524</v>
      </c>
      <c r="Q609" s="81" cm="1">
        <f ca="1" t="array" ref="Q609">IF(Q911=1,OFFSET($Z$338,$B609,Q$335-1)/SUMPRODUCT(--($D$335:$V$335=Q$335),--($D911:$V911=1)),0)+SUM(Q608)+IF(COUNTIF(Q$641:Q911,1)=1,5,0)+IF(COUNTIF(R609:$Z609,"&gt;"&amp;0)&gt;5,IF(MOD(COUNTIF(Q$641:Q911,1),7)=0,$C$4,0),0)</f>
        <v>326.654523809524</v>
      </c>
      <c r="R609" s="81" cm="1">
        <f ca="1" t="array" ref="R609">IF(R911=1,OFFSET($Z$338,$B609,R$335-1)/SUMPRODUCT(--($D$335:$V$335=R$335),--($D911:$V911=1)),0)+SUM(R608)+IF(COUNTIF(R$641:R911,1)=1,5,0)+IF(COUNTIF(S609:$Z609,"&gt;"&amp;0)&gt;5,IF(MOD(COUNTIF(R$641:R911,1),7)=0,$C$4,0),0)</f>
        <v>301.759523809524</v>
      </c>
      <c r="S609" s="81" cm="1">
        <f ca="1" t="array" ref="S609">IF(S911=1,OFFSET($Z$338,$B609,S$335-1)/SUMPRODUCT(--($D$335:$V$335=S$335),--($D911:$V911=1)),0)+SUM(S608)+IF(COUNTIF(S$641:S911,1)=1,5,0)+IF(COUNTIF(T609:$Z609,"&gt;"&amp;0)&gt;5,IF(MOD(COUNTIF(S$641:S911,1),7)=0,$C$4,0),0)</f>
        <v>297.592857142857</v>
      </c>
      <c r="T609" s="81" cm="1">
        <f ca="1" t="array" ref="T609">IF(T911=1,OFFSET($Z$338,$B609,T$335-1)/SUMPRODUCT(--($D$335:$V$335=T$335),--($D911:$V911=1)),0)+SUM(T608)+IF(COUNTIF(T$641:T911,1)=1,5,0)+IF(COUNTIF(U609:$Z609,"&gt;"&amp;0)&gt;5,IF(MOD(COUNTIF(T$641:T911,1),7)=0,$C$4,0),0)</f>
        <v>137.656257829764</v>
      </c>
      <c r="U609" s="81" cm="1">
        <f ca="1" t="array" ref="U609">IF(U911=1,OFFSET($Z$338,$B609,U$335-1)/SUMPRODUCT(--($D$335:$V$335=U$335),--($D911:$V911=1)),0)+SUM(U608)+IF(COUNTIF(U$641:U911,1)=1,5,0)+IF(COUNTIF(V609:$Z609,"&gt;"&amp;0)&gt;5,IF(MOD(COUNTIF(U$641:U911,1),7)=0,$C$4,0),0)</f>
        <v>97.6562578297643</v>
      </c>
      <c r="V609" s="81" cm="1">
        <f ca="1" t="array" ref="V609">IF(V911=1,OFFSET($Z$338,$B609,V$335-1)/SUMPRODUCT(--($D$335:$V$335=V$335),--($D911:$V911=1)),0)+SUM(V608)+IF(COUNTIF(V$641:V911,1)=1,5,0)+IF(COUNTIF(Z609:$Z609,"&gt;"&amp;0)&gt;5,IF(MOD(COUNTIF(V$641:V911,1),7)=0,$C$4,0),0)</f>
        <v>89.6984386404824</v>
      </c>
      <c r="W609" s="81" cm="1">
        <f ca="1" t="array" ref="W609">IF(W911=1,OFFSET($Z$338,$B609,W$335-1)/SUMPRODUCT(--($D$335:$V$335=W$335),--($D911:$V911=1)),0)+SUM(W608)+IF(COUNTIF(W$641:W911,1)=1,5,0)+IF(COUNTIF($Z609:AA609,"&gt;"&amp;0)&gt;5,IF(MOD(COUNTIF(W$641:W911,1),7)=0,$C$4,0),0)</f>
        <v>80.3425695255331</v>
      </c>
      <c r="X609" s="81" cm="1">
        <f ca="1" t="array" ref="X609">IF(X911=1,OFFSET($Z$338,$B609,X$335-1)/SUMPRODUCT(--($D$335:$V$335=X$335),--($D911:$V911=1)),0)+SUM(X608)+IF(COUNTIF(X$641:X911,1)=1,5,0)+IF(COUNTIF($Z609:AB609,"&gt;"&amp;0)&gt;5,IF(MOD(COUNTIF(X$641:X911,1),7)=0,$C$4,0),0)</f>
        <v>73.5789092348996</v>
      </c>
      <c r="Y609" s="81" cm="1">
        <f ca="1" t="array" ref="Y609">IF(Y911=1,OFFSET($Z$338,$B609,Y$335-1)/SUMPRODUCT(--($D$335:$V$335=Y$335),--($D911:$V911=1)),0)+SUM(Y608)+IF(COUNTIF(Y$641:Y911,1)=1,5,0)+IF(COUNTIF($Z609:AC609,"&gt;"&amp;0)&gt;5,IF(MOD(COUNTIF(Y$641:Y911,1),7)=0,$C$4,0),0)</f>
        <v>66.8152489442662</v>
      </c>
      <c r="Z609" s="82" cm="1">
        <f ca="1" t="array" ref="Z609">SUMPRODUCT(TRANSPOSE($AD609:$AJ609),OFFSET($L$10:$L$16,0,Z$335-1))</f>
        <v>0</v>
      </c>
      <c r="AA609" s="82" cm="1">
        <f ca="1" t="array" ref="AA609">SUMPRODUCT(TRANSPOSE($AD609:$AJ609),OFFSET($L$10:$L$16,0,AA$335-1))</f>
        <v>0</v>
      </c>
      <c r="AB609" s="82" cm="1">
        <f ca="1" t="array" ref="AB609">SUMPRODUCT(TRANSPOSE($AD609:$AJ609),OFFSET($L$10:$L$16,0,AB$335-1))</f>
        <v>0</v>
      </c>
      <c r="AC609" s="82" cm="1">
        <f ca="1" t="array" ref="AC609">SUMPRODUCT(TRANSPOSE($AD609:$AJ609),OFFSET($L$10:$L$16,0,AC$335-1))</f>
        <v>0</v>
      </c>
      <c r="AD609" s="83">
        <f ca="1" t="shared" ref="AD609:AJ609" si="869">AK609-AK608</f>
        <v>0</v>
      </c>
      <c r="AE609" s="83">
        <f ca="1" t="shared" si="869"/>
        <v>0</v>
      </c>
      <c r="AF609" s="83">
        <f ca="1" t="shared" si="869"/>
        <v>0</v>
      </c>
      <c r="AG609" s="83">
        <f ca="1" t="shared" si="869"/>
        <v>0</v>
      </c>
      <c r="AH609" s="83">
        <f ca="1" t="shared" si="869"/>
        <v>0</v>
      </c>
      <c r="AI609" s="83">
        <f ca="1" t="shared" si="869"/>
        <v>0</v>
      </c>
      <c r="AJ609" s="83">
        <f ca="1" t="shared" si="869"/>
        <v>0</v>
      </c>
      <c r="AK609" s="83">
        <f ca="1" t="shared" si="841"/>
        <v>450</v>
      </c>
      <c r="AL609" s="83">
        <f ca="1" t="shared" ref="AL609:AQ609" si="870">IF($C609&gt;OFFSET($Q$9,MATCH(AL$338,$AK$338:$AQ$338,0),0),OFFSET($P$9,MATCH(AL$338,$AK$338:$AQ$338,0),0),MAX(0,$C609-OFFSET($Q$9,RIGHT(AL$338,1)-1,0)))</f>
        <v>909</v>
      </c>
      <c r="AM609" s="83">
        <f ca="1" t="shared" si="870"/>
        <v>1818</v>
      </c>
      <c r="AN609" s="83">
        <f ca="1" t="shared" si="870"/>
        <v>2727</v>
      </c>
      <c r="AO609" s="83">
        <f ca="1" t="shared" si="870"/>
        <v>3636</v>
      </c>
      <c r="AP609" s="83">
        <f ca="1" t="shared" si="870"/>
        <v>4545</v>
      </c>
      <c r="AQ609" s="83">
        <f ca="1" t="shared" si="870"/>
        <v>0</v>
      </c>
    </row>
    <row r="610" ht="16.5" spans="2:43">
      <c r="B610" s="65">
        <v>272</v>
      </c>
      <c r="C610" s="80">
        <f t="shared" si="839"/>
        <v>31246</v>
      </c>
      <c r="D610" s="81" cm="1">
        <f ca="1" t="array" ref="D610">IF(D912=1,OFFSET($Z$338,$B610,D$335-1)/SUMPRODUCT(--($D$335:$V$335=D$335),--($D912:$V912=1)),0)+SUM(D609)+IF(COUNTIF(D$641:D912,1)=1,5,0)+IF(COUNTIF(E610:$Z610,"&gt;"&amp;0)&gt;5,IF(MOD(COUNTIF(D$641:D912,1),7)=0,$C$4,0),0)</f>
        <v>1308.82134856666</v>
      </c>
      <c r="E610" s="81" cm="1">
        <f ca="1" t="array" ref="E610">IF(E912=1,OFFSET($Z$338,$B610,E$335-1)/SUMPRODUCT(--($D$335:$V$335=E$335),--($D912:$V912=1)),0)+SUM(E609)+IF(COUNTIF(E$641:E912,1)=1,5,0)+IF(COUNTIF(F610:$Z610,"&gt;"&amp;0)&gt;5,IF(MOD(COUNTIF(E$641:E912,1),7)=0,$C$4,0),0)</f>
        <v>1308.82134856666</v>
      </c>
      <c r="F610" s="81" cm="1">
        <f ca="1" t="array" ref="F610">IF(F912=1,OFFSET($Z$338,$B610,F$335-1)/SUMPRODUCT(--($D$335:$V$335=F$335),--($D912:$V912=1)),0)+SUM(F609)+IF(COUNTIF(F$641:F912,1)=1,5,0)+IF(COUNTIF(G610:$Z610,"&gt;"&amp;0)&gt;5,IF(MOD(COUNTIF(F$641:F912,1),7)=0,$C$4,0),0)</f>
        <v>1308.82134856666</v>
      </c>
      <c r="G610" s="81" cm="1">
        <f ca="1" t="array" ref="G610">IF(G912=1,OFFSET($Z$338,$B610,G$335-1)/SUMPRODUCT(--($D$335:$V$335=G$335),--($D912:$V912=1)),0)+SUM(G609)+IF(COUNTIF(G$641:G912,1)=1,5,0)+IF(COUNTIF(H610:$Z610,"&gt;"&amp;0)&gt;5,IF(MOD(COUNTIF(G$641:G912,1),7)=0,$C$4,0),0)</f>
        <v>597.516666666668</v>
      </c>
      <c r="H610" s="81" cm="1">
        <f ca="1" t="array" ref="H610">IF(H912=1,OFFSET($Z$338,$B610,H$335-1)/SUMPRODUCT(--($D$335:$V$335=H$335),--($D912:$V912=1)),0)+SUM(H609)+IF(COUNTIF(H$641:H912,1)=1,5,0)+IF(COUNTIF(I610:$Z610,"&gt;"&amp;0)&gt;5,IF(MOD(COUNTIF(H$641:H912,1),7)=0,$C$4,0),0)</f>
        <v>597.516666666668</v>
      </c>
      <c r="I610" s="81" cm="1">
        <f ca="1" t="array" ref="I610">IF(I912=1,OFFSET($Z$338,$B610,I$335-1)/SUMPRODUCT(--($D$335:$V$335=I$335),--($D912:$V912=1)),0)+SUM(I609)+IF(COUNTIF(I$641:I912,1)=1,5,0)+IF(COUNTIF(J610:$Z610,"&gt;"&amp;0)&gt;5,IF(MOD(COUNTIF(I$641:I912,1),7)=0,$C$4,0),0)</f>
        <v>597.516666666668</v>
      </c>
      <c r="J610" s="81" cm="1">
        <f ca="1" t="array" ref="J610">IF(J912=1,OFFSET($Z$338,$B610,J$335-1)/SUMPRODUCT(--($D$335:$V$335=J$335),--($D912:$V912=1)),0)+SUM(J609)+IF(COUNTIF(J$641:J912,1)=1,5,0)+IF(COUNTIF(K610:$Z610,"&gt;"&amp;0)&gt;5,IF(MOD(COUNTIF(J$641:J912,1),7)=0,$C$4,0),0)</f>
        <v>597.516666666668</v>
      </c>
      <c r="K610" s="81" cm="1">
        <f ca="1" t="array" ref="K610">IF(K912=1,OFFSET($Z$338,$B610,K$335-1)/SUMPRODUCT(--($D$335:$V$335=K$335),--($D912:$V912=1)),0)+SUM(K609)+IF(COUNTIF(K$641:K912,1)=1,5,0)+IF(COUNTIF(L610:$Z610,"&gt;"&amp;0)&gt;5,IF(MOD(COUNTIF(K$641:K912,1),7)=0,$C$4,0),0)</f>
        <v>597.516666666668</v>
      </c>
      <c r="L610" s="81" cm="1">
        <f ca="1" t="array" ref="L610">IF(L912=1,OFFSET($Z$338,$B610,L$335-1)/SUMPRODUCT(--($D$335:$V$335=L$335),--($D912:$V912=1)),0)+SUM(L609)+IF(COUNTIF(L$641:L912,1)=1,5,0)+IF(COUNTIF(M610:$Z610,"&gt;"&amp;0)&gt;5,IF(MOD(COUNTIF(L$641:L912,1),7)=0,$C$4,0),0)</f>
        <v>590.816666666668</v>
      </c>
      <c r="M610" s="81" cm="1">
        <f ca="1" t="array" ref="M610">IF(M912=1,OFFSET($Z$338,$B610,M$335-1)/SUMPRODUCT(--($D$335:$V$335=M$335),--($D912:$V912=1)),0)+SUM(M609)+IF(COUNTIF(M$641:M912,1)=1,5,0)+IF(COUNTIF(N610:$Z610,"&gt;"&amp;0)&gt;5,IF(MOD(COUNTIF(M$641:M912,1),7)=0,$C$4,0),0)</f>
        <v>345.644107142858</v>
      </c>
      <c r="N610" s="81" cm="1">
        <f ca="1" t="array" ref="N610">IF(N912=1,OFFSET($Z$338,$B610,N$335-1)/SUMPRODUCT(--($D$335:$V$335=N$335),--($D912:$V912=1)),0)+SUM(N609)+IF(COUNTIF(N$641:N912,1)=1,5,0)+IF(COUNTIF(O610:$Z610,"&gt;"&amp;0)&gt;5,IF(MOD(COUNTIF(N$641:N912,1),7)=0,$C$4,0),0)</f>
        <v>337.919107142858</v>
      </c>
      <c r="O610" s="81" cm="1">
        <f ca="1" t="array" ref="O610">IF(O912=1,OFFSET($Z$338,$B610,O$335-1)/SUMPRODUCT(--($D$335:$V$335=O$335),--($D912:$V912=1)),0)+SUM(O609)+IF(COUNTIF(O$641:O912,1)=1,5,0)+IF(COUNTIF(P610:$Z610,"&gt;"&amp;0)&gt;5,IF(MOD(COUNTIF(O$641:O912,1),7)=0,$C$4,0),0)</f>
        <v>335.494107142858</v>
      </c>
      <c r="P610" s="81" cm="1">
        <f ca="1" t="array" ref="P610">IF(P912=1,OFFSET($Z$338,$B610,P$335-1)/SUMPRODUCT(--($D$335:$V$335=P$335),--($D912:$V912=1)),0)+SUM(P609)+IF(COUNTIF(P$641:P912,1)=1,5,0)+IF(COUNTIF(Q610:$Z610,"&gt;"&amp;0)&gt;5,IF(MOD(COUNTIF(P$641:P912,1),7)=0,$C$4,0),0)</f>
        <v>332.560773809524</v>
      </c>
      <c r="Q610" s="81" cm="1">
        <f ca="1" t="array" ref="Q610">IF(Q912=1,OFFSET($Z$338,$B610,Q$335-1)/SUMPRODUCT(--($D$335:$V$335=Q$335),--($D912:$V912=1)),0)+SUM(Q609)+IF(COUNTIF(Q$641:Q912,1)=1,5,0)+IF(COUNTIF(R610:$Z610,"&gt;"&amp;0)&gt;5,IF(MOD(COUNTIF(Q$641:Q912,1),7)=0,$C$4,0),0)</f>
        <v>331.654523809524</v>
      </c>
      <c r="R610" s="81" cm="1">
        <f ca="1" t="array" ref="R610">IF(R912=1,OFFSET($Z$338,$B610,R$335-1)/SUMPRODUCT(--($D$335:$V$335=R$335),--($D912:$V912=1)),0)+SUM(R609)+IF(COUNTIF(R$641:R912,1)=1,5,0)+IF(COUNTIF(S610:$Z610,"&gt;"&amp;0)&gt;5,IF(MOD(COUNTIF(R$641:R912,1),7)=0,$C$4,0),0)</f>
        <v>301.759523809524</v>
      </c>
      <c r="S610" s="81" cm="1">
        <f ca="1" t="array" ref="S610">IF(S912=1,OFFSET($Z$338,$B610,S$335-1)/SUMPRODUCT(--($D$335:$V$335=S$335),--($D912:$V912=1)),0)+SUM(S609)+IF(COUNTIF(S$641:S912,1)=1,5,0)+IF(COUNTIF(T610:$Z610,"&gt;"&amp;0)&gt;5,IF(MOD(COUNTIF(S$641:S912,1),7)=0,$C$4,0),0)</f>
        <v>297.592857142857</v>
      </c>
      <c r="T610" s="81" cm="1">
        <f ca="1" t="array" ref="T610">IF(T912=1,OFFSET($Z$338,$B610,T$335-1)/SUMPRODUCT(--($D$335:$V$335=T$335),--($D912:$V912=1)),0)+SUM(T609)+IF(COUNTIF(T$641:T912,1)=1,5,0)+IF(COUNTIF(U610:$Z610,"&gt;"&amp;0)&gt;5,IF(MOD(COUNTIF(T$641:T912,1),7)=0,$C$4,0),0)</f>
        <v>137.656257829764</v>
      </c>
      <c r="U610" s="81" cm="1">
        <f ca="1" t="array" ref="U610">IF(U912=1,OFFSET($Z$338,$B610,U$335-1)/SUMPRODUCT(--($D$335:$V$335=U$335),--($D912:$V912=1)),0)+SUM(U609)+IF(COUNTIF(U$641:U912,1)=1,5,0)+IF(COUNTIF(V610:$Z610,"&gt;"&amp;0)&gt;5,IF(MOD(COUNTIF(U$641:U912,1),7)=0,$C$4,0),0)</f>
        <v>97.6562578297643</v>
      </c>
      <c r="V610" s="81" cm="1">
        <f ca="1" t="array" ref="V610">IF(V912=1,OFFSET($Z$338,$B610,V$335-1)/SUMPRODUCT(--($D$335:$V$335=V$335),--($D912:$V912=1)),0)+SUM(V609)+IF(COUNTIF(V$641:V912,1)=1,5,0)+IF(COUNTIF(Z610:$Z610,"&gt;"&amp;0)&gt;5,IF(MOD(COUNTIF(V$641:V912,1),7)=0,$C$4,0),0)</f>
        <v>89.6984386404824</v>
      </c>
      <c r="W610" s="81" cm="1">
        <f ca="1" t="array" ref="W610">IF(W912=1,OFFSET($Z$338,$B610,W$335-1)/SUMPRODUCT(--($D$335:$V$335=W$335),--($D912:$V912=1)),0)+SUM(W609)+IF(COUNTIF(W$641:W912,1)=1,5,0)+IF(COUNTIF($Z610:AA610,"&gt;"&amp;0)&gt;5,IF(MOD(COUNTIF(W$641:W912,1),7)=0,$C$4,0),0)</f>
        <v>80.3425695255331</v>
      </c>
      <c r="X610" s="81" cm="1">
        <f ca="1" t="array" ref="X610">IF(X912=1,OFFSET($Z$338,$B610,X$335-1)/SUMPRODUCT(--($D$335:$V$335=X$335),--($D912:$V912=1)),0)+SUM(X609)+IF(COUNTIF(X$641:X912,1)=1,5,0)+IF(COUNTIF($Z610:AB610,"&gt;"&amp;0)&gt;5,IF(MOD(COUNTIF(X$641:X912,1),7)=0,$C$4,0),0)</f>
        <v>73.5789092348996</v>
      </c>
      <c r="Y610" s="81" cm="1">
        <f ca="1" t="array" ref="Y610">IF(Y912=1,OFFSET($Z$338,$B610,Y$335-1)/SUMPRODUCT(--($D$335:$V$335=Y$335),--($D912:$V912=1)),0)+SUM(Y609)+IF(COUNTIF(Y$641:Y912,1)=1,5,0)+IF(COUNTIF($Z610:AC610,"&gt;"&amp;0)&gt;5,IF(MOD(COUNTIF(Y$641:Y912,1),7)=0,$C$4,0),0)</f>
        <v>66.8152489442662</v>
      </c>
      <c r="Z610" s="82" cm="1">
        <f ca="1" t="array" ref="Z610">SUMPRODUCT(TRANSPOSE($AD610:$AJ610),OFFSET($L$10:$L$16,0,Z$335-1))</f>
        <v>0</v>
      </c>
      <c r="AA610" s="82" cm="1">
        <f ca="1" t="array" ref="AA610">SUMPRODUCT(TRANSPOSE($AD610:$AJ610),OFFSET($L$10:$L$16,0,AA$335-1))</f>
        <v>0</v>
      </c>
      <c r="AB610" s="82" cm="1">
        <f ca="1" t="array" ref="AB610">SUMPRODUCT(TRANSPOSE($AD610:$AJ610),OFFSET($L$10:$L$16,0,AB$335-1))</f>
        <v>0</v>
      </c>
      <c r="AC610" s="82" cm="1">
        <f ca="1" t="array" ref="AC610">SUMPRODUCT(TRANSPOSE($AD610:$AJ610),OFFSET($L$10:$L$16,0,AC$335-1))</f>
        <v>0</v>
      </c>
      <c r="AD610" s="83">
        <f ca="1" t="shared" ref="AD610:AJ610" si="871">AK610-AK609</f>
        <v>0</v>
      </c>
      <c r="AE610" s="83">
        <f ca="1" t="shared" si="871"/>
        <v>0</v>
      </c>
      <c r="AF610" s="83">
        <f ca="1" t="shared" si="871"/>
        <v>0</v>
      </c>
      <c r="AG610" s="83">
        <f ca="1" t="shared" si="871"/>
        <v>0</v>
      </c>
      <c r="AH610" s="83">
        <f ca="1" t="shared" si="871"/>
        <v>0</v>
      </c>
      <c r="AI610" s="83">
        <f ca="1" t="shared" si="871"/>
        <v>0</v>
      </c>
      <c r="AJ610" s="83">
        <f ca="1" t="shared" si="871"/>
        <v>0</v>
      </c>
      <c r="AK610" s="83">
        <f ca="1" t="shared" si="841"/>
        <v>450</v>
      </c>
      <c r="AL610" s="83">
        <f ca="1" t="shared" ref="AL610:AQ610" si="872">IF($C610&gt;OFFSET($Q$9,MATCH(AL$338,$AK$338:$AQ$338,0),0),OFFSET($P$9,MATCH(AL$338,$AK$338:$AQ$338,0),0),MAX(0,$C610-OFFSET($Q$9,RIGHT(AL$338,1)-1,0)))</f>
        <v>909</v>
      </c>
      <c r="AM610" s="83">
        <f ca="1" t="shared" si="872"/>
        <v>1818</v>
      </c>
      <c r="AN610" s="83">
        <f ca="1" t="shared" si="872"/>
        <v>2727</v>
      </c>
      <c r="AO610" s="83">
        <f ca="1" t="shared" si="872"/>
        <v>3636</v>
      </c>
      <c r="AP610" s="83">
        <f ca="1" t="shared" si="872"/>
        <v>4545</v>
      </c>
      <c r="AQ610" s="83">
        <f ca="1" t="shared" si="872"/>
        <v>0</v>
      </c>
    </row>
    <row r="611" ht="16.5" spans="2:43">
      <c r="B611" s="65">
        <v>273</v>
      </c>
      <c r="C611" s="80">
        <f t="shared" si="839"/>
        <v>31356</v>
      </c>
      <c r="D611" s="81" cm="1">
        <f ca="1" t="array" ref="D611">IF(D913=1,OFFSET($Z$338,$B611,D$335-1)/SUMPRODUCT(--($D$335:$V$335=D$335),--($D913:$V913=1)),0)+SUM(D610)+IF(COUNTIF(D$641:D913,1)=1,5,0)+IF(COUNTIF(E611:$Z611,"&gt;"&amp;0)&gt;5,IF(MOD(COUNTIF(D$641:D913,1),7)=0,$C$4,0),0)</f>
        <v>1313.82134856666</v>
      </c>
      <c r="E611" s="81" cm="1">
        <f ca="1" t="array" ref="E611">IF(E913=1,OFFSET($Z$338,$B611,E$335-1)/SUMPRODUCT(--($D$335:$V$335=E$335),--($D913:$V913=1)),0)+SUM(E610)+IF(COUNTIF(E$641:E913,1)=1,5,0)+IF(COUNTIF(F611:$Z611,"&gt;"&amp;0)&gt;5,IF(MOD(COUNTIF(E$641:E913,1),7)=0,$C$4,0),0)</f>
        <v>1313.82134856666</v>
      </c>
      <c r="F611" s="81" cm="1">
        <f ca="1" t="array" ref="F611">IF(F913=1,OFFSET($Z$338,$B611,F$335-1)/SUMPRODUCT(--($D$335:$V$335=F$335),--($D913:$V913=1)),0)+SUM(F610)+IF(COUNTIF(F$641:F913,1)=1,5,0)+IF(COUNTIF(G611:$Z611,"&gt;"&amp;0)&gt;5,IF(MOD(COUNTIF(F$641:F913,1),7)=0,$C$4,0),0)</f>
        <v>1313.82134856666</v>
      </c>
      <c r="G611" s="81" cm="1">
        <f ca="1" t="array" ref="G611">IF(G913=1,OFFSET($Z$338,$B611,G$335-1)/SUMPRODUCT(--($D$335:$V$335=G$335),--($D913:$V913=1)),0)+SUM(G610)+IF(COUNTIF(G$641:G913,1)=1,5,0)+IF(COUNTIF(H611:$Z611,"&gt;"&amp;0)&gt;5,IF(MOD(COUNTIF(G$641:G913,1),7)=0,$C$4,0),0)</f>
        <v>602.516666666668</v>
      </c>
      <c r="H611" s="81" cm="1">
        <f ca="1" t="array" ref="H611">IF(H913=1,OFFSET($Z$338,$B611,H$335-1)/SUMPRODUCT(--($D$335:$V$335=H$335),--($D913:$V913=1)),0)+SUM(H610)+IF(COUNTIF(H$641:H913,1)=1,5,0)+IF(COUNTIF(I611:$Z611,"&gt;"&amp;0)&gt;5,IF(MOD(COUNTIF(H$641:H913,1),7)=0,$C$4,0),0)</f>
        <v>602.516666666668</v>
      </c>
      <c r="I611" s="81" cm="1">
        <f ca="1" t="array" ref="I611">IF(I913=1,OFFSET($Z$338,$B611,I$335-1)/SUMPRODUCT(--($D$335:$V$335=I$335),--($D913:$V913=1)),0)+SUM(I610)+IF(COUNTIF(I$641:I913,1)=1,5,0)+IF(COUNTIF(J611:$Z611,"&gt;"&amp;0)&gt;5,IF(MOD(COUNTIF(I$641:I913,1),7)=0,$C$4,0),0)</f>
        <v>602.516666666668</v>
      </c>
      <c r="J611" s="81" cm="1">
        <f ca="1" t="array" ref="J611">IF(J913=1,OFFSET($Z$338,$B611,J$335-1)/SUMPRODUCT(--($D$335:$V$335=J$335),--($D913:$V913=1)),0)+SUM(J610)+IF(COUNTIF(J$641:J913,1)=1,5,0)+IF(COUNTIF(K611:$Z611,"&gt;"&amp;0)&gt;5,IF(MOD(COUNTIF(J$641:J913,1),7)=0,$C$4,0),0)</f>
        <v>602.516666666668</v>
      </c>
      <c r="K611" s="81" cm="1">
        <f ca="1" t="array" ref="K611">IF(K913=1,OFFSET($Z$338,$B611,K$335-1)/SUMPRODUCT(--($D$335:$V$335=K$335),--($D913:$V913=1)),0)+SUM(K610)+IF(COUNTIF(K$641:K913,1)=1,5,0)+IF(COUNTIF(L611:$Z611,"&gt;"&amp;0)&gt;5,IF(MOD(COUNTIF(K$641:K913,1),7)=0,$C$4,0),0)</f>
        <v>602.516666666668</v>
      </c>
      <c r="L611" s="81" cm="1">
        <f ca="1" t="array" ref="L611">IF(L913=1,OFFSET($Z$338,$B611,L$335-1)/SUMPRODUCT(--($D$335:$V$335=L$335),--($D913:$V913=1)),0)+SUM(L610)+IF(COUNTIF(L$641:L913,1)=1,5,0)+IF(COUNTIF(M611:$Z611,"&gt;"&amp;0)&gt;5,IF(MOD(COUNTIF(L$641:L913,1),7)=0,$C$4,0),0)</f>
        <v>590.816666666668</v>
      </c>
      <c r="M611" s="81" cm="1">
        <f ca="1" t="array" ref="M611">IF(M913=1,OFFSET($Z$338,$B611,M$335-1)/SUMPRODUCT(--($D$335:$V$335=M$335),--($D913:$V913=1)),0)+SUM(M610)+IF(COUNTIF(M$641:M913,1)=1,5,0)+IF(COUNTIF(N611:$Z611,"&gt;"&amp;0)&gt;5,IF(MOD(COUNTIF(M$641:M913,1),7)=0,$C$4,0),0)</f>
        <v>345.644107142858</v>
      </c>
      <c r="N611" s="81" cm="1">
        <f ca="1" t="array" ref="N611">IF(N913=1,OFFSET($Z$338,$B611,N$335-1)/SUMPRODUCT(--($D$335:$V$335=N$335),--($D913:$V913=1)),0)+SUM(N610)+IF(COUNTIF(N$641:N913,1)=1,5,0)+IF(COUNTIF(O611:$Z611,"&gt;"&amp;0)&gt;5,IF(MOD(COUNTIF(N$641:N913,1),7)=0,$C$4,0),0)</f>
        <v>337.919107142858</v>
      </c>
      <c r="O611" s="81" cm="1">
        <f ca="1" t="array" ref="O611">IF(O913=1,OFFSET($Z$338,$B611,O$335-1)/SUMPRODUCT(--($D$335:$V$335=O$335),--($D913:$V913=1)),0)+SUM(O610)+IF(COUNTIF(O$641:O913,1)=1,5,0)+IF(COUNTIF(P611:$Z611,"&gt;"&amp;0)&gt;5,IF(MOD(COUNTIF(O$641:O913,1),7)=0,$C$4,0),0)</f>
        <v>335.494107142858</v>
      </c>
      <c r="P611" s="81" cm="1">
        <f ca="1" t="array" ref="P611">IF(P913=1,OFFSET($Z$338,$B611,P$335-1)/SUMPRODUCT(--($D$335:$V$335=P$335),--($D913:$V913=1)),0)+SUM(P610)+IF(COUNTIF(P$641:P913,1)=1,5,0)+IF(COUNTIF(Q611:$Z611,"&gt;"&amp;0)&gt;5,IF(MOD(COUNTIF(P$641:P913,1),7)=0,$C$4,0),0)</f>
        <v>332.560773809524</v>
      </c>
      <c r="Q611" s="81" cm="1">
        <f ca="1" t="array" ref="Q611">IF(Q913=1,OFFSET($Z$338,$B611,Q$335-1)/SUMPRODUCT(--($D$335:$V$335=Q$335),--($D913:$V913=1)),0)+SUM(Q610)+IF(COUNTIF(Q$641:Q913,1)=1,5,0)+IF(COUNTIF(R611:$Z611,"&gt;"&amp;0)&gt;5,IF(MOD(COUNTIF(Q$641:Q913,1),7)=0,$C$4,0),0)</f>
        <v>331.654523809524</v>
      </c>
      <c r="R611" s="81" cm="1">
        <f ca="1" t="array" ref="R611">IF(R913=1,OFFSET($Z$338,$B611,R$335-1)/SUMPRODUCT(--($D$335:$V$335=R$335),--($D913:$V913=1)),0)+SUM(R610)+IF(COUNTIF(R$641:R913,1)=1,5,0)+IF(COUNTIF(S611:$Z611,"&gt;"&amp;0)&gt;5,IF(MOD(COUNTIF(R$641:R913,1),7)=0,$C$4,0),0)</f>
        <v>306.759523809524</v>
      </c>
      <c r="S611" s="81" cm="1">
        <f ca="1" t="array" ref="S611">IF(S913=1,OFFSET($Z$338,$B611,S$335-1)/SUMPRODUCT(--($D$335:$V$335=S$335),--($D913:$V913=1)),0)+SUM(S610)+IF(COUNTIF(S$641:S913,1)=1,5,0)+IF(COUNTIF(T611:$Z611,"&gt;"&amp;0)&gt;5,IF(MOD(COUNTIF(S$641:S913,1),7)=0,$C$4,0),0)</f>
        <v>297.592857142857</v>
      </c>
      <c r="T611" s="81" cm="1">
        <f ca="1" t="array" ref="T611">IF(T913=1,OFFSET($Z$338,$B611,T$335-1)/SUMPRODUCT(--($D$335:$V$335=T$335),--($D913:$V913=1)),0)+SUM(T610)+IF(COUNTIF(T$641:T913,1)=1,5,0)+IF(COUNTIF(U611:$Z611,"&gt;"&amp;0)&gt;5,IF(MOD(COUNTIF(T$641:T913,1),7)=0,$C$4,0),0)</f>
        <v>137.656257829764</v>
      </c>
      <c r="U611" s="81" cm="1">
        <f ca="1" t="array" ref="U611">IF(U913=1,OFFSET($Z$338,$B611,U$335-1)/SUMPRODUCT(--($D$335:$V$335=U$335),--($D913:$V913=1)),0)+SUM(U610)+IF(COUNTIF(U$641:U913,1)=1,5,0)+IF(COUNTIF(V611:$Z611,"&gt;"&amp;0)&gt;5,IF(MOD(COUNTIF(U$641:U913,1),7)=0,$C$4,0),0)</f>
        <v>97.6562578297643</v>
      </c>
      <c r="V611" s="81" cm="1">
        <f ca="1" t="array" ref="V611">IF(V913=1,OFFSET($Z$338,$B611,V$335-1)/SUMPRODUCT(--($D$335:$V$335=V$335),--($D913:$V913=1)),0)+SUM(V610)+IF(COUNTIF(V$641:V913,1)=1,5,0)+IF(COUNTIF(Z611:$Z611,"&gt;"&amp;0)&gt;5,IF(MOD(COUNTIF(V$641:V913,1),7)=0,$C$4,0),0)</f>
        <v>89.6984386404824</v>
      </c>
      <c r="W611" s="81" cm="1">
        <f ca="1" t="array" ref="W611">IF(W913=1,OFFSET($Z$338,$B611,W$335-1)/SUMPRODUCT(--($D$335:$V$335=W$335),--($D913:$V913=1)),0)+SUM(W610)+IF(COUNTIF(W$641:W913,1)=1,5,0)+IF(COUNTIF($Z611:AA611,"&gt;"&amp;0)&gt;5,IF(MOD(COUNTIF(W$641:W913,1),7)=0,$C$4,0),0)</f>
        <v>80.3425695255331</v>
      </c>
      <c r="X611" s="81" cm="1">
        <f ca="1" t="array" ref="X611">IF(X913=1,OFFSET($Z$338,$B611,X$335-1)/SUMPRODUCT(--($D$335:$V$335=X$335),--($D913:$V913=1)),0)+SUM(X610)+IF(COUNTIF(X$641:X913,1)=1,5,0)+IF(COUNTIF($Z611:AB611,"&gt;"&amp;0)&gt;5,IF(MOD(COUNTIF(X$641:X913,1),7)=0,$C$4,0),0)</f>
        <v>73.5789092348996</v>
      </c>
      <c r="Y611" s="81" cm="1">
        <f ca="1" t="array" ref="Y611">IF(Y913=1,OFFSET($Z$338,$B611,Y$335-1)/SUMPRODUCT(--($D$335:$V$335=Y$335),--($D913:$V913=1)),0)+SUM(Y610)+IF(COUNTIF(Y$641:Y913,1)=1,5,0)+IF(COUNTIF($Z611:AC611,"&gt;"&amp;0)&gt;5,IF(MOD(COUNTIF(Y$641:Y913,1),7)=0,$C$4,0),0)</f>
        <v>66.8152489442662</v>
      </c>
      <c r="Z611" s="82" cm="1">
        <f ca="1" t="array" ref="Z611">SUMPRODUCT(TRANSPOSE($AD611:$AJ611),OFFSET($L$10:$L$16,0,Z$335-1))</f>
        <v>0</v>
      </c>
      <c r="AA611" s="82" cm="1">
        <f ca="1" t="array" ref="AA611">SUMPRODUCT(TRANSPOSE($AD611:$AJ611),OFFSET($L$10:$L$16,0,AA$335-1))</f>
        <v>0</v>
      </c>
      <c r="AB611" s="82" cm="1">
        <f ca="1" t="array" ref="AB611">SUMPRODUCT(TRANSPOSE($AD611:$AJ611),OFFSET($L$10:$L$16,0,AB$335-1))</f>
        <v>0</v>
      </c>
      <c r="AC611" s="82" cm="1">
        <f ca="1" t="array" ref="AC611">SUMPRODUCT(TRANSPOSE($AD611:$AJ611),OFFSET($L$10:$L$16,0,AC$335-1))</f>
        <v>0</v>
      </c>
      <c r="AD611" s="83">
        <f ca="1" t="shared" ref="AD611:AJ611" si="873">AK611-AK610</f>
        <v>0</v>
      </c>
      <c r="AE611" s="83">
        <f ca="1" t="shared" si="873"/>
        <v>0</v>
      </c>
      <c r="AF611" s="83">
        <f ca="1" t="shared" si="873"/>
        <v>0</v>
      </c>
      <c r="AG611" s="83">
        <f ca="1" t="shared" si="873"/>
        <v>0</v>
      </c>
      <c r="AH611" s="83">
        <f ca="1" t="shared" si="873"/>
        <v>0</v>
      </c>
      <c r="AI611" s="83">
        <f ca="1" t="shared" si="873"/>
        <v>0</v>
      </c>
      <c r="AJ611" s="83">
        <f ca="1" t="shared" si="873"/>
        <v>0</v>
      </c>
      <c r="AK611" s="83">
        <f ca="1" t="shared" si="841"/>
        <v>450</v>
      </c>
      <c r="AL611" s="83">
        <f ca="1" t="shared" ref="AL611:AQ611" si="874">IF($C611&gt;OFFSET($Q$9,MATCH(AL$338,$AK$338:$AQ$338,0),0),OFFSET($P$9,MATCH(AL$338,$AK$338:$AQ$338,0),0),MAX(0,$C611-OFFSET($Q$9,RIGHT(AL$338,1)-1,0)))</f>
        <v>909</v>
      </c>
      <c r="AM611" s="83">
        <f ca="1" t="shared" si="874"/>
        <v>1818</v>
      </c>
      <c r="AN611" s="83">
        <f ca="1" t="shared" si="874"/>
        <v>2727</v>
      </c>
      <c r="AO611" s="83">
        <f ca="1" t="shared" si="874"/>
        <v>3636</v>
      </c>
      <c r="AP611" s="83">
        <f ca="1" t="shared" si="874"/>
        <v>4545</v>
      </c>
      <c r="AQ611" s="83">
        <f ca="1" t="shared" si="874"/>
        <v>0</v>
      </c>
    </row>
    <row r="612" ht="16.5" spans="2:43">
      <c r="B612" s="65">
        <v>274</v>
      </c>
      <c r="C612" s="80">
        <f t="shared" si="839"/>
        <v>31466</v>
      </c>
      <c r="D612" s="81" cm="1">
        <f ca="1" t="array" ref="D612">IF(D914=1,OFFSET($Z$338,$B612,D$335-1)/SUMPRODUCT(--($D$335:$V$335=D$335),--($D914:$V914=1)),0)+SUM(D611)+IF(COUNTIF(D$641:D914,1)=1,5,0)+IF(COUNTIF(E612:$Z612,"&gt;"&amp;0)&gt;5,IF(MOD(COUNTIF(D$641:D914,1),7)=0,$C$4,0),0)</f>
        <v>1313.82134856666</v>
      </c>
      <c r="E612" s="81" cm="1">
        <f ca="1" t="array" ref="E612">IF(E914=1,OFFSET($Z$338,$B612,E$335-1)/SUMPRODUCT(--($D$335:$V$335=E$335),--($D914:$V914=1)),0)+SUM(E611)+IF(COUNTIF(E$641:E914,1)=1,5,0)+IF(COUNTIF(F612:$Z612,"&gt;"&amp;0)&gt;5,IF(MOD(COUNTIF(E$641:E914,1),7)=0,$C$4,0),0)</f>
        <v>1313.82134856666</v>
      </c>
      <c r="F612" s="81" cm="1">
        <f ca="1" t="array" ref="F612">IF(F914=1,OFFSET($Z$338,$B612,F$335-1)/SUMPRODUCT(--($D$335:$V$335=F$335),--($D914:$V914=1)),0)+SUM(F611)+IF(COUNTIF(F$641:F914,1)=1,5,0)+IF(COUNTIF(G612:$Z612,"&gt;"&amp;0)&gt;5,IF(MOD(COUNTIF(F$641:F914,1),7)=0,$C$4,0),0)</f>
        <v>1313.82134856666</v>
      </c>
      <c r="G612" s="81" cm="1">
        <f ca="1" t="array" ref="G612">IF(G914=1,OFFSET($Z$338,$B612,G$335-1)/SUMPRODUCT(--($D$335:$V$335=G$335),--($D914:$V914=1)),0)+SUM(G611)+IF(COUNTIF(G$641:G914,1)=1,5,0)+IF(COUNTIF(H612:$Z612,"&gt;"&amp;0)&gt;5,IF(MOD(COUNTIF(G$641:G914,1),7)=0,$C$4,0),0)</f>
        <v>602.516666666668</v>
      </c>
      <c r="H612" s="81" cm="1">
        <f ca="1" t="array" ref="H612">IF(H914=1,OFFSET($Z$338,$B612,H$335-1)/SUMPRODUCT(--($D$335:$V$335=H$335),--($D914:$V914=1)),0)+SUM(H611)+IF(COUNTIF(H$641:H914,1)=1,5,0)+IF(COUNTIF(I612:$Z612,"&gt;"&amp;0)&gt;5,IF(MOD(COUNTIF(H$641:H914,1),7)=0,$C$4,0),0)</f>
        <v>602.516666666668</v>
      </c>
      <c r="I612" s="81" cm="1">
        <f ca="1" t="array" ref="I612">IF(I914=1,OFFSET($Z$338,$B612,I$335-1)/SUMPRODUCT(--($D$335:$V$335=I$335),--($D914:$V914=1)),0)+SUM(I611)+IF(COUNTIF(I$641:I914,1)=1,5,0)+IF(COUNTIF(J612:$Z612,"&gt;"&amp;0)&gt;5,IF(MOD(COUNTIF(I$641:I914,1),7)=0,$C$4,0),0)</f>
        <v>602.516666666668</v>
      </c>
      <c r="J612" s="81" cm="1">
        <f ca="1" t="array" ref="J612">IF(J914=1,OFFSET($Z$338,$B612,J$335-1)/SUMPRODUCT(--($D$335:$V$335=J$335),--($D914:$V914=1)),0)+SUM(J611)+IF(COUNTIF(J$641:J914,1)=1,5,0)+IF(COUNTIF(K612:$Z612,"&gt;"&amp;0)&gt;5,IF(MOD(COUNTIF(J$641:J914,1),7)=0,$C$4,0),0)</f>
        <v>602.516666666668</v>
      </c>
      <c r="K612" s="81" cm="1">
        <f ca="1" t="array" ref="K612">IF(K914=1,OFFSET($Z$338,$B612,K$335-1)/SUMPRODUCT(--($D$335:$V$335=K$335),--($D914:$V914=1)),0)+SUM(K611)+IF(COUNTIF(K$641:K914,1)=1,5,0)+IF(COUNTIF(L612:$Z612,"&gt;"&amp;0)&gt;5,IF(MOD(COUNTIF(K$641:K914,1),7)=0,$C$4,0),0)</f>
        <v>602.516666666668</v>
      </c>
      <c r="L612" s="81" cm="1">
        <f ca="1" t="array" ref="L612">IF(L914=1,OFFSET($Z$338,$B612,L$335-1)/SUMPRODUCT(--($D$335:$V$335=L$335),--($D914:$V914=1)),0)+SUM(L611)+IF(COUNTIF(L$641:L914,1)=1,5,0)+IF(COUNTIF(M612:$Z612,"&gt;"&amp;0)&gt;5,IF(MOD(COUNTIF(L$641:L914,1),7)=0,$C$4,0),0)</f>
        <v>595.816666666668</v>
      </c>
      <c r="M612" s="81" cm="1">
        <f ca="1" t="array" ref="M612">IF(M914=1,OFFSET($Z$338,$B612,M$335-1)/SUMPRODUCT(--($D$335:$V$335=M$335),--($D914:$V914=1)),0)+SUM(M611)+IF(COUNTIF(M$641:M914,1)=1,5,0)+IF(COUNTIF(N612:$Z612,"&gt;"&amp;0)&gt;5,IF(MOD(COUNTIF(M$641:M914,1),7)=0,$C$4,0),0)</f>
        <v>350.644107142858</v>
      </c>
      <c r="N612" s="81" cm="1">
        <f ca="1" t="array" ref="N612">IF(N914=1,OFFSET($Z$338,$B612,N$335-1)/SUMPRODUCT(--($D$335:$V$335=N$335),--($D914:$V914=1)),0)+SUM(N611)+IF(COUNTIF(N$641:N914,1)=1,5,0)+IF(COUNTIF(O612:$Z612,"&gt;"&amp;0)&gt;5,IF(MOD(COUNTIF(N$641:N914,1),7)=0,$C$4,0),0)</f>
        <v>337.919107142858</v>
      </c>
      <c r="O612" s="81" cm="1">
        <f ca="1" t="array" ref="O612">IF(O914=1,OFFSET($Z$338,$B612,O$335-1)/SUMPRODUCT(--($D$335:$V$335=O$335),--($D914:$V914=1)),0)+SUM(O611)+IF(COUNTIF(O$641:O914,1)=1,5,0)+IF(COUNTIF(P612:$Z612,"&gt;"&amp;0)&gt;5,IF(MOD(COUNTIF(O$641:O914,1),7)=0,$C$4,0),0)</f>
        <v>335.494107142858</v>
      </c>
      <c r="P612" s="81" cm="1">
        <f ca="1" t="array" ref="P612">IF(P914=1,OFFSET($Z$338,$B612,P$335-1)/SUMPRODUCT(--($D$335:$V$335=P$335),--($D914:$V914=1)),0)+SUM(P611)+IF(COUNTIF(P$641:P914,1)=1,5,0)+IF(COUNTIF(Q612:$Z612,"&gt;"&amp;0)&gt;5,IF(MOD(COUNTIF(P$641:P914,1),7)=0,$C$4,0),0)</f>
        <v>332.560773809524</v>
      </c>
      <c r="Q612" s="81" cm="1">
        <f ca="1" t="array" ref="Q612">IF(Q914=1,OFFSET($Z$338,$B612,Q$335-1)/SUMPRODUCT(--($D$335:$V$335=Q$335),--($D914:$V914=1)),0)+SUM(Q611)+IF(COUNTIF(Q$641:Q914,1)=1,5,0)+IF(COUNTIF(R612:$Z612,"&gt;"&amp;0)&gt;5,IF(MOD(COUNTIF(Q$641:Q914,1),7)=0,$C$4,0),0)</f>
        <v>331.654523809524</v>
      </c>
      <c r="R612" s="81" cm="1">
        <f ca="1" t="array" ref="R612">IF(R914=1,OFFSET($Z$338,$B612,R$335-1)/SUMPRODUCT(--($D$335:$V$335=R$335),--($D914:$V914=1)),0)+SUM(R611)+IF(COUNTIF(R$641:R914,1)=1,5,0)+IF(COUNTIF(S612:$Z612,"&gt;"&amp;0)&gt;5,IF(MOD(COUNTIF(R$641:R914,1),7)=0,$C$4,0),0)</f>
        <v>306.759523809524</v>
      </c>
      <c r="S612" s="81" cm="1">
        <f ca="1" t="array" ref="S612">IF(S914=1,OFFSET($Z$338,$B612,S$335-1)/SUMPRODUCT(--($D$335:$V$335=S$335),--($D914:$V914=1)),0)+SUM(S611)+IF(COUNTIF(S$641:S914,1)=1,5,0)+IF(COUNTIF(T612:$Z612,"&gt;"&amp;0)&gt;5,IF(MOD(COUNTIF(S$641:S914,1),7)=0,$C$4,0),0)</f>
        <v>297.592857142857</v>
      </c>
      <c r="T612" s="81" cm="1">
        <f ca="1" t="array" ref="T612">IF(T914=1,OFFSET($Z$338,$B612,T$335-1)/SUMPRODUCT(--($D$335:$V$335=T$335),--($D914:$V914=1)),0)+SUM(T611)+IF(COUNTIF(T$641:T914,1)=1,5,0)+IF(COUNTIF(U612:$Z612,"&gt;"&amp;0)&gt;5,IF(MOD(COUNTIF(T$641:T914,1),7)=0,$C$4,0),0)</f>
        <v>137.656257829764</v>
      </c>
      <c r="U612" s="81" cm="1">
        <f ca="1" t="array" ref="U612">IF(U914=1,OFFSET($Z$338,$B612,U$335-1)/SUMPRODUCT(--($D$335:$V$335=U$335),--($D914:$V914=1)),0)+SUM(U611)+IF(COUNTIF(U$641:U914,1)=1,5,0)+IF(COUNTIF(V612:$Z612,"&gt;"&amp;0)&gt;5,IF(MOD(COUNTIF(U$641:U914,1),7)=0,$C$4,0),0)</f>
        <v>97.6562578297643</v>
      </c>
      <c r="V612" s="81" cm="1">
        <f ca="1" t="array" ref="V612">IF(V914=1,OFFSET($Z$338,$B612,V$335-1)/SUMPRODUCT(--($D$335:$V$335=V$335),--($D914:$V914=1)),0)+SUM(V611)+IF(COUNTIF(V$641:V914,1)=1,5,0)+IF(COUNTIF(Z612:$Z612,"&gt;"&amp;0)&gt;5,IF(MOD(COUNTIF(V$641:V914,1),7)=0,$C$4,0),0)</f>
        <v>89.6984386404824</v>
      </c>
      <c r="W612" s="81" cm="1">
        <f ca="1" t="array" ref="W612">IF(W914=1,OFFSET($Z$338,$B612,W$335-1)/SUMPRODUCT(--($D$335:$V$335=W$335),--($D914:$V914=1)),0)+SUM(W611)+IF(COUNTIF(W$641:W914,1)=1,5,0)+IF(COUNTIF($Z612:AA612,"&gt;"&amp;0)&gt;5,IF(MOD(COUNTIF(W$641:W914,1),7)=0,$C$4,0),0)</f>
        <v>80.3425695255331</v>
      </c>
      <c r="X612" s="81" cm="1">
        <f ca="1" t="array" ref="X612">IF(X914=1,OFFSET($Z$338,$B612,X$335-1)/SUMPRODUCT(--($D$335:$V$335=X$335),--($D914:$V914=1)),0)+SUM(X611)+IF(COUNTIF(X$641:X914,1)=1,5,0)+IF(COUNTIF($Z612:AB612,"&gt;"&amp;0)&gt;5,IF(MOD(COUNTIF(X$641:X914,1),7)=0,$C$4,0),0)</f>
        <v>73.5789092348996</v>
      </c>
      <c r="Y612" s="81" cm="1">
        <f ca="1" t="array" ref="Y612">IF(Y914=1,OFFSET($Z$338,$B612,Y$335-1)/SUMPRODUCT(--($D$335:$V$335=Y$335),--($D914:$V914=1)),0)+SUM(Y611)+IF(COUNTIF(Y$641:Y914,1)=1,5,0)+IF(COUNTIF($Z612:AC612,"&gt;"&amp;0)&gt;5,IF(MOD(COUNTIF(Y$641:Y914,1),7)=0,$C$4,0),0)</f>
        <v>66.8152489442662</v>
      </c>
      <c r="Z612" s="82" cm="1">
        <f ca="1" t="array" ref="Z612">SUMPRODUCT(TRANSPOSE($AD612:$AJ612),OFFSET($L$10:$L$16,0,Z$335-1))</f>
        <v>0</v>
      </c>
      <c r="AA612" s="82" cm="1">
        <f ca="1" t="array" ref="AA612">SUMPRODUCT(TRANSPOSE($AD612:$AJ612),OFFSET($L$10:$L$16,0,AA$335-1))</f>
        <v>0</v>
      </c>
      <c r="AB612" s="82" cm="1">
        <f ca="1" t="array" ref="AB612">SUMPRODUCT(TRANSPOSE($AD612:$AJ612),OFFSET($L$10:$L$16,0,AB$335-1))</f>
        <v>0</v>
      </c>
      <c r="AC612" s="82" cm="1">
        <f ca="1" t="array" ref="AC612">SUMPRODUCT(TRANSPOSE($AD612:$AJ612),OFFSET($L$10:$L$16,0,AC$335-1))</f>
        <v>0</v>
      </c>
      <c r="AD612" s="83">
        <f ca="1" t="shared" ref="AD612:AJ612" si="875">AK612-AK611</f>
        <v>0</v>
      </c>
      <c r="AE612" s="83">
        <f ca="1" t="shared" si="875"/>
        <v>0</v>
      </c>
      <c r="AF612" s="83">
        <f ca="1" t="shared" si="875"/>
        <v>0</v>
      </c>
      <c r="AG612" s="83">
        <f ca="1" t="shared" si="875"/>
        <v>0</v>
      </c>
      <c r="AH612" s="83">
        <f ca="1" t="shared" si="875"/>
        <v>0</v>
      </c>
      <c r="AI612" s="83">
        <f ca="1" t="shared" si="875"/>
        <v>0</v>
      </c>
      <c r="AJ612" s="83">
        <f ca="1" t="shared" si="875"/>
        <v>0</v>
      </c>
      <c r="AK612" s="83">
        <f ca="1" t="shared" si="841"/>
        <v>450</v>
      </c>
      <c r="AL612" s="83">
        <f ca="1" t="shared" ref="AL612:AQ612" si="876">IF($C612&gt;OFFSET($Q$9,MATCH(AL$338,$AK$338:$AQ$338,0),0),OFFSET($P$9,MATCH(AL$338,$AK$338:$AQ$338,0),0),MAX(0,$C612-OFFSET($Q$9,RIGHT(AL$338,1)-1,0)))</f>
        <v>909</v>
      </c>
      <c r="AM612" s="83">
        <f ca="1" t="shared" si="876"/>
        <v>1818</v>
      </c>
      <c r="AN612" s="83">
        <f ca="1" t="shared" si="876"/>
        <v>2727</v>
      </c>
      <c r="AO612" s="83">
        <f ca="1" t="shared" si="876"/>
        <v>3636</v>
      </c>
      <c r="AP612" s="83">
        <f ca="1" t="shared" si="876"/>
        <v>4545</v>
      </c>
      <c r="AQ612" s="83">
        <f ca="1" t="shared" si="876"/>
        <v>0</v>
      </c>
    </row>
    <row r="613" ht="16.5" spans="2:43">
      <c r="B613" s="65">
        <v>275</v>
      </c>
      <c r="C613" s="80">
        <f t="shared" si="839"/>
        <v>31576</v>
      </c>
      <c r="D613" s="81" cm="1">
        <f ca="1" t="array" ref="D613">IF(D915=1,OFFSET($Z$338,$B613,D$335-1)/SUMPRODUCT(--($D$335:$V$335=D$335),--($D915:$V915=1)),0)+SUM(D612)+IF(COUNTIF(D$641:D915,1)=1,5,0)+IF(COUNTIF(E613:$Z613,"&gt;"&amp;0)&gt;5,IF(MOD(COUNTIF(D$641:D915,1),7)=0,$C$4,0),0)</f>
        <v>1313.82134856666</v>
      </c>
      <c r="E613" s="81" cm="1">
        <f ca="1" t="array" ref="E613">IF(E915=1,OFFSET($Z$338,$B613,E$335-1)/SUMPRODUCT(--($D$335:$V$335=E$335),--($D915:$V915=1)),0)+SUM(E612)+IF(COUNTIF(E$641:E915,1)=1,5,0)+IF(COUNTIF(F613:$Z613,"&gt;"&amp;0)&gt;5,IF(MOD(COUNTIF(E$641:E915,1),7)=0,$C$4,0),0)</f>
        <v>1313.82134856666</v>
      </c>
      <c r="F613" s="81" cm="1">
        <f ca="1" t="array" ref="F613">IF(F915=1,OFFSET($Z$338,$B613,F$335-1)/SUMPRODUCT(--($D$335:$V$335=F$335),--($D915:$V915=1)),0)+SUM(F612)+IF(COUNTIF(F$641:F915,1)=1,5,0)+IF(COUNTIF(G613:$Z613,"&gt;"&amp;0)&gt;5,IF(MOD(COUNTIF(F$641:F915,1),7)=0,$C$4,0),0)</f>
        <v>1313.82134856666</v>
      </c>
      <c r="G613" s="81" cm="1">
        <f ca="1" t="array" ref="G613">IF(G915=1,OFFSET($Z$338,$B613,G$335-1)/SUMPRODUCT(--($D$335:$V$335=G$335),--($D915:$V915=1)),0)+SUM(G612)+IF(COUNTIF(G$641:G915,1)=1,5,0)+IF(COUNTIF(H613:$Z613,"&gt;"&amp;0)&gt;5,IF(MOD(COUNTIF(G$641:G915,1),7)=0,$C$4,0),0)</f>
        <v>602.516666666668</v>
      </c>
      <c r="H613" s="81" cm="1">
        <f ca="1" t="array" ref="H613">IF(H915=1,OFFSET($Z$338,$B613,H$335-1)/SUMPRODUCT(--($D$335:$V$335=H$335),--($D915:$V915=1)),0)+SUM(H612)+IF(COUNTIF(H$641:H915,1)=1,5,0)+IF(COUNTIF(I613:$Z613,"&gt;"&amp;0)&gt;5,IF(MOD(COUNTIF(H$641:H915,1),7)=0,$C$4,0),0)</f>
        <v>602.516666666668</v>
      </c>
      <c r="I613" s="81" cm="1">
        <f ca="1" t="array" ref="I613">IF(I915=1,OFFSET($Z$338,$B613,I$335-1)/SUMPRODUCT(--($D$335:$V$335=I$335),--($D915:$V915=1)),0)+SUM(I612)+IF(COUNTIF(I$641:I915,1)=1,5,0)+IF(COUNTIF(J613:$Z613,"&gt;"&amp;0)&gt;5,IF(MOD(COUNTIF(I$641:I915,1),7)=0,$C$4,0),0)</f>
        <v>602.516666666668</v>
      </c>
      <c r="J613" s="81" cm="1">
        <f ca="1" t="array" ref="J613">IF(J915=1,OFFSET($Z$338,$B613,J$335-1)/SUMPRODUCT(--($D$335:$V$335=J$335),--($D915:$V915=1)),0)+SUM(J612)+IF(COUNTIF(J$641:J915,1)=1,5,0)+IF(COUNTIF(K613:$Z613,"&gt;"&amp;0)&gt;5,IF(MOD(COUNTIF(J$641:J915,1),7)=0,$C$4,0),0)</f>
        <v>602.516666666668</v>
      </c>
      <c r="K613" s="81" cm="1">
        <f ca="1" t="array" ref="K613">IF(K915=1,OFFSET($Z$338,$B613,K$335-1)/SUMPRODUCT(--($D$335:$V$335=K$335),--($D915:$V915=1)),0)+SUM(K612)+IF(COUNTIF(K$641:K915,1)=1,5,0)+IF(COUNTIF(L613:$Z613,"&gt;"&amp;0)&gt;5,IF(MOD(COUNTIF(K$641:K915,1),7)=0,$C$4,0),0)</f>
        <v>602.516666666668</v>
      </c>
      <c r="L613" s="81" cm="1">
        <f ca="1" t="array" ref="L613">IF(L915=1,OFFSET($Z$338,$B613,L$335-1)/SUMPRODUCT(--($D$335:$V$335=L$335),--($D915:$V915=1)),0)+SUM(L612)+IF(COUNTIF(L$641:L915,1)=1,5,0)+IF(COUNTIF(M613:$Z613,"&gt;"&amp;0)&gt;5,IF(MOD(COUNTIF(L$641:L915,1),7)=0,$C$4,0),0)</f>
        <v>595.816666666668</v>
      </c>
      <c r="M613" s="81" cm="1">
        <f ca="1" t="array" ref="M613">IF(M915=1,OFFSET($Z$338,$B613,M$335-1)/SUMPRODUCT(--($D$335:$V$335=M$335),--($D915:$V915=1)),0)+SUM(M612)+IF(COUNTIF(M$641:M915,1)=1,5,0)+IF(COUNTIF(N613:$Z613,"&gt;"&amp;0)&gt;5,IF(MOD(COUNTIF(M$641:M915,1),7)=0,$C$4,0),0)</f>
        <v>350.644107142858</v>
      </c>
      <c r="N613" s="81" cm="1">
        <f ca="1" t="array" ref="N613">IF(N915=1,OFFSET($Z$338,$B613,N$335-1)/SUMPRODUCT(--($D$335:$V$335=N$335),--($D915:$V915=1)),0)+SUM(N612)+IF(COUNTIF(N$641:N915,1)=1,5,0)+IF(COUNTIF(O613:$Z613,"&gt;"&amp;0)&gt;5,IF(MOD(COUNTIF(N$641:N915,1),7)=0,$C$4,0),0)</f>
        <v>342.919107142858</v>
      </c>
      <c r="O613" s="81" cm="1">
        <f ca="1" t="array" ref="O613">IF(O915=1,OFFSET($Z$338,$B613,O$335-1)/SUMPRODUCT(--($D$335:$V$335=O$335),--($D915:$V915=1)),0)+SUM(O612)+IF(COUNTIF(O$641:O915,1)=1,5,0)+IF(COUNTIF(P613:$Z613,"&gt;"&amp;0)&gt;5,IF(MOD(COUNTIF(O$641:O915,1),7)=0,$C$4,0),0)</f>
        <v>335.494107142858</v>
      </c>
      <c r="P613" s="81" cm="1">
        <f ca="1" t="array" ref="P613">IF(P915=1,OFFSET($Z$338,$B613,P$335-1)/SUMPRODUCT(--($D$335:$V$335=P$335),--($D915:$V915=1)),0)+SUM(P612)+IF(COUNTIF(P$641:P915,1)=1,5,0)+IF(COUNTIF(Q613:$Z613,"&gt;"&amp;0)&gt;5,IF(MOD(COUNTIF(P$641:P915,1),7)=0,$C$4,0),0)</f>
        <v>332.560773809524</v>
      </c>
      <c r="Q613" s="81" cm="1">
        <f ca="1" t="array" ref="Q613">IF(Q915=1,OFFSET($Z$338,$B613,Q$335-1)/SUMPRODUCT(--($D$335:$V$335=Q$335),--($D915:$V915=1)),0)+SUM(Q612)+IF(COUNTIF(Q$641:Q915,1)=1,5,0)+IF(COUNTIF(R613:$Z613,"&gt;"&amp;0)&gt;5,IF(MOD(COUNTIF(Q$641:Q915,1),7)=0,$C$4,0),0)</f>
        <v>331.654523809524</v>
      </c>
      <c r="R613" s="81" cm="1">
        <f ca="1" t="array" ref="R613">IF(R915=1,OFFSET($Z$338,$B613,R$335-1)/SUMPRODUCT(--($D$335:$V$335=R$335),--($D915:$V915=1)),0)+SUM(R612)+IF(COUNTIF(R$641:R915,1)=1,5,0)+IF(COUNTIF(S613:$Z613,"&gt;"&amp;0)&gt;5,IF(MOD(COUNTIF(R$641:R915,1),7)=0,$C$4,0),0)</f>
        <v>306.759523809524</v>
      </c>
      <c r="S613" s="81" cm="1">
        <f ca="1" t="array" ref="S613">IF(S915=1,OFFSET($Z$338,$B613,S$335-1)/SUMPRODUCT(--($D$335:$V$335=S$335),--($D915:$V915=1)),0)+SUM(S612)+IF(COUNTIF(S$641:S915,1)=1,5,0)+IF(COUNTIF(T613:$Z613,"&gt;"&amp;0)&gt;5,IF(MOD(COUNTIF(S$641:S915,1),7)=0,$C$4,0),0)</f>
        <v>297.592857142857</v>
      </c>
      <c r="T613" s="81" cm="1">
        <f ca="1" t="array" ref="T613">IF(T915=1,OFFSET($Z$338,$B613,T$335-1)/SUMPRODUCT(--($D$335:$V$335=T$335),--($D915:$V915=1)),0)+SUM(T612)+IF(COUNTIF(T$641:T915,1)=1,5,0)+IF(COUNTIF(U613:$Z613,"&gt;"&amp;0)&gt;5,IF(MOD(COUNTIF(T$641:T915,1),7)=0,$C$4,0),0)</f>
        <v>137.656257829764</v>
      </c>
      <c r="U613" s="81" cm="1">
        <f ca="1" t="array" ref="U613">IF(U915=1,OFFSET($Z$338,$B613,U$335-1)/SUMPRODUCT(--($D$335:$V$335=U$335),--($D915:$V915=1)),0)+SUM(U612)+IF(COUNTIF(U$641:U915,1)=1,5,0)+IF(COUNTIF(V613:$Z613,"&gt;"&amp;0)&gt;5,IF(MOD(COUNTIF(U$641:U915,1),7)=0,$C$4,0),0)</f>
        <v>97.6562578297643</v>
      </c>
      <c r="V613" s="81" cm="1">
        <f ca="1" t="array" ref="V613">IF(V915=1,OFFSET($Z$338,$B613,V$335-1)/SUMPRODUCT(--($D$335:$V$335=V$335),--($D915:$V915=1)),0)+SUM(V612)+IF(COUNTIF(V$641:V915,1)=1,5,0)+IF(COUNTIF(Z613:$Z613,"&gt;"&amp;0)&gt;5,IF(MOD(COUNTIF(V$641:V915,1),7)=0,$C$4,0),0)</f>
        <v>89.6984386404824</v>
      </c>
      <c r="W613" s="81" cm="1">
        <f ca="1" t="array" ref="W613">IF(W915=1,OFFSET($Z$338,$B613,W$335-1)/SUMPRODUCT(--($D$335:$V$335=W$335),--($D915:$V915=1)),0)+SUM(W612)+IF(COUNTIF(W$641:W915,1)=1,5,0)+IF(COUNTIF($Z613:AA613,"&gt;"&amp;0)&gt;5,IF(MOD(COUNTIF(W$641:W915,1),7)=0,$C$4,0),0)</f>
        <v>80.3425695255331</v>
      </c>
      <c r="X613" s="81" cm="1">
        <f ca="1" t="array" ref="X613">IF(X915=1,OFFSET($Z$338,$B613,X$335-1)/SUMPRODUCT(--($D$335:$V$335=X$335),--($D915:$V915=1)),0)+SUM(X612)+IF(COUNTIF(X$641:X915,1)=1,5,0)+IF(COUNTIF($Z613:AB613,"&gt;"&amp;0)&gt;5,IF(MOD(COUNTIF(X$641:X915,1),7)=0,$C$4,0),0)</f>
        <v>73.5789092348996</v>
      </c>
      <c r="Y613" s="81" cm="1">
        <f ca="1" t="array" ref="Y613">IF(Y915=1,OFFSET($Z$338,$B613,Y$335-1)/SUMPRODUCT(--($D$335:$V$335=Y$335),--($D915:$V915=1)),0)+SUM(Y612)+IF(COUNTIF(Y$641:Y915,1)=1,5,0)+IF(COUNTIF($Z613:AC613,"&gt;"&amp;0)&gt;5,IF(MOD(COUNTIF(Y$641:Y915,1),7)=0,$C$4,0),0)</f>
        <v>66.8152489442662</v>
      </c>
      <c r="Z613" s="82" cm="1">
        <f ca="1" t="array" ref="Z613">SUMPRODUCT(TRANSPOSE($AD613:$AJ613),OFFSET($L$10:$L$16,0,Z$335-1))</f>
        <v>0</v>
      </c>
      <c r="AA613" s="82" cm="1">
        <f ca="1" t="array" ref="AA613">SUMPRODUCT(TRANSPOSE($AD613:$AJ613),OFFSET($L$10:$L$16,0,AA$335-1))</f>
        <v>0</v>
      </c>
      <c r="AB613" s="82" cm="1">
        <f ca="1" t="array" ref="AB613">SUMPRODUCT(TRANSPOSE($AD613:$AJ613),OFFSET($L$10:$L$16,0,AB$335-1))</f>
        <v>0</v>
      </c>
      <c r="AC613" s="82" cm="1">
        <f ca="1" t="array" ref="AC613">SUMPRODUCT(TRANSPOSE($AD613:$AJ613),OFFSET($L$10:$L$16,0,AC$335-1))</f>
        <v>0</v>
      </c>
      <c r="AD613" s="83">
        <f ca="1" t="shared" ref="AD613:AJ613" si="877">AK613-AK612</f>
        <v>0</v>
      </c>
      <c r="AE613" s="83">
        <f ca="1" t="shared" si="877"/>
        <v>0</v>
      </c>
      <c r="AF613" s="83">
        <f ca="1" t="shared" si="877"/>
        <v>0</v>
      </c>
      <c r="AG613" s="83">
        <f ca="1" t="shared" si="877"/>
        <v>0</v>
      </c>
      <c r="AH613" s="83">
        <f ca="1" t="shared" si="877"/>
        <v>0</v>
      </c>
      <c r="AI613" s="83">
        <f ca="1" t="shared" si="877"/>
        <v>0</v>
      </c>
      <c r="AJ613" s="83">
        <f ca="1" t="shared" si="877"/>
        <v>0</v>
      </c>
      <c r="AK613" s="83">
        <f ca="1" t="shared" si="841"/>
        <v>450</v>
      </c>
      <c r="AL613" s="83">
        <f ca="1" t="shared" ref="AL613:AQ613" si="878">IF($C613&gt;OFFSET($Q$9,MATCH(AL$338,$AK$338:$AQ$338,0),0),OFFSET($P$9,MATCH(AL$338,$AK$338:$AQ$338,0),0),MAX(0,$C613-OFFSET($Q$9,RIGHT(AL$338,1)-1,0)))</f>
        <v>909</v>
      </c>
      <c r="AM613" s="83">
        <f ca="1" t="shared" si="878"/>
        <v>1818</v>
      </c>
      <c r="AN613" s="83">
        <f ca="1" t="shared" si="878"/>
        <v>2727</v>
      </c>
      <c r="AO613" s="83">
        <f ca="1" t="shared" si="878"/>
        <v>3636</v>
      </c>
      <c r="AP613" s="83">
        <f ca="1" t="shared" si="878"/>
        <v>4545</v>
      </c>
      <c r="AQ613" s="83">
        <f ca="1" t="shared" si="878"/>
        <v>0</v>
      </c>
    </row>
    <row r="614" ht="16.5" spans="2:43">
      <c r="B614" s="65">
        <v>276</v>
      </c>
      <c r="C614" s="80">
        <f t="shared" si="839"/>
        <v>31686</v>
      </c>
      <c r="D614" s="81" cm="1">
        <f ca="1" t="array" ref="D614">IF(D916=1,OFFSET($Z$338,$B614,D$335-1)/SUMPRODUCT(--($D$335:$V$335=D$335),--($D916:$V916=1)),0)+SUM(D613)+IF(COUNTIF(D$641:D916,1)=1,5,0)+IF(COUNTIF(E614:$Z614,"&gt;"&amp;0)&gt;5,IF(MOD(COUNTIF(D$641:D916,1),7)=0,$C$4,0),0)</f>
        <v>1313.82134856666</v>
      </c>
      <c r="E614" s="81" cm="1">
        <f ca="1" t="array" ref="E614">IF(E916=1,OFFSET($Z$338,$B614,E$335-1)/SUMPRODUCT(--($D$335:$V$335=E$335),--($D916:$V916=1)),0)+SUM(E613)+IF(COUNTIF(E$641:E916,1)=1,5,0)+IF(COUNTIF(F614:$Z614,"&gt;"&amp;0)&gt;5,IF(MOD(COUNTIF(E$641:E916,1),7)=0,$C$4,0),0)</f>
        <v>1313.82134856666</v>
      </c>
      <c r="F614" s="81" cm="1">
        <f ca="1" t="array" ref="F614">IF(F916=1,OFFSET($Z$338,$B614,F$335-1)/SUMPRODUCT(--($D$335:$V$335=F$335),--($D916:$V916=1)),0)+SUM(F613)+IF(COUNTIF(F$641:F916,1)=1,5,0)+IF(COUNTIF(G614:$Z614,"&gt;"&amp;0)&gt;5,IF(MOD(COUNTIF(F$641:F916,1),7)=0,$C$4,0),0)</f>
        <v>1313.82134856666</v>
      </c>
      <c r="G614" s="81" cm="1">
        <f ca="1" t="array" ref="G614">IF(G916=1,OFFSET($Z$338,$B614,G$335-1)/SUMPRODUCT(--($D$335:$V$335=G$335),--($D916:$V916=1)),0)+SUM(G613)+IF(COUNTIF(G$641:G916,1)=1,5,0)+IF(COUNTIF(H614:$Z614,"&gt;"&amp;0)&gt;5,IF(MOD(COUNTIF(G$641:G916,1),7)=0,$C$4,0),0)</f>
        <v>602.516666666668</v>
      </c>
      <c r="H614" s="81" cm="1">
        <f ca="1" t="array" ref="H614">IF(H916=1,OFFSET($Z$338,$B614,H$335-1)/SUMPRODUCT(--($D$335:$V$335=H$335),--($D916:$V916=1)),0)+SUM(H613)+IF(COUNTIF(H$641:H916,1)=1,5,0)+IF(COUNTIF(I614:$Z614,"&gt;"&amp;0)&gt;5,IF(MOD(COUNTIF(H$641:H916,1),7)=0,$C$4,0),0)</f>
        <v>602.516666666668</v>
      </c>
      <c r="I614" s="81" cm="1">
        <f ca="1" t="array" ref="I614">IF(I916=1,OFFSET($Z$338,$B614,I$335-1)/SUMPRODUCT(--($D$335:$V$335=I$335),--($D916:$V916=1)),0)+SUM(I613)+IF(COUNTIF(I$641:I916,1)=1,5,0)+IF(COUNTIF(J614:$Z614,"&gt;"&amp;0)&gt;5,IF(MOD(COUNTIF(I$641:I916,1),7)=0,$C$4,0),0)</f>
        <v>602.516666666668</v>
      </c>
      <c r="J614" s="81" cm="1">
        <f ca="1" t="array" ref="J614">IF(J916=1,OFFSET($Z$338,$B614,J$335-1)/SUMPRODUCT(--($D$335:$V$335=J$335),--($D916:$V916=1)),0)+SUM(J613)+IF(COUNTIF(J$641:J916,1)=1,5,0)+IF(COUNTIF(K614:$Z614,"&gt;"&amp;0)&gt;5,IF(MOD(COUNTIF(J$641:J916,1),7)=0,$C$4,0),0)</f>
        <v>602.516666666668</v>
      </c>
      <c r="K614" s="81" cm="1">
        <f ca="1" t="array" ref="K614">IF(K916=1,OFFSET($Z$338,$B614,K$335-1)/SUMPRODUCT(--($D$335:$V$335=K$335),--($D916:$V916=1)),0)+SUM(K613)+IF(COUNTIF(K$641:K916,1)=1,5,0)+IF(COUNTIF(L614:$Z614,"&gt;"&amp;0)&gt;5,IF(MOD(COUNTIF(K$641:K916,1),7)=0,$C$4,0),0)</f>
        <v>602.516666666668</v>
      </c>
      <c r="L614" s="81" cm="1">
        <f ca="1" t="array" ref="L614">IF(L916=1,OFFSET($Z$338,$B614,L$335-1)/SUMPRODUCT(--($D$335:$V$335=L$335),--($D916:$V916=1)),0)+SUM(L613)+IF(COUNTIF(L$641:L916,1)=1,5,0)+IF(COUNTIF(M614:$Z614,"&gt;"&amp;0)&gt;5,IF(MOD(COUNTIF(L$641:L916,1),7)=0,$C$4,0),0)</f>
        <v>595.816666666668</v>
      </c>
      <c r="M614" s="81" cm="1">
        <f ca="1" t="array" ref="M614">IF(M916=1,OFFSET($Z$338,$B614,M$335-1)/SUMPRODUCT(--($D$335:$V$335=M$335),--($D916:$V916=1)),0)+SUM(M613)+IF(COUNTIF(M$641:M916,1)=1,5,0)+IF(COUNTIF(N614:$Z614,"&gt;"&amp;0)&gt;5,IF(MOD(COUNTIF(M$641:M916,1),7)=0,$C$4,0),0)</f>
        <v>350.644107142858</v>
      </c>
      <c r="N614" s="81" cm="1">
        <f ca="1" t="array" ref="N614">IF(N916=1,OFFSET($Z$338,$B614,N$335-1)/SUMPRODUCT(--($D$335:$V$335=N$335),--($D916:$V916=1)),0)+SUM(N613)+IF(COUNTIF(N$641:N916,1)=1,5,0)+IF(COUNTIF(O614:$Z614,"&gt;"&amp;0)&gt;5,IF(MOD(COUNTIF(N$641:N916,1),7)=0,$C$4,0),0)</f>
        <v>342.919107142858</v>
      </c>
      <c r="O614" s="81" cm="1">
        <f ca="1" t="array" ref="O614">IF(O916=1,OFFSET($Z$338,$B614,O$335-1)/SUMPRODUCT(--($D$335:$V$335=O$335),--($D916:$V916=1)),0)+SUM(O613)+IF(COUNTIF(O$641:O916,1)=1,5,0)+IF(COUNTIF(P614:$Z614,"&gt;"&amp;0)&gt;5,IF(MOD(COUNTIF(O$641:O916,1),7)=0,$C$4,0),0)</f>
        <v>340.494107142858</v>
      </c>
      <c r="P614" s="81" cm="1">
        <f ca="1" t="array" ref="P614">IF(P916=1,OFFSET($Z$338,$B614,P$335-1)/SUMPRODUCT(--($D$335:$V$335=P$335),--($D916:$V916=1)),0)+SUM(P613)+IF(COUNTIF(P$641:P916,1)=1,5,0)+IF(COUNTIF(Q614:$Z614,"&gt;"&amp;0)&gt;5,IF(MOD(COUNTIF(P$641:P916,1),7)=0,$C$4,0),0)</f>
        <v>332.560773809524</v>
      </c>
      <c r="Q614" s="81" cm="1">
        <f ca="1" t="array" ref="Q614">IF(Q916=1,OFFSET($Z$338,$B614,Q$335-1)/SUMPRODUCT(--($D$335:$V$335=Q$335),--($D916:$V916=1)),0)+SUM(Q613)+IF(COUNTIF(Q$641:Q916,1)=1,5,0)+IF(COUNTIF(R614:$Z614,"&gt;"&amp;0)&gt;5,IF(MOD(COUNTIF(Q$641:Q916,1),7)=0,$C$4,0),0)</f>
        <v>331.654523809524</v>
      </c>
      <c r="R614" s="81" cm="1">
        <f ca="1" t="array" ref="R614">IF(R916=1,OFFSET($Z$338,$B614,R$335-1)/SUMPRODUCT(--($D$335:$V$335=R$335),--($D916:$V916=1)),0)+SUM(R613)+IF(COUNTIF(R$641:R916,1)=1,5,0)+IF(COUNTIF(S614:$Z614,"&gt;"&amp;0)&gt;5,IF(MOD(COUNTIF(R$641:R916,1),7)=0,$C$4,0),0)</f>
        <v>306.759523809524</v>
      </c>
      <c r="S614" s="81" cm="1">
        <f ca="1" t="array" ref="S614">IF(S916=1,OFFSET($Z$338,$B614,S$335-1)/SUMPRODUCT(--($D$335:$V$335=S$335),--($D916:$V916=1)),0)+SUM(S613)+IF(COUNTIF(S$641:S916,1)=1,5,0)+IF(COUNTIF(T614:$Z614,"&gt;"&amp;0)&gt;5,IF(MOD(COUNTIF(S$641:S916,1),7)=0,$C$4,0),0)</f>
        <v>297.592857142857</v>
      </c>
      <c r="T614" s="81" cm="1">
        <f ca="1" t="array" ref="T614">IF(T916=1,OFFSET($Z$338,$B614,T$335-1)/SUMPRODUCT(--($D$335:$V$335=T$335),--($D916:$V916=1)),0)+SUM(T613)+IF(COUNTIF(T$641:T916,1)=1,5,0)+IF(COUNTIF(U614:$Z614,"&gt;"&amp;0)&gt;5,IF(MOD(COUNTIF(T$641:T916,1),7)=0,$C$4,0),0)</f>
        <v>137.656257829764</v>
      </c>
      <c r="U614" s="81" cm="1">
        <f ca="1" t="array" ref="U614">IF(U916=1,OFFSET($Z$338,$B614,U$335-1)/SUMPRODUCT(--($D$335:$V$335=U$335),--($D916:$V916=1)),0)+SUM(U613)+IF(COUNTIF(U$641:U916,1)=1,5,0)+IF(COUNTIF(V614:$Z614,"&gt;"&amp;0)&gt;5,IF(MOD(COUNTIF(U$641:U916,1),7)=0,$C$4,0),0)</f>
        <v>97.6562578297643</v>
      </c>
      <c r="V614" s="81" cm="1">
        <f ca="1" t="array" ref="V614">IF(V916=1,OFFSET($Z$338,$B614,V$335-1)/SUMPRODUCT(--($D$335:$V$335=V$335),--($D916:$V916=1)),0)+SUM(V613)+IF(COUNTIF(V$641:V916,1)=1,5,0)+IF(COUNTIF(Z614:$Z614,"&gt;"&amp;0)&gt;5,IF(MOD(COUNTIF(V$641:V916,1),7)=0,$C$4,0),0)</f>
        <v>89.6984386404824</v>
      </c>
      <c r="W614" s="81" cm="1">
        <f ca="1" t="array" ref="W614">IF(W916=1,OFFSET($Z$338,$B614,W$335-1)/SUMPRODUCT(--($D$335:$V$335=W$335),--($D916:$V916=1)),0)+SUM(W613)+IF(COUNTIF(W$641:W916,1)=1,5,0)+IF(COUNTIF($Z614:AA614,"&gt;"&amp;0)&gt;5,IF(MOD(COUNTIF(W$641:W916,1),7)=0,$C$4,0),0)</f>
        <v>80.3425695255331</v>
      </c>
      <c r="X614" s="81" cm="1">
        <f ca="1" t="array" ref="X614">IF(X916=1,OFFSET($Z$338,$B614,X$335-1)/SUMPRODUCT(--($D$335:$V$335=X$335),--($D916:$V916=1)),0)+SUM(X613)+IF(COUNTIF(X$641:X916,1)=1,5,0)+IF(COUNTIF($Z614:AB614,"&gt;"&amp;0)&gt;5,IF(MOD(COUNTIF(X$641:X916,1),7)=0,$C$4,0),0)</f>
        <v>73.5789092348996</v>
      </c>
      <c r="Y614" s="81" cm="1">
        <f ca="1" t="array" ref="Y614">IF(Y916=1,OFFSET($Z$338,$B614,Y$335-1)/SUMPRODUCT(--($D$335:$V$335=Y$335),--($D916:$V916=1)),0)+SUM(Y613)+IF(COUNTIF(Y$641:Y916,1)=1,5,0)+IF(COUNTIF($Z614:AC614,"&gt;"&amp;0)&gt;5,IF(MOD(COUNTIF(Y$641:Y916,1),7)=0,$C$4,0),0)</f>
        <v>66.8152489442662</v>
      </c>
      <c r="Z614" s="82" cm="1">
        <f ca="1" t="array" ref="Z614">SUMPRODUCT(TRANSPOSE($AD614:$AJ614),OFFSET($L$10:$L$16,0,Z$335-1))</f>
        <v>0</v>
      </c>
      <c r="AA614" s="82" cm="1">
        <f ca="1" t="array" ref="AA614">SUMPRODUCT(TRANSPOSE($AD614:$AJ614),OFFSET($L$10:$L$16,0,AA$335-1))</f>
        <v>0</v>
      </c>
      <c r="AB614" s="82" cm="1">
        <f ca="1" t="array" ref="AB614">SUMPRODUCT(TRANSPOSE($AD614:$AJ614),OFFSET($L$10:$L$16,0,AB$335-1))</f>
        <v>0</v>
      </c>
      <c r="AC614" s="82" cm="1">
        <f ca="1" t="array" ref="AC614">SUMPRODUCT(TRANSPOSE($AD614:$AJ614),OFFSET($L$10:$L$16,0,AC$335-1))</f>
        <v>0</v>
      </c>
      <c r="AD614" s="83">
        <f ca="1" t="shared" ref="AD614:AJ614" si="879">AK614-AK613</f>
        <v>0</v>
      </c>
      <c r="AE614" s="83">
        <f ca="1" t="shared" si="879"/>
        <v>0</v>
      </c>
      <c r="AF614" s="83">
        <f ca="1" t="shared" si="879"/>
        <v>0</v>
      </c>
      <c r="AG614" s="83">
        <f ca="1" t="shared" si="879"/>
        <v>0</v>
      </c>
      <c r="AH614" s="83">
        <f ca="1" t="shared" si="879"/>
        <v>0</v>
      </c>
      <c r="AI614" s="83">
        <f ca="1" t="shared" si="879"/>
        <v>0</v>
      </c>
      <c r="AJ614" s="83">
        <f ca="1" t="shared" si="879"/>
        <v>0</v>
      </c>
      <c r="AK614" s="83">
        <f ca="1" t="shared" si="841"/>
        <v>450</v>
      </c>
      <c r="AL614" s="83">
        <f ca="1" t="shared" ref="AL614:AQ614" si="880">IF($C614&gt;OFFSET($Q$9,MATCH(AL$338,$AK$338:$AQ$338,0),0),OFFSET($P$9,MATCH(AL$338,$AK$338:$AQ$338,0),0),MAX(0,$C614-OFFSET($Q$9,RIGHT(AL$338,1)-1,0)))</f>
        <v>909</v>
      </c>
      <c r="AM614" s="83">
        <f ca="1" t="shared" si="880"/>
        <v>1818</v>
      </c>
      <c r="AN614" s="83">
        <f ca="1" t="shared" si="880"/>
        <v>2727</v>
      </c>
      <c r="AO614" s="83">
        <f ca="1" t="shared" si="880"/>
        <v>3636</v>
      </c>
      <c r="AP614" s="83">
        <f ca="1" t="shared" si="880"/>
        <v>4545</v>
      </c>
      <c r="AQ614" s="83">
        <f ca="1" t="shared" si="880"/>
        <v>0</v>
      </c>
    </row>
    <row r="615" ht="16.5" spans="2:43">
      <c r="B615" s="65">
        <v>277</v>
      </c>
      <c r="C615" s="80">
        <f t="shared" si="839"/>
        <v>31796</v>
      </c>
      <c r="D615" s="81" cm="1">
        <f ca="1" t="array" ref="D615">IF(D917=1,OFFSET($Z$338,$B615,D$335-1)/SUMPRODUCT(--($D$335:$V$335=D$335),--($D917:$V917=1)),0)+SUM(D614)+IF(COUNTIF(D$641:D917,1)=1,5,0)+IF(COUNTIF(E615:$Z615,"&gt;"&amp;0)&gt;5,IF(MOD(COUNTIF(D$641:D917,1),7)=0,$C$4,0),0)</f>
        <v>1313.82134856666</v>
      </c>
      <c r="E615" s="81" cm="1">
        <f ca="1" t="array" ref="E615">IF(E917=1,OFFSET($Z$338,$B615,E$335-1)/SUMPRODUCT(--($D$335:$V$335=E$335),--($D917:$V917=1)),0)+SUM(E614)+IF(COUNTIF(E$641:E917,1)=1,5,0)+IF(COUNTIF(F615:$Z615,"&gt;"&amp;0)&gt;5,IF(MOD(COUNTIF(E$641:E917,1),7)=0,$C$4,0),0)</f>
        <v>1313.82134856666</v>
      </c>
      <c r="F615" s="81" cm="1">
        <f ca="1" t="array" ref="F615">IF(F917=1,OFFSET($Z$338,$B615,F$335-1)/SUMPRODUCT(--($D$335:$V$335=F$335),--($D917:$V917=1)),0)+SUM(F614)+IF(COUNTIF(F$641:F917,1)=1,5,0)+IF(COUNTIF(G615:$Z615,"&gt;"&amp;0)&gt;5,IF(MOD(COUNTIF(F$641:F917,1),7)=0,$C$4,0),0)</f>
        <v>1313.82134856666</v>
      </c>
      <c r="G615" s="81" cm="1">
        <f ca="1" t="array" ref="G615">IF(G917=1,OFFSET($Z$338,$B615,G$335-1)/SUMPRODUCT(--($D$335:$V$335=G$335),--($D917:$V917=1)),0)+SUM(G614)+IF(COUNTIF(G$641:G917,1)=1,5,0)+IF(COUNTIF(H615:$Z615,"&gt;"&amp;0)&gt;5,IF(MOD(COUNTIF(G$641:G917,1),7)=0,$C$4,0),0)</f>
        <v>602.516666666668</v>
      </c>
      <c r="H615" s="81" cm="1">
        <f ca="1" t="array" ref="H615">IF(H917=1,OFFSET($Z$338,$B615,H$335-1)/SUMPRODUCT(--($D$335:$V$335=H$335),--($D917:$V917=1)),0)+SUM(H614)+IF(COUNTIF(H$641:H917,1)=1,5,0)+IF(COUNTIF(I615:$Z615,"&gt;"&amp;0)&gt;5,IF(MOD(COUNTIF(H$641:H917,1),7)=0,$C$4,0),0)</f>
        <v>602.516666666668</v>
      </c>
      <c r="I615" s="81" cm="1">
        <f ca="1" t="array" ref="I615">IF(I917=1,OFFSET($Z$338,$B615,I$335-1)/SUMPRODUCT(--($D$335:$V$335=I$335),--($D917:$V917=1)),0)+SUM(I614)+IF(COUNTIF(I$641:I917,1)=1,5,0)+IF(COUNTIF(J615:$Z615,"&gt;"&amp;0)&gt;5,IF(MOD(COUNTIF(I$641:I917,1),7)=0,$C$4,0),0)</f>
        <v>602.516666666668</v>
      </c>
      <c r="J615" s="81" cm="1">
        <f ca="1" t="array" ref="J615">IF(J917=1,OFFSET($Z$338,$B615,J$335-1)/SUMPRODUCT(--($D$335:$V$335=J$335),--($D917:$V917=1)),0)+SUM(J614)+IF(COUNTIF(J$641:J917,1)=1,5,0)+IF(COUNTIF(K615:$Z615,"&gt;"&amp;0)&gt;5,IF(MOD(COUNTIF(J$641:J917,1),7)=0,$C$4,0),0)</f>
        <v>602.516666666668</v>
      </c>
      <c r="K615" s="81" cm="1">
        <f ca="1" t="array" ref="K615">IF(K917=1,OFFSET($Z$338,$B615,K$335-1)/SUMPRODUCT(--($D$335:$V$335=K$335),--($D917:$V917=1)),0)+SUM(K614)+IF(COUNTIF(K$641:K917,1)=1,5,0)+IF(COUNTIF(L615:$Z615,"&gt;"&amp;0)&gt;5,IF(MOD(COUNTIF(K$641:K917,1),7)=0,$C$4,0),0)</f>
        <v>602.516666666668</v>
      </c>
      <c r="L615" s="81" cm="1">
        <f ca="1" t="array" ref="L615">IF(L917=1,OFFSET($Z$338,$B615,L$335-1)/SUMPRODUCT(--($D$335:$V$335=L$335),--($D917:$V917=1)),0)+SUM(L614)+IF(COUNTIF(L$641:L917,1)=1,5,0)+IF(COUNTIF(M615:$Z615,"&gt;"&amp;0)&gt;5,IF(MOD(COUNTIF(L$641:L917,1),7)=0,$C$4,0),0)</f>
        <v>595.816666666668</v>
      </c>
      <c r="M615" s="81" cm="1">
        <f ca="1" t="array" ref="M615">IF(M917=1,OFFSET($Z$338,$B615,M$335-1)/SUMPRODUCT(--($D$335:$V$335=M$335),--($D917:$V917=1)),0)+SUM(M614)+IF(COUNTIF(M$641:M917,1)=1,5,0)+IF(COUNTIF(N615:$Z615,"&gt;"&amp;0)&gt;5,IF(MOD(COUNTIF(M$641:M917,1),7)=0,$C$4,0),0)</f>
        <v>350.644107142858</v>
      </c>
      <c r="N615" s="81" cm="1">
        <f ca="1" t="array" ref="N615">IF(N917=1,OFFSET($Z$338,$B615,N$335-1)/SUMPRODUCT(--($D$335:$V$335=N$335),--($D917:$V917=1)),0)+SUM(N614)+IF(COUNTIF(N$641:N917,1)=1,5,0)+IF(COUNTIF(O615:$Z615,"&gt;"&amp;0)&gt;5,IF(MOD(COUNTIF(N$641:N917,1),7)=0,$C$4,0),0)</f>
        <v>342.919107142858</v>
      </c>
      <c r="O615" s="81" cm="1">
        <f ca="1" t="array" ref="O615">IF(O917=1,OFFSET($Z$338,$B615,O$335-1)/SUMPRODUCT(--($D$335:$V$335=O$335),--($D917:$V917=1)),0)+SUM(O614)+IF(COUNTIF(O$641:O917,1)=1,5,0)+IF(COUNTIF(P615:$Z615,"&gt;"&amp;0)&gt;5,IF(MOD(COUNTIF(O$641:O917,1),7)=0,$C$4,0),0)</f>
        <v>340.494107142858</v>
      </c>
      <c r="P615" s="81" cm="1">
        <f ca="1" t="array" ref="P615">IF(P917=1,OFFSET($Z$338,$B615,P$335-1)/SUMPRODUCT(--($D$335:$V$335=P$335),--($D917:$V917=1)),0)+SUM(P614)+IF(COUNTIF(P$641:P917,1)=1,5,0)+IF(COUNTIF(Q615:$Z615,"&gt;"&amp;0)&gt;5,IF(MOD(COUNTIF(P$641:P917,1),7)=0,$C$4,0),0)</f>
        <v>332.560773809524</v>
      </c>
      <c r="Q615" s="81" cm="1">
        <f ca="1" t="array" ref="Q615">IF(Q917=1,OFFSET($Z$338,$B615,Q$335-1)/SUMPRODUCT(--($D$335:$V$335=Q$335),--($D917:$V917=1)),0)+SUM(Q614)+IF(COUNTIF(Q$641:Q917,1)=1,5,0)+IF(COUNTIF(R615:$Z615,"&gt;"&amp;0)&gt;5,IF(MOD(COUNTIF(Q$641:Q917,1),7)=0,$C$4,0),0)</f>
        <v>331.654523809524</v>
      </c>
      <c r="R615" s="81" cm="1">
        <f ca="1" t="array" ref="R615">IF(R917=1,OFFSET($Z$338,$B615,R$335-1)/SUMPRODUCT(--($D$335:$V$335=R$335),--($D917:$V917=1)),0)+SUM(R614)+IF(COUNTIF(R$641:R917,1)=1,5,0)+IF(COUNTIF(S615:$Z615,"&gt;"&amp;0)&gt;5,IF(MOD(COUNTIF(R$641:R917,1),7)=0,$C$4,0),0)</f>
        <v>306.759523809524</v>
      </c>
      <c r="S615" s="81" cm="1">
        <f ca="1" t="array" ref="S615">IF(S917=1,OFFSET($Z$338,$B615,S$335-1)/SUMPRODUCT(--($D$335:$V$335=S$335),--($D917:$V917=1)),0)+SUM(S614)+IF(COUNTIF(S$641:S917,1)=1,5,0)+IF(COUNTIF(T615:$Z615,"&gt;"&amp;0)&gt;5,IF(MOD(COUNTIF(S$641:S917,1),7)=0,$C$4,0),0)</f>
        <v>297.592857142857</v>
      </c>
      <c r="T615" s="81" cm="1">
        <f ca="1" t="array" ref="T615">IF(T917=1,OFFSET($Z$338,$B615,T$335-1)/SUMPRODUCT(--($D$335:$V$335=T$335),--($D917:$V917=1)),0)+SUM(T614)+IF(COUNTIF(T$641:T917,1)=1,5,0)+IF(COUNTIF(U615:$Z615,"&gt;"&amp;0)&gt;5,IF(MOD(COUNTIF(T$641:T917,1),7)=0,$C$4,0),0)</f>
        <v>137.656257829764</v>
      </c>
      <c r="U615" s="81" cm="1">
        <f ca="1" t="array" ref="U615">IF(U917=1,OFFSET($Z$338,$B615,U$335-1)/SUMPRODUCT(--($D$335:$V$335=U$335),--($D917:$V917=1)),0)+SUM(U614)+IF(COUNTIF(U$641:U917,1)=1,5,0)+IF(COUNTIF(V615:$Z615,"&gt;"&amp;0)&gt;5,IF(MOD(COUNTIF(U$641:U917,1),7)=0,$C$4,0),0)</f>
        <v>97.6562578297643</v>
      </c>
      <c r="V615" s="81" cm="1">
        <f ca="1" t="array" ref="V615">IF(V917=1,OFFSET($Z$338,$B615,V$335-1)/SUMPRODUCT(--($D$335:$V$335=V$335),--($D917:$V917=1)),0)+SUM(V614)+IF(COUNTIF(V$641:V917,1)=1,5,0)+IF(COUNTIF(Z615:$Z615,"&gt;"&amp;0)&gt;5,IF(MOD(COUNTIF(V$641:V917,1),7)=0,$C$4,0),0)</f>
        <v>89.6984386404824</v>
      </c>
      <c r="W615" s="81" cm="1">
        <f ca="1" t="array" ref="W615">IF(W917=1,OFFSET($Z$338,$B615,W$335-1)/SUMPRODUCT(--($D$335:$V$335=W$335),--($D917:$V917=1)),0)+SUM(W614)+IF(COUNTIF(W$641:W917,1)=1,5,0)+IF(COUNTIF($Z615:AA615,"&gt;"&amp;0)&gt;5,IF(MOD(COUNTIF(W$641:W917,1),7)=0,$C$4,0),0)</f>
        <v>80.3425695255331</v>
      </c>
      <c r="X615" s="81" cm="1">
        <f ca="1" t="array" ref="X615">IF(X917=1,OFFSET($Z$338,$B615,X$335-1)/SUMPRODUCT(--($D$335:$V$335=X$335),--($D917:$V917=1)),0)+SUM(X614)+IF(COUNTIF(X$641:X917,1)=1,5,0)+IF(COUNTIF($Z615:AB615,"&gt;"&amp;0)&gt;5,IF(MOD(COUNTIF(X$641:X917,1),7)=0,$C$4,0),0)</f>
        <v>73.5789092348996</v>
      </c>
      <c r="Y615" s="81" cm="1">
        <f ca="1" t="array" ref="Y615">IF(Y917=1,OFFSET($Z$338,$B615,Y$335-1)/SUMPRODUCT(--($D$335:$V$335=Y$335),--($D917:$V917=1)),0)+SUM(Y614)+IF(COUNTIF(Y$641:Y917,1)=1,5,0)+IF(COUNTIF($Z615:AC615,"&gt;"&amp;0)&gt;5,IF(MOD(COUNTIF(Y$641:Y917,1),7)=0,$C$4,0),0)</f>
        <v>66.8152489442662</v>
      </c>
      <c r="Z615" s="82" cm="1">
        <f ca="1" t="array" ref="Z615">SUMPRODUCT(TRANSPOSE($AD615:$AJ615),OFFSET($L$10:$L$16,0,Z$335-1))</f>
        <v>0</v>
      </c>
      <c r="AA615" s="82" cm="1">
        <f ca="1" t="array" ref="AA615">SUMPRODUCT(TRANSPOSE($AD615:$AJ615),OFFSET($L$10:$L$16,0,AA$335-1))</f>
        <v>0</v>
      </c>
      <c r="AB615" s="82" cm="1">
        <f ca="1" t="array" ref="AB615">SUMPRODUCT(TRANSPOSE($AD615:$AJ615),OFFSET($L$10:$L$16,0,AB$335-1))</f>
        <v>0</v>
      </c>
      <c r="AC615" s="82" cm="1">
        <f ca="1" t="array" ref="AC615">SUMPRODUCT(TRANSPOSE($AD615:$AJ615),OFFSET($L$10:$L$16,0,AC$335-1))</f>
        <v>0</v>
      </c>
      <c r="AD615" s="83">
        <f ca="1" t="shared" ref="AD615:AJ615" si="881">AK615-AK614</f>
        <v>0</v>
      </c>
      <c r="AE615" s="83">
        <f ca="1" t="shared" si="881"/>
        <v>0</v>
      </c>
      <c r="AF615" s="83">
        <f ca="1" t="shared" si="881"/>
        <v>0</v>
      </c>
      <c r="AG615" s="83">
        <f ca="1" t="shared" si="881"/>
        <v>0</v>
      </c>
      <c r="AH615" s="83">
        <f ca="1" t="shared" si="881"/>
        <v>0</v>
      </c>
      <c r="AI615" s="83">
        <f ca="1" t="shared" si="881"/>
        <v>0</v>
      </c>
      <c r="AJ615" s="83">
        <f ca="1" t="shared" si="881"/>
        <v>0</v>
      </c>
      <c r="AK615" s="83">
        <f ca="1" t="shared" si="841"/>
        <v>450</v>
      </c>
      <c r="AL615" s="83">
        <f ca="1" t="shared" ref="AL615:AQ615" si="882">IF($C615&gt;OFFSET($Q$9,MATCH(AL$338,$AK$338:$AQ$338,0),0),OFFSET($P$9,MATCH(AL$338,$AK$338:$AQ$338,0),0),MAX(0,$C615-OFFSET($Q$9,RIGHT(AL$338,1)-1,0)))</f>
        <v>909</v>
      </c>
      <c r="AM615" s="83">
        <f ca="1" t="shared" si="882"/>
        <v>1818</v>
      </c>
      <c r="AN615" s="83">
        <f ca="1" t="shared" si="882"/>
        <v>2727</v>
      </c>
      <c r="AO615" s="83">
        <f ca="1" t="shared" si="882"/>
        <v>3636</v>
      </c>
      <c r="AP615" s="83">
        <f ca="1" t="shared" si="882"/>
        <v>4545</v>
      </c>
      <c r="AQ615" s="83">
        <f ca="1" t="shared" si="882"/>
        <v>0</v>
      </c>
    </row>
    <row r="616" ht="16.5" spans="2:43">
      <c r="B616" s="65">
        <v>278</v>
      </c>
      <c r="C616" s="80">
        <f t="shared" si="839"/>
        <v>31906</v>
      </c>
      <c r="D616" s="81" cm="1">
        <f ca="1" t="array" ref="D616">IF(D918=1,OFFSET($Z$338,$B616,D$335-1)/SUMPRODUCT(--($D$335:$V$335=D$335),--($D918:$V918=1)),0)+SUM(D615)+IF(COUNTIF(D$641:D918,1)=1,5,0)+IF(COUNTIF(E616:$Z616,"&gt;"&amp;0)&gt;5,IF(MOD(COUNTIF(D$641:D918,1),7)=0,$C$4,0),0)</f>
        <v>1313.82134856666</v>
      </c>
      <c r="E616" s="81" cm="1">
        <f ca="1" t="array" ref="E616">IF(E918=1,OFFSET($Z$338,$B616,E$335-1)/SUMPRODUCT(--($D$335:$V$335=E$335),--($D918:$V918=1)),0)+SUM(E615)+IF(COUNTIF(E$641:E918,1)=1,5,0)+IF(COUNTIF(F616:$Z616,"&gt;"&amp;0)&gt;5,IF(MOD(COUNTIF(E$641:E918,1),7)=0,$C$4,0),0)</f>
        <v>1313.82134856666</v>
      </c>
      <c r="F616" s="81" cm="1">
        <f ca="1" t="array" ref="F616">IF(F918=1,OFFSET($Z$338,$B616,F$335-1)/SUMPRODUCT(--($D$335:$V$335=F$335),--($D918:$V918=1)),0)+SUM(F615)+IF(COUNTIF(F$641:F918,1)=1,5,0)+IF(COUNTIF(G616:$Z616,"&gt;"&amp;0)&gt;5,IF(MOD(COUNTIF(F$641:F918,1),7)=0,$C$4,0),0)</f>
        <v>1313.82134856666</v>
      </c>
      <c r="G616" s="81" cm="1">
        <f ca="1" t="array" ref="G616">IF(G918=1,OFFSET($Z$338,$B616,G$335-1)/SUMPRODUCT(--($D$335:$V$335=G$335),--($D918:$V918=1)),0)+SUM(G615)+IF(COUNTIF(G$641:G918,1)=1,5,0)+IF(COUNTIF(H616:$Z616,"&gt;"&amp;0)&gt;5,IF(MOD(COUNTIF(G$641:G918,1),7)=0,$C$4,0),0)</f>
        <v>602.516666666668</v>
      </c>
      <c r="H616" s="81" cm="1">
        <f ca="1" t="array" ref="H616">IF(H918=1,OFFSET($Z$338,$B616,H$335-1)/SUMPRODUCT(--($D$335:$V$335=H$335),--($D918:$V918=1)),0)+SUM(H615)+IF(COUNTIF(H$641:H918,1)=1,5,0)+IF(COUNTIF(I616:$Z616,"&gt;"&amp;0)&gt;5,IF(MOD(COUNTIF(H$641:H918,1),7)=0,$C$4,0),0)</f>
        <v>602.516666666668</v>
      </c>
      <c r="I616" s="81" cm="1">
        <f ca="1" t="array" ref="I616">IF(I918=1,OFFSET($Z$338,$B616,I$335-1)/SUMPRODUCT(--($D$335:$V$335=I$335),--($D918:$V918=1)),0)+SUM(I615)+IF(COUNTIF(I$641:I918,1)=1,5,0)+IF(COUNTIF(J616:$Z616,"&gt;"&amp;0)&gt;5,IF(MOD(COUNTIF(I$641:I918,1),7)=0,$C$4,0),0)</f>
        <v>602.516666666668</v>
      </c>
      <c r="J616" s="81" cm="1">
        <f ca="1" t="array" ref="J616">IF(J918=1,OFFSET($Z$338,$B616,J$335-1)/SUMPRODUCT(--($D$335:$V$335=J$335),--($D918:$V918=1)),0)+SUM(J615)+IF(COUNTIF(J$641:J918,1)=1,5,0)+IF(COUNTIF(K616:$Z616,"&gt;"&amp;0)&gt;5,IF(MOD(COUNTIF(J$641:J918,1),7)=0,$C$4,0),0)</f>
        <v>602.516666666668</v>
      </c>
      <c r="K616" s="81" cm="1">
        <f ca="1" t="array" ref="K616">IF(K918=1,OFFSET($Z$338,$B616,K$335-1)/SUMPRODUCT(--($D$335:$V$335=K$335),--($D918:$V918=1)),0)+SUM(K615)+IF(COUNTIF(K$641:K918,1)=1,5,0)+IF(COUNTIF(L616:$Z616,"&gt;"&amp;0)&gt;5,IF(MOD(COUNTIF(K$641:K918,1),7)=0,$C$4,0),0)</f>
        <v>602.516666666668</v>
      </c>
      <c r="L616" s="81" cm="1">
        <f ca="1" t="array" ref="L616">IF(L918=1,OFFSET($Z$338,$B616,L$335-1)/SUMPRODUCT(--($D$335:$V$335=L$335),--($D918:$V918=1)),0)+SUM(L615)+IF(COUNTIF(L$641:L918,1)=1,5,0)+IF(COUNTIF(M616:$Z616,"&gt;"&amp;0)&gt;5,IF(MOD(COUNTIF(L$641:L918,1),7)=0,$C$4,0),0)</f>
        <v>595.816666666668</v>
      </c>
      <c r="M616" s="81" cm="1">
        <f ca="1" t="array" ref="M616">IF(M918=1,OFFSET($Z$338,$B616,M$335-1)/SUMPRODUCT(--($D$335:$V$335=M$335),--($D918:$V918=1)),0)+SUM(M615)+IF(COUNTIF(M$641:M918,1)=1,5,0)+IF(COUNTIF(N616:$Z616,"&gt;"&amp;0)&gt;5,IF(MOD(COUNTIF(M$641:M918,1),7)=0,$C$4,0),0)</f>
        <v>350.644107142858</v>
      </c>
      <c r="N616" s="81" cm="1">
        <f ca="1" t="array" ref="N616">IF(N918=1,OFFSET($Z$338,$B616,N$335-1)/SUMPRODUCT(--($D$335:$V$335=N$335),--($D918:$V918=1)),0)+SUM(N615)+IF(COUNTIF(N$641:N918,1)=1,5,0)+IF(COUNTIF(O616:$Z616,"&gt;"&amp;0)&gt;5,IF(MOD(COUNTIF(N$641:N918,1),7)=0,$C$4,0),0)</f>
        <v>342.919107142858</v>
      </c>
      <c r="O616" s="81" cm="1">
        <f ca="1" t="array" ref="O616">IF(O918=1,OFFSET($Z$338,$B616,O$335-1)/SUMPRODUCT(--($D$335:$V$335=O$335),--($D918:$V918=1)),0)+SUM(O615)+IF(COUNTIF(O$641:O918,1)=1,5,0)+IF(COUNTIF(P616:$Z616,"&gt;"&amp;0)&gt;5,IF(MOD(COUNTIF(O$641:O918,1),7)=0,$C$4,0),0)</f>
        <v>340.494107142858</v>
      </c>
      <c r="P616" s="81" cm="1">
        <f ca="1" t="array" ref="P616">IF(P918=1,OFFSET($Z$338,$B616,P$335-1)/SUMPRODUCT(--($D$335:$V$335=P$335),--($D918:$V918=1)),0)+SUM(P615)+IF(COUNTIF(P$641:P918,1)=1,5,0)+IF(COUNTIF(Q616:$Z616,"&gt;"&amp;0)&gt;5,IF(MOD(COUNTIF(P$641:P918,1),7)=0,$C$4,0),0)</f>
        <v>337.560773809524</v>
      </c>
      <c r="Q616" s="81" cm="1">
        <f ca="1" t="array" ref="Q616">IF(Q918=1,OFFSET($Z$338,$B616,Q$335-1)/SUMPRODUCT(--($D$335:$V$335=Q$335),--($D918:$V918=1)),0)+SUM(Q615)+IF(COUNTIF(Q$641:Q918,1)=1,5,0)+IF(COUNTIF(R616:$Z616,"&gt;"&amp;0)&gt;5,IF(MOD(COUNTIF(Q$641:Q918,1),7)=0,$C$4,0),0)</f>
        <v>331.654523809524</v>
      </c>
      <c r="R616" s="81" cm="1">
        <f ca="1" t="array" ref="R616">IF(R918=1,OFFSET($Z$338,$B616,R$335-1)/SUMPRODUCT(--($D$335:$V$335=R$335),--($D918:$V918=1)),0)+SUM(R615)+IF(COUNTIF(R$641:R918,1)=1,5,0)+IF(COUNTIF(S616:$Z616,"&gt;"&amp;0)&gt;5,IF(MOD(COUNTIF(R$641:R918,1),7)=0,$C$4,0),0)</f>
        <v>306.759523809524</v>
      </c>
      <c r="S616" s="81" cm="1">
        <f ca="1" t="array" ref="S616">IF(S918=1,OFFSET($Z$338,$B616,S$335-1)/SUMPRODUCT(--($D$335:$V$335=S$335),--($D918:$V918=1)),0)+SUM(S615)+IF(COUNTIF(S$641:S918,1)=1,5,0)+IF(COUNTIF(T616:$Z616,"&gt;"&amp;0)&gt;5,IF(MOD(COUNTIF(S$641:S918,1),7)=0,$C$4,0),0)</f>
        <v>302.592857142857</v>
      </c>
      <c r="T616" s="81" cm="1">
        <f ca="1" t="array" ref="T616">IF(T918=1,OFFSET($Z$338,$B616,T$335-1)/SUMPRODUCT(--($D$335:$V$335=T$335),--($D918:$V918=1)),0)+SUM(T615)+IF(COUNTIF(T$641:T918,1)=1,5,0)+IF(COUNTIF(U616:$Z616,"&gt;"&amp;0)&gt;5,IF(MOD(COUNTIF(T$641:T918,1),7)=0,$C$4,0),0)</f>
        <v>137.656257829764</v>
      </c>
      <c r="U616" s="81" cm="1">
        <f ca="1" t="array" ref="U616">IF(U918=1,OFFSET($Z$338,$B616,U$335-1)/SUMPRODUCT(--($D$335:$V$335=U$335),--($D918:$V918=1)),0)+SUM(U615)+IF(COUNTIF(U$641:U918,1)=1,5,0)+IF(COUNTIF(V616:$Z616,"&gt;"&amp;0)&gt;5,IF(MOD(COUNTIF(U$641:U918,1),7)=0,$C$4,0),0)</f>
        <v>97.6562578297643</v>
      </c>
      <c r="V616" s="81" cm="1">
        <f ca="1" t="array" ref="V616">IF(V918=1,OFFSET($Z$338,$B616,V$335-1)/SUMPRODUCT(--($D$335:$V$335=V$335),--($D918:$V918=1)),0)+SUM(V615)+IF(COUNTIF(V$641:V918,1)=1,5,0)+IF(COUNTIF(Z616:$Z616,"&gt;"&amp;0)&gt;5,IF(MOD(COUNTIF(V$641:V918,1),7)=0,$C$4,0),0)</f>
        <v>89.6984386404824</v>
      </c>
      <c r="W616" s="81" cm="1">
        <f ca="1" t="array" ref="W616">IF(W918=1,OFFSET($Z$338,$B616,W$335-1)/SUMPRODUCT(--($D$335:$V$335=W$335),--($D918:$V918=1)),0)+SUM(W615)+IF(COUNTIF(W$641:W918,1)=1,5,0)+IF(COUNTIF($Z616:AA616,"&gt;"&amp;0)&gt;5,IF(MOD(COUNTIF(W$641:W918,1),7)=0,$C$4,0),0)</f>
        <v>80.3425695255331</v>
      </c>
      <c r="X616" s="81" cm="1">
        <f ca="1" t="array" ref="X616">IF(X918=1,OFFSET($Z$338,$B616,X$335-1)/SUMPRODUCT(--($D$335:$V$335=X$335),--($D918:$V918=1)),0)+SUM(X615)+IF(COUNTIF(X$641:X918,1)=1,5,0)+IF(COUNTIF($Z616:AB616,"&gt;"&amp;0)&gt;5,IF(MOD(COUNTIF(X$641:X918,1),7)=0,$C$4,0),0)</f>
        <v>73.5789092348996</v>
      </c>
      <c r="Y616" s="81" cm="1">
        <f ca="1" t="array" ref="Y616">IF(Y918=1,OFFSET($Z$338,$B616,Y$335-1)/SUMPRODUCT(--($D$335:$V$335=Y$335),--($D918:$V918=1)),0)+SUM(Y615)+IF(COUNTIF(Y$641:Y918,1)=1,5,0)+IF(COUNTIF($Z616:AC616,"&gt;"&amp;0)&gt;5,IF(MOD(COUNTIF(Y$641:Y918,1),7)=0,$C$4,0),0)</f>
        <v>66.8152489442662</v>
      </c>
      <c r="Z616" s="82" cm="1">
        <f ca="1" t="array" ref="Z616">SUMPRODUCT(TRANSPOSE($AD616:$AJ616),OFFSET($L$10:$L$16,0,Z$335-1))</f>
        <v>0</v>
      </c>
      <c r="AA616" s="82" cm="1">
        <f ca="1" t="array" ref="AA616">SUMPRODUCT(TRANSPOSE($AD616:$AJ616),OFFSET($L$10:$L$16,0,AA$335-1))</f>
        <v>0</v>
      </c>
      <c r="AB616" s="82" cm="1">
        <f ca="1" t="array" ref="AB616">SUMPRODUCT(TRANSPOSE($AD616:$AJ616),OFFSET($L$10:$L$16,0,AB$335-1))</f>
        <v>0</v>
      </c>
      <c r="AC616" s="82" cm="1">
        <f ca="1" t="array" ref="AC616">SUMPRODUCT(TRANSPOSE($AD616:$AJ616),OFFSET($L$10:$L$16,0,AC$335-1))</f>
        <v>0</v>
      </c>
      <c r="AD616" s="83">
        <f ca="1" t="shared" ref="AD616:AJ616" si="883">AK616-AK615</f>
        <v>0</v>
      </c>
      <c r="AE616" s="83">
        <f ca="1" t="shared" si="883"/>
        <v>0</v>
      </c>
      <c r="AF616" s="83">
        <f ca="1" t="shared" si="883"/>
        <v>0</v>
      </c>
      <c r="AG616" s="83">
        <f ca="1" t="shared" si="883"/>
        <v>0</v>
      </c>
      <c r="AH616" s="83">
        <f ca="1" t="shared" si="883"/>
        <v>0</v>
      </c>
      <c r="AI616" s="83">
        <f ca="1" t="shared" si="883"/>
        <v>0</v>
      </c>
      <c r="AJ616" s="83">
        <f ca="1" t="shared" si="883"/>
        <v>0</v>
      </c>
      <c r="AK616" s="83">
        <f ca="1" t="shared" si="841"/>
        <v>450</v>
      </c>
      <c r="AL616" s="83">
        <f ca="1" t="shared" ref="AL616:AQ616" si="884">IF($C616&gt;OFFSET($Q$9,MATCH(AL$338,$AK$338:$AQ$338,0),0),OFFSET($P$9,MATCH(AL$338,$AK$338:$AQ$338,0),0),MAX(0,$C616-OFFSET($Q$9,RIGHT(AL$338,1)-1,0)))</f>
        <v>909</v>
      </c>
      <c r="AM616" s="83">
        <f ca="1" t="shared" si="884"/>
        <v>1818</v>
      </c>
      <c r="AN616" s="83">
        <f ca="1" t="shared" si="884"/>
        <v>2727</v>
      </c>
      <c r="AO616" s="83">
        <f ca="1" t="shared" si="884"/>
        <v>3636</v>
      </c>
      <c r="AP616" s="83">
        <f ca="1" t="shared" si="884"/>
        <v>4545</v>
      </c>
      <c r="AQ616" s="83">
        <f ca="1" t="shared" si="884"/>
        <v>0</v>
      </c>
    </row>
    <row r="617" ht="16.5" spans="2:43">
      <c r="B617" s="65">
        <v>279</v>
      </c>
      <c r="C617" s="80">
        <f t="shared" si="839"/>
        <v>32016</v>
      </c>
      <c r="D617" s="81" cm="1">
        <f ca="1" t="array" ref="D617">IF(D919=1,OFFSET($Z$338,$B617,D$335-1)/SUMPRODUCT(--($D$335:$V$335=D$335),--($D919:$V919=1)),0)+SUM(D616)+IF(COUNTIF(D$641:D919,1)=1,5,0)+IF(COUNTIF(E617:$Z617,"&gt;"&amp;0)&gt;5,IF(MOD(COUNTIF(D$641:D919,1),7)=0,$C$4,0),0)</f>
        <v>1313.82134856666</v>
      </c>
      <c r="E617" s="81" cm="1">
        <f ca="1" t="array" ref="E617">IF(E919=1,OFFSET($Z$338,$B617,E$335-1)/SUMPRODUCT(--($D$335:$V$335=E$335),--($D919:$V919=1)),0)+SUM(E616)+IF(COUNTIF(E$641:E919,1)=1,5,0)+IF(COUNTIF(F617:$Z617,"&gt;"&amp;0)&gt;5,IF(MOD(COUNTIF(E$641:E919,1),7)=0,$C$4,0),0)</f>
        <v>1313.82134856666</v>
      </c>
      <c r="F617" s="81" cm="1">
        <f ca="1" t="array" ref="F617">IF(F919=1,OFFSET($Z$338,$B617,F$335-1)/SUMPRODUCT(--($D$335:$V$335=F$335),--($D919:$V919=1)),0)+SUM(F616)+IF(COUNTIF(F$641:F919,1)=1,5,0)+IF(COUNTIF(G617:$Z617,"&gt;"&amp;0)&gt;5,IF(MOD(COUNTIF(F$641:F919,1),7)=0,$C$4,0),0)</f>
        <v>1313.82134856666</v>
      </c>
      <c r="G617" s="81" cm="1">
        <f ca="1" t="array" ref="G617">IF(G919=1,OFFSET($Z$338,$B617,G$335-1)/SUMPRODUCT(--($D$335:$V$335=G$335),--($D919:$V919=1)),0)+SUM(G616)+IF(COUNTIF(G$641:G919,1)=1,5,0)+IF(COUNTIF(H617:$Z617,"&gt;"&amp;0)&gt;5,IF(MOD(COUNTIF(G$641:G919,1),7)=0,$C$4,0),0)</f>
        <v>602.516666666668</v>
      </c>
      <c r="H617" s="81" cm="1">
        <f ca="1" t="array" ref="H617">IF(H919=1,OFFSET($Z$338,$B617,H$335-1)/SUMPRODUCT(--($D$335:$V$335=H$335),--($D919:$V919=1)),0)+SUM(H616)+IF(COUNTIF(H$641:H919,1)=1,5,0)+IF(COUNTIF(I617:$Z617,"&gt;"&amp;0)&gt;5,IF(MOD(COUNTIF(H$641:H919,1),7)=0,$C$4,0),0)</f>
        <v>602.516666666668</v>
      </c>
      <c r="I617" s="81" cm="1">
        <f ca="1" t="array" ref="I617">IF(I919=1,OFFSET($Z$338,$B617,I$335-1)/SUMPRODUCT(--($D$335:$V$335=I$335),--($D919:$V919=1)),0)+SUM(I616)+IF(COUNTIF(I$641:I919,1)=1,5,0)+IF(COUNTIF(J617:$Z617,"&gt;"&amp;0)&gt;5,IF(MOD(COUNTIF(I$641:I919,1),7)=0,$C$4,0),0)</f>
        <v>602.516666666668</v>
      </c>
      <c r="J617" s="81" cm="1">
        <f ca="1" t="array" ref="J617">IF(J919=1,OFFSET($Z$338,$B617,J$335-1)/SUMPRODUCT(--($D$335:$V$335=J$335),--($D919:$V919=1)),0)+SUM(J616)+IF(COUNTIF(J$641:J919,1)=1,5,0)+IF(COUNTIF(K617:$Z617,"&gt;"&amp;0)&gt;5,IF(MOD(COUNTIF(J$641:J919,1),7)=0,$C$4,0),0)</f>
        <v>602.516666666668</v>
      </c>
      <c r="K617" s="81" cm="1">
        <f ca="1" t="array" ref="K617">IF(K919=1,OFFSET($Z$338,$B617,K$335-1)/SUMPRODUCT(--($D$335:$V$335=K$335),--($D919:$V919=1)),0)+SUM(K616)+IF(COUNTIF(K$641:K919,1)=1,5,0)+IF(COUNTIF(L617:$Z617,"&gt;"&amp;0)&gt;5,IF(MOD(COUNTIF(K$641:K919,1),7)=0,$C$4,0),0)</f>
        <v>602.516666666668</v>
      </c>
      <c r="L617" s="81" cm="1">
        <f ca="1" t="array" ref="L617">IF(L919=1,OFFSET($Z$338,$B617,L$335-1)/SUMPRODUCT(--($D$335:$V$335=L$335),--($D919:$V919=1)),0)+SUM(L616)+IF(COUNTIF(L$641:L919,1)=1,5,0)+IF(COUNTIF(M617:$Z617,"&gt;"&amp;0)&gt;5,IF(MOD(COUNTIF(L$641:L919,1),7)=0,$C$4,0),0)</f>
        <v>595.816666666668</v>
      </c>
      <c r="M617" s="81" cm="1">
        <f ca="1" t="array" ref="M617">IF(M919=1,OFFSET($Z$338,$B617,M$335-1)/SUMPRODUCT(--($D$335:$V$335=M$335),--($D919:$V919=1)),0)+SUM(M616)+IF(COUNTIF(M$641:M919,1)=1,5,0)+IF(COUNTIF(N617:$Z617,"&gt;"&amp;0)&gt;5,IF(MOD(COUNTIF(M$641:M919,1),7)=0,$C$4,0),0)</f>
        <v>350.644107142858</v>
      </c>
      <c r="N617" s="81" cm="1">
        <f ca="1" t="array" ref="N617">IF(N919=1,OFFSET($Z$338,$B617,N$335-1)/SUMPRODUCT(--($D$335:$V$335=N$335),--($D919:$V919=1)),0)+SUM(N616)+IF(COUNTIF(N$641:N919,1)=1,5,0)+IF(COUNTIF(O617:$Z617,"&gt;"&amp;0)&gt;5,IF(MOD(COUNTIF(N$641:N919,1),7)=0,$C$4,0),0)</f>
        <v>342.919107142858</v>
      </c>
      <c r="O617" s="81" cm="1">
        <f ca="1" t="array" ref="O617">IF(O919=1,OFFSET($Z$338,$B617,O$335-1)/SUMPRODUCT(--($D$335:$V$335=O$335),--($D919:$V919=1)),0)+SUM(O616)+IF(COUNTIF(O$641:O919,1)=1,5,0)+IF(COUNTIF(P617:$Z617,"&gt;"&amp;0)&gt;5,IF(MOD(COUNTIF(O$641:O919,1),7)=0,$C$4,0),0)</f>
        <v>340.494107142858</v>
      </c>
      <c r="P617" s="81" cm="1">
        <f ca="1" t="array" ref="P617">IF(P919=1,OFFSET($Z$338,$B617,P$335-1)/SUMPRODUCT(--($D$335:$V$335=P$335),--($D919:$V919=1)),0)+SUM(P616)+IF(COUNTIF(P$641:P919,1)=1,5,0)+IF(COUNTIF(Q617:$Z617,"&gt;"&amp;0)&gt;5,IF(MOD(COUNTIF(P$641:P919,1),7)=0,$C$4,0),0)</f>
        <v>337.560773809524</v>
      </c>
      <c r="Q617" s="81" cm="1">
        <f ca="1" t="array" ref="Q617">IF(Q919=1,OFFSET($Z$338,$B617,Q$335-1)/SUMPRODUCT(--($D$335:$V$335=Q$335),--($D919:$V919=1)),0)+SUM(Q616)+IF(COUNTIF(Q$641:Q919,1)=1,5,0)+IF(COUNTIF(R617:$Z617,"&gt;"&amp;0)&gt;5,IF(MOD(COUNTIF(Q$641:Q919,1),7)=0,$C$4,0),0)</f>
        <v>336.654523809524</v>
      </c>
      <c r="R617" s="81" cm="1">
        <f ca="1" t="array" ref="R617">IF(R919=1,OFFSET($Z$338,$B617,R$335-1)/SUMPRODUCT(--($D$335:$V$335=R$335),--($D919:$V919=1)),0)+SUM(R616)+IF(COUNTIF(R$641:R919,1)=1,5,0)+IF(COUNTIF(S617:$Z617,"&gt;"&amp;0)&gt;5,IF(MOD(COUNTIF(R$641:R919,1),7)=0,$C$4,0),0)</f>
        <v>306.759523809524</v>
      </c>
      <c r="S617" s="81" cm="1">
        <f ca="1" t="array" ref="S617">IF(S919=1,OFFSET($Z$338,$B617,S$335-1)/SUMPRODUCT(--($D$335:$V$335=S$335),--($D919:$V919=1)),0)+SUM(S616)+IF(COUNTIF(S$641:S919,1)=1,5,0)+IF(COUNTIF(T617:$Z617,"&gt;"&amp;0)&gt;5,IF(MOD(COUNTIF(S$641:S919,1),7)=0,$C$4,0),0)</f>
        <v>302.592857142857</v>
      </c>
      <c r="T617" s="81" cm="1">
        <f ca="1" t="array" ref="T617">IF(T919=1,OFFSET($Z$338,$B617,T$335-1)/SUMPRODUCT(--($D$335:$V$335=T$335),--($D919:$V919=1)),0)+SUM(T616)+IF(COUNTIF(T$641:T919,1)=1,5,0)+IF(COUNTIF(U617:$Z617,"&gt;"&amp;0)&gt;5,IF(MOD(COUNTIF(T$641:T919,1),7)=0,$C$4,0),0)</f>
        <v>137.656257829764</v>
      </c>
      <c r="U617" s="81" cm="1">
        <f ca="1" t="array" ref="U617">IF(U919=1,OFFSET($Z$338,$B617,U$335-1)/SUMPRODUCT(--($D$335:$V$335=U$335),--($D919:$V919=1)),0)+SUM(U616)+IF(COUNTIF(U$641:U919,1)=1,5,0)+IF(COUNTIF(V617:$Z617,"&gt;"&amp;0)&gt;5,IF(MOD(COUNTIF(U$641:U919,1),7)=0,$C$4,0),0)</f>
        <v>97.6562578297643</v>
      </c>
      <c r="V617" s="81" cm="1">
        <f ca="1" t="array" ref="V617">IF(V919=1,OFFSET($Z$338,$B617,V$335-1)/SUMPRODUCT(--($D$335:$V$335=V$335),--($D919:$V919=1)),0)+SUM(V616)+IF(COUNTIF(V$641:V919,1)=1,5,0)+IF(COUNTIF(Z617:$Z617,"&gt;"&amp;0)&gt;5,IF(MOD(COUNTIF(V$641:V919,1),7)=0,$C$4,0),0)</f>
        <v>89.6984386404824</v>
      </c>
      <c r="W617" s="81" cm="1">
        <f ca="1" t="array" ref="W617">IF(W919=1,OFFSET($Z$338,$B617,W$335-1)/SUMPRODUCT(--($D$335:$V$335=W$335),--($D919:$V919=1)),0)+SUM(W616)+IF(COUNTIF(W$641:W919,1)=1,5,0)+IF(COUNTIF($Z617:AA617,"&gt;"&amp;0)&gt;5,IF(MOD(COUNTIF(W$641:W919,1),7)=0,$C$4,0),0)</f>
        <v>80.3425695255331</v>
      </c>
      <c r="X617" s="81" cm="1">
        <f ca="1" t="array" ref="X617">IF(X919=1,OFFSET($Z$338,$B617,X$335-1)/SUMPRODUCT(--($D$335:$V$335=X$335),--($D919:$V919=1)),0)+SUM(X616)+IF(COUNTIF(X$641:X919,1)=1,5,0)+IF(COUNTIF($Z617:AB617,"&gt;"&amp;0)&gt;5,IF(MOD(COUNTIF(X$641:X919,1),7)=0,$C$4,0),0)</f>
        <v>73.5789092348996</v>
      </c>
      <c r="Y617" s="81" cm="1">
        <f ca="1" t="array" ref="Y617">IF(Y919=1,OFFSET($Z$338,$B617,Y$335-1)/SUMPRODUCT(--($D$335:$V$335=Y$335),--($D919:$V919=1)),0)+SUM(Y616)+IF(COUNTIF(Y$641:Y919,1)=1,5,0)+IF(COUNTIF($Z617:AC617,"&gt;"&amp;0)&gt;5,IF(MOD(COUNTIF(Y$641:Y919,1),7)=0,$C$4,0),0)</f>
        <v>66.8152489442662</v>
      </c>
      <c r="Z617" s="82" cm="1">
        <f ca="1" t="array" ref="Z617">SUMPRODUCT(TRANSPOSE($AD617:$AJ617),OFFSET($L$10:$L$16,0,Z$335-1))</f>
        <v>0</v>
      </c>
      <c r="AA617" s="82" cm="1">
        <f ca="1" t="array" ref="AA617">SUMPRODUCT(TRANSPOSE($AD617:$AJ617),OFFSET($L$10:$L$16,0,AA$335-1))</f>
        <v>0</v>
      </c>
      <c r="AB617" s="82" cm="1">
        <f ca="1" t="array" ref="AB617">SUMPRODUCT(TRANSPOSE($AD617:$AJ617),OFFSET($L$10:$L$16,0,AB$335-1))</f>
        <v>0</v>
      </c>
      <c r="AC617" s="82" cm="1">
        <f ca="1" t="array" ref="AC617">SUMPRODUCT(TRANSPOSE($AD617:$AJ617),OFFSET($L$10:$L$16,0,AC$335-1))</f>
        <v>0</v>
      </c>
      <c r="AD617" s="83">
        <f ca="1" t="shared" ref="AD617:AJ617" si="885">AK617-AK616</f>
        <v>0</v>
      </c>
      <c r="AE617" s="83">
        <f ca="1" t="shared" si="885"/>
        <v>0</v>
      </c>
      <c r="AF617" s="83">
        <f ca="1" t="shared" si="885"/>
        <v>0</v>
      </c>
      <c r="AG617" s="83">
        <f ca="1" t="shared" si="885"/>
        <v>0</v>
      </c>
      <c r="AH617" s="83">
        <f ca="1" t="shared" si="885"/>
        <v>0</v>
      </c>
      <c r="AI617" s="83">
        <f ca="1" t="shared" si="885"/>
        <v>0</v>
      </c>
      <c r="AJ617" s="83">
        <f ca="1" t="shared" si="885"/>
        <v>0</v>
      </c>
      <c r="AK617" s="83">
        <f ca="1" t="shared" si="841"/>
        <v>450</v>
      </c>
      <c r="AL617" s="83">
        <f ca="1" t="shared" ref="AL617:AQ617" si="886">IF($C617&gt;OFFSET($Q$9,MATCH(AL$338,$AK$338:$AQ$338,0),0),OFFSET($P$9,MATCH(AL$338,$AK$338:$AQ$338,0),0),MAX(0,$C617-OFFSET($Q$9,RIGHT(AL$338,1)-1,0)))</f>
        <v>909</v>
      </c>
      <c r="AM617" s="83">
        <f ca="1" t="shared" si="886"/>
        <v>1818</v>
      </c>
      <c r="AN617" s="83">
        <f ca="1" t="shared" si="886"/>
        <v>2727</v>
      </c>
      <c r="AO617" s="83">
        <f ca="1" t="shared" si="886"/>
        <v>3636</v>
      </c>
      <c r="AP617" s="83">
        <f ca="1" t="shared" si="886"/>
        <v>4545</v>
      </c>
      <c r="AQ617" s="83">
        <f ca="1" t="shared" si="886"/>
        <v>0</v>
      </c>
    </row>
    <row r="618" ht="16.5" spans="2:43">
      <c r="B618" s="65">
        <v>280</v>
      </c>
      <c r="C618" s="80">
        <f t="shared" si="839"/>
        <v>32126</v>
      </c>
      <c r="D618" s="81" cm="1">
        <f ca="1" t="array" ref="D618">IF(D920=1,OFFSET($Z$338,$B618,D$335-1)/SUMPRODUCT(--($D$335:$V$335=D$335),--($D920:$V920=1)),0)+SUM(D617)+IF(COUNTIF(D$641:D920,1)=1,5,0)+IF(COUNTIF(E618:$Z618,"&gt;"&amp;0)&gt;5,IF(MOD(COUNTIF(D$641:D920,1),7)=0,$C$4,0),0)</f>
        <v>1318.82134856666</v>
      </c>
      <c r="E618" s="81" cm="1">
        <f ca="1" t="array" ref="E618">IF(E920=1,OFFSET($Z$338,$B618,E$335-1)/SUMPRODUCT(--($D$335:$V$335=E$335),--($D920:$V920=1)),0)+SUM(E617)+IF(COUNTIF(E$641:E920,1)=1,5,0)+IF(COUNTIF(F618:$Z618,"&gt;"&amp;0)&gt;5,IF(MOD(COUNTIF(E$641:E920,1),7)=0,$C$4,0),0)</f>
        <v>1318.82134856666</v>
      </c>
      <c r="F618" s="81" cm="1">
        <f ca="1" t="array" ref="F618">IF(F920=1,OFFSET($Z$338,$B618,F$335-1)/SUMPRODUCT(--($D$335:$V$335=F$335),--($D920:$V920=1)),0)+SUM(F617)+IF(COUNTIF(F$641:F920,1)=1,5,0)+IF(COUNTIF(G618:$Z618,"&gt;"&amp;0)&gt;5,IF(MOD(COUNTIF(F$641:F920,1),7)=0,$C$4,0),0)</f>
        <v>1318.82134856666</v>
      </c>
      <c r="G618" s="81" cm="1">
        <f ca="1" t="array" ref="G618">IF(G920=1,OFFSET($Z$338,$B618,G$335-1)/SUMPRODUCT(--($D$335:$V$335=G$335),--($D920:$V920=1)),0)+SUM(G617)+IF(COUNTIF(G$641:G920,1)=1,5,0)+IF(COUNTIF(H618:$Z618,"&gt;"&amp;0)&gt;5,IF(MOD(COUNTIF(G$641:G920,1),7)=0,$C$4,0),0)</f>
        <v>607.516666666668</v>
      </c>
      <c r="H618" s="81" cm="1">
        <f ca="1" t="array" ref="H618">IF(H920=1,OFFSET($Z$338,$B618,H$335-1)/SUMPRODUCT(--($D$335:$V$335=H$335),--($D920:$V920=1)),0)+SUM(H617)+IF(COUNTIF(H$641:H920,1)=1,5,0)+IF(COUNTIF(I618:$Z618,"&gt;"&amp;0)&gt;5,IF(MOD(COUNTIF(H$641:H920,1),7)=0,$C$4,0),0)</f>
        <v>607.516666666668</v>
      </c>
      <c r="I618" s="81" cm="1">
        <f ca="1" t="array" ref="I618">IF(I920=1,OFFSET($Z$338,$B618,I$335-1)/SUMPRODUCT(--($D$335:$V$335=I$335),--($D920:$V920=1)),0)+SUM(I617)+IF(COUNTIF(I$641:I920,1)=1,5,0)+IF(COUNTIF(J618:$Z618,"&gt;"&amp;0)&gt;5,IF(MOD(COUNTIF(I$641:I920,1),7)=0,$C$4,0),0)</f>
        <v>607.516666666668</v>
      </c>
      <c r="J618" s="81" cm="1">
        <f ca="1" t="array" ref="J618">IF(J920=1,OFFSET($Z$338,$B618,J$335-1)/SUMPRODUCT(--($D$335:$V$335=J$335),--($D920:$V920=1)),0)+SUM(J617)+IF(COUNTIF(J$641:J920,1)=1,5,0)+IF(COUNTIF(K618:$Z618,"&gt;"&amp;0)&gt;5,IF(MOD(COUNTIF(J$641:J920,1),7)=0,$C$4,0),0)</f>
        <v>607.516666666668</v>
      </c>
      <c r="K618" s="81" cm="1">
        <f ca="1" t="array" ref="K618">IF(K920=1,OFFSET($Z$338,$B618,K$335-1)/SUMPRODUCT(--($D$335:$V$335=K$335),--($D920:$V920=1)),0)+SUM(K617)+IF(COUNTIF(K$641:K920,1)=1,5,0)+IF(COUNTIF(L618:$Z618,"&gt;"&amp;0)&gt;5,IF(MOD(COUNTIF(K$641:K920,1),7)=0,$C$4,0),0)</f>
        <v>607.516666666668</v>
      </c>
      <c r="L618" s="81" cm="1">
        <f ca="1" t="array" ref="L618">IF(L920=1,OFFSET($Z$338,$B618,L$335-1)/SUMPRODUCT(--($D$335:$V$335=L$335),--($D920:$V920=1)),0)+SUM(L617)+IF(COUNTIF(L$641:L920,1)=1,5,0)+IF(COUNTIF(M618:$Z618,"&gt;"&amp;0)&gt;5,IF(MOD(COUNTIF(L$641:L920,1),7)=0,$C$4,0),0)</f>
        <v>595.816666666668</v>
      </c>
      <c r="M618" s="81" cm="1">
        <f ca="1" t="array" ref="M618">IF(M920=1,OFFSET($Z$338,$B618,M$335-1)/SUMPRODUCT(--($D$335:$V$335=M$335),--($D920:$V920=1)),0)+SUM(M617)+IF(COUNTIF(M$641:M920,1)=1,5,0)+IF(COUNTIF(N618:$Z618,"&gt;"&amp;0)&gt;5,IF(MOD(COUNTIF(M$641:M920,1),7)=0,$C$4,0),0)</f>
        <v>350.644107142858</v>
      </c>
      <c r="N618" s="81" cm="1">
        <f ca="1" t="array" ref="N618">IF(N920=1,OFFSET($Z$338,$B618,N$335-1)/SUMPRODUCT(--($D$335:$V$335=N$335),--($D920:$V920=1)),0)+SUM(N617)+IF(COUNTIF(N$641:N920,1)=1,5,0)+IF(COUNTIF(O618:$Z618,"&gt;"&amp;0)&gt;5,IF(MOD(COUNTIF(N$641:N920,1),7)=0,$C$4,0),0)</f>
        <v>342.919107142858</v>
      </c>
      <c r="O618" s="81" cm="1">
        <f ca="1" t="array" ref="O618">IF(O920=1,OFFSET($Z$338,$B618,O$335-1)/SUMPRODUCT(--($D$335:$V$335=O$335),--($D920:$V920=1)),0)+SUM(O617)+IF(COUNTIF(O$641:O920,1)=1,5,0)+IF(COUNTIF(P618:$Z618,"&gt;"&amp;0)&gt;5,IF(MOD(COUNTIF(O$641:O920,1),7)=0,$C$4,0),0)</f>
        <v>340.494107142858</v>
      </c>
      <c r="P618" s="81" cm="1">
        <f ca="1" t="array" ref="P618">IF(P920=1,OFFSET($Z$338,$B618,P$335-1)/SUMPRODUCT(--($D$335:$V$335=P$335),--($D920:$V920=1)),0)+SUM(P617)+IF(COUNTIF(P$641:P920,1)=1,5,0)+IF(COUNTIF(Q618:$Z618,"&gt;"&amp;0)&gt;5,IF(MOD(COUNTIF(P$641:P920,1),7)=0,$C$4,0),0)</f>
        <v>337.560773809524</v>
      </c>
      <c r="Q618" s="81" cm="1">
        <f ca="1" t="array" ref="Q618">IF(Q920=1,OFFSET($Z$338,$B618,Q$335-1)/SUMPRODUCT(--($D$335:$V$335=Q$335),--($D920:$V920=1)),0)+SUM(Q617)+IF(COUNTIF(Q$641:Q920,1)=1,5,0)+IF(COUNTIF(R618:$Z618,"&gt;"&amp;0)&gt;5,IF(MOD(COUNTIF(Q$641:Q920,1),7)=0,$C$4,0),0)</f>
        <v>336.654523809524</v>
      </c>
      <c r="R618" s="81" cm="1">
        <f ca="1" t="array" ref="R618">IF(R920=1,OFFSET($Z$338,$B618,R$335-1)/SUMPRODUCT(--($D$335:$V$335=R$335),--($D920:$V920=1)),0)+SUM(R617)+IF(COUNTIF(R$641:R920,1)=1,5,0)+IF(COUNTIF(S618:$Z618,"&gt;"&amp;0)&gt;5,IF(MOD(COUNTIF(R$641:R920,1),7)=0,$C$4,0),0)</f>
        <v>311.759523809524</v>
      </c>
      <c r="S618" s="81" cm="1">
        <f ca="1" t="array" ref="S618">IF(S920=1,OFFSET($Z$338,$B618,S$335-1)/SUMPRODUCT(--($D$335:$V$335=S$335),--($D920:$V920=1)),0)+SUM(S617)+IF(COUNTIF(S$641:S920,1)=1,5,0)+IF(COUNTIF(T618:$Z618,"&gt;"&amp;0)&gt;5,IF(MOD(COUNTIF(S$641:S920,1),7)=0,$C$4,0),0)</f>
        <v>302.592857142857</v>
      </c>
      <c r="T618" s="81" cm="1">
        <f ca="1" t="array" ref="T618">IF(T920=1,OFFSET($Z$338,$B618,T$335-1)/SUMPRODUCT(--($D$335:$V$335=T$335),--($D920:$V920=1)),0)+SUM(T617)+IF(COUNTIF(T$641:T920,1)=1,5,0)+IF(COUNTIF(U618:$Z618,"&gt;"&amp;0)&gt;5,IF(MOD(COUNTIF(T$641:T920,1),7)=0,$C$4,0),0)</f>
        <v>137.656257829764</v>
      </c>
      <c r="U618" s="81" cm="1">
        <f ca="1" t="array" ref="U618">IF(U920=1,OFFSET($Z$338,$B618,U$335-1)/SUMPRODUCT(--($D$335:$V$335=U$335),--($D920:$V920=1)),0)+SUM(U617)+IF(COUNTIF(U$641:U920,1)=1,5,0)+IF(COUNTIF(V618:$Z618,"&gt;"&amp;0)&gt;5,IF(MOD(COUNTIF(U$641:U920,1),7)=0,$C$4,0),0)</f>
        <v>97.6562578297643</v>
      </c>
      <c r="V618" s="81" cm="1">
        <f ca="1" t="array" ref="V618">IF(V920=1,OFFSET($Z$338,$B618,V$335-1)/SUMPRODUCT(--($D$335:$V$335=V$335),--($D920:$V920=1)),0)+SUM(V617)+IF(COUNTIF(V$641:V920,1)=1,5,0)+IF(COUNTIF(Z618:$Z618,"&gt;"&amp;0)&gt;5,IF(MOD(COUNTIF(V$641:V920,1),7)=0,$C$4,0),0)</f>
        <v>89.6984386404824</v>
      </c>
      <c r="W618" s="81" cm="1">
        <f ca="1" t="array" ref="W618">IF(W920=1,OFFSET($Z$338,$B618,W$335-1)/SUMPRODUCT(--($D$335:$V$335=W$335),--($D920:$V920=1)),0)+SUM(W617)+IF(COUNTIF(W$641:W920,1)=1,5,0)+IF(COUNTIF($Z618:AA618,"&gt;"&amp;0)&gt;5,IF(MOD(COUNTIF(W$641:W920,1),7)=0,$C$4,0),0)</f>
        <v>80.3425695255331</v>
      </c>
      <c r="X618" s="81" cm="1">
        <f ca="1" t="array" ref="X618">IF(X920=1,OFFSET($Z$338,$B618,X$335-1)/SUMPRODUCT(--($D$335:$V$335=X$335),--($D920:$V920=1)),0)+SUM(X617)+IF(COUNTIF(X$641:X920,1)=1,5,0)+IF(COUNTIF($Z618:AB618,"&gt;"&amp;0)&gt;5,IF(MOD(COUNTIF(X$641:X920,1),7)=0,$C$4,0),0)</f>
        <v>73.5789092348996</v>
      </c>
      <c r="Y618" s="81" cm="1">
        <f ca="1" t="array" ref="Y618">IF(Y920=1,OFFSET($Z$338,$B618,Y$335-1)/SUMPRODUCT(--($D$335:$V$335=Y$335),--($D920:$V920=1)),0)+SUM(Y617)+IF(COUNTIF(Y$641:Y920,1)=1,5,0)+IF(COUNTIF($Z618:AC618,"&gt;"&amp;0)&gt;5,IF(MOD(COUNTIF(Y$641:Y920,1),7)=0,$C$4,0),0)</f>
        <v>66.8152489442662</v>
      </c>
      <c r="Z618" s="82" cm="1">
        <f ca="1" t="array" ref="Z618">SUMPRODUCT(TRANSPOSE($AD618:$AJ618),OFFSET($L$10:$L$16,0,Z$335-1))</f>
        <v>0</v>
      </c>
      <c r="AA618" s="82" cm="1">
        <f ca="1" t="array" ref="AA618">SUMPRODUCT(TRANSPOSE($AD618:$AJ618),OFFSET($L$10:$L$16,0,AA$335-1))</f>
        <v>0</v>
      </c>
      <c r="AB618" s="82" cm="1">
        <f ca="1" t="array" ref="AB618">SUMPRODUCT(TRANSPOSE($AD618:$AJ618),OFFSET($L$10:$L$16,0,AB$335-1))</f>
        <v>0</v>
      </c>
      <c r="AC618" s="82" cm="1">
        <f ca="1" t="array" ref="AC618">SUMPRODUCT(TRANSPOSE($AD618:$AJ618),OFFSET($L$10:$L$16,0,AC$335-1))</f>
        <v>0</v>
      </c>
      <c r="AD618" s="83">
        <f ca="1" t="shared" ref="AD618:AJ618" si="887">AK618-AK617</f>
        <v>0</v>
      </c>
      <c r="AE618" s="83">
        <f ca="1" t="shared" si="887"/>
        <v>0</v>
      </c>
      <c r="AF618" s="83">
        <f ca="1" t="shared" si="887"/>
        <v>0</v>
      </c>
      <c r="AG618" s="83">
        <f ca="1" t="shared" si="887"/>
        <v>0</v>
      </c>
      <c r="AH618" s="83">
        <f ca="1" t="shared" si="887"/>
        <v>0</v>
      </c>
      <c r="AI618" s="83">
        <f ca="1" t="shared" si="887"/>
        <v>0</v>
      </c>
      <c r="AJ618" s="83">
        <f ca="1" t="shared" si="887"/>
        <v>0</v>
      </c>
      <c r="AK618" s="83">
        <f ca="1" t="shared" si="841"/>
        <v>450</v>
      </c>
      <c r="AL618" s="83">
        <f ca="1" t="shared" ref="AL618:AQ618" si="888">IF($C618&gt;OFFSET($Q$9,MATCH(AL$338,$AK$338:$AQ$338,0),0),OFFSET($P$9,MATCH(AL$338,$AK$338:$AQ$338,0),0),MAX(0,$C618-OFFSET($Q$9,RIGHT(AL$338,1)-1,0)))</f>
        <v>909</v>
      </c>
      <c r="AM618" s="83">
        <f ca="1" t="shared" si="888"/>
        <v>1818</v>
      </c>
      <c r="AN618" s="83">
        <f ca="1" t="shared" si="888"/>
        <v>2727</v>
      </c>
      <c r="AO618" s="83">
        <f ca="1" t="shared" si="888"/>
        <v>3636</v>
      </c>
      <c r="AP618" s="83">
        <f ca="1" t="shared" si="888"/>
        <v>4545</v>
      </c>
      <c r="AQ618" s="83">
        <f ca="1" t="shared" si="888"/>
        <v>0</v>
      </c>
    </row>
    <row r="619" ht="16.5" spans="2:43">
      <c r="B619" s="65">
        <v>281</v>
      </c>
      <c r="C619" s="80">
        <f t="shared" si="839"/>
        <v>32236</v>
      </c>
      <c r="D619" s="81" cm="1">
        <f ca="1" t="array" ref="D619">IF(D921=1,OFFSET($Z$338,$B619,D$335-1)/SUMPRODUCT(--($D$335:$V$335=D$335),--($D921:$V921=1)),0)+SUM(D618)+IF(COUNTIF(D$641:D921,1)=1,5,0)+IF(COUNTIF(E619:$Z619,"&gt;"&amp;0)&gt;5,IF(MOD(COUNTIF(D$641:D921,1),7)=0,$C$4,0),0)</f>
        <v>1318.82134856666</v>
      </c>
      <c r="E619" s="81" cm="1">
        <f ca="1" t="array" ref="E619">IF(E921=1,OFFSET($Z$338,$B619,E$335-1)/SUMPRODUCT(--($D$335:$V$335=E$335),--($D921:$V921=1)),0)+SUM(E618)+IF(COUNTIF(E$641:E921,1)=1,5,0)+IF(COUNTIF(F619:$Z619,"&gt;"&amp;0)&gt;5,IF(MOD(COUNTIF(E$641:E921,1),7)=0,$C$4,0),0)</f>
        <v>1318.82134856666</v>
      </c>
      <c r="F619" s="81" cm="1">
        <f ca="1" t="array" ref="F619">IF(F921=1,OFFSET($Z$338,$B619,F$335-1)/SUMPRODUCT(--($D$335:$V$335=F$335),--($D921:$V921=1)),0)+SUM(F618)+IF(COUNTIF(F$641:F921,1)=1,5,0)+IF(COUNTIF(G619:$Z619,"&gt;"&amp;0)&gt;5,IF(MOD(COUNTIF(F$641:F921,1),7)=0,$C$4,0),0)</f>
        <v>1318.82134856666</v>
      </c>
      <c r="G619" s="81" cm="1">
        <f ca="1" t="array" ref="G619">IF(G921=1,OFFSET($Z$338,$B619,G$335-1)/SUMPRODUCT(--($D$335:$V$335=G$335),--($D921:$V921=1)),0)+SUM(G618)+IF(COUNTIF(G$641:G921,1)=1,5,0)+IF(COUNTIF(H619:$Z619,"&gt;"&amp;0)&gt;5,IF(MOD(COUNTIF(G$641:G921,1),7)=0,$C$4,0),0)</f>
        <v>607.516666666668</v>
      </c>
      <c r="H619" s="81" cm="1">
        <f ca="1" t="array" ref="H619">IF(H921=1,OFFSET($Z$338,$B619,H$335-1)/SUMPRODUCT(--($D$335:$V$335=H$335),--($D921:$V921=1)),0)+SUM(H618)+IF(COUNTIF(H$641:H921,1)=1,5,0)+IF(COUNTIF(I619:$Z619,"&gt;"&amp;0)&gt;5,IF(MOD(COUNTIF(H$641:H921,1),7)=0,$C$4,0),0)</f>
        <v>607.516666666668</v>
      </c>
      <c r="I619" s="81" cm="1">
        <f ca="1" t="array" ref="I619">IF(I921=1,OFFSET($Z$338,$B619,I$335-1)/SUMPRODUCT(--($D$335:$V$335=I$335),--($D921:$V921=1)),0)+SUM(I618)+IF(COUNTIF(I$641:I921,1)=1,5,0)+IF(COUNTIF(J619:$Z619,"&gt;"&amp;0)&gt;5,IF(MOD(COUNTIF(I$641:I921,1),7)=0,$C$4,0),0)</f>
        <v>607.516666666668</v>
      </c>
      <c r="J619" s="81" cm="1">
        <f ca="1" t="array" ref="J619">IF(J921=1,OFFSET($Z$338,$B619,J$335-1)/SUMPRODUCT(--($D$335:$V$335=J$335),--($D921:$V921=1)),0)+SUM(J618)+IF(COUNTIF(J$641:J921,1)=1,5,0)+IF(COUNTIF(K619:$Z619,"&gt;"&amp;0)&gt;5,IF(MOD(COUNTIF(J$641:J921,1),7)=0,$C$4,0),0)</f>
        <v>607.516666666668</v>
      </c>
      <c r="K619" s="81" cm="1">
        <f ca="1" t="array" ref="K619">IF(K921=1,OFFSET($Z$338,$B619,K$335-1)/SUMPRODUCT(--($D$335:$V$335=K$335),--($D921:$V921=1)),0)+SUM(K618)+IF(COUNTIF(K$641:K921,1)=1,5,0)+IF(COUNTIF(L619:$Z619,"&gt;"&amp;0)&gt;5,IF(MOD(COUNTIF(K$641:K921,1),7)=0,$C$4,0),0)</f>
        <v>607.516666666668</v>
      </c>
      <c r="L619" s="81" cm="1">
        <f ca="1" t="array" ref="L619">IF(L921=1,OFFSET($Z$338,$B619,L$335-1)/SUMPRODUCT(--($D$335:$V$335=L$335),--($D921:$V921=1)),0)+SUM(L618)+IF(COUNTIF(L$641:L921,1)=1,5,0)+IF(COUNTIF(M619:$Z619,"&gt;"&amp;0)&gt;5,IF(MOD(COUNTIF(L$641:L921,1),7)=0,$C$4,0),0)</f>
        <v>600.816666666668</v>
      </c>
      <c r="M619" s="81" cm="1">
        <f ca="1" t="array" ref="M619">IF(M921=1,OFFSET($Z$338,$B619,M$335-1)/SUMPRODUCT(--($D$335:$V$335=M$335),--($D921:$V921=1)),0)+SUM(M618)+IF(COUNTIF(M$641:M921,1)=1,5,0)+IF(COUNTIF(N619:$Z619,"&gt;"&amp;0)&gt;5,IF(MOD(COUNTIF(M$641:M921,1),7)=0,$C$4,0),0)</f>
        <v>355.644107142858</v>
      </c>
      <c r="N619" s="81" cm="1">
        <f ca="1" t="array" ref="N619">IF(N921=1,OFFSET($Z$338,$B619,N$335-1)/SUMPRODUCT(--($D$335:$V$335=N$335),--($D921:$V921=1)),0)+SUM(N618)+IF(COUNTIF(N$641:N921,1)=1,5,0)+IF(COUNTIF(O619:$Z619,"&gt;"&amp;0)&gt;5,IF(MOD(COUNTIF(N$641:N921,1),7)=0,$C$4,0),0)</f>
        <v>342.919107142858</v>
      </c>
      <c r="O619" s="81" cm="1">
        <f ca="1" t="array" ref="O619">IF(O921=1,OFFSET($Z$338,$B619,O$335-1)/SUMPRODUCT(--($D$335:$V$335=O$335),--($D921:$V921=1)),0)+SUM(O618)+IF(COUNTIF(O$641:O921,1)=1,5,0)+IF(COUNTIF(P619:$Z619,"&gt;"&amp;0)&gt;5,IF(MOD(COUNTIF(O$641:O921,1),7)=0,$C$4,0),0)</f>
        <v>340.494107142858</v>
      </c>
      <c r="P619" s="81" cm="1">
        <f ca="1" t="array" ref="P619">IF(P921=1,OFFSET($Z$338,$B619,P$335-1)/SUMPRODUCT(--($D$335:$V$335=P$335),--($D921:$V921=1)),0)+SUM(P618)+IF(COUNTIF(P$641:P921,1)=1,5,0)+IF(COUNTIF(Q619:$Z619,"&gt;"&amp;0)&gt;5,IF(MOD(COUNTIF(P$641:P921,1),7)=0,$C$4,0),0)</f>
        <v>337.560773809524</v>
      </c>
      <c r="Q619" s="81" cm="1">
        <f ca="1" t="array" ref="Q619">IF(Q921=1,OFFSET($Z$338,$B619,Q$335-1)/SUMPRODUCT(--($D$335:$V$335=Q$335),--($D921:$V921=1)),0)+SUM(Q618)+IF(COUNTIF(Q$641:Q921,1)=1,5,0)+IF(COUNTIF(R619:$Z619,"&gt;"&amp;0)&gt;5,IF(MOD(COUNTIF(Q$641:Q921,1),7)=0,$C$4,0),0)</f>
        <v>336.654523809524</v>
      </c>
      <c r="R619" s="81" cm="1">
        <f ca="1" t="array" ref="R619">IF(R921=1,OFFSET($Z$338,$B619,R$335-1)/SUMPRODUCT(--($D$335:$V$335=R$335),--($D921:$V921=1)),0)+SUM(R618)+IF(COUNTIF(R$641:R921,1)=1,5,0)+IF(COUNTIF(S619:$Z619,"&gt;"&amp;0)&gt;5,IF(MOD(COUNTIF(R$641:R921,1),7)=0,$C$4,0),0)</f>
        <v>311.759523809524</v>
      </c>
      <c r="S619" s="81" cm="1">
        <f ca="1" t="array" ref="S619">IF(S921=1,OFFSET($Z$338,$B619,S$335-1)/SUMPRODUCT(--($D$335:$V$335=S$335),--($D921:$V921=1)),0)+SUM(S618)+IF(COUNTIF(S$641:S921,1)=1,5,0)+IF(COUNTIF(T619:$Z619,"&gt;"&amp;0)&gt;5,IF(MOD(COUNTIF(S$641:S921,1),7)=0,$C$4,0),0)</f>
        <v>302.592857142857</v>
      </c>
      <c r="T619" s="81" cm="1">
        <f ca="1" t="array" ref="T619">IF(T921=1,OFFSET($Z$338,$B619,T$335-1)/SUMPRODUCT(--($D$335:$V$335=T$335),--($D921:$V921=1)),0)+SUM(T618)+IF(COUNTIF(T$641:T921,1)=1,5,0)+IF(COUNTIF(U619:$Z619,"&gt;"&amp;0)&gt;5,IF(MOD(COUNTIF(T$641:T921,1),7)=0,$C$4,0),0)</f>
        <v>137.656257829764</v>
      </c>
      <c r="U619" s="81" cm="1">
        <f ca="1" t="array" ref="U619">IF(U921=1,OFFSET($Z$338,$B619,U$335-1)/SUMPRODUCT(--($D$335:$V$335=U$335),--($D921:$V921=1)),0)+SUM(U618)+IF(COUNTIF(U$641:U921,1)=1,5,0)+IF(COUNTIF(V619:$Z619,"&gt;"&amp;0)&gt;5,IF(MOD(COUNTIF(U$641:U921,1),7)=0,$C$4,0),0)</f>
        <v>97.6562578297643</v>
      </c>
      <c r="V619" s="81" cm="1">
        <f ca="1" t="array" ref="V619">IF(V921=1,OFFSET($Z$338,$B619,V$335-1)/SUMPRODUCT(--($D$335:$V$335=V$335),--($D921:$V921=1)),0)+SUM(V618)+IF(COUNTIF(V$641:V921,1)=1,5,0)+IF(COUNTIF(Z619:$Z619,"&gt;"&amp;0)&gt;5,IF(MOD(COUNTIF(V$641:V921,1),7)=0,$C$4,0),0)</f>
        <v>89.6984386404824</v>
      </c>
      <c r="W619" s="81" cm="1">
        <f ca="1" t="array" ref="W619">IF(W921=1,OFFSET($Z$338,$B619,W$335-1)/SUMPRODUCT(--($D$335:$V$335=W$335),--($D921:$V921=1)),0)+SUM(W618)+IF(COUNTIF(W$641:W921,1)=1,5,0)+IF(COUNTIF($Z619:AA619,"&gt;"&amp;0)&gt;5,IF(MOD(COUNTIF(W$641:W921,1),7)=0,$C$4,0),0)</f>
        <v>80.3425695255331</v>
      </c>
      <c r="X619" s="81" cm="1">
        <f ca="1" t="array" ref="X619">IF(X921=1,OFFSET($Z$338,$B619,X$335-1)/SUMPRODUCT(--($D$335:$V$335=X$335),--($D921:$V921=1)),0)+SUM(X618)+IF(COUNTIF(X$641:X921,1)=1,5,0)+IF(COUNTIF($Z619:AB619,"&gt;"&amp;0)&gt;5,IF(MOD(COUNTIF(X$641:X921,1),7)=0,$C$4,0),0)</f>
        <v>73.5789092348996</v>
      </c>
      <c r="Y619" s="81" cm="1">
        <f ca="1" t="array" ref="Y619">IF(Y921=1,OFFSET($Z$338,$B619,Y$335-1)/SUMPRODUCT(--($D$335:$V$335=Y$335),--($D921:$V921=1)),0)+SUM(Y618)+IF(COUNTIF(Y$641:Y921,1)=1,5,0)+IF(COUNTIF($Z619:AC619,"&gt;"&amp;0)&gt;5,IF(MOD(COUNTIF(Y$641:Y921,1),7)=0,$C$4,0),0)</f>
        <v>66.8152489442662</v>
      </c>
      <c r="Z619" s="82" cm="1">
        <f ca="1" t="array" ref="Z619">SUMPRODUCT(TRANSPOSE($AD619:$AJ619),OFFSET($L$10:$L$16,0,Z$335-1))</f>
        <v>0</v>
      </c>
      <c r="AA619" s="82" cm="1">
        <f ca="1" t="array" ref="AA619">SUMPRODUCT(TRANSPOSE($AD619:$AJ619),OFFSET($L$10:$L$16,0,AA$335-1))</f>
        <v>0</v>
      </c>
      <c r="AB619" s="82" cm="1">
        <f ca="1" t="array" ref="AB619">SUMPRODUCT(TRANSPOSE($AD619:$AJ619),OFFSET($L$10:$L$16,0,AB$335-1))</f>
        <v>0</v>
      </c>
      <c r="AC619" s="82" cm="1">
        <f ca="1" t="array" ref="AC619">SUMPRODUCT(TRANSPOSE($AD619:$AJ619),OFFSET($L$10:$L$16,0,AC$335-1))</f>
        <v>0</v>
      </c>
      <c r="AD619" s="83">
        <f ca="1" t="shared" ref="AD619:AJ619" si="889">AK619-AK618</f>
        <v>0</v>
      </c>
      <c r="AE619" s="83">
        <f ca="1" t="shared" si="889"/>
        <v>0</v>
      </c>
      <c r="AF619" s="83">
        <f ca="1" t="shared" si="889"/>
        <v>0</v>
      </c>
      <c r="AG619" s="83">
        <f ca="1" t="shared" si="889"/>
        <v>0</v>
      </c>
      <c r="AH619" s="83">
        <f ca="1" t="shared" si="889"/>
        <v>0</v>
      </c>
      <c r="AI619" s="83">
        <f ca="1" t="shared" si="889"/>
        <v>0</v>
      </c>
      <c r="AJ619" s="83">
        <f ca="1" t="shared" si="889"/>
        <v>0</v>
      </c>
      <c r="AK619" s="83">
        <f ca="1" t="shared" si="841"/>
        <v>450</v>
      </c>
      <c r="AL619" s="83">
        <f ca="1" t="shared" ref="AL619:AQ619" si="890">IF($C619&gt;OFFSET($Q$9,MATCH(AL$338,$AK$338:$AQ$338,0),0),OFFSET($P$9,MATCH(AL$338,$AK$338:$AQ$338,0),0),MAX(0,$C619-OFFSET($Q$9,RIGHT(AL$338,1)-1,0)))</f>
        <v>909</v>
      </c>
      <c r="AM619" s="83">
        <f ca="1" t="shared" si="890"/>
        <v>1818</v>
      </c>
      <c r="AN619" s="83">
        <f ca="1" t="shared" si="890"/>
        <v>2727</v>
      </c>
      <c r="AO619" s="83">
        <f ca="1" t="shared" si="890"/>
        <v>3636</v>
      </c>
      <c r="AP619" s="83">
        <f ca="1" t="shared" si="890"/>
        <v>4545</v>
      </c>
      <c r="AQ619" s="83">
        <f ca="1" t="shared" si="890"/>
        <v>0</v>
      </c>
    </row>
    <row r="620" ht="16.5" spans="2:43">
      <c r="B620" s="65">
        <v>282</v>
      </c>
      <c r="C620" s="80">
        <f t="shared" si="839"/>
        <v>32346</v>
      </c>
      <c r="D620" s="81" cm="1">
        <f ca="1" t="array" ref="D620">IF(D922=1,OFFSET($Z$338,$B620,D$335-1)/SUMPRODUCT(--($D$335:$V$335=D$335),--($D922:$V922=1)),0)+SUM(D619)+IF(COUNTIF(D$641:D922,1)=1,5,0)+IF(COUNTIF(E620:$Z620,"&gt;"&amp;0)&gt;5,IF(MOD(COUNTIF(D$641:D922,1),7)=0,$C$4,0),0)</f>
        <v>1318.82134856666</v>
      </c>
      <c r="E620" s="81" cm="1">
        <f ca="1" t="array" ref="E620">IF(E922=1,OFFSET($Z$338,$B620,E$335-1)/SUMPRODUCT(--($D$335:$V$335=E$335),--($D922:$V922=1)),0)+SUM(E619)+IF(COUNTIF(E$641:E922,1)=1,5,0)+IF(COUNTIF(F620:$Z620,"&gt;"&amp;0)&gt;5,IF(MOD(COUNTIF(E$641:E922,1),7)=0,$C$4,0),0)</f>
        <v>1318.82134856666</v>
      </c>
      <c r="F620" s="81" cm="1">
        <f ca="1" t="array" ref="F620">IF(F922=1,OFFSET($Z$338,$B620,F$335-1)/SUMPRODUCT(--($D$335:$V$335=F$335),--($D922:$V922=1)),0)+SUM(F619)+IF(COUNTIF(F$641:F922,1)=1,5,0)+IF(COUNTIF(G620:$Z620,"&gt;"&amp;0)&gt;5,IF(MOD(COUNTIF(F$641:F922,1),7)=0,$C$4,0),0)</f>
        <v>1318.82134856666</v>
      </c>
      <c r="G620" s="81" cm="1">
        <f ca="1" t="array" ref="G620">IF(G922=1,OFFSET($Z$338,$B620,G$335-1)/SUMPRODUCT(--($D$335:$V$335=G$335),--($D922:$V922=1)),0)+SUM(G619)+IF(COUNTIF(G$641:G922,1)=1,5,0)+IF(COUNTIF(H620:$Z620,"&gt;"&amp;0)&gt;5,IF(MOD(COUNTIF(G$641:G922,1),7)=0,$C$4,0),0)</f>
        <v>607.516666666668</v>
      </c>
      <c r="H620" s="81" cm="1">
        <f ca="1" t="array" ref="H620">IF(H922=1,OFFSET($Z$338,$B620,H$335-1)/SUMPRODUCT(--($D$335:$V$335=H$335),--($D922:$V922=1)),0)+SUM(H619)+IF(COUNTIF(H$641:H922,1)=1,5,0)+IF(COUNTIF(I620:$Z620,"&gt;"&amp;0)&gt;5,IF(MOD(COUNTIF(H$641:H922,1),7)=0,$C$4,0),0)</f>
        <v>607.516666666668</v>
      </c>
      <c r="I620" s="81" cm="1">
        <f ca="1" t="array" ref="I620">IF(I922=1,OFFSET($Z$338,$B620,I$335-1)/SUMPRODUCT(--($D$335:$V$335=I$335),--($D922:$V922=1)),0)+SUM(I619)+IF(COUNTIF(I$641:I922,1)=1,5,0)+IF(COUNTIF(J620:$Z620,"&gt;"&amp;0)&gt;5,IF(MOD(COUNTIF(I$641:I922,1),7)=0,$C$4,0),0)</f>
        <v>607.516666666668</v>
      </c>
      <c r="J620" s="81" cm="1">
        <f ca="1" t="array" ref="J620">IF(J922=1,OFFSET($Z$338,$B620,J$335-1)/SUMPRODUCT(--($D$335:$V$335=J$335),--($D922:$V922=1)),0)+SUM(J619)+IF(COUNTIF(J$641:J922,1)=1,5,0)+IF(COUNTIF(K620:$Z620,"&gt;"&amp;0)&gt;5,IF(MOD(COUNTIF(J$641:J922,1),7)=0,$C$4,0),0)</f>
        <v>607.516666666668</v>
      </c>
      <c r="K620" s="81" cm="1">
        <f ca="1" t="array" ref="K620">IF(K922=1,OFFSET($Z$338,$B620,K$335-1)/SUMPRODUCT(--($D$335:$V$335=K$335),--($D922:$V922=1)),0)+SUM(K619)+IF(COUNTIF(K$641:K922,1)=1,5,0)+IF(COUNTIF(L620:$Z620,"&gt;"&amp;0)&gt;5,IF(MOD(COUNTIF(K$641:K922,1),7)=0,$C$4,0),0)</f>
        <v>607.516666666668</v>
      </c>
      <c r="L620" s="81" cm="1">
        <f ca="1" t="array" ref="L620">IF(L922=1,OFFSET($Z$338,$B620,L$335-1)/SUMPRODUCT(--($D$335:$V$335=L$335),--($D922:$V922=1)),0)+SUM(L619)+IF(COUNTIF(L$641:L922,1)=1,5,0)+IF(COUNTIF(M620:$Z620,"&gt;"&amp;0)&gt;5,IF(MOD(COUNTIF(L$641:L922,1),7)=0,$C$4,0),0)</f>
        <v>600.816666666668</v>
      </c>
      <c r="M620" s="81" cm="1">
        <f ca="1" t="array" ref="M620">IF(M922=1,OFFSET($Z$338,$B620,M$335-1)/SUMPRODUCT(--($D$335:$V$335=M$335),--($D922:$V922=1)),0)+SUM(M619)+IF(COUNTIF(M$641:M922,1)=1,5,0)+IF(COUNTIF(N620:$Z620,"&gt;"&amp;0)&gt;5,IF(MOD(COUNTIF(M$641:M922,1),7)=0,$C$4,0),0)</f>
        <v>355.644107142858</v>
      </c>
      <c r="N620" s="81" cm="1">
        <f ca="1" t="array" ref="N620">IF(N922=1,OFFSET($Z$338,$B620,N$335-1)/SUMPRODUCT(--($D$335:$V$335=N$335),--($D922:$V922=1)),0)+SUM(N619)+IF(COUNTIF(N$641:N922,1)=1,5,0)+IF(COUNTIF(O620:$Z620,"&gt;"&amp;0)&gt;5,IF(MOD(COUNTIF(N$641:N922,1),7)=0,$C$4,0),0)</f>
        <v>347.919107142858</v>
      </c>
      <c r="O620" s="81" cm="1">
        <f ca="1" t="array" ref="O620">IF(O922=1,OFFSET($Z$338,$B620,O$335-1)/SUMPRODUCT(--($D$335:$V$335=O$335),--($D922:$V922=1)),0)+SUM(O619)+IF(COUNTIF(O$641:O922,1)=1,5,0)+IF(COUNTIF(P620:$Z620,"&gt;"&amp;0)&gt;5,IF(MOD(COUNTIF(O$641:O922,1),7)=0,$C$4,0),0)</f>
        <v>340.494107142858</v>
      </c>
      <c r="P620" s="81" cm="1">
        <f ca="1" t="array" ref="P620">IF(P922=1,OFFSET($Z$338,$B620,P$335-1)/SUMPRODUCT(--($D$335:$V$335=P$335),--($D922:$V922=1)),0)+SUM(P619)+IF(COUNTIF(P$641:P922,1)=1,5,0)+IF(COUNTIF(Q620:$Z620,"&gt;"&amp;0)&gt;5,IF(MOD(COUNTIF(P$641:P922,1),7)=0,$C$4,0),0)</f>
        <v>337.560773809524</v>
      </c>
      <c r="Q620" s="81" cm="1">
        <f ca="1" t="array" ref="Q620">IF(Q922=1,OFFSET($Z$338,$B620,Q$335-1)/SUMPRODUCT(--($D$335:$V$335=Q$335),--($D922:$V922=1)),0)+SUM(Q619)+IF(COUNTIF(Q$641:Q922,1)=1,5,0)+IF(COUNTIF(R620:$Z620,"&gt;"&amp;0)&gt;5,IF(MOD(COUNTIF(Q$641:Q922,1),7)=0,$C$4,0),0)</f>
        <v>336.654523809524</v>
      </c>
      <c r="R620" s="81" cm="1">
        <f ca="1" t="array" ref="R620">IF(R922=1,OFFSET($Z$338,$B620,R$335-1)/SUMPRODUCT(--($D$335:$V$335=R$335),--($D922:$V922=1)),0)+SUM(R619)+IF(COUNTIF(R$641:R922,1)=1,5,0)+IF(COUNTIF(S620:$Z620,"&gt;"&amp;0)&gt;5,IF(MOD(COUNTIF(R$641:R922,1),7)=0,$C$4,0),0)</f>
        <v>311.759523809524</v>
      </c>
      <c r="S620" s="81" cm="1">
        <f ca="1" t="array" ref="S620">IF(S922=1,OFFSET($Z$338,$B620,S$335-1)/SUMPRODUCT(--($D$335:$V$335=S$335),--($D922:$V922=1)),0)+SUM(S619)+IF(COUNTIF(S$641:S922,1)=1,5,0)+IF(COUNTIF(T620:$Z620,"&gt;"&amp;0)&gt;5,IF(MOD(COUNTIF(S$641:S922,1),7)=0,$C$4,0),0)</f>
        <v>302.592857142857</v>
      </c>
      <c r="T620" s="81" cm="1">
        <f ca="1" t="array" ref="T620">IF(T922=1,OFFSET($Z$338,$B620,T$335-1)/SUMPRODUCT(--($D$335:$V$335=T$335),--($D922:$V922=1)),0)+SUM(T619)+IF(COUNTIF(T$641:T922,1)=1,5,0)+IF(COUNTIF(U620:$Z620,"&gt;"&amp;0)&gt;5,IF(MOD(COUNTIF(T$641:T922,1),7)=0,$C$4,0),0)</f>
        <v>137.656257829764</v>
      </c>
      <c r="U620" s="81" cm="1">
        <f ca="1" t="array" ref="U620">IF(U922=1,OFFSET($Z$338,$B620,U$335-1)/SUMPRODUCT(--($D$335:$V$335=U$335),--($D922:$V922=1)),0)+SUM(U619)+IF(COUNTIF(U$641:U922,1)=1,5,0)+IF(COUNTIF(V620:$Z620,"&gt;"&amp;0)&gt;5,IF(MOD(COUNTIF(U$641:U922,1),7)=0,$C$4,0),0)</f>
        <v>97.6562578297643</v>
      </c>
      <c r="V620" s="81" cm="1">
        <f ca="1" t="array" ref="V620">IF(V922=1,OFFSET($Z$338,$B620,V$335-1)/SUMPRODUCT(--($D$335:$V$335=V$335),--($D922:$V922=1)),0)+SUM(V619)+IF(COUNTIF(V$641:V922,1)=1,5,0)+IF(COUNTIF(Z620:$Z620,"&gt;"&amp;0)&gt;5,IF(MOD(COUNTIF(V$641:V922,1),7)=0,$C$4,0),0)</f>
        <v>89.6984386404824</v>
      </c>
      <c r="W620" s="81" cm="1">
        <f ca="1" t="array" ref="W620">IF(W922=1,OFFSET($Z$338,$B620,W$335-1)/SUMPRODUCT(--($D$335:$V$335=W$335),--($D922:$V922=1)),0)+SUM(W619)+IF(COUNTIF(W$641:W922,1)=1,5,0)+IF(COUNTIF($Z620:AA620,"&gt;"&amp;0)&gt;5,IF(MOD(COUNTIF(W$641:W922,1),7)=0,$C$4,0),0)</f>
        <v>80.3425695255331</v>
      </c>
      <c r="X620" s="81" cm="1">
        <f ca="1" t="array" ref="X620">IF(X922=1,OFFSET($Z$338,$B620,X$335-1)/SUMPRODUCT(--($D$335:$V$335=X$335),--($D922:$V922=1)),0)+SUM(X619)+IF(COUNTIF(X$641:X922,1)=1,5,0)+IF(COUNTIF($Z620:AB620,"&gt;"&amp;0)&gt;5,IF(MOD(COUNTIF(X$641:X922,1),7)=0,$C$4,0),0)</f>
        <v>73.5789092348996</v>
      </c>
      <c r="Y620" s="81" cm="1">
        <f ca="1" t="array" ref="Y620">IF(Y922=1,OFFSET($Z$338,$B620,Y$335-1)/SUMPRODUCT(--($D$335:$V$335=Y$335),--($D922:$V922=1)),0)+SUM(Y619)+IF(COUNTIF(Y$641:Y922,1)=1,5,0)+IF(COUNTIF($Z620:AC620,"&gt;"&amp;0)&gt;5,IF(MOD(COUNTIF(Y$641:Y922,1),7)=0,$C$4,0),0)</f>
        <v>66.8152489442662</v>
      </c>
      <c r="Z620" s="82" cm="1">
        <f ca="1" t="array" ref="Z620">SUMPRODUCT(TRANSPOSE($AD620:$AJ620),OFFSET($L$10:$L$16,0,Z$335-1))</f>
        <v>0</v>
      </c>
      <c r="AA620" s="82" cm="1">
        <f ca="1" t="array" ref="AA620">SUMPRODUCT(TRANSPOSE($AD620:$AJ620),OFFSET($L$10:$L$16,0,AA$335-1))</f>
        <v>0</v>
      </c>
      <c r="AB620" s="82" cm="1">
        <f ca="1" t="array" ref="AB620">SUMPRODUCT(TRANSPOSE($AD620:$AJ620),OFFSET($L$10:$L$16,0,AB$335-1))</f>
        <v>0</v>
      </c>
      <c r="AC620" s="82" cm="1">
        <f ca="1" t="array" ref="AC620">SUMPRODUCT(TRANSPOSE($AD620:$AJ620),OFFSET($L$10:$L$16,0,AC$335-1))</f>
        <v>0</v>
      </c>
      <c r="AD620" s="83">
        <f ca="1" t="shared" ref="AD620:AJ620" si="891">AK620-AK619</f>
        <v>0</v>
      </c>
      <c r="AE620" s="83">
        <f ca="1" t="shared" si="891"/>
        <v>0</v>
      </c>
      <c r="AF620" s="83">
        <f ca="1" t="shared" si="891"/>
        <v>0</v>
      </c>
      <c r="AG620" s="83">
        <f ca="1" t="shared" si="891"/>
        <v>0</v>
      </c>
      <c r="AH620" s="83">
        <f ca="1" t="shared" si="891"/>
        <v>0</v>
      </c>
      <c r="AI620" s="83">
        <f ca="1" t="shared" si="891"/>
        <v>0</v>
      </c>
      <c r="AJ620" s="83">
        <f ca="1" t="shared" si="891"/>
        <v>0</v>
      </c>
      <c r="AK620" s="83">
        <f ca="1" t="shared" si="841"/>
        <v>450</v>
      </c>
      <c r="AL620" s="83">
        <f ca="1" t="shared" ref="AL620:AQ620" si="892">IF($C620&gt;OFFSET($Q$9,MATCH(AL$338,$AK$338:$AQ$338,0),0),OFFSET($P$9,MATCH(AL$338,$AK$338:$AQ$338,0),0),MAX(0,$C620-OFFSET($Q$9,RIGHT(AL$338,1)-1,0)))</f>
        <v>909</v>
      </c>
      <c r="AM620" s="83">
        <f ca="1" t="shared" si="892"/>
        <v>1818</v>
      </c>
      <c r="AN620" s="83">
        <f ca="1" t="shared" si="892"/>
        <v>2727</v>
      </c>
      <c r="AO620" s="83">
        <f ca="1" t="shared" si="892"/>
        <v>3636</v>
      </c>
      <c r="AP620" s="83">
        <f ca="1" t="shared" si="892"/>
        <v>4545</v>
      </c>
      <c r="AQ620" s="83">
        <f ca="1" t="shared" si="892"/>
        <v>0</v>
      </c>
    </row>
    <row r="621" ht="16.5" spans="2:43">
      <c r="B621" s="65">
        <v>283</v>
      </c>
      <c r="C621" s="80">
        <f t="shared" si="839"/>
        <v>32456</v>
      </c>
      <c r="D621" s="81" cm="1">
        <f ca="1" t="array" ref="D621">IF(D923=1,OFFSET($Z$338,$B621,D$335-1)/SUMPRODUCT(--($D$335:$V$335=D$335),--($D923:$V923=1)),0)+SUM(D620)+IF(COUNTIF(D$641:D923,1)=1,5,0)+IF(COUNTIF(E621:$Z621,"&gt;"&amp;0)&gt;5,IF(MOD(COUNTIF(D$641:D923,1),7)=0,$C$4,0),0)</f>
        <v>1318.82134856666</v>
      </c>
      <c r="E621" s="81" cm="1">
        <f ca="1" t="array" ref="E621">IF(E923=1,OFFSET($Z$338,$B621,E$335-1)/SUMPRODUCT(--($D$335:$V$335=E$335),--($D923:$V923=1)),0)+SUM(E620)+IF(COUNTIF(E$641:E923,1)=1,5,0)+IF(COUNTIF(F621:$Z621,"&gt;"&amp;0)&gt;5,IF(MOD(COUNTIF(E$641:E923,1),7)=0,$C$4,0),0)</f>
        <v>1318.82134856666</v>
      </c>
      <c r="F621" s="81" cm="1">
        <f ca="1" t="array" ref="F621">IF(F923=1,OFFSET($Z$338,$B621,F$335-1)/SUMPRODUCT(--($D$335:$V$335=F$335),--($D923:$V923=1)),0)+SUM(F620)+IF(COUNTIF(F$641:F923,1)=1,5,0)+IF(COUNTIF(G621:$Z621,"&gt;"&amp;0)&gt;5,IF(MOD(COUNTIF(F$641:F923,1),7)=0,$C$4,0),0)</f>
        <v>1318.82134856666</v>
      </c>
      <c r="G621" s="81" cm="1">
        <f ca="1" t="array" ref="G621">IF(G923=1,OFFSET($Z$338,$B621,G$335-1)/SUMPRODUCT(--($D$335:$V$335=G$335),--($D923:$V923=1)),0)+SUM(G620)+IF(COUNTIF(G$641:G923,1)=1,5,0)+IF(COUNTIF(H621:$Z621,"&gt;"&amp;0)&gt;5,IF(MOD(COUNTIF(G$641:G923,1),7)=0,$C$4,0),0)</f>
        <v>607.516666666668</v>
      </c>
      <c r="H621" s="81" cm="1">
        <f ca="1" t="array" ref="H621">IF(H923=1,OFFSET($Z$338,$B621,H$335-1)/SUMPRODUCT(--($D$335:$V$335=H$335),--($D923:$V923=1)),0)+SUM(H620)+IF(COUNTIF(H$641:H923,1)=1,5,0)+IF(COUNTIF(I621:$Z621,"&gt;"&amp;0)&gt;5,IF(MOD(COUNTIF(H$641:H923,1),7)=0,$C$4,0),0)</f>
        <v>607.516666666668</v>
      </c>
      <c r="I621" s="81" cm="1">
        <f ca="1" t="array" ref="I621">IF(I923=1,OFFSET($Z$338,$B621,I$335-1)/SUMPRODUCT(--($D$335:$V$335=I$335),--($D923:$V923=1)),0)+SUM(I620)+IF(COUNTIF(I$641:I923,1)=1,5,0)+IF(COUNTIF(J621:$Z621,"&gt;"&amp;0)&gt;5,IF(MOD(COUNTIF(I$641:I923,1),7)=0,$C$4,0),0)</f>
        <v>607.516666666668</v>
      </c>
      <c r="J621" s="81" cm="1">
        <f ca="1" t="array" ref="J621">IF(J923=1,OFFSET($Z$338,$B621,J$335-1)/SUMPRODUCT(--($D$335:$V$335=J$335),--($D923:$V923=1)),0)+SUM(J620)+IF(COUNTIF(J$641:J923,1)=1,5,0)+IF(COUNTIF(K621:$Z621,"&gt;"&amp;0)&gt;5,IF(MOD(COUNTIF(J$641:J923,1),7)=0,$C$4,0),0)</f>
        <v>607.516666666668</v>
      </c>
      <c r="K621" s="81" cm="1">
        <f ca="1" t="array" ref="K621">IF(K923=1,OFFSET($Z$338,$B621,K$335-1)/SUMPRODUCT(--($D$335:$V$335=K$335),--($D923:$V923=1)),0)+SUM(K620)+IF(COUNTIF(K$641:K923,1)=1,5,0)+IF(COUNTIF(L621:$Z621,"&gt;"&amp;0)&gt;5,IF(MOD(COUNTIF(K$641:K923,1),7)=0,$C$4,0),0)</f>
        <v>607.516666666668</v>
      </c>
      <c r="L621" s="81" cm="1">
        <f ca="1" t="array" ref="L621">IF(L923=1,OFFSET($Z$338,$B621,L$335-1)/SUMPRODUCT(--($D$335:$V$335=L$335),--($D923:$V923=1)),0)+SUM(L620)+IF(COUNTIF(L$641:L923,1)=1,5,0)+IF(COUNTIF(M621:$Z621,"&gt;"&amp;0)&gt;5,IF(MOD(COUNTIF(L$641:L923,1),7)=0,$C$4,0),0)</f>
        <v>600.816666666668</v>
      </c>
      <c r="M621" s="81" cm="1">
        <f ca="1" t="array" ref="M621">IF(M923=1,OFFSET($Z$338,$B621,M$335-1)/SUMPRODUCT(--($D$335:$V$335=M$335),--($D923:$V923=1)),0)+SUM(M620)+IF(COUNTIF(M$641:M923,1)=1,5,0)+IF(COUNTIF(N621:$Z621,"&gt;"&amp;0)&gt;5,IF(MOD(COUNTIF(M$641:M923,1),7)=0,$C$4,0),0)</f>
        <v>355.644107142858</v>
      </c>
      <c r="N621" s="81" cm="1">
        <f ca="1" t="array" ref="N621">IF(N923=1,OFFSET($Z$338,$B621,N$335-1)/SUMPRODUCT(--($D$335:$V$335=N$335),--($D923:$V923=1)),0)+SUM(N620)+IF(COUNTIF(N$641:N923,1)=1,5,0)+IF(COUNTIF(O621:$Z621,"&gt;"&amp;0)&gt;5,IF(MOD(COUNTIF(N$641:N923,1),7)=0,$C$4,0),0)</f>
        <v>347.919107142858</v>
      </c>
      <c r="O621" s="81" cm="1">
        <f ca="1" t="array" ref="O621">IF(O923=1,OFFSET($Z$338,$B621,O$335-1)/SUMPRODUCT(--($D$335:$V$335=O$335),--($D923:$V923=1)),0)+SUM(O620)+IF(COUNTIF(O$641:O923,1)=1,5,0)+IF(COUNTIF(P621:$Z621,"&gt;"&amp;0)&gt;5,IF(MOD(COUNTIF(O$641:O923,1),7)=0,$C$4,0),0)</f>
        <v>345.494107142858</v>
      </c>
      <c r="P621" s="81" cm="1">
        <f ca="1" t="array" ref="P621">IF(P923=1,OFFSET($Z$338,$B621,P$335-1)/SUMPRODUCT(--($D$335:$V$335=P$335),--($D923:$V923=1)),0)+SUM(P620)+IF(COUNTIF(P$641:P923,1)=1,5,0)+IF(COUNTIF(Q621:$Z621,"&gt;"&amp;0)&gt;5,IF(MOD(COUNTIF(P$641:P923,1),7)=0,$C$4,0),0)</f>
        <v>337.560773809524</v>
      </c>
      <c r="Q621" s="81" cm="1">
        <f ca="1" t="array" ref="Q621">IF(Q923=1,OFFSET($Z$338,$B621,Q$335-1)/SUMPRODUCT(--($D$335:$V$335=Q$335),--($D923:$V923=1)),0)+SUM(Q620)+IF(COUNTIF(Q$641:Q923,1)=1,5,0)+IF(COUNTIF(R621:$Z621,"&gt;"&amp;0)&gt;5,IF(MOD(COUNTIF(Q$641:Q923,1),7)=0,$C$4,0),0)</f>
        <v>336.654523809524</v>
      </c>
      <c r="R621" s="81" cm="1">
        <f ca="1" t="array" ref="R621">IF(R923=1,OFFSET($Z$338,$B621,R$335-1)/SUMPRODUCT(--($D$335:$V$335=R$335),--($D923:$V923=1)),0)+SUM(R620)+IF(COUNTIF(R$641:R923,1)=1,5,0)+IF(COUNTIF(S621:$Z621,"&gt;"&amp;0)&gt;5,IF(MOD(COUNTIF(R$641:R923,1),7)=0,$C$4,0),0)</f>
        <v>311.759523809524</v>
      </c>
      <c r="S621" s="81" cm="1">
        <f ca="1" t="array" ref="S621">IF(S923=1,OFFSET($Z$338,$B621,S$335-1)/SUMPRODUCT(--($D$335:$V$335=S$335),--($D923:$V923=1)),0)+SUM(S620)+IF(COUNTIF(S$641:S923,1)=1,5,0)+IF(COUNTIF(T621:$Z621,"&gt;"&amp;0)&gt;5,IF(MOD(COUNTIF(S$641:S923,1),7)=0,$C$4,0),0)</f>
        <v>302.592857142857</v>
      </c>
      <c r="T621" s="81" cm="1">
        <f ca="1" t="array" ref="T621">IF(T923=1,OFFSET($Z$338,$B621,T$335-1)/SUMPRODUCT(--($D$335:$V$335=T$335),--($D923:$V923=1)),0)+SUM(T620)+IF(COUNTIF(T$641:T923,1)=1,5,0)+IF(COUNTIF(U621:$Z621,"&gt;"&amp;0)&gt;5,IF(MOD(COUNTIF(T$641:T923,1),7)=0,$C$4,0),0)</f>
        <v>137.656257829764</v>
      </c>
      <c r="U621" s="81" cm="1">
        <f ca="1" t="array" ref="U621">IF(U923=1,OFFSET($Z$338,$B621,U$335-1)/SUMPRODUCT(--($D$335:$V$335=U$335),--($D923:$V923=1)),0)+SUM(U620)+IF(COUNTIF(U$641:U923,1)=1,5,0)+IF(COUNTIF(V621:$Z621,"&gt;"&amp;0)&gt;5,IF(MOD(COUNTIF(U$641:U923,1),7)=0,$C$4,0),0)</f>
        <v>97.6562578297643</v>
      </c>
      <c r="V621" s="81" cm="1">
        <f ca="1" t="array" ref="V621">IF(V923=1,OFFSET($Z$338,$B621,V$335-1)/SUMPRODUCT(--($D$335:$V$335=V$335),--($D923:$V923=1)),0)+SUM(V620)+IF(COUNTIF(V$641:V923,1)=1,5,0)+IF(COUNTIF(Z621:$Z621,"&gt;"&amp;0)&gt;5,IF(MOD(COUNTIF(V$641:V923,1),7)=0,$C$4,0),0)</f>
        <v>89.6984386404824</v>
      </c>
      <c r="W621" s="81" cm="1">
        <f ca="1" t="array" ref="W621">IF(W923=1,OFFSET($Z$338,$B621,W$335-1)/SUMPRODUCT(--($D$335:$V$335=W$335),--($D923:$V923=1)),0)+SUM(W620)+IF(COUNTIF(W$641:W923,1)=1,5,0)+IF(COUNTIF($Z621:AA621,"&gt;"&amp;0)&gt;5,IF(MOD(COUNTIF(W$641:W923,1),7)=0,$C$4,0),0)</f>
        <v>80.3425695255331</v>
      </c>
      <c r="X621" s="81" cm="1">
        <f ca="1" t="array" ref="X621">IF(X923=1,OFFSET($Z$338,$B621,X$335-1)/SUMPRODUCT(--($D$335:$V$335=X$335),--($D923:$V923=1)),0)+SUM(X620)+IF(COUNTIF(X$641:X923,1)=1,5,0)+IF(COUNTIF($Z621:AB621,"&gt;"&amp;0)&gt;5,IF(MOD(COUNTIF(X$641:X923,1),7)=0,$C$4,0),0)</f>
        <v>73.5789092348996</v>
      </c>
      <c r="Y621" s="81" cm="1">
        <f ca="1" t="array" ref="Y621">IF(Y923=1,OFFSET($Z$338,$B621,Y$335-1)/SUMPRODUCT(--($D$335:$V$335=Y$335),--($D923:$V923=1)),0)+SUM(Y620)+IF(COUNTIF(Y$641:Y923,1)=1,5,0)+IF(COUNTIF($Z621:AC621,"&gt;"&amp;0)&gt;5,IF(MOD(COUNTIF(Y$641:Y923,1),7)=0,$C$4,0),0)</f>
        <v>66.8152489442662</v>
      </c>
      <c r="Z621" s="82" cm="1">
        <f ca="1" t="array" ref="Z621">SUMPRODUCT(TRANSPOSE($AD621:$AJ621),OFFSET($L$10:$L$16,0,Z$335-1))</f>
        <v>0</v>
      </c>
      <c r="AA621" s="82" cm="1">
        <f ca="1" t="array" ref="AA621">SUMPRODUCT(TRANSPOSE($AD621:$AJ621),OFFSET($L$10:$L$16,0,AA$335-1))</f>
        <v>0</v>
      </c>
      <c r="AB621" s="82" cm="1">
        <f ca="1" t="array" ref="AB621">SUMPRODUCT(TRANSPOSE($AD621:$AJ621),OFFSET($L$10:$L$16,0,AB$335-1))</f>
        <v>0</v>
      </c>
      <c r="AC621" s="82" cm="1">
        <f ca="1" t="array" ref="AC621">SUMPRODUCT(TRANSPOSE($AD621:$AJ621),OFFSET($L$10:$L$16,0,AC$335-1))</f>
        <v>0</v>
      </c>
      <c r="AD621" s="83">
        <f ca="1" t="shared" ref="AD621:AJ621" si="893">AK621-AK620</f>
        <v>0</v>
      </c>
      <c r="AE621" s="83">
        <f ca="1" t="shared" si="893"/>
        <v>0</v>
      </c>
      <c r="AF621" s="83">
        <f ca="1" t="shared" si="893"/>
        <v>0</v>
      </c>
      <c r="AG621" s="83">
        <f ca="1" t="shared" si="893"/>
        <v>0</v>
      </c>
      <c r="AH621" s="83">
        <f ca="1" t="shared" si="893"/>
        <v>0</v>
      </c>
      <c r="AI621" s="83">
        <f ca="1" t="shared" si="893"/>
        <v>0</v>
      </c>
      <c r="AJ621" s="83">
        <f ca="1" t="shared" si="893"/>
        <v>0</v>
      </c>
      <c r="AK621" s="83">
        <f ca="1" t="shared" si="841"/>
        <v>450</v>
      </c>
      <c r="AL621" s="83">
        <f ca="1" t="shared" ref="AL621:AQ621" si="894">IF($C621&gt;OFFSET($Q$9,MATCH(AL$338,$AK$338:$AQ$338,0),0),OFFSET($P$9,MATCH(AL$338,$AK$338:$AQ$338,0),0),MAX(0,$C621-OFFSET($Q$9,RIGHT(AL$338,1)-1,0)))</f>
        <v>909</v>
      </c>
      <c r="AM621" s="83">
        <f ca="1" t="shared" si="894"/>
        <v>1818</v>
      </c>
      <c r="AN621" s="83">
        <f ca="1" t="shared" si="894"/>
        <v>2727</v>
      </c>
      <c r="AO621" s="83">
        <f ca="1" t="shared" si="894"/>
        <v>3636</v>
      </c>
      <c r="AP621" s="83">
        <f ca="1" t="shared" si="894"/>
        <v>4545</v>
      </c>
      <c r="AQ621" s="83">
        <f ca="1" t="shared" si="894"/>
        <v>0</v>
      </c>
    </row>
    <row r="622" ht="16.5" spans="2:43">
      <c r="B622" s="65">
        <v>284</v>
      </c>
      <c r="C622" s="80">
        <f t="shared" si="839"/>
        <v>32566</v>
      </c>
      <c r="D622" s="81" cm="1">
        <f ca="1" t="array" ref="D622">IF(D924=1,OFFSET($Z$338,$B622,D$335-1)/SUMPRODUCT(--($D$335:$V$335=D$335),--($D924:$V924=1)),0)+SUM(D621)+IF(COUNTIF(D$641:D924,1)=1,5,0)+IF(COUNTIF(E622:$Z622,"&gt;"&amp;0)&gt;5,IF(MOD(COUNTIF(D$641:D924,1),7)=0,$C$4,0),0)</f>
        <v>1318.82134856666</v>
      </c>
      <c r="E622" s="81" cm="1">
        <f ca="1" t="array" ref="E622">IF(E924=1,OFFSET($Z$338,$B622,E$335-1)/SUMPRODUCT(--($D$335:$V$335=E$335),--($D924:$V924=1)),0)+SUM(E621)+IF(COUNTIF(E$641:E924,1)=1,5,0)+IF(COUNTIF(F622:$Z622,"&gt;"&amp;0)&gt;5,IF(MOD(COUNTIF(E$641:E924,1),7)=0,$C$4,0),0)</f>
        <v>1318.82134856666</v>
      </c>
      <c r="F622" s="81" cm="1">
        <f ca="1" t="array" ref="F622">IF(F924=1,OFFSET($Z$338,$B622,F$335-1)/SUMPRODUCT(--($D$335:$V$335=F$335),--($D924:$V924=1)),0)+SUM(F621)+IF(COUNTIF(F$641:F924,1)=1,5,0)+IF(COUNTIF(G622:$Z622,"&gt;"&amp;0)&gt;5,IF(MOD(COUNTIF(F$641:F924,1),7)=0,$C$4,0),0)</f>
        <v>1318.82134856666</v>
      </c>
      <c r="G622" s="81" cm="1">
        <f ca="1" t="array" ref="G622">IF(G924=1,OFFSET($Z$338,$B622,G$335-1)/SUMPRODUCT(--($D$335:$V$335=G$335),--($D924:$V924=1)),0)+SUM(G621)+IF(COUNTIF(G$641:G924,1)=1,5,0)+IF(COUNTIF(H622:$Z622,"&gt;"&amp;0)&gt;5,IF(MOD(COUNTIF(G$641:G924,1),7)=0,$C$4,0),0)</f>
        <v>607.516666666668</v>
      </c>
      <c r="H622" s="81" cm="1">
        <f ca="1" t="array" ref="H622">IF(H924=1,OFFSET($Z$338,$B622,H$335-1)/SUMPRODUCT(--($D$335:$V$335=H$335),--($D924:$V924=1)),0)+SUM(H621)+IF(COUNTIF(H$641:H924,1)=1,5,0)+IF(COUNTIF(I622:$Z622,"&gt;"&amp;0)&gt;5,IF(MOD(COUNTIF(H$641:H924,1),7)=0,$C$4,0),0)</f>
        <v>607.516666666668</v>
      </c>
      <c r="I622" s="81" cm="1">
        <f ca="1" t="array" ref="I622">IF(I924=1,OFFSET($Z$338,$B622,I$335-1)/SUMPRODUCT(--($D$335:$V$335=I$335),--($D924:$V924=1)),0)+SUM(I621)+IF(COUNTIF(I$641:I924,1)=1,5,0)+IF(COUNTIF(J622:$Z622,"&gt;"&amp;0)&gt;5,IF(MOD(COUNTIF(I$641:I924,1),7)=0,$C$4,0),0)</f>
        <v>607.516666666668</v>
      </c>
      <c r="J622" s="81" cm="1">
        <f ca="1" t="array" ref="J622">IF(J924=1,OFFSET($Z$338,$B622,J$335-1)/SUMPRODUCT(--($D$335:$V$335=J$335),--($D924:$V924=1)),0)+SUM(J621)+IF(COUNTIF(J$641:J924,1)=1,5,0)+IF(COUNTIF(K622:$Z622,"&gt;"&amp;0)&gt;5,IF(MOD(COUNTIF(J$641:J924,1),7)=0,$C$4,0),0)</f>
        <v>607.516666666668</v>
      </c>
      <c r="K622" s="81" cm="1">
        <f ca="1" t="array" ref="K622">IF(K924=1,OFFSET($Z$338,$B622,K$335-1)/SUMPRODUCT(--($D$335:$V$335=K$335),--($D924:$V924=1)),0)+SUM(K621)+IF(COUNTIF(K$641:K924,1)=1,5,0)+IF(COUNTIF(L622:$Z622,"&gt;"&amp;0)&gt;5,IF(MOD(COUNTIF(K$641:K924,1),7)=0,$C$4,0),0)</f>
        <v>607.516666666668</v>
      </c>
      <c r="L622" s="81" cm="1">
        <f ca="1" t="array" ref="L622">IF(L924=1,OFFSET($Z$338,$B622,L$335-1)/SUMPRODUCT(--($D$335:$V$335=L$335),--($D924:$V924=1)),0)+SUM(L621)+IF(COUNTIF(L$641:L924,1)=1,5,0)+IF(COUNTIF(M622:$Z622,"&gt;"&amp;0)&gt;5,IF(MOD(COUNTIF(L$641:L924,1),7)=0,$C$4,0),0)</f>
        <v>600.816666666668</v>
      </c>
      <c r="M622" s="81" cm="1">
        <f ca="1" t="array" ref="M622">IF(M924=1,OFFSET($Z$338,$B622,M$335-1)/SUMPRODUCT(--($D$335:$V$335=M$335),--($D924:$V924=1)),0)+SUM(M621)+IF(COUNTIF(M$641:M924,1)=1,5,0)+IF(COUNTIF(N622:$Z622,"&gt;"&amp;0)&gt;5,IF(MOD(COUNTIF(M$641:M924,1),7)=0,$C$4,0),0)</f>
        <v>355.644107142858</v>
      </c>
      <c r="N622" s="81" cm="1">
        <f ca="1" t="array" ref="N622">IF(N924=1,OFFSET($Z$338,$B622,N$335-1)/SUMPRODUCT(--($D$335:$V$335=N$335),--($D924:$V924=1)),0)+SUM(N621)+IF(COUNTIF(N$641:N924,1)=1,5,0)+IF(COUNTIF(O622:$Z622,"&gt;"&amp;0)&gt;5,IF(MOD(COUNTIF(N$641:N924,1),7)=0,$C$4,0),0)</f>
        <v>347.919107142858</v>
      </c>
      <c r="O622" s="81" cm="1">
        <f ca="1" t="array" ref="O622">IF(O924=1,OFFSET($Z$338,$B622,O$335-1)/SUMPRODUCT(--($D$335:$V$335=O$335),--($D924:$V924=1)),0)+SUM(O621)+IF(COUNTIF(O$641:O924,1)=1,5,0)+IF(COUNTIF(P622:$Z622,"&gt;"&amp;0)&gt;5,IF(MOD(COUNTIF(O$641:O924,1),7)=0,$C$4,0),0)</f>
        <v>345.494107142858</v>
      </c>
      <c r="P622" s="81" cm="1">
        <f ca="1" t="array" ref="P622">IF(P924=1,OFFSET($Z$338,$B622,P$335-1)/SUMPRODUCT(--($D$335:$V$335=P$335),--($D924:$V924=1)),0)+SUM(P621)+IF(COUNTIF(P$641:P924,1)=1,5,0)+IF(COUNTIF(Q622:$Z622,"&gt;"&amp;0)&gt;5,IF(MOD(COUNTIF(P$641:P924,1),7)=0,$C$4,0),0)</f>
        <v>337.560773809524</v>
      </c>
      <c r="Q622" s="81" cm="1">
        <f ca="1" t="array" ref="Q622">IF(Q924=1,OFFSET($Z$338,$B622,Q$335-1)/SUMPRODUCT(--($D$335:$V$335=Q$335),--($D924:$V924=1)),0)+SUM(Q621)+IF(COUNTIF(Q$641:Q924,1)=1,5,0)+IF(COUNTIF(R622:$Z622,"&gt;"&amp;0)&gt;5,IF(MOD(COUNTIF(Q$641:Q924,1),7)=0,$C$4,0),0)</f>
        <v>336.654523809524</v>
      </c>
      <c r="R622" s="81" cm="1">
        <f ca="1" t="array" ref="R622">IF(R924=1,OFFSET($Z$338,$B622,R$335-1)/SUMPRODUCT(--($D$335:$V$335=R$335),--($D924:$V924=1)),0)+SUM(R621)+IF(COUNTIF(R$641:R924,1)=1,5,0)+IF(COUNTIF(S622:$Z622,"&gt;"&amp;0)&gt;5,IF(MOD(COUNTIF(R$641:R924,1),7)=0,$C$4,0),0)</f>
        <v>311.759523809524</v>
      </c>
      <c r="S622" s="81" cm="1">
        <f ca="1" t="array" ref="S622">IF(S924=1,OFFSET($Z$338,$B622,S$335-1)/SUMPRODUCT(--($D$335:$V$335=S$335),--($D924:$V924=1)),0)+SUM(S621)+IF(COUNTIF(S$641:S924,1)=1,5,0)+IF(COUNTIF(T622:$Z622,"&gt;"&amp;0)&gt;5,IF(MOD(COUNTIF(S$641:S924,1),7)=0,$C$4,0),0)</f>
        <v>302.592857142857</v>
      </c>
      <c r="T622" s="81" cm="1">
        <f ca="1" t="array" ref="T622">IF(T924=1,OFFSET($Z$338,$B622,T$335-1)/SUMPRODUCT(--($D$335:$V$335=T$335),--($D924:$V924=1)),0)+SUM(T621)+IF(COUNTIF(T$641:T924,1)=1,5,0)+IF(COUNTIF(U622:$Z622,"&gt;"&amp;0)&gt;5,IF(MOD(COUNTIF(T$641:T924,1),7)=0,$C$4,0),0)</f>
        <v>137.656257829764</v>
      </c>
      <c r="U622" s="81" cm="1">
        <f ca="1" t="array" ref="U622">IF(U924=1,OFFSET($Z$338,$B622,U$335-1)/SUMPRODUCT(--($D$335:$V$335=U$335),--($D924:$V924=1)),0)+SUM(U621)+IF(COUNTIF(U$641:U924,1)=1,5,0)+IF(COUNTIF(V622:$Z622,"&gt;"&amp;0)&gt;5,IF(MOD(COUNTIF(U$641:U924,1),7)=0,$C$4,0),0)</f>
        <v>97.6562578297643</v>
      </c>
      <c r="V622" s="81" cm="1">
        <f ca="1" t="array" ref="V622">IF(V924=1,OFFSET($Z$338,$B622,V$335-1)/SUMPRODUCT(--($D$335:$V$335=V$335),--($D924:$V924=1)),0)+SUM(V621)+IF(COUNTIF(V$641:V924,1)=1,5,0)+IF(COUNTIF(Z622:$Z622,"&gt;"&amp;0)&gt;5,IF(MOD(COUNTIF(V$641:V924,1),7)=0,$C$4,0),0)</f>
        <v>89.6984386404824</v>
      </c>
      <c r="W622" s="81" cm="1">
        <f ca="1" t="array" ref="W622">IF(W924=1,OFFSET($Z$338,$B622,W$335-1)/SUMPRODUCT(--($D$335:$V$335=W$335),--($D924:$V924=1)),0)+SUM(W621)+IF(COUNTIF(W$641:W924,1)=1,5,0)+IF(COUNTIF($Z622:AA622,"&gt;"&amp;0)&gt;5,IF(MOD(COUNTIF(W$641:W924,1),7)=0,$C$4,0),0)</f>
        <v>80.3425695255331</v>
      </c>
      <c r="X622" s="81" cm="1">
        <f ca="1" t="array" ref="X622">IF(X924=1,OFFSET($Z$338,$B622,X$335-1)/SUMPRODUCT(--($D$335:$V$335=X$335),--($D924:$V924=1)),0)+SUM(X621)+IF(COUNTIF(X$641:X924,1)=1,5,0)+IF(COUNTIF($Z622:AB622,"&gt;"&amp;0)&gt;5,IF(MOD(COUNTIF(X$641:X924,1),7)=0,$C$4,0),0)</f>
        <v>73.5789092348996</v>
      </c>
      <c r="Y622" s="81" cm="1">
        <f ca="1" t="array" ref="Y622">IF(Y924=1,OFFSET($Z$338,$B622,Y$335-1)/SUMPRODUCT(--($D$335:$V$335=Y$335),--($D924:$V924=1)),0)+SUM(Y621)+IF(COUNTIF(Y$641:Y924,1)=1,5,0)+IF(COUNTIF($Z622:AC622,"&gt;"&amp;0)&gt;5,IF(MOD(COUNTIF(Y$641:Y924,1),7)=0,$C$4,0),0)</f>
        <v>66.8152489442662</v>
      </c>
      <c r="Z622" s="82" cm="1">
        <f ca="1" t="array" ref="Z622">SUMPRODUCT(TRANSPOSE($AD622:$AJ622),OFFSET($L$10:$L$16,0,Z$335-1))</f>
        <v>0</v>
      </c>
      <c r="AA622" s="82" cm="1">
        <f ca="1" t="array" ref="AA622">SUMPRODUCT(TRANSPOSE($AD622:$AJ622),OFFSET($L$10:$L$16,0,AA$335-1))</f>
        <v>0</v>
      </c>
      <c r="AB622" s="82" cm="1">
        <f ca="1" t="array" ref="AB622">SUMPRODUCT(TRANSPOSE($AD622:$AJ622),OFFSET($L$10:$L$16,0,AB$335-1))</f>
        <v>0</v>
      </c>
      <c r="AC622" s="82" cm="1">
        <f ca="1" t="array" ref="AC622">SUMPRODUCT(TRANSPOSE($AD622:$AJ622),OFFSET($L$10:$L$16,0,AC$335-1))</f>
        <v>0</v>
      </c>
      <c r="AD622" s="83">
        <f ca="1" t="shared" ref="AD622:AJ622" si="895">AK622-AK621</f>
        <v>0</v>
      </c>
      <c r="AE622" s="83">
        <f ca="1" t="shared" si="895"/>
        <v>0</v>
      </c>
      <c r="AF622" s="83">
        <f ca="1" t="shared" si="895"/>
        <v>0</v>
      </c>
      <c r="AG622" s="83">
        <f ca="1" t="shared" si="895"/>
        <v>0</v>
      </c>
      <c r="AH622" s="83">
        <f ca="1" t="shared" si="895"/>
        <v>0</v>
      </c>
      <c r="AI622" s="83">
        <f ca="1" t="shared" si="895"/>
        <v>0</v>
      </c>
      <c r="AJ622" s="83">
        <f ca="1" t="shared" si="895"/>
        <v>0</v>
      </c>
      <c r="AK622" s="83">
        <f ca="1" t="shared" si="841"/>
        <v>450</v>
      </c>
      <c r="AL622" s="83">
        <f ca="1" t="shared" ref="AL622:AQ622" si="896">IF($C622&gt;OFFSET($Q$9,MATCH(AL$338,$AK$338:$AQ$338,0),0),OFFSET($P$9,MATCH(AL$338,$AK$338:$AQ$338,0),0),MAX(0,$C622-OFFSET($Q$9,RIGHT(AL$338,1)-1,0)))</f>
        <v>909</v>
      </c>
      <c r="AM622" s="83">
        <f ca="1" t="shared" si="896"/>
        <v>1818</v>
      </c>
      <c r="AN622" s="83">
        <f ca="1" t="shared" si="896"/>
        <v>2727</v>
      </c>
      <c r="AO622" s="83">
        <f ca="1" t="shared" si="896"/>
        <v>3636</v>
      </c>
      <c r="AP622" s="83">
        <f ca="1" t="shared" si="896"/>
        <v>4545</v>
      </c>
      <c r="AQ622" s="83">
        <f ca="1" t="shared" si="896"/>
        <v>0</v>
      </c>
    </row>
    <row r="623" ht="16.5" spans="2:43">
      <c r="B623" s="65">
        <v>285</v>
      </c>
      <c r="C623" s="80">
        <f t="shared" si="839"/>
        <v>32676</v>
      </c>
      <c r="D623" s="81" cm="1">
        <f ca="1" t="array" ref="D623">IF(D925=1,OFFSET($Z$338,$B623,D$335-1)/SUMPRODUCT(--($D$335:$V$335=D$335),--($D925:$V925=1)),0)+SUM(D622)+IF(COUNTIF(D$641:D925,1)=1,5,0)+IF(COUNTIF(E623:$Z623,"&gt;"&amp;0)&gt;5,IF(MOD(COUNTIF(D$641:D925,1),7)=0,$C$4,0),0)</f>
        <v>1318.82134856666</v>
      </c>
      <c r="E623" s="81" cm="1">
        <f ca="1" t="array" ref="E623">IF(E925=1,OFFSET($Z$338,$B623,E$335-1)/SUMPRODUCT(--($D$335:$V$335=E$335),--($D925:$V925=1)),0)+SUM(E622)+IF(COUNTIF(E$641:E925,1)=1,5,0)+IF(COUNTIF(F623:$Z623,"&gt;"&amp;0)&gt;5,IF(MOD(COUNTIF(E$641:E925,1),7)=0,$C$4,0),0)</f>
        <v>1318.82134856666</v>
      </c>
      <c r="F623" s="81" cm="1">
        <f ca="1" t="array" ref="F623">IF(F925=1,OFFSET($Z$338,$B623,F$335-1)/SUMPRODUCT(--($D$335:$V$335=F$335),--($D925:$V925=1)),0)+SUM(F622)+IF(COUNTIF(F$641:F925,1)=1,5,0)+IF(COUNTIF(G623:$Z623,"&gt;"&amp;0)&gt;5,IF(MOD(COUNTIF(F$641:F925,1),7)=0,$C$4,0),0)</f>
        <v>1318.82134856666</v>
      </c>
      <c r="G623" s="81" cm="1">
        <f ca="1" t="array" ref="G623">IF(G925=1,OFFSET($Z$338,$B623,G$335-1)/SUMPRODUCT(--($D$335:$V$335=G$335),--($D925:$V925=1)),0)+SUM(G622)+IF(COUNTIF(G$641:G925,1)=1,5,0)+IF(COUNTIF(H623:$Z623,"&gt;"&amp;0)&gt;5,IF(MOD(COUNTIF(G$641:G925,1),7)=0,$C$4,0),0)</f>
        <v>607.516666666668</v>
      </c>
      <c r="H623" s="81" cm="1">
        <f ca="1" t="array" ref="H623">IF(H925=1,OFFSET($Z$338,$B623,H$335-1)/SUMPRODUCT(--($D$335:$V$335=H$335),--($D925:$V925=1)),0)+SUM(H622)+IF(COUNTIF(H$641:H925,1)=1,5,0)+IF(COUNTIF(I623:$Z623,"&gt;"&amp;0)&gt;5,IF(MOD(COUNTIF(H$641:H925,1),7)=0,$C$4,0),0)</f>
        <v>607.516666666668</v>
      </c>
      <c r="I623" s="81" cm="1">
        <f ca="1" t="array" ref="I623">IF(I925=1,OFFSET($Z$338,$B623,I$335-1)/SUMPRODUCT(--($D$335:$V$335=I$335),--($D925:$V925=1)),0)+SUM(I622)+IF(COUNTIF(I$641:I925,1)=1,5,0)+IF(COUNTIF(J623:$Z623,"&gt;"&amp;0)&gt;5,IF(MOD(COUNTIF(I$641:I925,1),7)=0,$C$4,0),0)</f>
        <v>607.516666666668</v>
      </c>
      <c r="J623" s="81" cm="1">
        <f ca="1" t="array" ref="J623">IF(J925=1,OFFSET($Z$338,$B623,J$335-1)/SUMPRODUCT(--($D$335:$V$335=J$335),--($D925:$V925=1)),0)+SUM(J622)+IF(COUNTIF(J$641:J925,1)=1,5,0)+IF(COUNTIF(K623:$Z623,"&gt;"&amp;0)&gt;5,IF(MOD(COUNTIF(J$641:J925,1),7)=0,$C$4,0),0)</f>
        <v>607.516666666668</v>
      </c>
      <c r="K623" s="81" cm="1">
        <f ca="1" t="array" ref="K623">IF(K925=1,OFFSET($Z$338,$B623,K$335-1)/SUMPRODUCT(--($D$335:$V$335=K$335),--($D925:$V925=1)),0)+SUM(K622)+IF(COUNTIF(K$641:K925,1)=1,5,0)+IF(COUNTIF(L623:$Z623,"&gt;"&amp;0)&gt;5,IF(MOD(COUNTIF(K$641:K925,1),7)=0,$C$4,0),0)</f>
        <v>607.516666666668</v>
      </c>
      <c r="L623" s="81" cm="1">
        <f ca="1" t="array" ref="L623">IF(L925=1,OFFSET($Z$338,$B623,L$335-1)/SUMPRODUCT(--($D$335:$V$335=L$335),--($D925:$V925=1)),0)+SUM(L622)+IF(COUNTIF(L$641:L925,1)=1,5,0)+IF(COUNTIF(M623:$Z623,"&gt;"&amp;0)&gt;5,IF(MOD(COUNTIF(L$641:L925,1),7)=0,$C$4,0),0)</f>
        <v>600.816666666668</v>
      </c>
      <c r="M623" s="81" cm="1">
        <f ca="1" t="array" ref="M623">IF(M925=1,OFFSET($Z$338,$B623,M$335-1)/SUMPRODUCT(--($D$335:$V$335=M$335),--($D925:$V925=1)),0)+SUM(M622)+IF(COUNTIF(M$641:M925,1)=1,5,0)+IF(COUNTIF(N623:$Z623,"&gt;"&amp;0)&gt;5,IF(MOD(COUNTIF(M$641:M925,1),7)=0,$C$4,0),0)</f>
        <v>355.644107142858</v>
      </c>
      <c r="N623" s="81" cm="1">
        <f ca="1" t="array" ref="N623">IF(N925=1,OFFSET($Z$338,$B623,N$335-1)/SUMPRODUCT(--($D$335:$V$335=N$335),--($D925:$V925=1)),0)+SUM(N622)+IF(COUNTIF(N$641:N925,1)=1,5,0)+IF(COUNTIF(O623:$Z623,"&gt;"&amp;0)&gt;5,IF(MOD(COUNTIF(N$641:N925,1),7)=0,$C$4,0),0)</f>
        <v>347.919107142858</v>
      </c>
      <c r="O623" s="81" cm="1">
        <f ca="1" t="array" ref="O623">IF(O925=1,OFFSET($Z$338,$B623,O$335-1)/SUMPRODUCT(--($D$335:$V$335=O$335),--($D925:$V925=1)),0)+SUM(O622)+IF(COUNTIF(O$641:O925,1)=1,5,0)+IF(COUNTIF(P623:$Z623,"&gt;"&amp;0)&gt;5,IF(MOD(COUNTIF(O$641:O925,1),7)=0,$C$4,0),0)</f>
        <v>345.494107142858</v>
      </c>
      <c r="P623" s="81" cm="1">
        <f ca="1" t="array" ref="P623">IF(P925=1,OFFSET($Z$338,$B623,P$335-1)/SUMPRODUCT(--($D$335:$V$335=P$335),--($D925:$V925=1)),0)+SUM(P622)+IF(COUNTIF(P$641:P925,1)=1,5,0)+IF(COUNTIF(Q623:$Z623,"&gt;"&amp;0)&gt;5,IF(MOD(COUNTIF(P$641:P925,1),7)=0,$C$4,0),0)</f>
        <v>342.560773809524</v>
      </c>
      <c r="Q623" s="81" cm="1">
        <f ca="1" t="array" ref="Q623">IF(Q925=1,OFFSET($Z$338,$B623,Q$335-1)/SUMPRODUCT(--($D$335:$V$335=Q$335),--($D925:$V925=1)),0)+SUM(Q622)+IF(COUNTIF(Q$641:Q925,1)=1,5,0)+IF(COUNTIF(R623:$Z623,"&gt;"&amp;0)&gt;5,IF(MOD(COUNTIF(Q$641:Q925,1),7)=0,$C$4,0),0)</f>
        <v>336.654523809524</v>
      </c>
      <c r="R623" s="81" cm="1">
        <f ca="1" t="array" ref="R623">IF(R925=1,OFFSET($Z$338,$B623,R$335-1)/SUMPRODUCT(--($D$335:$V$335=R$335),--($D925:$V925=1)),0)+SUM(R622)+IF(COUNTIF(R$641:R925,1)=1,5,0)+IF(COUNTIF(S623:$Z623,"&gt;"&amp;0)&gt;5,IF(MOD(COUNTIF(R$641:R925,1),7)=0,$C$4,0),0)</f>
        <v>311.759523809524</v>
      </c>
      <c r="S623" s="81" cm="1">
        <f ca="1" t="array" ref="S623">IF(S925=1,OFFSET($Z$338,$B623,S$335-1)/SUMPRODUCT(--($D$335:$V$335=S$335),--($D925:$V925=1)),0)+SUM(S622)+IF(COUNTIF(S$641:S925,1)=1,5,0)+IF(COUNTIF(T623:$Z623,"&gt;"&amp;0)&gt;5,IF(MOD(COUNTIF(S$641:S925,1),7)=0,$C$4,0),0)</f>
        <v>307.592857142857</v>
      </c>
      <c r="T623" s="81" cm="1">
        <f ca="1" t="array" ref="T623">IF(T925=1,OFFSET($Z$338,$B623,T$335-1)/SUMPRODUCT(--($D$335:$V$335=T$335),--($D925:$V925=1)),0)+SUM(T622)+IF(COUNTIF(T$641:T925,1)=1,5,0)+IF(COUNTIF(U623:$Z623,"&gt;"&amp;0)&gt;5,IF(MOD(COUNTIF(T$641:T925,1),7)=0,$C$4,0),0)</f>
        <v>137.656257829764</v>
      </c>
      <c r="U623" s="81" cm="1">
        <f ca="1" t="array" ref="U623">IF(U925=1,OFFSET($Z$338,$B623,U$335-1)/SUMPRODUCT(--($D$335:$V$335=U$335),--($D925:$V925=1)),0)+SUM(U622)+IF(COUNTIF(U$641:U925,1)=1,5,0)+IF(COUNTIF(V623:$Z623,"&gt;"&amp;0)&gt;5,IF(MOD(COUNTIF(U$641:U925,1),7)=0,$C$4,0),0)</f>
        <v>97.6562578297643</v>
      </c>
      <c r="V623" s="81" cm="1">
        <f ca="1" t="array" ref="V623">IF(V925=1,OFFSET($Z$338,$B623,V$335-1)/SUMPRODUCT(--($D$335:$V$335=V$335),--($D925:$V925=1)),0)+SUM(V622)+IF(COUNTIF(V$641:V925,1)=1,5,0)+IF(COUNTIF(Z623:$Z623,"&gt;"&amp;0)&gt;5,IF(MOD(COUNTIF(V$641:V925,1),7)=0,$C$4,0),0)</f>
        <v>89.6984386404824</v>
      </c>
      <c r="W623" s="81" cm="1">
        <f ca="1" t="array" ref="W623">IF(W925=1,OFFSET($Z$338,$B623,W$335-1)/SUMPRODUCT(--($D$335:$V$335=W$335),--($D925:$V925=1)),0)+SUM(W622)+IF(COUNTIF(W$641:W925,1)=1,5,0)+IF(COUNTIF($Z623:AA623,"&gt;"&amp;0)&gt;5,IF(MOD(COUNTIF(W$641:W925,1),7)=0,$C$4,0),0)</f>
        <v>80.3425695255331</v>
      </c>
      <c r="X623" s="81" cm="1">
        <f ca="1" t="array" ref="X623">IF(X925=1,OFFSET($Z$338,$B623,X$335-1)/SUMPRODUCT(--($D$335:$V$335=X$335),--($D925:$V925=1)),0)+SUM(X622)+IF(COUNTIF(X$641:X925,1)=1,5,0)+IF(COUNTIF($Z623:AB623,"&gt;"&amp;0)&gt;5,IF(MOD(COUNTIF(X$641:X925,1),7)=0,$C$4,0),0)</f>
        <v>73.5789092348996</v>
      </c>
      <c r="Y623" s="81" cm="1">
        <f ca="1" t="array" ref="Y623">IF(Y925=1,OFFSET($Z$338,$B623,Y$335-1)/SUMPRODUCT(--($D$335:$V$335=Y$335),--($D925:$V925=1)),0)+SUM(Y622)+IF(COUNTIF(Y$641:Y925,1)=1,5,0)+IF(COUNTIF($Z623:AC623,"&gt;"&amp;0)&gt;5,IF(MOD(COUNTIF(Y$641:Y925,1),7)=0,$C$4,0),0)</f>
        <v>66.8152489442662</v>
      </c>
      <c r="Z623" s="82" cm="1">
        <f ca="1" t="array" ref="Z623">SUMPRODUCT(TRANSPOSE($AD623:$AJ623),OFFSET($L$10:$L$16,0,Z$335-1))</f>
        <v>0</v>
      </c>
      <c r="AA623" s="82" cm="1">
        <f ca="1" t="array" ref="AA623">SUMPRODUCT(TRANSPOSE($AD623:$AJ623),OFFSET($L$10:$L$16,0,AA$335-1))</f>
        <v>0</v>
      </c>
      <c r="AB623" s="82" cm="1">
        <f ca="1" t="array" ref="AB623">SUMPRODUCT(TRANSPOSE($AD623:$AJ623),OFFSET($L$10:$L$16,0,AB$335-1))</f>
        <v>0</v>
      </c>
      <c r="AC623" s="82" cm="1">
        <f ca="1" t="array" ref="AC623">SUMPRODUCT(TRANSPOSE($AD623:$AJ623),OFFSET($L$10:$L$16,0,AC$335-1))</f>
        <v>0</v>
      </c>
      <c r="AD623" s="83">
        <f ca="1" t="shared" ref="AD623:AJ623" si="897">AK623-AK622</f>
        <v>0</v>
      </c>
      <c r="AE623" s="83">
        <f ca="1" t="shared" si="897"/>
        <v>0</v>
      </c>
      <c r="AF623" s="83">
        <f ca="1" t="shared" si="897"/>
        <v>0</v>
      </c>
      <c r="AG623" s="83">
        <f ca="1" t="shared" si="897"/>
        <v>0</v>
      </c>
      <c r="AH623" s="83">
        <f ca="1" t="shared" si="897"/>
        <v>0</v>
      </c>
      <c r="AI623" s="83">
        <f ca="1" t="shared" si="897"/>
        <v>0</v>
      </c>
      <c r="AJ623" s="83">
        <f ca="1" t="shared" si="897"/>
        <v>0</v>
      </c>
      <c r="AK623" s="83">
        <f ca="1" t="shared" si="841"/>
        <v>450</v>
      </c>
      <c r="AL623" s="83">
        <f ca="1" t="shared" ref="AL623:AQ623" si="898">IF($C623&gt;OFFSET($Q$9,MATCH(AL$338,$AK$338:$AQ$338,0),0),OFFSET($P$9,MATCH(AL$338,$AK$338:$AQ$338,0),0),MAX(0,$C623-OFFSET($Q$9,RIGHT(AL$338,1)-1,0)))</f>
        <v>909</v>
      </c>
      <c r="AM623" s="83">
        <f ca="1" t="shared" si="898"/>
        <v>1818</v>
      </c>
      <c r="AN623" s="83">
        <f ca="1" t="shared" si="898"/>
        <v>2727</v>
      </c>
      <c r="AO623" s="83">
        <f ca="1" t="shared" si="898"/>
        <v>3636</v>
      </c>
      <c r="AP623" s="83">
        <f ca="1" t="shared" si="898"/>
        <v>4545</v>
      </c>
      <c r="AQ623" s="83">
        <f ca="1" t="shared" si="898"/>
        <v>0</v>
      </c>
    </row>
    <row r="624" ht="16.5" spans="2:43">
      <c r="B624" s="65">
        <v>286</v>
      </c>
      <c r="C624" s="80">
        <f t="shared" si="839"/>
        <v>32786</v>
      </c>
      <c r="D624" s="81" cm="1">
        <f ca="1" t="array" ref="D624">IF(D926=1,OFFSET($Z$338,$B624,D$335-1)/SUMPRODUCT(--($D$335:$V$335=D$335),--($D926:$V926=1)),0)+SUM(D623)+IF(COUNTIF(D$641:D926,1)=1,5,0)+IF(COUNTIF(E624:$Z624,"&gt;"&amp;0)&gt;5,IF(MOD(COUNTIF(D$641:D926,1),7)=0,$C$4,0),0)</f>
        <v>1318.82134856666</v>
      </c>
      <c r="E624" s="81" cm="1">
        <f ca="1" t="array" ref="E624">IF(E926=1,OFFSET($Z$338,$B624,E$335-1)/SUMPRODUCT(--($D$335:$V$335=E$335),--($D926:$V926=1)),0)+SUM(E623)+IF(COUNTIF(E$641:E926,1)=1,5,0)+IF(COUNTIF(F624:$Z624,"&gt;"&amp;0)&gt;5,IF(MOD(COUNTIF(E$641:E926,1),7)=0,$C$4,0),0)</f>
        <v>1318.82134856666</v>
      </c>
      <c r="F624" s="81" cm="1">
        <f ca="1" t="array" ref="F624">IF(F926=1,OFFSET($Z$338,$B624,F$335-1)/SUMPRODUCT(--($D$335:$V$335=F$335),--($D926:$V926=1)),0)+SUM(F623)+IF(COUNTIF(F$641:F926,1)=1,5,0)+IF(COUNTIF(G624:$Z624,"&gt;"&amp;0)&gt;5,IF(MOD(COUNTIF(F$641:F926,1),7)=0,$C$4,0),0)</f>
        <v>1318.82134856666</v>
      </c>
      <c r="G624" s="81" cm="1">
        <f ca="1" t="array" ref="G624">IF(G926=1,OFFSET($Z$338,$B624,G$335-1)/SUMPRODUCT(--($D$335:$V$335=G$335),--($D926:$V926=1)),0)+SUM(G623)+IF(COUNTIF(G$641:G926,1)=1,5,0)+IF(COUNTIF(H624:$Z624,"&gt;"&amp;0)&gt;5,IF(MOD(COUNTIF(G$641:G926,1),7)=0,$C$4,0),0)</f>
        <v>607.516666666668</v>
      </c>
      <c r="H624" s="81" cm="1">
        <f ca="1" t="array" ref="H624">IF(H926=1,OFFSET($Z$338,$B624,H$335-1)/SUMPRODUCT(--($D$335:$V$335=H$335),--($D926:$V926=1)),0)+SUM(H623)+IF(COUNTIF(H$641:H926,1)=1,5,0)+IF(COUNTIF(I624:$Z624,"&gt;"&amp;0)&gt;5,IF(MOD(COUNTIF(H$641:H926,1),7)=0,$C$4,0),0)</f>
        <v>607.516666666668</v>
      </c>
      <c r="I624" s="81" cm="1">
        <f ca="1" t="array" ref="I624">IF(I926=1,OFFSET($Z$338,$B624,I$335-1)/SUMPRODUCT(--($D$335:$V$335=I$335),--($D926:$V926=1)),0)+SUM(I623)+IF(COUNTIF(I$641:I926,1)=1,5,0)+IF(COUNTIF(J624:$Z624,"&gt;"&amp;0)&gt;5,IF(MOD(COUNTIF(I$641:I926,1),7)=0,$C$4,0),0)</f>
        <v>607.516666666668</v>
      </c>
      <c r="J624" s="81" cm="1">
        <f ca="1" t="array" ref="J624">IF(J926=1,OFFSET($Z$338,$B624,J$335-1)/SUMPRODUCT(--($D$335:$V$335=J$335),--($D926:$V926=1)),0)+SUM(J623)+IF(COUNTIF(J$641:J926,1)=1,5,0)+IF(COUNTIF(K624:$Z624,"&gt;"&amp;0)&gt;5,IF(MOD(COUNTIF(J$641:J926,1),7)=0,$C$4,0),0)</f>
        <v>607.516666666668</v>
      </c>
      <c r="K624" s="81" cm="1">
        <f ca="1" t="array" ref="K624">IF(K926=1,OFFSET($Z$338,$B624,K$335-1)/SUMPRODUCT(--($D$335:$V$335=K$335),--($D926:$V926=1)),0)+SUM(K623)+IF(COUNTIF(K$641:K926,1)=1,5,0)+IF(COUNTIF(L624:$Z624,"&gt;"&amp;0)&gt;5,IF(MOD(COUNTIF(K$641:K926,1),7)=0,$C$4,0),0)</f>
        <v>607.516666666668</v>
      </c>
      <c r="L624" s="81" cm="1">
        <f ca="1" t="array" ref="L624">IF(L926=1,OFFSET($Z$338,$B624,L$335-1)/SUMPRODUCT(--($D$335:$V$335=L$335),--($D926:$V926=1)),0)+SUM(L623)+IF(COUNTIF(L$641:L926,1)=1,5,0)+IF(COUNTIF(M624:$Z624,"&gt;"&amp;0)&gt;5,IF(MOD(COUNTIF(L$641:L926,1),7)=0,$C$4,0),0)</f>
        <v>600.816666666668</v>
      </c>
      <c r="M624" s="81" cm="1">
        <f ca="1" t="array" ref="M624">IF(M926=1,OFFSET($Z$338,$B624,M$335-1)/SUMPRODUCT(--($D$335:$V$335=M$335),--($D926:$V926=1)),0)+SUM(M623)+IF(COUNTIF(M$641:M926,1)=1,5,0)+IF(COUNTIF(N624:$Z624,"&gt;"&amp;0)&gt;5,IF(MOD(COUNTIF(M$641:M926,1),7)=0,$C$4,0),0)</f>
        <v>355.644107142858</v>
      </c>
      <c r="N624" s="81" cm="1">
        <f ca="1" t="array" ref="N624">IF(N926=1,OFFSET($Z$338,$B624,N$335-1)/SUMPRODUCT(--($D$335:$V$335=N$335),--($D926:$V926=1)),0)+SUM(N623)+IF(COUNTIF(N$641:N926,1)=1,5,0)+IF(COUNTIF(O624:$Z624,"&gt;"&amp;0)&gt;5,IF(MOD(COUNTIF(N$641:N926,1),7)=0,$C$4,0),0)</f>
        <v>347.919107142858</v>
      </c>
      <c r="O624" s="81" cm="1">
        <f ca="1" t="array" ref="O624">IF(O926=1,OFFSET($Z$338,$B624,O$335-1)/SUMPRODUCT(--($D$335:$V$335=O$335),--($D926:$V926=1)),0)+SUM(O623)+IF(COUNTIF(O$641:O926,1)=1,5,0)+IF(COUNTIF(P624:$Z624,"&gt;"&amp;0)&gt;5,IF(MOD(COUNTIF(O$641:O926,1),7)=0,$C$4,0),0)</f>
        <v>345.494107142858</v>
      </c>
      <c r="P624" s="81" cm="1">
        <f ca="1" t="array" ref="P624">IF(P926=1,OFFSET($Z$338,$B624,P$335-1)/SUMPRODUCT(--($D$335:$V$335=P$335),--($D926:$V926=1)),0)+SUM(P623)+IF(COUNTIF(P$641:P926,1)=1,5,0)+IF(COUNTIF(Q624:$Z624,"&gt;"&amp;0)&gt;5,IF(MOD(COUNTIF(P$641:P926,1),7)=0,$C$4,0),0)</f>
        <v>342.560773809524</v>
      </c>
      <c r="Q624" s="81" cm="1">
        <f ca="1" t="array" ref="Q624">IF(Q926=1,OFFSET($Z$338,$B624,Q$335-1)/SUMPRODUCT(--($D$335:$V$335=Q$335),--($D926:$V926=1)),0)+SUM(Q623)+IF(COUNTIF(Q$641:Q926,1)=1,5,0)+IF(COUNTIF(R624:$Z624,"&gt;"&amp;0)&gt;5,IF(MOD(COUNTIF(Q$641:Q926,1),7)=0,$C$4,0),0)</f>
        <v>341.654523809524</v>
      </c>
      <c r="R624" s="81" cm="1">
        <f ca="1" t="array" ref="R624">IF(R926=1,OFFSET($Z$338,$B624,R$335-1)/SUMPRODUCT(--($D$335:$V$335=R$335),--($D926:$V926=1)),0)+SUM(R623)+IF(COUNTIF(R$641:R926,1)=1,5,0)+IF(COUNTIF(S624:$Z624,"&gt;"&amp;0)&gt;5,IF(MOD(COUNTIF(R$641:R926,1),7)=0,$C$4,0),0)</f>
        <v>311.759523809524</v>
      </c>
      <c r="S624" s="81" cm="1">
        <f ca="1" t="array" ref="S624">IF(S926=1,OFFSET($Z$338,$B624,S$335-1)/SUMPRODUCT(--($D$335:$V$335=S$335),--($D926:$V926=1)),0)+SUM(S623)+IF(COUNTIF(S$641:S926,1)=1,5,0)+IF(COUNTIF(T624:$Z624,"&gt;"&amp;0)&gt;5,IF(MOD(COUNTIF(S$641:S926,1),7)=0,$C$4,0),0)</f>
        <v>307.592857142857</v>
      </c>
      <c r="T624" s="81" cm="1">
        <f ca="1" t="array" ref="T624">IF(T926=1,OFFSET($Z$338,$B624,T$335-1)/SUMPRODUCT(--($D$335:$V$335=T$335),--($D926:$V926=1)),0)+SUM(T623)+IF(COUNTIF(T$641:T926,1)=1,5,0)+IF(COUNTIF(U624:$Z624,"&gt;"&amp;0)&gt;5,IF(MOD(COUNTIF(T$641:T926,1),7)=0,$C$4,0),0)</f>
        <v>137.656257829764</v>
      </c>
      <c r="U624" s="81" cm="1">
        <f ca="1" t="array" ref="U624">IF(U926=1,OFFSET($Z$338,$B624,U$335-1)/SUMPRODUCT(--($D$335:$V$335=U$335),--($D926:$V926=1)),0)+SUM(U623)+IF(COUNTIF(U$641:U926,1)=1,5,0)+IF(COUNTIF(V624:$Z624,"&gt;"&amp;0)&gt;5,IF(MOD(COUNTIF(U$641:U926,1),7)=0,$C$4,0),0)</f>
        <v>97.6562578297643</v>
      </c>
      <c r="V624" s="81" cm="1">
        <f ca="1" t="array" ref="V624">IF(V926=1,OFFSET($Z$338,$B624,V$335-1)/SUMPRODUCT(--($D$335:$V$335=V$335),--($D926:$V926=1)),0)+SUM(V623)+IF(COUNTIF(V$641:V926,1)=1,5,0)+IF(COUNTIF(Z624:$Z624,"&gt;"&amp;0)&gt;5,IF(MOD(COUNTIF(V$641:V926,1),7)=0,$C$4,0),0)</f>
        <v>89.6984386404824</v>
      </c>
      <c r="W624" s="81" cm="1">
        <f ca="1" t="array" ref="W624">IF(W926=1,OFFSET($Z$338,$B624,W$335-1)/SUMPRODUCT(--($D$335:$V$335=W$335),--($D926:$V926=1)),0)+SUM(W623)+IF(COUNTIF(W$641:W926,1)=1,5,0)+IF(COUNTIF($Z624:AA624,"&gt;"&amp;0)&gt;5,IF(MOD(COUNTIF(W$641:W926,1),7)=0,$C$4,0),0)</f>
        <v>80.3425695255331</v>
      </c>
      <c r="X624" s="81" cm="1">
        <f ca="1" t="array" ref="X624">IF(X926=1,OFFSET($Z$338,$B624,X$335-1)/SUMPRODUCT(--($D$335:$V$335=X$335),--($D926:$V926=1)),0)+SUM(X623)+IF(COUNTIF(X$641:X926,1)=1,5,0)+IF(COUNTIF($Z624:AB624,"&gt;"&amp;0)&gt;5,IF(MOD(COUNTIF(X$641:X926,1),7)=0,$C$4,0),0)</f>
        <v>73.5789092348996</v>
      </c>
      <c r="Y624" s="81" cm="1">
        <f ca="1" t="array" ref="Y624">IF(Y926=1,OFFSET($Z$338,$B624,Y$335-1)/SUMPRODUCT(--($D$335:$V$335=Y$335),--($D926:$V926=1)),0)+SUM(Y623)+IF(COUNTIF(Y$641:Y926,1)=1,5,0)+IF(COUNTIF($Z624:AC624,"&gt;"&amp;0)&gt;5,IF(MOD(COUNTIF(Y$641:Y926,1),7)=0,$C$4,0),0)</f>
        <v>66.8152489442662</v>
      </c>
      <c r="Z624" s="82" cm="1">
        <f ca="1" t="array" ref="Z624">SUMPRODUCT(TRANSPOSE($AD624:$AJ624),OFFSET($L$10:$L$16,0,Z$335-1))</f>
        <v>0</v>
      </c>
      <c r="AA624" s="82" cm="1">
        <f ca="1" t="array" ref="AA624">SUMPRODUCT(TRANSPOSE($AD624:$AJ624),OFFSET($L$10:$L$16,0,AA$335-1))</f>
        <v>0</v>
      </c>
      <c r="AB624" s="82" cm="1">
        <f ca="1" t="array" ref="AB624">SUMPRODUCT(TRANSPOSE($AD624:$AJ624),OFFSET($L$10:$L$16,0,AB$335-1))</f>
        <v>0</v>
      </c>
      <c r="AC624" s="82" cm="1">
        <f ca="1" t="array" ref="AC624">SUMPRODUCT(TRANSPOSE($AD624:$AJ624),OFFSET($L$10:$L$16,0,AC$335-1))</f>
        <v>0</v>
      </c>
      <c r="AD624" s="83">
        <f ca="1" t="shared" ref="AD624:AJ624" si="899">AK624-AK623</f>
        <v>0</v>
      </c>
      <c r="AE624" s="83">
        <f ca="1" t="shared" si="899"/>
        <v>0</v>
      </c>
      <c r="AF624" s="83">
        <f ca="1" t="shared" si="899"/>
        <v>0</v>
      </c>
      <c r="AG624" s="83">
        <f ca="1" t="shared" si="899"/>
        <v>0</v>
      </c>
      <c r="AH624" s="83">
        <f ca="1" t="shared" si="899"/>
        <v>0</v>
      </c>
      <c r="AI624" s="83">
        <f ca="1" t="shared" si="899"/>
        <v>0</v>
      </c>
      <c r="AJ624" s="83">
        <f ca="1" t="shared" si="899"/>
        <v>0</v>
      </c>
      <c r="AK624" s="83">
        <f ca="1" t="shared" si="841"/>
        <v>450</v>
      </c>
      <c r="AL624" s="83">
        <f ca="1" t="shared" ref="AL624:AQ624" si="900">IF($C624&gt;OFFSET($Q$9,MATCH(AL$338,$AK$338:$AQ$338,0),0),OFFSET($P$9,MATCH(AL$338,$AK$338:$AQ$338,0),0),MAX(0,$C624-OFFSET($Q$9,RIGHT(AL$338,1)-1,0)))</f>
        <v>909</v>
      </c>
      <c r="AM624" s="83">
        <f ca="1" t="shared" si="900"/>
        <v>1818</v>
      </c>
      <c r="AN624" s="83">
        <f ca="1" t="shared" si="900"/>
        <v>2727</v>
      </c>
      <c r="AO624" s="83">
        <f ca="1" t="shared" si="900"/>
        <v>3636</v>
      </c>
      <c r="AP624" s="83">
        <f ca="1" t="shared" si="900"/>
        <v>4545</v>
      </c>
      <c r="AQ624" s="83">
        <f ca="1" t="shared" si="900"/>
        <v>0</v>
      </c>
    </row>
    <row r="625" ht="16.5" spans="2:43">
      <c r="B625" s="65">
        <v>287</v>
      </c>
      <c r="C625" s="80">
        <f t="shared" si="839"/>
        <v>32896</v>
      </c>
      <c r="D625" s="81" cm="1">
        <f ca="1" t="array" ref="D625">IF(D927=1,OFFSET($Z$338,$B625,D$335-1)/SUMPRODUCT(--($D$335:$V$335=D$335),--($D927:$V927=1)),0)+SUM(D624)+IF(COUNTIF(D$641:D927,1)=1,5,0)+IF(COUNTIF(E625:$Z625,"&gt;"&amp;0)&gt;5,IF(MOD(COUNTIF(D$641:D927,1),7)=0,$C$4,0),0)</f>
        <v>1323.82134856666</v>
      </c>
      <c r="E625" s="81" cm="1">
        <f ca="1" t="array" ref="E625">IF(E927=1,OFFSET($Z$338,$B625,E$335-1)/SUMPRODUCT(--($D$335:$V$335=E$335),--($D927:$V927=1)),0)+SUM(E624)+IF(COUNTIF(E$641:E927,1)=1,5,0)+IF(COUNTIF(F625:$Z625,"&gt;"&amp;0)&gt;5,IF(MOD(COUNTIF(E$641:E927,1),7)=0,$C$4,0),0)</f>
        <v>1323.82134856666</v>
      </c>
      <c r="F625" s="81" cm="1">
        <f ca="1" t="array" ref="F625">IF(F927=1,OFFSET($Z$338,$B625,F$335-1)/SUMPRODUCT(--($D$335:$V$335=F$335),--($D927:$V927=1)),0)+SUM(F624)+IF(COUNTIF(F$641:F927,1)=1,5,0)+IF(COUNTIF(G625:$Z625,"&gt;"&amp;0)&gt;5,IF(MOD(COUNTIF(F$641:F927,1),7)=0,$C$4,0),0)</f>
        <v>1323.82134856666</v>
      </c>
      <c r="G625" s="81" cm="1">
        <f ca="1" t="array" ref="G625">IF(G927=1,OFFSET($Z$338,$B625,G$335-1)/SUMPRODUCT(--($D$335:$V$335=G$335),--($D927:$V927=1)),0)+SUM(G624)+IF(COUNTIF(G$641:G927,1)=1,5,0)+IF(COUNTIF(H625:$Z625,"&gt;"&amp;0)&gt;5,IF(MOD(COUNTIF(G$641:G927,1),7)=0,$C$4,0),0)</f>
        <v>612.516666666668</v>
      </c>
      <c r="H625" s="81" cm="1">
        <f ca="1" t="array" ref="H625">IF(H927=1,OFFSET($Z$338,$B625,H$335-1)/SUMPRODUCT(--($D$335:$V$335=H$335),--($D927:$V927=1)),0)+SUM(H624)+IF(COUNTIF(H$641:H927,1)=1,5,0)+IF(COUNTIF(I625:$Z625,"&gt;"&amp;0)&gt;5,IF(MOD(COUNTIF(H$641:H927,1),7)=0,$C$4,0),0)</f>
        <v>612.516666666668</v>
      </c>
      <c r="I625" s="81" cm="1">
        <f ca="1" t="array" ref="I625">IF(I927=1,OFFSET($Z$338,$B625,I$335-1)/SUMPRODUCT(--($D$335:$V$335=I$335),--($D927:$V927=1)),0)+SUM(I624)+IF(COUNTIF(I$641:I927,1)=1,5,0)+IF(COUNTIF(J625:$Z625,"&gt;"&amp;0)&gt;5,IF(MOD(COUNTIF(I$641:I927,1),7)=0,$C$4,0),0)</f>
        <v>612.516666666668</v>
      </c>
      <c r="J625" s="81" cm="1">
        <f ca="1" t="array" ref="J625">IF(J927=1,OFFSET($Z$338,$B625,J$335-1)/SUMPRODUCT(--($D$335:$V$335=J$335),--($D927:$V927=1)),0)+SUM(J624)+IF(COUNTIF(J$641:J927,1)=1,5,0)+IF(COUNTIF(K625:$Z625,"&gt;"&amp;0)&gt;5,IF(MOD(COUNTIF(J$641:J927,1),7)=0,$C$4,0),0)</f>
        <v>612.516666666668</v>
      </c>
      <c r="K625" s="81" cm="1">
        <f ca="1" t="array" ref="K625">IF(K927=1,OFFSET($Z$338,$B625,K$335-1)/SUMPRODUCT(--($D$335:$V$335=K$335),--($D927:$V927=1)),0)+SUM(K624)+IF(COUNTIF(K$641:K927,1)=1,5,0)+IF(COUNTIF(L625:$Z625,"&gt;"&amp;0)&gt;5,IF(MOD(COUNTIF(K$641:K927,1),7)=0,$C$4,0),0)</f>
        <v>612.516666666668</v>
      </c>
      <c r="L625" s="81" cm="1">
        <f ca="1" t="array" ref="L625">IF(L927=1,OFFSET($Z$338,$B625,L$335-1)/SUMPRODUCT(--($D$335:$V$335=L$335),--($D927:$V927=1)),0)+SUM(L624)+IF(COUNTIF(L$641:L927,1)=1,5,0)+IF(COUNTIF(M625:$Z625,"&gt;"&amp;0)&gt;5,IF(MOD(COUNTIF(L$641:L927,1),7)=0,$C$4,0),0)</f>
        <v>600.816666666668</v>
      </c>
      <c r="M625" s="81" cm="1">
        <f ca="1" t="array" ref="M625">IF(M927=1,OFFSET($Z$338,$B625,M$335-1)/SUMPRODUCT(--($D$335:$V$335=M$335),--($D927:$V927=1)),0)+SUM(M624)+IF(COUNTIF(M$641:M927,1)=1,5,0)+IF(COUNTIF(N625:$Z625,"&gt;"&amp;0)&gt;5,IF(MOD(COUNTIF(M$641:M927,1),7)=0,$C$4,0),0)</f>
        <v>355.644107142858</v>
      </c>
      <c r="N625" s="81" cm="1">
        <f ca="1" t="array" ref="N625">IF(N927=1,OFFSET($Z$338,$B625,N$335-1)/SUMPRODUCT(--($D$335:$V$335=N$335),--($D927:$V927=1)),0)+SUM(N624)+IF(COUNTIF(N$641:N927,1)=1,5,0)+IF(COUNTIF(O625:$Z625,"&gt;"&amp;0)&gt;5,IF(MOD(COUNTIF(N$641:N927,1),7)=0,$C$4,0),0)</f>
        <v>347.919107142858</v>
      </c>
      <c r="O625" s="81" cm="1">
        <f ca="1" t="array" ref="O625">IF(O927=1,OFFSET($Z$338,$B625,O$335-1)/SUMPRODUCT(--($D$335:$V$335=O$335),--($D927:$V927=1)),0)+SUM(O624)+IF(COUNTIF(O$641:O927,1)=1,5,0)+IF(COUNTIF(P625:$Z625,"&gt;"&amp;0)&gt;5,IF(MOD(COUNTIF(O$641:O927,1),7)=0,$C$4,0),0)</f>
        <v>345.494107142858</v>
      </c>
      <c r="P625" s="81" cm="1">
        <f ca="1" t="array" ref="P625">IF(P927=1,OFFSET($Z$338,$B625,P$335-1)/SUMPRODUCT(--($D$335:$V$335=P$335),--($D927:$V927=1)),0)+SUM(P624)+IF(COUNTIF(P$641:P927,1)=1,5,0)+IF(COUNTIF(Q625:$Z625,"&gt;"&amp;0)&gt;5,IF(MOD(COUNTIF(P$641:P927,1),7)=0,$C$4,0),0)</f>
        <v>342.560773809524</v>
      </c>
      <c r="Q625" s="81" cm="1">
        <f ca="1" t="array" ref="Q625">IF(Q927=1,OFFSET($Z$338,$B625,Q$335-1)/SUMPRODUCT(--($D$335:$V$335=Q$335),--($D927:$V927=1)),0)+SUM(Q624)+IF(COUNTIF(Q$641:Q927,1)=1,5,0)+IF(COUNTIF(R625:$Z625,"&gt;"&amp;0)&gt;5,IF(MOD(COUNTIF(Q$641:Q927,1),7)=0,$C$4,0),0)</f>
        <v>341.654523809524</v>
      </c>
      <c r="R625" s="81" cm="1">
        <f ca="1" t="array" ref="R625">IF(R927=1,OFFSET($Z$338,$B625,R$335-1)/SUMPRODUCT(--($D$335:$V$335=R$335),--($D927:$V927=1)),0)+SUM(R624)+IF(COUNTIF(R$641:R927,1)=1,5,0)+IF(COUNTIF(S625:$Z625,"&gt;"&amp;0)&gt;5,IF(MOD(COUNTIF(R$641:R927,1),7)=0,$C$4,0),0)</f>
        <v>316.759523809524</v>
      </c>
      <c r="S625" s="81" cm="1">
        <f ca="1" t="array" ref="S625">IF(S927=1,OFFSET($Z$338,$B625,S$335-1)/SUMPRODUCT(--($D$335:$V$335=S$335),--($D927:$V927=1)),0)+SUM(S624)+IF(COUNTIF(S$641:S927,1)=1,5,0)+IF(COUNTIF(T625:$Z625,"&gt;"&amp;0)&gt;5,IF(MOD(COUNTIF(S$641:S927,1),7)=0,$C$4,0),0)</f>
        <v>307.592857142857</v>
      </c>
      <c r="T625" s="81" cm="1">
        <f ca="1" t="array" ref="T625">IF(T927=1,OFFSET($Z$338,$B625,T$335-1)/SUMPRODUCT(--($D$335:$V$335=T$335),--($D927:$V927=1)),0)+SUM(T624)+IF(COUNTIF(T$641:T927,1)=1,5,0)+IF(COUNTIF(U625:$Z625,"&gt;"&amp;0)&gt;5,IF(MOD(COUNTIF(T$641:T927,1),7)=0,$C$4,0),0)</f>
        <v>137.656257829764</v>
      </c>
      <c r="U625" s="81" cm="1">
        <f ca="1" t="array" ref="U625">IF(U927=1,OFFSET($Z$338,$B625,U$335-1)/SUMPRODUCT(--($D$335:$V$335=U$335),--($D927:$V927=1)),0)+SUM(U624)+IF(COUNTIF(U$641:U927,1)=1,5,0)+IF(COUNTIF(V625:$Z625,"&gt;"&amp;0)&gt;5,IF(MOD(COUNTIF(U$641:U927,1),7)=0,$C$4,0),0)</f>
        <v>97.6562578297643</v>
      </c>
      <c r="V625" s="81" cm="1">
        <f ca="1" t="array" ref="V625">IF(V927=1,OFFSET($Z$338,$B625,V$335-1)/SUMPRODUCT(--($D$335:$V$335=V$335),--($D927:$V927=1)),0)+SUM(V624)+IF(COUNTIF(V$641:V927,1)=1,5,0)+IF(COUNTIF(Z625:$Z625,"&gt;"&amp;0)&gt;5,IF(MOD(COUNTIF(V$641:V927,1),7)=0,$C$4,0),0)</f>
        <v>89.6984386404824</v>
      </c>
      <c r="W625" s="81" cm="1">
        <f ca="1" t="array" ref="W625">IF(W927=1,OFFSET($Z$338,$B625,W$335-1)/SUMPRODUCT(--($D$335:$V$335=W$335),--($D927:$V927=1)),0)+SUM(W624)+IF(COUNTIF(W$641:W927,1)=1,5,0)+IF(COUNTIF($Z625:AA625,"&gt;"&amp;0)&gt;5,IF(MOD(COUNTIF(W$641:W927,1),7)=0,$C$4,0),0)</f>
        <v>80.3425695255331</v>
      </c>
      <c r="X625" s="81" cm="1">
        <f ca="1" t="array" ref="X625">IF(X927=1,OFFSET($Z$338,$B625,X$335-1)/SUMPRODUCT(--($D$335:$V$335=X$335),--($D927:$V927=1)),0)+SUM(X624)+IF(COUNTIF(X$641:X927,1)=1,5,0)+IF(COUNTIF($Z625:AB625,"&gt;"&amp;0)&gt;5,IF(MOD(COUNTIF(X$641:X927,1),7)=0,$C$4,0),0)</f>
        <v>73.5789092348996</v>
      </c>
      <c r="Y625" s="81" cm="1">
        <f ca="1" t="array" ref="Y625">IF(Y927=1,OFFSET($Z$338,$B625,Y$335-1)/SUMPRODUCT(--($D$335:$V$335=Y$335),--($D927:$V927=1)),0)+SUM(Y624)+IF(COUNTIF(Y$641:Y927,1)=1,5,0)+IF(COUNTIF($Z625:AC625,"&gt;"&amp;0)&gt;5,IF(MOD(COUNTIF(Y$641:Y927,1),7)=0,$C$4,0),0)</f>
        <v>66.8152489442662</v>
      </c>
      <c r="Z625" s="82" cm="1">
        <f ca="1" t="array" ref="Z625">SUMPRODUCT(TRANSPOSE($AD625:$AJ625),OFFSET($L$10:$L$16,0,Z$335-1))</f>
        <v>0</v>
      </c>
      <c r="AA625" s="82" cm="1">
        <f ca="1" t="array" ref="AA625">SUMPRODUCT(TRANSPOSE($AD625:$AJ625),OFFSET($L$10:$L$16,0,AA$335-1))</f>
        <v>0</v>
      </c>
      <c r="AB625" s="82" cm="1">
        <f ca="1" t="array" ref="AB625">SUMPRODUCT(TRANSPOSE($AD625:$AJ625),OFFSET($L$10:$L$16,0,AB$335-1))</f>
        <v>0</v>
      </c>
      <c r="AC625" s="82" cm="1">
        <f ca="1" t="array" ref="AC625">SUMPRODUCT(TRANSPOSE($AD625:$AJ625),OFFSET($L$10:$L$16,0,AC$335-1))</f>
        <v>0</v>
      </c>
      <c r="AD625" s="83">
        <f ca="1" t="shared" ref="AD625:AJ625" si="901">AK625-AK624</f>
        <v>0</v>
      </c>
      <c r="AE625" s="83">
        <f ca="1" t="shared" si="901"/>
        <v>0</v>
      </c>
      <c r="AF625" s="83">
        <f ca="1" t="shared" si="901"/>
        <v>0</v>
      </c>
      <c r="AG625" s="83">
        <f ca="1" t="shared" si="901"/>
        <v>0</v>
      </c>
      <c r="AH625" s="83">
        <f ca="1" t="shared" si="901"/>
        <v>0</v>
      </c>
      <c r="AI625" s="83">
        <f ca="1" t="shared" si="901"/>
        <v>0</v>
      </c>
      <c r="AJ625" s="83">
        <f ca="1" t="shared" si="901"/>
        <v>0</v>
      </c>
      <c r="AK625" s="83">
        <f ca="1" t="shared" si="841"/>
        <v>450</v>
      </c>
      <c r="AL625" s="83">
        <f ca="1" t="shared" ref="AL625:AQ625" si="902">IF($C625&gt;OFFSET($Q$9,MATCH(AL$338,$AK$338:$AQ$338,0),0),OFFSET($P$9,MATCH(AL$338,$AK$338:$AQ$338,0),0),MAX(0,$C625-OFFSET($Q$9,RIGHT(AL$338,1)-1,0)))</f>
        <v>909</v>
      </c>
      <c r="AM625" s="83">
        <f ca="1" t="shared" si="902"/>
        <v>1818</v>
      </c>
      <c r="AN625" s="83">
        <f ca="1" t="shared" si="902"/>
        <v>2727</v>
      </c>
      <c r="AO625" s="83">
        <f ca="1" t="shared" si="902"/>
        <v>3636</v>
      </c>
      <c r="AP625" s="83">
        <f ca="1" t="shared" si="902"/>
        <v>4545</v>
      </c>
      <c r="AQ625" s="83">
        <f ca="1" t="shared" si="902"/>
        <v>0</v>
      </c>
    </row>
    <row r="626" ht="16.5" spans="2:43">
      <c r="B626" s="65">
        <v>288</v>
      </c>
      <c r="C626" s="80">
        <f t="shared" si="839"/>
        <v>33006</v>
      </c>
      <c r="D626" s="81" cm="1">
        <f ca="1" t="array" ref="D626">IF(D928=1,OFFSET($Z$338,$B626,D$335-1)/SUMPRODUCT(--($D$335:$V$335=D$335),--($D928:$V928=1)),0)+SUM(D625)+IF(COUNTIF(D$641:D928,1)=1,5,0)+IF(COUNTIF(E626:$Z626,"&gt;"&amp;0)&gt;5,IF(MOD(COUNTIF(D$641:D928,1),7)=0,$C$4,0),0)</f>
        <v>1323.82134856666</v>
      </c>
      <c r="E626" s="81" cm="1">
        <f ca="1" t="array" ref="E626">IF(E928=1,OFFSET($Z$338,$B626,E$335-1)/SUMPRODUCT(--($D$335:$V$335=E$335),--($D928:$V928=1)),0)+SUM(E625)+IF(COUNTIF(E$641:E928,1)=1,5,0)+IF(COUNTIF(F626:$Z626,"&gt;"&amp;0)&gt;5,IF(MOD(COUNTIF(E$641:E928,1),7)=0,$C$4,0),0)</f>
        <v>1323.82134856666</v>
      </c>
      <c r="F626" s="81" cm="1">
        <f ca="1" t="array" ref="F626">IF(F928=1,OFFSET($Z$338,$B626,F$335-1)/SUMPRODUCT(--($D$335:$V$335=F$335),--($D928:$V928=1)),0)+SUM(F625)+IF(COUNTIF(F$641:F928,1)=1,5,0)+IF(COUNTIF(G626:$Z626,"&gt;"&amp;0)&gt;5,IF(MOD(COUNTIF(F$641:F928,1),7)=0,$C$4,0),0)</f>
        <v>1323.82134856666</v>
      </c>
      <c r="G626" s="81" cm="1">
        <f ca="1" t="array" ref="G626">IF(G928=1,OFFSET($Z$338,$B626,G$335-1)/SUMPRODUCT(--($D$335:$V$335=G$335),--($D928:$V928=1)),0)+SUM(G625)+IF(COUNTIF(G$641:G928,1)=1,5,0)+IF(COUNTIF(H626:$Z626,"&gt;"&amp;0)&gt;5,IF(MOD(COUNTIF(G$641:G928,1),7)=0,$C$4,0),0)</f>
        <v>612.516666666668</v>
      </c>
      <c r="H626" s="81" cm="1">
        <f ca="1" t="array" ref="H626">IF(H928=1,OFFSET($Z$338,$B626,H$335-1)/SUMPRODUCT(--($D$335:$V$335=H$335),--($D928:$V928=1)),0)+SUM(H625)+IF(COUNTIF(H$641:H928,1)=1,5,0)+IF(COUNTIF(I626:$Z626,"&gt;"&amp;0)&gt;5,IF(MOD(COUNTIF(H$641:H928,1),7)=0,$C$4,0),0)</f>
        <v>612.516666666668</v>
      </c>
      <c r="I626" s="81" cm="1">
        <f ca="1" t="array" ref="I626">IF(I928=1,OFFSET($Z$338,$B626,I$335-1)/SUMPRODUCT(--($D$335:$V$335=I$335),--($D928:$V928=1)),0)+SUM(I625)+IF(COUNTIF(I$641:I928,1)=1,5,0)+IF(COUNTIF(J626:$Z626,"&gt;"&amp;0)&gt;5,IF(MOD(COUNTIF(I$641:I928,1),7)=0,$C$4,0),0)</f>
        <v>612.516666666668</v>
      </c>
      <c r="J626" s="81" cm="1">
        <f ca="1" t="array" ref="J626">IF(J928=1,OFFSET($Z$338,$B626,J$335-1)/SUMPRODUCT(--($D$335:$V$335=J$335),--($D928:$V928=1)),0)+SUM(J625)+IF(COUNTIF(J$641:J928,1)=1,5,0)+IF(COUNTIF(K626:$Z626,"&gt;"&amp;0)&gt;5,IF(MOD(COUNTIF(J$641:J928,1),7)=0,$C$4,0),0)</f>
        <v>612.516666666668</v>
      </c>
      <c r="K626" s="81" cm="1">
        <f ca="1" t="array" ref="K626">IF(K928=1,OFFSET($Z$338,$B626,K$335-1)/SUMPRODUCT(--($D$335:$V$335=K$335),--($D928:$V928=1)),0)+SUM(K625)+IF(COUNTIF(K$641:K928,1)=1,5,0)+IF(COUNTIF(L626:$Z626,"&gt;"&amp;0)&gt;5,IF(MOD(COUNTIF(K$641:K928,1),7)=0,$C$4,0),0)</f>
        <v>612.516666666668</v>
      </c>
      <c r="L626" s="81" cm="1">
        <f ca="1" t="array" ref="L626">IF(L928=1,OFFSET($Z$338,$B626,L$335-1)/SUMPRODUCT(--($D$335:$V$335=L$335),--($D928:$V928=1)),0)+SUM(L625)+IF(COUNTIF(L$641:L928,1)=1,5,0)+IF(COUNTIF(M626:$Z626,"&gt;"&amp;0)&gt;5,IF(MOD(COUNTIF(L$641:L928,1),7)=0,$C$4,0),0)</f>
        <v>605.816666666668</v>
      </c>
      <c r="M626" s="81" cm="1">
        <f ca="1" t="array" ref="M626">IF(M928=1,OFFSET($Z$338,$B626,M$335-1)/SUMPRODUCT(--($D$335:$V$335=M$335),--($D928:$V928=1)),0)+SUM(M625)+IF(COUNTIF(M$641:M928,1)=1,5,0)+IF(COUNTIF(N626:$Z626,"&gt;"&amp;0)&gt;5,IF(MOD(COUNTIF(M$641:M928,1),7)=0,$C$4,0),0)</f>
        <v>360.644107142858</v>
      </c>
      <c r="N626" s="81" cm="1">
        <f ca="1" t="array" ref="N626">IF(N928=1,OFFSET($Z$338,$B626,N$335-1)/SUMPRODUCT(--($D$335:$V$335=N$335),--($D928:$V928=1)),0)+SUM(N625)+IF(COUNTIF(N$641:N928,1)=1,5,0)+IF(COUNTIF(O626:$Z626,"&gt;"&amp;0)&gt;5,IF(MOD(COUNTIF(N$641:N928,1),7)=0,$C$4,0),0)</f>
        <v>347.919107142858</v>
      </c>
      <c r="O626" s="81" cm="1">
        <f ca="1" t="array" ref="O626">IF(O928=1,OFFSET($Z$338,$B626,O$335-1)/SUMPRODUCT(--($D$335:$V$335=O$335),--($D928:$V928=1)),0)+SUM(O625)+IF(COUNTIF(O$641:O928,1)=1,5,0)+IF(COUNTIF(P626:$Z626,"&gt;"&amp;0)&gt;5,IF(MOD(COUNTIF(O$641:O928,1),7)=0,$C$4,0),0)</f>
        <v>345.494107142858</v>
      </c>
      <c r="P626" s="81" cm="1">
        <f ca="1" t="array" ref="P626">IF(P928=1,OFFSET($Z$338,$B626,P$335-1)/SUMPRODUCT(--($D$335:$V$335=P$335),--($D928:$V928=1)),0)+SUM(P625)+IF(COUNTIF(P$641:P928,1)=1,5,0)+IF(COUNTIF(Q626:$Z626,"&gt;"&amp;0)&gt;5,IF(MOD(COUNTIF(P$641:P928,1),7)=0,$C$4,0),0)</f>
        <v>342.560773809524</v>
      </c>
      <c r="Q626" s="81" cm="1">
        <f ca="1" t="array" ref="Q626">IF(Q928=1,OFFSET($Z$338,$B626,Q$335-1)/SUMPRODUCT(--($D$335:$V$335=Q$335),--($D928:$V928=1)),0)+SUM(Q625)+IF(COUNTIF(Q$641:Q928,1)=1,5,0)+IF(COUNTIF(R626:$Z626,"&gt;"&amp;0)&gt;5,IF(MOD(COUNTIF(Q$641:Q928,1),7)=0,$C$4,0),0)</f>
        <v>341.654523809524</v>
      </c>
      <c r="R626" s="81" cm="1">
        <f ca="1" t="array" ref="R626">IF(R928=1,OFFSET($Z$338,$B626,R$335-1)/SUMPRODUCT(--($D$335:$V$335=R$335),--($D928:$V928=1)),0)+SUM(R625)+IF(COUNTIF(R$641:R928,1)=1,5,0)+IF(COUNTIF(S626:$Z626,"&gt;"&amp;0)&gt;5,IF(MOD(COUNTIF(R$641:R928,1),7)=0,$C$4,0),0)</f>
        <v>316.759523809524</v>
      </c>
      <c r="S626" s="81" cm="1">
        <f ca="1" t="array" ref="S626">IF(S928=1,OFFSET($Z$338,$B626,S$335-1)/SUMPRODUCT(--($D$335:$V$335=S$335),--($D928:$V928=1)),0)+SUM(S625)+IF(COUNTIF(S$641:S928,1)=1,5,0)+IF(COUNTIF(T626:$Z626,"&gt;"&amp;0)&gt;5,IF(MOD(COUNTIF(S$641:S928,1),7)=0,$C$4,0),0)</f>
        <v>307.592857142857</v>
      </c>
      <c r="T626" s="81" cm="1">
        <f ca="1" t="array" ref="T626">IF(T928=1,OFFSET($Z$338,$B626,T$335-1)/SUMPRODUCT(--($D$335:$V$335=T$335),--($D928:$V928=1)),0)+SUM(T625)+IF(COUNTIF(T$641:T928,1)=1,5,0)+IF(COUNTIF(U626:$Z626,"&gt;"&amp;0)&gt;5,IF(MOD(COUNTIF(T$641:T928,1),7)=0,$C$4,0),0)</f>
        <v>137.656257829764</v>
      </c>
      <c r="U626" s="81" cm="1">
        <f ca="1" t="array" ref="U626">IF(U928=1,OFFSET($Z$338,$B626,U$335-1)/SUMPRODUCT(--($D$335:$V$335=U$335),--($D928:$V928=1)),0)+SUM(U625)+IF(COUNTIF(U$641:U928,1)=1,5,0)+IF(COUNTIF(V626:$Z626,"&gt;"&amp;0)&gt;5,IF(MOD(COUNTIF(U$641:U928,1),7)=0,$C$4,0),0)</f>
        <v>97.6562578297643</v>
      </c>
      <c r="V626" s="81" cm="1">
        <f ca="1" t="array" ref="V626">IF(V928=1,OFFSET($Z$338,$B626,V$335-1)/SUMPRODUCT(--($D$335:$V$335=V$335),--($D928:$V928=1)),0)+SUM(V625)+IF(COUNTIF(V$641:V928,1)=1,5,0)+IF(COUNTIF(Z626:$Z626,"&gt;"&amp;0)&gt;5,IF(MOD(COUNTIF(V$641:V928,1),7)=0,$C$4,0),0)</f>
        <v>89.6984386404824</v>
      </c>
      <c r="W626" s="81" cm="1">
        <f ca="1" t="array" ref="W626">IF(W928=1,OFFSET($Z$338,$B626,W$335-1)/SUMPRODUCT(--($D$335:$V$335=W$335),--($D928:$V928=1)),0)+SUM(W625)+IF(COUNTIF(W$641:W928,1)=1,5,0)+IF(COUNTIF($Z626:AA626,"&gt;"&amp;0)&gt;5,IF(MOD(COUNTIF(W$641:W928,1),7)=0,$C$4,0),0)</f>
        <v>80.3425695255331</v>
      </c>
      <c r="X626" s="81" cm="1">
        <f ca="1" t="array" ref="X626">IF(X928=1,OFFSET($Z$338,$B626,X$335-1)/SUMPRODUCT(--($D$335:$V$335=X$335),--($D928:$V928=1)),0)+SUM(X625)+IF(COUNTIF(X$641:X928,1)=1,5,0)+IF(COUNTIF($Z626:AB626,"&gt;"&amp;0)&gt;5,IF(MOD(COUNTIF(X$641:X928,1),7)=0,$C$4,0),0)</f>
        <v>73.5789092348996</v>
      </c>
      <c r="Y626" s="81" cm="1">
        <f ca="1" t="array" ref="Y626">IF(Y928=1,OFFSET($Z$338,$B626,Y$335-1)/SUMPRODUCT(--($D$335:$V$335=Y$335),--($D928:$V928=1)),0)+SUM(Y625)+IF(COUNTIF(Y$641:Y928,1)=1,5,0)+IF(COUNTIF($Z626:AC626,"&gt;"&amp;0)&gt;5,IF(MOD(COUNTIF(Y$641:Y928,1),7)=0,$C$4,0),0)</f>
        <v>66.8152489442662</v>
      </c>
      <c r="Z626" s="82" cm="1">
        <f ca="1" t="array" ref="Z626">SUMPRODUCT(TRANSPOSE($AD626:$AJ626),OFFSET($L$10:$L$16,0,Z$335-1))</f>
        <v>0</v>
      </c>
      <c r="AA626" s="82" cm="1">
        <f ca="1" t="array" ref="AA626">SUMPRODUCT(TRANSPOSE($AD626:$AJ626),OFFSET($L$10:$L$16,0,AA$335-1))</f>
        <v>0</v>
      </c>
      <c r="AB626" s="82" cm="1">
        <f ca="1" t="array" ref="AB626">SUMPRODUCT(TRANSPOSE($AD626:$AJ626),OFFSET($L$10:$L$16,0,AB$335-1))</f>
        <v>0</v>
      </c>
      <c r="AC626" s="82" cm="1">
        <f ca="1" t="array" ref="AC626">SUMPRODUCT(TRANSPOSE($AD626:$AJ626),OFFSET($L$10:$L$16,0,AC$335-1))</f>
        <v>0</v>
      </c>
      <c r="AD626" s="83">
        <f ca="1" t="shared" ref="AD626:AJ626" si="903">AK626-AK625</f>
        <v>0</v>
      </c>
      <c r="AE626" s="83">
        <f ca="1" t="shared" si="903"/>
        <v>0</v>
      </c>
      <c r="AF626" s="83">
        <f ca="1" t="shared" si="903"/>
        <v>0</v>
      </c>
      <c r="AG626" s="83">
        <f ca="1" t="shared" si="903"/>
        <v>0</v>
      </c>
      <c r="AH626" s="83">
        <f ca="1" t="shared" si="903"/>
        <v>0</v>
      </c>
      <c r="AI626" s="83">
        <f ca="1" t="shared" si="903"/>
        <v>0</v>
      </c>
      <c r="AJ626" s="83">
        <f ca="1" t="shared" si="903"/>
        <v>0</v>
      </c>
      <c r="AK626" s="83">
        <f ca="1" t="shared" si="841"/>
        <v>450</v>
      </c>
      <c r="AL626" s="83">
        <f ca="1" t="shared" ref="AL626:AQ626" si="904">IF($C626&gt;OFFSET($Q$9,MATCH(AL$338,$AK$338:$AQ$338,0),0),OFFSET($P$9,MATCH(AL$338,$AK$338:$AQ$338,0),0),MAX(0,$C626-OFFSET($Q$9,RIGHT(AL$338,1)-1,0)))</f>
        <v>909</v>
      </c>
      <c r="AM626" s="83">
        <f ca="1" t="shared" si="904"/>
        <v>1818</v>
      </c>
      <c r="AN626" s="83">
        <f ca="1" t="shared" si="904"/>
        <v>2727</v>
      </c>
      <c r="AO626" s="83">
        <f ca="1" t="shared" si="904"/>
        <v>3636</v>
      </c>
      <c r="AP626" s="83">
        <f ca="1" t="shared" si="904"/>
        <v>4545</v>
      </c>
      <c r="AQ626" s="83">
        <f ca="1" t="shared" si="904"/>
        <v>0</v>
      </c>
    </row>
    <row r="627" ht="16.5" spans="2:43">
      <c r="B627" s="65">
        <v>289</v>
      </c>
      <c r="C627" s="80">
        <f t="shared" si="839"/>
        <v>33116</v>
      </c>
      <c r="D627" s="81" cm="1">
        <f ca="1" t="array" ref="D627">IF(D929=1,OFFSET($Z$338,$B627,D$335-1)/SUMPRODUCT(--($D$335:$V$335=D$335),--($D929:$V929=1)),0)+SUM(D626)+IF(COUNTIF(D$641:D929,1)=1,5,0)+IF(COUNTIF(E627:$Z627,"&gt;"&amp;0)&gt;5,IF(MOD(COUNTIF(D$641:D929,1),7)=0,$C$4,0),0)</f>
        <v>1323.82134856666</v>
      </c>
      <c r="E627" s="81" cm="1">
        <f ca="1" t="array" ref="E627">IF(E929=1,OFFSET($Z$338,$B627,E$335-1)/SUMPRODUCT(--($D$335:$V$335=E$335),--($D929:$V929=1)),0)+SUM(E626)+IF(COUNTIF(E$641:E929,1)=1,5,0)+IF(COUNTIF(F627:$Z627,"&gt;"&amp;0)&gt;5,IF(MOD(COUNTIF(E$641:E929,1),7)=0,$C$4,0),0)</f>
        <v>1323.82134856666</v>
      </c>
      <c r="F627" s="81" cm="1">
        <f ca="1" t="array" ref="F627">IF(F929=1,OFFSET($Z$338,$B627,F$335-1)/SUMPRODUCT(--($D$335:$V$335=F$335),--($D929:$V929=1)),0)+SUM(F626)+IF(COUNTIF(F$641:F929,1)=1,5,0)+IF(COUNTIF(G627:$Z627,"&gt;"&amp;0)&gt;5,IF(MOD(COUNTIF(F$641:F929,1),7)=0,$C$4,0),0)</f>
        <v>1323.82134856666</v>
      </c>
      <c r="G627" s="81" cm="1">
        <f ca="1" t="array" ref="G627">IF(G929=1,OFFSET($Z$338,$B627,G$335-1)/SUMPRODUCT(--($D$335:$V$335=G$335),--($D929:$V929=1)),0)+SUM(G626)+IF(COUNTIF(G$641:G929,1)=1,5,0)+IF(COUNTIF(H627:$Z627,"&gt;"&amp;0)&gt;5,IF(MOD(COUNTIF(G$641:G929,1),7)=0,$C$4,0),0)</f>
        <v>612.516666666668</v>
      </c>
      <c r="H627" s="81" cm="1">
        <f ca="1" t="array" ref="H627">IF(H929=1,OFFSET($Z$338,$B627,H$335-1)/SUMPRODUCT(--($D$335:$V$335=H$335),--($D929:$V929=1)),0)+SUM(H626)+IF(COUNTIF(H$641:H929,1)=1,5,0)+IF(COUNTIF(I627:$Z627,"&gt;"&amp;0)&gt;5,IF(MOD(COUNTIF(H$641:H929,1),7)=0,$C$4,0),0)</f>
        <v>612.516666666668</v>
      </c>
      <c r="I627" s="81" cm="1">
        <f ca="1" t="array" ref="I627">IF(I929=1,OFFSET($Z$338,$B627,I$335-1)/SUMPRODUCT(--($D$335:$V$335=I$335),--($D929:$V929=1)),0)+SUM(I626)+IF(COUNTIF(I$641:I929,1)=1,5,0)+IF(COUNTIF(J627:$Z627,"&gt;"&amp;0)&gt;5,IF(MOD(COUNTIF(I$641:I929,1),7)=0,$C$4,0),0)</f>
        <v>612.516666666668</v>
      </c>
      <c r="J627" s="81" cm="1">
        <f ca="1" t="array" ref="J627">IF(J929=1,OFFSET($Z$338,$B627,J$335-1)/SUMPRODUCT(--($D$335:$V$335=J$335),--($D929:$V929=1)),0)+SUM(J626)+IF(COUNTIF(J$641:J929,1)=1,5,0)+IF(COUNTIF(K627:$Z627,"&gt;"&amp;0)&gt;5,IF(MOD(COUNTIF(J$641:J929,1),7)=0,$C$4,0),0)</f>
        <v>612.516666666668</v>
      </c>
      <c r="K627" s="81" cm="1">
        <f ca="1" t="array" ref="K627">IF(K929=1,OFFSET($Z$338,$B627,K$335-1)/SUMPRODUCT(--($D$335:$V$335=K$335),--($D929:$V929=1)),0)+SUM(K626)+IF(COUNTIF(K$641:K929,1)=1,5,0)+IF(COUNTIF(L627:$Z627,"&gt;"&amp;0)&gt;5,IF(MOD(COUNTIF(K$641:K929,1),7)=0,$C$4,0),0)</f>
        <v>612.516666666668</v>
      </c>
      <c r="L627" s="81" cm="1">
        <f ca="1" t="array" ref="L627">IF(L929=1,OFFSET($Z$338,$B627,L$335-1)/SUMPRODUCT(--($D$335:$V$335=L$335),--($D929:$V929=1)),0)+SUM(L626)+IF(COUNTIF(L$641:L929,1)=1,5,0)+IF(COUNTIF(M627:$Z627,"&gt;"&amp;0)&gt;5,IF(MOD(COUNTIF(L$641:L929,1),7)=0,$C$4,0),0)</f>
        <v>605.816666666668</v>
      </c>
      <c r="M627" s="81" cm="1">
        <f ca="1" t="array" ref="M627">IF(M929=1,OFFSET($Z$338,$B627,M$335-1)/SUMPRODUCT(--($D$335:$V$335=M$335),--($D929:$V929=1)),0)+SUM(M626)+IF(COUNTIF(M$641:M929,1)=1,5,0)+IF(COUNTIF(N627:$Z627,"&gt;"&amp;0)&gt;5,IF(MOD(COUNTIF(M$641:M929,1),7)=0,$C$4,0),0)</f>
        <v>360.644107142858</v>
      </c>
      <c r="N627" s="81" cm="1">
        <f ca="1" t="array" ref="N627">IF(N929=1,OFFSET($Z$338,$B627,N$335-1)/SUMPRODUCT(--($D$335:$V$335=N$335),--($D929:$V929=1)),0)+SUM(N626)+IF(COUNTIF(N$641:N929,1)=1,5,0)+IF(COUNTIF(O627:$Z627,"&gt;"&amp;0)&gt;5,IF(MOD(COUNTIF(N$641:N929,1),7)=0,$C$4,0),0)</f>
        <v>352.919107142858</v>
      </c>
      <c r="O627" s="81" cm="1">
        <f ca="1" t="array" ref="O627">IF(O929=1,OFFSET($Z$338,$B627,O$335-1)/SUMPRODUCT(--($D$335:$V$335=O$335),--($D929:$V929=1)),0)+SUM(O626)+IF(COUNTIF(O$641:O929,1)=1,5,0)+IF(COUNTIF(P627:$Z627,"&gt;"&amp;0)&gt;5,IF(MOD(COUNTIF(O$641:O929,1),7)=0,$C$4,0),0)</f>
        <v>345.494107142858</v>
      </c>
      <c r="P627" s="81" cm="1">
        <f ca="1" t="array" ref="P627">IF(P929=1,OFFSET($Z$338,$B627,P$335-1)/SUMPRODUCT(--($D$335:$V$335=P$335),--($D929:$V929=1)),0)+SUM(P626)+IF(COUNTIF(P$641:P929,1)=1,5,0)+IF(COUNTIF(Q627:$Z627,"&gt;"&amp;0)&gt;5,IF(MOD(COUNTIF(P$641:P929,1),7)=0,$C$4,0),0)</f>
        <v>342.560773809524</v>
      </c>
      <c r="Q627" s="81" cm="1">
        <f ca="1" t="array" ref="Q627">IF(Q929=1,OFFSET($Z$338,$B627,Q$335-1)/SUMPRODUCT(--($D$335:$V$335=Q$335),--($D929:$V929=1)),0)+SUM(Q626)+IF(COUNTIF(Q$641:Q929,1)=1,5,0)+IF(COUNTIF(R627:$Z627,"&gt;"&amp;0)&gt;5,IF(MOD(COUNTIF(Q$641:Q929,1),7)=0,$C$4,0),0)</f>
        <v>341.654523809524</v>
      </c>
      <c r="R627" s="81" cm="1">
        <f ca="1" t="array" ref="R627">IF(R929=1,OFFSET($Z$338,$B627,R$335-1)/SUMPRODUCT(--($D$335:$V$335=R$335),--($D929:$V929=1)),0)+SUM(R626)+IF(COUNTIF(R$641:R929,1)=1,5,0)+IF(COUNTIF(S627:$Z627,"&gt;"&amp;0)&gt;5,IF(MOD(COUNTIF(R$641:R929,1),7)=0,$C$4,0),0)</f>
        <v>316.759523809524</v>
      </c>
      <c r="S627" s="81" cm="1">
        <f ca="1" t="array" ref="S627">IF(S929=1,OFFSET($Z$338,$B627,S$335-1)/SUMPRODUCT(--($D$335:$V$335=S$335),--($D929:$V929=1)),0)+SUM(S626)+IF(COUNTIF(S$641:S929,1)=1,5,0)+IF(COUNTIF(T627:$Z627,"&gt;"&amp;0)&gt;5,IF(MOD(COUNTIF(S$641:S929,1),7)=0,$C$4,0),0)</f>
        <v>307.592857142857</v>
      </c>
      <c r="T627" s="81" cm="1">
        <f ca="1" t="array" ref="T627">IF(T929=1,OFFSET($Z$338,$B627,T$335-1)/SUMPRODUCT(--($D$335:$V$335=T$335),--($D929:$V929=1)),0)+SUM(T626)+IF(COUNTIF(T$641:T929,1)=1,5,0)+IF(COUNTIF(U627:$Z627,"&gt;"&amp;0)&gt;5,IF(MOD(COUNTIF(T$641:T929,1),7)=0,$C$4,0),0)</f>
        <v>137.656257829764</v>
      </c>
      <c r="U627" s="81" cm="1">
        <f ca="1" t="array" ref="U627">IF(U929=1,OFFSET($Z$338,$B627,U$335-1)/SUMPRODUCT(--($D$335:$V$335=U$335),--($D929:$V929=1)),0)+SUM(U626)+IF(COUNTIF(U$641:U929,1)=1,5,0)+IF(COUNTIF(V627:$Z627,"&gt;"&amp;0)&gt;5,IF(MOD(COUNTIF(U$641:U929,1),7)=0,$C$4,0),0)</f>
        <v>97.6562578297643</v>
      </c>
      <c r="V627" s="81" cm="1">
        <f ca="1" t="array" ref="V627">IF(V929=1,OFFSET($Z$338,$B627,V$335-1)/SUMPRODUCT(--($D$335:$V$335=V$335),--($D929:$V929=1)),0)+SUM(V626)+IF(COUNTIF(V$641:V929,1)=1,5,0)+IF(COUNTIF(Z627:$Z627,"&gt;"&amp;0)&gt;5,IF(MOD(COUNTIF(V$641:V929,1),7)=0,$C$4,0),0)</f>
        <v>89.6984386404824</v>
      </c>
      <c r="W627" s="81" cm="1">
        <f ca="1" t="array" ref="W627">IF(W929=1,OFFSET($Z$338,$B627,W$335-1)/SUMPRODUCT(--($D$335:$V$335=W$335),--($D929:$V929=1)),0)+SUM(W626)+IF(COUNTIF(W$641:W929,1)=1,5,0)+IF(COUNTIF($Z627:AA627,"&gt;"&amp;0)&gt;5,IF(MOD(COUNTIF(W$641:W929,1),7)=0,$C$4,0),0)</f>
        <v>80.3425695255331</v>
      </c>
      <c r="X627" s="81" cm="1">
        <f ca="1" t="array" ref="X627">IF(X929=1,OFFSET($Z$338,$B627,X$335-1)/SUMPRODUCT(--($D$335:$V$335=X$335),--($D929:$V929=1)),0)+SUM(X626)+IF(COUNTIF(X$641:X929,1)=1,5,0)+IF(COUNTIF($Z627:AB627,"&gt;"&amp;0)&gt;5,IF(MOD(COUNTIF(X$641:X929,1),7)=0,$C$4,0),0)</f>
        <v>73.5789092348996</v>
      </c>
      <c r="Y627" s="81" cm="1">
        <f ca="1" t="array" ref="Y627">IF(Y929=1,OFFSET($Z$338,$B627,Y$335-1)/SUMPRODUCT(--($D$335:$V$335=Y$335),--($D929:$V929=1)),0)+SUM(Y626)+IF(COUNTIF(Y$641:Y929,1)=1,5,0)+IF(COUNTIF($Z627:AC627,"&gt;"&amp;0)&gt;5,IF(MOD(COUNTIF(Y$641:Y929,1),7)=0,$C$4,0),0)</f>
        <v>66.8152489442662</v>
      </c>
      <c r="Z627" s="82" cm="1">
        <f ca="1" t="array" ref="Z627">SUMPRODUCT(TRANSPOSE($AD627:$AJ627),OFFSET($L$10:$L$16,0,Z$335-1))</f>
        <v>0</v>
      </c>
      <c r="AA627" s="82" cm="1">
        <f ca="1" t="array" ref="AA627">SUMPRODUCT(TRANSPOSE($AD627:$AJ627),OFFSET($L$10:$L$16,0,AA$335-1))</f>
        <v>0</v>
      </c>
      <c r="AB627" s="82" cm="1">
        <f ca="1" t="array" ref="AB627">SUMPRODUCT(TRANSPOSE($AD627:$AJ627),OFFSET($L$10:$L$16,0,AB$335-1))</f>
        <v>0</v>
      </c>
      <c r="AC627" s="82" cm="1">
        <f ca="1" t="array" ref="AC627">SUMPRODUCT(TRANSPOSE($AD627:$AJ627),OFFSET($L$10:$L$16,0,AC$335-1))</f>
        <v>0</v>
      </c>
      <c r="AD627" s="83">
        <f ca="1" t="shared" ref="AD627:AJ627" si="905">AK627-AK626</f>
        <v>0</v>
      </c>
      <c r="AE627" s="83">
        <f ca="1" t="shared" si="905"/>
        <v>0</v>
      </c>
      <c r="AF627" s="83">
        <f ca="1" t="shared" si="905"/>
        <v>0</v>
      </c>
      <c r="AG627" s="83">
        <f ca="1" t="shared" si="905"/>
        <v>0</v>
      </c>
      <c r="AH627" s="83">
        <f ca="1" t="shared" si="905"/>
        <v>0</v>
      </c>
      <c r="AI627" s="83">
        <f ca="1" t="shared" si="905"/>
        <v>0</v>
      </c>
      <c r="AJ627" s="83">
        <f ca="1" t="shared" si="905"/>
        <v>0</v>
      </c>
      <c r="AK627" s="83">
        <f ca="1" t="shared" si="841"/>
        <v>450</v>
      </c>
      <c r="AL627" s="83">
        <f ca="1" t="shared" ref="AL627:AQ627" si="906">IF($C627&gt;OFFSET($Q$9,MATCH(AL$338,$AK$338:$AQ$338,0),0),OFFSET($P$9,MATCH(AL$338,$AK$338:$AQ$338,0),0),MAX(0,$C627-OFFSET($Q$9,RIGHT(AL$338,1)-1,0)))</f>
        <v>909</v>
      </c>
      <c r="AM627" s="83">
        <f ca="1" t="shared" si="906"/>
        <v>1818</v>
      </c>
      <c r="AN627" s="83">
        <f ca="1" t="shared" si="906"/>
        <v>2727</v>
      </c>
      <c r="AO627" s="83">
        <f ca="1" t="shared" si="906"/>
        <v>3636</v>
      </c>
      <c r="AP627" s="83">
        <f ca="1" t="shared" si="906"/>
        <v>4545</v>
      </c>
      <c r="AQ627" s="83">
        <f ca="1" t="shared" si="906"/>
        <v>0</v>
      </c>
    </row>
    <row r="628" ht="16.5" spans="2:43">
      <c r="B628" s="65">
        <v>290</v>
      </c>
      <c r="C628" s="80">
        <f t="shared" si="839"/>
        <v>33226</v>
      </c>
      <c r="D628" s="81" cm="1">
        <f ca="1" t="array" ref="D628">IF(D930=1,OFFSET($Z$338,$B628,D$335-1)/SUMPRODUCT(--($D$335:$V$335=D$335),--($D930:$V930=1)),0)+SUM(D627)+IF(COUNTIF(D$641:D930,1)=1,5,0)+IF(COUNTIF(E628:$Z628,"&gt;"&amp;0)&gt;5,IF(MOD(COUNTIF(D$641:D930,1),7)=0,$C$4,0),0)</f>
        <v>1323.82134856666</v>
      </c>
      <c r="E628" s="81" cm="1">
        <f ca="1" t="array" ref="E628">IF(E930=1,OFFSET($Z$338,$B628,E$335-1)/SUMPRODUCT(--($D$335:$V$335=E$335),--($D930:$V930=1)),0)+SUM(E627)+IF(COUNTIF(E$641:E930,1)=1,5,0)+IF(COUNTIF(F628:$Z628,"&gt;"&amp;0)&gt;5,IF(MOD(COUNTIF(E$641:E930,1),7)=0,$C$4,0),0)</f>
        <v>1323.82134856666</v>
      </c>
      <c r="F628" s="81" cm="1">
        <f ca="1" t="array" ref="F628">IF(F930=1,OFFSET($Z$338,$B628,F$335-1)/SUMPRODUCT(--($D$335:$V$335=F$335),--($D930:$V930=1)),0)+SUM(F627)+IF(COUNTIF(F$641:F930,1)=1,5,0)+IF(COUNTIF(G628:$Z628,"&gt;"&amp;0)&gt;5,IF(MOD(COUNTIF(F$641:F930,1),7)=0,$C$4,0),0)</f>
        <v>1323.82134856666</v>
      </c>
      <c r="G628" s="81" cm="1">
        <f ca="1" t="array" ref="G628">IF(G930=1,OFFSET($Z$338,$B628,G$335-1)/SUMPRODUCT(--($D$335:$V$335=G$335),--($D930:$V930=1)),0)+SUM(G627)+IF(COUNTIF(G$641:G930,1)=1,5,0)+IF(COUNTIF(H628:$Z628,"&gt;"&amp;0)&gt;5,IF(MOD(COUNTIF(G$641:G930,1),7)=0,$C$4,0),0)</f>
        <v>612.516666666668</v>
      </c>
      <c r="H628" s="81" cm="1">
        <f ca="1" t="array" ref="H628">IF(H930=1,OFFSET($Z$338,$B628,H$335-1)/SUMPRODUCT(--($D$335:$V$335=H$335),--($D930:$V930=1)),0)+SUM(H627)+IF(COUNTIF(H$641:H930,1)=1,5,0)+IF(COUNTIF(I628:$Z628,"&gt;"&amp;0)&gt;5,IF(MOD(COUNTIF(H$641:H930,1),7)=0,$C$4,0),0)</f>
        <v>612.516666666668</v>
      </c>
      <c r="I628" s="81" cm="1">
        <f ca="1" t="array" ref="I628">IF(I930=1,OFFSET($Z$338,$B628,I$335-1)/SUMPRODUCT(--($D$335:$V$335=I$335),--($D930:$V930=1)),0)+SUM(I627)+IF(COUNTIF(I$641:I930,1)=1,5,0)+IF(COUNTIF(J628:$Z628,"&gt;"&amp;0)&gt;5,IF(MOD(COUNTIF(I$641:I930,1),7)=0,$C$4,0),0)</f>
        <v>612.516666666668</v>
      </c>
      <c r="J628" s="81" cm="1">
        <f ca="1" t="array" ref="J628">IF(J930=1,OFFSET($Z$338,$B628,J$335-1)/SUMPRODUCT(--($D$335:$V$335=J$335),--($D930:$V930=1)),0)+SUM(J627)+IF(COUNTIF(J$641:J930,1)=1,5,0)+IF(COUNTIF(K628:$Z628,"&gt;"&amp;0)&gt;5,IF(MOD(COUNTIF(J$641:J930,1),7)=0,$C$4,0),0)</f>
        <v>612.516666666668</v>
      </c>
      <c r="K628" s="81" cm="1">
        <f ca="1" t="array" ref="K628">IF(K930=1,OFFSET($Z$338,$B628,K$335-1)/SUMPRODUCT(--($D$335:$V$335=K$335),--($D930:$V930=1)),0)+SUM(K627)+IF(COUNTIF(K$641:K930,1)=1,5,0)+IF(COUNTIF(L628:$Z628,"&gt;"&amp;0)&gt;5,IF(MOD(COUNTIF(K$641:K930,1),7)=0,$C$4,0),0)</f>
        <v>612.516666666668</v>
      </c>
      <c r="L628" s="81" cm="1">
        <f ca="1" t="array" ref="L628">IF(L930=1,OFFSET($Z$338,$B628,L$335-1)/SUMPRODUCT(--($D$335:$V$335=L$335),--($D930:$V930=1)),0)+SUM(L627)+IF(COUNTIF(L$641:L930,1)=1,5,0)+IF(COUNTIF(M628:$Z628,"&gt;"&amp;0)&gt;5,IF(MOD(COUNTIF(L$641:L930,1),7)=0,$C$4,0),0)</f>
        <v>605.816666666668</v>
      </c>
      <c r="M628" s="81" cm="1">
        <f ca="1" t="array" ref="M628">IF(M930=1,OFFSET($Z$338,$B628,M$335-1)/SUMPRODUCT(--($D$335:$V$335=M$335),--($D930:$V930=1)),0)+SUM(M627)+IF(COUNTIF(M$641:M930,1)=1,5,0)+IF(COUNTIF(N628:$Z628,"&gt;"&amp;0)&gt;5,IF(MOD(COUNTIF(M$641:M930,1),7)=0,$C$4,0),0)</f>
        <v>360.644107142858</v>
      </c>
      <c r="N628" s="81" cm="1">
        <f ca="1" t="array" ref="N628">IF(N930=1,OFFSET($Z$338,$B628,N$335-1)/SUMPRODUCT(--($D$335:$V$335=N$335),--($D930:$V930=1)),0)+SUM(N627)+IF(COUNTIF(N$641:N930,1)=1,5,0)+IF(COUNTIF(O628:$Z628,"&gt;"&amp;0)&gt;5,IF(MOD(COUNTIF(N$641:N930,1),7)=0,$C$4,0),0)</f>
        <v>352.919107142858</v>
      </c>
      <c r="O628" s="81" cm="1">
        <f ca="1" t="array" ref="O628">IF(O930=1,OFFSET($Z$338,$B628,O$335-1)/SUMPRODUCT(--($D$335:$V$335=O$335),--($D930:$V930=1)),0)+SUM(O627)+IF(COUNTIF(O$641:O930,1)=1,5,0)+IF(COUNTIF(P628:$Z628,"&gt;"&amp;0)&gt;5,IF(MOD(COUNTIF(O$641:O930,1),7)=0,$C$4,0),0)</f>
        <v>350.494107142858</v>
      </c>
      <c r="P628" s="81" cm="1">
        <f ca="1" t="array" ref="P628">IF(P930=1,OFFSET($Z$338,$B628,P$335-1)/SUMPRODUCT(--($D$335:$V$335=P$335),--($D930:$V930=1)),0)+SUM(P627)+IF(COUNTIF(P$641:P930,1)=1,5,0)+IF(COUNTIF(Q628:$Z628,"&gt;"&amp;0)&gt;5,IF(MOD(COUNTIF(P$641:P930,1),7)=0,$C$4,0),0)</f>
        <v>342.560773809524</v>
      </c>
      <c r="Q628" s="81" cm="1">
        <f ca="1" t="array" ref="Q628">IF(Q930=1,OFFSET($Z$338,$B628,Q$335-1)/SUMPRODUCT(--($D$335:$V$335=Q$335),--($D930:$V930=1)),0)+SUM(Q627)+IF(COUNTIF(Q$641:Q930,1)=1,5,0)+IF(COUNTIF(R628:$Z628,"&gt;"&amp;0)&gt;5,IF(MOD(COUNTIF(Q$641:Q930,1),7)=0,$C$4,0),0)</f>
        <v>341.654523809524</v>
      </c>
      <c r="R628" s="81" cm="1">
        <f ca="1" t="array" ref="R628">IF(R930=1,OFFSET($Z$338,$B628,R$335-1)/SUMPRODUCT(--($D$335:$V$335=R$335),--($D930:$V930=1)),0)+SUM(R627)+IF(COUNTIF(R$641:R930,1)=1,5,0)+IF(COUNTIF(S628:$Z628,"&gt;"&amp;0)&gt;5,IF(MOD(COUNTIF(R$641:R930,1),7)=0,$C$4,0),0)</f>
        <v>316.759523809524</v>
      </c>
      <c r="S628" s="81" cm="1">
        <f ca="1" t="array" ref="S628">IF(S930=1,OFFSET($Z$338,$B628,S$335-1)/SUMPRODUCT(--($D$335:$V$335=S$335),--($D930:$V930=1)),0)+SUM(S627)+IF(COUNTIF(S$641:S930,1)=1,5,0)+IF(COUNTIF(T628:$Z628,"&gt;"&amp;0)&gt;5,IF(MOD(COUNTIF(S$641:S930,1),7)=0,$C$4,0),0)</f>
        <v>307.592857142857</v>
      </c>
      <c r="T628" s="81" cm="1">
        <f ca="1" t="array" ref="T628">IF(T930=1,OFFSET($Z$338,$B628,T$335-1)/SUMPRODUCT(--($D$335:$V$335=T$335),--($D930:$V930=1)),0)+SUM(T627)+IF(COUNTIF(T$641:T930,1)=1,5,0)+IF(COUNTIF(U628:$Z628,"&gt;"&amp;0)&gt;5,IF(MOD(COUNTIF(T$641:T930,1),7)=0,$C$4,0),0)</f>
        <v>137.656257829764</v>
      </c>
      <c r="U628" s="81" cm="1">
        <f ca="1" t="array" ref="U628">IF(U930=1,OFFSET($Z$338,$B628,U$335-1)/SUMPRODUCT(--($D$335:$V$335=U$335),--($D930:$V930=1)),0)+SUM(U627)+IF(COUNTIF(U$641:U930,1)=1,5,0)+IF(COUNTIF(V628:$Z628,"&gt;"&amp;0)&gt;5,IF(MOD(COUNTIF(U$641:U930,1),7)=0,$C$4,0),0)</f>
        <v>97.6562578297643</v>
      </c>
      <c r="V628" s="81" cm="1">
        <f ca="1" t="array" ref="V628">IF(V930=1,OFFSET($Z$338,$B628,V$335-1)/SUMPRODUCT(--($D$335:$V$335=V$335),--($D930:$V930=1)),0)+SUM(V627)+IF(COUNTIF(V$641:V930,1)=1,5,0)+IF(COUNTIF(Z628:$Z628,"&gt;"&amp;0)&gt;5,IF(MOD(COUNTIF(V$641:V930,1),7)=0,$C$4,0),0)</f>
        <v>89.6984386404824</v>
      </c>
      <c r="W628" s="81" cm="1">
        <f ca="1" t="array" ref="W628">IF(W930=1,OFFSET($Z$338,$B628,W$335-1)/SUMPRODUCT(--($D$335:$V$335=W$335),--($D930:$V930=1)),0)+SUM(W627)+IF(COUNTIF(W$641:W930,1)=1,5,0)+IF(COUNTIF($Z628:AA628,"&gt;"&amp;0)&gt;5,IF(MOD(COUNTIF(W$641:W930,1),7)=0,$C$4,0),0)</f>
        <v>80.3425695255331</v>
      </c>
      <c r="X628" s="81" cm="1">
        <f ca="1" t="array" ref="X628">IF(X930=1,OFFSET($Z$338,$B628,X$335-1)/SUMPRODUCT(--($D$335:$V$335=X$335),--($D930:$V930=1)),0)+SUM(X627)+IF(COUNTIF(X$641:X930,1)=1,5,0)+IF(COUNTIF($Z628:AB628,"&gt;"&amp;0)&gt;5,IF(MOD(COUNTIF(X$641:X930,1),7)=0,$C$4,0),0)</f>
        <v>73.5789092348996</v>
      </c>
      <c r="Y628" s="81" cm="1">
        <f ca="1" t="array" ref="Y628">IF(Y930=1,OFFSET($Z$338,$B628,Y$335-1)/SUMPRODUCT(--($D$335:$V$335=Y$335),--($D930:$V930=1)),0)+SUM(Y627)+IF(COUNTIF(Y$641:Y930,1)=1,5,0)+IF(COUNTIF($Z628:AC628,"&gt;"&amp;0)&gt;5,IF(MOD(COUNTIF(Y$641:Y930,1),7)=0,$C$4,0),0)</f>
        <v>66.8152489442662</v>
      </c>
      <c r="Z628" s="82" cm="1">
        <f ca="1" t="array" ref="Z628">SUMPRODUCT(TRANSPOSE($AD628:$AJ628),OFFSET($L$10:$L$16,0,Z$335-1))</f>
        <v>0</v>
      </c>
      <c r="AA628" s="82" cm="1">
        <f ca="1" t="array" ref="AA628">SUMPRODUCT(TRANSPOSE($AD628:$AJ628),OFFSET($L$10:$L$16,0,AA$335-1))</f>
        <v>0</v>
      </c>
      <c r="AB628" s="82" cm="1">
        <f ca="1" t="array" ref="AB628">SUMPRODUCT(TRANSPOSE($AD628:$AJ628),OFFSET($L$10:$L$16,0,AB$335-1))</f>
        <v>0</v>
      </c>
      <c r="AC628" s="82" cm="1">
        <f ca="1" t="array" ref="AC628">SUMPRODUCT(TRANSPOSE($AD628:$AJ628),OFFSET($L$10:$L$16,0,AC$335-1))</f>
        <v>0</v>
      </c>
      <c r="AD628" s="83">
        <f ca="1" t="shared" ref="AD628:AJ628" si="907">AK628-AK627</f>
        <v>0</v>
      </c>
      <c r="AE628" s="83">
        <f ca="1" t="shared" si="907"/>
        <v>0</v>
      </c>
      <c r="AF628" s="83">
        <f ca="1" t="shared" si="907"/>
        <v>0</v>
      </c>
      <c r="AG628" s="83">
        <f ca="1" t="shared" si="907"/>
        <v>0</v>
      </c>
      <c r="AH628" s="83">
        <f ca="1" t="shared" si="907"/>
        <v>0</v>
      </c>
      <c r="AI628" s="83">
        <f ca="1" t="shared" si="907"/>
        <v>0</v>
      </c>
      <c r="AJ628" s="83">
        <f ca="1" t="shared" si="907"/>
        <v>0</v>
      </c>
      <c r="AK628" s="83">
        <f ca="1" t="shared" si="841"/>
        <v>450</v>
      </c>
      <c r="AL628" s="83">
        <f ca="1" t="shared" ref="AL628:AQ628" si="908">IF($C628&gt;OFFSET($Q$9,MATCH(AL$338,$AK$338:$AQ$338,0),0),OFFSET($P$9,MATCH(AL$338,$AK$338:$AQ$338,0),0),MAX(0,$C628-OFFSET($Q$9,RIGHT(AL$338,1)-1,0)))</f>
        <v>909</v>
      </c>
      <c r="AM628" s="83">
        <f ca="1" t="shared" si="908"/>
        <v>1818</v>
      </c>
      <c r="AN628" s="83">
        <f ca="1" t="shared" si="908"/>
        <v>2727</v>
      </c>
      <c r="AO628" s="83">
        <f ca="1" t="shared" si="908"/>
        <v>3636</v>
      </c>
      <c r="AP628" s="83">
        <f ca="1" t="shared" si="908"/>
        <v>4545</v>
      </c>
      <c r="AQ628" s="83">
        <f ca="1" t="shared" si="908"/>
        <v>0</v>
      </c>
    </row>
    <row r="629" ht="16.5" spans="2:43">
      <c r="B629" s="65">
        <v>291</v>
      </c>
      <c r="C629" s="80">
        <f t="shared" si="839"/>
        <v>33336</v>
      </c>
      <c r="D629" s="81" cm="1">
        <f ca="1" t="array" ref="D629">IF(D931=1,OFFSET($Z$338,$B629,D$335-1)/SUMPRODUCT(--($D$335:$V$335=D$335),--($D931:$V931=1)),0)+SUM(D628)+IF(COUNTIF(D$641:D931,1)=1,5,0)+IF(COUNTIF(E629:$Z629,"&gt;"&amp;0)&gt;5,IF(MOD(COUNTIF(D$641:D931,1),7)=0,$C$4,0),0)</f>
        <v>1323.82134856666</v>
      </c>
      <c r="E629" s="81" cm="1">
        <f ca="1" t="array" ref="E629">IF(E931=1,OFFSET($Z$338,$B629,E$335-1)/SUMPRODUCT(--($D$335:$V$335=E$335),--($D931:$V931=1)),0)+SUM(E628)+IF(COUNTIF(E$641:E931,1)=1,5,0)+IF(COUNTIF(F629:$Z629,"&gt;"&amp;0)&gt;5,IF(MOD(COUNTIF(E$641:E931,1),7)=0,$C$4,0),0)</f>
        <v>1323.82134856666</v>
      </c>
      <c r="F629" s="81" cm="1">
        <f ca="1" t="array" ref="F629">IF(F931=1,OFFSET($Z$338,$B629,F$335-1)/SUMPRODUCT(--($D$335:$V$335=F$335),--($D931:$V931=1)),0)+SUM(F628)+IF(COUNTIF(F$641:F931,1)=1,5,0)+IF(COUNTIF(G629:$Z629,"&gt;"&amp;0)&gt;5,IF(MOD(COUNTIF(F$641:F931,1),7)=0,$C$4,0),0)</f>
        <v>1323.82134856666</v>
      </c>
      <c r="G629" s="81" cm="1">
        <f ca="1" t="array" ref="G629">IF(G931=1,OFFSET($Z$338,$B629,G$335-1)/SUMPRODUCT(--($D$335:$V$335=G$335),--($D931:$V931=1)),0)+SUM(G628)+IF(COUNTIF(G$641:G931,1)=1,5,0)+IF(COUNTIF(H629:$Z629,"&gt;"&amp;0)&gt;5,IF(MOD(COUNTIF(G$641:G931,1),7)=0,$C$4,0),0)</f>
        <v>612.516666666668</v>
      </c>
      <c r="H629" s="81" cm="1">
        <f ca="1" t="array" ref="H629">IF(H931=1,OFFSET($Z$338,$B629,H$335-1)/SUMPRODUCT(--($D$335:$V$335=H$335),--($D931:$V931=1)),0)+SUM(H628)+IF(COUNTIF(H$641:H931,1)=1,5,0)+IF(COUNTIF(I629:$Z629,"&gt;"&amp;0)&gt;5,IF(MOD(COUNTIF(H$641:H931,1),7)=0,$C$4,0),0)</f>
        <v>612.516666666668</v>
      </c>
      <c r="I629" s="81" cm="1">
        <f ca="1" t="array" ref="I629">IF(I931=1,OFFSET($Z$338,$B629,I$335-1)/SUMPRODUCT(--($D$335:$V$335=I$335),--($D931:$V931=1)),0)+SUM(I628)+IF(COUNTIF(I$641:I931,1)=1,5,0)+IF(COUNTIF(J629:$Z629,"&gt;"&amp;0)&gt;5,IF(MOD(COUNTIF(I$641:I931,1),7)=0,$C$4,0),0)</f>
        <v>612.516666666668</v>
      </c>
      <c r="J629" s="81" cm="1">
        <f ca="1" t="array" ref="J629">IF(J931=1,OFFSET($Z$338,$B629,J$335-1)/SUMPRODUCT(--($D$335:$V$335=J$335),--($D931:$V931=1)),0)+SUM(J628)+IF(COUNTIF(J$641:J931,1)=1,5,0)+IF(COUNTIF(K629:$Z629,"&gt;"&amp;0)&gt;5,IF(MOD(COUNTIF(J$641:J931,1),7)=0,$C$4,0),0)</f>
        <v>612.516666666668</v>
      </c>
      <c r="K629" s="81" cm="1">
        <f ca="1" t="array" ref="K629">IF(K931=1,OFFSET($Z$338,$B629,K$335-1)/SUMPRODUCT(--($D$335:$V$335=K$335),--($D931:$V931=1)),0)+SUM(K628)+IF(COUNTIF(K$641:K931,1)=1,5,0)+IF(COUNTIF(L629:$Z629,"&gt;"&amp;0)&gt;5,IF(MOD(COUNTIF(K$641:K931,1),7)=0,$C$4,0),0)</f>
        <v>612.516666666668</v>
      </c>
      <c r="L629" s="81" cm="1">
        <f ca="1" t="array" ref="L629">IF(L931=1,OFFSET($Z$338,$B629,L$335-1)/SUMPRODUCT(--($D$335:$V$335=L$335),--($D931:$V931=1)),0)+SUM(L628)+IF(COUNTIF(L$641:L931,1)=1,5,0)+IF(COUNTIF(M629:$Z629,"&gt;"&amp;0)&gt;5,IF(MOD(COUNTIF(L$641:L931,1),7)=0,$C$4,0),0)</f>
        <v>605.816666666668</v>
      </c>
      <c r="M629" s="81" cm="1">
        <f ca="1" t="array" ref="M629">IF(M931=1,OFFSET($Z$338,$B629,M$335-1)/SUMPRODUCT(--($D$335:$V$335=M$335),--($D931:$V931=1)),0)+SUM(M628)+IF(COUNTIF(M$641:M931,1)=1,5,0)+IF(COUNTIF(N629:$Z629,"&gt;"&amp;0)&gt;5,IF(MOD(COUNTIF(M$641:M931,1),7)=0,$C$4,0),0)</f>
        <v>360.644107142858</v>
      </c>
      <c r="N629" s="81" cm="1">
        <f ca="1" t="array" ref="N629">IF(N931=1,OFFSET($Z$338,$B629,N$335-1)/SUMPRODUCT(--($D$335:$V$335=N$335),--($D931:$V931=1)),0)+SUM(N628)+IF(COUNTIF(N$641:N931,1)=1,5,0)+IF(COUNTIF(O629:$Z629,"&gt;"&amp;0)&gt;5,IF(MOD(COUNTIF(N$641:N931,1),7)=0,$C$4,0),0)</f>
        <v>352.919107142858</v>
      </c>
      <c r="O629" s="81" cm="1">
        <f ca="1" t="array" ref="O629">IF(O931=1,OFFSET($Z$338,$B629,O$335-1)/SUMPRODUCT(--($D$335:$V$335=O$335),--($D931:$V931=1)),0)+SUM(O628)+IF(COUNTIF(O$641:O931,1)=1,5,0)+IF(COUNTIF(P629:$Z629,"&gt;"&amp;0)&gt;5,IF(MOD(COUNTIF(O$641:O931,1),7)=0,$C$4,0),0)</f>
        <v>350.494107142858</v>
      </c>
      <c r="P629" s="81" cm="1">
        <f ca="1" t="array" ref="P629">IF(P931=1,OFFSET($Z$338,$B629,P$335-1)/SUMPRODUCT(--($D$335:$V$335=P$335),--($D931:$V931=1)),0)+SUM(P628)+IF(COUNTIF(P$641:P931,1)=1,5,0)+IF(COUNTIF(Q629:$Z629,"&gt;"&amp;0)&gt;5,IF(MOD(COUNTIF(P$641:P931,1),7)=0,$C$4,0),0)</f>
        <v>342.560773809524</v>
      </c>
      <c r="Q629" s="81" cm="1">
        <f ca="1" t="array" ref="Q629">IF(Q931=1,OFFSET($Z$338,$B629,Q$335-1)/SUMPRODUCT(--($D$335:$V$335=Q$335),--($D931:$V931=1)),0)+SUM(Q628)+IF(COUNTIF(Q$641:Q931,1)=1,5,0)+IF(COUNTIF(R629:$Z629,"&gt;"&amp;0)&gt;5,IF(MOD(COUNTIF(Q$641:Q931,1),7)=0,$C$4,0),0)</f>
        <v>341.654523809524</v>
      </c>
      <c r="R629" s="81" cm="1">
        <f ca="1" t="array" ref="R629">IF(R931=1,OFFSET($Z$338,$B629,R$335-1)/SUMPRODUCT(--($D$335:$V$335=R$335),--($D931:$V931=1)),0)+SUM(R628)+IF(COUNTIF(R$641:R931,1)=1,5,0)+IF(COUNTIF(S629:$Z629,"&gt;"&amp;0)&gt;5,IF(MOD(COUNTIF(R$641:R931,1),7)=0,$C$4,0),0)</f>
        <v>316.759523809524</v>
      </c>
      <c r="S629" s="81" cm="1">
        <f ca="1" t="array" ref="S629">IF(S931=1,OFFSET($Z$338,$B629,S$335-1)/SUMPRODUCT(--($D$335:$V$335=S$335),--($D931:$V931=1)),0)+SUM(S628)+IF(COUNTIF(S$641:S931,1)=1,5,0)+IF(COUNTIF(T629:$Z629,"&gt;"&amp;0)&gt;5,IF(MOD(COUNTIF(S$641:S931,1),7)=0,$C$4,0),0)</f>
        <v>307.592857142857</v>
      </c>
      <c r="T629" s="81" cm="1">
        <f ca="1" t="array" ref="T629">IF(T931=1,OFFSET($Z$338,$B629,T$335-1)/SUMPRODUCT(--($D$335:$V$335=T$335),--($D931:$V931=1)),0)+SUM(T628)+IF(COUNTIF(T$641:T931,1)=1,5,0)+IF(COUNTIF(U629:$Z629,"&gt;"&amp;0)&gt;5,IF(MOD(COUNTIF(T$641:T931,1),7)=0,$C$4,0),0)</f>
        <v>137.656257829764</v>
      </c>
      <c r="U629" s="81" cm="1">
        <f ca="1" t="array" ref="U629">IF(U931=1,OFFSET($Z$338,$B629,U$335-1)/SUMPRODUCT(--($D$335:$V$335=U$335),--($D931:$V931=1)),0)+SUM(U628)+IF(COUNTIF(U$641:U931,1)=1,5,0)+IF(COUNTIF(V629:$Z629,"&gt;"&amp;0)&gt;5,IF(MOD(COUNTIF(U$641:U931,1),7)=0,$C$4,0),0)</f>
        <v>97.6562578297643</v>
      </c>
      <c r="V629" s="81" cm="1">
        <f ca="1" t="array" ref="V629">IF(V931=1,OFFSET($Z$338,$B629,V$335-1)/SUMPRODUCT(--($D$335:$V$335=V$335),--($D931:$V931=1)),0)+SUM(V628)+IF(COUNTIF(V$641:V931,1)=1,5,0)+IF(COUNTIF(Z629:$Z629,"&gt;"&amp;0)&gt;5,IF(MOD(COUNTIF(V$641:V931,1),7)=0,$C$4,0),0)</f>
        <v>89.6984386404824</v>
      </c>
      <c r="W629" s="81" cm="1">
        <f ca="1" t="array" ref="W629">IF(W931=1,OFFSET($Z$338,$B629,W$335-1)/SUMPRODUCT(--($D$335:$V$335=W$335),--($D931:$V931=1)),0)+SUM(W628)+IF(COUNTIF(W$641:W931,1)=1,5,0)+IF(COUNTIF($Z629:AA629,"&gt;"&amp;0)&gt;5,IF(MOD(COUNTIF(W$641:W931,1),7)=0,$C$4,0),0)</f>
        <v>80.3425695255331</v>
      </c>
      <c r="X629" s="81" cm="1">
        <f ca="1" t="array" ref="X629">IF(X931=1,OFFSET($Z$338,$B629,X$335-1)/SUMPRODUCT(--($D$335:$V$335=X$335),--($D931:$V931=1)),0)+SUM(X628)+IF(COUNTIF(X$641:X931,1)=1,5,0)+IF(COUNTIF($Z629:AB629,"&gt;"&amp;0)&gt;5,IF(MOD(COUNTIF(X$641:X931,1),7)=0,$C$4,0),0)</f>
        <v>73.5789092348996</v>
      </c>
      <c r="Y629" s="81" cm="1">
        <f ca="1" t="array" ref="Y629">IF(Y931=1,OFFSET($Z$338,$B629,Y$335-1)/SUMPRODUCT(--($D$335:$V$335=Y$335),--($D931:$V931=1)),0)+SUM(Y628)+IF(COUNTIF(Y$641:Y931,1)=1,5,0)+IF(COUNTIF($Z629:AC629,"&gt;"&amp;0)&gt;5,IF(MOD(COUNTIF(Y$641:Y931,1),7)=0,$C$4,0),0)</f>
        <v>66.8152489442662</v>
      </c>
      <c r="Z629" s="82" cm="1">
        <f ca="1" t="array" ref="Z629">SUMPRODUCT(TRANSPOSE($AD629:$AJ629),OFFSET($L$10:$L$16,0,Z$335-1))</f>
        <v>0</v>
      </c>
      <c r="AA629" s="82" cm="1">
        <f ca="1" t="array" ref="AA629">SUMPRODUCT(TRANSPOSE($AD629:$AJ629),OFFSET($L$10:$L$16,0,AA$335-1))</f>
        <v>0</v>
      </c>
      <c r="AB629" s="82" cm="1">
        <f ca="1" t="array" ref="AB629">SUMPRODUCT(TRANSPOSE($AD629:$AJ629),OFFSET($L$10:$L$16,0,AB$335-1))</f>
        <v>0</v>
      </c>
      <c r="AC629" s="82" cm="1">
        <f ca="1" t="array" ref="AC629">SUMPRODUCT(TRANSPOSE($AD629:$AJ629),OFFSET($L$10:$L$16,0,AC$335-1))</f>
        <v>0</v>
      </c>
      <c r="AD629" s="83">
        <f ca="1" t="shared" ref="AD629:AJ629" si="909">AK629-AK628</f>
        <v>0</v>
      </c>
      <c r="AE629" s="83">
        <f ca="1" t="shared" si="909"/>
        <v>0</v>
      </c>
      <c r="AF629" s="83">
        <f ca="1" t="shared" si="909"/>
        <v>0</v>
      </c>
      <c r="AG629" s="83">
        <f ca="1" t="shared" si="909"/>
        <v>0</v>
      </c>
      <c r="AH629" s="83">
        <f ca="1" t="shared" si="909"/>
        <v>0</v>
      </c>
      <c r="AI629" s="83">
        <f ca="1" t="shared" si="909"/>
        <v>0</v>
      </c>
      <c r="AJ629" s="83">
        <f ca="1" t="shared" si="909"/>
        <v>0</v>
      </c>
      <c r="AK629" s="83">
        <f ca="1" t="shared" si="841"/>
        <v>450</v>
      </c>
      <c r="AL629" s="83">
        <f ca="1" t="shared" ref="AL629:AQ629" si="910">IF($C629&gt;OFFSET($Q$9,MATCH(AL$338,$AK$338:$AQ$338,0),0),OFFSET($P$9,MATCH(AL$338,$AK$338:$AQ$338,0),0),MAX(0,$C629-OFFSET($Q$9,RIGHT(AL$338,1)-1,0)))</f>
        <v>909</v>
      </c>
      <c r="AM629" s="83">
        <f ca="1" t="shared" si="910"/>
        <v>1818</v>
      </c>
      <c r="AN629" s="83">
        <f ca="1" t="shared" si="910"/>
        <v>2727</v>
      </c>
      <c r="AO629" s="83">
        <f ca="1" t="shared" si="910"/>
        <v>3636</v>
      </c>
      <c r="AP629" s="83">
        <f ca="1" t="shared" si="910"/>
        <v>4545</v>
      </c>
      <c r="AQ629" s="83">
        <f ca="1" t="shared" si="910"/>
        <v>0</v>
      </c>
    </row>
    <row r="630" ht="16.5" spans="2:43">
      <c r="B630" s="65">
        <v>292</v>
      </c>
      <c r="C630" s="80">
        <f t="shared" si="839"/>
        <v>33446</v>
      </c>
      <c r="D630" s="81" cm="1">
        <f ca="1" t="array" ref="D630">IF(D932=1,OFFSET($Z$338,$B630,D$335-1)/SUMPRODUCT(--($D$335:$V$335=D$335),--($D932:$V932=1)),0)+SUM(D629)+IF(COUNTIF(D$641:D932,1)=1,5,0)+IF(COUNTIF(E630:$Z630,"&gt;"&amp;0)&gt;5,IF(MOD(COUNTIF(D$641:D932,1),7)=0,$C$4,0),0)</f>
        <v>1323.82134856666</v>
      </c>
      <c r="E630" s="81" cm="1">
        <f ca="1" t="array" ref="E630">IF(E932=1,OFFSET($Z$338,$B630,E$335-1)/SUMPRODUCT(--($D$335:$V$335=E$335),--($D932:$V932=1)),0)+SUM(E629)+IF(COUNTIF(E$641:E932,1)=1,5,0)+IF(COUNTIF(F630:$Z630,"&gt;"&amp;0)&gt;5,IF(MOD(COUNTIF(E$641:E932,1),7)=0,$C$4,0),0)</f>
        <v>1323.82134856666</v>
      </c>
      <c r="F630" s="81" cm="1">
        <f ca="1" t="array" ref="F630">IF(F932=1,OFFSET($Z$338,$B630,F$335-1)/SUMPRODUCT(--($D$335:$V$335=F$335),--($D932:$V932=1)),0)+SUM(F629)+IF(COUNTIF(F$641:F932,1)=1,5,0)+IF(COUNTIF(G630:$Z630,"&gt;"&amp;0)&gt;5,IF(MOD(COUNTIF(F$641:F932,1),7)=0,$C$4,0),0)</f>
        <v>1323.82134856666</v>
      </c>
      <c r="G630" s="81" cm="1">
        <f ca="1" t="array" ref="G630">IF(G932=1,OFFSET($Z$338,$B630,G$335-1)/SUMPRODUCT(--($D$335:$V$335=G$335),--($D932:$V932=1)),0)+SUM(G629)+IF(COUNTIF(G$641:G932,1)=1,5,0)+IF(COUNTIF(H630:$Z630,"&gt;"&amp;0)&gt;5,IF(MOD(COUNTIF(G$641:G932,1),7)=0,$C$4,0),0)</f>
        <v>612.516666666668</v>
      </c>
      <c r="H630" s="81" cm="1">
        <f ca="1" t="array" ref="H630">IF(H932=1,OFFSET($Z$338,$B630,H$335-1)/SUMPRODUCT(--($D$335:$V$335=H$335),--($D932:$V932=1)),0)+SUM(H629)+IF(COUNTIF(H$641:H932,1)=1,5,0)+IF(COUNTIF(I630:$Z630,"&gt;"&amp;0)&gt;5,IF(MOD(COUNTIF(H$641:H932,1),7)=0,$C$4,0),0)</f>
        <v>612.516666666668</v>
      </c>
      <c r="I630" s="81" cm="1">
        <f ca="1" t="array" ref="I630">IF(I932=1,OFFSET($Z$338,$B630,I$335-1)/SUMPRODUCT(--($D$335:$V$335=I$335),--($D932:$V932=1)),0)+SUM(I629)+IF(COUNTIF(I$641:I932,1)=1,5,0)+IF(COUNTIF(J630:$Z630,"&gt;"&amp;0)&gt;5,IF(MOD(COUNTIF(I$641:I932,1),7)=0,$C$4,0),0)</f>
        <v>612.516666666668</v>
      </c>
      <c r="J630" s="81" cm="1">
        <f ca="1" t="array" ref="J630">IF(J932=1,OFFSET($Z$338,$B630,J$335-1)/SUMPRODUCT(--($D$335:$V$335=J$335),--($D932:$V932=1)),0)+SUM(J629)+IF(COUNTIF(J$641:J932,1)=1,5,0)+IF(COUNTIF(K630:$Z630,"&gt;"&amp;0)&gt;5,IF(MOD(COUNTIF(J$641:J932,1),7)=0,$C$4,0),0)</f>
        <v>612.516666666668</v>
      </c>
      <c r="K630" s="81" cm="1">
        <f ca="1" t="array" ref="K630">IF(K932=1,OFFSET($Z$338,$B630,K$335-1)/SUMPRODUCT(--($D$335:$V$335=K$335),--($D932:$V932=1)),0)+SUM(K629)+IF(COUNTIF(K$641:K932,1)=1,5,0)+IF(COUNTIF(L630:$Z630,"&gt;"&amp;0)&gt;5,IF(MOD(COUNTIF(K$641:K932,1),7)=0,$C$4,0),0)</f>
        <v>612.516666666668</v>
      </c>
      <c r="L630" s="81" cm="1">
        <f ca="1" t="array" ref="L630">IF(L932=1,OFFSET($Z$338,$B630,L$335-1)/SUMPRODUCT(--($D$335:$V$335=L$335),--($D932:$V932=1)),0)+SUM(L629)+IF(COUNTIF(L$641:L932,1)=1,5,0)+IF(COUNTIF(M630:$Z630,"&gt;"&amp;0)&gt;5,IF(MOD(COUNTIF(L$641:L932,1),7)=0,$C$4,0),0)</f>
        <v>605.816666666668</v>
      </c>
      <c r="M630" s="81" cm="1">
        <f ca="1" t="array" ref="M630">IF(M932=1,OFFSET($Z$338,$B630,M$335-1)/SUMPRODUCT(--($D$335:$V$335=M$335),--($D932:$V932=1)),0)+SUM(M629)+IF(COUNTIF(M$641:M932,1)=1,5,0)+IF(COUNTIF(N630:$Z630,"&gt;"&amp;0)&gt;5,IF(MOD(COUNTIF(M$641:M932,1),7)=0,$C$4,0),0)</f>
        <v>360.644107142858</v>
      </c>
      <c r="N630" s="81" cm="1">
        <f ca="1" t="array" ref="N630">IF(N932=1,OFFSET($Z$338,$B630,N$335-1)/SUMPRODUCT(--($D$335:$V$335=N$335),--($D932:$V932=1)),0)+SUM(N629)+IF(COUNTIF(N$641:N932,1)=1,5,0)+IF(COUNTIF(O630:$Z630,"&gt;"&amp;0)&gt;5,IF(MOD(COUNTIF(N$641:N932,1),7)=0,$C$4,0),0)</f>
        <v>352.919107142858</v>
      </c>
      <c r="O630" s="81" cm="1">
        <f ca="1" t="array" ref="O630">IF(O932=1,OFFSET($Z$338,$B630,O$335-1)/SUMPRODUCT(--($D$335:$V$335=O$335),--($D932:$V932=1)),0)+SUM(O629)+IF(COUNTIF(O$641:O932,1)=1,5,0)+IF(COUNTIF(P630:$Z630,"&gt;"&amp;0)&gt;5,IF(MOD(COUNTIF(O$641:O932,1),7)=0,$C$4,0),0)</f>
        <v>350.494107142858</v>
      </c>
      <c r="P630" s="81" cm="1">
        <f ca="1" t="array" ref="P630">IF(P932=1,OFFSET($Z$338,$B630,P$335-1)/SUMPRODUCT(--($D$335:$V$335=P$335),--($D932:$V932=1)),0)+SUM(P629)+IF(COUNTIF(P$641:P932,1)=1,5,0)+IF(COUNTIF(Q630:$Z630,"&gt;"&amp;0)&gt;5,IF(MOD(COUNTIF(P$641:P932,1),7)=0,$C$4,0),0)</f>
        <v>347.560773809524</v>
      </c>
      <c r="Q630" s="81" cm="1">
        <f ca="1" t="array" ref="Q630">IF(Q932=1,OFFSET($Z$338,$B630,Q$335-1)/SUMPRODUCT(--($D$335:$V$335=Q$335),--($D932:$V932=1)),0)+SUM(Q629)+IF(COUNTIF(Q$641:Q932,1)=1,5,0)+IF(COUNTIF(R630:$Z630,"&gt;"&amp;0)&gt;5,IF(MOD(COUNTIF(Q$641:Q932,1),7)=0,$C$4,0),0)</f>
        <v>341.654523809524</v>
      </c>
      <c r="R630" s="81" cm="1">
        <f ca="1" t="array" ref="R630">IF(R932=1,OFFSET($Z$338,$B630,R$335-1)/SUMPRODUCT(--($D$335:$V$335=R$335),--($D932:$V932=1)),0)+SUM(R629)+IF(COUNTIF(R$641:R932,1)=1,5,0)+IF(COUNTIF(S630:$Z630,"&gt;"&amp;0)&gt;5,IF(MOD(COUNTIF(R$641:R932,1),7)=0,$C$4,0),0)</f>
        <v>316.759523809524</v>
      </c>
      <c r="S630" s="81" cm="1">
        <f ca="1" t="array" ref="S630">IF(S932=1,OFFSET($Z$338,$B630,S$335-1)/SUMPRODUCT(--($D$335:$V$335=S$335),--($D932:$V932=1)),0)+SUM(S629)+IF(COUNTIF(S$641:S932,1)=1,5,0)+IF(COUNTIF(T630:$Z630,"&gt;"&amp;0)&gt;5,IF(MOD(COUNTIF(S$641:S932,1),7)=0,$C$4,0),0)</f>
        <v>312.592857142857</v>
      </c>
      <c r="T630" s="81" cm="1">
        <f ca="1" t="array" ref="T630">IF(T932=1,OFFSET($Z$338,$B630,T$335-1)/SUMPRODUCT(--($D$335:$V$335=T$335),--($D932:$V932=1)),0)+SUM(T629)+IF(COUNTIF(T$641:T932,1)=1,5,0)+IF(COUNTIF(U630:$Z630,"&gt;"&amp;0)&gt;5,IF(MOD(COUNTIF(T$641:T932,1),7)=0,$C$4,0),0)</f>
        <v>137.656257829764</v>
      </c>
      <c r="U630" s="81" cm="1">
        <f ca="1" t="array" ref="U630">IF(U932=1,OFFSET($Z$338,$B630,U$335-1)/SUMPRODUCT(--($D$335:$V$335=U$335),--($D932:$V932=1)),0)+SUM(U629)+IF(COUNTIF(U$641:U932,1)=1,5,0)+IF(COUNTIF(V630:$Z630,"&gt;"&amp;0)&gt;5,IF(MOD(COUNTIF(U$641:U932,1),7)=0,$C$4,0),0)</f>
        <v>97.6562578297643</v>
      </c>
      <c r="V630" s="81" cm="1">
        <f ca="1" t="array" ref="V630">IF(V932=1,OFFSET($Z$338,$B630,V$335-1)/SUMPRODUCT(--($D$335:$V$335=V$335),--($D932:$V932=1)),0)+SUM(V629)+IF(COUNTIF(V$641:V932,1)=1,5,0)+IF(COUNTIF(Z630:$Z630,"&gt;"&amp;0)&gt;5,IF(MOD(COUNTIF(V$641:V932,1),7)=0,$C$4,0),0)</f>
        <v>89.6984386404824</v>
      </c>
      <c r="W630" s="81" cm="1">
        <f ca="1" t="array" ref="W630">IF(W932=1,OFFSET($Z$338,$B630,W$335-1)/SUMPRODUCT(--($D$335:$V$335=W$335),--($D932:$V932=1)),0)+SUM(W629)+IF(COUNTIF(W$641:W932,1)=1,5,0)+IF(COUNTIF($Z630:AA630,"&gt;"&amp;0)&gt;5,IF(MOD(COUNTIF(W$641:W932,1),7)=0,$C$4,0),0)</f>
        <v>80.3425695255331</v>
      </c>
      <c r="X630" s="81" cm="1">
        <f ca="1" t="array" ref="X630">IF(X932=1,OFFSET($Z$338,$B630,X$335-1)/SUMPRODUCT(--($D$335:$V$335=X$335),--($D932:$V932=1)),0)+SUM(X629)+IF(COUNTIF(X$641:X932,1)=1,5,0)+IF(COUNTIF($Z630:AB630,"&gt;"&amp;0)&gt;5,IF(MOD(COUNTIF(X$641:X932,1),7)=0,$C$4,0),0)</f>
        <v>73.5789092348996</v>
      </c>
      <c r="Y630" s="81" cm="1">
        <f ca="1" t="array" ref="Y630">IF(Y932=1,OFFSET($Z$338,$B630,Y$335-1)/SUMPRODUCT(--($D$335:$V$335=Y$335),--($D932:$V932=1)),0)+SUM(Y629)+IF(COUNTIF(Y$641:Y932,1)=1,5,0)+IF(COUNTIF($Z630:AC630,"&gt;"&amp;0)&gt;5,IF(MOD(COUNTIF(Y$641:Y932,1),7)=0,$C$4,0),0)</f>
        <v>66.8152489442662</v>
      </c>
      <c r="Z630" s="82" cm="1">
        <f ca="1" t="array" ref="Z630">SUMPRODUCT(TRANSPOSE($AD630:$AJ630),OFFSET($L$10:$L$16,0,Z$335-1))</f>
        <v>0</v>
      </c>
      <c r="AA630" s="82" cm="1">
        <f ca="1" t="array" ref="AA630">SUMPRODUCT(TRANSPOSE($AD630:$AJ630),OFFSET($L$10:$L$16,0,AA$335-1))</f>
        <v>0</v>
      </c>
      <c r="AB630" s="82" cm="1">
        <f ca="1" t="array" ref="AB630">SUMPRODUCT(TRANSPOSE($AD630:$AJ630),OFFSET($L$10:$L$16,0,AB$335-1))</f>
        <v>0</v>
      </c>
      <c r="AC630" s="82" cm="1">
        <f ca="1" t="array" ref="AC630">SUMPRODUCT(TRANSPOSE($AD630:$AJ630),OFFSET($L$10:$L$16,0,AC$335-1))</f>
        <v>0</v>
      </c>
      <c r="AD630" s="83">
        <f ca="1" t="shared" ref="AD630:AJ630" si="911">AK630-AK629</f>
        <v>0</v>
      </c>
      <c r="AE630" s="83">
        <f ca="1" t="shared" si="911"/>
        <v>0</v>
      </c>
      <c r="AF630" s="83">
        <f ca="1" t="shared" si="911"/>
        <v>0</v>
      </c>
      <c r="AG630" s="83">
        <f ca="1" t="shared" si="911"/>
        <v>0</v>
      </c>
      <c r="AH630" s="83">
        <f ca="1" t="shared" si="911"/>
        <v>0</v>
      </c>
      <c r="AI630" s="83">
        <f ca="1" t="shared" si="911"/>
        <v>0</v>
      </c>
      <c r="AJ630" s="83">
        <f ca="1" t="shared" si="911"/>
        <v>0</v>
      </c>
      <c r="AK630" s="83">
        <f ca="1" t="shared" si="841"/>
        <v>450</v>
      </c>
      <c r="AL630" s="83">
        <f ca="1" t="shared" ref="AL630:AQ630" si="912">IF($C630&gt;OFFSET($Q$9,MATCH(AL$338,$AK$338:$AQ$338,0),0),OFFSET($P$9,MATCH(AL$338,$AK$338:$AQ$338,0),0),MAX(0,$C630-OFFSET($Q$9,RIGHT(AL$338,1)-1,0)))</f>
        <v>909</v>
      </c>
      <c r="AM630" s="83">
        <f ca="1" t="shared" si="912"/>
        <v>1818</v>
      </c>
      <c r="AN630" s="83">
        <f ca="1" t="shared" si="912"/>
        <v>2727</v>
      </c>
      <c r="AO630" s="83">
        <f ca="1" t="shared" si="912"/>
        <v>3636</v>
      </c>
      <c r="AP630" s="83">
        <f ca="1" t="shared" si="912"/>
        <v>4545</v>
      </c>
      <c r="AQ630" s="83">
        <f ca="1" t="shared" si="912"/>
        <v>0</v>
      </c>
    </row>
    <row r="631" ht="16.5" spans="2:43">
      <c r="B631" s="65">
        <v>293</v>
      </c>
      <c r="C631" s="80">
        <f t="shared" si="839"/>
        <v>33556</v>
      </c>
      <c r="D631" s="81" cm="1">
        <f ca="1" t="array" ref="D631">IF(D933=1,OFFSET($Z$338,$B631,D$335-1)/SUMPRODUCT(--($D$335:$V$335=D$335),--($D933:$V933=1)),0)+SUM(D630)+IF(COUNTIF(D$641:D933,1)=1,5,0)+IF(COUNTIF(E631:$Z631,"&gt;"&amp;0)&gt;5,IF(MOD(COUNTIF(D$641:D933,1),7)=0,$C$4,0),0)</f>
        <v>1323.82134856666</v>
      </c>
      <c r="E631" s="81" cm="1">
        <f ca="1" t="array" ref="E631">IF(E933=1,OFFSET($Z$338,$B631,E$335-1)/SUMPRODUCT(--($D$335:$V$335=E$335),--($D933:$V933=1)),0)+SUM(E630)+IF(COUNTIF(E$641:E933,1)=1,5,0)+IF(COUNTIF(F631:$Z631,"&gt;"&amp;0)&gt;5,IF(MOD(COUNTIF(E$641:E933,1),7)=0,$C$4,0),0)</f>
        <v>1323.82134856666</v>
      </c>
      <c r="F631" s="81" cm="1">
        <f ca="1" t="array" ref="F631">IF(F933=1,OFFSET($Z$338,$B631,F$335-1)/SUMPRODUCT(--($D$335:$V$335=F$335),--($D933:$V933=1)),0)+SUM(F630)+IF(COUNTIF(F$641:F933,1)=1,5,0)+IF(COUNTIF(G631:$Z631,"&gt;"&amp;0)&gt;5,IF(MOD(COUNTIF(F$641:F933,1),7)=0,$C$4,0),0)</f>
        <v>1323.82134856666</v>
      </c>
      <c r="G631" s="81" cm="1">
        <f ca="1" t="array" ref="G631">IF(G933=1,OFFSET($Z$338,$B631,G$335-1)/SUMPRODUCT(--($D$335:$V$335=G$335),--($D933:$V933=1)),0)+SUM(G630)+IF(COUNTIF(G$641:G933,1)=1,5,0)+IF(COUNTIF(H631:$Z631,"&gt;"&amp;0)&gt;5,IF(MOD(COUNTIF(G$641:G933,1),7)=0,$C$4,0),0)</f>
        <v>612.516666666668</v>
      </c>
      <c r="H631" s="81" cm="1">
        <f ca="1" t="array" ref="H631">IF(H933=1,OFFSET($Z$338,$B631,H$335-1)/SUMPRODUCT(--($D$335:$V$335=H$335),--($D933:$V933=1)),0)+SUM(H630)+IF(COUNTIF(H$641:H933,1)=1,5,0)+IF(COUNTIF(I631:$Z631,"&gt;"&amp;0)&gt;5,IF(MOD(COUNTIF(H$641:H933,1),7)=0,$C$4,0),0)</f>
        <v>612.516666666668</v>
      </c>
      <c r="I631" s="81" cm="1">
        <f ca="1" t="array" ref="I631">IF(I933=1,OFFSET($Z$338,$B631,I$335-1)/SUMPRODUCT(--($D$335:$V$335=I$335),--($D933:$V933=1)),0)+SUM(I630)+IF(COUNTIF(I$641:I933,1)=1,5,0)+IF(COUNTIF(J631:$Z631,"&gt;"&amp;0)&gt;5,IF(MOD(COUNTIF(I$641:I933,1),7)=0,$C$4,0),0)</f>
        <v>612.516666666668</v>
      </c>
      <c r="J631" s="81" cm="1">
        <f ca="1" t="array" ref="J631">IF(J933=1,OFFSET($Z$338,$B631,J$335-1)/SUMPRODUCT(--($D$335:$V$335=J$335),--($D933:$V933=1)),0)+SUM(J630)+IF(COUNTIF(J$641:J933,1)=1,5,0)+IF(COUNTIF(K631:$Z631,"&gt;"&amp;0)&gt;5,IF(MOD(COUNTIF(J$641:J933,1),7)=0,$C$4,0),0)</f>
        <v>612.516666666668</v>
      </c>
      <c r="K631" s="81" cm="1">
        <f ca="1" t="array" ref="K631">IF(K933=1,OFFSET($Z$338,$B631,K$335-1)/SUMPRODUCT(--($D$335:$V$335=K$335),--($D933:$V933=1)),0)+SUM(K630)+IF(COUNTIF(K$641:K933,1)=1,5,0)+IF(COUNTIF(L631:$Z631,"&gt;"&amp;0)&gt;5,IF(MOD(COUNTIF(K$641:K933,1),7)=0,$C$4,0),0)</f>
        <v>612.516666666668</v>
      </c>
      <c r="L631" s="81" cm="1">
        <f ca="1" t="array" ref="L631">IF(L933=1,OFFSET($Z$338,$B631,L$335-1)/SUMPRODUCT(--($D$335:$V$335=L$335),--($D933:$V933=1)),0)+SUM(L630)+IF(COUNTIF(L$641:L933,1)=1,5,0)+IF(COUNTIF(M631:$Z631,"&gt;"&amp;0)&gt;5,IF(MOD(COUNTIF(L$641:L933,1),7)=0,$C$4,0),0)</f>
        <v>605.816666666668</v>
      </c>
      <c r="M631" s="81" cm="1">
        <f ca="1" t="array" ref="M631">IF(M933=1,OFFSET($Z$338,$B631,M$335-1)/SUMPRODUCT(--($D$335:$V$335=M$335),--($D933:$V933=1)),0)+SUM(M630)+IF(COUNTIF(M$641:M933,1)=1,5,0)+IF(COUNTIF(N631:$Z631,"&gt;"&amp;0)&gt;5,IF(MOD(COUNTIF(M$641:M933,1),7)=0,$C$4,0),0)</f>
        <v>360.644107142858</v>
      </c>
      <c r="N631" s="81" cm="1">
        <f ca="1" t="array" ref="N631">IF(N933=1,OFFSET($Z$338,$B631,N$335-1)/SUMPRODUCT(--($D$335:$V$335=N$335),--($D933:$V933=1)),0)+SUM(N630)+IF(COUNTIF(N$641:N933,1)=1,5,0)+IF(COUNTIF(O631:$Z631,"&gt;"&amp;0)&gt;5,IF(MOD(COUNTIF(N$641:N933,1),7)=0,$C$4,0),0)</f>
        <v>352.919107142858</v>
      </c>
      <c r="O631" s="81" cm="1">
        <f ca="1" t="array" ref="O631">IF(O933=1,OFFSET($Z$338,$B631,O$335-1)/SUMPRODUCT(--($D$335:$V$335=O$335),--($D933:$V933=1)),0)+SUM(O630)+IF(COUNTIF(O$641:O933,1)=1,5,0)+IF(COUNTIF(P631:$Z631,"&gt;"&amp;0)&gt;5,IF(MOD(COUNTIF(O$641:O933,1),7)=0,$C$4,0),0)</f>
        <v>350.494107142858</v>
      </c>
      <c r="P631" s="81" cm="1">
        <f ca="1" t="array" ref="P631">IF(P933=1,OFFSET($Z$338,$B631,P$335-1)/SUMPRODUCT(--($D$335:$V$335=P$335),--($D933:$V933=1)),0)+SUM(P630)+IF(COUNTIF(P$641:P933,1)=1,5,0)+IF(COUNTIF(Q631:$Z631,"&gt;"&amp;0)&gt;5,IF(MOD(COUNTIF(P$641:P933,1),7)=0,$C$4,0),0)</f>
        <v>347.560773809524</v>
      </c>
      <c r="Q631" s="81" cm="1">
        <f ca="1" t="array" ref="Q631">IF(Q933=1,OFFSET($Z$338,$B631,Q$335-1)/SUMPRODUCT(--($D$335:$V$335=Q$335),--($D933:$V933=1)),0)+SUM(Q630)+IF(COUNTIF(Q$641:Q933,1)=1,5,0)+IF(COUNTIF(R631:$Z631,"&gt;"&amp;0)&gt;5,IF(MOD(COUNTIF(Q$641:Q933,1),7)=0,$C$4,0),0)</f>
        <v>346.654523809524</v>
      </c>
      <c r="R631" s="81" cm="1">
        <f ca="1" t="array" ref="R631">IF(R933=1,OFFSET($Z$338,$B631,R$335-1)/SUMPRODUCT(--($D$335:$V$335=R$335),--($D933:$V933=1)),0)+SUM(R630)+IF(COUNTIF(R$641:R933,1)=1,5,0)+IF(COUNTIF(S631:$Z631,"&gt;"&amp;0)&gt;5,IF(MOD(COUNTIF(R$641:R933,1),7)=0,$C$4,0),0)</f>
        <v>316.759523809524</v>
      </c>
      <c r="S631" s="81" cm="1">
        <f ca="1" t="array" ref="S631">IF(S933=1,OFFSET($Z$338,$B631,S$335-1)/SUMPRODUCT(--($D$335:$V$335=S$335),--($D933:$V933=1)),0)+SUM(S630)+IF(COUNTIF(S$641:S933,1)=1,5,0)+IF(COUNTIF(T631:$Z631,"&gt;"&amp;0)&gt;5,IF(MOD(COUNTIF(S$641:S933,1),7)=0,$C$4,0),0)</f>
        <v>312.592857142857</v>
      </c>
      <c r="T631" s="81" cm="1">
        <f ca="1" t="array" ref="T631">IF(T933=1,OFFSET($Z$338,$B631,T$335-1)/SUMPRODUCT(--($D$335:$V$335=T$335),--($D933:$V933=1)),0)+SUM(T630)+IF(COUNTIF(T$641:T933,1)=1,5,0)+IF(COUNTIF(U631:$Z631,"&gt;"&amp;0)&gt;5,IF(MOD(COUNTIF(T$641:T933,1),7)=0,$C$4,0),0)</f>
        <v>137.656257829764</v>
      </c>
      <c r="U631" s="81" cm="1">
        <f ca="1" t="array" ref="U631">IF(U933=1,OFFSET($Z$338,$B631,U$335-1)/SUMPRODUCT(--($D$335:$V$335=U$335),--($D933:$V933=1)),0)+SUM(U630)+IF(COUNTIF(U$641:U933,1)=1,5,0)+IF(COUNTIF(V631:$Z631,"&gt;"&amp;0)&gt;5,IF(MOD(COUNTIF(U$641:U933,1),7)=0,$C$4,0),0)</f>
        <v>97.6562578297643</v>
      </c>
      <c r="V631" s="81" cm="1">
        <f ca="1" t="array" ref="V631">IF(V933=1,OFFSET($Z$338,$B631,V$335-1)/SUMPRODUCT(--($D$335:$V$335=V$335),--($D933:$V933=1)),0)+SUM(V630)+IF(COUNTIF(V$641:V933,1)=1,5,0)+IF(COUNTIF(Z631:$Z631,"&gt;"&amp;0)&gt;5,IF(MOD(COUNTIF(V$641:V933,1),7)=0,$C$4,0),0)</f>
        <v>89.6984386404824</v>
      </c>
      <c r="W631" s="81" cm="1">
        <f ca="1" t="array" ref="W631">IF(W933=1,OFFSET($Z$338,$B631,W$335-1)/SUMPRODUCT(--($D$335:$V$335=W$335),--($D933:$V933=1)),0)+SUM(W630)+IF(COUNTIF(W$641:W933,1)=1,5,0)+IF(COUNTIF($Z631:AA631,"&gt;"&amp;0)&gt;5,IF(MOD(COUNTIF(W$641:W933,1),7)=0,$C$4,0),0)</f>
        <v>80.3425695255331</v>
      </c>
      <c r="X631" s="81" cm="1">
        <f ca="1" t="array" ref="X631">IF(X933=1,OFFSET($Z$338,$B631,X$335-1)/SUMPRODUCT(--($D$335:$V$335=X$335),--($D933:$V933=1)),0)+SUM(X630)+IF(COUNTIF(X$641:X933,1)=1,5,0)+IF(COUNTIF($Z631:AB631,"&gt;"&amp;0)&gt;5,IF(MOD(COUNTIF(X$641:X933,1),7)=0,$C$4,0),0)</f>
        <v>73.5789092348996</v>
      </c>
      <c r="Y631" s="81" cm="1">
        <f ca="1" t="array" ref="Y631">IF(Y933=1,OFFSET($Z$338,$B631,Y$335-1)/SUMPRODUCT(--($D$335:$V$335=Y$335),--($D933:$V933=1)),0)+SUM(Y630)+IF(COUNTIF(Y$641:Y933,1)=1,5,0)+IF(COUNTIF($Z631:AC631,"&gt;"&amp;0)&gt;5,IF(MOD(COUNTIF(Y$641:Y933,1),7)=0,$C$4,0),0)</f>
        <v>66.8152489442662</v>
      </c>
      <c r="Z631" s="82" cm="1">
        <f ca="1" t="array" ref="Z631">SUMPRODUCT(TRANSPOSE($AD631:$AJ631),OFFSET($L$10:$L$16,0,Z$335-1))</f>
        <v>0</v>
      </c>
      <c r="AA631" s="82" cm="1">
        <f ca="1" t="array" ref="AA631">SUMPRODUCT(TRANSPOSE($AD631:$AJ631),OFFSET($L$10:$L$16,0,AA$335-1))</f>
        <v>0</v>
      </c>
      <c r="AB631" s="82" cm="1">
        <f ca="1" t="array" ref="AB631">SUMPRODUCT(TRANSPOSE($AD631:$AJ631),OFFSET($L$10:$L$16,0,AB$335-1))</f>
        <v>0</v>
      </c>
      <c r="AC631" s="82" cm="1">
        <f ca="1" t="array" ref="AC631">SUMPRODUCT(TRANSPOSE($AD631:$AJ631),OFFSET($L$10:$L$16,0,AC$335-1))</f>
        <v>0</v>
      </c>
      <c r="AD631" s="83">
        <f ca="1" t="shared" ref="AD631:AJ631" si="913">AK631-AK630</f>
        <v>0</v>
      </c>
      <c r="AE631" s="83">
        <f ca="1" t="shared" si="913"/>
        <v>0</v>
      </c>
      <c r="AF631" s="83">
        <f ca="1" t="shared" si="913"/>
        <v>0</v>
      </c>
      <c r="AG631" s="83">
        <f ca="1" t="shared" si="913"/>
        <v>0</v>
      </c>
      <c r="AH631" s="83">
        <f ca="1" t="shared" si="913"/>
        <v>0</v>
      </c>
      <c r="AI631" s="83">
        <f ca="1" t="shared" si="913"/>
        <v>0</v>
      </c>
      <c r="AJ631" s="83">
        <f ca="1" t="shared" si="913"/>
        <v>0</v>
      </c>
      <c r="AK631" s="83">
        <f ca="1" t="shared" si="841"/>
        <v>450</v>
      </c>
      <c r="AL631" s="83">
        <f ca="1" t="shared" ref="AL631:AQ631" si="914">IF($C631&gt;OFFSET($Q$9,MATCH(AL$338,$AK$338:$AQ$338,0),0),OFFSET($P$9,MATCH(AL$338,$AK$338:$AQ$338,0),0),MAX(0,$C631-OFFSET($Q$9,RIGHT(AL$338,1)-1,0)))</f>
        <v>909</v>
      </c>
      <c r="AM631" s="83">
        <f ca="1" t="shared" si="914"/>
        <v>1818</v>
      </c>
      <c r="AN631" s="83">
        <f ca="1" t="shared" si="914"/>
        <v>2727</v>
      </c>
      <c r="AO631" s="83">
        <f ca="1" t="shared" si="914"/>
        <v>3636</v>
      </c>
      <c r="AP631" s="83">
        <f ca="1" t="shared" si="914"/>
        <v>4545</v>
      </c>
      <c r="AQ631" s="83">
        <f ca="1" t="shared" si="914"/>
        <v>0</v>
      </c>
    </row>
    <row r="632" ht="16.5" spans="2:43">
      <c r="B632" s="65">
        <v>294</v>
      </c>
      <c r="C632" s="80">
        <f t="shared" si="839"/>
        <v>33666</v>
      </c>
      <c r="D632" s="81" cm="1">
        <f ca="1" t="array" ref="D632">IF(D934=1,OFFSET($Z$338,$B632,D$335-1)/SUMPRODUCT(--($D$335:$V$335=D$335),--($D934:$V934=1)),0)+SUM(D631)+IF(COUNTIF(D$641:D934,1)=1,5,0)+IF(COUNTIF(E632:$Z632,"&gt;"&amp;0)&gt;5,IF(MOD(COUNTIF(D$641:D934,1),7)=0,$C$4,0),0)</f>
        <v>1328.82134856666</v>
      </c>
      <c r="E632" s="81" cm="1">
        <f ca="1" t="array" ref="E632">IF(E934=1,OFFSET($Z$338,$B632,E$335-1)/SUMPRODUCT(--($D$335:$V$335=E$335),--($D934:$V934=1)),0)+SUM(E631)+IF(COUNTIF(E$641:E934,1)=1,5,0)+IF(COUNTIF(F632:$Z632,"&gt;"&amp;0)&gt;5,IF(MOD(COUNTIF(E$641:E934,1),7)=0,$C$4,0),0)</f>
        <v>1328.82134856666</v>
      </c>
      <c r="F632" s="81" cm="1">
        <f ca="1" t="array" ref="F632">IF(F934=1,OFFSET($Z$338,$B632,F$335-1)/SUMPRODUCT(--($D$335:$V$335=F$335),--($D934:$V934=1)),0)+SUM(F631)+IF(COUNTIF(F$641:F934,1)=1,5,0)+IF(COUNTIF(G632:$Z632,"&gt;"&amp;0)&gt;5,IF(MOD(COUNTIF(F$641:F934,1),7)=0,$C$4,0),0)</f>
        <v>1328.82134856666</v>
      </c>
      <c r="G632" s="81" cm="1">
        <f ca="1" t="array" ref="G632">IF(G934=1,OFFSET($Z$338,$B632,G$335-1)/SUMPRODUCT(--($D$335:$V$335=G$335),--($D934:$V934=1)),0)+SUM(G631)+IF(COUNTIF(G$641:G934,1)=1,5,0)+IF(COUNTIF(H632:$Z632,"&gt;"&amp;0)&gt;5,IF(MOD(COUNTIF(G$641:G934,1),7)=0,$C$4,0),0)</f>
        <v>617.516666666668</v>
      </c>
      <c r="H632" s="81" cm="1">
        <f ca="1" t="array" ref="H632">IF(H934=1,OFFSET($Z$338,$B632,H$335-1)/SUMPRODUCT(--($D$335:$V$335=H$335),--($D934:$V934=1)),0)+SUM(H631)+IF(COUNTIF(H$641:H934,1)=1,5,0)+IF(COUNTIF(I632:$Z632,"&gt;"&amp;0)&gt;5,IF(MOD(COUNTIF(H$641:H934,1),7)=0,$C$4,0),0)</f>
        <v>617.516666666668</v>
      </c>
      <c r="I632" s="81" cm="1">
        <f ca="1" t="array" ref="I632">IF(I934=1,OFFSET($Z$338,$B632,I$335-1)/SUMPRODUCT(--($D$335:$V$335=I$335),--($D934:$V934=1)),0)+SUM(I631)+IF(COUNTIF(I$641:I934,1)=1,5,0)+IF(COUNTIF(J632:$Z632,"&gt;"&amp;0)&gt;5,IF(MOD(COUNTIF(I$641:I934,1),7)=0,$C$4,0),0)</f>
        <v>617.516666666668</v>
      </c>
      <c r="J632" s="81" cm="1">
        <f ca="1" t="array" ref="J632">IF(J934=1,OFFSET($Z$338,$B632,J$335-1)/SUMPRODUCT(--($D$335:$V$335=J$335),--($D934:$V934=1)),0)+SUM(J631)+IF(COUNTIF(J$641:J934,1)=1,5,0)+IF(COUNTIF(K632:$Z632,"&gt;"&amp;0)&gt;5,IF(MOD(COUNTIF(J$641:J934,1),7)=0,$C$4,0),0)</f>
        <v>617.516666666668</v>
      </c>
      <c r="K632" s="81" cm="1">
        <f ca="1" t="array" ref="K632">IF(K934=1,OFFSET($Z$338,$B632,K$335-1)/SUMPRODUCT(--($D$335:$V$335=K$335),--($D934:$V934=1)),0)+SUM(K631)+IF(COUNTIF(K$641:K934,1)=1,5,0)+IF(COUNTIF(L632:$Z632,"&gt;"&amp;0)&gt;5,IF(MOD(COUNTIF(K$641:K934,1),7)=0,$C$4,0),0)</f>
        <v>617.516666666668</v>
      </c>
      <c r="L632" s="81" cm="1">
        <f ca="1" t="array" ref="L632">IF(L934=1,OFFSET($Z$338,$B632,L$335-1)/SUMPRODUCT(--($D$335:$V$335=L$335),--($D934:$V934=1)),0)+SUM(L631)+IF(COUNTIF(L$641:L934,1)=1,5,0)+IF(COUNTIF(M632:$Z632,"&gt;"&amp;0)&gt;5,IF(MOD(COUNTIF(L$641:L934,1),7)=0,$C$4,0),0)</f>
        <v>605.816666666668</v>
      </c>
      <c r="M632" s="81" cm="1">
        <f ca="1" t="array" ref="M632">IF(M934=1,OFFSET($Z$338,$B632,M$335-1)/SUMPRODUCT(--($D$335:$V$335=M$335),--($D934:$V934=1)),0)+SUM(M631)+IF(COUNTIF(M$641:M934,1)=1,5,0)+IF(COUNTIF(N632:$Z632,"&gt;"&amp;0)&gt;5,IF(MOD(COUNTIF(M$641:M934,1),7)=0,$C$4,0),0)</f>
        <v>360.644107142858</v>
      </c>
      <c r="N632" s="81" cm="1">
        <f ca="1" t="array" ref="N632">IF(N934=1,OFFSET($Z$338,$B632,N$335-1)/SUMPRODUCT(--($D$335:$V$335=N$335),--($D934:$V934=1)),0)+SUM(N631)+IF(COUNTIF(N$641:N934,1)=1,5,0)+IF(COUNTIF(O632:$Z632,"&gt;"&amp;0)&gt;5,IF(MOD(COUNTIF(N$641:N934,1),7)=0,$C$4,0),0)</f>
        <v>352.919107142858</v>
      </c>
      <c r="O632" s="81" cm="1">
        <f ca="1" t="array" ref="O632">IF(O934=1,OFFSET($Z$338,$B632,O$335-1)/SUMPRODUCT(--($D$335:$V$335=O$335),--($D934:$V934=1)),0)+SUM(O631)+IF(COUNTIF(O$641:O934,1)=1,5,0)+IF(COUNTIF(P632:$Z632,"&gt;"&amp;0)&gt;5,IF(MOD(COUNTIF(O$641:O934,1),7)=0,$C$4,0),0)</f>
        <v>350.494107142858</v>
      </c>
      <c r="P632" s="81" cm="1">
        <f ca="1" t="array" ref="P632">IF(P934=1,OFFSET($Z$338,$B632,P$335-1)/SUMPRODUCT(--($D$335:$V$335=P$335),--($D934:$V934=1)),0)+SUM(P631)+IF(COUNTIF(P$641:P934,1)=1,5,0)+IF(COUNTIF(Q632:$Z632,"&gt;"&amp;0)&gt;5,IF(MOD(COUNTIF(P$641:P934,1),7)=0,$C$4,0),0)</f>
        <v>347.560773809524</v>
      </c>
      <c r="Q632" s="81" cm="1">
        <f ca="1" t="array" ref="Q632">IF(Q934=1,OFFSET($Z$338,$B632,Q$335-1)/SUMPRODUCT(--($D$335:$V$335=Q$335),--($D934:$V934=1)),0)+SUM(Q631)+IF(COUNTIF(Q$641:Q934,1)=1,5,0)+IF(COUNTIF(R632:$Z632,"&gt;"&amp;0)&gt;5,IF(MOD(COUNTIF(Q$641:Q934,1),7)=0,$C$4,0),0)</f>
        <v>346.654523809524</v>
      </c>
      <c r="R632" s="81" cm="1">
        <f ca="1" t="array" ref="R632">IF(R934=1,OFFSET($Z$338,$B632,R$335-1)/SUMPRODUCT(--($D$335:$V$335=R$335),--($D934:$V934=1)),0)+SUM(R631)+IF(COUNTIF(R$641:R934,1)=1,5,0)+IF(COUNTIF(S632:$Z632,"&gt;"&amp;0)&gt;5,IF(MOD(COUNTIF(R$641:R934,1),7)=0,$C$4,0),0)</f>
        <v>321.759523809524</v>
      </c>
      <c r="S632" s="81" cm="1">
        <f ca="1" t="array" ref="S632">IF(S934=1,OFFSET($Z$338,$B632,S$335-1)/SUMPRODUCT(--($D$335:$V$335=S$335),--($D934:$V934=1)),0)+SUM(S631)+IF(COUNTIF(S$641:S934,1)=1,5,0)+IF(COUNTIF(T632:$Z632,"&gt;"&amp;0)&gt;5,IF(MOD(COUNTIF(S$641:S934,1),7)=0,$C$4,0),0)</f>
        <v>312.592857142857</v>
      </c>
      <c r="T632" s="81" cm="1">
        <f ca="1" t="array" ref="T632">IF(T934=1,OFFSET($Z$338,$B632,T$335-1)/SUMPRODUCT(--($D$335:$V$335=T$335),--($D934:$V934=1)),0)+SUM(T631)+IF(COUNTIF(T$641:T934,1)=1,5,0)+IF(COUNTIF(U632:$Z632,"&gt;"&amp;0)&gt;5,IF(MOD(COUNTIF(T$641:T934,1),7)=0,$C$4,0),0)</f>
        <v>137.656257829764</v>
      </c>
      <c r="U632" s="81" cm="1">
        <f ca="1" t="array" ref="U632">IF(U934=1,OFFSET($Z$338,$B632,U$335-1)/SUMPRODUCT(--($D$335:$V$335=U$335),--($D934:$V934=1)),0)+SUM(U631)+IF(COUNTIF(U$641:U934,1)=1,5,0)+IF(COUNTIF(V632:$Z632,"&gt;"&amp;0)&gt;5,IF(MOD(COUNTIF(U$641:U934,1),7)=0,$C$4,0),0)</f>
        <v>97.6562578297643</v>
      </c>
      <c r="V632" s="81" cm="1">
        <f ca="1" t="array" ref="V632">IF(V934=1,OFFSET($Z$338,$B632,V$335-1)/SUMPRODUCT(--($D$335:$V$335=V$335),--($D934:$V934=1)),0)+SUM(V631)+IF(COUNTIF(V$641:V934,1)=1,5,0)+IF(COUNTIF(Z632:$Z632,"&gt;"&amp;0)&gt;5,IF(MOD(COUNTIF(V$641:V934,1),7)=0,$C$4,0),0)</f>
        <v>89.6984386404824</v>
      </c>
      <c r="W632" s="81" cm="1">
        <f ca="1" t="array" ref="W632">IF(W934=1,OFFSET($Z$338,$B632,W$335-1)/SUMPRODUCT(--($D$335:$V$335=W$335),--($D934:$V934=1)),0)+SUM(W631)+IF(COUNTIF(W$641:W934,1)=1,5,0)+IF(COUNTIF($Z632:AA632,"&gt;"&amp;0)&gt;5,IF(MOD(COUNTIF(W$641:W934,1),7)=0,$C$4,0),0)</f>
        <v>80.3425695255331</v>
      </c>
      <c r="X632" s="81" cm="1">
        <f ca="1" t="array" ref="X632">IF(X934=1,OFFSET($Z$338,$B632,X$335-1)/SUMPRODUCT(--($D$335:$V$335=X$335),--($D934:$V934=1)),0)+SUM(X631)+IF(COUNTIF(X$641:X934,1)=1,5,0)+IF(COUNTIF($Z632:AB632,"&gt;"&amp;0)&gt;5,IF(MOD(COUNTIF(X$641:X934,1),7)=0,$C$4,0),0)</f>
        <v>73.5789092348996</v>
      </c>
      <c r="Y632" s="81" cm="1">
        <f ca="1" t="array" ref="Y632">IF(Y934=1,OFFSET($Z$338,$B632,Y$335-1)/SUMPRODUCT(--($D$335:$V$335=Y$335),--($D934:$V934=1)),0)+SUM(Y631)+IF(COUNTIF(Y$641:Y934,1)=1,5,0)+IF(COUNTIF($Z632:AC632,"&gt;"&amp;0)&gt;5,IF(MOD(COUNTIF(Y$641:Y934,1),7)=0,$C$4,0),0)</f>
        <v>66.8152489442662</v>
      </c>
      <c r="Z632" s="82" cm="1">
        <f ca="1" t="array" ref="Z632">SUMPRODUCT(TRANSPOSE($AD632:$AJ632),OFFSET($L$10:$L$16,0,Z$335-1))</f>
        <v>0</v>
      </c>
      <c r="AA632" s="82" cm="1">
        <f ca="1" t="array" ref="AA632">SUMPRODUCT(TRANSPOSE($AD632:$AJ632),OFFSET($L$10:$L$16,0,AA$335-1))</f>
        <v>0</v>
      </c>
      <c r="AB632" s="82" cm="1">
        <f ca="1" t="array" ref="AB632">SUMPRODUCT(TRANSPOSE($AD632:$AJ632),OFFSET($L$10:$L$16,0,AB$335-1))</f>
        <v>0</v>
      </c>
      <c r="AC632" s="82" cm="1">
        <f ca="1" t="array" ref="AC632">SUMPRODUCT(TRANSPOSE($AD632:$AJ632),OFFSET($L$10:$L$16,0,AC$335-1))</f>
        <v>0</v>
      </c>
      <c r="AD632" s="83">
        <f ca="1" t="shared" ref="AD632:AJ632" si="915">AK632-AK631</f>
        <v>0</v>
      </c>
      <c r="AE632" s="83">
        <f ca="1" t="shared" si="915"/>
        <v>0</v>
      </c>
      <c r="AF632" s="83">
        <f ca="1" t="shared" si="915"/>
        <v>0</v>
      </c>
      <c r="AG632" s="83">
        <f ca="1" t="shared" si="915"/>
        <v>0</v>
      </c>
      <c r="AH632" s="83">
        <f ca="1" t="shared" si="915"/>
        <v>0</v>
      </c>
      <c r="AI632" s="83">
        <f ca="1" t="shared" si="915"/>
        <v>0</v>
      </c>
      <c r="AJ632" s="83">
        <f ca="1" t="shared" si="915"/>
        <v>0</v>
      </c>
      <c r="AK632" s="83">
        <f ca="1" t="shared" si="841"/>
        <v>450</v>
      </c>
      <c r="AL632" s="83">
        <f ca="1" t="shared" ref="AL632:AQ632" si="916">IF($C632&gt;OFFSET($Q$9,MATCH(AL$338,$AK$338:$AQ$338,0),0),OFFSET($P$9,MATCH(AL$338,$AK$338:$AQ$338,0),0),MAX(0,$C632-OFFSET($Q$9,RIGHT(AL$338,1)-1,0)))</f>
        <v>909</v>
      </c>
      <c r="AM632" s="83">
        <f ca="1" t="shared" si="916"/>
        <v>1818</v>
      </c>
      <c r="AN632" s="83">
        <f ca="1" t="shared" si="916"/>
        <v>2727</v>
      </c>
      <c r="AO632" s="83">
        <f ca="1" t="shared" si="916"/>
        <v>3636</v>
      </c>
      <c r="AP632" s="83">
        <f ca="1" t="shared" si="916"/>
        <v>4545</v>
      </c>
      <c r="AQ632" s="83">
        <f ca="1" t="shared" si="916"/>
        <v>0</v>
      </c>
    </row>
    <row r="633" ht="16.5" spans="2:43">
      <c r="B633" s="65">
        <v>295</v>
      </c>
      <c r="C633" s="80">
        <f t="shared" si="839"/>
        <v>33776</v>
      </c>
      <c r="D633" s="81" cm="1">
        <f ca="1" t="array" ref="D633">IF(D935=1,OFFSET($Z$338,$B633,D$335-1)/SUMPRODUCT(--($D$335:$V$335=D$335),--($D935:$V935=1)),0)+SUM(D632)+IF(COUNTIF(D$641:D935,1)=1,5,0)+IF(COUNTIF(E633:$Z633,"&gt;"&amp;0)&gt;5,IF(MOD(COUNTIF(D$641:D935,1),7)=0,$C$4,0),0)</f>
        <v>1328.82134856666</v>
      </c>
      <c r="E633" s="81" cm="1">
        <f ca="1" t="array" ref="E633">IF(E935=1,OFFSET($Z$338,$B633,E$335-1)/SUMPRODUCT(--($D$335:$V$335=E$335),--($D935:$V935=1)),0)+SUM(E632)+IF(COUNTIF(E$641:E935,1)=1,5,0)+IF(COUNTIF(F633:$Z633,"&gt;"&amp;0)&gt;5,IF(MOD(COUNTIF(E$641:E935,1),7)=0,$C$4,0),0)</f>
        <v>1328.82134856666</v>
      </c>
      <c r="F633" s="81" cm="1">
        <f ca="1" t="array" ref="F633">IF(F935=1,OFFSET($Z$338,$B633,F$335-1)/SUMPRODUCT(--($D$335:$V$335=F$335),--($D935:$V935=1)),0)+SUM(F632)+IF(COUNTIF(F$641:F935,1)=1,5,0)+IF(COUNTIF(G633:$Z633,"&gt;"&amp;0)&gt;5,IF(MOD(COUNTIF(F$641:F935,1),7)=0,$C$4,0),0)</f>
        <v>1328.82134856666</v>
      </c>
      <c r="G633" s="81" cm="1">
        <f ca="1" t="array" ref="G633">IF(G935=1,OFFSET($Z$338,$B633,G$335-1)/SUMPRODUCT(--($D$335:$V$335=G$335),--($D935:$V935=1)),0)+SUM(G632)+IF(COUNTIF(G$641:G935,1)=1,5,0)+IF(COUNTIF(H633:$Z633,"&gt;"&amp;0)&gt;5,IF(MOD(COUNTIF(G$641:G935,1),7)=0,$C$4,0),0)</f>
        <v>617.516666666668</v>
      </c>
      <c r="H633" s="81" cm="1">
        <f ca="1" t="array" ref="H633">IF(H935=1,OFFSET($Z$338,$B633,H$335-1)/SUMPRODUCT(--($D$335:$V$335=H$335),--($D935:$V935=1)),0)+SUM(H632)+IF(COUNTIF(H$641:H935,1)=1,5,0)+IF(COUNTIF(I633:$Z633,"&gt;"&amp;0)&gt;5,IF(MOD(COUNTIF(H$641:H935,1),7)=0,$C$4,0),0)</f>
        <v>617.516666666668</v>
      </c>
      <c r="I633" s="81" cm="1">
        <f ca="1" t="array" ref="I633">IF(I935=1,OFFSET($Z$338,$B633,I$335-1)/SUMPRODUCT(--($D$335:$V$335=I$335),--($D935:$V935=1)),0)+SUM(I632)+IF(COUNTIF(I$641:I935,1)=1,5,0)+IF(COUNTIF(J633:$Z633,"&gt;"&amp;0)&gt;5,IF(MOD(COUNTIF(I$641:I935,1),7)=0,$C$4,0),0)</f>
        <v>617.516666666668</v>
      </c>
      <c r="J633" s="81" cm="1">
        <f ca="1" t="array" ref="J633">IF(J935=1,OFFSET($Z$338,$B633,J$335-1)/SUMPRODUCT(--($D$335:$V$335=J$335),--($D935:$V935=1)),0)+SUM(J632)+IF(COUNTIF(J$641:J935,1)=1,5,0)+IF(COUNTIF(K633:$Z633,"&gt;"&amp;0)&gt;5,IF(MOD(COUNTIF(J$641:J935,1),7)=0,$C$4,0),0)</f>
        <v>617.516666666668</v>
      </c>
      <c r="K633" s="81" cm="1">
        <f ca="1" t="array" ref="K633">IF(K935=1,OFFSET($Z$338,$B633,K$335-1)/SUMPRODUCT(--($D$335:$V$335=K$335),--($D935:$V935=1)),0)+SUM(K632)+IF(COUNTIF(K$641:K935,1)=1,5,0)+IF(COUNTIF(L633:$Z633,"&gt;"&amp;0)&gt;5,IF(MOD(COUNTIF(K$641:K935,1),7)=0,$C$4,0),0)</f>
        <v>617.516666666668</v>
      </c>
      <c r="L633" s="81" cm="1">
        <f ca="1" t="array" ref="L633">IF(L935=1,OFFSET($Z$338,$B633,L$335-1)/SUMPRODUCT(--($D$335:$V$335=L$335),--($D935:$V935=1)),0)+SUM(L632)+IF(COUNTIF(L$641:L935,1)=1,5,0)+IF(COUNTIF(M633:$Z633,"&gt;"&amp;0)&gt;5,IF(MOD(COUNTIF(L$641:L935,1),7)=0,$C$4,0),0)</f>
        <v>610.816666666668</v>
      </c>
      <c r="M633" s="81" cm="1">
        <f ca="1" t="array" ref="M633">IF(M935=1,OFFSET($Z$338,$B633,M$335-1)/SUMPRODUCT(--($D$335:$V$335=M$335),--($D935:$V935=1)),0)+SUM(M632)+IF(COUNTIF(M$641:M935,1)=1,5,0)+IF(COUNTIF(N633:$Z633,"&gt;"&amp;0)&gt;5,IF(MOD(COUNTIF(M$641:M935,1),7)=0,$C$4,0),0)</f>
        <v>365.644107142858</v>
      </c>
      <c r="N633" s="81" cm="1">
        <f ca="1" t="array" ref="N633">IF(N935=1,OFFSET($Z$338,$B633,N$335-1)/SUMPRODUCT(--($D$335:$V$335=N$335),--($D935:$V935=1)),0)+SUM(N632)+IF(COUNTIF(N$641:N935,1)=1,5,0)+IF(COUNTIF(O633:$Z633,"&gt;"&amp;0)&gt;5,IF(MOD(COUNTIF(N$641:N935,1),7)=0,$C$4,0),0)</f>
        <v>352.919107142858</v>
      </c>
      <c r="O633" s="81" cm="1">
        <f ca="1" t="array" ref="O633">IF(O935=1,OFFSET($Z$338,$B633,O$335-1)/SUMPRODUCT(--($D$335:$V$335=O$335),--($D935:$V935=1)),0)+SUM(O632)+IF(COUNTIF(O$641:O935,1)=1,5,0)+IF(COUNTIF(P633:$Z633,"&gt;"&amp;0)&gt;5,IF(MOD(COUNTIF(O$641:O935,1),7)=0,$C$4,0),0)</f>
        <v>350.494107142858</v>
      </c>
      <c r="P633" s="81" cm="1">
        <f ca="1" t="array" ref="P633">IF(P935=1,OFFSET($Z$338,$B633,P$335-1)/SUMPRODUCT(--($D$335:$V$335=P$335),--($D935:$V935=1)),0)+SUM(P632)+IF(COUNTIF(P$641:P935,1)=1,5,0)+IF(COUNTIF(Q633:$Z633,"&gt;"&amp;0)&gt;5,IF(MOD(COUNTIF(P$641:P935,1),7)=0,$C$4,0),0)</f>
        <v>347.560773809524</v>
      </c>
      <c r="Q633" s="81" cm="1">
        <f ca="1" t="array" ref="Q633">IF(Q935=1,OFFSET($Z$338,$B633,Q$335-1)/SUMPRODUCT(--($D$335:$V$335=Q$335),--($D935:$V935=1)),0)+SUM(Q632)+IF(COUNTIF(Q$641:Q935,1)=1,5,0)+IF(COUNTIF(R633:$Z633,"&gt;"&amp;0)&gt;5,IF(MOD(COUNTIF(Q$641:Q935,1),7)=0,$C$4,0),0)</f>
        <v>346.654523809524</v>
      </c>
      <c r="R633" s="81" cm="1">
        <f ca="1" t="array" ref="R633">IF(R935=1,OFFSET($Z$338,$B633,R$335-1)/SUMPRODUCT(--($D$335:$V$335=R$335),--($D935:$V935=1)),0)+SUM(R632)+IF(COUNTIF(R$641:R935,1)=1,5,0)+IF(COUNTIF(S633:$Z633,"&gt;"&amp;0)&gt;5,IF(MOD(COUNTIF(R$641:R935,1),7)=0,$C$4,0),0)</f>
        <v>321.759523809524</v>
      </c>
      <c r="S633" s="81" cm="1">
        <f ca="1" t="array" ref="S633">IF(S935=1,OFFSET($Z$338,$B633,S$335-1)/SUMPRODUCT(--($D$335:$V$335=S$335),--($D935:$V935=1)),0)+SUM(S632)+IF(COUNTIF(S$641:S935,1)=1,5,0)+IF(COUNTIF(T633:$Z633,"&gt;"&amp;0)&gt;5,IF(MOD(COUNTIF(S$641:S935,1),7)=0,$C$4,0),0)</f>
        <v>312.592857142857</v>
      </c>
      <c r="T633" s="81" cm="1">
        <f ca="1" t="array" ref="T633">IF(T935=1,OFFSET($Z$338,$B633,T$335-1)/SUMPRODUCT(--($D$335:$V$335=T$335),--($D935:$V935=1)),0)+SUM(T632)+IF(COUNTIF(T$641:T935,1)=1,5,0)+IF(COUNTIF(U633:$Z633,"&gt;"&amp;0)&gt;5,IF(MOD(COUNTIF(T$641:T935,1),7)=0,$C$4,0),0)</f>
        <v>137.656257829764</v>
      </c>
      <c r="U633" s="81" cm="1">
        <f ca="1" t="array" ref="U633">IF(U935=1,OFFSET($Z$338,$B633,U$335-1)/SUMPRODUCT(--($D$335:$V$335=U$335),--($D935:$V935=1)),0)+SUM(U632)+IF(COUNTIF(U$641:U935,1)=1,5,0)+IF(COUNTIF(V633:$Z633,"&gt;"&amp;0)&gt;5,IF(MOD(COUNTIF(U$641:U935,1),7)=0,$C$4,0),0)</f>
        <v>97.6562578297643</v>
      </c>
      <c r="V633" s="81" cm="1">
        <f ca="1" t="array" ref="V633">IF(V935=1,OFFSET($Z$338,$B633,V$335-1)/SUMPRODUCT(--($D$335:$V$335=V$335),--($D935:$V935=1)),0)+SUM(V632)+IF(COUNTIF(V$641:V935,1)=1,5,0)+IF(COUNTIF(Z633:$Z633,"&gt;"&amp;0)&gt;5,IF(MOD(COUNTIF(V$641:V935,1),7)=0,$C$4,0),0)</f>
        <v>89.6984386404824</v>
      </c>
      <c r="W633" s="81" cm="1">
        <f ca="1" t="array" ref="W633">IF(W935=1,OFFSET($Z$338,$B633,W$335-1)/SUMPRODUCT(--($D$335:$V$335=W$335),--($D935:$V935=1)),0)+SUM(W632)+IF(COUNTIF(W$641:W935,1)=1,5,0)+IF(COUNTIF($Z633:AA633,"&gt;"&amp;0)&gt;5,IF(MOD(COUNTIF(W$641:W935,1),7)=0,$C$4,0),0)</f>
        <v>80.3425695255331</v>
      </c>
      <c r="X633" s="81" cm="1">
        <f ca="1" t="array" ref="X633">IF(X935=1,OFFSET($Z$338,$B633,X$335-1)/SUMPRODUCT(--($D$335:$V$335=X$335),--($D935:$V935=1)),0)+SUM(X632)+IF(COUNTIF(X$641:X935,1)=1,5,0)+IF(COUNTIF($Z633:AB633,"&gt;"&amp;0)&gt;5,IF(MOD(COUNTIF(X$641:X935,1),7)=0,$C$4,0),0)</f>
        <v>73.5789092348996</v>
      </c>
      <c r="Y633" s="81" cm="1">
        <f ca="1" t="array" ref="Y633">IF(Y935=1,OFFSET($Z$338,$B633,Y$335-1)/SUMPRODUCT(--($D$335:$V$335=Y$335),--($D935:$V935=1)),0)+SUM(Y632)+IF(COUNTIF(Y$641:Y935,1)=1,5,0)+IF(COUNTIF($Z633:AC633,"&gt;"&amp;0)&gt;5,IF(MOD(COUNTIF(Y$641:Y935,1),7)=0,$C$4,0),0)</f>
        <v>66.8152489442662</v>
      </c>
      <c r="Z633" s="82" cm="1">
        <f ca="1" t="array" ref="Z633">SUMPRODUCT(TRANSPOSE($AD633:$AJ633),OFFSET($L$10:$L$16,0,Z$335-1))</f>
        <v>0</v>
      </c>
      <c r="AA633" s="82" cm="1">
        <f ca="1" t="array" ref="AA633">SUMPRODUCT(TRANSPOSE($AD633:$AJ633),OFFSET($L$10:$L$16,0,AA$335-1))</f>
        <v>0</v>
      </c>
      <c r="AB633" s="82" cm="1">
        <f ca="1" t="array" ref="AB633">SUMPRODUCT(TRANSPOSE($AD633:$AJ633),OFFSET($L$10:$L$16,0,AB$335-1))</f>
        <v>0</v>
      </c>
      <c r="AC633" s="82" cm="1">
        <f ca="1" t="array" ref="AC633">SUMPRODUCT(TRANSPOSE($AD633:$AJ633),OFFSET($L$10:$L$16,0,AC$335-1))</f>
        <v>0</v>
      </c>
      <c r="AD633" s="83">
        <f ca="1" t="shared" ref="AD633:AJ633" si="917">AK633-AK632</f>
        <v>0</v>
      </c>
      <c r="AE633" s="83">
        <f ca="1" t="shared" si="917"/>
        <v>0</v>
      </c>
      <c r="AF633" s="83">
        <f ca="1" t="shared" si="917"/>
        <v>0</v>
      </c>
      <c r="AG633" s="83">
        <f ca="1" t="shared" si="917"/>
        <v>0</v>
      </c>
      <c r="AH633" s="83">
        <f ca="1" t="shared" si="917"/>
        <v>0</v>
      </c>
      <c r="AI633" s="83">
        <f ca="1" t="shared" si="917"/>
        <v>0</v>
      </c>
      <c r="AJ633" s="83">
        <f ca="1" t="shared" si="917"/>
        <v>0</v>
      </c>
      <c r="AK633" s="83">
        <f ca="1" t="shared" si="841"/>
        <v>450</v>
      </c>
      <c r="AL633" s="83">
        <f ca="1" t="shared" ref="AL633:AQ633" si="918">IF($C633&gt;OFFSET($Q$9,MATCH(AL$338,$AK$338:$AQ$338,0),0),OFFSET($P$9,MATCH(AL$338,$AK$338:$AQ$338,0),0),MAX(0,$C633-OFFSET($Q$9,RIGHT(AL$338,1)-1,0)))</f>
        <v>909</v>
      </c>
      <c r="AM633" s="83">
        <f ca="1" t="shared" si="918"/>
        <v>1818</v>
      </c>
      <c r="AN633" s="83">
        <f ca="1" t="shared" si="918"/>
        <v>2727</v>
      </c>
      <c r="AO633" s="83">
        <f ca="1" t="shared" si="918"/>
        <v>3636</v>
      </c>
      <c r="AP633" s="83">
        <f ca="1" t="shared" si="918"/>
        <v>4545</v>
      </c>
      <c r="AQ633" s="83">
        <f ca="1" t="shared" si="918"/>
        <v>0</v>
      </c>
    </row>
    <row r="634" ht="16.5" spans="2:43">
      <c r="B634" s="65">
        <v>296</v>
      </c>
      <c r="C634" s="80">
        <f t="shared" si="839"/>
        <v>33886</v>
      </c>
      <c r="D634" s="81" cm="1">
        <f ca="1" t="array" ref="D634">IF(D936=1,OFFSET($Z$338,$B634,D$335-1)/SUMPRODUCT(--($D$335:$V$335=D$335),--($D936:$V936=1)),0)+SUM(D633)+IF(COUNTIF(D$641:D936,1)=1,5,0)+IF(COUNTIF(E634:$Z634,"&gt;"&amp;0)&gt;5,IF(MOD(COUNTIF(D$641:D936,1),7)=0,$C$4,0),0)</f>
        <v>1328.82134856666</v>
      </c>
      <c r="E634" s="81" cm="1">
        <f ca="1" t="array" ref="E634">IF(E936=1,OFFSET($Z$338,$B634,E$335-1)/SUMPRODUCT(--($D$335:$V$335=E$335),--($D936:$V936=1)),0)+SUM(E633)+IF(COUNTIF(E$641:E936,1)=1,5,0)+IF(COUNTIF(F634:$Z634,"&gt;"&amp;0)&gt;5,IF(MOD(COUNTIF(E$641:E936,1),7)=0,$C$4,0),0)</f>
        <v>1328.82134856666</v>
      </c>
      <c r="F634" s="81" cm="1">
        <f ca="1" t="array" ref="F634">IF(F936=1,OFFSET($Z$338,$B634,F$335-1)/SUMPRODUCT(--($D$335:$V$335=F$335),--($D936:$V936=1)),0)+SUM(F633)+IF(COUNTIF(F$641:F936,1)=1,5,0)+IF(COUNTIF(G634:$Z634,"&gt;"&amp;0)&gt;5,IF(MOD(COUNTIF(F$641:F936,1),7)=0,$C$4,0),0)</f>
        <v>1328.82134856666</v>
      </c>
      <c r="G634" s="81" cm="1">
        <f ca="1" t="array" ref="G634">IF(G936=1,OFFSET($Z$338,$B634,G$335-1)/SUMPRODUCT(--($D$335:$V$335=G$335),--($D936:$V936=1)),0)+SUM(G633)+IF(COUNTIF(G$641:G936,1)=1,5,0)+IF(COUNTIF(H634:$Z634,"&gt;"&amp;0)&gt;5,IF(MOD(COUNTIF(G$641:G936,1),7)=0,$C$4,0),0)</f>
        <v>617.516666666668</v>
      </c>
      <c r="H634" s="81" cm="1">
        <f ca="1" t="array" ref="H634">IF(H936=1,OFFSET($Z$338,$B634,H$335-1)/SUMPRODUCT(--($D$335:$V$335=H$335),--($D936:$V936=1)),0)+SUM(H633)+IF(COUNTIF(H$641:H936,1)=1,5,0)+IF(COUNTIF(I634:$Z634,"&gt;"&amp;0)&gt;5,IF(MOD(COUNTIF(H$641:H936,1),7)=0,$C$4,0),0)</f>
        <v>617.516666666668</v>
      </c>
      <c r="I634" s="81" cm="1">
        <f ca="1" t="array" ref="I634">IF(I936=1,OFFSET($Z$338,$B634,I$335-1)/SUMPRODUCT(--($D$335:$V$335=I$335),--($D936:$V936=1)),0)+SUM(I633)+IF(COUNTIF(I$641:I936,1)=1,5,0)+IF(COUNTIF(J634:$Z634,"&gt;"&amp;0)&gt;5,IF(MOD(COUNTIF(I$641:I936,1),7)=0,$C$4,0),0)</f>
        <v>617.516666666668</v>
      </c>
      <c r="J634" s="81" cm="1">
        <f ca="1" t="array" ref="J634">IF(J936=1,OFFSET($Z$338,$B634,J$335-1)/SUMPRODUCT(--($D$335:$V$335=J$335),--($D936:$V936=1)),0)+SUM(J633)+IF(COUNTIF(J$641:J936,1)=1,5,0)+IF(COUNTIF(K634:$Z634,"&gt;"&amp;0)&gt;5,IF(MOD(COUNTIF(J$641:J936,1),7)=0,$C$4,0),0)</f>
        <v>617.516666666668</v>
      </c>
      <c r="K634" s="81" cm="1">
        <f ca="1" t="array" ref="K634">IF(K936=1,OFFSET($Z$338,$B634,K$335-1)/SUMPRODUCT(--($D$335:$V$335=K$335),--($D936:$V936=1)),0)+SUM(K633)+IF(COUNTIF(K$641:K936,1)=1,5,0)+IF(COUNTIF(L634:$Z634,"&gt;"&amp;0)&gt;5,IF(MOD(COUNTIF(K$641:K936,1),7)=0,$C$4,0),0)</f>
        <v>617.516666666668</v>
      </c>
      <c r="L634" s="81" cm="1">
        <f ca="1" t="array" ref="L634">IF(L936=1,OFFSET($Z$338,$B634,L$335-1)/SUMPRODUCT(--($D$335:$V$335=L$335),--($D936:$V936=1)),0)+SUM(L633)+IF(COUNTIF(L$641:L936,1)=1,5,0)+IF(COUNTIF(M634:$Z634,"&gt;"&amp;0)&gt;5,IF(MOD(COUNTIF(L$641:L936,1),7)=0,$C$4,0),0)</f>
        <v>610.816666666668</v>
      </c>
      <c r="M634" s="81" cm="1">
        <f ca="1" t="array" ref="M634">IF(M936=1,OFFSET($Z$338,$B634,M$335-1)/SUMPRODUCT(--($D$335:$V$335=M$335),--($D936:$V936=1)),0)+SUM(M633)+IF(COUNTIF(M$641:M936,1)=1,5,0)+IF(COUNTIF(N634:$Z634,"&gt;"&amp;0)&gt;5,IF(MOD(COUNTIF(M$641:M936,1),7)=0,$C$4,0),0)</f>
        <v>365.644107142858</v>
      </c>
      <c r="N634" s="81" cm="1">
        <f ca="1" t="array" ref="N634">IF(N936=1,OFFSET($Z$338,$B634,N$335-1)/SUMPRODUCT(--($D$335:$V$335=N$335),--($D936:$V936=1)),0)+SUM(N633)+IF(COUNTIF(N$641:N936,1)=1,5,0)+IF(COUNTIF(O634:$Z634,"&gt;"&amp;0)&gt;5,IF(MOD(COUNTIF(N$641:N936,1),7)=0,$C$4,0),0)</f>
        <v>357.919107142858</v>
      </c>
      <c r="O634" s="81" cm="1">
        <f ca="1" t="array" ref="O634">IF(O936=1,OFFSET($Z$338,$B634,O$335-1)/SUMPRODUCT(--($D$335:$V$335=O$335),--($D936:$V936=1)),0)+SUM(O633)+IF(COUNTIF(O$641:O936,1)=1,5,0)+IF(COUNTIF(P634:$Z634,"&gt;"&amp;0)&gt;5,IF(MOD(COUNTIF(O$641:O936,1),7)=0,$C$4,0),0)</f>
        <v>350.494107142858</v>
      </c>
      <c r="P634" s="81" cm="1">
        <f ca="1" t="array" ref="P634">IF(P936=1,OFFSET($Z$338,$B634,P$335-1)/SUMPRODUCT(--($D$335:$V$335=P$335),--($D936:$V936=1)),0)+SUM(P633)+IF(COUNTIF(P$641:P936,1)=1,5,0)+IF(COUNTIF(Q634:$Z634,"&gt;"&amp;0)&gt;5,IF(MOD(COUNTIF(P$641:P936,1),7)=0,$C$4,0),0)</f>
        <v>347.560773809524</v>
      </c>
      <c r="Q634" s="81" cm="1">
        <f ca="1" t="array" ref="Q634">IF(Q936=1,OFFSET($Z$338,$B634,Q$335-1)/SUMPRODUCT(--($D$335:$V$335=Q$335),--($D936:$V936=1)),0)+SUM(Q633)+IF(COUNTIF(Q$641:Q936,1)=1,5,0)+IF(COUNTIF(R634:$Z634,"&gt;"&amp;0)&gt;5,IF(MOD(COUNTIF(Q$641:Q936,1),7)=0,$C$4,0),0)</f>
        <v>346.654523809524</v>
      </c>
      <c r="R634" s="81" cm="1">
        <f ca="1" t="array" ref="R634">IF(R936=1,OFFSET($Z$338,$B634,R$335-1)/SUMPRODUCT(--($D$335:$V$335=R$335),--($D936:$V936=1)),0)+SUM(R633)+IF(COUNTIF(R$641:R936,1)=1,5,0)+IF(COUNTIF(S634:$Z634,"&gt;"&amp;0)&gt;5,IF(MOD(COUNTIF(R$641:R936,1),7)=0,$C$4,0),0)</f>
        <v>321.759523809524</v>
      </c>
      <c r="S634" s="81" cm="1">
        <f ca="1" t="array" ref="S634">IF(S936=1,OFFSET($Z$338,$B634,S$335-1)/SUMPRODUCT(--($D$335:$V$335=S$335),--($D936:$V936=1)),0)+SUM(S633)+IF(COUNTIF(S$641:S936,1)=1,5,0)+IF(COUNTIF(T634:$Z634,"&gt;"&amp;0)&gt;5,IF(MOD(COUNTIF(S$641:S936,1),7)=0,$C$4,0),0)</f>
        <v>312.592857142857</v>
      </c>
      <c r="T634" s="81" cm="1">
        <f ca="1" t="array" ref="T634">IF(T936=1,OFFSET($Z$338,$B634,T$335-1)/SUMPRODUCT(--($D$335:$V$335=T$335),--($D936:$V936=1)),0)+SUM(T633)+IF(COUNTIF(T$641:T936,1)=1,5,0)+IF(COUNTIF(U634:$Z634,"&gt;"&amp;0)&gt;5,IF(MOD(COUNTIF(T$641:T936,1),7)=0,$C$4,0),0)</f>
        <v>137.656257829764</v>
      </c>
      <c r="U634" s="81" cm="1">
        <f ca="1" t="array" ref="U634">IF(U936=1,OFFSET($Z$338,$B634,U$335-1)/SUMPRODUCT(--($D$335:$V$335=U$335),--($D936:$V936=1)),0)+SUM(U633)+IF(COUNTIF(U$641:U936,1)=1,5,0)+IF(COUNTIF(V634:$Z634,"&gt;"&amp;0)&gt;5,IF(MOD(COUNTIF(U$641:U936,1),7)=0,$C$4,0),0)</f>
        <v>97.6562578297643</v>
      </c>
      <c r="V634" s="81" cm="1">
        <f ca="1" t="array" ref="V634">IF(V936=1,OFFSET($Z$338,$B634,V$335-1)/SUMPRODUCT(--($D$335:$V$335=V$335),--($D936:$V936=1)),0)+SUM(V633)+IF(COUNTIF(V$641:V936,1)=1,5,0)+IF(COUNTIF(Z634:$Z634,"&gt;"&amp;0)&gt;5,IF(MOD(COUNTIF(V$641:V936,1),7)=0,$C$4,0),0)</f>
        <v>89.6984386404824</v>
      </c>
      <c r="W634" s="81" cm="1">
        <f ca="1" t="array" ref="W634">IF(W936=1,OFFSET($Z$338,$B634,W$335-1)/SUMPRODUCT(--($D$335:$V$335=W$335),--($D936:$V936=1)),0)+SUM(W633)+IF(COUNTIF(W$641:W936,1)=1,5,0)+IF(COUNTIF($Z634:AA634,"&gt;"&amp;0)&gt;5,IF(MOD(COUNTIF(W$641:W936,1),7)=0,$C$4,0),0)</f>
        <v>80.3425695255331</v>
      </c>
      <c r="X634" s="81" cm="1">
        <f ca="1" t="array" ref="X634">IF(X936=1,OFFSET($Z$338,$B634,X$335-1)/SUMPRODUCT(--($D$335:$V$335=X$335),--($D936:$V936=1)),0)+SUM(X633)+IF(COUNTIF(X$641:X936,1)=1,5,0)+IF(COUNTIF($Z634:AB634,"&gt;"&amp;0)&gt;5,IF(MOD(COUNTIF(X$641:X936,1),7)=0,$C$4,0),0)</f>
        <v>73.5789092348996</v>
      </c>
      <c r="Y634" s="81" cm="1">
        <f ca="1" t="array" ref="Y634">IF(Y936=1,OFFSET($Z$338,$B634,Y$335-1)/SUMPRODUCT(--($D$335:$V$335=Y$335),--($D936:$V936=1)),0)+SUM(Y633)+IF(COUNTIF(Y$641:Y936,1)=1,5,0)+IF(COUNTIF($Z634:AC634,"&gt;"&amp;0)&gt;5,IF(MOD(COUNTIF(Y$641:Y936,1),7)=0,$C$4,0),0)</f>
        <v>66.8152489442662</v>
      </c>
      <c r="Z634" s="82" cm="1">
        <f ca="1" t="array" ref="Z634">SUMPRODUCT(TRANSPOSE($AD634:$AJ634),OFFSET($L$10:$L$16,0,Z$335-1))</f>
        <v>0</v>
      </c>
      <c r="AA634" s="82" cm="1">
        <f ca="1" t="array" ref="AA634">SUMPRODUCT(TRANSPOSE($AD634:$AJ634),OFFSET($L$10:$L$16,0,AA$335-1))</f>
        <v>0</v>
      </c>
      <c r="AB634" s="82" cm="1">
        <f ca="1" t="array" ref="AB634">SUMPRODUCT(TRANSPOSE($AD634:$AJ634),OFFSET($L$10:$L$16,0,AB$335-1))</f>
        <v>0</v>
      </c>
      <c r="AC634" s="82" cm="1">
        <f ca="1" t="array" ref="AC634">SUMPRODUCT(TRANSPOSE($AD634:$AJ634),OFFSET($L$10:$L$16,0,AC$335-1))</f>
        <v>0</v>
      </c>
      <c r="AD634" s="83">
        <f ca="1" t="shared" ref="AD634:AJ634" si="919">AK634-AK633</f>
        <v>0</v>
      </c>
      <c r="AE634" s="83">
        <f ca="1" t="shared" si="919"/>
        <v>0</v>
      </c>
      <c r="AF634" s="83">
        <f ca="1" t="shared" si="919"/>
        <v>0</v>
      </c>
      <c r="AG634" s="83">
        <f ca="1" t="shared" si="919"/>
        <v>0</v>
      </c>
      <c r="AH634" s="83">
        <f ca="1" t="shared" si="919"/>
        <v>0</v>
      </c>
      <c r="AI634" s="83">
        <f ca="1" t="shared" si="919"/>
        <v>0</v>
      </c>
      <c r="AJ634" s="83">
        <f ca="1" t="shared" si="919"/>
        <v>0</v>
      </c>
      <c r="AK634" s="83">
        <f ca="1" t="shared" si="841"/>
        <v>450</v>
      </c>
      <c r="AL634" s="83">
        <f ca="1" t="shared" ref="AL634:AQ634" si="920">IF($C634&gt;OFFSET($Q$9,MATCH(AL$338,$AK$338:$AQ$338,0),0),OFFSET($P$9,MATCH(AL$338,$AK$338:$AQ$338,0),0),MAX(0,$C634-OFFSET($Q$9,RIGHT(AL$338,1)-1,0)))</f>
        <v>909</v>
      </c>
      <c r="AM634" s="83">
        <f ca="1" t="shared" si="920"/>
        <v>1818</v>
      </c>
      <c r="AN634" s="83">
        <f ca="1" t="shared" si="920"/>
        <v>2727</v>
      </c>
      <c r="AO634" s="83">
        <f ca="1" t="shared" si="920"/>
        <v>3636</v>
      </c>
      <c r="AP634" s="83">
        <f ca="1" t="shared" si="920"/>
        <v>4545</v>
      </c>
      <c r="AQ634" s="83">
        <f ca="1" t="shared" si="920"/>
        <v>0</v>
      </c>
    </row>
    <row r="635" ht="16.5" spans="2:43">
      <c r="B635" s="65">
        <v>297</v>
      </c>
      <c r="C635" s="80">
        <f t="shared" si="839"/>
        <v>33996</v>
      </c>
      <c r="D635" s="81" cm="1">
        <f ca="1" t="array" ref="D635">IF(D937=1,OFFSET($Z$338,$B635,D$335-1)/SUMPRODUCT(--($D$335:$V$335=D$335),--($D937:$V937=1)),0)+SUM(D634)+IF(COUNTIF(D$641:D937,1)=1,5,0)+IF(COUNTIF(E635:$Z635,"&gt;"&amp;0)&gt;5,IF(MOD(COUNTIF(D$641:D937,1),7)=0,$C$4,0),0)</f>
        <v>1328.82134856666</v>
      </c>
      <c r="E635" s="81" cm="1">
        <f ca="1" t="array" ref="E635">IF(E937=1,OFFSET($Z$338,$B635,E$335-1)/SUMPRODUCT(--($D$335:$V$335=E$335),--($D937:$V937=1)),0)+SUM(E634)+IF(COUNTIF(E$641:E937,1)=1,5,0)+IF(COUNTIF(F635:$Z635,"&gt;"&amp;0)&gt;5,IF(MOD(COUNTIF(E$641:E937,1),7)=0,$C$4,0),0)</f>
        <v>1328.82134856666</v>
      </c>
      <c r="F635" s="81" cm="1">
        <f ca="1" t="array" ref="F635">IF(F937=1,OFFSET($Z$338,$B635,F$335-1)/SUMPRODUCT(--($D$335:$V$335=F$335),--($D937:$V937=1)),0)+SUM(F634)+IF(COUNTIF(F$641:F937,1)=1,5,0)+IF(COUNTIF(G635:$Z635,"&gt;"&amp;0)&gt;5,IF(MOD(COUNTIF(F$641:F937,1),7)=0,$C$4,0),0)</f>
        <v>1328.82134856666</v>
      </c>
      <c r="G635" s="81" cm="1">
        <f ca="1" t="array" ref="G635">IF(G937=1,OFFSET($Z$338,$B635,G$335-1)/SUMPRODUCT(--($D$335:$V$335=G$335),--($D937:$V937=1)),0)+SUM(G634)+IF(COUNTIF(G$641:G937,1)=1,5,0)+IF(COUNTIF(H635:$Z635,"&gt;"&amp;0)&gt;5,IF(MOD(COUNTIF(G$641:G937,1),7)=0,$C$4,0),0)</f>
        <v>617.516666666668</v>
      </c>
      <c r="H635" s="81" cm="1">
        <f ca="1" t="array" ref="H635">IF(H937=1,OFFSET($Z$338,$B635,H$335-1)/SUMPRODUCT(--($D$335:$V$335=H$335),--($D937:$V937=1)),0)+SUM(H634)+IF(COUNTIF(H$641:H937,1)=1,5,0)+IF(COUNTIF(I635:$Z635,"&gt;"&amp;0)&gt;5,IF(MOD(COUNTIF(H$641:H937,1),7)=0,$C$4,0),0)</f>
        <v>617.516666666668</v>
      </c>
      <c r="I635" s="81" cm="1">
        <f ca="1" t="array" ref="I635">IF(I937=1,OFFSET($Z$338,$B635,I$335-1)/SUMPRODUCT(--($D$335:$V$335=I$335),--($D937:$V937=1)),0)+SUM(I634)+IF(COUNTIF(I$641:I937,1)=1,5,0)+IF(COUNTIF(J635:$Z635,"&gt;"&amp;0)&gt;5,IF(MOD(COUNTIF(I$641:I937,1),7)=0,$C$4,0),0)</f>
        <v>617.516666666668</v>
      </c>
      <c r="J635" s="81" cm="1">
        <f ca="1" t="array" ref="J635">IF(J937=1,OFFSET($Z$338,$B635,J$335-1)/SUMPRODUCT(--($D$335:$V$335=J$335),--($D937:$V937=1)),0)+SUM(J634)+IF(COUNTIF(J$641:J937,1)=1,5,0)+IF(COUNTIF(K635:$Z635,"&gt;"&amp;0)&gt;5,IF(MOD(COUNTIF(J$641:J937,1),7)=0,$C$4,0),0)</f>
        <v>617.516666666668</v>
      </c>
      <c r="K635" s="81" cm="1">
        <f ca="1" t="array" ref="K635">IF(K937=1,OFFSET($Z$338,$B635,K$335-1)/SUMPRODUCT(--($D$335:$V$335=K$335),--($D937:$V937=1)),0)+SUM(K634)+IF(COUNTIF(K$641:K937,1)=1,5,0)+IF(COUNTIF(L635:$Z635,"&gt;"&amp;0)&gt;5,IF(MOD(COUNTIF(K$641:K937,1),7)=0,$C$4,0),0)</f>
        <v>617.516666666668</v>
      </c>
      <c r="L635" s="81" cm="1">
        <f ca="1" t="array" ref="L635">IF(L937=1,OFFSET($Z$338,$B635,L$335-1)/SUMPRODUCT(--($D$335:$V$335=L$335),--($D937:$V937=1)),0)+SUM(L634)+IF(COUNTIF(L$641:L937,1)=1,5,0)+IF(COUNTIF(M635:$Z635,"&gt;"&amp;0)&gt;5,IF(MOD(COUNTIF(L$641:L937,1),7)=0,$C$4,0),0)</f>
        <v>610.816666666668</v>
      </c>
      <c r="M635" s="81" cm="1">
        <f ca="1" t="array" ref="M635">IF(M937=1,OFFSET($Z$338,$B635,M$335-1)/SUMPRODUCT(--($D$335:$V$335=M$335),--($D937:$V937=1)),0)+SUM(M634)+IF(COUNTIF(M$641:M937,1)=1,5,0)+IF(COUNTIF(N635:$Z635,"&gt;"&amp;0)&gt;5,IF(MOD(COUNTIF(M$641:M937,1),7)=0,$C$4,0),0)</f>
        <v>365.644107142858</v>
      </c>
      <c r="N635" s="81" cm="1">
        <f ca="1" t="array" ref="N635">IF(N937=1,OFFSET($Z$338,$B635,N$335-1)/SUMPRODUCT(--($D$335:$V$335=N$335),--($D937:$V937=1)),0)+SUM(N634)+IF(COUNTIF(N$641:N937,1)=1,5,0)+IF(COUNTIF(O635:$Z635,"&gt;"&amp;0)&gt;5,IF(MOD(COUNTIF(N$641:N937,1),7)=0,$C$4,0),0)</f>
        <v>357.919107142858</v>
      </c>
      <c r="O635" s="81" cm="1">
        <f ca="1" t="array" ref="O635">IF(O937=1,OFFSET($Z$338,$B635,O$335-1)/SUMPRODUCT(--($D$335:$V$335=O$335),--($D937:$V937=1)),0)+SUM(O634)+IF(COUNTIF(O$641:O937,1)=1,5,0)+IF(COUNTIF(P635:$Z635,"&gt;"&amp;0)&gt;5,IF(MOD(COUNTIF(O$641:O937,1),7)=0,$C$4,0),0)</f>
        <v>355.494107142858</v>
      </c>
      <c r="P635" s="81" cm="1">
        <f ca="1" t="array" ref="P635">IF(P937=1,OFFSET($Z$338,$B635,P$335-1)/SUMPRODUCT(--($D$335:$V$335=P$335),--($D937:$V937=1)),0)+SUM(P634)+IF(COUNTIF(P$641:P937,1)=1,5,0)+IF(COUNTIF(Q635:$Z635,"&gt;"&amp;0)&gt;5,IF(MOD(COUNTIF(P$641:P937,1),7)=0,$C$4,0),0)</f>
        <v>347.560773809524</v>
      </c>
      <c r="Q635" s="81" cm="1">
        <f ca="1" t="array" ref="Q635">IF(Q937=1,OFFSET($Z$338,$B635,Q$335-1)/SUMPRODUCT(--($D$335:$V$335=Q$335),--($D937:$V937=1)),0)+SUM(Q634)+IF(COUNTIF(Q$641:Q937,1)=1,5,0)+IF(COUNTIF(R635:$Z635,"&gt;"&amp;0)&gt;5,IF(MOD(COUNTIF(Q$641:Q937,1),7)=0,$C$4,0),0)</f>
        <v>346.654523809524</v>
      </c>
      <c r="R635" s="81" cm="1">
        <f ca="1" t="array" ref="R635">IF(R937=1,OFFSET($Z$338,$B635,R$335-1)/SUMPRODUCT(--($D$335:$V$335=R$335),--($D937:$V937=1)),0)+SUM(R634)+IF(COUNTIF(R$641:R937,1)=1,5,0)+IF(COUNTIF(S635:$Z635,"&gt;"&amp;0)&gt;5,IF(MOD(COUNTIF(R$641:R937,1),7)=0,$C$4,0),0)</f>
        <v>321.759523809524</v>
      </c>
      <c r="S635" s="81" cm="1">
        <f ca="1" t="array" ref="S635">IF(S937=1,OFFSET($Z$338,$B635,S$335-1)/SUMPRODUCT(--($D$335:$V$335=S$335),--($D937:$V937=1)),0)+SUM(S634)+IF(COUNTIF(S$641:S937,1)=1,5,0)+IF(COUNTIF(T635:$Z635,"&gt;"&amp;0)&gt;5,IF(MOD(COUNTIF(S$641:S937,1),7)=0,$C$4,0),0)</f>
        <v>312.592857142857</v>
      </c>
      <c r="T635" s="81" cm="1">
        <f ca="1" t="array" ref="T635">IF(T937=1,OFFSET($Z$338,$B635,T$335-1)/SUMPRODUCT(--($D$335:$V$335=T$335),--($D937:$V937=1)),0)+SUM(T634)+IF(COUNTIF(T$641:T937,1)=1,5,0)+IF(COUNTIF(U635:$Z635,"&gt;"&amp;0)&gt;5,IF(MOD(COUNTIF(T$641:T937,1),7)=0,$C$4,0),0)</f>
        <v>137.656257829764</v>
      </c>
      <c r="U635" s="81" cm="1">
        <f ca="1" t="array" ref="U635">IF(U937=1,OFFSET($Z$338,$B635,U$335-1)/SUMPRODUCT(--($D$335:$V$335=U$335),--($D937:$V937=1)),0)+SUM(U634)+IF(COUNTIF(U$641:U937,1)=1,5,0)+IF(COUNTIF(V635:$Z635,"&gt;"&amp;0)&gt;5,IF(MOD(COUNTIF(U$641:U937,1),7)=0,$C$4,0),0)</f>
        <v>97.6562578297643</v>
      </c>
      <c r="V635" s="81" cm="1">
        <f ca="1" t="array" ref="V635">IF(V937=1,OFFSET($Z$338,$B635,V$335-1)/SUMPRODUCT(--($D$335:$V$335=V$335),--($D937:$V937=1)),0)+SUM(V634)+IF(COUNTIF(V$641:V937,1)=1,5,0)+IF(COUNTIF(Z635:$Z635,"&gt;"&amp;0)&gt;5,IF(MOD(COUNTIF(V$641:V937,1),7)=0,$C$4,0),0)</f>
        <v>89.6984386404824</v>
      </c>
      <c r="W635" s="81" cm="1">
        <f ca="1" t="array" ref="W635">IF(W937=1,OFFSET($Z$338,$B635,W$335-1)/SUMPRODUCT(--($D$335:$V$335=W$335),--($D937:$V937=1)),0)+SUM(W634)+IF(COUNTIF(W$641:W937,1)=1,5,0)+IF(COUNTIF($Z635:AA635,"&gt;"&amp;0)&gt;5,IF(MOD(COUNTIF(W$641:W937,1),7)=0,$C$4,0),0)</f>
        <v>80.3425695255331</v>
      </c>
      <c r="X635" s="81" cm="1">
        <f ca="1" t="array" ref="X635">IF(X937=1,OFFSET($Z$338,$B635,X$335-1)/SUMPRODUCT(--($D$335:$V$335=X$335),--($D937:$V937=1)),0)+SUM(X634)+IF(COUNTIF(X$641:X937,1)=1,5,0)+IF(COUNTIF($Z635:AB635,"&gt;"&amp;0)&gt;5,IF(MOD(COUNTIF(X$641:X937,1),7)=0,$C$4,0),0)</f>
        <v>73.5789092348996</v>
      </c>
      <c r="Y635" s="81" cm="1">
        <f ca="1" t="array" ref="Y635">IF(Y937=1,OFFSET($Z$338,$B635,Y$335-1)/SUMPRODUCT(--($D$335:$V$335=Y$335),--($D937:$V937=1)),0)+SUM(Y634)+IF(COUNTIF(Y$641:Y937,1)=1,5,0)+IF(COUNTIF($Z635:AC635,"&gt;"&amp;0)&gt;5,IF(MOD(COUNTIF(Y$641:Y937,1),7)=0,$C$4,0),0)</f>
        <v>66.8152489442662</v>
      </c>
      <c r="Z635" s="82" cm="1">
        <f ca="1" t="array" ref="Z635">SUMPRODUCT(TRANSPOSE($AD635:$AJ635),OFFSET($L$10:$L$16,0,Z$335-1))</f>
        <v>0</v>
      </c>
      <c r="AA635" s="82" cm="1">
        <f ca="1" t="array" ref="AA635">SUMPRODUCT(TRANSPOSE($AD635:$AJ635),OFFSET($L$10:$L$16,0,AA$335-1))</f>
        <v>0</v>
      </c>
      <c r="AB635" s="82" cm="1">
        <f ca="1" t="array" ref="AB635">SUMPRODUCT(TRANSPOSE($AD635:$AJ635),OFFSET($L$10:$L$16,0,AB$335-1))</f>
        <v>0</v>
      </c>
      <c r="AC635" s="82" cm="1">
        <f ca="1" t="array" ref="AC635">SUMPRODUCT(TRANSPOSE($AD635:$AJ635),OFFSET($L$10:$L$16,0,AC$335-1))</f>
        <v>0</v>
      </c>
      <c r="AD635" s="83">
        <f ca="1" t="shared" ref="AD635:AJ635" si="921">AK635-AK634</f>
        <v>0</v>
      </c>
      <c r="AE635" s="83">
        <f ca="1" t="shared" si="921"/>
        <v>0</v>
      </c>
      <c r="AF635" s="83">
        <f ca="1" t="shared" si="921"/>
        <v>0</v>
      </c>
      <c r="AG635" s="83">
        <f ca="1" t="shared" si="921"/>
        <v>0</v>
      </c>
      <c r="AH635" s="83">
        <f ca="1" t="shared" si="921"/>
        <v>0</v>
      </c>
      <c r="AI635" s="83">
        <f ca="1" t="shared" si="921"/>
        <v>0</v>
      </c>
      <c r="AJ635" s="83">
        <f ca="1" t="shared" si="921"/>
        <v>0</v>
      </c>
      <c r="AK635" s="83">
        <f ca="1" t="shared" si="841"/>
        <v>450</v>
      </c>
      <c r="AL635" s="83">
        <f ca="1" t="shared" ref="AL635:AQ635" si="922">IF($C635&gt;OFFSET($Q$9,MATCH(AL$338,$AK$338:$AQ$338,0),0),OFFSET($P$9,MATCH(AL$338,$AK$338:$AQ$338,0),0),MAX(0,$C635-OFFSET($Q$9,RIGHT(AL$338,1)-1,0)))</f>
        <v>909</v>
      </c>
      <c r="AM635" s="83">
        <f ca="1" t="shared" si="922"/>
        <v>1818</v>
      </c>
      <c r="AN635" s="83">
        <f ca="1" t="shared" si="922"/>
        <v>2727</v>
      </c>
      <c r="AO635" s="83">
        <f ca="1" t="shared" si="922"/>
        <v>3636</v>
      </c>
      <c r="AP635" s="83">
        <f ca="1" t="shared" si="922"/>
        <v>4545</v>
      </c>
      <c r="AQ635" s="83">
        <f ca="1" t="shared" si="922"/>
        <v>0</v>
      </c>
    </row>
    <row r="636" ht="16.5" spans="2:43">
      <c r="B636" s="65">
        <v>298</v>
      </c>
      <c r="C636" s="80">
        <f t="shared" si="839"/>
        <v>34106</v>
      </c>
      <c r="D636" s="81" cm="1">
        <f ca="1" t="array" ref="D636">IF(D938=1,OFFSET($Z$338,$B636,D$335-1)/SUMPRODUCT(--($D$335:$V$335=D$335),--($D938:$V938=1)),0)+SUM(D635)+IF(COUNTIF(D$641:D938,1)=1,5,0)+IF(COUNTIF(E636:$Z636,"&gt;"&amp;0)&gt;5,IF(MOD(COUNTIF(D$641:D938,1),7)=0,$C$4,0),0)</f>
        <v>1328.82134856666</v>
      </c>
      <c r="E636" s="81" cm="1">
        <f ca="1" t="array" ref="E636">IF(E938=1,OFFSET($Z$338,$B636,E$335-1)/SUMPRODUCT(--($D$335:$V$335=E$335),--($D938:$V938=1)),0)+SUM(E635)+IF(COUNTIF(E$641:E938,1)=1,5,0)+IF(COUNTIF(F636:$Z636,"&gt;"&amp;0)&gt;5,IF(MOD(COUNTIF(E$641:E938,1),7)=0,$C$4,0),0)</f>
        <v>1328.82134856666</v>
      </c>
      <c r="F636" s="81" cm="1">
        <f ca="1" t="array" ref="F636">IF(F938=1,OFFSET($Z$338,$B636,F$335-1)/SUMPRODUCT(--($D$335:$V$335=F$335),--($D938:$V938=1)),0)+SUM(F635)+IF(COUNTIF(F$641:F938,1)=1,5,0)+IF(COUNTIF(G636:$Z636,"&gt;"&amp;0)&gt;5,IF(MOD(COUNTIF(F$641:F938,1),7)=0,$C$4,0),0)</f>
        <v>1328.82134856666</v>
      </c>
      <c r="G636" s="81" cm="1">
        <f ca="1" t="array" ref="G636">IF(G938=1,OFFSET($Z$338,$B636,G$335-1)/SUMPRODUCT(--($D$335:$V$335=G$335),--($D938:$V938=1)),0)+SUM(G635)+IF(COUNTIF(G$641:G938,1)=1,5,0)+IF(COUNTIF(H636:$Z636,"&gt;"&amp;0)&gt;5,IF(MOD(COUNTIF(G$641:G938,1),7)=0,$C$4,0),0)</f>
        <v>617.516666666668</v>
      </c>
      <c r="H636" s="81" cm="1">
        <f ca="1" t="array" ref="H636">IF(H938=1,OFFSET($Z$338,$B636,H$335-1)/SUMPRODUCT(--($D$335:$V$335=H$335),--($D938:$V938=1)),0)+SUM(H635)+IF(COUNTIF(H$641:H938,1)=1,5,0)+IF(COUNTIF(I636:$Z636,"&gt;"&amp;0)&gt;5,IF(MOD(COUNTIF(H$641:H938,1),7)=0,$C$4,0),0)</f>
        <v>617.516666666668</v>
      </c>
      <c r="I636" s="81" cm="1">
        <f ca="1" t="array" ref="I636">IF(I938=1,OFFSET($Z$338,$B636,I$335-1)/SUMPRODUCT(--($D$335:$V$335=I$335),--($D938:$V938=1)),0)+SUM(I635)+IF(COUNTIF(I$641:I938,1)=1,5,0)+IF(COUNTIF(J636:$Z636,"&gt;"&amp;0)&gt;5,IF(MOD(COUNTIF(I$641:I938,1),7)=0,$C$4,0),0)</f>
        <v>617.516666666668</v>
      </c>
      <c r="J636" s="81" cm="1">
        <f ca="1" t="array" ref="J636">IF(J938=1,OFFSET($Z$338,$B636,J$335-1)/SUMPRODUCT(--($D$335:$V$335=J$335),--($D938:$V938=1)),0)+SUM(J635)+IF(COUNTIF(J$641:J938,1)=1,5,0)+IF(COUNTIF(K636:$Z636,"&gt;"&amp;0)&gt;5,IF(MOD(COUNTIF(J$641:J938,1),7)=0,$C$4,0),0)</f>
        <v>617.516666666668</v>
      </c>
      <c r="K636" s="81" cm="1">
        <f ca="1" t="array" ref="K636">IF(K938=1,OFFSET($Z$338,$B636,K$335-1)/SUMPRODUCT(--($D$335:$V$335=K$335),--($D938:$V938=1)),0)+SUM(K635)+IF(COUNTIF(K$641:K938,1)=1,5,0)+IF(COUNTIF(L636:$Z636,"&gt;"&amp;0)&gt;5,IF(MOD(COUNTIF(K$641:K938,1),7)=0,$C$4,0),0)</f>
        <v>617.516666666668</v>
      </c>
      <c r="L636" s="81" cm="1">
        <f ca="1" t="array" ref="L636">IF(L938=1,OFFSET($Z$338,$B636,L$335-1)/SUMPRODUCT(--($D$335:$V$335=L$335),--($D938:$V938=1)),0)+SUM(L635)+IF(COUNTIF(L$641:L938,1)=1,5,0)+IF(COUNTIF(M636:$Z636,"&gt;"&amp;0)&gt;5,IF(MOD(COUNTIF(L$641:L938,1),7)=0,$C$4,0),0)</f>
        <v>610.816666666668</v>
      </c>
      <c r="M636" s="81" cm="1">
        <f ca="1" t="array" ref="M636">IF(M938=1,OFFSET($Z$338,$B636,M$335-1)/SUMPRODUCT(--($D$335:$V$335=M$335),--($D938:$V938=1)),0)+SUM(M635)+IF(COUNTIF(M$641:M938,1)=1,5,0)+IF(COUNTIF(N636:$Z636,"&gt;"&amp;0)&gt;5,IF(MOD(COUNTIF(M$641:M938,1),7)=0,$C$4,0),0)</f>
        <v>365.644107142858</v>
      </c>
      <c r="N636" s="81" cm="1">
        <f ca="1" t="array" ref="N636">IF(N938=1,OFFSET($Z$338,$B636,N$335-1)/SUMPRODUCT(--($D$335:$V$335=N$335),--($D938:$V938=1)),0)+SUM(N635)+IF(COUNTIF(N$641:N938,1)=1,5,0)+IF(COUNTIF(O636:$Z636,"&gt;"&amp;0)&gt;5,IF(MOD(COUNTIF(N$641:N938,1),7)=0,$C$4,0),0)</f>
        <v>357.919107142858</v>
      </c>
      <c r="O636" s="81" cm="1">
        <f ca="1" t="array" ref="O636">IF(O938=1,OFFSET($Z$338,$B636,O$335-1)/SUMPRODUCT(--($D$335:$V$335=O$335),--($D938:$V938=1)),0)+SUM(O635)+IF(COUNTIF(O$641:O938,1)=1,5,0)+IF(COUNTIF(P636:$Z636,"&gt;"&amp;0)&gt;5,IF(MOD(COUNTIF(O$641:O938,1),7)=0,$C$4,0),0)</f>
        <v>355.494107142858</v>
      </c>
      <c r="P636" s="81" cm="1">
        <f ca="1" t="array" ref="P636">IF(P938=1,OFFSET($Z$338,$B636,P$335-1)/SUMPRODUCT(--($D$335:$V$335=P$335),--($D938:$V938=1)),0)+SUM(P635)+IF(COUNTIF(P$641:P938,1)=1,5,0)+IF(COUNTIF(Q636:$Z636,"&gt;"&amp;0)&gt;5,IF(MOD(COUNTIF(P$641:P938,1),7)=0,$C$4,0),0)</f>
        <v>347.560773809524</v>
      </c>
      <c r="Q636" s="81" cm="1">
        <f ca="1" t="array" ref="Q636">IF(Q938=1,OFFSET($Z$338,$B636,Q$335-1)/SUMPRODUCT(--($D$335:$V$335=Q$335),--($D938:$V938=1)),0)+SUM(Q635)+IF(COUNTIF(Q$641:Q938,1)=1,5,0)+IF(COUNTIF(R636:$Z636,"&gt;"&amp;0)&gt;5,IF(MOD(COUNTIF(Q$641:Q938,1),7)=0,$C$4,0),0)</f>
        <v>346.654523809524</v>
      </c>
      <c r="R636" s="81" cm="1">
        <f ca="1" t="array" ref="R636">IF(R938=1,OFFSET($Z$338,$B636,R$335-1)/SUMPRODUCT(--($D$335:$V$335=R$335),--($D938:$V938=1)),0)+SUM(R635)+IF(COUNTIF(R$641:R938,1)=1,5,0)+IF(COUNTIF(S636:$Z636,"&gt;"&amp;0)&gt;5,IF(MOD(COUNTIF(R$641:R938,1),7)=0,$C$4,0),0)</f>
        <v>321.759523809524</v>
      </c>
      <c r="S636" s="81" cm="1">
        <f ca="1" t="array" ref="S636">IF(S938=1,OFFSET($Z$338,$B636,S$335-1)/SUMPRODUCT(--($D$335:$V$335=S$335),--($D938:$V938=1)),0)+SUM(S635)+IF(COUNTIF(S$641:S938,1)=1,5,0)+IF(COUNTIF(T636:$Z636,"&gt;"&amp;0)&gt;5,IF(MOD(COUNTIF(S$641:S938,1),7)=0,$C$4,0),0)</f>
        <v>312.592857142857</v>
      </c>
      <c r="T636" s="81" cm="1">
        <f ca="1" t="array" ref="T636">IF(T938=1,OFFSET($Z$338,$B636,T$335-1)/SUMPRODUCT(--($D$335:$V$335=T$335),--($D938:$V938=1)),0)+SUM(T635)+IF(COUNTIF(T$641:T938,1)=1,5,0)+IF(COUNTIF(U636:$Z636,"&gt;"&amp;0)&gt;5,IF(MOD(COUNTIF(T$641:T938,1),7)=0,$C$4,0),0)</f>
        <v>137.656257829764</v>
      </c>
      <c r="U636" s="81" cm="1">
        <f ca="1" t="array" ref="U636">IF(U938=1,OFFSET($Z$338,$B636,U$335-1)/SUMPRODUCT(--($D$335:$V$335=U$335),--($D938:$V938=1)),0)+SUM(U635)+IF(COUNTIF(U$641:U938,1)=1,5,0)+IF(COUNTIF(V636:$Z636,"&gt;"&amp;0)&gt;5,IF(MOD(COUNTIF(U$641:U938,1),7)=0,$C$4,0),0)</f>
        <v>97.6562578297643</v>
      </c>
      <c r="V636" s="81" cm="1">
        <f ca="1" t="array" ref="V636">IF(V938=1,OFFSET($Z$338,$B636,V$335-1)/SUMPRODUCT(--($D$335:$V$335=V$335),--($D938:$V938=1)),0)+SUM(V635)+IF(COUNTIF(V$641:V938,1)=1,5,0)+IF(COUNTIF(Z636:$Z636,"&gt;"&amp;0)&gt;5,IF(MOD(COUNTIF(V$641:V938,1),7)=0,$C$4,0),0)</f>
        <v>89.6984386404824</v>
      </c>
      <c r="W636" s="81" cm="1">
        <f ca="1" t="array" ref="W636">IF(W938=1,OFFSET($Z$338,$B636,W$335-1)/SUMPRODUCT(--($D$335:$V$335=W$335),--($D938:$V938=1)),0)+SUM(W635)+IF(COUNTIF(W$641:W938,1)=1,5,0)+IF(COUNTIF($Z636:AA636,"&gt;"&amp;0)&gt;5,IF(MOD(COUNTIF(W$641:W938,1),7)=0,$C$4,0),0)</f>
        <v>80.3425695255331</v>
      </c>
      <c r="X636" s="81" cm="1">
        <f ca="1" t="array" ref="X636">IF(X938=1,OFFSET($Z$338,$B636,X$335-1)/SUMPRODUCT(--($D$335:$V$335=X$335),--($D938:$V938=1)),0)+SUM(X635)+IF(COUNTIF(X$641:X938,1)=1,5,0)+IF(COUNTIF($Z636:AB636,"&gt;"&amp;0)&gt;5,IF(MOD(COUNTIF(X$641:X938,1),7)=0,$C$4,0),0)</f>
        <v>73.5789092348996</v>
      </c>
      <c r="Y636" s="81" cm="1">
        <f ca="1" t="array" ref="Y636">IF(Y938=1,OFFSET($Z$338,$B636,Y$335-1)/SUMPRODUCT(--($D$335:$V$335=Y$335),--($D938:$V938=1)),0)+SUM(Y635)+IF(COUNTIF(Y$641:Y938,1)=1,5,0)+IF(COUNTIF($Z636:AC636,"&gt;"&amp;0)&gt;5,IF(MOD(COUNTIF(Y$641:Y938,1),7)=0,$C$4,0),0)</f>
        <v>66.8152489442662</v>
      </c>
      <c r="Z636" s="82" cm="1">
        <f ca="1" t="array" ref="Z636">SUMPRODUCT(TRANSPOSE($AD636:$AJ636),OFFSET($L$10:$L$16,0,Z$335-1))</f>
        <v>0</v>
      </c>
      <c r="AA636" s="82" cm="1">
        <f ca="1" t="array" ref="AA636">SUMPRODUCT(TRANSPOSE($AD636:$AJ636),OFFSET($L$10:$L$16,0,AA$335-1))</f>
        <v>0</v>
      </c>
      <c r="AB636" s="82" cm="1">
        <f ca="1" t="array" ref="AB636">SUMPRODUCT(TRANSPOSE($AD636:$AJ636),OFFSET($L$10:$L$16,0,AB$335-1))</f>
        <v>0</v>
      </c>
      <c r="AC636" s="82" cm="1">
        <f ca="1" t="array" ref="AC636">SUMPRODUCT(TRANSPOSE($AD636:$AJ636),OFFSET($L$10:$L$16,0,AC$335-1))</f>
        <v>0</v>
      </c>
      <c r="AD636" s="83">
        <f ca="1" t="shared" ref="AD636:AJ636" si="923">AK636-AK635</f>
        <v>0</v>
      </c>
      <c r="AE636" s="83">
        <f ca="1" t="shared" si="923"/>
        <v>0</v>
      </c>
      <c r="AF636" s="83">
        <f ca="1" t="shared" si="923"/>
        <v>0</v>
      </c>
      <c r="AG636" s="83">
        <f ca="1" t="shared" si="923"/>
        <v>0</v>
      </c>
      <c r="AH636" s="83">
        <f ca="1" t="shared" si="923"/>
        <v>0</v>
      </c>
      <c r="AI636" s="83">
        <f ca="1" t="shared" si="923"/>
        <v>0</v>
      </c>
      <c r="AJ636" s="83">
        <f ca="1" t="shared" si="923"/>
        <v>0</v>
      </c>
      <c r="AK636" s="83">
        <f ca="1" t="shared" si="841"/>
        <v>450</v>
      </c>
      <c r="AL636" s="83">
        <f ca="1" t="shared" ref="AL636:AQ636" si="924">IF($C636&gt;OFFSET($Q$9,MATCH(AL$338,$AK$338:$AQ$338,0),0),OFFSET($P$9,MATCH(AL$338,$AK$338:$AQ$338,0),0),MAX(0,$C636-OFFSET($Q$9,RIGHT(AL$338,1)-1,0)))</f>
        <v>909</v>
      </c>
      <c r="AM636" s="83">
        <f ca="1" t="shared" si="924"/>
        <v>1818</v>
      </c>
      <c r="AN636" s="83">
        <f ca="1" t="shared" si="924"/>
        <v>2727</v>
      </c>
      <c r="AO636" s="83">
        <f ca="1" t="shared" si="924"/>
        <v>3636</v>
      </c>
      <c r="AP636" s="83">
        <f ca="1" t="shared" si="924"/>
        <v>4545</v>
      </c>
      <c r="AQ636" s="83">
        <f ca="1" t="shared" si="924"/>
        <v>0</v>
      </c>
    </row>
    <row r="637" ht="16.5" spans="2:43">
      <c r="B637" s="65">
        <v>299</v>
      </c>
      <c r="C637" s="80">
        <f t="shared" si="839"/>
        <v>34216</v>
      </c>
      <c r="D637" s="81" cm="1">
        <f ca="1" t="array" ref="D637">IF(D939=1,OFFSET($Z$338,$B637,D$335-1)/SUMPRODUCT(--($D$335:$V$335=D$335),--($D939:$V939=1)),0)+SUM(D636)+IF(COUNTIF(D$641:D939,1)=1,5,0)+IF(COUNTIF(E637:$Z637,"&gt;"&amp;0)&gt;5,IF(MOD(COUNTIF(D$641:D939,1),7)=0,$C$4,0),0)</f>
        <v>1328.82134856666</v>
      </c>
      <c r="E637" s="81" cm="1">
        <f ca="1" t="array" ref="E637">IF(E939=1,OFFSET($Z$338,$B637,E$335-1)/SUMPRODUCT(--($D$335:$V$335=E$335),--($D939:$V939=1)),0)+SUM(E636)+IF(COUNTIF(E$641:E939,1)=1,5,0)+IF(COUNTIF(F637:$Z637,"&gt;"&amp;0)&gt;5,IF(MOD(COUNTIF(E$641:E939,1),7)=0,$C$4,0),0)</f>
        <v>1328.82134856666</v>
      </c>
      <c r="F637" s="81" cm="1">
        <f ca="1" t="array" ref="F637">IF(F939=1,OFFSET($Z$338,$B637,F$335-1)/SUMPRODUCT(--($D$335:$V$335=F$335),--($D939:$V939=1)),0)+SUM(F636)+IF(COUNTIF(F$641:F939,1)=1,5,0)+IF(COUNTIF(G637:$Z637,"&gt;"&amp;0)&gt;5,IF(MOD(COUNTIF(F$641:F939,1),7)=0,$C$4,0),0)</f>
        <v>1328.82134856666</v>
      </c>
      <c r="G637" s="81" cm="1">
        <f ca="1" t="array" ref="G637">IF(G939=1,OFFSET($Z$338,$B637,G$335-1)/SUMPRODUCT(--($D$335:$V$335=G$335),--($D939:$V939=1)),0)+SUM(G636)+IF(COUNTIF(G$641:G939,1)=1,5,0)+IF(COUNTIF(H637:$Z637,"&gt;"&amp;0)&gt;5,IF(MOD(COUNTIF(G$641:G939,1),7)=0,$C$4,0),0)</f>
        <v>617.516666666668</v>
      </c>
      <c r="H637" s="81" cm="1">
        <f ca="1" t="array" ref="H637">IF(H939=1,OFFSET($Z$338,$B637,H$335-1)/SUMPRODUCT(--($D$335:$V$335=H$335),--($D939:$V939=1)),0)+SUM(H636)+IF(COUNTIF(H$641:H939,1)=1,5,0)+IF(COUNTIF(I637:$Z637,"&gt;"&amp;0)&gt;5,IF(MOD(COUNTIF(H$641:H939,1),7)=0,$C$4,0),0)</f>
        <v>617.516666666668</v>
      </c>
      <c r="I637" s="81" cm="1">
        <f ca="1" t="array" ref="I637">IF(I939=1,OFFSET($Z$338,$B637,I$335-1)/SUMPRODUCT(--($D$335:$V$335=I$335),--($D939:$V939=1)),0)+SUM(I636)+IF(COUNTIF(I$641:I939,1)=1,5,0)+IF(COUNTIF(J637:$Z637,"&gt;"&amp;0)&gt;5,IF(MOD(COUNTIF(I$641:I939,1),7)=0,$C$4,0),0)</f>
        <v>617.516666666668</v>
      </c>
      <c r="J637" s="81" cm="1">
        <f ca="1" t="array" ref="J637">IF(J939=1,OFFSET($Z$338,$B637,J$335-1)/SUMPRODUCT(--($D$335:$V$335=J$335),--($D939:$V939=1)),0)+SUM(J636)+IF(COUNTIF(J$641:J939,1)=1,5,0)+IF(COUNTIF(K637:$Z637,"&gt;"&amp;0)&gt;5,IF(MOD(COUNTIF(J$641:J939,1),7)=0,$C$4,0),0)</f>
        <v>617.516666666668</v>
      </c>
      <c r="K637" s="81" cm="1">
        <f ca="1" t="array" ref="K637">IF(K939=1,OFFSET($Z$338,$B637,K$335-1)/SUMPRODUCT(--($D$335:$V$335=K$335),--($D939:$V939=1)),0)+SUM(K636)+IF(COUNTIF(K$641:K939,1)=1,5,0)+IF(COUNTIF(L637:$Z637,"&gt;"&amp;0)&gt;5,IF(MOD(COUNTIF(K$641:K939,1),7)=0,$C$4,0),0)</f>
        <v>617.516666666668</v>
      </c>
      <c r="L637" s="81" cm="1">
        <f ca="1" t="array" ref="L637">IF(L939=1,OFFSET($Z$338,$B637,L$335-1)/SUMPRODUCT(--($D$335:$V$335=L$335),--($D939:$V939=1)),0)+SUM(L636)+IF(COUNTIF(L$641:L939,1)=1,5,0)+IF(COUNTIF(M637:$Z637,"&gt;"&amp;0)&gt;5,IF(MOD(COUNTIF(L$641:L939,1),7)=0,$C$4,0),0)</f>
        <v>610.816666666668</v>
      </c>
      <c r="M637" s="81" cm="1">
        <f ca="1" t="array" ref="M637">IF(M939=1,OFFSET($Z$338,$B637,M$335-1)/SUMPRODUCT(--($D$335:$V$335=M$335),--($D939:$V939=1)),0)+SUM(M636)+IF(COUNTIF(M$641:M939,1)=1,5,0)+IF(COUNTIF(N637:$Z637,"&gt;"&amp;0)&gt;5,IF(MOD(COUNTIF(M$641:M939,1),7)=0,$C$4,0),0)</f>
        <v>365.644107142858</v>
      </c>
      <c r="N637" s="81" cm="1">
        <f ca="1" t="array" ref="N637">IF(N939=1,OFFSET($Z$338,$B637,N$335-1)/SUMPRODUCT(--($D$335:$V$335=N$335),--($D939:$V939=1)),0)+SUM(N636)+IF(COUNTIF(N$641:N939,1)=1,5,0)+IF(COUNTIF(O637:$Z637,"&gt;"&amp;0)&gt;5,IF(MOD(COUNTIF(N$641:N939,1),7)=0,$C$4,0),0)</f>
        <v>357.919107142858</v>
      </c>
      <c r="O637" s="81" cm="1">
        <f ca="1" t="array" ref="O637">IF(O939=1,OFFSET($Z$338,$B637,O$335-1)/SUMPRODUCT(--($D$335:$V$335=O$335),--($D939:$V939=1)),0)+SUM(O636)+IF(COUNTIF(O$641:O939,1)=1,5,0)+IF(COUNTIF(P637:$Z637,"&gt;"&amp;0)&gt;5,IF(MOD(COUNTIF(O$641:O939,1),7)=0,$C$4,0),0)</f>
        <v>355.494107142858</v>
      </c>
      <c r="P637" s="81" cm="1">
        <f ca="1" t="array" ref="P637">IF(P939=1,OFFSET($Z$338,$B637,P$335-1)/SUMPRODUCT(--($D$335:$V$335=P$335),--($D939:$V939=1)),0)+SUM(P636)+IF(COUNTIF(P$641:P939,1)=1,5,0)+IF(COUNTIF(Q637:$Z637,"&gt;"&amp;0)&gt;5,IF(MOD(COUNTIF(P$641:P939,1),7)=0,$C$4,0),0)</f>
        <v>352.560773809524</v>
      </c>
      <c r="Q637" s="81" cm="1">
        <f ca="1" t="array" ref="Q637">IF(Q939=1,OFFSET($Z$338,$B637,Q$335-1)/SUMPRODUCT(--($D$335:$V$335=Q$335),--($D939:$V939=1)),0)+SUM(Q636)+IF(COUNTIF(Q$641:Q939,1)=1,5,0)+IF(COUNTIF(R637:$Z637,"&gt;"&amp;0)&gt;5,IF(MOD(COUNTIF(Q$641:Q939,1),7)=0,$C$4,0),0)</f>
        <v>346.654523809524</v>
      </c>
      <c r="R637" s="81" cm="1">
        <f ca="1" t="array" ref="R637">IF(R939=1,OFFSET($Z$338,$B637,R$335-1)/SUMPRODUCT(--($D$335:$V$335=R$335),--($D939:$V939=1)),0)+SUM(R636)+IF(COUNTIF(R$641:R939,1)=1,5,0)+IF(COUNTIF(S637:$Z637,"&gt;"&amp;0)&gt;5,IF(MOD(COUNTIF(R$641:R939,1),7)=0,$C$4,0),0)</f>
        <v>321.759523809524</v>
      </c>
      <c r="S637" s="81" cm="1">
        <f ca="1" t="array" ref="S637">IF(S939=1,OFFSET($Z$338,$B637,S$335-1)/SUMPRODUCT(--($D$335:$V$335=S$335),--($D939:$V939=1)),0)+SUM(S636)+IF(COUNTIF(S$641:S939,1)=1,5,0)+IF(COUNTIF(T637:$Z637,"&gt;"&amp;0)&gt;5,IF(MOD(COUNTIF(S$641:S939,1),7)=0,$C$4,0),0)</f>
        <v>317.592857142857</v>
      </c>
      <c r="T637" s="81" cm="1">
        <f ca="1" t="array" ref="T637">IF(T939=1,OFFSET($Z$338,$B637,T$335-1)/SUMPRODUCT(--($D$335:$V$335=T$335),--($D939:$V939=1)),0)+SUM(T636)+IF(COUNTIF(T$641:T939,1)=1,5,0)+IF(COUNTIF(U637:$Z637,"&gt;"&amp;0)&gt;5,IF(MOD(COUNTIF(T$641:T939,1),7)=0,$C$4,0),0)</f>
        <v>137.656257829764</v>
      </c>
      <c r="U637" s="81" cm="1">
        <f ca="1" t="array" ref="U637">IF(U939=1,OFFSET($Z$338,$B637,U$335-1)/SUMPRODUCT(--($D$335:$V$335=U$335),--($D939:$V939=1)),0)+SUM(U636)+IF(COUNTIF(U$641:U939,1)=1,5,0)+IF(COUNTIF(V637:$Z637,"&gt;"&amp;0)&gt;5,IF(MOD(COUNTIF(U$641:U939,1),7)=0,$C$4,0),0)</f>
        <v>97.6562578297643</v>
      </c>
      <c r="V637" s="81" cm="1">
        <f ca="1" t="array" ref="V637">IF(V939=1,OFFSET($Z$338,$B637,V$335-1)/SUMPRODUCT(--($D$335:$V$335=V$335),--($D939:$V939=1)),0)+SUM(V636)+IF(COUNTIF(V$641:V939,1)=1,5,0)+IF(COUNTIF(Z637:$Z637,"&gt;"&amp;0)&gt;5,IF(MOD(COUNTIF(V$641:V939,1),7)=0,$C$4,0),0)</f>
        <v>89.6984386404824</v>
      </c>
      <c r="W637" s="81" cm="1">
        <f ca="1" t="array" ref="W637">IF(W939=1,OFFSET($Z$338,$B637,W$335-1)/SUMPRODUCT(--($D$335:$V$335=W$335),--($D939:$V939=1)),0)+SUM(W636)+IF(COUNTIF(W$641:W939,1)=1,5,0)+IF(COUNTIF($Z637:AA637,"&gt;"&amp;0)&gt;5,IF(MOD(COUNTIF(W$641:W939,1),7)=0,$C$4,0),0)</f>
        <v>80.3425695255331</v>
      </c>
      <c r="X637" s="81" cm="1">
        <f ca="1" t="array" ref="X637">IF(X939=1,OFFSET($Z$338,$B637,X$335-1)/SUMPRODUCT(--($D$335:$V$335=X$335),--($D939:$V939=1)),0)+SUM(X636)+IF(COUNTIF(X$641:X939,1)=1,5,0)+IF(COUNTIF($Z637:AB637,"&gt;"&amp;0)&gt;5,IF(MOD(COUNTIF(X$641:X939,1),7)=0,$C$4,0),0)</f>
        <v>73.5789092348996</v>
      </c>
      <c r="Y637" s="81" cm="1">
        <f ca="1" t="array" ref="Y637">IF(Y939=1,OFFSET($Z$338,$B637,Y$335-1)/SUMPRODUCT(--($D$335:$V$335=Y$335),--($D939:$V939=1)),0)+SUM(Y636)+IF(COUNTIF(Y$641:Y939,1)=1,5,0)+IF(COUNTIF($Z637:AC637,"&gt;"&amp;0)&gt;5,IF(MOD(COUNTIF(Y$641:Y939,1),7)=0,$C$4,0),0)</f>
        <v>66.8152489442662</v>
      </c>
      <c r="Z637" s="82" cm="1">
        <f ca="1" t="array" ref="Z637">SUMPRODUCT(TRANSPOSE($AD637:$AJ637),OFFSET($L$10:$L$16,0,Z$335-1))</f>
        <v>0</v>
      </c>
      <c r="AA637" s="82" cm="1">
        <f ca="1" t="array" ref="AA637">SUMPRODUCT(TRANSPOSE($AD637:$AJ637),OFFSET($L$10:$L$16,0,AA$335-1))</f>
        <v>0</v>
      </c>
      <c r="AB637" s="82" cm="1">
        <f ca="1" t="array" ref="AB637">SUMPRODUCT(TRANSPOSE($AD637:$AJ637),OFFSET($L$10:$L$16,0,AB$335-1))</f>
        <v>0</v>
      </c>
      <c r="AC637" s="82" cm="1">
        <f ca="1" t="array" ref="AC637">SUMPRODUCT(TRANSPOSE($AD637:$AJ637),OFFSET($L$10:$L$16,0,AC$335-1))</f>
        <v>0</v>
      </c>
      <c r="AD637" s="83">
        <f ca="1" t="shared" ref="AD637:AJ637" si="925">AK637-AK636</f>
        <v>0</v>
      </c>
      <c r="AE637" s="83">
        <f ca="1" t="shared" si="925"/>
        <v>0</v>
      </c>
      <c r="AF637" s="83">
        <f ca="1" t="shared" si="925"/>
        <v>0</v>
      </c>
      <c r="AG637" s="83">
        <f ca="1" t="shared" si="925"/>
        <v>0</v>
      </c>
      <c r="AH637" s="83">
        <f ca="1" t="shared" si="925"/>
        <v>0</v>
      </c>
      <c r="AI637" s="83">
        <f ca="1" t="shared" si="925"/>
        <v>0</v>
      </c>
      <c r="AJ637" s="83">
        <f ca="1" t="shared" si="925"/>
        <v>0</v>
      </c>
      <c r="AK637" s="83">
        <f ca="1" t="shared" si="841"/>
        <v>450</v>
      </c>
      <c r="AL637" s="83">
        <f ca="1" t="shared" ref="AL637:AQ637" si="926">IF($C637&gt;OFFSET($Q$9,MATCH(AL$338,$AK$338:$AQ$338,0),0),OFFSET($P$9,MATCH(AL$338,$AK$338:$AQ$338,0),0),MAX(0,$C637-OFFSET($Q$9,RIGHT(AL$338,1)-1,0)))</f>
        <v>909</v>
      </c>
      <c r="AM637" s="83">
        <f ca="1" t="shared" si="926"/>
        <v>1818</v>
      </c>
      <c r="AN637" s="83">
        <f ca="1" t="shared" si="926"/>
        <v>2727</v>
      </c>
      <c r="AO637" s="83">
        <f ca="1" t="shared" si="926"/>
        <v>3636</v>
      </c>
      <c r="AP637" s="83">
        <f ca="1" t="shared" si="926"/>
        <v>4545</v>
      </c>
      <c r="AQ637" s="83">
        <f ca="1" t="shared" si="926"/>
        <v>0</v>
      </c>
    </row>
    <row r="638" ht="16.5" spans="2:43">
      <c r="B638" s="65">
        <v>300</v>
      </c>
      <c r="C638" s="80">
        <f t="shared" si="839"/>
        <v>34326</v>
      </c>
      <c r="D638" s="81" cm="1">
        <f ca="1" t="array" ref="D638">IF(D940=1,OFFSET($Z$338,$B638,D$335-1)/SUMPRODUCT(--($D$335:$V$335=D$335),--($D940:$V940=1)),0)+SUM(D637)+IF(COUNTIF(D$641:D940,1)=1,5,0)+IF(COUNTIF(E638:$Z638,"&gt;"&amp;0)&gt;5,IF(MOD(COUNTIF(D$641:D940,1),7)=0,$C$4,0),0)</f>
        <v>1328.82134856666</v>
      </c>
      <c r="E638" s="81" cm="1">
        <f ca="1" t="array" ref="E638">IF(E940=1,OFFSET($Z$338,$B638,E$335-1)/SUMPRODUCT(--($D$335:$V$335=E$335),--($D940:$V940=1)),0)+SUM(E637)+IF(COUNTIF(E$641:E940,1)=1,5,0)+IF(COUNTIF(F638:$Z638,"&gt;"&amp;0)&gt;5,IF(MOD(COUNTIF(E$641:E940,1),7)=0,$C$4,0),0)</f>
        <v>1328.82134856666</v>
      </c>
      <c r="F638" s="81" cm="1">
        <f ca="1" t="array" ref="F638">IF(F940=1,OFFSET($Z$338,$B638,F$335-1)/SUMPRODUCT(--($D$335:$V$335=F$335),--($D940:$V940=1)),0)+SUM(F637)+IF(COUNTIF(F$641:F940,1)=1,5,0)+IF(COUNTIF(G638:$Z638,"&gt;"&amp;0)&gt;5,IF(MOD(COUNTIF(F$641:F940,1),7)=0,$C$4,0),0)</f>
        <v>1328.82134856666</v>
      </c>
      <c r="G638" s="81" cm="1">
        <f ca="1" t="array" ref="G638">IF(G940=1,OFFSET($Z$338,$B638,G$335-1)/SUMPRODUCT(--($D$335:$V$335=G$335),--($D940:$V940=1)),0)+SUM(G637)+IF(COUNTIF(G$641:G940,1)=1,5,0)+IF(COUNTIF(H638:$Z638,"&gt;"&amp;0)&gt;5,IF(MOD(COUNTIF(G$641:G940,1),7)=0,$C$4,0),0)</f>
        <v>617.516666666668</v>
      </c>
      <c r="H638" s="81" cm="1">
        <f ca="1" t="array" ref="H638">IF(H940=1,OFFSET($Z$338,$B638,H$335-1)/SUMPRODUCT(--($D$335:$V$335=H$335),--($D940:$V940=1)),0)+SUM(H637)+IF(COUNTIF(H$641:H940,1)=1,5,0)+IF(COUNTIF(I638:$Z638,"&gt;"&amp;0)&gt;5,IF(MOD(COUNTIF(H$641:H940,1),7)=0,$C$4,0),0)</f>
        <v>617.516666666668</v>
      </c>
      <c r="I638" s="81" cm="1">
        <f ca="1" t="array" ref="I638">IF(I940=1,OFFSET($Z$338,$B638,I$335-1)/SUMPRODUCT(--($D$335:$V$335=I$335),--($D940:$V940=1)),0)+SUM(I637)+IF(COUNTIF(I$641:I940,1)=1,5,0)+IF(COUNTIF(J638:$Z638,"&gt;"&amp;0)&gt;5,IF(MOD(COUNTIF(I$641:I940,1),7)=0,$C$4,0),0)</f>
        <v>617.516666666668</v>
      </c>
      <c r="J638" s="81" cm="1">
        <f ca="1" t="array" ref="J638">IF(J940=1,OFFSET($Z$338,$B638,J$335-1)/SUMPRODUCT(--($D$335:$V$335=J$335),--($D940:$V940=1)),0)+SUM(J637)+IF(COUNTIF(J$641:J940,1)=1,5,0)+IF(COUNTIF(K638:$Z638,"&gt;"&amp;0)&gt;5,IF(MOD(COUNTIF(J$641:J940,1),7)=0,$C$4,0),0)</f>
        <v>617.516666666668</v>
      </c>
      <c r="K638" s="81" cm="1">
        <f ca="1" t="array" ref="K638">IF(K940=1,OFFSET($Z$338,$B638,K$335-1)/SUMPRODUCT(--($D$335:$V$335=K$335),--($D940:$V940=1)),0)+SUM(K637)+IF(COUNTIF(K$641:K940,1)=1,5,0)+IF(COUNTIF(L638:$Z638,"&gt;"&amp;0)&gt;5,IF(MOD(COUNTIF(K$641:K940,1),7)=0,$C$4,0),0)</f>
        <v>617.516666666668</v>
      </c>
      <c r="L638" s="81" cm="1">
        <f ca="1" t="array" ref="L638">IF(L940=1,OFFSET($Z$338,$B638,L$335-1)/SUMPRODUCT(--($D$335:$V$335=L$335),--($D940:$V940=1)),0)+SUM(L637)+IF(COUNTIF(L$641:L940,1)=1,5,0)+IF(COUNTIF(M638:$Z638,"&gt;"&amp;0)&gt;5,IF(MOD(COUNTIF(L$641:L940,1),7)=0,$C$4,0),0)</f>
        <v>610.816666666668</v>
      </c>
      <c r="M638" s="81" cm="1">
        <f ca="1" t="array" ref="M638">IF(M940=1,OFFSET($Z$338,$B638,M$335-1)/SUMPRODUCT(--($D$335:$V$335=M$335),--($D940:$V940=1)),0)+SUM(M637)+IF(COUNTIF(M$641:M940,1)=1,5,0)+IF(COUNTIF(N638:$Z638,"&gt;"&amp;0)&gt;5,IF(MOD(COUNTIF(M$641:M940,1),7)=0,$C$4,0),0)</f>
        <v>365.644107142858</v>
      </c>
      <c r="N638" s="81" cm="1">
        <f ca="1" t="array" ref="N638">IF(N940=1,OFFSET($Z$338,$B638,N$335-1)/SUMPRODUCT(--($D$335:$V$335=N$335),--($D940:$V940=1)),0)+SUM(N637)+IF(COUNTIF(N$641:N940,1)=1,5,0)+IF(COUNTIF(O638:$Z638,"&gt;"&amp;0)&gt;5,IF(MOD(COUNTIF(N$641:N940,1),7)=0,$C$4,0),0)</f>
        <v>357.919107142858</v>
      </c>
      <c r="O638" s="81" cm="1">
        <f ca="1" t="array" ref="O638">IF(O940=1,OFFSET($Z$338,$B638,O$335-1)/SUMPRODUCT(--($D$335:$V$335=O$335),--($D940:$V940=1)),0)+SUM(O637)+IF(COUNTIF(O$641:O940,1)=1,5,0)+IF(COUNTIF(P638:$Z638,"&gt;"&amp;0)&gt;5,IF(MOD(COUNTIF(O$641:O940,1),7)=0,$C$4,0),0)</f>
        <v>355.494107142858</v>
      </c>
      <c r="P638" s="81" cm="1">
        <f ca="1" t="array" ref="P638">IF(P940=1,OFFSET($Z$338,$B638,P$335-1)/SUMPRODUCT(--($D$335:$V$335=P$335),--($D940:$V940=1)),0)+SUM(P637)+IF(COUNTIF(P$641:P940,1)=1,5,0)+IF(COUNTIF(Q638:$Z638,"&gt;"&amp;0)&gt;5,IF(MOD(COUNTIF(P$641:P940,1),7)=0,$C$4,0),0)</f>
        <v>352.560773809524</v>
      </c>
      <c r="Q638" s="81" cm="1">
        <f ca="1" t="array" ref="Q638">IF(Q940=1,OFFSET($Z$338,$B638,Q$335-1)/SUMPRODUCT(--($D$335:$V$335=Q$335),--($D940:$V940=1)),0)+SUM(Q637)+IF(COUNTIF(Q$641:Q940,1)=1,5,0)+IF(COUNTIF(R638:$Z638,"&gt;"&amp;0)&gt;5,IF(MOD(COUNTIF(Q$641:Q940,1),7)=0,$C$4,0),0)</f>
        <v>351.654523809524</v>
      </c>
      <c r="R638" s="81" cm="1">
        <f ca="1" t="array" ref="R638">IF(R940=1,OFFSET($Z$338,$B638,R$335-1)/SUMPRODUCT(--($D$335:$V$335=R$335),--($D940:$V940=1)),0)+SUM(R637)+IF(COUNTIF(R$641:R940,1)=1,5,0)+IF(COUNTIF(S638:$Z638,"&gt;"&amp;0)&gt;5,IF(MOD(COUNTIF(R$641:R940,1),7)=0,$C$4,0),0)</f>
        <v>321.759523809524</v>
      </c>
      <c r="S638" s="81" cm="1">
        <f ca="1" t="array" ref="S638">IF(S940=1,OFFSET($Z$338,$B638,S$335-1)/SUMPRODUCT(--($D$335:$V$335=S$335),--($D940:$V940=1)),0)+SUM(S637)+IF(COUNTIF(S$641:S940,1)=1,5,0)+IF(COUNTIF(T638:$Z638,"&gt;"&amp;0)&gt;5,IF(MOD(COUNTIF(S$641:S940,1),7)=0,$C$4,0),0)</f>
        <v>317.592857142857</v>
      </c>
      <c r="T638" s="81" cm="1">
        <f ca="1" t="array" ref="T638">IF(T940=1,OFFSET($Z$338,$B638,T$335-1)/SUMPRODUCT(--($D$335:$V$335=T$335),--($D940:$V940=1)),0)+SUM(T637)+IF(COUNTIF(T$641:T940,1)=1,5,0)+IF(COUNTIF(U638:$Z638,"&gt;"&amp;0)&gt;5,IF(MOD(COUNTIF(T$641:T940,1),7)=0,$C$4,0),0)</f>
        <v>137.656257829764</v>
      </c>
      <c r="U638" s="81" cm="1">
        <f ca="1" t="array" ref="U638">IF(U940=1,OFFSET($Z$338,$B638,U$335-1)/SUMPRODUCT(--($D$335:$V$335=U$335),--($D940:$V940=1)),0)+SUM(U637)+IF(COUNTIF(U$641:U940,1)=1,5,0)+IF(COUNTIF(V638:$Z638,"&gt;"&amp;0)&gt;5,IF(MOD(COUNTIF(U$641:U940,1),7)=0,$C$4,0),0)</f>
        <v>97.6562578297643</v>
      </c>
      <c r="V638" s="81" cm="1">
        <f ca="1" t="array" ref="V638">IF(V940=1,OFFSET($Z$338,$B638,V$335-1)/SUMPRODUCT(--($D$335:$V$335=V$335),--($D940:$V940=1)),0)+SUM(V637)+IF(COUNTIF(V$641:V940,1)=1,5,0)+IF(COUNTIF(Z638:$Z638,"&gt;"&amp;0)&gt;5,IF(MOD(COUNTIF(V$641:V940,1),7)=0,$C$4,0),0)</f>
        <v>89.6984386404824</v>
      </c>
      <c r="W638" s="81" cm="1">
        <f ca="1" t="array" ref="W638">IF(W940=1,OFFSET($Z$338,$B638,W$335-1)/SUMPRODUCT(--($D$335:$V$335=W$335),--($D940:$V940=1)),0)+SUM(W637)+IF(COUNTIF(W$641:W940,1)=1,5,0)+IF(COUNTIF($Z638:AA638,"&gt;"&amp;0)&gt;5,IF(MOD(COUNTIF(W$641:W940,1),7)=0,$C$4,0),0)</f>
        <v>80.3425695255331</v>
      </c>
      <c r="X638" s="81" cm="1">
        <f ca="1" t="array" ref="X638">IF(X940=1,OFFSET($Z$338,$B638,X$335-1)/SUMPRODUCT(--($D$335:$V$335=X$335),--($D940:$V940=1)),0)+SUM(X637)+IF(COUNTIF(X$641:X940,1)=1,5,0)+IF(COUNTIF($Z638:AB638,"&gt;"&amp;0)&gt;5,IF(MOD(COUNTIF(X$641:X940,1),7)=0,$C$4,0),0)</f>
        <v>73.5789092348996</v>
      </c>
      <c r="Y638" s="81" cm="1">
        <f ca="1" t="array" ref="Y638">IF(Y940=1,OFFSET($Z$338,$B638,Y$335-1)/SUMPRODUCT(--($D$335:$V$335=Y$335),--($D940:$V940=1)),0)+SUM(Y637)+IF(COUNTIF(Y$641:Y940,1)=1,5,0)+IF(COUNTIF($Z638:AC638,"&gt;"&amp;0)&gt;5,IF(MOD(COUNTIF(Y$641:Y940,1),7)=0,$C$4,0),0)</f>
        <v>66.8152489442662</v>
      </c>
      <c r="Z638" s="82" cm="1">
        <f ca="1" t="array" ref="Z638">SUMPRODUCT(TRANSPOSE($AD638:$AJ638),OFFSET($L$10:$L$16,0,Z$335-1))</f>
        <v>0</v>
      </c>
      <c r="AA638" s="82" cm="1">
        <f ca="1" t="array" ref="AA638">SUMPRODUCT(TRANSPOSE($AD638:$AJ638),OFFSET($L$10:$L$16,0,AA$335-1))</f>
        <v>0</v>
      </c>
      <c r="AB638" s="82" cm="1">
        <f ca="1" t="array" ref="AB638">SUMPRODUCT(TRANSPOSE($AD638:$AJ638),OFFSET($L$10:$L$16,0,AB$335-1))</f>
        <v>0</v>
      </c>
      <c r="AC638" s="82" cm="1">
        <f ca="1" t="array" ref="AC638">SUMPRODUCT(TRANSPOSE($AD638:$AJ638),OFFSET($L$10:$L$16,0,AC$335-1))</f>
        <v>0</v>
      </c>
      <c r="AD638" s="83">
        <f ca="1" t="shared" ref="AD638:AJ638" si="927">AK638-AK637</f>
        <v>0</v>
      </c>
      <c r="AE638" s="83">
        <f ca="1" t="shared" si="927"/>
        <v>0</v>
      </c>
      <c r="AF638" s="83">
        <f ca="1" t="shared" si="927"/>
        <v>0</v>
      </c>
      <c r="AG638" s="83">
        <f ca="1" t="shared" si="927"/>
        <v>0</v>
      </c>
      <c r="AH638" s="83">
        <f ca="1" t="shared" si="927"/>
        <v>0</v>
      </c>
      <c r="AI638" s="83">
        <f ca="1" t="shared" si="927"/>
        <v>0</v>
      </c>
      <c r="AJ638" s="83">
        <f ca="1" t="shared" si="927"/>
        <v>0</v>
      </c>
      <c r="AK638" s="83">
        <f ca="1" t="shared" si="841"/>
        <v>450</v>
      </c>
      <c r="AL638" s="83">
        <f ca="1" t="shared" ref="AL638:AQ638" si="928">IF($C638&gt;OFFSET($Q$9,MATCH(AL$338,$AK$338:$AQ$338,0),0),OFFSET($P$9,MATCH(AL$338,$AK$338:$AQ$338,0),0),MAX(0,$C638-OFFSET($Q$9,RIGHT(AL$338,1)-1,0)))</f>
        <v>909</v>
      </c>
      <c r="AM638" s="83">
        <f ca="1" t="shared" si="928"/>
        <v>1818</v>
      </c>
      <c r="AN638" s="83">
        <f ca="1" t="shared" si="928"/>
        <v>2727</v>
      </c>
      <c r="AO638" s="83">
        <f ca="1" t="shared" si="928"/>
        <v>3636</v>
      </c>
      <c r="AP638" s="83">
        <f ca="1" t="shared" si="928"/>
        <v>4545</v>
      </c>
      <c r="AQ638" s="83">
        <f ca="1" t="shared" si="928"/>
        <v>0</v>
      </c>
    </row>
    <row r="640" ht="16.5" spans="2:43">
      <c r="B640" s="54" t="s">
        <v>40</v>
      </c>
      <c r="C640" s="54" t="s">
        <v>169</v>
      </c>
      <c r="D640" s="54" t="s">
        <v>145</v>
      </c>
      <c r="E640" s="54" t="s">
        <v>146</v>
      </c>
      <c r="F640" s="54" t="s">
        <v>147</v>
      </c>
      <c r="G640" s="54" t="s">
        <v>148</v>
      </c>
      <c r="H640" s="54" t="s">
        <v>149</v>
      </c>
      <c r="I640" s="54" t="s">
        <v>150</v>
      </c>
      <c r="J640" s="54" t="s">
        <v>151</v>
      </c>
      <c r="K640" s="54" t="s">
        <v>152</v>
      </c>
      <c r="L640" s="54" t="s">
        <v>153</v>
      </c>
      <c r="M640" s="54" t="s">
        <v>154</v>
      </c>
      <c r="N640" s="54" t="s">
        <v>156</v>
      </c>
      <c r="O640" s="54" t="s">
        <v>157</v>
      </c>
      <c r="P640" s="54" t="s">
        <v>158</v>
      </c>
      <c r="Q640" s="54" t="s">
        <v>159</v>
      </c>
      <c r="R640" s="54" t="s">
        <v>160</v>
      </c>
      <c r="S640" s="54" t="s">
        <v>161</v>
      </c>
      <c r="T640" s="54" t="s">
        <v>162</v>
      </c>
      <c r="U640" s="54" t="s">
        <v>163</v>
      </c>
      <c r="V640" s="54" t="s">
        <v>164</v>
      </c>
      <c r="W640" s="54" t="s">
        <v>165</v>
      </c>
      <c r="X640" s="54" t="s">
        <v>166</v>
      </c>
      <c r="Y640" s="54" t="s">
        <v>167</v>
      </c>
    </row>
    <row r="641" ht="16.5" spans="2:25">
      <c r="B641" s="65">
        <v>1</v>
      </c>
      <c r="C641" s="80">
        <f t="shared" ref="C641:C704" si="929">C339</f>
        <v>335</v>
      </c>
      <c r="D641" s="80">
        <f t="shared" ref="D641:Y641" si="930">IF($C641&gt;D$337,1,0)</f>
        <v>1</v>
      </c>
      <c r="E641" s="80">
        <f t="shared" si="930"/>
        <v>1</v>
      </c>
      <c r="F641" s="80">
        <f t="shared" si="930"/>
        <v>1</v>
      </c>
      <c r="G641" s="80">
        <f t="shared" si="930"/>
        <v>1</v>
      </c>
      <c r="H641" s="80">
        <f t="shared" si="930"/>
        <v>1</v>
      </c>
      <c r="I641" s="80">
        <f t="shared" si="930"/>
        <v>1</v>
      </c>
      <c r="J641" s="80">
        <f t="shared" si="930"/>
        <v>1</v>
      </c>
      <c r="K641" s="80">
        <f t="shared" si="930"/>
        <v>1</v>
      </c>
      <c r="L641" s="80">
        <f t="shared" si="930"/>
        <v>0</v>
      </c>
      <c r="M641" s="80">
        <f t="shared" si="930"/>
        <v>0</v>
      </c>
      <c r="N641" s="80">
        <f t="shared" si="930"/>
        <v>0</v>
      </c>
      <c r="O641" s="80">
        <f t="shared" si="930"/>
        <v>0</v>
      </c>
      <c r="P641" s="80">
        <f t="shared" si="930"/>
        <v>0</v>
      </c>
      <c r="Q641" s="80">
        <f t="shared" si="930"/>
        <v>0</v>
      </c>
      <c r="R641" s="80">
        <f t="shared" si="930"/>
        <v>0</v>
      </c>
      <c r="S641" s="80">
        <f t="shared" si="930"/>
        <v>0</v>
      </c>
      <c r="T641" s="80">
        <f t="shared" si="930"/>
        <v>0</v>
      </c>
      <c r="U641" s="80">
        <f t="shared" si="930"/>
        <v>0</v>
      </c>
      <c r="V641" s="80">
        <f t="shared" si="930"/>
        <v>0</v>
      </c>
      <c r="W641" s="80">
        <f t="shared" si="930"/>
        <v>0</v>
      </c>
      <c r="X641" s="80">
        <f t="shared" si="930"/>
        <v>0</v>
      </c>
      <c r="Y641" s="80">
        <f t="shared" si="930"/>
        <v>0</v>
      </c>
    </row>
    <row r="642" ht="16.5" spans="2:25">
      <c r="B642" s="65">
        <v>2</v>
      </c>
      <c r="C642" s="80">
        <f t="shared" si="929"/>
        <v>559</v>
      </c>
      <c r="D642" s="80">
        <f t="shared" ref="D642:Y642" si="931">IF($C642&gt;D$337,1,0)</f>
        <v>1</v>
      </c>
      <c r="E642" s="80">
        <f t="shared" si="931"/>
        <v>1</v>
      </c>
      <c r="F642" s="80">
        <f t="shared" si="931"/>
        <v>1</v>
      </c>
      <c r="G642" s="80">
        <f t="shared" si="931"/>
        <v>1</v>
      </c>
      <c r="H642" s="80">
        <f t="shared" si="931"/>
        <v>1</v>
      </c>
      <c r="I642" s="80">
        <f t="shared" si="931"/>
        <v>1</v>
      </c>
      <c r="J642" s="80">
        <f t="shared" si="931"/>
        <v>1</v>
      </c>
      <c r="K642" s="80">
        <f t="shared" si="931"/>
        <v>1</v>
      </c>
      <c r="L642" s="80">
        <f t="shared" si="931"/>
        <v>1</v>
      </c>
      <c r="M642" s="80">
        <f t="shared" si="931"/>
        <v>1</v>
      </c>
      <c r="N642" s="80">
        <f t="shared" si="931"/>
        <v>0</v>
      </c>
      <c r="O642" s="80">
        <f t="shared" si="931"/>
        <v>0</v>
      </c>
      <c r="P642" s="80">
        <f t="shared" si="931"/>
        <v>0</v>
      </c>
      <c r="Q642" s="80">
        <f t="shared" si="931"/>
        <v>0</v>
      </c>
      <c r="R642" s="80">
        <f t="shared" si="931"/>
        <v>0</v>
      </c>
      <c r="S642" s="80">
        <f t="shared" si="931"/>
        <v>0</v>
      </c>
      <c r="T642" s="80">
        <f t="shared" si="931"/>
        <v>0</v>
      </c>
      <c r="U642" s="80">
        <f t="shared" si="931"/>
        <v>0</v>
      </c>
      <c r="V642" s="80">
        <f t="shared" si="931"/>
        <v>0</v>
      </c>
      <c r="W642" s="80">
        <f t="shared" si="931"/>
        <v>0</v>
      </c>
      <c r="X642" s="80">
        <f t="shared" si="931"/>
        <v>0</v>
      </c>
      <c r="Y642" s="80">
        <f t="shared" si="931"/>
        <v>0</v>
      </c>
    </row>
    <row r="643" ht="16.5" spans="2:25">
      <c r="B643" s="65">
        <v>3</v>
      </c>
      <c r="C643" s="80">
        <f t="shared" si="929"/>
        <v>753</v>
      </c>
      <c r="D643" s="80">
        <f t="shared" ref="D643:Y643" si="932">IF($C643&gt;D$337,1,0)</f>
        <v>1</v>
      </c>
      <c r="E643" s="80">
        <f t="shared" si="932"/>
        <v>1</v>
      </c>
      <c r="F643" s="80">
        <f t="shared" si="932"/>
        <v>1</v>
      </c>
      <c r="G643" s="80">
        <f t="shared" si="932"/>
        <v>1</v>
      </c>
      <c r="H643" s="80">
        <f t="shared" si="932"/>
        <v>1</v>
      </c>
      <c r="I643" s="80">
        <f t="shared" si="932"/>
        <v>1</v>
      </c>
      <c r="J643" s="80">
        <f t="shared" si="932"/>
        <v>1</v>
      </c>
      <c r="K643" s="80">
        <f t="shared" si="932"/>
        <v>1</v>
      </c>
      <c r="L643" s="80">
        <f t="shared" si="932"/>
        <v>1</v>
      </c>
      <c r="M643" s="80">
        <f t="shared" si="932"/>
        <v>1</v>
      </c>
      <c r="N643" s="80">
        <f t="shared" si="932"/>
        <v>1</v>
      </c>
      <c r="O643" s="80">
        <f t="shared" si="932"/>
        <v>0</v>
      </c>
      <c r="P643" s="80">
        <f t="shared" si="932"/>
        <v>0</v>
      </c>
      <c r="Q643" s="80">
        <f t="shared" si="932"/>
        <v>0</v>
      </c>
      <c r="R643" s="80">
        <f t="shared" si="932"/>
        <v>0</v>
      </c>
      <c r="S643" s="80">
        <f t="shared" si="932"/>
        <v>0</v>
      </c>
      <c r="T643" s="80">
        <f t="shared" si="932"/>
        <v>0</v>
      </c>
      <c r="U643" s="80">
        <f t="shared" si="932"/>
        <v>0</v>
      </c>
      <c r="V643" s="80">
        <f t="shared" si="932"/>
        <v>0</v>
      </c>
      <c r="W643" s="80">
        <f t="shared" si="932"/>
        <v>0</v>
      </c>
      <c r="X643" s="80">
        <f t="shared" si="932"/>
        <v>0</v>
      </c>
      <c r="Y643" s="80">
        <f t="shared" si="932"/>
        <v>0</v>
      </c>
    </row>
    <row r="644" ht="16.5" spans="2:25">
      <c r="B644" s="65">
        <v>4</v>
      </c>
      <c r="C644" s="80">
        <f t="shared" si="929"/>
        <v>929</v>
      </c>
      <c r="D644" s="80">
        <f t="shared" ref="D644:Y644" si="933">IF($C644&gt;D$337,1,0)</f>
        <v>1</v>
      </c>
      <c r="E644" s="80">
        <f t="shared" si="933"/>
        <v>1</v>
      </c>
      <c r="F644" s="80">
        <f t="shared" si="933"/>
        <v>1</v>
      </c>
      <c r="G644" s="80">
        <f t="shared" si="933"/>
        <v>1</v>
      </c>
      <c r="H644" s="80">
        <f t="shared" si="933"/>
        <v>1</v>
      </c>
      <c r="I644" s="80">
        <f t="shared" si="933"/>
        <v>1</v>
      </c>
      <c r="J644" s="80">
        <f t="shared" si="933"/>
        <v>1</v>
      </c>
      <c r="K644" s="80">
        <f t="shared" si="933"/>
        <v>1</v>
      </c>
      <c r="L644" s="80">
        <f t="shared" si="933"/>
        <v>1</v>
      </c>
      <c r="M644" s="80">
        <f t="shared" si="933"/>
        <v>1</v>
      </c>
      <c r="N644" s="80">
        <f t="shared" si="933"/>
        <v>1</v>
      </c>
      <c r="O644" s="80">
        <f t="shared" si="933"/>
        <v>1</v>
      </c>
      <c r="P644" s="80">
        <f t="shared" si="933"/>
        <v>0</v>
      </c>
      <c r="Q644" s="80">
        <f t="shared" si="933"/>
        <v>0</v>
      </c>
      <c r="R644" s="80">
        <f t="shared" si="933"/>
        <v>0</v>
      </c>
      <c r="S644" s="80">
        <f t="shared" si="933"/>
        <v>0</v>
      </c>
      <c r="T644" s="80">
        <f t="shared" si="933"/>
        <v>0</v>
      </c>
      <c r="U644" s="80">
        <f t="shared" si="933"/>
        <v>0</v>
      </c>
      <c r="V644" s="80">
        <f t="shared" si="933"/>
        <v>0</v>
      </c>
      <c r="W644" s="80">
        <f t="shared" si="933"/>
        <v>0</v>
      </c>
      <c r="X644" s="80">
        <f t="shared" si="933"/>
        <v>0</v>
      </c>
      <c r="Y644" s="80">
        <f t="shared" si="933"/>
        <v>0</v>
      </c>
    </row>
    <row r="645" ht="16.5" spans="2:25">
      <c r="B645" s="65">
        <v>5</v>
      </c>
      <c r="C645" s="80">
        <f t="shared" si="929"/>
        <v>1105</v>
      </c>
      <c r="D645" s="80">
        <f t="shared" ref="D645:Y645" si="934">IF($C645&gt;D$337,1,0)</f>
        <v>1</v>
      </c>
      <c r="E645" s="80">
        <f t="shared" si="934"/>
        <v>1</v>
      </c>
      <c r="F645" s="80">
        <f t="shared" si="934"/>
        <v>1</v>
      </c>
      <c r="G645" s="80">
        <f t="shared" si="934"/>
        <v>1</v>
      </c>
      <c r="H645" s="80">
        <f t="shared" si="934"/>
        <v>1</v>
      </c>
      <c r="I645" s="80">
        <f t="shared" si="934"/>
        <v>1</v>
      </c>
      <c r="J645" s="80">
        <f t="shared" si="934"/>
        <v>1</v>
      </c>
      <c r="K645" s="80">
        <f t="shared" si="934"/>
        <v>1</v>
      </c>
      <c r="L645" s="80">
        <f t="shared" si="934"/>
        <v>1</v>
      </c>
      <c r="M645" s="80">
        <f t="shared" si="934"/>
        <v>1</v>
      </c>
      <c r="N645" s="80">
        <f t="shared" si="934"/>
        <v>1</v>
      </c>
      <c r="O645" s="80">
        <f t="shared" si="934"/>
        <v>1</v>
      </c>
      <c r="P645" s="80">
        <f t="shared" si="934"/>
        <v>0</v>
      </c>
      <c r="Q645" s="80">
        <f t="shared" si="934"/>
        <v>0</v>
      </c>
      <c r="R645" s="80">
        <f t="shared" si="934"/>
        <v>0</v>
      </c>
      <c r="S645" s="80">
        <f t="shared" si="934"/>
        <v>0</v>
      </c>
      <c r="T645" s="80">
        <f t="shared" si="934"/>
        <v>0</v>
      </c>
      <c r="U645" s="80">
        <f t="shared" si="934"/>
        <v>0</v>
      </c>
      <c r="V645" s="80">
        <f t="shared" si="934"/>
        <v>0</v>
      </c>
      <c r="W645" s="80">
        <f t="shared" si="934"/>
        <v>0</v>
      </c>
      <c r="X645" s="80">
        <f t="shared" si="934"/>
        <v>0</v>
      </c>
      <c r="Y645" s="80">
        <f t="shared" si="934"/>
        <v>0</v>
      </c>
    </row>
    <row r="646" ht="16.5" spans="2:25">
      <c r="B646" s="65">
        <v>6</v>
      </c>
      <c r="C646" s="80">
        <f t="shared" si="929"/>
        <v>1250</v>
      </c>
      <c r="D646" s="80">
        <f t="shared" ref="D646:Y646" si="935">IF($C646&gt;D$337,1,0)</f>
        <v>1</v>
      </c>
      <c r="E646" s="80">
        <f t="shared" si="935"/>
        <v>1</v>
      </c>
      <c r="F646" s="80">
        <f t="shared" si="935"/>
        <v>1</v>
      </c>
      <c r="G646" s="80">
        <f t="shared" si="935"/>
        <v>1</v>
      </c>
      <c r="H646" s="80">
        <f t="shared" si="935"/>
        <v>1</v>
      </c>
      <c r="I646" s="80">
        <f t="shared" si="935"/>
        <v>1</v>
      </c>
      <c r="J646" s="80">
        <f t="shared" si="935"/>
        <v>1</v>
      </c>
      <c r="K646" s="80">
        <f t="shared" si="935"/>
        <v>1</v>
      </c>
      <c r="L646" s="80">
        <f t="shared" si="935"/>
        <v>1</v>
      </c>
      <c r="M646" s="80">
        <f t="shared" si="935"/>
        <v>1</v>
      </c>
      <c r="N646" s="80">
        <f t="shared" si="935"/>
        <v>1</v>
      </c>
      <c r="O646" s="80">
        <f t="shared" si="935"/>
        <v>1</v>
      </c>
      <c r="P646" s="80">
        <f t="shared" si="935"/>
        <v>1</v>
      </c>
      <c r="Q646" s="80">
        <f t="shared" si="935"/>
        <v>0</v>
      </c>
      <c r="R646" s="80">
        <f t="shared" si="935"/>
        <v>0</v>
      </c>
      <c r="S646" s="80">
        <f t="shared" si="935"/>
        <v>0</v>
      </c>
      <c r="T646" s="80">
        <f t="shared" si="935"/>
        <v>0</v>
      </c>
      <c r="U646" s="80">
        <f t="shared" si="935"/>
        <v>0</v>
      </c>
      <c r="V646" s="80">
        <f t="shared" si="935"/>
        <v>0</v>
      </c>
      <c r="W646" s="80">
        <f t="shared" si="935"/>
        <v>0</v>
      </c>
      <c r="X646" s="80">
        <f t="shared" si="935"/>
        <v>0</v>
      </c>
      <c r="Y646" s="80">
        <f t="shared" si="935"/>
        <v>0</v>
      </c>
    </row>
    <row r="647" ht="16.5" spans="2:25">
      <c r="B647" s="65">
        <v>7</v>
      </c>
      <c r="C647" s="80">
        <f t="shared" si="929"/>
        <v>1420</v>
      </c>
      <c r="D647" s="80">
        <f t="shared" ref="D647:Y647" si="936">IF($C647&gt;D$337,1,0)</f>
        <v>1</v>
      </c>
      <c r="E647" s="80">
        <f t="shared" si="936"/>
        <v>1</v>
      </c>
      <c r="F647" s="80">
        <f t="shared" si="936"/>
        <v>1</v>
      </c>
      <c r="G647" s="80">
        <f t="shared" si="936"/>
        <v>1</v>
      </c>
      <c r="H647" s="80">
        <f t="shared" si="936"/>
        <v>1</v>
      </c>
      <c r="I647" s="80">
        <f t="shared" si="936"/>
        <v>1</v>
      </c>
      <c r="J647" s="80">
        <f t="shared" si="936"/>
        <v>1</v>
      </c>
      <c r="K647" s="80">
        <f t="shared" si="936"/>
        <v>1</v>
      </c>
      <c r="L647" s="80">
        <f t="shared" si="936"/>
        <v>1</v>
      </c>
      <c r="M647" s="80">
        <f t="shared" si="936"/>
        <v>1</v>
      </c>
      <c r="N647" s="80">
        <f t="shared" si="936"/>
        <v>1</v>
      </c>
      <c r="O647" s="80">
        <f t="shared" si="936"/>
        <v>1</v>
      </c>
      <c r="P647" s="80">
        <f t="shared" si="936"/>
        <v>1</v>
      </c>
      <c r="Q647" s="80">
        <f t="shared" si="936"/>
        <v>1</v>
      </c>
      <c r="R647" s="80">
        <f t="shared" si="936"/>
        <v>0</v>
      </c>
      <c r="S647" s="80">
        <f t="shared" si="936"/>
        <v>0</v>
      </c>
      <c r="T647" s="80">
        <f t="shared" si="936"/>
        <v>0</v>
      </c>
      <c r="U647" s="80">
        <f t="shared" si="936"/>
        <v>0</v>
      </c>
      <c r="V647" s="80">
        <f t="shared" si="936"/>
        <v>0</v>
      </c>
      <c r="W647" s="80">
        <f t="shared" si="936"/>
        <v>0</v>
      </c>
      <c r="X647" s="80">
        <f t="shared" si="936"/>
        <v>0</v>
      </c>
      <c r="Y647" s="80">
        <f t="shared" si="936"/>
        <v>0</v>
      </c>
    </row>
    <row r="648" ht="16.5" spans="2:25">
      <c r="B648" s="65">
        <v>8</v>
      </c>
      <c r="C648" s="80">
        <f t="shared" si="929"/>
        <v>1560</v>
      </c>
      <c r="D648" s="80">
        <f t="shared" ref="D648:Y648" si="937">IF($C648&gt;D$337,1,0)</f>
        <v>1</v>
      </c>
      <c r="E648" s="80">
        <f t="shared" si="937"/>
        <v>1</v>
      </c>
      <c r="F648" s="80">
        <f t="shared" si="937"/>
        <v>1</v>
      </c>
      <c r="G648" s="80">
        <f t="shared" si="937"/>
        <v>1</v>
      </c>
      <c r="H648" s="80">
        <f t="shared" si="937"/>
        <v>1</v>
      </c>
      <c r="I648" s="80">
        <f t="shared" si="937"/>
        <v>1</v>
      </c>
      <c r="J648" s="80">
        <f t="shared" si="937"/>
        <v>1</v>
      </c>
      <c r="K648" s="80">
        <f t="shared" si="937"/>
        <v>1</v>
      </c>
      <c r="L648" s="80">
        <f t="shared" si="937"/>
        <v>1</v>
      </c>
      <c r="M648" s="80">
        <f t="shared" si="937"/>
        <v>1</v>
      </c>
      <c r="N648" s="80">
        <f t="shared" si="937"/>
        <v>1</v>
      </c>
      <c r="O648" s="80">
        <f t="shared" si="937"/>
        <v>1</v>
      </c>
      <c r="P648" s="80">
        <f t="shared" si="937"/>
        <v>1</v>
      </c>
      <c r="Q648" s="80">
        <f t="shared" si="937"/>
        <v>1</v>
      </c>
      <c r="R648" s="80">
        <f t="shared" si="937"/>
        <v>0</v>
      </c>
      <c r="S648" s="80">
        <f t="shared" si="937"/>
        <v>0</v>
      </c>
      <c r="T648" s="80">
        <f t="shared" si="937"/>
        <v>0</v>
      </c>
      <c r="U648" s="80">
        <f t="shared" si="937"/>
        <v>0</v>
      </c>
      <c r="V648" s="80">
        <f t="shared" si="937"/>
        <v>0</v>
      </c>
      <c r="W648" s="80">
        <f t="shared" si="937"/>
        <v>0</v>
      </c>
      <c r="X648" s="80">
        <f t="shared" si="937"/>
        <v>0</v>
      </c>
      <c r="Y648" s="80">
        <f t="shared" si="937"/>
        <v>0</v>
      </c>
    </row>
    <row r="649" ht="16.5" spans="2:25">
      <c r="B649" s="65">
        <v>9</v>
      </c>
      <c r="C649" s="80">
        <f t="shared" si="929"/>
        <v>1680</v>
      </c>
      <c r="D649" s="80">
        <f t="shared" ref="D649:Y649" si="938">IF($C649&gt;D$337,1,0)</f>
        <v>1</v>
      </c>
      <c r="E649" s="80">
        <f t="shared" si="938"/>
        <v>1</v>
      </c>
      <c r="F649" s="80">
        <f t="shared" si="938"/>
        <v>1</v>
      </c>
      <c r="G649" s="80">
        <f t="shared" si="938"/>
        <v>1</v>
      </c>
      <c r="H649" s="80">
        <f t="shared" si="938"/>
        <v>1</v>
      </c>
      <c r="I649" s="80">
        <f t="shared" si="938"/>
        <v>1</v>
      </c>
      <c r="J649" s="80">
        <f t="shared" si="938"/>
        <v>1</v>
      </c>
      <c r="K649" s="80">
        <f t="shared" si="938"/>
        <v>1</v>
      </c>
      <c r="L649" s="80">
        <f t="shared" si="938"/>
        <v>1</v>
      </c>
      <c r="M649" s="80">
        <f t="shared" si="938"/>
        <v>1</v>
      </c>
      <c r="N649" s="80">
        <f t="shared" si="938"/>
        <v>1</v>
      </c>
      <c r="O649" s="80">
        <f t="shared" si="938"/>
        <v>1</v>
      </c>
      <c r="P649" s="80">
        <f t="shared" si="938"/>
        <v>1</v>
      </c>
      <c r="Q649" s="80">
        <f t="shared" si="938"/>
        <v>1</v>
      </c>
      <c r="R649" s="80">
        <f t="shared" si="938"/>
        <v>0</v>
      </c>
      <c r="S649" s="80">
        <f t="shared" si="938"/>
        <v>0</v>
      </c>
      <c r="T649" s="80">
        <f t="shared" si="938"/>
        <v>0</v>
      </c>
      <c r="U649" s="80">
        <f t="shared" si="938"/>
        <v>0</v>
      </c>
      <c r="V649" s="80">
        <f t="shared" si="938"/>
        <v>0</v>
      </c>
      <c r="W649" s="80">
        <f t="shared" si="938"/>
        <v>0</v>
      </c>
      <c r="X649" s="80">
        <f t="shared" si="938"/>
        <v>0</v>
      </c>
      <c r="Y649" s="80">
        <f t="shared" si="938"/>
        <v>0</v>
      </c>
    </row>
    <row r="650" ht="16.5" spans="2:25">
      <c r="B650" s="65">
        <v>10</v>
      </c>
      <c r="C650" s="80">
        <f t="shared" si="929"/>
        <v>1821</v>
      </c>
      <c r="D650" s="80">
        <f t="shared" ref="D650:Y650" si="939">IF($C650&gt;D$337,1,0)</f>
        <v>1</v>
      </c>
      <c r="E650" s="80">
        <f t="shared" si="939"/>
        <v>1</v>
      </c>
      <c r="F650" s="80">
        <f t="shared" si="939"/>
        <v>1</v>
      </c>
      <c r="G650" s="80">
        <f t="shared" si="939"/>
        <v>1</v>
      </c>
      <c r="H650" s="80">
        <f t="shared" si="939"/>
        <v>1</v>
      </c>
      <c r="I650" s="80">
        <f t="shared" si="939"/>
        <v>1</v>
      </c>
      <c r="J650" s="80">
        <f t="shared" si="939"/>
        <v>1</v>
      </c>
      <c r="K650" s="80">
        <f t="shared" si="939"/>
        <v>1</v>
      </c>
      <c r="L650" s="80">
        <f t="shared" si="939"/>
        <v>1</v>
      </c>
      <c r="M650" s="80">
        <f t="shared" si="939"/>
        <v>1</v>
      </c>
      <c r="N650" s="80">
        <f t="shared" si="939"/>
        <v>1</v>
      </c>
      <c r="O650" s="80">
        <f t="shared" si="939"/>
        <v>1</v>
      </c>
      <c r="P650" s="80">
        <f t="shared" si="939"/>
        <v>1</v>
      </c>
      <c r="Q650" s="80">
        <f t="shared" si="939"/>
        <v>1</v>
      </c>
      <c r="R650" s="80">
        <f t="shared" si="939"/>
        <v>0</v>
      </c>
      <c r="S650" s="80">
        <f t="shared" si="939"/>
        <v>0</v>
      </c>
      <c r="T650" s="80">
        <f t="shared" si="939"/>
        <v>0</v>
      </c>
      <c r="U650" s="80">
        <f t="shared" si="939"/>
        <v>0</v>
      </c>
      <c r="V650" s="80">
        <f t="shared" si="939"/>
        <v>0</v>
      </c>
      <c r="W650" s="80">
        <f t="shared" si="939"/>
        <v>0</v>
      </c>
      <c r="X650" s="80">
        <f t="shared" si="939"/>
        <v>0</v>
      </c>
      <c r="Y650" s="80">
        <f t="shared" si="939"/>
        <v>0</v>
      </c>
    </row>
    <row r="651" ht="16.5" spans="2:25">
      <c r="B651" s="65">
        <v>11</v>
      </c>
      <c r="C651" s="80">
        <f t="shared" si="929"/>
        <v>1946</v>
      </c>
      <c r="D651" s="80">
        <f t="shared" ref="D651:Y651" si="940">IF($C651&gt;D$337,1,0)</f>
        <v>1</v>
      </c>
      <c r="E651" s="80">
        <f t="shared" si="940"/>
        <v>1</v>
      </c>
      <c r="F651" s="80">
        <f t="shared" si="940"/>
        <v>1</v>
      </c>
      <c r="G651" s="80">
        <f t="shared" si="940"/>
        <v>1</v>
      </c>
      <c r="H651" s="80">
        <f t="shared" si="940"/>
        <v>1</v>
      </c>
      <c r="I651" s="80">
        <f t="shared" si="940"/>
        <v>1</v>
      </c>
      <c r="J651" s="80">
        <f t="shared" si="940"/>
        <v>1</v>
      </c>
      <c r="K651" s="80">
        <f t="shared" si="940"/>
        <v>1</v>
      </c>
      <c r="L651" s="80">
        <f t="shared" si="940"/>
        <v>1</v>
      </c>
      <c r="M651" s="80">
        <f t="shared" si="940"/>
        <v>1</v>
      </c>
      <c r="N651" s="80">
        <f t="shared" si="940"/>
        <v>1</v>
      </c>
      <c r="O651" s="80">
        <f t="shared" si="940"/>
        <v>1</v>
      </c>
      <c r="P651" s="80">
        <f t="shared" si="940"/>
        <v>1</v>
      </c>
      <c r="Q651" s="80">
        <f t="shared" si="940"/>
        <v>1</v>
      </c>
      <c r="R651" s="80">
        <f t="shared" si="940"/>
        <v>0</v>
      </c>
      <c r="S651" s="80">
        <f t="shared" si="940"/>
        <v>0</v>
      </c>
      <c r="T651" s="80">
        <f t="shared" si="940"/>
        <v>0</v>
      </c>
      <c r="U651" s="80">
        <f t="shared" si="940"/>
        <v>0</v>
      </c>
      <c r="V651" s="80">
        <f t="shared" si="940"/>
        <v>0</v>
      </c>
      <c r="W651" s="80">
        <f t="shared" si="940"/>
        <v>0</v>
      </c>
      <c r="X651" s="80">
        <f t="shared" si="940"/>
        <v>0</v>
      </c>
      <c r="Y651" s="80">
        <f t="shared" si="940"/>
        <v>0</v>
      </c>
    </row>
    <row r="652" ht="16.5" spans="2:25">
      <c r="B652" s="65">
        <v>12</v>
      </c>
      <c r="C652" s="80">
        <f t="shared" si="929"/>
        <v>2042</v>
      </c>
      <c r="D652" s="80">
        <f t="shared" ref="D652:Y652" si="941">IF($C652&gt;D$337,1,0)</f>
        <v>1</v>
      </c>
      <c r="E652" s="80">
        <f t="shared" si="941"/>
        <v>1</v>
      </c>
      <c r="F652" s="80">
        <f t="shared" si="941"/>
        <v>1</v>
      </c>
      <c r="G652" s="80">
        <f t="shared" si="941"/>
        <v>1</v>
      </c>
      <c r="H652" s="80">
        <f t="shared" si="941"/>
        <v>1</v>
      </c>
      <c r="I652" s="80">
        <f t="shared" si="941"/>
        <v>1</v>
      </c>
      <c r="J652" s="80">
        <f t="shared" si="941"/>
        <v>1</v>
      </c>
      <c r="K652" s="80">
        <f t="shared" si="941"/>
        <v>1</v>
      </c>
      <c r="L652" s="80">
        <f t="shared" si="941"/>
        <v>1</v>
      </c>
      <c r="M652" s="80">
        <f t="shared" si="941"/>
        <v>1</v>
      </c>
      <c r="N652" s="80">
        <f t="shared" si="941"/>
        <v>1</v>
      </c>
      <c r="O652" s="80">
        <f t="shared" si="941"/>
        <v>1</v>
      </c>
      <c r="P652" s="80">
        <f t="shared" si="941"/>
        <v>1</v>
      </c>
      <c r="Q652" s="80">
        <f t="shared" si="941"/>
        <v>1</v>
      </c>
      <c r="R652" s="80">
        <f t="shared" si="941"/>
        <v>0</v>
      </c>
      <c r="S652" s="80">
        <f t="shared" si="941"/>
        <v>0</v>
      </c>
      <c r="T652" s="80">
        <f t="shared" si="941"/>
        <v>0</v>
      </c>
      <c r="U652" s="80">
        <f t="shared" si="941"/>
        <v>0</v>
      </c>
      <c r="V652" s="80">
        <f t="shared" si="941"/>
        <v>0</v>
      </c>
      <c r="W652" s="80">
        <f t="shared" si="941"/>
        <v>0</v>
      </c>
      <c r="X652" s="80">
        <f t="shared" si="941"/>
        <v>0</v>
      </c>
      <c r="Y652" s="80">
        <f t="shared" si="941"/>
        <v>0</v>
      </c>
    </row>
    <row r="653" ht="16.5" spans="2:25">
      <c r="B653" s="65">
        <v>13</v>
      </c>
      <c r="C653" s="80">
        <f t="shared" si="929"/>
        <v>2153</v>
      </c>
      <c r="D653" s="80">
        <f t="shared" ref="D653:Y653" si="942">IF($C653&gt;D$337,1,0)</f>
        <v>1</v>
      </c>
      <c r="E653" s="80">
        <f t="shared" si="942"/>
        <v>1</v>
      </c>
      <c r="F653" s="80">
        <f t="shared" si="942"/>
        <v>1</v>
      </c>
      <c r="G653" s="80">
        <f t="shared" si="942"/>
        <v>1</v>
      </c>
      <c r="H653" s="80">
        <f t="shared" si="942"/>
        <v>1</v>
      </c>
      <c r="I653" s="80">
        <f t="shared" si="942"/>
        <v>1</v>
      </c>
      <c r="J653" s="80">
        <f t="shared" si="942"/>
        <v>1</v>
      </c>
      <c r="K653" s="80">
        <f t="shared" si="942"/>
        <v>1</v>
      </c>
      <c r="L653" s="80">
        <f t="shared" si="942"/>
        <v>1</v>
      </c>
      <c r="M653" s="80">
        <f t="shared" si="942"/>
        <v>1</v>
      </c>
      <c r="N653" s="80">
        <f t="shared" si="942"/>
        <v>1</v>
      </c>
      <c r="O653" s="80">
        <f t="shared" si="942"/>
        <v>1</v>
      </c>
      <c r="P653" s="80">
        <f t="shared" si="942"/>
        <v>1</v>
      </c>
      <c r="Q653" s="80">
        <f t="shared" si="942"/>
        <v>1</v>
      </c>
      <c r="R653" s="80">
        <f t="shared" si="942"/>
        <v>0</v>
      </c>
      <c r="S653" s="80">
        <f t="shared" si="942"/>
        <v>0</v>
      </c>
      <c r="T653" s="80">
        <f t="shared" si="942"/>
        <v>0</v>
      </c>
      <c r="U653" s="80">
        <f t="shared" si="942"/>
        <v>0</v>
      </c>
      <c r="V653" s="80">
        <f t="shared" si="942"/>
        <v>0</v>
      </c>
      <c r="W653" s="80">
        <f t="shared" si="942"/>
        <v>0</v>
      </c>
      <c r="X653" s="80">
        <f t="shared" si="942"/>
        <v>0</v>
      </c>
      <c r="Y653" s="80">
        <f t="shared" si="942"/>
        <v>0</v>
      </c>
    </row>
    <row r="654" ht="16.5" spans="2:25">
      <c r="B654" s="65">
        <v>14</v>
      </c>
      <c r="C654" s="80">
        <f t="shared" si="929"/>
        <v>2294</v>
      </c>
      <c r="D654" s="80">
        <f t="shared" ref="D654:Y654" si="943">IF($C654&gt;D$337,1,0)</f>
        <v>1</v>
      </c>
      <c r="E654" s="80">
        <f t="shared" si="943"/>
        <v>1</v>
      </c>
      <c r="F654" s="80">
        <f t="shared" si="943"/>
        <v>1</v>
      </c>
      <c r="G654" s="80">
        <f t="shared" si="943"/>
        <v>1</v>
      </c>
      <c r="H654" s="80">
        <f t="shared" si="943"/>
        <v>1</v>
      </c>
      <c r="I654" s="80">
        <f t="shared" si="943"/>
        <v>1</v>
      </c>
      <c r="J654" s="80">
        <f t="shared" si="943"/>
        <v>1</v>
      </c>
      <c r="K654" s="80">
        <f t="shared" si="943"/>
        <v>1</v>
      </c>
      <c r="L654" s="80">
        <f t="shared" si="943"/>
        <v>1</v>
      </c>
      <c r="M654" s="80">
        <f t="shared" si="943"/>
        <v>1</v>
      </c>
      <c r="N654" s="80">
        <f t="shared" si="943"/>
        <v>1</v>
      </c>
      <c r="O654" s="80">
        <f t="shared" si="943"/>
        <v>1</v>
      </c>
      <c r="P654" s="80">
        <f t="shared" si="943"/>
        <v>1</v>
      </c>
      <c r="Q654" s="80">
        <f t="shared" si="943"/>
        <v>1</v>
      </c>
      <c r="R654" s="80">
        <f t="shared" si="943"/>
        <v>0</v>
      </c>
      <c r="S654" s="80">
        <f t="shared" si="943"/>
        <v>0</v>
      </c>
      <c r="T654" s="80">
        <f t="shared" si="943"/>
        <v>0</v>
      </c>
      <c r="U654" s="80">
        <f t="shared" si="943"/>
        <v>0</v>
      </c>
      <c r="V654" s="80">
        <f t="shared" si="943"/>
        <v>0</v>
      </c>
      <c r="W654" s="80">
        <f t="shared" si="943"/>
        <v>0</v>
      </c>
      <c r="X654" s="80">
        <f t="shared" si="943"/>
        <v>0</v>
      </c>
      <c r="Y654" s="80">
        <f t="shared" si="943"/>
        <v>0</v>
      </c>
    </row>
    <row r="655" ht="16.5" spans="2:25">
      <c r="B655" s="65">
        <v>15</v>
      </c>
      <c r="C655" s="80">
        <f t="shared" si="929"/>
        <v>2394</v>
      </c>
      <c r="D655" s="80">
        <f t="shared" ref="D655:Y655" si="944">IF($C655&gt;D$337,1,0)</f>
        <v>1</v>
      </c>
      <c r="E655" s="80">
        <f t="shared" si="944"/>
        <v>1</v>
      </c>
      <c r="F655" s="80">
        <f t="shared" si="944"/>
        <v>1</v>
      </c>
      <c r="G655" s="80">
        <f t="shared" si="944"/>
        <v>1</v>
      </c>
      <c r="H655" s="80">
        <f t="shared" si="944"/>
        <v>1</v>
      </c>
      <c r="I655" s="80">
        <f t="shared" si="944"/>
        <v>1</v>
      </c>
      <c r="J655" s="80">
        <f t="shared" si="944"/>
        <v>1</v>
      </c>
      <c r="K655" s="80">
        <f t="shared" si="944"/>
        <v>1</v>
      </c>
      <c r="L655" s="80">
        <f t="shared" si="944"/>
        <v>1</v>
      </c>
      <c r="M655" s="80">
        <f t="shared" si="944"/>
        <v>1</v>
      </c>
      <c r="N655" s="80">
        <f t="shared" si="944"/>
        <v>1</v>
      </c>
      <c r="O655" s="80">
        <f t="shared" si="944"/>
        <v>1</v>
      </c>
      <c r="P655" s="80">
        <f t="shared" si="944"/>
        <v>1</v>
      </c>
      <c r="Q655" s="80">
        <f t="shared" si="944"/>
        <v>1</v>
      </c>
      <c r="R655" s="80">
        <f t="shared" si="944"/>
        <v>1</v>
      </c>
      <c r="S655" s="80">
        <f t="shared" si="944"/>
        <v>0</v>
      </c>
      <c r="T655" s="80">
        <f t="shared" si="944"/>
        <v>0</v>
      </c>
      <c r="U655" s="80">
        <f t="shared" si="944"/>
        <v>0</v>
      </c>
      <c r="V655" s="80">
        <f t="shared" si="944"/>
        <v>0</v>
      </c>
      <c r="W655" s="80">
        <f t="shared" si="944"/>
        <v>0</v>
      </c>
      <c r="X655" s="80">
        <f t="shared" si="944"/>
        <v>0</v>
      </c>
      <c r="Y655" s="80">
        <f t="shared" si="944"/>
        <v>0</v>
      </c>
    </row>
    <row r="656" ht="16.5" spans="2:25">
      <c r="B656" s="65">
        <v>16</v>
      </c>
      <c r="C656" s="80">
        <f t="shared" si="929"/>
        <v>2494</v>
      </c>
      <c r="D656" s="80">
        <f t="shared" ref="D656:Y656" si="945">IF($C656&gt;D$337,1,0)</f>
        <v>1</v>
      </c>
      <c r="E656" s="80">
        <f t="shared" si="945"/>
        <v>1</v>
      </c>
      <c r="F656" s="80">
        <f t="shared" si="945"/>
        <v>1</v>
      </c>
      <c r="G656" s="80">
        <f t="shared" si="945"/>
        <v>1</v>
      </c>
      <c r="H656" s="80">
        <f t="shared" si="945"/>
        <v>1</v>
      </c>
      <c r="I656" s="80">
        <f t="shared" si="945"/>
        <v>1</v>
      </c>
      <c r="J656" s="80">
        <f t="shared" si="945"/>
        <v>1</v>
      </c>
      <c r="K656" s="80">
        <f t="shared" si="945"/>
        <v>1</v>
      </c>
      <c r="L656" s="80">
        <f t="shared" si="945"/>
        <v>1</v>
      </c>
      <c r="M656" s="80">
        <f t="shared" si="945"/>
        <v>1</v>
      </c>
      <c r="N656" s="80">
        <f t="shared" si="945"/>
        <v>1</v>
      </c>
      <c r="O656" s="80">
        <f t="shared" si="945"/>
        <v>1</v>
      </c>
      <c r="P656" s="80">
        <f t="shared" si="945"/>
        <v>1</v>
      </c>
      <c r="Q656" s="80">
        <f t="shared" si="945"/>
        <v>1</v>
      </c>
      <c r="R656" s="80">
        <f t="shared" si="945"/>
        <v>1</v>
      </c>
      <c r="S656" s="80">
        <f t="shared" si="945"/>
        <v>0</v>
      </c>
      <c r="T656" s="80">
        <f t="shared" si="945"/>
        <v>0</v>
      </c>
      <c r="U656" s="80">
        <f t="shared" si="945"/>
        <v>0</v>
      </c>
      <c r="V656" s="80">
        <f t="shared" si="945"/>
        <v>0</v>
      </c>
      <c r="W656" s="80">
        <f t="shared" si="945"/>
        <v>0</v>
      </c>
      <c r="X656" s="80">
        <f t="shared" si="945"/>
        <v>0</v>
      </c>
      <c r="Y656" s="80">
        <f t="shared" si="945"/>
        <v>0</v>
      </c>
    </row>
    <row r="657" ht="16.5" spans="2:25">
      <c r="B657" s="65">
        <v>17</v>
      </c>
      <c r="C657" s="80">
        <f t="shared" si="929"/>
        <v>2594</v>
      </c>
      <c r="D657" s="80">
        <f t="shared" ref="D657:Y657" si="946">IF($C657&gt;D$337,1,0)</f>
        <v>1</v>
      </c>
      <c r="E657" s="80">
        <f t="shared" si="946"/>
        <v>1</v>
      </c>
      <c r="F657" s="80">
        <f t="shared" si="946"/>
        <v>1</v>
      </c>
      <c r="G657" s="80">
        <f t="shared" si="946"/>
        <v>1</v>
      </c>
      <c r="H657" s="80">
        <f t="shared" si="946"/>
        <v>1</v>
      </c>
      <c r="I657" s="80">
        <f t="shared" si="946"/>
        <v>1</v>
      </c>
      <c r="J657" s="80">
        <f t="shared" si="946"/>
        <v>1</v>
      </c>
      <c r="K657" s="80">
        <f t="shared" si="946"/>
        <v>1</v>
      </c>
      <c r="L657" s="80">
        <f t="shared" si="946"/>
        <v>1</v>
      </c>
      <c r="M657" s="80">
        <f t="shared" si="946"/>
        <v>1</v>
      </c>
      <c r="N657" s="80">
        <f t="shared" si="946"/>
        <v>1</v>
      </c>
      <c r="O657" s="80">
        <f t="shared" si="946"/>
        <v>1</v>
      </c>
      <c r="P657" s="80">
        <f t="shared" si="946"/>
        <v>1</v>
      </c>
      <c r="Q657" s="80">
        <f t="shared" si="946"/>
        <v>1</v>
      </c>
      <c r="R657" s="80">
        <f t="shared" si="946"/>
        <v>1</v>
      </c>
      <c r="S657" s="80">
        <f t="shared" si="946"/>
        <v>0</v>
      </c>
      <c r="T657" s="80">
        <f t="shared" si="946"/>
        <v>0</v>
      </c>
      <c r="U657" s="80">
        <f t="shared" si="946"/>
        <v>0</v>
      </c>
      <c r="V657" s="80">
        <f t="shared" si="946"/>
        <v>0</v>
      </c>
      <c r="W657" s="80">
        <f t="shared" si="946"/>
        <v>0</v>
      </c>
      <c r="X657" s="80">
        <f t="shared" si="946"/>
        <v>0</v>
      </c>
      <c r="Y657" s="80">
        <f t="shared" si="946"/>
        <v>0</v>
      </c>
    </row>
    <row r="658" ht="16.5" spans="2:25">
      <c r="B658" s="65">
        <v>18</v>
      </c>
      <c r="C658" s="80">
        <f t="shared" si="929"/>
        <v>2694</v>
      </c>
      <c r="D658" s="80">
        <f t="shared" ref="D658:Y658" si="947">IF($C658&gt;D$337,1,0)</f>
        <v>1</v>
      </c>
      <c r="E658" s="80">
        <f t="shared" si="947"/>
        <v>1</v>
      </c>
      <c r="F658" s="80">
        <f t="shared" si="947"/>
        <v>1</v>
      </c>
      <c r="G658" s="80">
        <f t="shared" si="947"/>
        <v>1</v>
      </c>
      <c r="H658" s="80">
        <f t="shared" si="947"/>
        <v>1</v>
      </c>
      <c r="I658" s="80">
        <f t="shared" si="947"/>
        <v>1</v>
      </c>
      <c r="J658" s="80">
        <f t="shared" si="947"/>
        <v>1</v>
      </c>
      <c r="K658" s="80">
        <f t="shared" si="947"/>
        <v>1</v>
      </c>
      <c r="L658" s="80">
        <f t="shared" si="947"/>
        <v>1</v>
      </c>
      <c r="M658" s="80">
        <f t="shared" si="947"/>
        <v>1</v>
      </c>
      <c r="N658" s="80">
        <f t="shared" si="947"/>
        <v>1</v>
      </c>
      <c r="O658" s="80">
        <f t="shared" si="947"/>
        <v>1</v>
      </c>
      <c r="P658" s="80">
        <f t="shared" si="947"/>
        <v>1</v>
      </c>
      <c r="Q658" s="80">
        <f t="shared" si="947"/>
        <v>1</v>
      </c>
      <c r="R658" s="80">
        <f t="shared" si="947"/>
        <v>1</v>
      </c>
      <c r="S658" s="80">
        <f t="shared" si="947"/>
        <v>0</v>
      </c>
      <c r="T658" s="80">
        <f t="shared" si="947"/>
        <v>0</v>
      </c>
      <c r="U658" s="80">
        <f t="shared" si="947"/>
        <v>0</v>
      </c>
      <c r="V658" s="80">
        <f t="shared" si="947"/>
        <v>0</v>
      </c>
      <c r="W658" s="80">
        <f t="shared" si="947"/>
        <v>0</v>
      </c>
      <c r="X658" s="80">
        <f t="shared" si="947"/>
        <v>0</v>
      </c>
      <c r="Y658" s="80">
        <f t="shared" si="947"/>
        <v>0</v>
      </c>
    </row>
    <row r="659" ht="16.5" spans="2:25">
      <c r="B659" s="65">
        <v>19</v>
      </c>
      <c r="C659" s="80">
        <f t="shared" si="929"/>
        <v>2794</v>
      </c>
      <c r="D659" s="80">
        <f t="shared" ref="D659:Y659" si="948">IF($C659&gt;D$337,1,0)</f>
        <v>1</v>
      </c>
      <c r="E659" s="80">
        <f t="shared" si="948"/>
        <v>1</v>
      </c>
      <c r="F659" s="80">
        <f t="shared" si="948"/>
        <v>1</v>
      </c>
      <c r="G659" s="80">
        <f t="shared" si="948"/>
        <v>1</v>
      </c>
      <c r="H659" s="80">
        <f t="shared" si="948"/>
        <v>1</v>
      </c>
      <c r="I659" s="80">
        <f t="shared" si="948"/>
        <v>1</v>
      </c>
      <c r="J659" s="80">
        <f t="shared" si="948"/>
        <v>1</v>
      </c>
      <c r="K659" s="80">
        <f t="shared" si="948"/>
        <v>1</v>
      </c>
      <c r="L659" s="80">
        <f t="shared" si="948"/>
        <v>1</v>
      </c>
      <c r="M659" s="80">
        <f t="shared" si="948"/>
        <v>1</v>
      </c>
      <c r="N659" s="80">
        <f t="shared" si="948"/>
        <v>1</v>
      </c>
      <c r="O659" s="80">
        <f t="shared" si="948"/>
        <v>1</v>
      </c>
      <c r="P659" s="80">
        <f t="shared" si="948"/>
        <v>1</v>
      </c>
      <c r="Q659" s="80">
        <f t="shared" si="948"/>
        <v>1</v>
      </c>
      <c r="R659" s="80">
        <f t="shared" si="948"/>
        <v>1</v>
      </c>
      <c r="S659" s="80">
        <f t="shared" si="948"/>
        <v>0</v>
      </c>
      <c r="T659" s="80">
        <f t="shared" si="948"/>
        <v>0</v>
      </c>
      <c r="U659" s="80">
        <f t="shared" si="948"/>
        <v>0</v>
      </c>
      <c r="V659" s="80">
        <f t="shared" si="948"/>
        <v>0</v>
      </c>
      <c r="W659" s="80">
        <f t="shared" si="948"/>
        <v>0</v>
      </c>
      <c r="X659" s="80">
        <f t="shared" si="948"/>
        <v>0</v>
      </c>
      <c r="Y659" s="80">
        <f t="shared" si="948"/>
        <v>0</v>
      </c>
    </row>
    <row r="660" ht="16.5" spans="2:25">
      <c r="B660" s="65">
        <v>20</v>
      </c>
      <c r="C660" s="80">
        <f t="shared" si="929"/>
        <v>2894</v>
      </c>
      <c r="D660" s="80">
        <f t="shared" ref="D660:Y660" si="949">IF($C660&gt;D$337,1,0)</f>
        <v>1</v>
      </c>
      <c r="E660" s="80">
        <f t="shared" si="949"/>
        <v>1</v>
      </c>
      <c r="F660" s="80">
        <f t="shared" si="949"/>
        <v>1</v>
      </c>
      <c r="G660" s="80">
        <f t="shared" si="949"/>
        <v>1</v>
      </c>
      <c r="H660" s="80">
        <f t="shared" si="949"/>
        <v>1</v>
      </c>
      <c r="I660" s="80">
        <f t="shared" si="949"/>
        <v>1</v>
      </c>
      <c r="J660" s="80">
        <f t="shared" si="949"/>
        <v>1</v>
      </c>
      <c r="K660" s="80">
        <f t="shared" si="949"/>
        <v>1</v>
      </c>
      <c r="L660" s="80">
        <f t="shared" si="949"/>
        <v>1</v>
      </c>
      <c r="M660" s="80">
        <f t="shared" si="949"/>
        <v>1</v>
      </c>
      <c r="N660" s="80">
        <f t="shared" si="949"/>
        <v>1</v>
      </c>
      <c r="O660" s="80">
        <f t="shared" si="949"/>
        <v>1</v>
      </c>
      <c r="P660" s="80">
        <f t="shared" si="949"/>
        <v>1</v>
      </c>
      <c r="Q660" s="80">
        <f t="shared" si="949"/>
        <v>1</v>
      </c>
      <c r="R660" s="80">
        <f t="shared" si="949"/>
        <v>1</v>
      </c>
      <c r="S660" s="80">
        <f t="shared" si="949"/>
        <v>1</v>
      </c>
      <c r="T660" s="80">
        <f t="shared" si="949"/>
        <v>0</v>
      </c>
      <c r="U660" s="80">
        <f t="shared" si="949"/>
        <v>0</v>
      </c>
      <c r="V660" s="80">
        <f t="shared" si="949"/>
        <v>0</v>
      </c>
      <c r="W660" s="80">
        <f t="shared" si="949"/>
        <v>0</v>
      </c>
      <c r="X660" s="80">
        <f t="shared" si="949"/>
        <v>0</v>
      </c>
      <c r="Y660" s="80">
        <f t="shared" si="949"/>
        <v>0</v>
      </c>
    </row>
    <row r="661" ht="16.5" spans="2:25">
      <c r="B661" s="65">
        <v>21</v>
      </c>
      <c r="C661" s="80">
        <f t="shared" si="929"/>
        <v>3636</v>
      </c>
      <c r="D661" s="80">
        <f t="shared" ref="D661:Y661" si="950">IF($C661&gt;D$337,1,0)</f>
        <v>1</v>
      </c>
      <c r="E661" s="80">
        <f t="shared" si="950"/>
        <v>1</v>
      </c>
      <c r="F661" s="80">
        <f t="shared" si="950"/>
        <v>1</v>
      </c>
      <c r="G661" s="80">
        <f t="shared" si="950"/>
        <v>1</v>
      </c>
      <c r="H661" s="80">
        <f t="shared" si="950"/>
        <v>1</v>
      </c>
      <c r="I661" s="80">
        <f t="shared" si="950"/>
        <v>1</v>
      </c>
      <c r="J661" s="80">
        <f t="shared" si="950"/>
        <v>1</v>
      </c>
      <c r="K661" s="80">
        <f t="shared" si="950"/>
        <v>1</v>
      </c>
      <c r="L661" s="80">
        <f t="shared" si="950"/>
        <v>1</v>
      </c>
      <c r="M661" s="80">
        <f t="shared" si="950"/>
        <v>1</v>
      </c>
      <c r="N661" s="80">
        <f t="shared" si="950"/>
        <v>1</v>
      </c>
      <c r="O661" s="80">
        <f t="shared" si="950"/>
        <v>1</v>
      </c>
      <c r="P661" s="80">
        <f t="shared" si="950"/>
        <v>1</v>
      </c>
      <c r="Q661" s="80">
        <f t="shared" si="950"/>
        <v>1</v>
      </c>
      <c r="R661" s="80">
        <f t="shared" si="950"/>
        <v>1</v>
      </c>
      <c r="S661" s="80">
        <f t="shared" si="950"/>
        <v>1</v>
      </c>
      <c r="T661" s="80">
        <f t="shared" si="950"/>
        <v>1</v>
      </c>
      <c r="U661" s="80">
        <f t="shared" si="950"/>
        <v>1</v>
      </c>
      <c r="V661" s="80">
        <f t="shared" si="950"/>
        <v>0</v>
      </c>
      <c r="W661" s="80">
        <f t="shared" si="950"/>
        <v>0</v>
      </c>
      <c r="X661" s="80">
        <f t="shared" si="950"/>
        <v>0</v>
      </c>
      <c r="Y661" s="80">
        <f t="shared" si="950"/>
        <v>0</v>
      </c>
    </row>
    <row r="662" ht="16.5" spans="2:25">
      <c r="B662" s="65">
        <v>22</v>
      </c>
      <c r="C662" s="80">
        <f t="shared" si="929"/>
        <v>3746</v>
      </c>
      <c r="D662" s="80">
        <f t="shared" ref="D662:Y662" si="951">IF($C662&gt;D$337,1,0)</f>
        <v>1</v>
      </c>
      <c r="E662" s="80">
        <f t="shared" si="951"/>
        <v>1</v>
      </c>
      <c r="F662" s="80">
        <f t="shared" si="951"/>
        <v>1</v>
      </c>
      <c r="G662" s="80">
        <f t="shared" si="951"/>
        <v>1</v>
      </c>
      <c r="H662" s="80">
        <f t="shared" si="951"/>
        <v>1</v>
      </c>
      <c r="I662" s="80">
        <f t="shared" si="951"/>
        <v>1</v>
      </c>
      <c r="J662" s="80">
        <f t="shared" si="951"/>
        <v>1</v>
      </c>
      <c r="K662" s="80">
        <f t="shared" si="951"/>
        <v>1</v>
      </c>
      <c r="L662" s="80">
        <f t="shared" si="951"/>
        <v>1</v>
      </c>
      <c r="M662" s="80">
        <f t="shared" si="951"/>
        <v>1</v>
      </c>
      <c r="N662" s="80">
        <f t="shared" si="951"/>
        <v>1</v>
      </c>
      <c r="O662" s="80">
        <f t="shared" si="951"/>
        <v>1</v>
      </c>
      <c r="P662" s="80">
        <f t="shared" si="951"/>
        <v>1</v>
      </c>
      <c r="Q662" s="80">
        <f t="shared" si="951"/>
        <v>1</v>
      </c>
      <c r="R662" s="80">
        <f t="shared" si="951"/>
        <v>1</v>
      </c>
      <c r="S662" s="80">
        <f t="shared" si="951"/>
        <v>1</v>
      </c>
      <c r="T662" s="80">
        <f t="shared" si="951"/>
        <v>1</v>
      </c>
      <c r="U662" s="80">
        <f t="shared" si="951"/>
        <v>1</v>
      </c>
      <c r="V662" s="80">
        <f t="shared" si="951"/>
        <v>0</v>
      </c>
      <c r="W662" s="80">
        <f t="shared" si="951"/>
        <v>0</v>
      </c>
      <c r="X662" s="80">
        <f t="shared" si="951"/>
        <v>0</v>
      </c>
      <c r="Y662" s="80">
        <f t="shared" si="951"/>
        <v>0</v>
      </c>
    </row>
    <row r="663" ht="16.5" spans="2:25">
      <c r="B663" s="65">
        <v>23</v>
      </c>
      <c r="C663" s="80">
        <f t="shared" si="929"/>
        <v>3856</v>
      </c>
      <c r="D663" s="80">
        <f t="shared" ref="D663:Y663" si="952">IF($C663&gt;D$337,1,0)</f>
        <v>1</v>
      </c>
      <c r="E663" s="80">
        <f t="shared" si="952"/>
        <v>1</v>
      </c>
      <c r="F663" s="80">
        <f t="shared" si="952"/>
        <v>1</v>
      </c>
      <c r="G663" s="80">
        <f t="shared" si="952"/>
        <v>1</v>
      </c>
      <c r="H663" s="80">
        <f t="shared" si="952"/>
        <v>1</v>
      </c>
      <c r="I663" s="80">
        <f t="shared" si="952"/>
        <v>1</v>
      </c>
      <c r="J663" s="80">
        <f t="shared" si="952"/>
        <v>1</v>
      </c>
      <c r="K663" s="80">
        <f t="shared" si="952"/>
        <v>1</v>
      </c>
      <c r="L663" s="80">
        <f t="shared" si="952"/>
        <v>1</v>
      </c>
      <c r="M663" s="80">
        <f t="shared" si="952"/>
        <v>1</v>
      </c>
      <c r="N663" s="80">
        <f t="shared" si="952"/>
        <v>1</v>
      </c>
      <c r="O663" s="80">
        <f t="shared" si="952"/>
        <v>1</v>
      </c>
      <c r="P663" s="80">
        <f t="shared" si="952"/>
        <v>1</v>
      </c>
      <c r="Q663" s="80">
        <f t="shared" si="952"/>
        <v>1</v>
      </c>
      <c r="R663" s="80">
        <f t="shared" si="952"/>
        <v>1</v>
      </c>
      <c r="S663" s="80">
        <f t="shared" si="952"/>
        <v>1</v>
      </c>
      <c r="T663" s="80">
        <f t="shared" si="952"/>
        <v>1</v>
      </c>
      <c r="U663" s="80">
        <f t="shared" si="952"/>
        <v>1</v>
      </c>
      <c r="V663" s="80">
        <f t="shared" si="952"/>
        <v>0</v>
      </c>
      <c r="W663" s="80">
        <f t="shared" si="952"/>
        <v>0</v>
      </c>
      <c r="X663" s="80">
        <f t="shared" si="952"/>
        <v>0</v>
      </c>
      <c r="Y663" s="80">
        <f t="shared" si="952"/>
        <v>0</v>
      </c>
    </row>
    <row r="664" ht="16.5" spans="2:25">
      <c r="B664" s="65">
        <v>24</v>
      </c>
      <c r="C664" s="80">
        <f t="shared" si="929"/>
        <v>3966</v>
      </c>
      <c r="D664" s="80">
        <f t="shared" ref="D664:Y664" si="953">IF($C664&gt;D$337,1,0)</f>
        <v>1</v>
      </c>
      <c r="E664" s="80">
        <f t="shared" si="953"/>
        <v>1</v>
      </c>
      <c r="F664" s="80">
        <f t="shared" si="953"/>
        <v>1</v>
      </c>
      <c r="G664" s="80">
        <f t="shared" si="953"/>
        <v>1</v>
      </c>
      <c r="H664" s="80">
        <f t="shared" si="953"/>
        <v>1</v>
      </c>
      <c r="I664" s="80">
        <f t="shared" si="953"/>
        <v>1</v>
      </c>
      <c r="J664" s="80">
        <f t="shared" si="953"/>
        <v>1</v>
      </c>
      <c r="K664" s="80">
        <f t="shared" si="953"/>
        <v>1</v>
      </c>
      <c r="L664" s="80">
        <f t="shared" si="953"/>
        <v>1</v>
      </c>
      <c r="M664" s="80">
        <f t="shared" si="953"/>
        <v>1</v>
      </c>
      <c r="N664" s="80">
        <f t="shared" si="953"/>
        <v>1</v>
      </c>
      <c r="O664" s="80">
        <f t="shared" si="953"/>
        <v>1</v>
      </c>
      <c r="P664" s="80">
        <f t="shared" si="953"/>
        <v>1</v>
      </c>
      <c r="Q664" s="80">
        <f t="shared" si="953"/>
        <v>1</v>
      </c>
      <c r="R664" s="80">
        <f t="shared" si="953"/>
        <v>1</v>
      </c>
      <c r="S664" s="80">
        <f t="shared" si="953"/>
        <v>1</v>
      </c>
      <c r="T664" s="80">
        <f t="shared" si="953"/>
        <v>1</v>
      </c>
      <c r="U664" s="80">
        <f t="shared" si="953"/>
        <v>1</v>
      </c>
      <c r="V664" s="80">
        <f t="shared" si="953"/>
        <v>0</v>
      </c>
      <c r="W664" s="80">
        <f t="shared" si="953"/>
        <v>0</v>
      </c>
      <c r="X664" s="80">
        <f t="shared" si="953"/>
        <v>0</v>
      </c>
      <c r="Y664" s="80">
        <f t="shared" si="953"/>
        <v>0</v>
      </c>
    </row>
    <row r="665" ht="16.5" spans="2:25">
      <c r="B665" s="65">
        <v>25</v>
      </c>
      <c r="C665" s="80">
        <f t="shared" si="929"/>
        <v>4076</v>
      </c>
      <c r="D665" s="80">
        <f t="shared" ref="D665:Y665" si="954">IF($C665&gt;D$337,1,0)</f>
        <v>1</v>
      </c>
      <c r="E665" s="80">
        <f t="shared" si="954"/>
        <v>1</v>
      </c>
      <c r="F665" s="80">
        <f t="shared" si="954"/>
        <v>1</v>
      </c>
      <c r="G665" s="80">
        <f t="shared" si="954"/>
        <v>1</v>
      </c>
      <c r="H665" s="80">
        <f t="shared" si="954"/>
        <v>1</v>
      </c>
      <c r="I665" s="80">
        <f t="shared" si="954"/>
        <v>1</v>
      </c>
      <c r="J665" s="80">
        <f t="shared" si="954"/>
        <v>1</v>
      </c>
      <c r="K665" s="80">
        <f t="shared" si="954"/>
        <v>1</v>
      </c>
      <c r="L665" s="80">
        <f t="shared" si="954"/>
        <v>1</v>
      </c>
      <c r="M665" s="80">
        <f t="shared" si="954"/>
        <v>1</v>
      </c>
      <c r="N665" s="80">
        <f t="shared" si="954"/>
        <v>1</v>
      </c>
      <c r="O665" s="80">
        <f t="shared" si="954"/>
        <v>1</v>
      </c>
      <c r="P665" s="80">
        <f t="shared" si="954"/>
        <v>1</v>
      </c>
      <c r="Q665" s="80">
        <f t="shared" si="954"/>
        <v>1</v>
      </c>
      <c r="R665" s="80">
        <f t="shared" si="954"/>
        <v>1</v>
      </c>
      <c r="S665" s="80">
        <f t="shared" si="954"/>
        <v>1</v>
      </c>
      <c r="T665" s="80">
        <f t="shared" si="954"/>
        <v>1</v>
      </c>
      <c r="U665" s="80">
        <f t="shared" si="954"/>
        <v>1</v>
      </c>
      <c r="V665" s="80">
        <f t="shared" si="954"/>
        <v>0</v>
      </c>
      <c r="W665" s="80">
        <f t="shared" si="954"/>
        <v>0</v>
      </c>
      <c r="X665" s="80">
        <f t="shared" si="954"/>
        <v>0</v>
      </c>
      <c r="Y665" s="80">
        <f t="shared" si="954"/>
        <v>0</v>
      </c>
    </row>
    <row r="666" ht="16.5" spans="2:25">
      <c r="B666" s="65">
        <v>26</v>
      </c>
      <c r="C666" s="80">
        <f t="shared" si="929"/>
        <v>4186</v>
      </c>
      <c r="D666" s="80">
        <f t="shared" ref="D666:Y666" si="955">IF($C666&gt;D$337,1,0)</f>
        <v>1</v>
      </c>
      <c r="E666" s="80">
        <f t="shared" si="955"/>
        <v>1</v>
      </c>
      <c r="F666" s="80">
        <f t="shared" si="955"/>
        <v>1</v>
      </c>
      <c r="G666" s="80">
        <f t="shared" si="955"/>
        <v>1</v>
      </c>
      <c r="H666" s="80">
        <f t="shared" si="955"/>
        <v>1</v>
      </c>
      <c r="I666" s="80">
        <f t="shared" si="955"/>
        <v>1</v>
      </c>
      <c r="J666" s="80">
        <f t="shared" si="955"/>
        <v>1</v>
      </c>
      <c r="K666" s="80">
        <f t="shared" si="955"/>
        <v>1</v>
      </c>
      <c r="L666" s="80">
        <f t="shared" si="955"/>
        <v>1</v>
      </c>
      <c r="M666" s="80">
        <f t="shared" si="955"/>
        <v>1</v>
      </c>
      <c r="N666" s="80">
        <f t="shared" si="955"/>
        <v>1</v>
      </c>
      <c r="O666" s="80">
        <f t="shared" si="955"/>
        <v>1</v>
      </c>
      <c r="P666" s="80">
        <f t="shared" si="955"/>
        <v>1</v>
      </c>
      <c r="Q666" s="80">
        <f t="shared" si="955"/>
        <v>1</v>
      </c>
      <c r="R666" s="80">
        <f t="shared" si="955"/>
        <v>1</v>
      </c>
      <c r="S666" s="80">
        <f t="shared" si="955"/>
        <v>1</v>
      </c>
      <c r="T666" s="80">
        <f t="shared" si="955"/>
        <v>1</v>
      </c>
      <c r="U666" s="80">
        <f t="shared" si="955"/>
        <v>1</v>
      </c>
      <c r="V666" s="80">
        <f t="shared" si="955"/>
        <v>0</v>
      </c>
      <c r="W666" s="80">
        <f t="shared" si="955"/>
        <v>0</v>
      </c>
      <c r="X666" s="80">
        <f t="shared" si="955"/>
        <v>0</v>
      </c>
      <c r="Y666" s="80">
        <f t="shared" si="955"/>
        <v>0</v>
      </c>
    </row>
    <row r="667" ht="16.5" spans="2:25">
      <c r="B667" s="65">
        <v>27</v>
      </c>
      <c r="C667" s="80">
        <f t="shared" si="929"/>
        <v>4296</v>
      </c>
      <c r="D667" s="80">
        <f t="shared" ref="D667:Y667" si="956">IF($C667&gt;D$337,1,0)</f>
        <v>1</v>
      </c>
      <c r="E667" s="80">
        <f t="shared" si="956"/>
        <v>1</v>
      </c>
      <c r="F667" s="80">
        <f t="shared" si="956"/>
        <v>1</v>
      </c>
      <c r="G667" s="80">
        <f t="shared" si="956"/>
        <v>1</v>
      </c>
      <c r="H667" s="80">
        <f t="shared" si="956"/>
        <v>1</v>
      </c>
      <c r="I667" s="80">
        <f t="shared" si="956"/>
        <v>1</v>
      </c>
      <c r="J667" s="80">
        <f t="shared" si="956"/>
        <v>1</v>
      </c>
      <c r="K667" s="80">
        <f t="shared" si="956"/>
        <v>1</v>
      </c>
      <c r="L667" s="80">
        <f t="shared" si="956"/>
        <v>1</v>
      </c>
      <c r="M667" s="80">
        <f t="shared" si="956"/>
        <v>1</v>
      </c>
      <c r="N667" s="80">
        <f t="shared" si="956"/>
        <v>1</v>
      </c>
      <c r="O667" s="80">
        <f t="shared" si="956"/>
        <v>1</v>
      </c>
      <c r="P667" s="80">
        <f t="shared" si="956"/>
        <v>1</v>
      </c>
      <c r="Q667" s="80">
        <f t="shared" si="956"/>
        <v>1</v>
      </c>
      <c r="R667" s="80">
        <f t="shared" si="956"/>
        <v>1</v>
      </c>
      <c r="S667" s="80">
        <f t="shared" si="956"/>
        <v>1</v>
      </c>
      <c r="T667" s="80">
        <f t="shared" si="956"/>
        <v>1</v>
      </c>
      <c r="U667" s="80">
        <f t="shared" si="956"/>
        <v>1</v>
      </c>
      <c r="V667" s="80">
        <f t="shared" si="956"/>
        <v>1</v>
      </c>
      <c r="W667" s="80">
        <f t="shared" si="956"/>
        <v>0</v>
      </c>
      <c r="X667" s="80">
        <f t="shared" si="956"/>
        <v>0</v>
      </c>
      <c r="Y667" s="80">
        <f t="shared" si="956"/>
        <v>0</v>
      </c>
    </row>
    <row r="668" ht="16.5" spans="2:25">
      <c r="B668" s="65">
        <v>28</v>
      </c>
      <c r="C668" s="80">
        <f t="shared" si="929"/>
        <v>4406</v>
      </c>
      <c r="D668" s="80">
        <f t="shared" ref="D668:Y668" si="957">IF($C668&gt;D$337,1,0)</f>
        <v>1</v>
      </c>
      <c r="E668" s="80">
        <f t="shared" si="957"/>
        <v>1</v>
      </c>
      <c r="F668" s="80">
        <f t="shared" si="957"/>
        <v>1</v>
      </c>
      <c r="G668" s="80">
        <f t="shared" si="957"/>
        <v>1</v>
      </c>
      <c r="H668" s="80">
        <f t="shared" si="957"/>
        <v>1</v>
      </c>
      <c r="I668" s="80">
        <f t="shared" si="957"/>
        <v>1</v>
      </c>
      <c r="J668" s="80">
        <f t="shared" si="957"/>
        <v>1</v>
      </c>
      <c r="K668" s="80">
        <f t="shared" si="957"/>
        <v>1</v>
      </c>
      <c r="L668" s="80">
        <f t="shared" si="957"/>
        <v>1</v>
      </c>
      <c r="M668" s="80">
        <f t="shared" si="957"/>
        <v>1</v>
      </c>
      <c r="N668" s="80">
        <f t="shared" si="957"/>
        <v>1</v>
      </c>
      <c r="O668" s="80">
        <f t="shared" si="957"/>
        <v>1</v>
      </c>
      <c r="P668" s="80">
        <f t="shared" si="957"/>
        <v>1</v>
      </c>
      <c r="Q668" s="80">
        <f t="shared" si="957"/>
        <v>1</v>
      </c>
      <c r="R668" s="80">
        <f t="shared" si="957"/>
        <v>1</v>
      </c>
      <c r="S668" s="80">
        <f t="shared" si="957"/>
        <v>1</v>
      </c>
      <c r="T668" s="80">
        <f t="shared" si="957"/>
        <v>1</v>
      </c>
      <c r="U668" s="80">
        <f t="shared" si="957"/>
        <v>1</v>
      </c>
      <c r="V668" s="80">
        <f t="shared" si="957"/>
        <v>1</v>
      </c>
      <c r="W668" s="80">
        <f t="shared" si="957"/>
        <v>0</v>
      </c>
      <c r="X668" s="80">
        <f t="shared" si="957"/>
        <v>0</v>
      </c>
      <c r="Y668" s="80">
        <f t="shared" si="957"/>
        <v>0</v>
      </c>
    </row>
    <row r="669" ht="16.5" spans="2:25">
      <c r="B669" s="65">
        <v>29</v>
      </c>
      <c r="C669" s="80">
        <f t="shared" si="929"/>
        <v>4516</v>
      </c>
      <c r="D669" s="80">
        <f t="shared" ref="D669:Y669" si="958">IF($C669&gt;D$337,1,0)</f>
        <v>1</v>
      </c>
      <c r="E669" s="80">
        <f t="shared" si="958"/>
        <v>1</v>
      </c>
      <c r="F669" s="80">
        <f t="shared" si="958"/>
        <v>1</v>
      </c>
      <c r="G669" s="80">
        <f t="shared" si="958"/>
        <v>1</v>
      </c>
      <c r="H669" s="80">
        <f t="shared" si="958"/>
        <v>1</v>
      </c>
      <c r="I669" s="80">
        <f t="shared" si="958"/>
        <v>1</v>
      </c>
      <c r="J669" s="80">
        <f t="shared" si="958"/>
        <v>1</v>
      </c>
      <c r="K669" s="80">
        <f t="shared" si="958"/>
        <v>1</v>
      </c>
      <c r="L669" s="80">
        <f t="shared" si="958"/>
        <v>1</v>
      </c>
      <c r="M669" s="80">
        <f t="shared" si="958"/>
        <v>1</v>
      </c>
      <c r="N669" s="80">
        <f t="shared" si="958"/>
        <v>1</v>
      </c>
      <c r="O669" s="80">
        <f t="shared" si="958"/>
        <v>1</v>
      </c>
      <c r="P669" s="80">
        <f t="shared" si="958"/>
        <v>1</v>
      </c>
      <c r="Q669" s="80">
        <f t="shared" si="958"/>
        <v>1</v>
      </c>
      <c r="R669" s="80">
        <f t="shared" si="958"/>
        <v>1</v>
      </c>
      <c r="S669" s="80">
        <f t="shared" si="958"/>
        <v>1</v>
      </c>
      <c r="T669" s="80">
        <f t="shared" si="958"/>
        <v>1</v>
      </c>
      <c r="U669" s="80">
        <f t="shared" si="958"/>
        <v>1</v>
      </c>
      <c r="V669" s="80">
        <f t="shared" si="958"/>
        <v>1</v>
      </c>
      <c r="W669" s="80">
        <f t="shared" si="958"/>
        <v>0</v>
      </c>
      <c r="X669" s="80">
        <f t="shared" si="958"/>
        <v>0</v>
      </c>
      <c r="Y669" s="80">
        <f t="shared" si="958"/>
        <v>0</v>
      </c>
    </row>
    <row r="670" ht="16.5" spans="2:25">
      <c r="B670" s="65">
        <v>30</v>
      </c>
      <c r="C670" s="80">
        <f t="shared" si="929"/>
        <v>4626</v>
      </c>
      <c r="D670" s="80">
        <f t="shared" ref="D670:Y670" si="959">IF($C670&gt;D$337,1,0)</f>
        <v>1</v>
      </c>
      <c r="E670" s="80">
        <f t="shared" si="959"/>
        <v>1</v>
      </c>
      <c r="F670" s="80">
        <f t="shared" si="959"/>
        <v>1</v>
      </c>
      <c r="G670" s="80">
        <f t="shared" si="959"/>
        <v>1</v>
      </c>
      <c r="H670" s="80">
        <f t="shared" si="959"/>
        <v>1</v>
      </c>
      <c r="I670" s="80">
        <f t="shared" si="959"/>
        <v>1</v>
      </c>
      <c r="J670" s="80">
        <f t="shared" si="959"/>
        <v>1</v>
      </c>
      <c r="K670" s="80">
        <f t="shared" si="959"/>
        <v>1</v>
      </c>
      <c r="L670" s="80">
        <f t="shared" si="959"/>
        <v>1</v>
      </c>
      <c r="M670" s="80">
        <f t="shared" si="959"/>
        <v>1</v>
      </c>
      <c r="N670" s="80">
        <f t="shared" si="959"/>
        <v>1</v>
      </c>
      <c r="O670" s="80">
        <f t="shared" si="959"/>
        <v>1</v>
      </c>
      <c r="P670" s="80">
        <f t="shared" si="959"/>
        <v>1</v>
      </c>
      <c r="Q670" s="80">
        <f t="shared" si="959"/>
        <v>1</v>
      </c>
      <c r="R670" s="80">
        <f t="shared" si="959"/>
        <v>1</v>
      </c>
      <c r="S670" s="80">
        <f t="shared" si="959"/>
        <v>1</v>
      </c>
      <c r="T670" s="80">
        <f t="shared" si="959"/>
        <v>1</v>
      </c>
      <c r="U670" s="80">
        <f t="shared" si="959"/>
        <v>1</v>
      </c>
      <c r="V670" s="80">
        <f t="shared" si="959"/>
        <v>1</v>
      </c>
      <c r="W670" s="80">
        <f t="shared" si="959"/>
        <v>0</v>
      </c>
      <c r="X670" s="80">
        <f t="shared" si="959"/>
        <v>0</v>
      </c>
      <c r="Y670" s="80">
        <f t="shared" si="959"/>
        <v>0</v>
      </c>
    </row>
    <row r="671" ht="16.5" spans="2:25">
      <c r="B671" s="65">
        <v>31</v>
      </c>
      <c r="C671" s="80">
        <f t="shared" si="929"/>
        <v>4736</v>
      </c>
      <c r="D671" s="80">
        <f t="shared" ref="D671:Y671" si="960">IF($C671&gt;D$337,1,0)</f>
        <v>1</v>
      </c>
      <c r="E671" s="80">
        <f t="shared" si="960"/>
        <v>1</v>
      </c>
      <c r="F671" s="80">
        <f t="shared" si="960"/>
        <v>1</v>
      </c>
      <c r="G671" s="80">
        <f t="shared" si="960"/>
        <v>1</v>
      </c>
      <c r="H671" s="80">
        <f t="shared" si="960"/>
        <v>1</v>
      </c>
      <c r="I671" s="80">
        <f t="shared" si="960"/>
        <v>1</v>
      </c>
      <c r="J671" s="80">
        <f t="shared" si="960"/>
        <v>1</v>
      </c>
      <c r="K671" s="80">
        <f t="shared" si="960"/>
        <v>1</v>
      </c>
      <c r="L671" s="80">
        <f t="shared" si="960"/>
        <v>1</v>
      </c>
      <c r="M671" s="80">
        <f t="shared" si="960"/>
        <v>1</v>
      </c>
      <c r="N671" s="80">
        <f t="shared" si="960"/>
        <v>1</v>
      </c>
      <c r="O671" s="80">
        <f t="shared" si="960"/>
        <v>1</v>
      </c>
      <c r="P671" s="80">
        <f t="shared" si="960"/>
        <v>1</v>
      </c>
      <c r="Q671" s="80">
        <f t="shared" si="960"/>
        <v>1</v>
      </c>
      <c r="R671" s="80">
        <f t="shared" si="960"/>
        <v>1</v>
      </c>
      <c r="S671" s="80">
        <f t="shared" si="960"/>
        <v>1</v>
      </c>
      <c r="T671" s="80">
        <f t="shared" si="960"/>
        <v>1</v>
      </c>
      <c r="U671" s="80">
        <f t="shared" si="960"/>
        <v>1</v>
      </c>
      <c r="V671" s="80">
        <f t="shared" si="960"/>
        <v>1</v>
      </c>
      <c r="W671" s="80">
        <f t="shared" si="960"/>
        <v>0</v>
      </c>
      <c r="X671" s="80">
        <f t="shared" si="960"/>
        <v>0</v>
      </c>
      <c r="Y671" s="80">
        <f t="shared" si="960"/>
        <v>0</v>
      </c>
    </row>
    <row r="672" ht="16.5" spans="2:25">
      <c r="B672" s="65">
        <v>32</v>
      </c>
      <c r="C672" s="80">
        <f t="shared" si="929"/>
        <v>4846</v>
      </c>
      <c r="D672" s="80">
        <f t="shared" ref="D672:Y672" si="961">IF($C672&gt;D$337,1,0)</f>
        <v>1</v>
      </c>
      <c r="E672" s="80">
        <f t="shared" si="961"/>
        <v>1</v>
      </c>
      <c r="F672" s="80">
        <f t="shared" si="961"/>
        <v>1</v>
      </c>
      <c r="G672" s="80">
        <f t="shared" si="961"/>
        <v>1</v>
      </c>
      <c r="H672" s="80">
        <f t="shared" si="961"/>
        <v>1</v>
      </c>
      <c r="I672" s="80">
        <f t="shared" si="961"/>
        <v>1</v>
      </c>
      <c r="J672" s="80">
        <f t="shared" si="961"/>
        <v>1</v>
      </c>
      <c r="K672" s="80">
        <f t="shared" si="961"/>
        <v>1</v>
      </c>
      <c r="L672" s="80">
        <f t="shared" si="961"/>
        <v>1</v>
      </c>
      <c r="M672" s="80">
        <f t="shared" si="961"/>
        <v>1</v>
      </c>
      <c r="N672" s="80">
        <f t="shared" si="961"/>
        <v>1</v>
      </c>
      <c r="O672" s="80">
        <f t="shared" si="961"/>
        <v>1</v>
      </c>
      <c r="P672" s="80">
        <f t="shared" si="961"/>
        <v>1</v>
      </c>
      <c r="Q672" s="80">
        <f t="shared" si="961"/>
        <v>1</v>
      </c>
      <c r="R672" s="80">
        <f t="shared" si="961"/>
        <v>1</v>
      </c>
      <c r="S672" s="80">
        <f t="shared" si="961"/>
        <v>1</v>
      </c>
      <c r="T672" s="80">
        <f t="shared" si="961"/>
        <v>1</v>
      </c>
      <c r="U672" s="80">
        <f t="shared" si="961"/>
        <v>1</v>
      </c>
      <c r="V672" s="80">
        <f t="shared" si="961"/>
        <v>1</v>
      </c>
      <c r="W672" s="80">
        <f t="shared" si="961"/>
        <v>0</v>
      </c>
      <c r="X672" s="80">
        <f t="shared" si="961"/>
        <v>0</v>
      </c>
      <c r="Y672" s="80">
        <f t="shared" si="961"/>
        <v>0</v>
      </c>
    </row>
    <row r="673" ht="16.5" spans="2:25">
      <c r="B673" s="65">
        <v>33</v>
      </c>
      <c r="C673" s="80">
        <f t="shared" si="929"/>
        <v>4956</v>
      </c>
      <c r="D673" s="80">
        <f t="shared" ref="D673:Y673" si="962">IF($C673&gt;D$337,1,0)</f>
        <v>1</v>
      </c>
      <c r="E673" s="80">
        <f t="shared" si="962"/>
        <v>1</v>
      </c>
      <c r="F673" s="80">
        <f t="shared" si="962"/>
        <v>1</v>
      </c>
      <c r="G673" s="80">
        <f t="shared" si="962"/>
        <v>1</v>
      </c>
      <c r="H673" s="80">
        <f t="shared" si="962"/>
        <v>1</v>
      </c>
      <c r="I673" s="80">
        <f t="shared" si="962"/>
        <v>1</v>
      </c>
      <c r="J673" s="80">
        <f t="shared" si="962"/>
        <v>1</v>
      </c>
      <c r="K673" s="80">
        <f t="shared" si="962"/>
        <v>1</v>
      </c>
      <c r="L673" s="80">
        <f t="shared" si="962"/>
        <v>1</v>
      </c>
      <c r="M673" s="80">
        <f t="shared" si="962"/>
        <v>1</v>
      </c>
      <c r="N673" s="80">
        <f t="shared" si="962"/>
        <v>1</v>
      </c>
      <c r="O673" s="80">
        <f t="shared" si="962"/>
        <v>1</v>
      </c>
      <c r="P673" s="80">
        <f t="shared" si="962"/>
        <v>1</v>
      </c>
      <c r="Q673" s="80">
        <f t="shared" si="962"/>
        <v>1</v>
      </c>
      <c r="R673" s="80">
        <f t="shared" si="962"/>
        <v>1</v>
      </c>
      <c r="S673" s="80">
        <f t="shared" si="962"/>
        <v>1</v>
      </c>
      <c r="T673" s="80">
        <f t="shared" si="962"/>
        <v>1</v>
      </c>
      <c r="U673" s="80">
        <f t="shared" si="962"/>
        <v>1</v>
      </c>
      <c r="V673" s="80">
        <f t="shared" si="962"/>
        <v>1</v>
      </c>
      <c r="W673" s="80">
        <f t="shared" si="962"/>
        <v>0</v>
      </c>
      <c r="X673" s="80">
        <f t="shared" si="962"/>
        <v>0</v>
      </c>
      <c r="Y673" s="80">
        <f t="shared" si="962"/>
        <v>0</v>
      </c>
    </row>
    <row r="674" ht="16.5" spans="2:25">
      <c r="B674" s="65">
        <v>34</v>
      </c>
      <c r="C674" s="80">
        <f t="shared" si="929"/>
        <v>5066</v>
      </c>
      <c r="D674" s="80">
        <f t="shared" ref="D674:Y674" si="963">IF($C674&gt;D$337,1,0)</f>
        <v>1</v>
      </c>
      <c r="E674" s="80">
        <f t="shared" si="963"/>
        <v>1</v>
      </c>
      <c r="F674" s="80">
        <f t="shared" si="963"/>
        <v>1</v>
      </c>
      <c r="G674" s="80">
        <f t="shared" si="963"/>
        <v>1</v>
      </c>
      <c r="H674" s="80">
        <f t="shared" si="963"/>
        <v>1</v>
      </c>
      <c r="I674" s="80">
        <f t="shared" si="963"/>
        <v>1</v>
      </c>
      <c r="J674" s="80">
        <f t="shared" si="963"/>
        <v>1</v>
      </c>
      <c r="K674" s="80">
        <f t="shared" si="963"/>
        <v>1</v>
      </c>
      <c r="L674" s="80">
        <f t="shared" si="963"/>
        <v>1</v>
      </c>
      <c r="M674" s="80">
        <f t="shared" si="963"/>
        <v>1</v>
      </c>
      <c r="N674" s="80">
        <f t="shared" si="963"/>
        <v>1</v>
      </c>
      <c r="O674" s="80">
        <f t="shared" si="963"/>
        <v>1</v>
      </c>
      <c r="P674" s="80">
        <f t="shared" si="963"/>
        <v>1</v>
      </c>
      <c r="Q674" s="80">
        <f t="shared" si="963"/>
        <v>1</v>
      </c>
      <c r="R674" s="80">
        <f t="shared" si="963"/>
        <v>1</v>
      </c>
      <c r="S674" s="80">
        <f t="shared" si="963"/>
        <v>1</v>
      </c>
      <c r="T674" s="80">
        <f t="shared" si="963"/>
        <v>1</v>
      </c>
      <c r="U674" s="80">
        <f t="shared" si="963"/>
        <v>1</v>
      </c>
      <c r="V674" s="80">
        <f t="shared" si="963"/>
        <v>1</v>
      </c>
      <c r="W674" s="80">
        <f t="shared" si="963"/>
        <v>0</v>
      </c>
      <c r="X674" s="80">
        <f t="shared" si="963"/>
        <v>0</v>
      </c>
      <c r="Y674" s="80">
        <f t="shared" si="963"/>
        <v>0</v>
      </c>
    </row>
    <row r="675" ht="16.5" spans="2:25">
      <c r="B675" s="65">
        <v>35</v>
      </c>
      <c r="C675" s="80">
        <f t="shared" si="929"/>
        <v>5176</v>
      </c>
      <c r="D675" s="80">
        <f t="shared" ref="D675:Y675" si="964">IF($C675&gt;D$337,1,0)</f>
        <v>1</v>
      </c>
      <c r="E675" s="80">
        <f t="shared" si="964"/>
        <v>1</v>
      </c>
      <c r="F675" s="80">
        <f t="shared" si="964"/>
        <v>1</v>
      </c>
      <c r="G675" s="80">
        <f t="shared" si="964"/>
        <v>1</v>
      </c>
      <c r="H675" s="80">
        <f t="shared" si="964"/>
        <v>1</v>
      </c>
      <c r="I675" s="80">
        <f t="shared" si="964"/>
        <v>1</v>
      </c>
      <c r="J675" s="80">
        <f t="shared" si="964"/>
        <v>1</v>
      </c>
      <c r="K675" s="80">
        <f t="shared" si="964"/>
        <v>1</v>
      </c>
      <c r="L675" s="80">
        <f t="shared" si="964"/>
        <v>1</v>
      </c>
      <c r="M675" s="80">
        <f t="shared" si="964"/>
        <v>1</v>
      </c>
      <c r="N675" s="80">
        <f t="shared" si="964"/>
        <v>1</v>
      </c>
      <c r="O675" s="80">
        <f t="shared" si="964"/>
        <v>1</v>
      </c>
      <c r="P675" s="80">
        <f t="shared" si="964"/>
        <v>1</v>
      </c>
      <c r="Q675" s="80">
        <f t="shared" si="964"/>
        <v>1</v>
      </c>
      <c r="R675" s="80">
        <f t="shared" si="964"/>
        <v>1</v>
      </c>
      <c r="S675" s="80">
        <f t="shared" si="964"/>
        <v>1</v>
      </c>
      <c r="T675" s="80">
        <f t="shared" si="964"/>
        <v>1</v>
      </c>
      <c r="U675" s="80">
        <f t="shared" si="964"/>
        <v>1</v>
      </c>
      <c r="V675" s="80">
        <f t="shared" si="964"/>
        <v>1</v>
      </c>
      <c r="W675" s="80">
        <f t="shared" si="964"/>
        <v>0</v>
      </c>
      <c r="X675" s="80">
        <f t="shared" si="964"/>
        <v>0</v>
      </c>
      <c r="Y675" s="80">
        <f t="shared" si="964"/>
        <v>0</v>
      </c>
    </row>
    <row r="676" ht="16.5" spans="2:25">
      <c r="B676" s="65">
        <v>36</v>
      </c>
      <c r="C676" s="80">
        <f t="shared" si="929"/>
        <v>5286</v>
      </c>
      <c r="D676" s="80">
        <f t="shared" ref="D676:Y676" si="965">IF($C676&gt;D$337,1,0)</f>
        <v>1</v>
      </c>
      <c r="E676" s="80">
        <f t="shared" si="965"/>
        <v>1</v>
      </c>
      <c r="F676" s="80">
        <f t="shared" si="965"/>
        <v>1</v>
      </c>
      <c r="G676" s="80">
        <f t="shared" si="965"/>
        <v>1</v>
      </c>
      <c r="H676" s="80">
        <f t="shared" si="965"/>
        <v>1</v>
      </c>
      <c r="I676" s="80">
        <f t="shared" si="965"/>
        <v>1</v>
      </c>
      <c r="J676" s="80">
        <f t="shared" si="965"/>
        <v>1</v>
      </c>
      <c r="K676" s="80">
        <f t="shared" si="965"/>
        <v>1</v>
      </c>
      <c r="L676" s="80">
        <f t="shared" si="965"/>
        <v>1</v>
      </c>
      <c r="M676" s="80">
        <f t="shared" si="965"/>
        <v>1</v>
      </c>
      <c r="N676" s="80">
        <f t="shared" si="965"/>
        <v>1</v>
      </c>
      <c r="O676" s="80">
        <f t="shared" si="965"/>
        <v>1</v>
      </c>
      <c r="P676" s="80">
        <f t="shared" si="965"/>
        <v>1</v>
      </c>
      <c r="Q676" s="80">
        <f t="shared" si="965"/>
        <v>1</v>
      </c>
      <c r="R676" s="80">
        <f t="shared" si="965"/>
        <v>1</v>
      </c>
      <c r="S676" s="80">
        <f t="shared" si="965"/>
        <v>1</v>
      </c>
      <c r="T676" s="80">
        <f t="shared" si="965"/>
        <v>1</v>
      </c>
      <c r="U676" s="80">
        <f t="shared" si="965"/>
        <v>1</v>
      </c>
      <c r="V676" s="80">
        <f t="shared" si="965"/>
        <v>1</v>
      </c>
      <c r="W676" s="80">
        <f t="shared" si="965"/>
        <v>0</v>
      </c>
      <c r="X676" s="80">
        <f t="shared" si="965"/>
        <v>0</v>
      </c>
      <c r="Y676" s="80">
        <f t="shared" si="965"/>
        <v>0</v>
      </c>
    </row>
    <row r="677" ht="16.5" spans="2:25">
      <c r="B677" s="65">
        <v>37</v>
      </c>
      <c r="C677" s="80">
        <f t="shared" si="929"/>
        <v>5396</v>
      </c>
      <c r="D677" s="80">
        <f t="shared" ref="D677:Y677" si="966">IF($C677&gt;D$337,1,0)</f>
        <v>1</v>
      </c>
      <c r="E677" s="80">
        <f t="shared" si="966"/>
        <v>1</v>
      </c>
      <c r="F677" s="80">
        <f t="shared" si="966"/>
        <v>1</v>
      </c>
      <c r="G677" s="80">
        <f t="shared" si="966"/>
        <v>1</v>
      </c>
      <c r="H677" s="80">
        <f t="shared" si="966"/>
        <v>1</v>
      </c>
      <c r="I677" s="80">
        <f t="shared" si="966"/>
        <v>1</v>
      </c>
      <c r="J677" s="80">
        <f t="shared" si="966"/>
        <v>1</v>
      </c>
      <c r="K677" s="80">
        <f t="shared" si="966"/>
        <v>1</v>
      </c>
      <c r="L677" s="80">
        <f t="shared" si="966"/>
        <v>1</v>
      </c>
      <c r="M677" s="80">
        <f t="shared" si="966"/>
        <v>1</v>
      </c>
      <c r="N677" s="80">
        <f t="shared" si="966"/>
        <v>1</v>
      </c>
      <c r="O677" s="80">
        <f t="shared" si="966"/>
        <v>1</v>
      </c>
      <c r="P677" s="80">
        <f t="shared" si="966"/>
        <v>1</v>
      </c>
      <c r="Q677" s="80">
        <f t="shared" si="966"/>
        <v>1</v>
      </c>
      <c r="R677" s="80">
        <f t="shared" si="966"/>
        <v>1</v>
      </c>
      <c r="S677" s="80">
        <f t="shared" si="966"/>
        <v>1</v>
      </c>
      <c r="T677" s="80">
        <f t="shared" si="966"/>
        <v>1</v>
      </c>
      <c r="U677" s="80">
        <f t="shared" si="966"/>
        <v>1</v>
      </c>
      <c r="V677" s="80">
        <f t="shared" si="966"/>
        <v>1</v>
      </c>
      <c r="W677" s="80">
        <f t="shared" si="966"/>
        <v>0</v>
      </c>
      <c r="X677" s="80">
        <f t="shared" si="966"/>
        <v>0</v>
      </c>
      <c r="Y677" s="80">
        <f t="shared" si="966"/>
        <v>0</v>
      </c>
    </row>
    <row r="678" ht="16.5" spans="2:25">
      <c r="B678" s="65">
        <v>38</v>
      </c>
      <c r="C678" s="80">
        <f t="shared" si="929"/>
        <v>5506</v>
      </c>
      <c r="D678" s="80">
        <f t="shared" ref="D678:Y678" si="967">IF($C678&gt;D$337,1,0)</f>
        <v>1</v>
      </c>
      <c r="E678" s="80">
        <f t="shared" si="967"/>
        <v>1</v>
      </c>
      <c r="F678" s="80">
        <f t="shared" si="967"/>
        <v>1</v>
      </c>
      <c r="G678" s="80">
        <f t="shared" si="967"/>
        <v>1</v>
      </c>
      <c r="H678" s="80">
        <f t="shared" si="967"/>
        <v>1</v>
      </c>
      <c r="I678" s="80">
        <f t="shared" si="967"/>
        <v>1</v>
      </c>
      <c r="J678" s="80">
        <f t="shared" si="967"/>
        <v>1</v>
      </c>
      <c r="K678" s="80">
        <f t="shared" si="967"/>
        <v>1</v>
      </c>
      <c r="L678" s="80">
        <f t="shared" si="967"/>
        <v>1</v>
      </c>
      <c r="M678" s="80">
        <f t="shared" si="967"/>
        <v>1</v>
      </c>
      <c r="N678" s="80">
        <f t="shared" si="967"/>
        <v>1</v>
      </c>
      <c r="O678" s="80">
        <f t="shared" si="967"/>
        <v>1</v>
      </c>
      <c r="P678" s="80">
        <f t="shared" si="967"/>
        <v>1</v>
      </c>
      <c r="Q678" s="80">
        <f t="shared" si="967"/>
        <v>1</v>
      </c>
      <c r="R678" s="80">
        <f t="shared" si="967"/>
        <v>1</v>
      </c>
      <c r="S678" s="80">
        <f t="shared" si="967"/>
        <v>1</v>
      </c>
      <c r="T678" s="80">
        <f t="shared" si="967"/>
        <v>1</v>
      </c>
      <c r="U678" s="80">
        <f t="shared" si="967"/>
        <v>1</v>
      </c>
      <c r="V678" s="80">
        <f t="shared" si="967"/>
        <v>1</v>
      </c>
      <c r="W678" s="80">
        <f t="shared" si="967"/>
        <v>0</v>
      </c>
      <c r="X678" s="80">
        <f t="shared" si="967"/>
        <v>0</v>
      </c>
      <c r="Y678" s="80">
        <f t="shared" si="967"/>
        <v>0</v>
      </c>
    </row>
    <row r="679" ht="16.5" spans="2:25">
      <c r="B679" s="65">
        <v>39</v>
      </c>
      <c r="C679" s="80">
        <f t="shared" si="929"/>
        <v>5616</v>
      </c>
      <c r="D679" s="80">
        <f t="shared" ref="D679:Y679" si="968">IF($C679&gt;D$337,1,0)</f>
        <v>1</v>
      </c>
      <c r="E679" s="80">
        <f t="shared" si="968"/>
        <v>1</v>
      </c>
      <c r="F679" s="80">
        <f t="shared" si="968"/>
        <v>1</v>
      </c>
      <c r="G679" s="80">
        <f t="shared" si="968"/>
        <v>1</v>
      </c>
      <c r="H679" s="80">
        <f t="shared" si="968"/>
        <v>1</v>
      </c>
      <c r="I679" s="80">
        <f t="shared" si="968"/>
        <v>1</v>
      </c>
      <c r="J679" s="80">
        <f t="shared" si="968"/>
        <v>1</v>
      </c>
      <c r="K679" s="80">
        <f t="shared" si="968"/>
        <v>1</v>
      </c>
      <c r="L679" s="80">
        <f t="shared" si="968"/>
        <v>1</v>
      </c>
      <c r="M679" s="80">
        <f t="shared" si="968"/>
        <v>1</v>
      </c>
      <c r="N679" s="80">
        <f t="shared" si="968"/>
        <v>1</v>
      </c>
      <c r="O679" s="80">
        <f t="shared" si="968"/>
        <v>1</v>
      </c>
      <c r="P679" s="80">
        <f t="shared" si="968"/>
        <v>1</v>
      </c>
      <c r="Q679" s="80">
        <f t="shared" si="968"/>
        <v>1</v>
      </c>
      <c r="R679" s="80">
        <f t="shared" si="968"/>
        <v>1</v>
      </c>
      <c r="S679" s="80">
        <f t="shared" si="968"/>
        <v>1</v>
      </c>
      <c r="T679" s="80">
        <f t="shared" si="968"/>
        <v>1</v>
      </c>
      <c r="U679" s="80">
        <f t="shared" si="968"/>
        <v>1</v>
      </c>
      <c r="V679" s="80">
        <f t="shared" si="968"/>
        <v>1</v>
      </c>
      <c r="W679" s="80">
        <f t="shared" si="968"/>
        <v>0</v>
      </c>
      <c r="X679" s="80">
        <f t="shared" si="968"/>
        <v>0</v>
      </c>
      <c r="Y679" s="80">
        <f t="shared" si="968"/>
        <v>0</v>
      </c>
    </row>
    <row r="680" ht="16.5" spans="2:25">
      <c r="B680" s="65">
        <v>40</v>
      </c>
      <c r="C680" s="80">
        <f t="shared" si="929"/>
        <v>5726</v>
      </c>
      <c r="D680" s="80">
        <f t="shared" ref="D680:Y680" si="969">IF($C680&gt;D$337,1,0)</f>
        <v>1</v>
      </c>
      <c r="E680" s="80">
        <f t="shared" si="969"/>
        <v>1</v>
      </c>
      <c r="F680" s="80">
        <f t="shared" si="969"/>
        <v>1</v>
      </c>
      <c r="G680" s="80">
        <f t="shared" si="969"/>
        <v>1</v>
      </c>
      <c r="H680" s="80">
        <f t="shared" si="969"/>
        <v>1</v>
      </c>
      <c r="I680" s="80">
        <f t="shared" si="969"/>
        <v>1</v>
      </c>
      <c r="J680" s="80">
        <f t="shared" si="969"/>
        <v>1</v>
      </c>
      <c r="K680" s="80">
        <f t="shared" si="969"/>
        <v>1</v>
      </c>
      <c r="L680" s="80">
        <f t="shared" si="969"/>
        <v>1</v>
      </c>
      <c r="M680" s="80">
        <f t="shared" si="969"/>
        <v>1</v>
      </c>
      <c r="N680" s="80">
        <f t="shared" si="969"/>
        <v>1</v>
      </c>
      <c r="O680" s="80">
        <f t="shared" si="969"/>
        <v>1</v>
      </c>
      <c r="P680" s="80">
        <f t="shared" si="969"/>
        <v>1</v>
      </c>
      <c r="Q680" s="80">
        <f t="shared" si="969"/>
        <v>1</v>
      </c>
      <c r="R680" s="80">
        <f t="shared" si="969"/>
        <v>1</v>
      </c>
      <c r="S680" s="80">
        <f t="shared" si="969"/>
        <v>1</v>
      </c>
      <c r="T680" s="80">
        <f t="shared" si="969"/>
        <v>1</v>
      </c>
      <c r="U680" s="80">
        <f t="shared" si="969"/>
        <v>1</v>
      </c>
      <c r="V680" s="80">
        <f t="shared" si="969"/>
        <v>1</v>
      </c>
      <c r="W680" s="80">
        <f t="shared" si="969"/>
        <v>0</v>
      </c>
      <c r="X680" s="80">
        <f t="shared" si="969"/>
        <v>0</v>
      </c>
      <c r="Y680" s="80">
        <f t="shared" si="969"/>
        <v>0</v>
      </c>
    </row>
    <row r="681" ht="16.5" spans="2:25">
      <c r="B681" s="65">
        <v>41</v>
      </c>
      <c r="C681" s="80">
        <f t="shared" si="929"/>
        <v>5836</v>
      </c>
      <c r="D681" s="80">
        <f t="shared" ref="D681:Y681" si="970">IF($C681&gt;D$337,1,0)</f>
        <v>1</v>
      </c>
      <c r="E681" s="80">
        <f t="shared" si="970"/>
        <v>1</v>
      </c>
      <c r="F681" s="80">
        <f t="shared" si="970"/>
        <v>1</v>
      </c>
      <c r="G681" s="80">
        <f t="shared" si="970"/>
        <v>1</v>
      </c>
      <c r="H681" s="80">
        <f t="shared" si="970"/>
        <v>1</v>
      </c>
      <c r="I681" s="80">
        <f t="shared" si="970"/>
        <v>1</v>
      </c>
      <c r="J681" s="80">
        <f t="shared" si="970"/>
        <v>1</v>
      </c>
      <c r="K681" s="80">
        <f t="shared" si="970"/>
        <v>1</v>
      </c>
      <c r="L681" s="80">
        <f t="shared" si="970"/>
        <v>1</v>
      </c>
      <c r="M681" s="80">
        <f t="shared" si="970"/>
        <v>1</v>
      </c>
      <c r="N681" s="80">
        <f t="shared" si="970"/>
        <v>1</v>
      </c>
      <c r="O681" s="80">
        <f t="shared" si="970"/>
        <v>1</v>
      </c>
      <c r="P681" s="80">
        <f t="shared" si="970"/>
        <v>1</v>
      </c>
      <c r="Q681" s="80">
        <f t="shared" si="970"/>
        <v>1</v>
      </c>
      <c r="R681" s="80">
        <f t="shared" si="970"/>
        <v>1</v>
      </c>
      <c r="S681" s="80">
        <f t="shared" si="970"/>
        <v>1</v>
      </c>
      <c r="T681" s="80">
        <f t="shared" si="970"/>
        <v>1</v>
      </c>
      <c r="U681" s="80">
        <f t="shared" si="970"/>
        <v>1</v>
      </c>
      <c r="V681" s="80">
        <f t="shared" si="970"/>
        <v>1</v>
      </c>
      <c r="W681" s="80">
        <f t="shared" si="970"/>
        <v>0</v>
      </c>
      <c r="X681" s="80">
        <f t="shared" si="970"/>
        <v>0</v>
      </c>
      <c r="Y681" s="80">
        <f t="shared" si="970"/>
        <v>0</v>
      </c>
    </row>
    <row r="682" ht="16.5" spans="2:25">
      <c r="B682" s="65">
        <v>42</v>
      </c>
      <c r="C682" s="80">
        <f t="shared" si="929"/>
        <v>5946</v>
      </c>
      <c r="D682" s="80">
        <f t="shared" ref="D682:Y682" si="971">IF($C682&gt;D$337,1,0)</f>
        <v>1</v>
      </c>
      <c r="E682" s="80">
        <f t="shared" si="971"/>
        <v>1</v>
      </c>
      <c r="F682" s="80">
        <f t="shared" si="971"/>
        <v>1</v>
      </c>
      <c r="G682" s="80">
        <f t="shared" si="971"/>
        <v>1</v>
      </c>
      <c r="H682" s="80">
        <f t="shared" si="971"/>
        <v>1</v>
      </c>
      <c r="I682" s="80">
        <f t="shared" si="971"/>
        <v>1</v>
      </c>
      <c r="J682" s="80">
        <f t="shared" si="971"/>
        <v>1</v>
      </c>
      <c r="K682" s="80">
        <f t="shared" si="971"/>
        <v>1</v>
      </c>
      <c r="L682" s="80">
        <f t="shared" si="971"/>
        <v>1</v>
      </c>
      <c r="M682" s="80">
        <f t="shared" si="971"/>
        <v>1</v>
      </c>
      <c r="N682" s="80">
        <f t="shared" si="971"/>
        <v>1</v>
      </c>
      <c r="O682" s="80">
        <f t="shared" si="971"/>
        <v>1</v>
      </c>
      <c r="P682" s="80">
        <f t="shared" si="971"/>
        <v>1</v>
      </c>
      <c r="Q682" s="80">
        <f t="shared" si="971"/>
        <v>1</v>
      </c>
      <c r="R682" s="80">
        <f t="shared" si="971"/>
        <v>1</v>
      </c>
      <c r="S682" s="80">
        <f t="shared" si="971"/>
        <v>1</v>
      </c>
      <c r="T682" s="80">
        <f t="shared" si="971"/>
        <v>1</v>
      </c>
      <c r="U682" s="80">
        <f t="shared" si="971"/>
        <v>1</v>
      </c>
      <c r="V682" s="80">
        <f t="shared" si="971"/>
        <v>1</v>
      </c>
      <c r="W682" s="80">
        <f t="shared" si="971"/>
        <v>0</v>
      </c>
      <c r="X682" s="80">
        <f t="shared" si="971"/>
        <v>0</v>
      </c>
      <c r="Y682" s="80">
        <f t="shared" si="971"/>
        <v>0</v>
      </c>
    </row>
    <row r="683" ht="16.5" spans="2:25">
      <c r="B683" s="65">
        <v>43</v>
      </c>
      <c r="C683" s="80">
        <f t="shared" si="929"/>
        <v>6056</v>
      </c>
      <c r="D683" s="80">
        <f t="shared" ref="D683:Y683" si="972">IF($C683&gt;D$337,1,0)</f>
        <v>1</v>
      </c>
      <c r="E683" s="80">
        <f t="shared" si="972"/>
        <v>1</v>
      </c>
      <c r="F683" s="80">
        <f t="shared" si="972"/>
        <v>1</v>
      </c>
      <c r="G683" s="80">
        <f t="shared" si="972"/>
        <v>1</v>
      </c>
      <c r="H683" s="80">
        <f t="shared" si="972"/>
        <v>1</v>
      </c>
      <c r="I683" s="80">
        <f t="shared" si="972"/>
        <v>1</v>
      </c>
      <c r="J683" s="80">
        <f t="shared" si="972"/>
        <v>1</v>
      </c>
      <c r="K683" s="80">
        <f t="shared" si="972"/>
        <v>1</v>
      </c>
      <c r="L683" s="80">
        <f t="shared" si="972"/>
        <v>1</v>
      </c>
      <c r="M683" s="80">
        <f t="shared" si="972"/>
        <v>1</v>
      </c>
      <c r="N683" s="80">
        <f t="shared" si="972"/>
        <v>1</v>
      </c>
      <c r="O683" s="80">
        <f t="shared" si="972"/>
        <v>1</v>
      </c>
      <c r="P683" s="80">
        <f t="shared" si="972"/>
        <v>1</v>
      </c>
      <c r="Q683" s="80">
        <f t="shared" si="972"/>
        <v>1</v>
      </c>
      <c r="R683" s="80">
        <f t="shared" si="972"/>
        <v>1</v>
      </c>
      <c r="S683" s="80">
        <f t="shared" si="972"/>
        <v>1</v>
      </c>
      <c r="T683" s="80">
        <f t="shared" si="972"/>
        <v>1</v>
      </c>
      <c r="U683" s="80">
        <f t="shared" si="972"/>
        <v>1</v>
      </c>
      <c r="V683" s="80">
        <f t="shared" si="972"/>
        <v>1</v>
      </c>
      <c r="W683" s="80">
        <f t="shared" si="972"/>
        <v>1</v>
      </c>
      <c r="X683" s="80">
        <f t="shared" si="972"/>
        <v>0</v>
      </c>
      <c r="Y683" s="80">
        <f t="shared" si="972"/>
        <v>0</v>
      </c>
    </row>
    <row r="684" ht="16.5" spans="2:25">
      <c r="B684" s="65">
        <v>44</v>
      </c>
      <c r="C684" s="80">
        <f t="shared" si="929"/>
        <v>6166</v>
      </c>
      <c r="D684" s="80">
        <f t="shared" ref="D684:Y684" si="973">IF($C684&gt;D$337,1,0)</f>
        <v>1</v>
      </c>
      <c r="E684" s="80">
        <f t="shared" si="973"/>
        <v>1</v>
      </c>
      <c r="F684" s="80">
        <f t="shared" si="973"/>
        <v>1</v>
      </c>
      <c r="G684" s="80">
        <f t="shared" si="973"/>
        <v>1</v>
      </c>
      <c r="H684" s="80">
        <f t="shared" si="973"/>
        <v>1</v>
      </c>
      <c r="I684" s="80">
        <f t="shared" si="973"/>
        <v>1</v>
      </c>
      <c r="J684" s="80">
        <f t="shared" si="973"/>
        <v>1</v>
      </c>
      <c r="K684" s="80">
        <f t="shared" si="973"/>
        <v>1</v>
      </c>
      <c r="L684" s="80">
        <f t="shared" si="973"/>
        <v>1</v>
      </c>
      <c r="M684" s="80">
        <f t="shared" si="973"/>
        <v>1</v>
      </c>
      <c r="N684" s="80">
        <f t="shared" si="973"/>
        <v>1</v>
      </c>
      <c r="O684" s="80">
        <f t="shared" si="973"/>
        <v>1</v>
      </c>
      <c r="P684" s="80">
        <f t="shared" si="973"/>
        <v>1</v>
      </c>
      <c r="Q684" s="80">
        <f t="shared" si="973"/>
        <v>1</v>
      </c>
      <c r="R684" s="80">
        <f t="shared" si="973"/>
        <v>1</v>
      </c>
      <c r="S684" s="80">
        <f t="shared" si="973"/>
        <v>1</v>
      </c>
      <c r="T684" s="80">
        <f t="shared" si="973"/>
        <v>1</v>
      </c>
      <c r="U684" s="80">
        <f t="shared" si="973"/>
        <v>1</v>
      </c>
      <c r="V684" s="80">
        <f t="shared" si="973"/>
        <v>1</v>
      </c>
      <c r="W684" s="80">
        <f t="shared" si="973"/>
        <v>1</v>
      </c>
      <c r="X684" s="80">
        <f t="shared" si="973"/>
        <v>0</v>
      </c>
      <c r="Y684" s="80">
        <f t="shared" si="973"/>
        <v>0</v>
      </c>
    </row>
    <row r="685" ht="16.5" spans="2:25">
      <c r="B685" s="65">
        <v>45</v>
      </c>
      <c r="C685" s="80">
        <f t="shared" si="929"/>
        <v>6276</v>
      </c>
      <c r="D685" s="80">
        <f t="shared" ref="D685:Y685" si="974">IF($C685&gt;D$337,1,0)</f>
        <v>1</v>
      </c>
      <c r="E685" s="80">
        <f t="shared" si="974"/>
        <v>1</v>
      </c>
      <c r="F685" s="80">
        <f t="shared" si="974"/>
        <v>1</v>
      </c>
      <c r="G685" s="80">
        <f t="shared" si="974"/>
        <v>1</v>
      </c>
      <c r="H685" s="80">
        <f t="shared" si="974"/>
        <v>1</v>
      </c>
      <c r="I685" s="80">
        <f t="shared" si="974"/>
        <v>1</v>
      </c>
      <c r="J685" s="80">
        <f t="shared" si="974"/>
        <v>1</v>
      </c>
      <c r="K685" s="80">
        <f t="shared" si="974"/>
        <v>1</v>
      </c>
      <c r="L685" s="80">
        <f t="shared" si="974"/>
        <v>1</v>
      </c>
      <c r="M685" s="80">
        <f t="shared" si="974"/>
        <v>1</v>
      </c>
      <c r="N685" s="80">
        <f t="shared" si="974"/>
        <v>1</v>
      </c>
      <c r="O685" s="80">
        <f t="shared" si="974"/>
        <v>1</v>
      </c>
      <c r="P685" s="80">
        <f t="shared" si="974"/>
        <v>1</v>
      </c>
      <c r="Q685" s="80">
        <f t="shared" si="974"/>
        <v>1</v>
      </c>
      <c r="R685" s="80">
        <f t="shared" si="974"/>
        <v>1</v>
      </c>
      <c r="S685" s="80">
        <f t="shared" si="974"/>
        <v>1</v>
      </c>
      <c r="T685" s="80">
        <f t="shared" si="974"/>
        <v>1</v>
      </c>
      <c r="U685" s="80">
        <f t="shared" si="974"/>
        <v>1</v>
      </c>
      <c r="V685" s="80">
        <f t="shared" si="974"/>
        <v>1</v>
      </c>
      <c r="W685" s="80">
        <f t="shared" si="974"/>
        <v>1</v>
      </c>
      <c r="X685" s="80">
        <f t="shared" si="974"/>
        <v>0</v>
      </c>
      <c r="Y685" s="80">
        <f t="shared" si="974"/>
        <v>0</v>
      </c>
    </row>
    <row r="686" ht="16.5" spans="2:25">
      <c r="B686" s="65">
        <v>46</v>
      </c>
      <c r="C686" s="80">
        <f t="shared" si="929"/>
        <v>6386</v>
      </c>
      <c r="D686" s="80">
        <f t="shared" ref="D686:Y686" si="975">IF($C686&gt;D$337,1,0)</f>
        <v>1</v>
      </c>
      <c r="E686" s="80">
        <f t="shared" si="975"/>
        <v>1</v>
      </c>
      <c r="F686" s="80">
        <f t="shared" si="975"/>
        <v>1</v>
      </c>
      <c r="G686" s="80">
        <f t="shared" si="975"/>
        <v>1</v>
      </c>
      <c r="H686" s="80">
        <f t="shared" si="975"/>
        <v>1</v>
      </c>
      <c r="I686" s="80">
        <f t="shared" si="975"/>
        <v>1</v>
      </c>
      <c r="J686" s="80">
        <f t="shared" si="975"/>
        <v>1</v>
      </c>
      <c r="K686" s="80">
        <f t="shared" si="975"/>
        <v>1</v>
      </c>
      <c r="L686" s="80">
        <f t="shared" si="975"/>
        <v>1</v>
      </c>
      <c r="M686" s="80">
        <f t="shared" si="975"/>
        <v>1</v>
      </c>
      <c r="N686" s="80">
        <f t="shared" si="975"/>
        <v>1</v>
      </c>
      <c r="O686" s="80">
        <f t="shared" si="975"/>
        <v>1</v>
      </c>
      <c r="P686" s="80">
        <f t="shared" si="975"/>
        <v>1</v>
      </c>
      <c r="Q686" s="80">
        <f t="shared" si="975"/>
        <v>1</v>
      </c>
      <c r="R686" s="80">
        <f t="shared" si="975"/>
        <v>1</v>
      </c>
      <c r="S686" s="80">
        <f t="shared" si="975"/>
        <v>1</v>
      </c>
      <c r="T686" s="80">
        <f t="shared" si="975"/>
        <v>1</v>
      </c>
      <c r="U686" s="80">
        <f t="shared" si="975"/>
        <v>1</v>
      </c>
      <c r="V686" s="80">
        <f t="shared" si="975"/>
        <v>1</v>
      </c>
      <c r="W686" s="80">
        <f t="shared" si="975"/>
        <v>1</v>
      </c>
      <c r="X686" s="80">
        <f t="shared" si="975"/>
        <v>0</v>
      </c>
      <c r="Y686" s="80">
        <f t="shared" si="975"/>
        <v>0</v>
      </c>
    </row>
    <row r="687" ht="16.5" spans="2:25">
      <c r="B687" s="65">
        <v>47</v>
      </c>
      <c r="C687" s="80">
        <f t="shared" si="929"/>
        <v>6496</v>
      </c>
      <c r="D687" s="80">
        <f t="shared" ref="D687:Y687" si="976">IF($C687&gt;D$337,1,0)</f>
        <v>1</v>
      </c>
      <c r="E687" s="80">
        <f t="shared" si="976"/>
        <v>1</v>
      </c>
      <c r="F687" s="80">
        <f t="shared" si="976"/>
        <v>1</v>
      </c>
      <c r="G687" s="80">
        <f t="shared" si="976"/>
        <v>1</v>
      </c>
      <c r="H687" s="80">
        <f t="shared" si="976"/>
        <v>1</v>
      </c>
      <c r="I687" s="80">
        <f t="shared" si="976"/>
        <v>1</v>
      </c>
      <c r="J687" s="80">
        <f t="shared" si="976"/>
        <v>1</v>
      </c>
      <c r="K687" s="80">
        <f t="shared" si="976"/>
        <v>1</v>
      </c>
      <c r="L687" s="80">
        <f t="shared" si="976"/>
        <v>1</v>
      </c>
      <c r="M687" s="80">
        <f t="shared" si="976"/>
        <v>1</v>
      </c>
      <c r="N687" s="80">
        <f t="shared" si="976"/>
        <v>1</v>
      </c>
      <c r="O687" s="80">
        <f t="shared" si="976"/>
        <v>1</v>
      </c>
      <c r="P687" s="80">
        <f t="shared" si="976"/>
        <v>1</v>
      </c>
      <c r="Q687" s="80">
        <f t="shared" si="976"/>
        <v>1</v>
      </c>
      <c r="R687" s="80">
        <f t="shared" si="976"/>
        <v>1</v>
      </c>
      <c r="S687" s="80">
        <f t="shared" si="976"/>
        <v>1</v>
      </c>
      <c r="T687" s="80">
        <f t="shared" si="976"/>
        <v>1</v>
      </c>
      <c r="U687" s="80">
        <f t="shared" si="976"/>
        <v>1</v>
      </c>
      <c r="V687" s="80">
        <f t="shared" si="976"/>
        <v>1</v>
      </c>
      <c r="W687" s="80">
        <f t="shared" si="976"/>
        <v>1</v>
      </c>
      <c r="X687" s="80">
        <f t="shared" si="976"/>
        <v>0</v>
      </c>
      <c r="Y687" s="80">
        <f t="shared" si="976"/>
        <v>0</v>
      </c>
    </row>
    <row r="688" ht="16.5" spans="2:25">
      <c r="B688" s="65">
        <v>48</v>
      </c>
      <c r="C688" s="80">
        <f t="shared" si="929"/>
        <v>6606</v>
      </c>
      <c r="D688" s="80">
        <f t="shared" ref="D688:Y688" si="977">IF($C688&gt;D$337,1,0)</f>
        <v>1</v>
      </c>
      <c r="E688" s="80">
        <f t="shared" si="977"/>
        <v>1</v>
      </c>
      <c r="F688" s="80">
        <f t="shared" si="977"/>
        <v>1</v>
      </c>
      <c r="G688" s="80">
        <f t="shared" si="977"/>
        <v>1</v>
      </c>
      <c r="H688" s="80">
        <f t="shared" si="977"/>
        <v>1</v>
      </c>
      <c r="I688" s="80">
        <f t="shared" si="977"/>
        <v>1</v>
      </c>
      <c r="J688" s="80">
        <f t="shared" si="977"/>
        <v>1</v>
      </c>
      <c r="K688" s="80">
        <f t="shared" si="977"/>
        <v>1</v>
      </c>
      <c r="L688" s="80">
        <f t="shared" si="977"/>
        <v>1</v>
      </c>
      <c r="M688" s="80">
        <f t="shared" si="977"/>
        <v>1</v>
      </c>
      <c r="N688" s="80">
        <f t="shared" si="977"/>
        <v>1</v>
      </c>
      <c r="O688" s="80">
        <f t="shared" si="977"/>
        <v>1</v>
      </c>
      <c r="P688" s="80">
        <f t="shared" si="977"/>
        <v>1</v>
      </c>
      <c r="Q688" s="80">
        <f t="shared" si="977"/>
        <v>1</v>
      </c>
      <c r="R688" s="80">
        <f t="shared" si="977"/>
        <v>1</v>
      </c>
      <c r="S688" s="80">
        <f t="shared" si="977"/>
        <v>1</v>
      </c>
      <c r="T688" s="80">
        <f t="shared" si="977"/>
        <v>1</v>
      </c>
      <c r="U688" s="80">
        <f t="shared" si="977"/>
        <v>1</v>
      </c>
      <c r="V688" s="80">
        <f t="shared" si="977"/>
        <v>1</v>
      </c>
      <c r="W688" s="80">
        <f t="shared" si="977"/>
        <v>1</v>
      </c>
      <c r="X688" s="80">
        <f t="shared" si="977"/>
        <v>0</v>
      </c>
      <c r="Y688" s="80">
        <f t="shared" si="977"/>
        <v>0</v>
      </c>
    </row>
    <row r="689" ht="16.5" spans="2:25">
      <c r="B689" s="65">
        <v>49</v>
      </c>
      <c r="C689" s="80">
        <f t="shared" si="929"/>
        <v>6716</v>
      </c>
      <c r="D689" s="80">
        <f t="shared" ref="D689:Y689" si="978">IF($C689&gt;D$337,1,0)</f>
        <v>1</v>
      </c>
      <c r="E689" s="80">
        <f t="shared" si="978"/>
        <v>1</v>
      </c>
      <c r="F689" s="80">
        <f t="shared" si="978"/>
        <v>1</v>
      </c>
      <c r="G689" s="80">
        <f t="shared" si="978"/>
        <v>1</v>
      </c>
      <c r="H689" s="80">
        <f t="shared" si="978"/>
        <v>1</v>
      </c>
      <c r="I689" s="80">
        <f t="shared" si="978"/>
        <v>1</v>
      </c>
      <c r="J689" s="80">
        <f t="shared" si="978"/>
        <v>1</v>
      </c>
      <c r="K689" s="80">
        <f t="shared" si="978"/>
        <v>1</v>
      </c>
      <c r="L689" s="80">
        <f t="shared" si="978"/>
        <v>1</v>
      </c>
      <c r="M689" s="80">
        <f t="shared" si="978"/>
        <v>1</v>
      </c>
      <c r="N689" s="80">
        <f t="shared" si="978"/>
        <v>1</v>
      </c>
      <c r="O689" s="80">
        <f t="shared" si="978"/>
        <v>1</v>
      </c>
      <c r="P689" s="80">
        <f t="shared" si="978"/>
        <v>1</v>
      </c>
      <c r="Q689" s="80">
        <f t="shared" si="978"/>
        <v>1</v>
      </c>
      <c r="R689" s="80">
        <f t="shared" si="978"/>
        <v>1</v>
      </c>
      <c r="S689" s="80">
        <f t="shared" si="978"/>
        <v>1</v>
      </c>
      <c r="T689" s="80">
        <f t="shared" si="978"/>
        <v>1</v>
      </c>
      <c r="U689" s="80">
        <f t="shared" si="978"/>
        <v>1</v>
      </c>
      <c r="V689" s="80">
        <f t="shared" si="978"/>
        <v>1</v>
      </c>
      <c r="W689" s="80">
        <f t="shared" si="978"/>
        <v>1</v>
      </c>
      <c r="X689" s="80">
        <f t="shared" si="978"/>
        <v>0</v>
      </c>
      <c r="Y689" s="80">
        <f t="shared" si="978"/>
        <v>0</v>
      </c>
    </row>
    <row r="690" ht="16.5" spans="2:25">
      <c r="B690" s="65">
        <v>50</v>
      </c>
      <c r="C690" s="80">
        <f t="shared" si="929"/>
        <v>6826</v>
      </c>
      <c r="D690" s="80">
        <f t="shared" ref="D690:Y690" si="979">IF($C690&gt;D$337,1,0)</f>
        <v>1</v>
      </c>
      <c r="E690" s="80">
        <f t="shared" si="979"/>
        <v>1</v>
      </c>
      <c r="F690" s="80">
        <f t="shared" si="979"/>
        <v>1</v>
      </c>
      <c r="G690" s="80">
        <f t="shared" si="979"/>
        <v>1</v>
      </c>
      <c r="H690" s="80">
        <f t="shared" si="979"/>
        <v>1</v>
      </c>
      <c r="I690" s="80">
        <f t="shared" si="979"/>
        <v>1</v>
      </c>
      <c r="J690" s="80">
        <f t="shared" si="979"/>
        <v>1</v>
      </c>
      <c r="K690" s="80">
        <f t="shared" si="979"/>
        <v>1</v>
      </c>
      <c r="L690" s="80">
        <f t="shared" si="979"/>
        <v>1</v>
      </c>
      <c r="M690" s="80">
        <f t="shared" si="979"/>
        <v>1</v>
      </c>
      <c r="N690" s="80">
        <f t="shared" si="979"/>
        <v>1</v>
      </c>
      <c r="O690" s="80">
        <f t="shared" si="979"/>
        <v>1</v>
      </c>
      <c r="P690" s="80">
        <f t="shared" si="979"/>
        <v>1</v>
      </c>
      <c r="Q690" s="80">
        <f t="shared" si="979"/>
        <v>1</v>
      </c>
      <c r="R690" s="80">
        <f t="shared" si="979"/>
        <v>1</v>
      </c>
      <c r="S690" s="80">
        <f t="shared" si="979"/>
        <v>1</v>
      </c>
      <c r="T690" s="80">
        <f t="shared" si="979"/>
        <v>1</v>
      </c>
      <c r="U690" s="80">
        <f t="shared" si="979"/>
        <v>1</v>
      </c>
      <c r="V690" s="80">
        <f t="shared" si="979"/>
        <v>1</v>
      </c>
      <c r="W690" s="80">
        <f t="shared" si="979"/>
        <v>1</v>
      </c>
      <c r="X690" s="80">
        <f t="shared" si="979"/>
        <v>0</v>
      </c>
      <c r="Y690" s="80">
        <f t="shared" si="979"/>
        <v>0</v>
      </c>
    </row>
    <row r="691" ht="16.5" spans="2:25">
      <c r="B691" s="65">
        <v>51</v>
      </c>
      <c r="C691" s="80">
        <f t="shared" si="929"/>
        <v>6936</v>
      </c>
      <c r="D691" s="80">
        <f t="shared" ref="D691:Y691" si="980">IF($C691&gt;D$337,1,0)</f>
        <v>1</v>
      </c>
      <c r="E691" s="80">
        <f t="shared" si="980"/>
        <v>1</v>
      </c>
      <c r="F691" s="80">
        <f t="shared" si="980"/>
        <v>1</v>
      </c>
      <c r="G691" s="80">
        <f t="shared" si="980"/>
        <v>1</v>
      </c>
      <c r="H691" s="80">
        <f t="shared" si="980"/>
        <v>1</v>
      </c>
      <c r="I691" s="80">
        <f t="shared" si="980"/>
        <v>1</v>
      </c>
      <c r="J691" s="80">
        <f t="shared" si="980"/>
        <v>1</v>
      </c>
      <c r="K691" s="80">
        <f t="shared" si="980"/>
        <v>1</v>
      </c>
      <c r="L691" s="80">
        <f t="shared" si="980"/>
        <v>1</v>
      </c>
      <c r="M691" s="80">
        <f t="shared" si="980"/>
        <v>1</v>
      </c>
      <c r="N691" s="80">
        <f t="shared" si="980"/>
        <v>1</v>
      </c>
      <c r="O691" s="80">
        <f t="shared" si="980"/>
        <v>1</v>
      </c>
      <c r="P691" s="80">
        <f t="shared" si="980"/>
        <v>1</v>
      </c>
      <c r="Q691" s="80">
        <f t="shared" si="980"/>
        <v>1</v>
      </c>
      <c r="R691" s="80">
        <f t="shared" si="980"/>
        <v>1</v>
      </c>
      <c r="S691" s="80">
        <f t="shared" si="980"/>
        <v>1</v>
      </c>
      <c r="T691" s="80">
        <f t="shared" si="980"/>
        <v>1</v>
      </c>
      <c r="U691" s="80">
        <f t="shared" si="980"/>
        <v>1</v>
      </c>
      <c r="V691" s="80">
        <f t="shared" si="980"/>
        <v>1</v>
      </c>
      <c r="W691" s="80">
        <f t="shared" si="980"/>
        <v>1</v>
      </c>
      <c r="X691" s="80">
        <f t="shared" si="980"/>
        <v>1</v>
      </c>
      <c r="Y691" s="80">
        <f t="shared" si="980"/>
        <v>0</v>
      </c>
    </row>
    <row r="692" ht="16.5" spans="2:25">
      <c r="B692" s="65">
        <v>52</v>
      </c>
      <c r="C692" s="80">
        <f t="shared" si="929"/>
        <v>7046</v>
      </c>
      <c r="D692" s="80">
        <f t="shared" ref="D692:Y692" si="981">IF($C692&gt;D$337,1,0)</f>
        <v>1</v>
      </c>
      <c r="E692" s="80">
        <f t="shared" si="981"/>
        <v>1</v>
      </c>
      <c r="F692" s="80">
        <f t="shared" si="981"/>
        <v>1</v>
      </c>
      <c r="G692" s="80">
        <f t="shared" si="981"/>
        <v>1</v>
      </c>
      <c r="H692" s="80">
        <f t="shared" si="981"/>
        <v>1</v>
      </c>
      <c r="I692" s="80">
        <f t="shared" si="981"/>
        <v>1</v>
      </c>
      <c r="J692" s="80">
        <f t="shared" si="981"/>
        <v>1</v>
      </c>
      <c r="K692" s="80">
        <f t="shared" si="981"/>
        <v>1</v>
      </c>
      <c r="L692" s="80">
        <f t="shared" si="981"/>
        <v>1</v>
      </c>
      <c r="M692" s="80">
        <f t="shared" si="981"/>
        <v>1</v>
      </c>
      <c r="N692" s="80">
        <f t="shared" si="981"/>
        <v>1</v>
      </c>
      <c r="O692" s="80">
        <f t="shared" si="981"/>
        <v>1</v>
      </c>
      <c r="P692" s="80">
        <f t="shared" si="981"/>
        <v>1</v>
      </c>
      <c r="Q692" s="80">
        <f t="shared" si="981"/>
        <v>1</v>
      </c>
      <c r="R692" s="80">
        <f t="shared" si="981"/>
        <v>1</v>
      </c>
      <c r="S692" s="80">
        <f t="shared" si="981"/>
        <v>1</v>
      </c>
      <c r="T692" s="80">
        <f t="shared" si="981"/>
        <v>1</v>
      </c>
      <c r="U692" s="80">
        <f t="shared" si="981"/>
        <v>1</v>
      </c>
      <c r="V692" s="80">
        <f t="shared" si="981"/>
        <v>1</v>
      </c>
      <c r="W692" s="80">
        <f t="shared" si="981"/>
        <v>1</v>
      </c>
      <c r="X692" s="80">
        <f t="shared" si="981"/>
        <v>1</v>
      </c>
      <c r="Y692" s="80">
        <f t="shared" si="981"/>
        <v>0</v>
      </c>
    </row>
    <row r="693" ht="16.5" spans="2:25">
      <c r="B693" s="65">
        <v>53</v>
      </c>
      <c r="C693" s="80">
        <f t="shared" si="929"/>
        <v>7156</v>
      </c>
      <c r="D693" s="80">
        <f t="shared" ref="D693:Y693" si="982">IF($C693&gt;D$337,1,0)</f>
        <v>1</v>
      </c>
      <c r="E693" s="80">
        <f t="shared" si="982"/>
        <v>1</v>
      </c>
      <c r="F693" s="80">
        <f t="shared" si="982"/>
        <v>1</v>
      </c>
      <c r="G693" s="80">
        <f t="shared" si="982"/>
        <v>1</v>
      </c>
      <c r="H693" s="80">
        <f t="shared" si="982"/>
        <v>1</v>
      </c>
      <c r="I693" s="80">
        <f t="shared" si="982"/>
        <v>1</v>
      </c>
      <c r="J693" s="80">
        <f t="shared" si="982"/>
        <v>1</v>
      </c>
      <c r="K693" s="80">
        <f t="shared" si="982"/>
        <v>1</v>
      </c>
      <c r="L693" s="80">
        <f t="shared" si="982"/>
        <v>1</v>
      </c>
      <c r="M693" s="80">
        <f t="shared" si="982"/>
        <v>1</v>
      </c>
      <c r="N693" s="80">
        <f t="shared" si="982"/>
        <v>1</v>
      </c>
      <c r="O693" s="80">
        <f t="shared" si="982"/>
        <v>1</v>
      </c>
      <c r="P693" s="80">
        <f t="shared" si="982"/>
        <v>1</v>
      </c>
      <c r="Q693" s="80">
        <f t="shared" si="982"/>
        <v>1</v>
      </c>
      <c r="R693" s="80">
        <f t="shared" si="982"/>
        <v>1</v>
      </c>
      <c r="S693" s="80">
        <f t="shared" si="982"/>
        <v>1</v>
      </c>
      <c r="T693" s="80">
        <f t="shared" si="982"/>
        <v>1</v>
      </c>
      <c r="U693" s="80">
        <f t="shared" si="982"/>
        <v>1</v>
      </c>
      <c r="V693" s="80">
        <f t="shared" si="982"/>
        <v>1</v>
      </c>
      <c r="W693" s="80">
        <f t="shared" si="982"/>
        <v>1</v>
      </c>
      <c r="X693" s="80">
        <f t="shared" si="982"/>
        <v>1</v>
      </c>
      <c r="Y693" s="80">
        <f t="shared" si="982"/>
        <v>0</v>
      </c>
    </row>
    <row r="694" ht="16.5" spans="2:25">
      <c r="B694" s="65">
        <v>54</v>
      </c>
      <c r="C694" s="80">
        <f t="shared" si="929"/>
        <v>7266</v>
      </c>
      <c r="D694" s="80">
        <f t="shared" ref="D694:Y694" si="983">IF($C694&gt;D$337,1,0)</f>
        <v>1</v>
      </c>
      <c r="E694" s="80">
        <f t="shared" si="983"/>
        <v>1</v>
      </c>
      <c r="F694" s="80">
        <f t="shared" si="983"/>
        <v>1</v>
      </c>
      <c r="G694" s="80">
        <f t="shared" si="983"/>
        <v>1</v>
      </c>
      <c r="H694" s="80">
        <f t="shared" si="983"/>
        <v>1</v>
      </c>
      <c r="I694" s="80">
        <f t="shared" si="983"/>
        <v>1</v>
      </c>
      <c r="J694" s="80">
        <f t="shared" si="983"/>
        <v>1</v>
      </c>
      <c r="K694" s="80">
        <f t="shared" si="983"/>
        <v>1</v>
      </c>
      <c r="L694" s="80">
        <f t="shared" si="983"/>
        <v>1</v>
      </c>
      <c r="M694" s="80">
        <f t="shared" si="983"/>
        <v>1</v>
      </c>
      <c r="N694" s="80">
        <f t="shared" si="983"/>
        <v>1</v>
      </c>
      <c r="O694" s="80">
        <f t="shared" si="983"/>
        <v>1</v>
      </c>
      <c r="P694" s="80">
        <f t="shared" si="983"/>
        <v>1</v>
      </c>
      <c r="Q694" s="80">
        <f t="shared" si="983"/>
        <v>1</v>
      </c>
      <c r="R694" s="80">
        <f t="shared" si="983"/>
        <v>1</v>
      </c>
      <c r="S694" s="80">
        <f t="shared" si="983"/>
        <v>1</v>
      </c>
      <c r="T694" s="80">
        <f t="shared" si="983"/>
        <v>1</v>
      </c>
      <c r="U694" s="80">
        <f t="shared" si="983"/>
        <v>1</v>
      </c>
      <c r="V694" s="80">
        <f t="shared" si="983"/>
        <v>1</v>
      </c>
      <c r="W694" s="80">
        <f t="shared" si="983"/>
        <v>1</v>
      </c>
      <c r="X694" s="80">
        <f t="shared" si="983"/>
        <v>1</v>
      </c>
      <c r="Y694" s="80">
        <f t="shared" si="983"/>
        <v>0</v>
      </c>
    </row>
    <row r="695" ht="16.5" spans="2:25">
      <c r="B695" s="65">
        <v>55</v>
      </c>
      <c r="C695" s="80">
        <f t="shared" si="929"/>
        <v>7376</v>
      </c>
      <c r="D695" s="80">
        <f t="shared" ref="D695:Y695" si="984">IF($C695&gt;D$337,1,0)</f>
        <v>1</v>
      </c>
      <c r="E695" s="80">
        <f t="shared" si="984"/>
        <v>1</v>
      </c>
      <c r="F695" s="80">
        <f t="shared" si="984"/>
        <v>1</v>
      </c>
      <c r="G695" s="80">
        <f t="shared" si="984"/>
        <v>1</v>
      </c>
      <c r="H695" s="80">
        <f t="shared" si="984"/>
        <v>1</v>
      </c>
      <c r="I695" s="80">
        <f t="shared" si="984"/>
        <v>1</v>
      </c>
      <c r="J695" s="80">
        <f t="shared" si="984"/>
        <v>1</v>
      </c>
      <c r="K695" s="80">
        <f t="shared" si="984"/>
        <v>1</v>
      </c>
      <c r="L695" s="80">
        <f t="shared" si="984"/>
        <v>1</v>
      </c>
      <c r="M695" s="80">
        <f t="shared" si="984"/>
        <v>1</v>
      </c>
      <c r="N695" s="80">
        <f t="shared" si="984"/>
        <v>1</v>
      </c>
      <c r="O695" s="80">
        <f t="shared" si="984"/>
        <v>1</v>
      </c>
      <c r="P695" s="80">
        <f t="shared" si="984"/>
        <v>1</v>
      </c>
      <c r="Q695" s="80">
        <f t="shared" si="984"/>
        <v>1</v>
      </c>
      <c r="R695" s="80">
        <f t="shared" si="984"/>
        <v>1</v>
      </c>
      <c r="S695" s="80">
        <f t="shared" si="984"/>
        <v>1</v>
      </c>
      <c r="T695" s="80">
        <f t="shared" si="984"/>
        <v>1</v>
      </c>
      <c r="U695" s="80">
        <f t="shared" si="984"/>
        <v>1</v>
      </c>
      <c r="V695" s="80">
        <f t="shared" si="984"/>
        <v>1</v>
      </c>
      <c r="W695" s="80">
        <f t="shared" si="984"/>
        <v>1</v>
      </c>
      <c r="X695" s="80">
        <f t="shared" si="984"/>
        <v>1</v>
      </c>
      <c r="Y695" s="80">
        <f t="shared" si="984"/>
        <v>0</v>
      </c>
    </row>
    <row r="696" ht="16.5" spans="2:25">
      <c r="B696" s="65">
        <v>56</v>
      </c>
      <c r="C696" s="80">
        <f t="shared" si="929"/>
        <v>7486</v>
      </c>
      <c r="D696" s="80">
        <f t="shared" ref="D696:Y696" si="985">IF($C696&gt;D$337,1,0)</f>
        <v>1</v>
      </c>
      <c r="E696" s="80">
        <f t="shared" si="985"/>
        <v>1</v>
      </c>
      <c r="F696" s="80">
        <f t="shared" si="985"/>
        <v>1</v>
      </c>
      <c r="G696" s="80">
        <f t="shared" si="985"/>
        <v>1</v>
      </c>
      <c r="H696" s="80">
        <f t="shared" si="985"/>
        <v>1</v>
      </c>
      <c r="I696" s="80">
        <f t="shared" si="985"/>
        <v>1</v>
      </c>
      <c r="J696" s="80">
        <f t="shared" si="985"/>
        <v>1</v>
      </c>
      <c r="K696" s="80">
        <f t="shared" si="985"/>
        <v>1</v>
      </c>
      <c r="L696" s="80">
        <f t="shared" si="985"/>
        <v>1</v>
      </c>
      <c r="M696" s="80">
        <f t="shared" si="985"/>
        <v>1</v>
      </c>
      <c r="N696" s="80">
        <f t="shared" si="985"/>
        <v>1</v>
      </c>
      <c r="O696" s="80">
        <f t="shared" si="985"/>
        <v>1</v>
      </c>
      <c r="P696" s="80">
        <f t="shared" si="985"/>
        <v>1</v>
      </c>
      <c r="Q696" s="80">
        <f t="shared" si="985"/>
        <v>1</v>
      </c>
      <c r="R696" s="80">
        <f t="shared" si="985"/>
        <v>1</v>
      </c>
      <c r="S696" s="80">
        <f t="shared" si="985"/>
        <v>1</v>
      </c>
      <c r="T696" s="80">
        <f t="shared" si="985"/>
        <v>1</v>
      </c>
      <c r="U696" s="80">
        <f t="shared" si="985"/>
        <v>1</v>
      </c>
      <c r="V696" s="80">
        <f t="shared" si="985"/>
        <v>1</v>
      </c>
      <c r="W696" s="80">
        <f t="shared" si="985"/>
        <v>1</v>
      </c>
      <c r="X696" s="80">
        <f t="shared" si="985"/>
        <v>1</v>
      </c>
      <c r="Y696" s="80">
        <f t="shared" si="985"/>
        <v>0</v>
      </c>
    </row>
    <row r="697" ht="16.5" spans="2:25">
      <c r="B697" s="65">
        <v>57</v>
      </c>
      <c r="C697" s="80">
        <f t="shared" si="929"/>
        <v>7596</v>
      </c>
      <c r="D697" s="80">
        <f t="shared" ref="D697:Y697" si="986">IF($C697&gt;D$337,1,0)</f>
        <v>1</v>
      </c>
      <c r="E697" s="80">
        <f t="shared" si="986"/>
        <v>1</v>
      </c>
      <c r="F697" s="80">
        <f t="shared" si="986"/>
        <v>1</v>
      </c>
      <c r="G697" s="80">
        <f t="shared" si="986"/>
        <v>1</v>
      </c>
      <c r="H697" s="80">
        <f t="shared" si="986"/>
        <v>1</v>
      </c>
      <c r="I697" s="80">
        <f t="shared" si="986"/>
        <v>1</v>
      </c>
      <c r="J697" s="80">
        <f t="shared" si="986"/>
        <v>1</v>
      </c>
      <c r="K697" s="80">
        <f t="shared" si="986"/>
        <v>1</v>
      </c>
      <c r="L697" s="80">
        <f t="shared" si="986"/>
        <v>1</v>
      </c>
      <c r="M697" s="80">
        <f t="shared" si="986"/>
        <v>1</v>
      </c>
      <c r="N697" s="80">
        <f t="shared" si="986"/>
        <v>1</v>
      </c>
      <c r="O697" s="80">
        <f t="shared" si="986"/>
        <v>1</v>
      </c>
      <c r="P697" s="80">
        <f t="shared" si="986"/>
        <v>1</v>
      </c>
      <c r="Q697" s="80">
        <f t="shared" si="986"/>
        <v>1</v>
      </c>
      <c r="R697" s="80">
        <f t="shared" si="986"/>
        <v>1</v>
      </c>
      <c r="S697" s="80">
        <f t="shared" si="986"/>
        <v>1</v>
      </c>
      <c r="T697" s="80">
        <f t="shared" si="986"/>
        <v>1</v>
      </c>
      <c r="U697" s="80">
        <f t="shared" si="986"/>
        <v>1</v>
      </c>
      <c r="V697" s="80">
        <f t="shared" si="986"/>
        <v>1</v>
      </c>
      <c r="W697" s="80">
        <f t="shared" si="986"/>
        <v>1</v>
      </c>
      <c r="X697" s="80">
        <f t="shared" si="986"/>
        <v>1</v>
      </c>
      <c r="Y697" s="80">
        <f t="shared" si="986"/>
        <v>0</v>
      </c>
    </row>
    <row r="698" ht="16.5" spans="2:25">
      <c r="B698" s="65">
        <v>58</v>
      </c>
      <c r="C698" s="80">
        <f t="shared" si="929"/>
        <v>7706</v>
      </c>
      <c r="D698" s="80">
        <f t="shared" ref="D698:Y698" si="987">IF($C698&gt;D$337,1,0)</f>
        <v>1</v>
      </c>
      <c r="E698" s="80">
        <f t="shared" si="987"/>
        <v>1</v>
      </c>
      <c r="F698" s="80">
        <f t="shared" si="987"/>
        <v>1</v>
      </c>
      <c r="G698" s="80">
        <f t="shared" si="987"/>
        <v>1</v>
      </c>
      <c r="H698" s="80">
        <f t="shared" si="987"/>
        <v>1</v>
      </c>
      <c r="I698" s="80">
        <f t="shared" si="987"/>
        <v>1</v>
      </c>
      <c r="J698" s="80">
        <f t="shared" si="987"/>
        <v>1</v>
      </c>
      <c r="K698" s="80">
        <f t="shared" si="987"/>
        <v>1</v>
      </c>
      <c r="L698" s="80">
        <f t="shared" si="987"/>
        <v>1</v>
      </c>
      <c r="M698" s="80">
        <f t="shared" si="987"/>
        <v>1</v>
      </c>
      <c r="N698" s="80">
        <f t="shared" si="987"/>
        <v>1</v>
      </c>
      <c r="O698" s="80">
        <f t="shared" si="987"/>
        <v>1</v>
      </c>
      <c r="P698" s="80">
        <f t="shared" si="987"/>
        <v>1</v>
      </c>
      <c r="Q698" s="80">
        <f t="shared" si="987"/>
        <v>1</v>
      </c>
      <c r="R698" s="80">
        <f t="shared" si="987"/>
        <v>1</v>
      </c>
      <c r="S698" s="80">
        <f t="shared" si="987"/>
        <v>1</v>
      </c>
      <c r="T698" s="80">
        <f t="shared" si="987"/>
        <v>1</v>
      </c>
      <c r="U698" s="80">
        <f t="shared" si="987"/>
        <v>1</v>
      </c>
      <c r="V698" s="80">
        <f t="shared" si="987"/>
        <v>1</v>
      </c>
      <c r="W698" s="80">
        <f t="shared" si="987"/>
        <v>1</v>
      </c>
      <c r="X698" s="80">
        <f t="shared" si="987"/>
        <v>1</v>
      </c>
      <c r="Y698" s="80">
        <f t="shared" si="987"/>
        <v>0</v>
      </c>
    </row>
    <row r="699" ht="16.5" spans="2:25">
      <c r="B699" s="65">
        <v>59</v>
      </c>
      <c r="C699" s="80">
        <f t="shared" si="929"/>
        <v>7816</v>
      </c>
      <c r="D699" s="80">
        <f t="shared" ref="D699:Y699" si="988">IF($C699&gt;D$337,1,0)</f>
        <v>1</v>
      </c>
      <c r="E699" s="80">
        <f t="shared" si="988"/>
        <v>1</v>
      </c>
      <c r="F699" s="80">
        <f t="shared" si="988"/>
        <v>1</v>
      </c>
      <c r="G699" s="80">
        <f t="shared" si="988"/>
        <v>1</v>
      </c>
      <c r="H699" s="80">
        <f t="shared" si="988"/>
        <v>1</v>
      </c>
      <c r="I699" s="80">
        <f t="shared" si="988"/>
        <v>1</v>
      </c>
      <c r="J699" s="80">
        <f t="shared" si="988"/>
        <v>1</v>
      </c>
      <c r="K699" s="80">
        <f t="shared" si="988"/>
        <v>1</v>
      </c>
      <c r="L699" s="80">
        <f t="shared" si="988"/>
        <v>1</v>
      </c>
      <c r="M699" s="80">
        <f t="shared" si="988"/>
        <v>1</v>
      </c>
      <c r="N699" s="80">
        <f t="shared" si="988"/>
        <v>1</v>
      </c>
      <c r="O699" s="80">
        <f t="shared" si="988"/>
        <v>1</v>
      </c>
      <c r="P699" s="80">
        <f t="shared" si="988"/>
        <v>1</v>
      </c>
      <c r="Q699" s="80">
        <f t="shared" si="988"/>
        <v>1</v>
      </c>
      <c r="R699" s="80">
        <f t="shared" si="988"/>
        <v>1</v>
      </c>
      <c r="S699" s="80">
        <f t="shared" si="988"/>
        <v>1</v>
      </c>
      <c r="T699" s="80">
        <f t="shared" si="988"/>
        <v>1</v>
      </c>
      <c r="U699" s="80">
        <f t="shared" si="988"/>
        <v>1</v>
      </c>
      <c r="V699" s="80">
        <f t="shared" si="988"/>
        <v>1</v>
      </c>
      <c r="W699" s="80">
        <f t="shared" si="988"/>
        <v>1</v>
      </c>
      <c r="X699" s="80">
        <f t="shared" si="988"/>
        <v>1</v>
      </c>
      <c r="Y699" s="80">
        <f t="shared" si="988"/>
        <v>1</v>
      </c>
    </row>
    <row r="700" ht="16.5" spans="2:25">
      <c r="B700" s="65">
        <v>60</v>
      </c>
      <c r="C700" s="80">
        <f t="shared" si="929"/>
        <v>7926</v>
      </c>
      <c r="D700" s="80">
        <f t="shared" ref="D700:Y700" si="989">IF($C700&gt;D$337,1,0)</f>
        <v>1</v>
      </c>
      <c r="E700" s="80">
        <f t="shared" si="989"/>
        <v>1</v>
      </c>
      <c r="F700" s="80">
        <f t="shared" si="989"/>
        <v>1</v>
      </c>
      <c r="G700" s="80">
        <f t="shared" si="989"/>
        <v>1</v>
      </c>
      <c r="H700" s="80">
        <f t="shared" si="989"/>
        <v>1</v>
      </c>
      <c r="I700" s="80">
        <f t="shared" si="989"/>
        <v>1</v>
      </c>
      <c r="J700" s="80">
        <f t="shared" si="989"/>
        <v>1</v>
      </c>
      <c r="K700" s="80">
        <f t="shared" si="989"/>
        <v>1</v>
      </c>
      <c r="L700" s="80">
        <f t="shared" si="989"/>
        <v>1</v>
      </c>
      <c r="M700" s="80">
        <f t="shared" si="989"/>
        <v>1</v>
      </c>
      <c r="N700" s="80">
        <f t="shared" si="989"/>
        <v>1</v>
      </c>
      <c r="O700" s="80">
        <f t="shared" si="989"/>
        <v>1</v>
      </c>
      <c r="P700" s="80">
        <f t="shared" si="989"/>
        <v>1</v>
      </c>
      <c r="Q700" s="80">
        <f t="shared" si="989"/>
        <v>1</v>
      </c>
      <c r="R700" s="80">
        <f t="shared" si="989"/>
        <v>1</v>
      </c>
      <c r="S700" s="80">
        <f t="shared" si="989"/>
        <v>1</v>
      </c>
      <c r="T700" s="80">
        <f t="shared" si="989"/>
        <v>1</v>
      </c>
      <c r="U700" s="80">
        <f t="shared" si="989"/>
        <v>1</v>
      </c>
      <c r="V700" s="80">
        <f t="shared" si="989"/>
        <v>1</v>
      </c>
      <c r="W700" s="80">
        <f t="shared" si="989"/>
        <v>1</v>
      </c>
      <c r="X700" s="80">
        <f t="shared" si="989"/>
        <v>1</v>
      </c>
      <c r="Y700" s="80">
        <f t="shared" si="989"/>
        <v>1</v>
      </c>
    </row>
    <row r="701" ht="16.5" spans="2:25">
      <c r="B701" s="65">
        <v>61</v>
      </c>
      <c r="C701" s="80">
        <f t="shared" si="929"/>
        <v>8036</v>
      </c>
      <c r="D701" s="80">
        <f t="shared" ref="D701:Y701" si="990">IF($C701&gt;D$337,1,0)</f>
        <v>1</v>
      </c>
      <c r="E701" s="80">
        <f t="shared" si="990"/>
        <v>1</v>
      </c>
      <c r="F701" s="80">
        <f t="shared" si="990"/>
        <v>1</v>
      </c>
      <c r="G701" s="80">
        <f t="shared" si="990"/>
        <v>1</v>
      </c>
      <c r="H701" s="80">
        <f t="shared" si="990"/>
        <v>1</v>
      </c>
      <c r="I701" s="80">
        <f t="shared" si="990"/>
        <v>1</v>
      </c>
      <c r="J701" s="80">
        <f t="shared" si="990"/>
        <v>1</v>
      </c>
      <c r="K701" s="80">
        <f t="shared" si="990"/>
        <v>1</v>
      </c>
      <c r="L701" s="80">
        <f t="shared" si="990"/>
        <v>1</v>
      </c>
      <c r="M701" s="80">
        <f t="shared" si="990"/>
        <v>1</v>
      </c>
      <c r="N701" s="80">
        <f t="shared" si="990"/>
        <v>1</v>
      </c>
      <c r="O701" s="80">
        <f t="shared" si="990"/>
        <v>1</v>
      </c>
      <c r="P701" s="80">
        <f t="shared" si="990"/>
        <v>1</v>
      </c>
      <c r="Q701" s="80">
        <f t="shared" si="990"/>
        <v>1</v>
      </c>
      <c r="R701" s="80">
        <f t="shared" si="990"/>
        <v>1</v>
      </c>
      <c r="S701" s="80">
        <f t="shared" si="990"/>
        <v>1</v>
      </c>
      <c r="T701" s="80">
        <f t="shared" si="990"/>
        <v>1</v>
      </c>
      <c r="U701" s="80">
        <f t="shared" si="990"/>
        <v>1</v>
      </c>
      <c r="V701" s="80">
        <f t="shared" si="990"/>
        <v>1</v>
      </c>
      <c r="W701" s="80">
        <f t="shared" si="990"/>
        <v>1</v>
      </c>
      <c r="X701" s="80">
        <f t="shared" si="990"/>
        <v>1</v>
      </c>
      <c r="Y701" s="80">
        <f t="shared" si="990"/>
        <v>1</v>
      </c>
    </row>
    <row r="702" ht="16.5" spans="2:25">
      <c r="B702" s="65">
        <v>62</v>
      </c>
      <c r="C702" s="80">
        <f t="shared" si="929"/>
        <v>8146</v>
      </c>
      <c r="D702" s="80">
        <f t="shared" ref="D702:Y702" si="991">IF($C702&gt;D$337,1,0)</f>
        <v>1</v>
      </c>
      <c r="E702" s="80">
        <f t="shared" si="991"/>
        <v>1</v>
      </c>
      <c r="F702" s="80">
        <f t="shared" si="991"/>
        <v>1</v>
      </c>
      <c r="G702" s="80">
        <f t="shared" si="991"/>
        <v>1</v>
      </c>
      <c r="H702" s="80">
        <f t="shared" si="991"/>
        <v>1</v>
      </c>
      <c r="I702" s="80">
        <f t="shared" si="991"/>
        <v>1</v>
      </c>
      <c r="J702" s="80">
        <f t="shared" si="991"/>
        <v>1</v>
      </c>
      <c r="K702" s="80">
        <f t="shared" si="991"/>
        <v>1</v>
      </c>
      <c r="L702" s="80">
        <f t="shared" si="991"/>
        <v>1</v>
      </c>
      <c r="M702" s="80">
        <f t="shared" si="991"/>
        <v>1</v>
      </c>
      <c r="N702" s="80">
        <f t="shared" si="991"/>
        <v>1</v>
      </c>
      <c r="O702" s="80">
        <f t="shared" si="991"/>
        <v>1</v>
      </c>
      <c r="P702" s="80">
        <f t="shared" si="991"/>
        <v>1</v>
      </c>
      <c r="Q702" s="80">
        <f t="shared" si="991"/>
        <v>1</v>
      </c>
      <c r="R702" s="80">
        <f t="shared" si="991"/>
        <v>1</v>
      </c>
      <c r="S702" s="80">
        <f t="shared" si="991"/>
        <v>1</v>
      </c>
      <c r="T702" s="80">
        <f t="shared" si="991"/>
        <v>1</v>
      </c>
      <c r="U702" s="80">
        <f t="shared" si="991"/>
        <v>1</v>
      </c>
      <c r="V702" s="80">
        <f t="shared" si="991"/>
        <v>1</v>
      </c>
      <c r="W702" s="80">
        <f t="shared" si="991"/>
        <v>1</v>
      </c>
      <c r="X702" s="80">
        <f t="shared" si="991"/>
        <v>1</v>
      </c>
      <c r="Y702" s="80">
        <f t="shared" si="991"/>
        <v>1</v>
      </c>
    </row>
    <row r="703" ht="16.5" spans="2:25">
      <c r="B703" s="65">
        <v>63</v>
      </c>
      <c r="C703" s="80">
        <f t="shared" si="929"/>
        <v>8256</v>
      </c>
      <c r="D703" s="80">
        <f t="shared" ref="D703:Y703" si="992">IF($C703&gt;D$337,1,0)</f>
        <v>1</v>
      </c>
      <c r="E703" s="80">
        <f t="shared" si="992"/>
        <v>1</v>
      </c>
      <c r="F703" s="80">
        <f t="shared" si="992"/>
        <v>1</v>
      </c>
      <c r="G703" s="80">
        <f t="shared" si="992"/>
        <v>1</v>
      </c>
      <c r="H703" s="80">
        <f t="shared" si="992"/>
        <v>1</v>
      </c>
      <c r="I703" s="80">
        <f t="shared" si="992"/>
        <v>1</v>
      </c>
      <c r="J703" s="80">
        <f t="shared" si="992"/>
        <v>1</v>
      </c>
      <c r="K703" s="80">
        <f t="shared" si="992"/>
        <v>1</v>
      </c>
      <c r="L703" s="80">
        <f t="shared" si="992"/>
        <v>1</v>
      </c>
      <c r="M703" s="80">
        <f t="shared" si="992"/>
        <v>1</v>
      </c>
      <c r="N703" s="80">
        <f t="shared" si="992"/>
        <v>1</v>
      </c>
      <c r="O703" s="80">
        <f t="shared" si="992"/>
        <v>1</v>
      </c>
      <c r="P703" s="80">
        <f t="shared" si="992"/>
        <v>1</v>
      </c>
      <c r="Q703" s="80">
        <f t="shared" si="992"/>
        <v>1</v>
      </c>
      <c r="R703" s="80">
        <f t="shared" si="992"/>
        <v>1</v>
      </c>
      <c r="S703" s="80">
        <f t="shared" si="992"/>
        <v>1</v>
      </c>
      <c r="T703" s="80">
        <f t="shared" si="992"/>
        <v>1</v>
      </c>
      <c r="U703" s="80">
        <f t="shared" si="992"/>
        <v>1</v>
      </c>
      <c r="V703" s="80">
        <f t="shared" si="992"/>
        <v>1</v>
      </c>
      <c r="W703" s="80">
        <f t="shared" si="992"/>
        <v>1</v>
      </c>
      <c r="X703" s="80">
        <f t="shared" si="992"/>
        <v>1</v>
      </c>
      <c r="Y703" s="80">
        <f t="shared" si="992"/>
        <v>1</v>
      </c>
    </row>
    <row r="704" ht="16.5" spans="2:25">
      <c r="B704" s="65">
        <v>64</v>
      </c>
      <c r="C704" s="80">
        <f t="shared" si="929"/>
        <v>8366</v>
      </c>
      <c r="D704" s="80">
        <f t="shared" ref="D704:Y704" si="993">IF($C704&gt;D$337,1,0)</f>
        <v>1</v>
      </c>
      <c r="E704" s="80">
        <f t="shared" si="993"/>
        <v>1</v>
      </c>
      <c r="F704" s="80">
        <f t="shared" si="993"/>
        <v>1</v>
      </c>
      <c r="G704" s="80">
        <f t="shared" si="993"/>
        <v>1</v>
      </c>
      <c r="H704" s="80">
        <f t="shared" si="993"/>
        <v>1</v>
      </c>
      <c r="I704" s="80">
        <f t="shared" si="993"/>
        <v>1</v>
      </c>
      <c r="J704" s="80">
        <f t="shared" si="993"/>
        <v>1</v>
      </c>
      <c r="K704" s="80">
        <f t="shared" si="993"/>
        <v>1</v>
      </c>
      <c r="L704" s="80">
        <f t="shared" si="993"/>
        <v>1</v>
      </c>
      <c r="M704" s="80">
        <f t="shared" si="993"/>
        <v>1</v>
      </c>
      <c r="N704" s="80">
        <f t="shared" si="993"/>
        <v>1</v>
      </c>
      <c r="O704" s="80">
        <f t="shared" si="993"/>
        <v>1</v>
      </c>
      <c r="P704" s="80">
        <f t="shared" si="993"/>
        <v>1</v>
      </c>
      <c r="Q704" s="80">
        <f t="shared" si="993"/>
        <v>1</v>
      </c>
      <c r="R704" s="80">
        <f t="shared" si="993"/>
        <v>1</v>
      </c>
      <c r="S704" s="80">
        <f t="shared" si="993"/>
        <v>1</v>
      </c>
      <c r="T704" s="80">
        <f t="shared" si="993"/>
        <v>1</v>
      </c>
      <c r="U704" s="80">
        <f t="shared" si="993"/>
        <v>1</v>
      </c>
      <c r="V704" s="80">
        <f t="shared" si="993"/>
        <v>1</v>
      </c>
      <c r="W704" s="80">
        <f t="shared" si="993"/>
        <v>1</v>
      </c>
      <c r="X704" s="80">
        <f t="shared" si="993"/>
        <v>1</v>
      </c>
      <c r="Y704" s="80">
        <f t="shared" si="993"/>
        <v>1</v>
      </c>
    </row>
    <row r="705" ht="16.5" spans="2:25">
      <c r="B705" s="65">
        <v>65</v>
      </c>
      <c r="C705" s="80">
        <f t="shared" ref="C705:C768" si="994">C403</f>
        <v>8476</v>
      </c>
      <c r="D705" s="80">
        <f t="shared" ref="D705:Y705" si="995">IF($C705&gt;D$337,1,0)</f>
        <v>1</v>
      </c>
      <c r="E705" s="80">
        <f t="shared" si="995"/>
        <v>1</v>
      </c>
      <c r="F705" s="80">
        <f t="shared" si="995"/>
        <v>1</v>
      </c>
      <c r="G705" s="80">
        <f t="shared" si="995"/>
        <v>1</v>
      </c>
      <c r="H705" s="80">
        <f t="shared" si="995"/>
        <v>1</v>
      </c>
      <c r="I705" s="80">
        <f t="shared" si="995"/>
        <v>1</v>
      </c>
      <c r="J705" s="80">
        <f t="shared" si="995"/>
        <v>1</v>
      </c>
      <c r="K705" s="80">
        <f t="shared" si="995"/>
        <v>1</v>
      </c>
      <c r="L705" s="80">
        <f t="shared" si="995"/>
        <v>1</v>
      </c>
      <c r="M705" s="80">
        <f t="shared" si="995"/>
        <v>1</v>
      </c>
      <c r="N705" s="80">
        <f t="shared" si="995"/>
        <v>1</v>
      </c>
      <c r="O705" s="80">
        <f t="shared" si="995"/>
        <v>1</v>
      </c>
      <c r="P705" s="80">
        <f t="shared" si="995"/>
        <v>1</v>
      </c>
      <c r="Q705" s="80">
        <f t="shared" si="995"/>
        <v>1</v>
      </c>
      <c r="R705" s="80">
        <f t="shared" si="995"/>
        <v>1</v>
      </c>
      <c r="S705" s="80">
        <f t="shared" si="995"/>
        <v>1</v>
      </c>
      <c r="T705" s="80">
        <f t="shared" si="995"/>
        <v>1</v>
      </c>
      <c r="U705" s="80">
        <f t="shared" si="995"/>
        <v>1</v>
      </c>
      <c r="V705" s="80">
        <f t="shared" si="995"/>
        <v>1</v>
      </c>
      <c r="W705" s="80">
        <f t="shared" si="995"/>
        <v>1</v>
      </c>
      <c r="X705" s="80">
        <f t="shared" si="995"/>
        <v>1</v>
      </c>
      <c r="Y705" s="80">
        <f t="shared" si="995"/>
        <v>1</v>
      </c>
    </row>
    <row r="706" ht="16.5" spans="2:25">
      <c r="B706" s="65">
        <v>66</v>
      </c>
      <c r="C706" s="80">
        <f t="shared" si="994"/>
        <v>8586</v>
      </c>
      <c r="D706" s="80">
        <f t="shared" ref="D706:Y706" si="996">IF($C706&gt;D$337,1,0)</f>
        <v>1</v>
      </c>
      <c r="E706" s="80">
        <f t="shared" si="996"/>
        <v>1</v>
      </c>
      <c r="F706" s="80">
        <f t="shared" si="996"/>
        <v>1</v>
      </c>
      <c r="G706" s="80">
        <f t="shared" si="996"/>
        <v>1</v>
      </c>
      <c r="H706" s="80">
        <f t="shared" si="996"/>
        <v>1</v>
      </c>
      <c r="I706" s="80">
        <f t="shared" si="996"/>
        <v>1</v>
      </c>
      <c r="J706" s="80">
        <f t="shared" si="996"/>
        <v>1</v>
      </c>
      <c r="K706" s="80">
        <f t="shared" si="996"/>
        <v>1</v>
      </c>
      <c r="L706" s="80">
        <f t="shared" si="996"/>
        <v>1</v>
      </c>
      <c r="M706" s="80">
        <f t="shared" si="996"/>
        <v>1</v>
      </c>
      <c r="N706" s="80">
        <f t="shared" si="996"/>
        <v>1</v>
      </c>
      <c r="O706" s="80">
        <f t="shared" si="996"/>
        <v>1</v>
      </c>
      <c r="P706" s="80">
        <f t="shared" si="996"/>
        <v>1</v>
      </c>
      <c r="Q706" s="80">
        <f t="shared" si="996"/>
        <v>1</v>
      </c>
      <c r="R706" s="80">
        <f t="shared" si="996"/>
        <v>1</v>
      </c>
      <c r="S706" s="80">
        <f t="shared" si="996"/>
        <v>1</v>
      </c>
      <c r="T706" s="80">
        <f t="shared" si="996"/>
        <v>1</v>
      </c>
      <c r="U706" s="80">
        <f t="shared" si="996"/>
        <v>1</v>
      </c>
      <c r="V706" s="80">
        <f t="shared" si="996"/>
        <v>1</v>
      </c>
      <c r="W706" s="80">
        <f t="shared" si="996"/>
        <v>1</v>
      </c>
      <c r="X706" s="80">
        <f t="shared" si="996"/>
        <v>1</v>
      </c>
      <c r="Y706" s="80">
        <f t="shared" si="996"/>
        <v>1</v>
      </c>
    </row>
    <row r="707" ht="16.5" spans="2:25">
      <c r="B707" s="65">
        <v>67</v>
      </c>
      <c r="C707" s="80">
        <f t="shared" si="994"/>
        <v>8696</v>
      </c>
      <c r="D707" s="80">
        <f t="shared" ref="D707:Y707" si="997">IF($C707&gt;D$337,1,0)</f>
        <v>1</v>
      </c>
      <c r="E707" s="80">
        <f t="shared" si="997"/>
        <v>1</v>
      </c>
      <c r="F707" s="80">
        <f t="shared" si="997"/>
        <v>1</v>
      </c>
      <c r="G707" s="80">
        <f t="shared" si="997"/>
        <v>1</v>
      </c>
      <c r="H707" s="80">
        <f t="shared" si="997"/>
        <v>1</v>
      </c>
      <c r="I707" s="80">
        <f t="shared" si="997"/>
        <v>1</v>
      </c>
      <c r="J707" s="80">
        <f t="shared" si="997"/>
        <v>1</v>
      </c>
      <c r="K707" s="80">
        <f t="shared" si="997"/>
        <v>1</v>
      </c>
      <c r="L707" s="80">
        <f t="shared" si="997"/>
        <v>1</v>
      </c>
      <c r="M707" s="80">
        <f t="shared" si="997"/>
        <v>1</v>
      </c>
      <c r="N707" s="80">
        <f t="shared" si="997"/>
        <v>1</v>
      </c>
      <c r="O707" s="80">
        <f t="shared" si="997"/>
        <v>1</v>
      </c>
      <c r="P707" s="80">
        <f t="shared" si="997"/>
        <v>1</v>
      </c>
      <c r="Q707" s="80">
        <f t="shared" si="997"/>
        <v>1</v>
      </c>
      <c r="R707" s="80">
        <f t="shared" si="997"/>
        <v>1</v>
      </c>
      <c r="S707" s="80">
        <f t="shared" si="997"/>
        <v>1</v>
      </c>
      <c r="T707" s="80">
        <f t="shared" si="997"/>
        <v>1</v>
      </c>
      <c r="U707" s="80">
        <f t="shared" si="997"/>
        <v>1</v>
      </c>
      <c r="V707" s="80">
        <f t="shared" si="997"/>
        <v>1</v>
      </c>
      <c r="W707" s="80">
        <f t="shared" si="997"/>
        <v>1</v>
      </c>
      <c r="X707" s="80">
        <f t="shared" si="997"/>
        <v>1</v>
      </c>
      <c r="Y707" s="80">
        <f t="shared" si="997"/>
        <v>1</v>
      </c>
    </row>
    <row r="708" ht="16.5" spans="2:25">
      <c r="B708" s="65">
        <v>68</v>
      </c>
      <c r="C708" s="80">
        <f t="shared" si="994"/>
        <v>8806</v>
      </c>
      <c r="D708" s="80">
        <f t="shared" ref="D708:Y708" si="998">IF($C708&gt;D$337,1,0)</f>
        <v>1</v>
      </c>
      <c r="E708" s="80">
        <f t="shared" si="998"/>
        <v>1</v>
      </c>
      <c r="F708" s="80">
        <f t="shared" si="998"/>
        <v>1</v>
      </c>
      <c r="G708" s="80">
        <f t="shared" si="998"/>
        <v>1</v>
      </c>
      <c r="H708" s="80">
        <f t="shared" si="998"/>
        <v>1</v>
      </c>
      <c r="I708" s="80">
        <f t="shared" si="998"/>
        <v>1</v>
      </c>
      <c r="J708" s="80">
        <f t="shared" si="998"/>
        <v>1</v>
      </c>
      <c r="K708" s="80">
        <f t="shared" si="998"/>
        <v>1</v>
      </c>
      <c r="L708" s="80">
        <f t="shared" si="998"/>
        <v>1</v>
      </c>
      <c r="M708" s="80">
        <f t="shared" si="998"/>
        <v>1</v>
      </c>
      <c r="N708" s="80">
        <f t="shared" si="998"/>
        <v>1</v>
      </c>
      <c r="O708" s="80">
        <f t="shared" si="998"/>
        <v>1</v>
      </c>
      <c r="P708" s="80">
        <f t="shared" si="998"/>
        <v>1</v>
      </c>
      <c r="Q708" s="80">
        <f t="shared" si="998"/>
        <v>1</v>
      </c>
      <c r="R708" s="80">
        <f t="shared" si="998"/>
        <v>1</v>
      </c>
      <c r="S708" s="80">
        <f t="shared" si="998"/>
        <v>1</v>
      </c>
      <c r="T708" s="80">
        <f t="shared" si="998"/>
        <v>1</v>
      </c>
      <c r="U708" s="80">
        <f t="shared" si="998"/>
        <v>1</v>
      </c>
      <c r="V708" s="80">
        <f t="shared" si="998"/>
        <v>1</v>
      </c>
      <c r="W708" s="80">
        <f t="shared" si="998"/>
        <v>1</v>
      </c>
      <c r="X708" s="80">
        <f t="shared" si="998"/>
        <v>1</v>
      </c>
      <c r="Y708" s="80">
        <f t="shared" si="998"/>
        <v>1</v>
      </c>
    </row>
    <row r="709" ht="16.5" spans="2:25">
      <c r="B709" s="65">
        <v>69</v>
      </c>
      <c r="C709" s="80">
        <f t="shared" si="994"/>
        <v>8916</v>
      </c>
      <c r="D709" s="80">
        <f t="shared" ref="D709:Y709" si="999">IF($C709&gt;D$337,1,0)</f>
        <v>1</v>
      </c>
      <c r="E709" s="80">
        <f t="shared" si="999"/>
        <v>1</v>
      </c>
      <c r="F709" s="80">
        <f t="shared" si="999"/>
        <v>1</v>
      </c>
      <c r="G709" s="80">
        <f t="shared" si="999"/>
        <v>1</v>
      </c>
      <c r="H709" s="80">
        <f t="shared" si="999"/>
        <v>1</v>
      </c>
      <c r="I709" s="80">
        <f t="shared" si="999"/>
        <v>1</v>
      </c>
      <c r="J709" s="80">
        <f t="shared" si="999"/>
        <v>1</v>
      </c>
      <c r="K709" s="80">
        <f t="shared" si="999"/>
        <v>1</v>
      </c>
      <c r="L709" s="80">
        <f t="shared" si="999"/>
        <v>1</v>
      </c>
      <c r="M709" s="80">
        <f t="shared" si="999"/>
        <v>1</v>
      </c>
      <c r="N709" s="80">
        <f t="shared" si="999"/>
        <v>1</v>
      </c>
      <c r="O709" s="80">
        <f t="shared" si="999"/>
        <v>1</v>
      </c>
      <c r="P709" s="80">
        <f t="shared" si="999"/>
        <v>1</v>
      </c>
      <c r="Q709" s="80">
        <f t="shared" si="999"/>
        <v>1</v>
      </c>
      <c r="R709" s="80">
        <f t="shared" si="999"/>
        <v>1</v>
      </c>
      <c r="S709" s="80">
        <f t="shared" si="999"/>
        <v>1</v>
      </c>
      <c r="T709" s="80">
        <f t="shared" si="999"/>
        <v>1</v>
      </c>
      <c r="U709" s="80">
        <f t="shared" si="999"/>
        <v>1</v>
      </c>
      <c r="V709" s="80">
        <f t="shared" si="999"/>
        <v>1</v>
      </c>
      <c r="W709" s="80">
        <f t="shared" si="999"/>
        <v>1</v>
      </c>
      <c r="X709" s="80">
        <f t="shared" si="999"/>
        <v>1</v>
      </c>
      <c r="Y709" s="80">
        <f t="shared" si="999"/>
        <v>1</v>
      </c>
    </row>
    <row r="710" ht="16.5" spans="2:25">
      <c r="B710" s="65">
        <v>70</v>
      </c>
      <c r="C710" s="80">
        <f t="shared" si="994"/>
        <v>9026</v>
      </c>
      <c r="D710" s="80">
        <f t="shared" ref="D710:Y710" si="1000">IF($C710&gt;D$337,1,0)</f>
        <v>1</v>
      </c>
      <c r="E710" s="80">
        <f t="shared" si="1000"/>
        <v>1</v>
      </c>
      <c r="F710" s="80">
        <f t="shared" si="1000"/>
        <v>1</v>
      </c>
      <c r="G710" s="80">
        <f t="shared" si="1000"/>
        <v>1</v>
      </c>
      <c r="H710" s="80">
        <f t="shared" si="1000"/>
        <v>1</v>
      </c>
      <c r="I710" s="80">
        <f t="shared" si="1000"/>
        <v>1</v>
      </c>
      <c r="J710" s="80">
        <f t="shared" si="1000"/>
        <v>1</v>
      </c>
      <c r="K710" s="80">
        <f t="shared" si="1000"/>
        <v>1</v>
      </c>
      <c r="L710" s="80">
        <f t="shared" si="1000"/>
        <v>1</v>
      </c>
      <c r="M710" s="80">
        <f t="shared" si="1000"/>
        <v>1</v>
      </c>
      <c r="N710" s="80">
        <f t="shared" si="1000"/>
        <v>1</v>
      </c>
      <c r="O710" s="80">
        <f t="shared" si="1000"/>
        <v>1</v>
      </c>
      <c r="P710" s="80">
        <f t="shared" si="1000"/>
        <v>1</v>
      </c>
      <c r="Q710" s="80">
        <f t="shared" si="1000"/>
        <v>1</v>
      </c>
      <c r="R710" s="80">
        <f t="shared" si="1000"/>
        <v>1</v>
      </c>
      <c r="S710" s="80">
        <f t="shared" si="1000"/>
        <v>1</v>
      </c>
      <c r="T710" s="80">
        <f t="shared" si="1000"/>
        <v>1</v>
      </c>
      <c r="U710" s="80">
        <f t="shared" si="1000"/>
        <v>1</v>
      </c>
      <c r="V710" s="80">
        <f t="shared" si="1000"/>
        <v>1</v>
      </c>
      <c r="W710" s="80">
        <f t="shared" si="1000"/>
        <v>1</v>
      </c>
      <c r="X710" s="80">
        <f t="shared" si="1000"/>
        <v>1</v>
      </c>
      <c r="Y710" s="80">
        <f t="shared" si="1000"/>
        <v>1</v>
      </c>
    </row>
    <row r="711" ht="16.5" spans="2:25">
      <c r="B711" s="65">
        <v>71</v>
      </c>
      <c r="C711" s="80">
        <f t="shared" si="994"/>
        <v>9136</v>
      </c>
      <c r="D711" s="80">
        <f t="shared" ref="D711:Y711" si="1001">IF($C711&gt;D$337,1,0)</f>
        <v>1</v>
      </c>
      <c r="E711" s="80">
        <f t="shared" si="1001"/>
        <v>1</v>
      </c>
      <c r="F711" s="80">
        <f t="shared" si="1001"/>
        <v>1</v>
      </c>
      <c r="G711" s="80">
        <f t="shared" si="1001"/>
        <v>1</v>
      </c>
      <c r="H711" s="80">
        <f t="shared" si="1001"/>
        <v>1</v>
      </c>
      <c r="I711" s="80">
        <f t="shared" si="1001"/>
        <v>1</v>
      </c>
      <c r="J711" s="80">
        <f t="shared" si="1001"/>
        <v>1</v>
      </c>
      <c r="K711" s="80">
        <f t="shared" si="1001"/>
        <v>1</v>
      </c>
      <c r="L711" s="80">
        <f t="shared" si="1001"/>
        <v>1</v>
      </c>
      <c r="M711" s="80">
        <f t="shared" si="1001"/>
        <v>1</v>
      </c>
      <c r="N711" s="80">
        <f t="shared" si="1001"/>
        <v>1</v>
      </c>
      <c r="O711" s="80">
        <f t="shared" si="1001"/>
        <v>1</v>
      </c>
      <c r="P711" s="80">
        <f t="shared" si="1001"/>
        <v>1</v>
      </c>
      <c r="Q711" s="80">
        <f t="shared" si="1001"/>
        <v>1</v>
      </c>
      <c r="R711" s="80">
        <f t="shared" si="1001"/>
        <v>1</v>
      </c>
      <c r="S711" s="80">
        <f t="shared" si="1001"/>
        <v>1</v>
      </c>
      <c r="T711" s="80">
        <f t="shared" si="1001"/>
        <v>1</v>
      </c>
      <c r="U711" s="80">
        <f t="shared" si="1001"/>
        <v>1</v>
      </c>
      <c r="V711" s="80">
        <f t="shared" si="1001"/>
        <v>1</v>
      </c>
      <c r="W711" s="80">
        <f t="shared" si="1001"/>
        <v>1</v>
      </c>
      <c r="X711" s="80">
        <f t="shared" si="1001"/>
        <v>1</v>
      </c>
      <c r="Y711" s="80">
        <f t="shared" si="1001"/>
        <v>1</v>
      </c>
    </row>
    <row r="712" ht="16.5" spans="2:25">
      <c r="B712" s="65">
        <v>72</v>
      </c>
      <c r="C712" s="80">
        <f t="shared" si="994"/>
        <v>9246</v>
      </c>
      <c r="D712" s="80">
        <f t="shared" ref="D712:Y712" si="1002">IF($C712&gt;D$337,1,0)</f>
        <v>1</v>
      </c>
      <c r="E712" s="80">
        <f t="shared" si="1002"/>
        <v>1</v>
      </c>
      <c r="F712" s="80">
        <f t="shared" si="1002"/>
        <v>1</v>
      </c>
      <c r="G712" s="80">
        <f t="shared" si="1002"/>
        <v>1</v>
      </c>
      <c r="H712" s="80">
        <f t="shared" si="1002"/>
        <v>1</v>
      </c>
      <c r="I712" s="80">
        <f t="shared" si="1002"/>
        <v>1</v>
      </c>
      <c r="J712" s="80">
        <f t="shared" si="1002"/>
        <v>1</v>
      </c>
      <c r="K712" s="80">
        <f t="shared" si="1002"/>
        <v>1</v>
      </c>
      <c r="L712" s="80">
        <f t="shared" si="1002"/>
        <v>1</v>
      </c>
      <c r="M712" s="80">
        <f t="shared" si="1002"/>
        <v>1</v>
      </c>
      <c r="N712" s="80">
        <f t="shared" si="1002"/>
        <v>1</v>
      </c>
      <c r="O712" s="80">
        <f t="shared" si="1002"/>
        <v>1</v>
      </c>
      <c r="P712" s="80">
        <f t="shared" si="1002"/>
        <v>1</v>
      </c>
      <c r="Q712" s="80">
        <f t="shared" si="1002"/>
        <v>1</v>
      </c>
      <c r="R712" s="80">
        <f t="shared" si="1002"/>
        <v>1</v>
      </c>
      <c r="S712" s="80">
        <f t="shared" si="1002"/>
        <v>1</v>
      </c>
      <c r="T712" s="80">
        <f t="shared" si="1002"/>
        <v>1</v>
      </c>
      <c r="U712" s="80">
        <f t="shared" si="1002"/>
        <v>1</v>
      </c>
      <c r="V712" s="80">
        <f t="shared" si="1002"/>
        <v>1</v>
      </c>
      <c r="W712" s="80">
        <f t="shared" si="1002"/>
        <v>1</v>
      </c>
      <c r="X712" s="80">
        <f t="shared" si="1002"/>
        <v>1</v>
      </c>
      <c r="Y712" s="80">
        <f t="shared" si="1002"/>
        <v>1</v>
      </c>
    </row>
    <row r="713" ht="16.5" spans="2:25">
      <c r="B713" s="65">
        <v>73</v>
      </c>
      <c r="C713" s="80">
        <f t="shared" si="994"/>
        <v>9356</v>
      </c>
      <c r="D713" s="80">
        <f t="shared" ref="D713:Y713" si="1003">IF($C713&gt;D$337,1,0)</f>
        <v>1</v>
      </c>
      <c r="E713" s="80">
        <f t="shared" si="1003"/>
        <v>1</v>
      </c>
      <c r="F713" s="80">
        <f t="shared" si="1003"/>
        <v>1</v>
      </c>
      <c r="G713" s="80">
        <f t="shared" si="1003"/>
        <v>1</v>
      </c>
      <c r="H713" s="80">
        <f t="shared" si="1003"/>
        <v>1</v>
      </c>
      <c r="I713" s="80">
        <f t="shared" si="1003"/>
        <v>1</v>
      </c>
      <c r="J713" s="80">
        <f t="shared" si="1003"/>
        <v>1</v>
      </c>
      <c r="K713" s="80">
        <f t="shared" si="1003"/>
        <v>1</v>
      </c>
      <c r="L713" s="80">
        <f t="shared" si="1003"/>
        <v>1</v>
      </c>
      <c r="M713" s="80">
        <f t="shared" si="1003"/>
        <v>1</v>
      </c>
      <c r="N713" s="80">
        <f t="shared" si="1003"/>
        <v>1</v>
      </c>
      <c r="O713" s="80">
        <f t="shared" si="1003"/>
        <v>1</v>
      </c>
      <c r="P713" s="80">
        <f t="shared" si="1003"/>
        <v>1</v>
      </c>
      <c r="Q713" s="80">
        <f t="shared" si="1003"/>
        <v>1</v>
      </c>
      <c r="R713" s="80">
        <f t="shared" si="1003"/>
        <v>1</v>
      </c>
      <c r="S713" s="80">
        <f t="shared" si="1003"/>
        <v>1</v>
      </c>
      <c r="T713" s="80">
        <f t="shared" si="1003"/>
        <v>1</v>
      </c>
      <c r="U713" s="80">
        <f t="shared" si="1003"/>
        <v>1</v>
      </c>
      <c r="V713" s="80">
        <f t="shared" si="1003"/>
        <v>1</v>
      </c>
      <c r="W713" s="80">
        <f t="shared" si="1003"/>
        <v>1</v>
      </c>
      <c r="X713" s="80">
        <f t="shared" si="1003"/>
        <v>1</v>
      </c>
      <c r="Y713" s="80">
        <f t="shared" si="1003"/>
        <v>1</v>
      </c>
    </row>
    <row r="714" ht="16.5" spans="2:25">
      <c r="B714" s="65">
        <v>74</v>
      </c>
      <c r="C714" s="80">
        <f t="shared" si="994"/>
        <v>9466</v>
      </c>
      <c r="D714" s="80">
        <f t="shared" ref="D714:Y714" si="1004">IF($C714&gt;D$337,1,0)</f>
        <v>1</v>
      </c>
      <c r="E714" s="80">
        <f t="shared" si="1004"/>
        <v>1</v>
      </c>
      <c r="F714" s="80">
        <f t="shared" si="1004"/>
        <v>1</v>
      </c>
      <c r="G714" s="80">
        <f t="shared" si="1004"/>
        <v>1</v>
      </c>
      <c r="H714" s="80">
        <f t="shared" si="1004"/>
        <v>1</v>
      </c>
      <c r="I714" s="80">
        <f t="shared" si="1004"/>
        <v>1</v>
      </c>
      <c r="J714" s="80">
        <f t="shared" si="1004"/>
        <v>1</v>
      </c>
      <c r="K714" s="80">
        <f t="shared" si="1004"/>
        <v>1</v>
      </c>
      <c r="L714" s="80">
        <f t="shared" si="1004"/>
        <v>1</v>
      </c>
      <c r="M714" s="80">
        <f t="shared" si="1004"/>
        <v>1</v>
      </c>
      <c r="N714" s="80">
        <f t="shared" si="1004"/>
        <v>1</v>
      </c>
      <c r="O714" s="80">
        <f t="shared" si="1004"/>
        <v>1</v>
      </c>
      <c r="P714" s="80">
        <f t="shared" si="1004"/>
        <v>1</v>
      </c>
      <c r="Q714" s="80">
        <f t="shared" si="1004"/>
        <v>1</v>
      </c>
      <c r="R714" s="80">
        <f t="shared" si="1004"/>
        <v>1</v>
      </c>
      <c r="S714" s="80">
        <f t="shared" si="1004"/>
        <v>1</v>
      </c>
      <c r="T714" s="80">
        <f t="shared" si="1004"/>
        <v>1</v>
      </c>
      <c r="U714" s="80">
        <f t="shared" si="1004"/>
        <v>1</v>
      </c>
      <c r="V714" s="80">
        <f t="shared" si="1004"/>
        <v>1</v>
      </c>
      <c r="W714" s="80">
        <f t="shared" si="1004"/>
        <v>1</v>
      </c>
      <c r="X714" s="80">
        <f t="shared" si="1004"/>
        <v>1</v>
      </c>
      <c r="Y714" s="80">
        <f t="shared" si="1004"/>
        <v>1</v>
      </c>
    </row>
    <row r="715" ht="16.5" spans="2:25">
      <c r="B715" s="65">
        <v>75</v>
      </c>
      <c r="C715" s="80">
        <f t="shared" si="994"/>
        <v>9576</v>
      </c>
      <c r="D715" s="80">
        <f t="shared" ref="D715:Y715" si="1005">IF($C715&gt;D$337,1,0)</f>
        <v>1</v>
      </c>
      <c r="E715" s="80">
        <f t="shared" si="1005"/>
        <v>1</v>
      </c>
      <c r="F715" s="80">
        <f t="shared" si="1005"/>
        <v>1</v>
      </c>
      <c r="G715" s="80">
        <f t="shared" si="1005"/>
        <v>1</v>
      </c>
      <c r="H715" s="80">
        <f t="shared" si="1005"/>
        <v>1</v>
      </c>
      <c r="I715" s="80">
        <f t="shared" si="1005"/>
        <v>1</v>
      </c>
      <c r="J715" s="80">
        <f t="shared" si="1005"/>
        <v>1</v>
      </c>
      <c r="K715" s="80">
        <f t="shared" si="1005"/>
        <v>1</v>
      </c>
      <c r="L715" s="80">
        <f t="shared" si="1005"/>
        <v>1</v>
      </c>
      <c r="M715" s="80">
        <f t="shared" si="1005"/>
        <v>1</v>
      </c>
      <c r="N715" s="80">
        <f t="shared" si="1005"/>
        <v>1</v>
      </c>
      <c r="O715" s="80">
        <f t="shared" si="1005"/>
        <v>1</v>
      </c>
      <c r="P715" s="80">
        <f t="shared" si="1005"/>
        <v>1</v>
      </c>
      <c r="Q715" s="80">
        <f t="shared" si="1005"/>
        <v>1</v>
      </c>
      <c r="R715" s="80">
        <f t="shared" si="1005"/>
        <v>1</v>
      </c>
      <c r="S715" s="80">
        <f t="shared" si="1005"/>
        <v>1</v>
      </c>
      <c r="T715" s="80">
        <f t="shared" si="1005"/>
        <v>1</v>
      </c>
      <c r="U715" s="80">
        <f t="shared" si="1005"/>
        <v>1</v>
      </c>
      <c r="V715" s="80">
        <f t="shared" si="1005"/>
        <v>1</v>
      </c>
      <c r="W715" s="80">
        <f t="shared" si="1005"/>
        <v>1</v>
      </c>
      <c r="X715" s="80">
        <f t="shared" si="1005"/>
        <v>1</v>
      </c>
      <c r="Y715" s="80">
        <f t="shared" si="1005"/>
        <v>1</v>
      </c>
    </row>
    <row r="716" ht="16.5" spans="2:25">
      <c r="B716" s="65">
        <v>76</v>
      </c>
      <c r="C716" s="80">
        <f t="shared" si="994"/>
        <v>9686</v>
      </c>
      <c r="D716" s="80">
        <f t="shared" ref="D716:Y716" si="1006">IF($C716&gt;D$337,1,0)</f>
        <v>1</v>
      </c>
      <c r="E716" s="80">
        <f t="shared" si="1006"/>
        <v>1</v>
      </c>
      <c r="F716" s="80">
        <f t="shared" si="1006"/>
        <v>1</v>
      </c>
      <c r="G716" s="80">
        <f t="shared" si="1006"/>
        <v>1</v>
      </c>
      <c r="H716" s="80">
        <f t="shared" si="1006"/>
        <v>1</v>
      </c>
      <c r="I716" s="80">
        <f t="shared" si="1006"/>
        <v>1</v>
      </c>
      <c r="J716" s="80">
        <f t="shared" si="1006"/>
        <v>1</v>
      </c>
      <c r="K716" s="80">
        <f t="shared" si="1006"/>
        <v>1</v>
      </c>
      <c r="L716" s="80">
        <f t="shared" si="1006"/>
        <v>1</v>
      </c>
      <c r="M716" s="80">
        <f t="shared" si="1006"/>
        <v>1</v>
      </c>
      <c r="N716" s="80">
        <f t="shared" si="1006"/>
        <v>1</v>
      </c>
      <c r="O716" s="80">
        <f t="shared" si="1006"/>
        <v>1</v>
      </c>
      <c r="P716" s="80">
        <f t="shared" si="1006"/>
        <v>1</v>
      </c>
      <c r="Q716" s="80">
        <f t="shared" si="1006"/>
        <v>1</v>
      </c>
      <c r="R716" s="80">
        <f t="shared" si="1006"/>
        <v>1</v>
      </c>
      <c r="S716" s="80">
        <f t="shared" si="1006"/>
        <v>1</v>
      </c>
      <c r="T716" s="80">
        <f t="shared" si="1006"/>
        <v>1</v>
      </c>
      <c r="U716" s="80">
        <f t="shared" si="1006"/>
        <v>1</v>
      </c>
      <c r="V716" s="80">
        <f t="shared" si="1006"/>
        <v>1</v>
      </c>
      <c r="W716" s="80">
        <f t="shared" si="1006"/>
        <v>1</v>
      </c>
      <c r="X716" s="80">
        <f t="shared" si="1006"/>
        <v>1</v>
      </c>
      <c r="Y716" s="80">
        <f t="shared" si="1006"/>
        <v>1</v>
      </c>
    </row>
    <row r="717" ht="16.5" spans="2:25">
      <c r="B717" s="65">
        <v>77</v>
      </c>
      <c r="C717" s="80">
        <f t="shared" si="994"/>
        <v>9796</v>
      </c>
      <c r="D717" s="80">
        <f t="shared" ref="D717:Y717" si="1007">IF($C717&gt;D$337,1,0)</f>
        <v>1</v>
      </c>
      <c r="E717" s="80">
        <f t="shared" si="1007"/>
        <v>1</v>
      </c>
      <c r="F717" s="80">
        <f t="shared" si="1007"/>
        <v>1</v>
      </c>
      <c r="G717" s="80">
        <f t="shared" si="1007"/>
        <v>1</v>
      </c>
      <c r="H717" s="80">
        <f t="shared" si="1007"/>
        <v>1</v>
      </c>
      <c r="I717" s="80">
        <f t="shared" si="1007"/>
        <v>1</v>
      </c>
      <c r="J717" s="80">
        <f t="shared" si="1007"/>
        <v>1</v>
      </c>
      <c r="K717" s="80">
        <f t="shared" si="1007"/>
        <v>1</v>
      </c>
      <c r="L717" s="80">
        <f t="shared" si="1007"/>
        <v>1</v>
      </c>
      <c r="M717" s="80">
        <f t="shared" si="1007"/>
        <v>1</v>
      </c>
      <c r="N717" s="80">
        <f t="shared" si="1007"/>
        <v>1</v>
      </c>
      <c r="O717" s="80">
        <f t="shared" si="1007"/>
        <v>1</v>
      </c>
      <c r="P717" s="80">
        <f t="shared" si="1007"/>
        <v>1</v>
      </c>
      <c r="Q717" s="80">
        <f t="shared" si="1007"/>
        <v>1</v>
      </c>
      <c r="R717" s="80">
        <f t="shared" si="1007"/>
        <v>1</v>
      </c>
      <c r="S717" s="80">
        <f t="shared" si="1007"/>
        <v>1</v>
      </c>
      <c r="T717" s="80">
        <f t="shared" si="1007"/>
        <v>1</v>
      </c>
      <c r="U717" s="80">
        <f t="shared" si="1007"/>
        <v>1</v>
      </c>
      <c r="V717" s="80">
        <f t="shared" si="1007"/>
        <v>1</v>
      </c>
      <c r="W717" s="80">
        <f t="shared" si="1007"/>
        <v>1</v>
      </c>
      <c r="X717" s="80">
        <f t="shared" si="1007"/>
        <v>1</v>
      </c>
      <c r="Y717" s="80">
        <f t="shared" si="1007"/>
        <v>1</v>
      </c>
    </row>
    <row r="718" ht="16.5" spans="2:25">
      <c r="B718" s="65">
        <v>78</v>
      </c>
      <c r="C718" s="80">
        <f t="shared" si="994"/>
        <v>9906</v>
      </c>
      <c r="D718" s="80">
        <f t="shared" ref="D718:Y718" si="1008">IF($C718&gt;D$337,1,0)</f>
        <v>1</v>
      </c>
      <c r="E718" s="80">
        <f t="shared" si="1008"/>
        <v>1</v>
      </c>
      <c r="F718" s="80">
        <f t="shared" si="1008"/>
        <v>1</v>
      </c>
      <c r="G718" s="80">
        <f t="shared" si="1008"/>
        <v>1</v>
      </c>
      <c r="H718" s="80">
        <f t="shared" si="1008"/>
        <v>1</v>
      </c>
      <c r="I718" s="80">
        <f t="shared" si="1008"/>
        <v>1</v>
      </c>
      <c r="J718" s="80">
        <f t="shared" si="1008"/>
        <v>1</v>
      </c>
      <c r="K718" s="80">
        <f t="shared" si="1008"/>
        <v>1</v>
      </c>
      <c r="L718" s="80">
        <f t="shared" si="1008"/>
        <v>1</v>
      </c>
      <c r="M718" s="80">
        <f t="shared" si="1008"/>
        <v>1</v>
      </c>
      <c r="N718" s="80">
        <f t="shared" si="1008"/>
        <v>1</v>
      </c>
      <c r="O718" s="80">
        <f t="shared" si="1008"/>
        <v>1</v>
      </c>
      <c r="P718" s="80">
        <f t="shared" si="1008"/>
        <v>1</v>
      </c>
      <c r="Q718" s="80">
        <f t="shared" si="1008"/>
        <v>1</v>
      </c>
      <c r="R718" s="80">
        <f t="shared" si="1008"/>
        <v>1</v>
      </c>
      <c r="S718" s="80">
        <f t="shared" si="1008"/>
        <v>1</v>
      </c>
      <c r="T718" s="80">
        <f t="shared" si="1008"/>
        <v>1</v>
      </c>
      <c r="U718" s="80">
        <f t="shared" si="1008"/>
        <v>1</v>
      </c>
      <c r="V718" s="80">
        <f t="shared" si="1008"/>
        <v>1</v>
      </c>
      <c r="W718" s="80">
        <f t="shared" si="1008"/>
        <v>1</v>
      </c>
      <c r="X718" s="80">
        <f t="shared" si="1008"/>
        <v>1</v>
      </c>
      <c r="Y718" s="80">
        <f t="shared" si="1008"/>
        <v>1</v>
      </c>
    </row>
    <row r="719" ht="16.5" spans="2:25">
      <c r="B719" s="65">
        <v>79</v>
      </c>
      <c r="C719" s="80">
        <f t="shared" si="994"/>
        <v>10016</v>
      </c>
      <c r="D719" s="80">
        <f t="shared" ref="D719:Y719" si="1009">IF($C719&gt;D$337,1,0)</f>
        <v>1</v>
      </c>
      <c r="E719" s="80">
        <f t="shared" si="1009"/>
        <v>1</v>
      </c>
      <c r="F719" s="80">
        <f t="shared" si="1009"/>
        <v>1</v>
      </c>
      <c r="G719" s="80">
        <f t="shared" si="1009"/>
        <v>1</v>
      </c>
      <c r="H719" s="80">
        <f t="shared" si="1009"/>
        <v>1</v>
      </c>
      <c r="I719" s="80">
        <f t="shared" si="1009"/>
        <v>1</v>
      </c>
      <c r="J719" s="80">
        <f t="shared" si="1009"/>
        <v>1</v>
      </c>
      <c r="K719" s="80">
        <f t="shared" si="1009"/>
        <v>1</v>
      </c>
      <c r="L719" s="80">
        <f t="shared" si="1009"/>
        <v>1</v>
      </c>
      <c r="M719" s="80">
        <f t="shared" si="1009"/>
        <v>1</v>
      </c>
      <c r="N719" s="80">
        <f t="shared" si="1009"/>
        <v>1</v>
      </c>
      <c r="O719" s="80">
        <f t="shared" si="1009"/>
        <v>1</v>
      </c>
      <c r="P719" s="80">
        <f t="shared" si="1009"/>
        <v>1</v>
      </c>
      <c r="Q719" s="80">
        <f t="shared" si="1009"/>
        <v>1</v>
      </c>
      <c r="R719" s="80">
        <f t="shared" si="1009"/>
        <v>1</v>
      </c>
      <c r="S719" s="80">
        <f t="shared" si="1009"/>
        <v>1</v>
      </c>
      <c r="T719" s="80">
        <f t="shared" si="1009"/>
        <v>1</v>
      </c>
      <c r="U719" s="80">
        <f t="shared" si="1009"/>
        <v>1</v>
      </c>
      <c r="V719" s="80">
        <f t="shared" si="1009"/>
        <v>1</v>
      </c>
      <c r="W719" s="80">
        <f t="shared" si="1009"/>
        <v>1</v>
      </c>
      <c r="X719" s="80">
        <f t="shared" si="1009"/>
        <v>1</v>
      </c>
      <c r="Y719" s="80">
        <f t="shared" si="1009"/>
        <v>1</v>
      </c>
    </row>
    <row r="720" ht="16.5" spans="2:25">
      <c r="B720" s="65">
        <v>80</v>
      </c>
      <c r="C720" s="80">
        <f t="shared" si="994"/>
        <v>10126</v>
      </c>
      <c r="D720" s="80">
        <f t="shared" ref="D720:Y720" si="1010">IF($C720&gt;D$337,1,0)</f>
        <v>1</v>
      </c>
      <c r="E720" s="80">
        <f t="shared" si="1010"/>
        <v>1</v>
      </c>
      <c r="F720" s="80">
        <f t="shared" si="1010"/>
        <v>1</v>
      </c>
      <c r="G720" s="80">
        <f t="shared" si="1010"/>
        <v>1</v>
      </c>
      <c r="H720" s="80">
        <f t="shared" si="1010"/>
        <v>1</v>
      </c>
      <c r="I720" s="80">
        <f t="shared" si="1010"/>
        <v>1</v>
      </c>
      <c r="J720" s="80">
        <f t="shared" si="1010"/>
        <v>1</v>
      </c>
      <c r="K720" s="80">
        <f t="shared" si="1010"/>
        <v>1</v>
      </c>
      <c r="L720" s="80">
        <f t="shared" si="1010"/>
        <v>1</v>
      </c>
      <c r="M720" s="80">
        <f t="shared" si="1010"/>
        <v>1</v>
      </c>
      <c r="N720" s="80">
        <f t="shared" si="1010"/>
        <v>1</v>
      </c>
      <c r="O720" s="80">
        <f t="shared" si="1010"/>
        <v>1</v>
      </c>
      <c r="P720" s="80">
        <f t="shared" si="1010"/>
        <v>1</v>
      </c>
      <c r="Q720" s="80">
        <f t="shared" si="1010"/>
        <v>1</v>
      </c>
      <c r="R720" s="80">
        <f t="shared" si="1010"/>
        <v>1</v>
      </c>
      <c r="S720" s="80">
        <f t="shared" si="1010"/>
        <v>1</v>
      </c>
      <c r="T720" s="80">
        <f t="shared" si="1010"/>
        <v>1</v>
      </c>
      <c r="U720" s="80">
        <f t="shared" si="1010"/>
        <v>1</v>
      </c>
      <c r="V720" s="80">
        <f t="shared" si="1010"/>
        <v>1</v>
      </c>
      <c r="W720" s="80">
        <f t="shared" si="1010"/>
        <v>1</v>
      </c>
      <c r="X720" s="80">
        <f t="shared" si="1010"/>
        <v>1</v>
      </c>
      <c r="Y720" s="80">
        <f t="shared" si="1010"/>
        <v>1</v>
      </c>
    </row>
    <row r="721" ht="16.5" spans="2:25">
      <c r="B721" s="65">
        <v>81</v>
      </c>
      <c r="C721" s="80">
        <f t="shared" si="994"/>
        <v>10236</v>
      </c>
      <c r="D721" s="80">
        <f t="shared" ref="D721:Y721" si="1011">IF($C721&gt;D$337,1,0)</f>
        <v>1</v>
      </c>
      <c r="E721" s="80">
        <f t="shared" si="1011"/>
        <v>1</v>
      </c>
      <c r="F721" s="80">
        <f t="shared" si="1011"/>
        <v>1</v>
      </c>
      <c r="G721" s="80">
        <f t="shared" si="1011"/>
        <v>1</v>
      </c>
      <c r="H721" s="80">
        <f t="shared" si="1011"/>
        <v>1</v>
      </c>
      <c r="I721" s="80">
        <f t="shared" si="1011"/>
        <v>1</v>
      </c>
      <c r="J721" s="80">
        <f t="shared" si="1011"/>
        <v>1</v>
      </c>
      <c r="K721" s="80">
        <f t="shared" si="1011"/>
        <v>1</v>
      </c>
      <c r="L721" s="80">
        <f t="shared" si="1011"/>
        <v>1</v>
      </c>
      <c r="M721" s="80">
        <f t="shared" si="1011"/>
        <v>1</v>
      </c>
      <c r="N721" s="80">
        <f t="shared" si="1011"/>
        <v>1</v>
      </c>
      <c r="O721" s="80">
        <f t="shared" si="1011"/>
        <v>1</v>
      </c>
      <c r="P721" s="80">
        <f t="shared" si="1011"/>
        <v>1</v>
      </c>
      <c r="Q721" s="80">
        <f t="shared" si="1011"/>
        <v>1</v>
      </c>
      <c r="R721" s="80">
        <f t="shared" si="1011"/>
        <v>1</v>
      </c>
      <c r="S721" s="80">
        <f t="shared" si="1011"/>
        <v>1</v>
      </c>
      <c r="T721" s="80">
        <f t="shared" si="1011"/>
        <v>1</v>
      </c>
      <c r="U721" s="80">
        <f t="shared" si="1011"/>
        <v>1</v>
      </c>
      <c r="V721" s="80">
        <f t="shared" si="1011"/>
        <v>1</v>
      </c>
      <c r="W721" s="80">
        <f t="shared" si="1011"/>
        <v>1</v>
      </c>
      <c r="X721" s="80">
        <f t="shared" si="1011"/>
        <v>1</v>
      </c>
      <c r="Y721" s="80">
        <f t="shared" si="1011"/>
        <v>1</v>
      </c>
    </row>
    <row r="722" ht="16.5" spans="2:25">
      <c r="B722" s="65">
        <v>82</v>
      </c>
      <c r="C722" s="80">
        <f t="shared" si="994"/>
        <v>10346</v>
      </c>
      <c r="D722" s="80">
        <f t="shared" ref="D722:Y722" si="1012">IF($C722&gt;D$337,1,0)</f>
        <v>1</v>
      </c>
      <c r="E722" s="80">
        <f t="shared" si="1012"/>
        <v>1</v>
      </c>
      <c r="F722" s="80">
        <f t="shared" si="1012"/>
        <v>1</v>
      </c>
      <c r="G722" s="80">
        <f t="shared" si="1012"/>
        <v>1</v>
      </c>
      <c r="H722" s="80">
        <f t="shared" si="1012"/>
        <v>1</v>
      </c>
      <c r="I722" s="80">
        <f t="shared" si="1012"/>
        <v>1</v>
      </c>
      <c r="J722" s="80">
        <f t="shared" si="1012"/>
        <v>1</v>
      </c>
      <c r="K722" s="80">
        <f t="shared" si="1012"/>
        <v>1</v>
      </c>
      <c r="L722" s="80">
        <f t="shared" si="1012"/>
        <v>1</v>
      </c>
      <c r="M722" s="80">
        <f t="shared" si="1012"/>
        <v>1</v>
      </c>
      <c r="N722" s="80">
        <f t="shared" si="1012"/>
        <v>1</v>
      </c>
      <c r="O722" s="80">
        <f t="shared" si="1012"/>
        <v>1</v>
      </c>
      <c r="P722" s="80">
        <f t="shared" si="1012"/>
        <v>1</v>
      </c>
      <c r="Q722" s="80">
        <f t="shared" si="1012"/>
        <v>1</v>
      </c>
      <c r="R722" s="80">
        <f t="shared" si="1012"/>
        <v>1</v>
      </c>
      <c r="S722" s="80">
        <f t="shared" si="1012"/>
        <v>1</v>
      </c>
      <c r="T722" s="80">
        <f t="shared" si="1012"/>
        <v>1</v>
      </c>
      <c r="U722" s="80">
        <f t="shared" si="1012"/>
        <v>1</v>
      </c>
      <c r="V722" s="80">
        <f t="shared" si="1012"/>
        <v>1</v>
      </c>
      <c r="W722" s="80">
        <f t="shared" si="1012"/>
        <v>1</v>
      </c>
      <c r="X722" s="80">
        <f t="shared" si="1012"/>
        <v>1</v>
      </c>
      <c r="Y722" s="80">
        <f t="shared" si="1012"/>
        <v>1</v>
      </c>
    </row>
    <row r="723" ht="16.5" spans="2:25">
      <c r="B723" s="65">
        <v>83</v>
      </c>
      <c r="C723" s="80">
        <f t="shared" si="994"/>
        <v>10456</v>
      </c>
      <c r="D723" s="80">
        <f t="shared" ref="D723:Y723" si="1013">IF($C723&gt;D$337,1,0)</f>
        <v>1</v>
      </c>
      <c r="E723" s="80">
        <f t="shared" si="1013"/>
        <v>1</v>
      </c>
      <c r="F723" s="80">
        <f t="shared" si="1013"/>
        <v>1</v>
      </c>
      <c r="G723" s="80">
        <f t="shared" si="1013"/>
        <v>1</v>
      </c>
      <c r="H723" s="80">
        <f t="shared" si="1013"/>
        <v>1</v>
      </c>
      <c r="I723" s="80">
        <f t="shared" si="1013"/>
        <v>1</v>
      </c>
      <c r="J723" s="80">
        <f t="shared" si="1013"/>
        <v>1</v>
      </c>
      <c r="K723" s="80">
        <f t="shared" si="1013"/>
        <v>1</v>
      </c>
      <c r="L723" s="80">
        <f t="shared" si="1013"/>
        <v>1</v>
      </c>
      <c r="M723" s="80">
        <f t="shared" si="1013"/>
        <v>1</v>
      </c>
      <c r="N723" s="80">
        <f t="shared" si="1013"/>
        <v>1</v>
      </c>
      <c r="O723" s="80">
        <f t="shared" si="1013"/>
        <v>1</v>
      </c>
      <c r="P723" s="80">
        <f t="shared" si="1013"/>
        <v>1</v>
      </c>
      <c r="Q723" s="80">
        <f t="shared" si="1013"/>
        <v>1</v>
      </c>
      <c r="R723" s="80">
        <f t="shared" si="1013"/>
        <v>1</v>
      </c>
      <c r="S723" s="80">
        <f t="shared" si="1013"/>
        <v>1</v>
      </c>
      <c r="T723" s="80">
        <f t="shared" si="1013"/>
        <v>1</v>
      </c>
      <c r="U723" s="80">
        <f t="shared" si="1013"/>
        <v>1</v>
      </c>
      <c r="V723" s="80">
        <f t="shared" si="1013"/>
        <v>1</v>
      </c>
      <c r="W723" s="80">
        <f t="shared" si="1013"/>
        <v>1</v>
      </c>
      <c r="X723" s="80">
        <f t="shared" si="1013"/>
        <v>1</v>
      </c>
      <c r="Y723" s="80">
        <f t="shared" si="1013"/>
        <v>1</v>
      </c>
    </row>
    <row r="724" ht="16.5" spans="2:25">
      <c r="B724" s="65">
        <v>84</v>
      </c>
      <c r="C724" s="80">
        <f t="shared" si="994"/>
        <v>10566</v>
      </c>
      <c r="D724" s="80">
        <f t="shared" ref="D724:Y724" si="1014">IF($C724&gt;D$337,1,0)</f>
        <v>1</v>
      </c>
      <c r="E724" s="80">
        <f t="shared" si="1014"/>
        <v>1</v>
      </c>
      <c r="F724" s="80">
        <f t="shared" si="1014"/>
        <v>1</v>
      </c>
      <c r="G724" s="80">
        <f t="shared" si="1014"/>
        <v>1</v>
      </c>
      <c r="H724" s="80">
        <f t="shared" si="1014"/>
        <v>1</v>
      </c>
      <c r="I724" s="80">
        <f t="shared" si="1014"/>
        <v>1</v>
      </c>
      <c r="J724" s="80">
        <f t="shared" si="1014"/>
        <v>1</v>
      </c>
      <c r="K724" s="80">
        <f t="shared" si="1014"/>
        <v>1</v>
      </c>
      <c r="L724" s="80">
        <f t="shared" si="1014"/>
        <v>1</v>
      </c>
      <c r="M724" s="80">
        <f t="shared" si="1014"/>
        <v>1</v>
      </c>
      <c r="N724" s="80">
        <f t="shared" si="1014"/>
        <v>1</v>
      </c>
      <c r="O724" s="80">
        <f t="shared" si="1014"/>
        <v>1</v>
      </c>
      <c r="P724" s="80">
        <f t="shared" si="1014"/>
        <v>1</v>
      </c>
      <c r="Q724" s="80">
        <f t="shared" si="1014"/>
        <v>1</v>
      </c>
      <c r="R724" s="80">
        <f t="shared" si="1014"/>
        <v>1</v>
      </c>
      <c r="S724" s="80">
        <f t="shared" si="1014"/>
        <v>1</v>
      </c>
      <c r="T724" s="80">
        <f t="shared" si="1014"/>
        <v>1</v>
      </c>
      <c r="U724" s="80">
        <f t="shared" si="1014"/>
        <v>1</v>
      </c>
      <c r="V724" s="80">
        <f t="shared" si="1014"/>
        <v>1</v>
      </c>
      <c r="W724" s="80">
        <f t="shared" si="1014"/>
        <v>1</v>
      </c>
      <c r="X724" s="80">
        <f t="shared" si="1014"/>
        <v>1</v>
      </c>
      <c r="Y724" s="80">
        <f t="shared" si="1014"/>
        <v>1</v>
      </c>
    </row>
    <row r="725" ht="16.5" spans="2:25">
      <c r="B725" s="65">
        <v>85</v>
      </c>
      <c r="C725" s="80">
        <f t="shared" si="994"/>
        <v>10676</v>
      </c>
      <c r="D725" s="80">
        <f t="shared" ref="D725:Y725" si="1015">IF($C725&gt;D$337,1,0)</f>
        <v>1</v>
      </c>
      <c r="E725" s="80">
        <f t="shared" si="1015"/>
        <v>1</v>
      </c>
      <c r="F725" s="80">
        <f t="shared" si="1015"/>
        <v>1</v>
      </c>
      <c r="G725" s="80">
        <f t="shared" si="1015"/>
        <v>1</v>
      </c>
      <c r="H725" s="80">
        <f t="shared" si="1015"/>
        <v>1</v>
      </c>
      <c r="I725" s="80">
        <f t="shared" si="1015"/>
        <v>1</v>
      </c>
      <c r="J725" s="80">
        <f t="shared" si="1015"/>
        <v>1</v>
      </c>
      <c r="K725" s="80">
        <f t="shared" si="1015"/>
        <v>1</v>
      </c>
      <c r="L725" s="80">
        <f t="shared" si="1015"/>
        <v>1</v>
      </c>
      <c r="M725" s="80">
        <f t="shared" si="1015"/>
        <v>1</v>
      </c>
      <c r="N725" s="80">
        <f t="shared" si="1015"/>
        <v>1</v>
      </c>
      <c r="O725" s="80">
        <f t="shared" si="1015"/>
        <v>1</v>
      </c>
      <c r="P725" s="80">
        <f t="shared" si="1015"/>
        <v>1</v>
      </c>
      <c r="Q725" s="80">
        <f t="shared" si="1015"/>
        <v>1</v>
      </c>
      <c r="R725" s="80">
        <f t="shared" si="1015"/>
        <v>1</v>
      </c>
      <c r="S725" s="80">
        <f t="shared" si="1015"/>
        <v>1</v>
      </c>
      <c r="T725" s="80">
        <f t="shared" si="1015"/>
        <v>1</v>
      </c>
      <c r="U725" s="80">
        <f t="shared" si="1015"/>
        <v>1</v>
      </c>
      <c r="V725" s="80">
        <f t="shared" si="1015"/>
        <v>1</v>
      </c>
      <c r="W725" s="80">
        <f t="shared" si="1015"/>
        <v>1</v>
      </c>
      <c r="X725" s="80">
        <f t="shared" si="1015"/>
        <v>1</v>
      </c>
      <c r="Y725" s="80">
        <f t="shared" si="1015"/>
        <v>1</v>
      </c>
    </row>
    <row r="726" ht="16.5" spans="2:25">
      <c r="B726" s="65">
        <v>86</v>
      </c>
      <c r="C726" s="80">
        <f t="shared" si="994"/>
        <v>10786</v>
      </c>
      <c r="D726" s="80">
        <f t="shared" ref="D726:Y726" si="1016">IF($C726&gt;D$337,1,0)</f>
        <v>1</v>
      </c>
      <c r="E726" s="80">
        <f t="shared" si="1016"/>
        <v>1</v>
      </c>
      <c r="F726" s="80">
        <f t="shared" si="1016"/>
        <v>1</v>
      </c>
      <c r="G726" s="80">
        <f t="shared" si="1016"/>
        <v>1</v>
      </c>
      <c r="H726" s="80">
        <f t="shared" si="1016"/>
        <v>1</v>
      </c>
      <c r="I726" s="80">
        <f t="shared" si="1016"/>
        <v>1</v>
      </c>
      <c r="J726" s="80">
        <f t="shared" si="1016"/>
        <v>1</v>
      </c>
      <c r="K726" s="80">
        <f t="shared" si="1016"/>
        <v>1</v>
      </c>
      <c r="L726" s="80">
        <f t="shared" si="1016"/>
        <v>1</v>
      </c>
      <c r="M726" s="80">
        <f t="shared" si="1016"/>
        <v>1</v>
      </c>
      <c r="N726" s="80">
        <f t="shared" si="1016"/>
        <v>1</v>
      </c>
      <c r="O726" s="80">
        <f t="shared" si="1016"/>
        <v>1</v>
      </c>
      <c r="P726" s="80">
        <f t="shared" si="1016"/>
        <v>1</v>
      </c>
      <c r="Q726" s="80">
        <f t="shared" si="1016"/>
        <v>1</v>
      </c>
      <c r="R726" s="80">
        <f t="shared" si="1016"/>
        <v>1</v>
      </c>
      <c r="S726" s="80">
        <f t="shared" si="1016"/>
        <v>1</v>
      </c>
      <c r="T726" s="80">
        <f t="shared" si="1016"/>
        <v>1</v>
      </c>
      <c r="U726" s="80">
        <f t="shared" si="1016"/>
        <v>1</v>
      </c>
      <c r="V726" s="80">
        <f t="shared" si="1016"/>
        <v>1</v>
      </c>
      <c r="W726" s="80">
        <f t="shared" si="1016"/>
        <v>1</v>
      </c>
      <c r="X726" s="80">
        <f t="shared" si="1016"/>
        <v>1</v>
      </c>
      <c r="Y726" s="80">
        <f t="shared" si="1016"/>
        <v>1</v>
      </c>
    </row>
    <row r="727" ht="16.5" spans="2:25">
      <c r="B727" s="65">
        <v>87</v>
      </c>
      <c r="C727" s="80">
        <f t="shared" si="994"/>
        <v>10896</v>
      </c>
      <c r="D727" s="80">
        <f t="shared" ref="D727:Y727" si="1017">IF($C727&gt;D$337,1,0)</f>
        <v>1</v>
      </c>
      <c r="E727" s="80">
        <f t="shared" si="1017"/>
        <v>1</v>
      </c>
      <c r="F727" s="80">
        <f t="shared" si="1017"/>
        <v>1</v>
      </c>
      <c r="G727" s="80">
        <f t="shared" si="1017"/>
        <v>1</v>
      </c>
      <c r="H727" s="80">
        <f t="shared" si="1017"/>
        <v>1</v>
      </c>
      <c r="I727" s="80">
        <f t="shared" si="1017"/>
        <v>1</v>
      </c>
      <c r="J727" s="80">
        <f t="shared" si="1017"/>
        <v>1</v>
      </c>
      <c r="K727" s="80">
        <f t="shared" si="1017"/>
        <v>1</v>
      </c>
      <c r="L727" s="80">
        <f t="shared" si="1017"/>
        <v>1</v>
      </c>
      <c r="M727" s="80">
        <f t="shared" si="1017"/>
        <v>1</v>
      </c>
      <c r="N727" s="80">
        <f t="shared" si="1017"/>
        <v>1</v>
      </c>
      <c r="O727" s="80">
        <f t="shared" si="1017"/>
        <v>1</v>
      </c>
      <c r="P727" s="80">
        <f t="shared" si="1017"/>
        <v>1</v>
      </c>
      <c r="Q727" s="80">
        <f t="shared" si="1017"/>
        <v>1</v>
      </c>
      <c r="R727" s="80">
        <f t="shared" si="1017"/>
        <v>1</v>
      </c>
      <c r="S727" s="80">
        <f t="shared" si="1017"/>
        <v>1</v>
      </c>
      <c r="T727" s="80">
        <f t="shared" si="1017"/>
        <v>1</v>
      </c>
      <c r="U727" s="80">
        <f t="shared" si="1017"/>
        <v>1</v>
      </c>
      <c r="V727" s="80">
        <f t="shared" si="1017"/>
        <v>1</v>
      </c>
      <c r="W727" s="80">
        <f t="shared" si="1017"/>
        <v>1</v>
      </c>
      <c r="X727" s="80">
        <f t="shared" si="1017"/>
        <v>1</v>
      </c>
      <c r="Y727" s="80">
        <f t="shared" si="1017"/>
        <v>1</v>
      </c>
    </row>
    <row r="728" ht="16.5" spans="2:25">
      <c r="B728" s="65">
        <v>88</v>
      </c>
      <c r="C728" s="80">
        <f t="shared" si="994"/>
        <v>11006</v>
      </c>
      <c r="D728" s="80">
        <f t="shared" ref="D728:Y728" si="1018">IF($C728&gt;D$337,1,0)</f>
        <v>1</v>
      </c>
      <c r="E728" s="80">
        <f t="shared" si="1018"/>
        <v>1</v>
      </c>
      <c r="F728" s="80">
        <f t="shared" si="1018"/>
        <v>1</v>
      </c>
      <c r="G728" s="80">
        <f t="shared" si="1018"/>
        <v>1</v>
      </c>
      <c r="H728" s="80">
        <f t="shared" si="1018"/>
        <v>1</v>
      </c>
      <c r="I728" s="80">
        <f t="shared" si="1018"/>
        <v>1</v>
      </c>
      <c r="J728" s="80">
        <f t="shared" si="1018"/>
        <v>1</v>
      </c>
      <c r="K728" s="80">
        <f t="shared" si="1018"/>
        <v>1</v>
      </c>
      <c r="L728" s="80">
        <f t="shared" si="1018"/>
        <v>1</v>
      </c>
      <c r="M728" s="80">
        <f t="shared" si="1018"/>
        <v>1</v>
      </c>
      <c r="N728" s="80">
        <f t="shared" si="1018"/>
        <v>1</v>
      </c>
      <c r="O728" s="80">
        <f t="shared" si="1018"/>
        <v>1</v>
      </c>
      <c r="P728" s="80">
        <f t="shared" si="1018"/>
        <v>1</v>
      </c>
      <c r="Q728" s="80">
        <f t="shared" si="1018"/>
        <v>1</v>
      </c>
      <c r="R728" s="80">
        <f t="shared" si="1018"/>
        <v>1</v>
      </c>
      <c r="S728" s="80">
        <f t="shared" si="1018"/>
        <v>1</v>
      </c>
      <c r="T728" s="80">
        <f t="shared" si="1018"/>
        <v>1</v>
      </c>
      <c r="U728" s="80">
        <f t="shared" si="1018"/>
        <v>1</v>
      </c>
      <c r="V728" s="80">
        <f t="shared" si="1018"/>
        <v>1</v>
      </c>
      <c r="W728" s="80">
        <f t="shared" si="1018"/>
        <v>1</v>
      </c>
      <c r="X728" s="80">
        <f t="shared" si="1018"/>
        <v>1</v>
      </c>
      <c r="Y728" s="80">
        <f t="shared" si="1018"/>
        <v>1</v>
      </c>
    </row>
    <row r="729" ht="16.5" spans="2:25">
      <c r="B729" s="65">
        <v>89</v>
      </c>
      <c r="C729" s="80">
        <f t="shared" si="994"/>
        <v>11116</v>
      </c>
      <c r="D729" s="80">
        <f t="shared" ref="D729:Y729" si="1019">IF($C729&gt;D$337,1,0)</f>
        <v>1</v>
      </c>
      <c r="E729" s="80">
        <f t="shared" si="1019"/>
        <v>1</v>
      </c>
      <c r="F729" s="80">
        <f t="shared" si="1019"/>
        <v>1</v>
      </c>
      <c r="G729" s="80">
        <f t="shared" si="1019"/>
        <v>1</v>
      </c>
      <c r="H729" s="80">
        <f t="shared" si="1019"/>
        <v>1</v>
      </c>
      <c r="I729" s="80">
        <f t="shared" si="1019"/>
        <v>1</v>
      </c>
      <c r="J729" s="80">
        <f t="shared" si="1019"/>
        <v>1</v>
      </c>
      <c r="K729" s="80">
        <f t="shared" si="1019"/>
        <v>1</v>
      </c>
      <c r="L729" s="80">
        <f t="shared" si="1019"/>
        <v>1</v>
      </c>
      <c r="M729" s="80">
        <f t="shared" si="1019"/>
        <v>1</v>
      </c>
      <c r="N729" s="80">
        <f t="shared" si="1019"/>
        <v>1</v>
      </c>
      <c r="O729" s="80">
        <f t="shared" si="1019"/>
        <v>1</v>
      </c>
      <c r="P729" s="80">
        <f t="shared" si="1019"/>
        <v>1</v>
      </c>
      <c r="Q729" s="80">
        <f t="shared" si="1019"/>
        <v>1</v>
      </c>
      <c r="R729" s="80">
        <f t="shared" si="1019"/>
        <v>1</v>
      </c>
      <c r="S729" s="80">
        <f t="shared" si="1019"/>
        <v>1</v>
      </c>
      <c r="T729" s="80">
        <f t="shared" si="1019"/>
        <v>1</v>
      </c>
      <c r="U729" s="80">
        <f t="shared" si="1019"/>
        <v>1</v>
      </c>
      <c r="V729" s="80">
        <f t="shared" si="1019"/>
        <v>1</v>
      </c>
      <c r="W729" s="80">
        <f t="shared" si="1019"/>
        <v>1</v>
      </c>
      <c r="X729" s="80">
        <f t="shared" si="1019"/>
        <v>1</v>
      </c>
      <c r="Y729" s="80">
        <f t="shared" si="1019"/>
        <v>1</v>
      </c>
    </row>
    <row r="730" ht="16.5" spans="2:25">
      <c r="B730" s="65">
        <v>90</v>
      </c>
      <c r="C730" s="80">
        <f t="shared" si="994"/>
        <v>11226</v>
      </c>
      <c r="D730" s="80">
        <f t="shared" ref="D730:Y730" si="1020">IF($C730&gt;D$337,1,0)</f>
        <v>1</v>
      </c>
      <c r="E730" s="80">
        <f t="shared" si="1020"/>
        <v>1</v>
      </c>
      <c r="F730" s="80">
        <f t="shared" si="1020"/>
        <v>1</v>
      </c>
      <c r="G730" s="80">
        <f t="shared" si="1020"/>
        <v>1</v>
      </c>
      <c r="H730" s="80">
        <f t="shared" si="1020"/>
        <v>1</v>
      </c>
      <c r="I730" s="80">
        <f t="shared" si="1020"/>
        <v>1</v>
      </c>
      <c r="J730" s="80">
        <f t="shared" si="1020"/>
        <v>1</v>
      </c>
      <c r="K730" s="80">
        <f t="shared" si="1020"/>
        <v>1</v>
      </c>
      <c r="L730" s="80">
        <f t="shared" si="1020"/>
        <v>1</v>
      </c>
      <c r="M730" s="80">
        <f t="shared" si="1020"/>
        <v>1</v>
      </c>
      <c r="N730" s="80">
        <f t="shared" si="1020"/>
        <v>1</v>
      </c>
      <c r="O730" s="80">
        <f t="shared" si="1020"/>
        <v>1</v>
      </c>
      <c r="P730" s="80">
        <f t="shared" si="1020"/>
        <v>1</v>
      </c>
      <c r="Q730" s="80">
        <f t="shared" si="1020"/>
        <v>1</v>
      </c>
      <c r="R730" s="80">
        <f t="shared" si="1020"/>
        <v>1</v>
      </c>
      <c r="S730" s="80">
        <f t="shared" si="1020"/>
        <v>1</v>
      </c>
      <c r="T730" s="80">
        <f t="shared" si="1020"/>
        <v>1</v>
      </c>
      <c r="U730" s="80">
        <f t="shared" si="1020"/>
        <v>1</v>
      </c>
      <c r="V730" s="80">
        <f t="shared" si="1020"/>
        <v>1</v>
      </c>
      <c r="W730" s="80">
        <f t="shared" si="1020"/>
        <v>1</v>
      </c>
      <c r="X730" s="80">
        <f t="shared" si="1020"/>
        <v>1</v>
      </c>
      <c r="Y730" s="80">
        <f t="shared" si="1020"/>
        <v>1</v>
      </c>
    </row>
    <row r="731" ht="16.5" spans="2:25">
      <c r="B731" s="65">
        <v>91</v>
      </c>
      <c r="C731" s="80">
        <f t="shared" si="994"/>
        <v>11336</v>
      </c>
      <c r="D731" s="80">
        <f t="shared" ref="D731:Y731" si="1021">IF($C731&gt;D$337,1,0)</f>
        <v>1</v>
      </c>
      <c r="E731" s="80">
        <f t="shared" si="1021"/>
        <v>1</v>
      </c>
      <c r="F731" s="80">
        <f t="shared" si="1021"/>
        <v>1</v>
      </c>
      <c r="G731" s="80">
        <f t="shared" si="1021"/>
        <v>1</v>
      </c>
      <c r="H731" s="80">
        <f t="shared" si="1021"/>
        <v>1</v>
      </c>
      <c r="I731" s="80">
        <f t="shared" si="1021"/>
        <v>1</v>
      </c>
      <c r="J731" s="80">
        <f t="shared" si="1021"/>
        <v>1</v>
      </c>
      <c r="K731" s="80">
        <f t="shared" si="1021"/>
        <v>1</v>
      </c>
      <c r="L731" s="80">
        <f t="shared" si="1021"/>
        <v>1</v>
      </c>
      <c r="M731" s="80">
        <f t="shared" si="1021"/>
        <v>1</v>
      </c>
      <c r="N731" s="80">
        <f t="shared" si="1021"/>
        <v>1</v>
      </c>
      <c r="O731" s="80">
        <f t="shared" si="1021"/>
        <v>1</v>
      </c>
      <c r="P731" s="80">
        <f t="shared" si="1021"/>
        <v>1</v>
      </c>
      <c r="Q731" s="80">
        <f t="shared" si="1021"/>
        <v>1</v>
      </c>
      <c r="R731" s="80">
        <f t="shared" si="1021"/>
        <v>1</v>
      </c>
      <c r="S731" s="80">
        <f t="shared" si="1021"/>
        <v>1</v>
      </c>
      <c r="T731" s="80">
        <f t="shared" si="1021"/>
        <v>1</v>
      </c>
      <c r="U731" s="80">
        <f t="shared" si="1021"/>
        <v>1</v>
      </c>
      <c r="V731" s="80">
        <f t="shared" si="1021"/>
        <v>1</v>
      </c>
      <c r="W731" s="80">
        <f t="shared" si="1021"/>
        <v>1</v>
      </c>
      <c r="X731" s="80">
        <f t="shared" si="1021"/>
        <v>1</v>
      </c>
      <c r="Y731" s="80">
        <f t="shared" si="1021"/>
        <v>1</v>
      </c>
    </row>
    <row r="732" ht="16.5" spans="2:25">
      <c r="B732" s="65">
        <v>92</v>
      </c>
      <c r="C732" s="80">
        <f t="shared" si="994"/>
        <v>11446</v>
      </c>
      <c r="D732" s="80">
        <f t="shared" ref="D732:Y732" si="1022">IF($C732&gt;D$337,1,0)</f>
        <v>1</v>
      </c>
      <c r="E732" s="80">
        <f t="shared" si="1022"/>
        <v>1</v>
      </c>
      <c r="F732" s="80">
        <f t="shared" si="1022"/>
        <v>1</v>
      </c>
      <c r="G732" s="80">
        <f t="shared" si="1022"/>
        <v>1</v>
      </c>
      <c r="H732" s="80">
        <f t="shared" si="1022"/>
        <v>1</v>
      </c>
      <c r="I732" s="80">
        <f t="shared" si="1022"/>
        <v>1</v>
      </c>
      <c r="J732" s="80">
        <f t="shared" si="1022"/>
        <v>1</v>
      </c>
      <c r="K732" s="80">
        <f t="shared" si="1022"/>
        <v>1</v>
      </c>
      <c r="L732" s="80">
        <f t="shared" si="1022"/>
        <v>1</v>
      </c>
      <c r="M732" s="80">
        <f t="shared" si="1022"/>
        <v>1</v>
      </c>
      <c r="N732" s="80">
        <f t="shared" si="1022"/>
        <v>1</v>
      </c>
      <c r="O732" s="80">
        <f t="shared" si="1022"/>
        <v>1</v>
      </c>
      <c r="P732" s="80">
        <f t="shared" si="1022"/>
        <v>1</v>
      </c>
      <c r="Q732" s="80">
        <f t="shared" si="1022"/>
        <v>1</v>
      </c>
      <c r="R732" s="80">
        <f t="shared" si="1022"/>
        <v>1</v>
      </c>
      <c r="S732" s="80">
        <f t="shared" si="1022"/>
        <v>1</v>
      </c>
      <c r="T732" s="80">
        <f t="shared" si="1022"/>
        <v>1</v>
      </c>
      <c r="U732" s="80">
        <f t="shared" si="1022"/>
        <v>1</v>
      </c>
      <c r="V732" s="80">
        <f t="shared" si="1022"/>
        <v>1</v>
      </c>
      <c r="W732" s="80">
        <f t="shared" si="1022"/>
        <v>1</v>
      </c>
      <c r="X732" s="80">
        <f t="shared" si="1022"/>
        <v>1</v>
      </c>
      <c r="Y732" s="80">
        <f t="shared" si="1022"/>
        <v>1</v>
      </c>
    </row>
    <row r="733" ht="16.5" spans="2:25">
      <c r="B733" s="65">
        <v>93</v>
      </c>
      <c r="C733" s="80">
        <f t="shared" si="994"/>
        <v>11556</v>
      </c>
      <c r="D733" s="80">
        <f t="shared" ref="D733:Y733" si="1023">IF($C733&gt;D$337,1,0)</f>
        <v>1</v>
      </c>
      <c r="E733" s="80">
        <f t="shared" si="1023"/>
        <v>1</v>
      </c>
      <c r="F733" s="80">
        <f t="shared" si="1023"/>
        <v>1</v>
      </c>
      <c r="G733" s="80">
        <f t="shared" si="1023"/>
        <v>1</v>
      </c>
      <c r="H733" s="80">
        <f t="shared" si="1023"/>
        <v>1</v>
      </c>
      <c r="I733" s="80">
        <f t="shared" si="1023"/>
        <v>1</v>
      </c>
      <c r="J733" s="80">
        <f t="shared" si="1023"/>
        <v>1</v>
      </c>
      <c r="K733" s="80">
        <f t="shared" si="1023"/>
        <v>1</v>
      </c>
      <c r="L733" s="80">
        <f t="shared" si="1023"/>
        <v>1</v>
      </c>
      <c r="M733" s="80">
        <f t="shared" si="1023"/>
        <v>1</v>
      </c>
      <c r="N733" s="80">
        <f t="shared" si="1023"/>
        <v>1</v>
      </c>
      <c r="O733" s="80">
        <f t="shared" si="1023"/>
        <v>1</v>
      </c>
      <c r="P733" s="80">
        <f t="shared" si="1023"/>
        <v>1</v>
      </c>
      <c r="Q733" s="80">
        <f t="shared" si="1023"/>
        <v>1</v>
      </c>
      <c r="R733" s="80">
        <f t="shared" si="1023"/>
        <v>1</v>
      </c>
      <c r="S733" s="80">
        <f t="shared" si="1023"/>
        <v>1</v>
      </c>
      <c r="T733" s="80">
        <f t="shared" si="1023"/>
        <v>1</v>
      </c>
      <c r="U733" s="80">
        <f t="shared" si="1023"/>
        <v>1</v>
      </c>
      <c r="V733" s="80">
        <f t="shared" si="1023"/>
        <v>1</v>
      </c>
      <c r="W733" s="80">
        <f t="shared" si="1023"/>
        <v>1</v>
      </c>
      <c r="X733" s="80">
        <f t="shared" si="1023"/>
        <v>1</v>
      </c>
      <c r="Y733" s="80">
        <f t="shared" si="1023"/>
        <v>1</v>
      </c>
    </row>
    <row r="734" ht="16.5" spans="2:25">
      <c r="B734" s="65">
        <v>94</v>
      </c>
      <c r="C734" s="80">
        <f t="shared" si="994"/>
        <v>11666</v>
      </c>
      <c r="D734" s="80">
        <f t="shared" ref="D734:Y734" si="1024">IF($C734&gt;D$337,1,0)</f>
        <v>1</v>
      </c>
      <c r="E734" s="80">
        <f t="shared" si="1024"/>
        <v>1</v>
      </c>
      <c r="F734" s="80">
        <f t="shared" si="1024"/>
        <v>1</v>
      </c>
      <c r="G734" s="80">
        <f t="shared" si="1024"/>
        <v>1</v>
      </c>
      <c r="H734" s="80">
        <f t="shared" si="1024"/>
        <v>1</v>
      </c>
      <c r="I734" s="80">
        <f t="shared" si="1024"/>
        <v>1</v>
      </c>
      <c r="J734" s="80">
        <f t="shared" si="1024"/>
        <v>1</v>
      </c>
      <c r="K734" s="80">
        <f t="shared" si="1024"/>
        <v>1</v>
      </c>
      <c r="L734" s="80">
        <f t="shared" si="1024"/>
        <v>1</v>
      </c>
      <c r="M734" s="80">
        <f t="shared" si="1024"/>
        <v>1</v>
      </c>
      <c r="N734" s="80">
        <f t="shared" si="1024"/>
        <v>1</v>
      </c>
      <c r="O734" s="80">
        <f t="shared" si="1024"/>
        <v>1</v>
      </c>
      <c r="P734" s="80">
        <f t="shared" si="1024"/>
        <v>1</v>
      </c>
      <c r="Q734" s="80">
        <f t="shared" si="1024"/>
        <v>1</v>
      </c>
      <c r="R734" s="80">
        <f t="shared" si="1024"/>
        <v>1</v>
      </c>
      <c r="S734" s="80">
        <f t="shared" si="1024"/>
        <v>1</v>
      </c>
      <c r="T734" s="80">
        <f t="shared" si="1024"/>
        <v>1</v>
      </c>
      <c r="U734" s="80">
        <f t="shared" si="1024"/>
        <v>1</v>
      </c>
      <c r="V734" s="80">
        <f t="shared" si="1024"/>
        <v>1</v>
      </c>
      <c r="W734" s="80">
        <f t="shared" si="1024"/>
        <v>1</v>
      </c>
      <c r="X734" s="80">
        <f t="shared" si="1024"/>
        <v>1</v>
      </c>
      <c r="Y734" s="80">
        <f t="shared" si="1024"/>
        <v>1</v>
      </c>
    </row>
    <row r="735" ht="16.5" spans="2:25">
      <c r="B735" s="65">
        <v>95</v>
      </c>
      <c r="C735" s="80">
        <f t="shared" si="994"/>
        <v>11776</v>
      </c>
      <c r="D735" s="80">
        <f t="shared" ref="D735:Y735" si="1025">IF($C735&gt;D$337,1,0)</f>
        <v>1</v>
      </c>
      <c r="E735" s="80">
        <f t="shared" si="1025"/>
        <v>1</v>
      </c>
      <c r="F735" s="80">
        <f t="shared" si="1025"/>
        <v>1</v>
      </c>
      <c r="G735" s="80">
        <f t="shared" si="1025"/>
        <v>1</v>
      </c>
      <c r="H735" s="80">
        <f t="shared" si="1025"/>
        <v>1</v>
      </c>
      <c r="I735" s="80">
        <f t="shared" si="1025"/>
        <v>1</v>
      </c>
      <c r="J735" s="80">
        <f t="shared" si="1025"/>
        <v>1</v>
      </c>
      <c r="K735" s="80">
        <f t="shared" si="1025"/>
        <v>1</v>
      </c>
      <c r="L735" s="80">
        <f t="shared" si="1025"/>
        <v>1</v>
      </c>
      <c r="M735" s="80">
        <f t="shared" si="1025"/>
        <v>1</v>
      </c>
      <c r="N735" s="80">
        <f t="shared" si="1025"/>
        <v>1</v>
      </c>
      <c r="O735" s="80">
        <f t="shared" si="1025"/>
        <v>1</v>
      </c>
      <c r="P735" s="80">
        <f t="shared" si="1025"/>
        <v>1</v>
      </c>
      <c r="Q735" s="80">
        <f t="shared" si="1025"/>
        <v>1</v>
      </c>
      <c r="R735" s="80">
        <f t="shared" si="1025"/>
        <v>1</v>
      </c>
      <c r="S735" s="80">
        <f t="shared" si="1025"/>
        <v>1</v>
      </c>
      <c r="T735" s="80">
        <f t="shared" si="1025"/>
        <v>1</v>
      </c>
      <c r="U735" s="80">
        <f t="shared" si="1025"/>
        <v>1</v>
      </c>
      <c r="V735" s="80">
        <f t="shared" si="1025"/>
        <v>1</v>
      </c>
      <c r="W735" s="80">
        <f t="shared" si="1025"/>
        <v>1</v>
      </c>
      <c r="X735" s="80">
        <f t="shared" si="1025"/>
        <v>1</v>
      </c>
      <c r="Y735" s="80">
        <f t="shared" si="1025"/>
        <v>1</v>
      </c>
    </row>
    <row r="736" ht="16.5" spans="2:25">
      <c r="B736" s="65">
        <v>96</v>
      </c>
      <c r="C736" s="80">
        <f t="shared" si="994"/>
        <v>11886</v>
      </c>
      <c r="D736" s="80">
        <f t="shared" ref="D736:Y736" si="1026">IF($C736&gt;D$337,1,0)</f>
        <v>1</v>
      </c>
      <c r="E736" s="80">
        <f t="shared" si="1026"/>
        <v>1</v>
      </c>
      <c r="F736" s="80">
        <f t="shared" si="1026"/>
        <v>1</v>
      </c>
      <c r="G736" s="80">
        <f t="shared" si="1026"/>
        <v>1</v>
      </c>
      <c r="H736" s="80">
        <f t="shared" si="1026"/>
        <v>1</v>
      </c>
      <c r="I736" s="80">
        <f t="shared" si="1026"/>
        <v>1</v>
      </c>
      <c r="J736" s="80">
        <f t="shared" si="1026"/>
        <v>1</v>
      </c>
      <c r="K736" s="80">
        <f t="shared" si="1026"/>
        <v>1</v>
      </c>
      <c r="L736" s="80">
        <f t="shared" si="1026"/>
        <v>1</v>
      </c>
      <c r="M736" s="80">
        <f t="shared" si="1026"/>
        <v>1</v>
      </c>
      <c r="N736" s="80">
        <f t="shared" si="1026"/>
        <v>1</v>
      </c>
      <c r="O736" s="80">
        <f t="shared" si="1026"/>
        <v>1</v>
      </c>
      <c r="P736" s="80">
        <f t="shared" si="1026"/>
        <v>1</v>
      </c>
      <c r="Q736" s="80">
        <f t="shared" si="1026"/>
        <v>1</v>
      </c>
      <c r="R736" s="80">
        <f t="shared" si="1026"/>
        <v>1</v>
      </c>
      <c r="S736" s="80">
        <f t="shared" si="1026"/>
        <v>1</v>
      </c>
      <c r="T736" s="80">
        <f t="shared" si="1026"/>
        <v>1</v>
      </c>
      <c r="U736" s="80">
        <f t="shared" si="1026"/>
        <v>1</v>
      </c>
      <c r="V736" s="80">
        <f t="shared" si="1026"/>
        <v>1</v>
      </c>
      <c r="W736" s="80">
        <f t="shared" si="1026"/>
        <v>1</v>
      </c>
      <c r="X736" s="80">
        <f t="shared" si="1026"/>
        <v>1</v>
      </c>
      <c r="Y736" s="80">
        <f t="shared" si="1026"/>
        <v>1</v>
      </c>
    </row>
    <row r="737" ht="16.5" spans="2:25">
      <c r="B737" s="65">
        <v>97</v>
      </c>
      <c r="C737" s="80">
        <f t="shared" si="994"/>
        <v>11996</v>
      </c>
      <c r="D737" s="80">
        <f t="shared" ref="D737:Y737" si="1027">IF($C737&gt;D$337,1,0)</f>
        <v>1</v>
      </c>
      <c r="E737" s="80">
        <f t="shared" si="1027"/>
        <v>1</v>
      </c>
      <c r="F737" s="80">
        <f t="shared" si="1027"/>
        <v>1</v>
      </c>
      <c r="G737" s="80">
        <f t="shared" si="1027"/>
        <v>1</v>
      </c>
      <c r="H737" s="80">
        <f t="shared" si="1027"/>
        <v>1</v>
      </c>
      <c r="I737" s="80">
        <f t="shared" si="1027"/>
        <v>1</v>
      </c>
      <c r="J737" s="80">
        <f t="shared" si="1027"/>
        <v>1</v>
      </c>
      <c r="K737" s="80">
        <f t="shared" si="1027"/>
        <v>1</v>
      </c>
      <c r="L737" s="80">
        <f t="shared" si="1027"/>
        <v>1</v>
      </c>
      <c r="M737" s="80">
        <f t="shared" si="1027"/>
        <v>1</v>
      </c>
      <c r="N737" s="80">
        <f t="shared" si="1027"/>
        <v>1</v>
      </c>
      <c r="O737" s="80">
        <f t="shared" si="1027"/>
        <v>1</v>
      </c>
      <c r="P737" s="80">
        <f t="shared" si="1027"/>
        <v>1</v>
      </c>
      <c r="Q737" s="80">
        <f t="shared" si="1027"/>
        <v>1</v>
      </c>
      <c r="R737" s="80">
        <f t="shared" si="1027"/>
        <v>1</v>
      </c>
      <c r="S737" s="80">
        <f t="shared" si="1027"/>
        <v>1</v>
      </c>
      <c r="T737" s="80">
        <f t="shared" si="1027"/>
        <v>1</v>
      </c>
      <c r="U737" s="80">
        <f t="shared" si="1027"/>
        <v>1</v>
      </c>
      <c r="V737" s="80">
        <f t="shared" si="1027"/>
        <v>1</v>
      </c>
      <c r="W737" s="80">
        <f t="shared" si="1027"/>
        <v>1</v>
      </c>
      <c r="X737" s="80">
        <f t="shared" si="1027"/>
        <v>1</v>
      </c>
      <c r="Y737" s="80">
        <f t="shared" si="1027"/>
        <v>1</v>
      </c>
    </row>
    <row r="738" ht="16.5" spans="2:25">
      <c r="B738" s="65">
        <v>98</v>
      </c>
      <c r="C738" s="80">
        <f t="shared" si="994"/>
        <v>12106</v>
      </c>
      <c r="D738" s="80">
        <f t="shared" ref="D738:Y738" si="1028">IF($C738&gt;D$337,1,0)</f>
        <v>1</v>
      </c>
      <c r="E738" s="80">
        <f t="shared" si="1028"/>
        <v>1</v>
      </c>
      <c r="F738" s="80">
        <f t="shared" si="1028"/>
        <v>1</v>
      </c>
      <c r="G738" s="80">
        <f t="shared" si="1028"/>
        <v>1</v>
      </c>
      <c r="H738" s="80">
        <f t="shared" si="1028"/>
        <v>1</v>
      </c>
      <c r="I738" s="80">
        <f t="shared" si="1028"/>
        <v>1</v>
      </c>
      <c r="J738" s="80">
        <f t="shared" si="1028"/>
        <v>1</v>
      </c>
      <c r="K738" s="80">
        <f t="shared" si="1028"/>
        <v>1</v>
      </c>
      <c r="L738" s="80">
        <f t="shared" si="1028"/>
        <v>1</v>
      </c>
      <c r="M738" s="80">
        <f t="shared" si="1028"/>
        <v>1</v>
      </c>
      <c r="N738" s="80">
        <f t="shared" si="1028"/>
        <v>1</v>
      </c>
      <c r="O738" s="80">
        <f t="shared" si="1028"/>
        <v>1</v>
      </c>
      <c r="P738" s="80">
        <f t="shared" si="1028"/>
        <v>1</v>
      </c>
      <c r="Q738" s="80">
        <f t="shared" si="1028"/>
        <v>1</v>
      </c>
      <c r="R738" s="80">
        <f t="shared" si="1028"/>
        <v>1</v>
      </c>
      <c r="S738" s="80">
        <f t="shared" si="1028"/>
        <v>1</v>
      </c>
      <c r="T738" s="80">
        <f t="shared" si="1028"/>
        <v>1</v>
      </c>
      <c r="U738" s="80">
        <f t="shared" si="1028"/>
        <v>1</v>
      </c>
      <c r="V738" s="80">
        <f t="shared" si="1028"/>
        <v>1</v>
      </c>
      <c r="W738" s="80">
        <f t="shared" si="1028"/>
        <v>1</v>
      </c>
      <c r="X738" s="80">
        <f t="shared" si="1028"/>
        <v>1</v>
      </c>
      <c r="Y738" s="80">
        <f t="shared" si="1028"/>
        <v>1</v>
      </c>
    </row>
    <row r="739" ht="16.5" spans="2:25">
      <c r="B739" s="65">
        <v>99</v>
      </c>
      <c r="C739" s="80">
        <f t="shared" si="994"/>
        <v>12216</v>
      </c>
      <c r="D739" s="80">
        <f t="shared" ref="D739:Y739" si="1029">IF($C739&gt;D$337,1,0)</f>
        <v>1</v>
      </c>
      <c r="E739" s="80">
        <f t="shared" si="1029"/>
        <v>1</v>
      </c>
      <c r="F739" s="80">
        <f t="shared" si="1029"/>
        <v>1</v>
      </c>
      <c r="G739" s="80">
        <f t="shared" si="1029"/>
        <v>1</v>
      </c>
      <c r="H739" s="80">
        <f t="shared" si="1029"/>
        <v>1</v>
      </c>
      <c r="I739" s="80">
        <f t="shared" si="1029"/>
        <v>1</v>
      </c>
      <c r="J739" s="80">
        <f t="shared" si="1029"/>
        <v>1</v>
      </c>
      <c r="K739" s="80">
        <f t="shared" si="1029"/>
        <v>1</v>
      </c>
      <c r="L739" s="80">
        <f t="shared" si="1029"/>
        <v>1</v>
      </c>
      <c r="M739" s="80">
        <f t="shared" si="1029"/>
        <v>1</v>
      </c>
      <c r="N739" s="80">
        <f t="shared" si="1029"/>
        <v>1</v>
      </c>
      <c r="O739" s="80">
        <f t="shared" si="1029"/>
        <v>1</v>
      </c>
      <c r="P739" s="80">
        <f t="shared" si="1029"/>
        <v>1</v>
      </c>
      <c r="Q739" s="80">
        <f t="shared" si="1029"/>
        <v>1</v>
      </c>
      <c r="R739" s="80">
        <f t="shared" si="1029"/>
        <v>1</v>
      </c>
      <c r="S739" s="80">
        <f t="shared" si="1029"/>
        <v>1</v>
      </c>
      <c r="T739" s="80">
        <f t="shared" si="1029"/>
        <v>1</v>
      </c>
      <c r="U739" s="80">
        <f t="shared" si="1029"/>
        <v>1</v>
      </c>
      <c r="V739" s="80">
        <f t="shared" si="1029"/>
        <v>1</v>
      </c>
      <c r="W739" s="80">
        <f t="shared" si="1029"/>
        <v>1</v>
      </c>
      <c r="X739" s="80">
        <f t="shared" si="1029"/>
        <v>1</v>
      </c>
      <c r="Y739" s="80">
        <f t="shared" si="1029"/>
        <v>1</v>
      </c>
    </row>
    <row r="740" ht="16.5" spans="2:25">
      <c r="B740" s="65">
        <v>100</v>
      </c>
      <c r="C740" s="80">
        <f t="shared" si="994"/>
        <v>12326</v>
      </c>
      <c r="D740" s="80">
        <f t="shared" ref="D740:Y740" si="1030">IF($C740&gt;D$337,1,0)</f>
        <v>1</v>
      </c>
      <c r="E740" s="80">
        <f t="shared" si="1030"/>
        <v>1</v>
      </c>
      <c r="F740" s="80">
        <f t="shared" si="1030"/>
        <v>1</v>
      </c>
      <c r="G740" s="80">
        <f t="shared" si="1030"/>
        <v>1</v>
      </c>
      <c r="H740" s="80">
        <f t="shared" si="1030"/>
        <v>1</v>
      </c>
      <c r="I740" s="80">
        <f t="shared" si="1030"/>
        <v>1</v>
      </c>
      <c r="J740" s="80">
        <f t="shared" si="1030"/>
        <v>1</v>
      </c>
      <c r="K740" s="80">
        <f t="shared" si="1030"/>
        <v>1</v>
      </c>
      <c r="L740" s="80">
        <f t="shared" si="1030"/>
        <v>1</v>
      </c>
      <c r="M740" s="80">
        <f t="shared" si="1030"/>
        <v>1</v>
      </c>
      <c r="N740" s="80">
        <f t="shared" si="1030"/>
        <v>1</v>
      </c>
      <c r="O740" s="80">
        <f t="shared" si="1030"/>
        <v>1</v>
      </c>
      <c r="P740" s="80">
        <f t="shared" si="1030"/>
        <v>1</v>
      </c>
      <c r="Q740" s="80">
        <f t="shared" si="1030"/>
        <v>1</v>
      </c>
      <c r="R740" s="80">
        <f t="shared" si="1030"/>
        <v>1</v>
      </c>
      <c r="S740" s="80">
        <f t="shared" si="1030"/>
        <v>1</v>
      </c>
      <c r="T740" s="80">
        <f t="shared" si="1030"/>
        <v>1</v>
      </c>
      <c r="U740" s="80">
        <f t="shared" si="1030"/>
        <v>1</v>
      </c>
      <c r="V740" s="80">
        <f t="shared" si="1030"/>
        <v>1</v>
      </c>
      <c r="W740" s="80">
        <f t="shared" si="1030"/>
        <v>1</v>
      </c>
      <c r="X740" s="80">
        <f t="shared" si="1030"/>
        <v>1</v>
      </c>
      <c r="Y740" s="80">
        <f t="shared" si="1030"/>
        <v>1</v>
      </c>
    </row>
    <row r="741" ht="16.5" spans="2:25">
      <c r="B741" s="65">
        <v>101</v>
      </c>
      <c r="C741" s="80">
        <f t="shared" si="994"/>
        <v>12436</v>
      </c>
      <c r="D741" s="80">
        <f t="shared" ref="D741:Y741" si="1031">IF($C741&gt;D$337,1,0)</f>
        <v>1</v>
      </c>
      <c r="E741" s="80">
        <f t="shared" si="1031"/>
        <v>1</v>
      </c>
      <c r="F741" s="80">
        <f t="shared" si="1031"/>
        <v>1</v>
      </c>
      <c r="G741" s="80">
        <f t="shared" si="1031"/>
        <v>1</v>
      </c>
      <c r="H741" s="80">
        <f t="shared" si="1031"/>
        <v>1</v>
      </c>
      <c r="I741" s="80">
        <f t="shared" si="1031"/>
        <v>1</v>
      </c>
      <c r="J741" s="80">
        <f t="shared" si="1031"/>
        <v>1</v>
      </c>
      <c r="K741" s="80">
        <f t="shared" si="1031"/>
        <v>1</v>
      </c>
      <c r="L741" s="80">
        <f t="shared" si="1031"/>
        <v>1</v>
      </c>
      <c r="M741" s="80">
        <f t="shared" si="1031"/>
        <v>1</v>
      </c>
      <c r="N741" s="80">
        <f t="shared" si="1031"/>
        <v>1</v>
      </c>
      <c r="O741" s="80">
        <f t="shared" si="1031"/>
        <v>1</v>
      </c>
      <c r="P741" s="80">
        <f t="shared" si="1031"/>
        <v>1</v>
      </c>
      <c r="Q741" s="80">
        <f t="shared" si="1031"/>
        <v>1</v>
      </c>
      <c r="R741" s="80">
        <f t="shared" si="1031"/>
        <v>1</v>
      </c>
      <c r="S741" s="80">
        <f t="shared" si="1031"/>
        <v>1</v>
      </c>
      <c r="T741" s="80">
        <f t="shared" si="1031"/>
        <v>1</v>
      </c>
      <c r="U741" s="80">
        <f t="shared" si="1031"/>
        <v>1</v>
      </c>
      <c r="V741" s="80">
        <f t="shared" si="1031"/>
        <v>1</v>
      </c>
      <c r="W741" s="80">
        <f t="shared" si="1031"/>
        <v>1</v>
      </c>
      <c r="X741" s="80">
        <f t="shared" si="1031"/>
        <v>1</v>
      </c>
      <c r="Y741" s="80">
        <f t="shared" si="1031"/>
        <v>1</v>
      </c>
    </row>
    <row r="742" ht="16.5" spans="2:25">
      <c r="B742" s="65">
        <v>102</v>
      </c>
      <c r="C742" s="80">
        <f t="shared" si="994"/>
        <v>12546</v>
      </c>
      <c r="D742" s="80">
        <f t="shared" ref="D742:Y742" si="1032">IF($C742&gt;D$337,1,0)</f>
        <v>1</v>
      </c>
      <c r="E742" s="80">
        <f t="shared" si="1032"/>
        <v>1</v>
      </c>
      <c r="F742" s="80">
        <f t="shared" si="1032"/>
        <v>1</v>
      </c>
      <c r="G742" s="80">
        <f t="shared" si="1032"/>
        <v>1</v>
      </c>
      <c r="H742" s="80">
        <f t="shared" si="1032"/>
        <v>1</v>
      </c>
      <c r="I742" s="80">
        <f t="shared" si="1032"/>
        <v>1</v>
      </c>
      <c r="J742" s="80">
        <f t="shared" si="1032"/>
        <v>1</v>
      </c>
      <c r="K742" s="80">
        <f t="shared" si="1032"/>
        <v>1</v>
      </c>
      <c r="L742" s="80">
        <f t="shared" si="1032"/>
        <v>1</v>
      </c>
      <c r="M742" s="80">
        <f t="shared" si="1032"/>
        <v>1</v>
      </c>
      <c r="N742" s="80">
        <f t="shared" si="1032"/>
        <v>1</v>
      </c>
      <c r="O742" s="80">
        <f t="shared" si="1032"/>
        <v>1</v>
      </c>
      <c r="P742" s="80">
        <f t="shared" si="1032"/>
        <v>1</v>
      </c>
      <c r="Q742" s="80">
        <f t="shared" si="1032"/>
        <v>1</v>
      </c>
      <c r="R742" s="80">
        <f t="shared" si="1032"/>
        <v>1</v>
      </c>
      <c r="S742" s="80">
        <f t="shared" si="1032"/>
        <v>1</v>
      </c>
      <c r="T742" s="80">
        <f t="shared" si="1032"/>
        <v>1</v>
      </c>
      <c r="U742" s="80">
        <f t="shared" si="1032"/>
        <v>1</v>
      </c>
      <c r="V742" s="80">
        <f t="shared" si="1032"/>
        <v>1</v>
      </c>
      <c r="W742" s="80">
        <f t="shared" si="1032"/>
        <v>1</v>
      </c>
      <c r="X742" s="80">
        <f t="shared" si="1032"/>
        <v>1</v>
      </c>
      <c r="Y742" s="80">
        <f t="shared" si="1032"/>
        <v>1</v>
      </c>
    </row>
    <row r="743" ht="16.5" spans="2:25">
      <c r="B743" s="65">
        <v>103</v>
      </c>
      <c r="C743" s="80">
        <f t="shared" si="994"/>
        <v>12656</v>
      </c>
      <c r="D743" s="80">
        <f t="shared" ref="D743:Y743" si="1033">IF($C743&gt;D$337,1,0)</f>
        <v>1</v>
      </c>
      <c r="E743" s="80">
        <f t="shared" si="1033"/>
        <v>1</v>
      </c>
      <c r="F743" s="80">
        <f t="shared" si="1033"/>
        <v>1</v>
      </c>
      <c r="G743" s="80">
        <f t="shared" si="1033"/>
        <v>1</v>
      </c>
      <c r="H743" s="80">
        <f t="shared" si="1033"/>
        <v>1</v>
      </c>
      <c r="I743" s="80">
        <f t="shared" si="1033"/>
        <v>1</v>
      </c>
      <c r="J743" s="80">
        <f t="shared" si="1033"/>
        <v>1</v>
      </c>
      <c r="K743" s="80">
        <f t="shared" si="1033"/>
        <v>1</v>
      </c>
      <c r="L743" s="80">
        <f t="shared" si="1033"/>
        <v>1</v>
      </c>
      <c r="M743" s="80">
        <f t="shared" si="1033"/>
        <v>1</v>
      </c>
      <c r="N743" s="80">
        <f t="shared" si="1033"/>
        <v>1</v>
      </c>
      <c r="O743" s="80">
        <f t="shared" si="1033"/>
        <v>1</v>
      </c>
      <c r="P743" s="80">
        <f t="shared" si="1033"/>
        <v>1</v>
      </c>
      <c r="Q743" s="80">
        <f t="shared" si="1033"/>
        <v>1</v>
      </c>
      <c r="R743" s="80">
        <f t="shared" si="1033"/>
        <v>1</v>
      </c>
      <c r="S743" s="80">
        <f t="shared" si="1033"/>
        <v>1</v>
      </c>
      <c r="T743" s="80">
        <f t="shared" si="1033"/>
        <v>1</v>
      </c>
      <c r="U743" s="80">
        <f t="shared" si="1033"/>
        <v>1</v>
      </c>
      <c r="V743" s="80">
        <f t="shared" si="1033"/>
        <v>1</v>
      </c>
      <c r="W743" s="80">
        <f t="shared" si="1033"/>
        <v>1</v>
      </c>
      <c r="X743" s="80">
        <f t="shared" si="1033"/>
        <v>1</v>
      </c>
      <c r="Y743" s="80">
        <f t="shared" si="1033"/>
        <v>1</v>
      </c>
    </row>
    <row r="744" ht="16.5" spans="2:25">
      <c r="B744" s="65">
        <v>104</v>
      </c>
      <c r="C744" s="80">
        <f t="shared" si="994"/>
        <v>12766</v>
      </c>
      <c r="D744" s="80">
        <f t="shared" ref="D744:Y744" si="1034">IF($C744&gt;D$337,1,0)</f>
        <v>1</v>
      </c>
      <c r="E744" s="80">
        <f t="shared" si="1034"/>
        <v>1</v>
      </c>
      <c r="F744" s="80">
        <f t="shared" si="1034"/>
        <v>1</v>
      </c>
      <c r="G744" s="80">
        <f t="shared" si="1034"/>
        <v>1</v>
      </c>
      <c r="H744" s="80">
        <f t="shared" si="1034"/>
        <v>1</v>
      </c>
      <c r="I744" s="80">
        <f t="shared" si="1034"/>
        <v>1</v>
      </c>
      <c r="J744" s="80">
        <f t="shared" si="1034"/>
        <v>1</v>
      </c>
      <c r="K744" s="80">
        <f t="shared" si="1034"/>
        <v>1</v>
      </c>
      <c r="L744" s="80">
        <f t="shared" si="1034"/>
        <v>1</v>
      </c>
      <c r="M744" s="80">
        <f t="shared" si="1034"/>
        <v>1</v>
      </c>
      <c r="N744" s="80">
        <f t="shared" si="1034"/>
        <v>1</v>
      </c>
      <c r="O744" s="80">
        <f t="shared" si="1034"/>
        <v>1</v>
      </c>
      <c r="P744" s="80">
        <f t="shared" si="1034"/>
        <v>1</v>
      </c>
      <c r="Q744" s="80">
        <f t="shared" si="1034"/>
        <v>1</v>
      </c>
      <c r="R744" s="80">
        <f t="shared" si="1034"/>
        <v>1</v>
      </c>
      <c r="S744" s="80">
        <f t="shared" si="1034"/>
        <v>1</v>
      </c>
      <c r="T744" s="80">
        <f t="shared" si="1034"/>
        <v>1</v>
      </c>
      <c r="U744" s="80">
        <f t="shared" si="1034"/>
        <v>1</v>
      </c>
      <c r="V744" s="80">
        <f t="shared" si="1034"/>
        <v>1</v>
      </c>
      <c r="W744" s="80">
        <f t="shared" si="1034"/>
        <v>1</v>
      </c>
      <c r="X744" s="80">
        <f t="shared" si="1034"/>
        <v>1</v>
      </c>
      <c r="Y744" s="80">
        <f t="shared" si="1034"/>
        <v>1</v>
      </c>
    </row>
    <row r="745" ht="16.5" spans="2:25">
      <c r="B745" s="65">
        <v>105</v>
      </c>
      <c r="C745" s="80">
        <f t="shared" si="994"/>
        <v>12876</v>
      </c>
      <c r="D745" s="80">
        <f t="shared" ref="D745:Y745" si="1035">IF($C745&gt;D$337,1,0)</f>
        <v>1</v>
      </c>
      <c r="E745" s="80">
        <f t="shared" si="1035"/>
        <v>1</v>
      </c>
      <c r="F745" s="80">
        <f t="shared" si="1035"/>
        <v>1</v>
      </c>
      <c r="G745" s="80">
        <f t="shared" si="1035"/>
        <v>1</v>
      </c>
      <c r="H745" s="80">
        <f t="shared" si="1035"/>
        <v>1</v>
      </c>
      <c r="I745" s="80">
        <f t="shared" si="1035"/>
        <v>1</v>
      </c>
      <c r="J745" s="80">
        <f t="shared" si="1035"/>
        <v>1</v>
      </c>
      <c r="K745" s="80">
        <f t="shared" si="1035"/>
        <v>1</v>
      </c>
      <c r="L745" s="80">
        <f t="shared" si="1035"/>
        <v>1</v>
      </c>
      <c r="M745" s="80">
        <f t="shared" si="1035"/>
        <v>1</v>
      </c>
      <c r="N745" s="80">
        <f t="shared" si="1035"/>
        <v>1</v>
      </c>
      <c r="O745" s="80">
        <f t="shared" si="1035"/>
        <v>1</v>
      </c>
      <c r="P745" s="80">
        <f t="shared" si="1035"/>
        <v>1</v>
      </c>
      <c r="Q745" s="80">
        <f t="shared" si="1035"/>
        <v>1</v>
      </c>
      <c r="R745" s="80">
        <f t="shared" si="1035"/>
        <v>1</v>
      </c>
      <c r="S745" s="80">
        <f t="shared" si="1035"/>
        <v>1</v>
      </c>
      <c r="T745" s="80">
        <f t="shared" si="1035"/>
        <v>1</v>
      </c>
      <c r="U745" s="80">
        <f t="shared" si="1035"/>
        <v>1</v>
      </c>
      <c r="V745" s="80">
        <f t="shared" si="1035"/>
        <v>1</v>
      </c>
      <c r="W745" s="80">
        <f t="shared" si="1035"/>
        <v>1</v>
      </c>
      <c r="X745" s="80">
        <f t="shared" si="1035"/>
        <v>1</v>
      </c>
      <c r="Y745" s="80">
        <f t="shared" si="1035"/>
        <v>1</v>
      </c>
    </row>
    <row r="746" ht="16.5" spans="2:25">
      <c r="B746" s="65">
        <v>106</v>
      </c>
      <c r="C746" s="80">
        <f t="shared" si="994"/>
        <v>12986</v>
      </c>
      <c r="D746" s="80">
        <f t="shared" ref="D746:Y746" si="1036">IF($C746&gt;D$337,1,0)</f>
        <v>1</v>
      </c>
      <c r="E746" s="80">
        <f t="shared" si="1036"/>
        <v>1</v>
      </c>
      <c r="F746" s="80">
        <f t="shared" si="1036"/>
        <v>1</v>
      </c>
      <c r="G746" s="80">
        <f t="shared" si="1036"/>
        <v>1</v>
      </c>
      <c r="H746" s="80">
        <f t="shared" si="1036"/>
        <v>1</v>
      </c>
      <c r="I746" s="80">
        <f t="shared" si="1036"/>
        <v>1</v>
      </c>
      <c r="J746" s="80">
        <f t="shared" si="1036"/>
        <v>1</v>
      </c>
      <c r="K746" s="80">
        <f t="shared" si="1036"/>
        <v>1</v>
      </c>
      <c r="L746" s="80">
        <f t="shared" si="1036"/>
        <v>1</v>
      </c>
      <c r="M746" s="80">
        <f t="shared" si="1036"/>
        <v>1</v>
      </c>
      <c r="N746" s="80">
        <f t="shared" si="1036"/>
        <v>1</v>
      </c>
      <c r="O746" s="80">
        <f t="shared" si="1036"/>
        <v>1</v>
      </c>
      <c r="P746" s="80">
        <f t="shared" si="1036"/>
        <v>1</v>
      </c>
      <c r="Q746" s="80">
        <f t="shared" si="1036"/>
        <v>1</v>
      </c>
      <c r="R746" s="80">
        <f t="shared" si="1036"/>
        <v>1</v>
      </c>
      <c r="S746" s="80">
        <f t="shared" si="1036"/>
        <v>1</v>
      </c>
      <c r="T746" s="80">
        <f t="shared" si="1036"/>
        <v>1</v>
      </c>
      <c r="U746" s="80">
        <f t="shared" si="1036"/>
        <v>1</v>
      </c>
      <c r="V746" s="80">
        <f t="shared" si="1036"/>
        <v>1</v>
      </c>
      <c r="W746" s="80">
        <f t="shared" si="1036"/>
        <v>1</v>
      </c>
      <c r="X746" s="80">
        <f t="shared" si="1036"/>
        <v>1</v>
      </c>
      <c r="Y746" s="80">
        <f t="shared" si="1036"/>
        <v>1</v>
      </c>
    </row>
    <row r="747" ht="16.5" spans="2:25">
      <c r="B747" s="65">
        <v>107</v>
      </c>
      <c r="C747" s="80">
        <f t="shared" si="994"/>
        <v>13096</v>
      </c>
      <c r="D747" s="80">
        <f t="shared" ref="D747:Y747" si="1037">IF($C747&gt;D$337,1,0)</f>
        <v>1</v>
      </c>
      <c r="E747" s="80">
        <f t="shared" si="1037"/>
        <v>1</v>
      </c>
      <c r="F747" s="80">
        <f t="shared" si="1037"/>
        <v>1</v>
      </c>
      <c r="G747" s="80">
        <f t="shared" si="1037"/>
        <v>1</v>
      </c>
      <c r="H747" s="80">
        <f t="shared" si="1037"/>
        <v>1</v>
      </c>
      <c r="I747" s="80">
        <f t="shared" si="1037"/>
        <v>1</v>
      </c>
      <c r="J747" s="80">
        <f t="shared" si="1037"/>
        <v>1</v>
      </c>
      <c r="K747" s="80">
        <f t="shared" si="1037"/>
        <v>1</v>
      </c>
      <c r="L747" s="80">
        <f t="shared" si="1037"/>
        <v>1</v>
      </c>
      <c r="M747" s="80">
        <f t="shared" si="1037"/>
        <v>1</v>
      </c>
      <c r="N747" s="80">
        <f t="shared" si="1037"/>
        <v>1</v>
      </c>
      <c r="O747" s="80">
        <f t="shared" si="1037"/>
        <v>1</v>
      </c>
      <c r="P747" s="80">
        <f t="shared" si="1037"/>
        <v>1</v>
      </c>
      <c r="Q747" s="80">
        <f t="shared" si="1037"/>
        <v>1</v>
      </c>
      <c r="R747" s="80">
        <f t="shared" si="1037"/>
        <v>1</v>
      </c>
      <c r="S747" s="80">
        <f t="shared" si="1037"/>
        <v>1</v>
      </c>
      <c r="T747" s="80">
        <f t="shared" si="1037"/>
        <v>1</v>
      </c>
      <c r="U747" s="80">
        <f t="shared" si="1037"/>
        <v>1</v>
      </c>
      <c r="V747" s="80">
        <f t="shared" si="1037"/>
        <v>1</v>
      </c>
      <c r="W747" s="80">
        <f t="shared" si="1037"/>
        <v>1</v>
      </c>
      <c r="X747" s="80">
        <f t="shared" si="1037"/>
        <v>1</v>
      </c>
      <c r="Y747" s="80">
        <f t="shared" si="1037"/>
        <v>1</v>
      </c>
    </row>
    <row r="748" ht="16.5" spans="2:25">
      <c r="B748" s="65">
        <v>108</v>
      </c>
      <c r="C748" s="80">
        <f t="shared" si="994"/>
        <v>13206</v>
      </c>
      <c r="D748" s="80">
        <f t="shared" ref="D748:Y748" si="1038">IF($C748&gt;D$337,1,0)</f>
        <v>1</v>
      </c>
      <c r="E748" s="80">
        <f t="shared" si="1038"/>
        <v>1</v>
      </c>
      <c r="F748" s="80">
        <f t="shared" si="1038"/>
        <v>1</v>
      </c>
      <c r="G748" s="80">
        <f t="shared" si="1038"/>
        <v>1</v>
      </c>
      <c r="H748" s="80">
        <f t="shared" si="1038"/>
        <v>1</v>
      </c>
      <c r="I748" s="80">
        <f t="shared" si="1038"/>
        <v>1</v>
      </c>
      <c r="J748" s="80">
        <f t="shared" si="1038"/>
        <v>1</v>
      </c>
      <c r="K748" s="80">
        <f t="shared" si="1038"/>
        <v>1</v>
      </c>
      <c r="L748" s="80">
        <f t="shared" si="1038"/>
        <v>1</v>
      </c>
      <c r="M748" s="80">
        <f t="shared" si="1038"/>
        <v>1</v>
      </c>
      <c r="N748" s="80">
        <f t="shared" si="1038"/>
        <v>1</v>
      </c>
      <c r="O748" s="80">
        <f t="shared" si="1038"/>
        <v>1</v>
      </c>
      <c r="P748" s="80">
        <f t="shared" si="1038"/>
        <v>1</v>
      </c>
      <c r="Q748" s="80">
        <f t="shared" si="1038"/>
        <v>1</v>
      </c>
      <c r="R748" s="80">
        <f t="shared" si="1038"/>
        <v>1</v>
      </c>
      <c r="S748" s="80">
        <f t="shared" si="1038"/>
        <v>1</v>
      </c>
      <c r="T748" s="80">
        <f t="shared" si="1038"/>
        <v>1</v>
      </c>
      <c r="U748" s="80">
        <f t="shared" si="1038"/>
        <v>1</v>
      </c>
      <c r="V748" s="80">
        <f t="shared" si="1038"/>
        <v>1</v>
      </c>
      <c r="W748" s="80">
        <f t="shared" si="1038"/>
        <v>1</v>
      </c>
      <c r="X748" s="80">
        <f t="shared" si="1038"/>
        <v>1</v>
      </c>
      <c r="Y748" s="80">
        <f t="shared" si="1038"/>
        <v>1</v>
      </c>
    </row>
    <row r="749" ht="16.5" spans="2:25">
      <c r="B749" s="65">
        <v>109</v>
      </c>
      <c r="C749" s="80">
        <f t="shared" si="994"/>
        <v>13316</v>
      </c>
      <c r="D749" s="80">
        <f t="shared" ref="D749:Y749" si="1039">IF($C749&gt;D$337,1,0)</f>
        <v>1</v>
      </c>
      <c r="E749" s="80">
        <f t="shared" si="1039"/>
        <v>1</v>
      </c>
      <c r="F749" s="80">
        <f t="shared" si="1039"/>
        <v>1</v>
      </c>
      <c r="G749" s="80">
        <f t="shared" si="1039"/>
        <v>1</v>
      </c>
      <c r="H749" s="80">
        <f t="shared" si="1039"/>
        <v>1</v>
      </c>
      <c r="I749" s="80">
        <f t="shared" si="1039"/>
        <v>1</v>
      </c>
      <c r="J749" s="80">
        <f t="shared" si="1039"/>
        <v>1</v>
      </c>
      <c r="K749" s="80">
        <f t="shared" si="1039"/>
        <v>1</v>
      </c>
      <c r="L749" s="80">
        <f t="shared" si="1039"/>
        <v>1</v>
      </c>
      <c r="M749" s="80">
        <f t="shared" si="1039"/>
        <v>1</v>
      </c>
      <c r="N749" s="80">
        <f t="shared" si="1039"/>
        <v>1</v>
      </c>
      <c r="O749" s="80">
        <f t="shared" si="1039"/>
        <v>1</v>
      </c>
      <c r="P749" s="80">
        <f t="shared" si="1039"/>
        <v>1</v>
      </c>
      <c r="Q749" s="80">
        <f t="shared" si="1039"/>
        <v>1</v>
      </c>
      <c r="R749" s="80">
        <f t="shared" si="1039"/>
        <v>1</v>
      </c>
      <c r="S749" s="80">
        <f t="shared" si="1039"/>
        <v>1</v>
      </c>
      <c r="T749" s="80">
        <f t="shared" si="1039"/>
        <v>1</v>
      </c>
      <c r="U749" s="80">
        <f t="shared" si="1039"/>
        <v>1</v>
      </c>
      <c r="V749" s="80">
        <f t="shared" si="1039"/>
        <v>1</v>
      </c>
      <c r="W749" s="80">
        <f t="shared" si="1039"/>
        <v>1</v>
      </c>
      <c r="X749" s="80">
        <f t="shared" si="1039"/>
        <v>1</v>
      </c>
      <c r="Y749" s="80">
        <f t="shared" si="1039"/>
        <v>1</v>
      </c>
    </row>
    <row r="750" ht="16.5" spans="2:25">
      <c r="B750" s="65">
        <v>110</v>
      </c>
      <c r="C750" s="80">
        <f t="shared" si="994"/>
        <v>13426</v>
      </c>
      <c r="D750" s="80">
        <f t="shared" ref="D750:Y750" si="1040">IF($C750&gt;D$337,1,0)</f>
        <v>1</v>
      </c>
      <c r="E750" s="80">
        <f t="shared" si="1040"/>
        <v>1</v>
      </c>
      <c r="F750" s="80">
        <f t="shared" si="1040"/>
        <v>1</v>
      </c>
      <c r="G750" s="80">
        <f t="shared" si="1040"/>
        <v>1</v>
      </c>
      <c r="H750" s="80">
        <f t="shared" si="1040"/>
        <v>1</v>
      </c>
      <c r="I750" s="80">
        <f t="shared" si="1040"/>
        <v>1</v>
      </c>
      <c r="J750" s="80">
        <f t="shared" si="1040"/>
        <v>1</v>
      </c>
      <c r="K750" s="80">
        <f t="shared" si="1040"/>
        <v>1</v>
      </c>
      <c r="L750" s="80">
        <f t="shared" si="1040"/>
        <v>1</v>
      </c>
      <c r="M750" s="80">
        <f t="shared" si="1040"/>
        <v>1</v>
      </c>
      <c r="N750" s="80">
        <f t="shared" si="1040"/>
        <v>1</v>
      </c>
      <c r="O750" s="80">
        <f t="shared" si="1040"/>
        <v>1</v>
      </c>
      <c r="P750" s="80">
        <f t="shared" si="1040"/>
        <v>1</v>
      </c>
      <c r="Q750" s="80">
        <f t="shared" si="1040"/>
        <v>1</v>
      </c>
      <c r="R750" s="80">
        <f t="shared" si="1040"/>
        <v>1</v>
      </c>
      <c r="S750" s="80">
        <f t="shared" si="1040"/>
        <v>1</v>
      </c>
      <c r="T750" s="80">
        <f t="shared" si="1040"/>
        <v>1</v>
      </c>
      <c r="U750" s="80">
        <f t="shared" si="1040"/>
        <v>1</v>
      </c>
      <c r="V750" s="80">
        <f t="shared" si="1040"/>
        <v>1</v>
      </c>
      <c r="W750" s="80">
        <f t="shared" si="1040"/>
        <v>1</v>
      </c>
      <c r="X750" s="80">
        <f t="shared" si="1040"/>
        <v>1</v>
      </c>
      <c r="Y750" s="80">
        <f t="shared" si="1040"/>
        <v>1</v>
      </c>
    </row>
    <row r="751" ht="16.5" spans="2:25">
      <c r="B751" s="65">
        <v>111</v>
      </c>
      <c r="C751" s="80">
        <f t="shared" si="994"/>
        <v>13536</v>
      </c>
      <c r="D751" s="80">
        <f t="shared" ref="D751:Y751" si="1041">IF($C751&gt;D$337,1,0)</f>
        <v>1</v>
      </c>
      <c r="E751" s="80">
        <f t="shared" si="1041"/>
        <v>1</v>
      </c>
      <c r="F751" s="80">
        <f t="shared" si="1041"/>
        <v>1</v>
      </c>
      <c r="G751" s="80">
        <f t="shared" si="1041"/>
        <v>1</v>
      </c>
      <c r="H751" s="80">
        <f t="shared" si="1041"/>
        <v>1</v>
      </c>
      <c r="I751" s="80">
        <f t="shared" si="1041"/>
        <v>1</v>
      </c>
      <c r="J751" s="80">
        <f t="shared" si="1041"/>
        <v>1</v>
      </c>
      <c r="K751" s="80">
        <f t="shared" si="1041"/>
        <v>1</v>
      </c>
      <c r="L751" s="80">
        <f t="shared" si="1041"/>
        <v>1</v>
      </c>
      <c r="M751" s="80">
        <f t="shared" si="1041"/>
        <v>1</v>
      </c>
      <c r="N751" s="80">
        <f t="shared" si="1041"/>
        <v>1</v>
      </c>
      <c r="O751" s="80">
        <f t="shared" si="1041"/>
        <v>1</v>
      </c>
      <c r="P751" s="80">
        <f t="shared" si="1041"/>
        <v>1</v>
      </c>
      <c r="Q751" s="80">
        <f t="shared" si="1041"/>
        <v>1</v>
      </c>
      <c r="R751" s="80">
        <f t="shared" si="1041"/>
        <v>1</v>
      </c>
      <c r="S751" s="80">
        <f t="shared" si="1041"/>
        <v>1</v>
      </c>
      <c r="T751" s="80">
        <f t="shared" si="1041"/>
        <v>1</v>
      </c>
      <c r="U751" s="80">
        <f t="shared" si="1041"/>
        <v>1</v>
      </c>
      <c r="V751" s="80">
        <f t="shared" si="1041"/>
        <v>1</v>
      </c>
      <c r="W751" s="80">
        <f t="shared" si="1041"/>
        <v>1</v>
      </c>
      <c r="X751" s="80">
        <f t="shared" si="1041"/>
        <v>1</v>
      </c>
      <c r="Y751" s="80">
        <f t="shared" si="1041"/>
        <v>1</v>
      </c>
    </row>
    <row r="752" ht="16.5" spans="2:25">
      <c r="B752" s="65">
        <v>112</v>
      </c>
      <c r="C752" s="80">
        <f t="shared" si="994"/>
        <v>13646</v>
      </c>
      <c r="D752" s="80">
        <f t="shared" ref="D752:Y752" si="1042">IF($C752&gt;D$337,1,0)</f>
        <v>1</v>
      </c>
      <c r="E752" s="80">
        <f t="shared" si="1042"/>
        <v>1</v>
      </c>
      <c r="F752" s="80">
        <f t="shared" si="1042"/>
        <v>1</v>
      </c>
      <c r="G752" s="80">
        <f t="shared" si="1042"/>
        <v>1</v>
      </c>
      <c r="H752" s="80">
        <f t="shared" si="1042"/>
        <v>1</v>
      </c>
      <c r="I752" s="80">
        <f t="shared" si="1042"/>
        <v>1</v>
      </c>
      <c r="J752" s="80">
        <f t="shared" si="1042"/>
        <v>1</v>
      </c>
      <c r="K752" s="80">
        <f t="shared" si="1042"/>
        <v>1</v>
      </c>
      <c r="L752" s="80">
        <f t="shared" si="1042"/>
        <v>1</v>
      </c>
      <c r="M752" s="80">
        <f t="shared" si="1042"/>
        <v>1</v>
      </c>
      <c r="N752" s="80">
        <f t="shared" si="1042"/>
        <v>1</v>
      </c>
      <c r="O752" s="80">
        <f t="shared" si="1042"/>
        <v>1</v>
      </c>
      <c r="P752" s="80">
        <f t="shared" si="1042"/>
        <v>1</v>
      </c>
      <c r="Q752" s="80">
        <f t="shared" si="1042"/>
        <v>1</v>
      </c>
      <c r="R752" s="80">
        <f t="shared" si="1042"/>
        <v>1</v>
      </c>
      <c r="S752" s="80">
        <f t="shared" si="1042"/>
        <v>1</v>
      </c>
      <c r="T752" s="80">
        <f t="shared" si="1042"/>
        <v>1</v>
      </c>
      <c r="U752" s="80">
        <f t="shared" si="1042"/>
        <v>1</v>
      </c>
      <c r="V752" s="80">
        <f t="shared" si="1042"/>
        <v>1</v>
      </c>
      <c r="W752" s="80">
        <f t="shared" si="1042"/>
        <v>1</v>
      </c>
      <c r="X752" s="80">
        <f t="shared" si="1042"/>
        <v>1</v>
      </c>
      <c r="Y752" s="80">
        <f t="shared" si="1042"/>
        <v>1</v>
      </c>
    </row>
    <row r="753" ht="16.5" spans="2:25">
      <c r="B753" s="65">
        <v>113</v>
      </c>
      <c r="C753" s="80">
        <f t="shared" si="994"/>
        <v>13756</v>
      </c>
      <c r="D753" s="80">
        <f t="shared" ref="D753:Y753" si="1043">IF($C753&gt;D$337,1,0)</f>
        <v>1</v>
      </c>
      <c r="E753" s="80">
        <f t="shared" si="1043"/>
        <v>1</v>
      </c>
      <c r="F753" s="80">
        <f t="shared" si="1043"/>
        <v>1</v>
      </c>
      <c r="G753" s="80">
        <f t="shared" si="1043"/>
        <v>1</v>
      </c>
      <c r="H753" s="80">
        <f t="shared" si="1043"/>
        <v>1</v>
      </c>
      <c r="I753" s="80">
        <f t="shared" si="1043"/>
        <v>1</v>
      </c>
      <c r="J753" s="80">
        <f t="shared" si="1043"/>
        <v>1</v>
      </c>
      <c r="K753" s="80">
        <f t="shared" si="1043"/>
        <v>1</v>
      </c>
      <c r="L753" s="80">
        <f t="shared" si="1043"/>
        <v>1</v>
      </c>
      <c r="M753" s="80">
        <f t="shared" si="1043"/>
        <v>1</v>
      </c>
      <c r="N753" s="80">
        <f t="shared" si="1043"/>
        <v>1</v>
      </c>
      <c r="O753" s="80">
        <f t="shared" si="1043"/>
        <v>1</v>
      </c>
      <c r="P753" s="80">
        <f t="shared" si="1043"/>
        <v>1</v>
      </c>
      <c r="Q753" s="80">
        <f t="shared" si="1043"/>
        <v>1</v>
      </c>
      <c r="R753" s="80">
        <f t="shared" si="1043"/>
        <v>1</v>
      </c>
      <c r="S753" s="80">
        <f t="shared" si="1043"/>
        <v>1</v>
      </c>
      <c r="T753" s="80">
        <f t="shared" si="1043"/>
        <v>1</v>
      </c>
      <c r="U753" s="80">
        <f t="shared" si="1043"/>
        <v>1</v>
      </c>
      <c r="V753" s="80">
        <f t="shared" si="1043"/>
        <v>1</v>
      </c>
      <c r="W753" s="80">
        <f t="shared" si="1043"/>
        <v>1</v>
      </c>
      <c r="X753" s="80">
        <f t="shared" si="1043"/>
        <v>1</v>
      </c>
      <c r="Y753" s="80">
        <f t="shared" si="1043"/>
        <v>1</v>
      </c>
    </row>
    <row r="754" ht="16.5" spans="2:25">
      <c r="B754" s="65">
        <v>114</v>
      </c>
      <c r="C754" s="80">
        <f t="shared" si="994"/>
        <v>13866</v>
      </c>
      <c r="D754" s="80">
        <f t="shared" ref="D754:Y754" si="1044">IF($C754&gt;D$337,1,0)</f>
        <v>1</v>
      </c>
      <c r="E754" s="80">
        <f t="shared" si="1044"/>
        <v>1</v>
      </c>
      <c r="F754" s="80">
        <f t="shared" si="1044"/>
        <v>1</v>
      </c>
      <c r="G754" s="80">
        <f t="shared" si="1044"/>
        <v>1</v>
      </c>
      <c r="H754" s="80">
        <f t="shared" si="1044"/>
        <v>1</v>
      </c>
      <c r="I754" s="80">
        <f t="shared" si="1044"/>
        <v>1</v>
      </c>
      <c r="J754" s="80">
        <f t="shared" si="1044"/>
        <v>1</v>
      </c>
      <c r="K754" s="80">
        <f t="shared" si="1044"/>
        <v>1</v>
      </c>
      <c r="L754" s="80">
        <f t="shared" si="1044"/>
        <v>1</v>
      </c>
      <c r="M754" s="80">
        <f t="shared" si="1044"/>
        <v>1</v>
      </c>
      <c r="N754" s="80">
        <f t="shared" si="1044"/>
        <v>1</v>
      </c>
      <c r="O754" s="80">
        <f t="shared" si="1044"/>
        <v>1</v>
      </c>
      <c r="P754" s="80">
        <f t="shared" si="1044"/>
        <v>1</v>
      </c>
      <c r="Q754" s="80">
        <f t="shared" si="1044"/>
        <v>1</v>
      </c>
      <c r="R754" s="80">
        <f t="shared" si="1044"/>
        <v>1</v>
      </c>
      <c r="S754" s="80">
        <f t="shared" si="1044"/>
        <v>1</v>
      </c>
      <c r="T754" s="80">
        <f t="shared" si="1044"/>
        <v>1</v>
      </c>
      <c r="U754" s="80">
        <f t="shared" si="1044"/>
        <v>1</v>
      </c>
      <c r="V754" s="80">
        <f t="shared" si="1044"/>
        <v>1</v>
      </c>
      <c r="W754" s="80">
        <f t="shared" si="1044"/>
        <v>1</v>
      </c>
      <c r="X754" s="80">
        <f t="shared" si="1044"/>
        <v>1</v>
      </c>
      <c r="Y754" s="80">
        <f t="shared" si="1044"/>
        <v>1</v>
      </c>
    </row>
    <row r="755" ht="16.5" spans="2:25">
      <c r="B755" s="65">
        <v>115</v>
      </c>
      <c r="C755" s="80">
        <f t="shared" si="994"/>
        <v>13976</v>
      </c>
      <c r="D755" s="80">
        <f t="shared" ref="D755:Y755" si="1045">IF($C755&gt;D$337,1,0)</f>
        <v>1</v>
      </c>
      <c r="E755" s="80">
        <f t="shared" si="1045"/>
        <v>1</v>
      </c>
      <c r="F755" s="80">
        <f t="shared" si="1045"/>
        <v>1</v>
      </c>
      <c r="G755" s="80">
        <f t="shared" si="1045"/>
        <v>1</v>
      </c>
      <c r="H755" s="80">
        <f t="shared" si="1045"/>
        <v>1</v>
      </c>
      <c r="I755" s="80">
        <f t="shared" si="1045"/>
        <v>1</v>
      </c>
      <c r="J755" s="80">
        <f t="shared" si="1045"/>
        <v>1</v>
      </c>
      <c r="K755" s="80">
        <f t="shared" si="1045"/>
        <v>1</v>
      </c>
      <c r="L755" s="80">
        <f t="shared" si="1045"/>
        <v>1</v>
      </c>
      <c r="M755" s="80">
        <f t="shared" si="1045"/>
        <v>1</v>
      </c>
      <c r="N755" s="80">
        <f t="shared" si="1045"/>
        <v>1</v>
      </c>
      <c r="O755" s="80">
        <f t="shared" si="1045"/>
        <v>1</v>
      </c>
      <c r="P755" s="80">
        <f t="shared" si="1045"/>
        <v>1</v>
      </c>
      <c r="Q755" s="80">
        <f t="shared" si="1045"/>
        <v>1</v>
      </c>
      <c r="R755" s="80">
        <f t="shared" si="1045"/>
        <v>1</v>
      </c>
      <c r="S755" s="80">
        <f t="shared" si="1045"/>
        <v>1</v>
      </c>
      <c r="T755" s="80">
        <f t="shared" si="1045"/>
        <v>1</v>
      </c>
      <c r="U755" s="80">
        <f t="shared" si="1045"/>
        <v>1</v>
      </c>
      <c r="V755" s="80">
        <f t="shared" si="1045"/>
        <v>1</v>
      </c>
      <c r="W755" s="80">
        <f t="shared" si="1045"/>
        <v>1</v>
      </c>
      <c r="X755" s="80">
        <f t="shared" si="1045"/>
        <v>1</v>
      </c>
      <c r="Y755" s="80">
        <f t="shared" si="1045"/>
        <v>1</v>
      </c>
    </row>
    <row r="756" ht="16.5" spans="2:25">
      <c r="B756" s="65">
        <v>116</v>
      </c>
      <c r="C756" s="80">
        <f t="shared" si="994"/>
        <v>14086</v>
      </c>
      <c r="D756" s="80">
        <f t="shared" ref="D756:Y756" si="1046">IF($C756&gt;D$337,1,0)</f>
        <v>1</v>
      </c>
      <c r="E756" s="80">
        <f t="shared" si="1046"/>
        <v>1</v>
      </c>
      <c r="F756" s="80">
        <f t="shared" si="1046"/>
        <v>1</v>
      </c>
      <c r="G756" s="80">
        <f t="shared" si="1046"/>
        <v>1</v>
      </c>
      <c r="H756" s="80">
        <f t="shared" si="1046"/>
        <v>1</v>
      </c>
      <c r="I756" s="80">
        <f t="shared" si="1046"/>
        <v>1</v>
      </c>
      <c r="J756" s="80">
        <f t="shared" si="1046"/>
        <v>1</v>
      </c>
      <c r="K756" s="80">
        <f t="shared" si="1046"/>
        <v>1</v>
      </c>
      <c r="L756" s="80">
        <f t="shared" si="1046"/>
        <v>1</v>
      </c>
      <c r="M756" s="80">
        <f t="shared" si="1046"/>
        <v>1</v>
      </c>
      <c r="N756" s="80">
        <f t="shared" si="1046"/>
        <v>1</v>
      </c>
      <c r="O756" s="80">
        <f t="shared" si="1046"/>
        <v>1</v>
      </c>
      <c r="P756" s="80">
        <f t="shared" si="1046"/>
        <v>1</v>
      </c>
      <c r="Q756" s="80">
        <f t="shared" si="1046"/>
        <v>1</v>
      </c>
      <c r="R756" s="80">
        <f t="shared" si="1046"/>
        <v>1</v>
      </c>
      <c r="S756" s="80">
        <f t="shared" si="1046"/>
        <v>1</v>
      </c>
      <c r="T756" s="80">
        <f t="shared" si="1046"/>
        <v>1</v>
      </c>
      <c r="U756" s="80">
        <f t="shared" si="1046"/>
        <v>1</v>
      </c>
      <c r="V756" s="80">
        <f t="shared" si="1046"/>
        <v>1</v>
      </c>
      <c r="W756" s="80">
        <f t="shared" si="1046"/>
        <v>1</v>
      </c>
      <c r="X756" s="80">
        <f t="shared" si="1046"/>
        <v>1</v>
      </c>
      <c r="Y756" s="80">
        <f t="shared" si="1046"/>
        <v>1</v>
      </c>
    </row>
    <row r="757" ht="16.5" spans="2:25">
      <c r="B757" s="65">
        <v>117</v>
      </c>
      <c r="C757" s="80">
        <f t="shared" si="994"/>
        <v>14196</v>
      </c>
      <c r="D757" s="80">
        <f t="shared" ref="D757:Y757" si="1047">IF($C757&gt;D$337,1,0)</f>
        <v>1</v>
      </c>
      <c r="E757" s="80">
        <f t="shared" si="1047"/>
        <v>1</v>
      </c>
      <c r="F757" s="80">
        <f t="shared" si="1047"/>
        <v>1</v>
      </c>
      <c r="G757" s="80">
        <f t="shared" si="1047"/>
        <v>1</v>
      </c>
      <c r="H757" s="80">
        <f t="shared" si="1047"/>
        <v>1</v>
      </c>
      <c r="I757" s="80">
        <f t="shared" si="1047"/>
        <v>1</v>
      </c>
      <c r="J757" s="80">
        <f t="shared" si="1047"/>
        <v>1</v>
      </c>
      <c r="K757" s="80">
        <f t="shared" si="1047"/>
        <v>1</v>
      </c>
      <c r="L757" s="80">
        <f t="shared" si="1047"/>
        <v>1</v>
      </c>
      <c r="M757" s="80">
        <f t="shared" si="1047"/>
        <v>1</v>
      </c>
      <c r="N757" s="80">
        <f t="shared" si="1047"/>
        <v>1</v>
      </c>
      <c r="O757" s="80">
        <f t="shared" si="1047"/>
        <v>1</v>
      </c>
      <c r="P757" s="80">
        <f t="shared" si="1047"/>
        <v>1</v>
      </c>
      <c r="Q757" s="80">
        <f t="shared" si="1047"/>
        <v>1</v>
      </c>
      <c r="R757" s="80">
        <f t="shared" si="1047"/>
        <v>1</v>
      </c>
      <c r="S757" s="80">
        <f t="shared" si="1047"/>
        <v>1</v>
      </c>
      <c r="T757" s="80">
        <f t="shared" si="1047"/>
        <v>1</v>
      </c>
      <c r="U757" s="80">
        <f t="shared" si="1047"/>
        <v>1</v>
      </c>
      <c r="V757" s="80">
        <f t="shared" si="1047"/>
        <v>1</v>
      </c>
      <c r="W757" s="80">
        <f t="shared" si="1047"/>
        <v>1</v>
      </c>
      <c r="X757" s="80">
        <f t="shared" si="1047"/>
        <v>1</v>
      </c>
      <c r="Y757" s="80">
        <f t="shared" si="1047"/>
        <v>1</v>
      </c>
    </row>
    <row r="758" ht="16.5" spans="2:25">
      <c r="B758" s="65">
        <v>118</v>
      </c>
      <c r="C758" s="80">
        <f t="shared" si="994"/>
        <v>14306</v>
      </c>
      <c r="D758" s="80">
        <f t="shared" ref="D758:Y758" si="1048">IF($C758&gt;D$337,1,0)</f>
        <v>1</v>
      </c>
      <c r="E758" s="80">
        <f t="shared" si="1048"/>
        <v>1</v>
      </c>
      <c r="F758" s="80">
        <f t="shared" si="1048"/>
        <v>1</v>
      </c>
      <c r="G758" s="80">
        <f t="shared" si="1048"/>
        <v>1</v>
      </c>
      <c r="H758" s="80">
        <f t="shared" si="1048"/>
        <v>1</v>
      </c>
      <c r="I758" s="80">
        <f t="shared" si="1048"/>
        <v>1</v>
      </c>
      <c r="J758" s="80">
        <f t="shared" si="1048"/>
        <v>1</v>
      </c>
      <c r="K758" s="80">
        <f t="shared" si="1048"/>
        <v>1</v>
      </c>
      <c r="L758" s="80">
        <f t="shared" si="1048"/>
        <v>1</v>
      </c>
      <c r="M758" s="80">
        <f t="shared" si="1048"/>
        <v>1</v>
      </c>
      <c r="N758" s="80">
        <f t="shared" si="1048"/>
        <v>1</v>
      </c>
      <c r="O758" s="80">
        <f t="shared" si="1048"/>
        <v>1</v>
      </c>
      <c r="P758" s="80">
        <f t="shared" si="1048"/>
        <v>1</v>
      </c>
      <c r="Q758" s="80">
        <f t="shared" si="1048"/>
        <v>1</v>
      </c>
      <c r="R758" s="80">
        <f t="shared" si="1048"/>
        <v>1</v>
      </c>
      <c r="S758" s="80">
        <f t="shared" si="1048"/>
        <v>1</v>
      </c>
      <c r="T758" s="80">
        <f t="shared" si="1048"/>
        <v>1</v>
      </c>
      <c r="U758" s="80">
        <f t="shared" si="1048"/>
        <v>1</v>
      </c>
      <c r="V758" s="80">
        <f t="shared" si="1048"/>
        <v>1</v>
      </c>
      <c r="W758" s="80">
        <f t="shared" si="1048"/>
        <v>1</v>
      </c>
      <c r="X758" s="80">
        <f t="shared" si="1048"/>
        <v>1</v>
      </c>
      <c r="Y758" s="80">
        <f t="shared" si="1048"/>
        <v>1</v>
      </c>
    </row>
    <row r="759" ht="16.5" spans="2:25">
      <c r="B759" s="65">
        <v>119</v>
      </c>
      <c r="C759" s="80">
        <f t="shared" si="994"/>
        <v>14416</v>
      </c>
      <c r="D759" s="80">
        <f t="shared" ref="D759:Y759" si="1049">IF($C759&gt;D$337,1,0)</f>
        <v>1</v>
      </c>
      <c r="E759" s="80">
        <f t="shared" si="1049"/>
        <v>1</v>
      </c>
      <c r="F759" s="80">
        <f t="shared" si="1049"/>
        <v>1</v>
      </c>
      <c r="G759" s="80">
        <f t="shared" si="1049"/>
        <v>1</v>
      </c>
      <c r="H759" s="80">
        <f t="shared" si="1049"/>
        <v>1</v>
      </c>
      <c r="I759" s="80">
        <f t="shared" si="1049"/>
        <v>1</v>
      </c>
      <c r="J759" s="80">
        <f t="shared" si="1049"/>
        <v>1</v>
      </c>
      <c r="K759" s="80">
        <f t="shared" si="1049"/>
        <v>1</v>
      </c>
      <c r="L759" s="80">
        <f t="shared" si="1049"/>
        <v>1</v>
      </c>
      <c r="M759" s="80">
        <f t="shared" si="1049"/>
        <v>1</v>
      </c>
      <c r="N759" s="80">
        <f t="shared" si="1049"/>
        <v>1</v>
      </c>
      <c r="O759" s="80">
        <f t="shared" si="1049"/>
        <v>1</v>
      </c>
      <c r="P759" s="80">
        <f t="shared" si="1049"/>
        <v>1</v>
      </c>
      <c r="Q759" s="80">
        <f t="shared" si="1049"/>
        <v>1</v>
      </c>
      <c r="R759" s="80">
        <f t="shared" si="1049"/>
        <v>1</v>
      </c>
      <c r="S759" s="80">
        <f t="shared" si="1049"/>
        <v>1</v>
      </c>
      <c r="T759" s="80">
        <f t="shared" si="1049"/>
        <v>1</v>
      </c>
      <c r="U759" s="80">
        <f t="shared" si="1049"/>
        <v>1</v>
      </c>
      <c r="V759" s="80">
        <f t="shared" si="1049"/>
        <v>1</v>
      </c>
      <c r="W759" s="80">
        <f t="shared" si="1049"/>
        <v>1</v>
      </c>
      <c r="X759" s="80">
        <f t="shared" si="1049"/>
        <v>1</v>
      </c>
      <c r="Y759" s="80">
        <f t="shared" si="1049"/>
        <v>1</v>
      </c>
    </row>
    <row r="760" ht="16.5" spans="2:25">
      <c r="B760" s="65">
        <v>120</v>
      </c>
      <c r="C760" s="80">
        <f t="shared" si="994"/>
        <v>14526</v>
      </c>
      <c r="D760" s="80">
        <f t="shared" ref="D760:Y760" si="1050">IF($C760&gt;D$337,1,0)</f>
        <v>1</v>
      </c>
      <c r="E760" s="80">
        <f t="shared" si="1050"/>
        <v>1</v>
      </c>
      <c r="F760" s="80">
        <f t="shared" si="1050"/>
        <v>1</v>
      </c>
      <c r="G760" s="80">
        <f t="shared" si="1050"/>
        <v>1</v>
      </c>
      <c r="H760" s="80">
        <f t="shared" si="1050"/>
        <v>1</v>
      </c>
      <c r="I760" s="80">
        <f t="shared" si="1050"/>
        <v>1</v>
      </c>
      <c r="J760" s="80">
        <f t="shared" si="1050"/>
        <v>1</v>
      </c>
      <c r="K760" s="80">
        <f t="shared" si="1050"/>
        <v>1</v>
      </c>
      <c r="L760" s="80">
        <f t="shared" si="1050"/>
        <v>1</v>
      </c>
      <c r="M760" s="80">
        <f t="shared" si="1050"/>
        <v>1</v>
      </c>
      <c r="N760" s="80">
        <f t="shared" si="1050"/>
        <v>1</v>
      </c>
      <c r="O760" s="80">
        <f t="shared" si="1050"/>
        <v>1</v>
      </c>
      <c r="P760" s="80">
        <f t="shared" si="1050"/>
        <v>1</v>
      </c>
      <c r="Q760" s="80">
        <f t="shared" si="1050"/>
        <v>1</v>
      </c>
      <c r="R760" s="80">
        <f t="shared" si="1050"/>
        <v>1</v>
      </c>
      <c r="S760" s="80">
        <f t="shared" si="1050"/>
        <v>1</v>
      </c>
      <c r="T760" s="80">
        <f t="shared" si="1050"/>
        <v>1</v>
      </c>
      <c r="U760" s="80">
        <f t="shared" si="1050"/>
        <v>1</v>
      </c>
      <c r="V760" s="80">
        <f t="shared" si="1050"/>
        <v>1</v>
      </c>
      <c r="W760" s="80">
        <f t="shared" si="1050"/>
        <v>1</v>
      </c>
      <c r="X760" s="80">
        <f t="shared" si="1050"/>
        <v>1</v>
      </c>
      <c r="Y760" s="80">
        <f t="shared" si="1050"/>
        <v>1</v>
      </c>
    </row>
    <row r="761" ht="16.5" spans="2:25">
      <c r="B761" s="65">
        <v>121</v>
      </c>
      <c r="C761" s="80">
        <f t="shared" si="994"/>
        <v>14636</v>
      </c>
      <c r="D761" s="80">
        <f t="shared" ref="D761:Y761" si="1051">IF($C761&gt;D$337,1,0)</f>
        <v>1</v>
      </c>
      <c r="E761" s="80">
        <f t="shared" si="1051"/>
        <v>1</v>
      </c>
      <c r="F761" s="80">
        <f t="shared" si="1051"/>
        <v>1</v>
      </c>
      <c r="G761" s="80">
        <f t="shared" si="1051"/>
        <v>1</v>
      </c>
      <c r="H761" s="80">
        <f t="shared" si="1051"/>
        <v>1</v>
      </c>
      <c r="I761" s="80">
        <f t="shared" si="1051"/>
        <v>1</v>
      </c>
      <c r="J761" s="80">
        <f t="shared" si="1051"/>
        <v>1</v>
      </c>
      <c r="K761" s="80">
        <f t="shared" si="1051"/>
        <v>1</v>
      </c>
      <c r="L761" s="80">
        <f t="shared" si="1051"/>
        <v>1</v>
      </c>
      <c r="M761" s="80">
        <f t="shared" si="1051"/>
        <v>1</v>
      </c>
      <c r="N761" s="80">
        <f t="shared" si="1051"/>
        <v>1</v>
      </c>
      <c r="O761" s="80">
        <f t="shared" si="1051"/>
        <v>1</v>
      </c>
      <c r="P761" s="80">
        <f t="shared" si="1051"/>
        <v>1</v>
      </c>
      <c r="Q761" s="80">
        <f t="shared" si="1051"/>
        <v>1</v>
      </c>
      <c r="R761" s="80">
        <f t="shared" si="1051"/>
        <v>1</v>
      </c>
      <c r="S761" s="80">
        <f t="shared" si="1051"/>
        <v>1</v>
      </c>
      <c r="T761" s="80">
        <f t="shared" si="1051"/>
        <v>1</v>
      </c>
      <c r="U761" s="80">
        <f t="shared" si="1051"/>
        <v>1</v>
      </c>
      <c r="V761" s="80">
        <f t="shared" si="1051"/>
        <v>1</v>
      </c>
      <c r="W761" s="80">
        <f t="shared" si="1051"/>
        <v>1</v>
      </c>
      <c r="X761" s="80">
        <f t="shared" si="1051"/>
        <v>1</v>
      </c>
      <c r="Y761" s="80">
        <f t="shared" si="1051"/>
        <v>1</v>
      </c>
    </row>
    <row r="762" ht="16.5" spans="2:25">
      <c r="B762" s="65">
        <v>122</v>
      </c>
      <c r="C762" s="80">
        <f t="shared" si="994"/>
        <v>14746</v>
      </c>
      <c r="D762" s="80">
        <f t="shared" ref="D762:Y762" si="1052">IF($C762&gt;D$337,1,0)</f>
        <v>1</v>
      </c>
      <c r="E762" s="80">
        <f t="shared" si="1052"/>
        <v>1</v>
      </c>
      <c r="F762" s="80">
        <f t="shared" si="1052"/>
        <v>1</v>
      </c>
      <c r="G762" s="80">
        <f t="shared" si="1052"/>
        <v>1</v>
      </c>
      <c r="H762" s="80">
        <f t="shared" si="1052"/>
        <v>1</v>
      </c>
      <c r="I762" s="80">
        <f t="shared" si="1052"/>
        <v>1</v>
      </c>
      <c r="J762" s="80">
        <f t="shared" si="1052"/>
        <v>1</v>
      </c>
      <c r="K762" s="80">
        <f t="shared" si="1052"/>
        <v>1</v>
      </c>
      <c r="L762" s="80">
        <f t="shared" si="1052"/>
        <v>1</v>
      </c>
      <c r="M762" s="80">
        <f t="shared" si="1052"/>
        <v>1</v>
      </c>
      <c r="N762" s="80">
        <f t="shared" si="1052"/>
        <v>1</v>
      </c>
      <c r="O762" s="80">
        <f t="shared" si="1052"/>
        <v>1</v>
      </c>
      <c r="P762" s="80">
        <f t="shared" si="1052"/>
        <v>1</v>
      </c>
      <c r="Q762" s="80">
        <f t="shared" si="1052"/>
        <v>1</v>
      </c>
      <c r="R762" s="80">
        <f t="shared" si="1052"/>
        <v>1</v>
      </c>
      <c r="S762" s="80">
        <f t="shared" si="1052"/>
        <v>1</v>
      </c>
      <c r="T762" s="80">
        <f t="shared" si="1052"/>
        <v>1</v>
      </c>
      <c r="U762" s="80">
        <f t="shared" si="1052"/>
        <v>1</v>
      </c>
      <c r="V762" s="80">
        <f t="shared" si="1052"/>
        <v>1</v>
      </c>
      <c r="W762" s="80">
        <f t="shared" si="1052"/>
        <v>1</v>
      </c>
      <c r="X762" s="80">
        <f t="shared" si="1052"/>
        <v>1</v>
      </c>
      <c r="Y762" s="80">
        <f t="shared" si="1052"/>
        <v>1</v>
      </c>
    </row>
    <row r="763" ht="16.5" spans="2:25">
      <c r="B763" s="65">
        <v>123</v>
      </c>
      <c r="C763" s="80">
        <f t="shared" si="994"/>
        <v>14856</v>
      </c>
      <c r="D763" s="80">
        <f t="shared" ref="D763:Y763" si="1053">IF($C763&gt;D$337,1,0)</f>
        <v>1</v>
      </c>
      <c r="E763" s="80">
        <f t="shared" si="1053"/>
        <v>1</v>
      </c>
      <c r="F763" s="80">
        <f t="shared" si="1053"/>
        <v>1</v>
      </c>
      <c r="G763" s="80">
        <f t="shared" si="1053"/>
        <v>1</v>
      </c>
      <c r="H763" s="80">
        <f t="shared" si="1053"/>
        <v>1</v>
      </c>
      <c r="I763" s="80">
        <f t="shared" si="1053"/>
        <v>1</v>
      </c>
      <c r="J763" s="80">
        <f t="shared" si="1053"/>
        <v>1</v>
      </c>
      <c r="K763" s="80">
        <f t="shared" si="1053"/>
        <v>1</v>
      </c>
      <c r="L763" s="80">
        <f t="shared" si="1053"/>
        <v>1</v>
      </c>
      <c r="M763" s="80">
        <f t="shared" si="1053"/>
        <v>1</v>
      </c>
      <c r="N763" s="80">
        <f t="shared" si="1053"/>
        <v>1</v>
      </c>
      <c r="O763" s="80">
        <f t="shared" si="1053"/>
        <v>1</v>
      </c>
      <c r="P763" s="80">
        <f t="shared" si="1053"/>
        <v>1</v>
      </c>
      <c r="Q763" s="80">
        <f t="shared" si="1053"/>
        <v>1</v>
      </c>
      <c r="R763" s="80">
        <f t="shared" si="1053"/>
        <v>1</v>
      </c>
      <c r="S763" s="80">
        <f t="shared" si="1053"/>
        <v>1</v>
      </c>
      <c r="T763" s="80">
        <f t="shared" si="1053"/>
        <v>1</v>
      </c>
      <c r="U763" s="80">
        <f t="shared" si="1053"/>
        <v>1</v>
      </c>
      <c r="V763" s="80">
        <f t="shared" si="1053"/>
        <v>1</v>
      </c>
      <c r="W763" s="80">
        <f t="shared" si="1053"/>
        <v>1</v>
      </c>
      <c r="X763" s="80">
        <f t="shared" si="1053"/>
        <v>1</v>
      </c>
      <c r="Y763" s="80">
        <f t="shared" si="1053"/>
        <v>1</v>
      </c>
    </row>
    <row r="764" ht="16.5" spans="2:25">
      <c r="B764" s="65">
        <v>124</v>
      </c>
      <c r="C764" s="80">
        <f t="shared" si="994"/>
        <v>14966</v>
      </c>
      <c r="D764" s="80">
        <f t="shared" ref="D764:Y764" si="1054">IF($C764&gt;D$337,1,0)</f>
        <v>1</v>
      </c>
      <c r="E764" s="80">
        <f t="shared" si="1054"/>
        <v>1</v>
      </c>
      <c r="F764" s="80">
        <f t="shared" si="1054"/>
        <v>1</v>
      </c>
      <c r="G764" s="80">
        <f t="shared" si="1054"/>
        <v>1</v>
      </c>
      <c r="H764" s="80">
        <f t="shared" si="1054"/>
        <v>1</v>
      </c>
      <c r="I764" s="80">
        <f t="shared" si="1054"/>
        <v>1</v>
      </c>
      <c r="J764" s="80">
        <f t="shared" si="1054"/>
        <v>1</v>
      </c>
      <c r="K764" s="80">
        <f t="shared" si="1054"/>
        <v>1</v>
      </c>
      <c r="L764" s="80">
        <f t="shared" si="1054"/>
        <v>1</v>
      </c>
      <c r="M764" s="80">
        <f t="shared" si="1054"/>
        <v>1</v>
      </c>
      <c r="N764" s="80">
        <f t="shared" si="1054"/>
        <v>1</v>
      </c>
      <c r="O764" s="80">
        <f t="shared" si="1054"/>
        <v>1</v>
      </c>
      <c r="P764" s="80">
        <f t="shared" si="1054"/>
        <v>1</v>
      </c>
      <c r="Q764" s="80">
        <f t="shared" si="1054"/>
        <v>1</v>
      </c>
      <c r="R764" s="80">
        <f t="shared" si="1054"/>
        <v>1</v>
      </c>
      <c r="S764" s="80">
        <f t="shared" si="1054"/>
        <v>1</v>
      </c>
      <c r="T764" s="80">
        <f t="shared" si="1054"/>
        <v>1</v>
      </c>
      <c r="U764" s="80">
        <f t="shared" si="1054"/>
        <v>1</v>
      </c>
      <c r="V764" s="80">
        <f t="shared" si="1054"/>
        <v>1</v>
      </c>
      <c r="W764" s="80">
        <f t="shared" si="1054"/>
        <v>1</v>
      </c>
      <c r="X764" s="80">
        <f t="shared" si="1054"/>
        <v>1</v>
      </c>
      <c r="Y764" s="80">
        <f t="shared" si="1054"/>
        <v>1</v>
      </c>
    </row>
    <row r="765" ht="16.5" spans="2:25">
      <c r="B765" s="65">
        <v>125</v>
      </c>
      <c r="C765" s="80">
        <f t="shared" si="994"/>
        <v>15076</v>
      </c>
      <c r="D765" s="80">
        <f t="shared" ref="D765:Y765" si="1055">IF($C765&gt;D$337,1,0)</f>
        <v>1</v>
      </c>
      <c r="E765" s="80">
        <f t="shared" si="1055"/>
        <v>1</v>
      </c>
      <c r="F765" s="80">
        <f t="shared" si="1055"/>
        <v>1</v>
      </c>
      <c r="G765" s="80">
        <f t="shared" si="1055"/>
        <v>1</v>
      </c>
      <c r="H765" s="80">
        <f t="shared" si="1055"/>
        <v>1</v>
      </c>
      <c r="I765" s="80">
        <f t="shared" si="1055"/>
        <v>1</v>
      </c>
      <c r="J765" s="80">
        <f t="shared" si="1055"/>
        <v>1</v>
      </c>
      <c r="K765" s="80">
        <f t="shared" si="1055"/>
        <v>1</v>
      </c>
      <c r="L765" s="80">
        <f t="shared" si="1055"/>
        <v>1</v>
      </c>
      <c r="M765" s="80">
        <f t="shared" si="1055"/>
        <v>1</v>
      </c>
      <c r="N765" s="80">
        <f t="shared" si="1055"/>
        <v>1</v>
      </c>
      <c r="O765" s="80">
        <f t="shared" si="1055"/>
        <v>1</v>
      </c>
      <c r="P765" s="80">
        <f t="shared" si="1055"/>
        <v>1</v>
      </c>
      <c r="Q765" s="80">
        <f t="shared" si="1055"/>
        <v>1</v>
      </c>
      <c r="R765" s="80">
        <f t="shared" si="1055"/>
        <v>1</v>
      </c>
      <c r="S765" s="80">
        <f t="shared" si="1055"/>
        <v>1</v>
      </c>
      <c r="T765" s="80">
        <f t="shared" si="1055"/>
        <v>1</v>
      </c>
      <c r="U765" s="80">
        <f t="shared" si="1055"/>
        <v>1</v>
      </c>
      <c r="V765" s="80">
        <f t="shared" si="1055"/>
        <v>1</v>
      </c>
      <c r="W765" s="80">
        <f t="shared" si="1055"/>
        <v>1</v>
      </c>
      <c r="X765" s="80">
        <f t="shared" si="1055"/>
        <v>1</v>
      </c>
      <c r="Y765" s="80">
        <f t="shared" si="1055"/>
        <v>1</v>
      </c>
    </row>
    <row r="766" ht="16.5" spans="2:25">
      <c r="B766" s="65">
        <v>126</v>
      </c>
      <c r="C766" s="80">
        <f t="shared" si="994"/>
        <v>15186</v>
      </c>
      <c r="D766" s="80">
        <f t="shared" ref="D766:Y766" si="1056">IF($C766&gt;D$337,1,0)</f>
        <v>1</v>
      </c>
      <c r="E766" s="80">
        <f t="shared" si="1056"/>
        <v>1</v>
      </c>
      <c r="F766" s="80">
        <f t="shared" si="1056"/>
        <v>1</v>
      </c>
      <c r="G766" s="80">
        <f t="shared" si="1056"/>
        <v>1</v>
      </c>
      <c r="H766" s="80">
        <f t="shared" si="1056"/>
        <v>1</v>
      </c>
      <c r="I766" s="80">
        <f t="shared" si="1056"/>
        <v>1</v>
      </c>
      <c r="J766" s="80">
        <f t="shared" si="1056"/>
        <v>1</v>
      </c>
      <c r="K766" s="80">
        <f t="shared" si="1056"/>
        <v>1</v>
      </c>
      <c r="L766" s="80">
        <f t="shared" si="1056"/>
        <v>1</v>
      </c>
      <c r="M766" s="80">
        <f t="shared" si="1056"/>
        <v>1</v>
      </c>
      <c r="N766" s="80">
        <f t="shared" si="1056"/>
        <v>1</v>
      </c>
      <c r="O766" s="80">
        <f t="shared" si="1056"/>
        <v>1</v>
      </c>
      <c r="P766" s="80">
        <f t="shared" si="1056"/>
        <v>1</v>
      </c>
      <c r="Q766" s="80">
        <f t="shared" si="1056"/>
        <v>1</v>
      </c>
      <c r="R766" s="80">
        <f t="shared" si="1056"/>
        <v>1</v>
      </c>
      <c r="S766" s="80">
        <f t="shared" si="1056"/>
        <v>1</v>
      </c>
      <c r="T766" s="80">
        <f t="shared" si="1056"/>
        <v>1</v>
      </c>
      <c r="U766" s="80">
        <f t="shared" si="1056"/>
        <v>1</v>
      </c>
      <c r="V766" s="80">
        <f t="shared" si="1056"/>
        <v>1</v>
      </c>
      <c r="W766" s="80">
        <f t="shared" si="1056"/>
        <v>1</v>
      </c>
      <c r="X766" s="80">
        <f t="shared" si="1056"/>
        <v>1</v>
      </c>
      <c r="Y766" s="80">
        <f t="shared" si="1056"/>
        <v>1</v>
      </c>
    </row>
    <row r="767" ht="16.5" spans="2:25">
      <c r="B767" s="65">
        <v>127</v>
      </c>
      <c r="C767" s="80">
        <f t="shared" si="994"/>
        <v>15296</v>
      </c>
      <c r="D767" s="80">
        <f t="shared" ref="D767:Y767" si="1057">IF($C767&gt;D$337,1,0)</f>
        <v>1</v>
      </c>
      <c r="E767" s="80">
        <f t="shared" si="1057"/>
        <v>1</v>
      </c>
      <c r="F767" s="80">
        <f t="shared" si="1057"/>
        <v>1</v>
      </c>
      <c r="G767" s="80">
        <f t="shared" si="1057"/>
        <v>1</v>
      </c>
      <c r="H767" s="80">
        <f t="shared" si="1057"/>
        <v>1</v>
      </c>
      <c r="I767" s="80">
        <f t="shared" si="1057"/>
        <v>1</v>
      </c>
      <c r="J767" s="80">
        <f t="shared" si="1057"/>
        <v>1</v>
      </c>
      <c r="K767" s="80">
        <f t="shared" si="1057"/>
        <v>1</v>
      </c>
      <c r="L767" s="80">
        <f t="shared" si="1057"/>
        <v>1</v>
      </c>
      <c r="M767" s="80">
        <f t="shared" si="1057"/>
        <v>1</v>
      </c>
      <c r="N767" s="80">
        <f t="shared" si="1057"/>
        <v>1</v>
      </c>
      <c r="O767" s="80">
        <f t="shared" si="1057"/>
        <v>1</v>
      </c>
      <c r="P767" s="80">
        <f t="shared" si="1057"/>
        <v>1</v>
      </c>
      <c r="Q767" s="80">
        <f t="shared" si="1057"/>
        <v>1</v>
      </c>
      <c r="R767" s="80">
        <f t="shared" si="1057"/>
        <v>1</v>
      </c>
      <c r="S767" s="80">
        <f t="shared" si="1057"/>
        <v>1</v>
      </c>
      <c r="T767" s="80">
        <f t="shared" si="1057"/>
        <v>1</v>
      </c>
      <c r="U767" s="80">
        <f t="shared" si="1057"/>
        <v>1</v>
      </c>
      <c r="V767" s="80">
        <f t="shared" si="1057"/>
        <v>1</v>
      </c>
      <c r="W767" s="80">
        <f t="shared" si="1057"/>
        <v>1</v>
      </c>
      <c r="X767" s="80">
        <f t="shared" si="1057"/>
        <v>1</v>
      </c>
      <c r="Y767" s="80">
        <f t="shared" si="1057"/>
        <v>1</v>
      </c>
    </row>
    <row r="768" ht="16.5" spans="2:25">
      <c r="B768" s="65">
        <v>128</v>
      </c>
      <c r="C768" s="80">
        <f t="shared" si="994"/>
        <v>15406</v>
      </c>
      <c r="D768" s="80">
        <f t="shared" ref="D768:Y768" si="1058">IF($C768&gt;D$337,1,0)</f>
        <v>1</v>
      </c>
      <c r="E768" s="80">
        <f t="shared" si="1058"/>
        <v>1</v>
      </c>
      <c r="F768" s="80">
        <f t="shared" si="1058"/>
        <v>1</v>
      </c>
      <c r="G768" s="80">
        <f t="shared" si="1058"/>
        <v>1</v>
      </c>
      <c r="H768" s="80">
        <f t="shared" si="1058"/>
        <v>1</v>
      </c>
      <c r="I768" s="80">
        <f t="shared" si="1058"/>
        <v>1</v>
      </c>
      <c r="J768" s="80">
        <f t="shared" si="1058"/>
        <v>1</v>
      </c>
      <c r="K768" s="80">
        <f t="shared" si="1058"/>
        <v>1</v>
      </c>
      <c r="L768" s="80">
        <f t="shared" si="1058"/>
        <v>1</v>
      </c>
      <c r="M768" s="80">
        <f t="shared" si="1058"/>
        <v>1</v>
      </c>
      <c r="N768" s="80">
        <f t="shared" si="1058"/>
        <v>1</v>
      </c>
      <c r="O768" s="80">
        <f t="shared" si="1058"/>
        <v>1</v>
      </c>
      <c r="P768" s="80">
        <f t="shared" si="1058"/>
        <v>1</v>
      </c>
      <c r="Q768" s="80">
        <f t="shared" si="1058"/>
        <v>1</v>
      </c>
      <c r="R768" s="80">
        <f t="shared" si="1058"/>
        <v>1</v>
      </c>
      <c r="S768" s="80">
        <f t="shared" si="1058"/>
        <v>1</v>
      </c>
      <c r="T768" s="80">
        <f t="shared" si="1058"/>
        <v>1</v>
      </c>
      <c r="U768" s="80">
        <f t="shared" si="1058"/>
        <v>1</v>
      </c>
      <c r="V768" s="80">
        <f t="shared" si="1058"/>
        <v>1</v>
      </c>
      <c r="W768" s="80">
        <f t="shared" si="1058"/>
        <v>1</v>
      </c>
      <c r="X768" s="80">
        <f t="shared" si="1058"/>
        <v>1</v>
      </c>
      <c r="Y768" s="80">
        <f t="shared" si="1058"/>
        <v>1</v>
      </c>
    </row>
    <row r="769" ht="16.5" spans="2:25">
      <c r="B769" s="65">
        <v>129</v>
      </c>
      <c r="C769" s="80">
        <f t="shared" ref="C769:C832" si="1059">C467</f>
        <v>15516</v>
      </c>
      <c r="D769" s="80">
        <f t="shared" ref="D769:Y769" si="1060">IF($C769&gt;D$337,1,0)</f>
        <v>1</v>
      </c>
      <c r="E769" s="80">
        <f t="shared" si="1060"/>
        <v>1</v>
      </c>
      <c r="F769" s="80">
        <f t="shared" si="1060"/>
        <v>1</v>
      </c>
      <c r="G769" s="80">
        <f t="shared" si="1060"/>
        <v>1</v>
      </c>
      <c r="H769" s="80">
        <f t="shared" si="1060"/>
        <v>1</v>
      </c>
      <c r="I769" s="80">
        <f t="shared" si="1060"/>
        <v>1</v>
      </c>
      <c r="J769" s="80">
        <f t="shared" si="1060"/>
        <v>1</v>
      </c>
      <c r="K769" s="80">
        <f t="shared" si="1060"/>
        <v>1</v>
      </c>
      <c r="L769" s="80">
        <f t="shared" si="1060"/>
        <v>1</v>
      </c>
      <c r="M769" s="80">
        <f t="shared" si="1060"/>
        <v>1</v>
      </c>
      <c r="N769" s="80">
        <f t="shared" si="1060"/>
        <v>1</v>
      </c>
      <c r="O769" s="80">
        <f t="shared" si="1060"/>
        <v>1</v>
      </c>
      <c r="P769" s="80">
        <f t="shared" si="1060"/>
        <v>1</v>
      </c>
      <c r="Q769" s="80">
        <f t="shared" si="1060"/>
        <v>1</v>
      </c>
      <c r="R769" s="80">
        <f t="shared" si="1060"/>
        <v>1</v>
      </c>
      <c r="S769" s="80">
        <f t="shared" si="1060"/>
        <v>1</v>
      </c>
      <c r="T769" s="80">
        <f t="shared" si="1060"/>
        <v>1</v>
      </c>
      <c r="U769" s="80">
        <f t="shared" si="1060"/>
        <v>1</v>
      </c>
      <c r="V769" s="80">
        <f t="shared" si="1060"/>
        <v>1</v>
      </c>
      <c r="W769" s="80">
        <f t="shared" si="1060"/>
        <v>1</v>
      </c>
      <c r="X769" s="80">
        <f t="shared" si="1060"/>
        <v>1</v>
      </c>
      <c r="Y769" s="80">
        <f t="shared" si="1060"/>
        <v>1</v>
      </c>
    </row>
    <row r="770" ht="16.5" spans="2:25">
      <c r="B770" s="65">
        <v>130</v>
      </c>
      <c r="C770" s="80">
        <f t="shared" si="1059"/>
        <v>15626</v>
      </c>
      <c r="D770" s="80">
        <f t="shared" ref="D770:Y770" si="1061">IF($C770&gt;D$337,1,0)</f>
        <v>1</v>
      </c>
      <c r="E770" s="80">
        <f t="shared" si="1061"/>
        <v>1</v>
      </c>
      <c r="F770" s="80">
        <f t="shared" si="1061"/>
        <v>1</v>
      </c>
      <c r="G770" s="80">
        <f t="shared" si="1061"/>
        <v>1</v>
      </c>
      <c r="H770" s="80">
        <f t="shared" si="1061"/>
        <v>1</v>
      </c>
      <c r="I770" s="80">
        <f t="shared" si="1061"/>
        <v>1</v>
      </c>
      <c r="J770" s="80">
        <f t="shared" si="1061"/>
        <v>1</v>
      </c>
      <c r="K770" s="80">
        <f t="shared" si="1061"/>
        <v>1</v>
      </c>
      <c r="L770" s="80">
        <f t="shared" si="1061"/>
        <v>1</v>
      </c>
      <c r="M770" s="80">
        <f t="shared" si="1061"/>
        <v>1</v>
      </c>
      <c r="N770" s="80">
        <f t="shared" si="1061"/>
        <v>1</v>
      </c>
      <c r="O770" s="80">
        <f t="shared" si="1061"/>
        <v>1</v>
      </c>
      <c r="P770" s="80">
        <f t="shared" si="1061"/>
        <v>1</v>
      </c>
      <c r="Q770" s="80">
        <f t="shared" si="1061"/>
        <v>1</v>
      </c>
      <c r="R770" s="80">
        <f t="shared" si="1061"/>
        <v>1</v>
      </c>
      <c r="S770" s="80">
        <f t="shared" si="1061"/>
        <v>1</v>
      </c>
      <c r="T770" s="80">
        <f t="shared" si="1061"/>
        <v>1</v>
      </c>
      <c r="U770" s="80">
        <f t="shared" si="1061"/>
        <v>1</v>
      </c>
      <c r="V770" s="80">
        <f t="shared" si="1061"/>
        <v>1</v>
      </c>
      <c r="W770" s="80">
        <f t="shared" si="1061"/>
        <v>1</v>
      </c>
      <c r="X770" s="80">
        <f t="shared" si="1061"/>
        <v>1</v>
      </c>
      <c r="Y770" s="80">
        <f t="shared" si="1061"/>
        <v>1</v>
      </c>
    </row>
    <row r="771" ht="16.5" spans="2:25">
      <c r="B771" s="65">
        <v>131</v>
      </c>
      <c r="C771" s="80">
        <f t="shared" si="1059"/>
        <v>15736</v>
      </c>
      <c r="D771" s="80">
        <f t="shared" ref="D771:Y771" si="1062">IF($C771&gt;D$337,1,0)</f>
        <v>1</v>
      </c>
      <c r="E771" s="80">
        <f t="shared" si="1062"/>
        <v>1</v>
      </c>
      <c r="F771" s="80">
        <f t="shared" si="1062"/>
        <v>1</v>
      </c>
      <c r="G771" s="80">
        <f t="shared" si="1062"/>
        <v>1</v>
      </c>
      <c r="H771" s="80">
        <f t="shared" si="1062"/>
        <v>1</v>
      </c>
      <c r="I771" s="80">
        <f t="shared" si="1062"/>
        <v>1</v>
      </c>
      <c r="J771" s="80">
        <f t="shared" si="1062"/>
        <v>1</v>
      </c>
      <c r="K771" s="80">
        <f t="shared" si="1062"/>
        <v>1</v>
      </c>
      <c r="L771" s="80">
        <f t="shared" si="1062"/>
        <v>1</v>
      </c>
      <c r="M771" s="80">
        <f t="shared" si="1062"/>
        <v>1</v>
      </c>
      <c r="N771" s="80">
        <f t="shared" si="1062"/>
        <v>1</v>
      </c>
      <c r="O771" s="80">
        <f t="shared" si="1062"/>
        <v>1</v>
      </c>
      <c r="P771" s="80">
        <f t="shared" si="1062"/>
        <v>1</v>
      </c>
      <c r="Q771" s="80">
        <f t="shared" si="1062"/>
        <v>1</v>
      </c>
      <c r="R771" s="80">
        <f t="shared" si="1062"/>
        <v>1</v>
      </c>
      <c r="S771" s="80">
        <f t="shared" si="1062"/>
        <v>1</v>
      </c>
      <c r="T771" s="80">
        <f t="shared" si="1062"/>
        <v>1</v>
      </c>
      <c r="U771" s="80">
        <f t="shared" si="1062"/>
        <v>1</v>
      </c>
      <c r="V771" s="80">
        <f t="shared" si="1062"/>
        <v>1</v>
      </c>
      <c r="W771" s="80">
        <f t="shared" si="1062"/>
        <v>1</v>
      </c>
      <c r="X771" s="80">
        <f t="shared" si="1062"/>
        <v>1</v>
      </c>
      <c r="Y771" s="80">
        <f t="shared" si="1062"/>
        <v>1</v>
      </c>
    </row>
    <row r="772" ht="16.5" spans="2:25">
      <c r="B772" s="65">
        <v>132</v>
      </c>
      <c r="C772" s="80">
        <f t="shared" si="1059"/>
        <v>15846</v>
      </c>
      <c r="D772" s="80">
        <f t="shared" ref="D772:Y772" si="1063">IF($C772&gt;D$337,1,0)</f>
        <v>1</v>
      </c>
      <c r="E772" s="80">
        <f t="shared" si="1063"/>
        <v>1</v>
      </c>
      <c r="F772" s="80">
        <f t="shared" si="1063"/>
        <v>1</v>
      </c>
      <c r="G772" s="80">
        <f t="shared" si="1063"/>
        <v>1</v>
      </c>
      <c r="H772" s="80">
        <f t="shared" si="1063"/>
        <v>1</v>
      </c>
      <c r="I772" s="80">
        <f t="shared" si="1063"/>
        <v>1</v>
      </c>
      <c r="J772" s="80">
        <f t="shared" si="1063"/>
        <v>1</v>
      </c>
      <c r="K772" s="80">
        <f t="shared" si="1063"/>
        <v>1</v>
      </c>
      <c r="L772" s="80">
        <f t="shared" si="1063"/>
        <v>1</v>
      </c>
      <c r="M772" s="80">
        <f t="shared" si="1063"/>
        <v>1</v>
      </c>
      <c r="N772" s="80">
        <f t="shared" si="1063"/>
        <v>1</v>
      </c>
      <c r="O772" s="80">
        <f t="shared" si="1063"/>
        <v>1</v>
      </c>
      <c r="P772" s="80">
        <f t="shared" si="1063"/>
        <v>1</v>
      </c>
      <c r="Q772" s="80">
        <f t="shared" si="1063"/>
        <v>1</v>
      </c>
      <c r="R772" s="80">
        <f t="shared" si="1063"/>
        <v>1</v>
      </c>
      <c r="S772" s="80">
        <f t="shared" si="1063"/>
        <v>1</v>
      </c>
      <c r="T772" s="80">
        <f t="shared" si="1063"/>
        <v>1</v>
      </c>
      <c r="U772" s="80">
        <f t="shared" si="1063"/>
        <v>1</v>
      </c>
      <c r="V772" s="80">
        <f t="shared" si="1063"/>
        <v>1</v>
      </c>
      <c r="W772" s="80">
        <f t="shared" si="1063"/>
        <v>1</v>
      </c>
      <c r="X772" s="80">
        <f t="shared" si="1063"/>
        <v>1</v>
      </c>
      <c r="Y772" s="80">
        <f t="shared" si="1063"/>
        <v>1</v>
      </c>
    </row>
    <row r="773" ht="16.5" spans="2:25">
      <c r="B773" s="65">
        <v>133</v>
      </c>
      <c r="C773" s="80">
        <f t="shared" si="1059"/>
        <v>15956</v>
      </c>
      <c r="D773" s="80">
        <f t="shared" ref="D773:Y773" si="1064">IF($C773&gt;D$337,1,0)</f>
        <v>1</v>
      </c>
      <c r="E773" s="80">
        <f t="shared" si="1064"/>
        <v>1</v>
      </c>
      <c r="F773" s="80">
        <f t="shared" si="1064"/>
        <v>1</v>
      </c>
      <c r="G773" s="80">
        <f t="shared" si="1064"/>
        <v>1</v>
      </c>
      <c r="H773" s="80">
        <f t="shared" si="1064"/>
        <v>1</v>
      </c>
      <c r="I773" s="80">
        <f t="shared" si="1064"/>
        <v>1</v>
      </c>
      <c r="J773" s="80">
        <f t="shared" si="1064"/>
        <v>1</v>
      </c>
      <c r="K773" s="80">
        <f t="shared" si="1064"/>
        <v>1</v>
      </c>
      <c r="L773" s="80">
        <f t="shared" si="1064"/>
        <v>1</v>
      </c>
      <c r="M773" s="80">
        <f t="shared" si="1064"/>
        <v>1</v>
      </c>
      <c r="N773" s="80">
        <f t="shared" si="1064"/>
        <v>1</v>
      </c>
      <c r="O773" s="80">
        <f t="shared" si="1064"/>
        <v>1</v>
      </c>
      <c r="P773" s="80">
        <f t="shared" si="1064"/>
        <v>1</v>
      </c>
      <c r="Q773" s="80">
        <f t="shared" si="1064"/>
        <v>1</v>
      </c>
      <c r="R773" s="80">
        <f t="shared" si="1064"/>
        <v>1</v>
      </c>
      <c r="S773" s="80">
        <f t="shared" si="1064"/>
        <v>1</v>
      </c>
      <c r="T773" s="80">
        <f t="shared" si="1064"/>
        <v>1</v>
      </c>
      <c r="U773" s="80">
        <f t="shared" si="1064"/>
        <v>1</v>
      </c>
      <c r="V773" s="80">
        <f t="shared" si="1064"/>
        <v>1</v>
      </c>
      <c r="W773" s="80">
        <f t="shared" si="1064"/>
        <v>1</v>
      </c>
      <c r="X773" s="80">
        <f t="shared" si="1064"/>
        <v>1</v>
      </c>
      <c r="Y773" s="80">
        <f t="shared" si="1064"/>
        <v>1</v>
      </c>
    </row>
    <row r="774" ht="16.5" spans="2:25">
      <c r="B774" s="65">
        <v>134</v>
      </c>
      <c r="C774" s="80">
        <f t="shared" si="1059"/>
        <v>16066</v>
      </c>
      <c r="D774" s="80">
        <f t="shared" ref="D774:Y774" si="1065">IF($C774&gt;D$337,1,0)</f>
        <v>1</v>
      </c>
      <c r="E774" s="80">
        <f t="shared" si="1065"/>
        <v>1</v>
      </c>
      <c r="F774" s="80">
        <f t="shared" si="1065"/>
        <v>1</v>
      </c>
      <c r="G774" s="80">
        <f t="shared" si="1065"/>
        <v>1</v>
      </c>
      <c r="H774" s="80">
        <f t="shared" si="1065"/>
        <v>1</v>
      </c>
      <c r="I774" s="80">
        <f t="shared" si="1065"/>
        <v>1</v>
      </c>
      <c r="J774" s="80">
        <f t="shared" si="1065"/>
        <v>1</v>
      </c>
      <c r="K774" s="80">
        <f t="shared" si="1065"/>
        <v>1</v>
      </c>
      <c r="L774" s="80">
        <f t="shared" si="1065"/>
        <v>1</v>
      </c>
      <c r="M774" s="80">
        <f t="shared" si="1065"/>
        <v>1</v>
      </c>
      <c r="N774" s="80">
        <f t="shared" si="1065"/>
        <v>1</v>
      </c>
      <c r="O774" s="80">
        <f t="shared" si="1065"/>
        <v>1</v>
      </c>
      <c r="P774" s="80">
        <f t="shared" si="1065"/>
        <v>1</v>
      </c>
      <c r="Q774" s="80">
        <f t="shared" si="1065"/>
        <v>1</v>
      </c>
      <c r="R774" s="80">
        <f t="shared" si="1065"/>
        <v>1</v>
      </c>
      <c r="S774" s="80">
        <f t="shared" si="1065"/>
        <v>1</v>
      </c>
      <c r="T774" s="80">
        <f t="shared" si="1065"/>
        <v>1</v>
      </c>
      <c r="U774" s="80">
        <f t="shared" si="1065"/>
        <v>1</v>
      </c>
      <c r="V774" s="80">
        <f t="shared" si="1065"/>
        <v>1</v>
      </c>
      <c r="W774" s="80">
        <f t="shared" si="1065"/>
        <v>1</v>
      </c>
      <c r="X774" s="80">
        <f t="shared" si="1065"/>
        <v>1</v>
      </c>
      <c r="Y774" s="80">
        <f t="shared" si="1065"/>
        <v>1</v>
      </c>
    </row>
    <row r="775" ht="16.5" spans="2:25">
      <c r="B775" s="65">
        <v>135</v>
      </c>
      <c r="C775" s="80">
        <f t="shared" si="1059"/>
        <v>16176</v>
      </c>
      <c r="D775" s="80">
        <f t="shared" ref="D775:Y775" si="1066">IF($C775&gt;D$337,1,0)</f>
        <v>1</v>
      </c>
      <c r="E775" s="80">
        <f t="shared" si="1066"/>
        <v>1</v>
      </c>
      <c r="F775" s="80">
        <f t="shared" si="1066"/>
        <v>1</v>
      </c>
      <c r="G775" s="80">
        <f t="shared" si="1066"/>
        <v>1</v>
      </c>
      <c r="H775" s="80">
        <f t="shared" si="1066"/>
        <v>1</v>
      </c>
      <c r="I775" s="80">
        <f t="shared" si="1066"/>
        <v>1</v>
      </c>
      <c r="J775" s="80">
        <f t="shared" si="1066"/>
        <v>1</v>
      </c>
      <c r="K775" s="80">
        <f t="shared" si="1066"/>
        <v>1</v>
      </c>
      <c r="L775" s="80">
        <f t="shared" si="1066"/>
        <v>1</v>
      </c>
      <c r="M775" s="80">
        <f t="shared" si="1066"/>
        <v>1</v>
      </c>
      <c r="N775" s="80">
        <f t="shared" si="1066"/>
        <v>1</v>
      </c>
      <c r="O775" s="80">
        <f t="shared" si="1066"/>
        <v>1</v>
      </c>
      <c r="P775" s="80">
        <f t="shared" si="1066"/>
        <v>1</v>
      </c>
      <c r="Q775" s="80">
        <f t="shared" si="1066"/>
        <v>1</v>
      </c>
      <c r="R775" s="80">
        <f t="shared" si="1066"/>
        <v>1</v>
      </c>
      <c r="S775" s="80">
        <f t="shared" si="1066"/>
        <v>1</v>
      </c>
      <c r="T775" s="80">
        <f t="shared" si="1066"/>
        <v>1</v>
      </c>
      <c r="U775" s="80">
        <f t="shared" si="1066"/>
        <v>1</v>
      </c>
      <c r="V775" s="80">
        <f t="shared" si="1066"/>
        <v>1</v>
      </c>
      <c r="W775" s="80">
        <f t="shared" si="1066"/>
        <v>1</v>
      </c>
      <c r="X775" s="80">
        <f t="shared" si="1066"/>
        <v>1</v>
      </c>
      <c r="Y775" s="80">
        <f t="shared" si="1066"/>
        <v>1</v>
      </c>
    </row>
    <row r="776" ht="16.5" spans="2:25">
      <c r="B776" s="65">
        <v>136</v>
      </c>
      <c r="C776" s="80">
        <f t="shared" si="1059"/>
        <v>16286</v>
      </c>
      <c r="D776" s="80">
        <f t="shared" ref="D776:Y776" si="1067">IF($C776&gt;D$337,1,0)</f>
        <v>1</v>
      </c>
      <c r="E776" s="80">
        <f t="shared" si="1067"/>
        <v>1</v>
      </c>
      <c r="F776" s="80">
        <f t="shared" si="1067"/>
        <v>1</v>
      </c>
      <c r="G776" s="80">
        <f t="shared" si="1067"/>
        <v>1</v>
      </c>
      <c r="H776" s="80">
        <f t="shared" si="1067"/>
        <v>1</v>
      </c>
      <c r="I776" s="80">
        <f t="shared" si="1067"/>
        <v>1</v>
      </c>
      <c r="J776" s="80">
        <f t="shared" si="1067"/>
        <v>1</v>
      </c>
      <c r="K776" s="80">
        <f t="shared" si="1067"/>
        <v>1</v>
      </c>
      <c r="L776" s="80">
        <f t="shared" si="1067"/>
        <v>1</v>
      </c>
      <c r="M776" s="80">
        <f t="shared" si="1067"/>
        <v>1</v>
      </c>
      <c r="N776" s="80">
        <f t="shared" si="1067"/>
        <v>1</v>
      </c>
      <c r="O776" s="80">
        <f t="shared" si="1067"/>
        <v>1</v>
      </c>
      <c r="P776" s="80">
        <f t="shared" si="1067"/>
        <v>1</v>
      </c>
      <c r="Q776" s="80">
        <f t="shared" si="1067"/>
        <v>1</v>
      </c>
      <c r="R776" s="80">
        <f t="shared" si="1067"/>
        <v>1</v>
      </c>
      <c r="S776" s="80">
        <f t="shared" si="1067"/>
        <v>1</v>
      </c>
      <c r="T776" s="80">
        <f t="shared" si="1067"/>
        <v>1</v>
      </c>
      <c r="U776" s="80">
        <f t="shared" si="1067"/>
        <v>1</v>
      </c>
      <c r="V776" s="80">
        <f t="shared" si="1067"/>
        <v>1</v>
      </c>
      <c r="W776" s="80">
        <f t="shared" si="1067"/>
        <v>1</v>
      </c>
      <c r="X776" s="80">
        <f t="shared" si="1067"/>
        <v>1</v>
      </c>
      <c r="Y776" s="80">
        <f t="shared" si="1067"/>
        <v>1</v>
      </c>
    </row>
    <row r="777" ht="16.5" spans="2:25">
      <c r="B777" s="65">
        <v>137</v>
      </c>
      <c r="C777" s="80">
        <f t="shared" si="1059"/>
        <v>16396</v>
      </c>
      <c r="D777" s="80">
        <f t="shared" ref="D777:Y777" si="1068">IF($C777&gt;D$337,1,0)</f>
        <v>1</v>
      </c>
      <c r="E777" s="80">
        <f t="shared" si="1068"/>
        <v>1</v>
      </c>
      <c r="F777" s="80">
        <f t="shared" si="1068"/>
        <v>1</v>
      </c>
      <c r="G777" s="80">
        <f t="shared" si="1068"/>
        <v>1</v>
      </c>
      <c r="H777" s="80">
        <f t="shared" si="1068"/>
        <v>1</v>
      </c>
      <c r="I777" s="80">
        <f t="shared" si="1068"/>
        <v>1</v>
      </c>
      <c r="J777" s="80">
        <f t="shared" si="1068"/>
        <v>1</v>
      </c>
      <c r="K777" s="80">
        <f t="shared" si="1068"/>
        <v>1</v>
      </c>
      <c r="L777" s="80">
        <f t="shared" si="1068"/>
        <v>1</v>
      </c>
      <c r="M777" s="80">
        <f t="shared" si="1068"/>
        <v>1</v>
      </c>
      <c r="N777" s="80">
        <f t="shared" si="1068"/>
        <v>1</v>
      </c>
      <c r="O777" s="80">
        <f t="shared" si="1068"/>
        <v>1</v>
      </c>
      <c r="P777" s="80">
        <f t="shared" si="1068"/>
        <v>1</v>
      </c>
      <c r="Q777" s="80">
        <f t="shared" si="1068"/>
        <v>1</v>
      </c>
      <c r="R777" s="80">
        <f t="shared" si="1068"/>
        <v>1</v>
      </c>
      <c r="S777" s="80">
        <f t="shared" si="1068"/>
        <v>1</v>
      </c>
      <c r="T777" s="80">
        <f t="shared" si="1068"/>
        <v>1</v>
      </c>
      <c r="U777" s="80">
        <f t="shared" si="1068"/>
        <v>1</v>
      </c>
      <c r="V777" s="80">
        <f t="shared" si="1068"/>
        <v>1</v>
      </c>
      <c r="W777" s="80">
        <f t="shared" si="1068"/>
        <v>1</v>
      </c>
      <c r="X777" s="80">
        <f t="shared" si="1068"/>
        <v>1</v>
      </c>
      <c r="Y777" s="80">
        <f t="shared" si="1068"/>
        <v>1</v>
      </c>
    </row>
    <row r="778" ht="16.5" spans="2:25">
      <c r="B778" s="65">
        <v>138</v>
      </c>
      <c r="C778" s="80">
        <f t="shared" si="1059"/>
        <v>16506</v>
      </c>
      <c r="D778" s="80">
        <f t="shared" ref="D778:Y778" si="1069">IF($C778&gt;D$337,1,0)</f>
        <v>1</v>
      </c>
      <c r="E778" s="80">
        <f t="shared" si="1069"/>
        <v>1</v>
      </c>
      <c r="F778" s="80">
        <f t="shared" si="1069"/>
        <v>1</v>
      </c>
      <c r="G778" s="80">
        <f t="shared" si="1069"/>
        <v>1</v>
      </c>
      <c r="H778" s="80">
        <f t="shared" si="1069"/>
        <v>1</v>
      </c>
      <c r="I778" s="80">
        <f t="shared" si="1069"/>
        <v>1</v>
      </c>
      <c r="J778" s="80">
        <f t="shared" si="1069"/>
        <v>1</v>
      </c>
      <c r="K778" s="80">
        <f t="shared" si="1069"/>
        <v>1</v>
      </c>
      <c r="L778" s="80">
        <f t="shared" si="1069"/>
        <v>1</v>
      </c>
      <c r="M778" s="80">
        <f t="shared" si="1069"/>
        <v>1</v>
      </c>
      <c r="N778" s="80">
        <f t="shared" si="1069"/>
        <v>1</v>
      </c>
      <c r="O778" s="80">
        <f t="shared" si="1069"/>
        <v>1</v>
      </c>
      <c r="P778" s="80">
        <f t="shared" si="1069"/>
        <v>1</v>
      </c>
      <c r="Q778" s="80">
        <f t="shared" si="1069"/>
        <v>1</v>
      </c>
      <c r="R778" s="80">
        <f t="shared" si="1069"/>
        <v>1</v>
      </c>
      <c r="S778" s="80">
        <f t="shared" si="1069"/>
        <v>1</v>
      </c>
      <c r="T778" s="80">
        <f t="shared" si="1069"/>
        <v>1</v>
      </c>
      <c r="U778" s="80">
        <f t="shared" si="1069"/>
        <v>1</v>
      </c>
      <c r="V778" s="80">
        <f t="shared" si="1069"/>
        <v>1</v>
      </c>
      <c r="W778" s="80">
        <f t="shared" si="1069"/>
        <v>1</v>
      </c>
      <c r="X778" s="80">
        <f t="shared" si="1069"/>
        <v>1</v>
      </c>
      <c r="Y778" s="80">
        <f t="shared" si="1069"/>
        <v>1</v>
      </c>
    </row>
    <row r="779" ht="16.5" spans="2:25">
      <c r="B779" s="65">
        <v>139</v>
      </c>
      <c r="C779" s="80">
        <f t="shared" si="1059"/>
        <v>16616</v>
      </c>
      <c r="D779" s="80">
        <f t="shared" ref="D779:Y779" si="1070">IF($C779&gt;D$337,1,0)</f>
        <v>1</v>
      </c>
      <c r="E779" s="80">
        <f t="shared" si="1070"/>
        <v>1</v>
      </c>
      <c r="F779" s="80">
        <f t="shared" si="1070"/>
        <v>1</v>
      </c>
      <c r="G779" s="80">
        <f t="shared" si="1070"/>
        <v>1</v>
      </c>
      <c r="H779" s="80">
        <f t="shared" si="1070"/>
        <v>1</v>
      </c>
      <c r="I779" s="80">
        <f t="shared" si="1070"/>
        <v>1</v>
      </c>
      <c r="J779" s="80">
        <f t="shared" si="1070"/>
        <v>1</v>
      </c>
      <c r="K779" s="80">
        <f t="shared" si="1070"/>
        <v>1</v>
      </c>
      <c r="L779" s="80">
        <f t="shared" si="1070"/>
        <v>1</v>
      </c>
      <c r="M779" s="80">
        <f t="shared" si="1070"/>
        <v>1</v>
      </c>
      <c r="N779" s="80">
        <f t="shared" si="1070"/>
        <v>1</v>
      </c>
      <c r="O779" s="80">
        <f t="shared" si="1070"/>
        <v>1</v>
      </c>
      <c r="P779" s="80">
        <f t="shared" si="1070"/>
        <v>1</v>
      </c>
      <c r="Q779" s="80">
        <f t="shared" si="1070"/>
        <v>1</v>
      </c>
      <c r="R779" s="80">
        <f t="shared" si="1070"/>
        <v>1</v>
      </c>
      <c r="S779" s="80">
        <f t="shared" si="1070"/>
        <v>1</v>
      </c>
      <c r="T779" s="80">
        <f t="shared" si="1070"/>
        <v>1</v>
      </c>
      <c r="U779" s="80">
        <f t="shared" si="1070"/>
        <v>1</v>
      </c>
      <c r="V779" s="80">
        <f t="shared" si="1070"/>
        <v>1</v>
      </c>
      <c r="W779" s="80">
        <f t="shared" si="1070"/>
        <v>1</v>
      </c>
      <c r="X779" s="80">
        <f t="shared" si="1070"/>
        <v>1</v>
      </c>
      <c r="Y779" s="80">
        <f t="shared" si="1070"/>
        <v>1</v>
      </c>
    </row>
    <row r="780" ht="16.5" spans="2:25">
      <c r="B780" s="65">
        <v>140</v>
      </c>
      <c r="C780" s="80">
        <f t="shared" si="1059"/>
        <v>16726</v>
      </c>
      <c r="D780" s="80">
        <f t="shared" ref="D780:Y780" si="1071">IF($C780&gt;D$337,1,0)</f>
        <v>1</v>
      </c>
      <c r="E780" s="80">
        <f t="shared" si="1071"/>
        <v>1</v>
      </c>
      <c r="F780" s="80">
        <f t="shared" si="1071"/>
        <v>1</v>
      </c>
      <c r="G780" s="80">
        <f t="shared" si="1071"/>
        <v>1</v>
      </c>
      <c r="H780" s="80">
        <f t="shared" si="1071"/>
        <v>1</v>
      </c>
      <c r="I780" s="80">
        <f t="shared" si="1071"/>
        <v>1</v>
      </c>
      <c r="J780" s="80">
        <f t="shared" si="1071"/>
        <v>1</v>
      </c>
      <c r="K780" s="80">
        <f t="shared" si="1071"/>
        <v>1</v>
      </c>
      <c r="L780" s="80">
        <f t="shared" si="1071"/>
        <v>1</v>
      </c>
      <c r="M780" s="80">
        <f t="shared" si="1071"/>
        <v>1</v>
      </c>
      <c r="N780" s="80">
        <f t="shared" si="1071"/>
        <v>1</v>
      </c>
      <c r="O780" s="80">
        <f t="shared" si="1071"/>
        <v>1</v>
      </c>
      <c r="P780" s="80">
        <f t="shared" si="1071"/>
        <v>1</v>
      </c>
      <c r="Q780" s="80">
        <f t="shared" si="1071"/>
        <v>1</v>
      </c>
      <c r="R780" s="80">
        <f t="shared" si="1071"/>
        <v>1</v>
      </c>
      <c r="S780" s="80">
        <f t="shared" si="1071"/>
        <v>1</v>
      </c>
      <c r="T780" s="80">
        <f t="shared" si="1071"/>
        <v>1</v>
      </c>
      <c r="U780" s="80">
        <f t="shared" si="1071"/>
        <v>1</v>
      </c>
      <c r="V780" s="80">
        <f t="shared" si="1071"/>
        <v>1</v>
      </c>
      <c r="W780" s="80">
        <f t="shared" si="1071"/>
        <v>1</v>
      </c>
      <c r="X780" s="80">
        <f t="shared" si="1071"/>
        <v>1</v>
      </c>
      <c r="Y780" s="80">
        <f t="shared" si="1071"/>
        <v>1</v>
      </c>
    </row>
    <row r="781" ht="16.5" spans="2:25">
      <c r="B781" s="65">
        <v>141</v>
      </c>
      <c r="C781" s="80">
        <f t="shared" si="1059"/>
        <v>16836</v>
      </c>
      <c r="D781" s="80">
        <f t="shared" ref="D781:Y781" si="1072">IF($C781&gt;D$337,1,0)</f>
        <v>1</v>
      </c>
      <c r="E781" s="80">
        <f t="shared" si="1072"/>
        <v>1</v>
      </c>
      <c r="F781" s="80">
        <f t="shared" si="1072"/>
        <v>1</v>
      </c>
      <c r="G781" s="80">
        <f t="shared" si="1072"/>
        <v>1</v>
      </c>
      <c r="H781" s="80">
        <f t="shared" si="1072"/>
        <v>1</v>
      </c>
      <c r="I781" s="80">
        <f t="shared" si="1072"/>
        <v>1</v>
      </c>
      <c r="J781" s="80">
        <f t="shared" si="1072"/>
        <v>1</v>
      </c>
      <c r="K781" s="80">
        <f t="shared" si="1072"/>
        <v>1</v>
      </c>
      <c r="L781" s="80">
        <f t="shared" si="1072"/>
        <v>1</v>
      </c>
      <c r="M781" s="80">
        <f t="shared" si="1072"/>
        <v>1</v>
      </c>
      <c r="N781" s="80">
        <f t="shared" si="1072"/>
        <v>1</v>
      </c>
      <c r="O781" s="80">
        <f t="shared" si="1072"/>
        <v>1</v>
      </c>
      <c r="P781" s="80">
        <f t="shared" si="1072"/>
        <v>1</v>
      </c>
      <c r="Q781" s="80">
        <f t="shared" si="1072"/>
        <v>1</v>
      </c>
      <c r="R781" s="80">
        <f t="shared" si="1072"/>
        <v>1</v>
      </c>
      <c r="S781" s="80">
        <f t="shared" si="1072"/>
        <v>1</v>
      </c>
      <c r="T781" s="80">
        <f t="shared" si="1072"/>
        <v>1</v>
      </c>
      <c r="U781" s="80">
        <f t="shared" si="1072"/>
        <v>1</v>
      </c>
      <c r="V781" s="80">
        <f t="shared" si="1072"/>
        <v>1</v>
      </c>
      <c r="W781" s="80">
        <f t="shared" si="1072"/>
        <v>1</v>
      </c>
      <c r="X781" s="80">
        <f t="shared" si="1072"/>
        <v>1</v>
      </c>
      <c r="Y781" s="80">
        <f t="shared" si="1072"/>
        <v>1</v>
      </c>
    </row>
    <row r="782" ht="16.5" spans="2:25">
      <c r="B782" s="65">
        <v>142</v>
      </c>
      <c r="C782" s="80">
        <f t="shared" si="1059"/>
        <v>16946</v>
      </c>
      <c r="D782" s="80">
        <f t="shared" ref="D782:Y782" si="1073">IF($C782&gt;D$337,1,0)</f>
        <v>1</v>
      </c>
      <c r="E782" s="80">
        <f t="shared" si="1073"/>
        <v>1</v>
      </c>
      <c r="F782" s="80">
        <f t="shared" si="1073"/>
        <v>1</v>
      </c>
      <c r="G782" s="80">
        <f t="shared" si="1073"/>
        <v>1</v>
      </c>
      <c r="H782" s="80">
        <f t="shared" si="1073"/>
        <v>1</v>
      </c>
      <c r="I782" s="80">
        <f t="shared" si="1073"/>
        <v>1</v>
      </c>
      <c r="J782" s="80">
        <f t="shared" si="1073"/>
        <v>1</v>
      </c>
      <c r="K782" s="80">
        <f t="shared" si="1073"/>
        <v>1</v>
      </c>
      <c r="L782" s="80">
        <f t="shared" si="1073"/>
        <v>1</v>
      </c>
      <c r="M782" s="80">
        <f t="shared" si="1073"/>
        <v>1</v>
      </c>
      <c r="N782" s="80">
        <f t="shared" si="1073"/>
        <v>1</v>
      </c>
      <c r="O782" s="80">
        <f t="shared" si="1073"/>
        <v>1</v>
      </c>
      <c r="P782" s="80">
        <f t="shared" si="1073"/>
        <v>1</v>
      </c>
      <c r="Q782" s="80">
        <f t="shared" si="1073"/>
        <v>1</v>
      </c>
      <c r="R782" s="80">
        <f t="shared" si="1073"/>
        <v>1</v>
      </c>
      <c r="S782" s="80">
        <f t="shared" si="1073"/>
        <v>1</v>
      </c>
      <c r="T782" s="80">
        <f t="shared" si="1073"/>
        <v>1</v>
      </c>
      <c r="U782" s="80">
        <f t="shared" si="1073"/>
        <v>1</v>
      </c>
      <c r="V782" s="80">
        <f t="shared" si="1073"/>
        <v>1</v>
      </c>
      <c r="W782" s="80">
        <f t="shared" si="1073"/>
        <v>1</v>
      </c>
      <c r="X782" s="80">
        <f t="shared" si="1073"/>
        <v>1</v>
      </c>
      <c r="Y782" s="80">
        <f t="shared" si="1073"/>
        <v>1</v>
      </c>
    </row>
    <row r="783" ht="16.5" spans="2:25">
      <c r="B783" s="65">
        <v>143</v>
      </c>
      <c r="C783" s="80">
        <f t="shared" si="1059"/>
        <v>17056</v>
      </c>
      <c r="D783" s="80">
        <f t="shared" ref="D783:Y783" si="1074">IF($C783&gt;D$337,1,0)</f>
        <v>1</v>
      </c>
      <c r="E783" s="80">
        <f t="shared" si="1074"/>
        <v>1</v>
      </c>
      <c r="F783" s="80">
        <f t="shared" si="1074"/>
        <v>1</v>
      </c>
      <c r="G783" s="80">
        <f t="shared" si="1074"/>
        <v>1</v>
      </c>
      <c r="H783" s="80">
        <f t="shared" si="1074"/>
        <v>1</v>
      </c>
      <c r="I783" s="80">
        <f t="shared" si="1074"/>
        <v>1</v>
      </c>
      <c r="J783" s="80">
        <f t="shared" si="1074"/>
        <v>1</v>
      </c>
      <c r="K783" s="80">
        <f t="shared" si="1074"/>
        <v>1</v>
      </c>
      <c r="L783" s="80">
        <f t="shared" si="1074"/>
        <v>1</v>
      </c>
      <c r="M783" s="80">
        <f t="shared" si="1074"/>
        <v>1</v>
      </c>
      <c r="N783" s="80">
        <f t="shared" si="1074"/>
        <v>1</v>
      </c>
      <c r="O783" s="80">
        <f t="shared" si="1074"/>
        <v>1</v>
      </c>
      <c r="P783" s="80">
        <f t="shared" si="1074"/>
        <v>1</v>
      </c>
      <c r="Q783" s="80">
        <f t="shared" si="1074"/>
        <v>1</v>
      </c>
      <c r="R783" s="80">
        <f t="shared" si="1074"/>
        <v>1</v>
      </c>
      <c r="S783" s="80">
        <f t="shared" si="1074"/>
        <v>1</v>
      </c>
      <c r="T783" s="80">
        <f t="shared" si="1074"/>
        <v>1</v>
      </c>
      <c r="U783" s="80">
        <f t="shared" si="1074"/>
        <v>1</v>
      </c>
      <c r="V783" s="80">
        <f t="shared" si="1074"/>
        <v>1</v>
      </c>
      <c r="W783" s="80">
        <f t="shared" si="1074"/>
        <v>1</v>
      </c>
      <c r="X783" s="80">
        <f t="shared" si="1074"/>
        <v>1</v>
      </c>
      <c r="Y783" s="80">
        <f t="shared" si="1074"/>
        <v>1</v>
      </c>
    </row>
    <row r="784" ht="16.5" spans="2:25">
      <c r="B784" s="65">
        <v>144</v>
      </c>
      <c r="C784" s="80">
        <f t="shared" si="1059"/>
        <v>17166</v>
      </c>
      <c r="D784" s="80">
        <f t="shared" ref="D784:Y784" si="1075">IF($C784&gt;D$337,1,0)</f>
        <v>1</v>
      </c>
      <c r="E784" s="80">
        <f t="shared" si="1075"/>
        <v>1</v>
      </c>
      <c r="F784" s="80">
        <f t="shared" si="1075"/>
        <v>1</v>
      </c>
      <c r="G784" s="80">
        <f t="shared" si="1075"/>
        <v>1</v>
      </c>
      <c r="H784" s="80">
        <f t="shared" si="1075"/>
        <v>1</v>
      </c>
      <c r="I784" s="80">
        <f t="shared" si="1075"/>
        <v>1</v>
      </c>
      <c r="J784" s="80">
        <f t="shared" si="1075"/>
        <v>1</v>
      </c>
      <c r="K784" s="80">
        <f t="shared" si="1075"/>
        <v>1</v>
      </c>
      <c r="L784" s="80">
        <f t="shared" si="1075"/>
        <v>1</v>
      </c>
      <c r="M784" s="80">
        <f t="shared" si="1075"/>
        <v>1</v>
      </c>
      <c r="N784" s="80">
        <f t="shared" si="1075"/>
        <v>1</v>
      </c>
      <c r="O784" s="80">
        <f t="shared" si="1075"/>
        <v>1</v>
      </c>
      <c r="P784" s="80">
        <f t="shared" si="1075"/>
        <v>1</v>
      </c>
      <c r="Q784" s="80">
        <f t="shared" si="1075"/>
        <v>1</v>
      </c>
      <c r="R784" s="80">
        <f t="shared" si="1075"/>
        <v>1</v>
      </c>
      <c r="S784" s="80">
        <f t="shared" si="1075"/>
        <v>1</v>
      </c>
      <c r="T784" s="80">
        <f t="shared" si="1075"/>
        <v>1</v>
      </c>
      <c r="U784" s="80">
        <f t="shared" si="1075"/>
        <v>1</v>
      </c>
      <c r="V784" s="80">
        <f t="shared" si="1075"/>
        <v>1</v>
      </c>
      <c r="W784" s="80">
        <f t="shared" si="1075"/>
        <v>1</v>
      </c>
      <c r="X784" s="80">
        <f t="shared" si="1075"/>
        <v>1</v>
      </c>
      <c r="Y784" s="80">
        <f t="shared" si="1075"/>
        <v>1</v>
      </c>
    </row>
    <row r="785" ht="16.5" spans="2:25">
      <c r="B785" s="65">
        <v>145</v>
      </c>
      <c r="C785" s="80">
        <f t="shared" si="1059"/>
        <v>17276</v>
      </c>
      <c r="D785" s="80">
        <f t="shared" ref="D785:Y785" si="1076">IF($C785&gt;D$337,1,0)</f>
        <v>1</v>
      </c>
      <c r="E785" s="80">
        <f t="shared" si="1076"/>
        <v>1</v>
      </c>
      <c r="F785" s="80">
        <f t="shared" si="1076"/>
        <v>1</v>
      </c>
      <c r="G785" s="80">
        <f t="shared" si="1076"/>
        <v>1</v>
      </c>
      <c r="H785" s="80">
        <f t="shared" si="1076"/>
        <v>1</v>
      </c>
      <c r="I785" s="80">
        <f t="shared" si="1076"/>
        <v>1</v>
      </c>
      <c r="J785" s="80">
        <f t="shared" si="1076"/>
        <v>1</v>
      </c>
      <c r="K785" s="80">
        <f t="shared" si="1076"/>
        <v>1</v>
      </c>
      <c r="L785" s="80">
        <f t="shared" si="1076"/>
        <v>1</v>
      </c>
      <c r="M785" s="80">
        <f t="shared" si="1076"/>
        <v>1</v>
      </c>
      <c r="N785" s="80">
        <f t="shared" si="1076"/>
        <v>1</v>
      </c>
      <c r="O785" s="80">
        <f t="shared" si="1076"/>
        <v>1</v>
      </c>
      <c r="P785" s="80">
        <f t="shared" si="1076"/>
        <v>1</v>
      </c>
      <c r="Q785" s="80">
        <f t="shared" si="1076"/>
        <v>1</v>
      </c>
      <c r="R785" s="80">
        <f t="shared" si="1076"/>
        <v>1</v>
      </c>
      <c r="S785" s="80">
        <f t="shared" si="1076"/>
        <v>1</v>
      </c>
      <c r="T785" s="80">
        <f t="shared" si="1076"/>
        <v>1</v>
      </c>
      <c r="U785" s="80">
        <f t="shared" si="1076"/>
        <v>1</v>
      </c>
      <c r="V785" s="80">
        <f t="shared" si="1076"/>
        <v>1</v>
      </c>
      <c r="W785" s="80">
        <f t="shared" si="1076"/>
        <v>1</v>
      </c>
      <c r="X785" s="80">
        <f t="shared" si="1076"/>
        <v>1</v>
      </c>
      <c r="Y785" s="80">
        <f t="shared" si="1076"/>
        <v>1</v>
      </c>
    </row>
    <row r="786" ht="16.5" spans="2:25">
      <c r="B786" s="65">
        <v>146</v>
      </c>
      <c r="C786" s="80">
        <f t="shared" si="1059"/>
        <v>17386</v>
      </c>
      <c r="D786" s="80">
        <f t="shared" ref="D786:Y786" si="1077">IF($C786&gt;D$337,1,0)</f>
        <v>1</v>
      </c>
      <c r="E786" s="80">
        <f t="shared" si="1077"/>
        <v>1</v>
      </c>
      <c r="F786" s="80">
        <f t="shared" si="1077"/>
        <v>1</v>
      </c>
      <c r="G786" s="80">
        <f t="shared" si="1077"/>
        <v>1</v>
      </c>
      <c r="H786" s="80">
        <f t="shared" si="1077"/>
        <v>1</v>
      </c>
      <c r="I786" s="80">
        <f t="shared" si="1077"/>
        <v>1</v>
      </c>
      <c r="J786" s="80">
        <f t="shared" si="1077"/>
        <v>1</v>
      </c>
      <c r="K786" s="80">
        <f t="shared" si="1077"/>
        <v>1</v>
      </c>
      <c r="L786" s="80">
        <f t="shared" si="1077"/>
        <v>1</v>
      </c>
      <c r="M786" s="80">
        <f t="shared" si="1077"/>
        <v>1</v>
      </c>
      <c r="N786" s="80">
        <f t="shared" si="1077"/>
        <v>1</v>
      </c>
      <c r="O786" s="80">
        <f t="shared" si="1077"/>
        <v>1</v>
      </c>
      <c r="P786" s="80">
        <f t="shared" si="1077"/>
        <v>1</v>
      </c>
      <c r="Q786" s="80">
        <f t="shared" si="1077"/>
        <v>1</v>
      </c>
      <c r="R786" s="80">
        <f t="shared" si="1077"/>
        <v>1</v>
      </c>
      <c r="S786" s="80">
        <f t="shared" si="1077"/>
        <v>1</v>
      </c>
      <c r="T786" s="80">
        <f t="shared" si="1077"/>
        <v>1</v>
      </c>
      <c r="U786" s="80">
        <f t="shared" si="1077"/>
        <v>1</v>
      </c>
      <c r="V786" s="80">
        <f t="shared" si="1077"/>
        <v>1</v>
      </c>
      <c r="W786" s="80">
        <f t="shared" si="1077"/>
        <v>1</v>
      </c>
      <c r="X786" s="80">
        <f t="shared" si="1077"/>
        <v>1</v>
      </c>
      <c r="Y786" s="80">
        <f t="shared" si="1077"/>
        <v>1</v>
      </c>
    </row>
    <row r="787" ht="16.5" spans="2:25">
      <c r="B787" s="65">
        <v>147</v>
      </c>
      <c r="C787" s="80">
        <f t="shared" si="1059"/>
        <v>17496</v>
      </c>
      <c r="D787" s="80">
        <f t="shared" ref="D787:Y787" si="1078">IF($C787&gt;D$337,1,0)</f>
        <v>1</v>
      </c>
      <c r="E787" s="80">
        <f t="shared" si="1078"/>
        <v>1</v>
      </c>
      <c r="F787" s="80">
        <f t="shared" si="1078"/>
        <v>1</v>
      </c>
      <c r="G787" s="80">
        <f t="shared" si="1078"/>
        <v>1</v>
      </c>
      <c r="H787" s="80">
        <f t="shared" si="1078"/>
        <v>1</v>
      </c>
      <c r="I787" s="80">
        <f t="shared" si="1078"/>
        <v>1</v>
      </c>
      <c r="J787" s="80">
        <f t="shared" si="1078"/>
        <v>1</v>
      </c>
      <c r="K787" s="80">
        <f t="shared" si="1078"/>
        <v>1</v>
      </c>
      <c r="L787" s="80">
        <f t="shared" si="1078"/>
        <v>1</v>
      </c>
      <c r="M787" s="80">
        <f t="shared" si="1078"/>
        <v>1</v>
      </c>
      <c r="N787" s="80">
        <f t="shared" si="1078"/>
        <v>1</v>
      </c>
      <c r="O787" s="80">
        <f t="shared" si="1078"/>
        <v>1</v>
      </c>
      <c r="P787" s="80">
        <f t="shared" si="1078"/>
        <v>1</v>
      </c>
      <c r="Q787" s="80">
        <f t="shared" si="1078"/>
        <v>1</v>
      </c>
      <c r="R787" s="80">
        <f t="shared" si="1078"/>
        <v>1</v>
      </c>
      <c r="S787" s="80">
        <f t="shared" si="1078"/>
        <v>1</v>
      </c>
      <c r="T787" s="80">
        <f t="shared" si="1078"/>
        <v>1</v>
      </c>
      <c r="U787" s="80">
        <f t="shared" si="1078"/>
        <v>1</v>
      </c>
      <c r="V787" s="80">
        <f t="shared" si="1078"/>
        <v>1</v>
      </c>
      <c r="W787" s="80">
        <f t="shared" si="1078"/>
        <v>1</v>
      </c>
      <c r="X787" s="80">
        <f t="shared" si="1078"/>
        <v>1</v>
      </c>
      <c r="Y787" s="80">
        <f t="shared" si="1078"/>
        <v>1</v>
      </c>
    </row>
    <row r="788" ht="16.5" spans="2:25">
      <c r="B788" s="65">
        <v>148</v>
      </c>
      <c r="C788" s="80">
        <f t="shared" si="1059"/>
        <v>17606</v>
      </c>
      <c r="D788" s="80">
        <f t="shared" ref="D788:Y788" si="1079">IF($C788&gt;D$337,1,0)</f>
        <v>1</v>
      </c>
      <c r="E788" s="80">
        <f t="shared" si="1079"/>
        <v>1</v>
      </c>
      <c r="F788" s="80">
        <f t="shared" si="1079"/>
        <v>1</v>
      </c>
      <c r="G788" s="80">
        <f t="shared" si="1079"/>
        <v>1</v>
      </c>
      <c r="H788" s="80">
        <f t="shared" si="1079"/>
        <v>1</v>
      </c>
      <c r="I788" s="80">
        <f t="shared" si="1079"/>
        <v>1</v>
      </c>
      <c r="J788" s="80">
        <f t="shared" si="1079"/>
        <v>1</v>
      </c>
      <c r="K788" s="80">
        <f t="shared" si="1079"/>
        <v>1</v>
      </c>
      <c r="L788" s="80">
        <f t="shared" si="1079"/>
        <v>1</v>
      </c>
      <c r="M788" s="80">
        <f t="shared" si="1079"/>
        <v>1</v>
      </c>
      <c r="N788" s="80">
        <f t="shared" si="1079"/>
        <v>1</v>
      </c>
      <c r="O788" s="80">
        <f t="shared" si="1079"/>
        <v>1</v>
      </c>
      <c r="P788" s="80">
        <f t="shared" si="1079"/>
        <v>1</v>
      </c>
      <c r="Q788" s="80">
        <f t="shared" si="1079"/>
        <v>1</v>
      </c>
      <c r="R788" s="80">
        <f t="shared" si="1079"/>
        <v>1</v>
      </c>
      <c r="S788" s="80">
        <f t="shared" si="1079"/>
        <v>1</v>
      </c>
      <c r="T788" s="80">
        <f t="shared" si="1079"/>
        <v>1</v>
      </c>
      <c r="U788" s="80">
        <f t="shared" si="1079"/>
        <v>1</v>
      </c>
      <c r="V788" s="80">
        <f t="shared" si="1079"/>
        <v>1</v>
      </c>
      <c r="W788" s="80">
        <f t="shared" si="1079"/>
        <v>1</v>
      </c>
      <c r="X788" s="80">
        <f t="shared" si="1079"/>
        <v>1</v>
      </c>
      <c r="Y788" s="80">
        <f t="shared" si="1079"/>
        <v>1</v>
      </c>
    </row>
    <row r="789" ht="16.5" spans="2:25">
      <c r="B789" s="65">
        <v>149</v>
      </c>
      <c r="C789" s="80">
        <f t="shared" si="1059"/>
        <v>17716</v>
      </c>
      <c r="D789" s="80">
        <f t="shared" ref="D789:Y789" si="1080">IF($C789&gt;D$337,1,0)</f>
        <v>1</v>
      </c>
      <c r="E789" s="80">
        <f t="shared" si="1080"/>
        <v>1</v>
      </c>
      <c r="F789" s="80">
        <f t="shared" si="1080"/>
        <v>1</v>
      </c>
      <c r="G789" s="80">
        <f t="shared" si="1080"/>
        <v>1</v>
      </c>
      <c r="H789" s="80">
        <f t="shared" si="1080"/>
        <v>1</v>
      </c>
      <c r="I789" s="80">
        <f t="shared" si="1080"/>
        <v>1</v>
      </c>
      <c r="J789" s="80">
        <f t="shared" si="1080"/>
        <v>1</v>
      </c>
      <c r="K789" s="80">
        <f t="shared" si="1080"/>
        <v>1</v>
      </c>
      <c r="L789" s="80">
        <f t="shared" si="1080"/>
        <v>1</v>
      </c>
      <c r="M789" s="80">
        <f t="shared" si="1080"/>
        <v>1</v>
      </c>
      <c r="N789" s="80">
        <f t="shared" si="1080"/>
        <v>1</v>
      </c>
      <c r="O789" s="80">
        <f t="shared" si="1080"/>
        <v>1</v>
      </c>
      <c r="P789" s="80">
        <f t="shared" si="1080"/>
        <v>1</v>
      </c>
      <c r="Q789" s="80">
        <f t="shared" si="1080"/>
        <v>1</v>
      </c>
      <c r="R789" s="80">
        <f t="shared" si="1080"/>
        <v>1</v>
      </c>
      <c r="S789" s="80">
        <f t="shared" si="1080"/>
        <v>1</v>
      </c>
      <c r="T789" s="80">
        <f t="shared" si="1080"/>
        <v>1</v>
      </c>
      <c r="U789" s="80">
        <f t="shared" si="1080"/>
        <v>1</v>
      </c>
      <c r="V789" s="80">
        <f t="shared" si="1080"/>
        <v>1</v>
      </c>
      <c r="W789" s="80">
        <f t="shared" si="1080"/>
        <v>1</v>
      </c>
      <c r="X789" s="80">
        <f t="shared" si="1080"/>
        <v>1</v>
      </c>
      <c r="Y789" s="80">
        <f t="shared" si="1080"/>
        <v>1</v>
      </c>
    </row>
    <row r="790" ht="16.5" spans="2:25">
      <c r="B790" s="65">
        <v>150</v>
      </c>
      <c r="C790" s="80">
        <f t="shared" si="1059"/>
        <v>17826</v>
      </c>
      <c r="D790" s="80">
        <f t="shared" ref="D790:Y790" si="1081">IF($C790&gt;D$337,1,0)</f>
        <v>1</v>
      </c>
      <c r="E790" s="80">
        <f t="shared" si="1081"/>
        <v>1</v>
      </c>
      <c r="F790" s="80">
        <f t="shared" si="1081"/>
        <v>1</v>
      </c>
      <c r="G790" s="80">
        <f t="shared" si="1081"/>
        <v>1</v>
      </c>
      <c r="H790" s="80">
        <f t="shared" si="1081"/>
        <v>1</v>
      </c>
      <c r="I790" s="80">
        <f t="shared" si="1081"/>
        <v>1</v>
      </c>
      <c r="J790" s="80">
        <f t="shared" si="1081"/>
        <v>1</v>
      </c>
      <c r="K790" s="80">
        <f t="shared" si="1081"/>
        <v>1</v>
      </c>
      <c r="L790" s="80">
        <f t="shared" si="1081"/>
        <v>1</v>
      </c>
      <c r="M790" s="80">
        <f t="shared" si="1081"/>
        <v>1</v>
      </c>
      <c r="N790" s="80">
        <f t="shared" si="1081"/>
        <v>1</v>
      </c>
      <c r="O790" s="80">
        <f t="shared" si="1081"/>
        <v>1</v>
      </c>
      <c r="P790" s="80">
        <f t="shared" si="1081"/>
        <v>1</v>
      </c>
      <c r="Q790" s="80">
        <f t="shared" si="1081"/>
        <v>1</v>
      </c>
      <c r="R790" s="80">
        <f t="shared" si="1081"/>
        <v>1</v>
      </c>
      <c r="S790" s="80">
        <f t="shared" si="1081"/>
        <v>1</v>
      </c>
      <c r="T790" s="80">
        <f t="shared" si="1081"/>
        <v>1</v>
      </c>
      <c r="U790" s="80">
        <f t="shared" si="1081"/>
        <v>1</v>
      </c>
      <c r="V790" s="80">
        <f t="shared" si="1081"/>
        <v>1</v>
      </c>
      <c r="W790" s="80">
        <f t="shared" si="1081"/>
        <v>1</v>
      </c>
      <c r="X790" s="80">
        <f t="shared" si="1081"/>
        <v>1</v>
      </c>
      <c r="Y790" s="80">
        <f t="shared" si="1081"/>
        <v>1</v>
      </c>
    </row>
    <row r="791" ht="16.5" spans="2:25">
      <c r="B791" s="65">
        <v>151</v>
      </c>
      <c r="C791" s="80">
        <f t="shared" si="1059"/>
        <v>17936</v>
      </c>
      <c r="D791" s="80">
        <f t="shared" ref="D791:Y791" si="1082">IF($C791&gt;D$337,1,0)</f>
        <v>1</v>
      </c>
      <c r="E791" s="80">
        <f t="shared" si="1082"/>
        <v>1</v>
      </c>
      <c r="F791" s="80">
        <f t="shared" si="1082"/>
        <v>1</v>
      </c>
      <c r="G791" s="80">
        <f t="shared" si="1082"/>
        <v>1</v>
      </c>
      <c r="H791" s="80">
        <f t="shared" si="1082"/>
        <v>1</v>
      </c>
      <c r="I791" s="80">
        <f t="shared" si="1082"/>
        <v>1</v>
      </c>
      <c r="J791" s="80">
        <f t="shared" si="1082"/>
        <v>1</v>
      </c>
      <c r="K791" s="80">
        <f t="shared" si="1082"/>
        <v>1</v>
      </c>
      <c r="L791" s="80">
        <f t="shared" si="1082"/>
        <v>1</v>
      </c>
      <c r="M791" s="80">
        <f t="shared" si="1082"/>
        <v>1</v>
      </c>
      <c r="N791" s="80">
        <f t="shared" si="1082"/>
        <v>1</v>
      </c>
      <c r="O791" s="80">
        <f t="shared" si="1082"/>
        <v>1</v>
      </c>
      <c r="P791" s="80">
        <f t="shared" si="1082"/>
        <v>1</v>
      </c>
      <c r="Q791" s="80">
        <f t="shared" si="1082"/>
        <v>1</v>
      </c>
      <c r="R791" s="80">
        <f t="shared" si="1082"/>
        <v>1</v>
      </c>
      <c r="S791" s="80">
        <f t="shared" si="1082"/>
        <v>1</v>
      </c>
      <c r="T791" s="80">
        <f t="shared" si="1082"/>
        <v>1</v>
      </c>
      <c r="U791" s="80">
        <f t="shared" si="1082"/>
        <v>1</v>
      </c>
      <c r="V791" s="80">
        <f t="shared" si="1082"/>
        <v>1</v>
      </c>
      <c r="W791" s="80">
        <f t="shared" si="1082"/>
        <v>1</v>
      </c>
      <c r="X791" s="80">
        <f t="shared" si="1082"/>
        <v>1</v>
      </c>
      <c r="Y791" s="80">
        <f t="shared" si="1082"/>
        <v>1</v>
      </c>
    </row>
    <row r="792" ht="16.5" spans="2:25">
      <c r="B792" s="65">
        <v>152</v>
      </c>
      <c r="C792" s="80">
        <f t="shared" si="1059"/>
        <v>18046</v>
      </c>
      <c r="D792" s="80">
        <f t="shared" ref="D792:Y792" si="1083">IF($C792&gt;D$337,1,0)</f>
        <v>1</v>
      </c>
      <c r="E792" s="80">
        <f t="shared" si="1083"/>
        <v>1</v>
      </c>
      <c r="F792" s="80">
        <f t="shared" si="1083"/>
        <v>1</v>
      </c>
      <c r="G792" s="80">
        <f t="shared" si="1083"/>
        <v>1</v>
      </c>
      <c r="H792" s="80">
        <f t="shared" si="1083"/>
        <v>1</v>
      </c>
      <c r="I792" s="80">
        <f t="shared" si="1083"/>
        <v>1</v>
      </c>
      <c r="J792" s="80">
        <f t="shared" si="1083"/>
        <v>1</v>
      </c>
      <c r="K792" s="80">
        <f t="shared" si="1083"/>
        <v>1</v>
      </c>
      <c r="L792" s="80">
        <f t="shared" si="1083"/>
        <v>1</v>
      </c>
      <c r="M792" s="80">
        <f t="shared" si="1083"/>
        <v>1</v>
      </c>
      <c r="N792" s="80">
        <f t="shared" si="1083"/>
        <v>1</v>
      </c>
      <c r="O792" s="80">
        <f t="shared" si="1083"/>
        <v>1</v>
      </c>
      <c r="P792" s="80">
        <f t="shared" si="1083"/>
        <v>1</v>
      </c>
      <c r="Q792" s="80">
        <f t="shared" si="1083"/>
        <v>1</v>
      </c>
      <c r="R792" s="80">
        <f t="shared" si="1083"/>
        <v>1</v>
      </c>
      <c r="S792" s="80">
        <f t="shared" si="1083"/>
        <v>1</v>
      </c>
      <c r="T792" s="80">
        <f t="shared" si="1083"/>
        <v>1</v>
      </c>
      <c r="U792" s="80">
        <f t="shared" si="1083"/>
        <v>1</v>
      </c>
      <c r="V792" s="80">
        <f t="shared" si="1083"/>
        <v>1</v>
      </c>
      <c r="W792" s="80">
        <f t="shared" si="1083"/>
        <v>1</v>
      </c>
      <c r="X792" s="80">
        <f t="shared" si="1083"/>
        <v>1</v>
      </c>
      <c r="Y792" s="80">
        <f t="shared" si="1083"/>
        <v>1</v>
      </c>
    </row>
    <row r="793" ht="16.5" spans="2:25">
      <c r="B793" s="65">
        <v>153</v>
      </c>
      <c r="C793" s="80">
        <f t="shared" si="1059"/>
        <v>18156</v>
      </c>
      <c r="D793" s="80">
        <f t="shared" ref="D793:Y793" si="1084">IF($C793&gt;D$337,1,0)</f>
        <v>1</v>
      </c>
      <c r="E793" s="80">
        <f t="shared" si="1084"/>
        <v>1</v>
      </c>
      <c r="F793" s="80">
        <f t="shared" si="1084"/>
        <v>1</v>
      </c>
      <c r="G793" s="80">
        <f t="shared" si="1084"/>
        <v>1</v>
      </c>
      <c r="H793" s="80">
        <f t="shared" si="1084"/>
        <v>1</v>
      </c>
      <c r="I793" s="80">
        <f t="shared" si="1084"/>
        <v>1</v>
      </c>
      <c r="J793" s="80">
        <f t="shared" si="1084"/>
        <v>1</v>
      </c>
      <c r="K793" s="80">
        <f t="shared" si="1084"/>
        <v>1</v>
      </c>
      <c r="L793" s="80">
        <f t="shared" si="1084"/>
        <v>1</v>
      </c>
      <c r="M793" s="80">
        <f t="shared" si="1084"/>
        <v>1</v>
      </c>
      <c r="N793" s="80">
        <f t="shared" si="1084"/>
        <v>1</v>
      </c>
      <c r="O793" s="80">
        <f t="shared" si="1084"/>
        <v>1</v>
      </c>
      <c r="P793" s="80">
        <f t="shared" si="1084"/>
        <v>1</v>
      </c>
      <c r="Q793" s="80">
        <f t="shared" si="1084"/>
        <v>1</v>
      </c>
      <c r="R793" s="80">
        <f t="shared" si="1084"/>
        <v>1</v>
      </c>
      <c r="S793" s="80">
        <f t="shared" si="1084"/>
        <v>1</v>
      </c>
      <c r="T793" s="80">
        <f t="shared" si="1084"/>
        <v>1</v>
      </c>
      <c r="U793" s="80">
        <f t="shared" si="1084"/>
        <v>1</v>
      </c>
      <c r="V793" s="80">
        <f t="shared" si="1084"/>
        <v>1</v>
      </c>
      <c r="W793" s="80">
        <f t="shared" si="1084"/>
        <v>1</v>
      </c>
      <c r="X793" s="80">
        <f t="shared" si="1084"/>
        <v>1</v>
      </c>
      <c r="Y793" s="80">
        <f t="shared" si="1084"/>
        <v>1</v>
      </c>
    </row>
    <row r="794" ht="16.5" spans="2:25">
      <c r="B794" s="65">
        <v>154</v>
      </c>
      <c r="C794" s="80">
        <f t="shared" si="1059"/>
        <v>18266</v>
      </c>
      <c r="D794" s="80">
        <f t="shared" ref="D794:Y794" si="1085">IF($C794&gt;D$337,1,0)</f>
        <v>1</v>
      </c>
      <c r="E794" s="80">
        <f t="shared" si="1085"/>
        <v>1</v>
      </c>
      <c r="F794" s="80">
        <f t="shared" si="1085"/>
        <v>1</v>
      </c>
      <c r="G794" s="80">
        <f t="shared" si="1085"/>
        <v>1</v>
      </c>
      <c r="H794" s="80">
        <f t="shared" si="1085"/>
        <v>1</v>
      </c>
      <c r="I794" s="80">
        <f t="shared" si="1085"/>
        <v>1</v>
      </c>
      <c r="J794" s="80">
        <f t="shared" si="1085"/>
        <v>1</v>
      </c>
      <c r="K794" s="80">
        <f t="shared" si="1085"/>
        <v>1</v>
      </c>
      <c r="L794" s="80">
        <f t="shared" si="1085"/>
        <v>1</v>
      </c>
      <c r="M794" s="80">
        <f t="shared" si="1085"/>
        <v>1</v>
      </c>
      <c r="N794" s="80">
        <f t="shared" si="1085"/>
        <v>1</v>
      </c>
      <c r="O794" s="80">
        <f t="shared" si="1085"/>
        <v>1</v>
      </c>
      <c r="P794" s="80">
        <f t="shared" si="1085"/>
        <v>1</v>
      </c>
      <c r="Q794" s="80">
        <f t="shared" si="1085"/>
        <v>1</v>
      </c>
      <c r="R794" s="80">
        <f t="shared" si="1085"/>
        <v>1</v>
      </c>
      <c r="S794" s="80">
        <f t="shared" si="1085"/>
        <v>1</v>
      </c>
      <c r="T794" s="80">
        <f t="shared" si="1085"/>
        <v>1</v>
      </c>
      <c r="U794" s="80">
        <f t="shared" si="1085"/>
        <v>1</v>
      </c>
      <c r="V794" s="80">
        <f t="shared" si="1085"/>
        <v>1</v>
      </c>
      <c r="W794" s="80">
        <f t="shared" si="1085"/>
        <v>1</v>
      </c>
      <c r="X794" s="80">
        <f t="shared" si="1085"/>
        <v>1</v>
      </c>
      <c r="Y794" s="80">
        <f t="shared" si="1085"/>
        <v>1</v>
      </c>
    </row>
    <row r="795" ht="16.5" spans="2:25">
      <c r="B795" s="65">
        <v>155</v>
      </c>
      <c r="C795" s="80">
        <f t="shared" si="1059"/>
        <v>18376</v>
      </c>
      <c r="D795" s="80">
        <f t="shared" ref="D795:Y795" si="1086">IF($C795&gt;D$337,1,0)</f>
        <v>1</v>
      </c>
      <c r="E795" s="80">
        <f t="shared" si="1086"/>
        <v>1</v>
      </c>
      <c r="F795" s="80">
        <f t="shared" si="1086"/>
        <v>1</v>
      </c>
      <c r="G795" s="80">
        <f t="shared" si="1086"/>
        <v>1</v>
      </c>
      <c r="H795" s="80">
        <f t="shared" si="1086"/>
        <v>1</v>
      </c>
      <c r="I795" s="80">
        <f t="shared" si="1086"/>
        <v>1</v>
      </c>
      <c r="J795" s="80">
        <f t="shared" si="1086"/>
        <v>1</v>
      </c>
      <c r="K795" s="80">
        <f t="shared" si="1086"/>
        <v>1</v>
      </c>
      <c r="L795" s="80">
        <f t="shared" si="1086"/>
        <v>1</v>
      </c>
      <c r="M795" s="80">
        <f t="shared" si="1086"/>
        <v>1</v>
      </c>
      <c r="N795" s="80">
        <f t="shared" si="1086"/>
        <v>1</v>
      </c>
      <c r="O795" s="80">
        <f t="shared" si="1086"/>
        <v>1</v>
      </c>
      <c r="P795" s="80">
        <f t="shared" si="1086"/>
        <v>1</v>
      </c>
      <c r="Q795" s="80">
        <f t="shared" si="1086"/>
        <v>1</v>
      </c>
      <c r="R795" s="80">
        <f t="shared" si="1086"/>
        <v>1</v>
      </c>
      <c r="S795" s="80">
        <f t="shared" si="1086"/>
        <v>1</v>
      </c>
      <c r="T795" s="80">
        <f t="shared" si="1086"/>
        <v>1</v>
      </c>
      <c r="U795" s="80">
        <f t="shared" si="1086"/>
        <v>1</v>
      </c>
      <c r="V795" s="80">
        <f t="shared" si="1086"/>
        <v>1</v>
      </c>
      <c r="W795" s="80">
        <f t="shared" si="1086"/>
        <v>1</v>
      </c>
      <c r="X795" s="80">
        <f t="shared" si="1086"/>
        <v>1</v>
      </c>
      <c r="Y795" s="80">
        <f t="shared" si="1086"/>
        <v>1</v>
      </c>
    </row>
    <row r="796" ht="16.5" spans="2:25">
      <c r="B796" s="65">
        <v>156</v>
      </c>
      <c r="C796" s="80">
        <f t="shared" si="1059"/>
        <v>18486</v>
      </c>
      <c r="D796" s="80">
        <f t="shared" ref="D796:Y796" si="1087">IF($C796&gt;D$337,1,0)</f>
        <v>1</v>
      </c>
      <c r="E796" s="80">
        <f t="shared" si="1087"/>
        <v>1</v>
      </c>
      <c r="F796" s="80">
        <f t="shared" si="1087"/>
        <v>1</v>
      </c>
      <c r="G796" s="80">
        <f t="shared" si="1087"/>
        <v>1</v>
      </c>
      <c r="H796" s="80">
        <f t="shared" si="1087"/>
        <v>1</v>
      </c>
      <c r="I796" s="80">
        <f t="shared" si="1087"/>
        <v>1</v>
      </c>
      <c r="J796" s="80">
        <f t="shared" si="1087"/>
        <v>1</v>
      </c>
      <c r="K796" s="80">
        <f t="shared" si="1087"/>
        <v>1</v>
      </c>
      <c r="L796" s="80">
        <f t="shared" si="1087"/>
        <v>1</v>
      </c>
      <c r="M796" s="80">
        <f t="shared" si="1087"/>
        <v>1</v>
      </c>
      <c r="N796" s="80">
        <f t="shared" si="1087"/>
        <v>1</v>
      </c>
      <c r="O796" s="80">
        <f t="shared" si="1087"/>
        <v>1</v>
      </c>
      <c r="P796" s="80">
        <f t="shared" si="1087"/>
        <v>1</v>
      </c>
      <c r="Q796" s="80">
        <f t="shared" si="1087"/>
        <v>1</v>
      </c>
      <c r="R796" s="80">
        <f t="shared" si="1087"/>
        <v>1</v>
      </c>
      <c r="S796" s="80">
        <f t="shared" si="1087"/>
        <v>1</v>
      </c>
      <c r="T796" s="80">
        <f t="shared" si="1087"/>
        <v>1</v>
      </c>
      <c r="U796" s="80">
        <f t="shared" si="1087"/>
        <v>1</v>
      </c>
      <c r="V796" s="80">
        <f t="shared" si="1087"/>
        <v>1</v>
      </c>
      <c r="W796" s="80">
        <f t="shared" si="1087"/>
        <v>1</v>
      </c>
      <c r="X796" s="80">
        <f t="shared" si="1087"/>
        <v>1</v>
      </c>
      <c r="Y796" s="80">
        <f t="shared" si="1087"/>
        <v>1</v>
      </c>
    </row>
    <row r="797" ht="16.5" spans="2:25">
      <c r="B797" s="65">
        <v>157</v>
      </c>
      <c r="C797" s="80">
        <f t="shared" si="1059"/>
        <v>18596</v>
      </c>
      <c r="D797" s="80">
        <f t="shared" ref="D797:Y797" si="1088">IF($C797&gt;D$337,1,0)</f>
        <v>1</v>
      </c>
      <c r="E797" s="80">
        <f t="shared" si="1088"/>
        <v>1</v>
      </c>
      <c r="F797" s="80">
        <f t="shared" si="1088"/>
        <v>1</v>
      </c>
      <c r="G797" s="80">
        <f t="shared" si="1088"/>
        <v>1</v>
      </c>
      <c r="H797" s="80">
        <f t="shared" si="1088"/>
        <v>1</v>
      </c>
      <c r="I797" s="80">
        <f t="shared" si="1088"/>
        <v>1</v>
      </c>
      <c r="J797" s="80">
        <f t="shared" si="1088"/>
        <v>1</v>
      </c>
      <c r="K797" s="80">
        <f t="shared" si="1088"/>
        <v>1</v>
      </c>
      <c r="L797" s="80">
        <f t="shared" si="1088"/>
        <v>1</v>
      </c>
      <c r="M797" s="80">
        <f t="shared" si="1088"/>
        <v>1</v>
      </c>
      <c r="N797" s="80">
        <f t="shared" si="1088"/>
        <v>1</v>
      </c>
      <c r="O797" s="80">
        <f t="shared" si="1088"/>
        <v>1</v>
      </c>
      <c r="P797" s="80">
        <f t="shared" si="1088"/>
        <v>1</v>
      </c>
      <c r="Q797" s="80">
        <f t="shared" si="1088"/>
        <v>1</v>
      </c>
      <c r="R797" s="80">
        <f t="shared" si="1088"/>
        <v>1</v>
      </c>
      <c r="S797" s="80">
        <f t="shared" si="1088"/>
        <v>1</v>
      </c>
      <c r="T797" s="80">
        <f t="shared" si="1088"/>
        <v>1</v>
      </c>
      <c r="U797" s="80">
        <f t="shared" si="1088"/>
        <v>1</v>
      </c>
      <c r="V797" s="80">
        <f t="shared" si="1088"/>
        <v>1</v>
      </c>
      <c r="W797" s="80">
        <f t="shared" si="1088"/>
        <v>1</v>
      </c>
      <c r="X797" s="80">
        <f t="shared" si="1088"/>
        <v>1</v>
      </c>
      <c r="Y797" s="80">
        <f t="shared" si="1088"/>
        <v>1</v>
      </c>
    </row>
    <row r="798" ht="16.5" spans="2:25">
      <c r="B798" s="65">
        <v>158</v>
      </c>
      <c r="C798" s="80">
        <f t="shared" si="1059"/>
        <v>18706</v>
      </c>
      <c r="D798" s="80">
        <f t="shared" ref="D798:Y798" si="1089">IF($C798&gt;D$337,1,0)</f>
        <v>1</v>
      </c>
      <c r="E798" s="80">
        <f t="shared" si="1089"/>
        <v>1</v>
      </c>
      <c r="F798" s="80">
        <f t="shared" si="1089"/>
        <v>1</v>
      </c>
      <c r="G798" s="80">
        <f t="shared" si="1089"/>
        <v>1</v>
      </c>
      <c r="H798" s="80">
        <f t="shared" si="1089"/>
        <v>1</v>
      </c>
      <c r="I798" s="80">
        <f t="shared" si="1089"/>
        <v>1</v>
      </c>
      <c r="J798" s="80">
        <f t="shared" si="1089"/>
        <v>1</v>
      </c>
      <c r="K798" s="80">
        <f t="shared" si="1089"/>
        <v>1</v>
      </c>
      <c r="L798" s="80">
        <f t="shared" si="1089"/>
        <v>1</v>
      </c>
      <c r="M798" s="80">
        <f t="shared" si="1089"/>
        <v>1</v>
      </c>
      <c r="N798" s="80">
        <f t="shared" si="1089"/>
        <v>1</v>
      </c>
      <c r="O798" s="80">
        <f t="shared" si="1089"/>
        <v>1</v>
      </c>
      <c r="P798" s="80">
        <f t="shared" si="1089"/>
        <v>1</v>
      </c>
      <c r="Q798" s="80">
        <f t="shared" si="1089"/>
        <v>1</v>
      </c>
      <c r="R798" s="80">
        <f t="shared" si="1089"/>
        <v>1</v>
      </c>
      <c r="S798" s="80">
        <f t="shared" si="1089"/>
        <v>1</v>
      </c>
      <c r="T798" s="80">
        <f t="shared" si="1089"/>
        <v>1</v>
      </c>
      <c r="U798" s="80">
        <f t="shared" si="1089"/>
        <v>1</v>
      </c>
      <c r="V798" s="80">
        <f t="shared" si="1089"/>
        <v>1</v>
      </c>
      <c r="W798" s="80">
        <f t="shared" si="1089"/>
        <v>1</v>
      </c>
      <c r="X798" s="80">
        <f t="shared" si="1089"/>
        <v>1</v>
      </c>
      <c r="Y798" s="80">
        <f t="shared" si="1089"/>
        <v>1</v>
      </c>
    </row>
    <row r="799" ht="16.5" spans="2:25">
      <c r="B799" s="65">
        <v>159</v>
      </c>
      <c r="C799" s="80">
        <f t="shared" si="1059"/>
        <v>18816</v>
      </c>
      <c r="D799" s="80">
        <f t="shared" ref="D799:Y799" si="1090">IF($C799&gt;D$337,1,0)</f>
        <v>1</v>
      </c>
      <c r="E799" s="80">
        <f t="shared" si="1090"/>
        <v>1</v>
      </c>
      <c r="F799" s="80">
        <f t="shared" si="1090"/>
        <v>1</v>
      </c>
      <c r="G799" s="80">
        <f t="shared" si="1090"/>
        <v>1</v>
      </c>
      <c r="H799" s="80">
        <f t="shared" si="1090"/>
        <v>1</v>
      </c>
      <c r="I799" s="80">
        <f t="shared" si="1090"/>
        <v>1</v>
      </c>
      <c r="J799" s="80">
        <f t="shared" si="1090"/>
        <v>1</v>
      </c>
      <c r="K799" s="80">
        <f t="shared" si="1090"/>
        <v>1</v>
      </c>
      <c r="L799" s="80">
        <f t="shared" si="1090"/>
        <v>1</v>
      </c>
      <c r="M799" s="80">
        <f t="shared" si="1090"/>
        <v>1</v>
      </c>
      <c r="N799" s="80">
        <f t="shared" si="1090"/>
        <v>1</v>
      </c>
      <c r="O799" s="80">
        <f t="shared" si="1090"/>
        <v>1</v>
      </c>
      <c r="P799" s="80">
        <f t="shared" si="1090"/>
        <v>1</v>
      </c>
      <c r="Q799" s="80">
        <f t="shared" si="1090"/>
        <v>1</v>
      </c>
      <c r="R799" s="80">
        <f t="shared" si="1090"/>
        <v>1</v>
      </c>
      <c r="S799" s="80">
        <f t="shared" si="1090"/>
        <v>1</v>
      </c>
      <c r="T799" s="80">
        <f t="shared" si="1090"/>
        <v>1</v>
      </c>
      <c r="U799" s="80">
        <f t="shared" si="1090"/>
        <v>1</v>
      </c>
      <c r="V799" s="80">
        <f t="shared" si="1090"/>
        <v>1</v>
      </c>
      <c r="W799" s="80">
        <f t="shared" si="1090"/>
        <v>1</v>
      </c>
      <c r="X799" s="80">
        <f t="shared" si="1090"/>
        <v>1</v>
      </c>
      <c r="Y799" s="80">
        <f t="shared" si="1090"/>
        <v>1</v>
      </c>
    </row>
    <row r="800" ht="16.5" spans="2:25">
      <c r="B800" s="65">
        <v>160</v>
      </c>
      <c r="C800" s="80">
        <f t="shared" si="1059"/>
        <v>18926</v>
      </c>
      <c r="D800" s="80">
        <f t="shared" ref="D800:Y800" si="1091">IF($C800&gt;D$337,1,0)</f>
        <v>1</v>
      </c>
      <c r="E800" s="80">
        <f t="shared" si="1091"/>
        <v>1</v>
      </c>
      <c r="F800" s="80">
        <f t="shared" si="1091"/>
        <v>1</v>
      </c>
      <c r="G800" s="80">
        <f t="shared" si="1091"/>
        <v>1</v>
      </c>
      <c r="H800" s="80">
        <f t="shared" si="1091"/>
        <v>1</v>
      </c>
      <c r="I800" s="80">
        <f t="shared" si="1091"/>
        <v>1</v>
      </c>
      <c r="J800" s="80">
        <f t="shared" si="1091"/>
        <v>1</v>
      </c>
      <c r="K800" s="80">
        <f t="shared" si="1091"/>
        <v>1</v>
      </c>
      <c r="L800" s="80">
        <f t="shared" si="1091"/>
        <v>1</v>
      </c>
      <c r="M800" s="80">
        <f t="shared" si="1091"/>
        <v>1</v>
      </c>
      <c r="N800" s="80">
        <f t="shared" si="1091"/>
        <v>1</v>
      </c>
      <c r="O800" s="80">
        <f t="shared" si="1091"/>
        <v>1</v>
      </c>
      <c r="P800" s="80">
        <f t="shared" si="1091"/>
        <v>1</v>
      </c>
      <c r="Q800" s="80">
        <f t="shared" si="1091"/>
        <v>1</v>
      </c>
      <c r="R800" s="80">
        <f t="shared" si="1091"/>
        <v>1</v>
      </c>
      <c r="S800" s="80">
        <f t="shared" si="1091"/>
        <v>1</v>
      </c>
      <c r="T800" s="80">
        <f t="shared" si="1091"/>
        <v>1</v>
      </c>
      <c r="U800" s="80">
        <f t="shared" si="1091"/>
        <v>1</v>
      </c>
      <c r="V800" s="80">
        <f t="shared" si="1091"/>
        <v>1</v>
      </c>
      <c r="W800" s="80">
        <f t="shared" si="1091"/>
        <v>1</v>
      </c>
      <c r="X800" s="80">
        <f t="shared" si="1091"/>
        <v>1</v>
      </c>
      <c r="Y800" s="80">
        <f t="shared" si="1091"/>
        <v>1</v>
      </c>
    </row>
    <row r="801" ht="16.5" spans="2:25">
      <c r="B801" s="65">
        <v>161</v>
      </c>
      <c r="C801" s="80">
        <f t="shared" si="1059"/>
        <v>19036</v>
      </c>
      <c r="D801" s="80">
        <f t="shared" ref="D801:Y801" si="1092">IF($C801&gt;D$337,1,0)</f>
        <v>1</v>
      </c>
      <c r="E801" s="80">
        <f t="shared" si="1092"/>
        <v>1</v>
      </c>
      <c r="F801" s="80">
        <f t="shared" si="1092"/>
        <v>1</v>
      </c>
      <c r="G801" s="80">
        <f t="shared" si="1092"/>
        <v>1</v>
      </c>
      <c r="H801" s="80">
        <f t="shared" si="1092"/>
        <v>1</v>
      </c>
      <c r="I801" s="80">
        <f t="shared" si="1092"/>
        <v>1</v>
      </c>
      <c r="J801" s="80">
        <f t="shared" si="1092"/>
        <v>1</v>
      </c>
      <c r="K801" s="80">
        <f t="shared" si="1092"/>
        <v>1</v>
      </c>
      <c r="L801" s="80">
        <f t="shared" si="1092"/>
        <v>1</v>
      </c>
      <c r="M801" s="80">
        <f t="shared" si="1092"/>
        <v>1</v>
      </c>
      <c r="N801" s="80">
        <f t="shared" si="1092"/>
        <v>1</v>
      </c>
      <c r="O801" s="80">
        <f t="shared" si="1092"/>
        <v>1</v>
      </c>
      <c r="P801" s="80">
        <f t="shared" si="1092"/>
        <v>1</v>
      </c>
      <c r="Q801" s="80">
        <f t="shared" si="1092"/>
        <v>1</v>
      </c>
      <c r="R801" s="80">
        <f t="shared" si="1092"/>
        <v>1</v>
      </c>
      <c r="S801" s="80">
        <f t="shared" si="1092"/>
        <v>1</v>
      </c>
      <c r="T801" s="80">
        <f t="shared" si="1092"/>
        <v>1</v>
      </c>
      <c r="U801" s="80">
        <f t="shared" si="1092"/>
        <v>1</v>
      </c>
      <c r="V801" s="80">
        <f t="shared" si="1092"/>
        <v>1</v>
      </c>
      <c r="W801" s="80">
        <f t="shared" si="1092"/>
        <v>1</v>
      </c>
      <c r="X801" s="80">
        <f t="shared" si="1092"/>
        <v>1</v>
      </c>
      <c r="Y801" s="80">
        <f t="shared" si="1092"/>
        <v>1</v>
      </c>
    </row>
    <row r="802" ht="16.5" spans="2:25">
      <c r="B802" s="65">
        <v>162</v>
      </c>
      <c r="C802" s="80">
        <f t="shared" si="1059"/>
        <v>19146</v>
      </c>
      <c r="D802" s="80">
        <f t="shared" ref="D802:Y802" si="1093">IF($C802&gt;D$337,1,0)</f>
        <v>1</v>
      </c>
      <c r="E802" s="80">
        <f t="shared" si="1093"/>
        <v>1</v>
      </c>
      <c r="F802" s="80">
        <f t="shared" si="1093"/>
        <v>1</v>
      </c>
      <c r="G802" s="80">
        <f t="shared" si="1093"/>
        <v>1</v>
      </c>
      <c r="H802" s="80">
        <f t="shared" si="1093"/>
        <v>1</v>
      </c>
      <c r="I802" s="80">
        <f t="shared" si="1093"/>
        <v>1</v>
      </c>
      <c r="J802" s="80">
        <f t="shared" si="1093"/>
        <v>1</v>
      </c>
      <c r="K802" s="80">
        <f t="shared" si="1093"/>
        <v>1</v>
      </c>
      <c r="L802" s="80">
        <f t="shared" si="1093"/>
        <v>1</v>
      </c>
      <c r="M802" s="80">
        <f t="shared" si="1093"/>
        <v>1</v>
      </c>
      <c r="N802" s="80">
        <f t="shared" si="1093"/>
        <v>1</v>
      </c>
      <c r="O802" s="80">
        <f t="shared" si="1093"/>
        <v>1</v>
      </c>
      <c r="P802" s="80">
        <f t="shared" si="1093"/>
        <v>1</v>
      </c>
      <c r="Q802" s="80">
        <f t="shared" si="1093"/>
        <v>1</v>
      </c>
      <c r="R802" s="80">
        <f t="shared" si="1093"/>
        <v>1</v>
      </c>
      <c r="S802" s="80">
        <f t="shared" si="1093"/>
        <v>1</v>
      </c>
      <c r="T802" s="80">
        <f t="shared" si="1093"/>
        <v>1</v>
      </c>
      <c r="U802" s="80">
        <f t="shared" si="1093"/>
        <v>1</v>
      </c>
      <c r="V802" s="80">
        <f t="shared" si="1093"/>
        <v>1</v>
      </c>
      <c r="W802" s="80">
        <f t="shared" si="1093"/>
        <v>1</v>
      </c>
      <c r="X802" s="80">
        <f t="shared" si="1093"/>
        <v>1</v>
      </c>
      <c r="Y802" s="80">
        <f t="shared" si="1093"/>
        <v>1</v>
      </c>
    </row>
    <row r="803" ht="16.5" spans="2:25">
      <c r="B803" s="65">
        <v>163</v>
      </c>
      <c r="C803" s="80">
        <f t="shared" si="1059"/>
        <v>19256</v>
      </c>
      <c r="D803" s="80">
        <f t="shared" ref="D803:Y803" si="1094">IF($C803&gt;D$337,1,0)</f>
        <v>1</v>
      </c>
      <c r="E803" s="80">
        <f t="shared" si="1094"/>
        <v>1</v>
      </c>
      <c r="F803" s="80">
        <f t="shared" si="1094"/>
        <v>1</v>
      </c>
      <c r="G803" s="80">
        <f t="shared" si="1094"/>
        <v>1</v>
      </c>
      <c r="H803" s="80">
        <f t="shared" si="1094"/>
        <v>1</v>
      </c>
      <c r="I803" s="80">
        <f t="shared" si="1094"/>
        <v>1</v>
      </c>
      <c r="J803" s="80">
        <f t="shared" si="1094"/>
        <v>1</v>
      </c>
      <c r="K803" s="80">
        <f t="shared" si="1094"/>
        <v>1</v>
      </c>
      <c r="L803" s="80">
        <f t="shared" si="1094"/>
        <v>1</v>
      </c>
      <c r="M803" s="80">
        <f t="shared" si="1094"/>
        <v>1</v>
      </c>
      <c r="N803" s="80">
        <f t="shared" si="1094"/>
        <v>1</v>
      </c>
      <c r="O803" s="80">
        <f t="shared" si="1094"/>
        <v>1</v>
      </c>
      <c r="P803" s="80">
        <f t="shared" si="1094"/>
        <v>1</v>
      </c>
      <c r="Q803" s="80">
        <f t="shared" si="1094"/>
        <v>1</v>
      </c>
      <c r="R803" s="80">
        <f t="shared" si="1094"/>
        <v>1</v>
      </c>
      <c r="S803" s="80">
        <f t="shared" si="1094"/>
        <v>1</v>
      </c>
      <c r="T803" s="80">
        <f t="shared" si="1094"/>
        <v>1</v>
      </c>
      <c r="U803" s="80">
        <f t="shared" si="1094"/>
        <v>1</v>
      </c>
      <c r="V803" s="80">
        <f t="shared" si="1094"/>
        <v>1</v>
      </c>
      <c r="W803" s="80">
        <f t="shared" si="1094"/>
        <v>1</v>
      </c>
      <c r="X803" s="80">
        <f t="shared" si="1094"/>
        <v>1</v>
      </c>
      <c r="Y803" s="80">
        <f t="shared" si="1094"/>
        <v>1</v>
      </c>
    </row>
    <row r="804" ht="16.5" spans="2:25">
      <c r="B804" s="65">
        <v>164</v>
      </c>
      <c r="C804" s="80">
        <f t="shared" si="1059"/>
        <v>19366</v>
      </c>
      <c r="D804" s="80">
        <f t="shared" ref="D804:Y804" si="1095">IF($C804&gt;D$337,1,0)</f>
        <v>1</v>
      </c>
      <c r="E804" s="80">
        <f t="shared" si="1095"/>
        <v>1</v>
      </c>
      <c r="F804" s="80">
        <f t="shared" si="1095"/>
        <v>1</v>
      </c>
      <c r="G804" s="80">
        <f t="shared" si="1095"/>
        <v>1</v>
      </c>
      <c r="H804" s="80">
        <f t="shared" si="1095"/>
        <v>1</v>
      </c>
      <c r="I804" s="80">
        <f t="shared" si="1095"/>
        <v>1</v>
      </c>
      <c r="J804" s="80">
        <f t="shared" si="1095"/>
        <v>1</v>
      </c>
      <c r="K804" s="80">
        <f t="shared" si="1095"/>
        <v>1</v>
      </c>
      <c r="L804" s="80">
        <f t="shared" si="1095"/>
        <v>1</v>
      </c>
      <c r="M804" s="80">
        <f t="shared" si="1095"/>
        <v>1</v>
      </c>
      <c r="N804" s="80">
        <f t="shared" si="1095"/>
        <v>1</v>
      </c>
      <c r="O804" s="80">
        <f t="shared" si="1095"/>
        <v>1</v>
      </c>
      <c r="P804" s="80">
        <f t="shared" si="1095"/>
        <v>1</v>
      </c>
      <c r="Q804" s="80">
        <f t="shared" si="1095"/>
        <v>1</v>
      </c>
      <c r="R804" s="80">
        <f t="shared" si="1095"/>
        <v>1</v>
      </c>
      <c r="S804" s="80">
        <f t="shared" si="1095"/>
        <v>1</v>
      </c>
      <c r="T804" s="80">
        <f t="shared" si="1095"/>
        <v>1</v>
      </c>
      <c r="U804" s="80">
        <f t="shared" si="1095"/>
        <v>1</v>
      </c>
      <c r="V804" s="80">
        <f t="shared" si="1095"/>
        <v>1</v>
      </c>
      <c r="W804" s="80">
        <f t="shared" si="1095"/>
        <v>1</v>
      </c>
      <c r="X804" s="80">
        <f t="shared" si="1095"/>
        <v>1</v>
      </c>
      <c r="Y804" s="80">
        <f t="shared" si="1095"/>
        <v>1</v>
      </c>
    </row>
    <row r="805" ht="16.5" spans="2:25">
      <c r="B805" s="65">
        <v>165</v>
      </c>
      <c r="C805" s="80">
        <f t="shared" si="1059"/>
        <v>19476</v>
      </c>
      <c r="D805" s="80">
        <f t="shared" ref="D805:Y805" si="1096">IF($C805&gt;D$337,1,0)</f>
        <v>1</v>
      </c>
      <c r="E805" s="80">
        <f t="shared" si="1096"/>
        <v>1</v>
      </c>
      <c r="F805" s="80">
        <f t="shared" si="1096"/>
        <v>1</v>
      </c>
      <c r="G805" s="80">
        <f t="shared" si="1096"/>
        <v>1</v>
      </c>
      <c r="H805" s="80">
        <f t="shared" si="1096"/>
        <v>1</v>
      </c>
      <c r="I805" s="80">
        <f t="shared" si="1096"/>
        <v>1</v>
      </c>
      <c r="J805" s="80">
        <f t="shared" si="1096"/>
        <v>1</v>
      </c>
      <c r="K805" s="80">
        <f t="shared" si="1096"/>
        <v>1</v>
      </c>
      <c r="L805" s="80">
        <f t="shared" si="1096"/>
        <v>1</v>
      </c>
      <c r="M805" s="80">
        <f t="shared" si="1096"/>
        <v>1</v>
      </c>
      <c r="N805" s="80">
        <f t="shared" si="1096"/>
        <v>1</v>
      </c>
      <c r="O805" s="80">
        <f t="shared" si="1096"/>
        <v>1</v>
      </c>
      <c r="P805" s="80">
        <f t="shared" si="1096"/>
        <v>1</v>
      </c>
      <c r="Q805" s="80">
        <f t="shared" si="1096"/>
        <v>1</v>
      </c>
      <c r="R805" s="80">
        <f t="shared" si="1096"/>
        <v>1</v>
      </c>
      <c r="S805" s="80">
        <f t="shared" si="1096"/>
        <v>1</v>
      </c>
      <c r="T805" s="80">
        <f t="shared" si="1096"/>
        <v>1</v>
      </c>
      <c r="U805" s="80">
        <f t="shared" si="1096"/>
        <v>1</v>
      </c>
      <c r="V805" s="80">
        <f t="shared" si="1096"/>
        <v>1</v>
      </c>
      <c r="W805" s="80">
        <f t="shared" si="1096"/>
        <v>1</v>
      </c>
      <c r="X805" s="80">
        <f t="shared" si="1096"/>
        <v>1</v>
      </c>
      <c r="Y805" s="80">
        <f t="shared" si="1096"/>
        <v>1</v>
      </c>
    </row>
    <row r="806" ht="16.5" spans="2:25">
      <c r="B806" s="65">
        <v>166</v>
      </c>
      <c r="C806" s="80">
        <f t="shared" si="1059"/>
        <v>19586</v>
      </c>
      <c r="D806" s="80">
        <f t="shared" ref="D806:Y806" si="1097">IF($C806&gt;D$337,1,0)</f>
        <v>1</v>
      </c>
      <c r="E806" s="80">
        <f t="shared" si="1097"/>
        <v>1</v>
      </c>
      <c r="F806" s="80">
        <f t="shared" si="1097"/>
        <v>1</v>
      </c>
      <c r="G806" s="80">
        <f t="shared" si="1097"/>
        <v>1</v>
      </c>
      <c r="H806" s="80">
        <f t="shared" si="1097"/>
        <v>1</v>
      </c>
      <c r="I806" s="80">
        <f t="shared" si="1097"/>
        <v>1</v>
      </c>
      <c r="J806" s="80">
        <f t="shared" si="1097"/>
        <v>1</v>
      </c>
      <c r="K806" s="80">
        <f t="shared" si="1097"/>
        <v>1</v>
      </c>
      <c r="L806" s="80">
        <f t="shared" si="1097"/>
        <v>1</v>
      </c>
      <c r="M806" s="80">
        <f t="shared" si="1097"/>
        <v>1</v>
      </c>
      <c r="N806" s="80">
        <f t="shared" si="1097"/>
        <v>1</v>
      </c>
      <c r="O806" s="80">
        <f t="shared" si="1097"/>
        <v>1</v>
      </c>
      <c r="P806" s="80">
        <f t="shared" si="1097"/>
        <v>1</v>
      </c>
      <c r="Q806" s="80">
        <f t="shared" si="1097"/>
        <v>1</v>
      </c>
      <c r="R806" s="80">
        <f t="shared" si="1097"/>
        <v>1</v>
      </c>
      <c r="S806" s="80">
        <f t="shared" si="1097"/>
        <v>1</v>
      </c>
      <c r="T806" s="80">
        <f t="shared" si="1097"/>
        <v>1</v>
      </c>
      <c r="U806" s="80">
        <f t="shared" si="1097"/>
        <v>1</v>
      </c>
      <c r="V806" s="80">
        <f t="shared" si="1097"/>
        <v>1</v>
      </c>
      <c r="W806" s="80">
        <f t="shared" si="1097"/>
        <v>1</v>
      </c>
      <c r="X806" s="80">
        <f t="shared" si="1097"/>
        <v>1</v>
      </c>
      <c r="Y806" s="80">
        <f t="shared" si="1097"/>
        <v>1</v>
      </c>
    </row>
    <row r="807" ht="16.5" spans="2:25">
      <c r="B807" s="65">
        <v>167</v>
      </c>
      <c r="C807" s="80">
        <f t="shared" si="1059"/>
        <v>19696</v>
      </c>
      <c r="D807" s="80">
        <f t="shared" ref="D807:Y807" si="1098">IF($C807&gt;D$337,1,0)</f>
        <v>1</v>
      </c>
      <c r="E807" s="80">
        <f t="shared" si="1098"/>
        <v>1</v>
      </c>
      <c r="F807" s="80">
        <f t="shared" si="1098"/>
        <v>1</v>
      </c>
      <c r="G807" s="80">
        <f t="shared" si="1098"/>
        <v>1</v>
      </c>
      <c r="H807" s="80">
        <f t="shared" si="1098"/>
        <v>1</v>
      </c>
      <c r="I807" s="80">
        <f t="shared" si="1098"/>
        <v>1</v>
      </c>
      <c r="J807" s="80">
        <f t="shared" si="1098"/>
        <v>1</v>
      </c>
      <c r="K807" s="80">
        <f t="shared" si="1098"/>
        <v>1</v>
      </c>
      <c r="L807" s="80">
        <f t="shared" si="1098"/>
        <v>1</v>
      </c>
      <c r="M807" s="80">
        <f t="shared" si="1098"/>
        <v>1</v>
      </c>
      <c r="N807" s="80">
        <f t="shared" si="1098"/>
        <v>1</v>
      </c>
      <c r="O807" s="80">
        <f t="shared" si="1098"/>
        <v>1</v>
      </c>
      <c r="P807" s="80">
        <f t="shared" si="1098"/>
        <v>1</v>
      </c>
      <c r="Q807" s="80">
        <f t="shared" si="1098"/>
        <v>1</v>
      </c>
      <c r="R807" s="80">
        <f t="shared" si="1098"/>
        <v>1</v>
      </c>
      <c r="S807" s="80">
        <f t="shared" si="1098"/>
        <v>1</v>
      </c>
      <c r="T807" s="80">
        <f t="shared" si="1098"/>
        <v>1</v>
      </c>
      <c r="U807" s="80">
        <f t="shared" si="1098"/>
        <v>1</v>
      </c>
      <c r="V807" s="80">
        <f t="shared" si="1098"/>
        <v>1</v>
      </c>
      <c r="W807" s="80">
        <f t="shared" si="1098"/>
        <v>1</v>
      </c>
      <c r="X807" s="80">
        <f t="shared" si="1098"/>
        <v>1</v>
      </c>
      <c r="Y807" s="80">
        <f t="shared" si="1098"/>
        <v>1</v>
      </c>
    </row>
    <row r="808" ht="16.5" spans="2:25">
      <c r="B808" s="65">
        <v>168</v>
      </c>
      <c r="C808" s="80">
        <f t="shared" si="1059"/>
        <v>19806</v>
      </c>
      <c r="D808" s="80">
        <f t="shared" ref="D808:Y808" si="1099">IF($C808&gt;D$337,1,0)</f>
        <v>1</v>
      </c>
      <c r="E808" s="80">
        <f t="shared" si="1099"/>
        <v>1</v>
      </c>
      <c r="F808" s="80">
        <f t="shared" si="1099"/>
        <v>1</v>
      </c>
      <c r="G808" s="80">
        <f t="shared" si="1099"/>
        <v>1</v>
      </c>
      <c r="H808" s="80">
        <f t="shared" si="1099"/>
        <v>1</v>
      </c>
      <c r="I808" s="80">
        <f t="shared" si="1099"/>
        <v>1</v>
      </c>
      <c r="J808" s="80">
        <f t="shared" si="1099"/>
        <v>1</v>
      </c>
      <c r="K808" s="80">
        <f t="shared" si="1099"/>
        <v>1</v>
      </c>
      <c r="L808" s="80">
        <f t="shared" si="1099"/>
        <v>1</v>
      </c>
      <c r="M808" s="80">
        <f t="shared" si="1099"/>
        <v>1</v>
      </c>
      <c r="N808" s="80">
        <f t="shared" si="1099"/>
        <v>1</v>
      </c>
      <c r="O808" s="80">
        <f t="shared" si="1099"/>
        <v>1</v>
      </c>
      <c r="P808" s="80">
        <f t="shared" si="1099"/>
        <v>1</v>
      </c>
      <c r="Q808" s="80">
        <f t="shared" si="1099"/>
        <v>1</v>
      </c>
      <c r="R808" s="80">
        <f t="shared" si="1099"/>
        <v>1</v>
      </c>
      <c r="S808" s="80">
        <f t="shared" si="1099"/>
        <v>1</v>
      </c>
      <c r="T808" s="80">
        <f t="shared" si="1099"/>
        <v>1</v>
      </c>
      <c r="U808" s="80">
        <f t="shared" si="1099"/>
        <v>1</v>
      </c>
      <c r="V808" s="80">
        <f t="shared" si="1099"/>
        <v>1</v>
      </c>
      <c r="W808" s="80">
        <f t="shared" si="1099"/>
        <v>1</v>
      </c>
      <c r="X808" s="80">
        <f t="shared" si="1099"/>
        <v>1</v>
      </c>
      <c r="Y808" s="80">
        <f t="shared" si="1099"/>
        <v>1</v>
      </c>
    </row>
    <row r="809" ht="16.5" spans="2:25">
      <c r="B809" s="65">
        <v>169</v>
      </c>
      <c r="C809" s="80">
        <f t="shared" si="1059"/>
        <v>19916</v>
      </c>
      <c r="D809" s="80">
        <f t="shared" ref="D809:Y809" si="1100">IF($C809&gt;D$337,1,0)</f>
        <v>1</v>
      </c>
      <c r="E809" s="80">
        <f t="shared" si="1100"/>
        <v>1</v>
      </c>
      <c r="F809" s="80">
        <f t="shared" si="1100"/>
        <v>1</v>
      </c>
      <c r="G809" s="80">
        <f t="shared" si="1100"/>
        <v>1</v>
      </c>
      <c r="H809" s="80">
        <f t="shared" si="1100"/>
        <v>1</v>
      </c>
      <c r="I809" s="80">
        <f t="shared" si="1100"/>
        <v>1</v>
      </c>
      <c r="J809" s="80">
        <f t="shared" si="1100"/>
        <v>1</v>
      </c>
      <c r="K809" s="80">
        <f t="shared" si="1100"/>
        <v>1</v>
      </c>
      <c r="L809" s="80">
        <f t="shared" si="1100"/>
        <v>1</v>
      </c>
      <c r="M809" s="80">
        <f t="shared" si="1100"/>
        <v>1</v>
      </c>
      <c r="N809" s="80">
        <f t="shared" si="1100"/>
        <v>1</v>
      </c>
      <c r="O809" s="80">
        <f t="shared" si="1100"/>
        <v>1</v>
      </c>
      <c r="P809" s="80">
        <f t="shared" si="1100"/>
        <v>1</v>
      </c>
      <c r="Q809" s="80">
        <f t="shared" si="1100"/>
        <v>1</v>
      </c>
      <c r="R809" s="80">
        <f t="shared" si="1100"/>
        <v>1</v>
      </c>
      <c r="S809" s="80">
        <f t="shared" si="1100"/>
        <v>1</v>
      </c>
      <c r="T809" s="80">
        <f t="shared" si="1100"/>
        <v>1</v>
      </c>
      <c r="U809" s="80">
        <f t="shared" si="1100"/>
        <v>1</v>
      </c>
      <c r="V809" s="80">
        <f t="shared" si="1100"/>
        <v>1</v>
      </c>
      <c r="W809" s="80">
        <f t="shared" si="1100"/>
        <v>1</v>
      </c>
      <c r="X809" s="80">
        <f t="shared" si="1100"/>
        <v>1</v>
      </c>
      <c r="Y809" s="80">
        <f t="shared" si="1100"/>
        <v>1</v>
      </c>
    </row>
    <row r="810" ht="16.5" spans="2:25">
      <c r="B810" s="65">
        <v>170</v>
      </c>
      <c r="C810" s="80">
        <f t="shared" si="1059"/>
        <v>20026</v>
      </c>
      <c r="D810" s="80">
        <f t="shared" ref="D810:Y810" si="1101">IF($C810&gt;D$337,1,0)</f>
        <v>1</v>
      </c>
      <c r="E810" s="80">
        <f t="shared" si="1101"/>
        <v>1</v>
      </c>
      <c r="F810" s="80">
        <f t="shared" si="1101"/>
        <v>1</v>
      </c>
      <c r="G810" s="80">
        <f t="shared" si="1101"/>
        <v>1</v>
      </c>
      <c r="H810" s="80">
        <f t="shared" si="1101"/>
        <v>1</v>
      </c>
      <c r="I810" s="80">
        <f t="shared" si="1101"/>
        <v>1</v>
      </c>
      <c r="J810" s="80">
        <f t="shared" si="1101"/>
        <v>1</v>
      </c>
      <c r="K810" s="80">
        <f t="shared" si="1101"/>
        <v>1</v>
      </c>
      <c r="L810" s="80">
        <f t="shared" si="1101"/>
        <v>1</v>
      </c>
      <c r="M810" s="80">
        <f t="shared" si="1101"/>
        <v>1</v>
      </c>
      <c r="N810" s="80">
        <f t="shared" si="1101"/>
        <v>1</v>
      </c>
      <c r="O810" s="80">
        <f t="shared" si="1101"/>
        <v>1</v>
      </c>
      <c r="P810" s="80">
        <f t="shared" si="1101"/>
        <v>1</v>
      </c>
      <c r="Q810" s="80">
        <f t="shared" si="1101"/>
        <v>1</v>
      </c>
      <c r="R810" s="80">
        <f t="shared" si="1101"/>
        <v>1</v>
      </c>
      <c r="S810" s="80">
        <f t="shared" si="1101"/>
        <v>1</v>
      </c>
      <c r="T810" s="80">
        <f t="shared" si="1101"/>
        <v>1</v>
      </c>
      <c r="U810" s="80">
        <f t="shared" si="1101"/>
        <v>1</v>
      </c>
      <c r="V810" s="80">
        <f t="shared" si="1101"/>
        <v>1</v>
      </c>
      <c r="W810" s="80">
        <f t="shared" si="1101"/>
        <v>1</v>
      </c>
      <c r="X810" s="80">
        <f t="shared" si="1101"/>
        <v>1</v>
      </c>
      <c r="Y810" s="80">
        <f t="shared" si="1101"/>
        <v>1</v>
      </c>
    </row>
    <row r="811" ht="16.5" spans="2:25">
      <c r="B811" s="65">
        <v>171</v>
      </c>
      <c r="C811" s="80">
        <f t="shared" si="1059"/>
        <v>20136</v>
      </c>
      <c r="D811" s="80">
        <f t="shared" ref="D811:Y811" si="1102">IF($C811&gt;D$337,1,0)</f>
        <v>1</v>
      </c>
      <c r="E811" s="80">
        <f t="shared" si="1102"/>
        <v>1</v>
      </c>
      <c r="F811" s="80">
        <f t="shared" si="1102"/>
        <v>1</v>
      </c>
      <c r="G811" s="80">
        <f t="shared" si="1102"/>
        <v>1</v>
      </c>
      <c r="H811" s="80">
        <f t="shared" si="1102"/>
        <v>1</v>
      </c>
      <c r="I811" s="80">
        <f t="shared" si="1102"/>
        <v>1</v>
      </c>
      <c r="J811" s="80">
        <f t="shared" si="1102"/>
        <v>1</v>
      </c>
      <c r="K811" s="80">
        <f t="shared" si="1102"/>
        <v>1</v>
      </c>
      <c r="L811" s="80">
        <f t="shared" si="1102"/>
        <v>1</v>
      </c>
      <c r="M811" s="80">
        <f t="shared" si="1102"/>
        <v>1</v>
      </c>
      <c r="N811" s="80">
        <f t="shared" si="1102"/>
        <v>1</v>
      </c>
      <c r="O811" s="80">
        <f t="shared" si="1102"/>
        <v>1</v>
      </c>
      <c r="P811" s="80">
        <f t="shared" si="1102"/>
        <v>1</v>
      </c>
      <c r="Q811" s="80">
        <f t="shared" si="1102"/>
        <v>1</v>
      </c>
      <c r="R811" s="80">
        <f t="shared" si="1102"/>
        <v>1</v>
      </c>
      <c r="S811" s="80">
        <f t="shared" si="1102"/>
        <v>1</v>
      </c>
      <c r="T811" s="80">
        <f t="shared" si="1102"/>
        <v>1</v>
      </c>
      <c r="U811" s="80">
        <f t="shared" si="1102"/>
        <v>1</v>
      </c>
      <c r="V811" s="80">
        <f t="shared" si="1102"/>
        <v>1</v>
      </c>
      <c r="W811" s="80">
        <f t="shared" si="1102"/>
        <v>1</v>
      </c>
      <c r="X811" s="80">
        <f t="shared" si="1102"/>
        <v>1</v>
      </c>
      <c r="Y811" s="80">
        <f t="shared" si="1102"/>
        <v>1</v>
      </c>
    </row>
    <row r="812" ht="16.5" spans="2:25">
      <c r="B812" s="65">
        <v>172</v>
      </c>
      <c r="C812" s="80">
        <f t="shared" si="1059"/>
        <v>20246</v>
      </c>
      <c r="D812" s="80">
        <f t="shared" ref="D812:Y812" si="1103">IF($C812&gt;D$337,1,0)</f>
        <v>1</v>
      </c>
      <c r="E812" s="80">
        <f t="shared" si="1103"/>
        <v>1</v>
      </c>
      <c r="F812" s="80">
        <f t="shared" si="1103"/>
        <v>1</v>
      </c>
      <c r="G812" s="80">
        <f t="shared" si="1103"/>
        <v>1</v>
      </c>
      <c r="H812" s="80">
        <f t="shared" si="1103"/>
        <v>1</v>
      </c>
      <c r="I812" s="80">
        <f t="shared" si="1103"/>
        <v>1</v>
      </c>
      <c r="J812" s="80">
        <f t="shared" si="1103"/>
        <v>1</v>
      </c>
      <c r="K812" s="80">
        <f t="shared" si="1103"/>
        <v>1</v>
      </c>
      <c r="L812" s="80">
        <f t="shared" si="1103"/>
        <v>1</v>
      </c>
      <c r="M812" s="80">
        <f t="shared" si="1103"/>
        <v>1</v>
      </c>
      <c r="N812" s="80">
        <f t="shared" si="1103"/>
        <v>1</v>
      </c>
      <c r="O812" s="80">
        <f t="shared" si="1103"/>
        <v>1</v>
      </c>
      <c r="P812" s="80">
        <f t="shared" si="1103"/>
        <v>1</v>
      </c>
      <c r="Q812" s="80">
        <f t="shared" si="1103"/>
        <v>1</v>
      </c>
      <c r="R812" s="80">
        <f t="shared" si="1103"/>
        <v>1</v>
      </c>
      <c r="S812" s="80">
        <f t="shared" si="1103"/>
        <v>1</v>
      </c>
      <c r="T812" s="80">
        <f t="shared" si="1103"/>
        <v>1</v>
      </c>
      <c r="U812" s="80">
        <f t="shared" si="1103"/>
        <v>1</v>
      </c>
      <c r="V812" s="80">
        <f t="shared" si="1103"/>
        <v>1</v>
      </c>
      <c r="W812" s="80">
        <f t="shared" si="1103"/>
        <v>1</v>
      </c>
      <c r="X812" s="80">
        <f t="shared" si="1103"/>
        <v>1</v>
      </c>
      <c r="Y812" s="80">
        <f t="shared" si="1103"/>
        <v>1</v>
      </c>
    </row>
    <row r="813" ht="16.5" spans="2:25">
      <c r="B813" s="65">
        <v>173</v>
      </c>
      <c r="C813" s="80">
        <f t="shared" si="1059"/>
        <v>20356</v>
      </c>
      <c r="D813" s="80">
        <f t="shared" ref="D813:Y813" si="1104">IF($C813&gt;D$337,1,0)</f>
        <v>1</v>
      </c>
      <c r="E813" s="80">
        <f t="shared" si="1104"/>
        <v>1</v>
      </c>
      <c r="F813" s="80">
        <f t="shared" si="1104"/>
        <v>1</v>
      </c>
      <c r="G813" s="80">
        <f t="shared" si="1104"/>
        <v>1</v>
      </c>
      <c r="H813" s="80">
        <f t="shared" si="1104"/>
        <v>1</v>
      </c>
      <c r="I813" s="80">
        <f t="shared" si="1104"/>
        <v>1</v>
      </c>
      <c r="J813" s="80">
        <f t="shared" si="1104"/>
        <v>1</v>
      </c>
      <c r="K813" s="80">
        <f t="shared" si="1104"/>
        <v>1</v>
      </c>
      <c r="L813" s="80">
        <f t="shared" si="1104"/>
        <v>1</v>
      </c>
      <c r="M813" s="80">
        <f t="shared" si="1104"/>
        <v>1</v>
      </c>
      <c r="N813" s="80">
        <f t="shared" si="1104"/>
        <v>1</v>
      </c>
      <c r="O813" s="80">
        <f t="shared" si="1104"/>
        <v>1</v>
      </c>
      <c r="P813" s="80">
        <f t="shared" si="1104"/>
        <v>1</v>
      </c>
      <c r="Q813" s="80">
        <f t="shared" si="1104"/>
        <v>1</v>
      </c>
      <c r="R813" s="80">
        <f t="shared" si="1104"/>
        <v>1</v>
      </c>
      <c r="S813" s="80">
        <f t="shared" si="1104"/>
        <v>1</v>
      </c>
      <c r="T813" s="80">
        <f t="shared" si="1104"/>
        <v>1</v>
      </c>
      <c r="U813" s="80">
        <f t="shared" si="1104"/>
        <v>1</v>
      </c>
      <c r="V813" s="80">
        <f t="shared" si="1104"/>
        <v>1</v>
      </c>
      <c r="W813" s="80">
        <f t="shared" si="1104"/>
        <v>1</v>
      </c>
      <c r="X813" s="80">
        <f t="shared" si="1104"/>
        <v>1</v>
      </c>
      <c r="Y813" s="80">
        <f t="shared" si="1104"/>
        <v>1</v>
      </c>
    </row>
    <row r="814" ht="16.5" spans="2:25">
      <c r="B814" s="65">
        <v>174</v>
      </c>
      <c r="C814" s="80">
        <f t="shared" si="1059"/>
        <v>20466</v>
      </c>
      <c r="D814" s="80">
        <f t="shared" ref="D814:Y814" si="1105">IF($C814&gt;D$337,1,0)</f>
        <v>1</v>
      </c>
      <c r="E814" s="80">
        <f t="shared" si="1105"/>
        <v>1</v>
      </c>
      <c r="F814" s="80">
        <f t="shared" si="1105"/>
        <v>1</v>
      </c>
      <c r="G814" s="80">
        <f t="shared" si="1105"/>
        <v>1</v>
      </c>
      <c r="H814" s="80">
        <f t="shared" si="1105"/>
        <v>1</v>
      </c>
      <c r="I814" s="80">
        <f t="shared" si="1105"/>
        <v>1</v>
      </c>
      <c r="J814" s="80">
        <f t="shared" si="1105"/>
        <v>1</v>
      </c>
      <c r="K814" s="80">
        <f t="shared" si="1105"/>
        <v>1</v>
      </c>
      <c r="L814" s="80">
        <f t="shared" si="1105"/>
        <v>1</v>
      </c>
      <c r="M814" s="80">
        <f t="shared" si="1105"/>
        <v>1</v>
      </c>
      <c r="N814" s="80">
        <f t="shared" si="1105"/>
        <v>1</v>
      </c>
      <c r="O814" s="80">
        <f t="shared" si="1105"/>
        <v>1</v>
      </c>
      <c r="P814" s="80">
        <f t="shared" si="1105"/>
        <v>1</v>
      </c>
      <c r="Q814" s="80">
        <f t="shared" si="1105"/>
        <v>1</v>
      </c>
      <c r="R814" s="80">
        <f t="shared" si="1105"/>
        <v>1</v>
      </c>
      <c r="S814" s="80">
        <f t="shared" si="1105"/>
        <v>1</v>
      </c>
      <c r="T814" s="80">
        <f t="shared" si="1105"/>
        <v>1</v>
      </c>
      <c r="U814" s="80">
        <f t="shared" si="1105"/>
        <v>1</v>
      </c>
      <c r="V814" s="80">
        <f t="shared" si="1105"/>
        <v>1</v>
      </c>
      <c r="W814" s="80">
        <f t="shared" si="1105"/>
        <v>1</v>
      </c>
      <c r="X814" s="80">
        <f t="shared" si="1105"/>
        <v>1</v>
      </c>
      <c r="Y814" s="80">
        <f t="shared" si="1105"/>
        <v>1</v>
      </c>
    </row>
    <row r="815" ht="16.5" spans="2:25">
      <c r="B815" s="65">
        <v>175</v>
      </c>
      <c r="C815" s="80">
        <f t="shared" si="1059"/>
        <v>20576</v>
      </c>
      <c r="D815" s="80">
        <f t="shared" ref="D815:Y815" si="1106">IF($C815&gt;D$337,1,0)</f>
        <v>1</v>
      </c>
      <c r="E815" s="80">
        <f t="shared" si="1106"/>
        <v>1</v>
      </c>
      <c r="F815" s="80">
        <f t="shared" si="1106"/>
        <v>1</v>
      </c>
      <c r="G815" s="80">
        <f t="shared" si="1106"/>
        <v>1</v>
      </c>
      <c r="H815" s="80">
        <f t="shared" si="1106"/>
        <v>1</v>
      </c>
      <c r="I815" s="80">
        <f t="shared" si="1106"/>
        <v>1</v>
      </c>
      <c r="J815" s="80">
        <f t="shared" si="1106"/>
        <v>1</v>
      </c>
      <c r="K815" s="80">
        <f t="shared" si="1106"/>
        <v>1</v>
      </c>
      <c r="L815" s="80">
        <f t="shared" si="1106"/>
        <v>1</v>
      </c>
      <c r="M815" s="80">
        <f t="shared" si="1106"/>
        <v>1</v>
      </c>
      <c r="N815" s="80">
        <f t="shared" si="1106"/>
        <v>1</v>
      </c>
      <c r="O815" s="80">
        <f t="shared" si="1106"/>
        <v>1</v>
      </c>
      <c r="P815" s="80">
        <f t="shared" si="1106"/>
        <v>1</v>
      </c>
      <c r="Q815" s="80">
        <f t="shared" si="1106"/>
        <v>1</v>
      </c>
      <c r="R815" s="80">
        <f t="shared" si="1106"/>
        <v>1</v>
      </c>
      <c r="S815" s="80">
        <f t="shared" si="1106"/>
        <v>1</v>
      </c>
      <c r="T815" s="80">
        <f t="shared" si="1106"/>
        <v>1</v>
      </c>
      <c r="U815" s="80">
        <f t="shared" si="1106"/>
        <v>1</v>
      </c>
      <c r="V815" s="80">
        <f t="shared" si="1106"/>
        <v>1</v>
      </c>
      <c r="W815" s="80">
        <f t="shared" si="1106"/>
        <v>1</v>
      </c>
      <c r="X815" s="80">
        <f t="shared" si="1106"/>
        <v>1</v>
      </c>
      <c r="Y815" s="80">
        <f t="shared" si="1106"/>
        <v>1</v>
      </c>
    </row>
    <row r="816" ht="16.5" spans="2:25">
      <c r="B816" s="65">
        <v>176</v>
      </c>
      <c r="C816" s="80">
        <f t="shared" si="1059"/>
        <v>20686</v>
      </c>
      <c r="D816" s="80">
        <f t="shared" ref="D816:Y816" si="1107">IF($C816&gt;D$337,1,0)</f>
        <v>1</v>
      </c>
      <c r="E816" s="80">
        <f t="shared" si="1107"/>
        <v>1</v>
      </c>
      <c r="F816" s="80">
        <f t="shared" si="1107"/>
        <v>1</v>
      </c>
      <c r="G816" s="80">
        <f t="shared" si="1107"/>
        <v>1</v>
      </c>
      <c r="H816" s="80">
        <f t="shared" si="1107"/>
        <v>1</v>
      </c>
      <c r="I816" s="80">
        <f t="shared" si="1107"/>
        <v>1</v>
      </c>
      <c r="J816" s="80">
        <f t="shared" si="1107"/>
        <v>1</v>
      </c>
      <c r="K816" s="80">
        <f t="shared" si="1107"/>
        <v>1</v>
      </c>
      <c r="L816" s="80">
        <f t="shared" si="1107"/>
        <v>1</v>
      </c>
      <c r="M816" s="80">
        <f t="shared" si="1107"/>
        <v>1</v>
      </c>
      <c r="N816" s="80">
        <f t="shared" si="1107"/>
        <v>1</v>
      </c>
      <c r="O816" s="80">
        <f t="shared" si="1107"/>
        <v>1</v>
      </c>
      <c r="P816" s="80">
        <f t="shared" si="1107"/>
        <v>1</v>
      </c>
      <c r="Q816" s="80">
        <f t="shared" si="1107"/>
        <v>1</v>
      </c>
      <c r="R816" s="80">
        <f t="shared" si="1107"/>
        <v>1</v>
      </c>
      <c r="S816" s="80">
        <f t="shared" si="1107"/>
        <v>1</v>
      </c>
      <c r="T816" s="80">
        <f t="shared" si="1107"/>
        <v>1</v>
      </c>
      <c r="U816" s="80">
        <f t="shared" si="1107"/>
        <v>1</v>
      </c>
      <c r="V816" s="80">
        <f t="shared" si="1107"/>
        <v>1</v>
      </c>
      <c r="W816" s="80">
        <f t="shared" si="1107"/>
        <v>1</v>
      </c>
      <c r="X816" s="80">
        <f t="shared" si="1107"/>
        <v>1</v>
      </c>
      <c r="Y816" s="80">
        <f t="shared" si="1107"/>
        <v>1</v>
      </c>
    </row>
    <row r="817" ht="16.5" spans="2:25">
      <c r="B817" s="65">
        <v>177</v>
      </c>
      <c r="C817" s="80">
        <f t="shared" si="1059"/>
        <v>20796</v>
      </c>
      <c r="D817" s="80">
        <f t="shared" ref="D817:Y817" si="1108">IF($C817&gt;D$337,1,0)</f>
        <v>1</v>
      </c>
      <c r="E817" s="80">
        <f t="shared" si="1108"/>
        <v>1</v>
      </c>
      <c r="F817" s="80">
        <f t="shared" si="1108"/>
        <v>1</v>
      </c>
      <c r="G817" s="80">
        <f t="shared" si="1108"/>
        <v>1</v>
      </c>
      <c r="H817" s="80">
        <f t="shared" si="1108"/>
        <v>1</v>
      </c>
      <c r="I817" s="80">
        <f t="shared" si="1108"/>
        <v>1</v>
      </c>
      <c r="J817" s="80">
        <f t="shared" si="1108"/>
        <v>1</v>
      </c>
      <c r="K817" s="80">
        <f t="shared" si="1108"/>
        <v>1</v>
      </c>
      <c r="L817" s="80">
        <f t="shared" si="1108"/>
        <v>1</v>
      </c>
      <c r="M817" s="80">
        <f t="shared" si="1108"/>
        <v>1</v>
      </c>
      <c r="N817" s="80">
        <f t="shared" si="1108"/>
        <v>1</v>
      </c>
      <c r="O817" s="80">
        <f t="shared" si="1108"/>
        <v>1</v>
      </c>
      <c r="P817" s="80">
        <f t="shared" si="1108"/>
        <v>1</v>
      </c>
      <c r="Q817" s="80">
        <f t="shared" si="1108"/>
        <v>1</v>
      </c>
      <c r="R817" s="80">
        <f t="shared" si="1108"/>
        <v>1</v>
      </c>
      <c r="S817" s="80">
        <f t="shared" si="1108"/>
        <v>1</v>
      </c>
      <c r="T817" s="80">
        <f t="shared" si="1108"/>
        <v>1</v>
      </c>
      <c r="U817" s="80">
        <f t="shared" si="1108"/>
        <v>1</v>
      </c>
      <c r="V817" s="80">
        <f t="shared" si="1108"/>
        <v>1</v>
      </c>
      <c r="W817" s="80">
        <f t="shared" si="1108"/>
        <v>1</v>
      </c>
      <c r="X817" s="80">
        <f t="shared" si="1108"/>
        <v>1</v>
      </c>
      <c r="Y817" s="80">
        <f t="shared" si="1108"/>
        <v>1</v>
      </c>
    </row>
    <row r="818" ht="16.5" spans="2:25">
      <c r="B818" s="65">
        <v>178</v>
      </c>
      <c r="C818" s="80">
        <f t="shared" si="1059"/>
        <v>20906</v>
      </c>
      <c r="D818" s="80">
        <f t="shared" ref="D818:Y818" si="1109">IF($C818&gt;D$337,1,0)</f>
        <v>1</v>
      </c>
      <c r="E818" s="80">
        <f t="shared" si="1109"/>
        <v>1</v>
      </c>
      <c r="F818" s="80">
        <f t="shared" si="1109"/>
        <v>1</v>
      </c>
      <c r="G818" s="80">
        <f t="shared" si="1109"/>
        <v>1</v>
      </c>
      <c r="H818" s="80">
        <f t="shared" si="1109"/>
        <v>1</v>
      </c>
      <c r="I818" s="80">
        <f t="shared" si="1109"/>
        <v>1</v>
      </c>
      <c r="J818" s="80">
        <f t="shared" si="1109"/>
        <v>1</v>
      </c>
      <c r="K818" s="80">
        <f t="shared" si="1109"/>
        <v>1</v>
      </c>
      <c r="L818" s="80">
        <f t="shared" si="1109"/>
        <v>1</v>
      </c>
      <c r="M818" s="80">
        <f t="shared" si="1109"/>
        <v>1</v>
      </c>
      <c r="N818" s="80">
        <f t="shared" si="1109"/>
        <v>1</v>
      </c>
      <c r="O818" s="80">
        <f t="shared" si="1109"/>
        <v>1</v>
      </c>
      <c r="P818" s="80">
        <f t="shared" si="1109"/>
        <v>1</v>
      </c>
      <c r="Q818" s="80">
        <f t="shared" si="1109"/>
        <v>1</v>
      </c>
      <c r="R818" s="80">
        <f t="shared" si="1109"/>
        <v>1</v>
      </c>
      <c r="S818" s="80">
        <f t="shared" si="1109"/>
        <v>1</v>
      </c>
      <c r="T818" s="80">
        <f t="shared" si="1109"/>
        <v>1</v>
      </c>
      <c r="U818" s="80">
        <f t="shared" si="1109"/>
        <v>1</v>
      </c>
      <c r="V818" s="80">
        <f t="shared" si="1109"/>
        <v>1</v>
      </c>
      <c r="W818" s="80">
        <f t="shared" si="1109"/>
        <v>1</v>
      </c>
      <c r="X818" s="80">
        <f t="shared" si="1109"/>
        <v>1</v>
      </c>
      <c r="Y818" s="80">
        <f t="shared" si="1109"/>
        <v>1</v>
      </c>
    </row>
    <row r="819" ht="16.5" spans="2:25">
      <c r="B819" s="65">
        <v>179</v>
      </c>
      <c r="C819" s="80">
        <f t="shared" si="1059"/>
        <v>21016</v>
      </c>
      <c r="D819" s="80">
        <f t="shared" ref="D819:Y819" si="1110">IF($C819&gt;D$337,1,0)</f>
        <v>1</v>
      </c>
      <c r="E819" s="80">
        <f t="shared" si="1110"/>
        <v>1</v>
      </c>
      <c r="F819" s="80">
        <f t="shared" si="1110"/>
        <v>1</v>
      </c>
      <c r="G819" s="80">
        <f t="shared" si="1110"/>
        <v>1</v>
      </c>
      <c r="H819" s="80">
        <f t="shared" si="1110"/>
        <v>1</v>
      </c>
      <c r="I819" s="80">
        <f t="shared" si="1110"/>
        <v>1</v>
      </c>
      <c r="J819" s="80">
        <f t="shared" si="1110"/>
        <v>1</v>
      </c>
      <c r="K819" s="80">
        <f t="shared" si="1110"/>
        <v>1</v>
      </c>
      <c r="L819" s="80">
        <f t="shared" si="1110"/>
        <v>1</v>
      </c>
      <c r="M819" s="80">
        <f t="shared" si="1110"/>
        <v>1</v>
      </c>
      <c r="N819" s="80">
        <f t="shared" si="1110"/>
        <v>1</v>
      </c>
      <c r="O819" s="80">
        <f t="shared" si="1110"/>
        <v>1</v>
      </c>
      <c r="P819" s="80">
        <f t="shared" si="1110"/>
        <v>1</v>
      </c>
      <c r="Q819" s="80">
        <f t="shared" si="1110"/>
        <v>1</v>
      </c>
      <c r="R819" s="80">
        <f t="shared" si="1110"/>
        <v>1</v>
      </c>
      <c r="S819" s="80">
        <f t="shared" si="1110"/>
        <v>1</v>
      </c>
      <c r="T819" s="80">
        <f t="shared" si="1110"/>
        <v>1</v>
      </c>
      <c r="U819" s="80">
        <f t="shared" si="1110"/>
        <v>1</v>
      </c>
      <c r="V819" s="80">
        <f t="shared" si="1110"/>
        <v>1</v>
      </c>
      <c r="W819" s="80">
        <f t="shared" si="1110"/>
        <v>1</v>
      </c>
      <c r="X819" s="80">
        <f t="shared" si="1110"/>
        <v>1</v>
      </c>
      <c r="Y819" s="80">
        <f t="shared" si="1110"/>
        <v>1</v>
      </c>
    </row>
    <row r="820" ht="16.5" spans="2:25">
      <c r="B820" s="65">
        <v>180</v>
      </c>
      <c r="C820" s="80">
        <f t="shared" si="1059"/>
        <v>21126</v>
      </c>
      <c r="D820" s="80">
        <f t="shared" ref="D820:Y820" si="1111">IF($C820&gt;D$337,1,0)</f>
        <v>1</v>
      </c>
      <c r="E820" s="80">
        <f t="shared" si="1111"/>
        <v>1</v>
      </c>
      <c r="F820" s="80">
        <f t="shared" si="1111"/>
        <v>1</v>
      </c>
      <c r="G820" s="80">
        <f t="shared" si="1111"/>
        <v>1</v>
      </c>
      <c r="H820" s="80">
        <f t="shared" si="1111"/>
        <v>1</v>
      </c>
      <c r="I820" s="80">
        <f t="shared" si="1111"/>
        <v>1</v>
      </c>
      <c r="J820" s="80">
        <f t="shared" si="1111"/>
        <v>1</v>
      </c>
      <c r="K820" s="80">
        <f t="shared" si="1111"/>
        <v>1</v>
      </c>
      <c r="L820" s="80">
        <f t="shared" si="1111"/>
        <v>1</v>
      </c>
      <c r="M820" s="80">
        <f t="shared" si="1111"/>
        <v>1</v>
      </c>
      <c r="N820" s="80">
        <f t="shared" si="1111"/>
        <v>1</v>
      </c>
      <c r="O820" s="80">
        <f t="shared" si="1111"/>
        <v>1</v>
      </c>
      <c r="P820" s="80">
        <f t="shared" si="1111"/>
        <v>1</v>
      </c>
      <c r="Q820" s="80">
        <f t="shared" si="1111"/>
        <v>1</v>
      </c>
      <c r="R820" s="80">
        <f t="shared" si="1111"/>
        <v>1</v>
      </c>
      <c r="S820" s="80">
        <f t="shared" si="1111"/>
        <v>1</v>
      </c>
      <c r="T820" s="80">
        <f t="shared" si="1111"/>
        <v>1</v>
      </c>
      <c r="U820" s="80">
        <f t="shared" si="1111"/>
        <v>1</v>
      </c>
      <c r="V820" s="80">
        <f t="shared" si="1111"/>
        <v>1</v>
      </c>
      <c r="W820" s="80">
        <f t="shared" si="1111"/>
        <v>1</v>
      </c>
      <c r="X820" s="80">
        <f t="shared" si="1111"/>
        <v>1</v>
      </c>
      <c r="Y820" s="80">
        <f t="shared" si="1111"/>
        <v>1</v>
      </c>
    </row>
    <row r="821" ht="16.5" spans="2:25">
      <c r="B821" s="65">
        <v>181</v>
      </c>
      <c r="C821" s="80">
        <f t="shared" si="1059"/>
        <v>21236</v>
      </c>
      <c r="D821" s="80">
        <f t="shared" ref="D821:Y821" si="1112">IF($C821&gt;D$337,1,0)</f>
        <v>1</v>
      </c>
      <c r="E821" s="80">
        <f t="shared" si="1112"/>
        <v>1</v>
      </c>
      <c r="F821" s="80">
        <f t="shared" si="1112"/>
        <v>1</v>
      </c>
      <c r="G821" s="80">
        <f t="shared" si="1112"/>
        <v>1</v>
      </c>
      <c r="H821" s="80">
        <f t="shared" si="1112"/>
        <v>1</v>
      </c>
      <c r="I821" s="80">
        <f t="shared" si="1112"/>
        <v>1</v>
      </c>
      <c r="J821" s="80">
        <f t="shared" si="1112"/>
        <v>1</v>
      </c>
      <c r="K821" s="80">
        <f t="shared" si="1112"/>
        <v>1</v>
      </c>
      <c r="L821" s="80">
        <f t="shared" si="1112"/>
        <v>1</v>
      </c>
      <c r="M821" s="80">
        <f t="shared" si="1112"/>
        <v>1</v>
      </c>
      <c r="N821" s="80">
        <f t="shared" si="1112"/>
        <v>1</v>
      </c>
      <c r="O821" s="80">
        <f t="shared" si="1112"/>
        <v>1</v>
      </c>
      <c r="P821" s="80">
        <f t="shared" si="1112"/>
        <v>1</v>
      </c>
      <c r="Q821" s="80">
        <f t="shared" si="1112"/>
        <v>1</v>
      </c>
      <c r="R821" s="80">
        <f t="shared" si="1112"/>
        <v>1</v>
      </c>
      <c r="S821" s="80">
        <f t="shared" si="1112"/>
        <v>1</v>
      </c>
      <c r="T821" s="80">
        <f t="shared" si="1112"/>
        <v>1</v>
      </c>
      <c r="U821" s="80">
        <f t="shared" si="1112"/>
        <v>1</v>
      </c>
      <c r="V821" s="80">
        <f t="shared" si="1112"/>
        <v>1</v>
      </c>
      <c r="W821" s="80">
        <f t="shared" si="1112"/>
        <v>1</v>
      </c>
      <c r="X821" s="80">
        <f t="shared" si="1112"/>
        <v>1</v>
      </c>
      <c r="Y821" s="80">
        <f t="shared" si="1112"/>
        <v>1</v>
      </c>
    </row>
    <row r="822" ht="16.5" spans="2:25">
      <c r="B822" s="65">
        <v>182</v>
      </c>
      <c r="C822" s="80">
        <f t="shared" si="1059"/>
        <v>21346</v>
      </c>
      <c r="D822" s="80">
        <f t="shared" ref="D822:Y822" si="1113">IF($C822&gt;D$337,1,0)</f>
        <v>1</v>
      </c>
      <c r="E822" s="80">
        <f t="shared" si="1113"/>
        <v>1</v>
      </c>
      <c r="F822" s="80">
        <f t="shared" si="1113"/>
        <v>1</v>
      </c>
      <c r="G822" s="80">
        <f t="shared" si="1113"/>
        <v>1</v>
      </c>
      <c r="H822" s="80">
        <f t="shared" si="1113"/>
        <v>1</v>
      </c>
      <c r="I822" s="80">
        <f t="shared" si="1113"/>
        <v>1</v>
      </c>
      <c r="J822" s="80">
        <f t="shared" si="1113"/>
        <v>1</v>
      </c>
      <c r="K822" s="80">
        <f t="shared" si="1113"/>
        <v>1</v>
      </c>
      <c r="L822" s="80">
        <f t="shared" si="1113"/>
        <v>1</v>
      </c>
      <c r="M822" s="80">
        <f t="shared" si="1113"/>
        <v>1</v>
      </c>
      <c r="N822" s="80">
        <f t="shared" si="1113"/>
        <v>1</v>
      </c>
      <c r="O822" s="80">
        <f t="shared" si="1113"/>
        <v>1</v>
      </c>
      <c r="P822" s="80">
        <f t="shared" si="1113"/>
        <v>1</v>
      </c>
      <c r="Q822" s="80">
        <f t="shared" si="1113"/>
        <v>1</v>
      </c>
      <c r="R822" s="80">
        <f t="shared" si="1113"/>
        <v>1</v>
      </c>
      <c r="S822" s="80">
        <f t="shared" si="1113"/>
        <v>1</v>
      </c>
      <c r="T822" s="80">
        <f t="shared" si="1113"/>
        <v>1</v>
      </c>
      <c r="U822" s="80">
        <f t="shared" si="1113"/>
        <v>1</v>
      </c>
      <c r="V822" s="80">
        <f t="shared" si="1113"/>
        <v>1</v>
      </c>
      <c r="W822" s="80">
        <f t="shared" si="1113"/>
        <v>1</v>
      </c>
      <c r="X822" s="80">
        <f t="shared" si="1113"/>
        <v>1</v>
      </c>
      <c r="Y822" s="80">
        <f t="shared" si="1113"/>
        <v>1</v>
      </c>
    </row>
    <row r="823" ht="16.5" spans="2:25">
      <c r="B823" s="65">
        <v>183</v>
      </c>
      <c r="C823" s="80">
        <f t="shared" si="1059"/>
        <v>21456</v>
      </c>
      <c r="D823" s="80">
        <f t="shared" ref="D823:Y823" si="1114">IF($C823&gt;D$337,1,0)</f>
        <v>1</v>
      </c>
      <c r="E823" s="80">
        <f t="shared" si="1114"/>
        <v>1</v>
      </c>
      <c r="F823" s="80">
        <f t="shared" si="1114"/>
        <v>1</v>
      </c>
      <c r="G823" s="80">
        <f t="shared" si="1114"/>
        <v>1</v>
      </c>
      <c r="H823" s="80">
        <f t="shared" si="1114"/>
        <v>1</v>
      </c>
      <c r="I823" s="80">
        <f t="shared" si="1114"/>
        <v>1</v>
      </c>
      <c r="J823" s="80">
        <f t="shared" si="1114"/>
        <v>1</v>
      </c>
      <c r="K823" s="80">
        <f t="shared" si="1114"/>
        <v>1</v>
      </c>
      <c r="L823" s="80">
        <f t="shared" si="1114"/>
        <v>1</v>
      </c>
      <c r="M823" s="80">
        <f t="shared" si="1114"/>
        <v>1</v>
      </c>
      <c r="N823" s="80">
        <f t="shared" si="1114"/>
        <v>1</v>
      </c>
      <c r="O823" s="80">
        <f t="shared" si="1114"/>
        <v>1</v>
      </c>
      <c r="P823" s="80">
        <f t="shared" si="1114"/>
        <v>1</v>
      </c>
      <c r="Q823" s="80">
        <f t="shared" si="1114"/>
        <v>1</v>
      </c>
      <c r="R823" s="80">
        <f t="shared" si="1114"/>
        <v>1</v>
      </c>
      <c r="S823" s="80">
        <f t="shared" si="1114"/>
        <v>1</v>
      </c>
      <c r="T823" s="80">
        <f t="shared" si="1114"/>
        <v>1</v>
      </c>
      <c r="U823" s="80">
        <f t="shared" si="1114"/>
        <v>1</v>
      </c>
      <c r="V823" s="80">
        <f t="shared" si="1114"/>
        <v>1</v>
      </c>
      <c r="W823" s="80">
        <f t="shared" si="1114"/>
        <v>1</v>
      </c>
      <c r="X823" s="80">
        <f t="shared" si="1114"/>
        <v>1</v>
      </c>
      <c r="Y823" s="80">
        <f t="shared" si="1114"/>
        <v>1</v>
      </c>
    </row>
    <row r="824" ht="16.5" spans="2:25">
      <c r="B824" s="65">
        <v>184</v>
      </c>
      <c r="C824" s="80">
        <f t="shared" si="1059"/>
        <v>21566</v>
      </c>
      <c r="D824" s="80">
        <f t="shared" ref="D824:Y824" si="1115">IF($C824&gt;D$337,1,0)</f>
        <v>1</v>
      </c>
      <c r="E824" s="80">
        <f t="shared" si="1115"/>
        <v>1</v>
      </c>
      <c r="F824" s="80">
        <f t="shared" si="1115"/>
        <v>1</v>
      </c>
      <c r="G824" s="80">
        <f t="shared" si="1115"/>
        <v>1</v>
      </c>
      <c r="H824" s="80">
        <f t="shared" si="1115"/>
        <v>1</v>
      </c>
      <c r="I824" s="80">
        <f t="shared" si="1115"/>
        <v>1</v>
      </c>
      <c r="J824" s="80">
        <f t="shared" si="1115"/>
        <v>1</v>
      </c>
      <c r="K824" s="80">
        <f t="shared" si="1115"/>
        <v>1</v>
      </c>
      <c r="L824" s="80">
        <f t="shared" si="1115"/>
        <v>1</v>
      </c>
      <c r="M824" s="80">
        <f t="shared" si="1115"/>
        <v>1</v>
      </c>
      <c r="N824" s="80">
        <f t="shared" si="1115"/>
        <v>1</v>
      </c>
      <c r="O824" s="80">
        <f t="shared" si="1115"/>
        <v>1</v>
      </c>
      <c r="P824" s="80">
        <f t="shared" si="1115"/>
        <v>1</v>
      </c>
      <c r="Q824" s="80">
        <f t="shared" si="1115"/>
        <v>1</v>
      </c>
      <c r="R824" s="80">
        <f t="shared" si="1115"/>
        <v>1</v>
      </c>
      <c r="S824" s="80">
        <f t="shared" si="1115"/>
        <v>1</v>
      </c>
      <c r="T824" s="80">
        <f t="shared" si="1115"/>
        <v>1</v>
      </c>
      <c r="U824" s="80">
        <f t="shared" si="1115"/>
        <v>1</v>
      </c>
      <c r="V824" s="80">
        <f t="shared" si="1115"/>
        <v>1</v>
      </c>
      <c r="W824" s="80">
        <f t="shared" si="1115"/>
        <v>1</v>
      </c>
      <c r="X824" s="80">
        <f t="shared" si="1115"/>
        <v>1</v>
      </c>
      <c r="Y824" s="80">
        <f t="shared" si="1115"/>
        <v>1</v>
      </c>
    </row>
    <row r="825" ht="16.5" spans="2:25">
      <c r="B825" s="65">
        <v>185</v>
      </c>
      <c r="C825" s="80">
        <f t="shared" si="1059"/>
        <v>21676</v>
      </c>
      <c r="D825" s="80">
        <f t="shared" ref="D825:Y825" si="1116">IF($C825&gt;D$337,1,0)</f>
        <v>1</v>
      </c>
      <c r="E825" s="80">
        <f t="shared" si="1116"/>
        <v>1</v>
      </c>
      <c r="F825" s="80">
        <f t="shared" si="1116"/>
        <v>1</v>
      </c>
      <c r="G825" s="80">
        <f t="shared" si="1116"/>
        <v>1</v>
      </c>
      <c r="H825" s="80">
        <f t="shared" si="1116"/>
        <v>1</v>
      </c>
      <c r="I825" s="80">
        <f t="shared" si="1116"/>
        <v>1</v>
      </c>
      <c r="J825" s="80">
        <f t="shared" si="1116"/>
        <v>1</v>
      </c>
      <c r="K825" s="80">
        <f t="shared" si="1116"/>
        <v>1</v>
      </c>
      <c r="L825" s="80">
        <f t="shared" si="1116"/>
        <v>1</v>
      </c>
      <c r="M825" s="80">
        <f t="shared" si="1116"/>
        <v>1</v>
      </c>
      <c r="N825" s="80">
        <f t="shared" si="1116"/>
        <v>1</v>
      </c>
      <c r="O825" s="80">
        <f t="shared" si="1116"/>
        <v>1</v>
      </c>
      <c r="P825" s="80">
        <f t="shared" si="1116"/>
        <v>1</v>
      </c>
      <c r="Q825" s="80">
        <f t="shared" si="1116"/>
        <v>1</v>
      </c>
      <c r="R825" s="80">
        <f t="shared" si="1116"/>
        <v>1</v>
      </c>
      <c r="S825" s="80">
        <f t="shared" si="1116"/>
        <v>1</v>
      </c>
      <c r="T825" s="80">
        <f t="shared" si="1116"/>
        <v>1</v>
      </c>
      <c r="U825" s="80">
        <f t="shared" si="1116"/>
        <v>1</v>
      </c>
      <c r="V825" s="80">
        <f t="shared" si="1116"/>
        <v>1</v>
      </c>
      <c r="W825" s="80">
        <f t="shared" si="1116"/>
        <v>1</v>
      </c>
      <c r="X825" s="80">
        <f t="shared" si="1116"/>
        <v>1</v>
      </c>
      <c r="Y825" s="80">
        <f t="shared" si="1116"/>
        <v>1</v>
      </c>
    </row>
    <row r="826" ht="16.5" spans="2:25">
      <c r="B826" s="65">
        <v>186</v>
      </c>
      <c r="C826" s="80">
        <f t="shared" si="1059"/>
        <v>21786</v>
      </c>
      <c r="D826" s="80">
        <f t="shared" ref="D826:Y826" si="1117">IF($C826&gt;D$337,1,0)</f>
        <v>1</v>
      </c>
      <c r="E826" s="80">
        <f t="shared" si="1117"/>
        <v>1</v>
      </c>
      <c r="F826" s="80">
        <f t="shared" si="1117"/>
        <v>1</v>
      </c>
      <c r="G826" s="80">
        <f t="shared" si="1117"/>
        <v>1</v>
      </c>
      <c r="H826" s="80">
        <f t="shared" si="1117"/>
        <v>1</v>
      </c>
      <c r="I826" s="80">
        <f t="shared" si="1117"/>
        <v>1</v>
      </c>
      <c r="J826" s="80">
        <f t="shared" si="1117"/>
        <v>1</v>
      </c>
      <c r="K826" s="80">
        <f t="shared" si="1117"/>
        <v>1</v>
      </c>
      <c r="L826" s="80">
        <f t="shared" si="1117"/>
        <v>1</v>
      </c>
      <c r="M826" s="80">
        <f t="shared" si="1117"/>
        <v>1</v>
      </c>
      <c r="N826" s="80">
        <f t="shared" si="1117"/>
        <v>1</v>
      </c>
      <c r="O826" s="80">
        <f t="shared" si="1117"/>
        <v>1</v>
      </c>
      <c r="P826" s="80">
        <f t="shared" si="1117"/>
        <v>1</v>
      </c>
      <c r="Q826" s="80">
        <f t="shared" si="1117"/>
        <v>1</v>
      </c>
      <c r="R826" s="80">
        <f t="shared" si="1117"/>
        <v>1</v>
      </c>
      <c r="S826" s="80">
        <f t="shared" si="1117"/>
        <v>1</v>
      </c>
      <c r="T826" s="80">
        <f t="shared" si="1117"/>
        <v>1</v>
      </c>
      <c r="U826" s="80">
        <f t="shared" si="1117"/>
        <v>1</v>
      </c>
      <c r="V826" s="80">
        <f t="shared" si="1117"/>
        <v>1</v>
      </c>
      <c r="W826" s="80">
        <f t="shared" si="1117"/>
        <v>1</v>
      </c>
      <c r="X826" s="80">
        <f t="shared" si="1117"/>
        <v>1</v>
      </c>
      <c r="Y826" s="80">
        <f t="shared" si="1117"/>
        <v>1</v>
      </c>
    </row>
    <row r="827" ht="16.5" spans="2:25">
      <c r="B827" s="65">
        <v>187</v>
      </c>
      <c r="C827" s="80">
        <f t="shared" si="1059"/>
        <v>21896</v>
      </c>
      <c r="D827" s="80">
        <f t="shared" ref="D827:Y827" si="1118">IF($C827&gt;D$337,1,0)</f>
        <v>1</v>
      </c>
      <c r="E827" s="80">
        <f t="shared" si="1118"/>
        <v>1</v>
      </c>
      <c r="F827" s="80">
        <f t="shared" si="1118"/>
        <v>1</v>
      </c>
      <c r="G827" s="80">
        <f t="shared" si="1118"/>
        <v>1</v>
      </c>
      <c r="H827" s="80">
        <f t="shared" si="1118"/>
        <v>1</v>
      </c>
      <c r="I827" s="80">
        <f t="shared" si="1118"/>
        <v>1</v>
      </c>
      <c r="J827" s="80">
        <f t="shared" si="1118"/>
        <v>1</v>
      </c>
      <c r="K827" s="80">
        <f t="shared" si="1118"/>
        <v>1</v>
      </c>
      <c r="L827" s="80">
        <f t="shared" si="1118"/>
        <v>1</v>
      </c>
      <c r="M827" s="80">
        <f t="shared" si="1118"/>
        <v>1</v>
      </c>
      <c r="N827" s="80">
        <f t="shared" si="1118"/>
        <v>1</v>
      </c>
      <c r="O827" s="80">
        <f t="shared" si="1118"/>
        <v>1</v>
      </c>
      <c r="P827" s="80">
        <f t="shared" si="1118"/>
        <v>1</v>
      </c>
      <c r="Q827" s="80">
        <f t="shared" si="1118"/>
        <v>1</v>
      </c>
      <c r="R827" s="80">
        <f t="shared" si="1118"/>
        <v>1</v>
      </c>
      <c r="S827" s="80">
        <f t="shared" si="1118"/>
        <v>1</v>
      </c>
      <c r="T827" s="80">
        <f t="shared" si="1118"/>
        <v>1</v>
      </c>
      <c r="U827" s="80">
        <f t="shared" si="1118"/>
        <v>1</v>
      </c>
      <c r="V827" s="80">
        <f t="shared" si="1118"/>
        <v>1</v>
      </c>
      <c r="W827" s="80">
        <f t="shared" si="1118"/>
        <v>1</v>
      </c>
      <c r="X827" s="80">
        <f t="shared" si="1118"/>
        <v>1</v>
      </c>
      <c r="Y827" s="80">
        <f t="shared" si="1118"/>
        <v>1</v>
      </c>
    </row>
    <row r="828" ht="16.5" spans="2:25">
      <c r="B828" s="65">
        <v>188</v>
      </c>
      <c r="C828" s="80">
        <f t="shared" si="1059"/>
        <v>22006</v>
      </c>
      <c r="D828" s="80">
        <f t="shared" ref="D828:Y828" si="1119">IF($C828&gt;D$337,1,0)</f>
        <v>1</v>
      </c>
      <c r="E828" s="80">
        <f t="shared" si="1119"/>
        <v>1</v>
      </c>
      <c r="F828" s="80">
        <f t="shared" si="1119"/>
        <v>1</v>
      </c>
      <c r="G828" s="80">
        <f t="shared" si="1119"/>
        <v>1</v>
      </c>
      <c r="H828" s="80">
        <f t="shared" si="1119"/>
        <v>1</v>
      </c>
      <c r="I828" s="80">
        <f t="shared" si="1119"/>
        <v>1</v>
      </c>
      <c r="J828" s="80">
        <f t="shared" si="1119"/>
        <v>1</v>
      </c>
      <c r="K828" s="80">
        <f t="shared" si="1119"/>
        <v>1</v>
      </c>
      <c r="L828" s="80">
        <f t="shared" si="1119"/>
        <v>1</v>
      </c>
      <c r="M828" s="80">
        <f t="shared" si="1119"/>
        <v>1</v>
      </c>
      <c r="N828" s="80">
        <f t="shared" si="1119"/>
        <v>1</v>
      </c>
      <c r="O828" s="80">
        <f t="shared" si="1119"/>
        <v>1</v>
      </c>
      <c r="P828" s="80">
        <f t="shared" si="1119"/>
        <v>1</v>
      </c>
      <c r="Q828" s="80">
        <f t="shared" si="1119"/>
        <v>1</v>
      </c>
      <c r="R828" s="80">
        <f t="shared" si="1119"/>
        <v>1</v>
      </c>
      <c r="S828" s="80">
        <f t="shared" si="1119"/>
        <v>1</v>
      </c>
      <c r="T828" s="80">
        <f t="shared" si="1119"/>
        <v>1</v>
      </c>
      <c r="U828" s="80">
        <f t="shared" si="1119"/>
        <v>1</v>
      </c>
      <c r="V828" s="80">
        <f t="shared" si="1119"/>
        <v>1</v>
      </c>
      <c r="W828" s="80">
        <f t="shared" si="1119"/>
        <v>1</v>
      </c>
      <c r="X828" s="80">
        <f t="shared" si="1119"/>
        <v>1</v>
      </c>
      <c r="Y828" s="80">
        <f t="shared" si="1119"/>
        <v>1</v>
      </c>
    </row>
    <row r="829" ht="16.5" spans="2:25">
      <c r="B829" s="65">
        <v>189</v>
      </c>
      <c r="C829" s="80">
        <f t="shared" si="1059"/>
        <v>22116</v>
      </c>
      <c r="D829" s="80">
        <f t="shared" ref="D829:Y829" si="1120">IF($C829&gt;D$337,1,0)</f>
        <v>1</v>
      </c>
      <c r="E829" s="80">
        <f t="shared" si="1120"/>
        <v>1</v>
      </c>
      <c r="F829" s="80">
        <f t="shared" si="1120"/>
        <v>1</v>
      </c>
      <c r="G829" s="80">
        <f t="shared" si="1120"/>
        <v>1</v>
      </c>
      <c r="H829" s="80">
        <f t="shared" si="1120"/>
        <v>1</v>
      </c>
      <c r="I829" s="80">
        <f t="shared" si="1120"/>
        <v>1</v>
      </c>
      <c r="J829" s="80">
        <f t="shared" si="1120"/>
        <v>1</v>
      </c>
      <c r="K829" s="80">
        <f t="shared" si="1120"/>
        <v>1</v>
      </c>
      <c r="L829" s="80">
        <f t="shared" si="1120"/>
        <v>1</v>
      </c>
      <c r="M829" s="80">
        <f t="shared" si="1120"/>
        <v>1</v>
      </c>
      <c r="N829" s="80">
        <f t="shared" si="1120"/>
        <v>1</v>
      </c>
      <c r="O829" s="80">
        <f t="shared" si="1120"/>
        <v>1</v>
      </c>
      <c r="P829" s="80">
        <f t="shared" si="1120"/>
        <v>1</v>
      </c>
      <c r="Q829" s="80">
        <f t="shared" si="1120"/>
        <v>1</v>
      </c>
      <c r="R829" s="80">
        <f t="shared" si="1120"/>
        <v>1</v>
      </c>
      <c r="S829" s="80">
        <f t="shared" si="1120"/>
        <v>1</v>
      </c>
      <c r="T829" s="80">
        <f t="shared" si="1120"/>
        <v>1</v>
      </c>
      <c r="U829" s="80">
        <f t="shared" si="1120"/>
        <v>1</v>
      </c>
      <c r="V829" s="80">
        <f t="shared" si="1120"/>
        <v>1</v>
      </c>
      <c r="W829" s="80">
        <f t="shared" si="1120"/>
        <v>1</v>
      </c>
      <c r="X829" s="80">
        <f t="shared" si="1120"/>
        <v>1</v>
      </c>
      <c r="Y829" s="80">
        <f t="shared" si="1120"/>
        <v>1</v>
      </c>
    </row>
    <row r="830" ht="16.5" spans="2:25">
      <c r="B830" s="65">
        <v>190</v>
      </c>
      <c r="C830" s="80">
        <f t="shared" si="1059"/>
        <v>22226</v>
      </c>
      <c r="D830" s="80">
        <f t="shared" ref="D830:Y830" si="1121">IF($C830&gt;D$337,1,0)</f>
        <v>1</v>
      </c>
      <c r="E830" s="80">
        <f t="shared" si="1121"/>
        <v>1</v>
      </c>
      <c r="F830" s="80">
        <f t="shared" si="1121"/>
        <v>1</v>
      </c>
      <c r="G830" s="80">
        <f t="shared" si="1121"/>
        <v>1</v>
      </c>
      <c r="H830" s="80">
        <f t="shared" si="1121"/>
        <v>1</v>
      </c>
      <c r="I830" s="80">
        <f t="shared" si="1121"/>
        <v>1</v>
      </c>
      <c r="J830" s="80">
        <f t="shared" si="1121"/>
        <v>1</v>
      </c>
      <c r="K830" s="80">
        <f t="shared" si="1121"/>
        <v>1</v>
      </c>
      <c r="L830" s="80">
        <f t="shared" si="1121"/>
        <v>1</v>
      </c>
      <c r="M830" s="80">
        <f t="shared" si="1121"/>
        <v>1</v>
      </c>
      <c r="N830" s="80">
        <f t="shared" si="1121"/>
        <v>1</v>
      </c>
      <c r="O830" s="80">
        <f t="shared" si="1121"/>
        <v>1</v>
      </c>
      <c r="P830" s="80">
        <f t="shared" si="1121"/>
        <v>1</v>
      </c>
      <c r="Q830" s="80">
        <f t="shared" si="1121"/>
        <v>1</v>
      </c>
      <c r="R830" s="80">
        <f t="shared" si="1121"/>
        <v>1</v>
      </c>
      <c r="S830" s="80">
        <f t="shared" si="1121"/>
        <v>1</v>
      </c>
      <c r="T830" s="80">
        <f t="shared" si="1121"/>
        <v>1</v>
      </c>
      <c r="U830" s="80">
        <f t="shared" si="1121"/>
        <v>1</v>
      </c>
      <c r="V830" s="80">
        <f t="shared" si="1121"/>
        <v>1</v>
      </c>
      <c r="W830" s="80">
        <f t="shared" si="1121"/>
        <v>1</v>
      </c>
      <c r="X830" s="80">
        <f t="shared" si="1121"/>
        <v>1</v>
      </c>
      <c r="Y830" s="80">
        <f t="shared" si="1121"/>
        <v>1</v>
      </c>
    </row>
    <row r="831" ht="16.5" spans="2:25">
      <c r="B831" s="65">
        <v>191</v>
      </c>
      <c r="C831" s="80">
        <f t="shared" si="1059"/>
        <v>22336</v>
      </c>
      <c r="D831" s="80">
        <f t="shared" ref="D831:Y831" si="1122">IF($C831&gt;D$337,1,0)</f>
        <v>1</v>
      </c>
      <c r="E831" s="80">
        <f t="shared" si="1122"/>
        <v>1</v>
      </c>
      <c r="F831" s="80">
        <f t="shared" si="1122"/>
        <v>1</v>
      </c>
      <c r="G831" s="80">
        <f t="shared" si="1122"/>
        <v>1</v>
      </c>
      <c r="H831" s="80">
        <f t="shared" si="1122"/>
        <v>1</v>
      </c>
      <c r="I831" s="80">
        <f t="shared" si="1122"/>
        <v>1</v>
      </c>
      <c r="J831" s="80">
        <f t="shared" si="1122"/>
        <v>1</v>
      </c>
      <c r="K831" s="80">
        <f t="shared" si="1122"/>
        <v>1</v>
      </c>
      <c r="L831" s="80">
        <f t="shared" si="1122"/>
        <v>1</v>
      </c>
      <c r="M831" s="80">
        <f t="shared" si="1122"/>
        <v>1</v>
      </c>
      <c r="N831" s="80">
        <f t="shared" si="1122"/>
        <v>1</v>
      </c>
      <c r="O831" s="80">
        <f t="shared" si="1122"/>
        <v>1</v>
      </c>
      <c r="P831" s="80">
        <f t="shared" si="1122"/>
        <v>1</v>
      </c>
      <c r="Q831" s="80">
        <f t="shared" si="1122"/>
        <v>1</v>
      </c>
      <c r="R831" s="80">
        <f t="shared" si="1122"/>
        <v>1</v>
      </c>
      <c r="S831" s="80">
        <f t="shared" si="1122"/>
        <v>1</v>
      </c>
      <c r="T831" s="80">
        <f t="shared" si="1122"/>
        <v>1</v>
      </c>
      <c r="U831" s="80">
        <f t="shared" si="1122"/>
        <v>1</v>
      </c>
      <c r="V831" s="80">
        <f t="shared" si="1122"/>
        <v>1</v>
      </c>
      <c r="W831" s="80">
        <f t="shared" si="1122"/>
        <v>1</v>
      </c>
      <c r="X831" s="80">
        <f t="shared" si="1122"/>
        <v>1</v>
      </c>
      <c r="Y831" s="80">
        <f t="shared" si="1122"/>
        <v>1</v>
      </c>
    </row>
    <row r="832" ht="16.5" spans="2:25">
      <c r="B832" s="65">
        <v>192</v>
      </c>
      <c r="C832" s="80">
        <f t="shared" si="1059"/>
        <v>22446</v>
      </c>
      <c r="D832" s="80">
        <f t="shared" ref="D832:Y832" si="1123">IF($C832&gt;D$337,1,0)</f>
        <v>1</v>
      </c>
      <c r="E832" s="80">
        <f t="shared" si="1123"/>
        <v>1</v>
      </c>
      <c r="F832" s="80">
        <f t="shared" si="1123"/>
        <v>1</v>
      </c>
      <c r="G832" s="80">
        <f t="shared" si="1123"/>
        <v>1</v>
      </c>
      <c r="H832" s="80">
        <f t="shared" si="1123"/>
        <v>1</v>
      </c>
      <c r="I832" s="80">
        <f t="shared" si="1123"/>
        <v>1</v>
      </c>
      <c r="J832" s="80">
        <f t="shared" si="1123"/>
        <v>1</v>
      </c>
      <c r="K832" s="80">
        <f t="shared" si="1123"/>
        <v>1</v>
      </c>
      <c r="L832" s="80">
        <f t="shared" si="1123"/>
        <v>1</v>
      </c>
      <c r="M832" s="80">
        <f t="shared" si="1123"/>
        <v>1</v>
      </c>
      <c r="N832" s="80">
        <f t="shared" si="1123"/>
        <v>1</v>
      </c>
      <c r="O832" s="80">
        <f t="shared" si="1123"/>
        <v>1</v>
      </c>
      <c r="P832" s="80">
        <f t="shared" si="1123"/>
        <v>1</v>
      </c>
      <c r="Q832" s="80">
        <f t="shared" si="1123"/>
        <v>1</v>
      </c>
      <c r="R832" s="80">
        <f t="shared" si="1123"/>
        <v>1</v>
      </c>
      <c r="S832" s="80">
        <f t="shared" si="1123"/>
        <v>1</v>
      </c>
      <c r="T832" s="80">
        <f t="shared" si="1123"/>
        <v>1</v>
      </c>
      <c r="U832" s="80">
        <f t="shared" si="1123"/>
        <v>1</v>
      </c>
      <c r="V832" s="80">
        <f t="shared" si="1123"/>
        <v>1</v>
      </c>
      <c r="W832" s="80">
        <f t="shared" si="1123"/>
        <v>1</v>
      </c>
      <c r="X832" s="80">
        <f t="shared" si="1123"/>
        <v>1</v>
      </c>
      <c r="Y832" s="80">
        <f t="shared" si="1123"/>
        <v>1</v>
      </c>
    </row>
    <row r="833" ht="16.5" spans="2:25">
      <c r="B833" s="65">
        <v>193</v>
      </c>
      <c r="C833" s="80">
        <f t="shared" ref="C833:C896" si="1124">C531</f>
        <v>22556</v>
      </c>
      <c r="D833" s="80">
        <f t="shared" ref="D833:Y833" si="1125">IF($C833&gt;D$337,1,0)</f>
        <v>1</v>
      </c>
      <c r="E833" s="80">
        <f t="shared" si="1125"/>
        <v>1</v>
      </c>
      <c r="F833" s="80">
        <f t="shared" si="1125"/>
        <v>1</v>
      </c>
      <c r="G833" s="80">
        <f t="shared" si="1125"/>
        <v>1</v>
      </c>
      <c r="H833" s="80">
        <f t="shared" si="1125"/>
        <v>1</v>
      </c>
      <c r="I833" s="80">
        <f t="shared" si="1125"/>
        <v>1</v>
      </c>
      <c r="J833" s="80">
        <f t="shared" si="1125"/>
        <v>1</v>
      </c>
      <c r="K833" s="80">
        <f t="shared" si="1125"/>
        <v>1</v>
      </c>
      <c r="L833" s="80">
        <f t="shared" si="1125"/>
        <v>1</v>
      </c>
      <c r="M833" s="80">
        <f t="shared" si="1125"/>
        <v>1</v>
      </c>
      <c r="N833" s="80">
        <f t="shared" si="1125"/>
        <v>1</v>
      </c>
      <c r="O833" s="80">
        <f t="shared" si="1125"/>
        <v>1</v>
      </c>
      <c r="P833" s="80">
        <f t="shared" si="1125"/>
        <v>1</v>
      </c>
      <c r="Q833" s="80">
        <f t="shared" si="1125"/>
        <v>1</v>
      </c>
      <c r="R833" s="80">
        <f t="shared" si="1125"/>
        <v>1</v>
      </c>
      <c r="S833" s="80">
        <f t="shared" si="1125"/>
        <v>1</v>
      </c>
      <c r="T833" s="80">
        <f t="shared" si="1125"/>
        <v>1</v>
      </c>
      <c r="U833" s="80">
        <f t="shared" si="1125"/>
        <v>1</v>
      </c>
      <c r="V833" s="80">
        <f t="shared" si="1125"/>
        <v>1</v>
      </c>
      <c r="W833" s="80">
        <f t="shared" si="1125"/>
        <v>1</v>
      </c>
      <c r="X833" s="80">
        <f t="shared" si="1125"/>
        <v>1</v>
      </c>
      <c r="Y833" s="80">
        <f t="shared" si="1125"/>
        <v>1</v>
      </c>
    </row>
    <row r="834" ht="16.5" spans="2:25">
      <c r="B834" s="65">
        <v>194</v>
      </c>
      <c r="C834" s="80">
        <f t="shared" si="1124"/>
        <v>22666</v>
      </c>
      <c r="D834" s="80">
        <f t="shared" ref="D834:Y834" si="1126">IF($C834&gt;D$337,1,0)</f>
        <v>1</v>
      </c>
      <c r="E834" s="80">
        <f t="shared" si="1126"/>
        <v>1</v>
      </c>
      <c r="F834" s="80">
        <f t="shared" si="1126"/>
        <v>1</v>
      </c>
      <c r="G834" s="80">
        <f t="shared" si="1126"/>
        <v>1</v>
      </c>
      <c r="H834" s="80">
        <f t="shared" si="1126"/>
        <v>1</v>
      </c>
      <c r="I834" s="80">
        <f t="shared" si="1126"/>
        <v>1</v>
      </c>
      <c r="J834" s="80">
        <f t="shared" si="1126"/>
        <v>1</v>
      </c>
      <c r="K834" s="80">
        <f t="shared" si="1126"/>
        <v>1</v>
      </c>
      <c r="L834" s="80">
        <f t="shared" si="1126"/>
        <v>1</v>
      </c>
      <c r="M834" s="80">
        <f t="shared" si="1126"/>
        <v>1</v>
      </c>
      <c r="N834" s="80">
        <f t="shared" si="1126"/>
        <v>1</v>
      </c>
      <c r="O834" s="80">
        <f t="shared" si="1126"/>
        <v>1</v>
      </c>
      <c r="P834" s="80">
        <f t="shared" si="1126"/>
        <v>1</v>
      </c>
      <c r="Q834" s="80">
        <f t="shared" si="1126"/>
        <v>1</v>
      </c>
      <c r="R834" s="80">
        <f t="shared" si="1126"/>
        <v>1</v>
      </c>
      <c r="S834" s="80">
        <f t="shared" si="1126"/>
        <v>1</v>
      </c>
      <c r="T834" s="80">
        <f t="shared" si="1126"/>
        <v>1</v>
      </c>
      <c r="U834" s="80">
        <f t="shared" si="1126"/>
        <v>1</v>
      </c>
      <c r="V834" s="80">
        <f t="shared" si="1126"/>
        <v>1</v>
      </c>
      <c r="W834" s="80">
        <f t="shared" si="1126"/>
        <v>1</v>
      </c>
      <c r="X834" s="80">
        <f t="shared" si="1126"/>
        <v>1</v>
      </c>
      <c r="Y834" s="80">
        <f t="shared" si="1126"/>
        <v>1</v>
      </c>
    </row>
    <row r="835" ht="16.5" spans="2:25">
      <c r="B835" s="65">
        <v>195</v>
      </c>
      <c r="C835" s="80">
        <f t="shared" si="1124"/>
        <v>22776</v>
      </c>
      <c r="D835" s="80">
        <f t="shared" ref="D835:Y835" si="1127">IF($C835&gt;D$337,1,0)</f>
        <v>1</v>
      </c>
      <c r="E835" s="80">
        <f t="shared" si="1127"/>
        <v>1</v>
      </c>
      <c r="F835" s="80">
        <f t="shared" si="1127"/>
        <v>1</v>
      </c>
      <c r="G835" s="80">
        <f t="shared" si="1127"/>
        <v>1</v>
      </c>
      <c r="H835" s="80">
        <f t="shared" si="1127"/>
        <v>1</v>
      </c>
      <c r="I835" s="80">
        <f t="shared" si="1127"/>
        <v>1</v>
      </c>
      <c r="J835" s="80">
        <f t="shared" si="1127"/>
        <v>1</v>
      </c>
      <c r="K835" s="80">
        <f t="shared" si="1127"/>
        <v>1</v>
      </c>
      <c r="L835" s="80">
        <f t="shared" si="1127"/>
        <v>1</v>
      </c>
      <c r="M835" s="80">
        <f t="shared" si="1127"/>
        <v>1</v>
      </c>
      <c r="N835" s="80">
        <f t="shared" si="1127"/>
        <v>1</v>
      </c>
      <c r="O835" s="80">
        <f t="shared" si="1127"/>
        <v>1</v>
      </c>
      <c r="P835" s="80">
        <f t="shared" si="1127"/>
        <v>1</v>
      </c>
      <c r="Q835" s="80">
        <f t="shared" si="1127"/>
        <v>1</v>
      </c>
      <c r="R835" s="80">
        <f t="shared" si="1127"/>
        <v>1</v>
      </c>
      <c r="S835" s="80">
        <f t="shared" si="1127"/>
        <v>1</v>
      </c>
      <c r="T835" s="80">
        <f t="shared" si="1127"/>
        <v>1</v>
      </c>
      <c r="U835" s="80">
        <f t="shared" si="1127"/>
        <v>1</v>
      </c>
      <c r="V835" s="80">
        <f t="shared" si="1127"/>
        <v>1</v>
      </c>
      <c r="W835" s="80">
        <f t="shared" si="1127"/>
        <v>1</v>
      </c>
      <c r="X835" s="80">
        <f t="shared" si="1127"/>
        <v>1</v>
      </c>
      <c r="Y835" s="80">
        <f t="shared" si="1127"/>
        <v>1</v>
      </c>
    </row>
    <row r="836" ht="16.5" spans="2:25">
      <c r="B836" s="65">
        <v>196</v>
      </c>
      <c r="C836" s="80">
        <f t="shared" si="1124"/>
        <v>22886</v>
      </c>
      <c r="D836" s="80">
        <f t="shared" ref="D836:Y836" si="1128">IF($C836&gt;D$337,1,0)</f>
        <v>1</v>
      </c>
      <c r="E836" s="80">
        <f t="shared" si="1128"/>
        <v>1</v>
      </c>
      <c r="F836" s="80">
        <f t="shared" si="1128"/>
        <v>1</v>
      </c>
      <c r="G836" s="80">
        <f t="shared" si="1128"/>
        <v>1</v>
      </c>
      <c r="H836" s="80">
        <f t="shared" si="1128"/>
        <v>1</v>
      </c>
      <c r="I836" s="80">
        <f t="shared" si="1128"/>
        <v>1</v>
      </c>
      <c r="J836" s="80">
        <f t="shared" si="1128"/>
        <v>1</v>
      </c>
      <c r="K836" s="80">
        <f t="shared" si="1128"/>
        <v>1</v>
      </c>
      <c r="L836" s="80">
        <f t="shared" si="1128"/>
        <v>1</v>
      </c>
      <c r="M836" s="80">
        <f t="shared" si="1128"/>
        <v>1</v>
      </c>
      <c r="N836" s="80">
        <f t="shared" si="1128"/>
        <v>1</v>
      </c>
      <c r="O836" s="80">
        <f t="shared" si="1128"/>
        <v>1</v>
      </c>
      <c r="P836" s="80">
        <f t="shared" si="1128"/>
        <v>1</v>
      </c>
      <c r="Q836" s="80">
        <f t="shared" si="1128"/>
        <v>1</v>
      </c>
      <c r="R836" s="80">
        <f t="shared" si="1128"/>
        <v>1</v>
      </c>
      <c r="S836" s="80">
        <f t="shared" si="1128"/>
        <v>1</v>
      </c>
      <c r="T836" s="80">
        <f t="shared" si="1128"/>
        <v>1</v>
      </c>
      <c r="U836" s="80">
        <f t="shared" si="1128"/>
        <v>1</v>
      </c>
      <c r="V836" s="80">
        <f t="shared" si="1128"/>
        <v>1</v>
      </c>
      <c r="W836" s="80">
        <f t="shared" si="1128"/>
        <v>1</v>
      </c>
      <c r="X836" s="80">
        <f t="shared" si="1128"/>
        <v>1</v>
      </c>
      <c r="Y836" s="80">
        <f t="shared" si="1128"/>
        <v>1</v>
      </c>
    </row>
    <row r="837" ht="16.5" spans="2:25">
      <c r="B837" s="65">
        <v>197</v>
      </c>
      <c r="C837" s="80">
        <f t="shared" si="1124"/>
        <v>22996</v>
      </c>
      <c r="D837" s="80">
        <f t="shared" ref="D837:Y837" si="1129">IF($C837&gt;D$337,1,0)</f>
        <v>1</v>
      </c>
      <c r="E837" s="80">
        <f t="shared" si="1129"/>
        <v>1</v>
      </c>
      <c r="F837" s="80">
        <f t="shared" si="1129"/>
        <v>1</v>
      </c>
      <c r="G837" s="80">
        <f t="shared" si="1129"/>
        <v>1</v>
      </c>
      <c r="H837" s="80">
        <f t="shared" si="1129"/>
        <v>1</v>
      </c>
      <c r="I837" s="80">
        <f t="shared" si="1129"/>
        <v>1</v>
      </c>
      <c r="J837" s="80">
        <f t="shared" si="1129"/>
        <v>1</v>
      </c>
      <c r="K837" s="80">
        <f t="shared" si="1129"/>
        <v>1</v>
      </c>
      <c r="L837" s="80">
        <f t="shared" si="1129"/>
        <v>1</v>
      </c>
      <c r="M837" s="80">
        <f t="shared" si="1129"/>
        <v>1</v>
      </c>
      <c r="N837" s="80">
        <f t="shared" si="1129"/>
        <v>1</v>
      </c>
      <c r="O837" s="80">
        <f t="shared" si="1129"/>
        <v>1</v>
      </c>
      <c r="P837" s="80">
        <f t="shared" si="1129"/>
        <v>1</v>
      </c>
      <c r="Q837" s="80">
        <f t="shared" si="1129"/>
        <v>1</v>
      </c>
      <c r="R837" s="80">
        <f t="shared" si="1129"/>
        <v>1</v>
      </c>
      <c r="S837" s="80">
        <f t="shared" si="1129"/>
        <v>1</v>
      </c>
      <c r="T837" s="80">
        <f t="shared" si="1129"/>
        <v>1</v>
      </c>
      <c r="U837" s="80">
        <f t="shared" si="1129"/>
        <v>1</v>
      </c>
      <c r="V837" s="80">
        <f t="shared" si="1129"/>
        <v>1</v>
      </c>
      <c r="W837" s="80">
        <f t="shared" si="1129"/>
        <v>1</v>
      </c>
      <c r="X837" s="80">
        <f t="shared" si="1129"/>
        <v>1</v>
      </c>
      <c r="Y837" s="80">
        <f t="shared" si="1129"/>
        <v>1</v>
      </c>
    </row>
    <row r="838" ht="16.5" spans="2:25">
      <c r="B838" s="65">
        <v>198</v>
      </c>
      <c r="C838" s="80">
        <f t="shared" si="1124"/>
        <v>23106</v>
      </c>
      <c r="D838" s="80">
        <f t="shared" ref="D838:Y838" si="1130">IF($C838&gt;D$337,1,0)</f>
        <v>1</v>
      </c>
      <c r="E838" s="80">
        <f t="shared" si="1130"/>
        <v>1</v>
      </c>
      <c r="F838" s="80">
        <f t="shared" si="1130"/>
        <v>1</v>
      </c>
      <c r="G838" s="80">
        <f t="shared" si="1130"/>
        <v>1</v>
      </c>
      <c r="H838" s="80">
        <f t="shared" si="1130"/>
        <v>1</v>
      </c>
      <c r="I838" s="80">
        <f t="shared" si="1130"/>
        <v>1</v>
      </c>
      <c r="J838" s="80">
        <f t="shared" si="1130"/>
        <v>1</v>
      </c>
      <c r="K838" s="80">
        <f t="shared" si="1130"/>
        <v>1</v>
      </c>
      <c r="L838" s="80">
        <f t="shared" si="1130"/>
        <v>1</v>
      </c>
      <c r="M838" s="80">
        <f t="shared" si="1130"/>
        <v>1</v>
      </c>
      <c r="N838" s="80">
        <f t="shared" si="1130"/>
        <v>1</v>
      </c>
      <c r="O838" s="80">
        <f t="shared" si="1130"/>
        <v>1</v>
      </c>
      <c r="P838" s="80">
        <f t="shared" si="1130"/>
        <v>1</v>
      </c>
      <c r="Q838" s="80">
        <f t="shared" si="1130"/>
        <v>1</v>
      </c>
      <c r="R838" s="80">
        <f t="shared" si="1130"/>
        <v>1</v>
      </c>
      <c r="S838" s="80">
        <f t="shared" si="1130"/>
        <v>1</v>
      </c>
      <c r="T838" s="80">
        <f t="shared" si="1130"/>
        <v>1</v>
      </c>
      <c r="U838" s="80">
        <f t="shared" si="1130"/>
        <v>1</v>
      </c>
      <c r="V838" s="80">
        <f t="shared" si="1130"/>
        <v>1</v>
      </c>
      <c r="W838" s="80">
        <f t="shared" si="1130"/>
        <v>1</v>
      </c>
      <c r="X838" s="80">
        <f t="shared" si="1130"/>
        <v>1</v>
      </c>
      <c r="Y838" s="80">
        <f t="shared" si="1130"/>
        <v>1</v>
      </c>
    </row>
    <row r="839" ht="16.5" spans="2:25">
      <c r="B839" s="65">
        <v>199</v>
      </c>
      <c r="C839" s="80">
        <f t="shared" si="1124"/>
        <v>23216</v>
      </c>
      <c r="D839" s="80">
        <f t="shared" ref="D839:Y839" si="1131">IF($C839&gt;D$337,1,0)</f>
        <v>1</v>
      </c>
      <c r="E839" s="80">
        <f t="shared" si="1131"/>
        <v>1</v>
      </c>
      <c r="F839" s="80">
        <f t="shared" si="1131"/>
        <v>1</v>
      </c>
      <c r="G839" s="80">
        <f t="shared" si="1131"/>
        <v>1</v>
      </c>
      <c r="H839" s="80">
        <f t="shared" si="1131"/>
        <v>1</v>
      </c>
      <c r="I839" s="80">
        <f t="shared" si="1131"/>
        <v>1</v>
      </c>
      <c r="J839" s="80">
        <f t="shared" si="1131"/>
        <v>1</v>
      </c>
      <c r="K839" s="80">
        <f t="shared" si="1131"/>
        <v>1</v>
      </c>
      <c r="L839" s="80">
        <f t="shared" si="1131"/>
        <v>1</v>
      </c>
      <c r="M839" s="80">
        <f t="shared" si="1131"/>
        <v>1</v>
      </c>
      <c r="N839" s="80">
        <f t="shared" si="1131"/>
        <v>1</v>
      </c>
      <c r="O839" s="80">
        <f t="shared" si="1131"/>
        <v>1</v>
      </c>
      <c r="P839" s="80">
        <f t="shared" si="1131"/>
        <v>1</v>
      </c>
      <c r="Q839" s="80">
        <f t="shared" si="1131"/>
        <v>1</v>
      </c>
      <c r="R839" s="80">
        <f t="shared" si="1131"/>
        <v>1</v>
      </c>
      <c r="S839" s="80">
        <f t="shared" si="1131"/>
        <v>1</v>
      </c>
      <c r="T839" s="80">
        <f t="shared" si="1131"/>
        <v>1</v>
      </c>
      <c r="U839" s="80">
        <f t="shared" si="1131"/>
        <v>1</v>
      </c>
      <c r="V839" s="80">
        <f t="shared" si="1131"/>
        <v>1</v>
      </c>
      <c r="W839" s="80">
        <f t="shared" si="1131"/>
        <v>1</v>
      </c>
      <c r="X839" s="80">
        <f t="shared" si="1131"/>
        <v>1</v>
      </c>
      <c r="Y839" s="80">
        <f t="shared" si="1131"/>
        <v>1</v>
      </c>
    </row>
    <row r="840" ht="16.5" spans="2:25">
      <c r="B840" s="65">
        <v>200</v>
      </c>
      <c r="C840" s="80">
        <f t="shared" si="1124"/>
        <v>23326</v>
      </c>
      <c r="D840" s="80">
        <f t="shared" ref="D840:Y840" si="1132">IF($C840&gt;D$337,1,0)</f>
        <v>1</v>
      </c>
      <c r="E840" s="80">
        <f t="shared" si="1132"/>
        <v>1</v>
      </c>
      <c r="F840" s="80">
        <f t="shared" si="1132"/>
        <v>1</v>
      </c>
      <c r="G840" s="80">
        <f t="shared" si="1132"/>
        <v>1</v>
      </c>
      <c r="H840" s="80">
        <f t="shared" si="1132"/>
        <v>1</v>
      </c>
      <c r="I840" s="80">
        <f t="shared" si="1132"/>
        <v>1</v>
      </c>
      <c r="J840" s="80">
        <f t="shared" si="1132"/>
        <v>1</v>
      </c>
      <c r="K840" s="80">
        <f t="shared" si="1132"/>
        <v>1</v>
      </c>
      <c r="L840" s="80">
        <f t="shared" si="1132"/>
        <v>1</v>
      </c>
      <c r="M840" s="80">
        <f t="shared" si="1132"/>
        <v>1</v>
      </c>
      <c r="N840" s="80">
        <f t="shared" si="1132"/>
        <v>1</v>
      </c>
      <c r="O840" s="80">
        <f t="shared" si="1132"/>
        <v>1</v>
      </c>
      <c r="P840" s="80">
        <f t="shared" si="1132"/>
        <v>1</v>
      </c>
      <c r="Q840" s="80">
        <f t="shared" si="1132"/>
        <v>1</v>
      </c>
      <c r="R840" s="80">
        <f t="shared" si="1132"/>
        <v>1</v>
      </c>
      <c r="S840" s="80">
        <f t="shared" si="1132"/>
        <v>1</v>
      </c>
      <c r="T840" s="80">
        <f t="shared" si="1132"/>
        <v>1</v>
      </c>
      <c r="U840" s="80">
        <f t="shared" si="1132"/>
        <v>1</v>
      </c>
      <c r="V840" s="80">
        <f t="shared" si="1132"/>
        <v>1</v>
      </c>
      <c r="W840" s="80">
        <f t="shared" si="1132"/>
        <v>1</v>
      </c>
      <c r="X840" s="80">
        <f t="shared" si="1132"/>
        <v>1</v>
      </c>
      <c r="Y840" s="80">
        <f t="shared" si="1132"/>
        <v>1</v>
      </c>
    </row>
    <row r="841" ht="16.5" spans="2:25">
      <c r="B841" s="65">
        <v>201</v>
      </c>
      <c r="C841" s="80">
        <f t="shared" si="1124"/>
        <v>23436</v>
      </c>
      <c r="D841" s="80">
        <f t="shared" ref="D841:Y841" si="1133">IF($C841&gt;D$337,1,0)</f>
        <v>1</v>
      </c>
      <c r="E841" s="80">
        <f t="shared" si="1133"/>
        <v>1</v>
      </c>
      <c r="F841" s="80">
        <f t="shared" si="1133"/>
        <v>1</v>
      </c>
      <c r="G841" s="80">
        <f t="shared" si="1133"/>
        <v>1</v>
      </c>
      <c r="H841" s="80">
        <f t="shared" si="1133"/>
        <v>1</v>
      </c>
      <c r="I841" s="80">
        <f t="shared" si="1133"/>
        <v>1</v>
      </c>
      <c r="J841" s="80">
        <f t="shared" si="1133"/>
        <v>1</v>
      </c>
      <c r="K841" s="80">
        <f t="shared" si="1133"/>
        <v>1</v>
      </c>
      <c r="L841" s="80">
        <f t="shared" si="1133"/>
        <v>1</v>
      </c>
      <c r="M841" s="80">
        <f t="shared" si="1133"/>
        <v>1</v>
      </c>
      <c r="N841" s="80">
        <f t="shared" si="1133"/>
        <v>1</v>
      </c>
      <c r="O841" s="80">
        <f t="shared" si="1133"/>
        <v>1</v>
      </c>
      <c r="P841" s="80">
        <f t="shared" si="1133"/>
        <v>1</v>
      </c>
      <c r="Q841" s="80">
        <f t="shared" si="1133"/>
        <v>1</v>
      </c>
      <c r="R841" s="80">
        <f t="shared" si="1133"/>
        <v>1</v>
      </c>
      <c r="S841" s="80">
        <f t="shared" si="1133"/>
        <v>1</v>
      </c>
      <c r="T841" s="80">
        <f t="shared" si="1133"/>
        <v>1</v>
      </c>
      <c r="U841" s="80">
        <f t="shared" si="1133"/>
        <v>1</v>
      </c>
      <c r="V841" s="80">
        <f t="shared" si="1133"/>
        <v>1</v>
      </c>
      <c r="W841" s="80">
        <f t="shared" si="1133"/>
        <v>1</v>
      </c>
      <c r="X841" s="80">
        <f t="shared" si="1133"/>
        <v>1</v>
      </c>
      <c r="Y841" s="80">
        <f t="shared" si="1133"/>
        <v>1</v>
      </c>
    </row>
    <row r="842" ht="16.5" spans="2:25">
      <c r="B842" s="65">
        <v>202</v>
      </c>
      <c r="C842" s="80">
        <f t="shared" si="1124"/>
        <v>23546</v>
      </c>
      <c r="D842" s="80">
        <f t="shared" ref="D842:Y842" si="1134">IF($C842&gt;D$337,1,0)</f>
        <v>1</v>
      </c>
      <c r="E842" s="80">
        <f t="shared" si="1134"/>
        <v>1</v>
      </c>
      <c r="F842" s="80">
        <f t="shared" si="1134"/>
        <v>1</v>
      </c>
      <c r="G842" s="80">
        <f t="shared" si="1134"/>
        <v>1</v>
      </c>
      <c r="H842" s="80">
        <f t="shared" si="1134"/>
        <v>1</v>
      </c>
      <c r="I842" s="80">
        <f t="shared" si="1134"/>
        <v>1</v>
      </c>
      <c r="J842" s="80">
        <f t="shared" si="1134"/>
        <v>1</v>
      </c>
      <c r="K842" s="80">
        <f t="shared" si="1134"/>
        <v>1</v>
      </c>
      <c r="L842" s="80">
        <f t="shared" si="1134"/>
        <v>1</v>
      </c>
      <c r="M842" s="80">
        <f t="shared" si="1134"/>
        <v>1</v>
      </c>
      <c r="N842" s="80">
        <f t="shared" si="1134"/>
        <v>1</v>
      </c>
      <c r="O842" s="80">
        <f t="shared" si="1134"/>
        <v>1</v>
      </c>
      <c r="P842" s="80">
        <f t="shared" si="1134"/>
        <v>1</v>
      </c>
      <c r="Q842" s="80">
        <f t="shared" si="1134"/>
        <v>1</v>
      </c>
      <c r="R842" s="80">
        <f t="shared" si="1134"/>
        <v>1</v>
      </c>
      <c r="S842" s="80">
        <f t="shared" si="1134"/>
        <v>1</v>
      </c>
      <c r="T842" s="80">
        <f t="shared" si="1134"/>
        <v>1</v>
      </c>
      <c r="U842" s="80">
        <f t="shared" si="1134"/>
        <v>1</v>
      </c>
      <c r="V842" s="80">
        <f t="shared" si="1134"/>
        <v>1</v>
      </c>
      <c r="W842" s="80">
        <f t="shared" si="1134"/>
        <v>1</v>
      </c>
      <c r="X842" s="80">
        <f t="shared" si="1134"/>
        <v>1</v>
      </c>
      <c r="Y842" s="80">
        <f t="shared" si="1134"/>
        <v>1</v>
      </c>
    </row>
    <row r="843" ht="16.5" spans="2:25">
      <c r="B843" s="65">
        <v>203</v>
      </c>
      <c r="C843" s="80">
        <f t="shared" si="1124"/>
        <v>23656</v>
      </c>
      <c r="D843" s="80">
        <f t="shared" ref="D843:Y843" si="1135">IF($C843&gt;D$337,1,0)</f>
        <v>1</v>
      </c>
      <c r="E843" s="80">
        <f t="shared" si="1135"/>
        <v>1</v>
      </c>
      <c r="F843" s="80">
        <f t="shared" si="1135"/>
        <v>1</v>
      </c>
      <c r="G843" s="80">
        <f t="shared" si="1135"/>
        <v>1</v>
      </c>
      <c r="H843" s="80">
        <f t="shared" si="1135"/>
        <v>1</v>
      </c>
      <c r="I843" s="80">
        <f t="shared" si="1135"/>
        <v>1</v>
      </c>
      <c r="J843" s="80">
        <f t="shared" si="1135"/>
        <v>1</v>
      </c>
      <c r="K843" s="80">
        <f t="shared" si="1135"/>
        <v>1</v>
      </c>
      <c r="L843" s="80">
        <f t="shared" si="1135"/>
        <v>1</v>
      </c>
      <c r="M843" s="80">
        <f t="shared" si="1135"/>
        <v>1</v>
      </c>
      <c r="N843" s="80">
        <f t="shared" si="1135"/>
        <v>1</v>
      </c>
      <c r="O843" s="80">
        <f t="shared" si="1135"/>
        <v>1</v>
      </c>
      <c r="P843" s="80">
        <f t="shared" si="1135"/>
        <v>1</v>
      </c>
      <c r="Q843" s="80">
        <f t="shared" si="1135"/>
        <v>1</v>
      </c>
      <c r="R843" s="80">
        <f t="shared" si="1135"/>
        <v>1</v>
      </c>
      <c r="S843" s="80">
        <f t="shared" si="1135"/>
        <v>1</v>
      </c>
      <c r="T843" s="80">
        <f t="shared" si="1135"/>
        <v>1</v>
      </c>
      <c r="U843" s="80">
        <f t="shared" si="1135"/>
        <v>1</v>
      </c>
      <c r="V843" s="80">
        <f t="shared" si="1135"/>
        <v>1</v>
      </c>
      <c r="W843" s="80">
        <f t="shared" si="1135"/>
        <v>1</v>
      </c>
      <c r="X843" s="80">
        <f t="shared" si="1135"/>
        <v>1</v>
      </c>
      <c r="Y843" s="80">
        <f t="shared" si="1135"/>
        <v>1</v>
      </c>
    </row>
    <row r="844" ht="16.5" spans="2:25">
      <c r="B844" s="65">
        <v>204</v>
      </c>
      <c r="C844" s="80">
        <f t="shared" si="1124"/>
        <v>23766</v>
      </c>
      <c r="D844" s="80">
        <f t="shared" ref="D844:Y844" si="1136">IF($C844&gt;D$337,1,0)</f>
        <v>1</v>
      </c>
      <c r="E844" s="80">
        <f t="shared" si="1136"/>
        <v>1</v>
      </c>
      <c r="F844" s="80">
        <f t="shared" si="1136"/>
        <v>1</v>
      </c>
      <c r="G844" s="80">
        <f t="shared" si="1136"/>
        <v>1</v>
      </c>
      <c r="H844" s="80">
        <f t="shared" si="1136"/>
        <v>1</v>
      </c>
      <c r="I844" s="80">
        <f t="shared" si="1136"/>
        <v>1</v>
      </c>
      <c r="J844" s="80">
        <f t="shared" si="1136"/>
        <v>1</v>
      </c>
      <c r="K844" s="80">
        <f t="shared" si="1136"/>
        <v>1</v>
      </c>
      <c r="L844" s="80">
        <f t="shared" si="1136"/>
        <v>1</v>
      </c>
      <c r="M844" s="80">
        <f t="shared" si="1136"/>
        <v>1</v>
      </c>
      <c r="N844" s="80">
        <f t="shared" si="1136"/>
        <v>1</v>
      </c>
      <c r="O844" s="80">
        <f t="shared" si="1136"/>
        <v>1</v>
      </c>
      <c r="P844" s="80">
        <f t="shared" si="1136"/>
        <v>1</v>
      </c>
      <c r="Q844" s="80">
        <f t="shared" si="1136"/>
        <v>1</v>
      </c>
      <c r="R844" s="80">
        <f t="shared" si="1136"/>
        <v>1</v>
      </c>
      <c r="S844" s="80">
        <f t="shared" si="1136"/>
        <v>1</v>
      </c>
      <c r="T844" s="80">
        <f t="shared" si="1136"/>
        <v>1</v>
      </c>
      <c r="U844" s="80">
        <f t="shared" si="1136"/>
        <v>1</v>
      </c>
      <c r="V844" s="80">
        <f t="shared" si="1136"/>
        <v>1</v>
      </c>
      <c r="W844" s="80">
        <f t="shared" si="1136"/>
        <v>1</v>
      </c>
      <c r="X844" s="80">
        <f t="shared" si="1136"/>
        <v>1</v>
      </c>
      <c r="Y844" s="80">
        <f t="shared" si="1136"/>
        <v>1</v>
      </c>
    </row>
    <row r="845" ht="16.5" spans="2:25">
      <c r="B845" s="65">
        <v>205</v>
      </c>
      <c r="C845" s="80">
        <f t="shared" si="1124"/>
        <v>23876</v>
      </c>
      <c r="D845" s="80">
        <f t="shared" ref="D845:Y845" si="1137">IF($C845&gt;D$337,1,0)</f>
        <v>1</v>
      </c>
      <c r="E845" s="80">
        <f t="shared" si="1137"/>
        <v>1</v>
      </c>
      <c r="F845" s="80">
        <f t="shared" si="1137"/>
        <v>1</v>
      </c>
      <c r="G845" s="80">
        <f t="shared" si="1137"/>
        <v>1</v>
      </c>
      <c r="H845" s="80">
        <f t="shared" si="1137"/>
        <v>1</v>
      </c>
      <c r="I845" s="80">
        <f t="shared" si="1137"/>
        <v>1</v>
      </c>
      <c r="J845" s="80">
        <f t="shared" si="1137"/>
        <v>1</v>
      </c>
      <c r="K845" s="80">
        <f t="shared" si="1137"/>
        <v>1</v>
      </c>
      <c r="L845" s="80">
        <f t="shared" si="1137"/>
        <v>1</v>
      </c>
      <c r="M845" s="80">
        <f t="shared" si="1137"/>
        <v>1</v>
      </c>
      <c r="N845" s="80">
        <f t="shared" si="1137"/>
        <v>1</v>
      </c>
      <c r="O845" s="80">
        <f t="shared" si="1137"/>
        <v>1</v>
      </c>
      <c r="P845" s="80">
        <f t="shared" si="1137"/>
        <v>1</v>
      </c>
      <c r="Q845" s="80">
        <f t="shared" si="1137"/>
        <v>1</v>
      </c>
      <c r="R845" s="80">
        <f t="shared" si="1137"/>
        <v>1</v>
      </c>
      <c r="S845" s="80">
        <f t="shared" si="1137"/>
        <v>1</v>
      </c>
      <c r="T845" s="80">
        <f t="shared" si="1137"/>
        <v>1</v>
      </c>
      <c r="U845" s="80">
        <f t="shared" si="1137"/>
        <v>1</v>
      </c>
      <c r="V845" s="80">
        <f t="shared" si="1137"/>
        <v>1</v>
      </c>
      <c r="W845" s="80">
        <f t="shared" si="1137"/>
        <v>1</v>
      </c>
      <c r="X845" s="80">
        <f t="shared" si="1137"/>
        <v>1</v>
      </c>
      <c r="Y845" s="80">
        <f t="shared" si="1137"/>
        <v>1</v>
      </c>
    </row>
    <row r="846" ht="16.5" spans="2:25">
      <c r="B846" s="65">
        <v>206</v>
      </c>
      <c r="C846" s="80">
        <f t="shared" si="1124"/>
        <v>23986</v>
      </c>
      <c r="D846" s="80">
        <f t="shared" ref="D846:Y846" si="1138">IF($C846&gt;D$337,1,0)</f>
        <v>1</v>
      </c>
      <c r="E846" s="80">
        <f t="shared" si="1138"/>
        <v>1</v>
      </c>
      <c r="F846" s="80">
        <f t="shared" si="1138"/>
        <v>1</v>
      </c>
      <c r="G846" s="80">
        <f t="shared" si="1138"/>
        <v>1</v>
      </c>
      <c r="H846" s="80">
        <f t="shared" si="1138"/>
        <v>1</v>
      </c>
      <c r="I846" s="80">
        <f t="shared" si="1138"/>
        <v>1</v>
      </c>
      <c r="J846" s="80">
        <f t="shared" si="1138"/>
        <v>1</v>
      </c>
      <c r="K846" s="80">
        <f t="shared" si="1138"/>
        <v>1</v>
      </c>
      <c r="L846" s="80">
        <f t="shared" si="1138"/>
        <v>1</v>
      </c>
      <c r="M846" s="80">
        <f t="shared" si="1138"/>
        <v>1</v>
      </c>
      <c r="N846" s="80">
        <f t="shared" si="1138"/>
        <v>1</v>
      </c>
      <c r="O846" s="80">
        <f t="shared" si="1138"/>
        <v>1</v>
      </c>
      <c r="P846" s="80">
        <f t="shared" si="1138"/>
        <v>1</v>
      </c>
      <c r="Q846" s="80">
        <f t="shared" si="1138"/>
        <v>1</v>
      </c>
      <c r="R846" s="80">
        <f t="shared" si="1138"/>
        <v>1</v>
      </c>
      <c r="S846" s="80">
        <f t="shared" si="1138"/>
        <v>1</v>
      </c>
      <c r="T846" s="80">
        <f t="shared" si="1138"/>
        <v>1</v>
      </c>
      <c r="U846" s="80">
        <f t="shared" si="1138"/>
        <v>1</v>
      </c>
      <c r="V846" s="80">
        <f t="shared" si="1138"/>
        <v>1</v>
      </c>
      <c r="W846" s="80">
        <f t="shared" si="1138"/>
        <v>1</v>
      </c>
      <c r="X846" s="80">
        <f t="shared" si="1138"/>
        <v>1</v>
      </c>
      <c r="Y846" s="80">
        <f t="shared" si="1138"/>
        <v>1</v>
      </c>
    </row>
    <row r="847" ht="16.5" spans="2:25">
      <c r="B847" s="65">
        <v>207</v>
      </c>
      <c r="C847" s="80">
        <f t="shared" si="1124"/>
        <v>24096</v>
      </c>
      <c r="D847" s="80">
        <f t="shared" ref="D847:Y847" si="1139">IF($C847&gt;D$337,1,0)</f>
        <v>1</v>
      </c>
      <c r="E847" s="80">
        <f t="shared" si="1139"/>
        <v>1</v>
      </c>
      <c r="F847" s="80">
        <f t="shared" si="1139"/>
        <v>1</v>
      </c>
      <c r="G847" s="80">
        <f t="shared" si="1139"/>
        <v>1</v>
      </c>
      <c r="H847" s="80">
        <f t="shared" si="1139"/>
        <v>1</v>
      </c>
      <c r="I847" s="80">
        <f t="shared" si="1139"/>
        <v>1</v>
      </c>
      <c r="J847" s="80">
        <f t="shared" si="1139"/>
        <v>1</v>
      </c>
      <c r="K847" s="80">
        <f t="shared" si="1139"/>
        <v>1</v>
      </c>
      <c r="L847" s="80">
        <f t="shared" si="1139"/>
        <v>1</v>
      </c>
      <c r="M847" s="80">
        <f t="shared" si="1139"/>
        <v>1</v>
      </c>
      <c r="N847" s="80">
        <f t="shared" si="1139"/>
        <v>1</v>
      </c>
      <c r="O847" s="80">
        <f t="shared" si="1139"/>
        <v>1</v>
      </c>
      <c r="P847" s="80">
        <f t="shared" si="1139"/>
        <v>1</v>
      </c>
      <c r="Q847" s="80">
        <f t="shared" si="1139"/>
        <v>1</v>
      </c>
      <c r="R847" s="80">
        <f t="shared" si="1139"/>
        <v>1</v>
      </c>
      <c r="S847" s="80">
        <f t="shared" si="1139"/>
        <v>1</v>
      </c>
      <c r="T847" s="80">
        <f t="shared" si="1139"/>
        <v>1</v>
      </c>
      <c r="U847" s="80">
        <f t="shared" si="1139"/>
        <v>1</v>
      </c>
      <c r="V847" s="80">
        <f t="shared" si="1139"/>
        <v>1</v>
      </c>
      <c r="W847" s="80">
        <f t="shared" si="1139"/>
        <v>1</v>
      </c>
      <c r="X847" s="80">
        <f t="shared" si="1139"/>
        <v>1</v>
      </c>
      <c r="Y847" s="80">
        <f t="shared" si="1139"/>
        <v>1</v>
      </c>
    </row>
    <row r="848" ht="16.5" spans="2:25">
      <c r="B848" s="65">
        <v>208</v>
      </c>
      <c r="C848" s="80">
        <f t="shared" si="1124"/>
        <v>24206</v>
      </c>
      <c r="D848" s="80">
        <f t="shared" ref="D848:Y848" si="1140">IF($C848&gt;D$337,1,0)</f>
        <v>1</v>
      </c>
      <c r="E848" s="80">
        <f t="shared" si="1140"/>
        <v>1</v>
      </c>
      <c r="F848" s="80">
        <f t="shared" si="1140"/>
        <v>1</v>
      </c>
      <c r="G848" s="80">
        <f t="shared" si="1140"/>
        <v>1</v>
      </c>
      <c r="H848" s="80">
        <f t="shared" si="1140"/>
        <v>1</v>
      </c>
      <c r="I848" s="80">
        <f t="shared" si="1140"/>
        <v>1</v>
      </c>
      <c r="J848" s="80">
        <f t="shared" si="1140"/>
        <v>1</v>
      </c>
      <c r="K848" s="80">
        <f t="shared" si="1140"/>
        <v>1</v>
      </c>
      <c r="L848" s="80">
        <f t="shared" si="1140"/>
        <v>1</v>
      </c>
      <c r="M848" s="80">
        <f t="shared" si="1140"/>
        <v>1</v>
      </c>
      <c r="N848" s="80">
        <f t="shared" si="1140"/>
        <v>1</v>
      </c>
      <c r="O848" s="80">
        <f t="shared" si="1140"/>
        <v>1</v>
      </c>
      <c r="P848" s="80">
        <f t="shared" si="1140"/>
        <v>1</v>
      </c>
      <c r="Q848" s="80">
        <f t="shared" si="1140"/>
        <v>1</v>
      </c>
      <c r="R848" s="80">
        <f t="shared" si="1140"/>
        <v>1</v>
      </c>
      <c r="S848" s="80">
        <f t="shared" si="1140"/>
        <v>1</v>
      </c>
      <c r="T848" s="80">
        <f t="shared" si="1140"/>
        <v>1</v>
      </c>
      <c r="U848" s="80">
        <f t="shared" si="1140"/>
        <v>1</v>
      </c>
      <c r="V848" s="80">
        <f t="shared" si="1140"/>
        <v>1</v>
      </c>
      <c r="W848" s="80">
        <f t="shared" si="1140"/>
        <v>1</v>
      </c>
      <c r="X848" s="80">
        <f t="shared" si="1140"/>
        <v>1</v>
      </c>
      <c r="Y848" s="80">
        <f t="shared" si="1140"/>
        <v>1</v>
      </c>
    </row>
    <row r="849" ht="16.5" spans="2:25">
      <c r="B849" s="65">
        <v>209</v>
      </c>
      <c r="C849" s="80">
        <f t="shared" si="1124"/>
        <v>24316</v>
      </c>
      <c r="D849" s="80">
        <f t="shared" ref="D849:Y849" si="1141">IF($C849&gt;D$337,1,0)</f>
        <v>1</v>
      </c>
      <c r="E849" s="80">
        <f t="shared" si="1141"/>
        <v>1</v>
      </c>
      <c r="F849" s="80">
        <f t="shared" si="1141"/>
        <v>1</v>
      </c>
      <c r="G849" s="80">
        <f t="shared" si="1141"/>
        <v>1</v>
      </c>
      <c r="H849" s="80">
        <f t="shared" si="1141"/>
        <v>1</v>
      </c>
      <c r="I849" s="80">
        <f t="shared" si="1141"/>
        <v>1</v>
      </c>
      <c r="J849" s="80">
        <f t="shared" si="1141"/>
        <v>1</v>
      </c>
      <c r="K849" s="80">
        <f t="shared" si="1141"/>
        <v>1</v>
      </c>
      <c r="L849" s="80">
        <f t="shared" si="1141"/>
        <v>1</v>
      </c>
      <c r="M849" s="80">
        <f t="shared" si="1141"/>
        <v>1</v>
      </c>
      <c r="N849" s="80">
        <f t="shared" si="1141"/>
        <v>1</v>
      </c>
      <c r="O849" s="80">
        <f t="shared" si="1141"/>
        <v>1</v>
      </c>
      <c r="P849" s="80">
        <f t="shared" si="1141"/>
        <v>1</v>
      </c>
      <c r="Q849" s="80">
        <f t="shared" si="1141"/>
        <v>1</v>
      </c>
      <c r="R849" s="80">
        <f t="shared" si="1141"/>
        <v>1</v>
      </c>
      <c r="S849" s="80">
        <f t="shared" si="1141"/>
        <v>1</v>
      </c>
      <c r="T849" s="80">
        <f t="shared" si="1141"/>
        <v>1</v>
      </c>
      <c r="U849" s="80">
        <f t="shared" si="1141"/>
        <v>1</v>
      </c>
      <c r="V849" s="80">
        <f t="shared" si="1141"/>
        <v>1</v>
      </c>
      <c r="W849" s="80">
        <f t="shared" si="1141"/>
        <v>1</v>
      </c>
      <c r="X849" s="80">
        <f t="shared" si="1141"/>
        <v>1</v>
      </c>
      <c r="Y849" s="80">
        <f t="shared" si="1141"/>
        <v>1</v>
      </c>
    </row>
    <row r="850" ht="16.5" spans="2:25">
      <c r="B850" s="65">
        <v>210</v>
      </c>
      <c r="C850" s="80">
        <f t="shared" si="1124"/>
        <v>24426</v>
      </c>
      <c r="D850" s="80">
        <f t="shared" ref="D850:Y850" si="1142">IF($C850&gt;D$337,1,0)</f>
        <v>1</v>
      </c>
      <c r="E850" s="80">
        <f t="shared" si="1142"/>
        <v>1</v>
      </c>
      <c r="F850" s="80">
        <f t="shared" si="1142"/>
        <v>1</v>
      </c>
      <c r="G850" s="80">
        <f t="shared" si="1142"/>
        <v>1</v>
      </c>
      <c r="H850" s="80">
        <f t="shared" si="1142"/>
        <v>1</v>
      </c>
      <c r="I850" s="80">
        <f t="shared" si="1142"/>
        <v>1</v>
      </c>
      <c r="J850" s="80">
        <f t="shared" si="1142"/>
        <v>1</v>
      </c>
      <c r="K850" s="80">
        <f t="shared" si="1142"/>
        <v>1</v>
      </c>
      <c r="L850" s="80">
        <f t="shared" si="1142"/>
        <v>1</v>
      </c>
      <c r="M850" s="80">
        <f t="shared" si="1142"/>
        <v>1</v>
      </c>
      <c r="N850" s="80">
        <f t="shared" si="1142"/>
        <v>1</v>
      </c>
      <c r="O850" s="80">
        <f t="shared" si="1142"/>
        <v>1</v>
      </c>
      <c r="P850" s="80">
        <f t="shared" si="1142"/>
        <v>1</v>
      </c>
      <c r="Q850" s="80">
        <f t="shared" si="1142"/>
        <v>1</v>
      </c>
      <c r="R850" s="80">
        <f t="shared" si="1142"/>
        <v>1</v>
      </c>
      <c r="S850" s="80">
        <f t="shared" si="1142"/>
        <v>1</v>
      </c>
      <c r="T850" s="80">
        <f t="shared" si="1142"/>
        <v>1</v>
      </c>
      <c r="U850" s="80">
        <f t="shared" si="1142"/>
        <v>1</v>
      </c>
      <c r="V850" s="80">
        <f t="shared" si="1142"/>
        <v>1</v>
      </c>
      <c r="W850" s="80">
        <f t="shared" si="1142"/>
        <v>1</v>
      </c>
      <c r="X850" s="80">
        <f t="shared" si="1142"/>
        <v>1</v>
      </c>
      <c r="Y850" s="80">
        <f t="shared" si="1142"/>
        <v>1</v>
      </c>
    </row>
    <row r="851" ht="16.5" spans="2:25">
      <c r="B851" s="65">
        <v>211</v>
      </c>
      <c r="C851" s="80">
        <f t="shared" si="1124"/>
        <v>24536</v>
      </c>
      <c r="D851" s="80">
        <f t="shared" ref="D851:Y851" si="1143">IF($C851&gt;D$337,1,0)</f>
        <v>1</v>
      </c>
      <c r="E851" s="80">
        <f t="shared" si="1143"/>
        <v>1</v>
      </c>
      <c r="F851" s="80">
        <f t="shared" si="1143"/>
        <v>1</v>
      </c>
      <c r="G851" s="80">
        <f t="shared" si="1143"/>
        <v>1</v>
      </c>
      <c r="H851" s="80">
        <f t="shared" si="1143"/>
        <v>1</v>
      </c>
      <c r="I851" s="80">
        <f t="shared" si="1143"/>
        <v>1</v>
      </c>
      <c r="J851" s="80">
        <f t="shared" si="1143"/>
        <v>1</v>
      </c>
      <c r="K851" s="80">
        <f t="shared" si="1143"/>
        <v>1</v>
      </c>
      <c r="L851" s="80">
        <f t="shared" si="1143"/>
        <v>1</v>
      </c>
      <c r="M851" s="80">
        <f t="shared" si="1143"/>
        <v>1</v>
      </c>
      <c r="N851" s="80">
        <f t="shared" si="1143"/>
        <v>1</v>
      </c>
      <c r="O851" s="80">
        <f t="shared" si="1143"/>
        <v>1</v>
      </c>
      <c r="P851" s="80">
        <f t="shared" si="1143"/>
        <v>1</v>
      </c>
      <c r="Q851" s="80">
        <f t="shared" si="1143"/>
        <v>1</v>
      </c>
      <c r="R851" s="80">
        <f t="shared" si="1143"/>
        <v>1</v>
      </c>
      <c r="S851" s="80">
        <f t="shared" si="1143"/>
        <v>1</v>
      </c>
      <c r="T851" s="80">
        <f t="shared" si="1143"/>
        <v>1</v>
      </c>
      <c r="U851" s="80">
        <f t="shared" si="1143"/>
        <v>1</v>
      </c>
      <c r="V851" s="80">
        <f t="shared" si="1143"/>
        <v>1</v>
      </c>
      <c r="W851" s="80">
        <f t="shared" si="1143"/>
        <v>1</v>
      </c>
      <c r="X851" s="80">
        <f t="shared" si="1143"/>
        <v>1</v>
      </c>
      <c r="Y851" s="80">
        <f t="shared" si="1143"/>
        <v>1</v>
      </c>
    </row>
    <row r="852" ht="16.5" spans="2:25">
      <c r="B852" s="65">
        <v>212</v>
      </c>
      <c r="C852" s="80">
        <f t="shared" si="1124"/>
        <v>24646</v>
      </c>
      <c r="D852" s="80">
        <f t="shared" ref="D852:Y852" si="1144">IF($C852&gt;D$337,1,0)</f>
        <v>1</v>
      </c>
      <c r="E852" s="80">
        <f t="shared" si="1144"/>
        <v>1</v>
      </c>
      <c r="F852" s="80">
        <f t="shared" si="1144"/>
        <v>1</v>
      </c>
      <c r="G852" s="80">
        <f t="shared" si="1144"/>
        <v>1</v>
      </c>
      <c r="H852" s="80">
        <f t="shared" si="1144"/>
        <v>1</v>
      </c>
      <c r="I852" s="80">
        <f t="shared" si="1144"/>
        <v>1</v>
      </c>
      <c r="J852" s="80">
        <f t="shared" si="1144"/>
        <v>1</v>
      </c>
      <c r="K852" s="80">
        <f t="shared" si="1144"/>
        <v>1</v>
      </c>
      <c r="L852" s="80">
        <f t="shared" si="1144"/>
        <v>1</v>
      </c>
      <c r="M852" s="80">
        <f t="shared" si="1144"/>
        <v>1</v>
      </c>
      <c r="N852" s="80">
        <f t="shared" si="1144"/>
        <v>1</v>
      </c>
      <c r="O852" s="80">
        <f t="shared" si="1144"/>
        <v>1</v>
      </c>
      <c r="P852" s="80">
        <f t="shared" si="1144"/>
        <v>1</v>
      </c>
      <c r="Q852" s="80">
        <f t="shared" si="1144"/>
        <v>1</v>
      </c>
      <c r="R852" s="80">
        <f t="shared" si="1144"/>
        <v>1</v>
      </c>
      <c r="S852" s="80">
        <f t="shared" si="1144"/>
        <v>1</v>
      </c>
      <c r="T852" s="80">
        <f t="shared" si="1144"/>
        <v>1</v>
      </c>
      <c r="U852" s="80">
        <f t="shared" si="1144"/>
        <v>1</v>
      </c>
      <c r="V852" s="80">
        <f t="shared" si="1144"/>
        <v>1</v>
      </c>
      <c r="W852" s="80">
        <f t="shared" si="1144"/>
        <v>1</v>
      </c>
      <c r="X852" s="80">
        <f t="shared" si="1144"/>
        <v>1</v>
      </c>
      <c r="Y852" s="80">
        <f t="shared" si="1144"/>
        <v>1</v>
      </c>
    </row>
    <row r="853" ht="16.5" spans="2:25">
      <c r="B853" s="65">
        <v>213</v>
      </c>
      <c r="C853" s="80">
        <f t="shared" si="1124"/>
        <v>24756</v>
      </c>
      <c r="D853" s="80">
        <f t="shared" ref="D853:Y853" si="1145">IF($C853&gt;D$337,1,0)</f>
        <v>1</v>
      </c>
      <c r="E853" s="80">
        <f t="shared" si="1145"/>
        <v>1</v>
      </c>
      <c r="F853" s="80">
        <f t="shared" si="1145"/>
        <v>1</v>
      </c>
      <c r="G853" s="80">
        <f t="shared" si="1145"/>
        <v>1</v>
      </c>
      <c r="H853" s="80">
        <f t="shared" si="1145"/>
        <v>1</v>
      </c>
      <c r="I853" s="80">
        <f t="shared" si="1145"/>
        <v>1</v>
      </c>
      <c r="J853" s="80">
        <f t="shared" si="1145"/>
        <v>1</v>
      </c>
      <c r="K853" s="80">
        <f t="shared" si="1145"/>
        <v>1</v>
      </c>
      <c r="L853" s="80">
        <f t="shared" si="1145"/>
        <v>1</v>
      </c>
      <c r="M853" s="80">
        <f t="shared" si="1145"/>
        <v>1</v>
      </c>
      <c r="N853" s="80">
        <f t="shared" si="1145"/>
        <v>1</v>
      </c>
      <c r="O853" s="80">
        <f t="shared" si="1145"/>
        <v>1</v>
      </c>
      <c r="P853" s="80">
        <f t="shared" si="1145"/>
        <v>1</v>
      </c>
      <c r="Q853" s="80">
        <f t="shared" si="1145"/>
        <v>1</v>
      </c>
      <c r="R853" s="80">
        <f t="shared" si="1145"/>
        <v>1</v>
      </c>
      <c r="S853" s="80">
        <f t="shared" si="1145"/>
        <v>1</v>
      </c>
      <c r="T853" s="80">
        <f t="shared" si="1145"/>
        <v>1</v>
      </c>
      <c r="U853" s="80">
        <f t="shared" si="1145"/>
        <v>1</v>
      </c>
      <c r="V853" s="80">
        <f t="shared" si="1145"/>
        <v>1</v>
      </c>
      <c r="W853" s="80">
        <f t="shared" si="1145"/>
        <v>1</v>
      </c>
      <c r="X853" s="80">
        <f t="shared" si="1145"/>
        <v>1</v>
      </c>
      <c r="Y853" s="80">
        <f t="shared" si="1145"/>
        <v>1</v>
      </c>
    </row>
    <row r="854" ht="16.5" spans="2:25">
      <c r="B854" s="65">
        <v>214</v>
      </c>
      <c r="C854" s="80">
        <f t="shared" si="1124"/>
        <v>24866</v>
      </c>
      <c r="D854" s="80">
        <f t="shared" ref="D854:Y854" si="1146">IF($C854&gt;D$337,1,0)</f>
        <v>1</v>
      </c>
      <c r="E854" s="80">
        <f t="shared" si="1146"/>
        <v>1</v>
      </c>
      <c r="F854" s="80">
        <f t="shared" si="1146"/>
        <v>1</v>
      </c>
      <c r="G854" s="80">
        <f t="shared" si="1146"/>
        <v>1</v>
      </c>
      <c r="H854" s="80">
        <f t="shared" si="1146"/>
        <v>1</v>
      </c>
      <c r="I854" s="80">
        <f t="shared" si="1146"/>
        <v>1</v>
      </c>
      <c r="J854" s="80">
        <f t="shared" si="1146"/>
        <v>1</v>
      </c>
      <c r="K854" s="80">
        <f t="shared" si="1146"/>
        <v>1</v>
      </c>
      <c r="L854" s="80">
        <f t="shared" si="1146"/>
        <v>1</v>
      </c>
      <c r="M854" s="80">
        <f t="shared" si="1146"/>
        <v>1</v>
      </c>
      <c r="N854" s="80">
        <f t="shared" si="1146"/>
        <v>1</v>
      </c>
      <c r="O854" s="80">
        <f t="shared" si="1146"/>
        <v>1</v>
      </c>
      <c r="P854" s="80">
        <f t="shared" si="1146"/>
        <v>1</v>
      </c>
      <c r="Q854" s="80">
        <f t="shared" si="1146"/>
        <v>1</v>
      </c>
      <c r="R854" s="80">
        <f t="shared" si="1146"/>
        <v>1</v>
      </c>
      <c r="S854" s="80">
        <f t="shared" si="1146"/>
        <v>1</v>
      </c>
      <c r="T854" s="80">
        <f t="shared" si="1146"/>
        <v>1</v>
      </c>
      <c r="U854" s="80">
        <f t="shared" si="1146"/>
        <v>1</v>
      </c>
      <c r="V854" s="80">
        <f t="shared" si="1146"/>
        <v>1</v>
      </c>
      <c r="W854" s="80">
        <f t="shared" si="1146"/>
        <v>1</v>
      </c>
      <c r="X854" s="80">
        <f t="shared" si="1146"/>
        <v>1</v>
      </c>
      <c r="Y854" s="80">
        <f t="shared" si="1146"/>
        <v>1</v>
      </c>
    </row>
    <row r="855" ht="16.5" spans="2:25">
      <c r="B855" s="65">
        <v>215</v>
      </c>
      <c r="C855" s="80">
        <f t="shared" si="1124"/>
        <v>24976</v>
      </c>
      <c r="D855" s="80">
        <f t="shared" ref="D855:Y855" si="1147">IF($C855&gt;D$337,1,0)</f>
        <v>1</v>
      </c>
      <c r="E855" s="80">
        <f t="shared" si="1147"/>
        <v>1</v>
      </c>
      <c r="F855" s="80">
        <f t="shared" si="1147"/>
        <v>1</v>
      </c>
      <c r="G855" s="80">
        <f t="shared" si="1147"/>
        <v>1</v>
      </c>
      <c r="H855" s="80">
        <f t="shared" si="1147"/>
        <v>1</v>
      </c>
      <c r="I855" s="80">
        <f t="shared" si="1147"/>
        <v>1</v>
      </c>
      <c r="J855" s="80">
        <f t="shared" si="1147"/>
        <v>1</v>
      </c>
      <c r="K855" s="80">
        <f t="shared" si="1147"/>
        <v>1</v>
      </c>
      <c r="L855" s="80">
        <f t="shared" si="1147"/>
        <v>1</v>
      </c>
      <c r="M855" s="80">
        <f t="shared" si="1147"/>
        <v>1</v>
      </c>
      <c r="N855" s="80">
        <f t="shared" si="1147"/>
        <v>1</v>
      </c>
      <c r="O855" s="80">
        <f t="shared" si="1147"/>
        <v>1</v>
      </c>
      <c r="P855" s="80">
        <f t="shared" si="1147"/>
        <v>1</v>
      </c>
      <c r="Q855" s="80">
        <f t="shared" si="1147"/>
        <v>1</v>
      </c>
      <c r="R855" s="80">
        <f t="shared" si="1147"/>
        <v>1</v>
      </c>
      <c r="S855" s="80">
        <f t="shared" si="1147"/>
        <v>1</v>
      </c>
      <c r="T855" s="80">
        <f t="shared" si="1147"/>
        <v>1</v>
      </c>
      <c r="U855" s="80">
        <f t="shared" si="1147"/>
        <v>1</v>
      </c>
      <c r="V855" s="80">
        <f t="shared" si="1147"/>
        <v>1</v>
      </c>
      <c r="W855" s="80">
        <f t="shared" si="1147"/>
        <v>1</v>
      </c>
      <c r="X855" s="80">
        <f t="shared" si="1147"/>
        <v>1</v>
      </c>
      <c r="Y855" s="80">
        <f t="shared" si="1147"/>
        <v>1</v>
      </c>
    </row>
    <row r="856" ht="16.5" spans="2:25">
      <c r="B856" s="65">
        <v>216</v>
      </c>
      <c r="C856" s="80">
        <f t="shared" si="1124"/>
        <v>25086</v>
      </c>
      <c r="D856" s="80">
        <f t="shared" ref="D856:Y856" si="1148">IF($C856&gt;D$337,1,0)</f>
        <v>1</v>
      </c>
      <c r="E856" s="80">
        <f t="shared" si="1148"/>
        <v>1</v>
      </c>
      <c r="F856" s="80">
        <f t="shared" si="1148"/>
        <v>1</v>
      </c>
      <c r="G856" s="80">
        <f t="shared" si="1148"/>
        <v>1</v>
      </c>
      <c r="H856" s="80">
        <f t="shared" si="1148"/>
        <v>1</v>
      </c>
      <c r="I856" s="80">
        <f t="shared" si="1148"/>
        <v>1</v>
      </c>
      <c r="J856" s="80">
        <f t="shared" si="1148"/>
        <v>1</v>
      </c>
      <c r="K856" s="80">
        <f t="shared" si="1148"/>
        <v>1</v>
      </c>
      <c r="L856" s="80">
        <f t="shared" si="1148"/>
        <v>1</v>
      </c>
      <c r="M856" s="80">
        <f t="shared" si="1148"/>
        <v>1</v>
      </c>
      <c r="N856" s="80">
        <f t="shared" si="1148"/>
        <v>1</v>
      </c>
      <c r="O856" s="80">
        <f t="shared" si="1148"/>
        <v>1</v>
      </c>
      <c r="P856" s="80">
        <f t="shared" si="1148"/>
        <v>1</v>
      </c>
      <c r="Q856" s="80">
        <f t="shared" si="1148"/>
        <v>1</v>
      </c>
      <c r="R856" s="80">
        <f t="shared" si="1148"/>
        <v>1</v>
      </c>
      <c r="S856" s="80">
        <f t="shared" si="1148"/>
        <v>1</v>
      </c>
      <c r="T856" s="80">
        <f t="shared" si="1148"/>
        <v>1</v>
      </c>
      <c r="U856" s="80">
        <f t="shared" si="1148"/>
        <v>1</v>
      </c>
      <c r="V856" s="80">
        <f t="shared" si="1148"/>
        <v>1</v>
      </c>
      <c r="W856" s="80">
        <f t="shared" si="1148"/>
        <v>1</v>
      </c>
      <c r="X856" s="80">
        <f t="shared" si="1148"/>
        <v>1</v>
      </c>
      <c r="Y856" s="80">
        <f t="shared" si="1148"/>
        <v>1</v>
      </c>
    </row>
    <row r="857" ht="16.5" spans="2:25">
      <c r="B857" s="65">
        <v>217</v>
      </c>
      <c r="C857" s="80">
        <f t="shared" si="1124"/>
        <v>25196</v>
      </c>
      <c r="D857" s="80">
        <f t="shared" ref="D857:Y857" si="1149">IF($C857&gt;D$337,1,0)</f>
        <v>1</v>
      </c>
      <c r="E857" s="80">
        <f t="shared" si="1149"/>
        <v>1</v>
      </c>
      <c r="F857" s="80">
        <f t="shared" si="1149"/>
        <v>1</v>
      </c>
      <c r="G857" s="80">
        <f t="shared" si="1149"/>
        <v>1</v>
      </c>
      <c r="H857" s="80">
        <f t="shared" si="1149"/>
        <v>1</v>
      </c>
      <c r="I857" s="80">
        <f t="shared" si="1149"/>
        <v>1</v>
      </c>
      <c r="J857" s="80">
        <f t="shared" si="1149"/>
        <v>1</v>
      </c>
      <c r="K857" s="80">
        <f t="shared" si="1149"/>
        <v>1</v>
      </c>
      <c r="L857" s="80">
        <f t="shared" si="1149"/>
        <v>1</v>
      </c>
      <c r="M857" s="80">
        <f t="shared" si="1149"/>
        <v>1</v>
      </c>
      <c r="N857" s="80">
        <f t="shared" si="1149"/>
        <v>1</v>
      </c>
      <c r="O857" s="80">
        <f t="shared" si="1149"/>
        <v>1</v>
      </c>
      <c r="P857" s="80">
        <f t="shared" si="1149"/>
        <v>1</v>
      </c>
      <c r="Q857" s="80">
        <f t="shared" si="1149"/>
        <v>1</v>
      </c>
      <c r="R857" s="80">
        <f t="shared" si="1149"/>
        <v>1</v>
      </c>
      <c r="S857" s="80">
        <f t="shared" si="1149"/>
        <v>1</v>
      </c>
      <c r="T857" s="80">
        <f t="shared" si="1149"/>
        <v>1</v>
      </c>
      <c r="U857" s="80">
        <f t="shared" si="1149"/>
        <v>1</v>
      </c>
      <c r="V857" s="80">
        <f t="shared" si="1149"/>
        <v>1</v>
      </c>
      <c r="W857" s="80">
        <f t="shared" si="1149"/>
        <v>1</v>
      </c>
      <c r="X857" s="80">
        <f t="shared" si="1149"/>
        <v>1</v>
      </c>
      <c r="Y857" s="80">
        <f t="shared" si="1149"/>
        <v>1</v>
      </c>
    </row>
    <row r="858" ht="16.5" spans="2:25">
      <c r="B858" s="65">
        <v>218</v>
      </c>
      <c r="C858" s="80">
        <f t="shared" si="1124"/>
        <v>25306</v>
      </c>
      <c r="D858" s="80">
        <f t="shared" ref="D858:Y858" si="1150">IF($C858&gt;D$337,1,0)</f>
        <v>1</v>
      </c>
      <c r="E858" s="80">
        <f t="shared" si="1150"/>
        <v>1</v>
      </c>
      <c r="F858" s="80">
        <f t="shared" si="1150"/>
        <v>1</v>
      </c>
      <c r="G858" s="80">
        <f t="shared" si="1150"/>
        <v>1</v>
      </c>
      <c r="H858" s="80">
        <f t="shared" si="1150"/>
        <v>1</v>
      </c>
      <c r="I858" s="80">
        <f t="shared" si="1150"/>
        <v>1</v>
      </c>
      <c r="J858" s="80">
        <f t="shared" si="1150"/>
        <v>1</v>
      </c>
      <c r="K858" s="80">
        <f t="shared" si="1150"/>
        <v>1</v>
      </c>
      <c r="L858" s="80">
        <f t="shared" si="1150"/>
        <v>1</v>
      </c>
      <c r="M858" s="80">
        <f t="shared" si="1150"/>
        <v>1</v>
      </c>
      <c r="N858" s="80">
        <f t="shared" si="1150"/>
        <v>1</v>
      </c>
      <c r="O858" s="80">
        <f t="shared" si="1150"/>
        <v>1</v>
      </c>
      <c r="P858" s="80">
        <f t="shared" si="1150"/>
        <v>1</v>
      </c>
      <c r="Q858" s="80">
        <f t="shared" si="1150"/>
        <v>1</v>
      </c>
      <c r="R858" s="80">
        <f t="shared" si="1150"/>
        <v>1</v>
      </c>
      <c r="S858" s="80">
        <f t="shared" si="1150"/>
        <v>1</v>
      </c>
      <c r="T858" s="80">
        <f t="shared" si="1150"/>
        <v>1</v>
      </c>
      <c r="U858" s="80">
        <f t="shared" si="1150"/>
        <v>1</v>
      </c>
      <c r="V858" s="80">
        <f t="shared" si="1150"/>
        <v>1</v>
      </c>
      <c r="W858" s="80">
        <f t="shared" si="1150"/>
        <v>1</v>
      </c>
      <c r="X858" s="80">
        <f t="shared" si="1150"/>
        <v>1</v>
      </c>
      <c r="Y858" s="80">
        <f t="shared" si="1150"/>
        <v>1</v>
      </c>
    </row>
    <row r="859" ht="16.5" spans="2:25">
      <c r="B859" s="65">
        <v>219</v>
      </c>
      <c r="C859" s="80">
        <f t="shared" si="1124"/>
        <v>25416</v>
      </c>
      <c r="D859" s="80">
        <f t="shared" ref="D859:Y859" si="1151">IF($C859&gt;D$337,1,0)</f>
        <v>1</v>
      </c>
      <c r="E859" s="80">
        <f t="shared" si="1151"/>
        <v>1</v>
      </c>
      <c r="F859" s="80">
        <f t="shared" si="1151"/>
        <v>1</v>
      </c>
      <c r="G859" s="80">
        <f t="shared" si="1151"/>
        <v>1</v>
      </c>
      <c r="H859" s="80">
        <f t="shared" si="1151"/>
        <v>1</v>
      </c>
      <c r="I859" s="80">
        <f t="shared" si="1151"/>
        <v>1</v>
      </c>
      <c r="J859" s="80">
        <f t="shared" si="1151"/>
        <v>1</v>
      </c>
      <c r="K859" s="80">
        <f t="shared" si="1151"/>
        <v>1</v>
      </c>
      <c r="L859" s="80">
        <f t="shared" si="1151"/>
        <v>1</v>
      </c>
      <c r="M859" s="80">
        <f t="shared" si="1151"/>
        <v>1</v>
      </c>
      <c r="N859" s="80">
        <f t="shared" si="1151"/>
        <v>1</v>
      </c>
      <c r="O859" s="80">
        <f t="shared" si="1151"/>
        <v>1</v>
      </c>
      <c r="P859" s="80">
        <f t="shared" si="1151"/>
        <v>1</v>
      </c>
      <c r="Q859" s="80">
        <f t="shared" si="1151"/>
        <v>1</v>
      </c>
      <c r="R859" s="80">
        <f t="shared" si="1151"/>
        <v>1</v>
      </c>
      <c r="S859" s="80">
        <f t="shared" si="1151"/>
        <v>1</v>
      </c>
      <c r="T859" s="80">
        <f t="shared" si="1151"/>
        <v>1</v>
      </c>
      <c r="U859" s="80">
        <f t="shared" si="1151"/>
        <v>1</v>
      </c>
      <c r="V859" s="80">
        <f t="shared" si="1151"/>
        <v>1</v>
      </c>
      <c r="W859" s="80">
        <f t="shared" si="1151"/>
        <v>1</v>
      </c>
      <c r="X859" s="80">
        <f t="shared" si="1151"/>
        <v>1</v>
      </c>
      <c r="Y859" s="80">
        <f t="shared" si="1151"/>
        <v>1</v>
      </c>
    </row>
    <row r="860" ht="16.5" spans="2:25">
      <c r="B860" s="65">
        <v>220</v>
      </c>
      <c r="C860" s="80">
        <f t="shared" si="1124"/>
        <v>25526</v>
      </c>
      <c r="D860" s="80">
        <f t="shared" ref="D860:Y860" si="1152">IF($C860&gt;D$337,1,0)</f>
        <v>1</v>
      </c>
      <c r="E860" s="80">
        <f t="shared" si="1152"/>
        <v>1</v>
      </c>
      <c r="F860" s="80">
        <f t="shared" si="1152"/>
        <v>1</v>
      </c>
      <c r="G860" s="80">
        <f t="shared" si="1152"/>
        <v>1</v>
      </c>
      <c r="H860" s="80">
        <f t="shared" si="1152"/>
        <v>1</v>
      </c>
      <c r="I860" s="80">
        <f t="shared" si="1152"/>
        <v>1</v>
      </c>
      <c r="J860" s="80">
        <f t="shared" si="1152"/>
        <v>1</v>
      </c>
      <c r="K860" s="80">
        <f t="shared" si="1152"/>
        <v>1</v>
      </c>
      <c r="L860" s="80">
        <f t="shared" si="1152"/>
        <v>1</v>
      </c>
      <c r="M860" s="80">
        <f t="shared" si="1152"/>
        <v>1</v>
      </c>
      <c r="N860" s="80">
        <f t="shared" si="1152"/>
        <v>1</v>
      </c>
      <c r="O860" s="80">
        <f t="shared" si="1152"/>
        <v>1</v>
      </c>
      <c r="P860" s="80">
        <f t="shared" si="1152"/>
        <v>1</v>
      </c>
      <c r="Q860" s="80">
        <f t="shared" si="1152"/>
        <v>1</v>
      </c>
      <c r="R860" s="80">
        <f t="shared" si="1152"/>
        <v>1</v>
      </c>
      <c r="S860" s="80">
        <f t="shared" si="1152"/>
        <v>1</v>
      </c>
      <c r="T860" s="80">
        <f t="shared" si="1152"/>
        <v>1</v>
      </c>
      <c r="U860" s="80">
        <f t="shared" si="1152"/>
        <v>1</v>
      </c>
      <c r="V860" s="80">
        <f t="shared" si="1152"/>
        <v>1</v>
      </c>
      <c r="W860" s="80">
        <f t="shared" si="1152"/>
        <v>1</v>
      </c>
      <c r="X860" s="80">
        <f t="shared" si="1152"/>
        <v>1</v>
      </c>
      <c r="Y860" s="80">
        <f t="shared" si="1152"/>
        <v>1</v>
      </c>
    </row>
    <row r="861" ht="16.5" spans="2:25">
      <c r="B861" s="65">
        <v>221</v>
      </c>
      <c r="C861" s="80">
        <f t="shared" si="1124"/>
        <v>25636</v>
      </c>
      <c r="D861" s="80">
        <f t="shared" ref="D861:Y861" si="1153">IF($C861&gt;D$337,1,0)</f>
        <v>1</v>
      </c>
      <c r="E861" s="80">
        <f t="shared" si="1153"/>
        <v>1</v>
      </c>
      <c r="F861" s="80">
        <f t="shared" si="1153"/>
        <v>1</v>
      </c>
      <c r="G861" s="80">
        <f t="shared" si="1153"/>
        <v>1</v>
      </c>
      <c r="H861" s="80">
        <f t="shared" si="1153"/>
        <v>1</v>
      </c>
      <c r="I861" s="80">
        <f t="shared" si="1153"/>
        <v>1</v>
      </c>
      <c r="J861" s="80">
        <f t="shared" si="1153"/>
        <v>1</v>
      </c>
      <c r="K861" s="80">
        <f t="shared" si="1153"/>
        <v>1</v>
      </c>
      <c r="L861" s="80">
        <f t="shared" si="1153"/>
        <v>1</v>
      </c>
      <c r="M861" s="80">
        <f t="shared" si="1153"/>
        <v>1</v>
      </c>
      <c r="N861" s="80">
        <f t="shared" si="1153"/>
        <v>1</v>
      </c>
      <c r="O861" s="80">
        <f t="shared" si="1153"/>
        <v>1</v>
      </c>
      <c r="P861" s="80">
        <f t="shared" si="1153"/>
        <v>1</v>
      </c>
      <c r="Q861" s="80">
        <f t="shared" si="1153"/>
        <v>1</v>
      </c>
      <c r="R861" s="80">
        <f t="shared" si="1153"/>
        <v>1</v>
      </c>
      <c r="S861" s="80">
        <f t="shared" si="1153"/>
        <v>1</v>
      </c>
      <c r="T861" s="80">
        <f t="shared" si="1153"/>
        <v>1</v>
      </c>
      <c r="U861" s="80">
        <f t="shared" si="1153"/>
        <v>1</v>
      </c>
      <c r="V861" s="80">
        <f t="shared" si="1153"/>
        <v>1</v>
      </c>
      <c r="W861" s="80">
        <f t="shared" si="1153"/>
        <v>1</v>
      </c>
      <c r="X861" s="80">
        <f t="shared" si="1153"/>
        <v>1</v>
      </c>
      <c r="Y861" s="80">
        <f t="shared" si="1153"/>
        <v>1</v>
      </c>
    </row>
    <row r="862" ht="16.5" spans="2:25">
      <c r="B862" s="65">
        <v>222</v>
      </c>
      <c r="C862" s="80">
        <f t="shared" si="1124"/>
        <v>25746</v>
      </c>
      <c r="D862" s="80">
        <f t="shared" ref="D862:Y862" si="1154">IF($C862&gt;D$337,1,0)</f>
        <v>1</v>
      </c>
      <c r="E862" s="80">
        <f t="shared" si="1154"/>
        <v>1</v>
      </c>
      <c r="F862" s="80">
        <f t="shared" si="1154"/>
        <v>1</v>
      </c>
      <c r="G862" s="80">
        <f t="shared" si="1154"/>
        <v>1</v>
      </c>
      <c r="H862" s="80">
        <f t="shared" si="1154"/>
        <v>1</v>
      </c>
      <c r="I862" s="80">
        <f t="shared" si="1154"/>
        <v>1</v>
      </c>
      <c r="J862" s="80">
        <f t="shared" si="1154"/>
        <v>1</v>
      </c>
      <c r="K862" s="80">
        <f t="shared" si="1154"/>
        <v>1</v>
      </c>
      <c r="L862" s="80">
        <f t="shared" si="1154"/>
        <v>1</v>
      </c>
      <c r="M862" s="80">
        <f t="shared" si="1154"/>
        <v>1</v>
      </c>
      <c r="N862" s="80">
        <f t="shared" si="1154"/>
        <v>1</v>
      </c>
      <c r="O862" s="80">
        <f t="shared" si="1154"/>
        <v>1</v>
      </c>
      <c r="P862" s="80">
        <f t="shared" si="1154"/>
        <v>1</v>
      </c>
      <c r="Q862" s="80">
        <f t="shared" si="1154"/>
        <v>1</v>
      </c>
      <c r="R862" s="80">
        <f t="shared" si="1154"/>
        <v>1</v>
      </c>
      <c r="S862" s="80">
        <f t="shared" si="1154"/>
        <v>1</v>
      </c>
      <c r="T862" s="80">
        <f t="shared" si="1154"/>
        <v>1</v>
      </c>
      <c r="U862" s="80">
        <f t="shared" si="1154"/>
        <v>1</v>
      </c>
      <c r="V862" s="80">
        <f t="shared" si="1154"/>
        <v>1</v>
      </c>
      <c r="W862" s="80">
        <f t="shared" si="1154"/>
        <v>1</v>
      </c>
      <c r="X862" s="80">
        <f t="shared" si="1154"/>
        <v>1</v>
      </c>
      <c r="Y862" s="80">
        <f t="shared" si="1154"/>
        <v>1</v>
      </c>
    </row>
    <row r="863" ht="16.5" spans="2:25">
      <c r="B863" s="65">
        <v>223</v>
      </c>
      <c r="C863" s="80">
        <f t="shared" si="1124"/>
        <v>25856</v>
      </c>
      <c r="D863" s="80">
        <f t="shared" ref="D863:Y863" si="1155">IF($C863&gt;D$337,1,0)</f>
        <v>1</v>
      </c>
      <c r="E863" s="80">
        <f t="shared" si="1155"/>
        <v>1</v>
      </c>
      <c r="F863" s="80">
        <f t="shared" si="1155"/>
        <v>1</v>
      </c>
      <c r="G863" s="80">
        <f t="shared" si="1155"/>
        <v>1</v>
      </c>
      <c r="H863" s="80">
        <f t="shared" si="1155"/>
        <v>1</v>
      </c>
      <c r="I863" s="80">
        <f t="shared" si="1155"/>
        <v>1</v>
      </c>
      <c r="J863" s="80">
        <f t="shared" si="1155"/>
        <v>1</v>
      </c>
      <c r="K863" s="80">
        <f t="shared" si="1155"/>
        <v>1</v>
      </c>
      <c r="L863" s="80">
        <f t="shared" si="1155"/>
        <v>1</v>
      </c>
      <c r="M863" s="80">
        <f t="shared" si="1155"/>
        <v>1</v>
      </c>
      <c r="N863" s="80">
        <f t="shared" si="1155"/>
        <v>1</v>
      </c>
      <c r="O863" s="80">
        <f t="shared" si="1155"/>
        <v>1</v>
      </c>
      <c r="P863" s="80">
        <f t="shared" si="1155"/>
        <v>1</v>
      </c>
      <c r="Q863" s="80">
        <f t="shared" si="1155"/>
        <v>1</v>
      </c>
      <c r="R863" s="80">
        <f t="shared" si="1155"/>
        <v>1</v>
      </c>
      <c r="S863" s="80">
        <f t="shared" si="1155"/>
        <v>1</v>
      </c>
      <c r="T863" s="80">
        <f t="shared" si="1155"/>
        <v>1</v>
      </c>
      <c r="U863" s="80">
        <f t="shared" si="1155"/>
        <v>1</v>
      </c>
      <c r="V863" s="80">
        <f t="shared" si="1155"/>
        <v>1</v>
      </c>
      <c r="W863" s="80">
        <f t="shared" si="1155"/>
        <v>1</v>
      </c>
      <c r="X863" s="80">
        <f t="shared" si="1155"/>
        <v>1</v>
      </c>
      <c r="Y863" s="80">
        <f t="shared" si="1155"/>
        <v>1</v>
      </c>
    </row>
    <row r="864" ht="16.5" spans="2:25">
      <c r="B864" s="65">
        <v>224</v>
      </c>
      <c r="C864" s="80">
        <f t="shared" si="1124"/>
        <v>25966</v>
      </c>
      <c r="D864" s="80">
        <f t="shared" ref="D864:Y864" si="1156">IF($C864&gt;D$337,1,0)</f>
        <v>1</v>
      </c>
      <c r="E864" s="80">
        <f t="shared" si="1156"/>
        <v>1</v>
      </c>
      <c r="F864" s="80">
        <f t="shared" si="1156"/>
        <v>1</v>
      </c>
      <c r="G864" s="80">
        <f t="shared" si="1156"/>
        <v>1</v>
      </c>
      <c r="H864" s="80">
        <f t="shared" si="1156"/>
        <v>1</v>
      </c>
      <c r="I864" s="80">
        <f t="shared" si="1156"/>
        <v>1</v>
      </c>
      <c r="J864" s="80">
        <f t="shared" si="1156"/>
        <v>1</v>
      </c>
      <c r="K864" s="80">
        <f t="shared" si="1156"/>
        <v>1</v>
      </c>
      <c r="L864" s="80">
        <f t="shared" si="1156"/>
        <v>1</v>
      </c>
      <c r="M864" s="80">
        <f t="shared" si="1156"/>
        <v>1</v>
      </c>
      <c r="N864" s="80">
        <f t="shared" si="1156"/>
        <v>1</v>
      </c>
      <c r="O864" s="80">
        <f t="shared" si="1156"/>
        <v>1</v>
      </c>
      <c r="P864" s="80">
        <f t="shared" si="1156"/>
        <v>1</v>
      </c>
      <c r="Q864" s="80">
        <f t="shared" si="1156"/>
        <v>1</v>
      </c>
      <c r="R864" s="80">
        <f t="shared" si="1156"/>
        <v>1</v>
      </c>
      <c r="S864" s="80">
        <f t="shared" si="1156"/>
        <v>1</v>
      </c>
      <c r="T864" s="80">
        <f t="shared" si="1156"/>
        <v>1</v>
      </c>
      <c r="U864" s="80">
        <f t="shared" si="1156"/>
        <v>1</v>
      </c>
      <c r="V864" s="80">
        <f t="shared" si="1156"/>
        <v>1</v>
      </c>
      <c r="W864" s="80">
        <f t="shared" si="1156"/>
        <v>1</v>
      </c>
      <c r="X864" s="80">
        <f t="shared" si="1156"/>
        <v>1</v>
      </c>
      <c r="Y864" s="80">
        <f t="shared" si="1156"/>
        <v>1</v>
      </c>
    </row>
    <row r="865" ht="16.5" spans="2:25">
      <c r="B865" s="65">
        <v>225</v>
      </c>
      <c r="C865" s="80">
        <f t="shared" si="1124"/>
        <v>26076</v>
      </c>
      <c r="D865" s="80">
        <f t="shared" ref="D865:Y865" si="1157">IF($C865&gt;D$337,1,0)</f>
        <v>1</v>
      </c>
      <c r="E865" s="80">
        <f t="shared" si="1157"/>
        <v>1</v>
      </c>
      <c r="F865" s="80">
        <f t="shared" si="1157"/>
        <v>1</v>
      </c>
      <c r="G865" s="80">
        <f t="shared" si="1157"/>
        <v>1</v>
      </c>
      <c r="H865" s="80">
        <f t="shared" si="1157"/>
        <v>1</v>
      </c>
      <c r="I865" s="80">
        <f t="shared" si="1157"/>
        <v>1</v>
      </c>
      <c r="J865" s="80">
        <f t="shared" si="1157"/>
        <v>1</v>
      </c>
      <c r="K865" s="80">
        <f t="shared" si="1157"/>
        <v>1</v>
      </c>
      <c r="L865" s="80">
        <f t="shared" si="1157"/>
        <v>1</v>
      </c>
      <c r="M865" s="80">
        <f t="shared" si="1157"/>
        <v>1</v>
      </c>
      <c r="N865" s="80">
        <f t="shared" si="1157"/>
        <v>1</v>
      </c>
      <c r="O865" s="80">
        <f t="shared" si="1157"/>
        <v>1</v>
      </c>
      <c r="P865" s="80">
        <f t="shared" si="1157"/>
        <v>1</v>
      </c>
      <c r="Q865" s="80">
        <f t="shared" si="1157"/>
        <v>1</v>
      </c>
      <c r="R865" s="80">
        <f t="shared" si="1157"/>
        <v>1</v>
      </c>
      <c r="S865" s="80">
        <f t="shared" si="1157"/>
        <v>1</v>
      </c>
      <c r="T865" s="80">
        <f t="shared" si="1157"/>
        <v>1</v>
      </c>
      <c r="U865" s="80">
        <f t="shared" si="1157"/>
        <v>1</v>
      </c>
      <c r="V865" s="80">
        <f t="shared" si="1157"/>
        <v>1</v>
      </c>
      <c r="W865" s="80">
        <f t="shared" si="1157"/>
        <v>1</v>
      </c>
      <c r="X865" s="80">
        <f t="shared" si="1157"/>
        <v>1</v>
      </c>
      <c r="Y865" s="80">
        <f t="shared" si="1157"/>
        <v>1</v>
      </c>
    </row>
    <row r="866" ht="16.5" spans="2:25">
      <c r="B866" s="65">
        <v>226</v>
      </c>
      <c r="C866" s="80">
        <f t="shared" si="1124"/>
        <v>26186</v>
      </c>
      <c r="D866" s="80">
        <f t="shared" ref="D866:Y866" si="1158">IF($C866&gt;D$337,1,0)</f>
        <v>1</v>
      </c>
      <c r="E866" s="80">
        <f t="shared" si="1158"/>
        <v>1</v>
      </c>
      <c r="F866" s="80">
        <f t="shared" si="1158"/>
        <v>1</v>
      </c>
      <c r="G866" s="80">
        <f t="shared" si="1158"/>
        <v>1</v>
      </c>
      <c r="H866" s="80">
        <f t="shared" si="1158"/>
        <v>1</v>
      </c>
      <c r="I866" s="80">
        <f t="shared" si="1158"/>
        <v>1</v>
      </c>
      <c r="J866" s="80">
        <f t="shared" si="1158"/>
        <v>1</v>
      </c>
      <c r="K866" s="80">
        <f t="shared" si="1158"/>
        <v>1</v>
      </c>
      <c r="L866" s="80">
        <f t="shared" si="1158"/>
        <v>1</v>
      </c>
      <c r="M866" s="80">
        <f t="shared" si="1158"/>
        <v>1</v>
      </c>
      <c r="N866" s="80">
        <f t="shared" si="1158"/>
        <v>1</v>
      </c>
      <c r="O866" s="80">
        <f t="shared" si="1158"/>
        <v>1</v>
      </c>
      <c r="P866" s="80">
        <f t="shared" si="1158"/>
        <v>1</v>
      </c>
      <c r="Q866" s="80">
        <f t="shared" si="1158"/>
        <v>1</v>
      </c>
      <c r="R866" s="80">
        <f t="shared" si="1158"/>
        <v>1</v>
      </c>
      <c r="S866" s="80">
        <f t="shared" si="1158"/>
        <v>1</v>
      </c>
      <c r="T866" s="80">
        <f t="shared" si="1158"/>
        <v>1</v>
      </c>
      <c r="U866" s="80">
        <f t="shared" si="1158"/>
        <v>1</v>
      </c>
      <c r="V866" s="80">
        <f t="shared" si="1158"/>
        <v>1</v>
      </c>
      <c r="W866" s="80">
        <f t="shared" si="1158"/>
        <v>1</v>
      </c>
      <c r="X866" s="80">
        <f t="shared" si="1158"/>
        <v>1</v>
      </c>
      <c r="Y866" s="80">
        <f t="shared" si="1158"/>
        <v>1</v>
      </c>
    </row>
    <row r="867" ht="16.5" spans="2:25">
      <c r="B867" s="65">
        <v>227</v>
      </c>
      <c r="C867" s="80">
        <f t="shared" si="1124"/>
        <v>26296</v>
      </c>
      <c r="D867" s="80">
        <f t="shared" ref="D867:Y867" si="1159">IF($C867&gt;D$337,1,0)</f>
        <v>1</v>
      </c>
      <c r="E867" s="80">
        <f t="shared" si="1159"/>
        <v>1</v>
      </c>
      <c r="F867" s="80">
        <f t="shared" si="1159"/>
        <v>1</v>
      </c>
      <c r="G867" s="80">
        <f t="shared" si="1159"/>
        <v>1</v>
      </c>
      <c r="H867" s="80">
        <f t="shared" si="1159"/>
        <v>1</v>
      </c>
      <c r="I867" s="80">
        <f t="shared" si="1159"/>
        <v>1</v>
      </c>
      <c r="J867" s="80">
        <f t="shared" si="1159"/>
        <v>1</v>
      </c>
      <c r="K867" s="80">
        <f t="shared" si="1159"/>
        <v>1</v>
      </c>
      <c r="L867" s="80">
        <f t="shared" si="1159"/>
        <v>1</v>
      </c>
      <c r="M867" s="80">
        <f t="shared" si="1159"/>
        <v>1</v>
      </c>
      <c r="N867" s="80">
        <f t="shared" si="1159"/>
        <v>1</v>
      </c>
      <c r="O867" s="80">
        <f t="shared" si="1159"/>
        <v>1</v>
      </c>
      <c r="P867" s="80">
        <f t="shared" si="1159"/>
        <v>1</v>
      </c>
      <c r="Q867" s="80">
        <f t="shared" si="1159"/>
        <v>1</v>
      </c>
      <c r="R867" s="80">
        <f t="shared" si="1159"/>
        <v>1</v>
      </c>
      <c r="S867" s="80">
        <f t="shared" si="1159"/>
        <v>1</v>
      </c>
      <c r="T867" s="80">
        <f t="shared" si="1159"/>
        <v>1</v>
      </c>
      <c r="U867" s="80">
        <f t="shared" si="1159"/>
        <v>1</v>
      </c>
      <c r="V867" s="80">
        <f t="shared" si="1159"/>
        <v>1</v>
      </c>
      <c r="W867" s="80">
        <f t="shared" si="1159"/>
        <v>1</v>
      </c>
      <c r="X867" s="80">
        <f t="shared" si="1159"/>
        <v>1</v>
      </c>
      <c r="Y867" s="80">
        <f t="shared" si="1159"/>
        <v>1</v>
      </c>
    </row>
    <row r="868" ht="16.5" spans="2:25">
      <c r="B868" s="65">
        <v>228</v>
      </c>
      <c r="C868" s="80">
        <f t="shared" si="1124"/>
        <v>26406</v>
      </c>
      <c r="D868" s="80">
        <f t="shared" ref="D868:Y868" si="1160">IF($C868&gt;D$337,1,0)</f>
        <v>1</v>
      </c>
      <c r="E868" s="80">
        <f t="shared" si="1160"/>
        <v>1</v>
      </c>
      <c r="F868" s="80">
        <f t="shared" si="1160"/>
        <v>1</v>
      </c>
      <c r="G868" s="80">
        <f t="shared" si="1160"/>
        <v>1</v>
      </c>
      <c r="H868" s="80">
        <f t="shared" si="1160"/>
        <v>1</v>
      </c>
      <c r="I868" s="80">
        <f t="shared" si="1160"/>
        <v>1</v>
      </c>
      <c r="J868" s="80">
        <f t="shared" si="1160"/>
        <v>1</v>
      </c>
      <c r="K868" s="80">
        <f t="shared" si="1160"/>
        <v>1</v>
      </c>
      <c r="L868" s="80">
        <f t="shared" si="1160"/>
        <v>1</v>
      </c>
      <c r="M868" s="80">
        <f t="shared" si="1160"/>
        <v>1</v>
      </c>
      <c r="N868" s="80">
        <f t="shared" si="1160"/>
        <v>1</v>
      </c>
      <c r="O868" s="80">
        <f t="shared" si="1160"/>
        <v>1</v>
      </c>
      <c r="P868" s="80">
        <f t="shared" si="1160"/>
        <v>1</v>
      </c>
      <c r="Q868" s="80">
        <f t="shared" si="1160"/>
        <v>1</v>
      </c>
      <c r="R868" s="80">
        <f t="shared" si="1160"/>
        <v>1</v>
      </c>
      <c r="S868" s="80">
        <f t="shared" si="1160"/>
        <v>1</v>
      </c>
      <c r="T868" s="80">
        <f t="shared" si="1160"/>
        <v>1</v>
      </c>
      <c r="U868" s="80">
        <f t="shared" si="1160"/>
        <v>1</v>
      </c>
      <c r="V868" s="80">
        <f t="shared" si="1160"/>
        <v>1</v>
      </c>
      <c r="W868" s="80">
        <f t="shared" si="1160"/>
        <v>1</v>
      </c>
      <c r="X868" s="80">
        <f t="shared" si="1160"/>
        <v>1</v>
      </c>
      <c r="Y868" s="80">
        <f t="shared" si="1160"/>
        <v>1</v>
      </c>
    </row>
    <row r="869" ht="16.5" spans="2:25">
      <c r="B869" s="65">
        <v>229</v>
      </c>
      <c r="C869" s="80">
        <f t="shared" si="1124"/>
        <v>26516</v>
      </c>
      <c r="D869" s="80">
        <f t="shared" ref="D869:Y869" si="1161">IF($C869&gt;D$337,1,0)</f>
        <v>1</v>
      </c>
      <c r="E869" s="80">
        <f t="shared" si="1161"/>
        <v>1</v>
      </c>
      <c r="F869" s="80">
        <f t="shared" si="1161"/>
        <v>1</v>
      </c>
      <c r="G869" s="80">
        <f t="shared" si="1161"/>
        <v>1</v>
      </c>
      <c r="H869" s="80">
        <f t="shared" si="1161"/>
        <v>1</v>
      </c>
      <c r="I869" s="80">
        <f t="shared" si="1161"/>
        <v>1</v>
      </c>
      <c r="J869" s="80">
        <f t="shared" si="1161"/>
        <v>1</v>
      </c>
      <c r="K869" s="80">
        <f t="shared" si="1161"/>
        <v>1</v>
      </c>
      <c r="L869" s="80">
        <f t="shared" si="1161"/>
        <v>1</v>
      </c>
      <c r="M869" s="80">
        <f t="shared" si="1161"/>
        <v>1</v>
      </c>
      <c r="N869" s="80">
        <f t="shared" si="1161"/>
        <v>1</v>
      </c>
      <c r="O869" s="80">
        <f t="shared" si="1161"/>
        <v>1</v>
      </c>
      <c r="P869" s="80">
        <f t="shared" si="1161"/>
        <v>1</v>
      </c>
      <c r="Q869" s="80">
        <f t="shared" si="1161"/>
        <v>1</v>
      </c>
      <c r="R869" s="80">
        <f t="shared" si="1161"/>
        <v>1</v>
      </c>
      <c r="S869" s="80">
        <f t="shared" si="1161"/>
        <v>1</v>
      </c>
      <c r="T869" s="80">
        <f t="shared" si="1161"/>
        <v>1</v>
      </c>
      <c r="U869" s="80">
        <f t="shared" si="1161"/>
        <v>1</v>
      </c>
      <c r="V869" s="80">
        <f t="shared" si="1161"/>
        <v>1</v>
      </c>
      <c r="W869" s="80">
        <f t="shared" si="1161"/>
        <v>1</v>
      </c>
      <c r="X869" s="80">
        <f t="shared" si="1161"/>
        <v>1</v>
      </c>
      <c r="Y869" s="80">
        <f t="shared" si="1161"/>
        <v>1</v>
      </c>
    </row>
    <row r="870" ht="16.5" spans="2:25">
      <c r="B870" s="65">
        <v>230</v>
      </c>
      <c r="C870" s="80">
        <f t="shared" si="1124"/>
        <v>26626</v>
      </c>
      <c r="D870" s="80">
        <f t="shared" ref="D870:Y870" si="1162">IF($C870&gt;D$337,1,0)</f>
        <v>1</v>
      </c>
      <c r="E870" s="80">
        <f t="shared" si="1162"/>
        <v>1</v>
      </c>
      <c r="F870" s="80">
        <f t="shared" si="1162"/>
        <v>1</v>
      </c>
      <c r="G870" s="80">
        <f t="shared" si="1162"/>
        <v>1</v>
      </c>
      <c r="H870" s="80">
        <f t="shared" si="1162"/>
        <v>1</v>
      </c>
      <c r="I870" s="80">
        <f t="shared" si="1162"/>
        <v>1</v>
      </c>
      <c r="J870" s="80">
        <f t="shared" si="1162"/>
        <v>1</v>
      </c>
      <c r="K870" s="80">
        <f t="shared" si="1162"/>
        <v>1</v>
      </c>
      <c r="L870" s="80">
        <f t="shared" si="1162"/>
        <v>1</v>
      </c>
      <c r="M870" s="80">
        <f t="shared" si="1162"/>
        <v>1</v>
      </c>
      <c r="N870" s="80">
        <f t="shared" si="1162"/>
        <v>1</v>
      </c>
      <c r="O870" s="80">
        <f t="shared" si="1162"/>
        <v>1</v>
      </c>
      <c r="P870" s="80">
        <f t="shared" si="1162"/>
        <v>1</v>
      </c>
      <c r="Q870" s="80">
        <f t="shared" si="1162"/>
        <v>1</v>
      </c>
      <c r="R870" s="80">
        <f t="shared" si="1162"/>
        <v>1</v>
      </c>
      <c r="S870" s="80">
        <f t="shared" si="1162"/>
        <v>1</v>
      </c>
      <c r="T870" s="80">
        <f t="shared" si="1162"/>
        <v>1</v>
      </c>
      <c r="U870" s="80">
        <f t="shared" si="1162"/>
        <v>1</v>
      </c>
      <c r="V870" s="80">
        <f t="shared" si="1162"/>
        <v>1</v>
      </c>
      <c r="W870" s="80">
        <f t="shared" si="1162"/>
        <v>1</v>
      </c>
      <c r="X870" s="80">
        <f t="shared" si="1162"/>
        <v>1</v>
      </c>
      <c r="Y870" s="80">
        <f t="shared" si="1162"/>
        <v>1</v>
      </c>
    </row>
    <row r="871" ht="16.5" spans="2:25">
      <c r="B871" s="65">
        <v>231</v>
      </c>
      <c r="C871" s="80">
        <f t="shared" si="1124"/>
        <v>26736</v>
      </c>
      <c r="D871" s="80">
        <f t="shared" ref="D871:Y871" si="1163">IF($C871&gt;D$337,1,0)</f>
        <v>1</v>
      </c>
      <c r="E871" s="80">
        <f t="shared" si="1163"/>
        <v>1</v>
      </c>
      <c r="F871" s="80">
        <f t="shared" si="1163"/>
        <v>1</v>
      </c>
      <c r="G871" s="80">
        <f t="shared" si="1163"/>
        <v>1</v>
      </c>
      <c r="H871" s="80">
        <f t="shared" si="1163"/>
        <v>1</v>
      </c>
      <c r="I871" s="80">
        <f t="shared" si="1163"/>
        <v>1</v>
      </c>
      <c r="J871" s="80">
        <f t="shared" si="1163"/>
        <v>1</v>
      </c>
      <c r="K871" s="80">
        <f t="shared" si="1163"/>
        <v>1</v>
      </c>
      <c r="L871" s="80">
        <f t="shared" si="1163"/>
        <v>1</v>
      </c>
      <c r="M871" s="80">
        <f t="shared" si="1163"/>
        <v>1</v>
      </c>
      <c r="N871" s="80">
        <f t="shared" si="1163"/>
        <v>1</v>
      </c>
      <c r="O871" s="80">
        <f t="shared" si="1163"/>
        <v>1</v>
      </c>
      <c r="P871" s="80">
        <f t="shared" si="1163"/>
        <v>1</v>
      </c>
      <c r="Q871" s="80">
        <f t="shared" si="1163"/>
        <v>1</v>
      </c>
      <c r="R871" s="80">
        <f t="shared" si="1163"/>
        <v>1</v>
      </c>
      <c r="S871" s="80">
        <f t="shared" si="1163"/>
        <v>1</v>
      </c>
      <c r="T871" s="80">
        <f t="shared" si="1163"/>
        <v>1</v>
      </c>
      <c r="U871" s="80">
        <f t="shared" si="1163"/>
        <v>1</v>
      </c>
      <c r="V871" s="80">
        <f t="shared" si="1163"/>
        <v>1</v>
      </c>
      <c r="W871" s="80">
        <f t="shared" si="1163"/>
        <v>1</v>
      </c>
      <c r="X871" s="80">
        <f t="shared" si="1163"/>
        <v>1</v>
      </c>
      <c r="Y871" s="80">
        <f t="shared" si="1163"/>
        <v>1</v>
      </c>
    </row>
    <row r="872" ht="16.5" spans="2:25">
      <c r="B872" s="65">
        <v>232</v>
      </c>
      <c r="C872" s="80">
        <f t="shared" si="1124"/>
        <v>26846</v>
      </c>
      <c r="D872" s="80">
        <f t="shared" ref="D872:Y872" si="1164">IF($C872&gt;D$337,1,0)</f>
        <v>1</v>
      </c>
      <c r="E872" s="80">
        <f t="shared" si="1164"/>
        <v>1</v>
      </c>
      <c r="F872" s="80">
        <f t="shared" si="1164"/>
        <v>1</v>
      </c>
      <c r="G872" s="80">
        <f t="shared" si="1164"/>
        <v>1</v>
      </c>
      <c r="H872" s="80">
        <f t="shared" si="1164"/>
        <v>1</v>
      </c>
      <c r="I872" s="80">
        <f t="shared" si="1164"/>
        <v>1</v>
      </c>
      <c r="J872" s="80">
        <f t="shared" si="1164"/>
        <v>1</v>
      </c>
      <c r="K872" s="80">
        <f t="shared" si="1164"/>
        <v>1</v>
      </c>
      <c r="L872" s="80">
        <f t="shared" si="1164"/>
        <v>1</v>
      </c>
      <c r="M872" s="80">
        <f t="shared" si="1164"/>
        <v>1</v>
      </c>
      <c r="N872" s="80">
        <f t="shared" si="1164"/>
        <v>1</v>
      </c>
      <c r="O872" s="80">
        <f t="shared" si="1164"/>
        <v>1</v>
      </c>
      <c r="P872" s="80">
        <f t="shared" si="1164"/>
        <v>1</v>
      </c>
      <c r="Q872" s="80">
        <f t="shared" si="1164"/>
        <v>1</v>
      </c>
      <c r="R872" s="80">
        <f t="shared" si="1164"/>
        <v>1</v>
      </c>
      <c r="S872" s="80">
        <f t="shared" si="1164"/>
        <v>1</v>
      </c>
      <c r="T872" s="80">
        <f t="shared" si="1164"/>
        <v>1</v>
      </c>
      <c r="U872" s="80">
        <f t="shared" si="1164"/>
        <v>1</v>
      </c>
      <c r="V872" s="80">
        <f t="shared" si="1164"/>
        <v>1</v>
      </c>
      <c r="W872" s="80">
        <f t="shared" si="1164"/>
        <v>1</v>
      </c>
      <c r="X872" s="80">
        <f t="shared" si="1164"/>
        <v>1</v>
      </c>
      <c r="Y872" s="80">
        <f t="shared" si="1164"/>
        <v>1</v>
      </c>
    </row>
    <row r="873" ht="16.5" spans="2:25">
      <c r="B873" s="65">
        <v>233</v>
      </c>
      <c r="C873" s="80">
        <f t="shared" si="1124"/>
        <v>26956</v>
      </c>
      <c r="D873" s="80">
        <f t="shared" ref="D873:Y873" si="1165">IF($C873&gt;D$337,1,0)</f>
        <v>1</v>
      </c>
      <c r="E873" s="80">
        <f t="shared" si="1165"/>
        <v>1</v>
      </c>
      <c r="F873" s="80">
        <f t="shared" si="1165"/>
        <v>1</v>
      </c>
      <c r="G873" s="80">
        <f t="shared" si="1165"/>
        <v>1</v>
      </c>
      <c r="H873" s="80">
        <f t="shared" si="1165"/>
        <v>1</v>
      </c>
      <c r="I873" s="80">
        <f t="shared" si="1165"/>
        <v>1</v>
      </c>
      <c r="J873" s="80">
        <f t="shared" si="1165"/>
        <v>1</v>
      </c>
      <c r="K873" s="80">
        <f t="shared" si="1165"/>
        <v>1</v>
      </c>
      <c r="L873" s="80">
        <f t="shared" si="1165"/>
        <v>1</v>
      </c>
      <c r="M873" s="80">
        <f t="shared" si="1165"/>
        <v>1</v>
      </c>
      <c r="N873" s="80">
        <f t="shared" si="1165"/>
        <v>1</v>
      </c>
      <c r="O873" s="80">
        <f t="shared" si="1165"/>
        <v>1</v>
      </c>
      <c r="P873" s="80">
        <f t="shared" si="1165"/>
        <v>1</v>
      </c>
      <c r="Q873" s="80">
        <f t="shared" si="1165"/>
        <v>1</v>
      </c>
      <c r="R873" s="80">
        <f t="shared" si="1165"/>
        <v>1</v>
      </c>
      <c r="S873" s="80">
        <f t="shared" si="1165"/>
        <v>1</v>
      </c>
      <c r="T873" s="80">
        <f t="shared" si="1165"/>
        <v>1</v>
      </c>
      <c r="U873" s="80">
        <f t="shared" si="1165"/>
        <v>1</v>
      </c>
      <c r="V873" s="80">
        <f t="shared" si="1165"/>
        <v>1</v>
      </c>
      <c r="W873" s="80">
        <f t="shared" si="1165"/>
        <v>1</v>
      </c>
      <c r="X873" s="80">
        <f t="shared" si="1165"/>
        <v>1</v>
      </c>
      <c r="Y873" s="80">
        <f t="shared" si="1165"/>
        <v>1</v>
      </c>
    </row>
    <row r="874" ht="16.5" spans="2:25">
      <c r="B874" s="65">
        <v>234</v>
      </c>
      <c r="C874" s="80">
        <f t="shared" si="1124"/>
        <v>27066</v>
      </c>
      <c r="D874" s="80">
        <f t="shared" ref="D874:Y874" si="1166">IF($C874&gt;D$337,1,0)</f>
        <v>1</v>
      </c>
      <c r="E874" s="80">
        <f t="shared" si="1166"/>
        <v>1</v>
      </c>
      <c r="F874" s="80">
        <f t="shared" si="1166"/>
        <v>1</v>
      </c>
      <c r="G874" s="80">
        <f t="shared" si="1166"/>
        <v>1</v>
      </c>
      <c r="H874" s="80">
        <f t="shared" si="1166"/>
        <v>1</v>
      </c>
      <c r="I874" s="80">
        <f t="shared" si="1166"/>
        <v>1</v>
      </c>
      <c r="J874" s="80">
        <f t="shared" si="1166"/>
        <v>1</v>
      </c>
      <c r="K874" s="80">
        <f t="shared" si="1166"/>
        <v>1</v>
      </c>
      <c r="L874" s="80">
        <f t="shared" si="1166"/>
        <v>1</v>
      </c>
      <c r="M874" s="80">
        <f t="shared" si="1166"/>
        <v>1</v>
      </c>
      <c r="N874" s="80">
        <f t="shared" si="1166"/>
        <v>1</v>
      </c>
      <c r="O874" s="80">
        <f t="shared" si="1166"/>
        <v>1</v>
      </c>
      <c r="P874" s="80">
        <f t="shared" si="1166"/>
        <v>1</v>
      </c>
      <c r="Q874" s="80">
        <f t="shared" si="1166"/>
        <v>1</v>
      </c>
      <c r="R874" s="80">
        <f t="shared" si="1166"/>
        <v>1</v>
      </c>
      <c r="S874" s="80">
        <f t="shared" si="1166"/>
        <v>1</v>
      </c>
      <c r="T874" s="80">
        <f t="shared" si="1166"/>
        <v>1</v>
      </c>
      <c r="U874" s="80">
        <f t="shared" si="1166"/>
        <v>1</v>
      </c>
      <c r="V874" s="80">
        <f t="shared" si="1166"/>
        <v>1</v>
      </c>
      <c r="W874" s="80">
        <f t="shared" si="1166"/>
        <v>1</v>
      </c>
      <c r="X874" s="80">
        <f t="shared" si="1166"/>
        <v>1</v>
      </c>
      <c r="Y874" s="80">
        <f t="shared" si="1166"/>
        <v>1</v>
      </c>
    </row>
    <row r="875" ht="16.5" spans="2:25">
      <c r="B875" s="65">
        <v>235</v>
      </c>
      <c r="C875" s="80">
        <f t="shared" si="1124"/>
        <v>27176</v>
      </c>
      <c r="D875" s="80">
        <f t="shared" ref="D875:Y875" si="1167">IF($C875&gt;D$337,1,0)</f>
        <v>1</v>
      </c>
      <c r="E875" s="80">
        <f t="shared" si="1167"/>
        <v>1</v>
      </c>
      <c r="F875" s="80">
        <f t="shared" si="1167"/>
        <v>1</v>
      </c>
      <c r="G875" s="80">
        <f t="shared" si="1167"/>
        <v>1</v>
      </c>
      <c r="H875" s="80">
        <f t="shared" si="1167"/>
        <v>1</v>
      </c>
      <c r="I875" s="80">
        <f t="shared" si="1167"/>
        <v>1</v>
      </c>
      <c r="J875" s="80">
        <f t="shared" si="1167"/>
        <v>1</v>
      </c>
      <c r="K875" s="80">
        <f t="shared" si="1167"/>
        <v>1</v>
      </c>
      <c r="L875" s="80">
        <f t="shared" si="1167"/>
        <v>1</v>
      </c>
      <c r="M875" s="80">
        <f t="shared" si="1167"/>
        <v>1</v>
      </c>
      <c r="N875" s="80">
        <f t="shared" si="1167"/>
        <v>1</v>
      </c>
      <c r="O875" s="80">
        <f t="shared" si="1167"/>
        <v>1</v>
      </c>
      <c r="P875" s="80">
        <f t="shared" si="1167"/>
        <v>1</v>
      </c>
      <c r="Q875" s="80">
        <f t="shared" si="1167"/>
        <v>1</v>
      </c>
      <c r="R875" s="80">
        <f t="shared" si="1167"/>
        <v>1</v>
      </c>
      <c r="S875" s="80">
        <f t="shared" si="1167"/>
        <v>1</v>
      </c>
      <c r="T875" s="80">
        <f t="shared" si="1167"/>
        <v>1</v>
      </c>
      <c r="U875" s="80">
        <f t="shared" si="1167"/>
        <v>1</v>
      </c>
      <c r="V875" s="80">
        <f t="shared" si="1167"/>
        <v>1</v>
      </c>
      <c r="W875" s="80">
        <f t="shared" si="1167"/>
        <v>1</v>
      </c>
      <c r="X875" s="80">
        <f t="shared" si="1167"/>
        <v>1</v>
      </c>
      <c r="Y875" s="80">
        <f t="shared" si="1167"/>
        <v>1</v>
      </c>
    </row>
    <row r="876" ht="16.5" spans="2:25">
      <c r="B876" s="65">
        <v>236</v>
      </c>
      <c r="C876" s="80">
        <f t="shared" si="1124"/>
        <v>27286</v>
      </c>
      <c r="D876" s="80">
        <f t="shared" ref="D876:Y876" si="1168">IF($C876&gt;D$337,1,0)</f>
        <v>1</v>
      </c>
      <c r="E876" s="80">
        <f t="shared" si="1168"/>
        <v>1</v>
      </c>
      <c r="F876" s="80">
        <f t="shared" si="1168"/>
        <v>1</v>
      </c>
      <c r="G876" s="80">
        <f t="shared" si="1168"/>
        <v>1</v>
      </c>
      <c r="H876" s="80">
        <f t="shared" si="1168"/>
        <v>1</v>
      </c>
      <c r="I876" s="80">
        <f t="shared" si="1168"/>
        <v>1</v>
      </c>
      <c r="J876" s="80">
        <f t="shared" si="1168"/>
        <v>1</v>
      </c>
      <c r="K876" s="80">
        <f t="shared" si="1168"/>
        <v>1</v>
      </c>
      <c r="L876" s="80">
        <f t="shared" si="1168"/>
        <v>1</v>
      </c>
      <c r="M876" s="80">
        <f t="shared" si="1168"/>
        <v>1</v>
      </c>
      <c r="N876" s="80">
        <f t="shared" si="1168"/>
        <v>1</v>
      </c>
      <c r="O876" s="80">
        <f t="shared" si="1168"/>
        <v>1</v>
      </c>
      <c r="P876" s="80">
        <f t="shared" si="1168"/>
        <v>1</v>
      </c>
      <c r="Q876" s="80">
        <f t="shared" si="1168"/>
        <v>1</v>
      </c>
      <c r="R876" s="80">
        <f t="shared" si="1168"/>
        <v>1</v>
      </c>
      <c r="S876" s="80">
        <f t="shared" si="1168"/>
        <v>1</v>
      </c>
      <c r="T876" s="80">
        <f t="shared" si="1168"/>
        <v>1</v>
      </c>
      <c r="U876" s="80">
        <f t="shared" si="1168"/>
        <v>1</v>
      </c>
      <c r="V876" s="80">
        <f t="shared" si="1168"/>
        <v>1</v>
      </c>
      <c r="W876" s="80">
        <f t="shared" si="1168"/>
        <v>1</v>
      </c>
      <c r="X876" s="80">
        <f t="shared" si="1168"/>
        <v>1</v>
      </c>
      <c r="Y876" s="80">
        <f t="shared" si="1168"/>
        <v>1</v>
      </c>
    </row>
    <row r="877" ht="16.5" spans="2:25">
      <c r="B877" s="65">
        <v>237</v>
      </c>
      <c r="C877" s="80">
        <f t="shared" si="1124"/>
        <v>27396</v>
      </c>
      <c r="D877" s="80">
        <f t="shared" ref="D877:Y877" si="1169">IF($C877&gt;D$337,1,0)</f>
        <v>1</v>
      </c>
      <c r="E877" s="80">
        <f t="shared" si="1169"/>
        <v>1</v>
      </c>
      <c r="F877" s="80">
        <f t="shared" si="1169"/>
        <v>1</v>
      </c>
      <c r="G877" s="80">
        <f t="shared" si="1169"/>
        <v>1</v>
      </c>
      <c r="H877" s="80">
        <f t="shared" si="1169"/>
        <v>1</v>
      </c>
      <c r="I877" s="80">
        <f t="shared" si="1169"/>
        <v>1</v>
      </c>
      <c r="J877" s="80">
        <f t="shared" si="1169"/>
        <v>1</v>
      </c>
      <c r="K877" s="80">
        <f t="shared" si="1169"/>
        <v>1</v>
      </c>
      <c r="L877" s="80">
        <f t="shared" si="1169"/>
        <v>1</v>
      </c>
      <c r="M877" s="80">
        <f t="shared" si="1169"/>
        <v>1</v>
      </c>
      <c r="N877" s="80">
        <f t="shared" si="1169"/>
        <v>1</v>
      </c>
      <c r="O877" s="80">
        <f t="shared" si="1169"/>
        <v>1</v>
      </c>
      <c r="P877" s="80">
        <f t="shared" si="1169"/>
        <v>1</v>
      </c>
      <c r="Q877" s="80">
        <f t="shared" si="1169"/>
        <v>1</v>
      </c>
      <c r="R877" s="80">
        <f t="shared" si="1169"/>
        <v>1</v>
      </c>
      <c r="S877" s="80">
        <f t="shared" si="1169"/>
        <v>1</v>
      </c>
      <c r="T877" s="80">
        <f t="shared" si="1169"/>
        <v>1</v>
      </c>
      <c r="U877" s="80">
        <f t="shared" si="1169"/>
        <v>1</v>
      </c>
      <c r="V877" s="80">
        <f t="shared" si="1169"/>
        <v>1</v>
      </c>
      <c r="W877" s="80">
        <f t="shared" si="1169"/>
        <v>1</v>
      </c>
      <c r="X877" s="80">
        <f t="shared" si="1169"/>
        <v>1</v>
      </c>
      <c r="Y877" s="80">
        <f t="shared" si="1169"/>
        <v>1</v>
      </c>
    </row>
    <row r="878" ht="16.5" spans="2:25">
      <c r="B878" s="65">
        <v>238</v>
      </c>
      <c r="C878" s="80">
        <f t="shared" si="1124"/>
        <v>27506</v>
      </c>
      <c r="D878" s="80">
        <f t="shared" ref="D878:Y878" si="1170">IF($C878&gt;D$337,1,0)</f>
        <v>1</v>
      </c>
      <c r="E878" s="80">
        <f t="shared" si="1170"/>
        <v>1</v>
      </c>
      <c r="F878" s="80">
        <f t="shared" si="1170"/>
        <v>1</v>
      </c>
      <c r="G878" s="80">
        <f t="shared" si="1170"/>
        <v>1</v>
      </c>
      <c r="H878" s="80">
        <f t="shared" si="1170"/>
        <v>1</v>
      </c>
      <c r="I878" s="80">
        <f t="shared" si="1170"/>
        <v>1</v>
      </c>
      <c r="J878" s="80">
        <f t="shared" si="1170"/>
        <v>1</v>
      </c>
      <c r="K878" s="80">
        <f t="shared" si="1170"/>
        <v>1</v>
      </c>
      <c r="L878" s="80">
        <f t="shared" si="1170"/>
        <v>1</v>
      </c>
      <c r="M878" s="80">
        <f t="shared" si="1170"/>
        <v>1</v>
      </c>
      <c r="N878" s="80">
        <f t="shared" si="1170"/>
        <v>1</v>
      </c>
      <c r="O878" s="80">
        <f t="shared" si="1170"/>
        <v>1</v>
      </c>
      <c r="P878" s="80">
        <f t="shared" si="1170"/>
        <v>1</v>
      </c>
      <c r="Q878" s="80">
        <f t="shared" si="1170"/>
        <v>1</v>
      </c>
      <c r="R878" s="80">
        <f t="shared" si="1170"/>
        <v>1</v>
      </c>
      <c r="S878" s="80">
        <f t="shared" si="1170"/>
        <v>1</v>
      </c>
      <c r="T878" s="80">
        <f t="shared" si="1170"/>
        <v>1</v>
      </c>
      <c r="U878" s="80">
        <f t="shared" si="1170"/>
        <v>1</v>
      </c>
      <c r="V878" s="80">
        <f t="shared" si="1170"/>
        <v>1</v>
      </c>
      <c r="W878" s="80">
        <f t="shared" si="1170"/>
        <v>1</v>
      </c>
      <c r="X878" s="80">
        <f t="shared" si="1170"/>
        <v>1</v>
      </c>
      <c r="Y878" s="80">
        <f t="shared" si="1170"/>
        <v>1</v>
      </c>
    </row>
    <row r="879" ht="16.5" spans="2:25">
      <c r="B879" s="65">
        <v>239</v>
      </c>
      <c r="C879" s="80">
        <f t="shared" si="1124"/>
        <v>27616</v>
      </c>
      <c r="D879" s="80">
        <f t="shared" ref="D879:Y879" si="1171">IF($C879&gt;D$337,1,0)</f>
        <v>1</v>
      </c>
      <c r="E879" s="80">
        <f t="shared" si="1171"/>
        <v>1</v>
      </c>
      <c r="F879" s="80">
        <f t="shared" si="1171"/>
        <v>1</v>
      </c>
      <c r="G879" s="80">
        <f t="shared" si="1171"/>
        <v>1</v>
      </c>
      <c r="H879" s="80">
        <f t="shared" si="1171"/>
        <v>1</v>
      </c>
      <c r="I879" s="80">
        <f t="shared" si="1171"/>
        <v>1</v>
      </c>
      <c r="J879" s="80">
        <f t="shared" si="1171"/>
        <v>1</v>
      </c>
      <c r="K879" s="80">
        <f t="shared" si="1171"/>
        <v>1</v>
      </c>
      <c r="L879" s="80">
        <f t="shared" si="1171"/>
        <v>1</v>
      </c>
      <c r="M879" s="80">
        <f t="shared" si="1171"/>
        <v>1</v>
      </c>
      <c r="N879" s="80">
        <f t="shared" si="1171"/>
        <v>1</v>
      </c>
      <c r="O879" s="80">
        <f t="shared" si="1171"/>
        <v>1</v>
      </c>
      <c r="P879" s="80">
        <f t="shared" si="1171"/>
        <v>1</v>
      </c>
      <c r="Q879" s="80">
        <f t="shared" si="1171"/>
        <v>1</v>
      </c>
      <c r="R879" s="80">
        <f t="shared" si="1171"/>
        <v>1</v>
      </c>
      <c r="S879" s="80">
        <f t="shared" si="1171"/>
        <v>1</v>
      </c>
      <c r="T879" s="80">
        <f t="shared" si="1171"/>
        <v>1</v>
      </c>
      <c r="U879" s="80">
        <f t="shared" si="1171"/>
        <v>1</v>
      </c>
      <c r="V879" s="80">
        <f t="shared" si="1171"/>
        <v>1</v>
      </c>
      <c r="W879" s="80">
        <f t="shared" si="1171"/>
        <v>1</v>
      </c>
      <c r="X879" s="80">
        <f t="shared" si="1171"/>
        <v>1</v>
      </c>
      <c r="Y879" s="80">
        <f t="shared" si="1171"/>
        <v>1</v>
      </c>
    </row>
    <row r="880" ht="16.5" spans="2:25">
      <c r="B880" s="65">
        <v>240</v>
      </c>
      <c r="C880" s="80">
        <f t="shared" si="1124"/>
        <v>27726</v>
      </c>
      <c r="D880" s="80">
        <f t="shared" ref="D880:Y880" si="1172">IF($C880&gt;D$337,1,0)</f>
        <v>1</v>
      </c>
      <c r="E880" s="80">
        <f t="shared" si="1172"/>
        <v>1</v>
      </c>
      <c r="F880" s="80">
        <f t="shared" si="1172"/>
        <v>1</v>
      </c>
      <c r="G880" s="80">
        <f t="shared" si="1172"/>
        <v>1</v>
      </c>
      <c r="H880" s="80">
        <f t="shared" si="1172"/>
        <v>1</v>
      </c>
      <c r="I880" s="80">
        <f t="shared" si="1172"/>
        <v>1</v>
      </c>
      <c r="J880" s="80">
        <f t="shared" si="1172"/>
        <v>1</v>
      </c>
      <c r="K880" s="80">
        <f t="shared" si="1172"/>
        <v>1</v>
      </c>
      <c r="L880" s="80">
        <f t="shared" si="1172"/>
        <v>1</v>
      </c>
      <c r="M880" s="80">
        <f t="shared" si="1172"/>
        <v>1</v>
      </c>
      <c r="N880" s="80">
        <f t="shared" si="1172"/>
        <v>1</v>
      </c>
      <c r="O880" s="80">
        <f t="shared" si="1172"/>
        <v>1</v>
      </c>
      <c r="P880" s="80">
        <f t="shared" si="1172"/>
        <v>1</v>
      </c>
      <c r="Q880" s="80">
        <f t="shared" si="1172"/>
        <v>1</v>
      </c>
      <c r="R880" s="80">
        <f t="shared" si="1172"/>
        <v>1</v>
      </c>
      <c r="S880" s="80">
        <f t="shared" si="1172"/>
        <v>1</v>
      </c>
      <c r="T880" s="80">
        <f t="shared" si="1172"/>
        <v>1</v>
      </c>
      <c r="U880" s="80">
        <f t="shared" si="1172"/>
        <v>1</v>
      </c>
      <c r="V880" s="80">
        <f t="shared" si="1172"/>
        <v>1</v>
      </c>
      <c r="W880" s="80">
        <f t="shared" si="1172"/>
        <v>1</v>
      </c>
      <c r="X880" s="80">
        <f t="shared" si="1172"/>
        <v>1</v>
      </c>
      <c r="Y880" s="80">
        <f t="shared" si="1172"/>
        <v>1</v>
      </c>
    </row>
    <row r="881" ht="16.5" spans="2:25">
      <c r="B881" s="65">
        <v>241</v>
      </c>
      <c r="C881" s="80">
        <f t="shared" si="1124"/>
        <v>27836</v>
      </c>
      <c r="D881" s="80">
        <f t="shared" ref="D881:Y881" si="1173">IF($C881&gt;D$337,1,0)</f>
        <v>1</v>
      </c>
      <c r="E881" s="80">
        <f t="shared" si="1173"/>
        <v>1</v>
      </c>
      <c r="F881" s="80">
        <f t="shared" si="1173"/>
        <v>1</v>
      </c>
      <c r="G881" s="80">
        <f t="shared" si="1173"/>
        <v>1</v>
      </c>
      <c r="H881" s="80">
        <f t="shared" si="1173"/>
        <v>1</v>
      </c>
      <c r="I881" s="80">
        <f t="shared" si="1173"/>
        <v>1</v>
      </c>
      <c r="J881" s="80">
        <f t="shared" si="1173"/>
        <v>1</v>
      </c>
      <c r="K881" s="80">
        <f t="shared" si="1173"/>
        <v>1</v>
      </c>
      <c r="L881" s="80">
        <f t="shared" si="1173"/>
        <v>1</v>
      </c>
      <c r="M881" s="80">
        <f t="shared" si="1173"/>
        <v>1</v>
      </c>
      <c r="N881" s="80">
        <f t="shared" si="1173"/>
        <v>1</v>
      </c>
      <c r="O881" s="80">
        <f t="shared" si="1173"/>
        <v>1</v>
      </c>
      <c r="P881" s="80">
        <f t="shared" si="1173"/>
        <v>1</v>
      </c>
      <c r="Q881" s="80">
        <f t="shared" si="1173"/>
        <v>1</v>
      </c>
      <c r="R881" s="80">
        <f t="shared" si="1173"/>
        <v>1</v>
      </c>
      <c r="S881" s="80">
        <f t="shared" si="1173"/>
        <v>1</v>
      </c>
      <c r="T881" s="80">
        <f t="shared" si="1173"/>
        <v>1</v>
      </c>
      <c r="U881" s="80">
        <f t="shared" si="1173"/>
        <v>1</v>
      </c>
      <c r="V881" s="80">
        <f t="shared" si="1173"/>
        <v>1</v>
      </c>
      <c r="W881" s="80">
        <f t="shared" si="1173"/>
        <v>1</v>
      </c>
      <c r="X881" s="80">
        <f t="shared" si="1173"/>
        <v>1</v>
      </c>
      <c r="Y881" s="80">
        <f t="shared" si="1173"/>
        <v>1</v>
      </c>
    </row>
    <row r="882" ht="16.5" spans="2:25">
      <c r="B882" s="65">
        <v>242</v>
      </c>
      <c r="C882" s="80">
        <f t="shared" si="1124"/>
        <v>27946</v>
      </c>
      <c r="D882" s="80">
        <f t="shared" ref="D882:Y882" si="1174">IF($C882&gt;D$337,1,0)</f>
        <v>1</v>
      </c>
      <c r="E882" s="80">
        <f t="shared" si="1174"/>
        <v>1</v>
      </c>
      <c r="F882" s="80">
        <f t="shared" si="1174"/>
        <v>1</v>
      </c>
      <c r="G882" s="80">
        <f t="shared" si="1174"/>
        <v>1</v>
      </c>
      <c r="H882" s="80">
        <f t="shared" si="1174"/>
        <v>1</v>
      </c>
      <c r="I882" s="80">
        <f t="shared" si="1174"/>
        <v>1</v>
      </c>
      <c r="J882" s="80">
        <f t="shared" si="1174"/>
        <v>1</v>
      </c>
      <c r="K882" s="80">
        <f t="shared" si="1174"/>
        <v>1</v>
      </c>
      <c r="L882" s="80">
        <f t="shared" si="1174"/>
        <v>1</v>
      </c>
      <c r="M882" s="80">
        <f t="shared" si="1174"/>
        <v>1</v>
      </c>
      <c r="N882" s="80">
        <f t="shared" si="1174"/>
        <v>1</v>
      </c>
      <c r="O882" s="80">
        <f t="shared" si="1174"/>
        <v>1</v>
      </c>
      <c r="P882" s="80">
        <f t="shared" si="1174"/>
        <v>1</v>
      </c>
      <c r="Q882" s="80">
        <f t="shared" si="1174"/>
        <v>1</v>
      </c>
      <c r="R882" s="80">
        <f t="shared" si="1174"/>
        <v>1</v>
      </c>
      <c r="S882" s="80">
        <f t="shared" si="1174"/>
        <v>1</v>
      </c>
      <c r="T882" s="80">
        <f t="shared" si="1174"/>
        <v>1</v>
      </c>
      <c r="U882" s="80">
        <f t="shared" si="1174"/>
        <v>1</v>
      </c>
      <c r="V882" s="80">
        <f t="shared" si="1174"/>
        <v>1</v>
      </c>
      <c r="W882" s="80">
        <f t="shared" si="1174"/>
        <v>1</v>
      </c>
      <c r="X882" s="80">
        <f t="shared" si="1174"/>
        <v>1</v>
      </c>
      <c r="Y882" s="80">
        <f t="shared" si="1174"/>
        <v>1</v>
      </c>
    </row>
    <row r="883" ht="16.5" spans="2:25">
      <c r="B883" s="65">
        <v>243</v>
      </c>
      <c r="C883" s="80">
        <f t="shared" si="1124"/>
        <v>28056</v>
      </c>
      <c r="D883" s="80">
        <f t="shared" ref="D883:Y883" si="1175">IF($C883&gt;D$337,1,0)</f>
        <v>1</v>
      </c>
      <c r="E883" s="80">
        <f t="shared" si="1175"/>
        <v>1</v>
      </c>
      <c r="F883" s="80">
        <f t="shared" si="1175"/>
        <v>1</v>
      </c>
      <c r="G883" s="80">
        <f t="shared" si="1175"/>
        <v>1</v>
      </c>
      <c r="H883" s="80">
        <f t="shared" si="1175"/>
        <v>1</v>
      </c>
      <c r="I883" s="80">
        <f t="shared" si="1175"/>
        <v>1</v>
      </c>
      <c r="J883" s="80">
        <f t="shared" si="1175"/>
        <v>1</v>
      </c>
      <c r="K883" s="80">
        <f t="shared" si="1175"/>
        <v>1</v>
      </c>
      <c r="L883" s="80">
        <f t="shared" si="1175"/>
        <v>1</v>
      </c>
      <c r="M883" s="80">
        <f t="shared" si="1175"/>
        <v>1</v>
      </c>
      <c r="N883" s="80">
        <f t="shared" si="1175"/>
        <v>1</v>
      </c>
      <c r="O883" s="80">
        <f t="shared" si="1175"/>
        <v>1</v>
      </c>
      <c r="P883" s="80">
        <f t="shared" si="1175"/>
        <v>1</v>
      </c>
      <c r="Q883" s="80">
        <f t="shared" si="1175"/>
        <v>1</v>
      </c>
      <c r="R883" s="80">
        <f t="shared" si="1175"/>
        <v>1</v>
      </c>
      <c r="S883" s="80">
        <f t="shared" si="1175"/>
        <v>1</v>
      </c>
      <c r="T883" s="80">
        <f t="shared" si="1175"/>
        <v>1</v>
      </c>
      <c r="U883" s="80">
        <f t="shared" si="1175"/>
        <v>1</v>
      </c>
      <c r="V883" s="80">
        <f t="shared" si="1175"/>
        <v>1</v>
      </c>
      <c r="W883" s="80">
        <f t="shared" si="1175"/>
        <v>1</v>
      </c>
      <c r="X883" s="80">
        <f t="shared" si="1175"/>
        <v>1</v>
      </c>
      <c r="Y883" s="80">
        <f t="shared" si="1175"/>
        <v>1</v>
      </c>
    </row>
    <row r="884" ht="16.5" spans="2:25">
      <c r="B884" s="65">
        <v>244</v>
      </c>
      <c r="C884" s="80">
        <f t="shared" si="1124"/>
        <v>28166</v>
      </c>
      <c r="D884" s="80">
        <f t="shared" ref="D884:Y884" si="1176">IF($C884&gt;D$337,1,0)</f>
        <v>1</v>
      </c>
      <c r="E884" s="80">
        <f t="shared" si="1176"/>
        <v>1</v>
      </c>
      <c r="F884" s="80">
        <f t="shared" si="1176"/>
        <v>1</v>
      </c>
      <c r="G884" s="80">
        <f t="shared" si="1176"/>
        <v>1</v>
      </c>
      <c r="H884" s="80">
        <f t="shared" si="1176"/>
        <v>1</v>
      </c>
      <c r="I884" s="80">
        <f t="shared" si="1176"/>
        <v>1</v>
      </c>
      <c r="J884" s="80">
        <f t="shared" si="1176"/>
        <v>1</v>
      </c>
      <c r="K884" s="80">
        <f t="shared" si="1176"/>
        <v>1</v>
      </c>
      <c r="L884" s="80">
        <f t="shared" si="1176"/>
        <v>1</v>
      </c>
      <c r="M884" s="80">
        <f t="shared" si="1176"/>
        <v>1</v>
      </c>
      <c r="N884" s="80">
        <f t="shared" si="1176"/>
        <v>1</v>
      </c>
      <c r="O884" s="80">
        <f t="shared" si="1176"/>
        <v>1</v>
      </c>
      <c r="P884" s="80">
        <f t="shared" si="1176"/>
        <v>1</v>
      </c>
      <c r="Q884" s="80">
        <f t="shared" si="1176"/>
        <v>1</v>
      </c>
      <c r="R884" s="80">
        <f t="shared" si="1176"/>
        <v>1</v>
      </c>
      <c r="S884" s="80">
        <f t="shared" si="1176"/>
        <v>1</v>
      </c>
      <c r="T884" s="80">
        <f t="shared" si="1176"/>
        <v>1</v>
      </c>
      <c r="U884" s="80">
        <f t="shared" si="1176"/>
        <v>1</v>
      </c>
      <c r="V884" s="80">
        <f t="shared" si="1176"/>
        <v>1</v>
      </c>
      <c r="W884" s="80">
        <f t="shared" si="1176"/>
        <v>1</v>
      </c>
      <c r="X884" s="80">
        <f t="shared" si="1176"/>
        <v>1</v>
      </c>
      <c r="Y884" s="80">
        <f t="shared" si="1176"/>
        <v>1</v>
      </c>
    </row>
    <row r="885" ht="16.5" spans="2:25">
      <c r="B885" s="65">
        <v>245</v>
      </c>
      <c r="C885" s="80">
        <f t="shared" si="1124"/>
        <v>28276</v>
      </c>
      <c r="D885" s="80">
        <f t="shared" ref="D885:Y885" si="1177">IF($C885&gt;D$337,1,0)</f>
        <v>1</v>
      </c>
      <c r="E885" s="80">
        <f t="shared" si="1177"/>
        <v>1</v>
      </c>
      <c r="F885" s="80">
        <f t="shared" si="1177"/>
        <v>1</v>
      </c>
      <c r="G885" s="80">
        <f t="shared" si="1177"/>
        <v>1</v>
      </c>
      <c r="H885" s="80">
        <f t="shared" si="1177"/>
        <v>1</v>
      </c>
      <c r="I885" s="80">
        <f t="shared" si="1177"/>
        <v>1</v>
      </c>
      <c r="J885" s="80">
        <f t="shared" si="1177"/>
        <v>1</v>
      </c>
      <c r="K885" s="80">
        <f t="shared" si="1177"/>
        <v>1</v>
      </c>
      <c r="L885" s="80">
        <f t="shared" si="1177"/>
        <v>1</v>
      </c>
      <c r="M885" s="80">
        <f t="shared" si="1177"/>
        <v>1</v>
      </c>
      <c r="N885" s="80">
        <f t="shared" si="1177"/>
        <v>1</v>
      </c>
      <c r="O885" s="80">
        <f t="shared" si="1177"/>
        <v>1</v>
      </c>
      <c r="P885" s="80">
        <f t="shared" si="1177"/>
        <v>1</v>
      </c>
      <c r="Q885" s="80">
        <f t="shared" si="1177"/>
        <v>1</v>
      </c>
      <c r="R885" s="80">
        <f t="shared" si="1177"/>
        <v>1</v>
      </c>
      <c r="S885" s="80">
        <f t="shared" si="1177"/>
        <v>1</v>
      </c>
      <c r="T885" s="80">
        <f t="shared" si="1177"/>
        <v>1</v>
      </c>
      <c r="U885" s="80">
        <f t="shared" si="1177"/>
        <v>1</v>
      </c>
      <c r="V885" s="80">
        <f t="shared" si="1177"/>
        <v>1</v>
      </c>
      <c r="W885" s="80">
        <f t="shared" si="1177"/>
        <v>1</v>
      </c>
      <c r="X885" s="80">
        <f t="shared" si="1177"/>
        <v>1</v>
      </c>
      <c r="Y885" s="80">
        <f t="shared" si="1177"/>
        <v>1</v>
      </c>
    </row>
    <row r="886" ht="16.5" spans="2:25">
      <c r="B886" s="65">
        <v>246</v>
      </c>
      <c r="C886" s="80">
        <f t="shared" si="1124"/>
        <v>28386</v>
      </c>
      <c r="D886" s="80">
        <f t="shared" ref="D886:Y886" si="1178">IF($C886&gt;D$337,1,0)</f>
        <v>1</v>
      </c>
      <c r="E886" s="80">
        <f t="shared" si="1178"/>
        <v>1</v>
      </c>
      <c r="F886" s="80">
        <f t="shared" si="1178"/>
        <v>1</v>
      </c>
      <c r="G886" s="80">
        <f t="shared" si="1178"/>
        <v>1</v>
      </c>
      <c r="H886" s="80">
        <f t="shared" si="1178"/>
        <v>1</v>
      </c>
      <c r="I886" s="80">
        <f t="shared" si="1178"/>
        <v>1</v>
      </c>
      <c r="J886" s="80">
        <f t="shared" si="1178"/>
        <v>1</v>
      </c>
      <c r="K886" s="80">
        <f t="shared" si="1178"/>
        <v>1</v>
      </c>
      <c r="L886" s="80">
        <f t="shared" si="1178"/>
        <v>1</v>
      </c>
      <c r="M886" s="80">
        <f t="shared" si="1178"/>
        <v>1</v>
      </c>
      <c r="N886" s="80">
        <f t="shared" si="1178"/>
        <v>1</v>
      </c>
      <c r="O886" s="80">
        <f t="shared" si="1178"/>
        <v>1</v>
      </c>
      <c r="P886" s="80">
        <f t="shared" si="1178"/>
        <v>1</v>
      </c>
      <c r="Q886" s="80">
        <f t="shared" si="1178"/>
        <v>1</v>
      </c>
      <c r="R886" s="80">
        <f t="shared" si="1178"/>
        <v>1</v>
      </c>
      <c r="S886" s="80">
        <f t="shared" si="1178"/>
        <v>1</v>
      </c>
      <c r="T886" s="80">
        <f t="shared" si="1178"/>
        <v>1</v>
      </c>
      <c r="U886" s="80">
        <f t="shared" si="1178"/>
        <v>1</v>
      </c>
      <c r="V886" s="80">
        <f t="shared" si="1178"/>
        <v>1</v>
      </c>
      <c r="W886" s="80">
        <f t="shared" si="1178"/>
        <v>1</v>
      </c>
      <c r="X886" s="80">
        <f t="shared" si="1178"/>
        <v>1</v>
      </c>
      <c r="Y886" s="80">
        <f t="shared" si="1178"/>
        <v>1</v>
      </c>
    </row>
    <row r="887" ht="16.5" spans="2:25">
      <c r="B887" s="65">
        <v>247</v>
      </c>
      <c r="C887" s="80">
        <f t="shared" si="1124"/>
        <v>28496</v>
      </c>
      <c r="D887" s="80">
        <f t="shared" ref="D887:Y887" si="1179">IF($C887&gt;D$337,1,0)</f>
        <v>1</v>
      </c>
      <c r="E887" s="80">
        <f t="shared" si="1179"/>
        <v>1</v>
      </c>
      <c r="F887" s="80">
        <f t="shared" si="1179"/>
        <v>1</v>
      </c>
      <c r="G887" s="80">
        <f t="shared" si="1179"/>
        <v>1</v>
      </c>
      <c r="H887" s="80">
        <f t="shared" si="1179"/>
        <v>1</v>
      </c>
      <c r="I887" s="80">
        <f t="shared" si="1179"/>
        <v>1</v>
      </c>
      <c r="J887" s="80">
        <f t="shared" si="1179"/>
        <v>1</v>
      </c>
      <c r="K887" s="80">
        <f t="shared" si="1179"/>
        <v>1</v>
      </c>
      <c r="L887" s="80">
        <f t="shared" si="1179"/>
        <v>1</v>
      </c>
      <c r="M887" s="80">
        <f t="shared" si="1179"/>
        <v>1</v>
      </c>
      <c r="N887" s="80">
        <f t="shared" si="1179"/>
        <v>1</v>
      </c>
      <c r="O887" s="80">
        <f t="shared" si="1179"/>
        <v>1</v>
      </c>
      <c r="P887" s="80">
        <f t="shared" si="1179"/>
        <v>1</v>
      </c>
      <c r="Q887" s="80">
        <f t="shared" si="1179"/>
        <v>1</v>
      </c>
      <c r="R887" s="80">
        <f t="shared" si="1179"/>
        <v>1</v>
      </c>
      <c r="S887" s="80">
        <f t="shared" si="1179"/>
        <v>1</v>
      </c>
      <c r="T887" s="80">
        <f t="shared" si="1179"/>
        <v>1</v>
      </c>
      <c r="U887" s="80">
        <f t="shared" si="1179"/>
        <v>1</v>
      </c>
      <c r="V887" s="80">
        <f t="shared" si="1179"/>
        <v>1</v>
      </c>
      <c r="W887" s="80">
        <f t="shared" si="1179"/>
        <v>1</v>
      </c>
      <c r="X887" s="80">
        <f t="shared" si="1179"/>
        <v>1</v>
      </c>
      <c r="Y887" s="80">
        <f t="shared" si="1179"/>
        <v>1</v>
      </c>
    </row>
    <row r="888" ht="16.5" spans="2:25">
      <c r="B888" s="65">
        <v>248</v>
      </c>
      <c r="C888" s="80">
        <f t="shared" si="1124"/>
        <v>28606</v>
      </c>
      <c r="D888" s="80">
        <f t="shared" ref="D888:Y888" si="1180">IF($C888&gt;D$337,1,0)</f>
        <v>1</v>
      </c>
      <c r="E888" s="80">
        <f t="shared" si="1180"/>
        <v>1</v>
      </c>
      <c r="F888" s="80">
        <f t="shared" si="1180"/>
        <v>1</v>
      </c>
      <c r="G888" s="80">
        <f t="shared" si="1180"/>
        <v>1</v>
      </c>
      <c r="H888" s="80">
        <f t="shared" si="1180"/>
        <v>1</v>
      </c>
      <c r="I888" s="80">
        <f t="shared" si="1180"/>
        <v>1</v>
      </c>
      <c r="J888" s="80">
        <f t="shared" si="1180"/>
        <v>1</v>
      </c>
      <c r="K888" s="80">
        <f t="shared" si="1180"/>
        <v>1</v>
      </c>
      <c r="L888" s="80">
        <f t="shared" si="1180"/>
        <v>1</v>
      </c>
      <c r="M888" s="80">
        <f t="shared" si="1180"/>
        <v>1</v>
      </c>
      <c r="N888" s="80">
        <f t="shared" si="1180"/>
        <v>1</v>
      </c>
      <c r="O888" s="80">
        <f t="shared" si="1180"/>
        <v>1</v>
      </c>
      <c r="P888" s="80">
        <f t="shared" si="1180"/>
        <v>1</v>
      </c>
      <c r="Q888" s="80">
        <f t="shared" si="1180"/>
        <v>1</v>
      </c>
      <c r="R888" s="80">
        <f t="shared" si="1180"/>
        <v>1</v>
      </c>
      <c r="S888" s="80">
        <f t="shared" si="1180"/>
        <v>1</v>
      </c>
      <c r="T888" s="80">
        <f t="shared" si="1180"/>
        <v>1</v>
      </c>
      <c r="U888" s="80">
        <f t="shared" si="1180"/>
        <v>1</v>
      </c>
      <c r="V888" s="80">
        <f t="shared" si="1180"/>
        <v>1</v>
      </c>
      <c r="W888" s="80">
        <f t="shared" si="1180"/>
        <v>1</v>
      </c>
      <c r="X888" s="80">
        <f t="shared" si="1180"/>
        <v>1</v>
      </c>
      <c r="Y888" s="80">
        <f t="shared" si="1180"/>
        <v>1</v>
      </c>
    </row>
    <row r="889" ht="16.5" spans="2:25">
      <c r="B889" s="65">
        <v>249</v>
      </c>
      <c r="C889" s="80">
        <f t="shared" si="1124"/>
        <v>28716</v>
      </c>
      <c r="D889" s="80">
        <f t="shared" ref="D889:Y889" si="1181">IF($C889&gt;D$337,1,0)</f>
        <v>1</v>
      </c>
      <c r="E889" s="80">
        <f t="shared" si="1181"/>
        <v>1</v>
      </c>
      <c r="F889" s="80">
        <f t="shared" si="1181"/>
        <v>1</v>
      </c>
      <c r="G889" s="80">
        <f t="shared" si="1181"/>
        <v>1</v>
      </c>
      <c r="H889" s="80">
        <f t="shared" si="1181"/>
        <v>1</v>
      </c>
      <c r="I889" s="80">
        <f t="shared" si="1181"/>
        <v>1</v>
      </c>
      <c r="J889" s="80">
        <f t="shared" si="1181"/>
        <v>1</v>
      </c>
      <c r="K889" s="80">
        <f t="shared" si="1181"/>
        <v>1</v>
      </c>
      <c r="L889" s="80">
        <f t="shared" si="1181"/>
        <v>1</v>
      </c>
      <c r="M889" s="80">
        <f t="shared" si="1181"/>
        <v>1</v>
      </c>
      <c r="N889" s="80">
        <f t="shared" si="1181"/>
        <v>1</v>
      </c>
      <c r="O889" s="80">
        <f t="shared" si="1181"/>
        <v>1</v>
      </c>
      <c r="P889" s="80">
        <f t="shared" si="1181"/>
        <v>1</v>
      </c>
      <c r="Q889" s="80">
        <f t="shared" si="1181"/>
        <v>1</v>
      </c>
      <c r="R889" s="80">
        <f t="shared" si="1181"/>
        <v>1</v>
      </c>
      <c r="S889" s="80">
        <f t="shared" si="1181"/>
        <v>1</v>
      </c>
      <c r="T889" s="80">
        <f t="shared" si="1181"/>
        <v>1</v>
      </c>
      <c r="U889" s="80">
        <f t="shared" si="1181"/>
        <v>1</v>
      </c>
      <c r="V889" s="80">
        <f t="shared" si="1181"/>
        <v>1</v>
      </c>
      <c r="W889" s="80">
        <f t="shared" si="1181"/>
        <v>1</v>
      </c>
      <c r="X889" s="80">
        <f t="shared" si="1181"/>
        <v>1</v>
      </c>
      <c r="Y889" s="80">
        <f t="shared" si="1181"/>
        <v>1</v>
      </c>
    </row>
    <row r="890" ht="16.5" spans="2:25">
      <c r="B890" s="65">
        <v>250</v>
      </c>
      <c r="C890" s="80">
        <f t="shared" si="1124"/>
        <v>28826</v>
      </c>
      <c r="D890" s="80">
        <f t="shared" ref="D890:Y890" si="1182">IF($C890&gt;D$337,1,0)</f>
        <v>1</v>
      </c>
      <c r="E890" s="80">
        <f t="shared" si="1182"/>
        <v>1</v>
      </c>
      <c r="F890" s="80">
        <f t="shared" si="1182"/>
        <v>1</v>
      </c>
      <c r="G890" s="80">
        <f t="shared" si="1182"/>
        <v>1</v>
      </c>
      <c r="H890" s="80">
        <f t="shared" si="1182"/>
        <v>1</v>
      </c>
      <c r="I890" s="80">
        <f t="shared" si="1182"/>
        <v>1</v>
      </c>
      <c r="J890" s="80">
        <f t="shared" si="1182"/>
        <v>1</v>
      </c>
      <c r="K890" s="80">
        <f t="shared" si="1182"/>
        <v>1</v>
      </c>
      <c r="L890" s="80">
        <f t="shared" si="1182"/>
        <v>1</v>
      </c>
      <c r="M890" s="80">
        <f t="shared" si="1182"/>
        <v>1</v>
      </c>
      <c r="N890" s="80">
        <f t="shared" si="1182"/>
        <v>1</v>
      </c>
      <c r="O890" s="80">
        <f t="shared" si="1182"/>
        <v>1</v>
      </c>
      <c r="P890" s="80">
        <f t="shared" si="1182"/>
        <v>1</v>
      </c>
      <c r="Q890" s="80">
        <f t="shared" si="1182"/>
        <v>1</v>
      </c>
      <c r="R890" s="80">
        <f t="shared" si="1182"/>
        <v>1</v>
      </c>
      <c r="S890" s="80">
        <f t="shared" si="1182"/>
        <v>1</v>
      </c>
      <c r="T890" s="80">
        <f t="shared" si="1182"/>
        <v>1</v>
      </c>
      <c r="U890" s="80">
        <f t="shared" si="1182"/>
        <v>1</v>
      </c>
      <c r="V890" s="80">
        <f t="shared" si="1182"/>
        <v>1</v>
      </c>
      <c r="W890" s="80">
        <f t="shared" si="1182"/>
        <v>1</v>
      </c>
      <c r="X890" s="80">
        <f t="shared" si="1182"/>
        <v>1</v>
      </c>
      <c r="Y890" s="80">
        <f t="shared" si="1182"/>
        <v>1</v>
      </c>
    </row>
    <row r="891" ht="16.5" spans="2:25">
      <c r="B891" s="65">
        <v>251</v>
      </c>
      <c r="C891" s="80">
        <f t="shared" si="1124"/>
        <v>28936</v>
      </c>
      <c r="D891" s="80">
        <f t="shared" ref="D891:Y891" si="1183">IF($C891&gt;D$337,1,0)</f>
        <v>1</v>
      </c>
      <c r="E891" s="80">
        <f t="shared" si="1183"/>
        <v>1</v>
      </c>
      <c r="F891" s="80">
        <f t="shared" si="1183"/>
        <v>1</v>
      </c>
      <c r="G891" s="80">
        <f t="shared" si="1183"/>
        <v>1</v>
      </c>
      <c r="H891" s="80">
        <f t="shared" si="1183"/>
        <v>1</v>
      </c>
      <c r="I891" s="80">
        <f t="shared" si="1183"/>
        <v>1</v>
      </c>
      <c r="J891" s="80">
        <f t="shared" si="1183"/>
        <v>1</v>
      </c>
      <c r="K891" s="80">
        <f t="shared" si="1183"/>
        <v>1</v>
      </c>
      <c r="L891" s="80">
        <f t="shared" si="1183"/>
        <v>1</v>
      </c>
      <c r="M891" s="80">
        <f t="shared" si="1183"/>
        <v>1</v>
      </c>
      <c r="N891" s="80">
        <f t="shared" si="1183"/>
        <v>1</v>
      </c>
      <c r="O891" s="80">
        <f t="shared" si="1183"/>
        <v>1</v>
      </c>
      <c r="P891" s="80">
        <f t="shared" si="1183"/>
        <v>1</v>
      </c>
      <c r="Q891" s="80">
        <f t="shared" si="1183"/>
        <v>1</v>
      </c>
      <c r="R891" s="80">
        <f t="shared" si="1183"/>
        <v>1</v>
      </c>
      <c r="S891" s="80">
        <f t="shared" si="1183"/>
        <v>1</v>
      </c>
      <c r="T891" s="80">
        <f t="shared" si="1183"/>
        <v>1</v>
      </c>
      <c r="U891" s="80">
        <f t="shared" si="1183"/>
        <v>1</v>
      </c>
      <c r="V891" s="80">
        <f t="shared" si="1183"/>
        <v>1</v>
      </c>
      <c r="W891" s="80">
        <f t="shared" si="1183"/>
        <v>1</v>
      </c>
      <c r="X891" s="80">
        <f t="shared" si="1183"/>
        <v>1</v>
      </c>
      <c r="Y891" s="80">
        <f t="shared" si="1183"/>
        <v>1</v>
      </c>
    </row>
    <row r="892" ht="16.5" spans="2:25">
      <c r="B892" s="65">
        <v>252</v>
      </c>
      <c r="C892" s="80">
        <f t="shared" si="1124"/>
        <v>29046</v>
      </c>
      <c r="D892" s="80">
        <f t="shared" ref="D892:Y892" si="1184">IF($C892&gt;D$337,1,0)</f>
        <v>1</v>
      </c>
      <c r="E892" s="80">
        <f t="shared" si="1184"/>
        <v>1</v>
      </c>
      <c r="F892" s="80">
        <f t="shared" si="1184"/>
        <v>1</v>
      </c>
      <c r="G892" s="80">
        <f t="shared" si="1184"/>
        <v>1</v>
      </c>
      <c r="H892" s="80">
        <f t="shared" si="1184"/>
        <v>1</v>
      </c>
      <c r="I892" s="80">
        <f t="shared" si="1184"/>
        <v>1</v>
      </c>
      <c r="J892" s="80">
        <f t="shared" si="1184"/>
        <v>1</v>
      </c>
      <c r="K892" s="80">
        <f t="shared" si="1184"/>
        <v>1</v>
      </c>
      <c r="L892" s="80">
        <f t="shared" si="1184"/>
        <v>1</v>
      </c>
      <c r="M892" s="80">
        <f t="shared" si="1184"/>
        <v>1</v>
      </c>
      <c r="N892" s="80">
        <f t="shared" si="1184"/>
        <v>1</v>
      </c>
      <c r="O892" s="80">
        <f t="shared" si="1184"/>
        <v>1</v>
      </c>
      <c r="P892" s="80">
        <f t="shared" si="1184"/>
        <v>1</v>
      </c>
      <c r="Q892" s="80">
        <f t="shared" si="1184"/>
        <v>1</v>
      </c>
      <c r="R892" s="80">
        <f t="shared" si="1184"/>
        <v>1</v>
      </c>
      <c r="S892" s="80">
        <f t="shared" si="1184"/>
        <v>1</v>
      </c>
      <c r="T892" s="80">
        <f t="shared" si="1184"/>
        <v>1</v>
      </c>
      <c r="U892" s="80">
        <f t="shared" si="1184"/>
        <v>1</v>
      </c>
      <c r="V892" s="80">
        <f t="shared" si="1184"/>
        <v>1</v>
      </c>
      <c r="W892" s="80">
        <f t="shared" si="1184"/>
        <v>1</v>
      </c>
      <c r="X892" s="80">
        <f t="shared" si="1184"/>
        <v>1</v>
      </c>
      <c r="Y892" s="80">
        <f t="shared" si="1184"/>
        <v>1</v>
      </c>
    </row>
    <row r="893" ht="16.5" spans="2:25">
      <c r="B893" s="65">
        <v>253</v>
      </c>
      <c r="C893" s="80">
        <f t="shared" si="1124"/>
        <v>29156</v>
      </c>
      <c r="D893" s="80">
        <f t="shared" ref="D893:Y893" si="1185">IF($C893&gt;D$337,1,0)</f>
        <v>1</v>
      </c>
      <c r="E893" s="80">
        <f t="shared" si="1185"/>
        <v>1</v>
      </c>
      <c r="F893" s="80">
        <f t="shared" si="1185"/>
        <v>1</v>
      </c>
      <c r="G893" s="80">
        <f t="shared" si="1185"/>
        <v>1</v>
      </c>
      <c r="H893" s="80">
        <f t="shared" si="1185"/>
        <v>1</v>
      </c>
      <c r="I893" s="80">
        <f t="shared" si="1185"/>
        <v>1</v>
      </c>
      <c r="J893" s="80">
        <f t="shared" si="1185"/>
        <v>1</v>
      </c>
      <c r="K893" s="80">
        <f t="shared" si="1185"/>
        <v>1</v>
      </c>
      <c r="L893" s="80">
        <f t="shared" si="1185"/>
        <v>1</v>
      </c>
      <c r="M893" s="80">
        <f t="shared" si="1185"/>
        <v>1</v>
      </c>
      <c r="N893" s="80">
        <f t="shared" si="1185"/>
        <v>1</v>
      </c>
      <c r="O893" s="80">
        <f t="shared" si="1185"/>
        <v>1</v>
      </c>
      <c r="P893" s="80">
        <f t="shared" si="1185"/>
        <v>1</v>
      </c>
      <c r="Q893" s="80">
        <f t="shared" si="1185"/>
        <v>1</v>
      </c>
      <c r="R893" s="80">
        <f t="shared" si="1185"/>
        <v>1</v>
      </c>
      <c r="S893" s="80">
        <f t="shared" si="1185"/>
        <v>1</v>
      </c>
      <c r="T893" s="80">
        <f t="shared" si="1185"/>
        <v>1</v>
      </c>
      <c r="U893" s="80">
        <f t="shared" si="1185"/>
        <v>1</v>
      </c>
      <c r="V893" s="80">
        <f t="shared" si="1185"/>
        <v>1</v>
      </c>
      <c r="W893" s="80">
        <f t="shared" si="1185"/>
        <v>1</v>
      </c>
      <c r="X893" s="80">
        <f t="shared" si="1185"/>
        <v>1</v>
      </c>
      <c r="Y893" s="80">
        <f t="shared" si="1185"/>
        <v>1</v>
      </c>
    </row>
    <row r="894" ht="16.5" spans="2:25">
      <c r="B894" s="65">
        <v>254</v>
      </c>
      <c r="C894" s="80">
        <f t="shared" si="1124"/>
        <v>29266</v>
      </c>
      <c r="D894" s="80">
        <f t="shared" ref="D894:Y894" si="1186">IF($C894&gt;D$337,1,0)</f>
        <v>1</v>
      </c>
      <c r="E894" s="80">
        <f t="shared" si="1186"/>
        <v>1</v>
      </c>
      <c r="F894" s="80">
        <f t="shared" si="1186"/>
        <v>1</v>
      </c>
      <c r="G894" s="80">
        <f t="shared" si="1186"/>
        <v>1</v>
      </c>
      <c r="H894" s="80">
        <f t="shared" si="1186"/>
        <v>1</v>
      </c>
      <c r="I894" s="80">
        <f t="shared" si="1186"/>
        <v>1</v>
      </c>
      <c r="J894" s="80">
        <f t="shared" si="1186"/>
        <v>1</v>
      </c>
      <c r="K894" s="80">
        <f t="shared" si="1186"/>
        <v>1</v>
      </c>
      <c r="L894" s="80">
        <f t="shared" si="1186"/>
        <v>1</v>
      </c>
      <c r="M894" s="80">
        <f t="shared" si="1186"/>
        <v>1</v>
      </c>
      <c r="N894" s="80">
        <f t="shared" si="1186"/>
        <v>1</v>
      </c>
      <c r="O894" s="80">
        <f t="shared" si="1186"/>
        <v>1</v>
      </c>
      <c r="P894" s="80">
        <f t="shared" si="1186"/>
        <v>1</v>
      </c>
      <c r="Q894" s="80">
        <f t="shared" si="1186"/>
        <v>1</v>
      </c>
      <c r="R894" s="80">
        <f t="shared" si="1186"/>
        <v>1</v>
      </c>
      <c r="S894" s="80">
        <f t="shared" si="1186"/>
        <v>1</v>
      </c>
      <c r="T894" s="80">
        <f t="shared" si="1186"/>
        <v>1</v>
      </c>
      <c r="U894" s="80">
        <f t="shared" si="1186"/>
        <v>1</v>
      </c>
      <c r="V894" s="80">
        <f t="shared" si="1186"/>
        <v>1</v>
      </c>
      <c r="W894" s="80">
        <f t="shared" si="1186"/>
        <v>1</v>
      </c>
      <c r="X894" s="80">
        <f t="shared" si="1186"/>
        <v>1</v>
      </c>
      <c r="Y894" s="80">
        <f t="shared" si="1186"/>
        <v>1</v>
      </c>
    </row>
    <row r="895" ht="16.5" spans="2:25">
      <c r="B895" s="65">
        <v>255</v>
      </c>
      <c r="C895" s="80">
        <f t="shared" si="1124"/>
        <v>29376</v>
      </c>
      <c r="D895" s="80">
        <f t="shared" ref="D895:Y895" si="1187">IF($C895&gt;D$337,1,0)</f>
        <v>1</v>
      </c>
      <c r="E895" s="80">
        <f t="shared" si="1187"/>
        <v>1</v>
      </c>
      <c r="F895" s="80">
        <f t="shared" si="1187"/>
        <v>1</v>
      </c>
      <c r="G895" s="80">
        <f t="shared" si="1187"/>
        <v>1</v>
      </c>
      <c r="H895" s="80">
        <f t="shared" si="1187"/>
        <v>1</v>
      </c>
      <c r="I895" s="80">
        <f t="shared" si="1187"/>
        <v>1</v>
      </c>
      <c r="J895" s="80">
        <f t="shared" si="1187"/>
        <v>1</v>
      </c>
      <c r="K895" s="80">
        <f t="shared" si="1187"/>
        <v>1</v>
      </c>
      <c r="L895" s="80">
        <f t="shared" si="1187"/>
        <v>1</v>
      </c>
      <c r="M895" s="80">
        <f t="shared" si="1187"/>
        <v>1</v>
      </c>
      <c r="N895" s="80">
        <f t="shared" si="1187"/>
        <v>1</v>
      </c>
      <c r="O895" s="80">
        <f t="shared" si="1187"/>
        <v>1</v>
      </c>
      <c r="P895" s="80">
        <f t="shared" si="1187"/>
        <v>1</v>
      </c>
      <c r="Q895" s="80">
        <f t="shared" si="1187"/>
        <v>1</v>
      </c>
      <c r="R895" s="80">
        <f t="shared" si="1187"/>
        <v>1</v>
      </c>
      <c r="S895" s="80">
        <f t="shared" si="1187"/>
        <v>1</v>
      </c>
      <c r="T895" s="80">
        <f t="shared" si="1187"/>
        <v>1</v>
      </c>
      <c r="U895" s="80">
        <f t="shared" si="1187"/>
        <v>1</v>
      </c>
      <c r="V895" s="80">
        <f t="shared" si="1187"/>
        <v>1</v>
      </c>
      <c r="W895" s="80">
        <f t="shared" si="1187"/>
        <v>1</v>
      </c>
      <c r="X895" s="80">
        <f t="shared" si="1187"/>
        <v>1</v>
      </c>
      <c r="Y895" s="80">
        <f t="shared" si="1187"/>
        <v>1</v>
      </c>
    </row>
    <row r="896" ht="16.5" spans="2:25">
      <c r="B896" s="65">
        <v>256</v>
      </c>
      <c r="C896" s="80">
        <f t="shared" si="1124"/>
        <v>29486</v>
      </c>
      <c r="D896" s="80">
        <f t="shared" ref="D896:Y896" si="1188">IF($C896&gt;D$337,1,0)</f>
        <v>1</v>
      </c>
      <c r="E896" s="80">
        <f t="shared" si="1188"/>
        <v>1</v>
      </c>
      <c r="F896" s="80">
        <f t="shared" si="1188"/>
        <v>1</v>
      </c>
      <c r="G896" s="80">
        <f t="shared" si="1188"/>
        <v>1</v>
      </c>
      <c r="H896" s="80">
        <f t="shared" si="1188"/>
        <v>1</v>
      </c>
      <c r="I896" s="80">
        <f t="shared" si="1188"/>
        <v>1</v>
      </c>
      <c r="J896" s="80">
        <f t="shared" si="1188"/>
        <v>1</v>
      </c>
      <c r="K896" s="80">
        <f t="shared" si="1188"/>
        <v>1</v>
      </c>
      <c r="L896" s="80">
        <f t="shared" si="1188"/>
        <v>1</v>
      </c>
      <c r="M896" s="80">
        <f t="shared" si="1188"/>
        <v>1</v>
      </c>
      <c r="N896" s="80">
        <f t="shared" si="1188"/>
        <v>1</v>
      </c>
      <c r="O896" s="80">
        <f t="shared" si="1188"/>
        <v>1</v>
      </c>
      <c r="P896" s="80">
        <f t="shared" si="1188"/>
        <v>1</v>
      </c>
      <c r="Q896" s="80">
        <f t="shared" si="1188"/>
        <v>1</v>
      </c>
      <c r="R896" s="80">
        <f t="shared" si="1188"/>
        <v>1</v>
      </c>
      <c r="S896" s="80">
        <f t="shared" si="1188"/>
        <v>1</v>
      </c>
      <c r="T896" s="80">
        <f t="shared" si="1188"/>
        <v>1</v>
      </c>
      <c r="U896" s="80">
        <f t="shared" si="1188"/>
        <v>1</v>
      </c>
      <c r="V896" s="80">
        <f t="shared" si="1188"/>
        <v>1</v>
      </c>
      <c r="W896" s="80">
        <f t="shared" si="1188"/>
        <v>1</v>
      </c>
      <c r="X896" s="80">
        <f t="shared" si="1188"/>
        <v>1</v>
      </c>
      <c r="Y896" s="80">
        <f t="shared" si="1188"/>
        <v>1</v>
      </c>
    </row>
    <row r="897" ht="16.5" spans="2:25">
      <c r="B897" s="65">
        <v>257</v>
      </c>
      <c r="C897" s="80">
        <f t="shared" ref="C897:C940" si="1189">C595</f>
        <v>29596</v>
      </c>
      <c r="D897" s="80">
        <f t="shared" ref="D897:Y897" si="1190">IF($C897&gt;D$337,1,0)</f>
        <v>1</v>
      </c>
      <c r="E897" s="80">
        <f t="shared" si="1190"/>
        <v>1</v>
      </c>
      <c r="F897" s="80">
        <f t="shared" si="1190"/>
        <v>1</v>
      </c>
      <c r="G897" s="80">
        <f t="shared" si="1190"/>
        <v>1</v>
      </c>
      <c r="H897" s="80">
        <f t="shared" si="1190"/>
        <v>1</v>
      </c>
      <c r="I897" s="80">
        <f t="shared" si="1190"/>
        <v>1</v>
      </c>
      <c r="J897" s="80">
        <f t="shared" si="1190"/>
        <v>1</v>
      </c>
      <c r="K897" s="80">
        <f t="shared" si="1190"/>
        <v>1</v>
      </c>
      <c r="L897" s="80">
        <f t="shared" si="1190"/>
        <v>1</v>
      </c>
      <c r="M897" s="80">
        <f t="shared" si="1190"/>
        <v>1</v>
      </c>
      <c r="N897" s="80">
        <f t="shared" si="1190"/>
        <v>1</v>
      </c>
      <c r="O897" s="80">
        <f t="shared" si="1190"/>
        <v>1</v>
      </c>
      <c r="P897" s="80">
        <f t="shared" si="1190"/>
        <v>1</v>
      </c>
      <c r="Q897" s="80">
        <f t="shared" si="1190"/>
        <v>1</v>
      </c>
      <c r="R897" s="80">
        <f t="shared" si="1190"/>
        <v>1</v>
      </c>
      <c r="S897" s="80">
        <f t="shared" si="1190"/>
        <v>1</v>
      </c>
      <c r="T897" s="80">
        <f t="shared" si="1190"/>
        <v>1</v>
      </c>
      <c r="U897" s="80">
        <f t="shared" si="1190"/>
        <v>1</v>
      </c>
      <c r="V897" s="80">
        <f t="shared" si="1190"/>
        <v>1</v>
      </c>
      <c r="W897" s="80">
        <f t="shared" si="1190"/>
        <v>1</v>
      </c>
      <c r="X897" s="80">
        <f t="shared" si="1190"/>
        <v>1</v>
      </c>
      <c r="Y897" s="80">
        <f t="shared" si="1190"/>
        <v>1</v>
      </c>
    </row>
    <row r="898" ht="16.5" spans="2:25">
      <c r="B898" s="65">
        <v>258</v>
      </c>
      <c r="C898" s="80">
        <f t="shared" si="1189"/>
        <v>29706</v>
      </c>
      <c r="D898" s="80">
        <f t="shared" ref="D898:Y898" si="1191">IF($C898&gt;D$337,1,0)</f>
        <v>1</v>
      </c>
      <c r="E898" s="80">
        <f t="shared" si="1191"/>
        <v>1</v>
      </c>
      <c r="F898" s="80">
        <f t="shared" si="1191"/>
        <v>1</v>
      </c>
      <c r="G898" s="80">
        <f t="shared" si="1191"/>
        <v>1</v>
      </c>
      <c r="H898" s="80">
        <f t="shared" si="1191"/>
        <v>1</v>
      </c>
      <c r="I898" s="80">
        <f t="shared" si="1191"/>
        <v>1</v>
      </c>
      <c r="J898" s="80">
        <f t="shared" si="1191"/>
        <v>1</v>
      </c>
      <c r="K898" s="80">
        <f t="shared" si="1191"/>
        <v>1</v>
      </c>
      <c r="L898" s="80">
        <f t="shared" si="1191"/>
        <v>1</v>
      </c>
      <c r="M898" s="80">
        <f t="shared" si="1191"/>
        <v>1</v>
      </c>
      <c r="N898" s="80">
        <f t="shared" si="1191"/>
        <v>1</v>
      </c>
      <c r="O898" s="80">
        <f t="shared" si="1191"/>
        <v>1</v>
      </c>
      <c r="P898" s="80">
        <f t="shared" si="1191"/>
        <v>1</v>
      </c>
      <c r="Q898" s="80">
        <f t="shared" si="1191"/>
        <v>1</v>
      </c>
      <c r="R898" s="80">
        <f t="shared" si="1191"/>
        <v>1</v>
      </c>
      <c r="S898" s="80">
        <f t="shared" si="1191"/>
        <v>1</v>
      </c>
      <c r="T898" s="80">
        <f t="shared" si="1191"/>
        <v>1</v>
      </c>
      <c r="U898" s="80">
        <f t="shared" si="1191"/>
        <v>1</v>
      </c>
      <c r="V898" s="80">
        <f t="shared" si="1191"/>
        <v>1</v>
      </c>
      <c r="W898" s="80">
        <f t="shared" si="1191"/>
        <v>1</v>
      </c>
      <c r="X898" s="80">
        <f t="shared" si="1191"/>
        <v>1</v>
      </c>
      <c r="Y898" s="80">
        <f t="shared" si="1191"/>
        <v>1</v>
      </c>
    </row>
    <row r="899" ht="16.5" spans="2:25">
      <c r="B899" s="65">
        <v>259</v>
      </c>
      <c r="C899" s="80">
        <f t="shared" si="1189"/>
        <v>29816</v>
      </c>
      <c r="D899" s="80">
        <f t="shared" ref="D899:Y899" si="1192">IF($C899&gt;D$337,1,0)</f>
        <v>1</v>
      </c>
      <c r="E899" s="80">
        <f t="shared" si="1192"/>
        <v>1</v>
      </c>
      <c r="F899" s="80">
        <f t="shared" si="1192"/>
        <v>1</v>
      </c>
      <c r="G899" s="80">
        <f t="shared" si="1192"/>
        <v>1</v>
      </c>
      <c r="H899" s="80">
        <f t="shared" si="1192"/>
        <v>1</v>
      </c>
      <c r="I899" s="80">
        <f t="shared" si="1192"/>
        <v>1</v>
      </c>
      <c r="J899" s="80">
        <f t="shared" si="1192"/>
        <v>1</v>
      </c>
      <c r="K899" s="80">
        <f t="shared" si="1192"/>
        <v>1</v>
      </c>
      <c r="L899" s="80">
        <f t="shared" si="1192"/>
        <v>1</v>
      </c>
      <c r="M899" s="80">
        <f t="shared" si="1192"/>
        <v>1</v>
      </c>
      <c r="N899" s="80">
        <f t="shared" si="1192"/>
        <v>1</v>
      </c>
      <c r="O899" s="80">
        <f t="shared" si="1192"/>
        <v>1</v>
      </c>
      <c r="P899" s="80">
        <f t="shared" si="1192"/>
        <v>1</v>
      </c>
      <c r="Q899" s="80">
        <f t="shared" si="1192"/>
        <v>1</v>
      </c>
      <c r="R899" s="80">
        <f t="shared" si="1192"/>
        <v>1</v>
      </c>
      <c r="S899" s="80">
        <f t="shared" si="1192"/>
        <v>1</v>
      </c>
      <c r="T899" s="80">
        <f t="shared" si="1192"/>
        <v>1</v>
      </c>
      <c r="U899" s="80">
        <f t="shared" si="1192"/>
        <v>1</v>
      </c>
      <c r="V899" s="80">
        <f t="shared" si="1192"/>
        <v>1</v>
      </c>
      <c r="W899" s="80">
        <f t="shared" si="1192"/>
        <v>1</v>
      </c>
      <c r="X899" s="80">
        <f t="shared" si="1192"/>
        <v>1</v>
      </c>
      <c r="Y899" s="80">
        <f t="shared" si="1192"/>
        <v>1</v>
      </c>
    </row>
    <row r="900" ht="16.5" spans="2:25">
      <c r="B900" s="65">
        <v>260</v>
      </c>
      <c r="C900" s="80">
        <f t="shared" si="1189"/>
        <v>29926</v>
      </c>
      <c r="D900" s="80">
        <f t="shared" ref="D900:Y900" si="1193">IF($C900&gt;D$337,1,0)</f>
        <v>1</v>
      </c>
      <c r="E900" s="80">
        <f t="shared" si="1193"/>
        <v>1</v>
      </c>
      <c r="F900" s="80">
        <f t="shared" si="1193"/>
        <v>1</v>
      </c>
      <c r="G900" s="80">
        <f t="shared" si="1193"/>
        <v>1</v>
      </c>
      <c r="H900" s="80">
        <f t="shared" si="1193"/>
        <v>1</v>
      </c>
      <c r="I900" s="80">
        <f t="shared" si="1193"/>
        <v>1</v>
      </c>
      <c r="J900" s="80">
        <f t="shared" si="1193"/>
        <v>1</v>
      </c>
      <c r="K900" s="80">
        <f t="shared" si="1193"/>
        <v>1</v>
      </c>
      <c r="L900" s="80">
        <f t="shared" si="1193"/>
        <v>1</v>
      </c>
      <c r="M900" s="80">
        <f t="shared" si="1193"/>
        <v>1</v>
      </c>
      <c r="N900" s="80">
        <f t="shared" si="1193"/>
        <v>1</v>
      </c>
      <c r="O900" s="80">
        <f t="shared" si="1193"/>
        <v>1</v>
      </c>
      <c r="P900" s="80">
        <f t="shared" si="1193"/>
        <v>1</v>
      </c>
      <c r="Q900" s="80">
        <f t="shared" si="1193"/>
        <v>1</v>
      </c>
      <c r="R900" s="80">
        <f t="shared" si="1193"/>
        <v>1</v>
      </c>
      <c r="S900" s="80">
        <f t="shared" si="1193"/>
        <v>1</v>
      </c>
      <c r="T900" s="80">
        <f t="shared" si="1193"/>
        <v>1</v>
      </c>
      <c r="U900" s="80">
        <f t="shared" si="1193"/>
        <v>1</v>
      </c>
      <c r="V900" s="80">
        <f t="shared" si="1193"/>
        <v>1</v>
      </c>
      <c r="W900" s="80">
        <f t="shared" si="1193"/>
        <v>1</v>
      </c>
      <c r="X900" s="80">
        <f t="shared" si="1193"/>
        <v>1</v>
      </c>
      <c r="Y900" s="80">
        <f t="shared" si="1193"/>
        <v>1</v>
      </c>
    </row>
    <row r="901" ht="16.5" spans="2:25">
      <c r="B901" s="65">
        <v>261</v>
      </c>
      <c r="C901" s="80">
        <f t="shared" si="1189"/>
        <v>30036</v>
      </c>
      <c r="D901" s="80">
        <f t="shared" ref="D901:Y901" si="1194">IF($C901&gt;D$337,1,0)</f>
        <v>1</v>
      </c>
      <c r="E901" s="80">
        <f t="shared" si="1194"/>
        <v>1</v>
      </c>
      <c r="F901" s="80">
        <f t="shared" si="1194"/>
        <v>1</v>
      </c>
      <c r="G901" s="80">
        <f t="shared" si="1194"/>
        <v>1</v>
      </c>
      <c r="H901" s="80">
        <f t="shared" si="1194"/>
        <v>1</v>
      </c>
      <c r="I901" s="80">
        <f t="shared" si="1194"/>
        <v>1</v>
      </c>
      <c r="J901" s="80">
        <f t="shared" si="1194"/>
        <v>1</v>
      </c>
      <c r="K901" s="80">
        <f t="shared" si="1194"/>
        <v>1</v>
      </c>
      <c r="L901" s="80">
        <f t="shared" si="1194"/>
        <v>1</v>
      </c>
      <c r="M901" s="80">
        <f t="shared" si="1194"/>
        <v>1</v>
      </c>
      <c r="N901" s="80">
        <f t="shared" si="1194"/>
        <v>1</v>
      </c>
      <c r="O901" s="80">
        <f t="shared" si="1194"/>
        <v>1</v>
      </c>
      <c r="P901" s="80">
        <f t="shared" si="1194"/>
        <v>1</v>
      </c>
      <c r="Q901" s="80">
        <f t="shared" si="1194"/>
        <v>1</v>
      </c>
      <c r="R901" s="80">
        <f t="shared" si="1194"/>
        <v>1</v>
      </c>
      <c r="S901" s="80">
        <f t="shared" si="1194"/>
        <v>1</v>
      </c>
      <c r="T901" s="80">
        <f t="shared" si="1194"/>
        <v>1</v>
      </c>
      <c r="U901" s="80">
        <f t="shared" si="1194"/>
        <v>1</v>
      </c>
      <c r="V901" s="80">
        <f t="shared" si="1194"/>
        <v>1</v>
      </c>
      <c r="W901" s="80">
        <f t="shared" si="1194"/>
        <v>1</v>
      </c>
      <c r="X901" s="80">
        <f t="shared" si="1194"/>
        <v>1</v>
      </c>
      <c r="Y901" s="80">
        <f t="shared" si="1194"/>
        <v>1</v>
      </c>
    </row>
    <row r="902" ht="16.5" spans="2:25">
      <c r="B902" s="65">
        <v>262</v>
      </c>
      <c r="C902" s="80">
        <f t="shared" si="1189"/>
        <v>30146</v>
      </c>
      <c r="D902" s="80">
        <f t="shared" ref="D902:Y902" si="1195">IF($C902&gt;D$337,1,0)</f>
        <v>1</v>
      </c>
      <c r="E902" s="80">
        <f t="shared" si="1195"/>
        <v>1</v>
      </c>
      <c r="F902" s="80">
        <f t="shared" si="1195"/>
        <v>1</v>
      </c>
      <c r="G902" s="80">
        <f t="shared" si="1195"/>
        <v>1</v>
      </c>
      <c r="H902" s="80">
        <f t="shared" si="1195"/>
        <v>1</v>
      </c>
      <c r="I902" s="80">
        <f t="shared" si="1195"/>
        <v>1</v>
      </c>
      <c r="J902" s="80">
        <f t="shared" si="1195"/>
        <v>1</v>
      </c>
      <c r="K902" s="80">
        <f t="shared" si="1195"/>
        <v>1</v>
      </c>
      <c r="L902" s="80">
        <f t="shared" si="1195"/>
        <v>1</v>
      </c>
      <c r="M902" s="80">
        <f t="shared" si="1195"/>
        <v>1</v>
      </c>
      <c r="N902" s="80">
        <f t="shared" si="1195"/>
        <v>1</v>
      </c>
      <c r="O902" s="80">
        <f t="shared" si="1195"/>
        <v>1</v>
      </c>
      <c r="P902" s="80">
        <f t="shared" si="1195"/>
        <v>1</v>
      </c>
      <c r="Q902" s="80">
        <f t="shared" si="1195"/>
        <v>1</v>
      </c>
      <c r="R902" s="80">
        <f t="shared" si="1195"/>
        <v>1</v>
      </c>
      <c r="S902" s="80">
        <f t="shared" si="1195"/>
        <v>1</v>
      </c>
      <c r="T902" s="80">
        <f t="shared" si="1195"/>
        <v>1</v>
      </c>
      <c r="U902" s="80">
        <f t="shared" si="1195"/>
        <v>1</v>
      </c>
      <c r="V902" s="80">
        <f t="shared" si="1195"/>
        <v>1</v>
      </c>
      <c r="W902" s="80">
        <f t="shared" si="1195"/>
        <v>1</v>
      </c>
      <c r="X902" s="80">
        <f t="shared" si="1195"/>
        <v>1</v>
      </c>
      <c r="Y902" s="80">
        <f t="shared" si="1195"/>
        <v>1</v>
      </c>
    </row>
    <row r="903" ht="16.5" spans="2:25">
      <c r="B903" s="65">
        <v>263</v>
      </c>
      <c r="C903" s="80">
        <f t="shared" si="1189"/>
        <v>30256</v>
      </c>
      <c r="D903" s="80">
        <f t="shared" ref="D903:Y903" si="1196">IF($C903&gt;D$337,1,0)</f>
        <v>1</v>
      </c>
      <c r="E903" s="80">
        <f t="shared" si="1196"/>
        <v>1</v>
      </c>
      <c r="F903" s="80">
        <f t="shared" si="1196"/>
        <v>1</v>
      </c>
      <c r="G903" s="80">
        <f t="shared" si="1196"/>
        <v>1</v>
      </c>
      <c r="H903" s="80">
        <f t="shared" si="1196"/>
        <v>1</v>
      </c>
      <c r="I903" s="80">
        <f t="shared" si="1196"/>
        <v>1</v>
      </c>
      <c r="J903" s="80">
        <f t="shared" si="1196"/>
        <v>1</v>
      </c>
      <c r="K903" s="80">
        <f t="shared" si="1196"/>
        <v>1</v>
      </c>
      <c r="L903" s="80">
        <f t="shared" si="1196"/>
        <v>1</v>
      </c>
      <c r="M903" s="80">
        <f t="shared" si="1196"/>
        <v>1</v>
      </c>
      <c r="N903" s="80">
        <f t="shared" si="1196"/>
        <v>1</v>
      </c>
      <c r="O903" s="80">
        <f t="shared" si="1196"/>
        <v>1</v>
      </c>
      <c r="P903" s="80">
        <f t="shared" si="1196"/>
        <v>1</v>
      </c>
      <c r="Q903" s="80">
        <f t="shared" si="1196"/>
        <v>1</v>
      </c>
      <c r="R903" s="80">
        <f t="shared" si="1196"/>
        <v>1</v>
      </c>
      <c r="S903" s="80">
        <f t="shared" si="1196"/>
        <v>1</v>
      </c>
      <c r="T903" s="80">
        <f t="shared" si="1196"/>
        <v>1</v>
      </c>
      <c r="U903" s="80">
        <f t="shared" si="1196"/>
        <v>1</v>
      </c>
      <c r="V903" s="80">
        <f t="shared" si="1196"/>
        <v>1</v>
      </c>
      <c r="W903" s="80">
        <f t="shared" si="1196"/>
        <v>1</v>
      </c>
      <c r="X903" s="80">
        <f t="shared" si="1196"/>
        <v>1</v>
      </c>
      <c r="Y903" s="80">
        <f t="shared" si="1196"/>
        <v>1</v>
      </c>
    </row>
    <row r="904" ht="16.5" spans="2:25">
      <c r="B904" s="65">
        <v>264</v>
      </c>
      <c r="C904" s="80">
        <f t="shared" si="1189"/>
        <v>30366</v>
      </c>
      <c r="D904" s="80">
        <f t="shared" ref="D904:Y904" si="1197">IF($C904&gt;D$337,1,0)</f>
        <v>1</v>
      </c>
      <c r="E904" s="80">
        <f t="shared" si="1197"/>
        <v>1</v>
      </c>
      <c r="F904" s="80">
        <f t="shared" si="1197"/>
        <v>1</v>
      </c>
      <c r="G904" s="80">
        <f t="shared" si="1197"/>
        <v>1</v>
      </c>
      <c r="H904" s="80">
        <f t="shared" si="1197"/>
        <v>1</v>
      </c>
      <c r="I904" s="80">
        <f t="shared" si="1197"/>
        <v>1</v>
      </c>
      <c r="J904" s="80">
        <f t="shared" si="1197"/>
        <v>1</v>
      </c>
      <c r="K904" s="80">
        <f t="shared" si="1197"/>
        <v>1</v>
      </c>
      <c r="L904" s="80">
        <f t="shared" si="1197"/>
        <v>1</v>
      </c>
      <c r="M904" s="80">
        <f t="shared" si="1197"/>
        <v>1</v>
      </c>
      <c r="N904" s="80">
        <f t="shared" si="1197"/>
        <v>1</v>
      </c>
      <c r="O904" s="80">
        <f t="shared" si="1197"/>
        <v>1</v>
      </c>
      <c r="P904" s="80">
        <f t="shared" si="1197"/>
        <v>1</v>
      </c>
      <c r="Q904" s="80">
        <f t="shared" si="1197"/>
        <v>1</v>
      </c>
      <c r="R904" s="80">
        <f t="shared" si="1197"/>
        <v>1</v>
      </c>
      <c r="S904" s="80">
        <f t="shared" si="1197"/>
        <v>1</v>
      </c>
      <c r="T904" s="80">
        <f t="shared" si="1197"/>
        <v>1</v>
      </c>
      <c r="U904" s="80">
        <f t="shared" si="1197"/>
        <v>1</v>
      </c>
      <c r="V904" s="80">
        <f t="shared" si="1197"/>
        <v>1</v>
      </c>
      <c r="W904" s="80">
        <f t="shared" si="1197"/>
        <v>1</v>
      </c>
      <c r="X904" s="80">
        <f t="shared" si="1197"/>
        <v>1</v>
      </c>
      <c r="Y904" s="80">
        <f t="shared" si="1197"/>
        <v>1</v>
      </c>
    </row>
    <row r="905" ht="16.5" spans="2:25">
      <c r="B905" s="65">
        <v>265</v>
      </c>
      <c r="C905" s="80">
        <f t="shared" si="1189"/>
        <v>30476</v>
      </c>
      <c r="D905" s="80">
        <f t="shared" ref="D905:Y905" si="1198">IF($C905&gt;D$337,1,0)</f>
        <v>1</v>
      </c>
      <c r="E905" s="80">
        <f t="shared" si="1198"/>
        <v>1</v>
      </c>
      <c r="F905" s="80">
        <f t="shared" si="1198"/>
        <v>1</v>
      </c>
      <c r="G905" s="80">
        <f t="shared" si="1198"/>
        <v>1</v>
      </c>
      <c r="H905" s="80">
        <f t="shared" si="1198"/>
        <v>1</v>
      </c>
      <c r="I905" s="80">
        <f t="shared" si="1198"/>
        <v>1</v>
      </c>
      <c r="J905" s="80">
        <f t="shared" si="1198"/>
        <v>1</v>
      </c>
      <c r="K905" s="80">
        <f t="shared" si="1198"/>
        <v>1</v>
      </c>
      <c r="L905" s="80">
        <f t="shared" si="1198"/>
        <v>1</v>
      </c>
      <c r="M905" s="80">
        <f t="shared" si="1198"/>
        <v>1</v>
      </c>
      <c r="N905" s="80">
        <f t="shared" si="1198"/>
        <v>1</v>
      </c>
      <c r="O905" s="80">
        <f t="shared" si="1198"/>
        <v>1</v>
      </c>
      <c r="P905" s="80">
        <f t="shared" si="1198"/>
        <v>1</v>
      </c>
      <c r="Q905" s="80">
        <f t="shared" si="1198"/>
        <v>1</v>
      </c>
      <c r="R905" s="80">
        <f t="shared" si="1198"/>
        <v>1</v>
      </c>
      <c r="S905" s="80">
        <f t="shared" si="1198"/>
        <v>1</v>
      </c>
      <c r="T905" s="80">
        <f t="shared" si="1198"/>
        <v>1</v>
      </c>
      <c r="U905" s="80">
        <f t="shared" si="1198"/>
        <v>1</v>
      </c>
      <c r="V905" s="80">
        <f t="shared" si="1198"/>
        <v>1</v>
      </c>
      <c r="W905" s="80">
        <f t="shared" si="1198"/>
        <v>1</v>
      </c>
      <c r="X905" s="80">
        <f t="shared" si="1198"/>
        <v>1</v>
      </c>
      <c r="Y905" s="80">
        <f t="shared" si="1198"/>
        <v>1</v>
      </c>
    </row>
    <row r="906" ht="16.5" spans="2:25">
      <c r="B906" s="65">
        <v>266</v>
      </c>
      <c r="C906" s="80">
        <f t="shared" si="1189"/>
        <v>30586</v>
      </c>
      <c r="D906" s="80">
        <f t="shared" ref="D906:Y906" si="1199">IF($C906&gt;D$337,1,0)</f>
        <v>1</v>
      </c>
      <c r="E906" s="80">
        <f t="shared" si="1199"/>
        <v>1</v>
      </c>
      <c r="F906" s="80">
        <f t="shared" si="1199"/>
        <v>1</v>
      </c>
      <c r="G906" s="80">
        <f t="shared" si="1199"/>
        <v>1</v>
      </c>
      <c r="H906" s="80">
        <f t="shared" si="1199"/>
        <v>1</v>
      </c>
      <c r="I906" s="80">
        <f t="shared" si="1199"/>
        <v>1</v>
      </c>
      <c r="J906" s="80">
        <f t="shared" si="1199"/>
        <v>1</v>
      </c>
      <c r="K906" s="80">
        <f t="shared" si="1199"/>
        <v>1</v>
      </c>
      <c r="L906" s="80">
        <f t="shared" si="1199"/>
        <v>1</v>
      </c>
      <c r="M906" s="80">
        <f t="shared" si="1199"/>
        <v>1</v>
      </c>
      <c r="N906" s="80">
        <f t="shared" si="1199"/>
        <v>1</v>
      </c>
      <c r="O906" s="80">
        <f t="shared" si="1199"/>
        <v>1</v>
      </c>
      <c r="P906" s="80">
        <f t="shared" si="1199"/>
        <v>1</v>
      </c>
      <c r="Q906" s="80">
        <f t="shared" si="1199"/>
        <v>1</v>
      </c>
      <c r="R906" s="80">
        <f t="shared" si="1199"/>
        <v>1</v>
      </c>
      <c r="S906" s="80">
        <f t="shared" si="1199"/>
        <v>1</v>
      </c>
      <c r="T906" s="80">
        <f t="shared" si="1199"/>
        <v>1</v>
      </c>
      <c r="U906" s="80">
        <f t="shared" si="1199"/>
        <v>1</v>
      </c>
      <c r="V906" s="80">
        <f t="shared" si="1199"/>
        <v>1</v>
      </c>
      <c r="W906" s="80">
        <f t="shared" si="1199"/>
        <v>1</v>
      </c>
      <c r="X906" s="80">
        <f t="shared" si="1199"/>
        <v>1</v>
      </c>
      <c r="Y906" s="80">
        <f t="shared" si="1199"/>
        <v>1</v>
      </c>
    </row>
    <row r="907" ht="16.5" spans="2:25">
      <c r="B907" s="65">
        <v>267</v>
      </c>
      <c r="C907" s="80">
        <f t="shared" si="1189"/>
        <v>30696</v>
      </c>
      <c r="D907" s="80">
        <f t="shared" ref="D907:Y907" si="1200">IF($C907&gt;D$337,1,0)</f>
        <v>1</v>
      </c>
      <c r="E907" s="80">
        <f t="shared" si="1200"/>
        <v>1</v>
      </c>
      <c r="F907" s="80">
        <f t="shared" si="1200"/>
        <v>1</v>
      </c>
      <c r="G907" s="80">
        <f t="shared" si="1200"/>
        <v>1</v>
      </c>
      <c r="H907" s="80">
        <f t="shared" si="1200"/>
        <v>1</v>
      </c>
      <c r="I907" s="80">
        <f t="shared" si="1200"/>
        <v>1</v>
      </c>
      <c r="J907" s="80">
        <f t="shared" si="1200"/>
        <v>1</v>
      </c>
      <c r="K907" s="80">
        <f t="shared" si="1200"/>
        <v>1</v>
      </c>
      <c r="L907" s="80">
        <f t="shared" si="1200"/>
        <v>1</v>
      </c>
      <c r="M907" s="80">
        <f t="shared" si="1200"/>
        <v>1</v>
      </c>
      <c r="N907" s="80">
        <f t="shared" si="1200"/>
        <v>1</v>
      </c>
      <c r="O907" s="80">
        <f t="shared" si="1200"/>
        <v>1</v>
      </c>
      <c r="P907" s="80">
        <f t="shared" si="1200"/>
        <v>1</v>
      </c>
      <c r="Q907" s="80">
        <f t="shared" si="1200"/>
        <v>1</v>
      </c>
      <c r="R907" s="80">
        <f t="shared" si="1200"/>
        <v>1</v>
      </c>
      <c r="S907" s="80">
        <f t="shared" si="1200"/>
        <v>1</v>
      </c>
      <c r="T907" s="80">
        <f t="shared" si="1200"/>
        <v>1</v>
      </c>
      <c r="U907" s="80">
        <f t="shared" si="1200"/>
        <v>1</v>
      </c>
      <c r="V907" s="80">
        <f t="shared" si="1200"/>
        <v>1</v>
      </c>
      <c r="W907" s="80">
        <f t="shared" si="1200"/>
        <v>1</v>
      </c>
      <c r="X907" s="80">
        <f t="shared" si="1200"/>
        <v>1</v>
      </c>
      <c r="Y907" s="80">
        <f t="shared" si="1200"/>
        <v>1</v>
      </c>
    </row>
    <row r="908" ht="16.5" spans="2:25">
      <c r="B908" s="65">
        <v>268</v>
      </c>
      <c r="C908" s="80">
        <f t="shared" si="1189"/>
        <v>30806</v>
      </c>
      <c r="D908" s="80">
        <f t="shared" ref="D908:Y908" si="1201">IF($C908&gt;D$337,1,0)</f>
        <v>1</v>
      </c>
      <c r="E908" s="80">
        <f t="shared" si="1201"/>
        <v>1</v>
      </c>
      <c r="F908" s="80">
        <f t="shared" si="1201"/>
        <v>1</v>
      </c>
      <c r="G908" s="80">
        <f t="shared" si="1201"/>
        <v>1</v>
      </c>
      <c r="H908" s="80">
        <f t="shared" si="1201"/>
        <v>1</v>
      </c>
      <c r="I908" s="80">
        <f t="shared" si="1201"/>
        <v>1</v>
      </c>
      <c r="J908" s="80">
        <f t="shared" si="1201"/>
        <v>1</v>
      </c>
      <c r="K908" s="80">
        <f t="shared" si="1201"/>
        <v>1</v>
      </c>
      <c r="L908" s="80">
        <f t="shared" si="1201"/>
        <v>1</v>
      </c>
      <c r="M908" s="80">
        <f t="shared" si="1201"/>
        <v>1</v>
      </c>
      <c r="N908" s="80">
        <f t="shared" si="1201"/>
        <v>1</v>
      </c>
      <c r="O908" s="80">
        <f t="shared" si="1201"/>
        <v>1</v>
      </c>
      <c r="P908" s="80">
        <f t="shared" si="1201"/>
        <v>1</v>
      </c>
      <c r="Q908" s="80">
        <f t="shared" si="1201"/>
        <v>1</v>
      </c>
      <c r="R908" s="80">
        <f t="shared" si="1201"/>
        <v>1</v>
      </c>
      <c r="S908" s="80">
        <f t="shared" si="1201"/>
        <v>1</v>
      </c>
      <c r="T908" s="80">
        <f t="shared" si="1201"/>
        <v>1</v>
      </c>
      <c r="U908" s="80">
        <f t="shared" si="1201"/>
        <v>1</v>
      </c>
      <c r="V908" s="80">
        <f t="shared" si="1201"/>
        <v>1</v>
      </c>
      <c r="W908" s="80">
        <f t="shared" si="1201"/>
        <v>1</v>
      </c>
      <c r="X908" s="80">
        <f t="shared" si="1201"/>
        <v>1</v>
      </c>
      <c r="Y908" s="80">
        <f t="shared" si="1201"/>
        <v>1</v>
      </c>
    </row>
    <row r="909" ht="16.5" spans="2:25">
      <c r="B909" s="65">
        <v>269</v>
      </c>
      <c r="C909" s="80">
        <f t="shared" si="1189"/>
        <v>30916</v>
      </c>
      <c r="D909" s="80">
        <f t="shared" ref="D909:Y909" si="1202">IF($C909&gt;D$337,1,0)</f>
        <v>1</v>
      </c>
      <c r="E909" s="80">
        <f t="shared" si="1202"/>
        <v>1</v>
      </c>
      <c r="F909" s="80">
        <f t="shared" si="1202"/>
        <v>1</v>
      </c>
      <c r="G909" s="80">
        <f t="shared" si="1202"/>
        <v>1</v>
      </c>
      <c r="H909" s="80">
        <f t="shared" si="1202"/>
        <v>1</v>
      </c>
      <c r="I909" s="80">
        <f t="shared" si="1202"/>
        <v>1</v>
      </c>
      <c r="J909" s="80">
        <f t="shared" si="1202"/>
        <v>1</v>
      </c>
      <c r="K909" s="80">
        <f t="shared" si="1202"/>
        <v>1</v>
      </c>
      <c r="L909" s="80">
        <f t="shared" si="1202"/>
        <v>1</v>
      </c>
      <c r="M909" s="80">
        <f t="shared" si="1202"/>
        <v>1</v>
      </c>
      <c r="N909" s="80">
        <f t="shared" si="1202"/>
        <v>1</v>
      </c>
      <c r="O909" s="80">
        <f t="shared" si="1202"/>
        <v>1</v>
      </c>
      <c r="P909" s="80">
        <f t="shared" si="1202"/>
        <v>1</v>
      </c>
      <c r="Q909" s="80">
        <f t="shared" si="1202"/>
        <v>1</v>
      </c>
      <c r="R909" s="80">
        <f t="shared" si="1202"/>
        <v>1</v>
      </c>
      <c r="S909" s="80">
        <f t="shared" si="1202"/>
        <v>1</v>
      </c>
      <c r="T909" s="80">
        <f t="shared" si="1202"/>
        <v>1</v>
      </c>
      <c r="U909" s="80">
        <f t="shared" si="1202"/>
        <v>1</v>
      </c>
      <c r="V909" s="80">
        <f t="shared" si="1202"/>
        <v>1</v>
      </c>
      <c r="W909" s="80">
        <f t="shared" si="1202"/>
        <v>1</v>
      </c>
      <c r="X909" s="80">
        <f t="shared" si="1202"/>
        <v>1</v>
      </c>
      <c r="Y909" s="80">
        <f t="shared" si="1202"/>
        <v>1</v>
      </c>
    </row>
    <row r="910" ht="16.5" spans="2:25">
      <c r="B910" s="65">
        <v>270</v>
      </c>
      <c r="C910" s="80">
        <f t="shared" si="1189"/>
        <v>31026</v>
      </c>
      <c r="D910" s="80">
        <f t="shared" ref="D910:Y910" si="1203">IF($C910&gt;D$337,1,0)</f>
        <v>1</v>
      </c>
      <c r="E910" s="80">
        <f t="shared" si="1203"/>
        <v>1</v>
      </c>
      <c r="F910" s="80">
        <f t="shared" si="1203"/>
        <v>1</v>
      </c>
      <c r="G910" s="80">
        <f t="shared" si="1203"/>
        <v>1</v>
      </c>
      <c r="H910" s="80">
        <f t="shared" si="1203"/>
        <v>1</v>
      </c>
      <c r="I910" s="80">
        <f t="shared" si="1203"/>
        <v>1</v>
      </c>
      <c r="J910" s="80">
        <f t="shared" si="1203"/>
        <v>1</v>
      </c>
      <c r="K910" s="80">
        <f t="shared" si="1203"/>
        <v>1</v>
      </c>
      <c r="L910" s="80">
        <f t="shared" si="1203"/>
        <v>1</v>
      </c>
      <c r="M910" s="80">
        <f t="shared" si="1203"/>
        <v>1</v>
      </c>
      <c r="N910" s="80">
        <f t="shared" si="1203"/>
        <v>1</v>
      </c>
      <c r="O910" s="80">
        <f t="shared" si="1203"/>
        <v>1</v>
      </c>
      <c r="P910" s="80">
        <f t="shared" si="1203"/>
        <v>1</v>
      </c>
      <c r="Q910" s="80">
        <f t="shared" si="1203"/>
        <v>1</v>
      </c>
      <c r="R910" s="80">
        <f t="shared" si="1203"/>
        <v>1</v>
      </c>
      <c r="S910" s="80">
        <f t="shared" si="1203"/>
        <v>1</v>
      </c>
      <c r="T910" s="80">
        <f t="shared" si="1203"/>
        <v>1</v>
      </c>
      <c r="U910" s="80">
        <f t="shared" si="1203"/>
        <v>1</v>
      </c>
      <c r="V910" s="80">
        <f t="shared" si="1203"/>
        <v>1</v>
      </c>
      <c r="W910" s="80">
        <f t="shared" si="1203"/>
        <v>1</v>
      </c>
      <c r="X910" s="80">
        <f t="shared" si="1203"/>
        <v>1</v>
      </c>
      <c r="Y910" s="80">
        <f t="shared" si="1203"/>
        <v>1</v>
      </c>
    </row>
    <row r="911" ht="16.5" spans="2:25">
      <c r="B911" s="65">
        <v>271</v>
      </c>
      <c r="C911" s="80">
        <f t="shared" si="1189"/>
        <v>31136</v>
      </c>
      <c r="D911" s="80">
        <f t="shared" ref="D911:Y911" si="1204">IF($C911&gt;D$337,1,0)</f>
        <v>1</v>
      </c>
      <c r="E911" s="80">
        <f t="shared" si="1204"/>
        <v>1</v>
      </c>
      <c r="F911" s="80">
        <f t="shared" si="1204"/>
        <v>1</v>
      </c>
      <c r="G911" s="80">
        <f t="shared" si="1204"/>
        <v>1</v>
      </c>
      <c r="H911" s="80">
        <f t="shared" si="1204"/>
        <v>1</v>
      </c>
      <c r="I911" s="80">
        <f t="shared" si="1204"/>
        <v>1</v>
      </c>
      <c r="J911" s="80">
        <f t="shared" si="1204"/>
        <v>1</v>
      </c>
      <c r="K911" s="80">
        <f t="shared" si="1204"/>
        <v>1</v>
      </c>
      <c r="L911" s="80">
        <f t="shared" si="1204"/>
        <v>1</v>
      </c>
      <c r="M911" s="80">
        <f t="shared" si="1204"/>
        <v>1</v>
      </c>
      <c r="N911" s="80">
        <f t="shared" si="1204"/>
        <v>1</v>
      </c>
      <c r="O911" s="80">
        <f t="shared" si="1204"/>
        <v>1</v>
      </c>
      <c r="P911" s="80">
        <f t="shared" si="1204"/>
        <v>1</v>
      </c>
      <c r="Q911" s="80">
        <f t="shared" si="1204"/>
        <v>1</v>
      </c>
      <c r="R911" s="80">
        <f t="shared" si="1204"/>
        <v>1</v>
      </c>
      <c r="S911" s="80">
        <f t="shared" si="1204"/>
        <v>1</v>
      </c>
      <c r="T911" s="80">
        <f t="shared" si="1204"/>
        <v>1</v>
      </c>
      <c r="U911" s="80">
        <f t="shared" si="1204"/>
        <v>1</v>
      </c>
      <c r="V911" s="80">
        <f t="shared" si="1204"/>
        <v>1</v>
      </c>
      <c r="W911" s="80">
        <f t="shared" si="1204"/>
        <v>1</v>
      </c>
      <c r="X911" s="80">
        <f t="shared" si="1204"/>
        <v>1</v>
      </c>
      <c r="Y911" s="80">
        <f t="shared" si="1204"/>
        <v>1</v>
      </c>
    </row>
    <row r="912" ht="16.5" spans="2:25">
      <c r="B912" s="65">
        <v>272</v>
      </c>
      <c r="C912" s="80">
        <f t="shared" si="1189"/>
        <v>31246</v>
      </c>
      <c r="D912" s="80">
        <f t="shared" ref="D912:Y912" si="1205">IF($C912&gt;D$337,1,0)</f>
        <v>1</v>
      </c>
      <c r="E912" s="80">
        <f t="shared" si="1205"/>
        <v>1</v>
      </c>
      <c r="F912" s="80">
        <f t="shared" si="1205"/>
        <v>1</v>
      </c>
      <c r="G912" s="80">
        <f t="shared" si="1205"/>
        <v>1</v>
      </c>
      <c r="H912" s="80">
        <f t="shared" si="1205"/>
        <v>1</v>
      </c>
      <c r="I912" s="80">
        <f t="shared" si="1205"/>
        <v>1</v>
      </c>
      <c r="J912" s="80">
        <f t="shared" si="1205"/>
        <v>1</v>
      </c>
      <c r="K912" s="80">
        <f t="shared" si="1205"/>
        <v>1</v>
      </c>
      <c r="L912" s="80">
        <f t="shared" si="1205"/>
        <v>1</v>
      </c>
      <c r="M912" s="80">
        <f t="shared" si="1205"/>
        <v>1</v>
      </c>
      <c r="N912" s="80">
        <f t="shared" si="1205"/>
        <v>1</v>
      </c>
      <c r="O912" s="80">
        <f t="shared" si="1205"/>
        <v>1</v>
      </c>
      <c r="P912" s="80">
        <f t="shared" si="1205"/>
        <v>1</v>
      </c>
      <c r="Q912" s="80">
        <f t="shared" si="1205"/>
        <v>1</v>
      </c>
      <c r="R912" s="80">
        <f t="shared" si="1205"/>
        <v>1</v>
      </c>
      <c r="S912" s="80">
        <f t="shared" si="1205"/>
        <v>1</v>
      </c>
      <c r="T912" s="80">
        <f t="shared" si="1205"/>
        <v>1</v>
      </c>
      <c r="U912" s="80">
        <f t="shared" si="1205"/>
        <v>1</v>
      </c>
      <c r="V912" s="80">
        <f t="shared" si="1205"/>
        <v>1</v>
      </c>
      <c r="W912" s="80">
        <f t="shared" si="1205"/>
        <v>1</v>
      </c>
      <c r="X912" s="80">
        <f t="shared" si="1205"/>
        <v>1</v>
      </c>
      <c r="Y912" s="80">
        <f t="shared" si="1205"/>
        <v>1</v>
      </c>
    </row>
    <row r="913" ht="16.5" spans="2:25">
      <c r="B913" s="65">
        <v>273</v>
      </c>
      <c r="C913" s="80">
        <f t="shared" si="1189"/>
        <v>31356</v>
      </c>
      <c r="D913" s="80">
        <f t="shared" ref="D913:Y913" si="1206">IF($C913&gt;D$337,1,0)</f>
        <v>1</v>
      </c>
      <c r="E913" s="80">
        <f t="shared" si="1206"/>
        <v>1</v>
      </c>
      <c r="F913" s="80">
        <f t="shared" si="1206"/>
        <v>1</v>
      </c>
      <c r="G913" s="80">
        <f t="shared" si="1206"/>
        <v>1</v>
      </c>
      <c r="H913" s="80">
        <f t="shared" si="1206"/>
        <v>1</v>
      </c>
      <c r="I913" s="80">
        <f t="shared" si="1206"/>
        <v>1</v>
      </c>
      <c r="J913" s="80">
        <f t="shared" si="1206"/>
        <v>1</v>
      </c>
      <c r="K913" s="80">
        <f t="shared" si="1206"/>
        <v>1</v>
      </c>
      <c r="L913" s="80">
        <f t="shared" si="1206"/>
        <v>1</v>
      </c>
      <c r="M913" s="80">
        <f t="shared" si="1206"/>
        <v>1</v>
      </c>
      <c r="N913" s="80">
        <f t="shared" si="1206"/>
        <v>1</v>
      </c>
      <c r="O913" s="80">
        <f t="shared" si="1206"/>
        <v>1</v>
      </c>
      <c r="P913" s="80">
        <f t="shared" si="1206"/>
        <v>1</v>
      </c>
      <c r="Q913" s="80">
        <f t="shared" si="1206"/>
        <v>1</v>
      </c>
      <c r="R913" s="80">
        <f t="shared" si="1206"/>
        <v>1</v>
      </c>
      <c r="S913" s="80">
        <f t="shared" si="1206"/>
        <v>1</v>
      </c>
      <c r="T913" s="80">
        <f t="shared" si="1206"/>
        <v>1</v>
      </c>
      <c r="U913" s="80">
        <f t="shared" si="1206"/>
        <v>1</v>
      </c>
      <c r="V913" s="80">
        <f t="shared" si="1206"/>
        <v>1</v>
      </c>
      <c r="W913" s="80">
        <f t="shared" si="1206"/>
        <v>1</v>
      </c>
      <c r="X913" s="80">
        <f t="shared" si="1206"/>
        <v>1</v>
      </c>
      <c r="Y913" s="80">
        <f t="shared" si="1206"/>
        <v>1</v>
      </c>
    </row>
    <row r="914" ht="16.5" spans="2:25">
      <c r="B914" s="65">
        <v>274</v>
      </c>
      <c r="C914" s="80">
        <f t="shared" si="1189"/>
        <v>31466</v>
      </c>
      <c r="D914" s="80">
        <f t="shared" ref="D914:Y914" si="1207">IF($C914&gt;D$337,1,0)</f>
        <v>1</v>
      </c>
      <c r="E914" s="80">
        <f t="shared" si="1207"/>
        <v>1</v>
      </c>
      <c r="F914" s="80">
        <f t="shared" si="1207"/>
        <v>1</v>
      </c>
      <c r="G914" s="80">
        <f t="shared" si="1207"/>
        <v>1</v>
      </c>
      <c r="H914" s="80">
        <f t="shared" si="1207"/>
        <v>1</v>
      </c>
      <c r="I914" s="80">
        <f t="shared" si="1207"/>
        <v>1</v>
      </c>
      <c r="J914" s="80">
        <f t="shared" si="1207"/>
        <v>1</v>
      </c>
      <c r="K914" s="80">
        <f t="shared" si="1207"/>
        <v>1</v>
      </c>
      <c r="L914" s="80">
        <f t="shared" si="1207"/>
        <v>1</v>
      </c>
      <c r="M914" s="80">
        <f t="shared" si="1207"/>
        <v>1</v>
      </c>
      <c r="N914" s="80">
        <f t="shared" si="1207"/>
        <v>1</v>
      </c>
      <c r="O914" s="80">
        <f t="shared" si="1207"/>
        <v>1</v>
      </c>
      <c r="P914" s="80">
        <f t="shared" si="1207"/>
        <v>1</v>
      </c>
      <c r="Q914" s="80">
        <f t="shared" si="1207"/>
        <v>1</v>
      </c>
      <c r="R914" s="80">
        <f t="shared" si="1207"/>
        <v>1</v>
      </c>
      <c r="S914" s="80">
        <f t="shared" si="1207"/>
        <v>1</v>
      </c>
      <c r="T914" s="80">
        <f t="shared" si="1207"/>
        <v>1</v>
      </c>
      <c r="U914" s="80">
        <f t="shared" si="1207"/>
        <v>1</v>
      </c>
      <c r="V914" s="80">
        <f t="shared" si="1207"/>
        <v>1</v>
      </c>
      <c r="W914" s="80">
        <f t="shared" si="1207"/>
        <v>1</v>
      </c>
      <c r="X914" s="80">
        <f t="shared" si="1207"/>
        <v>1</v>
      </c>
      <c r="Y914" s="80">
        <f t="shared" si="1207"/>
        <v>1</v>
      </c>
    </row>
    <row r="915" ht="16.5" spans="2:25">
      <c r="B915" s="65">
        <v>275</v>
      </c>
      <c r="C915" s="80">
        <f t="shared" si="1189"/>
        <v>31576</v>
      </c>
      <c r="D915" s="80">
        <f t="shared" ref="D915:Y915" si="1208">IF($C915&gt;D$337,1,0)</f>
        <v>1</v>
      </c>
      <c r="E915" s="80">
        <f t="shared" si="1208"/>
        <v>1</v>
      </c>
      <c r="F915" s="80">
        <f t="shared" si="1208"/>
        <v>1</v>
      </c>
      <c r="G915" s="80">
        <f t="shared" si="1208"/>
        <v>1</v>
      </c>
      <c r="H915" s="80">
        <f t="shared" si="1208"/>
        <v>1</v>
      </c>
      <c r="I915" s="80">
        <f t="shared" si="1208"/>
        <v>1</v>
      </c>
      <c r="J915" s="80">
        <f t="shared" si="1208"/>
        <v>1</v>
      </c>
      <c r="K915" s="80">
        <f t="shared" si="1208"/>
        <v>1</v>
      </c>
      <c r="L915" s="80">
        <f t="shared" si="1208"/>
        <v>1</v>
      </c>
      <c r="M915" s="80">
        <f t="shared" si="1208"/>
        <v>1</v>
      </c>
      <c r="N915" s="80">
        <f t="shared" si="1208"/>
        <v>1</v>
      </c>
      <c r="O915" s="80">
        <f t="shared" si="1208"/>
        <v>1</v>
      </c>
      <c r="P915" s="80">
        <f t="shared" si="1208"/>
        <v>1</v>
      </c>
      <c r="Q915" s="80">
        <f t="shared" si="1208"/>
        <v>1</v>
      </c>
      <c r="R915" s="80">
        <f t="shared" si="1208"/>
        <v>1</v>
      </c>
      <c r="S915" s="80">
        <f t="shared" si="1208"/>
        <v>1</v>
      </c>
      <c r="T915" s="80">
        <f t="shared" si="1208"/>
        <v>1</v>
      </c>
      <c r="U915" s="80">
        <f t="shared" si="1208"/>
        <v>1</v>
      </c>
      <c r="V915" s="80">
        <f t="shared" si="1208"/>
        <v>1</v>
      </c>
      <c r="W915" s="80">
        <f t="shared" si="1208"/>
        <v>1</v>
      </c>
      <c r="X915" s="80">
        <f t="shared" si="1208"/>
        <v>1</v>
      </c>
      <c r="Y915" s="80">
        <f t="shared" si="1208"/>
        <v>1</v>
      </c>
    </row>
    <row r="916" ht="16.5" spans="2:25">
      <c r="B916" s="65">
        <v>276</v>
      </c>
      <c r="C916" s="80">
        <f t="shared" si="1189"/>
        <v>31686</v>
      </c>
      <c r="D916" s="80">
        <f t="shared" ref="D916:Y916" si="1209">IF($C916&gt;D$337,1,0)</f>
        <v>1</v>
      </c>
      <c r="E916" s="80">
        <f t="shared" si="1209"/>
        <v>1</v>
      </c>
      <c r="F916" s="80">
        <f t="shared" si="1209"/>
        <v>1</v>
      </c>
      <c r="G916" s="80">
        <f t="shared" si="1209"/>
        <v>1</v>
      </c>
      <c r="H916" s="80">
        <f t="shared" si="1209"/>
        <v>1</v>
      </c>
      <c r="I916" s="80">
        <f t="shared" si="1209"/>
        <v>1</v>
      </c>
      <c r="J916" s="80">
        <f t="shared" si="1209"/>
        <v>1</v>
      </c>
      <c r="K916" s="80">
        <f t="shared" si="1209"/>
        <v>1</v>
      </c>
      <c r="L916" s="80">
        <f t="shared" si="1209"/>
        <v>1</v>
      </c>
      <c r="M916" s="80">
        <f t="shared" si="1209"/>
        <v>1</v>
      </c>
      <c r="N916" s="80">
        <f t="shared" si="1209"/>
        <v>1</v>
      </c>
      <c r="O916" s="80">
        <f t="shared" si="1209"/>
        <v>1</v>
      </c>
      <c r="P916" s="80">
        <f t="shared" si="1209"/>
        <v>1</v>
      </c>
      <c r="Q916" s="80">
        <f t="shared" si="1209"/>
        <v>1</v>
      </c>
      <c r="R916" s="80">
        <f t="shared" si="1209"/>
        <v>1</v>
      </c>
      <c r="S916" s="80">
        <f t="shared" si="1209"/>
        <v>1</v>
      </c>
      <c r="T916" s="80">
        <f t="shared" si="1209"/>
        <v>1</v>
      </c>
      <c r="U916" s="80">
        <f t="shared" si="1209"/>
        <v>1</v>
      </c>
      <c r="V916" s="80">
        <f t="shared" si="1209"/>
        <v>1</v>
      </c>
      <c r="W916" s="80">
        <f t="shared" si="1209"/>
        <v>1</v>
      </c>
      <c r="X916" s="80">
        <f t="shared" si="1209"/>
        <v>1</v>
      </c>
      <c r="Y916" s="80">
        <f t="shared" si="1209"/>
        <v>1</v>
      </c>
    </row>
    <row r="917" ht="16.5" spans="2:25">
      <c r="B917" s="65">
        <v>277</v>
      </c>
      <c r="C917" s="80">
        <f t="shared" si="1189"/>
        <v>31796</v>
      </c>
      <c r="D917" s="80">
        <f t="shared" ref="D917:Y917" si="1210">IF($C917&gt;D$337,1,0)</f>
        <v>1</v>
      </c>
      <c r="E917" s="80">
        <f t="shared" si="1210"/>
        <v>1</v>
      </c>
      <c r="F917" s="80">
        <f t="shared" si="1210"/>
        <v>1</v>
      </c>
      <c r="G917" s="80">
        <f t="shared" si="1210"/>
        <v>1</v>
      </c>
      <c r="H917" s="80">
        <f t="shared" si="1210"/>
        <v>1</v>
      </c>
      <c r="I917" s="80">
        <f t="shared" si="1210"/>
        <v>1</v>
      </c>
      <c r="J917" s="80">
        <f t="shared" si="1210"/>
        <v>1</v>
      </c>
      <c r="K917" s="80">
        <f t="shared" si="1210"/>
        <v>1</v>
      </c>
      <c r="L917" s="80">
        <f t="shared" si="1210"/>
        <v>1</v>
      </c>
      <c r="M917" s="80">
        <f t="shared" si="1210"/>
        <v>1</v>
      </c>
      <c r="N917" s="80">
        <f t="shared" si="1210"/>
        <v>1</v>
      </c>
      <c r="O917" s="80">
        <f t="shared" si="1210"/>
        <v>1</v>
      </c>
      <c r="P917" s="80">
        <f t="shared" si="1210"/>
        <v>1</v>
      </c>
      <c r="Q917" s="80">
        <f t="shared" si="1210"/>
        <v>1</v>
      </c>
      <c r="R917" s="80">
        <f t="shared" si="1210"/>
        <v>1</v>
      </c>
      <c r="S917" s="80">
        <f t="shared" si="1210"/>
        <v>1</v>
      </c>
      <c r="T917" s="80">
        <f t="shared" si="1210"/>
        <v>1</v>
      </c>
      <c r="U917" s="80">
        <f t="shared" si="1210"/>
        <v>1</v>
      </c>
      <c r="V917" s="80">
        <f t="shared" si="1210"/>
        <v>1</v>
      </c>
      <c r="W917" s="80">
        <f t="shared" si="1210"/>
        <v>1</v>
      </c>
      <c r="X917" s="80">
        <f t="shared" si="1210"/>
        <v>1</v>
      </c>
      <c r="Y917" s="80">
        <f t="shared" si="1210"/>
        <v>1</v>
      </c>
    </row>
    <row r="918" ht="16.5" spans="2:25">
      <c r="B918" s="65">
        <v>278</v>
      </c>
      <c r="C918" s="80">
        <f t="shared" si="1189"/>
        <v>31906</v>
      </c>
      <c r="D918" s="80">
        <f t="shared" ref="D918:Y918" si="1211">IF($C918&gt;D$337,1,0)</f>
        <v>1</v>
      </c>
      <c r="E918" s="80">
        <f t="shared" si="1211"/>
        <v>1</v>
      </c>
      <c r="F918" s="80">
        <f t="shared" si="1211"/>
        <v>1</v>
      </c>
      <c r="G918" s="80">
        <f t="shared" si="1211"/>
        <v>1</v>
      </c>
      <c r="H918" s="80">
        <f t="shared" si="1211"/>
        <v>1</v>
      </c>
      <c r="I918" s="80">
        <f t="shared" si="1211"/>
        <v>1</v>
      </c>
      <c r="J918" s="80">
        <f t="shared" si="1211"/>
        <v>1</v>
      </c>
      <c r="K918" s="80">
        <f t="shared" si="1211"/>
        <v>1</v>
      </c>
      <c r="L918" s="80">
        <f t="shared" si="1211"/>
        <v>1</v>
      </c>
      <c r="M918" s="80">
        <f t="shared" si="1211"/>
        <v>1</v>
      </c>
      <c r="N918" s="80">
        <f t="shared" si="1211"/>
        <v>1</v>
      </c>
      <c r="O918" s="80">
        <f t="shared" si="1211"/>
        <v>1</v>
      </c>
      <c r="P918" s="80">
        <f t="shared" si="1211"/>
        <v>1</v>
      </c>
      <c r="Q918" s="80">
        <f t="shared" si="1211"/>
        <v>1</v>
      </c>
      <c r="R918" s="80">
        <f t="shared" si="1211"/>
        <v>1</v>
      </c>
      <c r="S918" s="80">
        <f t="shared" si="1211"/>
        <v>1</v>
      </c>
      <c r="T918" s="80">
        <f t="shared" si="1211"/>
        <v>1</v>
      </c>
      <c r="U918" s="80">
        <f t="shared" si="1211"/>
        <v>1</v>
      </c>
      <c r="V918" s="80">
        <f t="shared" si="1211"/>
        <v>1</v>
      </c>
      <c r="W918" s="80">
        <f t="shared" si="1211"/>
        <v>1</v>
      </c>
      <c r="X918" s="80">
        <f t="shared" si="1211"/>
        <v>1</v>
      </c>
      <c r="Y918" s="80">
        <f t="shared" si="1211"/>
        <v>1</v>
      </c>
    </row>
    <row r="919" ht="16.5" spans="2:25">
      <c r="B919" s="65">
        <v>279</v>
      </c>
      <c r="C919" s="80">
        <f t="shared" si="1189"/>
        <v>32016</v>
      </c>
      <c r="D919" s="80">
        <f t="shared" ref="D919:Y919" si="1212">IF($C919&gt;D$337,1,0)</f>
        <v>1</v>
      </c>
      <c r="E919" s="80">
        <f t="shared" si="1212"/>
        <v>1</v>
      </c>
      <c r="F919" s="80">
        <f t="shared" si="1212"/>
        <v>1</v>
      </c>
      <c r="G919" s="80">
        <f t="shared" si="1212"/>
        <v>1</v>
      </c>
      <c r="H919" s="80">
        <f t="shared" si="1212"/>
        <v>1</v>
      </c>
      <c r="I919" s="80">
        <f t="shared" si="1212"/>
        <v>1</v>
      </c>
      <c r="J919" s="80">
        <f t="shared" si="1212"/>
        <v>1</v>
      </c>
      <c r="K919" s="80">
        <f t="shared" si="1212"/>
        <v>1</v>
      </c>
      <c r="L919" s="80">
        <f t="shared" si="1212"/>
        <v>1</v>
      </c>
      <c r="M919" s="80">
        <f t="shared" si="1212"/>
        <v>1</v>
      </c>
      <c r="N919" s="80">
        <f t="shared" si="1212"/>
        <v>1</v>
      </c>
      <c r="O919" s="80">
        <f t="shared" si="1212"/>
        <v>1</v>
      </c>
      <c r="P919" s="80">
        <f t="shared" si="1212"/>
        <v>1</v>
      </c>
      <c r="Q919" s="80">
        <f t="shared" si="1212"/>
        <v>1</v>
      </c>
      <c r="R919" s="80">
        <f t="shared" si="1212"/>
        <v>1</v>
      </c>
      <c r="S919" s="80">
        <f t="shared" si="1212"/>
        <v>1</v>
      </c>
      <c r="T919" s="80">
        <f t="shared" si="1212"/>
        <v>1</v>
      </c>
      <c r="U919" s="80">
        <f t="shared" si="1212"/>
        <v>1</v>
      </c>
      <c r="V919" s="80">
        <f t="shared" si="1212"/>
        <v>1</v>
      </c>
      <c r="W919" s="80">
        <f t="shared" si="1212"/>
        <v>1</v>
      </c>
      <c r="X919" s="80">
        <f t="shared" si="1212"/>
        <v>1</v>
      </c>
      <c r="Y919" s="80">
        <f t="shared" si="1212"/>
        <v>1</v>
      </c>
    </row>
    <row r="920" ht="16.5" spans="2:25">
      <c r="B920" s="65">
        <v>280</v>
      </c>
      <c r="C920" s="80">
        <f t="shared" si="1189"/>
        <v>32126</v>
      </c>
      <c r="D920" s="80">
        <f t="shared" ref="D920:Y920" si="1213">IF($C920&gt;D$337,1,0)</f>
        <v>1</v>
      </c>
      <c r="E920" s="80">
        <f t="shared" si="1213"/>
        <v>1</v>
      </c>
      <c r="F920" s="80">
        <f t="shared" si="1213"/>
        <v>1</v>
      </c>
      <c r="G920" s="80">
        <f t="shared" si="1213"/>
        <v>1</v>
      </c>
      <c r="H920" s="80">
        <f t="shared" si="1213"/>
        <v>1</v>
      </c>
      <c r="I920" s="80">
        <f t="shared" si="1213"/>
        <v>1</v>
      </c>
      <c r="J920" s="80">
        <f t="shared" si="1213"/>
        <v>1</v>
      </c>
      <c r="K920" s="80">
        <f t="shared" si="1213"/>
        <v>1</v>
      </c>
      <c r="L920" s="80">
        <f t="shared" si="1213"/>
        <v>1</v>
      </c>
      <c r="M920" s="80">
        <f t="shared" si="1213"/>
        <v>1</v>
      </c>
      <c r="N920" s="80">
        <f t="shared" si="1213"/>
        <v>1</v>
      </c>
      <c r="O920" s="80">
        <f t="shared" si="1213"/>
        <v>1</v>
      </c>
      <c r="P920" s="80">
        <f t="shared" si="1213"/>
        <v>1</v>
      </c>
      <c r="Q920" s="80">
        <f t="shared" si="1213"/>
        <v>1</v>
      </c>
      <c r="R920" s="80">
        <f t="shared" si="1213"/>
        <v>1</v>
      </c>
      <c r="S920" s="80">
        <f t="shared" si="1213"/>
        <v>1</v>
      </c>
      <c r="T920" s="80">
        <f t="shared" si="1213"/>
        <v>1</v>
      </c>
      <c r="U920" s="80">
        <f t="shared" si="1213"/>
        <v>1</v>
      </c>
      <c r="V920" s="80">
        <f t="shared" si="1213"/>
        <v>1</v>
      </c>
      <c r="W920" s="80">
        <f t="shared" si="1213"/>
        <v>1</v>
      </c>
      <c r="X920" s="80">
        <f t="shared" si="1213"/>
        <v>1</v>
      </c>
      <c r="Y920" s="80">
        <f t="shared" si="1213"/>
        <v>1</v>
      </c>
    </row>
    <row r="921" ht="16.5" spans="2:25">
      <c r="B921" s="65">
        <v>281</v>
      </c>
      <c r="C921" s="80">
        <f t="shared" si="1189"/>
        <v>32236</v>
      </c>
      <c r="D921" s="80">
        <f t="shared" ref="D921:Y921" si="1214">IF($C921&gt;D$337,1,0)</f>
        <v>1</v>
      </c>
      <c r="E921" s="80">
        <f t="shared" si="1214"/>
        <v>1</v>
      </c>
      <c r="F921" s="80">
        <f t="shared" si="1214"/>
        <v>1</v>
      </c>
      <c r="G921" s="80">
        <f t="shared" si="1214"/>
        <v>1</v>
      </c>
      <c r="H921" s="80">
        <f t="shared" si="1214"/>
        <v>1</v>
      </c>
      <c r="I921" s="80">
        <f t="shared" si="1214"/>
        <v>1</v>
      </c>
      <c r="J921" s="80">
        <f t="shared" si="1214"/>
        <v>1</v>
      </c>
      <c r="K921" s="80">
        <f t="shared" si="1214"/>
        <v>1</v>
      </c>
      <c r="L921" s="80">
        <f t="shared" si="1214"/>
        <v>1</v>
      </c>
      <c r="M921" s="80">
        <f t="shared" si="1214"/>
        <v>1</v>
      </c>
      <c r="N921" s="80">
        <f t="shared" si="1214"/>
        <v>1</v>
      </c>
      <c r="O921" s="80">
        <f t="shared" si="1214"/>
        <v>1</v>
      </c>
      <c r="P921" s="80">
        <f t="shared" si="1214"/>
        <v>1</v>
      </c>
      <c r="Q921" s="80">
        <f t="shared" si="1214"/>
        <v>1</v>
      </c>
      <c r="R921" s="80">
        <f t="shared" si="1214"/>
        <v>1</v>
      </c>
      <c r="S921" s="80">
        <f t="shared" si="1214"/>
        <v>1</v>
      </c>
      <c r="T921" s="80">
        <f t="shared" si="1214"/>
        <v>1</v>
      </c>
      <c r="U921" s="80">
        <f t="shared" si="1214"/>
        <v>1</v>
      </c>
      <c r="V921" s="80">
        <f t="shared" si="1214"/>
        <v>1</v>
      </c>
      <c r="W921" s="80">
        <f t="shared" si="1214"/>
        <v>1</v>
      </c>
      <c r="X921" s="80">
        <f t="shared" si="1214"/>
        <v>1</v>
      </c>
      <c r="Y921" s="80">
        <f t="shared" si="1214"/>
        <v>1</v>
      </c>
    </row>
    <row r="922" ht="16.5" spans="2:25">
      <c r="B922" s="65">
        <v>282</v>
      </c>
      <c r="C922" s="80">
        <f t="shared" si="1189"/>
        <v>32346</v>
      </c>
      <c r="D922" s="80">
        <f t="shared" ref="D922:Y922" si="1215">IF($C922&gt;D$337,1,0)</f>
        <v>1</v>
      </c>
      <c r="E922" s="80">
        <f t="shared" si="1215"/>
        <v>1</v>
      </c>
      <c r="F922" s="80">
        <f t="shared" si="1215"/>
        <v>1</v>
      </c>
      <c r="G922" s="80">
        <f t="shared" si="1215"/>
        <v>1</v>
      </c>
      <c r="H922" s="80">
        <f t="shared" si="1215"/>
        <v>1</v>
      </c>
      <c r="I922" s="80">
        <f t="shared" si="1215"/>
        <v>1</v>
      </c>
      <c r="J922" s="80">
        <f t="shared" si="1215"/>
        <v>1</v>
      </c>
      <c r="K922" s="80">
        <f t="shared" si="1215"/>
        <v>1</v>
      </c>
      <c r="L922" s="80">
        <f t="shared" si="1215"/>
        <v>1</v>
      </c>
      <c r="M922" s="80">
        <f t="shared" si="1215"/>
        <v>1</v>
      </c>
      <c r="N922" s="80">
        <f t="shared" si="1215"/>
        <v>1</v>
      </c>
      <c r="O922" s="80">
        <f t="shared" si="1215"/>
        <v>1</v>
      </c>
      <c r="P922" s="80">
        <f t="shared" si="1215"/>
        <v>1</v>
      </c>
      <c r="Q922" s="80">
        <f t="shared" si="1215"/>
        <v>1</v>
      </c>
      <c r="R922" s="80">
        <f t="shared" si="1215"/>
        <v>1</v>
      </c>
      <c r="S922" s="80">
        <f t="shared" si="1215"/>
        <v>1</v>
      </c>
      <c r="T922" s="80">
        <f t="shared" si="1215"/>
        <v>1</v>
      </c>
      <c r="U922" s="80">
        <f t="shared" si="1215"/>
        <v>1</v>
      </c>
      <c r="V922" s="80">
        <f t="shared" si="1215"/>
        <v>1</v>
      </c>
      <c r="W922" s="80">
        <f t="shared" si="1215"/>
        <v>1</v>
      </c>
      <c r="X922" s="80">
        <f t="shared" si="1215"/>
        <v>1</v>
      </c>
      <c r="Y922" s="80">
        <f t="shared" si="1215"/>
        <v>1</v>
      </c>
    </row>
    <row r="923" ht="16.5" spans="2:25">
      <c r="B923" s="65">
        <v>283</v>
      </c>
      <c r="C923" s="80">
        <f t="shared" si="1189"/>
        <v>32456</v>
      </c>
      <c r="D923" s="80">
        <f t="shared" ref="D923:Y923" si="1216">IF($C923&gt;D$337,1,0)</f>
        <v>1</v>
      </c>
      <c r="E923" s="80">
        <f t="shared" si="1216"/>
        <v>1</v>
      </c>
      <c r="F923" s="80">
        <f t="shared" si="1216"/>
        <v>1</v>
      </c>
      <c r="G923" s="80">
        <f t="shared" si="1216"/>
        <v>1</v>
      </c>
      <c r="H923" s="80">
        <f t="shared" si="1216"/>
        <v>1</v>
      </c>
      <c r="I923" s="80">
        <f t="shared" si="1216"/>
        <v>1</v>
      </c>
      <c r="J923" s="80">
        <f t="shared" si="1216"/>
        <v>1</v>
      </c>
      <c r="K923" s="80">
        <f t="shared" si="1216"/>
        <v>1</v>
      </c>
      <c r="L923" s="80">
        <f t="shared" si="1216"/>
        <v>1</v>
      </c>
      <c r="M923" s="80">
        <f t="shared" si="1216"/>
        <v>1</v>
      </c>
      <c r="N923" s="80">
        <f t="shared" si="1216"/>
        <v>1</v>
      </c>
      <c r="O923" s="80">
        <f t="shared" si="1216"/>
        <v>1</v>
      </c>
      <c r="P923" s="80">
        <f t="shared" si="1216"/>
        <v>1</v>
      </c>
      <c r="Q923" s="80">
        <f t="shared" si="1216"/>
        <v>1</v>
      </c>
      <c r="R923" s="80">
        <f t="shared" si="1216"/>
        <v>1</v>
      </c>
      <c r="S923" s="80">
        <f t="shared" si="1216"/>
        <v>1</v>
      </c>
      <c r="T923" s="80">
        <f t="shared" si="1216"/>
        <v>1</v>
      </c>
      <c r="U923" s="80">
        <f t="shared" si="1216"/>
        <v>1</v>
      </c>
      <c r="V923" s="80">
        <f t="shared" si="1216"/>
        <v>1</v>
      </c>
      <c r="W923" s="80">
        <f t="shared" si="1216"/>
        <v>1</v>
      </c>
      <c r="X923" s="80">
        <f t="shared" si="1216"/>
        <v>1</v>
      </c>
      <c r="Y923" s="80">
        <f t="shared" si="1216"/>
        <v>1</v>
      </c>
    </row>
    <row r="924" ht="16.5" spans="2:25">
      <c r="B924" s="65">
        <v>284</v>
      </c>
      <c r="C924" s="80">
        <f t="shared" si="1189"/>
        <v>32566</v>
      </c>
      <c r="D924" s="80">
        <f t="shared" ref="D924:Y924" si="1217">IF($C924&gt;D$337,1,0)</f>
        <v>1</v>
      </c>
      <c r="E924" s="80">
        <f t="shared" si="1217"/>
        <v>1</v>
      </c>
      <c r="F924" s="80">
        <f t="shared" si="1217"/>
        <v>1</v>
      </c>
      <c r="G924" s="80">
        <f t="shared" si="1217"/>
        <v>1</v>
      </c>
      <c r="H924" s="80">
        <f t="shared" si="1217"/>
        <v>1</v>
      </c>
      <c r="I924" s="80">
        <f t="shared" si="1217"/>
        <v>1</v>
      </c>
      <c r="J924" s="80">
        <f t="shared" si="1217"/>
        <v>1</v>
      </c>
      <c r="K924" s="80">
        <f t="shared" si="1217"/>
        <v>1</v>
      </c>
      <c r="L924" s="80">
        <f t="shared" si="1217"/>
        <v>1</v>
      </c>
      <c r="M924" s="80">
        <f t="shared" si="1217"/>
        <v>1</v>
      </c>
      <c r="N924" s="80">
        <f t="shared" si="1217"/>
        <v>1</v>
      </c>
      <c r="O924" s="80">
        <f t="shared" si="1217"/>
        <v>1</v>
      </c>
      <c r="P924" s="80">
        <f t="shared" si="1217"/>
        <v>1</v>
      </c>
      <c r="Q924" s="80">
        <f t="shared" si="1217"/>
        <v>1</v>
      </c>
      <c r="R924" s="80">
        <f t="shared" si="1217"/>
        <v>1</v>
      </c>
      <c r="S924" s="80">
        <f t="shared" si="1217"/>
        <v>1</v>
      </c>
      <c r="T924" s="80">
        <f t="shared" si="1217"/>
        <v>1</v>
      </c>
      <c r="U924" s="80">
        <f t="shared" si="1217"/>
        <v>1</v>
      </c>
      <c r="V924" s="80">
        <f t="shared" si="1217"/>
        <v>1</v>
      </c>
      <c r="W924" s="80">
        <f t="shared" si="1217"/>
        <v>1</v>
      </c>
      <c r="X924" s="80">
        <f t="shared" si="1217"/>
        <v>1</v>
      </c>
      <c r="Y924" s="80">
        <f t="shared" si="1217"/>
        <v>1</v>
      </c>
    </row>
    <row r="925" ht="16.5" spans="2:25">
      <c r="B925" s="65">
        <v>285</v>
      </c>
      <c r="C925" s="80">
        <f t="shared" si="1189"/>
        <v>32676</v>
      </c>
      <c r="D925" s="80">
        <f t="shared" ref="D925:Y925" si="1218">IF($C925&gt;D$337,1,0)</f>
        <v>1</v>
      </c>
      <c r="E925" s="80">
        <f t="shared" si="1218"/>
        <v>1</v>
      </c>
      <c r="F925" s="80">
        <f t="shared" si="1218"/>
        <v>1</v>
      </c>
      <c r="G925" s="80">
        <f t="shared" si="1218"/>
        <v>1</v>
      </c>
      <c r="H925" s="80">
        <f t="shared" si="1218"/>
        <v>1</v>
      </c>
      <c r="I925" s="80">
        <f t="shared" si="1218"/>
        <v>1</v>
      </c>
      <c r="J925" s="80">
        <f t="shared" si="1218"/>
        <v>1</v>
      </c>
      <c r="K925" s="80">
        <f t="shared" si="1218"/>
        <v>1</v>
      </c>
      <c r="L925" s="80">
        <f t="shared" si="1218"/>
        <v>1</v>
      </c>
      <c r="M925" s="80">
        <f t="shared" si="1218"/>
        <v>1</v>
      </c>
      <c r="N925" s="80">
        <f t="shared" si="1218"/>
        <v>1</v>
      </c>
      <c r="O925" s="80">
        <f t="shared" si="1218"/>
        <v>1</v>
      </c>
      <c r="P925" s="80">
        <f t="shared" si="1218"/>
        <v>1</v>
      </c>
      <c r="Q925" s="80">
        <f t="shared" si="1218"/>
        <v>1</v>
      </c>
      <c r="R925" s="80">
        <f t="shared" si="1218"/>
        <v>1</v>
      </c>
      <c r="S925" s="80">
        <f t="shared" si="1218"/>
        <v>1</v>
      </c>
      <c r="T925" s="80">
        <f t="shared" si="1218"/>
        <v>1</v>
      </c>
      <c r="U925" s="80">
        <f t="shared" si="1218"/>
        <v>1</v>
      </c>
      <c r="V925" s="80">
        <f t="shared" si="1218"/>
        <v>1</v>
      </c>
      <c r="W925" s="80">
        <f t="shared" si="1218"/>
        <v>1</v>
      </c>
      <c r="X925" s="80">
        <f t="shared" si="1218"/>
        <v>1</v>
      </c>
      <c r="Y925" s="80">
        <f t="shared" si="1218"/>
        <v>1</v>
      </c>
    </row>
    <row r="926" ht="16.5" spans="2:25">
      <c r="B926" s="65">
        <v>286</v>
      </c>
      <c r="C926" s="80">
        <f t="shared" si="1189"/>
        <v>32786</v>
      </c>
      <c r="D926" s="80">
        <f t="shared" ref="D926:Y926" si="1219">IF($C926&gt;D$337,1,0)</f>
        <v>1</v>
      </c>
      <c r="E926" s="80">
        <f t="shared" si="1219"/>
        <v>1</v>
      </c>
      <c r="F926" s="80">
        <f t="shared" si="1219"/>
        <v>1</v>
      </c>
      <c r="G926" s="80">
        <f t="shared" si="1219"/>
        <v>1</v>
      </c>
      <c r="H926" s="80">
        <f t="shared" si="1219"/>
        <v>1</v>
      </c>
      <c r="I926" s="80">
        <f t="shared" si="1219"/>
        <v>1</v>
      </c>
      <c r="J926" s="80">
        <f t="shared" si="1219"/>
        <v>1</v>
      </c>
      <c r="K926" s="80">
        <f t="shared" si="1219"/>
        <v>1</v>
      </c>
      <c r="L926" s="80">
        <f t="shared" si="1219"/>
        <v>1</v>
      </c>
      <c r="M926" s="80">
        <f t="shared" si="1219"/>
        <v>1</v>
      </c>
      <c r="N926" s="80">
        <f t="shared" si="1219"/>
        <v>1</v>
      </c>
      <c r="O926" s="80">
        <f t="shared" si="1219"/>
        <v>1</v>
      </c>
      <c r="P926" s="80">
        <f t="shared" si="1219"/>
        <v>1</v>
      </c>
      <c r="Q926" s="80">
        <f t="shared" si="1219"/>
        <v>1</v>
      </c>
      <c r="R926" s="80">
        <f t="shared" si="1219"/>
        <v>1</v>
      </c>
      <c r="S926" s="80">
        <f t="shared" si="1219"/>
        <v>1</v>
      </c>
      <c r="T926" s="80">
        <f t="shared" si="1219"/>
        <v>1</v>
      </c>
      <c r="U926" s="80">
        <f t="shared" si="1219"/>
        <v>1</v>
      </c>
      <c r="V926" s="80">
        <f t="shared" si="1219"/>
        <v>1</v>
      </c>
      <c r="W926" s="80">
        <f t="shared" si="1219"/>
        <v>1</v>
      </c>
      <c r="X926" s="80">
        <f t="shared" si="1219"/>
        <v>1</v>
      </c>
      <c r="Y926" s="80">
        <f t="shared" si="1219"/>
        <v>1</v>
      </c>
    </row>
    <row r="927" ht="16.5" spans="2:25">
      <c r="B927" s="65">
        <v>287</v>
      </c>
      <c r="C927" s="80">
        <f t="shared" si="1189"/>
        <v>32896</v>
      </c>
      <c r="D927" s="80">
        <f t="shared" ref="D927:Y927" si="1220">IF($C927&gt;D$337,1,0)</f>
        <v>1</v>
      </c>
      <c r="E927" s="80">
        <f t="shared" si="1220"/>
        <v>1</v>
      </c>
      <c r="F927" s="80">
        <f t="shared" si="1220"/>
        <v>1</v>
      </c>
      <c r="G927" s="80">
        <f t="shared" si="1220"/>
        <v>1</v>
      </c>
      <c r="H927" s="80">
        <f t="shared" si="1220"/>
        <v>1</v>
      </c>
      <c r="I927" s="80">
        <f t="shared" si="1220"/>
        <v>1</v>
      </c>
      <c r="J927" s="80">
        <f t="shared" si="1220"/>
        <v>1</v>
      </c>
      <c r="K927" s="80">
        <f t="shared" si="1220"/>
        <v>1</v>
      </c>
      <c r="L927" s="80">
        <f t="shared" si="1220"/>
        <v>1</v>
      </c>
      <c r="M927" s="80">
        <f t="shared" si="1220"/>
        <v>1</v>
      </c>
      <c r="N927" s="80">
        <f t="shared" si="1220"/>
        <v>1</v>
      </c>
      <c r="O927" s="80">
        <f t="shared" si="1220"/>
        <v>1</v>
      </c>
      <c r="P927" s="80">
        <f t="shared" si="1220"/>
        <v>1</v>
      </c>
      <c r="Q927" s="80">
        <f t="shared" si="1220"/>
        <v>1</v>
      </c>
      <c r="R927" s="80">
        <f t="shared" si="1220"/>
        <v>1</v>
      </c>
      <c r="S927" s="80">
        <f t="shared" si="1220"/>
        <v>1</v>
      </c>
      <c r="T927" s="80">
        <f t="shared" si="1220"/>
        <v>1</v>
      </c>
      <c r="U927" s="80">
        <f t="shared" si="1220"/>
        <v>1</v>
      </c>
      <c r="V927" s="80">
        <f t="shared" si="1220"/>
        <v>1</v>
      </c>
      <c r="W927" s="80">
        <f t="shared" si="1220"/>
        <v>1</v>
      </c>
      <c r="X927" s="80">
        <f t="shared" si="1220"/>
        <v>1</v>
      </c>
      <c r="Y927" s="80">
        <f t="shared" si="1220"/>
        <v>1</v>
      </c>
    </row>
    <row r="928" ht="16.5" spans="2:25">
      <c r="B928" s="65">
        <v>288</v>
      </c>
      <c r="C928" s="80">
        <f t="shared" si="1189"/>
        <v>33006</v>
      </c>
      <c r="D928" s="80">
        <f t="shared" ref="D928:Y928" si="1221">IF($C928&gt;D$337,1,0)</f>
        <v>1</v>
      </c>
      <c r="E928" s="80">
        <f t="shared" si="1221"/>
        <v>1</v>
      </c>
      <c r="F928" s="80">
        <f t="shared" si="1221"/>
        <v>1</v>
      </c>
      <c r="G928" s="80">
        <f t="shared" si="1221"/>
        <v>1</v>
      </c>
      <c r="H928" s="80">
        <f t="shared" si="1221"/>
        <v>1</v>
      </c>
      <c r="I928" s="80">
        <f t="shared" si="1221"/>
        <v>1</v>
      </c>
      <c r="J928" s="80">
        <f t="shared" si="1221"/>
        <v>1</v>
      </c>
      <c r="K928" s="80">
        <f t="shared" si="1221"/>
        <v>1</v>
      </c>
      <c r="L928" s="80">
        <f t="shared" si="1221"/>
        <v>1</v>
      </c>
      <c r="M928" s="80">
        <f t="shared" si="1221"/>
        <v>1</v>
      </c>
      <c r="N928" s="80">
        <f t="shared" si="1221"/>
        <v>1</v>
      </c>
      <c r="O928" s="80">
        <f t="shared" si="1221"/>
        <v>1</v>
      </c>
      <c r="P928" s="80">
        <f t="shared" si="1221"/>
        <v>1</v>
      </c>
      <c r="Q928" s="80">
        <f t="shared" si="1221"/>
        <v>1</v>
      </c>
      <c r="R928" s="80">
        <f t="shared" si="1221"/>
        <v>1</v>
      </c>
      <c r="S928" s="80">
        <f t="shared" si="1221"/>
        <v>1</v>
      </c>
      <c r="T928" s="80">
        <f t="shared" si="1221"/>
        <v>1</v>
      </c>
      <c r="U928" s="80">
        <f t="shared" si="1221"/>
        <v>1</v>
      </c>
      <c r="V928" s="80">
        <f t="shared" si="1221"/>
        <v>1</v>
      </c>
      <c r="W928" s="80">
        <f t="shared" si="1221"/>
        <v>1</v>
      </c>
      <c r="X928" s="80">
        <f t="shared" si="1221"/>
        <v>1</v>
      </c>
      <c r="Y928" s="80">
        <f t="shared" si="1221"/>
        <v>1</v>
      </c>
    </row>
    <row r="929" ht="16.5" spans="2:25">
      <c r="B929" s="65">
        <v>289</v>
      </c>
      <c r="C929" s="80">
        <f t="shared" si="1189"/>
        <v>33116</v>
      </c>
      <c r="D929" s="80">
        <f t="shared" ref="D929:Y929" si="1222">IF($C929&gt;D$337,1,0)</f>
        <v>1</v>
      </c>
      <c r="E929" s="80">
        <f t="shared" si="1222"/>
        <v>1</v>
      </c>
      <c r="F929" s="80">
        <f t="shared" si="1222"/>
        <v>1</v>
      </c>
      <c r="G929" s="80">
        <f t="shared" si="1222"/>
        <v>1</v>
      </c>
      <c r="H929" s="80">
        <f t="shared" si="1222"/>
        <v>1</v>
      </c>
      <c r="I929" s="80">
        <f t="shared" si="1222"/>
        <v>1</v>
      </c>
      <c r="J929" s="80">
        <f t="shared" si="1222"/>
        <v>1</v>
      </c>
      <c r="K929" s="80">
        <f t="shared" si="1222"/>
        <v>1</v>
      </c>
      <c r="L929" s="80">
        <f t="shared" si="1222"/>
        <v>1</v>
      </c>
      <c r="M929" s="80">
        <f t="shared" si="1222"/>
        <v>1</v>
      </c>
      <c r="N929" s="80">
        <f t="shared" si="1222"/>
        <v>1</v>
      </c>
      <c r="O929" s="80">
        <f t="shared" si="1222"/>
        <v>1</v>
      </c>
      <c r="P929" s="80">
        <f t="shared" si="1222"/>
        <v>1</v>
      </c>
      <c r="Q929" s="80">
        <f t="shared" si="1222"/>
        <v>1</v>
      </c>
      <c r="R929" s="80">
        <f t="shared" si="1222"/>
        <v>1</v>
      </c>
      <c r="S929" s="80">
        <f t="shared" si="1222"/>
        <v>1</v>
      </c>
      <c r="T929" s="80">
        <f t="shared" si="1222"/>
        <v>1</v>
      </c>
      <c r="U929" s="80">
        <f t="shared" si="1222"/>
        <v>1</v>
      </c>
      <c r="V929" s="80">
        <f t="shared" si="1222"/>
        <v>1</v>
      </c>
      <c r="W929" s="80">
        <f t="shared" si="1222"/>
        <v>1</v>
      </c>
      <c r="X929" s="80">
        <f t="shared" si="1222"/>
        <v>1</v>
      </c>
      <c r="Y929" s="80">
        <f t="shared" si="1222"/>
        <v>1</v>
      </c>
    </row>
    <row r="930" ht="16.5" spans="2:25">
      <c r="B930" s="65">
        <v>290</v>
      </c>
      <c r="C930" s="80">
        <f t="shared" si="1189"/>
        <v>33226</v>
      </c>
      <c r="D930" s="80">
        <f t="shared" ref="D930:Y930" si="1223">IF($C930&gt;D$337,1,0)</f>
        <v>1</v>
      </c>
      <c r="E930" s="80">
        <f t="shared" si="1223"/>
        <v>1</v>
      </c>
      <c r="F930" s="80">
        <f t="shared" si="1223"/>
        <v>1</v>
      </c>
      <c r="G930" s="80">
        <f t="shared" si="1223"/>
        <v>1</v>
      </c>
      <c r="H930" s="80">
        <f t="shared" si="1223"/>
        <v>1</v>
      </c>
      <c r="I930" s="80">
        <f t="shared" si="1223"/>
        <v>1</v>
      </c>
      <c r="J930" s="80">
        <f t="shared" si="1223"/>
        <v>1</v>
      </c>
      <c r="K930" s="80">
        <f t="shared" si="1223"/>
        <v>1</v>
      </c>
      <c r="L930" s="80">
        <f t="shared" si="1223"/>
        <v>1</v>
      </c>
      <c r="M930" s="80">
        <f t="shared" si="1223"/>
        <v>1</v>
      </c>
      <c r="N930" s="80">
        <f t="shared" si="1223"/>
        <v>1</v>
      </c>
      <c r="O930" s="80">
        <f t="shared" si="1223"/>
        <v>1</v>
      </c>
      <c r="P930" s="80">
        <f t="shared" si="1223"/>
        <v>1</v>
      </c>
      <c r="Q930" s="80">
        <f t="shared" si="1223"/>
        <v>1</v>
      </c>
      <c r="R930" s="80">
        <f t="shared" si="1223"/>
        <v>1</v>
      </c>
      <c r="S930" s="80">
        <f t="shared" si="1223"/>
        <v>1</v>
      </c>
      <c r="T930" s="80">
        <f t="shared" si="1223"/>
        <v>1</v>
      </c>
      <c r="U930" s="80">
        <f t="shared" si="1223"/>
        <v>1</v>
      </c>
      <c r="V930" s="80">
        <f t="shared" si="1223"/>
        <v>1</v>
      </c>
      <c r="W930" s="80">
        <f t="shared" si="1223"/>
        <v>1</v>
      </c>
      <c r="X930" s="80">
        <f t="shared" si="1223"/>
        <v>1</v>
      </c>
      <c r="Y930" s="80">
        <f t="shared" si="1223"/>
        <v>1</v>
      </c>
    </row>
    <row r="931" ht="16.5" spans="2:25">
      <c r="B931" s="65">
        <v>291</v>
      </c>
      <c r="C931" s="80">
        <f t="shared" si="1189"/>
        <v>33336</v>
      </c>
      <c r="D931" s="80">
        <f t="shared" ref="D931:Y931" si="1224">IF($C931&gt;D$337,1,0)</f>
        <v>1</v>
      </c>
      <c r="E931" s="80">
        <f t="shared" si="1224"/>
        <v>1</v>
      </c>
      <c r="F931" s="80">
        <f t="shared" si="1224"/>
        <v>1</v>
      </c>
      <c r="G931" s="80">
        <f t="shared" si="1224"/>
        <v>1</v>
      </c>
      <c r="H931" s="80">
        <f t="shared" si="1224"/>
        <v>1</v>
      </c>
      <c r="I931" s="80">
        <f t="shared" si="1224"/>
        <v>1</v>
      </c>
      <c r="J931" s="80">
        <f t="shared" si="1224"/>
        <v>1</v>
      </c>
      <c r="K931" s="80">
        <f t="shared" si="1224"/>
        <v>1</v>
      </c>
      <c r="L931" s="80">
        <f t="shared" si="1224"/>
        <v>1</v>
      </c>
      <c r="M931" s="80">
        <f t="shared" si="1224"/>
        <v>1</v>
      </c>
      <c r="N931" s="80">
        <f t="shared" si="1224"/>
        <v>1</v>
      </c>
      <c r="O931" s="80">
        <f t="shared" si="1224"/>
        <v>1</v>
      </c>
      <c r="P931" s="80">
        <f t="shared" si="1224"/>
        <v>1</v>
      </c>
      <c r="Q931" s="80">
        <f t="shared" si="1224"/>
        <v>1</v>
      </c>
      <c r="R931" s="80">
        <f t="shared" si="1224"/>
        <v>1</v>
      </c>
      <c r="S931" s="80">
        <f t="shared" si="1224"/>
        <v>1</v>
      </c>
      <c r="T931" s="80">
        <f t="shared" si="1224"/>
        <v>1</v>
      </c>
      <c r="U931" s="80">
        <f t="shared" si="1224"/>
        <v>1</v>
      </c>
      <c r="V931" s="80">
        <f t="shared" si="1224"/>
        <v>1</v>
      </c>
      <c r="W931" s="80">
        <f t="shared" si="1224"/>
        <v>1</v>
      </c>
      <c r="X931" s="80">
        <f t="shared" si="1224"/>
        <v>1</v>
      </c>
      <c r="Y931" s="80">
        <f t="shared" si="1224"/>
        <v>1</v>
      </c>
    </row>
    <row r="932" ht="16.5" spans="2:25">
      <c r="B932" s="65">
        <v>292</v>
      </c>
      <c r="C932" s="80">
        <f t="shared" si="1189"/>
        <v>33446</v>
      </c>
      <c r="D932" s="80">
        <f t="shared" ref="D932:Y932" si="1225">IF($C932&gt;D$337,1,0)</f>
        <v>1</v>
      </c>
      <c r="E932" s="80">
        <f t="shared" si="1225"/>
        <v>1</v>
      </c>
      <c r="F932" s="80">
        <f t="shared" si="1225"/>
        <v>1</v>
      </c>
      <c r="G932" s="80">
        <f t="shared" si="1225"/>
        <v>1</v>
      </c>
      <c r="H932" s="80">
        <f t="shared" si="1225"/>
        <v>1</v>
      </c>
      <c r="I932" s="80">
        <f t="shared" si="1225"/>
        <v>1</v>
      </c>
      <c r="J932" s="80">
        <f t="shared" si="1225"/>
        <v>1</v>
      </c>
      <c r="K932" s="80">
        <f t="shared" si="1225"/>
        <v>1</v>
      </c>
      <c r="L932" s="80">
        <f t="shared" si="1225"/>
        <v>1</v>
      </c>
      <c r="M932" s="80">
        <f t="shared" si="1225"/>
        <v>1</v>
      </c>
      <c r="N932" s="80">
        <f t="shared" si="1225"/>
        <v>1</v>
      </c>
      <c r="O932" s="80">
        <f t="shared" si="1225"/>
        <v>1</v>
      </c>
      <c r="P932" s="80">
        <f t="shared" si="1225"/>
        <v>1</v>
      </c>
      <c r="Q932" s="80">
        <f t="shared" si="1225"/>
        <v>1</v>
      </c>
      <c r="R932" s="80">
        <f t="shared" si="1225"/>
        <v>1</v>
      </c>
      <c r="S932" s="80">
        <f t="shared" si="1225"/>
        <v>1</v>
      </c>
      <c r="T932" s="80">
        <f t="shared" si="1225"/>
        <v>1</v>
      </c>
      <c r="U932" s="80">
        <f t="shared" si="1225"/>
        <v>1</v>
      </c>
      <c r="V932" s="80">
        <f t="shared" si="1225"/>
        <v>1</v>
      </c>
      <c r="W932" s="80">
        <f t="shared" si="1225"/>
        <v>1</v>
      </c>
      <c r="X932" s="80">
        <f t="shared" si="1225"/>
        <v>1</v>
      </c>
      <c r="Y932" s="80">
        <f t="shared" si="1225"/>
        <v>1</v>
      </c>
    </row>
    <row r="933" ht="16.5" spans="2:25">
      <c r="B933" s="65">
        <v>293</v>
      </c>
      <c r="C933" s="80">
        <f t="shared" si="1189"/>
        <v>33556</v>
      </c>
      <c r="D933" s="80">
        <f t="shared" ref="D933:Y933" si="1226">IF($C933&gt;D$337,1,0)</f>
        <v>1</v>
      </c>
      <c r="E933" s="80">
        <f t="shared" si="1226"/>
        <v>1</v>
      </c>
      <c r="F933" s="80">
        <f t="shared" si="1226"/>
        <v>1</v>
      </c>
      <c r="G933" s="80">
        <f t="shared" si="1226"/>
        <v>1</v>
      </c>
      <c r="H933" s="80">
        <f t="shared" si="1226"/>
        <v>1</v>
      </c>
      <c r="I933" s="80">
        <f t="shared" si="1226"/>
        <v>1</v>
      </c>
      <c r="J933" s="80">
        <f t="shared" si="1226"/>
        <v>1</v>
      </c>
      <c r="K933" s="80">
        <f t="shared" si="1226"/>
        <v>1</v>
      </c>
      <c r="L933" s="80">
        <f t="shared" si="1226"/>
        <v>1</v>
      </c>
      <c r="M933" s="80">
        <f t="shared" si="1226"/>
        <v>1</v>
      </c>
      <c r="N933" s="80">
        <f t="shared" si="1226"/>
        <v>1</v>
      </c>
      <c r="O933" s="80">
        <f t="shared" si="1226"/>
        <v>1</v>
      </c>
      <c r="P933" s="80">
        <f t="shared" si="1226"/>
        <v>1</v>
      </c>
      <c r="Q933" s="80">
        <f t="shared" si="1226"/>
        <v>1</v>
      </c>
      <c r="R933" s="80">
        <f t="shared" si="1226"/>
        <v>1</v>
      </c>
      <c r="S933" s="80">
        <f t="shared" si="1226"/>
        <v>1</v>
      </c>
      <c r="T933" s="80">
        <f t="shared" si="1226"/>
        <v>1</v>
      </c>
      <c r="U933" s="80">
        <f t="shared" si="1226"/>
        <v>1</v>
      </c>
      <c r="V933" s="80">
        <f t="shared" si="1226"/>
        <v>1</v>
      </c>
      <c r="W933" s="80">
        <f t="shared" si="1226"/>
        <v>1</v>
      </c>
      <c r="X933" s="80">
        <f t="shared" si="1226"/>
        <v>1</v>
      </c>
      <c r="Y933" s="80">
        <f t="shared" si="1226"/>
        <v>1</v>
      </c>
    </row>
    <row r="934" ht="16.5" spans="2:25">
      <c r="B934" s="65">
        <v>294</v>
      </c>
      <c r="C934" s="80">
        <f t="shared" si="1189"/>
        <v>33666</v>
      </c>
      <c r="D934" s="80">
        <f t="shared" ref="D934:Y934" si="1227">IF($C934&gt;D$337,1,0)</f>
        <v>1</v>
      </c>
      <c r="E934" s="80">
        <f t="shared" si="1227"/>
        <v>1</v>
      </c>
      <c r="F934" s="80">
        <f t="shared" si="1227"/>
        <v>1</v>
      </c>
      <c r="G934" s="80">
        <f t="shared" si="1227"/>
        <v>1</v>
      </c>
      <c r="H934" s="80">
        <f t="shared" si="1227"/>
        <v>1</v>
      </c>
      <c r="I934" s="80">
        <f t="shared" si="1227"/>
        <v>1</v>
      </c>
      <c r="J934" s="80">
        <f t="shared" si="1227"/>
        <v>1</v>
      </c>
      <c r="K934" s="80">
        <f t="shared" si="1227"/>
        <v>1</v>
      </c>
      <c r="L934" s="80">
        <f t="shared" si="1227"/>
        <v>1</v>
      </c>
      <c r="M934" s="80">
        <f t="shared" si="1227"/>
        <v>1</v>
      </c>
      <c r="N934" s="80">
        <f t="shared" si="1227"/>
        <v>1</v>
      </c>
      <c r="O934" s="80">
        <f t="shared" si="1227"/>
        <v>1</v>
      </c>
      <c r="P934" s="80">
        <f t="shared" si="1227"/>
        <v>1</v>
      </c>
      <c r="Q934" s="80">
        <f t="shared" si="1227"/>
        <v>1</v>
      </c>
      <c r="R934" s="80">
        <f t="shared" si="1227"/>
        <v>1</v>
      </c>
      <c r="S934" s="80">
        <f t="shared" si="1227"/>
        <v>1</v>
      </c>
      <c r="T934" s="80">
        <f t="shared" si="1227"/>
        <v>1</v>
      </c>
      <c r="U934" s="80">
        <f t="shared" si="1227"/>
        <v>1</v>
      </c>
      <c r="V934" s="80">
        <f t="shared" si="1227"/>
        <v>1</v>
      </c>
      <c r="W934" s="80">
        <f t="shared" si="1227"/>
        <v>1</v>
      </c>
      <c r="X934" s="80">
        <f t="shared" si="1227"/>
        <v>1</v>
      </c>
      <c r="Y934" s="80">
        <f t="shared" si="1227"/>
        <v>1</v>
      </c>
    </row>
    <row r="935" ht="16.5" spans="2:25">
      <c r="B935" s="65">
        <v>295</v>
      </c>
      <c r="C935" s="80">
        <f t="shared" si="1189"/>
        <v>33776</v>
      </c>
      <c r="D935" s="80">
        <f t="shared" ref="D935:Y935" si="1228">IF($C935&gt;D$337,1,0)</f>
        <v>1</v>
      </c>
      <c r="E935" s="80">
        <f t="shared" si="1228"/>
        <v>1</v>
      </c>
      <c r="F935" s="80">
        <f t="shared" si="1228"/>
        <v>1</v>
      </c>
      <c r="G935" s="80">
        <f t="shared" si="1228"/>
        <v>1</v>
      </c>
      <c r="H935" s="80">
        <f t="shared" si="1228"/>
        <v>1</v>
      </c>
      <c r="I935" s="80">
        <f t="shared" si="1228"/>
        <v>1</v>
      </c>
      <c r="J935" s="80">
        <f t="shared" si="1228"/>
        <v>1</v>
      </c>
      <c r="K935" s="80">
        <f t="shared" si="1228"/>
        <v>1</v>
      </c>
      <c r="L935" s="80">
        <f t="shared" si="1228"/>
        <v>1</v>
      </c>
      <c r="M935" s="80">
        <f t="shared" si="1228"/>
        <v>1</v>
      </c>
      <c r="N935" s="80">
        <f t="shared" si="1228"/>
        <v>1</v>
      </c>
      <c r="O935" s="80">
        <f t="shared" si="1228"/>
        <v>1</v>
      </c>
      <c r="P935" s="80">
        <f t="shared" si="1228"/>
        <v>1</v>
      </c>
      <c r="Q935" s="80">
        <f t="shared" si="1228"/>
        <v>1</v>
      </c>
      <c r="R935" s="80">
        <f t="shared" si="1228"/>
        <v>1</v>
      </c>
      <c r="S935" s="80">
        <f t="shared" si="1228"/>
        <v>1</v>
      </c>
      <c r="T935" s="80">
        <f t="shared" si="1228"/>
        <v>1</v>
      </c>
      <c r="U935" s="80">
        <f t="shared" si="1228"/>
        <v>1</v>
      </c>
      <c r="V935" s="80">
        <f t="shared" si="1228"/>
        <v>1</v>
      </c>
      <c r="W935" s="80">
        <f t="shared" si="1228"/>
        <v>1</v>
      </c>
      <c r="X935" s="80">
        <f t="shared" si="1228"/>
        <v>1</v>
      </c>
      <c r="Y935" s="80">
        <f t="shared" si="1228"/>
        <v>1</v>
      </c>
    </row>
    <row r="936" ht="16.5" spans="2:25">
      <c r="B936" s="65">
        <v>296</v>
      </c>
      <c r="C936" s="80">
        <f t="shared" si="1189"/>
        <v>33886</v>
      </c>
      <c r="D936" s="80">
        <f t="shared" ref="D936:Y936" si="1229">IF($C936&gt;D$337,1,0)</f>
        <v>1</v>
      </c>
      <c r="E936" s="80">
        <f t="shared" si="1229"/>
        <v>1</v>
      </c>
      <c r="F936" s="80">
        <f t="shared" si="1229"/>
        <v>1</v>
      </c>
      <c r="G936" s="80">
        <f t="shared" si="1229"/>
        <v>1</v>
      </c>
      <c r="H936" s="80">
        <f t="shared" si="1229"/>
        <v>1</v>
      </c>
      <c r="I936" s="80">
        <f t="shared" si="1229"/>
        <v>1</v>
      </c>
      <c r="J936" s="80">
        <f t="shared" si="1229"/>
        <v>1</v>
      </c>
      <c r="K936" s="80">
        <f t="shared" si="1229"/>
        <v>1</v>
      </c>
      <c r="L936" s="80">
        <f t="shared" si="1229"/>
        <v>1</v>
      </c>
      <c r="M936" s="80">
        <f t="shared" si="1229"/>
        <v>1</v>
      </c>
      <c r="N936" s="80">
        <f t="shared" si="1229"/>
        <v>1</v>
      </c>
      <c r="O936" s="80">
        <f t="shared" si="1229"/>
        <v>1</v>
      </c>
      <c r="P936" s="80">
        <f t="shared" si="1229"/>
        <v>1</v>
      </c>
      <c r="Q936" s="80">
        <f t="shared" si="1229"/>
        <v>1</v>
      </c>
      <c r="R936" s="80">
        <f t="shared" si="1229"/>
        <v>1</v>
      </c>
      <c r="S936" s="80">
        <f t="shared" si="1229"/>
        <v>1</v>
      </c>
      <c r="T936" s="80">
        <f t="shared" si="1229"/>
        <v>1</v>
      </c>
      <c r="U936" s="80">
        <f t="shared" si="1229"/>
        <v>1</v>
      </c>
      <c r="V936" s="80">
        <f t="shared" si="1229"/>
        <v>1</v>
      </c>
      <c r="W936" s="80">
        <f t="shared" si="1229"/>
        <v>1</v>
      </c>
      <c r="X936" s="80">
        <f t="shared" si="1229"/>
        <v>1</v>
      </c>
      <c r="Y936" s="80">
        <f t="shared" si="1229"/>
        <v>1</v>
      </c>
    </row>
    <row r="937" ht="16.5" spans="2:25">
      <c r="B937" s="65">
        <v>297</v>
      </c>
      <c r="C937" s="80">
        <f t="shared" si="1189"/>
        <v>33996</v>
      </c>
      <c r="D937" s="80">
        <f t="shared" ref="D937:Y937" si="1230">IF($C937&gt;D$337,1,0)</f>
        <v>1</v>
      </c>
      <c r="E937" s="80">
        <f t="shared" si="1230"/>
        <v>1</v>
      </c>
      <c r="F937" s="80">
        <f t="shared" si="1230"/>
        <v>1</v>
      </c>
      <c r="G937" s="80">
        <f t="shared" si="1230"/>
        <v>1</v>
      </c>
      <c r="H937" s="80">
        <f t="shared" si="1230"/>
        <v>1</v>
      </c>
      <c r="I937" s="80">
        <f t="shared" si="1230"/>
        <v>1</v>
      </c>
      <c r="J937" s="80">
        <f t="shared" si="1230"/>
        <v>1</v>
      </c>
      <c r="K937" s="80">
        <f t="shared" si="1230"/>
        <v>1</v>
      </c>
      <c r="L937" s="80">
        <f t="shared" si="1230"/>
        <v>1</v>
      </c>
      <c r="M937" s="80">
        <f t="shared" si="1230"/>
        <v>1</v>
      </c>
      <c r="N937" s="80">
        <f t="shared" si="1230"/>
        <v>1</v>
      </c>
      <c r="O937" s="80">
        <f t="shared" si="1230"/>
        <v>1</v>
      </c>
      <c r="P937" s="80">
        <f t="shared" si="1230"/>
        <v>1</v>
      </c>
      <c r="Q937" s="80">
        <f t="shared" si="1230"/>
        <v>1</v>
      </c>
      <c r="R937" s="80">
        <f t="shared" si="1230"/>
        <v>1</v>
      </c>
      <c r="S937" s="80">
        <f t="shared" si="1230"/>
        <v>1</v>
      </c>
      <c r="T937" s="80">
        <f t="shared" si="1230"/>
        <v>1</v>
      </c>
      <c r="U937" s="80">
        <f t="shared" si="1230"/>
        <v>1</v>
      </c>
      <c r="V937" s="80">
        <f t="shared" si="1230"/>
        <v>1</v>
      </c>
      <c r="W937" s="80">
        <f t="shared" si="1230"/>
        <v>1</v>
      </c>
      <c r="X937" s="80">
        <f t="shared" si="1230"/>
        <v>1</v>
      </c>
      <c r="Y937" s="80">
        <f t="shared" si="1230"/>
        <v>1</v>
      </c>
    </row>
    <row r="938" ht="16.5" spans="2:25">
      <c r="B938" s="65">
        <v>298</v>
      </c>
      <c r="C938" s="80">
        <f t="shared" si="1189"/>
        <v>34106</v>
      </c>
      <c r="D938" s="80">
        <f t="shared" ref="D938:Y938" si="1231">IF($C938&gt;D$337,1,0)</f>
        <v>1</v>
      </c>
      <c r="E938" s="80">
        <f t="shared" si="1231"/>
        <v>1</v>
      </c>
      <c r="F938" s="80">
        <f t="shared" si="1231"/>
        <v>1</v>
      </c>
      <c r="G938" s="80">
        <f t="shared" si="1231"/>
        <v>1</v>
      </c>
      <c r="H938" s="80">
        <f t="shared" si="1231"/>
        <v>1</v>
      </c>
      <c r="I938" s="80">
        <f t="shared" si="1231"/>
        <v>1</v>
      </c>
      <c r="J938" s="80">
        <f t="shared" si="1231"/>
        <v>1</v>
      </c>
      <c r="K938" s="80">
        <f t="shared" si="1231"/>
        <v>1</v>
      </c>
      <c r="L938" s="80">
        <f t="shared" si="1231"/>
        <v>1</v>
      </c>
      <c r="M938" s="80">
        <f t="shared" si="1231"/>
        <v>1</v>
      </c>
      <c r="N938" s="80">
        <f t="shared" si="1231"/>
        <v>1</v>
      </c>
      <c r="O938" s="80">
        <f t="shared" si="1231"/>
        <v>1</v>
      </c>
      <c r="P938" s="80">
        <f t="shared" si="1231"/>
        <v>1</v>
      </c>
      <c r="Q938" s="80">
        <f t="shared" si="1231"/>
        <v>1</v>
      </c>
      <c r="R938" s="80">
        <f t="shared" si="1231"/>
        <v>1</v>
      </c>
      <c r="S938" s="80">
        <f t="shared" si="1231"/>
        <v>1</v>
      </c>
      <c r="T938" s="80">
        <f t="shared" si="1231"/>
        <v>1</v>
      </c>
      <c r="U938" s="80">
        <f t="shared" si="1231"/>
        <v>1</v>
      </c>
      <c r="V938" s="80">
        <f t="shared" si="1231"/>
        <v>1</v>
      </c>
      <c r="W938" s="80">
        <f t="shared" si="1231"/>
        <v>1</v>
      </c>
      <c r="X938" s="80">
        <f t="shared" si="1231"/>
        <v>1</v>
      </c>
      <c r="Y938" s="80">
        <f t="shared" si="1231"/>
        <v>1</v>
      </c>
    </row>
    <row r="939" ht="16.5" spans="2:25">
      <c r="B939" s="65">
        <v>299</v>
      </c>
      <c r="C939" s="80">
        <f t="shared" si="1189"/>
        <v>34216</v>
      </c>
      <c r="D939" s="80">
        <f t="shared" ref="D939:Y939" si="1232">IF($C939&gt;D$337,1,0)</f>
        <v>1</v>
      </c>
      <c r="E939" s="80">
        <f t="shared" si="1232"/>
        <v>1</v>
      </c>
      <c r="F939" s="80">
        <f t="shared" si="1232"/>
        <v>1</v>
      </c>
      <c r="G939" s="80">
        <f t="shared" si="1232"/>
        <v>1</v>
      </c>
      <c r="H939" s="80">
        <f t="shared" si="1232"/>
        <v>1</v>
      </c>
      <c r="I939" s="80">
        <f t="shared" si="1232"/>
        <v>1</v>
      </c>
      <c r="J939" s="80">
        <f t="shared" si="1232"/>
        <v>1</v>
      </c>
      <c r="K939" s="80">
        <f t="shared" si="1232"/>
        <v>1</v>
      </c>
      <c r="L939" s="80">
        <f t="shared" si="1232"/>
        <v>1</v>
      </c>
      <c r="M939" s="80">
        <f t="shared" si="1232"/>
        <v>1</v>
      </c>
      <c r="N939" s="80">
        <f t="shared" si="1232"/>
        <v>1</v>
      </c>
      <c r="O939" s="80">
        <f t="shared" si="1232"/>
        <v>1</v>
      </c>
      <c r="P939" s="80">
        <f t="shared" si="1232"/>
        <v>1</v>
      </c>
      <c r="Q939" s="80">
        <f t="shared" si="1232"/>
        <v>1</v>
      </c>
      <c r="R939" s="80">
        <f t="shared" si="1232"/>
        <v>1</v>
      </c>
      <c r="S939" s="80">
        <f t="shared" si="1232"/>
        <v>1</v>
      </c>
      <c r="T939" s="80">
        <f t="shared" si="1232"/>
        <v>1</v>
      </c>
      <c r="U939" s="80">
        <f t="shared" si="1232"/>
        <v>1</v>
      </c>
      <c r="V939" s="80">
        <f t="shared" si="1232"/>
        <v>1</v>
      </c>
      <c r="W939" s="80">
        <f t="shared" si="1232"/>
        <v>1</v>
      </c>
      <c r="X939" s="80">
        <f t="shared" si="1232"/>
        <v>1</v>
      </c>
      <c r="Y939" s="80">
        <f t="shared" si="1232"/>
        <v>1</v>
      </c>
    </row>
    <row r="940" ht="16.5" spans="2:25">
      <c r="B940" s="65">
        <v>300</v>
      </c>
      <c r="C940" s="80">
        <f t="shared" si="1189"/>
        <v>34326</v>
      </c>
      <c r="D940" s="80">
        <f t="shared" ref="D940:Y940" si="1233">IF($C940&gt;D$337,1,0)</f>
        <v>1</v>
      </c>
      <c r="E940" s="80">
        <f t="shared" si="1233"/>
        <v>1</v>
      </c>
      <c r="F940" s="80">
        <f t="shared" si="1233"/>
        <v>1</v>
      </c>
      <c r="G940" s="80">
        <f t="shared" si="1233"/>
        <v>1</v>
      </c>
      <c r="H940" s="80">
        <f t="shared" si="1233"/>
        <v>1</v>
      </c>
      <c r="I940" s="80">
        <f t="shared" si="1233"/>
        <v>1</v>
      </c>
      <c r="J940" s="80">
        <f t="shared" si="1233"/>
        <v>1</v>
      </c>
      <c r="K940" s="80">
        <f t="shared" si="1233"/>
        <v>1</v>
      </c>
      <c r="L940" s="80">
        <f t="shared" si="1233"/>
        <v>1</v>
      </c>
      <c r="M940" s="80">
        <f t="shared" si="1233"/>
        <v>1</v>
      </c>
      <c r="N940" s="80">
        <f t="shared" si="1233"/>
        <v>1</v>
      </c>
      <c r="O940" s="80">
        <f t="shared" si="1233"/>
        <v>1</v>
      </c>
      <c r="P940" s="80">
        <f t="shared" si="1233"/>
        <v>1</v>
      </c>
      <c r="Q940" s="80">
        <f t="shared" si="1233"/>
        <v>1</v>
      </c>
      <c r="R940" s="80">
        <f t="shared" si="1233"/>
        <v>1</v>
      </c>
      <c r="S940" s="80">
        <f t="shared" si="1233"/>
        <v>1</v>
      </c>
      <c r="T940" s="80">
        <f t="shared" si="1233"/>
        <v>1</v>
      </c>
      <c r="U940" s="80">
        <f t="shared" si="1233"/>
        <v>1</v>
      </c>
      <c r="V940" s="80">
        <f t="shared" si="1233"/>
        <v>1</v>
      </c>
      <c r="W940" s="80">
        <f t="shared" si="1233"/>
        <v>1</v>
      </c>
      <c r="X940" s="80">
        <f t="shared" si="1233"/>
        <v>1</v>
      </c>
      <c r="Y940" s="80">
        <f t="shared" si="1233"/>
        <v>1</v>
      </c>
    </row>
  </sheetData>
  <pageMargins left="0.75" right="0.75" top="1" bottom="1" header="0.5" footer="0.5"/>
  <headerFooter/>
  <tableParts count="5">
    <tablePart r:id="rId1"/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theme="4"/>
  </sheetPr>
  <dimension ref="A2:AV556"/>
  <sheetViews>
    <sheetView topLeftCell="M1" workbookViewId="0">
      <selection activeCell="G38" sqref="D3:G38"/>
    </sheetView>
  </sheetViews>
  <sheetFormatPr defaultColWidth="9" defaultRowHeight="13.5"/>
  <cols>
    <col min="9" max="9" width="9.75" customWidth="1"/>
    <col min="15" max="17" width="10.375"/>
    <col min="18" max="18" width="11.5"/>
    <col min="19" max="19" width="9" customWidth="1"/>
    <col min="20" max="20" width="10.375"/>
    <col min="24" max="36" width="9" customWidth="1"/>
    <col min="48" max="48" width="12.625"/>
  </cols>
  <sheetData>
    <row r="2" spans="1:48">
      <c r="A2" s="33"/>
      <c r="B2" s="34"/>
      <c r="C2" s="34"/>
      <c r="D2" s="34" t="s">
        <v>179</v>
      </c>
      <c r="E2" s="34"/>
      <c r="F2" s="34" t="s">
        <v>180</v>
      </c>
      <c r="G2" s="35"/>
      <c r="H2" s="35"/>
      <c r="I2" s="36"/>
      <c r="J2" s="34" t="s">
        <v>181</v>
      </c>
      <c r="K2" s="34" t="s">
        <v>182</v>
      </c>
      <c r="AD2">
        <v>4</v>
      </c>
      <c r="AE2">
        <v>16</v>
      </c>
      <c r="AF2">
        <f>AE2*4</f>
        <v>64</v>
      </c>
      <c r="AG2">
        <f>AF2*4</f>
        <v>256</v>
      </c>
      <c r="AH2">
        <f>AG2*4</f>
        <v>1024</v>
      </c>
      <c r="AI2">
        <f>AH2*4</f>
        <v>4096</v>
      </c>
    </row>
    <row r="3" ht="16.5" spans="1:48">
      <c r="A3" s="33"/>
      <c r="B3" s="37" t="s">
        <v>183</v>
      </c>
      <c r="C3" s="38" t="s">
        <v>105</v>
      </c>
      <c r="D3" s="38">
        <v>1</v>
      </c>
      <c r="E3" s="38">
        <v>2</v>
      </c>
      <c r="F3" s="38" t="s">
        <v>184</v>
      </c>
      <c r="G3" s="38" t="s">
        <v>185</v>
      </c>
      <c r="H3" s="38" t="s">
        <v>186</v>
      </c>
      <c r="I3" s="38">
        <v>4</v>
      </c>
      <c r="J3" s="38">
        <v>5</v>
      </c>
      <c r="K3" s="38">
        <v>6</v>
      </c>
      <c r="N3" s="1" t="s">
        <v>40</v>
      </c>
      <c r="O3" s="1" t="s">
        <v>187</v>
      </c>
      <c r="P3" s="1" t="s">
        <v>188</v>
      </c>
      <c r="Q3" s="1" t="s">
        <v>113</v>
      </c>
      <c r="R3" s="1" t="s">
        <v>189</v>
      </c>
      <c r="S3" s="1" t="s">
        <v>190</v>
      </c>
      <c r="T3" s="1" t="s">
        <v>191</v>
      </c>
      <c r="U3" s="1" t="s">
        <v>192</v>
      </c>
      <c r="V3" s="1" t="s">
        <v>193</v>
      </c>
      <c r="W3" s="1" t="s">
        <v>194</v>
      </c>
      <c r="X3" s="1" t="s">
        <v>195</v>
      </c>
      <c r="Y3" s="1" t="s">
        <v>191</v>
      </c>
      <c r="Z3" s="1" t="s">
        <v>192</v>
      </c>
      <c r="AA3" s="1" t="s">
        <v>193</v>
      </c>
      <c r="AB3" s="1" t="s">
        <v>194</v>
      </c>
      <c r="AC3" s="1" t="s">
        <v>196</v>
      </c>
      <c r="AD3" s="1" t="s">
        <v>118</v>
      </c>
      <c r="AE3" s="1" t="s">
        <v>118</v>
      </c>
      <c r="AF3" s="1" t="s">
        <v>119</v>
      </c>
      <c r="AG3" s="1" t="s">
        <v>120</v>
      </c>
      <c r="AH3" s="1" t="s">
        <v>121</v>
      </c>
      <c r="AI3" s="1" t="s">
        <v>122</v>
      </c>
      <c r="AJ3" s="39"/>
      <c r="AR3" s="4" t="s">
        <v>117</v>
      </c>
      <c r="AS3" s="40">
        <v>0.15</v>
      </c>
      <c r="AT3" s="4">
        <v>0.05</v>
      </c>
      <c r="AU3" s="41">
        <f>11%</f>
        <v>0.11</v>
      </c>
      <c r="AV3">
        <f t="shared" ref="AV3:AV8" si="0">1/AU3/3</f>
        <v>3.03030303030303</v>
      </c>
    </row>
    <row r="4" ht="16.5" spans="1:48">
      <c r="A4" s="33">
        <v>1</v>
      </c>
      <c r="B4" s="42" t="s">
        <v>116</v>
      </c>
      <c r="C4" s="42">
        <v>4</v>
      </c>
      <c r="D4" s="43">
        <v>0.02</v>
      </c>
      <c r="E4" s="43">
        <v>0.04</v>
      </c>
      <c r="F4" s="44">
        <v>0.03</v>
      </c>
      <c r="G4" s="44">
        <v>0.08</v>
      </c>
      <c r="H4" s="44"/>
      <c r="I4" s="44">
        <v>0.1</v>
      </c>
      <c r="J4" s="44">
        <v>0.06</v>
      </c>
      <c r="K4" s="44">
        <v>0.08</v>
      </c>
      <c r="N4" s="2">
        <v>1</v>
      </c>
      <c r="O4" s="45">
        <f>产出预期!AN20</f>
        <v>123</v>
      </c>
      <c r="P4" s="2">
        <f ca="1">练度预期!M3</f>
        <v>8</v>
      </c>
      <c r="Q4" s="2" t="str">
        <f ca="1">OFFSET($E$14,MATCH(O4/P4,$G$15:$G$21,1),0)</f>
        <v>绿</v>
      </c>
      <c r="R4" s="46">
        <f ca="1">SQRT(O4/P4/(4^(MATCH(O4/P4,$G$15:$G$21,1)-1)))-1</f>
        <v>0.960548392669765</v>
      </c>
      <c r="S4" s="47">
        <f ca="1">MAX(P4-SUM(T4:W4),0)</f>
        <v>6.88815233333333</v>
      </c>
      <c r="T4" s="47">
        <f ca="1">MIN(1+($O4*1.4+产出预期!$AC20*60)/OFFSET($J$14,MATCH(T$3,$T$3:$W$3,0),0),18)</f>
        <v>1.08116666666667</v>
      </c>
      <c r="U4" s="47">
        <f ca="1">MIN(($O4*1.4+产出预期!$AC20*60)/OFFSET($J$14,MATCH(U$3,$T$3:$W$3,0),0),3)</f>
        <v>0.023376</v>
      </c>
      <c r="V4" s="47">
        <f ca="1">MIN(($O4*1.4+产出预期!$AC20*60)/OFFSET($J$14,MATCH(V$3,$T$3:$W$3,0),0),18)</f>
        <v>0.005844</v>
      </c>
      <c r="W4" s="47">
        <f ca="1">MIN(($O4*1.4+产出预期!$AC20*60)/OFFSET($J$14,MATCH(W$3,$T$3:$W$3,0),0),18)</f>
        <v>0.001461</v>
      </c>
      <c r="X4" s="47">
        <f ca="1">1+S4*(1-R4)*OFFSET(D$3,MATCH(Q4,$B$4:$B$10,0),0)+S4*R4*OFFSET(D$3,1+MATCH(Q4,$B$4:$B$10,0),0)</f>
        <v>1.27280860652248</v>
      </c>
      <c r="Y4" s="47">
        <f ca="1">(1+_xlfn.XLOOKUP($Q4,$B$3:$B$10,F$3:F$10))^T4</f>
        <v>1.05416638602187</v>
      </c>
      <c r="Z4" s="47">
        <f ca="1">(1+_xlfn.XLOOKUP($Q4,$B$3:$B$10,I$3:I$10))^U4</f>
        <v>1.00286104438032</v>
      </c>
      <c r="AA4" s="47">
        <f ca="1">(1+_xlfn.XLOOKUP($Q4,$B$3:$B$10,J$3:J$10))^V4</f>
        <v>1.00044986148174</v>
      </c>
      <c r="AB4" s="47">
        <f ca="1">(1+_xlfn.XLOOKUP($Q4,$B$3:$B$10,K$3:K$10))^W4</f>
        <v>1.00013925786817</v>
      </c>
      <c r="AC4" s="48">
        <f ca="1">X4*Y4*Z4*AA4*AB4</f>
        <v>1.34638365890461</v>
      </c>
      <c r="AD4" s="47">
        <f t="shared" ref="AD4:AI4" si="1">$O4/AD$2</f>
        <v>30.75</v>
      </c>
      <c r="AE4" s="47">
        <f t="shared" si="1"/>
        <v>7.6875</v>
      </c>
      <c r="AF4" s="47">
        <f t="shared" si="1"/>
        <v>1.921875</v>
      </c>
      <c r="AG4" s="47">
        <f t="shared" si="1"/>
        <v>0.48046875</v>
      </c>
      <c r="AH4" s="47">
        <f t="shared" si="1"/>
        <v>0.1201171875</v>
      </c>
      <c r="AI4" s="47">
        <f t="shared" si="1"/>
        <v>0.030029296875</v>
      </c>
      <c r="AJ4">
        <f ca="1">MIN(INT(SUM(AD4:$AI4)/OFFSET($AV$2,MATCH(AD$3,$AE$3:$AI$3,0),0)),6-SUM(AK4:$AO4))</f>
        <v>3</v>
      </c>
      <c r="AK4">
        <f ca="1">MIN(INT(SUM(AE4:$AI4)/OFFSET($AV$2,MATCH(AE$3,$AE$3:$AI$3,0),0)),6-SUM(AL4:$AO4))</f>
        <v>3</v>
      </c>
      <c r="AL4">
        <f ca="1">MIN(INT(SUM(AF4:$AI4)/OFFSET($AV$2,MATCH(AF$3,$AE$3:$AI$3,0),0)),6-SUM(AM4:$AO4))</f>
        <v>0</v>
      </c>
      <c r="AM4">
        <f ca="1">MIN(INT((SUM(AG4:$AI4)+N4*2/6)/OFFSET($AV$2,MATCH(AG$3,$AE$3:$AI$3,0),0)),6-SUM(AN4:$AO4))</f>
        <v>0</v>
      </c>
      <c r="AN4">
        <f ca="1">MIN(INT(SUM(AH4:$AI4)/OFFSET($AV$2,MATCH(AH$3,$AE$3:$AI$3,0),0)),6-SUM(AO4:$AO4))</f>
        <v>0</v>
      </c>
      <c r="AO4">
        <v>0</v>
      </c>
      <c r="AP4" cm="1">
        <f ca="1" t="array" ref="AP4">SUMPRODUCT(AJ4:AO4,TRANSPOSE($AS$3:$AS$8))</f>
        <v>1.05</v>
      </c>
      <c r="AR4" s="4" t="s">
        <v>118</v>
      </c>
      <c r="AS4" s="40">
        <v>0.2</v>
      </c>
      <c r="AT4" s="4">
        <v>0.05</v>
      </c>
      <c r="AU4" s="49">
        <f>47.5/5*0.01</f>
        <v>0.095</v>
      </c>
      <c r="AV4">
        <f t="shared" si="0"/>
        <v>3.50877192982456</v>
      </c>
    </row>
    <row r="5" ht="16.5" spans="1:48">
      <c r="A5" s="33">
        <v>2</v>
      </c>
      <c r="B5" s="42" t="s">
        <v>117</v>
      </c>
      <c r="C5" s="42">
        <v>8</v>
      </c>
      <c r="D5" s="43">
        <v>0.03</v>
      </c>
      <c r="E5" s="43">
        <v>0.06</v>
      </c>
      <c r="F5" s="44">
        <v>0.05</v>
      </c>
      <c r="G5" s="44">
        <v>0.1</v>
      </c>
      <c r="H5" s="44"/>
      <c r="I5" s="44">
        <v>0.13</v>
      </c>
      <c r="J5" s="44">
        <v>0.08</v>
      </c>
      <c r="K5" s="44">
        <v>0.1</v>
      </c>
      <c r="N5" s="2">
        <v>2</v>
      </c>
      <c r="O5" s="45">
        <f>产出预期!AN21</f>
        <v>203</v>
      </c>
      <c r="P5" s="2">
        <f ca="1">练度预期!M4</f>
        <v>12</v>
      </c>
      <c r="Q5" s="2" t="str">
        <f ca="1">OFFSET($E$14,MATCH(O5/P5,$G$15:$G$21,1),0)</f>
        <v>蓝</v>
      </c>
      <c r="R5" s="46">
        <f ca="1">IF(Q5="橙",0,SQRT(O5/P5/(4^(MATCH(O5/P5,$G$15:$G$21,1)-1)))-1)</f>
        <v>0.0282468899377555</v>
      </c>
      <c r="S5" s="47">
        <f ca="1" t="shared" ref="S5:S68" si="2">MAX(P5-SUM(T5:W5),0)</f>
        <v>10.7763812222222</v>
      </c>
      <c r="T5" s="47">
        <f ca="1">MIN(1+($O5*1.4+产出预期!AC21*60)/OFFSET($J$14,MATCH(T$3,$T$3:$W$3,0),0),18)</f>
        <v>1.16227777777778</v>
      </c>
      <c r="U5" s="47">
        <f ca="1">MIN(($O5*1.4+产出预期!$AC21*60)/OFFSET($J$14,MATCH(U$3,$T$3:$W$3,0),0),3)</f>
        <v>0.046736</v>
      </c>
      <c r="V5" s="47">
        <f ca="1">MIN(($O5*1.4+产出预期!$AC21*60)/OFFSET($J$14,MATCH(V$3,$T$3:$W$3,0),0),18)</f>
        <v>0.011684</v>
      </c>
      <c r="W5" s="47">
        <f ca="1">MIN(($O5*1.4+产出预期!$AC21*60)/OFFSET($J$14,MATCH(W$3,$T$3:$W$3,0),0),18)</f>
        <v>0.002921</v>
      </c>
      <c r="X5" s="47">
        <f ca="1" t="shared" ref="X5:X68" si="3">1+S5*(1-R5)*OFFSET(D$3,MATCH(Q5,$B$4:$B$10,0),0)+S5*R5*OFFSET(D$3,1+MATCH(Q5,$B$4:$B$10,0),0)</f>
        <v>1.434099241432</v>
      </c>
      <c r="Y5" s="47">
        <f ca="1" t="shared" ref="Y5:Y68" si="4">(1+_xlfn.XLOOKUP($Q5,$B$3:$B$10,F$3:F$10))^T5</f>
        <v>1.07007063150536</v>
      </c>
      <c r="Z5" s="47">
        <f ca="1" t="shared" ref="Z5:Z68" si="5">(1+_xlfn.XLOOKUP($Q5,$B$3:$B$10,I$3:I$10))^U5</f>
        <v>1.00696067099617</v>
      </c>
      <c r="AA5" s="47">
        <f ca="1" t="shared" ref="AA5:AA68" si="6">(1+_xlfn.XLOOKUP($Q5,$B$3:$B$10,J$3:J$10))^V5</f>
        <v>1.00111422442816</v>
      </c>
      <c r="AB5" s="47">
        <f ca="1" t="shared" ref="AB5:AB68" si="7">(1+_xlfn.XLOOKUP($Q5,$B$3:$B$10,K$3:K$10))^W5</f>
        <v>1.00033108788728</v>
      </c>
      <c r="AC5" s="48">
        <f ca="1" t="shared" ref="AC5:AC68" si="8">X5*Y5*Z5*AA5*AB5</f>
        <v>1.54750320621195</v>
      </c>
      <c r="AD5" s="47">
        <f t="shared" ref="AD4:AD67" si="9">$O5/AD$2</f>
        <v>50.75</v>
      </c>
      <c r="AE5" s="47">
        <f t="shared" ref="AE5:AE68" si="10">$O5/AE$2</f>
        <v>12.6875</v>
      </c>
      <c r="AF5" s="47">
        <f t="shared" ref="AF5:AF68" si="11">$O5/AF$2</f>
        <v>3.171875</v>
      </c>
      <c r="AG5" s="47">
        <f t="shared" ref="AG5:AG68" si="12">$O5/AG$2</f>
        <v>0.79296875</v>
      </c>
      <c r="AH5" s="47">
        <f t="shared" ref="AH5:AH68" si="13">$O5/AH$2</f>
        <v>0.1982421875</v>
      </c>
      <c r="AI5" s="47">
        <f t="shared" ref="AI5:AI68" si="14">$O5/AI$2</f>
        <v>0.049560546875</v>
      </c>
      <c r="AJ5">
        <f ca="1">MIN(INT(SUM(AD5:$AI5)/OFFSET($AV$2,MATCH(AD$3,$AE$3:$AI$3,0),0)),6-SUM(AK5:$AO5))</f>
        <v>0</v>
      </c>
      <c r="AK5">
        <f ca="1">MIN(INT(SUM(AE5:$AI5)/OFFSET($AV$2,MATCH(AE$3,$AE$3:$AI$3,0),0)),6-SUM(AL5:$AO5))</f>
        <v>5</v>
      </c>
      <c r="AL5">
        <f ca="1">MIN(INT(SUM(AF5:$AI5)/OFFSET($AV$2,MATCH(AF$3,$AE$3:$AI$3,0),0)),6-SUM(AM5:$AO5))</f>
        <v>1</v>
      </c>
      <c r="AM5">
        <f ca="1">MIN(INT((SUM(AG5:$AI5)+N5*2/6)/OFFSET($AV$2,MATCH(AG$3,$AE$3:$AI$3,0),0)),6-SUM(AN5:$AO5))</f>
        <v>0</v>
      </c>
      <c r="AN5">
        <f ca="1">MIN(INT(SUM(AH5:$AI5)/OFFSET($AV$2,MATCH(AH$3,$AE$3:$AI$3,0),0)),6-SUM(AO5:$AO5))</f>
        <v>0</v>
      </c>
      <c r="AO5">
        <f ca="1">INT(SUM(AI4:$AI5)/OFFSET($AV$2,MATCH(AI$3,$AE$3:$AI$3,0),0))</f>
        <v>0</v>
      </c>
      <c r="AP5" cm="1">
        <f ca="1" t="array" ref="AP5">SUMPRODUCT(AJ5:AO5,TRANSPOSE($AS$3:$AS$8))</f>
        <v>1.25</v>
      </c>
      <c r="AR5" s="4" t="s">
        <v>119</v>
      </c>
      <c r="AS5" s="40">
        <v>0.25</v>
      </c>
      <c r="AT5" s="4">
        <v>0.07</v>
      </c>
      <c r="AU5" s="49">
        <f>2200*0.2*0.0001</f>
        <v>0.044</v>
      </c>
      <c r="AV5">
        <f t="shared" si="0"/>
        <v>7.57575757575758</v>
      </c>
    </row>
    <row r="6" ht="16.5" spans="1:48">
      <c r="A6" s="33">
        <v>3</v>
      </c>
      <c r="B6" s="42" t="s">
        <v>118</v>
      </c>
      <c r="C6" s="42">
        <v>12</v>
      </c>
      <c r="D6" s="43">
        <v>0.04</v>
      </c>
      <c r="E6" s="43">
        <v>0.08</v>
      </c>
      <c r="F6" s="44">
        <v>0.06</v>
      </c>
      <c r="G6" s="44">
        <v>0.12</v>
      </c>
      <c r="H6" s="44">
        <v>0.19</v>
      </c>
      <c r="I6" s="50">
        <v>0.16</v>
      </c>
      <c r="J6" s="44">
        <v>0.1</v>
      </c>
      <c r="K6" s="44">
        <v>0.12</v>
      </c>
      <c r="N6" s="2">
        <v>3</v>
      </c>
      <c r="O6" s="45">
        <f>产出预期!AN22</f>
        <v>366</v>
      </c>
      <c r="P6" s="2">
        <f ca="1">练度预期!M5</f>
        <v>15</v>
      </c>
      <c r="Q6" s="2" t="str">
        <f ca="1" t="shared" ref="Q6:Q69" si="15">OFFSET($E$14,MATCH(O6/P6,$G$15:$G$21,1),0)</f>
        <v>蓝</v>
      </c>
      <c r="R6" s="46">
        <f ca="1" t="shared" ref="R6:R69" si="16">IF(Q6="橙",0,SQRT(O6/P6/(4^(MATCH(O6/P6,$G$15:$G$21,1)-1)))-1)</f>
        <v>0.234908903522847</v>
      </c>
      <c r="S6" s="47">
        <f ca="1" t="shared" si="2"/>
        <v>13.5971646666667</v>
      </c>
      <c r="T6" s="47">
        <f ca="1">MIN(1+($O6*1.4+产出预期!AC22*60)/OFFSET($J$14,MATCH(T$3,$T$3:$W$3,0),0),18)</f>
        <v>1.29233333333333</v>
      </c>
      <c r="U6" s="47">
        <f ca="1">MIN(($O6*1.4+产出预期!$AC22*60)/OFFSET($J$14,MATCH(U$3,$T$3:$W$3,0),0),3)</f>
        <v>0.084192</v>
      </c>
      <c r="V6" s="47">
        <f ca="1">MIN(($O6*1.4+产出预期!$AC22*60)/OFFSET($J$14,MATCH(V$3,$T$3:$W$3,0),0),18)</f>
        <v>0.021048</v>
      </c>
      <c r="W6" s="47">
        <f ca="1">MIN(($O6*1.4+产出预期!$AC22*60)/OFFSET($J$14,MATCH(W$3,$T$3:$W$3,0),0),18)</f>
        <v>0.005262</v>
      </c>
      <c r="X6" s="47">
        <f ca="1" t="shared" si="3"/>
        <v>1.57582753709533</v>
      </c>
      <c r="Y6" s="47">
        <f ca="1" t="shared" si="4"/>
        <v>1.07821063997821</v>
      </c>
      <c r="Z6" s="47">
        <f ca="1" t="shared" si="5"/>
        <v>1.01257417550267</v>
      </c>
      <c r="AA6" s="47">
        <f ca="1" t="shared" si="6"/>
        <v>1.00200810220661</v>
      </c>
      <c r="AB6" s="47">
        <f ca="1" t="shared" si="7"/>
        <v>1.00059651338547</v>
      </c>
      <c r="AC6" s="48">
        <f ca="1" t="shared" si="8"/>
        <v>1.72492161386594</v>
      </c>
      <c r="AD6" s="47">
        <f t="shared" si="9"/>
        <v>91.5</v>
      </c>
      <c r="AE6" s="47">
        <f t="shared" si="10"/>
        <v>22.875</v>
      </c>
      <c r="AF6" s="47">
        <f t="shared" si="11"/>
        <v>5.71875</v>
      </c>
      <c r="AG6" s="47">
        <f t="shared" si="12"/>
        <v>1.4296875</v>
      </c>
      <c r="AH6" s="47">
        <f t="shared" si="13"/>
        <v>0.357421875</v>
      </c>
      <c r="AI6" s="47">
        <f t="shared" si="14"/>
        <v>0.08935546875</v>
      </c>
      <c r="AJ6">
        <f ca="1">MIN(INT(SUM(AD6:$AI6)/OFFSET($AV$2,MATCH(AD$3,$AE$3:$AI$3,0),0)),6-SUM(AK6:$AO6))</f>
        <v>0</v>
      </c>
      <c r="AK6">
        <f ca="1">MIN(INT(SUM(AE6:$AI6)/OFFSET($AV$2,MATCH(AE$3,$AE$3:$AI$3,0),0)),6-SUM(AL6:$AO6))</f>
        <v>4</v>
      </c>
      <c r="AL6">
        <f ca="1">MIN(INT(SUM(AF6:$AI6)/OFFSET($AV$2,MATCH(AF$3,$AE$3:$AI$3,0),0)),6-SUM(AM6:$AO6))</f>
        <v>2</v>
      </c>
      <c r="AM6">
        <f ca="1">MIN(INT((SUM(AG6:$AI6)+N6*2/6)/OFFSET($AV$2,MATCH(AG$3,$AE$3:$AI$3,0),0)),6-SUM(AN6:$AO6))</f>
        <v>0</v>
      </c>
      <c r="AN6">
        <f ca="1">MIN(INT(SUM(AH6:$AI6)/OFFSET($AV$2,MATCH(AH$3,$AE$3:$AI$3,0),0)),6-SUM(AO6:$AO6))</f>
        <v>0</v>
      </c>
      <c r="AO6">
        <f ca="1">INT(SUM(AI5:$AI6)/OFFSET($AV$2,MATCH(AI$3,$AE$3:$AI$3,0),0))</f>
        <v>0</v>
      </c>
      <c r="AP6" cm="1">
        <f ca="1" t="array" ref="AP6">SUMPRODUCT(AJ6:AO6,TRANSPOSE($AS$3:$AS$8))</f>
        <v>1.3</v>
      </c>
      <c r="AR6" s="4" t="s">
        <v>120</v>
      </c>
      <c r="AS6" s="40">
        <v>0.32</v>
      </c>
      <c r="AT6" s="4">
        <v>0.08</v>
      </c>
      <c r="AU6" s="51">
        <f>0.32/5</f>
        <v>0.064</v>
      </c>
      <c r="AV6">
        <f t="shared" si="0"/>
        <v>5.20833333333333</v>
      </c>
    </row>
    <row r="7" ht="16.5" spans="1:48">
      <c r="A7" s="33">
        <v>4</v>
      </c>
      <c r="B7" s="42" t="s">
        <v>119</v>
      </c>
      <c r="C7" s="42">
        <v>16</v>
      </c>
      <c r="D7" s="43">
        <v>0.05</v>
      </c>
      <c r="E7" s="43">
        <v>0.1</v>
      </c>
      <c r="F7" s="44">
        <v>0.08</v>
      </c>
      <c r="G7" s="44">
        <v>0.16</v>
      </c>
      <c r="H7" s="44">
        <v>0.25</v>
      </c>
      <c r="I7" s="50">
        <v>0.2</v>
      </c>
      <c r="J7" s="44">
        <v>0.13</v>
      </c>
      <c r="K7" s="44">
        <v>0.15</v>
      </c>
      <c r="N7" s="2">
        <v>4</v>
      </c>
      <c r="O7" s="45">
        <f>产出预期!AN23</f>
        <v>545</v>
      </c>
      <c r="P7" s="2">
        <f ca="1">练度预期!M6</f>
        <v>17</v>
      </c>
      <c r="Q7" s="2" t="str">
        <f ca="1" t="shared" si="15"/>
        <v>蓝</v>
      </c>
      <c r="R7" s="46">
        <f ca="1" t="shared" si="16"/>
        <v>0.415512794215664</v>
      </c>
      <c r="S7" s="47">
        <f ca="1" t="shared" si="2"/>
        <v>15.2945405555556</v>
      </c>
      <c r="T7" s="47">
        <f ca="1">MIN(1+($O7*1.4+产出预期!AC23*60)/OFFSET($J$14,MATCH(T$3,$T$3:$W$3,0),0),18)</f>
        <v>1.51194444444444</v>
      </c>
      <c r="U7" s="47">
        <f ca="1">MIN(($O7*1.4+产出预期!$AC23*60)/OFFSET($J$14,MATCH(U$3,$T$3:$W$3,0),0),3)</f>
        <v>0.14744</v>
      </c>
      <c r="V7" s="47">
        <f ca="1">MIN(($O7*1.4+产出预期!$AC23*60)/OFFSET($J$14,MATCH(V$3,$T$3:$W$3,0),0),18)</f>
        <v>0.03686</v>
      </c>
      <c r="W7" s="47">
        <f ca="1">MIN(($O7*1.4+产出预期!$AC23*60)/OFFSET($J$14,MATCH(W$3,$T$3:$W$3,0),0),18)</f>
        <v>0.009215</v>
      </c>
      <c r="X7" s="47">
        <f ca="1" t="shared" si="3"/>
        <v>1.67533239504706</v>
      </c>
      <c r="Y7" s="47">
        <f ca="1" t="shared" si="4"/>
        <v>1.09209661853638</v>
      </c>
      <c r="Z7" s="47">
        <f ca="1" t="shared" si="5"/>
        <v>1.02212423550663</v>
      </c>
      <c r="AA7" s="47">
        <f ca="1" t="shared" si="6"/>
        <v>1.00351931151305</v>
      </c>
      <c r="AB7" s="47">
        <f ca="1" t="shared" si="7"/>
        <v>1.00104486933112</v>
      </c>
      <c r="AC7" s="48">
        <f ca="1" t="shared" si="8"/>
        <v>1.87864626363944</v>
      </c>
      <c r="AD7" s="47">
        <f t="shared" si="9"/>
        <v>136.25</v>
      </c>
      <c r="AE7" s="47">
        <f t="shared" si="10"/>
        <v>34.0625</v>
      </c>
      <c r="AF7" s="47">
        <f t="shared" si="11"/>
        <v>8.515625</v>
      </c>
      <c r="AG7" s="47">
        <f t="shared" si="12"/>
        <v>2.12890625</v>
      </c>
      <c r="AH7" s="47">
        <f t="shared" si="13"/>
        <v>0.5322265625</v>
      </c>
      <c r="AI7" s="47">
        <f t="shared" si="14"/>
        <v>0.133056640625</v>
      </c>
      <c r="AJ7">
        <f ca="1">MIN(INT(SUM(AD7:$AI7)/OFFSET($AV$2,MATCH(AD$3,$AE$3:$AI$3,0),0)),6-SUM(AK7:$AO7))</f>
        <v>0</v>
      </c>
      <c r="AK7">
        <f ca="1">MIN(INT(SUM(AE7:$AI7)/OFFSET($AV$2,MATCH(AE$3,$AE$3:$AI$3,0),0)),6-SUM(AL7:$AO7))</f>
        <v>3</v>
      </c>
      <c r="AL7">
        <f ca="1">MIN(INT(SUM(AF7:$AI7)/OFFSET($AV$2,MATCH(AF$3,$AE$3:$AI$3,0),0)),6-SUM(AM7:$AO7))</f>
        <v>3</v>
      </c>
      <c r="AM7">
        <f ca="1">MIN(INT((SUM(AG7:$AI7)+N7*2/6)/OFFSET($AV$2,MATCH(AG$3,$AE$3:$AI$3,0),0)),6-SUM(AN7:$AO7))</f>
        <v>0</v>
      </c>
      <c r="AN7">
        <f ca="1">MIN(INT(SUM(AH7:$AI7)/OFFSET($AV$2,MATCH(AH$3,$AE$3:$AI$3,0),0)),6-SUM(AO7:$AO7))</f>
        <v>0</v>
      </c>
      <c r="AO7">
        <f ca="1">INT(SUM(AI6:$AI7)/OFFSET($AV$2,MATCH(AI$3,$AE$3:$AI$3,0),0))</f>
        <v>0</v>
      </c>
      <c r="AP7" cm="1">
        <f ca="1" t="array" ref="AP7">SUMPRODUCT(AJ7:AO7,TRANSPOSE($AS$3:$AS$8))</f>
        <v>1.35</v>
      </c>
      <c r="AR7" s="4" t="s">
        <v>121</v>
      </c>
      <c r="AS7" s="40">
        <v>0.4</v>
      </c>
      <c r="AT7" s="4">
        <v>0.1</v>
      </c>
      <c r="AU7" s="51">
        <f>0.32/5</f>
        <v>0.064</v>
      </c>
      <c r="AV7">
        <f t="shared" si="0"/>
        <v>5.20833333333333</v>
      </c>
    </row>
    <row r="8" ht="16.5" spans="1:48">
      <c r="A8" s="33">
        <v>5</v>
      </c>
      <c r="B8" s="42" t="s">
        <v>120</v>
      </c>
      <c r="C8" s="42">
        <v>20</v>
      </c>
      <c r="D8" s="43">
        <v>0.06</v>
      </c>
      <c r="E8" s="43">
        <v>0.12</v>
      </c>
      <c r="F8" s="44">
        <v>0.1</v>
      </c>
      <c r="G8" s="44">
        <v>0.2</v>
      </c>
      <c r="H8" s="44">
        <v>0.31</v>
      </c>
      <c r="I8" s="44">
        <v>0.25</v>
      </c>
      <c r="J8" s="44">
        <v>0.32</v>
      </c>
      <c r="K8" s="44">
        <v>0.2</v>
      </c>
      <c r="N8" s="2">
        <v>5</v>
      </c>
      <c r="O8" s="45">
        <f>产出预期!AN24</f>
        <v>708</v>
      </c>
      <c r="P8" s="2">
        <f ca="1">练度预期!M7</f>
        <v>20</v>
      </c>
      <c r="Q8" s="2" t="str">
        <f ca="1" t="shared" si="15"/>
        <v>蓝</v>
      </c>
      <c r="R8" s="46">
        <f ca="1" t="shared" si="16"/>
        <v>0.487447478064352</v>
      </c>
      <c r="S8" s="47">
        <f ca="1" t="shared" si="2"/>
        <v>18.115324</v>
      </c>
      <c r="T8" s="47">
        <f ca="1">MIN(1+($O8*1.4+产出预期!AC24*60)/OFFSET($J$14,MATCH(T$3,$T$3:$W$3,0),0),18)</f>
        <v>1.642</v>
      </c>
      <c r="U8" s="47">
        <f ca="1">MIN(($O8*1.4+产出预期!$AC24*60)/OFFSET($J$14,MATCH(U$3,$T$3:$W$3,0),0),3)</f>
        <v>0.184896</v>
      </c>
      <c r="V8" s="47">
        <f ca="1">MIN(($O8*1.4+产出预期!$AC24*60)/OFFSET($J$14,MATCH(V$3,$T$3:$W$3,0),0),18)</f>
        <v>0.046224</v>
      </c>
      <c r="W8" s="47">
        <f ca="1">MIN(($O8*1.4+产出预期!$AC24*60)/OFFSET($J$14,MATCH(W$3,$T$3:$W$3,0),0),18)</f>
        <v>0.011556</v>
      </c>
      <c r="X8" s="47">
        <f ca="1" t="shared" si="3"/>
        <v>1.81291564998119</v>
      </c>
      <c r="Y8" s="47">
        <f ca="1" t="shared" si="4"/>
        <v>1.10040417830518</v>
      </c>
      <c r="Z8" s="47">
        <f ca="1" t="shared" si="5"/>
        <v>1.02782227234906</v>
      </c>
      <c r="AA8" s="47">
        <f ca="1" t="shared" si="6"/>
        <v>1.00441533675265</v>
      </c>
      <c r="AB8" s="47">
        <f ca="1" t="shared" si="7"/>
        <v>1.0013104842224</v>
      </c>
      <c r="AC8" s="48">
        <f ca="1" t="shared" si="8"/>
        <v>2.06219605692555</v>
      </c>
      <c r="AD8" s="47">
        <f t="shared" si="9"/>
        <v>177</v>
      </c>
      <c r="AE8" s="47">
        <f t="shared" si="10"/>
        <v>44.25</v>
      </c>
      <c r="AF8" s="47">
        <f t="shared" si="11"/>
        <v>11.0625</v>
      </c>
      <c r="AG8" s="47">
        <f t="shared" si="12"/>
        <v>2.765625</v>
      </c>
      <c r="AH8" s="47">
        <f t="shared" si="13"/>
        <v>0.69140625</v>
      </c>
      <c r="AI8" s="47">
        <f t="shared" si="14"/>
        <v>0.1728515625</v>
      </c>
      <c r="AJ8">
        <f ca="1">MIN(INT(SUM(AD8:$AI8)/OFFSET($AV$2,MATCH(AD$3,$AE$3:$AI$3,0),0)),6-SUM(AK8:$AO8))</f>
        <v>0</v>
      </c>
      <c r="AK8">
        <f ca="1">MIN(INT(SUM(AE8:$AI8)/OFFSET($AV$2,MATCH(AE$3,$AE$3:$AI$3,0),0)),6-SUM(AL8:$AO8))</f>
        <v>2</v>
      </c>
      <c r="AL8">
        <f ca="1">MIN(INT(SUM(AF8:$AI8)/OFFSET($AV$2,MATCH(AF$3,$AE$3:$AI$3,0),0)),6-SUM(AM8:$AO8))</f>
        <v>4</v>
      </c>
      <c r="AM8">
        <f ca="1">MIN(INT((SUM(AG8:$AI8)+N8*2/6)/OFFSET($AV$2,MATCH(AG$3,$AE$3:$AI$3,0),0)),6-SUM(AN8:$AO8))</f>
        <v>0</v>
      </c>
      <c r="AN8">
        <f ca="1">MIN(INT(SUM(AH8:$AI8)/OFFSET($AV$2,MATCH(AH$3,$AE$3:$AI$3,0),0)),6-SUM(AO8:$AO8))</f>
        <v>0</v>
      </c>
      <c r="AO8">
        <f ca="1">INT(SUM(AI7:$AI8)/OFFSET($AV$2,MATCH(AI$3,$AE$3:$AI$3,0),0))</f>
        <v>0</v>
      </c>
      <c r="AP8" cm="1">
        <f ca="1" t="array" ref="AP8">SUMPRODUCT(AJ8:AO8,TRANSPOSE($AS$3:$AS$8))</f>
        <v>1.4</v>
      </c>
      <c r="AR8" s="4" t="s">
        <v>122</v>
      </c>
      <c r="AS8" s="40">
        <v>0.5</v>
      </c>
      <c r="AT8" s="4"/>
      <c r="AU8" s="51">
        <f>0.32/5</f>
        <v>0.064</v>
      </c>
      <c r="AV8">
        <f t="shared" si="0"/>
        <v>5.20833333333333</v>
      </c>
    </row>
    <row r="9" ht="16.5" spans="1:48">
      <c r="A9" s="33">
        <v>6</v>
      </c>
      <c r="B9" s="42" t="s">
        <v>121</v>
      </c>
      <c r="C9" s="42">
        <v>24</v>
      </c>
      <c r="D9" s="43">
        <v>0.08</v>
      </c>
      <c r="E9" s="43">
        <v>0.16</v>
      </c>
      <c r="F9" s="44">
        <v>0.13</v>
      </c>
      <c r="G9" s="44">
        <v>0.26</v>
      </c>
      <c r="H9" s="44">
        <v>0.4</v>
      </c>
      <c r="I9" s="44">
        <v>0.32</v>
      </c>
      <c r="J9" s="44">
        <v>0.4</v>
      </c>
      <c r="K9" s="44">
        <v>0.25</v>
      </c>
      <c r="N9" s="2">
        <v>6</v>
      </c>
      <c r="O9" s="45">
        <f>产出预期!AN25</f>
        <v>826</v>
      </c>
      <c r="P9" s="2">
        <f ca="1">练度预期!M8</f>
        <v>20</v>
      </c>
      <c r="Q9" s="2" t="str">
        <f ca="1" t="shared" si="15"/>
        <v>蓝</v>
      </c>
      <c r="R9" s="46">
        <f ca="1" t="shared" si="16"/>
        <v>0.606626901305963</v>
      </c>
      <c r="S9" s="47">
        <f ca="1" t="shared" si="2"/>
        <v>17.9831891111111</v>
      </c>
      <c r="T9" s="47">
        <f ca="1">MIN(1+($O9*1.4+产出预期!AC25*60)/OFFSET($J$14,MATCH(T$3,$T$3:$W$3,0),0),18)</f>
        <v>1.73788888888889</v>
      </c>
      <c r="U9" s="47">
        <f ca="1">MIN(($O9*1.4+产出预期!$AC25*60)/OFFSET($J$14,MATCH(U$3,$T$3:$W$3,0),0),3)</f>
        <v>0.212512</v>
      </c>
      <c r="V9" s="47">
        <f ca="1">MIN(($O9*1.4+产出预期!$AC25*60)/OFFSET($J$14,MATCH(V$3,$T$3:$W$3,0),0),18)</f>
        <v>0.053128</v>
      </c>
      <c r="W9" s="47">
        <f ca="1">MIN(($O9*1.4+产出预期!$AC25*60)/OFFSET($J$14,MATCH(W$3,$T$3:$W$3,0),0),18)</f>
        <v>0.013282</v>
      </c>
      <c r="X9" s="47">
        <f ca="1" t="shared" si="3"/>
        <v>1.82841842730517</v>
      </c>
      <c r="Y9" s="47">
        <f ca="1" t="shared" si="4"/>
        <v>1.1065697199812</v>
      </c>
      <c r="Z9" s="47">
        <f ca="1" t="shared" si="5"/>
        <v>1.03204372167664</v>
      </c>
      <c r="AA9" s="47">
        <f ca="1" t="shared" si="6"/>
        <v>1.0050764811202</v>
      </c>
      <c r="AB9" s="47">
        <f ca="1" t="shared" si="7"/>
        <v>1.00150636502795</v>
      </c>
      <c r="AC9" s="48">
        <f ca="1" t="shared" si="8"/>
        <v>2.10186729295254</v>
      </c>
      <c r="AD9" s="47">
        <f t="shared" si="9"/>
        <v>206.5</v>
      </c>
      <c r="AE9" s="47">
        <f t="shared" si="10"/>
        <v>51.625</v>
      </c>
      <c r="AF9" s="47">
        <f t="shared" si="11"/>
        <v>12.90625</v>
      </c>
      <c r="AG9" s="47">
        <f t="shared" si="12"/>
        <v>3.2265625</v>
      </c>
      <c r="AH9" s="47">
        <f t="shared" si="13"/>
        <v>0.806640625</v>
      </c>
      <c r="AI9" s="47">
        <f t="shared" si="14"/>
        <v>0.20166015625</v>
      </c>
      <c r="AJ9">
        <f ca="1">MIN(INT(SUM(AD9:$AI9)/OFFSET($AV$2,MATCH(AD$3,$AE$3:$AI$3,0),0)),6-SUM(AK9:$AO9))</f>
        <v>0</v>
      </c>
      <c r="AK9">
        <f ca="1">MIN(INT(SUM(AE9:$AI9)/OFFSET($AV$2,MATCH(AE$3,$AE$3:$AI$3,0),0)),6-SUM(AL9:$AO9))</f>
        <v>2</v>
      </c>
      <c r="AL9">
        <f ca="1">MIN(INT(SUM(AF9:$AI9)/OFFSET($AV$2,MATCH(AF$3,$AE$3:$AI$3,0),0)),6-SUM(AM9:$AO9))</f>
        <v>4</v>
      </c>
      <c r="AM9">
        <f ca="1">MIN(INT((SUM(AG9:$AI9)+N9*2/6)/OFFSET($AV$2,MATCH(AG$3,$AE$3:$AI$3,0),0)),6-SUM(AN9:$AO9))</f>
        <v>0</v>
      </c>
      <c r="AN9">
        <f ca="1">MIN(INT(SUM(AH9:$AI9)/OFFSET($AV$2,MATCH(AH$3,$AE$3:$AI$3,0),0)),6-SUM(AO9:$AO9))</f>
        <v>0</v>
      </c>
      <c r="AO9">
        <f ca="1">INT(SUM(AI8:$AI9)/OFFSET($AV$2,MATCH(AI$3,$AE$3:$AI$3,0),0))</f>
        <v>0</v>
      </c>
      <c r="AP9" cm="1">
        <f ca="1" t="array" ref="AP9">SUMPRODUCT(AJ9:AO9,TRANSPOSE($AS$3:$AS$8))</f>
        <v>1.4</v>
      </c>
    </row>
    <row r="10" ht="16.5" spans="1:48">
      <c r="A10" s="33">
        <v>7</v>
      </c>
      <c r="B10" s="42" t="s">
        <v>123</v>
      </c>
      <c r="C10" s="42">
        <v>28</v>
      </c>
      <c r="D10" s="43">
        <v>0.1</v>
      </c>
      <c r="E10" s="43">
        <v>0.2</v>
      </c>
      <c r="F10" s="44">
        <v>0.16</v>
      </c>
      <c r="G10" s="44">
        <v>0.32</v>
      </c>
      <c r="H10" s="44">
        <v>0.5</v>
      </c>
      <c r="I10" s="44">
        <v>0.4</v>
      </c>
      <c r="J10" s="44">
        <v>0.5</v>
      </c>
      <c r="K10" s="44">
        <v>0.32</v>
      </c>
      <c r="N10" s="2">
        <v>7</v>
      </c>
      <c r="O10" s="45">
        <f>产出预期!AN26</f>
        <v>939</v>
      </c>
      <c r="P10" s="2">
        <f ca="1">练度预期!M9</f>
        <v>21</v>
      </c>
      <c r="Q10" s="2" t="str">
        <f ca="1" t="shared" si="15"/>
        <v>蓝</v>
      </c>
      <c r="R10" s="46">
        <f ca="1" t="shared" si="16"/>
        <v>0.671718534066922</v>
      </c>
      <c r="S10" s="47">
        <f ca="1" t="shared" si="2"/>
        <v>17.935067</v>
      </c>
      <c r="T10" s="47">
        <f ca="1">MIN(1+($O10*1.4+产出预期!AC26*60)/OFFSET($J$14,MATCH(T$3,$T$3:$W$3,0),0),18)</f>
        <v>2.4985</v>
      </c>
      <c r="U10" s="47">
        <f ca="1">MIN(($O10*1.4+产出预期!$AC26*60)/OFFSET($J$14,MATCH(U$3,$T$3:$W$3,0),0),3)</f>
        <v>0.431568</v>
      </c>
      <c r="V10" s="47">
        <f ca="1">MIN(($O10*1.4+产出预期!$AC26*60)/OFFSET($J$14,MATCH(V$3,$T$3:$W$3,0),0),18)</f>
        <v>0.107892</v>
      </c>
      <c r="W10" s="47">
        <f ca="1">MIN(($O10*1.4+产出预期!$AC26*60)/OFFSET($J$14,MATCH(W$3,$T$3:$W$3,0),0),18)</f>
        <v>0.026973</v>
      </c>
      <c r="X10" s="47">
        <f ca="1" t="shared" si="3"/>
        <v>1.83787584913632</v>
      </c>
      <c r="Y10" s="47">
        <f ca="1" t="shared" si="4"/>
        <v>1.15671589736437</v>
      </c>
      <c r="Z10" s="47">
        <f ca="1" t="shared" si="5"/>
        <v>1.06614924940804</v>
      </c>
      <c r="AA10" s="47">
        <f ca="1" t="shared" si="6"/>
        <v>1.01033625978009</v>
      </c>
      <c r="AB10" s="47">
        <f ca="1" t="shared" si="7"/>
        <v>1.0030614914508</v>
      </c>
      <c r="AC10" s="48">
        <f ca="1" t="shared" si="8"/>
        <v>2.2969650020128</v>
      </c>
      <c r="AD10" s="47">
        <f t="shared" si="9"/>
        <v>234.75</v>
      </c>
      <c r="AE10" s="47">
        <f t="shared" si="10"/>
        <v>58.6875</v>
      </c>
      <c r="AF10" s="47">
        <f t="shared" si="11"/>
        <v>14.671875</v>
      </c>
      <c r="AG10" s="47">
        <f t="shared" si="12"/>
        <v>3.66796875</v>
      </c>
      <c r="AH10" s="47">
        <f t="shared" si="13"/>
        <v>0.9169921875</v>
      </c>
      <c r="AI10" s="47">
        <f t="shared" si="14"/>
        <v>0.229248046875</v>
      </c>
      <c r="AJ10">
        <f ca="1">MIN(INT(SUM(AD10:$AI10)/OFFSET($AV$2,MATCH(AD$3,$AE$3:$AI$3,0),0)),6-SUM(AK10:$AO10))</f>
        <v>0</v>
      </c>
      <c r="AK10">
        <f ca="1">MIN(INT(SUM(AE10:$AI10)/OFFSET($AV$2,MATCH(AE$3,$AE$3:$AI$3,0),0)),6-SUM(AL10:$AO10))</f>
        <v>1</v>
      </c>
      <c r="AL10">
        <f ca="1">MIN(INT(SUM(AF10:$AI10)/OFFSET($AV$2,MATCH(AF$3,$AE$3:$AI$3,0),0)),6-SUM(AM10:$AO10))</f>
        <v>5</v>
      </c>
      <c r="AM10">
        <f ca="1">MIN(INT((SUM(AG10:$AI10)+N10*2/6)/OFFSET($AV$2,MATCH(AG$3,$AE$3:$AI$3,0),0)),6-SUM(AN10:$AO10))</f>
        <v>0</v>
      </c>
      <c r="AN10">
        <f ca="1">MIN(INT(SUM(AH10:$AI10)/OFFSET($AV$2,MATCH(AH$3,$AE$3:$AI$3,0),0)),6-SUM(AO10:$AO10))</f>
        <v>0</v>
      </c>
      <c r="AO10">
        <f ca="1">INT(SUM(AI9:$AI10)/OFFSET($AV$2,MATCH(AI$3,$AE$3:$AI$3,0),0))</f>
        <v>0</v>
      </c>
      <c r="AP10" cm="1">
        <f ca="1" t="array" ref="AP10">SUMPRODUCT(AJ10:AO10,TRANSPOSE($AS$3:$AS$8))</f>
        <v>1.45</v>
      </c>
    </row>
    <row r="11" ht="16.5" spans="1:48">
      <c r="N11" s="2">
        <v>8</v>
      </c>
      <c r="O11" s="45">
        <f>产出预期!AN27</f>
        <v>1024</v>
      </c>
      <c r="P11" s="2">
        <f ca="1">练度预期!M10</f>
        <v>22</v>
      </c>
      <c r="Q11" s="2" t="str">
        <f ca="1" t="shared" si="15"/>
        <v>蓝</v>
      </c>
      <c r="R11" s="46">
        <f ca="1" t="shared" si="16"/>
        <v>0.705605730844884</v>
      </c>
      <c r="S11" s="47">
        <f ca="1" t="shared" si="2"/>
        <v>18.8206164444444</v>
      </c>
      <c r="T11" s="47">
        <f ca="1">MIN(1+($O11*1.4+产出预期!AC27*60)/OFFSET($J$14,MATCH(T$3,$T$3:$W$3,0),0),18)</f>
        <v>2.58155555555556</v>
      </c>
      <c r="U11" s="47">
        <f ca="1">MIN(($O11*1.4+产出预期!$AC27*60)/OFFSET($J$14,MATCH(U$3,$T$3:$W$3,0),0),3)</f>
        <v>0.455488</v>
      </c>
      <c r="V11" s="47">
        <f ca="1">MIN(($O11*1.4+产出预期!$AC27*60)/OFFSET($J$14,MATCH(V$3,$T$3:$W$3,0),0),18)</f>
        <v>0.113872</v>
      </c>
      <c r="W11" s="47">
        <f ca="1">MIN(($O11*1.4+产出预期!$AC27*60)/OFFSET($J$14,MATCH(W$3,$T$3:$W$3,0),0),18)</f>
        <v>0.028468</v>
      </c>
      <c r="X11" s="47">
        <f ca="1" t="shared" si="3"/>
        <v>1.88562400599011</v>
      </c>
      <c r="Y11" s="47">
        <f ca="1" t="shared" si="4"/>
        <v>1.16232745712344</v>
      </c>
      <c r="Z11" s="47">
        <f ca="1" t="shared" si="5"/>
        <v>1.06994102623997</v>
      </c>
      <c r="AA11" s="47">
        <f ca="1" t="shared" si="6"/>
        <v>1.01091226999129</v>
      </c>
      <c r="AB11" s="47">
        <f ca="1" t="shared" si="7"/>
        <v>1.00323145093017</v>
      </c>
      <c r="AC11" s="48">
        <f ca="1" t="shared" si="8"/>
        <v>2.37825294251095</v>
      </c>
      <c r="AD11" s="47">
        <f t="shared" si="9"/>
        <v>256</v>
      </c>
      <c r="AE11" s="47">
        <f t="shared" si="10"/>
        <v>64</v>
      </c>
      <c r="AF11" s="47">
        <f t="shared" si="11"/>
        <v>16</v>
      </c>
      <c r="AG11" s="47">
        <f t="shared" si="12"/>
        <v>4</v>
      </c>
      <c r="AH11" s="47">
        <f t="shared" si="13"/>
        <v>1</v>
      </c>
      <c r="AI11" s="47">
        <f t="shared" si="14"/>
        <v>0.25</v>
      </c>
      <c r="AJ11">
        <f ca="1">MIN(INT(SUM(AD11:$AI11)/OFFSET($AV$2,MATCH(AD$3,$AE$3:$AI$3,0),0)),6-SUM(AK11:$AO11))</f>
        <v>0</v>
      </c>
      <c r="AK11">
        <f ca="1">MIN(INT(SUM(AE11:$AI11)/OFFSET($AV$2,MATCH(AE$3,$AE$3:$AI$3,0),0)),6-SUM(AL11:$AO11))</f>
        <v>0</v>
      </c>
      <c r="AL11">
        <f ca="1">MIN(INT(SUM(AF11:$AI11)/OFFSET($AV$2,MATCH(AF$3,$AE$3:$AI$3,0),0)),6-SUM(AM11:$AO11))</f>
        <v>5</v>
      </c>
      <c r="AM11">
        <f ca="1">MIN(INT((SUM(AG11:$AI11)+N11*2/6)/OFFSET($AV$2,MATCH(AG$3,$AE$3:$AI$3,0),0)),6-SUM(AN11:$AO11))</f>
        <v>1</v>
      </c>
      <c r="AN11">
        <f ca="1">MIN(INT(SUM(AH11:$AI11)/OFFSET($AV$2,MATCH(AH$3,$AE$3:$AI$3,0),0)),6-SUM(AO11:$AO11))</f>
        <v>0</v>
      </c>
      <c r="AO11">
        <f ca="1">INT(SUM(AI10:$AI11)/OFFSET($AV$2,MATCH(AI$3,$AE$3:$AI$3,0),0))</f>
        <v>0</v>
      </c>
      <c r="AP11" cm="1">
        <f ca="1" t="array" ref="AP11">SUMPRODUCT(AJ11:AO11,TRANSPOSE($AS$3:$AS$8))</f>
        <v>1.57</v>
      </c>
    </row>
    <row r="12" ht="16.5" spans="1:48">
      <c r="N12" s="2">
        <v>9</v>
      </c>
      <c r="O12" s="45">
        <f>产出预期!AN28</f>
        <v>1137</v>
      </c>
      <c r="P12" s="2">
        <f ca="1">练度预期!M11</f>
        <v>23</v>
      </c>
      <c r="Q12" s="2" t="str">
        <f ca="1" t="shared" si="15"/>
        <v>蓝</v>
      </c>
      <c r="R12" s="46">
        <f ca="1" t="shared" si="16"/>
        <v>0.757746828483408</v>
      </c>
      <c r="S12" s="47">
        <f ca="1" t="shared" si="2"/>
        <v>19.6681943333333</v>
      </c>
      <c r="T12" s="47">
        <f ca="1">MIN(1+($O12*1.4+产出预期!AC28*60)/OFFSET($J$14,MATCH(T$3,$T$3:$W$3,0),0),18)</f>
        <v>2.69216666666667</v>
      </c>
      <c r="U12" s="47">
        <f ca="1">MIN(($O12*1.4+产出预期!$AC28*60)/OFFSET($J$14,MATCH(U$3,$T$3:$W$3,0),0),3)</f>
        <v>0.487344</v>
      </c>
      <c r="V12" s="47">
        <f ca="1">MIN(($O12*1.4+产出预期!$AC28*60)/OFFSET($J$14,MATCH(V$3,$T$3:$W$3,0),0),18)</f>
        <v>0.121836</v>
      </c>
      <c r="W12" s="47">
        <f ca="1">MIN(($O12*1.4+产出预期!$AC28*60)/OFFSET($J$14,MATCH(W$3,$T$3:$W$3,0),0),18)</f>
        <v>0.030459</v>
      </c>
      <c r="X12" s="47">
        <f ca="1" t="shared" si="3"/>
        <v>1.93576289211412</v>
      </c>
      <c r="Y12" s="47">
        <f ca="1" t="shared" si="4"/>
        <v>1.1698430706386</v>
      </c>
      <c r="Z12" s="47">
        <f ca="1" t="shared" si="5"/>
        <v>1.07501175776364</v>
      </c>
      <c r="AA12" s="47">
        <f ca="1" t="shared" si="6"/>
        <v>1.0116798945207</v>
      </c>
      <c r="AB12" s="47">
        <f ca="1" t="shared" si="7"/>
        <v>1.00345784301914</v>
      </c>
      <c r="AC12" s="48">
        <f ca="1" t="shared" si="8"/>
        <v>2.47135555772161</v>
      </c>
      <c r="AD12" s="47">
        <f t="shared" si="9"/>
        <v>284.25</v>
      </c>
      <c r="AE12" s="47">
        <f t="shared" si="10"/>
        <v>71.0625</v>
      </c>
      <c r="AF12" s="47">
        <f t="shared" si="11"/>
        <v>17.765625</v>
      </c>
      <c r="AG12" s="47">
        <f t="shared" si="12"/>
        <v>4.44140625</v>
      </c>
      <c r="AH12" s="47">
        <f t="shared" si="13"/>
        <v>1.1103515625</v>
      </c>
      <c r="AI12" s="47">
        <f t="shared" si="14"/>
        <v>0.277587890625</v>
      </c>
      <c r="AJ12">
        <f ca="1">MIN(INT(SUM(AD12:$AI12)/OFFSET($AV$2,MATCH(AD$3,$AE$3:$AI$3,0),0)),6-SUM(AK12:$AO12))</f>
        <v>0</v>
      </c>
      <c r="AK12">
        <f ca="1">MIN(INT(SUM(AE12:$AI12)/OFFSET($AV$2,MATCH(AE$3,$AE$3:$AI$3,0),0)),6-SUM(AL12:$AO12))</f>
        <v>0</v>
      </c>
      <c r="AL12">
        <f ca="1">MIN(INT(SUM(AF12:$AI12)/OFFSET($AV$2,MATCH(AF$3,$AE$3:$AI$3,0),0)),6-SUM(AM12:$AO12))</f>
        <v>5</v>
      </c>
      <c r="AM12">
        <f ca="1">MIN(INT((SUM(AG12:$AI12)+N12*2/6)/OFFSET($AV$2,MATCH(AG$3,$AE$3:$AI$3,0),0)),6-SUM(AN12:$AO12))</f>
        <v>1</v>
      </c>
      <c r="AN12">
        <f ca="1">MIN(INT(SUM(AH12:$AI12)/OFFSET($AV$2,MATCH(AH$3,$AE$3:$AI$3,0),0)),6-SUM(AO12:$AO12))</f>
        <v>0</v>
      </c>
      <c r="AO12">
        <f ca="1">INT(SUM(AI11:$AI12)/OFFSET($AV$2,MATCH(AI$3,$AE$3:$AI$3,0),0))</f>
        <v>0</v>
      </c>
      <c r="AP12" cm="1">
        <f ca="1" t="array" ref="AP12">SUMPRODUCT(AJ12:AO12,TRANSPOSE($AS$3:$AS$8))</f>
        <v>1.57</v>
      </c>
    </row>
    <row r="13" ht="16.5" spans="1:48">
      <c r="N13" s="2">
        <v>10</v>
      </c>
      <c r="O13" s="45">
        <f>产出预期!AN29</f>
        <v>1250</v>
      </c>
      <c r="P13" s="2">
        <f ca="1">练度预期!M12</f>
        <v>23</v>
      </c>
      <c r="Q13" s="2" t="str">
        <f ca="1" t="shared" si="15"/>
        <v>蓝</v>
      </c>
      <c r="R13" s="46">
        <f ca="1" t="shared" si="16"/>
        <v>0.843024451936214</v>
      </c>
      <c r="S13" s="47">
        <f ca="1" t="shared" si="2"/>
        <v>19.5157722222222</v>
      </c>
      <c r="T13" s="47">
        <f ca="1">MIN(1+($O13*1.4+产出预期!AC29*60)/OFFSET($J$14,MATCH(T$3,$T$3:$W$3,0),0),18)</f>
        <v>2.80277777777778</v>
      </c>
      <c r="U13" s="47">
        <f ca="1">MIN(($O13*1.4+产出预期!$AC29*60)/OFFSET($J$14,MATCH(U$3,$T$3:$W$3,0),0),3)</f>
        <v>0.5192</v>
      </c>
      <c r="V13" s="47">
        <f ca="1">MIN(($O13*1.4+产出预期!$AC29*60)/OFFSET($J$14,MATCH(V$3,$T$3:$W$3,0),0),18)</f>
        <v>0.1298</v>
      </c>
      <c r="W13" s="47">
        <f ca="1">MIN(($O13*1.4+产出预期!$AC29*60)/OFFSET($J$14,MATCH(W$3,$T$3:$W$3,0),0),18)</f>
        <v>0.03245</v>
      </c>
      <c r="X13" s="47">
        <f ca="1" t="shared" si="3"/>
        <v>1.9451536207064</v>
      </c>
      <c r="Y13" s="47">
        <f ca="1" t="shared" si="4"/>
        <v>1.17740728013776</v>
      </c>
      <c r="Z13" s="47">
        <f ca="1" t="shared" si="5"/>
        <v>1.08010652081573</v>
      </c>
      <c r="AA13" s="47">
        <f ca="1" t="shared" si="6"/>
        <v>1.01244810193692</v>
      </c>
      <c r="AB13" s="47">
        <f ca="1" t="shared" si="7"/>
        <v>1.0036842861964</v>
      </c>
      <c r="AC13" s="48">
        <f ca="1" t="shared" si="8"/>
        <v>2.51372118976099</v>
      </c>
      <c r="AD13" s="47">
        <f t="shared" si="9"/>
        <v>312.5</v>
      </c>
      <c r="AE13" s="47">
        <f t="shared" si="10"/>
        <v>78.125</v>
      </c>
      <c r="AF13" s="47">
        <f t="shared" si="11"/>
        <v>19.53125</v>
      </c>
      <c r="AG13" s="47">
        <f t="shared" si="12"/>
        <v>4.8828125</v>
      </c>
      <c r="AH13" s="47">
        <f t="shared" si="13"/>
        <v>1.220703125</v>
      </c>
      <c r="AI13" s="47">
        <f t="shared" si="14"/>
        <v>0.30517578125</v>
      </c>
      <c r="AJ13">
        <f ca="1">MIN(INT(SUM(AD13:$AI13)/OFFSET($AV$2,MATCH(AD$3,$AE$3:$AI$3,0),0)),6-SUM(AK13:$AO13))</f>
        <v>0</v>
      </c>
      <c r="AK13">
        <f ca="1">MIN(INT(SUM(AE13:$AI13)/OFFSET($AV$2,MATCH(AE$3,$AE$3:$AI$3,0),0)),6-SUM(AL13:$AO13))</f>
        <v>0</v>
      </c>
      <c r="AL13">
        <f ca="1">MIN(INT(SUM(AF13:$AI13)/OFFSET($AV$2,MATCH(AF$3,$AE$3:$AI$3,0),0)),6-SUM(AM13:$AO13))</f>
        <v>5</v>
      </c>
      <c r="AM13">
        <f ca="1">MIN(INT((SUM(AG13:$AI13)+N13*2/6)/OFFSET($AV$2,MATCH(AG$3,$AE$3:$AI$3,0),0)),6-SUM(AN13:$AO13))</f>
        <v>1</v>
      </c>
      <c r="AN13">
        <f ca="1">MIN(INT(SUM(AH13:$AI13)/OFFSET($AV$2,MATCH(AH$3,$AE$3:$AI$3,0),0)),6-SUM(AO13:$AO13))</f>
        <v>0</v>
      </c>
      <c r="AO13">
        <f ca="1">INT(SUM(AI12:$AI13)/OFFSET($AV$2,MATCH(AI$3,$AE$3:$AI$3,0),0))</f>
        <v>0</v>
      </c>
      <c r="AP13" cm="1">
        <f ca="1" t="array" ref="AP13">SUMPRODUCT(AJ13:AO13,TRANSPOSE($AS$3:$AS$8))</f>
        <v>1.57</v>
      </c>
    </row>
    <row r="14" ht="16.5" spans="1:48">
      <c r="B14" s="52" t="s">
        <v>183</v>
      </c>
      <c r="C14" s="52" t="s">
        <v>83</v>
      </c>
      <c r="E14" s="52" t="s">
        <v>197</v>
      </c>
      <c r="F14" s="52" t="s">
        <v>198</v>
      </c>
      <c r="G14" s="52" t="s">
        <v>199</v>
      </c>
      <c r="I14" s="4" t="s">
        <v>198</v>
      </c>
      <c r="J14" s="4" t="s">
        <v>120</v>
      </c>
      <c r="N14" s="2">
        <v>11</v>
      </c>
      <c r="O14" s="45">
        <f>产出预期!AN30</f>
        <v>1363</v>
      </c>
      <c r="P14" s="2">
        <f ca="1">练度预期!M13</f>
        <v>24</v>
      </c>
      <c r="Q14" s="2" t="str">
        <f ca="1" t="shared" si="15"/>
        <v>蓝</v>
      </c>
      <c r="R14" s="46">
        <f ca="1" t="shared" si="16"/>
        <v>0.884006148256068</v>
      </c>
      <c r="S14" s="47">
        <f ca="1" t="shared" si="2"/>
        <v>20.3863167777778</v>
      </c>
      <c r="T14" s="47">
        <f ca="1">MIN(1+($O14*1.4+产出预期!AC30*60)/OFFSET($J$14,MATCH(T$3,$T$3:$W$3,0),0),18)</f>
        <v>2.89672222222222</v>
      </c>
      <c r="U14" s="47">
        <f ca="1">MIN(($O14*1.4+产出预期!$AC30*60)/OFFSET($J$14,MATCH(U$3,$T$3:$W$3,0),0),3)</f>
        <v>0.546256</v>
      </c>
      <c r="V14" s="47">
        <f ca="1">MIN(($O14*1.4+产出预期!$AC30*60)/OFFSET($J$14,MATCH(V$3,$T$3:$W$3,0),0),18)</f>
        <v>0.136564</v>
      </c>
      <c r="W14" s="47">
        <f ca="1">MIN(($O14*1.4+产出预期!$AC30*60)/OFFSET($J$14,MATCH(W$3,$T$3:$W$3,0),0),18)</f>
        <v>0.034141</v>
      </c>
      <c r="X14" s="47">
        <f ca="1" t="shared" si="3"/>
        <v>1.99566896482963</v>
      </c>
      <c r="Y14" s="47">
        <f ca="1" t="shared" si="4"/>
        <v>1.18387012772892</v>
      </c>
      <c r="Z14" s="47">
        <f ca="1" t="shared" si="5"/>
        <v>1.0844525726323</v>
      </c>
      <c r="AA14" s="47">
        <f ca="1" t="shared" si="6"/>
        <v>1.01310101544817</v>
      </c>
      <c r="AB14" s="47">
        <f ca="1" t="shared" si="7"/>
        <v>1.00387664948702</v>
      </c>
      <c r="AC14" s="48">
        <f ca="1" t="shared" si="8"/>
        <v>2.60577091538857</v>
      </c>
      <c r="AD14" s="47">
        <f t="shared" si="9"/>
        <v>340.75</v>
      </c>
      <c r="AE14" s="47">
        <f t="shared" si="10"/>
        <v>85.1875</v>
      </c>
      <c r="AF14" s="47">
        <f t="shared" si="11"/>
        <v>21.296875</v>
      </c>
      <c r="AG14" s="47">
        <f t="shared" si="12"/>
        <v>5.32421875</v>
      </c>
      <c r="AH14" s="47">
        <f t="shared" si="13"/>
        <v>1.3310546875</v>
      </c>
      <c r="AI14" s="47">
        <f t="shared" si="14"/>
        <v>0.332763671875</v>
      </c>
      <c r="AJ14">
        <f ca="1">MIN(INT(SUM(AD14:$AI14)/OFFSET($AV$2,MATCH(AD$3,$AE$3:$AI$3,0),0)),6-SUM(AK14:$AO14))</f>
        <v>0</v>
      </c>
      <c r="AK14">
        <f ca="1">MIN(INT(SUM(AE14:$AI14)/OFFSET($AV$2,MATCH(AE$3,$AE$3:$AI$3,0),0)),6-SUM(AL14:$AO14))</f>
        <v>0</v>
      </c>
      <c r="AL14">
        <f ca="1">MIN(INT(SUM(AF14:$AI14)/OFFSET($AV$2,MATCH(AF$3,$AE$3:$AI$3,0),0)),6-SUM(AM14:$AO14))</f>
        <v>5</v>
      </c>
      <c r="AM14">
        <f ca="1">MIN(INT((SUM(AG14:$AI14)+N14*2/6)/OFFSET($AV$2,MATCH(AG$3,$AE$3:$AI$3,0),0)),6-SUM(AN14:$AO14))</f>
        <v>1</v>
      </c>
      <c r="AN14">
        <f ca="1">MIN(INT(SUM(AH14:$AI14)/OFFSET($AV$2,MATCH(AH$3,$AE$3:$AI$3,0),0)),6-SUM(AO14:$AO14))</f>
        <v>0</v>
      </c>
      <c r="AO14">
        <f ca="1">INT(SUM(AI13:$AI14)/OFFSET($AV$2,MATCH(AI$3,$AE$3:$AI$3,0),0))</f>
        <v>0</v>
      </c>
      <c r="AP14" cm="1">
        <f ca="1" t="array" ref="AP14">SUMPRODUCT(AJ14:AO14,TRANSPOSE($AS$3:$AS$8))</f>
        <v>1.57</v>
      </c>
    </row>
    <row r="15" ht="16.5" spans="1:48">
      <c r="B15" s="52">
        <v>1</v>
      </c>
      <c r="C15" s="52">
        <v>6</v>
      </c>
      <c r="E15" s="52" t="s">
        <v>116</v>
      </c>
      <c r="F15" s="52">
        <v>1</v>
      </c>
      <c r="G15" s="52">
        <v>1</v>
      </c>
      <c r="I15" s="4">
        <v>3</v>
      </c>
      <c r="J15" s="4">
        <v>3600</v>
      </c>
      <c r="N15" s="2">
        <v>12</v>
      </c>
      <c r="O15" s="45">
        <f>产出预期!AN31</f>
        <v>1527</v>
      </c>
      <c r="P15" s="2">
        <f ca="1">练度预期!M14</f>
        <v>24</v>
      </c>
      <c r="Q15" s="2" t="str">
        <f ca="1" t="shared" si="15"/>
        <v>蓝</v>
      </c>
      <c r="R15" s="46">
        <f ca="1" t="shared" si="16"/>
        <v>0.994132016692977</v>
      </c>
      <c r="S15" s="47">
        <f ca="1" t="shared" si="2"/>
        <v>20.2065643333333</v>
      </c>
      <c r="T15" s="47">
        <f ca="1">MIN(1+($O15*1.4+产出预期!AC31*60)/OFFSET($J$14,MATCH(T$3,$T$3:$W$3,0),0),18)</f>
        <v>3.02716666666667</v>
      </c>
      <c r="U15" s="47">
        <f ca="1">MIN(($O15*1.4+产出预期!$AC31*60)/OFFSET($J$14,MATCH(U$3,$T$3:$W$3,0),0),3)</f>
        <v>0.583824</v>
      </c>
      <c r="V15" s="47">
        <f ca="1">MIN(($O15*1.4+产出预期!$AC31*60)/OFFSET($J$14,MATCH(V$3,$T$3:$W$3,0),0),18)</f>
        <v>0.145956</v>
      </c>
      <c r="W15" s="47">
        <f ca="1">MIN(($O15*1.4+产出预期!$AC31*60)/OFFSET($J$14,MATCH(W$3,$T$3:$W$3,0),0),18)</f>
        <v>0.036489</v>
      </c>
      <c r="X15" s="47">
        <f ca="1" t="shared" si="3"/>
        <v>2.00914249884466</v>
      </c>
      <c r="Y15" s="47">
        <f ca="1" t="shared" si="4"/>
        <v>1.19290283799622</v>
      </c>
      <c r="Z15" s="47">
        <f ca="1" t="shared" si="5"/>
        <v>1.09051619885292</v>
      </c>
      <c r="AA15" s="47">
        <f ca="1" t="shared" si="6"/>
        <v>1.0140083020926</v>
      </c>
      <c r="AB15" s="47">
        <f ca="1" t="shared" si="7"/>
        <v>1.00414381234396</v>
      </c>
      <c r="AC15" s="48">
        <f ca="1" t="shared" si="8"/>
        <v>2.66124807531525</v>
      </c>
      <c r="AD15" s="47">
        <f t="shared" si="9"/>
        <v>381.75</v>
      </c>
      <c r="AE15" s="47">
        <f t="shared" si="10"/>
        <v>95.4375</v>
      </c>
      <c r="AF15" s="47">
        <f t="shared" si="11"/>
        <v>23.859375</v>
      </c>
      <c r="AG15" s="47">
        <f t="shared" si="12"/>
        <v>5.96484375</v>
      </c>
      <c r="AH15" s="47">
        <f t="shared" si="13"/>
        <v>1.4912109375</v>
      </c>
      <c r="AI15" s="47">
        <f t="shared" si="14"/>
        <v>0.372802734375</v>
      </c>
      <c r="AJ15">
        <f ca="1">MIN(INT(SUM(AD15:$AI15)/OFFSET($AV$2,MATCH(AD$3,$AE$3:$AI$3,0),0)),6-SUM(AK15:$AO15))</f>
        <v>0</v>
      </c>
      <c r="AK15">
        <f ca="1">MIN(INT(SUM(AE15:$AI15)/OFFSET($AV$2,MATCH(AE$3,$AE$3:$AI$3,0),0)),6-SUM(AL15:$AO15))</f>
        <v>0</v>
      </c>
      <c r="AL15">
        <f ca="1">MIN(INT(SUM(AF15:$AI15)/OFFSET($AV$2,MATCH(AF$3,$AE$3:$AI$3,0),0)),6-SUM(AM15:$AO15))</f>
        <v>5</v>
      </c>
      <c r="AM15">
        <f ca="1">MIN(INT((SUM(AG15:$AI15)+N15*2/6)/OFFSET($AV$2,MATCH(AG$3,$AE$3:$AI$3,0),0)),6-SUM(AN15:$AO15))</f>
        <v>1</v>
      </c>
      <c r="AN15">
        <f ca="1">MIN(INT(SUM(AH15:$AI15)/OFFSET($AV$2,MATCH(AH$3,$AE$3:$AI$3,0),0)),6-SUM(AO15:$AO15))</f>
        <v>0</v>
      </c>
      <c r="AO15">
        <f ca="1">INT(SUM(AI14:$AI15)/OFFSET($AV$2,MATCH(AI$3,$AE$3:$AI$3,0),0))</f>
        <v>0</v>
      </c>
      <c r="AP15" cm="1">
        <f ca="1" t="array" ref="AP15">SUMPRODUCT(AJ15:AO15,TRANSPOSE($AS$3:$AS$8))</f>
        <v>1.57</v>
      </c>
    </row>
    <row r="16" ht="16.5" spans="1:48">
      <c r="B16" s="52">
        <v>2</v>
      </c>
      <c r="C16" s="52">
        <v>6</v>
      </c>
      <c r="E16" s="52" t="s">
        <v>117</v>
      </c>
      <c r="F16" s="52">
        <v>2</v>
      </c>
      <c r="G16" s="52">
        <f t="shared" ref="G16:G21" si="17">G15*4</f>
        <v>4</v>
      </c>
      <c r="I16" s="4">
        <v>4</v>
      </c>
      <c r="J16" s="4">
        <v>12500</v>
      </c>
      <c r="N16" s="2">
        <v>13</v>
      </c>
      <c r="O16" s="45">
        <f>产出预期!AN32</f>
        <v>1640</v>
      </c>
      <c r="P16" s="2">
        <f ca="1">练度预期!M15</f>
        <v>25</v>
      </c>
      <c r="Q16" s="2" t="str">
        <f ca="1" t="shared" si="15"/>
        <v>紫</v>
      </c>
      <c r="R16" s="46">
        <f ca="1" t="shared" si="16"/>
        <v>0.0124228365658292</v>
      </c>
      <c r="S16" s="47">
        <f ca="1" t="shared" si="2"/>
        <v>21.0771088888889</v>
      </c>
      <c r="T16" s="47">
        <f ca="1">MIN(1+($O16*1.4+产出预期!AC32*60)/OFFSET($J$14,MATCH(T$3,$T$3:$W$3,0),0),18)</f>
        <v>3.12111111111111</v>
      </c>
      <c r="U16" s="47">
        <f ca="1">MIN(($O16*1.4+产出预期!$AC32*60)/OFFSET($J$14,MATCH(U$3,$T$3:$W$3,0),0),3)</f>
        <v>0.61088</v>
      </c>
      <c r="V16" s="47">
        <f ca="1">MIN(($O16*1.4+产出预期!$AC32*60)/OFFSET($J$14,MATCH(V$3,$T$3:$W$3,0),0),18)</f>
        <v>0.15272</v>
      </c>
      <c r="W16" s="47">
        <f ca="1">MIN(($O16*1.4+产出预期!$AC32*60)/OFFSET($J$14,MATCH(W$3,$T$3:$W$3,0),0),18)</f>
        <v>0.03818</v>
      </c>
      <c r="X16" s="47">
        <f ca="1" t="shared" si="3"/>
        <v>2.05647381923451</v>
      </c>
      <c r="Y16" s="47">
        <f ca="1" t="shared" si="4"/>
        <v>1.27150846152067</v>
      </c>
      <c r="Z16" s="47">
        <f ca="1" t="shared" si="5"/>
        <v>1.11781578876916</v>
      </c>
      <c r="AA16" s="47">
        <f ca="1" t="shared" si="6"/>
        <v>1.01884035826546</v>
      </c>
      <c r="AB16" s="47">
        <f ca="1" t="shared" si="7"/>
        <v>1.00535037335727</v>
      </c>
      <c r="AC16" s="48">
        <f ca="1" t="shared" si="8"/>
        <v>2.99389291529845</v>
      </c>
      <c r="AD16" s="47">
        <f t="shared" si="9"/>
        <v>410</v>
      </c>
      <c r="AE16" s="47">
        <f t="shared" si="10"/>
        <v>102.5</v>
      </c>
      <c r="AF16" s="47">
        <f t="shared" si="11"/>
        <v>25.625</v>
      </c>
      <c r="AG16" s="47">
        <f t="shared" si="12"/>
        <v>6.40625</v>
      </c>
      <c r="AH16" s="47">
        <f t="shared" si="13"/>
        <v>1.6015625</v>
      </c>
      <c r="AI16" s="47">
        <f t="shared" si="14"/>
        <v>0.400390625</v>
      </c>
      <c r="AJ16">
        <f ca="1">MIN(INT(SUM(AD16:$AI16)/OFFSET($AV$2,MATCH(AD$3,$AE$3:$AI$3,0),0)),6-SUM(AK16:$AO16))</f>
        <v>0</v>
      </c>
      <c r="AK16">
        <f ca="1">MIN(INT(SUM(AE16:$AI16)/OFFSET($AV$2,MATCH(AE$3,$AE$3:$AI$3,0),0)),6-SUM(AL16:$AO16))</f>
        <v>0</v>
      </c>
      <c r="AL16">
        <f ca="1">MIN(INT(SUM(AF16:$AI16)/OFFSET($AV$2,MATCH(AF$3,$AE$3:$AI$3,0),0)),6-SUM(AM16:$AO16))</f>
        <v>5</v>
      </c>
      <c r="AM16">
        <f ca="1">MIN(INT((SUM(AG16:$AI16)+N16*2/6)/OFFSET($AV$2,MATCH(AG$3,$AE$3:$AI$3,0),0)),6-SUM(AN16:$AO16))</f>
        <v>1</v>
      </c>
      <c r="AN16">
        <f ca="1">MIN(INT(SUM(AH16:$AI16)/OFFSET($AV$2,MATCH(AH$3,$AE$3:$AI$3,0),0)),6-SUM(AO16:$AO16))</f>
        <v>0</v>
      </c>
      <c r="AO16">
        <f ca="1">INT(SUM(AI15:$AI16)/OFFSET($AV$2,MATCH(AI$3,$AE$3:$AI$3,0),0))</f>
        <v>0</v>
      </c>
      <c r="AP16" cm="1">
        <f ca="1" t="array" ref="AP16">SUMPRODUCT(AJ16:AO16,TRANSPOSE($AS$3:$AS$8))</f>
        <v>1.57</v>
      </c>
    </row>
    <row r="17" ht="16.5" spans="2:42">
      <c r="B17" s="52">
        <v>3</v>
      </c>
      <c r="C17" s="52">
        <v>6</v>
      </c>
      <c r="E17" s="52" t="s">
        <v>118</v>
      </c>
      <c r="F17" s="52">
        <v>3</v>
      </c>
      <c r="G17" s="52">
        <f t="shared" si="17"/>
        <v>16</v>
      </c>
      <c r="I17" s="4">
        <v>5</v>
      </c>
      <c r="J17" s="4">
        <v>50000</v>
      </c>
      <c r="N17" s="2">
        <v>14</v>
      </c>
      <c r="O17" s="45">
        <f>产出预期!AN33</f>
        <v>1753</v>
      </c>
      <c r="P17" s="2">
        <f ca="1">练度预期!M16</f>
        <v>25</v>
      </c>
      <c r="Q17" s="2" t="str">
        <f ca="1" t="shared" si="15"/>
        <v>紫</v>
      </c>
      <c r="R17" s="46">
        <f ca="1" t="shared" si="16"/>
        <v>0.0467210707729162</v>
      </c>
      <c r="S17" s="47">
        <f ca="1" t="shared" si="2"/>
        <v>20.9246867777778</v>
      </c>
      <c r="T17" s="47">
        <f ca="1">MIN(1+($O17*1.4+产出预期!AC33*60)/OFFSET($J$14,MATCH(T$3,$T$3:$W$3,0),0),18)</f>
        <v>3.23172222222222</v>
      </c>
      <c r="U17" s="47">
        <f ca="1">MIN(($O17*1.4+产出预期!$AC33*60)/OFFSET($J$14,MATCH(U$3,$T$3:$W$3,0),0),3)</f>
        <v>0.642736</v>
      </c>
      <c r="V17" s="47">
        <f ca="1">MIN(($O17*1.4+产出预期!$AC33*60)/OFFSET($J$14,MATCH(V$3,$T$3:$W$3,0),0),18)</f>
        <v>0.160684</v>
      </c>
      <c r="W17" s="47">
        <f ca="1">MIN(($O17*1.4+产出预期!$AC33*60)/OFFSET($J$14,MATCH(W$3,$T$3:$W$3,0),0),18)</f>
        <v>0.040171</v>
      </c>
      <c r="X17" s="47">
        <f ca="1" t="shared" si="3"/>
        <v>2.05601057660735</v>
      </c>
      <c r="Y17" s="47">
        <f ca="1" t="shared" si="4"/>
        <v>1.28237869255187</v>
      </c>
      <c r="Z17" s="47">
        <f ca="1" t="shared" si="5"/>
        <v>1.12432699291636</v>
      </c>
      <c r="AA17" s="47">
        <f ca="1" t="shared" si="6"/>
        <v>1.01983252036772</v>
      </c>
      <c r="AB17" s="47">
        <f ca="1" t="shared" si="7"/>
        <v>1.00563016713842</v>
      </c>
      <c r="AC17" s="48">
        <f ca="1" t="shared" si="8"/>
        <v>3.04019489007413</v>
      </c>
      <c r="AD17" s="47">
        <f t="shared" si="9"/>
        <v>438.25</v>
      </c>
      <c r="AE17" s="47">
        <f t="shared" si="10"/>
        <v>109.5625</v>
      </c>
      <c r="AF17" s="47">
        <f t="shared" si="11"/>
        <v>27.390625</v>
      </c>
      <c r="AG17" s="47">
        <f t="shared" si="12"/>
        <v>6.84765625</v>
      </c>
      <c r="AH17" s="47">
        <f t="shared" si="13"/>
        <v>1.7119140625</v>
      </c>
      <c r="AI17" s="47">
        <f t="shared" si="14"/>
        <v>0.427978515625</v>
      </c>
      <c r="AJ17">
        <f ca="1">MIN(INT(SUM(AD17:$AI17)/OFFSET($AV$2,MATCH(AD$3,$AE$3:$AI$3,0),0)),6-SUM(AK17:$AO17))</f>
        <v>0</v>
      </c>
      <c r="AK17">
        <f ca="1">MIN(INT(SUM(AE17:$AI17)/OFFSET($AV$2,MATCH(AE$3,$AE$3:$AI$3,0),0)),6-SUM(AL17:$AO17))</f>
        <v>0</v>
      </c>
      <c r="AL17">
        <f ca="1">MIN(INT(SUM(AF17:$AI17)/OFFSET($AV$2,MATCH(AF$3,$AE$3:$AI$3,0),0)),6-SUM(AM17:$AO17))</f>
        <v>5</v>
      </c>
      <c r="AM17">
        <f ca="1">MIN(INT((SUM(AG17:$AI17)+N17*2/6)/OFFSET($AV$2,MATCH(AG$3,$AE$3:$AI$3,0),0)),6-SUM(AN17:$AO17))</f>
        <v>1</v>
      </c>
      <c r="AN17">
        <f ca="1">MIN(INT(SUM(AH17:$AI17)/OFFSET($AV$2,MATCH(AH$3,$AE$3:$AI$3,0),0)),6-SUM(AO17:$AO17))</f>
        <v>0</v>
      </c>
      <c r="AO17">
        <f ca="1">INT(SUM(AI16:$AI17)/OFFSET($AV$2,MATCH(AI$3,$AE$3:$AI$3,0),0))</f>
        <v>0</v>
      </c>
      <c r="AP17" cm="1">
        <f ca="1" t="array" ref="AP17">SUMPRODUCT(AJ17:AO17,TRANSPOSE($AS$3:$AS$8))</f>
        <v>1.57</v>
      </c>
    </row>
    <row r="18" ht="16.5" spans="2:42">
      <c r="B18" s="52">
        <v>4</v>
      </c>
      <c r="C18" s="52">
        <v>6</v>
      </c>
      <c r="E18" s="52" t="s">
        <v>119</v>
      </c>
      <c r="F18" s="52">
        <v>4</v>
      </c>
      <c r="G18" s="52">
        <f t="shared" si="17"/>
        <v>64</v>
      </c>
      <c r="I18" s="4">
        <v>6</v>
      </c>
      <c r="J18" s="4">
        <f>J17*4</f>
        <v>200000</v>
      </c>
      <c r="N18" s="2">
        <v>15</v>
      </c>
      <c r="O18" s="45">
        <f>产出预期!AN34</f>
        <v>1838</v>
      </c>
      <c r="P18" s="2">
        <f ca="1">练度预期!M17</f>
        <v>26</v>
      </c>
      <c r="Q18" s="2" t="str">
        <f ca="1" t="shared" si="15"/>
        <v>紫</v>
      </c>
      <c r="R18" s="46">
        <f ca="1" t="shared" si="16"/>
        <v>0.0509839711871478</v>
      </c>
      <c r="S18" s="47">
        <f ca="1" t="shared" si="2"/>
        <v>21.8102362222222</v>
      </c>
      <c r="T18" s="47">
        <f ca="1">MIN(1+($O18*1.4+产出预期!AC34*60)/OFFSET($J$14,MATCH(T$3,$T$3:$W$3,0),0),18)</f>
        <v>3.31477777777778</v>
      </c>
      <c r="U18" s="47">
        <f ca="1">MIN(($O18*1.4+产出预期!$AC34*60)/OFFSET($J$14,MATCH(U$3,$T$3:$W$3,0),0),3)</f>
        <v>0.666656</v>
      </c>
      <c r="V18" s="47">
        <f ca="1">MIN(($O18*1.4+产出预期!$AC34*60)/OFFSET($J$14,MATCH(V$3,$T$3:$W$3,0),0),18)</f>
        <v>0.166664</v>
      </c>
      <c r="W18" s="47">
        <f ca="1">MIN(($O18*1.4+产出预期!$AC34*60)/OFFSET($J$14,MATCH(W$3,$T$3:$W$3,0),0),18)</f>
        <v>0.041666</v>
      </c>
      <c r="X18" s="47">
        <f ca="1" t="shared" si="3"/>
        <v>2.1016315356625</v>
      </c>
      <c r="Y18" s="47">
        <f ca="1" t="shared" si="4"/>
        <v>1.290601964802</v>
      </c>
      <c r="Z18" s="47">
        <f ca="1" t="shared" si="5"/>
        <v>1.1292410385486</v>
      </c>
      <c r="AA18" s="47">
        <f ca="1" t="shared" si="6"/>
        <v>1.02057814907832</v>
      </c>
      <c r="AB18" s="47">
        <f ca="1" t="shared" si="7"/>
        <v>1.00584030958575</v>
      </c>
      <c r="AC18" s="48">
        <f ca="1" t="shared" si="8"/>
        <v>3.14420499412782</v>
      </c>
      <c r="AD18" s="47">
        <f t="shared" si="9"/>
        <v>459.5</v>
      </c>
      <c r="AE18" s="47">
        <f t="shared" si="10"/>
        <v>114.875</v>
      </c>
      <c r="AF18" s="47">
        <f t="shared" si="11"/>
        <v>28.71875</v>
      </c>
      <c r="AG18" s="47">
        <f t="shared" si="12"/>
        <v>7.1796875</v>
      </c>
      <c r="AH18" s="47">
        <f t="shared" si="13"/>
        <v>1.794921875</v>
      </c>
      <c r="AI18" s="47">
        <f t="shared" si="14"/>
        <v>0.44873046875</v>
      </c>
      <c r="AJ18">
        <f ca="1">MIN(INT(SUM(AD18:$AI18)/OFFSET($AV$2,MATCH(AD$3,$AE$3:$AI$3,0),0)),6-SUM(AK18:$AO18))</f>
        <v>0</v>
      </c>
      <c r="AK18">
        <f ca="1">MIN(INT(SUM(AE18:$AI18)/OFFSET($AV$2,MATCH(AE$3,$AE$3:$AI$3,0),0)),6-SUM(AL18:$AO18))</f>
        <v>0</v>
      </c>
      <c r="AL18">
        <f ca="1">MIN(INT(SUM(AF18:$AI18)/OFFSET($AV$2,MATCH(AF$3,$AE$3:$AI$3,0),0)),6-SUM(AM18:$AO18))</f>
        <v>5</v>
      </c>
      <c r="AM18">
        <f ca="1">MIN(INT((SUM(AG18:$AI18)+N18*2/6)/OFFSET($AV$2,MATCH(AG$3,$AE$3:$AI$3,0),0)),6-SUM(AN18:$AO18))</f>
        <v>1</v>
      </c>
      <c r="AN18">
        <f ca="1">MIN(INT(SUM(AH18:$AI18)/OFFSET($AV$2,MATCH(AH$3,$AE$3:$AI$3,0),0)),6-SUM(AO18:$AO18))</f>
        <v>0</v>
      </c>
      <c r="AO18">
        <f ca="1">INT(SUM(AI17:$AI18)/OFFSET($AV$2,MATCH(AI$3,$AE$3:$AI$3,0),0))</f>
        <v>0</v>
      </c>
      <c r="AP18" cm="1">
        <f ca="1" t="array" ref="AP18">SUMPRODUCT(AJ18:AO18,TRANSPOSE($AS$3:$AS$8))</f>
        <v>1.57</v>
      </c>
    </row>
    <row r="19" ht="16.5" spans="2:42">
      <c r="B19" s="52">
        <v>5</v>
      </c>
      <c r="C19" s="52">
        <v>6</v>
      </c>
      <c r="E19" s="52" t="s">
        <v>120</v>
      </c>
      <c r="F19" s="52">
        <v>5</v>
      </c>
      <c r="G19" s="52">
        <f t="shared" si="17"/>
        <v>256</v>
      </c>
      <c r="N19" s="2">
        <v>16</v>
      </c>
      <c r="O19" s="45">
        <f>产出预期!AN35</f>
        <v>1946</v>
      </c>
      <c r="P19" s="2">
        <f ca="1">练度预期!M18</f>
        <v>26</v>
      </c>
      <c r="Q19" s="2" t="str">
        <f ca="1" t="shared" si="15"/>
        <v>紫</v>
      </c>
      <c r="R19" s="46">
        <f ca="1" t="shared" si="16"/>
        <v>0.0814208957876457</v>
      </c>
      <c r="S19" s="47">
        <f ca="1" t="shared" si="2"/>
        <v>21.6604935555556</v>
      </c>
      <c r="T19" s="47">
        <f ca="1">MIN(1+($O19*1.4+产出预期!AC35*60)/OFFSET($J$14,MATCH(T$3,$T$3:$W$3,0),0),18)</f>
        <v>3.42344444444444</v>
      </c>
      <c r="U19" s="47">
        <f ca="1">MIN(($O19*1.4+产出预期!$AC35*60)/OFFSET($J$14,MATCH(U$3,$T$3:$W$3,0),0),3)</f>
        <v>0.697952</v>
      </c>
      <c r="V19" s="47">
        <f ca="1">MIN(($O19*1.4+产出预期!$AC35*60)/OFFSET($J$14,MATCH(V$3,$T$3:$W$3,0),0),18)</f>
        <v>0.174488</v>
      </c>
      <c r="W19" s="47">
        <f ca="1">MIN(($O19*1.4+产出预期!$AC35*60)/OFFSET($J$14,MATCH(W$3,$T$3:$W$3,0),0),18)</f>
        <v>0.043622</v>
      </c>
      <c r="X19" s="47">
        <f ca="1" t="shared" si="3"/>
        <v>2.10066084566274</v>
      </c>
      <c r="Y19" s="47">
        <f ca="1" t="shared" si="4"/>
        <v>1.30144065720058</v>
      </c>
      <c r="Z19" s="47">
        <f ca="1" t="shared" si="5"/>
        <v>1.13570283277095</v>
      </c>
      <c r="AA19" s="47">
        <f ca="1" t="shared" si="6"/>
        <v>1.02155452404135</v>
      </c>
      <c r="AB19" s="47">
        <f ca="1" t="shared" si="7"/>
        <v>1.00611531812435</v>
      </c>
      <c r="AC19" s="48">
        <f ca="1" t="shared" si="8"/>
        <v>3.19120227117722</v>
      </c>
      <c r="AD19" s="47">
        <f t="shared" si="9"/>
        <v>486.5</v>
      </c>
      <c r="AE19" s="47">
        <f t="shared" si="10"/>
        <v>121.625</v>
      </c>
      <c r="AF19" s="47">
        <f t="shared" si="11"/>
        <v>30.40625</v>
      </c>
      <c r="AG19" s="47">
        <f t="shared" si="12"/>
        <v>7.6015625</v>
      </c>
      <c r="AH19" s="47">
        <f t="shared" si="13"/>
        <v>1.900390625</v>
      </c>
      <c r="AI19" s="47">
        <f t="shared" si="14"/>
        <v>0.47509765625</v>
      </c>
      <c r="AJ19">
        <f ca="1">MIN(INT(SUM(AD19:$AI19)/OFFSET($AV$2,MATCH(AD$3,$AE$3:$AI$3,0),0)),6-SUM(AK19:$AO19))</f>
        <v>0</v>
      </c>
      <c r="AK19">
        <f ca="1">MIN(INT(SUM(AE19:$AI19)/OFFSET($AV$2,MATCH(AE$3,$AE$3:$AI$3,0),0)),6-SUM(AL19:$AO19))</f>
        <v>0</v>
      </c>
      <c r="AL19">
        <f ca="1">MIN(INT(SUM(AF19:$AI19)/OFFSET($AV$2,MATCH(AF$3,$AE$3:$AI$3,0),0)),6-SUM(AM19:$AO19))</f>
        <v>4</v>
      </c>
      <c r="AM19">
        <f ca="1">MIN(INT((SUM(AG19:$AI19)+N19*2/6)/OFFSET($AV$2,MATCH(AG$3,$AE$3:$AI$3,0),0)),6-SUM(AN19:$AO19))</f>
        <v>2</v>
      </c>
      <c r="AN19">
        <f ca="1">MIN(INT(SUM(AH19:$AI19)/OFFSET($AV$2,MATCH(AH$3,$AE$3:$AI$3,0),0)),6-SUM(AO19:$AO19))</f>
        <v>0</v>
      </c>
      <c r="AO19">
        <f ca="1">INT(SUM(AI18:$AI19)/OFFSET($AV$2,MATCH(AI$3,$AE$3:$AI$3,0),0))</f>
        <v>0</v>
      </c>
      <c r="AP19" cm="1">
        <f ca="1" t="array" ref="AP19">SUMPRODUCT(AJ19:AO19,TRANSPOSE($AS$3:$AS$8))</f>
        <v>1.64</v>
      </c>
    </row>
    <row r="20" ht="16.5" spans="2:42">
      <c r="B20" s="52">
        <v>6</v>
      </c>
      <c r="C20" s="52">
        <v>6</v>
      </c>
      <c r="E20" s="52" t="s">
        <v>121</v>
      </c>
      <c r="F20" s="52">
        <v>6</v>
      </c>
      <c r="G20" s="52">
        <f t="shared" si="17"/>
        <v>1024</v>
      </c>
      <c r="N20" s="2">
        <v>17</v>
      </c>
      <c r="O20" s="45">
        <f>产出预期!AN36</f>
        <v>2059</v>
      </c>
      <c r="P20" s="2">
        <f ca="1">练度预期!M19</f>
        <v>27</v>
      </c>
      <c r="Q20" s="2" t="str">
        <f ca="1" t="shared" si="15"/>
        <v>紫</v>
      </c>
      <c r="R20" s="46">
        <f ca="1" t="shared" si="16"/>
        <v>0.0915818457293645</v>
      </c>
      <c r="S20" s="47">
        <f ca="1" t="shared" si="2"/>
        <v>22.5310381111111</v>
      </c>
      <c r="T20" s="47">
        <f ca="1">MIN(1+($O20*1.4+产出预期!AC36*60)/OFFSET($J$14,MATCH(T$3,$T$3:$W$3,0),0),18)</f>
        <v>3.51738888888889</v>
      </c>
      <c r="U20" s="47">
        <f ca="1">MIN(($O20*1.4+产出预期!$AC36*60)/OFFSET($J$14,MATCH(U$3,$T$3:$W$3,0),0),3)</f>
        <v>0.725008</v>
      </c>
      <c r="V20" s="47">
        <f ca="1">MIN(($O20*1.4+产出预期!$AC36*60)/OFFSET($J$14,MATCH(V$3,$T$3:$W$3,0),0),18)</f>
        <v>0.181252</v>
      </c>
      <c r="W20" s="47">
        <f ca="1">MIN(($O20*1.4+产出预期!$AC36*60)/OFFSET($J$14,MATCH(W$3,$T$3:$W$3,0),0),18)</f>
        <v>0.045313</v>
      </c>
      <c r="X20" s="47">
        <f ca="1" t="shared" si="3"/>
        <v>2.1471862461197</v>
      </c>
      <c r="Y20" s="47">
        <f ca="1" t="shared" si="4"/>
        <v>1.31088425192243</v>
      </c>
      <c r="Z20" s="47">
        <f ca="1" t="shared" si="5"/>
        <v>1.14131897275302</v>
      </c>
      <c r="AA20" s="47">
        <f ca="1" t="shared" si="6"/>
        <v>1.02239937196584</v>
      </c>
      <c r="AB20" s="47">
        <f ca="1" t="shared" si="7"/>
        <v>1.00635312894826</v>
      </c>
      <c r="AC20" s="48">
        <f ca="1" t="shared" si="8"/>
        <v>3.30530906650198</v>
      </c>
      <c r="AD20" s="47">
        <f t="shared" si="9"/>
        <v>514.75</v>
      </c>
      <c r="AE20" s="47">
        <f t="shared" si="10"/>
        <v>128.6875</v>
      </c>
      <c r="AF20" s="47">
        <f t="shared" si="11"/>
        <v>32.171875</v>
      </c>
      <c r="AG20" s="47">
        <f t="shared" si="12"/>
        <v>8.04296875</v>
      </c>
      <c r="AH20" s="47">
        <f t="shared" si="13"/>
        <v>2.0107421875</v>
      </c>
      <c r="AI20" s="47">
        <f t="shared" si="14"/>
        <v>0.502685546875</v>
      </c>
      <c r="AJ20">
        <f ca="1">MIN(INT(SUM(AD20:$AI20)/OFFSET($AV$2,MATCH(AD$3,$AE$3:$AI$3,0),0)),6-SUM(AK20:$AO20))</f>
        <v>0</v>
      </c>
      <c r="AK20">
        <f ca="1">MIN(INT(SUM(AE20:$AI20)/OFFSET($AV$2,MATCH(AE$3,$AE$3:$AI$3,0),0)),6-SUM(AL20:$AO20))</f>
        <v>0</v>
      </c>
      <c r="AL20">
        <f ca="1">MIN(INT(SUM(AF20:$AI20)/OFFSET($AV$2,MATCH(AF$3,$AE$3:$AI$3,0),0)),6-SUM(AM20:$AO20))</f>
        <v>4</v>
      </c>
      <c r="AM20">
        <f ca="1">MIN(INT((SUM(AG20:$AI20)+N20*2/6)/OFFSET($AV$2,MATCH(AG$3,$AE$3:$AI$3,0),0)),6-SUM(AN20:$AO20))</f>
        <v>2</v>
      </c>
      <c r="AN20">
        <f ca="1">MIN(INT(SUM(AH20:$AI20)/OFFSET($AV$2,MATCH(AH$3,$AE$3:$AI$3,0),0)),6-SUM(AO20:$AO20))</f>
        <v>0</v>
      </c>
      <c r="AO20">
        <f ca="1">INT(SUM(AI19:$AI20)/OFFSET($AV$2,MATCH(AI$3,$AE$3:$AI$3,0),0))</f>
        <v>0</v>
      </c>
      <c r="AP20" cm="1">
        <f ca="1" t="array" ref="AP20">SUMPRODUCT(AJ20:AO20,TRANSPOSE($AS$3:$AS$8))</f>
        <v>1.64</v>
      </c>
    </row>
    <row r="21" ht="16.5" spans="2:42">
      <c r="B21" s="52">
        <v>7</v>
      </c>
      <c r="C21" s="52">
        <v>7</v>
      </c>
      <c r="E21" s="52" t="s">
        <v>123</v>
      </c>
      <c r="F21" s="52">
        <v>7</v>
      </c>
      <c r="G21" s="52">
        <f t="shared" si="17"/>
        <v>4096</v>
      </c>
      <c r="N21" s="2">
        <v>18</v>
      </c>
      <c r="O21" s="45">
        <f>产出预期!AN37</f>
        <v>2172</v>
      </c>
      <c r="P21" s="2">
        <f ca="1">练度预期!M20</f>
        <v>27</v>
      </c>
      <c r="Q21" s="2" t="str">
        <f ca="1" t="shared" si="15"/>
        <v>紫</v>
      </c>
      <c r="R21" s="46">
        <f ca="1" t="shared" si="16"/>
        <v>0.121135337256143</v>
      </c>
      <c r="S21" s="47">
        <f ca="1" t="shared" si="2"/>
        <v>22.378616</v>
      </c>
      <c r="T21" s="47">
        <f ca="1">MIN(1+($O21*1.4+产出预期!AC37*60)/OFFSET($J$14,MATCH(T$3,$T$3:$W$3,0),0),18)</f>
        <v>3.628</v>
      </c>
      <c r="U21" s="47">
        <f ca="1">MIN(($O21*1.4+产出预期!$AC37*60)/OFFSET($J$14,MATCH(U$3,$T$3:$W$3,0),0),3)</f>
        <v>0.756864</v>
      </c>
      <c r="V21" s="47">
        <f ca="1">MIN(($O21*1.4+产出预期!$AC37*60)/OFFSET($J$14,MATCH(V$3,$T$3:$W$3,0),0),18)</f>
        <v>0.189216</v>
      </c>
      <c r="W21" s="47">
        <f ca="1">MIN(($O21*1.4+产出预期!$AC37*60)/OFFSET($J$14,MATCH(W$3,$T$3:$W$3,0),0),18)</f>
        <v>0.047304</v>
      </c>
      <c r="X21" s="47">
        <f ca="1" t="shared" si="3"/>
        <v>2.14603921196486</v>
      </c>
      <c r="Y21" s="47">
        <f ca="1" t="shared" si="4"/>
        <v>1.32209110984338</v>
      </c>
      <c r="Z21" s="47">
        <f ca="1" t="shared" si="5"/>
        <v>1.14796708141576</v>
      </c>
      <c r="AA21" s="47">
        <f ca="1" t="shared" si="6"/>
        <v>1.0233949998893</v>
      </c>
      <c r="AB21" s="47">
        <f ca="1" t="shared" si="7"/>
        <v>1.00663320180105</v>
      </c>
      <c r="AC21" s="48">
        <f ca="1" t="shared" si="8"/>
        <v>3.35539006240732</v>
      </c>
      <c r="AD21" s="47">
        <f t="shared" si="9"/>
        <v>543</v>
      </c>
      <c r="AE21" s="47">
        <f t="shared" si="10"/>
        <v>135.75</v>
      </c>
      <c r="AF21" s="47">
        <f t="shared" si="11"/>
        <v>33.9375</v>
      </c>
      <c r="AG21" s="47">
        <f t="shared" si="12"/>
        <v>8.484375</v>
      </c>
      <c r="AH21" s="47">
        <f t="shared" si="13"/>
        <v>2.12109375</v>
      </c>
      <c r="AI21" s="47">
        <f t="shared" si="14"/>
        <v>0.5302734375</v>
      </c>
      <c r="AJ21">
        <f ca="1">MIN(INT(SUM(AD21:$AI21)/OFFSET($AV$2,MATCH(AD$3,$AE$3:$AI$3,0),0)),6-SUM(AK21:$AO21))</f>
        <v>0</v>
      </c>
      <c r="AK21">
        <f ca="1">MIN(INT(SUM(AE21:$AI21)/OFFSET($AV$2,MATCH(AE$3,$AE$3:$AI$3,0),0)),6-SUM(AL21:$AO21))</f>
        <v>0</v>
      </c>
      <c r="AL21">
        <f ca="1">MIN(INT(SUM(AF21:$AI21)/OFFSET($AV$2,MATCH(AF$3,$AE$3:$AI$3,0),0)),6-SUM(AM21:$AO21))</f>
        <v>4</v>
      </c>
      <c r="AM21">
        <f ca="1">MIN(INT((SUM(AG21:$AI21)+N21*2/6)/OFFSET($AV$2,MATCH(AG$3,$AE$3:$AI$3,0),0)),6-SUM(AN21:$AO21))</f>
        <v>2</v>
      </c>
      <c r="AN21">
        <f ca="1">MIN(INT(SUM(AH21:$AI21)/OFFSET($AV$2,MATCH(AH$3,$AE$3:$AI$3,0),0)),6-SUM(AO21:$AO21))</f>
        <v>0</v>
      </c>
      <c r="AO21">
        <f ca="1">INT(SUM(AI20:$AI21)/OFFSET($AV$2,MATCH(AI$3,$AE$3:$AI$3,0),0))</f>
        <v>0</v>
      </c>
      <c r="AP21" cm="1">
        <f ca="1" t="array" ref="AP21">SUMPRODUCT(AJ21:AO21,TRANSPOSE($AS$3:$AS$8))</f>
        <v>1.64</v>
      </c>
    </row>
    <row r="22" ht="16.5" spans="2:42">
      <c r="B22" s="52">
        <v>8</v>
      </c>
      <c r="C22" s="52">
        <v>8</v>
      </c>
      <c r="N22" s="2">
        <v>19</v>
      </c>
      <c r="O22" s="45">
        <f>产出预期!AN38</f>
        <v>2280</v>
      </c>
      <c r="P22" s="2">
        <f ca="1">练度预期!M21</f>
        <v>28</v>
      </c>
      <c r="Q22" s="2" t="str">
        <f ca="1" t="shared" si="15"/>
        <v>紫</v>
      </c>
      <c r="R22" s="46">
        <f ca="1" t="shared" si="16"/>
        <v>0.127972264096697</v>
      </c>
      <c r="S22" s="47">
        <f ca="1" t="shared" si="2"/>
        <v>23.25184</v>
      </c>
      <c r="T22" s="47">
        <f ca="1">MIN(1+($O22*1.4+产出预期!AC38*60)/OFFSET($J$14,MATCH(T$3,$T$3:$W$3,0),0),18)</f>
        <v>3.72</v>
      </c>
      <c r="U22" s="47">
        <f ca="1">MIN(($O22*1.4+产出预期!$AC38*60)/OFFSET($J$14,MATCH(U$3,$T$3:$W$3,0),0),3)</f>
        <v>0.78336</v>
      </c>
      <c r="V22" s="47">
        <f ca="1">MIN(($O22*1.4+产出预期!$AC38*60)/OFFSET($J$14,MATCH(V$3,$T$3:$W$3,0),0),18)</f>
        <v>0.19584</v>
      </c>
      <c r="W22" s="47">
        <f ca="1">MIN(($O22*1.4+产出预期!$AC38*60)/OFFSET($J$14,MATCH(W$3,$T$3:$W$3,0),0),18)</f>
        <v>0.04896</v>
      </c>
      <c r="X22" s="47">
        <f ca="1" t="shared" si="3"/>
        <v>2.19234790609214</v>
      </c>
      <c r="Y22" s="47">
        <f ca="1" t="shared" si="4"/>
        <v>1.33148528268502</v>
      </c>
      <c r="Z22" s="47">
        <f ca="1" t="shared" si="5"/>
        <v>1.15352608796455</v>
      </c>
      <c r="AA22" s="47">
        <f ca="1" t="shared" si="6"/>
        <v>1.02422384482771</v>
      </c>
      <c r="AB22" s="47">
        <f ca="1" t="shared" si="7"/>
        <v>1.00686620976748</v>
      </c>
      <c r="AC22" s="48">
        <f ca="1" t="shared" si="8"/>
        <v>3.47248128597056</v>
      </c>
      <c r="AD22" s="47">
        <f t="shared" si="9"/>
        <v>570</v>
      </c>
      <c r="AE22" s="47">
        <f t="shared" si="10"/>
        <v>142.5</v>
      </c>
      <c r="AF22" s="47">
        <f t="shared" si="11"/>
        <v>35.625</v>
      </c>
      <c r="AG22" s="47">
        <f t="shared" si="12"/>
        <v>8.90625</v>
      </c>
      <c r="AH22" s="47">
        <f t="shared" si="13"/>
        <v>2.2265625</v>
      </c>
      <c r="AI22" s="47">
        <f t="shared" si="14"/>
        <v>0.556640625</v>
      </c>
      <c r="AJ22">
        <f ca="1">MIN(INT(SUM(AD22:$AI22)/OFFSET($AV$2,MATCH(AD$3,$AE$3:$AI$3,0),0)),6-SUM(AK22:$AO22))</f>
        <v>0</v>
      </c>
      <c r="AK22">
        <f ca="1">MIN(INT(SUM(AE22:$AI22)/OFFSET($AV$2,MATCH(AE$3,$AE$3:$AI$3,0),0)),6-SUM(AL22:$AO22))</f>
        <v>0</v>
      </c>
      <c r="AL22">
        <f ca="1">MIN(INT(SUM(AF22:$AI22)/OFFSET($AV$2,MATCH(AF$3,$AE$3:$AI$3,0),0)),6-SUM(AM22:$AO22))</f>
        <v>4</v>
      </c>
      <c r="AM22">
        <f ca="1">MIN(INT((SUM(AG22:$AI22)+N22*2/6)/OFFSET($AV$2,MATCH(AG$3,$AE$3:$AI$3,0),0)),6-SUM(AN22:$AO22))</f>
        <v>2</v>
      </c>
      <c r="AN22">
        <f ca="1">MIN(INT(SUM(AH22:$AI22)/OFFSET($AV$2,MATCH(AH$3,$AE$3:$AI$3,0),0)),6-SUM(AO22:$AO22))</f>
        <v>0</v>
      </c>
      <c r="AO22">
        <f ca="1">INT(SUM(AI21:$AI22)/OFFSET($AV$2,MATCH(AI$3,$AE$3:$AI$3,0),0))</f>
        <v>0</v>
      </c>
      <c r="AP22" cm="1">
        <f ca="1" t="array" ref="AP22">SUMPRODUCT(AJ22:AO22,TRANSPOSE($AS$3:$AS$8))</f>
        <v>1.64</v>
      </c>
    </row>
    <row r="23" ht="16.5" spans="2:42">
      <c r="B23" s="52">
        <v>9</v>
      </c>
      <c r="C23" s="52">
        <v>9</v>
      </c>
      <c r="N23" s="2">
        <v>20</v>
      </c>
      <c r="O23" s="45">
        <f>产出预期!AN39</f>
        <v>2393</v>
      </c>
      <c r="P23" s="2">
        <f ca="1">练度预期!M22</f>
        <v>28</v>
      </c>
      <c r="Q23" s="2" t="str">
        <f ca="1" t="shared" si="15"/>
        <v>紫</v>
      </c>
      <c r="R23" s="46">
        <f ca="1" t="shared" si="16"/>
        <v>0.155586199418163</v>
      </c>
      <c r="S23" s="47">
        <f ca="1" t="shared" si="2"/>
        <v>23.0994178888889</v>
      </c>
      <c r="T23" s="47">
        <f ca="1">MIN(1+($O23*1.4+产出预期!AC39*60)/OFFSET($J$14,MATCH(T$3,$T$3:$W$3,0),0),18)</f>
        <v>3.83061111111111</v>
      </c>
      <c r="U23" s="47">
        <f ca="1">MIN(($O23*1.4+产出预期!$AC39*60)/OFFSET($J$14,MATCH(U$3,$T$3:$W$3,0),0),3)</f>
        <v>0.815216</v>
      </c>
      <c r="V23" s="47">
        <f ca="1">MIN(($O23*1.4+产出预期!$AC39*60)/OFFSET($J$14,MATCH(V$3,$T$3:$W$3,0),0),18)</f>
        <v>0.203804</v>
      </c>
      <c r="W23" s="47">
        <f ca="1">MIN(($O23*1.4+产出预期!$AC39*60)/OFFSET($J$14,MATCH(W$3,$T$3:$W$3,0),0),18)</f>
        <v>0.050951</v>
      </c>
      <c r="X23" s="47">
        <f ca="1" t="shared" si="3"/>
        <v>2.19091040082549</v>
      </c>
      <c r="Y23" s="47">
        <f ca="1" t="shared" si="4"/>
        <v>1.34286826052231</v>
      </c>
      <c r="Z23" s="47">
        <f ca="1" t="shared" si="5"/>
        <v>1.16024530227815</v>
      </c>
      <c r="AA23" s="47">
        <f ca="1" t="shared" si="6"/>
        <v>1.02522124945035</v>
      </c>
      <c r="AB23" s="47">
        <f ca="1" t="shared" si="7"/>
        <v>1.00714642541311</v>
      </c>
      <c r="AC23" s="48">
        <f ca="1" t="shared" si="8"/>
        <v>3.52466673408587</v>
      </c>
      <c r="AD23" s="47">
        <f t="shared" si="9"/>
        <v>598.25</v>
      </c>
      <c r="AE23" s="47">
        <f t="shared" si="10"/>
        <v>149.5625</v>
      </c>
      <c r="AF23" s="47">
        <f t="shared" si="11"/>
        <v>37.390625</v>
      </c>
      <c r="AG23" s="47">
        <f t="shared" si="12"/>
        <v>9.34765625</v>
      </c>
      <c r="AH23" s="47">
        <f t="shared" si="13"/>
        <v>2.3369140625</v>
      </c>
      <c r="AI23" s="47">
        <f t="shared" si="14"/>
        <v>0.584228515625</v>
      </c>
      <c r="AJ23">
        <f ca="1">MIN(INT(SUM(AD23:$AI23)/OFFSET($AV$2,MATCH(AD$3,$AE$3:$AI$3,0),0)),6-SUM(AK23:$AO23))</f>
        <v>0</v>
      </c>
      <c r="AK23">
        <f ca="1">MIN(INT(SUM(AE23:$AI23)/OFFSET($AV$2,MATCH(AE$3,$AE$3:$AI$3,0),0)),6-SUM(AL23:$AO23))</f>
        <v>0</v>
      </c>
      <c r="AL23">
        <f ca="1">MIN(INT(SUM(AF23:$AI23)/OFFSET($AV$2,MATCH(AF$3,$AE$3:$AI$3,0),0)),6-SUM(AM23:$AO23))</f>
        <v>4</v>
      </c>
      <c r="AM23">
        <f ca="1">MIN(INT((SUM(AG23:$AI23)+N23*2/6)/OFFSET($AV$2,MATCH(AG$3,$AE$3:$AI$3,0),0)),6-SUM(AN23:$AO23))</f>
        <v>2</v>
      </c>
      <c r="AN23">
        <f ca="1">MIN(INT(SUM(AH23:$AI23)/OFFSET($AV$2,MATCH(AH$3,$AE$3:$AI$3,0),0)),6-SUM(AO23:$AO23))</f>
        <v>0</v>
      </c>
      <c r="AO23">
        <f ca="1">INT(SUM(AI22:$AI23)/OFFSET($AV$2,MATCH(AI$3,$AE$3:$AI$3,0),0))</f>
        <v>0</v>
      </c>
      <c r="AP23" cm="1">
        <f ca="1" t="array" ref="AP23">SUMPRODUCT(AJ23:AO23,TRANSPOSE($AS$3:$AS$8))</f>
        <v>1.64</v>
      </c>
    </row>
    <row r="24" ht="16.5" spans="2:42">
      <c r="B24" s="52">
        <v>10</v>
      </c>
      <c r="C24" s="52">
        <v>10</v>
      </c>
      <c r="N24" s="2">
        <v>21</v>
      </c>
      <c r="O24" s="45">
        <f>产出预期!AN40</f>
        <v>2473</v>
      </c>
      <c r="P24" s="2">
        <f ca="1">练度预期!M23</f>
        <v>29</v>
      </c>
      <c r="Q24" s="2" t="str">
        <f ca="1" t="shared" si="15"/>
        <v>紫</v>
      </c>
      <c r="R24" s="46">
        <f ca="1" t="shared" si="16"/>
        <v>0.154311632457885</v>
      </c>
      <c r="S24" s="47">
        <f ca="1" t="shared" si="2"/>
        <v>23.9646801111111</v>
      </c>
      <c r="T24" s="47">
        <f ca="1">MIN(1+($O24*1.4+产出预期!AC40*60)/OFFSET($J$14,MATCH(T$3,$T$3:$W$3,0),0),18)</f>
        <v>3.92838888888889</v>
      </c>
      <c r="U24" s="47">
        <f ca="1">MIN(($O24*1.4+产出预期!$AC40*60)/OFFSET($J$14,MATCH(U$3,$T$3:$W$3,0),0),3)</f>
        <v>0.843376</v>
      </c>
      <c r="V24" s="47">
        <f ca="1">MIN(($O24*1.4+产出预期!$AC40*60)/OFFSET($J$14,MATCH(V$3,$T$3:$W$3,0),0),18)</f>
        <v>0.210844</v>
      </c>
      <c r="W24" s="47">
        <f ca="1">MIN(($O24*1.4+产出预期!$AC40*60)/OFFSET($J$14,MATCH(W$3,$T$3:$W$3,0),0),18)</f>
        <v>0.052711</v>
      </c>
      <c r="X24" s="47">
        <f ca="1" t="shared" si="3"/>
        <v>2.23521429464832</v>
      </c>
      <c r="Y24" s="47">
        <f ca="1" t="shared" si="4"/>
        <v>1.35301156777709</v>
      </c>
      <c r="Z24" s="47">
        <f ca="1" t="shared" si="5"/>
        <v>1.16621752284262</v>
      </c>
      <c r="AA24" s="47">
        <f ca="1" t="shared" si="6"/>
        <v>1.02610374185294</v>
      </c>
      <c r="AB24" s="47">
        <f ca="1" t="shared" si="7"/>
        <v>1.00739419478872</v>
      </c>
      <c r="AC24" s="48">
        <f ca="1" t="shared" si="8"/>
        <v>3.64578415934237</v>
      </c>
      <c r="AD24" s="47">
        <f t="shared" si="9"/>
        <v>618.25</v>
      </c>
      <c r="AE24" s="47">
        <f t="shared" si="10"/>
        <v>154.5625</v>
      </c>
      <c r="AF24" s="47">
        <f t="shared" si="11"/>
        <v>38.640625</v>
      </c>
      <c r="AG24" s="47">
        <f t="shared" si="12"/>
        <v>9.66015625</v>
      </c>
      <c r="AH24" s="47">
        <f t="shared" si="13"/>
        <v>2.4150390625</v>
      </c>
      <c r="AI24" s="47">
        <f t="shared" si="14"/>
        <v>0.603759765625</v>
      </c>
      <c r="AJ24">
        <f ca="1">MIN(INT(SUM(AD24:$AI24)/OFFSET($AV$2,MATCH(AD$3,$AE$3:$AI$3,0),0)),6-SUM(AK24:$AO24))</f>
        <v>0</v>
      </c>
      <c r="AK24">
        <f ca="1">MIN(INT(SUM(AE24:$AI24)/OFFSET($AV$2,MATCH(AE$3,$AE$3:$AI$3,0),0)),6-SUM(AL24:$AO24))</f>
        <v>0</v>
      </c>
      <c r="AL24">
        <f ca="1">MIN(INT(SUM(AF24:$AI24)/OFFSET($AV$2,MATCH(AF$3,$AE$3:$AI$3,0),0)),6-SUM(AM24:$AO24))</f>
        <v>4</v>
      </c>
      <c r="AM24">
        <f ca="1">MIN(INT((SUM(AG24:$AI24)+N24*2/6)/OFFSET($AV$2,MATCH(AG$3,$AE$3:$AI$3,0),0)),6-SUM(AN24:$AO24))</f>
        <v>2</v>
      </c>
      <c r="AN24">
        <f ca="1">MIN(INT(SUM(AH24:$AI24)/OFFSET($AV$2,MATCH(AH$3,$AE$3:$AI$3,0),0)),6-SUM(AO24:$AO24))</f>
        <v>0</v>
      </c>
      <c r="AO24">
        <f ca="1">INT(SUM(AI23:$AI24)/OFFSET($AV$2,MATCH(AI$3,$AE$3:$AI$3,0),0))</f>
        <v>0</v>
      </c>
      <c r="AP24" cm="1">
        <f ca="1" t="array" ref="AP24">SUMPRODUCT(AJ24:AO24,TRANSPOSE($AS$3:$AS$8))</f>
        <v>1.64</v>
      </c>
    </row>
    <row r="25" ht="16.5" spans="2:42">
      <c r="B25" s="52">
        <v>11</v>
      </c>
      <c r="C25" s="52">
        <v>11</v>
      </c>
      <c r="N25" s="2">
        <v>22</v>
      </c>
      <c r="O25" s="45">
        <f>产出预期!AN41</f>
        <v>2586</v>
      </c>
      <c r="P25" s="2">
        <f ca="1">练度预期!M24</f>
        <v>29</v>
      </c>
      <c r="Q25" s="2" t="str">
        <f ca="1" t="shared" si="15"/>
        <v>紫</v>
      </c>
      <c r="R25" s="46">
        <f ca="1" t="shared" si="16"/>
        <v>0.1803893279411</v>
      </c>
      <c r="S25" s="47">
        <f ca="1" t="shared" si="2"/>
        <v>23.8352246666667</v>
      </c>
      <c r="T25" s="47">
        <f ca="1">MIN(1+($O25*1.4+产出预期!AC41*60)/OFFSET($J$14,MATCH(T$3,$T$3:$W$3,0),0),18)</f>
        <v>4.02233333333333</v>
      </c>
      <c r="U25" s="47">
        <f ca="1">MIN(($O25*1.4+产出预期!$AC41*60)/OFFSET($J$14,MATCH(U$3,$T$3:$W$3,0),0),3)</f>
        <v>0.870432</v>
      </c>
      <c r="V25" s="47">
        <f ca="1">MIN(($O25*1.4+产出预期!$AC41*60)/OFFSET($J$14,MATCH(V$3,$T$3:$W$3,0),0),18)</f>
        <v>0.217608</v>
      </c>
      <c r="W25" s="47">
        <f ca="1">MIN(($O25*1.4+产出预期!$AC41*60)/OFFSET($J$14,MATCH(W$3,$T$3:$W$3,0),0),18)</f>
        <v>0.054402</v>
      </c>
      <c r="X25" s="47">
        <f ca="1" t="shared" si="3"/>
        <v>2.23475743492278</v>
      </c>
      <c r="Y25" s="47">
        <f ca="1" t="shared" si="4"/>
        <v>1.36282937455097</v>
      </c>
      <c r="Z25" s="47">
        <f ca="1" t="shared" si="5"/>
        <v>1.17198456037113</v>
      </c>
      <c r="AA25" s="47">
        <f ca="1" t="shared" si="6"/>
        <v>1.02695235208003</v>
      </c>
      <c r="AB25" s="47">
        <f ca="1" t="shared" si="7"/>
        <v>1.00763230789479</v>
      </c>
      <c r="AC25" s="48">
        <f ca="1" t="shared" si="8"/>
        <v>3.69356839028164</v>
      </c>
      <c r="AD25" s="47">
        <f t="shared" si="9"/>
        <v>646.5</v>
      </c>
      <c r="AE25" s="47">
        <f t="shared" si="10"/>
        <v>161.625</v>
      </c>
      <c r="AF25" s="47">
        <f t="shared" si="11"/>
        <v>40.40625</v>
      </c>
      <c r="AG25" s="47">
        <f t="shared" si="12"/>
        <v>10.1015625</v>
      </c>
      <c r="AH25" s="47">
        <f t="shared" si="13"/>
        <v>2.525390625</v>
      </c>
      <c r="AI25" s="47">
        <f t="shared" si="14"/>
        <v>0.63134765625</v>
      </c>
      <c r="AJ25">
        <f ca="1">MIN(INT(SUM(AD25:$AI25)/OFFSET($AV$2,MATCH(AD$3,$AE$3:$AI$3,0),0)),6-SUM(AK25:$AO25))</f>
        <v>0</v>
      </c>
      <c r="AK25">
        <f ca="1">MIN(INT(SUM(AE25:$AI25)/OFFSET($AV$2,MATCH(AE$3,$AE$3:$AI$3,0),0)),6-SUM(AL25:$AO25))</f>
        <v>0</v>
      </c>
      <c r="AL25">
        <f ca="1">MIN(INT(SUM(AF25:$AI25)/OFFSET($AV$2,MATCH(AF$3,$AE$3:$AI$3,0),0)),6-SUM(AM25:$AO25))</f>
        <v>4</v>
      </c>
      <c r="AM25">
        <f ca="1">MIN(INT((SUM(AG25:$AI25)+N25*2/6)/OFFSET($AV$2,MATCH(AG$3,$AE$3:$AI$3,0),0)),6-SUM(AN25:$AO25))</f>
        <v>2</v>
      </c>
      <c r="AN25">
        <f ca="1">MIN(INT(SUM(AH25:$AI25)/OFFSET($AV$2,MATCH(AH$3,$AE$3:$AI$3,0),0)),6-SUM(AO25:$AO25))</f>
        <v>0</v>
      </c>
      <c r="AO25">
        <f ca="1">INT(SUM(AI24:$AI25)/OFFSET($AV$2,MATCH(AI$3,$AE$3:$AI$3,0),0))</f>
        <v>0</v>
      </c>
      <c r="AP25" cm="1">
        <f ca="1" t="array" ref="AP25">SUMPRODUCT(AJ25:AO25,TRANSPOSE($AS$3:$AS$8))</f>
        <v>1.64</v>
      </c>
    </row>
    <row r="26" ht="16.5" spans="2:42">
      <c r="B26" s="52">
        <v>12</v>
      </c>
      <c r="C26" s="52">
        <v>12</v>
      </c>
      <c r="N26" s="2">
        <v>23</v>
      </c>
      <c r="O26" s="45">
        <f>产出预期!AN42</f>
        <v>2699</v>
      </c>
      <c r="P26" s="2">
        <f ca="1">练度预期!M25</f>
        <v>29</v>
      </c>
      <c r="Q26" s="2" t="str">
        <f ca="1" t="shared" si="15"/>
        <v>紫</v>
      </c>
      <c r="R26" s="46">
        <f ca="1" t="shared" si="16"/>
        <v>0.205903224229414</v>
      </c>
      <c r="S26" s="47">
        <f ca="1" t="shared" si="2"/>
        <v>23.6828025555556</v>
      </c>
      <c r="T26" s="47">
        <f ca="1">MIN(1+($O26*1.4+产出预期!AC42*60)/OFFSET($J$14,MATCH(T$3,$T$3:$W$3,0),0),18)</f>
        <v>4.13294444444444</v>
      </c>
      <c r="U26" s="47">
        <f ca="1">MIN(($O26*1.4+产出预期!$AC42*60)/OFFSET($J$14,MATCH(U$3,$T$3:$W$3,0),0),3)</f>
        <v>0.902288</v>
      </c>
      <c r="V26" s="47">
        <f ca="1">MIN(($O26*1.4+产出预期!$AC42*60)/OFFSET($J$14,MATCH(V$3,$T$3:$W$3,0),0),18)</f>
        <v>0.225572</v>
      </c>
      <c r="W26" s="47">
        <f ca="1">MIN(($O26*1.4+产出预期!$AC42*60)/OFFSET($J$14,MATCH(W$3,$T$3:$W$3,0),0),18)</f>
        <v>0.056393</v>
      </c>
      <c r="X26" s="47">
        <f ca="1" t="shared" si="3"/>
        <v>2.23290378182755</v>
      </c>
      <c r="Y26" s="47">
        <f ca="1" t="shared" si="4"/>
        <v>1.37448031562277</v>
      </c>
      <c r="Z26" s="47">
        <f ca="1" t="shared" si="5"/>
        <v>1.17881129408398</v>
      </c>
      <c r="AA26" s="47">
        <f ca="1" t="shared" si="6"/>
        <v>1.02795241376417</v>
      </c>
      <c r="AB26" s="47">
        <f ca="1" t="shared" si="7"/>
        <v>1.00791273674916</v>
      </c>
      <c r="AC26" s="48">
        <f ca="1" t="shared" si="8"/>
        <v>3.74842448377068</v>
      </c>
      <c r="AD26" s="47">
        <f t="shared" si="9"/>
        <v>674.75</v>
      </c>
      <c r="AE26" s="47">
        <f t="shared" si="10"/>
        <v>168.6875</v>
      </c>
      <c r="AF26" s="47">
        <f t="shared" si="11"/>
        <v>42.171875</v>
      </c>
      <c r="AG26" s="47">
        <f t="shared" si="12"/>
        <v>10.54296875</v>
      </c>
      <c r="AH26" s="47">
        <f t="shared" si="13"/>
        <v>2.6357421875</v>
      </c>
      <c r="AI26" s="47">
        <f t="shared" si="14"/>
        <v>0.658935546875</v>
      </c>
      <c r="AJ26">
        <f ca="1">MIN(INT(SUM(AD26:$AI26)/OFFSET($AV$2,MATCH(AD$3,$AE$3:$AI$3,0),0)),6-SUM(AK26:$AO26))</f>
        <v>0</v>
      </c>
      <c r="AK26">
        <f ca="1">MIN(INT(SUM(AE26:$AI26)/OFFSET($AV$2,MATCH(AE$3,$AE$3:$AI$3,0),0)),6-SUM(AL26:$AO26))</f>
        <v>0</v>
      </c>
      <c r="AL26">
        <f ca="1">MIN(INT(SUM(AF26:$AI26)/OFFSET($AV$2,MATCH(AF$3,$AE$3:$AI$3,0),0)),6-SUM(AM26:$AO26))</f>
        <v>4</v>
      </c>
      <c r="AM26">
        <f ca="1">MIN(INT((SUM(AG26:$AI26)+N26*2/6)/OFFSET($AV$2,MATCH(AG$3,$AE$3:$AI$3,0),0)),6-SUM(AN26:$AO26))</f>
        <v>2</v>
      </c>
      <c r="AN26">
        <f ca="1">MIN(INT(SUM(AH26:$AI26)/OFFSET($AV$2,MATCH(AH$3,$AE$3:$AI$3,0),0)),6-SUM(AO26:$AO26))</f>
        <v>0</v>
      </c>
      <c r="AO26">
        <f ca="1">INT(SUM(AI25:$AI26)/OFFSET($AV$2,MATCH(AI$3,$AE$3:$AI$3,0),0))</f>
        <v>0</v>
      </c>
      <c r="AP26" cm="1">
        <f ca="1" t="array" ref="AP26">SUMPRODUCT(AJ26:AO26,TRANSPOSE($AS$3:$AS$8))</f>
        <v>1.64</v>
      </c>
    </row>
    <row r="27" ht="16.5" spans="2:42">
      <c r="B27" s="52">
        <v>13</v>
      </c>
      <c r="C27" s="52">
        <v>13</v>
      </c>
      <c r="N27" s="2">
        <v>24</v>
      </c>
      <c r="O27" s="45">
        <f>产出预期!AN43</f>
        <v>2812</v>
      </c>
      <c r="P27" s="2">
        <f ca="1">练度预期!M26</f>
        <v>30</v>
      </c>
      <c r="Q27" s="2" t="str">
        <f ca="1" t="shared" si="15"/>
        <v>紫</v>
      </c>
      <c r="R27" s="46">
        <f ca="1" t="shared" si="16"/>
        <v>0.210199708037204</v>
      </c>
      <c r="S27" s="47">
        <f ca="1" t="shared" si="2"/>
        <v>24.5533471111111</v>
      </c>
      <c r="T27" s="47">
        <f ca="1">MIN(1+($O27*1.4+产出预期!AC43*60)/OFFSET($J$14,MATCH(T$3,$T$3:$W$3,0),0),18)</f>
        <v>4.22688888888889</v>
      </c>
      <c r="U27" s="47">
        <f ca="1">MIN(($O27*1.4+产出预期!$AC43*60)/OFFSET($J$14,MATCH(U$3,$T$3:$W$3,0),0),3)</f>
        <v>0.929344</v>
      </c>
      <c r="V27" s="47">
        <f ca="1">MIN(($O27*1.4+产出预期!$AC43*60)/OFFSET($J$14,MATCH(V$3,$T$3:$W$3,0),0),18)</f>
        <v>0.232336</v>
      </c>
      <c r="W27" s="47">
        <f ca="1">MIN(($O27*1.4+产出预期!$AC43*60)/OFFSET($J$14,MATCH(W$3,$T$3:$W$3,0),0),18)</f>
        <v>0.058084</v>
      </c>
      <c r="X27" s="47">
        <f ca="1" t="shared" si="3"/>
        <v>2.27927841949647</v>
      </c>
      <c r="Y27" s="47">
        <f ca="1" t="shared" si="4"/>
        <v>1.38445390526137</v>
      </c>
      <c r="Z27" s="47">
        <f ca="1" t="shared" si="5"/>
        <v>1.18464060880345</v>
      </c>
      <c r="AA27" s="47">
        <f ca="1" t="shared" si="6"/>
        <v>1.02880255288333</v>
      </c>
      <c r="AB27" s="47">
        <f ca="1" t="shared" si="7"/>
        <v>1.0081509724206</v>
      </c>
      <c r="AC27" s="48">
        <f ca="1" t="shared" si="8"/>
        <v>3.87721694212976</v>
      </c>
      <c r="AD27" s="47">
        <f t="shared" si="9"/>
        <v>703</v>
      </c>
      <c r="AE27" s="47">
        <f t="shared" si="10"/>
        <v>175.75</v>
      </c>
      <c r="AF27" s="47">
        <f t="shared" si="11"/>
        <v>43.9375</v>
      </c>
      <c r="AG27" s="47">
        <f t="shared" si="12"/>
        <v>10.984375</v>
      </c>
      <c r="AH27" s="47">
        <f t="shared" si="13"/>
        <v>2.74609375</v>
      </c>
      <c r="AI27" s="47">
        <f t="shared" si="14"/>
        <v>0.6865234375</v>
      </c>
      <c r="AJ27">
        <f ca="1">MIN(INT(SUM(AD27:$AI27)/OFFSET($AV$2,MATCH(AD$3,$AE$3:$AI$3,0),0)),6-SUM(AK27:$AO27))</f>
        <v>0</v>
      </c>
      <c r="AK27">
        <f ca="1">MIN(INT(SUM(AE27:$AI27)/OFFSET($AV$2,MATCH(AE$3,$AE$3:$AI$3,0),0)),6-SUM(AL27:$AO27))</f>
        <v>0</v>
      </c>
      <c r="AL27">
        <f ca="1">MIN(INT(SUM(AF27:$AI27)/OFFSET($AV$2,MATCH(AF$3,$AE$3:$AI$3,0),0)),6-SUM(AM27:$AO27))</f>
        <v>4</v>
      </c>
      <c r="AM27">
        <f ca="1">MIN(INT((SUM(AG27:$AI27)+N27*2/6)/OFFSET($AV$2,MATCH(AG$3,$AE$3:$AI$3,0),0)),6-SUM(AN27:$AO27))</f>
        <v>2</v>
      </c>
      <c r="AN27">
        <f ca="1">MIN(INT(SUM(AH27:$AI27)/OFFSET($AV$2,MATCH(AH$3,$AE$3:$AI$3,0),0)),6-SUM(AO27:$AO27))</f>
        <v>0</v>
      </c>
      <c r="AO27">
        <f ca="1">INT(SUM(AI26:$AI27)/OFFSET($AV$2,MATCH(AI$3,$AE$3:$AI$3,0),0))</f>
        <v>0</v>
      </c>
      <c r="AP27" cm="1">
        <f ca="1" t="array" ref="AP27">SUMPRODUCT(AJ27:AO27,TRANSPOSE($AS$3:$AS$8))</f>
        <v>1.64</v>
      </c>
    </row>
    <row r="28" ht="16.5" spans="2:42">
      <c r="B28" s="52">
        <v>14</v>
      </c>
      <c r="C28" s="52">
        <v>14</v>
      </c>
      <c r="N28" s="2">
        <v>25</v>
      </c>
      <c r="O28" s="45">
        <f>产出预期!AN44</f>
        <v>2920</v>
      </c>
      <c r="P28" s="2">
        <f ca="1">练度预期!M27</f>
        <v>30</v>
      </c>
      <c r="Q28" s="2" t="str">
        <f ca="1" t="shared" si="15"/>
        <v>紫</v>
      </c>
      <c r="R28" s="46">
        <f ca="1" t="shared" si="16"/>
        <v>0.233220715579062</v>
      </c>
      <c r="S28" s="47">
        <f ca="1" t="shared" si="2"/>
        <v>24.4036044444444</v>
      </c>
      <c r="T28" s="47">
        <f ca="1">MIN(1+($O28*1.4+产出预期!AC44*60)/OFFSET($J$14,MATCH(T$3,$T$3:$W$3,0),0),18)</f>
        <v>4.33555555555556</v>
      </c>
      <c r="U28" s="47">
        <f ca="1">MIN(($O28*1.4+产出预期!$AC44*60)/OFFSET($J$14,MATCH(U$3,$T$3:$W$3,0),0),3)</f>
        <v>0.96064</v>
      </c>
      <c r="V28" s="47">
        <f ca="1">MIN(($O28*1.4+产出预期!$AC44*60)/OFFSET($J$14,MATCH(V$3,$T$3:$W$3,0),0),18)</f>
        <v>0.24016</v>
      </c>
      <c r="W28" s="47">
        <f ca="1">MIN(($O28*1.4+产出预期!$AC44*60)/OFFSET($J$14,MATCH(W$3,$T$3:$W$3,0),0),18)</f>
        <v>0.06004</v>
      </c>
      <c r="X28" s="47">
        <f ca="1" t="shared" si="3"/>
        <v>2.27709448313464</v>
      </c>
      <c r="Y28" s="47">
        <f ca="1" t="shared" si="4"/>
        <v>1.39608078204319</v>
      </c>
      <c r="Z28" s="47">
        <f ca="1" t="shared" si="5"/>
        <v>1.19141941295616</v>
      </c>
      <c r="AA28" s="47">
        <f ca="1" t="shared" si="6"/>
        <v>1.02978679603555</v>
      </c>
      <c r="AB28" s="47">
        <f ca="1" t="shared" si="7"/>
        <v>1.00842661272152</v>
      </c>
      <c r="AC28" s="48">
        <f ca="1" t="shared" si="8"/>
        <v>3.93321683546617</v>
      </c>
      <c r="AD28" s="47">
        <f t="shared" si="9"/>
        <v>730</v>
      </c>
      <c r="AE28" s="47">
        <f t="shared" si="10"/>
        <v>182.5</v>
      </c>
      <c r="AF28" s="47">
        <f t="shared" si="11"/>
        <v>45.625</v>
      </c>
      <c r="AG28" s="47">
        <f t="shared" si="12"/>
        <v>11.40625</v>
      </c>
      <c r="AH28" s="47">
        <f t="shared" si="13"/>
        <v>2.8515625</v>
      </c>
      <c r="AI28" s="47">
        <f t="shared" si="14"/>
        <v>0.712890625</v>
      </c>
      <c r="AJ28">
        <f ca="1">MIN(INT(SUM(AD28:$AI28)/OFFSET($AV$2,MATCH(AD$3,$AE$3:$AI$3,0),0)),6-SUM(AK28:$AO28))</f>
        <v>0</v>
      </c>
      <c r="AK28">
        <f ca="1">MIN(INT(SUM(AE28:$AI28)/OFFSET($AV$2,MATCH(AE$3,$AE$3:$AI$3,0),0)),6-SUM(AL28:$AO28))</f>
        <v>0</v>
      </c>
      <c r="AL28">
        <f ca="1">MIN(INT(SUM(AF28:$AI28)/OFFSET($AV$2,MATCH(AF$3,$AE$3:$AI$3,0),0)),6-SUM(AM28:$AO28))</f>
        <v>3</v>
      </c>
      <c r="AM28">
        <f ca="1">MIN(INT((SUM(AG28:$AI28)+N28*2/6)/OFFSET($AV$2,MATCH(AG$3,$AE$3:$AI$3,0),0)),6-SUM(AN28:$AO28))</f>
        <v>3</v>
      </c>
      <c r="AN28">
        <f ca="1">MIN(INT(SUM(AH28:$AI28)/OFFSET($AV$2,MATCH(AH$3,$AE$3:$AI$3,0),0)),6-SUM(AO28:$AO28))</f>
        <v>0</v>
      </c>
      <c r="AO28">
        <f ca="1">INT(SUM(AI27:$AI28)/OFFSET($AV$2,MATCH(AI$3,$AE$3:$AI$3,0),0))</f>
        <v>0</v>
      </c>
      <c r="AP28" cm="1">
        <f ca="1" t="array" ref="AP28">SUMPRODUCT(AJ28:AO28,TRANSPOSE($AS$3:$AS$8))</f>
        <v>1.71</v>
      </c>
    </row>
    <row r="29" ht="16.5" spans="2:42">
      <c r="B29" s="52">
        <v>15</v>
      </c>
      <c r="C29" s="52">
        <v>15</v>
      </c>
      <c r="N29" s="2">
        <v>26</v>
      </c>
      <c r="O29" s="45">
        <f>产出预期!AN45</f>
        <v>3028</v>
      </c>
      <c r="P29" s="2">
        <f ca="1">练度预期!M28</f>
        <v>30</v>
      </c>
      <c r="Q29" s="2" t="str">
        <f ca="1" t="shared" si="15"/>
        <v>紫</v>
      </c>
      <c r="R29" s="46">
        <f ca="1" t="shared" si="16"/>
        <v>0.25581978537262</v>
      </c>
      <c r="S29" s="47">
        <f ca="1" t="shared" si="2"/>
        <v>24.2768284444444</v>
      </c>
      <c r="T29" s="47">
        <f ca="1">MIN(1+($O29*1.4+产出预期!AC45*60)/OFFSET($J$14,MATCH(T$3,$T$3:$W$3,0),0),18)</f>
        <v>4.42755555555556</v>
      </c>
      <c r="U29" s="47">
        <f ca="1">MIN(($O29*1.4+产出预期!$AC45*60)/OFFSET($J$14,MATCH(U$3,$T$3:$W$3,0),0),3)</f>
        <v>0.987136</v>
      </c>
      <c r="V29" s="47">
        <f ca="1">MIN(($O29*1.4+产出预期!$AC45*60)/OFFSET($J$14,MATCH(V$3,$T$3:$W$3,0),0),18)</f>
        <v>0.246784</v>
      </c>
      <c r="W29" s="47">
        <f ca="1">MIN(($O29*1.4+产出预期!$AC45*60)/OFFSET($J$14,MATCH(W$3,$T$3:$W$3,0),0),18)</f>
        <v>0.061696</v>
      </c>
      <c r="X29" s="47">
        <f ca="1" t="shared" si="3"/>
        <v>2.27594635264408</v>
      </c>
      <c r="Y29" s="47">
        <f ca="1" t="shared" si="4"/>
        <v>1.40600069154849</v>
      </c>
      <c r="Z29" s="47">
        <f ca="1" t="shared" si="5"/>
        <v>1.19718883651037</v>
      </c>
      <c r="AA29" s="47">
        <f ca="1" t="shared" si="6"/>
        <v>1.03062081767297</v>
      </c>
      <c r="AB29" s="47">
        <f ca="1" t="shared" si="7"/>
        <v>1.00866003581337</v>
      </c>
      <c r="AC29" s="48">
        <f ca="1" t="shared" si="8"/>
        <v>3.98248306999704</v>
      </c>
      <c r="AD29" s="47">
        <f t="shared" si="9"/>
        <v>757</v>
      </c>
      <c r="AE29" s="47">
        <f t="shared" si="10"/>
        <v>189.25</v>
      </c>
      <c r="AF29" s="47">
        <f t="shared" si="11"/>
        <v>47.3125</v>
      </c>
      <c r="AG29" s="47">
        <f t="shared" si="12"/>
        <v>11.828125</v>
      </c>
      <c r="AH29" s="47">
        <f t="shared" si="13"/>
        <v>2.95703125</v>
      </c>
      <c r="AI29" s="47">
        <f t="shared" si="14"/>
        <v>0.7392578125</v>
      </c>
      <c r="AJ29">
        <f ca="1">MIN(INT(SUM(AD29:$AI29)/OFFSET($AV$2,MATCH(AD$3,$AE$3:$AI$3,0),0)),6-SUM(AK29:$AO29))</f>
        <v>0</v>
      </c>
      <c r="AK29">
        <f ca="1">MIN(INT(SUM(AE29:$AI29)/OFFSET($AV$2,MATCH(AE$3,$AE$3:$AI$3,0),0)),6-SUM(AL29:$AO29))</f>
        <v>0</v>
      </c>
      <c r="AL29">
        <f ca="1">MIN(INT(SUM(AF29:$AI29)/OFFSET($AV$2,MATCH(AF$3,$AE$3:$AI$3,0),0)),6-SUM(AM29:$AO29))</f>
        <v>3</v>
      </c>
      <c r="AM29">
        <f ca="1">MIN(INT((SUM(AG29:$AI29)+N29*2/6)/OFFSET($AV$2,MATCH(AG$3,$AE$3:$AI$3,0),0)),6-SUM(AN29:$AO29))</f>
        <v>3</v>
      </c>
      <c r="AN29">
        <f ca="1">MIN(INT(SUM(AH29:$AI29)/OFFSET($AV$2,MATCH(AH$3,$AE$3:$AI$3,0),0)),6-SUM(AO29:$AO29))</f>
        <v>0</v>
      </c>
      <c r="AO29">
        <f ca="1">INT(SUM(AI28:$AI29)/OFFSET($AV$2,MATCH(AI$3,$AE$3:$AI$3,0),0))</f>
        <v>0</v>
      </c>
      <c r="AP29" cm="1">
        <f ca="1" t="array" ref="AP29">SUMPRODUCT(AJ29:AO29,TRANSPOSE($AS$3:$AS$8))</f>
        <v>1.71</v>
      </c>
    </row>
    <row r="30" ht="16.5" spans="2:42">
      <c r="B30" s="52">
        <v>16</v>
      </c>
      <c r="C30" s="52">
        <v>16</v>
      </c>
      <c r="N30" s="2">
        <v>27</v>
      </c>
      <c r="O30" s="45">
        <f>产出预期!AN46</f>
        <v>3113</v>
      </c>
      <c r="P30" s="2">
        <f ca="1">练度预期!M29</f>
        <v>30</v>
      </c>
      <c r="Q30" s="2" t="str">
        <f ca="1" t="shared" si="15"/>
        <v>紫</v>
      </c>
      <c r="R30" s="46">
        <f ca="1" t="shared" si="16"/>
        <v>0.273324061920871</v>
      </c>
      <c r="S30" s="47">
        <f ca="1" t="shared" si="2"/>
        <v>24.1394112222222</v>
      </c>
      <c r="T30" s="47">
        <f ca="1">MIN(1+($O30*1.4+产出预期!AC46*60)/OFFSET($J$14,MATCH(T$3,$T$3:$W$3,0),0),18)</f>
        <v>4.52727777777778</v>
      </c>
      <c r="U30" s="47">
        <f ca="1">MIN(($O30*1.4+产出预期!$AC46*60)/OFFSET($J$14,MATCH(U$3,$T$3:$W$3,0),0),3)</f>
        <v>1.015856</v>
      </c>
      <c r="V30" s="47">
        <f ca="1">MIN(($O30*1.4+产出预期!$AC46*60)/OFFSET($J$14,MATCH(V$3,$T$3:$W$3,0),0),18)</f>
        <v>0.253964</v>
      </c>
      <c r="W30" s="47">
        <f ca="1">MIN(($O30*1.4+产出预期!$AC46*60)/OFFSET($J$14,MATCH(W$3,$T$3:$W$3,0),0),18)</f>
        <v>0.063491</v>
      </c>
      <c r="X30" s="47">
        <f ca="1" t="shared" si="3"/>
        <v>2.27294938038747</v>
      </c>
      <c r="Y30" s="47">
        <f ca="1" t="shared" si="4"/>
        <v>1.41683287553057</v>
      </c>
      <c r="Z30" s="47">
        <f ca="1" t="shared" si="5"/>
        <v>1.20347408790999</v>
      </c>
      <c r="AA30" s="47">
        <f ca="1" t="shared" si="6"/>
        <v>1.03152560766433</v>
      </c>
      <c r="AB30" s="47">
        <f ca="1" t="shared" si="7"/>
        <v>1.00891311281011</v>
      </c>
      <c r="AC30" s="48">
        <f ca="1" t="shared" si="8"/>
        <v>4.03347076658727</v>
      </c>
      <c r="AD30" s="47">
        <f t="shared" si="9"/>
        <v>778.25</v>
      </c>
      <c r="AE30" s="47">
        <f t="shared" si="10"/>
        <v>194.5625</v>
      </c>
      <c r="AF30" s="47">
        <f t="shared" si="11"/>
        <v>48.640625</v>
      </c>
      <c r="AG30" s="47">
        <f t="shared" si="12"/>
        <v>12.16015625</v>
      </c>
      <c r="AH30" s="47">
        <f t="shared" si="13"/>
        <v>3.0400390625</v>
      </c>
      <c r="AI30" s="47">
        <f t="shared" si="14"/>
        <v>0.760009765625</v>
      </c>
      <c r="AJ30">
        <f ca="1">MIN(INT(SUM(AD30:$AI30)/OFFSET($AV$2,MATCH(AD$3,$AE$3:$AI$3,0),0)),6-SUM(AK30:$AO30))</f>
        <v>0</v>
      </c>
      <c r="AK30">
        <f ca="1">MIN(INT(SUM(AE30:$AI30)/OFFSET($AV$2,MATCH(AE$3,$AE$3:$AI$3,0),0)),6-SUM(AL30:$AO30))</f>
        <v>0</v>
      </c>
      <c r="AL30">
        <f ca="1">MIN(INT(SUM(AF30:$AI30)/OFFSET($AV$2,MATCH(AF$3,$AE$3:$AI$3,0),0)),6-SUM(AM30:$AO30))</f>
        <v>3</v>
      </c>
      <c r="AM30">
        <f ca="1">MIN(INT((SUM(AG30:$AI30)+N30*2/6)/OFFSET($AV$2,MATCH(AG$3,$AE$3:$AI$3,0),0)),6-SUM(AN30:$AO30))</f>
        <v>3</v>
      </c>
      <c r="AN30">
        <f ca="1">MIN(INT(SUM(AH30:$AI30)/OFFSET($AV$2,MATCH(AH$3,$AE$3:$AI$3,0),0)),6-SUM(AO30:$AO30))</f>
        <v>0</v>
      </c>
      <c r="AO30">
        <f ca="1">INT(SUM(AI29:$AI30)/OFFSET($AV$2,MATCH(AI$3,$AE$3:$AI$3,0),0))</f>
        <v>0</v>
      </c>
      <c r="AP30" cm="1">
        <f ca="1" t="array" ref="AP30">SUMPRODUCT(AJ30:AO30,TRANSPOSE($AS$3:$AS$8))</f>
        <v>1.71</v>
      </c>
    </row>
    <row r="31" ht="16.5" spans="2:42">
      <c r="B31" s="52">
        <v>17</v>
      </c>
      <c r="C31" s="52">
        <v>17</v>
      </c>
      <c r="N31" s="2">
        <v>28</v>
      </c>
      <c r="O31" s="45">
        <f>产出预期!AN47</f>
        <v>3226</v>
      </c>
      <c r="P31" s="2">
        <f ca="1">练度预期!M30</f>
        <v>30</v>
      </c>
      <c r="Q31" s="2" t="str">
        <f ca="1" t="shared" si="15"/>
        <v>紫</v>
      </c>
      <c r="R31" s="46">
        <f ca="1" t="shared" si="16"/>
        <v>0.296228503518316</v>
      </c>
      <c r="S31" s="47">
        <f ca="1" t="shared" si="2"/>
        <v>24.0099557777778</v>
      </c>
      <c r="T31" s="47">
        <f ca="1">MIN(1+($O31*1.4+产出预期!AC47*60)/OFFSET($J$14,MATCH(T$3,$T$3:$W$3,0),0),18)</f>
        <v>4.62122222222222</v>
      </c>
      <c r="U31" s="47">
        <f ca="1">MIN(($O31*1.4+产出预期!$AC47*60)/OFFSET($J$14,MATCH(U$3,$T$3:$W$3,0),0),3)</f>
        <v>1.042912</v>
      </c>
      <c r="V31" s="47">
        <f ca="1">MIN(($O31*1.4+产出预期!$AC47*60)/OFFSET($J$14,MATCH(V$3,$T$3:$W$3,0),0),18)</f>
        <v>0.260728</v>
      </c>
      <c r="W31" s="47">
        <f ca="1">MIN(($O31*1.4+产出预期!$AC47*60)/OFFSET($J$14,MATCH(W$3,$T$3:$W$3,0),0),18)</f>
        <v>0.065182</v>
      </c>
      <c r="X31" s="47">
        <f ca="1" t="shared" si="3"/>
        <v>2.27162212158481</v>
      </c>
      <c r="Y31" s="47">
        <f ca="1" t="shared" si="4"/>
        <v>1.42711378645116</v>
      </c>
      <c r="Z31" s="47">
        <f ca="1" t="shared" si="5"/>
        <v>1.20942536208795</v>
      </c>
      <c r="AA31" s="47">
        <f ca="1" t="shared" si="6"/>
        <v>1.03237870189297</v>
      </c>
      <c r="AB31" s="47">
        <f ca="1" t="shared" si="7"/>
        <v>1.00915158493581</v>
      </c>
      <c r="AC31" s="48">
        <f ca="1" t="shared" si="8"/>
        <v>4.08478502781281</v>
      </c>
      <c r="AD31" s="47">
        <f t="shared" si="9"/>
        <v>806.5</v>
      </c>
      <c r="AE31" s="47">
        <f t="shared" si="10"/>
        <v>201.625</v>
      </c>
      <c r="AF31" s="47">
        <f t="shared" si="11"/>
        <v>50.40625</v>
      </c>
      <c r="AG31" s="47">
        <f t="shared" si="12"/>
        <v>12.6015625</v>
      </c>
      <c r="AH31" s="47">
        <f t="shared" si="13"/>
        <v>3.150390625</v>
      </c>
      <c r="AI31" s="47">
        <f t="shared" si="14"/>
        <v>0.78759765625</v>
      </c>
      <c r="AJ31">
        <f ca="1">MIN(INT(SUM(AD31:$AI31)/OFFSET($AV$2,MATCH(AD$3,$AE$3:$AI$3,0),0)),6-SUM(AK31:$AO31))</f>
        <v>0</v>
      </c>
      <c r="AK31">
        <f ca="1">MIN(INT(SUM(AE31:$AI31)/OFFSET($AV$2,MATCH(AE$3,$AE$3:$AI$3,0),0)),6-SUM(AL31:$AO31))</f>
        <v>0</v>
      </c>
      <c r="AL31">
        <f ca="1">MIN(INT(SUM(AF31:$AI31)/OFFSET($AV$2,MATCH(AF$3,$AE$3:$AI$3,0),0)),6-SUM(AM31:$AO31))</f>
        <v>3</v>
      </c>
      <c r="AM31">
        <f ca="1">MIN(INT((SUM(AG31:$AI31)+N31*2/6)/OFFSET($AV$2,MATCH(AG$3,$AE$3:$AI$3,0),0)),6-SUM(AN31:$AO31))</f>
        <v>3</v>
      </c>
      <c r="AN31">
        <f ca="1">MIN(INT(SUM(AH31:$AI31)/OFFSET($AV$2,MATCH(AH$3,$AE$3:$AI$3,0),0)),6-SUM(AO31:$AO31))</f>
        <v>0</v>
      </c>
      <c r="AO31">
        <f ca="1">INT(SUM(AI30:$AI31)/OFFSET($AV$2,MATCH(AI$3,$AE$3:$AI$3,0),0))</f>
        <v>0</v>
      </c>
      <c r="AP31" cm="1">
        <f ca="1" t="array" ref="AP31">SUMPRODUCT(AJ31:AO31,TRANSPOSE($AS$3:$AS$8))</f>
        <v>1.71</v>
      </c>
    </row>
    <row r="32" ht="16.5" spans="2:42">
      <c r="B32" s="52">
        <v>18</v>
      </c>
      <c r="C32" s="52">
        <v>18</v>
      </c>
      <c r="N32" s="2">
        <v>29</v>
      </c>
      <c r="O32" s="45">
        <f>产出预期!AN48</f>
        <v>3395</v>
      </c>
      <c r="P32" s="2">
        <f ca="1">练度预期!M31</f>
        <v>30</v>
      </c>
      <c r="Q32" s="2" t="str">
        <f ca="1" t="shared" si="15"/>
        <v>紫</v>
      </c>
      <c r="R32" s="46">
        <f ca="1" t="shared" si="16"/>
        <v>0.329747783102746</v>
      </c>
      <c r="S32" s="47">
        <f ca="1" t="shared" si="2"/>
        <v>23.8275238888889</v>
      </c>
      <c r="T32" s="47">
        <f ca="1">MIN(1+($O32*1.4+产出预期!AC48*60)/OFFSET($J$14,MATCH(T$3,$T$3:$W$3,0),0),18)</f>
        <v>4.75361111111111</v>
      </c>
      <c r="U32" s="47">
        <f ca="1">MIN(($O32*1.4+产出预期!$AC48*60)/OFFSET($J$14,MATCH(U$3,$T$3:$W$3,0),0),3)</f>
        <v>1.08104</v>
      </c>
      <c r="V32" s="47">
        <f ca="1">MIN(($O32*1.4+产出预期!$AC48*60)/OFFSET($J$14,MATCH(V$3,$T$3:$W$3,0),0),18)</f>
        <v>0.27026</v>
      </c>
      <c r="W32" s="47">
        <f ca="1">MIN(($O32*1.4+产出预期!$AC48*60)/OFFSET($J$14,MATCH(W$3,$T$3:$W$3,0),0),18)</f>
        <v>0.067565</v>
      </c>
      <c r="X32" s="47">
        <f ca="1" t="shared" si="3"/>
        <v>2.26994692623633</v>
      </c>
      <c r="Y32" s="47">
        <f ca="1" t="shared" si="4"/>
        <v>1.44172867199533</v>
      </c>
      <c r="Z32" s="47">
        <f ca="1" t="shared" si="5"/>
        <v>1.21786204065276</v>
      </c>
      <c r="AA32" s="47">
        <f ca="1" t="shared" si="6"/>
        <v>1.03358210169019</v>
      </c>
      <c r="AB32" s="47">
        <f ca="1" t="shared" si="7"/>
        <v>1.00948774158048</v>
      </c>
      <c r="AC32" s="48">
        <f ca="1" t="shared" si="8"/>
        <v>4.15856373973629</v>
      </c>
      <c r="AD32" s="47">
        <f t="shared" si="9"/>
        <v>848.75</v>
      </c>
      <c r="AE32" s="47">
        <f t="shared" si="10"/>
        <v>212.1875</v>
      </c>
      <c r="AF32" s="47">
        <f t="shared" si="11"/>
        <v>53.046875</v>
      </c>
      <c r="AG32" s="47">
        <f t="shared" si="12"/>
        <v>13.26171875</v>
      </c>
      <c r="AH32" s="47">
        <f t="shared" si="13"/>
        <v>3.3154296875</v>
      </c>
      <c r="AI32" s="47">
        <f t="shared" si="14"/>
        <v>0.828857421875</v>
      </c>
      <c r="AJ32">
        <f ca="1">MIN(INT(SUM(AD32:$AI32)/OFFSET($AV$2,MATCH(AD$3,$AE$3:$AI$3,0),0)),6-SUM(AK32:$AO32))</f>
        <v>0</v>
      </c>
      <c r="AK32">
        <f ca="1">MIN(INT(SUM(AE32:$AI32)/OFFSET($AV$2,MATCH(AE$3,$AE$3:$AI$3,0),0)),6-SUM(AL32:$AO32))</f>
        <v>0</v>
      </c>
      <c r="AL32">
        <f ca="1">MIN(INT(SUM(AF32:$AI32)/OFFSET($AV$2,MATCH(AF$3,$AE$3:$AI$3,0),0)),6-SUM(AM32:$AO32))</f>
        <v>3</v>
      </c>
      <c r="AM32">
        <f ca="1">MIN(INT((SUM(AG32:$AI32)+N32*2/6)/OFFSET($AV$2,MATCH(AG$3,$AE$3:$AI$3,0),0)),6-SUM(AN32:$AO32))</f>
        <v>3</v>
      </c>
      <c r="AN32">
        <f ca="1">MIN(INT(SUM(AH32:$AI32)/OFFSET($AV$2,MATCH(AH$3,$AE$3:$AI$3,0),0)),6-SUM(AO32:$AO32))</f>
        <v>0</v>
      </c>
      <c r="AO32">
        <f ca="1">INT(SUM(AI31:$AI32)/OFFSET($AV$2,MATCH(AI$3,$AE$3:$AI$3,0),0))</f>
        <v>0</v>
      </c>
      <c r="AP32" cm="1">
        <f ca="1" t="array" ref="AP32">SUMPRODUCT(AJ32:AO32,TRANSPOSE($AS$3:$AS$8))</f>
        <v>1.71</v>
      </c>
    </row>
    <row r="33" ht="16.5" spans="2:42">
      <c r="B33" s="52">
        <v>19</v>
      </c>
      <c r="C33" s="52">
        <v>19</v>
      </c>
      <c r="N33" s="2">
        <v>30</v>
      </c>
      <c r="O33" s="45">
        <f>产出预期!AN49</f>
        <v>3503</v>
      </c>
      <c r="P33" s="2">
        <f ca="1">练度预期!M32</f>
        <v>30</v>
      </c>
      <c r="Q33" s="2" t="str">
        <f ca="1" t="shared" si="15"/>
        <v>紫</v>
      </c>
      <c r="R33" s="46">
        <f ca="1" t="shared" si="16"/>
        <v>0.35073282579001</v>
      </c>
      <c r="S33" s="47">
        <f ca="1" t="shared" si="2"/>
        <v>23.7007478888889</v>
      </c>
      <c r="T33" s="47">
        <f ca="1">MIN(1+($O33*1.4+产出预期!AC49*60)/OFFSET($J$14,MATCH(T$3,$T$3:$W$3,0),0),18)</f>
        <v>4.84561111111111</v>
      </c>
      <c r="U33" s="47">
        <f ca="1">MIN(($O33*1.4+产出预期!$AC49*60)/OFFSET($J$14,MATCH(U$3,$T$3:$W$3,0),0),3)</f>
        <v>1.107536</v>
      </c>
      <c r="V33" s="47">
        <f ca="1">MIN(($O33*1.4+产出预期!$AC49*60)/OFFSET($J$14,MATCH(V$3,$T$3:$W$3,0),0),18)</f>
        <v>0.276884</v>
      </c>
      <c r="W33" s="47">
        <f ca="1">MIN(($O33*1.4+产出预期!$AC49*60)/OFFSET($J$14,MATCH(W$3,$T$3:$W$3,0),0),18)</f>
        <v>0.069221</v>
      </c>
      <c r="X33" s="47">
        <f ca="1" t="shared" si="3"/>
        <v>2.26816369724851</v>
      </c>
      <c r="Y33" s="47">
        <f ca="1" t="shared" si="4"/>
        <v>1.45197293446304</v>
      </c>
      <c r="Z33" s="47">
        <f ca="1" t="shared" si="5"/>
        <v>1.22375951207778</v>
      </c>
      <c r="AA33" s="47">
        <f ca="1" t="shared" si="6"/>
        <v>1.03441919713575</v>
      </c>
      <c r="AB33" s="47">
        <f ca="1" t="shared" si="7"/>
        <v>1.00972141029454</v>
      </c>
      <c r="AC33" s="48">
        <f ca="1" t="shared" si="8"/>
        <v>4.2094672358726</v>
      </c>
      <c r="AD33" s="47">
        <f t="shared" si="9"/>
        <v>875.75</v>
      </c>
      <c r="AE33" s="47">
        <f t="shared" si="10"/>
        <v>218.9375</v>
      </c>
      <c r="AF33" s="47">
        <f t="shared" si="11"/>
        <v>54.734375</v>
      </c>
      <c r="AG33" s="47">
        <f t="shared" si="12"/>
        <v>13.68359375</v>
      </c>
      <c r="AH33" s="47">
        <f t="shared" si="13"/>
        <v>3.4208984375</v>
      </c>
      <c r="AI33" s="47">
        <f t="shared" si="14"/>
        <v>0.855224609375</v>
      </c>
      <c r="AJ33">
        <f ca="1">MIN(INT(SUM(AD33:$AI33)/OFFSET($AV$2,MATCH(AD$3,$AE$3:$AI$3,0),0)),6-SUM(AK33:$AO33))</f>
        <v>0</v>
      </c>
      <c r="AK33">
        <f ca="1">MIN(INT(SUM(AE33:$AI33)/OFFSET($AV$2,MATCH(AE$3,$AE$3:$AI$3,0),0)),6-SUM(AL33:$AO33))</f>
        <v>0</v>
      </c>
      <c r="AL33">
        <f ca="1">MIN(INT(SUM(AF33:$AI33)/OFFSET($AV$2,MATCH(AF$3,$AE$3:$AI$3,0),0)),6-SUM(AM33:$AO33))</f>
        <v>3</v>
      </c>
      <c r="AM33">
        <f ca="1">MIN(INT((SUM(AG33:$AI33)+N33*2/6)/OFFSET($AV$2,MATCH(AG$3,$AE$3:$AI$3,0),0)),6-SUM(AN33:$AO33))</f>
        <v>3</v>
      </c>
      <c r="AN33">
        <f ca="1">MIN(INT(SUM(AH33:$AI33)/OFFSET($AV$2,MATCH(AH$3,$AE$3:$AI$3,0),0)),6-SUM(AO33:$AO33))</f>
        <v>0</v>
      </c>
      <c r="AO33">
        <f ca="1">INT(SUM(AI32:$AI33)/OFFSET($AV$2,MATCH(AI$3,$AE$3:$AI$3,0),0))</f>
        <v>0</v>
      </c>
      <c r="AP33" cm="1">
        <f ca="1" t="array" ref="AP33">SUMPRODUCT(AJ33:AO33,TRANSPOSE($AS$3:$AS$8))</f>
        <v>1.71</v>
      </c>
    </row>
    <row r="34" ht="16.5" spans="2:42">
      <c r="B34" s="52">
        <v>20</v>
      </c>
      <c r="C34" s="52">
        <v>20</v>
      </c>
      <c r="N34" s="2">
        <v>31</v>
      </c>
      <c r="O34" s="45">
        <f>产出预期!AN50</f>
        <v>3616</v>
      </c>
      <c r="P34" s="2">
        <f ca="1">练度预期!M33</f>
        <v>30</v>
      </c>
      <c r="Q34" s="2" t="str">
        <f ca="1" t="shared" si="15"/>
        <v>紫</v>
      </c>
      <c r="R34" s="46">
        <f ca="1" t="shared" si="16"/>
        <v>0.37234592334926</v>
      </c>
      <c r="S34" s="47">
        <f ca="1" t="shared" si="2"/>
        <v>23.5483257777778</v>
      </c>
      <c r="T34" s="47">
        <f ca="1">MIN(1+($O34*1.4+产出预期!AC50*60)/OFFSET($J$14,MATCH(T$3,$T$3:$W$3,0),0),18)</f>
        <v>4.95622222222222</v>
      </c>
      <c r="U34" s="47">
        <f ca="1">MIN(($O34*1.4+产出预期!$AC50*60)/OFFSET($J$14,MATCH(U$3,$T$3:$W$3,0),0),3)</f>
        <v>1.139392</v>
      </c>
      <c r="V34" s="47">
        <f ca="1">MIN(($O34*1.4+产出预期!$AC50*60)/OFFSET($J$14,MATCH(V$3,$T$3:$W$3,0),0),18)</f>
        <v>0.284848</v>
      </c>
      <c r="W34" s="47">
        <f ca="1">MIN(($O34*1.4+产出预期!$AC50*60)/OFFSET($J$14,MATCH(W$3,$T$3:$W$3,0),0),18)</f>
        <v>0.071212</v>
      </c>
      <c r="X34" s="47">
        <f ca="1" t="shared" si="3"/>
        <v>2.26509751993945</v>
      </c>
      <c r="Y34" s="47">
        <f ca="1" t="shared" si="4"/>
        <v>1.46438597120349</v>
      </c>
      <c r="Z34" s="47">
        <f ca="1" t="shared" si="5"/>
        <v>1.23088783151133</v>
      </c>
      <c r="AA34" s="47">
        <f ca="1" t="shared" si="6"/>
        <v>1.03542653014618</v>
      </c>
      <c r="AB34" s="47">
        <f ca="1" t="shared" si="7"/>
        <v>1.01000242055602</v>
      </c>
      <c r="AC34" s="48">
        <f ca="1" t="shared" si="8"/>
        <v>4.26975195085504</v>
      </c>
      <c r="AD34" s="47">
        <f t="shared" si="9"/>
        <v>904</v>
      </c>
      <c r="AE34" s="47">
        <f t="shared" si="10"/>
        <v>226</v>
      </c>
      <c r="AF34" s="47">
        <f t="shared" si="11"/>
        <v>56.5</v>
      </c>
      <c r="AG34" s="47">
        <f t="shared" si="12"/>
        <v>14.125</v>
      </c>
      <c r="AH34" s="47">
        <f t="shared" si="13"/>
        <v>3.53125</v>
      </c>
      <c r="AI34" s="47">
        <f t="shared" si="14"/>
        <v>0.8828125</v>
      </c>
      <c r="AJ34">
        <f ca="1">MIN(INT(SUM(AD34:$AI34)/OFFSET($AV$2,MATCH(AD$3,$AE$3:$AI$3,0),0)),6-SUM(AK34:$AO34))</f>
        <v>0</v>
      </c>
      <c r="AK34">
        <f ca="1">MIN(INT(SUM(AE34:$AI34)/OFFSET($AV$2,MATCH(AE$3,$AE$3:$AI$3,0),0)),6-SUM(AL34:$AO34))</f>
        <v>0</v>
      </c>
      <c r="AL34">
        <f ca="1">MIN(INT(SUM(AF34:$AI34)/OFFSET($AV$2,MATCH(AF$3,$AE$3:$AI$3,0),0)),6-SUM(AM34:$AO34))</f>
        <v>3</v>
      </c>
      <c r="AM34">
        <f ca="1">MIN(INT((SUM(AG34:$AI34)+N34*2/6)/OFFSET($AV$2,MATCH(AG$3,$AE$3:$AI$3,0),0)),6-SUM(AN34:$AO34))</f>
        <v>3</v>
      </c>
      <c r="AN34">
        <f ca="1">MIN(INT(SUM(AH34:$AI34)/OFFSET($AV$2,MATCH(AH$3,$AE$3:$AI$3,0),0)),6-SUM(AO34:$AO34))</f>
        <v>0</v>
      </c>
      <c r="AO34">
        <f ca="1">INT(SUM(AI33:$AI34)/OFFSET($AV$2,MATCH(AI$3,$AE$3:$AI$3,0),0))</f>
        <v>0</v>
      </c>
      <c r="AP34" cm="1">
        <f ca="1" t="array" ref="AP34">SUMPRODUCT(AJ34:AO34,TRANSPOSE($AS$3:$AS$8))</f>
        <v>1.71</v>
      </c>
    </row>
    <row r="35" ht="16.5" spans="2:42">
      <c r="B35" s="52">
        <v>22</v>
      </c>
      <c r="C35" s="52">
        <v>21</v>
      </c>
      <c r="N35" s="2">
        <v>32</v>
      </c>
      <c r="O35" s="45">
        <f>产出预期!AN51</f>
        <v>3724</v>
      </c>
      <c r="P35" s="2">
        <f ca="1">练度预期!M34</f>
        <v>30</v>
      </c>
      <c r="Q35" s="2" t="str">
        <f ca="1" t="shared" si="15"/>
        <v>紫</v>
      </c>
      <c r="R35" s="46">
        <f ca="1" t="shared" si="16"/>
        <v>0.392689245069888</v>
      </c>
      <c r="S35" s="47">
        <f ca="1" t="shared" si="2"/>
        <v>23.3985831111111</v>
      </c>
      <c r="T35" s="47">
        <f ca="1">MIN(1+($O35*1.4+产出预期!AC51*60)/OFFSET($J$14,MATCH(T$3,$T$3:$W$3,0),0),18)</f>
        <v>5.06488888888889</v>
      </c>
      <c r="U35" s="47">
        <f ca="1">MIN(($O35*1.4+产出预期!$AC51*60)/OFFSET($J$14,MATCH(U$3,$T$3:$W$3,0),0),3)</f>
        <v>1.170688</v>
      </c>
      <c r="V35" s="47">
        <f ca="1">MIN(($O35*1.4+产出预期!$AC51*60)/OFFSET($J$14,MATCH(V$3,$T$3:$W$3,0),0),18)</f>
        <v>0.292672</v>
      </c>
      <c r="W35" s="47">
        <f ca="1">MIN(($O35*1.4+产出预期!$AC51*60)/OFFSET($J$14,MATCH(W$3,$T$3:$W$3,0),0),18)</f>
        <v>0.073168</v>
      </c>
      <c r="X35" s="47">
        <f ca="1" t="shared" si="3"/>
        <v>2.26181287493163</v>
      </c>
      <c r="Y35" s="47">
        <f ca="1" t="shared" si="4"/>
        <v>1.47668413092085</v>
      </c>
      <c r="Z35" s="47">
        <f ca="1" t="shared" si="5"/>
        <v>1.23793127361669</v>
      </c>
      <c r="AA35" s="47">
        <f ca="1" t="shared" si="6"/>
        <v>1.03641711037857</v>
      </c>
      <c r="AB35" s="47">
        <f ca="1" t="shared" si="7"/>
        <v>1.01027856706459</v>
      </c>
      <c r="AC35" s="48">
        <f ca="1" t="shared" si="8"/>
        <v>4.32928850252718</v>
      </c>
      <c r="AD35" s="47">
        <f t="shared" si="9"/>
        <v>931</v>
      </c>
      <c r="AE35" s="47">
        <f t="shared" si="10"/>
        <v>232.75</v>
      </c>
      <c r="AF35" s="47">
        <f t="shared" si="11"/>
        <v>58.1875</v>
      </c>
      <c r="AG35" s="47">
        <f t="shared" si="12"/>
        <v>14.546875</v>
      </c>
      <c r="AH35" s="47">
        <f t="shared" si="13"/>
        <v>3.63671875</v>
      </c>
      <c r="AI35" s="47">
        <f t="shared" si="14"/>
        <v>0.9091796875</v>
      </c>
      <c r="AJ35">
        <f ca="1">MIN(INT(SUM(AD35:$AI35)/OFFSET($AV$2,MATCH(AD$3,$AE$3:$AI$3,0),0)),6-SUM(AK35:$AO35))</f>
        <v>0</v>
      </c>
      <c r="AK35">
        <f ca="1">MIN(INT(SUM(AE35:$AI35)/OFFSET($AV$2,MATCH(AE$3,$AE$3:$AI$3,0),0)),6-SUM(AL35:$AO35))</f>
        <v>0</v>
      </c>
      <c r="AL35">
        <f ca="1">MIN(INT(SUM(AF35:$AI35)/OFFSET($AV$2,MATCH(AF$3,$AE$3:$AI$3,0),0)),6-SUM(AM35:$AO35))</f>
        <v>3</v>
      </c>
      <c r="AM35">
        <f ca="1">MIN(INT((SUM(AG35:$AI35)+N35*2/6)/OFFSET($AV$2,MATCH(AG$3,$AE$3:$AI$3,0),0)),6-SUM(AN35:$AO35))</f>
        <v>3</v>
      </c>
      <c r="AN35">
        <f ca="1">MIN(INT(SUM(AH35:$AI35)/OFFSET($AV$2,MATCH(AH$3,$AE$3:$AI$3,0),0)),6-SUM(AO35:$AO35))</f>
        <v>0</v>
      </c>
      <c r="AO35">
        <f ca="1">INT(SUM(AI34:$AI35)/OFFSET($AV$2,MATCH(AI$3,$AE$3:$AI$3,0),0))</f>
        <v>0</v>
      </c>
      <c r="AP35" cm="1">
        <f ca="1" t="array" ref="AP35">SUMPRODUCT(AJ35:AO35,TRANSPOSE($AS$3:$AS$8))</f>
        <v>1.71</v>
      </c>
    </row>
    <row r="36" ht="16.5" spans="2:42">
      <c r="B36" s="52">
        <v>24</v>
      </c>
      <c r="C36" s="52">
        <v>22</v>
      </c>
      <c r="N36" s="2">
        <v>33</v>
      </c>
      <c r="O36" s="45">
        <f>产出预期!AN52</f>
        <v>3814</v>
      </c>
      <c r="P36" s="2">
        <f ca="1">练度预期!M35</f>
        <v>30</v>
      </c>
      <c r="Q36" s="2" t="str">
        <f ca="1" t="shared" si="15"/>
        <v>紫</v>
      </c>
      <c r="R36" s="46">
        <f ca="1" t="shared" si="16"/>
        <v>0.409417728472767</v>
      </c>
      <c r="S36" s="47">
        <f ca="1" t="shared" si="2"/>
        <v>23.2814531111111</v>
      </c>
      <c r="T36" s="47">
        <f ca="1">MIN(1+($O36*1.4+产出预期!AC52*60)/OFFSET($J$14,MATCH(T$3,$T$3:$W$3,0),0),18)</f>
        <v>5.14988888888889</v>
      </c>
      <c r="U36" s="47">
        <f ca="1">MIN(($O36*1.4+产出预期!$AC52*60)/OFFSET($J$14,MATCH(U$3,$T$3:$W$3,0),0),3)</f>
        <v>1.195168</v>
      </c>
      <c r="V36" s="47">
        <f ca="1">MIN(($O36*1.4+产出预期!$AC52*60)/OFFSET($J$14,MATCH(V$3,$T$3:$W$3,0),0),18)</f>
        <v>0.298792</v>
      </c>
      <c r="W36" s="47">
        <f ca="1">MIN(($O36*1.4+产出预期!$AC52*60)/OFFSET($J$14,MATCH(W$3,$T$3:$W$3,0),0),18)</f>
        <v>0.074698</v>
      </c>
      <c r="X36" s="47">
        <f ca="1" t="shared" si="3"/>
        <v>2.25939105203852</v>
      </c>
      <c r="Y36" s="47">
        <f ca="1" t="shared" si="4"/>
        <v>1.48637580390415</v>
      </c>
      <c r="Z36" s="47">
        <f ca="1" t="shared" si="5"/>
        <v>1.24346879616292</v>
      </c>
      <c r="AA36" s="47">
        <f ca="1" t="shared" si="6"/>
        <v>1.03719261125682</v>
      </c>
      <c r="AB36" s="47">
        <f ca="1" t="shared" si="7"/>
        <v>1.01049462386126</v>
      </c>
      <c r="AC36" s="48">
        <f ca="1" t="shared" si="8"/>
        <v>4.3767157767876</v>
      </c>
      <c r="AD36" s="47">
        <f t="shared" si="9"/>
        <v>953.5</v>
      </c>
      <c r="AE36" s="47">
        <f t="shared" si="10"/>
        <v>238.375</v>
      </c>
      <c r="AF36" s="47">
        <f t="shared" si="11"/>
        <v>59.59375</v>
      </c>
      <c r="AG36" s="47">
        <f t="shared" si="12"/>
        <v>14.8984375</v>
      </c>
      <c r="AH36" s="47">
        <f t="shared" si="13"/>
        <v>3.724609375</v>
      </c>
      <c r="AI36" s="47">
        <f t="shared" si="14"/>
        <v>0.93115234375</v>
      </c>
      <c r="AJ36">
        <f ca="1">MIN(INT(SUM(AD36:$AI36)/OFFSET($AV$2,MATCH(AD$3,$AE$3:$AI$3,0),0)),6-SUM(AK36:$AO36))</f>
        <v>0</v>
      </c>
      <c r="AK36">
        <f ca="1">MIN(INT(SUM(AE36:$AI36)/OFFSET($AV$2,MATCH(AE$3,$AE$3:$AI$3,0),0)),6-SUM(AL36:$AO36))</f>
        <v>0</v>
      </c>
      <c r="AL36">
        <f ca="1">MIN(INT(SUM(AF36:$AI36)/OFFSET($AV$2,MATCH(AF$3,$AE$3:$AI$3,0),0)),6-SUM(AM36:$AO36))</f>
        <v>2</v>
      </c>
      <c r="AM36">
        <f ca="1">MIN(INT((SUM(AG36:$AI36)+N36*2/6)/OFFSET($AV$2,MATCH(AG$3,$AE$3:$AI$3,0),0)),6-SUM(AN36:$AO36))</f>
        <v>4</v>
      </c>
      <c r="AN36">
        <f ca="1">MIN(INT(SUM(AH36:$AI36)/OFFSET($AV$2,MATCH(AH$3,$AE$3:$AI$3,0),0)),6-SUM(AO36:$AO36))</f>
        <v>0</v>
      </c>
      <c r="AO36">
        <f ca="1">INT(SUM(AI35:$AI36)/OFFSET($AV$2,MATCH(AI$3,$AE$3:$AI$3,0),0))</f>
        <v>0</v>
      </c>
      <c r="AP36" cm="1">
        <f ca="1" t="array" ref="AP36">SUMPRODUCT(AJ36:AO36,TRANSPOSE($AS$3:$AS$8))</f>
        <v>1.78</v>
      </c>
    </row>
    <row r="37" ht="16.5" spans="2:42">
      <c r="B37" s="52">
        <v>26</v>
      </c>
      <c r="C37" s="52">
        <v>23</v>
      </c>
      <c r="N37" s="2">
        <v>34</v>
      </c>
      <c r="O37" s="45">
        <f>产出预期!AN53</f>
        <v>3922</v>
      </c>
      <c r="P37" s="2">
        <f ca="1">练度预期!M36</f>
        <v>30</v>
      </c>
      <c r="Q37" s="2" t="str">
        <f ca="1" t="shared" si="15"/>
        <v>紫</v>
      </c>
      <c r="R37" s="46">
        <f ca="1" t="shared" si="16"/>
        <v>0.429233477544286</v>
      </c>
      <c r="S37" s="47">
        <f ca="1" t="shared" si="2"/>
        <v>23.1317104444444</v>
      </c>
      <c r="T37" s="47">
        <f ca="1">MIN(1+($O37*1.4+产出预期!AC53*60)/OFFSET($J$14,MATCH(T$3,$T$3:$W$3,0),0),18)</f>
        <v>5.25855555555556</v>
      </c>
      <c r="U37" s="47">
        <f ca="1">MIN(($O37*1.4+产出预期!$AC53*60)/OFFSET($J$14,MATCH(U$3,$T$3:$W$3,0),0),3)</f>
        <v>1.226464</v>
      </c>
      <c r="V37" s="47">
        <f ca="1">MIN(($O37*1.4+产出预期!$AC53*60)/OFFSET($J$14,MATCH(V$3,$T$3:$W$3,0),0),18)</f>
        <v>0.306616</v>
      </c>
      <c r="W37" s="47">
        <f ca="1">MIN(($O37*1.4+产出预期!$AC53*60)/OFFSET($J$14,MATCH(W$3,$T$3:$W$3,0),0),18)</f>
        <v>0.076654</v>
      </c>
      <c r="X37" s="47">
        <f ca="1" t="shared" si="3"/>
        <v>2.25587456737839</v>
      </c>
      <c r="Y37" s="47">
        <f ca="1" t="shared" si="4"/>
        <v>1.49885863793553</v>
      </c>
      <c r="Z37" s="47">
        <f ca="1" t="shared" si="5"/>
        <v>1.25058422963409</v>
      </c>
      <c r="AA37" s="47">
        <f ca="1" t="shared" si="6"/>
        <v>1.03818488107797</v>
      </c>
      <c r="AB37" s="47">
        <f ca="1" t="shared" si="7"/>
        <v>1.01077090494398</v>
      </c>
      <c r="AC37" s="48">
        <f ca="1" t="shared" si="8"/>
        <v>4.43727150830424</v>
      </c>
      <c r="AD37" s="47">
        <f t="shared" si="9"/>
        <v>980.5</v>
      </c>
      <c r="AE37" s="47">
        <f t="shared" si="10"/>
        <v>245.125</v>
      </c>
      <c r="AF37" s="47">
        <f t="shared" si="11"/>
        <v>61.28125</v>
      </c>
      <c r="AG37" s="47">
        <f t="shared" si="12"/>
        <v>15.3203125</v>
      </c>
      <c r="AH37" s="47">
        <f t="shared" si="13"/>
        <v>3.830078125</v>
      </c>
      <c r="AI37" s="47">
        <f t="shared" si="14"/>
        <v>0.95751953125</v>
      </c>
      <c r="AJ37">
        <f ca="1">MIN(INT(SUM(AD37:$AI37)/OFFSET($AV$2,MATCH(AD$3,$AE$3:$AI$3,0),0)),6-SUM(AK37:$AO37))</f>
        <v>0</v>
      </c>
      <c r="AK37">
        <f ca="1">MIN(INT(SUM(AE37:$AI37)/OFFSET($AV$2,MATCH(AE$3,$AE$3:$AI$3,0),0)),6-SUM(AL37:$AO37))</f>
        <v>0</v>
      </c>
      <c r="AL37">
        <f ca="1">MIN(INT(SUM(AF37:$AI37)/OFFSET($AV$2,MATCH(AF$3,$AE$3:$AI$3,0),0)),6-SUM(AM37:$AO37))</f>
        <v>2</v>
      </c>
      <c r="AM37">
        <f ca="1">MIN(INT((SUM(AG37:$AI37)+N37*2/6)/OFFSET($AV$2,MATCH(AG$3,$AE$3:$AI$3,0),0)),6-SUM(AN37:$AO37))</f>
        <v>4</v>
      </c>
      <c r="AN37">
        <f ca="1">MIN(INT(SUM(AH37:$AI37)/OFFSET($AV$2,MATCH(AH$3,$AE$3:$AI$3,0),0)),6-SUM(AO37:$AO37))</f>
        <v>0</v>
      </c>
      <c r="AO37">
        <f ca="1">INT(SUM(AI36:$AI37)/OFFSET($AV$2,MATCH(AI$3,$AE$3:$AI$3,0),0))</f>
        <v>0</v>
      </c>
      <c r="AP37" cm="1">
        <f ca="1" t="array" ref="AP37">SUMPRODUCT(AJ37:AO37,TRANSPOSE($AS$3:$AS$8))</f>
        <v>1.78</v>
      </c>
    </row>
    <row r="38" ht="16.5" spans="2:42">
      <c r="B38" s="52">
        <v>28</v>
      </c>
      <c r="C38" s="52">
        <v>24</v>
      </c>
      <c r="N38" s="2">
        <v>35</v>
      </c>
      <c r="O38" s="45">
        <f>产出预期!AN54</f>
        <v>4030</v>
      </c>
      <c r="P38" s="2">
        <f ca="1">练度预期!M37</f>
        <v>30</v>
      </c>
      <c r="Q38" s="2" t="str">
        <f ca="1" t="shared" si="15"/>
        <v>紫</v>
      </c>
      <c r="R38" s="46">
        <f ca="1" t="shared" si="16"/>
        <v>0.448778220892809</v>
      </c>
      <c r="S38" s="47">
        <f ca="1" t="shared" si="2"/>
        <v>23.0049344444444</v>
      </c>
      <c r="T38" s="47">
        <f ca="1">MIN(1+($O38*1.4+产出预期!AC54*60)/OFFSET($J$14,MATCH(T$3,$T$3:$W$3,0),0),18)</f>
        <v>5.35055555555556</v>
      </c>
      <c r="U38" s="47">
        <f ca="1">MIN(($O38*1.4+产出预期!$AC54*60)/OFFSET($J$14,MATCH(U$3,$T$3:$W$3,0),0),3)</f>
        <v>1.25296</v>
      </c>
      <c r="V38" s="47">
        <f ca="1">MIN(($O38*1.4+产出预期!$AC54*60)/OFFSET($J$14,MATCH(V$3,$T$3:$W$3,0),0),18)</f>
        <v>0.31324</v>
      </c>
      <c r="W38" s="47">
        <f ca="1">MIN(($O38*1.4+产出预期!$AC54*60)/OFFSET($J$14,MATCH(W$3,$T$3:$W$3,0),0),18)</f>
        <v>0.07831</v>
      </c>
      <c r="X38" s="47">
        <f ca="1" t="shared" si="3"/>
        <v>2.25348785773956</v>
      </c>
      <c r="Y38" s="47">
        <f ca="1" t="shared" si="4"/>
        <v>1.50950883972958</v>
      </c>
      <c r="Z38" s="47">
        <f ca="1" t="shared" si="5"/>
        <v>1.25664015757393</v>
      </c>
      <c r="AA38" s="47">
        <f ca="1" t="shared" si="6"/>
        <v>1.03902570430254</v>
      </c>
      <c r="AB38" s="47">
        <f ca="1" t="shared" si="7"/>
        <v>1.01100487067516</v>
      </c>
      <c r="AC38" s="48">
        <f ca="1" t="shared" si="8"/>
        <v>4.49036202621446</v>
      </c>
      <c r="AD38" s="47">
        <f t="shared" si="9"/>
        <v>1007.5</v>
      </c>
      <c r="AE38" s="47">
        <f t="shared" si="10"/>
        <v>251.875</v>
      </c>
      <c r="AF38" s="47">
        <f t="shared" si="11"/>
        <v>62.96875</v>
      </c>
      <c r="AG38" s="47">
        <f t="shared" si="12"/>
        <v>15.7421875</v>
      </c>
      <c r="AH38" s="47">
        <f t="shared" si="13"/>
        <v>3.935546875</v>
      </c>
      <c r="AI38" s="47">
        <f t="shared" si="14"/>
        <v>0.98388671875</v>
      </c>
      <c r="AJ38">
        <f ca="1">MIN(INT(SUM(AD38:$AI38)/OFFSET($AV$2,MATCH(AD$3,$AE$3:$AI$3,0),0)),6-SUM(AK38:$AO38))</f>
        <v>0</v>
      </c>
      <c r="AK38">
        <f ca="1">MIN(INT(SUM(AE38:$AI38)/OFFSET($AV$2,MATCH(AE$3,$AE$3:$AI$3,0),0)),6-SUM(AL38:$AO38))</f>
        <v>0</v>
      </c>
      <c r="AL38">
        <f ca="1">MIN(INT(SUM(AF38:$AI38)/OFFSET($AV$2,MATCH(AF$3,$AE$3:$AI$3,0),0)),6-SUM(AM38:$AO38))</f>
        <v>2</v>
      </c>
      <c r="AM38">
        <f ca="1">MIN(INT((SUM(AG38:$AI38)+N38*2/6)/OFFSET($AV$2,MATCH(AG$3,$AE$3:$AI$3,0),0)),6-SUM(AN38:$AO38))</f>
        <v>4</v>
      </c>
      <c r="AN38">
        <f ca="1">MIN(INT(SUM(AH38:$AI38)/OFFSET($AV$2,MATCH(AH$3,$AE$3:$AI$3,0),0)),6-SUM(AO38:$AO38))</f>
        <v>0</v>
      </c>
      <c r="AO38">
        <f ca="1">INT(SUM(AI37:$AI38)/OFFSET($AV$2,MATCH(AI$3,$AE$3:$AI$3,0),0))</f>
        <v>0</v>
      </c>
      <c r="AP38" cm="1">
        <f ca="1" t="array" ref="AP38">SUMPRODUCT(AJ38:AO38,TRANSPOSE($AS$3:$AS$8))</f>
        <v>1.78</v>
      </c>
    </row>
    <row r="39" ht="16.5" spans="2:42">
      <c r="B39" s="52">
        <v>30</v>
      </c>
      <c r="C39" s="52">
        <v>25</v>
      </c>
      <c r="N39" s="2">
        <v>36</v>
      </c>
      <c r="O39" s="45">
        <f>产出预期!AN55</f>
        <v>4143</v>
      </c>
      <c r="P39" s="2">
        <f ca="1">练度预期!M38</f>
        <v>30</v>
      </c>
      <c r="Q39" s="2" t="str">
        <f ca="1" t="shared" si="15"/>
        <v>紫</v>
      </c>
      <c r="R39" s="46">
        <f ca="1" t="shared" si="16"/>
        <v>0.468949454542259</v>
      </c>
      <c r="S39" s="47">
        <f ca="1" t="shared" si="2"/>
        <v>22.8525123333333</v>
      </c>
      <c r="T39" s="47">
        <f ca="1">MIN(1+($O39*1.4+产出预期!AC55*60)/OFFSET($J$14,MATCH(T$3,$T$3:$W$3,0),0),18)</f>
        <v>5.46116666666667</v>
      </c>
      <c r="U39" s="47">
        <f ca="1">MIN(($O39*1.4+产出预期!$AC55*60)/OFFSET($J$14,MATCH(U$3,$T$3:$W$3,0),0),3)</f>
        <v>1.284816</v>
      </c>
      <c r="V39" s="47">
        <f ca="1">MIN(($O39*1.4+产出预期!$AC55*60)/OFFSET($J$14,MATCH(V$3,$T$3:$W$3,0),0),18)</f>
        <v>0.321204</v>
      </c>
      <c r="W39" s="47">
        <f ca="1">MIN(($O39*1.4+产出预期!$AC55*60)/OFFSET($J$14,MATCH(W$3,$T$3:$W$3,0),0),18)</f>
        <v>0.080301</v>
      </c>
      <c r="X39" s="47">
        <f ca="1" t="shared" si="3"/>
        <v>2.24979234860304</v>
      </c>
      <c r="Y39" s="47">
        <f ca="1" t="shared" si="4"/>
        <v>1.52241375568418</v>
      </c>
      <c r="Z39" s="47">
        <f ca="1" t="shared" si="5"/>
        <v>1.26396000462542</v>
      </c>
      <c r="AA39" s="47">
        <f ca="1" t="shared" si="6"/>
        <v>1.04003752319911</v>
      </c>
      <c r="AB39" s="47">
        <f ca="1" t="shared" si="7"/>
        <v>1.01128623812976</v>
      </c>
      <c r="AC39" s="48">
        <f ca="1" t="shared" si="8"/>
        <v>4.55335564020299</v>
      </c>
      <c r="AD39" s="47">
        <f t="shared" si="9"/>
        <v>1035.75</v>
      </c>
      <c r="AE39" s="47">
        <f t="shared" si="10"/>
        <v>258.9375</v>
      </c>
      <c r="AF39" s="47">
        <f t="shared" si="11"/>
        <v>64.734375</v>
      </c>
      <c r="AG39" s="47">
        <f t="shared" si="12"/>
        <v>16.18359375</v>
      </c>
      <c r="AH39" s="47">
        <f t="shared" si="13"/>
        <v>4.0458984375</v>
      </c>
      <c r="AI39" s="47">
        <f t="shared" si="14"/>
        <v>1.011474609375</v>
      </c>
      <c r="AJ39">
        <f ca="1">MIN(INT(SUM(AD39:$AI39)/OFFSET($AV$2,MATCH(AD$3,$AE$3:$AI$3,0),0)),6-SUM(AK39:$AO39))</f>
        <v>0</v>
      </c>
      <c r="AK39">
        <f ca="1">MIN(INT(SUM(AE39:$AI39)/OFFSET($AV$2,MATCH(AE$3,$AE$3:$AI$3,0),0)),6-SUM(AL39:$AO39))</f>
        <v>0</v>
      </c>
      <c r="AL39">
        <f ca="1">MIN(INT(SUM(AF39:$AI39)/OFFSET($AV$2,MATCH(AF$3,$AE$3:$AI$3,0),0)),6-SUM(AM39:$AO39))</f>
        <v>2</v>
      </c>
      <c r="AM39">
        <f ca="1">MIN(INT((SUM(AG39:$AI39)+N39*2/6)/OFFSET($AV$2,MATCH(AG$3,$AE$3:$AI$3,0),0)),6-SUM(AN39:$AO39))</f>
        <v>4</v>
      </c>
      <c r="AN39">
        <f ca="1">MIN(INT(SUM(AH39:$AI39)/OFFSET($AV$2,MATCH(AH$3,$AE$3:$AI$3,0),0)),6-SUM(AO39:$AO39))</f>
        <v>0</v>
      </c>
      <c r="AO39">
        <f ca="1">INT(SUM(AI38:$AI39)/OFFSET($AV$2,MATCH(AI$3,$AE$3:$AI$3,0),0))</f>
        <v>0</v>
      </c>
      <c r="AP39" cm="1">
        <f ca="1" t="array" ref="AP39">SUMPRODUCT(AJ39:AO39,TRANSPOSE($AS$3:$AS$8))</f>
        <v>1.78</v>
      </c>
    </row>
    <row r="40" ht="16.5" spans="2:42">
      <c r="B40" s="52">
        <v>32</v>
      </c>
      <c r="C40" s="52">
        <v>26</v>
      </c>
      <c r="N40" s="2">
        <v>37</v>
      </c>
      <c r="O40" s="45">
        <f>产出预期!AN56</f>
        <v>4251</v>
      </c>
      <c r="P40" s="2">
        <f ca="1">练度预期!M39</f>
        <v>30</v>
      </c>
      <c r="Q40" s="2" t="str">
        <f ca="1" t="shared" si="15"/>
        <v>紫</v>
      </c>
      <c r="R40" s="46">
        <f ca="1" t="shared" si="16"/>
        <v>0.487972613995298</v>
      </c>
      <c r="S40" s="47">
        <f ca="1" t="shared" si="2"/>
        <v>22.7257363333333</v>
      </c>
      <c r="T40" s="47">
        <f ca="1">MIN(1+($O40*1.4+产出预期!AC56*60)/OFFSET($J$14,MATCH(T$3,$T$3:$W$3,0),0),18)</f>
        <v>5.55316666666667</v>
      </c>
      <c r="U40" s="47">
        <f ca="1">MIN(($O40*1.4+产出预期!$AC56*60)/OFFSET($J$14,MATCH(U$3,$T$3:$W$3,0),0),3)</f>
        <v>1.311312</v>
      </c>
      <c r="V40" s="47">
        <f ca="1">MIN(($O40*1.4+产出预期!$AC56*60)/OFFSET($J$14,MATCH(V$3,$T$3:$W$3,0),0),18)</f>
        <v>0.327828</v>
      </c>
      <c r="W40" s="47">
        <f ca="1">MIN(($O40*1.4+产出预期!$AC56*60)/OFFSET($J$14,MATCH(W$3,$T$3:$W$3,0),0),18)</f>
        <v>0.081957</v>
      </c>
      <c r="X40" s="47">
        <f ca="1" t="shared" si="3"/>
        <v>2.24718218630211</v>
      </c>
      <c r="Y40" s="47">
        <f ca="1" t="shared" si="4"/>
        <v>1.53323132933769</v>
      </c>
      <c r="Z40" s="47">
        <f ca="1" t="shared" si="5"/>
        <v>1.27008070447551</v>
      </c>
      <c r="AA40" s="47">
        <f ca="1" t="shared" si="6"/>
        <v>1.0408798468737</v>
      </c>
      <c r="AB40" s="47">
        <f ca="1" t="shared" si="7"/>
        <v>1.01152032314643</v>
      </c>
      <c r="AC40" s="48">
        <f ca="1" t="shared" si="8"/>
        <v>4.60736373204397</v>
      </c>
      <c r="AD40" s="47">
        <f t="shared" si="9"/>
        <v>1062.75</v>
      </c>
      <c r="AE40" s="47">
        <f t="shared" si="10"/>
        <v>265.6875</v>
      </c>
      <c r="AF40" s="47">
        <f t="shared" si="11"/>
        <v>66.421875</v>
      </c>
      <c r="AG40" s="47">
        <f t="shared" si="12"/>
        <v>16.60546875</v>
      </c>
      <c r="AH40" s="47">
        <f t="shared" si="13"/>
        <v>4.1513671875</v>
      </c>
      <c r="AI40" s="47">
        <f t="shared" si="14"/>
        <v>1.037841796875</v>
      </c>
      <c r="AJ40">
        <f ca="1">MIN(INT(SUM(AD40:$AI40)/OFFSET($AV$2,MATCH(AD$3,$AE$3:$AI$3,0),0)),6-SUM(AK40:$AO40))</f>
        <v>0</v>
      </c>
      <c r="AK40">
        <f ca="1">MIN(INT(SUM(AE40:$AI40)/OFFSET($AV$2,MATCH(AE$3,$AE$3:$AI$3,0),0)),6-SUM(AL40:$AO40))</f>
        <v>0</v>
      </c>
      <c r="AL40">
        <f ca="1">MIN(INT(SUM(AF40:$AI40)/OFFSET($AV$2,MATCH(AF$3,$AE$3:$AI$3,0),0)),6-SUM(AM40:$AO40))</f>
        <v>2</v>
      </c>
      <c r="AM40">
        <f ca="1">MIN(INT((SUM(AG40:$AI40)+N40*2/6)/OFFSET($AV$2,MATCH(AG$3,$AE$3:$AI$3,0),0)),6-SUM(AN40:$AO40))</f>
        <v>4</v>
      </c>
      <c r="AN40">
        <f ca="1">MIN(INT(SUM(AH40:$AI40)/OFFSET($AV$2,MATCH(AH$3,$AE$3:$AI$3,0),0)),6-SUM(AO40:$AO40))</f>
        <v>0</v>
      </c>
      <c r="AO40">
        <f ca="1">INT(SUM(AI39:$AI40)/OFFSET($AV$2,MATCH(AI$3,$AE$3:$AI$3,0),0))</f>
        <v>0</v>
      </c>
      <c r="AP40" cm="1">
        <f ca="1" t="array" ref="AP40">SUMPRODUCT(AJ40:AO40,TRANSPOSE($AS$3:$AS$8))</f>
        <v>1.78</v>
      </c>
    </row>
    <row r="41" ht="16.5" spans="2:42">
      <c r="B41" s="52">
        <v>34</v>
      </c>
      <c r="C41" s="52">
        <v>27</v>
      </c>
      <c r="N41" s="2">
        <v>38</v>
      </c>
      <c r="O41" s="45">
        <f>产出预期!AN57</f>
        <v>4369</v>
      </c>
      <c r="P41" s="2">
        <f ca="1">练度预期!M40</f>
        <v>30</v>
      </c>
      <c r="Q41" s="2" t="str">
        <f ca="1" t="shared" si="15"/>
        <v>紫</v>
      </c>
      <c r="R41" s="46">
        <f ca="1" t="shared" si="16"/>
        <v>0.508482957587965</v>
      </c>
      <c r="S41" s="47">
        <f ca="1" t="shared" si="2"/>
        <v>22.5706347777778</v>
      </c>
      <c r="T41" s="47">
        <f ca="1">MIN(1+($O41*1.4+产出预期!AC57*60)/OFFSET($J$14,MATCH(T$3,$T$3:$W$3,0),0),18)</f>
        <v>5.66572222222222</v>
      </c>
      <c r="U41" s="47">
        <f ca="1">MIN(($O41*1.4+产出预期!$AC57*60)/OFFSET($J$14,MATCH(U$3,$T$3:$W$3,0),0),3)</f>
        <v>1.343728</v>
      </c>
      <c r="V41" s="47">
        <f ca="1">MIN(($O41*1.4+产出预期!$AC57*60)/OFFSET($J$14,MATCH(V$3,$T$3:$W$3,0),0),18)</f>
        <v>0.335932</v>
      </c>
      <c r="W41" s="47">
        <f ca="1">MIN(($O41*1.4+产出预期!$AC57*60)/OFFSET($J$14,MATCH(W$3,$T$3:$W$3,0),0),18)</f>
        <v>0.083983</v>
      </c>
      <c r="X41" s="47">
        <f ca="1" t="shared" si="3"/>
        <v>2.24329957015331</v>
      </c>
      <c r="Y41" s="47">
        <f ca="1" t="shared" si="4"/>
        <v>1.54657047231246</v>
      </c>
      <c r="Z41" s="47">
        <f ca="1" t="shared" si="5"/>
        <v>1.27760927917729</v>
      </c>
      <c r="AA41" s="47">
        <f ca="1" t="shared" si="6"/>
        <v>1.04191129880028</v>
      </c>
      <c r="AB41" s="47">
        <f ca="1" t="shared" si="7"/>
        <v>1.01180678346464</v>
      </c>
      <c r="AC41" s="48">
        <f ca="1" t="shared" si="8"/>
        <v>4.67286655778281</v>
      </c>
      <c r="AD41" s="47">
        <f t="shared" si="9"/>
        <v>1092.25</v>
      </c>
      <c r="AE41" s="47">
        <f t="shared" si="10"/>
        <v>273.0625</v>
      </c>
      <c r="AF41" s="47">
        <f t="shared" si="11"/>
        <v>68.265625</v>
      </c>
      <c r="AG41" s="47">
        <f t="shared" si="12"/>
        <v>17.06640625</v>
      </c>
      <c r="AH41" s="47">
        <f t="shared" si="13"/>
        <v>4.2666015625</v>
      </c>
      <c r="AI41" s="47">
        <f t="shared" si="14"/>
        <v>1.066650390625</v>
      </c>
      <c r="AJ41">
        <f ca="1">MIN(INT(SUM(AD41:$AI41)/OFFSET($AV$2,MATCH(AD$3,$AE$3:$AI$3,0),0)),6-SUM(AK41:$AO41))</f>
        <v>0</v>
      </c>
      <c r="AK41">
        <f ca="1">MIN(INT(SUM(AE41:$AI41)/OFFSET($AV$2,MATCH(AE$3,$AE$3:$AI$3,0),0)),6-SUM(AL41:$AO41))</f>
        <v>0</v>
      </c>
      <c r="AL41">
        <f ca="1">MIN(INT(SUM(AF41:$AI41)/OFFSET($AV$2,MATCH(AF$3,$AE$3:$AI$3,0),0)),6-SUM(AM41:$AO41))</f>
        <v>1</v>
      </c>
      <c r="AM41">
        <f ca="1">MIN(INT((SUM(AG41:$AI41)+N41*2/6)/OFFSET($AV$2,MATCH(AG$3,$AE$3:$AI$3,0),0)),6-SUM(AN41:$AO41))</f>
        <v>4</v>
      </c>
      <c r="AN41">
        <f ca="1">MIN(INT(SUM(AH41:$AI41)/OFFSET($AV$2,MATCH(AH$3,$AE$3:$AI$3,0),0)),6-SUM(AO41:$AO41))</f>
        <v>1</v>
      </c>
      <c r="AO41">
        <f ca="1">INT(SUM(AI40:$AI41)/OFFSET($AV$2,MATCH(AI$3,$AE$3:$AI$3,0),0))</f>
        <v>0</v>
      </c>
      <c r="AP41" cm="1">
        <f ca="1" t="array" ref="AP41">SUMPRODUCT(AJ41:AO41,TRANSPOSE($AS$3:$AS$8))</f>
        <v>1.93</v>
      </c>
    </row>
    <row r="42" ht="16.5" spans="2:42">
      <c r="B42" s="52">
        <v>36</v>
      </c>
      <c r="C42" s="52">
        <v>28</v>
      </c>
      <c r="N42" s="2">
        <v>39</v>
      </c>
      <c r="O42" s="45">
        <f>产出预期!AN58</f>
        <v>4477</v>
      </c>
      <c r="P42" s="2">
        <f ca="1">练度预期!M41</f>
        <v>30</v>
      </c>
      <c r="Q42" s="2" t="str">
        <f ca="1" t="shared" si="15"/>
        <v>紫</v>
      </c>
      <c r="R42" s="46">
        <f ca="1" t="shared" si="16"/>
        <v>0.527013697821121</v>
      </c>
      <c r="S42" s="47">
        <f ca="1" t="shared" si="2"/>
        <v>22.4438587777778</v>
      </c>
      <c r="T42" s="47">
        <f ca="1">MIN(1+($O42*1.4+产出预期!AC58*60)/OFFSET($J$14,MATCH(T$3,$T$3:$W$3,0),0),18)</f>
        <v>5.75772222222222</v>
      </c>
      <c r="U42" s="47">
        <f ca="1">MIN(($O42*1.4+产出预期!$AC58*60)/OFFSET($J$14,MATCH(U$3,$T$3:$W$3,0),0),3)</f>
        <v>1.370224</v>
      </c>
      <c r="V42" s="47">
        <f ca="1">MIN(($O42*1.4+产出预期!$AC58*60)/OFFSET($J$14,MATCH(V$3,$T$3:$W$3,0),0),18)</f>
        <v>0.342556</v>
      </c>
      <c r="W42" s="47">
        <f ca="1">MIN(($O42*1.4+产出预期!$AC58*60)/OFFSET($J$14,MATCH(W$3,$T$3:$W$3,0),0),18)</f>
        <v>0.085639</v>
      </c>
      <c r="X42" s="47">
        <f ca="1" t="shared" si="3"/>
        <v>2.24047514896741</v>
      </c>
      <c r="Y42" s="47">
        <f ca="1" t="shared" si="4"/>
        <v>1.55755969251105</v>
      </c>
      <c r="Z42" s="47">
        <f ca="1" t="shared" si="5"/>
        <v>1.28379607535352</v>
      </c>
      <c r="AA42" s="47">
        <f ca="1" t="shared" si="6"/>
        <v>1.04275514004084</v>
      </c>
      <c r="AB42" s="47">
        <f ca="1" t="shared" si="7"/>
        <v>1.01204098897327</v>
      </c>
      <c r="AC42" s="48">
        <f ca="1" t="shared" si="8"/>
        <v>4.72782416589279</v>
      </c>
      <c r="AD42" s="47">
        <f t="shared" si="9"/>
        <v>1119.25</v>
      </c>
      <c r="AE42" s="47">
        <f t="shared" si="10"/>
        <v>279.8125</v>
      </c>
      <c r="AF42" s="47">
        <f t="shared" si="11"/>
        <v>69.953125</v>
      </c>
      <c r="AG42" s="47">
        <f t="shared" si="12"/>
        <v>17.48828125</v>
      </c>
      <c r="AH42" s="47">
        <f t="shared" si="13"/>
        <v>4.3720703125</v>
      </c>
      <c r="AI42" s="47">
        <f t="shared" si="14"/>
        <v>1.093017578125</v>
      </c>
      <c r="AJ42">
        <f ca="1">MIN(INT(SUM(AD42:$AI42)/OFFSET($AV$2,MATCH(AD$3,$AE$3:$AI$3,0),0)),6-SUM(AK42:$AO42))</f>
        <v>0</v>
      </c>
      <c r="AK42">
        <f ca="1">MIN(INT(SUM(AE42:$AI42)/OFFSET($AV$2,MATCH(AE$3,$AE$3:$AI$3,0),0)),6-SUM(AL42:$AO42))</f>
        <v>0</v>
      </c>
      <c r="AL42">
        <f ca="1">MIN(INT(SUM(AF42:$AI42)/OFFSET($AV$2,MATCH(AF$3,$AE$3:$AI$3,0),0)),6-SUM(AM42:$AO42))</f>
        <v>1</v>
      </c>
      <c r="AM42">
        <f ca="1">MIN(INT((SUM(AG42:$AI42)+N42*2/6)/OFFSET($AV$2,MATCH(AG$3,$AE$3:$AI$3,0),0)),6-SUM(AN42:$AO42))</f>
        <v>4</v>
      </c>
      <c r="AN42">
        <f ca="1">MIN(INT(SUM(AH42:$AI42)/OFFSET($AV$2,MATCH(AH$3,$AE$3:$AI$3,0),0)),6-SUM(AO42:$AO42))</f>
        <v>1</v>
      </c>
      <c r="AO42">
        <f ca="1">INT(SUM(AI41:$AI42)/OFFSET($AV$2,MATCH(AI$3,$AE$3:$AI$3,0),0))</f>
        <v>0</v>
      </c>
      <c r="AP42" cm="1">
        <f ca="1" t="array" ref="AP42">SUMPRODUCT(AJ42:AO42,TRANSPOSE($AS$3:$AS$8))</f>
        <v>1.93</v>
      </c>
    </row>
    <row r="43" ht="16.5" spans="2:42">
      <c r="B43" s="52">
        <v>38</v>
      </c>
      <c r="C43" s="52">
        <v>29</v>
      </c>
      <c r="N43" s="2">
        <v>40</v>
      </c>
      <c r="O43" s="45">
        <f>产出预期!AN59</f>
        <v>4562</v>
      </c>
      <c r="P43" s="2">
        <f ca="1">练度预期!M42</f>
        <v>30</v>
      </c>
      <c r="Q43" s="2" t="str">
        <f ca="1" t="shared" si="15"/>
        <v>紫</v>
      </c>
      <c r="R43" s="46">
        <f ca="1" t="shared" si="16"/>
        <v>0.541441424987231</v>
      </c>
      <c r="S43" s="47">
        <f ca="1" t="shared" si="2"/>
        <v>22.3064415555556</v>
      </c>
      <c r="T43" s="47">
        <f ca="1">MIN(1+($O43*1.4+产出预期!AC59*60)/OFFSET($J$14,MATCH(T$3,$T$3:$W$3,0),0),18)</f>
        <v>5.85744444444444</v>
      </c>
      <c r="U43" s="47">
        <f ca="1">MIN(($O43*1.4+产出预期!$AC59*60)/OFFSET($J$14,MATCH(U$3,$T$3:$W$3,0),0),3)</f>
        <v>1.398944</v>
      </c>
      <c r="V43" s="47">
        <f ca="1">MIN(($O43*1.4+产出预期!$AC59*60)/OFFSET($J$14,MATCH(V$3,$T$3:$W$3,0),0),18)</f>
        <v>0.349736</v>
      </c>
      <c r="W43" s="47">
        <f ca="1">MIN(($O43*1.4+产出预期!$AC59*60)/OFFSET($J$14,MATCH(W$3,$T$3:$W$3,0),0),18)</f>
        <v>0.087434</v>
      </c>
      <c r="X43" s="47">
        <f ca="1" t="shared" si="3"/>
        <v>2.23609839280012</v>
      </c>
      <c r="Y43" s="47">
        <f ca="1" t="shared" si="4"/>
        <v>1.5695595252663</v>
      </c>
      <c r="Z43" s="47">
        <f ca="1" t="shared" si="5"/>
        <v>1.29053601548107</v>
      </c>
      <c r="AA43" s="47">
        <f ca="1" t="shared" si="6"/>
        <v>1.04367058284771</v>
      </c>
      <c r="AB43" s="47">
        <f ca="1" t="shared" si="7"/>
        <v>1.01229491426521</v>
      </c>
      <c r="AC43" s="48">
        <f ca="1" t="shared" si="8"/>
        <v>4.78530173157596</v>
      </c>
      <c r="AD43" s="47">
        <f t="shared" si="9"/>
        <v>1140.5</v>
      </c>
      <c r="AE43" s="47">
        <f t="shared" si="10"/>
        <v>285.125</v>
      </c>
      <c r="AF43" s="47">
        <f t="shared" si="11"/>
        <v>71.28125</v>
      </c>
      <c r="AG43" s="47">
        <f t="shared" si="12"/>
        <v>17.8203125</v>
      </c>
      <c r="AH43" s="47">
        <f t="shared" si="13"/>
        <v>4.455078125</v>
      </c>
      <c r="AI43" s="47">
        <f t="shared" si="14"/>
        <v>1.11376953125</v>
      </c>
      <c r="AJ43">
        <f ca="1">MIN(INT(SUM(AD43:$AI43)/OFFSET($AV$2,MATCH(AD$3,$AE$3:$AI$3,0),0)),6-SUM(AK43:$AO43))</f>
        <v>0</v>
      </c>
      <c r="AK43">
        <f ca="1">MIN(INT(SUM(AE43:$AI43)/OFFSET($AV$2,MATCH(AE$3,$AE$3:$AI$3,0),0)),6-SUM(AL43:$AO43))</f>
        <v>0</v>
      </c>
      <c r="AL43">
        <f ca="1">MIN(INT(SUM(AF43:$AI43)/OFFSET($AV$2,MATCH(AF$3,$AE$3:$AI$3,0),0)),6-SUM(AM43:$AO43))</f>
        <v>1</v>
      </c>
      <c r="AM43">
        <f ca="1">MIN(INT((SUM(AG43:$AI43)+N43*2/6)/OFFSET($AV$2,MATCH(AG$3,$AE$3:$AI$3,0),0)),6-SUM(AN43:$AO43))</f>
        <v>4</v>
      </c>
      <c r="AN43">
        <f ca="1">MIN(INT(SUM(AH43:$AI43)/OFFSET($AV$2,MATCH(AH$3,$AE$3:$AI$3,0),0)),6-SUM(AO43:$AO43))</f>
        <v>1</v>
      </c>
      <c r="AO43">
        <f ca="1">INT(SUM(AI42:$AI43)/OFFSET($AV$2,MATCH(AI$3,$AE$3:$AI$3,0),0))</f>
        <v>0</v>
      </c>
      <c r="AP43" cm="1">
        <f ca="1" t="array" ref="AP43">SUMPRODUCT(AJ43:AO43,TRANSPOSE($AS$3:$AS$8))</f>
        <v>1.93</v>
      </c>
    </row>
    <row r="44" ht="16.5" spans="2:42">
      <c r="B44" s="52">
        <v>40</v>
      </c>
      <c r="C44" s="52">
        <v>30</v>
      </c>
      <c r="N44" s="2">
        <v>41</v>
      </c>
      <c r="O44" s="45">
        <f>产出预期!AN60</f>
        <v>4670</v>
      </c>
      <c r="P44" s="2">
        <f ca="1">练度预期!M43</f>
        <v>30</v>
      </c>
      <c r="Q44" s="2" t="str">
        <f ca="1" t="shared" si="15"/>
        <v>紫</v>
      </c>
      <c r="R44" s="46">
        <f ca="1" t="shared" si="16"/>
        <v>0.559580606017742</v>
      </c>
      <c r="S44" s="47">
        <f ca="1" t="shared" si="2"/>
        <v>22.1796655555556</v>
      </c>
      <c r="T44" s="47">
        <f ca="1">MIN(1+($O44*1.4+产出预期!AC60*60)/OFFSET($J$14,MATCH(T$3,$T$3:$W$3,0),0),18)</f>
        <v>5.94944444444444</v>
      </c>
      <c r="U44" s="47">
        <f ca="1">MIN(($O44*1.4+产出预期!$AC60*60)/OFFSET($J$14,MATCH(U$3,$T$3:$W$3,0),0),3)</f>
        <v>1.42544</v>
      </c>
      <c r="V44" s="47">
        <f ca="1">MIN(($O44*1.4+产出预期!$AC60*60)/OFFSET($J$14,MATCH(V$3,$T$3:$W$3,0),0),18)</f>
        <v>0.35636</v>
      </c>
      <c r="W44" s="47">
        <f ca="1">MIN(($O44*1.4+产出预期!$AC60*60)/OFFSET($J$14,MATCH(W$3,$T$3:$W$3,0),0),18)</f>
        <v>0.08909</v>
      </c>
      <c r="X44" s="47">
        <f ca="1" t="shared" si="3"/>
        <v>2.23309638470626</v>
      </c>
      <c r="Y44" s="47">
        <f ca="1" t="shared" si="4"/>
        <v>1.58071209512764</v>
      </c>
      <c r="Z44" s="47">
        <f ca="1" t="shared" si="5"/>
        <v>1.29678540910712</v>
      </c>
      <c r="AA44" s="47">
        <f ca="1" t="shared" si="6"/>
        <v>1.04451584892782</v>
      </c>
      <c r="AB44" s="47">
        <f ca="1" t="shared" si="7"/>
        <v>1.01252923276274</v>
      </c>
      <c r="AC44" s="48">
        <f ca="1" t="shared" si="8"/>
        <v>4.84117704019814</v>
      </c>
      <c r="AD44" s="47">
        <f t="shared" si="9"/>
        <v>1167.5</v>
      </c>
      <c r="AE44" s="47">
        <f t="shared" si="10"/>
        <v>291.875</v>
      </c>
      <c r="AF44" s="47">
        <f t="shared" si="11"/>
        <v>72.96875</v>
      </c>
      <c r="AG44" s="47">
        <f t="shared" si="12"/>
        <v>18.2421875</v>
      </c>
      <c r="AH44" s="47">
        <f t="shared" si="13"/>
        <v>4.560546875</v>
      </c>
      <c r="AI44" s="47">
        <f t="shared" si="14"/>
        <v>1.14013671875</v>
      </c>
      <c r="AJ44">
        <f ca="1">MIN(INT(SUM(AD44:$AI44)/OFFSET($AV$2,MATCH(AD$3,$AE$3:$AI$3,0),0)),6-SUM(AK44:$AO44))</f>
        <v>0</v>
      </c>
      <c r="AK44">
        <f ca="1">MIN(INT(SUM(AE44:$AI44)/OFFSET($AV$2,MATCH(AE$3,$AE$3:$AI$3,0),0)),6-SUM(AL44:$AO44))</f>
        <v>0</v>
      </c>
      <c r="AL44">
        <f ca="1">MIN(INT(SUM(AF44:$AI44)/OFFSET($AV$2,MATCH(AF$3,$AE$3:$AI$3,0),0)),6-SUM(AM44:$AO44))</f>
        <v>1</v>
      </c>
      <c r="AM44">
        <f ca="1">MIN(INT((SUM(AG44:$AI44)+N44*2/6)/OFFSET($AV$2,MATCH(AG$3,$AE$3:$AI$3,0),0)),6-SUM(AN44:$AO44))</f>
        <v>4</v>
      </c>
      <c r="AN44">
        <f ca="1">MIN(INT(SUM(AH44:$AI44)/OFFSET($AV$2,MATCH(AH$3,$AE$3:$AI$3,0),0)),6-SUM(AO44:$AO44))</f>
        <v>1</v>
      </c>
      <c r="AO44">
        <f ca="1">INT(SUM(AI43:$AI44)/OFFSET($AV$2,MATCH(AI$3,$AE$3:$AI$3,0),0))</f>
        <v>0</v>
      </c>
      <c r="AP44" cm="1">
        <f ca="1" t="array" ref="AP44">SUMPRODUCT(AJ44:AO44,TRANSPOSE($AS$3:$AS$8))</f>
        <v>1.93</v>
      </c>
    </row>
    <row r="45" ht="16.5" spans="2:42">
      <c r="N45" s="2">
        <v>42</v>
      </c>
      <c r="O45" s="45">
        <f>产出预期!AN61</f>
        <v>4778</v>
      </c>
      <c r="P45" s="2">
        <f ca="1">练度预期!M44</f>
        <v>30</v>
      </c>
      <c r="Q45" s="2" t="str">
        <f ca="1" t="shared" si="15"/>
        <v>紫</v>
      </c>
      <c r="R45" s="46">
        <f ca="1" t="shared" si="16"/>
        <v>0.577511225527941</v>
      </c>
      <c r="S45" s="47">
        <f ca="1" t="shared" si="2"/>
        <v>22.0299228888889</v>
      </c>
      <c r="T45" s="47">
        <f ca="1">MIN(1+($O45*1.4+产出预期!AC61*60)/OFFSET($J$14,MATCH(T$3,$T$3:$W$3,0),0),18)</f>
        <v>6.05811111111111</v>
      </c>
      <c r="U45" s="47">
        <f ca="1">MIN(($O45*1.4+产出预期!$AC61*60)/OFFSET($J$14,MATCH(U$3,$T$3:$W$3,0),0),3)</f>
        <v>1.456736</v>
      </c>
      <c r="V45" s="47">
        <f ca="1">MIN(($O45*1.4+产出预期!$AC61*60)/OFFSET($J$14,MATCH(V$3,$T$3:$W$3,0),0),18)</f>
        <v>0.364184</v>
      </c>
      <c r="W45" s="47">
        <f ca="1">MIN(($O45*1.4+产出预期!$AC61*60)/OFFSET($J$14,MATCH(W$3,$T$3:$W$3,0),0),18)</f>
        <v>0.091046</v>
      </c>
      <c r="X45" s="47">
        <f ca="1" t="shared" si="3"/>
        <v>2.22872142210293</v>
      </c>
      <c r="Y45" s="47">
        <f ca="1" t="shared" si="4"/>
        <v>1.59398718120147</v>
      </c>
      <c r="Z45" s="47">
        <f ca="1" t="shared" si="5"/>
        <v>1.30420593331598</v>
      </c>
      <c r="AA45" s="47">
        <f ca="1" t="shared" si="6"/>
        <v>1.04551512480326</v>
      </c>
      <c r="AB45" s="47">
        <f ca="1" t="shared" si="7"/>
        <v>1.0128060701314</v>
      </c>
      <c r="AC45" s="48">
        <f ca="1" t="shared" si="8"/>
        <v>4.90617911072064</v>
      </c>
      <c r="AD45" s="47">
        <f t="shared" si="9"/>
        <v>1194.5</v>
      </c>
      <c r="AE45" s="47">
        <f t="shared" si="10"/>
        <v>298.625</v>
      </c>
      <c r="AF45" s="47">
        <f t="shared" si="11"/>
        <v>74.65625</v>
      </c>
      <c r="AG45" s="47">
        <f t="shared" si="12"/>
        <v>18.6640625</v>
      </c>
      <c r="AH45" s="47">
        <f t="shared" si="13"/>
        <v>4.666015625</v>
      </c>
      <c r="AI45" s="47">
        <f t="shared" si="14"/>
        <v>1.16650390625</v>
      </c>
      <c r="AJ45">
        <f ca="1">MIN(INT(SUM(AD45:$AI45)/OFFSET($AV$2,MATCH(AD$3,$AE$3:$AI$3,0),0)),6-SUM(AK45:$AO45))</f>
        <v>0</v>
      </c>
      <c r="AK45">
        <f ca="1">MIN(INT(SUM(AE45:$AI45)/OFFSET($AV$2,MATCH(AE$3,$AE$3:$AI$3,0),0)),6-SUM(AL45:$AO45))</f>
        <v>0</v>
      </c>
      <c r="AL45">
        <f ca="1">MIN(INT(SUM(AF45:$AI45)/OFFSET($AV$2,MATCH(AF$3,$AE$3:$AI$3,0),0)),6-SUM(AM45:$AO45))</f>
        <v>0</v>
      </c>
      <c r="AM45">
        <f ca="1">MIN(INT((SUM(AG45:$AI45)+N45*2/6)/OFFSET($AV$2,MATCH(AG$3,$AE$3:$AI$3,0),0)),6-SUM(AN45:$AO45))</f>
        <v>5</v>
      </c>
      <c r="AN45">
        <f ca="1">MIN(INT(SUM(AH45:$AI45)/OFFSET($AV$2,MATCH(AH$3,$AE$3:$AI$3,0),0)),6-SUM(AO45:$AO45))</f>
        <v>1</v>
      </c>
      <c r="AO45">
        <f ca="1">INT(SUM(AI44:$AI45)/OFFSET($AV$2,MATCH(AI$3,$AE$3:$AI$3,0),0))</f>
        <v>0</v>
      </c>
      <c r="AP45" cm="1">
        <f ca="1" t="array" ref="AP45">SUMPRODUCT(AJ45:AO45,TRANSPOSE($AS$3:$AS$8))</f>
        <v>2</v>
      </c>
    </row>
    <row r="46" ht="16.5" spans="2:42">
      <c r="N46" s="2">
        <v>43</v>
      </c>
      <c r="O46" s="45">
        <f>产出预期!AN62</f>
        <v>4891</v>
      </c>
      <c r="P46" s="2">
        <f ca="1">练度预期!M45</f>
        <v>30</v>
      </c>
      <c r="Q46" s="2" t="str">
        <f ca="1" t="shared" si="15"/>
        <v>紫</v>
      </c>
      <c r="R46" s="46">
        <f ca="1" t="shared" si="16"/>
        <v>0.596056337769232</v>
      </c>
      <c r="S46" s="47">
        <f ca="1" t="shared" si="2"/>
        <v>21.9004674444444</v>
      </c>
      <c r="T46" s="47">
        <f ca="1">MIN(1+($O46*1.4+产出预期!AC62*60)/OFFSET($J$14,MATCH(T$3,$T$3:$W$3,0),0),18)</f>
        <v>6.15205555555556</v>
      </c>
      <c r="U46" s="47">
        <f ca="1">MIN(($O46*1.4+产出预期!$AC62*60)/OFFSET($J$14,MATCH(U$3,$T$3:$W$3,0),0),3)</f>
        <v>1.483792</v>
      </c>
      <c r="V46" s="47">
        <f ca="1">MIN(($O46*1.4+产出预期!$AC62*60)/OFFSET($J$14,MATCH(V$3,$T$3:$W$3,0),0),18)</f>
        <v>0.370948</v>
      </c>
      <c r="W46" s="47">
        <f ca="1">MIN(($O46*1.4+产出预期!$AC62*60)/OFFSET($J$14,MATCH(W$3,$T$3:$W$3,0),0),18)</f>
        <v>0.092737</v>
      </c>
      <c r="X46" s="47">
        <f ca="1" t="shared" si="3"/>
        <v>2.22556249642592</v>
      </c>
      <c r="Y46" s="47">
        <f ca="1" t="shared" si="4"/>
        <v>1.60555357022414</v>
      </c>
      <c r="Z46" s="47">
        <f ca="1" t="shared" si="5"/>
        <v>1.31065533440541</v>
      </c>
      <c r="AA46" s="47">
        <f ca="1" t="shared" si="6"/>
        <v>1.04637978866841</v>
      </c>
      <c r="AB46" s="47">
        <f ca="1" t="shared" si="7"/>
        <v>1.01304546241741</v>
      </c>
      <c r="AC46" s="48">
        <f ca="1" t="shared" si="8"/>
        <v>4.96445264541841</v>
      </c>
      <c r="AD46" s="47">
        <f t="shared" si="9"/>
        <v>1222.75</v>
      </c>
      <c r="AE46" s="47">
        <f t="shared" si="10"/>
        <v>305.6875</v>
      </c>
      <c r="AF46" s="47">
        <f t="shared" si="11"/>
        <v>76.421875</v>
      </c>
      <c r="AG46" s="47">
        <f t="shared" si="12"/>
        <v>19.10546875</v>
      </c>
      <c r="AH46" s="47">
        <f t="shared" si="13"/>
        <v>4.7763671875</v>
      </c>
      <c r="AI46" s="47">
        <f t="shared" si="14"/>
        <v>1.194091796875</v>
      </c>
      <c r="AJ46">
        <f ca="1">MIN(INT(SUM(AD46:$AI46)/OFFSET($AV$2,MATCH(AD$3,$AE$3:$AI$3,0),0)),6-SUM(AK46:$AO46))</f>
        <v>0</v>
      </c>
      <c r="AK46">
        <f ca="1">MIN(INT(SUM(AE46:$AI46)/OFFSET($AV$2,MATCH(AE$3,$AE$3:$AI$3,0),0)),6-SUM(AL46:$AO46))</f>
        <v>0</v>
      </c>
      <c r="AL46">
        <f ca="1">MIN(INT(SUM(AF46:$AI46)/OFFSET($AV$2,MATCH(AF$3,$AE$3:$AI$3,0),0)),6-SUM(AM46:$AO46))</f>
        <v>0</v>
      </c>
      <c r="AM46">
        <f ca="1">MIN(INT((SUM(AG46:$AI46)+N46*2/6)/OFFSET($AV$2,MATCH(AG$3,$AE$3:$AI$3,0),0)),6-SUM(AN46:$AO46))</f>
        <v>5</v>
      </c>
      <c r="AN46">
        <f ca="1">MIN(INT(SUM(AH46:$AI46)/OFFSET($AV$2,MATCH(AH$3,$AE$3:$AI$3,0),0)),6-SUM(AO46:$AO46))</f>
        <v>1</v>
      </c>
      <c r="AO46">
        <f ca="1">INT(SUM(AI45:$AI46)/OFFSET($AV$2,MATCH(AI$3,$AE$3:$AI$3,0),0))</f>
        <v>0</v>
      </c>
      <c r="AP46" cm="1">
        <f ca="1" t="array" ref="AP46">SUMPRODUCT(AJ46:AO46,TRANSPOSE($AS$3:$AS$8))</f>
        <v>2</v>
      </c>
    </row>
    <row r="47" ht="16.5" spans="2:42">
      <c r="N47" s="2">
        <v>44</v>
      </c>
      <c r="O47" s="45">
        <f>产出预期!AN63</f>
        <v>4999</v>
      </c>
      <c r="P47" s="2">
        <f ca="1">练度预期!M46</f>
        <v>30</v>
      </c>
      <c r="Q47" s="2" t="str">
        <f ca="1" t="shared" si="15"/>
        <v>紫</v>
      </c>
      <c r="R47" s="46">
        <f ca="1" t="shared" si="16"/>
        <v>0.613581678544143</v>
      </c>
      <c r="S47" s="47">
        <f ca="1" t="shared" si="2"/>
        <v>21.7507247777778</v>
      </c>
      <c r="T47" s="47">
        <f ca="1">MIN(1+($O47*1.4+产出预期!AC63*60)/OFFSET($J$14,MATCH(T$3,$T$3:$W$3,0),0),18)</f>
        <v>6.26072222222222</v>
      </c>
      <c r="U47" s="47">
        <f ca="1">MIN(($O47*1.4+产出预期!$AC63*60)/OFFSET($J$14,MATCH(U$3,$T$3:$W$3,0),0),3)</f>
        <v>1.515088</v>
      </c>
      <c r="V47" s="47">
        <f ca="1">MIN(($O47*1.4+产出预期!$AC63*60)/OFFSET($J$14,MATCH(V$3,$T$3:$W$3,0),0),18)</f>
        <v>0.378772</v>
      </c>
      <c r="W47" s="47">
        <f ca="1">MIN(($O47*1.4+产出预期!$AC63*60)/OFFSET($J$14,MATCH(W$3,$T$3:$W$3,0),0),18)</f>
        <v>0.094693</v>
      </c>
      <c r="X47" s="47">
        <f ca="1" t="shared" si="3"/>
        <v>2.22099470107589</v>
      </c>
      <c r="Y47" s="47">
        <f ca="1" t="shared" si="4"/>
        <v>1.61903727918453</v>
      </c>
      <c r="Z47" s="47">
        <f ca="1" t="shared" si="5"/>
        <v>1.31815522572909</v>
      </c>
      <c r="AA47" s="47">
        <f ca="1" t="shared" si="6"/>
        <v>1.04738084775281</v>
      </c>
      <c r="AB47" s="47">
        <f ca="1" t="shared" si="7"/>
        <v>1.01332244092931</v>
      </c>
      <c r="AC47" s="48">
        <f ca="1" t="shared" si="8"/>
        <v>5.03063972130673</v>
      </c>
      <c r="AD47" s="47">
        <f t="shared" si="9"/>
        <v>1249.75</v>
      </c>
      <c r="AE47" s="47">
        <f t="shared" si="10"/>
        <v>312.4375</v>
      </c>
      <c r="AF47" s="47">
        <f t="shared" si="11"/>
        <v>78.109375</v>
      </c>
      <c r="AG47" s="47">
        <f t="shared" si="12"/>
        <v>19.52734375</v>
      </c>
      <c r="AH47" s="47">
        <f t="shared" si="13"/>
        <v>4.8818359375</v>
      </c>
      <c r="AI47" s="47">
        <f t="shared" si="14"/>
        <v>1.220458984375</v>
      </c>
      <c r="AJ47">
        <f ca="1">MIN(INT(SUM(AD47:$AI47)/OFFSET($AV$2,MATCH(AD$3,$AE$3:$AI$3,0),0)),6-SUM(AK47:$AO47))</f>
        <v>0</v>
      </c>
      <c r="AK47">
        <f ca="1">MIN(INT(SUM(AE47:$AI47)/OFFSET($AV$2,MATCH(AE$3,$AE$3:$AI$3,0),0)),6-SUM(AL47:$AO47))</f>
        <v>0</v>
      </c>
      <c r="AL47">
        <f ca="1">MIN(INT(SUM(AF47:$AI47)/OFFSET($AV$2,MATCH(AF$3,$AE$3:$AI$3,0),0)),6-SUM(AM47:$AO47))</f>
        <v>0</v>
      </c>
      <c r="AM47">
        <f ca="1">MIN(INT((SUM(AG47:$AI47)+N47*2/6)/OFFSET($AV$2,MATCH(AG$3,$AE$3:$AI$3,0),0)),6-SUM(AN47:$AO47))</f>
        <v>5</v>
      </c>
      <c r="AN47">
        <f ca="1">MIN(INT(SUM(AH47:$AI47)/OFFSET($AV$2,MATCH(AH$3,$AE$3:$AI$3,0),0)),6-SUM(AO47:$AO47))</f>
        <v>1</v>
      </c>
      <c r="AO47">
        <f ca="1">INT(SUM(AI46:$AI47)/OFFSET($AV$2,MATCH(AI$3,$AE$3:$AI$3,0),0))</f>
        <v>0</v>
      </c>
      <c r="AP47" cm="1">
        <f ca="1" t="array" ref="AP47">SUMPRODUCT(AJ47:AO47,TRANSPOSE($AS$3:$AS$8))</f>
        <v>2</v>
      </c>
    </row>
    <row r="48" ht="16.5" spans="2:42">
      <c r="N48" s="2">
        <v>45</v>
      </c>
      <c r="O48" s="45">
        <f>产出预期!AN64</f>
        <v>5112</v>
      </c>
      <c r="P48" s="2">
        <f ca="1">练度预期!M47</f>
        <v>30</v>
      </c>
      <c r="Q48" s="2" t="str">
        <f ca="1" t="shared" si="15"/>
        <v>紫</v>
      </c>
      <c r="R48" s="46">
        <f ca="1" t="shared" si="16"/>
        <v>0.631716887208072</v>
      </c>
      <c r="S48" s="47">
        <f ca="1" t="shared" si="2"/>
        <v>21.5983026666667</v>
      </c>
      <c r="T48" s="47">
        <f ca="1">MIN(1+($O48*1.4+产出预期!AC64*60)/OFFSET($J$14,MATCH(T$3,$T$3:$W$3,0),0),18)</f>
        <v>6.37133333333333</v>
      </c>
      <c r="U48" s="47">
        <f ca="1">MIN(($O48*1.4+产出预期!$AC64*60)/OFFSET($J$14,MATCH(U$3,$T$3:$W$3,0),0),3)</f>
        <v>1.546944</v>
      </c>
      <c r="V48" s="47">
        <f ca="1">MIN(($O48*1.4+产出预期!$AC64*60)/OFFSET($J$14,MATCH(V$3,$T$3:$W$3,0),0),18)</f>
        <v>0.386736</v>
      </c>
      <c r="W48" s="47">
        <f ca="1">MIN(($O48*1.4+产出预期!$AC64*60)/OFFSET($J$14,MATCH(W$3,$T$3:$W$3,0),0),18)</f>
        <v>0.096684</v>
      </c>
      <c r="X48" s="47">
        <f ca="1" t="shared" si="3"/>
        <v>2.21635525862898</v>
      </c>
      <c r="Y48" s="47">
        <f ca="1" t="shared" si="4"/>
        <v>1.63287856282947</v>
      </c>
      <c r="Z48" s="47">
        <f ca="1" t="shared" si="5"/>
        <v>1.32583339404506</v>
      </c>
      <c r="AA48" s="47">
        <f ca="1" t="shared" si="6"/>
        <v>1.04840080301404</v>
      </c>
      <c r="AB48" s="47">
        <f ca="1" t="shared" si="7"/>
        <v>1.01360445337471</v>
      </c>
      <c r="AC48" s="48">
        <f ca="1" t="shared" si="8"/>
        <v>5.09891850020482</v>
      </c>
      <c r="AD48" s="47">
        <f t="shared" si="9"/>
        <v>1278</v>
      </c>
      <c r="AE48" s="47">
        <f t="shared" si="10"/>
        <v>319.5</v>
      </c>
      <c r="AF48" s="47">
        <f t="shared" si="11"/>
        <v>79.875</v>
      </c>
      <c r="AG48" s="47">
        <f t="shared" si="12"/>
        <v>19.96875</v>
      </c>
      <c r="AH48" s="47">
        <f t="shared" si="13"/>
        <v>4.9921875</v>
      </c>
      <c r="AI48" s="47">
        <f t="shared" si="14"/>
        <v>1.248046875</v>
      </c>
      <c r="AJ48">
        <f ca="1">MIN(INT(SUM(AD48:$AI48)/OFFSET($AV$2,MATCH(AD$3,$AE$3:$AI$3,0),0)),6-SUM(AK48:$AO48))</f>
        <v>0</v>
      </c>
      <c r="AK48">
        <f ca="1">MIN(INT(SUM(AE48:$AI48)/OFFSET($AV$2,MATCH(AE$3,$AE$3:$AI$3,0),0)),6-SUM(AL48:$AO48))</f>
        <v>0</v>
      </c>
      <c r="AL48">
        <f ca="1">MIN(INT(SUM(AF48:$AI48)/OFFSET($AV$2,MATCH(AF$3,$AE$3:$AI$3,0),0)),6-SUM(AM48:$AO48))</f>
        <v>0</v>
      </c>
      <c r="AM48">
        <f ca="1">MIN(INT((SUM(AG48:$AI48)+N48*2/6)/OFFSET($AV$2,MATCH(AG$3,$AE$3:$AI$3,0),0)),6-SUM(AN48:$AO48))</f>
        <v>5</v>
      </c>
      <c r="AN48">
        <f ca="1">MIN(INT(SUM(AH48:$AI48)/OFFSET($AV$2,MATCH(AH$3,$AE$3:$AI$3,0),0)),6-SUM(AO48:$AO48))</f>
        <v>1</v>
      </c>
      <c r="AO48">
        <f ca="1">INT(SUM(AI47:$AI48)/OFFSET($AV$2,MATCH(AI$3,$AE$3:$AI$3,0),0))</f>
        <v>0</v>
      </c>
      <c r="AP48" cm="1">
        <f ca="1" t="array" ref="AP48">SUMPRODUCT(AJ48:AO48,TRANSPOSE($AS$3:$AS$8))</f>
        <v>2</v>
      </c>
    </row>
    <row r="49" ht="16.5" spans="14:42">
      <c r="N49" s="2">
        <v>46</v>
      </c>
      <c r="O49" s="45">
        <f>产出预期!AN65</f>
        <v>5197</v>
      </c>
      <c r="P49" s="2">
        <f ca="1">练度预期!M48</f>
        <v>30</v>
      </c>
      <c r="Q49" s="2" t="str">
        <f ca="1" t="shared" si="15"/>
        <v>紫</v>
      </c>
      <c r="R49" s="46">
        <f ca="1" t="shared" si="16"/>
        <v>0.645226681443421</v>
      </c>
      <c r="S49" s="47">
        <f ca="1" t="shared" si="2"/>
        <v>21.4838521111111</v>
      </c>
      <c r="T49" s="47">
        <f ca="1">MIN(1+($O49*1.4+产出预期!AC65*60)/OFFSET($J$14,MATCH(T$3,$T$3:$W$3,0),0),18)</f>
        <v>6.45438888888889</v>
      </c>
      <c r="U49" s="47">
        <f ca="1">MIN(($O49*1.4+产出预期!$AC65*60)/OFFSET($J$14,MATCH(U$3,$T$3:$W$3,0),0),3)</f>
        <v>1.570864</v>
      </c>
      <c r="V49" s="47">
        <f ca="1">MIN(($O49*1.4+产出预期!$AC65*60)/OFFSET($J$14,MATCH(V$3,$T$3:$W$3,0),0),18)</f>
        <v>0.392716</v>
      </c>
      <c r="W49" s="47">
        <f ca="1">MIN(($O49*1.4+产出预期!$AC65*60)/OFFSET($J$14,MATCH(W$3,$T$3:$W$3,0),0),18)</f>
        <v>0.098179</v>
      </c>
      <c r="X49" s="47">
        <f ca="1" t="shared" si="3"/>
        <v>2.21281215157829</v>
      </c>
      <c r="Y49" s="47">
        <f ca="1" t="shared" si="4"/>
        <v>1.64334942065918</v>
      </c>
      <c r="Z49" s="47">
        <f ca="1" t="shared" si="5"/>
        <v>1.33162815467976</v>
      </c>
      <c r="AA49" s="47">
        <f ca="1" t="shared" si="6"/>
        <v>1.0491673188128</v>
      </c>
      <c r="AB49" s="47">
        <f ca="1" t="shared" si="7"/>
        <v>1.01381626217621</v>
      </c>
      <c r="AC49" s="48">
        <f ca="1" t="shared" si="8"/>
        <v>5.15064288940456</v>
      </c>
      <c r="AD49" s="47">
        <f t="shared" si="9"/>
        <v>1299.25</v>
      </c>
      <c r="AE49" s="47">
        <f t="shared" si="10"/>
        <v>324.8125</v>
      </c>
      <c r="AF49" s="47">
        <f t="shared" si="11"/>
        <v>81.203125</v>
      </c>
      <c r="AG49" s="47">
        <f t="shared" si="12"/>
        <v>20.30078125</v>
      </c>
      <c r="AH49" s="47">
        <f t="shared" si="13"/>
        <v>5.0751953125</v>
      </c>
      <c r="AI49" s="47">
        <f t="shared" si="14"/>
        <v>1.268798828125</v>
      </c>
      <c r="AJ49">
        <f ca="1">MIN(INT(SUM(AD49:$AI49)/OFFSET($AV$2,MATCH(AD$3,$AE$3:$AI$3,0),0)),6-SUM(AK49:$AO49))</f>
        <v>0</v>
      </c>
      <c r="AK49">
        <f ca="1">MIN(INT(SUM(AE49:$AI49)/OFFSET($AV$2,MATCH(AE$3,$AE$3:$AI$3,0),0)),6-SUM(AL49:$AO49))</f>
        <v>0</v>
      </c>
      <c r="AL49">
        <f ca="1">MIN(INT(SUM(AF49:$AI49)/OFFSET($AV$2,MATCH(AF$3,$AE$3:$AI$3,0),0)),6-SUM(AM49:$AO49))</f>
        <v>0</v>
      </c>
      <c r="AM49">
        <f ca="1">MIN(INT((SUM(AG49:$AI49)+N49*2/6)/OFFSET($AV$2,MATCH(AG$3,$AE$3:$AI$3,0),0)),6-SUM(AN49:$AO49))</f>
        <v>5</v>
      </c>
      <c r="AN49">
        <f ca="1">MIN(INT(SUM(AH49:$AI49)/OFFSET($AV$2,MATCH(AH$3,$AE$3:$AI$3,0),0)),6-SUM(AO49:$AO49))</f>
        <v>1</v>
      </c>
      <c r="AO49">
        <f ca="1">INT(SUM(AI48:$AI49)/OFFSET($AV$2,MATCH(AI$3,$AE$3:$AI$3,0),0))</f>
        <v>0</v>
      </c>
      <c r="AP49" cm="1">
        <f ca="1" t="array" ref="AP49">SUMPRODUCT(AJ49:AO49,TRANSPOSE($AS$3:$AS$8))</f>
        <v>2</v>
      </c>
    </row>
    <row r="50" ht="16.5" spans="14:42">
      <c r="N50" s="2">
        <v>47</v>
      </c>
      <c r="O50" s="45">
        <f>产出预期!AN66</f>
        <v>5310</v>
      </c>
      <c r="P50" s="2">
        <f ca="1">练度预期!M49</f>
        <v>30</v>
      </c>
      <c r="Q50" s="2" t="str">
        <f ca="1" t="shared" si="15"/>
        <v>紫</v>
      </c>
      <c r="R50" s="46">
        <f ca="1" t="shared" si="16"/>
        <v>0.663016836956259</v>
      </c>
      <c r="S50" s="47">
        <f ca="1" t="shared" si="2"/>
        <v>21.33143</v>
      </c>
      <c r="T50" s="47">
        <f ca="1">MIN(1+($O50*1.4+产出预期!AC66*60)/OFFSET($J$14,MATCH(T$3,$T$3:$W$3,0),0),18)</f>
        <v>6.565</v>
      </c>
      <c r="U50" s="47">
        <f ca="1">MIN(($O50*1.4+产出预期!$AC66*60)/OFFSET($J$14,MATCH(U$3,$T$3:$W$3,0),0),3)</f>
        <v>1.60272</v>
      </c>
      <c r="V50" s="47">
        <f ca="1">MIN(($O50*1.4+产出预期!$AC66*60)/OFFSET($J$14,MATCH(V$3,$T$3:$W$3,0),0),18)</f>
        <v>0.40068</v>
      </c>
      <c r="W50" s="47">
        <f ca="1">MIN(($O50*1.4+产出预期!$AC66*60)/OFFSET($J$14,MATCH(W$3,$T$3:$W$3,0),0),18)</f>
        <v>0.10017</v>
      </c>
      <c r="X50" s="47">
        <f ca="1" t="shared" si="3"/>
        <v>2.20800247246354</v>
      </c>
      <c r="Y50" s="47">
        <f ca="1" t="shared" si="4"/>
        <v>1.65739855081296</v>
      </c>
      <c r="Z50" s="47">
        <f ca="1" t="shared" si="5"/>
        <v>1.33938480192915</v>
      </c>
      <c r="AA50" s="47">
        <f ca="1" t="shared" si="6"/>
        <v>1.05018901376648</v>
      </c>
      <c r="AB50" s="47">
        <f ca="1" t="shared" si="7"/>
        <v>1.01409841205441</v>
      </c>
      <c r="AC50" s="48">
        <f ca="1" t="shared" si="8"/>
        <v>5.22010754201303</v>
      </c>
      <c r="AD50" s="47">
        <f t="shared" si="9"/>
        <v>1327.5</v>
      </c>
      <c r="AE50" s="47">
        <f t="shared" si="10"/>
        <v>331.875</v>
      </c>
      <c r="AF50" s="47">
        <f t="shared" si="11"/>
        <v>82.96875</v>
      </c>
      <c r="AG50" s="47">
        <f t="shared" si="12"/>
        <v>20.7421875</v>
      </c>
      <c r="AH50" s="47">
        <f t="shared" si="13"/>
        <v>5.185546875</v>
      </c>
      <c r="AI50" s="47">
        <f t="shared" si="14"/>
        <v>1.29638671875</v>
      </c>
      <c r="AJ50">
        <f ca="1">MIN(INT(SUM(AD50:$AI50)/OFFSET($AV$2,MATCH(AD$3,$AE$3:$AI$3,0),0)),6-SUM(AK50:$AO50))</f>
        <v>0</v>
      </c>
      <c r="AK50">
        <f ca="1">MIN(INT(SUM(AE50:$AI50)/OFFSET($AV$2,MATCH(AE$3,$AE$3:$AI$3,0),0)),6-SUM(AL50:$AO50))</f>
        <v>0</v>
      </c>
      <c r="AL50">
        <f ca="1">MIN(INT(SUM(AF50:$AI50)/OFFSET($AV$2,MATCH(AF$3,$AE$3:$AI$3,0),0)),6-SUM(AM50:$AO50))</f>
        <v>0</v>
      </c>
      <c r="AM50">
        <f ca="1">MIN(INT((SUM(AG50:$AI50)+N50*2/6)/OFFSET($AV$2,MATCH(AG$3,$AE$3:$AI$3,0),0)),6-SUM(AN50:$AO50))</f>
        <v>5</v>
      </c>
      <c r="AN50">
        <f ca="1">MIN(INT(SUM(AH50:$AI50)/OFFSET($AV$2,MATCH(AH$3,$AE$3:$AI$3,0),0)),6-SUM(AO50:$AO50))</f>
        <v>1</v>
      </c>
      <c r="AO50">
        <f ca="1">INT(SUM(AI49:$AI50)/OFFSET($AV$2,MATCH(AI$3,$AE$3:$AI$3,0),0))</f>
        <v>0</v>
      </c>
      <c r="AP50" cm="1">
        <f ca="1" t="array" ref="AP50">SUMPRODUCT(AJ50:AO50,TRANSPOSE($AS$3:$AS$8))</f>
        <v>2</v>
      </c>
    </row>
    <row r="51" ht="16.5" spans="14:42">
      <c r="N51" s="2">
        <v>48</v>
      </c>
      <c r="O51" s="45">
        <f>产出预期!AN67</f>
        <v>5418</v>
      </c>
      <c r="P51" s="2">
        <f ca="1">练度预期!M50</f>
        <v>30</v>
      </c>
      <c r="Q51" s="2" t="str">
        <f ca="1" t="shared" si="15"/>
        <v>紫</v>
      </c>
      <c r="R51" s="46">
        <f ca="1" t="shared" si="16"/>
        <v>0.679843742733234</v>
      </c>
      <c r="S51" s="47">
        <f ca="1" t="shared" si="2"/>
        <v>21.204654</v>
      </c>
      <c r="T51" s="47">
        <f ca="1">MIN(1+($O51*1.4+产出预期!AC67*60)/OFFSET($J$14,MATCH(T$3,$T$3:$W$3,0),0),18)</f>
        <v>6.657</v>
      </c>
      <c r="U51" s="47">
        <f ca="1">MIN(($O51*1.4+产出预期!$AC67*60)/OFFSET($J$14,MATCH(U$3,$T$3:$W$3,0),0),3)</f>
        <v>1.629216</v>
      </c>
      <c r="V51" s="47">
        <f ca="1">MIN(($O51*1.4+产出预期!$AC67*60)/OFFSET($J$14,MATCH(V$3,$T$3:$W$3,0),0),18)</f>
        <v>0.407304</v>
      </c>
      <c r="W51" s="47">
        <f ca="1">MIN(($O51*1.4+产出预期!$AC67*60)/OFFSET($J$14,MATCH(W$3,$T$3:$W$3,0),0),18)</f>
        <v>0.101826</v>
      </c>
      <c r="X51" s="47">
        <f ca="1" t="shared" si="3"/>
        <v>2.20439121338723</v>
      </c>
      <c r="Y51" s="47">
        <f ca="1" t="shared" si="4"/>
        <v>1.66917526448866</v>
      </c>
      <c r="Z51" s="47">
        <f ca="1" t="shared" si="5"/>
        <v>1.34587074478049</v>
      </c>
      <c r="AA51" s="47">
        <f ca="1" t="shared" si="6"/>
        <v>1.05103955910678</v>
      </c>
      <c r="AB51" s="47">
        <f ca="1" t="shared" si="7"/>
        <v>1.01433314801218</v>
      </c>
      <c r="AC51" s="48">
        <f ca="1" t="shared" si="8"/>
        <v>5.27951034440794</v>
      </c>
      <c r="AD51" s="47">
        <f t="shared" si="9"/>
        <v>1354.5</v>
      </c>
      <c r="AE51" s="47">
        <f t="shared" si="10"/>
        <v>338.625</v>
      </c>
      <c r="AF51" s="47">
        <f t="shared" si="11"/>
        <v>84.65625</v>
      </c>
      <c r="AG51" s="47">
        <f t="shared" si="12"/>
        <v>21.1640625</v>
      </c>
      <c r="AH51" s="47">
        <f t="shared" si="13"/>
        <v>5.291015625</v>
      </c>
      <c r="AI51" s="47">
        <f t="shared" si="14"/>
        <v>1.32275390625</v>
      </c>
      <c r="AJ51">
        <f ca="1">MIN(INT(SUM(AD51:$AI51)/OFFSET($AV$2,MATCH(AD$3,$AE$3:$AI$3,0),0)),6-SUM(AK51:$AO51))</f>
        <v>0</v>
      </c>
      <c r="AK51">
        <f ca="1">MIN(INT(SUM(AE51:$AI51)/OFFSET($AV$2,MATCH(AE$3,$AE$3:$AI$3,0),0)),6-SUM(AL51:$AO51))</f>
        <v>0</v>
      </c>
      <c r="AL51">
        <f ca="1">MIN(INT(SUM(AF51:$AI51)/OFFSET($AV$2,MATCH(AF$3,$AE$3:$AI$3,0),0)),6-SUM(AM51:$AO51))</f>
        <v>0</v>
      </c>
      <c r="AM51">
        <f ca="1">MIN(INT((SUM(AG51:$AI51)+N51*2/6)/OFFSET($AV$2,MATCH(AG$3,$AE$3:$AI$3,0),0)),6-SUM(AN51:$AO51))</f>
        <v>5</v>
      </c>
      <c r="AN51">
        <f ca="1">MIN(INT(SUM(AH51:$AI51)/OFFSET($AV$2,MATCH(AH$3,$AE$3:$AI$3,0),0)),6-SUM(AO51:$AO51))</f>
        <v>1</v>
      </c>
      <c r="AO51">
        <f ca="1">INT(SUM(AI50:$AI51)/OFFSET($AV$2,MATCH(AI$3,$AE$3:$AI$3,0),0))</f>
        <v>0</v>
      </c>
      <c r="AP51" cm="1">
        <f ca="1" t="array" ref="AP51">SUMPRODUCT(AJ51:AO51,TRANSPOSE($AS$3:$AS$8))</f>
        <v>2</v>
      </c>
    </row>
    <row r="52" ht="16.5" spans="14:42">
      <c r="N52" s="2">
        <v>49</v>
      </c>
      <c r="O52" s="45">
        <f>产出预期!AN68</f>
        <v>5526</v>
      </c>
      <c r="P52" s="2">
        <f ca="1">练度预期!M51</f>
        <v>30</v>
      </c>
      <c r="Q52" s="2" t="str">
        <f ca="1" t="shared" si="15"/>
        <v>紫</v>
      </c>
      <c r="R52" s="46">
        <f ca="1" t="shared" si="16"/>
        <v>0.696503757732355</v>
      </c>
      <c r="S52" s="47">
        <f ca="1" t="shared" si="2"/>
        <v>21.0549113333333</v>
      </c>
      <c r="T52" s="47">
        <f ca="1">MIN(1+($O52*1.4+产出预期!AC68*60)/OFFSET($J$14,MATCH(T$3,$T$3:$W$3,0),0),18)</f>
        <v>6.76566666666667</v>
      </c>
      <c r="U52" s="47">
        <f ca="1">MIN(($O52*1.4+产出预期!$AC68*60)/OFFSET($J$14,MATCH(U$3,$T$3:$W$3,0),0),3)</f>
        <v>1.660512</v>
      </c>
      <c r="V52" s="47">
        <f ca="1">MIN(($O52*1.4+产出预期!$AC68*60)/OFFSET($J$14,MATCH(V$3,$T$3:$W$3,0),0),18)</f>
        <v>0.415128</v>
      </c>
      <c r="W52" s="47">
        <f ca="1">MIN(($O52*1.4+产出预期!$AC68*60)/OFFSET($J$14,MATCH(W$3,$T$3:$W$3,0),0),18)</f>
        <v>0.103782</v>
      </c>
      <c r="X52" s="47">
        <f ca="1" t="shared" si="3"/>
        <v>2.19939381529055</v>
      </c>
      <c r="Y52" s="47">
        <f ca="1" t="shared" si="4"/>
        <v>1.68319327913958</v>
      </c>
      <c r="Z52" s="47">
        <f ca="1" t="shared" si="5"/>
        <v>1.35357214732057</v>
      </c>
      <c r="AA52" s="47">
        <f ca="1" t="shared" si="6"/>
        <v>1.05204507613806</v>
      </c>
      <c r="AB52" s="47">
        <f ca="1" t="shared" si="7"/>
        <v>1.01461047859243</v>
      </c>
      <c r="AC52" s="48">
        <f ca="1" t="shared" si="8"/>
        <v>5.34874740075533</v>
      </c>
      <c r="AD52" s="47">
        <f t="shared" si="9"/>
        <v>1381.5</v>
      </c>
      <c r="AE52" s="47">
        <f t="shared" si="10"/>
        <v>345.375</v>
      </c>
      <c r="AF52" s="47">
        <f t="shared" si="11"/>
        <v>86.34375</v>
      </c>
      <c r="AG52" s="47">
        <f t="shared" si="12"/>
        <v>21.5859375</v>
      </c>
      <c r="AH52" s="47">
        <f t="shared" si="13"/>
        <v>5.396484375</v>
      </c>
      <c r="AI52" s="47">
        <f t="shared" si="14"/>
        <v>1.34912109375</v>
      </c>
      <c r="AJ52">
        <f ca="1">MIN(INT(SUM(AD52:$AI52)/OFFSET($AV$2,MATCH(AD$3,$AE$3:$AI$3,0),0)),6-SUM(AK52:$AO52))</f>
        <v>0</v>
      </c>
      <c r="AK52">
        <f ca="1">MIN(INT(SUM(AE52:$AI52)/OFFSET($AV$2,MATCH(AE$3,$AE$3:$AI$3,0),0)),6-SUM(AL52:$AO52))</f>
        <v>0</v>
      </c>
      <c r="AL52">
        <f ca="1">MIN(INT(SUM(AF52:$AI52)/OFFSET($AV$2,MATCH(AF$3,$AE$3:$AI$3,0),0)),6-SUM(AM52:$AO52))</f>
        <v>0</v>
      </c>
      <c r="AM52">
        <f ca="1">MIN(INT((SUM(AG52:$AI52)+N52*2/6)/OFFSET($AV$2,MATCH(AG$3,$AE$3:$AI$3,0),0)),6-SUM(AN52:$AO52))</f>
        <v>5</v>
      </c>
      <c r="AN52">
        <f ca="1">MIN(INT(SUM(AH52:$AI52)/OFFSET($AV$2,MATCH(AH$3,$AE$3:$AI$3,0),0)),6-SUM(AO52:$AO52))</f>
        <v>1</v>
      </c>
      <c r="AO52">
        <f ca="1">INT(SUM(AI51:$AI52)/OFFSET($AV$2,MATCH(AI$3,$AE$3:$AI$3,0),0))</f>
        <v>0</v>
      </c>
      <c r="AP52" cm="1">
        <f ca="1" t="array" ref="AP52">SUMPRODUCT(AJ52:AO52,TRANSPOSE($AS$3:$AS$8))</f>
        <v>2</v>
      </c>
    </row>
    <row r="53" ht="16.5" spans="14:42">
      <c r="N53" s="2">
        <v>50</v>
      </c>
      <c r="O53" s="45">
        <f>产出预期!AN69</f>
        <v>5639</v>
      </c>
      <c r="P53" s="2">
        <f ca="1">练度预期!M52</f>
        <v>30</v>
      </c>
      <c r="Q53" s="2" t="str">
        <f ca="1" t="shared" si="15"/>
        <v>紫</v>
      </c>
      <c r="R53" s="46">
        <f ca="1" t="shared" si="16"/>
        <v>0.713761700665138</v>
      </c>
      <c r="S53" s="47">
        <f ca="1" t="shared" si="2"/>
        <v>20.9254558888889</v>
      </c>
      <c r="T53" s="47">
        <f ca="1">MIN(1+($O53*1.4+产出预期!AC69*60)/OFFSET($J$14,MATCH(T$3,$T$3:$W$3,0),0),18)</f>
        <v>6.85961111111111</v>
      </c>
      <c r="U53" s="47">
        <f ca="1">MIN(($O53*1.4+产出预期!$AC69*60)/OFFSET($J$14,MATCH(U$3,$T$3:$W$3,0),0),3)</f>
        <v>1.687568</v>
      </c>
      <c r="V53" s="47">
        <f ca="1">MIN(($O53*1.4+产出预期!$AC69*60)/OFFSET($J$14,MATCH(V$3,$T$3:$W$3,0),0),18)</f>
        <v>0.421892</v>
      </c>
      <c r="W53" s="47">
        <f ca="1">MIN(($O53*1.4+产出预期!$AC69*60)/OFFSET($J$14,MATCH(W$3,$T$3:$W$3,0),0),18)</f>
        <v>0.105473</v>
      </c>
      <c r="X53" s="47">
        <f ca="1" t="shared" si="3"/>
        <v>2.19563068426891</v>
      </c>
      <c r="Y53" s="47">
        <f ca="1" t="shared" si="4"/>
        <v>1.6954069710039</v>
      </c>
      <c r="Z53" s="47">
        <f ca="1" t="shared" si="5"/>
        <v>1.36026566822748</v>
      </c>
      <c r="AA53" s="47">
        <f ca="1" t="shared" si="6"/>
        <v>1.05291514041573</v>
      </c>
      <c r="AB53" s="47">
        <f ca="1" t="shared" si="7"/>
        <v>1.01485029737813</v>
      </c>
      <c r="AC53" s="48">
        <f ca="1" t="shared" si="8"/>
        <v>5.41068619810129</v>
      </c>
      <c r="AD53" s="47">
        <f t="shared" si="9"/>
        <v>1409.75</v>
      </c>
      <c r="AE53" s="47">
        <f t="shared" si="10"/>
        <v>352.4375</v>
      </c>
      <c r="AF53" s="47">
        <f t="shared" si="11"/>
        <v>88.109375</v>
      </c>
      <c r="AG53" s="47">
        <f t="shared" si="12"/>
        <v>22.02734375</v>
      </c>
      <c r="AH53" s="47">
        <f t="shared" si="13"/>
        <v>5.5068359375</v>
      </c>
      <c r="AI53" s="47">
        <f t="shared" si="14"/>
        <v>1.376708984375</v>
      </c>
      <c r="AJ53">
        <f ca="1">MIN(INT(SUM(AD53:$AI53)/OFFSET($AV$2,MATCH(AD$3,$AE$3:$AI$3,0),0)),6-SUM(AK53:$AO53))</f>
        <v>0</v>
      </c>
      <c r="AK53">
        <f ca="1">MIN(INT(SUM(AE53:$AI53)/OFFSET($AV$2,MATCH(AE$3,$AE$3:$AI$3,0),0)),6-SUM(AL53:$AO53))</f>
        <v>0</v>
      </c>
      <c r="AL53">
        <f ca="1">MIN(INT(SUM(AF53:$AI53)/OFFSET($AV$2,MATCH(AF$3,$AE$3:$AI$3,0),0)),6-SUM(AM53:$AO53))</f>
        <v>0</v>
      </c>
      <c r="AM53">
        <f ca="1">MIN(INT((SUM(AG53:$AI53)+N53*2/6)/OFFSET($AV$2,MATCH(AG$3,$AE$3:$AI$3,0),0)),6-SUM(AN53:$AO53))</f>
        <v>5</v>
      </c>
      <c r="AN53">
        <f ca="1">MIN(INT(SUM(AH53:$AI53)/OFFSET($AV$2,MATCH(AH$3,$AE$3:$AI$3,0),0)),6-SUM(AO53:$AO53))</f>
        <v>1</v>
      </c>
      <c r="AO53">
        <f ca="1">INT(SUM(AI52:$AI53)/OFFSET($AV$2,MATCH(AI$3,$AE$3:$AI$3,0),0))</f>
        <v>0</v>
      </c>
      <c r="AP53" cm="1">
        <f ca="1" t="array" ref="AP53">SUMPRODUCT(AJ53:AO53,TRANSPOSE($AS$3:$AS$8))</f>
        <v>2</v>
      </c>
    </row>
    <row r="54" ht="16.5" spans="14:42">
      <c r="N54" s="2">
        <v>51</v>
      </c>
      <c r="O54" s="45">
        <f>产出预期!AN70</f>
        <v>5747</v>
      </c>
      <c r="P54" s="2">
        <f ca="1">练度预期!M53</f>
        <v>30</v>
      </c>
      <c r="Q54" s="2" t="str">
        <f ca="1" t="shared" si="15"/>
        <v>紫</v>
      </c>
      <c r="R54" s="46">
        <f ca="1" t="shared" si="16"/>
        <v>0.73009513225911</v>
      </c>
      <c r="S54" s="47">
        <f ca="1" t="shared" si="2"/>
        <v>20.7757132222222</v>
      </c>
      <c r="T54" s="47">
        <f ca="1">MIN(1+($O54*1.4+产出预期!AC70*60)/OFFSET($J$14,MATCH(T$3,$T$3:$W$3,0),0),18)</f>
        <v>6.96827777777778</v>
      </c>
      <c r="U54" s="47">
        <f ca="1">MIN(($O54*1.4+产出预期!$AC70*60)/OFFSET($J$14,MATCH(U$3,$T$3:$W$3,0),0),3)</f>
        <v>1.718864</v>
      </c>
      <c r="V54" s="47">
        <f ca="1">MIN(($O54*1.4+产出预期!$AC70*60)/OFFSET($J$14,MATCH(V$3,$T$3:$W$3,0),0),18)</f>
        <v>0.429716</v>
      </c>
      <c r="W54" s="47">
        <f ca="1">MIN(($O54*1.4+产出预期!$AC70*60)/OFFSET($J$14,MATCH(W$3,$T$3:$W$3,0),0),18)</f>
        <v>0.107429</v>
      </c>
      <c r="X54" s="47">
        <f ca="1" t="shared" si="3"/>
        <v>2.19046813203867</v>
      </c>
      <c r="Y54" s="47">
        <f ca="1" t="shared" si="4"/>
        <v>1.7096452839387</v>
      </c>
      <c r="Z54" s="47">
        <f ca="1" t="shared" si="5"/>
        <v>1.36804944205056</v>
      </c>
      <c r="AA54" s="47">
        <f ca="1" t="shared" si="6"/>
        <v>1.05392245179332</v>
      </c>
      <c r="AB54" s="47">
        <f ca="1" t="shared" si="7"/>
        <v>1.01512776935308</v>
      </c>
      <c r="AC54" s="48">
        <f ca="1" t="shared" si="8"/>
        <v>5.48118057405237</v>
      </c>
      <c r="AD54" s="47">
        <f t="shared" si="9"/>
        <v>1436.75</v>
      </c>
      <c r="AE54" s="47">
        <f t="shared" si="10"/>
        <v>359.1875</v>
      </c>
      <c r="AF54" s="47">
        <f t="shared" si="11"/>
        <v>89.796875</v>
      </c>
      <c r="AG54" s="47">
        <f t="shared" si="12"/>
        <v>22.44921875</v>
      </c>
      <c r="AH54" s="47">
        <f t="shared" si="13"/>
        <v>5.6123046875</v>
      </c>
      <c r="AI54" s="47">
        <f t="shared" si="14"/>
        <v>1.403076171875</v>
      </c>
      <c r="AJ54">
        <f ca="1">MIN(INT(SUM(AD54:$AI54)/OFFSET($AV$2,MATCH(AD$3,$AE$3:$AI$3,0),0)),6-SUM(AK54:$AO54))</f>
        <v>0</v>
      </c>
      <c r="AK54">
        <f ca="1">MIN(INT(SUM(AE54:$AI54)/OFFSET($AV$2,MATCH(AE$3,$AE$3:$AI$3,0),0)),6-SUM(AL54:$AO54))</f>
        <v>0</v>
      </c>
      <c r="AL54">
        <f ca="1">MIN(INT(SUM(AF54:$AI54)/OFFSET($AV$2,MATCH(AF$3,$AE$3:$AI$3,0),0)),6-SUM(AM54:$AO54))</f>
        <v>0</v>
      </c>
      <c r="AM54">
        <f ca="1">MIN(INT((SUM(AG54:$AI54)+N54*2/6)/OFFSET($AV$2,MATCH(AG$3,$AE$3:$AI$3,0),0)),6-SUM(AN54:$AO54))</f>
        <v>5</v>
      </c>
      <c r="AN54">
        <f ca="1">MIN(INT(SUM(AH54:$AI54)/OFFSET($AV$2,MATCH(AH$3,$AE$3:$AI$3,0),0)),6-SUM(AO54:$AO54))</f>
        <v>1</v>
      </c>
      <c r="AO54">
        <f ca="1">INT(SUM(AI53:$AI54)/OFFSET($AV$2,MATCH(AI$3,$AE$3:$AI$3,0),0))</f>
        <v>0</v>
      </c>
      <c r="AP54" cm="1">
        <f ca="1" t="array" ref="AP54">SUMPRODUCT(AJ54:AO54,TRANSPOSE($AS$3:$AS$8))</f>
        <v>2</v>
      </c>
    </row>
    <row r="55" ht="16.5" spans="14:42">
      <c r="N55" s="2">
        <v>52</v>
      </c>
      <c r="O55" s="45">
        <f>产出预期!AN71</f>
        <v>5832</v>
      </c>
      <c r="P55" s="2">
        <f ca="1">练度预期!M54</f>
        <v>30</v>
      </c>
      <c r="Q55" s="2" t="str">
        <f ca="1" t="shared" si="15"/>
        <v>紫</v>
      </c>
      <c r="R55" s="46">
        <f ca="1" t="shared" si="16"/>
        <v>0.742842505793338</v>
      </c>
      <c r="S55" s="47">
        <f ca="1" t="shared" si="2"/>
        <v>20.6612626666667</v>
      </c>
      <c r="T55" s="47">
        <f ca="1">MIN(1+($O55*1.4+产出预期!AC71*60)/OFFSET($J$14,MATCH(T$3,$T$3:$W$3,0),0),18)</f>
        <v>7.05133333333333</v>
      </c>
      <c r="U55" s="47">
        <f ca="1">MIN(($O55*1.4+产出预期!$AC71*60)/OFFSET($J$14,MATCH(U$3,$T$3:$W$3,0),0),3)</f>
        <v>1.742784</v>
      </c>
      <c r="V55" s="47">
        <f ca="1">MIN(($O55*1.4+产出预期!$AC71*60)/OFFSET($J$14,MATCH(V$3,$T$3:$W$3,0),0),18)</f>
        <v>0.435696</v>
      </c>
      <c r="W55" s="47">
        <f ca="1">MIN(($O55*1.4+产出预期!$AC71*60)/OFFSET($J$14,MATCH(W$3,$T$3:$W$3,0),0),18)</f>
        <v>0.108924</v>
      </c>
      <c r="X55" s="47">
        <f ca="1" t="shared" si="3"/>
        <v>2.18654377465494</v>
      </c>
      <c r="Y55" s="47">
        <f ca="1" t="shared" si="4"/>
        <v>1.72060840949797</v>
      </c>
      <c r="Z55" s="47">
        <f ca="1" t="shared" si="5"/>
        <v>1.37402871447553</v>
      </c>
      <c r="AA55" s="47">
        <f ca="1" t="shared" si="6"/>
        <v>1.05469300462735</v>
      </c>
      <c r="AB55" s="47">
        <f ca="1" t="shared" si="7"/>
        <v>1.01533989647572</v>
      </c>
      <c r="AC55" s="48">
        <f ca="1" t="shared" si="8"/>
        <v>5.5357127115507</v>
      </c>
      <c r="AD55" s="47">
        <f t="shared" si="9"/>
        <v>1458</v>
      </c>
      <c r="AE55" s="47">
        <f t="shared" si="10"/>
        <v>364.5</v>
      </c>
      <c r="AF55" s="47">
        <f t="shared" si="11"/>
        <v>91.125</v>
      </c>
      <c r="AG55" s="47">
        <f t="shared" si="12"/>
        <v>22.78125</v>
      </c>
      <c r="AH55" s="47">
        <f t="shared" si="13"/>
        <v>5.6953125</v>
      </c>
      <c r="AI55" s="47">
        <f t="shared" si="14"/>
        <v>1.423828125</v>
      </c>
      <c r="AJ55">
        <f ca="1">MIN(INT(SUM(AD55:$AI55)/OFFSET($AV$2,MATCH(AD$3,$AE$3:$AI$3,0),0)),6-SUM(AK55:$AO55))</f>
        <v>0</v>
      </c>
      <c r="AK55">
        <f ca="1">MIN(INT(SUM(AE55:$AI55)/OFFSET($AV$2,MATCH(AE$3,$AE$3:$AI$3,0),0)),6-SUM(AL55:$AO55))</f>
        <v>0</v>
      </c>
      <c r="AL55">
        <f ca="1">MIN(INT(SUM(AF55:$AI55)/OFFSET($AV$2,MATCH(AF$3,$AE$3:$AI$3,0),0)),6-SUM(AM55:$AO55))</f>
        <v>0</v>
      </c>
      <c r="AM55">
        <f ca="1">MIN(INT((SUM(AG55:$AI55)+N55*2/6)/OFFSET($AV$2,MATCH(AG$3,$AE$3:$AI$3,0),0)),6-SUM(AN55:$AO55))</f>
        <v>5</v>
      </c>
      <c r="AN55">
        <f ca="1">MIN(INT(SUM(AH55:$AI55)/OFFSET($AV$2,MATCH(AH$3,$AE$3:$AI$3,0),0)),6-SUM(AO55:$AO55))</f>
        <v>1</v>
      </c>
      <c r="AO55">
        <f ca="1">INT(SUM(AI54:$AI55)/OFFSET($AV$2,MATCH(AI$3,$AE$3:$AI$3,0),0))</f>
        <v>0</v>
      </c>
      <c r="AP55" cm="1">
        <f ca="1" t="array" ref="AP55">SUMPRODUCT(AJ55:AO55,TRANSPOSE($AS$3:$AS$8))</f>
        <v>2</v>
      </c>
    </row>
    <row r="56" ht="16.5" spans="14:42">
      <c r="N56" s="2">
        <v>53</v>
      </c>
      <c r="O56" s="45">
        <f>产出预期!AN72</f>
        <v>5940</v>
      </c>
      <c r="P56" s="2">
        <f ca="1">练度预期!M55</f>
        <v>30</v>
      </c>
      <c r="Q56" s="2" t="str">
        <f ca="1" t="shared" si="15"/>
        <v>紫</v>
      </c>
      <c r="R56" s="46">
        <f ca="1" t="shared" si="16"/>
        <v>0.758905909933786</v>
      </c>
      <c r="S56" s="47">
        <f ca="1" t="shared" si="2"/>
        <v>20.51152</v>
      </c>
      <c r="T56" s="47">
        <f ca="1">MIN(1+($O56*1.4+产出预期!AC72*60)/OFFSET($J$14,MATCH(T$3,$T$3:$W$3,0),0),18)</f>
        <v>7.16</v>
      </c>
      <c r="U56" s="47">
        <f ca="1">MIN(($O56*1.4+产出预期!$AC72*60)/OFFSET($J$14,MATCH(U$3,$T$3:$W$3,0),0),3)</f>
        <v>1.77408</v>
      </c>
      <c r="V56" s="47">
        <f ca="1">MIN(($O56*1.4+产出预期!$AC72*60)/OFFSET($J$14,MATCH(V$3,$T$3:$W$3,0),0),18)</f>
        <v>0.44352</v>
      </c>
      <c r="W56" s="47">
        <f ca="1">MIN(($O56*1.4+产出预期!$AC72*60)/OFFSET($J$14,MATCH(W$3,$T$3:$W$3,0),0),18)</f>
        <v>0.11088</v>
      </c>
      <c r="X56" s="47">
        <f ca="1" t="shared" si="3"/>
        <v>2.18123913749725</v>
      </c>
      <c r="Y56" s="47">
        <f ca="1" t="shared" si="4"/>
        <v>1.73505836835249</v>
      </c>
      <c r="Z56" s="47">
        <f ca="1" t="shared" si="5"/>
        <v>1.38189124382529</v>
      </c>
      <c r="AA56" s="47">
        <f ca="1" t="shared" si="6"/>
        <v>1.05570201686647</v>
      </c>
      <c r="AB56" s="47">
        <f ca="1" t="shared" si="7"/>
        <v>1.01561750231281</v>
      </c>
      <c r="AC56" s="48">
        <f ca="1" t="shared" si="8"/>
        <v>5.60741583344808</v>
      </c>
      <c r="AD56" s="47">
        <f t="shared" si="9"/>
        <v>1485</v>
      </c>
      <c r="AE56" s="47">
        <f t="shared" si="10"/>
        <v>371.25</v>
      </c>
      <c r="AF56" s="47">
        <f t="shared" si="11"/>
        <v>92.8125</v>
      </c>
      <c r="AG56" s="47">
        <f t="shared" si="12"/>
        <v>23.203125</v>
      </c>
      <c r="AH56" s="47">
        <f t="shared" si="13"/>
        <v>5.80078125</v>
      </c>
      <c r="AI56" s="47">
        <f t="shared" si="14"/>
        <v>1.4501953125</v>
      </c>
      <c r="AJ56">
        <f ca="1">MIN(INT(SUM(AD56:$AI56)/OFFSET($AV$2,MATCH(AD$3,$AE$3:$AI$3,0),0)),6-SUM(AK56:$AO56))</f>
        <v>0</v>
      </c>
      <c r="AK56">
        <f ca="1">MIN(INT(SUM(AE56:$AI56)/OFFSET($AV$2,MATCH(AE$3,$AE$3:$AI$3,0),0)),6-SUM(AL56:$AO56))</f>
        <v>0</v>
      </c>
      <c r="AL56">
        <f ca="1">MIN(INT(SUM(AF56:$AI56)/OFFSET($AV$2,MATCH(AF$3,$AE$3:$AI$3,0),0)),6-SUM(AM56:$AO56))</f>
        <v>0</v>
      </c>
      <c r="AM56">
        <f ca="1">MIN(INT((SUM(AG56:$AI56)+N56*2/6)/OFFSET($AV$2,MATCH(AG$3,$AE$3:$AI$3,0),0)),6-SUM(AN56:$AO56))</f>
        <v>5</v>
      </c>
      <c r="AN56">
        <f ca="1">MIN(INT(SUM(AH56:$AI56)/OFFSET($AV$2,MATCH(AH$3,$AE$3:$AI$3,0),0)),6-SUM(AO56:$AO56))</f>
        <v>1</v>
      </c>
      <c r="AO56">
        <f ca="1">INT(SUM(AI55:$AI56)/OFFSET($AV$2,MATCH(AI$3,$AE$3:$AI$3,0),0))</f>
        <v>0</v>
      </c>
      <c r="AP56" cm="1">
        <f ca="1" t="array" ref="AP56">SUMPRODUCT(AJ56:AO56,TRANSPOSE($AS$3:$AS$8))</f>
        <v>2</v>
      </c>
    </row>
    <row r="57" ht="16.5" spans="14:42">
      <c r="N57" s="2">
        <v>54</v>
      </c>
      <c r="O57" s="45">
        <f>产出预期!AN73</f>
        <v>6053</v>
      </c>
      <c r="P57" s="2">
        <f ca="1">练度预期!M56</f>
        <v>30</v>
      </c>
      <c r="Q57" s="2" t="str">
        <f ca="1" t="shared" si="15"/>
        <v>紫</v>
      </c>
      <c r="R57" s="46">
        <f ca="1" t="shared" si="16"/>
        <v>0.775557424209836</v>
      </c>
      <c r="S57" s="47">
        <f ca="1" t="shared" si="2"/>
        <v>20.3820645555556</v>
      </c>
      <c r="T57" s="47">
        <f ca="1">MIN(1+($O57*1.4+产出预期!AC73*60)/OFFSET($J$14,MATCH(T$3,$T$3:$W$3,0),0),18)</f>
        <v>7.25394444444444</v>
      </c>
      <c r="U57" s="47">
        <f ca="1">MIN(($O57*1.4+产出预期!$AC73*60)/OFFSET($J$14,MATCH(U$3,$T$3:$W$3,0),0),3)</f>
        <v>1.801136</v>
      </c>
      <c r="V57" s="47">
        <f ca="1">MIN(($O57*1.4+产出预期!$AC73*60)/OFFSET($J$14,MATCH(V$3,$T$3:$W$3,0),0),18)</f>
        <v>0.450284</v>
      </c>
      <c r="W57" s="47">
        <f ca="1">MIN(($O57*1.4+产出预期!$AC73*60)/OFFSET($J$14,MATCH(W$3,$T$3:$W$3,0),0),18)</f>
        <v>0.112571</v>
      </c>
      <c r="X57" s="47">
        <f ca="1" t="shared" si="3"/>
        <v>2.17717784264563</v>
      </c>
      <c r="Y57" s="47">
        <f ca="1" t="shared" si="4"/>
        <v>1.74764840690617</v>
      </c>
      <c r="Z57" s="47">
        <f ca="1" t="shared" si="5"/>
        <v>1.38872480489547</v>
      </c>
      <c r="AA57" s="47">
        <f ca="1" t="shared" si="6"/>
        <v>1.05657510551406</v>
      </c>
      <c r="AB57" s="47">
        <f ca="1" t="shared" si="7"/>
        <v>1.01585755912404</v>
      </c>
      <c r="AC57" s="48">
        <f ca="1" t="shared" si="8"/>
        <v>5.67149240001476</v>
      </c>
      <c r="AD57" s="47">
        <f t="shared" si="9"/>
        <v>1513.25</v>
      </c>
      <c r="AE57" s="47">
        <f t="shared" si="10"/>
        <v>378.3125</v>
      </c>
      <c r="AF57" s="47">
        <f t="shared" si="11"/>
        <v>94.578125</v>
      </c>
      <c r="AG57" s="47">
        <f t="shared" si="12"/>
        <v>23.64453125</v>
      </c>
      <c r="AH57" s="47">
        <f t="shared" si="13"/>
        <v>5.9111328125</v>
      </c>
      <c r="AI57" s="47">
        <f t="shared" si="14"/>
        <v>1.477783203125</v>
      </c>
      <c r="AJ57">
        <f ca="1">MIN(INT(SUM(AD57:$AI57)/OFFSET($AV$2,MATCH(AD$3,$AE$3:$AI$3,0),0)),6-SUM(AK57:$AO57))</f>
        <v>0</v>
      </c>
      <c r="AK57">
        <f ca="1">MIN(INT(SUM(AE57:$AI57)/OFFSET($AV$2,MATCH(AE$3,$AE$3:$AI$3,0),0)),6-SUM(AL57:$AO57))</f>
        <v>0</v>
      </c>
      <c r="AL57">
        <f ca="1">MIN(INT(SUM(AF57:$AI57)/OFFSET($AV$2,MATCH(AF$3,$AE$3:$AI$3,0),0)),6-SUM(AM57:$AO57))</f>
        <v>0</v>
      </c>
      <c r="AM57">
        <f ca="1">MIN(INT((SUM(AG57:$AI57)+N57*2/6)/OFFSET($AV$2,MATCH(AG$3,$AE$3:$AI$3,0),0)),6-SUM(AN57:$AO57))</f>
        <v>5</v>
      </c>
      <c r="AN57">
        <f ca="1">MIN(INT(SUM(AH57:$AI57)/OFFSET($AV$2,MATCH(AH$3,$AE$3:$AI$3,0),0)),6-SUM(AO57:$AO57))</f>
        <v>1</v>
      </c>
      <c r="AO57">
        <f ca="1">INT(SUM(AI56:$AI57)/OFFSET($AV$2,MATCH(AI$3,$AE$3:$AI$3,0),0))</f>
        <v>0</v>
      </c>
      <c r="AP57" cm="1">
        <f ca="1" t="array" ref="AP57">SUMPRODUCT(AJ57:AO57,TRANSPOSE($AS$3:$AS$8))</f>
        <v>2</v>
      </c>
    </row>
    <row r="58" ht="16.5" spans="14:42">
      <c r="N58" s="2">
        <v>55</v>
      </c>
      <c r="O58" s="45">
        <f>产出预期!AN74</f>
        <v>6161</v>
      </c>
      <c r="P58" s="2">
        <f ca="1">练度预期!M57</f>
        <v>30</v>
      </c>
      <c r="Q58" s="2" t="str">
        <f ca="1" t="shared" si="15"/>
        <v>紫</v>
      </c>
      <c r="R58" s="46">
        <f ca="1" t="shared" si="16"/>
        <v>0.791327487274917</v>
      </c>
      <c r="S58" s="47">
        <f ca="1" t="shared" si="2"/>
        <v>20.2323218888889</v>
      </c>
      <c r="T58" s="47">
        <f ca="1">MIN(1+($O58*1.4+产出预期!AC74*60)/OFFSET($J$14,MATCH(T$3,$T$3:$W$3,0),0),18)</f>
        <v>7.36261111111111</v>
      </c>
      <c r="U58" s="47">
        <f ca="1">MIN(($O58*1.4+产出预期!$AC74*60)/OFFSET($J$14,MATCH(U$3,$T$3:$W$3,0),0),3)</f>
        <v>1.832432</v>
      </c>
      <c r="V58" s="47">
        <f ca="1">MIN(($O58*1.4+产出预期!$AC74*60)/OFFSET($J$14,MATCH(V$3,$T$3:$W$3,0),0),18)</f>
        <v>0.458108</v>
      </c>
      <c r="W58" s="47">
        <f ca="1">MIN(($O58*1.4+产出预期!$AC74*60)/OFFSET($J$14,MATCH(W$3,$T$3:$W$3,0),0),18)</f>
        <v>0.114527</v>
      </c>
      <c r="X58" s="47">
        <f ca="1" t="shared" si="3"/>
        <v>2.17172001886516</v>
      </c>
      <c r="Y58" s="47">
        <f ca="1" t="shared" si="4"/>
        <v>1.76232545220745</v>
      </c>
      <c r="Z58" s="47">
        <f ca="1" t="shared" si="5"/>
        <v>1.39667142887951</v>
      </c>
      <c r="AA58" s="47">
        <f ca="1" t="shared" si="6"/>
        <v>1.05758591833668</v>
      </c>
      <c r="AB58" s="47">
        <f ca="1" t="shared" si="7"/>
        <v>1.01613530649617</v>
      </c>
      <c r="AC58" s="48">
        <f ca="1" t="shared" si="8"/>
        <v>5.74448895052404</v>
      </c>
      <c r="AD58" s="47">
        <f t="shared" si="9"/>
        <v>1540.25</v>
      </c>
      <c r="AE58" s="47">
        <f t="shared" si="10"/>
        <v>385.0625</v>
      </c>
      <c r="AF58" s="47">
        <f t="shared" si="11"/>
        <v>96.265625</v>
      </c>
      <c r="AG58" s="47">
        <f t="shared" si="12"/>
        <v>24.06640625</v>
      </c>
      <c r="AH58" s="47">
        <f t="shared" si="13"/>
        <v>6.0166015625</v>
      </c>
      <c r="AI58" s="47">
        <f t="shared" si="14"/>
        <v>1.504150390625</v>
      </c>
      <c r="AJ58">
        <f ca="1">MIN(INT(SUM(AD58:$AI58)/OFFSET($AV$2,MATCH(AD$3,$AE$3:$AI$3,0),0)),6-SUM(AK58:$AO58))</f>
        <v>0</v>
      </c>
      <c r="AK58">
        <f ca="1">MIN(INT(SUM(AE58:$AI58)/OFFSET($AV$2,MATCH(AE$3,$AE$3:$AI$3,0),0)),6-SUM(AL58:$AO58))</f>
        <v>0</v>
      </c>
      <c r="AL58">
        <f ca="1">MIN(INT(SUM(AF58:$AI58)/OFFSET($AV$2,MATCH(AF$3,$AE$3:$AI$3,0),0)),6-SUM(AM58:$AO58))</f>
        <v>0</v>
      </c>
      <c r="AM58">
        <f ca="1">MIN(INT((SUM(AG58:$AI58)+N58*2/6)/OFFSET($AV$2,MATCH(AG$3,$AE$3:$AI$3,0),0)),6-SUM(AN58:$AO58))</f>
        <v>5</v>
      </c>
      <c r="AN58">
        <f ca="1">MIN(INT(SUM(AH58:$AI58)/OFFSET($AV$2,MATCH(AH$3,$AE$3:$AI$3,0),0)),6-SUM(AO58:$AO58))</f>
        <v>1</v>
      </c>
      <c r="AO58">
        <f ca="1">INT(SUM(AI57:$AI58)/OFFSET($AV$2,MATCH(AI$3,$AE$3:$AI$3,0),0))</f>
        <v>0</v>
      </c>
      <c r="AP58" cm="1">
        <f ca="1" t="array" ref="AP58">SUMPRODUCT(AJ58:AO58,TRANSPOSE($AS$3:$AS$8))</f>
        <v>2</v>
      </c>
    </row>
    <row r="59" ht="16.5" spans="14:42">
      <c r="N59" s="2">
        <v>56</v>
      </c>
      <c r="O59" s="45">
        <f>产出预期!AN75</f>
        <v>6279</v>
      </c>
      <c r="P59" s="2">
        <f ca="1">练度预期!M58</f>
        <v>30</v>
      </c>
      <c r="Q59" s="2" t="str">
        <f ca="1" t="shared" si="15"/>
        <v>紫</v>
      </c>
      <c r="R59" s="46">
        <f ca="1" t="shared" si="16"/>
        <v>0.808400536385676</v>
      </c>
      <c r="S59" s="47">
        <f ca="1" t="shared" si="2"/>
        <v>20.0772203333333</v>
      </c>
      <c r="T59" s="47">
        <f ca="1">MIN(1+($O59*1.4+产出预期!AC75*60)/OFFSET($J$14,MATCH(T$3,$T$3:$W$3,0),0),18)</f>
        <v>7.47516666666667</v>
      </c>
      <c r="U59" s="47">
        <f ca="1">MIN(($O59*1.4+产出预期!$AC75*60)/OFFSET($J$14,MATCH(U$3,$T$3:$W$3,0),0),3)</f>
        <v>1.864848</v>
      </c>
      <c r="V59" s="47">
        <f ca="1">MIN(($O59*1.4+产出预期!$AC75*60)/OFFSET($J$14,MATCH(V$3,$T$3:$W$3,0),0),18)</f>
        <v>0.466212</v>
      </c>
      <c r="W59" s="47">
        <f ca="1">MIN(($O59*1.4+产出预期!$AC75*60)/OFFSET($J$14,MATCH(W$3,$T$3:$W$3,0),0),18)</f>
        <v>0.116553</v>
      </c>
      <c r="X59" s="47">
        <f ca="1" t="shared" si="3"/>
        <v>2.16616537353267</v>
      </c>
      <c r="Y59" s="47">
        <f ca="1" t="shared" si="4"/>
        <v>1.77765771859496</v>
      </c>
      <c r="Z59" s="47">
        <f ca="1" t="shared" si="5"/>
        <v>1.4049503871765</v>
      </c>
      <c r="AA59" s="47">
        <f ca="1" t="shared" si="6"/>
        <v>1.05863392501706</v>
      </c>
      <c r="AB59" s="47">
        <f ca="1" t="shared" si="7"/>
        <v>1.01642307376745</v>
      </c>
      <c r="AC59" s="48">
        <f ca="1" t="shared" si="8"/>
        <v>5.82131450342854</v>
      </c>
      <c r="AD59" s="47">
        <f t="shared" si="9"/>
        <v>1569.75</v>
      </c>
      <c r="AE59" s="47">
        <f t="shared" si="10"/>
        <v>392.4375</v>
      </c>
      <c r="AF59" s="47">
        <f t="shared" si="11"/>
        <v>98.109375</v>
      </c>
      <c r="AG59" s="47">
        <f t="shared" si="12"/>
        <v>24.52734375</v>
      </c>
      <c r="AH59" s="47">
        <f t="shared" si="13"/>
        <v>6.1318359375</v>
      </c>
      <c r="AI59" s="47">
        <f t="shared" si="14"/>
        <v>1.532958984375</v>
      </c>
      <c r="AJ59">
        <f ca="1">MIN(INT(SUM(AD59:$AI59)/OFFSET($AV$2,MATCH(AD$3,$AE$3:$AI$3,0),0)),6-SUM(AK59:$AO59))</f>
        <v>0</v>
      </c>
      <c r="AK59">
        <f ca="1">MIN(INT(SUM(AE59:$AI59)/OFFSET($AV$2,MATCH(AE$3,$AE$3:$AI$3,0),0)),6-SUM(AL59:$AO59))</f>
        <v>0</v>
      </c>
      <c r="AL59">
        <f ca="1">MIN(INT(SUM(AF59:$AI59)/OFFSET($AV$2,MATCH(AF$3,$AE$3:$AI$3,0),0)),6-SUM(AM59:$AO59))</f>
        <v>0</v>
      </c>
      <c r="AM59">
        <f ca="1">MIN(INT((SUM(AG59:$AI59)+N59*2/6)/OFFSET($AV$2,MATCH(AG$3,$AE$3:$AI$3,0),0)),6-SUM(AN59:$AO59))</f>
        <v>5</v>
      </c>
      <c r="AN59">
        <f ca="1">MIN(INT(SUM(AH59:$AI59)/OFFSET($AV$2,MATCH(AH$3,$AE$3:$AI$3,0),0)),6-SUM(AO59:$AO59))</f>
        <v>1</v>
      </c>
      <c r="AO59">
        <f ca="1">INT(SUM(AI58:$AI59)/OFFSET($AV$2,MATCH(AI$3,$AE$3:$AI$3,0),0))</f>
        <v>0</v>
      </c>
      <c r="AP59" cm="1">
        <f ca="1" t="array" ref="AP59">SUMPRODUCT(AJ59:AO59,TRANSPOSE($AS$3:$AS$8))</f>
        <v>2</v>
      </c>
    </row>
    <row r="60" ht="16.5" spans="14:42">
      <c r="N60" s="2">
        <v>57</v>
      </c>
      <c r="O60" s="45">
        <f>产出预期!AN76</f>
        <v>6387</v>
      </c>
      <c r="P60" s="2">
        <f ca="1">练度预期!M59</f>
        <v>30</v>
      </c>
      <c r="Q60" s="2" t="str">
        <f ca="1" t="shared" si="15"/>
        <v>紫</v>
      </c>
      <c r="R60" s="46">
        <f ca="1" t="shared" si="16"/>
        <v>0.823886646697102</v>
      </c>
      <c r="S60" s="47">
        <f ca="1" t="shared" si="2"/>
        <v>19.9504443333333</v>
      </c>
      <c r="T60" s="47">
        <f ca="1">MIN(1+($O60*1.4+产出预期!AC76*60)/OFFSET($J$14,MATCH(T$3,$T$3:$W$3,0),0),18)</f>
        <v>7.56716666666667</v>
      </c>
      <c r="U60" s="47">
        <f ca="1">MIN(($O60*1.4+产出预期!$AC76*60)/OFFSET($J$14,MATCH(U$3,$T$3:$W$3,0),0),3)</f>
        <v>1.891344</v>
      </c>
      <c r="V60" s="47">
        <f ca="1">MIN(($O60*1.4+产出预期!$AC76*60)/OFFSET($J$14,MATCH(V$3,$T$3:$W$3,0),0),18)</f>
        <v>0.472836</v>
      </c>
      <c r="W60" s="47">
        <f ca="1">MIN(($O60*1.4+产出预期!$AC76*60)/OFFSET($J$14,MATCH(W$3,$T$3:$W$3,0),0),18)</f>
        <v>0.118209</v>
      </c>
      <c r="X60" s="47">
        <f ca="1" t="shared" si="3"/>
        <v>2.16189126348574</v>
      </c>
      <c r="Y60" s="47">
        <f ca="1" t="shared" si="4"/>
        <v>1.79028893874114</v>
      </c>
      <c r="Z60" s="47">
        <f ca="1" t="shared" si="5"/>
        <v>1.4117538300012</v>
      </c>
      <c r="AA60" s="47">
        <f ca="1" t="shared" si="6"/>
        <v>1.05949130986893</v>
      </c>
      <c r="AB60" s="47">
        <f ca="1" t="shared" si="7"/>
        <v>1.01665834782063</v>
      </c>
      <c r="AC60" s="48">
        <f ca="1" t="shared" si="8"/>
        <v>5.88556796811864</v>
      </c>
      <c r="AD60" s="47">
        <f t="shared" si="9"/>
        <v>1596.75</v>
      </c>
      <c r="AE60" s="47">
        <f t="shared" si="10"/>
        <v>399.1875</v>
      </c>
      <c r="AF60" s="47">
        <f t="shared" si="11"/>
        <v>99.796875</v>
      </c>
      <c r="AG60" s="47">
        <f t="shared" si="12"/>
        <v>24.94921875</v>
      </c>
      <c r="AH60" s="47">
        <f t="shared" si="13"/>
        <v>6.2373046875</v>
      </c>
      <c r="AI60" s="47">
        <f t="shared" si="14"/>
        <v>1.559326171875</v>
      </c>
      <c r="AJ60">
        <f ca="1">MIN(INT(SUM(AD60:$AI60)/OFFSET($AV$2,MATCH(AD$3,$AE$3:$AI$3,0),0)),6-SUM(AK60:$AO60))</f>
        <v>0</v>
      </c>
      <c r="AK60">
        <f ca="1">MIN(INT(SUM(AE60:$AI60)/OFFSET($AV$2,MATCH(AE$3,$AE$3:$AI$3,0),0)),6-SUM(AL60:$AO60))</f>
        <v>0</v>
      </c>
      <c r="AL60">
        <f ca="1">MIN(INT(SUM(AF60:$AI60)/OFFSET($AV$2,MATCH(AF$3,$AE$3:$AI$3,0),0)),6-SUM(AM60:$AO60))</f>
        <v>0</v>
      </c>
      <c r="AM60">
        <f ca="1">MIN(INT((SUM(AG60:$AI60)+N60*2/6)/OFFSET($AV$2,MATCH(AG$3,$AE$3:$AI$3,0),0)),6-SUM(AN60:$AO60))</f>
        <v>5</v>
      </c>
      <c r="AN60">
        <f ca="1">MIN(INT(SUM(AH60:$AI60)/OFFSET($AV$2,MATCH(AH$3,$AE$3:$AI$3,0),0)),6-SUM(AO60:$AO60))</f>
        <v>1</v>
      </c>
      <c r="AO60">
        <f ca="1">INT(SUM(AI59:$AI60)/OFFSET($AV$2,MATCH(AI$3,$AE$3:$AI$3,0),0))</f>
        <v>0</v>
      </c>
      <c r="AP60" cm="1">
        <f ca="1" t="array" ref="AP60">SUMPRODUCT(AJ60:AO60,TRANSPOSE($AS$3:$AS$8))</f>
        <v>2</v>
      </c>
    </row>
    <row r="61" ht="16.5" spans="14:42">
      <c r="N61" s="2">
        <v>58</v>
      </c>
      <c r="O61" s="45">
        <f>产出预期!AN77</f>
        <v>6523</v>
      </c>
      <c r="P61" s="2">
        <f ca="1">练度预期!M60</f>
        <v>30</v>
      </c>
      <c r="Q61" s="2" t="str">
        <f ca="1" t="shared" si="15"/>
        <v>紫</v>
      </c>
      <c r="R61" s="46">
        <f ca="1" t="shared" si="16"/>
        <v>0.843202602356381</v>
      </c>
      <c r="S61" s="47">
        <f ca="1" t="shared" si="2"/>
        <v>19.7856967777778</v>
      </c>
      <c r="T61" s="47">
        <f ca="1">MIN(1+($O61*1.4+产出预期!AC77*60)/OFFSET($J$14,MATCH(T$3,$T$3:$W$3,0),0),18)</f>
        <v>7.68672222222222</v>
      </c>
      <c r="U61" s="47">
        <f ca="1">MIN(($O61*1.4+产出预期!$AC77*60)/OFFSET($J$14,MATCH(U$3,$T$3:$W$3,0),0),3)</f>
        <v>1.925776</v>
      </c>
      <c r="V61" s="47">
        <f ca="1">MIN(($O61*1.4+产出预期!$AC77*60)/OFFSET($J$14,MATCH(V$3,$T$3:$W$3,0),0),18)</f>
        <v>0.481444</v>
      </c>
      <c r="W61" s="47">
        <f ca="1">MIN(($O61*1.4+产出预期!$AC77*60)/OFFSET($J$14,MATCH(W$3,$T$3:$W$3,0),0),18)</f>
        <v>0.120361</v>
      </c>
      <c r="X61" s="47">
        <f ca="1" t="shared" si="3"/>
        <v>2.15611834901345</v>
      </c>
      <c r="Y61" s="47">
        <f ca="1" t="shared" si="4"/>
        <v>1.80683761859661</v>
      </c>
      <c r="Z61" s="47">
        <f ca="1" t="shared" si="5"/>
        <v>1.42064426768647</v>
      </c>
      <c r="AA61" s="47">
        <f ca="1" t="shared" si="6"/>
        <v>1.06060653357958</v>
      </c>
      <c r="AB61" s="47">
        <f ca="1" t="shared" si="7"/>
        <v>1.01696417180227</v>
      </c>
      <c r="AC61" s="48">
        <f ca="1" t="shared" si="8"/>
        <v>5.9694870415348</v>
      </c>
      <c r="AD61" s="47">
        <f t="shared" si="9"/>
        <v>1630.75</v>
      </c>
      <c r="AE61" s="47">
        <f t="shared" si="10"/>
        <v>407.6875</v>
      </c>
      <c r="AF61" s="47">
        <f t="shared" si="11"/>
        <v>101.921875</v>
      </c>
      <c r="AG61" s="47">
        <f t="shared" si="12"/>
        <v>25.48046875</v>
      </c>
      <c r="AH61" s="47">
        <f t="shared" si="13"/>
        <v>6.3701171875</v>
      </c>
      <c r="AI61" s="47">
        <f t="shared" si="14"/>
        <v>1.592529296875</v>
      </c>
      <c r="AJ61">
        <f ca="1">MIN(INT(SUM(AD61:$AI61)/OFFSET($AV$2,MATCH(AD$3,$AE$3:$AI$3,0),0)),6-SUM(AK61:$AO61))</f>
        <v>0</v>
      </c>
      <c r="AK61">
        <f ca="1">MIN(INT(SUM(AE61:$AI61)/OFFSET($AV$2,MATCH(AE$3,$AE$3:$AI$3,0),0)),6-SUM(AL61:$AO61))</f>
        <v>0</v>
      </c>
      <c r="AL61">
        <f ca="1">MIN(INT(SUM(AF61:$AI61)/OFFSET($AV$2,MATCH(AF$3,$AE$3:$AI$3,0),0)),6-SUM(AM61:$AO61))</f>
        <v>0</v>
      </c>
      <c r="AM61">
        <f ca="1">MIN(INT((SUM(AG61:$AI61)+N61*2/6)/OFFSET($AV$2,MATCH(AG$3,$AE$3:$AI$3,0),0)),6-SUM(AN61:$AO61))</f>
        <v>5</v>
      </c>
      <c r="AN61">
        <f ca="1">MIN(INT(SUM(AH61:$AI61)/OFFSET($AV$2,MATCH(AH$3,$AE$3:$AI$3,0),0)),6-SUM(AO61:$AO61))</f>
        <v>1</v>
      </c>
      <c r="AO61">
        <f ca="1">INT(SUM(AI60:$AI61)/OFFSET($AV$2,MATCH(AI$3,$AE$3:$AI$3,0),0))</f>
        <v>0</v>
      </c>
      <c r="AP61" cm="1">
        <f ca="1" t="array" ref="AP61">SUMPRODUCT(AJ61:AO61,TRANSPOSE($AS$3:$AS$8))</f>
        <v>2</v>
      </c>
    </row>
    <row r="62" ht="16.5" spans="14:42">
      <c r="N62" s="2">
        <v>59</v>
      </c>
      <c r="O62" s="45">
        <f>产出预期!AN78</f>
        <v>6636</v>
      </c>
      <c r="P62" s="2">
        <f ca="1">练度预期!M61</f>
        <v>30</v>
      </c>
      <c r="Q62" s="2" t="str">
        <f ca="1" t="shared" si="15"/>
        <v>紫</v>
      </c>
      <c r="R62" s="46">
        <f ca="1" t="shared" si="16"/>
        <v>0.859099244257821</v>
      </c>
      <c r="S62" s="47">
        <f ca="1" t="shared" si="2"/>
        <v>19.6562413333333</v>
      </c>
      <c r="T62" s="47">
        <f ca="1">MIN(1+($O62*1.4+产出预期!AC78*60)/OFFSET($J$14,MATCH(T$3,$T$3:$W$3,0),0),18)</f>
        <v>7.78066666666667</v>
      </c>
      <c r="U62" s="47">
        <f ca="1">MIN(($O62*1.4+产出预期!$AC78*60)/OFFSET($J$14,MATCH(U$3,$T$3:$W$3,0),0),3)</f>
        <v>1.952832</v>
      </c>
      <c r="V62" s="47">
        <f ca="1">MIN(($O62*1.4+产出预期!$AC78*60)/OFFSET($J$14,MATCH(V$3,$T$3:$W$3,0),0),18)</f>
        <v>0.488208</v>
      </c>
      <c r="W62" s="47">
        <f ca="1">MIN(($O62*1.4+产出预期!$AC78*60)/OFFSET($J$14,MATCH(W$3,$T$3:$W$3,0),0),18)</f>
        <v>0.122052</v>
      </c>
      <c r="X62" s="47">
        <f ca="1" t="shared" si="3"/>
        <v>2.15167868741083</v>
      </c>
      <c r="Y62" s="47">
        <f ca="1" t="shared" si="4"/>
        <v>1.81994850621474</v>
      </c>
      <c r="Z62" s="47">
        <f ca="1" t="shared" si="5"/>
        <v>1.42766946551273</v>
      </c>
      <c r="AA62" s="47">
        <f ca="1" t="shared" si="6"/>
        <v>1.06148367836971</v>
      </c>
      <c r="AB62" s="47">
        <f ca="1" t="shared" si="7"/>
        <v>1.01720454691954</v>
      </c>
      <c r="AC62" s="48">
        <f ca="1" t="shared" si="8"/>
        <v>6.03650831203863</v>
      </c>
      <c r="AD62" s="47">
        <f t="shared" si="9"/>
        <v>1659</v>
      </c>
      <c r="AE62" s="47">
        <f t="shared" si="10"/>
        <v>414.75</v>
      </c>
      <c r="AF62" s="47">
        <f t="shared" si="11"/>
        <v>103.6875</v>
      </c>
      <c r="AG62" s="47">
        <f t="shared" si="12"/>
        <v>25.921875</v>
      </c>
      <c r="AH62" s="47">
        <f t="shared" si="13"/>
        <v>6.48046875</v>
      </c>
      <c r="AI62" s="47">
        <f t="shared" si="14"/>
        <v>1.6201171875</v>
      </c>
      <c r="AJ62">
        <f ca="1">MIN(INT(SUM(AD62:$AI62)/OFFSET($AV$2,MATCH(AD$3,$AE$3:$AI$3,0),0)),6-SUM(AK62:$AO62))</f>
        <v>0</v>
      </c>
      <c r="AK62">
        <f ca="1">MIN(INT(SUM(AE62:$AI62)/OFFSET($AV$2,MATCH(AE$3,$AE$3:$AI$3,0),0)),6-SUM(AL62:$AO62))</f>
        <v>0</v>
      </c>
      <c r="AL62">
        <f ca="1">MIN(INT(SUM(AF62:$AI62)/OFFSET($AV$2,MATCH(AF$3,$AE$3:$AI$3,0),0)),6-SUM(AM62:$AO62))</f>
        <v>0</v>
      </c>
      <c r="AM62">
        <f ca="1">MIN(INT((SUM(AG62:$AI62)+N62*2/6)/OFFSET($AV$2,MATCH(AG$3,$AE$3:$AI$3,0),0)),6-SUM(AN62:$AO62))</f>
        <v>5</v>
      </c>
      <c r="AN62">
        <f ca="1">MIN(INT(SUM(AH62:$AI62)/OFFSET($AV$2,MATCH(AH$3,$AE$3:$AI$3,0),0)),6-SUM(AO62:$AO62))</f>
        <v>1</v>
      </c>
      <c r="AO62">
        <f ca="1">INT(SUM(AI61:$AI62)/OFFSET($AV$2,MATCH(AI$3,$AE$3:$AI$3,0),0))</f>
        <v>0</v>
      </c>
      <c r="AP62" cm="1">
        <f ca="1" t="array" ref="AP62">SUMPRODUCT(AJ62:AO62,TRANSPOSE($AS$3:$AS$8))</f>
        <v>2</v>
      </c>
    </row>
    <row r="63" ht="16.5" spans="14:42">
      <c r="N63" s="2">
        <v>60</v>
      </c>
      <c r="O63" s="45">
        <f>产出预期!AN79</f>
        <v>6744</v>
      </c>
      <c r="P63" s="2">
        <f ca="1">练度预期!M62</f>
        <v>30</v>
      </c>
      <c r="Q63" s="2" t="str">
        <f ca="1" t="shared" si="15"/>
        <v>紫</v>
      </c>
      <c r="R63" s="46">
        <f ca="1" t="shared" si="16"/>
        <v>0.874166481399131</v>
      </c>
      <c r="S63" s="47">
        <f ca="1" t="shared" si="2"/>
        <v>19.5064986666667</v>
      </c>
      <c r="T63" s="47">
        <f ca="1">MIN(1+($O63*1.4+产出预期!AC79*60)/OFFSET($J$14,MATCH(T$3,$T$3:$W$3,0),0),18)</f>
        <v>7.88933333333333</v>
      </c>
      <c r="U63" s="47">
        <f ca="1">MIN(($O63*1.4+产出预期!$AC79*60)/OFFSET($J$14,MATCH(U$3,$T$3:$W$3,0),0),3)</f>
        <v>1.984128</v>
      </c>
      <c r="V63" s="47">
        <f ca="1">MIN(($O63*1.4+产出预期!$AC79*60)/OFFSET($J$14,MATCH(V$3,$T$3:$W$3,0),0),18)</f>
        <v>0.496032</v>
      </c>
      <c r="W63" s="47">
        <f ca="1">MIN(($O63*1.4+产出预期!$AC79*60)/OFFSET($J$14,MATCH(W$3,$T$3:$W$3,0),0),18)</f>
        <v>0.124008</v>
      </c>
      <c r="X63" s="47">
        <f ca="1" t="shared" si="3"/>
        <v>2.1458442063719</v>
      </c>
      <c r="Y63" s="47">
        <f ca="1" t="shared" si="4"/>
        <v>1.83523273991195</v>
      </c>
      <c r="Z63" s="47">
        <f ca="1" t="shared" si="5"/>
        <v>1.43583894039785</v>
      </c>
      <c r="AA63" s="47">
        <f ca="1" t="shared" si="6"/>
        <v>1.06249918716554</v>
      </c>
      <c r="AB63" s="47">
        <f ca="1" t="shared" si="7"/>
        <v>1.01748266257393</v>
      </c>
      <c r="AC63" s="48">
        <f ca="1" t="shared" si="8"/>
        <v>6.11294780802007</v>
      </c>
      <c r="AD63" s="47">
        <f t="shared" si="9"/>
        <v>1686</v>
      </c>
      <c r="AE63" s="47">
        <f t="shared" si="10"/>
        <v>421.5</v>
      </c>
      <c r="AF63" s="47">
        <f t="shared" si="11"/>
        <v>105.375</v>
      </c>
      <c r="AG63" s="47">
        <f t="shared" si="12"/>
        <v>26.34375</v>
      </c>
      <c r="AH63" s="47">
        <f t="shared" si="13"/>
        <v>6.5859375</v>
      </c>
      <c r="AI63" s="47">
        <f t="shared" si="14"/>
        <v>1.646484375</v>
      </c>
      <c r="AJ63">
        <f ca="1">MIN(INT(SUM(AD63:$AI63)/OFFSET($AV$2,MATCH(AD$3,$AE$3:$AI$3,0),0)),6-SUM(AK63:$AO63))</f>
        <v>0</v>
      </c>
      <c r="AK63">
        <f ca="1">MIN(INT(SUM(AE63:$AI63)/OFFSET($AV$2,MATCH(AE$3,$AE$3:$AI$3,0),0)),6-SUM(AL63:$AO63))</f>
        <v>0</v>
      </c>
      <c r="AL63">
        <f ca="1">MIN(INT(SUM(AF63:$AI63)/OFFSET($AV$2,MATCH(AF$3,$AE$3:$AI$3,0),0)),6-SUM(AM63:$AO63))</f>
        <v>0</v>
      </c>
      <c r="AM63">
        <f ca="1">MIN(INT((SUM(AG63:$AI63)+N63*2/6)/OFFSET($AV$2,MATCH(AG$3,$AE$3:$AI$3,0),0)),6-SUM(AN63:$AO63))</f>
        <v>5</v>
      </c>
      <c r="AN63">
        <f ca="1">MIN(INT(SUM(AH63:$AI63)/OFFSET($AV$2,MATCH(AH$3,$AE$3:$AI$3,0),0)),6-SUM(AO63:$AO63))</f>
        <v>1</v>
      </c>
      <c r="AO63">
        <f ca="1">INT(SUM(AI62:$AI63)/OFFSET($AV$2,MATCH(AI$3,$AE$3:$AI$3,0),0))</f>
        <v>0</v>
      </c>
      <c r="AP63" cm="1">
        <f ca="1" t="array" ref="AP63">SUMPRODUCT(AJ63:AO63,TRANSPOSE($AS$3:$AS$8))</f>
        <v>2</v>
      </c>
    </row>
    <row r="64" ht="16.5" spans="14:42">
      <c r="N64" s="2">
        <v>61</v>
      </c>
      <c r="O64" s="45">
        <f>产出预期!AN80</f>
        <v>6857</v>
      </c>
      <c r="P64" s="2">
        <f ca="1">练度预期!M63</f>
        <v>30</v>
      </c>
      <c r="Q64" s="2" t="str">
        <f ca="1" t="shared" si="15"/>
        <v>紫</v>
      </c>
      <c r="R64" s="46">
        <f ca="1" t="shared" si="16"/>
        <v>0.88980267929397</v>
      </c>
      <c r="S64" s="47">
        <f ca="1" t="shared" si="2"/>
        <v>19.3770432222222</v>
      </c>
      <c r="T64" s="47">
        <f ca="1">MIN(1+($O64*1.4+产出预期!AC80*60)/OFFSET($J$14,MATCH(T$3,$T$3:$W$3,0),0),18)</f>
        <v>7.98327777777778</v>
      </c>
      <c r="U64" s="47">
        <f ca="1">MIN(($O64*1.4+产出预期!$AC80*60)/OFFSET($J$14,MATCH(U$3,$T$3:$W$3,0),0),3)</f>
        <v>2.011184</v>
      </c>
      <c r="V64" s="47">
        <f ca="1">MIN(($O64*1.4+产出预期!$AC80*60)/OFFSET($J$14,MATCH(V$3,$T$3:$W$3,0),0),18)</f>
        <v>0.502796</v>
      </c>
      <c r="W64" s="47">
        <f ca="1">MIN(($O64*1.4+产出预期!$AC80*60)/OFFSET($J$14,MATCH(W$3,$T$3:$W$3,0),0),18)</f>
        <v>0.125699</v>
      </c>
      <c r="X64" s="47">
        <f ca="1" t="shared" si="3"/>
        <v>2.14126961087039</v>
      </c>
      <c r="Y64" s="47">
        <f ca="1" t="shared" si="4"/>
        <v>1.84854966997719</v>
      </c>
      <c r="Z64" s="47">
        <f ca="1" t="shared" si="5"/>
        <v>1.44293927707774</v>
      </c>
      <c r="AA64" s="47">
        <f ca="1" t="shared" si="6"/>
        <v>1.06337789722157</v>
      </c>
      <c r="AB64" s="47">
        <f ca="1" t="shared" si="7"/>
        <v>1.01772316024446</v>
      </c>
      <c r="AC64" s="48">
        <f ca="1" t="shared" si="8"/>
        <v>6.18112917892935</v>
      </c>
      <c r="AD64" s="47">
        <f t="shared" si="9"/>
        <v>1714.25</v>
      </c>
      <c r="AE64" s="47">
        <f t="shared" si="10"/>
        <v>428.5625</v>
      </c>
      <c r="AF64" s="47">
        <f t="shared" si="11"/>
        <v>107.140625</v>
      </c>
      <c r="AG64" s="47">
        <f t="shared" si="12"/>
        <v>26.78515625</v>
      </c>
      <c r="AH64" s="47">
        <f t="shared" si="13"/>
        <v>6.6962890625</v>
      </c>
      <c r="AI64" s="47">
        <f t="shared" si="14"/>
        <v>1.674072265625</v>
      </c>
      <c r="AJ64">
        <f ca="1">MIN(INT(SUM(AD64:$AI64)/OFFSET($AV$2,MATCH(AD$3,$AE$3:$AI$3,0),0)),6-SUM(AK64:$AO64))</f>
        <v>0</v>
      </c>
      <c r="AK64">
        <f ca="1">MIN(INT(SUM(AE64:$AI64)/OFFSET($AV$2,MATCH(AE$3,$AE$3:$AI$3,0),0)),6-SUM(AL64:$AO64))</f>
        <v>0</v>
      </c>
      <c r="AL64">
        <f ca="1">MIN(INT(SUM(AF64:$AI64)/OFFSET($AV$2,MATCH(AF$3,$AE$3:$AI$3,0),0)),6-SUM(AM64:$AO64))</f>
        <v>0</v>
      </c>
      <c r="AM64">
        <f ca="1">MIN(INT((SUM(AG64:$AI64)+N64*2/6)/OFFSET($AV$2,MATCH(AG$3,$AE$3:$AI$3,0),0)),6-SUM(AN64:$AO64))</f>
        <v>5</v>
      </c>
      <c r="AN64">
        <f ca="1">MIN(INT(SUM(AH64:$AI64)/OFFSET($AV$2,MATCH(AH$3,$AE$3:$AI$3,0),0)),6-SUM(AO64:$AO64))</f>
        <v>1</v>
      </c>
      <c r="AO64">
        <f ca="1">INT(SUM(AI63:$AI64)/OFFSET($AV$2,MATCH(AI$3,$AE$3:$AI$3,0),0))</f>
        <v>0</v>
      </c>
      <c r="AP64" cm="1">
        <f ca="1" t="array" ref="AP64">SUMPRODUCT(AJ64:AO64,TRANSPOSE($AS$3:$AS$8))</f>
        <v>2</v>
      </c>
    </row>
    <row r="65" ht="16.5" spans="14:42">
      <c r="N65" s="2">
        <v>62</v>
      </c>
      <c r="O65" s="45">
        <f>产出预期!AN81</f>
        <v>6965</v>
      </c>
      <c r="P65" s="2">
        <f ca="1">练度预期!M64</f>
        <v>30</v>
      </c>
      <c r="Q65" s="2" t="str">
        <f ca="1" t="shared" si="15"/>
        <v>紫</v>
      </c>
      <c r="R65" s="46">
        <f ca="1" t="shared" si="16"/>
        <v>0.904627041356566</v>
      </c>
      <c r="S65" s="47">
        <f ca="1" t="shared" si="2"/>
        <v>19.2273005555556</v>
      </c>
      <c r="T65" s="47">
        <f ca="1">MIN(1+($O65*1.4+产出预期!AC81*60)/OFFSET($J$14,MATCH(T$3,$T$3:$W$3,0),0),18)</f>
        <v>8.09194444444444</v>
      </c>
      <c r="U65" s="47">
        <f ca="1">MIN(($O65*1.4+产出预期!$AC81*60)/OFFSET($J$14,MATCH(U$3,$T$3:$W$3,0),0),3)</f>
        <v>2.04248</v>
      </c>
      <c r="V65" s="47">
        <f ca="1">MIN(($O65*1.4+产出预期!$AC81*60)/OFFSET($J$14,MATCH(V$3,$T$3:$W$3,0),0),18)</f>
        <v>0.51062</v>
      </c>
      <c r="W65" s="47">
        <f ca="1">MIN(($O65*1.4+产出预期!$AC81*60)/OFFSET($J$14,MATCH(W$3,$T$3:$W$3,0),0),18)</f>
        <v>0.127655</v>
      </c>
      <c r="X65" s="47">
        <f ca="1" t="shared" si="3"/>
        <v>2.13530038792623</v>
      </c>
      <c r="Y65" s="47">
        <f ca="1" t="shared" si="4"/>
        <v>1.86407410105881</v>
      </c>
      <c r="Z65" s="47">
        <f ca="1" t="shared" si="5"/>
        <v>1.45119612957027</v>
      </c>
      <c r="AA65" s="47">
        <f ca="1" t="shared" si="6"/>
        <v>1.06439521819402</v>
      </c>
      <c r="AB65" s="47">
        <f ca="1" t="shared" si="7"/>
        <v>1.01800141769382</v>
      </c>
      <c r="AC65" s="48">
        <f ca="1" t="shared" si="8"/>
        <v>6.25892230575219</v>
      </c>
      <c r="AD65" s="47">
        <f t="shared" si="9"/>
        <v>1741.25</v>
      </c>
      <c r="AE65" s="47">
        <f t="shared" si="10"/>
        <v>435.3125</v>
      </c>
      <c r="AF65" s="47">
        <f t="shared" si="11"/>
        <v>108.828125</v>
      </c>
      <c r="AG65" s="47">
        <f t="shared" si="12"/>
        <v>27.20703125</v>
      </c>
      <c r="AH65" s="47">
        <f t="shared" si="13"/>
        <v>6.8017578125</v>
      </c>
      <c r="AI65" s="47">
        <f t="shared" si="14"/>
        <v>1.700439453125</v>
      </c>
      <c r="AJ65">
        <f ca="1">MIN(INT(SUM(AD65:$AI65)/OFFSET($AV$2,MATCH(AD$3,$AE$3:$AI$3,0),0)),6-SUM(AK65:$AO65))</f>
        <v>0</v>
      </c>
      <c r="AK65">
        <f ca="1">MIN(INT(SUM(AE65:$AI65)/OFFSET($AV$2,MATCH(AE$3,$AE$3:$AI$3,0),0)),6-SUM(AL65:$AO65))</f>
        <v>0</v>
      </c>
      <c r="AL65">
        <f ca="1">MIN(INT(SUM(AF65:$AI65)/OFFSET($AV$2,MATCH(AF$3,$AE$3:$AI$3,0),0)),6-SUM(AM65:$AO65))</f>
        <v>0</v>
      </c>
      <c r="AM65">
        <f ca="1">MIN(INT((SUM(AG65:$AI65)+N65*2/6)/OFFSET($AV$2,MATCH(AG$3,$AE$3:$AI$3,0),0)),6-SUM(AN65:$AO65))</f>
        <v>5</v>
      </c>
      <c r="AN65">
        <f ca="1">MIN(INT(SUM(AH65:$AI65)/OFFSET($AV$2,MATCH(AH$3,$AE$3:$AI$3,0),0)),6-SUM(AO65:$AO65))</f>
        <v>1</v>
      </c>
      <c r="AO65">
        <f ca="1">INT(SUM(AI64:$AI65)/OFFSET($AV$2,MATCH(AI$3,$AE$3:$AI$3,0),0))</f>
        <v>0</v>
      </c>
      <c r="AP65" cm="1">
        <f ca="1" t="array" ref="AP65">SUMPRODUCT(AJ65:AO65,TRANSPOSE($AS$3:$AS$8))</f>
        <v>2</v>
      </c>
    </row>
    <row r="66" ht="16.5" spans="14:42">
      <c r="N66" s="2">
        <v>63</v>
      </c>
      <c r="O66" s="45">
        <f>产出预期!AN82</f>
        <v>7078</v>
      </c>
      <c r="P66" s="2">
        <f ca="1">练度预期!M65</f>
        <v>30</v>
      </c>
      <c r="Q66" s="2" t="str">
        <f ca="1" t="shared" si="15"/>
        <v>紫</v>
      </c>
      <c r="R66" s="46">
        <f ca="1" t="shared" si="16"/>
        <v>0.920015190912127</v>
      </c>
      <c r="S66" s="47">
        <f ca="1" t="shared" si="2"/>
        <v>19.0978451111111</v>
      </c>
      <c r="T66" s="47">
        <f ca="1">MIN(1+($O66*1.4+产出预期!AC82*60)/OFFSET($J$14,MATCH(T$3,$T$3:$W$3,0),0),18)</f>
        <v>8.18588888888889</v>
      </c>
      <c r="U66" s="47">
        <f ca="1">MIN(($O66*1.4+产出预期!$AC82*60)/OFFSET($J$14,MATCH(U$3,$T$3:$W$3,0),0),3)</f>
        <v>2.069536</v>
      </c>
      <c r="V66" s="47">
        <f ca="1">MIN(($O66*1.4+产出预期!$AC82*60)/OFFSET($J$14,MATCH(V$3,$T$3:$W$3,0),0),18)</f>
        <v>0.517384</v>
      </c>
      <c r="W66" s="47">
        <f ca="1">MIN(($O66*1.4+产出预期!$AC82*60)/OFFSET($J$14,MATCH(W$3,$T$3:$W$3,0),0),18)</f>
        <v>0.129346</v>
      </c>
      <c r="X66" s="47">
        <f ca="1" t="shared" si="3"/>
        <v>2.13059533171465</v>
      </c>
      <c r="Y66" s="47">
        <f ca="1" t="shared" si="4"/>
        <v>1.87760031160441</v>
      </c>
      <c r="Z66" s="47">
        <f ca="1" t="shared" si="5"/>
        <v>1.45837240876051</v>
      </c>
      <c r="AA66" s="47">
        <f ca="1" t="shared" si="6"/>
        <v>1.06527549630916</v>
      </c>
      <c r="AB66" s="47">
        <f ca="1" t="shared" si="7"/>
        <v>1.0182420379801</v>
      </c>
      <c r="AC66" s="48">
        <f ca="1" t="shared" si="8"/>
        <v>6.32827756117619</v>
      </c>
      <c r="AD66" s="47">
        <f t="shared" si="9"/>
        <v>1769.5</v>
      </c>
      <c r="AE66" s="47">
        <f t="shared" si="10"/>
        <v>442.375</v>
      </c>
      <c r="AF66" s="47">
        <f t="shared" si="11"/>
        <v>110.59375</v>
      </c>
      <c r="AG66" s="47">
        <f t="shared" si="12"/>
        <v>27.6484375</v>
      </c>
      <c r="AH66" s="47">
        <f t="shared" si="13"/>
        <v>6.912109375</v>
      </c>
      <c r="AI66" s="47">
        <f t="shared" si="14"/>
        <v>1.72802734375</v>
      </c>
      <c r="AJ66">
        <f ca="1">MIN(INT(SUM(AD66:$AI66)/OFFSET($AV$2,MATCH(AD$3,$AE$3:$AI$3,0),0)),6-SUM(AK66:$AO66))</f>
        <v>0</v>
      </c>
      <c r="AK66">
        <f ca="1">MIN(INT(SUM(AE66:$AI66)/OFFSET($AV$2,MATCH(AE$3,$AE$3:$AI$3,0),0)),6-SUM(AL66:$AO66))</f>
        <v>0</v>
      </c>
      <c r="AL66">
        <f ca="1">MIN(INT(SUM(AF66:$AI66)/OFFSET($AV$2,MATCH(AF$3,$AE$3:$AI$3,0),0)),6-SUM(AM66:$AO66))</f>
        <v>0</v>
      </c>
      <c r="AM66">
        <f ca="1">MIN(INT((SUM(AG66:$AI66)+N66*2/6)/OFFSET($AV$2,MATCH(AG$3,$AE$3:$AI$3,0),0)),6-SUM(AN66:$AO66))</f>
        <v>5</v>
      </c>
      <c r="AN66">
        <f ca="1">MIN(INT(SUM(AH66:$AI66)/OFFSET($AV$2,MATCH(AH$3,$AE$3:$AI$3,0),0)),6-SUM(AO66:$AO66))</f>
        <v>1</v>
      </c>
      <c r="AO66">
        <f ca="1">INT(SUM(AI65:$AI66)/OFFSET($AV$2,MATCH(AI$3,$AE$3:$AI$3,0),0))</f>
        <v>0</v>
      </c>
      <c r="AP66" cm="1">
        <f ca="1" t="array" ref="AP66">SUMPRODUCT(AJ66:AO66,TRANSPOSE($AS$3:$AS$8))</f>
        <v>2</v>
      </c>
    </row>
    <row r="67" ht="16.5" spans="14:42">
      <c r="N67" s="2">
        <v>64</v>
      </c>
      <c r="O67" s="45">
        <f>产出预期!AN83</f>
        <v>7186</v>
      </c>
      <c r="P67" s="2">
        <f ca="1">练度预期!M66</f>
        <v>30</v>
      </c>
      <c r="Q67" s="2" t="str">
        <f ca="1" t="shared" si="15"/>
        <v>紫</v>
      </c>
      <c r="R67" s="46">
        <f ca="1" t="shared" si="16"/>
        <v>0.934608056773602</v>
      </c>
      <c r="S67" s="47">
        <f ca="1" t="shared" si="2"/>
        <v>18.9481024444444</v>
      </c>
      <c r="T67" s="47">
        <f ca="1">MIN(1+($O67*1.4+产出预期!AC83*60)/OFFSET($J$14,MATCH(T$3,$T$3:$W$3,0),0),18)</f>
        <v>8.29455555555556</v>
      </c>
      <c r="U67" s="47">
        <f ca="1">MIN(($O67*1.4+产出预期!$AC83*60)/OFFSET($J$14,MATCH(U$3,$T$3:$W$3,0),0),3)</f>
        <v>2.100832</v>
      </c>
      <c r="V67" s="47">
        <f ca="1">MIN(($O67*1.4+产出预期!$AC83*60)/OFFSET($J$14,MATCH(V$3,$T$3:$W$3,0),0),18)</f>
        <v>0.525208</v>
      </c>
      <c r="W67" s="47">
        <f ca="1">MIN(($O67*1.4+产出预期!$AC83*60)/OFFSET($J$14,MATCH(W$3,$T$3:$W$3,0),0),18)</f>
        <v>0.131302</v>
      </c>
      <c r="X67" s="47">
        <f ca="1" t="shared" si="3"/>
        <v>2.12449561427372</v>
      </c>
      <c r="Y67" s="47">
        <f ca="1" t="shared" si="4"/>
        <v>1.89336871486116</v>
      </c>
      <c r="Z67" s="47">
        <f ca="1" t="shared" si="5"/>
        <v>1.46671757341824</v>
      </c>
      <c r="AA67" s="47">
        <f ca="1" t="shared" si="6"/>
        <v>1.06629463269206</v>
      </c>
      <c r="AB67" s="47">
        <f ca="1" t="shared" si="7"/>
        <v>1.01852043729672</v>
      </c>
      <c r="AC67" s="48">
        <f ca="1" t="shared" si="8"/>
        <v>6.40743932179245</v>
      </c>
      <c r="AD67" s="47">
        <f t="shared" si="9"/>
        <v>1796.5</v>
      </c>
      <c r="AE67" s="47">
        <f t="shared" si="10"/>
        <v>449.125</v>
      </c>
      <c r="AF67" s="47">
        <f t="shared" si="11"/>
        <v>112.28125</v>
      </c>
      <c r="AG67" s="47">
        <f t="shared" si="12"/>
        <v>28.0703125</v>
      </c>
      <c r="AH67" s="47">
        <f t="shared" si="13"/>
        <v>7.017578125</v>
      </c>
      <c r="AI67" s="47">
        <f t="shared" si="14"/>
        <v>1.75439453125</v>
      </c>
      <c r="AJ67">
        <f ca="1">MIN(INT(SUM(AD67:$AI67)/OFFSET($AV$2,MATCH(AD$3,$AE$3:$AI$3,0),0)),6-SUM(AK67:$AO67))</f>
        <v>0</v>
      </c>
      <c r="AK67">
        <f ca="1">MIN(INT(SUM(AE67:$AI67)/OFFSET($AV$2,MATCH(AE$3,$AE$3:$AI$3,0),0)),6-SUM(AL67:$AO67))</f>
        <v>0</v>
      </c>
      <c r="AL67">
        <f ca="1">MIN(INT(SUM(AF67:$AI67)/OFFSET($AV$2,MATCH(AF$3,$AE$3:$AI$3,0),0)),6-SUM(AM67:$AO67))</f>
        <v>0</v>
      </c>
      <c r="AM67">
        <f ca="1">MIN(INT((SUM(AG67:$AI67)+N67*2/6)/OFFSET($AV$2,MATCH(AG$3,$AE$3:$AI$3,0),0)),6-SUM(AN67:$AO67))</f>
        <v>5</v>
      </c>
      <c r="AN67">
        <f ca="1">MIN(INT(SUM(AH67:$AI67)/OFFSET($AV$2,MATCH(AH$3,$AE$3:$AI$3,0),0)),6-SUM(AO67:$AO67))</f>
        <v>1</v>
      </c>
      <c r="AO67">
        <f ca="1">INT(SUM(AI66:$AI67)/OFFSET($AV$2,MATCH(AI$3,$AE$3:$AI$3,0),0))</f>
        <v>0</v>
      </c>
      <c r="AP67" cm="1">
        <f ca="1" t="array" ref="AP67">SUMPRODUCT(AJ67:AO67,TRANSPOSE($AS$3:$AS$8))</f>
        <v>2</v>
      </c>
    </row>
    <row r="68" ht="16.5" spans="14:42">
      <c r="N68" s="2">
        <v>65</v>
      </c>
      <c r="O68" s="45">
        <f>产出预期!AN84</f>
        <v>7266</v>
      </c>
      <c r="P68" s="2">
        <f ca="1">练度预期!M67</f>
        <v>30</v>
      </c>
      <c r="Q68" s="2" t="str">
        <f ca="1" t="shared" si="15"/>
        <v>紫</v>
      </c>
      <c r="R68" s="46">
        <f ca="1" t="shared" si="16"/>
        <v>0.945347012746055</v>
      </c>
      <c r="S68" s="47">
        <f ca="1" t="shared" si="2"/>
        <v>18.8363313333333</v>
      </c>
      <c r="T68" s="47">
        <f ca="1">MIN(1+($O68*1.4+产出预期!AC84*60)/OFFSET($J$14,MATCH(T$3,$T$3:$W$3,0),0),18)</f>
        <v>8.37566666666667</v>
      </c>
      <c r="U68" s="47">
        <f ca="1">MIN(($O68*1.4+产出预期!$AC84*60)/OFFSET($J$14,MATCH(U$3,$T$3:$W$3,0),0),3)</f>
        <v>2.124192</v>
      </c>
      <c r="V68" s="47">
        <f ca="1">MIN(($O68*1.4+产出预期!$AC84*60)/OFFSET($J$14,MATCH(V$3,$T$3:$W$3,0),0),18)</f>
        <v>0.531048</v>
      </c>
      <c r="W68" s="47">
        <f ca="1">MIN(($O68*1.4+产出预期!$AC84*60)/OFFSET($J$14,MATCH(W$3,$T$3:$W$3,0),0),18)</f>
        <v>0.132762</v>
      </c>
      <c r="X68" s="47">
        <f ca="1" t="shared" si="3"/>
        <v>2.11988526223728</v>
      </c>
      <c r="Y68" s="47">
        <f ca="1" t="shared" si="4"/>
        <v>1.90522483812335</v>
      </c>
      <c r="Z68" s="47">
        <f ca="1" t="shared" si="5"/>
        <v>1.47297769142009</v>
      </c>
      <c r="AA68" s="47">
        <f ca="1" t="shared" si="6"/>
        <v>1.06705597319734</v>
      </c>
      <c r="AB68" s="47">
        <f ca="1" t="shared" si="7"/>
        <v>1.01872829007864</v>
      </c>
      <c r="AC68" s="48">
        <f ca="1" t="shared" si="8"/>
        <v>6.46696227700162</v>
      </c>
      <c r="AD68" s="47">
        <f t="shared" ref="AD68:AD131" si="18">$O68/AD$2</f>
        <v>1816.5</v>
      </c>
      <c r="AE68" s="47">
        <f t="shared" si="10"/>
        <v>454.125</v>
      </c>
      <c r="AF68" s="47">
        <f t="shared" si="11"/>
        <v>113.53125</v>
      </c>
      <c r="AG68" s="47">
        <f t="shared" si="12"/>
        <v>28.3828125</v>
      </c>
      <c r="AH68" s="47">
        <f t="shared" si="13"/>
        <v>7.095703125</v>
      </c>
      <c r="AI68" s="47">
        <f t="shared" si="14"/>
        <v>1.77392578125</v>
      </c>
      <c r="AJ68">
        <f ca="1">MIN(INT(SUM(AD68:$AI68)/OFFSET($AV$2,MATCH(AD$3,$AE$3:$AI$3,0),0)),6-SUM(AK68:$AO68))</f>
        <v>0</v>
      </c>
      <c r="AK68">
        <f ca="1">MIN(INT(SUM(AE68:$AI68)/OFFSET($AV$2,MATCH(AE$3,$AE$3:$AI$3,0),0)),6-SUM(AL68:$AO68))</f>
        <v>0</v>
      </c>
      <c r="AL68">
        <f ca="1">MIN(INT(SUM(AF68:$AI68)/OFFSET($AV$2,MATCH(AF$3,$AE$3:$AI$3,0),0)),6-SUM(AM68:$AO68))</f>
        <v>0</v>
      </c>
      <c r="AM68">
        <f ca="1">MIN(INT((SUM(AG68:$AI68)+N68*2/6)/OFFSET($AV$2,MATCH(AG$3,$AE$3:$AI$3,0),0)),6-SUM(AN68:$AO68))</f>
        <v>5</v>
      </c>
      <c r="AN68">
        <f ca="1">MIN(INT(SUM(AH68:$AI68)/OFFSET($AV$2,MATCH(AH$3,$AE$3:$AI$3,0),0)),6-SUM(AO68:$AO68))</f>
        <v>1</v>
      </c>
      <c r="AO68">
        <f ca="1">INT(SUM(AI67:$AI68)/OFFSET($AV$2,MATCH(AI$3,$AE$3:$AI$3,0),0))</f>
        <v>0</v>
      </c>
      <c r="AP68" cm="1">
        <f ca="1" t="array" ref="AP68">SUMPRODUCT(AJ68:AO68,TRANSPOSE($AS$3:$AS$8))</f>
        <v>2</v>
      </c>
    </row>
    <row r="69" ht="16.5" spans="14:42">
      <c r="N69" s="2">
        <v>66</v>
      </c>
      <c r="O69" s="45">
        <f>产出预期!AN85</f>
        <v>7384</v>
      </c>
      <c r="P69" s="2">
        <f ca="1">练度预期!M68</f>
        <v>30</v>
      </c>
      <c r="Q69" s="2" t="str">
        <f ca="1" t="shared" si="15"/>
        <v>紫</v>
      </c>
      <c r="R69" s="46">
        <f ca="1" t="shared" si="16"/>
        <v>0.961079634623065</v>
      </c>
      <c r="S69" s="47">
        <f ca="1" t="shared" ref="S69:S132" si="19">MAX(P69-SUM(T69:W69),0)</f>
        <v>18.6812297777778</v>
      </c>
      <c r="T69" s="47">
        <f ca="1">MIN(1+($O69*1.4+产出预期!AC85*60)/OFFSET($J$14,MATCH(T$3,$T$3:$W$3,0),0),18)</f>
        <v>8.48822222222222</v>
      </c>
      <c r="U69" s="47">
        <f ca="1">MIN(($O69*1.4+产出预期!$AC85*60)/OFFSET($J$14,MATCH(U$3,$T$3:$W$3,0),0),3)</f>
        <v>2.156608</v>
      </c>
      <c r="V69" s="47">
        <f ca="1">MIN(($O69*1.4+产出预期!$AC85*60)/OFFSET($J$14,MATCH(V$3,$T$3:$W$3,0),0),18)</f>
        <v>0.539152</v>
      </c>
      <c r="W69" s="47">
        <f ca="1">MIN(($O69*1.4+产出预期!$AC85*60)/OFFSET($J$14,MATCH(W$3,$T$3:$W$3,0),0),18)</f>
        <v>0.134788</v>
      </c>
      <c r="X69" s="47">
        <f ca="1" t="shared" ref="X69:X132" si="20">1+S69*(1-R69)*OFFSET(D$3,MATCH(Q69,$B$4:$B$10,0),0)+S69*R69*OFFSET(D$3,1+MATCH(Q69,$B$4:$B$10,0),0)</f>
        <v>2.11360298378025</v>
      </c>
      <c r="Y69" s="47">
        <f ca="1" t="shared" ref="Y69:Y132" si="21">(1+_xlfn.XLOOKUP($Q69,$B$3:$B$10,F$3:F$10))^T69</f>
        <v>1.92180033200253</v>
      </c>
      <c r="Z69" s="47">
        <f ca="1" t="shared" ref="Z69:Z132" si="22">(1+_xlfn.XLOOKUP($Q69,$B$3:$B$10,I$3:I$10))^U69</f>
        <v>1.48170896538153</v>
      </c>
      <c r="AA69" s="47">
        <f ca="1" t="shared" ref="AA69:AA132" si="23">(1+_xlfn.XLOOKUP($Q69,$B$3:$B$10,J$3:J$10))^V69</f>
        <v>1.06811336415618</v>
      </c>
      <c r="AB69" s="47">
        <f ca="1" t="shared" ref="AB69:AB132" si="24">(1+_xlfn.XLOOKUP($Q69,$B$3:$B$10,K$3:K$10))^W69</f>
        <v>1.01901679167714</v>
      </c>
      <c r="AC69" s="48">
        <f ca="1" t="shared" ref="AC69:AC132" si="25">X69*Y69*Z69*AA69*AB69</f>
        <v>6.55078393926196</v>
      </c>
      <c r="AD69" s="47">
        <f t="shared" si="18"/>
        <v>1846</v>
      </c>
      <c r="AE69" s="47">
        <f t="shared" ref="AE69:AE132" si="26">$O69/AE$2</f>
        <v>461.5</v>
      </c>
      <c r="AF69" s="47">
        <f t="shared" ref="AF69:AF132" si="27">$O69/AF$2</f>
        <v>115.375</v>
      </c>
      <c r="AG69" s="47">
        <f t="shared" ref="AG69:AG132" si="28">$O69/AG$2</f>
        <v>28.84375</v>
      </c>
      <c r="AH69" s="47">
        <f t="shared" ref="AH69:AH132" si="29">$O69/AH$2</f>
        <v>7.2109375</v>
      </c>
      <c r="AI69" s="47">
        <f t="shared" ref="AI69:AI132" si="30">$O69/AI$2</f>
        <v>1.802734375</v>
      </c>
      <c r="AJ69">
        <f ca="1">MIN(INT(SUM(AD69:$AI69)/OFFSET($AV$2,MATCH(AD$3,$AE$3:$AI$3,0),0)),6-SUM(AK69:$AO69))</f>
        <v>0</v>
      </c>
      <c r="AK69">
        <f ca="1">MIN(INT(SUM(AE69:$AI69)/OFFSET($AV$2,MATCH(AE$3,$AE$3:$AI$3,0),0)),6-SUM(AL69:$AO69))</f>
        <v>0</v>
      </c>
      <c r="AL69">
        <f ca="1">MIN(INT(SUM(AF69:$AI69)/OFFSET($AV$2,MATCH(AF$3,$AE$3:$AI$3,0),0)),6-SUM(AM69:$AO69))</f>
        <v>0</v>
      </c>
      <c r="AM69">
        <f ca="1">MIN(INT((SUM(AG69:$AI69)+N69*2/6)/OFFSET($AV$2,MATCH(AG$3,$AE$3:$AI$3,0),0)),6-SUM(AN69:$AO69))</f>
        <v>5</v>
      </c>
      <c r="AN69">
        <f ca="1">MIN(INT(SUM(AH69:$AI69)/OFFSET($AV$2,MATCH(AH$3,$AE$3:$AI$3,0),0)),6-SUM(AO69:$AO69))</f>
        <v>1</v>
      </c>
      <c r="AO69">
        <f ca="1">INT(SUM(AI68:$AI69)/OFFSET($AV$2,MATCH(AI$3,$AE$3:$AI$3,0),0))</f>
        <v>0</v>
      </c>
      <c r="AP69" cm="1">
        <f ca="1" t="array" ref="AP69">SUMPRODUCT(AJ69:AO69,TRANSPOSE($AS$3:$AS$8))</f>
        <v>2</v>
      </c>
    </row>
    <row r="70" ht="16.5" spans="14:42">
      <c r="N70" s="2">
        <v>67</v>
      </c>
      <c r="O70" s="45">
        <f>产出预期!AN86</f>
        <v>7492</v>
      </c>
      <c r="P70" s="2">
        <f ca="1">练度预期!M69</f>
        <v>30</v>
      </c>
      <c r="Q70" s="2" t="str">
        <f ca="1" t="shared" ref="Q70:Q133" si="31">OFFSET($E$14,MATCH(O70/P70,$G$15:$G$21,1),0)</f>
        <v>紫</v>
      </c>
      <c r="R70" s="46">
        <f ca="1" t="shared" ref="R70:R133" si="32">IF(Q70="橙",0,SQRT(O70/P70/(4^(MATCH(O70/P70,$G$15:$G$21,1)-1)))-1)</f>
        <v>0.975369163810485</v>
      </c>
      <c r="S70" s="47">
        <f ca="1" t="shared" si="19"/>
        <v>18.5314871111111</v>
      </c>
      <c r="T70" s="47">
        <f ca="1">MIN(1+($O70*1.4+产出预期!AC86*60)/OFFSET($J$14,MATCH(T$3,$T$3:$W$3,0),0),18)</f>
        <v>8.59688888888889</v>
      </c>
      <c r="U70" s="47">
        <f ca="1">MIN(($O70*1.4+产出预期!$AC86*60)/OFFSET($J$14,MATCH(U$3,$T$3:$W$3,0),0),3)</f>
        <v>2.187904</v>
      </c>
      <c r="V70" s="47">
        <f ca="1">MIN(($O70*1.4+产出预期!$AC86*60)/OFFSET($J$14,MATCH(V$3,$T$3:$W$3,0),0),18)</f>
        <v>0.546976</v>
      </c>
      <c r="W70" s="47">
        <f ca="1">MIN(($O70*1.4+产出预期!$AC86*60)/OFFSET($J$14,MATCH(W$3,$T$3:$W$3,0),0),18)</f>
        <v>0.136744</v>
      </c>
      <c r="X70" s="47">
        <f ca="1" t="shared" si="20"/>
        <v>2.10732476643285</v>
      </c>
      <c r="Y70" s="47">
        <f ca="1" t="shared" si="21"/>
        <v>1.93793993446568</v>
      </c>
      <c r="Z70" s="47">
        <f ca="1" t="shared" si="22"/>
        <v>1.49018766754065</v>
      </c>
      <c r="AA70" s="47">
        <f ca="1" t="shared" si="23"/>
        <v>1.06913521549346</v>
      </c>
      <c r="AB70" s="47">
        <f ca="1" t="shared" si="24"/>
        <v>1.0192954028205</v>
      </c>
      <c r="AC70" s="48">
        <f ca="1" t="shared" si="25"/>
        <v>6.63201421733344</v>
      </c>
      <c r="AD70" s="47">
        <f t="shared" si="18"/>
        <v>1873</v>
      </c>
      <c r="AE70" s="47">
        <f t="shared" si="26"/>
        <v>468.25</v>
      </c>
      <c r="AF70" s="47">
        <f t="shared" si="27"/>
        <v>117.0625</v>
      </c>
      <c r="AG70" s="47">
        <f t="shared" si="28"/>
        <v>29.265625</v>
      </c>
      <c r="AH70" s="47">
        <f t="shared" si="29"/>
        <v>7.31640625</v>
      </c>
      <c r="AI70" s="47">
        <f t="shared" si="30"/>
        <v>1.8291015625</v>
      </c>
      <c r="AJ70">
        <f ca="1">MIN(INT(SUM(AD70:$AI70)/OFFSET($AV$2,MATCH(AD$3,$AE$3:$AI$3,0),0)),6-SUM(AK70:$AO70))</f>
        <v>0</v>
      </c>
      <c r="AK70">
        <f ca="1">MIN(INT(SUM(AE70:$AI70)/OFFSET($AV$2,MATCH(AE$3,$AE$3:$AI$3,0),0)),6-SUM(AL70:$AO70))</f>
        <v>0</v>
      </c>
      <c r="AL70">
        <f ca="1">MIN(INT(SUM(AF70:$AI70)/OFFSET($AV$2,MATCH(AF$3,$AE$3:$AI$3,0),0)),6-SUM(AM70:$AO70))</f>
        <v>0</v>
      </c>
      <c r="AM70">
        <f ca="1">MIN(INT((SUM(AG70:$AI70)+N70*2/6)/OFFSET($AV$2,MATCH(AG$3,$AE$3:$AI$3,0),0)),6-SUM(AN70:$AO70))</f>
        <v>5</v>
      </c>
      <c r="AN70">
        <f ca="1">MIN(INT(SUM(AH70:$AI70)/OFFSET($AV$2,MATCH(AH$3,$AE$3:$AI$3,0),0)),6-SUM(AO70:$AO70))</f>
        <v>1</v>
      </c>
      <c r="AO70">
        <f ca="1">INT(SUM(AI69:$AI70)/OFFSET($AV$2,MATCH(AI$3,$AE$3:$AI$3,0),0))</f>
        <v>0</v>
      </c>
      <c r="AP70" cm="1">
        <f ca="1" t="array" ref="AP70">SUMPRODUCT(AJ70:AO70,TRANSPOSE($AS$3:$AS$8))</f>
        <v>2</v>
      </c>
    </row>
    <row r="71" ht="16.5" spans="14:42">
      <c r="N71" s="2">
        <v>68</v>
      </c>
      <c r="O71" s="45">
        <f>产出预期!AN87</f>
        <v>7605</v>
      </c>
      <c r="P71" s="2">
        <f ca="1">练度预期!M70</f>
        <v>30</v>
      </c>
      <c r="Q71" s="2" t="str">
        <f ca="1" t="shared" si="31"/>
        <v>紫</v>
      </c>
      <c r="R71" s="46">
        <f ca="1" t="shared" si="32"/>
        <v>0.990210416011332</v>
      </c>
      <c r="S71" s="47">
        <f ca="1" t="shared" si="19"/>
        <v>18.4020316666667</v>
      </c>
      <c r="T71" s="47">
        <f ca="1">MIN(1+($O71*1.4+产出预期!AC87*60)/OFFSET($J$14,MATCH(T$3,$T$3:$W$3,0),0),18)</f>
        <v>8.69083333333333</v>
      </c>
      <c r="U71" s="47">
        <f ca="1">MIN(($O71*1.4+产出预期!$AC87*60)/OFFSET($J$14,MATCH(U$3,$T$3:$W$3,0),0),3)</f>
        <v>2.21496</v>
      </c>
      <c r="V71" s="47">
        <f ca="1">MIN(($O71*1.4+产出预期!$AC87*60)/OFFSET($J$14,MATCH(V$3,$T$3:$W$3,0),0),18)</f>
        <v>0.55374</v>
      </c>
      <c r="W71" s="47">
        <f ca="1">MIN(($O71*1.4+产出预期!$AC87*60)/OFFSET($J$14,MATCH(W$3,$T$3:$W$3,0),0),18)</f>
        <v>0.138435</v>
      </c>
      <c r="X71" s="47">
        <f ca="1" t="shared" si="20"/>
        <v>2.10232041765437</v>
      </c>
      <c r="Y71" s="47">
        <f ca="1" t="shared" si="21"/>
        <v>1.95200213487039</v>
      </c>
      <c r="Z71" s="47">
        <f ca="1" t="shared" si="22"/>
        <v>1.49755676295801</v>
      </c>
      <c r="AA71" s="47">
        <f ca="1" t="shared" si="23"/>
        <v>1.07001941368999</v>
      </c>
      <c r="AB71" s="47">
        <f ca="1" t="shared" si="24"/>
        <v>1.01953632896007</v>
      </c>
      <c r="AC71" s="48">
        <f ca="1" t="shared" si="25"/>
        <v>6.70435267899681</v>
      </c>
      <c r="AD71" s="47">
        <f t="shared" si="18"/>
        <v>1901.25</v>
      </c>
      <c r="AE71" s="47">
        <f t="shared" si="26"/>
        <v>475.3125</v>
      </c>
      <c r="AF71" s="47">
        <f t="shared" si="27"/>
        <v>118.828125</v>
      </c>
      <c r="AG71" s="47">
        <f t="shared" si="28"/>
        <v>29.70703125</v>
      </c>
      <c r="AH71" s="47">
        <f t="shared" si="29"/>
        <v>7.4267578125</v>
      </c>
      <c r="AI71" s="47">
        <f t="shared" si="30"/>
        <v>1.856689453125</v>
      </c>
      <c r="AJ71">
        <f ca="1">MIN(INT(SUM(AD71:$AI71)/OFFSET($AV$2,MATCH(AD$3,$AE$3:$AI$3,0),0)),6-SUM(AK71:$AO71))</f>
        <v>0</v>
      </c>
      <c r="AK71">
        <f ca="1">MIN(INT(SUM(AE71:$AI71)/OFFSET($AV$2,MATCH(AE$3,$AE$3:$AI$3,0),0)),6-SUM(AL71:$AO71))</f>
        <v>0</v>
      </c>
      <c r="AL71">
        <f ca="1">MIN(INT(SUM(AF71:$AI71)/OFFSET($AV$2,MATCH(AF$3,$AE$3:$AI$3,0),0)),6-SUM(AM71:$AO71))</f>
        <v>0</v>
      </c>
      <c r="AM71">
        <f ca="1">MIN(INT((SUM(AG71:$AI71)+N71*2/6)/OFFSET($AV$2,MATCH(AG$3,$AE$3:$AI$3,0),0)),6-SUM(AN71:$AO71))</f>
        <v>5</v>
      </c>
      <c r="AN71">
        <f ca="1">MIN(INT(SUM(AH71:$AI71)/OFFSET($AV$2,MATCH(AH$3,$AE$3:$AI$3,0),0)),6-SUM(AO71:$AO71))</f>
        <v>1</v>
      </c>
      <c r="AO71">
        <f ca="1">INT(SUM(AI70:$AI71)/OFFSET($AV$2,MATCH(AI$3,$AE$3:$AI$3,0),0))</f>
        <v>0</v>
      </c>
      <c r="AP71" cm="1">
        <f ca="1" t="array" ref="AP71">SUMPRODUCT(AJ71:AO71,TRANSPOSE($AS$3:$AS$8))</f>
        <v>2</v>
      </c>
    </row>
    <row r="72" ht="16.5" spans="14:42">
      <c r="N72" s="2">
        <v>69</v>
      </c>
      <c r="O72" s="45">
        <f>产出预期!AN88</f>
        <v>7713</v>
      </c>
      <c r="P72" s="2">
        <f ca="1">练度预期!M71</f>
        <v>30</v>
      </c>
      <c r="Q72" s="2" t="str">
        <f ca="1" t="shared" si="31"/>
        <v>橙</v>
      </c>
      <c r="R72" s="46">
        <f ca="1" t="shared" si="32"/>
        <v>0</v>
      </c>
      <c r="S72" s="47">
        <f ca="1" t="shared" si="19"/>
        <v>18.252289</v>
      </c>
      <c r="T72" s="47">
        <f ca="1">MIN(1+($O72*1.4+产出预期!AC88*60)/OFFSET($J$14,MATCH(T$3,$T$3:$W$3,0),0),18)</f>
        <v>8.7995</v>
      </c>
      <c r="U72" s="47">
        <f ca="1">MIN(($O72*1.4+产出预期!$AC88*60)/OFFSET($J$14,MATCH(U$3,$T$3:$W$3,0),0),3)</f>
        <v>2.246256</v>
      </c>
      <c r="V72" s="47">
        <f ca="1">MIN(($O72*1.4+产出预期!$AC88*60)/OFFSET($J$14,MATCH(V$3,$T$3:$W$3,0),0),18)</f>
        <v>0.561564</v>
      </c>
      <c r="W72" s="47">
        <f ca="1">MIN(($O72*1.4+产出预期!$AC88*60)/OFFSET($J$14,MATCH(W$3,$T$3:$W$3,0),0),18)</f>
        <v>0.140391</v>
      </c>
      <c r="X72" s="47">
        <f ca="1" t="shared" si="20"/>
        <v>2.09513734</v>
      </c>
      <c r="Y72" s="47">
        <f ca="1" t="shared" si="21"/>
        <v>2.31331584769362</v>
      </c>
      <c r="Z72" s="47">
        <f ca="1" t="shared" si="22"/>
        <v>1.65076289390725</v>
      </c>
      <c r="AA72" s="47">
        <f ca="1" t="shared" si="23"/>
        <v>1.16871866262156</v>
      </c>
      <c r="AB72" s="47">
        <f ca="1" t="shared" si="24"/>
        <v>1.0259267040817</v>
      </c>
      <c r="AC72" s="48">
        <f ca="1" t="shared" si="25"/>
        <v>9.59308829318349</v>
      </c>
      <c r="AD72" s="47">
        <f t="shared" si="18"/>
        <v>1928.25</v>
      </c>
      <c r="AE72" s="47">
        <f t="shared" si="26"/>
        <v>482.0625</v>
      </c>
      <c r="AF72" s="47">
        <f t="shared" si="27"/>
        <v>120.515625</v>
      </c>
      <c r="AG72" s="47">
        <f t="shared" si="28"/>
        <v>30.12890625</v>
      </c>
      <c r="AH72" s="47">
        <f t="shared" si="29"/>
        <v>7.5322265625</v>
      </c>
      <c r="AI72" s="47">
        <f t="shared" si="30"/>
        <v>1.883056640625</v>
      </c>
      <c r="AJ72">
        <f ca="1">MIN(INT(SUM(AD72:$AI72)/OFFSET($AV$2,MATCH(AD$3,$AE$3:$AI$3,0),0)),6-SUM(AK72:$AO72))</f>
        <v>0</v>
      </c>
      <c r="AK72">
        <f ca="1">MIN(INT(SUM(AE72:$AI72)/OFFSET($AV$2,MATCH(AE$3,$AE$3:$AI$3,0),0)),6-SUM(AL72:$AO72))</f>
        <v>0</v>
      </c>
      <c r="AL72">
        <f ca="1">MIN(INT(SUM(AF72:$AI72)/OFFSET($AV$2,MATCH(AF$3,$AE$3:$AI$3,0),0)),6-SUM(AM72:$AO72))</f>
        <v>0</v>
      </c>
      <c r="AM72">
        <f ca="1">MIN(INT((SUM(AG72:$AI72)+N72*2/6)/OFFSET($AV$2,MATCH(AG$3,$AE$3:$AI$3,0),0)),6-SUM(AN72:$AO72))</f>
        <v>5</v>
      </c>
      <c r="AN72">
        <f ca="1">MIN(INT(SUM(AH72:$AI72)/OFFSET($AV$2,MATCH(AH$3,$AE$3:$AI$3,0),0)),6-SUM(AO72:$AO72))</f>
        <v>1</v>
      </c>
      <c r="AO72">
        <f ca="1">INT(SUM(AI71:$AI72)/OFFSET($AV$2,MATCH(AI$3,$AE$3:$AI$3,0),0))</f>
        <v>0</v>
      </c>
      <c r="AP72" cm="1">
        <f ca="1" t="array" ref="AP72">SUMPRODUCT(AJ72:AO72,TRANSPOSE($AS$3:$AS$8))</f>
        <v>2</v>
      </c>
    </row>
    <row r="73" ht="16.5" spans="14:42">
      <c r="N73" s="2">
        <v>70</v>
      </c>
      <c r="O73" s="45">
        <f>产出预期!AN89</f>
        <v>7826</v>
      </c>
      <c r="P73" s="2">
        <f ca="1">练度预期!M72</f>
        <v>30</v>
      </c>
      <c r="Q73" s="2" t="str">
        <f ca="1" t="shared" si="31"/>
        <v>橙</v>
      </c>
      <c r="R73" s="46">
        <f ca="1" t="shared" si="32"/>
        <v>0</v>
      </c>
      <c r="S73" s="47">
        <f ca="1" t="shared" si="19"/>
        <v>18.1228335555556</v>
      </c>
      <c r="T73" s="47">
        <f ca="1">MIN(1+($O73*1.4+产出预期!AC89*60)/OFFSET($J$14,MATCH(T$3,$T$3:$W$3,0),0),18)</f>
        <v>8.89344444444444</v>
      </c>
      <c r="U73" s="47">
        <f ca="1">MIN(($O73*1.4+产出预期!$AC89*60)/OFFSET($J$14,MATCH(U$3,$T$3:$W$3,0),0),3)</f>
        <v>2.273312</v>
      </c>
      <c r="V73" s="47">
        <f ca="1">MIN(($O73*1.4+产出预期!$AC89*60)/OFFSET($J$14,MATCH(V$3,$T$3:$W$3,0),0),18)</f>
        <v>0.568328</v>
      </c>
      <c r="W73" s="47">
        <f ca="1">MIN(($O73*1.4+产出预期!$AC89*60)/OFFSET($J$14,MATCH(W$3,$T$3:$W$3,0),0),18)</f>
        <v>0.142082</v>
      </c>
      <c r="X73" s="47">
        <f ca="1" t="shared" si="20"/>
        <v>2.08737001333333</v>
      </c>
      <c r="Y73" s="47">
        <f ca="1" t="shared" si="21"/>
        <v>2.33412196685944</v>
      </c>
      <c r="Z73" s="47">
        <f ca="1" t="shared" si="22"/>
        <v>1.66075930913102</v>
      </c>
      <c r="AA73" s="47">
        <f ca="1" t="shared" si="23"/>
        <v>1.17091546268537</v>
      </c>
      <c r="AB73" s="47">
        <f ca="1" t="shared" si="24"/>
        <v>1.02624305194968</v>
      </c>
      <c r="AC73" s="48">
        <f ca="1" t="shared" si="25"/>
        <v>9.72311567472796</v>
      </c>
      <c r="AD73" s="47">
        <f t="shared" si="18"/>
        <v>1956.5</v>
      </c>
      <c r="AE73" s="47">
        <f t="shared" si="26"/>
        <v>489.125</v>
      </c>
      <c r="AF73" s="47">
        <f t="shared" si="27"/>
        <v>122.28125</v>
      </c>
      <c r="AG73" s="47">
        <f t="shared" si="28"/>
        <v>30.5703125</v>
      </c>
      <c r="AH73" s="47">
        <f t="shared" si="29"/>
        <v>7.642578125</v>
      </c>
      <c r="AI73" s="47">
        <f t="shared" si="30"/>
        <v>1.91064453125</v>
      </c>
      <c r="AJ73">
        <f ca="1">MIN(INT(SUM(AD73:$AI73)/OFFSET($AV$2,MATCH(AD$3,$AE$3:$AI$3,0),0)),6-SUM(AK73:$AO73))</f>
        <v>0</v>
      </c>
      <c r="AK73">
        <f ca="1">MIN(INT(SUM(AE73:$AI73)/OFFSET($AV$2,MATCH(AE$3,$AE$3:$AI$3,0),0)),6-SUM(AL73:$AO73))</f>
        <v>0</v>
      </c>
      <c r="AL73">
        <f ca="1">MIN(INT(SUM(AF73:$AI73)/OFFSET($AV$2,MATCH(AF$3,$AE$3:$AI$3,0),0)),6-SUM(AM73:$AO73))</f>
        <v>0</v>
      </c>
      <c r="AM73">
        <f ca="1">MIN(INT((SUM(AG73:$AI73)+N73*2/6)/OFFSET($AV$2,MATCH(AG$3,$AE$3:$AI$3,0),0)),6-SUM(AN73:$AO73))</f>
        <v>5</v>
      </c>
      <c r="AN73">
        <f ca="1">MIN(INT(SUM(AH73:$AI73)/OFFSET($AV$2,MATCH(AH$3,$AE$3:$AI$3,0),0)),6-SUM(AO73:$AO73))</f>
        <v>1</v>
      </c>
      <c r="AO73">
        <f ca="1">INT(SUM(AI72:$AI73)/OFFSET($AV$2,MATCH(AI$3,$AE$3:$AI$3,0),0))</f>
        <v>0</v>
      </c>
      <c r="AP73" cm="1">
        <f ca="1" t="array" ref="AP73">SUMPRODUCT(AJ73:AO73,TRANSPOSE($AS$3:$AS$8))</f>
        <v>2</v>
      </c>
    </row>
    <row r="74" ht="16.5" spans="14:42">
      <c r="N74" s="2">
        <v>71</v>
      </c>
      <c r="O74" s="45">
        <f>产出预期!AN90</f>
        <v>7906</v>
      </c>
      <c r="P74" s="2">
        <f ca="1">练度预期!M73</f>
        <v>30</v>
      </c>
      <c r="Q74" s="2" t="str">
        <f ca="1" t="shared" si="31"/>
        <v>橙</v>
      </c>
      <c r="R74" s="46">
        <f ca="1" t="shared" si="32"/>
        <v>0</v>
      </c>
      <c r="S74" s="47">
        <f ca="1" t="shared" si="19"/>
        <v>17.9880957777778</v>
      </c>
      <c r="T74" s="47">
        <f ca="1">MIN(1+($O74*1.4+产出预期!AC90*60)/OFFSET($J$14,MATCH(T$3,$T$3:$W$3,0),0),18)</f>
        <v>8.99122222222222</v>
      </c>
      <c r="U74" s="47">
        <f ca="1">MIN(($O74*1.4+产出预期!$AC90*60)/OFFSET($J$14,MATCH(U$3,$T$3:$W$3,0),0),3)</f>
        <v>2.301472</v>
      </c>
      <c r="V74" s="47">
        <f ca="1">MIN(($O74*1.4+产出预期!$AC90*60)/OFFSET($J$14,MATCH(V$3,$T$3:$W$3,0),0),18)</f>
        <v>0.575368</v>
      </c>
      <c r="W74" s="47">
        <f ca="1">MIN(($O74*1.4+产出预期!$AC90*60)/OFFSET($J$14,MATCH(W$3,$T$3:$W$3,0),0),18)</f>
        <v>0.143842</v>
      </c>
      <c r="X74" s="47">
        <f ca="1" t="shared" si="20"/>
        <v>2.07928574666667</v>
      </c>
      <c r="Y74" s="47">
        <f ca="1" t="shared" si="21"/>
        <v>2.35597582961677</v>
      </c>
      <c r="Z74" s="47">
        <f ca="1" t="shared" si="22"/>
        <v>1.67122791607494</v>
      </c>
      <c r="AA74" s="47">
        <f ca="1" t="shared" si="23"/>
        <v>1.17320628708058</v>
      </c>
      <c r="AB74" s="47">
        <f ca="1" t="shared" si="24"/>
        <v>1.02657241175666</v>
      </c>
      <c r="AC74" s="48">
        <f ca="1" t="shared" si="25"/>
        <v>9.86017582003073</v>
      </c>
      <c r="AD74" s="47">
        <f t="shared" si="18"/>
        <v>1976.5</v>
      </c>
      <c r="AE74" s="47">
        <f t="shared" si="26"/>
        <v>494.125</v>
      </c>
      <c r="AF74" s="47">
        <f t="shared" si="27"/>
        <v>123.53125</v>
      </c>
      <c r="AG74" s="47">
        <f t="shared" si="28"/>
        <v>30.8828125</v>
      </c>
      <c r="AH74" s="47">
        <f t="shared" si="29"/>
        <v>7.720703125</v>
      </c>
      <c r="AI74" s="47">
        <f t="shared" si="30"/>
        <v>1.93017578125</v>
      </c>
      <c r="AJ74">
        <f ca="1">MIN(INT(SUM(AD74:$AI74)/OFFSET($AV$2,MATCH(AD$3,$AE$3:$AI$3,0),0)),6-SUM(AK74:$AO74))</f>
        <v>0</v>
      </c>
      <c r="AK74">
        <f ca="1">MIN(INT(SUM(AE74:$AI74)/OFFSET($AV$2,MATCH(AE$3,$AE$3:$AI$3,0),0)),6-SUM(AL74:$AO74))</f>
        <v>0</v>
      </c>
      <c r="AL74">
        <f ca="1">MIN(INT(SUM(AF74:$AI74)/OFFSET($AV$2,MATCH(AF$3,$AE$3:$AI$3,0),0)),6-SUM(AM74:$AO74))</f>
        <v>0</v>
      </c>
      <c r="AM74">
        <f ca="1">MIN(INT((SUM(AG74:$AI74)+N74*2/6)/OFFSET($AV$2,MATCH(AG$3,$AE$3:$AI$3,0),0)),6-SUM(AN74:$AO74))</f>
        <v>5</v>
      </c>
      <c r="AN74">
        <f ca="1">MIN(INT(SUM(AH74:$AI74)/OFFSET($AV$2,MATCH(AH$3,$AE$3:$AI$3,0),0)),6-SUM(AO74:$AO74))</f>
        <v>1</v>
      </c>
      <c r="AO74">
        <f ca="1">INT(SUM(AI73:$AI74)/OFFSET($AV$2,MATCH(AI$3,$AE$3:$AI$3,0),0))</f>
        <v>0</v>
      </c>
      <c r="AP74" cm="1">
        <f ca="1" t="array" ref="AP74">SUMPRODUCT(AJ74:AO74,TRANSPOSE($AS$3:$AS$8))</f>
        <v>2</v>
      </c>
    </row>
    <row r="75" ht="16.5" spans="14:42">
      <c r="N75" s="2">
        <v>72</v>
      </c>
      <c r="O75" s="45">
        <f>产出预期!AN91</f>
        <v>8014</v>
      </c>
      <c r="P75" s="2">
        <f ca="1">练度预期!M74</f>
        <v>30</v>
      </c>
      <c r="Q75" s="2" t="str">
        <f ca="1" t="shared" si="31"/>
        <v>橙</v>
      </c>
      <c r="R75" s="46">
        <f ca="1" t="shared" si="32"/>
        <v>0</v>
      </c>
      <c r="S75" s="47">
        <f ca="1" t="shared" si="19"/>
        <v>17.8613197777778</v>
      </c>
      <c r="T75" s="47">
        <f ca="1">MIN(1+($O75*1.4+产出预期!AC91*60)/OFFSET($J$14,MATCH(T$3,$T$3:$W$3,0),0),18)</f>
        <v>9.08322222222222</v>
      </c>
      <c r="U75" s="47">
        <f ca="1">MIN(($O75*1.4+产出预期!$AC91*60)/OFFSET($J$14,MATCH(U$3,$T$3:$W$3,0),0),3)</f>
        <v>2.327968</v>
      </c>
      <c r="V75" s="47">
        <f ca="1">MIN(($O75*1.4+产出预期!$AC91*60)/OFFSET($J$14,MATCH(V$3,$T$3:$W$3,0),0),18)</f>
        <v>0.581992</v>
      </c>
      <c r="W75" s="47">
        <f ca="1">MIN(($O75*1.4+产出预期!$AC91*60)/OFFSET($J$14,MATCH(W$3,$T$3:$W$3,0),0),18)</f>
        <v>0.145498</v>
      </c>
      <c r="X75" s="47">
        <f ca="1" t="shared" si="20"/>
        <v>2.07167918666667</v>
      </c>
      <c r="Y75" s="47">
        <f ca="1" t="shared" si="21"/>
        <v>2.37672512731219</v>
      </c>
      <c r="Z75" s="47">
        <f ca="1" t="shared" si="22"/>
        <v>1.6811381711688</v>
      </c>
      <c r="AA75" s="47">
        <f ca="1" t="shared" si="23"/>
        <v>1.17536583684889</v>
      </c>
      <c r="AB75" s="47">
        <f ca="1" t="shared" si="24"/>
        <v>1.02688240591186</v>
      </c>
      <c r="AC75" s="48">
        <f ca="1" t="shared" si="25"/>
        <v>9.99076275207387</v>
      </c>
      <c r="AD75" s="47">
        <f t="shared" si="18"/>
        <v>2003.5</v>
      </c>
      <c r="AE75" s="47">
        <f t="shared" si="26"/>
        <v>500.875</v>
      </c>
      <c r="AF75" s="47">
        <f t="shared" si="27"/>
        <v>125.21875</v>
      </c>
      <c r="AG75" s="47">
        <f t="shared" si="28"/>
        <v>31.3046875</v>
      </c>
      <c r="AH75" s="47">
        <f t="shared" si="29"/>
        <v>7.826171875</v>
      </c>
      <c r="AI75" s="47">
        <f t="shared" si="30"/>
        <v>1.95654296875</v>
      </c>
      <c r="AJ75">
        <f ca="1">MIN(INT(SUM(AD75:$AI75)/OFFSET($AV$2,MATCH(AD$3,$AE$3:$AI$3,0),0)),6-SUM(AK75:$AO75))</f>
        <v>0</v>
      </c>
      <c r="AK75">
        <f ca="1">MIN(INT(SUM(AE75:$AI75)/OFFSET($AV$2,MATCH(AE$3,$AE$3:$AI$3,0),0)),6-SUM(AL75:$AO75))</f>
        <v>0</v>
      </c>
      <c r="AL75">
        <f ca="1">MIN(INT(SUM(AF75:$AI75)/OFFSET($AV$2,MATCH(AF$3,$AE$3:$AI$3,0),0)),6-SUM(AM75:$AO75))</f>
        <v>0</v>
      </c>
      <c r="AM75">
        <f ca="1">MIN(INT((SUM(AG75:$AI75)+N75*2/6)/OFFSET($AV$2,MATCH(AG$3,$AE$3:$AI$3,0),0)),6-SUM(AN75:$AO75))</f>
        <v>5</v>
      </c>
      <c r="AN75">
        <f ca="1">MIN(INT(SUM(AH75:$AI75)/OFFSET($AV$2,MATCH(AH$3,$AE$3:$AI$3,0),0)),6-SUM(AO75:$AO75))</f>
        <v>1</v>
      </c>
      <c r="AO75">
        <f ca="1">INT(SUM(AI74:$AI75)/OFFSET($AV$2,MATCH(AI$3,$AE$3:$AI$3,0),0))</f>
        <v>0</v>
      </c>
      <c r="AP75" cm="1">
        <f ca="1" t="array" ref="AP75">SUMPRODUCT(AJ75:AO75,TRANSPOSE($AS$3:$AS$8))</f>
        <v>2</v>
      </c>
    </row>
    <row r="76" ht="16.5" spans="14:42">
      <c r="N76" s="2">
        <v>73</v>
      </c>
      <c r="O76" s="45">
        <f>产出预期!AN92</f>
        <v>8127</v>
      </c>
      <c r="P76" s="2">
        <f ca="1">练度预期!M75</f>
        <v>30</v>
      </c>
      <c r="Q76" s="2" t="str">
        <f ca="1" t="shared" si="31"/>
        <v>橙</v>
      </c>
      <c r="R76" s="46">
        <f ca="1" t="shared" si="32"/>
        <v>0</v>
      </c>
      <c r="S76" s="47">
        <f ca="1" t="shared" si="19"/>
        <v>17.7088976666667</v>
      </c>
      <c r="T76" s="47">
        <f ca="1">MIN(1+($O76*1.4+产出预期!AC92*60)/OFFSET($J$14,MATCH(T$3,$T$3:$W$3,0),0),18)</f>
        <v>9.19383333333333</v>
      </c>
      <c r="U76" s="47">
        <f ca="1">MIN(($O76*1.4+产出预期!$AC92*60)/OFFSET($J$14,MATCH(U$3,$T$3:$W$3,0),0),3)</f>
        <v>2.359824</v>
      </c>
      <c r="V76" s="47">
        <f ca="1">MIN(($O76*1.4+产出预期!$AC92*60)/OFFSET($J$14,MATCH(V$3,$T$3:$W$3,0),0),18)</f>
        <v>0.589956</v>
      </c>
      <c r="W76" s="47">
        <f ca="1">MIN(($O76*1.4+产出预期!$AC92*60)/OFFSET($J$14,MATCH(W$3,$T$3:$W$3,0),0),18)</f>
        <v>0.147489</v>
      </c>
      <c r="X76" s="47">
        <f ca="1" t="shared" si="20"/>
        <v>2.06253386</v>
      </c>
      <c r="Y76" s="47">
        <f ca="1" t="shared" si="21"/>
        <v>2.40191397254913</v>
      </c>
      <c r="Z76" s="47">
        <f ca="1" t="shared" si="22"/>
        <v>1.69313105120448</v>
      </c>
      <c r="AA76" s="47">
        <f ca="1" t="shared" si="23"/>
        <v>1.17796751541004</v>
      </c>
      <c r="AB76" s="47">
        <f ca="1" t="shared" si="24"/>
        <v>1.0272552341691</v>
      </c>
      <c r="AC76" s="48">
        <f ca="1" t="shared" si="25"/>
        <v>10.1498771795303</v>
      </c>
      <c r="AD76" s="47">
        <f t="shared" si="18"/>
        <v>2031.75</v>
      </c>
      <c r="AE76" s="47">
        <f t="shared" si="26"/>
        <v>507.9375</v>
      </c>
      <c r="AF76" s="47">
        <f t="shared" si="27"/>
        <v>126.984375</v>
      </c>
      <c r="AG76" s="47">
        <f t="shared" si="28"/>
        <v>31.74609375</v>
      </c>
      <c r="AH76" s="47">
        <f t="shared" si="29"/>
        <v>7.9365234375</v>
      </c>
      <c r="AI76" s="47">
        <f t="shared" si="30"/>
        <v>1.984130859375</v>
      </c>
      <c r="AJ76">
        <f ca="1">MIN(INT(SUM(AD76:$AI76)/OFFSET($AV$2,MATCH(AD$3,$AE$3:$AI$3,0),0)),6-SUM(AK76:$AO76))</f>
        <v>0</v>
      </c>
      <c r="AK76">
        <f ca="1">MIN(INT(SUM(AE76:$AI76)/OFFSET($AV$2,MATCH(AE$3,$AE$3:$AI$3,0),0)),6-SUM(AL76:$AO76))</f>
        <v>0</v>
      </c>
      <c r="AL76">
        <f ca="1">MIN(INT(SUM(AF76:$AI76)/OFFSET($AV$2,MATCH(AF$3,$AE$3:$AI$3,0),0)),6-SUM(AM76:$AO76))</f>
        <v>0</v>
      </c>
      <c r="AM76">
        <f ca="1">MIN(INT((SUM(AG76:$AI76)+N76*2/6)/OFFSET($AV$2,MATCH(AG$3,$AE$3:$AI$3,0),0)),6-SUM(AN76:$AO76))</f>
        <v>5</v>
      </c>
      <c r="AN76">
        <f ca="1">MIN(INT(SUM(AH76:$AI76)/OFFSET($AV$2,MATCH(AH$3,$AE$3:$AI$3,0),0)),6-SUM(AO76:$AO76))</f>
        <v>1</v>
      </c>
      <c r="AO76">
        <f ca="1">INT(SUM(AI75:$AI76)/OFFSET($AV$2,MATCH(AI$3,$AE$3:$AI$3,0),0))</f>
        <v>0</v>
      </c>
      <c r="AP76" cm="1">
        <f ca="1" t="array" ref="AP76">SUMPRODUCT(AJ76:AO76,TRANSPOSE($AS$3:$AS$8))</f>
        <v>2</v>
      </c>
    </row>
    <row r="77" ht="16.5" spans="14:42">
      <c r="N77" s="2">
        <v>74</v>
      </c>
      <c r="O77" s="45">
        <f>产出预期!AN93</f>
        <v>8235</v>
      </c>
      <c r="P77" s="2">
        <f ca="1">练度预期!M76</f>
        <v>30</v>
      </c>
      <c r="Q77" s="2" t="str">
        <f ca="1" t="shared" si="31"/>
        <v>橙</v>
      </c>
      <c r="R77" s="46">
        <f ca="1" t="shared" si="32"/>
        <v>0</v>
      </c>
      <c r="S77" s="47">
        <f ca="1" t="shared" si="19"/>
        <v>17.5821216666667</v>
      </c>
      <c r="T77" s="47">
        <f ca="1">MIN(1+($O77*1.4+产出预期!AC93*60)/OFFSET($J$14,MATCH(T$3,$T$3:$W$3,0),0),18)</f>
        <v>9.28583333333333</v>
      </c>
      <c r="U77" s="47">
        <f ca="1">MIN(($O77*1.4+产出预期!$AC93*60)/OFFSET($J$14,MATCH(U$3,$T$3:$W$3,0),0),3)</f>
        <v>2.38632</v>
      </c>
      <c r="V77" s="47">
        <f ca="1">MIN(($O77*1.4+产出预期!$AC93*60)/OFFSET($J$14,MATCH(V$3,$T$3:$W$3,0),0),18)</f>
        <v>0.59658</v>
      </c>
      <c r="W77" s="47">
        <f ca="1">MIN(($O77*1.4+产出预期!$AC93*60)/OFFSET($J$14,MATCH(W$3,$T$3:$W$3,0),0),18)</f>
        <v>0.149145</v>
      </c>
      <c r="X77" s="47">
        <f ca="1" t="shared" si="20"/>
        <v>2.0549273</v>
      </c>
      <c r="Y77" s="47">
        <f ca="1" t="shared" si="21"/>
        <v>2.42306785173103</v>
      </c>
      <c r="Z77" s="47">
        <f ca="1" t="shared" si="22"/>
        <v>1.70317119023243</v>
      </c>
      <c r="AA77" s="47">
        <f ca="1" t="shared" si="23"/>
        <v>1.18013582928885</v>
      </c>
      <c r="AB77" s="47">
        <f ca="1" t="shared" si="24"/>
        <v>1.02756543451623</v>
      </c>
      <c r="AC77" s="48">
        <f ca="1" t="shared" si="25"/>
        <v>10.2839941875133</v>
      </c>
      <c r="AD77" s="47">
        <f t="shared" si="18"/>
        <v>2058.75</v>
      </c>
      <c r="AE77" s="47">
        <f t="shared" si="26"/>
        <v>514.6875</v>
      </c>
      <c r="AF77" s="47">
        <f t="shared" si="27"/>
        <v>128.671875</v>
      </c>
      <c r="AG77" s="47">
        <f t="shared" si="28"/>
        <v>32.16796875</v>
      </c>
      <c r="AH77" s="47">
        <f t="shared" si="29"/>
        <v>8.0419921875</v>
      </c>
      <c r="AI77" s="47">
        <f t="shared" si="30"/>
        <v>2.010498046875</v>
      </c>
      <c r="AJ77">
        <f ca="1">MIN(INT(SUM(AD77:$AI77)/OFFSET($AV$2,MATCH(AD$3,$AE$3:$AI$3,0),0)),6-SUM(AK77:$AO77))</f>
        <v>0</v>
      </c>
      <c r="AK77">
        <f ca="1">MIN(INT(SUM(AE77:$AI77)/OFFSET($AV$2,MATCH(AE$3,$AE$3:$AI$3,0),0)),6-SUM(AL77:$AO77))</f>
        <v>0</v>
      </c>
      <c r="AL77">
        <f ca="1">MIN(INT(SUM(AF77:$AI77)/OFFSET($AV$2,MATCH(AF$3,$AE$3:$AI$3,0),0)),6-SUM(AM77:$AO77))</f>
        <v>0</v>
      </c>
      <c r="AM77">
        <f ca="1">MIN(INT((SUM(AG77:$AI77)+N77*2/6)/OFFSET($AV$2,MATCH(AG$3,$AE$3:$AI$3,0),0)),6-SUM(AN77:$AO77))</f>
        <v>5</v>
      </c>
      <c r="AN77">
        <f ca="1">MIN(INT(SUM(AH77:$AI77)/OFFSET($AV$2,MATCH(AH$3,$AE$3:$AI$3,0),0)),6-SUM(AO77:$AO77))</f>
        <v>1</v>
      </c>
      <c r="AO77">
        <f ca="1">INT(SUM(AI76:$AI77)/OFFSET($AV$2,MATCH(AI$3,$AE$3:$AI$3,0),0))</f>
        <v>0</v>
      </c>
      <c r="AP77" cm="1">
        <f ca="1" t="array" ref="AP77">SUMPRODUCT(AJ77:AO77,TRANSPOSE($AS$3:$AS$8))</f>
        <v>2</v>
      </c>
    </row>
    <row r="78" ht="16.5" spans="14:42">
      <c r="N78" s="2">
        <v>75</v>
      </c>
      <c r="O78" s="45">
        <f>产出预期!AN94</f>
        <v>8348</v>
      </c>
      <c r="P78" s="2">
        <f ca="1">练度预期!M77</f>
        <v>30</v>
      </c>
      <c r="Q78" s="2" t="str">
        <f ca="1" t="shared" si="31"/>
        <v>橙</v>
      </c>
      <c r="R78" s="46">
        <f ca="1" t="shared" si="32"/>
        <v>0</v>
      </c>
      <c r="S78" s="47">
        <f ca="1" t="shared" si="19"/>
        <v>17.4296995555556</v>
      </c>
      <c r="T78" s="47">
        <f ca="1">MIN(1+($O78*1.4+产出预期!AC94*60)/OFFSET($J$14,MATCH(T$3,$T$3:$W$3,0),0),18)</f>
        <v>9.39644444444444</v>
      </c>
      <c r="U78" s="47">
        <f ca="1">MIN(($O78*1.4+产出预期!$AC94*60)/OFFSET($J$14,MATCH(U$3,$T$3:$W$3,0),0),3)</f>
        <v>2.418176</v>
      </c>
      <c r="V78" s="47">
        <f ca="1">MIN(($O78*1.4+产出预期!$AC94*60)/OFFSET($J$14,MATCH(V$3,$T$3:$W$3,0),0),18)</f>
        <v>0.604544</v>
      </c>
      <c r="W78" s="47">
        <f ca="1">MIN(($O78*1.4+产出预期!$AC94*60)/OFFSET($J$14,MATCH(W$3,$T$3:$W$3,0),0),18)</f>
        <v>0.151136</v>
      </c>
      <c r="X78" s="47">
        <f ca="1" t="shared" si="20"/>
        <v>2.04578197333333</v>
      </c>
      <c r="Y78" s="47">
        <f ca="1" t="shared" si="21"/>
        <v>2.4487478432515</v>
      </c>
      <c r="Z78" s="47">
        <f ca="1" t="shared" si="22"/>
        <v>1.71532124911218</v>
      </c>
      <c r="AA78" s="47">
        <f ca="1" t="shared" si="23"/>
        <v>1.18274806625376</v>
      </c>
      <c r="AB78" s="47">
        <f ca="1" t="shared" si="24"/>
        <v>1.02793851075937</v>
      </c>
      <c r="AC78" s="48">
        <f ca="1" t="shared" si="25"/>
        <v>10.447401014115</v>
      </c>
      <c r="AD78" s="47">
        <f t="shared" si="18"/>
        <v>2087</v>
      </c>
      <c r="AE78" s="47">
        <f t="shared" si="26"/>
        <v>521.75</v>
      </c>
      <c r="AF78" s="47">
        <f t="shared" si="27"/>
        <v>130.4375</v>
      </c>
      <c r="AG78" s="47">
        <f t="shared" si="28"/>
        <v>32.609375</v>
      </c>
      <c r="AH78" s="47">
        <f t="shared" si="29"/>
        <v>8.15234375</v>
      </c>
      <c r="AI78" s="47">
        <f t="shared" si="30"/>
        <v>2.0380859375</v>
      </c>
      <c r="AJ78">
        <f ca="1">MIN(INT(SUM(AD78:$AI78)/OFFSET($AV$2,MATCH(AD$3,$AE$3:$AI$3,0),0)),6-SUM(AK78:$AO78))</f>
        <v>0</v>
      </c>
      <c r="AK78">
        <f ca="1">MIN(INT(SUM(AE78:$AI78)/OFFSET($AV$2,MATCH(AE$3,$AE$3:$AI$3,0),0)),6-SUM(AL78:$AO78))</f>
        <v>0</v>
      </c>
      <c r="AL78">
        <f ca="1">MIN(INT(SUM(AF78:$AI78)/OFFSET($AV$2,MATCH(AF$3,$AE$3:$AI$3,0),0)),6-SUM(AM78:$AO78))</f>
        <v>0</v>
      </c>
      <c r="AM78">
        <f ca="1">MIN(INT((SUM(AG78:$AI78)+N78*2/6)/OFFSET($AV$2,MATCH(AG$3,$AE$3:$AI$3,0),0)),6-SUM(AN78:$AO78))</f>
        <v>5</v>
      </c>
      <c r="AN78">
        <f ca="1">MIN(INT(SUM(AH78:$AI78)/OFFSET($AV$2,MATCH(AH$3,$AE$3:$AI$3,0),0)),6-SUM(AO78:$AO78))</f>
        <v>1</v>
      </c>
      <c r="AO78">
        <f ca="1">INT(SUM(AI77:$AI78)/OFFSET($AV$2,MATCH(AI$3,$AE$3:$AI$3,0),0))</f>
        <v>0</v>
      </c>
      <c r="AP78" cm="1">
        <f ca="1" t="array" ref="AP78">SUMPRODUCT(AJ78:AO78,TRANSPOSE($AS$3:$AS$8))</f>
        <v>2</v>
      </c>
    </row>
    <row r="79" ht="16.5" spans="14:42">
      <c r="N79" s="2">
        <v>76</v>
      </c>
      <c r="O79" s="45">
        <f>产出预期!AN95</f>
        <v>8456</v>
      </c>
      <c r="P79" s="2">
        <f ca="1">练度预期!M78</f>
        <v>30</v>
      </c>
      <c r="Q79" s="2" t="str">
        <f ca="1" t="shared" si="31"/>
        <v>橙</v>
      </c>
      <c r="R79" s="46">
        <f ca="1" t="shared" si="32"/>
        <v>0</v>
      </c>
      <c r="S79" s="47">
        <f ca="1" t="shared" si="19"/>
        <v>17.3029235555556</v>
      </c>
      <c r="T79" s="47">
        <f ca="1">MIN(1+($O79*1.4+产出预期!AC95*60)/OFFSET($J$14,MATCH(T$3,$T$3:$W$3,0),0),18)</f>
        <v>9.48844444444445</v>
      </c>
      <c r="U79" s="47">
        <f ca="1">MIN(($O79*1.4+产出预期!$AC95*60)/OFFSET($J$14,MATCH(U$3,$T$3:$W$3,0),0),3)</f>
        <v>2.444672</v>
      </c>
      <c r="V79" s="47">
        <f ca="1">MIN(($O79*1.4+产出预期!$AC95*60)/OFFSET($J$14,MATCH(V$3,$T$3:$W$3,0),0),18)</f>
        <v>0.611168</v>
      </c>
      <c r="W79" s="47">
        <f ca="1">MIN(($O79*1.4+产出预期!$AC95*60)/OFFSET($J$14,MATCH(W$3,$T$3:$W$3,0),0),18)</f>
        <v>0.152792</v>
      </c>
      <c r="X79" s="47">
        <f ca="1" t="shared" si="20"/>
        <v>2.03817541333333</v>
      </c>
      <c r="Y79" s="47">
        <f ca="1" t="shared" si="21"/>
        <v>2.47031419267746</v>
      </c>
      <c r="Z79" s="47">
        <f ca="1" t="shared" si="22"/>
        <v>1.72549297433476</v>
      </c>
      <c r="AA79" s="47">
        <f ca="1" t="shared" si="23"/>
        <v>1.1849251798105</v>
      </c>
      <c r="AB79" s="47">
        <f ca="1" t="shared" si="24"/>
        <v>1.02824891743559</v>
      </c>
      <c r="AC79" s="48">
        <f ca="1" t="shared" si="25"/>
        <v>10.5851285477964</v>
      </c>
      <c r="AD79" s="47">
        <f t="shared" si="18"/>
        <v>2114</v>
      </c>
      <c r="AE79" s="47">
        <f t="shared" si="26"/>
        <v>528.5</v>
      </c>
      <c r="AF79" s="47">
        <f t="shared" si="27"/>
        <v>132.125</v>
      </c>
      <c r="AG79" s="47">
        <f t="shared" si="28"/>
        <v>33.03125</v>
      </c>
      <c r="AH79" s="47">
        <f t="shared" si="29"/>
        <v>8.2578125</v>
      </c>
      <c r="AI79" s="47">
        <f t="shared" si="30"/>
        <v>2.064453125</v>
      </c>
      <c r="AJ79">
        <f ca="1">MIN(INT(SUM(AD79:$AI79)/OFFSET($AV$2,MATCH(AD$3,$AE$3:$AI$3,0),0)),6-SUM(AK79:$AO79))</f>
        <v>0</v>
      </c>
      <c r="AK79">
        <f ca="1">MIN(INT(SUM(AE79:$AI79)/OFFSET($AV$2,MATCH(AE$3,$AE$3:$AI$3,0),0)),6-SUM(AL79:$AO79))</f>
        <v>0</v>
      </c>
      <c r="AL79">
        <f ca="1">MIN(INT(SUM(AF79:$AI79)/OFFSET($AV$2,MATCH(AF$3,$AE$3:$AI$3,0),0)),6-SUM(AM79:$AO79))</f>
        <v>0</v>
      </c>
      <c r="AM79">
        <f ca="1">MIN(INT((SUM(AG79:$AI79)+N79*2/6)/OFFSET($AV$2,MATCH(AG$3,$AE$3:$AI$3,0),0)),6-SUM(AN79:$AO79))</f>
        <v>5</v>
      </c>
      <c r="AN79">
        <f ca="1">MIN(INT(SUM(AH79:$AI79)/OFFSET($AV$2,MATCH(AH$3,$AE$3:$AI$3,0),0)),6-SUM(AO79:$AO79))</f>
        <v>1</v>
      </c>
      <c r="AO79">
        <f ca="1">INT(SUM(AI78:$AI79)/OFFSET($AV$2,MATCH(AI$3,$AE$3:$AI$3,0),0))</f>
        <v>0</v>
      </c>
      <c r="AP79" cm="1">
        <f ca="1" t="array" ref="AP79">SUMPRODUCT(AJ79:AO79,TRANSPOSE($AS$3:$AS$8))</f>
        <v>2</v>
      </c>
    </row>
    <row r="80" ht="16.5" spans="14:42">
      <c r="N80" s="2">
        <v>77</v>
      </c>
      <c r="O80" s="45">
        <f>产出预期!AN96</f>
        <v>8541</v>
      </c>
      <c r="P80" s="2">
        <f ca="1">练度预期!M79</f>
        <v>30</v>
      </c>
      <c r="Q80" s="2" t="str">
        <f ca="1" t="shared" si="31"/>
        <v>橙</v>
      </c>
      <c r="R80" s="46">
        <f ca="1" t="shared" si="32"/>
        <v>0</v>
      </c>
      <c r="S80" s="47">
        <f ca="1" t="shared" si="19"/>
        <v>17.1655063333333</v>
      </c>
      <c r="T80" s="47">
        <f ca="1">MIN(1+($O80*1.4+产出预期!AC96*60)/OFFSET($J$14,MATCH(T$3,$T$3:$W$3,0),0),18)</f>
        <v>9.58816666666667</v>
      </c>
      <c r="U80" s="47">
        <f ca="1">MIN(($O80*1.4+产出预期!$AC96*60)/OFFSET($J$14,MATCH(U$3,$T$3:$W$3,0),0),3)</f>
        <v>2.473392</v>
      </c>
      <c r="V80" s="47">
        <f ca="1">MIN(($O80*1.4+产出预期!$AC96*60)/OFFSET($J$14,MATCH(V$3,$T$3:$W$3,0),0),18)</f>
        <v>0.618348</v>
      </c>
      <c r="W80" s="47">
        <f ca="1">MIN(($O80*1.4+产出预期!$AC96*60)/OFFSET($J$14,MATCH(W$3,$T$3:$W$3,0),0),18)</f>
        <v>0.154587</v>
      </c>
      <c r="X80" s="47">
        <f ca="1" t="shared" si="20"/>
        <v>2.02993038</v>
      </c>
      <c r="Y80" s="47">
        <f ca="1" t="shared" si="21"/>
        <v>2.49390533388625</v>
      </c>
      <c r="Z80" s="47">
        <f ca="1" t="shared" si="22"/>
        <v>1.73658662133332</v>
      </c>
      <c r="AA80" s="47">
        <f ca="1" t="shared" si="23"/>
        <v>1.18728956055922</v>
      </c>
      <c r="AB80" s="47">
        <f ca="1" t="shared" si="24"/>
        <v>1.02858548464469</v>
      </c>
      <c r="AC80" s="48">
        <f ca="1" t="shared" si="25"/>
        <v>10.7362990221403</v>
      </c>
      <c r="AD80" s="47">
        <f t="shared" si="18"/>
        <v>2135.25</v>
      </c>
      <c r="AE80" s="47">
        <f t="shared" si="26"/>
        <v>533.8125</v>
      </c>
      <c r="AF80" s="47">
        <f t="shared" si="27"/>
        <v>133.453125</v>
      </c>
      <c r="AG80" s="47">
        <f t="shared" si="28"/>
        <v>33.36328125</v>
      </c>
      <c r="AH80" s="47">
        <f t="shared" si="29"/>
        <v>8.3408203125</v>
      </c>
      <c r="AI80" s="47">
        <f t="shared" si="30"/>
        <v>2.085205078125</v>
      </c>
      <c r="AJ80">
        <f ca="1">MIN(INT(SUM(AD80:$AI80)/OFFSET($AV$2,MATCH(AD$3,$AE$3:$AI$3,0),0)),6-SUM(AK80:$AO80))</f>
        <v>0</v>
      </c>
      <c r="AK80">
        <f ca="1">MIN(INT(SUM(AE80:$AI80)/OFFSET($AV$2,MATCH(AE$3,$AE$3:$AI$3,0),0)),6-SUM(AL80:$AO80))</f>
        <v>0</v>
      </c>
      <c r="AL80">
        <f ca="1">MIN(INT(SUM(AF80:$AI80)/OFFSET($AV$2,MATCH(AF$3,$AE$3:$AI$3,0),0)),6-SUM(AM80:$AO80))</f>
        <v>0</v>
      </c>
      <c r="AM80">
        <f ca="1">MIN(INT((SUM(AG80:$AI80)+N80*2/6)/OFFSET($AV$2,MATCH(AG$3,$AE$3:$AI$3,0),0)),6-SUM(AN80:$AO80))</f>
        <v>4</v>
      </c>
      <c r="AN80">
        <f ca="1">MIN(INT(SUM(AH80:$AI80)/OFFSET($AV$2,MATCH(AH$3,$AE$3:$AI$3,0),0)),6-SUM(AO80:$AO80))</f>
        <v>2</v>
      </c>
      <c r="AO80">
        <f ca="1">INT(SUM(AI79:$AI80)/OFFSET($AV$2,MATCH(AI$3,$AE$3:$AI$3,0),0))</f>
        <v>0</v>
      </c>
      <c r="AP80" cm="1">
        <f ca="1" t="array" ref="AP80">SUMPRODUCT(AJ80:AO80,TRANSPOSE($AS$3:$AS$8))</f>
        <v>2.08</v>
      </c>
    </row>
    <row r="81" ht="16.5" spans="14:42">
      <c r="N81" s="2">
        <v>78</v>
      </c>
      <c r="O81" s="45">
        <f>产出预期!AN97</f>
        <v>8649</v>
      </c>
      <c r="P81" s="2">
        <f ca="1">练度预期!M80</f>
        <v>30</v>
      </c>
      <c r="Q81" s="2" t="str">
        <f ca="1" t="shared" si="31"/>
        <v>橙</v>
      </c>
      <c r="R81" s="46">
        <f ca="1" t="shared" si="32"/>
        <v>0</v>
      </c>
      <c r="S81" s="47">
        <f ca="1" t="shared" si="19"/>
        <v>17.0387303333333</v>
      </c>
      <c r="T81" s="47">
        <f ca="1">MIN(1+($O81*1.4+产出预期!AC97*60)/OFFSET($J$14,MATCH(T$3,$T$3:$W$3,0),0),18)</f>
        <v>9.68016666666667</v>
      </c>
      <c r="U81" s="47">
        <f ca="1">MIN(($O81*1.4+产出预期!$AC97*60)/OFFSET($J$14,MATCH(U$3,$T$3:$W$3,0),0),3)</f>
        <v>2.499888</v>
      </c>
      <c r="V81" s="47">
        <f ca="1">MIN(($O81*1.4+产出预期!$AC97*60)/OFFSET($J$14,MATCH(V$3,$T$3:$W$3,0),0),18)</f>
        <v>0.624972</v>
      </c>
      <c r="W81" s="47">
        <f ca="1">MIN(($O81*1.4+产出预期!$AC97*60)/OFFSET($J$14,MATCH(W$3,$T$3:$W$3,0),0),18)</f>
        <v>0.156243</v>
      </c>
      <c r="X81" s="47">
        <f ca="1" t="shared" si="20"/>
        <v>2.02232382</v>
      </c>
      <c r="Y81" s="47">
        <f ca="1" t="shared" si="21"/>
        <v>2.5158693895215</v>
      </c>
      <c r="Z81" s="47">
        <f ca="1" t="shared" si="22"/>
        <v>1.7468844486042</v>
      </c>
      <c r="AA81" s="47">
        <f ca="1" t="shared" si="23"/>
        <v>1.18947503375661</v>
      </c>
      <c r="AB81" s="47">
        <f ca="1" t="shared" si="24"/>
        <v>1.02889608668767</v>
      </c>
      <c r="AC81" s="48">
        <f ca="1" t="shared" si="25"/>
        <v>10.877518067088</v>
      </c>
      <c r="AD81" s="47">
        <f t="shared" si="18"/>
        <v>2162.25</v>
      </c>
      <c r="AE81" s="47">
        <f t="shared" si="26"/>
        <v>540.5625</v>
      </c>
      <c r="AF81" s="47">
        <f t="shared" si="27"/>
        <v>135.140625</v>
      </c>
      <c r="AG81" s="47">
        <f t="shared" si="28"/>
        <v>33.78515625</v>
      </c>
      <c r="AH81" s="47">
        <f t="shared" si="29"/>
        <v>8.4462890625</v>
      </c>
      <c r="AI81" s="47">
        <f t="shared" si="30"/>
        <v>2.111572265625</v>
      </c>
      <c r="AJ81">
        <f ca="1">MIN(INT(SUM(AD81:$AI81)/OFFSET($AV$2,MATCH(AD$3,$AE$3:$AI$3,0),0)),6-SUM(AK81:$AO81))</f>
        <v>0</v>
      </c>
      <c r="AK81">
        <f ca="1">MIN(INT(SUM(AE81:$AI81)/OFFSET($AV$2,MATCH(AE$3,$AE$3:$AI$3,0),0)),6-SUM(AL81:$AO81))</f>
        <v>0</v>
      </c>
      <c r="AL81">
        <f ca="1">MIN(INT(SUM(AF81:$AI81)/OFFSET($AV$2,MATCH(AF$3,$AE$3:$AI$3,0),0)),6-SUM(AM81:$AO81))</f>
        <v>0</v>
      </c>
      <c r="AM81">
        <f ca="1">MIN(INT((SUM(AG81:$AI81)+N81*2/6)/OFFSET($AV$2,MATCH(AG$3,$AE$3:$AI$3,0),0)),6-SUM(AN81:$AO81))</f>
        <v>4</v>
      </c>
      <c r="AN81">
        <f ca="1">MIN(INT(SUM(AH81:$AI81)/OFFSET($AV$2,MATCH(AH$3,$AE$3:$AI$3,0),0)),6-SUM(AO81:$AO81))</f>
        <v>2</v>
      </c>
      <c r="AO81">
        <f ca="1">INT(SUM(AI80:$AI81)/OFFSET($AV$2,MATCH(AI$3,$AE$3:$AI$3,0),0))</f>
        <v>0</v>
      </c>
      <c r="AP81" cm="1">
        <f ca="1" t="array" ref="AP81">SUMPRODUCT(AJ81:AO81,TRANSPOSE($AS$3:$AS$8))</f>
        <v>2.08</v>
      </c>
    </row>
    <row r="82" ht="16.5" spans="14:42">
      <c r="N82" s="2">
        <v>79</v>
      </c>
      <c r="O82" s="45">
        <f>产出预期!AN98</f>
        <v>8757</v>
      </c>
      <c r="P82" s="2">
        <f ca="1">练度预期!M81</f>
        <v>30</v>
      </c>
      <c r="Q82" s="2" t="str">
        <f ca="1" t="shared" si="31"/>
        <v>橙</v>
      </c>
      <c r="R82" s="46">
        <f ca="1" t="shared" si="32"/>
        <v>0</v>
      </c>
      <c r="S82" s="47">
        <f ca="1" t="shared" si="19"/>
        <v>16.8889876666667</v>
      </c>
      <c r="T82" s="47">
        <f ca="1">MIN(1+($O82*1.4+产出预期!AC98*60)/OFFSET($J$14,MATCH(T$3,$T$3:$W$3,0),0),18)</f>
        <v>9.78883333333333</v>
      </c>
      <c r="U82" s="47">
        <f ca="1">MIN(($O82*1.4+产出预期!$AC98*60)/OFFSET($J$14,MATCH(U$3,$T$3:$W$3,0),0),3)</f>
        <v>2.531184</v>
      </c>
      <c r="V82" s="47">
        <f ca="1">MIN(($O82*1.4+产出预期!$AC98*60)/OFFSET($J$14,MATCH(V$3,$T$3:$W$3,0),0),18)</f>
        <v>0.632796</v>
      </c>
      <c r="W82" s="47">
        <f ca="1">MIN(($O82*1.4+产出预期!$AC98*60)/OFFSET($J$14,MATCH(W$3,$T$3:$W$3,0),0),18)</f>
        <v>0.158199</v>
      </c>
      <c r="X82" s="47">
        <f ca="1" t="shared" si="20"/>
        <v>2.01333926</v>
      </c>
      <c r="Y82" s="47">
        <f ca="1" t="shared" si="21"/>
        <v>2.54206175179522</v>
      </c>
      <c r="Z82" s="47">
        <f ca="1" t="shared" si="22"/>
        <v>1.75912651364875</v>
      </c>
      <c r="AA82" s="47">
        <f ca="1" t="shared" si="23"/>
        <v>1.19206160862122</v>
      </c>
      <c r="AB82" s="47">
        <f ca="1" t="shared" si="24"/>
        <v>1.0292630780376</v>
      </c>
      <c r="AC82" s="48">
        <f ca="1" t="shared" si="25"/>
        <v>11.0465135153338</v>
      </c>
      <c r="AD82" s="47">
        <f t="shared" si="18"/>
        <v>2189.25</v>
      </c>
      <c r="AE82" s="47">
        <f t="shared" si="26"/>
        <v>547.3125</v>
      </c>
      <c r="AF82" s="47">
        <f t="shared" si="27"/>
        <v>136.828125</v>
      </c>
      <c r="AG82" s="47">
        <f t="shared" si="28"/>
        <v>34.20703125</v>
      </c>
      <c r="AH82" s="47">
        <f t="shared" si="29"/>
        <v>8.5517578125</v>
      </c>
      <c r="AI82" s="47">
        <f t="shared" si="30"/>
        <v>2.137939453125</v>
      </c>
      <c r="AJ82">
        <f ca="1">MIN(INT(SUM(AD82:$AI82)/OFFSET($AV$2,MATCH(AD$3,$AE$3:$AI$3,0),0)),6-SUM(AK82:$AO82))</f>
        <v>0</v>
      </c>
      <c r="AK82">
        <f ca="1">MIN(INT(SUM(AE82:$AI82)/OFFSET($AV$2,MATCH(AE$3,$AE$3:$AI$3,0),0)),6-SUM(AL82:$AO82))</f>
        <v>0</v>
      </c>
      <c r="AL82">
        <f ca="1">MIN(INT(SUM(AF82:$AI82)/OFFSET($AV$2,MATCH(AF$3,$AE$3:$AI$3,0),0)),6-SUM(AM82:$AO82))</f>
        <v>0</v>
      </c>
      <c r="AM82">
        <f ca="1">MIN(INT((SUM(AG82:$AI82)+N82*2/6)/OFFSET($AV$2,MATCH(AG$3,$AE$3:$AI$3,0),0)),6-SUM(AN82:$AO82))</f>
        <v>4</v>
      </c>
      <c r="AN82">
        <f ca="1">MIN(INT(SUM(AH82:$AI82)/OFFSET($AV$2,MATCH(AH$3,$AE$3:$AI$3,0),0)),6-SUM(AO82:$AO82))</f>
        <v>2</v>
      </c>
      <c r="AO82">
        <f ca="1">INT(SUM(AI81:$AI82)/OFFSET($AV$2,MATCH(AI$3,$AE$3:$AI$3,0),0))</f>
        <v>0</v>
      </c>
      <c r="AP82" cm="1">
        <f ca="1" t="array" ref="AP82">SUMPRODUCT(AJ82:AO82,TRANSPOSE($AS$3:$AS$8))</f>
        <v>2.08</v>
      </c>
    </row>
    <row r="83" ht="16.5" spans="14:42">
      <c r="N83" s="2">
        <v>80</v>
      </c>
      <c r="O83" s="45">
        <f>产出预期!AN99</f>
        <v>8870</v>
      </c>
      <c r="P83" s="2">
        <f ca="1">练度预期!M82</f>
        <v>30</v>
      </c>
      <c r="Q83" s="2" t="str">
        <f ca="1" t="shared" si="31"/>
        <v>橙</v>
      </c>
      <c r="R83" s="46">
        <f ca="1" t="shared" si="32"/>
        <v>0</v>
      </c>
      <c r="S83" s="47">
        <f ca="1" t="shared" si="19"/>
        <v>16.7365655555556</v>
      </c>
      <c r="T83" s="47">
        <f ca="1">MIN(1+($O83*1.4+产出预期!AC99*60)/OFFSET($J$14,MATCH(T$3,$T$3:$W$3,0),0),18)</f>
        <v>9.89944444444444</v>
      </c>
      <c r="U83" s="47">
        <f ca="1">MIN(($O83*1.4+产出预期!$AC99*60)/OFFSET($J$14,MATCH(U$3,$T$3:$W$3,0),0),3)</f>
        <v>2.56304</v>
      </c>
      <c r="V83" s="47">
        <f ca="1">MIN(($O83*1.4+产出预期!$AC99*60)/OFFSET($J$14,MATCH(V$3,$T$3:$W$3,0),0),18)</f>
        <v>0.64076</v>
      </c>
      <c r="W83" s="47">
        <f ca="1">MIN(($O83*1.4+产出预期!$AC99*60)/OFFSET($J$14,MATCH(W$3,$T$3:$W$3,0),0),18)</f>
        <v>0.16019</v>
      </c>
      <c r="X83" s="47">
        <f ca="1" t="shared" si="20"/>
        <v>2.00419393333333</v>
      </c>
      <c r="Y83" s="47">
        <f ca="1" t="shared" si="21"/>
        <v>2.56900285630616</v>
      </c>
      <c r="Z83" s="47">
        <f ca="1" t="shared" si="22"/>
        <v>1.77167574583418</v>
      </c>
      <c r="AA83" s="47">
        <f ca="1" t="shared" si="23"/>
        <v>1.19470024336241</v>
      </c>
      <c r="AB83" s="47">
        <f ca="1" t="shared" si="24"/>
        <v>1.02963677064097</v>
      </c>
      <c r="AC83" s="48">
        <f ca="1" t="shared" si="25"/>
        <v>11.2210000945586</v>
      </c>
      <c r="AD83" s="47">
        <f t="shared" si="18"/>
        <v>2217.5</v>
      </c>
      <c r="AE83" s="47">
        <f t="shared" si="26"/>
        <v>554.375</v>
      </c>
      <c r="AF83" s="47">
        <f t="shared" si="27"/>
        <v>138.59375</v>
      </c>
      <c r="AG83" s="47">
        <f t="shared" si="28"/>
        <v>34.6484375</v>
      </c>
      <c r="AH83" s="47">
        <f t="shared" si="29"/>
        <v>8.662109375</v>
      </c>
      <c r="AI83" s="47">
        <f t="shared" si="30"/>
        <v>2.16552734375</v>
      </c>
      <c r="AJ83">
        <f ca="1">MIN(INT(SUM(AD83:$AI83)/OFFSET($AV$2,MATCH(AD$3,$AE$3:$AI$3,0),0)),6-SUM(AK83:$AO83))</f>
        <v>0</v>
      </c>
      <c r="AK83">
        <f ca="1">MIN(INT(SUM(AE83:$AI83)/OFFSET($AV$2,MATCH(AE$3,$AE$3:$AI$3,0),0)),6-SUM(AL83:$AO83))</f>
        <v>0</v>
      </c>
      <c r="AL83">
        <f ca="1">MIN(INT(SUM(AF83:$AI83)/OFFSET($AV$2,MATCH(AF$3,$AE$3:$AI$3,0),0)),6-SUM(AM83:$AO83))</f>
        <v>0</v>
      </c>
      <c r="AM83">
        <f ca="1">MIN(INT((SUM(AG83:$AI83)+N83*2/6)/OFFSET($AV$2,MATCH(AG$3,$AE$3:$AI$3,0),0)),6-SUM(AN83:$AO83))</f>
        <v>4</v>
      </c>
      <c r="AN83">
        <f ca="1">MIN(INT(SUM(AH83:$AI83)/OFFSET($AV$2,MATCH(AH$3,$AE$3:$AI$3,0),0)),6-SUM(AO83:$AO83))</f>
        <v>2</v>
      </c>
      <c r="AO83">
        <f ca="1">INT(SUM(AI82:$AI83)/OFFSET($AV$2,MATCH(AI$3,$AE$3:$AI$3,0),0))</f>
        <v>0</v>
      </c>
      <c r="AP83" cm="1">
        <f ca="1" t="array" ref="AP83">SUMPRODUCT(AJ83:AO83,TRANSPOSE($AS$3:$AS$8))</f>
        <v>2.08</v>
      </c>
    </row>
    <row r="84" ht="16.5" spans="14:42">
      <c r="N84" s="2">
        <v>81</v>
      </c>
      <c r="O84" s="45">
        <f>产出预期!AN100</f>
        <v>8983</v>
      </c>
      <c r="P84" s="2">
        <f ca="1">练度预期!M83</f>
        <v>30</v>
      </c>
      <c r="Q84" s="2" t="str">
        <f ca="1" t="shared" si="31"/>
        <v>橙</v>
      </c>
      <c r="R84" s="46">
        <f ca="1" t="shared" si="32"/>
        <v>0</v>
      </c>
      <c r="S84" s="47">
        <f ca="1" t="shared" si="19"/>
        <v>16.6071101111111</v>
      </c>
      <c r="T84" s="47">
        <f ca="1">MIN(1+($O84*1.4+产出预期!AC100*60)/OFFSET($J$14,MATCH(T$3,$T$3:$W$3,0),0),18)</f>
        <v>9.99338888888889</v>
      </c>
      <c r="U84" s="47">
        <f ca="1">MIN(($O84*1.4+产出预期!$AC100*60)/OFFSET($J$14,MATCH(U$3,$T$3:$W$3,0),0),3)</f>
        <v>2.590096</v>
      </c>
      <c r="V84" s="47">
        <f ca="1">MIN(($O84*1.4+产出预期!$AC100*60)/OFFSET($J$14,MATCH(V$3,$T$3:$W$3,0),0),18)</f>
        <v>0.647524</v>
      </c>
      <c r="W84" s="47">
        <f ca="1">MIN(($O84*1.4+产出预期!$AC100*60)/OFFSET($J$14,MATCH(W$3,$T$3:$W$3,0),0),18)</f>
        <v>0.161881</v>
      </c>
      <c r="X84" s="47">
        <f ca="1" t="shared" si="20"/>
        <v>1.99642660666667</v>
      </c>
      <c r="Y84" s="47">
        <f ca="1" t="shared" si="21"/>
        <v>2.59210864171758</v>
      </c>
      <c r="Z84" s="47">
        <f ca="1" t="shared" si="22"/>
        <v>1.78240436498513</v>
      </c>
      <c r="AA84" s="47">
        <f ca="1" t="shared" si="23"/>
        <v>1.19694588010527</v>
      </c>
      <c r="AB84" s="47">
        <f ca="1" t="shared" si="24"/>
        <v>1.02995426252016</v>
      </c>
      <c r="AC84" s="48">
        <f ca="1" t="shared" si="25"/>
        <v>11.3711722866026</v>
      </c>
      <c r="AD84" s="47">
        <f t="shared" si="18"/>
        <v>2245.75</v>
      </c>
      <c r="AE84" s="47">
        <f t="shared" si="26"/>
        <v>561.4375</v>
      </c>
      <c r="AF84" s="47">
        <f t="shared" si="27"/>
        <v>140.359375</v>
      </c>
      <c r="AG84" s="47">
        <f t="shared" si="28"/>
        <v>35.08984375</v>
      </c>
      <c r="AH84" s="47">
        <f t="shared" si="29"/>
        <v>8.7724609375</v>
      </c>
      <c r="AI84" s="47">
        <f t="shared" si="30"/>
        <v>2.193115234375</v>
      </c>
      <c r="AJ84">
        <f ca="1">MIN(INT(SUM(AD84:$AI84)/OFFSET($AV$2,MATCH(AD$3,$AE$3:$AI$3,0),0)),6-SUM(AK84:$AO84))</f>
        <v>0</v>
      </c>
      <c r="AK84">
        <f ca="1">MIN(INT(SUM(AE84:$AI84)/OFFSET($AV$2,MATCH(AE$3,$AE$3:$AI$3,0),0)),6-SUM(AL84:$AO84))</f>
        <v>0</v>
      </c>
      <c r="AL84">
        <f ca="1">MIN(INT(SUM(AF84:$AI84)/OFFSET($AV$2,MATCH(AF$3,$AE$3:$AI$3,0),0)),6-SUM(AM84:$AO84))</f>
        <v>0</v>
      </c>
      <c r="AM84">
        <f ca="1">MIN(INT((SUM(AG84:$AI84)+N84*2/6)/OFFSET($AV$2,MATCH(AG$3,$AE$3:$AI$3,0),0)),6-SUM(AN84:$AO84))</f>
        <v>4</v>
      </c>
      <c r="AN84">
        <f ca="1">MIN(INT(SUM(AH84:$AI84)/OFFSET($AV$2,MATCH(AH$3,$AE$3:$AI$3,0),0)),6-SUM(AO84:$AO84))</f>
        <v>2</v>
      </c>
      <c r="AO84">
        <f ca="1">INT(SUM(AI83:$AI84)/OFFSET($AV$2,MATCH(AI$3,$AE$3:$AI$3,0),0))</f>
        <v>0</v>
      </c>
      <c r="AP84" cm="1">
        <f ca="1" t="array" ref="AP84">SUMPRODUCT(AJ84:AO84,TRANSPOSE($AS$3:$AS$8))</f>
        <v>2.08</v>
      </c>
    </row>
    <row r="85" ht="16.5" spans="14:42">
      <c r="N85" s="2">
        <v>82</v>
      </c>
      <c r="O85" s="45">
        <f>产出预期!AN101</f>
        <v>9096</v>
      </c>
      <c r="P85" s="2">
        <f ca="1">练度预期!M84</f>
        <v>30</v>
      </c>
      <c r="Q85" s="2" t="str">
        <f ca="1" t="shared" si="31"/>
        <v>橙</v>
      </c>
      <c r="R85" s="46">
        <f ca="1" t="shared" si="32"/>
        <v>0</v>
      </c>
      <c r="S85" s="47">
        <f ca="1" t="shared" si="19"/>
        <v>16.454688</v>
      </c>
      <c r="T85" s="47">
        <f ca="1">MIN(1+($O85*1.4+产出预期!AC101*60)/OFFSET($J$14,MATCH(T$3,$T$3:$W$3,0),0),18)</f>
        <v>10.104</v>
      </c>
      <c r="U85" s="47">
        <f ca="1">MIN(($O85*1.4+产出预期!$AC101*60)/OFFSET($J$14,MATCH(U$3,$T$3:$W$3,0),0),3)</f>
        <v>2.621952</v>
      </c>
      <c r="V85" s="47">
        <f ca="1">MIN(($O85*1.4+产出预期!$AC101*60)/OFFSET($J$14,MATCH(V$3,$T$3:$W$3,0),0),18)</f>
        <v>0.655488</v>
      </c>
      <c r="W85" s="47">
        <f ca="1">MIN(($O85*1.4+产出预期!$AC101*60)/OFFSET($J$14,MATCH(W$3,$T$3:$W$3,0),0),18)</f>
        <v>0.163872</v>
      </c>
      <c r="X85" s="47">
        <f ca="1" t="shared" si="20"/>
        <v>1.98728128</v>
      </c>
      <c r="Y85" s="47">
        <f ca="1" t="shared" si="21"/>
        <v>2.61958014974484</v>
      </c>
      <c r="Z85" s="47">
        <f ca="1" t="shared" si="22"/>
        <v>1.79511965638173</v>
      </c>
      <c r="AA85" s="47">
        <f ca="1" t="shared" si="23"/>
        <v>1.1995953262075</v>
      </c>
      <c r="AB85" s="47">
        <f ca="1" t="shared" si="24"/>
        <v>1.03032820607058</v>
      </c>
      <c r="AC85" s="48">
        <f ca="1" t="shared" si="25"/>
        <v>11.5503405456438</v>
      </c>
      <c r="AD85" s="47">
        <f t="shared" si="18"/>
        <v>2274</v>
      </c>
      <c r="AE85" s="47">
        <f t="shared" si="26"/>
        <v>568.5</v>
      </c>
      <c r="AF85" s="47">
        <f t="shared" si="27"/>
        <v>142.125</v>
      </c>
      <c r="AG85" s="47">
        <f t="shared" si="28"/>
        <v>35.53125</v>
      </c>
      <c r="AH85" s="47">
        <f t="shared" si="29"/>
        <v>8.8828125</v>
      </c>
      <c r="AI85" s="47">
        <f t="shared" si="30"/>
        <v>2.220703125</v>
      </c>
      <c r="AJ85">
        <f ca="1">MIN(INT(SUM(AD85:$AI85)/OFFSET($AV$2,MATCH(AD$3,$AE$3:$AI$3,0),0)),6-SUM(AK85:$AO85))</f>
        <v>0</v>
      </c>
      <c r="AK85">
        <f ca="1">MIN(INT(SUM(AE85:$AI85)/OFFSET($AV$2,MATCH(AE$3,$AE$3:$AI$3,0),0)),6-SUM(AL85:$AO85))</f>
        <v>0</v>
      </c>
      <c r="AL85">
        <f ca="1">MIN(INT(SUM(AF85:$AI85)/OFFSET($AV$2,MATCH(AF$3,$AE$3:$AI$3,0),0)),6-SUM(AM85:$AO85))</f>
        <v>0</v>
      </c>
      <c r="AM85">
        <f ca="1">MIN(INT((SUM(AG85:$AI85)+N85*2/6)/OFFSET($AV$2,MATCH(AG$3,$AE$3:$AI$3,0),0)),6-SUM(AN85:$AO85))</f>
        <v>4</v>
      </c>
      <c r="AN85">
        <f ca="1">MIN(INT(SUM(AH85:$AI85)/OFFSET($AV$2,MATCH(AH$3,$AE$3:$AI$3,0),0)),6-SUM(AO85:$AO85))</f>
        <v>2</v>
      </c>
      <c r="AO85">
        <f ca="1">INT(SUM(AI84:$AI85)/OFFSET($AV$2,MATCH(AI$3,$AE$3:$AI$3,0),0))</f>
        <v>0</v>
      </c>
      <c r="AP85" cm="1">
        <f ca="1" t="array" ref="AP85">SUMPRODUCT(AJ85:AO85,TRANSPOSE($AS$3:$AS$8))</f>
        <v>2.08</v>
      </c>
    </row>
    <row r="86" ht="16.5" spans="14:42">
      <c r="N86" s="2">
        <v>83</v>
      </c>
      <c r="O86" s="45">
        <f>产出预期!AN102</f>
        <v>9176</v>
      </c>
      <c r="P86" s="2">
        <f ca="1">练度预期!M85</f>
        <v>30</v>
      </c>
      <c r="Q86" s="2" t="str">
        <f ca="1" t="shared" si="31"/>
        <v>橙</v>
      </c>
      <c r="R86" s="46">
        <f ca="1" t="shared" si="32"/>
        <v>0</v>
      </c>
      <c r="S86" s="47">
        <f ca="1" t="shared" si="19"/>
        <v>16.3429168888889</v>
      </c>
      <c r="T86" s="47">
        <f ca="1">MIN(1+($O86*1.4+产出预期!AC102*60)/OFFSET($J$14,MATCH(T$3,$T$3:$W$3,0),0),18)</f>
        <v>10.1851111111111</v>
      </c>
      <c r="U86" s="47">
        <f ca="1">MIN(($O86*1.4+产出预期!$AC102*60)/OFFSET($J$14,MATCH(U$3,$T$3:$W$3,0),0),3)</f>
        <v>2.645312</v>
      </c>
      <c r="V86" s="47">
        <f ca="1">MIN(($O86*1.4+产出预期!$AC102*60)/OFFSET($J$14,MATCH(V$3,$T$3:$W$3,0),0),18)</f>
        <v>0.661328</v>
      </c>
      <c r="W86" s="47">
        <f ca="1">MIN(($O86*1.4+产出预期!$AC102*60)/OFFSET($J$14,MATCH(W$3,$T$3:$W$3,0),0),18)</f>
        <v>0.165332</v>
      </c>
      <c r="X86" s="47">
        <f ca="1" t="shared" si="20"/>
        <v>1.98057501333333</v>
      </c>
      <c r="Y86" s="47">
        <f ca="1" t="shared" si="21"/>
        <v>2.63990985654466</v>
      </c>
      <c r="Z86" s="47">
        <f ca="1" t="shared" si="22"/>
        <v>1.80450138750474</v>
      </c>
      <c r="AA86" s="47">
        <f ca="1" t="shared" si="23"/>
        <v>1.20154189091563</v>
      </c>
      <c r="AB86" s="47">
        <f ca="1" t="shared" si="24"/>
        <v>1.03060250509882</v>
      </c>
      <c r="AC86" s="48">
        <f ca="1" t="shared" si="25"/>
        <v>11.6833590668072</v>
      </c>
      <c r="AD86" s="47">
        <f t="shared" si="18"/>
        <v>2294</v>
      </c>
      <c r="AE86" s="47">
        <f t="shared" si="26"/>
        <v>573.5</v>
      </c>
      <c r="AF86" s="47">
        <f t="shared" si="27"/>
        <v>143.375</v>
      </c>
      <c r="AG86" s="47">
        <f t="shared" si="28"/>
        <v>35.84375</v>
      </c>
      <c r="AH86" s="47">
        <f t="shared" si="29"/>
        <v>8.9609375</v>
      </c>
      <c r="AI86" s="47">
        <f t="shared" si="30"/>
        <v>2.240234375</v>
      </c>
      <c r="AJ86">
        <f ca="1">MIN(INT(SUM(AD86:$AI86)/OFFSET($AV$2,MATCH(AD$3,$AE$3:$AI$3,0),0)),6-SUM(AK86:$AO86))</f>
        <v>0</v>
      </c>
      <c r="AK86">
        <f ca="1">MIN(INT(SUM(AE86:$AI86)/OFFSET($AV$2,MATCH(AE$3,$AE$3:$AI$3,0),0)),6-SUM(AL86:$AO86))</f>
        <v>0</v>
      </c>
      <c r="AL86">
        <f ca="1">MIN(INT(SUM(AF86:$AI86)/OFFSET($AV$2,MATCH(AF$3,$AE$3:$AI$3,0),0)),6-SUM(AM86:$AO86))</f>
        <v>0</v>
      </c>
      <c r="AM86">
        <f ca="1">MIN(INT((SUM(AG86:$AI86)+N86*2/6)/OFFSET($AV$2,MATCH(AG$3,$AE$3:$AI$3,0),0)),6-SUM(AN86:$AO86))</f>
        <v>4</v>
      </c>
      <c r="AN86">
        <f ca="1">MIN(INT(SUM(AH86:$AI86)/OFFSET($AV$2,MATCH(AH$3,$AE$3:$AI$3,0),0)),6-SUM(AO86:$AO86))</f>
        <v>2</v>
      </c>
      <c r="AO86">
        <f ca="1">INT(SUM(AI85:$AI86)/OFFSET($AV$2,MATCH(AI$3,$AE$3:$AI$3,0),0))</f>
        <v>0</v>
      </c>
      <c r="AP86" cm="1">
        <f ca="1" t="array" ref="AP86">SUMPRODUCT(AJ86:AO86,TRANSPOSE($AS$3:$AS$8))</f>
        <v>2.08</v>
      </c>
    </row>
    <row r="87" ht="16.5" spans="14:42">
      <c r="N87" s="2">
        <v>84</v>
      </c>
      <c r="O87" s="45">
        <f>产出预期!AN103</f>
        <v>9289</v>
      </c>
      <c r="P87" s="2">
        <f ca="1">练度预期!M86</f>
        <v>30</v>
      </c>
      <c r="Q87" s="2" t="str">
        <f ca="1" t="shared" si="31"/>
        <v>橙</v>
      </c>
      <c r="R87" s="46">
        <f ca="1" t="shared" si="32"/>
        <v>0</v>
      </c>
      <c r="S87" s="47">
        <f ca="1" t="shared" si="19"/>
        <v>16.1904947777778</v>
      </c>
      <c r="T87" s="47">
        <f ca="1">MIN(1+($O87*1.4+产出预期!AC103*60)/OFFSET($J$14,MATCH(T$3,$T$3:$W$3,0),0),18)</f>
        <v>10.2957222222222</v>
      </c>
      <c r="U87" s="47">
        <f ca="1">MIN(($O87*1.4+产出预期!$AC103*60)/OFFSET($J$14,MATCH(U$3,$T$3:$W$3,0),0),3)</f>
        <v>2.677168</v>
      </c>
      <c r="V87" s="47">
        <f ca="1">MIN(($O87*1.4+产出预期!$AC103*60)/OFFSET($J$14,MATCH(V$3,$T$3:$W$3,0),0),18)</f>
        <v>0.669292</v>
      </c>
      <c r="W87" s="47">
        <f ca="1">MIN(($O87*1.4+产出预期!$AC103*60)/OFFSET($J$14,MATCH(W$3,$T$3:$W$3,0),0),18)</f>
        <v>0.167323</v>
      </c>
      <c r="X87" s="47">
        <f ca="1" t="shared" si="20"/>
        <v>1.97142968666667</v>
      </c>
      <c r="Y87" s="47">
        <f ca="1" t="shared" si="21"/>
        <v>2.66788796812846</v>
      </c>
      <c r="Z87" s="47">
        <f ca="1" t="shared" si="22"/>
        <v>1.81737431433236</v>
      </c>
      <c r="AA87" s="47">
        <f ca="1" t="shared" si="23"/>
        <v>1.20420151031235</v>
      </c>
      <c r="AB87" s="47">
        <f ca="1" t="shared" si="24"/>
        <v>1.03097668400545</v>
      </c>
      <c r="AC87" s="48">
        <f ca="1" t="shared" si="25"/>
        <v>11.8670091544931</v>
      </c>
      <c r="AD87" s="47">
        <f t="shared" si="18"/>
        <v>2322.25</v>
      </c>
      <c r="AE87" s="47">
        <f t="shared" si="26"/>
        <v>580.5625</v>
      </c>
      <c r="AF87" s="47">
        <f t="shared" si="27"/>
        <v>145.140625</v>
      </c>
      <c r="AG87" s="47">
        <f t="shared" si="28"/>
        <v>36.28515625</v>
      </c>
      <c r="AH87" s="47">
        <f t="shared" si="29"/>
        <v>9.0712890625</v>
      </c>
      <c r="AI87" s="47">
        <f t="shared" si="30"/>
        <v>2.267822265625</v>
      </c>
      <c r="AJ87">
        <f ca="1">MIN(INT(SUM(AD87:$AI87)/OFFSET($AV$2,MATCH(AD$3,$AE$3:$AI$3,0),0)),6-SUM(AK87:$AO87))</f>
        <v>0</v>
      </c>
      <c r="AK87">
        <f ca="1">MIN(INT(SUM(AE87:$AI87)/OFFSET($AV$2,MATCH(AE$3,$AE$3:$AI$3,0),0)),6-SUM(AL87:$AO87))</f>
        <v>0</v>
      </c>
      <c r="AL87">
        <f ca="1">MIN(INT(SUM(AF87:$AI87)/OFFSET($AV$2,MATCH(AF$3,$AE$3:$AI$3,0),0)),6-SUM(AM87:$AO87))</f>
        <v>0</v>
      </c>
      <c r="AM87">
        <f ca="1">MIN(INT((SUM(AG87:$AI87)+N87*2/6)/OFFSET($AV$2,MATCH(AG$3,$AE$3:$AI$3,0),0)),6-SUM(AN87:$AO87))</f>
        <v>4</v>
      </c>
      <c r="AN87">
        <f ca="1">MIN(INT(SUM(AH87:$AI87)/OFFSET($AV$2,MATCH(AH$3,$AE$3:$AI$3,0),0)),6-SUM(AO87:$AO87))</f>
        <v>2</v>
      </c>
      <c r="AO87">
        <f ca="1">INT(SUM(AI86:$AI87)/OFFSET($AV$2,MATCH(AI$3,$AE$3:$AI$3,0),0))</f>
        <v>0</v>
      </c>
      <c r="AP87" cm="1">
        <f ca="1" t="array" ref="AP87">SUMPRODUCT(AJ87:AO87,TRANSPOSE($AS$3:$AS$8))</f>
        <v>2.08</v>
      </c>
    </row>
    <row r="88" ht="16.5" spans="14:42">
      <c r="N88" s="2">
        <v>85</v>
      </c>
      <c r="O88" s="45">
        <f>产出预期!AN104</f>
        <v>9397</v>
      </c>
      <c r="P88" s="2">
        <f ca="1">练度预期!M87</f>
        <v>30</v>
      </c>
      <c r="Q88" s="2" t="str">
        <f ca="1" t="shared" si="31"/>
        <v>橙</v>
      </c>
      <c r="R88" s="46">
        <f ca="1" t="shared" si="32"/>
        <v>0</v>
      </c>
      <c r="S88" s="47">
        <f ca="1" t="shared" si="19"/>
        <v>16.0637187777778</v>
      </c>
      <c r="T88" s="47">
        <f ca="1">MIN(1+($O88*1.4+产出预期!AC104*60)/OFFSET($J$14,MATCH(T$3,$T$3:$W$3,0),0),18)</f>
        <v>10.3877222222222</v>
      </c>
      <c r="U88" s="47">
        <f ca="1">MIN(($O88*1.4+产出预期!$AC104*60)/OFFSET($J$14,MATCH(U$3,$T$3:$W$3,0),0),3)</f>
        <v>2.703664</v>
      </c>
      <c r="V88" s="47">
        <f ca="1">MIN(($O88*1.4+产出预期!$AC104*60)/OFFSET($J$14,MATCH(V$3,$T$3:$W$3,0),0),18)</f>
        <v>0.675916</v>
      </c>
      <c r="W88" s="47">
        <f ca="1">MIN(($O88*1.4+产出预期!$AC104*60)/OFFSET($J$14,MATCH(W$3,$T$3:$W$3,0),0),18)</f>
        <v>0.168979</v>
      </c>
      <c r="X88" s="47">
        <f ca="1" t="shared" si="20"/>
        <v>1.96382312666667</v>
      </c>
      <c r="Y88" s="47">
        <f ca="1" t="shared" si="21"/>
        <v>2.69138430496386</v>
      </c>
      <c r="Z88" s="47">
        <f ca="1" t="shared" si="22"/>
        <v>1.82815120651016</v>
      </c>
      <c r="AA88" s="47">
        <f ca="1" t="shared" si="23"/>
        <v>1.20641811375305</v>
      </c>
      <c r="AB88" s="47">
        <f ca="1" t="shared" si="24"/>
        <v>1.0312880081191</v>
      </c>
      <c r="AC88" s="48">
        <f ca="1" t="shared" si="25"/>
        <v>12.0217589619453</v>
      </c>
      <c r="AD88" s="47">
        <f t="shared" si="18"/>
        <v>2349.25</v>
      </c>
      <c r="AE88" s="47">
        <f t="shared" si="26"/>
        <v>587.3125</v>
      </c>
      <c r="AF88" s="47">
        <f t="shared" si="27"/>
        <v>146.828125</v>
      </c>
      <c r="AG88" s="47">
        <f t="shared" si="28"/>
        <v>36.70703125</v>
      </c>
      <c r="AH88" s="47">
        <f t="shared" si="29"/>
        <v>9.1767578125</v>
      </c>
      <c r="AI88" s="47">
        <f t="shared" si="30"/>
        <v>2.294189453125</v>
      </c>
      <c r="AJ88">
        <f ca="1">MIN(INT(SUM(AD88:$AI88)/OFFSET($AV$2,MATCH(AD$3,$AE$3:$AI$3,0),0)),6-SUM(AK88:$AO88))</f>
        <v>0</v>
      </c>
      <c r="AK88">
        <f ca="1">MIN(INT(SUM(AE88:$AI88)/OFFSET($AV$2,MATCH(AE$3,$AE$3:$AI$3,0),0)),6-SUM(AL88:$AO88))</f>
        <v>0</v>
      </c>
      <c r="AL88">
        <f ca="1">MIN(INT(SUM(AF88:$AI88)/OFFSET($AV$2,MATCH(AF$3,$AE$3:$AI$3,0),0)),6-SUM(AM88:$AO88))</f>
        <v>0</v>
      </c>
      <c r="AM88">
        <f ca="1">MIN(INT((SUM(AG88:$AI88)+N88*2/6)/OFFSET($AV$2,MATCH(AG$3,$AE$3:$AI$3,0),0)),6-SUM(AN88:$AO88))</f>
        <v>4</v>
      </c>
      <c r="AN88">
        <f ca="1">MIN(INT(SUM(AH88:$AI88)/OFFSET($AV$2,MATCH(AH$3,$AE$3:$AI$3,0),0)),6-SUM(AO88:$AO88))</f>
        <v>2</v>
      </c>
      <c r="AO88">
        <f ca="1">INT(SUM(AI87:$AI88)/OFFSET($AV$2,MATCH(AI$3,$AE$3:$AI$3,0),0))</f>
        <v>0</v>
      </c>
      <c r="AP88" cm="1">
        <f ca="1" t="array" ref="AP88">SUMPRODUCT(AJ88:AO88,TRANSPOSE($AS$3:$AS$8))</f>
        <v>2.08</v>
      </c>
    </row>
    <row r="89" ht="16.5" spans="14:42">
      <c r="N89" s="2">
        <v>86</v>
      </c>
      <c r="O89" s="45">
        <f>产出预期!AN105</f>
        <v>9510</v>
      </c>
      <c r="P89" s="2">
        <f ca="1">练度预期!M88</f>
        <v>30</v>
      </c>
      <c r="Q89" s="2" t="str">
        <f ca="1" t="shared" si="31"/>
        <v>橙</v>
      </c>
      <c r="R89" s="46">
        <f ca="1" t="shared" si="32"/>
        <v>0</v>
      </c>
      <c r="S89" s="47">
        <f ca="1" t="shared" si="19"/>
        <v>15.9112966666667</v>
      </c>
      <c r="T89" s="47">
        <f ca="1">MIN(1+($O89*1.4+产出预期!AC105*60)/OFFSET($J$14,MATCH(T$3,$T$3:$W$3,0),0),18)</f>
        <v>10.4983333333333</v>
      </c>
      <c r="U89" s="47">
        <f ca="1">MIN(($O89*1.4+产出预期!$AC105*60)/OFFSET($J$14,MATCH(U$3,$T$3:$W$3,0),0),3)</f>
        <v>2.73552</v>
      </c>
      <c r="V89" s="47">
        <f ca="1">MIN(($O89*1.4+产出预期!$AC105*60)/OFFSET($J$14,MATCH(V$3,$T$3:$W$3,0),0),18)</f>
        <v>0.68388</v>
      </c>
      <c r="W89" s="47">
        <f ca="1">MIN(($O89*1.4+产出预期!$AC105*60)/OFFSET($J$14,MATCH(W$3,$T$3:$W$3,0),0),18)</f>
        <v>0.17097</v>
      </c>
      <c r="X89" s="47">
        <f ca="1" t="shared" si="20"/>
        <v>1.9546778</v>
      </c>
      <c r="Y89" s="47">
        <f ca="1" t="shared" si="21"/>
        <v>2.71990794951653</v>
      </c>
      <c r="Z89" s="47">
        <f ca="1" t="shared" si="22"/>
        <v>1.84119284608671</v>
      </c>
      <c r="AA89" s="47">
        <f ca="1" t="shared" si="23"/>
        <v>1.20908852669508</v>
      </c>
      <c r="AB89" s="47">
        <f ca="1" t="shared" si="24"/>
        <v>1.03166243591001</v>
      </c>
      <c r="AC89" s="48">
        <f ca="1" t="shared" si="25"/>
        <v>12.2102451459873</v>
      </c>
      <c r="AD89" s="47">
        <f t="shared" si="18"/>
        <v>2377.5</v>
      </c>
      <c r="AE89" s="47">
        <f t="shared" si="26"/>
        <v>594.375</v>
      </c>
      <c r="AF89" s="47">
        <f t="shared" si="27"/>
        <v>148.59375</v>
      </c>
      <c r="AG89" s="47">
        <f t="shared" si="28"/>
        <v>37.1484375</v>
      </c>
      <c r="AH89" s="47">
        <f t="shared" si="29"/>
        <v>9.287109375</v>
      </c>
      <c r="AI89" s="47">
        <f t="shared" si="30"/>
        <v>2.32177734375</v>
      </c>
      <c r="AJ89">
        <f ca="1">MIN(INT(SUM(AD89:$AI89)/OFFSET($AV$2,MATCH(AD$3,$AE$3:$AI$3,0),0)),6-SUM(AK89:$AO89))</f>
        <v>0</v>
      </c>
      <c r="AK89">
        <f ca="1">MIN(INT(SUM(AE89:$AI89)/OFFSET($AV$2,MATCH(AE$3,$AE$3:$AI$3,0),0)),6-SUM(AL89:$AO89))</f>
        <v>0</v>
      </c>
      <c r="AL89">
        <f ca="1">MIN(INT(SUM(AF89:$AI89)/OFFSET($AV$2,MATCH(AF$3,$AE$3:$AI$3,0),0)),6-SUM(AM89:$AO89))</f>
        <v>0</v>
      </c>
      <c r="AM89">
        <f ca="1">MIN(INT((SUM(AG89:$AI89)+N89*2/6)/OFFSET($AV$2,MATCH(AG$3,$AE$3:$AI$3,0),0)),6-SUM(AN89:$AO89))</f>
        <v>4</v>
      </c>
      <c r="AN89">
        <f ca="1">MIN(INT(SUM(AH89:$AI89)/OFFSET($AV$2,MATCH(AH$3,$AE$3:$AI$3,0),0)),6-SUM(AO89:$AO89))</f>
        <v>2</v>
      </c>
      <c r="AO89">
        <f ca="1">INT(SUM(AI88:$AI89)/OFFSET($AV$2,MATCH(AI$3,$AE$3:$AI$3,0),0))</f>
        <v>0</v>
      </c>
      <c r="AP89" cm="1">
        <f ca="1" t="array" ref="AP89">SUMPRODUCT(AJ89:AO89,TRANSPOSE($AS$3:$AS$8))</f>
        <v>2.08</v>
      </c>
    </row>
    <row r="90" ht="16.5" spans="14:42">
      <c r="N90" s="2">
        <v>87</v>
      </c>
      <c r="O90" s="45">
        <f>产出预期!AN106</f>
        <v>9618</v>
      </c>
      <c r="P90" s="2">
        <f ca="1">练度预期!M89</f>
        <v>30</v>
      </c>
      <c r="Q90" s="2" t="str">
        <f ca="1" t="shared" si="31"/>
        <v>橙</v>
      </c>
      <c r="R90" s="46">
        <f ca="1" t="shared" si="32"/>
        <v>0</v>
      </c>
      <c r="S90" s="47">
        <f ca="1" t="shared" si="19"/>
        <v>15.7845206666667</v>
      </c>
      <c r="T90" s="47">
        <f ca="1">MIN(1+($O90*1.4+产出预期!AC106*60)/OFFSET($J$14,MATCH(T$3,$T$3:$W$3,0),0),18)</f>
        <v>10.5903333333333</v>
      </c>
      <c r="U90" s="47">
        <f ca="1">MIN(($O90*1.4+产出预期!$AC106*60)/OFFSET($J$14,MATCH(U$3,$T$3:$W$3,0),0),3)</f>
        <v>2.762016</v>
      </c>
      <c r="V90" s="47">
        <f ca="1">MIN(($O90*1.4+产出预期!$AC106*60)/OFFSET($J$14,MATCH(V$3,$T$3:$W$3,0),0),18)</f>
        <v>0.690504</v>
      </c>
      <c r="W90" s="47">
        <f ca="1">MIN(($O90*1.4+产出预期!$AC106*60)/OFFSET($J$14,MATCH(W$3,$T$3:$W$3,0),0),18)</f>
        <v>0.172626</v>
      </c>
      <c r="X90" s="47">
        <f ca="1" t="shared" si="20"/>
        <v>1.94707124</v>
      </c>
      <c r="Y90" s="47">
        <f ca="1" t="shared" si="21"/>
        <v>2.7438624311539</v>
      </c>
      <c r="Z90" s="47">
        <f ca="1" t="shared" si="22"/>
        <v>1.85211098035566</v>
      </c>
      <c r="AA90" s="47">
        <f ca="1" t="shared" si="23"/>
        <v>1.21131412578746</v>
      </c>
      <c r="AB90" s="47">
        <f ca="1" t="shared" si="24"/>
        <v>1.03197396710022</v>
      </c>
      <c r="AC90" s="48">
        <f ca="1" t="shared" si="25"/>
        <v>12.3690602604113</v>
      </c>
      <c r="AD90" s="47">
        <f t="shared" si="18"/>
        <v>2404.5</v>
      </c>
      <c r="AE90" s="47">
        <f t="shared" si="26"/>
        <v>601.125</v>
      </c>
      <c r="AF90" s="47">
        <f t="shared" si="27"/>
        <v>150.28125</v>
      </c>
      <c r="AG90" s="47">
        <f t="shared" si="28"/>
        <v>37.5703125</v>
      </c>
      <c r="AH90" s="47">
        <f t="shared" si="29"/>
        <v>9.392578125</v>
      </c>
      <c r="AI90" s="47">
        <f t="shared" si="30"/>
        <v>2.34814453125</v>
      </c>
      <c r="AJ90">
        <f ca="1">MIN(INT(SUM(AD90:$AI90)/OFFSET($AV$2,MATCH(AD$3,$AE$3:$AI$3,0),0)),6-SUM(AK90:$AO90))</f>
        <v>0</v>
      </c>
      <c r="AK90">
        <f ca="1">MIN(INT(SUM(AE90:$AI90)/OFFSET($AV$2,MATCH(AE$3,$AE$3:$AI$3,0),0)),6-SUM(AL90:$AO90))</f>
        <v>0</v>
      </c>
      <c r="AL90">
        <f ca="1">MIN(INT(SUM(AF90:$AI90)/OFFSET($AV$2,MATCH(AF$3,$AE$3:$AI$3,0),0)),6-SUM(AM90:$AO90))</f>
        <v>0</v>
      </c>
      <c r="AM90">
        <f ca="1">MIN(INT((SUM(AG90:$AI90)+N90*2/6)/OFFSET($AV$2,MATCH(AG$3,$AE$3:$AI$3,0),0)),6-SUM(AN90:$AO90))</f>
        <v>4</v>
      </c>
      <c r="AN90">
        <f ca="1">MIN(INT(SUM(AH90:$AI90)/OFFSET($AV$2,MATCH(AH$3,$AE$3:$AI$3,0),0)),6-SUM(AO90:$AO90))</f>
        <v>2</v>
      </c>
      <c r="AO90">
        <f ca="1">INT(SUM(AI89:$AI90)/OFFSET($AV$2,MATCH(AI$3,$AE$3:$AI$3,0),0))</f>
        <v>0</v>
      </c>
      <c r="AP90" cm="1">
        <f ca="1" t="array" ref="AP90">SUMPRODUCT(AJ90:AO90,TRANSPOSE($AS$3:$AS$8))</f>
        <v>2.08</v>
      </c>
    </row>
    <row r="91" ht="16.5" spans="14:42">
      <c r="N91" s="2">
        <v>88</v>
      </c>
      <c r="O91" s="45">
        <f>产出预期!AN107</f>
        <v>9726</v>
      </c>
      <c r="P91" s="2">
        <f ca="1">练度预期!M90</f>
        <v>30</v>
      </c>
      <c r="Q91" s="2" t="str">
        <f ca="1" t="shared" si="31"/>
        <v>橙</v>
      </c>
      <c r="R91" s="46">
        <f ca="1" t="shared" si="32"/>
        <v>0</v>
      </c>
      <c r="S91" s="47">
        <f ca="1" t="shared" si="19"/>
        <v>15.634778</v>
      </c>
      <c r="T91" s="47">
        <f ca="1">MIN(1+($O91*1.4+产出预期!AC107*60)/OFFSET($J$14,MATCH(T$3,$T$3:$W$3,0),0),18)</f>
        <v>10.699</v>
      </c>
      <c r="U91" s="47">
        <f ca="1">MIN(($O91*1.4+产出预期!$AC107*60)/OFFSET($J$14,MATCH(U$3,$T$3:$W$3,0),0),3)</f>
        <v>2.793312</v>
      </c>
      <c r="V91" s="47">
        <f ca="1">MIN(($O91*1.4+产出预期!$AC107*60)/OFFSET($J$14,MATCH(V$3,$T$3:$W$3,0),0),18)</f>
        <v>0.698328</v>
      </c>
      <c r="W91" s="47">
        <f ca="1">MIN(($O91*1.4+产出预期!$AC107*60)/OFFSET($J$14,MATCH(W$3,$T$3:$W$3,0),0),18)</f>
        <v>0.174582</v>
      </c>
      <c r="X91" s="47">
        <f ca="1" t="shared" si="20"/>
        <v>1.93808668</v>
      </c>
      <c r="Y91" s="47">
        <f ca="1" t="shared" si="21"/>
        <v>2.77242839690927</v>
      </c>
      <c r="Z91" s="47">
        <f ca="1" t="shared" si="22"/>
        <v>1.86509046684051</v>
      </c>
      <c r="AA91" s="47">
        <f ca="1" t="shared" si="23"/>
        <v>1.21394819088507</v>
      </c>
      <c r="AB91" s="47">
        <f ca="1" t="shared" si="24"/>
        <v>1.03234205628257</v>
      </c>
      <c r="AC91" s="48">
        <f ca="1" t="shared" si="25"/>
        <v>12.5590621630976</v>
      </c>
      <c r="AD91" s="47">
        <f t="shared" si="18"/>
        <v>2431.5</v>
      </c>
      <c r="AE91" s="47">
        <f t="shared" si="26"/>
        <v>607.875</v>
      </c>
      <c r="AF91" s="47">
        <f t="shared" si="27"/>
        <v>151.96875</v>
      </c>
      <c r="AG91" s="47">
        <f t="shared" si="28"/>
        <v>37.9921875</v>
      </c>
      <c r="AH91" s="47">
        <f t="shared" si="29"/>
        <v>9.498046875</v>
      </c>
      <c r="AI91" s="47">
        <f t="shared" si="30"/>
        <v>2.37451171875</v>
      </c>
      <c r="AJ91">
        <f ca="1">MIN(INT(SUM(AD91:$AI91)/OFFSET($AV$2,MATCH(AD$3,$AE$3:$AI$3,0),0)),6-SUM(AK91:$AO91))</f>
        <v>0</v>
      </c>
      <c r="AK91">
        <f ca="1">MIN(INT(SUM(AE91:$AI91)/OFFSET($AV$2,MATCH(AE$3,$AE$3:$AI$3,0),0)),6-SUM(AL91:$AO91))</f>
        <v>0</v>
      </c>
      <c r="AL91">
        <f ca="1">MIN(INT(SUM(AF91:$AI91)/OFFSET($AV$2,MATCH(AF$3,$AE$3:$AI$3,0),0)),6-SUM(AM91:$AO91))</f>
        <v>0</v>
      </c>
      <c r="AM91">
        <f ca="1">MIN(INT((SUM(AG91:$AI91)+N91*2/6)/OFFSET($AV$2,MATCH(AG$3,$AE$3:$AI$3,0),0)),6-SUM(AN91:$AO91))</f>
        <v>4</v>
      </c>
      <c r="AN91">
        <f ca="1">MIN(INT(SUM(AH91:$AI91)/OFFSET($AV$2,MATCH(AH$3,$AE$3:$AI$3,0),0)),6-SUM(AO91:$AO91))</f>
        <v>2</v>
      </c>
      <c r="AO91">
        <f ca="1">INT(SUM(AI90:$AI91)/OFFSET($AV$2,MATCH(AI$3,$AE$3:$AI$3,0),0))</f>
        <v>0</v>
      </c>
      <c r="AP91" cm="1">
        <f ca="1" t="array" ref="AP91">SUMPRODUCT(AJ91:AO91,TRANSPOSE($AS$3:$AS$8))</f>
        <v>2.08</v>
      </c>
    </row>
    <row r="92" ht="16.5" spans="14:42">
      <c r="N92" s="2">
        <v>89</v>
      </c>
      <c r="O92" s="45">
        <f>产出预期!AN108</f>
        <v>9839</v>
      </c>
      <c r="P92" s="2">
        <f ca="1">练度预期!M91</f>
        <v>30</v>
      </c>
      <c r="Q92" s="2" t="str">
        <f ca="1" t="shared" si="31"/>
        <v>橙</v>
      </c>
      <c r="R92" s="46">
        <f ca="1" t="shared" si="32"/>
        <v>0</v>
      </c>
      <c r="S92" s="47">
        <f ca="1" t="shared" si="19"/>
        <v>15.5053225555556</v>
      </c>
      <c r="T92" s="47">
        <f ca="1">MIN(1+($O92*1.4+产出预期!AC108*60)/OFFSET($J$14,MATCH(T$3,$T$3:$W$3,0),0),18)</f>
        <v>10.7929444444444</v>
      </c>
      <c r="U92" s="47">
        <f ca="1">MIN(($O92*1.4+产出预期!$AC108*60)/OFFSET($J$14,MATCH(U$3,$T$3:$W$3,0),0),3)</f>
        <v>2.820368</v>
      </c>
      <c r="V92" s="47">
        <f ca="1">MIN(($O92*1.4+产出预期!$AC108*60)/OFFSET($J$14,MATCH(V$3,$T$3:$W$3,0),0),18)</f>
        <v>0.705092</v>
      </c>
      <c r="W92" s="47">
        <f ca="1">MIN(($O92*1.4+产出预期!$AC108*60)/OFFSET($J$14,MATCH(W$3,$T$3:$W$3,0),0),18)</f>
        <v>0.176273</v>
      </c>
      <c r="X92" s="47">
        <f ca="1" t="shared" si="20"/>
        <v>1.93031935333333</v>
      </c>
      <c r="Y92" s="47">
        <f ca="1" t="shared" si="21"/>
        <v>2.79736380538896</v>
      </c>
      <c r="Z92" s="47">
        <f ca="1" t="shared" si="22"/>
        <v>1.87638477131346</v>
      </c>
      <c r="AA92" s="47">
        <f ca="1" t="shared" si="23"/>
        <v>1.21623000732942</v>
      </c>
      <c r="AB92" s="47">
        <f ca="1" t="shared" si="24"/>
        <v>1.03266038234546</v>
      </c>
      <c r="AC92" s="48">
        <f ca="1" t="shared" si="25"/>
        <v>12.7254528423707</v>
      </c>
      <c r="AD92" s="47">
        <f t="shared" si="18"/>
        <v>2459.75</v>
      </c>
      <c r="AE92" s="47">
        <f t="shared" si="26"/>
        <v>614.9375</v>
      </c>
      <c r="AF92" s="47">
        <f t="shared" si="27"/>
        <v>153.734375</v>
      </c>
      <c r="AG92" s="47">
        <f t="shared" si="28"/>
        <v>38.43359375</v>
      </c>
      <c r="AH92" s="47">
        <f t="shared" si="29"/>
        <v>9.6083984375</v>
      </c>
      <c r="AI92" s="47">
        <f t="shared" si="30"/>
        <v>2.402099609375</v>
      </c>
      <c r="AJ92">
        <f ca="1">MIN(INT(SUM(AD92:$AI92)/OFFSET($AV$2,MATCH(AD$3,$AE$3:$AI$3,0),0)),6-SUM(AK92:$AO92))</f>
        <v>0</v>
      </c>
      <c r="AK92">
        <f ca="1">MIN(INT(SUM(AE92:$AI92)/OFFSET($AV$2,MATCH(AE$3,$AE$3:$AI$3,0),0)),6-SUM(AL92:$AO92))</f>
        <v>0</v>
      </c>
      <c r="AL92">
        <f ca="1">MIN(INT(SUM(AF92:$AI92)/OFFSET($AV$2,MATCH(AF$3,$AE$3:$AI$3,0),0)),6-SUM(AM92:$AO92))</f>
        <v>0</v>
      </c>
      <c r="AM92">
        <f ca="1">MIN(INT((SUM(AG92:$AI92)+N92*2/6)/OFFSET($AV$2,MATCH(AG$3,$AE$3:$AI$3,0),0)),6-SUM(AN92:$AO92))</f>
        <v>4</v>
      </c>
      <c r="AN92">
        <f ca="1">MIN(INT(SUM(AH92:$AI92)/OFFSET($AV$2,MATCH(AH$3,$AE$3:$AI$3,0),0)),6-SUM(AO92:$AO92))</f>
        <v>2</v>
      </c>
      <c r="AO92">
        <f ca="1">INT(SUM(AI91:$AI92)/OFFSET($AV$2,MATCH(AI$3,$AE$3:$AI$3,0),0))</f>
        <v>0</v>
      </c>
      <c r="AP92" cm="1">
        <f ca="1" t="array" ref="AP92">SUMPRODUCT(AJ92:AO92,TRANSPOSE($AS$3:$AS$8))</f>
        <v>2.08</v>
      </c>
    </row>
    <row r="93" ht="16.5" spans="14:42">
      <c r="N93" s="2">
        <v>90</v>
      </c>
      <c r="O93" s="45">
        <f>产出预期!AN109</f>
        <v>9919</v>
      </c>
      <c r="P93" s="2">
        <f ca="1">练度预期!M92</f>
        <v>30</v>
      </c>
      <c r="Q93" s="2" t="str">
        <f ca="1" t="shared" si="31"/>
        <v>橙</v>
      </c>
      <c r="R93" s="46">
        <f ca="1" t="shared" si="32"/>
        <v>0</v>
      </c>
      <c r="S93" s="47">
        <f ca="1" t="shared" si="19"/>
        <v>15.3705847777778</v>
      </c>
      <c r="T93" s="47">
        <f ca="1">MIN(1+($O93*1.4+产出预期!AC109*60)/OFFSET($J$14,MATCH(T$3,$T$3:$W$3,0),0),18)</f>
        <v>10.8907222222222</v>
      </c>
      <c r="U93" s="47">
        <f ca="1">MIN(($O93*1.4+产出预期!$AC109*60)/OFFSET($J$14,MATCH(U$3,$T$3:$W$3,0),0),3)</f>
        <v>2.848528</v>
      </c>
      <c r="V93" s="47">
        <f ca="1">MIN(($O93*1.4+产出预期!$AC109*60)/OFFSET($J$14,MATCH(V$3,$T$3:$W$3,0),0),18)</f>
        <v>0.712132</v>
      </c>
      <c r="W93" s="47">
        <f ca="1">MIN(($O93*1.4+产出预期!$AC109*60)/OFFSET($J$14,MATCH(W$3,$T$3:$W$3,0),0),18)</f>
        <v>0.178033</v>
      </c>
      <c r="X93" s="47">
        <f ca="1" t="shared" si="20"/>
        <v>1.92223508666667</v>
      </c>
      <c r="Y93" s="47">
        <f ca="1" t="shared" si="21"/>
        <v>2.82355489803676</v>
      </c>
      <c r="Z93" s="47">
        <f ca="1" t="shared" si="22"/>
        <v>1.88821257473954</v>
      </c>
      <c r="AA93" s="47">
        <f ca="1" t="shared" si="23"/>
        <v>1.21860948685614</v>
      </c>
      <c r="AB93" s="47">
        <f ca="1" t="shared" si="24"/>
        <v>1.03299180171397</v>
      </c>
      <c r="AC93" s="48">
        <f ca="1" t="shared" si="25"/>
        <v>12.9007527365463</v>
      </c>
      <c r="AD93" s="47">
        <f t="shared" si="18"/>
        <v>2479.75</v>
      </c>
      <c r="AE93" s="47">
        <f t="shared" si="26"/>
        <v>619.9375</v>
      </c>
      <c r="AF93" s="47">
        <f t="shared" si="27"/>
        <v>154.984375</v>
      </c>
      <c r="AG93" s="47">
        <f t="shared" si="28"/>
        <v>38.74609375</v>
      </c>
      <c r="AH93" s="47">
        <f t="shared" si="29"/>
        <v>9.6865234375</v>
      </c>
      <c r="AI93" s="47">
        <f t="shared" si="30"/>
        <v>2.421630859375</v>
      </c>
      <c r="AJ93">
        <f ca="1">MIN(INT(SUM(AD93:$AI93)/OFFSET($AV$2,MATCH(AD$3,$AE$3:$AI$3,0),0)),6-SUM(AK93:$AO93))</f>
        <v>0</v>
      </c>
      <c r="AK93">
        <f ca="1">MIN(INT(SUM(AE93:$AI93)/OFFSET($AV$2,MATCH(AE$3,$AE$3:$AI$3,0),0)),6-SUM(AL93:$AO93))</f>
        <v>0</v>
      </c>
      <c r="AL93">
        <f ca="1">MIN(INT(SUM(AF93:$AI93)/OFFSET($AV$2,MATCH(AF$3,$AE$3:$AI$3,0),0)),6-SUM(AM93:$AO93))</f>
        <v>0</v>
      </c>
      <c r="AM93">
        <f ca="1">MIN(INT((SUM(AG93:$AI93)+N93*2/6)/OFFSET($AV$2,MATCH(AG$3,$AE$3:$AI$3,0),0)),6-SUM(AN93:$AO93))</f>
        <v>4</v>
      </c>
      <c r="AN93">
        <f ca="1">MIN(INT(SUM(AH93:$AI93)/OFFSET($AV$2,MATCH(AH$3,$AE$3:$AI$3,0),0)),6-SUM(AO93:$AO93))</f>
        <v>2</v>
      </c>
      <c r="AO93">
        <f ca="1">INT(SUM(AI92:$AI93)/OFFSET($AV$2,MATCH(AI$3,$AE$3:$AI$3,0),0))</f>
        <v>0</v>
      </c>
      <c r="AP93" cm="1">
        <f ca="1" t="array" ref="AP93">SUMPRODUCT(AJ93:AO93,TRANSPOSE($AS$3:$AS$8))</f>
        <v>2.08</v>
      </c>
    </row>
    <row r="94" ht="16.5" spans="14:42">
      <c r="N94" s="2">
        <v>91</v>
      </c>
      <c r="O94" s="45">
        <f>产出预期!AN110</f>
        <v>10032</v>
      </c>
      <c r="P94" s="2">
        <f ca="1">练度预期!M93</f>
        <v>30</v>
      </c>
      <c r="Q94" s="2" t="str">
        <f ca="1" t="shared" si="31"/>
        <v>橙</v>
      </c>
      <c r="R94" s="46">
        <f ca="1" t="shared" si="32"/>
        <v>0</v>
      </c>
      <c r="S94" s="47">
        <f ca="1" t="shared" si="19"/>
        <v>15.2181626666667</v>
      </c>
      <c r="T94" s="47">
        <f ca="1">MIN(1+($O94*1.4+产出预期!AC110*60)/OFFSET($J$14,MATCH(T$3,$T$3:$W$3,0),0),18)</f>
        <v>11.0013333333333</v>
      </c>
      <c r="U94" s="47">
        <f ca="1">MIN(($O94*1.4+产出预期!$AC110*60)/OFFSET($J$14,MATCH(U$3,$T$3:$W$3,0),0),3)</f>
        <v>2.880384</v>
      </c>
      <c r="V94" s="47">
        <f ca="1">MIN(($O94*1.4+产出预期!$AC110*60)/OFFSET($J$14,MATCH(V$3,$T$3:$W$3,0),0),18)</f>
        <v>0.720096</v>
      </c>
      <c r="W94" s="47">
        <f ca="1">MIN(($O94*1.4+产出预期!$AC110*60)/OFFSET($J$14,MATCH(W$3,$T$3:$W$3,0),0),18)</f>
        <v>0.180024</v>
      </c>
      <c r="X94" s="47">
        <f ca="1" t="shared" si="20"/>
        <v>1.91308976</v>
      </c>
      <c r="Y94" s="47">
        <f ca="1" t="shared" si="21"/>
        <v>2.85347930390404</v>
      </c>
      <c r="Z94" s="47">
        <f ca="1" t="shared" si="22"/>
        <v>1.90168267926698</v>
      </c>
      <c r="AA94" s="47">
        <f ca="1" t="shared" si="23"/>
        <v>1.22130688546769</v>
      </c>
      <c r="AB94" s="47">
        <f ca="1" t="shared" si="24"/>
        <v>1.03336684809802</v>
      </c>
      <c r="AC94" s="48">
        <f ca="1" t="shared" si="25"/>
        <v>13.1016940987008</v>
      </c>
      <c r="AD94" s="47">
        <f t="shared" si="18"/>
        <v>2508</v>
      </c>
      <c r="AE94" s="47">
        <f t="shared" si="26"/>
        <v>627</v>
      </c>
      <c r="AF94" s="47">
        <f t="shared" si="27"/>
        <v>156.75</v>
      </c>
      <c r="AG94" s="47">
        <f t="shared" si="28"/>
        <v>39.1875</v>
      </c>
      <c r="AH94" s="47">
        <f t="shared" si="29"/>
        <v>9.796875</v>
      </c>
      <c r="AI94" s="47">
        <f t="shared" si="30"/>
        <v>2.44921875</v>
      </c>
      <c r="AJ94">
        <f ca="1">MIN(INT(SUM(AD94:$AI94)/OFFSET($AV$2,MATCH(AD$3,$AE$3:$AI$3,0),0)),6-SUM(AK94:$AO94))</f>
        <v>0</v>
      </c>
      <c r="AK94">
        <f ca="1">MIN(INT(SUM(AE94:$AI94)/OFFSET($AV$2,MATCH(AE$3,$AE$3:$AI$3,0),0)),6-SUM(AL94:$AO94))</f>
        <v>0</v>
      </c>
      <c r="AL94">
        <f ca="1">MIN(INT(SUM(AF94:$AI94)/OFFSET($AV$2,MATCH(AF$3,$AE$3:$AI$3,0),0)),6-SUM(AM94:$AO94))</f>
        <v>0</v>
      </c>
      <c r="AM94">
        <f ca="1">MIN(INT((SUM(AG94:$AI94)+N94*2/6)/OFFSET($AV$2,MATCH(AG$3,$AE$3:$AI$3,0),0)),6-SUM(AN94:$AO94))</f>
        <v>4</v>
      </c>
      <c r="AN94">
        <f ca="1">MIN(INT(SUM(AH94:$AI94)/OFFSET($AV$2,MATCH(AH$3,$AE$3:$AI$3,0),0)),6-SUM(AO94:$AO94))</f>
        <v>2</v>
      </c>
      <c r="AO94">
        <f ca="1">INT(SUM(AI93:$AI94)/OFFSET($AV$2,MATCH(AI$3,$AE$3:$AI$3,0),0))</f>
        <v>0</v>
      </c>
      <c r="AP94" cm="1">
        <f ca="1" t="array" ref="AP94">SUMPRODUCT(AJ94:AO94,TRANSPOSE($AS$3:$AS$8))</f>
        <v>2.08</v>
      </c>
    </row>
    <row r="95" ht="16.5" spans="14:42">
      <c r="N95" s="2">
        <v>92</v>
      </c>
      <c r="O95" s="45">
        <f>产出预期!AN111</f>
        <v>10140</v>
      </c>
      <c r="P95" s="2">
        <f ca="1">练度预期!M94</f>
        <v>30</v>
      </c>
      <c r="Q95" s="2" t="str">
        <f ca="1" t="shared" si="31"/>
        <v>橙</v>
      </c>
      <c r="R95" s="46">
        <f ca="1" t="shared" si="32"/>
        <v>0</v>
      </c>
      <c r="S95" s="47">
        <f ca="1" t="shared" si="19"/>
        <v>15.0913866666667</v>
      </c>
      <c r="T95" s="47">
        <f ca="1">MIN(1+($O95*1.4+产出预期!AC111*60)/OFFSET($J$14,MATCH(T$3,$T$3:$W$3,0),0),18)</f>
        <v>11.0933333333333</v>
      </c>
      <c r="U95" s="47">
        <f ca="1">MIN(($O95*1.4+产出预期!$AC111*60)/OFFSET($J$14,MATCH(U$3,$T$3:$W$3,0),0),3)</f>
        <v>2.90688</v>
      </c>
      <c r="V95" s="47">
        <f ca="1">MIN(($O95*1.4+产出预期!$AC111*60)/OFFSET($J$14,MATCH(V$3,$T$3:$W$3,0),0),18)</f>
        <v>0.72672</v>
      </c>
      <c r="W95" s="47">
        <f ca="1">MIN(($O95*1.4+产出预期!$AC111*60)/OFFSET($J$14,MATCH(W$3,$T$3:$W$3,0),0),18)</f>
        <v>0.18168</v>
      </c>
      <c r="X95" s="47">
        <f ca="1" t="shared" si="20"/>
        <v>1.9054832</v>
      </c>
      <c r="Y95" s="47">
        <f ca="1" t="shared" si="21"/>
        <v>2.87861016085093</v>
      </c>
      <c r="Z95" s="47">
        <f ca="1" t="shared" si="22"/>
        <v>1.9129595136699</v>
      </c>
      <c r="AA95" s="47">
        <f ca="1" t="shared" si="23"/>
        <v>1.22355497519461</v>
      </c>
      <c r="AB95" s="47">
        <f ca="1" t="shared" si="24"/>
        <v>1.03367889396971</v>
      </c>
      <c r="AC95" s="48">
        <f ca="1" t="shared" si="25"/>
        <v>13.2709768870715</v>
      </c>
      <c r="AD95" s="47">
        <f t="shared" si="18"/>
        <v>2535</v>
      </c>
      <c r="AE95" s="47">
        <f t="shared" si="26"/>
        <v>633.75</v>
      </c>
      <c r="AF95" s="47">
        <f t="shared" si="27"/>
        <v>158.4375</v>
      </c>
      <c r="AG95" s="47">
        <f t="shared" si="28"/>
        <v>39.609375</v>
      </c>
      <c r="AH95" s="47">
        <f t="shared" si="29"/>
        <v>9.90234375</v>
      </c>
      <c r="AI95" s="47">
        <f t="shared" si="30"/>
        <v>2.4755859375</v>
      </c>
      <c r="AJ95">
        <f ca="1">MIN(INT(SUM(AD95:$AI95)/OFFSET($AV$2,MATCH(AD$3,$AE$3:$AI$3,0),0)),6-SUM(AK95:$AO95))</f>
        <v>0</v>
      </c>
      <c r="AK95">
        <f ca="1">MIN(INT(SUM(AE95:$AI95)/OFFSET($AV$2,MATCH(AE$3,$AE$3:$AI$3,0),0)),6-SUM(AL95:$AO95))</f>
        <v>0</v>
      </c>
      <c r="AL95">
        <f ca="1">MIN(INT(SUM(AF95:$AI95)/OFFSET($AV$2,MATCH(AF$3,$AE$3:$AI$3,0),0)),6-SUM(AM95:$AO95))</f>
        <v>0</v>
      </c>
      <c r="AM95">
        <f ca="1">MIN(INT((SUM(AG95:$AI95)+N95*2/6)/OFFSET($AV$2,MATCH(AG$3,$AE$3:$AI$3,0),0)),6-SUM(AN95:$AO95))</f>
        <v>4</v>
      </c>
      <c r="AN95">
        <f ca="1">MIN(INT(SUM(AH95:$AI95)/OFFSET($AV$2,MATCH(AH$3,$AE$3:$AI$3,0),0)),6-SUM(AO95:$AO95))</f>
        <v>2</v>
      </c>
      <c r="AO95">
        <f ca="1">INT(SUM(AI94:$AI95)/OFFSET($AV$2,MATCH(AI$3,$AE$3:$AI$3,0),0))</f>
        <v>0</v>
      </c>
      <c r="AP95" cm="1">
        <f ca="1" t="array" ref="AP95">SUMPRODUCT(AJ95:AO95,TRANSPOSE($AS$3:$AS$8))</f>
        <v>2.08</v>
      </c>
    </row>
    <row r="96" ht="16.5" spans="14:42">
      <c r="N96" s="2">
        <v>93</v>
      </c>
      <c r="O96" s="45">
        <f>产出预期!AN112</f>
        <v>10253</v>
      </c>
      <c r="P96" s="2">
        <f ca="1">练度预期!M95</f>
        <v>30</v>
      </c>
      <c r="Q96" s="2" t="str">
        <f ca="1" t="shared" si="31"/>
        <v>橙</v>
      </c>
      <c r="R96" s="46">
        <f ca="1" t="shared" si="32"/>
        <v>0</v>
      </c>
      <c r="S96" s="47">
        <f ca="1" t="shared" si="19"/>
        <v>14.9389645555556</v>
      </c>
      <c r="T96" s="47">
        <f ca="1">MIN(1+($O96*1.4+产出预期!AC112*60)/OFFSET($J$14,MATCH(T$3,$T$3:$W$3,0),0),18)</f>
        <v>11.2039444444444</v>
      </c>
      <c r="U96" s="47">
        <f ca="1">MIN(($O96*1.4+产出预期!$AC112*60)/OFFSET($J$14,MATCH(U$3,$T$3:$W$3,0),0),3)</f>
        <v>2.938736</v>
      </c>
      <c r="V96" s="47">
        <f ca="1">MIN(($O96*1.4+产出预期!$AC112*60)/OFFSET($J$14,MATCH(V$3,$T$3:$W$3,0),0),18)</f>
        <v>0.734684</v>
      </c>
      <c r="W96" s="47">
        <f ca="1">MIN(($O96*1.4+产出预期!$AC112*60)/OFFSET($J$14,MATCH(W$3,$T$3:$W$3,0),0),18)</f>
        <v>0.183671</v>
      </c>
      <c r="X96" s="47">
        <f ca="1" t="shared" si="20"/>
        <v>1.89633787333333</v>
      </c>
      <c r="Y96" s="47">
        <f ca="1" t="shared" si="21"/>
        <v>2.9091180496286</v>
      </c>
      <c r="Z96" s="47">
        <f ca="1" t="shared" si="22"/>
        <v>1.9266061575651</v>
      </c>
      <c r="AA96" s="47">
        <f ca="1" t="shared" si="23"/>
        <v>1.22626332067102</v>
      </c>
      <c r="AB96" s="47">
        <f ca="1" t="shared" si="24"/>
        <v>1.03405418981504</v>
      </c>
      <c r="AC96" s="48">
        <f ca="1" t="shared" si="25"/>
        <v>13.4771184197634</v>
      </c>
      <c r="AD96" s="47">
        <f t="shared" si="18"/>
        <v>2563.25</v>
      </c>
      <c r="AE96" s="47">
        <f t="shared" si="26"/>
        <v>640.8125</v>
      </c>
      <c r="AF96" s="47">
        <f t="shared" si="27"/>
        <v>160.203125</v>
      </c>
      <c r="AG96" s="47">
        <f t="shared" si="28"/>
        <v>40.05078125</v>
      </c>
      <c r="AH96" s="47">
        <f t="shared" si="29"/>
        <v>10.0126953125</v>
      </c>
      <c r="AI96" s="47">
        <f t="shared" si="30"/>
        <v>2.503173828125</v>
      </c>
      <c r="AJ96">
        <f ca="1">MIN(INT(SUM(AD96:$AI96)/OFFSET($AV$2,MATCH(AD$3,$AE$3:$AI$3,0),0)),6-SUM(AK96:$AO96))</f>
        <v>0</v>
      </c>
      <c r="AK96">
        <f ca="1">MIN(INT(SUM(AE96:$AI96)/OFFSET($AV$2,MATCH(AE$3,$AE$3:$AI$3,0),0)),6-SUM(AL96:$AO96))</f>
        <v>0</v>
      </c>
      <c r="AL96">
        <f ca="1">MIN(INT(SUM(AF96:$AI96)/OFFSET($AV$2,MATCH(AF$3,$AE$3:$AI$3,0),0)),6-SUM(AM96:$AO96))</f>
        <v>0</v>
      </c>
      <c r="AM96">
        <f ca="1">MIN(INT((SUM(AG96:$AI96)+N96*2/6)/OFFSET($AV$2,MATCH(AG$3,$AE$3:$AI$3,0),0)),6-SUM(AN96:$AO96))</f>
        <v>4</v>
      </c>
      <c r="AN96">
        <f ca="1">MIN(INT(SUM(AH96:$AI96)/OFFSET($AV$2,MATCH(AH$3,$AE$3:$AI$3,0),0)),6-SUM(AO96:$AO96))</f>
        <v>2</v>
      </c>
      <c r="AO96">
        <f ca="1">INT(SUM(AI95:$AI96)/OFFSET($AV$2,MATCH(AI$3,$AE$3:$AI$3,0),0))</f>
        <v>0</v>
      </c>
      <c r="AP96" cm="1">
        <f ca="1" t="array" ref="AP96">SUMPRODUCT(AJ96:AO96,TRANSPOSE($AS$3:$AS$8))</f>
        <v>2.08</v>
      </c>
    </row>
    <row r="97" ht="16.5" spans="14:42">
      <c r="N97" s="2">
        <v>94</v>
      </c>
      <c r="O97" s="45">
        <f>产出预期!AN113</f>
        <v>10361</v>
      </c>
      <c r="P97" s="2">
        <f ca="1">练度预期!M96</f>
        <v>30</v>
      </c>
      <c r="Q97" s="2" t="str">
        <f ca="1" t="shared" si="31"/>
        <v>橙</v>
      </c>
      <c r="R97" s="46">
        <f ca="1" t="shared" si="32"/>
        <v>0</v>
      </c>
      <c r="S97" s="47">
        <f ca="1" t="shared" si="19"/>
        <v>14.8121885555556</v>
      </c>
      <c r="T97" s="47">
        <f ca="1">MIN(1+($O97*1.4+产出预期!AC113*60)/OFFSET($J$14,MATCH(T$3,$T$3:$W$3,0),0),18)</f>
        <v>11.2959444444444</v>
      </c>
      <c r="U97" s="47">
        <f ca="1">MIN(($O97*1.4+产出预期!$AC113*60)/OFFSET($J$14,MATCH(U$3,$T$3:$W$3,0),0),3)</f>
        <v>2.965232</v>
      </c>
      <c r="V97" s="47">
        <f ca="1">MIN(($O97*1.4+产出预期!$AC113*60)/OFFSET($J$14,MATCH(V$3,$T$3:$W$3,0),0),18)</f>
        <v>0.741308</v>
      </c>
      <c r="W97" s="47">
        <f ca="1">MIN(($O97*1.4+产出预期!$AC113*60)/OFFSET($J$14,MATCH(W$3,$T$3:$W$3,0),0),18)</f>
        <v>0.185327</v>
      </c>
      <c r="X97" s="47">
        <f ca="1" t="shared" si="20"/>
        <v>1.88873131333333</v>
      </c>
      <c r="Y97" s="47">
        <f ca="1" t="shared" si="21"/>
        <v>2.93473892217069</v>
      </c>
      <c r="Z97" s="47">
        <f ca="1" t="shared" si="22"/>
        <v>1.93803078630857</v>
      </c>
      <c r="AA97" s="47">
        <f ca="1" t="shared" si="23"/>
        <v>1.22852053383056</v>
      </c>
      <c r="AB97" s="47">
        <f ca="1" t="shared" si="24"/>
        <v>1.03436644324337</v>
      </c>
      <c r="AC97" s="48">
        <f ca="1" t="shared" si="25"/>
        <v>13.6507705480947</v>
      </c>
      <c r="AD97" s="47">
        <f t="shared" si="18"/>
        <v>2590.25</v>
      </c>
      <c r="AE97" s="47">
        <f t="shared" si="26"/>
        <v>647.5625</v>
      </c>
      <c r="AF97" s="47">
        <f t="shared" si="27"/>
        <v>161.890625</v>
      </c>
      <c r="AG97" s="47">
        <f t="shared" si="28"/>
        <v>40.47265625</v>
      </c>
      <c r="AH97" s="47">
        <f t="shared" si="29"/>
        <v>10.1181640625</v>
      </c>
      <c r="AI97" s="47">
        <f t="shared" si="30"/>
        <v>2.529541015625</v>
      </c>
      <c r="AJ97">
        <f ca="1">MIN(INT(SUM(AD97:$AI97)/OFFSET($AV$2,MATCH(AD$3,$AE$3:$AI$3,0),0)),6-SUM(AK97:$AO97))</f>
        <v>0</v>
      </c>
      <c r="AK97">
        <f ca="1">MIN(INT(SUM(AE97:$AI97)/OFFSET($AV$2,MATCH(AE$3,$AE$3:$AI$3,0),0)),6-SUM(AL97:$AO97))</f>
        <v>0</v>
      </c>
      <c r="AL97">
        <f ca="1">MIN(INT(SUM(AF97:$AI97)/OFFSET($AV$2,MATCH(AF$3,$AE$3:$AI$3,0),0)),6-SUM(AM97:$AO97))</f>
        <v>0</v>
      </c>
      <c r="AM97">
        <f ca="1">MIN(INT((SUM(AG97:$AI97)+N97*2/6)/OFFSET($AV$2,MATCH(AG$3,$AE$3:$AI$3,0),0)),6-SUM(AN97:$AO97))</f>
        <v>4</v>
      </c>
      <c r="AN97">
        <f ca="1">MIN(INT(SUM(AH97:$AI97)/OFFSET($AV$2,MATCH(AH$3,$AE$3:$AI$3,0),0)),6-SUM(AO97:$AO97))</f>
        <v>2</v>
      </c>
      <c r="AO97">
        <f ca="1">INT(SUM(AI96:$AI97)/OFFSET($AV$2,MATCH(AI$3,$AE$3:$AI$3,0),0))</f>
        <v>0</v>
      </c>
      <c r="AP97" cm="1">
        <f ca="1" t="array" ref="AP97">SUMPRODUCT(AJ97:AO97,TRANSPOSE($AS$3:$AS$8))</f>
        <v>2.08</v>
      </c>
    </row>
    <row r="98" ht="16.5" spans="14:42">
      <c r="N98" s="2">
        <v>95</v>
      </c>
      <c r="O98" s="45">
        <f>产出预期!AN114</f>
        <v>10469</v>
      </c>
      <c r="P98" s="2">
        <f ca="1">练度预期!M97</f>
        <v>30</v>
      </c>
      <c r="Q98" s="2" t="str">
        <f ca="1" t="shared" si="31"/>
        <v>橙</v>
      </c>
      <c r="R98" s="46">
        <f ca="1" t="shared" si="32"/>
        <v>0</v>
      </c>
      <c r="S98" s="47">
        <f ca="1" t="shared" si="19"/>
        <v>14.6624458888889</v>
      </c>
      <c r="T98" s="47">
        <f ca="1">MIN(1+($O98*1.4+产出预期!AC114*60)/OFFSET($J$14,MATCH(T$3,$T$3:$W$3,0),0),18)</f>
        <v>11.4046111111111</v>
      </c>
      <c r="U98" s="47">
        <f ca="1">MIN(($O98*1.4+产出预期!$AC114*60)/OFFSET($J$14,MATCH(U$3,$T$3:$W$3,0),0),3)</f>
        <v>2.996528</v>
      </c>
      <c r="V98" s="47">
        <f ca="1">MIN(($O98*1.4+产出预期!$AC114*60)/OFFSET($J$14,MATCH(V$3,$T$3:$W$3,0),0),18)</f>
        <v>0.749132</v>
      </c>
      <c r="W98" s="47">
        <f ca="1">MIN(($O98*1.4+产出预期!$AC114*60)/OFFSET($J$14,MATCH(W$3,$T$3:$W$3,0),0),18)</f>
        <v>0.187283</v>
      </c>
      <c r="X98" s="47">
        <f ca="1" t="shared" si="20"/>
        <v>1.87974675333333</v>
      </c>
      <c r="Y98" s="47">
        <f ca="1" t="shared" si="21"/>
        <v>2.96529207622091</v>
      </c>
      <c r="Z98" s="47">
        <f ca="1" t="shared" si="22"/>
        <v>1.95161239381747</v>
      </c>
      <c r="AA98" s="47">
        <f ca="1" t="shared" si="23"/>
        <v>1.2311920151507</v>
      </c>
      <c r="AB98" s="47">
        <f ca="1" t="shared" si="24"/>
        <v>1.03473538578502</v>
      </c>
      <c r="AC98" s="48">
        <f ca="1" t="shared" si="25"/>
        <v>13.8584761724217</v>
      </c>
      <c r="AD98" s="47">
        <f t="shared" si="18"/>
        <v>2617.25</v>
      </c>
      <c r="AE98" s="47">
        <f t="shared" si="26"/>
        <v>654.3125</v>
      </c>
      <c r="AF98" s="47">
        <f t="shared" si="27"/>
        <v>163.578125</v>
      </c>
      <c r="AG98" s="47">
        <f t="shared" si="28"/>
        <v>40.89453125</v>
      </c>
      <c r="AH98" s="47">
        <f t="shared" si="29"/>
        <v>10.2236328125</v>
      </c>
      <c r="AI98" s="47">
        <f t="shared" si="30"/>
        <v>2.555908203125</v>
      </c>
      <c r="AJ98">
        <f ca="1">MIN(INT(SUM(AD98:$AI98)/OFFSET($AV$2,MATCH(AD$3,$AE$3:$AI$3,0),0)),6-SUM(AK98:$AO98))</f>
        <v>0</v>
      </c>
      <c r="AK98">
        <f ca="1">MIN(INT(SUM(AE98:$AI98)/OFFSET($AV$2,MATCH(AE$3,$AE$3:$AI$3,0),0)),6-SUM(AL98:$AO98))</f>
        <v>0</v>
      </c>
      <c r="AL98">
        <f ca="1">MIN(INT(SUM(AF98:$AI98)/OFFSET($AV$2,MATCH(AF$3,$AE$3:$AI$3,0),0)),6-SUM(AM98:$AO98))</f>
        <v>0</v>
      </c>
      <c r="AM98">
        <f ca="1">MIN(INT((SUM(AG98:$AI98)+N98*2/6)/OFFSET($AV$2,MATCH(AG$3,$AE$3:$AI$3,0),0)),6-SUM(AN98:$AO98))</f>
        <v>4</v>
      </c>
      <c r="AN98">
        <f ca="1">MIN(INT(SUM(AH98:$AI98)/OFFSET($AV$2,MATCH(AH$3,$AE$3:$AI$3,0),0)),6-SUM(AO98:$AO98))</f>
        <v>2</v>
      </c>
      <c r="AO98">
        <f ca="1">INT(SUM(AI97:$AI98)/OFFSET($AV$2,MATCH(AI$3,$AE$3:$AI$3,0),0))</f>
        <v>0</v>
      </c>
      <c r="AP98" cm="1">
        <f ca="1" t="array" ref="AP98">SUMPRODUCT(AJ98:AO98,TRANSPOSE($AS$3:$AS$8))</f>
        <v>2.08</v>
      </c>
    </row>
    <row r="99" ht="16.5" spans="14:42">
      <c r="N99" s="2">
        <v>96</v>
      </c>
      <c r="O99" s="45">
        <f>产出预期!AN115</f>
        <v>10559</v>
      </c>
      <c r="P99" s="2">
        <f ca="1">练度预期!M98</f>
        <v>30</v>
      </c>
      <c r="Q99" s="2" t="str">
        <f ca="1" t="shared" si="31"/>
        <v>橙</v>
      </c>
      <c r="R99" s="46">
        <f ca="1" t="shared" si="32"/>
        <v>0</v>
      </c>
      <c r="S99" s="47">
        <f ca="1" t="shared" si="19"/>
        <v>14.5663238888889</v>
      </c>
      <c r="T99" s="47">
        <f ca="1">MIN(1+($O99*1.4+产出预期!AC115*60)/OFFSET($J$14,MATCH(T$3,$T$3:$W$3,0),0),18)</f>
        <v>11.4896111111111</v>
      </c>
      <c r="U99" s="47">
        <f ca="1">MIN(($O99*1.4+产出预期!$AC115*60)/OFFSET($J$14,MATCH(U$3,$T$3:$W$3,0),0),3)</f>
        <v>3</v>
      </c>
      <c r="V99" s="47">
        <f ca="1">MIN(($O99*1.4+产出预期!$AC115*60)/OFFSET($J$14,MATCH(V$3,$T$3:$W$3,0),0),18)</f>
        <v>0.755252</v>
      </c>
      <c r="W99" s="47">
        <f ca="1">MIN(($O99*1.4+产出预期!$AC115*60)/OFFSET($J$14,MATCH(W$3,$T$3:$W$3,0),0),18)</f>
        <v>0.188813</v>
      </c>
      <c r="X99" s="47">
        <f ca="1" t="shared" si="20"/>
        <v>1.87397943333333</v>
      </c>
      <c r="Y99" s="47">
        <f ca="1" t="shared" si="21"/>
        <v>2.98941256301635</v>
      </c>
      <c r="Z99" s="47">
        <f ca="1" t="shared" si="22"/>
        <v>1.953125</v>
      </c>
      <c r="AA99" s="47">
        <f ca="1" t="shared" si="23"/>
        <v>1.23328571938073</v>
      </c>
      <c r="AB99" s="47">
        <f ca="1" t="shared" si="24"/>
        <v>1.03502406753393</v>
      </c>
      <c r="AC99" s="48">
        <f ca="1" t="shared" si="25"/>
        <v>13.9667341259776</v>
      </c>
      <c r="AD99" s="47">
        <f t="shared" si="18"/>
        <v>2639.75</v>
      </c>
      <c r="AE99" s="47">
        <f t="shared" si="26"/>
        <v>659.9375</v>
      </c>
      <c r="AF99" s="47">
        <f t="shared" si="27"/>
        <v>164.984375</v>
      </c>
      <c r="AG99" s="47">
        <f t="shared" si="28"/>
        <v>41.24609375</v>
      </c>
      <c r="AH99" s="47">
        <f t="shared" si="29"/>
        <v>10.3115234375</v>
      </c>
      <c r="AI99" s="47">
        <f t="shared" si="30"/>
        <v>2.577880859375</v>
      </c>
      <c r="AJ99">
        <f ca="1">MIN(INT(SUM(AD99:$AI99)/OFFSET($AV$2,MATCH(AD$3,$AE$3:$AI$3,0),0)),6-SUM(AK99:$AO99))</f>
        <v>0</v>
      </c>
      <c r="AK99">
        <f ca="1">MIN(INT(SUM(AE99:$AI99)/OFFSET($AV$2,MATCH(AE$3,$AE$3:$AI$3,0),0)),6-SUM(AL99:$AO99))</f>
        <v>0</v>
      </c>
      <c r="AL99">
        <f ca="1">MIN(INT(SUM(AF99:$AI99)/OFFSET($AV$2,MATCH(AF$3,$AE$3:$AI$3,0),0)),6-SUM(AM99:$AO99))</f>
        <v>0</v>
      </c>
      <c r="AM99">
        <f ca="1">MIN(INT((SUM(AG99:$AI99)+N99*2/6)/OFFSET($AV$2,MATCH(AG$3,$AE$3:$AI$3,0),0)),6-SUM(AN99:$AO99))</f>
        <v>4</v>
      </c>
      <c r="AN99">
        <f ca="1">MIN(INT(SUM(AH99:$AI99)/OFFSET($AV$2,MATCH(AH$3,$AE$3:$AI$3,0),0)),6-SUM(AO99:$AO99))</f>
        <v>2</v>
      </c>
      <c r="AO99">
        <f ca="1">INT(SUM(AI98:$AI99)/OFFSET($AV$2,MATCH(AI$3,$AE$3:$AI$3,0),0))</f>
        <v>0</v>
      </c>
      <c r="AP99" cm="1">
        <f ca="1" t="array" ref="AP99">SUMPRODUCT(AJ99:AO99,TRANSPOSE($AS$3:$AS$8))</f>
        <v>2.08</v>
      </c>
    </row>
    <row r="100" ht="16.5" spans="14:42">
      <c r="N100" s="2">
        <v>97</v>
      </c>
      <c r="O100" s="45">
        <f>产出预期!AN116</f>
        <v>10667</v>
      </c>
      <c r="P100" s="2">
        <f ca="1">练度预期!M99</f>
        <v>30</v>
      </c>
      <c r="Q100" s="2" t="str">
        <f ca="1" t="shared" si="31"/>
        <v>橙</v>
      </c>
      <c r="R100" s="46">
        <f ca="1" t="shared" si="32"/>
        <v>0</v>
      </c>
      <c r="S100" s="47">
        <f ca="1" t="shared" si="19"/>
        <v>14.4478772222222</v>
      </c>
      <c r="T100" s="47">
        <f ca="1">MIN(1+($O100*1.4+产出预期!AC116*60)/OFFSET($J$14,MATCH(T$3,$T$3:$W$3,0),0),18)</f>
        <v>11.5982777777778</v>
      </c>
      <c r="U100" s="47">
        <f ca="1">MIN(($O100*1.4+产出预期!$AC116*60)/OFFSET($J$14,MATCH(U$3,$T$3:$W$3,0),0),3)</f>
        <v>3</v>
      </c>
      <c r="V100" s="47">
        <f ca="1">MIN(($O100*1.4+产出预期!$AC116*60)/OFFSET($J$14,MATCH(V$3,$T$3:$W$3,0),0),18)</f>
        <v>0.763076</v>
      </c>
      <c r="W100" s="47">
        <f ca="1">MIN(($O100*1.4+产出预期!$AC116*60)/OFFSET($J$14,MATCH(W$3,$T$3:$W$3,0),0),18)</f>
        <v>0.190769</v>
      </c>
      <c r="X100" s="47">
        <f ca="1" t="shared" si="20"/>
        <v>1.86687263333333</v>
      </c>
      <c r="Y100" s="47">
        <f ca="1" t="shared" si="21"/>
        <v>3.02053491664975</v>
      </c>
      <c r="Z100" s="47">
        <f ca="1" t="shared" si="22"/>
        <v>1.953125</v>
      </c>
      <c r="AA100" s="47">
        <f ca="1" t="shared" si="23"/>
        <v>1.23596756284284</v>
      </c>
      <c r="AB100" s="47">
        <f ca="1" t="shared" si="24"/>
        <v>1.03539324464002</v>
      </c>
      <c r="AC100" s="48">
        <f ca="1" t="shared" si="25"/>
        <v>14.0942181462887</v>
      </c>
      <c r="AD100" s="47">
        <f t="shared" si="18"/>
        <v>2666.75</v>
      </c>
      <c r="AE100" s="47">
        <f t="shared" si="26"/>
        <v>666.6875</v>
      </c>
      <c r="AF100" s="47">
        <f t="shared" si="27"/>
        <v>166.671875</v>
      </c>
      <c r="AG100" s="47">
        <f t="shared" si="28"/>
        <v>41.66796875</v>
      </c>
      <c r="AH100" s="47">
        <f t="shared" si="29"/>
        <v>10.4169921875</v>
      </c>
      <c r="AI100" s="47">
        <f t="shared" si="30"/>
        <v>2.604248046875</v>
      </c>
      <c r="AJ100">
        <f ca="1">MIN(INT(SUM(AD100:$AI100)/OFFSET($AV$2,MATCH(AD$3,$AE$3:$AI$3,0),0)),6-SUM(AK100:$AO100))</f>
        <v>0</v>
      </c>
      <c r="AK100">
        <f ca="1">MIN(INT(SUM(AE100:$AI100)/OFFSET($AV$2,MATCH(AE$3,$AE$3:$AI$3,0),0)),6-SUM(AL100:$AO100))</f>
        <v>0</v>
      </c>
      <c r="AL100">
        <f ca="1">MIN(INT(SUM(AF100:$AI100)/OFFSET($AV$2,MATCH(AF$3,$AE$3:$AI$3,0),0)),6-SUM(AM100:$AO100))</f>
        <v>0</v>
      </c>
      <c r="AM100">
        <f ca="1">MIN(INT((SUM(AG100:$AI100)+N100*2/6)/OFFSET($AV$2,MATCH(AG$3,$AE$3:$AI$3,0),0)),6-SUM(AN100:$AO100))</f>
        <v>4</v>
      </c>
      <c r="AN100">
        <f ca="1">MIN(INT(SUM(AH100:$AI100)/OFFSET($AV$2,MATCH(AH$3,$AE$3:$AI$3,0),0)),6-SUM(AO100:$AO100))</f>
        <v>2</v>
      </c>
      <c r="AO100">
        <f ca="1">INT(SUM(AI99:$AI100)/OFFSET($AV$2,MATCH(AI$3,$AE$3:$AI$3,0),0))</f>
        <v>0</v>
      </c>
      <c r="AP100" cm="1">
        <f ca="1" t="array" ref="AP100">SUMPRODUCT(AJ100:AO100,TRANSPOSE($AS$3:$AS$8))</f>
        <v>2.08</v>
      </c>
    </row>
    <row r="101" ht="16.5" spans="14:42">
      <c r="N101" s="2">
        <v>98</v>
      </c>
      <c r="O101" s="45">
        <f>产出预期!AN117</f>
        <v>10780</v>
      </c>
      <c r="P101" s="2">
        <f ca="1">练度预期!M100</f>
        <v>30</v>
      </c>
      <c r="Q101" s="2" t="str">
        <f ca="1" t="shared" si="31"/>
        <v>橙</v>
      </c>
      <c r="R101" s="46">
        <f ca="1" t="shared" si="32"/>
        <v>0</v>
      </c>
      <c r="S101" s="47">
        <f ca="1" t="shared" si="19"/>
        <v>14.3454777777778</v>
      </c>
      <c r="T101" s="47">
        <f ca="1">MIN(1+($O101*1.4+产出预期!AC117*60)/OFFSET($J$14,MATCH(T$3,$T$3:$W$3,0),0),18)</f>
        <v>11.6922222222222</v>
      </c>
      <c r="U101" s="47">
        <f ca="1">MIN(($O101*1.4+产出预期!$AC117*60)/OFFSET($J$14,MATCH(U$3,$T$3:$W$3,0),0),3)</f>
        <v>3</v>
      </c>
      <c r="V101" s="47">
        <f ca="1">MIN(($O101*1.4+产出预期!$AC117*60)/OFFSET($J$14,MATCH(V$3,$T$3:$W$3,0),0),18)</f>
        <v>0.76984</v>
      </c>
      <c r="W101" s="47">
        <f ca="1">MIN(($O101*1.4+产出预期!$AC117*60)/OFFSET($J$14,MATCH(W$3,$T$3:$W$3,0),0),18)</f>
        <v>0.19246</v>
      </c>
      <c r="X101" s="47">
        <f ca="1" t="shared" si="20"/>
        <v>1.86072866666667</v>
      </c>
      <c r="Y101" s="47">
        <f ca="1" t="shared" si="21"/>
        <v>3.04770181194551</v>
      </c>
      <c r="Z101" s="47">
        <f ca="1" t="shared" si="22"/>
        <v>1.953125</v>
      </c>
      <c r="AA101" s="47">
        <f ca="1" t="shared" si="23"/>
        <v>1.23829076833938</v>
      </c>
      <c r="AB101" s="47">
        <f ca="1" t="shared" si="24"/>
        <v>1.03571251154686</v>
      </c>
      <c r="AC101" s="48">
        <f ca="1" t="shared" si="25"/>
        <v>14.2052021549674</v>
      </c>
      <c r="AD101" s="47">
        <f t="shared" si="18"/>
        <v>2695</v>
      </c>
      <c r="AE101" s="47">
        <f t="shared" si="26"/>
        <v>673.75</v>
      </c>
      <c r="AF101" s="47">
        <f t="shared" si="27"/>
        <v>168.4375</v>
      </c>
      <c r="AG101" s="47">
        <f t="shared" si="28"/>
        <v>42.109375</v>
      </c>
      <c r="AH101" s="47">
        <f t="shared" si="29"/>
        <v>10.52734375</v>
      </c>
      <c r="AI101" s="47">
        <f t="shared" si="30"/>
        <v>2.6318359375</v>
      </c>
      <c r="AJ101">
        <f ca="1">MIN(INT(SUM(AD101:$AI101)/OFFSET($AV$2,MATCH(AD$3,$AE$3:$AI$3,0),0)),6-SUM(AK101:$AO101))</f>
        <v>0</v>
      </c>
      <c r="AK101">
        <f ca="1">MIN(INT(SUM(AE101:$AI101)/OFFSET($AV$2,MATCH(AE$3,$AE$3:$AI$3,0),0)),6-SUM(AL101:$AO101))</f>
        <v>0</v>
      </c>
      <c r="AL101">
        <f ca="1">MIN(INT(SUM(AF101:$AI101)/OFFSET($AV$2,MATCH(AF$3,$AE$3:$AI$3,0),0)),6-SUM(AM101:$AO101))</f>
        <v>0</v>
      </c>
      <c r="AM101">
        <f ca="1">MIN(INT((SUM(AG101:$AI101)+N101*2/6)/OFFSET($AV$2,MATCH(AG$3,$AE$3:$AI$3,0),0)),6-SUM(AN101:$AO101))</f>
        <v>3</v>
      </c>
      <c r="AN101">
        <f ca="1">MIN(INT(SUM(AH101:$AI101)/OFFSET($AV$2,MATCH(AH$3,$AE$3:$AI$3,0),0)),6-SUM(AO101:$AO101))</f>
        <v>2</v>
      </c>
      <c r="AO101">
        <f ca="1">INT(SUM(AI100:$AI101)/OFFSET($AV$2,MATCH(AI$3,$AE$3:$AI$3,0),0))</f>
        <v>1</v>
      </c>
      <c r="AP101" cm="1">
        <f ca="1" t="array" ref="AP101">SUMPRODUCT(AJ101:AO101,TRANSPOSE($AS$3:$AS$8))</f>
        <v>2.26</v>
      </c>
    </row>
    <row r="102" ht="16.5" spans="14:42">
      <c r="N102" s="2">
        <v>99</v>
      </c>
      <c r="O102" s="45">
        <f>产出预期!AN118</f>
        <v>10888</v>
      </c>
      <c r="P102" s="2">
        <f ca="1">练度预期!M101</f>
        <v>30</v>
      </c>
      <c r="Q102" s="2" t="str">
        <f ca="1" t="shared" si="31"/>
        <v>橙</v>
      </c>
      <c r="R102" s="46">
        <f ca="1" t="shared" si="32"/>
        <v>0</v>
      </c>
      <c r="S102" s="47">
        <f ca="1" t="shared" si="19"/>
        <v>14.2270311111111</v>
      </c>
      <c r="T102" s="47">
        <f ca="1">MIN(1+($O102*1.4+产出预期!AC118*60)/OFFSET($J$14,MATCH(T$3,$T$3:$W$3,0),0),18)</f>
        <v>11.8008888888889</v>
      </c>
      <c r="U102" s="47">
        <f ca="1">MIN(($O102*1.4+产出预期!$AC118*60)/OFFSET($J$14,MATCH(U$3,$T$3:$W$3,0),0),3)</f>
        <v>3</v>
      </c>
      <c r="V102" s="47">
        <f ca="1">MIN(($O102*1.4+产出预期!$AC118*60)/OFFSET($J$14,MATCH(V$3,$T$3:$W$3,0),0),18)</f>
        <v>0.777664</v>
      </c>
      <c r="W102" s="47">
        <f ca="1">MIN(($O102*1.4+产出预期!$AC118*60)/OFFSET($J$14,MATCH(W$3,$T$3:$W$3,0),0),18)</f>
        <v>0.194416</v>
      </c>
      <c r="X102" s="47">
        <f ca="1" t="shared" si="20"/>
        <v>1.85362186666667</v>
      </c>
      <c r="Y102" s="47">
        <f ca="1" t="shared" si="21"/>
        <v>3.07943100674919</v>
      </c>
      <c r="Z102" s="47">
        <f ca="1" t="shared" si="22"/>
        <v>1.953125</v>
      </c>
      <c r="AA102" s="47">
        <f ca="1" t="shared" si="23"/>
        <v>1.24098349553883</v>
      </c>
      <c r="AB102" s="47">
        <f ca="1" t="shared" si="24"/>
        <v>1.0360819342103</v>
      </c>
      <c r="AC102" s="48">
        <f ca="1" t="shared" si="25"/>
        <v>14.3344742302825</v>
      </c>
      <c r="AD102" s="47">
        <f t="shared" si="18"/>
        <v>2722</v>
      </c>
      <c r="AE102" s="47">
        <f t="shared" si="26"/>
        <v>680.5</v>
      </c>
      <c r="AF102" s="47">
        <f t="shared" si="27"/>
        <v>170.125</v>
      </c>
      <c r="AG102" s="47">
        <f t="shared" si="28"/>
        <v>42.53125</v>
      </c>
      <c r="AH102" s="47">
        <f t="shared" si="29"/>
        <v>10.6328125</v>
      </c>
      <c r="AI102" s="47">
        <f t="shared" si="30"/>
        <v>2.658203125</v>
      </c>
      <c r="AJ102">
        <f ca="1">MIN(INT(SUM(AD102:$AI102)/OFFSET($AV$2,MATCH(AD$3,$AE$3:$AI$3,0),0)),6-SUM(AK102:$AO102))</f>
        <v>0</v>
      </c>
      <c r="AK102">
        <f ca="1">MIN(INT(SUM(AE102:$AI102)/OFFSET($AV$2,MATCH(AE$3,$AE$3:$AI$3,0),0)),6-SUM(AL102:$AO102))</f>
        <v>0</v>
      </c>
      <c r="AL102">
        <f ca="1">MIN(INT(SUM(AF102:$AI102)/OFFSET($AV$2,MATCH(AF$3,$AE$3:$AI$3,0),0)),6-SUM(AM102:$AO102))</f>
        <v>0</v>
      </c>
      <c r="AM102">
        <f ca="1">MIN(INT((SUM(AG102:$AI102)+N102*2/6)/OFFSET($AV$2,MATCH(AG$3,$AE$3:$AI$3,0),0)),6-SUM(AN102:$AO102))</f>
        <v>3</v>
      </c>
      <c r="AN102">
        <f ca="1">MIN(INT(SUM(AH102:$AI102)/OFFSET($AV$2,MATCH(AH$3,$AE$3:$AI$3,0),0)),6-SUM(AO102:$AO102))</f>
        <v>2</v>
      </c>
      <c r="AO102">
        <f ca="1">INT(SUM(AI101:$AI102)/OFFSET($AV$2,MATCH(AI$3,$AE$3:$AI$3,0),0))</f>
        <v>1</v>
      </c>
      <c r="AP102" cm="1">
        <f ca="1" t="array" ref="AP102">SUMPRODUCT(AJ102:AO102,TRANSPOSE($AS$3:$AS$8))</f>
        <v>2.26</v>
      </c>
    </row>
    <row r="103" ht="16.5" spans="14:42">
      <c r="N103" s="2">
        <v>100</v>
      </c>
      <c r="O103" s="45">
        <f>产出预期!AN119</f>
        <v>11001</v>
      </c>
      <c r="P103" s="2">
        <f ca="1">练度预期!M102</f>
        <v>30</v>
      </c>
      <c r="Q103" s="2" t="str">
        <f ca="1" t="shared" si="31"/>
        <v>橙</v>
      </c>
      <c r="R103" s="46">
        <f ca="1" t="shared" si="32"/>
        <v>0</v>
      </c>
      <c r="S103" s="47">
        <f ca="1" t="shared" si="19"/>
        <v>14.1246316666667</v>
      </c>
      <c r="T103" s="47">
        <f ca="1">MIN(1+($O103*1.4+产出预期!AC119*60)/OFFSET($J$14,MATCH(T$3,$T$3:$W$3,0),0),18)</f>
        <v>11.8948333333333</v>
      </c>
      <c r="U103" s="47">
        <f ca="1">MIN(($O103*1.4+产出预期!$AC119*60)/OFFSET($J$14,MATCH(U$3,$T$3:$W$3,0),0),3)</f>
        <v>3</v>
      </c>
      <c r="V103" s="47">
        <f ca="1">MIN(($O103*1.4+产出预期!$AC119*60)/OFFSET($J$14,MATCH(V$3,$T$3:$W$3,0),0),18)</f>
        <v>0.784428</v>
      </c>
      <c r="W103" s="47">
        <f ca="1">MIN(($O103*1.4+产出预期!$AC119*60)/OFFSET($J$14,MATCH(W$3,$T$3:$W$3,0),0),18)</f>
        <v>0.196107</v>
      </c>
      <c r="X103" s="47">
        <f ca="1" t="shared" si="20"/>
        <v>1.8474779</v>
      </c>
      <c r="Y103" s="47">
        <f ca="1" t="shared" si="21"/>
        <v>3.107127617462</v>
      </c>
      <c r="Z103" s="47">
        <f ca="1" t="shared" si="22"/>
        <v>1.953125</v>
      </c>
      <c r="AA103" s="47">
        <f ca="1" t="shared" si="23"/>
        <v>1.24331612931065</v>
      </c>
      <c r="AB103" s="47">
        <f ca="1" t="shared" si="24"/>
        <v>1.03640141347684</v>
      </c>
      <c r="AC103" s="48">
        <f ca="1" t="shared" si="25"/>
        <v>14.4470091046479</v>
      </c>
      <c r="AD103" s="47">
        <f t="shared" si="18"/>
        <v>2750.25</v>
      </c>
      <c r="AE103" s="47">
        <f t="shared" si="26"/>
        <v>687.5625</v>
      </c>
      <c r="AF103" s="47">
        <f t="shared" si="27"/>
        <v>171.890625</v>
      </c>
      <c r="AG103" s="47">
        <f t="shared" si="28"/>
        <v>42.97265625</v>
      </c>
      <c r="AH103" s="47">
        <f t="shared" si="29"/>
        <v>10.7431640625</v>
      </c>
      <c r="AI103" s="47">
        <f t="shared" si="30"/>
        <v>2.685791015625</v>
      </c>
      <c r="AJ103">
        <f ca="1">MIN(INT(SUM(AD103:$AI103)/OFFSET($AV$2,MATCH(AD$3,$AE$3:$AI$3,0),0)),6-SUM(AK103:$AO103))</f>
        <v>0</v>
      </c>
      <c r="AK103">
        <f ca="1">MIN(INT(SUM(AE103:$AI103)/OFFSET($AV$2,MATCH(AE$3,$AE$3:$AI$3,0),0)),6-SUM(AL103:$AO103))</f>
        <v>0</v>
      </c>
      <c r="AL103">
        <f ca="1">MIN(INT(SUM(AF103:$AI103)/OFFSET($AV$2,MATCH(AF$3,$AE$3:$AI$3,0),0)),6-SUM(AM103:$AO103))</f>
        <v>0</v>
      </c>
      <c r="AM103">
        <f ca="1">MIN(INT((SUM(AG103:$AI103)+N103*2/6)/OFFSET($AV$2,MATCH(AG$3,$AE$3:$AI$3,0),0)),6-SUM(AN103:$AO103))</f>
        <v>3</v>
      </c>
      <c r="AN103">
        <f ca="1">MIN(INT(SUM(AH103:$AI103)/OFFSET($AV$2,MATCH(AH$3,$AE$3:$AI$3,0),0)),6-SUM(AO103:$AO103))</f>
        <v>2</v>
      </c>
      <c r="AO103">
        <f ca="1">INT(SUM(AI102:$AI103)/OFFSET($AV$2,MATCH(AI$3,$AE$3:$AI$3,0),0))</f>
        <v>1</v>
      </c>
      <c r="AP103" cm="1">
        <f ca="1" t="array" ref="AP103">SUMPRODUCT(AJ103:AO103,TRANSPOSE($AS$3:$AS$8))</f>
        <v>2.26</v>
      </c>
    </row>
    <row r="104" ht="16.5" spans="14:42">
      <c r="N104" s="2">
        <v>101</v>
      </c>
      <c r="O104" s="45">
        <f>产出预期!AN120</f>
        <v>11109</v>
      </c>
      <c r="P104" s="2">
        <f ca="1">练度预期!M103</f>
        <v>30</v>
      </c>
      <c r="Q104" s="2" t="str">
        <f ca="1" t="shared" si="31"/>
        <v>橙</v>
      </c>
      <c r="R104" s="46">
        <f ca="1" t="shared" si="32"/>
        <v>0</v>
      </c>
      <c r="S104" s="47">
        <f ca="1" t="shared" si="19"/>
        <v>14.006185</v>
      </c>
      <c r="T104" s="47">
        <f ca="1">MIN(1+($O104*1.4+产出预期!AC120*60)/OFFSET($J$14,MATCH(T$3,$T$3:$W$3,0),0),18)</f>
        <v>12.0035</v>
      </c>
      <c r="U104" s="47">
        <f ca="1">MIN(($O104*1.4+产出预期!$AC120*60)/OFFSET($J$14,MATCH(U$3,$T$3:$W$3,0),0),3)</f>
        <v>3</v>
      </c>
      <c r="V104" s="47">
        <f ca="1">MIN(($O104*1.4+产出预期!$AC120*60)/OFFSET($J$14,MATCH(V$3,$T$3:$W$3,0),0),18)</f>
        <v>0.792252</v>
      </c>
      <c r="W104" s="47">
        <f ca="1">MIN(($O104*1.4+产出预期!$AC120*60)/OFFSET($J$14,MATCH(W$3,$T$3:$W$3,0),0),18)</f>
        <v>0.198063</v>
      </c>
      <c r="X104" s="47">
        <f ca="1" t="shared" si="20"/>
        <v>1.8403711</v>
      </c>
      <c r="Y104" s="47">
        <f ca="1" t="shared" si="21"/>
        <v>3.1394754859667</v>
      </c>
      <c r="Z104" s="47">
        <f ca="1" t="shared" si="22"/>
        <v>1.953125</v>
      </c>
      <c r="AA104" s="47">
        <f ca="1" t="shared" si="23"/>
        <v>1.24601978441695</v>
      </c>
      <c r="AB104" s="47">
        <f ca="1" t="shared" si="24"/>
        <v>1.03677108186096</v>
      </c>
      <c r="AC104" s="48">
        <f ca="1" t="shared" si="25"/>
        <v>14.5780808121778</v>
      </c>
      <c r="AD104" s="47">
        <f t="shared" si="18"/>
        <v>2777.25</v>
      </c>
      <c r="AE104" s="47">
        <f t="shared" si="26"/>
        <v>694.3125</v>
      </c>
      <c r="AF104" s="47">
        <f t="shared" si="27"/>
        <v>173.578125</v>
      </c>
      <c r="AG104" s="47">
        <f t="shared" si="28"/>
        <v>43.39453125</v>
      </c>
      <c r="AH104" s="47">
        <f t="shared" si="29"/>
        <v>10.8486328125</v>
      </c>
      <c r="AI104" s="47">
        <f t="shared" si="30"/>
        <v>2.712158203125</v>
      </c>
      <c r="AJ104">
        <f ca="1">MIN(INT(SUM(AD104:$AI104)/OFFSET($AV$2,MATCH(AD$3,$AE$3:$AI$3,0),0)),6-SUM(AK104:$AO104))</f>
        <v>0</v>
      </c>
      <c r="AK104">
        <f ca="1">MIN(INT(SUM(AE104:$AI104)/OFFSET($AV$2,MATCH(AE$3,$AE$3:$AI$3,0),0)),6-SUM(AL104:$AO104))</f>
        <v>0</v>
      </c>
      <c r="AL104">
        <f ca="1">MIN(INT(SUM(AF104:$AI104)/OFFSET($AV$2,MATCH(AF$3,$AE$3:$AI$3,0),0)),6-SUM(AM104:$AO104))</f>
        <v>0</v>
      </c>
      <c r="AM104">
        <f ca="1">MIN(INT((SUM(AG104:$AI104)+N104*2/6)/OFFSET($AV$2,MATCH(AG$3,$AE$3:$AI$3,0),0)),6-SUM(AN104:$AO104))</f>
        <v>3</v>
      </c>
      <c r="AN104">
        <f ca="1">MIN(INT(SUM(AH104:$AI104)/OFFSET($AV$2,MATCH(AH$3,$AE$3:$AI$3,0),0)),6-SUM(AO104:$AO104))</f>
        <v>2</v>
      </c>
      <c r="AO104">
        <f ca="1">INT(SUM(AI103:$AI104)/OFFSET($AV$2,MATCH(AI$3,$AE$3:$AI$3,0),0))</f>
        <v>1</v>
      </c>
      <c r="AP104" cm="1">
        <f ca="1" t="array" ref="AP104">SUMPRODUCT(AJ104:AO104,TRANSPOSE($AS$3:$AS$8))</f>
        <v>2.26</v>
      </c>
    </row>
    <row r="105" ht="16.5" spans="14:42">
      <c r="N105" s="2">
        <v>102</v>
      </c>
      <c r="O105" s="45">
        <f>产出预期!AN121</f>
        <v>11189</v>
      </c>
      <c r="P105" s="2">
        <f ca="1">练度预期!M104</f>
        <v>30</v>
      </c>
      <c r="Q105" s="2" t="str">
        <f ca="1" t="shared" si="31"/>
        <v>橙</v>
      </c>
      <c r="R105" s="46">
        <f ca="1" t="shared" si="32"/>
        <v>0</v>
      </c>
      <c r="S105" s="47">
        <f ca="1" t="shared" si="19"/>
        <v>13.8996072222222</v>
      </c>
      <c r="T105" s="47">
        <f ca="1">MIN(1+($O105*1.4+产出预期!AC121*60)/OFFSET($J$14,MATCH(T$3,$T$3:$W$3,0),0),18)</f>
        <v>12.1012777777778</v>
      </c>
      <c r="U105" s="47">
        <f ca="1">MIN(($O105*1.4+产出预期!$AC121*60)/OFFSET($J$14,MATCH(U$3,$T$3:$W$3,0),0),3)</f>
        <v>3</v>
      </c>
      <c r="V105" s="47">
        <f ca="1">MIN(($O105*1.4+产出预期!$AC121*60)/OFFSET($J$14,MATCH(V$3,$T$3:$W$3,0),0),18)</f>
        <v>0.799292</v>
      </c>
      <c r="W105" s="47">
        <f ca="1">MIN(($O105*1.4+产出预期!$AC121*60)/OFFSET($J$14,MATCH(W$3,$T$3:$W$3,0),0),18)</f>
        <v>0.199823</v>
      </c>
      <c r="X105" s="47">
        <f ca="1" t="shared" si="20"/>
        <v>1.83397643333333</v>
      </c>
      <c r="Y105" s="47">
        <f ca="1" t="shared" si="21"/>
        <v>3.1688696938849</v>
      </c>
      <c r="Z105" s="47">
        <f ca="1" t="shared" si="22"/>
        <v>1.953125</v>
      </c>
      <c r="AA105" s="47">
        <f ca="1" t="shared" si="23"/>
        <v>1.2484575458182</v>
      </c>
      <c r="AB105" s="47">
        <f ca="1" t="shared" si="24"/>
        <v>1.03710382050681</v>
      </c>
      <c r="AC105" s="48">
        <f ca="1" t="shared" si="25"/>
        <v>14.6968473549796</v>
      </c>
      <c r="AD105" s="47">
        <f t="shared" si="18"/>
        <v>2797.25</v>
      </c>
      <c r="AE105" s="47">
        <f t="shared" si="26"/>
        <v>699.3125</v>
      </c>
      <c r="AF105" s="47">
        <f t="shared" si="27"/>
        <v>174.828125</v>
      </c>
      <c r="AG105" s="47">
        <f t="shared" si="28"/>
        <v>43.70703125</v>
      </c>
      <c r="AH105" s="47">
        <f t="shared" si="29"/>
        <v>10.9267578125</v>
      </c>
      <c r="AI105" s="47">
        <f t="shared" si="30"/>
        <v>2.731689453125</v>
      </c>
      <c r="AJ105">
        <f ca="1">MIN(INT(SUM(AD105:$AI105)/OFFSET($AV$2,MATCH(AD$3,$AE$3:$AI$3,0),0)),6-SUM(AK105:$AO105))</f>
        <v>0</v>
      </c>
      <c r="AK105">
        <f ca="1">MIN(INT(SUM(AE105:$AI105)/OFFSET($AV$2,MATCH(AE$3,$AE$3:$AI$3,0),0)),6-SUM(AL105:$AO105))</f>
        <v>0</v>
      </c>
      <c r="AL105">
        <f ca="1">MIN(INT(SUM(AF105:$AI105)/OFFSET($AV$2,MATCH(AF$3,$AE$3:$AI$3,0),0)),6-SUM(AM105:$AO105))</f>
        <v>0</v>
      </c>
      <c r="AM105">
        <f ca="1">MIN(INT((SUM(AG105:$AI105)+N105*2/6)/OFFSET($AV$2,MATCH(AG$3,$AE$3:$AI$3,0),0)),6-SUM(AN105:$AO105))</f>
        <v>3</v>
      </c>
      <c r="AN105">
        <f ca="1">MIN(INT(SUM(AH105:$AI105)/OFFSET($AV$2,MATCH(AH$3,$AE$3:$AI$3,0),0)),6-SUM(AO105:$AO105))</f>
        <v>2</v>
      </c>
      <c r="AO105">
        <f ca="1">INT(SUM(AI104:$AI105)/OFFSET($AV$2,MATCH(AI$3,$AE$3:$AI$3,0),0))</f>
        <v>1</v>
      </c>
      <c r="AP105" cm="1">
        <f ca="1" t="array" ref="AP105">SUMPRODUCT(AJ105:AO105,TRANSPOSE($AS$3:$AS$8))</f>
        <v>2.26</v>
      </c>
    </row>
    <row r="106" ht="16.5" spans="14:42">
      <c r="N106" s="2">
        <v>103</v>
      </c>
      <c r="O106" s="45">
        <f>产出预期!AN122</f>
        <v>11302</v>
      </c>
      <c r="P106" s="2">
        <f ca="1">练度预期!M105</f>
        <v>30</v>
      </c>
      <c r="Q106" s="2" t="str">
        <f ca="1" t="shared" si="31"/>
        <v>橙</v>
      </c>
      <c r="R106" s="46">
        <f ca="1" t="shared" si="32"/>
        <v>0</v>
      </c>
      <c r="S106" s="47">
        <f ca="1" t="shared" si="19"/>
        <v>13.7972077777778</v>
      </c>
      <c r="T106" s="47">
        <f ca="1">MIN(1+($O106*1.4+产出预期!AC122*60)/OFFSET($J$14,MATCH(T$3,$T$3:$W$3,0),0),18)</f>
        <v>12.1952222222222</v>
      </c>
      <c r="U106" s="47">
        <f ca="1">MIN(($O106*1.4+产出预期!$AC122*60)/OFFSET($J$14,MATCH(U$3,$T$3:$W$3,0),0),3)</f>
        <v>3</v>
      </c>
      <c r="V106" s="47">
        <f ca="1">MIN(($O106*1.4+产出预期!$AC122*60)/OFFSET($J$14,MATCH(V$3,$T$3:$W$3,0),0),18)</f>
        <v>0.806056</v>
      </c>
      <c r="W106" s="47">
        <f ca="1">MIN(($O106*1.4+产出预期!$AC122*60)/OFFSET($J$14,MATCH(W$3,$T$3:$W$3,0),0),18)</f>
        <v>0.201514</v>
      </c>
      <c r="X106" s="47">
        <f ca="1" t="shared" si="20"/>
        <v>1.82783246666667</v>
      </c>
      <c r="Y106" s="47">
        <f ca="1" t="shared" si="21"/>
        <v>3.19737072219786</v>
      </c>
      <c r="Z106" s="47">
        <f ca="1" t="shared" si="22"/>
        <v>1.953125</v>
      </c>
      <c r="AA106" s="47">
        <f ca="1" t="shared" si="23"/>
        <v>1.25080422830392</v>
      </c>
      <c r="AB106" s="47">
        <f ca="1" t="shared" si="24"/>
        <v>1.03742361487534</v>
      </c>
      <c r="AC106" s="48">
        <f ca="1" t="shared" si="25"/>
        <v>14.81169942782</v>
      </c>
      <c r="AD106" s="47">
        <f t="shared" si="18"/>
        <v>2825.5</v>
      </c>
      <c r="AE106" s="47">
        <f t="shared" si="26"/>
        <v>706.375</v>
      </c>
      <c r="AF106" s="47">
        <f t="shared" si="27"/>
        <v>176.59375</v>
      </c>
      <c r="AG106" s="47">
        <f t="shared" si="28"/>
        <v>44.1484375</v>
      </c>
      <c r="AH106" s="47">
        <f t="shared" si="29"/>
        <v>11.037109375</v>
      </c>
      <c r="AI106" s="47">
        <f t="shared" si="30"/>
        <v>2.75927734375</v>
      </c>
      <c r="AJ106">
        <f ca="1">MIN(INT(SUM(AD106:$AI106)/OFFSET($AV$2,MATCH(AD$3,$AE$3:$AI$3,0),0)),6-SUM(AK106:$AO106))</f>
        <v>0</v>
      </c>
      <c r="AK106">
        <f ca="1">MIN(INT(SUM(AE106:$AI106)/OFFSET($AV$2,MATCH(AE$3,$AE$3:$AI$3,0),0)),6-SUM(AL106:$AO106))</f>
        <v>0</v>
      </c>
      <c r="AL106">
        <f ca="1">MIN(INT(SUM(AF106:$AI106)/OFFSET($AV$2,MATCH(AF$3,$AE$3:$AI$3,0),0)),6-SUM(AM106:$AO106))</f>
        <v>0</v>
      </c>
      <c r="AM106">
        <f ca="1">MIN(INT((SUM(AG106:$AI106)+N106*2/6)/OFFSET($AV$2,MATCH(AG$3,$AE$3:$AI$3,0),0)),6-SUM(AN106:$AO106))</f>
        <v>3</v>
      </c>
      <c r="AN106">
        <f ca="1">MIN(INT(SUM(AH106:$AI106)/OFFSET($AV$2,MATCH(AH$3,$AE$3:$AI$3,0),0)),6-SUM(AO106:$AO106))</f>
        <v>2</v>
      </c>
      <c r="AO106">
        <f ca="1">INT(SUM(AI105:$AI106)/OFFSET($AV$2,MATCH(AI$3,$AE$3:$AI$3,0),0))</f>
        <v>1</v>
      </c>
      <c r="AP106" cm="1">
        <f ca="1" t="array" ref="AP106">SUMPRODUCT(AJ106:AO106,TRANSPOSE($AS$3:$AS$8))</f>
        <v>2.26</v>
      </c>
    </row>
    <row r="107" ht="16.5" spans="14:42">
      <c r="N107" s="2">
        <v>104</v>
      </c>
      <c r="O107" s="45">
        <f>产出预期!AN123</f>
        <v>11410</v>
      </c>
      <c r="P107" s="2">
        <f ca="1">练度预期!M106</f>
        <v>30</v>
      </c>
      <c r="Q107" s="2" t="str">
        <f ca="1" t="shared" si="31"/>
        <v>橙</v>
      </c>
      <c r="R107" s="46">
        <f ca="1" t="shared" si="32"/>
        <v>0</v>
      </c>
      <c r="S107" s="47">
        <f ca="1" t="shared" si="19"/>
        <v>13.6787611111111</v>
      </c>
      <c r="T107" s="47">
        <f ca="1">MIN(1+($O107*1.4+产出预期!AC123*60)/OFFSET($J$14,MATCH(T$3,$T$3:$W$3,0),0),18)</f>
        <v>12.3038888888889</v>
      </c>
      <c r="U107" s="47">
        <f ca="1">MIN(($O107*1.4+产出预期!$AC123*60)/OFFSET($J$14,MATCH(U$3,$T$3:$W$3,0),0),3)</f>
        <v>3</v>
      </c>
      <c r="V107" s="47">
        <f ca="1">MIN(($O107*1.4+产出预期!$AC123*60)/OFFSET($J$14,MATCH(V$3,$T$3:$W$3,0),0),18)</f>
        <v>0.81388</v>
      </c>
      <c r="W107" s="47">
        <f ca="1">MIN(($O107*1.4+产出预期!$AC123*60)/OFFSET($J$14,MATCH(W$3,$T$3:$W$3,0),0),18)</f>
        <v>0.20347</v>
      </c>
      <c r="X107" s="47">
        <f ca="1" t="shared" si="20"/>
        <v>1.82072566666667</v>
      </c>
      <c r="Y107" s="47">
        <f ca="1" t="shared" si="21"/>
        <v>3.23065809897027</v>
      </c>
      <c r="Z107" s="47">
        <f ca="1" t="shared" si="22"/>
        <v>1.953125</v>
      </c>
      <c r="AA107" s="47">
        <f ca="1" t="shared" si="23"/>
        <v>1.25352416666803</v>
      </c>
      <c r="AB107" s="47">
        <f ca="1" t="shared" si="24"/>
        <v>1.03779364786292</v>
      </c>
      <c r="AC107" s="48">
        <f ca="1" t="shared" si="25"/>
        <v>14.9454594912855</v>
      </c>
      <c r="AD107" s="47">
        <f t="shared" si="18"/>
        <v>2852.5</v>
      </c>
      <c r="AE107" s="47">
        <f t="shared" si="26"/>
        <v>713.125</v>
      </c>
      <c r="AF107" s="47">
        <f t="shared" si="27"/>
        <v>178.28125</v>
      </c>
      <c r="AG107" s="47">
        <f t="shared" si="28"/>
        <v>44.5703125</v>
      </c>
      <c r="AH107" s="47">
        <f t="shared" si="29"/>
        <v>11.142578125</v>
      </c>
      <c r="AI107" s="47">
        <f t="shared" si="30"/>
        <v>2.78564453125</v>
      </c>
      <c r="AJ107">
        <f ca="1">MIN(INT(SUM(AD107:$AI107)/OFFSET($AV$2,MATCH(AD$3,$AE$3:$AI$3,0),0)),6-SUM(AK107:$AO107))</f>
        <v>0</v>
      </c>
      <c r="AK107">
        <f ca="1">MIN(INT(SUM(AE107:$AI107)/OFFSET($AV$2,MATCH(AE$3,$AE$3:$AI$3,0),0)),6-SUM(AL107:$AO107))</f>
        <v>0</v>
      </c>
      <c r="AL107">
        <f ca="1">MIN(INT(SUM(AF107:$AI107)/OFFSET($AV$2,MATCH(AF$3,$AE$3:$AI$3,0),0)),6-SUM(AM107:$AO107))</f>
        <v>0</v>
      </c>
      <c r="AM107">
        <f ca="1">MIN(INT((SUM(AG107:$AI107)+N107*2/6)/OFFSET($AV$2,MATCH(AG$3,$AE$3:$AI$3,0),0)),6-SUM(AN107:$AO107))</f>
        <v>3</v>
      </c>
      <c r="AN107">
        <f ca="1">MIN(INT(SUM(AH107:$AI107)/OFFSET($AV$2,MATCH(AH$3,$AE$3:$AI$3,0),0)),6-SUM(AO107:$AO107))</f>
        <v>2</v>
      </c>
      <c r="AO107">
        <f ca="1">INT(SUM(AI106:$AI107)/OFFSET($AV$2,MATCH(AI$3,$AE$3:$AI$3,0),0))</f>
        <v>1</v>
      </c>
      <c r="AP107" cm="1">
        <f ca="1" t="array" ref="AP107">SUMPRODUCT(AJ107:AO107,TRANSPOSE($AS$3:$AS$8))</f>
        <v>2.26</v>
      </c>
    </row>
    <row r="108" ht="16.5" spans="14:42">
      <c r="N108" s="2">
        <v>105</v>
      </c>
      <c r="O108" s="45">
        <f>产出预期!AN124</f>
        <v>11523</v>
      </c>
      <c r="P108" s="2">
        <f ca="1">练度预期!M107</f>
        <v>30</v>
      </c>
      <c r="Q108" s="2" t="str">
        <f ca="1" t="shared" si="31"/>
        <v>橙</v>
      </c>
      <c r="R108" s="46">
        <f ca="1" t="shared" si="32"/>
        <v>0</v>
      </c>
      <c r="S108" s="47">
        <f ca="1" t="shared" si="19"/>
        <v>13.5763616666667</v>
      </c>
      <c r="T108" s="47">
        <f ca="1">MIN(1+($O108*1.4+产出预期!AC124*60)/OFFSET($J$14,MATCH(T$3,$T$3:$W$3,0),0),18)</f>
        <v>12.3978333333333</v>
      </c>
      <c r="U108" s="47">
        <f ca="1">MIN(($O108*1.4+产出预期!$AC124*60)/OFFSET($J$14,MATCH(U$3,$T$3:$W$3,0),0),3)</f>
        <v>3</v>
      </c>
      <c r="V108" s="47">
        <f ca="1">MIN(($O108*1.4+产出预期!$AC124*60)/OFFSET($J$14,MATCH(V$3,$T$3:$W$3,0),0),18)</f>
        <v>0.820644</v>
      </c>
      <c r="W108" s="47">
        <f ca="1">MIN(($O108*1.4+产出预期!$AC124*60)/OFFSET($J$14,MATCH(W$3,$T$3:$W$3,0),0),18)</f>
        <v>0.205161</v>
      </c>
      <c r="X108" s="47">
        <f ca="1" t="shared" si="20"/>
        <v>1.8145817</v>
      </c>
      <c r="Y108" s="47">
        <f ca="1" t="shared" si="21"/>
        <v>3.25971485637683</v>
      </c>
      <c r="Z108" s="47">
        <f ca="1" t="shared" si="22"/>
        <v>1.953125</v>
      </c>
      <c r="AA108" s="47">
        <f ca="1" t="shared" si="23"/>
        <v>1.2558803727058</v>
      </c>
      <c r="AB108" s="47">
        <f ca="1" t="shared" si="24"/>
        <v>1.03811365494198</v>
      </c>
      <c r="AC108" s="48">
        <f ca="1" t="shared" si="25"/>
        <v>15.0618859365872</v>
      </c>
      <c r="AD108" s="47">
        <f t="shared" si="18"/>
        <v>2880.75</v>
      </c>
      <c r="AE108" s="47">
        <f t="shared" si="26"/>
        <v>720.1875</v>
      </c>
      <c r="AF108" s="47">
        <f t="shared" si="27"/>
        <v>180.046875</v>
      </c>
      <c r="AG108" s="47">
        <f t="shared" si="28"/>
        <v>45.01171875</v>
      </c>
      <c r="AH108" s="47">
        <f t="shared" si="29"/>
        <v>11.2529296875</v>
      </c>
      <c r="AI108" s="47">
        <f t="shared" si="30"/>
        <v>2.813232421875</v>
      </c>
      <c r="AJ108">
        <f ca="1">MIN(INT(SUM(AD108:$AI108)/OFFSET($AV$2,MATCH(AD$3,$AE$3:$AI$3,0),0)),6-SUM(AK108:$AO108))</f>
        <v>0</v>
      </c>
      <c r="AK108">
        <f ca="1">MIN(INT(SUM(AE108:$AI108)/OFFSET($AV$2,MATCH(AE$3,$AE$3:$AI$3,0),0)),6-SUM(AL108:$AO108))</f>
        <v>0</v>
      </c>
      <c r="AL108">
        <f ca="1">MIN(INT(SUM(AF108:$AI108)/OFFSET($AV$2,MATCH(AF$3,$AE$3:$AI$3,0),0)),6-SUM(AM108:$AO108))</f>
        <v>0</v>
      </c>
      <c r="AM108">
        <f ca="1">MIN(INT((SUM(AG108:$AI108)+N108*2/6)/OFFSET($AV$2,MATCH(AG$3,$AE$3:$AI$3,0),0)),6-SUM(AN108:$AO108))</f>
        <v>3</v>
      </c>
      <c r="AN108">
        <f ca="1">MIN(INT(SUM(AH108:$AI108)/OFFSET($AV$2,MATCH(AH$3,$AE$3:$AI$3,0),0)),6-SUM(AO108:$AO108))</f>
        <v>2</v>
      </c>
      <c r="AO108">
        <f ca="1">INT(SUM(AI107:$AI108)/OFFSET($AV$2,MATCH(AI$3,$AE$3:$AI$3,0),0))</f>
        <v>1</v>
      </c>
      <c r="AP108" cm="1">
        <f ca="1" t="array" ref="AP108">SUMPRODUCT(AJ108:AO108,TRANSPOSE($AS$3:$AS$8))</f>
        <v>2.26</v>
      </c>
    </row>
    <row r="109" ht="16.5" spans="14:42">
      <c r="N109" s="2">
        <v>106</v>
      </c>
      <c r="O109" s="45">
        <f>产出预期!AN125</f>
        <v>11631</v>
      </c>
      <c r="P109" s="2">
        <f ca="1">练度预期!M108</f>
        <v>30</v>
      </c>
      <c r="Q109" s="2" t="str">
        <f ca="1" t="shared" si="31"/>
        <v>橙</v>
      </c>
      <c r="R109" s="46">
        <f ca="1" t="shared" si="32"/>
        <v>0</v>
      </c>
      <c r="S109" s="47">
        <f ca="1" t="shared" si="19"/>
        <v>13.457915</v>
      </c>
      <c r="T109" s="47">
        <f ca="1">MIN(1+($O109*1.4+产出预期!AC125*60)/OFFSET($J$14,MATCH(T$3,$T$3:$W$3,0),0),18)</f>
        <v>12.5065</v>
      </c>
      <c r="U109" s="47">
        <f ca="1">MIN(($O109*1.4+产出预期!$AC125*60)/OFFSET($J$14,MATCH(U$3,$T$3:$W$3,0),0),3)</f>
        <v>3</v>
      </c>
      <c r="V109" s="47">
        <f ca="1">MIN(($O109*1.4+产出预期!$AC125*60)/OFFSET($J$14,MATCH(V$3,$T$3:$W$3,0),0),18)</f>
        <v>0.828468</v>
      </c>
      <c r="W109" s="47">
        <f ca="1">MIN(($O109*1.4+产出预期!$AC125*60)/OFFSET($J$14,MATCH(W$3,$T$3:$W$3,0),0),18)</f>
        <v>0.207117</v>
      </c>
      <c r="X109" s="47">
        <f ca="1" t="shared" si="20"/>
        <v>1.8074749</v>
      </c>
      <c r="Y109" s="47">
        <f ca="1" t="shared" si="21"/>
        <v>3.29365128915941</v>
      </c>
      <c r="Z109" s="47">
        <f ca="1" t="shared" si="22"/>
        <v>1.953125</v>
      </c>
      <c r="AA109" s="47">
        <f ca="1" t="shared" si="23"/>
        <v>1.25861134940796</v>
      </c>
      <c r="AB109" s="47">
        <f ca="1" t="shared" si="24"/>
        <v>1.0384839340562</v>
      </c>
      <c r="AC109" s="48">
        <f ca="1" t="shared" si="25"/>
        <v>15.1974721708188</v>
      </c>
      <c r="AD109" s="47">
        <f t="shared" si="18"/>
        <v>2907.75</v>
      </c>
      <c r="AE109" s="47">
        <f t="shared" si="26"/>
        <v>726.9375</v>
      </c>
      <c r="AF109" s="47">
        <f t="shared" si="27"/>
        <v>181.734375</v>
      </c>
      <c r="AG109" s="47">
        <f t="shared" si="28"/>
        <v>45.43359375</v>
      </c>
      <c r="AH109" s="47">
        <f t="shared" si="29"/>
        <v>11.3583984375</v>
      </c>
      <c r="AI109" s="47">
        <f t="shared" si="30"/>
        <v>2.839599609375</v>
      </c>
      <c r="AJ109">
        <f ca="1">MIN(INT(SUM(AD109:$AI109)/OFFSET($AV$2,MATCH(AD$3,$AE$3:$AI$3,0),0)),6-SUM(AK109:$AO109))</f>
        <v>0</v>
      </c>
      <c r="AK109">
        <f ca="1">MIN(INT(SUM(AE109:$AI109)/OFFSET($AV$2,MATCH(AE$3,$AE$3:$AI$3,0),0)),6-SUM(AL109:$AO109))</f>
        <v>0</v>
      </c>
      <c r="AL109">
        <f ca="1">MIN(INT(SUM(AF109:$AI109)/OFFSET($AV$2,MATCH(AF$3,$AE$3:$AI$3,0),0)),6-SUM(AM109:$AO109))</f>
        <v>0</v>
      </c>
      <c r="AM109">
        <f ca="1">MIN(INT((SUM(AG109:$AI109)+N109*2/6)/OFFSET($AV$2,MATCH(AG$3,$AE$3:$AI$3,0),0)),6-SUM(AN109:$AO109))</f>
        <v>3</v>
      </c>
      <c r="AN109">
        <f ca="1">MIN(INT(SUM(AH109:$AI109)/OFFSET($AV$2,MATCH(AH$3,$AE$3:$AI$3,0),0)),6-SUM(AO109:$AO109))</f>
        <v>2</v>
      </c>
      <c r="AO109">
        <f ca="1">INT(SUM(AI108:$AI109)/OFFSET($AV$2,MATCH(AI$3,$AE$3:$AI$3,0),0))</f>
        <v>1</v>
      </c>
      <c r="AP109" cm="1">
        <f ca="1" t="array" ref="AP109">SUMPRODUCT(AJ109:AO109,TRANSPOSE($AS$3:$AS$8))</f>
        <v>2.26</v>
      </c>
    </row>
    <row r="110" ht="16.5" spans="14:42">
      <c r="N110" s="2">
        <v>107</v>
      </c>
      <c r="O110" s="45">
        <f>产出预期!AN126</f>
        <v>11744</v>
      </c>
      <c r="P110" s="2">
        <f ca="1">练度预期!M109</f>
        <v>30</v>
      </c>
      <c r="Q110" s="2" t="str">
        <f ca="1" t="shared" si="31"/>
        <v>橙</v>
      </c>
      <c r="R110" s="46">
        <f ca="1" t="shared" si="32"/>
        <v>0</v>
      </c>
      <c r="S110" s="47">
        <f ca="1" t="shared" si="19"/>
        <v>13.3555155555556</v>
      </c>
      <c r="T110" s="47">
        <f ca="1">MIN(1+($O110*1.4+产出预期!AC126*60)/OFFSET($J$14,MATCH(T$3,$T$3:$W$3,0),0),18)</f>
        <v>12.6004444444444</v>
      </c>
      <c r="U110" s="47">
        <f ca="1">MIN(($O110*1.4+产出预期!$AC126*60)/OFFSET($J$14,MATCH(U$3,$T$3:$W$3,0),0),3)</f>
        <v>3</v>
      </c>
      <c r="V110" s="47">
        <f ca="1">MIN(($O110*1.4+产出预期!$AC126*60)/OFFSET($J$14,MATCH(V$3,$T$3:$W$3,0),0),18)</f>
        <v>0.835232</v>
      </c>
      <c r="W110" s="47">
        <f ca="1">MIN(($O110*1.4+产出预期!$AC126*60)/OFFSET($J$14,MATCH(W$3,$T$3:$W$3,0),0),18)</f>
        <v>0.208808</v>
      </c>
      <c r="X110" s="47">
        <f ca="1" t="shared" si="20"/>
        <v>1.80133093333333</v>
      </c>
      <c r="Y110" s="47">
        <f ca="1" t="shared" si="21"/>
        <v>3.32327461157828</v>
      </c>
      <c r="Z110" s="47">
        <f ca="1" t="shared" si="22"/>
        <v>1.953125</v>
      </c>
      <c r="AA110" s="47">
        <f ca="1" t="shared" si="23"/>
        <v>1.26097711764724</v>
      </c>
      <c r="AB110" s="47">
        <f ca="1" t="shared" si="24"/>
        <v>1.03880415398727</v>
      </c>
      <c r="AC110" s="48">
        <f ca="1" t="shared" si="25"/>
        <v>15.31548164301</v>
      </c>
      <c r="AD110" s="47">
        <f t="shared" si="18"/>
        <v>2936</v>
      </c>
      <c r="AE110" s="47">
        <f t="shared" si="26"/>
        <v>734</v>
      </c>
      <c r="AF110" s="47">
        <f t="shared" si="27"/>
        <v>183.5</v>
      </c>
      <c r="AG110" s="47">
        <f t="shared" si="28"/>
        <v>45.875</v>
      </c>
      <c r="AH110" s="47">
        <f t="shared" si="29"/>
        <v>11.46875</v>
      </c>
      <c r="AI110" s="47">
        <f t="shared" si="30"/>
        <v>2.8671875</v>
      </c>
      <c r="AJ110">
        <f ca="1">MIN(INT(SUM(AD110:$AI110)/OFFSET($AV$2,MATCH(AD$3,$AE$3:$AI$3,0),0)),6-SUM(AK110:$AO110))</f>
        <v>0</v>
      </c>
      <c r="AK110">
        <f ca="1">MIN(INT(SUM(AE110:$AI110)/OFFSET($AV$2,MATCH(AE$3,$AE$3:$AI$3,0),0)),6-SUM(AL110:$AO110))</f>
        <v>0</v>
      </c>
      <c r="AL110">
        <f ca="1">MIN(INT(SUM(AF110:$AI110)/OFFSET($AV$2,MATCH(AF$3,$AE$3:$AI$3,0),0)),6-SUM(AM110:$AO110))</f>
        <v>0</v>
      </c>
      <c r="AM110">
        <f ca="1">MIN(INT((SUM(AG110:$AI110)+N110*2/6)/OFFSET($AV$2,MATCH(AG$3,$AE$3:$AI$3,0),0)),6-SUM(AN110:$AO110))</f>
        <v>3</v>
      </c>
      <c r="AN110">
        <f ca="1">MIN(INT(SUM(AH110:$AI110)/OFFSET($AV$2,MATCH(AH$3,$AE$3:$AI$3,0),0)),6-SUM(AO110:$AO110))</f>
        <v>2</v>
      </c>
      <c r="AO110">
        <f ca="1">INT(SUM(AI109:$AI110)/OFFSET($AV$2,MATCH(AI$3,$AE$3:$AI$3,0),0))</f>
        <v>1</v>
      </c>
      <c r="AP110" cm="1">
        <f ca="1" t="array" ref="AP110">SUMPRODUCT(AJ110:AO110,TRANSPOSE($AS$3:$AS$8))</f>
        <v>2.26</v>
      </c>
    </row>
    <row r="111" ht="16.5" spans="14:42">
      <c r="N111" s="2">
        <v>108</v>
      </c>
      <c r="O111" s="45">
        <f>产出预期!AN127</f>
        <v>11824</v>
      </c>
      <c r="P111" s="2">
        <f ca="1">练度预期!M110</f>
        <v>30</v>
      </c>
      <c r="Q111" s="2" t="str">
        <f ca="1" t="shared" si="31"/>
        <v>橙</v>
      </c>
      <c r="R111" s="46">
        <f ca="1" t="shared" si="32"/>
        <v>0</v>
      </c>
      <c r="S111" s="47">
        <f ca="1" t="shared" si="19"/>
        <v>13.2489377777778</v>
      </c>
      <c r="T111" s="47">
        <f ca="1">MIN(1+($O111*1.4+产出预期!AC127*60)/OFFSET($J$14,MATCH(T$3,$T$3:$W$3,0),0),18)</f>
        <v>12.6982222222222</v>
      </c>
      <c r="U111" s="47">
        <f ca="1">MIN(($O111*1.4+产出预期!$AC127*60)/OFFSET($J$14,MATCH(U$3,$T$3:$W$3,0),0),3)</f>
        <v>3</v>
      </c>
      <c r="V111" s="47">
        <f ca="1">MIN(($O111*1.4+产出预期!$AC127*60)/OFFSET($J$14,MATCH(V$3,$T$3:$W$3,0),0),18)</f>
        <v>0.842272</v>
      </c>
      <c r="W111" s="47">
        <f ca="1">MIN(($O111*1.4+产出预期!$AC127*60)/OFFSET($J$14,MATCH(W$3,$T$3:$W$3,0),0),18)</f>
        <v>0.210568</v>
      </c>
      <c r="X111" s="47">
        <f ca="1" t="shared" si="20"/>
        <v>1.79493626666667</v>
      </c>
      <c r="Y111" s="47">
        <f ca="1" t="shared" si="21"/>
        <v>3.35438968966653</v>
      </c>
      <c r="Z111" s="47">
        <f ca="1" t="shared" si="22"/>
        <v>1.953125</v>
      </c>
      <c r="AA111" s="47">
        <f ca="1" t="shared" si="23"/>
        <v>1.26344414215496</v>
      </c>
      <c r="AB111" s="47">
        <f ca="1" t="shared" si="24"/>
        <v>1.03913754512206</v>
      </c>
      <c r="AC111" s="48">
        <f ca="1" t="shared" si="25"/>
        <v>15.4390889346366</v>
      </c>
      <c r="AD111" s="47">
        <f t="shared" si="18"/>
        <v>2956</v>
      </c>
      <c r="AE111" s="47">
        <f t="shared" si="26"/>
        <v>739</v>
      </c>
      <c r="AF111" s="47">
        <f t="shared" si="27"/>
        <v>184.75</v>
      </c>
      <c r="AG111" s="47">
        <f t="shared" si="28"/>
        <v>46.1875</v>
      </c>
      <c r="AH111" s="47">
        <f t="shared" si="29"/>
        <v>11.546875</v>
      </c>
      <c r="AI111" s="47">
        <f t="shared" si="30"/>
        <v>2.88671875</v>
      </c>
      <c r="AJ111">
        <f ca="1">MIN(INT(SUM(AD111:$AI111)/OFFSET($AV$2,MATCH(AD$3,$AE$3:$AI$3,0),0)),6-SUM(AK111:$AO111))</f>
        <v>0</v>
      </c>
      <c r="AK111">
        <f ca="1">MIN(INT(SUM(AE111:$AI111)/OFFSET($AV$2,MATCH(AE$3,$AE$3:$AI$3,0),0)),6-SUM(AL111:$AO111))</f>
        <v>0</v>
      </c>
      <c r="AL111">
        <f ca="1">MIN(INT(SUM(AF111:$AI111)/OFFSET($AV$2,MATCH(AF$3,$AE$3:$AI$3,0),0)),6-SUM(AM111:$AO111))</f>
        <v>0</v>
      </c>
      <c r="AM111">
        <f ca="1">MIN(INT((SUM(AG111:$AI111)+N111*2/6)/OFFSET($AV$2,MATCH(AG$3,$AE$3:$AI$3,0),0)),6-SUM(AN111:$AO111))</f>
        <v>3</v>
      </c>
      <c r="AN111">
        <f ca="1">MIN(INT(SUM(AH111:$AI111)/OFFSET($AV$2,MATCH(AH$3,$AE$3:$AI$3,0),0)),6-SUM(AO111:$AO111))</f>
        <v>2</v>
      </c>
      <c r="AO111">
        <f ca="1">INT(SUM(AI110:$AI111)/OFFSET($AV$2,MATCH(AI$3,$AE$3:$AI$3,0),0))</f>
        <v>1</v>
      </c>
      <c r="AP111" cm="1">
        <f ca="1" t="array" ref="AP111">SUMPRODUCT(AJ111:AO111,TRANSPOSE($AS$3:$AS$8))</f>
        <v>2.26</v>
      </c>
    </row>
    <row r="112" ht="16.5" spans="14:42">
      <c r="N112" s="2">
        <v>109</v>
      </c>
      <c r="O112" s="45">
        <f>产出预期!AN128</f>
        <v>11937</v>
      </c>
      <c r="P112" s="2">
        <f ca="1">练度预期!M111</f>
        <v>30</v>
      </c>
      <c r="Q112" s="2" t="str">
        <f ca="1" t="shared" si="31"/>
        <v>橙</v>
      </c>
      <c r="R112" s="46">
        <f ca="1" t="shared" si="32"/>
        <v>0</v>
      </c>
      <c r="S112" s="47">
        <f ca="1" t="shared" si="19"/>
        <v>13.1465383333333</v>
      </c>
      <c r="T112" s="47">
        <f ca="1">MIN(1+($O112*1.4+产出预期!AC128*60)/OFFSET($J$14,MATCH(T$3,$T$3:$W$3,0),0),18)</f>
        <v>12.7921666666667</v>
      </c>
      <c r="U112" s="47">
        <f ca="1">MIN(($O112*1.4+产出预期!$AC128*60)/OFFSET($J$14,MATCH(U$3,$T$3:$W$3,0),0),3)</f>
        <v>3</v>
      </c>
      <c r="V112" s="47">
        <f ca="1">MIN(($O112*1.4+产出预期!$AC128*60)/OFFSET($J$14,MATCH(V$3,$T$3:$W$3,0),0),18)</f>
        <v>0.849036</v>
      </c>
      <c r="W112" s="47">
        <f ca="1">MIN(($O112*1.4+产出预期!$AC128*60)/OFFSET($J$14,MATCH(W$3,$T$3:$W$3,0),0),18)</f>
        <v>0.212259</v>
      </c>
      <c r="X112" s="47">
        <f ca="1" t="shared" si="20"/>
        <v>1.7887923</v>
      </c>
      <c r="Y112" s="47">
        <f ca="1" t="shared" si="21"/>
        <v>3.38455929736683</v>
      </c>
      <c r="Z112" s="47">
        <f ca="1" t="shared" si="22"/>
        <v>1.953125</v>
      </c>
      <c r="AA112" s="47">
        <f ca="1" t="shared" si="23"/>
        <v>1.26581899442768</v>
      </c>
      <c r="AB112" s="47">
        <f ca="1" t="shared" si="24"/>
        <v>1.03945796659626</v>
      </c>
      <c r="AC112" s="48">
        <f ca="1" t="shared" si="25"/>
        <v>15.5586038657822</v>
      </c>
      <c r="AD112" s="47">
        <f t="shared" si="18"/>
        <v>2984.25</v>
      </c>
      <c r="AE112" s="47">
        <f t="shared" si="26"/>
        <v>746.0625</v>
      </c>
      <c r="AF112" s="47">
        <f t="shared" si="27"/>
        <v>186.515625</v>
      </c>
      <c r="AG112" s="47">
        <f t="shared" si="28"/>
        <v>46.62890625</v>
      </c>
      <c r="AH112" s="47">
        <f t="shared" si="29"/>
        <v>11.6572265625</v>
      </c>
      <c r="AI112" s="47">
        <f t="shared" si="30"/>
        <v>2.914306640625</v>
      </c>
      <c r="AJ112">
        <f ca="1">MIN(INT(SUM(AD112:$AI112)/OFFSET($AV$2,MATCH(AD$3,$AE$3:$AI$3,0),0)),6-SUM(AK112:$AO112))</f>
        <v>0</v>
      </c>
      <c r="AK112">
        <f ca="1">MIN(INT(SUM(AE112:$AI112)/OFFSET($AV$2,MATCH(AE$3,$AE$3:$AI$3,0),0)),6-SUM(AL112:$AO112))</f>
        <v>0</v>
      </c>
      <c r="AL112">
        <f ca="1">MIN(INT(SUM(AF112:$AI112)/OFFSET($AV$2,MATCH(AF$3,$AE$3:$AI$3,0),0)),6-SUM(AM112:$AO112))</f>
        <v>0</v>
      </c>
      <c r="AM112">
        <f ca="1">MIN(INT((SUM(AG112:$AI112)+N112*2/6)/OFFSET($AV$2,MATCH(AG$3,$AE$3:$AI$3,0),0)),6-SUM(AN112:$AO112))</f>
        <v>3</v>
      </c>
      <c r="AN112">
        <f ca="1">MIN(INT(SUM(AH112:$AI112)/OFFSET($AV$2,MATCH(AH$3,$AE$3:$AI$3,0),0)),6-SUM(AO112:$AO112))</f>
        <v>2</v>
      </c>
      <c r="AO112">
        <f ca="1">INT(SUM(AI111:$AI112)/OFFSET($AV$2,MATCH(AI$3,$AE$3:$AI$3,0),0))</f>
        <v>1</v>
      </c>
      <c r="AP112" cm="1">
        <f ca="1" t="array" ref="AP112">SUMPRODUCT(AJ112:AO112,TRANSPOSE($AS$3:$AS$8))</f>
        <v>2.26</v>
      </c>
    </row>
    <row r="113" ht="16.5" spans="14:42">
      <c r="N113" s="2">
        <v>110</v>
      </c>
      <c r="O113" s="45">
        <f>产出预期!AN129</f>
        <v>12045</v>
      </c>
      <c r="P113" s="2">
        <f ca="1">练度预期!M112</f>
        <v>30</v>
      </c>
      <c r="Q113" s="2" t="str">
        <f ca="1" t="shared" si="31"/>
        <v>橙</v>
      </c>
      <c r="R113" s="46">
        <f ca="1" t="shared" si="32"/>
        <v>0</v>
      </c>
      <c r="S113" s="47">
        <f ca="1" t="shared" si="19"/>
        <v>13.0280916666667</v>
      </c>
      <c r="T113" s="47">
        <f ca="1">MIN(1+($O113*1.4+产出预期!AC129*60)/OFFSET($J$14,MATCH(T$3,$T$3:$W$3,0),0),18)</f>
        <v>12.9008333333333</v>
      </c>
      <c r="U113" s="47">
        <f ca="1">MIN(($O113*1.4+产出预期!$AC129*60)/OFFSET($J$14,MATCH(U$3,$T$3:$W$3,0),0),3)</f>
        <v>3</v>
      </c>
      <c r="V113" s="47">
        <f ca="1">MIN(($O113*1.4+产出预期!$AC129*60)/OFFSET($J$14,MATCH(V$3,$T$3:$W$3,0),0),18)</f>
        <v>0.85686</v>
      </c>
      <c r="W113" s="47">
        <f ca="1">MIN(($O113*1.4+产出预期!$AC129*60)/OFFSET($J$14,MATCH(W$3,$T$3:$W$3,0),0),18)</f>
        <v>0.214215</v>
      </c>
      <c r="X113" s="47">
        <f ca="1" t="shared" si="20"/>
        <v>1.7816855</v>
      </c>
      <c r="Y113" s="47">
        <f ca="1" t="shared" si="21"/>
        <v>3.41979546806104</v>
      </c>
      <c r="Z113" s="47">
        <f ca="1" t="shared" si="22"/>
        <v>1.953125</v>
      </c>
      <c r="AA113" s="47">
        <f ca="1" t="shared" si="23"/>
        <v>1.26857158317584</v>
      </c>
      <c r="AB113" s="47">
        <f ca="1" t="shared" si="24"/>
        <v>1.03982872520569</v>
      </c>
      <c r="AC113" s="48">
        <f ca="1" t="shared" si="25"/>
        <v>15.6977716170108</v>
      </c>
      <c r="AD113" s="47">
        <f t="shared" si="18"/>
        <v>3011.25</v>
      </c>
      <c r="AE113" s="47">
        <f t="shared" si="26"/>
        <v>752.8125</v>
      </c>
      <c r="AF113" s="47">
        <f t="shared" si="27"/>
        <v>188.203125</v>
      </c>
      <c r="AG113" s="47">
        <f t="shared" si="28"/>
        <v>47.05078125</v>
      </c>
      <c r="AH113" s="47">
        <f t="shared" si="29"/>
        <v>11.7626953125</v>
      </c>
      <c r="AI113" s="47">
        <f t="shared" si="30"/>
        <v>2.940673828125</v>
      </c>
      <c r="AJ113">
        <f ca="1">MIN(INT(SUM(AD113:$AI113)/OFFSET($AV$2,MATCH(AD$3,$AE$3:$AI$3,0),0)),6-SUM(AK113:$AO113))</f>
        <v>0</v>
      </c>
      <c r="AK113">
        <f ca="1">MIN(INT(SUM(AE113:$AI113)/OFFSET($AV$2,MATCH(AE$3,$AE$3:$AI$3,0),0)),6-SUM(AL113:$AO113))</f>
        <v>0</v>
      </c>
      <c r="AL113">
        <f ca="1">MIN(INT(SUM(AF113:$AI113)/OFFSET($AV$2,MATCH(AF$3,$AE$3:$AI$3,0),0)),6-SUM(AM113:$AO113))</f>
        <v>0</v>
      </c>
      <c r="AM113">
        <f ca="1">MIN(INT((SUM(AG113:$AI113)+N113*2/6)/OFFSET($AV$2,MATCH(AG$3,$AE$3:$AI$3,0),0)),6-SUM(AN113:$AO113))</f>
        <v>3</v>
      </c>
      <c r="AN113">
        <f ca="1">MIN(INT(SUM(AH113:$AI113)/OFFSET($AV$2,MATCH(AH$3,$AE$3:$AI$3,0),0)),6-SUM(AO113:$AO113))</f>
        <v>2</v>
      </c>
      <c r="AO113">
        <f ca="1">INT(SUM(AI112:$AI113)/OFFSET($AV$2,MATCH(AI$3,$AE$3:$AI$3,0),0))</f>
        <v>1</v>
      </c>
      <c r="AP113" cm="1">
        <f ca="1" t="array" ref="AP113">SUMPRODUCT(AJ113:AO113,TRANSPOSE($AS$3:$AS$8))</f>
        <v>2.26</v>
      </c>
    </row>
    <row r="114" ht="16.5" spans="14:42">
      <c r="N114" s="2">
        <v>111</v>
      </c>
      <c r="O114" s="45">
        <f>产出预期!AN130</f>
        <v>12158</v>
      </c>
      <c r="P114" s="2">
        <f ca="1">练度预期!M113</f>
        <v>30</v>
      </c>
      <c r="Q114" s="2" t="str">
        <f ca="1" t="shared" si="31"/>
        <v>橙</v>
      </c>
      <c r="R114" s="46">
        <f ca="1" t="shared" si="32"/>
        <v>0</v>
      </c>
      <c r="S114" s="47">
        <f ca="1" t="shared" si="19"/>
        <v>12.9256922222222</v>
      </c>
      <c r="T114" s="47">
        <f ca="1">MIN(1+($O114*1.4+产出预期!AC130*60)/OFFSET($J$14,MATCH(T$3,$T$3:$W$3,0),0),18)</f>
        <v>12.9947777777778</v>
      </c>
      <c r="U114" s="47">
        <f ca="1">MIN(($O114*1.4+产出预期!$AC130*60)/OFFSET($J$14,MATCH(U$3,$T$3:$W$3,0),0),3)</f>
        <v>3</v>
      </c>
      <c r="V114" s="47">
        <f ca="1">MIN(($O114*1.4+产出预期!$AC130*60)/OFFSET($J$14,MATCH(V$3,$T$3:$W$3,0),0),18)</f>
        <v>0.863624</v>
      </c>
      <c r="W114" s="47">
        <f ca="1">MIN(($O114*1.4+产出预期!$AC130*60)/OFFSET($J$14,MATCH(W$3,$T$3:$W$3,0),0),18)</f>
        <v>0.215906</v>
      </c>
      <c r="X114" s="47">
        <f ca="1" t="shared" si="20"/>
        <v>1.77554153333333</v>
      </c>
      <c r="Y114" s="47">
        <f ca="1" t="shared" si="21"/>
        <v>3.4505533397551</v>
      </c>
      <c r="Z114" s="47">
        <f ca="1" t="shared" si="22"/>
        <v>1.953125</v>
      </c>
      <c r="AA114" s="47">
        <f ca="1" t="shared" si="23"/>
        <v>1.27095607332217</v>
      </c>
      <c r="AB114" s="47">
        <f ca="1" t="shared" si="24"/>
        <v>1.04014935980753</v>
      </c>
      <c r="AC114" s="48">
        <f ca="1" t="shared" si="25"/>
        <v>15.8188849293987</v>
      </c>
      <c r="AD114" s="47">
        <f t="shared" si="18"/>
        <v>3039.5</v>
      </c>
      <c r="AE114" s="47">
        <f t="shared" si="26"/>
        <v>759.875</v>
      </c>
      <c r="AF114" s="47">
        <f t="shared" si="27"/>
        <v>189.96875</v>
      </c>
      <c r="AG114" s="47">
        <f t="shared" si="28"/>
        <v>47.4921875</v>
      </c>
      <c r="AH114" s="47">
        <f t="shared" si="29"/>
        <v>11.873046875</v>
      </c>
      <c r="AI114" s="47">
        <f t="shared" si="30"/>
        <v>2.96826171875</v>
      </c>
      <c r="AJ114">
        <f ca="1">MIN(INT(SUM(AD114:$AI114)/OFFSET($AV$2,MATCH(AD$3,$AE$3:$AI$3,0),0)),6-SUM(AK114:$AO114))</f>
        <v>0</v>
      </c>
      <c r="AK114">
        <f ca="1">MIN(INT(SUM(AE114:$AI114)/OFFSET($AV$2,MATCH(AE$3,$AE$3:$AI$3,0),0)),6-SUM(AL114:$AO114))</f>
        <v>0</v>
      </c>
      <c r="AL114">
        <f ca="1">MIN(INT(SUM(AF114:$AI114)/OFFSET($AV$2,MATCH(AF$3,$AE$3:$AI$3,0),0)),6-SUM(AM114:$AO114))</f>
        <v>0</v>
      </c>
      <c r="AM114">
        <f ca="1">MIN(INT((SUM(AG114:$AI114)+N114*2/6)/OFFSET($AV$2,MATCH(AG$3,$AE$3:$AI$3,0),0)),6-SUM(AN114:$AO114))</f>
        <v>3</v>
      </c>
      <c r="AN114">
        <f ca="1">MIN(INT(SUM(AH114:$AI114)/OFFSET($AV$2,MATCH(AH$3,$AE$3:$AI$3,0),0)),6-SUM(AO114:$AO114))</f>
        <v>2</v>
      </c>
      <c r="AO114">
        <f ca="1">INT(SUM(AI113:$AI114)/OFFSET($AV$2,MATCH(AI$3,$AE$3:$AI$3,0),0))</f>
        <v>1</v>
      </c>
      <c r="AP114" cm="1">
        <f ca="1" t="array" ref="AP114">SUMPRODUCT(AJ114:AO114,TRANSPOSE($AS$3:$AS$8))</f>
        <v>2.26</v>
      </c>
    </row>
    <row r="115" ht="16.5" spans="14:42">
      <c r="N115" s="2">
        <v>112</v>
      </c>
      <c r="O115" s="45">
        <f>产出预期!AN131</f>
        <v>12271</v>
      </c>
      <c r="P115" s="2">
        <f ca="1">练度预期!M114</f>
        <v>30</v>
      </c>
      <c r="Q115" s="2" t="str">
        <f ca="1" t="shared" si="31"/>
        <v>橙</v>
      </c>
      <c r="R115" s="46">
        <f ca="1" t="shared" si="32"/>
        <v>0</v>
      </c>
      <c r="S115" s="47">
        <f ca="1" t="shared" si="19"/>
        <v>12.8051261111111</v>
      </c>
      <c r="T115" s="47">
        <f ca="1">MIN(1+($O115*1.4+产出预期!AC131*60)/OFFSET($J$14,MATCH(T$3,$T$3:$W$3,0),0),18)</f>
        <v>13.1053888888889</v>
      </c>
      <c r="U115" s="47">
        <f ca="1">MIN(($O115*1.4+产出预期!$AC131*60)/OFFSET($J$14,MATCH(U$3,$T$3:$W$3,0),0),3)</f>
        <v>3</v>
      </c>
      <c r="V115" s="47">
        <f ca="1">MIN(($O115*1.4+产出预期!$AC131*60)/OFFSET($J$14,MATCH(V$3,$T$3:$W$3,0),0),18)</f>
        <v>0.871588</v>
      </c>
      <c r="W115" s="47">
        <f ca="1">MIN(($O115*1.4+产出预期!$AC131*60)/OFFSET($J$14,MATCH(W$3,$T$3:$W$3,0),0),18)</f>
        <v>0.217897</v>
      </c>
      <c r="X115" s="47">
        <f ca="1" t="shared" si="20"/>
        <v>1.76830756666667</v>
      </c>
      <c r="Y115" s="47">
        <f ca="1" t="shared" si="21"/>
        <v>3.4871227575048</v>
      </c>
      <c r="Z115" s="47">
        <f ca="1" t="shared" si="22"/>
        <v>1.953125</v>
      </c>
      <c r="AA115" s="47">
        <f ca="1" t="shared" si="23"/>
        <v>1.27376934138261</v>
      </c>
      <c r="AB115" s="47">
        <f ca="1" t="shared" si="24"/>
        <v>1.04052700487268</v>
      </c>
      <c r="AC115" s="48">
        <f ca="1" t="shared" si="25"/>
        <v>15.9624381681137</v>
      </c>
      <c r="AD115" s="47">
        <f t="shared" si="18"/>
        <v>3067.75</v>
      </c>
      <c r="AE115" s="47">
        <f t="shared" si="26"/>
        <v>766.9375</v>
      </c>
      <c r="AF115" s="47">
        <f t="shared" si="27"/>
        <v>191.734375</v>
      </c>
      <c r="AG115" s="47">
        <f t="shared" si="28"/>
        <v>47.93359375</v>
      </c>
      <c r="AH115" s="47">
        <f t="shared" si="29"/>
        <v>11.9833984375</v>
      </c>
      <c r="AI115" s="47">
        <f t="shared" si="30"/>
        <v>2.995849609375</v>
      </c>
      <c r="AJ115">
        <f ca="1">MIN(INT(SUM(AD115:$AI115)/OFFSET($AV$2,MATCH(AD$3,$AE$3:$AI$3,0),0)),6-SUM(AK115:$AO115))</f>
        <v>0</v>
      </c>
      <c r="AK115">
        <f ca="1">MIN(INT(SUM(AE115:$AI115)/OFFSET($AV$2,MATCH(AE$3,$AE$3:$AI$3,0),0)),6-SUM(AL115:$AO115))</f>
        <v>0</v>
      </c>
      <c r="AL115">
        <f ca="1">MIN(INT(SUM(AF115:$AI115)/OFFSET($AV$2,MATCH(AF$3,$AE$3:$AI$3,0),0)),6-SUM(AM115:$AO115))</f>
        <v>0</v>
      </c>
      <c r="AM115">
        <f ca="1">MIN(INT((SUM(AG115:$AI115)+N115*2/6)/OFFSET($AV$2,MATCH(AG$3,$AE$3:$AI$3,0),0)),6-SUM(AN115:$AO115))</f>
        <v>3</v>
      </c>
      <c r="AN115">
        <f ca="1">MIN(INT(SUM(AH115:$AI115)/OFFSET($AV$2,MATCH(AH$3,$AE$3:$AI$3,0),0)),6-SUM(AO115:$AO115))</f>
        <v>2</v>
      </c>
      <c r="AO115">
        <f ca="1">INT(SUM(AI114:$AI115)/OFFSET($AV$2,MATCH(AI$3,$AE$3:$AI$3,0),0))</f>
        <v>1</v>
      </c>
      <c r="AP115" cm="1">
        <f ca="1" t="array" ref="AP115">SUMPRODUCT(AJ115:AO115,TRANSPOSE($AS$3:$AS$8))</f>
        <v>2.26</v>
      </c>
    </row>
    <row r="116" ht="16.5" spans="14:42">
      <c r="N116" s="2">
        <v>113</v>
      </c>
      <c r="O116" s="45">
        <f>产出预期!AN132</f>
        <v>12379</v>
      </c>
      <c r="P116" s="2">
        <f ca="1">练度预期!M115</f>
        <v>30</v>
      </c>
      <c r="Q116" s="2" t="str">
        <f ca="1" t="shared" si="31"/>
        <v>橙</v>
      </c>
      <c r="R116" s="46">
        <f ca="1" t="shared" si="32"/>
        <v>0</v>
      </c>
      <c r="S116" s="47">
        <f ca="1" t="shared" si="19"/>
        <v>12.7048461111111</v>
      </c>
      <c r="T116" s="47">
        <f ca="1">MIN(1+($O116*1.4+产出预期!AC132*60)/OFFSET($J$14,MATCH(T$3,$T$3:$W$3,0),0),18)</f>
        <v>13.1973888888889</v>
      </c>
      <c r="U116" s="47">
        <f ca="1">MIN(($O116*1.4+产出预期!$AC132*60)/OFFSET($J$14,MATCH(U$3,$T$3:$W$3,0),0),3)</f>
        <v>3</v>
      </c>
      <c r="V116" s="47">
        <f ca="1">MIN(($O116*1.4+产出预期!$AC132*60)/OFFSET($J$14,MATCH(V$3,$T$3:$W$3,0),0),18)</f>
        <v>0.878212</v>
      </c>
      <c r="W116" s="47">
        <f ca="1">MIN(($O116*1.4+产出预期!$AC132*60)/OFFSET($J$14,MATCH(W$3,$T$3:$W$3,0),0),18)</f>
        <v>0.219553</v>
      </c>
      <c r="X116" s="47">
        <f ca="1" t="shared" si="20"/>
        <v>1.76229076666667</v>
      </c>
      <c r="Y116" s="47">
        <f ca="1" t="shared" si="21"/>
        <v>3.51783417113068</v>
      </c>
      <c r="Z116" s="47">
        <f ca="1" t="shared" si="22"/>
        <v>1.953125</v>
      </c>
      <c r="AA116" s="47">
        <f ca="1" t="shared" si="23"/>
        <v>1.27611400004695</v>
      </c>
      <c r="AB116" s="47">
        <f ca="1" t="shared" si="24"/>
        <v>1.0408412128975</v>
      </c>
      <c r="AC116" s="48">
        <f ca="1" t="shared" si="25"/>
        <v>16.0826244744752</v>
      </c>
      <c r="AD116" s="47">
        <f t="shared" si="18"/>
        <v>3094.75</v>
      </c>
      <c r="AE116" s="47">
        <f t="shared" si="26"/>
        <v>773.6875</v>
      </c>
      <c r="AF116" s="47">
        <f t="shared" si="27"/>
        <v>193.421875</v>
      </c>
      <c r="AG116" s="47">
        <f t="shared" si="28"/>
        <v>48.35546875</v>
      </c>
      <c r="AH116" s="47">
        <f t="shared" si="29"/>
        <v>12.0888671875</v>
      </c>
      <c r="AI116" s="47">
        <f t="shared" si="30"/>
        <v>3.022216796875</v>
      </c>
      <c r="AJ116">
        <f ca="1">MIN(INT(SUM(AD116:$AI116)/OFFSET($AV$2,MATCH(AD$3,$AE$3:$AI$3,0),0)),6-SUM(AK116:$AO116))</f>
        <v>0</v>
      </c>
      <c r="AK116">
        <f ca="1">MIN(INT(SUM(AE116:$AI116)/OFFSET($AV$2,MATCH(AE$3,$AE$3:$AI$3,0),0)),6-SUM(AL116:$AO116))</f>
        <v>0</v>
      </c>
      <c r="AL116">
        <f ca="1">MIN(INT(SUM(AF116:$AI116)/OFFSET($AV$2,MATCH(AF$3,$AE$3:$AI$3,0),0)),6-SUM(AM116:$AO116))</f>
        <v>0</v>
      </c>
      <c r="AM116">
        <f ca="1">MIN(INT((SUM(AG116:$AI116)+N116*2/6)/OFFSET($AV$2,MATCH(AG$3,$AE$3:$AI$3,0),0)),6-SUM(AN116:$AO116))</f>
        <v>3</v>
      </c>
      <c r="AN116">
        <f ca="1">MIN(INT(SUM(AH116:$AI116)/OFFSET($AV$2,MATCH(AH$3,$AE$3:$AI$3,0),0)),6-SUM(AO116:$AO116))</f>
        <v>2</v>
      </c>
      <c r="AO116">
        <f ca="1">INT(SUM(AI115:$AI116)/OFFSET($AV$2,MATCH(AI$3,$AE$3:$AI$3,0),0))</f>
        <v>1</v>
      </c>
      <c r="AP116" cm="1">
        <f ca="1" t="array" ref="AP116">SUMPRODUCT(AJ116:AO116,TRANSPOSE($AS$3:$AS$8))</f>
        <v>2.26</v>
      </c>
    </row>
    <row r="117" ht="16.5" spans="14:42">
      <c r="N117" s="2">
        <v>114</v>
      </c>
      <c r="O117" s="45">
        <f>产出预期!AN133</f>
        <v>12548</v>
      </c>
      <c r="P117" s="2">
        <f ca="1">练度预期!M116</f>
        <v>30</v>
      </c>
      <c r="Q117" s="2" t="str">
        <f ca="1" t="shared" si="31"/>
        <v>橙</v>
      </c>
      <c r="R117" s="46">
        <f ca="1" t="shared" si="32"/>
        <v>0</v>
      </c>
      <c r="S117" s="47">
        <f ca="1" t="shared" si="19"/>
        <v>12.5605422222222</v>
      </c>
      <c r="T117" s="47">
        <f ca="1">MIN(1+($O117*1.4+产出预期!AC133*60)/OFFSET($J$14,MATCH(T$3,$T$3:$W$3,0),0),18)</f>
        <v>13.3297777777778</v>
      </c>
      <c r="U117" s="47">
        <f ca="1">MIN(($O117*1.4+产出预期!$AC133*60)/OFFSET($J$14,MATCH(U$3,$T$3:$W$3,0),0),3)</f>
        <v>3</v>
      </c>
      <c r="V117" s="47">
        <f ca="1">MIN(($O117*1.4+产出预期!$AC133*60)/OFFSET($J$14,MATCH(V$3,$T$3:$W$3,0),0),18)</f>
        <v>0.887744</v>
      </c>
      <c r="W117" s="47">
        <f ca="1">MIN(($O117*1.4+产出预期!$AC133*60)/OFFSET($J$14,MATCH(W$3,$T$3:$W$3,0),0),18)</f>
        <v>0.221936</v>
      </c>
      <c r="X117" s="47">
        <f ca="1" t="shared" si="20"/>
        <v>1.75363253333333</v>
      </c>
      <c r="Y117" s="47">
        <f ca="1" t="shared" si="21"/>
        <v>3.56250345974823</v>
      </c>
      <c r="Z117" s="47">
        <f ca="1" t="shared" si="22"/>
        <v>1.953125</v>
      </c>
      <c r="AA117" s="47">
        <f ca="1" t="shared" si="23"/>
        <v>1.27949556239077</v>
      </c>
      <c r="AB117" s="47">
        <f ca="1" t="shared" si="24"/>
        <v>1.04129352779384</v>
      </c>
      <c r="AC117" s="48">
        <f ca="1" t="shared" si="25"/>
        <v>16.2568306152403</v>
      </c>
      <c r="AD117" s="47">
        <f t="shared" si="18"/>
        <v>3137</v>
      </c>
      <c r="AE117" s="47">
        <f t="shared" si="26"/>
        <v>784.25</v>
      </c>
      <c r="AF117" s="47">
        <f t="shared" si="27"/>
        <v>196.0625</v>
      </c>
      <c r="AG117" s="47">
        <f t="shared" si="28"/>
        <v>49.015625</v>
      </c>
      <c r="AH117" s="47">
        <f t="shared" si="29"/>
        <v>12.25390625</v>
      </c>
      <c r="AI117" s="47">
        <f t="shared" si="30"/>
        <v>3.0634765625</v>
      </c>
      <c r="AJ117">
        <f ca="1">MIN(INT(SUM(AD117:$AI117)/OFFSET($AV$2,MATCH(AD$3,$AE$3:$AI$3,0),0)),6-SUM(AK117:$AO117))</f>
        <v>0</v>
      </c>
      <c r="AK117">
        <f ca="1">MIN(INT(SUM(AE117:$AI117)/OFFSET($AV$2,MATCH(AE$3,$AE$3:$AI$3,0),0)),6-SUM(AL117:$AO117))</f>
        <v>0</v>
      </c>
      <c r="AL117">
        <f ca="1">MIN(INT(SUM(AF117:$AI117)/OFFSET($AV$2,MATCH(AF$3,$AE$3:$AI$3,0),0)),6-SUM(AM117:$AO117))</f>
        <v>0</v>
      </c>
      <c r="AM117">
        <f ca="1">MIN(INT((SUM(AG117:$AI117)+N117*2/6)/OFFSET($AV$2,MATCH(AG$3,$AE$3:$AI$3,0),0)),6-SUM(AN117:$AO117))</f>
        <v>3</v>
      </c>
      <c r="AN117">
        <f ca="1">MIN(INT(SUM(AH117:$AI117)/OFFSET($AV$2,MATCH(AH$3,$AE$3:$AI$3,0),0)),6-SUM(AO117:$AO117))</f>
        <v>2</v>
      </c>
      <c r="AO117">
        <f ca="1">INT(SUM(AI116:$AI117)/OFFSET($AV$2,MATCH(AI$3,$AE$3:$AI$3,0),0))</f>
        <v>1</v>
      </c>
      <c r="AP117" cm="1">
        <f ca="1" t="array" ref="AP117">SUMPRODUCT(AJ117:AO117,TRANSPOSE($AS$3:$AS$8))</f>
        <v>2.26</v>
      </c>
    </row>
    <row r="118" ht="16.5" spans="14:42">
      <c r="N118" s="2">
        <v>115</v>
      </c>
      <c r="O118" s="45">
        <f>产出预期!AN134</f>
        <v>12628</v>
      </c>
      <c r="P118" s="2">
        <f ca="1">练度预期!M117</f>
        <v>30</v>
      </c>
      <c r="Q118" s="2" t="str">
        <f ca="1" t="shared" si="31"/>
        <v>橙</v>
      </c>
      <c r="R118" s="46">
        <f ca="1" t="shared" si="32"/>
        <v>0</v>
      </c>
      <c r="S118" s="47">
        <f ca="1" t="shared" si="19"/>
        <v>12.4539644444444</v>
      </c>
      <c r="T118" s="47">
        <f ca="1">MIN(1+($O118*1.4+产出预期!AC134*60)/OFFSET($J$14,MATCH(T$3,$T$3:$W$3,0),0),18)</f>
        <v>13.4275555555556</v>
      </c>
      <c r="U118" s="47">
        <f ca="1">MIN(($O118*1.4+产出预期!$AC134*60)/OFFSET($J$14,MATCH(U$3,$T$3:$W$3,0),0),3)</f>
        <v>3</v>
      </c>
      <c r="V118" s="47">
        <f ca="1">MIN(($O118*1.4+产出预期!$AC134*60)/OFFSET($J$14,MATCH(V$3,$T$3:$W$3,0),0),18)</f>
        <v>0.894784</v>
      </c>
      <c r="W118" s="47">
        <f ca="1">MIN(($O118*1.4+产出预期!$AC134*60)/OFFSET($J$14,MATCH(W$3,$T$3:$W$3,0),0),18)</f>
        <v>0.223696</v>
      </c>
      <c r="X118" s="47">
        <f ca="1" t="shared" si="20"/>
        <v>1.74723786666667</v>
      </c>
      <c r="Y118" s="47">
        <f ca="1" t="shared" si="21"/>
        <v>3.59585838412118</v>
      </c>
      <c r="Z118" s="47">
        <f ca="1" t="shared" si="22"/>
        <v>1.953125</v>
      </c>
      <c r="AA118" s="47">
        <f ca="1" t="shared" si="23"/>
        <v>1.28199881710155</v>
      </c>
      <c r="AB118" s="47">
        <f ca="1" t="shared" si="24"/>
        <v>1.04162771786185</v>
      </c>
      <c r="AC118" s="48">
        <f ca="1" t="shared" si="25"/>
        <v>16.38644725263</v>
      </c>
      <c r="AD118" s="47">
        <f t="shared" si="18"/>
        <v>3157</v>
      </c>
      <c r="AE118" s="47">
        <f t="shared" si="26"/>
        <v>789.25</v>
      </c>
      <c r="AF118" s="47">
        <f t="shared" si="27"/>
        <v>197.3125</v>
      </c>
      <c r="AG118" s="47">
        <f t="shared" si="28"/>
        <v>49.328125</v>
      </c>
      <c r="AH118" s="47">
        <f t="shared" si="29"/>
        <v>12.33203125</v>
      </c>
      <c r="AI118" s="47">
        <f t="shared" si="30"/>
        <v>3.0830078125</v>
      </c>
      <c r="AJ118">
        <f ca="1">MIN(INT(SUM(AD118:$AI118)/OFFSET($AV$2,MATCH(AD$3,$AE$3:$AI$3,0),0)),6-SUM(AK118:$AO118))</f>
        <v>0</v>
      </c>
      <c r="AK118">
        <f ca="1">MIN(INT(SUM(AE118:$AI118)/OFFSET($AV$2,MATCH(AE$3,$AE$3:$AI$3,0),0)),6-SUM(AL118:$AO118))</f>
        <v>0</v>
      </c>
      <c r="AL118">
        <f ca="1">MIN(INT(SUM(AF118:$AI118)/OFFSET($AV$2,MATCH(AF$3,$AE$3:$AI$3,0),0)),6-SUM(AM118:$AO118))</f>
        <v>0</v>
      </c>
      <c r="AM118">
        <f ca="1">MIN(INT((SUM(AG118:$AI118)+N118*2/6)/OFFSET($AV$2,MATCH(AG$3,$AE$3:$AI$3,0),0)),6-SUM(AN118:$AO118))</f>
        <v>3</v>
      </c>
      <c r="AN118">
        <f ca="1">MIN(INT(SUM(AH118:$AI118)/OFFSET($AV$2,MATCH(AH$3,$AE$3:$AI$3,0),0)),6-SUM(AO118:$AO118))</f>
        <v>2</v>
      </c>
      <c r="AO118">
        <f ca="1">INT(SUM(AI117:$AI118)/OFFSET($AV$2,MATCH(AI$3,$AE$3:$AI$3,0),0))</f>
        <v>1</v>
      </c>
      <c r="AP118" cm="1">
        <f ca="1" t="array" ref="AP118">SUMPRODUCT(AJ118:AO118,TRANSPOSE($AS$3:$AS$8))</f>
        <v>2.26</v>
      </c>
    </row>
    <row r="119" ht="16.5" spans="14:42">
      <c r="N119" s="2">
        <v>116</v>
      </c>
      <c r="O119" s="45">
        <f>产出预期!AN135</f>
        <v>12741</v>
      </c>
      <c r="P119" s="2">
        <f ca="1">练度预期!M118</f>
        <v>30</v>
      </c>
      <c r="Q119" s="2" t="str">
        <f ca="1" t="shared" si="31"/>
        <v>橙</v>
      </c>
      <c r="R119" s="46">
        <f ca="1" t="shared" si="32"/>
        <v>0</v>
      </c>
      <c r="S119" s="47">
        <f ca="1" t="shared" si="19"/>
        <v>12.351565</v>
      </c>
      <c r="T119" s="47">
        <f ca="1">MIN(1+($O119*1.4+产出预期!AC135*60)/OFFSET($J$14,MATCH(T$3,$T$3:$W$3,0),0),18)</f>
        <v>13.5215</v>
      </c>
      <c r="U119" s="47">
        <f ca="1">MIN(($O119*1.4+产出预期!$AC135*60)/OFFSET($J$14,MATCH(U$3,$T$3:$W$3,0),0),3)</f>
        <v>3</v>
      </c>
      <c r="V119" s="47">
        <f ca="1">MIN(($O119*1.4+产出预期!$AC135*60)/OFFSET($J$14,MATCH(V$3,$T$3:$W$3,0),0),18)</f>
        <v>0.901548</v>
      </c>
      <c r="W119" s="47">
        <f ca="1">MIN(($O119*1.4+产出预期!$AC135*60)/OFFSET($J$14,MATCH(W$3,$T$3:$W$3,0),0),18)</f>
        <v>0.225387</v>
      </c>
      <c r="X119" s="47">
        <f ca="1" t="shared" si="20"/>
        <v>1.7410939</v>
      </c>
      <c r="Y119" s="47">
        <f ca="1" t="shared" si="21"/>
        <v>3.62819977758806</v>
      </c>
      <c r="Z119" s="47">
        <f ca="1" t="shared" si="22"/>
        <v>1.953125</v>
      </c>
      <c r="AA119" s="47">
        <f ca="1" t="shared" si="23"/>
        <v>1.28440854595528</v>
      </c>
      <c r="AB119" s="47">
        <f ca="1" t="shared" si="24"/>
        <v>1.04194890718899</v>
      </c>
      <c r="AC119" s="48">
        <f ca="1" t="shared" si="25"/>
        <v>16.5117473734102</v>
      </c>
      <c r="AD119" s="47">
        <f t="shared" si="18"/>
        <v>3185.25</v>
      </c>
      <c r="AE119" s="47">
        <f t="shared" si="26"/>
        <v>796.3125</v>
      </c>
      <c r="AF119" s="47">
        <f t="shared" si="27"/>
        <v>199.078125</v>
      </c>
      <c r="AG119" s="47">
        <f t="shared" si="28"/>
        <v>49.76953125</v>
      </c>
      <c r="AH119" s="47">
        <f t="shared" si="29"/>
        <v>12.4423828125</v>
      </c>
      <c r="AI119" s="47">
        <f t="shared" si="30"/>
        <v>3.110595703125</v>
      </c>
      <c r="AJ119">
        <f ca="1">MIN(INT(SUM(AD119:$AI119)/OFFSET($AV$2,MATCH(AD$3,$AE$3:$AI$3,0),0)),6-SUM(AK119:$AO119))</f>
        <v>0</v>
      </c>
      <c r="AK119">
        <f ca="1">MIN(INT(SUM(AE119:$AI119)/OFFSET($AV$2,MATCH(AE$3,$AE$3:$AI$3,0),0)),6-SUM(AL119:$AO119))</f>
        <v>0</v>
      </c>
      <c r="AL119">
        <f ca="1">MIN(INT(SUM(AF119:$AI119)/OFFSET($AV$2,MATCH(AF$3,$AE$3:$AI$3,0),0)),6-SUM(AM119:$AO119))</f>
        <v>0</v>
      </c>
      <c r="AM119">
        <f ca="1">MIN(INT((SUM(AG119:$AI119)+N119*2/6)/OFFSET($AV$2,MATCH(AG$3,$AE$3:$AI$3,0),0)),6-SUM(AN119:$AO119))</f>
        <v>3</v>
      </c>
      <c r="AN119">
        <f ca="1">MIN(INT(SUM(AH119:$AI119)/OFFSET($AV$2,MATCH(AH$3,$AE$3:$AI$3,0),0)),6-SUM(AO119:$AO119))</f>
        <v>2</v>
      </c>
      <c r="AO119">
        <f ca="1">INT(SUM(AI118:$AI119)/OFFSET($AV$2,MATCH(AI$3,$AE$3:$AI$3,0),0))</f>
        <v>1</v>
      </c>
      <c r="AP119" cm="1">
        <f ca="1" t="array" ref="AP119">SUMPRODUCT(AJ119:AO119,TRANSPOSE($AS$3:$AS$8))</f>
        <v>2.26</v>
      </c>
    </row>
    <row r="120" ht="16.5" spans="14:42">
      <c r="N120" s="2">
        <v>117</v>
      </c>
      <c r="O120" s="45">
        <f>产出预期!AN136</f>
        <v>12849</v>
      </c>
      <c r="P120" s="2">
        <f ca="1">练度预期!M119</f>
        <v>30</v>
      </c>
      <c r="Q120" s="2" t="str">
        <f ca="1" t="shared" si="31"/>
        <v>橙</v>
      </c>
      <c r="R120" s="46">
        <f ca="1" t="shared" si="32"/>
        <v>0</v>
      </c>
      <c r="S120" s="47">
        <f ca="1" t="shared" si="19"/>
        <v>12.2331183333333</v>
      </c>
      <c r="T120" s="47">
        <f ca="1">MIN(1+($O120*1.4+产出预期!AC136*60)/OFFSET($J$14,MATCH(T$3,$T$3:$W$3,0),0),18)</f>
        <v>13.6301666666667</v>
      </c>
      <c r="U120" s="47">
        <f ca="1">MIN(($O120*1.4+产出预期!$AC136*60)/OFFSET($J$14,MATCH(U$3,$T$3:$W$3,0),0),3)</f>
        <v>3</v>
      </c>
      <c r="V120" s="47">
        <f ca="1">MIN(($O120*1.4+产出预期!$AC136*60)/OFFSET($J$14,MATCH(V$3,$T$3:$W$3,0),0),18)</f>
        <v>0.909372</v>
      </c>
      <c r="W120" s="47">
        <f ca="1">MIN(($O120*1.4+产出预期!$AC136*60)/OFFSET($J$14,MATCH(W$3,$T$3:$W$3,0),0),18)</f>
        <v>0.227343</v>
      </c>
      <c r="X120" s="47">
        <f ca="1" t="shared" si="20"/>
        <v>1.7339871</v>
      </c>
      <c r="Y120" s="47">
        <f ca="1" t="shared" si="21"/>
        <v>3.66597245504573</v>
      </c>
      <c r="Z120" s="47">
        <f ca="1" t="shared" si="22"/>
        <v>1.953125</v>
      </c>
      <c r="AA120" s="47">
        <f ca="1" t="shared" si="23"/>
        <v>1.28720155864287</v>
      </c>
      <c r="AB120" s="47">
        <f ca="1" t="shared" si="24"/>
        <v>1.04232055427848</v>
      </c>
      <c r="AC120" s="48">
        <f ca="1" t="shared" si="25"/>
        <v>16.6576202741699</v>
      </c>
      <c r="AD120" s="47">
        <f t="shared" si="18"/>
        <v>3212.25</v>
      </c>
      <c r="AE120" s="47">
        <f t="shared" si="26"/>
        <v>803.0625</v>
      </c>
      <c r="AF120" s="47">
        <f t="shared" si="27"/>
        <v>200.765625</v>
      </c>
      <c r="AG120" s="47">
        <f t="shared" si="28"/>
        <v>50.19140625</v>
      </c>
      <c r="AH120" s="47">
        <f t="shared" si="29"/>
        <v>12.5478515625</v>
      </c>
      <c r="AI120" s="47">
        <f t="shared" si="30"/>
        <v>3.136962890625</v>
      </c>
      <c r="AJ120">
        <f ca="1">MIN(INT(SUM(AD120:$AI120)/OFFSET($AV$2,MATCH(AD$3,$AE$3:$AI$3,0),0)),6-SUM(AK120:$AO120))</f>
        <v>0</v>
      </c>
      <c r="AK120">
        <f ca="1">MIN(INT(SUM(AE120:$AI120)/OFFSET($AV$2,MATCH(AE$3,$AE$3:$AI$3,0),0)),6-SUM(AL120:$AO120))</f>
        <v>0</v>
      </c>
      <c r="AL120">
        <f ca="1">MIN(INT(SUM(AF120:$AI120)/OFFSET($AV$2,MATCH(AF$3,$AE$3:$AI$3,0),0)),6-SUM(AM120:$AO120))</f>
        <v>0</v>
      </c>
      <c r="AM120">
        <f ca="1">MIN(INT((SUM(AG120:$AI120)+N120*2/6)/OFFSET($AV$2,MATCH(AG$3,$AE$3:$AI$3,0),0)),6-SUM(AN120:$AO120))</f>
        <v>2</v>
      </c>
      <c r="AN120">
        <f ca="1">MIN(INT(SUM(AH120:$AI120)/OFFSET($AV$2,MATCH(AH$3,$AE$3:$AI$3,0),0)),6-SUM(AO120:$AO120))</f>
        <v>3</v>
      </c>
      <c r="AO120">
        <f ca="1">INT(SUM(AI119:$AI120)/OFFSET($AV$2,MATCH(AI$3,$AE$3:$AI$3,0),0))</f>
        <v>1</v>
      </c>
      <c r="AP120" cm="1">
        <f ca="1" t="array" ref="AP120">SUMPRODUCT(AJ120:AO120,TRANSPOSE($AS$3:$AS$8))</f>
        <v>2.34</v>
      </c>
    </row>
    <row r="121" ht="16.5" spans="14:42">
      <c r="N121" s="2">
        <v>118</v>
      </c>
      <c r="O121" s="45">
        <f>产出预期!AN137</f>
        <v>12957</v>
      </c>
      <c r="P121" s="2">
        <f ca="1">练度预期!M120</f>
        <v>30</v>
      </c>
      <c r="Q121" s="2" t="str">
        <f ca="1" t="shared" si="31"/>
        <v>橙</v>
      </c>
      <c r="R121" s="46">
        <f ca="1" t="shared" si="32"/>
        <v>0</v>
      </c>
      <c r="S121" s="47">
        <f ca="1" t="shared" si="19"/>
        <v>12.1328383333333</v>
      </c>
      <c r="T121" s="47">
        <f ca="1">MIN(1+($O121*1.4+产出预期!AC137*60)/OFFSET($J$14,MATCH(T$3,$T$3:$W$3,0),0),18)</f>
        <v>13.7221666666667</v>
      </c>
      <c r="U121" s="47">
        <f ca="1">MIN(($O121*1.4+产出预期!$AC137*60)/OFFSET($J$14,MATCH(U$3,$T$3:$W$3,0),0),3)</f>
        <v>3</v>
      </c>
      <c r="V121" s="47">
        <f ca="1">MIN(($O121*1.4+产出预期!$AC137*60)/OFFSET($J$14,MATCH(V$3,$T$3:$W$3,0),0),18)</f>
        <v>0.915996</v>
      </c>
      <c r="W121" s="47">
        <f ca="1">MIN(($O121*1.4+产出预期!$AC137*60)/OFFSET($J$14,MATCH(W$3,$T$3:$W$3,0),0),18)</f>
        <v>0.228999</v>
      </c>
      <c r="X121" s="47">
        <f ca="1" t="shared" si="20"/>
        <v>1.7279703</v>
      </c>
      <c r="Y121" s="47">
        <f ca="1" t="shared" si="21"/>
        <v>3.69825901454975</v>
      </c>
      <c r="Z121" s="47">
        <f ca="1" t="shared" si="22"/>
        <v>1.953125</v>
      </c>
      <c r="AA121" s="47">
        <f ca="1" t="shared" si="23"/>
        <v>1.28957094232104</v>
      </c>
      <c r="AB121" s="47">
        <f ca="1" t="shared" si="24"/>
        <v>1.04263530390156</v>
      </c>
      <c r="AC121" s="48">
        <f ca="1" t="shared" si="25"/>
        <v>16.7819066909156</v>
      </c>
      <c r="AD121" s="47">
        <f t="shared" si="18"/>
        <v>3239.25</v>
      </c>
      <c r="AE121" s="47">
        <f t="shared" si="26"/>
        <v>809.8125</v>
      </c>
      <c r="AF121" s="47">
        <f t="shared" si="27"/>
        <v>202.453125</v>
      </c>
      <c r="AG121" s="47">
        <f t="shared" si="28"/>
        <v>50.61328125</v>
      </c>
      <c r="AH121" s="47">
        <f t="shared" si="29"/>
        <v>12.6533203125</v>
      </c>
      <c r="AI121" s="47">
        <f t="shared" si="30"/>
        <v>3.163330078125</v>
      </c>
      <c r="AJ121">
        <f ca="1">MIN(INT(SUM(AD121:$AI121)/OFFSET($AV$2,MATCH(AD$3,$AE$3:$AI$3,0),0)),6-SUM(AK121:$AO121))</f>
        <v>0</v>
      </c>
      <c r="AK121">
        <f ca="1">MIN(INT(SUM(AE121:$AI121)/OFFSET($AV$2,MATCH(AE$3,$AE$3:$AI$3,0),0)),6-SUM(AL121:$AO121))</f>
        <v>0</v>
      </c>
      <c r="AL121">
        <f ca="1">MIN(INT(SUM(AF121:$AI121)/OFFSET($AV$2,MATCH(AF$3,$AE$3:$AI$3,0),0)),6-SUM(AM121:$AO121))</f>
        <v>0</v>
      </c>
      <c r="AM121">
        <f ca="1">MIN(INT((SUM(AG121:$AI121)+N121*2/6)/OFFSET($AV$2,MATCH(AG$3,$AE$3:$AI$3,0),0)),6-SUM(AN121:$AO121))</f>
        <v>2</v>
      </c>
      <c r="AN121">
        <f ca="1">MIN(INT(SUM(AH121:$AI121)/OFFSET($AV$2,MATCH(AH$3,$AE$3:$AI$3,0),0)),6-SUM(AO121:$AO121))</f>
        <v>3</v>
      </c>
      <c r="AO121">
        <f ca="1">INT(SUM(AI120:$AI121)/OFFSET($AV$2,MATCH(AI$3,$AE$3:$AI$3,0),0))</f>
        <v>1</v>
      </c>
      <c r="AP121" cm="1">
        <f ca="1" t="array" ref="AP121">SUMPRODUCT(AJ121:AO121,TRANSPOSE($AS$3:$AS$8))</f>
        <v>2.34</v>
      </c>
    </row>
    <row r="122" ht="16.5" spans="14:42">
      <c r="N122" s="2">
        <v>119</v>
      </c>
      <c r="O122" s="45">
        <f>产出预期!AN138</f>
        <v>13070</v>
      </c>
      <c r="P122" s="2">
        <f ca="1">练度预期!M121</f>
        <v>30</v>
      </c>
      <c r="Q122" s="2" t="str">
        <f ca="1" t="shared" si="31"/>
        <v>橙</v>
      </c>
      <c r="R122" s="46">
        <f ca="1" t="shared" si="32"/>
        <v>0</v>
      </c>
      <c r="S122" s="47">
        <f ca="1" t="shared" si="19"/>
        <v>12.0122722222222</v>
      </c>
      <c r="T122" s="47">
        <f ca="1">MIN(1+($O122*1.4+产出预期!AC138*60)/OFFSET($J$14,MATCH(T$3,$T$3:$W$3,0),0),18)</f>
        <v>13.8327777777778</v>
      </c>
      <c r="U122" s="47">
        <f ca="1">MIN(($O122*1.4+产出预期!$AC138*60)/OFFSET($J$14,MATCH(U$3,$T$3:$W$3,0),0),3)</f>
        <v>3</v>
      </c>
      <c r="V122" s="47">
        <f ca="1">MIN(($O122*1.4+产出预期!$AC138*60)/OFFSET($J$14,MATCH(V$3,$T$3:$W$3,0),0),18)</f>
        <v>0.92396</v>
      </c>
      <c r="W122" s="47">
        <f ca="1">MIN(($O122*1.4+产出预期!$AC138*60)/OFFSET($J$14,MATCH(W$3,$T$3:$W$3,0),0),18)</f>
        <v>0.23099</v>
      </c>
      <c r="X122" s="47">
        <f ca="1" t="shared" si="20"/>
        <v>1.72073633333333</v>
      </c>
      <c r="Y122" s="47">
        <f ca="1" t="shared" si="21"/>
        <v>3.7374536495932</v>
      </c>
      <c r="Z122" s="47">
        <f ca="1" t="shared" si="22"/>
        <v>1.953125</v>
      </c>
      <c r="AA122" s="47">
        <f ca="1" t="shared" si="23"/>
        <v>1.29242541449348</v>
      </c>
      <c r="AB122" s="47">
        <f ca="1" t="shared" si="24"/>
        <v>1.04301385153374</v>
      </c>
      <c r="AC122" s="48">
        <f ca="1" t="shared" si="25"/>
        <v>16.93229198165</v>
      </c>
      <c r="AD122" s="47">
        <f t="shared" si="18"/>
        <v>3267.5</v>
      </c>
      <c r="AE122" s="47">
        <f t="shared" si="26"/>
        <v>816.875</v>
      </c>
      <c r="AF122" s="47">
        <f t="shared" si="27"/>
        <v>204.21875</v>
      </c>
      <c r="AG122" s="47">
        <f t="shared" si="28"/>
        <v>51.0546875</v>
      </c>
      <c r="AH122" s="47">
        <f t="shared" si="29"/>
        <v>12.763671875</v>
      </c>
      <c r="AI122" s="47">
        <f t="shared" si="30"/>
        <v>3.19091796875</v>
      </c>
      <c r="AJ122">
        <f ca="1">MIN(INT(SUM(AD122:$AI122)/OFFSET($AV$2,MATCH(AD$3,$AE$3:$AI$3,0),0)),6-SUM(AK122:$AO122))</f>
        <v>0</v>
      </c>
      <c r="AK122">
        <f ca="1">MIN(INT(SUM(AE122:$AI122)/OFFSET($AV$2,MATCH(AE$3,$AE$3:$AI$3,0),0)),6-SUM(AL122:$AO122))</f>
        <v>0</v>
      </c>
      <c r="AL122">
        <f ca="1">MIN(INT(SUM(AF122:$AI122)/OFFSET($AV$2,MATCH(AF$3,$AE$3:$AI$3,0),0)),6-SUM(AM122:$AO122))</f>
        <v>0</v>
      </c>
      <c r="AM122">
        <f ca="1">MIN(INT((SUM(AG122:$AI122)+N122*2/6)/OFFSET($AV$2,MATCH(AG$3,$AE$3:$AI$3,0),0)),6-SUM(AN122:$AO122))</f>
        <v>2</v>
      </c>
      <c r="AN122">
        <f ca="1">MIN(INT(SUM(AH122:$AI122)/OFFSET($AV$2,MATCH(AH$3,$AE$3:$AI$3,0),0)),6-SUM(AO122:$AO122))</f>
        <v>3</v>
      </c>
      <c r="AO122">
        <f ca="1">INT(SUM(AI121:$AI122)/OFFSET($AV$2,MATCH(AI$3,$AE$3:$AI$3,0),0))</f>
        <v>1</v>
      </c>
      <c r="AP122" cm="1">
        <f ca="1" t="array" ref="AP122">SUMPRODUCT(AJ122:AO122,TRANSPOSE($AS$3:$AS$8))</f>
        <v>2.34</v>
      </c>
    </row>
    <row r="123" ht="16.5" spans="14:42">
      <c r="N123" s="2">
        <v>120</v>
      </c>
      <c r="O123" s="45">
        <f>产出预期!AN139</f>
        <v>13178</v>
      </c>
      <c r="P123" s="2">
        <f ca="1">练度预期!M122</f>
        <v>30</v>
      </c>
      <c r="Q123" s="2" t="str">
        <f ca="1" t="shared" si="31"/>
        <v>橙</v>
      </c>
      <c r="R123" s="46">
        <f ca="1" t="shared" si="32"/>
        <v>0</v>
      </c>
      <c r="S123" s="47">
        <f ca="1" t="shared" si="19"/>
        <v>11.9119922222222</v>
      </c>
      <c r="T123" s="47">
        <f ca="1">MIN(1+($O123*1.4+产出预期!AC139*60)/OFFSET($J$14,MATCH(T$3,$T$3:$W$3,0),0),18)</f>
        <v>13.9247777777778</v>
      </c>
      <c r="U123" s="47">
        <f ca="1">MIN(($O123*1.4+产出预期!$AC139*60)/OFFSET($J$14,MATCH(U$3,$T$3:$W$3,0),0),3)</f>
        <v>3</v>
      </c>
      <c r="V123" s="47">
        <f ca="1">MIN(($O123*1.4+产出预期!$AC139*60)/OFFSET($J$14,MATCH(V$3,$T$3:$W$3,0),0),18)</f>
        <v>0.930584</v>
      </c>
      <c r="W123" s="47">
        <f ca="1">MIN(($O123*1.4+产出预期!$AC139*60)/OFFSET($J$14,MATCH(W$3,$T$3:$W$3,0),0),18)</f>
        <v>0.232646</v>
      </c>
      <c r="X123" s="47">
        <f ca="1" t="shared" si="20"/>
        <v>1.71471953333333</v>
      </c>
      <c r="Y123" s="47">
        <f ca="1" t="shared" si="21"/>
        <v>3.77036975060891</v>
      </c>
      <c r="Z123" s="47">
        <f ca="1" t="shared" si="22"/>
        <v>1.953125</v>
      </c>
      <c r="AA123" s="47">
        <f ca="1" t="shared" si="23"/>
        <v>1.29480441385205</v>
      </c>
      <c r="AB123" s="47">
        <f ca="1" t="shared" si="24"/>
        <v>1.04332881051185</v>
      </c>
      <c r="AC123" s="48">
        <f ca="1" t="shared" si="25"/>
        <v>17.0581703843884</v>
      </c>
      <c r="AD123" s="47">
        <f t="shared" si="18"/>
        <v>3294.5</v>
      </c>
      <c r="AE123" s="47">
        <f t="shared" si="26"/>
        <v>823.625</v>
      </c>
      <c r="AF123" s="47">
        <f t="shared" si="27"/>
        <v>205.90625</v>
      </c>
      <c r="AG123" s="47">
        <f t="shared" si="28"/>
        <v>51.4765625</v>
      </c>
      <c r="AH123" s="47">
        <f t="shared" si="29"/>
        <v>12.869140625</v>
      </c>
      <c r="AI123" s="47">
        <f t="shared" si="30"/>
        <v>3.21728515625</v>
      </c>
      <c r="AJ123">
        <f ca="1">MIN(INT(SUM(AD123:$AI123)/OFFSET($AV$2,MATCH(AD$3,$AE$3:$AI$3,0),0)),6-SUM(AK123:$AO123))</f>
        <v>0</v>
      </c>
      <c r="AK123">
        <f ca="1">MIN(INT(SUM(AE123:$AI123)/OFFSET($AV$2,MATCH(AE$3,$AE$3:$AI$3,0),0)),6-SUM(AL123:$AO123))</f>
        <v>0</v>
      </c>
      <c r="AL123">
        <f ca="1">MIN(INT(SUM(AF123:$AI123)/OFFSET($AV$2,MATCH(AF$3,$AE$3:$AI$3,0),0)),6-SUM(AM123:$AO123))</f>
        <v>0</v>
      </c>
      <c r="AM123">
        <f ca="1">MIN(INT((SUM(AG123:$AI123)+N123*2/6)/OFFSET($AV$2,MATCH(AG$3,$AE$3:$AI$3,0),0)),6-SUM(AN123:$AO123))</f>
        <v>2</v>
      </c>
      <c r="AN123">
        <f ca="1">MIN(INT(SUM(AH123:$AI123)/OFFSET($AV$2,MATCH(AH$3,$AE$3:$AI$3,0),0)),6-SUM(AO123:$AO123))</f>
        <v>3</v>
      </c>
      <c r="AO123">
        <f ca="1">INT(SUM(AI122:$AI123)/OFFSET($AV$2,MATCH(AI$3,$AE$3:$AI$3,0),0))</f>
        <v>1</v>
      </c>
      <c r="AP123" cm="1">
        <f ca="1" t="array" ref="AP123">SUMPRODUCT(AJ123:AO123,TRANSPOSE($AS$3:$AS$8))</f>
        <v>2.34</v>
      </c>
    </row>
    <row r="124" ht="16.5" spans="14:42">
      <c r="N124" s="2">
        <v>121</v>
      </c>
      <c r="O124" s="45">
        <f>产出预期!AN140</f>
        <v>13263</v>
      </c>
      <c r="P124" s="2">
        <f ca="1">练度预期!M123</f>
        <v>30</v>
      </c>
      <c r="Q124" s="2" t="str">
        <f ca="1" t="shared" si="31"/>
        <v>橙</v>
      </c>
      <c r="R124" s="46">
        <f ca="1" t="shared" si="32"/>
        <v>0</v>
      </c>
      <c r="S124" s="47">
        <f ca="1" t="shared" si="19"/>
        <v>11.803295</v>
      </c>
      <c r="T124" s="47">
        <f ca="1">MIN(1+($O124*1.4+产出预期!AC140*60)/OFFSET($J$14,MATCH(T$3,$T$3:$W$3,0),0),18)</f>
        <v>14.0245</v>
      </c>
      <c r="U124" s="47">
        <f ca="1">MIN(($O124*1.4+产出预期!$AC140*60)/OFFSET($J$14,MATCH(U$3,$T$3:$W$3,0),0),3)</f>
        <v>3</v>
      </c>
      <c r="V124" s="47">
        <f ca="1">MIN(($O124*1.4+产出预期!$AC140*60)/OFFSET($J$14,MATCH(V$3,$T$3:$W$3,0),0),18)</f>
        <v>0.937764</v>
      </c>
      <c r="W124" s="47">
        <f ca="1">MIN(($O124*1.4+产出预期!$AC140*60)/OFFSET($J$14,MATCH(W$3,$T$3:$W$3,0),0),18)</f>
        <v>0.234441</v>
      </c>
      <c r="X124" s="47">
        <f ca="1" t="shared" si="20"/>
        <v>1.7081977</v>
      </c>
      <c r="Y124" s="47">
        <f ca="1" t="shared" si="21"/>
        <v>3.80637623329019</v>
      </c>
      <c r="Z124" s="47">
        <f ca="1" t="shared" si="22"/>
        <v>1.953125</v>
      </c>
      <c r="AA124" s="47">
        <f ca="1" t="shared" si="23"/>
        <v>1.29738804586665</v>
      </c>
      <c r="AB124" s="47">
        <f ca="1" t="shared" si="24"/>
        <v>1.04367031368289</v>
      </c>
      <c r="AC124" s="48">
        <f ca="1" t="shared" si="25"/>
        <v>17.1954326444064</v>
      </c>
      <c r="AD124" s="47">
        <f t="shared" si="18"/>
        <v>3315.75</v>
      </c>
      <c r="AE124" s="47">
        <f t="shared" si="26"/>
        <v>828.9375</v>
      </c>
      <c r="AF124" s="47">
        <f t="shared" si="27"/>
        <v>207.234375</v>
      </c>
      <c r="AG124" s="47">
        <f t="shared" si="28"/>
        <v>51.80859375</v>
      </c>
      <c r="AH124" s="47">
        <f t="shared" si="29"/>
        <v>12.9521484375</v>
      </c>
      <c r="AI124" s="47">
        <f t="shared" si="30"/>
        <v>3.238037109375</v>
      </c>
      <c r="AJ124">
        <f ca="1">MIN(INT(SUM(AD124:$AI124)/OFFSET($AV$2,MATCH(AD$3,$AE$3:$AI$3,0),0)),6-SUM(AK124:$AO124))</f>
        <v>0</v>
      </c>
      <c r="AK124">
        <f ca="1">MIN(INT(SUM(AE124:$AI124)/OFFSET($AV$2,MATCH(AE$3,$AE$3:$AI$3,0),0)),6-SUM(AL124:$AO124))</f>
        <v>0</v>
      </c>
      <c r="AL124">
        <f ca="1">MIN(INT(SUM(AF124:$AI124)/OFFSET($AV$2,MATCH(AF$3,$AE$3:$AI$3,0),0)),6-SUM(AM124:$AO124))</f>
        <v>0</v>
      </c>
      <c r="AM124">
        <f ca="1">MIN(INT((SUM(AG124:$AI124)+N124*2/6)/OFFSET($AV$2,MATCH(AG$3,$AE$3:$AI$3,0),0)),6-SUM(AN124:$AO124))</f>
        <v>2</v>
      </c>
      <c r="AN124">
        <f ca="1">MIN(INT(SUM(AH124:$AI124)/OFFSET($AV$2,MATCH(AH$3,$AE$3:$AI$3,0),0)),6-SUM(AO124:$AO124))</f>
        <v>3</v>
      </c>
      <c r="AO124">
        <f ca="1">INT(SUM(AI123:$AI124)/OFFSET($AV$2,MATCH(AI$3,$AE$3:$AI$3,0),0))</f>
        <v>1</v>
      </c>
      <c r="AP124" cm="1">
        <f ca="1" t="array" ref="AP124">SUMPRODUCT(AJ124:AO124,TRANSPOSE($AS$3:$AS$8))</f>
        <v>2.34</v>
      </c>
    </row>
    <row r="125" ht="16.5" spans="14:42">
      <c r="N125" s="2">
        <v>122</v>
      </c>
      <c r="O125" s="45">
        <f>产出预期!AN141</f>
        <v>13371</v>
      </c>
      <c r="P125" s="2">
        <f ca="1">练度预期!M124</f>
        <v>30</v>
      </c>
      <c r="Q125" s="2" t="str">
        <f ca="1" t="shared" si="31"/>
        <v>橙</v>
      </c>
      <c r="R125" s="46">
        <f ca="1" t="shared" si="32"/>
        <v>0</v>
      </c>
      <c r="S125" s="47">
        <f ca="1" t="shared" si="19"/>
        <v>11.703015</v>
      </c>
      <c r="T125" s="47">
        <f ca="1">MIN(1+($O125*1.4+产出预期!AC141*60)/OFFSET($J$14,MATCH(T$3,$T$3:$W$3,0),0),18)</f>
        <v>14.1165</v>
      </c>
      <c r="U125" s="47">
        <f ca="1">MIN(($O125*1.4+产出预期!$AC141*60)/OFFSET($J$14,MATCH(U$3,$T$3:$W$3,0),0),3)</f>
        <v>3</v>
      </c>
      <c r="V125" s="47">
        <f ca="1">MIN(($O125*1.4+产出预期!$AC141*60)/OFFSET($J$14,MATCH(V$3,$T$3:$W$3,0),0),18)</f>
        <v>0.944388</v>
      </c>
      <c r="W125" s="47">
        <f ca="1">MIN(($O125*1.4+产出预期!$AC141*60)/OFFSET($J$14,MATCH(W$3,$T$3:$W$3,0),0),18)</f>
        <v>0.236097</v>
      </c>
      <c r="X125" s="47">
        <f ca="1" t="shared" si="20"/>
        <v>1.7021809</v>
      </c>
      <c r="Y125" s="47">
        <f ca="1" t="shared" si="21"/>
        <v>3.83989934189447</v>
      </c>
      <c r="Z125" s="47">
        <f ca="1" t="shared" si="22"/>
        <v>1.953125</v>
      </c>
      <c r="AA125" s="47">
        <f ca="1" t="shared" si="23"/>
        <v>1.29977618006327</v>
      </c>
      <c r="AB125" s="47">
        <f ca="1" t="shared" si="24"/>
        <v>1.04398547089293</v>
      </c>
      <c r="AC125" s="48">
        <f ca="1" t="shared" si="25"/>
        <v>17.3228211086446</v>
      </c>
      <c r="AD125" s="47">
        <f t="shared" si="18"/>
        <v>3342.75</v>
      </c>
      <c r="AE125" s="47">
        <f t="shared" si="26"/>
        <v>835.6875</v>
      </c>
      <c r="AF125" s="47">
        <f t="shared" si="27"/>
        <v>208.921875</v>
      </c>
      <c r="AG125" s="47">
        <f t="shared" si="28"/>
        <v>52.23046875</v>
      </c>
      <c r="AH125" s="47">
        <f t="shared" si="29"/>
        <v>13.0576171875</v>
      </c>
      <c r="AI125" s="47">
        <f t="shared" si="30"/>
        <v>3.264404296875</v>
      </c>
      <c r="AJ125">
        <f ca="1">MIN(INT(SUM(AD125:$AI125)/OFFSET($AV$2,MATCH(AD$3,$AE$3:$AI$3,0),0)),6-SUM(AK125:$AO125))</f>
        <v>0</v>
      </c>
      <c r="AK125">
        <f ca="1">MIN(INT(SUM(AE125:$AI125)/OFFSET($AV$2,MATCH(AE$3,$AE$3:$AI$3,0),0)),6-SUM(AL125:$AO125))</f>
        <v>0</v>
      </c>
      <c r="AL125">
        <f ca="1">MIN(INT(SUM(AF125:$AI125)/OFFSET($AV$2,MATCH(AF$3,$AE$3:$AI$3,0),0)),6-SUM(AM125:$AO125))</f>
        <v>0</v>
      </c>
      <c r="AM125">
        <f ca="1">MIN(INT((SUM(AG125:$AI125)+N125*2/6)/OFFSET($AV$2,MATCH(AG$3,$AE$3:$AI$3,0),0)),6-SUM(AN125:$AO125))</f>
        <v>2</v>
      </c>
      <c r="AN125">
        <f ca="1">MIN(INT(SUM(AH125:$AI125)/OFFSET($AV$2,MATCH(AH$3,$AE$3:$AI$3,0),0)),6-SUM(AO125:$AO125))</f>
        <v>3</v>
      </c>
      <c r="AO125">
        <f ca="1">INT(SUM(AI124:$AI125)/OFFSET($AV$2,MATCH(AI$3,$AE$3:$AI$3,0),0))</f>
        <v>1</v>
      </c>
      <c r="AP125" cm="1">
        <f ca="1" t="array" ref="AP125">SUMPRODUCT(AJ125:AO125,TRANSPOSE($AS$3:$AS$8))</f>
        <v>2.34</v>
      </c>
    </row>
    <row r="126" ht="16.5" spans="14:42">
      <c r="N126" s="2">
        <v>123</v>
      </c>
      <c r="O126" s="45">
        <f>产出预期!AN142</f>
        <v>13484</v>
      </c>
      <c r="P126" s="2">
        <f ca="1">练度预期!M125</f>
        <v>30</v>
      </c>
      <c r="Q126" s="2" t="str">
        <f ca="1" t="shared" si="31"/>
        <v>橙</v>
      </c>
      <c r="R126" s="46">
        <f ca="1" t="shared" si="32"/>
        <v>0</v>
      </c>
      <c r="S126" s="47">
        <f ca="1" t="shared" si="19"/>
        <v>11.5824488888889</v>
      </c>
      <c r="T126" s="47">
        <f ca="1">MIN(1+($O126*1.4+产出预期!AC142*60)/OFFSET($J$14,MATCH(T$3,$T$3:$W$3,0),0),18)</f>
        <v>14.2271111111111</v>
      </c>
      <c r="U126" s="47">
        <f ca="1">MIN(($O126*1.4+产出预期!$AC142*60)/OFFSET($J$14,MATCH(U$3,$T$3:$W$3,0),0),3)</f>
        <v>3</v>
      </c>
      <c r="V126" s="47">
        <f ca="1">MIN(($O126*1.4+产出预期!$AC142*60)/OFFSET($J$14,MATCH(V$3,$T$3:$W$3,0),0),18)</f>
        <v>0.952352</v>
      </c>
      <c r="W126" s="47">
        <f ca="1">MIN(($O126*1.4+产出预期!$AC142*60)/OFFSET($J$14,MATCH(W$3,$T$3:$W$3,0),0),18)</f>
        <v>0.238088</v>
      </c>
      <c r="X126" s="47">
        <f ca="1" t="shared" si="20"/>
        <v>1.69494693333333</v>
      </c>
      <c r="Y126" s="47">
        <f ca="1" t="shared" si="21"/>
        <v>3.88059509974081</v>
      </c>
      <c r="Z126" s="47">
        <f ca="1" t="shared" si="22"/>
        <v>1.953125</v>
      </c>
      <c r="AA126" s="47">
        <f ca="1" t="shared" si="23"/>
        <v>1.30265324158399</v>
      </c>
      <c r="AB126" s="47">
        <f ca="1" t="shared" si="24"/>
        <v>1.04436450872769</v>
      </c>
      <c r="AC126" s="48">
        <f ca="1" t="shared" si="25"/>
        <v>17.4769403730464</v>
      </c>
      <c r="AD126" s="47">
        <f t="shared" si="18"/>
        <v>3371</v>
      </c>
      <c r="AE126" s="47">
        <f t="shared" si="26"/>
        <v>842.75</v>
      </c>
      <c r="AF126" s="47">
        <f t="shared" si="27"/>
        <v>210.6875</v>
      </c>
      <c r="AG126" s="47">
        <f t="shared" si="28"/>
        <v>52.671875</v>
      </c>
      <c r="AH126" s="47">
        <f t="shared" si="29"/>
        <v>13.16796875</v>
      </c>
      <c r="AI126" s="47">
        <f t="shared" si="30"/>
        <v>3.2919921875</v>
      </c>
      <c r="AJ126">
        <f ca="1">MIN(INT(SUM(AD126:$AI126)/OFFSET($AV$2,MATCH(AD$3,$AE$3:$AI$3,0),0)),6-SUM(AK126:$AO126))</f>
        <v>0</v>
      </c>
      <c r="AK126">
        <f ca="1">MIN(INT(SUM(AE126:$AI126)/OFFSET($AV$2,MATCH(AE$3,$AE$3:$AI$3,0),0)),6-SUM(AL126:$AO126))</f>
        <v>0</v>
      </c>
      <c r="AL126">
        <f ca="1">MIN(INT(SUM(AF126:$AI126)/OFFSET($AV$2,MATCH(AF$3,$AE$3:$AI$3,0),0)),6-SUM(AM126:$AO126))</f>
        <v>0</v>
      </c>
      <c r="AM126">
        <f ca="1">MIN(INT((SUM(AG126:$AI126)+N126*2/6)/OFFSET($AV$2,MATCH(AG$3,$AE$3:$AI$3,0),0)),6-SUM(AN126:$AO126))</f>
        <v>2</v>
      </c>
      <c r="AN126">
        <f ca="1">MIN(INT(SUM(AH126:$AI126)/OFFSET($AV$2,MATCH(AH$3,$AE$3:$AI$3,0),0)),6-SUM(AO126:$AO126))</f>
        <v>3</v>
      </c>
      <c r="AO126">
        <f ca="1">INT(SUM(AI125:$AI126)/OFFSET($AV$2,MATCH(AI$3,$AE$3:$AI$3,0),0))</f>
        <v>1</v>
      </c>
      <c r="AP126" cm="1">
        <f ca="1" t="array" ref="AP126">SUMPRODUCT(AJ126:AO126,TRANSPOSE($AS$3:$AS$8))</f>
        <v>2.34</v>
      </c>
    </row>
    <row r="127" ht="16.5" spans="14:42">
      <c r="N127" s="2">
        <v>124</v>
      </c>
      <c r="O127" s="45">
        <f>产出预期!AN143</f>
        <v>13592</v>
      </c>
      <c r="P127" s="2">
        <f ca="1">练度预期!M126</f>
        <v>30</v>
      </c>
      <c r="Q127" s="2" t="str">
        <f ca="1" t="shared" si="31"/>
        <v>橙</v>
      </c>
      <c r="R127" s="46">
        <f ca="1" t="shared" si="32"/>
        <v>0</v>
      </c>
      <c r="S127" s="47">
        <f ca="1" t="shared" si="19"/>
        <v>11.4821688888889</v>
      </c>
      <c r="T127" s="47">
        <f ca="1">MIN(1+($O127*1.4+产出预期!AC143*60)/OFFSET($J$14,MATCH(T$3,$T$3:$W$3,0),0),18)</f>
        <v>14.3191111111111</v>
      </c>
      <c r="U127" s="47">
        <f ca="1">MIN(($O127*1.4+产出预期!$AC143*60)/OFFSET($J$14,MATCH(U$3,$T$3:$W$3,0),0),3)</f>
        <v>3</v>
      </c>
      <c r="V127" s="47">
        <f ca="1">MIN(($O127*1.4+产出预期!$AC143*60)/OFFSET($J$14,MATCH(V$3,$T$3:$W$3,0),0),18)</f>
        <v>0.958976</v>
      </c>
      <c r="W127" s="47">
        <f ca="1">MIN(($O127*1.4+产出预期!$AC143*60)/OFFSET($J$14,MATCH(W$3,$T$3:$W$3,0),0),18)</f>
        <v>0.239744</v>
      </c>
      <c r="X127" s="47">
        <f ca="1" t="shared" si="20"/>
        <v>1.68893013333333</v>
      </c>
      <c r="Y127" s="47">
        <f ca="1" t="shared" si="21"/>
        <v>3.91477186078721</v>
      </c>
      <c r="Z127" s="47">
        <f ca="1" t="shared" si="22"/>
        <v>1.953125</v>
      </c>
      <c r="AA127" s="47">
        <f ca="1" t="shared" si="23"/>
        <v>1.30505106755631</v>
      </c>
      <c r="AB127" s="47">
        <f ca="1" t="shared" si="24"/>
        <v>1.04467987556386</v>
      </c>
      <c r="AC127" s="48">
        <f ca="1" t="shared" si="25"/>
        <v>17.6059277866841</v>
      </c>
      <c r="AD127" s="47">
        <f t="shared" si="18"/>
        <v>3398</v>
      </c>
      <c r="AE127" s="47">
        <f t="shared" si="26"/>
        <v>849.5</v>
      </c>
      <c r="AF127" s="47">
        <f t="shared" si="27"/>
        <v>212.375</v>
      </c>
      <c r="AG127" s="47">
        <f t="shared" si="28"/>
        <v>53.09375</v>
      </c>
      <c r="AH127" s="47">
        <f t="shared" si="29"/>
        <v>13.2734375</v>
      </c>
      <c r="AI127" s="47">
        <f t="shared" si="30"/>
        <v>3.318359375</v>
      </c>
      <c r="AJ127">
        <f ca="1">MIN(INT(SUM(AD127:$AI127)/OFFSET($AV$2,MATCH(AD$3,$AE$3:$AI$3,0),0)),6-SUM(AK127:$AO127))</f>
        <v>0</v>
      </c>
      <c r="AK127">
        <f ca="1">MIN(INT(SUM(AE127:$AI127)/OFFSET($AV$2,MATCH(AE$3,$AE$3:$AI$3,0),0)),6-SUM(AL127:$AO127))</f>
        <v>0</v>
      </c>
      <c r="AL127">
        <f ca="1">MIN(INT(SUM(AF127:$AI127)/OFFSET($AV$2,MATCH(AF$3,$AE$3:$AI$3,0),0)),6-SUM(AM127:$AO127))</f>
        <v>0</v>
      </c>
      <c r="AM127">
        <f ca="1">MIN(INT((SUM(AG127:$AI127)+N127*2/6)/OFFSET($AV$2,MATCH(AG$3,$AE$3:$AI$3,0),0)),6-SUM(AN127:$AO127))</f>
        <v>2</v>
      </c>
      <c r="AN127">
        <f ca="1">MIN(INT(SUM(AH127:$AI127)/OFFSET($AV$2,MATCH(AH$3,$AE$3:$AI$3,0),0)),6-SUM(AO127:$AO127))</f>
        <v>3</v>
      </c>
      <c r="AO127">
        <f ca="1">INT(SUM(AI126:$AI127)/OFFSET($AV$2,MATCH(AI$3,$AE$3:$AI$3,0),0))</f>
        <v>1</v>
      </c>
      <c r="AP127" cm="1">
        <f ca="1" t="array" ref="AP127">SUMPRODUCT(AJ127:AO127,TRANSPOSE($AS$3:$AS$8))</f>
        <v>2.34</v>
      </c>
    </row>
    <row r="128" ht="16.5" spans="14:42">
      <c r="N128" s="2">
        <v>125</v>
      </c>
      <c r="O128" s="45">
        <f>产出预期!AN144</f>
        <v>13700</v>
      </c>
      <c r="P128" s="2">
        <f ca="1">练度预期!M127</f>
        <v>30</v>
      </c>
      <c r="Q128" s="2" t="str">
        <f ca="1" t="shared" si="31"/>
        <v>橙</v>
      </c>
      <c r="R128" s="46">
        <f ca="1" t="shared" si="32"/>
        <v>0</v>
      </c>
      <c r="S128" s="47">
        <f ca="1" t="shared" si="19"/>
        <v>11.3637222222222</v>
      </c>
      <c r="T128" s="47">
        <f ca="1">MIN(1+($O128*1.4+产出预期!AC144*60)/OFFSET($J$14,MATCH(T$3,$T$3:$W$3,0),0),18)</f>
        <v>14.4277777777778</v>
      </c>
      <c r="U128" s="47">
        <f ca="1">MIN(($O128*1.4+产出预期!$AC144*60)/OFFSET($J$14,MATCH(U$3,$T$3:$W$3,0),0),3)</f>
        <v>3</v>
      </c>
      <c r="V128" s="47">
        <f ca="1">MIN(($O128*1.4+产出预期!$AC144*60)/OFFSET($J$14,MATCH(V$3,$T$3:$W$3,0),0),18)</f>
        <v>0.9668</v>
      </c>
      <c r="W128" s="47">
        <f ca="1">MIN(($O128*1.4+产出预期!$AC144*60)/OFFSET($J$14,MATCH(W$3,$T$3:$W$3,0),0),18)</f>
        <v>0.2417</v>
      </c>
      <c r="X128" s="47">
        <f ca="1" t="shared" si="20"/>
        <v>1.68182333333333</v>
      </c>
      <c r="Y128" s="47">
        <f ca="1" t="shared" si="21"/>
        <v>3.95552799988718</v>
      </c>
      <c r="Z128" s="47">
        <f ca="1" t="shared" si="22"/>
        <v>1.953125</v>
      </c>
      <c r="AA128" s="47">
        <f ca="1" t="shared" si="23"/>
        <v>1.30788896847274</v>
      </c>
      <c r="AB128" s="47">
        <f ca="1" t="shared" si="24"/>
        <v>1.04505249674761</v>
      </c>
      <c r="AC128" s="48">
        <f ca="1" t="shared" si="25"/>
        <v>17.7592188634708</v>
      </c>
      <c r="AD128" s="47">
        <f t="shared" si="18"/>
        <v>3425</v>
      </c>
      <c r="AE128" s="47">
        <f t="shared" si="26"/>
        <v>856.25</v>
      </c>
      <c r="AF128" s="47">
        <f t="shared" si="27"/>
        <v>214.0625</v>
      </c>
      <c r="AG128" s="47">
        <f t="shared" si="28"/>
        <v>53.515625</v>
      </c>
      <c r="AH128" s="47">
        <f t="shared" si="29"/>
        <v>13.37890625</v>
      </c>
      <c r="AI128" s="47">
        <f t="shared" si="30"/>
        <v>3.3447265625</v>
      </c>
      <c r="AJ128">
        <f ca="1">MIN(INT(SUM(AD128:$AI128)/OFFSET($AV$2,MATCH(AD$3,$AE$3:$AI$3,0),0)),6-SUM(AK128:$AO128))</f>
        <v>0</v>
      </c>
      <c r="AK128">
        <f ca="1">MIN(INT(SUM(AE128:$AI128)/OFFSET($AV$2,MATCH(AE$3,$AE$3:$AI$3,0),0)),6-SUM(AL128:$AO128))</f>
        <v>0</v>
      </c>
      <c r="AL128">
        <f ca="1">MIN(INT(SUM(AF128:$AI128)/OFFSET($AV$2,MATCH(AF$3,$AE$3:$AI$3,0),0)),6-SUM(AM128:$AO128))</f>
        <v>0</v>
      </c>
      <c r="AM128">
        <f ca="1">MIN(INT((SUM(AG128:$AI128)+N128*2/6)/OFFSET($AV$2,MATCH(AG$3,$AE$3:$AI$3,0),0)),6-SUM(AN128:$AO128))</f>
        <v>2</v>
      </c>
      <c r="AN128">
        <f ca="1">MIN(INT(SUM(AH128:$AI128)/OFFSET($AV$2,MATCH(AH$3,$AE$3:$AI$3,0),0)),6-SUM(AO128:$AO128))</f>
        <v>3</v>
      </c>
      <c r="AO128">
        <f ca="1">INT(SUM(AI127:$AI128)/OFFSET($AV$2,MATCH(AI$3,$AE$3:$AI$3,0),0))</f>
        <v>1</v>
      </c>
      <c r="AP128" cm="1">
        <f ca="1" t="array" ref="AP128">SUMPRODUCT(AJ128:AO128,TRANSPOSE($AS$3:$AS$8))</f>
        <v>2.34</v>
      </c>
    </row>
    <row r="129" ht="16.5" spans="14:42">
      <c r="N129" s="2">
        <v>126</v>
      </c>
      <c r="O129" s="45">
        <f>产出预期!AN145</f>
        <v>13818</v>
      </c>
      <c r="P129" s="2">
        <f ca="1">练度预期!M128</f>
        <v>30</v>
      </c>
      <c r="Q129" s="2" t="str">
        <f ca="1" t="shared" si="31"/>
        <v>橙</v>
      </c>
      <c r="R129" s="46">
        <f ca="1" t="shared" si="32"/>
        <v>0</v>
      </c>
      <c r="S129" s="47">
        <f ca="1" t="shared" si="19"/>
        <v>11.2410366666667</v>
      </c>
      <c r="T129" s="47">
        <f ca="1">MIN(1+($O129*1.4+产出预期!AC145*60)/OFFSET($J$14,MATCH(T$3,$T$3:$W$3,0),0),18)</f>
        <v>14.5403333333333</v>
      </c>
      <c r="U129" s="47">
        <f ca="1">MIN(($O129*1.4+产出预期!$AC145*60)/OFFSET($J$14,MATCH(U$3,$T$3:$W$3,0),0),3)</f>
        <v>3</v>
      </c>
      <c r="V129" s="47">
        <f ca="1">MIN(($O129*1.4+产出预期!$AC145*60)/OFFSET($J$14,MATCH(V$3,$T$3:$W$3,0),0),18)</f>
        <v>0.974904</v>
      </c>
      <c r="W129" s="47">
        <f ca="1">MIN(($O129*1.4+产出预期!$AC145*60)/OFFSET($J$14,MATCH(W$3,$T$3:$W$3,0),0),18)</f>
        <v>0.243726</v>
      </c>
      <c r="X129" s="47">
        <f ca="1" t="shared" si="20"/>
        <v>1.6744622</v>
      </c>
      <c r="Y129" s="47">
        <f ca="1" t="shared" si="21"/>
        <v>3.99819010276927</v>
      </c>
      <c r="Z129" s="47">
        <f ca="1" t="shared" si="22"/>
        <v>1.953125</v>
      </c>
      <c r="AA129" s="47">
        <f ca="1" t="shared" si="23"/>
        <v>1.31083493681699</v>
      </c>
      <c r="AB129" s="47">
        <f ca="1" t="shared" si="24"/>
        <v>1.04543859317387</v>
      </c>
      <c r="AC129" s="48">
        <f ca="1" t="shared" si="25"/>
        <v>17.9190657506946</v>
      </c>
      <c r="AD129" s="47">
        <f t="shared" si="18"/>
        <v>3454.5</v>
      </c>
      <c r="AE129" s="47">
        <f t="shared" si="26"/>
        <v>863.625</v>
      </c>
      <c r="AF129" s="47">
        <f t="shared" si="27"/>
        <v>215.90625</v>
      </c>
      <c r="AG129" s="47">
        <f t="shared" si="28"/>
        <v>53.9765625</v>
      </c>
      <c r="AH129" s="47">
        <f t="shared" si="29"/>
        <v>13.494140625</v>
      </c>
      <c r="AI129" s="47">
        <f t="shared" si="30"/>
        <v>3.37353515625</v>
      </c>
      <c r="AJ129">
        <f ca="1">MIN(INT(SUM(AD129:$AI129)/OFFSET($AV$2,MATCH(AD$3,$AE$3:$AI$3,0),0)),6-SUM(AK129:$AO129))</f>
        <v>0</v>
      </c>
      <c r="AK129">
        <f ca="1">MIN(INT(SUM(AE129:$AI129)/OFFSET($AV$2,MATCH(AE$3,$AE$3:$AI$3,0),0)),6-SUM(AL129:$AO129))</f>
        <v>0</v>
      </c>
      <c r="AL129">
        <f ca="1">MIN(INT(SUM(AF129:$AI129)/OFFSET($AV$2,MATCH(AF$3,$AE$3:$AI$3,0),0)),6-SUM(AM129:$AO129))</f>
        <v>0</v>
      </c>
      <c r="AM129">
        <f ca="1">MIN(INT((SUM(AG129:$AI129)+N129*2/6)/OFFSET($AV$2,MATCH(AG$3,$AE$3:$AI$3,0),0)),6-SUM(AN129:$AO129))</f>
        <v>2</v>
      </c>
      <c r="AN129">
        <f ca="1">MIN(INT(SUM(AH129:$AI129)/OFFSET($AV$2,MATCH(AH$3,$AE$3:$AI$3,0),0)),6-SUM(AO129:$AO129))</f>
        <v>3</v>
      </c>
      <c r="AO129">
        <f ca="1">INT(SUM(AI128:$AI129)/OFFSET($AV$2,MATCH(AI$3,$AE$3:$AI$3,0),0))</f>
        <v>1</v>
      </c>
      <c r="AP129" cm="1">
        <f ca="1" t="array" ref="AP129">SUMPRODUCT(AJ129:AO129,TRANSPOSE($AS$3:$AS$8))</f>
        <v>2.34</v>
      </c>
    </row>
    <row r="130" ht="16.5" spans="14:42">
      <c r="N130" s="2">
        <v>127</v>
      </c>
      <c r="O130" s="45">
        <f>产出预期!AN146</f>
        <v>13898</v>
      </c>
      <c r="P130" s="2">
        <f ca="1">练度预期!M129</f>
        <v>30</v>
      </c>
      <c r="Q130" s="2" t="str">
        <f ca="1" t="shared" si="31"/>
        <v>橙</v>
      </c>
      <c r="R130" s="46">
        <f ca="1" t="shared" si="32"/>
        <v>0</v>
      </c>
      <c r="S130" s="47">
        <f ca="1" t="shared" si="19"/>
        <v>11.1526255555556</v>
      </c>
      <c r="T130" s="47">
        <f ca="1">MIN(1+($O130*1.4+产出预期!AC146*60)/OFFSET($J$14,MATCH(T$3,$T$3:$W$3,0),0),18)</f>
        <v>14.6214444444444</v>
      </c>
      <c r="U130" s="47">
        <f ca="1">MIN(($O130*1.4+产出预期!$AC146*60)/OFFSET($J$14,MATCH(U$3,$T$3:$W$3,0),0),3)</f>
        <v>3</v>
      </c>
      <c r="V130" s="47">
        <f ca="1">MIN(($O130*1.4+产出预期!$AC146*60)/OFFSET($J$14,MATCH(V$3,$T$3:$W$3,0),0),18)</f>
        <v>0.980744</v>
      </c>
      <c r="W130" s="47">
        <f ca="1">MIN(($O130*1.4+产出预期!$AC146*60)/OFFSET($J$14,MATCH(W$3,$T$3:$W$3,0),0),18)</f>
        <v>0.245186</v>
      </c>
      <c r="X130" s="47">
        <f ca="1" t="shared" si="20"/>
        <v>1.66915753333333</v>
      </c>
      <c r="Y130" s="47">
        <f ca="1" t="shared" si="21"/>
        <v>4.02921875158812</v>
      </c>
      <c r="Z130" s="47">
        <f ca="1" t="shared" si="22"/>
        <v>1.953125</v>
      </c>
      <c r="AA130" s="47">
        <f ca="1" t="shared" si="23"/>
        <v>1.31296200831389</v>
      </c>
      <c r="AB130" s="47">
        <f ca="1" t="shared" si="24"/>
        <v>1.04571691496348</v>
      </c>
      <c r="AC130" s="48">
        <f ca="1" t="shared" si="25"/>
        <v>18.0349318236979</v>
      </c>
      <c r="AD130" s="47">
        <f t="shared" si="18"/>
        <v>3474.5</v>
      </c>
      <c r="AE130" s="47">
        <f t="shared" si="26"/>
        <v>868.625</v>
      </c>
      <c r="AF130" s="47">
        <f t="shared" si="27"/>
        <v>217.15625</v>
      </c>
      <c r="AG130" s="47">
        <f t="shared" si="28"/>
        <v>54.2890625</v>
      </c>
      <c r="AH130" s="47">
        <f t="shared" si="29"/>
        <v>13.572265625</v>
      </c>
      <c r="AI130" s="47">
        <f t="shared" si="30"/>
        <v>3.39306640625</v>
      </c>
      <c r="AJ130">
        <f ca="1">MIN(INT(SUM(AD130:$AI130)/OFFSET($AV$2,MATCH(AD$3,$AE$3:$AI$3,0),0)),6-SUM(AK130:$AO130))</f>
        <v>0</v>
      </c>
      <c r="AK130">
        <f ca="1">MIN(INT(SUM(AE130:$AI130)/OFFSET($AV$2,MATCH(AE$3,$AE$3:$AI$3,0),0)),6-SUM(AL130:$AO130))</f>
        <v>0</v>
      </c>
      <c r="AL130">
        <f ca="1">MIN(INT(SUM(AF130:$AI130)/OFFSET($AV$2,MATCH(AF$3,$AE$3:$AI$3,0),0)),6-SUM(AM130:$AO130))</f>
        <v>0</v>
      </c>
      <c r="AM130">
        <f ca="1">MIN(INT((SUM(AG130:$AI130)+N130*2/6)/OFFSET($AV$2,MATCH(AG$3,$AE$3:$AI$3,0),0)),6-SUM(AN130:$AO130))</f>
        <v>2</v>
      </c>
      <c r="AN130">
        <f ca="1">MIN(INT(SUM(AH130:$AI130)/OFFSET($AV$2,MATCH(AH$3,$AE$3:$AI$3,0),0)),6-SUM(AO130:$AO130))</f>
        <v>3</v>
      </c>
      <c r="AO130">
        <f ca="1">INT(SUM(AI129:$AI130)/OFFSET($AV$2,MATCH(AI$3,$AE$3:$AI$3,0),0))</f>
        <v>1</v>
      </c>
      <c r="AP130" cm="1">
        <f ca="1" t="array" ref="AP130">SUMPRODUCT(AJ130:AO130,TRANSPOSE($AS$3:$AS$8))</f>
        <v>2.34</v>
      </c>
    </row>
    <row r="131" ht="16.5" spans="14:42">
      <c r="N131" s="2">
        <v>128</v>
      </c>
      <c r="O131" s="45">
        <f>产出预期!AN147</f>
        <v>14011</v>
      </c>
      <c r="P131" s="2">
        <f ca="1">练度预期!M130</f>
        <v>30</v>
      </c>
      <c r="Q131" s="2" t="str">
        <f ca="1" t="shared" si="31"/>
        <v>橙</v>
      </c>
      <c r="R131" s="46">
        <f ca="1" t="shared" si="32"/>
        <v>0</v>
      </c>
      <c r="S131" s="47">
        <f ca="1" t="shared" si="19"/>
        <v>11.0320594444444</v>
      </c>
      <c r="T131" s="47">
        <f ca="1">MIN(1+($O131*1.4+产出预期!AC147*60)/OFFSET($J$14,MATCH(T$3,$T$3:$W$3,0),0),18)</f>
        <v>14.7320555555556</v>
      </c>
      <c r="U131" s="47">
        <f ca="1">MIN(($O131*1.4+产出预期!$AC147*60)/OFFSET($J$14,MATCH(U$3,$T$3:$W$3,0),0),3)</f>
        <v>3</v>
      </c>
      <c r="V131" s="47">
        <f ca="1">MIN(($O131*1.4+产出预期!$AC147*60)/OFFSET($J$14,MATCH(V$3,$T$3:$W$3,0),0),18)</f>
        <v>0.988708</v>
      </c>
      <c r="W131" s="47">
        <f ca="1">MIN(($O131*1.4+产出预期!$AC147*60)/OFFSET($J$14,MATCH(W$3,$T$3:$W$3,0),0),18)</f>
        <v>0.247177</v>
      </c>
      <c r="X131" s="47">
        <f ca="1" t="shared" si="20"/>
        <v>1.66192356666667</v>
      </c>
      <c r="Y131" s="47">
        <f ca="1" t="shared" si="21"/>
        <v>4.07192094141782</v>
      </c>
      <c r="Z131" s="47">
        <f ca="1" t="shared" si="22"/>
        <v>1.953125</v>
      </c>
      <c r="AA131" s="47">
        <f ca="1" t="shared" si="23"/>
        <v>1.31586825673591</v>
      </c>
      <c r="AB131" s="47">
        <f ca="1" t="shared" si="24"/>
        <v>1.04609658143037</v>
      </c>
      <c r="AC131" s="48">
        <f ca="1" t="shared" si="25"/>
        <v>18.1938502550725</v>
      </c>
      <c r="AD131" s="47">
        <f t="shared" si="18"/>
        <v>3502.75</v>
      </c>
      <c r="AE131" s="47">
        <f t="shared" si="26"/>
        <v>875.6875</v>
      </c>
      <c r="AF131" s="47">
        <f t="shared" si="27"/>
        <v>218.921875</v>
      </c>
      <c r="AG131" s="47">
        <f t="shared" si="28"/>
        <v>54.73046875</v>
      </c>
      <c r="AH131" s="47">
        <f t="shared" si="29"/>
        <v>13.6826171875</v>
      </c>
      <c r="AI131" s="47">
        <f t="shared" si="30"/>
        <v>3.420654296875</v>
      </c>
      <c r="AJ131">
        <f ca="1">MIN(INT(SUM(AD131:$AI131)/OFFSET($AV$2,MATCH(AD$3,$AE$3:$AI$3,0),0)),6-SUM(AK131:$AO131))</f>
        <v>0</v>
      </c>
      <c r="AK131">
        <f ca="1">MIN(INT(SUM(AE131:$AI131)/OFFSET($AV$2,MATCH(AE$3,$AE$3:$AI$3,0),0)),6-SUM(AL131:$AO131))</f>
        <v>0</v>
      </c>
      <c r="AL131">
        <f ca="1">MIN(INT(SUM(AF131:$AI131)/OFFSET($AV$2,MATCH(AF$3,$AE$3:$AI$3,0),0)),6-SUM(AM131:$AO131))</f>
        <v>0</v>
      </c>
      <c r="AM131">
        <f ca="1">MIN(INT((SUM(AG131:$AI131)+N131*2/6)/OFFSET($AV$2,MATCH(AG$3,$AE$3:$AI$3,0),0)),6-SUM(AN131:$AO131))</f>
        <v>2</v>
      </c>
      <c r="AN131">
        <f ca="1">MIN(INT(SUM(AH131:$AI131)/OFFSET($AV$2,MATCH(AH$3,$AE$3:$AI$3,0),0)),6-SUM(AO131:$AO131))</f>
        <v>3</v>
      </c>
      <c r="AO131">
        <f ca="1">INT(SUM(AI130:$AI131)/OFFSET($AV$2,MATCH(AI$3,$AE$3:$AI$3,0),0))</f>
        <v>1</v>
      </c>
      <c r="AP131" cm="1">
        <f ca="1" t="array" ref="AP131">SUMPRODUCT(AJ131:AO131,TRANSPOSE($AS$3:$AS$8))</f>
        <v>2.34</v>
      </c>
    </row>
    <row r="132" ht="16.5" spans="14:42">
      <c r="N132" s="2">
        <v>129</v>
      </c>
      <c r="O132" s="45">
        <f>产出预期!AN148</f>
        <v>14119</v>
      </c>
      <c r="P132" s="2">
        <f ca="1">练度预期!M131</f>
        <v>30</v>
      </c>
      <c r="Q132" s="2" t="str">
        <f ca="1" t="shared" si="31"/>
        <v>橙</v>
      </c>
      <c r="R132" s="46">
        <f ca="1" t="shared" si="32"/>
        <v>0</v>
      </c>
      <c r="S132" s="47">
        <f ca="1" t="shared" si="19"/>
        <v>10.9317794444444</v>
      </c>
      <c r="T132" s="47">
        <f ca="1">MIN(1+($O132*1.4+产出预期!AC148*60)/OFFSET($J$14,MATCH(T$3,$T$3:$W$3,0),0),18)</f>
        <v>14.8240555555556</v>
      </c>
      <c r="U132" s="47">
        <f ca="1">MIN(($O132*1.4+产出预期!$AC148*60)/OFFSET($J$14,MATCH(U$3,$T$3:$W$3,0),0),3)</f>
        <v>3</v>
      </c>
      <c r="V132" s="47">
        <f ca="1">MIN(($O132*1.4+产出预期!$AC148*60)/OFFSET($J$14,MATCH(V$3,$T$3:$W$3,0),0),18)</f>
        <v>0.995332</v>
      </c>
      <c r="W132" s="47">
        <f ca="1">MIN(($O132*1.4+产出预期!$AC148*60)/OFFSET($J$14,MATCH(W$3,$T$3:$W$3,0),0),18)</f>
        <v>0.248833</v>
      </c>
      <c r="X132" s="47">
        <f ca="1" t="shared" si="20"/>
        <v>1.65590676666667</v>
      </c>
      <c r="Y132" s="47">
        <f ca="1" t="shared" si="21"/>
        <v>4.10778272690118</v>
      </c>
      <c r="Z132" s="47">
        <f ca="1" t="shared" si="22"/>
        <v>1.953125</v>
      </c>
      <c r="AA132" s="47">
        <f ca="1" t="shared" si="23"/>
        <v>1.31829040791279</v>
      </c>
      <c r="AB132" s="47">
        <f ca="1" t="shared" si="24"/>
        <v>1.04641247130068</v>
      </c>
      <c r="AC132" s="48">
        <f ca="1" t="shared" si="25"/>
        <v>18.3268313499641</v>
      </c>
      <c r="AD132" s="47">
        <f t="shared" ref="AD132:AD195" si="33">$O132/AD$2</f>
        <v>3529.75</v>
      </c>
      <c r="AE132" s="47">
        <f t="shared" si="26"/>
        <v>882.4375</v>
      </c>
      <c r="AF132" s="47">
        <f t="shared" si="27"/>
        <v>220.609375</v>
      </c>
      <c r="AG132" s="47">
        <f t="shared" si="28"/>
        <v>55.15234375</v>
      </c>
      <c r="AH132" s="47">
        <f t="shared" si="29"/>
        <v>13.7880859375</v>
      </c>
      <c r="AI132" s="47">
        <f t="shared" si="30"/>
        <v>3.447021484375</v>
      </c>
      <c r="AJ132">
        <f ca="1">MIN(INT(SUM(AD132:$AI132)/OFFSET($AV$2,MATCH(AD$3,$AE$3:$AI$3,0),0)),6-SUM(AK132:$AO132))</f>
        <v>0</v>
      </c>
      <c r="AK132">
        <f ca="1">MIN(INT(SUM(AE132:$AI132)/OFFSET($AV$2,MATCH(AE$3,$AE$3:$AI$3,0),0)),6-SUM(AL132:$AO132))</f>
        <v>0</v>
      </c>
      <c r="AL132">
        <f ca="1">MIN(INT(SUM(AF132:$AI132)/OFFSET($AV$2,MATCH(AF$3,$AE$3:$AI$3,0),0)),6-SUM(AM132:$AO132))</f>
        <v>0</v>
      </c>
      <c r="AM132">
        <f ca="1">MIN(INT((SUM(AG132:$AI132)+N132*2/6)/OFFSET($AV$2,MATCH(AG$3,$AE$3:$AI$3,0),0)),6-SUM(AN132:$AO132))</f>
        <v>2</v>
      </c>
      <c r="AN132">
        <f ca="1">MIN(INT(SUM(AH132:$AI132)/OFFSET($AV$2,MATCH(AH$3,$AE$3:$AI$3,0),0)),6-SUM(AO132:$AO132))</f>
        <v>3</v>
      </c>
      <c r="AO132">
        <f ca="1">INT(SUM(AI131:$AI132)/OFFSET($AV$2,MATCH(AI$3,$AE$3:$AI$3,0),0))</f>
        <v>1</v>
      </c>
      <c r="AP132" cm="1">
        <f ca="1" t="array" ref="AP132">SUMPRODUCT(AJ132:AO132,TRANSPOSE($AS$3:$AS$8))</f>
        <v>2.34</v>
      </c>
    </row>
    <row r="133" ht="16.5" spans="14:42">
      <c r="N133" s="2">
        <v>130</v>
      </c>
      <c r="O133" s="45">
        <f>产出预期!AN149</f>
        <v>14232</v>
      </c>
      <c r="P133" s="2">
        <f ca="1">练度预期!M132</f>
        <v>30</v>
      </c>
      <c r="Q133" s="2" t="str">
        <f ca="1" t="shared" si="31"/>
        <v>橙</v>
      </c>
      <c r="R133" s="46">
        <f ca="1" t="shared" si="32"/>
        <v>0</v>
      </c>
      <c r="S133" s="47">
        <f ca="1" t="shared" ref="S133:S196" si="34">MAX(P133-SUM(T133:W133),0)</f>
        <v>10.8112133333333</v>
      </c>
      <c r="T133" s="47">
        <f ca="1">MIN(1+($O133*1.4+产出预期!AC149*60)/OFFSET($J$14,MATCH(T$3,$T$3:$W$3,0),0),18)</f>
        <v>14.9346666666667</v>
      </c>
      <c r="U133" s="47">
        <f ca="1">MIN(($O133*1.4+产出预期!$AC149*60)/OFFSET($J$14,MATCH(U$3,$T$3:$W$3,0),0),3)</f>
        <v>3</v>
      </c>
      <c r="V133" s="47">
        <f ca="1">MIN(($O133*1.4+产出预期!$AC149*60)/OFFSET($J$14,MATCH(V$3,$T$3:$W$3,0),0),18)</f>
        <v>1.003296</v>
      </c>
      <c r="W133" s="47">
        <f ca="1">MIN(($O133*1.4+产出预期!$AC149*60)/OFFSET($J$14,MATCH(W$3,$T$3:$W$3,0),0),18)</f>
        <v>0.250824</v>
      </c>
      <c r="X133" s="47">
        <f ca="1" t="shared" ref="X133:X196" si="35">1+S133*(1-R133)*OFFSET(D$3,MATCH(Q133,$B$4:$B$10,0),0)+S133*R133*OFFSET(D$3,1+MATCH(Q133,$B$4:$B$10,0),0)</f>
        <v>1.6486728</v>
      </c>
      <c r="Y133" s="47">
        <f ca="1" t="shared" ref="Y133:Y196" si="36">(1+_xlfn.XLOOKUP($Q133,$B$3:$B$10,F$3:F$10))^T133</f>
        <v>4.15131754806575</v>
      </c>
      <c r="Z133" s="47">
        <f ca="1" t="shared" ref="Z133:Z196" si="37">(1+_xlfn.XLOOKUP($Q133,$B$3:$B$10,I$3:I$10))^U133</f>
        <v>1.953125</v>
      </c>
      <c r="AA133" s="47">
        <f ca="1" t="shared" ref="AA133:AA196" si="38">(1+_xlfn.XLOOKUP($Q133,$B$3:$B$10,J$3:J$10))^V133</f>
        <v>1.32120845077579</v>
      </c>
      <c r="AB133" s="47">
        <f ca="1" t="shared" ref="AB133:AB196" si="39">(1+_xlfn.XLOOKUP($Q133,$B$3:$B$10,K$3:K$10))^W133</f>
        <v>1.0467923903019</v>
      </c>
      <c r="AC133" s="48">
        <f ca="1" t="shared" ref="AC133:AC196" si="40">X133*Y133*Z133*AA133*AB133</f>
        <v>18.4876779391407</v>
      </c>
      <c r="AD133" s="47">
        <f t="shared" si="33"/>
        <v>3558</v>
      </c>
      <c r="AE133" s="47">
        <f t="shared" ref="AE133:AE196" si="41">$O133/AE$2</f>
        <v>889.5</v>
      </c>
      <c r="AF133" s="47">
        <f t="shared" ref="AF133:AF196" si="42">$O133/AF$2</f>
        <v>222.375</v>
      </c>
      <c r="AG133" s="47">
        <f t="shared" ref="AG133:AG196" si="43">$O133/AG$2</f>
        <v>55.59375</v>
      </c>
      <c r="AH133" s="47">
        <f t="shared" ref="AH133:AH196" si="44">$O133/AH$2</f>
        <v>13.8984375</v>
      </c>
      <c r="AI133" s="47">
        <f t="shared" ref="AI133:AI196" si="45">$O133/AI$2</f>
        <v>3.474609375</v>
      </c>
      <c r="AJ133">
        <f ca="1">MIN(INT(SUM(AD133:$AI133)/OFFSET($AV$2,MATCH(AD$3,$AE$3:$AI$3,0),0)),6-SUM(AK133:$AO133))</f>
        <v>0</v>
      </c>
      <c r="AK133">
        <f ca="1">MIN(INT(SUM(AE133:$AI133)/OFFSET($AV$2,MATCH(AE$3,$AE$3:$AI$3,0),0)),6-SUM(AL133:$AO133))</f>
        <v>0</v>
      </c>
      <c r="AL133">
        <f ca="1">MIN(INT(SUM(AF133:$AI133)/OFFSET($AV$2,MATCH(AF$3,$AE$3:$AI$3,0),0)),6-SUM(AM133:$AO133))</f>
        <v>0</v>
      </c>
      <c r="AM133">
        <f ca="1">MIN(INT((SUM(AG133:$AI133)+N133*2/6)/OFFSET($AV$2,MATCH(AG$3,$AE$3:$AI$3,0),0)),6-SUM(AN133:$AO133))</f>
        <v>2</v>
      </c>
      <c r="AN133">
        <f ca="1">MIN(INT(SUM(AH133:$AI133)/OFFSET($AV$2,MATCH(AH$3,$AE$3:$AI$3,0),0)),6-SUM(AO133:$AO133))</f>
        <v>3</v>
      </c>
      <c r="AO133">
        <f ca="1">INT(SUM(AI132:$AI133)/OFFSET($AV$2,MATCH(AI$3,$AE$3:$AI$3,0),0))</f>
        <v>1</v>
      </c>
      <c r="AP133" cm="1">
        <f ca="1" t="array" ref="AP133">SUMPRODUCT(AJ133:AO133,TRANSPOSE($AS$3:$AS$8))</f>
        <v>2.34</v>
      </c>
    </row>
    <row r="134" ht="16.5" spans="14:42">
      <c r="N134" s="2">
        <v>131</v>
      </c>
      <c r="O134" s="45">
        <f>产出预期!AN150</f>
        <v>14340</v>
      </c>
      <c r="P134" s="2">
        <f ca="1">练度预期!M133</f>
        <v>30</v>
      </c>
      <c r="Q134" s="2" t="str">
        <f ca="1" t="shared" ref="Q134:Q197" si="46">OFFSET($E$14,MATCH(O134/P134,$G$15:$G$21,1),0)</f>
        <v>橙</v>
      </c>
      <c r="R134" s="46">
        <f ca="1" t="shared" ref="R134:R197" si="47">IF(Q134="橙",0,SQRT(O134/P134/(4^(MATCH(O134/P134,$G$15:$G$21,1)-1)))-1)</f>
        <v>0</v>
      </c>
      <c r="S134" s="47">
        <f ca="1" t="shared" si="34"/>
        <v>10.7109333333333</v>
      </c>
      <c r="T134" s="47">
        <f ca="1">MIN(1+($O134*1.4+产出预期!AC150*60)/OFFSET($J$14,MATCH(T$3,$T$3:$W$3,0),0),18)</f>
        <v>15.0266666666667</v>
      </c>
      <c r="U134" s="47">
        <f ca="1">MIN(($O134*1.4+产出预期!$AC150*60)/OFFSET($J$14,MATCH(U$3,$T$3:$W$3,0),0),3)</f>
        <v>3</v>
      </c>
      <c r="V134" s="47">
        <f ca="1">MIN(($O134*1.4+产出预期!$AC150*60)/OFFSET($J$14,MATCH(V$3,$T$3:$W$3,0),0),18)</f>
        <v>1.00992</v>
      </c>
      <c r="W134" s="47">
        <f ca="1">MIN(($O134*1.4+产出预期!$AC150*60)/OFFSET($J$14,MATCH(W$3,$T$3:$W$3,0),0),18)</f>
        <v>0.25248</v>
      </c>
      <c r="X134" s="47">
        <f ca="1" t="shared" si="35"/>
        <v>1.642656</v>
      </c>
      <c r="Y134" s="47">
        <f ca="1" t="shared" si="36"/>
        <v>4.18787858682948</v>
      </c>
      <c r="Z134" s="47">
        <f ca="1" t="shared" si="37"/>
        <v>1.953125</v>
      </c>
      <c r="AA134" s="47">
        <f ca="1" t="shared" si="38"/>
        <v>1.32364043177963</v>
      </c>
      <c r="AB134" s="47">
        <f ca="1" t="shared" si="39"/>
        <v>1.04710849028567</v>
      </c>
      <c r="AC134" s="48">
        <f ca="1" t="shared" si="40"/>
        <v>18.6222628040129</v>
      </c>
      <c r="AD134" s="47">
        <f t="shared" si="33"/>
        <v>3585</v>
      </c>
      <c r="AE134" s="47">
        <f t="shared" si="41"/>
        <v>896.25</v>
      </c>
      <c r="AF134" s="47">
        <f t="shared" si="42"/>
        <v>224.0625</v>
      </c>
      <c r="AG134" s="47">
        <f t="shared" si="43"/>
        <v>56.015625</v>
      </c>
      <c r="AH134" s="47">
        <f t="shared" si="44"/>
        <v>14.00390625</v>
      </c>
      <c r="AI134" s="47">
        <f t="shared" si="45"/>
        <v>3.5009765625</v>
      </c>
      <c r="AJ134">
        <f ca="1">MIN(INT(SUM(AD134:$AI134)/OFFSET($AV$2,MATCH(AD$3,$AE$3:$AI$3,0),0)),6-SUM(AK134:$AO134))</f>
        <v>0</v>
      </c>
      <c r="AK134">
        <f ca="1">MIN(INT(SUM(AE134:$AI134)/OFFSET($AV$2,MATCH(AE$3,$AE$3:$AI$3,0),0)),6-SUM(AL134:$AO134))</f>
        <v>0</v>
      </c>
      <c r="AL134">
        <f ca="1">MIN(INT(SUM(AF134:$AI134)/OFFSET($AV$2,MATCH(AF$3,$AE$3:$AI$3,0),0)),6-SUM(AM134:$AO134))</f>
        <v>0</v>
      </c>
      <c r="AM134">
        <f ca="1">MIN(INT((SUM(AG134:$AI134)+N134*2/6)/OFFSET($AV$2,MATCH(AG$3,$AE$3:$AI$3,0),0)),6-SUM(AN134:$AO134))</f>
        <v>2</v>
      </c>
      <c r="AN134">
        <f ca="1">MIN(INT(SUM(AH134:$AI134)/OFFSET($AV$2,MATCH(AH$3,$AE$3:$AI$3,0),0)),6-SUM(AO134:$AO134))</f>
        <v>3</v>
      </c>
      <c r="AO134">
        <f ca="1">INT(SUM(AI133:$AI134)/OFFSET($AV$2,MATCH(AI$3,$AE$3:$AI$3,0),0))</f>
        <v>1</v>
      </c>
      <c r="AP134" cm="1">
        <f ca="1" t="array" ref="AP134">SUMPRODUCT(AJ134:AO134,TRANSPOSE($AS$3:$AS$8))</f>
        <v>2.34</v>
      </c>
    </row>
    <row r="135" ht="16.5" spans="14:42">
      <c r="N135" s="2">
        <v>132</v>
      </c>
      <c r="O135" s="45">
        <f>产出预期!AN151</f>
        <v>14453</v>
      </c>
      <c r="P135" s="2">
        <f ca="1">练度预期!M134</f>
        <v>30</v>
      </c>
      <c r="Q135" s="2" t="str">
        <f ca="1" t="shared" si="46"/>
        <v>橙</v>
      </c>
      <c r="R135" s="46">
        <f ca="1" t="shared" si="47"/>
        <v>0</v>
      </c>
      <c r="S135" s="47">
        <f ca="1" t="shared" si="34"/>
        <v>10.5903672222222</v>
      </c>
      <c r="T135" s="47">
        <f ca="1">MIN(1+($O135*1.4+产出预期!AC151*60)/OFFSET($J$14,MATCH(T$3,$T$3:$W$3,0),0),18)</f>
        <v>15.1372777777778</v>
      </c>
      <c r="U135" s="47">
        <f ca="1">MIN(($O135*1.4+产出预期!$AC151*60)/OFFSET($J$14,MATCH(U$3,$T$3:$W$3,0),0),3)</f>
        <v>3</v>
      </c>
      <c r="V135" s="47">
        <f ca="1">MIN(($O135*1.4+产出预期!$AC151*60)/OFFSET($J$14,MATCH(V$3,$T$3:$W$3,0),0),18)</f>
        <v>1.017884</v>
      </c>
      <c r="W135" s="47">
        <f ca="1">MIN(($O135*1.4+产出预期!$AC151*60)/OFFSET($J$14,MATCH(W$3,$T$3:$W$3,0),0),18)</f>
        <v>0.254471</v>
      </c>
      <c r="X135" s="47">
        <f ca="1" t="shared" si="35"/>
        <v>1.63542203333333</v>
      </c>
      <c r="Y135" s="47">
        <f ca="1" t="shared" si="36"/>
        <v>4.23226227444338</v>
      </c>
      <c r="Z135" s="47">
        <f ca="1" t="shared" si="37"/>
        <v>1.953125</v>
      </c>
      <c r="AA135" s="47">
        <f ca="1" t="shared" si="38"/>
        <v>1.32657031694906</v>
      </c>
      <c r="AB135" s="47">
        <f ca="1" t="shared" si="39"/>
        <v>1.0474886619892</v>
      </c>
      <c r="AC135" s="48">
        <f ca="1" t="shared" si="40"/>
        <v>18.7850373544413</v>
      </c>
      <c r="AD135" s="47">
        <f t="shared" si="33"/>
        <v>3613.25</v>
      </c>
      <c r="AE135" s="47">
        <f t="shared" si="41"/>
        <v>903.3125</v>
      </c>
      <c r="AF135" s="47">
        <f t="shared" si="42"/>
        <v>225.828125</v>
      </c>
      <c r="AG135" s="47">
        <f t="shared" si="43"/>
        <v>56.45703125</v>
      </c>
      <c r="AH135" s="47">
        <f t="shared" si="44"/>
        <v>14.1142578125</v>
      </c>
      <c r="AI135" s="47">
        <f t="shared" si="45"/>
        <v>3.528564453125</v>
      </c>
      <c r="AJ135">
        <f ca="1">MIN(INT(SUM(AD135:$AI135)/OFFSET($AV$2,MATCH(AD$3,$AE$3:$AI$3,0),0)),6-SUM(AK135:$AO135))</f>
        <v>0</v>
      </c>
      <c r="AK135">
        <f ca="1">MIN(INT(SUM(AE135:$AI135)/OFFSET($AV$2,MATCH(AE$3,$AE$3:$AI$3,0),0)),6-SUM(AL135:$AO135))</f>
        <v>0</v>
      </c>
      <c r="AL135">
        <f ca="1">MIN(INT(SUM(AF135:$AI135)/OFFSET($AV$2,MATCH(AF$3,$AE$3:$AI$3,0),0)),6-SUM(AM135:$AO135))</f>
        <v>0</v>
      </c>
      <c r="AM135">
        <f ca="1">MIN(INT((SUM(AG135:$AI135)+N135*2/6)/OFFSET($AV$2,MATCH(AG$3,$AE$3:$AI$3,0),0)),6-SUM(AN135:$AO135))</f>
        <v>2</v>
      </c>
      <c r="AN135">
        <f ca="1">MIN(INT(SUM(AH135:$AI135)/OFFSET($AV$2,MATCH(AH$3,$AE$3:$AI$3,0),0)),6-SUM(AO135:$AO135))</f>
        <v>3</v>
      </c>
      <c r="AO135">
        <f ca="1">INT(SUM(AI134:$AI135)/OFFSET($AV$2,MATCH(AI$3,$AE$3:$AI$3,0),0))</f>
        <v>1</v>
      </c>
      <c r="AP135" cm="1">
        <f ca="1" t="array" ref="AP135">SUMPRODUCT(AJ135:AO135,TRANSPOSE($AS$3:$AS$8))</f>
        <v>2.34</v>
      </c>
    </row>
    <row r="136" ht="16.5" spans="14:42">
      <c r="N136" s="2">
        <v>133</v>
      </c>
      <c r="O136" s="45">
        <f>产出预期!AN152</f>
        <v>14533</v>
      </c>
      <c r="P136" s="2">
        <f ca="1">练度预期!M135</f>
        <v>30</v>
      </c>
      <c r="Q136" s="2" t="str">
        <f ca="1" t="shared" si="46"/>
        <v>橙</v>
      </c>
      <c r="R136" s="46">
        <f ca="1" t="shared" si="47"/>
        <v>0</v>
      </c>
      <c r="S136" s="47">
        <f ca="1" t="shared" si="34"/>
        <v>10.5019561111111</v>
      </c>
      <c r="T136" s="47">
        <f ca="1">MIN(1+($O136*1.4+产出预期!AC152*60)/OFFSET($J$14,MATCH(T$3,$T$3:$W$3,0),0),18)</f>
        <v>15.2183888888889</v>
      </c>
      <c r="U136" s="47">
        <f ca="1">MIN(($O136*1.4+产出预期!$AC152*60)/OFFSET($J$14,MATCH(U$3,$T$3:$W$3,0),0),3)</f>
        <v>3</v>
      </c>
      <c r="V136" s="47">
        <f ca="1">MIN(($O136*1.4+产出预期!$AC152*60)/OFFSET($J$14,MATCH(V$3,$T$3:$W$3,0),0),18)</f>
        <v>1.023724</v>
      </c>
      <c r="W136" s="47">
        <f ca="1">MIN(($O136*1.4+产出预期!$AC152*60)/OFFSET($J$14,MATCH(W$3,$T$3:$W$3,0),0),18)</f>
        <v>0.255931</v>
      </c>
      <c r="X136" s="47">
        <f ca="1" t="shared" si="35"/>
        <v>1.63011736666667</v>
      </c>
      <c r="Y136" s="47">
        <f ca="1" t="shared" si="36"/>
        <v>4.26510748101122</v>
      </c>
      <c r="Z136" s="47">
        <f ca="1" t="shared" si="37"/>
        <v>1.953125</v>
      </c>
      <c r="AA136" s="47">
        <f ca="1" t="shared" si="38"/>
        <v>1.32872292200297</v>
      </c>
      <c r="AB136" s="47">
        <f ca="1" t="shared" si="39"/>
        <v>1.04776752955818</v>
      </c>
      <c r="AC136" s="48">
        <f ca="1" t="shared" si="40"/>
        <v>18.905068521628</v>
      </c>
      <c r="AD136" s="47">
        <f t="shared" si="33"/>
        <v>3633.25</v>
      </c>
      <c r="AE136" s="47">
        <f t="shared" si="41"/>
        <v>908.3125</v>
      </c>
      <c r="AF136" s="47">
        <f t="shared" si="42"/>
        <v>227.078125</v>
      </c>
      <c r="AG136" s="47">
        <f t="shared" si="43"/>
        <v>56.76953125</v>
      </c>
      <c r="AH136" s="47">
        <f t="shared" si="44"/>
        <v>14.1923828125</v>
      </c>
      <c r="AI136" s="47">
        <f t="shared" si="45"/>
        <v>3.548095703125</v>
      </c>
      <c r="AJ136">
        <f ca="1">MIN(INT(SUM(AD136:$AI136)/OFFSET($AV$2,MATCH(AD$3,$AE$3:$AI$3,0),0)),6-SUM(AK136:$AO136))</f>
        <v>0</v>
      </c>
      <c r="AK136">
        <f ca="1">MIN(INT(SUM(AE136:$AI136)/OFFSET($AV$2,MATCH(AE$3,$AE$3:$AI$3,0),0)),6-SUM(AL136:$AO136))</f>
        <v>0</v>
      </c>
      <c r="AL136">
        <f ca="1">MIN(INT(SUM(AF136:$AI136)/OFFSET($AV$2,MATCH(AF$3,$AE$3:$AI$3,0),0)),6-SUM(AM136:$AO136))</f>
        <v>0</v>
      </c>
      <c r="AM136">
        <f ca="1">MIN(INT((SUM(AG136:$AI136)+N136*2/6)/OFFSET($AV$2,MATCH(AG$3,$AE$3:$AI$3,0),0)),6-SUM(AN136:$AO136))</f>
        <v>2</v>
      </c>
      <c r="AN136">
        <f ca="1">MIN(INT(SUM(AH136:$AI136)/OFFSET($AV$2,MATCH(AH$3,$AE$3:$AI$3,0),0)),6-SUM(AO136:$AO136))</f>
        <v>3</v>
      </c>
      <c r="AO136">
        <f ca="1">INT(SUM(AI135:$AI136)/OFFSET($AV$2,MATCH(AI$3,$AE$3:$AI$3,0),0))</f>
        <v>1</v>
      </c>
      <c r="AP136" cm="1">
        <f ca="1" t="array" ref="AP136">SUMPRODUCT(AJ136:AO136,TRANSPOSE($AS$3:$AS$8))</f>
        <v>2.34</v>
      </c>
    </row>
    <row r="137" ht="16.5" spans="14:42">
      <c r="N137" s="2">
        <v>134</v>
      </c>
      <c r="O137" s="45">
        <f>产出预期!AN153</f>
        <v>14641</v>
      </c>
      <c r="P137" s="2">
        <f ca="1">练度预期!M136</f>
        <v>30</v>
      </c>
      <c r="Q137" s="2" t="str">
        <f ca="1" t="shared" si="46"/>
        <v>橙</v>
      </c>
      <c r="R137" s="46">
        <f ca="1" t="shared" si="47"/>
        <v>0</v>
      </c>
      <c r="S137" s="47">
        <f ca="1" t="shared" si="34"/>
        <v>10.3835094444444</v>
      </c>
      <c r="T137" s="47">
        <f ca="1">MIN(1+($O137*1.4+产出预期!AC153*60)/OFFSET($J$14,MATCH(T$3,$T$3:$W$3,0),0),18)</f>
        <v>15.3270555555556</v>
      </c>
      <c r="U137" s="47">
        <f ca="1">MIN(($O137*1.4+产出预期!$AC153*60)/OFFSET($J$14,MATCH(U$3,$T$3:$W$3,0),0),3)</f>
        <v>3</v>
      </c>
      <c r="V137" s="47">
        <f ca="1">MIN(($O137*1.4+产出预期!$AC153*60)/OFFSET($J$14,MATCH(V$3,$T$3:$W$3,0),0),18)</f>
        <v>1.031548</v>
      </c>
      <c r="W137" s="47">
        <f ca="1">MIN(($O137*1.4+产出预期!$AC153*60)/OFFSET($J$14,MATCH(W$3,$T$3:$W$3,0),0),18)</f>
        <v>0.257887</v>
      </c>
      <c r="X137" s="47">
        <f ca="1" t="shared" si="35"/>
        <v>1.62301056666667</v>
      </c>
      <c r="Y137" s="47">
        <f ca="1" t="shared" si="36"/>
        <v>4.309510914967</v>
      </c>
      <c r="Z137" s="47">
        <f ca="1" t="shared" si="37"/>
        <v>1.953125</v>
      </c>
      <c r="AA137" s="47">
        <f ca="1" t="shared" si="38"/>
        <v>1.33161229858889</v>
      </c>
      <c r="AB137" s="47">
        <f ca="1" t="shared" si="39"/>
        <v>1.04814125206044</v>
      </c>
      <c r="AC137" s="48">
        <f ca="1" t="shared" si="40"/>
        <v>19.0667636423757</v>
      </c>
      <c r="AD137" s="47">
        <f t="shared" si="33"/>
        <v>3660.25</v>
      </c>
      <c r="AE137" s="47">
        <f t="shared" si="41"/>
        <v>915.0625</v>
      </c>
      <c r="AF137" s="47">
        <f t="shared" si="42"/>
        <v>228.765625</v>
      </c>
      <c r="AG137" s="47">
        <f t="shared" si="43"/>
        <v>57.19140625</v>
      </c>
      <c r="AH137" s="47">
        <f t="shared" si="44"/>
        <v>14.2978515625</v>
      </c>
      <c r="AI137" s="47">
        <f t="shared" si="45"/>
        <v>3.574462890625</v>
      </c>
      <c r="AJ137">
        <f ca="1">MIN(INT(SUM(AD137:$AI137)/OFFSET($AV$2,MATCH(AD$3,$AE$3:$AI$3,0),0)),6-SUM(AK137:$AO137))</f>
        <v>0</v>
      </c>
      <c r="AK137">
        <f ca="1">MIN(INT(SUM(AE137:$AI137)/OFFSET($AV$2,MATCH(AE$3,$AE$3:$AI$3,0),0)),6-SUM(AL137:$AO137))</f>
        <v>0</v>
      </c>
      <c r="AL137">
        <f ca="1">MIN(INT(SUM(AF137:$AI137)/OFFSET($AV$2,MATCH(AF$3,$AE$3:$AI$3,0),0)),6-SUM(AM137:$AO137))</f>
        <v>0</v>
      </c>
      <c r="AM137">
        <f ca="1">MIN(INT((SUM(AG137:$AI137)+N137*2/6)/OFFSET($AV$2,MATCH(AG$3,$AE$3:$AI$3,0),0)),6-SUM(AN137:$AO137))</f>
        <v>2</v>
      </c>
      <c r="AN137">
        <f ca="1">MIN(INT(SUM(AH137:$AI137)/OFFSET($AV$2,MATCH(AH$3,$AE$3:$AI$3,0),0)),6-SUM(AO137:$AO137))</f>
        <v>3</v>
      </c>
      <c r="AO137">
        <f ca="1">INT(SUM(AI136:$AI137)/OFFSET($AV$2,MATCH(AI$3,$AE$3:$AI$3,0),0))</f>
        <v>1</v>
      </c>
      <c r="AP137" cm="1">
        <f ca="1" t="array" ref="AP137">SUMPRODUCT(AJ137:AO137,TRANSPOSE($AS$3:$AS$8))</f>
        <v>2.34</v>
      </c>
    </row>
    <row r="138" ht="16.5" spans="14:42">
      <c r="N138" s="2">
        <v>135</v>
      </c>
      <c r="O138" s="45">
        <f>产出预期!AN154</f>
        <v>14754</v>
      </c>
      <c r="P138" s="2">
        <f ca="1">练度预期!M137</f>
        <v>30</v>
      </c>
      <c r="Q138" s="2" t="str">
        <f ca="1" t="shared" si="46"/>
        <v>橙</v>
      </c>
      <c r="R138" s="46">
        <f ca="1" t="shared" si="47"/>
        <v>0</v>
      </c>
      <c r="S138" s="47">
        <f ca="1" t="shared" si="34"/>
        <v>10.28111</v>
      </c>
      <c r="T138" s="47">
        <f ca="1">MIN(1+($O138*1.4+产出预期!AC154*60)/OFFSET($J$14,MATCH(T$3,$T$3:$W$3,0),0),18)</f>
        <v>15.421</v>
      </c>
      <c r="U138" s="47">
        <f ca="1">MIN(($O138*1.4+产出预期!$AC154*60)/OFFSET($J$14,MATCH(U$3,$T$3:$W$3,0),0),3)</f>
        <v>3</v>
      </c>
      <c r="V138" s="47">
        <f ca="1">MIN(($O138*1.4+产出预期!$AC154*60)/OFFSET($J$14,MATCH(V$3,$T$3:$W$3,0),0),18)</f>
        <v>1.038312</v>
      </c>
      <c r="W138" s="47">
        <f ca="1">MIN(($O138*1.4+产出预期!$AC154*60)/OFFSET($J$14,MATCH(W$3,$T$3:$W$3,0),0),18)</f>
        <v>0.259578</v>
      </c>
      <c r="X138" s="47">
        <f ca="1" t="shared" si="35"/>
        <v>1.6168666</v>
      </c>
      <c r="Y138" s="47">
        <f ca="1" t="shared" si="36"/>
        <v>4.34827094755511</v>
      </c>
      <c r="Z138" s="47">
        <f ca="1" t="shared" si="37"/>
        <v>1.953125</v>
      </c>
      <c r="AA138" s="47">
        <f ca="1" t="shared" si="38"/>
        <v>1.33411528418847</v>
      </c>
      <c r="AB138" s="47">
        <f ca="1" t="shared" si="39"/>
        <v>1.04846444985723</v>
      </c>
      <c r="AC138" s="48">
        <f ca="1" t="shared" si="40"/>
        <v>19.2073697052828</v>
      </c>
      <c r="AD138" s="47">
        <f t="shared" si="33"/>
        <v>3688.5</v>
      </c>
      <c r="AE138" s="47">
        <f t="shared" si="41"/>
        <v>922.125</v>
      </c>
      <c r="AF138" s="47">
        <f t="shared" si="42"/>
        <v>230.53125</v>
      </c>
      <c r="AG138" s="47">
        <f t="shared" si="43"/>
        <v>57.6328125</v>
      </c>
      <c r="AH138" s="47">
        <f t="shared" si="44"/>
        <v>14.408203125</v>
      </c>
      <c r="AI138" s="47">
        <f t="shared" si="45"/>
        <v>3.60205078125</v>
      </c>
      <c r="AJ138">
        <f ca="1">MIN(INT(SUM(AD138:$AI138)/OFFSET($AV$2,MATCH(AD$3,$AE$3:$AI$3,0),0)),6-SUM(AK138:$AO138))</f>
        <v>0</v>
      </c>
      <c r="AK138">
        <f ca="1">MIN(INT(SUM(AE138:$AI138)/OFFSET($AV$2,MATCH(AE$3,$AE$3:$AI$3,0),0)),6-SUM(AL138:$AO138))</f>
        <v>0</v>
      </c>
      <c r="AL138">
        <f ca="1">MIN(INT(SUM(AF138:$AI138)/OFFSET($AV$2,MATCH(AF$3,$AE$3:$AI$3,0),0)),6-SUM(AM138:$AO138))</f>
        <v>0</v>
      </c>
      <c r="AM138">
        <f ca="1">MIN(INT((SUM(AG138:$AI138)+N138*2/6)/OFFSET($AV$2,MATCH(AG$3,$AE$3:$AI$3,0),0)),6-SUM(AN138:$AO138))</f>
        <v>2</v>
      </c>
      <c r="AN138">
        <f ca="1">MIN(INT(SUM(AH138:$AI138)/OFFSET($AV$2,MATCH(AH$3,$AE$3:$AI$3,0),0)),6-SUM(AO138:$AO138))</f>
        <v>3</v>
      </c>
      <c r="AO138">
        <f ca="1">INT(SUM(AI137:$AI138)/OFFSET($AV$2,MATCH(AI$3,$AE$3:$AI$3,0),0))</f>
        <v>1</v>
      </c>
      <c r="AP138" cm="1">
        <f ca="1" t="array" ref="AP138">SUMPRODUCT(AJ138:AO138,TRANSPOSE($AS$3:$AS$8))</f>
        <v>2.34</v>
      </c>
    </row>
    <row r="139" ht="16.5" spans="14:42">
      <c r="N139" s="2">
        <v>136</v>
      </c>
      <c r="O139" s="45">
        <f>产出预期!AN155</f>
        <v>14862</v>
      </c>
      <c r="P139" s="2">
        <f ca="1">练度预期!M138</f>
        <v>30</v>
      </c>
      <c r="Q139" s="2" t="str">
        <f ca="1" t="shared" si="46"/>
        <v>橙</v>
      </c>
      <c r="R139" s="46">
        <f ca="1" t="shared" si="47"/>
        <v>0</v>
      </c>
      <c r="S139" s="47">
        <f ca="1" t="shared" si="34"/>
        <v>10.1626633333333</v>
      </c>
      <c r="T139" s="47">
        <f ca="1">MIN(1+($O139*1.4+产出预期!AC155*60)/OFFSET($J$14,MATCH(T$3,$T$3:$W$3,0),0),18)</f>
        <v>15.5296666666667</v>
      </c>
      <c r="U139" s="47">
        <f ca="1">MIN(($O139*1.4+产出预期!$AC155*60)/OFFSET($J$14,MATCH(U$3,$T$3:$W$3,0),0),3)</f>
        <v>3</v>
      </c>
      <c r="V139" s="47">
        <f ca="1">MIN(($O139*1.4+产出预期!$AC155*60)/OFFSET($J$14,MATCH(V$3,$T$3:$W$3,0),0),18)</f>
        <v>1.046136</v>
      </c>
      <c r="W139" s="47">
        <f ca="1">MIN(($O139*1.4+产出预期!$AC155*60)/OFFSET($J$14,MATCH(W$3,$T$3:$W$3,0),0),18)</f>
        <v>0.261534</v>
      </c>
      <c r="X139" s="47">
        <f ca="1" t="shared" si="35"/>
        <v>1.6097598</v>
      </c>
      <c r="Y139" s="47">
        <f ca="1" t="shared" si="36"/>
        <v>4.39354018466138</v>
      </c>
      <c r="Z139" s="47">
        <f ca="1" t="shared" si="37"/>
        <v>1.953125</v>
      </c>
      <c r="AA139" s="47">
        <f ca="1" t="shared" si="38"/>
        <v>1.33701638674434</v>
      </c>
      <c r="AB139" s="47">
        <f ca="1" t="shared" si="39"/>
        <v>1.0488384209402</v>
      </c>
      <c r="AC139" s="48">
        <f ca="1" t="shared" si="40"/>
        <v>19.3709552469093</v>
      </c>
      <c r="AD139" s="47">
        <f t="shared" si="33"/>
        <v>3715.5</v>
      </c>
      <c r="AE139" s="47">
        <f t="shared" si="41"/>
        <v>928.875</v>
      </c>
      <c r="AF139" s="47">
        <f t="shared" si="42"/>
        <v>232.21875</v>
      </c>
      <c r="AG139" s="47">
        <f t="shared" si="43"/>
        <v>58.0546875</v>
      </c>
      <c r="AH139" s="47">
        <f t="shared" si="44"/>
        <v>14.513671875</v>
      </c>
      <c r="AI139" s="47">
        <f t="shared" si="45"/>
        <v>3.62841796875</v>
      </c>
      <c r="AJ139">
        <f ca="1">MIN(INT(SUM(AD139:$AI139)/OFFSET($AV$2,MATCH(AD$3,$AE$3:$AI$3,0),0)),6-SUM(AK139:$AO139))</f>
        <v>0</v>
      </c>
      <c r="AK139">
        <f ca="1">MIN(INT(SUM(AE139:$AI139)/OFFSET($AV$2,MATCH(AE$3,$AE$3:$AI$3,0),0)),6-SUM(AL139:$AO139))</f>
        <v>0</v>
      </c>
      <c r="AL139">
        <f ca="1">MIN(INT(SUM(AF139:$AI139)/OFFSET($AV$2,MATCH(AF$3,$AE$3:$AI$3,0),0)),6-SUM(AM139:$AO139))</f>
        <v>0</v>
      </c>
      <c r="AM139">
        <f ca="1">MIN(INT((SUM(AG139:$AI139)+N139*2/6)/OFFSET($AV$2,MATCH(AG$3,$AE$3:$AI$3,0),0)),6-SUM(AN139:$AO139))</f>
        <v>2</v>
      </c>
      <c r="AN139">
        <f ca="1">MIN(INT(SUM(AH139:$AI139)/OFFSET($AV$2,MATCH(AH$3,$AE$3:$AI$3,0),0)),6-SUM(AO139:$AO139))</f>
        <v>3</v>
      </c>
      <c r="AO139">
        <f ca="1">INT(SUM(AI138:$AI139)/OFFSET($AV$2,MATCH(AI$3,$AE$3:$AI$3,0),0))</f>
        <v>1</v>
      </c>
      <c r="AP139" cm="1">
        <f ca="1" t="array" ref="AP139">SUMPRODUCT(AJ139:AO139,TRANSPOSE($AS$3:$AS$8))</f>
        <v>2.34</v>
      </c>
    </row>
    <row r="140" ht="16.5" spans="14:42">
      <c r="N140" s="2">
        <v>137</v>
      </c>
      <c r="O140" s="45">
        <f>产出预期!AN156</f>
        <v>14975</v>
      </c>
      <c r="P140" s="2">
        <f ca="1">练度预期!M139</f>
        <v>30</v>
      </c>
      <c r="Q140" s="2" t="str">
        <f ca="1" t="shared" si="46"/>
        <v>橙</v>
      </c>
      <c r="R140" s="46">
        <f ca="1" t="shared" si="47"/>
        <v>0</v>
      </c>
      <c r="S140" s="47">
        <f ca="1" t="shared" si="34"/>
        <v>10.0420972222222</v>
      </c>
      <c r="T140" s="47">
        <f ca="1">MIN(1+($O140*1.4+产出预期!AC156*60)/OFFSET($J$14,MATCH(T$3,$T$3:$W$3,0),0),18)</f>
        <v>15.6402777777778</v>
      </c>
      <c r="U140" s="47">
        <f ca="1">MIN(($O140*1.4+产出预期!$AC156*60)/OFFSET($J$14,MATCH(U$3,$T$3:$W$3,0),0),3)</f>
        <v>3</v>
      </c>
      <c r="V140" s="47">
        <f ca="1">MIN(($O140*1.4+产出预期!$AC156*60)/OFFSET($J$14,MATCH(V$3,$T$3:$W$3,0),0),18)</f>
        <v>1.0541</v>
      </c>
      <c r="W140" s="47">
        <f ca="1">MIN(($O140*1.4+产出预期!$AC156*60)/OFFSET($J$14,MATCH(W$3,$T$3:$W$3,0),0),18)</f>
        <v>0.263525</v>
      </c>
      <c r="X140" s="47">
        <f ca="1" t="shared" si="35"/>
        <v>1.60252583333333</v>
      </c>
      <c r="Y140" s="47">
        <f ca="1" t="shared" si="36"/>
        <v>4.44010350091615</v>
      </c>
      <c r="Z140" s="47">
        <f ca="1" t="shared" si="37"/>
        <v>1.953125</v>
      </c>
      <c r="AA140" s="47">
        <f ca="1" t="shared" si="38"/>
        <v>1.33997587966156</v>
      </c>
      <c r="AB140" s="47">
        <f ca="1" t="shared" si="39"/>
        <v>1.04921922072638</v>
      </c>
      <c r="AC140" s="48">
        <f ca="1" t="shared" si="40"/>
        <v>19.5385077216786</v>
      </c>
      <c r="AD140" s="47">
        <f t="shared" si="33"/>
        <v>3743.75</v>
      </c>
      <c r="AE140" s="47">
        <f t="shared" si="41"/>
        <v>935.9375</v>
      </c>
      <c r="AF140" s="47">
        <f t="shared" si="42"/>
        <v>233.984375</v>
      </c>
      <c r="AG140" s="47">
        <f t="shared" si="43"/>
        <v>58.49609375</v>
      </c>
      <c r="AH140" s="47">
        <f t="shared" si="44"/>
        <v>14.6240234375</v>
      </c>
      <c r="AI140" s="47">
        <f t="shared" si="45"/>
        <v>3.656005859375</v>
      </c>
      <c r="AJ140">
        <f ca="1">MIN(INT(SUM(AD140:$AI140)/OFFSET($AV$2,MATCH(AD$3,$AE$3:$AI$3,0),0)),6-SUM(AK140:$AO140))</f>
        <v>0</v>
      </c>
      <c r="AK140">
        <f ca="1">MIN(INT(SUM(AE140:$AI140)/OFFSET($AV$2,MATCH(AE$3,$AE$3:$AI$3,0),0)),6-SUM(AL140:$AO140))</f>
        <v>0</v>
      </c>
      <c r="AL140">
        <f ca="1">MIN(INT(SUM(AF140:$AI140)/OFFSET($AV$2,MATCH(AF$3,$AE$3:$AI$3,0),0)),6-SUM(AM140:$AO140))</f>
        <v>0</v>
      </c>
      <c r="AM140">
        <f ca="1">MIN(INT((SUM(AG140:$AI140)+N140*2/6)/OFFSET($AV$2,MATCH(AG$3,$AE$3:$AI$3,0),0)),6-SUM(AN140:$AO140))</f>
        <v>2</v>
      </c>
      <c r="AN140">
        <f ca="1">MIN(INT(SUM(AH140:$AI140)/OFFSET($AV$2,MATCH(AH$3,$AE$3:$AI$3,0),0)),6-SUM(AO140:$AO140))</f>
        <v>3</v>
      </c>
      <c r="AO140">
        <f ca="1">INT(SUM(AI139:$AI140)/OFFSET($AV$2,MATCH(AI$3,$AE$3:$AI$3,0),0))</f>
        <v>1</v>
      </c>
      <c r="AP140" cm="1">
        <f ca="1" t="array" ref="AP140">SUMPRODUCT(AJ140:AO140,TRANSPOSE($AS$3:$AS$8))</f>
        <v>2.34</v>
      </c>
    </row>
    <row r="141" ht="16.5" spans="14:42">
      <c r="N141" s="2">
        <v>138</v>
      </c>
      <c r="O141" s="45">
        <f>产出预期!AN157</f>
        <v>15083</v>
      </c>
      <c r="P141" s="2">
        <f ca="1">练度预期!M140</f>
        <v>30</v>
      </c>
      <c r="Q141" s="2" t="str">
        <f ca="1" t="shared" si="46"/>
        <v>橙</v>
      </c>
      <c r="R141" s="46">
        <f ca="1" t="shared" si="47"/>
        <v>0</v>
      </c>
      <c r="S141" s="47">
        <f ca="1" t="shared" si="34"/>
        <v>9.94181722222223</v>
      </c>
      <c r="T141" s="47">
        <f ca="1">MIN(1+($O141*1.4+产出预期!AC157*60)/OFFSET($J$14,MATCH(T$3,$T$3:$W$3,0),0),18)</f>
        <v>15.7322777777778</v>
      </c>
      <c r="U141" s="47">
        <f ca="1">MIN(($O141*1.4+产出预期!$AC157*60)/OFFSET($J$14,MATCH(U$3,$T$3:$W$3,0),0),3)</f>
        <v>3</v>
      </c>
      <c r="V141" s="47">
        <f ca="1">MIN(($O141*1.4+产出预期!$AC157*60)/OFFSET($J$14,MATCH(V$3,$T$3:$W$3,0),0),18)</f>
        <v>1.060724</v>
      </c>
      <c r="W141" s="47">
        <f ca="1">MIN(($O141*1.4+产出预期!$AC157*60)/OFFSET($J$14,MATCH(W$3,$T$3:$W$3,0),0),18)</f>
        <v>0.265181</v>
      </c>
      <c r="X141" s="47">
        <f ca="1" t="shared" si="35"/>
        <v>1.59650903333333</v>
      </c>
      <c r="Y141" s="47">
        <f ca="1" t="shared" si="36"/>
        <v>4.47920790435733</v>
      </c>
      <c r="Z141" s="47">
        <f ca="1" t="shared" si="37"/>
        <v>1.953125</v>
      </c>
      <c r="AA141" s="47">
        <f ca="1" t="shared" si="38"/>
        <v>1.34244240633495</v>
      </c>
      <c r="AB141" s="47">
        <f ca="1" t="shared" si="39"/>
        <v>1.04953605354033</v>
      </c>
      <c r="AC141" s="48">
        <f ca="1" t="shared" si="40"/>
        <v>19.6786664563766</v>
      </c>
      <c r="AD141" s="47">
        <f t="shared" si="33"/>
        <v>3770.75</v>
      </c>
      <c r="AE141" s="47">
        <f t="shared" si="41"/>
        <v>942.6875</v>
      </c>
      <c r="AF141" s="47">
        <f t="shared" si="42"/>
        <v>235.671875</v>
      </c>
      <c r="AG141" s="47">
        <f t="shared" si="43"/>
        <v>58.91796875</v>
      </c>
      <c r="AH141" s="47">
        <f t="shared" si="44"/>
        <v>14.7294921875</v>
      </c>
      <c r="AI141" s="47">
        <f t="shared" si="45"/>
        <v>3.682373046875</v>
      </c>
      <c r="AJ141">
        <f ca="1">MIN(INT(SUM(AD141:$AI141)/OFFSET($AV$2,MATCH(AD$3,$AE$3:$AI$3,0),0)),6-SUM(AK141:$AO141))</f>
        <v>0</v>
      </c>
      <c r="AK141">
        <f ca="1">MIN(INT(SUM(AE141:$AI141)/OFFSET($AV$2,MATCH(AE$3,$AE$3:$AI$3,0),0)),6-SUM(AL141:$AO141))</f>
        <v>0</v>
      </c>
      <c r="AL141">
        <f ca="1">MIN(INT(SUM(AF141:$AI141)/OFFSET($AV$2,MATCH(AF$3,$AE$3:$AI$3,0),0)),6-SUM(AM141:$AO141))</f>
        <v>0</v>
      </c>
      <c r="AM141">
        <f ca="1">MIN(INT((SUM(AG141:$AI141)+N141*2/6)/OFFSET($AV$2,MATCH(AG$3,$AE$3:$AI$3,0),0)),6-SUM(AN141:$AO141))</f>
        <v>2</v>
      </c>
      <c r="AN141">
        <f ca="1">MIN(INT(SUM(AH141:$AI141)/OFFSET($AV$2,MATCH(AH$3,$AE$3:$AI$3,0),0)),6-SUM(AO141:$AO141))</f>
        <v>3</v>
      </c>
      <c r="AO141">
        <f ca="1">INT(SUM(AI140:$AI141)/OFFSET($AV$2,MATCH(AI$3,$AE$3:$AI$3,0),0))</f>
        <v>1</v>
      </c>
      <c r="AP141" cm="1">
        <f ca="1" t="array" ref="AP141">SUMPRODUCT(AJ141:AO141,TRANSPOSE($AS$3:$AS$8))</f>
        <v>2.34</v>
      </c>
    </row>
    <row r="142" ht="16.5" spans="14:42">
      <c r="N142" s="2">
        <v>139</v>
      </c>
      <c r="O142" s="45">
        <f>产出预期!AN158</f>
        <v>15196</v>
      </c>
      <c r="P142" s="2">
        <f ca="1">练度预期!M141</f>
        <v>30</v>
      </c>
      <c r="Q142" s="2" t="str">
        <f ca="1" t="shared" si="46"/>
        <v>橙</v>
      </c>
      <c r="R142" s="46">
        <f ca="1" t="shared" si="47"/>
        <v>0</v>
      </c>
      <c r="S142" s="47">
        <f ca="1" t="shared" si="34"/>
        <v>9.82125111111111</v>
      </c>
      <c r="T142" s="47">
        <f ca="1">MIN(1+($O142*1.4+产出预期!AC158*60)/OFFSET($J$14,MATCH(T$3,$T$3:$W$3,0),0),18)</f>
        <v>15.8428888888889</v>
      </c>
      <c r="U142" s="47">
        <f ca="1">MIN(($O142*1.4+产出预期!$AC158*60)/OFFSET($J$14,MATCH(U$3,$T$3:$W$3,0),0),3)</f>
        <v>3</v>
      </c>
      <c r="V142" s="47">
        <f ca="1">MIN(($O142*1.4+产出预期!$AC158*60)/OFFSET($J$14,MATCH(V$3,$T$3:$W$3,0),0),18)</f>
        <v>1.068688</v>
      </c>
      <c r="W142" s="47">
        <f ca="1">MIN(($O142*1.4+产出预期!$AC158*60)/OFFSET($J$14,MATCH(W$3,$T$3:$W$3,0),0),18)</f>
        <v>0.267172</v>
      </c>
      <c r="X142" s="47">
        <f ca="1" t="shared" si="35"/>
        <v>1.58927506666667</v>
      </c>
      <c r="Y142" s="47">
        <f ca="1" t="shared" si="36"/>
        <v>4.52667913836347</v>
      </c>
      <c r="Z142" s="47">
        <f ca="1" t="shared" si="37"/>
        <v>1.953125</v>
      </c>
      <c r="AA142" s="47">
        <f ca="1" t="shared" si="38"/>
        <v>1.34541390977553</v>
      </c>
      <c r="AB142" s="47">
        <f ca="1" t="shared" si="39"/>
        <v>1.04991710661466</v>
      </c>
      <c r="AC142" s="48">
        <f ca="1" t="shared" si="40"/>
        <v>19.8481368686209</v>
      </c>
      <c r="AD142" s="47">
        <f t="shared" si="33"/>
        <v>3799</v>
      </c>
      <c r="AE142" s="47">
        <f t="shared" si="41"/>
        <v>949.75</v>
      </c>
      <c r="AF142" s="47">
        <f t="shared" si="42"/>
        <v>237.4375</v>
      </c>
      <c r="AG142" s="47">
        <f t="shared" si="43"/>
        <v>59.359375</v>
      </c>
      <c r="AH142" s="47">
        <f t="shared" si="44"/>
        <v>14.83984375</v>
      </c>
      <c r="AI142" s="47">
        <f t="shared" si="45"/>
        <v>3.7099609375</v>
      </c>
      <c r="AJ142">
        <f ca="1">MIN(INT(SUM(AD142:$AI142)/OFFSET($AV$2,MATCH(AD$3,$AE$3:$AI$3,0),0)),6-SUM(AK142:$AO142))</f>
        <v>0</v>
      </c>
      <c r="AK142">
        <f ca="1">MIN(INT(SUM(AE142:$AI142)/OFFSET($AV$2,MATCH(AE$3,$AE$3:$AI$3,0),0)),6-SUM(AL142:$AO142))</f>
        <v>0</v>
      </c>
      <c r="AL142">
        <f ca="1">MIN(INT(SUM(AF142:$AI142)/OFFSET($AV$2,MATCH(AF$3,$AE$3:$AI$3,0),0)),6-SUM(AM142:$AO142))</f>
        <v>0</v>
      </c>
      <c r="AM142">
        <f ca="1">MIN(INT((SUM(AG142:$AI142)+N142*2/6)/OFFSET($AV$2,MATCH(AG$3,$AE$3:$AI$3,0),0)),6-SUM(AN142:$AO142))</f>
        <v>2</v>
      </c>
      <c r="AN142">
        <f ca="1">MIN(INT(SUM(AH142:$AI142)/OFFSET($AV$2,MATCH(AH$3,$AE$3:$AI$3,0),0)),6-SUM(AO142:$AO142))</f>
        <v>3</v>
      </c>
      <c r="AO142">
        <f ca="1">INT(SUM(AI141:$AI142)/OFFSET($AV$2,MATCH(AI$3,$AE$3:$AI$3,0),0))</f>
        <v>1</v>
      </c>
      <c r="AP142" cm="1">
        <f ca="1" t="array" ref="AP142">SUMPRODUCT(AJ142:AO142,TRANSPOSE($AS$3:$AS$8))</f>
        <v>2.34</v>
      </c>
    </row>
    <row r="143" ht="16.5" spans="14:42">
      <c r="N143" s="2">
        <v>140</v>
      </c>
      <c r="O143" s="45">
        <f>产出预期!AN159</f>
        <v>15276</v>
      </c>
      <c r="P143" s="2">
        <f ca="1">练度预期!M142</f>
        <v>30</v>
      </c>
      <c r="Q143" s="2" t="str">
        <f ca="1" t="shared" si="46"/>
        <v>橙</v>
      </c>
      <c r="R143" s="46">
        <f ca="1" t="shared" si="47"/>
        <v>0</v>
      </c>
      <c r="S143" s="47">
        <f ca="1" t="shared" si="34"/>
        <v>9.73284</v>
      </c>
      <c r="T143" s="47">
        <f ca="1">MIN(1+($O143*1.4+产出预期!AC159*60)/OFFSET($J$14,MATCH(T$3,$T$3:$W$3,0),0),18)</f>
        <v>15.924</v>
      </c>
      <c r="U143" s="47">
        <f ca="1">MIN(($O143*1.4+产出预期!$AC159*60)/OFFSET($J$14,MATCH(U$3,$T$3:$W$3,0),0),3)</f>
        <v>3</v>
      </c>
      <c r="V143" s="47">
        <f ca="1">MIN(($O143*1.4+产出预期!$AC159*60)/OFFSET($J$14,MATCH(V$3,$T$3:$W$3,0),0),18)</f>
        <v>1.074528</v>
      </c>
      <c r="W143" s="47">
        <f ca="1">MIN(($O143*1.4+产出预期!$AC159*60)/OFFSET($J$14,MATCH(W$3,$T$3:$W$3,0),0),18)</f>
        <v>0.268632</v>
      </c>
      <c r="X143" s="47">
        <f ca="1" t="shared" si="35"/>
        <v>1.5839704</v>
      </c>
      <c r="Y143" s="47">
        <f ca="1" t="shared" si="36"/>
        <v>4.56180921814697</v>
      </c>
      <c r="Z143" s="47">
        <f ca="1" t="shared" si="37"/>
        <v>1.953125</v>
      </c>
      <c r="AA143" s="47">
        <f ca="1" t="shared" si="38"/>
        <v>1.34759709203491</v>
      </c>
      <c r="AB143" s="47">
        <f ca="1" t="shared" si="39"/>
        <v>1.05019662069609</v>
      </c>
      <c r="AC143" s="48">
        <f ca="1" t="shared" si="40"/>
        <v>19.9730735231603</v>
      </c>
      <c r="AD143" s="47">
        <f t="shared" si="33"/>
        <v>3819</v>
      </c>
      <c r="AE143" s="47">
        <f t="shared" si="41"/>
        <v>954.75</v>
      </c>
      <c r="AF143" s="47">
        <f t="shared" si="42"/>
        <v>238.6875</v>
      </c>
      <c r="AG143" s="47">
        <f t="shared" si="43"/>
        <v>59.671875</v>
      </c>
      <c r="AH143" s="47">
        <f t="shared" si="44"/>
        <v>14.91796875</v>
      </c>
      <c r="AI143" s="47">
        <f t="shared" si="45"/>
        <v>3.7294921875</v>
      </c>
      <c r="AJ143">
        <f ca="1">MIN(INT(SUM(AD143:$AI143)/OFFSET($AV$2,MATCH(AD$3,$AE$3:$AI$3,0),0)),6-SUM(AK143:$AO143))</f>
        <v>0</v>
      </c>
      <c r="AK143">
        <f ca="1">MIN(INT(SUM(AE143:$AI143)/OFFSET($AV$2,MATCH(AE$3,$AE$3:$AI$3,0),0)),6-SUM(AL143:$AO143))</f>
        <v>0</v>
      </c>
      <c r="AL143">
        <f ca="1">MIN(INT(SUM(AF143:$AI143)/OFFSET($AV$2,MATCH(AF$3,$AE$3:$AI$3,0),0)),6-SUM(AM143:$AO143))</f>
        <v>0</v>
      </c>
      <c r="AM143">
        <f ca="1">MIN(INT((SUM(AG143:$AI143)+N143*2/6)/OFFSET($AV$2,MATCH(AG$3,$AE$3:$AI$3,0),0)),6-SUM(AN143:$AO143))</f>
        <v>2</v>
      </c>
      <c r="AN143">
        <f ca="1">MIN(INT(SUM(AH143:$AI143)/OFFSET($AV$2,MATCH(AH$3,$AE$3:$AI$3,0),0)),6-SUM(AO143:$AO143))</f>
        <v>3</v>
      </c>
      <c r="AO143">
        <f ca="1">INT(SUM(AI142:$AI143)/OFFSET($AV$2,MATCH(AI$3,$AE$3:$AI$3,0),0))</f>
        <v>1</v>
      </c>
      <c r="AP143" cm="1">
        <f ca="1" t="array" ref="AP143">SUMPRODUCT(AJ143:AO143,TRANSPOSE($AS$3:$AS$8))</f>
        <v>2.34</v>
      </c>
    </row>
    <row r="144" ht="16.5" spans="14:42">
      <c r="N144" s="2">
        <v>141</v>
      </c>
      <c r="O144" s="45">
        <f>产出预期!AN160</f>
        <v>15389</v>
      </c>
      <c r="P144" s="2">
        <f ca="1">练度预期!M143</f>
        <v>30</v>
      </c>
      <c r="Q144" s="2" t="str">
        <f ca="1" t="shared" si="46"/>
        <v>橙</v>
      </c>
      <c r="R144" s="46">
        <f ca="1" t="shared" si="47"/>
        <v>0</v>
      </c>
      <c r="S144" s="47">
        <f ca="1" t="shared" si="34"/>
        <v>9.61227388888889</v>
      </c>
      <c r="T144" s="47">
        <f ca="1">MIN(1+($O144*1.4+产出预期!AC160*60)/OFFSET($J$14,MATCH(T$3,$T$3:$W$3,0),0),18)</f>
        <v>16.0346111111111</v>
      </c>
      <c r="U144" s="47">
        <f ca="1">MIN(($O144*1.4+产出预期!$AC160*60)/OFFSET($J$14,MATCH(U$3,$T$3:$W$3,0),0),3)</f>
        <v>3</v>
      </c>
      <c r="V144" s="47">
        <f ca="1">MIN(($O144*1.4+产出预期!$AC160*60)/OFFSET($J$14,MATCH(V$3,$T$3:$W$3,0),0),18)</f>
        <v>1.082492</v>
      </c>
      <c r="W144" s="47">
        <f ca="1">MIN(($O144*1.4+产出预期!$AC160*60)/OFFSET($J$14,MATCH(W$3,$T$3:$W$3,0),0),18)</f>
        <v>0.270623</v>
      </c>
      <c r="X144" s="47">
        <f ca="1" t="shared" si="35"/>
        <v>1.57673643333333</v>
      </c>
      <c r="Y144" s="47">
        <f ca="1" t="shared" si="36"/>
        <v>4.61015587173172</v>
      </c>
      <c r="Z144" s="47">
        <f ca="1" t="shared" si="37"/>
        <v>1.953125</v>
      </c>
      <c r="AA144" s="47">
        <f ca="1" t="shared" si="38"/>
        <v>1.35058000539984</v>
      </c>
      <c r="AB144" s="47">
        <f ca="1" t="shared" si="39"/>
        <v>1.05057791360129</v>
      </c>
      <c r="AC144" s="48">
        <f ca="1" t="shared" si="40"/>
        <v>20.1443534807324</v>
      </c>
      <c r="AD144" s="47">
        <f t="shared" si="33"/>
        <v>3847.25</v>
      </c>
      <c r="AE144" s="47">
        <f t="shared" si="41"/>
        <v>961.8125</v>
      </c>
      <c r="AF144" s="47">
        <f t="shared" si="42"/>
        <v>240.453125</v>
      </c>
      <c r="AG144" s="47">
        <f t="shared" si="43"/>
        <v>60.11328125</v>
      </c>
      <c r="AH144" s="47">
        <f t="shared" si="44"/>
        <v>15.0283203125</v>
      </c>
      <c r="AI144" s="47">
        <f t="shared" si="45"/>
        <v>3.757080078125</v>
      </c>
      <c r="AJ144">
        <f ca="1">MIN(INT(SUM(AD144:$AI144)/OFFSET($AV$2,MATCH(AD$3,$AE$3:$AI$3,0),0)),6-SUM(AK144:$AO144))</f>
        <v>0</v>
      </c>
      <c r="AK144">
        <f ca="1">MIN(INT(SUM(AE144:$AI144)/OFFSET($AV$2,MATCH(AE$3,$AE$3:$AI$3,0),0)),6-SUM(AL144:$AO144))</f>
        <v>0</v>
      </c>
      <c r="AL144">
        <f ca="1">MIN(INT(SUM(AF144:$AI144)/OFFSET($AV$2,MATCH(AF$3,$AE$3:$AI$3,0),0)),6-SUM(AM144:$AO144))</f>
        <v>0</v>
      </c>
      <c r="AM144">
        <f ca="1">MIN(INT((SUM(AG144:$AI144)+N144*2/6)/OFFSET($AV$2,MATCH(AG$3,$AE$3:$AI$3,0),0)),6-SUM(AN144:$AO144))</f>
        <v>2</v>
      </c>
      <c r="AN144">
        <f ca="1">MIN(INT(SUM(AH144:$AI144)/OFFSET($AV$2,MATCH(AH$3,$AE$3:$AI$3,0),0)),6-SUM(AO144:$AO144))</f>
        <v>3</v>
      </c>
      <c r="AO144">
        <f ca="1">INT(SUM(AI143:$AI144)/OFFSET($AV$2,MATCH(AI$3,$AE$3:$AI$3,0),0))</f>
        <v>1</v>
      </c>
      <c r="AP144" cm="1">
        <f ca="1" t="array" ref="AP144">SUMPRODUCT(AJ144:AO144,TRANSPOSE($AS$3:$AS$8))</f>
        <v>2.34</v>
      </c>
    </row>
    <row r="145" ht="16.5" spans="14:42">
      <c r="N145" s="2">
        <v>142</v>
      </c>
      <c r="O145" s="45">
        <f>产出预期!AN161</f>
        <v>15502</v>
      </c>
      <c r="P145" s="2">
        <f ca="1">练度预期!M144</f>
        <v>30</v>
      </c>
      <c r="Q145" s="2" t="str">
        <f ca="1" t="shared" si="46"/>
        <v>橙</v>
      </c>
      <c r="R145" s="46">
        <f ca="1" t="shared" si="47"/>
        <v>0</v>
      </c>
      <c r="S145" s="47">
        <f ca="1" t="shared" si="34"/>
        <v>9.50987444444444</v>
      </c>
      <c r="T145" s="47">
        <f ca="1">MIN(1+($O145*1.4+产出预期!AC161*60)/OFFSET($J$14,MATCH(T$3,$T$3:$W$3,0),0),18)</f>
        <v>16.1285555555556</v>
      </c>
      <c r="U145" s="47">
        <f ca="1">MIN(($O145*1.4+产出预期!$AC161*60)/OFFSET($J$14,MATCH(U$3,$T$3:$W$3,0),0),3)</f>
        <v>3</v>
      </c>
      <c r="V145" s="47">
        <f ca="1">MIN(($O145*1.4+产出预期!$AC161*60)/OFFSET($J$14,MATCH(V$3,$T$3:$W$3,0),0),18)</f>
        <v>1.089256</v>
      </c>
      <c r="W145" s="47">
        <f ca="1">MIN(($O145*1.4+产出预期!$AC161*60)/OFFSET($J$14,MATCH(W$3,$T$3:$W$3,0),0),18)</f>
        <v>0.272314</v>
      </c>
      <c r="X145" s="47">
        <f ca="1" t="shared" si="35"/>
        <v>1.57059246666667</v>
      </c>
      <c r="Y145" s="47">
        <f ca="1" t="shared" si="36"/>
        <v>4.65161992539126</v>
      </c>
      <c r="Z145" s="47">
        <f ca="1" t="shared" si="37"/>
        <v>1.953125</v>
      </c>
      <c r="AA145" s="47">
        <f ca="1" t="shared" si="38"/>
        <v>1.35311864394214</v>
      </c>
      <c r="AB145" s="47">
        <f ca="1" t="shared" si="39"/>
        <v>1.05090186275067</v>
      </c>
      <c r="AC145" s="48">
        <f ca="1" t="shared" si="40"/>
        <v>20.2906430584114</v>
      </c>
      <c r="AD145" s="47">
        <f t="shared" si="33"/>
        <v>3875.5</v>
      </c>
      <c r="AE145" s="47">
        <f t="shared" si="41"/>
        <v>968.875</v>
      </c>
      <c r="AF145" s="47">
        <f t="shared" si="42"/>
        <v>242.21875</v>
      </c>
      <c r="AG145" s="47">
        <f t="shared" si="43"/>
        <v>60.5546875</v>
      </c>
      <c r="AH145" s="47">
        <f t="shared" si="44"/>
        <v>15.138671875</v>
      </c>
      <c r="AI145" s="47">
        <f t="shared" si="45"/>
        <v>3.78466796875</v>
      </c>
      <c r="AJ145">
        <f ca="1">MIN(INT(SUM(AD145:$AI145)/OFFSET($AV$2,MATCH(AD$3,$AE$3:$AI$3,0),0)),6-SUM(AK145:$AO145))</f>
        <v>0</v>
      </c>
      <c r="AK145">
        <f ca="1">MIN(INT(SUM(AE145:$AI145)/OFFSET($AV$2,MATCH(AE$3,$AE$3:$AI$3,0),0)),6-SUM(AL145:$AO145))</f>
        <v>0</v>
      </c>
      <c r="AL145">
        <f ca="1">MIN(INT(SUM(AF145:$AI145)/OFFSET($AV$2,MATCH(AF$3,$AE$3:$AI$3,0),0)),6-SUM(AM145:$AO145))</f>
        <v>0</v>
      </c>
      <c r="AM145">
        <f ca="1">MIN(INT((SUM(AG145:$AI145)+N145*2/6)/OFFSET($AV$2,MATCH(AG$3,$AE$3:$AI$3,0),0)),6-SUM(AN145:$AO145))</f>
        <v>2</v>
      </c>
      <c r="AN145">
        <f ca="1">MIN(INT(SUM(AH145:$AI145)/OFFSET($AV$2,MATCH(AH$3,$AE$3:$AI$3,0),0)),6-SUM(AO145:$AO145))</f>
        <v>3</v>
      </c>
      <c r="AO145">
        <f ca="1">INT(SUM(AI144:$AI145)/OFFSET($AV$2,MATCH(AI$3,$AE$3:$AI$3,0),0))</f>
        <v>1</v>
      </c>
      <c r="AP145" cm="1">
        <f ca="1" t="array" ref="AP145">SUMPRODUCT(AJ145:AO145,TRANSPOSE($AS$3:$AS$8))</f>
        <v>2.34</v>
      </c>
    </row>
    <row r="146" ht="16.5" spans="14:42">
      <c r="N146" s="2">
        <v>143</v>
      </c>
      <c r="O146" s="45">
        <f>产出预期!AN162</f>
        <v>15610</v>
      </c>
      <c r="P146" s="2">
        <f ca="1">练度预期!M145</f>
        <v>30</v>
      </c>
      <c r="Q146" s="2" t="str">
        <f ca="1" t="shared" si="46"/>
        <v>橙</v>
      </c>
      <c r="R146" s="46">
        <f ca="1" t="shared" si="47"/>
        <v>0</v>
      </c>
      <c r="S146" s="47">
        <f ca="1" t="shared" si="34"/>
        <v>9.39142777777778</v>
      </c>
      <c r="T146" s="47">
        <f ca="1">MIN(1+($O146*1.4+产出预期!AC162*60)/OFFSET($J$14,MATCH(T$3,$T$3:$W$3,0),0),18)</f>
        <v>16.2372222222222</v>
      </c>
      <c r="U146" s="47">
        <f ca="1">MIN(($O146*1.4+产出预期!$AC162*60)/OFFSET($J$14,MATCH(U$3,$T$3:$W$3,0),0),3)</f>
        <v>3</v>
      </c>
      <c r="V146" s="47">
        <f ca="1">MIN(($O146*1.4+产出预期!$AC162*60)/OFFSET($J$14,MATCH(V$3,$T$3:$W$3,0),0),18)</f>
        <v>1.09708</v>
      </c>
      <c r="W146" s="47">
        <f ca="1">MIN(($O146*1.4+产出预期!$AC162*60)/OFFSET($J$14,MATCH(W$3,$T$3:$W$3,0),0),18)</f>
        <v>0.27427</v>
      </c>
      <c r="X146" s="47">
        <f ca="1" t="shared" si="35"/>
        <v>1.56348566666667</v>
      </c>
      <c r="Y146" s="47">
        <f ca="1" t="shared" si="36"/>
        <v>4.70004728602968</v>
      </c>
      <c r="Z146" s="47">
        <f ca="1" t="shared" si="37"/>
        <v>1.953125</v>
      </c>
      <c r="AA146" s="47">
        <f ca="1" t="shared" si="38"/>
        <v>1.35606107028479</v>
      </c>
      <c r="AB146" s="47">
        <f ca="1" t="shared" si="39"/>
        <v>1.05127670322119</v>
      </c>
      <c r="AC146" s="48">
        <f ca="1" t="shared" si="40"/>
        <v>20.4607928878022</v>
      </c>
      <c r="AD146" s="47">
        <f t="shared" si="33"/>
        <v>3902.5</v>
      </c>
      <c r="AE146" s="47">
        <f t="shared" si="41"/>
        <v>975.625</v>
      </c>
      <c r="AF146" s="47">
        <f t="shared" si="42"/>
        <v>243.90625</v>
      </c>
      <c r="AG146" s="47">
        <f t="shared" si="43"/>
        <v>60.9765625</v>
      </c>
      <c r="AH146" s="47">
        <f t="shared" si="44"/>
        <v>15.244140625</v>
      </c>
      <c r="AI146" s="47">
        <f t="shared" si="45"/>
        <v>3.81103515625</v>
      </c>
      <c r="AJ146">
        <f ca="1">MIN(INT(SUM(AD146:$AI146)/OFFSET($AV$2,MATCH(AD$3,$AE$3:$AI$3,0),0)),6-SUM(AK146:$AO146))</f>
        <v>0</v>
      </c>
      <c r="AK146">
        <f ca="1">MIN(INT(SUM(AE146:$AI146)/OFFSET($AV$2,MATCH(AE$3,$AE$3:$AI$3,0),0)),6-SUM(AL146:$AO146))</f>
        <v>0</v>
      </c>
      <c r="AL146">
        <f ca="1">MIN(INT(SUM(AF146:$AI146)/OFFSET($AV$2,MATCH(AF$3,$AE$3:$AI$3,0),0)),6-SUM(AM146:$AO146))</f>
        <v>0</v>
      </c>
      <c r="AM146">
        <f ca="1">MIN(INT((SUM(AG146:$AI146)+N146*2/6)/OFFSET($AV$2,MATCH(AG$3,$AE$3:$AI$3,0),0)),6-SUM(AN146:$AO146))</f>
        <v>2</v>
      </c>
      <c r="AN146">
        <f ca="1">MIN(INT(SUM(AH146:$AI146)/OFFSET($AV$2,MATCH(AH$3,$AE$3:$AI$3,0),0)),6-SUM(AO146:$AO146))</f>
        <v>3</v>
      </c>
      <c r="AO146">
        <f ca="1">INT(SUM(AI145:$AI146)/OFFSET($AV$2,MATCH(AI$3,$AE$3:$AI$3,0),0))</f>
        <v>1</v>
      </c>
      <c r="AP146" cm="1">
        <f ca="1" t="array" ref="AP146">SUMPRODUCT(AJ146:AO146,TRANSPOSE($AS$3:$AS$8))</f>
        <v>2.34</v>
      </c>
    </row>
    <row r="147" ht="16.5" spans="14:42">
      <c r="N147" s="2">
        <v>144</v>
      </c>
      <c r="O147" s="45">
        <f>产出预期!AN163</f>
        <v>15723</v>
      </c>
      <c r="P147" s="2">
        <f ca="1">练度预期!M146</f>
        <v>30</v>
      </c>
      <c r="Q147" s="2" t="str">
        <f ca="1" t="shared" si="46"/>
        <v>橙</v>
      </c>
      <c r="R147" s="46">
        <f ca="1" t="shared" si="47"/>
        <v>0</v>
      </c>
      <c r="S147" s="47">
        <f ca="1" t="shared" si="34"/>
        <v>9.28902833333333</v>
      </c>
      <c r="T147" s="47">
        <f ca="1">MIN(1+($O147*1.4+产出预期!AC163*60)/OFFSET($J$14,MATCH(T$3,$T$3:$W$3,0),0),18)</f>
        <v>16.3311666666667</v>
      </c>
      <c r="U147" s="47">
        <f ca="1">MIN(($O147*1.4+产出预期!$AC163*60)/OFFSET($J$14,MATCH(U$3,$T$3:$W$3,0),0),3)</f>
        <v>3</v>
      </c>
      <c r="V147" s="47">
        <f ca="1">MIN(($O147*1.4+产出预期!$AC163*60)/OFFSET($J$14,MATCH(V$3,$T$3:$W$3,0),0),18)</f>
        <v>1.103844</v>
      </c>
      <c r="W147" s="47">
        <f ca="1">MIN(($O147*1.4+产出预期!$AC163*60)/OFFSET($J$14,MATCH(W$3,$T$3:$W$3,0),0),18)</f>
        <v>0.275961</v>
      </c>
      <c r="X147" s="47">
        <f ca="1" t="shared" si="35"/>
        <v>1.5573417</v>
      </c>
      <c r="Y147" s="47">
        <f ca="1" t="shared" si="36"/>
        <v>4.74231982914808</v>
      </c>
      <c r="Z147" s="47">
        <f ca="1" t="shared" si="37"/>
        <v>1.953125</v>
      </c>
      <c r="AA147" s="47">
        <f ca="1" t="shared" si="38"/>
        <v>1.35861001139525</v>
      </c>
      <c r="AB147" s="47">
        <f ca="1" t="shared" si="39"/>
        <v>1.05160086784464</v>
      </c>
      <c r="AC147" s="48">
        <f ca="1" t="shared" si="40"/>
        <v>20.6086971906955</v>
      </c>
      <c r="AD147" s="47">
        <f t="shared" si="33"/>
        <v>3930.75</v>
      </c>
      <c r="AE147" s="47">
        <f t="shared" si="41"/>
        <v>982.6875</v>
      </c>
      <c r="AF147" s="47">
        <f t="shared" si="42"/>
        <v>245.671875</v>
      </c>
      <c r="AG147" s="47">
        <f t="shared" si="43"/>
        <v>61.41796875</v>
      </c>
      <c r="AH147" s="47">
        <f t="shared" si="44"/>
        <v>15.3544921875</v>
      </c>
      <c r="AI147" s="47">
        <f t="shared" si="45"/>
        <v>3.838623046875</v>
      </c>
      <c r="AJ147">
        <f ca="1">MIN(INT(SUM(AD147:$AI147)/OFFSET($AV$2,MATCH(AD$3,$AE$3:$AI$3,0),0)),6-SUM(AK147:$AO147))</f>
        <v>0</v>
      </c>
      <c r="AK147">
        <f ca="1">MIN(INT(SUM(AE147:$AI147)/OFFSET($AV$2,MATCH(AE$3,$AE$3:$AI$3,0),0)),6-SUM(AL147:$AO147))</f>
        <v>0</v>
      </c>
      <c r="AL147">
        <f ca="1">MIN(INT(SUM(AF147:$AI147)/OFFSET($AV$2,MATCH(AF$3,$AE$3:$AI$3,0),0)),6-SUM(AM147:$AO147))</f>
        <v>0</v>
      </c>
      <c r="AM147">
        <f ca="1">MIN(INT((SUM(AG147:$AI147)+N147*2/6)/OFFSET($AV$2,MATCH(AG$3,$AE$3:$AI$3,0),0)),6-SUM(AN147:$AO147))</f>
        <v>2</v>
      </c>
      <c r="AN147">
        <f ca="1">MIN(INT(SUM(AH147:$AI147)/OFFSET($AV$2,MATCH(AH$3,$AE$3:$AI$3,0),0)),6-SUM(AO147:$AO147))</f>
        <v>3</v>
      </c>
      <c r="AO147">
        <f ca="1">INT(SUM(AI146:$AI147)/OFFSET($AV$2,MATCH(AI$3,$AE$3:$AI$3,0),0))</f>
        <v>1</v>
      </c>
      <c r="AP147" cm="1">
        <f ca="1" t="array" ref="AP147">SUMPRODUCT(AJ147:AO147,TRANSPOSE($AS$3:$AS$8))</f>
        <v>2.34</v>
      </c>
    </row>
    <row r="148" ht="16.5" spans="14:42">
      <c r="N148" s="2">
        <v>145</v>
      </c>
      <c r="O148" s="45">
        <f>产出预期!AN164</f>
        <v>15831</v>
      </c>
      <c r="P148" s="2">
        <f ca="1">练度预期!M147</f>
        <v>30</v>
      </c>
      <c r="Q148" s="2" t="str">
        <f ca="1" t="shared" si="46"/>
        <v>橙</v>
      </c>
      <c r="R148" s="46">
        <f ca="1" t="shared" si="47"/>
        <v>0</v>
      </c>
      <c r="S148" s="47">
        <f ca="1" t="shared" si="34"/>
        <v>9.17058166666667</v>
      </c>
      <c r="T148" s="47">
        <f ca="1">MIN(1+($O148*1.4+产出预期!AC164*60)/OFFSET($J$14,MATCH(T$3,$T$3:$W$3,0),0),18)</f>
        <v>16.4398333333333</v>
      </c>
      <c r="U148" s="47">
        <f ca="1">MIN(($O148*1.4+产出预期!$AC164*60)/OFFSET($J$14,MATCH(U$3,$T$3:$W$3,0),0),3)</f>
        <v>3</v>
      </c>
      <c r="V148" s="47">
        <f ca="1">MIN(($O148*1.4+产出预期!$AC164*60)/OFFSET($J$14,MATCH(V$3,$T$3:$W$3,0),0),18)</f>
        <v>1.111668</v>
      </c>
      <c r="W148" s="47">
        <f ca="1">MIN(($O148*1.4+产出预期!$AC164*60)/OFFSET($J$14,MATCH(W$3,$T$3:$W$3,0),0),18)</f>
        <v>0.277917</v>
      </c>
      <c r="X148" s="47">
        <f ca="1" t="shared" si="35"/>
        <v>1.5502349</v>
      </c>
      <c r="Y148" s="47">
        <f ca="1" t="shared" si="36"/>
        <v>4.79169145372455</v>
      </c>
      <c r="Z148" s="47">
        <f ca="1" t="shared" si="37"/>
        <v>1.953125</v>
      </c>
      <c r="AA148" s="47">
        <f ca="1" t="shared" si="38"/>
        <v>1.36156437899991</v>
      </c>
      <c r="AB148" s="47">
        <f ca="1" t="shared" si="39"/>
        <v>1.05197595763949</v>
      </c>
      <c r="AC148" s="48">
        <f ca="1" t="shared" si="40"/>
        <v>20.7807103664856</v>
      </c>
      <c r="AD148" s="47">
        <f t="shared" si="33"/>
        <v>3957.75</v>
      </c>
      <c r="AE148" s="47">
        <f t="shared" si="41"/>
        <v>989.4375</v>
      </c>
      <c r="AF148" s="47">
        <f t="shared" si="42"/>
        <v>247.359375</v>
      </c>
      <c r="AG148" s="47">
        <f t="shared" si="43"/>
        <v>61.83984375</v>
      </c>
      <c r="AH148" s="47">
        <f t="shared" si="44"/>
        <v>15.4599609375</v>
      </c>
      <c r="AI148" s="47">
        <f t="shared" si="45"/>
        <v>3.864990234375</v>
      </c>
      <c r="AJ148">
        <f ca="1">MIN(INT(SUM(AD148:$AI148)/OFFSET($AV$2,MATCH(AD$3,$AE$3:$AI$3,0),0)),6-SUM(AK148:$AO148))</f>
        <v>0</v>
      </c>
      <c r="AK148">
        <f ca="1">MIN(INT(SUM(AE148:$AI148)/OFFSET($AV$2,MATCH(AE$3,$AE$3:$AI$3,0),0)),6-SUM(AL148:$AO148))</f>
        <v>0</v>
      </c>
      <c r="AL148">
        <f ca="1">MIN(INT(SUM(AF148:$AI148)/OFFSET($AV$2,MATCH(AF$3,$AE$3:$AI$3,0),0)),6-SUM(AM148:$AO148))</f>
        <v>0</v>
      </c>
      <c r="AM148">
        <f ca="1">MIN(INT((SUM(AG148:$AI148)+N148*2/6)/OFFSET($AV$2,MATCH(AG$3,$AE$3:$AI$3,0),0)),6-SUM(AN148:$AO148))</f>
        <v>2</v>
      </c>
      <c r="AN148">
        <f ca="1">MIN(INT(SUM(AH148:$AI148)/OFFSET($AV$2,MATCH(AH$3,$AE$3:$AI$3,0),0)),6-SUM(AO148:$AO148))</f>
        <v>3</v>
      </c>
      <c r="AO148">
        <f ca="1">INT(SUM(AI147:$AI148)/OFFSET($AV$2,MATCH(AI$3,$AE$3:$AI$3,0),0))</f>
        <v>1</v>
      </c>
      <c r="AP148" cm="1">
        <f ca="1" t="array" ref="AP148">SUMPRODUCT(AJ148:AO148,TRANSPOSE($AS$3:$AS$8))</f>
        <v>2.34</v>
      </c>
    </row>
    <row r="149" ht="16.5" spans="14:42">
      <c r="N149" s="2">
        <v>146</v>
      </c>
      <c r="O149" s="45">
        <f>产出预期!AN165</f>
        <v>15916</v>
      </c>
      <c r="P149" s="2">
        <f ca="1">练度预期!M148</f>
        <v>30</v>
      </c>
      <c r="Q149" s="2" t="str">
        <f ca="1" t="shared" si="46"/>
        <v>橙</v>
      </c>
      <c r="R149" s="46">
        <f ca="1" t="shared" si="47"/>
        <v>0</v>
      </c>
      <c r="S149" s="47">
        <f ca="1" t="shared" si="34"/>
        <v>9.08005111111111</v>
      </c>
      <c r="T149" s="47">
        <f ca="1">MIN(1+($O149*1.4+产出预期!AC165*60)/OFFSET($J$14,MATCH(T$3,$T$3:$W$3,0),0),18)</f>
        <v>16.5228888888889</v>
      </c>
      <c r="U149" s="47">
        <f ca="1">MIN(($O149*1.4+产出预期!$AC165*60)/OFFSET($J$14,MATCH(U$3,$T$3:$W$3,0),0),3)</f>
        <v>3</v>
      </c>
      <c r="V149" s="47">
        <f ca="1">MIN(($O149*1.4+产出预期!$AC165*60)/OFFSET($J$14,MATCH(V$3,$T$3:$W$3,0),0),18)</f>
        <v>1.117648</v>
      </c>
      <c r="W149" s="47">
        <f ca="1">MIN(($O149*1.4+产出预期!$AC165*60)/OFFSET($J$14,MATCH(W$3,$T$3:$W$3,0),0),18)</f>
        <v>0.279412</v>
      </c>
      <c r="X149" s="47">
        <f ca="1" t="shared" si="35"/>
        <v>1.54480306666667</v>
      </c>
      <c r="Y149" s="47">
        <f ca="1" t="shared" si="36"/>
        <v>4.82977320408904</v>
      </c>
      <c r="Z149" s="47">
        <f ca="1" t="shared" si="37"/>
        <v>1.953125</v>
      </c>
      <c r="AA149" s="47">
        <f ca="1" t="shared" si="38"/>
        <v>1.36382677716823</v>
      </c>
      <c r="AB149" s="47">
        <f ca="1" t="shared" si="39"/>
        <v>1.0522627345732</v>
      </c>
      <c r="AC149" s="48">
        <f ca="1" t="shared" si="40"/>
        <v>20.9128538795881</v>
      </c>
      <c r="AD149" s="47">
        <f t="shared" si="33"/>
        <v>3979</v>
      </c>
      <c r="AE149" s="47">
        <f t="shared" si="41"/>
        <v>994.75</v>
      </c>
      <c r="AF149" s="47">
        <f t="shared" si="42"/>
        <v>248.6875</v>
      </c>
      <c r="AG149" s="47">
        <f t="shared" si="43"/>
        <v>62.171875</v>
      </c>
      <c r="AH149" s="47">
        <f t="shared" si="44"/>
        <v>15.54296875</v>
      </c>
      <c r="AI149" s="47">
        <f t="shared" si="45"/>
        <v>3.8857421875</v>
      </c>
      <c r="AJ149">
        <f ca="1">MIN(INT(SUM(AD149:$AI149)/OFFSET($AV$2,MATCH(AD$3,$AE$3:$AI$3,0),0)),6-SUM(AK149:$AO149))</f>
        <v>0</v>
      </c>
      <c r="AK149">
        <f ca="1">MIN(INT(SUM(AE149:$AI149)/OFFSET($AV$2,MATCH(AE$3,$AE$3:$AI$3,0),0)),6-SUM(AL149:$AO149))</f>
        <v>0</v>
      </c>
      <c r="AL149">
        <f ca="1">MIN(INT(SUM(AF149:$AI149)/OFFSET($AV$2,MATCH(AF$3,$AE$3:$AI$3,0),0)),6-SUM(AM149:$AO149))</f>
        <v>0</v>
      </c>
      <c r="AM149">
        <f ca="1">MIN(INT((SUM(AG149:$AI149)+N149*2/6)/OFFSET($AV$2,MATCH(AG$3,$AE$3:$AI$3,0),0)),6-SUM(AN149:$AO149))</f>
        <v>2</v>
      </c>
      <c r="AN149">
        <f ca="1">MIN(INT(SUM(AH149:$AI149)/OFFSET($AV$2,MATCH(AH$3,$AE$3:$AI$3,0),0)),6-SUM(AO149:$AO149))</f>
        <v>3</v>
      </c>
      <c r="AO149">
        <f ca="1">INT(SUM(AI148:$AI149)/OFFSET($AV$2,MATCH(AI$3,$AE$3:$AI$3,0),0))</f>
        <v>1</v>
      </c>
      <c r="AP149" cm="1">
        <f ca="1" t="array" ref="AP149">SUMPRODUCT(AJ149:AO149,TRANSPOSE($AS$3:$AS$8))</f>
        <v>2.34</v>
      </c>
    </row>
    <row r="150" ht="16.5" spans="14:42">
      <c r="N150" s="2">
        <v>147</v>
      </c>
      <c r="O150" s="45">
        <f>产出预期!AN166</f>
        <v>16024</v>
      </c>
      <c r="P150" s="2">
        <f ca="1">练度预期!M149</f>
        <v>30</v>
      </c>
      <c r="Q150" s="2" t="str">
        <f ca="1" t="shared" si="46"/>
        <v>橙</v>
      </c>
      <c r="R150" s="46">
        <f ca="1" t="shared" si="47"/>
        <v>0</v>
      </c>
      <c r="S150" s="47">
        <f ca="1" t="shared" si="34"/>
        <v>8.96160444444444</v>
      </c>
      <c r="T150" s="47">
        <f ca="1">MIN(1+($O150*1.4+产出预期!AC166*60)/OFFSET($J$14,MATCH(T$3,$T$3:$W$3,0),0),18)</f>
        <v>16.6315555555556</v>
      </c>
      <c r="U150" s="47">
        <f ca="1">MIN(($O150*1.4+产出预期!$AC166*60)/OFFSET($J$14,MATCH(U$3,$T$3:$W$3,0),0),3)</f>
        <v>3</v>
      </c>
      <c r="V150" s="47">
        <f ca="1">MIN(($O150*1.4+产出预期!$AC166*60)/OFFSET($J$14,MATCH(V$3,$T$3:$W$3,0),0),18)</f>
        <v>1.125472</v>
      </c>
      <c r="W150" s="47">
        <f ca="1">MIN(($O150*1.4+产出预期!$AC166*60)/OFFSET($J$14,MATCH(W$3,$T$3:$W$3,0),0),18)</f>
        <v>0.281368</v>
      </c>
      <c r="X150" s="47">
        <f ca="1" t="shared" si="35"/>
        <v>1.53769626666667</v>
      </c>
      <c r="Y150" s="47">
        <f ca="1" t="shared" si="36"/>
        <v>4.8800552934488</v>
      </c>
      <c r="Z150" s="47">
        <f ca="1" t="shared" si="37"/>
        <v>1.953125</v>
      </c>
      <c r="AA150" s="47">
        <f ca="1" t="shared" si="38"/>
        <v>1.36679248889936</v>
      </c>
      <c r="AB150" s="47">
        <f ca="1" t="shared" si="39"/>
        <v>1.05263806044569</v>
      </c>
      <c r="AC150" s="48">
        <f ca="1" t="shared" si="40"/>
        <v>21.0866210872891</v>
      </c>
      <c r="AD150" s="47">
        <f t="shared" si="33"/>
        <v>4006</v>
      </c>
      <c r="AE150" s="47">
        <f t="shared" si="41"/>
        <v>1001.5</v>
      </c>
      <c r="AF150" s="47">
        <f t="shared" si="42"/>
        <v>250.375</v>
      </c>
      <c r="AG150" s="47">
        <f t="shared" si="43"/>
        <v>62.59375</v>
      </c>
      <c r="AH150" s="47">
        <f t="shared" si="44"/>
        <v>15.6484375</v>
      </c>
      <c r="AI150" s="47">
        <f t="shared" si="45"/>
        <v>3.912109375</v>
      </c>
      <c r="AJ150">
        <f ca="1">MIN(INT(SUM(AD150:$AI150)/OFFSET($AV$2,MATCH(AD$3,$AE$3:$AI$3,0),0)),6-SUM(AK150:$AO150))</f>
        <v>0</v>
      </c>
      <c r="AK150">
        <f ca="1">MIN(INT(SUM(AE150:$AI150)/OFFSET($AV$2,MATCH(AE$3,$AE$3:$AI$3,0),0)),6-SUM(AL150:$AO150))</f>
        <v>0</v>
      </c>
      <c r="AL150">
        <f ca="1">MIN(INT(SUM(AF150:$AI150)/OFFSET($AV$2,MATCH(AF$3,$AE$3:$AI$3,0),0)),6-SUM(AM150:$AO150))</f>
        <v>0</v>
      </c>
      <c r="AM150">
        <f ca="1">MIN(INT((SUM(AG150:$AI150)+N150*2/6)/OFFSET($AV$2,MATCH(AG$3,$AE$3:$AI$3,0),0)),6-SUM(AN150:$AO150))</f>
        <v>2</v>
      </c>
      <c r="AN150">
        <f ca="1">MIN(INT(SUM(AH150:$AI150)/OFFSET($AV$2,MATCH(AH$3,$AE$3:$AI$3,0),0)),6-SUM(AO150:$AO150))</f>
        <v>3</v>
      </c>
      <c r="AO150">
        <f ca="1">INT(SUM(AI149:$AI150)/OFFSET($AV$2,MATCH(AI$3,$AE$3:$AI$3,0),0))</f>
        <v>1</v>
      </c>
      <c r="AP150" cm="1">
        <f ca="1" t="array" ref="AP150">SUMPRODUCT(AJ150:AO150,TRANSPOSE($AS$3:$AS$8))</f>
        <v>2.34</v>
      </c>
    </row>
    <row r="151" ht="16.5" spans="14:42">
      <c r="N151" s="2">
        <v>148</v>
      </c>
      <c r="O151" s="45">
        <f>产出预期!AN167</f>
        <v>16132</v>
      </c>
      <c r="P151" s="2">
        <f ca="1">练度预期!M150</f>
        <v>30</v>
      </c>
      <c r="Q151" s="2" t="str">
        <f ca="1" t="shared" si="46"/>
        <v>橙</v>
      </c>
      <c r="R151" s="46">
        <f ca="1" t="shared" si="47"/>
        <v>0</v>
      </c>
      <c r="S151" s="47">
        <f ca="1" t="shared" si="34"/>
        <v>8.86132444444444</v>
      </c>
      <c r="T151" s="47">
        <f ca="1">MIN(1+($O151*1.4+产出预期!AC167*60)/OFFSET($J$14,MATCH(T$3,$T$3:$W$3,0),0),18)</f>
        <v>16.7235555555556</v>
      </c>
      <c r="U151" s="47">
        <f ca="1">MIN(($O151*1.4+产出预期!$AC167*60)/OFFSET($J$14,MATCH(U$3,$T$3:$W$3,0),0),3)</f>
        <v>3</v>
      </c>
      <c r="V151" s="47">
        <f ca="1">MIN(($O151*1.4+产出预期!$AC167*60)/OFFSET($J$14,MATCH(V$3,$T$3:$W$3,0),0),18)</f>
        <v>1.132096</v>
      </c>
      <c r="W151" s="47">
        <f ca="1">MIN(($O151*1.4+产出预期!$AC167*60)/OFFSET($J$14,MATCH(W$3,$T$3:$W$3,0),0),18)</f>
        <v>0.283024</v>
      </c>
      <c r="X151" s="47">
        <f ca="1" t="shared" si="35"/>
        <v>1.53167946666667</v>
      </c>
      <c r="Y151" s="47">
        <f ca="1" t="shared" si="36"/>
        <v>4.92303439314116</v>
      </c>
      <c r="Z151" s="47">
        <f ca="1" t="shared" si="37"/>
        <v>1.953125</v>
      </c>
      <c r="AA151" s="47">
        <f ca="1" t="shared" si="38"/>
        <v>1.36930837756723</v>
      </c>
      <c r="AB151" s="47">
        <f ca="1" t="shared" si="39"/>
        <v>1.05295592564695</v>
      </c>
      <c r="AC151" s="48">
        <f ca="1" t="shared" si="40"/>
        <v>21.2345106647127</v>
      </c>
      <c r="AD151" s="47">
        <f t="shared" si="33"/>
        <v>4033</v>
      </c>
      <c r="AE151" s="47">
        <f t="shared" si="41"/>
        <v>1008.25</v>
      </c>
      <c r="AF151" s="47">
        <f t="shared" si="42"/>
        <v>252.0625</v>
      </c>
      <c r="AG151" s="47">
        <f t="shared" si="43"/>
        <v>63.015625</v>
      </c>
      <c r="AH151" s="47">
        <f t="shared" si="44"/>
        <v>15.75390625</v>
      </c>
      <c r="AI151" s="47">
        <f t="shared" si="45"/>
        <v>3.9384765625</v>
      </c>
      <c r="AJ151">
        <f ca="1">MIN(INT(SUM(AD151:$AI151)/OFFSET($AV$2,MATCH(AD$3,$AE$3:$AI$3,0),0)),6-SUM(AK151:$AO151))</f>
        <v>0</v>
      </c>
      <c r="AK151">
        <f ca="1">MIN(INT(SUM(AE151:$AI151)/OFFSET($AV$2,MATCH(AE$3,$AE$3:$AI$3,0),0)),6-SUM(AL151:$AO151))</f>
        <v>0</v>
      </c>
      <c r="AL151">
        <f ca="1">MIN(INT(SUM(AF151:$AI151)/OFFSET($AV$2,MATCH(AF$3,$AE$3:$AI$3,0),0)),6-SUM(AM151:$AO151))</f>
        <v>0</v>
      </c>
      <c r="AM151">
        <f ca="1">MIN(INT((SUM(AG151:$AI151)+N151*2/6)/OFFSET($AV$2,MATCH(AG$3,$AE$3:$AI$3,0),0)),6-SUM(AN151:$AO151))</f>
        <v>2</v>
      </c>
      <c r="AN151">
        <f ca="1">MIN(INT(SUM(AH151:$AI151)/OFFSET($AV$2,MATCH(AH$3,$AE$3:$AI$3,0),0)),6-SUM(AO151:$AO151))</f>
        <v>3</v>
      </c>
      <c r="AO151">
        <f ca="1">INT(SUM(AI150:$AI151)/OFFSET($AV$2,MATCH(AI$3,$AE$3:$AI$3,0),0))</f>
        <v>1</v>
      </c>
      <c r="AP151" cm="1">
        <f ca="1" t="array" ref="AP151">SUMPRODUCT(AJ151:AO151,TRANSPOSE($AS$3:$AS$8))</f>
        <v>2.34</v>
      </c>
    </row>
    <row r="152" ht="16.5" spans="14:42">
      <c r="N152" s="2">
        <v>149</v>
      </c>
      <c r="O152" s="45">
        <f>产出预期!AN168</f>
        <v>16245</v>
      </c>
      <c r="P152" s="2">
        <f ca="1">练度预期!M151</f>
        <v>30</v>
      </c>
      <c r="Q152" s="2" t="str">
        <f ca="1" t="shared" si="46"/>
        <v>橙</v>
      </c>
      <c r="R152" s="46">
        <f ca="1" t="shared" si="47"/>
        <v>0</v>
      </c>
      <c r="S152" s="47">
        <f ca="1" t="shared" si="34"/>
        <v>8.74075833333333</v>
      </c>
      <c r="T152" s="47">
        <f ca="1">MIN(1+($O152*1.4+产出预期!AC168*60)/OFFSET($J$14,MATCH(T$3,$T$3:$W$3,0),0),18)</f>
        <v>16.8341666666667</v>
      </c>
      <c r="U152" s="47">
        <f ca="1">MIN(($O152*1.4+产出预期!$AC168*60)/OFFSET($J$14,MATCH(U$3,$T$3:$W$3,0),0),3)</f>
        <v>3</v>
      </c>
      <c r="V152" s="47">
        <f ca="1">MIN(($O152*1.4+产出预期!$AC168*60)/OFFSET($J$14,MATCH(V$3,$T$3:$W$3,0),0),18)</f>
        <v>1.14006</v>
      </c>
      <c r="W152" s="47">
        <f ca="1">MIN(($O152*1.4+产出预期!$AC168*60)/OFFSET($J$14,MATCH(W$3,$T$3:$W$3,0),0),18)</f>
        <v>0.285015</v>
      </c>
      <c r="X152" s="47">
        <f ca="1" t="shared" si="35"/>
        <v>1.5244455</v>
      </c>
      <c r="Y152" s="47">
        <f ca="1" t="shared" si="36"/>
        <v>4.97520935860096</v>
      </c>
      <c r="Z152" s="47">
        <f ca="1" t="shared" si="37"/>
        <v>1.953125</v>
      </c>
      <c r="AA152" s="47">
        <f ca="1" t="shared" si="38"/>
        <v>1.37233934897871</v>
      </c>
      <c r="AB152" s="47">
        <f ca="1" t="shared" si="39"/>
        <v>1.0533382203678</v>
      </c>
      <c r="AC152" s="48">
        <f ca="1" t="shared" si="40"/>
        <v>21.4132536404463</v>
      </c>
      <c r="AD152" s="47">
        <f t="shared" si="33"/>
        <v>4061.25</v>
      </c>
      <c r="AE152" s="47">
        <f t="shared" si="41"/>
        <v>1015.3125</v>
      </c>
      <c r="AF152" s="47">
        <f t="shared" si="42"/>
        <v>253.828125</v>
      </c>
      <c r="AG152" s="47">
        <f t="shared" si="43"/>
        <v>63.45703125</v>
      </c>
      <c r="AH152" s="47">
        <f t="shared" si="44"/>
        <v>15.8642578125</v>
      </c>
      <c r="AI152" s="47">
        <f t="shared" si="45"/>
        <v>3.966064453125</v>
      </c>
      <c r="AJ152">
        <f ca="1">MIN(INT(SUM(AD152:$AI152)/OFFSET($AV$2,MATCH(AD$3,$AE$3:$AI$3,0),0)),6-SUM(AK152:$AO152))</f>
        <v>0</v>
      </c>
      <c r="AK152">
        <f ca="1">MIN(INT(SUM(AE152:$AI152)/OFFSET($AV$2,MATCH(AE$3,$AE$3:$AI$3,0),0)),6-SUM(AL152:$AO152))</f>
        <v>0</v>
      </c>
      <c r="AL152">
        <f ca="1">MIN(INT(SUM(AF152:$AI152)/OFFSET($AV$2,MATCH(AF$3,$AE$3:$AI$3,0),0)),6-SUM(AM152:$AO152))</f>
        <v>0</v>
      </c>
      <c r="AM152">
        <f ca="1">MIN(INT((SUM(AG152:$AI152)+N152*2/6)/OFFSET($AV$2,MATCH(AG$3,$AE$3:$AI$3,0),0)),6-SUM(AN152:$AO152))</f>
        <v>2</v>
      </c>
      <c r="AN152">
        <f ca="1">MIN(INT(SUM(AH152:$AI152)/OFFSET($AV$2,MATCH(AH$3,$AE$3:$AI$3,0),0)),6-SUM(AO152:$AO152))</f>
        <v>3</v>
      </c>
      <c r="AO152">
        <f ca="1">INT(SUM(AI151:$AI152)/OFFSET($AV$2,MATCH(AI$3,$AE$3:$AI$3,0),0))</f>
        <v>1</v>
      </c>
      <c r="AP152" cm="1">
        <f ca="1" t="array" ref="AP152">SUMPRODUCT(AJ152:AO152,TRANSPOSE($AS$3:$AS$8))</f>
        <v>2.34</v>
      </c>
    </row>
    <row r="153" ht="16.5" spans="14:42">
      <c r="N153" s="2">
        <v>150</v>
      </c>
      <c r="O153" s="45">
        <f>产出预期!AN169</f>
        <v>16353</v>
      </c>
      <c r="P153" s="2">
        <f ca="1">练度预期!M152</f>
        <v>30</v>
      </c>
      <c r="Q153" s="2" t="str">
        <f ca="1" t="shared" si="46"/>
        <v>橙</v>
      </c>
      <c r="R153" s="46">
        <f ca="1" t="shared" si="47"/>
        <v>0</v>
      </c>
      <c r="S153" s="47">
        <f ca="1" t="shared" si="34"/>
        <v>8.62231166666666</v>
      </c>
      <c r="T153" s="47">
        <f ca="1">MIN(1+($O153*1.4+产出预期!AC169*60)/OFFSET($J$14,MATCH(T$3,$T$3:$W$3,0),0),18)</f>
        <v>16.9428333333333</v>
      </c>
      <c r="U153" s="47">
        <f ca="1">MIN(($O153*1.4+产出预期!$AC169*60)/OFFSET($J$14,MATCH(U$3,$T$3:$W$3,0),0),3)</f>
        <v>3</v>
      </c>
      <c r="V153" s="47">
        <f ca="1">MIN(($O153*1.4+产出预期!$AC169*60)/OFFSET($J$14,MATCH(V$3,$T$3:$W$3,0),0),18)</f>
        <v>1.147884</v>
      </c>
      <c r="W153" s="47">
        <f ca="1">MIN(($O153*1.4+产出预期!$AC169*60)/OFFSET($J$14,MATCH(W$3,$T$3:$W$3,0),0),18)</f>
        <v>0.286971</v>
      </c>
      <c r="X153" s="47">
        <f ca="1" t="shared" si="35"/>
        <v>1.5173387</v>
      </c>
      <c r="Y153" s="47">
        <f ca="1" t="shared" si="36"/>
        <v>5.02700556330491</v>
      </c>
      <c r="Z153" s="47">
        <f ca="1" t="shared" si="37"/>
        <v>1.953125</v>
      </c>
      <c r="AA153" s="47">
        <f ca="1" t="shared" si="38"/>
        <v>1.37532357173668</v>
      </c>
      <c r="AB153" s="47">
        <f ca="1" t="shared" si="39"/>
        <v>1.05371392984947</v>
      </c>
      <c r="AC153" s="48">
        <f ca="1" t="shared" si="40"/>
        <v>21.5898461431966</v>
      </c>
      <c r="AD153" s="47">
        <f t="shared" si="33"/>
        <v>4088.25</v>
      </c>
      <c r="AE153" s="47">
        <f t="shared" si="41"/>
        <v>1022.0625</v>
      </c>
      <c r="AF153" s="47">
        <f t="shared" si="42"/>
        <v>255.515625</v>
      </c>
      <c r="AG153" s="47">
        <f t="shared" si="43"/>
        <v>63.87890625</v>
      </c>
      <c r="AH153" s="47">
        <f t="shared" si="44"/>
        <v>15.9697265625</v>
      </c>
      <c r="AI153" s="47">
        <f t="shared" si="45"/>
        <v>3.992431640625</v>
      </c>
      <c r="AJ153">
        <f ca="1">MIN(INT(SUM(AD153:$AI153)/OFFSET($AV$2,MATCH(AD$3,$AE$3:$AI$3,0),0)),6-SUM(AK153:$AO153))</f>
        <v>0</v>
      </c>
      <c r="AK153">
        <f ca="1">MIN(INT(SUM(AE153:$AI153)/OFFSET($AV$2,MATCH(AE$3,$AE$3:$AI$3,0),0)),6-SUM(AL153:$AO153))</f>
        <v>0</v>
      </c>
      <c r="AL153">
        <f ca="1">MIN(INT(SUM(AF153:$AI153)/OFFSET($AV$2,MATCH(AF$3,$AE$3:$AI$3,0),0)),6-SUM(AM153:$AO153))</f>
        <v>0</v>
      </c>
      <c r="AM153">
        <f ca="1">MIN(INT((SUM(AG153:$AI153)+N153*2/6)/OFFSET($AV$2,MATCH(AG$3,$AE$3:$AI$3,0),0)),6-SUM(AN153:$AO153))</f>
        <v>2</v>
      </c>
      <c r="AN153">
        <f ca="1">MIN(INT(SUM(AH153:$AI153)/OFFSET($AV$2,MATCH(AH$3,$AE$3:$AI$3,0),0)),6-SUM(AO153:$AO153))</f>
        <v>3</v>
      </c>
      <c r="AO153">
        <f ca="1">INT(SUM(AI152:$AI153)/OFFSET($AV$2,MATCH(AI$3,$AE$3:$AI$3,0),0))</f>
        <v>1</v>
      </c>
      <c r="AP153" cm="1">
        <f ca="1" t="array" ref="AP153">SUMPRODUCT(AJ153:AO153,TRANSPOSE($AS$3:$AS$8))</f>
        <v>2.34</v>
      </c>
    </row>
    <row r="154" ht="16.5" spans="14:42">
      <c r="N154" s="2">
        <v>151</v>
      </c>
      <c r="O154" s="45">
        <f>产出预期!AN170</f>
        <v>16466</v>
      </c>
      <c r="P154" s="2">
        <f ca="1">练度预期!M153</f>
        <v>30</v>
      </c>
      <c r="Q154" s="2" t="str">
        <f ca="1" t="shared" si="46"/>
        <v>橙</v>
      </c>
      <c r="R154" s="46">
        <f ca="1" t="shared" si="47"/>
        <v>0</v>
      </c>
      <c r="S154" s="47">
        <f ca="1" t="shared" si="34"/>
        <v>8.51991222222223</v>
      </c>
      <c r="T154" s="47">
        <f ca="1">MIN(1+($O154*1.4+产出预期!AC170*60)/OFFSET($J$14,MATCH(T$3,$T$3:$W$3,0),0),18)</f>
        <v>17.0367777777778</v>
      </c>
      <c r="U154" s="47">
        <f ca="1">MIN(($O154*1.4+产出预期!$AC170*60)/OFFSET($J$14,MATCH(U$3,$T$3:$W$3,0),0),3)</f>
        <v>3</v>
      </c>
      <c r="V154" s="47">
        <f ca="1">MIN(($O154*1.4+产出预期!$AC170*60)/OFFSET($J$14,MATCH(V$3,$T$3:$W$3,0),0),18)</f>
        <v>1.154648</v>
      </c>
      <c r="W154" s="47">
        <f ca="1">MIN(($O154*1.4+产出预期!$AC170*60)/OFFSET($J$14,MATCH(W$3,$T$3:$W$3,0),0),18)</f>
        <v>0.288662</v>
      </c>
      <c r="X154" s="47">
        <f ca="1" t="shared" si="35"/>
        <v>1.51119473333333</v>
      </c>
      <c r="Y154" s="47">
        <f ca="1" t="shared" si="36"/>
        <v>5.07221879127879</v>
      </c>
      <c r="Z154" s="47">
        <f ca="1" t="shared" si="37"/>
        <v>1.953125</v>
      </c>
      <c r="AA154" s="47">
        <f ca="1" t="shared" si="38"/>
        <v>1.37790871990516</v>
      </c>
      <c r="AB154" s="47">
        <f ca="1" t="shared" si="39"/>
        <v>1.05403884599975</v>
      </c>
      <c r="AC154" s="48">
        <f ca="1" t="shared" si="40"/>
        <v>21.7433028236753</v>
      </c>
      <c r="AD154" s="47">
        <f t="shared" si="33"/>
        <v>4116.5</v>
      </c>
      <c r="AE154" s="47">
        <f t="shared" si="41"/>
        <v>1029.125</v>
      </c>
      <c r="AF154" s="47">
        <f t="shared" si="42"/>
        <v>257.28125</v>
      </c>
      <c r="AG154" s="47">
        <f t="shared" si="43"/>
        <v>64.3203125</v>
      </c>
      <c r="AH154" s="47">
        <f t="shared" si="44"/>
        <v>16.080078125</v>
      </c>
      <c r="AI154" s="47">
        <f t="shared" si="45"/>
        <v>4.02001953125</v>
      </c>
      <c r="AJ154">
        <f ca="1">MIN(INT(SUM(AD154:$AI154)/OFFSET($AV$2,MATCH(AD$3,$AE$3:$AI$3,0),0)),6-SUM(AK154:$AO154))</f>
        <v>0</v>
      </c>
      <c r="AK154">
        <f ca="1">MIN(INT(SUM(AE154:$AI154)/OFFSET($AV$2,MATCH(AE$3,$AE$3:$AI$3,0),0)),6-SUM(AL154:$AO154))</f>
        <v>0</v>
      </c>
      <c r="AL154">
        <f ca="1">MIN(INT(SUM(AF154:$AI154)/OFFSET($AV$2,MATCH(AF$3,$AE$3:$AI$3,0),0)),6-SUM(AM154:$AO154))</f>
        <v>0</v>
      </c>
      <c r="AM154">
        <f ca="1">MIN(INT((SUM(AG154:$AI154)+N154*2/6)/OFFSET($AV$2,MATCH(AG$3,$AE$3:$AI$3,0),0)),6-SUM(AN154:$AO154))</f>
        <v>2</v>
      </c>
      <c r="AN154">
        <f ca="1">MIN(INT(SUM(AH154:$AI154)/OFFSET($AV$2,MATCH(AH$3,$AE$3:$AI$3,0),0)),6-SUM(AO154:$AO154))</f>
        <v>3</v>
      </c>
      <c r="AO154">
        <f ca="1">INT(SUM(AI153:$AI154)/OFFSET($AV$2,MATCH(AI$3,$AE$3:$AI$3,0),0))</f>
        <v>1</v>
      </c>
      <c r="AP154" cm="1">
        <f ca="1" t="array" ref="AP154">SUMPRODUCT(AJ154:AO154,TRANSPOSE($AS$3:$AS$8))</f>
        <v>2.34</v>
      </c>
    </row>
    <row r="155" ht="16.5" spans="14:42">
      <c r="N155" s="2">
        <v>152</v>
      </c>
      <c r="O155" s="45">
        <f>产出预期!AN171</f>
        <v>16546</v>
      </c>
      <c r="P155" s="2">
        <f ca="1">练度预期!M154</f>
        <v>30</v>
      </c>
      <c r="Q155" s="2" t="str">
        <f ca="1" t="shared" si="46"/>
        <v>橙</v>
      </c>
      <c r="R155" s="46">
        <f ca="1" t="shared" si="47"/>
        <v>0</v>
      </c>
      <c r="S155" s="47">
        <f ca="1" t="shared" si="34"/>
        <v>8.41333444444444</v>
      </c>
      <c r="T155" s="47">
        <f ca="1">MIN(1+($O155*1.4+产出预期!AC171*60)/OFFSET($J$14,MATCH(T$3,$T$3:$W$3,0),0),18)</f>
        <v>17.1345555555556</v>
      </c>
      <c r="U155" s="47">
        <f ca="1">MIN(($O155*1.4+产出预期!$AC171*60)/OFFSET($J$14,MATCH(U$3,$T$3:$W$3,0),0),3)</f>
        <v>3</v>
      </c>
      <c r="V155" s="47">
        <f ca="1">MIN(($O155*1.4+产出预期!$AC171*60)/OFFSET($J$14,MATCH(V$3,$T$3:$W$3,0),0),18)</f>
        <v>1.161688</v>
      </c>
      <c r="W155" s="47">
        <f ca="1">MIN(($O155*1.4+产出预期!$AC171*60)/OFFSET($J$14,MATCH(W$3,$T$3:$W$3,0),0),18)</f>
        <v>0.290422</v>
      </c>
      <c r="X155" s="47">
        <f ca="1" t="shared" si="35"/>
        <v>1.50480006666667</v>
      </c>
      <c r="Y155" s="47">
        <f ca="1" t="shared" si="36"/>
        <v>5.11970884317564</v>
      </c>
      <c r="Z155" s="47">
        <f ca="1" t="shared" si="37"/>
        <v>1.953125</v>
      </c>
      <c r="AA155" s="47">
        <f ca="1" t="shared" si="38"/>
        <v>1.38060451393174</v>
      </c>
      <c r="AB155" s="47">
        <f ca="1" t="shared" si="39"/>
        <v>1.05437712651743</v>
      </c>
      <c r="AC155" s="48">
        <f ca="1" t="shared" si="40"/>
        <v>21.9037951451929</v>
      </c>
      <c r="AD155" s="47">
        <f t="shared" si="33"/>
        <v>4136.5</v>
      </c>
      <c r="AE155" s="47">
        <f t="shared" si="41"/>
        <v>1034.125</v>
      </c>
      <c r="AF155" s="47">
        <f t="shared" si="42"/>
        <v>258.53125</v>
      </c>
      <c r="AG155" s="47">
        <f t="shared" si="43"/>
        <v>64.6328125</v>
      </c>
      <c r="AH155" s="47">
        <f t="shared" si="44"/>
        <v>16.158203125</v>
      </c>
      <c r="AI155" s="47">
        <f t="shared" si="45"/>
        <v>4.03955078125</v>
      </c>
      <c r="AJ155">
        <f ca="1">MIN(INT(SUM(AD155:$AI155)/OFFSET($AV$2,MATCH(AD$3,$AE$3:$AI$3,0),0)),6-SUM(AK155:$AO155))</f>
        <v>0</v>
      </c>
      <c r="AK155">
        <f ca="1">MIN(INT(SUM(AE155:$AI155)/OFFSET($AV$2,MATCH(AE$3,$AE$3:$AI$3,0),0)),6-SUM(AL155:$AO155))</f>
        <v>0</v>
      </c>
      <c r="AL155">
        <f ca="1">MIN(INT(SUM(AF155:$AI155)/OFFSET($AV$2,MATCH(AF$3,$AE$3:$AI$3,0),0)),6-SUM(AM155:$AO155))</f>
        <v>0</v>
      </c>
      <c r="AM155">
        <f ca="1">MIN(INT((SUM(AG155:$AI155)+N155*2/6)/OFFSET($AV$2,MATCH(AG$3,$AE$3:$AI$3,0),0)),6-SUM(AN155:$AO155))</f>
        <v>2</v>
      </c>
      <c r="AN155">
        <f ca="1">MIN(INT(SUM(AH155:$AI155)/OFFSET($AV$2,MATCH(AH$3,$AE$3:$AI$3,0),0)),6-SUM(AO155:$AO155))</f>
        <v>3</v>
      </c>
      <c r="AO155">
        <f ca="1">INT(SUM(AI154:$AI155)/OFFSET($AV$2,MATCH(AI$3,$AE$3:$AI$3,0),0))</f>
        <v>1</v>
      </c>
      <c r="AP155" cm="1">
        <f ca="1" t="array" ref="AP155">SUMPRODUCT(AJ155:AO155,TRANSPOSE($AS$3:$AS$8))</f>
        <v>2.34</v>
      </c>
    </row>
    <row r="156" ht="16.5" spans="14:42">
      <c r="N156" s="2">
        <v>153</v>
      </c>
      <c r="O156" s="45">
        <f>产出预期!AN172</f>
        <v>16659</v>
      </c>
      <c r="P156" s="2">
        <f ca="1">练度预期!M155</f>
        <v>30</v>
      </c>
      <c r="Q156" s="2" t="str">
        <f ca="1" t="shared" si="46"/>
        <v>橙</v>
      </c>
      <c r="R156" s="46">
        <f ca="1" t="shared" si="47"/>
        <v>0</v>
      </c>
      <c r="S156" s="47">
        <f ca="1" t="shared" si="34"/>
        <v>8.310935</v>
      </c>
      <c r="T156" s="47">
        <f ca="1">MIN(1+($O156*1.4+产出预期!AC172*60)/OFFSET($J$14,MATCH(T$3,$T$3:$W$3,0),0),18)</f>
        <v>17.2285</v>
      </c>
      <c r="U156" s="47">
        <f ca="1">MIN(($O156*1.4+产出预期!$AC172*60)/OFFSET($J$14,MATCH(U$3,$T$3:$W$3,0),0),3)</f>
        <v>3</v>
      </c>
      <c r="V156" s="47">
        <f ca="1">MIN(($O156*1.4+产出预期!$AC172*60)/OFFSET($J$14,MATCH(V$3,$T$3:$W$3,0),0),18)</f>
        <v>1.168452</v>
      </c>
      <c r="W156" s="47">
        <f ca="1">MIN(($O156*1.4+产出预期!$AC172*60)/OFFSET($J$14,MATCH(W$3,$T$3:$W$3,0),0),18)</f>
        <v>0.292113</v>
      </c>
      <c r="X156" s="47">
        <f ca="1" t="shared" si="35"/>
        <v>1.4986561</v>
      </c>
      <c r="Y156" s="47">
        <f ca="1" t="shared" si="36"/>
        <v>5.16575585071748</v>
      </c>
      <c r="Z156" s="47">
        <f ca="1" t="shared" si="37"/>
        <v>1.953125</v>
      </c>
      <c r="AA156" s="47">
        <f ca="1" t="shared" si="38"/>
        <v>1.38319958850469</v>
      </c>
      <c r="AB156" s="47">
        <f ca="1" t="shared" si="39"/>
        <v>1.05470224716659</v>
      </c>
      <c r="AC156" s="48">
        <f ca="1" t="shared" si="40"/>
        <v>22.0587360174989</v>
      </c>
      <c r="AD156" s="47">
        <f t="shared" si="33"/>
        <v>4164.75</v>
      </c>
      <c r="AE156" s="47">
        <f t="shared" si="41"/>
        <v>1041.1875</v>
      </c>
      <c r="AF156" s="47">
        <f t="shared" si="42"/>
        <v>260.296875</v>
      </c>
      <c r="AG156" s="47">
        <f t="shared" si="43"/>
        <v>65.07421875</v>
      </c>
      <c r="AH156" s="47">
        <f t="shared" si="44"/>
        <v>16.2685546875</v>
      </c>
      <c r="AI156" s="47">
        <f t="shared" si="45"/>
        <v>4.067138671875</v>
      </c>
      <c r="AJ156">
        <f ca="1">MIN(INT(SUM(AD156:$AI156)/OFFSET($AV$2,MATCH(AD$3,$AE$3:$AI$3,0),0)),6-SUM(AK156:$AO156))</f>
        <v>0</v>
      </c>
      <c r="AK156">
        <f ca="1">MIN(INT(SUM(AE156:$AI156)/OFFSET($AV$2,MATCH(AE$3,$AE$3:$AI$3,0),0)),6-SUM(AL156:$AO156))</f>
        <v>0</v>
      </c>
      <c r="AL156">
        <f ca="1">MIN(INT(SUM(AF156:$AI156)/OFFSET($AV$2,MATCH(AF$3,$AE$3:$AI$3,0),0)),6-SUM(AM156:$AO156))</f>
        <v>0</v>
      </c>
      <c r="AM156">
        <f ca="1">MIN(INT((SUM(AG156:$AI156)+N156*2/6)/OFFSET($AV$2,MATCH(AG$3,$AE$3:$AI$3,0),0)),6-SUM(AN156:$AO156))</f>
        <v>2</v>
      </c>
      <c r="AN156">
        <f ca="1">MIN(INT(SUM(AH156:$AI156)/OFFSET($AV$2,MATCH(AH$3,$AE$3:$AI$3,0),0)),6-SUM(AO156:$AO156))</f>
        <v>3</v>
      </c>
      <c r="AO156">
        <f ca="1">INT(SUM(AI155:$AI156)/OFFSET($AV$2,MATCH(AI$3,$AE$3:$AI$3,0),0))</f>
        <v>1</v>
      </c>
      <c r="AP156" cm="1">
        <f ca="1" t="array" ref="AP156">SUMPRODUCT(AJ156:AO156,TRANSPOSE($AS$3:$AS$8))</f>
        <v>2.34</v>
      </c>
    </row>
    <row r="157" ht="16.5" spans="14:42">
      <c r="N157" s="2">
        <v>154</v>
      </c>
      <c r="O157" s="45">
        <f>产出预期!AN173</f>
        <v>16767</v>
      </c>
      <c r="P157" s="2">
        <f ca="1">练度预期!M156</f>
        <v>30</v>
      </c>
      <c r="Q157" s="2" t="str">
        <f ca="1" t="shared" si="46"/>
        <v>橙</v>
      </c>
      <c r="R157" s="46">
        <f ca="1" t="shared" si="47"/>
        <v>0</v>
      </c>
      <c r="S157" s="47">
        <f ca="1" t="shared" si="34"/>
        <v>8.19248833333333</v>
      </c>
      <c r="T157" s="47">
        <f ca="1">MIN(1+($O157*1.4+产出预期!AC173*60)/OFFSET($J$14,MATCH(T$3,$T$3:$W$3,0),0),18)</f>
        <v>17.3371666666667</v>
      </c>
      <c r="U157" s="47">
        <f ca="1">MIN(($O157*1.4+产出预期!$AC173*60)/OFFSET($J$14,MATCH(U$3,$T$3:$W$3,0),0),3)</f>
        <v>3</v>
      </c>
      <c r="V157" s="47">
        <f ca="1">MIN(($O157*1.4+产出预期!$AC173*60)/OFFSET($J$14,MATCH(V$3,$T$3:$W$3,0),0),18)</f>
        <v>1.176276</v>
      </c>
      <c r="W157" s="47">
        <f ca="1">MIN(($O157*1.4+产出预期!$AC173*60)/OFFSET($J$14,MATCH(W$3,$T$3:$W$3,0),0),18)</f>
        <v>0.294069</v>
      </c>
      <c r="X157" s="47">
        <f ca="1" t="shared" si="35"/>
        <v>1.4915493</v>
      </c>
      <c r="Y157" s="47">
        <f ca="1" t="shared" si="36"/>
        <v>5.21953580814417</v>
      </c>
      <c r="Z157" s="47">
        <f ca="1" t="shared" si="37"/>
        <v>1.953125</v>
      </c>
      <c r="AA157" s="47">
        <f ca="1" t="shared" si="38"/>
        <v>1.38620742741414</v>
      </c>
      <c r="AB157" s="47">
        <f ca="1" t="shared" si="39"/>
        <v>1.05507844317556</v>
      </c>
      <c r="AC157" s="48">
        <f ca="1" t="shared" si="40"/>
        <v>22.2388591559689</v>
      </c>
      <c r="AD157" s="47">
        <f t="shared" si="33"/>
        <v>4191.75</v>
      </c>
      <c r="AE157" s="47">
        <f t="shared" si="41"/>
        <v>1047.9375</v>
      </c>
      <c r="AF157" s="47">
        <f t="shared" si="42"/>
        <v>261.984375</v>
      </c>
      <c r="AG157" s="47">
        <f t="shared" si="43"/>
        <v>65.49609375</v>
      </c>
      <c r="AH157" s="47">
        <f t="shared" si="44"/>
        <v>16.3740234375</v>
      </c>
      <c r="AI157" s="47">
        <f t="shared" si="45"/>
        <v>4.093505859375</v>
      </c>
      <c r="AJ157">
        <f ca="1">MIN(INT(SUM(AD157:$AI157)/OFFSET($AV$2,MATCH(AD$3,$AE$3:$AI$3,0),0)),6-SUM(AK157:$AO157))</f>
        <v>0</v>
      </c>
      <c r="AK157">
        <f ca="1">MIN(INT(SUM(AE157:$AI157)/OFFSET($AV$2,MATCH(AE$3,$AE$3:$AI$3,0),0)),6-SUM(AL157:$AO157))</f>
        <v>0</v>
      </c>
      <c r="AL157">
        <f ca="1">MIN(INT(SUM(AF157:$AI157)/OFFSET($AV$2,MATCH(AF$3,$AE$3:$AI$3,0),0)),6-SUM(AM157:$AO157))</f>
        <v>0</v>
      </c>
      <c r="AM157">
        <f ca="1">MIN(INT((SUM(AG157:$AI157)+N157*2/6)/OFFSET($AV$2,MATCH(AG$3,$AE$3:$AI$3,0),0)),6-SUM(AN157:$AO157))</f>
        <v>2</v>
      </c>
      <c r="AN157">
        <f ca="1">MIN(INT(SUM(AH157:$AI157)/OFFSET($AV$2,MATCH(AH$3,$AE$3:$AI$3,0),0)),6-SUM(AO157:$AO157))</f>
        <v>3</v>
      </c>
      <c r="AO157">
        <f ca="1">INT(SUM(AI156:$AI157)/OFFSET($AV$2,MATCH(AI$3,$AE$3:$AI$3,0),0))</f>
        <v>1</v>
      </c>
      <c r="AP157" cm="1">
        <f ca="1" t="array" ref="AP157">SUMPRODUCT(AJ157:AO157,TRANSPOSE($AS$3:$AS$8))</f>
        <v>2.34</v>
      </c>
    </row>
    <row r="158" ht="16.5" spans="14:42">
      <c r="N158" s="2">
        <v>155</v>
      </c>
      <c r="O158" s="45">
        <f>产出预期!AN174</f>
        <v>16880</v>
      </c>
      <c r="P158" s="2">
        <f ca="1">练度预期!M157</f>
        <v>30</v>
      </c>
      <c r="Q158" s="2" t="str">
        <f ca="1" t="shared" si="46"/>
        <v>橙</v>
      </c>
      <c r="R158" s="46">
        <f ca="1" t="shared" si="47"/>
        <v>0</v>
      </c>
      <c r="S158" s="47">
        <f ca="1" t="shared" si="34"/>
        <v>8.09008888888889</v>
      </c>
      <c r="T158" s="47">
        <f ca="1">MIN(1+($O158*1.4+产出预期!AC174*60)/OFFSET($J$14,MATCH(T$3,$T$3:$W$3,0),0),18)</f>
        <v>17.4311111111111</v>
      </c>
      <c r="U158" s="47">
        <f ca="1">MIN(($O158*1.4+产出预期!$AC174*60)/OFFSET($J$14,MATCH(U$3,$T$3:$W$3,0),0),3)</f>
        <v>3</v>
      </c>
      <c r="V158" s="47">
        <f ca="1">MIN(($O158*1.4+产出预期!$AC174*60)/OFFSET($J$14,MATCH(V$3,$T$3:$W$3,0),0),18)</f>
        <v>1.18304</v>
      </c>
      <c r="W158" s="47">
        <f ca="1">MIN(($O158*1.4+产出预期!$AC174*60)/OFFSET($J$14,MATCH(W$3,$T$3:$W$3,0),0),18)</f>
        <v>0.29576</v>
      </c>
      <c r="X158" s="47">
        <f ca="1" t="shared" si="35"/>
        <v>1.48540533333333</v>
      </c>
      <c r="Y158" s="47">
        <f ca="1" t="shared" si="36"/>
        <v>5.26648066615946</v>
      </c>
      <c r="Z158" s="47">
        <f ca="1" t="shared" si="37"/>
        <v>1.953125</v>
      </c>
      <c r="AA158" s="47">
        <f ca="1" t="shared" si="38"/>
        <v>1.38881303358985</v>
      </c>
      <c r="AB158" s="47">
        <f ca="1" t="shared" si="39"/>
        <v>1.05540378007802</v>
      </c>
      <c r="AC158" s="48">
        <f ca="1" t="shared" si="40"/>
        <v>22.39535448262</v>
      </c>
      <c r="AD158" s="47">
        <f t="shared" si="33"/>
        <v>4220</v>
      </c>
      <c r="AE158" s="47">
        <f t="shared" si="41"/>
        <v>1055</v>
      </c>
      <c r="AF158" s="47">
        <f t="shared" si="42"/>
        <v>263.75</v>
      </c>
      <c r="AG158" s="47">
        <f t="shared" si="43"/>
        <v>65.9375</v>
      </c>
      <c r="AH158" s="47">
        <f t="shared" si="44"/>
        <v>16.484375</v>
      </c>
      <c r="AI158" s="47">
        <f t="shared" si="45"/>
        <v>4.12109375</v>
      </c>
      <c r="AJ158">
        <f ca="1">MIN(INT(SUM(AD158:$AI158)/OFFSET($AV$2,MATCH(AD$3,$AE$3:$AI$3,0),0)),6-SUM(AK158:$AO158))</f>
        <v>0</v>
      </c>
      <c r="AK158">
        <f ca="1">MIN(INT(SUM(AE158:$AI158)/OFFSET($AV$2,MATCH(AE$3,$AE$3:$AI$3,0),0)),6-SUM(AL158:$AO158))</f>
        <v>0</v>
      </c>
      <c r="AL158">
        <f ca="1">MIN(INT(SUM(AF158:$AI158)/OFFSET($AV$2,MATCH(AF$3,$AE$3:$AI$3,0),0)),6-SUM(AM158:$AO158))</f>
        <v>0</v>
      </c>
      <c r="AM158">
        <f ca="1">MIN(INT((SUM(AG158:$AI158)+N158*2/6)/OFFSET($AV$2,MATCH(AG$3,$AE$3:$AI$3,0),0)),6-SUM(AN158:$AO158))</f>
        <v>2</v>
      </c>
      <c r="AN158">
        <f ca="1">MIN(INT(SUM(AH158:$AI158)/OFFSET($AV$2,MATCH(AH$3,$AE$3:$AI$3,0),0)),6-SUM(AO158:$AO158))</f>
        <v>3</v>
      </c>
      <c r="AO158">
        <f ca="1">INT(SUM(AI157:$AI158)/OFFSET($AV$2,MATCH(AI$3,$AE$3:$AI$3,0),0))</f>
        <v>1</v>
      </c>
      <c r="AP158" cm="1">
        <f ca="1" t="array" ref="AP158">SUMPRODUCT(AJ158:AO158,TRANSPOSE($AS$3:$AS$8))</f>
        <v>2.34</v>
      </c>
    </row>
    <row r="159" ht="16.5" spans="14:42">
      <c r="N159" s="2">
        <v>156</v>
      </c>
      <c r="O159" s="45">
        <f>产出预期!AN175</f>
        <v>16993</v>
      </c>
      <c r="P159" s="2">
        <f ca="1">练度预期!M158</f>
        <v>30</v>
      </c>
      <c r="Q159" s="2" t="str">
        <f ca="1" t="shared" si="46"/>
        <v>橙</v>
      </c>
      <c r="R159" s="46">
        <f ca="1" t="shared" si="47"/>
        <v>0</v>
      </c>
      <c r="S159" s="47">
        <f ca="1" t="shared" si="34"/>
        <v>7.96952277777778</v>
      </c>
      <c r="T159" s="47">
        <f ca="1">MIN(1+($O159*1.4+产出预期!AC175*60)/OFFSET($J$14,MATCH(T$3,$T$3:$W$3,0),0),18)</f>
        <v>17.5417222222222</v>
      </c>
      <c r="U159" s="47">
        <f ca="1">MIN(($O159*1.4+产出预期!$AC175*60)/OFFSET($J$14,MATCH(U$3,$T$3:$W$3,0),0),3)</f>
        <v>3</v>
      </c>
      <c r="V159" s="47">
        <f ca="1">MIN(($O159*1.4+产出预期!$AC175*60)/OFFSET($J$14,MATCH(V$3,$T$3:$W$3,0),0),18)</f>
        <v>1.191004</v>
      </c>
      <c r="W159" s="47">
        <f ca="1">MIN(($O159*1.4+产出预期!$AC175*60)/OFFSET($J$14,MATCH(W$3,$T$3:$W$3,0),0),18)</f>
        <v>0.297751</v>
      </c>
      <c r="X159" s="47">
        <f ca="1" t="shared" si="35"/>
        <v>1.47817136666667</v>
      </c>
      <c r="Y159" s="47">
        <f ca="1" t="shared" si="36"/>
        <v>5.32229552035475</v>
      </c>
      <c r="Z159" s="47">
        <f ca="1" t="shared" si="37"/>
        <v>1.953125</v>
      </c>
      <c r="AA159" s="47">
        <f ca="1" t="shared" si="38"/>
        <v>1.39188717866167</v>
      </c>
      <c r="AB159" s="47">
        <f ca="1" t="shared" si="39"/>
        <v>1.05578696353675</v>
      </c>
      <c r="AC159" s="48">
        <f ca="1" t="shared" si="40"/>
        <v>22.5805304047096</v>
      </c>
      <c r="AD159" s="47">
        <f t="shared" si="33"/>
        <v>4248.25</v>
      </c>
      <c r="AE159" s="47">
        <f t="shared" si="41"/>
        <v>1062.0625</v>
      </c>
      <c r="AF159" s="47">
        <f t="shared" si="42"/>
        <v>265.515625</v>
      </c>
      <c r="AG159" s="47">
        <f t="shared" si="43"/>
        <v>66.37890625</v>
      </c>
      <c r="AH159" s="47">
        <f t="shared" si="44"/>
        <v>16.5947265625</v>
      </c>
      <c r="AI159" s="47">
        <f t="shared" si="45"/>
        <v>4.148681640625</v>
      </c>
      <c r="AJ159">
        <f ca="1">MIN(INT(SUM(AD159:$AI159)/OFFSET($AV$2,MATCH(AD$3,$AE$3:$AI$3,0),0)),6-SUM(AK159:$AO159))</f>
        <v>0</v>
      </c>
      <c r="AK159">
        <f ca="1">MIN(INT(SUM(AE159:$AI159)/OFFSET($AV$2,MATCH(AE$3,$AE$3:$AI$3,0),0)),6-SUM(AL159:$AO159))</f>
        <v>0</v>
      </c>
      <c r="AL159">
        <f ca="1">MIN(INT(SUM(AF159:$AI159)/OFFSET($AV$2,MATCH(AF$3,$AE$3:$AI$3,0),0)),6-SUM(AM159:$AO159))</f>
        <v>0</v>
      </c>
      <c r="AM159">
        <f ca="1">MIN(INT((SUM(AG159:$AI159)+N159*2/6)/OFFSET($AV$2,MATCH(AG$3,$AE$3:$AI$3,0),0)),6-SUM(AN159:$AO159))</f>
        <v>2</v>
      </c>
      <c r="AN159">
        <f ca="1">MIN(INT(SUM(AH159:$AI159)/OFFSET($AV$2,MATCH(AH$3,$AE$3:$AI$3,0),0)),6-SUM(AO159:$AO159))</f>
        <v>3</v>
      </c>
      <c r="AO159">
        <f ca="1">INT(SUM(AI158:$AI159)/OFFSET($AV$2,MATCH(AI$3,$AE$3:$AI$3,0),0))</f>
        <v>1</v>
      </c>
      <c r="AP159" cm="1">
        <f ca="1" t="array" ref="AP159">SUMPRODUCT(AJ159:AO159,TRANSPOSE($AS$3:$AS$8))</f>
        <v>2.34</v>
      </c>
    </row>
    <row r="160" ht="16.5" spans="14:42">
      <c r="N160" s="2">
        <v>157</v>
      </c>
      <c r="O160" s="45">
        <f>产出预期!AN176</f>
        <v>17101</v>
      </c>
      <c r="P160" s="2">
        <f ca="1">练度预期!M159</f>
        <v>30</v>
      </c>
      <c r="Q160" s="2" t="str">
        <f ca="1" t="shared" si="46"/>
        <v>橙</v>
      </c>
      <c r="R160" s="46">
        <f ca="1" t="shared" si="47"/>
        <v>0</v>
      </c>
      <c r="S160" s="47">
        <f ca="1" t="shared" si="34"/>
        <v>7.86924277777778</v>
      </c>
      <c r="T160" s="47">
        <f ca="1">MIN(1+($O160*1.4+产出预期!AC176*60)/OFFSET($J$14,MATCH(T$3,$T$3:$W$3,0),0),18)</f>
        <v>17.6337222222222</v>
      </c>
      <c r="U160" s="47">
        <f ca="1">MIN(($O160*1.4+产出预期!$AC176*60)/OFFSET($J$14,MATCH(U$3,$T$3:$W$3,0),0),3)</f>
        <v>3</v>
      </c>
      <c r="V160" s="47">
        <f ca="1">MIN(($O160*1.4+产出预期!$AC176*60)/OFFSET($J$14,MATCH(V$3,$T$3:$W$3,0),0),18)</f>
        <v>1.197628</v>
      </c>
      <c r="W160" s="47">
        <f ca="1">MIN(($O160*1.4+产出预期!$AC176*60)/OFFSET($J$14,MATCH(W$3,$T$3:$W$3,0),0),18)</f>
        <v>0.299407</v>
      </c>
      <c r="X160" s="47">
        <f ca="1" t="shared" si="35"/>
        <v>1.47215456666667</v>
      </c>
      <c r="Y160" s="47">
        <f ca="1" t="shared" si="36"/>
        <v>5.36916947075211</v>
      </c>
      <c r="Z160" s="47">
        <f ca="1" t="shared" si="37"/>
        <v>1.953125</v>
      </c>
      <c r="AA160" s="47">
        <f ca="1" t="shared" si="38"/>
        <v>1.39444925974434</v>
      </c>
      <c r="AB160" s="47">
        <f ca="1" t="shared" si="39"/>
        <v>1.05610577961253</v>
      </c>
      <c r="AC160" s="48">
        <f ca="1" t="shared" si="40"/>
        <v>22.7353004086789</v>
      </c>
      <c r="AD160" s="47">
        <f t="shared" si="33"/>
        <v>4275.25</v>
      </c>
      <c r="AE160" s="47">
        <f t="shared" si="41"/>
        <v>1068.8125</v>
      </c>
      <c r="AF160" s="47">
        <f t="shared" si="42"/>
        <v>267.203125</v>
      </c>
      <c r="AG160" s="47">
        <f t="shared" si="43"/>
        <v>66.80078125</v>
      </c>
      <c r="AH160" s="47">
        <f t="shared" si="44"/>
        <v>16.7001953125</v>
      </c>
      <c r="AI160" s="47">
        <f t="shared" si="45"/>
        <v>4.175048828125</v>
      </c>
      <c r="AJ160">
        <f ca="1">MIN(INT(SUM(AD160:$AI160)/OFFSET($AV$2,MATCH(AD$3,$AE$3:$AI$3,0),0)),6-SUM(AK160:$AO160))</f>
        <v>0</v>
      </c>
      <c r="AK160">
        <f ca="1">MIN(INT(SUM(AE160:$AI160)/OFFSET($AV$2,MATCH(AE$3,$AE$3:$AI$3,0),0)),6-SUM(AL160:$AO160))</f>
        <v>0</v>
      </c>
      <c r="AL160">
        <f ca="1">MIN(INT(SUM(AF160:$AI160)/OFFSET($AV$2,MATCH(AF$3,$AE$3:$AI$3,0),0)),6-SUM(AM160:$AO160))</f>
        <v>0</v>
      </c>
      <c r="AM160">
        <f ca="1">MIN(INT((SUM(AG160:$AI160)+N160*2/6)/OFFSET($AV$2,MATCH(AG$3,$AE$3:$AI$3,0),0)),6-SUM(AN160:$AO160))</f>
        <v>1</v>
      </c>
      <c r="AN160">
        <f ca="1">MIN(INT(SUM(AH160:$AI160)/OFFSET($AV$2,MATCH(AH$3,$AE$3:$AI$3,0),0)),6-SUM(AO160:$AO160))</f>
        <v>4</v>
      </c>
      <c r="AO160">
        <f ca="1">INT(SUM(AI159:$AI160)/OFFSET($AV$2,MATCH(AI$3,$AE$3:$AI$3,0),0))</f>
        <v>1</v>
      </c>
      <c r="AP160" cm="1">
        <f ca="1" t="array" ref="AP160">SUMPRODUCT(AJ160:AO160,TRANSPOSE($AS$3:$AS$8))</f>
        <v>2.42</v>
      </c>
    </row>
    <row r="161" ht="16.5" spans="14:42">
      <c r="N161" s="2">
        <v>158</v>
      </c>
      <c r="O161" s="45">
        <f>产出预期!AN177</f>
        <v>17186</v>
      </c>
      <c r="P161" s="2">
        <f ca="1">练度预期!M160</f>
        <v>30</v>
      </c>
      <c r="Q161" s="2" t="str">
        <f ca="1" t="shared" si="46"/>
        <v>橙</v>
      </c>
      <c r="R161" s="46">
        <f ca="1" t="shared" si="47"/>
        <v>0</v>
      </c>
      <c r="S161" s="47">
        <f ca="1" t="shared" si="34"/>
        <v>7.76054555555556</v>
      </c>
      <c r="T161" s="47">
        <f ca="1">MIN(1+($O161*1.4+产出预期!AC177*60)/OFFSET($J$14,MATCH(T$3,$T$3:$W$3,0),0),18)</f>
        <v>17.7334444444444</v>
      </c>
      <c r="U161" s="47">
        <f ca="1">MIN(($O161*1.4+产出预期!$AC177*60)/OFFSET($J$14,MATCH(U$3,$T$3:$W$3,0),0),3)</f>
        <v>3</v>
      </c>
      <c r="V161" s="47">
        <f ca="1">MIN(($O161*1.4+产出预期!$AC177*60)/OFFSET($J$14,MATCH(V$3,$T$3:$W$3,0),0),18)</f>
        <v>1.204808</v>
      </c>
      <c r="W161" s="47">
        <f ca="1">MIN(($O161*1.4+产出预期!$AC177*60)/OFFSET($J$14,MATCH(W$3,$T$3:$W$3,0),0),18)</f>
        <v>0.301202</v>
      </c>
      <c r="X161" s="47">
        <f ca="1" t="shared" si="35"/>
        <v>1.46563273333333</v>
      </c>
      <c r="Y161" s="47">
        <f ca="1" t="shared" si="36"/>
        <v>5.42044425819975</v>
      </c>
      <c r="Z161" s="47">
        <f ca="1" t="shared" si="37"/>
        <v>1.953125</v>
      </c>
      <c r="AA161" s="47">
        <f ca="1" t="shared" si="38"/>
        <v>1.39723172149044</v>
      </c>
      <c r="AB161" s="47">
        <f ca="1" t="shared" si="39"/>
        <v>1.05645146495071</v>
      </c>
      <c r="AC161" s="48">
        <f ca="1" t="shared" si="40"/>
        <v>22.9038275030015</v>
      </c>
      <c r="AD161" s="47">
        <f t="shared" si="33"/>
        <v>4296.5</v>
      </c>
      <c r="AE161" s="47">
        <f t="shared" si="41"/>
        <v>1074.125</v>
      </c>
      <c r="AF161" s="47">
        <f t="shared" si="42"/>
        <v>268.53125</v>
      </c>
      <c r="AG161" s="47">
        <f t="shared" si="43"/>
        <v>67.1328125</v>
      </c>
      <c r="AH161" s="47">
        <f t="shared" si="44"/>
        <v>16.783203125</v>
      </c>
      <c r="AI161" s="47">
        <f t="shared" si="45"/>
        <v>4.19580078125</v>
      </c>
      <c r="AJ161">
        <f ca="1">MIN(INT(SUM(AD161:$AI161)/OFFSET($AV$2,MATCH(AD$3,$AE$3:$AI$3,0),0)),6-SUM(AK161:$AO161))</f>
        <v>0</v>
      </c>
      <c r="AK161">
        <f ca="1">MIN(INT(SUM(AE161:$AI161)/OFFSET($AV$2,MATCH(AE$3,$AE$3:$AI$3,0),0)),6-SUM(AL161:$AO161))</f>
        <v>0</v>
      </c>
      <c r="AL161">
        <f ca="1">MIN(INT(SUM(AF161:$AI161)/OFFSET($AV$2,MATCH(AF$3,$AE$3:$AI$3,0),0)),6-SUM(AM161:$AO161))</f>
        <v>0</v>
      </c>
      <c r="AM161">
        <f ca="1">MIN(INT((SUM(AG161:$AI161)+N161*2/6)/OFFSET($AV$2,MATCH(AG$3,$AE$3:$AI$3,0),0)),6-SUM(AN161:$AO161))</f>
        <v>1</v>
      </c>
      <c r="AN161">
        <f ca="1">MIN(INT(SUM(AH161:$AI161)/OFFSET($AV$2,MATCH(AH$3,$AE$3:$AI$3,0),0)),6-SUM(AO161:$AO161))</f>
        <v>4</v>
      </c>
      <c r="AO161">
        <f ca="1">INT(SUM(AI160:$AI161)/OFFSET($AV$2,MATCH(AI$3,$AE$3:$AI$3,0),0))</f>
        <v>1</v>
      </c>
      <c r="AP161" cm="1">
        <f ca="1" t="array" ref="AP161">SUMPRODUCT(AJ161:AO161,TRANSPOSE($AS$3:$AS$8))</f>
        <v>2.42</v>
      </c>
    </row>
    <row r="162" ht="16.5" spans="14:42">
      <c r="N162" s="2">
        <v>159</v>
      </c>
      <c r="O162" s="45">
        <f>产出预期!AN178</f>
        <v>17294</v>
      </c>
      <c r="P162" s="2">
        <f ca="1">练度预期!M161</f>
        <v>30</v>
      </c>
      <c r="Q162" s="2" t="str">
        <f ca="1" t="shared" si="46"/>
        <v>橙</v>
      </c>
      <c r="R162" s="46">
        <f ca="1" t="shared" si="47"/>
        <v>0</v>
      </c>
      <c r="S162" s="47">
        <f ca="1" t="shared" si="34"/>
        <v>7.66026555555556</v>
      </c>
      <c r="T162" s="47">
        <f ca="1">MIN(1+($O162*1.4+产出预期!AC178*60)/OFFSET($J$14,MATCH(T$3,$T$3:$W$3,0),0),18)</f>
        <v>17.8254444444444</v>
      </c>
      <c r="U162" s="47">
        <f ca="1">MIN(($O162*1.4+产出预期!$AC178*60)/OFFSET($J$14,MATCH(U$3,$T$3:$W$3,0),0),3)</f>
        <v>3</v>
      </c>
      <c r="V162" s="47">
        <f ca="1">MIN(($O162*1.4+产出预期!$AC178*60)/OFFSET($J$14,MATCH(V$3,$T$3:$W$3,0),0),18)</f>
        <v>1.211432</v>
      </c>
      <c r="W162" s="47">
        <f ca="1">MIN(($O162*1.4+产出预期!$AC178*60)/OFFSET($J$14,MATCH(W$3,$T$3:$W$3,0),0),18)</f>
        <v>0.302858</v>
      </c>
      <c r="X162" s="47">
        <f ca="1" t="shared" si="35"/>
        <v>1.45961593333333</v>
      </c>
      <c r="Y162" s="47">
        <f ca="1" t="shared" si="36"/>
        <v>5.46818261363658</v>
      </c>
      <c r="Z162" s="47">
        <f ca="1" t="shared" si="37"/>
        <v>1.953125</v>
      </c>
      <c r="AA162" s="47">
        <f ca="1" t="shared" si="38"/>
        <v>1.399803640405</v>
      </c>
      <c r="AB162" s="47">
        <f ca="1" t="shared" si="39"/>
        <v>1.05677048168605</v>
      </c>
      <c r="AC162" s="48">
        <f ca="1" t="shared" si="40"/>
        <v>23.0600071007581</v>
      </c>
      <c r="AD162" s="47">
        <f t="shared" si="33"/>
        <v>4323.5</v>
      </c>
      <c r="AE162" s="47">
        <f t="shared" si="41"/>
        <v>1080.875</v>
      </c>
      <c r="AF162" s="47">
        <f t="shared" si="42"/>
        <v>270.21875</v>
      </c>
      <c r="AG162" s="47">
        <f t="shared" si="43"/>
        <v>67.5546875</v>
      </c>
      <c r="AH162" s="47">
        <f t="shared" si="44"/>
        <v>16.888671875</v>
      </c>
      <c r="AI162" s="47">
        <f t="shared" si="45"/>
        <v>4.22216796875</v>
      </c>
      <c r="AJ162">
        <f ca="1">MIN(INT(SUM(AD162:$AI162)/OFFSET($AV$2,MATCH(AD$3,$AE$3:$AI$3,0),0)),6-SUM(AK162:$AO162))</f>
        <v>0</v>
      </c>
      <c r="AK162">
        <f ca="1">MIN(INT(SUM(AE162:$AI162)/OFFSET($AV$2,MATCH(AE$3,$AE$3:$AI$3,0),0)),6-SUM(AL162:$AO162))</f>
        <v>0</v>
      </c>
      <c r="AL162">
        <f ca="1">MIN(INT(SUM(AF162:$AI162)/OFFSET($AV$2,MATCH(AF$3,$AE$3:$AI$3,0),0)),6-SUM(AM162:$AO162))</f>
        <v>0</v>
      </c>
      <c r="AM162">
        <f ca="1">MIN(INT((SUM(AG162:$AI162)+N162*2/6)/OFFSET($AV$2,MATCH(AG$3,$AE$3:$AI$3,0),0)),6-SUM(AN162:$AO162))</f>
        <v>1</v>
      </c>
      <c r="AN162">
        <f ca="1">MIN(INT(SUM(AH162:$AI162)/OFFSET($AV$2,MATCH(AH$3,$AE$3:$AI$3,0),0)),6-SUM(AO162:$AO162))</f>
        <v>4</v>
      </c>
      <c r="AO162">
        <f ca="1">INT(SUM(AI161:$AI162)/OFFSET($AV$2,MATCH(AI$3,$AE$3:$AI$3,0),0))</f>
        <v>1</v>
      </c>
      <c r="AP162" cm="1">
        <f ca="1" t="array" ref="AP162">SUMPRODUCT(AJ162:AO162,TRANSPOSE($AS$3:$AS$8))</f>
        <v>2.42</v>
      </c>
    </row>
    <row r="163" ht="16.5" spans="14:42">
      <c r="N163" s="2">
        <v>160</v>
      </c>
      <c r="O163" s="45">
        <f>产出预期!AN179</f>
        <v>17407</v>
      </c>
      <c r="P163" s="2">
        <f ca="1">练度预期!M162</f>
        <v>30</v>
      </c>
      <c r="Q163" s="2" t="str">
        <f ca="1" t="shared" si="46"/>
        <v>橙</v>
      </c>
      <c r="R163" s="46">
        <f ca="1" t="shared" si="47"/>
        <v>0</v>
      </c>
      <c r="S163" s="47">
        <f ca="1" t="shared" si="34"/>
        <v>7.53969944444444</v>
      </c>
      <c r="T163" s="47">
        <f ca="1">MIN(1+($O163*1.4+产出预期!AC179*60)/OFFSET($J$14,MATCH(T$3,$T$3:$W$3,0),0),18)</f>
        <v>17.9360555555556</v>
      </c>
      <c r="U163" s="47">
        <f ca="1">MIN(($O163*1.4+产出预期!$AC179*60)/OFFSET($J$14,MATCH(U$3,$T$3:$W$3,0),0),3)</f>
        <v>3</v>
      </c>
      <c r="V163" s="47">
        <f ca="1">MIN(($O163*1.4+产出预期!$AC179*60)/OFFSET($J$14,MATCH(V$3,$T$3:$W$3,0),0),18)</f>
        <v>1.219396</v>
      </c>
      <c r="W163" s="47">
        <f ca="1">MIN(($O163*1.4+产出预期!$AC179*60)/OFFSET($J$14,MATCH(W$3,$T$3:$W$3,0),0),18)</f>
        <v>0.304849</v>
      </c>
      <c r="X163" s="47">
        <f ca="1" t="shared" si="35"/>
        <v>1.45238196666667</v>
      </c>
      <c r="Y163" s="47">
        <f ca="1" t="shared" si="36"/>
        <v>5.52613513157792</v>
      </c>
      <c r="Z163" s="47">
        <f ca="1" t="shared" si="37"/>
        <v>1.953125</v>
      </c>
      <c r="AA163" s="47">
        <f ca="1" t="shared" si="38"/>
        <v>1.40290211324374</v>
      </c>
      <c r="AB163" s="47">
        <f ca="1" t="shared" si="39"/>
        <v>1.05715416135055</v>
      </c>
      <c r="AC163" s="48">
        <f ca="1" t="shared" si="40"/>
        <v>23.2486682662389</v>
      </c>
      <c r="AD163" s="47">
        <f t="shared" si="33"/>
        <v>4351.75</v>
      </c>
      <c r="AE163" s="47">
        <f t="shared" si="41"/>
        <v>1087.9375</v>
      </c>
      <c r="AF163" s="47">
        <f t="shared" si="42"/>
        <v>271.984375</v>
      </c>
      <c r="AG163" s="47">
        <f t="shared" si="43"/>
        <v>67.99609375</v>
      </c>
      <c r="AH163" s="47">
        <f t="shared" si="44"/>
        <v>16.9990234375</v>
      </c>
      <c r="AI163" s="47">
        <f t="shared" si="45"/>
        <v>4.249755859375</v>
      </c>
      <c r="AJ163">
        <f ca="1">MIN(INT(SUM(AD163:$AI163)/OFFSET($AV$2,MATCH(AD$3,$AE$3:$AI$3,0),0)),6-SUM(AK163:$AO163))</f>
        <v>0</v>
      </c>
      <c r="AK163">
        <f ca="1">MIN(INT(SUM(AE163:$AI163)/OFFSET($AV$2,MATCH(AE$3,$AE$3:$AI$3,0),0)),6-SUM(AL163:$AO163))</f>
        <v>0</v>
      </c>
      <c r="AL163">
        <f ca="1">MIN(INT(SUM(AF163:$AI163)/OFFSET($AV$2,MATCH(AF$3,$AE$3:$AI$3,0),0)),6-SUM(AM163:$AO163))</f>
        <v>0</v>
      </c>
      <c r="AM163">
        <f ca="1">MIN(INT((SUM(AG163:$AI163)+N163*2/6)/OFFSET($AV$2,MATCH(AG$3,$AE$3:$AI$3,0),0)),6-SUM(AN163:$AO163))</f>
        <v>1</v>
      </c>
      <c r="AN163">
        <f ca="1">MIN(INT(SUM(AH163:$AI163)/OFFSET($AV$2,MATCH(AH$3,$AE$3:$AI$3,0),0)),6-SUM(AO163:$AO163))</f>
        <v>4</v>
      </c>
      <c r="AO163">
        <f ca="1">INT(SUM(AI162:$AI163)/OFFSET($AV$2,MATCH(AI$3,$AE$3:$AI$3,0),0))</f>
        <v>1</v>
      </c>
      <c r="AP163" cm="1">
        <f ca="1" t="array" ref="AP163">SUMPRODUCT(AJ163:AO163,TRANSPOSE($AS$3:$AS$8))</f>
        <v>2.42</v>
      </c>
    </row>
    <row r="164" ht="16.5" spans="14:42">
      <c r="N164" s="2">
        <v>161</v>
      </c>
      <c r="O164" s="45">
        <f>产出预期!AN180</f>
        <v>17515</v>
      </c>
      <c r="P164" s="2">
        <f ca="1">练度预期!M163</f>
        <v>30</v>
      </c>
      <c r="Q164" s="2" t="str">
        <f ca="1" t="shared" si="46"/>
        <v>橙</v>
      </c>
      <c r="R164" s="46">
        <f ca="1" t="shared" si="47"/>
        <v>0</v>
      </c>
      <c r="S164" s="47">
        <f ca="1" t="shared" si="34"/>
        <v>7.465975</v>
      </c>
      <c r="T164" s="47">
        <f ca="1">MIN(1+($O164*1.4+产出预期!AC180*60)/OFFSET($J$14,MATCH(T$3,$T$3:$W$3,0),0),18)</f>
        <v>18</v>
      </c>
      <c r="U164" s="47">
        <f ca="1">MIN(($O164*1.4+产出预期!$AC180*60)/OFFSET($J$14,MATCH(U$3,$T$3:$W$3,0),0),3)</f>
        <v>3</v>
      </c>
      <c r="V164" s="47">
        <f ca="1">MIN(($O164*1.4+产出预期!$AC180*60)/OFFSET($J$14,MATCH(V$3,$T$3:$W$3,0),0),18)</f>
        <v>1.22722</v>
      </c>
      <c r="W164" s="47">
        <f ca="1">MIN(($O164*1.4+产出预期!$AC180*60)/OFFSET($J$14,MATCH(W$3,$T$3:$W$3,0),0),18)</f>
        <v>0.306805</v>
      </c>
      <c r="X164" s="47">
        <f ca="1" t="shared" si="35"/>
        <v>1.4479585</v>
      </c>
      <c r="Y164" s="47">
        <f ca="1" t="shared" si="36"/>
        <v>5.55991731349224</v>
      </c>
      <c r="Z164" s="47">
        <f ca="1" t="shared" si="37"/>
        <v>1.953125</v>
      </c>
      <c r="AA164" s="47">
        <f ca="1" t="shared" si="38"/>
        <v>1.40595279631034</v>
      </c>
      <c r="AB164" s="47">
        <f ca="1" t="shared" si="39"/>
        <v>1.05753123191946</v>
      </c>
      <c r="AC164" s="48">
        <f ca="1" t="shared" si="40"/>
        <v>23.3785961369461</v>
      </c>
      <c r="AD164" s="47">
        <f t="shared" si="33"/>
        <v>4378.75</v>
      </c>
      <c r="AE164" s="47">
        <f t="shared" si="41"/>
        <v>1094.6875</v>
      </c>
      <c r="AF164" s="47">
        <f t="shared" si="42"/>
        <v>273.671875</v>
      </c>
      <c r="AG164" s="47">
        <f t="shared" si="43"/>
        <v>68.41796875</v>
      </c>
      <c r="AH164" s="47">
        <f t="shared" si="44"/>
        <v>17.1044921875</v>
      </c>
      <c r="AI164" s="47">
        <f t="shared" si="45"/>
        <v>4.276123046875</v>
      </c>
      <c r="AJ164">
        <f ca="1">MIN(INT(SUM(AD164:$AI164)/OFFSET($AV$2,MATCH(AD$3,$AE$3:$AI$3,0),0)),6-SUM(AK164:$AO164))</f>
        <v>0</v>
      </c>
      <c r="AK164">
        <f ca="1">MIN(INT(SUM(AE164:$AI164)/OFFSET($AV$2,MATCH(AE$3,$AE$3:$AI$3,0),0)),6-SUM(AL164:$AO164))</f>
        <v>0</v>
      </c>
      <c r="AL164">
        <f ca="1">MIN(INT(SUM(AF164:$AI164)/OFFSET($AV$2,MATCH(AF$3,$AE$3:$AI$3,0),0)),6-SUM(AM164:$AO164))</f>
        <v>0</v>
      </c>
      <c r="AM164">
        <f ca="1">MIN(INT((SUM(AG164:$AI164)+N164*2/6)/OFFSET($AV$2,MATCH(AG$3,$AE$3:$AI$3,0),0)),6-SUM(AN164:$AO164))</f>
        <v>1</v>
      </c>
      <c r="AN164">
        <f ca="1">MIN(INT(SUM(AH164:$AI164)/OFFSET($AV$2,MATCH(AH$3,$AE$3:$AI$3,0),0)),6-SUM(AO164:$AO164))</f>
        <v>4</v>
      </c>
      <c r="AO164">
        <f ca="1">INT(SUM(AI163:$AI164)/OFFSET($AV$2,MATCH(AI$3,$AE$3:$AI$3,0),0))</f>
        <v>1</v>
      </c>
      <c r="AP164" cm="1">
        <f ca="1" t="array" ref="AP164">SUMPRODUCT(AJ164:AO164,TRANSPOSE($AS$3:$AS$8))</f>
        <v>2.42</v>
      </c>
    </row>
    <row r="165" ht="16.5" spans="14:42">
      <c r="N165" s="2">
        <v>162</v>
      </c>
      <c r="O165" s="45">
        <f>产出预期!AN181</f>
        <v>17628</v>
      </c>
      <c r="P165" s="2">
        <f ca="1">练度预期!M164</f>
        <v>30</v>
      </c>
      <c r="Q165" s="2" t="str">
        <f ca="1" t="shared" si="46"/>
        <v>橙</v>
      </c>
      <c r="R165" s="46">
        <f ca="1" t="shared" si="47"/>
        <v>0</v>
      </c>
      <c r="S165" s="47">
        <f ca="1" t="shared" si="34"/>
        <v>7.45752</v>
      </c>
      <c r="T165" s="47">
        <f ca="1">MIN(1+($O165*1.4+产出预期!AC181*60)/OFFSET($J$14,MATCH(T$3,$T$3:$W$3,0),0),18)</f>
        <v>18</v>
      </c>
      <c r="U165" s="47">
        <f ca="1">MIN(($O165*1.4+产出预期!$AC181*60)/OFFSET($J$14,MATCH(U$3,$T$3:$W$3,0),0),3)</f>
        <v>3</v>
      </c>
      <c r="V165" s="47">
        <f ca="1">MIN(($O165*1.4+产出预期!$AC181*60)/OFFSET($J$14,MATCH(V$3,$T$3:$W$3,0),0),18)</f>
        <v>1.233984</v>
      </c>
      <c r="W165" s="47">
        <f ca="1">MIN(($O165*1.4+产出预期!$AC181*60)/OFFSET($J$14,MATCH(W$3,$T$3:$W$3,0),0),18)</f>
        <v>0.308496</v>
      </c>
      <c r="X165" s="47">
        <f ca="1" t="shared" si="35"/>
        <v>1.4474512</v>
      </c>
      <c r="Y165" s="47">
        <f ca="1" t="shared" si="36"/>
        <v>5.55991731349224</v>
      </c>
      <c r="Z165" s="47">
        <f ca="1" t="shared" si="37"/>
        <v>1.953125</v>
      </c>
      <c r="AA165" s="47">
        <f ca="1" t="shared" si="38"/>
        <v>1.4085955171733</v>
      </c>
      <c r="AB165" s="47">
        <f ca="1" t="shared" si="39"/>
        <v>1.05785732514738</v>
      </c>
      <c r="AC165" s="48">
        <f ca="1" t="shared" si="40"/>
        <v>23.4215537504514</v>
      </c>
      <c r="AD165" s="47">
        <f t="shared" si="33"/>
        <v>4407</v>
      </c>
      <c r="AE165" s="47">
        <f t="shared" si="41"/>
        <v>1101.75</v>
      </c>
      <c r="AF165" s="47">
        <f t="shared" si="42"/>
        <v>275.4375</v>
      </c>
      <c r="AG165" s="47">
        <f t="shared" si="43"/>
        <v>68.859375</v>
      </c>
      <c r="AH165" s="47">
        <f t="shared" si="44"/>
        <v>17.21484375</v>
      </c>
      <c r="AI165" s="47">
        <f t="shared" si="45"/>
        <v>4.3037109375</v>
      </c>
      <c r="AJ165">
        <f ca="1">MIN(INT(SUM(AD165:$AI165)/OFFSET($AV$2,MATCH(AD$3,$AE$3:$AI$3,0),0)),6-SUM(AK165:$AO165))</f>
        <v>0</v>
      </c>
      <c r="AK165">
        <f ca="1">MIN(INT(SUM(AE165:$AI165)/OFFSET($AV$2,MATCH(AE$3,$AE$3:$AI$3,0),0)),6-SUM(AL165:$AO165))</f>
        <v>0</v>
      </c>
      <c r="AL165">
        <f ca="1">MIN(INT(SUM(AF165:$AI165)/OFFSET($AV$2,MATCH(AF$3,$AE$3:$AI$3,0),0)),6-SUM(AM165:$AO165))</f>
        <v>0</v>
      </c>
      <c r="AM165">
        <f ca="1">MIN(INT((SUM(AG165:$AI165)+N165*2/6)/OFFSET($AV$2,MATCH(AG$3,$AE$3:$AI$3,0),0)),6-SUM(AN165:$AO165))</f>
        <v>1</v>
      </c>
      <c r="AN165">
        <f ca="1">MIN(INT(SUM(AH165:$AI165)/OFFSET($AV$2,MATCH(AH$3,$AE$3:$AI$3,0),0)),6-SUM(AO165:$AO165))</f>
        <v>4</v>
      </c>
      <c r="AO165">
        <f ca="1">INT(SUM(AI164:$AI165)/OFFSET($AV$2,MATCH(AI$3,$AE$3:$AI$3,0),0))</f>
        <v>1</v>
      </c>
      <c r="AP165" cm="1">
        <f ca="1" t="array" ref="AP165">SUMPRODUCT(AJ165:AO165,TRANSPOSE($AS$3:$AS$8))</f>
        <v>2.42</v>
      </c>
    </row>
    <row r="166" ht="16.5" spans="14:42">
      <c r="N166" s="2">
        <v>163</v>
      </c>
      <c r="O166" s="45">
        <f>产出预期!AN182</f>
        <v>17736</v>
      </c>
      <c r="P166" s="2">
        <f ca="1">练度预期!M165</f>
        <v>30</v>
      </c>
      <c r="Q166" s="2" t="str">
        <f ca="1" t="shared" si="46"/>
        <v>橙</v>
      </c>
      <c r="R166" s="46">
        <f ca="1" t="shared" si="47"/>
        <v>0</v>
      </c>
      <c r="S166" s="47">
        <f ca="1" t="shared" si="34"/>
        <v>7.44774</v>
      </c>
      <c r="T166" s="47">
        <f ca="1">MIN(1+($O166*1.4+产出预期!AC182*60)/OFFSET($J$14,MATCH(T$3,$T$3:$W$3,0),0),18)</f>
        <v>18</v>
      </c>
      <c r="U166" s="47">
        <f ca="1">MIN(($O166*1.4+产出预期!$AC182*60)/OFFSET($J$14,MATCH(U$3,$T$3:$W$3,0),0),3)</f>
        <v>3</v>
      </c>
      <c r="V166" s="47">
        <f ca="1">MIN(($O166*1.4+产出预期!$AC182*60)/OFFSET($J$14,MATCH(V$3,$T$3:$W$3,0),0),18)</f>
        <v>1.241808</v>
      </c>
      <c r="W166" s="47">
        <f ca="1">MIN(($O166*1.4+产出预期!$AC182*60)/OFFSET($J$14,MATCH(W$3,$T$3:$W$3,0),0),18)</f>
        <v>0.310452</v>
      </c>
      <c r="X166" s="47">
        <f ca="1" t="shared" si="35"/>
        <v>1.4468644</v>
      </c>
      <c r="Y166" s="47">
        <f ca="1" t="shared" si="36"/>
        <v>5.55991731349224</v>
      </c>
      <c r="Z166" s="47">
        <f ca="1" t="shared" si="37"/>
        <v>1.953125</v>
      </c>
      <c r="AA166" s="47">
        <f ca="1" t="shared" si="38"/>
        <v>1.41165858084064</v>
      </c>
      <c r="AB166" s="47">
        <f ca="1" t="shared" si="39"/>
        <v>1.05823464652395</v>
      </c>
      <c r="AC166" s="48">
        <f ca="1" t="shared" si="40"/>
        <v>23.4713382083797</v>
      </c>
      <c r="AD166" s="47">
        <f t="shared" si="33"/>
        <v>4434</v>
      </c>
      <c r="AE166" s="47">
        <f t="shared" si="41"/>
        <v>1108.5</v>
      </c>
      <c r="AF166" s="47">
        <f t="shared" si="42"/>
        <v>277.125</v>
      </c>
      <c r="AG166" s="47">
        <f t="shared" si="43"/>
        <v>69.28125</v>
      </c>
      <c r="AH166" s="47">
        <f t="shared" si="44"/>
        <v>17.3203125</v>
      </c>
      <c r="AI166" s="47">
        <f t="shared" si="45"/>
        <v>4.330078125</v>
      </c>
      <c r="AJ166">
        <f ca="1">MIN(INT(SUM(AD166:$AI166)/OFFSET($AV$2,MATCH(AD$3,$AE$3:$AI$3,0),0)),6-SUM(AK166:$AO166))</f>
        <v>0</v>
      </c>
      <c r="AK166">
        <f ca="1">MIN(INT(SUM(AE166:$AI166)/OFFSET($AV$2,MATCH(AE$3,$AE$3:$AI$3,0),0)),6-SUM(AL166:$AO166))</f>
        <v>0</v>
      </c>
      <c r="AL166">
        <f ca="1">MIN(INT(SUM(AF166:$AI166)/OFFSET($AV$2,MATCH(AF$3,$AE$3:$AI$3,0),0)),6-SUM(AM166:$AO166))</f>
        <v>0</v>
      </c>
      <c r="AM166">
        <f ca="1">MIN(INT((SUM(AG166:$AI166)+N166*2/6)/OFFSET($AV$2,MATCH(AG$3,$AE$3:$AI$3,0),0)),6-SUM(AN166:$AO166))</f>
        <v>1</v>
      </c>
      <c r="AN166">
        <f ca="1">MIN(INT(SUM(AH166:$AI166)/OFFSET($AV$2,MATCH(AH$3,$AE$3:$AI$3,0),0)),6-SUM(AO166:$AO166))</f>
        <v>4</v>
      </c>
      <c r="AO166">
        <f ca="1">INT(SUM(AI165:$AI166)/OFFSET($AV$2,MATCH(AI$3,$AE$3:$AI$3,0),0))</f>
        <v>1</v>
      </c>
      <c r="AP166" cm="1">
        <f ca="1" t="array" ref="AP166">SUMPRODUCT(AJ166:AO166,TRANSPOSE($AS$3:$AS$8))</f>
        <v>2.42</v>
      </c>
    </row>
    <row r="167" ht="16.5" spans="14:42">
      <c r="N167" s="2">
        <v>164</v>
      </c>
      <c r="O167" s="45">
        <f>产出预期!AN183</f>
        <v>17816</v>
      </c>
      <c r="P167" s="2">
        <f ca="1">练度预期!M166</f>
        <v>30</v>
      </c>
      <c r="Q167" s="2" t="str">
        <f ca="1" t="shared" si="46"/>
        <v>橙</v>
      </c>
      <c r="R167" s="46">
        <f ca="1" t="shared" si="47"/>
        <v>0</v>
      </c>
      <c r="S167" s="47">
        <f ca="1" t="shared" si="34"/>
        <v>7.44044</v>
      </c>
      <c r="T167" s="47">
        <f ca="1">MIN(1+($O167*1.4+产出预期!AC183*60)/OFFSET($J$14,MATCH(T$3,$T$3:$W$3,0),0),18)</f>
        <v>18</v>
      </c>
      <c r="U167" s="47">
        <f ca="1">MIN(($O167*1.4+产出预期!$AC183*60)/OFFSET($J$14,MATCH(U$3,$T$3:$W$3,0),0),3)</f>
        <v>3</v>
      </c>
      <c r="V167" s="47">
        <f ca="1">MIN(($O167*1.4+产出预期!$AC183*60)/OFFSET($J$14,MATCH(V$3,$T$3:$W$3,0),0),18)</f>
        <v>1.247648</v>
      </c>
      <c r="W167" s="47">
        <f ca="1">MIN(($O167*1.4+产出预期!$AC183*60)/OFFSET($J$14,MATCH(W$3,$T$3:$W$3,0),0),18)</f>
        <v>0.311912</v>
      </c>
      <c r="X167" s="47">
        <f ca="1" t="shared" si="35"/>
        <v>1.4464264</v>
      </c>
      <c r="Y167" s="47">
        <f ca="1" t="shared" si="36"/>
        <v>5.55991731349224</v>
      </c>
      <c r="Z167" s="47">
        <f ca="1" t="shared" si="37"/>
        <v>1.953125</v>
      </c>
      <c r="AA167" s="47">
        <f ca="1" t="shared" si="38"/>
        <v>1.41394925729909</v>
      </c>
      <c r="AB167" s="47">
        <f ca="1" t="shared" si="39"/>
        <v>1.05851637494164</v>
      </c>
      <c r="AC167" s="48">
        <f ca="1" t="shared" si="40"/>
        <v>23.5085648263963</v>
      </c>
      <c r="AD167" s="47">
        <f t="shared" si="33"/>
        <v>4454</v>
      </c>
      <c r="AE167" s="47">
        <f t="shared" si="41"/>
        <v>1113.5</v>
      </c>
      <c r="AF167" s="47">
        <f t="shared" si="42"/>
        <v>278.375</v>
      </c>
      <c r="AG167" s="47">
        <f t="shared" si="43"/>
        <v>69.59375</v>
      </c>
      <c r="AH167" s="47">
        <f t="shared" si="44"/>
        <v>17.3984375</v>
      </c>
      <c r="AI167" s="47">
        <f t="shared" si="45"/>
        <v>4.349609375</v>
      </c>
      <c r="AJ167">
        <f ca="1">MIN(INT(SUM(AD167:$AI167)/OFFSET($AV$2,MATCH(AD$3,$AE$3:$AI$3,0),0)),6-SUM(AK167:$AO167))</f>
        <v>0</v>
      </c>
      <c r="AK167">
        <f ca="1">MIN(INT(SUM(AE167:$AI167)/OFFSET($AV$2,MATCH(AE$3,$AE$3:$AI$3,0),0)),6-SUM(AL167:$AO167))</f>
        <v>0</v>
      </c>
      <c r="AL167">
        <f ca="1">MIN(INT(SUM(AF167:$AI167)/OFFSET($AV$2,MATCH(AF$3,$AE$3:$AI$3,0),0)),6-SUM(AM167:$AO167))</f>
        <v>0</v>
      </c>
      <c r="AM167">
        <f ca="1">MIN(INT((SUM(AG167:$AI167)+N167*2/6)/OFFSET($AV$2,MATCH(AG$3,$AE$3:$AI$3,0),0)),6-SUM(AN167:$AO167))</f>
        <v>1</v>
      </c>
      <c r="AN167">
        <f ca="1">MIN(INT(SUM(AH167:$AI167)/OFFSET($AV$2,MATCH(AH$3,$AE$3:$AI$3,0),0)),6-SUM(AO167:$AO167))</f>
        <v>4</v>
      </c>
      <c r="AO167">
        <f ca="1">INT(SUM(AI166:$AI167)/OFFSET($AV$2,MATCH(AI$3,$AE$3:$AI$3,0),0))</f>
        <v>1</v>
      </c>
      <c r="AP167" cm="1">
        <f ca="1" t="array" ref="AP167">SUMPRODUCT(AJ167:AO167,TRANSPOSE($AS$3:$AS$8))</f>
        <v>2.42</v>
      </c>
    </row>
    <row r="168" ht="16.5" spans="14:42">
      <c r="N168" s="2">
        <v>165</v>
      </c>
      <c r="O168" s="45">
        <f>产出预期!AN184</f>
        <v>17929</v>
      </c>
      <c r="P168" s="2">
        <f ca="1">练度预期!M167</f>
        <v>30</v>
      </c>
      <c r="Q168" s="2" t="str">
        <f ca="1" t="shared" si="46"/>
        <v>橙</v>
      </c>
      <c r="R168" s="46">
        <f ca="1" t="shared" si="47"/>
        <v>0</v>
      </c>
      <c r="S168" s="47">
        <f ca="1" t="shared" si="34"/>
        <v>7.430485</v>
      </c>
      <c r="T168" s="47">
        <f ca="1">MIN(1+($O168*1.4+产出预期!AC184*60)/OFFSET($J$14,MATCH(T$3,$T$3:$W$3,0),0),18)</f>
        <v>18</v>
      </c>
      <c r="U168" s="47">
        <f ca="1">MIN(($O168*1.4+产出预期!$AC184*60)/OFFSET($J$14,MATCH(U$3,$T$3:$W$3,0),0),3)</f>
        <v>3</v>
      </c>
      <c r="V168" s="47">
        <f ca="1">MIN(($O168*1.4+产出预期!$AC184*60)/OFFSET($J$14,MATCH(V$3,$T$3:$W$3,0),0),18)</f>
        <v>1.255612</v>
      </c>
      <c r="W168" s="47">
        <f ca="1">MIN(($O168*1.4+产出预期!$AC184*60)/OFFSET($J$14,MATCH(W$3,$T$3:$W$3,0),0),18)</f>
        <v>0.313903</v>
      </c>
      <c r="X168" s="47">
        <f ca="1" t="shared" si="35"/>
        <v>1.4458291</v>
      </c>
      <c r="Y168" s="47">
        <f ca="1" t="shared" si="36"/>
        <v>5.55991731349224</v>
      </c>
      <c r="Z168" s="47">
        <f ca="1" t="shared" si="37"/>
        <v>1.953125</v>
      </c>
      <c r="AA168" s="47">
        <f ca="1" t="shared" si="38"/>
        <v>1.41707904153642</v>
      </c>
      <c r="AB168" s="47">
        <f ca="1" t="shared" si="39"/>
        <v>1.05890068848432</v>
      </c>
      <c r="AC168" s="48">
        <f ca="1" t="shared" si="40"/>
        <v>23.5594224096422</v>
      </c>
      <c r="AD168" s="47">
        <f t="shared" si="33"/>
        <v>4482.25</v>
      </c>
      <c r="AE168" s="47">
        <f t="shared" si="41"/>
        <v>1120.5625</v>
      </c>
      <c r="AF168" s="47">
        <f t="shared" si="42"/>
        <v>280.140625</v>
      </c>
      <c r="AG168" s="47">
        <f t="shared" si="43"/>
        <v>70.03515625</v>
      </c>
      <c r="AH168" s="47">
        <f t="shared" si="44"/>
        <v>17.5087890625</v>
      </c>
      <c r="AI168" s="47">
        <f t="shared" si="45"/>
        <v>4.377197265625</v>
      </c>
      <c r="AJ168">
        <f ca="1">MIN(INT(SUM(AD168:$AI168)/OFFSET($AV$2,MATCH(AD$3,$AE$3:$AI$3,0),0)),6-SUM(AK168:$AO168))</f>
        <v>0</v>
      </c>
      <c r="AK168">
        <f ca="1">MIN(INT(SUM(AE168:$AI168)/OFFSET($AV$2,MATCH(AE$3,$AE$3:$AI$3,0),0)),6-SUM(AL168:$AO168))</f>
        <v>0</v>
      </c>
      <c r="AL168">
        <f ca="1">MIN(INT(SUM(AF168:$AI168)/OFFSET($AV$2,MATCH(AF$3,$AE$3:$AI$3,0),0)),6-SUM(AM168:$AO168))</f>
        <v>0</v>
      </c>
      <c r="AM168">
        <f ca="1">MIN(INT((SUM(AG168:$AI168)+N168*2/6)/OFFSET($AV$2,MATCH(AG$3,$AE$3:$AI$3,0),0)),6-SUM(AN168:$AO168))</f>
        <v>1</v>
      </c>
      <c r="AN168">
        <f ca="1">MIN(INT(SUM(AH168:$AI168)/OFFSET($AV$2,MATCH(AH$3,$AE$3:$AI$3,0),0)),6-SUM(AO168:$AO168))</f>
        <v>4</v>
      </c>
      <c r="AO168">
        <f ca="1">INT(SUM(AI167:$AI168)/OFFSET($AV$2,MATCH(AI$3,$AE$3:$AI$3,0),0))</f>
        <v>1</v>
      </c>
      <c r="AP168" cm="1">
        <f ca="1" t="array" ref="AP168">SUMPRODUCT(AJ168:AO168,TRANSPOSE($AS$3:$AS$8))</f>
        <v>2.42</v>
      </c>
    </row>
    <row r="169" ht="16.5" spans="14:42">
      <c r="N169" s="2">
        <v>166</v>
      </c>
      <c r="O169" s="45">
        <f>产出预期!AN185</f>
        <v>18037</v>
      </c>
      <c r="P169" s="2">
        <f ca="1">练度预期!M168</f>
        <v>30</v>
      </c>
      <c r="Q169" s="2" t="str">
        <f ca="1" t="shared" si="46"/>
        <v>橙</v>
      </c>
      <c r="R169" s="46">
        <f ca="1" t="shared" si="47"/>
        <v>0</v>
      </c>
      <c r="S169" s="47">
        <f ca="1" t="shared" si="34"/>
        <v>7.422205</v>
      </c>
      <c r="T169" s="47">
        <f ca="1">MIN(1+($O169*1.4+产出预期!AC185*60)/OFFSET($J$14,MATCH(T$3,$T$3:$W$3,0),0),18)</f>
        <v>18</v>
      </c>
      <c r="U169" s="47">
        <f ca="1">MIN(($O169*1.4+产出预期!$AC185*60)/OFFSET($J$14,MATCH(U$3,$T$3:$W$3,0),0),3)</f>
        <v>3</v>
      </c>
      <c r="V169" s="47">
        <f ca="1">MIN(($O169*1.4+产出预期!$AC185*60)/OFFSET($J$14,MATCH(V$3,$T$3:$W$3,0),0),18)</f>
        <v>1.262236</v>
      </c>
      <c r="W169" s="47">
        <f ca="1">MIN(($O169*1.4+产出预期!$AC185*60)/OFFSET($J$14,MATCH(W$3,$T$3:$W$3,0),0),18)</f>
        <v>0.315559</v>
      </c>
      <c r="X169" s="47">
        <f ca="1" t="shared" si="35"/>
        <v>1.4453323</v>
      </c>
      <c r="Y169" s="47">
        <f ca="1" t="shared" si="36"/>
        <v>5.55991731349224</v>
      </c>
      <c r="Z169" s="47">
        <f ca="1" t="shared" si="37"/>
        <v>1.953125</v>
      </c>
      <c r="AA169" s="47">
        <f ca="1" t="shared" si="38"/>
        <v>1.41968749390284</v>
      </c>
      <c r="AB169" s="47">
        <f ca="1" t="shared" si="39"/>
        <v>1.05922044481188</v>
      </c>
      <c r="AC169" s="48">
        <f ca="1" t="shared" si="40"/>
        <v>23.6018035745522</v>
      </c>
      <c r="AD169" s="47">
        <f t="shared" si="33"/>
        <v>4509.25</v>
      </c>
      <c r="AE169" s="47">
        <f t="shared" si="41"/>
        <v>1127.3125</v>
      </c>
      <c r="AF169" s="47">
        <f t="shared" si="42"/>
        <v>281.828125</v>
      </c>
      <c r="AG169" s="47">
        <f t="shared" si="43"/>
        <v>70.45703125</v>
      </c>
      <c r="AH169" s="47">
        <f t="shared" si="44"/>
        <v>17.6142578125</v>
      </c>
      <c r="AI169" s="47">
        <f t="shared" si="45"/>
        <v>4.403564453125</v>
      </c>
      <c r="AJ169">
        <f ca="1">MIN(INT(SUM(AD169:$AI169)/OFFSET($AV$2,MATCH(AD$3,$AE$3:$AI$3,0),0)),6-SUM(AK169:$AO169))</f>
        <v>0</v>
      </c>
      <c r="AK169">
        <f ca="1">MIN(INT(SUM(AE169:$AI169)/OFFSET($AV$2,MATCH(AE$3,$AE$3:$AI$3,0),0)),6-SUM(AL169:$AO169))</f>
        <v>0</v>
      </c>
      <c r="AL169">
        <f ca="1">MIN(INT(SUM(AF169:$AI169)/OFFSET($AV$2,MATCH(AF$3,$AE$3:$AI$3,0),0)),6-SUM(AM169:$AO169))</f>
        <v>0</v>
      </c>
      <c r="AM169">
        <f ca="1">MIN(INT((SUM(AG169:$AI169)+N169*2/6)/OFFSET($AV$2,MATCH(AG$3,$AE$3:$AI$3,0),0)),6-SUM(AN169:$AO169))</f>
        <v>1</v>
      </c>
      <c r="AN169">
        <f ca="1">MIN(INT(SUM(AH169:$AI169)/OFFSET($AV$2,MATCH(AH$3,$AE$3:$AI$3,0),0)),6-SUM(AO169:$AO169))</f>
        <v>4</v>
      </c>
      <c r="AO169">
        <f ca="1">INT(SUM(AI168:$AI169)/OFFSET($AV$2,MATCH(AI$3,$AE$3:$AI$3,0),0))</f>
        <v>1</v>
      </c>
      <c r="AP169" cm="1">
        <f ca="1" t="array" ref="AP169">SUMPRODUCT(AJ169:AO169,TRANSPOSE($AS$3:$AS$8))</f>
        <v>2.42</v>
      </c>
    </row>
    <row r="170" ht="16.5" spans="14:42">
      <c r="N170" s="2">
        <v>167</v>
      </c>
      <c r="O170" s="45">
        <f>产出预期!AN186</f>
        <v>18150</v>
      </c>
      <c r="P170" s="2">
        <f ca="1">练度预期!M169</f>
        <v>30</v>
      </c>
      <c r="Q170" s="2" t="str">
        <f ca="1" t="shared" si="46"/>
        <v>橙</v>
      </c>
      <c r="R170" s="46">
        <f ca="1" t="shared" si="47"/>
        <v>0</v>
      </c>
      <c r="S170" s="47">
        <f ca="1" t="shared" si="34"/>
        <v>7.41225</v>
      </c>
      <c r="T170" s="47">
        <f ca="1">MIN(1+($O170*1.4+产出预期!AC186*60)/OFFSET($J$14,MATCH(T$3,$T$3:$W$3,0),0),18)</f>
        <v>18</v>
      </c>
      <c r="U170" s="47">
        <f ca="1">MIN(($O170*1.4+产出预期!$AC186*60)/OFFSET($J$14,MATCH(U$3,$T$3:$W$3,0),0),3)</f>
        <v>3</v>
      </c>
      <c r="V170" s="47">
        <f ca="1">MIN(($O170*1.4+产出预期!$AC186*60)/OFFSET($J$14,MATCH(V$3,$T$3:$W$3,0),0),18)</f>
        <v>1.2702</v>
      </c>
      <c r="W170" s="47">
        <f ca="1">MIN(($O170*1.4+产出预期!$AC186*60)/OFFSET($J$14,MATCH(W$3,$T$3:$W$3,0),0),18)</f>
        <v>0.31755</v>
      </c>
      <c r="X170" s="47">
        <f ca="1" t="shared" si="35"/>
        <v>1.444735</v>
      </c>
      <c r="Y170" s="47">
        <f ca="1" t="shared" si="36"/>
        <v>5.55991731349224</v>
      </c>
      <c r="Z170" s="47">
        <f ca="1" t="shared" si="37"/>
        <v>1.953125</v>
      </c>
      <c r="AA170" s="47">
        <f ca="1" t="shared" si="38"/>
        <v>1.42282997975756</v>
      </c>
      <c r="AB170" s="47">
        <f ca="1" t="shared" si="39"/>
        <v>1.05960501397988</v>
      </c>
      <c r="AC170" s="48">
        <f ca="1" t="shared" si="40"/>
        <v>23.6528554702709</v>
      </c>
      <c r="AD170" s="47">
        <f t="shared" si="33"/>
        <v>4537.5</v>
      </c>
      <c r="AE170" s="47">
        <f t="shared" si="41"/>
        <v>1134.375</v>
      </c>
      <c r="AF170" s="47">
        <f t="shared" si="42"/>
        <v>283.59375</v>
      </c>
      <c r="AG170" s="47">
        <f t="shared" si="43"/>
        <v>70.8984375</v>
      </c>
      <c r="AH170" s="47">
        <f t="shared" si="44"/>
        <v>17.724609375</v>
      </c>
      <c r="AI170" s="47">
        <f t="shared" si="45"/>
        <v>4.43115234375</v>
      </c>
      <c r="AJ170">
        <f ca="1">MIN(INT(SUM(AD170:$AI170)/OFFSET($AV$2,MATCH(AD$3,$AE$3:$AI$3,0),0)),6-SUM(AK170:$AO170))</f>
        <v>0</v>
      </c>
      <c r="AK170">
        <f ca="1">MIN(INT(SUM(AE170:$AI170)/OFFSET($AV$2,MATCH(AE$3,$AE$3:$AI$3,0),0)),6-SUM(AL170:$AO170))</f>
        <v>0</v>
      </c>
      <c r="AL170">
        <f ca="1">MIN(INT(SUM(AF170:$AI170)/OFFSET($AV$2,MATCH(AF$3,$AE$3:$AI$3,0),0)),6-SUM(AM170:$AO170))</f>
        <v>0</v>
      </c>
      <c r="AM170">
        <f ca="1">MIN(INT((SUM(AG170:$AI170)+N170*2/6)/OFFSET($AV$2,MATCH(AG$3,$AE$3:$AI$3,0),0)),6-SUM(AN170:$AO170))</f>
        <v>1</v>
      </c>
      <c r="AN170">
        <f ca="1">MIN(INT(SUM(AH170:$AI170)/OFFSET($AV$2,MATCH(AH$3,$AE$3:$AI$3,0),0)),6-SUM(AO170:$AO170))</f>
        <v>4</v>
      </c>
      <c r="AO170">
        <f ca="1">INT(SUM(AI169:$AI170)/OFFSET($AV$2,MATCH(AI$3,$AE$3:$AI$3,0),0))</f>
        <v>1</v>
      </c>
      <c r="AP170" cm="1">
        <f ca="1" t="array" ref="AP170">SUMPRODUCT(AJ170:AO170,TRANSPOSE($AS$3:$AS$8))</f>
        <v>2.42</v>
      </c>
    </row>
    <row r="171" ht="16.5" spans="14:42">
      <c r="N171" s="2">
        <v>168</v>
      </c>
      <c r="O171" s="45">
        <f>产出预期!AN187</f>
        <v>18258</v>
      </c>
      <c r="P171" s="2">
        <f ca="1">练度预期!M170</f>
        <v>30</v>
      </c>
      <c r="Q171" s="2" t="str">
        <f ca="1" t="shared" si="46"/>
        <v>橙</v>
      </c>
      <c r="R171" s="46">
        <f ca="1" t="shared" si="47"/>
        <v>0</v>
      </c>
      <c r="S171" s="47">
        <f ca="1" t="shared" si="34"/>
        <v>7.40397</v>
      </c>
      <c r="T171" s="47">
        <f ca="1">MIN(1+($O171*1.4+产出预期!AC187*60)/OFFSET($J$14,MATCH(T$3,$T$3:$W$3,0),0),18)</f>
        <v>18</v>
      </c>
      <c r="U171" s="47">
        <f ca="1">MIN(($O171*1.4+产出预期!$AC187*60)/OFFSET($J$14,MATCH(U$3,$T$3:$W$3,0),0),3)</f>
        <v>3</v>
      </c>
      <c r="V171" s="47">
        <f ca="1">MIN(($O171*1.4+产出预期!$AC187*60)/OFFSET($J$14,MATCH(V$3,$T$3:$W$3,0),0),18)</f>
        <v>1.276824</v>
      </c>
      <c r="W171" s="47">
        <f ca="1">MIN(($O171*1.4+产出预期!$AC187*60)/OFFSET($J$14,MATCH(W$3,$T$3:$W$3,0),0),18)</f>
        <v>0.319206</v>
      </c>
      <c r="X171" s="47">
        <f ca="1" t="shared" si="35"/>
        <v>1.4442382</v>
      </c>
      <c r="Y171" s="47">
        <f ca="1" t="shared" si="36"/>
        <v>5.55991731349224</v>
      </c>
      <c r="Z171" s="47">
        <f ca="1" t="shared" si="37"/>
        <v>1.953125</v>
      </c>
      <c r="AA171" s="47">
        <f ca="1" t="shared" si="38"/>
        <v>1.4254490180179</v>
      </c>
      <c r="AB171" s="47">
        <f ca="1" t="shared" si="39"/>
        <v>1.05992498299267</v>
      </c>
      <c r="AC171" s="48">
        <f ca="1" t="shared" si="40"/>
        <v>23.6953985443542</v>
      </c>
      <c r="AD171" s="47">
        <f t="shared" si="33"/>
        <v>4564.5</v>
      </c>
      <c r="AE171" s="47">
        <f t="shared" si="41"/>
        <v>1141.125</v>
      </c>
      <c r="AF171" s="47">
        <f t="shared" si="42"/>
        <v>285.28125</v>
      </c>
      <c r="AG171" s="47">
        <f t="shared" si="43"/>
        <v>71.3203125</v>
      </c>
      <c r="AH171" s="47">
        <f t="shared" si="44"/>
        <v>17.830078125</v>
      </c>
      <c r="AI171" s="47">
        <f t="shared" si="45"/>
        <v>4.45751953125</v>
      </c>
      <c r="AJ171">
        <f ca="1">MIN(INT(SUM(AD171:$AI171)/OFFSET($AV$2,MATCH(AD$3,$AE$3:$AI$3,0),0)),6-SUM(AK171:$AO171))</f>
        <v>0</v>
      </c>
      <c r="AK171">
        <f ca="1">MIN(INT(SUM(AE171:$AI171)/OFFSET($AV$2,MATCH(AE$3,$AE$3:$AI$3,0),0)),6-SUM(AL171:$AO171))</f>
        <v>0</v>
      </c>
      <c r="AL171">
        <f ca="1">MIN(INT(SUM(AF171:$AI171)/OFFSET($AV$2,MATCH(AF$3,$AE$3:$AI$3,0),0)),6-SUM(AM171:$AO171))</f>
        <v>0</v>
      </c>
      <c r="AM171">
        <f ca="1">MIN(INT((SUM(AG171:$AI171)+N171*2/6)/OFFSET($AV$2,MATCH(AG$3,$AE$3:$AI$3,0),0)),6-SUM(AN171:$AO171))</f>
        <v>1</v>
      </c>
      <c r="AN171">
        <f ca="1">MIN(INT(SUM(AH171:$AI171)/OFFSET($AV$2,MATCH(AH$3,$AE$3:$AI$3,0),0)),6-SUM(AO171:$AO171))</f>
        <v>4</v>
      </c>
      <c r="AO171">
        <f ca="1">INT(SUM(AI170:$AI171)/OFFSET($AV$2,MATCH(AI$3,$AE$3:$AI$3,0),0))</f>
        <v>1</v>
      </c>
      <c r="AP171" cm="1">
        <f ca="1" t="array" ref="AP171">SUMPRODUCT(AJ171:AO171,TRANSPOSE($AS$3:$AS$8))</f>
        <v>2.42</v>
      </c>
    </row>
    <row r="172" ht="16.5" spans="14:42">
      <c r="N172" s="2">
        <v>169</v>
      </c>
      <c r="O172" s="45">
        <f>产出预期!AN188</f>
        <v>18371</v>
      </c>
      <c r="P172" s="2">
        <f ca="1">练度预期!M171</f>
        <v>30</v>
      </c>
      <c r="Q172" s="2" t="str">
        <f ca="1" t="shared" si="46"/>
        <v>橙</v>
      </c>
      <c r="R172" s="46">
        <f ca="1" t="shared" si="47"/>
        <v>0</v>
      </c>
      <c r="S172" s="47">
        <f ca="1" t="shared" si="34"/>
        <v>7.394015</v>
      </c>
      <c r="T172" s="47">
        <f ca="1">MIN(1+($O172*1.4+产出预期!AC188*60)/OFFSET($J$14,MATCH(T$3,$T$3:$W$3,0),0),18)</f>
        <v>18</v>
      </c>
      <c r="U172" s="47">
        <f ca="1">MIN(($O172*1.4+产出预期!$AC188*60)/OFFSET($J$14,MATCH(U$3,$T$3:$W$3,0),0),3)</f>
        <v>3</v>
      </c>
      <c r="V172" s="47">
        <f ca="1">MIN(($O172*1.4+产出预期!$AC188*60)/OFFSET($J$14,MATCH(V$3,$T$3:$W$3,0),0),18)</f>
        <v>1.284788</v>
      </c>
      <c r="W172" s="47">
        <f ca="1">MIN(($O172*1.4+产出预期!$AC188*60)/OFFSET($J$14,MATCH(W$3,$T$3:$W$3,0),0),18)</f>
        <v>0.321197</v>
      </c>
      <c r="X172" s="47">
        <f ca="1" t="shared" si="35"/>
        <v>1.4436409</v>
      </c>
      <c r="Y172" s="47">
        <f ca="1" t="shared" si="36"/>
        <v>5.55991731349224</v>
      </c>
      <c r="Z172" s="47">
        <f ca="1" t="shared" si="37"/>
        <v>1.953125</v>
      </c>
      <c r="AA172" s="47">
        <f ca="1" t="shared" si="38"/>
        <v>1.42860425703705</v>
      </c>
      <c r="AB172" s="47">
        <f ca="1" t="shared" si="39"/>
        <v>1.06030980795601</v>
      </c>
      <c r="AC172" s="48">
        <f ca="1" t="shared" si="40"/>
        <v>23.7466454532651</v>
      </c>
      <c r="AD172" s="47">
        <f t="shared" si="33"/>
        <v>4592.75</v>
      </c>
      <c r="AE172" s="47">
        <f t="shared" si="41"/>
        <v>1148.1875</v>
      </c>
      <c r="AF172" s="47">
        <f t="shared" si="42"/>
        <v>287.046875</v>
      </c>
      <c r="AG172" s="47">
        <f t="shared" si="43"/>
        <v>71.76171875</v>
      </c>
      <c r="AH172" s="47">
        <f t="shared" si="44"/>
        <v>17.9404296875</v>
      </c>
      <c r="AI172" s="47">
        <f t="shared" si="45"/>
        <v>4.485107421875</v>
      </c>
      <c r="AJ172">
        <f ca="1">MIN(INT(SUM(AD172:$AI172)/OFFSET($AV$2,MATCH(AD$3,$AE$3:$AI$3,0),0)),6-SUM(AK172:$AO172))</f>
        <v>0</v>
      </c>
      <c r="AK172">
        <f ca="1">MIN(INT(SUM(AE172:$AI172)/OFFSET($AV$2,MATCH(AE$3,$AE$3:$AI$3,0),0)),6-SUM(AL172:$AO172))</f>
        <v>0</v>
      </c>
      <c r="AL172">
        <f ca="1">MIN(INT(SUM(AF172:$AI172)/OFFSET($AV$2,MATCH(AF$3,$AE$3:$AI$3,0),0)),6-SUM(AM172:$AO172))</f>
        <v>0</v>
      </c>
      <c r="AM172">
        <f ca="1">MIN(INT((SUM(AG172:$AI172)+N172*2/6)/OFFSET($AV$2,MATCH(AG$3,$AE$3:$AI$3,0),0)),6-SUM(AN172:$AO172))</f>
        <v>1</v>
      </c>
      <c r="AN172">
        <f ca="1">MIN(INT(SUM(AH172:$AI172)/OFFSET($AV$2,MATCH(AH$3,$AE$3:$AI$3,0),0)),6-SUM(AO172:$AO172))</f>
        <v>4</v>
      </c>
      <c r="AO172">
        <f ca="1">INT(SUM(AI171:$AI172)/OFFSET($AV$2,MATCH(AI$3,$AE$3:$AI$3,0),0))</f>
        <v>1</v>
      </c>
      <c r="AP172" cm="1">
        <f ca="1" t="array" ref="AP172">SUMPRODUCT(AJ172:AO172,TRANSPOSE($AS$3:$AS$8))</f>
        <v>2.42</v>
      </c>
    </row>
    <row r="173" ht="16.5" spans="14:42">
      <c r="N173" s="2">
        <v>170</v>
      </c>
      <c r="O173" s="45">
        <f>产出预期!AN189</f>
        <v>18479</v>
      </c>
      <c r="P173" s="2">
        <f ca="1">练度预期!M172</f>
        <v>30</v>
      </c>
      <c r="Q173" s="2" t="str">
        <f ca="1" t="shared" si="46"/>
        <v>橙</v>
      </c>
      <c r="R173" s="46">
        <f ca="1" t="shared" si="47"/>
        <v>0</v>
      </c>
      <c r="S173" s="47">
        <f ca="1" t="shared" si="34"/>
        <v>7.385735</v>
      </c>
      <c r="T173" s="47">
        <f ca="1">MIN(1+($O173*1.4+产出预期!AC189*60)/OFFSET($J$14,MATCH(T$3,$T$3:$W$3,0),0),18)</f>
        <v>18</v>
      </c>
      <c r="U173" s="47">
        <f ca="1">MIN(($O173*1.4+产出预期!$AC189*60)/OFFSET($J$14,MATCH(U$3,$T$3:$W$3,0),0),3)</f>
        <v>3</v>
      </c>
      <c r="V173" s="47">
        <f ca="1">MIN(($O173*1.4+产出预期!$AC189*60)/OFFSET($J$14,MATCH(V$3,$T$3:$W$3,0),0),18)</f>
        <v>1.291412</v>
      </c>
      <c r="W173" s="47">
        <f ca="1">MIN(($O173*1.4+产出预期!$AC189*60)/OFFSET($J$14,MATCH(W$3,$T$3:$W$3,0),0),18)</f>
        <v>0.322853</v>
      </c>
      <c r="X173" s="47">
        <f ca="1" t="shared" si="35"/>
        <v>1.4431441</v>
      </c>
      <c r="Y173" s="47">
        <f ca="1" t="shared" si="36"/>
        <v>5.55991731349224</v>
      </c>
      <c r="Z173" s="47">
        <f ca="1" t="shared" si="37"/>
        <v>1.953125</v>
      </c>
      <c r="AA173" s="47">
        <f ca="1" t="shared" si="38"/>
        <v>1.43123392415209</v>
      </c>
      <c r="AB173" s="47">
        <f ca="1" t="shared" si="39"/>
        <v>1.06062998979549</v>
      </c>
      <c r="AC173" s="48">
        <f ca="1" t="shared" si="40"/>
        <v>23.7893510202891</v>
      </c>
      <c r="AD173" s="47">
        <f t="shared" si="33"/>
        <v>4619.75</v>
      </c>
      <c r="AE173" s="47">
        <f t="shared" si="41"/>
        <v>1154.9375</v>
      </c>
      <c r="AF173" s="47">
        <f t="shared" si="42"/>
        <v>288.734375</v>
      </c>
      <c r="AG173" s="47">
        <f t="shared" si="43"/>
        <v>72.18359375</v>
      </c>
      <c r="AH173" s="47">
        <f t="shared" si="44"/>
        <v>18.0458984375</v>
      </c>
      <c r="AI173" s="47">
        <f t="shared" si="45"/>
        <v>4.511474609375</v>
      </c>
      <c r="AJ173">
        <f ca="1">MIN(INT(SUM(AD173:$AI173)/OFFSET($AV$2,MATCH(AD$3,$AE$3:$AI$3,0),0)),6-SUM(AK173:$AO173))</f>
        <v>0</v>
      </c>
      <c r="AK173">
        <f ca="1">MIN(INT(SUM(AE173:$AI173)/OFFSET($AV$2,MATCH(AE$3,$AE$3:$AI$3,0),0)),6-SUM(AL173:$AO173))</f>
        <v>0</v>
      </c>
      <c r="AL173">
        <f ca="1">MIN(INT(SUM(AF173:$AI173)/OFFSET($AV$2,MATCH(AF$3,$AE$3:$AI$3,0),0)),6-SUM(AM173:$AO173))</f>
        <v>0</v>
      </c>
      <c r="AM173">
        <f ca="1">MIN(INT((SUM(AG173:$AI173)+N173*2/6)/OFFSET($AV$2,MATCH(AG$3,$AE$3:$AI$3,0),0)),6-SUM(AN173:$AO173))</f>
        <v>1</v>
      </c>
      <c r="AN173">
        <f ca="1">MIN(INT(SUM(AH173:$AI173)/OFFSET($AV$2,MATCH(AH$3,$AE$3:$AI$3,0),0)),6-SUM(AO173:$AO173))</f>
        <v>4</v>
      </c>
      <c r="AO173">
        <f ca="1">INT(SUM(AI172:$AI173)/OFFSET($AV$2,MATCH(AI$3,$AE$3:$AI$3,0),0))</f>
        <v>1</v>
      </c>
      <c r="AP173" cm="1">
        <f ca="1" t="array" ref="AP173">SUMPRODUCT(AJ173:AO173,TRANSPOSE($AS$3:$AS$8))</f>
        <v>2.42</v>
      </c>
    </row>
    <row r="174" ht="16.5" spans="14:42">
      <c r="N174" s="2">
        <v>171</v>
      </c>
      <c r="O174" s="45">
        <f>产出预期!AN190</f>
        <v>18564</v>
      </c>
      <c r="P174" s="2">
        <f ca="1">练度预期!M173</f>
        <v>30</v>
      </c>
      <c r="Q174" s="2" t="str">
        <f ca="1" t="shared" si="46"/>
        <v>橙</v>
      </c>
      <c r="R174" s="46">
        <f ca="1" t="shared" si="47"/>
        <v>0</v>
      </c>
      <c r="S174" s="47">
        <f ca="1" t="shared" si="34"/>
        <v>7.37676</v>
      </c>
      <c r="T174" s="47">
        <f ca="1">MIN(1+($O174*1.4+产出预期!AC190*60)/OFFSET($J$14,MATCH(T$3,$T$3:$W$3,0),0),18)</f>
        <v>18</v>
      </c>
      <c r="U174" s="47">
        <f ca="1">MIN(($O174*1.4+产出预期!$AC190*60)/OFFSET($J$14,MATCH(U$3,$T$3:$W$3,0),0),3)</f>
        <v>3</v>
      </c>
      <c r="V174" s="47">
        <f ca="1">MIN(($O174*1.4+产出预期!$AC190*60)/OFFSET($J$14,MATCH(V$3,$T$3:$W$3,0),0),18)</f>
        <v>1.298592</v>
      </c>
      <c r="W174" s="47">
        <f ca="1">MIN(($O174*1.4+产出预期!$AC190*60)/OFFSET($J$14,MATCH(W$3,$T$3:$W$3,0),0),18)</f>
        <v>0.324648</v>
      </c>
      <c r="X174" s="47">
        <f ca="1" t="shared" si="35"/>
        <v>1.4426056</v>
      </c>
      <c r="Y174" s="47">
        <f ca="1" t="shared" si="36"/>
        <v>5.55991731349224</v>
      </c>
      <c r="Z174" s="47">
        <f ca="1" t="shared" si="37"/>
        <v>1.953125</v>
      </c>
      <c r="AA174" s="47">
        <f ca="1" t="shared" si="38"/>
        <v>1.4340897854291</v>
      </c>
      <c r="AB174" s="47">
        <f ca="1" t="shared" si="39"/>
        <v>1.06097715600155</v>
      </c>
      <c r="AC174" s="48">
        <f ca="1" t="shared" si="40"/>
        <v>23.8357247281651</v>
      </c>
      <c r="AD174" s="47">
        <f t="shared" si="33"/>
        <v>4641</v>
      </c>
      <c r="AE174" s="47">
        <f t="shared" si="41"/>
        <v>1160.25</v>
      </c>
      <c r="AF174" s="47">
        <f t="shared" si="42"/>
        <v>290.0625</v>
      </c>
      <c r="AG174" s="47">
        <f t="shared" si="43"/>
        <v>72.515625</v>
      </c>
      <c r="AH174" s="47">
        <f t="shared" si="44"/>
        <v>18.12890625</v>
      </c>
      <c r="AI174" s="47">
        <f t="shared" si="45"/>
        <v>4.5322265625</v>
      </c>
      <c r="AJ174">
        <f ca="1">MIN(INT(SUM(AD174:$AI174)/OFFSET($AV$2,MATCH(AD$3,$AE$3:$AI$3,0),0)),6-SUM(AK174:$AO174))</f>
        <v>0</v>
      </c>
      <c r="AK174">
        <f ca="1">MIN(INT(SUM(AE174:$AI174)/OFFSET($AV$2,MATCH(AE$3,$AE$3:$AI$3,0),0)),6-SUM(AL174:$AO174))</f>
        <v>0</v>
      </c>
      <c r="AL174">
        <f ca="1">MIN(INT(SUM(AF174:$AI174)/OFFSET($AV$2,MATCH(AF$3,$AE$3:$AI$3,0),0)),6-SUM(AM174:$AO174))</f>
        <v>0</v>
      </c>
      <c r="AM174">
        <f ca="1">MIN(INT((SUM(AG174:$AI174)+N174*2/6)/OFFSET($AV$2,MATCH(AG$3,$AE$3:$AI$3,0),0)),6-SUM(AN174:$AO174))</f>
        <v>1</v>
      </c>
      <c r="AN174">
        <f ca="1">MIN(INT(SUM(AH174:$AI174)/OFFSET($AV$2,MATCH(AH$3,$AE$3:$AI$3,0),0)),6-SUM(AO174:$AO174))</f>
        <v>4</v>
      </c>
      <c r="AO174">
        <f ca="1">INT(SUM(AI173:$AI174)/OFFSET($AV$2,MATCH(AI$3,$AE$3:$AI$3,0),0))</f>
        <v>1</v>
      </c>
      <c r="AP174" cm="1">
        <f ca="1" t="array" ref="AP174">SUMPRODUCT(AJ174:AO174,TRANSPOSE($AS$3:$AS$8))</f>
        <v>2.42</v>
      </c>
    </row>
    <row r="175" ht="16.5" spans="14:42">
      <c r="N175" s="2">
        <v>172</v>
      </c>
      <c r="O175" s="45">
        <f>产出预期!AN191</f>
        <v>18677</v>
      </c>
      <c r="P175" s="2">
        <f ca="1">练度预期!M174</f>
        <v>30</v>
      </c>
      <c r="Q175" s="2" t="str">
        <f ca="1" t="shared" si="46"/>
        <v>橙</v>
      </c>
      <c r="R175" s="46">
        <f ca="1" t="shared" si="47"/>
        <v>0</v>
      </c>
      <c r="S175" s="47">
        <f ca="1" t="shared" si="34"/>
        <v>7.366805</v>
      </c>
      <c r="T175" s="47">
        <f ca="1">MIN(1+($O175*1.4+产出预期!AC191*60)/OFFSET($J$14,MATCH(T$3,$T$3:$W$3,0),0),18)</f>
        <v>18</v>
      </c>
      <c r="U175" s="47">
        <f ca="1">MIN(($O175*1.4+产出预期!$AC191*60)/OFFSET($J$14,MATCH(U$3,$T$3:$W$3,0),0),3)</f>
        <v>3</v>
      </c>
      <c r="V175" s="47">
        <f ca="1">MIN(($O175*1.4+产出预期!$AC191*60)/OFFSET($J$14,MATCH(V$3,$T$3:$W$3,0),0),18)</f>
        <v>1.306556</v>
      </c>
      <c r="W175" s="47">
        <f ca="1">MIN(($O175*1.4+产出预期!$AC191*60)/OFFSET($J$14,MATCH(W$3,$T$3:$W$3,0),0),18)</f>
        <v>0.326639</v>
      </c>
      <c r="X175" s="47">
        <f ca="1" t="shared" si="35"/>
        <v>1.4420083</v>
      </c>
      <c r="Y175" s="47">
        <f ca="1" t="shared" si="36"/>
        <v>5.55991731349224</v>
      </c>
      <c r="Z175" s="47">
        <f ca="1" t="shared" si="37"/>
        <v>1.953125</v>
      </c>
      <c r="AA175" s="47">
        <f ca="1" t="shared" si="38"/>
        <v>1.43726415083309</v>
      </c>
      <c r="AB175" s="47">
        <f ca="1" t="shared" si="39"/>
        <v>1.06136236297537</v>
      </c>
      <c r="AC175" s="48">
        <f ca="1" t="shared" si="40"/>
        <v>23.8872639407682</v>
      </c>
      <c r="AD175" s="47">
        <f t="shared" si="33"/>
        <v>4669.25</v>
      </c>
      <c r="AE175" s="47">
        <f t="shared" si="41"/>
        <v>1167.3125</v>
      </c>
      <c r="AF175" s="47">
        <f t="shared" si="42"/>
        <v>291.828125</v>
      </c>
      <c r="AG175" s="47">
        <f t="shared" si="43"/>
        <v>72.95703125</v>
      </c>
      <c r="AH175" s="47">
        <f t="shared" si="44"/>
        <v>18.2392578125</v>
      </c>
      <c r="AI175" s="47">
        <f t="shared" si="45"/>
        <v>4.559814453125</v>
      </c>
      <c r="AJ175">
        <f ca="1">MIN(INT(SUM(AD175:$AI175)/OFFSET($AV$2,MATCH(AD$3,$AE$3:$AI$3,0),0)),6-SUM(AK175:$AO175))</f>
        <v>0</v>
      </c>
      <c r="AK175">
        <f ca="1">MIN(INT(SUM(AE175:$AI175)/OFFSET($AV$2,MATCH(AE$3,$AE$3:$AI$3,0),0)),6-SUM(AL175:$AO175))</f>
        <v>0</v>
      </c>
      <c r="AL175">
        <f ca="1">MIN(INT(SUM(AF175:$AI175)/OFFSET($AV$2,MATCH(AF$3,$AE$3:$AI$3,0),0)),6-SUM(AM175:$AO175))</f>
        <v>0</v>
      </c>
      <c r="AM175">
        <f ca="1">MIN(INT((SUM(AG175:$AI175)+N175*2/6)/OFFSET($AV$2,MATCH(AG$3,$AE$3:$AI$3,0),0)),6-SUM(AN175:$AO175))</f>
        <v>1</v>
      </c>
      <c r="AN175">
        <f ca="1">MIN(INT(SUM(AH175:$AI175)/OFFSET($AV$2,MATCH(AH$3,$AE$3:$AI$3,0),0)),6-SUM(AO175:$AO175))</f>
        <v>4</v>
      </c>
      <c r="AO175">
        <f ca="1">INT(SUM(AI174:$AI175)/OFFSET($AV$2,MATCH(AI$3,$AE$3:$AI$3,0),0))</f>
        <v>1</v>
      </c>
      <c r="AP175" cm="1">
        <f ca="1" t="array" ref="AP175">SUMPRODUCT(AJ175:AO175,TRANSPOSE($AS$3:$AS$8))</f>
        <v>2.42</v>
      </c>
    </row>
    <row r="176" ht="16.5" spans="14:42">
      <c r="N176" s="2">
        <v>173</v>
      </c>
      <c r="O176" s="45">
        <f>产出预期!AN192</f>
        <v>18785</v>
      </c>
      <c r="P176" s="2">
        <f ca="1">练度预期!M175</f>
        <v>30</v>
      </c>
      <c r="Q176" s="2" t="str">
        <f ca="1" t="shared" si="46"/>
        <v>橙</v>
      </c>
      <c r="R176" s="46">
        <f ca="1" t="shared" si="47"/>
        <v>0</v>
      </c>
      <c r="S176" s="47">
        <f ca="1" t="shared" si="34"/>
        <v>7.358525</v>
      </c>
      <c r="T176" s="47">
        <f ca="1">MIN(1+($O176*1.4+产出预期!AC192*60)/OFFSET($J$14,MATCH(T$3,$T$3:$W$3,0),0),18)</f>
        <v>18</v>
      </c>
      <c r="U176" s="47">
        <f ca="1">MIN(($O176*1.4+产出预期!$AC192*60)/OFFSET($J$14,MATCH(U$3,$T$3:$W$3,0),0),3)</f>
        <v>3</v>
      </c>
      <c r="V176" s="47">
        <f ca="1">MIN(($O176*1.4+产出预期!$AC192*60)/OFFSET($J$14,MATCH(V$3,$T$3:$W$3,0),0),18)</f>
        <v>1.31318</v>
      </c>
      <c r="W176" s="47">
        <f ca="1">MIN(($O176*1.4+产出预期!$AC192*60)/OFFSET($J$14,MATCH(W$3,$T$3:$W$3,0),0),18)</f>
        <v>0.328295</v>
      </c>
      <c r="X176" s="47">
        <f ca="1" t="shared" si="35"/>
        <v>1.4415115</v>
      </c>
      <c r="Y176" s="47">
        <f ca="1" t="shared" si="36"/>
        <v>5.55991731349224</v>
      </c>
      <c r="Z176" s="47">
        <f ca="1" t="shared" si="37"/>
        <v>1.953125</v>
      </c>
      <c r="AA176" s="47">
        <f ca="1" t="shared" si="38"/>
        <v>1.43990975842837</v>
      </c>
      <c r="AB176" s="47">
        <f ca="1" t="shared" si="39"/>
        <v>1.06168286265498</v>
      </c>
      <c r="AC176" s="48">
        <f ca="1" t="shared" si="40"/>
        <v>23.9302130669537</v>
      </c>
      <c r="AD176" s="47">
        <f t="shared" si="33"/>
        <v>4696.25</v>
      </c>
      <c r="AE176" s="47">
        <f t="shared" si="41"/>
        <v>1174.0625</v>
      </c>
      <c r="AF176" s="47">
        <f t="shared" si="42"/>
        <v>293.515625</v>
      </c>
      <c r="AG176" s="47">
        <f t="shared" si="43"/>
        <v>73.37890625</v>
      </c>
      <c r="AH176" s="47">
        <f t="shared" si="44"/>
        <v>18.3447265625</v>
      </c>
      <c r="AI176" s="47">
        <f t="shared" si="45"/>
        <v>4.586181640625</v>
      </c>
      <c r="AJ176">
        <f ca="1">MIN(INT(SUM(AD176:$AI176)/OFFSET($AV$2,MATCH(AD$3,$AE$3:$AI$3,0),0)),6-SUM(AK176:$AO176))</f>
        <v>0</v>
      </c>
      <c r="AK176">
        <f ca="1">MIN(INT(SUM(AE176:$AI176)/OFFSET($AV$2,MATCH(AE$3,$AE$3:$AI$3,0),0)),6-SUM(AL176:$AO176))</f>
        <v>0</v>
      </c>
      <c r="AL176">
        <f ca="1">MIN(INT(SUM(AF176:$AI176)/OFFSET($AV$2,MATCH(AF$3,$AE$3:$AI$3,0),0)),6-SUM(AM176:$AO176))</f>
        <v>0</v>
      </c>
      <c r="AM176">
        <f ca="1">MIN(INT((SUM(AG176:$AI176)+N176*2/6)/OFFSET($AV$2,MATCH(AG$3,$AE$3:$AI$3,0),0)),6-SUM(AN176:$AO176))</f>
        <v>1</v>
      </c>
      <c r="AN176">
        <f ca="1">MIN(INT(SUM(AH176:$AI176)/OFFSET($AV$2,MATCH(AH$3,$AE$3:$AI$3,0),0)),6-SUM(AO176:$AO176))</f>
        <v>4</v>
      </c>
      <c r="AO176">
        <f ca="1">INT(SUM(AI175:$AI176)/OFFSET($AV$2,MATCH(AI$3,$AE$3:$AI$3,0),0))</f>
        <v>1</v>
      </c>
      <c r="AP176" cm="1">
        <f ca="1" t="array" ref="AP176">SUMPRODUCT(AJ176:AO176,TRANSPOSE($AS$3:$AS$8))</f>
        <v>2.42</v>
      </c>
    </row>
    <row r="177" ht="16.5" spans="14:42">
      <c r="N177" s="2">
        <v>174</v>
      </c>
      <c r="O177" s="45">
        <f>产出预期!AN193</f>
        <v>18954</v>
      </c>
      <c r="P177" s="2">
        <f ca="1">练度预期!M176</f>
        <v>30</v>
      </c>
      <c r="Q177" s="2" t="str">
        <f ca="1" t="shared" si="46"/>
        <v>橙</v>
      </c>
      <c r="R177" s="46">
        <f ca="1" t="shared" si="47"/>
        <v>0</v>
      </c>
      <c r="S177" s="47">
        <f ca="1" t="shared" si="34"/>
        <v>7.34661</v>
      </c>
      <c r="T177" s="47">
        <f ca="1">MIN(1+($O177*1.4+产出预期!AC193*60)/OFFSET($J$14,MATCH(T$3,$T$3:$W$3,0),0),18)</f>
        <v>18</v>
      </c>
      <c r="U177" s="47">
        <f ca="1">MIN(($O177*1.4+产出预期!$AC193*60)/OFFSET($J$14,MATCH(U$3,$T$3:$W$3,0),0),3)</f>
        <v>3</v>
      </c>
      <c r="V177" s="47">
        <f ca="1">MIN(($O177*1.4+产出预期!$AC193*60)/OFFSET($J$14,MATCH(V$3,$T$3:$W$3,0),0),18)</f>
        <v>1.322712</v>
      </c>
      <c r="W177" s="47">
        <f ca="1">MIN(($O177*1.4+产出预期!$AC193*60)/OFFSET($J$14,MATCH(W$3,$T$3:$W$3,0),0),18)</f>
        <v>0.330678</v>
      </c>
      <c r="X177" s="47">
        <f ca="1" t="shared" si="35"/>
        <v>1.4407966</v>
      </c>
      <c r="Y177" s="47">
        <f ca="1" t="shared" si="36"/>
        <v>5.55991731349224</v>
      </c>
      <c r="Z177" s="47">
        <f ca="1" t="shared" si="37"/>
        <v>1.953125</v>
      </c>
      <c r="AA177" s="47">
        <f ca="1" t="shared" si="38"/>
        <v>1.44372536159347</v>
      </c>
      <c r="AB177" s="47">
        <f ca="1" t="shared" si="39"/>
        <v>1.06214423463757</v>
      </c>
      <c r="AC177" s="48">
        <f ca="1" t="shared" si="40"/>
        <v>23.9921478244614</v>
      </c>
      <c r="AD177" s="47">
        <f t="shared" si="33"/>
        <v>4738.5</v>
      </c>
      <c r="AE177" s="47">
        <f t="shared" si="41"/>
        <v>1184.625</v>
      </c>
      <c r="AF177" s="47">
        <f t="shared" si="42"/>
        <v>296.15625</v>
      </c>
      <c r="AG177" s="47">
        <f t="shared" si="43"/>
        <v>74.0390625</v>
      </c>
      <c r="AH177" s="47">
        <f t="shared" si="44"/>
        <v>18.509765625</v>
      </c>
      <c r="AI177" s="47">
        <f t="shared" si="45"/>
        <v>4.62744140625</v>
      </c>
      <c r="AJ177">
        <f ca="1">MIN(INT(SUM(AD177:$AI177)/OFFSET($AV$2,MATCH(AD$3,$AE$3:$AI$3,0),0)),6-SUM(AK177:$AO177))</f>
        <v>0</v>
      </c>
      <c r="AK177">
        <f ca="1">MIN(INT(SUM(AE177:$AI177)/OFFSET($AV$2,MATCH(AE$3,$AE$3:$AI$3,0),0)),6-SUM(AL177:$AO177))</f>
        <v>0</v>
      </c>
      <c r="AL177">
        <f ca="1">MIN(INT(SUM(AF177:$AI177)/OFFSET($AV$2,MATCH(AF$3,$AE$3:$AI$3,0),0)),6-SUM(AM177:$AO177))</f>
        <v>0</v>
      </c>
      <c r="AM177">
        <f ca="1">MIN(INT((SUM(AG177:$AI177)+N177*2/6)/OFFSET($AV$2,MATCH(AG$3,$AE$3:$AI$3,0),0)),6-SUM(AN177:$AO177))</f>
        <v>1</v>
      </c>
      <c r="AN177">
        <f ca="1">MIN(INT(SUM(AH177:$AI177)/OFFSET($AV$2,MATCH(AH$3,$AE$3:$AI$3,0),0)),6-SUM(AO177:$AO177))</f>
        <v>4</v>
      </c>
      <c r="AO177">
        <f ca="1">INT(SUM(AI176:$AI177)/OFFSET($AV$2,MATCH(AI$3,$AE$3:$AI$3,0),0))</f>
        <v>1</v>
      </c>
      <c r="AP177" cm="1">
        <f ca="1" t="array" ref="AP177">SUMPRODUCT(AJ177:AO177,TRANSPOSE($AS$3:$AS$8))</f>
        <v>2.42</v>
      </c>
    </row>
    <row r="178" ht="16.5" spans="14:42">
      <c r="N178" s="2">
        <v>175</v>
      </c>
      <c r="O178" s="45">
        <f>产出预期!AN194</f>
        <v>19062</v>
      </c>
      <c r="P178" s="2">
        <f ca="1">练度预期!M177</f>
        <v>30</v>
      </c>
      <c r="Q178" s="2" t="str">
        <f ca="1" t="shared" si="46"/>
        <v>橙</v>
      </c>
      <c r="R178" s="46">
        <f ca="1" t="shared" si="47"/>
        <v>0</v>
      </c>
      <c r="S178" s="47">
        <f ca="1" t="shared" si="34"/>
        <v>7.33833</v>
      </c>
      <c r="T178" s="47">
        <f ca="1">MIN(1+($O178*1.4+产出预期!AC194*60)/OFFSET($J$14,MATCH(T$3,$T$3:$W$3,0),0),18)</f>
        <v>18</v>
      </c>
      <c r="U178" s="47">
        <f ca="1">MIN(($O178*1.4+产出预期!$AC194*60)/OFFSET($J$14,MATCH(U$3,$T$3:$W$3,0),0),3)</f>
        <v>3</v>
      </c>
      <c r="V178" s="47">
        <f ca="1">MIN(($O178*1.4+产出预期!$AC194*60)/OFFSET($J$14,MATCH(V$3,$T$3:$W$3,0),0),18)</f>
        <v>1.329336</v>
      </c>
      <c r="W178" s="47">
        <f ca="1">MIN(($O178*1.4+产出预期!$AC194*60)/OFFSET($J$14,MATCH(W$3,$T$3:$W$3,0),0),18)</f>
        <v>0.332334</v>
      </c>
      <c r="X178" s="47">
        <f ca="1" t="shared" si="35"/>
        <v>1.4402998</v>
      </c>
      <c r="Y178" s="47">
        <f ca="1" t="shared" si="36"/>
        <v>5.55991731349224</v>
      </c>
      <c r="Z178" s="47">
        <f ca="1" t="shared" si="37"/>
        <v>1.953125</v>
      </c>
      <c r="AA178" s="47">
        <f ca="1" t="shared" si="38"/>
        <v>1.44638286249887</v>
      </c>
      <c r="AB178" s="47">
        <f ca="1" t="shared" si="39"/>
        <v>1.06246497041903</v>
      </c>
      <c r="AC178" s="48">
        <f ca="1" t="shared" si="40"/>
        <v>24.0352785647556</v>
      </c>
      <c r="AD178" s="47">
        <f t="shared" si="33"/>
        <v>4765.5</v>
      </c>
      <c r="AE178" s="47">
        <f t="shared" si="41"/>
        <v>1191.375</v>
      </c>
      <c r="AF178" s="47">
        <f t="shared" si="42"/>
        <v>297.84375</v>
      </c>
      <c r="AG178" s="47">
        <f t="shared" si="43"/>
        <v>74.4609375</v>
      </c>
      <c r="AH178" s="47">
        <f t="shared" si="44"/>
        <v>18.615234375</v>
      </c>
      <c r="AI178" s="47">
        <f t="shared" si="45"/>
        <v>4.65380859375</v>
      </c>
      <c r="AJ178">
        <f ca="1">MIN(INT(SUM(AD178:$AI178)/OFFSET($AV$2,MATCH(AD$3,$AE$3:$AI$3,0),0)),6-SUM(AK178:$AO178))</f>
        <v>0</v>
      </c>
      <c r="AK178">
        <f ca="1">MIN(INT(SUM(AE178:$AI178)/OFFSET($AV$2,MATCH(AE$3,$AE$3:$AI$3,0),0)),6-SUM(AL178:$AO178))</f>
        <v>0</v>
      </c>
      <c r="AL178">
        <f ca="1">MIN(INT(SUM(AF178:$AI178)/OFFSET($AV$2,MATCH(AF$3,$AE$3:$AI$3,0),0)),6-SUM(AM178:$AO178))</f>
        <v>0</v>
      </c>
      <c r="AM178">
        <f ca="1">MIN(INT((SUM(AG178:$AI178)+N178*2/6)/OFFSET($AV$2,MATCH(AG$3,$AE$3:$AI$3,0),0)),6-SUM(AN178:$AO178))</f>
        <v>1</v>
      </c>
      <c r="AN178">
        <f ca="1">MIN(INT(SUM(AH178:$AI178)/OFFSET($AV$2,MATCH(AH$3,$AE$3:$AI$3,0),0)),6-SUM(AO178:$AO178))</f>
        <v>4</v>
      </c>
      <c r="AO178">
        <f ca="1">INT(SUM(AI177:$AI178)/OFFSET($AV$2,MATCH(AI$3,$AE$3:$AI$3,0),0))</f>
        <v>1</v>
      </c>
      <c r="AP178" cm="1">
        <f ca="1" t="array" ref="AP178">SUMPRODUCT(AJ178:AO178,TRANSPOSE($AS$3:$AS$8))</f>
        <v>2.42</v>
      </c>
    </row>
    <row r="179" ht="16.5" spans="14:42">
      <c r="N179" s="2">
        <v>176</v>
      </c>
      <c r="O179" s="45">
        <f>产出预期!AN195</f>
        <v>19175</v>
      </c>
      <c r="P179" s="2">
        <f ca="1">练度预期!M178</f>
        <v>30</v>
      </c>
      <c r="Q179" s="2" t="str">
        <f ca="1" t="shared" si="46"/>
        <v>橙</v>
      </c>
      <c r="R179" s="46">
        <f ca="1" t="shared" si="47"/>
        <v>0</v>
      </c>
      <c r="S179" s="47">
        <f ca="1" t="shared" si="34"/>
        <v>7.328375</v>
      </c>
      <c r="T179" s="47">
        <f ca="1">MIN(1+($O179*1.4+产出预期!AC195*60)/OFFSET($J$14,MATCH(T$3,$T$3:$W$3,0),0),18)</f>
        <v>18</v>
      </c>
      <c r="U179" s="47">
        <f ca="1">MIN(($O179*1.4+产出预期!$AC195*60)/OFFSET($J$14,MATCH(U$3,$T$3:$W$3,0),0),3)</f>
        <v>3</v>
      </c>
      <c r="V179" s="47">
        <f ca="1">MIN(($O179*1.4+产出预期!$AC195*60)/OFFSET($J$14,MATCH(V$3,$T$3:$W$3,0),0),18)</f>
        <v>1.3373</v>
      </c>
      <c r="W179" s="47">
        <f ca="1">MIN(($O179*1.4+产出预期!$AC195*60)/OFFSET($J$14,MATCH(W$3,$T$3:$W$3,0),0),18)</f>
        <v>0.334325</v>
      </c>
      <c r="X179" s="47">
        <f ca="1" t="shared" si="35"/>
        <v>1.4397025</v>
      </c>
      <c r="Y179" s="47">
        <f ca="1" t="shared" si="36"/>
        <v>5.55991731349224</v>
      </c>
      <c r="Z179" s="47">
        <f ca="1" t="shared" si="37"/>
        <v>1.953125</v>
      </c>
      <c r="AA179" s="47">
        <f ca="1" t="shared" si="38"/>
        <v>1.44958443869464</v>
      </c>
      <c r="AB179" s="47">
        <f ca="1" t="shared" si="39"/>
        <v>1.06285071757082</v>
      </c>
      <c r="AC179" s="48">
        <f ca="1" t="shared" si="40"/>
        <v>24.0872332933447</v>
      </c>
      <c r="AD179" s="47">
        <f t="shared" si="33"/>
        <v>4793.75</v>
      </c>
      <c r="AE179" s="47">
        <f t="shared" si="41"/>
        <v>1198.4375</v>
      </c>
      <c r="AF179" s="47">
        <f t="shared" si="42"/>
        <v>299.609375</v>
      </c>
      <c r="AG179" s="47">
        <f t="shared" si="43"/>
        <v>74.90234375</v>
      </c>
      <c r="AH179" s="47">
        <f t="shared" si="44"/>
        <v>18.7255859375</v>
      </c>
      <c r="AI179" s="47">
        <f t="shared" si="45"/>
        <v>4.681396484375</v>
      </c>
      <c r="AJ179">
        <f ca="1">MIN(INT(SUM(AD179:$AI179)/OFFSET($AV$2,MATCH(AD$3,$AE$3:$AI$3,0),0)),6-SUM(AK179:$AO179))</f>
        <v>0</v>
      </c>
      <c r="AK179">
        <f ca="1">MIN(INT(SUM(AE179:$AI179)/OFFSET($AV$2,MATCH(AE$3,$AE$3:$AI$3,0),0)),6-SUM(AL179:$AO179))</f>
        <v>0</v>
      </c>
      <c r="AL179">
        <f ca="1">MIN(INT(SUM(AF179:$AI179)/OFFSET($AV$2,MATCH(AF$3,$AE$3:$AI$3,0),0)),6-SUM(AM179:$AO179))</f>
        <v>0</v>
      </c>
      <c r="AM179">
        <f ca="1">MIN(INT((SUM(AG179:$AI179)+N179*2/6)/OFFSET($AV$2,MATCH(AG$3,$AE$3:$AI$3,0),0)),6-SUM(AN179:$AO179))</f>
        <v>1</v>
      </c>
      <c r="AN179">
        <f ca="1">MIN(INT(SUM(AH179:$AI179)/OFFSET($AV$2,MATCH(AH$3,$AE$3:$AI$3,0),0)),6-SUM(AO179:$AO179))</f>
        <v>4</v>
      </c>
      <c r="AO179">
        <f ca="1">INT(SUM(AI178:$AI179)/OFFSET($AV$2,MATCH(AI$3,$AE$3:$AI$3,0),0))</f>
        <v>1</v>
      </c>
      <c r="AP179" cm="1">
        <f ca="1" t="array" ref="AP179">SUMPRODUCT(AJ179:AO179,TRANSPOSE($AS$3:$AS$8))</f>
        <v>2.42</v>
      </c>
    </row>
    <row r="180" ht="16.5" spans="14:42">
      <c r="N180" s="2">
        <v>177</v>
      </c>
      <c r="O180" s="45">
        <f>产出预期!AN196</f>
        <v>19255</v>
      </c>
      <c r="P180" s="2">
        <f ca="1">练度预期!M179</f>
        <v>30</v>
      </c>
      <c r="Q180" s="2" t="str">
        <f ca="1" t="shared" si="46"/>
        <v>橙</v>
      </c>
      <c r="R180" s="46">
        <f ca="1" t="shared" si="47"/>
        <v>0</v>
      </c>
      <c r="S180" s="47">
        <f ca="1" t="shared" si="34"/>
        <v>7.321075</v>
      </c>
      <c r="T180" s="47">
        <f ca="1">MIN(1+($O180*1.4+产出预期!AC196*60)/OFFSET($J$14,MATCH(T$3,$T$3:$W$3,0),0),18)</f>
        <v>18</v>
      </c>
      <c r="U180" s="47">
        <f ca="1">MIN(($O180*1.4+产出预期!$AC196*60)/OFFSET($J$14,MATCH(U$3,$T$3:$W$3,0),0),3)</f>
        <v>3</v>
      </c>
      <c r="V180" s="47">
        <f ca="1">MIN(($O180*1.4+产出预期!$AC196*60)/OFFSET($J$14,MATCH(V$3,$T$3:$W$3,0),0),18)</f>
        <v>1.34314</v>
      </c>
      <c r="W180" s="47">
        <f ca="1">MIN(($O180*1.4+产出预期!$AC196*60)/OFFSET($J$14,MATCH(W$3,$T$3:$W$3,0),0),18)</f>
        <v>0.335785</v>
      </c>
      <c r="X180" s="47">
        <f ca="1" t="shared" si="35"/>
        <v>1.4392645</v>
      </c>
      <c r="Y180" s="47">
        <f ca="1" t="shared" si="36"/>
        <v>5.55991731349224</v>
      </c>
      <c r="Z180" s="47">
        <f ca="1" t="shared" si="37"/>
        <v>1.953125</v>
      </c>
      <c r="AA180" s="47">
        <f ca="1" t="shared" si="38"/>
        <v>1.4519366568537</v>
      </c>
      <c r="AB180" s="47">
        <f ca="1" t="shared" si="39"/>
        <v>1.06313367490158</v>
      </c>
      <c r="AC180" s="48">
        <f ca="1" t="shared" si="40"/>
        <v>24.1254004072219</v>
      </c>
      <c r="AD180" s="47">
        <f t="shared" si="33"/>
        <v>4813.75</v>
      </c>
      <c r="AE180" s="47">
        <f t="shared" si="41"/>
        <v>1203.4375</v>
      </c>
      <c r="AF180" s="47">
        <f t="shared" si="42"/>
        <v>300.859375</v>
      </c>
      <c r="AG180" s="47">
        <f t="shared" si="43"/>
        <v>75.21484375</v>
      </c>
      <c r="AH180" s="47">
        <f t="shared" si="44"/>
        <v>18.8037109375</v>
      </c>
      <c r="AI180" s="47">
        <f t="shared" si="45"/>
        <v>4.700927734375</v>
      </c>
      <c r="AJ180">
        <f ca="1">MIN(INT(SUM(AD180:$AI180)/OFFSET($AV$2,MATCH(AD$3,$AE$3:$AI$3,0),0)),6-SUM(AK180:$AO180))</f>
        <v>0</v>
      </c>
      <c r="AK180">
        <f ca="1">MIN(INT(SUM(AE180:$AI180)/OFFSET($AV$2,MATCH(AE$3,$AE$3:$AI$3,0),0)),6-SUM(AL180:$AO180))</f>
        <v>0</v>
      </c>
      <c r="AL180">
        <f ca="1">MIN(INT(SUM(AF180:$AI180)/OFFSET($AV$2,MATCH(AF$3,$AE$3:$AI$3,0),0)),6-SUM(AM180:$AO180))</f>
        <v>0</v>
      </c>
      <c r="AM180">
        <f ca="1">MIN(INT((SUM(AG180:$AI180)+N180*2/6)/OFFSET($AV$2,MATCH(AG$3,$AE$3:$AI$3,0),0)),6-SUM(AN180:$AO180))</f>
        <v>1</v>
      </c>
      <c r="AN180">
        <f ca="1">MIN(INT(SUM(AH180:$AI180)/OFFSET($AV$2,MATCH(AH$3,$AE$3:$AI$3,0),0)),6-SUM(AO180:$AO180))</f>
        <v>4</v>
      </c>
      <c r="AO180">
        <f ca="1">INT(SUM(AI179:$AI180)/OFFSET($AV$2,MATCH(AI$3,$AE$3:$AI$3,0),0))</f>
        <v>1</v>
      </c>
      <c r="AP180" cm="1">
        <f ca="1" t="array" ref="AP180">SUMPRODUCT(AJ180:AO180,TRANSPOSE($AS$3:$AS$8))</f>
        <v>2.42</v>
      </c>
    </row>
    <row r="181" ht="16.5" spans="14:42">
      <c r="N181" s="2">
        <v>178</v>
      </c>
      <c r="O181" s="45">
        <f>产出预期!AN197</f>
        <v>19368</v>
      </c>
      <c r="P181" s="2">
        <f ca="1">练度预期!M180</f>
        <v>30</v>
      </c>
      <c r="Q181" s="2" t="str">
        <f ca="1" t="shared" si="46"/>
        <v>橙</v>
      </c>
      <c r="R181" s="46">
        <f ca="1" t="shared" si="47"/>
        <v>0</v>
      </c>
      <c r="S181" s="47">
        <f ca="1" t="shared" si="34"/>
        <v>7.31112</v>
      </c>
      <c r="T181" s="47">
        <f ca="1">MIN(1+($O181*1.4+产出预期!AC197*60)/OFFSET($J$14,MATCH(T$3,$T$3:$W$3,0),0),18)</f>
        <v>18</v>
      </c>
      <c r="U181" s="47">
        <f ca="1">MIN(($O181*1.4+产出预期!$AC197*60)/OFFSET($J$14,MATCH(U$3,$T$3:$W$3,0),0),3)</f>
        <v>3</v>
      </c>
      <c r="V181" s="47">
        <f ca="1">MIN(($O181*1.4+产出预期!$AC197*60)/OFFSET($J$14,MATCH(V$3,$T$3:$W$3,0),0),18)</f>
        <v>1.351104</v>
      </c>
      <c r="W181" s="47">
        <f ca="1">MIN(($O181*1.4+产出预期!$AC197*60)/OFFSET($J$14,MATCH(W$3,$T$3:$W$3,0),0),18)</f>
        <v>0.337776</v>
      </c>
      <c r="X181" s="47">
        <f ca="1" t="shared" si="35"/>
        <v>1.4386672</v>
      </c>
      <c r="Y181" s="47">
        <f ca="1" t="shared" si="36"/>
        <v>5.55991731349224</v>
      </c>
      <c r="Z181" s="47">
        <f ca="1" t="shared" si="37"/>
        <v>1.953125</v>
      </c>
      <c r="AA181" s="47">
        <f ca="1" t="shared" si="38"/>
        <v>1.45515052640296</v>
      </c>
      <c r="AB181" s="47">
        <f ca="1" t="shared" si="39"/>
        <v>1.06351966483864</v>
      </c>
      <c r="AC181" s="48">
        <f ca="1" t="shared" si="40"/>
        <v>24.1775427280957</v>
      </c>
      <c r="AD181" s="47">
        <f t="shared" si="33"/>
        <v>4842</v>
      </c>
      <c r="AE181" s="47">
        <f t="shared" si="41"/>
        <v>1210.5</v>
      </c>
      <c r="AF181" s="47">
        <f t="shared" si="42"/>
        <v>302.625</v>
      </c>
      <c r="AG181" s="47">
        <f t="shared" si="43"/>
        <v>75.65625</v>
      </c>
      <c r="AH181" s="47">
        <f t="shared" si="44"/>
        <v>18.9140625</v>
      </c>
      <c r="AI181" s="47">
        <f t="shared" si="45"/>
        <v>4.728515625</v>
      </c>
      <c r="AJ181">
        <f ca="1">MIN(INT(SUM(AD181:$AI181)/OFFSET($AV$2,MATCH(AD$3,$AE$3:$AI$3,0),0)),6-SUM(AK181:$AO181))</f>
        <v>0</v>
      </c>
      <c r="AK181">
        <f ca="1">MIN(INT(SUM(AE181:$AI181)/OFFSET($AV$2,MATCH(AE$3,$AE$3:$AI$3,0),0)),6-SUM(AL181:$AO181))</f>
        <v>0</v>
      </c>
      <c r="AL181">
        <f ca="1">MIN(INT(SUM(AF181:$AI181)/OFFSET($AV$2,MATCH(AF$3,$AE$3:$AI$3,0),0)),6-SUM(AM181:$AO181))</f>
        <v>0</v>
      </c>
      <c r="AM181">
        <f ca="1">MIN(INT((SUM(AG181:$AI181)+N181*2/6)/OFFSET($AV$2,MATCH(AG$3,$AE$3:$AI$3,0),0)),6-SUM(AN181:$AO181))</f>
        <v>1</v>
      </c>
      <c r="AN181">
        <f ca="1">MIN(INT(SUM(AH181:$AI181)/OFFSET($AV$2,MATCH(AH$3,$AE$3:$AI$3,0),0)),6-SUM(AO181:$AO181))</f>
        <v>4</v>
      </c>
      <c r="AO181">
        <f ca="1">INT(SUM(AI180:$AI181)/OFFSET($AV$2,MATCH(AI$3,$AE$3:$AI$3,0),0))</f>
        <v>1</v>
      </c>
      <c r="AP181" cm="1">
        <f ca="1" t="array" ref="AP181">SUMPRODUCT(AJ181:AO181,TRANSPOSE($AS$3:$AS$8))</f>
        <v>2.42</v>
      </c>
    </row>
    <row r="182" ht="16.5" spans="14:42">
      <c r="N182" s="2">
        <v>179</v>
      </c>
      <c r="O182" s="45">
        <f>产出预期!AN198</f>
        <v>19476</v>
      </c>
      <c r="P182" s="2">
        <f ca="1">练度预期!M181</f>
        <v>30</v>
      </c>
      <c r="Q182" s="2" t="str">
        <f ca="1" t="shared" si="46"/>
        <v>橙</v>
      </c>
      <c r="R182" s="46">
        <f ca="1" t="shared" si="47"/>
        <v>0</v>
      </c>
      <c r="S182" s="47">
        <f ca="1" t="shared" si="34"/>
        <v>7.30284</v>
      </c>
      <c r="T182" s="47">
        <f ca="1">MIN(1+($O182*1.4+产出预期!AC198*60)/OFFSET($J$14,MATCH(T$3,$T$3:$W$3,0),0),18)</f>
        <v>18</v>
      </c>
      <c r="U182" s="47">
        <f ca="1">MIN(($O182*1.4+产出预期!$AC198*60)/OFFSET($J$14,MATCH(U$3,$T$3:$W$3,0),0),3)</f>
        <v>3</v>
      </c>
      <c r="V182" s="47">
        <f ca="1">MIN(($O182*1.4+产出预期!$AC198*60)/OFFSET($J$14,MATCH(V$3,$T$3:$W$3,0),0),18)</f>
        <v>1.357728</v>
      </c>
      <c r="W182" s="47">
        <f ca="1">MIN(($O182*1.4+产出预期!$AC198*60)/OFFSET($J$14,MATCH(W$3,$T$3:$W$3,0),0),18)</f>
        <v>0.339432</v>
      </c>
      <c r="X182" s="47">
        <f ca="1" t="shared" si="35"/>
        <v>1.4381704</v>
      </c>
      <c r="Y182" s="47">
        <f ca="1" t="shared" si="36"/>
        <v>5.55991731349224</v>
      </c>
      <c r="Z182" s="47">
        <f ca="1" t="shared" si="37"/>
        <v>1.953125</v>
      </c>
      <c r="AA182" s="47">
        <f ca="1" t="shared" si="38"/>
        <v>1.45782905789121</v>
      </c>
      <c r="AB182" s="47">
        <f ca="1" t="shared" si="39"/>
        <v>1.06384081595887</v>
      </c>
      <c r="AC182" s="48">
        <f ca="1" t="shared" si="40"/>
        <v>24.2209943875683</v>
      </c>
      <c r="AD182" s="47">
        <f t="shared" si="33"/>
        <v>4869</v>
      </c>
      <c r="AE182" s="47">
        <f t="shared" si="41"/>
        <v>1217.25</v>
      </c>
      <c r="AF182" s="47">
        <f t="shared" si="42"/>
        <v>304.3125</v>
      </c>
      <c r="AG182" s="47">
        <f t="shared" si="43"/>
        <v>76.078125</v>
      </c>
      <c r="AH182" s="47">
        <f t="shared" si="44"/>
        <v>19.01953125</v>
      </c>
      <c r="AI182" s="47">
        <f t="shared" si="45"/>
        <v>4.7548828125</v>
      </c>
      <c r="AJ182">
        <f ca="1">MIN(INT(SUM(AD182:$AI182)/OFFSET($AV$2,MATCH(AD$3,$AE$3:$AI$3,0),0)),6-SUM(AK182:$AO182))</f>
        <v>0</v>
      </c>
      <c r="AK182">
        <f ca="1">MIN(INT(SUM(AE182:$AI182)/OFFSET($AV$2,MATCH(AE$3,$AE$3:$AI$3,0),0)),6-SUM(AL182:$AO182))</f>
        <v>0</v>
      </c>
      <c r="AL182">
        <f ca="1">MIN(INT(SUM(AF182:$AI182)/OFFSET($AV$2,MATCH(AF$3,$AE$3:$AI$3,0),0)),6-SUM(AM182:$AO182))</f>
        <v>0</v>
      </c>
      <c r="AM182">
        <f ca="1">MIN(INT((SUM(AG182:$AI182)+N182*2/6)/OFFSET($AV$2,MATCH(AG$3,$AE$3:$AI$3,0),0)),6-SUM(AN182:$AO182))</f>
        <v>1</v>
      </c>
      <c r="AN182">
        <f ca="1">MIN(INT(SUM(AH182:$AI182)/OFFSET($AV$2,MATCH(AH$3,$AE$3:$AI$3,0),0)),6-SUM(AO182:$AO182))</f>
        <v>4</v>
      </c>
      <c r="AO182">
        <f ca="1">INT(SUM(AI181:$AI182)/OFFSET($AV$2,MATCH(AI$3,$AE$3:$AI$3,0),0))</f>
        <v>1</v>
      </c>
      <c r="AP182" cm="1">
        <f ca="1" t="array" ref="AP182">SUMPRODUCT(AJ182:AO182,TRANSPOSE($AS$3:$AS$8))</f>
        <v>2.42</v>
      </c>
    </row>
    <row r="183" ht="16.5" spans="14:42">
      <c r="N183" s="2">
        <v>180</v>
      </c>
      <c r="O183" s="45">
        <f>产出预期!AN199</f>
        <v>19584</v>
      </c>
      <c r="P183" s="2">
        <f ca="1">练度预期!M182</f>
        <v>30</v>
      </c>
      <c r="Q183" s="2" t="str">
        <f ca="1" t="shared" si="46"/>
        <v>橙</v>
      </c>
      <c r="R183" s="46">
        <f ca="1" t="shared" si="47"/>
        <v>0</v>
      </c>
      <c r="S183" s="47">
        <f ca="1" t="shared" si="34"/>
        <v>7.29306</v>
      </c>
      <c r="T183" s="47">
        <f ca="1">MIN(1+($O183*1.4+产出预期!AC199*60)/OFFSET($J$14,MATCH(T$3,$T$3:$W$3,0),0),18)</f>
        <v>18</v>
      </c>
      <c r="U183" s="47">
        <f ca="1">MIN(($O183*1.4+产出预期!$AC199*60)/OFFSET($J$14,MATCH(U$3,$T$3:$W$3,0),0),3)</f>
        <v>3</v>
      </c>
      <c r="V183" s="47">
        <f ca="1">MIN(($O183*1.4+产出预期!$AC199*60)/OFFSET($J$14,MATCH(V$3,$T$3:$W$3,0),0),18)</f>
        <v>1.365552</v>
      </c>
      <c r="W183" s="47">
        <f ca="1">MIN(($O183*1.4+产出预期!$AC199*60)/OFFSET($J$14,MATCH(W$3,$T$3:$W$3,0),0),18)</f>
        <v>0.341388</v>
      </c>
      <c r="X183" s="47">
        <f ca="1" t="shared" si="35"/>
        <v>1.4375836</v>
      </c>
      <c r="Y183" s="47">
        <f ca="1" t="shared" si="36"/>
        <v>5.55991731349224</v>
      </c>
      <c r="Z183" s="47">
        <f ca="1" t="shared" si="37"/>
        <v>1.953125</v>
      </c>
      <c r="AA183" s="47">
        <f ca="1" t="shared" si="38"/>
        <v>1.4609991824344</v>
      </c>
      <c r="AB183" s="47">
        <f ca="1" t="shared" si="39"/>
        <v>1.06422027155424</v>
      </c>
      <c r="AC183" s="48">
        <f ca="1" t="shared" si="40"/>
        <v>24.272414596981</v>
      </c>
      <c r="AD183" s="47">
        <f t="shared" si="33"/>
        <v>4896</v>
      </c>
      <c r="AE183" s="47">
        <f t="shared" si="41"/>
        <v>1224</v>
      </c>
      <c r="AF183" s="47">
        <f t="shared" si="42"/>
        <v>306</v>
      </c>
      <c r="AG183" s="47">
        <f t="shared" si="43"/>
        <v>76.5</v>
      </c>
      <c r="AH183" s="47">
        <f t="shared" si="44"/>
        <v>19.125</v>
      </c>
      <c r="AI183" s="47">
        <f t="shared" si="45"/>
        <v>4.78125</v>
      </c>
      <c r="AJ183">
        <f ca="1">MIN(INT(SUM(AD183:$AI183)/OFFSET($AV$2,MATCH(AD$3,$AE$3:$AI$3,0),0)),6-SUM(AK183:$AO183))</f>
        <v>0</v>
      </c>
      <c r="AK183">
        <f ca="1">MIN(INT(SUM(AE183:$AI183)/OFFSET($AV$2,MATCH(AE$3,$AE$3:$AI$3,0),0)),6-SUM(AL183:$AO183))</f>
        <v>0</v>
      </c>
      <c r="AL183">
        <f ca="1">MIN(INT(SUM(AF183:$AI183)/OFFSET($AV$2,MATCH(AF$3,$AE$3:$AI$3,0),0)),6-SUM(AM183:$AO183))</f>
        <v>0</v>
      </c>
      <c r="AM183">
        <f ca="1">MIN(INT((SUM(AG183:$AI183)+N183*2/6)/OFFSET($AV$2,MATCH(AG$3,$AE$3:$AI$3,0),0)),6-SUM(AN183:$AO183))</f>
        <v>1</v>
      </c>
      <c r="AN183">
        <f ca="1">MIN(INT(SUM(AH183:$AI183)/OFFSET($AV$2,MATCH(AH$3,$AE$3:$AI$3,0),0)),6-SUM(AO183:$AO183))</f>
        <v>4</v>
      </c>
      <c r="AO183">
        <f ca="1">INT(SUM(AI182:$AI183)/OFFSET($AV$2,MATCH(AI$3,$AE$3:$AI$3,0),0))</f>
        <v>1</v>
      </c>
      <c r="AP183" cm="1">
        <f ca="1" t="array" ref="AP183">SUMPRODUCT(AJ183:AO183,TRANSPOSE($AS$3:$AS$8))</f>
        <v>2.42</v>
      </c>
    </row>
    <row r="184" ht="16.5" spans="14:42">
      <c r="N184" s="2">
        <v>181</v>
      </c>
      <c r="O184" s="45">
        <f>产出预期!AN200</f>
        <v>19697</v>
      </c>
      <c r="P184" s="2">
        <f ca="1">练度预期!M183</f>
        <v>30</v>
      </c>
      <c r="Q184" s="2" t="str">
        <f ca="1" t="shared" si="46"/>
        <v>橙</v>
      </c>
      <c r="R184" s="46">
        <f ca="1" t="shared" si="47"/>
        <v>0</v>
      </c>
      <c r="S184" s="47">
        <f ca="1" t="shared" si="34"/>
        <v>7.284605</v>
      </c>
      <c r="T184" s="47">
        <f ca="1">MIN(1+($O184*1.4+产出预期!AC200*60)/OFFSET($J$14,MATCH(T$3,$T$3:$W$3,0),0),18)</f>
        <v>18</v>
      </c>
      <c r="U184" s="47">
        <f ca="1">MIN(($O184*1.4+产出预期!$AC200*60)/OFFSET($J$14,MATCH(U$3,$T$3:$W$3,0),0),3)</f>
        <v>3</v>
      </c>
      <c r="V184" s="47">
        <f ca="1">MIN(($O184*1.4+产出预期!$AC200*60)/OFFSET($J$14,MATCH(V$3,$T$3:$W$3,0),0),18)</f>
        <v>1.372316</v>
      </c>
      <c r="W184" s="47">
        <f ca="1">MIN(($O184*1.4+产出预期!$AC200*60)/OFFSET($J$14,MATCH(W$3,$T$3:$W$3,0),0),18)</f>
        <v>0.343079</v>
      </c>
      <c r="X184" s="47">
        <f ca="1" t="shared" si="35"/>
        <v>1.4370763</v>
      </c>
      <c r="Y184" s="47">
        <f ca="1" t="shared" si="36"/>
        <v>5.55991731349224</v>
      </c>
      <c r="Z184" s="47">
        <f ca="1" t="shared" si="37"/>
        <v>1.953125</v>
      </c>
      <c r="AA184" s="47">
        <f ca="1" t="shared" si="38"/>
        <v>1.46374537208623</v>
      </c>
      <c r="AB184" s="47">
        <f ca="1" t="shared" si="39"/>
        <v>1.0645484273695</v>
      </c>
      <c r="AC184" s="48">
        <f ca="1" t="shared" si="40"/>
        <v>24.316953073976</v>
      </c>
      <c r="AD184" s="47">
        <f t="shared" si="33"/>
        <v>4924.25</v>
      </c>
      <c r="AE184" s="47">
        <f t="shared" si="41"/>
        <v>1231.0625</v>
      </c>
      <c r="AF184" s="47">
        <f t="shared" si="42"/>
        <v>307.765625</v>
      </c>
      <c r="AG184" s="47">
        <f t="shared" si="43"/>
        <v>76.94140625</v>
      </c>
      <c r="AH184" s="47">
        <f t="shared" si="44"/>
        <v>19.2353515625</v>
      </c>
      <c r="AI184" s="47">
        <f t="shared" si="45"/>
        <v>4.808837890625</v>
      </c>
      <c r="AJ184">
        <f ca="1">MIN(INT(SUM(AD184:$AI184)/OFFSET($AV$2,MATCH(AD$3,$AE$3:$AI$3,0),0)),6-SUM(AK184:$AO184))</f>
        <v>0</v>
      </c>
      <c r="AK184">
        <f ca="1">MIN(INT(SUM(AE184:$AI184)/OFFSET($AV$2,MATCH(AE$3,$AE$3:$AI$3,0),0)),6-SUM(AL184:$AO184))</f>
        <v>0</v>
      </c>
      <c r="AL184">
        <f ca="1">MIN(INT(SUM(AF184:$AI184)/OFFSET($AV$2,MATCH(AF$3,$AE$3:$AI$3,0),0)),6-SUM(AM184:$AO184))</f>
        <v>0</v>
      </c>
      <c r="AM184">
        <f ca="1">MIN(INT((SUM(AG184:$AI184)+N184*2/6)/OFFSET($AV$2,MATCH(AG$3,$AE$3:$AI$3,0),0)),6-SUM(AN184:$AO184))</f>
        <v>1</v>
      </c>
      <c r="AN184">
        <f ca="1">MIN(INT(SUM(AH184:$AI184)/OFFSET($AV$2,MATCH(AH$3,$AE$3:$AI$3,0),0)),6-SUM(AO184:$AO184))</f>
        <v>4</v>
      </c>
      <c r="AO184">
        <f ca="1">INT(SUM(AI183:$AI184)/OFFSET($AV$2,MATCH(AI$3,$AE$3:$AI$3,0),0))</f>
        <v>1</v>
      </c>
      <c r="AP184" cm="1">
        <f ca="1" t="array" ref="AP184">SUMPRODUCT(AJ184:AO184,TRANSPOSE($AS$3:$AS$8))</f>
        <v>2.42</v>
      </c>
    </row>
    <row r="185" ht="16.5" spans="14:42">
      <c r="N185" s="2">
        <v>182</v>
      </c>
      <c r="O185" s="45">
        <f>产出预期!AN201</f>
        <v>19805</v>
      </c>
      <c r="P185" s="2">
        <f ca="1">练度预期!M184</f>
        <v>30</v>
      </c>
      <c r="Q185" s="2" t="str">
        <f ca="1" t="shared" si="46"/>
        <v>橙</v>
      </c>
      <c r="R185" s="46">
        <f ca="1" t="shared" si="47"/>
        <v>0</v>
      </c>
      <c r="S185" s="47">
        <f ca="1" t="shared" si="34"/>
        <v>7.274825</v>
      </c>
      <c r="T185" s="47">
        <f ca="1">MIN(1+($O185*1.4+产出预期!AC201*60)/OFFSET($J$14,MATCH(T$3,$T$3:$W$3,0),0),18)</f>
        <v>18</v>
      </c>
      <c r="U185" s="47">
        <f ca="1">MIN(($O185*1.4+产出预期!$AC201*60)/OFFSET($J$14,MATCH(U$3,$T$3:$W$3,0),0),3)</f>
        <v>3</v>
      </c>
      <c r="V185" s="47">
        <f ca="1">MIN(($O185*1.4+产出预期!$AC201*60)/OFFSET($J$14,MATCH(V$3,$T$3:$W$3,0),0),18)</f>
        <v>1.38014</v>
      </c>
      <c r="W185" s="47">
        <f ca="1">MIN(($O185*1.4+产出预期!$AC201*60)/OFFSET($J$14,MATCH(W$3,$T$3:$W$3,0),0),18)</f>
        <v>0.345035</v>
      </c>
      <c r="X185" s="47">
        <f ca="1" t="shared" si="35"/>
        <v>1.4364895</v>
      </c>
      <c r="Y185" s="47">
        <f ca="1" t="shared" si="36"/>
        <v>5.55991731349224</v>
      </c>
      <c r="Z185" s="47">
        <f ca="1" t="shared" si="37"/>
        <v>1.953125</v>
      </c>
      <c r="AA185" s="47">
        <f ca="1" t="shared" si="38"/>
        <v>1.46692836196006</v>
      </c>
      <c r="AB185" s="47">
        <f ca="1" t="shared" si="39"/>
        <v>1.06492813535894</v>
      </c>
      <c r="AC185" s="48">
        <f ca="1" t="shared" si="40"/>
        <v>24.3685694269328</v>
      </c>
      <c r="AD185" s="47">
        <f t="shared" si="33"/>
        <v>4951.25</v>
      </c>
      <c r="AE185" s="47">
        <f t="shared" si="41"/>
        <v>1237.8125</v>
      </c>
      <c r="AF185" s="47">
        <f t="shared" si="42"/>
        <v>309.453125</v>
      </c>
      <c r="AG185" s="47">
        <f t="shared" si="43"/>
        <v>77.36328125</v>
      </c>
      <c r="AH185" s="47">
        <f t="shared" si="44"/>
        <v>19.3408203125</v>
      </c>
      <c r="AI185" s="47">
        <f t="shared" si="45"/>
        <v>4.835205078125</v>
      </c>
      <c r="AJ185">
        <f ca="1">MIN(INT(SUM(AD185:$AI185)/OFFSET($AV$2,MATCH(AD$3,$AE$3:$AI$3,0),0)),6-SUM(AK185:$AO185))</f>
        <v>0</v>
      </c>
      <c r="AK185">
        <f ca="1">MIN(INT(SUM(AE185:$AI185)/OFFSET($AV$2,MATCH(AE$3,$AE$3:$AI$3,0),0)),6-SUM(AL185:$AO185))</f>
        <v>0</v>
      </c>
      <c r="AL185">
        <f ca="1">MIN(INT(SUM(AF185:$AI185)/OFFSET($AV$2,MATCH(AF$3,$AE$3:$AI$3,0),0)),6-SUM(AM185:$AO185))</f>
        <v>0</v>
      </c>
      <c r="AM185">
        <f ca="1">MIN(INT((SUM(AG185:$AI185)+N185*2/6)/OFFSET($AV$2,MATCH(AG$3,$AE$3:$AI$3,0),0)),6-SUM(AN185:$AO185))</f>
        <v>1</v>
      </c>
      <c r="AN185">
        <f ca="1">MIN(INT(SUM(AH185:$AI185)/OFFSET($AV$2,MATCH(AH$3,$AE$3:$AI$3,0),0)),6-SUM(AO185:$AO185))</f>
        <v>4</v>
      </c>
      <c r="AO185">
        <f ca="1">INT(SUM(AI184:$AI185)/OFFSET($AV$2,MATCH(AI$3,$AE$3:$AI$3,0),0))</f>
        <v>1</v>
      </c>
      <c r="AP185" cm="1">
        <f ca="1" t="array" ref="AP185">SUMPRODUCT(AJ185:AO185,TRANSPOSE($AS$3:$AS$8))</f>
        <v>2.42</v>
      </c>
    </row>
    <row r="186" ht="16.5" spans="14:42">
      <c r="N186" s="2">
        <v>183</v>
      </c>
      <c r="O186" s="45">
        <f>产出预期!AN202</f>
        <v>19890</v>
      </c>
      <c r="P186" s="2">
        <f ca="1">练度预期!M185</f>
        <v>30</v>
      </c>
      <c r="Q186" s="2" t="str">
        <f ca="1" t="shared" si="46"/>
        <v>橙</v>
      </c>
      <c r="R186" s="46">
        <f ca="1" t="shared" si="47"/>
        <v>0</v>
      </c>
      <c r="S186" s="47">
        <f ca="1" t="shared" si="34"/>
        <v>7.26735</v>
      </c>
      <c r="T186" s="47">
        <f ca="1">MIN(1+($O186*1.4+产出预期!AC202*60)/OFFSET($J$14,MATCH(T$3,$T$3:$W$3,0),0),18)</f>
        <v>18</v>
      </c>
      <c r="U186" s="47">
        <f ca="1">MIN(($O186*1.4+产出预期!$AC202*60)/OFFSET($J$14,MATCH(U$3,$T$3:$W$3,0),0),3)</f>
        <v>3</v>
      </c>
      <c r="V186" s="47">
        <f ca="1">MIN(($O186*1.4+产出预期!$AC202*60)/OFFSET($J$14,MATCH(V$3,$T$3:$W$3,0),0),18)</f>
        <v>1.38612</v>
      </c>
      <c r="W186" s="47">
        <f ca="1">MIN(($O186*1.4+产出预期!$AC202*60)/OFFSET($J$14,MATCH(W$3,$T$3:$W$3,0),0),18)</f>
        <v>0.34653</v>
      </c>
      <c r="X186" s="47">
        <f ca="1" t="shared" si="35"/>
        <v>1.436041</v>
      </c>
      <c r="Y186" s="47">
        <f ca="1" t="shared" si="36"/>
        <v>5.55991731349224</v>
      </c>
      <c r="Z186" s="47">
        <f ca="1" t="shared" si="37"/>
        <v>1.953125</v>
      </c>
      <c r="AA186" s="47">
        <f ca="1" t="shared" si="38"/>
        <v>1.46936583468654</v>
      </c>
      <c r="AB186" s="47">
        <f ca="1" t="shared" si="39"/>
        <v>1.06521844315834</v>
      </c>
      <c r="AC186" s="48">
        <f ca="1" t="shared" si="40"/>
        <v>24.4080916904353</v>
      </c>
      <c r="AD186" s="47">
        <f t="shared" si="33"/>
        <v>4972.5</v>
      </c>
      <c r="AE186" s="47">
        <f t="shared" si="41"/>
        <v>1243.125</v>
      </c>
      <c r="AF186" s="47">
        <f t="shared" si="42"/>
        <v>310.78125</v>
      </c>
      <c r="AG186" s="47">
        <f t="shared" si="43"/>
        <v>77.6953125</v>
      </c>
      <c r="AH186" s="47">
        <f t="shared" si="44"/>
        <v>19.423828125</v>
      </c>
      <c r="AI186" s="47">
        <f t="shared" si="45"/>
        <v>4.85595703125</v>
      </c>
      <c r="AJ186">
        <f ca="1">MIN(INT(SUM(AD186:$AI186)/OFFSET($AV$2,MATCH(AD$3,$AE$3:$AI$3,0),0)),6-SUM(AK186:$AO186))</f>
        <v>0</v>
      </c>
      <c r="AK186">
        <f ca="1">MIN(INT(SUM(AE186:$AI186)/OFFSET($AV$2,MATCH(AE$3,$AE$3:$AI$3,0),0)),6-SUM(AL186:$AO186))</f>
        <v>0</v>
      </c>
      <c r="AL186">
        <f ca="1">MIN(INT(SUM(AF186:$AI186)/OFFSET($AV$2,MATCH(AF$3,$AE$3:$AI$3,0),0)),6-SUM(AM186:$AO186))</f>
        <v>0</v>
      </c>
      <c r="AM186">
        <f ca="1">MIN(INT((SUM(AG186:$AI186)+N186*2/6)/OFFSET($AV$2,MATCH(AG$3,$AE$3:$AI$3,0),0)),6-SUM(AN186:$AO186))</f>
        <v>1</v>
      </c>
      <c r="AN186">
        <f ca="1">MIN(INT(SUM(AH186:$AI186)/OFFSET($AV$2,MATCH(AH$3,$AE$3:$AI$3,0),0)),6-SUM(AO186:$AO186))</f>
        <v>4</v>
      </c>
      <c r="AO186">
        <f ca="1">INT(SUM(AI185:$AI186)/OFFSET($AV$2,MATCH(AI$3,$AE$3:$AI$3,0),0))</f>
        <v>1</v>
      </c>
      <c r="AP186" cm="1">
        <f ca="1" t="array" ref="AP186">SUMPRODUCT(AJ186:AO186,TRANSPOSE($AS$3:$AS$8))</f>
        <v>2.42</v>
      </c>
    </row>
    <row r="187" ht="16.5" spans="14:42">
      <c r="N187" s="2">
        <v>184</v>
      </c>
      <c r="O187" s="45">
        <f>产出预期!AN203</f>
        <v>19998</v>
      </c>
      <c r="P187" s="2">
        <f ca="1">练度预期!M186</f>
        <v>30</v>
      </c>
      <c r="Q187" s="2" t="str">
        <f ca="1" t="shared" si="46"/>
        <v>橙</v>
      </c>
      <c r="R187" s="46">
        <f ca="1" t="shared" si="47"/>
        <v>0</v>
      </c>
      <c r="S187" s="47">
        <f ca="1" t="shared" si="34"/>
        <v>7.25757</v>
      </c>
      <c r="T187" s="47">
        <f ca="1">MIN(1+($O187*1.4+产出预期!AC203*60)/OFFSET($J$14,MATCH(T$3,$T$3:$W$3,0),0),18)</f>
        <v>18</v>
      </c>
      <c r="U187" s="47">
        <f ca="1">MIN(($O187*1.4+产出预期!$AC203*60)/OFFSET($J$14,MATCH(U$3,$T$3:$W$3,0),0),3)</f>
        <v>3</v>
      </c>
      <c r="V187" s="47">
        <f ca="1">MIN(($O187*1.4+产出预期!$AC203*60)/OFFSET($J$14,MATCH(V$3,$T$3:$W$3,0),0),18)</f>
        <v>1.393944</v>
      </c>
      <c r="W187" s="47">
        <f ca="1">MIN(($O187*1.4+产出预期!$AC203*60)/OFFSET($J$14,MATCH(W$3,$T$3:$W$3,0),0),18)</f>
        <v>0.348486</v>
      </c>
      <c r="X187" s="47">
        <f ca="1" t="shared" si="35"/>
        <v>1.4354542</v>
      </c>
      <c r="Y187" s="47">
        <f ca="1" t="shared" si="36"/>
        <v>5.55991731349224</v>
      </c>
      <c r="Z187" s="47">
        <f ca="1" t="shared" si="37"/>
        <v>1.953125</v>
      </c>
      <c r="AA187" s="47">
        <f ca="1" t="shared" si="38"/>
        <v>1.47256104654644</v>
      </c>
      <c r="AB187" s="47">
        <f ca="1" t="shared" si="39"/>
        <v>1.06559839013207</v>
      </c>
      <c r="AC187" s="48">
        <f ca="1" t="shared" si="40"/>
        <v>24.4598942952037</v>
      </c>
      <c r="AD187" s="47">
        <f t="shared" si="33"/>
        <v>4999.5</v>
      </c>
      <c r="AE187" s="47">
        <f t="shared" si="41"/>
        <v>1249.875</v>
      </c>
      <c r="AF187" s="47">
        <f t="shared" si="42"/>
        <v>312.46875</v>
      </c>
      <c r="AG187" s="47">
        <f t="shared" si="43"/>
        <v>78.1171875</v>
      </c>
      <c r="AH187" s="47">
        <f t="shared" si="44"/>
        <v>19.529296875</v>
      </c>
      <c r="AI187" s="47">
        <f t="shared" si="45"/>
        <v>4.88232421875</v>
      </c>
      <c r="AJ187">
        <f ca="1">MIN(INT(SUM(AD187:$AI187)/OFFSET($AV$2,MATCH(AD$3,$AE$3:$AI$3,0),0)),6-SUM(AK187:$AO187))</f>
        <v>0</v>
      </c>
      <c r="AK187">
        <f ca="1">MIN(INT(SUM(AE187:$AI187)/OFFSET($AV$2,MATCH(AE$3,$AE$3:$AI$3,0),0)),6-SUM(AL187:$AO187))</f>
        <v>0</v>
      </c>
      <c r="AL187">
        <f ca="1">MIN(INT(SUM(AF187:$AI187)/OFFSET($AV$2,MATCH(AF$3,$AE$3:$AI$3,0),0)),6-SUM(AM187:$AO187))</f>
        <v>0</v>
      </c>
      <c r="AM187">
        <f ca="1">MIN(INT((SUM(AG187:$AI187)+N187*2/6)/OFFSET($AV$2,MATCH(AG$3,$AE$3:$AI$3,0),0)),6-SUM(AN187:$AO187))</f>
        <v>1</v>
      </c>
      <c r="AN187">
        <f ca="1">MIN(INT(SUM(AH187:$AI187)/OFFSET($AV$2,MATCH(AH$3,$AE$3:$AI$3,0),0)),6-SUM(AO187:$AO187))</f>
        <v>4</v>
      </c>
      <c r="AO187">
        <f ca="1">INT(SUM(AI186:$AI187)/OFFSET($AV$2,MATCH(AI$3,$AE$3:$AI$3,0),0))</f>
        <v>1</v>
      </c>
      <c r="AP187" cm="1">
        <f ca="1" t="array" ref="AP187">SUMPRODUCT(AJ187:AO187,TRANSPOSE($AS$3:$AS$8))</f>
        <v>2.42</v>
      </c>
    </row>
    <row r="188" ht="16.5" spans="14:42">
      <c r="N188" s="2">
        <v>185</v>
      </c>
      <c r="O188" s="45">
        <f>产出预期!AN204</f>
        <v>20111</v>
      </c>
      <c r="P188" s="2">
        <f ca="1">练度预期!M187</f>
        <v>30</v>
      </c>
      <c r="Q188" s="2" t="str">
        <f ca="1" t="shared" si="46"/>
        <v>橙</v>
      </c>
      <c r="R188" s="46">
        <f ca="1" t="shared" si="47"/>
        <v>0</v>
      </c>
      <c r="S188" s="47">
        <f ca="1" t="shared" si="34"/>
        <v>7.247615</v>
      </c>
      <c r="T188" s="47">
        <f ca="1">MIN(1+($O188*1.4+产出预期!AC204*60)/OFFSET($J$14,MATCH(T$3,$T$3:$W$3,0),0),18)</f>
        <v>18</v>
      </c>
      <c r="U188" s="47">
        <f ca="1">MIN(($O188*1.4+产出预期!$AC204*60)/OFFSET($J$14,MATCH(U$3,$T$3:$W$3,0),0),3)</f>
        <v>3</v>
      </c>
      <c r="V188" s="47">
        <f ca="1">MIN(($O188*1.4+产出预期!$AC204*60)/OFFSET($J$14,MATCH(V$3,$T$3:$W$3,0),0),18)</f>
        <v>1.401908</v>
      </c>
      <c r="W188" s="47">
        <f ca="1">MIN(($O188*1.4+产出预期!$AC204*60)/OFFSET($J$14,MATCH(W$3,$T$3:$W$3,0),0),18)</f>
        <v>0.350477</v>
      </c>
      <c r="X188" s="47">
        <f ca="1" t="shared" si="35"/>
        <v>1.4348569</v>
      </c>
      <c r="Y188" s="47">
        <f ca="1" t="shared" si="36"/>
        <v>5.55991731349224</v>
      </c>
      <c r="Z188" s="47">
        <f ca="1" t="shared" si="37"/>
        <v>1.953125</v>
      </c>
      <c r="AA188" s="47">
        <f ca="1" t="shared" si="38"/>
        <v>1.4758205682925</v>
      </c>
      <c r="AB188" s="47">
        <f ca="1" t="shared" si="39"/>
        <v>1.06598527492863</v>
      </c>
      <c r="AC188" s="48">
        <f ca="1" t="shared" si="40"/>
        <v>24.5127325446762</v>
      </c>
      <c r="AD188" s="47">
        <f t="shared" si="33"/>
        <v>5027.75</v>
      </c>
      <c r="AE188" s="47">
        <f t="shared" si="41"/>
        <v>1256.9375</v>
      </c>
      <c r="AF188" s="47">
        <f t="shared" si="42"/>
        <v>314.234375</v>
      </c>
      <c r="AG188" s="47">
        <f t="shared" si="43"/>
        <v>78.55859375</v>
      </c>
      <c r="AH188" s="47">
        <f t="shared" si="44"/>
        <v>19.6396484375</v>
      </c>
      <c r="AI188" s="47">
        <f t="shared" si="45"/>
        <v>4.909912109375</v>
      </c>
      <c r="AJ188">
        <f ca="1">MIN(INT(SUM(AD188:$AI188)/OFFSET($AV$2,MATCH(AD$3,$AE$3:$AI$3,0),0)),6-SUM(AK188:$AO188))</f>
        <v>0</v>
      </c>
      <c r="AK188">
        <f ca="1">MIN(INT(SUM(AE188:$AI188)/OFFSET($AV$2,MATCH(AE$3,$AE$3:$AI$3,0),0)),6-SUM(AL188:$AO188))</f>
        <v>0</v>
      </c>
      <c r="AL188">
        <f ca="1">MIN(INT(SUM(AF188:$AI188)/OFFSET($AV$2,MATCH(AF$3,$AE$3:$AI$3,0),0)),6-SUM(AM188:$AO188))</f>
        <v>0</v>
      </c>
      <c r="AM188">
        <f ca="1">MIN(INT((SUM(AG188:$AI188)+N188*2/6)/OFFSET($AV$2,MATCH(AG$3,$AE$3:$AI$3,0),0)),6-SUM(AN188:$AO188))</f>
        <v>1</v>
      </c>
      <c r="AN188">
        <f ca="1">MIN(INT(SUM(AH188:$AI188)/OFFSET($AV$2,MATCH(AH$3,$AE$3:$AI$3,0),0)),6-SUM(AO188:$AO188))</f>
        <v>4</v>
      </c>
      <c r="AO188">
        <f ca="1">INT(SUM(AI187:$AI188)/OFFSET($AV$2,MATCH(AI$3,$AE$3:$AI$3,0),0))</f>
        <v>1</v>
      </c>
      <c r="AP188" cm="1">
        <f ca="1" t="array" ref="AP188">SUMPRODUCT(AJ188:AO188,TRANSPOSE($AS$3:$AS$8))</f>
        <v>2.42</v>
      </c>
    </row>
    <row r="189" ht="16.5" spans="14:42">
      <c r="N189" s="2">
        <v>186</v>
      </c>
      <c r="O189" s="45">
        <f>产出预期!AN205</f>
        <v>20224</v>
      </c>
      <c r="P189" s="2">
        <f ca="1">练度预期!M188</f>
        <v>30</v>
      </c>
      <c r="Q189" s="2" t="str">
        <f ca="1" t="shared" si="46"/>
        <v>橙</v>
      </c>
      <c r="R189" s="46">
        <f ca="1" t="shared" si="47"/>
        <v>0</v>
      </c>
      <c r="S189" s="47">
        <f ca="1" t="shared" si="34"/>
        <v>7.23916</v>
      </c>
      <c r="T189" s="47">
        <f ca="1">MIN(1+($O189*1.4+产出预期!AC205*60)/OFFSET($J$14,MATCH(T$3,$T$3:$W$3,0),0),18)</f>
        <v>18</v>
      </c>
      <c r="U189" s="47">
        <f ca="1">MIN(($O189*1.4+产出预期!$AC205*60)/OFFSET($J$14,MATCH(U$3,$T$3:$W$3,0),0),3)</f>
        <v>3</v>
      </c>
      <c r="V189" s="47">
        <f ca="1">MIN(($O189*1.4+产出预期!$AC205*60)/OFFSET($J$14,MATCH(V$3,$T$3:$W$3,0),0),18)</f>
        <v>1.408672</v>
      </c>
      <c r="W189" s="47">
        <f ca="1">MIN(($O189*1.4+产出预期!$AC205*60)/OFFSET($J$14,MATCH(W$3,$T$3:$W$3,0),0),18)</f>
        <v>0.352168</v>
      </c>
      <c r="X189" s="47">
        <f ca="1" t="shared" si="35"/>
        <v>1.4343496</v>
      </c>
      <c r="Y189" s="47">
        <f ca="1" t="shared" si="36"/>
        <v>5.55991731349224</v>
      </c>
      <c r="Z189" s="47">
        <f ca="1" t="shared" si="37"/>
        <v>1.953125</v>
      </c>
      <c r="AA189" s="47">
        <f ca="1" t="shared" si="38"/>
        <v>1.47859461719091</v>
      </c>
      <c r="AB189" s="47">
        <f ca="1" t="shared" si="39"/>
        <v>1.06631397498847</v>
      </c>
      <c r="AC189" s="48">
        <f ca="1" t="shared" si="40"/>
        <v>24.5576955171062</v>
      </c>
      <c r="AD189" s="47">
        <f t="shared" si="33"/>
        <v>5056</v>
      </c>
      <c r="AE189" s="47">
        <f t="shared" si="41"/>
        <v>1264</v>
      </c>
      <c r="AF189" s="47">
        <f t="shared" si="42"/>
        <v>316</v>
      </c>
      <c r="AG189" s="47">
        <f t="shared" si="43"/>
        <v>79</v>
      </c>
      <c r="AH189" s="47">
        <f t="shared" si="44"/>
        <v>19.75</v>
      </c>
      <c r="AI189" s="47">
        <f t="shared" si="45"/>
        <v>4.9375</v>
      </c>
      <c r="AJ189">
        <f ca="1">MIN(INT(SUM(AD189:$AI189)/OFFSET($AV$2,MATCH(AD$3,$AE$3:$AI$3,0),0)),6-SUM(AK189:$AO189))</f>
        <v>0</v>
      </c>
      <c r="AK189">
        <f ca="1">MIN(INT(SUM(AE189:$AI189)/OFFSET($AV$2,MATCH(AE$3,$AE$3:$AI$3,0),0)),6-SUM(AL189:$AO189))</f>
        <v>0</v>
      </c>
      <c r="AL189">
        <f ca="1">MIN(INT(SUM(AF189:$AI189)/OFFSET($AV$2,MATCH(AF$3,$AE$3:$AI$3,0),0)),6-SUM(AM189:$AO189))</f>
        <v>0</v>
      </c>
      <c r="AM189">
        <f ca="1">MIN(INT((SUM(AG189:$AI189)+N189*2/6)/OFFSET($AV$2,MATCH(AG$3,$AE$3:$AI$3,0),0)),6-SUM(AN189:$AO189))</f>
        <v>1</v>
      </c>
      <c r="AN189">
        <f ca="1">MIN(INT(SUM(AH189:$AI189)/OFFSET($AV$2,MATCH(AH$3,$AE$3:$AI$3,0),0)),6-SUM(AO189:$AO189))</f>
        <v>4</v>
      </c>
      <c r="AO189">
        <f ca="1">INT(SUM(AI188:$AI189)/OFFSET($AV$2,MATCH(AI$3,$AE$3:$AI$3,0),0))</f>
        <v>1</v>
      </c>
      <c r="AP189" cm="1">
        <f ca="1" t="array" ref="AP189">SUMPRODUCT(AJ189:AO189,TRANSPOSE($AS$3:$AS$8))</f>
        <v>2.42</v>
      </c>
    </row>
    <row r="190" ht="16.5" spans="14:42">
      <c r="N190" s="2">
        <v>187</v>
      </c>
      <c r="O190" s="45">
        <f>产出预期!AN206</f>
        <v>20332</v>
      </c>
      <c r="P190" s="2">
        <f ca="1">练度预期!M189</f>
        <v>30</v>
      </c>
      <c r="Q190" s="2" t="str">
        <f ca="1" t="shared" si="46"/>
        <v>橙</v>
      </c>
      <c r="R190" s="46">
        <f ca="1" t="shared" si="47"/>
        <v>0</v>
      </c>
      <c r="S190" s="47">
        <f ca="1" t="shared" si="34"/>
        <v>7.22938</v>
      </c>
      <c r="T190" s="47">
        <f ca="1">MIN(1+($O190*1.4+产出预期!AC206*60)/OFFSET($J$14,MATCH(T$3,$T$3:$W$3,0),0),18)</f>
        <v>18</v>
      </c>
      <c r="U190" s="47">
        <f ca="1">MIN(($O190*1.4+产出预期!$AC206*60)/OFFSET($J$14,MATCH(U$3,$T$3:$W$3,0),0),3)</f>
        <v>3</v>
      </c>
      <c r="V190" s="47">
        <f ca="1">MIN(($O190*1.4+产出预期!$AC206*60)/OFFSET($J$14,MATCH(V$3,$T$3:$W$3,0),0),18)</f>
        <v>1.416496</v>
      </c>
      <c r="W190" s="47">
        <f ca="1">MIN(($O190*1.4+产出预期!$AC206*60)/OFFSET($J$14,MATCH(W$3,$T$3:$W$3,0),0),18)</f>
        <v>0.354124</v>
      </c>
      <c r="X190" s="47">
        <f ca="1" t="shared" si="35"/>
        <v>1.4337628</v>
      </c>
      <c r="Y190" s="47">
        <f ca="1" t="shared" si="36"/>
        <v>5.55991731349224</v>
      </c>
      <c r="Z190" s="47">
        <f ca="1" t="shared" si="37"/>
        <v>1.953125</v>
      </c>
      <c r="AA190" s="47">
        <f ca="1" t="shared" si="38"/>
        <v>1.48180989751477</v>
      </c>
      <c r="AB190" s="47">
        <f ca="1" t="shared" si="39"/>
        <v>1.06669431272149</v>
      </c>
      <c r="AC190" s="48">
        <f ca="1" t="shared" si="40"/>
        <v>24.6098037709549</v>
      </c>
      <c r="AD190" s="47">
        <f t="shared" si="33"/>
        <v>5083</v>
      </c>
      <c r="AE190" s="47">
        <f t="shared" si="41"/>
        <v>1270.75</v>
      </c>
      <c r="AF190" s="47">
        <f t="shared" si="42"/>
        <v>317.6875</v>
      </c>
      <c r="AG190" s="47">
        <f t="shared" si="43"/>
        <v>79.421875</v>
      </c>
      <c r="AH190" s="47">
        <f t="shared" si="44"/>
        <v>19.85546875</v>
      </c>
      <c r="AI190" s="47">
        <f t="shared" si="45"/>
        <v>4.9638671875</v>
      </c>
      <c r="AJ190">
        <f ca="1">MIN(INT(SUM(AD190:$AI190)/OFFSET($AV$2,MATCH(AD$3,$AE$3:$AI$3,0),0)),6-SUM(AK190:$AO190))</f>
        <v>0</v>
      </c>
      <c r="AK190">
        <f ca="1">MIN(INT(SUM(AE190:$AI190)/OFFSET($AV$2,MATCH(AE$3,$AE$3:$AI$3,0),0)),6-SUM(AL190:$AO190))</f>
        <v>0</v>
      </c>
      <c r="AL190">
        <f ca="1">MIN(INT(SUM(AF190:$AI190)/OFFSET($AV$2,MATCH(AF$3,$AE$3:$AI$3,0),0)),6-SUM(AM190:$AO190))</f>
        <v>0</v>
      </c>
      <c r="AM190">
        <f ca="1">MIN(INT((SUM(AG190:$AI190)+N190*2/6)/OFFSET($AV$2,MATCH(AG$3,$AE$3:$AI$3,0),0)),6-SUM(AN190:$AO190))</f>
        <v>1</v>
      </c>
      <c r="AN190">
        <f ca="1">MIN(INT(SUM(AH190:$AI190)/OFFSET($AV$2,MATCH(AH$3,$AE$3:$AI$3,0),0)),6-SUM(AO190:$AO190))</f>
        <v>4</v>
      </c>
      <c r="AO190">
        <f ca="1">INT(SUM(AI189:$AI190)/OFFSET($AV$2,MATCH(AI$3,$AE$3:$AI$3,0),0))</f>
        <v>1</v>
      </c>
      <c r="AP190" cm="1">
        <f ca="1" t="array" ref="AP190">SUMPRODUCT(AJ190:AO190,TRANSPOSE($AS$3:$AS$8))</f>
        <v>2.42</v>
      </c>
    </row>
    <row r="191" ht="16.5" spans="14:42">
      <c r="N191" s="2">
        <v>188</v>
      </c>
      <c r="O191" s="45">
        <f>产出预期!AN207</f>
        <v>20445</v>
      </c>
      <c r="P191" s="2">
        <f ca="1">练度预期!M190</f>
        <v>30</v>
      </c>
      <c r="Q191" s="2" t="str">
        <f ca="1" t="shared" si="46"/>
        <v>橙</v>
      </c>
      <c r="R191" s="46">
        <f ca="1" t="shared" si="47"/>
        <v>0</v>
      </c>
      <c r="S191" s="47">
        <f ca="1" t="shared" si="34"/>
        <v>7.220925</v>
      </c>
      <c r="T191" s="47">
        <f ca="1">MIN(1+($O191*1.4+产出预期!AC207*60)/OFFSET($J$14,MATCH(T$3,$T$3:$W$3,0),0),18)</f>
        <v>18</v>
      </c>
      <c r="U191" s="47">
        <f ca="1">MIN(($O191*1.4+产出预期!$AC207*60)/OFFSET($J$14,MATCH(U$3,$T$3:$W$3,0),0),3)</f>
        <v>3</v>
      </c>
      <c r="V191" s="47">
        <f ca="1">MIN(($O191*1.4+产出预期!$AC207*60)/OFFSET($J$14,MATCH(V$3,$T$3:$W$3,0),0),18)</f>
        <v>1.42326</v>
      </c>
      <c r="W191" s="47">
        <f ca="1">MIN(($O191*1.4+产出预期!$AC207*60)/OFFSET($J$14,MATCH(W$3,$T$3:$W$3,0),0),18)</f>
        <v>0.355815</v>
      </c>
      <c r="X191" s="47">
        <f ca="1" t="shared" si="35"/>
        <v>1.4332555</v>
      </c>
      <c r="Y191" s="47">
        <f ca="1" t="shared" si="36"/>
        <v>5.55991731349224</v>
      </c>
      <c r="Z191" s="47">
        <f ca="1" t="shared" si="37"/>
        <v>1.953125</v>
      </c>
      <c r="AA191" s="47">
        <f ca="1" t="shared" si="38"/>
        <v>1.48459520434825</v>
      </c>
      <c r="AB191" s="47">
        <f ca="1" t="shared" si="39"/>
        <v>1.06702323141546</v>
      </c>
      <c r="AC191" s="48">
        <f ca="1" t="shared" si="40"/>
        <v>24.6549381440677</v>
      </c>
      <c r="AD191" s="47">
        <f t="shared" si="33"/>
        <v>5111.25</v>
      </c>
      <c r="AE191" s="47">
        <f t="shared" si="41"/>
        <v>1277.8125</v>
      </c>
      <c r="AF191" s="47">
        <f t="shared" si="42"/>
        <v>319.453125</v>
      </c>
      <c r="AG191" s="47">
        <f t="shared" si="43"/>
        <v>79.86328125</v>
      </c>
      <c r="AH191" s="47">
        <f t="shared" si="44"/>
        <v>19.9658203125</v>
      </c>
      <c r="AI191" s="47">
        <f t="shared" si="45"/>
        <v>4.991455078125</v>
      </c>
      <c r="AJ191">
        <f ca="1">MIN(INT(SUM(AD191:$AI191)/OFFSET($AV$2,MATCH(AD$3,$AE$3:$AI$3,0),0)),6-SUM(AK191:$AO191))</f>
        <v>0</v>
      </c>
      <c r="AK191">
        <f ca="1">MIN(INT(SUM(AE191:$AI191)/OFFSET($AV$2,MATCH(AE$3,$AE$3:$AI$3,0),0)),6-SUM(AL191:$AO191))</f>
        <v>0</v>
      </c>
      <c r="AL191">
        <f ca="1">MIN(INT(SUM(AF191:$AI191)/OFFSET($AV$2,MATCH(AF$3,$AE$3:$AI$3,0),0)),6-SUM(AM191:$AO191))</f>
        <v>0</v>
      </c>
      <c r="AM191">
        <f ca="1">MIN(INT((SUM(AG191:$AI191)+N191*2/6)/OFFSET($AV$2,MATCH(AG$3,$AE$3:$AI$3,0),0)),6-SUM(AN191:$AO191))</f>
        <v>1</v>
      </c>
      <c r="AN191">
        <f ca="1">MIN(INT(SUM(AH191:$AI191)/OFFSET($AV$2,MATCH(AH$3,$AE$3:$AI$3,0),0)),6-SUM(AO191:$AO191))</f>
        <v>4</v>
      </c>
      <c r="AO191">
        <f ca="1">INT(SUM(AI190:$AI191)/OFFSET($AV$2,MATCH(AI$3,$AE$3:$AI$3,0),0))</f>
        <v>1</v>
      </c>
      <c r="AP191" cm="1">
        <f ca="1" t="array" ref="AP191">SUMPRODUCT(AJ191:AO191,TRANSPOSE($AS$3:$AS$8))</f>
        <v>2.42</v>
      </c>
    </row>
    <row r="192" ht="16.5" spans="14:42">
      <c r="N192" s="2">
        <v>189</v>
      </c>
      <c r="O192" s="45">
        <f>产出预期!AN208</f>
        <v>20525</v>
      </c>
      <c r="P192" s="2">
        <f ca="1">练度预期!M191</f>
        <v>30</v>
      </c>
      <c r="Q192" s="2" t="str">
        <f ca="1" t="shared" si="46"/>
        <v>橙</v>
      </c>
      <c r="R192" s="46">
        <f ca="1" t="shared" si="47"/>
        <v>0</v>
      </c>
      <c r="S192" s="47">
        <f ca="1" t="shared" si="34"/>
        <v>7.212125</v>
      </c>
      <c r="T192" s="47">
        <f ca="1">MIN(1+($O192*1.4+产出预期!AC208*60)/OFFSET($J$14,MATCH(T$3,$T$3:$W$3,0),0),18)</f>
        <v>18</v>
      </c>
      <c r="U192" s="47">
        <f ca="1">MIN(($O192*1.4+产出预期!$AC208*60)/OFFSET($J$14,MATCH(U$3,$T$3:$W$3,0),0),3)</f>
        <v>3</v>
      </c>
      <c r="V192" s="47">
        <f ca="1">MIN(($O192*1.4+产出预期!$AC208*60)/OFFSET($J$14,MATCH(V$3,$T$3:$W$3,0),0),18)</f>
        <v>1.4303</v>
      </c>
      <c r="W192" s="47">
        <f ca="1">MIN(($O192*1.4+产出预期!$AC208*60)/OFFSET($J$14,MATCH(W$3,$T$3:$W$3,0),0),18)</f>
        <v>0.357575</v>
      </c>
      <c r="X192" s="47">
        <f ca="1" t="shared" si="35"/>
        <v>1.4327275</v>
      </c>
      <c r="Y192" s="47">
        <f ca="1" t="shared" si="36"/>
        <v>5.55991731349224</v>
      </c>
      <c r="Z192" s="47">
        <f ca="1" t="shared" si="37"/>
        <v>1.953125</v>
      </c>
      <c r="AA192" s="47">
        <f ca="1" t="shared" si="38"/>
        <v>1.4874997239481</v>
      </c>
      <c r="AB192" s="47">
        <f ca="1" t="shared" si="39"/>
        <v>1.06736567910842</v>
      </c>
      <c r="AC192" s="48">
        <f ca="1" t="shared" si="40"/>
        <v>24.7019988190608</v>
      </c>
      <c r="AD192" s="47">
        <f t="shared" si="33"/>
        <v>5131.25</v>
      </c>
      <c r="AE192" s="47">
        <f t="shared" si="41"/>
        <v>1282.8125</v>
      </c>
      <c r="AF192" s="47">
        <f t="shared" si="42"/>
        <v>320.703125</v>
      </c>
      <c r="AG192" s="47">
        <f t="shared" si="43"/>
        <v>80.17578125</v>
      </c>
      <c r="AH192" s="47">
        <f t="shared" si="44"/>
        <v>20.0439453125</v>
      </c>
      <c r="AI192" s="47">
        <f t="shared" si="45"/>
        <v>5.010986328125</v>
      </c>
      <c r="AJ192">
        <f ca="1">MIN(INT(SUM(AD192:$AI192)/OFFSET($AV$2,MATCH(AD$3,$AE$3:$AI$3,0),0)),6-SUM(AK192:$AO192))</f>
        <v>0</v>
      </c>
      <c r="AK192">
        <f ca="1">MIN(INT(SUM(AE192:$AI192)/OFFSET($AV$2,MATCH(AE$3,$AE$3:$AI$3,0),0)),6-SUM(AL192:$AO192))</f>
        <v>0</v>
      </c>
      <c r="AL192">
        <f ca="1">MIN(INT(SUM(AF192:$AI192)/OFFSET($AV$2,MATCH(AF$3,$AE$3:$AI$3,0),0)),6-SUM(AM192:$AO192))</f>
        <v>0</v>
      </c>
      <c r="AM192">
        <f ca="1">MIN(INT((SUM(AG192:$AI192)+N192*2/6)/OFFSET($AV$2,MATCH(AG$3,$AE$3:$AI$3,0),0)),6-SUM(AN192:$AO192))</f>
        <v>1</v>
      </c>
      <c r="AN192">
        <f ca="1">MIN(INT(SUM(AH192:$AI192)/OFFSET($AV$2,MATCH(AH$3,$AE$3:$AI$3,0),0)),6-SUM(AO192:$AO192))</f>
        <v>4</v>
      </c>
      <c r="AO192">
        <f ca="1">INT(SUM(AI191:$AI192)/OFFSET($AV$2,MATCH(AI$3,$AE$3:$AI$3,0),0))</f>
        <v>1</v>
      </c>
      <c r="AP192" cm="1">
        <f ca="1" t="array" ref="AP192">SUMPRODUCT(AJ192:AO192,TRANSPOSE($AS$3:$AS$8))</f>
        <v>2.42</v>
      </c>
    </row>
    <row r="193" ht="16.5" spans="14:42">
      <c r="N193" s="2">
        <v>190</v>
      </c>
      <c r="O193" s="45">
        <f>产出预期!AN209</f>
        <v>20638</v>
      </c>
      <c r="P193" s="2">
        <f ca="1">练度预期!M192</f>
        <v>30</v>
      </c>
      <c r="Q193" s="2" t="str">
        <f ca="1" t="shared" si="46"/>
        <v>橙</v>
      </c>
      <c r="R193" s="46">
        <f ca="1" t="shared" si="47"/>
        <v>0</v>
      </c>
      <c r="S193" s="47">
        <f ca="1" t="shared" si="34"/>
        <v>7.20367</v>
      </c>
      <c r="T193" s="47">
        <f ca="1">MIN(1+($O193*1.4+产出预期!AC209*60)/OFFSET($J$14,MATCH(T$3,$T$3:$W$3,0),0),18)</f>
        <v>18</v>
      </c>
      <c r="U193" s="47">
        <f ca="1">MIN(($O193*1.4+产出预期!$AC209*60)/OFFSET($J$14,MATCH(U$3,$T$3:$W$3,0),0),3)</f>
        <v>3</v>
      </c>
      <c r="V193" s="47">
        <f ca="1">MIN(($O193*1.4+产出预期!$AC209*60)/OFFSET($J$14,MATCH(V$3,$T$3:$W$3,0),0),18)</f>
        <v>1.437064</v>
      </c>
      <c r="W193" s="47">
        <f ca="1">MIN(($O193*1.4+产出预期!$AC209*60)/OFFSET($J$14,MATCH(W$3,$T$3:$W$3,0),0),18)</f>
        <v>0.359266</v>
      </c>
      <c r="X193" s="47">
        <f ca="1" t="shared" si="35"/>
        <v>1.4322202</v>
      </c>
      <c r="Y193" s="47">
        <f ca="1" t="shared" si="36"/>
        <v>5.55991731349224</v>
      </c>
      <c r="Z193" s="47">
        <f ca="1" t="shared" si="37"/>
        <v>1.953125</v>
      </c>
      <c r="AA193" s="47">
        <f ca="1" t="shared" si="38"/>
        <v>1.4902957257516</v>
      </c>
      <c r="AB193" s="47">
        <f ca="1" t="shared" si="39"/>
        <v>1.06769480482042</v>
      </c>
      <c r="AC193" s="48">
        <f ca="1" t="shared" si="40"/>
        <v>24.7472959483317</v>
      </c>
      <c r="AD193" s="47">
        <f t="shared" si="33"/>
        <v>5159.5</v>
      </c>
      <c r="AE193" s="47">
        <f t="shared" si="41"/>
        <v>1289.875</v>
      </c>
      <c r="AF193" s="47">
        <f t="shared" si="42"/>
        <v>322.46875</v>
      </c>
      <c r="AG193" s="47">
        <f t="shared" si="43"/>
        <v>80.6171875</v>
      </c>
      <c r="AH193" s="47">
        <f t="shared" si="44"/>
        <v>20.154296875</v>
      </c>
      <c r="AI193" s="47">
        <f t="shared" si="45"/>
        <v>5.03857421875</v>
      </c>
      <c r="AJ193">
        <f ca="1">MIN(INT(SUM(AD193:$AI193)/OFFSET($AV$2,MATCH(AD$3,$AE$3:$AI$3,0),0)),6-SUM(AK193:$AO193))</f>
        <v>0</v>
      </c>
      <c r="AK193">
        <f ca="1">MIN(INT(SUM(AE193:$AI193)/OFFSET($AV$2,MATCH(AE$3,$AE$3:$AI$3,0),0)),6-SUM(AL193:$AO193))</f>
        <v>0</v>
      </c>
      <c r="AL193">
        <f ca="1">MIN(INT(SUM(AF193:$AI193)/OFFSET($AV$2,MATCH(AF$3,$AE$3:$AI$3,0),0)),6-SUM(AM193:$AO193))</f>
        <v>0</v>
      </c>
      <c r="AM193">
        <f ca="1">MIN(INT((SUM(AG193:$AI193)+N193*2/6)/OFFSET($AV$2,MATCH(AG$3,$AE$3:$AI$3,0),0)),6-SUM(AN193:$AO193))</f>
        <v>1</v>
      </c>
      <c r="AN193">
        <f ca="1">MIN(INT(SUM(AH193:$AI193)/OFFSET($AV$2,MATCH(AH$3,$AE$3:$AI$3,0),0)),6-SUM(AO193:$AO193))</f>
        <v>4</v>
      </c>
      <c r="AO193">
        <f ca="1">INT(SUM(AI192:$AI193)/OFFSET($AV$2,MATCH(AI$3,$AE$3:$AI$3,0),0))</f>
        <v>1</v>
      </c>
      <c r="AP193" cm="1">
        <f ca="1" t="array" ref="AP193">SUMPRODUCT(AJ193:AO193,TRANSPOSE($AS$3:$AS$8))</f>
        <v>2.42</v>
      </c>
    </row>
    <row r="194" ht="16.5" spans="14:42">
      <c r="N194" s="2">
        <v>191</v>
      </c>
      <c r="O194" s="45">
        <f>产出预期!AN210</f>
        <v>20746</v>
      </c>
      <c r="P194" s="2">
        <f ca="1">练度预期!M193</f>
        <v>30</v>
      </c>
      <c r="Q194" s="2" t="str">
        <f ca="1" t="shared" si="46"/>
        <v>橙</v>
      </c>
      <c r="R194" s="46">
        <f ca="1" t="shared" si="47"/>
        <v>0</v>
      </c>
      <c r="S194" s="47">
        <f ca="1" t="shared" si="34"/>
        <v>7.19389</v>
      </c>
      <c r="T194" s="47">
        <f ca="1">MIN(1+($O194*1.4+产出预期!AC210*60)/OFFSET($J$14,MATCH(T$3,$T$3:$W$3,0),0),18)</f>
        <v>18</v>
      </c>
      <c r="U194" s="47">
        <f ca="1">MIN(($O194*1.4+产出预期!$AC210*60)/OFFSET($J$14,MATCH(U$3,$T$3:$W$3,0),0),3)</f>
        <v>3</v>
      </c>
      <c r="V194" s="47">
        <f ca="1">MIN(($O194*1.4+产出预期!$AC210*60)/OFFSET($J$14,MATCH(V$3,$T$3:$W$3,0),0),18)</f>
        <v>1.444888</v>
      </c>
      <c r="W194" s="47">
        <f ca="1">MIN(($O194*1.4+产出预期!$AC210*60)/OFFSET($J$14,MATCH(W$3,$T$3:$W$3,0),0),18)</f>
        <v>0.361222</v>
      </c>
      <c r="X194" s="47">
        <f ca="1" t="shared" si="35"/>
        <v>1.4316334</v>
      </c>
      <c r="Y194" s="47">
        <f ca="1" t="shared" si="36"/>
        <v>5.55991731349224</v>
      </c>
      <c r="Z194" s="47">
        <f ca="1" t="shared" si="37"/>
        <v>1.953125</v>
      </c>
      <c r="AA194" s="47">
        <f ca="1" t="shared" si="38"/>
        <v>1.49353645074007</v>
      </c>
      <c r="AB194" s="47">
        <f ca="1" t="shared" si="39"/>
        <v>1.06807563507413</v>
      </c>
      <c r="AC194" s="48">
        <f ca="1" t="shared" si="40"/>
        <v>24.7997914191037</v>
      </c>
      <c r="AD194" s="47">
        <f t="shared" si="33"/>
        <v>5186.5</v>
      </c>
      <c r="AE194" s="47">
        <f t="shared" si="41"/>
        <v>1296.625</v>
      </c>
      <c r="AF194" s="47">
        <f t="shared" si="42"/>
        <v>324.15625</v>
      </c>
      <c r="AG194" s="47">
        <f t="shared" si="43"/>
        <v>81.0390625</v>
      </c>
      <c r="AH194" s="47">
        <f t="shared" si="44"/>
        <v>20.259765625</v>
      </c>
      <c r="AI194" s="47">
        <f t="shared" si="45"/>
        <v>5.06494140625</v>
      </c>
      <c r="AJ194">
        <f ca="1">MIN(INT(SUM(AD194:$AI194)/OFFSET($AV$2,MATCH(AD$3,$AE$3:$AI$3,0),0)),6-SUM(AK194:$AO194))</f>
        <v>0</v>
      </c>
      <c r="AK194">
        <f ca="1">MIN(INT(SUM(AE194:$AI194)/OFFSET($AV$2,MATCH(AE$3,$AE$3:$AI$3,0),0)),6-SUM(AL194:$AO194))</f>
        <v>0</v>
      </c>
      <c r="AL194">
        <f ca="1">MIN(INT(SUM(AF194:$AI194)/OFFSET($AV$2,MATCH(AF$3,$AE$3:$AI$3,0),0)),6-SUM(AM194:$AO194))</f>
        <v>0</v>
      </c>
      <c r="AM194">
        <f ca="1">MIN(INT((SUM(AG194:$AI194)+N194*2/6)/OFFSET($AV$2,MATCH(AG$3,$AE$3:$AI$3,0),0)),6-SUM(AN194:$AO194))</f>
        <v>1</v>
      </c>
      <c r="AN194">
        <f ca="1">MIN(INT(SUM(AH194:$AI194)/OFFSET($AV$2,MATCH(AH$3,$AE$3:$AI$3,0),0)),6-SUM(AO194:$AO194))</f>
        <v>4</v>
      </c>
      <c r="AO194">
        <f ca="1">INT(SUM(AI193:$AI194)/OFFSET($AV$2,MATCH(AI$3,$AE$3:$AI$3,0),0))</f>
        <v>1</v>
      </c>
      <c r="AP194" cm="1">
        <f ca="1" t="array" ref="AP194">SUMPRODUCT(AJ194:AO194,TRANSPOSE($AS$3:$AS$8))</f>
        <v>2.42</v>
      </c>
    </row>
    <row r="195" ht="16.5" spans="14:42">
      <c r="N195" s="2">
        <v>192</v>
      </c>
      <c r="O195" s="45">
        <f>产出预期!AN211</f>
        <v>20859</v>
      </c>
      <c r="P195" s="2">
        <f ca="1">练度预期!M194</f>
        <v>30</v>
      </c>
      <c r="Q195" s="2" t="str">
        <f ca="1" t="shared" si="46"/>
        <v>橙</v>
      </c>
      <c r="R195" s="46">
        <f ca="1" t="shared" si="47"/>
        <v>0</v>
      </c>
      <c r="S195" s="47">
        <f ca="1" t="shared" si="34"/>
        <v>7.185435</v>
      </c>
      <c r="T195" s="47">
        <f ca="1">MIN(1+($O195*1.4+产出预期!AC211*60)/OFFSET($J$14,MATCH(T$3,$T$3:$W$3,0),0),18)</f>
        <v>18</v>
      </c>
      <c r="U195" s="47">
        <f ca="1">MIN(($O195*1.4+产出预期!$AC211*60)/OFFSET($J$14,MATCH(U$3,$T$3:$W$3,0),0),3)</f>
        <v>3</v>
      </c>
      <c r="V195" s="47">
        <f ca="1">MIN(($O195*1.4+产出预期!$AC211*60)/OFFSET($J$14,MATCH(V$3,$T$3:$W$3,0),0),18)</f>
        <v>1.451652</v>
      </c>
      <c r="W195" s="47">
        <f ca="1">MIN(($O195*1.4+产出预期!$AC211*60)/OFFSET($J$14,MATCH(W$3,$T$3:$W$3,0),0),18)</f>
        <v>0.362913</v>
      </c>
      <c r="X195" s="47">
        <f ca="1" t="shared" si="35"/>
        <v>1.4311261</v>
      </c>
      <c r="Y195" s="47">
        <f ca="1" t="shared" si="36"/>
        <v>5.55991731349224</v>
      </c>
      <c r="Z195" s="47">
        <f ca="1" t="shared" si="37"/>
        <v>1.953125</v>
      </c>
      <c r="AA195" s="47">
        <f ca="1" t="shared" si="38"/>
        <v>1.49634379957022</v>
      </c>
      <c r="AB195" s="47">
        <f ca="1" t="shared" si="39"/>
        <v>1.06840497970338</v>
      </c>
      <c r="AC195" s="48">
        <f ca="1" t="shared" si="40"/>
        <v>24.8452611494271</v>
      </c>
      <c r="AD195" s="47">
        <f t="shared" si="33"/>
        <v>5214.75</v>
      </c>
      <c r="AE195" s="47">
        <f t="shared" si="41"/>
        <v>1303.6875</v>
      </c>
      <c r="AF195" s="47">
        <f t="shared" si="42"/>
        <v>325.921875</v>
      </c>
      <c r="AG195" s="47">
        <f t="shared" si="43"/>
        <v>81.48046875</v>
      </c>
      <c r="AH195" s="47">
        <f t="shared" si="44"/>
        <v>20.3701171875</v>
      </c>
      <c r="AI195" s="47">
        <f t="shared" si="45"/>
        <v>5.092529296875</v>
      </c>
      <c r="AJ195">
        <f ca="1">MIN(INT(SUM(AD195:$AI195)/OFFSET($AV$2,MATCH(AD$3,$AE$3:$AI$3,0),0)),6-SUM(AK195:$AO195))</f>
        <v>0</v>
      </c>
      <c r="AK195">
        <f ca="1">MIN(INT(SUM(AE195:$AI195)/OFFSET($AV$2,MATCH(AE$3,$AE$3:$AI$3,0),0)),6-SUM(AL195:$AO195))</f>
        <v>0</v>
      </c>
      <c r="AL195">
        <f ca="1">MIN(INT(SUM(AF195:$AI195)/OFFSET($AV$2,MATCH(AF$3,$AE$3:$AI$3,0),0)),6-SUM(AM195:$AO195))</f>
        <v>0</v>
      </c>
      <c r="AM195">
        <f ca="1">MIN(INT((SUM(AG195:$AI195)+N195*2/6)/OFFSET($AV$2,MATCH(AG$3,$AE$3:$AI$3,0),0)),6-SUM(AN195:$AO195))</f>
        <v>1</v>
      </c>
      <c r="AN195">
        <f ca="1">MIN(INT(SUM(AH195:$AI195)/OFFSET($AV$2,MATCH(AH$3,$AE$3:$AI$3,0),0)),6-SUM(AO195:$AO195))</f>
        <v>4</v>
      </c>
      <c r="AO195">
        <f ca="1">INT(SUM(AI194:$AI195)/OFFSET($AV$2,MATCH(AI$3,$AE$3:$AI$3,0),0))</f>
        <v>1</v>
      </c>
      <c r="AP195" cm="1">
        <f ca="1" t="array" ref="AP195">SUMPRODUCT(AJ195:AO195,TRANSPOSE($AS$3:$AS$8))</f>
        <v>2.42</v>
      </c>
    </row>
    <row r="196" ht="16.5" spans="14:42">
      <c r="N196" s="2">
        <v>193</v>
      </c>
      <c r="O196" s="45">
        <f>产出预期!AN212</f>
        <v>20967</v>
      </c>
      <c r="P196" s="2">
        <f ca="1">练度预期!M195</f>
        <v>30</v>
      </c>
      <c r="Q196" s="2" t="str">
        <f ca="1" t="shared" si="46"/>
        <v>橙</v>
      </c>
      <c r="R196" s="46">
        <f ca="1" t="shared" si="47"/>
        <v>0</v>
      </c>
      <c r="S196" s="47">
        <f ca="1" t="shared" si="34"/>
        <v>7.175655</v>
      </c>
      <c r="T196" s="47">
        <f ca="1">MIN(1+($O196*1.4+产出预期!AC212*60)/OFFSET($J$14,MATCH(T$3,$T$3:$W$3,0),0),18)</f>
        <v>18</v>
      </c>
      <c r="U196" s="47">
        <f ca="1">MIN(($O196*1.4+产出预期!$AC212*60)/OFFSET($J$14,MATCH(U$3,$T$3:$W$3,0),0),3)</f>
        <v>3</v>
      </c>
      <c r="V196" s="47">
        <f ca="1">MIN(($O196*1.4+产出预期!$AC212*60)/OFFSET($J$14,MATCH(V$3,$T$3:$W$3,0),0),18)</f>
        <v>1.459476</v>
      </c>
      <c r="W196" s="47">
        <f ca="1">MIN(($O196*1.4+产出预期!$AC212*60)/OFFSET($J$14,MATCH(W$3,$T$3:$W$3,0),0),18)</f>
        <v>0.364869</v>
      </c>
      <c r="X196" s="47">
        <f ca="1" t="shared" si="35"/>
        <v>1.4305393</v>
      </c>
      <c r="Y196" s="47">
        <f ca="1" t="shared" si="36"/>
        <v>5.55991731349224</v>
      </c>
      <c r="Z196" s="47">
        <f ca="1" t="shared" si="37"/>
        <v>1.953125</v>
      </c>
      <c r="AA196" s="47">
        <f ca="1" t="shared" si="38"/>
        <v>1.49959767640743</v>
      </c>
      <c r="AB196" s="47">
        <f ca="1" t="shared" si="39"/>
        <v>1.0687860632655</v>
      </c>
      <c r="AC196" s="48">
        <f ca="1" t="shared" si="40"/>
        <v>24.8979566280323</v>
      </c>
      <c r="AD196" s="47">
        <f t="shared" ref="AD196:AD259" si="48">$O196/AD$2</f>
        <v>5241.75</v>
      </c>
      <c r="AE196" s="47">
        <f t="shared" si="41"/>
        <v>1310.4375</v>
      </c>
      <c r="AF196" s="47">
        <f t="shared" si="42"/>
        <v>327.609375</v>
      </c>
      <c r="AG196" s="47">
        <f t="shared" si="43"/>
        <v>81.90234375</v>
      </c>
      <c r="AH196" s="47">
        <f t="shared" si="44"/>
        <v>20.4755859375</v>
      </c>
      <c r="AI196" s="47">
        <f t="shared" si="45"/>
        <v>5.118896484375</v>
      </c>
      <c r="AJ196">
        <f ca="1">MIN(INT(SUM(AD196:$AI196)/OFFSET($AV$2,MATCH(AD$3,$AE$3:$AI$3,0),0)),6-SUM(AK196:$AO196))</f>
        <v>0</v>
      </c>
      <c r="AK196">
        <f ca="1">MIN(INT(SUM(AE196:$AI196)/OFFSET($AV$2,MATCH(AE$3,$AE$3:$AI$3,0),0)),6-SUM(AL196:$AO196))</f>
        <v>0</v>
      </c>
      <c r="AL196">
        <f ca="1">MIN(INT(SUM(AF196:$AI196)/OFFSET($AV$2,MATCH(AF$3,$AE$3:$AI$3,0),0)),6-SUM(AM196:$AO196))</f>
        <v>0</v>
      </c>
      <c r="AM196">
        <f ca="1">MIN(INT((SUM(AG196:$AI196)+N196*2/6)/OFFSET($AV$2,MATCH(AG$3,$AE$3:$AI$3,0),0)),6-SUM(AN196:$AO196))</f>
        <v>1</v>
      </c>
      <c r="AN196">
        <f ca="1">MIN(INT(SUM(AH196:$AI196)/OFFSET($AV$2,MATCH(AH$3,$AE$3:$AI$3,0),0)),6-SUM(AO196:$AO196))</f>
        <v>4</v>
      </c>
      <c r="AO196">
        <f ca="1">INT(SUM(AI195:$AI196)/OFFSET($AV$2,MATCH(AI$3,$AE$3:$AI$3,0),0))</f>
        <v>1</v>
      </c>
      <c r="AP196" cm="1">
        <f ca="1" t="array" ref="AP196">SUMPRODUCT(AJ196:AO196,TRANSPOSE($AS$3:$AS$8))</f>
        <v>2.42</v>
      </c>
    </row>
    <row r="197" ht="16.5" spans="14:42">
      <c r="N197" s="2">
        <v>194</v>
      </c>
      <c r="O197" s="45">
        <f>产出预期!AN213</f>
        <v>21075</v>
      </c>
      <c r="P197" s="2">
        <f ca="1">练度预期!M196</f>
        <v>30</v>
      </c>
      <c r="Q197" s="2" t="str">
        <f ca="1" t="shared" si="46"/>
        <v>橙</v>
      </c>
      <c r="R197" s="46">
        <f ca="1" t="shared" si="47"/>
        <v>0</v>
      </c>
      <c r="S197" s="47">
        <f ca="1" t="shared" ref="S197:S260" si="49">MAX(P197-SUM(T197:W197),0)</f>
        <v>7.167375</v>
      </c>
      <c r="T197" s="47">
        <f ca="1">MIN(1+($O197*1.4+产出预期!AC213*60)/OFFSET($J$14,MATCH(T$3,$T$3:$W$3,0),0),18)</f>
        <v>18</v>
      </c>
      <c r="U197" s="47">
        <f ca="1">MIN(($O197*1.4+产出预期!$AC213*60)/OFFSET($J$14,MATCH(U$3,$T$3:$W$3,0),0),3)</f>
        <v>3</v>
      </c>
      <c r="V197" s="47">
        <f ca="1">MIN(($O197*1.4+产出预期!$AC213*60)/OFFSET($J$14,MATCH(V$3,$T$3:$W$3,0),0),18)</f>
        <v>1.4661</v>
      </c>
      <c r="W197" s="47">
        <f ca="1">MIN(($O197*1.4+产出预期!$AC213*60)/OFFSET($J$14,MATCH(W$3,$T$3:$W$3,0),0),18)</f>
        <v>0.366525</v>
      </c>
      <c r="X197" s="47">
        <f ca="1" t="shared" ref="X197:X260" si="50">1+S197*(1-R197)*OFFSET(D$3,MATCH(Q197,$B$4:$B$10,0),0)+S197*R197*OFFSET(D$3,1+MATCH(Q197,$B$4:$B$10,0),0)</f>
        <v>1.4300425</v>
      </c>
      <c r="Y197" s="47">
        <f ca="1" t="shared" ref="Y197:Y260" si="51">(1+_xlfn.XLOOKUP($Q197,$B$3:$B$10,F$3:F$10))^T197</f>
        <v>5.55991731349224</v>
      </c>
      <c r="Z197" s="47">
        <f ca="1" t="shared" ref="Z197:Z260" si="52">(1+_xlfn.XLOOKUP($Q197,$B$3:$B$10,I$3:I$10))^U197</f>
        <v>1.953125</v>
      </c>
      <c r="AA197" s="47">
        <f ca="1" t="shared" ref="AA197:AA260" si="53">(1+_xlfn.XLOOKUP($Q197,$B$3:$B$10,J$3:J$10))^V197</f>
        <v>1.50235802286168</v>
      </c>
      <c r="AB197" s="47">
        <f ca="1" t="shared" ref="AB197:AB260" si="54">(1+_xlfn.XLOOKUP($Q197,$B$3:$B$10,K$3:K$10))^W197</f>
        <v>1.06910880468049</v>
      </c>
      <c r="AC197" s="48">
        <f ca="1" t="shared" ref="AC197:AC260" si="55">X197*Y197*Z197*AA197*AB197</f>
        <v>24.9426540542226</v>
      </c>
      <c r="AD197" s="47">
        <f t="shared" si="48"/>
        <v>5268.75</v>
      </c>
      <c r="AE197" s="47">
        <f t="shared" ref="AE197:AE260" si="56">$O197/AE$2</f>
        <v>1317.1875</v>
      </c>
      <c r="AF197" s="47">
        <f t="shared" ref="AF197:AF260" si="57">$O197/AF$2</f>
        <v>329.296875</v>
      </c>
      <c r="AG197" s="47">
        <f t="shared" ref="AG197:AG260" si="58">$O197/AG$2</f>
        <v>82.32421875</v>
      </c>
      <c r="AH197" s="47">
        <f t="shared" ref="AH197:AH260" si="59">$O197/AH$2</f>
        <v>20.5810546875</v>
      </c>
      <c r="AI197" s="47">
        <f t="shared" ref="AI197:AI260" si="60">$O197/AI$2</f>
        <v>5.145263671875</v>
      </c>
      <c r="AJ197">
        <f ca="1">MIN(INT(SUM(AD197:$AI197)/OFFSET($AV$2,MATCH(AD$3,$AE$3:$AI$3,0),0)),6-SUM(AK197:$AO197))</f>
        <v>0</v>
      </c>
      <c r="AK197">
        <f ca="1">MIN(INT(SUM(AE197:$AI197)/OFFSET($AV$2,MATCH(AE$3,$AE$3:$AI$3,0),0)),6-SUM(AL197:$AO197))</f>
        <v>0</v>
      </c>
      <c r="AL197">
        <f ca="1">MIN(INT(SUM(AF197:$AI197)/OFFSET($AV$2,MATCH(AF$3,$AE$3:$AI$3,0),0)),6-SUM(AM197:$AO197))</f>
        <v>0</v>
      </c>
      <c r="AM197">
        <f ca="1">MIN(INT((SUM(AG197:$AI197)+N197*2/6)/OFFSET($AV$2,MATCH(AG$3,$AE$3:$AI$3,0),0)),6-SUM(AN197:$AO197))</f>
        <v>1</v>
      </c>
      <c r="AN197">
        <f ca="1">MIN(INT(SUM(AH197:$AI197)/OFFSET($AV$2,MATCH(AH$3,$AE$3:$AI$3,0),0)),6-SUM(AO197:$AO197))</f>
        <v>4</v>
      </c>
      <c r="AO197">
        <f ca="1">INT(SUM(AI196:$AI197)/OFFSET($AV$2,MATCH(AI$3,$AE$3:$AI$3,0),0))</f>
        <v>1</v>
      </c>
      <c r="AP197" cm="1">
        <f ca="1" t="array" ref="AP197">SUMPRODUCT(AJ197:AO197,TRANSPOSE($AS$3:$AS$8))</f>
        <v>2.42</v>
      </c>
    </row>
    <row r="198" ht="16.5" spans="14:42">
      <c r="N198" s="2">
        <v>195</v>
      </c>
      <c r="O198" s="45">
        <f>产出预期!AN214</f>
        <v>21188</v>
      </c>
      <c r="P198" s="2">
        <f ca="1">练度预期!M197</f>
        <v>30</v>
      </c>
      <c r="Q198" s="2" t="str">
        <f ca="1" t="shared" ref="Q198:Q261" si="61">OFFSET($E$14,MATCH(O198/P198,$G$15:$G$21,1),0)</f>
        <v>橙</v>
      </c>
      <c r="R198" s="46">
        <f ca="1" t="shared" ref="R198:R261" si="62">IF(Q198="橙",0,SQRT(O198/P198/(4^(MATCH(O198/P198,$G$15:$G$21,1)-1)))-1)</f>
        <v>0</v>
      </c>
      <c r="S198" s="47">
        <f ca="1" t="shared" si="49"/>
        <v>7.15742</v>
      </c>
      <c r="T198" s="47">
        <f ca="1">MIN(1+($O198*1.4+产出预期!AC214*60)/OFFSET($J$14,MATCH(T$3,$T$3:$W$3,0),0),18)</f>
        <v>18</v>
      </c>
      <c r="U198" s="47">
        <f ca="1">MIN(($O198*1.4+产出预期!$AC214*60)/OFFSET($J$14,MATCH(U$3,$T$3:$W$3,0),0),3)</f>
        <v>3</v>
      </c>
      <c r="V198" s="47">
        <f ca="1">MIN(($O198*1.4+产出预期!$AC214*60)/OFFSET($J$14,MATCH(V$3,$T$3:$W$3,0),0),18)</f>
        <v>1.474064</v>
      </c>
      <c r="W198" s="47">
        <f ca="1">MIN(($O198*1.4+产出预期!$AC214*60)/OFFSET($J$14,MATCH(W$3,$T$3:$W$3,0),0),18)</f>
        <v>0.368516</v>
      </c>
      <c r="X198" s="47">
        <f ca="1" t="shared" si="50"/>
        <v>1.4294452</v>
      </c>
      <c r="Y198" s="47">
        <f ca="1" t="shared" si="51"/>
        <v>5.55991731349224</v>
      </c>
      <c r="Z198" s="47">
        <f ca="1" t="shared" si="52"/>
        <v>1.953125</v>
      </c>
      <c r="AA198" s="47">
        <f ca="1" t="shared" si="53"/>
        <v>1.50568350037405</v>
      </c>
      <c r="AB198" s="47">
        <f ca="1" t="shared" si="54"/>
        <v>1.06949696399665</v>
      </c>
      <c r="AC198" s="48">
        <f ca="1" t="shared" si="55"/>
        <v>24.9964957835134</v>
      </c>
      <c r="AD198" s="47">
        <f t="shared" si="48"/>
        <v>5297</v>
      </c>
      <c r="AE198" s="47">
        <f t="shared" si="56"/>
        <v>1324.25</v>
      </c>
      <c r="AF198" s="47">
        <f t="shared" si="57"/>
        <v>331.0625</v>
      </c>
      <c r="AG198" s="47">
        <f t="shared" si="58"/>
        <v>82.765625</v>
      </c>
      <c r="AH198" s="47">
        <f t="shared" si="59"/>
        <v>20.69140625</v>
      </c>
      <c r="AI198" s="47">
        <f t="shared" si="60"/>
        <v>5.1728515625</v>
      </c>
      <c r="AJ198">
        <f ca="1">MIN(INT(SUM(AD198:$AI198)/OFFSET($AV$2,MATCH(AD$3,$AE$3:$AI$3,0),0)),6-SUM(AK198:$AO198))</f>
        <v>0</v>
      </c>
      <c r="AK198">
        <f ca="1">MIN(INT(SUM(AE198:$AI198)/OFFSET($AV$2,MATCH(AE$3,$AE$3:$AI$3,0),0)),6-SUM(AL198:$AO198))</f>
        <v>0</v>
      </c>
      <c r="AL198">
        <f ca="1">MIN(INT(SUM(AF198:$AI198)/OFFSET($AV$2,MATCH(AF$3,$AE$3:$AI$3,0),0)),6-SUM(AM198:$AO198))</f>
        <v>0</v>
      </c>
      <c r="AM198">
        <f ca="1">MIN(INT((SUM(AG198:$AI198)+N198*2/6)/OFFSET($AV$2,MATCH(AG$3,$AE$3:$AI$3,0),0)),6-SUM(AN198:$AO198))</f>
        <v>1</v>
      </c>
      <c r="AN198">
        <f ca="1">MIN(INT(SUM(AH198:$AI198)/OFFSET($AV$2,MATCH(AH$3,$AE$3:$AI$3,0),0)),6-SUM(AO198:$AO198))</f>
        <v>4</v>
      </c>
      <c r="AO198">
        <f ca="1">INT(SUM(AI197:$AI198)/OFFSET($AV$2,MATCH(AI$3,$AE$3:$AI$3,0),0))</f>
        <v>1</v>
      </c>
      <c r="AP198" cm="1">
        <f ca="1" t="array" ref="AP198">SUMPRODUCT(AJ198:AO198,TRANSPOSE($AS$3:$AS$8))</f>
        <v>2.42</v>
      </c>
    </row>
    <row r="199" ht="16.5" spans="14:42">
      <c r="N199" s="2">
        <v>196</v>
      </c>
      <c r="O199" s="45">
        <f>产出预期!AN215</f>
        <v>21268</v>
      </c>
      <c r="P199" s="2">
        <f ca="1">练度预期!M198</f>
        <v>30</v>
      </c>
      <c r="Q199" s="2" t="str">
        <f ca="1" t="shared" si="61"/>
        <v>橙</v>
      </c>
      <c r="R199" s="46">
        <f ca="1" t="shared" si="62"/>
        <v>0</v>
      </c>
      <c r="S199" s="47">
        <f ca="1" t="shared" si="49"/>
        <v>7.14862</v>
      </c>
      <c r="T199" s="47">
        <f ca="1">MIN(1+($O199*1.4+产出预期!AC215*60)/OFFSET($J$14,MATCH(T$3,$T$3:$W$3,0),0),18)</f>
        <v>18</v>
      </c>
      <c r="U199" s="47">
        <f ca="1">MIN(($O199*1.4+产出预期!$AC215*60)/OFFSET($J$14,MATCH(U$3,$T$3:$W$3,0),0),3)</f>
        <v>3</v>
      </c>
      <c r="V199" s="47">
        <f ca="1">MIN(($O199*1.4+产出预期!$AC215*60)/OFFSET($J$14,MATCH(V$3,$T$3:$W$3,0),0),18)</f>
        <v>1.481104</v>
      </c>
      <c r="W199" s="47">
        <f ca="1">MIN(($O199*1.4+产出预期!$AC215*60)/OFFSET($J$14,MATCH(W$3,$T$3:$W$3,0),0),18)</f>
        <v>0.370276</v>
      </c>
      <c r="X199" s="47">
        <f ca="1" t="shared" si="50"/>
        <v>1.4289172</v>
      </c>
      <c r="Y199" s="47">
        <f ca="1" t="shared" si="51"/>
        <v>5.55991731349224</v>
      </c>
      <c r="Z199" s="47">
        <f ca="1" t="shared" si="52"/>
        <v>1.953125</v>
      </c>
      <c r="AA199" s="47">
        <f ca="1" t="shared" si="53"/>
        <v>1.50862927793362</v>
      </c>
      <c r="AB199" s="47">
        <f ca="1" t="shared" si="54"/>
        <v>1.06984020560298</v>
      </c>
      <c r="AC199" s="48">
        <f ca="1" t="shared" si="55"/>
        <v>25.0441838124972</v>
      </c>
      <c r="AD199" s="47">
        <f t="shared" si="48"/>
        <v>5317</v>
      </c>
      <c r="AE199" s="47">
        <f t="shared" si="56"/>
        <v>1329.25</v>
      </c>
      <c r="AF199" s="47">
        <f t="shared" si="57"/>
        <v>332.3125</v>
      </c>
      <c r="AG199" s="47">
        <f t="shared" si="58"/>
        <v>83.078125</v>
      </c>
      <c r="AH199" s="47">
        <f t="shared" si="59"/>
        <v>20.76953125</v>
      </c>
      <c r="AI199" s="47">
        <f t="shared" si="60"/>
        <v>5.1923828125</v>
      </c>
      <c r="AJ199">
        <f ca="1">MIN(INT(SUM(AD199:$AI199)/OFFSET($AV$2,MATCH(AD$3,$AE$3:$AI$3,0),0)),6-SUM(AK199:$AO199))</f>
        <v>0</v>
      </c>
      <c r="AK199">
        <f ca="1">MIN(INT(SUM(AE199:$AI199)/OFFSET($AV$2,MATCH(AE$3,$AE$3:$AI$3,0),0)),6-SUM(AL199:$AO199))</f>
        <v>0</v>
      </c>
      <c r="AL199">
        <f ca="1">MIN(INT(SUM(AF199:$AI199)/OFFSET($AV$2,MATCH(AF$3,$AE$3:$AI$3,0),0)),6-SUM(AM199:$AO199))</f>
        <v>0</v>
      </c>
      <c r="AM199">
        <f ca="1">MIN(INT((SUM(AG199:$AI199)+N199*2/6)/OFFSET($AV$2,MATCH(AG$3,$AE$3:$AI$3,0),0)),6-SUM(AN199:$AO199))</f>
        <v>1</v>
      </c>
      <c r="AN199">
        <f ca="1">MIN(INT(SUM(AH199:$AI199)/OFFSET($AV$2,MATCH(AH$3,$AE$3:$AI$3,0),0)),6-SUM(AO199:$AO199))</f>
        <v>4</v>
      </c>
      <c r="AO199">
        <f ca="1">INT(SUM(AI198:$AI199)/OFFSET($AV$2,MATCH(AI$3,$AE$3:$AI$3,0),0))</f>
        <v>1</v>
      </c>
      <c r="AP199" cm="1">
        <f ca="1" t="array" ref="AP199">SUMPRODUCT(AJ199:AO199,TRANSPOSE($AS$3:$AS$8))</f>
        <v>2.42</v>
      </c>
    </row>
    <row r="200" ht="16.5" spans="14:42">
      <c r="N200" s="2">
        <v>197</v>
      </c>
      <c r="O200" s="45">
        <f>产出预期!AN216</f>
        <v>21381</v>
      </c>
      <c r="P200" s="2">
        <f ca="1">练度预期!M199</f>
        <v>30</v>
      </c>
      <c r="Q200" s="2" t="str">
        <f ca="1" t="shared" si="61"/>
        <v>橙</v>
      </c>
      <c r="R200" s="46">
        <f ca="1" t="shared" si="62"/>
        <v>0</v>
      </c>
      <c r="S200" s="47">
        <f ca="1" t="shared" si="49"/>
        <v>7.140165</v>
      </c>
      <c r="T200" s="47">
        <f ca="1">MIN(1+($O200*1.4+产出预期!AC216*60)/OFFSET($J$14,MATCH(T$3,$T$3:$W$3,0),0),18)</f>
        <v>18</v>
      </c>
      <c r="U200" s="47">
        <f ca="1">MIN(($O200*1.4+产出预期!$AC216*60)/OFFSET($J$14,MATCH(U$3,$T$3:$W$3,0),0),3)</f>
        <v>3</v>
      </c>
      <c r="V200" s="47">
        <f ca="1">MIN(($O200*1.4+产出预期!$AC216*60)/OFFSET($J$14,MATCH(V$3,$T$3:$W$3,0),0),18)</f>
        <v>1.487868</v>
      </c>
      <c r="W200" s="47">
        <f ca="1">MIN(($O200*1.4+产出预期!$AC216*60)/OFFSET($J$14,MATCH(W$3,$T$3:$W$3,0),0),18)</f>
        <v>0.371967</v>
      </c>
      <c r="X200" s="47">
        <f ca="1" t="shared" si="50"/>
        <v>1.4284099</v>
      </c>
      <c r="Y200" s="47">
        <f ca="1" t="shared" si="51"/>
        <v>5.55991731349224</v>
      </c>
      <c r="Z200" s="47">
        <f ca="1" t="shared" si="52"/>
        <v>1.953125</v>
      </c>
      <c r="AA200" s="47">
        <f ca="1" t="shared" si="53"/>
        <v>1.51146499622923</v>
      </c>
      <c r="AB200" s="47">
        <f ca="1" t="shared" si="54"/>
        <v>1.07017009434335</v>
      </c>
      <c r="AC200" s="48">
        <f ca="1" t="shared" si="55"/>
        <v>25.0900847233769</v>
      </c>
      <c r="AD200" s="47">
        <f t="shared" si="48"/>
        <v>5345.25</v>
      </c>
      <c r="AE200" s="47">
        <f t="shared" si="56"/>
        <v>1336.3125</v>
      </c>
      <c r="AF200" s="47">
        <f t="shared" si="57"/>
        <v>334.078125</v>
      </c>
      <c r="AG200" s="47">
        <f t="shared" si="58"/>
        <v>83.51953125</v>
      </c>
      <c r="AH200" s="47">
        <f t="shared" si="59"/>
        <v>20.8798828125</v>
      </c>
      <c r="AI200" s="47">
        <f t="shared" si="60"/>
        <v>5.219970703125</v>
      </c>
      <c r="AJ200">
        <f ca="1">MIN(INT(SUM(AD200:$AI200)/OFFSET($AV$2,MATCH(AD$3,$AE$3:$AI$3,0),0)),6-SUM(AK200:$AO200))</f>
        <v>0</v>
      </c>
      <c r="AK200">
        <f ca="1">MIN(INT(SUM(AE200:$AI200)/OFFSET($AV$2,MATCH(AE$3,$AE$3:$AI$3,0),0)),6-SUM(AL200:$AO200))</f>
        <v>0</v>
      </c>
      <c r="AL200">
        <f ca="1">MIN(INT(SUM(AF200:$AI200)/OFFSET($AV$2,MATCH(AF$3,$AE$3:$AI$3,0),0)),6-SUM(AM200:$AO200))</f>
        <v>0</v>
      </c>
      <c r="AM200">
        <f ca="1">MIN(INT((SUM(AG200:$AI200)+N200*2/6)/OFFSET($AV$2,MATCH(AG$3,$AE$3:$AI$3,0),0)),6-SUM(AN200:$AO200))</f>
        <v>0</v>
      </c>
      <c r="AN200">
        <f ca="1">MIN(INT(SUM(AH200:$AI200)/OFFSET($AV$2,MATCH(AH$3,$AE$3:$AI$3,0),0)),6-SUM(AO200:$AO200))</f>
        <v>5</v>
      </c>
      <c r="AO200">
        <f ca="1">INT(SUM(AI199:$AI200)/OFFSET($AV$2,MATCH(AI$3,$AE$3:$AI$3,0),0))</f>
        <v>1</v>
      </c>
      <c r="AP200" cm="1">
        <f ca="1" t="array" ref="AP200">SUMPRODUCT(AJ200:AO200,TRANSPOSE($AS$3:$AS$8))</f>
        <v>2.5</v>
      </c>
    </row>
    <row r="201" ht="16.5" spans="14:42">
      <c r="N201" s="2">
        <v>198</v>
      </c>
      <c r="O201" s="45">
        <f>产出预期!AN217</f>
        <v>21489</v>
      </c>
      <c r="P201" s="2">
        <f ca="1">练度预期!M200</f>
        <v>30</v>
      </c>
      <c r="Q201" s="2" t="str">
        <f ca="1" t="shared" si="61"/>
        <v>橙</v>
      </c>
      <c r="R201" s="46">
        <f ca="1" t="shared" si="62"/>
        <v>0</v>
      </c>
      <c r="S201" s="47">
        <f ca="1" t="shared" si="49"/>
        <v>7.130385</v>
      </c>
      <c r="T201" s="47">
        <f ca="1">MIN(1+($O201*1.4+产出预期!AC217*60)/OFFSET($J$14,MATCH(T$3,$T$3:$W$3,0),0),18)</f>
        <v>18</v>
      </c>
      <c r="U201" s="47">
        <f ca="1">MIN(($O201*1.4+产出预期!$AC217*60)/OFFSET($J$14,MATCH(U$3,$T$3:$W$3,0),0),3)</f>
        <v>3</v>
      </c>
      <c r="V201" s="47">
        <f ca="1">MIN(($O201*1.4+产出预期!$AC217*60)/OFFSET($J$14,MATCH(V$3,$T$3:$W$3,0),0),18)</f>
        <v>1.495692</v>
      </c>
      <c r="W201" s="47">
        <f ca="1">MIN(($O201*1.4+产出预期!$AC217*60)/OFFSET($J$14,MATCH(W$3,$T$3:$W$3,0),0),18)</f>
        <v>0.373923</v>
      </c>
      <c r="X201" s="47">
        <f ca="1" t="shared" si="50"/>
        <v>1.4278231</v>
      </c>
      <c r="Y201" s="47">
        <f ca="1" t="shared" si="51"/>
        <v>5.55991731349224</v>
      </c>
      <c r="Z201" s="47">
        <f ca="1" t="shared" si="52"/>
        <v>1.953125</v>
      </c>
      <c r="AA201" s="47">
        <f ca="1" t="shared" si="53"/>
        <v>1.51475175488917</v>
      </c>
      <c r="AB201" s="47">
        <f ca="1" t="shared" si="54"/>
        <v>1.07055180749461</v>
      </c>
      <c r="AC201" s="48">
        <f ca="1" t="shared" si="55"/>
        <v>25.1432798477909</v>
      </c>
      <c r="AD201" s="47">
        <f t="shared" si="48"/>
        <v>5372.25</v>
      </c>
      <c r="AE201" s="47">
        <f t="shared" si="56"/>
        <v>1343.0625</v>
      </c>
      <c r="AF201" s="47">
        <f t="shared" si="57"/>
        <v>335.765625</v>
      </c>
      <c r="AG201" s="47">
        <f t="shared" si="58"/>
        <v>83.94140625</v>
      </c>
      <c r="AH201" s="47">
        <f t="shared" si="59"/>
        <v>20.9853515625</v>
      </c>
      <c r="AI201" s="47">
        <f t="shared" si="60"/>
        <v>5.246337890625</v>
      </c>
      <c r="AJ201">
        <f ca="1">MIN(INT(SUM(AD201:$AI201)/OFFSET($AV$2,MATCH(AD$3,$AE$3:$AI$3,0),0)),6-SUM(AK201:$AO201))</f>
        <v>0</v>
      </c>
      <c r="AK201">
        <f ca="1">MIN(INT(SUM(AE201:$AI201)/OFFSET($AV$2,MATCH(AE$3,$AE$3:$AI$3,0),0)),6-SUM(AL201:$AO201))</f>
        <v>0</v>
      </c>
      <c r="AL201">
        <f ca="1">MIN(INT(SUM(AF201:$AI201)/OFFSET($AV$2,MATCH(AF$3,$AE$3:$AI$3,0),0)),6-SUM(AM201:$AO201))</f>
        <v>0</v>
      </c>
      <c r="AM201">
        <f ca="1">MIN(INT((SUM(AG201:$AI201)+N201*2/6)/OFFSET($AV$2,MATCH(AG$3,$AE$3:$AI$3,0),0)),6-SUM(AN201:$AO201))</f>
        <v>0</v>
      </c>
      <c r="AN201">
        <f ca="1">MIN(INT(SUM(AH201:$AI201)/OFFSET($AV$2,MATCH(AH$3,$AE$3:$AI$3,0),0)),6-SUM(AO201:$AO201))</f>
        <v>4</v>
      </c>
      <c r="AO201">
        <f ca="1">INT(SUM(AI200:$AI201)/OFFSET($AV$2,MATCH(AI$3,$AE$3:$AI$3,0),0))</f>
        <v>2</v>
      </c>
      <c r="AP201" cm="1">
        <f ca="1" t="array" ref="AP201">SUMPRODUCT(AJ201:AO201,TRANSPOSE($AS$3:$AS$8))</f>
        <v>2.6</v>
      </c>
    </row>
    <row r="202" ht="16.5" spans="14:42">
      <c r="N202" s="2">
        <v>199</v>
      </c>
      <c r="O202" s="45">
        <f>产出预期!AN218</f>
        <v>21602</v>
      </c>
      <c r="P202" s="2">
        <f ca="1">练度预期!M201</f>
        <v>30</v>
      </c>
      <c r="Q202" s="2" t="str">
        <f ca="1" t="shared" si="61"/>
        <v>橙</v>
      </c>
      <c r="R202" s="46">
        <f ca="1" t="shared" si="62"/>
        <v>0</v>
      </c>
      <c r="S202" s="47">
        <f ca="1" t="shared" si="49"/>
        <v>7.12193</v>
      </c>
      <c r="T202" s="47">
        <f ca="1">MIN(1+($O202*1.4+产出预期!AC218*60)/OFFSET($J$14,MATCH(T$3,$T$3:$W$3,0),0),18)</f>
        <v>18</v>
      </c>
      <c r="U202" s="47">
        <f ca="1">MIN(($O202*1.4+产出预期!$AC218*60)/OFFSET($J$14,MATCH(U$3,$T$3:$W$3,0),0),3)</f>
        <v>3</v>
      </c>
      <c r="V202" s="47">
        <f ca="1">MIN(($O202*1.4+产出预期!$AC218*60)/OFFSET($J$14,MATCH(V$3,$T$3:$W$3,0),0),18)</f>
        <v>1.502456</v>
      </c>
      <c r="W202" s="47">
        <f ca="1">MIN(($O202*1.4+产出预期!$AC218*60)/OFFSET($J$14,MATCH(W$3,$T$3:$W$3,0),0),18)</f>
        <v>0.375614</v>
      </c>
      <c r="X202" s="47">
        <f ca="1" t="shared" si="50"/>
        <v>1.4273158</v>
      </c>
      <c r="Y202" s="47">
        <f ca="1" t="shared" si="51"/>
        <v>5.55991731349224</v>
      </c>
      <c r="Z202" s="47">
        <f ca="1" t="shared" si="52"/>
        <v>1.953125</v>
      </c>
      <c r="AA202" s="47">
        <f ca="1" t="shared" si="53"/>
        <v>1.51759898139305</v>
      </c>
      <c r="AB202" s="47">
        <f ca="1" t="shared" si="54"/>
        <v>1.07088191565976</v>
      </c>
      <c r="AC202" s="48">
        <f ca="1" t="shared" si="55"/>
        <v>25.1893555265418</v>
      </c>
      <c r="AD202" s="47">
        <f t="shared" si="48"/>
        <v>5400.5</v>
      </c>
      <c r="AE202" s="47">
        <f t="shared" si="56"/>
        <v>1350.125</v>
      </c>
      <c r="AF202" s="47">
        <f t="shared" si="57"/>
        <v>337.53125</v>
      </c>
      <c r="AG202" s="47">
        <f t="shared" si="58"/>
        <v>84.3828125</v>
      </c>
      <c r="AH202" s="47">
        <f t="shared" si="59"/>
        <v>21.095703125</v>
      </c>
      <c r="AI202" s="47">
        <f t="shared" si="60"/>
        <v>5.27392578125</v>
      </c>
      <c r="AJ202">
        <f ca="1">MIN(INT(SUM(AD202:$AI202)/OFFSET($AV$2,MATCH(AD$3,$AE$3:$AI$3,0),0)),6-SUM(AK202:$AO202))</f>
        <v>0</v>
      </c>
      <c r="AK202">
        <f ca="1">MIN(INT(SUM(AE202:$AI202)/OFFSET($AV$2,MATCH(AE$3,$AE$3:$AI$3,0),0)),6-SUM(AL202:$AO202))</f>
        <v>0</v>
      </c>
      <c r="AL202">
        <f ca="1">MIN(INT(SUM(AF202:$AI202)/OFFSET($AV$2,MATCH(AF$3,$AE$3:$AI$3,0),0)),6-SUM(AM202:$AO202))</f>
        <v>0</v>
      </c>
      <c r="AM202">
        <f ca="1">MIN(INT((SUM(AG202:$AI202)+N202*2/6)/OFFSET($AV$2,MATCH(AG$3,$AE$3:$AI$3,0),0)),6-SUM(AN202:$AO202))</f>
        <v>0</v>
      </c>
      <c r="AN202">
        <f ca="1">MIN(INT(SUM(AH202:$AI202)/OFFSET($AV$2,MATCH(AH$3,$AE$3:$AI$3,0),0)),6-SUM(AO202:$AO202))</f>
        <v>4</v>
      </c>
      <c r="AO202">
        <f ca="1">INT(SUM(AI201:$AI202)/OFFSET($AV$2,MATCH(AI$3,$AE$3:$AI$3,0),0))</f>
        <v>2</v>
      </c>
      <c r="AP202" cm="1">
        <f ca="1" t="array" ref="AP202">SUMPRODUCT(AJ202:AO202,TRANSPOSE($AS$3:$AS$8))</f>
        <v>2.6</v>
      </c>
    </row>
    <row r="203" ht="16.5" spans="14:42">
      <c r="N203" s="2">
        <v>200</v>
      </c>
      <c r="O203" s="45">
        <f>产出预期!AN219</f>
        <v>21710</v>
      </c>
      <c r="P203" s="2">
        <f ca="1">练度预期!M202</f>
        <v>30</v>
      </c>
      <c r="Q203" s="2" t="str">
        <f ca="1" t="shared" si="61"/>
        <v>橙</v>
      </c>
      <c r="R203" s="46">
        <f ca="1" t="shared" si="62"/>
        <v>0</v>
      </c>
      <c r="S203" s="47">
        <f ca="1" t="shared" si="49"/>
        <v>7.11215</v>
      </c>
      <c r="T203" s="47">
        <f ca="1">MIN(1+($O203*1.4+产出预期!AC219*60)/OFFSET($J$14,MATCH(T$3,$T$3:$W$3,0),0),18)</f>
        <v>18</v>
      </c>
      <c r="U203" s="47">
        <f ca="1">MIN(($O203*1.4+产出预期!$AC219*60)/OFFSET($J$14,MATCH(U$3,$T$3:$W$3,0),0),3)</f>
        <v>3</v>
      </c>
      <c r="V203" s="47">
        <f ca="1">MIN(($O203*1.4+产出预期!$AC219*60)/OFFSET($J$14,MATCH(V$3,$T$3:$W$3,0),0),18)</f>
        <v>1.51028</v>
      </c>
      <c r="W203" s="47">
        <f ca="1">MIN(($O203*1.4+产出预期!$AC219*60)/OFFSET($J$14,MATCH(W$3,$T$3:$W$3,0),0),18)</f>
        <v>0.37757</v>
      </c>
      <c r="X203" s="47">
        <f ca="1" t="shared" si="50"/>
        <v>1.426729</v>
      </c>
      <c r="Y203" s="47">
        <f ca="1" t="shared" si="51"/>
        <v>5.55991731349224</v>
      </c>
      <c r="Z203" s="47">
        <f ca="1" t="shared" si="52"/>
        <v>1.953125</v>
      </c>
      <c r="AA203" s="47">
        <f ca="1" t="shared" si="53"/>
        <v>1.52089907872037</v>
      </c>
      <c r="AB203" s="47">
        <f ca="1" t="shared" si="54"/>
        <v>1.0712638827067</v>
      </c>
      <c r="AC203" s="48">
        <f ca="1" t="shared" si="55"/>
        <v>25.2427531692173</v>
      </c>
      <c r="AD203" s="47">
        <f t="shared" si="48"/>
        <v>5427.5</v>
      </c>
      <c r="AE203" s="47">
        <f t="shared" si="56"/>
        <v>1356.875</v>
      </c>
      <c r="AF203" s="47">
        <f t="shared" si="57"/>
        <v>339.21875</v>
      </c>
      <c r="AG203" s="47">
        <f t="shared" si="58"/>
        <v>84.8046875</v>
      </c>
      <c r="AH203" s="47">
        <f t="shared" si="59"/>
        <v>21.201171875</v>
      </c>
      <c r="AI203" s="47">
        <f t="shared" si="60"/>
        <v>5.30029296875</v>
      </c>
      <c r="AJ203">
        <f ca="1">MIN(INT(SUM(AD203:$AI203)/OFFSET($AV$2,MATCH(AD$3,$AE$3:$AI$3,0),0)),6-SUM(AK203:$AO203))</f>
        <v>0</v>
      </c>
      <c r="AK203">
        <f ca="1">MIN(INT(SUM(AE203:$AI203)/OFFSET($AV$2,MATCH(AE$3,$AE$3:$AI$3,0),0)),6-SUM(AL203:$AO203))</f>
        <v>0</v>
      </c>
      <c r="AL203">
        <f ca="1">MIN(INT(SUM(AF203:$AI203)/OFFSET($AV$2,MATCH(AF$3,$AE$3:$AI$3,0),0)),6-SUM(AM203:$AO203))</f>
        <v>0</v>
      </c>
      <c r="AM203">
        <f ca="1">MIN(INT((SUM(AG203:$AI203)+N203*2/6)/OFFSET($AV$2,MATCH(AG$3,$AE$3:$AI$3,0),0)),6-SUM(AN203:$AO203))</f>
        <v>0</v>
      </c>
      <c r="AN203">
        <f ca="1">MIN(INT(SUM(AH203:$AI203)/OFFSET($AV$2,MATCH(AH$3,$AE$3:$AI$3,0),0)),6-SUM(AO203:$AO203))</f>
        <v>4</v>
      </c>
      <c r="AO203">
        <f ca="1">INT(SUM(AI202:$AI203)/OFFSET($AV$2,MATCH(AI$3,$AE$3:$AI$3,0),0))</f>
        <v>2</v>
      </c>
      <c r="AP203" cm="1">
        <f ca="1" t="array" ref="AP203">SUMPRODUCT(AJ203:AO203,TRANSPOSE($AS$3:$AS$8))</f>
        <v>2.6</v>
      </c>
    </row>
    <row r="204" ht="16.5" spans="14:42">
      <c r="N204" s="2">
        <v>201</v>
      </c>
      <c r="O204" s="45">
        <f>产出预期!AN220</f>
        <v>21828</v>
      </c>
      <c r="P204" s="2">
        <f ca="1">练度预期!M203</f>
        <v>30</v>
      </c>
      <c r="Q204" s="2" t="str">
        <f ca="1" t="shared" si="61"/>
        <v>橙</v>
      </c>
      <c r="R204" s="46">
        <f ca="1" t="shared" si="62"/>
        <v>0</v>
      </c>
      <c r="S204" s="47">
        <f ca="1" t="shared" si="49"/>
        <v>7.10352</v>
      </c>
      <c r="T204" s="47">
        <f ca="1">MIN(1+($O204*1.4+产出预期!AC220*60)/OFFSET($J$14,MATCH(T$3,$T$3:$W$3,0),0),18)</f>
        <v>18</v>
      </c>
      <c r="U204" s="47">
        <f ca="1">MIN(($O204*1.4+产出预期!$AC220*60)/OFFSET($J$14,MATCH(U$3,$T$3:$W$3,0),0),3)</f>
        <v>3</v>
      </c>
      <c r="V204" s="47">
        <f ca="1">MIN(($O204*1.4+产出预期!$AC220*60)/OFFSET($J$14,MATCH(V$3,$T$3:$W$3,0),0),18)</f>
        <v>1.517184</v>
      </c>
      <c r="W204" s="47">
        <f ca="1">MIN(($O204*1.4+产出预期!$AC220*60)/OFFSET($J$14,MATCH(W$3,$T$3:$W$3,0),0),18)</f>
        <v>0.379296</v>
      </c>
      <c r="X204" s="47">
        <f ca="1" t="shared" si="50"/>
        <v>1.4262112</v>
      </c>
      <c r="Y204" s="47">
        <f ca="1" t="shared" si="51"/>
        <v>5.55991731349224</v>
      </c>
      <c r="Z204" s="47">
        <f ca="1" t="shared" si="52"/>
        <v>1.953125</v>
      </c>
      <c r="AA204" s="47">
        <f ca="1" t="shared" si="53"/>
        <v>1.52381708738307</v>
      </c>
      <c r="AB204" s="47">
        <f ca="1" t="shared" si="54"/>
        <v>1.07160104857976</v>
      </c>
      <c r="AC204" s="48">
        <f ca="1" t="shared" si="55"/>
        <v>25.2899623993799</v>
      </c>
      <c r="AD204" s="47">
        <f t="shared" si="48"/>
        <v>5457</v>
      </c>
      <c r="AE204" s="47">
        <f t="shared" si="56"/>
        <v>1364.25</v>
      </c>
      <c r="AF204" s="47">
        <f t="shared" si="57"/>
        <v>341.0625</v>
      </c>
      <c r="AG204" s="47">
        <f t="shared" si="58"/>
        <v>85.265625</v>
      </c>
      <c r="AH204" s="47">
        <f t="shared" si="59"/>
        <v>21.31640625</v>
      </c>
      <c r="AI204" s="47">
        <f t="shared" si="60"/>
        <v>5.3291015625</v>
      </c>
      <c r="AJ204">
        <f ca="1">MIN(INT(SUM(AD204:$AI204)/OFFSET($AV$2,MATCH(AD$3,$AE$3:$AI$3,0),0)),6-SUM(AK204:$AO204))</f>
        <v>0</v>
      </c>
      <c r="AK204">
        <f ca="1">MIN(INT(SUM(AE204:$AI204)/OFFSET($AV$2,MATCH(AE$3,$AE$3:$AI$3,0),0)),6-SUM(AL204:$AO204))</f>
        <v>0</v>
      </c>
      <c r="AL204">
        <f ca="1">MIN(INT(SUM(AF204:$AI204)/OFFSET($AV$2,MATCH(AF$3,$AE$3:$AI$3,0),0)),6-SUM(AM204:$AO204))</f>
        <v>0</v>
      </c>
      <c r="AM204">
        <f ca="1">MIN(INT((SUM(AG204:$AI204)+N204*2/6)/OFFSET($AV$2,MATCH(AG$3,$AE$3:$AI$3,0),0)),6-SUM(AN204:$AO204))</f>
        <v>0</v>
      </c>
      <c r="AN204">
        <f ca="1">MIN(INT(SUM(AH204:$AI204)/OFFSET($AV$2,MATCH(AH$3,$AE$3:$AI$3,0),0)),6-SUM(AO204:$AO204))</f>
        <v>4</v>
      </c>
      <c r="AO204">
        <f ca="1">INT(SUM(AI203:$AI204)/OFFSET($AV$2,MATCH(AI$3,$AE$3:$AI$3,0),0))</f>
        <v>2</v>
      </c>
      <c r="AP204" cm="1">
        <f ca="1" t="array" ref="AP204">SUMPRODUCT(AJ204:AO204,TRANSPOSE($AS$3:$AS$8))</f>
        <v>2.6</v>
      </c>
    </row>
    <row r="205" ht="16.5" spans="14:42">
      <c r="N205" s="2">
        <v>202</v>
      </c>
      <c r="O205" s="45">
        <f>产出预期!AN221</f>
        <v>21908</v>
      </c>
      <c r="P205" s="2">
        <f ca="1">练度预期!M204</f>
        <v>30</v>
      </c>
      <c r="Q205" s="2" t="str">
        <f ca="1" t="shared" si="61"/>
        <v>橙</v>
      </c>
      <c r="R205" s="46">
        <f ca="1" t="shared" si="62"/>
        <v>0</v>
      </c>
      <c r="S205" s="47">
        <f ca="1" t="shared" si="49"/>
        <v>7.09472</v>
      </c>
      <c r="T205" s="47">
        <f ca="1">MIN(1+($O205*1.4+产出预期!AC221*60)/OFFSET($J$14,MATCH(T$3,$T$3:$W$3,0),0),18)</f>
        <v>18</v>
      </c>
      <c r="U205" s="47">
        <f ca="1">MIN(($O205*1.4+产出预期!$AC221*60)/OFFSET($J$14,MATCH(U$3,$T$3:$W$3,0),0),3)</f>
        <v>3</v>
      </c>
      <c r="V205" s="47">
        <f ca="1">MIN(($O205*1.4+产出预期!$AC221*60)/OFFSET($J$14,MATCH(V$3,$T$3:$W$3,0),0),18)</f>
        <v>1.524224</v>
      </c>
      <c r="W205" s="47">
        <f ca="1">MIN(($O205*1.4+产出预期!$AC221*60)/OFFSET($J$14,MATCH(W$3,$T$3:$W$3,0),0),18)</f>
        <v>0.381056</v>
      </c>
      <c r="X205" s="47">
        <f ca="1" t="shared" si="50"/>
        <v>1.4256832</v>
      </c>
      <c r="Y205" s="47">
        <f ca="1" t="shared" si="51"/>
        <v>5.55991731349224</v>
      </c>
      <c r="Z205" s="47">
        <f ca="1" t="shared" si="52"/>
        <v>1.953125</v>
      </c>
      <c r="AA205" s="47">
        <f ca="1" t="shared" si="53"/>
        <v>1.52679834219511</v>
      </c>
      <c r="AB205" s="47">
        <f ca="1" t="shared" si="54"/>
        <v>1.07194496546559</v>
      </c>
      <c r="AC205" s="48">
        <f ca="1" t="shared" si="55"/>
        <v>25.338189070181</v>
      </c>
      <c r="AD205" s="47">
        <f t="shared" si="48"/>
        <v>5477</v>
      </c>
      <c r="AE205" s="47">
        <f t="shared" si="56"/>
        <v>1369.25</v>
      </c>
      <c r="AF205" s="47">
        <f t="shared" si="57"/>
        <v>342.3125</v>
      </c>
      <c r="AG205" s="47">
        <f t="shared" si="58"/>
        <v>85.578125</v>
      </c>
      <c r="AH205" s="47">
        <f t="shared" si="59"/>
        <v>21.39453125</v>
      </c>
      <c r="AI205" s="47">
        <f t="shared" si="60"/>
        <v>5.3486328125</v>
      </c>
      <c r="AJ205">
        <f ca="1">MIN(INT(SUM(AD205:$AI205)/OFFSET($AV$2,MATCH(AD$3,$AE$3:$AI$3,0),0)),6-SUM(AK205:$AO205))</f>
        <v>0</v>
      </c>
      <c r="AK205">
        <f ca="1">MIN(INT(SUM(AE205:$AI205)/OFFSET($AV$2,MATCH(AE$3,$AE$3:$AI$3,0),0)),6-SUM(AL205:$AO205))</f>
        <v>0</v>
      </c>
      <c r="AL205">
        <f ca="1">MIN(INT(SUM(AF205:$AI205)/OFFSET($AV$2,MATCH(AF$3,$AE$3:$AI$3,0),0)),6-SUM(AM205:$AO205))</f>
        <v>0</v>
      </c>
      <c r="AM205">
        <f ca="1">MIN(INT((SUM(AG205:$AI205)+N205*2/6)/OFFSET($AV$2,MATCH(AG$3,$AE$3:$AI$3,0),0)),6-SUM(AN205:$AO205))</f>
        <v>0</v>
      </c>
      <c r="AN205">
        <f ca="1">MIN(INT(SUM(AH205:$AI205)/OFFSET($AV$2,MATCH(AH$3,$AE$3:$AI$3,0),0)),6-SUM(AO205:$AO205))</f>
        <v>4</v>
      </c>
      <c r="AO205">
        <f ca="1">INT(SUM(AI204:$AI205)/OFFSET($AV$2,MATCH(AI$3,$AE$3:$AI$3,0),0))</f>
        <v>2</v>
      </c>
      <c r="AP205" cm="1">
        <f ca="1" t="array" ref="AP205">SUMPRODUCT(AJ205:AO205,TRANSPOSE($AS$3:$AS$8))</f>
        <v>2.6</v>
      </c>
    </row>
    <row r="206" ht="16.5" spans="14:42">
      <c r="N206" s="2">
        <v>203</v>
      </c>
      <c r="O206" s="45">
        <f>产出预期!AN222</f>
        <v>22016</v>
      </c>
      <c r="P206" s="2">
        <f ca="1">练度预期!M205</f>
        <v>30</v>
      </c>
      <c r="Q206" s="2" t="str">
        <f ca="1" t="shared" si="61"/>
        <v>橙</v>
      </c>
      <c r="R206" s="46">
        <f ca="1" t="shared" si="62"/>
        <v>0</v>
      </c>
      <c r="S206" s="47">
        <f ca="1" t="shared" si="49"/>
        <v>7.08644</v>
      </c>
      <c r="T206" s="47">
        <f ca="1">MIN(1+($O206*1.4+产出预期!AC222*60)/OFFSET($J$14,MATCH(T$3,$T$3:$W$3,0),0),18)</f>
        <v>18</v>
      </c>
      <c r="U206" s="47">
        <f ca="1">MIN(($O206*1.4+产出预期!$AC222*60)/OFFSET($J$14,MATCH(U$3,$T$3:$W$3,0),0),3)</f>
        <v>3</v>
      </c>
      <c r="V206" s="47">
        <f ca="1">MIN(($O206*1.4+产出预期!$AC222*60)/OFFSET($J$14,MATCH(V$3,$T$3:$W$3,0),0),18)</f>
        <v>1.530848</v>
      </c>
      <c r="W206" s="47">
        <f ca="1">MIN(($O206*1.4+产出预期!$AC222*60)/OFFSET($J$14,MATCH(W$3,$T$3:$W$3,0),0),18)</f>
        <v>0.382712</v>
      </c>
      <c r="X206" s="47">
        <f ca="1" t="shared" si="50"/>
        <v>1.4251864</v>
      </c>
      <c r="Y206" s="47">
        <f ca="1" t="shared" si="51"/>
        <v>5.55991731349224</v>
      </c>
      <c r="Z206" s="47">
        <f ca="1" t="shared" si="52"/>
        <v>1.953125</v>
      </c>
      <c r="AA206" s="47">
        <f ca="1" t="shared" si="53"/>
        <v>1.52960875758621</v>
      </c>
      <c r="AB206" s="47">
        <f ca="1" t="shared" si="54"/>
        <v>1.07226866077454</v>
      </c>
      <c r="AC206" s="48">
        <f ca="1" t="shared" si="55"/>
        <v>25.3836467758473</v>
      </c>
      <c r="AD206" s="47">
        <f t="shared" si="48"/>
        <v>5504</v>
      </c>
      <c r="AE206" s="47">
        <f t="shared" si="56"/>
        <v>1376</v>
      </c>
      <c r="AF206" s="47">
        <f t="shared" si="57"/>
        <v>344</v>
      </c>
      <c r="AG206" s="47">
        <f t="shared" si="58"/>
        <v>86</v>
      </c>
      <c r="AH206" s="47">
        <f t="shared" si="59"/>
        <v>21.5</v>
      </c>
      <c r="AI206" s="47">
        <f t="shared" si="60"/>
        <v>5.375</v>
      </c>
      <c r="AJ206">
        <f ca="1">MIN(INT(SUM(AD206:$AI206)/OFFSET($AV$2,MATCH(AD$3,$AE$3:$AI$3,0),0)),6-SUM(AK206:$AO206))</f>
        <v>0</v>
      </c>
      <c r="AK206">
        <f ca="1">MIN(INT(SUM(AE206:$AI206)/OFFSET($AV$2,MATCH(AE$3,$AE$3:$AI$3,0),0)),6-SUM(AL206:$AO206))</f>
        <v>0</v>
      </c>
      <c r="AL206">
        <f ca="1">MIN(INT(SUM(AF206:$AI206)/OFFSET($AV$2,MATCH(AF$3,$AE$3:$AI$3,0),0)),6-SUM(AM206:$AO206))</f>
        <v>0</v>
      </c>
      <c r="AM206">
        <f ca="1">MIN(INT((SUM(AG206:$AI206)+N206*2/6)/OFFSET($AV$2,MATCH(AG$3,$AE$3:$AI$3,0),0)),6-SUM(AN206:$AO206))</f>
        <v>0</v>
      </c>
      <c r="AN206">
        <f ca="1">MIN(INT(SUM(AH206:$AI206)/OFFSET($AV$2,MATCH(AH$3,$AE$3:$AI$3,0),0)),6-SUM(AO206:$AO206))</f>
        <v>4</v>
      </c>
      <c r="AO206">
        <f ca="1">INT(SUM(AI205:$AI206)/OFFSET($AV$2,MATCH(AI$3,$AE$3:$AI$3,0),0))</f>
        <v>2</v>
      </c>
      <c r="AP206" cm="1">
        <f ca="1" t="array" ref="AP206">SUMPRODUCT(AJ206:AO206,TRANSPOSE($AS$3:$AS$8))</f>
        <v>2.6</v>
      </c>
    </row>
    <row r="207" ht="16.5" spans="14:42">
      <c r="N207" s="2">
        <v>204</v>
      </c>
      <c r="O207" s="45">
        <f>产出预期!AN223</f>
        <v>22129</v>
      </c>
      <c r="P207" s="2">
        <f ca="1">练度预期!M206</f>
        <v>30</v>
      </c>
      <c r="Q207" s="2" t="str">
        <f ca="1" t="shared" si="61"/>
        <v>橙</v>
      </c>
      <c r="R207" s="46">
        <f ca="1" t="shared" si="62"/>
        <v>0</v>
      </c>
      <c r="S207" s="47">
        <f ca="1" t="shared" si="49"/>
        <v>7.076485</v>
      </c>
      <c r="T207" s="47">
        <f ca="1">MIN(1+($O207*1.4+产出预期!AC223*60)/OFFSET($J$14,MATCH(T$3,$T$3:$W$3,0),0),18)</f>
        <v>18</v>
      </c>
      <c r="U207" s="47">
        <f ca="1">MIN(($O207*1.4+产出预期!$AC223*60)/OFFSET($J$14,MATCH(U$3,$T$3:$W$3,0),0),3)</f>
        <v>3</v>
      </c>
      <c r="V207" s="47">
        <f ca="1">MIN(($O207*1.4+产出预期!$AC223*60)/OFFSET($J$14,MATCH(V$3,$T$3:$W$3,0),0),18)</f>
        <v>1.538812</v>
      </c>
      <c r="W207" s="47">
        <f ca="1">MIN(($O207*1.4+产出预期!$AC223*60)/OFFSET($J$14,MATCH(W$3,$T$3:$W$3,0),0),18)</f>
        <v>0.384703</v>
      </c>
      <c r="X207" s="47">
        <f ca="1" t="shared" si="50"/>
        <v>1.4245891</v>
      </c>
      <c r="Y207" s="47">
        <f ca="1" t="shared" si="51"/>
        <v>5.55991731349224</v>
      </c>
      <c r="Z207" s="47">
        <f ca="1" t="shared" si="52"/>
        <v>1.953125</v>
      </c>
      <c r="AA207" s="47">
        <f ca="1" t="shared" si="53"/>
        <v>1.53299455474553</v>
      </c>
      <c r="AB207" s="47">
        <f ca="1" t="shared" si="54"/>
        <v>1.07265796733368</v>
      </c>
      <c r="AC207" s="48">
        <f ca="1" t="shared" si="55"/>
        <v>25.4384042225728</v>
      </c>
      <c r="AD207" s="47">
        <f t="shared" si="48"/>
        <v>5532.25</v>
      </c>
      <c r="AE207" s="47">
        <f t="shared" si="56"/>
        <v>1383.0625</v>
      </c>
      <c r="AF207" s="47">
        <f t="shared" si="57"/>
        <v>345.765625</v>
      </c>
      <c r="AG207" s="47">
        <f t="shared" si="58"/>
        <v>86.44140625</v>
      </c>
      <c r="AH207" s="47">
        <f t="shared" si="59"/>
        <v>21.6103515625</v>
      </c>
      <c r="AI207" s="47">
        <f t="shared" si="60"/>
        <v>5.402587890625</v>
      </c>
      <c r="AJ207">
        <f ca="1">MIN(INT(SUM(AD207:$AI207)/OFFSET($AV$2,MATCH(AD$3,$AE$3:$AI$3,0),0)),6-SUM(AK207:$AO207))</f>
        <v>0</v>
      </c>
      <c r="AK207">
        <f ca="1">MIN(INT(SUM(AE207:$AI207)/OFFSET($AV$2,MATCH(AE$3,$AE$3:$AI$3,0),0)),6-SUM(AL207:$AO207))</f>
        <v>0</v>
      </c>
      <c r="AL207">
        <f ca="1">MIN(INT(SUM(AF207:$AI207)/OFFSET($AV$2,MATCH(AF$3,$AE$3:$AI$3,0),0)),6-SUM(AM207:$AO207))</f>
        <v>0</v>
      </c>
      <c r="AM207">
        <f ca="1">MIN(INT((SUM(AG207:$AI207)+N207*2/6)/OFFSET($AV$2,MATCH(AG$3,$AE$3:$AI$3,0),0)),6-SUM(AN207:$AO207))</f>
        <v>0</v>
      </c>
      <c r="AN207">
        <f ca="1">MIN(INT(SUM(AH207:$AI207)/OFFSET($AV$2,MATCH(AH$3,$AE$3:$AI$3,0),0)),6-SUM(AO207:$AO207))</f>
        <v>4</v>
      </c>
      <c r="AO207">
        <f ca="1">INT(SUM(AI206:$AI207)/OFFSET($AV$2,MATCH(AI$3,$AE$3:$AI$3,0),0))</f>
        <v>2</v>
      </c>
      <c r="AP207" cm="1">
        <f ca="1" t="array" ref="AP207">SUMPRODUCT(AJ207:AO207,TRANSPOSE($AS$3:$AS$8))</f>
        <v>2.6</v>
      </c>
    </row>
    <row r="208" ht="16.5" spans="14:42">
      <c r="N208" s="2">
        <v>205</v>
      </c>
      <c r="O208" s="45">
        <f>产出预期!AN224</f>
        <v>22237</v>
      </c>
      <c r="P208" s="2">
        <f ca="1">练度预期!M207</f>
        <v>30</v>
      </c>
      <c r="Q208" s="2" t="str">
        <f ca="1" t="shared" si="61"/>
        <v>橙</v>
      </c>
      <c r="R208" s="46">
        <f ca="1" t="shared" si="62"/>
        <v>0</v>
      </c>
      <c r="S208" s="47">
        <f ca="1" t="shared" si="49"/>
        <v>7.068205</v>
      </c>
      <c r="T208" s="47">
        <f ca="1">MIN(1+($O208*1.4+产出预期!AC224*60)/OFFSET($J$14,MATCH(T$3,$T$3:$W$3,0),0),18)</f>
        <v>18</v>
      </c>
      <c r="U208" s="47">
        <f ca="1">MIN(($O208*1.4+产出预期!$AC224*60)/OFFSET($J$14,MATCH(U$3,$T$3:$W$3,0),0),3)</f>
        <v>3</v>
      </c>
      <c r="V208" s="47">
        <f ca="1">MIN(($O208*1.4+产出预期!$AC224*60)/OFFSET($J$14,MATCH(V$3,$T$3:$W$3,0),0),18)</f>
        <v>1.545436</v>
      </c>
      <c r="W208" s="47">
        <f ca="1">MIN(($O208*1.4+产出预期!$AC224*60)/OFFSET($J$14,MATCH(W$3,$T$3:$W$3,0),0),18)</f>
        <v>0.386359</v>
      </c>
      <c r="X208" s="47">
        <f ca="1" t="shared" si="50"/>
        <v>1.4240923</v>
      </c>
      <c r="Y208" s="47">
        <f ca="1" t="shared" si="51"/>
        <v>5.55991731349224</v>
      </c>
      <c r="Z208" s="47">
        <f ca="1" t="shared" si="52"/>
        <v>1.953125</v>
      </c>
      <c r="AA208" s="47">
        <f ca="1" t="shared" si="53"/>
        <v>1.535816375658</v>
      </c>
      <c r="AB208" s="47">
        <f ca="1" t="shared" si="54"/>
        <v>1.07298187794786</v>
      </c>
      <c r="AC208" s="48">
        <f ca="1" t="shared" si="55"/>
        <v>25.4840348956231</v>
      </c>
      <c r="AD208" s="47">
        <f t="shared" si="48"/>
        <v>5559.25</v>
      </c>
      <c r="AE208" s="47">
        <f t="shared" si="56"/>
        <v>1389.8125</v>
      </c>
      <c r="AF208" s="47">
        <f t="shared" si="57"/>
        <v>347.453125</v>
      </c>
      <c r="AG208" s="47">
        <f t="shared" si="58"/>
        <v>86.86328125</v>
      </c>
      <c r="AH208" s="47">
        <f t="shared" si="59"/>
        <v>21.7158203125</v>
      </c>
      <c r="AI208" s="47">
        <f t="shared" si="60"/>
        <v>5.428955078125</v>
      </c>
      <c r="AJ208">
        <f ca="1">MIN(INT(SUM(AD208:$AI208)/OFFSET($AV$2,MATCH(AD$3,$AE$3:$AI$3,0),0)),6-SUM(AK208:$AO208))</f>
        <v>0</v>
      </c>
      <c r="AK208">
        <f ca="1">MIN(INT(SUM(AE208:$AI208)/OFFSET($AV$2,MATCH(AE$3,$AE$3:$AI$3,0),0)),6-SUM(AL208:$AO208))</f>
        <v>0</v>
      </c>
      <c r="AL208">
        <f ca="1">MIN(INT(SUM(AF208:$AI208)/OFFSET($AV$2,MATCH(AF$3,$AE$3:$AI$3,0),0)),6-SUM(AM208:$AO208))</f>
        <v>0</v>
      </c>
      <c r="AM208">
        <f ca="1">MIN(INT((SUM(AG208:$AI208)+N208*2/6)/OFFSET($AV$2,MATCH(AG$3,$AE$3:$AI$3,0),0)),6-SUM(AN208:$AO208))</f>
        <v>0</v>
      </c>
      <c r="AN208">
        <f ca="1">MIN(INT(SUM(AH208:$AI208)/OFFSET($AV$2,MATCH(AH$3,$AE$3:$AI$3,0),0)),6-SUM(AO208:$AO208))</f>
        <v>4</v>
      </c>
      <c r="AO208">
        <f ca="1">INT(SUM(AI207:$AI208)/OFFSET($AV$2,MATCH(AI$3,$AE$3:$AI$3,0),0))</f>
        <v>2</v>
      </c>
      <c r="AP208" cm="1">
        <f ca="1" t="array" ref="AP208">SUMPRODUCT(AJ208:AO208,TRANSPOSE($AS$3:$AS$8))</f>
        <v>2.6</v>
      </c>
    </row>
    <row r="209" ht="16.5" spans="14:42">
      <c r="N209" s="2">
        <v>206</v>
      </c>
      <c r="O209" s="45">
        <f>产出预期!AN225</f>
        <v>22350</v>
      </c>
      <c r="P209" s="2">
        <f ca="1">练度预期!M208</f>
        <v>30</v>
      </c>
      <c r="Q209" s="2" t="str">
        <f ca="1" t="shared" si="61"/>
        <v>橙</v>
      </c>
      <c r="R209" s="46">
        <f ca="1" t="shared" si="62"/>
        <v>0</v>
      </c>
      <c r="S209" s="47">
        <f ca="1" t="shared" si="49"/>
        <v>7.05825</v>
      </c>
      <c r="T209" s="47">
        <f ca="1">MIN(1+($O209*1.4+产出预期!AC225*60)/OFFSET($J$14,MATCH(T$3,$T$3:$W$3,0),0),18)</f>
        <v>18</v>
      </c>
      <c r="U209" s="47">
        <f ca="1">MIN(($O209*1.4+产出预期!$AC225*60)/OFFSET($J$14,MATCH(U$3,$T$3:$W$3,0),0),3)</f>
        <v>3</v>
      </c>
      <c r="V209" s="47">
        <f ca="1">MIN(($O209*1.4+产出预期!$AC225*60)/OFFSET($J$14,MATCH(V$3,$T$3:$W$3,0),0),18)</f>
        <v>1.5534</v>
      </c>
      <c r="W209" s="47">
        <f ca="1">MIN(($O209*1.4+产出预期!$AC225*60)/OFFSET($J$14,MATCH(W$3,$T$3:$W$3,0),0),18)</f>
        <v>0.38835</v>
      </c>
      <c r="X209" s="47">
        <f ca="1" t="shared" si="50"/>
        <v>1.423495</v>
      </c>
      <c r="Y209" s="47">
        <f ca="1" t="shared" si="51"/>
        <v>5.55991731349224</v>
      </c>
      <c r="Z209" s="47">
        <f ca="1" t="shared" si="52"/>
        <v>1.953125</v>
      </c>
      <c r="AA209" s="47">
        <f ca="1" t="shared" si="53"/>
        <v>1.53921591341309</v>
      </c>
      <c r="AB209" s="47">
        <f ca="1" t="shared" si="54"/>
        <v>1.07337144345342</v>
      </c>
      <c r="AC209" s="48">
        <f ca="1" t="shared" si="55"/>
        <v>25.5390006722802</v>
      </c>
      <c r="AD209" s="47">
        <f t="shared" si="48"/>
        <v>5587.5</v>
      </c>
      <c r="AE209" s="47">
        <f t="shared" si="56"/>
        <v>1396.875</v>
      </c>
      <c r="AF209" s="47">
        <f t="shared" si="57"/>
        <v>349.21875</v>
      </c>
      <c r="AG209" s="47">
        <f t="shared" si="58"/>
        <v>87.3046875</v>
      </c>
      <c r="AH209" s="47">
        <f t="shared" si="59"/>
        <v>21.826171875</v>
      </c>
      <c r="AI209" s="47">
        <f t="shared" si="60"/>
        <v>5.45654296875</v>
      </c>
      <c r="AJ209">
        <f ca="1">MIN(INT(SUM(AD209:$AI209)/OFFSET($AV$2,MATCH(AD$3,$AE$3:$AI$3,0),0)),6-SUM(AK209:$AO209))</f>
        <v>0</v>
      </c>
      <c r="AK209">
        <f ca="1">MIN(INT(SUM(AE209:$AI209)/OFFSET($AV$2,MATCH(AE$3,$AE$3:$AI$3,0),0)),6-SUM(AL209:$AO209))</f>
        <v>0</v>
      </c>
      <c r="AL209">
        <f ca="1">MIN(INT(SUM(AF209:$AI209)/OFFSET($AV$2,MATCH(AF$3,$AE$3:$AI$3,0),0)),6-SUM(AM209:$AO209))</f>
        <v>0</v>
      </c>
      <c r="AM209">
        <f ca="1">MIN(INT((SUM(AG209:$AI209)+N209*2/6)/OFFSET($AV$2,MATCH(AG$3,$AE$3:$AI$3,0),0)),6-SUM(AN209:$AO209))</f>
        <v>0</v>
      </c>
      <c r="AN209">
        <f ca="1">MIN(INT(SUM(AH209:$AI209)/OFFSET($AV$2,MATCH(AH$3,$AE$3:$AI$3,0),0)),6-SUM(AO209:$AO209))</f>
        <v>4</v>
      </c>
      <c r="AO209">
        <f ca="1">INT(SUM(AI208:$AI209)/OFFSET($AV$2,MATCH(AI$3,$AE$3:$AI$3,0),0))</f>
        <v>2</v>
      </c>
      <c r="AP209" cm="1">
        <f ca="1" t="array" ref="AP209">SUMPRODUCT(AJ209:AO209,TRANSPOSE($AS$3:$AS$8))</f>
        <v>2.6</v>
      </c>
    </row>
    <row r="210" ht="16.5" spans="14:42">
      <c r="N210" s="2">
        <v>207</v>
      </c>
      <c r="O210" s="45">
        <f>产出预期!AN226</f>
        <v>22458</v>
      </c>
      <c r="P210" s="2">
        <f ca="1">练度预期!M209</f>
        <v>30</v>
      </c>
      <c r="Q210" s="2" t="str">
        <f ca="1" t="shared" si="61"/>
        <v>橙</v>
      </c>
      <c r="R210" s="46">
        <f ca="1" t="shared" si="62"/>
        <v>0</v>
      </c>
      <c r="S210" s="47">
        <f ca="1" t="shared" si="49"/>
        <v>7.04847</v>
      </c>
      <c r="T210" s="47">
        <f ca="1">MIN(1+($O210*1.4+产出预期!AC226*60)/OFFSET($J$14,MATCH(T$3,$T$3:$W$3,0),0),18)</f>
        <v>18</v>
      </c>
      <c r="U210" s="47">
        <f ca="1">MIN(($O210*1.4+产出预期!$AC226*60)/OFFSET($J$14,MATCH(U$3,$T$3:$W$3,0),0),3)</f>
        <v>3</v>
      </c>
      <c r="V210" s="47">
        <f ca="1">MIN(($O210*1.4+产出预期!$AC226*60)/OFFSET($J$14,MATCH(V$3,$T$3:$W$3,0),0),18)</f>
        <v>1.561224</v>
      </c>
      <c r="W210" s="47">
        <f ca="1">MIN(($O210*1.4+产出预期!$AC226*60)/OFFSET($J$14,MATCH(W$3,$T$3:$W$3,0),0),18)</f>
        <v>0.390306</v>
      </c>
      <c r="X210" s="47">
        <f ca="1" t="shared" si="50"/>
        <v>1.4229082</v>
      </c>
      <c r="Y210" s="47">
        <f ca="1" t="shared" si="51"/>
        <v>5.55991731349224</v>
      </c>
      <c r="Z210" s="47">
        <f ca="1" t="shared" si="52"/>
        <v>1.953125</v>
      </c>
      <c r="AA210" s="47">
        <f ca="1" t="shared" si="53"/>
        <v>1.54256301787502</v>
      </c>
      <c r="AB210" s="47">
        <f ca="1" t="shared" si="54"/>
        <v>1.07375429847649</v>
      </c>
      <c r="AC210" s="48">
        <f ca="1" t="shared" si="55"/>
        <v>25.5931112566541</v>
      </c>
      <c r="AD210" s="47">
        <f t="shared" si="48"/>
        <v>5614.5</v>
      </c>
      <c r="AE210" s="47">
        <f t="shared" si="56"/>
        <v>1403.625</v>
      </c>
      <c r="AF210" s="47">
        <f t="shared" si="57"/>
        <v>350.90625</v>
      </c>
      <c r="AG210" s="47">
        <f t="shared" si="58"/>
        <v>87.7265625</v>
      </c>
      <c r="AH210" s="47">
        <f t="shared" si="59"/>
        <v>21.931640625</v>
      </c>
      <c r="AI210" s="47">
        <f t="shared" si="60"/>
        <v>5.48291015625</v>
      </c>
      <c r="AJ210">
        <f ca="1">MIN(INT(SUM(AD210:$AI210)/OFFSET($AV$2,MATCH(AD$3,$AE$3:$AI$3,0),0)),6-SUM(AK210:$AO210))</f>
        <v>0</v>
      </c>
      <c r="AK210">
        <f ca="1">MIN(INT(SUM(AE210:$AI210)/OFFSET($AV$2,MATCH(AE$3,$AE$3:$AI$3,0),0)),6-SUM(AL210:$AO210))</f>
        <v>0</v>
      </c>
      <c r="AL210">
        <f ca="1">MIN(INT(SUM(AF210:$AI210)/OFFSET($AV$2,MATCH(AF$3,$AE$3:$AI$3,0),0)),6-SUM(AM210:$AO210))</f>
        <v>0</v>
      </c>
      <c r="AM210">
        <f ca="1">MIN(INT((SUM(AG210:$AI210)+N210*2/6)/OFFSET($AV$2,MATCH(AG$3,$AE$3:$AI$3,0),0)),6-SUM(AN210:$AO210))</f>
        <v>0</v>
      </c>
      <c r="AN210">
        <f ca="1">MIN(INT(SUM(AH210:$AI210)/OFFSET($AV$2,MATCH(AH$3,$AE$3:$AI$3,0),0)),6-SUM(AO210:$AO210))</f>
        <v>4</v>
      </c>
      <c r="AO210">
        <f ca="1">INT(SUM(AI209:$AI210)/OFFSET($AV$2,MATCH(AI$3,$AE$3:$AI$3,0),0))</f>
        <v>2</v>
      </c>
      <c r="AP210" cm="1">
        <f ca="1" t="array" ref="AP210">SUMPRODUCT(AJ210:AO210,TRANSPOSE($AS$3:$AS$8))</f>
        <v>2.6</v>
      </c>
    </row>
    <row r="211" ht="16.5" spans="14:42">
      <c r="N211" s="2">
        <v>208</v>
      </c>
      <c r="O211" s="45">
        <f>产出预期!AN227</f>
        <v>22543</v>
      </c>
      <c r="P211" s="2">
        <f ca="1">练度预期!M210</f>
        <v>30</v>
      </c>
      <c r="Q211" s="2" t="str">
        <f ca="1" t="shared" si="61"/>
        <v>橙</v>
      </c>
      <c r="R211" s="46">
        <f ca="1" t="shared" si="62"/>
        <v>0</v>
      </c>
      <c r="S211" s="47">
        <f ca="1" t="shared" si="49"/>
        <v>7.040995</v>
      </c>
      <c r="T211" s="47">
        <f ca="1">MIN(1+($O211*1.4+产出预期!AC227*60)/OFFSET($J$14,MATCH(T$3,$T$3:$W$3,0),0),18)</f>
        <v>18</v>
      </c>
      <c r="U211" s="47">
        <f ca="1">MIN(($O211*1.4+产出预期!$AC227*60)/OFFSET($J$14,MATCH(U$3,$T$3:$W$3,0),0),3)</f>
        <v>3</v>
      </c>
      <c r="V211" s="47">
        <f ca="1">MIN(($O211*1.4+产出预期!$AC227*60)/OFFSET($J$14,MATCH(V$3,$T$3:$W$3,0),0),18)</f>
        <v>1.567204</v>
      </c>
      <c r="W211" s="47">
        <f ca="1">MIN(($O211*1.4+产出预期!$AC227*60)/OFFSET($J$14,MATCH(W$3,$T$3:$W$3,0),0),18)</f>
        <v>0.391801</v>
      </c>
      <c r="X211" s="47">
        <f ca="1" t="shared" si="50"/>
        <v>1.4224597</v>
      </c>
      <c r="Y211" s="47">
        <f ca="1" t="shared" si="51"/>
        <v>5.55991731349224</v>
      </c>
      <c r="Z211" s="47">
        <f ca="1" t="shared" si="52"/>
        <v>1.953125</v>
      </c>
      <c r="AA211" s="47">
        <f ca="1" t="shared" si="53"/>
        <v>1.54512616641209</v>
      </c>
      <c r="AB211" s="47">
        <f ca="1" t="shared" si="54"/>
        <v>1.07404701235748</v>
      </c>
      <c r="AC211" s="48">
        <f ca="1" t="shared" si="55"/>
        <v>25.6345431318417</v>
      </c>
      <c r="AD211" s="47">
        <f t="shared" si="48"/>
        <v>5635.75</v>
      </c>
      <c r="AE211" s="47">
        <f t="shared" si="56"/>
        <v>1408.9375</v>
      </c>
      <c r="AF211" s="47">
        <f t="shared" si="57"/>
        <v>352.234375</v>
      </c>
      <c r="AG211" s="47">
        <f t="shared" si="58"/>
        <v>88.05859375</v>
      </c>
      <c r="AH211" s="47">
        <f t="shared" si="59"/>
        <v>22.0146484375</v>
      </c>
      <c r="AI211" s="47">
        <f t="shared" si="60"/>
        <v>5.503662109375</v>
      </c>
      <c r="AJ211">
        <f ca="1">MIN(INT(SUM(AD211:$AI211)/OFFSET($AV$2,MATCH(AD$3,$AE$3:$AI$3,0),0)),6-SUM(AK211:$AO211))</f>
        <v>0</v>
      </c>
      <c r="AK211">
        <f ca="1">MIN(INT(SUM(AE211:$AI211)/OFFSET($AV$2,MATCH(AE$3,$AE$3:$AI$3,0),0)),6-SUM(AL211:$AO211))</f>
        <v>0</v>
      </c>
      <c r="AL211">
        <f ca="1">MIN(INT(SUM(AF211:$AI211)/OFFSET($AV$2,MATCH(AF$3,$AE$3:$AI$3,0),0)),6-SUM(AM211:$AO211))</f>
        <v>0</v>
      </c>
      <c r="AM211">
        <f ca="1">MIN(INT((SUM(AG211:$AI211)+N211*2/6)/OFFSET($AV$2,MATCH(AG$3,$AE$3:$AI$3,0),0)),6-SUM(AN211:$AO211))</f>
        <v>0</v>
      </c>
      <c r="AN211">
        <f ca="1">MIN(INT(SUM(AH211:$AI211)/OFFSET($AV$2,MATCH(AH$3,$AE$3:$AI$3,0),0)),6-SUM(AO211:$AO211))</f>
        <v>4</v>
      </c>
      <c r="AO211">
        <f ca="1">INT(SUM(AI210:$AI211)/OFFSET($AV$2,MATCH(AI$3,$AE$3:$AI$3,0),0))</f>
        <v>2</v>
      </c>
      <c r="AP211" cm="1">
        <f ca="1" t="array" ref="AP211">SUMPRODUCT(AJ211:AO211,TRANSPOSE($AS$3:$AS$8))</f>
        <v>2.6</v>
      </c>
    </row>
    <row r="212" ht="16.5" spans="14:42">
      <c r="N212" s="2">
        <v>209</v>
      </c>
      <c r="O212" s="45">
        <f>产出预期!AN228</f>
        <v>22651</v>
      </c>
      <c r="P212" s="2">
        <f ca="1">练度预期!M211</f>
        <v>30</v>
      </c>
      <c r="Q212" s="2" t="str">
        <f ca="1" t="shared" si="61"/>
        <v>橙</v>
      </c>
      <c r="R212" s="46">
        <f ca="1" t="shared" si="62"/>
        <v>0</v>
      </c>
      <c r="S212" s="47">
        <f ca="1" t="shared" si="49"/>
        <v>7.031215</v>
      </c>
      <c r="T212" s="47">
        <f ca="1">MIN(1+($O212*1.4+产出预期!AC228*60)/OFFSET($J$14,MATCH(T$3,$T$3:$W$3,0),0),18)</f>
        <v>18</v>
      </c>
      <c r="U212" s="47">
        <f ca="1">MIN(($O212*1.4+产出预期!$AC228*60)/OFFSET($J$14,MATCH(U$3,$T$3:$W$3,0),0),3)</f>
        <v>3</v>
      </c>
      <c r="V212" s="47">
        <f ca="1">MIN(($O212*1.4+产出预期!$AC228*60)/OFFSET($J$14,MATCH(V$3,$T$3:$W$3,0),0),18)</f>
        <v>1.575028</v>
      </c>
      <c r="W212" s="47">
        <f ca="1">MIN(($O212*1.4+产出预期!$AC228*60)/OFFSET($J$14,MATCH(W$3,$T$3:$W$3,0),0),18)</f>
        <v>0.393757</v>
      </c>
      <c r="X212" s="47">
        <f ca="1" t="shared" si="50"/>
        <v>1.4218729</v>
      </c>
      <c r="Y212" s="47">
        <f ca="1" t="shared" si="51"/>
        <v>5.55991731349224</v>
      </c>
      <c r="Z212" s="47">
        <f ca="1" t="shared" si="52"/>
        <v>1.953125</v>
      </c>
      <c r="AA212" s="47">
        <f ca="1" t="shared" si="53"/>
        <v>1.54848612302426</v>
      </c>
      <c r="AB212" s="47">
        <f ca="1" t="shared" si="54"/>
        <v>1.07443010834555</v>
      </c>
      <c r="AC212" s="48">
        <f ca="1" t="shared" si="55"/>
        <v>25.6888484356234</v>
      </c>
      <c r="AD212" s="47">
        <f t="shared" si="48"/>
        <v>5662.75</v>
      </c>
      <c r="AE212" s="47">
        <f t="shared" si="56"/>
        <v>1415.6875</v>
      </c>
      <c r="AF212" s="47">
        <f t="shared" si="57"/>
        <v>353.921875</v>
      </c>
      <c r="AG212" s="47">
        <f t="shared" si="58"/>
        <v>88.48046875</v>
      </c>
      <c r="AH212" s="47">
        <f t="shared" si="59"/>
        <v>22.1201171875</v>
      </c>
      <c r="AI212" s="47">
        <f t="shared" si="60"/>
        <v>5.530029296875</v>
      </c>
      <c r="AJ212">
        <f ca="1">MIN(INT(SUM(AD212:$AI212)/OFFSET($AV$2,MATCH(AD$3,$AE$3:$AI$3,0),0)),6-SUM(AK212:$AO212))</f>
        <v>0</v>
      </c>
      <c r="AK212">
        <f ca="1">MIN(INT(SUM(AE212:$AI212)/OFFSET($AV$2,MATCH(AE$3,$AE$3:$AI$3,0),0)),6-SUM(AL212:$AO212))</f>
        <v>0</v>
      </c>
      <c r="AL212">
        <f ca="1">MIN(INT(SUM(AF212:$AI212)/OFFSET($AV$2,MATCH(AF$3,$AE$3:$AI$3,0),0)),6-SUM(AM212:$AO212))</f>
        <v>0</v>
      </c>
      <c r="AM212">
        <f ca="1">MIN(INT((SUM(AG212:$AI212)+N212*2/6)/OFFSET($AV$2,MATCH(AG$3,$AE$3:$AI$3,0),0)),6-SUM(AN212:$AO212))</f>
        <v>0</v>
      </c>
      <c r="AN212">
        <f ca="1">MIN(INT(SUM(AH212:$AI212)/OFFSET($AV$2,MATCH(AH$3,$AE$3:$AI$3,0),0)),6-SUM(AO212:$AO212))</f>
        <v>4</v>
      </c>
      <c r="AO212">
        <f ca="1">INT(SUM(AI211:$AI212)/OFFSET($AV$2,MATCH(AI$3,$AE$3:$AI$3,0),0))</f>
        <v>2</v>
      </c>
      <c r="AP212" cm="1">
        <f ca="1" t="array" ref="AP212">SUMPRODUCT(AJ212:AO212,TRANSPOSE($AS$3:$AS$8))</f>
        <v>2.6</v>
      </c>
    </row>
    <row r="213" ht="16.5" spans="14:42">
      <c r="N213" s="2">
        <v>210</v>
      </c>
      <c r="O213" s="45">
        <f>产出预期!AN229</f>
        <v>22759</v>
      </c>
      <c r="P213" s="2">
        <f ca="1">练度预期!M212</f>
        <v>30</v>
      </c>
      <c r="Q213" s="2" t="str">
        <f ca="1" t="shared" si="61"/>
        <v>橙</v>
      </c>
      <c r="R213" s="46">
        <f ca="1" t="shared" si="62"/>
        <v>0</v>
      </c>
      <c r="S213" s="47">
        <f ca="1" t="shared" si="49"/>
        <v>7.022935</v>
      </c>
      <c r="T213" s="47">
        <f ca="1">MIN(1+($O213*1.4+产出预期!AC229*60)/OFFSET($J$14,MATCH(T$3,$T$3:$W$3,0),0),18)</f>
        <v>18</v>
      </c>
      <c r="U213" s="47">
        <f ca="1">MIN(($O213*1.4+产出预期!$AC229*60)/OFFSET($J$14,MATCH(U$3,$T$3:$W$3,0),0),3)</f>
        <v>3</v>
      </c>
      <c r="V213" s="47">
        <f ca="1">MIN(($O213*1.4+产出预期!$AC229*60)/OFFSET($J$14,MATCH(V$3,$T$3:$W$3,0),0),18)</f>
        <v>1.581652</v>
      </c>
      <c r="W213" s="47">
        <f ca="1">MIN(($O213*1.4+产出预期!$AC229*60)/OFFSET($J$14,MATCH(W$3,$T$3:$W$3,0),0),18)</f>
        <v>0.395413</v>
      </c>
      <c r="X213" s="47">
        <f ca="1" t="shared" si="50"/>
        <v>1.4213761</v>
      </c>
      <c r="Y213" s="47">
        <f ca="1" t="shared" si="51"/>
        <v>5.55991731349224</v>
      </c>
      <c r="Z213" s="47">
        <f ca="1" t="shared" si="52"/>
        <v>1.953125</v>
      </c>
      <c r="AA213" s="47">
        <f ca="1" t="shared" si="53"/>
        <v>1.55133645964881</v>
      </c>
      <c r="AB213" s="47">
        <f ca="1" t="shared" si="54"/>
        <v>1.0747545540933</v>
      </c>
      <c r="AC213" s="48">
        <f ca="1" t="shared" si="55"/>
        <v>25.7349111981241</v>
      </c>
      <c r="AD213" s="47">
        <f t="shared" si="48"/>
        <v>5689.75</v>
      </c>
      <c r="AE213" s="47">
        <f t="shared" si="56"/>
        <v>1422.4375</v>
      </c>
      <c r="AF213" s="47">
        <f t="shared" si="57"/>
        <v>355.609375</v>
      </c>
      <c r="AG213" s="47">
        <f t="shared" si="58"/>
        <v>88.90234375</v>
      </c>
      <c r="AH213" s="47">
        <f t="shared" si="59"/>
        <v>22.2255859375</v>
      </c>
      <c r="AI213" s="47">
        <f t="shared" si="60"/>
        <v>5.556396484375</v>
      </c>
      <c r="AJ213">
        <f ca="1">MIN(INT(SUM(AD213:$AI213)/OFFSET($AV$2,MATCH(AD$3,$AE$3:$AI$3,0),0)),6-SUM(AK213:$AO213))</f>
        <v>0</v>
      </c>
      <c r="AK213">
        <f ca="1">MIN(INT(SUM(AE213:$AI213)/OFFSET($AV$2,MATCH(AE$3,$AE$3:$AI$3,0),0)),6-SUM(AL213:$AO213))</f>
        <v>0</v>
      </c>
      <c r="AL213">
        <f ca="1">MIN(INT(SUM(AF213:$AI213)/OFFSET($AV$2,MATCH(AF$3,$AE$3:$AI$3,0),0)),6-SUM(AM213:$AO213))</f>
        <v>0</v>
      </c>
      <c r="AM213">
        <f ca="1">MIN(INT((SUM(AG213:$AI213)+N213*2/6)/OFFSET($AV$2,MATCH(AG$3,$AE$3:$AI$3,0),0)),6-SUM(AN213:$AO213))</f>
        <v>0</v>
      </c>
      <c r="AN213">
        <f ca="1">MIN(INT(SUM(AH213:$AI213)/OFFSET($AV$2,MATCH(AH$3,$AE$3:$AI$3,0),0)),6-SUM(AO213:$AO213))</f>
        <v>4</v>
      </c>
      <c r="AO213">
        <f ca="1">INT(SUM(AI212:$AI213)/OFFSET($AV$2,MATCH(AI$3,$AE$3:$AI$3,0),0))</f>
        <v>2</v>
      </c>
      <c r="AP213" cm="1">
        <f ca="1" t="array" ref="AP213">SUMPRODUCT(AJ213:AO213,TRANSPOSE($AS$3:$AS$8))</f>
        <v>2.6</v>
      </c>
    </row>
    <row r="214" ht="16.5" spans="14:42">
      <c r="N214" s="2">
        <v>211</v>
      </c>
      <c r="O214" s="45">
        <f>产出预期!AN230</f>
        <v>22872</v>
      </c>
      <c r="P214" s="2">
        <f ca="1">练度预期!M213</f>
        <v>30</v>
      </c>
      <c r="Q214" s="2" t="str">
        <f ca="1" t="shared" si="61"/>
        <v>橙</v>
      </c>
      <c r="R214" s="46">
        <f ca="1" t="shared" si="62"/>
        <v>0</v>
      </c>
      <c r="S214" s="47">
        <f ca="1" t="shared" si="49"/>
        <v>7.01298</v>
      </c>
      <c r="T214" s="47">
        <f ca="1">MIN(1+($O214*1.4+产出预期!AC230*60)/OFFSET($J$14,MATCH(T$3,$T$3:$W$3,0),0),18)</f>
        <v>18</v>
      </c>
      <c r="U214" s="47">
        <f ca="1">MIN(($O214*1.4+产出预期!$AC230*60)/OFFSET($J$14,MATCH(U$3,$T$3:$W$3,0),0),3)</f>
        <v>3</v>
      </c>
      <c r="V214" s="47">
        <f ca="1">MIN(($O214*1.4+产出预期!$AC230*60)/OFFSET($J$14,MATCH(V$3,$T$3:$W$3,0),0),18)</f>
        <v>1.589616</v>
      </c>
      <c r="W214" s="47">
        <f ca="1">MIN(($O214*1.4+产出预期!$AC230*60)/OFFSET($J$14,MATCH(W$3,$T$3:$W$3,0),0),18)</f>
        <v>0.397404</v>
      </c>
      <c r="X214" s="47">
        <f ca="1" t="shared" si="50"/>
        <v>1.4207788</v>
      </c>
      <c r="Y214" s="47">
        <f ca="1" t="shared" si="51"/>
        <v>5.55991731349224</v>
      </c>
      <c r="Z214" s="47">
        <f ca="1" t="shared" si="52"/>
        <v>1.953125</v>
      </c>
      <c r="AA214" s="47">
        <f ca="1" t="shared" si="53"/>
        <v>1.55477035119276</v>
      </c>
      <c r="AB214" s="47">
        <f ca="1" t="shared" si="54"/>
        <v>1.07514476320104</v>
      </c>
      <c r="AC214" s="48">
        <f ca="1" t="shared" si="55"/>
        <v>25.7903974027464</v>
      </c>
      <c r="AD214" s="47">
        <f t="shared" si="48"/>
        <v>5718</v>
      </c>
      <c r="AE214" s="47">
        <f t="shared" si="56"/>
        <v>1429.5</v>
      </c>
      <c r="AF214" s="47">
        <f t="shared" si="57"/>
        <v>357.375</v>
      </c>
      <c r="AG214" s="47">
        <f t="shared" si="58"/>
        <v>89.34375</v>
      </c>
      <c r="AH214" s="47">
        <f t="shared" si="59"/>
        <v>22.3359375</v>
      </c>
      <c r="AI214" s="47">
        <f t="shared" si="60"/>
        <v>5.583984375</v>
      </c>
      <c r="AJ214">
        <f ca="1">MIN(INT(SUM(AD214:$AI214)/OFFSET($AV$2,MATCH(AD$3,$AE$3:$AI$3,0),0)),6-SUM(AK214:$AO214))</f>
        <v>0</v>
      </c>
      <c r="AK214">
        <f ca="1">MIN(INT(SUM(AE214:$AI214)/OFFSET($AV$2,MATCH(AE$3,$AE$3:$AI$3,0),0)),6-SUM(AL214:$AO214))</f>
        <v>0</v>
      </c>
      <c r="AL214">
        <f ca="1">MIN(INT(SUM(AF214:$AI214)/OFFSET($AV$2,MATCH(AF$3,$AE$3:$AI$3,0),0)),6-SUM(AM214:$AO214))</f>
        <v>0</v>
      </c>
      <c r="AM214">
        <f ca="1">MIN(INT((SUM(AG214:$AI214)+N214*2/6)/OFFSET($AV$2,MATCH(AG$3,$AE$3:$AI$3,0),0)),6-SUM(AN214:$AO214))</f>
        <v>0</v>
      </c>
      <c r="AN214">
        <f ca="1">MIN(INT(SUM(AH214:$AI214)/OFFSET($AV$2,MATCH(AH$3,$AE$3:$AI$3,0),0)),6-SUM(AO214:$AO214))</f>
        <v>4</v>
      </c>
      <c r="AO214">
        <f ca="1">INT(SUM(AI213:$AI214)/OFFSET($AV$2,MATCH(AI$3,$AE$3:$AI$3,0),0))</f>
        <v>2</v>
      </c>
      <c r="AP214" cm="1">
        <f ca="1" t="array" ref="AP214">SUMPRODUCT(AJ214:AO214,TRANSPOSE($AS$3:$AS$8))</f>
        <v>2.6</v>
      </c>
    </row>
    <row r="215" ht="16.5" spans="14:42">
      <c r="N215" s="2">
        <v>212</v>
      </c>
      <c r="O215" s="45">
        <f>产出预期!AN231</f>
        <v>22980</v>
      </c>
      <c r="P215" s="2">
        <f ca="1">练度预期!M214</f>
        <v>30</v>
      </c>
      <c r="Q215" s="2" t="str">
        <f ca="1" t="shared" si="61"/>
        <v>橙</v>
      </c>
      <c r="R215" s="46">
        <f ca="1" t="shared" si="62"/>
        <v>0</v>
      </c>
      <c r="S215" s="47">
        <f ca="1" t="shared" si="49"/>
        <v>7.0047</v>
      </c>
      <c r="T215" s="47">
        <f ca="1">MIN(1+($O215*1.4+产出预期!AC231*60)/OFFSET($J$14,MATCH(T$3,$T$3:$W$3,0),0),18)</f>
        <v>18</v>
      </c>
      <c r="U215" s="47">
        <f ca="1">MIN(($O215*1.4+产出预期!$AC231*60)/OFFSET($J$14,MATCH(U$3,$T$3:$W$3,0),0),3)</f>
        <v>3</v>
      </c>
      <c r="V215" s="47">
        <f ca="1">MIN(($O215*1.4+产出预期!$AC231*60)/OFFSET($J$14,MATCH(V$3,$T$3:$W$3,0),0),18)</f>
        <v>1.59624</v>
      </c>
      <c r="W215" s="47">
        <f ca="1">MIN(($O215*1.4+产出预期!$AC231*60)/OFFSET($J$14,MATCH(W$3,$T$3:$W$3,0),0),18)</f>
        <v>0.39906</v>
      </c>
      <c r="X215" s="47">
        <f ca="1" t="shared" si="50"/>
        <v>1.420282</v>
      </c>
      <c r="Y215" s="47">
        <f ca="1" t="shared" si="51"/>
        <v>5.55991731349224</v>
      </c>
      <c r="Z215" s="47">
        <f ca="1" t="shared" si="52"/>
        <v>1.953125</v>
      </c>
      <c r="AA215" s="47">
        <f ca="1" t="shared" si="53"/>
        <v>1.55763225535119</v>
      </c>
      <c r="AB215" s="47">
        <f ca="1" t="shared" si="54"/>
        <v>1.07546942475317</v>
      </c>
      <c r="AC215" s="48">
        <f ca="1" t="shared" si="55"/>
        <v>25.8366352989771</v>
      </c>
      <c r="AD215" s="47">
        <f t="shared" si="48"/>
        <v>5745</v>
      </c>
      <c r="AE215" s="47">
        <f t="shared" si="56"/>
        <v>1436.25</v>
      </c>
      <c r="AF215" s="47">
        <f t="shared" si="57"/>
        <v>359.0625</v>
      </c>
      <c r="AG215" s="47">
        <f t="shared" si="58"/>
        <v>89.765625</v>
      </c>
      <c r="AH215" s="47">
        <f t="shared" si="59"/>
        <v>22.44140625</v>
      </c>
      <c r="AI215" s="47">
        <f t="shared" si="60"/>
        <v>5.6103515625</v>
      </c>
      <c r="AJ215">
        <f ca="1">MIN(INT(SUM(AD215:$AI215)/OFFSET($AV$2,MATCH(AD$3,$AE$3:$AI$3,0),0)),6-SUM(AK215:$AO215))</f>
        <v>0</v>
      </c>
      <c r="AK215">
        <f ca="1">MIN(INT(SUM(AE215:$AI215)/OFFSET($AV$2,MATCH(AE$3,$AE$3:$AI$3,0),0)),6-SUM(AL215:$AO215))</f>
        <v>0</v>
      </c>
      <c r="AL215">
        <f ca="1">MIN(INT(SUM(AF215:$AI215)/OFFSET($AV$2,MATCH(AF$3,$AE$3:$AI$3,0),0)),6-SUM(AM215:$AO215))</f>
        <v>0</v>
      </c>
      <c r="AM215">
        <f ca="1">MIN(INT((SUM(AG215:$AI215)+N215*2/6)/OFFSET($AV$2,MATCH(AG$3,$AE$3:$AI$3,0),0)),6-SUM(AN215:$AO215))</f>
        <v>0</v>
      </c>
      <c r="AN215">
        <f ca="1">MIN(INT(SUM(AH215:$AI215)/OFFSET($AV$2,MATCH(AH$3,$AE$3:$AI$3,0),0)),6-SUM(AO215:$AO215))</f>
        <v>4</v>
      </c>
      <c r="AO215">
        <f ca="1">INT(SUM(AI214:$AI215)/OFFSET($AV$2,MATCH(AI$3,$AE$3:$AI$3,0),0))</f>
        <v>2</v>
      </c>
      <c r="AP215" cm="1">
        <f ca="1" t="array" ref="AP215">SUMPRODUCT(AJ215:AO215,TRANSPOSE($AS$3:$AS$8))</f>
        <v>2.6</v>
      </c>
    </row>
    <row r="216" ht="16.5" spans="14:42">
      <c r="N216" s="2">
        <v>213</v>
      </c>
      <c r="O216" s="45">
        <f>产出预期!AN232</f>
        <v>23093</v>
      </c>
      <c r="P216" s="2">
        <f ca="1">练度预期!M215</f>
        <v>30</v>
      </c>
      <c r="Q216" s="2" t="str">
        <f ca="1" t="shared" si="61"/>
        <v>橙</v>
      </c>
      <c r="R216" s="46">
        <f ca="1" t="shared" si="62"/>
        <v>0</v>
      </c>
      <c r="S216" s="47">
        <f ca="1" t="shared" si="49"/>
        <v>6.994745</v>
      </c>
      <c r="T216" s="47">
        <f ca="1">MIN(1+($O216*1.4+产出预期!AC232*60)/OFFSET($J$14,MATCH(T$3,$T$3:$W$3,0),0),18)</f>
        <v>18</v>
      </c>
      <c r="U216" s="47">
        <f ca="1">MIN(($O216*1.4+产出预期!$AC232*60)/OFFSET($J$14,MATCH(U$3,$T$3:$W$3,0),0),3)</f>
        <v>3</v>
      </c>
      <c r="V216" s="47">
        <f ca="1">MIN(($O216*1.4+产出预期!$AC232*60)/OFFSET($J$14,MATCH(V$3,$T$3:$W$3,0),0),18)</f>
        <v>1.604204</v>
      </c>
      <c r="W216" s="47">
        <f ca="1">MIN(($O216*1.4+产出预期!$AC232*60)/OFFSET($J$14,MATCH(W$3,$T$3:$W$3,0),0),18)</f>
        <v>0.401051</v>
      </c>
      <c r="X216" s="47">
        <f ca="1" t="shared" si="50"/>
        <v>1.4196847</v>
      </c>
      <c r="Y216" s="47">
        <f ca="1" t="shared" si="51"/>
        <v>5.55991731349224</v>
      </c>
      <c r="Z216" s="47">
        <f ca="1" t="shared" si="52"/>
        <v>1.953125</v>
      </c>
      <c r="AA216" s="47">
        <f ca="1" t="shared" si="53"/>
        <v>1.56108008267258</v>
      </c>
      <c r="AB216" s="47">
        <f ca="1" t="shared" si="54"/>
        <v>1.07585989340765</v>
      </c>
      <c r="AC216" s="48">
        <f ca="1" t="shared" si="55"/>
        <v>25.8923324423002</v>
      </c>
      <c r="AD216" s="47">
        <f t="shared" si="48"/>
        <v>5773.25</v>
      </c>
      <c r="AE216" s="47">
        <f t="shared" si="56"/>
        <v>1443.3125</v>
      </c>
      <c r="AF216" s="47">
        <f t="shared" si="57"/>
        <v>360.828125</v>
      </c>
      <c r="AG216" s="47">
        <f t="shared" si="58"/>
        <v>90.20703125</v>
      </c>
      <c r="AH216" s="47">
        <f t="shared" si="59"/>
        <v>22.5517578125</v>
      </c>
      <c r="AI216" s="47">
        <f t="shared" si="60"/>
        <v>5.637939453125</v>
      </c>
      <c r="AJ216">
        <f ca="1">MIN(INT(SUM(AD216:$AI216)/OFFSET($AV$2,MATCH(AD$3,$AE$3:$AI$3,0),0)),6-SUM(AK216:$AO216))</f>
        <v>0</v>
      </c>
      <c r="AK216">
        <f ca="1">MIN(INT(SUM(AE216:$AI216)/OFFSET($AV$2,MATCH(AE$3,$AE$3:$AI$3,0),0)),6-SUM(AL216:$AO216))</f>
        <v>0</v>
      </c>
      <c r="AL216">
        <f ca="1">MIN(INT(SUM(AF216:$AI216)/OFFSET($AV$2,MATCH(AF$3,$AE$3:$AI$3,0),0)),6-SUM(AM216:$AO216))</f>
        <v>0</v>
      </c>
      <c r="AM216">
        <f ca="1">MIN(INT((SUM(AG216:$AI216)+N216*2/6)/OFFSET($AV$2,MATCH(AG$3,$AE$3:$AI$3,0),0)),6-SUM(AN216:$AO216))</f>
        <v>0</v>
      </c>
      <c r="AN216">
        <f ca="1">MIN(INT(SUM(AH216:$AI216)/OFFSET($AV$2,MATCH(AH$3,$AE$3:$AI$3,0),0)),6-SUM(AO216:$AO216))</f>
        <v>4</v>
      </c>
      <c r="AO216">
        <f ca="1">INT(SUM(AI215:$AI216)/OFFSET($AV$2,MATCH(AI$3,$AE$3:$AI$3,0),0))</f>
        <v>2</v>
      </c>
      <c r="AP216" cm="1">
        <f ca="1" t="array" ref="AP216">SUMPRODUCT(AJ216:AO216,TRANSPOSE($AS$3:$AS$8))</f>
        <v>2.6</v>
      </c>
    </row>
    <row r="217" ht="16.5" spans="14:42">
      <c r="N217" s="2">
        <v>214</v>
      </c>
      <c r="O217" s="45">
        <f>产出预期!AN233</f>
        <v>23173</v>
      </c>
      <c r="P217" s="2">
        <f ca="1">练度预期!M216</f>
        <v>30</v>
      </c>
      <c r="Q217" s="2" t="str">
        <f ca="1" t="shared" si="61"/>
        <v>橙</v>
      </c>
      <c r="R217" s="46">
        <f ca="1" t="shared" si="62"/>
        <v>0</v>
      </c>
      <c r="S217" s="47">
        <f ca="1" t="shared" si="49"/>
        <v>6.987445</v>
      </c>
      <c r="T217" s="47">
        <f ca="1">MIN(1+($O217*1.4+产出预期!AC233*60)/OFFSET($J$14,MATCH(T$3,$T$3:$W$3,0),0),18)</f>
        <v>18</v>
      </c>
      <c r="U217" s="47">
        <f ca="1">MIN(($O217*1.4+产出预期!$AC233*60)/OFFSET($J$14,MATCH(U$3,$T$3:$W$3,0),0),3)</f>
        <v>3</v>
      </c>
      <c r="V217" s="47">
        <f ca="1">MIN(($O217*1.4+产出预期!$AC233*60)/OFFSET($J$14,MATCH(V$3,$T$3:$W$3,0),0),18)</f>
        <v>1.610044</v>
      </c>
      <c r="W217" s="47">
        <f ca="1">MIN(($O217*1.4+产出预期!$AC233*60)/OFFSET($J$14,MATCH(W$3,$T$3:$W$3,0),0),18)</f>
        <v>0.402511</v>
      </c>
      <c r="X217" s="47">
        <f ca="1" t="shared" si="50"/>
        <v>1.4192467</v>
      </c>
      <c r="Y217" s="47">
        <f ca="1" t="shared" si="51"/>
        <v>5.55991731349224</v>
      </c>
      <c r="Z217" s="47">
        <f ca="1" t="shared" si="52"/>
        <v>1.953125</v>
      </c>
      <c r="AA217" s="47">
        <f ca="1" t="shared" si="53"/>
        <v>1.56361322308178</v>
      </c>
      <c r="AB217" s="47">
        <f ca="1" t="shared" si="54"/>
        <v>1.07614631410501</v>
      </c>
      <c r="AC217" s="48">
        <f ca="1" t="shared" si="55"/>
        <v>25.9332485227798</v>
      </c>
      <c r="AD217" s="47">
        <f t="shared" si="48"/>
        <v>5793.25</v>
      </c>
      <c r="AE217" s="47">
        <f t="shared" si="56"/>
        <v>1448.3125</v>
      </c>
      <c r="AF217" s="47">
        <f t="shared" si="57"/>
        <v>362.078125</v>
      </c>
      <c r="AG217" s="47">
        <f t="shared" si="58"/>
        <v>90.51953125</v>
      </c>
      <c r="AH217" s="47">
        <f t="shared" si="59"/>
        <v>22.6298828125</v>
      </c>
      <c r="AI217" s="47">
        <f t="shared" si="60"/>
        <v>5.657470703125</v>
      </c>
      <c r="AJ217">
        <f ca="1">MIN(INT(SUM(AD217:$AI217)/OFFSET($AV$2,MATCH(AD$3,$AE$3:$AI$3,0),0)),6-SUM(AK217:$AO217))</f>
        <v>0</v>
      </c>
      <c r="AK217">
        <f ca="1">MIN(INT(SUM(AE217:$AI217)/OFFSET($AV$2,MATCH(AE$3,$AE$3:$AI$3,0),0)),6-SUM(AL217:$AO217))</f>
        <v>0</v>
      </c>
      <c r="AL217">
        <f ca="1">MIN(INT(SUM(AF217:$AI217)/OFFSET($AV$2,MATCH(AF$3,$AE$3:$AI$3,0),0)),6-SUM(AM217:$AO217))</f>
        <v>0</v>
      </c>
      <c r="AM217">
        <f ca="1">MIN(INT((SUM(AG217:$AI217)+N217*2/6)/OFFSET($AV$2,MATCH(AG$3,$AE$3:$AI$3,0),0)),6-SUM(AN217:$AO217))</f>
        <v>0</v>
      </c>
      <c r="AN217">
        <f ca="1">MIN(INT(SUM(AH217:$AI217)/OFFSET($AV$2,MATCH(AH$3,$AE$3:$AI$3,0),0)),6-SUM(AO217:$AO217))</f>
        <v>4</v>
      </c>
      <c r="AO217">
        <f ca="1">INT(SUM(AI216:$AI217)/OFFSET($AV$2,MATCH(AI$3,$AE$3:$AI$3,0),0))</f>
        <v>2</v>
      </c>
      <c r="AP217" cm="1">
        <f ca="1" t="array" ref="AP217">SUMPRODUCT(AJ217:AO217,TRANSPOSE($AS$3:$AS$8))</f>
        <v>2.6</v>
      </c>
    </row>
    <row r="218" ht="16.5" spans="14:42">
      <c r="N218" s="2">
        <v>215</v>
      </c>
      <c r="O218" s="45">
        <f>产出预期!AN234</f>
        <v>23286</v>
      </c>
      <c r="P218" s="2">
        <f ca="1">练度预期!M217</f>
        <v>30</v>
      </c>
      <c r="Q218" s="2" t="str">
        <f ca="1" t="shared" si="61"/>
        <v>橙</v>
      </c>
      <c r="R218" s="46">
        <f ca="1" t="shared" si="62"/>
        <v>0</v>
      </c>
      <c r="S218" s="47">
        <f ca="1" t="shared" si="49"/>
        <v>6.97749</v>
      </c>
      <c r="T218" s="47">
        <f ca="1">MIN(1+($O218*1.4+产出预期!AC234*60)/OFFSET($J$14,MATCH(T$3,$T$3:$W$3,0),0),18)</f>
        <v>18</v>
      </c>
      <c r="U218" s="47">
        <f ca="1">MIN(($O218*1.4+产出预期!$AC234*60)/OFFSET($J$14,MATCH(U$3,$T$3:$W$3,0),0),3)</f>
        <v>3</v>
      </c>
      <c r="V218" s="47">
        <f ca="1">MIN(($O218*1.4+产出预期!$AC234*60)/OFFSET($J$14,MATCH(V$3,$T$3:$W$3,0),0),18)</f>
        <v>1.618008</v>
      </c>
      <c r="W218" s="47">
        <f ca="1">MIN(($O218*1.4+产出预期!$AC234*60)/OFFSET($J$14,MATCH(W$3,$T$3:$W$3,0),0),18)</f>
        <v>0.404502</v>
      </c>
      <c r="X218" s="47">
        <f ca="1" t="shared" si="50"/>
        <v>1.4186494</v>
      </c>
      <c r="Y218" s="47">
        <f ca="1" t="shared" si="51"/>
        <v>5.55991731349224</v>
      </c>
      <c r="Z218" s="47">
        <f ca="1" t="shared" si="52"/>
        <v>1.953125</v>
      </c>
      <c r="AA218" s="47">
        <f ca="1" t="shared" si="53"/>
        <v>1.56707428930719</v>
      </c>
      <c r="AB218" s="47">
        <f ca="1" t="shared" si="54"/>
        <v>1.07653702851643</v>
      </c>
      <c r="AC218" s="48">
        <f ca="1" t="shared" si="55"/>
        <v>25.9891459630823</v>
      </c>
      <c r="AD218" s="47">
        <f t="shared" si="48"/>
        <v>5821.5</v>
      </c>
      <c r="AE218" s="47">
        <f t="shared" si="56"/>
        <v>1455.375</v>
      </c>
      <c r="AF218" s="47">
        <f t="shared" si="57"/>
        <v>363.84375</v>
      </c>
      <c r="AG218" s="47">
        <f t="shared" si="58"/>
        <v>90.9609375</v>
      </c>
      <c r="AH218" s="47">
        <f t="shared" si="59"/>
        <v>22.740234375</v>
      </c>
      <c r="AI218" s="47">
        <f t="shared" si="60"/>
        <v>5.68505859375</v>
      </c>
      <c r="AJ218">
        <f ca="1">MIN(INT(SUM(AD218:$AI218)/OFFSET($AV$2,MATCH(AD$3,$AE$3:$AI$3,0),0)),6-SUM(AK218:$AO218))</f>
        <v>0</v>
      </c>
      <c r="AK218">
        <f ca="1">MIN(INT(SUM(AE218:$AI218)/OFFSET($AV$2,MATCH(AE$3,$AE$3:$AI$3,0),0)),6-SUM(AL218:$AO218))</f>
        <v>0</v>
      </c>
      <c r="AL218">
        <f ca="1">MIN(INT(SUM(AF218:$AI218)/OFFSET($AV$2,MATCH(AF$3,$AE$3:$AI$3,0),0)),6-SUM(AM218:$AO218))</f>
        <v>0</v>
      </c>
      <c r="AM218">
        <f ca="1">MIN(INT((SUM(AG218:$AI218)+N218*2/6)/OFFSET($AV$2,MATCH(AG$3,$AE$3:$AI$3,0),0)),6-SUM(AN218:$AO218))</f>
        <v>0</v>
      </c>
      <c r="AN218">
        <f ca="1">MIN(INT(SUM(AH218:$AI218)/OFFSET($AV$2,MATCH(AH$3,$AE$3:$AI$3,0),0)),6-SUM(AO218:$AO218))</f>
        <v>4</v>
      </c>
      <c r="AO218">
        <f ca="1">INT(SUM(AI217:$AI218)/OFFSET($AV$2,MATCH(AI$3,$AE$3:$AI$3,0),0))</f>
        <v>2</v>
      </c>
      <c r="AP218" cm="1">
        <f ca="1" t="array" ref="AP218">SUMPRODUCT(AJ218:AO218,TRANSPOSE($AS$3:$AS$8))</f>
        <v>2.6</v>
      </c>
    </row>
    <row r="219" ht="16.5" spans="14:42">
      <c r="N219" s="2">
        <v>216</v>
      </c>
      <c r="O219" s="45">
        <f>产出预期!AN235</f>
        <v>23399</v>
      </c>
      <c r="P219" s="2">
        <f ca="1">练度预期!M218</f>
        <v>30</v>
      </c>
      <c r="Q219" s="2" t="str">
        <f ca="1" t="shared" si="61"/>
        <v>橙</v>
      </c>
      <c r="R219" s="46">
        <f ca="1" t="shared" si="62"/>
        <v>0</v>
      </c>
      <c r="S219" s="47">
        <f ca="1" t="shared" si="49"/>
        <v>6.969035</v>
      </c>
      <c r="T219" s="47">
        <f ca="1">MIN(1+($O219*1.4+产出预期!AC235*60)/OFFSET($J$14,MATCH(T$3,$T$3:$W$3,0),0),18)</f>
        <v>18</v>
      </c>
      <c r="U219" s="47">
        <f ca="1">MIN(($O219*1.4+产出预期!$AC235*60)/OFFSET($J$14,MATCH(U$3,$T$3:$W$3,0),0),3)</f>
        <v>3</v>
      </c>
      <c r="V219" s="47">
        <f ca="1">MIN(($O219*1.4+产出预期!$AC235*60)/OFFSET($J$14,MATCH(V$3,$T$3:$W$3,0),0),18)</f>
        <v>1.624772</v>
      </c>
      <c r="W219" s="47">
        <f ca="1">MIN(($O219*1.4+产出预期!$AC235*60)/OFFSET($J$14,MATCH(W$3,$T$3:$W$3,0),0),18)</f>
        <v>0.406193</v>
      </c>
      <c r="X219" s="47">
        <f ca="1" t="shared" si="50"/>
        <v>1.4181421</v>
      </c>
      <c r="Y219" s="47">
        <f ca="1" t="shared" si="51"/>
        <v>5.55991731349224</v>
      </c>
      <c r="Z219" s="47">
        <f ca="1" t="shared" si="52"/>
        <v>1.953125</v>
      </c>
      <c r="AA219" s="47">
        <f ca="1" t="shared" si="53"/>
        <v>1.57001986467006</v>
      </c>
      <c r="AB219" s="47">
        <f ca="1" t="shared" si="54"/>
        <v>1.07686898224413</v>
      </c>
      <c r="AC219" s="48">
        <f ca="1" t="shared" si="55"/>
        <v>26.036711870945</v>
      </c>
      <c r="AD219" s="47">
        <f t="shared" si="48"/>
        <v>5849.75</v>
      </c>
      <c r="AE219" s="47">
        <f t="shared" si="56"/>
        <v>1462.4375</v>
      </c>
      <c r="AF219" s="47">
        <f t="shared" si="57"/>
        <v>365.609375</v>
      </c>
      <c r="AG219" s="47">
        <f t="shared" si="58"/>
        <v>91.40234375</v>
      </c>
      <c r="AH219" s="47">
        <f t="shared" si="59"/>
        <v>22.8505859375</v>
      </c>
      <c r="AI219" s="47">
        <f t="shared" si="60"/>
        <v>5.712646484375</v>
      </c>
      <c r="AJ219">
        <f ca="1">MIN(INT(SUM(AD219:$AI219)/OFFSET($AV$2,MATCH(AD$3,$AE$3:$AI$3,0),0)),6-SUM(AK219:$AO219))</f>
        <v>0</v>
      </c>
      <c r="AK219">
        <f ca="1">MIN(INT(SUM(AE219:$AI219)/OFFSET($AV$2,MATCH(AE$3,$AE$3:$AI$3,0),0)),6-SUM(AL219:$AO219))</f>
        <v>0</v>
      </c>
      <c r="AL219">
        <f ca="1">MIN(INT(SUM(AF219:$AI219)/OFFSET($AV$2,MATCH(AF$3,$AE$3:$AI$3,0),0)),6-SUM(AM219:$AO219))</f>
        <v>0</v>
      </c>
      <c r="AM219">
        <f ca="1">MIN(INT((SUM(AG219:$AI219)+N219*2/6)/OFFSET($AV$2,MATCH(AG$3,$AE$3:$AI$3,0),0)),6-SUM(AN219:$AO219))</f>
        <v>0</v>
      </c>
      <c r="AN219">
        <f ca="1">MIN(INT(SUM(AH219:$AI219)/OFFSET($AV$2,MATCH(AH$3,$AE$3:$AI$3,0),0)),6-SUM(AO219:$AO219))</f>
        <v>4</v>
      </c>
      <c r="AO219">
        <f ca="1">INT(SUM(AI218:$AI219)/OFFSET($AV$2,MATCH(AI$3,$AE$3:$AI$3,0),0))</f>
        <v>2</v>
      </c>
      <c r="AP219" cm="1">
        <f ca="1" t="array" ref="AP219">SUMPRODUCT(AJ219:AO219,TRANSPOSE($AS$3:$AS$8))</f>
        <v>2.6</v>
      </c>
    </row>
    <row r="220" ht="16.5" spans="14:42">
      <c r="N220" s="2">
        <v>217</v>
      </c>
      <c r="O220" s="45">
        <f>产出预期!AN236</f>
        <v>23507</v>
      </c>
      <c r="P220" s="2">
        <f ca="1">练度预期!M219</f>
        <v>30</v>
      </c>
      <c r="Q220" s="2" t="str">
        <f ca="1" t="shared" si="61"/>
        <v>橙</v>
      </c>
      <c r="R220" s="46">
        <f ca="1" t="shared" si="62"/>
        <v>0</v>
      </c>
      <c r="S220" s="47">
        <f ca="1" t="shared" si="49"/>
        <v>6.959255</v>
      </c>
      <c r="T220" s="47">
        <f ca="1">MIN(1+($O220*1.4+产出预期!AC236*60)/OFFSET($J$14,MATCH(T$3,$T$3:$W$3,0),0),18)</f>
        <v>18</v>
      </c>
      <c r="U220" s="47">
        <f ca="1">MIN(($O220*1.4+产出预期!$AC236*60)/OFFSET($J$14,MATCH(U$3,$T$3:$W$3,0),0),3)</f>
        <v>3</v>
      </c>
      <c r="V220" s="47">
        <f ca="1">MIN(($O220*1.4+产出预期!$AC236*60)/OFFSET($J$14,MATCH(V$3,$T$3:$W$3,0),0),18)</f>
        <v>1.632596</v>
      </c>
      <c r="W220" s="47">
        <f ca="1">MIN(($O220*1.4+产出预期!$AC236*60)/OFFSET($J$14,MATCH(W$3,$T$3:$W$3,0),0),18)</f>
        <v>0.408149</v>
      </c>
      <c r="X220" s="47">
        <f ca="1" t="shared" si="50"/>
        <v>1.4175553</v>
      </c>
      <c r="Y220" s="47">
        <f ca="1" t="shared" si="51"/>
        <v>5.55991731349224</v>
      </c>
      <c r="Z220" s="47">
        <f ca="1" t="shared" si="52"/>
        <v>1.953125</v>
      </c>
      <c r="AA220" s="47">
        <f ca="1" t="shared" si="53"/>
        <v>1.57343395391417</v>
      </c>
      <c r="AB220" s="47">
        <f ca="1" t="shared" si="54"/>
        <v>1.07725308478529</v>
      </c>
      <c r="AC220" s="48">
        <f ca="1" t="shared" si="55"/>
        <v>26.0918363624065</v>
      </c>
      <c r="AD220" s="47">
        <f t="shared" si="48"/>
        <v>5876.75</v>
      </c>
      <c r="AE220" s="47">
        <f t="shared" si="56"/>
        <v>1469.1875</v>
      </c>
      <c r="AF220" s="47">
        <f t="shared" si="57"/>
        <v>367.296875</v>
      </c>
      <c r="AG220" s="47">
        <f t="shared" si="58"/>
        <v>91.82421875</v>
      </c>
      <c r="AH220" s="47">
        <f t="shared" si="59"/>
        <v>22.9560546875</v>
      </c>
      <c r="AI220" s="47">
        <f t="shared" si="60"/>
        <v>5.739013671875</v>
      </c>
      <c r="AJ220">
        <f ca="1">MIN(INT(SUM(AD220:$AI220)/OFFSET($AV$2,MATCH(AD$3,$AE$3:$AI$3,0),0)),6-SUM(AK220:$AO220))</f>
        <v>0</v>
      </c>
      <c r="AK220">
        <f ca="1">MIN(INT(SUM(AE220:$AI220)/OFFSET($AV$2,MATCH(AE$3,$AE$3:$AI$3,0),0)),6-SUM(AL220:$AO220))</f>
        <v>0</v>
      </c>
      <c r="AL220">
        <f ca="1">MIN(INT(SUM(AF220:$AI220)/OFFSET($AV$2,MATCH(AF$3,$AE$3:$AI$3,0),0)),6-SUM(AM220:$AO220))</f>
        <v>0</v>
      </c>
      <c r="AM220">
        <f ca="1">MIN(INT((SUM(AG220:$AI220)+N220*2/6)/OFFSET($AV$2,MATCH(AG$3,$AE$3:$AI$3,0),0)),6-SUM(AN220:$AO220))</f>
        <v>0</v>
      </c>
      <c r="AN220">
        <f ca="1">MIN(INT(SUM(AH220:$AI220)/OFFSET($AV$2,MATCH(AH$3,$AE$3:$AI$3,0),0)),6-SUM(AO220:$AO220))</f>
        <v>4</v>
      </c>
      <c r="AO220">
        <f ca="1">INT(SUM(AI219:$AI220)/OFFSET($AV$2,MATCH(AI$3,$AE$3:$AI$3,0),0))</f>
        <v>2</v>
      </c>
      <c r="AP220" cm="1">
        <f ca="1" t="array" ref="AP220">SUMPRODUCT(AJ220:AO220,TRANSPOSE($AS$3:$AS$8))</f>
        <v>2.6</v>
      </c>
    </row>
    <row r="221" ht="16.5" spans="14:42">
      <c r="N221" s="2">
        <v>218</v>
      </c>
      <c r="O221" s="45">
        <f>产出预期!AN237</f>
        <v>23620</v>
      </c>
      <c r="P221" s="2">
        <f ca="1">练度预期!M220</f>
        <v>30</v>
      </c>
      <c r="Q221" s="2" t="str">
        <f ca="1" t="shared" si="61"/>
        <v>橙</v>
      </c>
      <c r="R221" s="46">
        <f ca="1" t="shared" si="62"/>
        <v>0</v>
      </c>
      <c r="S221" s="47">
        <f ca="1" t="shared" si="49"/>
        <v>6.9508</v>
      </c>
      <c r="T221" s="47">
        <f ca="1">MIN(1+($O221*1.4+产出预期!AC237*60)/OFFSET($J$14,MATCH(T$3,$T$3:$W$3,0),0),18)</f>
        <v>18</v>
      </c>
      <c r="U221" s="47">
        <f ca="1">MIN(($O221*1.4+产出预期!$AC237*60)/OFFSET($J$14,MATCH(U$3,$T$3:$W$3,0),0),3)</f>
        <v>3</v>
      </c>
      <c r="V221" s="47">
        <f ca="1">MIN(($O221*1.4+产出预期!$AC237*60)/OFFSET($J$14,MATCH(V$3,$T$3:$W$3,0),0),18)</f>
        <v>1.63936</v>
      </c>
      <c r="W221" s="47">
        <f ca="1">MIN(($O221*1.4+产出预期!$AC237*60)/OFFSET($J$14,MATCH(W$3,$T$3:$W$3,0),0),18)</f>
        <v>0.40984</v>
      </c>
      <c r="X221" s="47">
        <f ca="1" t="shared" si="50"/>
        <v>1.417048</v>
      </c>
      <c r="Y221" s="47">
        <f ca="1" t="shared" si="51"/>
        <v>5.55991731349224</v>
      </c>
      <c r="Z221" s="47">
        <f ca="1" t="shared" si="52"/>
        <v>1.953125</v>
      </c>
      <c r="AA221" s="47">
        <f ca="1" t="shared" si="53"/>
        <v>1.57639148331872</v>
      </c>
      <c r="AB221" s="47">
        <f ca="1" t="shared" si="54"/>
        <v>1.0775852593113</v>
      </c>
      <c r="AC221" s="48">
        <f ca="1" t="shared" si="55"/>
        <v>26.1395829994321</v>
      </c>
      <c r="AD221" s="47">
        <f t="shared" si="48"/>
        <v>5905</v>
      </c>
      <c r="AE221" s="47">
        <f t="shared" si="56"/>
        <v>1476.25</v>
      </c>
      <c r="AF221" s="47">
        <f t="shared" si="57"/>
        <v>369.0625</v>
      </c>
      <c r="AG221" s="47">
        <f t="shared" si="58"/>
        <v>92.265625</v>
      </c>
      <c r="AH221" s="47">
        <f t="shared" si="59"/>
        <v>23.06640625</v>
      </c>
      <c r="AI221" s="47">
        <f t="shared" si="60"/>
        <v>5.7666015625</v>
      </c>
      <c r="AJ221">
        <f ca="1">MIN(INT(SUM(AD221:$AI221)/OFFSET($AV$2,MATCH(AD$3,$AE$3:$AI$3,0),0)),6-SUM(AK221:$AO221))</f>
        <v>0</v>
      </c>
      <c r="AK221">
        <f ca="1">MIN(INT(SUM(AE221:$AI221)/OFFSET($AV$2,MATCH(AE$3,$AE$3:$AI$3,0),0)),6-SUM(AL221:$AO221))</f>
        <v>0</v>
      </c>
      <c r="AL221">
        <f ca="1">MIN(INT(SUM(AF221:$AI221)/OFFSET($AV$2,MATCH(AF$3,$AE$3:$AI$3,0),0)),6-SUM(AM221:$AO221))</f>
        <v>0</v>
      </c>
      <c r="AM221">
        <f ca="1">MIN(INT((SUM(AG221:$AI221)+N221*2/6)/OFFSET($AV$2,MATCH(AG$3,$AE$3:$AI$3,0),0)),6-SUM(AN221:$AO221))</f>
        <v>0</v>
      </c>
      <c r="AN221">
        <f ca="1">MIN(INT(SUM(AH221:$AI221)/OFFSET($AV$2,MATCH(AH$3,$AE$3:$AI$3,0),0)),6-SUM(AO221:$AO221))</f>
        <v>4</v>
      </c>
      <c r="AO221">
        <f ca="1">INT(SUM(AI220:$AI221)/OFFSET($AV$2,MATCH(AI$3,$AE$3:$AI$3,0),0))</f>
        <v>2</v>
      </c>
      <c r="AP221" cm="1">
        <f ca="1" t="array" ref="AP221">SUMPRODUCT(AJ221:AO221,TRANSPOSE($AS$3:$AS$8))</f>
        <v>2.6</v>
      </c>
    </row>
    <row r="222" ht="16.5" spans="14:42">
      <c r="N222" s="2">
        <v>219</v>
      </c>
      <c r="O222" s="45">
        <f>产出预期!AN238</f>
        <v>23728</v>
      </c>
      <c r="P222" s="2">
        <f ca="1">练度预期!M221</f>
        <v>30</v>
      </c>
      <c r="Q222" s="2" t="str">
        <f ca="1" t="shared" si="61"/>
        <v>橙</v>
      </c>
      <c r="R222" s="46">
        <f ca="1" t="shared" si="62"/>
        <v>0</v>
      </c>
      <c r="S222" s="47">
        <f ca="1" t="shared" si="49"/>
        <v>6.94102</v>
      </c>
      <c r="T222" s="47">
        <f ca="1">MIN(1+($O222*1.4+产出预期!AC238*60)/OFFSET($J$14,MATCH(T$3,$T$3:$W$3,0),0),18)</f>
        <v>18</v>
      </c>
      <c r="U222" s="47">
        <f ca="1">MIN(($O222*1.4+产出预期!$AC238*60)/OFFSET($J$14,MATCH(U$3,$T$3:$W$3,0),0),3)</f>
        <v>3</v>
      </c>
      <c r="V222" s="47">
        <f ca="1">MIN(($O222*1.4+产出预期!$AC238*60)/OFFSET($J$14,MATCH(V$3,$T$3:$W$3,0),0),18)</f>
        <v>1.647184</v>
      </c>
      <c r="W222" s="47">
        <f ca="1">MIN(($O222*1.4+产出预期!$AC238*60)/OFFSET($J$14,MATCH(W$3,$T$3:$W$3,0),0),18)</f>
        <v>0.411796</v>
      </c>
      <c r="X222" s="47">
        <f ca="1" t="shared" si="50"/>
        <v>1.4164612</v>
      </c>
      <c r="Y222" s="47">
        <f ca="1" t="shared" si="51"/>
        <v>5.55991731349224</v>
      </c>
      <c r="Z222" s="47">
        <f ca="1" t="shared" si="52"/>
        <v>1.953125</v>
      </c>
      <c r="AA222" s="47">
        <f ca="1" t="shared" si="53"/>
        <v>1.5798194279765</v>
      </c>
      <c r="AB222" s="47">
        <f ca="1" t="shared" si="54"/>
        <v>1.07796961733743</v>
      </c>
      <c r="AC222" s="48">
        <f ca="1" t="shared" si="55"/>
        <v>26.1949169157262</v>
      </c>
      <c r="AD222" s="47">
        <f t="shared" si="48"/>
        <v>5932</v>
      </c>
      <c r="AE222" s="47">
        <f t="shared" si="56"/>
        <v>1483</v>
      </c>
      <c r="AF222" s="47">
        <f t="shared" si="57"/>
        <v>370.75</v>
      </c>
      <c r="AG222" s="47">
        <f t="shared" si="58"/>
        <v>92.6875</v>
      </c>
      <c r="AH222" s="47">
        <f t="shared" si="59"/>
        <v>23.171875</v>
      </c>
      <c r="AI222" s="47">
        <f t="shared" si="60"/>
        <v>5.79296875</v>
      </c>
      <c r="AJ222">
        <f ca="1">MIN(INT(SUM(AD222:$AI222)/OFFSET($AV$2,MATCH(AD$3,$AE$3:$AI$3,0),0)),6-SUM(AK222:$AO222))</f>
        <v>0</v>
      </c>
      <c r="AK222">
        <f ca="1">MIN(INT(SUM(AE222:$AI222)/OFFSET($AV$2,MATCH(AE$3,$AE$3:$AI$3,0),0)),6-SUM(AL222:$AO222))</f>
        <v>0</v>
      </c>
      <c r="AL222">
        <f ca="1">MIN(INT(SUM(AF222:$AI222)/OFFSET($AV$2,MATCH(AF$3,$AE$3:$AI$3,0),0)),6-SUM(AM222:$AO222))</f>
        <v>0</v>
      </c>
      <c r="AM222">
        <f ca="1">MIN(INT((SUM(AG222:$AI222)+N222*2/6)/OFFSET($AV$2,MATCH(AG$3,$AE$3:$AI$3,0),0)),6-SUM(AN222:$AO222))</f>
        <v>0</v>
      </c>
      <c r="AN222">
        <f ca="1">MIN(INT(SUM(AH222:$AI222)/OFFSET($AV$2,MATCH(AH$3,$AE$3:$AI$3,0),0)),6-SUM(AO222:$AO222))</f>
        <v>4</v>
      </c>
      <c r="AO222">
        <f ca="1">INT(SUM(AI221:$AI222)/OFFSET($AV$2,MATCH(AI$3,$AE$3:$AI$3,0),0))</f>
        <v>2</v>
      </c>
      <c r="AP222" cm="1">
        <f ca="1" t="array" ref="AP222">SUMPRODUCT(AJ222:AO222,TRANSPOSE($AS$3:$AS$8))</f>
        <v>2.6</v>
      </c>
    </row>
    <row r="223" ht="16.5" spans="14:42">
      <c r="N223" s="2">
        <v>220</v>
      </c>
      <c r="O223" s="45">
        <f>产出预期!AN239</f>
        <v>23841</v>
      </c>
      <c r="P223" s="2">
        <f ca="1">练度预期!M222</f>
        <v>30</v>
      </c>
      <c r="Q223" s="2" t="str">
        <f ca="1" t="shared" si="61"/>
        <v>橙</v>
      </c>
      <c r="R223" s="46">
        <f ca="1" t="shared" si="62"/>
        <v>0</v>
      </c>
      <c r="S223" s="47">
        <f ca="1" t="shared" si="49"/>
        <v>6.931065</v>
      </c>
      <c r="T223" s="47">
        <f ca="1">MIN(1+($O223*1.4+产出预期!AC239*60)/OFFSET($J$14,MATCH(T$3,$T$3:$W$3,0),0),18)</f>
        <v>18</v>
      </c>
      <c r="U223" s="47">
        <f ca="1">MIN(($O223*1.4+产出预期!$AC239*60)/OFFSET($J$14,MATCH(U$3,$T$3:$W$3,0),0),3)</f>
        <v>3</v>
      </c>
      <c r="V223" s="47">
        <f ca="1">MIN(($O223*1.4+产出预期!$AC239*60)/OFFSET($J$14,MATCH(V$3,$T$3:$W$3,0),0),18)</f>
        <v>1.655148</v>
      </c>
      <c r="W223" s="47">
        <f ca="1">MIN(($O223*1.4+产出预期!$AC239*60)/OFFSET($J$14,MATCH(W$3,$T$3:$W$3,0),0),18)</f>
        <v>0.413787</v>
      </c>
      <c r="X223" s="47">
        <f ca="1" t="shared" si="50"/>
        <v>1.4158639</v>
      </c>
      <c r="Y223" s="47">
        <f ca="1" t="shared" si="51"/>
        <v>5.55991731349224</v>
      </c>
      <c r="Z223" s="47">
        <f ca="1" t="shared" si="52"/>
        <v>1.953125</v>
      </c>
      <c r="AA223" s="47">
        <f ca="1" t="shared" si="53"/>
        <v>1.58331636672306</v>
      </c>
      <c r="AB223" s="47">
        <f ca="1" t="shared" si="54"/>
        <v>1.07836099373211</v>
      </c>
      <c r="AC223" s="48">
        <f ca="1" t="shared" si="55"/>
        <v>26.2513566299102</v>
      </c>
      <c r="AD223" s="47">
        <f t="shared" si="48"/>
        <v>5960.25</v>
      </c>
      <c r="AE223" s="47">
        <f t="shared" si="56"/>
        <v>1490.0625</v>
      </c>
      <c r="AF223" s="47">
        <f t="shared" si="57"/>
        <v>372.515625</v>
      </c>
      <c r="AG223" s="47">
        <f t="shared" si="58"/>
        <v>93.12890625</v>
      </c>
      <c r="AH223" s="47">
        <f t="shared" si="59"/>
        <v>23.2822265625</v>
      </c>
      <c r="AI223" s="47">
        <f t="shared" si="60"/>
        <v>5.820556640625</v>
      </c>
      <c r="AJ223">
        <f ca="1">MIN(INT(SUM(AD223:$AI223)/OFFSET($AV$2,MATCH(AD$3,$AE$3:$AI$3,0),0)),6-SUM(AK223:$AO223))</f>
        <v>0</v>
      </c>
      <c r="AK223">
        <f ca="1">MIN(INT(SUM(AE223:$AI223)/OFFSET($AV$2,MATCH(AE$3,$AE$3:$AI$3,0),0)),6-SUM(AL223:$AO223))</f>
        <v>0</v>
      </c>
      <c r="AL223">
        <f ca="1">MIN(INT(SUM(AF223:$AI223)/OFFSET($AV$2,MATCH(AF$3,$AE$3:$AI$3,0),0)),6-SUM(AM223:$AO223))</f>
        <v>0</v>
      </c>
      <c r="AM223">
        <f ca="1">MIN(INT((SUM(AG223:$AI223)+N223*2/6)/OFFSET($AV$2,MATCH(AG$3,$AE$3:$AI$3,0),0)),6-SUM(AN223:$AO223))</f>
        <v>0</v>
      </c>
      <c r="AN223">
        <f ca="1">MIN(INT(SUM(AH223:$AI223)/OFFSET($AV$2,MATCH(AH$3,$AE$3:$AI$3,0),0)),6-SUM(AO223:$AO223))</f>
        <v>4</v>
      </c>
      <c r="AO223">
        <f ca="1">INT(SUM(AI222:$AI223)/OFFSET($AV$2,MATCH(AI$3,$AE$3:$AI$3,0),0))</f>
        <v>2</v>
      </c>
      <c r="AP223" cm="1">
        <f ca="1" t="array" ref="AP223">SUMPRODUCT(AJ223:AO223,TRANSPOSE($AS$3:$AS$8))</f>
        <v>2.6</v>
      </c>
    </row>
    <row r="224" ht="16.5" spans="14:42">
      <c r="N224" s="2">
        <v>221</v>
      </c>
      <c r="O224" s="45">
        <f>产出预期!AN240</f>
        <v>23921</v>
      </c>
      <c r="P224" s="2">
        <f ca="1">练度预期!M223</f>
        <v>30</v>
      </c>
      <c r="Q224" s="2" t="str">
        <f ca="1" t="shared" si="61"/>
        <v>橙</v>
      </c>
      <c r="R224" s="46">
        <f ca="1" t="shared" si="62"/>
        <v>0</v>
      </c>
      <c r="S224" s="47">
        <f ca="1" t="shared" si="49"/>
        <v>6.923765</v>
      </c>
      <c r="T224" s="47">
        <f ca="1">MIN(1+($O224*1.4+产出预期!AC240*60)/OFFSET($J$14,MATCH(T$3,$T$3:$W$3,0),0),18)</f>
        <v>18</v>
      </c>
      <c r="U224" s="47">
        <f ca="1">MIN(($O224*1.4+产出预期!$AC240*60)/OFFSET($J$14,MATCH(U$3,$T$3:$W$3,0),0),3)</f>
        <v>3</v>
      </c>
      <c r="V224" s="47">
        <f ca="1">MIN(($O224*1.4+产出预期!$AC240*60)/OFFSET($J$14,MATCH(V$3,$T$3:$W$3,0),0),18)</f>
        <v>1.660988</v>
      </c>
      <c r="W224" s="47">
        <f ca="1">MIN(($O224*1.4+产出预期!$AC240*60)/OFFSET($J$14,MATCH(W$3,$T$3:$W$3,0),0),18)</f>
        <v>0.415247</v>
      </c>
      <c r="X224" s="47">
        <f ca="1" t="shared" si="50"/>
        <v>1.4154259</v>
      </c>
      <c r="Y224" s="47">
        <f ca="1" t="shared" si="51"/>
        <v>5.55991731349224</v>
      </c>
      <c r="Z224" s="47">
        <f ca="1" t="shared" si="52"/>
        <v>1.953125</v>
      </c>
      <c r="AA224" s="47">
        <f ca="1" t="shared" si="53"/>
        <v>1.5858855896051</v>
      </c>
      <c r="AB224" s="47">
        <f ca="1" t="shared" si="54"/>
        <v>1.07864808028466</v>
      </c>
      <c r="AC224" s="48">
        <f ca="1" t="shared" si="55"/>
        <v>26.2928181574139</v>
      </c>
      <c r="AD224" s="47">
        <f t="shared" si="48"/>
        <v>5980.25</v>
      </c>
      <c r="AE224" s="47">
        <f t="shared" si="56"/>
        <v>1495.0625</v>
      </c>
      <c r="AF224" s="47">
        <f t="shared" si="57"/>
        <v>373.765625</v>
      </c>
      <c r="AG224" s="47">
        <f t="shared" si="58"/>
        <v>93.44140625</v>
      </c>
      <c r="AH224" s="47">
        <f t="shared" si="59"/>
        <v>23.3603515625</v>
      </c>
      <c r="AI224" s="47">
        <f t="shared" si="60"/>
        <v>5.840087890625</v>
      </c>
      <c r="AJ224">
        <f ca="1">MIN(INT(SUM(AD224:$AI224)/OFFSET($AV$2,MATCH(AD$3,$AE$3:$AI$3,0),0)),6-SUM(AK224:$AO224))</f>
        <v>0</v>
      </c>
      <c r="AK224">
        <f ca="1">MIN(INT(SUM(AE224:$AI224)/OFFSET($AV$2,MATCH(AE$3,$AE$3:$AI$3,0),0)),6-SUM(AL224:$AO224))</f>
        <v>0</v>
      </c>
      <c r="AL224">
        <f ca="1">MIN(INT(SUM(AF224:$AI224)/OFFSET($AV$2,MATCH(AF$3,$AE$3:$AI$3,0),0)),6-SUM(AM224:$AO224))</f>
        <v>0</v>
      </c>
      <c r="AM224">
        <f ca="1">MIN(INT((SUM(AG224:$AI224)+N224*2/6)/OFFSET($AV$2,MATCH(AG$3,$AE$3:$AI$3,0),0)),6-SUM(AN224:$AO224))</f>
        <v>0</v>
      </c>
      <c r="AN224">
        <f ca="1">MIN(INT(SUM(AH224:$AI224)/OFFSET($AV$2,MATCH(AH$3,$AE$3:$AI$3,0),0)),6-SUM(AO224:$AO224))</f>
        <v>4</v>
      </c>
      <c r="AO224">
        <f ca="1">INT(SUM(AI223:$AI224)/OFFSET($AV$2,MATCH(AI$3,$AE$3:$AI$3,0),0))</f>
        <v>2</v>
      </c>
      <c r="AP224" cm="1">
        <f ca="1" t="array" ref="AP224">SUMPRODUCT(AJ224:AO224,TRANSPOSE($AS$3:$AS$8))</f>
        <v>2.6</v>
      </c>
    </row>
    <row r="225" ht="16.5" spans="14:42">
      <c r="N225" s="2">
        <v>222</v>
      </c>
      <c r="O225" s="45">
        <f>产出预期!AN241</f>
        <v>24034</v>
      </c>
      <c r="P225" s="2">
        <f ca="1">练度预期!M224</f>
        <v>30</v>
      </c>
      <c r="Q225" s="2" t="str">
        <f ca="1" t="shared" si="61"/>
        <v>橙</v>
      </c>
      <c r="R225" s="46">
        <f ca="1" t="shared" si="62"/>
        <v>0</v>
      </c>
      <c r="S225" s="47">
        <f ca="1" t="shared" si="49"/>
        <v>6.91381</v>
      </c>
      <c r="T225" s="47">
        <f ca="1">MIN(1+($O225*1.4+产出预期!AC241*60)/OFFSET($J$14,MATCH(T$3,$T$3:$W$3,0),0),18)</f>
        <v>18</v>
      </c>
      <c r="U225" s="47">
        <f ca="1">MIN(($O225*1.4+产出预期!$AC241*60)/OFFSET($J$14,MATCH(U$3,$T$3:$W$3,0),0),3)</f>
        <v>3</v>
      </c>
      <c r="V225" s="47">
        <f ca="1">MIN(($O225*1.4+产出预期!$AC241*60)/OFFSET($J$14,MATCH(V$3,$T$3:$W$3,0),0),18)</f>
        <v>1.668952</v>
      </c>
      <c r="W225" s="47">
        <f ca="1">MIN(($O225*1.4+产出预期!$AC241*60)/OFFSET($J$14,MATCH(W$3,$T$3:$W$3,0),0),18)</f>
        <v>0.417238</v>
      </c>
      <c r="X225" s="47">
        <f ca="1" t="shared" si="50"/>
        <v>1.4148286</v>
      </c>
      <c r="Y225" s="47">
        <f ca="1" t="shared" si="51"/>
        <v>5.55991731349224</v>
      </c>
      <c r="Z225" s="47">
        <f ca="1" t="shared" si="52"/>
        <v>1.953125</v>
      </c>
      <c r="AA225" s="47">
        <f ca="1" t="shared" si="53"/>
        <v>1.58939595583284</v>
      </c>
      <c r="AB225" s="47">
        <f ca="1" t="shared" si="54"/>
        <v>1.07903970300761</v>
      </c>
      <c r="AC225" s="48">
        <f ca="1" t="shared" si="55"/>
        <v>26.3494606795718</v>
      </c>
      <c r="AD225" s="47">
        <f t="shared" si="48"/>
        <v>6008.5</v>
      </c>
      <c r="AE225" s="47">
        <f t="shared" si="56"/>
        <v>1502.125</v>
      </c>
      <c r="AF225" s="47">
        <f t="shared" si="57"/>
        <v>375.53125</v>
      </c>
      <c r="AG225" s="47">
        <f t="shared" si="58"/>
        <v>93.8828125</v>
      </c>
      <c r="AH225" s="47">
        <f t="shared" si="59"/>
        <v>23.470703125</v>
      </c>
      <c r="AI225" s="47">
        <f t="shared" si="60"/>
        <v>5.86767578125</v>
      </c>
      <c r="AJ225">
        <f ca="1">MIN(INT(SUM(AD225:$AI225)/OFFSET($AV$2,MATCH(AD$3,$AE$3:$AI$3,0),0)),6-SUM(AK225:$AO225))</f>
        <v>0</v>
      </c>
      <c r="AK225">
        <f ca="1">MIN(INT(SUM(AE225:$AI225)/OFFSET($AV$2,MATCH(AE$3,$AE$3:$AI$3,0),0)),6-SUM(AL225:$AO225))</f>
        <v>0</v>
      </c>
      <c r="AL225">
        <f ca="1">MIN(INT(SUM(AF225:$AI225)/OFFSET($AV$2,MATCH(AF$3,$AE$3:$AI$3,0),0)),6-SUM(AM225:$AO225))</f>
        <v>0</v>
      </c>
      <c r="AM225">
        <f ca="1">MIN(INT((SUM(AG225:$AI225)+N225*2/6)/OFFSET($AV$2,MATCH(AG$3,$AE$3:$AI$3,0),0)),6-SUM(AN225:$AO225))</f>
        <v>0</v>
      </c>
      <c r="AN225">
        <f ca="1">MIN(INT(SUM(AH225:$AI225)/OFFSET($AV$2,MATCH(AH$3,$AE$3:$AI$3,0),0)),6-SUM(AO225:$AO225))</f>
        <v>4</v>
      </c>
      <c r="AO225">
        <f ca="1">INT(SUM(AI224:$AI225)/OFFSET($AV$2,MATCH(AI$3,$AE$3:$AI$3,0),0))</f>
        <v>2</v>
      </c>
      <c r="AP225" cm="1">
        <f ca="1" t="array" ref="AP225">SUMPRODUCT(AJ225:AO225,TRANSPOSE($AS$3:$AS$8))</f>
        <v>2.6</v>
      </c>
    </row>
    <row r="226" ht="16.5" spans="14:42">
      <c r="N226" s="2">
        <v>223</v>
      </c>
      <c r="O226" s="45">
        <f>产出预期!AN242</f>
        <v>24142</v>
      </c>
      <c r="P226" s="2">
        <f ca="1">练度预期!M225</f>
        <v>30</v>
      </c>
      <c r="Q226" s="2" t="str">
        <f ca="1" t="shared" si="61"/>
        <v>橙</v>
      </c>
      <c r="R226" s="46">
        <f ca="1" t="shared" si="62"/>
        <v>0</v>
      </c>
      <c r="S226" s="47">
        <f ca="1" t="shared" si="49"/>
        <v>6.90553</v>
      </c>
      <c r="T226" s="47">
        <f ca="1">MIN(1+($O226*1.4+产出预期!AC242*60)/OFFSET($J$14,MATCH(T$3,$T$3:$W$3,0),0),18)</f>
        <v>18</v>
      </c>
      <c r="U226" s="47">
        <f ca="1">MIN(($O226*1.4+产出预期!$AC242*60)/OFFSET($J$14,MATCH(U$3,$T$3:$W$3,0),0),3)</f>
        <v>3</v>
      </c>
      <c r="V226" s="47">
        <f ca="1">MIN(($O226*1.4+产出预期!$AC242*60)/OFFSET($J$14,MATCH(V$3,$T$3:$W$3,0),0),18)</f>
        <v>1.675576</v>
      </c>
      <c r="W226" s="47">
        <f ca="1">MIN(($O226*1.4+产出预期!$AC242*60)/OFFSET($J$14,MATCH(W$3,$T$3:$W$3,0),0),18)</f>
        <v>0.418894</v>
      </c>
      <c r="X226" s="47">
        <f ca="1" t="shared" si="50"/>
        <v>1.4143318</v>
      </c>
      <c r="Y226" s="47">
        <f ca="1" t="shared" si="51"/>
        <v>5.55991731349224</v>
      </c>
      <c r="Z226" s="47">
        <f ca="1" t="shared" si="52"/>
        <v>1.953125</v>
      </c>
      <c r="AA226" s="47">
        <f ca="1" t="shared" si="53"/>
        <v>1.59232159619632</v>
      </c>
      <c r="AB226" s="47">
        <f ca="1" t="shared" si="54"/>
        <v>1.07936554071503</v>
      </c>
      <c r="AC226" s="48">
        <f ca="1" t="shared" si="55"/>
        <v>26.3966620518229</v>
      </c>
      <c r="AD226" s="47">
        <f t="shared" si="48"/>
        <v>6035.5</v>
      </c>
      <c r="AE226" s="47">
        <f t="shared" si="56"/>
        <v>1508.875</v>
      </c>
      <c r="AF226" s="47">
        <f t="shared" si="57"/>
        <v>377.21875</v>
      </c>
      <c r="AG226" s="47">
        <f t="shared" si="58"/>
        <v>94.3046875</v>
      </c>
      <c r="AH226" s="47">
        <f t="shared" si="59"/>
        <v>23.576171875</v>
      </c>
      <c r="AI226" s="47">
        <f t="shared" si="60"/>
        <v>5.89404296875</v>
      </c>
      <c r="AJ226">
        <f ca="1">MIN(INT(SUM(AD226:$AI226)/OFFSET($AV$2,MATCH(AD$3,$AE$3:$AI$3,0),0)),6-SUM(AK226:$AO226))</f>
        <v>0</v>
      </c>
      <c r="AK226">
        <f ca="1">MIN(INT(SUM(AE226:$AI226)/OFFSET($AV$2,MATCH(AE$3,$AE$3:$AI$3,0),0)),6-SUM(AL226:$AO226))</f>
        <v>0</v>
      </c>
      <c r="AL226">
        <f ca="1">MIN(INT(SUM(AF226:$AI226)/OFFSET($AV$2,MATCH(AF$3,$AE$3:$AI$3,0),0)),6-SUM(AM226:$AO226))</f>
        <v>0</v>
      </c>
      <c r="AM226">
        <f ca="1">MIN(INT((SUM(AG226:$AI226)+N226*2/6)/OFFSET($AV$2,MATCH(AG$3,$AE$3:$AI$3,0),0)),6-SUM(AN226:$AO226))</f>
        <v>0</v>
      </c>
      <c r="AN226">
        <f ca="1">MIN(INT(SUM(AH226:$AI226)/OFFSET($AV$2,MATCH(AH$3,$AE$3:$AI$3,0),0)),6-SUM(AO226:$AO226))</f>
        <v>4</v>
      </c>
      <c r="AO226">
        <f ca="1">INT(SUM(AI225:$AI226)/OFFSET($AV$2,MATCH(AI$3,$AE$3:$AI$3,0),0))</f>
        <v>2</v>
      </c>
      <c r="AP226" cm="1">
        <f ca="1" t="array" ref="AP226">SUMPRODUCT(AJ226:AO226,TRANSPOSE($AS$3:$AS$8))</f>
        <v>2.6</v>
      </c>
    </row>
    <row r="227" ht="16.5" spans="14:42">
      <c r="N227" s="2">
        <v>224</v>
      </c>
      <c r="O227" s="45">
        <f>产出预期!AN243</f>
        <v>24250</v>
      </c>
      <c r="P227" s="2">
        <f ca="1">练度预期!M226</f>
        <v>30</v>
      </c>
      <c r="Q227" s="2" t="str">
        <f ca="1" t="shared" si="61"/>
        <v>橙</v>
      </c>
      <c r="R227" s="46">
        <f ca="1" t="shared" si="62"/>
        <v>0</v>
      </c>
      <c r="S227" s="47">
        <f ca="1" t="shared" si="49"/>
        <v>6.89575</v>
      </c>
      <c r="T227" s="47">
        <f ca="1">MIN(1+($O227*1.4+产出预期!AC243*60)/OFFSET($J$14,MATCH(T$3,$T$3:$W$3,0),0),18)</f>
        <v>18</v>
      </c>
      <c r="U227" s="47">
        <f ca="1">MIN(($O227*1.4+产出预期!$AC243*60)/OFFSET($J$14,MATCH(U$3,$T$3:$W$3,0),0),3)</f>
        <v>3</v>
      </c>
      <c r="V227" s="47">
        <f ca="1">MIN(($O227*1.4+产出预期!$AC243*60)/OFFSET($J$14,MATCH(V$3,$T$3:$W$3,0),0),18)</f>
        <v>1.6834</v>
      </c>
      <c r="W227" s="47">
        <f ca="1">MIN(($O227*1.4+产出预期!$AC243*60)/OFFSET($J$14,MATCH(W$3,$T$3:$W$3,0),0),18)</f>
        <v>0.42085</v>
      </c>
      <c r="X227" s="47">
        <f ca="1" t="shared" si="50"/>
        <v>1.413745</v>
      </c>
      <c r="Y227" s="47">
        <f ca="1" t="shared" si="51"/>
        <v>5.55991731349224</v>
      </c>
      <c r="Z227" s="47">
        <f ca="1" t="shared" si="52"/>
        <v>1.953125</v>
      </c>
      <c r="AA227" s="47">
        <f ca="1" t="shared" si="53"/>
        <v>1.59578418170691</v>
      </c>
      <c r="AB227" s="47">
        <f ca="1" t="shared" si="54"/>
        <v>1.07975053374006</v>
      </c>
      <c r="AC227" s="48">
        <f ca="1" t="shared" si="55"/>
        <v>26.4525191235594</v>
      </c>
      <c r="AD227" s="47">
        <f t="shared" si="48"/>
        <v>6062.5</v>
      </c>
      <c r="AE227" s="47">
        <f t="shared" si="56"/>
        <v>1515.625</v>
      </c>
      <c r="AF227" s="47">
        <f t="shared" si="57"/>
        <v>378.90625</v>
      </c>
      <c r="AG227" s="47">
        <f t="shared" si="58"/>
        <v>94.7265625</v>
      </c>
      <c r="AH227" s="47">
        <f t="shared" si="59"/>
        <v>23.681640625</v>
      </c>
      <c r="AI227" s="47">
        <f t="shared" si="60"/>
        <v>5.92041015625</v>
      </c>
      <c r="AJ227">
        <f ca="1">MIN(INT(SUM(AD227:$AI227)/OFFSET($AV$2,MATCH(AD$3,$AE$3:$AI$3,0),0)),6-SUM(AK227:$AO227))</f>
        <v>0</v>
      </c>
      <c r="AK227">
        <f ca="1">MIN(INT(SUM(AE227:$AI227)/OFFSET($AV$2,MATCH(AE$3,$AE$3:$AI$3,0),0)),6-SUM(AL227:$AO227))</f>
        <v>0</v>
      </c>
      <c r="AL227">
        <f ca="1">MIN(INT(SUM(AF227:$AI227)/OFFSET($AV$2,MATCH(AF$3,$AE$3:$AI$3,0),0)),6-SUM(AM227:$AO227))</f>
        <v>0</v>
      </c>
      <c r="AM227">
        <f ca="1">MIN(INT((SUM(AG227:$AI227)+N227*2/6)/OFFSET($AV$2,MATCH(AG$3,$AE$3:$AI$3,0),0)),6-SUM(AN227:$AO227))</f>
        <v>0</v>
      </c>
      <c r="AN227">
        <f ca="1">MIN(INT(SUM(AH227:$AI227)/OFFSET($AV$2,MATCH(AH$3,$AE$3:$AI$3,0),0)),6-SUM(AO227:$AO227))</f>
        <v>4</v>
      </c>
      <c r="AO227">
        <f ca="1">INT(SUM(AI226:$AI227)/OFFSET($AV$2,MATCH(AI$3,$AE$3:$AI$3,0),0))</f>
        <v>2</v>
      </c>
      <c r="AP227" cm="1">
        <f ca="1" t="array" ref="AP227">SUMPRODUCT(AJ227:AO227,TRANSPOSE($AS$3:$AS$8))</f>
        <v>2.6</v>
      </c>
    </row>
    <row r="228" ht="16.5" spans="14:42">
      <c r="N228" s="2">
        <v>225</v>
      </c>
      <c r="O228" s="45">
        <f>产出预期!AN244</f>
        <v>24363</v>
      </c>
      <c r="P228" s="2">
        <f ca="1">练度预期!M227</f>
        <v>30</v>
      </c>
      <c r="Q228" s="2" t="str">
        <f ca="1" t="shared" si="61"/>
        <v>橙</v>
      </c>
      <c r="R228" s="46">
        <f ca="1" t="shared" si="62"/>
        <v>0</v>
      </c>
      <c r="S228" s="47">
        <f ca="1" t="shared" si="49"/>
        <v>6.887295</v>
      </c>
      <c r="T228" s="47">
        <f ca="1">MIN(1+($O228*1.4+产出预期!AC244*60)/OFFSET($J$14,MATCH(T$3,$T$3:$W$3,0),0),18)</f>
        <v>18</v>
      </c>
      <c r="U228" s="47">
        <f ca="1">MIN(($O228*1.4+产出预期!$AC244*60)/OFFSET($J$14,MATCH(U$3,$T$3:$W$3,0),0),3)</f>
        <v>3</v>
      </c>
      <c r="V228" s="47">
        <f ca="1">MIN(($O228*1.4+产出预期!$AC244*60)/OFFSET($J$14,MATCH(V$3,$T$3:$W$3,0),0),18)</f>
        <v>1.690164</v>
      </c>
      <c r="W228" s="47">
        <f ca="1">MIN(($O228*1.4+产出预期!$AC244*60)/OFFSET($J$14,MATCH(W$3,$T$3:$W$3,0),0),18)</f>
        <v>0.422541</v>
      </c>
      <c r="X228" s="47">
        <f ca="1" t="shared" si="50"/>
        <v>1.4132377</v>
      </c>
      <c r="Y228" s="47">
        <f ca="1" t="shared" si="51"/>
        <v>5.55991731349224</v>
      </c>
      <c r="Z228" s="47">
        <f ca="1" t="shared" si="52"/>
        <v>1.953125</v>
      </c>
      <c r="AA228" s="47">
        <f ca="1" t="shared" si="53"/>
        <v>1.59878372206193</v>
      </c>
      <c r="AB228" s="47">
        <f ca="1" t="shared" si="54"/>
        <v>1.08008347836265</v>
      </c>
      <c r="AC228" s="48">
        <f ca="1" t="shared" si="55"/>
        <v>26.500900220436</v>
      </c>
      <c r="AD228" s="47">
        <f t="shared" si="48"/>
        <v>6090.75</v>
      </c>
      <c r="AE228" s="47">
        <f t="shared" si="56"/>
        <v>1522.6875</v>
      </c>
      <c r="AF228" s="47">
        <f t="shared" si="57"/>
        <v>380.671875</v>
      </c>
      <c r="AG228" s="47">
        <f t="shared" si="58"/>
        <v>95.16796875</v>
      </c>
      <c r="AH228" s="47">
        <f t="shared" si="59"/>
        <v>23.7919921875</v>
      </c>
      <c r="AI228" s="47">
        <f t="shared" si="60"/>
        <v>5.947998046875</v>
      </c>
      <c r="AJ228">
        <f ca="1">MIN(INT(SUM(AD228:$AI228)/OFFSET($AV$2,MATCH(AD$3,$AE$3:$AI$3,0),0)),6-SUM(AK228:$AO228))</f>
        <v>0</v>
      </c>
      <c r="AK228">
        <f ca="1">MIN(INT(SUM(AE228:$AI228)/OFFSET($AV$2,MATCH(AE$3,$AE$3:$AI$3,0),0)),6-SUM(AL228:$AO228))</f>
        <v>0</v>
      </c>
      <c r="AL228">
        <f ca="1">MIN(INT(SUM(AF228:$AI228)/OFFSET($AV$2,MATCH(AF$3,$AE$3:$AI$3,0),0)),6-SUM(AM228:$AO228))</f>
        <v>0</v>
      </c>
      <c r="AM228">
        <f ca="1">MIN(INT((SUM(AG228:$AI228)+N228*2/6)/OFFSET($AV$2,MATCH(AG$3,$AE$3:$AI$3,0),0)),6-SUM(AN228:$AO228))</f>
        <v>0</v>
      </c>
      <c r="AN228">
        <f ca="1">MIN(INT(SUM(AH228:$AI228)/OFFSET($AV$2,MATCH(AH$3,$AE$3:$AI$3,0),0)),6-SUM(AO228:$AO228))</f>
        <v>4</v>
      </c>
      <c r="AO228">
        <f ca="1">INT(SUM(AI227:$AI228)/OFFSET($AV$2,MATCH(AI$3,$AE$3:$AI$3,0),0))</f>
        <v>2</v>
      </c>
      <c r="AP228" cm="1">
        <f ca="1" t="array" ref="AP228">SUMPRODUCT(AJ228:AO228,TRANSPOSE($AS$3:$AS$8))</f>
        <v>2.6</v>
      </c>
    </row>
    <row r="229" ht="16.5" spans="14:42">
      <c r="N229" s="2">
        <v>226</v>
      </c>
      <c r="O229" s="45">
        <f>产出预期!AN245</f>
        <v>24471</v>
      </c>
      <c r="P229" s="2">
        <f ca="1">练度预期!M228</f>
        <v>30</v>
      </c>
      <c r="Q229" s="2" t="str">
        <f ca="1" t="shared" si="61"/>
        <v>橙</v>
      </c>
      <c r="R229" s="46">
        <f ca="1" t="shared" si="62"/>
        <v>0</v>
      </c>
      <c r="S229" s="47">
        <f ca="1" t="shared" si="49"/>
        <v>6.877515</v>
      </c>
      <c r="T229" s="47">
        <f ca="1">MIN(1+($O229*1.4+产出预期!AC245*60)/OFFSET($J$14,MATCH(T$3,$T$3:$W$3,0),0),18)</f>
        <v>18</v>
      </c>
      <c r="U229" s="47">
        <f ca="1">MIN(($O229*1.4+产出预期!$AC245*60)/OFFSET($J$14,MATCH(U$3,$T$3:$W$3,0),0),3)</f>
        <v>3</v>
      </c>
      <c r="V229" s="47">
        <f ca="1">MIN(($O229*1.4+产出预期!$AC245*60)/OFFSET($J$14,MATCH(V$3,$T$3:$W$3,0),0),18)</f>
        <v>1.697988</v>
      </c>
      <c r="W229" s="47">
        <f ca="1">MIN(($O229*1.4+产出预期!$AC245*60)/OFFSET($J$14,MATCH(W$3,$T$3:$W$3,0),0),18)</f>
        <v>0.424497</v>
      </c>
      <c r="X229" s="47">
        <f ca="1" t="shared" si="50"/>
        <v>1.4126509</v>
      </c>
      <c r="Y229" s="47">
        <f ca="1" t="shared" si="51"/>
        <v>5.55991731349224</v>
      </c>
      <c r="Z229" s="47">
        <f ca="1" t="shared" si="52"/>
        <v>1.953125</v>
      </c>
      <c r="AA229" s="47">
        <f ca="1" t="shared" si="53"/>
        <v>1.6022603597988</v>
      </c>
      <c r="AB229" s="47">
        <f ca="1" t="shared" si="54"/>
        <v>1.08046872746495</v>
      </c>
      <c r="AC229" s="48">
        <f ca="1" t="shared" si="55"/>
        <v>26.5569693332466</v>
      </c>
      <c r="AD229" s="47">
        <f t="shared" si="48"/>
        <v>6117.75</v>
      </c>
      <c r="AE229" s="47">
        <f t="shared" si="56"/>
        <v>1529.4375</v>
      </c>
      <c r="AF229" s="47">
        <f t="shared" si="57"/>
        <v>382.359375</v>
      </c>
      <c r="AG229" s="47">
        <f t="shared" si="58"/>
        <v>95.58984375</v>
      </c>
      <c r="AH229" s="47">
        <f t="shared" si="59"/>
        <v>23.8974609375</v>
      </c>
      <c r="AI229" s="47">
        <f t="shared" si="60"/>
        <v>5.974365234375</v>
      </c>
      <c r="AJ229">
        <f ca="1">MIN(INT(SUM(AD229:$AI229)/OFFSET($AV$2,MATCH(AD$3,$AE$3:$AI$3,0),0)),6-SUM(AK229:$AO229))</f>
        <v>0</v>
      </c>
      <c r="AK229">
        <f ca="1">MIN(INT(SUM(AE229:$AI229)/OFFSET($AV$2,MATCH(AE$3,$AE$3:$AI$3,0),0)),6-SUM(AL229:$AO229))</f>
        <v>0</v>
      </c>
      <c r="AL229">
        <f ca="1">MIN(INT(SUM(AF229:$AI229)/OFFSET($AV$2,MATCH(AF$3,$AE$3:$AI$3,0),0)),6-SUM(AM229:$AO229))</f>
        <v>0</v>
      </c>
      <c r="AM229">
        <f ca="1">MIN(INT((SUM(AG229:$AI229)+N229*2/6)/OFFSET($AV$2,MATCH(AG$3,$AE$3:$AI$3,0),0)),6-SUM(AN229:$AO229))</f>
        <v>0</v>
      </c>
      <c r="AN229">
        <f ca="1">MIN(INT(SUM(AH229:$AI229)/OFFSET($AV$2,MATCH(AH$3,$AE$3:$AI$3,0),0)),6-SUM(AO229:$AO229))</f>
        <v>4</v>
      </c>
      <c r="AO229">
        <f ca="1">INT(SUM(AI228:$AI229)/OFFSET($AV$2,MATCH(AI$3,$AE$3:$AI$3,0),0))</f>
        <v>2</v>
      </c>
      <c r="AP229" cm="1">
        <f ca="1" t="array" ref="AP229">SUMPRODUCT(AJ229:AO229,TRANSPOSE($AS$3:$AS$8))</f>
        <v>2.6</v>
      </c>
    </row>
    <row r="230" ht="16.5" spans="14:42">
      <c r="N230" s="2">
        <v>227</v>
      </c>
      <c r="O230" s="45">
        <f>产出预期!AN246</f>
        <v>24556</v>
      </c>
      <c r="P230" s="2">
        <f ca="1">练度预期!M229</f>
        <v>30</v>
      </c>
      <c r="Q230" s="2" t="str">
        <f ca="1" t="shared" si="61"/>
        <v>橙</v>
      </c>
      <c r="R230" s="46">
        <f ca="1" t="shared" si="62"/>
        <v>0</v>
      </c>
      <c r="S230" s="47">
        <f ca="1" t="shared" si="49"/>
        <v>6.87004</v>
      </c>
      <c r="T230" s="47">
        <f ca="1">MIN(1+($O230*1.4+产出预期!AC246*60)/OFFSET($J$14,MATCH(T$3,$T$3:$W$3,0),0),18)</f>
        <v>18</v>
      </c>
      <c r="U230" s="47">
        <f ca="1">MIN(($O230*1.4+产出预期!$AC246*60)/OFFSET($J$14,MATCH(U$3,$T$3:$W$3,0),0),3)</f>
        <v>3</v>
      </c>
      <c r="V230" s="47">
        <f ca="1">MIN(($O230*1.4+产出预期!$AC246*60)/OFFSET($J$14,MATCH(V$3,$T$3:$W$3,0),0),18)</f>
        <v>1.703968</v>
      </c>
      <c r="W230" s="47">
        <f ca="1">MIN(($O230*1.4+产出预期!$AC246*60)/OFFSET($J$14,MATCH(W$3,$T$3:$W$3,0),0),18)</f>
        <v>0.425992</v>
      </c>
      <c r="X230" s="47">
        <f ca="1" t="shared" si="50"/>
        <v>1.4122024</v>
      </c>
      <c r="Y230" s="47">
        <f ca="1" t="shared" si="51"/>
        <v>5.55991731349224</v>
      </c>
      <c r="Z230" s="47">
        <f ca="1" t="shared" si="52"/>
        <v>1.953125</v>
      </c>
      <c r="AA230" s="47">
        <f ca="1" t="shared" si="53"/>
        <v>1.6049227024387</v>
      </c>
      <c r="AB230" s="47">
        <f ca="1" t="shared" si="54"/>
        <v>1.08076327175219</v>
      </c>
      <c r="AC230" s="48">
        <f ca="1" t="shared" si="55"/>
        <v>26.5999006698577</v>
      </c>
      <c r="AD230" s="47">
        <f t="shared" si="48"/>
        <v>6139</v>
      </c>
      <c r="AE230" s="47">
        <f t="shared" si="56"/>
        <v>1534.75</v>
      </c>
      <c r="AF230" s="47">
        <f t="shared" si="57"/>
        <v>383.6875</v>
      </c>
      <c r="AG230" s="47">
        <f t="shared" si="58"/>
        <v>95.921875</v>
      </c>
      <c r="AH230" s="47">
        <f t="shared" si="59"/>
        <v>23.98046875</v>
      </c>
      <c r="AI230" s="47">
        <f t="shared" si="60"/>
        <v>5.9951171875</v>
      </c>
      <c r="AJ230">
        <f ca="1">MIN(INT(SUM(AD230:$AI230)/OFFSET($AV$2,MATCH(AD$3,$AE$3:$AI$3,0),0)),6-SUM(AK230:$AO230))</f>
        <v>0</v>
      </c>
      <c r="AK230">
        <f ca="1">MIN(INT(SUM(AE230:$AI230)/OFFSET($AV$2,MATCH(AE$3,$AE$3:$AI$3,0),0)),6-SUM(AL230:$AO230))</f>
        <v>0</v>
      </c>
      <c r="AL230">
        <f ca="1">MIN(INT(SUM(AF230:$AI230)/OFFSET($AV$2,MATCH(AF$3,$AE$3:$AI$3,0),0)),6-SUM(AM230:$AO230))</f>
        <v>0</v>
      </c>
      <c r="AM230">
        <f ca="1">MIN(INT((SUM(AG230:$AI230)+N230*2/6)/OFFSET($AV$2,MATCH(AG$3,$AE$3:$AI$3,0),0)),6-SUM(AN230:$AO230))</f>
        <v>0</v>
      </c>
      <c r="AN230">
        <f ca="1">MIN(INT(SUM(AH230:$AI230)/OFFSET($AV$2,MATCH(AH$3,$AE$3:$AI$3,0),0)),6-SUM(AO230:$AO230))</f>
        <v>4</v>
      </c>
      <c r="AO230">
        <f ca="1">INT(SUM(AI229:$AI230)/OFFSET($AV$2,MATCH(AI$3,$AE$3:$AI$3,0),0))</f>
        <v>2</v>
      </c>
      <c r="AP230" cm="1">
        <f ca="1" t="array" ref="AP230">SUMPRODUCT(AJ230:AO230,TRANSPOSE($AS$3:$AS$8))</f>
        <v>2.6</v>
      </c>
    </row>
    <row r="231" ht="16.5" spans="14:42">
      <c r="N231" s="2">
        <v>228</v>
      </c>
      <c r="O231" s="45">
        <f>产出预期!AN247</f>
        <v>24664</v>
      </c>
      <c r="P231" s="2">
        <f ca="1">练度预期!M230</f>
        <v>30</v>
      </c>
      <c r="Q231" s="2" t="str">
        <f ca="1" t="shared" si="61"/>
        <v>橙</v>
      </c>
      <c r="R231" s="46">
        <f ca="1" t="shared" si="62"/>
        <v>0</v>
      </c>
      <c r="S231" s="47">
        <f ca="1" t="shared" si="49"/>
        <v>6.86026</v>
      </c>
      <c r="T231" s="47">
        <f ca="1">MIN(1+($O231*1.4+产出预期!AC247*60)/OFFSET($J$14,MATCH(T$3,$T$3:$W$3,0),0),18)</f>
        <v>18</v>
      </c>
      <c r="U231" s="47">
        <f ca="1">MIN(($O231*1.4+产出预期!$AC247*60)/OFFSET($J$14,MATCH(U$3,$T$3:$W$3,0),0),3)</f>
        <v>3</v>
      </c>
      <c r="V231" s="47">
        <f ca="1">MIN(($O231*1.4+产出预期!$AC247*60)/OFFSET($J$14,MATCH(V$3,$T$3:$W$3,0),0),18)</f>
        <v>1.711792</v>
      </c>
      <c r="W231" s="47">
        <f ca="1">MIN(($O231*1.4+产出预期!$AC247*60)/OFFSET($J$14,MATCH(W$3,$T$3:$W$3,0),0),18)</f>
        <v>0.427948</v>
      </c>
      <c r="X231" s="47">
        <f ca="1" t="shared" si="50"/>
        <v>1.4116156</v>
      </c>
      <c r="Y231" s="47">
        <f ca="1" t="shared" si="51"/>
        <v>5.55991731349224</v>
      </c>
      <c r="Z231" s="47">
        <f ca="1" t="shared" si="52"/>
        <v>1.953125</v>
      </c>
      <c r="AA231" s="47">
        <f ca="1" t="shared" si="53"/>
        <v>1.60841268970531</v>
      </c>
      <c r="AB231" s="47">
        <f ca="1" t="shared" si="54"/>
        <v>1.0811487633263</v>
      </c>
      <c r="AC231" s="48">
        <f ca="1" t="shared" si="55"/>
        <v>26.6561711247436</v>
      </c>
      <c r="AD231" s="47">
        <f t="shared" si="48"/>
        <v>6166</v>
      </c>
      <c r="AE231" s="47">
        <f t="shared" si="56"/>
        <v>1541.5</v>
      </c>
      <c r="AF231" s="47">
        <f t="shared" si="57"/>
        <v>385.375</v>
      </c>
      <c r="AG231" s="47">
        <f t="shared" si="58"/>
        <v>96.34375</v>
      </c>
      <c r="AH231" s="47">
        <f t="shared" si="59"/>
        <v>24.0859375</v>
      </c>
      <c r="AI231" s="47">
        <f t="shared" si="60"/>
        <v>6.021484375</v>
      </c>
      <c r="AJ231">
        <f ca="1">MIN(INT(SUM(AD231:$AI231)/OFFSET($AV$2,MATCH(AD$3,$AE$3:$AI$3,0),0)),6-SUM(AK231:$AO231))</f>
        <v>0</v>
      </c>
      <c r="AK231">
        <f ca="1">MIN(INT(SUM(AE231:$AI231)/OFFSET($AV$2,MATCH(AE$3,$AE$3:$AI$3,0),0)),6-SUM(AL231:$AO231))</f>
        <v>0</v>
      </c>
      <c r="AL231">
        <f ca="1">MIN(INT(SUM(AF231:$AI231)/OFFSET($AV$2,MATCH(AF$3,$AE$3:$AI$3,0),0)),6-SUM(AM231:$AO231))</f>
        <v>0</v>
      </c>
      <c r="AM231">
        <f ca="1">MIN(INT((SUM(AG231:$AI231)+N231*2/6)/OFFSET($AV$2,MATCH(AG$3,$AE$3:$AI$3,0),0)),6-SUM(AN231:$AO231))</f>
        <v>0</v>
      </c>
      <c r="AN231">
        <f ca="1">MIN(INT(SUM(AH231:$AI231)/OFFSET($AV$2,MATCH(AH$3,$AE$3:$AI$3,0),0)),6-SUM(AO231:$AO231))</f>
        <v>4</v>
      </c>
      <c r="AO231">
        <f ca="1">INT(SUM(AI230:$AI231)/OFFSET($AV$2,MATCH(AI$3,$AE$3:$AI$3,0),0))</f>
        <v>2</v>
      </c>
      <c r="AP231" cm="1">
        <f ca="1" t="array" ref="AP231">SUMPRODUCT(AJ231:AO231,TRANSPOSE($AS$3:$AS$8))</f>
        <v>2.6</v>
      </c>
    </row>
    <row r="232" ht="16.5" spans="14:42">
      <c r="N232" s="2">
        <v>229</v>
      </c>
      <c r="O232" s="45">
        <f>产出预期!AN248</f>
        <v>24777</v>
      </c>
      <c r="P232" s="2">
        <f ca="1">练度预期!M231</f>
        <v>30</v>
      </c>
      <c r="Q232" s="2" t="str">
        <f ca="1" t="shared" si="61"/>
        <v>橙</v>
      </c>
      <c r="R232" s="46">
        <f ca="1" t="shared" si="62"/>
        <v>0</v>
      </c>
      <c r="S232" s="47">
        <f ca="1" t="shared" si="49"/>
        <v>6.851805</v>
      </c>
      <c r="T232" s="47">
        <f ca="1">MIN(1+($O232*1.4+产出预期!AC248*60)/OFFSET($J$14,MATCH(T$3,$T$3:$W$3,0),0),18)</f>
        <v>18</v>
      </c>
      <c r="U232" s="47">
        <f ca="1">MIN(($O232*1.4+产出预期!$AC248*60)/OFFSET($J$14,MATCH(U$3,$T$3:$W$3,0),0),3)</f>
        <v>3</v>
      </c>
      <c r="V232" s="47">
        <f ca="1">MIN(($O232*1.4+产出预期!$AC248*60)/OFFSET($J$14,MATCH(V$3,$T$3:$W$3,0),0),18)</f>
        <v>1.718556</v>
      </c>
      <c r="W232" s="47">
        <f ca="1">MIN(($O232*1.4+产出预期!$AC248*60)/OFFSET($J$14,MATCH(W$3,$T$3:$W$3,0),0),18)</f>
        <v>0.429639</v>
      </c>
      <c r="X232" s="47">
        <f ca="1" t="shared" si="50"/>
        <v>1.4111083</v>
      </c>
      <c r="Y232" s="47">
        <f ca="1" t="shared" si="51"/>
        <v>5.55991731349224</v>
      </c>
      <c r="Z232" s="47">
        <f ca="1" t="shared" si="52"/>
        <v>1.953125</v>
      </c>
      <c r="AA232" s="47">
        <f ca="1" t="shared" si="53"/>
        <v>1.61143596743021</v>
      </c>
      <c r="AB232" s="47">
        <f ca="1" t="shared" si="54"/>
        <v>1.08148213909758</v>
      </c>
      <c r="AC232" s="48">
        <f ca="1" t="shared" si="55"/>
        <v>26.7049102363645</v>
      </c>
      <c r="AD232" s="47">
        <f t="shared" si="48"/>
        <v>6194.25</v>
      </c>
      <c r="AE232" s="47">
        <f t="shared" si="56"/>
        <v>1548.5625</v>
      </c>
      <c r="AF232" s="47">
        <f t="shared" si="57"/>
        <v>387.140625</v>
      </c>
      <c r="AG232" s="47">
        <f t="shared" si="58"/>
        <v>96.78515625</v>
      </c>
      <c r="AH232" s="47">
        <f t="shared" si="59"/>
        <v>24.1962890625</v>
      </c>
      <c r="AI232" s="47">
        <f t="shared" si="60"/>
        <v>6.049072265625</v>
      </c>
      <c r="AJ232">
        <f ca="1">MIN(INT(SUM(AD232:$AI232)/OFFSET($AV$2,MATCH(AD$3,$AE$3:$AI$3,0),0)),6-SUM(AK232:$AO232))</f>
        <v>0</v>
      </c>
      <c r="AK232">
        <f ca="1">MIN(INT(SUM(AE232:$AI232)/OFFSET($AV$2,MATCH(AE$3,$AE$3:$AI$3,0),0)),6-SUM(AL232:$AO232))</f>
        <v>0</v>
      </c>
      <c r="AL232">
        <f ca="1">MIN(INT(SUM(AF232:$AI232)/OFFSET($AV$2,MATCH(AF$3,$AE$3:$AI$3,0),0)),6-SUM(AM232:$AO232))</f>
        <v>0</v>
      </c>
      <c r="AM232">
        <f ca="1">MIN(INT((SUM(AG232:$AI232)+N232*2/6)/OFFSET($AV$2,MATCH(AG$3,$AE$3:$AI$3,0),0)),6-SUM(AN232:$AO232))</f>
        <v>0</v>
      </c>
      <c r="AN232">
        <f ca="1">MIN(INT(SUM(AH232:$AI232)/OFFSET($AV$2,MATCH(AH$3,$AE$3:$AI$3,0),0)),6-SUM(AO232:$AO232))</f>
        <v>4</v>
      </c>
      <c r="AO232">
        <f ca="1">INT(SUM(AI231:$AI232)/OFFSET($AV$2,MATCH(AI$3,$AE$3:$AI$3,0),0))</f>
        <v>2</v>
      </c>
      <c r="AP232" cm="1">
        <f ca="1" t="array" ref="AP232">SUMPRODUCT(AJ232:AO232,TRANSPOSE($AS$3:$AS$8))</f>
        <v>2.6</v>
      </c>
    </row>
    <row r="233" ht="16.5" spans="14:42">
      <c r="N233" s="2">
        <v>230</v>
      </c>
      <c r="O233" s="45">
        <f>产出预期!AN249</f>
        <v>24885</v>
      </c>
      <c r="P233" s="2">
        <f ca="1">练度预期!M232</f>
        <v>30</v>
      </c>
      <c r="Q233" s="2" t="str">
        <f ca="1" t="shared" si="61"/>
        <v>橙</v>
      </c>
      <c r="R233" s="46">
        <f ca="1" t="shared" si="62"/>
        <v>0</v>
      </c>
      <c r="S233" s="47">
        <f ca="1" t="shared" si="49"/>
        <v>6.842025</v>
      </c>
      <c r="T233" s="47">
        <f ca="1">MIN(1+($O233*1.4+产出预期!AC249*60)/OFFSET($J$14,MATCH(T$3,$T$3:$W$3,0),0),18)</f>
        <v>18</v>
      </c>
      <c r="U233" s="47">
        <f ca="1">MIN(($O233*1.4+产出预期!$AC249*60)/OFFSET($J$14,MATCH(U$3,$T$3:$W$3,0),0),3)</f>
        <v>3</v>
      </c>
      <c r="V233" s="47">
        <f ca="1">MIN(($O233*1.4+产出预期!$AC249*60)/OFFSET($J$14,MATCH(V$3,$T$3:$W$3,0),0),18)</f>
        <v>1.72638</v>
      </c>
      <c r="W233" s="47">
        <f ca="1">MIN(($O233*1.4+产出预期!$AC249*60)/OFFSET($J$14,MATCH(W$3,$T$3:$W$3,0),0),18)</f>
        <v>0.431595</v>
      </c>
      <c r="X233" s="47">
        <f ca="1" t="shared" si="50"/>
        <v>1.4105215</v>
      </c>
      <c r="Y233" s="47">
        <f ca="1" t="shared" si="51"/>
        <v>5.55991731349224</v>
      </c>
      <c r="Z233" s="47">
        <f ca="1" t="shared" si="52"/>
        <v>1.953125</v>
      </c>
      <c r="AA233" s="47">
        <f ca="1" t="shared" si="53"/>
        <v>1.61494011812777</v>
      </c>
      <c r="AB233" s="47">
        <f ca="1" t="shared" si="54"/>
        <v>1.08186788708057</v>
      </c>
      <c r="AC233" s="48">
        <f ca="1" t="shared" si="55"/>
        <v>26.7613942071346</v>
      </c>
      <c r="AD233" s="47">
        <f t="shared" si="48"/>
        <v>6221.25</v>
      </c>
      <c r="AE233" s="47">
        <f t="shared" si="56"/>
        <v>1555.3125</v>
      </c>
      <c r="AF233" s="47">
        <f t="shared" si="57"/>
        <v>388.828125</v>
      </c>
      <c r="AG233" s="47">
        <f t="shared" si="58"/>
        <v>97.20703125</v>
      </c>
      <c r="AH233" s="47">
        <f t="shared" si="59"/>
        <v>24.3017578125</v>
      </c>
      <c r="AI233" s="47">
        <f t="shared" si="60"/>
        <v>6.075439453125</v>
      </c>
      <c r="AJ233">
        <f ca="1">MIN(INT(SUM(AD233:$AI233)/OFFSET($AV$2,MATCH(AD$3,$AE$3:$AI$3,0),0)),6-SUM(AK233:$AO233))</f>
        <v>0</v>
      </c>
      <c r="AK233">
        <f ca="1">MIN(INT(SUM(AE233:$AI233)/OFFSET($AV$2,MATCH(AE$3,$AE$3:$AI$3,0),0)),6-SUM(AL233:$AO233))</f>
        <v>0</v>
      </c>
      <c r="AL233">
        <f ca="1">MIN(INT(SUM(AF233:$AI233)/OFFSET($AV$2,MATCH(AF$3,$AE$3:$AI$3,0),0)),6-SUM(AM233:$AO233))</f>
        <v>0</v>
      </c>
      <c r="AM233">
        <f ca="1">MIN(INT((SUM(AG233:$AI233)+N233*2/6)/OFFSET($AV$2,MATCH(AG$3,$AE$3:$AI$3,0),0)),6-SUM(AN233:$AO233))</f>
        <v>0</v>
      </c>
      <c r="AN233">
        <f ca="1">MIN(INT(SUM(AH233:$AI233)/OFFSET($AV$2,MATCH(AH$3,$AE$3:$AI$3,0),0)),6-SUM(AO233:$AO233))</f>
        <v>4</v>
      </c>
      <c r="AO233">
        <f ca="1">INT(SUM(AI232:$AI233)/OFFSET($AV$2,MATCH(AI$3,$AE$3:$AI$3,0),0))</f>
        <v>2</v>
      </c>
      <c r="AP233" cm="1">
        <f ca="1" t="array" ref="AP233">SUMPRODUCT(AJ233:AO233,TRANSPOSE($AS$3:$AS$8))</f>
        <v>2.6</v>
      </c>
    </row>
    <row r="234" ht="16.5" spans="14:42">
      <c r="N234" s="2">
        <v>231</v>
      </c>
      <c r="O234" s="45">
        <f>产出预期!AN250</f>
        <v>25003</v>
      </c>
      <c r="P234" s="2">
        <f ca="1">练度预期!M233</f>
        <v>30</v>
      </c>
      <c r="Q234" s="2" t="str">
        <f ca="1" t="shared" si="61"/>
        <v>橙</v>
      </c>
      <c r="R234" s="46">
        <f ca="1" t="shared" si="62"/>
        <v>0</v>
      </c>
      <c r="S234" s="47">
        <f ca="1" t="shared" si="49"/>
        <v>6.831895</v>
      </c>
      <c r="T234" s="47">
        <f ca="1">MIN(1+($O234*1.4+产出预期!AC250*60)/OFFSET($J$14,MATCH(T$3,$T$3:$W$3,0),0),18)</f>
        <v>18</v>
      </c>
      <c r="U234" s="47">
        <f ca="1">MIN(($O234*1.4+产出预期!$AC250*60)/OFFSET($J$14,MATCH(U$3,$T$3:$W$3,0),0),3)</f>
        <v>3</v>
      </c>
      <c r="V234" s="47">
        <f ca="1">MIN(($O234*1.4+产出预期!$AC250*60)/OFFSET($J$14,MATCH(V$3,$T$3:$W$3,0),0),18)</f>
        <v>1.734484</v>
      </c>
      <c r="W234" s="47">
        <f ca="1">MIN(($O234*1.4+产出预期!$AC250*60)/OFFSET($J$14,MATCH(W$3,$T$3:$W$3,0),0),18)</f>
        <v>0.433621</v>
      </c>
      <c r="X234" s="47">
        <f ca="1" t="shared" si="50"/>
        <v>1.4099137</v>
      </c>
      <c r="Y234" s="47">
        <f ca="1" t="shared" si="51"/>
        <v>5.55991731349224</v>
      </c>
      <c r="Z234" s="47">
        <f ca="1" t="shared" si="52"/>
        <v>1.953125</v>
      </c>
      <c r="AA234" s="47">
        <f ca="1" t="shared" si="53"/>
        <v>1.6185777070826</v>
      </c>
      <c r="AB234" s="47">
        <f ca="1" t="shared" si="54"/>
        <v>1.08226758501554</v>
      </c>
      <c r="AC234" s="48">
        <f ca="1" t="shared" si="55"/>
        <v>26.8200206570563</v>
      </c>
      <c r="AD234" s="47">
        <f t="shared" si="48"/>
        <v>6250.75</v>
      </c>
      <c r="AE234" s="47">
        <f t="shared" si="56"/>
        <v>1562.6875</v>
      </c>
      <c r="AF234" s="47">
        <f t="shared" si="57"/>
        <v>390.671875</v>
      </c>
      <c r="AG234" s="47">
        <f t="shared" si="58"/>
        <v>97.66796875</v>
      </c>
      <c r="AH234" s="47">
        <f t="shared" si="59"/>
        <v>24.4169921875</v>
      </c>
      <c r="AI234" s="47">
        <f t="shared" si="60"/>
        <v>6.104248046875</v>
      </c>
      <c r="AJ234">
        <f ca="1">MIN(INT(SUM(AD234:$AI234)/OFFSET($AV$2,MATCH(AD$3,$AE$3:$AI$3,0),0)),6-SUM(AK234:$AO234))</f>
        <v>0</v>
      </c>
      <c r="AK234">
        <f ca="1">MIN(INT(SUM(AE234:$AI234)/OFFSET($AV$2,MATCH(AE$3,$AE$3:$AI$3,0),0)),6-SUM(AL234:$AO234))</f>
        <v>0</v>
      </c>
      <c r="AL234">
        <f ca="1">MIN(INT(SUM(AF234:$AI234)/OFFSET($AV$2,MATCH(AF$3,$AE$3:$AI$3,0),0)),6-SUM(AM234:$AO234))</f>
        <v>0</v>
      </c>
      <c r="AM234">
        <f ca="1">MIN(INT((SUM(AG234:$AI234)+N234*2/6)/OFFSET($AV$2,MATCH(AG$3,$AE$3:$AI$3,0),0)),6-SUM(AN234:$AO234))</f>
        <v>0</v>
      </c>
      <c r="AN234">
        <f ca="1">MIN(INT(SUM(AH234:$AI234)/OFFSET($AV$2,MATCH(AH$3,$AE$3:$AI$3,0),0)),6-SUM(AO234:$AO234))</f>
        <v>4</v>
      </c>
      <c r="AO234">
        <f ca="1">INT(SUM(AI233:$AI234)/OFFSET($AV$2,MATCH(AI$3,$AE$3:$AI$3,0),0))</f>
        <v>2</v>
      </c>
      <c r="AP234" cm="1">
        <f ca="1" t="array" ref="AP234">SUMPRODUCT(AJ234:AO234,TRANSPOSE($AS$3:$AS$8))</f>
        <v>2.6</v>
      </c>
    </row>
    <row r="235" ht="16.5" spans="14:42">
      <c r="N235" s="2">
        <v>232</v>
      </c>
      <c r="O235" s="45">
        <f>产出预期!AN251</f>
        <v>25111</v>
      </c>
      <c r="P235" s="2">
        <f ca="1">练度预期!M234</f>
        <v>30</v>
      </c>
      <c r="Q235" s="2" t="str">
        <f ca="1" t="shared" si="61"/>
        <v>橙</v>
      </c>
      <c r="R235" s="46">
        <f ca="1" t="shared" si="62"/>
        <v>0</v>
      </c>
      <c r="S235" s="47">
        <f ca="1" t="shared" si="49"/>
        <v>6.823615</v>
      </c>
      <c r="T235" s="47">
        <f ca="1">MIN(1+($O235*1.4+产出预期!AC251*60)/OFFSET($J$14,MATCH(T$3,$T$3:$W$3,0),0),18)</f>
        <v>18</v>
      </c>
      <c r="U235" s="47">
        <f ca="1">MIN(($O235*1.4+产出预期!$AC251*60)/OFFSET($J$14,MATCH(U$3,$T$3:$W$3,0),0),3)</f>
        <v>3</v>
      </c>
      <c r="V235" s="47">
        <f ca="1">MIN(($O235*1.4+产出预期!$AC251*60)/OFFSET($J$14,MATCH(V$3,$T$3:$W$3,0),0),18)</f>
        <v>1.741108</v>
      </c>
      <c r="W235" s="47">
        <f ca="1">MIN(($O235*1.4+产出预期!$AC251*60)/OFFSET($J$14,MATCH(W$3,$T$3:$W$3,0),0),18)</f>
        <v>0.435277</v>
      </c>
      <c r="X235" s="47">
        <f ca="1" t="shared" si="50"/>
        <v>1.4094169</v>
      </c>
      <c r="Y235" s="47">
        <f ca="1" t="shared" si="51"/>
        <v>5.55991731349224</v>
      </c>
      <c r="Z235" s="47">
        <f ca="1" t="shared" si="52"/>
        <v>1.953125</v>
      </c>
      <c r="AA235" s="47">
        <f ca="1" t="shared" si="53"/>
        <v>1.62155706301584</v>
      </c>
      <c r="AB235" s="47">
        <f ca="1" t="shared" si="54"/>
        <v>1.08259439744676</v>
      </c>
      <c r="AC235" s="48">
        <f ca="1" t="shared" si="55"/>
        <v>26.8680320722066</v>
      </c>
      <c r="AD235" s="47">
        <f t="shared" si="48"/>
        <v>6277.75</v>
      </c>
      <c r="AE235" s="47">
        <f t="shared" si="56"/>
        <v>1569.4375</v>
      </c>
      <c r="AF235" s="47">
        <f t="shared" si="57"/>
        <v>392.359375</v>
      </c>
      <c r="AG235" s="47">
        <f t="shared" si="58"/>
        <v>98.08984375</v>
      </c>
      <c r="AH235" s="47">
        <f t="shared" si="59"/>
        <v>24.5224609375</v>
      </c>
      <c r="AI235" s="47">
        <f t="shared" si="60"/>
        <v>6.130615234375</v>
      </c>
      <c r="AJ235">
        <f ca="1">MIN(INT(SUM(AD235:$AI235)/OFFSET($AV$2,MATCH(AD$3,$AE$3:$AI$3,0),0)),6-SUM(AK235:$AO235))</f>
        <v>0</v>
      </c>
      <c r="AK235">
        <f ca="1">MIN(INT(SUM(AE235:$AI235)/OFFSET($AV$2,MATCH(AE$3,$AE$3:$AI$3,0),0)),6-SUM(AL235:$AO235))</f>
        <v>0</v>
      </c>
      <c r="AL235">
        <f ca="1">MIN(INT(SUM(AF235:$AI235)/OFFSET($AV$2,MATCH(AF$3,$AE$3:$AI$3,0),0)),6-SUM(AM235:$AO235))</f>
        <v>0</v>
      </c>
      <c r="AM235">
        <f ca="1">MIN(INT((SUM(AG235:$AI235)+N235*2/6)/OFFSET($AV$2,MATCH(AG$3,$AE$3:$AI$3,0),0)),6-SUM(AN235:$AO235))</f>
        <v>0</v>
      </c>
      <c r="AN235">
        <f ca="1">MIN(INT(SUM(AH235:$AI235)/OFFSET($AV$2,MATCH(AH$3,$AE$3:$AI$3,0),0)),6-SUM(AO235:$AO235))</f>
        <v>4</v>
      </c>
      <c r="AO235">
        <f ca="1">INT(SUM(AI234:$AI235)/OFFSET($AV$2,MATCH(AI$3,$AE$3:$AI$3,0),0))</f>
        <v>2</v>
      </c>
      <c r="AP235" cm="1">
        <f ca="1" t="array" ref="AP235">SUMPRODUCT(AJ235:AO235,TRANSPOSE($AS$3:$AS$8))</f>
        <v>2.6</v>
      </c>
    </row>
    <row r="236" ht="16.5" spans="14:42">
      <c r="N236" s="2">
        <v>233</v>
      </c>
      <c r="O236" s="45">
        <f>产出预期!AN252</f>
        <v>25191</v>
      </c>
      <c r="P236" s="2">
        <f ca="1">练度预期!M235</f>
        <v>30</v>
      </c>
      <c r="Q236" s="2" t="str">
        <f ca="1" t="shared" si="61"/>
        <v>橙</v>
      </c>
      <c r="R236" s="46">
        <f ca="1" t="shared" si="62"/>
        <v>0</v>
      </c>
      <c r="S236" s="47">
        <f ca="1" t="shared" si="49"/>
        <v>6.814815</v>
      </c>
      <c r="T236" s="47">
        <f ca="1">MIN(1+($O236*1.4+产出预期!AC252*60)/OFFSET($J$14,MATCH(T$3,$T$3:$W$3,0),0),18)</f>
        <v>18</v>
      </c>
      <c r="U236" s="47">
        <f ca="1">MIN(($O236*1.4+产出预期!$AC252*60)/OFFSET($J$14,MATCH(U$3,$T$3:$W$3,0),0),3)</f>
        <v>3</v>
      </c>
      <c r="V236" s="47">
        <f ca="1">MIN(($O236*1.4+产出预期!$AC252*60)/OFFSET($J$14,MATCH(V$3,$T$3:$W$3,0),0),18)</f>
        <v>1.748148</v>
      </c>
      <c r="W236" s="47">
        <f ca="1">MIN(($O236*1.4+产出预期!$AC252*60)/OFFSET($J$14,MATCH(W$3,$T$3:$W$3,0),0),18)</f>
        <v>0.437037</v>
      </c>
      <c r="X236" s="47">
        <f ca="1" t="shared" si="50"/>
        <v>1.4088889</v>
      </c>
      <c r="Y236" s="47">
        <f ca="1" t="shared" si="51"/>
        <v>5.55991731349224</v>
      </c>
      <c r="Z236" s="47">
        <f ca="1" t="shared" si="52"/>
        <v>1.953125</v>
      </c>
      <c r="AA236" s="47">
        <f ca="1" t="shared" si="53"/>
        <v>1.62472954010455</v>
      </c>
      <c r="AB236" s="47">
        <f ca="1" t="shared" si="54"/>
        <v>1.08294184250971</v>
      </c>
      <c r="AC236" s="48">
        <f ca="1" t="shared" si="55"/>
        <v>26.9191492469708</v>
      </c>
      <c r="AD236" s="47">
        <f t="shared" si="48"/>
        <v>6297.75</v>
      </c>
      <c r="AE236" s="47">
        <f t="shared" si="56"/>
        <v>1574.4375</v>
      </c>
      <c r="AF236" s="47">
        <f t="shared" si="57"/>
        <v>393.609375</v>
      </c>
      <c r="AG236" s="47">
        <f t="shared" si="58"/>
        <v>98.40234375</v>
      </c>
      <c r="AH236" s="47">
        <f t="shared" si="59"/>
        <v>24.6005859375</v>
      </c>
      <c r="AI236" s="47">
        <f t="shared" si="60"/>
        <v>6.150146484375</v>
      </c>
      <c r="AJ236">
        <f ca="1">MIN(INT(SUM(AD236:$AI236)/OFFSET($AV$2,MATCH(AD$3,$AE$3:$AI$3,0),0)),6-SUM(AK236:$AO236))</f>
        <v>0</v>
      </c>
      <c r="AK236">
        <f ca="1">MIN(INT(SUM(AE236:$AI236)/OFFSET($AV$2,MATCH(AE$3,$AE$3:$AI$3,0),0)),6-SUM(AL236:$AO236))</f>
        <v>0</v>
      </c>
      <c r="AL236">
        <f ca="1">MIN(INT(SUM(AF236:$AI236)/OFFSET($AV$2,MATCH(AF$3,$AE$3:$AI$3,0),0)),6-SUM(AM236:$AO236))</f>
        <v>0</v>
      </c>
      <c r="AM236">
        <f ca="1">MIN(INT((SUM(AG236:$AI236)+N236*2/6)/OFFSET($AV$2,MATCH(AG$3,$AE$3:$AI$3,0),0)),6-SUM(AN236:$AO236))</f>
        <v>0</v>
      </c>
      <c r="AN236">
        <f ca="1">MIN(INT(SUM(AH236:$AI236)/OFFSET($AV$2,MATCH(AH$3,$AE$3:$AI$3,0),0)),6-SUM(AO236:$AO236))</f>
        <v>4</v>
      </c>
      <c r="AO236">
        <f ca="1">INT(SUM(AI235:$AI236)/OFFSET($AV$2,MATCH(AI$3,$AE$3:$AI$3,0),0))</f>
        <v>2</v>
      </c>
      <c r="AP236" cm="1">
        <f ca="1" t="array" ref="AP236">SUMPRODUCT(AJ236:AO236,TRANSPOSE($AS$3:$AS$8))</f>
        <v>2.6</v>
      </c>
    </row>
    <row r="237" ht="16.5" spans="14:42">
      <c r="N237" s="2">
        <v>234</v>
      </c>
      <c r="O237" s="45">
        <f>产出预期!AN253</f>
        <v>25360</v>
      </c>
      <c r="P237" s="2">
        <f ca="1">练度预期!M236</f>
        <v>30</v>
      </c>
      <c r="Q237" s="2" t="str">
        <f ca="1" t="shared" si="61"/>
        <v>橙</v>
      </c>
      <c r="R237" s="46">
        <f ca="1" t="shared" si="62"/>
        <v>0</v>
      </c>
      <c r="S237" s="47">
        <f ca="1" t="shared" si="49"/>
        <v>6.8044</v>
      </c>
      <c r="T237" s="47">
        <f ca="1">MIN(1+($O237*1.4+产出预期!AC253*60)/OFFSET($J$14,MATCH(T$3,$T$3:$W$3,0),0),18)</f>
        <v>18</v>
      </c>
      <c r="U237" s="47">
        <f ca="1">MIN(($O237*1.4+产出预期!$AC253*60)/OFFSET($J$14,MATCH(U$3,$T$3:$W$3,0),0),3)</f>
        <v>3</v>
      </c>
      <c r="V237" s="47">
        <f ca="1">MIN(($O237*1.4+产出预期!$AC253*60)/OFFSET($J$14,MATCH(V$3,$T$3:$W$3,0),0),18)</f>
        <v>1.75648</v>
      </c>
      <c r="W237" s="47">
        <f ca="1">MIN(($O237*1.4+产出预期!$AC253*60)/OFFSET($J$14,MATCH(W$3,$T$3:$W$3,0),0),18)</f>
        <v>0.43912</v>
      </c>
      <c r="X237" s="47">
        <f ca="1" t="shared" si="50"/>
        <v>1.408264</v>
      </c>
      <c r="Y237" s="47">
        <f ca="1" t="shared" si="51"/>
        <v>5.55991731349224</v>
      </c>
      <c r="Z237" s="47">
        <f ca="1" t="shared" si="52"/>
        <v>1.953125</v>
      </c>
      <c r="AA237" s="47">
        <f ca="1" t="shared" si="53"/>
        <v>1.62849225970252</v>
      </c>
      <c r="AB237" s="47">
        <f ca="1" t="shared" si="54"/>
        <v>1.08335319572339</v>
      </c>
      <c r="AC237" s="48">
        <f ca="1" t="shared" si="55"/>
        <v>26.979768364752</v>
      </c>
      <c r="AD237" s="47">
        <f t="shared" si="48"/>
        <v>6340</v>
      </c>
      <c r="AE237" s="47">
        <f t="shared" si="56"/>
        <v>1585</v>
      </c>
      <c r="AF237" s="47">
        <f t="shared" si="57"/>
        <v>396.25</v>
      </c>
      <c r="AG237" s="47">
        <f t="shared" si="58"/>
        <v>99.0625</v>
      </c>
      <c r="AH237" s="47">
        <f t="shared" si="59"/>
        <v>24.765625</v>
      </c>
      <c r="AI237" s="47">
        <f t="shared" si="60"/>
        <v>6.19140625</v>
      </c>
      <c r="AJ237">
        <f ca="1">MIN(INT(SUM(AD237:$AI237)/OFFSET($AV$2,MATCH(AD$3,$AE$3:$AI$3,0),0)),6-SUM(AK237:$AO237))</f>
        <v>0</v>
      </c>
      <c r="AK237">
        <f ca="1">MIN(INT(SUM(AE237:$AI237)/OFFSET($AV$2,MATCH(AE$3,$AE$3:$AI$3,0),0)),6-SUM(AL237:$AO237))</f>
        <v>0</v>
      </c>
      <c r="AL237">
        <f ca="1">MIN(INT(SUM(AF237:$AI237)/OFFSET($AV$2,MATCH(AF$3,$AE$3:$AI$3,0),0)),6-SUM(AM237:$AO237))</f>
        <v>0</v>
      </c>
      <c r="AM237">
        <f ca="1">MIN(INT((SUM(AG237:$AI237)+N237*2/6)/OFFSET($AV$2,MATCH(AG$3,$AE$3:$AI$3,0),0)),6-SUM(AN237:$AO237))</f>
        <v>0</v>
      </c>
      <c r="AN237">
        <f ca="1">MIN(INT(SUM(AH237:$AI237)/OFFSET($AV$2,MATCH(AH$3,$AE$3:$AI$3,0),0)),6-SUM(AO237:$AO237))</f>
        <v>4</v>
      </c>
      <c r="AO237">
        <f ca="1">INT(SUM(AI236:$AI237)/OFFSET($AV$2,MATCH(AI$3,$AE$3:$AI$3,0),0))</f>
        <v>2</v>
      </c>
      <c r="AP237" cm="1">
        <f ca="1" t="array" ref="AP237">SUMPRODUCT(AJ237:AO237,TRANSPOSE($AS$3:$AS$8))</f>
        <v>2.6</v>
      </c>
    </row>
    <row r="238" ht="16.5" spans="14:42">
      <c r="N238" s="2">
        <v>235</v>
      </c>
      <c r="O238" s="45">
        <f>产出预期!AN254</f>
        <v>25468</v>
      </c>
      <c r="P238" s="2">
        <f ca="1">练度预期!M237</f>
        <v>30</v>
      </c>
      <c r="Q238" s="2" t="str">
        <f ca="1" t="shared" si="61"/>
        <v>橙</v>
      </c>
      <c r="R238" s="46">
        <f ca="1" t="shared" si="62"/>
        <v>0</v>
      </c>
      <c r="S238" s="47">
        <f ca="1" t="shared" si="49"/>
        <v>6.79462</v>
      </c>
      <c r="T238" s="47">
        <f ca="1">MIN(1+($O238*1.4+产出预期!AC254*60)/OFFSET($J$14,MATCH(T$3,$T$3:$W$3,0),0),18)</f>
        <v>18</v>
      </c>
      <c r="U238" s="47">
        <f ca="1">MIN(($O238*1.4+产出预期!$AC254*60)/OFFSET($J$14,MATCH(U$3,$T$3:$W$3,0),0),3)</f>
        <v>3</v>
      </c>
      <c r="V238" s="47">
        <f ca="1">MIN(($O238*1.4+产出预期!$AC254*60)/OFFSET($J$14,MATCH(V$3,$T$3:$W$3,0),0),18)</f>
        <v>1.764304</v>
      </c>
      <c r="W238" s="47">
        <f ca="1">MIN(($O238*1.4+产出预期!$AC254*60)/OFFSET($J$14,MATCH(W$3,$T$3:$W$3,0),0),18)</f>
        <v>0.441076</v>
      </c>
      <c r="X238" s="47">
        <f ca="1" t="shared" si="50"/>
        <v>1.4076772</v>
      </c>
      <c r="Y238" s="47">
        <f ca="1" t="shared" si="51"/>
        <v>5.55991731349224</v>
      </c>
      <c r="Z238" s="47">
        <f ca="1" t="shared" si="52"/>
        <v>1.953125</v>
      </c>
      <c r="AA238" s="47">
        <f ca="1" t="shared" si="53"/>
        <v>1.63203350018812</v>
      </c>
      <c r="AB238" s="47">
        <f ca="1" t="shared" si="54"/>
        <v>1.0837396110834</v>
      </c>
      <c r="AC238" s="48">
        <f ca="1" t="shared" si="55"/>
        <v>27.0368109748785</v>
      </c>
      <c r="AD238" s="47">
        <f t="shared" si="48"/>
        <v>6367</v>
      </c>
      <c r="AE238" s="47">
        <f t="shared" si="56"/>
        <v>1591.75</v>
      </c>
      <c r="AF238" s="47">
        <f t="shared" si="57"/>
        <v>397.9375</v>
      </c>
      <c r="AG238" s="47">
        <f t="shared" si="58"/>
        <v>99.484375</v>
      </c>
      <c r="AH238" s="47">
        <f t="shared" si="59"/>
        <v>24.87109375</v>
      </c>
      <c r="AI238" s="47">
        <f t="shared" si="60"/>
        <v>6.2177734375</v>
      </c>
      <c r="AJ238">
        <f ca="1">MIN(INT(SUM(AD238:$AI238)/OFFSET($AV$2,MATCH(AD$3,$AE$3:$AI$3,0),0)),6-SUM(AK238:$AO238))</f>
        <v>0</v>
      </c>
      <c r="AK238">
        <f ca="1">MIN(INT(SUM(AE238:$AI238)/OFFSET($AV$2,MATCH(AE$3,$AE$3:$AI$3,0),0)),6-SUM(AL238:$AO238))</f>
        <v>0</v>
      </c>
      <c r="AL238">
        <f ca="1">MIN(INT(SUM(AF238:$AI238)/OFFSET($AV$2,MATCH(AF$3,$AE$3:$AI$3,0),0)),6-SUM(AM238:$AO238))</f>
        <v>0</v>
      </c>
      <c r="AM238">
        <f ca="1">MIN(INT((SUM(AG238:$AI238)+N238*2/6)/OFFSET($AV$2,MATCH(AG$3,$AE$3:$AI$3,0),0)),6-SUM(AN238:$AO238))</f>
        <v>0</v>
      </c>
      <c r="AN238">
        <f ca="1">MIN(INT(SUM(AH238:$AI238)/OFFSET($AV$2,MATCH(AH$3,$AE$3:$AI$3,0),0)),6-SUM(AO238:$AO238))</f>
        <v>4</v>
      </c>
      <c r="AO238">
        <f ca="1">INT(SUM(AI237:$AI238)/OFFSET($AV$2,MATCH(AI$3,$AE$3:$AI$3,0),0))</f>
        <v>2</v>
      </c>
      <c r="AP238" cm="1">
        <f ca="1" t="array" ref="AP238">SUMPRODUCT(AJ238:AO238,TRANSPOSE($AS$3:$AS$8))</f>
        <v>2.6</v>
      </c>
    </row>
    <row r="239" ht="16.5" spans="14:42">
      <c r="N239" s="2">
        <v>236</v>
      </c>
      <c r="O239" s="45">
        <f>产出预期!AN255</f>
        <v>25581</v>
      </c>
      <c r="P239" s="2">
        <f ca="1">练度预期!M238</f>
        <v>30</v>
      </c>
      <c r="Q239" s="2" t="str">
        <f ca="1" t="shared" si="61"/>
        <v>橙</v>
      </c>
      <c r="R239" s="46">
        <f ca="1" t="shared" si="62"/>
        <v>0</v>
      </c>
      <c r="S239" s="47">
        <f ca="1" t="shared" si="49"/>
        <v>6.786165</v>
      </c>
      <c r="T239" s="47">
        <f ca="1">MIN(1+($O239*1.4+产出预期!AC255*60)/OFFSET($J$14,MATCH(T$3,$T$3:$W$3,0),0),18)</f>
        <v>18</v>
      </c>
      <c r="U239" s="47">
        <f ca="1">MIN(($O239*1.4+产出预期!$AC255*60)/OFFSET($J$14,MATCH(U$3,$T$3:$W$3,0),0),3)</f>
        <v>3</v>
      </c>
      <c r="V239" s="47">
        <f ca="1">MIN(($O239*1.4+产出预期!$AC255*60)/OFFSET($J$14,MATCH(V$3,$T$3:$W$3,0),0),18)</f>
        <v>1.771068</v>
      </c>
      <c r="W239" s="47">
        <f ca="1">MIN(($O239*1.4+产出预期!$AC255*60)/OFFSET($J$14,MATCH(W$3,$T$3:$W$3,0),0),18)</f>
        <v>0.442767</v>
      </c>
      <c r="X239" s="47">
        <f ca="1" t="shared" si="50"/>
        <v>1.4071699</v>
      </c>
      <c r="Y239" s="47">
        <f ca="1" t="shared" si="51"/>
        <v>5.55991731349224</v>
      </c>
      <c r="Z239" s="47">
        <f ca="1" t="shared" si="52"/>
        <v>1.953125</v>
      </c>
      <c r="AA239" s="47">
        <f ca="1" t="shared" si="53"/>
        <v>1.63510117713383</v>
      </c>
      <c r="AB239" s="47">
        <f ca="1" t="shared" si="54"/>
        <v>1.08407378575109</v>
      </c>
      <c r="AC239" s="48">
        <f ca="1" t="shared" si="55"/>
        <v>27.0862188182784</v>
      </c>
      <c r="AD239" s="47">
        <f t="shared" si="48"/>
        <v>6395.25</v>
      </c>
      <c r="AE239" s="47">
        <f t="shared" si="56"/>
        <v>1598.8125</v>
      </c>
      <c r="AF239" s="47">
        <f t="shared" si="57"/>
        <v>399.703125</v>
      </c>
      <c r="AG239" s="47">
        <f t="shared" si="58"/>
        <v>99.92578125</v>
      </c>
      <c r="AH239" s="47">
        <f t="shared" si="59"/>
        <v>24.9814453125</v>
      </c>
      <c r="AI239" s="47">
        <f t="shared" si="60"/>
        <v>6.245361328125</v>
      </c>
      <c r="AJ239">
        <f ca="1">MIN(INT(SUM(AD239:$AI239)/OFFSET($AV$2,MATCH(AD$3,$AE$3:$AI$3,0),0)),6-SUM(AK239:$AO239))</f>
        <v>0</v>
      </c>
      <c r="AK239">
        <f ca="1">MIN(INT(SUM(AE239:$AI239)/OFFSET($AV$2,MATCH(AE$3,$AE$3:$AI$3,0),0)),6-SUM(AL239:$AO239))</f>
        <v>0</v>
      </c>
      <c r="AL239">
        <f ca="1">MIN(INT(SUM(AF239:$AI239)/OFFSET($AV$2,MATCH(AF$3,$AE$3:$AI$3,0),0)),6-SUM(AM239:$AO239))</f>
        <v>0</v>
      </c>
      <c r="AM239">
        <f ca="1">MIN(INT((SUM(AG239:$AI239)+N239*2/6)/OFFSET($AV$2,MATCH(AG$3,$AE$3:$AI$3,0),0)),6-SUM(AN239:$AO239))</f>
        <v>0</v>
      </c>
      <c r="AN239">
        <f ca="1">MIN(INT(SUM(AH239:$AI239)/OFFSET($AV$2,MATCH(AH$3,$AE$3:$AI$3,0),0)),6-SUM(AO239:$AO239))</f>
        <v>4</v>
      </c>
      <c r="AO239">
        <f ca="1">INT(SUM(AI238:$AI239)/OFFSET($AV$2,MATCH(AI$3,$AE$3:$AI$3,0),0))</f>
        <v>2</v>
      </c>
      <c r="AP239" cm="1">
        <f ca="1" t="array" ref="AP239">SUMPRODUCT(AJ239:AO239,TRANSPOSE($AS$3:$AS$8))</f>
        <v>2.6</v>
      </c>
    </row>
    <row r="240" ht="16.5" spans="14:42">
      <c r="N240" s="2">
        <v>237</v>
      </c>
      <c r="O240" s="45">
        <f>产出预期!AN256</f>
        <v>25689</v>
      </c>
      <c r="P240" s="2">
        <f ca="1">练度预期!M239</f>
        <v>30</v>
      </c>
      <c r="Q240" s="2" t="str">
        <f ca="1" t="shared" si="61"/>
        <v>橙</v>
      </c>
      <c r="R240" s="46">
        <f ca="1" t="shared" si="62"/>
        <v>0</v>
      </c>
      <c r="S240" s="47">
        <f ca="1" t="shared" si="49"/>
        <v>6.776385</v>
      </c>
      <c r="T240" s="47">
        <f ca="1">MIN(1+($O240*1.4+产出预期!AC256*60)/OFFSET($J$14,MATCH(T$3,$T$3:$W$3,0),0),18)</f>
        <v>18</v>
      </c>
      <c r="U240" s="47">
        <f ca="1">MIN(($O240*1.4+产出预期!$AC256*60)/OFFSET($J$14,MATCH(U$3,$T$3:$W$3,0),0),3)</f>
        <v>3</v>
      </c>
      <c r="V240" s="47">
        <f ca="1">MIN(($O240*1.4+产出预期!$AC256*60)/OFFSET($J$14,MATCH(V$3,$T$3:$W$3,0),0),18)</f>
        <v>1.778892</v>
      </c>
      <c r="W240" s="47">
        <f ca="1">MIN(($O240*1.4+产出预期!$AC256*60)/OFFSET($J$14,MATCH(W$3,$T$3:$W$3,0),0),18)</f>
        <v>0.444723</v>
      </c>
      <c r="X240" s="47">
        <f ca="1" t="shared" si="50"/>
        <v>1.4065831</v>
      </c>
      <c r="Y240" s="47">
        <f ca="1" t="shared" si="51"/>
        <v>5.55991731349224</v>
      </c>
      <c r="Z240" s="47">
        <f ca="1" t="shared" si="52"/>
        <v>1.953125</v>
      </c>
      <c r="AA240" s="47">
        <f ca="1" t="shared" si="53"/>
        <v>1.63865678905155</v>
      </c>
      <c r="AB240" s="47">
        <f ca="1" t="shared" si="54"/>
        <v>1.08446045813443</v>
      </c>
      <c r="AC240" s="48">
        <f ca="1" t="shared" si="55"/>
        <v>27.1434776962029</v>
      </c>
      <c r="AD240" s="47">
        <f t="shared" si="48"/>
        <v>6422.25</v>
      </c>
      <c r="AE240" s="47">
        <f t="shared" si="56"/>
        <v>1605.5625</v>
      </c>
      <c r="AF240" s="47">
        <f t="shared" si="57"/>
        <v>401.390625</v>
      </c>
      <c r="AG240" s="47">
        <f t="shared" si="58"/>
        <v>100.34765625</v>
      </c>
      <c r="AH240" s="47">
        <f t="shared" si="59"/>
        <v>25.0869140625</v>
      </c>
      <c r="AI240" s="47">
        <f t="shared" si="60"/>
        <v>6.271728515625</v>
      </c>
      <c r="AJ240">
        <f ca="1">MIN(INT(SUM(AD240:$AI240)/OFFSET($AV$2,MATCH(AD$3,$AE$3:$AI$3,0),0)),6-SUM(AK240:$AO240))</f>
        <v>0</v>
      </c>
      <c r="AK240">
        <f ca="1">MIN(INT(SUM(AE240:$AI240)/OFFSET($AV$2,MATCH(AE$3,$AE$3:$AI$3,0),0)),6-SUM(AL240:$AO240))</f>
        <v>0</v>
      </c>
      <c r="AL240">
        <f ca="1">MIN(INT(SUM(AF240:$AI240)/OFFSET($AV$2,MATCH(AF$3,$AE$3:$AI$3,0),0)),6-SUM(AM240:$AO240))</f>
        <v>0</v>
      </c>
      <c r="AM240">
        <f ca="1">MIN(INT((SUM(AG240:$AI240)+N240*2/6)/OFFSET($AV$2,MATCH(AG$3,$AE$3:$AI$3,0),0)),6-SUM(AN240:$AO240))</f>
        <v>0</v>
      </c>
      <c r="AN240">
        <f ca="1">MIN(INT(SUM(AH240:$AI240)/OFFSET($AV$2,MATCH(AH$3,$AE$3:$AI$3,0),0)),6-SUM(AO240:$AO240))</f>
        <v>4</v>
      </c>
      <c r="AO240">
        <f ca="1">INT(SUM(AI239:$AI240)/OFFSET($AV$2,MATCH(AI$3,$AE$3:$AI$3,0),0))</f>
        <v>2</v>
      </c>
      <c r="AP240" cm="1">
        <f ca="1" t="array" ref="AP240">SUMPRODUCT(AJ240:AO240,TRANSPOSE($AS$3:$AS$8))</f>
        <v>2.6</v>
      </c>
    </row>
    <row r="241" ht="16.5" spans="14:42">
      <c r="N241" s="2">
        <v>238</v>
      </c>
      <c r="O241" s="45">
        <f>产出预期!AN257</f>
        <v>25802</v>
      </c>
      <c r="P241" s="2">
        <f ca="1">练度预期!M240</f>
        <v>30</v>
      </c>
      <c r="Q241" s="2" t="str">
        <f ca="1" t="shared" si="61"/>
        <v>橙</v>
      </c>
      <c r="R241" s="46">
        <f ca="1" t="shared" si="62"/>
        <v>0</v>
      </c>
      <c r="S241" s="47">
        <f ca="1" t="shared" si="49"/>
        <v>6.76793</v>
      </c>
      <c r="T241" s="47">
        <f ca="1">MIN(1+($O241*1.4+产出预期!AC257*60)/OFFSET($J$14,MATCH(T$3,$T$3:$W$3,0),0),18)</f>
        <v>18</v>
      </c>
      <c r="U241" s="47">
        <f ca="1">MIN(($O241*1.4+产出预期!$AC257*60)/OFFSET($J$14,MATCH(U$3,$T$3:$W$3,0),0),3)</f>
        <v>3</v>
      </c>
      <c r="V241" s="47">
        <f ca="1">MIN(($O241*1.4+产出预期!$AC257*60)/OFFSET($J$14,MATCH(V$3,$T$3:$W$3,0),0),18)</f>
        <v>1.785656</v>
      </c>
      <c r="W241" s="47">
        <f ca="1">MIN(($O241*1.4+产出预期!$AC257*60)/OFFSET($J$14,MATCH(W$3,$T$3:$W$3,0),0),18)</f>
        <v>0.446414</v>
      </c>
      <c r="X241" s="47">
        <f ca="1" t="shared" si="50"/>
        <v>1.4060758</v>
      </c>
      <c r="Y241" s="47">
        <f ca="1" t="shared" si="51"/>
        <v>5.55991731349224</v>
      </c>
      <c r="Z241" s="47">
        <f ca="1" t="shared" si="52"/>
        <v>1.953125</v>
      </c>
      <c r="AA241" s="47">
        <f ca="1" t="shared" si="53"/>
        <v>1.64173691556435</v>
      </c>
      <c r="AB241" s="47">
        <f ca="1" t="shared" si="54"/>
        <v>1.08479485507768</v>
      </c>
      <c r="AC241" s="48">
        <f ca="1" t="shared" si="55"/>
        <v>27.1930728399264</v>
      </c>
      <c r="AD241" s="47">
        <f t="shared" si="48"/>
        <v>6450.5</v>
      </c>
      <c r="AE241" s="47">
        <f t="shared" si="56"/>
        <v>1612.625</v>
      </c>
      <c r="AF241" s="47">
        <f t="shared" si="57"/>
        <v>403.15625</v>
      </c>
      <c r="AG241" s="47">
        <f t="shared" si="58"/>
        <v>100.7890625</v>
      </c>
      <c r="AH241" s="47">
        <f t="shared" si="59"/>
        <v>25.197265625</v>
      </c>
      <c r="AI241" s="47">
        <f t="shared" si="60"/>
        <v>6.29931640625</v>
      </c>
      <c r="AJ241">
        <f ca="1">MIN(INT(SUM(AD241:$AI241)/OFFSET($AV$2,MATCH(AD$3,$AE$3:$AI$3,0),0)),6-SUM(AK241:$AO241))</f>
        <v>0</v>
      </c>
      <c r="AK241">
        <f ca="1">MIN(INT(SUM(AE241:$AI241)/OFFSET($AV$2,MATCH(AE$3,$AE$3:$AI$3,0),0)),6-SUM(AL241:$AO241))</f>
        <v>0</v>
      </c>
      <c r="AL241">
        <f ca="1">MIN(INT(SUM(AF241:$AI241)/OFFSET($AV$2,MATCH(AF$3,$AE$3:$AI$3,0),0)),6-SUM(AM241:$AO241))</f>
        <v>0</v>
      </c>
      <c r="AM241">
        <f ca="1">MIN(INT((SUM(AG241:$AI241)+N241*2/6)/OFFSET($AV$2,MATCH(AG$3,$AE$3:$AI$3,0),0)),6-SUM(AN241:$AO241))</f>
        <v>0</v>
      </c>
      <c r="AN241">
        <f ca="1">MIN(INT(SUM(AH241:$AI241)/OFFSET($AV$2,MATCH(AH$3,$AE$3:$AI$3,0),0)),6-SUM(AO241:$AO241))</f>
        <v>4</v>
      </c>
      <c r="AO241">
        <f ca="1">INT(SUM(AI240:$AI241)/OFFSET($AV$2,MATCH(AI$3,$AE$3:$AI$3,0),0))</f>
        <v>2</v>
      </c>
      <c r="AP241" cm="1">
        <f ca="1" t="array" ref="AP241">SUMPRODUCT(AJ241:AO241,TRANSPOSE($AS$3:$AS$8))</f>
        <v>2.6</v>
      </c>
    </row>
    <row r="242" ht="16.5" spans="14:42">
      <c r="N242" s="2">
        <v>239</v>
      </c>
      <c r="O242" s="45">
        <f>产出预期!AN258</f>
        <v>25882</v>
      </c>
      <c r="P242" s="2">
        <f ca="1">练度预期!M241</f>
        <v>30</v>
      </c>
      <c r="Q242" s="2" t="str">
        <f ca="1" t="shared" si="61"/>
        <v>橙</v>
      </c>
      <c r="R242" s="46">
        <f ca="1" t="shared" si="62"/>
        <v>0</v>
      </c>
      <c r="S242" s="47">
        <f ca="1" t="shared" si="49"/>
        <v>6.75913</v>
      </c>
      <c r="T242" s="47">
        <f ca="1">MIN(1+($O242*1.4+产出预期!AC258*60)/OFFSET($J$14,MATCH(T$3,$T$3:$W$3,0),0),18)</f>
        <v>18</v>
      </c>
      <c r="U242" s="47">
        <f ca="1">MIN(($O242*1.4+产出预期!$AC258*60)/OFFSET($J$14,MATCH(U$3,$T$3:$W$3,0),0),3)</f>
        <v>3</v>
      </c>
      <c r="V242" s="47">
        <f ca="1">MIN(($O242*1.4+产出预期!$AC258*60)/OFFSET($J$14,MATCH(V$3,$T$3:$W$3,0),0),18)</f>
        <v>1.792696</v>
      </c>
      <c r="W242" s="47">
        <f ca="1">MIN(($O242*1.4+产出预期!$AC258*60)/OFFSET($J$14,MATCH(W$3,$T$3:$W$3,0),0),18)</f>
        <v>0.448174</v>
      </c>
      <c r="X242" s="47">
        <f ca="1" t="shared" si="50"/>
        <v>1.4055478</v>
      </c>
      <c r="Y242" s="47">
        <f ca="1" t="shared" si="51"/>
        <v>5.55991731349224</v>
      </c>
      <c r="Z242" s="47">
        <f ca="1" t="shared" si="52"/>
        <v>1.953125</v>
      </c>
      <c r="AA242" s="47">
        <f ca="1" t="shared" si="53"/>
        <v>1.64494887329875</v>
      </c>
      <c r="AB242" s="47">
        <f ca="1" t="shared" si="54"/>
        <v>1.08514300634984</v>
      </c>
      <c r="AC242" s="48">
        <f ca="1" t="shared" si="55"/>
        <v>27.2447841520239</v>
      </c>
      <c r="AD242" s="47">
        <f t="shared" si="48"/>
        <v>6470.5</v>
      </c>
      <c r="AE242" s="47">
        <f t="shared" si="56"/>
        <v>1617.625</v>
      </c>
      <c r="AF242" s="47">
        <f t="shared" si="57"/>
        <v>404.40625</v>
      </c>
      <c r="AG242" s="47">
        <f t="shared" si="58"/>
        <v>101.1015625</v>
      </c>
      <c r="AH242" s="47">
        <f t="shared" si="59"/>
        <v>25.275390625</v>
      </c>
      <c r="AI242" s="47">
        <f t="shared" si="60"/>
        <v>6.31884765625</v>
      </c>
      <c r="AJ242">
        <f ca="1">MIN(INT(SUM(AD242:$AI242)/OFFSET($AV$2,MATCH(AD$3,$AE$3:$AI$3,0),0)),6-SUM(AK242:$AO242))</f>
        <v>0</v>
      </c>
      <c r="AK242">
        <f ca="1">MIN(INT(SUM(AE242:$AI242)/OFFSET($AV$2,MATCH(AE$3,$AE$3:$AI$3,0),0)),6-SUM(AL242:$AO242))</f>
        <v>0</v>
      </c>
      <c r="AL242">
        <f ca="1">MIN(INT(SUM(AF242:$AI242)/OFFSET($AV$2,MATCH(AF$3,$AE$3:$AI$3,0),0)),6-SUM(AM242:$AO242))</f>
        <v>0</v>
      </c>
      <c r="AM242">
        <f ca="1">MIN(INT((SUM(AG242:$AI242)+N242*2/6)/OFFSET($AV$2,MATCH(AG$3,$AE$3:$AI$3,0),0)),6-SUM(AN242:$AO242))</f>
        <v>0</v>
      </c>
      <c r="AN242">
        <f ca="1">MIN(INT(SUM(AH242:$AI242)/OFFSET($AV$2,MATCH(AH$3,$AE$3:$AI$3,0),0)),6-SUM(AO242:$AO242))</f>
        <v>4</v>
      </c>
      <c r="AO242">
        <f ca="1">INT(SUM(AI241:$AI242)/OFFSET($AV$2,MATCH(AI$3,$AE$3:$AI$3,0),0))</f>
        <v>2</v>
      </c>
      <c r="AP242" cm="1">
        <f ca="1" t="array" ref="AP242">SUMPRODUCT(AJ242:AO242,TRANSPOSE($AS$3:$AS$8))</f>
        <v>2.6</v>
      </c>
    </row>
    <row r="243" ht="16.5" spans="14:42">
      <c r="N243" s="2">
        <v>240</v>
      </c>
      <c r="O243" s="45">
        <f>产出预期!AN259</f>
        <v>25990</v>
      </c>
      <c r="P243" s="2">
        <f ca="1">练度预期!M242</f>
        <v>30</v>
      </c>
      <c r="Q243" s="2" t="str">
        <f ca="1" t="shared" si="61"/>
        <v>橙</v>
      </c>
      <c r="R243" s="46">
        <f ca="1" t="shared" si="62"/>
        <v>0</v>
      </c>
      <c r="S243" s="47">
        <f ca="1" t="shared" si="49"/>
        <v>6.75085</v>
      </c>
      <c r="T243" s="47">
        <f ca="1">MIN(1+($O243*1.4+产出预期!AC259*60)/OFFSET($J$14,MATCH(T$3,$T$3:$W$3,0),0),18)</f>
        <v>18</v>
      </c>
      <c r="U243" s="47">
        <f ca="1">MIN(($O243*1.4+产出预期!$AC259*60)/OFFSET($J$14,MATCH(U$3,$T$3:$W$3,0),0),3)</f>
        <v>3</v>
      </c>
      <c r="V243" s="47">
        <f ca="1">MIN(($O243*1.4+产出预期!$AC259*60)/OFFSET($J$14,MATCH(V$3,$T$3:$W$3,0),0),18)</f>
        <v>1.79932</v>
      </c>
      <c r="W243" s="47">
        <f ca="1">MIN(($O243*1.4+产出预期!$AC259*60)/OFFSET($J$14,MATCH(W$3,$T$3:$W$3,0),0),18)</f>
        <v>0.44983</v>
      </c>
      <c r="X243" s="47">
        <f ca="1" t="shared" si="50"/>
        <v>1.405051</v>
      </c>
      <c r="Y243" s="47">
        <f ca="1" t="shared" si="51"/>
        <v>5.55991731349224</v>
      </c>
      <c r="Z243" s="47">
        <f ca="1" t="shared" si="52"/>
        <v>1.953125</v>
      </c>
      <c r="AA243" s="47">
        <f ca="1" t="shared" si="53"/>
        <v>1.6479767712885</v>
      </c>
      <c r="AB243" s="47">
        <f ca="1" t="shared" si="54"/>
        <v>1.08547068707228</v>
      </c>
      <c r="AC243" s="48">
        <f ca="1" t="shared" si="55"/>
        <v>27.2935260670729</v>
      </c>
      <c r="AD243" s="47">
        <f t="shared" si="48"/>
        <v>6497.5</v>
      </c>
      <c r="AE243" s="47">
        <f t="shared" si="56"/>
        <v>1624.375</v>
      </c>
      <c r="AF243" s="47">
        <f t="shared" si="57"/>
        <v>406.09375</v>
      </c>
      <c r="AG243" s="47">
        <f t="shared" si="58"/>
        <v>101.5234375</v>
      </c>
      <c r="AH243" s="47">
        <f t="shared" si="59"/>
        <v>25.380859375</v>
      </c>
      <c r="AI243" s="47">
        <f t="shared" si="60"/>
        <v>6.34521484375</v>
      </c>
      <c r="AJ243">
        <f ca="1">MIN(INT(SUM(AD243:$AI243)/OFFSET($AV$2,MATCH(AD$3,$AE$3:$AI$3,0),0)),6-SUM(AK243:$AO243))</f>
        <v>0</v>
      </c>
      <c r="AK243">
        <f ca="1">MIN(INT(SUM(AE243:$AI243)/OFFSET($AV$2,MATCH(AE$3,$AE$3:$AI$3,0),0)),6-SUM(AL243:$AO243))</f>
        <v>0</v>
      </c>
      <c r="AL243">
        <f ca="1">MIN(INT(SUM(AF243:$AI243)/OFFSET($AV$2,MATCH(AF$3,$AE$3:$AI$3,0),0)),6-SUM(AM243:$AO243))</f>
        <v>0</v>
      </c>
      <c r="AM243">
        <f ca="1">MIN(INT((SUM(AG243:$AI243)+N243*2/6)/OFFSET($AV$2,MATCH(AG$3,$AE$3:$AI$3,0),0)),6-SUM(AN243:$AO243))</f>
        <v>0</v>
      </c>
      <c r="AN243">
        <f ca="1">MIN(INT(SUM(AH243:$AI243)/OFFSET($AV$2,MATCH(AH$3,$AE$3:$AI$3,0),0)),6-SUM(AO243:$AO243))</f>
        <v>4</v>
      </c>
      <c r="AO243">
        <f ca="1">INT(SUM(AI242:$AI243)/OFFSET($AV$2,MATCH(AI$3,$AE$3:$AI$3,0),0))</f>
        <v>2</v>
      </c>
      <c r="AP243" cm="1">
        <f ca="1" t="array" ref="AP243">SUMPRODUCT(AJ243:AO243,TRANSPOSE($AS$3:$AS$8))</f>
        <v>2.6</v>
      </c>
    </row>
    <row r="244" ht="16.5" spans="14:42">
      <c r="N244" s="2">
        <v>241</v>
      </c>
      <c r="O244" s="45">
        <f>产出预期!AN260</f>
        <v>26103</v>
      </c>
      <c r="P244" s="2">
        <f ca="1">练度预期!M243</f>
        <v>30</v>
      </c>
      <c r="Q244" s="2" t="str">
        <f ca="1" t="shared" si="61"/>
        <v>橙</v>
      </c>
      <c r="R244" s="46">
        <f ca="1" t="shared" si="62"/>
        <v>0</v>
      </c>
      <c r="S244" s="47">
        <f ca="1" t="shared" si="49"/>
        <v>6.740895</v>
      </c>
      <c r="T244" s="47">
        <f ca="1">MIN(1+($O244*1.4+产出预期!AC260*60)/OFFSET($J$14,MATCH(T$3,$T$3:$W$3,0),0),18)</f>
        <v>18</v>
      </c>
      <c r="U244" s="47">
        <f ca="1">MIN(($O244*1.4+产出预期!$AC260*60)/OFFSET($J$14,MATCH(U$3,$T$3:$W$3,0),0),3)</f>
        <v>3</v>
      </c>
      <c r="V244" s="47">
        <f ca="1">MIN(($O244*1.4+产出预期!$AC260*60)/OFFSET($J$14,MATCH(V$3,$T$3:$W$3,0),0),18)</f>
        <v>1.807284</v>
      </c>
      <c r="W244" s="47">
        <f ca="1">MIN(($O244*1.4+产出预期!$AC260*60)/OFFSET($J$14,MATCH(W$3,$T$3:$W$3,0),0),18)</f>
        <v>0.451821</v>
      </c>
      <c r="X244" s="47">
        <f ca="1" t="shared" si="50"/>
        <v>1.4044537</v>
      </c>
      <c r="Y244" s="47">
        <f ca="1" t="shared" si="51"/>
        <v>5.55991731349224</v>
      </c>
      <c r="Z244" s="47">
        <f ca="1" t="shared" si="52"/>
        <v>1.953125</v>
      </c>
      <c r="AA244" s="47">
        <f ca="1" t="shared" si="53"/>
        <v>1.65162457667872</v>
      </c>
      <c r="AB244" s="47">
        <f ca="1" t="shared" si="54"/>
        <v>1.0858647868662</v>
      </c>
      <c r="AC244" s="48">
        <f ca="1" t="shared" si="55"/>
        <v>27.3522391448498</v>
      </c>
      <c r="AD244" s="47">
        <f t="shared" si="48"/>
        <v>6525.75</v>
      </c>
      <c r="AE244" s="47">
        <f t="shared" si="56"/>
        <v>1631.4375</v>
      </c>
      <c r="AF244" s="47">
        <f t="shared" si="57"/>
        <v>407.859375</v>
      </c>
      <c r="AG244" s="47">
        <f t="shared" si="58"/>
        <v>101.96484375</v>
      </c>
      <c r="AH244" s="47">
        <f t="shared" si="59"/>
        <v>25.4912109375</v>
      </c>
      <c r="AI244" s="47">
        <f t="shared" si="60"/>
        <v>6.372802734375</v>
      </c>
      <c r="AJ244">
        <f ca="1">MIN(INT(SUM(AD244:$AI244)/OFFSET($AV$2,MATCH(AD$3,$AE$3:$AI$3,0),0)),6-SUM(AK244:$AO244))</f>
        <v>0</v>
      </c>
      <c r="AK244">
        <f ca="1">MIN(INT(SUM(AE244:$AI244)/OFFSET($AV$2,MATCH(AE$3,$AE$3:$AI$3,0),0)),6-SUM(AL244:$AO244))</f>
        <v>0</v>
      </c>
      <c r="AL244">
        <f ca="1">MIN(INT(SUM(AF244:$AI244)/OFFSET($AV$2,MATCH(AF$3,$AE$3:$AI$3,0),0)),6-SUM(AM244:$AO244))</f>
        <v>0</v>
      </c>
      <c r="AM244">
        <f ca="1">MIN(INT((SUM(AG244:$AI244)+N244*2/6)/OFFSET($AV$2,MATCH(AG$3,$AE$3:$AI$3,0),0)),6-SUM(AN244:$AO244))</f>
        <v>0</v>
      </c>
      <c r="AN244">
        <f ca="1">MIN(INT(SUM(AH244:$AI244)/OFFSET($AV$2,MATCH(AH$3,$AE$3:$AI$3,0),0)),6-SUM(AO244:$AO244))</f>
        <v>4</v>
      </c>
      <c r="AO244">
        <f ca="1">INT(SUM(AI243:$AI244)/OFFSET($AV$2,MATCH(AI$3,$AE$3:$AI$3,0),0))</f>
        <v>2</v>
      </c>
      <c r="AP244" cm="1">
        <f ca="1" t="array" ref="AP244">SUMPRODUCT(AJ244:AO244,TRANSPOSE($AS$3:$AS$8))</f>
        <v>2.6</v>
      </c>
    </row>
    <row r="245" ht="16.5" spans="14:42">
      <c r="N245" s="2">
        <v>242</v>
      </c>
      <c r="O245" s="45">
        <f>产出预期!AN261</f>
        <v>26211</v>
      </c>
      <c r="P245" s="2">
        <f ca="1">练度预期!M244</f>
        <v>30</v>
      </c>
      <c r="Q245" s="2" t="str">
        <f ca="1" t="shared" si="61"/>
        <v>橙</v>
      </c>
      <c r="R245" s="46">
        <f ca="1" t="shared" si="62"/>
        <v>0</v>
      </c>
      <c r="S245" s="47">
        <f ca="1" t="shared" si="49"/>
        <v>6.731115</v>
      </c>
      <c r="T245" s="47">
        <f ca="1">MIN(1+($O245*1.4+产出预期!AC261*60)/OFFSET($J$14,MATCH(T$3,$T$3:$W$3,0),0),18)</f>
        <v>18</v>
      </c>
      <c r="U245" s="47">
        <f ca="1">MIN(($O245*1.4+产出预期!$AC261*60)/OFFSET($J$14,MATCH(U$3,$T$3:$W$3,0),0),3)</f>
        <v>3</v>
      </c>
      <c r="V245" s="47">
        <f ca="1">MIN(($O245*1.4+产出预期!$AC261*60)/OFFSET($J$14,MATCH(V$3,$T$3:$W$3,0),0),18)</f>
        <v>1.815108</v>
      </c>
      <c r="W245" s="47">
        <f ca="1">MIN(($O245*1.4+产出预期!$AC261*60)/OFFSET($J$14,MATCH(W$3,$T$3:$W$3,0),0),18)</f>
        <v>0.453777</v>
      </c>
      <c r="X245" s="47">
        <f ca="1" t="shared" si="50"/>
        <v>1.4038669</v>
      </c>
      <c r="Y245" s="47">
        <f ca="1" t="shared" si="51"/>
        <v>5.55991731349224</v>
      </c>
      <c r="Z245" s="47">
        <f ca="1" t="shared" si="52"/>
        <v>1.953125</v>
      </c>
      <c r="AA245" s="47">
        <f ca="1" t="shared" si="53"/>
        <v>1.65521611958174</v>
      </c>
      <c r="AB245" s="47">
        <f ca="1" t="shared" si="54"/>
        <v>1.08625209807199</v>
      </c>
      <c r="AC245" s="48">
        <f ca="1" t="shared" si="55"/>
        <v>27.4100382610006</v>
      </c>
      <c r="AD245" s="47">
        <f t="shared" si="48"/>
        <v>6552.75</v>
      </c>
      <c r="AE245" s="47">
        <f t="shared" si="56"/>
        <v>1638.1875</v>
      </c>
      <c r="AF245" s="47">
        <f t="shared" si="57"/>
        <v>409.546875</v>
      </c>
      <c r="AG245" s="47">
        <f t="shared" si="58"/>
        <v>102.38671875</v>
      </c>
      <c r="AH245" s="47">
        <f t="shared" si="59"/>
        <v>25.5966796875</v>
      </c>
      <c r="AI245" s="47">
        <f t="shared" si="60"/>
        <v>6.399169921875</v>
      </c>
      <c r="AJ245">
        <f ca="1">MIN(INT(SUM(AD245:$AI245)/OFFSET($AV$2,MATCH(AD$3,$AE$3:$AI$3,0),0)),6-SUM(AK245:$AO245))</f>
        <v>0</v>
      </c>
      <c r="AK245">
        <f ca="1">MIN(INT(SUM(AE245:$AI245)/OFFSET($AV$2,MATCH(AE$3,$AE$3:$AI$3,0),0)),6-SUM(AL245:$AO245))</f>
        <v>0</v>
      </c>
      <c r="AL245">
        <f ca="1">MIN(INT(SUM(AF245:$AI245)/OFFSET($AV$2,MATCH(AF$3,$AE$3:$AI$3,0),0)),6-SUM(AM245:$AO245))</f>
        <v>0</v>
      </c>
      <c r="AM245">
        <f ca="1">MIN(INT((SUM(AG245:$AI245)+N245*2/6)/OFFSET($AV$2,MATCH(AG$3,$AE$3:$AI$3,0),0)),6-SUM(AN245:$AO245))</f>
        <v>0</v>
      </c>
      <c r="AN245">
        <f ca="1">MIN(INT(SUM(AH245:$AI245)/OFFSET($AV$2,MATCH(AH$3,$AE$3:$AI$3,0),0)),6-SUM(AO245:$AO245))</f>
        <v>4</v>
      </c>
      <c r="AO245">
        <f ca="1">INT(SUM(AI244:$AI245)/OFFSET($AV$2,MATCH(AI$3,$AE$3:$AI$3,0),0))</f>
        <v>2</v>
      </c>
      <c r="AP245" cm="1">
        <f ca="1" t="array" ref="AP245">SUMPRODUCT(AJ245:AO245,TRANSPOSE($AS$3:$AS$8))</f>
        <v>2.6</v>
      </c>
    </row>
    <row r="246" ht="16.5" spans="14:42">
      <c r="N246" s="2">
        <v>243</v>
      </c>
      <c r="O246" s="45">
        <f>产出预期!AN262</f>
        <v>26324</v>
      </c>
      <c r="P246" s="2">
        <f ca="1">练度预期!M245</f>
        <v>30</v>
      </c>
      <c r="Q246" s="2" t="str">
        <f ca="1" t="shared" si="61"/>
        <v>橙</v>
      </c>
      <c r="R246" s="46">
        <f ca="1" t="shared" si="62"/>
        <v>0</v>
      </c>
      <c r="S246" s="47">
        <f ca="1" t="shared" si="49"/>
        <v>6.72266</v>
      </c>
      <c r="T246" s="47">
        <f ca="1">MIN(1+($O246*1.4+产出预期!AC262*60)/OFFSET($J$14,MATCH(T$3,$T$3:$W$3,0),0),18)</f>
        <v>18</v>
      </c>
      <c r="U246" s="47">
        <f ca="1">MIN(($O246*1.4+产出预期!$AC262*60)/OFFSET($J$14,MATCH(U$3,$T$3:$W$3,0),0),3)</f>
        <v>3</v>
      </c>
      <c r="V246" s="47">
        <f ca="1">MIN(($O246*1.4+产出预期!$AC262*60)/OFFSET($J$14,MATCH(V$3,$T$3:$W$3,0),0),18)</f>
        <v>1.821872</v>
      </c>
      <c r="W246" s="47">
        <f ca="1">MIN(($O246*1.4+产出预期!$AC262*60)/OFFSET($J$14,MATCH(W$3,$T$3:$W$3,0),0),18)</f>
        <v>0.455468</v>
      </c>
      <c r="X246" s="47">
        <f ca="1" t="shared" si="50"/>
        <v>1.4033596</v>
      </c>
      <c r="Y246" s="47">
        <f ca="1" t="shared" si="51"/>
        <v>5.55991731349224</v>
      </c>
      <c r="Z246" s="47">
        <f ca="1" t="shared" si="52"/>
        <v>1.953125</v>
      </c>
      <c r="AA246" s="47">
        <f ca="1" t="shared" si="53"/>
        <v>1.65832737209563</v>
      </c>
      <c r="AB246" s="47">
        <f ca="1" t="shared" si="54"/>
        <v>1.08658704747329</v>
      </c>
      <c r="AC246" s="48">
        <f ca="1" t="shared" si="55"/>
        <v>27.4601012814799</v>
      </c>
      <c r="AD246" s="47">
        <f t="shared" si="48"/>
        <v>6581</v>
      </c>
      <c r="AE246" s="47">
        <f t="shared" si="56"/>
        <v>1645.25</v>
      </c>
      <c r="AF246" s="47">
        <f t="shared" si="57"/>
        <v>411.3125</v>
      </c>
      <c r="AG246" s="47">
        <f t="shared" si="58"/>
        <v>102.828125</v>
      </c>
      <c r="AH246" s="47">
        <f t="shared" si="59"/>
        <v>25.70703125</v>
      </c>
      <c r="AI246" s="47">
        <f t="shared" si="60"/>
        <v>6.4267578125</v>
      </c>
      <c r="AJ246">
        <f ca="1">MIN(INT(SUM(AD246:$AI246)/OFFSET($AV$2,MATCH(AD$3,$AE$3:$AI$3,0),0)),6-SUM(AK246:$AO246))</f>
        <v>0</v>
      </c>
      <c r="AK246">
        <f ca="1">MIN(INT(SUM(AE246:$AI246)/OFFSET($AV$2,MATCH(AE$3,$AE$3:$AI$3,0),0)),6-SUM(AL246:$AO246))</f>
        <v>0</v>
      </c>
      <c r="AL246">
        <f ca="1">MIN(INT(SUM(AF246:$AI246)/OFFSET($AV$2,MATCH(AF$3,$AE$3:$AI$3,0),0)),6-SUM(AM246:$AO246))</f>
        <v>0</v>
      </c>
      <c r="AM246">
        <f ca="1">MIN(INT((SUM(AG246:$AI246)+N246*2/6)/OFFSET($AV$2,MATCH(AG$3,$AE$3:$AI$3,0),0)),6-SUM(AN246:$AO246))</f>
        <v>0</v>
      </c>
      <c r="AN246">
        <f ca="1">MIN(INT(SUM(AH246:$AI246)/OFFSET($AV$2,MATCH(AH$3,$AE$3:$AI$3,0),0)),6-SUM(AO246:$AO246))</f>
        <v>4</v>
      </c>
      <c r="AO246">
        <f ca="1">INT(SUM(AI245:$AI246)/OFFSET($AV$2,MATCH(AI$3,$AE$3:$AI$3,0),0))</f>
        <v>2</v>
      </c>
      <c r="AP246" cm="1">
        <f ca="1" t="array" ref="AP246">SUMPRODUCT(AJ246:AO246,TRANSPOSE($AS$3:$AS$8))</f>
        <v>2.6</v>
      </c>
    </row>
    <row r="247" ht="16.5" spans="14:42">
      <c r="N247" s="2">
        <v>244</v>
      </c>
      <c r="O247" s="45">
        <f>产出预期!AN263</f>
        <v>26432</v>
      </c>
      <c r="P247" s="2">
        <f ca="1">练度预期!M246</f>
        <v>30</v>
      </c>
      <c r="Q247" s="2" t="str">
        <f ca="1" t="shared" si="61"/>
        <v>橙</v>
      </c>
      <c r="R247" s="46">
        <f ca="1" t="shared" si="62"/>
        <v>0</v>
      </c>
      <c r="S247" s="47">
        <f ca="1" t="shared" si="49"/>
        <v>6.71288</v>
      </c>
      <c r="T247" s="47">
        <f ca="1">MIN(1+($O247*1.4+产出预期!AC263*60)/OFFSET($J$14,MATCH(T$3,$T$3:$W$3,0),0),18)</f>
        <v>18</v>
      </c>
      <c r="U247" s="47">
        <f ca="1">MIN(($O247*1.4+产出预期!$AC263*60)/OFFSET($J$14,MATCH(U$3,$T$3:$W$3,0),0),3)</f>
        <v>3</v>
      </c>
      <c r="V247" s="47">
        <f ca="1">MIN(($O247*1.4+产出预期!$AC263*60)/OFFSET($J$14,MATCH(V$3,$T$3:$W$3,0),0),18)</f>
        <v>1.829696</v>
      </c>
      <c r="W247" s="47">
        <f ca="1">MIN(($O247*1.4+产出预期!$AC263*60)/OFFSET($J$14,MATCH(W$3,$T$3:$W$3,0),0),18)</f>
        <v>0.457424</v>
      </c>
      <c r="X247" s="47">
        <f ca="1" t="shared" si="50"/>
        <v>1.4027728</v>
      </c>
      <c r="Y247" s="47">
        <f ca="1" t="shared" si="51"/>
        <v>5.55991731349224</v>
      </c>
      <c r="Z247" s="47">
        <f ca="1" t="shared" si="52"/>
        <v>1.953125</v>
      </c>
      <c r="AA247" s="47">
        <f ca="1" t="shared" si="53"/>
        <v>1.66193349057329</v>
      </c>
      <c r="AB247" s="47">
        <f ca="1" t="shared" si="54"/>
        <v>1.08697461629829</v>
      </c>
      <c r="AC247" s="48">
        <f ca="1" t="shared" si="55"/>
        <v>27.5181193579535</v>
      </c>
      <c r="AD247" s="47">
        <f t="shared" si="48"/>
        <v>6608</v>
      </c>
      <c r="AE247" s="47">
        <f t="shared" si="56"/>
        <v>1652</v>
      </c>
      <c r="AF247" s="47">
        <f t="shared" si="57"/>
        <v>413</v>
      </c>
      <c r="AG247" s="47">
        <f t="shared" si="58"/>
        <v>103.25</v>
      </c>
      <c r="AH247" s="47">
        <f t="shared" si="59"/>
        <v>25.8125</v>
      </c>
      <c r="AI247" s="47">
        <f t="shared" si="60"/>
        <v>6.453125</v>
      </c>
      <c r="AJ247">
        <f ca="1">MIN(INT(SUM(AD247:$AI247)/OFFSET($AV$2,MATCH(AD$3,$AE$3:$AI$3,0),0)),6-SUM(AK247:$AO247))</f>
        <v>0</v>
      </c>
      <c r="AK247">
        <f ca="1">MIN(INT(SUM(AE247:$AI247)/OFFSET($AV$2,MATCH(AE$3,$AE$3:$AI$3,0),0)),6-SUM(AL247:$AO247))</f>
        <v>0</v>
      </c>
      <c r="AL247">
        <f ca="1">MIN(INT(SUM(AF247:$AI247)/OFFSET($AV$2,MATCH(AF$3,$AE$3:$AI$3,0),0)),6-SUM(AM247:$AO247))</f>
        <v>0</v>
      </c>
      <c r="AM247">
        <f ca="1">MIN(INT((SUM(AG247:$AI247)+N247*2/6)/OFFSET($AV$2,MATCH(AG$3,$AE$3:$AI$3,0),0)),6-SUM(AN247:$AO247))</f>
        <v>0</v>
      </c>
      <c r="AN247">
        <f ca="1">MIN(INT(SUM(AH247:$AI247)/OFFSET($AV$2,MATCH(AH$3,$AE$3:$AI$3,0),0)),6-SUM(AO247:$AO247))</f>
        <v>4</v>
      </c>
      <c r="AO247">
        <f ca="1">INT(SUM(AI246:$AI247)/OFFSET($AV$2,MATCH(AI$3,$AE$3:$AI$3,0),0))</f>
        <v>2</v>
      </c>
      <c r="AP247" cm="1">
        <f ca="1" t="array" ref="AP247">SUMPRODUCT(AJ247:AO247,TRANSPOSE($AS$3:$AS$8))</f>
        <v>2.6</v>
      </c>
    </row>
    <row r="248" ht="16.5" spans="14:42">
      <c r="N248" s="2">
        <v>245</v>
      </c>
      <c r="O248" s="45">
        <f>产出预期!AN264</f>
        <v>26545</v>
      </c>
      <c r="P248" s="2">
        <f ca="1">练度预期!M247</f>
        <v>30</v>
      </c>
      <c r="Q248" s="2" t="str">
        <f ca="1" t="shared" si="61"/>
        <v>橙</v>
      </c>
      <c r="R248" s="46">
        <f ca="1" t="shared" si="62"/>
        <v>0</v>
      </c>
      <c r="S248" s="47">
        <f ca="1" t="shared" si="49"/>
        <v>6.704425</v>
      </c>
      <c r="T248" s="47">
        <f ca="1">MIN(1+($O248*1.4+产出预期!AC264*60)/OFFSET($J$14,MATCH(T$3,$T$3:$W$3,0),0),18)</f>
        <v>18</v>
      </c>
      <c r="U248" s="47">
        <f ca="1">MIN(($O248*1.4+产出预期!$AC264*60)/OFFSET($J$14,MATCH(U$3,$T$3:$W$3,0),0),3)</f>
        <v>3</v>
      </c>
      <c r="V248" s="47">
        <f ca="1">MIN(($O248*1.4+产出预期!$AC264*60)/OFFSET($J$14,MATCH(V$3,$T$3:$W$3,0),0),18)</f>
        <v>1.83646</v>
      </c>
      <c r="W248" s="47">
        <f ca="1">MIN(($O248*1.4+产出预期!$AC264*60)/OFFSET($J$14,MATCH(W$3,$T$3:$W$3,0),0),18)</f>
        <v>0.459115</v>
      </c>
      <c r="X248" s="47">
        <f ca="1" t="shared" si="50"/>
        <v>1.4022655</v>
      </c>
      <c r="Y248" s="47">
        <f ca="1" t="shared" si="51"/>
        <v>5.55991731349224</v>
      </c>
      <c r="Z248" s="47">
        <f ca="1" t="shared" si="52"/>
        <v>1.953125</v>
      </c>
      <c r="AA248" s="47">
        <f ca="1" t="shared" si="53"/>
        <v>1.66505736949719</v>
      </c>
      <c r="AB248" s="47">
        <f ca="1" t="shared" si="54"/>
        <v>1.08730978849046</v>
      </c>
      <c r="AC248" s="48">
        <f ca="1" t="shared" si="55"/>
        <v>27.5683720101913</v>
      </c>
      <c r="AD248" s="47">
        <f t="shared" si="48"/>
        <v>6636.25</v>
      </c>
      <c r="AE248" s="47">
        <f t="shared" si="56"/>
        <v>1659.0625</v>
      </c>
      <c r="AF248" s="47">
        <f t="shared" si="57"/>
        <v>414.765625</v>
      </c>
      <c r="AG248" s="47">
        <f t="shared" si="58"/>
        <v>103.69140625</v>
      </c>
      <c r="AH248" s="47">
        <f t="shared" si="59"/>
        <v>25.9228515625</v>
      </c>
      <c r="AI248" s="47">
        <f t="shared" si="60"/>
        <v>6.480712890625</v>
      </c>
      <c r="AJ248">
        <f ca="1">MIN(INT(SUM(AD248:$AI248)/OFFSET($AV$2,MATCH(AD$3,$AE$3:$AI$3,0),0)),6-SUM(AK248:$AO248))</f>
        <v>0</v>
      </c>
      <c r="AK248">
        <f ca="1">MIN(INT(SUM(AE248:$AI248)/OFFSET($AV$2,MATCH(AE$3,$AE$3:$AI$3,0),0)),6-SUM(AL248:$AO248))</f>
        <v>0</v>
      </c>
      <c r="AL248">
        <f ca="1">MIN(INT(SUM(AF248:$AI248)/OFFSET($AV$2,MATCH(AF$3,$AE$3:$AI$3,0),0)),6-SUM(AM248:$AO248))</f>
        <v>0</v>
      </c>
      <c r="AM248">
        <f ca="1">MIN(INT((SUM(AG248:$AI248)+N248*2/6)/OFFSET($AV$2,MATCH(AG$3,$AE$3:$AI$3,0),0)),6-SUM(AN248:$AO248))</f>
        <v>0</v>
      </c>
      <c r="AN248">
        <f ca="1">MIN(INT(SUM(AH248:$AI248)/OFFSET($AV$2,MATCH(AH$3,$AE$3:$AI$3,0),0)),6-SUM(AO248:$AO248))</f>
        <v>4</v>
      </c>
      <c r="AO248">
        <f ca="1">INT(SUM(AI247:$AI248)/OFFSET($AV$2,MATCH(AI$3,$AE$3:$AI$3,0),0))</f>
        <v>2</v>
      </c>
      <c r="AP248" cm="1">
        <f ca="1" t="array" ref="AP248">SUMPRODUCT(AJ248:AO248,TRANSPOSE($AS$3:$AS$8))</f>
        <v>2.6</v>
      </c>
    </row>
    <row r="249" ht="16.5" spans="14:42">
      <c r="N249" s="2">
        <v>246</v>
      </c>
      <c r="O249" s="45">
        <f>产出预期!AN265</f>
        <v>26630</v>
      </c>
      <c r="P249" s="2">
        <f ca="1">练度预期!M248</f>
        <v>30</v>
      </c>
      <c r="Q249" s="2" t="str">
        <f ca="1" t="shared" si="61"/>
        <v>橙</v>
      </c>
      <c r="R249" s="46">
        <f ca="1" t="shared" si="62"/>
        <v>0</v>
      </c>
      <c r="S249" s="47">
        <f ca="1" t="shared" si="49"/>
        <v>6.69545</v>
      </c>
      <c r="T249" s="47">
        <f ca="1">MIN(1+($O249*1.4+产出预期!AC265*60)/OFFSET($J$14,MATCH(T$3,$T$3:$W$3,0),0),18)</f>
        <v>18</v>
      </c>
      <c r="U249" s="47">
        <f ca="1">MIN(($O249*1.4+产出预期!$AC265*60)/OFFSET($J$14,MATCH(U$3,$T$3:$W$3,0),0),3)</f>
        <v>3</v>
      </c>
      <c r="V249" s="47">
        <f ca="1">MIN(($O249*1.4+产出预期!$AC265*60)/OFFSET($J$14,MATCH(V$3,$T$3:$W$3,0),0),18)</f>
        <v>1.84364</v>
      </c>
      <c r="W249" s="47">
        <f ca="1">MIN(($O249*1.4+产出预期!$AC265*60)/OFFSET($J$14,MATCH(W$3,$T$3:$W$3,0),0),18)</f>
        <v>0.46091</v>
      </c>
      <c r="X249" s="47">
        <f ca="1" t="shared" si="50"/>
        <v>1.401727</v>
      </c>
      <c r="Y249" s="47">
        <f ca="1" t="shared" si="51"/>
        <v>5.55991731349224</v>
      </c>
      <c r="Z249" s="47">
        <f ca="1" t="shared" si="52"/>
        <v>1.953125</v>
      </c>
      <c r="AA249" s="47">
        <f ca="1" t="shared" si="53"/>
        <v>1.66837979833661</v>
      </c>
      <c r="AB249" s="47">
        <f ca="1" t="shared" si="54"/>
        <v>1.0876656875483</v>
      </c>
      <c r="AC249" s="48">
        <f ca="1" t="shared" si="55"/>
        <v>27.6218117620804</v>
      </c>
      <c r="AD249" s="47">
        <f t="shared" si="48"/>
        <v>6657.5</v>
      </c>
      <c r="AE249" s="47">
        <f t="shared" si="56"/>
        <v>1664.375</v>
      </c>
      <c r="AF249" s="47">
        <f t="shared" si="57"/>
        <v>416.09375</v>
      </c>
      <c r="AG249" s="47">
        <f t="shared" si="58"/>
        <v>104.0234375</v>
      </c>
      <c r="AH249" s="47">
        <f t="shared" si="59"/>
        <v>26.005859375</v>
      </c>
      <c r="AI249" s="47">
        <f t="shared" si="60"/>
        <v>6.50146484375</v>
      </c>
      <c r="AJ249">
        <f ca="1">MIN(INT(SUM(AD249:$AI249)/OFFSET($AV$2,MATCH(AD$3,$AE$3:$AI$3,0),0)),6-SUM(AK249:$AO249))</f>
        <v>0</v>
      </c>
      <c r="AK249">
        <f ca="1">MIN(INT(SUM(AE249:$AI249)/OFFSET($AV$2,MATCH(AE$3,$AE$3:$AI$3,0),0)),6-SUM(AL249:$AO249))</f>
        <v>0</v>
      </c>
      <c r="AL249">
        <f ca="1">MIN(INT(SUM(AF249:$AI249)/OFFSET($AV$2,MATCH(AF$3,$AE$3:$AI$3,0),0)),6-SUM(AM249:$AO249))</f>
        <v>0</v>
      </c>
      <c r="AM249">
        <f ca="1">MIN(INT((SUM(AG249:$AI249)+N249*2/6)/OFFSET($AV$2,MATCH(AG$3,$AE$3:$AI$3,0),0)),6-SUM(AN249:$AO249))</f>
        <v>0</v>
      </c>
      <c r="AN249">
        <f ca="1">MIN(INT(SUM(AH249:$AI249)/OFFSET($AV$2,MATCH(AH$3,$AE$3:$AI$3,0),0)),6-SUM(AO249:$AO249))</f>
        <v>4</v>
      </c>
      <c r="AO249">
        <f ca="1">INT(SUM(AI248:$AI249)/OFFSET($AV$2,MATCH(AI$3,$AE$3:$AI$3,0),0))</f>
        <v>2</v>
      </c>
      <c r="AP249" cm="1">
        <f ca="1" t="array" ref="AP249">SUMPRODUCT(AJ249:AO249,TRANSPOSE($AS$3:$AS$8))</f>
        <v>2.6</v>
      </c>
    </row>
    <row r="250" ht="16.5" spans="14:42">
      <c r="N250" s="2">
        <v>247</v>
      </c>
      <c r="O250" s="45">
        <f>产出预期!AN266</f>
        <v>26738</v>
      </c>
      <c r="P250" s="2">
        <f ca="1">练度预期!M249</f>
        <v>30</v>
      </c>
      <c r="Q250" s="2" t="str">
        <f ca="1" t="shared" si="61"/>
        <v>橙</v>
      </c>
      <c r="R250" s="46">
        <f ca="1" t="shared" si="62"/>
        <v>0</v>
      </c>
      <c r="S250" s="47">
        <f ca="1" t="shared" si="49"/>
        <v>6.68717</v>
      </c>
      <c r="T250" s="47">
        <f ca="1">MIN(1+($O250*1.4+产出预期!AC266*60)/OFFSET($J$14,MATCH(T$3,$T$3:$W$3,0),0),18)</f>
        <v>18</v>
      </c>
      <c r="U250" s="47">
        <f ca="1">MIN(($O250*1.4+产出预期!$AC266*60)/OFFSET($J$14,MATCH(U$3,$T$3:$W$3,0),0),3)</f>
        <v>3</v>
      </c>
      <c r="V250" s="47">
        <f ca="1">MIN(($O250*1.4+产出预期!$AC266*60)/OFFSET($J$14,MATCH(V$3,$T$3:$W$3,0),0),18)</f>
        <v>1.850264</v>
      </c>
      <c r="W250" s="47">
        <f ca="1">MIN(($O250*1.4+产出预期!$AC266*60)/OFFSET($J$14,MATCH(W$3,$T$3:$W$3,0),0),18)</f>
        <v>0.462566</v>
      </c>
      <c r="X250" s="47">
        <f ca="1" t="shared" si="50"/>
        <v>1.4012302</v>
      </c>
      <c r="Y250" s="47">
        <f ca="1" t="shared" si="51"/>
        <v>5.55991731349224</v>
      </c>
      <c r="Z250" s="47">
        <f ca="1" t="shared" si="52"/>
        <v>1.953125</v>
      </c>
      <c r="AA250" s="47">
        <f ca="1" t="shared" si="53"/>
        <v>1.67145082620837</v>
      </c>
      <c r="AB250" s="47">
        <f ca="1" t="shared" si="54"/>
        <v>1.08799413004498</v>
      </c>
      <c r="AC250" s="48">
        <f ca="1" t="shared" si="55"/>
        <v>27.6712015241826</v>
      </c>
      <c r="AD250" s="47">
        <f t="shared" si="48"/>
        <v>6684.5</v>
      </c>
      <c r="AE250" s="47">
        <f t="shared" si="56"/>
        <v>1671.125</v>
      </c>
      <c r="AF250" s="47">
        <f t="shared" si="57"/>
        <v>417.78125</v>
      </c>
      <c r="AG250" s="47">
        <f t="shared" si="58"/>
        <v>104.4453125</v>
      </c>
      <c r="AH250" s="47">
        <f t="shared" si="59"/>
        <v>26.111328125</v>
      </c>
      <c r="AI250" s="47">
        <f t="shared" si="60"/>
        <v>6.52783203125</v>
      </c>
      <c r="AJ250">
        <f ca="1">MIN(INT(SUM(AD250:$AI250)/OFFSET($AV$2,MATCH(AD$3,$AE$3:$AI$3,0),0)),6-SUM(AK250:$AO250))</f>
        <v>0</v>
      </c>
      <c r="AK250">
        <f ca="1">MIN(INT(SUM(AE250:$AI250)/OFFSET($AV$2,MATCH(AE$3,$AE$3:$AI$3,0),0)),6-SUM(AL250:$AO250))</f>
        <v>0</v>
      </c>
      <c r="AL250">
        <f ca="1">MIN(INT(SUM(AF250:$AI250)/OFFSET($AV$2,MATCH(AF$3,$AE$3:$AI$3,0),0)),6-SUM(AM250:$AO250))</f>
        <v>0</v>
      </c>
      <c r="AM250">
        <f ca="1">MIN(INT((SUM(AG250:$AI250)+N250*2/6)/OFFSET($AV$2,MATCH(AG$3,$AE$3:$AI$3,0),0)),6-SUM(AN250:$AO250))</f>
        <v>0</v>
      </c>
      <c r="AN250">
        <f ca="1">MIN(INT(SUM(AH250:$AI250)/OFFSET($AV$2,MATCH(AH$3,$AE$3:$AI$3,0),0)),6-SUM(AO250:$AO250))</f>
        <v>4</v>
      </c>
      <c r="AO250">
        <f ca="1">INT(SUM(AI249:$AI250)/OFFSET($AV$2,MATCH(AI$3,$AE$3:$AI$3,0),0))</f>
        <v>2</v>
      </c>
      <c r="AP250" cm="1">
        <f ca="1" t="array" ref="AP250">SUMPRODUCT(AJ250:AO250,TRANSPOSE($AS$3:$AS$8))</f>
        <v>2.6</v>
      </c>
    </row>
    <row r="251" ht="16.5" spans="14:42">
      <c r="N251" s="2">
        <v>248</v>
      </c>
      <c r="O251" s="45">
        <f>产出预期!AN267</f>
        <v>26851</v>
      </c>
      <c r="P251" s="2">
        <f ca="1">练度预期!M250</f>
        <v>30</v>
      </c>
      <c r="Q251" s="2" t="str">
        <f ca="1" t="shared" si="61"/>
        <v>橙</v>
      </c>
      <c r="R251" s="46">
        <f ca="1" t="shared" si="62"/>
        <v>0</v>
      </c>
      <c r="S251" s="47">
        <f ca="1" t="shared" si="49"/>
        <v>6.677215</v>
      </c>
      <c r="T251" s="47">
        <f ca="1">MIN(1+($O251*1.4+产出预期!AC267*60)/OFFSET($J$14,MATCH(T$3,$T$3:$W$3,0),0),18)</f>
        <v>18</v>
      </c>
      <c r="U251" s="47">
        <f ca="1">MIN(($O251*1.4+产出预期!$AC267*60)/OFFSET($J$14,MATCH(U$3,$T$3:$W$3,0),0),3)</f>
        <v>3</v>
      </c>
      <c r="V251" s="47">
        <f ca="1">MIN(($O251*1.4+产出预期!$AC267*60)/OFFSET($J$14,MATCH(V$3,$T$3:$W$3,0),0),18)</f>
        <v>1.858228</v>
      </c>
      <c r="W251" s="47">
        <f ca="1">MIN(($O251*1.4+产出预期!$AC267*60)/OFFSET($J$14,MATCH(W$3,$T$3:$W$3,0),0),18)</f>
        <v>0.464557</v>
      </c>
      <c r="X251" s="47">
        <f ca="1" t="shared" si="50"/>
        <v>1.4006329</v>
      </c>
      <c r="Y251" s="47">
        <f ca="1" t="shared" si="51"/>
        <v>5.55991731349224</v>
      </c>
      <c r="Z251" s="47">
        <f ca="1" t="shared" si="52"/>
        <v>1.953125</v>
      </c>
      <c r="AA251" s="47">
        <f ca="1" t="shared" si="53"/>
        <v>1.67515059154461</v>
      </c>
      <c r="AB251" s="47">
        <f ca="1" t="shared" si="54"/>
        <v>1.08838914602058</v>
      </c>
      <c r="AC251" s="48">
        <f ca="1" t="shared" si="55"/>
        <v>27.730694888791</v>
      </c>
      <c r="AD251" s="47">
        <f t="shared" si="48"/>
        <v>6712.75</v>
      </c>
      <c r="AE251" s="47">
        <f t="shared" si="56"/>
        <v>1678.1875</v>
      </c>
      <c r="AF251" s="47">
        <f t="shared" si="57"/>
        <v>419.546875</v>
      </c>
      <c r="AG251" s="47">
        <f t="shared" si="58"/>
        <v>104.88671875</v>
      </c>
      <c r="AH251" s="47">
        <f t="shared" si="59"/>
        <v>26.2216796875</v>
      </c>
      <c r="AI251" s="47">
        <f t="shared" si="60"/>
        <v>6.555419921875</v>
      </c>
      <c r="AJ251">
        <f ca="1">MIN(INT(SUM(AD251:$AI251)/OFFSET($AV$2,MATCH(AD$3,$AE$3:$AI$3,0),0)),6-SUM(AK251:$AO251))</f>
        <v>0</v>
      </c>
      <c r="AK251">
        <f ca="1">MIN(INT(SUM(AE251:$AI251)/OFFSET($AV$2,MATCH(AE$3,$AE$3:$AI$3,0),0)),6-SUM(AL251:$AO251))</f>
        <v>0</v>
      </c>
      <c r="AL251">
        <f ca="1">MIN(INT(SUM(AF251:$AI251)/OFFSET($AV$2,MATCH(AF$3,$AE$3:$AI$3,0),0)),6-SUM(AM251:$AO251))</f>
        <v>0</v>
      </c>
      <c r="AM251">
        <f ca="1">MIN(INT((SUM(AG251:$AI251)+N251*2/6)/OFFSET($AV$2,MATCH(AG$3,$AE$3:$AI$3,0),0)),6-SUM(AN251:$AO251))</f>
        <v>0</v>
      </c>
      <c r="AN251">
        <f ca="1">MIN(INT(SUM(AH251:$AI251)/OFFSET($AV$2,MATCH(AH$3,$AE$3:$AI$3,0),0)),6-SUM(AO251:$AO251))</f>
        <v>4</v>
      </c>
      <c r="AO251">
        <f ca="1">INT(SUM(AI250:$AI251)/OFFSET($AV$2,MATCH(AI$3,$AE$3:$AI$3,0),0))</f>
        <v>2</v>
      </c>
      <c r="AP251" cm="1">
        <f ca="1" t="array" ref="AP251">SUMPRODUCT(AJ251:AO251,TRANSPOSE($AS$3:$AS$8))</f>
        <v>2.6</v>
      </c>
    </row>
    <row r="252" ht="16.5" spans="14:42">
      <c r="N252" s="2">
        <v>249</v>
      </c>
      <c r="O252" s="45">
        <f>产出预期!AN268</f>
        <v>26959</v>
      </c>
      <c r="P252" s="2">
        <f ca="1">练度预期!M251</f>
        <v>30</v>
      </c>
      <c r="Q252" s="2" t="str">
        <f ca="1" t="shared" si="61"/>
        <v>橙</v>
      </c>
      <c r="R252" s="46">
        <f ca="1" t="shared" si="62"/>
        <v>0</v>
      </c>
      <c r="S252" s="47">
        <f ca="1" t="shared" si="49"/>
        <v>6.668935</v>
      </c>
      <c r="T252" s="47">
        <f ca="1">MIN(1+($O252*1.4+产出预期!AC268*60)/OFFSET($J$14,MATCH(T$3,$T$3:$W$3,0),0),18)</f>
        <v>18</v>
      </c>
      <c r="U252" s="47">
        <f ca="1">MIN(($O252*1.4+产出预期!$AC268*60)/OFFSET($J$14,MATCH(U$3,$T$3:$W$3,0),0),3)</f>
        <v>3</v>
      </c>
      <c r="V252" s="47">
        <f ca="1">MIN(($O252*1.4+产出预期!$AC268*60)/OFFSET($J$14,MATCH(V$3,$T$3:$W$3,0),0),18)</f>
        <v>1.864852</v>
      </c>
      <c r="W252" s="47">
        <f ca="1">MIN(($O252*1.4+产出预期!$AC268*60)/OFFSET($J$14,MATCH(W$3,$T$3:$W$3,0),0),18)</f>
        <v>0.466213</v>
      </c>
      <c r="X252" s="47">
        <f ca="1" t="shared" si="50"/>
        <v>1.4001361</v>
      </c>
      <c r="Y252" s="47">
        <f ca="1" t="shared" si="51"/>
        <v>5.55991731349224</v>
      </c>
      <c r="Z252" s="47">
        <f ca="1" t="shared" si="52"/>
        <v>1.953125</v>
      </c>
      <c r="AA252" s="47">
        <f ca="1" t="shared" si="53"/>
        <v>1.67823408258254</v>
      </c>
      <c r="AB252" s="47">
        <f ca="1" t="shared" si="54"/>
        <v>1.08871780698007</v>
      </c>
      <c r="AC252" s="48">
        <f ca="1" t="shared" si="55"/>
        <v>27.7802716478515</v>
      </c>
      <c r="AD252" s="47">
        <f t="shared" si="48"/>
        <v>6739.75</v>
      </c>
      <c r="AE252" s="47">
        <f t="shared" si="56"/>
        <v>1684.9375</v>
      </c>
      <c r="AF252" s="47">
        <f t="shared" si="57"/>
        <v>421.234375</v>
      </c>
      <c r="AG252" s="47">
        <f t="shared" si="58"/>
        <v>105.30859375</v>
      </c>
      <c r="AH252" s="47">
        <f t="shared" si="59"/>
        <v>26.3271484375</v>
      </c>
      <c r="AI252" s="47">
        <f t="shared" si="60"/>
        <v>6.581787109375</v>
      </c>
      <c r="AJ252">
        <f ca="1">MIN(INT(SUM(AD252:$AI252)/OFFSET($AV$2,MATCH(AD$3,$AE$3:$AI$3,0),0)),6-SUM(AK252:$AO252))</f>
        <v>0</v>
      </c>
      <c r="AK252">
        <f ca="1">MIN(INT(SUM(AE252:$AI252)/OFFSET($AV$2,MATCH(AE$3,$AE$3:$AI$3,0),0)),6-SUM(AL252:$AO252))</f>
        <v>0</v>
      </c>
      <c r="AL252">
        <f ca="1">MIN(INT(SUM(AF252:$AI252)/OFFSET($AV$2,MATCH(AF$3,$AE$3:$AI$3,0),0)),6-SUM(AM252:$AO252))</f>
        <v>0</v>
      </c>
      <c r="AM252">
        <f ca="1">MIN(INT((SUM(AG252:$AI252)+N252*2/6)/OFFSET($AV$2,MATCH(AG$3,$AE$3:$AI$3,0),0)),6-SUM(AN252:$AO252))</f>
        <v>0</v>
      </c>
      <c r="AN252">
        <f ca="1">MIN(INT(SUM(AH252:$AI252)/OFFSET($AV$2,MATCH(AH$3,$AE$3:$AI$3,0),0)),6-SUM(AO252:$AO252))</f>
        <v>4</v>
      </c>
      <c r="AO252">
        <f ca="1">INT(SUM(AI251:$AI252)/OFFSET($AV$2,MATCH(AI$3,$AE$3:$AI$3,0),0))</f>
        <v>2</v>
      </c>
      <c r="AP252" cm="1">
        <f ca="1" t="array" ref="AP252">SUMPRODUCT(AJ252:AO252,TRANSPOSE($AS$3:$AS$8))</f>
        <v>2.6</v>
      </c>
    </row>
    <row r="253" ht="16.5" spans="14:42">
      <c r="N253" s="2">
        <v>250</v>
      </c>
      <c r="O253" s="45">
        <f>产出预期!AN269</f>
        <v>27072</v>
      </c>
      <c r="P253" s="2">
        <f ca="1">练度预期!M252</f>
        <v>30</v>
      </c>
      <c r="Q253" s="2" t="str">
        <f ca="1" t="shared" si="61"/>
        <v>橙</v>
      </c>
      <c r="R253" s="46">
        <f ca="1" t="shared" si="62"/>
        <v>0</v>
      </c>
      <c r="S253" s="47">
        <f ca="1" t="shared" si="49"/>
        <v>6.65898</v>
      </c>
      <c r="T253" s="47">
        <f ca="1">MIN(1+($O253*1.4+产出预期!AC269*60)/OFFSET($J$14,MATCH(T$3,$T$3:$W$3,0),0),18)</f>
        <v>18</v>
      </c>
      <c r="U253" s="47">
        <f ca="1">MIN(($O253*1.4+产出预期!$AC269*60)/OFFSET($J$14,MATCH(U$3,$T$3:$W$3,0),0),3)</f>
        <v>3</v>
      </c>
      <c r="V253" s="47">
        <f ca="1">MIN(($O253*1.4+产出预期!$AC269*60)/OFFSET($J$14,MATCH(V$3,$T$3:$W$3,0),0),18)</f>
        <v>1.872816</v>
      </c>
      <c r="W253" s="47">
        <f ca="1">MIN(($O253*1.4+产出预期!$AC269*60)/OFFSET($J$14,MATCH(W$3,$T$3:$W$3,0),0),18)</f>
        <v>0.468204</v>
      </c>
      <c r="X253" s="47">
        <f ca="1" t="shared" si="50"/>
        <v>1.3995388</v>
      </c>
      <c r="Y253" s="47">
        <f ca="1" t="shared" si="51"/>
        <v>5.55991731349224</v>
      </c>
      <c r="Z253" s="47">
        <f ca="1" t="shared" si="52"/>
        <v>1.953125</v>
      </c>
      <c r="AA253" s="47">
        <f ca="1" t="shared" si="53"/>
        <v>1.68194886269301</v>
      </c>
      <c r="AB253" s="47">
        <f ca="1" t="shared" si="54"/>
        <v>1.08911308569968</v>
      </c>
      <c r="AC253" s="48">
        <f ca="1" t="shared" si="55"/>
        <v>27.8399902369795</v>
      </c>
      <c r="AD253" s="47">
        <f t="shared" si="48"/>
        <v>6768</v>
      </c>
      <c r="AE253" s="47">
        <f t="shared" si="56"/>
        <v>1692</v>
      </c>
      <c r="AF253" s="47">
        <f t="shared" si="57"/>
        <v>423</v>
      </c>
      <c r="AG253" s="47">
        <f t="shared" si="58"/>
        <v>105.75</v>
      </c>
      <c r="AH253" s="47">
        <f t="shared" si="59"/>
        <v>26.4375</v>
      </c>
      <c r="AI253" s="47">
        <f t="shared" si="60"/>
        <v>6.609375</v>
      </c>
      <c r="AJ253">
        <f ca="1">MIN(INT(SUM(AD253:$AI253)/OFFSET($AV$2,MATCH(AD$3,$AE$3:$AI$3,0),0)),6-SUM(AK253:$AO253))</f>
        <v>0</v>
      </c>
      <c r="AK253">
        <f ca="1">MIN(INT(SUM(AE253:$AI253)/OFFSET($AV$2,MATCH(AE$3,$AE$3:$AI$3,0),0)),6-SUM(AL253:$AO253))</f>
        <v>0</v>
      </c>
      <c r="AL253">
        <f ca="1">MIN(INT(SUM(AF253:$AI253)/OFFSET($AV$2,MATCH(AF$3,$AE$3:$AI$3,0),0)),6-SUM(AM253:$AO253))</f>
        <v>0</v>
      </c>
      <c r="AM253">
        <f ca="1">MIN(INT((SUM(AG253:$AI253)+N253*2/6)/OFFSET($AV$2,MATCH(AG$3,$AE$3:$AI$3,0),0)),6-SUM(AN253:$AO253))</f>
        <v>0</v>
      </c>
      <c r="AN253">
        <f ca="1">MIN(INT(SUM(AH253:$AI253)/OFFSET($AV$2,MATCH(AH$3,$AE$3:$AI$3,0),0)),6-SUM(AO253:$AO253))</f>
        <v>4</v>
      </c>
      <c r="AO253">
        <f ca="1">INT(SUM(AI252:$AI253)/OFFSET($AV$2,MATCH(AI$3,$AE$3:$AI$3,0),0))</f>
        <v>2</v>
      </c>
      <c r="AP253" cm="1">
        <f ca="1" t="array" ref="AP253">SUMPRODUCT(AJ253:AO253,TRANSPOSE($AS$3:$AS$8))</f>
        <v>2.6</v>
      </c>
    </row>
    <row r="254" ht="16.5" spans="14:42">
      <c r="N254" s="2">
        <v>251</v>
      </c>
      <c r="O254" s="45">
        <f>产出预期!AN270</f>
        <v>27180</v>
      </c>
      <c r="P254" s="2">
        <f ca="1">练度预期!M253</f>
        <v>30</v>
      </c>
      <c r="Q254" s="2" t="str">
        <f ca="1" t="shared" si="61"/>
        <v>橙</v>
      </c>
      <c r="R254" s="46">
        <f ca="1" t="shared" si="62"/>
        <v>0</v>
      </c>
      <c r="S254" s="47">
        <f ca="1" t="shared" si="49"/>
        <v>6.6507</v>
      </c>
      <c r="T254" s="47">
        <f ca="1">MIN(1+($O254*1.4+产出预期!AC270*60)/OFFSET($J$14,MATCH(T$3,$T$3:$W$3,0),0),18)</f>
        <v>18</v>
      </c>
      <c r="U254" s="47">
        <f ca="1">MIN(($O254*1.4+产出预期!$AC270*60)/OFFSET($J$14,MATCH(U$3,$T$3:$W$3,0),0),3)</f>
        <v>3</v>
      </c>
      <c r="V254" s="47">
        <f ca="1">MIN(($O254*1.4+产出预期!$AC270*60)/OFFSET($J$14,MATCH(V$3,$T$3:$W$3,0),0),18)</f>
        <v>1.87944</v>
      </c>
      <c r="W254" s="47">
        <f ca="1">MIN(($O254*1.4+产出预期!$AC270*60)/OFFSET($J$14,MATCH(W$3,$T$3:$W$3,0),0),18)</f>
        <v>0.46986</v>
      </c>
      <c r="X254" s="47">
        <f ca="1" t="shared" si="50"/>
        <v>1.399042</v>
      </c>
      <c r="Y254" s="47">
        <f ca="1" t="shared" si="51"/>
        <v>5.55991731349224</v>
      </c>
      <c r="Z254" s="47">
        <f ca="1" t="shared" si="52"/>
        <v>1.953125</v>
      </c>
      <c r="AA254" s="47">
        <f ca="1" t="shared" si="53"/>
        <v>1.68504486747643</v>
      </c>
      <c r="AB254" s="47">
        <f ca="1" t="shared" si="54"/>
        <v>1.08944196526731</v>
      </c>
      <c r="AC254" s="48">
        <f ca="1" t="shared" si="55"/>
        <v>27.8897546573553</v>
      </c>
      <c r="AD254" s="47">
        <f t="shared" si="48"/>
        <v>6795</v>
      </c>
      <c r="AE254" s="47">
        <f t="shared" si="56"/>
        <v>1698.75</v>
      </c>
      <c r="AF254" s="47">
        <f t="shared" si="57"/>
        <v>424.6875</v>
      </c>
      <c r="AG254" s="47">
        <f t="shared" si="58"/>
        <v>106.171875</v>
      </c>
      <c r="AH254" s="47">
        <f t="shared" si="59"/>
        <v>26.54296875</v>
      </c>
      <c r="AI254" s="47">
        <f t="shared" si="60"/>
        <v>6.6357421875</v>
      </c>
      <c r="AJ254">
        <f ca="1">MIN(INT(SUM(AD254:$AI254)/OFFSET($AV$2,MATCH(AD$3,$AE$3:$AI$3,0),0)),6-SUM(AK254:$AO254))</f>
        <v>0</v>
      </c>
      <c r="AK254">
        <f ca="1">MIN(INT(SUM(AE254:$AI254)/OFFSET($AV$2,MATCH(AE$3,$AE$3:$AI$3,0),0)),6-SUM(AL254:$AO254))</f>
        <v>0</v>
      </c>
      <c r="AL254">
        <f ca="1">MIN(INT(SUM(AF254:$AI254)/OFFSET($AV$2,MATCH(AF$3,$AE$3:$AI$3,0),0)),6-SUM(AM254:$AO254))</f>
        <v>0</v>
      </c>
      <c r="AM254">
        <f ca="1">MIN(INT((SUM(AG254:$AI254)+N254*2/6)/OFFSET($AV$2,MATCH(AG$3,$AE$3:$AI$3,0),0)),6-SUM(AN254:$AO254))</f>
        <v>0</v>
      </c>
      <c r="AN254">
        <f ca="1">MIN(INT(SUM(AH254:$AI254)/OFFSET($AV$2,MATCH(AH$3,$AE$3:$AI$3,0),0)),6-SUM(AO254:$AO254))</f>
        <v>4</v>
      </c>
      <c r="AO254">
        <f ca="1">INT(SUM(AI253:$AI254)/OFFSET($AV$2,MATCH(AI$3,$AE$3:$AI$3,0),0))</f>
        <v>2</v>
      </c>
      <c r="AP254" cm="1">
        <f ca="1" t="array" ref="AP254">SUMPRODUCT(AJ254:AO254,TRANSPOSE($AS$3:$AS$8))</f>
        <v>2.6</v>
      </c>
    </row>
    <row r="255" ht="16.5" spans="14:42">
      <c r="N255" s="2">
        <v>252</v>
      </c>
      <c r="O255" s="45">
        <f>产出预期!AN271</f>
        <v>27265</v>
      </c>
      <c r="P255" s="2">
        <f ca="1">练度预期!M254</f>
        <v>30</v>
      </c>
      <c r="Q255" s="2" t="str">
        <f ca="1" t="shared" si="61"/>
        <v>橙</v>
      </c>
      <c r="R255" s="46">
        <f ca="1" t="shared" si="62"/>
        <v>0</v>
      </c>
      <c r="S255" s="47">
        <f ca="1" t="shared" si="49"/>
        <v>6.641725</v>
      </c>
      <c r="T255" s="47">
        <f ca="1">MIN(1+($O255*1.4+产出预期!AC271*60)/OFFSET($J$14,MATCH(T$3,$T$3:$W$3,0),0),18)</f>
        <v>18</v>
      </c>
      <c r="U255" s="47">
        <f ca="1">MIN(($O255*1.4+产出预期!$AC271*60)/OFFSET($J$14,MATCH(U$3,$T$3:$W$3,0),0),3)</f>
        <v>3</v>
      </c>
      <c r="V255" s="47">
        <f ca="1">MIN(($O255*1.4+产出预期!$AC271*60)/OFFSET($J$14,MATCH(V$3,$T$3:$W$3,0),0),18)</f>
        <v>1.88662</v>
      </c>
      <c r="W255" s="47">
        <f ca="1">MIN(($O255*1.4+产出预期!$AC271*60)/OFFSET($J$14,MATCH(W$3,$T$3:$W$3,0),0),18)</f>
        <v>0.471655</v>
      </c>
      <c r="X255" s="47">
        <f ca="1" t="shared" si="50"/>
        <v>1.3985035</v>
      </c>
      <c r="Y255" s="47">
        <f ca="1" t="shared" si="51"/>
        <v>5.55991731349224</v>
      </c>
      <c r="Z255" s="47">
        <f ca="1" t="shared" si="52"/>
        <v>1.953125</v>
      </c>
      <c r="AA255" s="47">
        <f ca="1" t="shared" si="53"/>
        <v>1.68840717904958</v>
      </c>
      <c r="AB255" s="47">
        <f ca="1" t="shared" si="54"/>
        <v>1.08979856223085</v>
      </c>
      <c r="AC255" s="48">
        <f ca="1" t="shared" si="55"/>
        <v>27.9437926569833</v>
      </c>
      <c r="AD255" s="47">
        <f t="shared" si="48"/>
        <v>6816.25</v>
      </c>
      <c r="AE255" s="47">
        <f t="shared" si="56"/>
        <v>1704.0625</v>
      </c>
      <c r="AF255" s="47">
        <f t="shared" si="57"/>
        <v>426.015625</v>
      </c>
      <c r="AG255" s="47">
        <f t="shared" si="58"/>
        <v>106.50390625</v>
      </c>
      <c r="AH255" s="47">
        <f t="shared" si="59"/>
        <v>26.6259765625</v>
      </c>
      <c r="AI255" s="47">
        <f t="shared" si="60"/>
        <v>6.656494140625</v>
      </c>
      <c r="AJ255">
        <f ca="1">MIN(INT(SUM(AD255:$AI255)/OFFSET($AV$2,MATCH(AD$3,$AE$3:$AI$3,0),0)),6-SUM(AK255:$AO255))</f>
        <v>0</v>
      </c>
      <c r="AK255">
        <f ca="1">MIN(INT(SUM(AE255:$AI255)/OFFSET($AV$2,MATCH(AE$3,$AE$3:$AI$3,0),0)),6-SUM(AL255:$AO255))</f>
        <v>0</v>
      </c>
      <c r="AL255">
        <f ca="1">MIN(INT(SUM(AF255:$AI255)/OFFSET($AV$2,MATCH(AF$3,$AE$3:$AI$3,0),0)),6-SUM(AM255:$AO255))</f>
        <v>0</v>
      </c>
      <c r="AM255">
        <f ca="1">MIN(INT((SUM(AG255:$AI255)+N255*2/6)/OFFSET($AV$2,MATCH(AG$3,$AE$3:$AI$3,0),0)),6-SUM(AN255:$AO255))</f>
        <v>0</v>
      </c>
      <c r="AN255">
        <f ca="1">MIN(INT(SUM(AH255:$AI255)/OFFSET($AV$2,MATCH(AH$3,$AE$3:$AI$3,0),0)),6-SUM(AO255:$AO255))</f>
        <v>4</v>
      </c>
      <c r="AO255">
        <f ca="1">INT(SUM(AI254:$AI255)/OFFSET($AV$2,MATCH(AI$3,$AE$3:$AI$3,0),0))</f>
        <v>2</v>
      </c>
      <c r="AP255" cm="1">
        <f ca="1" t="array" ref="AP255">SUMPRODUCT(AJ255:AO255,TRANSPOSE($AS$3:$AS$8))</f>
        <v>2.6</v>
      </c>
    </row>
    <row r="256" ht="16.5" spans="14:42">
      <c r="N256" s="2">
        <v>253</v>
      </c>
      <c r="O256" s="45">
        <f>产出预期!AN272</f>
        <v>27373</v>
      </c>
      <c r="P256" s="2">
        <f ca="1">练度预期!M255</f>
        <v>30</v>
      </c>
      <c r="Q256" s="2" t="str">
        <f ca="1" t="shared" si="61"/>
        <v>橙</v>
      </c>
      <c r="R256" s="46">
        <f ca="1" t="shared" si="62"/>
        <v>0</v>
      </c>
      <c r="S256" s="47">
        <f ca="1" t="shared" si="49"/>
        <v>6.633445</v>
      </c>
      <c r="T256" s="47">
        <f ca="1">MIN(1+($O256*1.4+产出预期!AC272*60)/OFFSET($J$14,MATCH(T$3,$T$3:$W$3,0),0),18)</f>
        <v>18</v>
      </c>
      <c r="U256" s="47">
        <f ca="1">MIN(($O256*1.4+产出预期!$AC272*60)/OFFSET($J$14,MATCH(U$3,$T$3:$W$3,0),0),3)</f>
        <v>3</v>
      </c>
      <c r="V256" s="47">
        <f ca="1">MIN(($O256*1.4+产出预期!$AC272*60)/OFFSET($J$14,MATCH(V$3,$T$3:$W$3,0),0),18)</f>
        <v>1.893244</v>
      </c>
      <c r="W256" s="47">
        <f ca="1">MIN(($O256*1.4+产出预期!$AC272*60)/OFFSET($J$14,MATCH(W$3,$T$3:$W$3,0),0),18)</f>
        <v>0.473311</v>
      </c>
      <c r="X256" s="47">
        <f ca="1" t="shared" si="50"/>
        <v>1.3980067</v>
      </c>
      <c r="Y256" s="47">
        <f ca="1" t="shared" si="51"/>
        <v>5.55991731349224</v>
      </c>
      <c r="Z256" s="47">
        <f ca="1" t="shared" si="52"/>
        <v>1.953125</v>
      </c>
      <c r="AA256" s="47">
        <f ca="1" t="shared" si="53"/>
        <v>1.69151507181532</v>
      </c>
      <c r="AB256" s="47">
        <f ca="1" t="shared" si="54"/>
        <v>1.09012764879188</v>
      </c>
      <c r="AC256" s="48">
        <f ca="1" t="shared" si="55"/>
        <v>27.9937352668909</v>
      </c>
      <c r="AD256" s="47">
        <f t="shared" si="48"/>
        <v>6843.25</v>
      </c>
      <c r="AE256" s="47">
        <f t="shared" si="56"/>
        <v>1710.8125</v>
      </c>
      <c r="AF256" s="47">
        <f t="shared" si="57"/>
        <v>427.703125</v>
      </c>
      <c r="AG256" s="47">
        <f t="shared" si="58"/>
        <v>106.92578125</v>
      </c>
      <c r="AH256" s="47">
        <f t="shared" si="59"/>
        <v>26.7314453125</v>
      </c>
      <c r="AI256" s="47">
        <f t="shared" si="60"/>
        <v>6.682861328125</v>
      </c>
      <c r="AJ256">
        <f ca="1">MIN(INT(SUM(AD256:$AI256)/OFFSET($AV$2,MATCH(AD$3,$AE$3:$AI$3,0),0)),6-SUM(AK256:$AO256))</f>
        <v>0</v>
      </c>
      <c r="AK256">
        <f ca="1">MIN(INT(SUM(AE256:$AI256)/OFFSET($AV$2,MATCH(AE$3,$AE$3:$AI$3,0),0)),6-SUM(AL256:$AO256))</f>
        <v>0</v>
      </c>
      <c r="AL256">
        <f ca="1">MIN(INT(SUM(AF256:$AI256)/OFFSET($AV$2,MATCH(AF$3,$AE$3:$AI$3,0),0)),6-SUM(AM256:$AO256))</f>
        <v>0</v>
      </c>
      <c r="AM256">
        <f ca="1">MIN(INT((SUM(AG256:$AI256)+N256*2/6)/OFFSET($AV$2,MATCH(AG$3,$AE$3:$AI$3,0),0)),6-SUM(AN256:$AO256))</f>
        <v>0</v>
      </c>
      <c r="AN256">
        <f ca="1">MIN(INT(SUM(AH256:$AI256)/OFFSET($AV$2,MATCH(AH$3,$AE$3:$AI$3,0),0)),6-SUM(AO256:$AO256))</f>
        <v>4</v>
      </c>
      <c r="AO256">
        <f ca="1">INT(SUM(AI255:$AI256)/OFFSET($AV$2,MATCH(AI$3,$AE$3:$AI$3,0),0))</f>
        <v>2</v>
      </c>
      <c r="AP256" cm="1">
        <f ca="1" t="array" ref="AP256">SUMPRODUCT(AJ256:AO256,TRANSPOSE($AS$3:$AS$8))</f>
        <v>2.6</v>
      </c>
    </row>
    <row r="257" ht="16.5" spans="14:42">
      <c r="N257" s="2">
        <v>254</v>
      </c>
      <c r="O257" s="45">
        <f>产出预期!AN273</f>
        <v>27486</v>
      </c>
      <c r="P257" s="2">
        <f ca="1">练度预期!M256</f>
        <v>30</v>
      </c>
      <c r="Q257" s="2" t="str">
        <f ca="1" t="shared" si="61"/>
        <v>橙</v>
      </c>
      <c r="R257" s="46">
        <f ca="1" t="shared" si="62"/>
        <v>0</v>
      </c>
      <c r="S257" s="47">
        <f ca="1" t="shared" si="49"/>
        <v>6.62349</v>
      </c>
      <c r="T257" s="47">
        <f ca="1">MIN(1+($O257*1.4+产出预期!AC273*60)/OFFSET($J$14,MATCH(T$3,$T$3:$W$3,0),0),18)</f>
        <v>18</v>
      </c>
      <c r="U257" s="47">
        <f ca="1">MIN(($O257*1.4+产出预期!$AC273*60)/OFFSET($J$14,MATCH(U$3,$T$3:$W$3,0),0),3)</f>
        <v>3</v>
      </c>
      <c r="V257" s="47">
        <f ca="1">MIN(($O257*1.4+产出预期!$AC273*60)/OFFSET($J$14,MATCH(V$3,$T$3:$W$3,0),0),18)</f>
        <v>1.901208</v>
      </c>
      <c r="W257" s="47">
        <f ca="1">MIN(($O257*1.4+产出预期!$AC273*60)/OFFSET($J$14,MATCH(W$3,$T$3:$W$3,0),0),18)</f>
        <v>0.475302</v>
      </c>
      <c r="X257" s="47">
        <f ca="1" t="shared" si="50"/>
        <v>1.3974094</v>
      </c>
      <c r="Y257" s="47">
        <f ca="1" t="shared" si="51"/>
        <v>5.55991731349224</v>
      </c>
      <c r="Z257" s="47">
        <f ca="1" t="shared" si="52"/>
        <v>1.953125</v>
      </c>
      <c r="AA257" s="47">
        <f ca="1" t="shared" si="53"/>
        <v>1.69525924946643</v>
      </c>
      <c r="AB257" s="47">
        <f ca="1" t="shared" si="54"/>
        <v>1.09052343938009</v>
      </c>
      <c r="AC257" s="48">
        <f ca="1" t="shared" si="55"/>
        <v>28.0538944968673</v>
      </c>
      <c r="AD257" s="47">
        <f t="shared" si="48"/>
        <v>6871.5</v>
      </c>
      <c r="AE257" s="47">
        <f t="shared" si="56"/>
        <v>1717.875</v>
      </c>
      <c r="AF257" s="47">
        <f t="shared" si="57"/>
        <v>429.46875</v>
      </c>
      <c r="AG257" s="47">
        <f t="shared" si="58"/>
        <v>107.3671875</v>
      </c>
      <c r="AH257" s="47">
        <f t="shared" si="59"/>
        <v>26.841796875</v>
      </c>
      <c r="AI257" s="47">
        <f t="shared" si="60"/>
        <v>6.71044921875</v>
      </c>
      <c r="AJ257">
        <f ca="1">MIN(INT(SUM(AD257:$AI257)/OFFSET($AV$2,MATCH(AD$3,$AE$3:$AI$3,0),0)),6-SUM(AK257:$AO257))</f>
        <v>0</v>
      </c>
      <c r="AK257">
        <f ca="1">MIN(INT(SUM(AE257:$AI257)/OFFSET($AV$2,MATCH(AE$3,$AE$3:$AI$3,0),0)),6-SUM(AL257:$AO257))</f>
        <v>0</v>
      </c>
      <c r="AL257">
        <f ca="1">MIN(INT(SUM(AF257:$AI257)/OFFSET($AV$2,MATCH(AF$3,$AE$3:$AI$3,0),0)),6-SUM(AM257:$AO257))</f>
        <v>0</v>
      </c>
      <c r="AM257">
        <f ca="1">MIN(INT((SUM(AG257:$AI257)+N257*2/6)/OFFSET($AV$2,MATCH(AG$3,$AE$3:$AI$3,0),0)),6-SUM(AN257:$AO257))</f>
        <v>0</v>
      </c>
      <c r="AN257">
        <f ca="1">MIN(INT(SUM(AH257:$AI257)/OFFSET($AV$2,MATCH(AH$3,$AE$3:$AI$3,0),0)),6-SUM(AO257:$AO257))</f>
        <v>4</v>
      </c>
      <c r="AO257">
        <f ca="1">INT(SUM(AI256:$AI257)/OFFSET($AV$2,MATCH(AI$3,$AE$3:$AI$3,0),0))</f>
        <v>2</v>
      </c>
      <c r="AP257" cm="1">
        <f ca="1" t="array" ref="AP257">SUMPRODUCT(AJ257:AO257,TRANSPOSE($AS$3:$AS$8))</f>
        <v>2.6</v>
      </c>
    </row>
    <row r="258" ht="16.5" spans="14:42">
      <c r="N258" s="2">
        <v>255</v>
      </c>
      <c r="O258" s="45">
        <f>产出预期!AN274</f>
        <v>27594</v>
      </c>
      <c r="P258" s="2">
        <f ca="1">练度预期!M257</f>
        <v>30</v>
      </c>
      <c r="Q258" s="2" t="str">
        <f ca="1" t="shared" si="61"/>
        <v>橙</v>
      </c>
      <c r="R258" s="46">
        <f ca="1" t="shared" si="62"/>
        <v>0</v>
      </c>
      <c r="S258" s="47">
        <f ca="1" t="shared" si="49"/>
        <v>6.61371</v>
      </c>
      <c r="T258" s="47">
        <f ca="1">MIN(1+($O258*1.4+产出预期!AC274*60)/OFFSET($J$14,MATCH(T$3,$T$3:$W$3,0),0),18)</f>
        <v>18</v>
      </c>
      <c r="U258" s="47">
        <f ca="1">MIN(($O258*1.4+产出预期!$AC274*60)/OFFSET($J$14,MATCH(U$3,$T$3:$W$3,0),0),3)</f>
        <v>3</v>
      </c>
      <c r="V258" s="47">
        <f ca="1">MIN(($O258*1.4+产出预期!$AC274*60)/OFFSET($J$14,MATCH(V$3,$T$3:$W$3,0),0),18)</f>
        <v>1.909032</v>
      </c>
      <c r="W258" s="47">
        <f ca="1">MIN(($O258*1.4+产出预期!$AC274*60)/OFFSET($J$14,MATCH(W$3,$T$3:$W$3,0),0),18)</f>
        <v>0.477258</v>
      </c>
      <c r="X258" s="47">
        <f ca="1" t="shared" si="50"/>
        <v>1.3968226</v>
      </c>
      <c r="Y258" s="47">
        <f ca="1" t="shared" si="51"/>
        <v>5.55991731349224</v>
      </c>
      <c r="Z258" s="47">
        <f ca="1" t="shared" si="52"/>
        <v>1.953125</v>
      </c>
      <c r="AA258" s="47">
        <f ca="1" t="shared" si="53"/>
        <v>1.69894567821795</v>
      </c>
      <c r="AB258" s="47">
        <f ca="1" t="shared" si="54"/>
        <v>1.09091241225532</v>
      </c>
      <c r="AC258" s="48">
        <f ca="1" t="shared" si="55"/>
        <v>28.1131170728031</v>
      </c>
      <c r="AD258" s="47">
        <f t="shared" si="48"/>
        <v>6898.5</v>
      </c>
      <c r="AE258" s="47">
        <f t="shared" si="56"/>
        <v>1724.625</v>
      </c>
      <c r="AF258" s="47">
        <f t="shared" si="57"/>
        <v>431.15625</v>
      </c>
      <c r="AG258" s="47">
        <f t="shared" si="58"/>
        <v>107.7890625</v>
      </c>
      <c r="AH258" s="47">
        <f t="shared" si="59"/>
        <v>26.947265625</v>
      </c>
      <c r="AI258" s="47">
        <f t="shared" si="60"/>
        <v>6.73681640625</v>
      </c>
      <c r="AJ258">
        <f ca="1">MIN(INT(SUM(AD258:$AI258)/OFFSET($AV$2,MATCH(AD$3,$AE$3:$AI$3,0),0)),6-SUM(AK258:$AO258))</f>
        <v>0</v>
      </c>
      <c r="AK258">
        <f ca="1">MIN(INT(SUM(AE258:$AI258)/OFFSET($AV$2,MATCH(AE$3,$AE$3:$AI$3,0),0)),6-SUM(AL258:$AO258))</f>
        <v>0</v>
      </c>
      <c r="AL258">
        <f ca="1">MIN(INT(SUM(AF258:$AI258)/OFFSET($AV$2,MATCH(AF$3,$AE$3:$AI$3,0),0)),6-SUM(AM258:$AO258))</f>
        <v>0</v>
      </c>
      <c r="AM258">
        <f ca="1">MIN(INT((SUM(AG258:$AI258)+N258*2/6)/OFFSET($AV$2,MATCH(AG$3,$AE$3:$AI$3,0),0)),6-SUM(AN258:$AO258))</f>
        <v>0</v>
      </c>
      <c r="AN258">
        <f ca="1">MIN(INT(SUM(AH258:$AI258)/OFFSET($AV$2,MATCH(AH$3,$AE$3:$AI$3,0),0)),6-SUM(AO258:$AO258))</f>
        <v>4</v>
      </c>
      <c r="AO258">
        <f ca="1">INT(SUM(AI257:$AI258)/OFFSET($AV$2,MATCH(AI$3,$AE$3:$AI$3,0),0))</f>
        <v>2</v>
      </c>
      <c r="AP258" cm="1">
        <f ca="1" t="array" ref="AP258">SUMPRODUCT(AJ258:AO258,TRANSPOSE($AS$3:$AS$8))</f>
        <v>2.6</v>
      </c>
    </row>
    <row r="259" ht="16.5" spans="14:42">
      <c r="N259" s="2">
        <v>256</v>
      </c>
      <c r="O259" s="45">
        <f>产出预期!AN275</f>
        <v>27702</v>
      </c>
      <c r="P259" s="2">
        <f ca="1">练度预期!M258</f>
        <v>30</v>
      </c>
      <c r="Q259" s="2" t="str">
        <f ca="1" t="shared" si="61"/>
        <v>橙</v>
      </c>
      <c r="R259" s="46">
        <f ca="1" t="shared" si="62"/>
        <v>0</v>
      </c>
      <c r="S259" s="47">
        <f ca="1" t="shared" si="49"/>
        <v>6.60543</v>
      </c>
      <c r="T259" s="47">
        <f ca="1">MIN(1+($O259*1.4+产出预期!AC275*60)/OFFSET($J$14,MATCH(T$3,$T$3:$W$3,0),0),18)</f>
        <v>18</v>
      </c>
      <c r="U259" s="47">
        <f ca="1">MIN(($O259*1.4+产出预期!$AC275*60)/OFFSET($J$14,MATCH(U$3,$T$3:$W$3,0),0),3)</f>
        <v>3</v>
      </c>
      <c r="V259" s="47">
        <f ca="1">MIN(($O259*1.4+产出预期!$AC275*60)/OFFSET($J$14,MATCH(V$3,$T$3:$W$3,0),0),18)</f>
        <v>1.915656</v>
      </c>
      <c r="W259" s="47">
        <f ca="1">MIN(($O259*1.4+产出预期!$AC275*60)/OFFSET($J$14,MATCH(W$3,$T$3:$W$3,0),0),18)</f>
        <v>0.478914</v>
      </c>
      <c r="X259" s="47">
        <f ca="1" t="shared" si="50"/>
        <v>1.3963258</v>
      </c>
      <c r="Y259" s="47">
        <f ca="1" t="shared" si="51"/>
        <v>5.55991731349224</v>
      </c>
      <c r="Z259" s="47">
        <f ca="1" t="shared" si="52"/>
        <v>1.953125</v>
      </c>
      <c r="AA259" s="47">
        <f ca="1" t="shared" si="53"/>
        <v>1.70207296945921</v>
      </c>
      <c r="AB259" s="47">
        <f ca="1" t="shared" si="54"/>
        <v>1.09124183516573</v>
      </c>
      <c r="AC259" s="48">
        <f ca="1" t="shared" si="55"/>
        <v>28.1633502645442</v>
      </c>
      <c r="AD259" s="47">
        <f t="shared" si="48"/>
        <v>6925.5</v>
      </c>
      <c r="AE259" s="47">
        <f t="shared" si="56"/>
        <v>1731.375</v>
      </c>
      <c r="AF259" s="47">
        <f t="shared" si="57"/>
        <v>432.84375</v>
      </c>
      <c r="AG259" s="47">
        <f t="shared" si="58"/>
        <v>108.2109375</v>
      </c>
      <c r="AH259" s="47">
        <f t="shared" si="59"/>
        <v>27.052734375</v>
      </c>
      <c r="AI259" s="47">
        <f t="shared" si="60"/>
        <v>6.76318359375</v>
      </c>
      <c r="AJ259">
        <f ca="1">MIN(INT(SUM(AD259:$AI259)/OFFSET($AV$2,MATCH(AD$3,$AE$3:$AI$3,0),0)),6-SUM(AK259:$AO259))</f>
        <v>0</v>
      </c>
      <c r="AK259">
        <f ca="1">MIN(INT(SUM(AE259:$AI259)/OFFSET($AV$2,MATCH(AE$3,$AE$3:$AI$3,0),0)),6-SUM(AL259:$AO259))</f>
        <v>0</v>
      </c>
      <c r="AL259">
        <f ca="1">MIN(INT(SUM(AF259:$AI259)/OFFSET($AV$2,MATCH(AF$3,$AE$3:$AI$3,0),0)),6-SUM(AM259:$AO259))</f>
        <v>0</v>
      </c>
      <c r="AM259">
        <f ca="1">MIN(INT((SUM(AG259:$AI259)+N259*2/6)/OFFSET($AV$2,MATCH(AG$3,$AE$3:$AI$3,0),0)),6-SUM(AN259:$AO259))</f>
        <v>0</v>
      </c>
      <c r="AN259">
        <f ca="1">MIN(INT(SUM(AH259:$AI259)/OFFSET($AV$2,MATCH(AH$3,$AE$3:$AI$3,0),0)),6-SUM(AO259:$AO259))</f>
        <v>4</v>
      </c>
      <c r="AO259">
        <f ca="1">INT(SUM(AI258:$AI259)/OFFSET($AV$2,MATCH(AI$3,$AE$3:$AI$3,0),0))</f>
        <v>2</v>
      </c>
      <c r="AP259" cm="1">
        <f ca="1" t="array" ref="AP259">SUMPRODUCT(AJ259:AO259,TRANSPOSE($AS$3:$AS$8))</f>
        <v>2.6</v>
      </c>
    </row>
    <row r="260" ht="16.5" spans="14:42">
      <c r="N260" s="2">
        <v>257</v>
      </c>
      <c r="O260" s="45">
        <f>产出预期!AN276</f>
        <v>27815</v>
      </c>
      <c r="P260" s="2">
        <f ca="1">练度预期!M259</f>
        <v>30</v>
      </c>
      <c r="Q260" s="2" t="str">
        <f ca="1" t="shared" si="61"/>
        <v>橙</v>
      </c>
      <c r="R260" s="46">
        <f ca="1" t="shared" si="62"/>
        <v>0</v>
      </c>
      <c r="S260" s="47">
        <f ca="1" t="shared" si="49"/>
        <v>6.595475</v>
      </c>
      <c r="T260" s="47">
        <f ca="1">MIN(1+($O260*1.4+产出预期!AC276*60)/OFFSET($J$14,MATCH(T$3,$T$3:$W$3,0),0),18)</f>
        <v>18</v>
      </c>
      <c r="U260" s="47">
        <f ca="1">MIN(($O260*1.4+产出预期!$AC276*60)/OFFSET($J$14,MATCH(U$3,$T$3:$W$3,0),0),3)</f>
        <v>3</v>
      </c>
      <c r="V260" s="47">
        <f ca="1">MIN(($O260*1.4+产出预期!$AC276*60)/OFFSET($J$14,MATCH(V$3,$T$3:$W$3,0),0),18)</f>
        <v>1.92362</v>
      </c>
      <c r="W260" s="47">
        <f ca="1">MIN(($O260*1.4+产出预期!$AC276*60)/OFFSET($J$14,MATCH(W$3,$T$3:$W$3,0),0),18)</f>
        <v>0.480905</v>
      </c>
      <c r="X260" s="47">
        <f ca="1" t="shared" si="50"/>
        <v>1.3957285</v>
      </c>
      <c r="Y260" s="47">
        <f ca="1" t="shared" si="51"/>
        <v>5.55991731349224</v>
      </c>
      <c r="Z260" s="47">
        <f ca="1" t="shared" si="52"/>
        <v>1.953125</v>
      </c>
      <c r="AA260" s="47">
        <f ca="1" t="shared" si="53"/>
        <v>1.70584051707318</v>
      </c>
      <c r="AB260" s="47">
        <f ca="1" t="shared" si="54"/>
        <v>1.09163803027949</v>
      </c>
      <c r="AC260" s="48">
        <f ca="1" t="shared" si="55"/>
        <v>28.2238594788752</v>
      </c>
      <c r="AD260" s="47">
        <f t="shared" ref="AD260:AD303" si="63">$O260/AD$2</f>
        <v>6953.75</v>
      </c>
      <c r="AE260" s="47">
        <f t="shared" si="56"/>
        <v>1738.4375</v>
      </c>
      <c r="AF260" s="47">
        <f t="shared" si="57"/>
        <v>434.609375</v>
      </c>
      <c r="AG260" s="47">
        <f t="shared" si="58"/>
        <v>108.65234375</v>
      </c>
      <c r="AH260" s="47">
        <f t="shared" si="59"/>
        <v>27.1630859375</v>
      </c>
      <c r="AI260" s="47">
        <f t="shared" si="60"/>
        <v>6.790771484375</v>
      </c>
      <c r="AJ260">
        <f ca="1">MIN(INT(SUM(AD260:$AI260)/OFFSET($AV$2,MATCH(AD$3,$AE$3:$AI$3,0),0)),6-SUM(AK260:$AO260))</f>
        <v>0</v>
      </c>
      <c r="AK260">
        <f ca="1">MIN(INT(SUM(AE260:$AI260)/OFFSET($AV$2,MATCH(AE$3,$AE$3:$AI$3,0),0)),6-SUM(AL260:$AO260))</f>
        <v>0</v>
      </c>
      <c r="AL260">
        <f ca="1">MIN(INT(SUM(AF260:$AI260)/OFFSET($AV$2,MATCH(AF$3,$AE$3:$AI$3,0),0)),6-SUM(AM260:$AO260))</f>
        <v>0</v>
      </c>
      <c r="AM260">
        <f ca="1">MIN(INT((SUM(AG260:$AI260)+N260*2/6)/OFFSET($AV$2,MATCH(AG$3,$AE$3:$AI$3,0),0)),6-SUM(AN260:$AO260))</f>
        <v>0</v>
      </c>
      <c r="AN260">
        <f ca="1">MIN(INT(SUM(AH260:$AI260)/OFFSET($AV$2,MATCH(AH$3,$AE$3:$AI$3,0),0)),6-SUM(AO260:$AO260))</f>
        <v>4</v>
      </c>
      <c r="AO260">
        <f ca="1">INT(SUM(AI259:$AI260)/OFFSET($AV$2,MATCH(AI$3,$AE$3:$AI$3,0),0))</f>
        <v>2</v>
      </c>
      <c r="AP260" cm="1">
        <f ca="1" t="array" ref="AP260">SUMPRODUCT(AJ260:AO260,TRANSPOSE($AS$3:$AS$8))</f>
        <v>2.6</v>
      </c>
    </row>
    <row r="261" ht="16.5" spans="14:42">
      <c r="N261" s="2">
        <v>258</v>
      </c>
      <c r="O261" s="45">
        <f>产出预期!AN277</f>
        <v>27895</v>
      </c>
      <c r="P261" s="2">
        <f ca="1">练度预期!M260</f>
        <v>30</v>
      </c>
      <c r="Q261" s="2" t="str">
        <f ca="1" t="shared" si="61"/>
        <v>橙</v>
      </c>
      <c r="R261" s="46">
        <f ca="1" t="shared" si="62"/>
        <v>0</v>
      </c>
      <c r="S261" s="47">
        <f ca="1" t="shared" ref="S261:S303" si="64">MAX(P261-SUM(T261:W261),0)</f>
        <v>6.588175</v>
      </c>
      <c r="T261" s="47">
        <f ca="1">MIN(1+($O261*1.4+产出预期!AC277*60)/OFFSET($J$14,MATCH(T$3,$T$3:$W$3,0),0),18)</f>
        <v>18</v>
      </c>
      <c r="U261" s="47">
        <f ca="1">MIN(($O261*1.4+产出预期!$AC277*60)/OFFSET($J$14,MATCH(U$3,$T$3:$W$3,0),0),3)</f>
        <v>3</v>
      </c>
      <c r="V261" s="47">
        <f ca="1">MIN(($O261*1.4+产出预期!$AC277*60)/OFFSET($J$14,MATCH(V$3,$T$3:$W$3,0),0),18)</f>
        <v>1.92946</v>
      </c>
      <c r="W261" s="47">
        <f ca="1">MIN(($O261*1.4+产出预期!$AC277*60)/OFFSET($J$14,MATCH(W$3,$T$3:$W$3,0),0),18)</f>
        <v>0.482365</v>
      </c>
      <c r="X261" s="47">
        <f ca="1" t="shared" ref="X261:X303" si="65">1+S261*(1-R261)*OFFSET(D$3,MATCH(Q261,$B$4:$B$10,0),0)+S261*R261*OFFSET(D$3,1+MATCH(Q261,$B$4:$B$10,0),0)</f>
        <v>1.3952905</v>
      </c>
      <c r="Y261" s="47">
        <f ca="1" t="shared" ref="Y261:Y303" si="66">(1+_xlfn.XLOOKUP($Q261,$B$3:$B$10,F$3:F$10))^T261</f>
        <v>5.55991731349224</v>
      </c>
      <c r="Z261" s="47">
        <f ca="1" t="shared" ref="Z261:Z303" si="67">(1+_xlfn.XLOOKUP($Q261,$B$3:$B$10,I$3:I$10))^U261</f>
        <v>1.953125</v>
      </c>
      <c r="AA261" s="47">
        <f ca="1" t="shared" ref="AA261:AA303" si="68">(1+_xlfn.XLOOKUP($Q261,$B$3:$B$10,J$3:J$10))^V261</f>
        <v>1.70860855799139</v>
      </c>
      <c r="AB261" s="47">
        <f ca="1" t="shared" ref="AB261:AB303" si="69">(1+_xlfn.XLOOKUP($Q261,$B$3:$B$10,K$3:K$10))^W261</f>
        <v>1.09192865150983</v>
      </c>
      <c r="AC261" s="48">
        <f ca="1" t="shared" ref="AC261:AC303" si="70">X261*Y261*Z261*AA261*AB261</f>
        <v>28.2683101907885</v>
      </c>
      <c r="AD261" s="47">
        <f t="shared" si="63"/>
        <v>6973.75</v>
      </c>
      <c r="AE261" s="47">
        <f t="shared" ref="AE261:AE303" si="71">$O261/AE$2</f>
        <v>1743.4375</v>
      </c>
      <c r="AF261" s="47">
        <f t="shared" ref="AF261:AF303" si="72">$O261/AF$2</f>
        <v>435.859375</v>
      </c>
      <c r="AG261" s="47">
        <f t="shared" ref="AG261:AG303" si="73">$O261/AG$2</f>
        <v>108.96484375</v>
      </c>
      <c r="AH261" s="47">
        <f t="shared" ref="AH261:AH303" si="74">$O261/AH$2</f>
        <v>27.2412109375</v>
      </c>
      <c r="AI261" s="47">
        <f t="shared" ref="AI261:AI303" si="75">$O261/AI$2</f>
        <v>6.810302734375</v>
      </c>
      <c r="AJ261">
        <f ca="1">MIN(INT(SUM(AD261:$AI261)/OFFSET($AV$2,MATCH(AD$3,$AE$3:$AI$3,0),0)),6-SUM(AK261:$AO261))</f>
        <v>0</v>
      </c>
      <c r="AK261">
        <f ca="1">MIN(INT(SUM(AE261:$AI261)/OFFSET($AV$2,MATCH(AE$3,$AE$3:$AI$3,0),0)),6-SUM(AL261:$AO261))</f>
        <v>0</v>
      </c>
      <c r="AL261">
        <f ca="1">MIN(INT(SUM(AF261:$AI261)/OFFSET($AV$2,MATCH(AF$3,$AE$3:$AI$3,0),0)),6-SUM(AM261:$AO261))</f>
        <v>0</v>
      </c>
      <c r="AM261">
        <f ca="1">MIN(INT((SUM(AG261:$AI261)+N261*2/6)/OFFSET($AV$2,MATCH(AG$3,$AE$3:$AI$3,0),0)),6-SUM(AN261:$AO261))</f>
        <v>0</v>
      </c>
      <c r="AN261">
        <f ca="1">MIN(INT(SUM(AH261:$AI261)/OFFSET($AV$2,MATCH(AH$3,$AE$3:$AI$3,0),0)),6-SUM(AO261:$AO261))</f>
        <v>4</v>
      </c>
      <c r="AO261">
        <f ca="1">INT(SUM(AI260:$AI261)/OFFSET($AV$2,MATCH(AI$3,$AE$3:$AI$3,0),0))</f>
        <v>2</v>
      </c>
      <c r="AP261" cm="1">
        <f ca="1" t="array" ref="AP261">SUMPRODUCT(AJ261:AO261,TRANSPOSE($AS$3:$AS$8))</f>
        <v>2.6</v>
      </c>
    </row>
    <row r="262" ht="16.5" spans="14:42">
      <c r="N262" s="2">
        <v>259</v>
      </c>
      <c r="O262" s="45">
        <f>产出预期!AN278</f>
        <v>28008</v>
      </c>
      <c r="P262" s="2">
        <f ca="1">练度预期!M261</f>
        <v>30</v>
      </c>
      <c r="Q262" s="2" t="str">
        <f ca="1" t="shared" ref="Q262:Q303" si="76">OFFSET($E$14,MATCH(O262/P262,$G$15:$G$21,1),0)</f>
        <v>橙</v>
      </c>
      <c r="R262" s="46">
        <f ca="1" t="shared" ref="R262:R303" si="77">IF(Q262="橙",0,SQRT(O262/P262/(4^(MATCH(O262/P262,$G$15:$G$21,1)-1)))-1)</f>
        <v>0</v>
      </c>
      <c r="S262" s="47">
        <f ca="1" t="shared" si="64"/>
        <v>6.57822</v>
      </c>
      <c r="T262" s="47">
        <f ca="1">MIN(1+($O262*1.4+产出预期!AC278*60)/OFFSET($J$14,MATCH(T$3,$T$3:$W$3,0),0),18)</f>
        <v>18</v>
      </c>
      <c r="U262" s="47">
        <f ca="1">MIN(($O262*1.4+产出预期!$AC278*60)/OFFSET($J$14,MATCH(U$3,$T$3:$W$3,0),0),3)</f>
        <v>3</v>
      </c>
      <c r="V262" s="47">
        <f ca="1">MIN(($O262*1.4+产出预期!$AC278*60)/OFFSET($J$14,MATCH(V$3,$T$3:$W$3,0),0),18)</f>
        <v>1.937424</v>
      </c>
      <c r="W262" s="47">
        <f ca="1">MIN(($O262*1.4+产出预期!$AC278*60)/OFFSET($J$14,MATCH(W$3,$T$3:$W$3,0),0),18)</f>
        <v>0.484356</v>
      </c>
      <c r="X262" s="47">
        <f ca="1" t="shared" si="65"/>
        <v>1.3946932</v>
      </c>
      <c r="Y262" s="47">
        <f ca="1" t="shared" si="66"/>
        <v>5.55991731349224</v>
      </c>
      <c r="Z262" s="47">
        <f ca="1" t="shared" si="67"/>
        <v>1.953125</v>
      </c>
      <c r="AA262" s="47">
        <f ca="1" t="shared" si="68"/>
        <v>1.7123905721655</v>
      </c>
      <c r="AB262" s="47">
        <f ca="1" t="shared" si="69"/>
        <v>1.0923250959847</v>
      </c>
      <c r="AC262" s="48">
        <f ca="1" t="shared" si="70"/>
        <v>28.3290359169809</v>
      </c>
      <c r="AD262" s="47">
        <f t="shared" si="63"/>
        <v>7002</v>
      </c>
      <c r="AE262" s="47">
        <f t="shared" si="71"/>
        <v>1750.5</v>
      </c>
      <c r="AF262" s="47">
        <f t="shared" si="72"/>
        <v>437.625</v>
      </c>
      <c r="AG262" s="47">
        <f t="shared" si="73"/>
        <v>109.40625</v>
      </c>
      <c r="AH262" s="47">
        <f t="shared" si="74"/>
        <v>27.3515625</v>
      </c>
      <c r="AI262" s="47">
        <f t="shared" si="75"/>
        <v>6.837890625</v>
      </c>
      <c r="AJ262">
        <f ca="1">MIN(INT(SUM(AD262:$AI262)/OFFSET($AV$2,MATCH(AD$3,$AE$3:$AI$3,0),0)),6-SUM(AK262:$AO262))</f>
        <v>0</v>
      </c>
      <c r="AK262">
        <f ca="1">MIN(INT(SUM(AE262:$AI262)/OFFSET($AV$2,MATCH(AE$3,$AE$3:$AI$3,0),0)),6-SUM(AL262:$AO262))</f>
        <v>0</v>
      </c>
      <c r="AL262">
        <f ca="1">MIN(INT(SUM(AF262:$AI262)/OFFSET($AV$2,MATCH(AF$3,$AE$3:$AI$3,0),0)),6-SUM(AM262:$AO262))</f>
        <v>0</v>
      </c>
      <c r="AM262">
        <f ca="1">MIN(INT((SUM(AG262:$AI262)+N262*2/6)/OFFSET($AV$2,MATCH(AG$3,$AE$3:$AI$3,0),0)),6-SUM(AN262:$AO262))</f>
        <v>0</v>
      </c>
      <c r="AN262">
        <f ca="1">MIN(INT(SUM(AH262:$AI262)/OFFSET($AV$2,MATCH(AH$3,$AE$3:$AI$3,0),0)),6-SUM(AO262:$AO262))</f>
        <v>4</v>
      </c>
      <c r="AO262">
        <f ca="1">INT(SUM(AI261:$AI262)/OFFSET($AV$2,MATCH(AI$3,$AE$3:$AI$3,0),0))</f>
        <v>2</v>
      </c>
      <c r="AP262" cm="1">
        <f ca="1" t="array" ref="AP262">SUMPRODUCT(AJ262:AO262,TRANSPOSE($AS$3:$AS$8))</f>
        <v>2.6</v>
      </c>
    </row>
    <row r="263" ht="16.5" spans="14:42">
      <c r="N263" s="2">
        <v>260</v>
      </c>
      <c r="O263" s="45">
        <f>产出预期!AN279</f>
        <v>28116</v>
      </c>
      <c r="P263" s="2">
        <f ca="1">练度预期!M262</f>
        <v>30</v>
      </c>
      <c r="Q263" s="2" t="str">
        <f ca="1" t="shared" si="76"/>
        <v>橙</v>
      </c>
      <c r="R263" s="46">
        <f ca="1" t="shared" si="77"/>
        <v>0</v>
      </c>
      <c r="S263" s="47">
        <f ca="1" t="shared" si="64"/>
        <v>6.56994</v>
      </c>
      <c r="T263" s="47">
        <f ca="1">MIN(1+($O263*1.4+产出预期!AC279*60)/OFFSET($J$14,MATCH(T$3,$T$3:$W$3,0),0),18)</f>
        <v>18</v>
      </c>
      <c r="U263" s="47">
        <f ca="1">MIN(($O263*1.4+产出预期!$AC279*60)/OFFSET($J$14,MATCH(U$3,$T$3:$W$3,0),0),3)</f>
        <v>3</v>
      </c>
      <c r="V263" s="47">
        <f ca="1">MIN(($O263*1.4+产出预期!$AC279*60)/OFFSET($J$14,MATCH(V$3,$T$3:$W$3,0),0),18)</f>
        <v>1.944048</v>
      </c>
      <c r="W263" s="47">
        <f ca="1">MIN(($O263*1.4+产出预期!$AC279*60)/OFFSET($J$14,MATCH(W$3,$T$3:$W$3,0),0),18)</f>
        <v>0.486012</v>
      </c>
      <c r="X263" s="47">
        <f ca="1" t="shared" si="65"/>
        <v>1.3941964</v>
      </c>
      <c r="Y263" s="47">
        <f ca="1" t="shared" si="66"/>
        <v>5.55991731349224</v>
      </c>
      <c r="Z263" s="47">
        <f ca="1" t="shared" si="67"/>
        <v>1.953125</v>
      </c>
      <c r="AA263" s="47">
        <f ca="1" t="shared" si="68"/>
        <v>1.71554261175488</v>
      </c>
      <c r="AB263" s="47">
        <f ca="1" t="shared" si="69"/>
        <v>1.09265494548333</v>
      </c>
      <c r="AC263" s="48">
        <f ca="1" t="shared" si="70"/>
        <v>28.3796395013782</v>
      </c>
      <c r="AD263" s="47">
        <f t="shared" si="63"/>
        <v>7029</v>
      </c>
      <c r="AE263" s="47">
        <f t="shared" si="71"/>
        <v>1757.25</v>
      </c>
      <c r="AF263" s="47">
        <f t="shared" si="72"/>
        <v>439.3125</v>
      </c>
      <c r="AG263" s="47">
        <f t="shared" si="73"/>
        <v>109.828125</v>
      </c>
      <c r="AH263" s="47">
        <f t="shared" si="74"/>
        <v>27.45703125</v>
      </c>
      <c r="AI263" s="47">
        <f t="shared" si="75"/>
        <v>6.8642578125</v>
      </c>
      <c r="AJ263">
        <f ca="1">MIN(INT(SUM(AD263:$AI263)/OFFSET($AV$2,MATCH(AD$3,$AE$3:$AI$3,0),0)),6-SUM(AK263:$AO263))</f>
        <v>0</v>
      </c>
      <c r="AK263">
        <f ca="1">MIN(INT(SUM(AE263:$AI263)/OFFSET($AV$2,MATCH(AE$3,$AE$3:$AI$3,0),0)),6-SUM(AL263:$AO263))</f>
        <v>0</v>
      </c>
      <c r="AL263">
        <f ca="1">MIN(INT(SUM(AF263:$AI263)/OFFSET($AV$2,MATCH(AF$3,$AE$3:$AI$3,0),0)),6-SUM(AM263:$AO263))</f>
        <v>0</v>
      </c>
      <c r="AM263">
        <f ca="1">MIN(INT((SUM(AG263:$AI263)+N263*2/6)/OFFSET($AV$2,MATCH(AG$3,$AE$3:$AI$3,0),0)),6-SUM(AN263:$AO263))</f>
        <v>0</v>
      </c>
      <c r="AN263">
        <f ca="1">MIN(INT(SUM(AH263:$AI263)/OFFSET($AV$2,MATCH(AH$3,$AE$3:$AI$3,0),0)),6-SUM(AO263:$AO263))</f>
        <v>4</v>
      </c>
      <c r="AO263">
        <f ca="1">INT(SUM(AI262:$AI263)/OFFSET($AV$2,MATCH(AI$3,$AE$3:$AI$3,0),0))</f>
        <v>2</v>
      </c>
      <c r="AP263" cm="1">
        <f ca="1" t="array" ref="AP263">SUMPRODUCT(AJ263:AO263,TRANSPOSE($AS$3:$AS$8))</f>
        <v>2.6</v>
      </c>
    </row>
    <row r="264" ht="16.5" spans="14:42">
      <c r="N264" s="2">
        <v>261</v>
      </c>
      <c r="O264" s="45">
        <f>产出预期!AN280</f>
        <v>28229</v>
      </c>
      <c r="P264" s="2">
        <f ca="1">练度预期!M263</f>
        <v>30</v>
      </c>
      <c r="Q264" s="2" t="str">
        <f ca="1" t="shared" si="76"/>
        <v>橙</v>
      </c>
      <c r="R264" s="46">
        <f ca="1" t="shared" si="77"/>
        <v>0</v>
      </c>
      <c r="S264" s="47">
        <f ca="1" t="shared" si="64"/>
        <v>6.559985</v>
      </c>
      <c r="T264" s="47">
        <f ca="1">MIN(1+($O264*1.4+产出预期!AC280*60)/OFFSET($J$14,MATCH(T$3,$T$3:$W$3,0),0),18)</f>
        <v>18</v>
      </c>
      <c r="U264" s="47">
        <f ca="1">MIN(($O264*1.4+产出预期!$AC280*60)/OFFSET($J$14,MATCH(U$3,$T$3:$W$3,0),0),3)</f>
        <v>3</v>
      </c>
      <c r="V264" s="47">
        <f ca="1">MIN(($O264*1.4+产出预期!$AC280*60)/OFFSET($J$14,MATCH(V$3,$T$3:$W$3,0),0),18)</f>
        <v>1.952012</v>
      </c>
      <c r="W264" s="47">
        <f ca="1">MIN(($O264*1.4+产出预期!$AC280*60)/OFFSET($J$14,MATCH(W$3,$T$3:$W$3,0),0),18)</f>
        <v>0.488003</v>
      </c>
      <c r="X264" s="47">
        <f ca="1" t="shared" si="65"/>
        <v>1.3935991</v>
      </c>
      <c r="Y264" s="47">
        <f ca="1" t="shared" si="66"/>
        <v>5.55991731349224</v>
      </c>
      <c r="Z264" s="47">
        <f ca="1" t="shared" si="67"/>
        <v>1.953125</v>
      </c>
      <c r="AA264" s="47">
        <f ca="1" t="shared" si="68"/>
        <v>1.71933997449405</v>
      </c>
      <c r="AB264" s="47">
        <f ca="1" t="shared" si="69"/>
        <v>1.09305165365239</v>
      </c>
      <c r="AC264" s="48">
        <f ca="1" t="shared" si="70"/>
        <v>28.4405948257692</v>
      </c>
      <c r="AD264" s="47">
        <f t="shared" si="63"/>
        <v>7057.25</v>
      </c>
      <c r="AE264" s="47">
        <f t="shared" si="71"/>
        <v>1764.3125</v>
      </c>
      <c r="AF264" s="47">
        <f t="shared" si="72"/>
        <v>441.078125</v>
      </c>
      <c r="AG264" s="47">
        <f t="shared" si="73"/>
        <v>110.26953125</v>
      </c>
      <c r="AH264" s="47">
        <f t="shared" si="74"/>
        <v>27.5673828125</v>
      </c>
      <c r="AI264" s="47">
        <f t="shared" si="75"/>
        <v>6.891845703125</v>
      </c>
      <c r="AJ264">
        <f ca="1">MIN(INT(SUM(AD264:$AI264)/OFFSET($AV$2,MATCH(AD$3,$AE$3:$AI$3,0),0)),6-SUM(AK264:$AO264))</f>
        <v>0</v>
      </c>
      <c r="AK264">
        <f ca="1">MIN(INT(SUM(AE264:$AI264)/OFFSET($AV$2,MATCH(AE$3,$AE$3:$AI$3,0),0)),6-SUM(AL264:$AO264))</f>
        <v>0</v>
      </c>
      <c r="AL264">
        <f ca="1">MIN(INT(SUM(AF264:$AI264)/OFFSET($AV$2,MATCH(AF$3,$AE$3:$AI$3,0),0)),6-SUM(AM264:$AO264))</f>
        <v>0</v>
      </c>
      <c r="AM264">
        <f ca="1">MIN(INT((SUM(AG264:$AI264)+N264*2/6)/OFFSET($AV$2,MATCH(AG$3,$AE$3:$AI$3,0),0)),6-SUM(AN264:$AO264))</f>
        <v>0</v>
      </c>
      <c r="AN264">
        <f ca="1">MIN(INT(SUM(AH264:$AI264)/OFFSET($AV$2,MATCH(AH$3,$AE$3:$AI$3,0),0)),6-SUM(AO264:$AO264))</f>
        <v>4</v>
      </c>
      <c r="AO264">
        <f ca="1">INT(SUM(AI263:$AI264)/OFFSET($AV$2,MATCH(AI$3,$AE$3:$AI$3,0),0))</f>
        <v>2</v>
      </c>
      <c r="AP264" cm="1">
        <f ca="1" t="array" ref="AP264">SUMPRODUCT(AJ264:AO264,TRANSPOSE($AS$3:$AS$8))</f>
        <v>2.6</v>
      </c>
    </row>
    <row r="265" ht="16.5" spans="14:42">
      <c r="N265" s="2">
        <v>262</v>
      </c>
      <c r="O265" s="45">
        <f>产出预期!AN281</f>
        <v>28337</v>
      </c>
      <c r="P265" s="2">
        <f ca="1">练度预期!M264</f>
        <v>30</v>
      </c>
      <c r="Q265" s="2" t="str">
        <f ca="1" t="shared" si="76"/>
        <v>橙</v>
      </c>
      <c r="R265" s="46">
        <f ca="1" t="shared" si="77"/>
        <v>0</v>
      </c>
      <c r="S265" s="47">
        <f ca="1" t="shared" si="64"/>
        <v>6.551705</v>
      </c>
      <c r="T265" s="47">
        <f ca="1">MIN(1+($O265*1.4+产出预期!AC281*60)/OFFSET($J$14,MATCH(T$3,$T$3:$W$3,0),0),18)</f>
        <v>18</v>
      </c>
      <c r="U265" s="47">
        <f ca="1">MIN(($O265*1.4+产出预期!$AC281*60)/OFFSET($J$14,MATCH(U$3,$T$3:$W$3,0),0),3)</f>
        <v>3</v>
      </c>
      <c r="V265" s="47">
        <f ca="1">MIN(($O265*1.4+产出预期!$AC281*60)/OFFSET($J$14,MATCH(V$3,$T$3:$W$3,0),0),18)</f>
        <v>1.958636</v>
      </c>
      <c r="W265" s="47">
        <f ca="1">MIN(($O265*1.4+产出预期!$AC281*60)/OFFSET($J$14,MATCH(W$3,$T$3:$W$3,0),0),18)</f>
        <v>0.489659</v>
      </c>
      <c r="X265" s="47">
        <f ca="1" t="shared" si="65"/>
        <v>1.3931023</v>
      </c>
      <c r="Y265" s="47">
        <f ca="1" t="shared" si="66"/>
        <v>5.55991731349224</v>
      </c>
      <c r="Z265" s="47">
        <f ca="1" t="shared" si="67"/>
        <v>1.953125</v>
      </c>
      <c r="AA265" s="47">
        <f ca="1" t="shared" si="68"/>
        <v>1.72250480601981</v>
      </c>
      <c r="AB265" s="47">
        <f ca="1" t="shared" si="69"/>
        <v>1.0933817225497</v>
      </c>
      <c r="AC265" s="48">
        <f ca="1" t="shared" si="70"/>
        <v>28.4913897149996</v>
      </c>
      <c r="AD265" s="47">
        <f t="shared" si="63"/>
        <v>7084.25</v>
      </c>
      <c r="AE265" s="47">
        <f t="shared" si="71"/>
        <v>1771.0625</v>
      </c>
      <c r="AF265" s="47">
        <f t="shared" si="72"/>
        <v>442.765625</v>
      </c>
      <c r="AG265" s="47">
        <f t="shared" si="73"/>
        <v>110.69140625</v>
      </c>
      <c r="AH265" s="47">
        <f t="shared" si="74"/>
        <v>27.6728515625</v>
      </c>
      <c r="AI265" s="47">
        <f t="shared" si="75"/>
        <v>6.918212890625</v>
      </c>
      <c r="AJ265">
        <f ca="1">MIN(INT(SUM(AD265:$AI265)/OFFSET($AV$2,MATCH(AD$3,$AE$3:$AI$3,0),0)),6-SUM(AK265:$AO265))</f>
        <v>0</v>
      </c>
      <c r="AK265">
        <f ca="1">MIN(INT(SUM(AE265:$AI265)/OFFSET($AV$2,MATCH(AE$3,$AE$3:$AI$3,0),0)),6-SUM(AL265:$AO265))</f>
        <v>0</v>
      </c>
      <c r="AL265">
        <f ca="1">MIN(INT(SUM(AF265:$AI265)/OFFSET($AV$2,MATCH(AF$3,$AE$3:$AI$3,0),0)),6-SUM(AM265:$AO265))</f>
        <v>0</v>
      </c>
      <c r="AM265">
        <f ca="1">MIN(INT((SUM(AG265:$AI265)+N265*2/6)/OFFSET($AV$2,MATCH(AG$3,$AE$3:$AI$3,0),0)),6-SUM(AN265:$AO265))</f>
        <v>0</v>
      </c>
      <c r="AN265">
        <f ca="1">MIN(INT(SUM(AH265:$AI265)/OFFSET($AV$2,MATCH(AH$3,$AE$3:$AI$3,0),0)),6-SUM(AO265:$AO265))</f>
        <v>4</v>
      </c>
      <c r="AO265">
        <f ca="1">INT(SUM(AI264:$AI265)/OFFSET($AV$2,MATCH(AI$3,$AE$3:$AI$3,0),0))</f>
        <v>2</v>
      </c>
      <c r="AP265" cm="1">
        <f ca="1" t="array" ref="AP265">SUMPRODUCT(AJ265:AO265,TRANSPOSE($AS$3:$AS$8))</f>
        <v>2.6</v>
      </c>
    </row>
    <row r="266" ht="16.5" spans="14:42">
      <c r="N266" s="2">
        <v>263</v>
      </c>
      <c r="O266" s="45">
        <f>产出预期!AN282</f>
        <v>28445</v>
      </c>
      <c r="P266" s="2">
        <f ca="1">练度预期!M265</f>
        <v>30</v>
      </c>
      <c r="Q266" s="2" t="str">
        <f ca="1" t="shared" si="76"/>
        <v>橙</v>
      </c>
      <c r="R266" s="46">
        <f ca="1" t="shared" si="77"/>
        <v>0</v>
      </c>
      <c r="S266" s="47">
        <f ca="1" t="shared" si="64"/>
        <v>6.541925</v>
      </c>
      <c r="T266" s="47">
        <f ca="1">MIN(1+($O266*1.4+产出预期!AC282*60)/OFFSET($J$14,MATCH(T$3,$T$3:$W$3,0),0),18)</f>
        <v>18</v>
      </c>
      <c r="U266" s="47">
        <f ca="1">MIN(($O266*1.4+产出预期!$AC282*60)/OFFSET($J$14,MATCH(U$3,$T$3:$W$3,0),0),3)</f>
        <v>3</v>
      </c>
      <c r="V266" s="47">
        <f ca="1">MIN(($O266*1.4+产出预期!$AC282*60)/OFFSET($J$14,MATCH(V$3,$T$3:$W$3,0),0),18)</f>
        <v>1.96646</v>
      </c>
      <c r="W266" s="47">
        <f ca="1">MIN(($O266*1.4+产出预期!$AC282*60)/OFFSET($J$14,MATCH(W$3,$T$3:$W$3,0),0),18)</f>
        <v>0.491615</v>
      </c>
      <c r="X266" s="47">
        <f ca="1" t="shared" si="65"/>
        <v>1.3925155</v>
      </c>
      <c r="Y266" s="47">
        <f ca="1" t="shared" si="66"/>
        <v>5.55991731349224</v>
      </c>
      <c r="Z266" s="47">
        <f ca="1" t="shared" si="67"/>
        <v>1.953125</v>
      </c>
      <c r="AA266" s="47">
        <f ca="1" t="shared" si="68"/>
        <v>1.72625048164054</v>
      </c>
      <c r="AB266" s="47">
        <f ca="1" t="shared" si="69"/>
        <v>1.0937717149304</v>
      </c>
      <c r="AC266" s="48">
        <f ca="1" t="shared" si="70"/>
        <v>28.5514987724272</v>
      </c>
      <c r="AD266" s="47">
        <f t="shared" si="63"/>
        <v>7111.25</v>
      </c>
      <c r="AE266" s="47">
        <f t="shared" si="71"/>
        <v>1777.8125</v>
      </c>
      <c r="AF266" s="47">
        <f t="shared" si="72"/>
        <v>444.453125</v>
      </c>
      <c r="AG266" s="47">
        <f t="shared" si="73"/>
        <v>111.11328125</v>
      </c>
      <c r="AH266" s="47">
        <f t="shared" si="74"/>
        <v>27.7783203125</v>
      </c>
      <c r="AI266" s="47">
        <f t="shared" si="75"/>
        <v>6.944580078125</v>
      </c>
      <c r="AJ266">
        <f ca="1">MIN(INT(SUM(AD266:$AI266)/OFFSET($AV$2,MATCH(AD$3,$AE$3:$AI$3,0),0)),6-SUM(AK266:$AO266))</f>
        <v>0</v>
      </c>
      <c r="AK266">
        <f ca="1">MIN(INT(SUM(AE266:$AI266)/OFFSET($AV$2,MATCH(AE$3,$AE$3:$AI$3,0),0)),6-SUM(AL266:$AO266))</f>
        <v>0</v>
      </c>
      <c r="AL266">
        <f ca="1">MIN(INT(SUM(AF266:$AI266)/OFFSET($AV$2,MATCH(AF$3,$AE$3:$AI$3,0),0)),6-SUM(AM266:$AO266))</f>
        <v>0</v>
      </c>
      <c r="AM266">
        <f ca="1">MIN(INT((SUM(AG266:$AI266)+N266*2/6)/OFFSET($AV$2,MATCH(AG$3,$AE$3:$AI$3,0),0)),6-SUM(AN266:$AO266))</f>
        <v>0</v>
      </c>
      <c r="AN266">
        <f ca="1">MIN(INT(SUM(AH266:$AI266)/OFFSET($AV$2,MATCH(AH$3,$AE$3:$AI$3,0),0)),6-SUM(AO266:$AO266))</f>
        <v>4</v>
      </c>
      <c r="AO266">
        <f ca="1">INT(SUM(AI265:$AI266)/OFFSET($AV$2,MATCH(AI$3,$AE$3:$AI$3,0),0))</f>
        <v>2</v>
      </c>
      <c r="AP266" cm="1">
        <f ca="1" t="array" ref="AP266">SUMPRODUCT(AJ266:AO266,TRANSPOSE($AS$3:$AS$8))</f>
        <v>2.6</v>
      </c>
    </row>
    <row r="267" ht="16.5" spans="14:42">
      <c r="N267" s="2">
        <v>264</v>
      </c>
      <c r="O267" s="45">
        <f>产出预期!AN283</f>
        <v>28530</v>
      </c>
      <c r="P267" s="2">
        <f ca="1">练度预期!M266</f>
        <v>30</v>
      </c>
      <c r="Q267" s="2" t="str">
        <f ca="1" t="shared" si="76"/>
        <v>橙</v>
      </c>
      <c r="R267" s="46">
        <f ca="1" t="shared" si="77"/>
        <v>0</v>
      </c>
      <c r="S267" s="47">
        <f ca="1" t="shared" si="64"/>
        <v>6.53445</v>
      </c>
      <c r="T267" s="47">
        <f ca="1">MIN(1+($O267*1.4+产出预期!AC283*60)/OFFSET($J$14,MATCH(T$3,$T$3:$W$3,0),0),18)</f>
        <v>18</v>
      </c>
      <c r="U267" s="47">
        <f ca="1">MIN(($O267*1.4+产出预期!$AC283*60)/OFFSET($J$14,MATCH(U$3,$T$3:$W$3,0),0),3)</f>
        <v>3</v>
      </c>
      <c r="V267" s="47">
        <f ca="1">MIN(($O267*1.4+产出预期!$AC283*60)/OFFSET($J$14,MATCH(V$3,$T$3:$W$3,0),0),18)</f>
        <v>1.97244</v>
      </c>
      <c r="W267" s="47">
        <f ca="1">MIN(($O267*1.4+产出预期!$AC283*60)/OFFSET($J$14,MATCH(W$3,$T$3:$W$3,0),0),18)</f>
        <v>0.49311</v>
      </c>
      <c r="X267" s="47">
        <f ca="1" t="shared" si="65"/>
        <v>1.392067</v>
      </c>
      <c r="Y267" s="47">
        <f ca="1" t="shared" si="66"/>
        <v>5.55991731349224</v>
      </c>
      <c r="Z267" s="47">
        <f ca="1" t="shared" si="67"/>
        <v>1.953125</v>
      </c>
      <c r="AA267" s="47">
        <f ca="1" t="shared" si="68"/>
        <v>1.72911884834282</v>
      </c>
      <c r="AB267" s="47">
        <f ca="1" t="shared" si="69"/>
        <v>1.09406988571683</v>
      </c>
      <c r="AC267" s="48">
        <f ca="1" t="shared" si="70"/>
        <v>28.5975230881204</v>
      </c>
      <c r="AD267" s="47">
        <f t="shared" si="63"/>
        <v>7132.5</v>
      </c>
      <c r="AE267" s="47">
        <f t="shared" si="71"/>
        <v>1783.125</v>
      </c>
      <c r="AF267" s="47">
        <f t="shared" si="72"/>
        <v>445.78125</v>
      </c>
      <c r="AG267" s="47">
        <f t="shared" si="73"/>
        <v>111.4453125</v>
      </c>
      <c r="AH267" s="47">
        <f t="shared" si="74"/>
        <v>27.861328125</v>
      </c>
      <c r="AI267" s="47">
        <f t="shared" si="75"/>
        <v>6.96533203125</v>
      </c>
      <c r="AJ267">
        <f ca="1">MIN(INT(SUM(AD267:$AI267)/OFFSET($AV$2,MATCH(AD$3,$AE$3:$AI$3,0),0)),6-SUM(AK267:$AO267))</f>
        <v>0</v>
      </c>
      <c r="AK267">
        <f ca="1">MIN(INT(SUM(AE267:$AI267)/OFFSET($AV$2,MATCH(AE$3,$AE$3:$AI$3,0),0)),6-SUM(AL267:$AO267))</f>
        <v>0</v>
      </c>
      <c r="AL267">
        <f ca="1">MIN(INT(SUM(AF267:$AI267)/OFFSET($AV$2,MATCH(AF$3,$AE$3:$AI$3,0),0)),6-SUM(AM267:$AO267))</f>
        <v>0</v>
      </c>
      <c r="AM267">
        <f ca="1">MIN(INT((SUM(AG267:$AI267)+N267*2/6)/OFFSET($AV$2,MATCH(AG$3,$AE$3:$AI$3,0),0)),6-SUM(AN267:$AO267))</f>
        <v>0</v>
      </c>
      <c r="AN267">
        <f ca="1">MIN(INT(SUM(AH267:$AI267)/OFFSET($AV$2,MATCH(AH$3,$AE$3:$AI$3,0),0)),6-SUM(AO267:$AO267))</f>
        <v>4</v>
      </c>
      <c r="AO267">
        <f ca="1">INT(SUM(AI266:$AI267)/OFFSET($AV$2,MATCH(AI$3,$AE$3:$AI$3,0),0))</f>
        <v>2</v>
      </c>
      <c r="AP267" cm="1">
        <f ca="1" t="array" ref="AP267">SUMPRODUCT(AJ267:AO267,TRANSPOSE($AS$3:$AS$8))</f>
        <v>2.6</v>
      </c>
    </row>
    <row r="268" ht="16.5" spans="14:42">
      <c r="N268" s="2">
        <v>265</v>
      </c>
      <c r="O268" s="45">
        <f>产出预期!AN284</f>
        <v>28638</v>
      </c>
      <c r="P268" s="2">
        <f ca="1">练度预期!M267</f>
        <v>30</v>
      </c>
      <c r="Q268" s="2" t="str">
        <f ca="1" t="shared" si="76"/>
        <v>橙</v>
      </c>
      <c r="R268" s="46">
        <f ca="1" t="shared" si="77"/>
        <v>0</v>
      </c>
      <c r="S268" s="47">
        <f ca="1" t="shared" si="64"/>
        <v>6.52467</v>
      </c>
      <c r="T268" s="47">
        <f ca="1">MIN(1+($O268*1.4+产出预期!AC284*60)/OFFSET($J$14,MATCH(T$3,$T$3:$W$3,0),0),18)</f>
        <v>18</v>
      </c>
      <c r="U268" s="47">
        <f ca="1">MIN(($O268*1.4+产出预期!$AC284*60)/OFFSET($J$14,MATCH(U$3,$T$3:$W$3,0),0),3)</f>
        <v>3</v>
      </c>
      <c r="V268" s="47">
        <f ca="1">MIN(($O268*1.4+产出预期!$AC284*60)/OFFSET($J$14,MATCH(V$3,$T$3:$W$3,0),0),18)</f>
        <v>1.980264</v>
      </c>
      <c r="W268" s="47">
        <f ca="1">MIN(($O268*1.4+产出预期!$AC284*60)/OFFSET($J$14,MATCH(W$3,$T$3:$W$3,0),0),18)</f>
        <v>0.495066</v>
      </c>
      <c r="X268" s="47">
        <f ca="1" t="shared" si="65"/>
        <v>1.3914802</v>
      </c>
      <c r="Y268" s="47">
        <f ca="1" t="shared" si="66"/>
        <v>5.55991731349224</v>
      </c>
      <c r="Z268" s="47">
        <f ca="1" t="shared" si="67"/>
        <v>1.953125</v>
      </c>
      <c r="AA268" s="47">
        <f ca="1" t="shared" si="68"/>
        <v>1.73287890654002</v>
      </c>
      <c r="AB268" s="47">
        <f ca="1" t="shared" si="69"/>
        <v>1.09446012355471</v>
      </c>
      <c r="AC268" s="48">
        <f ca="1" t="shared" si="70"/>
        <v>28.65784707669</v>
      </c>
      <c r="AD268" s="47">
        <f t="shared" si="63"/>
        <v>7159.5</v>
      </c>
      <c r="AE268" s="47">
        <f t="shared" si="71"/>
        <v>1789.875</v>
      </c>
      <c r="AF268" s="47">
        <f t="shared" si="72"/>
        <v>447.46875</v>
      </c>
      <c r="AG268" s="47">
        <f t="shared" si="73"/>
        <v>111.8671875</v>
      </c>
      <c r="AH268" s="47">
        <f t="shared" si="74"/>
        <v>27.966796875</v>
      </c>
      <c r="AI268" s="47">
        <f t="shared" si="75"/>
        <v>6.99169921875</v>
      </c>
      <c r="AJ268">
        <f ca="1">MIN(INT(SUM(AD268:$AI268)/OFFSET($AV$2,MATCH(AD$3,$AE$3:$AI$3,0),0)),6-SUM(AK268:$AO268))</f>
        <v>0</v>
      </c>
      <c r="AK268">
        <f ca="1">MIN(INT(SUM(AE268:$AI268)/OFFSET($AV$2,MATCH(AE$3,$AE$3:$AI$3,0),0)),6-SUM(AL268:$AO268))</f>
        <v>0</v>
      </c>
      <c r="AL268">
        <f ca="1">MIN(INT(SUM(AF268:$AI268)/OFFSET($AV$2,MATCH(AF$3,$AE$3:$AI$3,0),0)),6-SUM(AM268:$AO268))</f>
        <v>0</v>
      </c>
      <c r="AM268">
        <f ca="1">MIN(INT((SUM(AG268:$AI268)+N268*2/6)/OFFSET($AV$2,MATCH(AG$3,$AE$3:$AI$3,0),0)),6-SUM(AN268:$AO268))</f>
        <v>0</v>
      </c>
      <c r="AN268">
        <f ca="1">MIN(INT(SUM(AH268:$AI268)/OFFSET($AV$2,MATCH(AH$3,$AE$3:$AI$3,0),0)),6-SUM(AO268:$AO268))</f>
        <v>4</v>
      </c>
      <c r="AO268">
        <f ca="1">INT(SUM(AI267:$AI268)/OFFSET($AV$2,MATCH(AI$3,$AE$3:$AI$3,0),0))</f>
        <v>2</v>
      </c>
      <c r="AP268" cm="1">
        <f ca="1" t="array" ref="AP268">SUMPRODUCT(AJ268:AO268,TRANSPOSE($AS$3:$AS$8))</f>
        <v>2.6</v>
      </c>
    </row>
    <row r="269" ht="16.5" spans="14:42">
      <c r="N269" s="2">
        <v>266</v>
      </c>
      <c r="O269" s="45">
        <f>产出预期!AN285</f>
        <v>28751</v>
      </c>
      <c r="P269" s="2">
        <f ca="1">练度预期!M268</f>
        <v>30</v>
      </c>
      <c r="Q269" s="2" t="str">
        <f ca="1" t="shared" si="76"/>
        <v>橙</v>
      </c>
      <c r="R269" s="46">
        <f ca="1" t="shared" si="77"/>
        <v>0</v>
      </c>
      <c r="S269" s="47">
        <f ca="1" t="shared" si="64"/>
        <v>6.514715</v>
      </c>
      <c r="T269" s="47">
        <f ca="1">MIN(1+($O269*1.4+产出预期!AC285*60)/OFFSET($J$14,MATCH(T$3,$T$3:$W$3,0),0),18)</f>
        <v>18</v>
      </c>
      <c r="U269" s="47">
        <f ca="1">MIN(($O269*1.4+产出预期!$AC285*60)/OFFSET($J$14,MATCH(U$3,$T$3:$W$3,0),0),3)</f>
        <v>3</v>
      </c>
      <c r="V269" s="47">
        <f ca="1">MIN(($O269*1.4+产出预期!$AC285*60)/OFFSET($J$14,MATCH(V$3,$T$3:$W$3,0),0),18)</f>
        <v>1.988228</v>
      </c>
      <c r="W269" s="47">
        <f ca="1">MIN(($O269*1.4+产出预期!$AC285*60)/OFFSET($J$14,MATCH(W$3,$T$3:$W$3,0),0),18)</f>
        <v>0.497057</v>
      </c>
      <c r="X269" s="47">
        <f ca="1" t="shared" si="65"/>
        <v>1.3908829</v>
      </c>
      <c r="Y269" s="47">
        <f ca="1" t="shared" si="66"/>
        <v>5.55991731349224</v>
      </c>
      <c r="Z269" s="47">
        <f ca="1" t="shared" si="67"/>
        <v>1.953125</v>
      </c>
      <c r="AA269" s="47">
        <f ca="1" t="shared" si="68"/>
        <v>1.73671464326034</v>
      </c>
      <c r="AB269" s="47">
        <f ca="1" t="shared" si="69"/>
        <v>1.09485748712636</v>
      </c>
      <c r="AC269" s="48">
        <f ca="1" t="shared" si="70"/>
        <v>28.7193759225156</v>
      </c>
      <c r="AD269" s="47">
        <f t="shared" si="63"/>
        <v>7187.75</v>
      </c>
      <c r="AE269" s="47">
        <f t="shared" si="71"/>
        <v>1796.9375</v>
      </c>
      <c r="AF269" s="47">
        <f t="shared" si="72"/>
        <v>449.234375</v>
      </c>
      <c r="AG269" s="47">
        <f t="shared" si="73"/>
        <v>112.30859375</v>
      </c>
      <c r="AH269" s="47">
        <f t="shared" si="74"/>
        <v>28.0771484375</v>
      </c>
      <c r="AI269" s="47">
        <f t="shared" si="75"/>
        <v>7.019287109375</v>
      </c>
      <c r="AJ269">
        <f ca="1">MIN(INT(SUM(AD269:$AI269)/OFFSET($AV$2,MATCH(AD$3,$AE$3:$AI$3,0),0)),6-SUM(AK269:$AO269))</f>
        <v>0</v>
      </c>
      <c r="AK269">
        <f ca="1">MIN(INT(SUM(AE269:$AI269)/OFFSET($AV$2,MATCH(AE$3,$AE$3:$AI$3,0),0)),6-SUM(AL269:$AO269))</f>
        <v>0</v>
      </c>
      <c r="AL269">
        <f ca="1">MIN(INT(SUM(AF269:$AI269)/OFFSET($AV$2,MATCH(AF$3,$AE$3:$AI$3,0),0)),6-SUM(AM269:$AO269))</f>
        <v>0</v>
      </c>
      <c r="AM269">
        <f ca="1">MIN(INT((SUM(AG269:$AI269)+N269*2/6)/OFFSET($AV$2,MATCH(AG$3,$AE$3:$AI$3,0),0)),6-SUM(AN269:$AO269))</f>
        <v>0</v>
      </c>
      <c r="AN269">
        <f ca="1">MIN(INT(SUM(AH269:$AI269)/OFFSET($AV$2,MATCH(AH$3,$AE$3:$AI$3,0),0)),6-SUM(AO269:$AO269))</f>
        <v>4</v>
      </c>
      <c r="AO269">
        <f ca="1">INT(SUM(AI268:$AI269)/OFFSET($AV$2,MATCH(AI$3,$AE$3:$AI$3,0),0))</f>
        <v>2</v>
      </c>
      <c r="AP269" cm="1">
        <f ca="1" t="array" ref="AP269">SUMPRODUCT(AJ269:AO269,TRANSPOSE($AS$3:$AS$8))</f>
        <v>2.6</v>
      </c>
    </row>
    <row r="270" ht="16.5" spans="14:42">
      <c r="N270" s="2">
        <v>267</v>
      </c>
      <c r="O270" s="45">
        <f>产出预期!AN286</f>
        <v>28859</v>
      </c>
      <c r="P270" s="2">
        <f ca="1">练度预期!M269</f>
        <v>30</v>
      </c>
      <c r="Q270" s="2" t="str">
        <f ca="1" t="shared" si="76"/>
        <v>橙</v>
      </c>
      <c r="R270" s="46">
        <f ca="1" t="shared" si="77"/>
        <v>0</v>
      </c>
      <c r="S270" s="47">
        <f ca="1" t="shared" si="64"/>
        <v>6.506435</v>
      </c>
      <c r="T270" s="47">
        <f ca="1">MIN(1+($O270*1.4+产出预期!AC286*60)/OFFSET($J$14,MATCH(T$3,$T$3:$W$3,0),0),18)</f>
        <v>18</v>
      </c>
      <c r="U270" s="47">
        <f ca="1">MIN(($O270*1.4+产出预期!$AC286*60)/OFFSET($J$14,MATCH(U$3,$T$3:$W$3,0),0),3)</f>
        <v>3</v>
      </c>
      <c r="V270" s="47">
        <f ca="1">MIN(($O270*1.4+产出预期!$AC286*60)/OFFSET($J$14,MATCH(V$3,$T$3:$W$3,0),0),18)</f>
        <v>1.994852</v>
      </c>
      <c r="W270" s="47">
        <f ca="1">MIN(($O270*1.4+产出预期!$AC286*60)/OFFSET($J$14,MATCH(W$3,$T$3:$W$3,0),0),18)</f>
        <v>0.498713</v>
      </c>
      <c r="X270" s="47">
        <f ca="1" t="shared" si="65"/>
        <v>1.3903861</v>
      </c>
      <c r="Y270" s="47">
        <f ca="1" t="shared" si="66"/>
        <v>5.55991731349224</v>
      </c>
      <c r="Z270" s="47">
        <f ca="1" t="shared" si="67"/>
        <v>1.953125</v>
      </c>
      <c r="AA270" s="47">
        <f ca="1" t="shared" si="68"/>
        <v>1.73991145676772</v>
      </c>
      <c r="AB270" s="47">
        <f ca="1" t="shared" si="69"/>
        <v>1.09518810133135</v>
      </c>
      <c r="AC270" s="48">
        <f ca="1" t="shared" si="70"/>
        <v>28.7706486782552</v>
      </c>
      <c r="AD270" s="47">
        <f t="shared" si="63"/>
        <v>7214.75</v>
      </c>
      <c r="AE270" s="47">
        <f t="shared" si="71"/>
        <v>1803.6875</v>
      </c>
      <c r="AF270" s="47">
        <f t="shared" si="72"/>
        <v>450.921875</v>
      </c>
      <c r="AG270" s="47">
        <f t="shared" si="73"/>
        <v>112.73046875</v>
      </c>
      <c r="AH270" s="47">
        <f t="shared" si="74"/>
        <v>28.1826171875</v>
      </c>
      <c r="AI270" s="47">
        <f t="shared" si="75"/>
        <v>7.045654296875</v>
      </c>
      <c r="AJ270">
        <f ca="1">MIN(INT(SUM(AD270:$AI270)/OFFSET($AV$2,MATCH(AD$3,$AE$3:$AI$3,0),0)),6-SUM(AK270:$AO270))</f>
        <v>0</v>
      </c>
      <c r="AK270">
        <f ca="1">MIN(INT(SUM(AE270:$AI270)/OFFSET($AV$2,MATCH(AE$3,$AE$3:$AI$3,0),0)),6-SUM(AL270:$AO270))</f>
        <v>0</v>
      </c>
      <c r="AL270">
        <f ca="1">MIN(INT(SUM(AF270:$AI270)/OFFSET($AV$2,MATCH(AF$3,$AE$3:$AI$3,0),0)),6-SUM(AM270:$AO270))</f>
        <v>0</v>
      </c>
      <c r="AM270">
        <f ca="1">MIN(INT((SUM(AG270:$AI270)+N270*2/6)/OFFSET($AV$2,MATCH(AG$3,$AE$3:$AI$3,0),0)),6-SUM(AN270:$AO270))</f>
        <v>0</v>
      </c>
      <c r="AN270">
        <f ca="1">MIN(INT(SUM(AH270:$AI270)/OFFSET($AV$2,MATCH(AH$3,$AE$3:$AI$3,0),0)),6-SUM(AO270:$AO270))</f>
        <v>4</v>
      </c>
      <c r="AO270">
        <f ca="1">INT(SUM(AI269:$AI270)/OFFSET($AV$2,MATCH(AI$3,$AE$3:$AI$3,0),0))</f>
        <v>2</v>
      </c>
      <c r="AP270" cm="1">
        <f ca="1" t="array" ref="AP270">SUMPRODUCT(AJ270:AO270,TRANSPOSE($AS$3:$AS$8))</f>
        <v>2.6</v>
      </c>
    </row>
    <row r="271" ht="16.5" spans="14:42">
      <c r="N271" s="2">
        <v>268</v>
      </c>
      <c r="O271" s="45">
        <f>产出预期!AN287</f>
        <v>28972</v>
      </c>
      <c r="P271" s="2">
        <f ca="1">练度预期!M270</f>
        <v>30</v>
      </c>
      <c r="Q271" s="2" t="str">
        <f ca="1" t="shared" si="76"/>
        <v>橙</v>
      </c>
      <c r="R271" s="46">
        <f ca="1" t="shared" si="77"/>
        <v>0</v>
      </c>
      <c r="S271" s="47">
        <f ca="1" t="shared" si="64"/>
        <v>6.49648</v>
      </c>
      <c r="T271" s="47">
        <f ca="1">MIN(1+($O271*1.4+产出预期!AC287*60)/OFFSET($J$14,MATCH(T$3,$T$3:$W$3,0),0),18)</f>
        <v>18</v>
      </c>
      <c r="U271" s="47">
        <f ca="1">MIN(($O271*1.4+产出预期!$AC287*60)/OFFSET($J$14,MATCH(U$3,$T$3:$W$3,0),0),3)</f>
        <v>3</v>
      </c>
      <c r="V271" s="47">
        <f ca="1">MIN(($O271*1.4+产出预期!$AC287*60)/OFFSET($J$14,MATCH(V$3,$T$3:$W$3,0),0),18)</f>
        <v>2.002816</v>
      </c>
      <c r="W271" s="47">
        <f ca="1">MIN(($O271*1.4+产出预期!$AC287*60)/OFFSET($J$14,MATCH(W$3,$T$3:$W$3,0),0),18)</f>
        <v>0.500704</v>
      </c>
      <c r="X271" s="47">
        <f ca="1" t="shared" si="65"/>
        <v>1.3897888</v>
      </c>
      <c r="Y271" s="47">
        <f ca="1" t="shared" si="66"/>
        <v>5.55991731349224</v>
      </c>
      <c r="Z271" s="47">
        <f ca="1" t="shared" si="67"/>
        <v>1.953125</v>
      </c>
      <c r="AA271" s="47">
        <f ca="1" t="shared" si="68"/>
        <v>1.74376276007556</v>
      </c>
      <c r="AB271" s="47">
        <f ca="1" t="shared" si="69"/>
        <v>1.09558572920852</v>
      </c>
      <c r="AC271" s="48">
        <f ca="1" t="shared" si="70"/>
        <v>28.8324099676156</v>
      </c>
      <c r="AD271" s="47">
        <f t="shared" si="63"/>
        <v>7243</v>
      </c>
      <c r="AE271" s="47">
        <f t="shared" si="71"/>
        <v>1810.75</v>
      </c>
      <c r="AF271" s="47">
        <f t="shared" si="72"/>
        <v>452.6875</v>
      </c>
      <c r="AG271" s="47">
        <f t="shared" si="73"/>
        <v>113.171875</v>
      </c>
      <c r="AH271" s="47">
        <f t="shared" si="74"/>
        <v>28.29296875</v>
      </c>
      <c r="AI271" s="47">
        <f t="shared" si="75"/>
        <v>7.0732421875</v>
      </c>
      <c r="AJ271">
        <f ca="1">MIN(INT(SUM(AD271:$AI271)/OFFSET($AV$2,MATCH(AD$3,$AE$3:$AI$3,0),0)),6-SUM(AK271:$AO271))</f>
        <v>0</v>
      </c>
      <c r="AK271">
        <f ca="1">MIN(INT(SUM(AE271:$AI271)/OFFSET($AV$2,MATCH(AE$3,$AE$3:$AI$3,0),0)),6-SUM(AL271:$AO271))</f>
        <v>0</v>
      </c>
      <c r="AL271">
        <f ca="1">MIN(INT(SUM(AF271:$AI271)/OFFSET($AV$2,MATCH(AF$3,$AE$3:$AI$3,0),0)),6-SUM(AM271:$AO271))</f>
        <v>0</v>
      </c>
      <c r="AM271">
        <f ca="1">MIN(INT((SUM(AG271:$AI271)+N271*2/6)/OFFSET($AV$2,MATCH(AG$3,$AE$3:$AI$3,0),0)),6-SUM(AN271:$AO271))</f>
        <v>0</v>
      </c>
      <c r="AN271">
        <f ca="1">MIN(INT(SUM(AH271:$AI271)/OFFSET($AV$2,MATCH(AH$3,$AE$3:$AI$3,0),0)),6-SUM(AO271:$AO271))</f>
        <v>4</v>
      </c>
      <c r="AO271">
        <f ca="1">INT(SUM(AI270:$AI271)/OFFSET($AV$2,MATCH(AI$3,$AE$3:$AI$3,0),0))</f>
        <v>2</v>
      </c>
      <c r="AP271" cm="1">
        <f ca="1" t="array" ref="AP271">SUMPRODUCT(AJ271:AO271,TRANSPOSE($AS$3:$AS$8))</f>
        <v>2.6</v>
      </c>
    </row>
    <row r="272" ht="16.5" spans="14:42">
      <c r="N272" s="2">
        <v>269</v>
      </c>
      <c r="O272" s="45">
        <f>产出预期!AN288</f>
        <v>29080</v>
      </c>
      <c r="P272" s="2">
        <f ca="1">练度预期!M271</f>
        <v>30</v>
      </c>
      <c r="Q272" s="2" t="str">
        <f ca="1" t="shared" si="76"/>
        <v>橙</v>
      </c>
      <c r="R272" s="46">
        <f ca="1" t="shared" si="77"/>
        <v>0</v>
      </c>
      <c r="S272" s="47">
        <f ca="1" t="shared" si="64"/>
        <v>6.4882</v>
      </c>
      <c r="T272" s="47">
        <f ca="1">MIN(1+($O272*1.4+产出预期!AC288*60)/OFFSET($J$14,MATCH(T$3,$T$3:$W$3,0),0),18)</f>
        <v>18</v>
      </c>
      <c r="U272" s="47">
        <f ca="1">MIN(($O272*1.4+产出预期!$AC288*60)/OFFSET($J$14,MATCH(U$3,$T$3:$W$3,0),0),3)</f>
        <v>3</v>
      </c>
      <c r="V272" s="47">
        <f ca="1">MIN(($O272*1.4+产出预期!$AC288*60)/OFFSET($J$14,MATCH(V$3,$T$3:$W$3,0),0),18)</f>
        <v>2.00944</v>
      </c>
      <c r="W272" s="47">
        <f ca="1">MIN(($O272*1.4+产出预期!$AC288*60)/OFFSET($J$14,MATCH(W$3,$T$3:$W$3,0),0),18)</f>
        <v>0.50236</v>
      </c>
      <c r="X272" s="47">
        <f ca="1" t="shared" si="65"/>
        <v>1.389292</v>
      </c>
      <c r="Y272" s="47">
        <f ca="1" t="shared" si="66"/>
        <v>5.55991731349224</v>
      </c>
      <c r="Z272" s="47">
        <f ca="1" t="shared" si="67"/>
        <v>1.953125</v>
      </c>
      <c r="AA272" s="47">
        <f ca="1" t="shared" si="68"/>
        <v>1.74697254722551</v>
      </c>
      <c r="AB272" s="47">
        <f ca="1" t="shared" si="69"/>
        <v>1.09591656332083</v>
      </c>
      <c r="AC272" s="48">
        <f ca="1" t="shared" si="70"/>
        <v>28.8838763984986</v>
      </c>
      <c r="AD272" s="47">
        <f t="shared" si="63"/>
        <v>7270</v>
      </c>
      <c r="AE272" s="47">
        <f t="shared" si="71"/>
        <v>1817.5</v>
      </c>
      <c r="AF272" s="47">
        <f t="shared" si="72"/>
        <v>454.375</v>
      </c>
      <c r="AG272" s="47">
        <f t="shared" si="73"/>
        <v>113.59375</v>
      </c>
      <c r="AH272" s="47">
        <f t="shared" si="74"/>
        <v>28.3984375</v>
      </c>
      <c r="AI272" s="47">
        <f t="shared" si="75"/>
        <v>7.099609375</v>
      </c>
      <c r="AJ272">
        <f ca="1">MIN(INT(SUM(AD272:$AI272)/OFFSET($AV$2,MATCH(AD$3,$AE$3:$AI$3,0),0)),6-SUM(AK272:$AO272))</f>
        <v>0</v>
      </c>
      <c r="AK272">
        <f ca="1">MIN(INT(SUM(AE272:$AI272)/OFFSET($AV$2,MATCH(AE$3,$AE$3:$AI$3,0),0)),6-SUM(AL272:$AO272))</f>
        <v>0</v>
      </c>
      <c r="AL272">
        <f ca="1">MIN(INT(SUM(AF272:$AI272)/OFFSET($AV$2,MATCH(AF$3,$AE$3:$AI$3,0),0)),6-SUM(AM272:$AO272))</f>
        <v>0</v>
      </c>
      <c r="AM272">
        <f ca="1">MIN(INT((SUM(AG272:$AI272)+N272*2/6)/OFFSET($AV$2,MATCH(AG$3,$AE$3:$AI$3,0),0)),6-SUM(AN272:$AO272))</f>
        <v>0</v>
      </c>
      <c r="AN272">
        <f ca="1">MIN(INT(SUM(AH272:$AI272)/OFFSET($AV$2,MATCH(AH$3,$AE$3:$AI$3,0),0)),6-SUM(AO272:$AO272))</f>
        <v>4</v>
      </c>
      <c r="AO272">
        <f ca="1">INT(SUM(AI271:$AI272)/OFFSET($AV$2,MATCH(AI$3,$AE$3:$AI$3,0),0))</f>
        <v>2</v>
      </c>
      <c r="AP272" cm="1">
        <f ca="1" t="array" ref="AP272">SUMPRODUCT(AJ272:AO272,TRANSPOSE($AS$3:$AS$8))</f>
        <v>2.6</v>
      </c>
    </row>
    <row r="273" ht="16.5" spans="14:42">
      <c r="N273" s="2">
        <v>270</v>
      </c>
      <c r="O273" s="45">
        <f>产出预期!AN289</f>
        <v>29188</v>
      </c>
      <c r="P273" s="2">
        <f ca="1">练度预期!M272</f>
        <v>30</v>
      </c>
      <c r="Q273" s="2" t="str">
        <f ca="1" t="shared" si="76"/>
        <v>橙</v>
      </c>
      <c r="R273" s="46">
        <f ca="1" t="shared" si="77"/>
        <v>0</v>
      </c>
      <c r="S273" s="47">
        <f ca="1" t="shared" si="64"/>
        <v>6.47842</v>
      </c>
      <c r="T273" s="47">
        <f ca="1">MIN(1+($O273*1.4+产出预期!AC289*60)/OFFSET($J$14,MATCH(T$3,$T$3:$W$3,0),0),18)</f>
        <v>18</v>
      </c>
      <c r="U273" s="47">
        <f ca="1">MIN(($O273*1.4+产出预期!$AC289*60)/OFFSET($J$14,MATCH(U$3,$T$3:$W$3,0),0),3)</f>
        <v>3</v>
      </c>
      <c r="V273" s="47">
        <f ca="1">MIN(($O273*1.4+产出预期!$AC289*60)/OFFSET($J$14,MATCH(V$3,$T$3:$W$3,0),0),18)</f>
        <v>2.017264</v>
      </c>
      <c r="W273" s="47">
        <f ca="1">MIN(($O273*1.4+产出预期!$AC289*60)/OFFSET($J$14,MATCH(W$3,$T$3:$W$3,0),0),18)</f>
        <v>0.504316</v>
      </c>
      <c r="X273" s="47">
        <f ca="1" t="shared" si="65"/>
        <v>1.3887052</v>
      </c>
      <c r="Y273" s="47">
        <f ca="1" t="shared" si="66"/>
        <v>5.55991731349224</v>
      </c>
      <c r="Z273" s="47">
        <f ca="1" t="shared" si="67"/>
        <v>1.953125</v>
      </c>
      <c r="AA273" s="47">
        <f ca="1" t="shared" si="68"/>
        <v>1.75077142921258</v>
      </c>
      <c r="AB273" s="47">
        <f ca="1" t="shared" si="69"/>
        <v>1.09630745984011</v>
      </c>
      <c r="AC273" s="48">
        <f ca="1" t="shared" si="70"/>
        <v>28.9447800433881</v>
      </c>
      <c r="AD273" s="47">
        <f t="shared" si="63"/>
        <v>7297</v>
      </c>
      <c r="AE273" s="47">
        <f t="shared" si="71"/>
        <v>1824.25</v>
      </c>
      <c r="AF273" s="47">
        <f t="shared" si="72"/>
        <v>456.0625</v>
      </c>
      <c r="AG273" s="47">
        <f t="shared" si="73"/>
        <v>114.015625</v>
      </c>
      <c r="AH273" s="47">
        <f t="shared" si="74"/>
        <v>28.50390625</v>
      </c>
      <c r="AI273" s="47">
        <f t="shared" si="75"/>
        <v>7.1259765625</v>
      </c>
      <c r="AJ273">
        <f ca="1">MIN(INT(SUM(AD273:$AI273)/OFFSET($AV$2,MATCH(AD$3,$AE$3:$AI$3,0),0)),6-SUM(AK273:$AO273))</f>
        <v>0</v>
      </c>
      <c r="AK273">
        <f ca="1">MIN(INT(SUM(AE273:$AI273)/OFFSET($AV$2,MATCH(AE$3,$AE$3:$AI$3,0),0)),6-SUM(AL273:$AO273))</f>
        <v>0</v>
      </c>
      <c r="AL273">
        <f ca="1">MIN(INT(SUM(AF273:$AI273)/OFFSET($AV$2,MATCH(AF$3,$AE$3:$AI$3,0),0)),6-SUM(AM273:$AO273))</f>
        <v>0</v>
      </c>
      <c r="AM273">
        <f ca="1">MIN(INT((SUM(AG273:$AI273)+N273*2/6)/OFFSET($AV$2,MATCH(AG$3,$AE$3:$AI$3,0),0)),6-SUM(AN273:$AO273))</f>
        <v>0</v>
      </c>
      <c r="AN273">
        <f ca="1">MIN(INT(SUM(AH273:$AI273)/OFFSET($AV$2,MATCH(AH$3,$AE$3:$AI$3,0),0)),6-SUM(AO273:$AO273))</f>
        <v>4</v>
      </c>
      <c r="AO273">
        <f ca="1">INT(SUM(AI272:$AI273)/OFFSET($AV$2,MATCH(AI$3,$AE$3:$AI$3,0),0))</f>
        <v>2</v>
      </c>
      <c r="AP273" cm="1">
        <f ca="1" t="array" ref="AP273">SUMPRODUCT(AJ273:AO273,TRANSPOSE($AS$3:$AS$8))</f>
        <v>2.6</v>
      </c>
    </row>
    <row r="274" ht="16.5" spans="14:42">
      <c r="N274" s="2">
        <v>271</v>
      </c>
      <c r="O274" s="45">
        <f>产出预期!AN290</f>
        <v>29273</v>
      </c>
      <c r="P274" s="2">
        <f ca="1">练度预期!M273</f>
        <v>30</v>
      </c>
      <c r="Q274" s="2" t="str">
        <f ca="1" t="shared" si="76"/>
        <v>橙</v>
      </c>
      <c r="R274" s="46">
        <f ca="1" t="shared" si="77"/>
        <v>0</v>
      </c>
      <c r="S274" s="47">
        <f ca="1" t="shared" si="64"/>
        <v>6.470945</v>
      </c>
      <c r="T274" s="47">
        <f ca="1">MIN(1+($O274*1.4+产出预期!AC290*60)/OFFSET($J$14,MATCH(T$3,$T$3:$W$3,0),0),18)</f>
        <v>18</v>
      </c>
      <c r="U274" s="47">
        <f ca="1">MIN(($O274*1.4+产出预期!$AC290*60)/OFFSET($J$14,MATCH(U$3,$T$3:$W$3,0),0),3)</f>
        <v>3</v>
      </c>
      <c r="V274" s="47">
        <f ca="1">MIN(($O274*1.4+产出预期!$AC290*60)/OFFSET($J$14,MATCH(V$3,$T$3:$W$3,0),0),18)</f>
        <v>2.023244</v>
      </c>
      <c r="W274" s="47">
        <f ca="1">MIN(($O274*1.4+产出预期!$AC290*60)/OFFSET($J$14,MATCH(W$3,$T$3:$W$3,0),0),18)</f>
        <v>0.505811</v>
      </c>
      <c r="X274" s="47">
        <f ca="1" t="shared" si="65"/>
        <v>1.3882567</v>
      </c>
      <c r="Y274" s="47">
        <f ca="1" t="shared" si="66"/>
        <v>5.55991731349224</v>
      </c>
      <c r="Z274" s="47">
        <f ca="1" t="shared" si="67"/>
        <v>1.953125</v>
      </c>
      <c r="AA274" s="47">
        <f ca="1" t="shared" si="68"/>
        <v>1.75368054033189</v>
      </c>
      <c r="AB274" s="47">
        <f ca="1" t="shared" si="69"/>
        <v>1.09660632189057</v>
      </c>
      <c r="AC274" s="48">
        <f ca="1" t="shared" si="70"/>
        <v>28.991412690462</v>
      </c>
      <c r="AD274" s="47">
        <f t="shared" si="63"/>
        <v>7318.25</v>
      </c>
      <c r="AE274" s="47">
        <f t="shared" si="71"/>
        <v>1829.5625</v>
      </c>
      <c r="AF274" s="47">
        <f t="shared" si="72"/>
        <v>457.390625</v>
      </c>
      <c r="AG274" s="47">
        <f t="shared" si="73"/>
        <v>114.34765625</v>
      </c>
      <c r="AH274" s="47">
        <f t="shared" si="74"/>
        <v>28.5869140625</v>
      </c>
      <c r="AI274" s="47">
        <f t="shared" si="75"/>
        <v>7.146728515625</v>
      </c>
      <c r="AJ274">
        <f ca="1">MIN(INT(SUM(AD274:$AI274)/OFFSET($AV$2,MATCH(AD$3,$AE$3:$AI$3,0),0)),6-SUM(AK274:$AO274))</f>
        <v>0</v>
      </c>
      <c r="AK274">
        <f ca="1">MIN(INT(SUM(AE274:$AI274)/OFFSET($AV$2,MATCH(AE$3,$AE$3:$AI$3,0),0)),6-SUM(AL274:$AO274))</f>
        <v>0</v>
      </c>
      <c r="AL274">
        <f ca="1">MIN(INT(SUM(AF274:$AI274)/OFFSET($AV$2,MATCH(AF$3,$AE$3:$AI$3,0),0)),6-SUM(AM274:$AO274))</f>
        <v>0</v>
      </c>
      <c r="AM274">
        <f ca="1">MIN(INT((SUM(AG274:$AI274)+N274*2/6)/OFFSET($AV$2,MATCH(AG$3,$AE$3:$AI$3,0),0)),6-SUM(AN274:$AO274))</f>
        <v>0</v>
      </c>
      <c r="AN274">
        <f ca="1">MIN(INT(SUM(AH274:$AI274)/OFFSET($AV$2,MATCH(AH$3,$AE$3:$AI$3,0),0)),6-SUM(AO274:$AO274))</f>
        <v>4</v>
      </c>
      <c r="AO274">
        <f ca="1">INT(SUM(AI273:$AI274)/OFFSET($AV$2,MATCH(AI$3,$AE$3:$AI$3,0),0))</f>
        <v>2</v>
      </c>
      <c r="AP274" cm="1">
        <f ca="1" t="array" ref="AP274">SUMPRODUCT(AJ274:AO274,TRANSPOSE($AS$3:$AS$8))</f>
        <v>2.6</v>
      </c>
    </row>
    <row r="275" ht="16.5" spans="14:42">
      <c r="N275" s="2">
        <v>272</v>
      </c>
      <c r="O275" s="45">
        <f>产出预期!AN291</f>
        <v>29381</v>
      </c>
      <c r="P275" s="2">
        <f ca="1">练度预期!M274</f>
        <v>30</v>
      </c>
      <c r="Q275" s="2" t="str">
        <f ca="1" t="shared" si="76"/>
        <v>橙</v>
      </c>
      <c r="R275" s="46">
        <f ca="1" t="shared" si="77"/>
        <v>0</v>
      </c>
      <c r="S275" s="47">
        <f ca="1" t="shared" si="64"/>
        <v>6.461165</v>
      </c>
      <c r="T275" s="47">
        <f ca="1">MIN(1+($O275*1.4+产出预期!AC291*60)/OFFSET($J$14,MATCH(T$3,$T$3:$W$3,0),0),18)</f>
        <v>18</v>
      </c>
      <c r="U275" s="47">
        <f ca="1">MIN(($O275*1.4+产出预期!$AC291*60)/OFFSET($J$14,MATCH(U$3,$T$3:$W$3,0),0),3)</f>
        <v>3</v>
      </c>
      <c r="V275" s="47">
        <f ca="1">MIN(($O275*1.4+产出预期!$AC291*60)/OFFSET($J$14,MATCH(V$3,$T$3:$W$3,0),0),18)</f>
        <v>2.031068</v>
      </c>
      <c r="W275" s="47">
        <f ca="1">MIN(($O275*1.4+产出预期!$AC291*60)/OFFSET($J$14,MATCH(W$3,$T$3:$W$3,0),0),18)</f>
        <v>0.507767</v>
      </c>
      <c r="X275" s="47">
        <f ca="1" t="shared" si="65"/>
        <v>1.3876699</v>
      </c>
      <c r="Y275" s="47">
        <f ca="1" t="shared" si="66"/>
        <v>5.55991731349224</v>
      </c>
      <c r="Z275" s="47">
        <f ca="1" t="shared" si="67"/>
        <v>1.953125</v>
      </c>
      <c r="AA275" s="47">
        <f ca="1" t="shared" si="68"/>
        <v>1.75749400919625</v>
      </c>
      <c r="AB275" s="47">
        <f ca="1" t="shared" si="69"/>
        <v>1.09699746443608</v>
      </c>
      <c r="AC275" s="48">
        <f ca="1" t="shared" si="70"/>
        <v>29.0525339279894</v>
      </c>
      <c r="AD275" s="47">
        <f t="shared" si="63"/>
        <v>7345.25</v>
      </c>
      <c r="AE275" s="47">
        <f t="shared" si="71"/>
        <v>1836.3125</v>
      </c>
      <c r="AF275" s="47">
        <f t="shared" si="72"/>
        <v>459.078125</v>
      </c>
      <c r="AG275" s="47">
        <f t="shared" si="73"/>
        <v>114.76953125</v>
      </c>
      <c r="AH275" s="47">
        <f t="shared" si="74"/>
        <v>28.6923828125</v>
      </c>
      <c r="AI275" s="47">
        <f t="shared" si="75"/>
        <v>7.173095703125</v>
      </c>
      <c r="AJ275">
        <f ca="1">MIN(INT(SUM(AD275:$AI275)/OFFSET($AV$2,MATCH(AD$3,$AE$3:$AI$3,0),0)),6-SUM(AK275:$AO275))</f>
        <v>0</v>
      </c>
      <c r="AK275">
        <f ca="1">MIN(INT(SUM(AE275:$AI275)/OFFSET($AV$2,MATCH(AE$3,$AE$3:$AI$3,0),0)),6-SUM(AL275:$AO275))</f>
        <v>0</v>
      </c>
      <c r="AL275">
        <f ca="1">MIN(INT(SUM(AF275:$AI275)/OFFSET($AV$2,MATCH(AF$3,$AE$3:$AI$3,0),0)),6-SUM(AM275:$AO275))</f>
        <v>0</v>
      </c>
      <c r="AM275">
        <f ca="1">MIN(INT((SUM(AG275:$AI275)+N275*2/6)/OFFSET($AV$2,MATCH(AG$3,$AE$3:$AI$3,0),0)),6-SUM(AN275:$AO275))</f>
        <v>0</v>
      </c>
      <c r="AN275">
        <f ca="1">MIN(INT(SUM(AH275:$AI275)/OFFSET($AV$2,MATCH(AH$3,$AE$3:$AI$3,0),0)),6-SUM(AO275:$AO275))</f>
        <v>4</v>
      </c>
      <c r="AO275">
        <f ca="1">INT(SUM(AI274:$AI275)/OFFSET($AV$2,MATCH(AI$3,$AE$3:$AI$3,0),0))</f>
        <v>2</v>
      </c>
      <c r="AP275" cm="1">
        <f ca="1" t="array" ref="AP275">SUMPRODUCT(AJ275:AO275,TRANSPOSE($AS$3:$AS$8))</f>
        <v>2.6</v>
      </c>
    </row>
    <row r="276" ht="16.5" spans="14:42">
      <c r="N276" s="2">
        <v>273</v>
      </c>
      <c r="O276" s="45">
        <f>产出预期!AN292</f>
        <v>29494</v>
      </c>
      <c r="P276" s="2">
        <f ca="1">练度预期!M275</f>
        <v>30</v>
      </c>
      <c r="Q276" s="2" t="str">
        <f ca="1" t="shared" si="76"/>
        <v>橙</v>
      </c>
      <c r="R276" s="46">
        <f ca="1" t="shared" si="77"/>
        <v>0</v>
      </c>
      <c r="S276" s="47">
        <f ca="1" t="shared" si="64"/>
        <v>6.45271</v>
      </c>
      <c r="T276" s="47">
        <f ca="1">MIN(1+($O276*1.4+产出预期!AC292*60)/OFFSET($J$14,MATCH(T$3,$T$3:$W$3,0),0),18)</f>
        <v>18</v>
      </c>
      <c r="U276" s="47">
        <f ca="1">MIN(($O276*1.4+产出预期!$AC292*60)/OFFSET($J$14,MATCH(U$3,$T$3:$W$3,0),0),3)</f>
        <v>3</v>
      </c>
      <c r="V276" s="47">
        <f ca="1">MIN(($O276*1.4+产出预期!$AC292*60)/OFFSET($J$14,MATCH(V$3,$T$3:$W$3,0),0),18)</f>
        <v>2.037832</v>
      </c>
      <c r="W276" s="47">
        <f ca="1">MIN(($O276*1.4+产出预期!$AC292*60)/OFFSET($J$14,MATCH(W$3,$T$3:$W$3,0),0),18)</f>
        <v>0.509458</v>
      </c>
      <c r="X276" s="47">
        <f ca="1" t="shared" si="65"/>
        <v>1.3871626</v>
      </c>
      <c r="Y276" s="47">
        <f ca="1" t="shared" si="66"/>
        <v>5.55991731349224</v>
      </c>
      <c r="Z276" s="47">
        <f ca="1" t="shared" si="67"/>
        <v>1.953125</v>
      </c>
      <c r="AA276" s="47">
        <f ca="1" t="shared" si="68"/>
        <v>1.76079750992318</v>
      </c>
      <c r="AB276" s="47">
        <f ca="1" t="shared" si="69"/>
        <v>1.09733572720638</v>
      </c>
      <c r="AC276" s="48">
        <f ca="1" t="shared" si="70"/>
        <v>29.1054740757009</v>
      </c>
      <c r="AD276" s="47">
        <f t="shared" si="63"/>
        <v>7373.5</v>
      </c>
      <c r="AE276" s="47">
        <f t="shared" si="71"/>
        <v>1843.375</v>
      </c>
      <c r="AF276" s="47">
        <f t="shared" si="72"/>
        <v>460.84375</v>
      </c>
      <c r="AG276" s="47">
        <f t="shared" si="73"/>
        <v>115.2109375</v>
      </c>
      <c r="AH276" s="47">
        <f t="shared" si="74"/>
        <v>28.802734375</v>
      </c>
      <c r="AI276" s="47">
        <f t="shared" si="75"/>
        <v>7.20068359375</v>
      </c>
      <c r="AJ276">
        <f ca="1">MIN(INT(SUM(AD276:$AI276)/OFFSET($AV$2,MATCH(AD$3,$AE$3:$AI$3,0),0)),6-SUM(AK276:$AO276))</f>
        <v>0</v>
      </c>
      <c r="AK276">
        <f ca="1">MIN(INT(SUM(AE276:$AI276)/OFFSET($AV$2,MATCH(AE$3,$AE$3:$AI$3,0),0)),6-SUM(AL276:$AO276))</f>
        <v>0</v>
      </c>
      <c r="AL276">
        <f ca="1">MIN(INT(SUM(AF276:$AI276)/OFFSET($AV$2,MATCH(AF$3,$AE$3:$AI$3,0),0)),6-SUM(AM276:$AO276))</f>
        <v>0</v>
      </c>
      <c r="AM276">
        <f ca="1">MIN(INT((SUM(AG276:$AI276)+N276*2/6)/OFFSET($AV$2,MATCH(AG$3,$AE$3:$AI$3,0),0)),6-SUM(AN276:$AO276))</f>
        <v>0</v>
      </c>
      <c r="AN276">
        <f ca="1">MIN(INT(SUM(AH276:$AI276)/OFFSET($AV$2,MATCH(AH$3,$AE$3:$AI$3,0),0)),6-SUM(AO276:$AO276))</f>
        <v>4</v>
      </c>
      <c r="AO276">
        <f ca="1">INT(SUM(AI275:$AI276)/OFFSET($AV$2,MATCH(AI$3,$AE$3:$AI$3,0),0))</f>
        <v>2</v>
      </c>
      <c r="AP276" cm="1">
        <f ca="1" t="array" ref="AP276">SUMPRODUCT(AJ276:AO276,TRANSPOSE($AS$3:$AS$8))</f>
        <v>2.6</v>
      </c>
    </row>
    <row r="277" ht="16.5" spans="14:42">
      <c r="N277" s="2">
        <v>274</v>
      </c>
      <c r="O277" s="45">
        <f>产出预期!AN293</f>
        <v>29602</v>
      </c>
      <c r="P277" s="2">
        <f ca="1">练度预期!M276</f>
        <v>30</v>
      </c>
      <c r="Q277" s="2" t="str">
        <f ca="1" t="shared" si="76"/>
        <v>橙</v>
      </c>
      <c r="R277" s="46">
        <f ca="1" t="shared" si="77"/>
        <v>0</v>
      </c>
      <c r="S277" s="47">
        <f ca="1" t="shared" si="64"/>
        <v>6.44293</v>
      </c>
      <c r="T277" s="47">
        <f ca="1">MIN(1+($O277*1.4+产出预期!AC293*60)/OFFSET($J$14,MATCH(T$3,$T$3:$W$3,0),0),18)</f>
        <v>18</v>
      </c>
      <c r="U277" s="47">
        <f ca="1">MIN(($O277*1.4+产出预期!$AC293*60)/OFFSET($J$14,MATCH(U$3,$T$3:$W$3,0),0),3)</f>
        <v>3</v>
      </c>
      <c r="V277" s="47">
        <f ca="1">MIN(($O277*1.4+产出预期!$AC293*60)/OFFSET($J$14,MATCH(V$3,$T$3:$W$3,0),0),18)</f>
        <v>2.045656</v>
      </c>
      <c r="W277" s="47">
        <f ca="1">MIN(($O277*1.4+产出预期!$AC293*60)/OFFSET($J$14,MATCH(W$3,$T$3:$W$3,0),0),18)</f>
        <v>0.511414</v>
      </c>
      <c r="X277" s="47">
        <f ca="1" t="shared" si="65"/>
        <v>1.3865758</v>
      </c>
      <c r="Y277" s="47">
        <f ca="1" t="shared" si="66"/>
        <v>5.55991731349224</v>
      </c>
      <c r="Z277" s="47">
        <f ca="1" t="shared" si="67"/>
        <v>1.953125</v>
      </c>
      <c r="AA277" s="47">
        <f ca="1" t="shared" si="68"/>
        <v>1.76462645500532</v>
      </c>
      <c r="AB277" s="47">
        <f ca="1" t="shared" si="69"/>
        <v>1.0977271299195</v>
      </c>
      <c r="AC277" s="48">
        <f ca="1" t="shared" si="70"/>
        <v>29.1668260555194</v>
      </c>
      <c r="AD277" s="47">
        <f t="shared" si="63"/>
        <v>7400.5</v>
      </c>
      <c r="AE277" s="47">
        <f t="shared" si="71"/>
        <v>1850.125</v>
      </c>
      <c r="AF277" s="47">
        <f t="shared" si="72"/>
        <v>462.53125</v>
      </c>
      <c r="AG277" s="47">
        <f t="shared" si="73"/>
        <v>115.6328125</v>
      </c>
      <c r="AH277" s="47">
        <f t="shared" si="74"/>
        <v>28.908203125</v>
      </c>
      <c r="AI277" s="47">
        <f t="shared" si="75"/>
        <v>7.22705078125</v>
      </c>
      <c r="AJ277">
        <f ca="1">MIN(INT(SUM(AD277:$AI277)/OFFSET($AV$2,MATCH(AD$3,$AE$3:$AI$3,0),0)),6-SUM(AK277:$AO277))</f>
        <v>0</v>
      </c>
      <c r="AK277">
        <f ca="1">MIN(INT(SUM(AE277:$AI277)/OFFSET($AV$2,MATCH(AE$3,$AE$3:$AI$3,0),0)),6-SUM(AL277:$AO277))</f>
        <v>0</v>
      </c>
      <c r="AL277">
        <f ca="1">MIN(INT(SUM(AF277:$AI277)/OFFSET($AV$2,MATCH(AF$3,$AE$3:$AI$3,0),0)),6-SUM(AM277:$AO277))</f>
        <v>0</v>
      </c>
      <c r="AM277">
        <f ca="1">MIN(INT((SUM(AG277:$AI277)+N277*2/6)/OFFSET($AV$2,MATCH(AG$3,$AE$3:$AI$3,0),0)),6-SUM(AN277:$AO277))</f>
        <v>0</v>
      </c>
      <c r="AN277">
        <f ca="1">MIN(INT(SUM(AH277:$AI277)/OFFSET($AV$2,MATCH(AH$3,$AE$3:$AI$3,0),0)),6-SUM(AO277:$AO277))</f>
        <v>4</v>
      </c>
      <c r="AO277">
        <f ca="1">INT(SUM(AI276:$AI277)/OFFSET($AV$2,MATCH(AI$3,$AE$3:$AI$3,0),0))</f>
        <v>2</v>
      </c>
      <c r="AP277" cm="1">
        <f ca="1" t="array" ref="AP277">SUMPRODUCT(AJ277:AO277,TRANSPOSE($AS$3:$AS$8))</f>
        <v>2.6</v>
      </c>
    </row>
    <row r="278" ht="16.5" spans="14:42">
      <c r="N278" s="2">
        <v>275</v>
      </c>
      <c r="O278" s="45">
        <f>产出预期!AN294</f>
        <v>29715</v>
      </c>
      <c r="P278" s="2">
        <f ca="1">练度预期!M277</f>
        <v>30</v>
      </c>
      <c r="Q278" s="2" t="str">
        <f ca="1" t="shared" si="76"/>
        <v>橙</v>
      </c>
      <c r="R278" s="46">
        <f ca="1" t="shared" si="77"/>
        <v>0</v>
      </c>
      <c r="S278" s="47">
        <f ca="1" t="shared" si="64"/>
        <v>6.434475</v>
      </c>
      <c r="T278" s="47">
        <f ca="1">MIN(1+($O278*1.4+产出预期!AC294*60)/OFFSET($J$14,MATCH(T$3,$T$3:$W$3,0),0),18)</f>
        <v>18</v>
      </c>
      <c r="U278" s="47">
        <f ca="1">MIN(($O278*1.4+产出预期!$AC294*60)/OFFSET($J$14,MATCH(U$3,$T$3:$W$3,0),0),3)</f>
        <v>3</v>
      </c>
      <c r="V278" s="47">
        <f ca="1">MIN(($O278*1.4+产出预期!$AC294*60)/OFFSET($J$14,MATCH(V$3,$T$3:$W$3,0),0),18)</f>
        <v>2.05242</v>
      </c>
      <c r="W278" s="47">
        <f ca="1">MIN(($O278*1.4+产出预期!$AC294*60)/OFFSET($J$14,MATCH(W$3,$T$3:$W$3,0),0),18)</f>
        <v>0.513105</v>
      </c>
      <c r="X278" s="47">
        <f ca="1" t="shared" si="65"/>
        <v>1.3860685</v>
      </c>
      <c r="Y278" s="47">
        <f ca="1" t="shared" si="66"/>
        <v>5.55991731349224</v>
      </c>
      <c r="Z278" s="47">
        <f ca="1" t="shared" si="67"/>
        <v>1.953125</v>
      </c>
      <c r="AA278" s="47">
        <f ca="1" t="shared" si="68"/>
        <v>1.76794336234404</v>
      </c>
      <c r="AB278" s="47">
        <f ca="1" t="shared" si="69"/>
        <v>1.09806561768456</v>
      </c>
      <c r="AC278" s="48">
        <f ca="1" t="shared" si="70"/>
        <v>29.2199660367838</v>
      </c>
      <c r="AD278" s="47">
        <f t="shared" si="63"/>
        <v>7428.75</v>
      </c>
      <c r="AE278" s="47">
        <f t="shared" si="71"/>
        <v>1857.1875</v>
      </c>
      <c r="AF278" s="47">
        <f t="shared" si="72"/>
        <v>464.296875</v>
      </c>
      <c r="AG278" s="47">
        <f t="shared" si="73"/>
        <v>116.07421875</v>
      </c>
      <c r="AH278" s="47">
        <f t="shared" si="74"/>
        <v>29.0185546875</v>
      </c>
      <c r="AI278" s="47">
        <f t="shared" si="75"/>
        <v>7.254638671875</v>
      </c>
      <c r="AJ278">
        <f ca="1">MIN(INT(SUM(AD278:$AI278)/OFFSET($AV$2,MATCH(AD$3,$AE$3:$AI$3,0),0)),6-SUM(AK278:$AO278))</f>
        <v>0</v>
      </c>
      <c r="AK278">
        <f ca="1">MIN(INT(SUM(AE278:$AI278)/OFFSET($AV$2,MATCH(AE$3,$AE$3:$AI$3,0),0)),6-SUM(AL278:$AO278))</f>
        <v>0</v>
      </c>
      <c r="AL278">
        <f ca="1">MIN(INT(SUM(AF278:$AI278)/OFFSET($AV$2,MATCH(AF$3,$AE$3:$AI$3,0),0)),6-SUM(AM278:$AO278))</f>
        <v>0</v>
      </c>
      <c r="AM278">
        <f ca="1">MIN(INT((SUM(AG278:$AI278)+N278*2/6)/OFFSET($AV$2,MATCH(AG$3,$AE$3:$AI$3,0),0)),6-SUM(AN278:$AO278))</f>
        <v>0</v>
      </c>
      <c r="AN278">
        <f ca="1">MIN(INT(SUM(AH278:$AI278)/OFFSET($AV$2,MATCH(AH$3,$AE$3:$AI$3,0),0)),6-SUM(AO278:$AO278))</f>
        <v>4</v>
      </c>
      <c r="AO278">
        <f ca="1">INT(SUM(AI277:$AI278)/OFFSET($AV$2,MATCH(AI$3,$AE$3:$AI$3,0),0))</f>
        <v>2</v>
      </c>
      <c r="AP278" cm="1">
        <f ca="1" t="array" ref="AP278">SUMPRODUCT(AJ278:AO278,TRANSPOSE($AS$3:$AS$8))</f>
        <v>2.6</v>
      </c>
    </row>
    <row r="279" ht="16.5" spans="14:42">
      <c r="N279" s="2">
        <v>276</v>
      </c>
      <c r="O279" s="45">
        <f>产出预期!AN295</f>
        <v>29823</v>
      </c>
      <c r="P279" s="2">
        <f ca="1">练度预期!M278</f>
        <v>30</v>
      </c>
      <c r="Q279" s="2" t="str">
        <f ca="1" t="shared" si="76"/>
        <v>橙</v>
      </c>
      <c r="R279" s="46">
        <f ca="1" t="shared" si="77"/>
        <v>0</v>
      </c>
      <c r="S279" s="47">
        <f ca="1" t="shared" si="64"/>
        <v>6.424695</v>
      </c>
      <c r="T279" s="47">
        <f ca="1">MIN(1+($O279*1.4+产出预期!AC295*60)/OFFSET($J$14,MATCH(T$3,$T$3:$W$3,0),0),18)</f>
        <v>18</v>
      </c>
      <c r="U279" s="47">
        <f ca="1">MIN(($O279*1.4+产出预期!$AC295*60)/OFFSET($J$14,MATCH(U$3,$T$3:$W$3,0),0),3)</f>
        <v>3</v>
      </c>
      <c r="V279" s="47">
        <f ca="1">MIN(($O279*1.4+产出预期!$AC295*60)/OFFSET($J$14,MATCH(V$3,$T$3:$W$3,0),0),18)</f>
        <v>2.060244</v>
      </c>
      <c r="W279" s="47">
        <f ca="1">MIN(($O279*1.4+产出预期!$AC295*60)/OFFSET($J$14,MATCH(W$3,$T$3:$W$3,0),0),18)</f>
        <v>0.515061</v>
      </c>
      <c r="X279" s="47">
        <f ca="1" t="shared" si="65"/>
        <v>1.3854817</v>
      </c>
      <c r="Y279" s="47">
        <f ca="1" t="shared" si="66"/>
        <v>5.55991731349224</v>
      </c>
      <c r="Z279" s="47">
        <f ca="1" t="shared" si="67"/>
        <v>1.953125</v>
      </c>
      <c r="AA279" s="47">
        <f ca="1" t="shared" si="68"/>
        <v>1.77178784645115</v>
      </c>
      <c r="AB279" s="47">
        <f ca="1" t="shared" si="69"/>
        <v>1.09845728073834</v>
      </c>
      <c r="AC279" s="48">
        <f ca="1" t="shared" si="70"/>
        <v>29.2815495747044</v>
      </c>
      <c r="AD279" s="47">
        <f t="shared" si="63"/>
        <v>7455.75</v>
      </c>
      <c r="AE279" s="47">
        <f t="shared" si="71"/>
        <v>1863.9375</v>
      </c>
      <c r="AF279" s="47">
        <f t="shared" si="72"/>
        <v>465.984375</v>
      </c>
      <c r="AG279" s="47">
        <f t="shared" si="73"/>
        <v>116.49609375</v>
      </c>
      <c r="AH279" s="47">
        <f t="shared" si="74"/>
        <v>29.1240234375</v>
      </c>
      <c r="AI279" s="47">
        <f t="shared" si="75"/>
        <v>7.281005859375</v>
      </c>
      <c r="AJ279">
        <f ca="1">MIN(INT(SUM(AD279:$AI279)/OFFSET($AV$2,MATCH(AD$3,$AE$3:$AI$3,0),0)),6-SUM(AK279:$AO279))</f>
        <v>0</v>
      </c>
      <c r="AK279">
        <f ca="1">MIN(INT(SUM(AE279:$AI279)/OFFSET($AV$2,MATCH(AE$3,$AE$3:$AI$3,0),0)),6-SUM(AL279:$AO279))</f>
        <v>0</v>
      </c>
      <c r="AL279">
        <f ca="1">MIN(INT(SUM(AF279:$AI279)/OFFSET($AV$2,MATCH(AF$3,$AE$3:$AI$3,0),0)),6-SUM(AM279:$AO279))</f>
        <v>0</v>
      </c>
      <c r="AM279">
        <f ca="1">MIN(INT((SUM(AG279:$AI279)+N279*2/6)/OFFSET($AV$2,MATCH(AG$3,$AE$3:$AI$3,0),0)),6-SUM(AN279:$AO279))</f>
        <v>0</v>
      </c>
      <c r="AN279">
        <f ca="1">MIN(INT(SUM(AH279:$AI279)/OFFSET($AV$2,MATCH(AH$3,$AE$3:$AI$3,0),0)),6-SUM(AO279:$AO279))</f>
        <v>4</v>
      </c>
      <c r="AO279">
        <f ca="1">INT(SUM(AI278:$AI279)/OFFSET($AV$2,MATCH(AI$3,$AE$3:$AI$3,0),0))</f>
        <v>2</v>
      </c>
      <c r="AP279" cm="1">
        <f ca="1" t="array" ref="AP279">SUMPRODUCT(AJ279:AO279,TRANSPOSE($AS$3:$AS$8))</f>
        <v>2.6</v>
      </c>
    </row>
    <row r="280" ht="16.5" spans="14:42">
      <c r="N280" s="2">
        <v>277</v>
      </c>
      <c r="O280" s="45">
        <f>产出预期!AN296</f>
        <v>29908</v>
      </c>
      <c r="P280" s="2">
        <f ca="1">练度预期!M279</f>
        <v>30</v>
      </c>
      <c r="Q280" s="2" t="str">
        <f ca="1" t="shared" si="76"/>
        <v>橙</v>
      </c>
      <c r="R280" s="46">
        <f ca="1" t="shared" si="77"/>
        <v>0</v>
      </c>
      <c r="S280" s="47">
        <f ca="1" t="shared" si="64"/>
        <v>6.41572</v>
      </c>
      <c r="T280" s="47">
        <f ca="1">MIN(1+($O280*1.4+产出预期!AC296*60)/OFFSET($J$14,MATCH(T$3,$T$3:$W$3,0),0),18)</f>
        <v>18</v>
      </c>
      <c r="U280" s="47">
        <f ca="1">MIN(($O280*1.4+产出预期!$AC296*60)/OFFSET($J$14,MATCH(U$3,$T$3:$W$3,0),0),3)</f>
        <v>3</v>
      </c>
      <c r="V280" s="47">
        <f ca="1">MIN(($O280*1.4+产出预期!$AC296*60)/OFFSET($J$14,MATCH(V$3,$T$3:$W$3,0),0),18)</f>
        <v>2.067424</v>
      </c>
      <c r="W280" s="47">
        <f ca="1">MIN(($O280*1.4+产出预期!$AC296*60)/OFFSET($J$14,MATCH(W$3,$T$3:$W$3,0),0),18)</f>
        <v>0.516856</v>
      </c>
      <c r="X280" s="47">
        <f ca="1" t="shared" si="65"/>
        <v>1.3849432</v>
      </c>
      <c r="Y280" s="47">
        <f ca="1" t="shared" si="66"/>
        <v>5.55991731349224</v>
      </c>
      <c r="Z280" s="47">
        <f ca="1" t="shared" si="67"/>
        <v>1.953125</v>
      </c>
      <c r="AA280" s="47">
        <f ca="1" t="shared" si="68"/>
        <v>1.77532324357693</v>
      </c>
      <c r="AB280" s="47">
        <f ca="1" t="shared" si="69"/>
        <v>1.09881682860173</v>
      </c>
      <c r="AC280" s="48">
        <f ca="1" t="shared" si="70"/>
        <v>29.3381736898699</v>
      </c>
      <c r="AD280" s="47">
        <f t="shared" si="63"/>
        <v>7477</v>
      </c>
      <c r="AE280" s="47">
        <f t="shared" si="71"/>
        <v>1869.25</v>
      </c>
      <c r="AF280" s="47">
        <f t="shared" si="72"/>
        <v>467.3125</v>
      </c>
      <c r="AG280" s="47">
        <f t="shared" si="73"/>
        <v>116.828125</v>
      </c>
      <c r="AH280" s="47">
        <f t="shared" si="74"/>
        <v>29.20703125</v>
      </c>
      <c r="AI280" s="47">
        <f t="shared" si="75"/>
        <v>7.3017578125</v>
      </c>
      <c r="AJ280">
        <f ca="1">MIN(INT(SUM(AD280:$AI280)/OFFSET($AV$2,MATCH(AD$3,$AE$3:$AI$3,0),0)),6-SUM(AK280:$AO280))</f>
        <v>0</v>
      </c>
      <c r="AK280">
        <f ca="1">MIN(INT(SUM(AE280:$AI280)/OFFSET($AV$2,MATCH(AE$3,$AE$3:$AI$3,0),0)),6-SUM(AL280:$AO280))</f>
        <v>0</v>
      </c>
      <c r="AL280">
        <f ca="1">MIN(INT(SUM(AF280:$AI280)/OFFSET($AV$2,MATCH(AF$3,$AE$3:$AI$3,0),0)),6-SUM(AM280:$AO280))</f>
        <v>0</v>
      </c>
      <c r="AM280">
        <f ca="1">MIN(INT((SUM(AG280:$AI280)+N280*2/6)/OFFSET($AV$2,MATCH(AG$3,$AE$3:$AI$3,0),0)),6-SUM(AN280:$AO280))</f>
        <v>0</v>
      </c>
      <c r="AN280">
        <f ca="1">MIN(INT(SUM(AH280:$AI280)/OFFSET($AV$2,MATCH(AH$3,$AE$3:$AI$3,0),0)),6-SUM(AO280:$AO280))</f>
        <v>4</v>
      </c>
      <c r="AO280">
        <f ca="1">INT(SUM(AI279:$AI280)/OFFSET($AV$2,MATCH(AI$3,$AE$3:$AI$3,0),0))</f>
        <v>2</v>
      </c>
      <c r="AP280" cm="1">
        <f ca="1" t="array" ref="AP280">SUMPRODUCT(AJ280:AO280,TRANSPOSE($AS$3:$AS$8))</f>
        <v>2.6</v>
      </c>
    </row>
    <row r="281" ht="16.5" spans="14:42">
      <c r="N281" s="2">
        <v>278</v>
      </c>
      <c r="O281" s="45">
        <f>产出预期!AN297</f>
        <v>30016</v>
      </c>
      <c r="P281" s="2">
        <f ca="1">练度预期!M280</f>
        <v>30</v>
      </c>
      <c r="Q281" s="2" t="str">
        <f ca="1" t="shared" si="76"/>
        <v>橙</v>
      </c>
      <c r="R281" s="46">
        <f ca="1" t="shared" si="77"/>
        <v>0</v>
      </c>
      <c r="S281" s="47">
        <f ca="1" t="shared" si="64"/>
        <v>6.40744</v>
      </c>
      <c r="T281" s="47">
        <f ca="1">MIN(1+($O281*1.4+产出预期!AC297*60)/OFFSET($J$14,MATCH(T$3,$T$3:$W$3,0),0),18)</f>
        <v>18</v>
      </c>
      <c r="U281" s="47">
        <f ca="1">MIN(($O281*1.4+产出预期!$AC297*60)/OFFSET($J$14,MATCH(U$3,$T$3:$W$3,0),0),3)</f>
        <v>3</v>
      </c>
      <c r="V281" s="47">
        <f ca="1">MIN(($O281*1.4+产出预期!$AC297*60)/OFFSET($J$14,MATCH(V$3,$T$3:$W$3,0),0),18)</f>
        <v>2.074048</v>
      </c>
      <c r="W281" s="47">
        <f ca="1">MIN(($O281*1.4+产出预期!$AC297*60)/OFFSET($J$14,MATCH(W$3,$T$3:$W$3,0),0),18)</f>
        <v>0.518512</v>
      </c>
      <c r="X281" s="47">
        <f ca="1" t="shared" si="65"/>
        <v>1.3844464</v>
      </c>
      <c r="Y281" s="47">
        <f ca="1" t="shared" si="66"/>
        <v>5.55991731349224</v>
      </c>
      <c r="Z281" s="47">
        <f ca="1" t="shared" si="67"/>
        <v>1.953125</v>
      </c>
      <c r="AA281" s="47">
        <f ca="1" t="shared" si="68"/>
        <v>1.7785911248878</v>
      </c>
      <c r="AB281" s="47">
        <f ca="1" t="shared" si="69"/>
        <v>1.09914863840939</v>
      </c>
      <c r="AC281" s="48">
        <f ca="1" t="shared" si="70"/>
        <v>29.3905061476626</v>
      </c>
      <c r="AD281" s="47">
        <f t="shared" si="63"/>
        <v>7504</v>
      </c>
      <c r="AE281" s="47">
        <f t="shared" si="71"/>
        <v>1876</v>
      </c>
      <c r="AF281" s="47">
        <f t="shared" si="72"/>
        <v>469</v>
      </c>
      <c r="AG281" s="47">
        <f t="shared" si="73"/>
        <v>117.25</v>
      </c>
      <c r="AH281" s="47">
        <f t="shared" si="74"/>
        <v>29.3125</v>
      </c>
      <c r="AI281" s="47">
        <f t="shared" si="75"/>
        <v>7.328125</v>
      </c>
      <c r="AJ281">
        <f ca="1">MIN(INT(SUM(AD281:$AI281)/OFFSET($AV$2,MATCH(AD$3,$AE$3:$AI$3,0),0)),6-SUM(AK281:$AO281))</f>
        <v>0</v>
      </c>
      <c r="AK281">
        <f ca="1">MIN(INT(SUM(AE281:$AI281)/OFFSET($AV$2,MATCH(AE$3,$AE$3:$AI$3,0),0)),6-SUM(AL281:$AO281))</f>
        <v>0</v>
      </c>
      <c r="AL281">
        <f ca="1">MIN(INT(SUM(AF281:$AI281)/OFFSET($AV$2,MATCH(AF$3,$AE$3:$AI$3,0),0)),6-SUM(AM281:$AO281))</f>
        <v>0</v>
      </c>
      <c r="AM281">
        <f ca="1">MIN(INT((SUM(AG281:$AI281)+N281*2/6)/OFFSET($AV$2,MATCH(AG$3,$AE$3:$AI$3,0),0)),6-SUM(AN281:$AO281))</f>
        <v>0</v>
      </c>
      <c r="AN281">
        <f ca="1">MIN(INT(SUM(AH281:$AI281)/OFFSET($AV$2,MATCH(AH$3,$AE$3:$AI$3,0),0)),6-SUM(AO281:$AO281))</f>
        <v>4</v>
      </c>
      <c r="AO281">
        <f ca="1">INT(SUM(AI280:$AI281)/OFFSET($AV$2,MATCH(AI$3,$AE$3:$AI$3,0),0))</f>
        <v>2</v>
      </c>
      <c r="AP281" cm="1">
        <f ca="1" t="array" ref="AP281">SUMPRODUCT(AJ281:AO281,TRANSPOSE($AS$3:$AS$8))</f>
        <v>2.6</v>
      </c>
    </row>
    <row r="282" ht="16.5" spans="14:42">
      <c r="N282" s="2">
        <v>279</v>
      </c>
      <c r="O282" s="45">
        <f>产出预期!AN298</f>
        <v>30124</v>
      </c>
      <c r="P282" s="2">
        <f ca="1">练度预期!M281</f>
        <v>30</v>
      </c>
      <c r="Q282" s="2" t="str">
        <f ca="1" t="shared" si="76"/>
        <v>橙</v>
      </c>
      <c r="R282" s="46">
        <f ca="1" t="shared" si="77"/>
        <v>0</v>
      </c>
      <c r="S282" s="47">
        <f ca="1" t="shared" si="64"/>
        <v>6.39766</v>
      </c>
      <c r="T282" s="47">
        <f ca="1">MIN(1+($O282*1.4+产出预期!AC298*60)/OFFSET($J$14,MATCH(T$3,$T$3:$W$3,0),0),18)</f>
        <v>18</v>
      </c>
      <c r="U282" s="47">
        <f ca="1">MIN(($O282*1.4+产出预期!$AC298*60)/OFFSET($J$14,MATCH(U$3,$T$3:$W$3,0),0),3)</f>
        <v>3</v>
      </c>
      <c r="V282" s="47">
        <f ca="1">MIN(($O282*1.4+产出预期!$AC298*60)/OFFSET($J$14,MATCH(V$3,$T$3:$W$3,0),0),18)</f>
        <v>2.081872</v>
      </c>
      <c r="W282" s="47">
        <f ca="1">MIN(($O282*1.4+产出预期!$AC298*60)/OFFSET($J$14,MATCH(W$3,$T$3:$W$3,0),0),18)</f>
        <v>0.520468</v>
      </c>
      <c r="X282" s="47">
        <f ca="1" t="shared" si="65"/>
        <v>1.3838596</v>
      </c>
      <c r="Y282" s="47">
        <f ca="1" t="shared" si="66"/>
        <v>5.55991731349224</v>
      </c>
      <c r="Z282" s="47">
        <f ca="1" t="shared" si="67"/>
        <v>1.953125</v>
      </c>
      <c r="AA282" s="47">
        <f ca="1" t="shared" si="68"/>
        <v>1.78245876310423</v>
      </c>
      <c r="AB282" s="47">
        <f ca="1" t="shared" si="69"/>
        <v>1.09954068775995</v>
      </c>
      <c r="AC282" s="48">
        <f ca="1" t="shared" si="70"/>
        <v>29.4524344977712</v>
      </c>
      <c r="AD282" s="47">
        <f t="shared" si="63"/>
        <v>7531</v>
      </c>
      <c r="AE282" s="47">
        <f t="shared" si="71"/>
        <v>1882.75</v>
      </c>
      <c r="AF282" s="47">
        <f t="shared" si="72"/>
        <v>470.6875</v>
      </c>
      <c r="AG282" s="47">
        <f t="shared" si="73"/>
        <v>117.671875</v>
      </c>
      <c r="AH282" s="47">
        <f t="shared" si="74"/>
        <v>29.41796875</v>
      </c>
      <c r="AI282" s="47">
        <f t="shared" si="75"/>
        <v>7.3544921875</v>
      </c>
      <c r="AJ282">
        <f ca="1">MIN(INT(SUM(AD282:$AI282)/OFFSET($AV$2,MATCH(AD$3,$AE$3:$AI$3,0),0)),6-SUM(AK282:$AO282))</f>
        <v>0</v>
      </c>
      <c r="AK282">
        <f ca="1">MIN(INT(SUM(AE282:$AI282)/OFFSET($AV$2,MATCH(AE$3,$AE$3:$AI$3,0),0)),6-SUM(AL282:$AO282))</f>
        <v>0</v>
      </c>
      <c r="AL282">
        <f ca="1">MIN(INT(SUM(AF282:$AI282)/OFFSET($AV$2,MATCH(AF$3,$AE$3:$AI$3,0),0)),6-SUM(AM282:$AO282))</f>
        <v>0</v>
      </c>
      <c r="AM282">
        <f ca="1">MIN(INT((SUM(AG282:$AI282)+N282*2/6)/OFFSET($AV$2,MATCH(AG$3,$AE$3:$AI$3,0),0)),6-SUM(AN282:$AO282))</f>
        <v>0</v>
      </c>
      <c r="AN282">
        <f ca="1">MIN(INT(SUM(AH282:$AI282)/OFFSET($AV$2,MATCH(AH$3,$AE$3:$AI$3,0),0)),6-SUM(AO282:$AO282))</f>
        <v>4</v>
      </c>
      <c r="AO282">
        <f ca="1">INT(SUM(AI281:$AI282)/OFFSET($AV$2,MATCH(AI$3,$AE$3:$AI$3,0),0))</f>
        <v>2</v>
      </c>
      <c r="AP282" cm="1">
        <f ca="1" t="array" ref="AP282">SUMPRODUCT(AJ282:AO282,TRANSPOSE($AS$3:$AS$8))</f>
        <v>2.6</v>
      </c>
    </row>
    <row r="283" ht="16.5" spans="14:42">
      <c r="N283" s="2">
        <v>280</v>
      </c>
      <c r="O283" s="45">
        <f>产出预期!AN299</f>
        <v>30237</v>
      </c>
      <c r="P283" s="2">
        <f ca="1">练度预期!M282</f>
        <v>30</v>
      </c>
      <c r="Q283" s="2" t="str">
        <f ca="1" t="shared" si="76"/>
        <v>橙</v>
      </c>
      <c r="R283" s="46">
        <f ca="1" t="shared" si="77"/>
        <v>0</v>
      </c>
      <c r="S283" s="47">
        <f ca="1" t="shared" si="64"/>
        <v>6.389205</v>
      </c>
      <c r="T283" s="47">
        <f ca="1">MIN(1+($O283*1.4+产出预期!AC299*60)/OFFSET($J$14,MATCH(T$3,$T$3:$W$3,0),0),18)</f>
        <v>18</v>
      </c>
      <c r="U283" s="47">
        <f ca="1">MIN(($O283*1.4+产出预期!$AC299*60)/OFFSET($J$14,MATCH(U$3,$T$3:$W$3,0),0),3)</f>
        <v>3</v>
      </c>
      <c r="V283" s="47">
        <f ca="1">MIN(($O283*1.4+产出预期!$AC299*60)/OFFSET($J$14,MATCH(V$3,$T$3:$W$3,0),0),18)</f>
        <v>2.088636</v>
      </c>
      <c r="W283" s="47">
        <f ca="1">MIN(($O283*1.4+产出预期!$AC299*60)/OFFSET($J$14,MATCH(W$3,$T$3:$W$3,0),0),18)</f>
        <v>0.522159</v>
      </c>
      <c r="X283" s="47">
        <f ca="1" t="shared" si="65"/>
        <v>1.3833523</v>
      </c>
      <c r="Y283" s="47">
        <f ca="1" t="shared" si="66"/>
        <v>5.55991731349224</v>
      </c>
      <c r="Z283" s="47">
        <f ca="1" t="shared" si="67"/>
        <v>1.953125</v>
      </c>
      <c r="AA283" s="47">
        <f ca="1" t="shared" si="68"/>
        <v>1.78580918921596</v>
      </c>
      <c r="AB283" s="47">
        <f ca="1" t="shared" si="69"/>
        <v>1.09987973474152</v>
      </c>
      <c r="AC283" s="48">
        <f ca="1" t="shared" si="70"/>
        <v>29.5060736418937</v>
      </c>
      <c r="AD283" s="47">
        <f t="shared" si="63"/>
        <v>7559.25</v>
      </c>
      <c r="AE283" s="47">
        <f t="shared" si="71"/>
        <v>1889.8125</v>
      </c>
      <c r="AF283" s="47">
        <f t="shared" si="72"/>
        <v>472.453125</v>
      </c>
      <c r="AG283" s="47">
        <f t="shared" si="73"/>
        <v>118.11328125</v>
      </c>
      <c r="AH283" s="47">
        <f t="shared" si="74"/>
        <v>29.5283203125</v>
      </c>
      <c r="AI283" s="47">
        <f t="shared" si="75"/>
        <v>7.382080078125</v>
      </c>
      <c r="AJ283">
        <f ca="1">MIN(INT(SUM(AD283:$AI283)/OFFSET($AV$2,MATCH(AD$3,$AE$3:$AI$3,0),0)),6-SUM(AK283:$AO283))</f>
        <v>0</v>
      </c>
      <c r="AK283">
        <f ca="1">MIN(INT(SUM(AE283:$AI283)/OFFSET($AV$2,MATCH(AE$3,$AE$3:$AI$3,0),0)),6-SUM(AL283:$AO283))</f>
        <v>0</v>
      </c>
      <c r="AL283">
        <f ca="1">MIN(INT(SUM(AF283:$AI283)/OFFSET($AV$2,MATCH(AF$3,$AE$3:$AI$3,0),0)),6-SUM(AM283:$AO283))</f>
        <v>0</v>
      </c>
      <c r="AM283">
        <f ca="1">MIN(INT((SUM(AG283:$AI283)+N283*2/6)/OFFSET($AV$2,MATCH(AG$3,$AE$3:$AI$3,0),0)),6-SUM(AN283:$AO283))</f>
        <v>0</v>
      </c>
      <c r="AN283">
        <f ca="1">MIN(INT(SUM(AH283:$AI283)/OFFSET($AV$2,MATCH(AH$3,$AE$3:$AI$3,0),0)),6-SUM(AO283:$AO283))</f>
        <v>4</v>
      </c>
      <c r="AO283">
        <f ca="1">INT(SUM(AI282:$AI283)/OFFSET($AV$2,MATCH(AI$3,$AE$3:$AI$3,0),0))</f>
        <v>2</v>
      </c>
      <c r="AP283" cm="1">
        <f ca="1" t="array" ref="AP283">SUMPRODUCT(AJ283:AO283,TRANSPOSE($AS$3:$AS$8))</f>
        <v>2.6</v>
      </c>
    </row>
    <row r="284" ht="16.5" spans="14:42">
      <c r="N284" s="2">
        <v>281</v>
      </c>
      <c r="O284" s="45">
        <f>产出预期!AN300</f>
        <v>30345</v>
      </c>
      <c r="P284" s="2">
        <f ca="1">练度预期!M283</f>
        <v>30</v>
      </c>
      <c r="Q284" s="2" t="str">
        <f ca="1" t="shared" si="76"/>
        <v>橙</v>
      </c>
      <c r="R284" s="46">
        <f ca="1" t="shared" si="77"/>
        <v>0</v>
      </c>
      <c r="S284" s="47">
        <f ca="1" t="shared" si="64"/>
        <v>6.379425</v>
      </c>
      <c r="T284" s="47">
        <f ca="1">MIN(1+($O284*1.4+产出预期!AC300*60)/OFFSET($J$14,MATCH(T$3,$T$3:$W$3,0),0),18)</f>
        <v>18</v>
      </c>
      <c r="U284" s="47">
        <f ca="1">MIN(($O284*1.4+产出预期!$AC300*60)/OFFSET($J$14,MATCH(U$3,$T$3:$W$3,0),0),3)</f>
        <v>3</v>
      </c>
      <c r="V284" s="47">
        <f ca="1">MIN(($O284*1.4+产出预期!$AC300*60)/OFFSET($J$14,MATCH(V$3,$T$3:$W$3,0),0),18)</f>
        <v>2.09646</v>
      </c>
      <c r="W284" s="47">
        <f ca="1">MIN(($O284*1.4+产出预期!$AC300*60)/OFFSET($J$14,MATCH(W$3,$T$3:$W$3,0),0),18)</f>
        <v>0.524115</v>
      </c>
      <c r="X284" s="47">
        <f ca="1" t="shared" si="65"/>
        <v>1.3827655</v>
      </c>
      <c r="Y284" s="47">
        <f ca="1" t="shared" si="66"/>
        <v>5.55991731349224</v>
      </c>
      <c r="Z284" s="47">
        <f ca="1" t="shared" si="67"/>
        <v>1.953125</v>
      </c>
      <c r="AA284" s="47">
        <f ca="1" t="shared" si="68"/>
        <v>1.78969252348589</v>
      </c>
      <c r="AB284" s="47">
        <f ca="1" t="shared" si="69"/>
        <v>1.10027204486285</v>
      </c>
      <c r="AC284" s="48">
        <f ca="1" t="shared" si="70"/>
        <v>29.5682355864952</v>
      </c>
      <c r="AD284" s="47">
        <f t="shared" si="63"/>
        <v>7586.25</v>
      </c>
      <c r="AE284" s="47">
        <f t="shared" si="71"/>
        <v>1896.5625</v>
      </c>
      <c r="AF284" s="47">
        <f t="shared" si="72"/>
        <v>474.140625</v>
      </c>
      <c r="AG284" s="47">
        <f t="shared" si="73"/>
        <v>118.53515625</v>
      </c>
      <c r="AH284" s="47">
        <f t="shared" si="74"/>
        <v>29.6337890625</v>
      </c>
      <c r="AI284" s="47">
        <f t="shared" si="75"/>
        <v>7.408447265625</v>
      </c>
      <c r="AJ284">
        <f ca="1">MIN(INT(SUM(AD284:$AI284)/OFFSET($AV$2,MATCH(AD$3,$AE$3:$AI$3,0),0)),6-SUM(AK284:$AO284))</f>
        <v>0</v>
      </c>
      <c r="AK284">
        <f ca="1">MIN(INT(SUM(AE284:$AI284)/OFFSET($AV$2,MATCH(AE$3,$AE$3:$AI$3,0),0)),6-SUM(AL284:$AO284))</f>
        <v>0</v>
      </c>
      <c r="AL284">
        <f ca="1">MIN(INT(SUM(AF284:$AI284)/OFFSET($AV$2,MATCH(AF$3,$AE$3:$AI$3,0),0)),6-SUM(AM284:$AO284))</f>
        <v>0</v>
      </c>
      <c r="AM284">
        <f ca="1">MIN(INT((SUM(AG284:$AI284)+N284*2/6)/OFFSET($AV$2,MATCH(AG$3,$AE$3:$AI$3,0),0)),6-SUM(AN284:$AO284))</f>
        <v>0</v>
      </c>
      <c r="AN284">
        <f ca="1">MIN(INT(SUM(AH284:$AI284)/OFFSET($AV$2,MATCH(AH$3,$AE$3:$AI$3,0),0)),6-SUM(AO284:$AO284))</f>
        <v>4</v>
      </c>
      <c r="AO284">
        <f ca="1">INT(SUM(AI283:$AI284)/OFFSET($AV$2,MATCH(AI$3,$AE$3:$AI$3,0),0))</f>
        <v>2</v>
      </c>
      <c r="AP284" cm="1">
        <f ca="1" t="array" ref="AP284">SUMPRODUCT(AJ284:AO284,TRANSPOSE($AS$3:$AS$8))</f>
        <v>2.6</v>
      </c>
    </row>
    <row r="285" ht="16.5" spans="14:42">
      <c r="N285" s="2">
        <v>282</v>
      </c>
      <c r="O285" s="45">
        <f>产出预期!AN301</f>
        <v>30458</v>
      </c>
      <c r="P285" s="2">
        <f ca="1">练度预期!M284</f>
        <v>30</v>
      </c>
      <c r="Q285" s="2" t="str">
        <f ca="1" t="shared" si="76"/>
        <v>橙</v>
      </c>
      <c r="R285" s="46">
        <f ca="1" t="shared" si="77"/>
        <v>0</v>
      </c>
      <c r="S285" s="47">
        <f ca="1" t="shared" si="64"/>
        <v>6.37097</v>
      </c>
      <c r="T285" s="47">
        <f ca="1">MIN(1+($O285*1.4+产出预期!AC301*60)/OFFSET($J$14,MATCH(T$3,$T$3:$W$3,0),0),18)</f>
        <v>18</v>
      </c>
      <c r="U285" s="47">
        <f ca="1">MIN(($O285*1.4+产出预期!$AC301*60)/OFFSET($J$14,MATCH(U$3,$T$3:$W$3,0),0),3)</f>
        <v>3</v>
      </c>
      <c r="V285" s="47">
        <f ca="1">MIN(($O285*1.4+产出预期!$AC301*60)/OFFSET($J$14,MATCH(V$3,$T$3:$W$3,0),0),18)</f>
        <v>2.103224</v>
      </c>
      <c r="W285" s="47">
        <f ca="1">MIN(($O285*1.4+产出预期!$AC301*60)/OFFSET($J$14,MATCH(W$3,$T$3:$W$3,0),0),18)</f>
        <v>0.525806</v>
      </c>
      <c r="X285" s="47">
        <f ca="1" t="shared" si="65"/>
        <v>1.3822582</v>
      </c>
      <c r="Y285" s="47">
        <f ca="1" t="shared" si="66"/>
        <v>5.55991731349224</v>
      </c>
      <c r="Z285" s="47">
        <f ca="1" t="shared" si="67"/>
        <v>1.953125</v>
      </c>
      <c r="AA285" s="47">
        <f ca="1" t="shared" si="68"/>
        <v>1.79305654664692</v>
      </c>
      <c r="AB285" s="47">
        <f ca="1" t="shared" si="69"/>
        <v>1.10061131736078</v>
      </c>
      <c r="AC285" s="48">
        <f ca="1" t="shared" si="70"/>
        <v>29.622077033813</v>
      </c>
      <c r="AD285" s="47">
        <f t="shared" si="63"/>
        <v>7614.5</v>
      </c>
      <c r="AE285" s="47">
        <f t="shared" si="71"/>
        <v>1903.625</v>
      </c>
      <c r="AF285" s="47">
        <f t="shared" si="72"/>
        <v>475.90625</v>
      </c>
      <c r="AG285" s="47">
        <f t="shared" si="73"/>
        <v>118.9765625</v>
      </c>
      <c r="AH285" s="47">
        <f t="shared" si="74"/>
        <v>29.744140625</v>
      </c>
      <c r="AI285" s="47">
        <f t="shared" si="75"/>
        <v>7.43603515625</v>
      </c>
      <c r="AJ285">
        <f ca="1">MIN(INT(SUM(AD285:$AI285)/OFFSET($AV$2,MATCH(AD$3,$AE$3:$AI$3,0),0)),6-SUM(AK285:$AO285))</f>
        <v>0</v>
      </c>
      <c r="AK285">
        <f ca="1">MIN(INT(SUM(AE285:$AI285)/OFFSET($AV$2,MATCH(AE$3,$AE$3:$AI$3,0),0)),6-SUM(AL285:$AO285))</f>
        <v>0</v>
      </c>
      <c r="AL285">
        <f ca="1">MIN(INT(SUM(AF285:$AI285)/OFFSET($AV$2,MATCH(AF$3,$AE$3:$AI$3,0),0)),6-SUM(AM285:$AO285))</f>
        <v>0</v>
      </c>
      <c r="AM285">
        <f ca="1">MIN(INT((SUM(AG285:$AI285)+N285*2/6)/OFFSET($AV$2,MATCH(AG$3,$AE$3:$AI$3,0),0)),6-SUM(AN285:$AO285))</f>
        <v>0</v>
      </c>
      <c r="AN285">
        <f ca="1">MIN(INT(SUM(AH285:$AI285)/OFFSET($AV$2,MATCH(AH$3,$AE$3:$AI$3,0),0)),6-SUM(AO285:$AO285))</f>
        <v>4</v>
      </c>
      <c r="AO285">
        <f ca="1">INT(SUM(AI284:$AI285)/OFFSET($AV$2,MATCH(AI$3,$AE$3:$AI$3,0),0))</f>
        <v>2</v>
      </c>
      <c r="AP285" cm="1">
        <f ca="1" t="array" ref="AP285">SUMPRODUCT(AJ285:AO285,TRANSPOSE($AS$3:$AS$8))</f>
        <v>2.6</v>
      </c>
    </row>
    <row r="286" ht="16.5" spans="14:42">
      <c r="N286" s="2">
        <v>283</v>
      </c>
      <c r="O286" s="45">
        <f>产出预期!AN302</f>
        <v>30538</v>
      </c>
      <c r="P286" s="2">
        <f ca="1">练度预期!M285</f>
        <v>30</v>
      </c>
      <c r="Q286" s="2" t="str">
        <f ca="1" t="shared" si="76"/>
        <v>橙</v>
      </c>
      <c r="R286" s="46">
        <f ca="1" t="shared" si="77"/>
        <v>0</v>
      </c>
      <c r="S286" s="47">
        <f ca="1" t="shared" si="64"/>
        <v>6.36217</v>
      </c>
      <c r="T286" s="47">
        <f ca="1">MIN(1+($O286*1.4+产出预期!AC302*60)/OFFSET($J$14,MATCH(T$3,$T$3:$W$3,0),0),18)</f>
        <v>18</v>
      </c>
      <c r="U286" s="47">
        <f ca="1">MIN(($O286*1.4+产出预期!$AC302*60)/OFFSET($J$14,MATCH(U$3,$T$3:$W$3,0),0),3)</f>
        <v>3</v>
      </c>
      <c r="V286" s="47">
        <f ca="1">MIN(($O286*1.4+产出预期!$AC302*60)/OFFSET($J$14,MATCH(V$3,$T$3:$W$3,0),0),18)</f>
        <v>2.110264</v>
      </c>
      <c r="W286" s="47">
        <f ca="1">MIN(($O286*1.4+产出预期!$AC302*60)/OFFSET($J$14,MATCH(W$3,$T$3:$W$3,0),0),18)</f>
        <v>0.527566</v>
      </c>
      <c r="X286" s="47">
        <f ca="1" t="shared" si="65"/>
        <v>1.3817302</v>
      </c>
      <c r="Y286" s="47">
        <f ca="1" t="shared" si="66"/>
        <v>5.55991731349224</v>
      </c>
      <c r="Z286" s="47">
        <f ca="1" t="shared" si="67"/>
        <v>1.953125</v>
      </c>
      <c r="AA286" s="47">
        <f ca="1" t="shared" si="68"/>
        <v>1.79656455197262</v>
      </c>
      <c r="AB286" s="47">
        <f ca="1" t="shared" si="69"/>
        <v>1.1009645447277</v>
      </c>
      <c r="AC286" s="48">
        <f ca="1" t="shared" si="70"/>
        <v>29.6782153218851</v>
      </c>
      <c r="AD286" s="47">
        <f t="shared" si="63"/>
        <v>7634.5</v>
      </c>
      <c r="AE286" s="47">
        <f t="shared" si="71"/>
        <v>1908.625</v>
      </c>
      <c r="AF286" s="47">
        <f t="shared" si="72"/>
        <v>477.15625</v>
      </c>
      <c r="AG286" s="47">
        <f t="shared" si="73"/>
        <v>119.2890625</v>
      </c>
      <c r="AH286" s="47">
        <f t="shared" si="74"/>
        <v>29.822265625</v>
      </c>
      <c r="AI286" s="47">
        <f t="shared" si="75"/>
        <v>7.45556640625</v>
      </c>
      <c r="AJ286">
        <f ca="1">MIN(INT(SUM(AD286:$AI286)/OFFSET($AV$2,MATCH(AD$3,$AE$3:$AI$3,0),0)),6-SUM(AK286:$AO286))</f>
        <v>0</v>
      </c>
      <c r="AK286">
        <f ca="1">MIN(INT(SUM(AE286:$AI286)/OFFSET($AV$2,MATCH(AE$3,$AE$3:$AI$3,0),0)),6-SUM(AL286:$AO286))</f>
        <v>0</v>
      </c>
      <c r="AL286">
        <f ca="1">MIN(INT(SUM(AF286:$AI286)/OFFSET($AV$2,MATCH(AF$3,$AE$3:$AI$3,0),0)),6-SUM(AM286:$AO286))</f>
        <v>0</v>
      </c>
      <c r="AM286">
        <f ca="1">MIN(INT((SUM(AG286:$AI286)+N286*2/6)/OFFSET($AV$2,MATCH(AG$3,$AE$3:$AI$3,0),0)),6-SUM(AN286:$AO286))</f>
        <v>0</v>
      </c>
      <c r="AN286">
        <f ca="1">MIN(INT(SUM(AH286:$AI286)/OFFSET($AV$2,MATCH(AH$3,$AE$3:$AI$3,0),0)),6-SUM(AO286:$AO286))</f>
        <v>4</v>
      </c>
      <c r="AO286">
        <f ca="1">INT(SUM(AI285:$AI286)/OFFSET($AV$2,MATCH(AI$3,$AE$3:$AI$3,0),0))</f>
        <v>2</v>
      </c>
      <c r="AP286" cm="1">
        <f ca="1" t="array" ref="AP286">SUMPRODUCT(AJ286:AO286,TRANSPOSE($AS$3:$AS$8))</f>
        <v>2.6</v>
      </c>
    </row>
    <row r="287" ht="16.5" spans="14:42">
      <c r="N287" s="2">
        <v>284</v>
      </c>
      <c r="O287" s="45">
        <f>产出预期!AN303</f>
        <v>30651</v>
      </c>
      <c r="P287" s="2">
        <f ca="1">练度预期!M286</f>
        <v>30</v>
      </c>
      <c r="Q287" s="2" t="str">
        <f ca="1" t="shared" si="76"/>
        <v>橙</v>
      </c>
      <c r="R287" s="46">
        <f ca="1" t="shared" si="77"/>
        <v>0</v>
      </c>
      <c r="S287" s="47">
        <f ca="1" t="shared" si="64"/>
        <v>6.353715</v>
      </c>
      <c r="T287" s="47">
        <f ca="1">MIN(1+($O287*1.4+产出预期!AC303*60)/OFFSET($J$14,MATCH(T$3,$T$3:$W$3,0),0),18)</f>
        <v>18</v>
      </c>
      <c r="U287" s="47">
        <f ca="1">MIN(($O287*1.4+产出预期!$AC303*60)/OFFSET($J$14,MATCH(U$3,$T$3:$W$3,0),0),3)</f>
        <v>3</v>
      </c>
      <c r="V287" s="47">
        <f ca="1">MIN(($O287*1.4+产出预期!$AC303*60)/OFFSET($J$14,MATCH(V$3,$T$3:$W$3,0),0),18)</f>
        <v>2.117028</v>
      </c>
      <c r="W287" s="47">
        <f ca="1">MIN(($O287*1.4+产出预期!$AC303*60)/OFFSET($J$14,MATCH(W$3,$T$3:$W$3,0),0),18)</f>
        <v>0.529257</v>
      </c>
      <c r="X287" s="47">
        <f ca="1" t="shared" si="65"/>
        <v>1.3812229</v>
      </c>
      <c r="Y287" s="47">
        <f ca="1" t="shared" si="66"/>
        <v>5.55991731349224</v>
      </c>
      <c r="Z287" s="47">
        <f ca="1" t="shared" si="67"/>
        <v>1.953125</v>
      </c>
      <c r="AA287" s="47">
        <f ca="1" t="shared" si="68"/>
        <v>1.79994149224801</v>
      </c>
      <c r="AB287" s="47">
        <f ca="1" t="shared" si="69"/>
        <v>1.10130403076024</v>
      </c>
      <c r="AC287" s="48">
        <f ca="1" t="shared" si="70"/>
        <v>29.7322488576038</v>
      </c>
      <c r="AD287" s="47">
        <f t="shared" si="63"/>
        <v>7662.75</v>
      </c>
      <c r="AE287" s="47">
        <f t="shared" si="71"/>
        <v>1915.6875</v>
      </c>
      <c r="AF287" s="47">
        <f t="shared" si="72"/>
        <v>478.921875</v>
      </c>
      <c r="AG287" s="47">
        <f t="shared" si="73"/>
        <v>119.73046875</v>
      </c>
      <c r="AH287" s="47">
        <f t="shared" si="74"/>
        <v>29.9326171875</v>
      </c>
      <c r="AI287" s="47">
        <f t="shared" si="75"/>
        <v>7.483154296875</v>
      </c>
      <c r="AJ287">
        <f ca="1">MIN(INT(SUM(AD287:$AI287)/OFFSET($AV$2,MATCH(AD$3,$AE$3:$AI$3,0),0)),6-SUM(AK287:$AO287))</f>
        <v>0</v>
      </c>
      <c r="AK287">
        <f ca="1">MIN(INT(SUM(AE287:$AI287)/OFFSET($AV$2,MATCH(AE$3,$AE$3:$AI$3,0),0)),6-SUM(AL287:$AO287))</f>
        <v>0</v>
      </c>
      <c r="AL287">
        <f ca="1">MIN(INT(SUM(AF287:$AI287)/OFFSET($AV$2,MATCH(AF$3,$AE$3:$AI$3,0),0)),6-SUM(AM287:$AO287))</f>
        <v>0</v>
      </c>
      <c r="AM287">
        <f ca="1">MIN(INT((SUM(AG287:$AI287)+N287*2/6)/OFFSET($AV$2,MATCH(AG$3,$AE$3:$AI$3,0),0)),6-SUM(AN287:$AO287))</f>
        <v>0</v>
      </c>
      <c r="AN287">
        <f ca="1">MIN(INT(SUM(AH287:$AI287)/OFFSET($AV$2,MATCH(AH$3,$AE$3:$AI$3,0),0)),6-SUM(AO287:$AO287))</f>
        <v>4</v>
      </c>
      <c r="AO287">
        <f ca="1">INT(SUM(AI286:$AI287)/OFFSET($AV$2,MATCH(AI$3,$AE$3:$AI$3,0),0))</f>
        <v>2</v>
      </c>
      <c r="AP287" cm="1">
        <f ca="1" t="array" ref="AP287">SUMPRODUCT(AJ287:AO287,TRANSPOSE($AS$3:$AS$8))</f>
        <v>2.6</v>
      </c>
    </row>
    <row r="288" ht="16.5" spans="14:42">
      <c r="N288" s="2">
        <v>285</v>
      </c>
      <c r="O288" s="45">
        <f>产出预期!AN304</f>
        <v>30759</v>
      </c>
      <c r="P288" s="2">
        <f ca="1">练度预期!M287</f>
        <v>30</v>
      </c>
      <c r="Q288" s="2" t="str">
        <f ca="1" t="shared" si="76"/>
        <v>红</v>
      </c>
      <c r="R288" s="46">
        <f ca="1" t="shared" si="77"/>
        <v>0.000634564289081485</v>
      </c>
      <c r="S288" s="47">
        <f ca="1" t="shared" si="64"/>
        <v>6.343935</v>
      </c>
      <c r="T288" s="47">
        <f ca="1">MIN(1+($O288*1.4+产出预期!AC304*60)/OFFSET($J$14,MATCH(T$3,$T$3:$W$3,0),0),18)</f>
        <v>18</v>
      </c>
      <c r="U288" s="47">
        <f ca="1">MIN(($O288*1.4+产出预期!$AC304*60)/OFFSET($J$14,MATCH(U$3,$T$3:$W$3,0),0),3)</f>
        <v>3</v>
      </c>
      <c r="V288" s="47">
        <f ca="1">MIN(($O288*1.4+产出预期!$AC304*60)/OFFSET($J$14,MATCH(V$3,$T$3:$W$3,0),0),18)</f>
        <v>2.124852</v>
      </c>
      <c r="W288" s="47">
        <f ca="1">MIN(($O288*1.4+产出预期!$AC304*60)/OFFSET($J$14,MATCH(W$3,$T$3:$W$3,0),0),18)</f>
        <v>0.531213</v>
      </c>
      <c r="X288" s="47">
        <f ca="1" t="shared" si="65"/>
        <v>1.50759531269207</v>
      </c>
      <c r="Y288" s="47">
        <f ca="1" t="shared" si="66"/>
        <v>9.02426796516826</v>
      </c>
      <c r="Z288" s="47">
        <f ca="1" t="shared" si="67"/>
        <v>2.299968</v>
      </c>
      <c r="AA288" s="47">
        <f ca="1" t="shared" si="68"/>
        <v>2.04409204868163</v>
      </c>
      <c r="AB288" s="47">
        <f ca="1" t="shared" si="69"/>
        <v>1.12584825425918</v>
      </c>
      <c r="AC288" s="48">
        <f ca="1" t="shared" si="70"/>
        <v>72.0110034023097</v>
      </c>
      <c r="AD288" s="47">
        <f t="shared" si="63"/>
        <v>7689.75</v>
      </c>
      <c r="AE288" s="47">
        <f t="shared" si="71"/>
        <v>1922.4375</v>
      </c>
      <c r="AF288" s="47">
        <f t="shared" si="72"/>
        <v>480.609375</v>
      </c>
      <c r="AG288" s="47">
        <f t="shared" si="73"/>
        <v>120.15234375</v>
      </c>
      <c r="AH288" s="47">
        <f t="shared" si="74"/>
        <v>30.0380859375</v>
      </c>
      <c r="AI288" s="47">
        <f t="shared" si="75"/>
        <v>7.509521484375</v>
      </c>
      <c r="AJ288">
        <f ca="1">MIN(INT(SUM(AD288:$AI288)/OFFSET($AV$2,MATCH(AD$3,$AE$3:$AI$3,0),0)),6-SUM(AK288:$AO288))</f>
        <v>0</v>
      </c>
      <c r="AK288">
        <f ca="1">MIN(INT(SUM(AE288:$AI288)/OFFSET($AV$2,MATCH(AE$3,$AE$3:$AI$3,0),0)),6-SUM(AL288:$AO288))</f>
        <v>0</v>
      </c>
      <c r="AL288">
        <f ca="1">MIN(INT(SUM(AF288:$AI288)/OFFSET($AV$2,MATCH(AF$3,$AE$3:$AI$3,0),0)),6-SUM(AM288:$AO288))</f>
        <v>0</v>
      </c>
      <c r="AM288">
        <f ca="1">MIN(INT((SUM(AG288:$AI288)+N288*2/6)/OFFSET($AV$2,MATCH(AG$3,$AE$3:$AI$3,0),0)),6-SUM(AN288:$AO288))</f>
        <v>0</v>
      </c>
      <c r="AN288">
        <f ca="1">MIN(INT(SUM(AH288:$AI288)/OFFSET($AV$2,MATCH(AH$3,$AE$3:$AI$3,0),0)),6-SUM(AO288:$AO288))</f>
        <v>4</v>
      </c>
      <c r="AO288">
        <f ca="1">INT(SUM(AI287:$AI288)/OFFSET($AV$2,MATCH(AI$3,$AE$3:$AI$3,0),0))</f>
        <v>2</v>
      </c>
      <c r="AP288" cm="1">
        <f ca="1" t="array" ref="AP288">SUMPRODUCT(AJ288:AO288,TRANSPOSE($AS$3:$AS$8))</f>
        <v>2.6</v>
      </c>
    </row>
    <row r="289" ht="16.5" spans="14:42">
      <c r="N289" s="2">
        <v>286</v>
      </c>
      <c r="O289" s="45">
        <f>产出预期!AN305</f>
        <v>30867</v>
      </c>
      <c r="P289" s="2">
        <f ca="1">练度预期!M288</f>
        <v>30</v>
      </c>
      <c r="Q289" s="2" t="str">
        <f ca="1" t="shared" si="76"/>
        <v>红</v>
      </c>
      <c r="R289" s="46">
        <f ca="1" t="shared" si="77"/>
        <v>0.00238972273761862</v>
      </c>
      <c r="S289" s="47">
        <f ca="1" t="shared" si="64"/>
        <v>6.335655</v>
      </c>
      <c r="T289" s="47">
        <f ca="1">MIN(1+($O289*1.4+产出预期!AC305*60)/OFFSET($J$14,MATCH(T$3,$T$3:$W$3,0),0),18)</f>
        <v>18</v>
      </c>
      <c r="U289" s="47">
        <f ca="1">MIN(($O289*1.4+产出预期!$AC305*60)/OFFSET($J$14,MATCH(U$3,$T$3:$W$3,0),0),3)</f>
        <v>3</v>
      </c>
      <c r="V289" s="47">
        <f ca="1">MIN(($O289*1.4+产出预期!$AC305*60)/OFFSET($J$14,MATCH(V$3,$T$3:$W$3,0),0),18)</f>
        <v>2.131476</v>
      </c>
      <c r="W289" s="47">
        <f ca="1">MIN(($O289*1.4+产出预期!$AC305*60)/OFFSET($J$14,MATCH(W$3,$T$3:$W$3,0),0),18)</f>
        <v>0.532869</v>
      </c>
      <c r="X289" s="47">
        <f ca="1" t="shared" si="65"/>
        <v>1.50715520917622</v>
      </c>
      <c r="Y289" s="47">
        <f ca="1" t="shared" si="66"/>
        <v>9.02426796516826</v>
      </c>
      <c r="Z289" s="47">
        <f ca="1" t="shared" si="67"/>
        <v>2.299968</v>
      </c>
      <c r="AA289" s="47">
        <f ca="1" t="shared" si="68"/>
        <v>2.04865298568409</v>
      </c>
      <c r="AB289" s="47">
        <f ca="1" t="shared" si="69"/>
        <v>1.12626436102339</v>
      </c>
      <c r="AC289" s="48">
        <f ca="1" t="shared" si="70"/>
        <v>72.1772777235571</v>
      </c>
      <c r="AD289" s="47">
        <f t="shared" si="63"/>
        <v>7716.75</v>
      </c>
      <c r="AE289" s="47">
        <f t="shared" si="71"/>
        <v>1929.1875</v>
      </c>
      <c r="AF289" s="47">
        <f t="shared" si="72"/>
        <v>482.296875</v>
      </c>
      <c r="AG289" s="47">
        <f t="shared" si="73"/>
        <v>120.57421875</v>
      </c>
      <c r="AH289" s="47">
        <f t="shared" si="74"/>
        <v>30.1435546875</v>
      </c>
      <c r="AI289" s="47">
        <f t="shared" si="75"/>
        <v>7.535888671875</v>
      </c>
      <c r="AJ289">
        <f ca="1">MIN(INT(SUM(AD289:$AI289)/OFFSET($AV$2,MATCH(AD$3,$AE$3:$AI$3,0),0)),6-SUM(AK289:$AO289))</f>
        <v>0</v>
      </c>
      <c r="AK289">
        <f ca="1">MIN(INT(SUM(AE289:$AI289)/OFFSET($AV$2,MATCH(AE$3,$AE$3:$AI$3,0),0)),6-SUM(AL289:$AO289))</f>
        <v>0</v>
      </c>
      <c r="AL289">
        <f ca="1">MIN(INT(SUM(AF289:$AI289)/OFFSET($AV$2,MATCH(AF$3,$AE$3:$AI$3,0),0)),6-SUM(AM289:$AO289))</f>
        <v>0</v>
      </c>
      <c r="AM289">
        <f ca="1">MIN(INT((SUM(AG289:$AI289)+N289*2/6)/OFFSET($AV$2,MATCH(AG$3,$AE$3:$AI$3,0),0)),6-SUM(AN289:$AO289))</f>
        <v>0</v>
      </c>
      <c r="AN289">
        <f ca="1">MIN(INT(SUM(AH289:$AI289)/OFFSET($AV$2,MATCH(AH$3,$AE$3:$AI$3,0),0)),6-SUM(AO289:$AO289))</f>
        <v>4</v>
      </c>
      <c r="AO289">
        <f ca="1">INT(SUM(AI288:$AI289)/OFFSET($AV$2,MATCH(AI$3,$AE$3:$AI$3,0),0))</f>
        <v>2</v>
      </c>
      <c r="AP289" cm="1">
        <f ca="1" t="array" ref="AP289">SUMPRODUCT(AJ289:AO289,TRANSPOSE($AS$3:$AS$8))</f>
        <v>2.6</v>
      </c>
    </row>
    <row r="290" ht="16.5" spans="14:42">
      <c r="N290" s="2">
        <v>287</v>
      </c>
      <c r="O290" s="45">
        <f>产出预期!AN306</f>
        <v>30980</v>
      </c>
      <c r="P290" s="2">
        <f ca="1">练度预期!M289</f>
        <v>30</v>
      </c>
      <c r="Q290" s="2" t="str">
        <f ca="1" t="shared" si="76"/>
        <v>红</v>
      </c>
      <c r="R290" s="46">
        <f ca="1" t="shared" si="77"/>
        <v>0.00422285458291904</v>
      </c>
      <c r="S290" s="47">
        <f ca="1" t="shared" si="64"/>
        <v>6.3257</v>
      </c>
      <c r="T290" s="47">
        <f ca="1">MIN(1+($O290*1.4+产出预期!AC306*60)/OFFSET($J$14,MATCH(T$3,$T$3:$W$3,0),0),18)</f>
        <v>18</v>
      </c>
      <c r="U290" s="47">
        <f ca="1">MIN(($O290*1.4+产出预期!$AC306*60)/OFFSET($J$14,MATCH(U$3,$T$3:$W$3,0),0),3)</f>
        <v>3</v>
      </c>
      <c r="V290" s="47">
        <f ca="1">MIN(($O290*1.4+产出预期!$AC306*60)/OFFSET($J$14,MATCH(V$3,$T$3:$W$3,0),0),18)</f>
        <v>2.13944</v>
      </c>
      <c r="W290" s="47">
        <f ca="1">MIN(($O290*1.4+产出预期!$AC306*60)/OFFSET($J$14,MATCH(W$3,$T$3:$W$3,0),0),18)</f>
        <v>0.53486</v>
      </c>
      <c r="X290" s="47">
        <f ca="1" t="shared" si="65"/>
        <v>1.5065902502247</v>
      </c>
      <c r="Y290" s="47">
        <f ca="1" t="shared" si="66"/>
        <v>9.02426796516826</v>
      </c>
      <c r="Z290" s="47">
        <f ca="1" t="shared" si="67"/>
        <v>2.299968</v>
      </c>
      <c r="AA290" s="47">
        <f ca="1" t="shared" si="68"/>
        <v>2.05415005102379</v>
      </c>
      <c r="AB290" s="47">
        <f ca="1" t="shared" si="69"/>
        <v>1.12676484758375</v>
      </c>
      <c r="AC290" s="48">
        <f ca="1" t="shared" si="70"/>
        <v>72.3759676401956</v>
      </c>
      <c r="AD290" s="47">
        <f t="shared" si="63"/>
        <v>7745</v>
      </c>
      <c r="AE290" s="47">
        <f t="shared" si="71"/>
        <v>1936.25</v>
      </c>
      <c r="AF290" s="47">
        <f t="shared" si="72"/>
        <v>484.0625</v>
      </c>
      <c r="AG290" s="47">
        <f t="shared" si="73"/>
        <v>121.015625</v>
      </c>
      <c r="AH290" s="47">
        <f t="shared" si="74"/>
        <v>30.25390625</v>
      </c>
      <c r="AI290" s="47">
        <f t="shared" si="75"/>
        <v>7.5634765625</v>
      </c>
      <c r="AJ290">
        <f ca="1">MIN(INT(SUM(AD290:$AI290)/OFFSET($AV$2,MATCH(AD$3,$AE$3:$AI$3,0),0)),6-SUM(AK290:$AO290))</f>
        <v>0</v>
      </c>
      <c r="AK290">
        <f ca="1">MIN(INT(SUM(AE290:$AI290)/OFFSET($AV$2,MATCH(AE$3,$AE$3:$AI$3,0),0)),6-SUM(AL290:$AO290))</f>
        <v>0</v>
      </c>
      <c r="AL290">
        <f ca="1">MIN(INT(SUM(AF290:$AI290)/OFFSET($AV$2,MATCH(AF$3,$AE$3:$AI$3,0),0)),6-SUM(AM290:$AO290))</f>
        <v>0</v>
      </c>
      <c r="AM290">
        <f ca="1">MIN(INT((SUM(AG290:$AI290)+N290*2/6)/OFFSET($AV$2,MATCH(AG$3,$AE$3:$AI$3,0),0)),6-SUM(AN290:$AO290))</f>
        <v>0</v>
      </c>
      <c r="AN290">
        <f ca="1">MIN(INT(SUM(AH290:$AI290)/OFFSET($AV$2,MATCH(AH$3,$AE$3:$AI$3,0),0)),6-SUM(AO290:$AO290))</f>
        <v>4</v>
      </c>
      <c r="AO290">
        <f ca="1">INT(SUM(AI289:$AI290)/OFFSET($AV$2,MATCH(AI$3,$AE$3:$AI$3,0),0))</f>
        <v>2</v>
      </c>
      <c r="AP290" cm="1">
        <f ca="1" t="array" ref="AP290">SUMPRODUCT(AJ290:AO290,TRANSPOSE($AS$3:$AS$8))</f>
        <v>2.6</v>
      </c>
    </row>
    <row r="291" ht="16.5" spans="14:42">
      <c r="N291" s="2">
        <v>288</v>
      </c>
      <c r="O291" s="45">
        <f>产出预期!AN307</f>
        <v>31088</v>
      </c>
      <c r="P291" s="2">
        <f ca="1">练度预期!M290</f>
        <v>30</v>
      </c>
      <c r="Q291" s="2" t="str">
        <f ca="1" t="shared" si="76"/>
        <v>红</v>
      </c>
      <c r="R291" s="46">
        <f ca="1" t="shared" si="77"/>
        <v>0.00597175241985126</v>
      </c>
      <c r="S291" s="47">
        <f ca="1" t="shared" si="64"/>
        <v>6.31742</v>
      </c>
      <c r="T291" s="47">
        <f ca="1">MIN(1+($O291*1.4+产出预期!AC307*60)/OFFSET($J$14,MATCH(T$3,$T$3:$W$3,0),0),18)</f>
        <v>18</v>
      </c>
      <c r="U291" s="47">
        <f ca="1">MIN(($O291*1.4+产出预期!$AC307*60)/OFFSET($J$14,MATCH(U$3,$T$3:$W$3,0),0),3)</f>
        <v>3</v>
      </c>
      <c r="V291" s="47">
        <f ca="1">MIN(($O291*1.4+产出预期!$AC307*60)/OFFSET($J$14,MATCH(V$3,$T$3:$W$3,0),0),18)</f>
        <v>2.146064</v>
      </c>
      <c r="W291" s="47">
        <f ca="1">MIN(($O291*1.4+产出预期!$AC307*60)/OFFSET($J$14,MATCH(W$3,$T$3:$W$3,0),0),18)</f>
        <v>0.536516</v>
      </c>
      <c r="X291" s="47">
        <f ca="1" t="shared" si="65"/>
        <v>1.50614812136344</v>
      </c>
      <c r="Y291" s="47">
        <f ca="1" t="shared" si="66"/>
        <v>9.02426796516826</v>
      </c>
      <c r="Z291" s="47">
        <f ca="1" t="shared" si="67"/>
        <v>2.299968</v>
      </c>
      <c r="AA291" s="47">
        <f ca="1" t="shared" si="68"/>
        <v>2.05873343022256</v>
      </c>
      <c r="AB291" s="47">
        <f ca="1" t="shared" si="69"/>
        <v>1.12718129311536</v>
      </c>
      <c r="AC291" s="48">
        <f ca="1" t="shared" si="70"/>
        <v>72.5429729870344</v>
      </c>
      <c r="AD291" s="47">
        <f t="shared" si="63"/>
        <v>7772</v>
      </c>
      <c r="AE291" s="47">
        <f t="shared" si="71"/>
        <v>1943</v>
      </c>
      <c r="AF291" s="47">
        <f t="shared" si="72"/>
        <v>485.75</v>
      </c>
      <c r="AG291" s="47">
        <f t="shared" si="73"/>
        <v>121.4375</v>
      </c>
      <c r="AH291" s="47">
        <f t="shared" si="74"/>
        <v>30.359375</v>
      </c>
      <c r="AI291" s="47">
        <f t="shared" si="75"/>
        <v>7.58984375</v>
      </c>
      <c r="AJ291">
        <f ca="1">MIN(INT(SUM(AD291:$AI291)/OFFSET($AV$2,MATCH(AD$3,$AE$3:$AI$3,0),0)),6-SUM(AK291:$AO291))</f>
        <v>0</v>
      </c>
      <c r="AK291">
        <f ca="1">MIN(INT(SUM(AE291:$AI291)/OFFSET($AV$2,MATCH(AE$3,$AE$3:$AI$3,0),0)),6-SUM(AL291:$AO291))</f>
        <v>0</v>
      </c>
      <c r="AL291">
        <f ca="1">MIN(INT(SUM(AF291:$AI291)/OFFSET($AV$2,MATCH(AF$3,$AE$3:$AI$3,0),0)),6-SUM(AM291:$AO291))</f>
        <v>0</v>
      </c>
      <c r="AM291">
        <f ca="1">MIN(INT((SUM(AG291:$AI291)+N291*2/6)/OFFSET($AV$2,MATCH(AG$3,$AE$3:$AI$3,0),0)),6-SUM(AN291:$AO291))</f>
        <v>0</v>
      </c>
      <c r="AN291">
        <f ca="1">MIN(INT(SUM(AH291:$AI291)/OFFSET($AV$2,MATCH(AH$3,$AE$3:$AI$3,0),0)),6-SUM(AO291:$AO291))</f>
        <v>4</v>
      </c>
      <c r="AO291">
        <f ca="1">INT(SUM(AI290:$AI291)/OFFSET($AV$2,MATCH(AI$3,$AE$3:$AI$3,0),0))</f>
        <v>2</v>
      </c>
      <c r="AP291" cm="1">
        <f ca="1" t="array" ref="AP291">SUMPRODUCT(AJ291:AO291,TRANSPOSE($AS$3:$AS$8))</f>
        <v>2.6</v>
      </c>
    </row>
    <row r="292" ht="16.5" spans="14:42">
      <c r="N292" s="2">
        <v>289</v>
      </c>
      <c r="O292" s="45">
        <f>产出预期!AN308</f>
        <v>31173</v>
      </c>
      <c r="P292" s="2">
        <f ca="1">练度预期!M291</f>
        <v>30</v>
      </c>
      <c r="Q292" s="2" t="str">
        <f ca="1" t="shared" si="76"/>
        <v>红</v>
      </c>
      <c r="R292" s="46">
        <f ca="1" t="shared" si="77"/>
        <v>0.00734606454286602</v>
      </c>
      <c r="S292" s="47">
        <f ca="1" t="shared" si="64"/>
        <v>6.308445</v>
      </c>
      <c r="T292" s="47">
        <f ca="1">MIN(1+($O292*1.4+产出预期!AC308*60)/OFFSET($J$14,MATCH(T$3,$T$3:$W$3,0),0),18)</f>
        <v>18</v>
      </c>
      <c r="U292" s="47">
        <f ca="1">MIN(($O292*1.4+产出预期!$AC308*60)/OFFSET($J$14,MATCH(U$3,$T$3:$W$3,0),0),3)</f>
        <v>3</v>
      </c>
      <c r="V292" s="47">
        <f ca="1">MIN(($O292*1.4+产出预期!$AC308*60)/OFFSET($J$14,MATCH(V$3,$T$3:$W$3,0),0),18)</f>
        <v>2.153244</v>
      </c>
      <c r="W292" s="47">
        <f ca="1">MIN(($O292*1.4+产出预期!$AC308*60)/OFFSET($J$14,MATCH(W$3,$T$3:$W$3,0),0),18)</f>
        <v>0.538311</v>
      </c>
      <c r="X292" s="47">
        <f ca="1" t="shared" si="65"/>
        <v>1.5056024448827</v>
      </c>
      <c r="Y292" s="47">
        <f ca="1" t="shared" si="66"/>
        <v>9.02426796516826</v>
      </c>
      <c r="Z292" s="47">
        <f ca="1" t="shared" si="67"/>
        <v>2.299968</v>
      </c>
      <c r="AA292" s="47">
        <f ca="1" t="shared" si="68"/>
        <v>2.06371307658003</v>
      </c>
      <c r="AB292" s="47">
        <f ca="1" t="shared" si="69"/>
        <v>1.12763286775669</v>
      </c>
      <c r="AC292" s="48">
        <f ca="1" t="shared" si="70"/>
        <v>72.7212155679997</v>
      </c>
      <c r="AD292" s="47">
        <f t="shared" si="63"/>
        <v>7793.25</v>
      </c>
      <c r="AE292" s="47">
        <f t="shared" si="71"/>
        <v>1948.3125</v>
      </c>
      <c r="AF292" s="47">
        <f t="shared" si="72"/>
        <v>487.078125</v>
      </c>
      <c r="AG292" s="47">
        <f t="shared" si="73"/>
        <v>121.76953125</v>
      </c>
      <c r="AH292" s="47">
        <f t="shared" si="74"/>
        <v>30.4423828125</v>
      </c>
      <c r="AI292" s="47">
        <f t="shared" si="75"/>
        <v>7.610595703125</v>
      </c>
      <c r="AJ292">
        <f ca="1">MIN(INT(SUM(AD292:$AI292)/OFFSET($AV$2,MATCH(AD$3,$AE$3:$AI$3,0),0)),6-SUM(AK292:$AO292))</f>
        <v>0</v>
      </c>
      <c r="AK292">
        <f ca="1">MIN(INT(SUM(AE292:$AI292)/OFFSET($AV$2,MATCH(AE$3,$AE$3:$AI$3,0),0)),6-SUM(AL292:$AO292))</f>
        <v>0</v>
      </c>
      <c r="AL292">
        <f ca="1">MIN(INT(SUM(AF292:$AI292)/OFFSET($AV$2,MATCH(AF$3,$AE$3:$AI$3,0),0)),6-SUM(AM292:$AO292))</f>
        <v>0</v>
      </c>
      <c r="AM292">
        <f ca="1">MIN(INT((SUM(AG292:$AI292)+N292*2/6)/OFFSET($AV$2,MATCH(AG$3,$AE$3:$AI$3,0),0)),6-SUM(AN292:$AO292))</f>
        <v>0</v>
      </c>
      <c r="AN292">
        <f ca="1">MIN(INT(SUM(AH292:$AI292)/OFFSET($AV$2,MATCH(AH$3,$AE$3:$AI$3,0),0)),6-SUM(AO292:$AO292))</f>
        <v>4</v>
      </c>
      <c r="AO292">
        <f ca="1">INT(SUM(AI291:$AI292)/OFFSET($AV$2,MATCH(AI$3,$AE$3:$AI$3,0),0))</f>
        <v>2</v>
      </c>
      <c r="AP292" cm="1">
        <f ca="1" t="array" ref="AP292">SUMPRODUCT(AJ292:AO292,TRANSPOSE($AS$3:$AS$8))</f>
        <v>2.6</v>
      </c>
    </row>
    <row r="293" ht="16.5" spans="14:42">
      <c r="N293" s="2">
        <v>290</v>
      </c>
      <c r="O293" s="45">
        <f>产出预期!AN309</f>
        <v>31281</v>
      </c>
      <c r="P293" s="2">
        <f ca="1">练度预期!M292</f>
        <v>30</v>
      </c>
      <c r="Q293" s="2" t="str">
        <f ca="1" t="shared" si="76"/>
        <v>红</v>
      </c>
      <c r="R293" s="46">
        <f ca="1" t="shared" si="77"/>
        <v>0.00908954942066464</v>
      </c>
      <c r="S293" s="47">
        <f ca="1" t="shared" si="64"/>
        <v>6.298665</v>
      </c>
      <c r="T293" s="47">
        <f ca="1">MIN(1+($O293*1.4+产出预期!AC309*60)/OFFSET($J$14,MATCH(T$3,$T$3:$W$3,0),0),18)</f>
        <v>18</v>
      </c>
      <c r="U293" s="47">
        <f ca="1">MIN(($O293*1.4+产出预期!$AC309*60)/OFFSET($J$14,MATCH(U$3,$T$3:$W$3,0),0),3)</f>
        <v>3</v>
      </c>
      <c r="V293" s="47">
        <f ca="1">MIN(($O293*1.4+产出预期!$AC309*60)/OFFSET($J$14,MATCH(V$3,$T$3:$W$3,0),0),18)</f>
        <v>2.161068</v>
      </c>
      <c r="W293" s="47">
        <f ca="1">MIN(($O293*1.4+产出预期!$AC309*60)/OFFSET($J$14,MATCH(W$3,$T$3:$W$3,0),0),18)</f>
        <v>0.540267</v>
      </c>
      <c r="X293" s="47">
        <f ca="1" t="shared" si="65"/>
        <v>1.50503824053603</v>
      </c>
      <c r="Y293" s="47">
        <f ca="1" t="shared" si="66"/>
        <v>9.02426796516826</v>
      </c>
      <c r="Z293" s="47">
        <f ca="1" t="shared" si="67"/>
        <v>2.299968</v>
      </c>
      <c r="AA293" s="47">
        <f ca="1" t="shared" si="68"/>
        <v>2.06915307998038</v>
      </c>
      <c r="AB293" s="47">
        <f ca="1" t="shared" si="69"/>
        <v>1.12812515173143</v>
      </c>
      <c r="AC293" s="48">
        <f ca="1" t="shared" si="70"/>
        <v>72.9174067470406</v>
      </c>
      <c r="AD293" s="47">
        <f t="shared" si="63"/>
        <v>7820.25</v>
      </c>
      <c r="AE293" s="47">
        <f t="shared" si="71"/>
        <v>1955.0625</v>
      </c>
      <c r="AF293" s="47">
        <f t="shared" si="72"/>
        <v>488.765625</v>
      </c>
      <c r="AG293" s="47">
        <f t="shared" si="73"/>
        <v>122.19140625</v>
      </c>
      <c r="AH293" s="47">
        <f t="shared" si="74"/>
        <v>30.5478515625</v>
      </c>
      <c r="AI293" s="47">
        <f t="shared" si="75"/>
        <v>7.636962890625</v>
      </c>
      <c r="AJ293">
        <f ca="1">MIN(INT(SUM(AD293:$AI293)/OFFSET($AV$2,MATCH(AD$3,$AE$3:$AI$3,0),0)),6-SUM(AK293:$AO293))</f>
        <v>0</v>
      </c>
      <c r="AK293">
        <f ca="1">MIN(INT(SUM(AE293:$AI293)/OFFSET($AV$2,MATCH(AE$3,$AE$3:$AI$3,0),0)),6-SUM(AL293:$AO293))</f>
        <v>0</v>
      </c>
      <c r="AL293">
        <f ca="1">MIN(INT(SUM(AF293:$AI293)/OFFSET($AV$2,MATCH(AF$3,$AE$3:$AI$3,0),0)),6-SUM(AM293:$AO293))</f>
        <v>0</v>
      </c>
      <c r="AM293">
        <f ca="1">MIN(INT((SUM(AG293:$AI293)+N293*2/6)/OFFSET($AV$2,MATCH(AG$3,$AE$3:$AI$3,0),0)),6-SUM(AN293:$AO293))</f>
        <v>0</v>
      </c>
      <c r="AN293">
        <f ca="1">MIN(INT(SUM(AH293:$AI293)/OFFSET($AV$2,MATCH(AH$3,$AE$3:$AI$3,0),0)),6-SUM(AO293:$AO293))</f>
        <v>4</v>
      </c>
      <c r="AO293">
        <f ca="1">INT(SUM(AI292:$AI293)/OFFSET($AV$2,MATCH(AI$3,$AE$3:$AI$3,0),0))</f>
        <v>2</v>
      </c>
      <c r="AP293" cm="1">
        <f ca="1" t="array" ref="AP293">SUMPRODUCT(AJ293:AO293,TRANSPOSE($AS$3:$AS$8))</f>
        <v>2.6</v>
      </c>
    </row>
    <row r="294" ht="16.5" spans="14:42">
      <c r="N294" s="2">
        <v>291</v>
      </c>
      <c r="O294" s="45">
        <f>产出预期!AN310</f>
        <v>31394</v>
      </c>
      <c r="P294" s="2">
        <f ca="1">练度预期!M293</f>
        <v>30</v>
      </c>
      <c r="Q294" s="2" t="str">
        <f ca="1" t="shared" si="76"/>
        <v>红</v>
      </c>
      <c r="R294" s="46">
        <f ca="1" t="shared" si="77"/>
        <v>0.0109105322265994</v>
      </c>
      <c r="S294" s="47">
        <f ca="1" t="shared" si="64"/>
        <v>6.29021</v>
      </c>
      <c r="T294" s="47">
        <f ca="1">MIN(1+($O294*1.4+产出预期!AC310*60)/OFFSET($J$14,MATCH(T$3,$T$3:$W$3,0),0),18)</f>
        <v>18</v>
      </c>
      <c r="U294" s="47">
        <f ca="1">MIN(($O294*1.4+产出预期!$AC310*60)/OFFSET($J$14,MATCH(U$3,$T$3:$W$3,0),0),3)</f>
        <v>3</v>
      </c>
      <c r="V294" s="47">
        <f ca="1">MIN(($O294*1.4+产出预期!$AC310*60)/OFFSET($J$14,MATCH(V$3,$T$3:$W$3,0),0),18)</f>
        <v>2.167832</v>
      </c>
      <c r="W294" s="47">
        <f ca="1">MIN(($O294*1.4+产出预期!$AC310*60)/OFFSET($J$14,MATCH(W$3,$T$3:$W$3,0),0),18)</f>
        <v>0.541958</v>
      </c>
      <c r="X294" s="47">
        <f ca="1" t="shared" si="65"/>
        <v>1.50458939077834</v>
      </c>
      <c r="Y294" s="47">
        <f ca="1" t="shared" si="66"/>
        <v>9.02426796516826</v>
      </c>
      <c r="Z294" s="47">
        <f ca="1" t="shared" si="67"/>
        <v>2.299968</v>
      </c>
      <c r="AA294" s="47">
        <f ca="1" t="shared" si="68"/>
        <v>2.07386762464511</v>
      </c>
      <c r="AB294" s="47">
        <f ca="1" t="shared" si="69"/>
        <v>1.12855091399893</v>
      </c>
      <c r="AC294" s="48">
        <f ca="1" t="shared" si="70"/>
        <v>73.0893265306133</v>
      </c>
      <c r="AD294" s="47">
        <f t="shared" si="63"/>
        <v>7848.5</v>
      </c>
      <c r="AE294" s="47">
        <f t="shared" si="71"/>
        <v>1962.125</v>
      </c>
      <c r="AF294" s="47">
        <f t="shared" si="72"/>
        <v>490.53125</v>
      </c>
      <c r="AG294" s="47">
        <f t="shared" si="73"/>
        <v>122.6328125</v>
      </c>
      <c r="AH294" s="47">
        <f t="shared" si="74"/>
        <v>30.658203125</v>
      </c>
      <c r="AI294" s="47">
        <f t="shared" si="75"/>
        <v>7.66455078125</v>
      </c>
      <c r="AJ294">
        <f ca="1">MIN(INT(SUM(AD294:$AI294)/OFFSET($AV$2,MATCH(AD$3,$AE$3:$AI$3,0),0)),6-SUM(AK294:$AO294))</f>
        <v>0</v>
      </c>
      <c r="AK294">
        <f ca="1">MIN(INT(SUM(AE294:$AI294)/OFFSET($AV$2,MATCH(AE$3,$AE$3:$AI$3,0),0)),6-SUM(AL294:$AO294))</f>
        <v>0</v>
      </c>
      <c r="AL294">
        <f ca="1">MIN(INT(SUM(AF294:$AI294)/OFFSET($AV$2,MATCH(AF$3,$AE$3:$AI$3,0),0)),6-SUM(AM294:$AO294))</f>
        <v>0</v>
      </c>
      <c r="AM294">
        <f ca="1">MIN(INT((SUM(AG294:$AI294)+N294*2/6)/OFFSET($AV$2,MATCH(AG$3,$AE$3:$AI$3,0),0)),6-SUM(AN294:$AO294))</f>
        <v>0</v>
      </c>
      <c r="AN294">
        <f ca="1">MIN(INT(SUM(AH294:$AI294)/OFFSET($AV$2,MATCH(AH$3,$AE$3:$AI$3,0),0)),6-SUM(AO294:$AO294))</f>
        <v>4</v>
      </c>
      <c r="AO294">
        <f ca="1">INT(SUM(AI293:$AI294)/OFFSET($AV$2,MATCH(AI$3,$AE$3:$AI$3,0),0))</f>
        <v>2</v>
      </c>
      <c r="AP294" cm="1">
        <f ca="1" t="array" ref="AP294">SUMPRODUCT(AJ294:AO294,TRANSPOSE($AS$3:$AS$8))</f>
        <v>2.6</v>
      </c>
    </row>
    <row r="295" ht="16.5" spans="14:42">
      <c r="N295" s="2">
        <v>292</v>
      </c>
      <c r="O295" s="45">
        <f>产出预期!AN311</f>
        <v>31502</v>
      </c>
      <c r="P295" s="2">
        <f ca="1">练度预期!M294</f>
        <v>30</v>
      </c>
      <c r="Q295" s="2" t="str">
        <f ca="1" t="shared" si="76"/>
        <v>红</v>
      </c>
      <c r="R295" s="46">
        <f ca="1" t="shared" si="77"/>
        <v>0.0126478801472241</v>
      </c>
      <c r="S295" s="47">
        <f ca="1" t="shared" si="64"/>
        <v>6.28043</v>
      </c>
      <c r="T295" s="47">
        <f ca="1">MIN(1+($O295*1.4+产出预期!AC311*60)/OFFSET($J$14,MATCH(T$3,$T$3:$W$3,0),0),18)</f>
        <v>18</v>
      </c>
      <c r="U295" s="47">
        <f ca="1">MIN(($O295*1.4+产出预期!$AC311*60)/OFFSET($J$14,MATCH(U$3,$T$3:$W$3,0),0),3)</f>
        <v>3</v>
      </c>
      <c r="V295" s="47">
        <f ca="1">MIN(($O295*1.4+产出预期!$AC311*60)/OFFSET($J$14,MATCH(V$3,$T$3:$W$3,0),0),18)</f>
        <v>2.175656</v>
      </c>
      <c r="W295" s="47">
        <f ca="1">MIN(($O295*1.4+产出预期!$AC311*60)/OFFSET($J$14,MATCH(W$3,$T$3:$W$3,0),0),18)</f>
        <v>0.543914</v>
      </c>
      <c r="X295" s="47">
        <f ca="1" t="shared" si="65"/>
        <v>1.50402308251826</v>
      </c>
      <c r="Y295" s="47">
        <f ca="1" t="shared" si="66"/>
        <v>9.02426796516826</v>
      </c>
      <c r="Z295" s="47">
        <f ca="1" t="shared" si="67"/>
        <v>2.299968</v>
      </c>
      <c r="AA295" s="47">
        <f ca="1" t="shared" si="68"/>
        <v>2.07933439570838</v>
      </c>
      <c r="AB295" s="47">
        <f ca="1" t="shared" si="69"/>
        <v>1.12904359875966</v>
      </c>
      <c r="AC295" s="48">
        <f ca="1" t="shared" si="70"/>
        <v>73.2863898037596</v>
      </c>
      <c r="AD295" s="47">
        <f t="shared" si="63"/>
        <v>7875.5</v>
      </c>
      <c r="AE295" s="47">
        <f t="shared" si="71"/>
        <v>1968.875</v>
      </c>
      <c r="AF295" s="47">
        <f t="shared" si="72"/>
        <v>492.21875</v>
      </c>
      <c r="AG295" s="47">
        <f t="shared" si="73"/>
        <v>123.0546875</v>
      </c>
      <c r="AH295" s="47">
        <f t="shared" si="74"/>
        <v>30.763671875</v>
      </c>
      <c r="AI295" s="47">
        <f t="shared" si="75"/>
        <v>7.69091796875</v>
      </c>
      <c r="AJ295">
        <f ca="1">MIN(INT(SUM(AD295:$AI295)/OFFSET($AV$2,MATCH(AD$3,$AE$3:$AI$3,0),0)),6-SUM(AK295:$AO295))</f>
        <v>0</v>
      </c>
      <c r="AK295">
        <f ca="1">MIN(INT(SUM(AE295:$AI295)/OFFSET($AV$2,MATCH(AE$3,$AE$3:$AI$3,0),0)),6-SUM(AL295:$AO295))</f>
        <v>0</v>
      </c>
      <c r="AL295">
        <f ca="1">MIN(INT(SUM(AF295:$AI295)/OFFSET($AV$2,MATCH(AF$3,$AE$3:$AI$3,0),0)),6-SUM(AM295:$AO295))</f>
        <v>0</v>
      </c>
      <c r="AM295">
        <f ca="1">MIN(INT((SUM(AG295:$AI295)+N295*2/6)/OFFSET($AV$2,MATCH(AG$3,$AE$3:$AI$3,0),0)),6-SUM(AN295:$AO295))</f>
        <v>0</v>
      </c>
      <c r="AN295">
        <f ca="1">MIN(INT(SUM(AH295:$AI295)/OFFSET($AV$2,MATCH(AH$3,$AE$3:$AI$3,0),0)),6-SUM(AO295:$AO295))</f>
        <v>4</v>
      </c>
      <c r="AO295">
        <f ca="1">INT(SUM(AI294:$AI295)/OFFSET($AV$2,MATCH(AI$3,$AE$3:$AI$3,0),0))</f>
        <v>2</v>
      </c>
      <c r="AP295" cm="1">
        <f ca="1" t="array" ref="AP295">SUMPRODUCT(AJ295:AO295,TRANSPOSE($AS$3:$AS$8))</f>
        <v>2.6</v>
      </c>
    </row>
    <row r="296" ht="16.5" spans="14:42">
      <c r="N296" s="2">
        <v>293</v>
      </c>
      <c r="O296" s="45">
        <f>产出预期!AN312</f>
        <v>31610</v>
      </c>
      <c r="P296" s="2">
        <f ca="1">练度预期!M295</f>
        <v>30</v>
      </c>
      <c r="Q296" s="2" t="str">
        <f ca="1" t="shared" si="76"/>
        <v>红</v>
      </c>
      <c r="R296" s="46">
        <f ca="1" t="shared" si="77"/>
        <v>0.0143822524899904</v>
      </c>
      <c r="S296" s="47">
        <f ca="1" t="shared" si="64"/>
        <v>6.27215</v>
      </c>
      <c r="T296" s="47">
        <f ca="1">MIN(1+($O296*1.4+产出预期!AC312*60)/OFFSET($J$14,MATCH(T$3,$T$3:$W$3,0),0),18)</f>
        <v>18</v>
      </c>
      <c r="U296" s="47">
        <f ca="1">MIN(($O296*1.4+产出预期!$AC312*60)/OFFSET($J$14,MATCH(U$3,$T$3:$W$3,0),0),3)</f>
        <v>3</v>
      </c>
      <c r="V296" s="47">
        <f ca="1">MIN(($O296*1.4+产出预期!$AC312*60)/OFFSET($J$14,MATCH(V$3,$T$3:$W$3,0),0),18)</f>
        <v>2.18228</v>
      </c>
      <c r="W296" s="47">
        <f ca="1">MIN(($O296*1.4+产出预期!$AC312*60)/OFFSET($J$14,MATCH(W$3,$T$3:$W$3,0),0),18)</f>
        <v>0.54557</v>
      </c>
      <c r="X296" s="47">
        <f ca="1" t="shared" si="65"/>
        <v>1.5035761528991</v>
      </c>
      <c r="Y296" s="47">
        <f ca="1" t="shared" si="66"/>
        <v>9.02426796516826</v>
      </c>
      <c r="Z296" s="47">
        <f ca="1" t="shared" si="67"/>
        <v>2.299968</v>
      </c>
      <c r="AA296" s="47">
        <f ca="1" t="shared" si="68"/>
        <v>2.08397396817381</v>
      </c>
      <c r="AB296" s="47">
        <f ca="1" t="shared" si="69"/>
        <v>1.12946088650403</v>
      </c>
      <c r="AC296" s="48">
        <f ca="1" t="shared" si="70"/>
        <v>73.4552245825435</v>
      </c>
      <c r="AD296" s="47">
        <f t="shared" si="63"/>
        <v>7902.5</v>
      </c>
      <c r="AE296" s="47">
        <f t="shared" si="71"/>
        <v>1975.625</v>
      </c>
      <c r="AF296" s="47">
        <f t="shared" si="72"/>
        <v>493.90625</v>
      </c>
      <c r="AG296" s="47">
        <f t="shared" si="73"/>
        <v>123.4765625</v>
      </c>
      <c r="AH296" s="47">
        <f t="shared" si="74"/>
        <v>30.869140625</v>
      </c>
      <c r="AI296" s="47">
        <f t="shared" si="75"/>
        <v>7.71728515625</v>
      </c>
      <c r="AJ296">
        <f ca="1">MIN(INT(SUM(AD296:$AI296)/OFFSET($AV$2,MATCH(AD$3,$AE$3:$AI$3,0),0)),6-SUM(AK296:$AO296))</f>
        <v>0</v>
      </c>
      <c r="AK296">
        <f ca="1">MIN(INT(SUM(AE296:$AI296)/OFFSET($AV$2,MATCH(AE$3,$AE$3:$AI$3,0),0)),6-SUM(AL296:$AO296))</f>
        <v>0</v>
      </c>
      <c r="AL296">
        <f ca="1">MIN(INT(SUM(AF296:$AI296)/OFFSET($AV$2,MATCH(AF$3,$AE$3:$AI$3,0),0)),6-SUM(AM296:$AO296))</f>
        <v>0</v>
      </c>
      <c r="AM296">
        <f ca="1">MIN(INT((SUM(AG296:$AI296)+N296*2/6)/OFFSET($AV$2,MATCH(AG$3,$AE$3:$AI$3,0),0)),6-SUM(AN296:$AO296))</f>
        <v>0</v>
      </c>
      <c r="AN296">
        <f ca="1">MIN(INT(SUM(AH296:$AI296)/OFFSET($AV$2,MATCH(AH$3,$AE$3:$AI$3,0),0)),6-SUM(AO296:$AO296))</f>
        <v>4</v>
      </c>
      <c r="AO296">
        <f ca="1">INT(SUM(AI295:$AI296)/OFFSET($AV$2,MATCH(AI$3,$AE$3:$AI$3,0),0))</f>
        <v>2</v>
      </c>
      <c r="AP296" cm="1">
        <f ca="1" t="array" ref="AP296">SUMPRODUCT(AJ296:AO296,TRANSPOSE($AS$3:$AS$8))</f>
        <v>2.6</v>
      </c>
    </row>
    <row r="297" ht="16.5" spans="14:42">
      <c r="N297" s="2">
        <v>294</v>
      </c>
      <c r="O297" s="45">
        <f>产出预期!AN313</f>
        <v>31723</v>
      </c>
      <c r="P297" s="2">
        <f ca="1">练度预期!M296</f>
        <v>30</v>
      </c>
      <c r="Q297" s="2" t="str">
        <f ca="1" t="shared" si="76"/>
        <v>红</v>
      </c>
      <c r="R297" s="46">
        <f ca="1" t="shared" si="77"/>
        <v>0.016193751005847</v>
      </c>
      <c r="S297" s="47">
        <f ca="1" t="shared" si="64"/>
        <v>6.262195</v>
      </c>
      <c r="T297" s="47">
        <f ca="1">MIN(1+($O297*1.4+产出预期!AC313*60)/OFFSET($J$14,MATCH(T$3,$T$3:$W$3,0),0),18)</f>
        <v>18</v>
      </c>
      <c r="U297" s="47">
        <f ca="1">MIN(($O297*1.4+产出预期!$AC313*60)/OFFSET($J$14,MATCH(U$3,$T$3:$W$3,0),0),3)</f>
        <v>3</v>
      </c>
      <c r="V297" s="47">
        <f ca="1">MIN(($O297*1.4+产出预期!$AC313*60)/OFFSET($J$14,MATCH(V$3,$T$3:$W$3,0),0),18)</f>
        <v>2.190244</v>
      </c>
      <c r="W297" s="47">
        <f ca="1">MIN(($O297*1.4+产出预期!$AC313*60)/OFFSET($J$14,MATCH(W$3,$T$3:$W$3,0),0),18)</f>
        <v>0.547561</v>
      </c>
      <c r="X297" s="47">
        <f ca="1" t="shared" si="65"/>
        <v>1.5030037685316</v>
      </c>
      <c r="Y297" s="47">
        <f ca="1" t="shared" si="66"/>
        <v>9.02426796516826</v>
      </c>
      <c r="Z297" s="47">
        <f ca="1" t="shared" si="67"/>
        <v>2.299968</v>
      </c>
      <c r="AA297" s="47">
        <f ca="1" t="shared" si="68"/>
        <v>2.08956580883659</v>
      </c>
      <c r="AB297" s="47">
        <f ca="1" t="shared" si="69"/>
        <v>1.12996279352845</v>
      </c>
      <c r="AC297" s="48">
        <f ca="1" t="shared" si="70"/>
        <v>73.6570027950053</v>
      </c>
      <c r="AD297" s="47">
        <f t="shared" si="63"/>
        <v>7930.75</v>
      </c>
      <c r="AE297" s="47">
        <f t="shared" si="71"/>
        <v>1982.6875</v>
      </c>
      <c r="AF297" s="47">
        <f t="shared" si="72"/>
        <v>495.671875</v>
      </c>
      <c r="AG297" s="47">
        <f t="shared" si="73"/>
        <v>123.91796875</v>
      </c>
      <c r="AH297" s="47">
        <f t="shared" si="74"/>
        <v>30.9794921875</v>
      </c>
      <c r="AI297" s="47">
        <f t="shared" si="75"/>
        <v>7.744873046875</v>
      </c>
      <c r="AJ297">
        <f ca="1">MIN(INT(SUM(AD297:$AI297)/OFFSET($AV$2,MATCH(AD$3,$AE$3:$AI$3,0),0)),6-SUM(AK297:$AO297))</f>
        <v>0</v>
      </c>
      <c r="AK297">
        <f ca="1">MIN(INT(SUM(AE297:$AI297)/OFFSET($AV$2,MATCH(AE$3,$AE$3:$AI$3,0),0)),6-SUM(AL297:$AO297))</f>
        <v>0</v>
      </c>
      <c r="AL297">
        <f ca="1">MIN(INT(SUM(AF297:$AI297)/OFFSET($AV$2,MATCH(AF$3,$AE$3:$AI$3,0),0)),6-SUM(AM297:$AO297))</f>
        <v>0</v>
      </c>
      <c r="AM297">
        <f ca="1">MIN(INT((SUM(AG297:$AI297)+N297*2/6)/OFFSET($AV$2,MATCH(AG$3,$AE$3:$AI$3,0),0)),6-SUM(AN297:$AO297))</f>
        <v>0</v>
      </c>
      <c r="AN297">
        <f ca="1">MIN(INT(SUM(AH297:$AI297)/OFFSET($AV$2,MATCH(AH$3,$AE$3:$AI$3,0),0)),6-SUM(AO297:$AO297))</f>
        <v>4</v>
      </c>
      <c r="AO297">
        <f ca="1">INT(SUM(AI296:$AI297)/OFFSET($AV$2,MATCH(AI$3,$AE$3:$AI$3,0),0))</f>
        <v>2</v>
      </c>
      <c r="AP297" cm="1">
        <f ca="1" t="array" ref="AP297">SUMPRODUCT(AJ297:AO297,TRANSPOSE($AS$3:$AS$8))</f>
        <v>2.6</v>
      </c>
    </row>
    <row r="298" ht="16.5" spans="14:42">
      <c r="N298" s="2">
        <v>295</v>
      </c>
      <c r="O298" s="45">
        <f>产出预期!AN314</f>
        <v>31831</v>
      </c>
      <c r="P298" s="2">
        <f ca="1">练度预期!M297</f>
        <v>30</v>
      </c>
      <c r="Q298" s="2" t="str">
        <f ca="1" t="shared" si="76"/>
        <v>红</v>
      </c>
      <c r="R298" s="46">
        <f ca="1" t="shared" si="77"/>
        <v>0.0179220817839316</v>
      </c>
      <c r="S298" s="47">
        <f ca="1" t="shared" si="64"/>
        <v>6.253915</v>
      </c>
      <c r="T298" s="47">
        <f ca="1">MIN(1+($O298*1.4+产出预期!AC314*60)/OFFSET($J$14,MATCH(T$3,$T$3:$W$3,0),0),18)</f>
        <v>18</v>
      </c>
      <c r="U298" s="47">
        <f ca="1">MIN(($O298*1.4+产出预期!$AC314*60)/OFFSET($J$14,MATCH(U$3,$T$3:$W$3,0),0),3)</f>
        <v>3</v>
      </c>
      <c r="V298" s="47">
        <f ca="1">MIN(($O298*1.4+产出预期!$AC314*60)/OFFSET($J$14,MATCH(V$3,$T$3:$W$3,0),0),18)</f>
        <v>2.196868</v>
      </c>
      <c r="W298" s="47">
        <f ca="1">MIN(($O298*1.4+产出预期!$AC314*60)/OFFSET($J$14,MATCH(W$3,$T$3:$W$3,0),0),18)</f>
        <v>0.549217</v>
      </c>
      <c r="X298" s="47">
        <f ca="1" t="shared" si="65"/>
        <v>1.502554863522</v>
      </c>
      <c r="Y298" s="47">
        <f ca="1" t="shared" si="66"/>
        <v>9.02426796516826</v>
      </c>
      <c r="Z298" s="47">
        <f ca="1" t="shared" si="67"/>
        <v>2.299968</v>
      </c>
      <c r="AA298" s="47">
        <f ca="1" t="shared" si="68"/>
        <v>2.09422821042596</v>
      </c>
      <c r="AB298" s="47">
        <f ca="1" t="shared" si="69"/>
        <v>1.1303804210017</v>
      </c>
      <c r="AC298" s="48">
        <f ca="1" t="shared" si="70"/>
        <v>73.8265794384621</v>
      </c>
      <c r="AD298" s="47">
        <f t="shared" si="63"/>
        <v>7957.75</v>
      </c>
      <c r="AE298" s="47">
        <f t="shared" si="71"/>
        <v>1989.4375</v>
      </c>
      <c r="AF298" s="47">
        <f t="shared" si="72"/>
        <v>497.359375</v>
      </c>
      <c r="AG298" s="47">
        <f t="shared" si="73"/>
        <v>124.33984375</v>
      </c>
      <c r="AH298" s="47">
        <f t="shared" si="74"/>
        <v>31.0849609375</v>
      </c>
      <c r="AI298" s="47">
        <f t="shared" si="75"/>
        <v>7.771240234375</v>
      </c>
      <c r="AJ298">
        <f ca="1">MIN(INT(SUM(AD298:$AI298)/OFFSET($AV$2,MATCH(AD$3,$AE$3:$AI$3,0),0)),6-SUM(AK298:$AO298))</f>
        <v>0</v>
      </c>
      <c r="AK298">
        <f ca="1">MIN(INT(SUM(AE298:$AI298)/OFFSET($AV$2,MATCH(AE$3,$AE$3:$AI$3,0),0)),6-SUM(AL298:$AO298))</f>
        <v>0</v>
      </c>
      <c r="AL298">
        <f ca="1">MIN(INT(SUM(AF298:$AI298)/OFFSET($AV$2,MATCH(AF$3,$AE$3:$AI$3,0),0)),6-SUM(AM298:$AO298))</f>
        <v>0</v>
      </c>
      <c r="AM298">
        <f ca="1">MIN(INT((SUM(AG298:$AI298)+N298*2/6)/OFFSET($AV$2,MATCH(AG$3,$AE$3:$AI$3,0),0)),6-SUM(AN298:$AO298))</f>
        <v>0</v>
      </c>
      <c r="AN298">
        <f ca="1">MIN(INT(SUM(AH298:$AI298)/OFFSET($AV$2,MATCH(AH$3,$AE$3:$AI$3,0),0)),6-SUM(AO298:$AO298))</f>
        <v>4</v>
      </c>
      <c r="AO298">
        <f ca="1">INT(SUM(AI297:$AI298)/OFFSET($AV$2,MATCH(AI$3,$AE$3:$AI$3,0),0))</f>
        <v>2</v>
      </c>
      <c r="AP298" cm="1">
        <f ca="1" t="array" ref="AP298">SUMPRODUCT(AJ298:AO298,TRANSPOSE($AS$3:$AS$8))</f>
        <v>2.6</v>
      </c>
    </row>
    <row r="299" ht="16.5" spans="14:42">
      <c r="N299" s="2">
        <v>296</v>
      </c>
      <c r="O299" s="45">
        <f>产出预期!AN315</f>
        <v>31916</v>
      </c>
      <c r="P299" s="2">
        <f ca="1">练度预期!M298</f>
        <v>30</v>
      </c>
      <c r="Q299" s="2" t="str">
        <f ca="1" t="shared" si="76"/>
        <v>红</v>
      </c>
      <c r="R299" s="46">
        <f ca="1" t="shared" si="77"/>
        <v>0.0192802812115354</v>
      </c>
      <c r="S299" s="47">
        <f ca="1" t="shared" si="64"/>
        <v>6.24494</v>
      </c>
      <c r="T299" s="47">
        <f ca="1">MIN(1+($O299*1.4+产出预期!AC315*60)/OFFSET($J$14,MATCH(T$3,$T$3:$W$3,0),0),18)</f>
        <v>18</v>
      </c>
      <c r="U299" s="47">
        <f ca="1">MIN(($O299*1.4+产出预期!$AC315*60)/OFFSET($J$14,MATCH(U$3,$T$3:$W$3,0),0),3)</f>
        <v>3</v>
      </c>
      <c r="V299" s="47">
        <f ca="1">MIN(($O299*1.4+产出预期!$AC315*60)/OFFSET($J$14,MATCH(V$3,$T$3:$W$3,0),0),18)</f>
        <v>2.204048</v>
      </c>
      <c r="W299" s="47">
        <f ca="1">MIN(($O299*1.4+产出预期!$AC315*60)/OFFSET($J$14,MATCH(W$3,$T$3:$W$3,0),0),18)</f>
        <v>0.551012</v>
      </c>
      <c r="X299" s="47">
        <f ca="1" t="shared" si="65"/>
        <v>1.50200328398698</v>
      </c>
      <c r="Y299" s="47">
        <f ca="1" t="shared" si="66"/>
        <v>9.02426796516826</v>
      </c>
      <c r="Z299" s="47">
        <f ca="1" t="shared" si="67"/>
        <v>2.299968</v>
      </c>
      <c r="AA299" s="47">
        <f ca="1" t="shared" si="68"/>
        <v>2.09929371124635</v>
      </c>
      <c r="AB299" s="47">
        <f ca="1" t="shared" si="69"/>
        <v>1.13083327728694</v>
      </c>
      <c r="AC299" s="48">
        <f ca="1" t="shared" si="70"/>
        <v>74.0076209163464</v>
      </c>
      <c r="AD299" s="47">
        <f t="shared" si="63"/>
        <v>7979</v>
      </c>
      <c r="AE299" s="47">
        <f t="shared" si="71"/>
        <v>1994.75</v>
      </c>
      <c r="AF299" s="47">
        <f t="shared" si="72"/>
        <v>498.6875</v>
      </c>
      <c r="AG299" s="47">
        <f t="shared" si="73"/>
        <v>124.671875</v>
      </c>
      <c r="AH299" s="47">
        <f t="shared" si="74"/>
        <v>31.16796875</v>
      </c>
      <c r="AI299" s="47">
        <f t="shared" si="75"/>
        <v>7.7919921875</v>
      </c>
      <c r="AJ299">
        <f ca="1">MIN(INT(SUM(AD299:$AI299)/OFFSET($AV$2,MATCH(AD$3,$AE$3:$AI$3,0),0)),6-SUM(AK299:$AO299))</f>
        <v>0</v>
      </c>
      <c r="AK299">
        <f ca="1">MIN(INT(SUM(AE299:$AI299)/OFFSET($AV$2,MATCH(AE$3,$AE$3:$AI$3,0),0)),6-SUM(AL299:$AO299))</f>
        <v>0</v>
      </c>
      <c r="AL299">
        <f ca="1">MIN(INT(SUM(AF299:$AI299)/OFFSET($AV$2,MATCH(AF$3,$AE$3:$AI$3,0),0)),6-SUM(AM299:$AO299))</f>
        <v>0</v>
      </c>
      <c r="AM299">
        <f ca="1">MIN(INT((SUM(AG299:$AI299)+N299*2/6)/OFFSET($AV$2,MATCH(AG$3,$AE$3:$AI$3,0),0)),6-SUM(AN299:$AO299))</f>
        <v>0</v>
      </c>
      <c r="AN299">
        <f ca="1">MIN(INT(SUM(AH299:$AI299)/OFFSET($AV$2,MATCH(AH$3,$AE$3:$AI$3,0),0)),6-SUM(AO299:$AO299))</f>
        <v>4</v>
      </c>
      <c r="AO299">
        <f ca="1">INT(SUM(AI298:$AI299)/OFFSET($AV$2,MATCH(AI$3,$AE$3:$AI$3,0),0))</f>
        <v>2</v>
      </c>
      <c r="AP299" cm="1">
        <f ca="1" t="array" ref="AP299">SUMPRODUCT(AJ299:AO299,TRANSPOSE($AS$3:$AS$8))</f>
        <v>2.6</v>
      </c>
    </row>
    <row r="300" ht="16.5" spans="14:42">
      <c r="N300" s="2">
        <v>297</v>
      </c>
      <c r="O300" s="45">
        <f>产出预期!AN316</f>
        <v>32024</v>
      </c>
      <c r="P300" s="2">
        <f ca="1">练度预期!M299</f>
        <v>30</v>
      </c>
      <c r="Q300" s="2" t="str">
        <f ca="1" t="shared" si="76"/>
        <v>红</v>
      </c>
      <c r="R300" s="46">
        <f ca="1" t="shared" si="77"/>
        <v>0.021003387196471</v>
      </c>
      <c r="S300" s="47">
        <f ca="1" t="shared" si="64"/>
        <v>6.23666</v>
      </c>
      <c r="T300" s="47">
        <f ca="1">MIN(1+($O300*1.4+产出预期!AC316*60)/OFFSET($J$14,MATCH(T$3,$T$3:$W$3,0),0),18)</f>
        <v>18</v>
      </c>
      <c r="U300" s="47">
        <f ca="1">MIN(($O300*1.4+产出预期!$AC316*60)/OFFSET($J$14,MATCH(U$3,$T$3:$W$3,0),0),3)</f>
        <v>3</v>
      </c>
      <c r="V300" s="47">
        <f ca="1">MIN(($O300*1.4+产出预期!$AC316*60)/OFFSET($J$14,MATCH(V$3,$T$3:$W$3,0),0),18)</f>
        <v>2.210672</v>
      </c>
      <c r="W300" s="47">
        <f ca="1">MIN(($O300*1.4+产出预期!$AC316*60)/OFFSET($J$14,MATCH(W$3,$T$3:$W$3,0),0),18)</f>
        <v>0.552668</v>
      </c>
      <c r="X300" s="47">
        <f ca="1" t="shared" si="65"/>
        <v>1.50155261969585</v>
      </c>
      <c r="Y300" s="47">
        <f ca="1" t="shared" si="66"/>
        <v>9.02426796516826</v>
      </c>
      <c r="Z300" s="47">
        <f ca="1" t="shared" si="67"/>
        <v>2.299968</v>
      </c>
      <c r="AA300" s="47">
        <f ca="1" t="shared" si="68"/>
        <v>2.10397781848742</v>
      </c>
      <c r="AB300" s="47">
        <f ca="1" t="shared" si="69"/>
        <v>1.13125122648576</v>
      </c>
      <c r="AC300" s="48">
        <f ca="1" t="shared" si="70"/>
        <v>74.1779030977642</v>
      </c>
      <c r="AD300" s="47">
        <f t="shared" si="63"/>
        <v>8006</v>
      </c>
      <c r="AE300" s="47">
        <f t="shared" si="71"/>
        <v>2001.5</v>
      </c>
      <c r="AF300" s="47">
        <f t="shared" si="72"/>
        <v>500.375</v>
      </c>
      <c r="AG300" s="47">
        <f t="shared" si="73"/>
        <v>125.09375</v>
      </c>
      <c r="AH300" s="47">
        <f t="shared" si="74"/>
        <v>31.2734375</v>
      </c>
      <c r="AI300" s="47">
        <f t="shared" si="75"/>
        <v>7.818359375</v>
      </c>
      <c r="AJ300">
        <f ca="1">MIN(INT(SUM(AD300:$AI300)/OFFSET($AV$2,MATCH(AD$3,$AE$3:$AI$3,0),0)),6-SUM(AK300:$AO300))</f>
        <v>0</v>
      </c>
      <c r="AK300">
        <f ca="1">MIN(INT(SUM(AE300:$AI300)/OFFSET($AV$2,MATCH(AE$3,$AE$3:$AI$3,0),0)),6-SUM(AL300:$AO300))</f>
        <v>0</v>
      </c>
      <c r="AL300">
        <f ca="1">MIN(INT(SUM(AF300:$AI300)/OFFSET($AV$2,MATCH(AF$3,$AE$3:$AI$3,0),0)),6-SUM(AM300:$AO300))</f>
        <v>0</v>
      </c>
      <c r="AM300">
        <f ca="1">MIN(INT((SUM(AG300:$AI300)+N300*2/6)/OFFSET($AV$2,MATCH(AG$3,$AE$3:$AI$3,0),0)),6-SUM(AN300:$AO300))</f>
        <v>0</v>
      </c>
      <c r="AN300">
        <f ca="1">MIN(INT(SUM(AH300:$AI300)/OFFSET($AV$2,MATCH(AH$3,$AE$3:$AI$3,0),0)),6-SUM(AO300:$AO300))</f>
        <v>4</v>
      </c>
      <c r="AO300">
        <f ca="1">INT(SUM(AI299:$AI300)/OFFSET($AV$2,MATCH(AI$3,$AE$3:$AI$3,0),0))</f>
        <v>2</v>
      </c>
      <c r="AP300" cm="1">
        <f ca="1" t="array" ref="AP300">SUMPRODUCT(AJ300:AO300,TRANSPOSE($AS$3:$AS$8))</f>
        <v>2.6</v>
      </c>
    </row>
    <row r="301" ht="16.5" spans="14:42">
      <c r="N301" s="2">
        <v>298</v>
      </c>
      <c r="O301" s="45">
        <f>产出预期!AN317</f>
        <v>32137</v>
      </c>
      <c r="P301" s="2">
        <f ca="1">练度预期!M300</f>
        <v>30</v>
      </c>
      <c r="Q301" s="2" t="str">
        <f ca="1" t="shared" si="76"/>
        <v>红</v>
      </c>
      <c r="R301" s="46">
        <f ca="1" t="shared" si="77"/>
        <v>0.0228031590112212</v>
      </c>
      <c r="S301" s="47">
        <f ca="1" t="shared" si="64"/>
        <v>6.226705</v>
      </c>
      <c r="T301" s="47">
        <f ca="1">MIN(1+($O301*1.4+产出预期!AC317*60)/OFFSET($J$14,MATCH(T$3,$T$3:$W$3,0),0),18)</f>
        <v>18</v>
      </c>
      <c r="U301" s="47">
        <f ca="1">MIN(($O301*1.4+产出预期!$AC317*60)/OFFSET($J$14,MATCH(U$3,$T$3:$W$3,0),0),3)</f>
        <v>3</v>
      </c>
      <c r="V301" s="47">
        <f ca="1">MIN(($O301*1.4+产出预期!$AC317*60)/OFFSET($J$14,MATCH(V$3,$T$3:$W$3,0),0),18)</f>
        <v>2.218636</v>
      </c>
      <c r="W301" s="47">
        <f ca="1">MIN(($O301*1.4+产出预期!$AC317*60)/OFFSET($J$14,MATCH(W$3,$T$3:$W$3,0),0),18)</f>
        <v>0.554659</v>
      </c>
      <c r="X301" s="47">
        <f ca="1" t="shared" si="65"/>
        <v>1.50097617088462</v>
      </c>
      <c r="Y301" s="47">
        <f ca="1" t="shared" si="66"/>
        <v>9.02426796516826</v>
      </c>
      <c r="Z301" s="47">
        <f ca="1" t="shared" si="67"/>
        <v>2.299968</v>
      </c>
      <c r="AA301" s="47">
        <f ca="1" t="shared" si="68"/>
        <v>2.10962333464967</v>
      </c>
      <c r="AB301" s="47">
        <f ca="1" t="shared" si="69"/>
        <v>1.13175392909702</v>
      </c>
      <c r="AC301" s="48">
        <f ca="1" t="shared" si="70"/>
        <v>74.3814268871155</v>
      </c>
      <c r="AD301" s="47">
        <f t="shared" si="63"/>
        <v>8034.25</v>
      </c>
      <c r="AE301" s="47">
        <f t="shared" si="71"/>
        <v>2008.5625</v>
      </c>
      <c r="AF301" s="47">
        <f t="shared" si="72"/>
        <v>502.140625</v>
      </c>
      <c r="AG301" s="47">
        <f t="shared" si="73"/>
        <v>125.53515625</v>
      </c>
      <c r="AH301" s="47">
        <f t="shared" si="74"/>
        <v>31.3837890625</v>
      </c>
      <c r="AI301" s="47">
        <f t="shared" si="75"/>
        <v>7.845947265625</v>
      </c>
      <c r="AJ301">
        <f ca="1">MIN(INT(SUM(AD301:$AI301)/OFFSET($AV$2,MATCH(AD$3,$AE$3:$AI$3,0),0)),6-SUM(AK301:$AO301))</f>
        <v>0</v>
      </c>
      <c r="AK301">
        <f ca="1">MIN(INT(SUM(AE301:$AI301)/OFFSET($AV$2,MATCH(AE$3,$AE$3:$AI$3,0),0)),6-SUM(AL301:$AO301))</f>
        <v>0</v>
      </c>
      <c r="AL301">
        <f ca="1">MIN(INT(SUM(AF301:$AI301)/OFFSET($AV$2,MATCH(AF$3,$AE$3:$AI$3,0),0)),6-SUM(AM301:$AO301))</f>
        <v>0</v>
      </c>
      <c r="AM301">
        <f ca="1">MIN(INT((SUM(AG301:$AI301)+N301*2/6)/OFFSET($AV$2,MATCH(AG$3,$AE$3:$AI$3,0),0)),6-SUM(AN301:$AO301))</f>
        <v>0</v>
      </c>
      <c r="AN301">
        <f ca="1">MIN(INT(SUM(AH301:$AI301)/OFFSET($AV$2,MATCH(AH$3,$AE$3:$AI$3,0),0)),6-SUM(AO301:$AO301))</f>
        <v>3</v>
      </c>
      <c r="AO301">
        <f ca="1">INT(SUM(AI300:$AI301)/OFFSET($AV$2,MATCH(AI$3,$AE$3:$AI$3,0),0))</f>
        <v>3</v>
      </c>
      <c r="AP301" cm="1">
        <f ca="1" t="array" ref="AP301">SUMPRODUCT(AJ301:AO301,TRANSPOSE($AS$3:$AS$8))</f>
        <v>2.7</v>
      </c>
    </row>
    <row r="302" ht="16.5" spans="14:42">
      <c r="N302" s="2">
        <v>299</v>
      </c>
      <c r="O302" s="45">
        <f>产出预期!AN318</f>
        <v>32245</v>
      </c>
      <c r="P302" s="2">
        <f ca="1">练度预期!M301</f>
        <v>30</v>
      </c>
      <c r="Q302" s="2" t="str">
        <f ca="1" t="shared" si="76"/>
        <v>红</v>
      </c>
      <c r="R302" s="46">
        <f ca="1" t="shared" si="77"/>
        <v>0.0245203400046938</v>
      </c>
      <c r="S302" s="47">
        <f ca="1" t="shared" si="64"/>
        <v>6.218425</v>
      </c>
      <c r="T302" s="47">
        <f ca="1">MIN(1+($O302*1.4+产出预期!AC318*60)/OFFSET($J$14,MATCH(T$3,$T$3:$W$3,0),0),18)</f>
        <v>18</v>
      </c>
      <c r="U302" s="47">
        <f ca="1">MIN(($O302*1.4+产出预期!$AC318*60)/OFFSET($J$14,MATCH(U$3,$T$3:$W$3,0),0),3)</f>
        <v>3</v>
      </c>
      <c r="V302" s="47">
        <f ca="1">MIN(($O302*1.4+产出预期!$AC318*60)/OFFSET($J$14,MATCH(V$3,$T$3:$W$3,0),0),18)</f>
        <v>2.22526</v>
      </c>
      <c r="W302" s="47">
        <f ca="1">MIN(($O302*1.4+产出预期!$AC318*60)/OFFSET($J$14,MATCH(W$3,$T$3:$W$3,0),0),18)</f>
        <v>0.556315</v>
      </c>
      <c r="X302" s="47">
        <f ca="1" t="shared" si="65"/>
        <v>1.50052355790587</v>
      </c>
      <c r="Y302" s="47">
        <f ca="1" t="shared" si="66"/>
        <v>9.02426796516826</v>
      </c>
      <c r="Z302" s="47">
        <f ca="1" t="shared" si="67"/>
        <v>2.299968</v>
      </c>
      <c r="AA302" s="47">
        <f ca="1" t="shared" si="68"/>
        <v>2.11433049014907</v>
      </c>
      <c r="AB302" s="47">
        <f ca="1" t="shared" si="69"/>
        <v>1.13217221856324</v>
      </c>
      <c r="AC302" s="48">
        <f ca="1" t="shared" si="70"/>
        <v>74.5524570180829</v>
      </c>
      <c r="AD302" s="47">
        <f t="shared" si="63"/>
        <v>8061.25</v>
      </c>
      <c r="AE302" s="47">
        <f t="shared" si="71"/>
        <v>2015.3125</v>
      </c>
      <c r="AF302" s="47">
        <f t="shared" si="72"/>
        <v>503.828125</v>
      </c>
      <c r="AG302" s="47">
        <f t="shared" si="73"/>
        <v>125.95703125</v>
      </c>
      <c r="AH302" s="47">
        <f t="shared" si="74"/>
        <v>31.4892578125</v>
      </c>
      <c r="AI302" s="47">
        <f t="shared" si="75"/>
        <v>7.872314453125</v>
      </c>
      <c r="AJ302">
        <f ca="1">MIN(INT(SUM(AD302:$AI302)/OFFSET($AV$2,MATCH(AD$3,$AE$3:$AI$3,0),0)),6-SUM(AK302:$AO302))</f>
        <v>0</v>
      </c>
      <c r="AK302">
        <f ca="1">MIN(INT(SUM(AE302:$AI302)/OFFSET($AV$2,MATCH(AE$3,$AE$3:$AI$3,0),0)),6-SUM(AL302:$AO302))</f>
        <v>0</v>
      </c>
      <c r="AL302">
        <f ca="1">MIN(INT(SUM(AF302:$AI302)/OFFSET($AV$2,MATCH(AF$3,$AE$3:$AI$3,0),0)),6-SUM(AM302:$AO302))</f>
        <v>0</v>
      </c>
      <c r="AM302">
        <f ca="1">MIN(INT((SUM(AG302:$AI302)+N302*2/6)/OFFSET($AV$2,MATCH(AG$3,$AE$3:$AI$3,0),0)),6-SUM(AN302:$AO302))</f>
        <v>0</v>
      </c>
      <c r="AN302">
        <f ca="1">MIN(INT(SUM(AH302:$AI302)/OFFSET($AV$2,MATCH(AH$3,$AE$3:$AI$3,0),0)),6-SUM(AO302:$AO302))</f>
        <v>3</v>
      </c>
      <c r="AO302">
        <f ca="1">INT(SUM(AI301:$AI302)/OFFSET($AV$2,MATCH(AI$3,$AE$3:$AI$3,0),0))</f>
        <v>3</v>
      </c>
      <c r="AP302" cm="1">
        <f ca="1" t="array" ref="AP302">SUMPRODUCT(AJ302:AO302,TRANSPOSE($AS$3:$AS$8))</f>
        <v>2.7</v>
      </c>
    </row>
    <row r="303" ht="16.5" spans="14:42">
      <c r="N303" s="2">
        <v>300</v>
      </c>
      <c r="O303" s="45">
        <f>产出预期!AN319</f>
        <v>32358</v>
      </c>
      <c r="P303" s="2">
        <f ca="1">练度预期!M302</f>
        <v>30</v>
      </c>
      <c r="Q303" s="2" t="str">
        <f ca="1" t="shared" si="76"/>
        <v>红</v>
      </c>
      <c r="R303" s="46">
        <f ca="1" t="shared" si="77"/>
        <v>0.0263139444146707</v>
      </c>
      <c r="S303" s="47">
        <f ca="1" t="shared" si="64"/>
        <v>6.20847</v>
      </c>
      <c r="T303" s="47">
        <f ca="1">MIN(1+($O303*1.4+产出预期!AC319*60)/OFFSET($J$14,MATCH(T$3,$T$3:$W$3,0),0),18)</f>
        <v>18</v>
      </c>
      <c r="U303" s="47">
        <f ca="1">MIN(($O303*1.4+产出预期!$AC319*60)/OFFSET($J$14,MATCH(U$3,$T$3:$W$3,0),0),3)</f>
        <v>3</v>
      </c>
      <c r="V303" s="47">
        <f ca="1">MIN(($O303*1.4+产出预期!$AC319*60)/OFFSET($J$14,MATCH(V$3,$T$3:$W$3,0),0),18)</f>
        <v>2.233224</v>
      </c>
      <c r="W303" s="47">
        <f ca="1">MIN(($O303*1.4+产出预期!$AC319*60)/OFFSET($J$14,MATCH(W$3,$T$3:$W$3,0),0),18)</f>
        <v>0.558306</v>
      </c>
      <c r="X303" s="47">
        <f ca="1" t="shared" si="65"/>
        <v>1.4999449866896</v>
      </c>
      <c r="Y303" s="47">
        <f ca="1" t="shared" si="66"/>
        <v>9.02426796516826</v>
      </c>
      <c r="Z303" s="47">
        <f ca="1" t="shared" si="67"/>
        <v>2.299968</v>
      </c>
      <c r="AA303" s="47">
        <f ca="1" t="shared" si="68"/>
        <v>2.12000378520455</v>
      </c>
      <c r="AB303" s="47">
        <f ca="1" t="shared" si="69"/>
        <v>1.13267533044267</v>
      </c>
      <c r="AC303" s="48">
        <f ca="1" t="shared" si="70"/>
        <v>74.7568830107376</v>
      </c>
      <c r="AD303" s="47">
        <f t="shared" si="63"/>
        <v>8089.5</v>
      </c>
      <c r="AE303" s="47">
        <f t="shared" si="71"/>
        <v>2022.375</v>
      </c>
      <c r="AF303" s="47">
        <f t="shared" si="72"/>
        <v>505.59375</v>
      </c>
      <c r="AG303" s="47">
        <f t="shared" si="73"/>
        <v>126.3984375</v>
      </c>
      <c r="AH303" s="47">
        <f t="shared" si="74"/>
        <v>31.599609375</v>
      </c>
      <c r="AI303" s="47">
        <f t="shared" si="75"/>
        <v>7.89990234375</v>
      </c>
      <c r="AJ303">
        <f ca="1">MIN(INT(SUM(AD303:$AI303)/OFFSET($AV$2,MATCH(AD$3,$AE$3:$AI$3,0),0)),6-SUM(AK303:$AO303))</f>
        <v>0</v>
      </c>
      <c r="AK303">
        <f ca="1">MIN(INT(SUM(AE303:$AI303)/OFFSET($AV$2,MATCH(AE$3,$AE$3:$AI$3,0),0)),6-SUM(AL303:$AO303))</f>
        <v>0</v>
      </c>
      <c r="AL303">
        <f ca="1">MIN(INT(SUM(AF303:$AI303)/OFFSET($AV$2,MATCH(AF$3,$AE$3:$AI$3,0),0)),6-SUM(AM303:$AO303))</f>
        <v>0</v>
      </c>
      <c r="AM303">
        <f ca="1">MIN(INT((SUM(AG303:$AI303)+N303*2/6)/OFFSET($AV$2,MATCH(AG$3,$AE$3:$AI$3,0),0)),6-SUM(AN303:$AO303))</f>
        <v>0</v>
      </c>
      <c r="AN303">
        <f ca="1">MIN(INT(SUM(AH303:$AI303)/OFFSET($AV$2,MATCH(AH$3,$AE$3:$AI$3,0),0)),6-SUM(AO303:$AO303))</f>
        <v>3</v>
      </c>
      <c r="AO303">
        <f ca="1">INT(SUM(AI302:$AI303)/OFFSET($AV$2,MATCH(AI$3,$AE$3:$AI$3,0),0))</f>
        <v>3</v>
      </c>
      <c r="AP303" cm="1">
        <f ca="1" t="array" ref="AP303">SUMPRODUCT(AJ303:AO303,TRANSPOSE($AS$3:$AS$8))</f>
        <v>2.7</v>
      </c>
    </row>
    <row r="315" spans="20:20">
      <c r="T315" s="53"/>
    </row>
    <row r="316" spans="20:20">
      <c r="T316" s="53"/>
    </row>
    <row r="317" spans="20:20">
      <c r="T317" s="53"/>
    </row>
    <row r="318" spans="20:20">
      <c r="T318" s="53"/>
    </row>
    <row r="319" spans="20:20">
      <c r="T319" s="53"/>
    </row>
    <row r="320" spans="20:20">
      <c r="T320" s="53"/>
    </row>
    <row r="321" spans="20:20">
      <c r="T321" s="53"/>
    </row>
    <row r="322" spans="20:20">
      <c r="T322" s="53"/>
    </row>
    <row r="323" spans="20:20">
      <c r="T323" s="53"/>
    </row>
    <row r="324" spans="20:20">
      <c r="T324" s="53"/>
    </row>
    <row r="325" spans="20:20">
      <c r="T325" s="53"/>
    </row>
    <row r="326" spans="20:20">
      <c r="T326" s="53"/>
    </row>
    <row r="327" spans="20:20">
      <c r="T327" s="53"/>
    </row>
    <row r="328" spans="20:20">
      <c r="T328" s="53"/>
    </row>
    <row r="329" spans="20:20">
      <c r="T329" s="53"/>
    </row>
    <row r="330" spans="20:20">
      <c r="T330" s="53"/>
    </row>
    <row r="331" spans="20:20">
      <c r="T331" s="53"/>
    </row>
    <row r="332" spans="20:20">
      <c r="T332" s="53"/>
    </row>
    <row r="333" spans="20:20">
      <c r="T333" s="53"/>
    </row>
    <row r="334" spans="20:20">
      <c r="T334" s="53"/>
    </row>
    <row r="335" spans="20:20">
      <c r="T335" s="53"/>
    </row>
    <row r="336" spans="20:20">
      <c r="T336" s="53"/>
    </row>
    <row r="337" spans="20:20">
      <c r="T337" s="53"/>
    </row>
    <row r="338" spans="20:20">
      <c r="T338" s="53"/>
    </row>
    <row r="339" spans="20:20">
      <c r="T339" s="53"/>
    </row>
    <row r="340" spans="20:20">
      <c r="T340" s="53"/>
    </row>
    <row r="341" spans="20:20">
      <c r="T341" s="53"/>
    </row>
    <row r="342" spans="20:20">
      <c r="T342" s="53"/>
    </row>
    <row r="343" spans="20:20">
      <c r="T343" s="53"/>
    </row>
    <row r="344" spans="20:20">
      <c r="T344" s="53"/>
    </row>
    <row r="345" spans="20:20">
      <c r="T345" s="53"/>
    </row>
    <row r="346" spans="20:20">
      <c r="T346" s="53"/>
    </row>
    <row r="347" spans="20:20">
      <c r="T347" s="53"/>
    </row>
    <row r="348" spans="20:20">
      <c r="T348" s="53"/>
    </row>
    <row r="349" spans="20:20">
      <c r="T349" s="53"/>
    </row>
    <row r="350" spans="20:20">
      <c r="T350" s="53"/>
    </row>
    <row r="351" spans="20:20">
      <c r="T351" s="53"/>
    </row>
    <row r="352" spans="20:20">
      <c r="T352" s="53"/>
    </row>
    <row r="353" spans="20:20">
      <c r="T353" s="53"/>
    </row>
    <row r="354" spans="20:20">
      <c r="T354" s="53"/>
    </row>
    <row r="355" spans="20:20">
      <c r="T355" s="53"/>
    </row>
    <row r="356" spans="20:20">
      <c r="T356" s="53"/>
    </row>
    <row r="357" spans="20:20">
      <c r="T357" s="53"/>
    </row>
    <row r="358" spans="20:20">
      <c r="T358" s="53"/>
    </row>
    <row r="359" spans="20:20">
      <c r="T359" s="53"/>
    </row>
    <row r="360" spans="20:20">
      <c r="T360" s="53"/>
    </row>
    <row r="361" spans="20:20">
      <c r="T361" s="53"/>
    </row>
    <row r="362" spans="20:20">
      <c r="T362" s="53"/>
    </row>
    <row r="363" spans="20:20">
      <c r="T363" s="53"/>
    </row>
    <row r="364" spans="20:20">
      <c r="T364" s="53"/>
    </row>
    <row r="365" spans="20:20">
      <c r="T365" s="53"/>
    </row>
    <row r="366" spans="20:20">
      <c r="T366" s="53"/>
    </row>
    <row r="367" spans="20:20">
      <c r="T367" s="53"/>
    </row>
    <row r="368" spans="20:20">
      <c r="T368" s="53"/>
    </row>
    <row r="369" spans="20:20">
      <c r="T369" s="53"/>
    </row>
    <row r="370" spans="20:20">
      <c r="T370" s="53"/>
    </row>
    <row r="371" spans="20:20">
      <c r="T371" s="53"/>
    </row>
    <row r="372" spans="20:20">
      <c r="T372" s="53"/>
    </row>
    <row r="373" spans="20:20">
      <c r="T373" s="53"/>
    </row>
    <row r="374" spans="20:20">
      <c r="T374" s="53"/>
    </row>
    <row r="375" spans="20:20">
      <c r="T375" s="53"/>
    </row>
    <row r="376" spans="20:20">
      <c r="T376" s="53"/>
    </row>
    <row r="377" spans="20:20">
      <c r="T377" s="53"/>
    </row>
    <row r="378" spans="20:20">
      <c r="T378" s="53"/>
    </row>
    <row r="379" spans="20:20">
      <c r="T379" s="53"/>
    </row>
    <row r="380" spans="20:20">
      <c r="T380" s="53"/>
    </row>
    <row r="381" spans="20:20">
      <c r="T381" s="53"/>
    </row>
    <row r="382" spans="20:20">
      <c r="T382" s="53"/>
    </row>
    <row r="383" spans="20:20">
      <c r="T383" s="53"/>
    </row>
    <row r="384" spans="20:20">
      <c r="T384" s="53"/>
    </row>
    <row r="385" spans="20:20">
      <c r="T385" s="53"/>
    </row>
    <row r="386" spans="20:20">
      <c r="T386" s="53"/>
    </row>
    <row r="387" spans="20:20">
      <c r="T387" s="53"/>
    </row>
    <row r="388" spans="20:20">
      <c r="T388" s="53"/>
    </row>
    <row r="389" spans="20:20">
      <c r="T389" s="53"/>
    </row>
    <row r="390" spans="20:20">
      <c r="T390" s="53"/>
    </row>
    <row r="391" spans="20:20">
      <c r="T391" s="53"/>
    </row>
    <row r="392" spans="20:20">
      <c r="T392" s="53"/>
    </row>
    <row r="393" spans="20:20">
      <c r="T393" s="53"/>
    </row>
    <row r="394" spans="20:20">
      <c r="T394" s="53"/>
    </row>
    <row r="395" spans="20:20">
      <c r="T395" s="53"/>
    </row>
    <row r="396" spans="20:20">
      <c r="T396" s="53"/>
    </row>
    <row r="397" spans="20:20">
      <c r="T397" s="53"/>
    </row>
    <row r="398" spans="20:20">
      <c r="T398" s="53"/>
    </row>
    <row r="399" spans="20:20">
      <c r="T399" s="53"/>
    </row>
    <row r="400" spans="20:20">
      <c r="T400" s="53"/>
    </row>
    <row r="401" spans="20:20">
      <c r="T401" s="53"/>
    </row>
    <row r="402" spans="20:20">
      <c r="T402" s="53"/>
    </row>
    <row r="403" spans="20:20">
      <c r="T403" s="53"/>
    </row>
    <row r="404" spans="20:20">
      <c r="T404" s="53"/>
    </row>
    <row r="405" spans="20:20">
      <c r="T405" s="53"/>
    </row>
    <row r="406" spans="20:20">
      <c r="T406" s="53"/>
    </row>
    <row r="407" spans="20:20">
      <c r="T407" s="53"/>
    </row>
    <row r="408" spans="20:20">
      <c r="T408" s="53"/>
    </row>
    <row r="409" spans="20:20">
      <c r="T409" s="53"/>
    </row>
    <row r="410" spans="20:20">
      <c r="T410" s="53"/>
    </row>
    <row r="411" spans="20:20">
      <c r="T411" s="53"/>
    </row>
    <row r="412" spans="20:20">
      <c r="T412" s="53"/>
    </row>
    <row r="413" spans="20:20">
      <c r="T413" s="53"/>
    </row>
    <row r="414" spans="20:20">
      <c r="T414" s="53"/>
    </row>
    <row r="415" spans="20:20">
      <c r="T415" s="53"/>
    </row>
    <row r="416" spans="20:20">
      <c r="T416" s="53"/>
    </row>
    <row r="417" spans="20:20">
      <c r="T417" s="53"/>
    </row>
    <row r="418" spans="20:20">
      <c r="T418" s="53"/>
    </row>
    <row r="419" spans="20:20">
      <c r="T419" s="53"/>
    </row>
    <row r="420" spans="20:20">
      <c r="T420" s="53"/>
    </row>
    <row r="421" spans="20:20">
      <c r="T421" s="53"/>
    </row>
    <row r="422" spans="20:20">
      <c r="T422" s="53"/>
    </row>
    <row r="423" spans="20:20">
      <c r="T423" s="53"/>
    </row>
    <row r="424" spans="20:20">
      <c r="T424" s="53"/>
    </row>
    <row r="425" spans="20:20">
      <c r="T425" s="53"/>
    </row>
    <row r="426" spans="20:20">
      <c r="T426" s="53"/>
    </row>
    <row r="427" spans="20:20">
      <c r="T427" s="53"/>
    </row>
    <row r="428" spans="20:20">
      <c r="T428" s="53"/>
    </row>
    <row r="429" spans="20:20">
      <c r="T429" s="53"/>
    </row>
    <row r="430" spans="20:20">
      <c r="T430" s="53"/>
    </row>
    <row r="431" spans="20:20">
      <c r="T431" s="53"/>
    </row>
    <row r="432" spans="20:20">
      <c r="T432" s="53"/>
    </row>
    <row r="433" spans="20:20">
      <c r="T433" s="53"/>
    </row>
    <row r="434" spans="20:20">
      <c r="T434" s="53"/>
    </row>
    <row r="435" spans="20:20">
      <c r="T435" s="53"/>
    </row>
    <row r="436" spans="20:20">
      <c r="T436" s="53"/>
    </row>
    <row r="437" spans="20:20">
      <c r="T437" s="53"/>
    </row>
    <row r="438" spans="20:20">
      <c r="T438" s="53"/>
    </row>
    <row r="439" spans="20:20">
      <c r="T439" s="53"/>
    </row>
    <row r="440" spans="20:20">
      <c r="T440" s="53"/>
    </row>
    <row r="441" spans="20:20">
      <c r="T441" s="53"/>
    </row>
    <row r="442" spans="20:20">
      <c r="T442" s="53"/>
    </row>
    <row r="443" spans="20:20">
      <c r="T443" s="53"/>
    </row>
    <row r="444" spans="20:20">
      <c r="T444" s="53"/>
    </row>
    <row r="445" spans="20:20">
      <c r="T445" s="53"/>
    </row>
    <row r="446" spans="20:20">
      <c r="T446" s="53"/>
    </row>
    <row r="447" spans="20:20">
      <c r="T447" s="53"/>
    </row>
    <row r="448" spans="20:20">
      <c r="T448" s="53"/>
    </row>
    <row r="449" spans="20:20">
      <c r="T449" s="53"/>
    </row>
    <row r="450" spans="20:20">
      <c r="T450" s="53"/>
    </row>
    <row r="451" spans="20:20">
      <c r="T451" s="53"/>
    </row>
    <row r="452" spans="20:20">
      <c r="T452" s="53"/>
    </row>
    <row r="453" spans="20:20">
      <c r="T453" s="53"/>
    </row>
    <row r="454" spans="20:20">
      <c r="T454" s="53"/>
    </row>
    <row r="455" spans="20:20">
      <c r="T455" s="53"/>
    </row>
    <row r="456" spans="20:20">
      <c r="T456" s="53"/>
    </row>
    <row r="457" spans="20:20">
      <c r="T457" s="53"/>
    </row>
    <row r="458" spans="20:20">
      <c r="T458" s="53"/>
    </row>
    <row r="459" spans="20:20">
      <c r="T459" s="53"/>
    </row>
    <row r="460" spans="20:20">
      <c r="T460" s="53"/>
    </row>
    <row r="461" spans="20:20">
      <c r="T461" s="53"/>
    </row>
    <row r="462" spans="20:20">
      <c r="T462" s="53"/>
    </row>
    <row r="463" spans="20:20">
      <c r="T463" s="53"/>
    </row>
    <row r="464" spans="20:20">
      <c r="T464" s="53"/>
    </row>
    <row r="465" spans="20:20">
      <c r="T465" s="53"/>
    </row>
    <row r="466" spans="20:20">
      <c r="T466" s="53"/>
    </row>
    <row r="467" spans="20:20">
      <c r="T467" s="53"/>
    </row>
    <row r="468" spans="20:20">
      <c r="T468" s="53"/>
    </row>
    <row r="469" spans="20:20">
      <c r="T469" s="53"/>
    </row>
    <row r="470" spans="20:20">
      <c r="T470" s="53"/>
    </row>
    <row r="471" spans="20:20">
      <c r="T471" s="53"/>
    </row>
    <row r="472" spans="20:20">
      <c r="T472" s="53"/>
    </row>
    <row r="473" spans="20:20">
      <c r="T473" s="53"/>
    </row>
    <row r="474" spans="20:20">
      <c r="T474" s="53"/>
    </row>
    <row r="475" spans="20:20">
      <c r="T475" s="53"/>
    </row>
    <row r="476" spans="20:20">
      <c r="T476" s="53"/>
    </row>
    <row r="477" spans="20:20">
      <c r="T477" s="53"/>
    </row>
    <row r="478" spans="20:20">
      <c r="T478" s="53"/>
    </row>
    <row r="479" spans="20:20">
      <c r="T479" s="53"/>
    </row>
    <row r="480" spans="20:20">
      <c r="T480" s="53"/>
    </row>
    <row r="481" spans="20:20">
      <c r="T481" s="53"/>
    </row>
    <row r="482" spans="20:20">
      <c r="T482" s="53"/>
    </row>
    <row r="483" spans="20:20">
      <c r="T483" s="53"/>
    </row>
    <row r="484" spans="20:20">
      <c r="T484" s="53"/>
    </row>
    <row r="485" spans="20:20">
      <c r="T485" s="53"/>
    </row>
    <row r="486" spans="20:20">
      <c r="T486" s="53"/>
    </row>
    <row r="487" spans="20:20">
      <c r="T487" s="53"/>
    </row>
    <row r="488" spans="20:20">
      <c r="T488" s="53"/>
    </row>
    <row r="489" spans="20:20">
      <c r="T489" s="53"/>
    </row>
    <row r="490" spans="20:20">
      <c r="T490" s="53"/>
    </row>
    <row r="491" spans="20:20">
      <c r="T491" s="53"/>
    </row>
    <row r="492" spans="20:20">
      <c r="T492" s="53"/>
    </row>
    <row r="493" spans="20:20">
      <c r="T493" s="53"/>
    </row>
    <row r="494" spans="20:20">
      <c r="T494" s="53"/>
    </row>
    <row r="495" spans="20:20">
      <c r="T495" s="53"/>
    </row>
    <row r="496" spans="20:20">
      <c r="T496" s="53"/>
    </row>
    <row r="497" spans="20:20">
      <c r="T497" s="53"/>
    </row>
    <row r="498" spans="20:20">
      <c r="T498" s="53"/>
    </row>
    <row r="499" spans="20:20">
      <c r="T499" s="53"/>
    </row>
    <row r="500" spans="20:20">
      <c r="T500" s="53"/>
    </row>
    <row r="501" spans="20:20">
      <c r="T501" s="53"/>
    </row>
    <row r="502" spans="20:20">
      <c r="T502" s="53"/>
    </row>
    <row r="503" spans="20:20">
      <c r="T503" s="53"/>
    </row>
    <row r="504" spans="20:20">
      <c r="T504" s="53"/>
    </row>
    <row r="505" spans="20:20">
      <c r="T505" s="53"/>
    </row>
    <row r="506" spans="20:20">
      <c r="T506" s="53"/>
    </row>
    <row r="507" spans="20:20">
      <c r="T507" s="53"/>
    </row>
    <row r="508" spans="20:20">
      <c r="T508" s="53"/>
    </row>
    <row r="509" spans="20:20">
      <c r="T509" s="53"/>
    </row>
    <row r="510" spans="20:20">
      <c r="T510" s="53"/>
    </row>
    <row r="511" spans="20:20">
      <c r="T511" s="53"/>
    </row>
    <row r="512" spans="20:20">
      <c r="T512" s="53"/>
    </row>
    <row r="513" spans="20:20">
      <c r="T513" s="53"/>
    </row>
    <row r="514" spans="20:20">
      <c r="T514" s="53"/>
    </row>
    <row r="515" spans="20:20">
      <c r="T515" s="53"/>
    </row>
    <row r="516" spans="20:20">
      <c r="T516" s="53"/>
    </row>
    <row r="517" spans="20:20">
      <c r="T517" s="53"/>
    </row>
    <row r="518" spans="20:20">
      <c r="T518" s="53"/>
    </row>
    <row r="519" spans="20:20">
      <c r="T519" s="53"/>
    </row>
    <row r="520" spans="20:20">
      <c r="T520" s="53"/>
    </row>
    <row r="521" spans="20:20">
      <c r="T521" s="53"/>
    </row>
    <row r="522" spans="20:20">
      <c r="T522" s="53"/>
    </row>
    <row r="523" spans="20:20">
      <c r="T523" s="53"/>
    </row>
    <row r="524" spans="20:20">
      <c r="T524" s="53"/>
    </row>
    <row r="525" spans="20:20">
      <c r="T525" s="53"/>
    </row>
    <row r="526" spans="20:20">
      <c r="T526" s="53"/>
    </row>
    <row r="527" spans="20:20">
      <c r="T527" s="53"/>
    </row>
    <row r="528" spans="20:20">
      <c r="T528" s="53"/>
    </row>
    <row r="529" spans="20:20">
      <c r="T529" s="53"/>
    </row>
    <row r="530" spans="20:20">
      <c r="T530" s="53"/>
    </row>
    <row r="531" spans="20:20">
      <c r="T531" s="53"/>
    </row>
    <row r="532" spans="20:20">
      <c r="T532" s="53"/>
    </row>
    <row r="533" spans="20:20">
      <c r="T533" s="53"/>
    </row>
    <row r="534" spans="20:20">
      <c r="T534" s="53"/>
    </row>
    <row r="535" spans="20:20">
      <c r="T535" s="53"/>
    </row>
    <row r="536" spans="20:20">
      <c r="T536" s="53"/>
    </row>
    <row r="537" spans="20:20">
      <c r="T537" s="53"/>
    </row>
    <row r="538" spans="20:20">
      <c r="T538" s="53"/>
    </row>
    <row r="539" spans="20:20">
      <c r="T539" s="53"/>
    </row>
    <row r="540" spans="20:20">
      <c r="T540" s="53"/>
    </row>
    <row r="541" spans="20:20">
      <c r="T541" s="53"/>
    </row>
    <row r="542" spans="20:20">
      <c r="T542" s="53"/>
    </row>
    <row r="543" spans="20:20">
      <c r="T543" s="53"/>
    </row>
    <row r="544" spans="20:20">
      <c r="T544" s="53"/>
    </row>
    <row r="545" spans="20:20">
      <c r="T545" s="53"/>
    </row>
    <row r="546" spans="20:20">
      <c r="T546" s="53"/>
    </row>
    <row r="547" spans="20:20">
      <c r="T547" s="53"/>
    </row>
    <row r="548" spans="20:20">
      <c r="T548" s="53"/>
    </row>
    <row r="549" spans="20:20">
      <c r="T549" s="53"/>
    </row>
    <row r="550" spans="20:20">
      <c r="T550" s="53"/>
    </row>
    <row r="551" spans="20:20">
      <c r="T551" s="53"/>
    </row>
    <row r="552" spans="20:20">
      <c r="T552" s="53"/>
    </row>
    <row r="553" spans="20:20">
      <c r="T553" s="53"/>
    </row>
    <row r="554" spans="20:20">
      <c r="T554" s="53"/>
    </row>
    <row r="555" spans="20:20">
      <c r="T555" s="53"/>
    </row>
    <row r="556" spans="20:20">
      <c r="T556" s="53"/>
    </row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4"/>
  </sheetPr>
  <dimension ref="B2:G14"/>
  <sheetViews>
    <sheetView topLeftCell="A4" workbookViewId="0">
      <selection activeCell="G38" sqref="D3:G38"/>
    </sheetView>
  </sheetViews>
  <sheetFormatPr defaultColWidth="9" defaultRowHeight="13.5" outlineLevelCol="6"/>
  <cols>
    <col min="3" max="3" width="10.375"/>
  </cols>
  <sheetData>
    <row r="2" ht="16.5" spans="2:7">
      <c r="B2" s="25" t="s">
        <v>85</v>
      </c>
      <c r="C2" s="26" t="s">
        <v>200</v>
      </c>
      <c r="D2" s="26" t="s">
        <v>201</v>
      </c>
      <c r="E2" s="26" t="s">
        <v>202</v>
      </c>
    </row>
    <row r="3" ht="16.5" spans="2:7">
      <c r="B3" s="27">
        <v>1</v>
      </c>
      <c r="C3" s="28">
        <f>G3</f>
        <v>6000</v>
      </c>
      <c r="D3" s="28">
        <v>3000</v>
      </c>
      <c r="E3" s="29">
        <v>1.14467592592593</v>
      </c>
      <c r="G3">
        <v>6000</v>
      </c>
    </row>
    <row r="4" ht="16.5" spans="2:7">
      <c r="B4" s="27">
        <v>2</v>
      </c>
      <c r="C4" s="28">
        <f>G4-SUM($G$3:G3)</f>
        <v>12000</v>
      </c>
      <c r="D4" s="28">
        <v>6000</v>
      </c>
      <c r="E4" s="29">
        <v>1.34722222222222</v>
      </c>
      <c r="G4">
        <v>18000</v>
      </c>
    </row>
    <row r="5" ht="16.5" spans="2:7">
      <c r="B5" s="27">
        <v>3</v>
      </c>
      <c r="C5" s="28">
        <f>G5-SUM($G$3:G4)</f>
        <v>34000</v>
      </c>
      <c r="D5" s="28">
        <f t="shared" ref="D5:D14" si="0">D4*2</f>
        <v>12000</v>
      </c>
      <c r="E5" s="29">
        <v>1.41666666666667</v>
      </c>
      <c r="G5">
        <v>58000</v>
      </c>
    </row>
    <row r="6" ht="16.5" spans="2:7">
      <c r="B6" s="27">
        <v>4</v>
      </c>
      <c r="C6" s="28">
        <f>G6-SUM($G$3:G5)</f>
        <v>56000</v>
      </c>
      <c r="D6" s="28">
        <v>25000</v>
      </c>
      <c r="E6" s="29">
        <v>1.5</v>
      </c>
      <c r="G6">
        <v>138000</v>
      </c>
    </row>
    <row r="7" ht="16.5" spans="2:7">
      <c r="B7" s="27">
        <v>5</v>
      </c>
      <c r="C7" s="28">
        <f>G7-SUM($G$3:G6)</f>
        <v>68000</v>
      </c>
      <c r="D7" s="28">
        <f t="shared" si="0"/>
        <v>50000</v>
      </c>
      <c r="E7" s="29">
        <v>1.6</v>
      </c>
      <c r="G7">
        <v>288000</v>
      </c>
    </row>
    <row r="8" ht="16.5" spans="2:7">
      <c r="B8" s="27">
        <v>6</v>
      </c>
      <c r="C8" s="28">
        <f>G8-SUM($G$3:G7)</f>
        <v>80000</v>
      </c>
      <c r="D8" s="28">
        <f t="shared" si="0"/>
        <v>100000</v>
      </c>
      <c r="E8" s="29">
        <v>1.72</v>
      </c>
      <c r="G8">
        <v>588000</v>
      </c>
    </row>
    <row r="9" ht="16.5" spans="2:7">
      <c r="B9" s="27">
        <v>7</v>
      </c>
      <c r="C9" s="28">
        <f>G9-SUM($G$3:G8)</f>
        <v>92000</v>
      </c>
      <c r="D9" s="28">
        <f t="shared" si="0"/>
        <v>200000</v>
      </c>
      <c r="E9" s="29">
        <v>1.864</v>
      </c>
      <c r="G9">
        <v>1188000</v>
      </c>
    </row>
    <row r="10" ht="16.5" spans="2:7">
      <c r="B10" s="27">
        <v>8</v>
      </c>
      <c r="C10" s="28">
        <f>G10-SUM($G$3:G9)</f>
        <v>104000</v>
      </c>
      <c r="D10" s="28">
        <f t="shared" si="0"/>
        <v>400000</v>
      </c>
      <c r="E10" s="29">
        <v>2.0368</v>
      </c>
      <c r="G10">
        <v>2388000</v>
      </c>
    </row>
    <row r="11" ht="16.5" spans="2:7">
      <c r="B11" s="27">
        <v>9</v>
      </c>
      <c r="C11" s="28">
        <f>G11-SUM($G$3:G10)</f>
        <v>216000</v>
      </c>
      <c r="D11" s="28">
        <f t="shared" si="0"/>
        <v>800000</v>
      </c>
      <c r="E11" s="29">
        <v>2.24416</v>
      </c>
      <c r="G11">
        <v>4888000</v>
      </c>
    </row>
    <row r="12" ht="16.5" spans="2:7">
      <c r="B12" s="27">
        <v>10</v>
      </c>
      <c r="C12" s="28">
        <f>G12-SUM($G$3:G11)</f>
        <v>328000</v>
      </c>
      <c r="D12" s="28">
        <f t="shared" si="0"/>
        <v>1600000</v>
      </c>
      <c r="E12" s="29">
        <v>2.492992</v>
      </c>
      <c r="G12">
        <v>9888000</v>
      </c>
    </row>
    <row r="13" ht="16.5" spans="2:7">
      <c r="B13" s="27">
        <v>11</v>
      </c>
      <c r="C13" s="28">
        <f>G13-SUM($G$3:G12)</f>
        <v>440000</v>
      </c>
      <c r="D13" s="28">
        <f t="shared" si="0"/>
        <v>3200000</v>
      </c>
      <c r="E13" s="29">
        <v>2.7915904</v>
      </c>
      <c r="G13">
        <v>19888000</v>
      </c>
    </row>
    <row r="14" ht="16.5" spans="2:7">
      <c r="B14" s="30">
        <v>12</v>
      </c>
      <c r="C14" s="28"/>
      <c r="D14" s="31">
        <f t="shared" si="0"/>
        <v>6400000</v>
      </c>
      <c r="E14" s="32">
        <v>3.14990848</v>
      </c>
    </row>
  </sheetData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5:M85"/>
  <sheetViews>
    <sheetView topLeftCell="A36" workbookViewId="0">
      <selection activeCell="G38" sqref="D3:G38"/>
    </sheetView>
  </sheetViews>
  <sheetFormatPr defaultColWidth="9" defaultRowHeight="13.5"/>
  <sheetData>
    <row r="5" customFormat="1" ht="16.5" spans="2:13">
      <c r="B5" s="16"/>
      <c r="C5" s="16"/>
      <c r="D5" s="16"/>
      <c r="E5" s="16"/>
      <c r="F5" s="16"/>
      <c r="G5" s="16"/>
      <c r="H5" s="17" t="s">
        <v>203</v>
      </c>
      <c r="I5" s="18"/>
      <c r="J5" s="18"/>
      <c r="K5" s="18"/>
      <c r="L5" s="18"/>
      <c r="M5" s="18"/>
    </row>
    <row r="6" customFormat="1" ht="16.5" spans="2:13">
      <c r="B6" s="19" t="s">
        <v>204</v>
      </c>
      <c r="C6" s="19" t="s">
        <v>205</v>
      </c>
      <c r="D6" s="19" t="s">
        <v>206</v>
      </c>
      <c r="E6" s="17" t="s">
        <v>207</v>
      </c>
      <c r="F6" s="17" t="s">
        <v>208</v>
      </c>
      <c r="G6" s="17" t="s">
        <v>209</v>
      </c>
      <c r="H6" s="17" t="s">
        <v>210</v>
      </c>
      <c r="I6" s="17" t="s">
        <v>211</v>
      </c>
      <c r="J6" s="17" t="s">
        <v>212</v>
      </c>
      <c r="K6" s="17" t="s">
        <v>213</v>
      </c>
      <c r="L6" s="17" t="s">
        <v>214</v>
      </c>
      <c r="M6" s="17" t="s">
        <v>215</v>
      </c>
    </row>
    <row r="7" customFormat="1" ht="16.5" spans="2:13">
      <c r="B7" s="20">
        <v>1</v>
      </c>
      <c r="C7" s="20">
        <v>1</v>
      </c>
      <c r="D7" s="20" t="s">
        <v>41</v>
      </c>
      <c r="E7" s="20" t="s">
        <v>216</v>
      </c>
      <c r="F7" s="20">
        <v>1</v>
      </c>
      <c r="G7" s="20"/>
      <c r="H7" s="20" t="s">
        <v>217</v>
      </c>
      <c r="I7" s="20" t="s">
        <v>218</v>
      </c>
      <c r="J7" s="20">
        <v>5</v>
      </c>
      <c r="K7" s="20"/>
      <c r="L7" s="20"/>
      <c r="M7" s="20" t="s">
        <v>219</v>
      </c>
    </row>
    <row r="8" customFormat="1" ht="16.5" spans="2:13">
      <c r="B8" s="20">
        <f>IF(D8="","",MAX($B$7:B7)+1)</f>
        <v>2</v>
      </c>
      <c r="C8" s="20">
        <v>13</v>
      </c>
      <c r="D8" s="20" t="s">
        <v>42</v>
      </c>
      <c r="E8" s="20"/>
      <c r="F8" s="20">
        <v>2</v>
      </c>
      <c r="G8" s="20"/>
      <c r="H8" s="20" t="s">
        <v>220</v>
      </c>
      <c r="I8" s="20"/>
      <c r="J8" s="20">
        <v>7</v>
      </c>
      <c r="K8" s="20"/>
      <c r="L8" s="20"/>
      <c r="M8" s="20"/>
    </row>
    <row r="9" customFormat="1" ht="16.5" spans="2:13">
      <c r="B9" s="20">
        <f>IF(D9="","",MAX($B$7:B8)+1)</f>
        <v>3</v>
      </c>
      <c r="C9" s="20">
        <v>2</v>
      </c>
      <c r="D9" s="20" t="s">
        <v>43</v>
      </c>
      <c r="E9" s="20"/>
      <c r="F9" s="20">
        <v>0.05</v>
      </c>
      <c r="G9" s="20"/>
      <c r="H9" s="20" t="s">
        <v>221</v>
      </c>
      <c r="I9" s="20"/>
      <c r="J9" s="20">
        <v>5</v>
      </c>
      <c r="K9" s="20" t="s">
        <v>222</v>
      </c>
      <c r="L9" s="20"/>
      <c r="M9" s="20"/>
    </row>
    <row r="10" customFormat="1" ht="16.5" spans="2:13">
      <c r="B10" s="20">
        <f>IF(D10="","",MAX($B$7:B9)+1)</f>
        <v>4</v>
      </c>
      <c r="C10" s="20">
        <v>44</v>
      </c>
      <c r="D10" s="20" t="s">
        <v>223</v>
      </c>
      <c r="E10" s="20"/>
      <c r="F10" s="20">
        <v>10</v>
      </c>
      <c r="G10" s="20"/>
      <c r="H10" s="20" t="s">
        <v>224</v>
      </c>
      <c r="I10" s="20" t="s">
        <v>225</v>
      </c>
      <c r="J10" s="20">
        <v>2</v>
      </c>
      <c r="K10" s="20"/>
      <c r="L10" s="20"/>
      <c r="M10" s="21" t="s">
        <v>226</v>
      </c>
    </row>
    <row r="11" customFormat="1" ht="16.5" spans="2:13">
      <c r="B11" s="20">
        <f>IF(D11="","",MAX($B$7:B10)+1)</f>
        <v>5</v>
      </c>
      <c r="C11" s="20">
        <v>20003</v>
      </c>
      <c r="D11" s="20" t="s">
        <v>227</v>
      </c>
      <c r="E11" s="20"/>
      <c r="F11" s="20">
        <v>30</v>
      </c>
      <c r="G11" s="20"/>
      <c r="H11" s="20"/>
      <c r="I11" s="20"/>
      <c r="J11" s="20"/>
      <c r="K11" s="20"/>
      <c r="L11" s="20"/>
      <c r="M11" s="21"/>
    </row>
    <row r="12" customFormat="1" ht="16.5" spans="2:13">
      <c r="B12" s="20">
        <f>IF(D12="","",MAX($B$7:B11)+1)</f>
        <v>6</v>
      </c>
      <c r="C12" s="20">
        <v>20033</v>
      </c>
      <c r="D12" s="20" t="s">
        <v>228</v>
      </c>
      <c r="E12" s="20"/>
      <c r="F12" s="20">
        <v>40</v>
      </c>
      <c r="G12" s="20"/>
      <c r="H12" s="20"/>
      <c r="I12" s="20"/>
      <c r="J12" s="20"/>
      <c r="K12" s="20"/>
      <c r="L12" s="20"/>
      <c r="M12" s="20"/>
    </row>
    <row r="13" customFormat="1" ht="16.5" spans="2:13">
      <c r="B13" s="20">
        <f>IF(D13="","",MAX($B$7:B12)+1)</f>
        <v>7</v>
      </c>
      <c r="C13" s="20">
        <v>5800004</v>
      </c>
      <c r="D13" s="20" t="s">
        <v>229</v>
      </c>
      <c r="E13" s="20"/>
      <c r="F13" s="20">
        <v>30</v>
      </c>
      <c r="G13" s="20"/>
      <c r="H13" s="20"/>
      <c r="I13" s="20"/>
      <c r="J13" s="20"/>
      <c r="K13" s="20"/>
      <c r="L13" s="20"/>
      <c r="M13" s="20"/>
    </row>
    <row r="14" customFormat="1" ht="16.5" spans="2:13">
      <c r="B14" s="20">
        <f>IF(D14="","",MAX($B$7:B13)+1)</f>
        <v>8</v>
      </c>
      <c r="C14" s="20">
        <v>5800005</v>
      </c>
      <c r="D14" s="20" t="s">
        <v>230</v>
      </c>
      <c r="E14" s="20"/>
      <c r="F14" s="20">
        <v>50</v>
      </c>
      <c r="G14" s="20"/>
      <c r="H14" s="20"/>
      <c r="I14" s="20"/>
      <c r="J14" s="20"/>
      <c r="K14" s="20"/>
      <c r="L14" s="20"/>
      <c r="M14" s="20"/>
    </row>
    <row r="15" customFormat="1" ht="16.5" spans="2:13">
      <c r="B15" s="20">
        <f>IF(D15="","",MAX($B$7:B14)+1)</f>
        <v>9</v>
      </c>
      <c r="C15" s="20">
        <v>20034</v>
      </c>
      <c r="D15" s="20" t="s">
        <v>231</v>
      </c>
      <c r="E15" s="20"/>
      <c r="F15" s="20">
        <v>250</v>
      </c>
      <c r="G15" s="20"/>
      <c r="H15" s="20"/>
      <c r="I15" s="20"/>
      <c r="J15" s="20"/>
      <c r="K15" s="20"/>
      <c r="L15" s="20"/>
      <c r="M15" s="20"/>
    </row>
    <row r="16" customFormat="1" ht="16.5" spans="2:13">
      <c r="B16" s="20">
        <f>IF(D16="","",MAX($B$7:B15)+1)</f>
        <v>10</v>
      </c>
      <c r="C16" s="20">
        <v>20035</v>
      </c>
      <c r="D16" s="20" t="s">
        <v>232</v>
      </c>
      <c r="E16" s="20"/>
      <c r="F16" s="20">
        <v>700</v>
      </c>
      <c r="G16" s="20"/>
      <c r="H16" s="20"/>
      <c r="I16" s="20"/>
      <c r="J16" s="20"/>
      <c r="K16" s="20"/>
      <c r="L16" s="20"/>
      <c r="M16" s="20"/>
    </row>
    <row r="17" customFormat="1" ht="16.5" spans="2:13">
      <c r="B17" s="20">
        <f>IF(D17="","",MAX($B$7:B16)+1)</f>
        <v>11</v>
      </c>
      <c r="C17" s="20">
        <v>28</v>
      </c>
      <c r="D17" s="20" t="s">
        <v>233</v>
      </c>
      <c r="E17" s="20"/>
      <c r="F17" s="20">
        <v>200</v>
      </c>
      <c r="G17" s="20"/>
      <c r="H17" s="20"/>
      <c r="I17" s="20"/>
      <c r="J17" s="20"/>
      <c r="K17" s="20"/>
      <c r="L17" s="20"/>
      <c r="M17" s="20"/>
    </row>
    <row r="18" customFormat="1" ht="16.5" spans="2:13">
      <c r="B18" s="20">
        <f>IF(D18="","",MAX($B$7:B17)+1)</f>
        <v>12</v>
      </c>
      <c r="C18" s="20">
        <v>5104001</v>
      </c>
      <c r="D18" s="20" t="s">
        <v>45</v>
      </c>
      <c r="E18" s="20"/>
      <c r="F18" s="20">
        <v>2</v>
      </c>
      <c r="G18" s="20"/>
      <c r="H18" s="20"/>
      <c r="I18" s="20"/>
      <c r="J18" s="20"/>
      <c r="K18" s="20" t="s">
        <v>234</v>
      </c>
      <c r="L18" s="20"/>
      <c r="M18" s="20"/>
    </row>
    <row r="19" customFormat="1" ht="16.5" spans="2:13">
      <c r="B19" s="20">
        <f>IF(D19="","",MAX($B$7:B18)+1)</f>
        <v>13</v>
      </c>
      <c r="C19" s="20">
        <v>5103001</v>
      </c>
      <c r="D19" s="20" t="s">
        <v>44</v>
      </c>
      <c r="E19" s="20" t="s">
        <v>235</v>
      </c>
      <c r="F19" s="20">
        <v>1</v>
      </c>
      <c r="G19" s="20"/>
      <c r="H19" s="20" t="s">
        <v>236</v>
      </c>
      <c r="I19" s="20"/>
      <c r="J19" s="20">
        <v>5</v>
      </c>
      <c r="K19" s="20" t="s">
        <v>234</v>
      </c>
      <c r="L19" s="20"/>
      <c r="M19" s="20" t="s">
        <v>237</v>
      </c>
    </row>
    <row r="20" customFormat="1" ht="16.5" spans="2:13">
      <c r="B20" s="20">
        <f>IF(D20="","",MAX($B$7:B19)+1)</f>
        <v>14</v>
      </c>
      <c r="C20" s="20">
        <v>11</v>
      </c>
      <c r="D20" s="20" t="s">
        <v>46</v>
      </c>
      <c r="E20" s="20"/>
      <c r="F20" s="20">
        <v>30</v>
      </c>
      <c r="G20" s="20"/>
      <c r="H20" s="20" t="s">
        <v>238</v>
      </c>
      <c r="I20" s="20" t="s">
        <v>239</v>
      </c>
      <c r="J20" s="20">
        <v>6</v>
      </c>
      <c r="K20" s="20" t="s">
        <v>234</v>
      </c>
      <c r="L20" s="20"/>
      <c r="M20" s="21" t="s">
        <v>240</v>
      </c>
    </row>
    <row r="21" customFormat="1" ht="16.5" spans="2:13">
      <c r="B21" s="20">
        <f>IF(D21="","",MAX($B$7:B20)+1)</f>
        <v>15</v>
      </c>
      <c r="C21" s="20">
        <v>35</v>
      </c>
      <c r="D21" s="20" t="s">
        <v>47</v>
      </c>
      <c r="E21" s="20"/>
      <c r="F21" s="20">
        <v>100</v>
      </c>
      <c r="G21" s="20"/>
      <c r="H21" s="20" t="s">
        <v>241</v>
      </c>
      <c r="I21" s="20"/>
      <c r="J21" s="20"/>
      <c r="K21" s="20" t="s">
        <v>234</v>
      </c>
      <c r="L21" s="20" t="s">
        <v>242</v>
      </c>
      <c r="M21" s="20"/>
    </row>
    <row r="22" customFormat="1" ht="16.5" spans="2:13">
      <c r="B22" s="20">
        <f>IF(D22="","",MAX($B$7:B21)+1)</f>
        <v>16</v>
      </c>
      <c r="C22" s="20"/>
      <c r="D22" s="20" t="s">
        <v>243</v>
      </c>
      <c r="E22" s="20"/>
      <c r="F22" s="20">
        <v>150</v>
      </c>
      <c r="G22" s="20"/>
      <c r="H22" s="20" t="s">
        <v>239</v>
      </c>
      <c r="I22" s="20"/>
      <c r="J22" s="20">
        <v>10</v>
      </c>
      <c r="K22" s="20" t="s">
        <v>234</v>
      </c>
      <c r="L22" s="20" t="s">
        <v>244</v>
      </c>
      <c r="M22" s="21" t="s">
        <v>245</v>
      </c>
    </row>
    <row r="23" customFormat="1" ht="16.5" spans="2:13">
      <c r="B23" s="20">
        <f>IF(D23="","",MAX($B$7:B22)+1)</f>
        <v>17</v>
      </c>
      <c r="C23" s="20">
        <v>1310100</v>
      </c>
      <c r="D23" s="20" t="s">
        <v>79</v>
      </c>
      <c r="E23" s="20"/>
      <c r="F23" s="20">
        <v>20</v>
      </c>
      <c r="G23" s="20"/>
      <c r="H23" s="20" t="s">
        <v>246</v>
      </c>
      <c r="I23" s="20"/>
      <c r="J23" s="20">
        <v>8</v>
      </c>
      <c r="K23" s="20" t="s">
        <v>234</v>
      </c>
      <c r="L23" s="20"/>
      <c r="M23" s="20"/>
    </row>
    <row r="24" customFormat="1" ht="16.5" spans="2:13">
      <c r="B24" s="20">
        <f>IF(D24="","",MAX($B$7:B23)+1)</f>
        <v>18</v>
      </c>
      <c r="C24" s="20">
        <v>1420200</v>
      </c>
      <c r="D24" s="22" t="s">
        <v>80</v>
      </c>
      <c r="E24" s="20"/>
      <c r="F24" s="20">
        <v>40</v>
      </c>
      <c r="G24" s="20"/>
      <c r="H24" s="20" t="s">
        <v>246</v>
      </c>
      <c r="I24" s="20"/>
      <c r="J24" s="20">
        <v>8</v>
      </c>
      <c r="K24" s="20" t="s">
        <v>234</v>
      </c>
      <c r="L24" s="20"/>
      <c r="M24" s="20"/>
    </row>
    <row r="25" customFormat="1" ht="16.5" spans="2:13">
      <c r="B25" s="20">
        <f>IF(D25="","",MAX($B$7:B24)+1)</f>
        <v>19</v>
      </c>
      <c r="C25" s="20">
        <v>1130100</v>
      </c>
      <c r="D25" s="22" t="s">
        <v>81</v>
      </c>
      <c r="E25" s="20"/>
      <c r="F25" s="20">
        <v>80</v>
      </c>
      <c r="G25" s="20"/>
      <c r="H25" s="20" t="s">
        <v>246</v>
      </c>
      <c r="I25" s="20"/>
      <c r="J25" s="20">
        <v>8</v>
      </c>
      <c r="K25" s="20" t="s">
        <v>234</v>
      </c>
      <c r="L25" s="20"/>
      <c r="M25" s="20"/>
    </row>
    <row r="26" customFormat="1" ht="16.5" spans="2:13">
      <c r="B26" s="20">
        <f>IF(D26="","",MAX($B$7:B25)+1)</f>
        <v>20</v>
      </c>
      <c r="C26" s="22"/>
      <c r="D26" s="22" t="s">
        <v>82</v>
      </c>
      <c r="E26" s="22"/>
      <c r="F26" s="20">
        <v>160</v>
      </c>
      <c r="G26" s="20"/>
      <c r="H26" s="20" t="s">
        <v>246</v>
      </c>
      <c r="I26" s="22"/>
      <c r="J26" s="20">
        <v>8</v>
      </c>
      <c r="K26" s="20" t="s">
        <v>234</v>
      </c>
      <c r="L26" s="22"/>
      <c r="M26" s="22"/>
    </row>
    <row r="27" customFormat="1" ht="16.5" spans="2:13">
      <c r="B27" s="20">
        <f>IF(D27="","",MAX($B$7:B26)+1)</f>
        <v>21</v>
      </c>
      <c r="C27" s="22"/>
      <c r="D27" s="22" t="s">
        <v>247</v>
      </c>
      <c r="E27" s="22"/>
      <c r="F27" s="20">
        <v>320</v>
      </c>
      <c r="G27" s="20"/>
      <c r="H27" s="20" t="s">
        <v>246</v>
      </c>
      <c r="I27" s="22"/>
      <c r="J27" s="20">
        <v>8</v>
      </c>
      <c r="K27" s="20" t="s">
        <v>234</v>
      </c>
      <c r="L27" s="22"/>
      <c r="M27" s="22"/>
    </row>
    <row r="28" customFormat="1" ht="16.5" spans="2:13">
      <c r="B28" s="20">
        <f>IF(D28="","",MAX($B$7:B27)+1)</f>
        <v>22</v>
      </c>
      <c r="C28" s="22">
        <v>13101001</v>
      </c>
      <c r="D28" s="20" t="s">
        <v>248</v>
      </c>
      <c r="E28" s="22"/>
      <c r="F28" s="22">
        <v>6</v>
      </c>
      <c r="G28" s="22"/>
      <c r="H28" s="20" t="s">
        <v>246</v>
      </c>
      <c r="I28" s="22"/>
      <c r="J28" s="20">
        <v>8</v>
      </c>
      <c r="K28" s="20" t="s">
        <v>234</v>
      </c>
      <c r="L28" s="22"/>
      <c r="M28" s="22"/>
    </row>
    <row r="29" customFormat="1" ht="16.5" spans="2:13">
      <c r="B29" s="20">
        <f>IF(D29="","",MAX($B$7:B28)+1)</f>
        <v>23</v>
      </c>
      <c r="C29" s="22">
        <v>14202001</v>
      </c>
      <c r="D29" s="22" t="s">
        <v>249</v>
      </c>
      <c r="E29" s="22"/>
      <c r="F29" s="22">
        <v>12</v>
      </c>
      <c r="G29" s="22"/>
      <c r="H29" s="20" t="s">
        <v>246</v>
      </c>
      <c r="I29" s="22"/>
      <c r="J29" s="20">
        <v>8</v>
      </c>
      <c r="K29" s="20" t="s">
        <v>234</v>
      </c>
      <c r="L29" s="22"/>
      <c r="M29" s="22"/>
    </row>
    <row r="30" customFormat="1" ht="16.5" spans="2:13">
      <c r="B30" s="20">
        <f>IF(D30="","",MAX($B$7:B29)+1)</f>
        <v>24</v>
      </c>
      <c r="C30" s="20">
        <v>11301001</v>
      </c>
      <c r="D30" s="22" t="s">
        <v>250</v>
      </c>
      <c r="E30" s="20"/>
      <c r="F30" s="22">
        <v>24</v>
      </c>
      <c r="G30" s="20"/>
      <c r="H30" s="20" t="s">
        <v>246</v>
      </c>
      <c r="I30" s="20"/>
      <c r="J30" s="20">
        <v>8</v>
      </c>
      <c r="K30" s="20" t="s">
        <v>234</v>
      </c>
      <c r="L30" s="20"/>
      <c r="M30" s="20"/>
    </row>
    <row r="31" customFormat="1" ht="16.5" spans="2:13">
      <c r="B31" s="20">
        <f>IF(D31="","",MAX($B$7:B30)+1)</f>
        <v>25</v>
      </c>
      <c r="C31" s="20"/>
      <c r="D31" s="22" t="s">
        <v>251</v>
      </c>
      <c r="E31" s="20"/>
      <c r="F31" s="22">
        <v>48</v>
      </c>
      <c r="G31" s="22"/>
      <c r="H31" s="20" t="s">
        <v>246</v>
      </c>
      <c r="I31" s="22"/>
      <c r="J31" s="20">
        <v>8</v>
      </c>
      <c r="K31" s="20" t="s">
        <v>234</v>
      </c>
      <c r="L31" s="22"/>
      <c r="M31" s="22"/>
    </row>
    <row r="32" customFormat="1" ht="16.5" spans="2:13">
      <c r="B32" s="20">
        <f>IF(D32="","",MAX($B$7:B31)+1)</f>
        <v>26</v>
      </c>
      <c r="C32" s="20"/>
      <c r="D32" s="22" t="s">
        <v>252</v>
      </c>
      <c r="E32" s="20"/>
      <c r="F32" s="22">
        <v>96</v>
      </c>
      <c r="G32" s="22"/>
      <c r="H32" s="20" t="s">
        <v>246</v>
      </c>
      <c r="I32" s="22"/>
      <c r="J32" s="20">
        <v>8</v>
      </c>
      <c r="K32" s="20" t="s">
        <v>234</v>
      </c>
      <c r="L32" s="22"/>
      <c r="M32" s="22"/>
    </row>
    <row r="33" customFormat="1" ht="16.5" spans="2:13">
      <c r="B33" s="20" t="str">
        <f>IF(D33="","",MAX($B$7:B32)+1)</f>
        <v/>
      </c>
      <c r="C33" s="20"/>
      <c r="D33" s="22"/>
      <c r="E33" s="20"/>
      <c r="F33" s="22"/>
      <c r="G33" s="22"/>
      <c r="H33" s="20"/>
      <c r="I33" s="22"/>
      <c r="J33" s="20"/>
      <c r="K33" s="20"/>
      <c r="L33" s="22"/>
      <c r="M33" s="22"/>
    </row>
    <row r="34" customFormat="1" ht="16.5" spans="2:13">
      <c r="B34" s="20">
        <f>IF(D34="","",MAX($B$7:B33)+1)</f>
        <v>27</v>
      </c>
      <c r="C34" s="20">
        <v>50</v>
      </c>
      <c r="D34" s="22" t="s">
        <v>253</v>
      </c>
      <c r="E34" s="20"/>
      <c r="F34" s="22">
        <v>0.1</v>
      </c>
      <c r="G34" s="22"/>
      <c r="H34" s="20"/>
      <c r="I34" s="22"/>
      <c r="J34" s="20"/>
      <c r="K34" s="20"/>
      <c r="L34" s="22"/>
      <c r="M34" s="22"/>
    </row>
    <row r="35" customFormat="1" ht="16.5" spans="2:13">
      <c r="B35" s="20">
        <f>IF(D35="","",MAX($B$7:B34)+1)</f>
        <v>28</v>
      </c>
      <c r="C35" s="20">
        <v>5523001</v>
      </c>
      <c r="D35" s="22" t="s">
        <v>48</v>
      </c>
      <c r="E35" s="20"/>
      <c r="F35" s="22">
        <v>0.33</v>
      </c>
      <c r="G35" s="22"/>
      <c r="H35" s="20"/>
      <c r="I35" s="22"/>
      <c r="J35" s="20"/>
      <c r="K35" s="20"/>
      <c r="L35" s="22"/>
      <c r="M35" s="22"/>
    </row>
    <row r="36" customFormat="1" ht="16.5" spans="2:13">
      <c r="B36" s="20">
        <f>IF(D36="","",MAX($B$7:B35)+1)</f>
        <v>29</v>
      </c>
      <c r="C36" s="20">
        <v>47</v>
      </c>
      <c r="D36" s="22" t="s">
        <v>254</v>
      </c>
      <c r="E36" s="20"/>
      <c r="F36" s="22">
        <v>0.688</v>
      </c>
      <c r="G36" s="22"/>
      <c r="H36" s="20"/>
      <c r="I36" s="22"/>
      <c r="J36" s="20"/>
      <c r="K36" s="20"/>
      <c r="L36" s="22"/>
      <c r="M36" s="22"/>
    </row>
    <row r="37" customFormat="1" ht="16.5" spans="2:13">
      <c r="B37" s="20" t="str">
        <f>IF(D37="","",MAX($B$7:B36)+1)</f>
        <v/>
      </c>
      <c r="C37" s="20"/>
      <c r="D37" s="22"/>
      <c r="E37" s="20"/>
      <c r="F37" s="22"/>
      <c r="G37" s="22"/>
      <c r="H37" s="20"/>
      <c r="I37" s="22"/>
      <c r="J37" s="20"/>
      <c r="K37" s="20"/>
      <c r="L37" s="22"/>
      <c r="M37" s="22"/>
    </row>
    <row r="38" customFormat="1" ht="16.5" spans="2:13">
      <c r="B38" s="20" t="str">
        <f>IF(D38="","",MAX($B$7:B37)+1)</f>
        <v/>
      </c>
      <c r="C38" s="20"/>
      <c r="D38" s="22"/>
      <c r="E38" s="20"/>
      <c r="F38" s="20"/>
      <c r="G38" s="22"/>
      <c r="H38" s="22"/>
      <c r="I38" s="22"/>
      <c r="J38" s="22"/>
      <c r="K38" s="22"/>
      <c r="L38" s="22"/>
      <c r="M38" s="22"/>
    </row>
    <row r="39" customFormat="1" ht="16.5" spans="2:13">
      <c r="B39" s="20">
        <f>IF(D39="","",MAX($B$7:B38)+1)</f>
        <v>30</v>
      </c>
      <c r="C39" s="20">
        <v>50002</v>
      </c>
      <c r="D39" s="20" t="s">
        <v>49</v>
      </c>
      <c r="E39" s="20" t="s">
        <v>255</v>
      </c>
      <c r="F39" s="20">
        <v>3</v>
      </c>
      <c r="G39" s="22"/>
      <c r="H39" s="22" t="s">
        <v>236</v>
      </c>
      <c r="I39" s="22"/>
      <c r="J39" s="22">
        <v>8</v>
      </c>
      <c r="K39" s="20" t="s">
        <v>222</v>
      </c>
      <c r="L39" s="22"/>
      <c r="M39" s="22" t="s">
        <v>256</v>
      </c>
    </row>
    <row r="40" customFormat="1" ht="16.5" spans="2:13">
      <c r="B40" s="20">
        <f>IF(D40="","",MAX($B$7:B39)+1)</f>
        <v>31</v>
      </c>
      <c r="C40" s="20">
        <v>50001</v>
      </c>
      <c r="D40" s="20" t="s">
        <v>50</v>
      </c>
      <c r="E40" s="20"/>
      <c r="F40" s="20">
        <v>0.1</v>
      </c>
      <c r="G40" s="22"/>
      <c r="H40" s="22" t="s">
        <v>236</v>
      </c>
      <c r="I40" s="22"/>
      <c r="J40" s="22">
        <v>5</v>
      </c>
      <c r="K40" s="20" t="s">
        <v>222</v>
      </c>
      <c r="L40" s="22" t="s">
        <v>97</v>
      </c>
      <c r="M40" s="22" t="s">
        <v>237</v>
      </c>
    </row>
    <row r="41" customFormat="1" ht="16.5" spans="2:13">
      <c r="B41" s="20">
        <f>IF(D41="","",MAX($B$7:B40)+1)</f>
        <v>32</v>
      </c>
      <c r="C41" s="20"/>
      <c r="D41" s="20" t="s">
        <v>257</v>
      </c>
      <c r="E41" s="20"/>
      <c r="F41" s="23">
        <v>15</v>
      </c>
      <c r="G41" s="22"/>
      <c r="H41" s="22" t="s">
        <v>236</v>
      </c>
      <c r="I41" s="22"/>
      <c r="J41" s="22"/>
      <c r="K41" s="20" t="s">
        <v>222</v>
      </c>
      <c r="L41" s="22"/>
      <c r="M41" s="22"/>
    </row>
    <row r="42" customFormat="1" ht="16.5" spans="2:13">
      <c r="B42" s="20">
        <f>IF(D42="","",MAX($B$7:B41)+1)</f>
        <v>33</v>
      </c>
      <c r="C42" s="20"/>
      <c r="D42" s="20" t="s">
        <v>258</v>
      </c>
      <c r="E42" s="20"/>
      <c r="F42" s="23">
        <v>50</v>
      </c>
      <c r="G42" s="22"/>
      <c r="H42" s="22" t="s">
        <v>236</v>
      </c>
      <c r="I42" s="22"/>
      <c r="J42" s="22"/>
      <c r="K42" s="20" t="s">
        <v>222</v>
      </c>
      <c r="L42" s="22"/>
      <c r="M42" s="22"/>
    </row>
    <row r="43" customFormat="1" ht="16.5" spans="2:13">
      <c r="B43" s="20">
        <f>IF(D43="","",MAX($B$7:B42)+1)</f>
        <v>34</v>
      </c>
      <c r="C43" s="20"/>
      <c r="D43" s="20" t="s">
        <v>259</v>
      </c>
      <c r="E43" s="20"/>
      <c r="F43" s="20">
        <v>15</v>
      </c>
      <c r="G43" s="22"/>
      <c r="H43" s="22" t="s">
        <v>236</v>
      </c>
      <c r="I43" s="22"/>
      <c r="J43" s="22"/>
      <c r="K43" s="20" t="s">
        <v>222</v>
      </c>
      <c r="L43" s="22"/>
      <c r="M43" s="22"/>
    </row>
    <row r="44" customFormat="1" ht="16.5" spans="2:13">
      <c r="B44" s="20">
        <f>IF(D44="","",MAX($B$7:B43)+1)</f>
        <v>35</v>
      </c>
      <c r="C44" s="20"/>
      <c r="D44" s="20" t="s">
        <v>51</v>
      </c>
      <c r="E44" s="20"/>
      <c r="F44" s="20"/>
      <c r="G44" s="22"/>
      <c r="H44" s="22" t="s">
        <v>236</v>
      </c>
      <c r="I44" s="22"/>
      <c r="J44" s="22"/>
      <c r="K44" s="20" t="s">
        <v>222</v>
      </c>
      <c r="L44" s="22"/>
      <c r="M44" s="22"/>
    </row>
    <row r="45" customFormat="1" ht="16.5" spans="2:13">
      <c r="B45" s="20">
        <f>IF(D45="","",MAX($B$7:B44)+1)</f>
        <v>36</v>
      </c>
      <c r="C45" s="20"/>
      <c r="D45" s="20" t="s">
        <v>52</v>
      </c>
      <c r="E45" s="20"/>
      <c r="F45" s="20"/>
      <c r="G45" s="22"/>
      <c r="H45" s="22" t="s">
        <v>236</v>
      </c>
      <c r="I45" s="22"/>
      <c r="J45" s="22"/>
      <c r="K45" s="20" t="s">
        <v>222</v>
      </c>
      <c r="L45" s="22"/>
      <c r="M45" s="22"/>
    </row>
    <row r="46" customFormat="1" ht="16.5" spans="2:13">
      <c r="B46" s="20">
        <f>IF(D46="","",MAX($B$7:B45)+1)</f>
        <v>37</v>
      </c>
      <c r="C46" s="20"/>
      <c r="D46" s="20" t="s">
        <v>53</v>
      </c>
      <c r="E46" s="20"/>
      <c r="F46" s="20"/>
      <c r="G46" s="22"/>
      <c r="H46" s="22" t="s">
        <v>236</v>
      </c>
      <c r="I46" s="22"/>
      <c r="J46" s="22"/>
      <c r="K46" s="20" t="s">
        <v>222</v>
      </c>
      <c r="L46" s="22"/>
      <c r="M46" s="22"/>
    </row>
    <row r="47" customFormat="1" ht="16.5" spans="2:13">
      <c r="B47" s="20">
        <f>IF(D47="","",MAX($B$7:B46)+1)</f>
        <v>38</v>
      </c>
      <c r="C47" s="20"/>
      <c r="D47" s="20" t="s">
        <v>54</v>
      </c>
      <c r="E47" s="20"/>
      <c r="F47" s="20"/>
      <c r="G47" s="22"/>
      <c r="H47" s="22" t="s">
        <v>236</v>
      </c>
      <c r="I47" s="22"/>
      <c r="J47" s="22"/>
      <c r="K47" s="20" t="s">
        <v>222</v>
      </c>
      <c r="L47" s="22"/>
      <c r="M47" s="22"/>
    </row>
    <row r="48" customFormat="1" ht="16.5" spans="2:13">
      <c r="B48" s="20">
        <f>IF(D48="","",MAX($B$7:B47)+1)</f>
        <v>39</v>
      </c>
      <c r="C48" s="20"/>
      <c r="D48" s="20" t="s">
        <v>55</v>
      </c>
      <c r="E48" s="20"/>
      <c r="F48" s="20"/>
      <c r="G48" s="22"/>
      <c r="H48" s="22" t="s">
        <v>236</v>
      </c>
      <c r="I48" s="22"/>
      <c r="J48" s="22"/>
      <c r="K48" s="20" t="s">
        <v>222</v>
      </c>
      <c r="L48" s="22"/>
      <c r="M48" s="22"/>
    </row>
    <row r="49" customFormat="1" ht="16.5" spans="2:13">
      <c r="B49" s="20">
        <f>IF(D49="","",MAX($B$7:B48)+1)</f>
        <v>40</v>
      </c>
      <c r="C49" s="20"/>
      <c r="D49" s="20" t="s">
        <v>56</v>
      </c>
      <c r="E49" s="20"/>
      <c r="F49" s="20"/>
      <c r="G49" s="22"/>
      <c r="H49" s="22" t="s">
        <v>236</v>
      </c>
      <c r="I49" s="22"/>
      <c r="J49" s="22"/>
      <c r="K49" s="20" t="s">
        <v>222</v>
      </c>
      <c r="L49" s="22"/>
      <c r="M49" s="22"/>
    </row>
    <row r="50" customFormat="1" ht="16.5" spans="2:13">
      <c r="B50" s="20">
        <f>IF(D50="","",MAX($B$7:B49)+1)</f>
        <v>41</v>
      </c>
      <c r="C50" s="20"/>
      <c r="D50" s="20" t="s">
        <v>57</v>
      </c>
      <c r="E50" s="20"/>
      <c r="F50" s="20"/>
      <c r="G50" s="22"/>
      <c r="H50" s="22" t="s">
        <v>236</v>
      </c>
      <c r="I50" s="22"/>
      <c r="J50" s="22"/>
      <c r="K50" s="20" t="s">
        <v>222</v>
      </c>
      <c r="L50" s="22"/>
      <c r="M50" s="22"/>
    </row>
    <row r="51" customFormat="1" ht="16.5" spans="2:13">
      <c r="B51" s="20">
        <f>IF(D51="","",MAX($B$7:B50)+1)</f>
        <v>42</v>
      </c>
      <c r="C51" s="20"/>
      <c r="D51" s="20" t="s">
        <v>58</v>
      </c>
      <c r="E51" s="20"/>
      <c r="F51" s="20"/>
      <c r="G51" s="22"/>
      <c r="H51" s="22"/>
      <c r="I51" s="22"/>
      <c r="J51" s="22"/>
      <c r="K51" s="22"/>
      <c r="L51" s="22"/>
      <c r="M51" s="22"/>
    </row>
    <row r="52" customFormat="1" ht="16.5" spans="2:13">
      <c r="B52" s="20" t="str">
        <f>IF(D52="","",MAX($B$7:B51)+1)</f>
        <v/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</row>
    <row r="53" customFormat="1" ht="16.5" spans="2:13">
      <c r="B53" s="20">
        <f>IF(D53="","",MAX($B$7:B52)+1)</f>
        <v>43</v>
      </c>
      <c r="C53" s="20">
        <v>9</v>
      </c>
      <c r="D53" s="24" t="s">
        <v>59</v>
      </c>
      <c r="E53" s="20" t="s">
        <v>260</v>
      </c>
      <c r="F53" s="20">
        <v>50</v>
      </c>
      <c r="G53" s="20"/>
      <c r="H53" s="20" t="s">
        <v>239</v>
      </c>
      <c r="I53" s="20"/>
      <c r="J53" s="20"/>
      <c r="K53" s="20" t="s">
        <v>261</v>
      </c>
      <c r="L53" s="20" t="s">
        <v>262</v>
      </c>
      <c r="M53" s="20"/>
    </row>
    <row r="54" customFormat="1" ht="16.5" spans="2:13">
      <c r="B54" s="20">
        <f>IF(D54="","",MAX($B$7:B53)+1)</f>
        <v>44</v>
      </c>
      <c r="C54" s="20">
        <v>30</v>
      </c>
      <c r="D54" s="20" t="s">
        <v>60</v>
      </c>
      <c r="E54" s="20"/>
      <c r="F54" s="20">
        <v>280</v>
      </c>
      <c r="G54" s="20"/>
      <c r="H54" s="20" t="s">
        <v>239</v>
      </c>
      <c r="I54" s="20"/>
      <c r="J54" s="20">
        <v>5</v>
      </c>
      <c r="K54" s="20" t="s">
        <v>261</v>
      </c>
      <c r="L54" s="20" t="s">
        <v>263</v>
      </c>
      <c r="M54" s="20"/>
    </row>
    <row r="55" customFormat="1" ht="16.5" spans="2:13">
      <c r="B55" s="20">
        <f>IF(D55="","",MAX($B$7:B54)+1)</f>
        <v>45</v>
      </c>
      <c r="C55" s="20">
        <v>5303001</v>
      </c>
      <c r="D55" s="20" t="s">
        <v>61</v>
      </c>
      <c r="E55" s="20"/>
      <c r="F55" s="20">
        <v>5</v>
      </c>
      <c r="G55" s="20"/>
      <c r="H55" s="20" t="s">
        <v>236</v>
      </c>
      <c r="I55" s="20"/>
      <c r="J55" s="20">
        <v>8</v>
      </c>
      <c r="K55" s="20" t="s">
        <v>261</v>
      </c>
      <c r="L55" s="20" t="s">
        <v>264</v>
      </c>
      <c r="M55" s="20"/>
    </row>
    <row r="56" customFormat="1" ht="16.5" spans="2:13">
      <c r="B56" s="20">
        <f>IF(D56="","",MAX($B$7:B55)+1)</f>
        <v>46</v>
      </c>
      <c r="C56" s="20">
        <v>5305001</v>
      </c>
      <c r="D56" s="20" t="s">
        <v>62</v>
      </c>
      <c r="E56" s="20"/>
      <c r="F56" s="20">
        <v>60</v>
      </c>
      <c r="G56" s="20"/>
      <c r="H56" s="20" t="s">
        <v>239</v>
      </c>
      <c r="I56" s="20"/>
      <c r="J56" s="20">
        <v>5</v>
      </c>
      <c r="K56" s="20" t="s">
        <v>261</v>
      </c>
      <c r="L56" s="20" t="s">
        <v>265</v>
      </c>
      <c r="M56" s="20" t="s">
        <v>266</v>
      </c>
    </row>
    <row r="57" customFormat="1" ht="16.5" spans="2:13">
      <c r="B57" s="20">
        <f>IF(D57="","",MAX($B$7:B56)+1)</f>
        <v>47</v>
      </c>
      <c r="C57" s="20">
        <v>5301000</v>
      </c>
      <c r="D57" s="20" t="s">
        <v>63</v>
      </c>
      <c r="E57" s="20"/>
      <c r="F57" s="20">
        <v>16</v>
      </c>
      <c r="G57" s="20"/>
      <c r="H57" s="20" t="s">
        <v>236</v>
      </c>
      <c r="I57" s="20"/>
      <c r="J57" s="20"/>
      <c r="K57" s="20" t="s">
        <v>261</v>
      </c>
      <c r="L57" s="20" t="s">
        <v>267</v>
      </c>
      <c r="M57" s="20"/>
    </row>
    <row r="58" customFormat="1" ht="16.5" spans="2:13">
      <c r="B58" s="20">
        <f>IF(D58="","",MAX($B$7:B57)+1)</f>
        <v>48</v>
      </c>
      <c r="C58" s="20">
        <v>5302000</v>
      </c>
      <c r="D58" s="20" t="s">
        <v>64</v>
      </c>
      <c r="E58" s="20"/>
      <c r="F58" s="20">
        <v>64</v>
      </c>
      <c r="G58" s="20"/>
      <c r="H58" s="20" t="s">
        <v>236</v>
      </c>
      <c r="I58" s="20"/>
      <c r="J58" s="20"/>
      <c r="K58" s="20" t="s">
        <v>261</v>
      </c>
      <c r="L58" s="20" t="s">
        <v>268</v>
      </c>
      <c r="M58" s="20"/>
    </row>
    <row r="59" customFormat="1" ht="16.5" spans="2:13">
      <c r="B59" s="20">
        <f>IF(D59="","",MAX($B$7:B58)+1)</f>
        <v>49</v>
      </c>
      <c r="C59" s="20">
        <v>5303000</v>
      </c>
      <c r="D59" s="20" t="s">
        <v>65</v>
      </c>
      <c r="E59" s="20"/>
      <c r="F59" s="20">
        <v>256</v>
      </c>
      <c r="G59" s="20"/>
      <c r="H59" s="20" t="s">
        <v>236</v>
      </c>
      <c r="I59" s="20"/>
      <c r="J59" s="20"/>
      <c r="K59" s="20" t="s">
        <v>261</v>
      </c>
      <c r="L59" s="20" t="s">
        <v>269</v>
      </c>
      <c r="M59" s="20"/>
    </row>
    <row r="60" customFormat="1" ht="16.5" spans="2:13">
      <c r="B60" s="20">
        <f>IF(D60="","",MAX($B$7:B59)+1)</f>
        <v>50</v>
      </c>
      <c r="C60" s="20">
        <v>5304000</v>
      </c>
      <c r="D60" s="20" t="s">
        <v>66</v>
      </c>
      <c r="E60" s="20"/>
      <c r="F60" s="20">
        <v>1024</v>
      </c>
      <c r="G60" s="20"/>
      <c r="H60" s="20" t="s">
        <v>236</v>
      </c>
      <c r="I60" s="20"/>
      <c r="J60" s="20"/>
      <c r="K60" s="20" t="s">
        <v>261</v>
      </c>
      <c r="L60" s="20" t="s">
        <v>270</v>
      </c>
      <c r="M60" s="20"/>
    </row>
    <row r="61" customFormat="1" ht="16.5" spans="2:13">
      <c r="B61" s="20">
        <f>IF(D61="","",MAX($B$7:B60)+1)</f>
        <v>51</v>
      </c>
      <c r="C61" s="20">
        <v>5305000</v>
      </c>
      <c r="D61" s="20" t="s">
        <v>67</v>
      </c>
      <c r="E61" s="20"/>
      <c r="F61" s="20">
        <v>4096</v>
      </c>
      <c r="G61" s="20"/>
      <c r="H61" s="20" t="s">
        <v>236</v>
      </c>
      <c r="I61" s="20"/>
      <c r="J61" s="20"/>
      <c r="K61" s="20" t="s">
        <v>261</v>
      </c>
      <c r="L61" s="20" t="s">
        <v>271</v>
      </c>
      <c r="M61" s="20" t="s">
        <v>266</v>
      </c>
    </row>
    <row r="62" customFormat="1" ht="16.5" spans="2:13">
      <c r="B62" s="20">
        <f>IF(D62="","",MAX($B$7:B61)+1)</f>
        <v>52</v>
      </c>
      <c r="C62" s="20">
        <v>5306000</v>
      </c>
      <c r="D62" s="20" t="s">
        <v>68</v>
      </c>
      <c r="E62" s="20"/>
      <c r="F62" s="20">
        <v>16384</v>
      </c>
      <c r="G62" s="20"/>
      <c r="H62" s="20" t="s">
        <v>236</v>
      </c>
      <c r="I62" s="20"/>
      <c r="J62" s="20"/>
      <c r="K62" s="20" t="s">
        <v>261</v>
      </c>
      <c r="L62" s="20" t="s">
        <v>272</v>
      </c>
      <c r="M62" s="21" t="s">
        <v>273</v>
      </c>
    </row>
    <row r="63" customFormat="1" ht="16.5" spans="2:13">
      <c r="B63" s="20">
        <f>IF(D63="","",MAX($B$7:B62)+1)</f>
        <v>53</v>
      </c>
      <c r="C63" s="20">
        <v>5307000</v>
      </c>
      <c r="D63" s="20" t="s">
        <v>69</v>
      </c>
      <c r="E63" s="20"/>
      <c r="F63" s="20">
        <v>65536</v>
      </c>
      <c r="G63" s="20"/>
      <c r="H63" s="20" t="s">
        <v>236</v>
      </c>
      <c r="I63" s="20"/>
      <c r="J63" s="20"/>
      <c r="K63" s="20" t="s">
        <v>261</v>
      </c>
      <c r="L63" s="20" t="s">
        <v>274</v>
      </c>
      <c r="M63" s="20" t="s">
        <v>275</v>
      </c>
    </row>
    <row r="64" customFormat="1" ht="16.5" spans="2:13">
      <c r="B64" s="20">
        <f>IF(D64="","",MAX($B$7:B63)+1)</f>
        <v>54</v>
      </c>
      <c r="C64" s="20">
        <v>5401000</v>
      </c>
      <c r="D64" s="20" t="s">
        <v>276</v>
      </c>
      <c r="E64" s="20"/>
      <c r="F64" s="20">
        <v>17.728</v>
      </c>
      <c r="G64" s="20"/>
      <c r="H64" s="20"/>
      <c r="I64" s="20"/>
      <c r="J64" s="20"/>
      <c r="K64" s="20" t="s">
        <v>261</v>
      </c>
      <c r="L64" s="20"/>
      <c r="M64" s="20"/>
    </row>
    <row r="65" customFormat="1" ht="16.5" spans="2:13">
      <c r="B65" s="20">
        <f>IF(D65="","",MAX($B$7:B64)+1)</f>
        <v>55</v>
      </c>
      <c r="C65" s="20">
        <v>5203001</v>
      </c>
      <c r="D65" s="20" t="s">
        <v>70</v>
      </c>
      <c r="E65" s="20" t="s">
        <v>277</v>
      </c>
      <c r="F65" s="20">
        <v>3</v>
      </c>
      <c r="G65" s="20"/>
      <c r="H65" s="20" t="s">
        <v>236</v>
      </c>
      <c r="I65" s="20"/>
      <c r="J65" s="20">
        <v>6</v>
      </c>
      <c r="K65" s="20" t="s">
        <v>278</v>
      </c>
      <c r="L65" s="20" t="s">
        <v>279</v>
      </c>
      <c r="M65" s="20" t="s">
        <v>219</v>
      </c>
    </row>
    <row r="66" customFormat="1" ht="16.5" spans="2:13">
      <c r="B66" s="20">
        <f>IF(D66="","",MAX($B$7:B65)+1)</f>
        <v>56</v>
      </c>
      <c r="C66" s="20">
        <v>5205001</v>
      </c>
      <c r="D66" s="20" t="s">
        <v>71</v>
      </c>
      <c r="E66" s="20"/>
      <c r="F66" s="20">
        <v>500</v>
      </c>
      <c r="G66" s="20"/>
      <c r="H66" s="20" t="s">
        <v>280</v>
      </c>
      <c r="I66" s="20"/>
      <c r="J66" s="20"/>
      <c r="K66" s="20" t="s">
        <v>278</v>
      </c>
      <c r="L66" s="20" t="s">
        <v>281</v>
      </c>
      <c r="M66" s="21"/>
    </row>
    <row r="67" customFormat="1" ht="16.5" spans="2:13">
      <c r="B67" s="20">
        <f>IF(D67="","",MAX($B$7:B66)+1)</f>
        <v>57</v>
      </c>
      <c r="C67" s="20">
        <v>5204001</v>
      </c>
      <c r="D67" s="20" t="s">
        <v>72</v>
      </c>
      <c r="E67" s="20"/>
      <c r="F67" s="20">
        <v>5</v>
      </c>
      <c r="G67" s="20"/>
      <c r="H67" s="20" t="s">
        <v>236</v>
      </c>
      <c r="I67" s="20"/>
      <c r="J67" s="20"/>
      <c r="K67" s="20" t="s">
        <v>278</v>
      </c>
      <c r="L67" s="20"/>
      <c r="M67" s="20" t="s">
        <v>282</v>
      </c>
    </row>
    <row r="68" customFormat="1" ht="16.5" spans="2:13">
      <c r="B68" s="20" t="str">
        <f>IF(D68="","",MAX($B$7:B67)+1)</f>
        <v/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</row>
    <row r="69" customFormat="1" ht="16.5" spans="2:13">
      <c r="B69" s="20">
        <f>IF(D69="","",MAX($B$7:B68)+1)</f>
        <v>58</v>
      </c>
      <c r="C69" s="20">
        <v>5525002</v>
      </c>
      <c r="D69" s="20" t="s">
        <v>283</v>
      </c>
      <c r="E69" s="20" t="s">
        <v>284</v>
      </c>
      <c r="F69" s="20">
        <v>0.33</v>
      </c>
      <c r="G69" s="20"/>
      <c r="H69" s="20" t="s">
        <v>285</v>
      </c>
      <c r="I69" s="20"/>
      <c r="J69" s="20"/>
      <c r="K69" s="20" t="s">
        <v>286</v>
      </c>
      <c r="L69" s="20"/>
      <c r="M69" s="20"/>
    </row>
    <row r="70" customFormat="1" ht="16.5" spans="2:13">
      <c r="B70" s="20" t="str">
        <f>IF(D70="","",MAX($B$7:B69)+1)</f>
        <v/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</row>
    <row r="71" customFormat="1" ht="16.5" spans="2:13">
      <c r="B71" s="20" t="str">
        <f>IF(D71="","",MAX($B$7:B70)+1)</f>
        <v/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</row>
    <row r="72" customFormat="1" ht="16.5" spans="2:13">
      <c r="B72" s="20">
        <f>IF(D72="","",MAX($B$7:B71)+1)</f>
        <v>59</v>
      </c>
      <c r="C72" s="20"/>
      <c r="D72" s="20" t="s">
        <v>287</v>
      </c>
      <c r="E72" s="20"/>
      <c r="F72" s="20">
        <v>100</v>
      </c>
      <c r="G72" s="20"/>
      <c r="H72" s="20" t="s">
        <v>288</v>
      </c>
      <c r="I72" s="20"/>
      <c r="J72" s="20"/>
      <c r="K72" s="20"/>
      <c r="L72" s="20"/>
      <c r="M72" s="20"/>
    </row>
    <row r="73" customFormat="1" ht="16.5" spans="2:13">
      <c r="B73" s="20" t="str">
        <f>IF(D73="","",MAX($B$7:B72)+1)</f>
        <v/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</row>
    <row r="74" customFormat="1" ht="16.5" spans="2:13">
      <c r="B74" s="20">
        <f>IF(D74="","",MAX($B$7:B73)+1)</f>
        <v>60</v>
      </c>
      <c r="C74" s="20"/>
      <c r="D74" s="20" t="s">
        <v>289</v>
      </c>
      <c r="E74" s="20"/>
      <c r="F74" s="20">
        <v>3000</v>
      </c>
      <c r="G74" s="20">
        <v>30</v>
      </c>
      <c r="H74" s="20" t="s">
        <v>288</v>
      </c>
      <c r="I74" s="20"/>
      <c r="J74" s="20"/>
      <c r="K74" s="20"/>
      <c r="L74" s="20"/>
      <c r="M74" s="20"/>
    </row>
    <row r="75" customFormat="1" ht="16.5" spans="2:13">
      <c r="B75" s="20">
        <f>IF(D75="","",MAX($B$7:B74)+1)</f>
        <v>61</v>
      </c>
      <c r="C75" s="20"/>
      <c r="D75" s="20" t="s">
        <v>290</v>
      </c>
      <c r="E75" s="20"/>
      <c r="F75" s="20">
        <v>5000</v>
      </c>
      <c r="G75" s="20">
        <v>128</v>
      </c>
      <c r="H75" s="20" t="s">
        <v>288</v>
      </c>
      <c r="I75" s="20"/>
      <c r="J75" s="20"/>
      <c r="K75" s="20"/>
      <c r="L75" s="20"/>
      <c r="M75" s="20"/>
    </row>
    <row r="76" customFormat="1" ht="16.5" spans="2:13">
      <c r="B76" s="20">
        <f>IF(D76="","",MAX($B$7:B75)+1)</f>
        <v>62</v>
      </c>
      <c r="C76" s="20"/>
      <c r="D76" s="20" t="s">
        <v>291</v>
      </c>
      <c r="E76" s="20"/>
      <c r="F76" s="20">
        <v>6000</v>
      </c>
      <c r="G76" s="20">
        <v>198</v>
      </c>
      <c r="H76" s="20" t="s">
        <v>288</v>
      </c>
      <c r="I76" s="20"/>
      <c r="J76" s="20"/>
      <c r="K76" s="20"/>
      <c r="L76" s="20"/>
      <c r="M76" s="20"/>
    </row>
    <row r="77" customFormat="1" ht="16.5" spans="2:13">
      <c r="B77" s="20" t="str">
        <f>IF(D77="","",MAX($B$7:B76)+1)</f>
        <v/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</row>
    <row r="78" customFormat="1" ht="16.5" spans="2:13">
      <c r="B78" s="20">
        <f>IF(D78="","",MAX($B$7:B77)+1)</f>
        <v>63</v>
      </c>
      <c r="C78" s="20"/>
      <c r="D78" s="20" t="s">
        <v>292</v>
      </c>
      <c r="E78" s="20"/>
      <c r="F78" s="20"/>
      <c r="G78" s="20">
        <v>128</v>
      </c>
      <c r="H78" s="20"/>
      <c r="I78" s="20"/>
      <c r="J78" s="20"/>
      <c r="K78" s="20"/>
      <c r="L78" s="20"/>
      <c r="M78" s="20"/>
    </row>
    <row r="79" customFormat="1" ht="16.5" spans="2:13">
      <c r="B79" s="20">
        <f>IF(D79="","",MAX($B$7:B78)+1)</f>
        <v>64</v>
      </c>
      <c r="C79" s="20"/>
      <c r="D79" s="20" t="s">
        <v>293</v>
      </c>
      <c r="E79" s="20"/>
      <c r="F79" s="20"/>
      <c r="G79" s="20">
        <v>168</v>
      </c>
      <c r="H79" s="20"/>
      <c r="I79" s="20"/>
      <c r="J79" s="20"/>
      <c r="K79" s="20"/>
      <c r="L79" s="20"/>
      <c r="M79" s="20"/>
    </row>
    <row r="80" customFormat="1" ht="16.5" spans="2:13">
      <c r="B80" s="20" t="str">
        <f>IF(D80="","",MAX($B$7:B79)+1)</f>
        <v/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</row>
    <row r="81" customFormat="1" ht="16.5" spans="2:13">
      <c r="B81" s="20">
        <f>IF(D81="","",MAX($B$7:B80)+1)</f>
        <v>65</v>
      </c>
      <c r="C81" s="20"/>
      <c r="D81" s="20" t="s">
        <v>294</v>
      </c>
      <c r="E81" s="20"/>
      <c r="F81" s="20"/>
      <c r="G81" s="20">
        <v>266</v>
      </c>
      <c r="H81" s="20"/>
      <c r="I81" s="20"/>
      <c r="J81" s="20"/>
      <c r="K81" s="20"/>
      <c r="L81" s="20"/>
      <c r="M81" s="20" t="s">
        <v>295</v>
      </c>
    </row>
    <row r="82" customFormat="1" ht="16.5" spans="2:13">
      <c r="B82" s="20">
        <f>IF(D82="","",MAX($B$7:B81)+1)</f>
        <v>66</v>
      </c>
      <c r="C82" s="20"/>
      <c r="D82" s="20" t="s">
        <v>296</v>
      </c>
      <c r="E82" s="20"/>
      <c r="F82" s="20"/>
      <c r="G82" s="20">
        <v>328</v>
      </c>
      <c r="H82" s="20"/>
      <c r="I82" s="20"/>
      <c r="J82" s="20"/>
      <c r="K82" s="20"/>
      <c r="L82" s="20"/>
      <c r="M82" s="20" t="s">
        <v>295</v>
      </c>
    </row>
    <row r="83" customFormat="1" ht="16.5" spans="2:13">
      <c r="B83" s="20" t="str">
        <f>IF(D83="","",MAX($B$7:B82)+1)</f>
        <v/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</row>
    <row r="84" customFormat="1" ht="16.5" spans="2:13">
      <c r="B84" s="20">
        <f>IF(D84="","",MAX($B$7:B83)+1)</f>
        <v>67</v>
      </c>
      <c r="C84" s="20"/>
      <c r="D84" s="20" t="s">
        <v>297</v>
      </c>
      <c r="E84" s="20"/>
      <c r="F84" s="20"/>
      <c r="G84" s="20">
        <v>328</v>
      </c>
      <c r="H84" s="20"/>
      <c r="I84" s="20"/>
      <c r="J84" s="20"/>
      <c r="K84" s="20"/>
      <c r="L84" s="20"/>
      <c r="M84" s="20" t="s">
        <v>295</v>
      </c>
    </row>
    <row r="85" customFormat="1" ht="16.5" spans="2:13">
      <c r="B85" s="20">
        <f>IF(D85="","",MAX($B$7:B84)+1)</f>
        <v>68</v>
      </c>
      <c r="C85" s="20"/>
      <c r="D85" s="20" t="s">
        <v>298</v>
      </c>
      <c r="E85" s="20"/>
      <c r="F85" s="20"/>
      <c r="G85" s="20">
        <v>648</v>
      </c>
      <c r="H85" s="20"/>
      <c r="I85" s="20"/>
      <c r="J85" s="20"/>
      <c r="K85" s="20"/>
      <c r="L85" s="20"/>
      <c r="M85" s="20" t="s">
        <v>295</v>
      </c>
    </row>
  </sheetData>
  <pageMargins left="0.75" right="0.75" top="1" bottom="1" header="0.5" footer="0.5"/>
  <headerFooter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C2:E303"/>
  <sheetViews>
    <sheetView topLeftCell="A2" workbookViewId="0">
      <selection activeCell="G38" sqref="D3:G38"/>
    </sheetView>
  </sheetViews>
  <sheetFormatPr defaultColWidth="9" defaultRowHeight="16.5" outlineLevelCol="4"/>
  <cols>
    <col min="3" max="3" width="9" style="12"/>
    <col min="4" max="4" width="11.625" style="12"/>
    <col min="5" max="5" width="14.125" style="12"/>
  </cols>
  <sheetData>
    <row r="2" spans="3:5">
      <c r="E2" s="12" t="s">
        <v>299</v>
      </c>
    </row>
    <row r="3" spans="3:5">
      <c r="C3" s="12" t="s">
        <v>168</v>
      </c>
      <c r="D3" s="12" t="s">
        <v>300</v>
      </c>
      <c r="E3" s="12" t="s">
        <v>301</v>
      </c>
    </row>
    <row r="4" spans="3:5">
      <c r="C4" s="12">
        <v>1</v>
      </c>
      <c r="D4" s="13">
        <v>8</v>
      </c>
      <c r="E4" s="14">
        <v>100</v>
      </c>
    </row>
    <row r="5" spans="3:5">
      <c r="C5" s="12">
        <v>2</v>
      </c>
      <c r="D5" s="13">
        <v>12</v>
      </c>
      <c r="E5" s="15">
        <v>150</v>
      </c>
    </row>
    <row r="6" spans="3:5">
      <c r="C6" s="12">
        <v>3</v>
      </c>
      <c r="D6" s="13">
        <v>16</v>
      </c>
      <c r="E6" s="15">
        <v>199.5</v>
      </c>
    </row>
    <row r="7" spans="3:5">
      <c r="C7" s="12">
        <v>4</v>
      </c>
      <c r="D7" s="13">
        <v>21</v>
      </c>
      <c r="E7" s="15">
        <v>265.335</v>
      </c>
    </row>
    <row r="8" spans="3:5">
      <c r="C8" s="12">
        <v>5</v>
      </c>
      <c r="D8" s="13">
        <v>27</v>
      </c>
      <c r="E8" s="15">
        <v>352.89555</v>
      </c>
    </row>
    <row r="9" spans="3:5">
      <c r="C9" s="12">
        <v>6</v>
      </c>
      <c r="D9" s="13">
        <v>33</v>
      </c>
      <c r="E9" s="15">
        <v>423.47466</v>
      </c>
    </row>
    <row r="10" spans="3:5">
      <c r="C10" s="12">
        <v>7</v>
      </c>
      <c r="D10" s="13">
        <v>40</v>
      </c>
      <c r="E10" s="15">
        <v>486.995859</v>
      </c>
    </row>
    <row r="11" spans="3:5">
      <c r="C11" s="12">
        <v>8</v>
      </c>
      <c r="D11" s="13">
        <v>43</v>
      </c>
      <c r="E11" s="15">
        <v>560.04523785</v>
      </c>
    </row>
    <row r="12" spans="3:5">
      <c r="C12" s="12">
        <v>9</v>
      </c>
      <c r="D12" s="13">
        <v>48</v>
      </c>
      <c r="E12" s="15">
        <v>644.0520235275</v>
      </c>
    </row>
    <row r="13" spans="3:5">
      <c r="C13" s="12">
        <v>10</v>
      </c>
      <c r="D13" s="13">
        <v>52</v>
      </c>
      <c r="E13" s="15">
        <v>740.659827056625</v>
      </c>
    </row>
    <row r="14" spans="3:5">
      <c r="C14" s="12">
        <v>11</v>
      </c>
      <c r="D14" s="13">
        <v>57</v>
      </c>
      <c r="E14" s="15">
        <v>851.758801115119</v>
      </c>
    </row>
    <row r="15" spans="3:5">
      <c r="C15" s="12">
        <v>12</v>
      </c>
      <c r="D15" s="13">
        <v>62</v>
      </c>
      <c r="E15" s="15">
        <v>979.522621282386</v>
      </c>
    </row>
    <row r="16" spans="3:5">
      <c r="C16" s="12">
        <v>13</v>
      </c>
      <c r="D16" s="13">
        <v>67</v>
      </c>
      <c r="E16" s="15">
        <v>1126.45101447474</v>
      </c>
    </row>
    <row r="17" spans="3:5">
      <c r="C17" s="12">
        <v>14</v>
      </c>
      <c r="D17" s="13">
        <v>74</v>
      </c>
      <c r="E17" s="15">
        <v>1284.15415650121</v>
      </c>
    </row>
    <row r="18" spans="3:5">
      <c r="C18" s="12">
        <v>15</v>
      </c>
      <c r="D18" s="13">
        <v>79</v>
      </c>
      <c r="E18" s="15">
        <v>1412.56957215133</v>
      </c>
    </row>
    <row r="19" spans="3:5">
      <c r="C19" s="12">
        <v>16</v>
      </c>
      <c r="D19" s="13">
        <v>81</v>
      </c>
      <c r="E19" s="14">
        <v>1444</v>
      </c>
    </row>
    <row r="20" spans="3:5">
      <c r="C20" s="12">
        <v>17</v>
      </c>
      <c r="D20" s="13">
        <v>85</v>
      </c>
      <c r="E20" s="14">
        <v>1545</v>
      </c>
    </row>
    <row r="21" spans="3:5">
      <c r="C21" s="12">
        <v>18</v>
      </c>
      <c r="D21" s="13">
        <v>89</v>
      </c>
      <c r="E21" s="14">
        <v>1653</v>
      </c>
    </row>
    <row r="22" spans="3:5">
      <c r="C22" s="12">
        <v>19</v>
      </c>
      <c r="D22" s="13">
        <v>93</v>
      </c>
      <c r="E22" s="14">
        <v>1768</v>
      </c>
    </row>
    <row r="23" spans="3:5">
      <c r="C23" s="12">
        <v>20</v>
      </c>
      <c r="D23" s="13">
        <v>99</v>
      </c>
      <c r="E23" s="14">
        <v>1891</v>
      </c>
    </row>
    <row r="24" spans="3:5">
      <c r="C24" s="12">
        <v>21</v>
      </c>
      <c r="D24" s="13">
        <v>105</v>
      </c>
      <c r="E24" s="14">
        <v>2023</v>
      </c>
    </row>
    <row r="25" spans="3:5">
      <c r="C25" s="12">
        <v>22</v>
      </c>
      <c r="D25" s="13">
        <v>109</v>
      </c>
      <c r="E25" s="14">
        <v>2164</v>
      </c>
    </row>
    <row r="26" spans="3:5">
      <c r="C26" s="12">
        <v>23</v>
      </c>
      <c r="D26" s="13">
        <v>113</v>
      </c>
      <c r="E26" s="14">
        <v>2315</v>
      </c>
    </row>
    <row r="27" spans="3:5">
      <c r="C27" s="12">
        <v>24</v>
      </c>
      <c r="D27" s="13">
        <v>118</v>
      </c>
      <c r="E27" s="14">
        <v>2477</v>
      </c>
    </row>
    <row r="28" spans="3:5">
      <c r="C28" s="12">
        <v>25</v>
      </c>
      <c r="D28" s="13">
        <v>123</v>
      </c>
      <c r="E28" s="14">
        <v>2650</v>
      </c>
    </row>
    <row r="29" spans="3:5">
      <c r="C29" s="12">
        <v>26</v>
      </c>
      <c r="D29" s="13">
        <v>129</v>
      </c>
      <c r="E29" s="14">
        <v>2835</v>
      </c>
    </row>
    <row r="30" spans="3:5">
      <c r="C30" s="12">
        <v>27</v>
      </c>
      <c r="D30" s="13">
        <v>136</v>
      </c>
      <c r="E30" s="14">
        <v>3033</v>
      </c>
    </row>
    <row r="31" spans="3:5">
      <c r="C31" s="12">
        <v>28</v>
      </c>
      <c r="D31" s="13">
        <v>141</v>
      </c>
      <c r="E31" s="14">
        <v>3245</v>
      </c>
    </row>
    <row r="32" spans="3:5">
      <c r="C32" s="12">
        <v>29</v>
      </c>
      <c r="D32" s="13">
        <v>146</v>
      </c>
      <c r="E32" s="14">
        <v>3472</v>
      </c>
    </row>
    <row r="33" spans="3:5">
      <c r="C33" s="12">
        <v>30</v>
      </c>
      <c r="D33" s="13">
        <v>151</v>
      </c>
      <c r="E33" s="14">
        <v>3715</v>
      </c>
    </row>
    <row r="34" spans="3:5">
      <c r="C34" s="12">
        <v>31</v>
      </c>
      <c r="D34" s="13">
        <v>157</v>
      </c>
      <c r="E34" s="14">
        <v>3975</v>
      </c>
    </row>
    <row r="35" spans="3:5">
      <c r="C35" s="12">
        <v>32</v>
      </c>
      <c r="D35" s="13">
        <v>163</v>
      </c>
      <c r="E35" s="14">
        <v>4253</v>
      </c>
    </row>
    <row r="36" spans="3:5">
      <c r="C36" s="12">
        <v>33</v>
      </c>
      <c r="D36" s="13">
        <v>168</v>
      </c>
      <c r="E36" s="14">
        <v>4550</v>
      </c>
    </row>
    <row r="37" spans="3:5">
      <c r="C37" s="12">
        <v>34</v>
      </c>
      <c r="D37" s="13">
        <v>175</v>
      </c>
      <c r="E37" s="14">
        <v>4868</v>
      </c>
    </row>
    <row r="38" spans="3:5">
      <c r="C38" s="12">
        <v>35</v>
      </c>
      <c r="D38" s="13">
        <v>183</v>
      </c>
      <c r="E38" s="14">
        <v>5208</v>
      </c>
    </row>
    <row r="39" spans="3:5">
      <c r="C39" s="12">
        <v>36</v>
      </c>
      <c r="D39" s="13">
        <v>192</v>
      </c>
      <c r="E39" s="14">
        <v>5572</v>
      </c>
    </row>
    <row r="40" spans="3:5">
      <c r="C40" s="12">
        <v>37</v>
      </c>
      <c r="D40" s="13">
        <v>198</v>
      </c>
      <c r="E40" s="14">
        <v>5962</v>
      </c>
    </row>
    <row r="41" spans="3:5">
      <c r="C41" s="12">
        <v>38</v>
      </c>
      <c r="D41" s="13">
        <v>204</v>
      </c>
      <c r="E41" s="14">
        <v>6379</v>
      </c>
    </row>
    <row r="42" spans="3:5">
      <c r="C42" s="12">
        <v>39</v>
      </c>
      <c r="D42" s="13">
        <v>210</v>
      </c>
      <c r="E42" s="14">
        <v>6825</v>
      </c>
    </row>
    <row r="43" spans="3:5">
      <c r="C43" s="12">
        <v>40</v>
      </c>
      <c r="D43" s="13">
        <v>215</v>
      </c>
      <c r="E43" s="14">
        <v>7302</v>
      </c>
    </row>
    <row r="44" spans="3:5">
      <c r="C44" s="12">
        <v>41</v>
      </c>
      <c r="D44" s="13">
        <v>220</v>
      </c>
      <c r="E44" s="14">
        <v>7813</v>
      </c>
    </row>
    <row r="45" spans="3:5">
      <c r="C45" s="12">
        <v>42</v>
      </c>
      <c r="D45" s="13">
        <v>226</v>
      </c>
      <c r="E45" s="14">
        <v>8359</v>
      </c>
    </row>
    <row r="46" spans="3:5">
      <c r="C46" s="12">
        <v>43</v>
      </c>
      <c r="D46" s="13">
        <v>231</v>
      </c>
      <c r="E46" s="14">
        <v>8944</v>
      </c>
    </row>
    <row r="47" spans="3:5">
      <c r="C47" s="12">
        <v>44</v>
      </c>
      <c r="D47" s="13">
        <v>237</v>
      </c>
      <c r="E47" s="14">
        <v>9570</v>
      </c>
    </row>
    <row r="48" spans="3:5">
      <c r="C48" s="12">
        <v>45</v>
      </c>
      <c r="D48" s="13">
        <v>242</v>
      </c>
      <c r="E48" s="14">
        <v>10239</v>
      </c>
    </row>
    <row r="49" spans="3:5">
      <c r="C49" s="12">
        <v>46</v>
      </c>
      <c r="D49" s="13">
        <v>248</v>
      </c>
      <c r="E49" s="14">
        <v>10955</v>
      </c>
    </row>
    <row r="50" spans="3:5">
      <c r="C50" s="12">
        <v>47</v>
      </c>
      <c r="D50" s="13">
        <v>254</v>
      </c>
      <c r="E50" s="14">
        <v>11721</v>
      </c>
    </row>
    <row r="51" spans="3:5">
      <c r="C51" s="12">
        <v>48</v>
      </c>
      <c r="D51" s="13">
        <v>259</v>
      </c>
      <c r="E51" s="14">
        <v>12541</v>
      </c>
    </row>
    <row r="52" spans="3:5">
      <c r="C52" s="12">
        <v>49</v>
      </c>
      <c r="D52" s="13">
        <v>265</v>
      </c>
      <c r="E52" s="14">
        <v>13418</v>
      </c>
    </row>
    <row r="53" spans="3:5">
      <c r="C53" s="12">
        <v>50</v>
      </c>
      <c r="D53" s="13">
        <v>270</v>
      </c>
      <c r="E53" s="14">
        <v>14357</v>
      </c>
    </row>
    <row r="54" spans="3:5">
      <c r="C54" s="12">
        <v>51</v>
      </c>
      <c r="D54" s="13">
        <v>276</v>
      </c>
      <c r="E54" s="14">
        <v>15361</v>
      </c>
    </row>
    <row r="55" spans="3:5">
      <c r="C55" s="12">
        <v>52</v>
      </c>
      <c r="D55" s="13">
        <v>283</v>
      </c>
      <c r="E55" s="14">
        <v>16436</v>
      </c>
    </row>
    <row r="56" spans="3:5">
      <c r="C56" s="12">
        <v>53</v>
      </c>
      <c r="D56" s="13">
        <v>290</v>
      </c>
      <c r="E56" s="14">
        <v>17586</v>
      </c>
    </row>
    <row r="57" spans="3:5">
      <c r="C57" s="12">
        <v>54</v>
      </c>
      <c r="D57" s="13">
        <v>297</v>
      </c>
      <c r="E57" s="14">
        <v>18817</v>
      </c>
    </row>
    <row r="58" spans="3:5">
      <c r="C58" s="12">
        <v>55</v>
      </c>
      <c r="D58" s="13">
        <v>304</v>
      </c>
      <c r="E58" s="14">
        <v>20134</v>
      </c>
    </row>
    <row r="59" spans="3:5">
      <c r="C59" s="12">
        <v>56</v>
      </c>
      <c r="D59" s="13">
        <v>312</v>
      </c>
      <c r="E59" s="14">
        <v>21543</v>
      </c>
    </row>
    <row r="60" spans="3:5">
      <c r="C60" s="12">
        <v>57</v>
      </c>
      <c r="D60" s="13">
        <v>317</v>
      </c>
      <c r="E60" s="14">
        <v>23051</v>
      </c>
    </row>
    <row r="61" spans="3:5">
      <c r="C61" s="12">
        <v>58</v>
      </c>
      <c r="D61" s="13">
        <v>321</v>
      </c>
      <c r="E61" s="14">
        <v>24664</v>
      </c>
    </row>
    <row r="62" spans="3:5">
      <c r="C62" s="12">
        <v>59</v>
      </c>
      <c r="D62" s="13">
        <v>326</v>
      </c>
      <c r="E62" s="14">
        <v>26390</v>
      </c>
    </row>
    <row r="63" spans="3:5">
      <c r="C63" s="12">
        <v>60</v>
      </c>
      <c r="D63" s="13">
        <v>329</v>
      </c>
      <c r="E63" s="14">
        <v>28237</v>
      </c>
    </row>
    <row r="64" spans="3:5">
      <c r="C64" s="12">
        <v>61</v>
      </c>
      <c r="D64" s="13">
        <v>334</v>
      </c>
      <c r="E64" s="14">
        <v>30213</v>
      </c>
    </row>
    <row r="65" spans="3:5">
      <c r="C65" s="12">
        <v>62</v>
      </c>
      <c r="D65" s="13">
        <v>338</v>
      </c>
      <c r="E65" s="14">
        <v>32327</v>
      </c>
    </row>
    <row r="66" spans="3:5">
      <c r="C66" s="12">
        <v>63</v>
      </c>
      <c r="D66" s="13">
        <v>342</v>
      </c>
      <c r="E66" s="14">
        <v>34589</v>
      </c>
    </row>
    <row r="67" spans="3:5">
      <c r="C67" s="12">
        <v>64</v>
      </c>
      <c r="D67" s="13">
        <v>346</v>
      </c>
      <c r="E67" s="14">
        <v>37010</v>
      </c>
    </row>
    <row r="68" spans="3:5">
      <c r="C68" s="12">
        <v>65</v>
      </c>
      <c r="D68" s="13">
        <v>351</v>
      </c>
      <c r="E68" s="14">
        <v>39600</v>
      </c>
    </row>
    <row r="69" spans="3:5">
      <c r="C69" s="12">
        <v>66</v>
      </c>
      <c r="D69" s="13">
        <v>355</v>
      </c>
      <c r="E69" s="14">
        <v>42372</v>
      </c>
    </row>
    <row r="70" spans="3:5">
      <c r="C70" s="12">
        <v>67</v>
      </c>
      <c r="D70" s="13">
        <v>359</v>
      </c>
      <c r="E70" s="14">
        <v>45338</v>
      </c>
    </row>
    <row r="71" spans="3:5">
      <c r="C71" s="12">
        <v>68</v>
      </c>
      <c r="D71" s="13">
        <v>364</v>
      </c>
      <c r="E71" s="14">
        <v>48511</v>
      </c>
    </row>
    <row r="72" spans="3:5">
      <c r="C72" s="12">
        <v>69</v>
      </c>
      <c r="D72" s="13">
        <v>368</v>
      </c>
      <c r="E72" s="14">
        <v>51906</v>
      </c>
    </row>
    <row r="73" spans="3:5">
      <c r="C73" s="12">
        <v>70</v>
      </c>
      <c r="D73" s="13">
        <v>373</v>
      </c>
      <c r="E73" s="14">
        <v>55539</v>
      </c>
    </row>
    <row r="74" spans="3:5">
      <c r="C74" s="12">
        <v>71</v>
      </c>
      <c r="D74" s="13">
        <v>377</v>
      </c>
      <c r="E74" s="14">
        <v>59426</v>
      </c>
    </row>
    <row r="75" spans="3:5">
      <c r="C75" s="12">
        <v>72</v>
      </c>
      <c r="D75" s="13">
        <v>382</v>
      </c>
      <c r="E75" s="14">
        <v>63585</v>
      </c>
    </row>
    <row r="76" spans="3:5">
      <c r="C76" s="12">
        <v>73</v>
      </c>
      <c r="D76" s="13">
        <v>387</v>
      </c>
      <c r="E76" s="14">
        <v>68035</v>
      </c>
    </row>
    <row r="77" spans="3:5">
      <c r="C77" s="12">
        <v>74</v>
      </c>
      <c r="D77" s="13">
        <v>391</v>
      </c>
      <c r="E77" s="14">
        <v>72797</v>
      </c>
    </row>
    <row r="78" spans="3:5">
      <c r="C78" s="12">
        <v>75</v>
      </c>
      <c r="D78" s="13">
        <v>396</v>
      </c>
      <c r="E78" s="14">
        <v>77892</v>
      </c>
    </row>
    <row r="79" spans="3:5">
      <c r="C79" s="12">
        <v>76</v>
      </c>
      <c r="D79" s="13">
        <v>401</v>
      </c>
      <c r="E79" s="14">
        <v>83344</v>
      </c>
    </row>
    <row r="80" spans="3:5">
      <c r="C80" s="12">
        <v>77</v>
      </c>
      <c r="D80" s="13">
        <v>406</v>
      </c>
      <c r="E80" s="14">
        <v>89178</v>
      </c>
    </row>
    <row r="81" spans="3:5">
      <c r="C81" s="12">
        <v>78</v>
      </c>
      <c r="D81" s="13">
        <v>411</v>
      </c>
      <c r="E81" s="14">
        <v>95420</v>
      </c>
    </row>
    <row r="82" spans="3:5">
      <c r="C82" s="12">
        <v>79</v>
      </c>
      <c r="D82" s="13">
        <v>416</v>
      </c>
      <c r="E82" s="14">
        <v>102099</v>
      </c>
    </row>
    <row r="83" spans="3:5">
      <c r="C83" s="12">
        <v>80</v>
      </c>
      <c r="D83" s="13">
        <v>421</v>
      </c>
      <c r="E83" s="14">
        <v>109245</v>
      </c>
    </row>
    <row r="84" spans="3:5">
      <c r="C84" s="12">
        <v>81</v>
      </c>
      <c r="D84" s="13">
        <v>426</v>
      </c>
      <c r="E84" s="14">
        <v>116892</v>
      </c>
    </row>
    <row r="85" spans="3:5">
      <c r="C85" s="12">
        <v>82</v>
      </c>
      <c r="D85" s="13">
        <v>431</v>
      </c>
      <c r="E85" s="14">
        <v>125074</v>
      </c>
    </row>
    <row r="86" spans="3:5">
      <c r="C86" s="12">
        <v>83</v>
      </c>
      <c r="D86" s="13">
        <v>436</v>
      </c>
      <c r="E86" s="14">
        <v>133829</v>
      </c>
    </row>
    <row r="87" spans="3:5">
      <c r="C87" s="12">
        <v>84</v>
      </c>
      <c r="D87" s="13">
        <v>442</v>
      </c>
      <c r="E87" s="14">
        <v>143197</v>
      </c>
    </row>
    <row r="88" spans="3:5">
      <c r="C88" s="12">
        <v>85</v>
      </c>
      <c r="D88" s="13">
        <v>447</v>
      </c>
      <c r="E88" s="14">
        <v>153220</v>
      </c>
    </row>
    <row r="89" spans="3:5">
      <c r="C89" s="12">
        <v>86</v>
      </c>
      <c r="D89" s="13">
        <v>459</v>
      </c>
      <c r="E89" s="14">
        <v>163945</v>
      </c>
    </row>
    <row r="90" spans="3:5">
      <c r="C90" s="12">
        <v>87</v>
      </c>
      <c r="D90" s="13">
        <v>471</v>
      </c>
      <c r="E90" s="14">
        <v>175421</v>
      </c>
    </row>
    <row r="91" spans="3:5">
      <c r="C91" s="12">
        <v>88</v>
      </c>
      <c r="D91" s="13">
        <v>483</v>
      </c>
      <c r="E91" s="14">
        <v>187700</v>
      </c>
    </row>
    <row r="92" spans="3:5">
      <c r="C92" s="12">
        <v>89</v>
      </c>
      <c r="D92" s="13">
        <v>491</v>
      </c>
      <c r="E92" s="14">
        <v>200839</v>
      </c>
    </row>
    <row r="93" spans="3:5">
      <c r="C93" s="12">
        <v>90</v>
      </c>
      <c r="D93" s="13">
        <v>501</v>
      </c>
      <c r="E93" s="14">
        <v>214897</v>
      </c>
    </row>
    <row r="94" spans="3:5">
      <c r="C94" s="12">
        <v>91</v>
      </c>
      <c r="D94" s="13">
        <v>510</v>
      </c>
      <c r="E94" s="14">
        <v>229939</v>
      </c>
    </row>
    <row r="95" spans="3:5">
      <c r="C95" s="12">
        <v>92</v>
      </c>
      <c r="D95" s="13">
        <v>519</v>
      </c>
      <c r="E95" s="14">
        <v>246034</v>
      </c>
    </row>
    <row r="96" spans="3:5">
      <c r="C96" s="12">
        <v>93</v>
      </c>
      <c r="D96" s="13">
        <v>529</v>
      </c>
      <c r="E96" s="14">
        <v>263256</v>
      </c>
    </row>
    <row r="97" spans="3:5">
      <c r="C97" s="12">
        <v>94</v>
      </c>
      <c r="D97" s="13">
        <v>539</v>
      </c>
      <c r="E97" s="14">
        <v>281683</v>
      </c>
    </row>
    <row r="98" spans="3:5">
      <c r="C98" s="12">
        <v>95</v>
      </c>
      <c r="D98" s="13">
        <v>549</v>
      </c>
      <c r="E98" s="14">
        <v>301400</v>
      </c>
    </row>
    <row r="99" spans="3:5">
      <c r="C99" s="12">
        <v>96</v>
      </c>
      <c r="D99" s="13">
        <v>559</v>
      </c>
      <c r="E99" s="14">
        <v>322498</v>
      </c>
    </row>
    <row r="100" spans="3:5">
      <c r="C100" s="12">
        <v>97</v>
      </c>
      <c r="D100" s="13">
        <v>569</v>
      </c>
      <c r="E100" s="14">
        <v>345072</v>
      </c>
    </row>
    <row r="101" spans="3:5">
      <c r="C101" s="12">
        <v>98</v>
      </c>
      <c r="D101" s="13">
        <v>579</v>
      </c>
      <c r="E101" s="14">
        <v>369227</v>
      </c>
    </row>
    <row r="102" spans="3:5">
      <c r="C102" s="12">
        <v>99</v>
      </c>
      <c r="D102" s="13">
        <v>590</v>
      </c>
      <c r="E102" s="14">
        <v>395072</v>
      </c>
    </row>
    <row r="103" spans="3:5">
      <c r="C103" s="12">
        <v>100</v>
      </c>
      <c r="D103" s="13">
        <v>601</v>
      </c>
      <c r="E103" s="14">
        <v>422727</v>
      </c>
    </row>
    <row r="104" spans="3:5">
      <c r="C104" s="12">
        <v>101</v>
      </c>
      <c r="D104" s="13">
        <v>612</v>
      </c>
      <c r="E104" s="14">
        <v>452317</v>
      </c>
    </row>
    <row r="105" spans="3:5">
      <c r="C105" s="12">
        <v>102</v>
      </c>
      <c r="D105" s="13">
        <v>623</v>
      </c>
      <c r="E105" s="14">
        <v>483979</v>
      </c>
    </row>
    <row r="106" spans="3:5">
      <c r="C106" s="12">
        <v>103</v>
      </c>
      <c r="D106" s="13">
        <v>634</v>
      </c>
      <c r="E106" s="14">
        <v>517857</v>
      </c>
    </row>
    <row r="107" spans="3:5">
      <c r="C107" s="12">
        <v>104</v>
      </c>
      <c r="D107" s="13">
        <v>645</v>
      </c>
      <c r="E107" s="14">
        <v>554106</v>
      </c>
    </row>
    <row r="108" spans="3:5">
      <c r="C108" s="12">
        <v>105</v>
      </c>
      <c r="D108" s="13">
        <v>657</v>
      </c>
      <c r="E108" s="14">
        <v>592893</v>
      </c>
    </row>
    <row r="109" spans="3:5">
      <c r="C109" s="12">
        <v>106</v>
      </c>
      <c r="D109" s="13">
        <v>667</v>
      </c>
      <c r="E109" s="14">
        <v>634395</v>
      </c>
    </row>
    <row r="110" spans="3:5">
      <c r="C110" s="12">
        <v>107</v>
      </c>
      <c r="D110" s="13">
        <v>673</v>
      </c>
      <c r="E110" s="14">
        <v>678802</v>
      </c>
    </row>
    <row r="111" spans="3:5">
      <c r="C111" s="12">
        <v>108</v>
      </c>
      <c r="D111" s="13">
        <v>679</v>
      </c>
      <c r="E111" s="14">
        <v>726318</v>
      </c>
    </row>
    <row r="112" spans="3:5">
      <c r="C112" s="12">
        <v>109</v>
      </c>
      <c r="D112" s="13">
        <v>685</v>
      </c>
      <c r="E112" s="14">
        <v>777004</v>
      </c>
    </row>
    <row r="113" spans="3:5">
      <c r="C113" s="12">
        <v>110</v>
      </c>
      <c r="D113" s="13">
        <v>692</v>
      </c>
      <c r="E113" s="14">
        <v>831061</v>
      </c>
    </row>
    <row r="114" spans="3:5">
      <c r="C114" s="12">
        <v>111</v>
      </c>
      <c r="D114" s="13">
        <v>698</v>
      </c>
      <c r="E114" s="14">
        <v>888701</v>
      </c>
    </row>
    <row r="115" spans="3:5">
      <c r="C115" s="12">
        <v>112</v>
      </c>
      <c r="D115" s="13">
        <v>703</v>
      </c>
      <c r="E115" s="14">
        <v>950149</v>
      </c>
    </row>
    <row r="116" spans="3:5">
      <c r="C116" s="12">
        <v>113</v>
      </c>
      <c r="D116" s="13">
        <v>710</v>
      </c>
      <c r="E116" s="14">
        <v>1015643</v>
      </c>
    </row>
    <row r="117" spans="3:5">
      <c r="C117" s="12">
        <v>114</v>
      </c>
      <c r="D117" s="13">
        <v>716</v>
      </c>
      <c r="E117" s="14">
        <v>1085434</v>
      </c>
    </row>
    <row r="118" spans="3:5">
      <c r="C118" s="12">
        <v>115</v>
      </c>
      <c r="D118" s="13">
        <v>725</v>
      </c>
      <c r="E118" s="14">
        <v>1159789</v>
      </c>
    </row>
    <row r="119" spans="3:5">
      <c r="C119" s="12">
        <v>116</v>
      </c>
      <c r="D119" s="13">
        <v>734</v>
      </c>
      <c r="E119" s="14">
        <v>1238990</v>
      </c>
    </row>
    <row r="120" spans="3:5">
      <c r="C120" s="12">
        <v>117</v>
      </c>
      <c r="D120" s="13">
        <v>744</v>
      </c>
      <c r="E120" s="14">
        <v>1323334</v>
      </c>
    </row>
    <row r="121" spans="3:5">
      <c r="C121" s="12">
        <v>118</v>
      </c>
      <c r="D121" s="13">
        <v>753</v>
      </c>
      <c r="E121" s="14">
        <v>1413137</v>
      </c>
    </row>
    <row r="122" spans="3:5">
      <c r="C122" s="12">
        <v>119</v>
      </c>
      <c r="D122" s="13">
        <v>763</v>
      </c>
      <c r="E122" s="14">
        <v>1508733</v>
      </c>
    </row>
    <row r="123" spans="3:5">
      <c r="C123" s="12">
        <v>120</v>
      </c>
      <c r="D123" s="13">
        <v>772</v>
      </c>
      <c r="E123" s="14">
        <v>1610474</v>
      </c>
    </row>
    <row r="124" spans="3:5">
      <c r="C124" s="12">
        <v>121</v>
      </c>
      <c r="D124" s="13">
        <v>782</v>
      </c>
      <c r="E124" s="14">
        <v>1718732</v>
      </c>
    </row>
    <row r="125" spans="3:5">
      <c r="C125" s="12">
        <v>122</v>
      </c>
      <c r="D125" s="13">
        <v>792</v>
      </c>
      <c r="E125" s="14">
        <v>1833900</v>
      </c>
    </row>
    <row r="126" spans="3:5">
      <c r="C126" s="12">
        <v>123</v>
      </c>
      <c r="D126" s="13">
        <v>802</v>
      </c>
      <c r="E126" s="14">
        <v>1956394</v>
      </c>
    </row>
    <row r="127" spans="3:5">
      <c r="C127" s="12">
        <v>124</v>
      </c>
      <c r="D127" s="13">
        <v>813</v>
      </c>
      <c r="E127" s="14">
        <v>2086652</v>
      </c>
    </row>
    <row r="128" spans="3:5">
      <c r="C128" s="12">
        <v>125</v>
      </c>
      <c r="D128" s="13">
        <v>823</v>
      </c>
      <c r="E128" s="14">
        <v>2225138</v>
      </c>
    </row>
    <row r="129" spans="3:5">
      <c r="C129" s="12">
        <v>126</v>
      </c>
      <c r="D129" s="13">
        <v>834</v>
      </c>
      <c r="E129" s="14">
        <v>2372340</v>
      </c>
    </row>
    <row r="130" spans="3:5">
      <c r="C130" s="12">
        <v>127</v>
      </c>
      <c r="D130" s="13">
        <v>845</v>
      </c>
      <c r="E130" s="14">
        <v>2528775</v>
      </c>
    </row>
    <row r="131" spans="3:5">
      <c r="C131" s="12">
        <v>128</v>
      </c>
      <c r="D131" s="13">
        <v>855</v>
      </c>
      <c r="E131" s="14">
        <v>2694986</v>
      </c>
    </row>
    <row r="132" spans="3:5">
      <c r="C132" s="12">
        <v>129</v>
      </c>
      <c r="D132" s="13">
        <v>865</v>
      </c>
      <c r="E132" s="14">
        <v>2871547</v>
      </c>
    </row>
    <row r="133" spans="3:5">
      <c r="C133" s="12">
        <v>130</v>
      </c>
      <c r="D133" s="13">
        <v>876</v>
      </c>
      <c r="E133" s="14">
        <v>3059064</v>
      </c>
    </row>
    <row r="134" spans="3:5">
      <c r="C134" s="12">
        <v>131</v>
      </c>
      <c r="D134" s="13">
        <v>886</v>
      </c>
      <c r="E134" s="14">
        <v>3258174</v>
      </c>
    </row>
    <row r="135" spans="3:5">
      <c r="C135" s="12">
        <v>132</v>
      </c>
      <c r="D135" s="13">
        <v>897</v>
      </c>
      <c r="E135" s="14">
        <v>3469550</v>
      </c>
    </row>
    <row r="136" spans="3:5">
      <c r="C136" s="12">
        <v>133</v>
      </c>
      <c r="D136" s="13">
        <v>907</v>
      </c>
      <c r="E136" s="14">
        <v>3693900</v>
      </c>
    </row>
    <row r="137" spans="3:5">
      <c r="C137" s="12">
        <v>134</v>
      </c>
      <c r="D137" s="13">
        <v>917</v>
      </c>
      <c r="E137" s="14">
        <v>3931971</v>
      </c>
    </row>
    <row r="138" spans="3:5">
      <c r="C138" s="12">
        <v>135</v>
      </c>
      <c r="D138" s="13">
        <v>927</v>
      </c>
      <c r="E138" s="14">
        <v>4184549</v>
      </c>
    </row>
    <row r="139" spans="3:5">
      <c r="C139" s="12">
        <v>136</v>
      </c>
      <c r="D139" s="13">
        <v>938</v>
      </c>
      <c r="E139" s="14">
        <v>4452461</v>
      </c>
    </row>
    <row r="140" spans="3:5">
      <c r="C140" s="12">
        <v>137</v>
      </c>
      <c r="D140" s="13">
        <v>949</v>
      </c>
      <c r="E140" s="14">
        <v>4736578</v>
      </c>
    </row>
    <row r="141" spans="3:5">
      <c r="C141" s="12">
        <v>138</v>
      </c>
      <c r="D141" s="13">
        <v>959</v>
      </c>
      <c r="E141" s="14">
        <v>5037817</v>
      </c>
    </row>
    <row r="142" spans="3:5">
      <c r="C142" s="12">
        <v>139</v>
      </c>
      <c r="D142" s="13">
        <v>970</v>
      </c>
      <c r="E142" s="14">
        <v>5357143</v>
      </c>
    </row>
    <row r="143" spans="3:5">
      <c r="C143" s="12">
        <v>140</v>
      </c>
      <c r="D143" s="13">
        <v>980</v>
      </c>
      <c r="E143" s="14">
        <v>5695570</v>
      </c>
    </row>
    <row r="144" spans="3:5">
      <c r="C144" s="12">
        <v>141</v>
      </c>
      <c r="D144" s="13">
        <v>992</v>
      </c>
      <c r="E144" s="14">
        <v>6054166</v>
      </c>
    </row>
    <row r="145" spans="3:5">
      <c r="C145" s="12">
        <v>142</v>
      </c>
      <c r="D145" s="13">
        <v>1003</v>
      </c>
      <c r="E145" s="14">
        <v>6434052</v>
      </c>
    </row>
    <row r="146" spans="3:5">
      <c r="C146" s="12">
        <v>143</v>
      </c>
      <c r="D146" s="13">
        <v>1016</v>
      </c>
      <c r="E146" s="14">
        <v>6836408</v>
      </c>
    </row>
    <row r="147" spans="3:5">
      <c r="C147" s="12">
        <v>144</v>
      </c>
      <c r="D147" s="13">
        <v>1028</v>
      </c>
      <c r="E147" s="14">
        <v>7262472</v>
      </c>
    </row>
    <row r="148" spans="3:5">
      <c r="C148" s="12">
        <v>145</v>
      </c>
      <c r="D148" s="13">
        <v>1040</v>
      </c>
      <c r="E148" s="14">
        <v>7713547</v>
      </c>
    </row>
    <row r="149" spans="3:5">
      <c r="C149" s="12">
        <v>146</v>
      </c>
      <c r="D149" s="13">
        <v>1052</v>
      </c>
      <c r="E149" s="14">
        <v>8191000</v>
      </c>
    </row>
    <row r="150" spans="3:5">
      <c r="C150" s="12">
        <v>147</v>
      </c>
      <c r="D150" s="13">
        <v>1065</v>
      </c>
      <c r="E150" s="14">
        <v>8696267</v>
      </c>
    </row>
    <row r="151" spans="3:5">
      <c r="C151" s="12">
        <v>148</v>
      </c>
      <c r="D151" s="13">
        <v>1078</v>
      </c>
      <c r="E151" s="14">
        <v>9230855</v>
      </c>
    </row>
    <row r="152" spans="3:5">
      <c r="C152" s="12">
        <v>149</v>
      </c>
      <c r="D152" s="13">
        <v>1090</v>
      </c>
      <c r="E152" s="14">
        <v>9796346</v>
      </c>
    </row>
    <row r="153" spans="3:5">
      <c r="C153" s="12">
        <v>150</v>
      </c>
      <c r="D153" s="13">
        <v>1106</v>
      </c>
      <c r="E153" s="14">
        <v>10394400</v>
      </c>
    </row>
    <row r="154" spans="3:5">
      <c r="C154" s="12">
        <v>151</v>
      </c>
      <c r="D154" s="13">
        <v>1123</v>
      </c>
      <c r="E154" s="14">
        <v>11026759</v>
      </c>
    </row>
    <row r="155" spans="3:5">
      <c r="C155" s="12">
        <v>152</v>
      </c>
      <c r="D155" s="13">
        <v>1140</v>
      </c>
      <c r="E155" s="14">
        <v>11695249</v>
      </c>
    </row>
    <row r="156" spans="3:5">
      <c r="C156" s="12">
        <v>153</v>
      </c>
      <c r="D156" s="13">
        <v>1158</v>
      </c>
      <c r="E156" s="14">
        <v>12401785</v>
      </c>
    </row>
    <row r="157" spans="3:5">
      <c r="C157" s="12">
        <v>154</v>
      </c>
      <c r="D157" s="13">
        <v>1175</v>
      </c>
      <c r="E157" s="14">
        <v>13148374</v>
      </c>
    </row>
    <row r="158" spans="3:5">
      <c r="C158" s="12">
        <v>155</v>
      </c>
      <c r="D158" s="13">
        <v>1193</v>
      </c>
      <c r="E158" s="14">
        <v>13937120</v>
      </c>
    </row>
    <row r="159" spans="3:5">
      <c r="C159" s="12">
        <v>156</v>
      </c>
      <c r="D159" s="13">
        <v>1211</v>
      </c>
      <c r="E159" s="14">
        <v>14770227</v>
      </c>
    </row>
    <row r="160" spans="3:5">
      <c r="C160" s="12">
        <v>157</v>
      </c>
      <c r="D160" s="13">
        <v>1228</v>
      </c>
      <c r="E160" s="14">
        <v>15650003</v>
      </c>
    </row>
    <row r="161" spans="3:5">
      <c r="C161" s="12">
        <v>158</v>
      </c>
      <c r="D161" s="13">
        <v>1246</v>
      </c>
      <c r="E161" s="14">
        <v>16578866</v>
      </c>
    </row>
    <row r="162" spans="3:5">
      <c r="C162" s="12">
        <v>159</v>
      </c>
      <c r="D162" s="13">
        <v>1264</v>
      </c>
      <c r="E162" s="14">
        <v>17559346</v>
      </c>
    </row>
    <row r="163" spans="3:5">
      <c r="C163" s="12">
        <v>160</v>
      </c>
      <c r="D163" s="13">
        <v>1282</v>
      </c>
      <c r="E163" s="14">
        <v>18594093</v>
      </c>
    </row>
    <row r="164" spans="3:5">
      <c r="C164" s="12">
        <v>161</v>
      </c>
      <c r="D164" s="13">
        <v>1300</v>
      </c>
      <c r="E164" s="14">
        <v>19685878</v>
      </c>
    </row>
    <row r="165" spans="3:5">
      <c r="C165" s="12">
        <v>162</v>
      </c>
      <c r="D165" s="13">
        <v>1318</v>
      </c>
      <c r="E165" s="14">
        <v>20837600</v>
      </c>
    </row>
    <row r="166" spans="3:5">
      <c r="C166" s="12">
        <v>163</v>
      </c>
      <c r="D166" s="13">
        <v>1335</v>
      </c>
      <c r="E166" s="14">
        <v>22052293</v>
      </c>
    </row>
    <row r="167" spans="3:5">
      <c r="C167" s="12">
        <v>164</v>
      </c>
      <c r="D167" s="13">
        <v>1353</v>
      </c>
      <c r="E167" s="14">
        <v>23333127</v>
      </c>
    </row>
    <row r="168" spans="3:5">
      <c r="C168" s="12">
        <v>165</v>
      </c>
      <c r="D168" s="13">
        <v>1371</v>
      </c>
      <c r="E168" s="14">
        <v>24683416</v>
      </c>
    </row>
    <row r="169" spans="3:5">
      <c r="C169" s="12">
        <v>166</v>
      </c>
      <c r="D169" s="13">
        <v>1390</v>
      </c>
      <c r="E169" s="14">
        <v>26106624</v>
      </c>
    </row>
    <row r="170" spans="3:5">
      <c r="C170" s="12">
        <v>167</v>
      </c>
      <c r="D170" s="13">
        <v>1408</v>
      </c>
      <c r="E170" s="14">
        <v>27606370</v>
      </c>
    </row>
    <row r="171" spans="3:5">
      <c r="C171" s="12">
        <v>168</v>
      </c>
      <c r="D171" s="13">
        <v>1426</v>
      </c>
      <c r="E171" s="14">
        <v>29186433</v>
      </c>
    </row>
    <row r="172" spans="3:5">
      <c r="C172" s="12">
        <v>169</v>
      </c>
      <c r="D172" s="13">
        <v>1444</v>
      </c>
      <c r="E172" s="14">
        <v>30850760</v>
      </c>
    </row>
    <row r="173" spans="3:5">
      <c r="C173" s="12">
        <v>170</v>
      </c>
      <c r="D173" s="13">
        <v>1462</v>
      </c>
      <c r="E173" s="14">
        <v>32603472</v>
      </c>
    </row>
    <row r="174" spans="3:5">
      <c r="C174" s="12">
        <v>171</v>
      </c>
      <c r="D174" s="13">
        <v>1480</v>
      </c>
      <c r="E174" s="14">
        <v>34448869</v>
      </c>
    </row>
    <row r="175" spans="3:5">
      <c r="C175" s="12">
        <v>172</v>
      </c>
      <c r="D175" s="13">
        <v>1498</v>
      </c>
      <c r="E175" s="14">
        <v>36391438</v>
      </c>
    </row>
    <row r="176" spans="3:5">
      <c r="C176" s="12">
        <v>173</v>
      </c>
      <c r="D176" s="13">
        <v>1500</v>
      </c>
      <c r="E176" s="14">
        <v>38435859</v>
      </c>
    </row>
    <row r="177" spans="3:5">
      <c r="C177" s="12">
        <v>174</v>
      </c>
      <c r="D177" s="13">
        <v>1500</v>
      </c>
      <c r="E177" s="14">
        <v>40587014</v>
      </c>
    </row>
    <row r="178" spans="3:5">
      <c r="C178" s="12">
        <v>175</v>
      </c>
      <c r="D178" s="13">
        <v>1500</v>
      </c>
      <c r="E178" s="14">
        <v>42849992</v>
      </c>
    </row>
    <row r="179" spans="3:5">
      <c r="C179" s="12">
        <v>176</v>
      </c>
      <c r="D179" s="13">
        <v>1500</v>
      </c>
      <c r="E179" s="14">
        <v>45230097</v>
      </c>
    </row>
    <row r="180" spans="3:5">
      <c r="C180" s="12">
        <v>177</v>
      </c>
      <c r="D180" s="13">
        <v>1500</v>
      </c>
      <c r="E180" s="14">
        <v>47732857</v>
      </c>
    </row>
    <row r="181" spans="3:5">
      <c r="C181" s="12">
        <v>178</v>
      </c>
      <c r="D181" s="13">
        <v>1500</v>
      </c>
      <c r="E181" s="14">
        <v>50364030</v>
      </c>
    </row>
    <row r="182" spans="3:5">
      <c r="C182" s="12">
        <v>179</v>
      </c>
      <c r="D182" s="13">
        <v>1500</v>
      </c>
      <c r="E182" s="14">
        <v>53129613</v>
      </c>
    </row>
    <row r="183" spans="3:5">
      <c r="C183" s="12">
        <v>180</v>
      </c>
      <c r="D183" s="13">
        <v>1500</v>
      </c>
      <c r="E183" s="14">
        <v>56035850</v>
      </c>
    </row>
    <row r="184" spans="3:5">
      <c r="C184" s="12">
        <v>181</v>
      </c>
      <c r="D184" s="13">
        <v>1500</v>
      </c>
      <c r="E184" s="14">
        <v>59089240</v>
      </c>
    </row>
    <row r="185" spans="3:5">
      <c r="C185" s="12">
        <v>182</v>
      </c>
      <c r="D185" s="13">
        <v>1500</v>
      </c>
      <c r="E185" s="14">
        <v>62296547</v>
      </c>
    </row>
    <row r="186" spans="3:5">
      <c r="C186" s="12">
        <v>183</v>
      </c>
      <c r="D186" s="13">
        <v>1500</v>
      </c>
      <c r="E186" s="14">
        <v>65664808</v>
      </c>
    </row>
    <row r="187" spans="3:5">
      <c r="C187" s="12">
        <v>184</v>
      </c>
      <c r="D187" s="13">
        <v>1500</v>
      </c>
      <c r="E187" s="14">
        <v>69201342</v>
      </c>
    </row>
    <row r="188" spans="3:5">
      <c r="C188" s="12">
        <v>185</v>
      </c>
      <c r="D188" s="13">
        <v>1500</v>
      </c>
      <c r="E188" s="14">
        <v>72913759</v>
      </c>
    </row>
    <row r="189" spans="3:5">
      <c r="C189" s="12">
        <v>186</v>
      </c>
      <c r="D189" s="13">
        <v>1500</v>
      </c>
      <c r="E189" s="14">
        <v>76809969</v>
      </c>
    </row>
    <row r="190" spans="3:5">
      <c r="C190" s="12">
        <v>187</v>
      </c>
      <c r="D190" s="13">
        <v>1500</v>
      </c>
      <c r="E190" s="14">
        <v>80898194</v>
      </c>
    </row>
    <row r="191" spans="3:5">
      <c r="C191" s="12">
        <v>188</v>
      </c>
      <c r="D191" s="13">
        <v>1500</v>
      </c>
      <c r="E191" s="14">
        <v>85186975</v>
      </c>
    </row>
    <row r="192" spans="3:5">
      <c r="C192" s="12">
        <v>189</v>
      </c>
      <c r="D192" s="13">
        <v>1500</v>
      </c>
      <c r="E192" s="14">
        <v>89685183</v>
      </c>
    </row>
    <row r="193" spans="3:5">
      <c r="C193" s="12">
        <v>190</v>
      </c>
      <c r="D193" s="13">
        <v>1500</v>
      </c>
      <c r="E193" s="14">
        <v>94402030</v>
      </c>
    </row>
    <row r="194" spans="3:5">
      <c r="C194" s="12">
        <v>191</v>
      </c>
      <c r="D194" s="13">
        <v>1500</v>
      </c>
      <c r="E194" s="14">
        <v>99347078</v>
      </c>
    </row>
    <row r="195" spans="3:5">
      <c r="C195" s="12">
        <v>192</v>
      </c>
      <c r="D195" s="13">
        <v>1500</v>
      </c>
      <c r="E195" s="14">
        <v>104530252</v>
      </c>
    </row>
    <row r="196" spans="3:5">
      <c r="C196" s="12">
        <v>193</v>
      </c>
      <c r="D196" s="13">
        <v>1500</v>
      </c>
      <c r="E196" s="14">
        <v>109961848</v>
      </c>
    </row>
    <row r="197" spans="3:5">
      <c r="C197" s="12">
        <v>194</v>
      </c>
      <c r="D197" s="13">
        <v>1500</v>
      </c>
      <c r="E197" s="14">
        <v>115652545</v>
      </c>
    </row>
    <row r="198" spans="3:5">
      <c r="C198" s="12">
        <v>195</v>
      </c>
      <c r="D198" s="13">
        <v>1500</v>
      </c>
      <c r="E198" s="14">
        <v>121613417</v>
      </c>
    </row>
    <row r="199" spans="3:5">
      <c r="C199" s="12">
        <v>196</v>
      </c>
      <c r="D199" s="13">
        <v>1500</v>
      </c>
      <c r="E199" s="14">
        <v>127855943</v>
      </c>
    </row>
    <row r="200" spans="3:5">
      <c r="C200" s="12">
        <v>197</v>
      </c>
      <c r="D200" s="13">
        <v>1500</v>
      </c>
      <c r="E200" s="14">
        <v>134392020</v>
      </c>
    </row>
    <row r="201" spans="3:5">
      <c r="C201" s="12">
        <v>198</v>
      </c>
      <c r="D201" s="13">
        <v>1500</v>
      </c>
      <c r="E201" s="14">
        <v>141233973</v>
      </c>
    </row>
    <row r="202" spans="3:5">
      <c r="C202" s="12">
        <v>199</v>
      </c>
      <c r="D202" s="13">
        <v>1500</v>
      </c>
      <c r="E202" s="14">
        <v>148394568</v>
      </c>
    </row>
    <row r="203" spans="3:5">
      <c r="C203" s="12">
        <v>200</v>
      </c>
      <c r="D203" s="13">
        <v>1500</v>
      </c>
      <c r="E203" s="14">
        <v>155887023</v>
      </c>
    </row>
    <row r="204" spans="3:5">
      <c r="C204" s="12">
        <v>201</v>
      </c>
      <c r="D204" s="13">
        <v>1500</v>
      </c>
      <c r="E204" s="14">
        <v>163725021</v>
      </c>
    </row>
    <row r="205" spans="3:5">
      <c r="C205" s="12">
        <v>202</v>
      </c>
      <c r="D205" s="13">
        <v>1500</v>
      </c>
      <c r="E205" s="14">
        <v>171922722</v>
      </c>
    </row>
    <row r="206" spans="3:5">
      <c r="C206" s="12">
        <v>203</v>
      </c>
      <c r="D206" s="13">
        <v>1500</v>
      </c>
      <c r="E206" s="14">
        <v>180518858</v>
      </c>
    </row>
    <row r="207" spans="3:5">
      <c r="C207" s="12">
        <v>204</v>
      </c>
      <c r="D207" s="13">
        <v>1500</v>
      </c>
      <c r="E207" s="14">
        <v>189544800</v>
      </c>
    </row>
    <row r="208" spans="3:5">
      <c r="C208" s="12">
        <v>205</v>
      </c>
      <c r="D208" s="13">
        <v>1500</v>
      </c>
      <c r="E208" s="14">
        <v>199022040</v>
      </c>
    </row>
    <row r="209" spans="3:5">
      <c r="C209" s="12">
        <v>206</v>
      </c>
      <c r="D209" s="13">
        <v>1500</v>
      </c>
      <c r="E209" s="14">
        <v>208973142</v>
      </c>
    </row>
    <row r="210" spans="3:5">
      <c r="C210" s="12">
        <v>207</v>
      </c>
      <c r="D210" s="13">
        <v>1500</v>
      </c>
      <c r="E210" s="14">
        <v>219421799</v>
      </c>
    </row>
    <row r="211" spans="3:5">
      <c r="C211" s="12">
        <v>208</v>
      </c>
      <c r="D211" s="13">
        <v>1500</v>
      </c>
      <c r="E211" s="14">
        <v>230392888</v>
      </c>
    </row>
    <row r="212" spans="3:5">
      <c r="C212" s="12">
        <v>209</v>
      </c>
      <c r="D212" s="13">
        <v>1500</v>
      </c>
      <c r="E212" s="14">
        <v>241912532</v>
      </c>
    </row>
    <row r="213" spans="3:5">
      <c r="C213" s="12">
        <v>210</v>
      </c>
      <c r="D213" s="13">
        <v>1500</v>
      </c>
      <c r="E213" s="14">
        <v>254008158</v>
      </c>
    </row>
    <row r="214" spans="3:5">
      <c r="C214" s="12">
        <v>211</v>
      </c>
      <c r="D214" s="13">
        <v>1500</v>
      </c>
      <c r="E214" s="14">
        <v>266708565</v>
      </c>
    </row>
    <row r="215" spans="3:5">
      <c r="C215" s="12">
        <v>212</v>
      </c>
      <c r="D215" s="13">
        <v>1500</v>
      </c>
      <c r="E215" s="14">
        <v>280043993</v>
      </c>
    </row>
    <row r="216" spans="3:5">
      <c r="C216" s="12">
        <v>213</v>
      </c>
      <c r="D216" s="13">
        <v>1500</v>
      </c>
      <c r="E216" s="14">
        <v>294046192</v>
      </c>
    </row>
    <row r="217" spans="3:5">
      <c r="C217" s="12">
        <v>214</v>
      </c>
      <c r="D217" s="13">
        <v>1500</v>
      </c>
      <c r="E217" s="14">
        <v>308748501</v>
      </c>
    </row>
    <row r="218" spans="3:5">
      <c r="C218" s="12">
        <v>215</v>
      </c>
      <c r="D218" s="13">
        <v>1500</v>
      </c>
      <c r="E218" s="14">
        <v>324185926</v>
      </c>
    </row>
    <row r="219" spans="3:5">
      <c r="C219" s="12">
        <v>216</v>
      </c>
      <c r="D219" s="13">
        <v>1500</v>
      </c>
      <c r="E219" s="14">
        <v>340395222</v>
      </c>
    </row>
    <row r="220" spans="3:5">
      <c r="C220" s="12">
        <v>217</v>
      </c>
      <c r="D220" s="13">
        <v>1500</v>
      </c>
      <c r="E220" s="14">
        <v>357414983</v>
      </c>
    </row>
    <row r="221" spans="3:5">
      <c r="C221" s="12">
        <v>218</v>
      </c>
      <c r="D221" s="13">
        <v>1500</v>
      </c>
      <c r="E221" s="14">
        <v>375285732</v>
      </c>
    </row>
    <row r="222" spans="3:5">
      <c r="C222" s="12">
        <v>219</v>
      </c>
      <c r="D222" s="13">
        <v>1500</v>
      </c>
      <c r="E222" s="14">
        <v>394050018</v>
      </c>
    </row>
    <row r="223" spans="3:5">
      <c r="C223" s="12">
        <v>220</v>
      </c>
      <c r="D223" s="13">
        <v>1500</v>
      </c>
      <c r="E223" s="14">
        <v>413752518</v>
      </c>
    </row>
    <row r="224" spans="3:5">
      <c r="C224" s="12">
        <v>221</v>
      </c>
      <c r="D224" s="13">
        <v>1500</v>
      </c>
      <c r="E224" s="14">
        <v>434440143</v>
      </c>
    </row>
    <row r="225" spans="3:5">
      <c r="C225" s="12">
        <v>222</v>
      </c>
      <c r="D225" s="13">
        <v>1500</v>
      </c>
      <c r="E225" s="14">
        <v>456162150</v>
      </c>
    </row>
    <row r="226" spans="3:5">
      <c r="C226" s="12">
        <v>223</v>
      </c>
      <c r="D226" s="13">
        <v>1500</v>
      </c>
      <c r="E226" s="14">
        <v>478970257</v>
      </c>
    </row>
    <row r="227" spans="3:5">
      <c r="C227" s="12">
        <v>224</v>
      </c>
      <c r="D227" s="13">
        <v>1500</v>
      </c>
      <c r="E227" s="14">
        <v>502918769</v>
      </c>
    </row>
    <row r="228" spans="3:5">
      <c r="C228" s="12">
        <v>225</v>
      </c>
      <c r="D228" s="13">
        <v>1500</v>
      </c>
      <c r="E228" s="14">
        <v>528064707</v>
      </c>
    </row>
    <row r="229" spans="3:5">
      <c r="C229" s="12">
        <v>226</v>
      </c>
      <c r="D229" s="13">
        <v>1500</v>
      </c>
      <c r="E229" s="14">
        <v>554467942</v>
      </c>
    </row>
    <row r="230" spans="3:5">
      <c r="C230" s="12">
        <v>227</v>
      </c>
      <c r="D230" s="13">
        <v>1500</v>
      </c>
      <c r="E230" s="14">
        <v>582191339</v>
      </c>
    </row>
    <row r="231" spans="3:5">
      <c r="C231" s="12">
        <v>228</v>
      </c>
      <c r="D231" s="13">
        <v>1500</v>
      </c>
      <c r="E231" s="14">
        <v>611300905</v>
      </c>
    </row>
    <row r="232" spans="3:5">
      <c r="C232" s="12">
        <v>229</v>
      </c>
      <c r="D232" s="13">
        <v>1500</v>
      </c>
      <c r="E232" s="14">
        <v>641865950</v>
      </c>
    </row>
    <row r="233" spans="3:5">
      <c r="C233" s="12">
        <v>230</v>
      </c>
      <c r="D233" s="13">
        <v>1500</v>
      </c>
      <c r="E233" s="14">
        <v>673959247</v>
      </c>
    </row>
    <row r="234" spans="3:5">
      <c r="C234" s="12">
        <v>231</v>
      </c>
      <c r="D234" s="13">
        <v>1500</v>
      </c>
      <c r="E234" s="14">
        <v>707657209</v>
      </c>
    </row>
    <row r="235" spans="3:5">
      <c r="C235" s="12">
        <v>232</v>
      </c>
      <c r="D235" s="13">
        <v>1500</v>
      </c>
      <c r="E235" s="14">
        <v>743040069</v>
      </c>
    </row>
    <row r="236" spans="3:5">
      <c r="C236" s="12">
        <v>233</v>
      </c>
      <c r="D236" s="13">
        <v>1500</v>
      </c>
      <c r="E236" s="14">
        <v>780192072</v>
      </c>
    </row>
    <row r="237" spans="3:5">
      <c r="C237" s="12">
        <v>234</v>
      </c>
      <c r="D237" s="13">
        <v>1500</v>
      </c>
      <c r="E237" s="14">
        <v>819201675</v>
      </c>
    </row>
    <row r="238" spans="3:5">
      <c r="C238" s="12">
        <v>235</v>
      </c>
      <c r="D238" s="13">
        <v>1500</v>
      </c>
      <c r="E238" s="14">
        <v>860161758</v>
      </c>
    </row>
    <row r="239" spans="3:5">
      <c r="C239" s="12">
        <v>236</v>
      </c>
      <c r="D239" s="13">
        <v>1500</v>
      </c>
      <c r="E239" s="14">
        <v>903169845</v>
      </c>
    </row>
    <row r="240" spans="3:5">
      <c r="C240" s="12">
        <v>237</v>
      </c>
      <c r="D240" s="13">
        <v>1500</v>
      </c>
      <c r="E240" s="14">
        <v>948328337</v>
      </c>
    </row>
    <row r="241" spans="3:5">
      <c r="C241" s="12">
        <v>238</v>
      </c>
      <c r="D241" s="13">
        <v>1500</v>
      </c>
      <c r="E241" s="14">
        <v>995744753</v>
      </c>
    </row>
    <row r="242" spans="3:5">
      <c r="C242" s="12">
        <v>239</v>
      </c>
      <c r="D242" s="13">
        <v>1500</v>
      </c>
      <c r="E242" s="14">
        <v>1045531990</v>
      </c>
    </row>
    <row r="243" spans="3:5">
      <c r="C243" s="12">
        <v>240</v>
      </c>
      <c r="D243" s="13">
        <v>1500</v>
      </c>
      <c r="E243" s="14">
        <v>1097808589</v>
      </c>
    </row>
    <row r="244" spans="3:5">
      <c r="C244" s="12">
        <v>241</v>
      </c>
      <c r="D244" s="13">
        <v>1500</v>
      </c>
      <c r="E244" s="14">
        <v>1152699018</v>
      </c>
    </row>
    <row r="245" spans="3:5">
      <c r="C245" s="12">
        <v>242</v>
      </c>
      <c r="D245" s="13">
        <v>1500</v>
      </c>
      <c r="E245" s="14">
        <v>1210333968</v>
      </c>
    </row>
    <row r="246" spans="3:5">
      <c r="C246" s="12">
        <v>243</v>
      </c>
      <c r="D246" s="13">
        <v>1500</v>
      </c>
      <c r="E246" s="14">
        <v>1270850666</v>
      </c>
    </row>
    <row r="247" spans="3:5">
      <c r="C247" s="12">
        <v>244</v>
      </c>
      <c r="D247" s="13">
        <v>1500</v>
      </c>
      <c r="E247" s="14">
        <v>1334393199</v>
      </c>
    </row>
    <row r="248" spans="3:5">
      <c r="C248" s="12">
        <v>245</v>
      </c>
      <c r="D248" s="13">
        <v>1500</v>
      </c>
      <c r="E248" s="14">
        <v>1401112858</v>
      </c>
    </row>
    <row r="249" spans="3:5">
      <c r="C249" s="12">
        <v>246</v>
      </c>
      <c r="D249" s="13">
        <v>1500</v>
      </c>
      <c r="E249" s="14">
        <v>1471168500</v>
      </c>
    </row>
    <row r="250" spans="3:5">
      <c r="C250" s="12">
        <v>247</v>
      </c>
      <c r="D250" s="13">
        <v>1500</v>
      </c>
      <c r="E250" s="14">
        <v>1544726925</v>
      </c>
    </row>
    <row r="251" spans="3:5">
      <c r="C251" s="12">
        <v>248</v>
      </c>
      <c r="D251" s="13">
        <v>1500</v>
      </c>
      <c r="E251" s="14">
        <v>1621963271</v>
      </c>
    </row>
    <row r="252" spans="3:5">
      <c r="C252" s="12">
        <v>249</v>
      </c>
      <c r="D252" s="13">
        <v>1500</v>
      </c>
      <c r="E252" s="14">
        <v>1703061434</v>
      </c>
    </row>
    <row r="253" spans="3:5">
      <c r="C253" s="12">
        <v>250</v>
      </c>
      <c r="D253" s="13">
        <v>1500</v>
      </c>
      <c r="E253" s="14">
        <v>1788214505</v>
      </c>
    </row>
    <row r="254" spans="3:5">
      <c r="C254" s="12">
        <v>251</v>
      </c>
      <c r="D254" s="13">
        <v>1500</v>
      </c>
      <c r="E254" s="14">
        <v>1877625230</v>
      </c>
    </row>
    <row r="255" spans="3:5">
      <c r="C255" s="12">
        <v>252</v>
      </c>
      <c r="D255" s="13">
        <v>1500</v>
      </c>
      <c r="E255" s="14">
        <v>1971506491</v>
      </c>
    </row>
    <row r="256" spans="3:5">
      <c r="C256" s="12">
        <v>253</v>
      </c>
      <c r="D256" s="13">
        <v>1500</v>
      </c>
      <c r="E256" s="14">
        <v>2070081815</v>
      </c>
    </row>
    <row r="257" spans="3:5">
      <c r="C257" s="12">
        <v>254</v>
      </c>
      <c r="D257" s="13">
        <v>1500</v>
      </c>
      <c r="E257" s="14">
        <v>2173585905</v>
      </c>
    </row>
    <row r="258" spans="3:5">
      <c r="C258" s="12">
        <v>255</v>
      </c>
      <c r="D258" s="13">
        <v>1500</v>
      </c>
      <c r="E258" s="14">
        <v>2282265200</v>
      </c>
    </row>
    <row r="259" spans="3:5">
      <c r="C259" s="12">
        <v>256</v>
      </c>
      <c r="D259" s="13">
        <v>1500</v>
      </c>
      <c r="E259" s="14">
        <v>2396378460</v>
      </c>
    </row>
    <row r="260" spans="3:5">
      <c r="C260" s="12">
        <v>257</v>
      </c>
      <c r="D260" s="13">
        <v>1500</v>
      </c>
      <c r="E260" s="14">
        <v>2516197383</v>
      </c>
    </row>
    <row r="261" spans="3:5">
      <c r="C261" s="12">
        <v>258</v>
      </c>
      <c r="D261" s="13">
        <v>1500</v>
      </c>
      <c r="E261" s="14">
        <v>2642007252</v>
      </c>
    </row>
    <row r="262" spans="3:5">
      <c r="C262" s="12">
        <v>259</v>
      </c>
      <c r="D262" s="13">
        <v>1500</v>
      </c>
      <c r="E262" s="14">
        <v>2774107614</v>
      </c>
    </row>
    <row r="263" spans="3:5">
      <c r="C263" s="12">
        <v>260</v>
      </c>
      <c r="D263" s="13">
        <v>1500</v>
      </c>
      <c r="E263" s="14">
        <v>2912812994</v>
      </c>
    </row>
    <row r="264" spans="3:5">
      <c r="C264" s="12">
        <v>261</v>
      </c>
      <c r="D264" s="13">
        <v>1500</v>
      </c>
      <c r="E264" s="14">
        <v>3058453643</v>
      </c>
    </row>
    <row r="265" spans="3:5">
      <c r="C265" s="12">
        <v>262</v>
      </c>
      <c r="D265" s="13">
        <v>1500</v>
      </c>
      <c r="E265" s="14">
        <v>3211376325</v>
      </c>
    </row>
    <row r="266" spans="3:5">
      <c r="C266" s="12">
        <v>263</v>
      </c>
      <c r="D266" s="13">
        <v>1500</v>
      </c>
      <c r="E266" s="14">
        <v>3371945141</v>
      </c>
    </row>
    <row r="267" spans="3:5">
      <c r="C267" s="12">
        <v>264</v>
      </c>
      <c r="D267" s="13">
        <v>1500</v>
      </c>
      <c r="E267" s="14">
        <v>3540542398</v>
      </c>
    </row>
    <row r="268" spans="3:5">
      <c r="C268" s="12">
        <v>265</v>
      </c>
      <c r="D268" s="13">
        <v>1500</v>
      </c>
      <c r="E268" s="14">
        <v>3717569517</v>
      </c>
    </row>
    <row r="269" spans="3:5">
      <c r="C269" s="12">
        <v>266</v>
      </c>
      <c r="D269" s="13">
        <v>1500</v>
      </c>
      <c r="E269" s="14">
        <v>3903447992</v>
      </c>
    </row>
    <row r="270" spans="3:5">
      <c r="C270" s="12">
        <v>267</v>
      </c>
      <c r="D270" s="13">
        <v>1500</v>
      </c>
      <c r="E270" s="14">
        <v>4098620391</v>
      </c>
    </row>
    <row r="271" spans="3:5">
      <c r="C271" s="12">
        <v>268</v>
      </c>
      <c r="D271" s="13">
        <v>1500</v>
      </c>
      <c r="E271" s="14">
        <v>4303551410</v>
      </c>
    </row>
    <row r="272" spans="3:5">
      <c r="C272" s="12">
        <v>269</v>
      </c>
      <c r="D272" s="13">
        <v>1500</v>
      </c>
      <c r="E272" s="14">
        <v>4518728980</v>
      </c>
    </row>
    <row r="273" spans="3:5">
      <c r="C273" s="12">
        <v>270</v>
      </c>
      <c r="D273" s="13">
        <v>1500</v>
      </c>
      <c r="E273" s="14">
        <v>4744665429</v>
      </c>
    </row>
    <row r="274" spans="3:5">
      <c r="C274" s="12">
        <v>271</v>
      </c>
      <c r="D274" s="13">
        <v>1500</v>
      </c>
      <c r="E274" s="14">
        <v>4981898700</v>
      </c>
    </row>
    <row r="275" spans="3:5">
      <c r="C275" s="12">
        <v>272</v>
      </c>
      <c r="D275" s="13">
        <v>1500</v>
      </c>
      <c r="E275" s="14">
        <v>5230993635</v>
      </c>
    </row>
    <row r="276" spans="3:5">
      <c r="C276" s="12">
        <v>273</v>
      </c>
      <c r="D276" s="13">
        <v>1500</v>
      </c>
      <c r="E276" s="14">
        <v>5492543316</v>
      </c>
    </row>
    <row r="277" spans="3:5">
      <c r="C277" s="12">
        <v>274</v>
      </c>
      <c r="D277" s="13">
        <v>1500</v>
      </c>
      <c r="E277" s="14">
        <v>5767170481</v>
      </c>
    </row>
    <row r="278" spans="3:5">
      <c r="C278" s="12">
        <v>275</v>
      </c>
      <c r="D278" s="13">
        <v>1500</v>
      </c>
      <c r="E278" s="14">
        <v>6055529005</v>
      </c>
    </row>
    <row r="279" spans="3:5">
      <c r="C279" s="12">
        <v>276</v>
      </c>
      <c r="D279" s="13">
        <v>1500</v>
      </c>
      <c r="E279" s="14">
        <v>6358305455</v>
      </c>
    </row>
    <row r="280" spans="3:5">
      <c r="C280" s="12">
        <v>277</v>
      </c>
      <c r="D280" s="13">
        <v>1500</v>
      </c>
      <c r="E280" s="14">
        <v>6676220727</v>
      </c>
    </row>
    <row r="281" spans="3:5">
      <c r="C281" s="12">
        <v>278</v>
      </c>
      <c r="D281" s="13">
        <v>1500</v>
      </c>
      <c r="E281" s="14">
        <v>7010031763</v>
      </c>
    </row>
    <row r="282" spans="3:5">
      <c r="C282" s="12">
        <v>279</v>
      </c>
      <c r="D282" s="13">
        <v>1500</v>
      </c>
      <c r="E282" s="14">
        <v>7360533351</v>
      </c>
    </row>
    <row r="283" spans="3:5">
      <c r="C283" s="12">
        <v>280</v>
      </c>
      <c r="D283" s="13">
        <v>1500</v>
      </c>
      <c r="E283" s="14">
        <v>7728560018</v>
      </c>
    </row>
    <row r="284" spans="3:5">
      <c r="C284" s="12">
        <v>281</v>
      </c>
      <c r="D284" s="13">
        <v>1500</v>
      </c>
      <c r="E284" s="14">
        <v>8114988018</v>
      </c>
    </row>
    <row r="285" spans="3:5">
      <c r="C285" s="12">
        <v>282</v>
      </c>
      <c r="D285" s="13">
        <v>1500</v>
      </c>
      <c r="E285" s="14">
        <v>8520737418</v>
      </c>
    </row>
    <row r="286" spans="3:5">
      <c r="C286" s="12">
        <v>283</v>
      </c>
      <c r="D286" s="13">
        <v>1500</v>
      </c>
      <c r="E286" s="14">
        <v>8946774288</v>
      </c>
    </row>
    <row r="287" spans="3:5">
      <c r="C287" s="12">
        <v>284</v>
      </c>
      <c r="D287" s="13">
        <v>1500</v>
      </c>
      <c r="E287" s="14">
        <v>9394113002</v>
      </c>
    </row>
    <row r="288" spans="3:5">
      <c r="C288" s="12">
        <v>285</v>
      </c>
      <c r="D288" s="13">
        <v>1500</v>
      </c>
      <c r="E288" s="14">
        <v>9863818652</v>
      </c>
    </row>
    <row r="289" spans="3:5">
      <c r="C289" s="12">
        <v>286</v>
      </c>
      <c r="D289" s="13">
        <v>1500</v>
      </c>
      <c r="E289" s="14">
        <v>10357009584</v>
      </c>
    </row>
    <row r="290" spans="3:5">
      <c r="C290" s="12">
        <v>287</v>
      </c>
      <c r="D290" s="13">
        <v>1500</v>
      </c>
      <c r="E290" s="14">
        <v>10874860063</v>
      </c>
    </row>
    <row r="291" spans="3:5">
      <c r="C291" s="12">
        <v>288</v>
      </c>
      <c r="D291" s="13">
        <v>1500</v>
      </c>
      <c r="E291" s="14">
        <v>11418603066</v>
      </c>
    </row>
    <row r="292" spans="3:5">
      <c r="C292" s="12">
        <v>289</v>
      </c>
      <c r="D292" s="13">
        <v>1500</v>
      </c>
      <c r="E292" s="14">
        <v>11989533219</v>
      </c>
    </row>
    <row r="293" spans="3:5">
      <c r="C293" s="12">
        <v>290</v>
      </c>
      <c r="D293" s="13">
        <v>1500</v>
      </c>
      <c r="E293" s="14">
        <v>12589009879</v>
      </c>
    </row>
    <row r="294" spans="3:5">
      <c r="C294" s="12">
        <v>291</v>
      </c>
      <c r="D294" s="13">
        <v>1500</v>
      </c>
      <c r="E294" s="14">
        <v>13218460372</v>
      </c>
    </row>
    <row r="295" spans="3:5">
      <c r="C295" s="12">
        <v>292</v>
      </c>
      <c r="D295" s="13">
        <v>1500</v>
      </c>
      <c r="E295" s="14">
        <v>13879383390</v>
      </c>
    </row>
    <row r="296" spans="3:5">
      <c r="C296" s="12">
        <v>293</v>
      </c>
      <c r="D296" s="13">
        <v>1500</v>
      </c>
      <c r="E296" s="14">
        <v>14573352559</v>
      </c>
    </row>
    <row r="297" spans="3:5">
      <c r="C297" s="12">
        <v>294</v>
      </c>
      <c r="D297" s="13">
        <v>1500</v>
      </c>
      <c r="E297" s="14">
        <v>15302020186</v>
      </c>
    </row>
    <row r="298" spans="3:5">
      <c r="C298" s="12">
        <v>295</v>
      </c>
      <c r="D298" s="13">
        <v>1500</v>
      </c>
      <c r="E298" s="14">
        <v>16067121195</v>
      </c>
    </row>
    <row r="299" spans="3:5">
      <c r="C299" s="12">
        <v>296</v>
      </c>
      <c r="D299" s="13">
        <v>1500</v>
      </c>
      <c r="E299" s="14">
        <v>16870477254</v>
      </c>
    </row>
    <row r="300" spans="3:5">
      <c r="C300" s="12">
        <v>297</v>
      </c>
      <c r="D300" s="13">
        <v>1500</v>
      </c>
      <c r="E300" s="14">
        <v>17714001116</v>
      </c>
    </row>
    <row r="301" spans="3:5">
      <c r="C301" s="12">
        <v>298</v>
      </c>
      <c r="D301" s="13">
        <v>1500</v>
      </c>
      <c r="E301" s="14">
        <v>18599701171</v>
      </c>
    </row>
    <row r="302" spans="3:5">
      <c r="C302" s="12">
        <v>299</v>
      </c>
      <c r="D302" s="13">
        <v>1500</v>
      </c>
      <c r="E302" s="14">
        <v>19529686229</v>
      </c>
    </row>
    <row r="303" spans="3:5">
      <c r="C303" s="12">
        <v>300</v>
      </c>
      <c r="D303" s="13">
        <v>1500</v>
      </c>
      <c r="E303" s="14">
        <v>20506170540</v>
      </c>
    </row>
  </sheetData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B2:AD34"/>
  <sheetViews>
    <sheetView workbookViewId="0">
      <selection activeCell="G38" sqref="B3:G38"/>
    </sheetView>
  </sheetViews>
  <sheetFormatPr defaultColWidth="9" defaultRowHeight="13.5"/>
  <sheetData>
    <row r="2" ht="16.5" spans="2:30">
      <c r="B2" s="3"/>
      <c r="C2" s="3"/>
      <c r="D2" s="3"/>
      <c r="E2" s="3" t="s">
        <v>302</v>
      </c>
      <c r="F2" s="4"/>
      <c r="G2" s="4"/>
      <c r="H2" s="4"/>
      <c r="I2" s="4"/>
      <c r="J2" s="3"/>
      <c r="K2" s="3"/>
      <c r="L2" s="3"/>
      <c r="M2" s="3"/>
      <c r="N2" s="3"/>
      <c r="O2" s="3"/>
      <c r="P2" s="3"/>
      <c r="Q2" s="3"/>
    </row>
    <row r="3" ht="16.5" spans="2:30">
      <c r="B3" s="5" t="s">
        <v>303</v>
      </c>
      <c r="C3" s="5" t="s">
        <v>304</v>
      </c>
      <c r="D3" s="6" t="s">
        <v>305</v>
      </c>
      <c r="E3" s="6" t="s">
        <v>306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ht="16.5" spans="2:30">
      <c r="B4" s="8"/>
      <c r="C4" s="8"/>
      <c r="D4" s="9"/>
      <c r="E4" s="9"/>
      <c r="F4" s="10" t="s">
        <v>41</v>
      </c>
      <c r="G4" s="10" t="s">
        <v>42</v>
      </c>
      <c r="H4" s="10" t="s">
        <v>43</v>
      </c>
      <c r="I4" s="10" t="s">
        <v>44</v>
      </c>
      <c r="J4" s="10" t="s">
        <v>45</v>
      </c>
      <c r="K4" s="10" t="s">
        <v>46</v>
      </c>
      <c r="L4" s="10" t="s">
        <v>47</v>
      </c>
      <c r="M4" s="10" t="s">
        <v>48</v>
      </c>
      <c r="N4" s="10" t="s">
        <v>49</v>
      </c>
      <c r="O4" s="10" t="s">
        <v>50</v>
      </c>
      <c r="P4" s="10" t="s">
        <v>307</v>
      </c>
      <c r="Q4" s="10" t="s">
        <v>59</v>
      </c>
      <c r="R4" s="10" t="s">
        <v>60</v>
      </c>
      <c r="S4" s="10" t="s">
        <v>61</v>
      </c>
      <c r="T4" s="10" t="s">
        <v>62</v>
      </c>
      <c r="U4" s="10" t="s">
        <v>63</v>
      </c>
      <c r="V4" s="10" t="s">
        <v>64</v>
      </c>
      <c r="W4" s="10" t="s">
        <v>65</v>
      </c>
      <c r="X4" s="10" t="s">
        <v>66</v>
      </c>
      <c r="Y4" s="10" t="s">
        <v>67</v>
      </c>
      <c r="Z4" s="10" t="s">
        <v>68</v>
      </c>
      <c r="AA4" s="10" t="s">
        <v>69</v>
      </c>
      <c r="AB4" s="10" t="s">
        <v>70</v>
      </c>
      <c r="AC4" s="10" t="s">
        <v>71</v>
      </c>
      <c r="AD4" s="10" t="s">
        <v>72</v>
      </c>
    </row>
    <row r="5" ht="16.5" spans="2:30">
      <c r="B5" s="5" t="s">
        <v>308</v>
      </c>
      <c r="C5" s="5"/>
      <c r="D5" s="5"/>
      <c r="E5" s="5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</row>
    <row r="6" ht="16.5" spans="2:30">
      <c r="B6" s="5"/>
      <c r="C6" s="5"/>
      <c r="D6" s="5"/>
      <c r="E6" s="5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ht="16.5" spans="2:30">
      <c r="B7" s="10" t="s">
        <v>27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</row>
    <row r="8" ht="16.5" spans="2:30">
      <c r="B8" s="10" t="s">
        <v>13</v>
      </c>
      <c r="C8" s="10"/>
      <c r="D8" s="10"/>
      <c r="E8" s="10"/>
      <c r="F8" s="11" t="s">
        <v>309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</row>
    <row r="9" ht="16.5" spans="2:30">
      <c r="B9" s="10" t="s">
        <v>30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ht="16.5" spans="2:30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ht="16.5" spans="2:30">
      <c r="B11" s="10" t="s">
        <v>21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</row>
    <row r="12" ht="16.5" spans="2:30">
      <c r="B12" s="10" t="s">
        <v>22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</row>
    <row r="13" ht="16.5" spans="2:30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ht="16.5" spans="2:30">
      <c r="B14" s="10" t="s">
        <v>24</v>
      </c>
      <c r="C14" s="10"/>
      <c r="D14" s="10"/>
      <c r="E14" s="10"/>
      <c r="F14" s="11">
        <v>60</v>
      </c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ht="16.5" spans="2:30">
      <c r="B15" s="10" t="s">
        <v>25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</row>
    <row r="16" ht="16.5" spans="2:30">
      <c r="B16" s="10" t="s">
        <v>33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</row>
    <row r="17" ht="16.5" spans="2:30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</row>
    <row r="18" ht="16.5" spans="2:30">
      <c r="B18" s="10" t="s">
        <v>26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ht="16.5" spans="2:30">
      <c r="B19" s="10" t="s">
        <v>38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ht="16.5" spans="2:30">
      <c r="B20" s="10" t="s">
        <v>310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ht="16.5" spans="2:30">
      <c r="B21" s="10" t="s">
        <v>311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ht="16.5" spans="2:30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ht="16.5" spans="2:30">
      <c r="B23" s="10" t="s">
        <v>12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ht="16.5" spans="2:30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ht="16.5" spans="2:30">
      <c r="B25" s="10" t="s">
        <v>32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ht="16.5" spans="2:30">
      <c r="B26" s="10" t="s">
        <v>34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ht="16.5" spans="2:30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ht="16.5" spans="2:30">
      <c r="B28" s="10" t="s">
        <v>28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ht="16.5" spans="2:30">
      <c r="B29" s="10" t="s">
        <v>35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ht="16.5" spans="2:30">
      <c r="B30" s="10" t="s">
        <v>36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ht="16.5" spans="2:30">
      <c r="B31" s="10" t="s">
        <v>37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ht="16.5" spans="2:30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ht="16.5" spans="2:30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ht="16.5" spans="2:30">
      <c r="B34" s="10" t="s">
        <v>23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</sheetData>
  <mergeCells count="5">
    <mergeCell ref="B3:B4"/>
    <mergeCell ref="C3:C4"/>
    <mergeCell ref="D3:D4"/>
    <mergeCell ref="E3:E4"/>
    <mergeCell ref="B5:E6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>
          <controlPr defaultSize="0" r:id="rId4">
            <anchor moveWithCells="1">
              <from>
                <xdr:col>12</xdr:col>
                <xdr:colOff>323850</xdr:colOff>
                <xdr:row>0</xdr:row>
                <xdr:rowOff>47625</xdr:rowOff>
              </from>
              <to>
                <xdr:col>13</xdr:col>
                <xdr:colOff>447675</xdr:colOff>
                <xdr:row>1</xdr:row>
                <xdr:rowOff>152400</xdr:rowOff>
              </to>
            </anchor>
          </controlPr>
        </control>
      </mc:Choice>
      <mc:Fallback>
        <control shapeId="6145" r:id="rId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F2:F302"/>
  <sheetViews>
    <sheetView workbookViewId="0">
      <selection activeCell="G38" sqref="D3:G38"/>
    </sheetView>
  </sheetViews>
  <sheetFormatPr defaultColWidth="9" defaultRowHeight="13.5" outlineLevelCol="5"/>
  <sheetData>
    <row r="2" ht="16.5" spans="6:6">
      <c r="F2" s="1" t="s">
        <v>40</v>
      </c>
    </row>
    <row r="3" ht="16.5" spans="6:6">
      <c r="F3" s="2">
        <v>1</v>
      </c>
    </row>
    <row r="4" ht="16.5" spans="6:6">
      <c r="F4" s="2">
        <v>2</v>
      </c>
    </row>
    <row r="5" ht="16.5" spans="6:6">
      <c r="F5" s="2">
        <v>3</v>
      </c>
    </row>
    <row r="6" ht="16.5" spans="6:6">
      <c r="F6" s="2">
        <v>4</v>
      </c>
    </row>
    <row r="7" ht="16.5" spans="6:6">
      <c r="F7" s="2">
        <v>5</v>
      </c>
    </row>
    <row r="8" ht="16.5" spans="6:6">
      <c r="F8" s="2">
        <v>6</v>
      </c>
    </row>
    <row r="9" ht="16.5" spans="6:6">
      <c r="F9" s="2">
        <v>7</v>
      </c>
    </row>
    <row r="10" ht="16.5" spans="6:6">
      <c r="F10" s="2">
        <v>8</v>
      </c>
    </row>
    <row r="11" ht="16.5" spans="6:6">
      <c r="F11" s="2">
        <v>9</v>
      </c>
    </row>
    <row r="12" ht="16.5" spans="6:6">
      <c r="F12" s="2">
        <v>10</v>
      </c>
    </row>
    <row r="13" ht="16.5" spans="6:6">
      <c r="F13" s="2">
        <v>11</v>
      </c>
    </row>
    <row r="14" ht="16.5" spans="6:6">
      <c r="F14" s="2">
        <v>12</v>
      </c>
    </row>
    <row r="15" ht="16.5" spans="6:6">
      <c r="F15" s="2">
        <v>13</v>
      </c>
    </row>
    <row r="16" ht="16.5" spans="6:6">
      <c r="F16" s="2">
        <v>14</v>
      </c>
    </row>
    <row r="17" ht="16.5" spans="6:6">
      <c r="F17" s="2">
        <v>15</v>
      </c>
    </row>
    <row r="18" ht="16.5" spans="6:6">
      <c r="F18" s="2">
        <v>16</v>
      </c>
    </row>
    <row r="19" ht="16.5" spans="6:6">
      <c r="F19" s="2">
        <v>17</v>
      </c>
    </row>
    <row r="20" ht="16.5" spans="6:6">
      <c r="F20" s="2">
        <v>18</v>
      </c>
    </row>
    <row r="21" ht="16.5" spans="6:6">
      <c r="F21" s="2">
        <v>19</v>
      </c>
    </row>
    <row r="22" ht="16.5" spans="6:6">
      <c r="F22" s="2">
        <v>20</v>
      </c>
    </row>
    <row r="23" ht="16.5" spans="6:6">
      <c r="F23" s="2">
        <v>21</v>
      </c>
    </row>
    <row r="24" ht="16.5" spans="6:6">
      <c r="F24" s="2">
        <v>22</v>
      </c>
    </row>
    <row r="25" ht="16.5" spans="6:6">
      <c r="F25" s="2">
        <v>23</v>
      </c>
    </row>
    <row r="26" ht="16.5" spans="6:6">
      <c r="F26" s="2">
        <v>24</v>
      </c>
    </row>
    <row r="27" ht="16.5" spans="6:6">
      <c r="F27" s="2">
        <v>25</v>
      </c>
    </row>
    <row r="28" ht="16.5" spans="6:6">
      <c r="F28" s="2">
        <v>26</v>
      </c>
    </row>
    <row r="29" ht="16.5" spans="6:6">
      <c r="F29" s="2">
        <v>27</v>
      </c>
    </row>
    <row r="30" ht="16.5" spans="6:6">
      <c r="F30" s="2">
        <v>28</v>
      </c>
    </row>
    <row r="31" ht="16.5" spans="6:6">
      <c r="F31" s="2">
        <v>29</v>
      </c>
    </row>
    <row r="32" ht="16.5" spans="6:6">
      <c r="F32" s="2">
        <v>30</v>
      </c>
    </row>
    <row r="33" ht="16.5" spans="6:6">
      <c r="F33" s="2">
        <v>31</v>
      </c>
    </row>
    <row r="34" ht="16.5" spans="6:6">
      <c r="F34" s="2">
        <v>32</v>
      </c>
    </row>
    <row r="35" ht="16.5" spans="6:6">
      <c r="F35" s="2">
        <v>33</v>
      </c>
    </row>
    <row r="36" ht="16.5" spans="6:6">
      <c r="F36" s="2">
        <v>34</v>
      </c>
    </row>
    <row r="37" ht="16.5" spans="6:6">
      <c r="F37" s="2">
        <v>35</v>
      </c>
    </row>
    <row r="38" ht="16.5" spans="6:6">
      <c r="F38" s="2">
        <v>36</v>
      </c>
    </row>
    <row r="39" ht="16.5" spans="6:6">
      <c r="F39" s="2">
        <v>37</v>
      </c>
    </row>
    <row r="40" ht="16.5" spans="6:6">
      <c r="F40" s="2">
        <v>38</v>
      </c>
    </row>
    <row r="41" ht="16.5" spans="6:6">
      <c r="F41" s="2">
        <v>39</v>
      </c>
    </row>
    <row r="42" ht="16.5" spans="6:6">
      <c r="F42" s="2">
        <v>40</v>
      </c>
    </row>
    <row r="43" ht="16.5" spans="6:6">
      <c r="F43" s="2">
        <v>41</v>
      </c>
    </row>
    <row r="44" ht="16.5" spans="6:6">
      <c r="F44" s="2">
        <v>42</v>
      </c>
    </row>
    <row r="45" ht="16.5" spans="6:6">
      <c r="F45" s="2">
        <v>43</v>
      </c>
    </row>
    <row r="46" ht="16.5" spans="6:6">
      <c r="F46" s="2">
        <v>44</v>
      </c>
    </row>
    <row r="47" ht="16.5" spans="6:6">
      <c r="F47" s="2">
        <v>45</v>
      </c>
    </row>
    <row r="48" ht="16.5" spans="6:6">
      <c r="F48" s="2">
        <v>46</v>
      </c>
    </row>
    <row r="49" ht="16.5" spans="6:6">
      <c r="F49" s="2">
        <v>47</v>
      </c>
    </row>
    <row r="50" ht="16.5" spans="6:6">
      <c r="F50" s="2">
        <v>48</v>
      </c>
    </row>
    <row r="51" ht="16.5" spans="6:6">
      <c r="F51" s="2">
        <v>49</v>
      </c>
    </row>
    <row r="52" ht="16.5" spans="6:6">
      <c r="F52" s="2">
        <v>50</v>
      </c>
    </row>
    <row r="53" ht="16.5" spans="6:6">
      <c r="F53" s="2">
        <v>51</v>
      </c>
    </row>
    <row r="54" ht="16.5" spans="6:6">
      <c r="F54" s="2">
        <v>52</v>
      </c>
    </row>
    <row r="55" ht="16.5" spans="6:6">
      <c r="F55" s="2">
        <v>53</v>
      </c>
    </row>
    <row r="56" ht="16.5" spans="6:6">
      <c r="F56" s="2">
        <v>54</v>
      </c>
    </row>
    <row r="57" ht="16.5" spans="6:6">
      <c r="F57" s="2">
        <v>55</v>
      </c>
    </row>
    <row r="58" ht="16.5" spans="6:6">
      <c r="F58" s="2">
        <v>56</v>
      </c>
    </row>
    <row r="59" ht="16.5" spans="6:6">
      <c r="F59" s="2">
        <v>57</v>
      </c>
    </row>
    <row r="60" ht="16.5" spans="6:6">
      <c r="F60" s="2">
        <v>58</v>
      </c>
    </row>
    <row r="61" ht="16.5" spans="6:6">
      <c r="F61" s="2">
        <v>59</v>
      </c>
    </row>
    <row r="62" ht="16.5" spans="6:6">
      <c r="F62" s="2">
        <v>60</v>
      </c>
    </row>
    <row r="63" ht="16.5" spans="6:6">
      <c r="F63" s="2">
        <v>61</v>
      </c>
    </row>
    <row r="64" ht="16.5" spans="6:6">
      <c r="F64" s="2">
        <v>62</v>
      </c>
    </row>
    <row r="65" ht="16.5" spans="6:6">
      <c r="F65" s="2">
        <v>63</v>
      </c>
    </row>
    <row r="66" ht="16.5" spans="6:6">
      <c r="F66" s="2">
        <v>64</v>
      </c>
    </row>
    <row r="67" ht="16.5" spans="6:6">
      <c r="F67" s="2">
        <v>65</v>
      </c>
    </row>
    <row r="68" ht="16.5" spans="6:6">
      <c r="F68" s="2">
        <v>66</v>
      </c>
    </row>
    <row r="69" ht="16.5" spans="6:6">
      <c r="F69" s="2">
        <v>67</v>
      </c>
    </row>
    <row r="70" ht="16.5" spans="6:6">
      <c r="F70" s="2">
        <v>68</v>
      </c>
    </row>
    <row r="71" ht="16.5" spans="6:6">
      <c r="F71" s="2">
        <v>69</v>
      </c>
    </row>
    <row r="72" ht="16.5" spans="6:6">
      <c r="F72" s="2">
        <v>70</v>
      </c>
    </row>
    <row r="73" ht="16.5" spans="6:6">
      <c r="F73" s="2">
        <v>71</v>
      </c>
    </row>
    <row r="74" ht="16.5" spans="6:6">
      <c r="F74" s="2">
        <v>72</v>
      </c>
    </row>
    <row r="75" ht="16.5" spans="6:6">
      <c r="F75" s="2">
        <v>73</v>
      </c>
    </row>
    <row r="76" ht="16.5" spans="6:6">
      <c r="F76" s="2">
        <v>74</v>
      </c>
    </row>
    <row r="77" ht="16.5" spans="6:6">
      <c r="F77" s="2">
        <v>75</v>
      </c>
    </row>
    <row r="78" ht="16.5" spans="6:6">
      <c r="F78" s="2">
        <v>76</v>
      </c>
    </row>
    <row r="79" ht="16.5" spans="6:6">
      <c r="F79" s="2">
        <v>77</v>
      </c>
    </row>
    <row r="80" ht="16.5" spans="6:6">
      <c r="F80" s="2">
        <v>78</v>
      </c>
    </row>
    <row r="81" ht="16.5" spans="6:6">
      <c r="F81" s="2">
        <v>79</v>
      </c>
    </row>
    <row r="82" ht="16.5" spans="6:6">
      <c r="F82" s="2">
        <v>80</v>
      </c>
    </row>
    <row r="83" ht="16.5" spans="6:6">
      <c r="F83" s="2">
        <v>81</v>
      </c>
    </row>
    <row r="84" ht="16.5" spans="6:6">
      <c r="F84" s="2">
        <v>82</v>
      </c>
    </row>
    <row r="85" ht="16.5" spans="6:6">
      <c r="F85" s="2">
        <v>83</v>
      </c>
    </row>
    <row r="86" ht="16.5" spans="6:6">
      <c r="F86" s="2">
        <v>84</v>
      </c>
    </row>
    <row r="87" ht="16.5" spans="6:6">
      <c r="F87" s="2">
        <v>85</v>
      </c>
    </row>
    <row r="88" ht="16.5" spans="6:6">
      <c r="F88" s="2">
        <v>86</v>
      </c>
    </row>
    <row r="89" ht="16.5" spans="6:6">
      <c r="F89" s="2">
        <v>87</v>
      </c>
    </row>
    <row r="90" ht="16.5" spans="6:6">
      <c r="F90" s="2">
        <v>88</v>
      </c>
    </row>
    <row r="91" ht="16.5" spans="6:6">
      <c r="F91" s="2">
        <v>89</v>
      </c>
    </row>
    <row r="92" ht="16.5" spans="6:6">
      <c r="F92" s="2">
        <v>90</v>
      </c>
    </row>
    <row r="93" ht="16.5" spans="6:6">
      <c r="F93" s="2">
        <v>91</v>
      </c>
    </row>
    <row r="94" ht="16.5" spans="6:6">
      <c r="F94" s="2">
        <v>92</v>
      </c>
    </row>
    <row r="95" ht="16.5" spans="6:6">
      <c r="F95" s="2">
        <v>93</v>
      </c>
    </row>
    <row r="96" ht="16.5" spans="6:6">
      <c r="F96" s="2">
        <v>94</v>
      </c>
    </row>
    <row r="97" ht="16.5" spans="6:6">
      <c r="F97" s="2">
        <v>95</v>
      </c>
    </row>
    <row r="98" ht="16.5" spans="6:6">
      <c r="F98" s="2">
        <v>96</v>
      </c>
    </row>
    <row r="99" ht="16.5" spans="6:6">
      <c r="F99" s="2">
        <v>97</v>
      </c>
    </row>
    <row r="100" ht="16.5" spans="6:6">
      <c r="F100" s="2">
        <v>98</v>
      </c>
    </row>
    <row r="101" ht="16.5" spans="6:6">
      <c r="F101" s="2">
        <v>99</v>
      </c>
    </row>
    <row r="102" ht="16.5" spans="6:6">
      <c r="F102" s="2">
        <v>100</v>
      </c>
    </row>
    <row r="103" ht="16.5" spans="6:6">
      <c r="F103" s="2">
        <v>101</v>
      </c>
    </row>
    <row r="104" ht="16.5" spans="6:6">
      <c r="F104" s="2">
        <v>102</v>
      </c>
    </row>
    <row r="105" ht="16.5" spans="6:6">
      <c r="F105" s="2">
        <v>103</v>
      </c>
    </row>
    <row r="106" ht="16.5" spans="6:6">
      <c r="F106" s="2">
        <v>104</v>
      </c>
    </row>
    <row r="107" ht="16.5" spans="6:6">
      <c r="F107" s="2">
        <v>105</v>
      </c>
    </row>
    <row r="108" ht="16.5" spans="6:6">
      <c r="F108" s="2">
        <v>106</v>
      </c>
    </row>
    <row r="109" ht="16.5" spans="6:6">
      <c r="F109" s="2">
        <v>107</v>
      </c>
    </row>
    <row r="110" ht="16.5" spans="6:6">
      <c r="F110" s="2">
        <v>108</v>
      </c>
    </row>
    <row r="111" ht="16.5" spans="6:6">
      <c r="F111" s="2">
        <v>109</v>
      </c>
    </row>
    <row r="112" ht="16.5" spans="6:6">
      <c r="F112" s="2">
        <v>110</v>
      </c>
    </row>
    <row r="113" ht="16.5" spans="6:6">
      <c r="F113" s="2">
        <v>111</v>
      </c>
    </row>
    <row r="114" ht="16.5" spans="6:6">
      <c r="F114" s="2">
        <v>112</v>
      </c>
    </row>
    <row r="115" ht="16.5" spans="6:6">
      <c r="F115" s="2">
        <v>113</v>
      </c>
    </row>
    <row r="116" ht="16.5" spans="6:6">
      <c r="F116" s="2">
        <v>114</v>
      </c>
    </row>
    <row r="117" ht="16.5" spans="6:6">
      <c r="F117" s="2">
        <v>115</v>
      </c>
    </row>
    <row r="118" ht="16.5" spans="6:6">
      <c r="F118" s="2">
        <v>116</v>
      </c>
    </row>
    <row r="119" ht="16.5" spans="6:6">
      <c r="F119" s="2">
        <v>117</v>
      </c>
    </row>
    <row r="120" ht="16.5" spans="6:6">
      <c r="F120" s="2">
        <v>118</v>
      </c>
    </row>
    <row r="121" ht="16.5" spans="6:6">
      <c r="F121" s="2">
        <v>119</v>
      </c>
    </row>
    <row r="122" ht="16.5" spans="6:6">
      <c r="F122" s="2">
        <v>120</v>
      </c>
    </row>
    <row r="123" ht="16.5" spans="6:6">
      <c r="F123" s="2">
        <v>121</v>
      </c>
    </row>
    <row r="124" ht="16.5" spans="6:6">
      <c r="F124" s="2">
        <v>122</v>
      </c>
    </row>
    <row r="125" ht="16.5" spans="6:6">
      <c r="F125" s="2">
        <v>123</v>
      </c>
    </row>
    <row r="126" ht="16.5" spans="6:6">
      <c r="F126" s="2">
        <v>124</v>
      </c>
    </row>
    <row r="127" ht="16.5" spans="6:6">
      <c r="F127" s="2">
        <v>125</v>
      </c>
    </row>
    <row r="128" ht="16.5" spans="6:6">
      <c r="F128" s="2">
        <v>126</v>
      </c>
    </row>
    <row r="129" ht="16.5" spans="6:6">
      <c r="F129" s="2">
        <v>127</v>
      </c>
    </row>
    <row r="130" ht="16.5" spans="6:6">
      <c r="F130" s="2">
        <v>128</v>
      </c>
    </row>
    <row r="131" ht="16.5" spans="6:6">
      <c r="F131" s="2">
        <v>129</v>
      </c>
    </row>
    <row r="132" ht="16.5" spans="6:6">
      <c r="F132" s="2">
        <v>130</v>
      </c>
    </row>
    <row r="133" ht="16.5" spans="6:6">
      <c r="F133" s="2">
        <v>131</v>
      </c>
    </row>
    <row r="134" ht="16.5" spans="6:6">
      <c r="F134" s="2">
        <v>132</v>
      </c>
    </row>
    <row r="135" ht="16.5" spans="6:6">
      <c r="F135" s="2">
        <v>133</v>
      </c>
    </row>
    <row r="136" ht="16.5" spans="6:6">
      <c r="F136" s="2">
        <v>134</v>
      </c>
    </row>
    <row r="137" ht="16.5" spans="6:6">
      <c r="F137" s="2">
        <v>135</v>
      </c>
    </row>
    <row r="138" ht="16.5" spans="6:6">
      <c r="F138" s="2">
        <v>136</v>
      </c>
    </row>
    <row r="139" ht="16.5" spans="6:6">
      <c r="F139" s="2">
        <v>137</v>
      </c>
    </row>
    <row r="140" ht="16.5" spans="6:6">
      <c r="F140" s="2">
        <v>138</v>
      </c>
    </row>
    <row r="141" ht="16.5" spans="6:6">
      <c r="F141" s="2">
        <v>139</v>
      </c>
    </row>
    <row r="142" ht="16.5" spans="6:6">
      <c r="F142" s="2">
        <v>140</v>
      </c>
    </row>
    <row r="143" ht="16.5" spans="6:6">
      <c r="F143" s="2">
        <v>141</v>
      </c>
    </row>
    <row r="144" ht="16.5" spans="6:6">
      <c r="F144" s="2">
        <v>142</v>
      </c>
    </row>
    <row r="145" ht="16.5" spans="6:6">
      <c r="F145" s="2">
        <v>143</v>
      </c>
    </row>
    <row r="146" ht="16.5" spans="6:6">
      <c r="F146" s="2">
        <v>144</v>
      </c>
    </row>
    <row r="147" ht="16.5" spans="6:6">
      <c r="F147" s="2">
        <v>145</v>
      </c>
    </row>
    <row r="148" ht="16.5" spans="6:6">
      <c r="F148" s="2">
        <v>146</v>
      </c>
    </row>
    <row r="149" ht="16.5" spans="6:6">
      <c r="F149" s="2">
        <v>147</v>
      </c>
    </row>
    <row r="150" ht="16.5" spans="6:6">
      <c r="F150" s="2">
        <v>148</v>
      </c>
    </row>
    <row r="151" ht="16.5" spans="6:6">
      <c r="F151" s="2">
        <v>149</v>
      </c>
    </row>
    <row r="152" ht="16.5" spans="6:6">
      <c r="F152" s="2">
        <v>150</v>
      </c>
    </row>
    <row r="153" ht="16.5" spans="6:6">
      <c r="F153" s="2">
        <v>151</v>
      </c>
    </row>
    <row r="154" ht="16.5" spans="6:6">
      <c r="F154" s="2">
        <v>152</v>
      </c>
    </row>
    <row r="155" ht="16.5" spans="6:6">
      <c r="F155" s="2">
        <v>153</v>
      </c>
    </row>
    <row r="156" ht="16.5" spans="6:6">
      <c r="F156" s="2">
        <v>154</v>
      </c>
    </row>
    <row r="157" ht="16.5" spans="6:6">
      <c r="F157" s="2">
        <v>155</v>
      </c>
    </row>
    <row r="158" ht="16.5" spans="6:6">
      <c r="F158" s="2">
        <v>156</v>
      </c>
    </row>
    <row r="159" ht="16.5" spans="6:6">
      <c r="F159" s="2">
        <v>157</v>
      </c>
    </row>
    <row r="160" ht="16.5" spans="6:6">
      <c r="F160" s="2">
        <v>158</v>
      </c>
    </row>
    <row r="161" ht="16.5" spans="6:6">
      <c r="F161" s="2">
        <v>159</v>
      </c>
    </row>
    <row r="162" ht="16.5" spans="6:6">
      <c r="F162" s="2">
        <v>160</v>
      </c>
    </row>
    <row r="163" ht="16.5" spans="6:6">
      <c r="F163" s="2">
        <v>161</v>
      </c>
    </row>
    <row r="164" ht="16.5" spans="6:6">
      <c r="F164" s="2">
        <v>162</v>
      </c>
    </row>
    <row r="165" ht="16.5" spans="6:6">
      <c r="F165" s="2">
        <v>163</v>
      </c>
    </row>
    <row r="166" ht="16.5" spans="6:6">
      <c r="F166" s="2">
        <v>164</v>
      </c>
    </row>
    <row r="167" ht="16.5" spans="6:6">
      <c r="F167" s="2">
        <v>165</v>
      </c>
    </row>
    <row r="168" ht="16.5" spans="6:6">
      <c r="F168" s="2">
        <v>166</v>
      </c>
    </row>
    <row r="169" ht="16.5" spans="6:6">
      <c r="F169" s="2">
        <v>167</v>
      </c>
    </row>
    <row r="170" ht="16.5" spans="6:6">
      <c r="F170" s="2">
        <v>168</v>
      </c>
    </row>
    <row r="171" ht="16.5" spans="6:6">
      <c r="F171" s="2">
        <v>169</v>
      </c>
    </row>
    <row r="172" ht="16.5" spans="6:6">
      <c r="F172" s="2">
        <v>170</v>
      </c>
    </row>
    <row r="173" ht="16.5" spans="6:6">
      <c r="F173" s="2">
        <v>171</v>
      </c>
    </row>
    <row r="174" ht="16.5" spans="6:6">
      <c r="F174" s="2">
        <v>172</v>
      </c>
    </row>
    <row r="175" ht="16.5" spans="6:6">
      <c r="F175" s="2">
        <v>173</v>
      </c>
    </row>
    <row r="176" ht="16.5" spans="6:6">
      <c r="F176" s="2">
        <v>174</v>
      </c>
    </row>
    <row r="177" ht="16.5" spans="6:6">
      <c r="F177" s="2">
        <v>175</v>
      </c>
    </row>
    <row r="178" ht="16.5" spans="6:6">
      <c r="F178" s="2">
        <v>176</v>
      </c>
    </row>
    <row r="179" ht="16.5" spans="6:6">
      <c r="F179" s="2">
        <v>177</v>
      </c>
    </row>
    <row r="180" ht="16.5" spans="6:6">
      <c r="F180" s="2">
        <v>178</v>
      </c>
    </row>
    <row r="181" ht="16.5" spans="6:6">
      <c r="F181" s="2">
        <v>179</v>
      </c>
    </row>
    <row r="182" ht="16.5" spans="6:6">
      <c r="F182" s="2">
        <v>180</v>
      </c>
    </row>
    <row r="183" ht="16.5" spans="6:6">
      <c r="F183" s="2">
        <v>181</v>
      </c>
    </row>
    <row r="184" ht="16.5" spans="6:6">
      <c r="F184" s="2">
        <v>182</v>
      </c>
    </row>
    <row r="185" ht="16.5" spans="6:6">
      <c r="F185" s="2">
        <v>183</v>
      </c>
    </row>
    <row r="186" ht="16.5" spans="6:6">
      <c r="F186" s="2">
        <v>184</v>
      </c>
    </row>
    <row r="187" ht="16.5" spans="6:6">
      <c r="F187" s="2">
        <v>185</v>
      </c>
    </row>
    <row r="188" ht="16.5" spans="6:6">
      <c r="F188" s="2">
        <v>186</v>
      </c>
    </row>
    <row r="189" ht="16.5" spans="6:6">
      <c r="F189" s="2">
        <v>187</v>
      </c>
    </row>
    <row r="190" ht="16.5" spans="6:6">
      <c r="F190" s="2">
        <v>188</v>
      </c>
    </row>
    <row r="191" ht="16.5" spans="6:6">
      <c r="F191" s="2">
        <v>189</v>
      </c>
    </row>
    <row r="192" ht="16.5" spans="6:6">
      <c r="F192" s="2">
        <v>190</v>
      </c>
    </row>
    <row r="193" ht="16.5" spans="6:6">
      <c r="F193" s="2">
        <v>191</v>
      </c>
    </row>
    <row r="194" ht="16.5" spans="6:6">
      <c r="F194" s="2">
        <v>192</v>
      </c>
    </row>
    <row r="195" ht="16.5" spans="6:6">
      <c r="F195" s="2">
        <v>193</v>
      </c>
    </row>
    <row r="196" ht="16.5" spans="6:6">
      <c r="F196" s="2">
        <v>194</v>
      </c>
    </row>
    <row r="197" ht="16.5" spans="6:6">
      <c r="F197" s="2">
        <v>195</v>
      </c>
    </row>
    <row r="198" ht="16.5" spans="6:6">
      <c r="F198" s="2">
        <v>196</v>
      </c>
    </row>
    <row r="199" ht="16.5" spans="6:6">
      <c r="F199" s="2">
        <v>197</v>
      </c>
    </row>
    <row r="200" ht="16.5" spans="6:6">
      <c r="F200" s="2">
        <v>198</v>
      </c>
    </row>
    <row r="201" ht="16.5" spans="6:6">
      <c r="F201" s="2">
        <v>199</v>
      </c>
    </row>
    <row r="202" ht="16.5" spans="6:6">
      <c r="F202" s="2">
        <v>200</v>
      </c>
    </row>
    <row r="203" ht="16.5" spans="6:6">
      <c r="F203" s="2">
        <v>201</v>
      </c>
    </row>
    <row r="204" ht="16.5" spans="6:6">
      <c r="F204" s="2">
        <v>202</v>
      </c>
    </row>
    <row r="205" ht="16.5" spans="6:6">
      <c r="F205" s="2">
        <v>203</v>
      </c>
    </row>
    <row r="206" ht="16.5" spans="6:6">
      <c r="F206" s="2">
        <v>204</v>
      </c>
    </row>
    <row r="207" ht="16.5" spans="6:6">
      <c r="F207" s="2">
        <v>205</v>
      </c>
    </row>
    <row r="208" ht="16.5" spans="6:6">
      <c r="F208" s="2">
        <v>206</v>
      </c>
    </row>
    <row r="209" ht="16.5" spans="6:6">
      <c r="F209" s="2">
        <v>207</v>
      </c>
    </row>
    <row r="210" ht="16.5" spans="6:6">
      <c r="F210" s="2">
        <v>208</v>
      </c>
    </row>
    <row r="211" ht="16.5" spans="6:6">
      <c r="F211" s="2">
        <v>209</v>
      </c>
    </row>
    <row r="212" ht="16.5" spans="6:6">
      <c r="F212" s="2">
        <v>210</v>
      </c>
    </row>
    <row r="213" ht="16.5" spans="6:6">
      <c r="F213" s="2">
        <v>211</v>
      </c>
    </row>
    <row r="214" ht="16.5" spans="6:6">
      <c r="F214" s="2">
        <v>212</v>
      </c>
    </row>
    <row r="215" ht="16.5" spans="6:6">
      <c r="F215" s="2">
        <v>213</v>
      </c>
    </row>
    <row r="216" ht="16.5" spans="6:6">
      <c r="F216" s="2">
        <v>214</v>
      </c>
    </row>
    <row r="217" ht="16.5" spans="6:6">
      <c r="F217" s="2">
        <v>215</v>
      </c>
    </row>
    <row r="218" ht="16.5" spans="6:6">
      <c r="F218" s="2">
        <v>216</v>
      </c>
    </row>
    <row r="219" ht="16.5" spans="6:6">
      <c r="F219" s="2">
        <v>217</v>
      </c>
    </row>
    <row r="220" ht="16.5" spans="6:6">
      <c r="F220" s="2">
        <v>218</v>
      </c>
    </row>
    <row r="221" ht="16.5" spans="6:6">
      <c r="F221" s="2">
        <v>219</v>
      </c>
    </row>
    <row r="222" ht="16.5" spans="6:6">
      <c r="F222" s="2">
        <v>220</v>
      </c>
    </row>
    <row r="223" ht="16.5" spans="6:6">
      <c r="F223" s="2">
        <v>221</v>
      </c>
    </row>
    <row r="224" ht="16.5" spans="6:6">
      <c r="F224" s="2">
        <v>222</v>
      </c>
    </row>
    <row r="225" ht="16.5" spans="6:6">
      <c r="F225" s="2">
        <v>223</v>
      </c>
    </row>
    <row r="226" ht="16.5" spans="6:6">
      <c r="F226" s="2">
        <v>224</v>
      </c>
    </row>
    <row r="227" ht="16.5" spans="6:6">
      <c r="F227" s="2">
        <v>225</v>
      </c>
    </row>
    <row r="228" ht="16.5" spans="6:6">
      <c r="F228" s="2">
        <v>226</v>
      </c>
    </row>
    <row r="229" ht="16.5" spans="6:6">
      <c r="F229" s="2">
        <v>227</v>
      </c>
    </row>
    <row r="230" ht="16.5" spans="6:6">
      <c r="F230" s="2">
        <v>228</v>
      </c>
    </row>
    <row r="231" ht="16.5" spans="6:6">
      <c r="F231" s="2">
        <v>229</v>
      </c>
    </row>
    <row r="232" ht="16.5" spans="6:6">
      <c r="F232" s="2">
        <v>230</v>
      </c>
    </row>
    <row r="233" ht="16.5" spans="6:6">
      <c r="F233" s="2">
        <v>231</v>
      </c>
    </row>
    <row r="234" ht="16.5" spans="6:6">
      <c r="F234" s="2">
        <v>232</v>
      </c>
    </row>
    <row r="235" ht="16.5" spans="6:6">
      <c r="F235" s="2">
        <v>233</v>
      </c>
    </row>
    <row r="236" ht="16.5" spans="6:6">
      <c r="F236" s="2">
        <v>234</v>
      </c>
    </row>
    <row r="237" ht="16.5" spans="6:6">
      <c r="F237" s="2">
        <v>235</v>
      </c>
    </row>
    <row r="238" ht="16.5" spans="6:6">
      <c r="F238" s="2">
        <v>236</v>
      </c>
    </row>
    <row r="239" ht="16.5" spans="6:6">
      <c r="F239" s="2">
        <v>237</v>
      </c>
    </row>
    <row r="240" ht="16.5" spans="6:6">
      <c r="F240" s="2">
        <v>238</v>
      </c>
    </row>
    <row r="241" ht="16.5" spans="6:6">
      <c r="F241" s="2">
        <v>239</v>
      </c>
    </row>
    <row r="242" ht="16.5" spans="6:6">
      <c r="F242" s="2">
        <v>240</v>
      </c>
    </row>
    <row r="243" ht="16.5" spans="6:6">
      <c r="F243" s="2">
        <v>241</v>
      </c>
    </row>
    <row r="244" ht="16.5" spans="6:6">
      <c r="F244" s="2">
        <v>242</v>
      </c>
    </row>
    <row r="245" ht="16.5" spans="6:6">
      <c r="F245" s="2">
        <v>243</v>
      </c>
    </row>
    <row r="246" ht="16.5" spans="6:6">
      <c r="F246" s="2">
        <v>244</v>
      </c>
    </row>
    <row r="247" ht="16.5" spans="6:6">
      <c r="F247" s="2">
        <v>245</v>
      </c>
    </row>
    <row r="248" ht="16.5" spans="6:6">
      <c r="F248" s="2">
        <v>246</v>
      </c>
    </row>
    <row r="249" ht="16.5" spans="6:6">
      <c r="F249" s="2">
        <v>247</v>
      </c>
    </row>
    <row r="250" ht="16.5" spans="6:6">
      <c r="F250" s="2">
        <v>248</v>
      </c>
    </row>
    <row r="251" ht="16.5" spans="6:6">
      <c r="F251" s="2">
        <v>249</v>
      </c>
    </row>
    <row r="252" ht="16.5" spans="6:6">
      <c r="F252" s="2">
        <v>250</v>
      </c>
    </row>
    <row r="253" ht="16.5" spans="6:6">
      <c r="F253" s="2">
        <v>251</v>
      </c>
    </row>
    <row r="254" ht="16.5" spans="6:6">
      <c r="F254" s="2">
        <v>252</v>
      </c>
    </row>
    <row r="255" ht="16.5" spans="6:6">
      <c r="F255" s="2">
        <v>253</v>
      </c>
    </row>
    <row r="256" ht="16.5" spans="6:6">
      <c r="F256" s="2">
        <v>254</v>
      </c>
    </row>
    <row r="257" ht="16.5" spans="6:6">
      <c r="F257" s="2">
        <v>255</v>
      </c>
    </row>
    <row r="258" ht="16.5" spans="6:6">
      <c r="F258" s="2">
        <v>256</v>
      </c>
    </row>
    <row r="259" ht="16.5" spans="6:6">
      <c r="F259" s="2">
        <v>257</v>
      </c>
    </row>
    <row r="260" ht="16.5" spans="6:6">
      <c r="F260" s="2">
        <v>258</v>
      </c>
    </row>
    <row r="261" ht="16.5" spans="6:6">
      <c r="F261" s="2">
        <v>259</v>
      </c>
    </row>
    <row r="262" ht="16.5" spans="6:6">
      <c r="F262" s="2">
        <v>260</v>
      </c>
    </row>
    <row r="263" ht="16.5" spans="6:6">
      <c r="F263" s="2">
        <v>261</v>
      </c>
    </row>
    <row r="264" ht="16.5" spans="6:6">
      <c r="F264" s="2">
        <v>262</v>
      </c>
    </row>
    <row r="265" ht="16.5" spans="6:6">
      <c r="F265" s="2">
        <v>263</v>
      </c>
    </row>
    <row r="266" ht="16.5" spans="6:6">
      <c r="F266" s="2">
        <v>264</v>
      </c>
    </row>
    <row r="267" ht="16.5" spans="6:6">
      <c r="F267" s="2">
        <v>265</v>
      </c>
    </row>
    <row r="268" ht="16.5" spans="6:6">
      <c r="F268" s="2">
        <v>266</v>
      </c>
    </row>
    <row r="269" ht="16.5" spans="6:6">
      <c r="F269" s="2">
        <v>267</v>
      </c>
    </row>
    <row r="270" ht="16.5" spans="6:6">
      <c r="F270" s="2">
        <v>268</v>
      </c>
    </row>
    <row r="271" ht="16.5" spans="6:6">
      <c r="F271" s="2">
        <v>269</v>
      </c>
    </row>
    <row r="272" ht="16.5" spans="6:6">
      <c r="F272" s="2">
        <v>270</v>
      </c>
    </row>
    <row r="273" ht="16.5" spans="6:6">
      <c r="F273" s="2">
        <v>271</v>
      </c>
    </row>
    <row r="274" ht="16.5" spans="6:6">
      <c r="F274" s="2">
        <v>272</v>
      </c>
    </row>
    <row r="275" ht="16.5" spans="6:6">
      <c r="F275" s="2">
        <v>273</v>
      </c>
    </row>
    <row r="276" ht="16.5" spans="6:6">
      <c r="F276" s="2">
        <v>274</v>
      </c>
    </row>
    <row r="277" ht="16.5" spans="6:6">
      <c r="F277" s="2">
        <v>275</v>
      </c>
    </row>
    <row r="278" ht="16.5" spans="6:6">
      <c r="F278" s="2">
        <v>276</v>
      </c>
    </row>
    <row r="279" ht="16.5" spans="6:6">
      <c r="F279" s="2">
        <v>277</v>
      </c>
    </row>
    <row r="280" ht="16.5" spans="6:6">
      <c r="F280" s="2">
        <v>278</v>
      </c>
    </row>
    <row r="281" ht="16.5" spans="6:6">
      <c r="F281" s="2">
        <v>279</v>
      </c>
    </row>
    <row r="282" ht="16.5" spans="6:6">
      <c r="F282" s="2">
        <v>280</v>
      </c>
    </row>
    <row r="283" ht="16.5" spans="6:6">
      <c r="F283" s="2">
        <v>281</v>
      </c>
    </row>
    <row r="284" ht="16.5" spans="6:6">
      <c r="F284" s="2">
        <v>282</v>
      </c>
    </row>
    <row r="285" ht="16.5" spans="6:6">
      <c r="F285" s="2">
        <v>283</v>
      </c>
    </row>
    <row r="286" ht="16.5" spans="6:6">
      <c r="F286" s="2">
        <v>284</v>
      </c>
    </row>
    <row r="287" ht="16.5" spans="6:6">
      <c r="F287" s="2">
        <v>285</v>
      </c>
    </row>
    <row r="288" ht="16.5" spans="6:6">
      <c r="F288" s="2">
        <v>286</v>
      </c>
    </row>
    <row r="289" ht="16.5" spans="6:6">
      <c r="F289" s="2">
        <v>287</v>
      </c>
    </row>
    <row r="290" ht="16.5" spans="6:6">
      <c r="F290" s="2">
        <v>288</v>
      </c>
    </row>
    <row r="291" ht="16.5" spans="6:6">
      <c r="F291" s="2">
        <v>289</v>
      </c>
    </row>
    <row r="292" ht="16.5" spans="6:6">
      <c r="F292" s="2">
        <v>290</v>
      </c>
    </row>
    <row r="293" ht="16.5" spans="6:6">
      <c r="F293" s="2">
        <v>291</v>
      </c>
    </row>
    <row r="294" ht="16.5" spans="6:6">
      <c r="F294" s="2">
        <v>292</v>
      </c>
    </row>
    <row r="295" ht="16.5" spans="6:6">
      <c r="F295" s="2">
        <v>293</v>
      </c>
    </row>
    <row r="296" ht="16.5" spans="6:6">
      <c r="F296" s="2">
        <v>294</v>
      </c>
    </row>
    <row r="297" ht="16.5" spans="6:6">
      <c r="F297" s="2">
        <v>295</v>
      </c>
    </row>
    <row r="298" ht="16.5" spans="6:6">
      <c r="F298" s="2">
        <v>296</v>
      </c>
    </row>
    <row r="299" ht="16.5" spans="6:6">
      <c r="F299" s="2">
        <v>297</v>
      </c>
    </row>
    <row r="300" ht="16.5" spans="6:6">
      <c r="F300" s="2">
        <v>298</v>
      </c>
    </row>
    <row r="301" ht="16.5" spans="6:6">
      <c r="F301" s="2">
        <v>299</v>
      </c>
    </row>
    <row r="302" ht="16.5" spans="6:6">
      <c r="F302" s="2">
        <v>300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Tencent office</Application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版本日志</vt:lpstr>
      <vt:lpstr>设计思路</vt:lpstr>
      <vt:lpstr>Temp_Chart_Data</vt:lpstr>
      <vt:lpstr>产出预期</vt:lpstr>
      <vt:lpstr>练度预期</vt:lpstr>
      <vt:lpstr>Temp_Custom_Chart</vt:lpstr>
      <vt:lpstr>强度预期</vt:lpstr>
      <vt:lpstr>玩家等级</vt:lpstr>
      <vt:lpstr>装备养成</vt:lpstr>
      <vt:lpstr>梦灵养成</vt:lpstr>
      <vt:lpstr>符文养成</vt:lpstr>
      <vt:lpstr>秘宝养成</vt:lpstr>
      <vt:lpstr>价值表</vt:lpstr>
      <vt:lpstr>关卡预期</vt:lpstr>
      <vt:lpstr>问题分析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2026-02-06T16:13:00Z</dcterms:created>
  <dcterms:modified xsi:type="dcterms:W3CDTF">2026-09-21T08:11:40Z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729D25469FAF4C29B991D92018EFA631_13</vt:lpwstr>
  </property>
  <property fmtid="{D5CDD505-2E9C-101B-9397-08002B2CF9AE}" pid="3" name="KSOProductBuildVer">
    <vt:lpwstr>2052-12.1.0.28488</vt:lpwstr>
  </property>
  <property fmtid="{D5CDD505-2E9C-101B-9397-08002B2CF9AE}" pid="4" name="CalculationRule">
    <vt:i4>0</vt:i4>
  </property>
</Properties>
</file>