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76780297e48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新商业化规划" sheetId="1" r:id="R72862692f35d4ef2"/>
    <x:sheet xmlns:r="http://schemas.openxmlformats.org/officeDocument/2006/relationships" name="商品性价比" sheetId="2" r:id="Rb24ffaf67a114352"/>
    <x:sheet xmlns:r="http://schemas.openxmlformats.org/officeDocument/2006/relationships" name="奖励明细" sheetId="3" r:id="R28d3c405324c4ac1"/>
    <x:sheet xmlns:r="http://schemas.openxmlformats.org/officeDocument/2006/relationships" name="活动节点" sheetId="4" r:id="Re67d71b06ee5466a"/>
    <x:sheet xmlns:r="http://schemas.openxmlformats.org/officeDocument/2006/relationships" name="成长加速路径" sheetId="5" r:id="Re97c400db1be4ff6"/>
    <x:sheet xmlns:r="http://schemas.openxmlformats.org/officeDocument/2006/relationships" name="道具价值基准" sheetId="6" r:id="Rae9b523e83594046"/>
    <x:sheet xmlns:r="http://schemas.openxmlformats.org/officeDocument/2006/relationships" name="待核对事项" sheetId="7" r:id="R75da0570fd5441c2"/>
    <x:sheet xmlns:r="http://schemas.openxmlformats.org/officeDocument/2006/relationships" name="来源与口径" sheetId="8" r:id="Rdbf790c769a643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;0"/>
    <x:numFmt numFmtId="201" formatCode="0"/>
  </x:numFmts>
  <x:fonts count="7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sz val="20"/>
      <x:color rgb="FFFFFFFF"/>
      <x:name val="Microsoft YaHei"/>
    </x:font>
    <x:font>
      <x:b/>
      <x:sz val="10"/>
      <x:color rgb="FFFFFFFF"/>
      <x:name val="Microsoft YaHei"/>
    </x:font>
    <x:font>
      <x:sz val="10"/>
      <x:color rgb="FF008050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23B50"/>
      </x:patternFill>
    </x:fill>
    <x:fill>
      <x:patternFill patternType="solid">
        <x:fgColor rgb="FFE7F2F4"/>
      </x:patternFill>
    </x:fill>
    <x:fill>
      <x:patternFill patternType="solid">
        <x:fgColor rgb="FF087E8B"/>
      </x:patternFill>
    </x:fill>
    <x:fill>
      <x:patternFill patternType="solid">
        <x:fgColor rgb="FFF0F5F7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200" fontId="2" fillId="5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5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0" fontId="6" fillId="5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789baddcf3484c" /><Relationship Type="http://schemas.openxmlformats.org/officeDocument/2006/relationships/theme" Target="/xl/theme/theme1.xml" Id="Rc7d5cce1d3f1463c" /><Relationship Type="http://schemas.openxmlformats.org/officeDocument/2006/relationships/sharedStrings" Target="/xl/sharedStrings.xml" Id="R8a6e7916c9d44918" /><Relationship Type="http://schemas.openxmlformats.org/officeDocument/2006/relationships/worksheet" Target="/xl/worksheets/sheet1.xml" Id="R72862692f35d4ef2" /><Relationship Type="http://schemas.openxmlformats.org/officeDocument/2006/relationships/worksheet" Target="/xl/worksheets/sheet2.xml" Id="Rb24ffaf67a114352" /><Relationship Type="http://schemas.openxmlformats.org/officeDocument/2006/relationships/worksheet" Target="/xl/worksheets/sheet3.xml" Id="R28d3c405324c4ac1" /><Relationship Type="http://schemas.openxmlformats.org/officeDocument/2006/relationships/worksheet" Target="/xl/worksheets/sheet4.xml" Id="Re67d71b06ee5466a" /><Relationship Type="http://schemas.openxmlformats.org/officeDocument/2006/relationships/worksheet" Target="/xl/worksheets/sheet5.xml" Id="Re97c400db1be4ff6" /><Relationship Type="http://schemas.openxmlformats.org/officeDocument/2006/relationships/worksheet" Target="/xl/worksheets/sheet6.xml" Id="Rae9b523e83594046" /><Relationship Type="http://schemas.openxmlformats.org/officeDocument/2006/relationships/worksheet" Target="/xl/worksheets/sheet7.xml" Id="R75da0570fd5441c2" /><Relationship Type="http://schemas.openxmlformats.org/officeDocument/2006/relationships/worksheet" Target="/xl/worksheets/sheet8.xml" Id="Rdbf790c769a643f7" /></Relationships>
</file>

<file path=xl/tables/table1.xml><?xml version="1.0" encoding="utf-8"?>
<x:table xmlns:x="http://schemas.openxmlformats.org/spreadsheetml/2006/main" id="1" name="T1" displayName="T1" ref="A4:H29" headerRowCount="1" totalsRowCount="0" totalsRowShown="0">
  <x:tableColumns count="8">
    <x:tableColumn id="1" name="模块"/>
    <x:tableColumn id="2" name="商业化职责"/>
    <x:tableColumn id="3" name="时间/开启条件"/>
    <x:tableColumn id="4" name="价格或消耗"/>
    <x:tableColumn id="5" name="主要标的物"/>
    <x:tableColumn id="6" name="采用状态"/>
    <x:tableColumn id="7" name="证据位置"/>
    <x:tableColumn id="8" name="采用说明/边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" displayName="T2" ref="A4:P150" headerRowCount="1" totalsRowCount="0" totalsRowShown="0">
  <x:tableColumns count="16">
    <x:tableColumn id="1" name="商品ID"/>
    <x:tableColumn id="2" name="活动"/>
    <x:tableColumn id="3" name="商品/档位"/>
    <x:tableColumn id="4" name="支付币种"/>
    <x:tableColumn id="5" name="单次价格"/>
    <x:tableColumn id="6" name="成本折钻"/>
    <x:tableColumn id="7" name="单次/周期限购"/>
    <x:tableColumn id="8" name="明细首行"/>
    <x:tableColumn id="9" name="明细末行"/>
    <x:tableColumn id="10" name="奖励价值钻"/>
    <x:tableColumn id="11" name="价值倍率"/>
    <x:tableColumn id="12" name="重算折数"/>
    <x:tableColumn id="13" name="原标注折数"/>
    <x:tableColumn id="14" name="状态"/>
    <x:tableColumn id="15" name="说明"/>
    <x:tableColumn id="16" name="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" displayName="T3" ref="A4:J252" headerRowCount="1" totalsRowCount="0" totalsRowShown="0">
  <x:tableColumns count="10">
    <x:tableColumn id="1" name="商品ID"/>
    <x:tableColumn id="2" name="商品"/>
    <x:tableColumn id="3" name="标的物"/>
    <x:tableColumn id="4" name="数量"/>
    <x:tableColumn id="5" name="统一单价钻"/>
    <x:tableColumn id="6" name="原活动单价钻"/>
    <x:tableColumn id="7" name="价值钻"/>
    <x:tableColumn id="8" name="估值依据"/>
    <x:tableColumn id="9" name="差异/缺失"/>
    <x:tableColumn id="10" name="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" displayName="T4" ref="A4:F156" headerRowCount="1" totalsRowCount="0" totalsRowShown="0">
  <x:tableColumns count="6">
    <x:tableColumn id="1" name="活动/轮次"/>
    <x:tableColumn id="2" name="节点类型"/>
    <x:tableColumn id="3" name="阈值"/>
    <x:tableColumn id="4" name="奖励"/>
    <x:tableColumn id="5" name="来源"/>
    <x:tableColumn id="6" name="计算边界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" displayName="T5" ref="A4:G11" headerRowCount="1" totalsRowCount="0" totalsRowShown="0">
  <x:tableColumns count="7">
    <x:tableColumn id="1" name="成长系统"/>
    <x:tableColumn id="2" name="关键资源"/>
    <x:tableColumn id="3" name="活动入口"/>
    <x:tableColumn id="4" name="能力传导路径"/>
    <x:tableColumn id="5" name="SVN待联算文件"/>
    <x:tableColumn id="6" name="还缺的输入"/>
    <x:tableColumn id="7" name="后续计算方式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" displayName="T6" ref="A4:H206" headerRowCount="1" totalsRowCount="0" totalsRowShown="0">
  <x:tableColumns count="8">
    <x:tableColumn id="1" name="道具ID"/>
    <x:tableColumn id="2" name="名称"/>
    <x:tableColumn id="3" name="品质"/>
    <x:tableColumn id="4" name="源RMB单价"/>
    <x:tableColumn id="5" name="源钻石单价"/>
    <x:tableColumn id="6" name="采用来源"/>
    <x:tableColumn id="7" name="证据位置"/>
    <x:tableColumn id="8" name="说明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" displayName="T7" ref="A4:F25" headerRowCount="1" totalsRowCount="0" totalsRowShown="0">
  <x:tableColumns count="6">
    <x:tableColumn id="1" name="优先级"/>
    <x:tableColumn id="2" name="问题类型"/>
    <x:tableColumn id="3" name="对象"/>
    <x:tableColumn id="4" name="发现"/>
    <x:tableColumn id="5" name="主文档位置"/>
    <x:tableColumn id="6" name="下一步/建议负责人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" displayName="T8" ref="A4:F69" headerRowCount="1" totalsRowCount="0" totalsRowShown="0">
  <x:tableColumns count="6">
    <x:tableColumn id="1" name="类型"/>
    <x:tableColumn id="2" name="项目/工作表"/>
    <x:tableColumn id="3" name="值/行数"/>
    <x:tableColumn id="4" name="单位/规模"/>
    <x:tableColumn id="5" name="出处"/>
    <x:tableColumn id="6" name="采用规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f4fd86c20841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4650c58533d4f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846db8cd33440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a1430d46be744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9512e1f18cf49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1267b843f654d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e55833fbd9844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532e9ab65854437" /></Relationships>
</file>

<file path=xl/worksheets/sheet1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5" hidden="0" customWidth="1"/>
    <x:col min="3" max="3" width="41" hidden="0" customWidth="1"/>
    <x:col min="4" max="4" width="42" hidden="0" customWidth="1"/>
    <x:col min="5" max="5" width="33" hidden="0" customWidth="1"/>
    <x:col min="6" max="6" width="26" hidden="0" customWidth="1"/>
    <x:col min="7" max="7" width="53" hidden="0" customWidth="1"/>
    <x:col min="8" max="8" width="69" hidden="0" customWidth="1"/>
  </x:cols>
  <x:sheetData>
    <x:row r="1" ht="38" customHeight="1">
      <x:c r="A1" s="7" t="str">
        <x:v>《梦境护卫队》最新商业化规划 · 第一版</x:v>
      </x:c>
      <x:c r="B1" s="7"/>
      <x:c r="C1" s="7"/>
      <x:c r="D1" s="7"/>
      <x:c r="E1" s="7"/>
      <x:c r="F1" s="7"/>
      <x:c r="G1" s="7"/>
      <x:c r="H1" s="7"/>
    </x:row>
    <x:row r="2" ht="42" customHeight="1">
      <x:c r="A2" s="8" t="str">
        <x:v>依据 2026-09-21 飞书导出快照｜主方案优先，线上梳理仅补缺｜规划证据，不等于运行验证</x:v>
      </x:c>
      <x:c r="B2" s="8"/>
      <x:c r="C2" s="8"/>
      <x:c r="D2" s="8"/>
      <x:c r="E2" s="8"/>
      <x:c r="F2" s="8"/>
      <x:c r="G2" s="8"/>
      <x:c r="H2" s="8"/>
    </x:row>
    <x:row r="3">
      <x:c r="A3" s="4"/>
      <x:c r="B3" s="4"/>
      <x:c r="C3" s="4"/>
      <x:c r="D3" s="4"/>
      <x:c r="E3" s="4"/>
      <x:c r="F3" s="4"/>
      <x:c r="G3" s="4"/>
      <x:c r="H3" s="4"/>
    </x:row>
    <x:row r="4" ht="32" customHeight="1">
      <x:c r="A4" s="11" t="str">
        <x:v>模块</x:v>
      </x:c>
      <x:c r="B4" s="11" t="str">
        <x:v>商业化职责</x:v>
      </x:c>
      <x:c r="C4" s="11" t="str">
        <x:v>时间/开启条件</x:v>
      </x:c>
      <x:c r="D4" s="11" t="str">
        <x:v>价格或消耗</x:v>
      </x:c>
      <x:c r="E4" s="11" t="str">
        <x:v>主要标的物</x:v>
      </x:c>
      <x:c r="F4" s="11" t="str">
        <x:v>采用状态</x:v>
      </x:c>
      <x:c r="G4" s="11" t="str">
        <x:v>证据位置</x:v>
      </x:c>
      <x:c r="H4" s="11" t="str">
        <x:v>采用说明/边界</x:v>
      </x:c>
    </x:row>
    <x:row r="5" ht="94" customHeight="1">
      <x:c r="A5" s="12" t="str">
        <x:v>充值与累计充值</x:v>
      </x:c>
      <x:c r="B5" s="12" t="str">
        <x:v>基础支付/充值回馈</x:v>
      </x:c>
      <x:c r="C5" s="12" t="str">
        <x:v>累计档位60/300/600/1280/3280钻</x:v>
      </x:c>
      <x:c r="D5" s="12" t="str">
        <x:v>充值钻石记账；真实档位兑换待核</x:v>
      </x:c>
      <x:c r="E5" s="12" t="str">
        <x:v>体力、招募、金币、星辉、晶核</x:v>
      </x:c>
      <x:c r="F5" s="12" t="str">
        <x:v>主明细</x:v>
      </x:c>
      <x:c r="G5" s="12" t="str">
        <x:v>主/特惠+充值!A32:U60</x:v>
      </x:c>
      <x:c r="H5" s="12" t="str">
        <x:v>只将钻石商城及冲刺礼包计入的口径见原表；连充6/25元两线，天数有重复</x:v>
      </x:c>
    </x:row>
    <x:row r="6" ht="94" customHeight="1">
      <x:c r="A6" s="4" t="str">
        <x:v>首充/累充</x:v>
      </x:c>
      <x:c r="B6" s="4" t="str">
        <x:v>首次付费转化</x:v>
      </x:c>
      <x:c r="C6" s="4" t="str">
        <x:v>6元首充；30/68元累充，分天领</x:v>
      </x:c>
      <x:c r="D6" s="4" t="str">
        <x:v>6/30/68元；68/128单笔版本并列</x:v>
      </x:c>
      <x:c r="E6" s="4" t="str">
        <x:v>武器、梦灵、抽卡、符文</x:v>
      </x:c>
      <x:c r="F6" s="4" t="str">
        <x:v>存在版本分支</x:v>
      </x:c>
      <x:c r="G6" s="4" t="str">
        <x:v>主/首充+三卡!A4:V23</x:v>
      </x:c>
      <x:c r="H6" s="4" t="str">
        <x:v>不能把累充与单笔分支全部当作叠加奖励；优化总内容提出调整思路</x:v>
      </x:c>
    </x:row>
    <x:row r="7" ht="94" customHeight="1">
      <x:c r="A7" s="12" t="str">
        <x:v>双月卡</x:v>
      </x:c>
      <x:c r="B7" s="12" t="str">
        <x:v>稳定留存和日常效率</x:v>
      </x:c>
      <x:c r="C7" s="12" t="str">
        <x:v>30天；每日权益</x:v>
      </x:c>
      <x:c r="D7" s="12" t="str">
        <x:v>总览写18/30元；映射待核</x:v>
      </x:c>
      <x:c r="E7" s="12" t="str">
        <x:v>钻石、招募/体力、挂机/刷新特权</x:v>
      </x:c>
      <x:c r="F7" s="12" t="str">
        <x:v>主规划</x:v>
      </x:c>
      <x:c r="G7" s="12" t="str">
        <x:v>主/首充+三卡!A28:V44；优化总内容!A4:I4</x:v>
      </x:c>
      <x:c r="H7" s="12" t="str">
        <x:v>特权卡每日60钻+2招募；福利卡100钻+10体力；双卡另有奖励，非属性价值全折钻</x:v>
      </x:c>
    </x:row>
    <x:row r="8" ht="94" customHeight="1">
      <x:c r="A8" s="4" t="str">
        <x:v>周卡</x:v>
      </x:c>
      <x:c r="B8" s="4" t="str">
        <x:v>短周期留存/组队转化</x:v>
      </x:c>
      <x:c r="C8" s="4" t="str">
        <x:v>7天</x:v>
      </x:c>
      <x:c r="D8" s="4" t="str">
        <x:v>12元</x:v>
      </x:c>
      <x:c r="E8" s="4" t="str">
        <x:v>900钻及组队/迷宫特权</x:v>
      </x:c>
      <x:c r="F8" s="4" t="str">
        <x:v>主规划</x:v>
      </x:c>
      <x:c r="G8" s="4" t="str">
        <x:v>主/首充+三卡!A54:Q77；优化总内容!A6:I6</x:v>
      </x:c>
      <x:c r="H8" s="4" t="str">
        <x:v>首周金币吸收器、第三周组队券分支待核；不要合并重复发放</x:v>
      </x:c>
    </x:row>
    <x:row r="9" ht="94" customHeight="1">
      <x:c r="A9" s="12" t="str">
        <x:v>每日特惠</x:v>
      </x:c>
      <x:c r="B9" s="12" t="str">
        <x:v>日付费</x:v>
      </x:c>
      <x:c r="C9" s="12" t="str">
        <x:v>每日</x:v>
      </x:c>
      <x:c r="D9" s="12" t="str">
        <x:v>1/6/18元</x:v>
      </x:c>
      <x:c r="E9" s="12" t="str">
        <x:v>体力、抽卡、宝箱、心梦宝石</x:v>
      </x:c>
      <x:c r="F9" s="12" t="str">
        <x:v>主明细有冲突</x:v>
      </x:c>
      <x:c r="G9" s="12" t="str">
        <x:v>主/特惠+充值!B9:I29</x:v>
      </x:c>
      <x:c r="H9" s="12" t="str">
        <x:v>宝箱名称/80钻单价冲突；调整后奖池与当前三档并列</x:v>
      </x:c>
    </x:row>
    <x:row r="10" ht="94" customHeight="1">
      <x:c r="A10" s="4" t="str">
        <x:v>日周月礼包</x:v>
      </x:c>
      <x:c r="B10" s="4" t="str">
        <x:v>钻石回收/定向补养成</x:v>
      </x:c>
      <x:c r="C10" s="4" t="str">
        <x:v>日/周/月；月礼包累充300元开启</x:v>
      </x:c>
      <x:c r="D10" s="4" t="str">
        <x:v>钻石、免费、广告</x:v>
      </x:c>
      <x:c r="E10" s="4" t="str">
        <x:v>梦灵/装备/符文/载具/藏品</x:v>
      </x:c>
      <x:c r="F10" s="4" t="str">
        <x:v>主明细</x:v>
      </x:c>
      <x:c r="G10" s="4" t="str">
        <x:v>主/日周月礼包!A1:L69</x:v>
      </x:c>
      <x:c r="H10" s="4" t="str">
        <x:v>载具/藏品分别有天数开启；加速沙漏标删除；多处标注折扣与重算不符</x:v>
      </x:c>
    </x:row>
    <x:row r="11" ht="94" customHeight="1">
      <x:c r="A11" s="12" t="str">
        <x:v>心梦商店</x:v>
      </x:c>
      <x:c r="B11" s="12" t="str">
        <x:v>付费附赠币回收</x:v>
      </x:c>
      <x:c r="C11" s="12" t="str">
        <x:v>周/月/不重置；部分D15/D22/D29/D31</x:v>
      </x:c>
      <x:c r="D11" s="12" t="str">
        <x:v>心梦宝石兑换</x:v>
      </x:c>
      <x:c r="E11" s="12" t="str">
        <x:v>招募、星辉、符文、皮肤、载具、藏品</x:v>
      </x:c>
      <x:c r="F11" s="12" t="str">
        <x:v>主明细</x:v>
      </x:c>
      <x:c r="G11" s="12" t="str">
        <x:v>主/心梦商店!E4:L21</x:v>
      </x:c>
      <x:c r="H11" s="12" t="str">
        <x:v>宝石14钻仅是估值基准；附赠币不能重复算现金价值；过期小狗锤条目排除</x:v>
      </x:c>
    </x:row>
    <x:row r="12" ht="94" customHeight="1">
      <x:c r="A12" s="4" t="str">
        <x:v>推送礼包</x:v>
      </x:c>
      <x:c r="B12" s="4" t="str">
        <x:v>触发式钻石回收</x:v>
      </x:c>
      <x:c r="C12" s="4" t="str">
        <x:v>触发条件待补</x:v>
      </x:c>
      <x:c r="D12" s="4" t="str">
        <x:v>388/788/1688钻；暂定488/938/1988</x:v>
      </x:c>
      <x:c r="E12" s="4" t="str">
        <x:v>抽卡及能量</x:v>
      </x:c>
      <x:c r="F12" s="4" t="str">
        <x:v>主表现价/暂定并列</x:v>
      </x:c>
      <x:c r="G12" s="4" t="str">
        <x:v>主/特惠+充值!B89:V92</x:v>
      </x:c>
      <x:c r="H12" s="4" t="str">
        <x:v>补表推送礼包不覆盖主表；现价和暂定价不双算</x:v>
      </x:c>
    </x:row>
    <x:row r="13" ht="94" customHeight="1">
      <x:c r="A13" s="12" t="str">
        <x:v>招募狂欢</x:v>
      </x:c>
      <x:c r="B13" s="12" t="str">
        <x:v>新服前期招募目标</x:v>
      </x:c>
      <x:c r="C13" s="12" t="str">
        <x:v>D2—7</x:v>
      </x:c>
      <x:c r="D13" s="12" t="str">
        <x:v>抽卡累计达标</x:v>
      </x:c>
      <x:c r="E13" s="12" t="str">
        <x:v>梦灵/招募资源</x:v>
      </x:c>
      <x:c r="F13" s="12" t="str">
        <x:v>主明细有冲突</x:v>
      </x:c>
      <x:c r="G13" s="12" t="str">
        <x:v>主/招募狂欢!A1:N45；优化总内容!A18:I19</x:v>
      </x:c>
      <x:c r="H13" s="12" t="str">
        <x:v>详细四轮600/600/800/1200；思路改首轮400、第四轮去掉未统一；红卡狂欢D8—14仅总览</x:v>
      </x:c>
    </x:row>
    <x:row r="14" ht="94" customHeight="1">
      <x:c r="A14" s="4" t="str">
        <x:v>招募冲刺</x:v>
      </x:c>
      <x:c r="B14" s="4" t="str">
        <x:v>周轮换消耗目标+排行</x:v>
      </x:c>
      <x:c r="C14" s="4" t="str">
        <x:v>路线图D8起</x:v>
      </x:c>
      <x:c r="D14" s="4" t="str">
        <x:v>钻石包+6/30/328元包</x:v>
      </x:c>
      <x:c r="E14" s="4" t="str">
        <x:v>招募/梦灵</x:v>
      </x:c>
      <x:c r="F14" s="4" t="str">
        <x:v>主明细</x:v>
      </x:c>
      <x:c r="G14" s="4" t="str">
        <x:v>主/冲刺活动!A1:AC209；路线图!B24:AE24</x:v>
      </x:c>
      <x:c r="H14" s="4" t="str">
        <x:v>进度、轮次、任务、排行分层；排名收益不计入必得折扣；跨服节奏另核</x:v>
      </x:c>
    </x:row>
    <x:row r="15" ht="94" customHeight="1">
      <x:c r="A15" s="12" t="str">
        <x:v>符文冲刺</x:v>
      </x:c>
      <x:c r="B15" s="12" t="str">
        <x:v>周轮换消耗目标+排行</x:v>
      </x:c>
      <x:c r="C15" s="12" t="str">
        <x:v>路线图第3周</x:v>
      </x:c>
      <x:c r="D15" s="12" t="str">
        <x:v>钻石包+6/30/328元包</x:v>
      </x:c>
      <x:c r="E15" s="12" t="str">
        <x:v>符文/晶核/祝福石</x:v>
      </x:c>
      <x:c r="F15" s="12" t="str">
        <x:v>主明细</x:v>
      </x:c>
      <x:c r="G15" s="12" t="str">
        <x:v>主/冲刺活动!A1:AC209；路线图!B24:AE24</x:v>
      </x:c>
      <x:c r="H15" s="12" t="str">
        <x:v>进度、轮次、任务、排行分层；排名收益不计入必得折扣；跨服节奏另核</x:v>
      </x:c>
    </x:row>
    <x:row r="16" ht="94" customHeight="1">
      <x:c r="A16" s="4" t="str">
        <x:v>秘宝冲刺</x:v>
      </x:c>
      <x:c r="B16" s="4" t="str">
        <x:v>周轮换消耗目标+排行</x:v>
      </x:c>
      <x:c r="C16" s="4" t="str">
        <x:v>路线图第4周</x:v>
      </x:c>
      <x:c r="D16" s="4" t="str">
        <x:v>钻石包+6/30/328元包</x:v>
      </x:c>
      <x:c r="E16" s="4" t="str">
        <x:v>秘宝/转运石</x:v>
      </x:c>
      <x:c r="F16" s="4" t="str">
        <x:v>主明细</x:v>
      </x:c>
      <x:c r="G16" s="4" t="str">
        <x:v>主/冲刺活动!A1:AC209；路线图!B24:AE24</x:v>
      </x:c>
      <x:c r="H16" s="4" t="str">
        <x:v>进度、轮次、任务、排行分层；排名收益不计入必得折扣；跨服节奏另核</x:v>
      </x:c>
    </x:row>
    <x:row r="17" ht="94" customHeight="1">
      <x:c r="A17" s="12" t="str">
        <x:v>悬赏</x:v>
      </x:c>
      <x:c r="B17" s="12" t="str">
        <x:v>跨轮次高价值目标</x:v>
      </x:c>
      <x:c r="C17" s="12" t="str">
        <x:v>路线图第3周首开；总览D10有冲突</x:v>
      </x:c>
      <x:c r="D17" s="12" t="str">
        <x:v>悬赏线索；钻石包+6/30/98元包</x:v>
      </x:c>
      <x:c r="E17" s="12" t="str">
        <x:v>符文、零件、藏品</x:v>
      </x:c>
      <x:c r="F17" s="12" t="str">
        <x:v>主明细有冲突</x:v>
      </x:c>
      <x:c r="G17" s="12" t="str">
        <x:v>主/悬赏活动!A1:AA81；路线图!B25:AE25</x:v>
      </x:c>
      <x:c r="H17" s="12" t="str">
        <x:v>四套奖励/5层；每层多选项不能全部相加；第三组礼包数量不全</x:v>
      </x:c>
    </x:row>
    <x:row r="18" ht="94" customHeight="1">
      <x:c r="A18" s="4" t="str">
        <x:v>橙卡试炼</x:v>
      </x:c>
      <x:c r="B18" s="4" t="str">
        <x:v>指定梦灵等级驱动</x:v>
      </x:c>
      <x:c r="C18" s="4" t="str">
        <x:v>D5起4天</x:v>
      </x:c>
      <x:c r="D18" s="4" t="str">
        <x:v>688—4388钻/档</x:v>
      </x:c>
      <x:c r="E18" s="4" t="str">
        <x:v>指定梦灵培养、抽卡及符文</x:v>
      </x:c>
      <x:c r="F18" s="4" t="str">
        <x:v>主明细</x:v>
      </x:c>
      <x:c r="G18" s="4" t="str">
        <x:v>主/橙卡试炼活动!A2:S14</x:v>
      </x:c>
      <x:c r="H18" s="4" t="str">
        <x:v>免费和付费奖励独立；专属符文单价及17级第三奖励待核</x:v>
      </x:c>
    </x:row>
    <x:row r="19" ht="94" customHeight="1">
      <x:c r="A19" s="12" t="str">
        <x:v>红卡试炼</x:v>
      </x:c>
      <x:c r="B19" s="12" t="str">
        <x:v>神话梦灵等级驱动</x:v>
      </x:c>
      <x:c r="C19" s="12" t="str">
        <x:v>明细D11起4天；总览D12—15；路线图D13—16</x:v>
      </x:c>
      <x:c r="D19" s="12" t="str">
        <x:v>688—7888钻/档</x:v>
      </x:c>
      <x:c r="E19" s="12" t="str">
        <x:v>神话梦灵、皮肤、符文</x:v>
      </x:c>
      <x:c r="F19" s="12" t="str">
        <x:v>排期冲突</x:v>
      </x:c>
      <x:c r="G19" s="12" t="str">
        <x:v>主/红卡试炼活动!A2:S15；优化总内容!A21:I21；路线图!O27</x:v>
      </x:c>
      <x:c r="H19" s="12" t="str">
        <x:v>不能定唯一上线日；主表规则文字仍写传说，目标品质待核</x:v>
      </x:c>
    </x:row>
    <x:row r="20" ht="94" customHeight="1">
      <x:c r="A20" s="4" t="str">
        <x:v>月光炼梦</x:v>
      </x:c>
      <x:c r="B20" s="4" t="str">
        <x:v>稀缺大奖/多轮付费</x:v>
      </x:c>
      <x:c r="C20" s="4" t="str">
        <x:v>总览D20—22；主线≥15</x:v>
      </x:c>
      <x:c r="D20" s="4" t="str">
        <x:v>魔药120钻/个；6/30/98元包</x:v>
      </x:c>
      <x:c r="E20" s="4" t="str">
        <x:v>炼梦宝箱、梦灵/皮肤</x:v>
      </x:c>
      <x:c r="F20" s="4" t="str">
        <x:v>主明细有冲突</x:v>
      </x:c>
      <x:c r="G20" s="4" t="str">
        <x:v>主/月光炼梦!A6:S79</x:v>
      </x:c>
      <x:c r="H20" s="4" t="str">
        <x:v>10轮，每轮8—10抽出大奖；最少/最多成本是边界，不是期望；3天/7天任务冲突</x:v>
      </x:c>
    </x:row>
    <x:row r="21" ht="94" customHeight="1">
      <x:c r="A21" s="12" t="str">
        <x:v>星轨探测</x:v>
      </x:c>
      <x:c r="B21" s="12" t="str">
        <x:v>载具稀缺大奖</x:v>
      </x:c>
      <x:c r="C21" s="12" t="str">
        <x:v>总览D27—29；路线图D9，排期冲突</x:v>
      </x:c>
      <x:c r="D21" s="12" t="str">
        <x:v>单抽100钻/五连500；6/30/98元包</x:v>
      </x:c>
      <x:c r="E21" s="12" t="str">
        <x:v>织梦捕星机/载具及资源</x:v>
      </x:c>
      <x:c r="F21" s="12" t="str">
        <x:v>主明细有冲突</x:v>
      </x:c>
      <x:c r="G21" s="12" t="str">
        <x:v>主/星轨探测!A6:O80；路线图!K27</x:v>
      </x:c>
      <x:c r="H21" s="12" t="str">
        <x:v>80/81/71.08期望及80/90保底口径冲突；不输出一个伪精确预期成本</x:v>
      </x:c>
    </x:row>
    <x:row r="22" ht="94" customHeight="1">
      <x:c r="A22" s="4" t="str">
        <x:v>首月活动</x:v>
      </x:c>
      <x:c r="B22" s="4" t="str">
        <x:v>长周期目标/签到/许愿</x:v>
      </x:c>
      <x:c r="C22" s="4" t="str">
        <x:v>首月；未来赛季化是方向</x:v>
      </x:c>
      <x:c r="D22" s="4" t="str">
        <x:v>许愿券估值60钻；6/30/98元包</x:v>
      </x:c>
      <x:c r="E22" s="4" t="str">
        <x:v>星愿棱晶、兑换目标和阶段进度</x:v>
      </x:c>
      <x:c r="F22" s="4" t="str">
        <x:v>主明细+优化方向</x:v>
      </x:c>
      <x:c r="G22" s="4" t="str">
        <x:v>主/首月活动!A1:Q203；优化总内容!A29:I29</x:v>
      </x:c>
      <x:c r="H22" s="4" t="str">
        <x:v>礼包每周重置3次；未来赛季化未当当前规则，任务/兑换/抽奖分开</x:v>
      </x:c>
    </x:row>
    <x:row r="23" ht="94" customHeight="1">
      <x:c r="A23" s="12" t="str">
        <x:v>体力战令</x:v>
      </x:c>
      <x:c r="B23" s="12" t="str">
        <x:v>活跃+付费解锁</x:v>
      </x:c>
      <x:c r="C23" s="12" t="str">
        <x:v>14天；消耗体力得经验</x:v>
      </x:c>
      <x:c r="D23" s="12" t="str">
        <x:v>28/68元</x:v>
      </x:c>
      <x:c r="E23" s="12" t="str">
        <x:v>免费轨与付费轨</x:v>
      </x:c>
      <x:c r="F23" s="12" t="str">
        <x:v>补充细则</x:v>
      </x:c>
      <x:c r="G23" s="12" t="str">
        <x:v>主/优化总内容!A5:I5；补/战令!A1:Q62</x:v>
      </x:c>
      <x:c r="H23" s="12" t="str">
        <x:v>补表每80经验/级、满级后200经验宝箱；是否双付费档互含待核</x:v>
      </x:c>
    </x:row>
    <x:row r="24" ht="94" customHeight="1">
      <x:c r="A24" s="4" t="str">
        <x:v>钻石基金I/II/III</x:v>
      </x:c>
      <x:c r="B24" s="4" t="str">
        <x:v>章节推进</x:v>
      </x:c>
      <x:c r="C24" s="4" t="str">
        <x:v>I/II章节阶段；III未更新</x:v>
      </x:c>
      <x:c r="D24" s="4" t="str">
        <x:v>主总览I/II/III均98元</x:v>
      </x:c>
      <x:c r="E24" s="4" t="str">
        <x:v>章节返钻</x:v>
      </x:c>
      <x:c r="F24" s="4" t="str">
        <x:v>补充细则/III待定</x:v>
      </x:c>
      <x:c r="G24" s="4" t="str">
        <x:v>主/优化总内容!A3:I3；补/战令!I69:Q142</x:v>
      </x:c>
      <x:c r="H24" s="4" t="str">
        <x:v>主价格优先；III明确数值待定，不引用旧128/198元为新价</x:v>
      </x:c>
    </x:row>
    <x:row r="25" ht="94" customHeight="1">
      <x:c r="A25" s="12" t="str">
        <x:v>载具战令</x:v>
      </x:c>
      <x:c r="B25" s="12" t="str">
        <x:v>载具开放后承接</x:v>
      </x:c>
      <x:c r="C25" s="12" t="str">
        <x:v>具体排期待定</x:v>
      </x:c>
      <x:c r="D25" s="12" t="str">
        <x:v>补表暂定980钻</x:v>
      </x:c>
      <x:c r="E25" s="12" t="str">
        <x:v>载具资源</x:v>
      </x:c>
      <x:c r="F25" s="12" t="str">
        <x:v>暂定方案</x:v>
      </x:c>
      <x:c r="G25" s="12" t="str">
        <x:v>补/战令!A148:Q176</x:v>
      </x:c>
      <x:c r="H25" s="12" t="str">
        <x:v>主表只有首月后续方向，补表暂定不算已定商品</x:v>
      </x:c>
    </x:row>
    <x:row r="26" ht="94" customHeight="1">
      <x:c r="A26" s="4" t="str">
        <x:v>章节礼包</x:v>
      </x:c>
      <x:c r="B26" s="4" t="str">
        <x:v>通关触发</x:v>
      </x:c>
      <x:c r="C26" s="4" t="str">
        <x:v>5/8/10/15/20/24/28/32/36章</x:v>
      </x:c>
      <x:c r="D26" s="4" t="str">
        <x:v>680—6480钻；永久限1</x:v>
      </x:c>
      <x:c r="E26" s="4" t="str">
        <x:v>章节养成资源</x:v>
      </x:c>
      <x:c r="F26" s="4" t="str">
        <x:v>补充规划</x:v>
      </x:c>
      <x:c r="G26" s="4" t="str">
        <x:v>补/章节礼包!B2:R14</x:v>
      </x:c>
      <x:c r="H26" s="4" t="str">
        <x:v>缺主表细则，按补表暂列，待核是否仍投放</x:v>
      </x:c>
    </x:row>
    <x:row r="27" ht="94" customHeight="1">
      <x:c r="A27" s="12" t="str">
        <x:v>七日挑战/关卡宝箱</x:v>
      </x:c>
      <x:c r="B27" s="12" t="str">
        <x:v>进度目标与付费承接</x:v>
      </x:c>
      <x:c r="C27" s="12" t="str">
        <x:v>补表节点，当前主线排期待核</x:v>
      </x:c>
      <x:c r="D27" s="12" t="str">
        <x:v>以补表为待核条目</x:v>
      </x:c>
      <x:c r="E27" s="12" t="str">
        <x:v>挑战/关卡奖励</x:v>
      </x:c>
      <x:c r="F27" s="12" t="str">
        <x:v>补充待核</x:v>
      </x:c>
      <x:c r="G27" s="12" t="str">
        <x:v>补/七日活动挑战；关卡宝箱</x:v>
      </x:c>
      <x:c r="H27" s="12" t="str">
        <x:v>仅补模块，不以旧期次自动认定当前开放；未进入确定礼包性价比榜</x:v>
      </x:c>
    </x:row>
    <x:row r="28" ht="94" customHeight="1">
      <x:c r="A28" s="4" t="str">
        <x:v>星光寻梦/粉卡试炼</x:v>
      </x:c>
      <x:c r="B28" s="4" t="str">
        <x:v>更高品质稀缺目标</x:v>
      </x:c>
      <x:c r="C28" s="4" t="str">
        <x:v>补表新服D74—76；主路线图第5周冲突</x:v>
      </x:c>
      <x:c r="D28" s="4" t="str">
        <x:v>三层抽取；任务含付费条件</x:v>
      </x:c>
      <x:c r="E28" s="4" t="str">
        <x:v>粉卡目标</x:v>
      </x:c>
      <x:c r="F28" s="4" t="str">
        <x:v>补充待核</x:v>
      </x:c>
      <x:c r="G28" s="4" t="str">
        <x:v>主/优化总内容!A22:I22；补/星光寻梦!A21:Q23</x:v>
      </x:c>
      <x:c r="H28" s="4" t="str">
        <x:v>补表旧2026-08-17至20档已过期；任务50次含消费/支付，不能全称免费</x:v>
      </x:c>
    </x:row>
    <x:row r="29" ht="94" customHeight="1">
      <x:c r="A29" s="12" t="str">
        <x:v>粉卡UP/限时激活/大富翁/端午</x:v>
      </x:c>
      <x:c r="B29" s="12" t="str">
        <x:v>后续活动池</x:v>
      </x:c>
      <x:c r="C29" s="12" t="str">
        <x:v>待定</x:v>
      </x:c>
      <x:c r="D29" s="12" t="str">
        <x:v>未形成可采用的新版本细则</x:v>
      </x:c>
      <x:c r="E29" s="12" t="str">
        <x:v>稀缺资源</x:v>
      </x:c>
      <x:c r="F29" s="12" t="str">
        <x:v>仅优化方向</x:v>
      </x:c>
      <x:c r="G29" s="12" t="str">
        <x:v>主/优化总内容!A25:I28</x:v>
      </x:c>
      <x:c r="H29" s="12" t="str">
        <x:v>不从旧表填成已确定上线版本；大富翁SVN文件可作为后续核对源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9f4fd86c20841e2"/>
  </x:tableParts>
</x:worksheet>
</file>

<file path=xl/worksheets/sheet2.xml><?xml version="1.0" encoding="utf-8"?>
<x:worksheet xmlns:x="http://schemas.openxmlformats.org/spreadsheetml/2006/main">
  <x:sheetPr>
    <x:tabColor rgb="FF34495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37" hidden="0" customWidth="1"/>
    <x:col min="4" max="4" width="14" hidden="0" customWidth="1"/>
    <x:col min="5" max="5" width="14" hidden="0" customWidth="1"/>
    <x:col min="6" max="6" width="16" hidden="0" customWidth="1"/>
    <x:col min="7" max="7" width="18" hidden="0" customWidth="1"/>
    <x:col min="8" max="8" width="12" hidden="0" customWidth="1"/>
    <x:col min="9" max="9" width="12" hidden="0" customWidth="1"/>
    <x:col min="10" max="10" width="18" hidden="0" customWidth="1"/>
    <x:col min="11" max="11" width="16" hidden="0" customWidth="1"/>
    <x:col min="12" max="12" width="16" hidden="0" customWidth="1"/>
    <x:col min="13" max="13" width="16" hidden="0" customWidth="1"/>
    <x:col min="14" max="14" width="35" hidden="0" customWidth="1"/>
    <x:col min="15" max="15" width="58" hidden="0" customWidth="1"/>
    <x:col min="16" max="16" width="40" hidden="0" customWidth="1"/>
  </x:cols>
  <x:sheetData>
    <x:row r="1" ht="38" customHeight="1">
      <x:c r="A1" s="7" t="str">
        <x:v>商品性价比 · 统一基准重算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</x:row>
    <x:row r="2" ht="42" customHeight="1">
      <x:c r="A2" s="8" t="str">
        <x:v>折数=成本钻÷奖励价值钻×10；1折=支付10%价值。统一基准是策划估值，并非可回购价格。缺项停算；冲突结果只供条件比较。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32" customHeight="1">
      <x:c r="A4" s="11" t="str">
        <x:v>商品ID</x:v>
      </x:c>
      <x:c r="B4" s="11" t="str">
        <x:v>活动</x:v>
      </x:c>
      <x:c r="C4" s="11" t="str">
        <x:v>商品/档位</x:v>
      </x:c>
      <x:c r="D4" s="11" t="str">
        <x:v>支付币种</x:v>
      </x:c>
      <x:c r="E4" s="11" t="str">
        <x:v>单次价格</x:v>
      </x:c>
      <x:c r="F4" s="11" t="str">
        <x:v>成本折钻</x:v>
      </x:c>
      <x:c r="G4" s="11" t="str">
        <x:v>单次/周期限购</x:v>
      </x:c>
      <x:c r="H4" s="11" t="str">
        <x:v>明细首行</x:v>
      </x:c>
      <x:c r="I4" s="11" t="str">
        <x:v>明细末行</x:v>
      </x:c>
      <x:c r="J4" s="11" t="str">
        <x:v>奖励价值钻</x:v>
      </x:c>
      <x:c r="K4" s="11" t="str">
        <x:v>价值倍率</x:v>
      </x:c>
      <x:c r="L4" s="11" t="str">
        <x:v>重算折数</x:v>
      </x:c>
      <x:c r="M4" s="11" t="str">
        <x:v>原标注折数</x:v>
      </x:c>
      <x:c r="N4" s="11" t="str">
        <x:v>状态</x:v>
      </x:c>
      <x:c r="O4" s="11" t="str">
        <x:v>说明</x:v>
      </x:c>
      <x:c r="P4" s="11" t="str">
        <x:v>来源</x:v>
      </x:c>
    </x:row>
    <x:row r="5" ht="52" customHeight="1">
      <x:c r="A5" s="12" t="str">
        <x:v>P001</x:v>
      </x:c>
      <x:c r="B5" s="12" t="str">
        <x:v>日周月礼包</x:v>
      </x:c>
      <x:c r="C5" s="12" t="str">
        <x:v>日礼包/体力/4</x:v>
      </x:c>
      <x:c r="D5" s="12" t="str">
        <x:v>钻石</x:v>
      </x:c>
      <x:c r="E5" s="17" t="n">
        <x:v>0</x:v>
      </x:c>
      <x:c r="F5" s="13" t="n">
        <x:f>IF(ISNUMBER(E5),E5,"不适用")</x:f>
        <x:v>0</x:v>
      </x:c>
      <x:c r="G5" s="13" t="n">
        <x:v>1</x:v>
      </x:c>
      <x:c r="H5" s="15" t="n">
        <x:v>5</x:v>
      </x:c>
      <x:c r="I5" s="15" t="n">
        <x:v>5</x:v>
      </x:c>
      <x:c r="J5" s="13" t="n">
        <x:f>IF(COUNT('奖励明细'!G5:G5)=ROWS('奖励明细'!G5:G5),SUM('奖励明细'!G5:G5),"缺完整估值")</x:f>
        <x:v>20</x:v>
      </x:c>
      <x:c r="K5" s="13" t="str">
        <x:f>IF(AND(ISNUMBER(F5),ISNUMBER(J5)),IF(F5&gt;0,J5/F5,"免费"),"不适用")</x:f>
        <x:v>免费</x:v>
      </x:c>
      <x:c r="L5" s="13" t="n">
        <x:f>IF(AND(ISNUMBER(F5),ISNUMBER(J5)),IF(J5&gt;0,F5/J5*10,"不适用"),"不适用")</x:f>
        <x:v>0</x:v>
      </x:c>
      <x:c r="M5" s="13" t="n">
        <x:v>0</x:v>
      </x:c>
      <x:c r="N5" s="12" t="str">
        <x:v>明细规划</x:v>
      </x:c>
      <x:c r="O5" s="12" t="str"/>
      <x:c r="P5" s="12" t="str">
        <x:v>主/日周月礼包!第4行</x:v>
      </x:c>
    </x:row>
    <x:row r="6" ht="52" customHeight="1">
      <x:c r="A6" s="4" t="str">
        <x:v>P002</x:v>
      </x:c>
      <x:c r="B6" s="4" t="str">
        <x:v>日周月礼包</x:v>
      </x:c>
      <x:c r="C6" s="4" t="str">
        <x:v>日礼包/体力/5</x:v>
      </x:c>
      <x:c r="D6" s="4" t="str">
        <x:v>广告</x:v>
      </x:c>
      <x:c r="E6" s="18" t="str">
        <x:v>广告</x:v>
      </x:c>
      <x:c r="F6" s="14" t="str">
        <x:f>IF(ISNUMBER(E6),E6,"不适用")</x:f>
        <x:v>不适用</x:v>
      </x:c>
      <x:c r="G6" s="14" t="n">
        <x:v>1</x:v>
      </x:c>
      <x:c r="H6" s="16" t="n">
        <x:v>6</x:v>
      </x:c>
      <x:c r="I6" s="16" t="n">
        <x:v>6</x:v>
      </x:c>
      <x:c r="J6" s="14" t="n">
        <x:f>IF(COUNT('奖励明细'!G6:G6)=ROWS('奖励明细'!G6:G6),SUM('奖励明细'!G6:G6),"缺完整估值")</x:f>
        <x:v>20</x:v>
      </x:c>
      <x:c r="K6" s="14" t="str">
        <x:f>IF(AND(ISNUMBER(F6),ISNUMBER(J6)),IF(F6&gt;0,J6/F6,"免费"),"不适用")</x:f>
        <x:v>不适用</x:v>
      </x:c>
      <x:c r="L6" s="14" t="str">
        <x:f>IF(AND(ISNUMBER(F6),ISNUMBER(J6)),IF(J6&gt;0,F6/J6*10,"不适用"),"不适用")</x:f>
        <x:v>不适用</x:v>
      </x:c>
      <x:c r="M6" s="14" t="n">
        <x:v>0</x:v>
      </x:c>
      <x:c r="N6" s="4" t="str">
        <x:v>明细规划</x:v>
      </x:c>
      <x:c r="O6" s="4" t="str"/>
      <x:c r="P6" s="4" t="str">
        <x:v>主/日周月礼包!第5行</x:v>
      </x:c>
    </x:row>
    <x:row r="7" ht="52" customHeight="1">
      <x:c r="A7" s="12" t="str">
        <x:v>P003</x:v>
      </x:c>
      <x:c r="B7" s="12" t="str">
        <x:v>日周月礼包</x:v>
      </x:c>
      <x:c r="C7" s="12" t="str">
        <x:v>日礼包/体力/6</x:v>
      </x:c>
      <x:c r="D7" s="12" t="str">
        <x:v>钻石</x:v>
      </x:c>
      <x:c r="E7" s="17" t="n">
        <x:v>96</x:v>
      </x:c>
      <x:c r="F7" s="13" t="n">
        <x:f>IF(ISNUMBER(E7),E7,"不适用")</x:f>
        <x:v>96</x:v>
      </x:c>
      <x:c r="G7" s="13" t="n">
        <x:v>1</x:v>
      </x:c>
      <x:c r="H7" s="15" t="n">
        <x:v>7</x:v>
      </x:c>
      <x:c r="I7" s="15" t="n">
        <x:v>7</x:v>
      </x:c>
      <x:c r="J7" s="13" t="n">
        <x:f>IF(COUNT('奖励明细'!G7:G7)=ROWS('奖励明细'!G7:G7),SUM('奖励明细'!G7:G7),"缺完整估值")</x:f>
        <x:v>120</x:v>
      </x:c>
      <x:c r="K7" s="13" t="n">
        <x:f>IF(AND(ISNUMBER(F7),ISNUMBER(J7)),IF(F7&gt;0,J7/F7,"免费"),"不适用")</x:f>
        <x:v>1.25</x:v>
      </x:c>
      <x:c r="L7" s="13" t="n">
        <x:f>IF(AND(ISNUMBER(F7),ISNUMBER(J7)),IF(J7&gt;0,F7/J7*10,"不适用"),"不适用")</x:f>
        <x:v>8</x:v>
      </x:c>
      <x:c r="M7" s="13" t="n">
        <x:v>8</x:v>
      </x:c>
      <x:c r="N7" s="12" t="str">
        <x:v>明细规划</x:v>
      </x:c>
      <x:c r="O7" s="12" t="str"/>
      <x:c r="P7" s="12" t="str">
        <x:v>主/日周月礼包!第6行</x:v>
      </x:c>
    </x:row>
    <x:row r="8" ht="52" customHeight="1">
      <x:c r="A8" s="4" t="str">
        <x:v>P004</x:v>
      </x:c>
      <x:c r="B8" s="4" t="str">
        <x:v>日周月礼包</x:v>
      </x:c>
      <x:c r="C8" s="4" t="str">
        <x:v>日礼包/金币/7</x:v>
      </x:c>
      <x:c r="D8" s="4" t="str">
        <x:v>钻石</x:v>
      </x:c>
      <x:c r="E8" s="18" t="n">
        <x:v>125</x:v>
      </x:c>
      <x:c r="F8" s="14" t="n">
        <x:f>IF(ISNUMBER(E8),E8,"不适用")</x:f>
        <x:v>125</x:v>
      </x:c>
      <x:c r="G8" s="14" t="n">
        <x:v>2</x:v>
      </x:c>
      <x:c r="H8" s="16" t="n">
        <x:v>8</x:v>
      </x:c>
      <x:c r="I8" s="16" t="n">
        <x:v>8</x:v>
      </x:c>
      <x:c r="J8" s="14" t="n">
        <x:f>IF(COUNT('奖励明细'!G8:G8)=ROWS('奖励明细'!G8:G8),SUM('奖励明细'!G8:G8),"缺完整估值")</x:f>
        <x:v>250</x:v>
      </x:c>
      <x:c r="K8" s="14" t="n">
        <x:f>IF(AND(ISNUMBER(F8),ISNUMBER(J8)),IF(F8&gt;0,J8/F8,"免费"),"不适用")</x:f>
        <x:v>2</x:v>
      </x:c>
      <x:c r="L8" s="14" t="n">
        <x:f>IF(AND(ISNUMBER(F8),ISNUMBER(J8)),IF(J8&gt;0,F8/J8*10,"不适用"),"不适用")</x:f>
        <x:v>5</x:v>
      </x:c>
      <x:c r="M8" s="14" t="n">
        <x:v>5</x:v>
      </x:c>
      <x:c r="N8" s="4" t="str">
        <x:v>明细规划</x:v>
      </x:c>
      <x:c r="O8" s="4" t="str"/>
      <x:c r="P8" s="4" t="str">
        <x:v>主/日周月礼包!第7行</x:v>
      </x:c>
    </x:row>
    <x:row r="9" ht="52" customHeight="1">
      <x:c r="A9" s="12" t="str">
        <x:v>P005</x:v>
      </x:c>
      <x:c r="B9" s="12" t="str">
        <x:v>日周月礼包</x:v>
      </x:c>
      <x:c r="C9" s="12" t="str">
        <x:v>日礼包/梦境招募器/8</x:v>
      </x:c>
      <x:c r="D9" s="12" t="str">
        <x:v>钻石</x:v>
      </x:c>
      <x:c r="E9" s="17" t="n">
        <x:v>480</x:v>
      </x:c>
      <x:c r="F9" s="13" t="n">
        <x:f>IF(ISNUMBER(E9),E9,"不适用")</x:f>
        <x:v>480</x:v>
      </x:c>
      <x:c r="G9" s="13" t="n">
        <x:v>2</x:v>
      </x:c>
      <x:c r="H9" s="15" t="n">
        <x:v>9</x:v>
      </x:c>
      <x:c r="I9" s="15" t="n">
        <x:v>9</x:v>
      </x:c>
      <x:c r="J9" s="13" t="n">
        <x:f>IF(COUNT('奖励明细'!G9:G9)=ROWS('奖励明细'!G9:G9),SUM('奖励明细'!G9:G9),"缺完整估值")</x:f>
        <x:v>600</x:v>
      </x:c>
      <x:c r="K9" s="13" t="n">
        <x:f>IF(AND(ISNUMBER(F9),ISNUMBER(J9)),IF(F9&gt;0,J9/F9,"免费"),"不适用")</x:f>
        <x:v>1.25</x:v>
      </x:c>
      <x:c r="L9" s="13" t="n">
        <x:f>IF(AND(ISNUMBER(F9),ISNUMBER(J9)),IF(J9&gt;0,F9/J9*10,"不适用"),"不适用")</x:f>
        <x:v>8</x:v>
      </x:c>
      <x:c r="M9" s="13" t="n">
        <x:v>8</x:v>
      </x:c>
      <x:c r="N9" s="12" t="str">
        <x:v>明细规划</x:v>
      </x:c>
      <x:c r="O9" s="12" t="str"/>
      <x:c r="P9" s="12" t="str">
        <x:v>主/日周月礼包!第8行</x:v>
      </x:c>
    </x:row>
    <x:row r="10" ht="52" customHeight="1">
      <x:c r="A10" s="4" t="str">
        <x:v>P006</x:v>
      </x:c>
      <x:c r="B10" s="4" t="str">
        <x:v>日周月礼包</x:v>
      </x:c>
      <x:c r="C10" s="4" t="str">
        <x:v>日礼包/随机能量特饮/9</x:v>
      </x:c>
      <x:c r="D10" s="4" t="str">
        <x:v>钻石</x:v>
      </x:c>
      <x:c r="E10" s="18" t="n">
        <x:v>200</x:v>
      </x:c>
      <x:c r="F10" s="14" t="n">
        <x:f>IF(ISNUMBER(E10),E10,"不适用")</x:f>
        <x:v>200</x:v>
      </x:c>
      <x:c r="G10" s="14" t="n">
        <x:v>3</x:v>
      </x:c>
      <x:c r="H10" s="16" t="n">
        <x:v>10</x:v>
      </x:c>
      <x:c r="I10" s="16" t="n">
        <x:v>10</x:v>
      </x:c>
      <x:c r="J10" s="14" t="n">
        <x:f>IF(COUNT('奖励明细'!G10:G10)=ROWS('奖励明细'!G10:G10),SUM('奖励明细'!G10:G10),"缺完整估值")</x:f>
        <x:v>400</x:v>
      </x:c>
      <x:c r="K10" s="14" t="n">
        <x:f>IF(AND(ISNUMBER(F10),ISNUMBER(J10)),IF(F10&gt;0,J10/F10,"免费"),"不适用")</x:f>
        <x:v>2</x:v>
      </x:c>
      <x:c r="L10" s="14" t="n">
        <x:f>IF(AND(ISNUMBER(F10),ISNUMBER(J10)),IF(J10&gt;0,F10/J10*10,"不适用"),"不适用")</x:f>
        <x:v>5</x:v>
      </x:c>
      <x:c r="M10" s="14" t="n">
        <x:v>5</x:v>
      </x:c>
      <x:c r="N10" s="4" t="str">
        <x:v>明细规划</x:v>
      </x:c>
      <x:c r="O10" s="4" t="str"/>
      <x:c r="P10" s="4" t="str">
        <x:v>主/日周月礼包!第9行</x:v>
      </x:c>
    </x:row>
    <x:row r="11" ht="52" customHeight="1">
      <x:c r="A11" s="12" t="str">
        <x:v>P007</x:v>
      </x:c>
      <x:c r="B11" s="12" t="str">
        <x:v>日周月礼包</x:v>
      </x:c>
      <x:c r="C11" s="12" t="str">
        <x:v>日礼包/超能特饮/10</x:v>
      </x:c>
      <x:c r="D11" s="12" t="str">
        <x:v>钻石</x:v>
      </x:c>
      <x:c r="E11" s="17" t="n">
        <x:v>200</x:v>
      </x:c>
      <x:c r="F11" s="13" t="n">
        <x:f>IF(ISNUMBER(E11),E11,"不适用")</x:f>
        <x:v>200</x:v>
      </x:c>
      <x:c r="G11" s="13" t="n">
        <x:v>3</x:v>
      </x:c>
      <x:c r="H11" s="15" t="n">
        <x:v>11</x:v>
      </x:c>
      <x:c r="I11" s="15" t="n">
        <x:v>11</x:v>
      </x:c>
      <x:c r="J11" s="13" t="n">
        <x:f>IF(COUNT('奖励明细'!G11:G11)=ROWS('奖励明细'!G11:G11),SUM('奖励明细'!G11:G11),"缺完整估值")</x:f>
        <x:v>400</x:v>
      </x:c>
      <x:c r="K11" s="13" t="n">
        <x:f>IF(AND(ISNUMBER(F11),ISNUMBER(J11)),IF(F11&gt;0,J11/F11,"免费"),"不适用")</x:f>
        <x:v>2</x:v>
      </x:c>
      <x:c r="L11" s="13" t="n">
        <x:f>IF(AND(ISNUMBER(F11),ISNUMBER(J11)),IF(J11&gt;0,F11/J11*10,"不适用"),"不适用")</x:f>
        <x:v>5</x:v>
      </x:c>
      <x:c r="M11" s="13" t="n">
        <x:v>5</x:v>
      </x:c>
      <x:c r="N11" s="12" t="str">
        <x:v>明细规划</x:v>
      </x:c>
      <x:c r="O11" s="12" t="str"/>
      <x:c r="P11" s="12" t="str">
        <x:v>主/日周月礼包!第10行</x:v>
      </x:c>
    </x:row>
    <x:row r="12" ht="52" customHeight="1">
      <x:c r="A12" s="4" t="str">
        <x:v>P008</x:v>
      </x:c>
      <x:c r="B12" s="4" t="str">
        <x:v>日周月礼包</x:v>
      </x:c>
      <x:c r="C12" s="4" t="str">
        <x:v>日礼包/装备图纸/11</x:v>
      </x:c>
      <x:c r="D12" s="4" t="str">
        <x:v>钻石</x:v>
      </x:c>
      <x:c r="E12" s="18" t="n">
        <x:v>240</x:v>
      </x:c>
      <x:c r="F12" s="14" t="n">
        <x:f>IF(ISNUMBER(E12),E12,"不适用")</x:f>
        <x:v>240</x:v>
      </x:c>
      <x:c r="G12" s="14" t="n">
        <x:v>3</x:v>
      </x:c>
      <x:c r="H12" s="16" t="n">
        <x:v>12</x:v>
      </x:c>
      <x:c r="I12" s="16" t="n">
        <x:v>12</x:v>
      </x:c>
      <x:c r="J12" s="14" t="n">
        <x:f>IF(COUNT('奖励明细'!G12:G12)=ROWS('奖励明细'!G12:G12),SUM('奖励明细'!G12:G12),"缺完整估值")</x:f>
        <x:v>300</x:v>
      </x:c>
      <x:c r="K12" s="14" t="n">
        <x:f>IF(AND(ISNUMBER(F12),ISNUMBER(J12)),IF(F12&gt;0,J12/F12,"免费"),"不适用")</x:f>
        <x:v>1.25</x:v>
      </x:c>
      <x:c r="L12" s="14" t="n">
        <x:f>IF(AND(ISNUMBER(F12),ISNUMBER(J12)),IF(J12&gt;0,F12/J12*10,"不适用"),"不适用")</x:f>
        <x:v>8</x:v>
      </x:c>
      <x:c r="M12" s="14" t="n">
        <x:v>8</x:v>
      </x:c>
      <x:c r="N12" s="4" t="str">
        <x:v>明细规划</x:v>
      </x:c>
      <x:c r="O12" s="4" t="str"/>
      <x:c r="P12" s="4" t="str">
        <x:v>主/日周月礼包!第11行</x:v>
      </x:c>
    </x:row>
    <x:row r="13" ht="52" customHeight="1">
      <x:c r="A13" s="12" t="str">
        <x:v>P009</x:v>
      </x:c>
      <x:c r="B13" s="12" t="str">
        <x:v>日周月礼包</x:v>
      </x:c>
      <x:c r="C13" s="12" t="str">
        <x:v>日礼包/星辉秘契/12</x:v>
      </x:c>
      <x:c r="D13" s="12" t="str">
        <x:v>钻石</x:v>
      </x:c>
      <x:c r="E13" s="17" t="n">
        <x:v>392</x:v>
      </x:c>
      <x:c r="F13" s="13" t="n">
        <x:f>IF(ISNUMBER(E13),E13,"不适用")</x:f>
        <x:v>392</x:v>
      </x:c>
      <x:c r="G13" s="13" t="n">
        <x:v>3</x:v>
      </x:c>
      <x:c r="H13" s="15" t="n">
        <x:v>13</x:v>
      </x:c>
      <x:c r="I13" s="15" t="n">
        <x:v>13</x:v>
      </x:c>
      <x:c r="J13" s="13" t="n">
        <x:f>IF(COUNT('奖励明细'!G13:G13)=ROWS('奖励明细'!G13:G13),SUM('奖励明细'!G13:G13),"缺完整估值")</x:f>
        <x:v>560</x:v>
      </x:c>
      <x:c r="K13" s="13" t="n">
        <x:f>IF(AND(ISNUMBER(F13),ISNUMBER(J13)),IF(F13&gt;0,J13/F13,"免费"),"不适用")</x:f>
        <x:v>1.4285714285714286</x:v>
      </x:c>
      <x:c r="L13" s="13" t="n">
        <x:f>IF(AND(ISNUMBER(F13),ISNUMBER(J13)),IF(J13&gt;0,F13/J13*10,"不适用"),"不适用")</x:f>
        <x:v>7</x:v>
      </x:c>
      <x:c r="M13" s="13" t="n">
        <x:v>7</x:v>
      </x:c>
      <x:c r="N13" s="12" t="str">
        <x:v>明细规划</x:v>
      </x:c>
      <x:c r="O13" s="12" t="str"/>
      <x:c r="P13" s="12" t="str">
        <x:v>主/日周月礼包!第12行</x:v>
      </x:c>
    </x:row>
    <x:row r="14" ht="52" customHeight="1">
      <x:c r="A14" s="4" t="str">
        <x:v>P010</x:v>
      </x:c>
      <x:c r="B14" s="4" t="str">
        <x:v>日周月礼包</x:v>
      </x:c>
      <x:c r="C14" s="4" t="str">
        <x:v>日礼包/星辉秘契/13</x:v>
      </x:c>
      <x:c r="D14" s="4" t="str">
        <x:v>钻石</x:v>
      </x:c>
      <x:c r="E14" s="18" t="n">
        <x:v>840</x:v>
      </x:c>
      <x:c r="F14" s="14" t="n">
        <x:f>IF(ISNUMBER(E14),E14,"不适用")</x:f>
        <x:v>840</x:v>
      </x:c>
      <x:c r="G14" s="14" t="n">
        <x:v>3</x:v>
      </x:c>
      <x:c r="H14" s="16" t="n">
        <x:v>14</x:v>
      </x:c>
      <x:c r="I14" s="16" t="n">
        <x:v>14</x:v>
      </x:c>
      <x:c r="J14" s="14" t="n">
        <x:f>IF(COUNT('奖励明细'!G14:G14)=ROWS('奖励明细'!G14:G14),SUM('奖励明细'!G14:G14),"缺完整估值")</x:f>
        <x:v>1400</x:v>
      </x:c>
      <x:c r="K14" s="14" t="n">
        <x:f>IF(AND(ISNUMBER(F14),ISNUMBER(J14)),IF(F14&gt;0,J14/F14,"免费"),"不适用")</x:f>
        <x:v>1.6666666666666667</x:v>
      </x:c>
      <x:c r="L14" s="14" t="n">
        <x:f>IF(AND(ISNUMBER(F14),ISNUMBER(J14)),IF(J14&gt;0,F14/J14*10,"不适用"),"不适用")</x:f>
        <x:v>6</x:v>
      </x:c>
      <x:c r="M14" s="14" t="n">
        <x:v>6</x:v>
      </x:c>
      <x:c r="N14" s="4" t="str">
        <x:v>明细规划</x:v>
      </x:c>
      <x:c r="O14" s="4" t="str"/>
      <x:c r="P14" s="4" t="str">
        <x:v>主/日周月礼包!第13行</x:v>
      </x:c>
    </x:row>
    <x:row r="15" ht="52" customHeight="1">
      <x:c r="A15" s="12" t="str">
        <x:v>P011</x:v>
      </x:c>
      <x:c r="B15" s="12" t="str">
        <x:v>日周月礼包</x:v>
      </x:c>
      <x:c r="C15" s="12" t="str">
        <x:v>日礼包/符引结晶/14</x:v>
      </x:c>
      <x:c r="D15" s="12" t="str">
        <x:v>钻石</x:v>
      </x:c>
      <x:c r="E15" s="17" t="n">
        <x:v>225</x:v>
      </x:c>
      <x:c r="F15" s="13" t="n">
        <x:f>IF(ISNUMBER(E15),E15,"不适用")</x:f>
        <x:v>225</x:v>
      </x:c>
      <x:c r="G15" s="13" t="n">
        <x:v>2</x:v>
      </x:c>
      <x:c r="H15" s="15" t="n">
        <x:v>15</x:v>
      </x:c>
      <x:c r="I15" s="15" t="n">
        <x:v>15</x:v>
      </x:c>
      <x:c r="J15" s="13" t="n">
        <x:f>IF(COUNT('奖励明细'!G15:G15)=ROWS('奖励明细'!G15:G15),SUM('奖励明细'!G15:G15),"缺完整估值")</x:f>
        <x:v>250</x:v>
      </x:c>
      <x:c r="K15" s="13" t="n">
        <x:f>IF(AND(ISNUMBER(F15),ISNUMBER(J15)),IF(F15&gt;0,J15/F15,"免费"),"不适用")</x:f>
        <x:v>1.1111111111111112</x:v>
      </x:c>
      <x:c r="L15" s="13" t="n">
        <x:f>IF(AND(ISNUMBER(F15),ISNUMBER(J15)),IF(J15&gt;0,F15/J15*10,"不适用"),"不适用")</x:f>
        <x:v>9</x:v>
      </x:c>
      <x:c r="M15" s="13" t="n">
        <x:v>9</x:v>
      </x:c>
      <x:c r="N15" s="12" t="str">
        <x:v>明细规划</x:v>
      </x:c>
      <x:c r="O15" s="12" t="str"/>
      <x:c r="P15" s="12" t="str">
        <x:v>主/日周月礼包!第14行</x:v>
      </x:c>
    </x:row>
    <x:row r="16" ht="52" customHeight="1">
      <x:c r="A16" s="4" t="str">
        <x:v>P012</x:v>
      </x:c>
      <x:c r="B16" s="4" t="str">
        <x:v>日周月礼包</x:v>
      </x:c>
      <x:c r="C16" s="4" t="str">
        <x:v>日礼包/织梦微尘/15</x:v>
      </x:c>
      <x:c r="D16" s="4" t="str">
        <x:v>钻石</x:v>
      </x:c>
      <x:c r="E16" s="18" t="n">
        <x:v>210</x:v>
      </x:c>
      <x:c r="F16" s="14" t="n">
        <x:f>IF(ISNUMBER(E16),E16,"不适用")</x:f>
        <x:v>210</x:v>
      </x:c>
      <x:c r="G16" s="14" t="n">
        <x:v>3</x:v>
      </x:c>
      <x:c r="H16" s="16" t="n">
        <x:v>16</x:v>
      </x:c>
      <x:c r="I16" s="16" t="n">
        <x:v>16</x:v>
      </x:c>
      <x:c r="J16" s="14" t="n">
        <x:f>IF(COUNT('奖励明细'!G16:G16)=ROWS('奖励明细'!G16:G16),SUM('奖励明细'!G16:G16),"缺完整估值")</x:f>
        <x:v>150</x:v>
      </x:c>
      <x:c r="K16" s="14" t="n">
        <x:f>IF(AND(ISNUMBER(F16),ISNUMBER(J16)),IF(F16&gt;0,J16/F16,"免费"),"不适用")</x:f>
        <x:v>0.7142857142857143</x:v>
      </x:c>
      <x:c r="L16" s="14" t="n">
        <x:f>IF(AND(ISNUMBER(F16),ISNUMBER(J16)),IF(J16&gt;0,F16/J16*10,"不适用"),"不适用")</x:f>
        <x:v>14</x:v>
      </x:c>
      <x:c r="M16" s="14" t="n">
        <x:v>7</x:v>
      </x:c>
      <x:c r="N16" s="4" t="str">
        <x:v>明细规划</x:v>
      </x:c>
      <x:c r="O16" s="4" t="str"/>
      <x:c r="P16" s="4" t="str">
        <x:v>主/日周月礼包!第15行</x:v>
      </x:c>
    </x:row>
    <x:row r="17" ht="52" customHeight="1">
      <x:c r="A17" s="12" t="str">
        <x:v>P013</x:v>
      </x:c>
      <x:c r="B17" s="12" t="str">
        <x:v>日周月礼包</x:v>
      </x:c>
      <x:c r="C17" s="12" t="str">
        <x:v>日礼包/锻造晶石/16</x:v>
      </x:c>
      <x:c r="D17" s="12" t="str">
        <x:v>钻石</x:v>
      </x:c>
      <x:c r="E17" s="17" t="n">
        <x:v>300</x:v>
      </x:c>
      <x:c r="F17" s="13" t="n">
        <x:f>IF(ISNUMBER(E17),E17,"不适用")</x:f>
        <x:v>300</x:v>
      </x:c>
      <x:c r="G17" s="13" t="n">
        <x:v>5</x:v>
      </x:c>
      <x:c r="H17" s="15" t="n">
        <x:v>17</x:v>
      </x:c>
      <x:c r="I17" s="15" t="n">
        <x:v>17</x:v>
      </x:c>
      <x:c r="J17" s="13" t="n">
        <x:f>IF(COUNT('奖励明细'!G17:G17)=ROWS('奖励明细'!G17:G17),SUM('奖励明细'!G17:G17),"缺完整估值")</x:f>
        <x:v>50</x:v>
      </x:c>
      <x:c r="K17" s="13" t="n">
        <x:f>IF(AND(ISNUMBER(F17),ISNUMBER(J17)),IF(F17&gt;0,J17/F17,"免费"),"不适用")</x:f>
        <x:v>0.16666666666666666</x:v>
      </x:c>
      <x:c r="L17" s="13" t="n">
        <x:f>IF(AND(ISNUMBER(F17),ISNUMBER(J17)),IF(J17&gt;0,F17/J17*10,"不适用"),"不适用")</x:f>
        <x:v>60</x:v>
      </x:c>
      <x:c r="M17" s="13" t="n">
        <x:v>6</x:v>
      </x:c>
      <x:c r="N17" s="12" t="str">
        <x:v>明细规划</x:v>
      </x:c>
      <x:c r="O17" s="12" t="str"/>
      <x:c r="P17" s="12" t="str">
        <x:v>主/日周月礼包!第16行</x:v>
      </x:c>
    </x:row>
    <x:row r="18" ht="52" customHeight="1">
      <x:c r="A18" s="4" t="str">
        <x:v>P014</x:v>
      </x:c>
      <x:c r="B18" s="4" t="str">
        <x:v>日周月礼包</x:v>
      </x:c>
      <x:c r="C18" s="4" t="str">
        <x:v>日礼包/幻梦晶核/17</x:v>
      </x:c>
      <x:c r="D18" s="4" t="str">
        <x:v>钻石</x:v>
      </x:c>
      <x:c r="E18" s="18" t="n">
        <x:v>216</x:v>
      </x:c>
      <x:c r="F18" s="14" t="n">
        <x:f>IF(ISNUMBER(E18),E18,"不适用")</x:f>
        <x:v>216</x:v>
      </x:c>
      <x:c r="G18" s="14" t="n">
        <x:v>2</x:v>
      </x:c>
      <x:c r="H18" s="16" t="n">
        <x:v>18</x:v>
      </x:c>
      <x:c r="I18" s="16" t="n">
        <x:v>18</x:v>
      </x:c>
      <x:c r="J18" s="14" t="n">
        <x:f>IF(COUNT('奖励明细'!G18:G18)=ROWS('奖励明细'!G18:G18),SUM('奖励明细'!G18:G18),"缺完整估值")</x:f>
        <x:v>360</x:v>
      </x:c>
      <x:c r="K18" s="14" t="n">
        <x:f>IF(AND(ISNUMBER(F18),ISNUMBER(J18)),IF(F18&gt;0,J18/F18,"免费"),"不适用")</x:f>
        <x:v>1.6666666666666667</x:v>
      </x:c>
      <x:c r="L18" s="14" t="n">
        <x:f>IF(AND(ISNUMBER(F18),ISNUMBER(J18)),IF(J18&gt;0,F18/J18*10,"不适用"),"不适用")</x:f>
        <x:v>6</x:v>
      </x:c>
      <x:c r="M18" s="14" t="n">
        <x:v>6</x:v>
      </x:c>
      <x:c r="N18" s="4" t="str">
        <x:v>明细规划</x:v>
      </x:c>
      <x:c r="O18" s="4" t="str"/>
      <x:c r="P18" s="4" t="str">
        <x:v>主/日周月礼包!第17行</x:v>
      </x:c>
    </x:row>
    <x:row r="19" ht="52" customHeight="1">
      <x:c r="A19" s="12" t="str">
        <x:v>P015</x:v>
      </x:c>
      <x:c r="B19" s="12" t="str">
        <x:v>日周月礼包</x:v>
      </x:c>
      <x:c r="C19" s="12" t="str">
        <x:v>日礼包/转运石/18</x:v>
      </x:c>
      <x:c r="D19" s="12" t="str">
        <x:v>钻石</x:v>
      </x:c>
      <x:c r="E19" s="17" t="n">
        <x:v>196</x:v>
      </x:c>
      <x:c r="F19" s="13" t="n">
        <x:f>IF(ISNUMBER(E19),E19,"不适用")</x:f>
        <x:v>196</x:v>
      </x:c>
      <x:c r="G19" s="13" t="n">
        <x:v>3</x:v>
      </x:c>
      <x:c r="H19" s="15" t="n">
        <x:v>19</x:v>
      </x:c>
      <x:c r="I19" s="15" t="n">
        <x:v>19</x:v>
      </x:c>
      <x:c r="J19" s="13" t="n">
        <x:f>IF(COUNT('奖励明细'!G19:G19)=ROWS('奖励明细'!G19:G19),SUM('奖励明细'!G19:G19),"缺完整估值")</x:f>
        <x:v>330</x:v>
      </x:c>
      <x:c r="K19" s="13" t="n">
        <x:f>IF(AND(ISNUMBER(F19),ISNUMBER(J19)),IF(F19&gt;0,J19/F19,"免费"),"不适用")</x:f>
        <x:v>1.683673469387755</x:v>
      </x:c>
      <x:c r="L19" s="13" t="n">
        <x:f>IF(AND(ISNUMBER(F19),ISNUMBER(J19)),IF(J19&gt;0,F19/J19*10,"不适用"),"不适用")</x:f>
        <x:v>5.9393939393939394</x:v>
      </x:c>
      <x:c r="M19" s="13" t="n">
        <x:v>6</x:v>
      </x:c>
      <x:c r="N19" s="12" t="str">
        <x:v>明细规划</x:v>
      </x:c>
      <x:c r="O19" s="12" t="str"/>
      <x:c r="P19" s="12" t="str">
        <x:v>主/日周月礼包!第18行</x:v>
      </x:c>
    </x:row>
    <x:row r="20" ht="52" customHeight="1">
      <x:c r="A20" s="4" t="str">
        <x:v>P016</x:v>
      </x:c>
      <x:c r="B20" s="4" t="str">
        <x:v>日周月礼包</x:v>
      </x:c>
      <x:c r="C20" s="4" t="str">
        <x:v>日礼包/智械发条/19</x:v>
      </x:c>
      <x:c r="D20" s="4" t="str">
        <x:v>钻石</x:v>
      </x:c>
      <x:c r="E20" s="18" t="n">
        <x:v>225</x:v>
      </x:c>
      <x:c r="F20" s="14" t="n">
        <x:f>IF(ISNUMBER(E20),E20,"不适用")</x:f>
        <x:v>225</x:v>
      </x:c>
      <x:c r="G20" s="14" t="n">
        <x:v>5</x:v>
      </x:c>
      <x:c r="H20" s="16" t="n">
        <x:v>20</x:v>
      </x:c>
      <x:c r="I20" s="16" t="n">
        <x:v>20</x:v>
      </x:c>
      <x:c r="J20" s="14" t="n">
        <x:f>IF(COUNT('奖励明细'!G20:G20)=ROWS('奖励明细'!G20:G20),SUM('奖励明细'!G20:G20),"缺完整估值")</x:f>
        <x:v>450</x:v>
      </x:c>
      <x:c r="K20" s="14" t="n">
        <x:f>IF(AND(ISNUMBER(F20),ISNUMBER(J20)),IF(F20&gt;0,J20/F20,"免费"),"不适用")</x:f>
        <x:v>2</x:v>
      </x:c>
      <x:c r="L20" s="14" t="n">
        <x:f>IF(AND(ISNUMBER(F20),ISNUMBER(J20)),IF(J20&gt;0,F20/J20*10,"不适用"),"不适用")</x:f>
        <x:v>5</x:v>
      </x:c>
      <x:c r="M20" s="14" t="n">
        <x:v>5</x:v>
      </x:c>
      <x:c r="N20" s="4" t="str">
        <x:v>明细规划</x:v>
      </x:c>
      <x:c r="O20" s="4" t="str">
        <x:v>载具开启</x:v>
      </x:c>
      <x:c r="P20" s="4" t="str">
        <x:v>主/日周月礼包!第19行</x:v>
      </x:c>
    </x:row>
    <x:row r="21" ht="52" customHeight="1">
      <x:c r="A21" s="12" t="str">
        <x:v>P017</x:v>
      </x:c>
      <x:c r="B21" s="12" t="str">
        <x:v>日周月礼包</x:v>
      </x:c>
      <x:c r="C21" s="12" t="str">
        <x:v>周礼包/体力/28</x:v>
      </x:c>
      <x:c r="D21" s="12" t="str">
        <x:v>钻石</x:v>
      </x:c>
      <x:c r="E21" s="17" t="n">
        <x:v>0</x:v>
      </x:c>
      <x:c r="F21" s="13" t="n">
        <x:f>IF(ISNUMBER(E21),E21,"不适用")</x:f>
        <x:v>0</x:v>
      </x:c>
      <x:c r="G21" s="13"/>
      <x:c r="H21" s="15" t="n">
        <x:v>21</x:v>
      </x:c>
      <x:c r="I21" s="15" t="n">
        <x:v>21</x:v>
      </x:c>
      <x:c r="J21" s="13" t="n">
        <x:f>IF(COUNT('奖励明细'!G21:G21)=ROWS('奖励明细'!G21:G21),SUM('奖励明细'!G21:G21),"缺完整估值")</x:f>
        <x:v>20</x:v>
      </x:c>
      <x:c r="K21" s="13" t="str">
        <x:f>IF(AND(ISNUMBER(F21),ISNUMBER(J21)),IF(F21&gt;0,J21/F21,"免费"),"不适用")</x:f>
        <x:v>免费</x:v>
      </x:c>
      <x:c r="L21" s="13" t="n">
        <x:f>IF(AND(ISNUMBER(F21),ISNUMBER(J21)),IF(J21&gt;0,F21/J21*10,"不适用"),"不适用")</x:f>
        <x:v>0</x:v>
      </x:c>
      <x:c r="M21" s="13"/>
      <x:c r="N21" s="12" t="str">
        <x:v>明细规划</x:v>
      </x:c>
      <x:c r="O21" s="12" t="str"/>
      <x:c r="P21" s="12" t="str">
        <x:v>主/日周月礼包!第28行</x:v>
      </x:c>
    </x:row>
    <x:row r="22" ht="52" customHeight="1">
      <x:c r="A22" s="4" t="str">
        <x:v>P018</x:v>
      </x:c>
      <x:c r="B22" s="4" t="str">
        <x:v>日周月礼包</x:v>
      </x:c>
      <x:c r="C22" s="4" t="str">
        <x:v>周礼包/体力/29</x:v>
      </x:c>
      <x:c r="D22" s="4" t="str">
        <x:v>广告</x:v>
      </x:c>
      <x:c r="E22" s="18" t="str">
        <x:v>广告</x:v>
      </x:c>
      <x:c r="F22" s="14" t="str">
        <x:f>IF(ISNUMBER(E22),E22,"不适用")</x:f>
        <x:v>不适用</x:v>
      </x:c>
      <x:c r="G22" s="14"/>
      <x:c r="H22" s="16" t="n">
        <x:v>22</x:v>
      </x:c>
      <x:c r="I22" s="16" t="n">
        <x:v>22</x:v>
      </x:c>
      <x:c r="J22" s="14" t="n">
        <x:f>IF(COUNT('奖励明细'!G22:G22)=ROWS('奖励明细'!G22:G22),SUM('奖励明细'!G22:G22),"缺完整估值")</x:f>
        <x:v>20</x:v>
      </x:c>
      <x:c r="K22" s="14" t="str">
        <x:f>IF(AND(ISNUMBER(F22),ISNUMBER(J22)),IF(F22&gt;0,J22/F22,"免费"),"不适用")</x:f>
        <x:v>不适用</x:v>
      </x:c>
      <x:c r="L22" s="14" t="str">
        <x:f>IF(AND(ISNUMBER(F22),ISNUMBER(J22)),IF(J22&gt;0,F22/J22*10,"不适用"),"不适用")</x:f>
        <x:v>不适用</x:v>
      </x:c>
      <x:c r="M22" s="14"/>
      <x:c r="N22" s="4" t="str">
        <x:v>明细规划</x:v>
      </x:c>
      <x:c r="O22" s="4" t="str"/>
      <x:c r="P22" s="4" t="str">
        <x:v>主/日周月礼包!第29行</x:v>
      </x:c>
    </x:row>
    <x:row r="23" ht="52" customHeight="1">
      <x:c r="A23" s="12" t="str">
        <x:v>P019</x:v>
      </x:c>
      <x:c r="B23" s="12" t="str">
        <x:v>日周月礼包</x:v>
      </x:c>
      <x:c r="C23" s="12" t="str">
        <x:v>周礼包/体力/30</x:v>
      </x:c>
      <x:c r="D23" s="12" t="str">
        <x:v>钻石</x:v>
      </x:c>
      <x:c r="E23" s="17" t="n">
        <x:v>84</x:v>
      </x:c>
      <x:c r="F23" s="13" t="n">
        <x:f>IF(ISNUMBER(E23),E23,"不适用")</x:f>
        <x:v>84</x:v>
      </x:c>
      <x:c r="G23" s="13" t="n">
        <x:v>5</x:v>
      </x:c>
      <x:c r="H23" s="15" t="n">
        <x:v>23</x:v>
      </x:c>
      <x:c r="I23" s="15" t="n">
        <x:v>23</x:v>
      </x:c>
      <x:c r="J23" s="13" t="n">
        <x:f>IF(COUNT('奖励明细'!G23:G23)=ROWS('奖励明细'!G23:G23),SUM('奖励明细'!G23:G23),"缺完整估值")</x:f>
        <x:v>120</x:v>
      </x:c>
      <x:c r="K23" s="13" t="n">
        <x:f>IF(AND(ISNUMBER(F23),ISNUMBER(J23)),IF(F23&gt;0,J23/F23,"免费"),"不适用")</x:f>
        <x:v>1.4285714285714286</x:v>
      </x:c>
      <x:c r="L23" s="13" t="n">
        <x:f>IF(AND(ISNUMBER(F23),ISNUMBER(J23)),IF(J23&gt;0,F23/J23*10,"不适用"),"不适用")</x:f>
        <x:v>7</x:v>
      </x:c>
      <x:c r="M23" s="13" t="n">
        <x:v>7</x:v>
      </x:c>
      <x:c r="N23" s="12" t="str">
        <x:v>明细规划</x:v>
      </x:c>
      <x:c r="O23" s="12" t="str"/>
      <x:c r="P23" s="12" t="str">
        <x:v>主/日周月礼包!第30行</x:v>
      </x:c>
    </x:row>
    <x:row r="24" ht="52" customHeight="1">
      <x:c r="A24" s="4" t="str">
        <x:v>P020</x:v>
      </x:c>
      <x:c r="B24" s="4" t="str">
        <x:v>日周月礼包</x:v>
      </x:c>
      <x:c r="C24" s="4" t="str">
        <x:v>周礼包/金币/31</x:v>
      </x:c>
      <x:c r="D24" s="4" t="str">
        <x:v>钻石</x:v>
      </x:c>
      <x:c r="E24" s="18" t="n">
        <x:v>200</x:v>
      </x:c>
      <x:c r="F24" s="14" t="n">
        <x:f>IF(ISNUMBER(E24),E24,"不适用")</x:f>
        <x:v>200</x:v>
      </x:c>
      <x:c r="G24" s="14" t="n">
        <x:v>1</x:v>
      </x:c>
      <x:c r="H24" s="16" t="n">
        <x:v>24</x:v>
      </x:c>
      <x:c r="I24" s="16" t="n">
        <x:v>24</x:v>
      </x:c>
      <x:c r="J24" s="14" t="n">
        <x:f>IF(COUNT('奖励明细'!G24:G24)=ROWS('奖励明细'!G24:G24),SUM('奖励明细'!G24:G24),"缺完整估值")</x:f>
        <x:v>500</x:v>
      </x:c>
      <x:c r="K24" s="14" t="n">
        <x:f>IF(AND(ISNUMBER(F24),ISNUMBER(J24)),IF(F24&gt;0,J24/F24,"免费"),"不适用")</x:f>
        <x:v>2.5</x:v>
      </x:c>
      <x:c r="L24" s="14" t="n">
        <x:f>IF(AND(ISNUMBER(F24),ISNUMBER(J24)),IF(J24&gt;0,F24/J24*10,"不适用"),"不适用")</x:f>
        <x:v>4</x:v>
      </x:c>
      <x:c r="M24" s="14" t="n">
        <x:v>4</x:v>
      </x:c>
      <x:c r="N24" s="4" t="str">
        <x:v>明细规划</x:v>
      </x:c>
      <x:c r="O24" s="4" t="str"/>
      <x:c r="P24" s="4" t="str">
        <x:v>主/日周月礼包!第31行</x:v>
      </x:c>
    </x:row>
    <x:row r="25" ht="52" customHeight="1">
      <x:c r="A25" s="12" t="str">
        <x:v>P021</x:v>
      </x:c>
      <x:c r="B25" s="12" t="str">
        <x:v>日周月礼包</x:v>
      </x:c>
      <x:c r="C25" s="12" t="str">
        <x:v>周礼包/梦境招募器/32</x:v>
      </x:c>
      <x:c r="D25" s="12" t="str">
        <x:v>钻石</x:v>
      </x:c>
      <x:c r="E25" s="17" t="n">
        <x:v>1050</x:v>
      </x:c>
      <x:c r="F25" s="13" t="n">
        <x:f>IF(ISNUMBER(E25),E25,"不适用")</x:f>
        <x:v>1050</x:v>
      </x:c>
      <x:c r="G25" s="13" t="n">
        <x:v>3</x:v>
      </x:c>
      <x:c r="H25" s="15" t="n">
        <x:v>25</x:v>
      </x:c>
      <x:c r="I25" s="15" t="n">
        <x:v>25</x:v>
      </x:c>
      <x:c r="J25" s="13" t="n">
        <x:f>IF(COUNT('奖励明细'!G25:G25)=ROWS('奖励明细'!G25:G25),SUM('奖励明细'!G25:G25),"缺完整估值")</x:f>
        <x:v>1500</x:v>
      </x:c>
      <x:c r="K25" s="13" t="n">
        <x:f>IF(AND(ISNUMBER(F25),ISNUMBER(J25)),IF(F25&gt;0,J25/F25,"免费"),"不适用")</x:f>
        <x:v>1.4285714285714286</x:v>
      </x:c>
      <x:c r="L25" s="13" t="n">
        <x:f>IF(AND(ISNUMBER(F25),ISNUMBER(J25)),IF(J25&gt;0,F25/J25*10,"不适用"),"不适用")</x:f>
        <x:v>7</x:v>
      </x:c>
      <x:c r="M25" s="13" t="n">
        <x:v>7</x:v>
      </x:c>
      <x:c r="N25" s="12" t="str">
        <x:v>明细规划</x:v>
      </x:c>
      <x:c r="O25" s="12" t="str"/>
      <x:c r="P25" s="12" t="str">
        <x:v>主/日周月礼包!第32行</x:v>
      </x:c>
    </x:row>
    <x:row r="26" ht="52" customHeight="1">
      <x:c r="A26" s="4" t="str">
        <x:v>P022</x:v>
      </x:c>
      <x:c r="B26" s="4" t="str">
        <x:v>日周月礼包</x:v>
      </x:c>
      <x:c r="C26" s="4" t="str">
        <x:v>周礼包/梦境招募器/33</x:v>
      </x:c>
      <x:c r="D26" s="4" t="str">
        <x:v>钻石</x:v>
      </x:c>
      <x:c r="E26" s="18" t="n">
        <x:v>1800</x:v>
      </x:c>
      <x:c r="F26" s="14" t="n">
        <x:f>IF(ISNUMBER(E26),E26,"不适用")</x:f>
        <x:v>1800</x:v>
      </x:c>
      <x:c r="G26" s="14" t="n">
        <x:v>3</x:v>
      </x:c>
      <x:c r="H26" s="16" t="n">
        <x:v>26</x:v>
      </x:c>
      <x:c r="I26" s="16" t="n">
        <x:v>26</x:v>
      </x:c>
      <x:c r="J26" s="14" t="n">
        <x:f>IF(COUNT('奖励明细'!G26:G26)=ROWS('奖励明细'!G26:G26),SUM('奖励明细'!G26:G26),"缺完整估值")</x:f>
        <x:v>3000</x:v>
      </x:c>
      <x:c r="K26" s="14" t="n">
        <x:f>IF(AND(ISNUMBER(F26),ISNUMBER(J26)),IF(F26&gt;0,J26/F26,"免费"),"不适用")</x:f>
        <x:v>1.6666666666666667</x:v>
      </x:c>
      <x:c r="L26" s="14" t="n">
        <x:f>IF(AND(ISNUMBER(F26),ISNUMBER(J26)),IF(J26&gt;0,F26/J26*10,"不适用"),"不适用")</x:f>
        <x:v>6</x:v>
      </x:c>
      <x:c r="M26" s="14" t="n">
        <x:v>6</x:v>
      </x:c>
      <x:c r="N26" s="4" t="str">
        <x:v>明细规划</x:v>
      </x:c>
      <x:c r="O26" s="4" t="str"/>
      <x:c r="P26" s="4" t="str">
        <x:v>主/日周月礼包!第33行</x:v>
      </x:c>
    </x:row>
    <x:row r="27" ht="52" customHeight="1">
      <x:c r="A27" s="12" t="str">
        <x:v>P023</x:v>
      </x:c>
      <x:c r="B27" s="12" t="str">
        <x:v>日周月礼包</x:v>
      </x:c>
      <x:c r="C27" s="12" t="str">
        <x:v>周礼包/超能特饮/34</x:v>
      </x:c>
      <x:c r="D27" s="12" t="str">
        <x:v>钻石</x:v>
      </x:c>
      <x:c r="E27" s="17" t="n">
        <x:v>320</x:v>
      </x:c>
      <x:c r="F27" s="13" t="n">
        <x:f>IF(ISNUMBER(E27),E27,"不适用")</x:f>
        <x:v>320</x:v>
      </x:c>
      <x:c r="G27" s="13" t="n">
        <x:v>10</x:v>
      </x:c>
      <x:c r="H27" s="15" t="n">
        <x:v>27</x:v>
      </x:c>
      <x:c r="I27" s="15" t="n">
        <x:v>27</x:v>
      </x:c>
      <x:c r="J27" s="13" t="n">
        <x:f>IF(COUNT('奖励明细'!G27:G27)=ROWS('奖励明细'!G27:G27),SUM('奖励明细'!G27:G27),"缺完整估值")</x:f>
        <x:v>800</x:v>
      </x:c>
      <x:c r="K27" s="13" t="n">
        <x:f>IF(AND(ISNUMBER(F27),ISNUMBER(J27)),IF(F27&gt;0,J27/F27,"免费"),"不适用")</x:f>
        <x:v>2.5</x:v>
      </x:c>
      <x:c r="L27" s="13" t="n">
        <x:f>IF(AND(ISNUMBER(F27),ISNUMBER(J27)),IF(J27&gt;0,F27/J27*10,"不适用"),"不适用")</x:f>
        <x:v>4</x:v>
      </x:c>
      <x:c r="M27" s="13" t="n">
        <x:v>7</x:v>
      </x:c>
      <x:c r="N27" s="12" t="str">
        <x:v>明细规划</x:v>
      </x:c>
      <x:c r="O27" s="12" t="str"/>
      <x:c r="P27" s="12" t="str">
        <x:v>主/日周月礼包!第34行</x:v>
      </x:c>
    </x:row>
    <x:row r="28" ht="52" customHeight="1">
      <x:c r="A28" s="4" t="str">
        <x:v>P024</x:v>
      </x:c>
      <x:c r="B28" s="4" t="str">
        <x:v>日周月礼包</x:v>
      </x:c>
      <x:c r="C28" s="4" t="str">
        <x:v>周礼包/装备图纸/35</x:v>
      </x:c>
      <x:c r="D28" s="4" t="str">
        <x:v>钻石</x:v>
      </x:c>
      <x:c r="E28" s="18" t="n">
        <x:v>360</x:v>
      </x:c>
      <x:c r="F28" s="14" t="n">
        <x:f>IF(ISNUMBER(E28),E28,"不适用")</x:f>
        <x:v>360</x:v>
      </x:c>
      <x:c r="G28" s="14" t="n">
        <x:v>3</x:v>
      </x:c>
      <x:c r="H28" s="16" t="n">
        <x:v>28</x:v>
      </x:c>
      <x:c r="I28" s="16" t="n">
        <x:v>28</x:v>
      </x:c>
      <x:c r="J28" s="14" t="n">
        <x:f>IF(COUNT('奖励明细'!G28:G28)=ROWS('奖励明细'!G28:G28),SUM('奖励明细'!G28:G28),"缺完整估值")</x:f>
        <x:v>600</x:v>
      </x:c>
      <x:c r="K28" s="14" t="n">
        <x:f>IF(AND(ISNUMBER(F28),ISNUMBER(J28)),IF(F28&gt;0,J28/F28,"免费"),"不适用")</x:f>
        <x:v>1.6666666666666667</x:v>
      </x:c>
      <x:c r="L28" s="14" t="n">
        <x:f>IF(AND(ISNUMBER(F28),ISNUMBER(J28)),IF(J28&gt;0,F28/J28*10,"不适用"),"不适用")</x:f>
        <x:v>6</x:v>
      </x:c>
      <x:c r="M28" s="14" t="n">
        <x:v>6</x:v>
      </x:c>
      <x:c r="N28" s="4" t="str">
        <x:v>明细规划</x:v>
      </x:c>
      <x:c r="O28" s="4" t="str"/>
      <x:c r="P28" s="4" t="str">
        <x:v>主/日周月礼包!第35行</x:v>
      </x:c>
    </x:row>
    <x:row r="29" ht="52" customHeight="1">
      <x:c r="A29" s="12" t="str">
        <x:v>P025</x:v>
      </x:c>
      <x:c r="B29" s="12" t="str">
        <x:v>日周月礼包</x:v>
      </x:c>
      <x:c r="C29" s="12" t="str">
        <x:v>周礼包/星辉秘契/36</x:v>
      </x:c>
      <x:c r="D29" s="12" t="str">
        <x:v>钻石</x:v>
      </x:c>
      <x:c r="E29" s="17" t="n">
        <x:v>1400</x:v>
      </x:c>
      <x:c r="F29" s="13" t="n">
        <x:f>IF(ISNUMBER(E29),E29,"不适用")</x:f>
        <x:v>1400</x:v>
      </x:c>
      <x:c r="G29" s="13" t="n">
        <x:v>5</x:v>
      </x:c>
      <x:c r="H29" s="15" t="n">
        <x:v>29</x:v>
      </x:c>
      <x:c r="I29" s="15" t="n">
        <x:v>29</x:v>
      </x:c>
      <x:c r="J29" s="13" t="n">
        <x:f>IF(COUNT('奖励明细'!G29:G29)=ROWS('奖励明细'!G29:G29),SUM('奖励明细'!G29:G29),"缺完整估值")</x:f>
        <x:v>2800</x:v>
      </x:c>
      <x:c r="K29" s="13" t="n">
        <x:f>IF(AND(ISNUMBER(F29),ISNUMBER(J29)),IF(F29&gt;0,J29/F29,"免费"),"不适用")</x:f>
        <x:v>2</x:v>
      </x:c>
      <x:c r="L29" s="13" t="n">
        <x:f>IF(AND(ISNUMBER(F29),ISNUMBER(J29)),IF(J29&gt;0,F29/J29*10,"不适用"),"不适用")</x:f>
        <x:v>5</x:v>
      </x:c>
      <x:c r="M29" s="13" t="n">
        <x:v>5</x:v>
      </x:c>
      <x:c r="N29" s="12" t="str">
        <x:v>明细规划</x:v>
      </x:c>
      <x:c r="O29" s="12" t="str"/>
      <x:c r="P29" s="12" t="str">
        <x:v>主/日周月礼包!第36行</x:v>
      </x:c>
    </x:row>
    <x:row r="30" ht="52" customHeight="1">
      <x:c r="A30" s="4" t="str">
        <x:v>P026</x:v>
      </x:c>
      <x:c r="B30" s="4" t="str">
        <x:v>日周月礼包</x:v>
      </x:c>
      <x:c r="C30" s="4" t="str">
        <x:v>周礼包/星辉秘契/37</x:v>
      </x:c>
      <x:c r="D30" s="4" t="str">
        <x:v>钻石</x:v>
      </x:c>
      <x:c r="E30" s="18" t="n">
        <x:v>2240</x:v>
      </x:c>
      <x:c r="F30" s="14" t="n">
        <x:f>IF(ISNUMBER(E30),E30,"不适用")</x:f>
        <x:v>2240</x:v>
      </x:c>
      <x:c r="G30" s="14" t="n">
        <x:v>5</x:v>
      </x:c>
      <x:c r="H30" s="16" t="n">
        <x:v>30</x:v>
      </x:c>
      <x:c r="I30" s="16" t="n">
        <x:v>30</x:v>
      </x:c>
      <x:c r="J30" s="14" t="n">
        <x:f>IF(COUNT('奖励明细'!G30:G30)=ROWS('奖励明细'!G30:G30),SUM('奖励明细'!G30:G30),"缺完整估值")</x:f>
        <x:v>5600</x:v>
      </x:c>
      <x:c r="K30" s="14" t="n">
        <x:f>IF(AND(ISNUMBER(F30),ISNUMBER(J30)),IF(F30&gt;0,J30/F30,"免费"),"不适用")</x:f>
        <x:v>2.5</x:v>
      </x:c>
      <x:c r="L30" s="14" t="n">
        <x:f>IF(AND(ISNUMBER(F30),ISNUMBER(J30)),IF(J30&gt;0,F30/J30*10,"不适用"),"不适用")</x:f>
        <x:v>4</x:v>
      </x:c>
      <x:c r="M30" s="14" t="n">
        <x:v>4</x:v>
      </x:c>
      <x:c r="N30" s="4" t="str">
        <x:v>明细规划</x:v>
      </x:c>
      <x:c r="O30" s="4" t="str"/>
      <x:c r="P30" s="4" t="str">
        <x:v>主/日周月礼包!第37行</x:v>
      </x:c>
    </x:row>
    <x:row r="31" ht="52" customHeight="1">
      <x:c r="A31" s="12" t="str">
        <x:v>P027</x:v>
      </x:c>
      <x:c r="B31" s="12" t="str">
        <x:v>日周月礼包</x:v>
      </x:c>
      <x:c r="C31" s="12" t="str">
        <x:v>周礼包/符引结晶/38</x:v>
      </x:c>
      <x:c r="D31" s="12" t="str">
        <x:v>钻石</x:v>
      </x:c>
      <x:c r="E31" s="17" t="n">
        <x:v>400</x:v>
      </x:c>
      <x:c r="F31" s="13" t="n">
        <x:f>IF(ISNUMBER(E31),E31,"不适用")</x:f>
        <x:v>400</x:v>
      </x:c>
      <x:c r="G31" s="13" t="n">
        <x:v>3</x:v>
      </x:c>
      <x:c r="H31" s="15" t="n">
        <x:v>31</x:v>
      </x:c>
      <x:c r="I31" s="15" t="n">
        <x:v>31</x:v>
      </x:c>
      <x:c r="J31" s="13" t="n">
        <x:f>IF(COUNT('奖励明细'!G31:G31)=ROWS('奖励明细'!G31:G31),SUM('奖励明细'!G31:G31),"缺完整估值")</x:f>
        <x:v>500</x:v>
      </x:c>
      <x:c r="K31" s="13" t="n">
        <x:f>IF(AND(ISNUMBER(F31),ISNUMBER(J31)),IF(F31&gt;0,J31/F31,"免费"),"不适用")</x:f>
        <x:v>1.25</x:v>
      </x:c>
      <x:c r="L31" s="13" t="n">
        <x:f>IF(AND(ISNUMBER(F31),ISNUMBER(J31)),IF(J31&gt;0,F31/J31*10,"不适用"),"不适用")</x:f>
        <x:v>8</x:v>
      </x:c>
      <x:c r="M31" s="13" t="n">
        <x:v>8</x:v>
      </x:c>
      <x:c r="N31" s="12" t="str">
        <x:v>明细规划</x:v>
      </x:c>
      <x:c r="O31" s="12" t="str"/>
      <x:c r="P31" s="12" t="str">
        <x:v>主/日周月礼包!第38行</x:v>
      </x:c>
    </x:row>
    <x:row r="32" ht="52" customHeight="1">
      <x:c r="A32" s="4" t="str">
        <x:v>P028</x:v>
      </x:c>
      <x:c r="B32" s="4" t="str">
        <x:v>日周月礼包</x:v>
      </x:c>
      <x:c r="C32" s="4" t="str">
        <x:v>周礼包/幻梦晶核/39</x:v>
      </x:c>
      <x:c r="D32" s="4" t="str">
        <x:v>钻石</x:v>
      </x:c>
      <x:c r="E32" s="18" t="n">
        <x:v>360</x:v>
      </x:c>
      <x:c r="F32" s="14" t="n">
        <x:f>IF(ISNUMBER(E32),E32,"不适用")</x:f>
        <x:v>360</x:v>
      </x:c>
      <x:c r="G32" s="14" t="n">
        <x:v>2</x:v>
      </x:c>
      <x:c r="H32" s="16" t="n">
        <x:v>32</x:v>
      </x:c>
      <x:c r="I32" s="16" t="n">
        <x:v>32</x:v>
      </x:c>
      <x:c r="J32" s="14" t="n">
        <x:f>IF(COUNT('奖励明细'!G32:G32)=ROWS('奖励明细'!G32:G32),SUM('奖励明细'!G32:G32),"缺完整估值")</x:f>
        <x:v>720</x:v>
      </x:c>
      <x:c r="K32" s="14" t="n">
        <x:f>IF(AND(ISNUMBER(F32),ISNUMBER(J32)),IF(F32&gt;0,J32/F32,"免费"),"不适用")</x:f>
        <x:v>2</x:v>
      </x:c>
      <x:c r="L32" s="14" t="n">
        <x:f>IF(AND(ISNUMBER(F32),ISNUMBER(J32)),IF(J32&gt;0,F32/J32*10,"不适用"),"不适用")</x:f>
        <x:v>5</x:v>
      </x:c>
      <x:c r="M32" s="14" t="n">
        <x:v>5</x:v>
      </x:c>
      <x:c r="N32" s="4" t="str">
        <x:v>明细规划</x:v>
      </x:c>
      <x:c r="O32" s="4" t="str"/>
      <x:c r="P32" s="4" t="str">
        <x:v>主/日周月礼包!第39行</x:v>
      </x:c>
    </x:row>
    <x:row r="33" ht="52" customHeight="1">
      <x:c r="A33" s="12" t="str">
        <x:v>P029</x:v>
      </x:c>
      <x:c r="B33" s="12" t="str">
        <x:v>日周月礼包</x:v>
      </x:c>
      <x:c r="C33" s="12" t="str">
        <x:v>周礼包/织梦微尘/40</x:v>
      </x:c>
      <x:c r="D33" s="12" t="str">
        <x:v>钻石</x:v>
      </x:c>
      <x:c r="E33" s="17" t="n">
        <x:v>360</x:v>
      </x:c>
      <x:c r="F33" s="13" t="n">
        <x:f>IF(ISNUMBER(E33),E33,"不适用")</x:f>
        <x:v>360</x:v>
      </x:c>
      <x:c r="G33" s="13" t="n">
        <x:v>3</x:v>
      </x:c>
      <x:c r="H33" s="15" t="n">
        <x:v>33</x:v>
      </x:c>
      <x:c r="I33" s="15" t="n">
        <x:v>33</x:v>
      </x:c>
      <x:c r="J33" s="13" t="n">
        <x:f>IF(COUNT('奖励明细'!G33:G33)=ROWS('奖励明细'!G33:G33),SUM('奖励明细'!G33:G33),"缺完整估值")</x:f>
        <x:v>600</x:v>
      </x:c>
      <x:c r="K33" s="13" t="n">
        <x:f>IF(AND(ISNUMBER(F33),ISNUMBER(J33)),IF(F33&gt;0,J33/F33,"免费"),"不适用")</x:f>
        <x:v>1.6666666666666667</x:v>
      </x:c>
      <x:c r="L33" s="13" t="n">
        <x:f>IF(AND(ISNUMBER(F33),ISNUMBER(J33)),IF(J33&gt;0,F33/J33*10,"不适用"),"不适用")</x:f>
        <x:v>6</x:v>
      </x:c>
      <x:c r="M33" s="13" t="n">
        <x:v>6</x:v>
      </x:c>
      <x:c r="N33" s="12" t="str">
        <x:v>明细规划</x:v>
      </x:c>
      <x:c r="O33" s="12" t="str"/>
      <x:c r="P33" s="12" t="str">
        <x:v>主/日周月礼包!第40行</x:v>
      </x:c>
    </x:row>
    <x:row r="34" ht="52" customHeight="1">
      <x:c r="A34" s="4" t="str">
        <x:v>P030</x:v>
      </x:c>
      <x:c r="B34" s="4" t="str">
        <x:v>日周月礼包</x:v>
      </x:c>
      <x:c r="C34" s="4" t="str">
        <x:v>周礼包/加速沙漏/41</x:v>
      </x:c>
      <x:c r="D34" s="4" t="str">
        <x:v>钻石</x:v>
      </x:c>
      <x:c r="E34" s="18" t="n">
        <x:v>200</x:v>
      </x:c>
      <x:c r="F34" s="14" t="n">
        <x:f>IF(ISNUMBER(E34),E34,"不适用")</x:f>
        <x:v>200</x:v>
      </x:c>
      <x:c r="G34" s="14" t="n">
        <x:v>10</x:v>
      </x:c>
      <x:c r="H34" s="16" t="n">
        <x:v>34</x:v>
      </x:c>
      <x:c r="I34" s="16" t="n">
        <x:v>34</x:v>
      </x:c>
      <x:c r="J34" s="14" t="n">
        <x:f>IF(COUNT('奖励明细'!G34:G34)=ROWS('奖励明细'!G34:G34),SUM('奖励明细'!G34:G34),"缺完整估值")</x:f>
        <x:v>250</x:v>
      </x:c>
      <x:c r="K34" s="14" t="n">
        <x:f>IF(AND(ISNUMBER(F34),ISNUMBER(J34)),IF(F34&gt;0,J34/F34,"免费"),"不适用")</x:f>
        <x:v>1.25</x:v>
      </x:c>
      <x:c r="L34" s="14" t="n">
        <x:f>IF(AND(ISNUMBER(F34),ISNUMBER(J34)),IF(J34&gt;0,F34/J34*10,"不适用"),"不适用")</x:f>
        <x:v>8</x:v>
      </x:c>
      <x:c r="M34" s="14" t="n">
        <x:v>8</x:v>
      </x:c>
      <x:c r="N34" s="4" t="str">
        <x:v>删除投放</x:v>
      </x:c>
      <x:c r="O34" s="4" t="str"/>
      <x:c r="P34" s="4" t="str">
        <x:v>主/日周月礼包!第41行</x:v>
      </x:c>
    </x:row>
    <x:row r="35" ht="52" customHeight="1">
      <x:c r="A35" s="12" t="str">
        <x:v>P031</x:v>
      </x:c>
      <x:c r="B35" s="12" t="str">
        <x:v>日周月礼包</x:v>
      </x:c>
      <x:c r="C35" s="12" t="str">
        <x:v>周礼包/梦境衣橱礼包/42</x:v>
      </x:c>
      <x:c r="D35" s="12" t="str">
        <x:v>钻石</x:v>
      </x:c>
      <x:c r="E35" s="17" t="n">
        <x:v>980</x:v>
      </x:c>
      <x:c r="F35" s="13" t="n">
        <x:f>IF(ISNUMBER(E35),E35,"不适用")</x:f>
        <x:v>980</x:v>
      </x:c>
      <x:c r="G35" s="13" t="n">
        <x:v>3</x:v>
      </x:c>
      <x:c r="H35" s="15" t="n">
        <x:v>35</x:v>
      </x:c>
      <x:c r="I35" s="15" t="n">
        <x:v>35</x:v>
      </x:c>
      <x:c r="J35" s="13" t="str">
        <x:f>IF(COUNT('奖励明细'!G35:G35)=ROWS('奖励明细'!G35:G35),SUM('奖励明细'!G35:G35),"缺完整估值")</x:f>
        <x:v>缺完整估值</x:v>
      </x:c>
      <x:c r="K35" s="13" t="str">
        <x:f>IF(AND(ISNUMBER(F35),ISNUMBER(J35)),IF(F35&gt;0,J35/F35,"免费"),"不适用")</x:f>
        <x:v>不适用</x:v>
      </x:c>
      <x:c r="L35" s="13" t="str">
        <x:f>IF(AND(ISNUMBER(F35),ISNUMBER(J35)),IF(J35&gt;0,F35/J35*10,"不适用"),"不适用")</x:f>
        <x:v>不适用</x:v>
      </x:c>
      <x:c r="M35" s="13" t="n">
        <x:v>1</x:v>
      </x:c>
      <x:c r="N35" s="12" t="str">
        <x:v>明细规划；估值缺失</x:v>
      </x:c>
      <x:c r="O35" s="12" t="str"/>
      <x:c r="P35" s="12" t="str">
        <x:v>主/日周月礼包!第42行</x:v>
      </x:c>
    </x:row>
    <x:row r="36" ht="52" customHeight="1">
      <x:c r="A36" s="4" t="str">
        <x:v>P032</x:v>
      </x:c>
      <x:c r="B36" s="4" t="str">
        <x:v>日周月礼包</x:v>
      </x:c>
      <x:c r="C36" s="4" t="str">
        <x:v>周礼包/转运石/43</x:v>
      </x:c>
      <x:c r="D36" s="4" t="str">
        <x:v>钻石</x:v>
      </x:c>
      <x:c r="E36" s="18" t="n">
        <x:v>500</x:v>
      </x:c>
      <x:c r="F36" s="14" t="n">
        <x:f>IF(ISNUMBER(E36),E36,"不适用")</x:f>
        <x:v>500</x:v>
      </x:c>
      <x:c r="G36" s="14" t="n">
        <x:v>4</x:v>
      </x:c>
      <x:c r="H36" s="16" t="n">
        <x:v>36</x:v>
      </x:c>
      <x:c r="I36" s="16" t="n">
        <x:v>36</x:v>
      </x:c>
      <x:c r="J36" s="14" t="n">
        <x:f>IF(COUNT('奖励明细'!G36:G36)=ROWS('奖励明细'!G36:G36),SUM('奖励明细'!G36:G36),"缺完整估值")</x:f>
        <x:v>990</x:v>
      </x:c>
      <x:c r="K36" s="14" t="n">
        <x:f>IF(AND(ISNUMBER(F36),ISNUMBER(J36)),IF(F36&gt;0,J36/F36,"免费"),"不适用")</x:f>
        <x:v>1.98</x:v>
      </x:c>
      <x:c r="L36" s="14" t="n">
        <x:f>IF(AND(ISNUMBER(F36),ISNUMBER(J36)),IF(J36&gt;0,F36/J36*10,"不适用"),"不适用")</x:f>
        <x:v>5.050505050505051</x:v>
      </x:c>
      <x:c r="M36" s="14" t="n">
        <x:v>5</x:v>
      </x:c>
      <x:c r="N36" s="4" t="str">
        <x:v>明细规划</x:v>
      </x:c>
      <x:c r="O36" s="4" t="str"/>
      <x:c r="P36" s="4" t="str">
        <x:v>主/日周月礼包!第43行</x:v>
      </x:c>
    </x:row>
    <x:row r="37" ht="52" customHeight="1">
      <x:c r="A37" s="12" t="str">
        <x:v>P033</x:v>
      </x:c>
      <x:c r="B37" s="12" t="str">
        <x:v>日周月礼包</x:v>
      </x:c>
      <x:c r="C37" s="12" t="str">
        <x:v>周礼包/智械发条/44</x:v>
      </x:c>
      <x:c r="D37" s="12" t="str">
        <x:v>钻石</x:v>
      </x:c>
      <x:c r="E37" s="17" t="n">
        <x:v>600</x:v>
      </x:c>
      <x:c r="F37" s="13" t="n">
        <x:f>IF(ISNUMBER(E37),E37,"不适用")</x:f>
        <x:v>600</x:v>
      </x:c>
      <x:c r="G37" s="13" t="n">
        <x:v>3</x:v>
      </x:c>
      <x:c r="H37" s="15" t="n">
        <x:v>37</x:v>
      </x:c>
      <x:c r="I37" s="15" t="n">
        <x:v>37</x:v>
      </x:c>
      <x:c r="J37" s="13" t="n">
        <x:f>IF(COUNT('奖励明细'!G37:G37)=ROWS('奖励明细'!G37:G37),SUM('奖励明细'!G37:G37),"缺完整估值")</x:f>
        <x:v>1500</x:v>
      </x:c>
      <x:c r="K37" s="13" t="n">
        <x:f>IF(AND(ISNUMBER(F37),ISNUMBER(J37)),IF(F37&gt;0,J37/F37,"免费"),"不适用")</x:f>
        <x:v>2.5</x:v>
      </x:c>
      <x:c r="L37" s="13" t="n">
        <x:f>IF(AND(ISNUMBER(F37),ISNUMBER(J37)),IF(J37&gt;0,F37/J37*10,"不适用"),"不适用")</x:f>
        <x:v>4</x:v>
      </x:c>
      <x:c r="M37" s="13" t="n">
        <x:v>4</x:v>
      </x:c>
      <x:c r="N37" s="12" t="str">
        <x:v>明细规划</x:v>
      </x:c>
      <x:c r="O37" s="12" t="str">
        <x:v>22日开启</x:v>
      </x:c>
      <x:c r="P37" s="12" t="str">
        <x:v>主/日周月礼包!第44行</x:v>
      </x:c>
    </x:row>
    <x:row r="38" ht="52" customHeight="1">
      <x:c r="A38" s="4" t="str">
        <x:v>P034</x:v>
      </x:c>
      <x:c r="B38" s="4" t="str">
        <x:v>日周月礼包</x:v>
      </x:c>
      <x:c r="C38" s="4" t="str">
        <x:v>周礼包/精密齿轮/45</x:v>
      </x:c>
      <x:c r="D38" s="4" t="str">
        <x:v>钻石</x:v>
      </x:c>
      <x:c r="E38" s="18" t="n">
        <x:v>180</x:v>
      </x:c>
      <x:c r="F38" s="14" t="n">
        <x:f>IF(ISNUMBER(E38),E38,"不适用")</x:f>
        <x:v>180</x:v>
      </x:c>
      <x:c r="G38" s="14" t="n">
        <x:v>5</x:v>
      </x:c>
      <x:c r="H38" s="16" t="n">
        <x:v>38</x:v>
      </x:c>
      <x:c r="I38" s="16" t="n">
        <x:v>38</x:v>
      </x:c>
      <x:c r="J38" s="14" t="n">
        <x:f>IF(COUNT('奖励明细'!G38:G38)=ROWS('奖励明细'!G38:G38),SUM('奖励明细'!G38:G38),"缺完整估值")</x:f>
        <x:v>300</x:v>
      </x:c>
      <x:c r="K38" s="14" t="n">
        <x:f>IF(AND(ISNUMBER(F38),ISNUMBER(J38)),IF(F38&gt;0,J38/F38,"免费"),"不适用")</x:f>
        <x:v>1.6666666666666667</x:v>
      </x:c>
      <x:c r="L38" s="14" t="n">
        <x:f>IF(AND(ISNUMBER(F38),ISNUMBER(J38)),IF(J38&gt;0,F38/J38*10,"不适用"),"不适用")</x:f>
        <x:v>6</x:v>
      </x:c>
      <x:c r="M38" s="14" t="n">
        <x:v>6</x:v>
      </x:c>
      <x:c r="N38" s="4" t="str">
        <x:v>明细规划</x:v>
      </x:c>
      <x:c r="O38" s="4" t="str">
        <x:v>22日开启</x:v>
      </x:c>
      <x:c r="P38" s="4" t="str">
        <x:v>主/日周月礼包!第45行</x:v>
      </x:c>
    </x:row>
    <x:row r="39" ht="52" customHeight="1">
      <x:c r="A39" s="12" t="str">
        <x:v>P035</x:v>
      </x:c>
      <x:c r="B39" s="12" t="str">
        <x:v>日周月礼包</x:v>
      </x:c>
      <x:c r="C39" s="12" t="str">
        <x:v>周礼包/随机史诗藏品/46</x:v>
      </x:c>
      <x:c r="D39" s="12" t="str">
        <x:v>钻石</x:v>
      </x:c>
      <x:c r="E39" s="17" t="n">
        <x:v>1400</x:v>
      </x:c>
      <x:c r="F39" s="13" t="n">
        <x:f>IF(ISNUMBER(E39),E39,"不适用")</x:f>
        <x:v>1400</x:v>
      </x:c>
      <x:c r="G39" s="13" t="n">
        <x:v>3</x:v>
      </x:c>
      <x:c r="H39" s="15" t="n">
        <x:v>39</x:v>
      </x:c>
      <x:c r="I39" s="15" t="n">
        <x:v>39</x:v>
      </x:c>
      <x:c r="J39" s="13" t="n">
        <x:f>IF(COUNT('奖励明细'!G39:G39)=ROWS('奖励明细'!G39:G39),SUM('奖励明细'!G39:G39),"缺完整估值")</x:f>
        <x:v>2400</x:v>
      </x:c>
      <x:c r="K39" s="13" t="n">
        <x:f>IF(AND(ISNUMBER(F39),ISNUMBER(J39)),IF(F39&gt;0,J39/F39,"免费"),"不适用")</x:f>
        <x:v>1.7142857142857142</x:v>
      </x:c>
      <x:c r="L39" s="13" t="n">
        <x:f>IF(AND(ISNUMBER(F39),ISNUMBER(J39)),IF(J39&gt;0,F39/J39*10,"不适用"),"不适用")</x:f>
        <x:v>5.833333333333334</x:v>
      </x:c>
      <x:c r="M39" s="13" t="n">
        <x:v>6</x:v>
      </x:c>
      <x:c r="N39" s="12" t="str">
        <x:v>明细规划</x:v>
      </x:c>
      <x:c r="O39" s="12" t="str">
        <x:v>15日开启</x:v>
      </x:c>
      <x:c r="P39" s="12" t="str">
        <x:v>主/日周月礼包!第46行</x:v>
      </x:c>
    </x:row>
    <x:row r="40" ht="52" customHeight="1">
      <x:c r="A40" s="4" t="str">
        <x:v>P036</x:v>
      </x:c>
      <x:c r="B40" s="4" t="str">
        <x:v>日周月礼包</x:v>
      </x:c>
      <x:c r="C40" s="4" t="str">
        <x:v>周礼包/万象自选宝盒Ⅰ/47</x:v>
      </x:c>
      <x:c r="D40" s="4" t="str">
        <x:v>钻石</x:v>
      </x:c>
      <x:c r="E40" s="18" t="n">
        <x:v>1800</x:v>
      </x:c>
      <x:c r="F40" s="14" t="n">
        <x:f>IF(ISNUMBER(E40),E40,"不适用")</x:f>
        <x:v>1800</x:v>
      </x:c>
      <x:c r="G40" s="14" t="n">
        <x:v>1</x:v>
      </x:c>
      <x:c r="H40" s="16" t="n">
        <x:v>40</x:v>
      </x:c>
      <x:c r="I40" s="16" t="n">
        <x:v>40</x:v>
      </x:c>
      <x:c r="J40" s="14" t="str">
        <x:f>IF(COUNT('奖励明细'!G40:G40)=ROWS('奖励明细'!G40:G40),SUM('奖励明细'!G40:G40),"缺完整估值")</x:f>
        <x:v>缺完整估值</x:v>
      </x:c>
      <x:c r="K40" s="14" t="str">
        <x:f>IF(AND(ISNUMBER(F40),ISNUMBER(J40)),IF(F40&gt;0,J40/F40,"免费"),"不适用")</x:f>
        <x:v>不适用</x:v>
      </x:c>
      <x:c r="L40" s="14" t="str">
        <x:f>IF(AND(ISNUMBER(F40),ISNUMBER(J40)),IF(J40&gt;0,F40/J40*10,"不适用"),"不适用")</x:f>
        <x:v>不适用</x:v>
      </x:c>
      <x:c r="M40" s="14" t="n">
        <x:v>3</x:v>
      </x:c>
      <x:c r="N40" s="4" t="str">
        <x:v>明细规划；估值缺失</x:v>
      </x:c>
      <x:c r="O40" s="4" t="str">
        <x:v>15日开启</x:v>
      </x:c>
      <x:c r="P40" s="4" t="str">
        <x:v>主/日周月礼包!第47行</x:v>
      </x:c>
    </x:row>
    <x:row r="41" ht="52" customHeight="1">
      <x:c r="A41" s="12" t="str">
        <x:v>P037</x:v>
      </x:c>
      <x:c r="B41" s="12" t="str">
        <x:v>日周月礼包</x:v>
      </x:c>
      <x:c r="C41" s="12" t="str">
        <x:v>月礼包/体力/52</x:v>
      </x:c>
      <x:c r="D41" s="12" t="str">
        <x:v>钻石</x:v>
      </x:c>
      <x:c r="E41" s="17" t="n">
        <x:v>0</x:v>
      </x:c>
      <x:c r="F41" s="13" t="n">
        <x:f>IF(ISNUMBER(E41),E41,"不适用")</x:f>
        <x:v>0</x:v>
      </x:c>
      <x:c r="G41" s="13"/>
      <x:c r="H41" s="15" t="n">
        <x:v>41</x:v>
      </x:c>
      <x:c r="I41" s="15" t="n">
        <x:v>41</x:v>
      </x:c>
      <x:c r="J41" s="13" t="n">
        <x:f>IF(COUNT('奖励明细'!G41:G41)=ROWS('奖励明细'!G41:G41),SUM('奖励明细'!G41:G41),"缺完整估值")</x:f>
        <x:v>20</x:v>
      </x:c>
      <x:c r="K41" s="13" t="str">
        <x:f>IF(AND(ISNUMBER(F41),ISNUMBER(J41)),IF(F41&gt;0,J41/F41,"免费"),"不适用")</x:f>
        <x:v>免费</x:v>
      </x:c>
      <x:c r="L41" s="13" t="n">
        <x:f>IF(AND(ISNUMBER(F41),ISNUMBER(J41)),IF(J41&gt;0,F41/J41*10,"不适用"),"不适用")</x:f>
        <x:v>0</x:v>
      </x:c>
      <x:c r="M41" s="13"/>
      <x:c r="N41" s="12" t="str">
        <x:v>明细规划</x:v>
      </x:c>
      <x:c r="O41" s="12" t="str">
        <x:v>累充300元开启；</x:v>
      </x:c>
      <x:c r="P41" s="12" t="str">
        <x:v>主/日周月礼包!第52行</x:v>
      </x:c>
    </x:row>
    <x:row r="42" ht="52" customHeight="1">
      <x:c r="A42" s="4" t="str">
        <x:v>P038</x:v>
      </x:c>
      <x:c r="B42" s="4" t="str">
        <x:v>日周月礼包</x:v>
      </x:c>
      <x:c r="C42" s="4" t="str">
        <x:v>月礼包/体力/53</x:v>
      </x:c>
      <x:c r="D42" s="4" t="str">
        <x:v>广告</x:v>
      </x:c>
      <x:c r="E42" s="18" t="str">
        <x:v>广告</x:v>
      </x:c>
      <x:c r="F42" s="14" t="str">
        <x:f>IF(ISNUMBER(E42),E42,"不适用")</x:f>
        <x:v>不适用</x:v>
      </x:c>
      <x:c r="G42" s="14"/>
      <x:c r="H42" s="16" t="n">
        <x:v>42</x:v>
      </x:c>
      <x:c r="I42" s="16" t="n">
        <x:v>42</x:v>
      </x:c>
      <x:c r="J42" s="14" t="n">
        <x:f>IF(COUNT('奖励明细'!G42:G42)=ROWS('奖励明细'!G42:G42),SUM('奖励明细'!G42:G42),"缺完整估值")</x:f>
        <x:v>20</x:v>
      </x:c>
      <x:c r="K42" s="14" t="str">
        <x:f>IF(AND(ISNUMBER(F42),ISNUMBER(J42)),IF(F42&gt;0,J42/F42,"免费"),"不适用")</x:f>
        <x:v>不适用</x:v>
      </x:c>
      <x:c r="L42" s="14" t="str">
        <x:f>IF(AND(ISNUMBER(F42),ISNUMBER(J42)),IF(J42&gt;0,F42/J42*10,"不适用"),"不适用")</x:f>
        <x:v>不适用</x:v>
      </x:c>
      <x:c r="M42" s="14"/>
      <x:c r="N42" s="4" t="str">
        <x:v>明细规划</x:v>
      </x:c>
      <x:c r="O42" s="4" t="str">
        <x:v>累充300元开启；</x:v>
      </x:c>
      <x:c r="P42" s="4" t="str">
        <x:v>主/日周月礼包!第53行</x:v>
      </x:c>
    </x:row>
    <x:row r="43" ht="52" customHeight="1">
      <x:c r="A43" s="12" t="str">
        <x:v>P039</x:v>
      </x:c>
      <x:c r="B43" s="12" t="str">
        <x:v>日周月礼包</x:v>
      </x:c>
      <x:c r="C43" s="12" t="str">
        <x:v>月礼包/梦境招募器/54</x:v>
      </x:c>
      <x:c r="D43" s="12" t="str">
        <x:v>钻石</x:v>
      </x:c>
      <x:c r="E43" s="17" t="n">
        <x:v>750</x:v>
      </x:c>
      <x:c r="F43" s="13" t="n">
        <x:f>IF(ISNUMBER(E43),E43,"不适用")</x:f>
        <x:v>750</x:v>
      </x:c>
      <x:c r="G43" s="13" t="n">
        <x:v>2</x:v>
      </x:c>
      <x:c r="H43" s="15" t="n">
        <x:v>43</x:v>
      </x:c>
      <x:c r="I43" s="15" t="n">
        <x:v>43</x:v>
      </x:c>
      <x:c r="J43" s="13" t="n">
        <x:f>IF(COUNT('奖励明细'!G43:G43)=ROWS('奖励明细'!G43:G43),SUM('奖励明细'!G43:G43),"缺完整估值")</x:f>
        <x:v>1500</x:v>
      </x:c>
      <x:c r="K43" s="13" t="n">
        <x:f>IF(AND(ISNUMBER(F43),ISNUMBER(J43)),IF(F43&gt;0,J43/F43,"免费"),"不适用")</x:f>
        <x:v>2</x:v>
      </x:c>
      <x:c r="L43" s="13" t="n">
        <x:f>IF(AND(ISNUMBER(F43),ISNUMBER(J43)),IF(J43&gt;0,F43/J43*10,"不适用"),"不适用")</x:f>
        <x:v>5</x:v>
      </x:c>
      <x:c r="M43" s="13" t="n">
        <x:v>5</x:v>
      </x:c>
      <x:c r="N43" s="12" t="str">
        <x:v>明细规划</x:v>
      </x:c>
      <x:c r="O43" s="12" t="str">
        <x:v>累充300元开启；</x:v>
      </x:c>
      <x:c r="P43" s="12" t="str">
        <x:v>主/日周月礼包!第54行</x:v>
      </x:c>
    </x:row>
    <x:row r="44" ht="52" customHeight="1">
      <x:c r="A44" s="4" t="str">
        <x:v>P040</x:v>
      </x:c>
      <x:c r="B44" s="4" t="str">
        <x:v>日周月礼包</x:v>
      </x:c>
      <x:c r="C44" s="4" t="str">
        <x:v>月礼包/梦境招募器/55</x:v>
      </x:c>
      <x:c r="D44" s="4" t="str">
        <x:v>钻石</x:v>
      </x:c>
      <x:c r="E44" s="18" t="n">
        <x:v>3300</x:v>
      </x:c>
      <x:c r="F44" s="14" t="n">
        <x:f>IF(ISNUMBER(E44),E44,"不适用")</x:f>
        <x:v>3300</x:v>
      </x:c>
      <x:c r="G44" s="14" t="n">
        <x:v>2</x:v>
      </x:c>
      <x:c r="H44" s="16" t="n">
        <x:v>44</x:v>
      </x:c>
      <x:c r="I44" s="16" t="n">
        <x:v>44</x:v>
      </x:c>
      <x:c r="J44" s="14" t="n">
        <x:f>IF(COUNT('奖励明细'!G44:G44)=ROWS('奖励明细'!G44:G44),SUM('奖励明细'!G44:G44),"缺完整估值")</x:f>
        <x:v>6000</x:v>
      </x:c>
      <x:c r="K44" s="14" t="n">
        <x:f>IF(AND(ISNUMBER(F44),ISNUMBER(J44)),IF(F44&gt;0,J44/F44,"免费"),"不适用")</x:f>
        <x:v>1.8181818181818181</x:v>
      </x:c>
      <x:c r="L44" s="14" t="n">
        <x:f>IF(AND(ISNUMBER(F44),ISNUMBER(J44)),IF(J44&gt;0,F44/J44*10,"不适用"),"不适用")</x:f>
        <x:v>5.5</x:v>
      </x:c>
      <x:c r="M44" s="14" t="n">
        <x:v>6</x:v>
      </x:c>
      <x:c r="N44" s="4" t="str">
        <x:v>明细规划</x:v>
      </x:c>
      <x:c r="O44" s="4" t="str">
        <x:v>累充300元开启；</x:v>
      </x:c>
      <x:c r="P44" s="4" t="str">
        <x:v>主/日周月礼包!第55行</x:v>
      </x:c>
    </x:row>
    <x:row r="45" ht="52" customHeight="1">
      <x:c r="A45" s="12" t="str">
        <x:v>P041</x:v>
      </x:c>
      <x:c r="B45" s="12" t="str">
        <x:v>日周月礼包</x:v>
      </x:c>
      <x:c r="C45" s="12" t="str">
        <x:v>月礼包/超能特饮/56</x:v>
      </x:c>
      <x:c r="D45" s="12" t="str">
        <x:v>钻石</x:v>
      </x:c>
      <x:c r="E45" s="17" t="n">
        <x:v>600</x:v>
      </x:c>
      <x:c r="F45" s="13" t="n">
        <x:f>IF(ISNUMBER(E45),E45,"不适用")</x:f>
        <x:v>600</x:v>
      </x:c>
      <x:c r="G45" s="13" t="n">
        <x:v>10</x:v>
      </x:c>
      <x:c r="H45" s="15" t="n">
        <x:v>45</x:v>
      </x:c>
      <x:c r="I45" s="15" t="n">
        <x:v>45</x:v>
      </x:c>
      <x:c r="J45" s="13" t="n">
        <x:f>IF(COUNT('奖励明细'!G45:G45)=ROWS('奖励明细'!G45:G45),SUM('奖励明细'!G45:G45),"缺完整估值")</x:f>
        <x:v>2000</x:v>
      </x:c>
      <x:c r="K45" s="13" t="n">
        <x:f>IF(AND(ISNUMBER(F45),ISNUMBER(J45)),IF(F45&gt;0,J45/F45,"免费"),"不适用")</x:f>
        <x:v>3.3333333333333335</x:v>
      </x:c>
      <x:c r="L45" s="13" t="n">
        <x:f>IF(AND(ISNUMBER(F45),ISNUMBER(J45)),IF(J45&gt;0,F45/J45*10,"不适用"),"不适用")</x:f>
        <x:v>3</x:v>
      </x:c>
      <x:c r="M45" s="13" t="n">
        <x:v>3</x:v>
      </x:c>
      <x:c r="N45" s="12" t="str">
        <x:v>明细规划</x:v>
      </x:c>
      <x:c r="O45" s="12" t="str">
        <x:v>累充300元开启；</x:v>
      </x:c>
      <x:c r="P45" s="12" t="str">
        <x:v>主/日周月礼包!第56行</x:v>
      </x:c>
    </x:row>
    <x:row r="46" ht="52" customHeight="1">
      <x:c r="A46" s="4" t="str">
        <x:v>P042</x:v>
      </x:c>
      <x:c r="B46" s="4" t="str">
        <x:v>日周月礼包</x:v>
      </x:c>
      <x:c r="C46" s="4" t="str">
        <x:v>月礼包/装备图纸/57</x:v>
      </x:c>
      <x:c r="D46" s="4" t="str">
        <x:v>钻石</x:v>
      </x:c>
      <x:c r="E46" s="18" t="n">
        <x:v>600</x:v>
      </x:c>
      <x:c r="F46" s="14" t="n">
        <x:f>IF(ISNUMBER(E46),E46,"不适用")</x:f>
        <x:v>600</x:v>
      </x:c>
      <x:c r="G46" s="14" t="n">
        <x:v>3</x:v>
      </x:c>
      <x:c r="H46" s="16" t="n">
        <x:v>46</x:v>
      </x:c>
      <x:c r="I46" s="16" t="n">
        <x:v>46</x:v>
      </x:c>
      <x:c r="J46" s="14" t="n">
        <x:f>IF(COUNT('奖励明细'!G46:G46)=ROWS('奖励明细'!G46:G46),SUM('奖励明细'!G46:G46),"缺完整估值")</x:f>
        <x:v>1200</x:v>
      </x:c>
      <x:c r="K46" s="14" t="n">
        <x:f>IF(AND(ISNUMBER(F46),ISNUMBER(J46)),IF(F46&gt;0,J46/F46,"免费"),"不适用")</x:f>
        <x:v>2</x:v>
      </x:c>
      <x:c r="L46" s="14" t="n">
        <x:f>IF(AND(ISNUMBER(F46),ISNUMBER(J46)),IF(J46&gt;0,F46/J46*10,"不适用"),"不适用")</x:f>
        <x:v>5</x:v>
      </x:c>
      <x:c r="M46" s="14" t="n">
        <x:v>5</x:v>
      </x:c>
      <x:c r="N46" s="4" t="str">
        <x:v>明细规划</x:v>
      </x:c>
      <x:c r="O46" s="4" t="str">
        <x:v>累充300元开启；</x:v>
      </x:c>
      <x:c r="P46" s="4" t="str">
        <x:v>主/日周月礼包!第57行</x:v>
      </x:c>
    </x:row>
    <x:row r="47" ht="52" customHeight="1">
      <x:c r="A47" s="12" t="str">
        <x:v>P043</x:v>
      </x:c>
      <x:c r="B47" s="12" t="str">
        <x:v>日周月礼包</x:v>
      </x:c>
      <x:c r="C47" s="12" t="str">
        <x:v>月礼包/幻梦晶核/58</x:v>
      </x:c>
      <x:c r="D47" s="12" t="str">
        <x:v>钻石</x:v>
      </x:c>
      <x:c r="E47" s="17" t="n">
        <x:v>900</x:v>
      </x:c>
      <x:c r="F47" s="13" t="n">
        <x:f>IF(ISNUMBER(E47),E47,"不适用")</x:f>
        <x:v>900</x:v>
      </x:c>
      <x:c r="G47" s="13" t="n">
        <x:v>3</x:v>
      </x:c>
      <x:c r="H47" s="15" t="n">
        <x:v>47</x:v>
      </x:c>
      <x:c r="I47" s="15" t="n">
        <x:v>47</x:v>
      </x:c>
      <x:c r="J47" s="13" t="n">
        <x:f>IF(COUNT('奖励明细'!G47:G47)=ROWS('奖励明细'!G47:G47),SUM('奖励明细'!G47:G47),"缺完整估值")</x:f>
        <x:v>1800</x:v>
      </x:c>
      <x:c r="K47" s="13" t="n">
        <x:f>IF(AND(ISNUMBER(F47),ISNUMBER(J47)),IF(F47&gt;0,J47/F47,"免费"),"不适用")</x:f>
        <x:v>2</x:v>
      </x:c>
      <x:c r="L47" s="13" t="n">
        <x:f>IF(AND(ISNUMBER(F47),ISNUMBER(J47)),IF(J47&gt;0,F47/J47*10,"不适用"),"不适用")</x:f>
        <x:v>5</x:v>
      </x:c>
      <x:c r="M47" s="13" t="n">
        <x:v>5</x:v>
      </x:c>
      <x:c r="N47" s="12" t="str">
        <x:v>明细规划</x:v>
      </x:c>
      <x:c r="O47" s="12" t="str">
        <x:v>累充300元开启；</x:v>
      </x:c>
      <x:c r="P47" s="12" t="str">
        <x:v>主/日周月礼包!第58行</x:v>
      </x:c>
    </x:row>
    <x:row r="48" ht="52" customHeight="1">
      <x:c r="A48" s="4" t="str">
        <x:v>P044</x:v>
      </x:c>
      <x:c r="B48" s="4" t="str">
        <x:v>日周月礼包</x:v>
      </x:c>
      <x:c r="C48" s="4" t="str">
        <x:v>月礼包/幻梦晶核/59</x:v>
      </x:c>
      <x:c r="D48" s="4" t="str">
        <x:v>钻石</x:v>
      </x:c>
      <x:c r="E48" s="18" t="n">
        <x:v>3120</x:v>
      </x:c>
      <x:c r="F48" s="14" t="n">
        <x:f>IF(ISNUMBER(E48),E48,"不适用")</x:f>
        <x:v>3120</x:v>
      </x:c>
      <x:c r="G48" s="14" t="n">
        <x:v>1</x:v>
      </x:c>
      <x:c r="H48" s="16" t="n">
        <x:v>48</x:v>
      </x:c>
      <x:c r="I48" s="16" t="n">
        <x:v>48</x:v>
      </x:c>
      <x:c r="J48" s="14" t="n">
        <x:f>IF(COUNT('奖励明细'!G48:G48)=ROWS('奖励明细'!G48:G48),SUM('奖励明细'!G48:G48),"缺完整估值")</x:f>
        <x:v>7800</x:v>
      </x:c>
      <x:c r="K48" s="14" t="n">
        <x:f>IF(AND(ISNUMBER(F48),ISNUMBER(J48)),IF(F48&gt;0,J48/F48,"免费"),"不适用")</x:f>
        <x:v>2.5</x:v>
      </x:c>
      <x:c r="L48" s="14" t="n">
        <x:f>IF(AND(ISNUMBER(F48),ISNUMBER(J48)),IF(J48&gt;0,F48/J48*10,"不适用"),"不适用")</x:f>
        <x:v>4</x:v>
      </x:c>
      <x:c r="M48" s="14" t="n">
        <x:v>4</x:v>
      </x:c>
      <x:c r="N48" s="4" t="str">
        <x:v>明细规划</x:v>
      </x:c>
      <x:c r="O48" s="4" t="str">
        <x:v>累充300元开启；</x:v>
      </x:c>
      <x:c r="P48" s="4" t="str">
        <x:v>主/日周月礼包!第59行</x:v>
      </x:c>
    </x:row>
    <x:row r="49" ht="52" customHeight="1">
      <x:c r="A49" s="12" t="str">
        <x:v>P045</x:v>
      </x:c>
      <x:c r="B49" s="12" t="str">
        <x:v>日周月礼包</x:v>
      </x:c>
      <x:c r="C49" s="12" t="str">
        <x:v>月礼包/绮梦衣橱盒Ⅰ/60</x:v>
      </x:c>
      <x:c r="D49" s="12" t="str">
        <x:v>钻石</x:v>
      </x:c>
      <x:c r="E49" s="17" t="n">
        <x:v>3280</x:v>
      </x:c>
      <x:c r="F49" s="13" t="n">
        <x:f>IF(ISNUMBER(E49),E49,"不适用")</x:f>
        <x:v>3280</x:v>
      </x:c>
      <x:c r="G49" s="13" t="n">
        <x:v>3</x:v>
      </x:c>
      <x:c r="H49" s="15" t="n">
        <x:v>49</x:v>
      </x:c>
      <x:c r="I49" s="15" t="n">
        <x:v>49</x:v>
      </x:c>
      <x:c r="J49" s="13" t="str">
        <x:f>IF(COUNT('奖励明细'!G49:G49)=ROWS('奖励明细'!G49:G49),SUM('奖励明细'!G49:G49),"缺完整估值")</x:f>
        <x:v>缺完整估值</x:v>
      </x:c>
      <x:c r="K49" s="13" t="str">
        <x:f>IF(AND(ISNUMBER(F49),ISNUMBER(J49)),IF(F49&gt;0,J49/F49,"免费"),"不适用")</x:f>
        <x:v>不适用</x:v>
      </x:c>
      <x:c r="L49" s="13" t="str">
        <x:f>IF(AND(ISNUMBER(F49),ISNUMBER(J49)),IF(J49&gt;0,F49/J49*10,"不适用"),"不适用")</x:f>
        <x:v>不适用</x:v>
      </x:c>
      <x:c r="M49" s="13" t="n">
        <x:v>4</x:v>
      </x:c>
      <x:c r="N49" s="12" t="str">
        <x:v>明细规划；估值缺失</x:v>
      </x:c>
      <x:c r="O49" s="12" t="str">
        <x:v>累充300元开启；</x:v>
      </x:c>
      <x:c r="P49" s="12" t="str">
        <x:v>主/日周月礼包!第60行</x:v>
      </x:c>
    </x:row>
    <x:row r="50" ht="52" customHeight="1">
      <x:c r="A50" s="4" t="str">
        <x:v>P046</x:v>
      </x:c>
      <x:c r="B50" s="4" t="str">
        <x:v>日周月礼包</x:v>
      </x:c>
      <x:c r="C50" s="4" t="str">
        <x:v>月礼包/星辉秘契/61</x:v>
      </x:c>
      <x:c r="D50" s="4" t="str">
        <x:v>钻石</x:v>
      </x:c>
      <x:c r="E50" s="18" t="n">
        <x:v>840</x:v>
      </x:c>
      <x:c r="F50" s="14" t="n">
        <x:f>IF(ISNUMBER(E50),E50,"不适用")</x:f>
        <x:v>840</x:v>
      </x:c>
      <x:c r="G50" s="14" t="n">
        <x:v>3</x:v>
      </x:c>
      <x:c r="H50" s="16" t="n">
        <x:v>50</x:v>
      </x:c>
      <x:c r="I50" s="16" t="n">
        <x:v>50</x:v>
      </x:c>
      <x:c r="J50" s="14" t="n">
        <x:f>IF(COUNT('奖励明细'!G50:G50)=ROWS('奖励明细'!G50:G50),SUM('奖励明细'!G50:G50),"缺完整估值")</x:f>
        <x:v>2800</x:v>
      </x:c>
      <x:c r="K50" s="14" t="n">
        <x:f>IF(AND(ISNUMBER(F50),ISNUMBER(J50)),IF(F50&gt;0,J50/F50,"免费"),"不适用")</x:f>
        <x:v>3.3333333333333335</x:v>
      </x:c>
      <x:c r="L50" s="14" t="n">
        <x:f>IF(AND(ISNUMBER(F50),ISNUMBER(J50)),IF(J50&gt;0,F50/J50*10,"不适用"),"不适用")</x:f>
        <x:v>3</x:v>
      </x:c>
      <x:c r="M50" s="14" t="n">
        <x:v>3</x:v>
      </x:c>
      <x:c r="N50" s="4" t="str">
        <x:v>明细规划</x:v>
      </x:c>
      <x:c r="O50" s="4" t="str">
        <x:v>累充300元开启；</x:v>
      </x:c>
      <x:c r="P50" s="4" t="str">
        <x:v>主/日周月礼包!第61行</x:v>
      </x:c>
    </x:row>
    <x:row r="51" ht="52" customHeight="1">
      <x:c r="A51" s="12" t="str">
        <x:v>P047</x:v>
      </x:c>
      <x:c r="B51" s="12" t="str">
        <x:v>日周月礼包</x:v>
      </x:c>
      <x:c r="C51" s="12" t="str">
        <x:v>月礼包/星辉秘契/62</x:v>
      </x:c>
      <x:c r="D51" s="12" t="str">
        <x:v>钻石</x:v>
      </x:c>
      <x:c r="E51" s="17" t="n">
        <x:v>4480</x:v>
      </x:c>
      <x:c r="F51" s="13" t="n">
        <x:f>IF(ISNUMBER(E51),E51,"不适用")</x:f>
        <x:v>4480</x:v>
      </x:c>
      <x:c r="G51" s="13" t="n">
        <x:v>3</x:v>
      </x:c>
      <x:c r="H51" s="15" t="n">
        <x:v>51</x:v>
      </x:c>
      <x:c r="I51" s="15" t="n">
        <x:v>51</x:v>
      </x:c>
      <x:c r="J51" s="13" t="n">
        <x:f>IF(COUNT('奖励明细'!G51:G51)=ROWS('奖励明细'!G51:G51),SUM('奖励明细'!G51:G51),"缺完整估值")</x:f>
        <x:v>11200</x:v>
      </x:c>
      <x:c r="K51" s="13" t="n">
        <x:f>IF(AND(ISNUMBER(F51),ISNUMBER(J51)),IF(F51&gt;0,J51/F51,"免费"),"不适用")</x:f>
        <x:v>2.5</x:v>
      </x:c>
      <x:c r="L51" s="13" t="n">
        <x:f>IF(AND(ISNUMBER(F51),ISNUMBER(J51)),IF(J51&gt;0,F51/J51*10,"不适用"),"不适用")</x:f>
        <x:v>4</x:v>
      </x:c>
      <x:c r="M51" s="13" t="n">
        <x:v>4</x:v>
      </x:c>
      <x:c r="N51" s="12" t="str">
        <x:v>明细规划</x:v>
      </x:c>
      <x:c r="O51" s="12" t="str">
        <x:v>累充300元开启；</x:v>
      </x:c>
      <x:c r="P51" s="12" t="str">
        <x:v>主/日周月礼包!第62行</x:v>
      </x:c>
    </x:row>
    <x:row r="52" ht="52" customHeight="1">
      <x:c r="A52" s="4" t="str">
        <x:v>P048</x:v>
      </x:c>
      <x:c r="B52" s="4" t="str">
        <x:v>日周月礼包</x:v>
      </x:c>
      <x:c r="C52" s="4" t="str">
        <x:v>月礼包/传说符文/63</x:v>
      </x:c>
      <x:c r="D52" s="4" t="str">
        <x:v>钻石</x:v>
      </x:c>
      <x:c r="E52" s="18" t="n">
        <x:v>1380</x:v>
      </x:c>
      <x:c r="F52" s="14" t="n">
        <x:f>IF(ISNUMBER(E52),E52,"不适用")</x:f>
        <x:v>1380</x:v>
      </x:c>
      <x:c r="G52" s="14" t="n">
        <x:v>1</x:v>
      </x:c>
      <x:c r="H52" s="16" t="n">
        <x:v>52</x:v>
      </x:c>
      <x:c r="I52" s="16" t="n">
        <x:v>52</x:v>
      </x:c>
      <x:c r="J52" s="14" t="n">
        <x:f>IF(COUNT('奖励明细'!G52:G52)=ROWS('奖励明细'!G52:G52),SUM('奖励明细'!G52:G52),"缺完整估值")</x:f>
        <x:v>4096</x:v>
      </x:c>
      <x:c r="K52" s="14" t="n">
        <x:f>IF(AND(ISNUMBER(F52),ISNUMBER(J52)),IF(F52&gt;0,J52/F52,"免费"),"不适用")</x:f>
        <x:v>2.9681159420289855</x:v>
      </x:c>
      <x:c r="L52" s="14" t="n">
        <x:f>IF(AND(ISNUMBER(F52),ISNUMBER(J52)),IF(J52&gt;0,F52/J52*10,"不适用"),"不适用")</x:f>
        <x:v>3.369140625</x:v>
      </x:c>
      <x:c r="M52" s="14" t="n">
        <x:v>1</x:v>
      </x:c>
      <x:c r="N52" s="4" t="str">
        <x:v>明细规划</x:v>
      </x:c>
      <x:c r="O52" s="4" t="str">
        <x:v>累充300元开启；</x:v>
      </x:c>
      <x:c r="P52" s="4" t="str">
        <x:v>主/日周月礼包!第63行</x:v>
      </x:c>
    </x:row>
    <x:row r="53" ht="52" customHeight="1">
      <x:c r="A53" s="12" t="str">
        <x:v>P049</x:v>
      </x:c>
      <x:c r="B53" s="12" t="str">
        <x:v>日周月礼包</x:v>
      </x:c>
      <x:c r="C53" s="12" t="str">
        <x:v>月礼包/神话符文/64</x:v>
      </x:c>
      <x:c r="D53" s="12" t="str">
        <x:v>钻石</x:v>
      </x:c>
      <x:c r="E53" s="17" t="n">
        <x:v>6480</x:v>
      </x:c>
      <x:c r="F53" s="13" t="n">
        <x:f>IF(ISNUMBER(E53),E53,"不适用")</x:f>
        <x:v>6480</x:v>
      </x:c>
      <x:c r="G53" s="13" t="n">
        <x:v>1</x:v>
      </x:c>
      <x:c r="H53" s="15" t="n">
        <x:v>53</x:v>
      </x:c>
      <x:c r="I53" s="15" t="n">
        <x:v>53</x:v>
      </x:c>
      <x:c r="J53" s="13" t="n">
        <x:f>IF(COUNT('奖励明细'!G53:G53)=ROWS('奖励明细'!G53:G53),SUM('奖励明细'!G53:G53),"缺完整估值")</x:f>
        <x:v>16384</x:v>
      </x:c>
      <x:c r="K53" s="13" t="n">
        <x:f>IF(AND(ISNUMBER(F53),ISNUMBER(J53)),IF(F53&gt;0,J53/F53,"免费"),"不适用")</x:f>
        <x:v>2.528395061728395</x:v>
      </x:c>
      <x:c r="L53" s="13" t="n">
        <x:f>IF(AND(ISNUMBER(F53),ISNUMBER(J53)),IF(J53&gt;0,F53/J53*10,"不适用"),"不适用")</x:f>
        <x:v>3.955078125</x:v>
      </x:c>
      <x:c r="M53" s="13" t="n">
        <x:v>1</x:v>
      </x:c>
      <x:c r="N53" s="12" t="str">
        <x:v>明细规划</x:v>
      </x:c>
      <x:c r="O53" s="12" t="str">
        <x:v>累充300元开启；</x:v>
      </x:c>
      <x:c r="P53" s="12" t="str">
        <x:v>主/日周月礼包!第64行</x:v>
      </x:c>
    </x:row>
    <x:row r="54" ht="52" customHeight="1">
      <x:c r="A54" s="4" t="str">
        <x:v>P050</x:v>
      </x:c>
      <x:c r="B54" s="4" t="str">
        <x:v>日周月礼包</x:v>
      </x:c>
      <x:c r="C54" s="4" t="str">
        <x:v>月礼包/转运石/65</x:v>
      </x:c>
      <x:c r="D54" s="4" t="str">
        <x:v>钻石</x:v>
      </x:c>
      <x:c r="E54" s="18" t="n">
        <x:v>1320</x:v>
      </x:c>
      <x:c r="F54" s="14" t="n">
        <x:f>IF(ISNUMBER(E54),E54,"不适用")</x:f>
        <x:v>1320</x:v>
      </x:c>
      <x:c r="G54" s="14" t="n">
        <x:v>6</x:v>
      </x:c>
      <x:c r="H54" s="16" t="n">
        <x:v>54</x:v>
      </x:c>
      <x:c r="I54" s="16" t="n">
        <x:v>54</x:v>
      </x:c>
      <x:c r="J54" s="14" t="n">
        <x:f>IF(COUNT('奖励明细'!G54:G54)=ROWS('奖励明细'!G54:G54),SUM('奖励明细'!G54:G54),"缺完整估值")</x:f>
        <x:v>3300</x:v>
      </x:c>
      <x:c r="K54" s="14" t="n">
        <x:f>IF(AND(ISNUMBER(F54),ISNUMBER(J54)),IF(F54&gt;0,J54/F54,"免费"),"不适用")</x:f>
        <x:v>2.5</x:v>
      </x:c>
      <x:c r="L54" s="14" t="n">
        <x:f>IF(AND(ISNUMBER(F54),ISNUMBER(J54)),IF(J54&gt;0,F54/J54*10,"不适用"),"不适用")</x:f>
        <x:v>4</x:v>
      </x:c>
      <x:c r="M54" s="14" t="n">
        <x:v>4</x:v>
      </x:c>
      <x:c r="N54" s="4" t="str">
        <x:v>明细规划</x:v>
      </x:c>
      <x:c r="O54" s="4" t="str">
        <x:v>累充300元开启；</x:v>
      </x:c>
      <x:c r="P54" s="4" t="str">
        <x:v>主/日周月礼包!第65行</x:v>
      </x:c>
    </x:row>
    <x:row r="55" ht="52" customHeight="1">
      <x:c r="A55" s="12" t="str">
        <x:v>P051</x:v>
      </x:c>
      <x:c r="B55" s="12" t="str">
        <x:v>日周月礼包</x:v>
      </x:c>
      <x:c r="C55" s="12" t="str">
        <x:v>月礼包/智械发条/66</x:v>
      </x:c>
      <x:c r="D55" s="12" t="str">
        <x:v>钻石</x:v>
      </x:c>
      <x:c r="E55" s="17" t="n">
        <x:v>450</x:v>
      </x:c>
      <x:c r="F55" s="13" t="n">
        <x:f>IF(ISNUMBER(E55),E55,"不适用")</x:f>
        <x:v>450</x:v>
      </x:c>
      <x:c r="G55" s="13" t="n">
        <x:v>3</x:v>
      </x:c>
      <x:c r="H55" s="15" t="n">
        <x:v>55</x:v>
      </x:c>
      <x:c r="I55" s="15" t="n">
        <x:v>55</x:v>
      </x:c>
      <x:c r="J55" s="13" t="n">
        <x:f>IF(COUNT('奖励明细'!G55:G55)=ROWS('奖励明细'!G55:G55),SUM('奖励明细'!G55:G55),"缺完整估值")</x:f>
        <x:v>1500</x:v>
      </x:c>
      <x:c r="K55" s="13" t="n">
        <x:f>IF(AND(ISNUMBER(F55),ISNUMBER(J55)),IF(F55&gt;0,J55/F55,"免费"),"不适用")</x:f>
        <x:v>3.3333333333333335</x:v>
      </x:c>
      <x:c r="L55" s="13" t="n">
        <x:f>IF(AND(ISNUMBER(F55),ISNUMBER(J55)),IF(J55&gt;0,F55/J55*10,"不适用"),"不适用")</x:f>
        <x:v>3</x:v>
      </x:c>
      <x:c r="M55" s="13" t="n">
        <x:v>3</x:v>
      </x:c>
      <x:c r="N55" s="12" t="str">
        <x:v>明细规划</x:v>
      </x:c>
      <x:c r="O55" s="12" t="str">
        <x:v>累充300元开启；载具开启</x:v>
      </x:c>
      <x:c r="P55" s="12" t="str">
        <x:v>主/日周月礼包!第66行</x:v>
      </x:c>
    </x:row>
    <x:row r="56" ht="52" customHeight="1">
      <x:c r="A56" s="4" t="str">
        <x:v>P052</x:v>
      </x:c>
      <x:c r="B56" s="4" t="str">
        <x:v>日周月礼包</x:v>
      </x:c>
      <x:c r="C56" s="4" t="str">
        <x:v>月礼包/智械发条/67</x:v>
      </x:c>
      <x:c r="D56" s="4" t="str">
        <x:v>钻石</x:v>
      </x:c>
      <x:c r="E56" s="18" t="n">
        <x:v>1200</x:v>
      </x:c>
      <x:c r="F56" s="14" t="n">
        <x:f>IF(ISNUMBER(E56),E56,"不适用")</x:f>
        <x:v>1200</x:v>
      </x:c>
      <x:c r="G56" s="14" t="n">
        <x:v>2</x:v>
      </x:c>
      <x:c r="H56" s="16" t="n">
        <x:v>56</x:v>
      </x:c>
      <x:c r="I56" s="16" t="n">
        <x:v>56</x:v>
      </x:c>
      <x:c r="J56" s="14" t="n">
        <x:f>IF(COUNT('奖励明细'!G56:G56)=ROWS('奖励明细'!G56:G56),SUM('奖励明细'!G56:G56),"缺完整估值")</x:f>
        <x:v>3000</x:v>
      </x:c>
      <x:c r="K56" s="14" t="n">
        <x:f>IF(AND(ISNUMBER(F56),ISNUMBER(J56)),IF(F56&gt;0,J56/F56,"免费"),"不适用")</x:f>
        <x:v>2.5</x:v>
      </x:c>
      <x:c r="L56" s="14" t="n">
        <x:f>IF(AND(ISNUMBER(F56),ISNUMBER(J56)),IF(J56&gt;0,F56/J56*10,"不适用"),"不适用")</x:f>
        <x:v>4</x:v>
      </x:c>
      <x:c r="M56" s="14" t="n">
        <x:v>4</x:v>
      </x:c>
      <x:c r="N56" s="4" t="str">
        <x:v>明细规划</x:v>
      </x:c>
      <x:c r="O56" s="4" t="str">
        <x:v>累充300元开启；载具开启</x:v>
      </x:c>
      <x:c r="P56" s="4" t="str">
        <x:v>主/日周月礼包!第67行</x:v>
      </x:c>
    </x:row>
    <x:row r="57" ht="52" customHeight="1">
      <x:c r="A57" s="12" t="str">
        <x:v>P053</x:v>
      </x:c>
      <x:c r="B57" s="12" t="str">
        <x:v>日周月礼包</x:v>
      </x:c>
      <x:c r="C57" s="12" t="str">
        <x:v>月礼包/精密齿轮/68</x:v>
      </x:c>
      <x:c r="D57" s="12" t="str">
        <x:v>钻石</x:v>
      </x:c>
      <x:c r="E57" s="17" t="n">
        <x:v>400</x:v>
      </x:c>
      <x:c r="F57" s="13" t="n">
        <x:f>IF(ISNUMBER(E57),E57,"不适用")</x:f>
        <x:v>400</x:v>
      </x:c>
      <x:c r="G57" s="13" t="n">
        <x:v>5</x:v>
      </x:c>
      <x:c r="H57" s="15" t="n">
        <x:v>57</x:v>
      </x:c>
      <x:c r="I57" s="15" t="n">
        <x:v>57</x:v>
      </x:c>
      <x:c r="J57" s="13" t="n">
        <x:f>IF(COUNT('奖励明细'!G57:G57)=ROWS('奖励明细'!G57:G57),SUM('奖励明细'!G57:G57),"缺完整估值")</x:f>
        <x:v>1000</x:v>
      </x:c>
      <x:c r="K57" s="13" t="n">
        <x:f>IF(AND(ISNUMBER(F57),ISNUMBER(J57)),IF(F57&gt;0,J57/F57,"免费"),"不适用")</x:f>
        <x:v>2.5</x:v>
      </x:c>
      <x:c r="L57" s="13" t="n">
        <x:f>IF(AND(ISNUMBER(F57),ISNUMBER(J57)),IF(J57&gt;0,F57/J57*10,"不适用"),"不适用")</x:f>
        <x:v>4</x:v>
      </x:c>
      <x:c r="M57" s="13" t="n">
        <x:v>4</x:v>
      </x:c>
      <x:c r="N57" s="12" t="str">
        <x:v>明细规划</x:v>
      </x:c>
      <x:c r="O57" s="12" t="str">
        <x:v>累充300元开启；载具开启</x:v>
      </x:c>
      <x:c r="P57" s="12" t="str">
        <x:v>主/日周月礼包!第68行</x:v>
      </x:c>
    </x:row>
    <x:row r="58" ht="52" customHeight="1">
      <x:c r="A58" s="4" t="str">
        <x:v>P054</x:v>
      </x:c>
      <x:c r="B58" s="4" t="str">
        <x:v>日周月礼包</x:v>
      </x:c>
      <x:c r="C58" s="4" t="str">
        <x:v>月礼包/怦怦时刻/69</x:v>
      </x:c>
      <x:c r="D58" s="4" t="str">
        <x:v>钻石</x:v>
      </x:c>
      <x:c r="E58" s="18" t="n">
        <x:v>2400</x:v>
      </x:c>
      <x:c r="F58" s="14" t="n">
        <x:f>IF(ISNUMBER(E58),E58,"不适用")</x:f>
        <x:v>2400</x:v>
      </x:c>
      <x:c r="G58" s="14" t="n">
        <x:v>3</x:v>
      </x:c>
      <x:c r="H58" s="16" t="n">
        <x:v>58</x:v>
      </x:c>
      <x:c r="I58" s="16" t="n">
        <x:v>58</x:v>
      </x:c>
      <x:c r="J58" s="14" t="str">
        <x:f>"待核数量"</x:f>
        <x:v>待核数量</x:v>
      </x:c>
      <x:c r="K58" s="14" t="str">
        <x:f>IF(AND(ISNUMBER(F58),ISNUMBER(J58)),IF(F58&gt;0,J58/F58,"免费"),"不适用")</x:f>
        <x:v>不适用</x:v>
      </x:c>
      <x:c r="L58" s="14" t="str">
        <x:f>IF(AND(ISNUMBER(F58),ISNUMBER(J58)),IF(J58&gt;0,F58/J58*10,"不适用"),"不适用")</x:f>
        <x:v>不适用</x:v>
      </x:c>
      <x:c r="M58" s="14" t="n">
        <x:v>5</x:v>
      </x:c>
      <x:c r="N58" s="4" t="str">
        <x:v>明细规划；单价冲突,数量疑似倒置</x:v>
      </x:c>
      <x:c r="O58" s="4" t="str">
        <x:v>累充300元开启；；数量4800/单价1疑似倒置，停算</x:v>
      </x:c>
      <x:c r="P58" s="4" t="str">
        <x:v>主/日周月礼包!第69行</x:v>
      </x:c>
    </x:row>
    <x:row r="59" ht="52" customHeight="1">
      <x:c r="A59" s="12" t="str">
        <x:v>P055</x:v>
      </x:c>
      <x:c r="B59" s="12" t="str">
        <x:v>特惠+充值</x:v>
      </x:c>
      <x:c r="C59" s="12" t="str">
        <x:v>每日特惠1元</x:v>
      </x:c>
      <x:c r="D59" s="12" t="str">
        <x:v>RMB</x:v>
      </x:c>
      <x:c r="E59" s="17" t="n">
        <x:v>1</x:v>
      </x:c>
      <x:c r="F59" s="13" t="n">
        <x:f>IF(ISNUMBER(E59),E59*'来源与口径'!$C$5,"不适用")</x:f>
        <x:v>10</x:v>
      </x:c>
      <x:c r="G59" s="13" t="n">
        <x:v>1</x:v>
      </x:c>
      <x:c r="H59" s="15" t="n">
        <x:v>59</x:v>
      </x:c>
      <x:c r="I59" s="15" t="n">
        <x:v>62</x:v>
      </x:c>
      <x:c r="J59" s="13" t="n">
        <x:f>IF(COUNT('奖励明细'!G59:G62)=ROWS('奖励明细'!G59:G62),SUM('奖励明细'!G59:G62),"缺完整估值")</x:f>
        <x:v>208</x:v>
      </x:c>
      <x:c r="K59" s="13" t="n">
        <x:f>IF(AND(ISNUMBER(F59),ISNUMBER(J59)),IF(F59&gt;0,J59/F59,"免费"),"不适用")</x:f>
        <x:v>20.8</x:v>
      </x:c>
      <x:c r="L59" s="13" t="n">
        <x:f>IF(AND(ISNUMBER(F59),ISNUMBER(J59)),IF(J59&gt;0,F59/J59*10,"不适用"),"不适用")</x:f>
        <x:v>0.4807692307692308</x:v>
      </x:c>
      <x:c r="M59" s="13"/>
      <x:c r="N59" s="12" t="str">
        <x:v>明细规划；单价冲突</x:v>
      </x:c>
      <x:c r="O59" s="12" t="str">
        <x:v>宝箱命名与单价冲突；按字典名称给出条件估值</x:v>
      </x:c>
      <x:c r="P59" s="12" t="str">
        <x:v>主/特惠+充值!B10:I13</x:v>
      </x:c>
    </x:row>
    <x:row r="60" ht="52" customHeight="1">
      <x:c r="A60" s="4" t="str">
        <x:v>P056</x:v>
      </x:c>
      <x:c r="B60" s="4" t="str">
        <x:v>特惠+充值</x:v>
      </x:c>
      <x:c r="C60" s="4" t="str">
        <x:v>每日特惠6元</x:v>
      </x:c>
      <x:c r="D60" s="4" t="str">
        <x:v>RMB</x:v>
      </x:c>
      <x:c r="E60" s="18" t="n">
        <x:v>6</x:v>
      </x:c>
      <x:c r="F60" s="14" t="n">
        <x:f>IF(ISNUMBER(E60),E60*'来源与口径'!$C$5,"不适用")</x:f>
        <x:v>60</x:v>
      </x:c>
      <x:c r="G60" s="14" t="n">
        <x:v>1</x:v>
      </x:c>
      <x:c r="H60" s="16" t="n">
        <x:v>63</x:v>
      </x:c>
      <x:c r="I60" s="16" t="n">
        <x:v>66</x:v>
      </x:c>
      <x:c r="J60" s="14" t="n">
        <x:f>IF(COUNT('奖励明细'!G63:G66)=ROWS('奖励明细'!G63:G66),SUM('奖励明细'!G63:G66),"缺完整估值")</x:f>
        <x:v>584</x:v>
      </x:c>
      <x:c r="K60" s="14" t="n">
        <x:f>IF(AND(ISNUMBER(F60),ISNUMBER(J60)),IF(F60&gt;0,J60/F60,"免费"),"不适用")</x:f>
        <x:v>9.733333333333333</x:v>
      </x:c>
      <x:c r="L60" s="14" t="n">
        <x:f>IF(AND(ISNUMBER(F60),ISNUMBER(J60)),IF(J60&gt;0,F60/J60*10,"不适用"),"不适用")</x:f>
        <x:v>1.0273972602739725</x:v>
      </x:c>
      <x:c r="M60" s="14"/>
      <x:c r="N60" s="4" t="str">
        <x:v>明细规划；单价冲突</x:v>
      </x:c>
      <x:c r="O60" s="4" t="str">
        <x:v>宝箱命名与单价冲突；按字典名称给出条件估值</x:v>
      </x:c>
      <x:c r="P60" s="4" t="str">
        <x:v>主/特惠+充值!B17:I20</x:v>
      </x:c>
    </x:row>
    <x:row r="61" ht="52" customHeight="1">
      <x:c r="A61" s="12" t="str">
        <x:v>P057</x:v>
      </x:c>
      <x:c r="B61" s="12" t="str">
        <x:v>特惠+充值</x:v>
      </x:c>
      <x:c r="C61" s="12" t="str">
        <x:v>每日特惠18元</x:v>
      </x:c>
      <x:c r="D61" s="12" t="str">
        <x:v>RMB</x:v>
      </x:c>
      <x:c r="E61" s="17" t="n">
        <x:v>18</x:v>
      </x:c>
      <x:c r="F61" s="13" t="n">
        <x:f>IF(ISNUMBER(E61),E61*'来源与口径'!$C$5,"不适用")</x:f>
        <x:v>180</x:v>
      </x:c>
      <x:c r="G61" s="13" t="n">
        <x:v>1</x:v>
      </x:c>
      <x:c r="H61" s="15" t="n">
        <x:v>67</x:v>
      </x:c>
      <x:c r="I61" s="15" t="n">
        <x:v>70</x:v>
      </x:c>
      <x:c r="J61" s="13" t="n">
        <x:f>IF(COUNT('奖励明细'!G67:G70)=ROWS('奖励明细'!G67:G70),SUM('奖励明细'!G67:G70),"缺完整估值")</x:f>
        <x:v>850</x:v>
      </x:c>
      <x:c r="K61" s="13" t="n">
        <x:f>IF(AND(ISNUMBER(F61),ISNUMBER(J61)),IF(F61&gt;0,J61/F61,"免费"),"不适用")</x:f>
        <x:v>4.722222222222222</x:v>
      </x:c>
      <x:c r="L61" s="13" t="n">
        <x:f>IF(AND(ISNUMBER(F61),ISNUMBER(J61)),IF(J61&gt;0,F61/J61*10,"不适用"),"不适用")</x:f>
        <x:v>2.1176470588235294</x:v>
      </x:c>
      <x:c r="M61" s="13"/>
      <x:c r="N61" s="12" t="str">
        <x:v>明细规划；单价冲突</x:v>
      </x:c>
      <x:c r="O61" s="12" t="str">
        <x:v>宝箱命名与单价冲突；按字典名称给出条件估值</x:v>
      </x:c>
      <x:c r="P61" s="12" t="str">
        <x:v>主/特惠+充值!B24:I27</x:v>
      </x:c>
    </x:row>
    <x:row r="62" ht="52" customHeight="1">
      <x:c r="A62" s="4" t="str">
        <x:v>P058</x:v>
      </x:c>
      <x:c r="B62" s="4" t="str">
        <x:v>特惠+充值</x:v>
      </x:c>
      <x:c r="C62" s="4" t="str">
        <x:v>推送礼包1/现列价格</x:v>
      </x:c>
      <x:c r="D62" s="4" t="str">
        <x:v>钻石</x:v>
      </x:c>
      <x:c r="E62" s="18" t="n">
        <x:v>388</x:v>
      </x:c>
      <x:c r="F62" s="14" t="n">
        <x:f>IF(ISNUMBER(E62),E62,"不适用")</x:f>
        <x:v>388</x:v>
      </x:c>
      <x:c r="G62" s="14" t="n">
        <x:v>1</x:v>
      </x:c>
      <x:c r="H62" s="16" t="n">
        <x:v>71</x:v>
      </x:c>
      <x:c r="I62" s="16" t="n">
        <x:v>73</x:v>
      </x:c>
      <x:c r="J62" s="14" t="n">
        <x:f>IF(COUNT('奖励明细'!G71:G73)=ROWS('奖励明细'!G71:G73),SUM('奖励明细'!G71:G73),"缺完整估值")</x:f>
        <x:v>938</x:v>
      </x:c>
      <x:c r="K62" s="14" t="n">
        <x:f>IF(AND(ISNUMBER(F62),ISNUMBER(J62)),IF(F62&gt;0,J62/F62,"免费"),"不适用")</x:f>
        <x:v>2.417525773195876</x:v>
      </x:c>
      <x:c r="L62" s="14" t="n">
        <x:f>IF(AND(ISNUMBER(F62),ISNUMBER(J62)),IF(J62&gt;0,F62/J62*10,"不适用"),"不适用")</x:f>
        <x:v>4.136460554371002</x:v>
      </x:c>
      <x:c r="M62" s="14"/>
      <x:c r="N62" s="4" t="str">
        <x:v>与暂定价格并列</x:v>
      </x:c>
      <x:c r="O62" s="4" t="str">
        <x:v>暂定价=488；未确认替换，不能双算</x:v>
      </x:c>
      <x:c r="P62" s="4" t="str">
        <x:v>主/特惠+充值!第90行</x:v>
      </x:c>
    </x:row>
    <x:row r="63" ht="52" customHeight="1">
      <x:c r="A63" s="12" t="str">
        <x:v>P059</x:v>
      </x:c>
      <x:c r="B63" s="12" t="str">
        <x:v>特惠+充值</x:v>
      </x:c>
      <x:c r="C63" s="12" t="str">
        <x:v>推送礼包2/现列价格</x:v>
      </x:c>
      <x:c r="D63" s="12" t="str">
        <x:v>钻石</x:v>
      </x:c>
      <x:c r="E63" s="17" t="n">
        <x:v>788</x:v>
      </x:c>
      <x:c r="F63" s="13" t="n">
        <x:f>IF(ISNUMBER(E63),E63,"不适用")</x:f>
        <x:v>788</x:v>
      </x:c>
      <x:c r="G63" s="13" t="n">
        <x:v>2</x:v>
      </x:c>
      <x:c r="H63" s="15" t="n">
        <x:v>74</x:v>
      </x:c>
      <x:c r="I63" s="15" t="n">
        <x:v>76</x:v>
      </x:c>
      <x:c r="J63" s="13" t="n">
        <x:f>IF(COUNT('奖励明细'!G74:G76)=ROWS('奖励明细'!G74:G76),SUM('奖励明细'!G74:G76),"缺完整估值")</x:f>
        <x:v>1868</x:v>
      </x:c>
      <x:c r="K63" s="13" t="n">
        <x:f>IF(AND(ISNUMBER(F63),ISNUMBER(J63)),IF(F63&gt;0,J63/F63,"免费"),"不适用")</x:f>
        <x:v>2.3705583756345177</x:v>
      </x:c>
      <x:c r="L63" s="13" t="n">
        <x:f>IF(AND(ISNUMBER(F63),ISNUMBER(J63)),IF(J63&gt;0,F63/J63*10,"不适用"),"不适用")</x:f>
        <x:v>4.218415417558886</x:v>
      </x:c>
      <x:c r="M63" s="13"/>
      <x:c r="N63" s="12" t="str">
        <x:v>与暂定价格并列</x:v>
      </x:c>
      <x:c r="O63" s="12" t="str">
        <x:v>暂定价=938；未确认替换，不能双算</x:v>
      </x:c>
      <x:c r="P63" s="12" t="str">
        <x:v>主/特惠+充值!第91行</x:v>
      </x:c>
    </x:row>
    <x:row r="64" ht="52" customHeight="1">
      <x:c r="A64" s="4" t="str">
        <x:v>P060</x:v>
      </x:c>
      <x:c r="B64" s="4" t="str">
        <x:v>特惠+充值</x:v>
      </x:c>
      <x:c r="C64" s="4" t="str">
        <x:v>推送礼包3/现列价格</x:v>
      </x:c>
      <x:c r="D64" s="4" t="str">
        <x:v>钻石</x:v>
      </x:c>
      <x:c r="E64" s="18" t="n">
        <x:v>1688</x:v>
      </x:c>
      <x:c r="F64" s="14" t="n">
        <x:f>IF(ISNUMBER(E64),E64,"不适用")</x:f>
        <x:v>1688</x:v>
      </x:c>
      <x:c r="G64" s="14" t="n">
        <x:v>3</x:v>
      </x:c>
      <x:c r="H64" s="16" t="n">
        <x:v>77</x:v>
      </x:c>
      <x:c r="I64" s="16" t="n">
        <x:v>79</x:v>
      </x:c>
      <x:c r="J64" s="14" t="n">
        <x:f>IF(COUNT('奖励明细'!G77:G79)=ROWS('奖励明细'!G77:G79),SUM('奖励明细'!G77:G79),"缺完整估值")</x:f>
        <x:v>3848</x:v>
      </x:c>
      <x:c r="K64" s="14" t="n">
        <x:f>IF(AND(ISNUMBER(F64),ISNUMBER(J64)),IF(F64&gt;0,J64/F64,"免费"),"不适用")</x:f>
        <x:v>2.279620853080569</x:v>
      </x:c>
      <x:c r="L64" s="14" t="n">
        <x:f>IF(AND(ISNUMBER(F64),ISNUMBER(J64)),IF(J64&gt;0,F64/J64*10,"不适用"),"不适用")</x:f>
        <x:v>4.386694386694387</x:v>
      </x:c>
      <x:c r="M64" s="14"/>
      <x:c r="N64" s="4" t="str">
        <x:v>与暂定价格并列</x:v>
      </x:c>
      <x:c r="O64" s="4" t="str">
        <x:v>暂定价=1988；未确认替换，不能双算</x:v>
      </x:c>
      <x:c r="P64" s="4" t="str">
        <x:v>主/特惠+充值!第92行</x:v>
      </x:c>
    </x:row>
    <x:row r="65" ht="52" customHeight="1">
      <x:c r="A65" s="12" t="str">
        <x:v>P061</x:v>
      </x:c>
      <x:c r="B65" s="12" t="str">
        <x:v>冲刺活动</x:v>
      </x:c>
      <x:c r="C65" s="12" t="str">
        <x:v>招募/每日免费礼包</x:v>
      </x:c>
      <x:c r="D65" s="12" t="str">
        <x:v>钻石</x:v>
      </x:c>
      <x:c r="E65" s="17" t="n">
        <x:v>0</x:v>
      </x:c>
      <x:c r="F65" s="13" t="n">
        <x:f>IF(ISNUMBER(E65),E65,"不适用")</x:f>
        <x:v>0</x:v>
      </x:c>
      <x:c r="G65" s="13" t="n">
        <x:v>1</x:v>
      </x:c>
      <x:c r="H65" s="15" t="n">
        <x:v>80</x:v>
      </x:c>
      <x:c r="I65" s="15" t="n">
        <x:v>80</x:v>
      </x:c>
      <x:c r="J65" s="13" t="n">
        <x:f>IF(COUNT('奖励明细'!G80:G80)=ROWS('奖励明细'!G80:G80),SUM('奖励明细'!G80:G80),"缺完整估值")</x:f>
        <x:v>60</x:v>
      </x:c>
      <x:c r="K65" s="13" t="str">
        <x:f>IF(AND(ISNUMBER(F65),ISNUMBER(J65)),IF(F65&gt;0,J65/F65,"免费"),"不适用")</x:f>
        <x:v>免费</x:v>
      </x:c>
      <x:c r="L65" s="13" t="n">
        <x:f>IF(AND(ISNUMBER(F65),ISNUMBER(J65)),IF(J65&gt;0,F65/J65*10,"不适用"),"不适用")</x:f>
        <x:v>0</x:v>
      </x:c>
      <x:c r="M65" s="13"/>
      <x:c r="N65" s="12" t="str">
        <x:v>明细规划</x:v>
      </x:c>
      <x:c r="O65" s="12" t="str">
        <x:v>仅算礼包本身；达标返利、排行不重复并入</x:v>
      </x:c>
      <x:c r="P65" s="12" t="str">
        <x:v>主/冲刺活动!第43行</x:v>
      </x:c>
    </x:row>
    <x:row r="66" ht="52" customHeight="1">
      <x:c r="A66" s="4" t="str">
        <x:v>P062</x:v>
      </x:c>
      <x:c r="B66" s="4" t="str">
        <x:v>冲刺活动</x:v>
      </x:c>
      <x:c r="C66" s="4" t="str">
        <x:v>招募/钻石礼包</x:v>
      </x:c>
      <x:c r="D66" s="4" t="str">
        <x:v>钻石</x:v>
      </x:c>
      <x:c r="E66" s="18" t="n">
        <x:v>268</x:v>
      </x:c>
      <x:c r="F66" s="14" t="n">
        <x:f>IF(ISNUMBER(E66),E66,"不适用")</x:f>
        <x:v>268</x:v>
      </x:c>
      <x:c r="G66" s="14" t="n">
        <x:v>3</x:v>
      </x:c>
      <x:c r="H66" s="16" t="n">
        <x:v>81</x:v>
      </x:c>
      <x:c r="I66" s="16" t="n">
        <x:v>82</x:v>
      </x:c>
      <x:c r="J66" s="14" t="n">
        <x:f>IF(COUNT('奖励明细'!G81:G82)=ROWS('奖励明细'!G81:G82),SUM('奖励明细'!G81:G82),"缺完整估值")</x:f>
        <x:v>650</x:v>
      </x:c>
      <x:c r="K66" s="14" t="n">
        <x:f>IF(AND(ISNUMBER(F66),ISNUMBER(J66)),IF(F66&gt;0,J66/F66,"免费"),"不适用")</x:f>
        <x:v>2.425373134328358</x:v>
      </x:c>
      <x:c r="L66" s="14" t="n">
        <x:f>IF(AND(ISNUMBER(F66),ISNUMBER(J66)),IF(J66&gt;0,F66/J66*10,"不适用"),"不适用")</x:f>
        <x:v>4.1230769230769235</x:v>
      </x:c>
      <x:c r="M66" s="14"/>
      <x:c r="N66" s="4" t="str">
        <x:v>明细规划</x:v>
      </x:c>
      <x:c r="O66" s="4" t="str">
        <x:v>仅算礼包本身；达标返利、排行不重复并入</x:v>
      </x:c>
      <x:c r="P66" s="4" t="str">
        <x:v>主/冲刺活动!第44行</x:v>
      </x:c>
    </x:row>
    <x:row r="67" ht="52" customHeight="1">
      <x:c r="A67" s="12" t="str">
        <x:v>P063</x:v>
      </x:c>
      <x:c r="B67" s="12" t="str">
        <x:v>冲刺活动</x:v>
      </x:c>
      <x:c r="C67" s="12" t="str">
        <x:v>招募/6元礼包</x:v>
      </x:c>
      <x:c r="D67" s="12" t="str">
        <x:v>RMB</x:v>
      </x:c>
      <x:c r="E67" s="17" t="n">
        <x:v>6</x:v>
      </x:c>
      <x:c r="F67" s="13" t="n">
        <x:f>IF(ISNUMBER(E67),E67*'来源与口径'!$C$5,"不适用")</x:f>
        <x:v>60</x:v>
      </x:c>
      <x:c r="G67" s="13" t="n">
        <x:v>3</x:v>
      </x:c>
      <x:c r="H67" s="15" t="n">
        <x:v>83</x:v>
      </x:c>
      <x:c r="I67" s="15" t="n">
        <x:v>85</x:v>
      </x:c>
      <x:c r="J67" s="13" t="n">
        <x:f>IF(COUNT('奖励明细'!G83:G85)=ROWS('奖励明细'!G83:G85),SUM('奖励明细'!G83:G85),"缺完整估值")</x:f>
        <x:v>610</x:v>
      </x:c>
      <x:c r="K67" s="13" t="n">
        <x:f>IF(AND(ISNUMBER(F67),ISNUMBER(J67)),IF(F67&gt;0,J67/F67,"免费"),"不适用")</x:f>
        <x:v>10.166666666666666</x:v>
      </x:c>
      <x:c r="L67" s="13" t="n">
        <x:f>IF(AND(ISNUMBER(F67),ISNUMBER(J67)),IF(J67&gt;0,F67/J67*10,"不适用"),"不适用")</x:f>
        <x:v>0.9836065573770492</x:v>
      </x:c>
      <x:c r="M67" s="13"/>
      <x:c r="N67" s="12" t="str">
        <x:v>明细规划</x:v>
      </x:c>
      <x:c r="O67" s="12" t="str">
        <x:v>仅算礼包本身；达标返利、排行不重复并入</x:v>
      </x:c>
      <x:c r="P67" s="12" t="str">
        <x:v>主/冲刺活动!第45行</x:v>
      </x:c>
    </x:row>
    <x:row r="68" ht="52" customHeight="1">
      <x:c r="A68" s="4" t="str">
        <x:v>P064</x:v>
      </x:c>
      <x:c r="B68" s="4" t="str">
        <x:v>冲刺活动</x:v>
      </x:c>
      <x:c r="C68" s="4" t="str">
        <x:v>招募/钻石礼包</x:v>
      </x:c>
      <x:c r="D68" s="4" t="str">
        <x:v>钻石</x:v>
      </x:c>
      <x:c r="E68" s="18" t="n">
        <x:v>688</x:v>
      </x:c>
      <x:c r="F68" s="14" t="n">
        <x:f>IF(ISNUMBER(E68),E68,"不适用")</x:f>
        <x:v>688</x:v>
      </x:c>
      <x:c r="G68" s="14" t="n">
        <x:v>5</x:v>
      </x:c>
      <x:c r="H68" s="16" t="n">
        <x:v>86</x:v>
      </x:c>
      <x:c r="I68" s="16" t="n">
        <x:v>87</x:v>
      </x:c>
      <x:c r="J68" s="14" t="n">
        <x:f>IF(COUNT('奖励明细'!G86:G87)=ROWS('奖励明细'!G86:G87),SUM('奖励明细'!G86:G87),"缺完整估值")</x:f>
        <x:v>1350</x:v>
      </x:c>
      <x:c r="K68" s="14" t="n">
        <x:f>IF(AND(ISNUMBER(F68),ISNUMBER(J68)),IF(F68&gt;0,J68/F68,"免费"),"不适用")</x:f>
        <x:v>1.9622093023255813</x:v>
      </x:c>
      <x:c r="L68" s="14" t="n">
        <x:f>IF(AND(ISNUMBER(F68),ISNUMBER(J68)),IF(J68&gt;0,F68/J68*10,"不适用"),"不适用")</x:f>
        <x:v>5.0962962962962965</x:v>
      </x:c>
      <x:c r="M68" s="14"/>
      <x:c r="N68" s="4" t="str">
        <x:v>明细规划</x:v>
      </x:c>
      <x:c r="O68" s="4" t="str">
        <x:v>仅算礼包本身；达标返利、排行不重复并入</x:v>
      </x:c>
      <x:c r="P68" s="4" t="str">
        <x:v>主/冲刺活动!第46行</x:v>
      </x:c>
    </x:row>
    <x:row r="69" ht="52" customHeight="1">
      <x:c r="A69" s="12" t="str">
        <x:v>P065</x:v>
      </x:c>
      <x:c r="B69" s="12" t="str">
        <x:v>冲刺活动</x:v>
      </x:c>
      <x:c r="C69" s="12" t="str">
        <x:v>招募/30元礼包</x:v>
      </x:c>
      <x:c r="D69" s="12" t="str">
        <x:v>RMB</x:v>
      </x:c>
      <x:c r="E69" s="17" t="n">
        <x:v>30</x:v>
      </x:c>
      <x:c r="F69" s="13" t="n">
        <x:f>IF(ISNUMBER(E69),E69*'来源与口径'!$C$5,"不适用")</x:f>
        <x:v>300</x:v>
      </x:c>
      <x:c r="G69" s="13" t="n">
        <x:v>3</x:v>
      </x:c>
      <x:c r="H69" s="15" t="n">
        <x:v>88</x:v>
      </x:c>
      <x:c r="I69" s="15" t="n">
        <x:v>89</x:v>
      </x:c>
      <x:c r="J69" s="13" t="n">
        <x:f>IF(COUNT('奖励明细'!G88:G89)=ROWS('奖励明细'!G88:G89),SUM('奖励明细'!G88:G89),"缺完整估值")</x:f>
        <x:v>1800</x:v>
      </x:c>
      <x:c r="K69" s="13" t="n">
        <x:f>IF(AND(ISNUMBER(F69),ISNUMBER(J69)),IF(F69&gt;0,J69/F69,"免费"),"不适用")</x:f>
        <x:v>6</x:v>
      </x:c>
      <x:c r="L69" s="13" t="n">
        <x:f>IF(AND(ISNUMBER(F69),ISNUMBER(J69)),IF(J69&gt;0,F69/J69*10,"不适用"),"不适用")</x:f>
        <x:v>1.6666666666666665</x:v>
      </x:c>
      <x:c r="M69" s="13"/>
      <x:c r="N69" s="12" t="str">
        <x:v>明细规划</x:v>
      </x:c>
      <x:c r="O69" s="12" t="str">
        <x:v>仅算礼包本身；达标返利、排行不重复并入</x:v>
      </x:c>
      <x:c r="P69" s="12" t="str">
        <x:v>主/冲刺活动!第47行</x:v>
      </x:c>
    </x:row>
    <x:row r="70" ht="52" customHeight="1">
      <x:c r="A70" s="4" t="str">
        <x:v>P066</x:v>
      </x:c>
      <x:c r="B70" s="4" t="str">
        <x:v>冲刺活动</x:v>
      </x:c>
      <x:c r="C70" s="4" t="str">
        <x:v>招募/钻石礼包</x:v>
      </x:c>
      <x:c r="D70" s="4" t="str">
        <x:v>钻石</x:v>
      </x:c>
      <x:c r="E70" s="18" t="n">
        <x:v>1588</x:v>
      </x:c>
      <x:c r="F70" s="14" t="n">
        <x:f>IF(ISNUMBER(E70),E70,"不适用")</x:f>
        <x:v>1588</x:v>
      </x:c>
      <x:c r="G70" s="14" t="n">
        <x:v>5</x:v>
      </x:c>
      <x:c r="H70" s="16" t="n">
        <x:v>90</x:v>
      </x:c>
      <x:c r="I70" s="16" t="n">
        <x:v>91</x:v>
      </x:c>
      <x:c r="J70" s="14" t="n">
        <x:f>IF(COUNT('奖励明细'!G90:G91)=ROWS('奖励明细'!G90:G91),SUM('奖励明细'!G90:G91),"缺完整估值")</x:f>
        <x:v>2600</x:v>
      </x:c>
      <x:c r="K70" s="14" t="n">
        <x:f>IF(AND(ISNUMBER(F70),ISNUMBER(J70)),IF(F70&gt;0,J70/F70,"免费"),"不适用")</x:f>
        <x:v>1.63727959697733</x:v>
      </x:c>
      <x:c r="L70" s="14" t="n">
        <x:f>IF(AND(ISNUMBER(F70),ISNUMBER(J70)),IF(J70&gt;0,F70/J70*10,"不适用"),"不适用")</x:f>
        <x:v>6.107692307692307</x:v>
      </x:c>
      <x:c r="M70" s="14"/>
      <x:c r="N70" s="4" t="str">
        <x:v>明细规划</x:v>
      </x:c>
      <x:c r="O70" s="4" t="str">
        <x:v>仅算礼包本身；达标返利、排行不重复并入</x:v>
      </x:c>
      <x:c r="P70" s="4" t="str">
        <x:v>主/冲刺活动!第48行</x:v>
      </x:c>
    </x:row>
    <x:row r="71" ht="52" customHeight="1">
      <x:c r="A71" s="12" t="str">
        <x:v>P067</x:v>
      </x:c>
      <x:c r="B71" s="12" t="str">
        <x:v>冲刺活动</x:v>
      </x:c>
      <x:c r="C71" s="12" t="str">
        <x:v>招募/钻石礼包</x:v>
      </x:c>
      <x:c r="D71" s="12" t="str">
        <x:v>钻石</x:v>
      </x:c>
      <x:c r="E71" s="17" t="n">
        <x:v>2288</x:v>
      </x:c>
      <x:c r="F71" s="13" t="n">
        <x:f>IF(ISNUMBER(E71),E71,"不适用")</x:f>
        <x:v>2288</x:v>
      </x:c>
      <x:c r="G71" s="13" t="n">
        <x:v>5</x:v>
      </x:c>
      <x:c r="H71" s="15" t="n">
        <x:v>92</x:v>
      </x:c>
      <x:c r="I71" s="15" t="n">
        <x:v>93</x:v>
      </x:c>
      <x:c r="J71" s="13" t="n">
        <x:f>IF(COUNT('奖励明细'!G92:G93)=ROWS('奖励明细'!G92:G93),SUM('奖励明细'!G92:G93),"缺完整估值")</x:f>
        <x:v>3300</x:v>
      </x:c>
      <x:c r="K71" s="13" t="n">
        <x:f>IF(AND(ISNUMBER(F71),ISNUMBER(J71)),IF(F71&gt;0,J71/F71,"免费"),"不适用")</x:f>
        <x:v>1.4423076923076923</x:v>
      </x:c>
      <x:c r="L71" s="13" t="n">
        <x:f>IF(AND(ISNUMBER(F71),ISNUMBER(J71)),IF(J71&gt;0,F71/J71*10,"不适用"),"不适用")</x:f>
        <x:v>6.933333333333334</x:v>
      </x:c>
      <x:c r="M71" s="13"/>
      <x:c r="N71" s="12" t="str">
        <x:v>明细规划</x:v>
      </x:c>
      <x:c r="O71" s="12" t="str">
        <x:v>仅算礼包本身；达标返利、排行不重复并入</x:v>
      </x:c>
      <x:c r="P71" s="12" t="str">
        <x:v>主/冲刺活动!第49行</x:v>
      </x:c>
    </x:row>
    <x:row r="72" ht="52" customHeight="1">
      <x:c r="A72" s="4" t="str">
        <x:v>P068</x:v>
      </x:c>
      <x:c r="B72" s="4" t="str">
        <x:v>冲刺活动</x:v>
      </x:c>
      <x:c r="C72" s="4" t="str">
        <x:v>招募/328元礼包</x:v>
      </x:c>
      <x:c r="D72" s="4" t="str">
        <x:v>RMB</x:v>
      </x:c>
      <x:c r="E72" s="18" t="n">
        <x:v>328</x:v>
      </x:c>
      <x:c r="F72" s="14" t="n">
        <x:f>IF(ISNUMBER(E72),E72*'来源与口径'!$C$5,"不适用")</x:f>
        <x:v>3280</x:v>
      </x:c>
      <x:c r="G72" s="14" t="n">
        <x:v>3</x:v>
      </x:c>
      <x:c r="H72" s="16" t="n">
        <x:v>94</x:v>
      </x:c>
      <x:c r="I72" s="16" t="n">
        <x:v>95</x:v>
      </x:c>
      <x:c r="J72" s="14" t="n">
        <x:f>IF(COUNT('奖励明细'!G94:G95)=ROWS('奖励明细'!G94:G95),SUM('奖励明细'!G94:G95),"缺完整估值")</x:f>
        <x:v>7780</x:v>
      </x:c>
      <x:c r="K72" s="14" t="n">
        <x:f>IF(AND(ISNUMBER(F72),ISNUMBER(J72)),IF(F72&gt;0,J72/F72,"免费"),"不适用")</x:f>
        <x:v>2.3719512195121952</x:v>
      </x:c>
      <x:c r="L72" s="14" t="n">
        <x:f>IF(AND(ISNUMBER(F72),ISNUMBER(J72)),IF(J72&gt;0,F72/J72*10,"不适用"),"不适用")</x:f>
        <x:v>4.215938303341902</x:v>
      </x:c>
      <x:c r="M72" s="14"/>
      <x:c r="N72" s="4" t="str">
        <x:v>明细规划</x:v>
      </x:c>
      <x:c r="O72" s="4" t="str">
        <x:v>仅算礼包本身；达标返利、排行不重复并入</x:v>
      </x:c>
      <x:c r="P72" s="4" t="str">
        <x:v>主/冲刺活动!第50行</x:v>
      </x:c>
    </x:row>
    <x:row r="73" ht="52" customHeight="1">
      <x:c r="A73" s="12" t="str">
        <x:v>P069</x:v>
      </x:c>
      <x:c r="B73" s="12" t="str">
        <x:v>冲刺活动</x:v>
      </x:c>
      <x:c r="C73" s="12" t="str">
        <x:v>招募/钻石礼包</x:v>
      </x:c>
      <x:c r="D73" s="12" t="str">
        <x:v>钻石</x:v>
      </x:c>
      <x:c r="E73" s="17" t="n">
        <x:v>4888</x:v>
      </x:c>
      <x:c r="F73" s="13" t="n">
        <x:f>IF(ISNUMBER(E73),E73,"不适用")</x:f>
        <x:v>4888</x:v>
      </x:c>
      <x:c r="G73" s="13" t="n">
        <x:v>3</x:v>
      </x:c>
      <x:c r="H73" s="15" t="n">
        <x:v>96</x:v>
      </x:c>
      <x:c r="I73" s="15" t="n">
        <x:v>97</x:v>
      </x:c>
      <x:c r="J73" s="13" t="n">
        <x:f>IF(COUNT('奖励明细'!G96:G97)=ROWS('奖励明细'!G96:G97),SUM('奖励明细'!G96:G97),"缺完整估值")</x:f>
        <x:v>6500</x:v>
      </x:c>
      <x:c r="K73" s="13" t="n">
        <x:f>IF(AND(ISNUMBER(F73),ISNUMBER(J73)),IF(F73&gt;0,J73/F73,"免费"),"不适用")</x:f>
        <x:v>1.3297872340425532</x:v>
      </x:c>
      <x:c r="L73" s="13" t="n">
        <x:f>IF(AND(ISNUMBER(F73),ISNUMBER(J73)),IF(J73&gt;0,F73/J73*10,"不适用"),"不适用")</x:f>
        <x:v>7.52</x:v>
      </x:c>
      <x:c r="M73" s="13"/>
      <x:c r="N73" s="12" t="str">
        <x:v>明细规划</x:v>
      </x:c>
      <x:c r="O73" s="12" t="str">
        <x:v>仅算礼包本身；达标返利、排行不重复并入</x:v>
      </x:c>
      <x:c r="P73" s="12" t="str">
        <x:v>主/冲刺活动!第51行</x:v>
      </x:c>
    </x:row>
    <x:row r="74" ht="52" customHeight="1">
      <x:c r="A74" s="4" t="str">
        <x:v>P070</x:v>
      </x:c>
      <x:c r="B74" s="4" t="str">
        <x:v>冲刺活动</x:v>
      </x:c>
      <x:c r="C74" s="4" t="str">
        <x:v>符文/每日免费礼包</x:v>
      </x:c>
      <x:c r="D74" s="4" t="str">
        <x:v>钻石</x:v>
      </x:c>
      <x:c r="E74" s="18" t="n">
        <x:v>0</x:v>
      </x:c>
      <x:c r="F74" s="14" t="n">
        <x:f>IF(ISNUMBER(E74),E74,"不适用")</x:f>
        <x:v>0</x:v>
      </x:c>
      <x:c r="G74" s="14" t="n">
        <x:v>1</x:v>
      </x:c>
      <x:c r="H74" s="16" t="n">
        <x:v>98</x:v>
      </x:c>
      <x:c r="I74" s="16" t="n">
        <x:v>98</x:v>
      </x:c>
      <x:c r="J74" s="14" t="n">
        <x:f>IF(COUNT('奖励明细'!G98:G98)=ROWS('奖励明细'!G98:G98),SUM('奖励明细'!G98:G98),"缺完整估值")</x:f>
        <x:v>100</x:v>
      </x:c>
      <x:c r="K74" s="14" t="str">
        <x:f>IF(AND(ISNUMBER(F74),ISNUMBER(J74)),IF(F74&gt;0,J74/F74,"免费"),"不适用")</x:f>
        <x:v>免费</x:v>
      </x:c>
      <x:c r="L74" s="14" t="n">
        <x:f>IF(AND(ISNUMBER(F74),ISNUMBER(J74)),IF(J74&gt;0,F74/J74*10,"不适用"),"不适用")</x:f>
        <x:v>0</x:v>
      </x:c>
      <x:c r="M74" s="14"/>
      <x:c r="N74" s="4" t="str">
        <x:v>明细规划</x:v>
      </x:c>
      <x:c r="O74" s="4" t="str">
        <x:v>仅算礼包本身；达标返利、排行不重复并入</x:v>
      </x:c>
      <x:c r="P74" s="4" t="str">
        <x:v>主/冲刺活动!第115行</x:v>
      </x:c>
    </x:row>
    <x:row r="75" ht="52" customHeight="1">
      <x:c r="A75" s="12" t="str">
        <x:v>P071</x:v>
      </x:c>
      <x:c r="B75" s="12" t="str">
        <x:v>冲刺活动</x:v>
      </x:c>
      <x:c r="C75" s="12" t="str">
        <x:v>符文/钻石礼包</x:v>
      </x:c>
      <x:c r="D75" s="12" t="str">
        <x:v>钻石</x:v>
      </x:c>
      <x:c r="E75" s="17" t="n">
        <x:v>168</x:v>
      </x:c>
      <x:c r="F75" s="13" t="n">
        <x:f>IF(ISNUMBER(E75),E75,"不适用")</x:f>
        <x:v>168</x:v>
      </x:c>
      <x:c r="G75" s="13" t="n">
        <x:v>3</x:v>
      </x:c>
      <x:c r="H75" s="15" t="n">
        <x:v>99</x:v>
      </x:c>
      <x:c r="I75" s="15" t="n">
        <x:v>100</x:v>
      </x:c>
      <x:c r="J75" s="13" t="n">
        <x:f>IF(COUNT('奖励明细'!G99:G100)=ROWS('奖励明细'!G99:G100),SUM('奖励明细'!G99:G100),"缺完整估值")</x:f>
        <x:v>610</x:v>
      </x:c>
      <x:c r="K75" s="13" t="n">
        <x:f>IF(AND(ISNUMBER(F75),ISNUMBER(J75)),IF(F75&gt;0,J75/F75,"免费"),"不适用")</x:f>
        <x:v>3.630952380952381</x:v>
      </x:c>
      <x:c r="L75" s="13" t="n">
        <x:f>IF(AND(ISNUMBER(F75),ISNUMBER(J75)),IF(J75&gt;0,F75/J75*10,"不适用"),"不适用")</x:f>
        <x:v>2.754098360655738</x:v>
      </x:c>
      <x:c r="M75" s="13"/>
      <x:c r="N75" s="12" t="str">
        <x:v>明细规划</x:v>
      </x:c>
      <x:c r="O75" s="12" t="str">
        <x:v>仅算礼包本身；达标返利、排行不重复并入</x:v>
      </x:c>
      <x:c r="P75" s="12" t="str">
        <x:v>主/冲刺活动!第116行</x:v>
      </x:c>
    </x:row>
    <x:row r="76" ht="52" customHeight="1">
      <x:c r="A76" s="4" t="str">
        <x:v>P072</x:v>
      </x:c>
      <x:c r="B76" s="4" t="str">
        <x:v>冲刺活动</x:v>
      </x:c>
      <x:c r="C76" s="4" t="str">
        <x:v>符文/6元礼包</x:v>
      </x:c>
      <x:c r="D76" s="4" t="str">
        <x:v>RMB</x:v>
      </x:c>
      <x:c r="E76" s="18" t="n">
        <x:v>6</x:v>
      </x:c>
      <x:c r="F76" s="14" t="n">
        <x:f>IF(ISNUMBER(E76),E76*'来源与口径'!$C$5,"不适用")</x:f>
        <x:v>60</x:v>
      </x:c>
      <x:c r="G76" s="14" t="n">
        <x:v>3</x:v>
      </x:c>
      <x:c r="H76" s="16" t="n">
        <x:v>101</x:v>
      </x:c>
      <x:c r="I76" s="16" t="n">
        <x:v>102</x:v>
      </x:c>
      <x:c r="J76" s="14" t="n">
        <x:f>IF(COUNT('奖励明细'!G101:G102)=ROWS('奖励明细'!G101:G102),SUM('奖励明细'!G101:G102),"缺完整估值")</x:f>
        <x:v>620</x:v>
      </x:c>
      <x:c r="K76" s="14" t="n">
        <x:f>IF(AND(ISNUMBER(F76),ISNUMBER(J76)),IF(F76&gt;0,J76/F76,"免费"),"不适用")</x:f>
        <x:v>10.333333333333334</x:v>
      </x:c>
      <x:c r="L76" s="14" t="n">
        <x:f>IF(AND(ISNUMBER(F76),ISNUMBER(J76)),IF(J76&gt;0,F76/J76*10,"不适用"),"不适用")</x:f>
        <x:v>0.967741935483871</x:v>
      </x:c>
      <x:c r="M76" s="14"/>
      <x:c r="N76" s="4" t="str">
        <x:v>明细规划</x:v>
      </x:c>
      <x:c r="O76" s="4" t="str">
        <x:v>仅算礼包本身；达标返利、排行不重复并入</x:v>
      </x:c>
      <x:c r="P76" s="4" t="str">
        <x:v>主/冲刺活动!第117行</x:v>
      </x:c>
    </x:row>
    <x:row r="77" ht="52" customHeight="1">
      <x:c r="A77" s="12" t="str">
        <x:v>P073</x:v>
      </x:c>
      <x:c r="B77" s="12" t="str">
        <x:v>冲刺活动</x:v>
      </x:c>
      <x:c r="C77" s="12" t="str">
        <x:v>符文/钻石礼包</x:v>
      </x:c>
      <x:c r="D77" s="12" t="str">
        <x:v>钻石</x:v>
      </x:c>
      <x:c r="E77" s="17" t="n">
        <x:v>888</x:v>
      </x:c>
      <x:c r="F77" s="13" t="n">
        <x:f>IF(ISNUMBER(E77),E77,"不适用")</x:f>
        <x:v>888</x:v>
      </x:c>
      <x:c r="G77" s="13" t="n">
        <x:v>3</x:v>
      </x:c>
      <x:c r="H77" s="15" t="n">
        <x:v>103</x:v>
      </x:c>
      <x:c r="I77" s="15" t="n">
        <x:v>103</x:v>
      </x:c>
      <x:c r="J77" s="13" t="n">
        <x:f>IF(COUNT('奖励明细'!G103:G103)=ROWS('奖励明细'!G103:G103),SUM('奖励明细'!G103:G103),"缺完整估值")</x:f>
        <x:v>2240</x:v>
      </x:c>
      <x:c r="K77" s="13" t="n">
        <x:f>IF(AND(ISNUMBER(F77),ISNUMBER(J77)),IF(F77&gt;0,J77/F77,"免费"),"不适用")</x:f>
        <x:v>2.5225225225225225</x:v>
      </x:c>
      <x:c r="L77" s="13" t="n">
        <x:f>IF(AND(ISNUMBER(F77),ISNUMBER(J77)),IF(J77&gt;0,F77/J77*10,"不适用"),"不适用")</x:f>
        <x:v>3.964285714285714</x:v>
      </x:c>
      <x:c r="M77" s="13"/>
      <x:c r="N77" s="12" t="str">
        <x:v>明细规划</x:v>
      </x:c>
      <x:c r="O77" s="12" t="str">
        <x:v>仅算礼包本身；达标返利、排行不重复并入</x:v>
      </x:c>
      <x:c r="P77" s="12" t="str">
        <x:v>主/冲刺活动!第118行</x:v>
      </x:c>
    </x:row>
    <x:row r="78" ht="52" customHeight="1">
      <x:c r="A78" s="4" t="str">
        <x:v>P074</x:v>
      </x:c>
      <x:c r="B78" s="4" t="str">
        <x:v>冲刺活动</x:v>
      </x:c>
      <x:c r="C78" s="4" t="str">
        <x:v>符文/30元礼包</x:v>
      </x:c>
      <x:c r="D78" s="4" t="str">
        <x:v>RMB</x:v>
      </x:c>
      <x:c r="E78" s="18" t="n">
        <x:v>30</x:v>
      </x:c>
      <x:c r="F78" s="14" t="n">
        <x:f>IF(ISNUMBER(E78),E78*'来源与口径'!$C$5,"不适用")</x:f>
        <x:v>300</x:v>
      </x:c>
      <x:c r="G78" s="14" t="n">
        <x:v>3</x:v>
      </x:c>
      <x:c r="H78" s="16" t="n">
        <x:v>104</x:v>
      </x:c>
      <x:c r="I78" s="16" t="n">
        <x:v>105</x:v>
      </x:c>
      <x:c r="J78" s="14" t="n">
        <x:f>IF(COUNT('奖励明细'!G104:G105)=ROWS('奖励明细'!G104:G105),SUM('奖励明细'!G104:G105),"缺完整估值")</x:f>
        <x:v>1700</x:v>
      </x:c>
      <x:c r="K78" s="14" t="n">
        <x:f>IF(AND(ISNUMBER(F78),ISNUMBER(J78)),IF(F78&gt;0,J78/F78,"免费"),"不适用")</x:f>
        <x:v>5.666666666666667</x:v>
      </x:c>
      <x:c r="L78" s="14" t="n">
        <x:f>IF(AND(ISNUMBER(F78),ISNUMBER(J78)),IF(J78&gt;0,F78/J78*10,"不适用"),"不适用")</x:f>
        <x:v>1.7647058823529413</x:v>
      </x:c>
      <x:c r="M78" s="14"/>
      <x:c r="N78" s="4" t="str">
        <x:v>明细规划</x:v>
      </x:c>
      <x:c r="O78" s="4" t="str">
        <x:v>仅算礼包本身；达标返利、排行不重复并入</x:v>
      </x:c>
      <x:c r="P78" s="4" t="str">
        <x:v>主/冲刺活动!第119行</x:v>
      </x:c>
    </x:row>
    <x:row r="79" ht="52" customHeight="1">
      <x:c r="A79" s="12" t="str">
        <x:v>P075</x:v>
      </x:c>
      <x:c r="B79" s="12" t="str">
        <x:v>冲刺活动</x:v>
      </x:c>
      <x:c r="C79" s="12" t="str">
        <x:v>符文/钻石礼包</x:v>
      </x:c>
      <x:c r="D79" s="12" t="str">
        <x:v>钻石</x:v>
      </x:c>
      <x:c r="E79" s="17" t="n">
        <x:v>1888</x:v>
      </x:c>
      <x:c r="F79" s="13" t="n">
        <x:f>IF(ISNUMBER(E79),E79,"不适用")</x:f>
        <x:v>1888</x:v>
      </x:c>
      <x:c r="G79" s="13" t="n">
        <x:v>5</x:v>
      </x:c>
      <x:c r="H79" s="15" t="n">
        <x:v>106</x:v>
      </x:c>
      <x:c r="I79" s="15" t="n">
        <x:v>107</x:v>
      </x:c>
      <x:c r="J79" s="13" t="n">
        <x:f>IF(COUNT('奖励明细'!G106:G107)=ROWS('奖励明细'!G106:G107),SUM('奖励明细'!G106:G107),"缺完整估值")</x:f>
        <x:v>4080</x:v>
      </x:c>
      <x:c r="K79" s="13" t="n">
        <x:f>IF(AND(ISNUMBER(F79),ISNUMBER(J79)),IF(F79&gt;0,J79/F79,"免费"),"不适用")</x:f>
        <x:v>2.1610169491525424</x:v>
      </x:c>
      <x:c r="L79" s="13" t="n">
        <x:f>IF(AND(ISNUMBER(F79),ISNUMBER(J79)),IF(J79&gt;0,F79/J79*10,"不适用"),"不适用")</x:f>
        <x:v>4.627450980392157</x:v>
      </x:c>
      <x:c r="M79" s="13"/>
      <x:c r="N79" s="12" t="str">
        <x:v>明细规划</x:v>
      </x:c>
      <x:c r="O79" s="12" t="str">
        <x:v>仅算礼包本身；达标返利、排行不重复并入</x:v>
      </x:c>
      <x:c r="P79" s="12" t="str">
        <x:v>主/冲刺活动!第120行</x:v>
      </x:c>
    </x:row>
    <x:row r="80" ht="52" customHeight="1">
      <x:c r="A80" s="4" t="str">
        <x:v>P076</x:v>
      </x:c>
      <x:c r="B80" s="4" t="str">
        <x:v>冲刺活动</x:v>
      </x:c>
      <x:c r="C80" s="4" t="str">
        <x:v>符文/钻石礼包</x:v>
      </x:c>
      <x:c r="D80" s="4" t="str">
        <x:v>钻石</x:v>
      </x:c>
      <x:c r="E80" s="18" t="n">
        <x:v>3188</x:v>
      </x:c>
      <x:c r="F80" s="14" t="n">
        <x:f>IF(ISNUMBER(E80),E80,"不适用")</x:f>
        <x:v>3188</x:v>
      </x:c>
      <x:c r="G80" s="14" t="n">
        <x:v>5</x:v>
      </x:c>
      <x:c r="H80" s="16" t="n">
        <x:v>108</x:v>
      </x:c>
      <x:c r="I80" s="16" t="n">
        <x:v>109</x:v>
      </x:c>
      <x:c r="J80" s="14" t="n">
        <x:f>IF(COUNT('奖励明细'!G108:G109)=ROWS('奖励明细'!G108:G109),SUM('奖励明细'!G108:G109),"缺完整估值")</x:f>
        <x:v>5920</x:v>
      </x:c>
      <x:c r="K80" s="14" t="n">
        <x:f>IF(AND(ISNUMBER(F80),ISNUMBER(J80)),IF(F80&gt;0,J80/F80,"免费"),"不适用")</x:f>
        <x:v>1.8569636135508156</x:v>
      </x:c>
      <x:c r="L80" s="14" t="n">
        <x:f>IF(AND(ISNUMBER(F80),ISNUMBER(J80)),IF(J80&gt;0,F80/J80*10,"不适用"),"不适用")</x:f>
        <x:v>5.385135135135135</x:v>
      </x:c>
      <x:c r="M80" s="14"/>
      <x:c r="N80" s="4" t="str">
        <x:v>明细规划</x:v>
      </x:c>
      <x:c r="O80" s="4" t="str">
        <x:v>仅算礼包本身；达标返利、排行不重复并入</x:v>
      </x:c>
      <x:c r="P80" s="4" t="str">
        <x:v>主/冲刺活动!第121行</x:v>
      </x:c>
    </x:row>
    <x:row r="81" ht="52" customHeight="1">
      <x:c r="A81" s="12" t="str">
        <x:v>P077</x:v>
      </x:c>
      <x:c r="B81" s="12" t="str">
        <x:v>冲刺活动</x:v>
      </x:c>
      <x:c r="C81" s="12" t="str">
        <x:v>符文/328元礼包</x:v>
      </x:c>
      <x:c r="D81" s="12" t="str">
        <x:v>RMB</x:v>
      </x:c>
      <x:c r="E81" s="17" t="n">
        <x:v>328</x:v>
      </x:c>
      <x:c r="F81" s="13" t="n">
        <x:f>IF(ISNUMBER(E81),E81*'来源与口径'!$C$5,"不适用")</x:f>
        <x:v>3280</x:v>
      </x:c>
      <x:c r="G81" s="13" t="n">
        <x:v>3</x:v>
      </x:c>
      <x:c r="H81" s="15" t="n">
        <x:v>110</x:v>
      </x:c>
      <x:c r="I81" s="15" t="n">
        <x:v>111</x:v>
      </x:c>
      <x:c r="J81" s="13" t="n">
        <x:f>IF(COUNT('奖励明细'!G110:G111)=ROWS('奖励明细'!G110:G111),SUM('奖励明细'!G110:G111),"缺完整估值")</x:f>
        <x:v>8320</x:v>
      </x:c>
      <x:c r="K81" s="13" t="n">
        <x:f>IF(AND(ISNUMBER(F81),ISNUMBER(J81)),IF(F81&gt;0,J81/F81,"免费"),"不适用")</x:f>
        <x:v>2.5365853658536586</x:v>
      </x:c>
      <x:c r="L81" s="13" t="n">
        <x:f>IF(AND(ISNUMBER(F81),ISNUMBER(J81)),IF(J81&gt;0,F81/J81*10,"不适用"),"不适用")</x:f>
        <x:v>3.942307692307692</x:v>
      </x:c>
      <x:c r="M81" s="13"/>
      <x:c r="N81" s="12" t="str">
        <x:v>明细规划</x:v>
      </x:c>
      <x:c r="O81" s="12" t="str">
        <x:v>仅算礼包本身；达标返利、排行不重复并入</x:v>
      </x:c>
      <x:c r="P81" s="12" t="str">
        <x:v>主/冲刺活动!第122行</x:v>
      </x:c>
    </x:row>
    <x:row r="82" ht="52" customHeight="1">
      <x:c r="A82" s="4" t="str">
        <x:v>P078</x:v>
      </x:c>
      <x:c r="B82" s="4" t="str">
        <x:v>冲刺活动</x:v>
      </x:c>
      <x:c r="C82" s="4" t="str">
        <x:v>符文/钻石礼包</x:v>
      </x:c>
      <x:c r="D82" s="4" t="str">
        <x:v>钻石</x:v>
      </x:c>
      <x:c r="E82" s="18" t="n">
        <x:v>5888</x:v>
      </x:c>
      <x:c r="F82" s="14" t="n">
        <x:f>IF(ISNUMBER(E82),E82,"不适用")</x:f>
        <x:v>5888</x:v>
      </x:c>
      <x:c r="G82" s="14" t="n">
        <x:v>5</x:v>
      </x:c>
      <x:c r="H82" s="16" t="n">
        <x:v>112</x:v>
      </x:c>
      <x:c r="I82" s="16" t="n">
        <x:v>113</x:v>
      </x:c>
      <x:c r="J82" s="14" t="n">
        <x:f>IF(COUNT('奖励明细'!G112:G113)=ROWS('奖励明细'!G112:G113),SUM('奖励明细'!G112:G113),"缺完整估值")</x:f>
        <x:v>10560</x:v>
      </x:c>
      <x:c r="K82" s="14" t="n">
        <x:f>IF(AND(ISNUMBER(F82),ISNUMBER(J82)),IF(F82&gt;0,J82/F82,"免费"),"不适用")</x:f>
        <x:v>1.7934782608695652</x:v>
      </x:c>
      <x:c r="L82" s="14" t="n">
        <x:f>IF(AND(ISNUMBER(F82),ISNUMBER(J82)),IF(J82&gt;0,F82/J82*10,"不适用"),"不适用")</x:f>
        <x:v>5.575757575757576</x:v>
      </x:c>
      <x:c r="M82" s="14"/>
      <x:c r="N82" s="4" t="str">
        <x:v>明细规划</x:v>
      </x:c>
      <x:c r="O82" s="4" t="str">
        <x:v>仅算礼包本身；达标返利、排行不重复并入</x:v>
      </x:c>
      <x:c r="P82" s="4" t="str">
        <x:v>主/冲刺活动!第123行</x:v>
      </x:c>
    </x:row>
    <x:row r="83" ht="52" customHeight="1">
      <x:c r="A83" s="12" t="str">
        <x:v>P079</x:v>
      </x:c>
      <x:c r="B83" s="12" t="str">
        <x:v>冲刺活动</x:v>
      </x:c>
      <x:c r="C83" s="12" t="str">
        <x:v>秘宝/每日免费礼包</x:v>
      </x:c>
      <x:c r="D83" s="12" t="str">
        <x:v>钻石</x:v>
      </x:c>
      <x:c r="E83" s="17" t="n">
        <x:v>0</x:v>
      </x:c>
      <x:c r="F83" s="13" t="n">
        <x:f>IF(ISNUMBER(E83),E83,"不适用")</x:f>
        <x:v>0</x:v>
      </x:c>
      <x:c r="G83" s="13" t="n">
        <x:v>1</x:v>
      </x:c>
      <x:c r="H83" s="15" t="n">
        <x:v>114</x:v>
      </x:c>
      <x:c r="I83" s="15" t="n">
        <x:v>114</x:v>
      </x:c>
      <x:c r="J83" s="13" t="n">
        <x:f>IF(COUNT('奖励明细'!G114:G114)=ROWS('奖励明细'!G114:G114),SUM('奖励明细'!G114:G114),"缺完整估值")</x:f>
        <x:v>90</x:v>
      </x:c>
      <x:c r="K83" s="13" t="str">
        <x:f>IF(AND(ISNUMBER(F83),ISNUMBER(J83)),IF(F83&gt;0,J83/F83,"免费"),"不适用")</x:f>
        <x:v>免费</x:v>
      </x:c>
      <x:c r="L83" s="13" t="n">
        <x:f>IF(AND(ISNUMBER(F83),ISNUMBER(J83)),IF(J83&gt;0,F83/J83*10,"不适用"),"不适用")</x:f>
        <x:v>0</x:v>
      </x:c>
      <x:c r="M83" s="13"/>
      <x:c r="N83" s="12" t="str">
        <x:v>明细规划</x:v>
      </x:c>
      <x:c r="O83" s="12" t="str">
        <x:v>仅算礼包本身；达标返利、排行不重复并入</x:v>
      </x:c>
      <x:c r="P83" s="12" t="str">
        <x:v>主/冲刺活动!第185行</x:v>
      </x:c>
    </x:row>
    <x:row r="84" ht="52" customHeight="1">
      <x:c r="A84" s="4" t="str">
        <x:v>P080</x:v>
      </x:c>
      <x:c r="B84" s="4" t="str">
        <x:v>冲刺活动</x:v>
      </x:c>
      <x:c r="C84" s="4" t="str">
        <x:v>秘宝/钻石礼包</x:v>
      </x:c>
      <x:c r="D84" s="4" t="str">
        <x:v>钻石</x:v>
      </x:c>
      <x:c r="E84" s="18" t="n">
        <x:v>168</x:v>
      </x:c>
      <x:c r="F84" s="14" t="n">
        <x:f>IF(ISNUMBER(E84),E84,"不适用")</x:f>
        <x:v>168</x:v>
      </x:c>
      <x:c r="G84" s="14" t="n">
        <x:v>3</x:v>
      </x:c>
      <x:c r="H84" s="16" t="n">
        <x:v>115</x:v>
      </x:c>
      <x:c r="I84" s="16" t="n">
        <x:v>116</x:v>
      </x:c>
      <x:c r="J84" s="14" t="n">
        <x:f>IF(COUNT('奖励明细'!G115:G116)=ROWS('奖励明细'!G115:G116),SUM('奖励明细'!G115:G116),"缺完整估值")</x:f>
        <x:v>960</x:v>
      </x:c>
      <x:c r="K84" s="14" t="n">
        <x:f>IF(AND(ISNUMBER(F84),ISNUMBER(J84)),IF(F84&gt;0,J84/F84,"免费"),"不适用")</x:f>
        <x:v>5.714285714285714</x:v>
      </x:c>
      <x:c r="L84" s="14" t="n">
        <x:f>IF(AND(ISNUMBER(F84),ISNUMBER(J84)),IF(J84&gt;0,F84/J84*10,"不适用"),"不适用")</x:f>
        <x:v>1.75</x:v>
      </x:c>
      <x:c r="M84" s="14"/>
      <x:c r="N84" s="4" t="str">
        <x:v>明细规划</x:v>
      </x:c>
      <x:c r="O84" s="4" t="str">
        <x:v>仅算礼包本身；达标返利、排行不重复并入</x:v>
      </x:c>
      <x:c r="P84" s="4" t="str">
        <x:v>主/冲刺活动!第186行</x:v>
      </x:c>
    </x:row>
    <x:row r="85" ht="52" customHeight="1">
      <x:c r="A85" s="12" t="str">
        <x:v>P081</x:v>
      </x:c>
      <x:c r="B85" s="12" t="str">
        <x:v>冲刺活动</x:v>
      </x:c>
      <x:c r="C85" s="12" t="str">
        <x:v>秘宝/6元礼包</x:v>
      </x:c>
      <x:c r="D85" s="12" t="str">
        <x:v>RMB</x:v>
      </x:c>
      <x:c r="E85" s="17" t="n">
        <x:v>6</x:v>
      </x:c>
      <x:c r="F85" s="13" t="n">
        <x:f>IF(ISNUMBER(E85),E85*'来源与口径'!$C$5,"不适用")</x:f>
        <x:v>60</x:v>
      </x:c>
      <x:c r="G85" s="13" t="n">
        <x:v>3</x:v>
      </x:c>
      <x:c r="H85" s="15" t="n">
        <x:v>117</x:v>
      </x:c>
      <x:c r="I85" s="15" t="n">
        <x:v>119</x:v>
      </x:c>
      <x:c r="J85" s="13" t="n">
        <x:f>IF(COUNT('奖励明细'!G117:G119)=ROWS('奖励明细'!G117:G119),SUM('奖励明细'!G117:G119),"缺完整估值")</x:f>
        <x:v>690</x:v>
      </x:c>
      <x:c r="K85" s="13" t="n">
        <x:f>IF(AND(ISNUMBER(F85),ISNUMBER(J85)),IF(F85&gt;0,J85/F85,"免费"),"不适用")</x:f>
        <x:v>11.5</x:v>
      </x:c>
      <x:c r="L85" s="13" t="n">
        <x:f>IF(AND(ISNUMBER(F85),ISNUMBER(J85)),IF(J85&gt;0,F85/J85*10,"不适用"),"不适用")</x:f>
        <x:v>0.8695652173913043</x:v>
      </x:c>
      <x:c r="M85" s="13"/>
      <x:c r="N85" s="12" t="str">
        <x:v>明细规划</x:v>
      </x:c>
      <x:c r="O85" s="12" t="str">
        <x:v>仅算礼包本身；达标返利、排行不重复并入</x:v>
      </x:c>
      <x:c r="P85" s="12" t="str">
        <x:v>主/冲刺活动!第187行</x:v>
      </x:c>
    </x:row>
    <x:row r="86" ht="52" customHeight="1">
      <x:c r="A86" s="4" t="str">
        <x:v>P082</x:v>
      </x:c>
      <x:c r="B86" s="4" t="str">
        <x:v>冲刺活动</x:v>
      </x:c>
      <x:c r="C86" s="4" t="str">
        <x:v>秘宝/钻石礼包</x:v>
      </x:c>
      <x:c r="D86" s="4" t="str">
        <x:v>钻石</x:v>
      </x:c>
      <x:c r="E86" s="18" t="n">
        <x:v>528</x:v>
      </x:c>
      <x:c r="F86" s="14" t="n">
        <x:f>IF(ISNUMBER(E86),E86,"不适用")</x:f>
        <x:v>528</x:v>
      </x:c>
      <x:c r="G86" s="14" t="n">
        <x:v>3</x:v>
      </x:c>
      <x:c r="H86" s="16" t="n">
        <x:v>120</x:v>
      </x:c>
      <x:c r="I86" s="16" t="n">
        <x:v>121</x:v>
      </x:c>
      <x:c r="J86" s="14" t="n">
        <x:f>IF(COUNT('奖励明细'!G120:G121)=ROWS('奖励明细'!G120:G121),SUM('奖励明细'!G120:G121),"缺完整估值")</x:f>
        <x:v>1920</x:v>
      </x:c>
      <x:c r="K86" s="14" t="n">
        <x:f>IF(AND(ISNUMBER(F86),ISNUMBER(J86)),IF(F86&gt;0,J86/F86,"免费"),"不适用")</x:f>
        <x:v>3.6363636363636362</x:v>
      </x:c>
      <x:c r="L86" s="14" t="n">
        <x:f>IF(AND(ISNUMBER(F86),ISNUMBER(J86)),IF(J86&gt;0,F86/J86*10,"不适用"),"不适用")</x:f>
        <x:v>2.75</x:v>
      </x:c>
      <x:c r="M86" s="14"/>
      <x:c r="N86" s="4" t="str">
        <x:v>明细规划</x:v>
      </x:c>
      <x:c r="O86" s="4" t="str">
        <x:v>仅算礼包本身；达标返利、排行不重复并入</x:v>
      </x:c>
      <x:c r="P86" s="4" t="str">
        <x:v>主/冲刺活动!第188行</x:v>
      </x:c>
    </x:row>
    <x:row r="87" ht="52" customHeight="1">
      <x:c r="A87" s="12" t="str">
        <x:v>P083</x:v>
      </x:c>
      <x:c r="B87" s="12" t="str">
        <x:v>冲刺活动</x:v>
      </x:c>
      <x:c r="C87" s="12" t="str">
        <x:v>秘宝/30元礼包</x:v>
      </x:c>
      <x:c r="D87" s="12" t="str">
        <x:v>RMB</x:v>
      </x:c>
      <x:c r="E87" s="17" t="n">
        <x:v>30</x:v>
      </x:c>
      <x:c r="F87" s="13" t="n">
        <x:f>IF(ISNUMBER(E87),E87*'来源与口径'!$C$5,"不适用")</x:f>
        <x:v>300</x:v>
      </x:c>
      <x:c r="G87" s="13" t="n">
        <x:v>3</x:v>
      </x:c>
      <x:c r="H87" s="15" t="n">
        <x:v>122</x:v>
      </x:c>
      <x:c r="I87" s="15" t="n">
        <x:v>124</x:v>
      </x:c>
      <x:c r="J87" s="13" t="n">
        <x:f>IF(COUNT('奖励明细'!G122:G124)=ROWS('奖励明细'!G122:G124),SUM('奖励明细'!G122:G124),"缺完整估值")</x:f>
        <x:v>1807.5</x:v>
      </x:c>
      <x:c r="K87" s="13" t="n">
        <x:f>IF(AND(ISNUMBER(F87),ISNUMBER(J87)),IF(F87&gt;0,J87/F87,"免费"),"不适用")</x:f>
        <x:v>6.025</x:v>
      </x:c>
      <x:c r="L87" s="13" t="n">
        <x:f>IF(AND(ISNUMBER(F87),ISNUMBER(J87)),IF(J87&gt;0,F87/J87*10,"不适用"),"不适用")</x:f>
        <x:v>1.6597510373443982</x:v>
      </x:c>
      <x:c r="M87" s="13"/>
      <x:c r="N87" s="12" t="str">
        <x:v>明细规划</x:v>
      </x:c>
      <x:c r="O87" s="12" t="str">
        <x:v>仅算礼包本身；达标返利、排行不重复并入</x:v>
      </x:c>
      <x:c r="P87" s="12" t="str">
        <x:v>主/冲刺活动!第189行</x:v>
      </x:c>
    </x:row>
    <x:row r="88" ht="52" customHeight="1">
      <x:c r="A88" s="4" t="str">
        <x:v>P084</x:v>
      </x:c>
      <x:c r="B88" s="4" t="str">
        <x:v>冲刺活动</x:v>
      </x:c>
      <x:c r="C88" s="4" t="str">
        <x:v>秘宝/钻石礼包</x:v>
      </x:c>
      <x:c r="D88" s="4" t="str">
        <x:v>钻石</x:v>
      </x:c>
      <x:c r="E88" s="18" t="n">
        <x:v>1388</x:v>
      </x:c>
      <x:c r="F88" s="14" t="n">
        <x:f>IF(ISNUMBER(E88),E88,"不适用")</x:f>
        <x:v>1388</x:v>
      </x:c>
      <x:c r="G88" s="14" t="n">
        <x:v>5</x:v>
      </x:c>
      <x:c r="H88" s="16" t="n">
        <x:v>125</x:v>
      </x:c>
      <x:c r="I88" s="16" t="n">
        <x:v>126</x:v>
      </x:c>
      <x:c r="J88" s="14" t="n">
        <x:f>IF(COUNT('奖励明细'!G125:G126)=ROWS('奖励明细'!G125:G126),SUM('奖励明细'!G125:G126),"缺完整估值")</x:f>
        <x:v>4860</x:v>
      </x:c>
      <x:c r="K88" s="14" t="n">
        <x:f>IF(AND(ISNUMBER(F88),ISNUMBER(J88)),IF(F88&gt;0,J88/F88,"免费"),"不适用")</x:f>
        <x:v>3.5014409221902016</x:v>
      </x:c>
      <x:c r="L88" s="14" t="n">
        <x:f>IF(AND(ISNUMBER(F88),ISNUMBER(J88)),IF(J88&gt;0,F88/J88*10,"不适用"),"不适用")</x:f>
        <x:v>2.8559670781893005</x:v>
      </x:c>
      <x:c r="M88" s="14"/>
      <x:c r="N88" s="4" t="str">
        <x:v>明细规划</x:v>
      </x:c>
      <x:c r="O88" s="4" t="str">
        <x:v>仅算礼包本身；达标返利、排行不重复并入</x:v>
      </x:c>
      <x:c r="P88" s="4" t="str">
        <x:v>主/冲刺活动!第190行</x:v>
      </x:c>
    </x:row>
    <x:row r="89" ht="52" customHeight="1">
      <x:c r="A89" s="12" t="str">
        <x:v>P085</x:v>
      </x:c>
      <x:c r="B89" s="12" t="str">
        <x:v>冲刺活动</x:v>
      </x:c>
      <x:c r="C89" s="12" t="str">
        <x:v>秘宝/钻石礼包</x:v>
      </x:c>
      <x:c r="D89" s="12" t="str">
        <x:v>钻石</x:v>
      </x:c>
      <x:c r="E89" s="17" t="n">
        <x:v>2988</x:v>
      </x:c>
      <x:c r="F89" s="13" t="n">
        <x:f>IF(ISNUMBER(E89),E89,"不适用")</x:f>
        <x:v>2988</x:v>
      </x:c>
      <x:c r="G89" s="13" t="n">
        <x:v>5</x:v>
      </x:c>
      <x:c r="H89" s="15" t="n">
        <x:v>127</x:v>
      </x:c>
      <x:c r="I89" s="15" t="n">
        <x:v>128</x:v>
      </x:c>
      <x:c r="J89" s="13" t="n">
        <x:f>IF(COUNT('奖励明细'!G127:G128)=ROWS('奖励明细'!G127:G128),SUM('奖励明细'!G127:G128),"缺完整估值")</x:f>
        <x:v>7800</x:v>
      </x:c>
      <x:c r="K89" s="13" t="n">
        <x:f>IF(AND(ISNUMBER(F89),ISNUMBER(J89)),IF(F89&gt;0,J89/F89,"免费"),"不适用")</x:f>
        <x:v>2.610441767068273</x:v>
      </x:c>
      <x:c r="L89" s="13" t="n">
        <x:f>IF(AND(ISNUMBER(F89),ISNUMBER(J89)),IF(J89&gt;0,F89/J89*10,"不适用"),"不适用")</x:f>
        <x:v>3.830769230769231</x:v>
      </x:c>
      <x:c r="M89" s="13"/>
      <x:c r="N89" s="12" t="str">
        <x:v>明细规划</x:v>
      </x:c>
      <x:c r="O89" s="12" t="str">
        <x:v>仅算礼包本身；达标返利、排行不重复并入</x:v>
      </x:c>
      <x:c r="P89" s="12" t="str">
        <x:v>主/冲刺活动!第191行</x:v>
      </x:c>
    </x:row>
    <x:row r="90" ht="52" customHeight="1">
      <x:c r="A90" s="4" t="str">
        <x:v>P086</x:v>
      </x:c>
      <x:c r="B90" s="4" t="str">
        <x:v>冲刺活动</x:v>
      </x:c>
      <x:c r="C90" s="4" t="str">
        <x:v>秘宝/328元礼包</x:v>
      </x:c>
      <x:c r="D90" s="4" t="str">
        <x:v>RMB</x:v>
      </x:c>
      <x:c r="E90" s="18" t="n">
        <x:v>328</x:v>
      </x:c>
      <x:c r="F90" s="14" t="n">
        <x:f>IF(ISNUMBER(E90),E90*'来源与口径'!$C$5,"不适用")</x:f>
        <x:v>3280</x:v>
      </x:c>
      <x:c r="G90" s="14" t="n">
        <x:v>3</x:v>
      </x:c>
      <x:c r="H90" s="16" t="n">
        <x:v>129</x:v>
      </x:c>
      <x:c r="I90" s="16" t="n">
        <x:v>131</x:v>
      </x:c>
      <x:c r="J90" s="14" t="n">
        <x:f>IF(COUNT('奖励明细'!G129:G131)=ROWS('奖励明细'!G129:G131),SUM('奖励明细'!G129:G131),"缺完整估值")</x:f>
        <x:v>11380</x:v>
      </x:c>
      <x:c r="K90" s="14" t="n">
        <x:f>IF(AND(ISNUMBER(F90),ISNUMBER(J90)),IF(F90&gt;0,J90/F90,"免费"),"不适用")</x:f>
        <x:v>3.4695121951219514</x:v>
      </x:c>
      <x:c r="L90" s="14" t="n">
        <x:f>IF(AND(ISNUMBER(F90),ISNUMBER(J90)),IF(J90&gt;0,F90/J90*10,"不适用"),"不适用")</x:f>
        <x:v>2.8822495606326886</x:v>
      </x:c>
      <x:c r="M90" s="14"/>
      <x:c r="N90" s="4" t="str">
        <x:v>明细规划</x:v>
      </x:c>
      <x:c r="O90" s="4" t="str">
        <x:v>仅算礼包本身；达标返利、排行不重复并入</x:v>
      </x:c>
      <x:c r="P90" s="4" t="str">
        <x:v>主/冲刺活动!第192行</x:v>
      </x:c>
    </x:row>
    <x:row r="91" ht="52" customHeight="1">
      <x:c r="A91" s="12" t="str">
        <x:v>P087</x:v>
      </x:c>
      <x:c r="B91" s="12" t="str">
        <x:v>冲刺活动</x:v>
      </x:c>
      <x:c r="C91" s="12" t="str">
        <x:v>秘宝/钻石礼包</x:v>
      </x:c>
      <x:c r="D91" s="12" t="str">
        <x:v>钻石</x:v>
      </x:c>
      <x:c r="E91" s="17" t="n">
        <x:v>5488</x:v>
      </x:c>
      <x:c r="F91" s="13" t="n">
        <x:f>IF(ISNUMBER(E91),E91,"不适用")</x:f>
        <x:v>5488</x:v>
      </x:c>
      <x:c r="G91" s="13" t="n">
        <x:v>5</x:v>
      </x:c>
      <x:c r="H91" s="15" t="n">
        <x:v>132</x:v>
      </x:c>
      <x:c r="I91" s="15" t="n">
        <x:v>133</x:v>
      </x:c>
      <x:c r="J91" s="13" t="n">
        <x:f>IF(COUNT('奖励明细'!G132:G133)=ROWS('奖励明细'!G132:G133),SUM('奖励明细'!G132:G133),"缺完整估值")</x:f>
        <x:v>11400</x:v>
      </x:c>
      <x:c r="K91" s="13" t="n">
        <x:f>IF(AND(ISNUMBER(F91),ISNUMBER(J91)),IF(F91&gt;0,J91/F91,"免费"),"不适用")</x:f>
        <x:v>2.077259475218659</x:v>
      </x:c>
      <x:c r="L91" s="13" t="n">
        <x:f>IF(AND(ISNUMBER(F91),ISNUMBER(J91)),IF(J91&gt;0,F91/J91*10,"不适用"),"不适用")</x:f>
        <x:v>4.814035087719298</x:v>
      </x:c>
      <x:c r="M91" s="13"/>
      <x:c r="N91" s="12" t="str">
        <x:v>明细规划</x:v>
      </x:c>
      <x:c r="O91" s="12" t="str">
        <x:v>仅算礼包本身；达标返利、排行不重复并入</x:v>
      </x:c>
      <x:c r="P91" s="12" t="str">
        <x:v>主/冲刺活动!第193行</x:v>
      </x:c>
    </x:row>
    <x:row r="92" ht="52" customHeight="1">
      <x:c r="A92" s="4" t="str">
        <x:v>P088</x:v>
      </x:c>
      <x:c r="B92" s="4" t="str">
        <x:v>橙卡试炼活动</x:v>
      </x:c>
      <x:c r="C92" s="4" t="str">
        <x:v>等级1付费奖励</x:v>
      </x:c>
      <x:c r="D92" s="4" t="str">
        <x:v>钻石</x:v>
      </x:c>
      <x:c r="E92" s="18" t="n">
        <x:v>688</x:v>
      </x:c>
      <x:c r="F92" s="14" t="n">
        <x:f>IF(ISNUMBER(E92),E92,"不适用")</x:f>
        <x:v>688</x:v>
      </x:c>
      <x:c r="G92" s="14" t="n">
        <x:v>1</x:v>
      </x:c>
      <x:c r="H92" s="16" t="n">
        <x:v>134</x:v>
      </x:c>
      <x:c r="I92" s="16" t="n">
        <x:v>135</x:v>
      </x:c>
      <x:c r="J92" s="14" t="n">
        <x:f>IF(COUNT('奖励明细'!G134:G135)=ROWS('奖励明细'!G134:G135),SUM('奖励明细'!G134:G135),"缺完整估值")</x:f>
        <x:v>1600</x:v>
      </x:c>
      <x:c r="K92" s="14" t="n">
        <x:f>IF(AND(ISNUMBER(F92),ISNUMBER(J92)),IF(F92&gt;0,J92/F92,"免费"),"不适用")</x:f>
        <x:v>2.3255813953488373</x:v>
      </x:c>
      <x:c r="L92" s="14" t="n">
        <x:f>IF(AND(ISNUMBER(F92),ISNUMBER(J92)),IF(J92&gt;0,F92/J92*10,"不适用"),"不适用")</x:f>
        <x:v>4.3</x:v>
      </x:c>
      <x:c r="M92" s="14"/>
      <x:c r="N92" s="4" t="str">
        <x:v>明细规划</x:v>
      </x:c>
      <x:c r="O92" s="4" t="str">
        <x:v>免费奖励独立；专属符文名称未强行映射</x:v>
      </x:c>
      <x:c r="P92" s="4" t="str">
        <x:v>主/橙卡试炼活动!第8行</x:v>
      </x:c>
    </x:row>
    <x:row r="93" ht="52" customHeight="1">
      <x:c r="A93" s="12" t="str">
        <x:v>P089</x:v>
      </x:c>
      <x:c r="B93" s="12" t="str">
        <x:v>橙卡试炼活动</x:v>
      </x:c>
      <x:c r="C93" s="12" t="str">
        <x:v>等级5付费奖励</x:v>
      </x:c>
      <x:c r="D93" s="12" t="str">
        <x:v>钻石</x:v>
      </x:c>
      <x:c r="E93" s="17" t="n">
        <x:v>1688</x:v>
      </x:c>
      <x:c r="F93" s="13" t="n">
        <x:f>IF(ISNUMBER(E93),E93,"不适用")</x:f>
        <x:v>1688</x:v>
      </x:c>
      <x:c r="G93" s="13" t="n">
        <x:v>1</x:v>
      </x:c>
      <x:c r="H93" s="15" t="n">
        <x:v>136</x:v>
      </x:c>
      <x:c r="I93" s="15" t="n">
        <x:v>138</x:v>
      </x:c>
      <x:c r="J93" s="13" t="n">
        <x:f>IF(COUNT('奖励明细'!G136:G138)=ROWS('奖励明细'!G136:G138),SUM('奖励明细'!G136:G138),"缺完整估值")</x:f>
        <x:v>3440</x:v>
      </x:c>
      <x:c r="K93" s="13" t="n">
        <x:f>IF(AND(ISNUMBER(F93),ISNUMBER(J93)),IF(F93&gt;0,J93/F93,"免费"),"不适用")</x:f>
        <x:v>2.037914691943128</x:v>
      </x:c>
      <x:c r="L93" s="13" t="n">
        <x:f>IF(AND(ISNUMBER(F93),ISNUMBER(J93)),IF(J93&gt;0,F93/J93*10,"不适用"),"不适用")</x:f>
        <x:v>4.906976744186046</x:v>
      </x:c>
      <x:c r="M93" s="13"/>
      <x:c r="N93" s="12" t="str">
        <x:v>明细规划</x:v>
      </x:c>
      <x:c r="O93" s="12" t="str">
        <x:v>免费奖励独立；专属符文名称未强行映射</x:v>
      </x:c>
      <x:c r="P93" s="12" t="str">
        <x:v>主/橙卡试炼活动!第9行</x:v>
      </x:c>
    </x:row>
    <x:row r="94" ht="52" customHeight="1">
      <x:c r="A94" s="4" t="str">
        <x:v>P090</x:v>
      </x:c>
      <x:c r="B94" s="4" t="str">
        <x:v>橙卡试炼活动</x:v>
      </x:c>
      <x:c r="C94" s="4" t="str">
        <x:v>等级10付费奖励</x:v>
      </x:c>
      <x:c r="D94" s="4" t="str">
        <x:v>钻石</x:v>
      </x:c>
      <x:c r="E94" s="18" t="n">
        <x:v>2388</x:v>
      </x:c>
      <x:c r="F94" s="14" t="n">
        <x:f>IF(ISNUMBER(E94),E94,"不适用")</x:f>
        <x:v>2388</x:v>
      </x:c>
      <x:c r="G94" s="14" t="n">
        <x:v>1</x:v>
      </x:c>
      <x:c r="H94" s="16" t="n">
        <x:v>139</x:v>
      </x:c>
      <x:c r="I94" s="16" t="n">
        <x:v>141</x:v>
      </x:c>
      <x:c r="J94" s="14" t="str">
        <x:f>IF(COUNT('奖励明细'!G139:G141)=ROWS('奖励明细'!G139:G141),SUM('奖励明细'!G139:G141),"缺完整估值")</x:f>
        <x:v>缺完整估值</x:v>
      </x:c>
      <x:c r="K94" s="14" t="str">
        <x:f>IF(AND(ISNUMBER(F94),ISNUMBER(J94)),IF(F94&gt;0,J94/F94,"免费"),"不适用")</x:f>
        <x:v>不适用</x:v>
      </x:c>
      <x:c r="L94" s="14" t="str">
        <x:f>IF(AND(ISNUMBER(F94),ISNUMBER(J94)),IF(J94&gt;0,F94/J94*10,"不适用"),"不适用")</x:f>
        <x:v>不适用</x:v>
      </x:c>
      <x:c r="M94" s="14"/>
      <x:c r="N94" s="4" t="str">
        <x:v>明细规划；估值缺失</x:v>
      </x:c>
      <x:c r="O94" s="4" t="str">
        <x:v>免费奖励独立；专属符文名称未强行映射</x:v>
      </x:c>
      <x:c r="P94" s="4" t="str">
        <x:v>主/橙卡试炼活动!第10行</x:v>
      </x:c>
    </x:row>
    <x:row r="95" ht="52" customHeight="1">
      <x:c r="A95" s="12" t="str">
        <x:v>P091</x:v>
      </x:c>
      <x:c r="B95" s="12" t="str">
        <x:v>橙卡试炼活动</x:v>
      </x:c>
      <x:c r="C95" s="12" t="str">
        <x:v>等级12付费奖励</x:v>
      </x:c>
      <x:c r="D95" s="12" t="str">
        <x:v>钻石</x:v>
      </x:c>
      <x:c r="E95" s="17" t="n">
        <x:v>2688</x:v>
      </x:c>
      <x:c r="F95" s="13" t="n">
        <x:f>IF(ISNUMBER(E95),E95,"不适用")</x:f>
        <x:v>2688</x:v>
      </x:c>
      <x:c r="G95" s="13" t="n">
        <x:v>1</x:v>
      </x:c>
      <x:c r="H95" s="15" t="n">
        <x:v>142</x:v>
      </x:c>
      <x:c r="I95" s="15" t="n">
        <x:v>144</x:v>
      </x:c>
      <x:c r="J95" s="13" t="str">
        <x:f>IF(COUNT('奖励明细'!G142:G144)=ROWS('奖励明细'!G142:G144),SUM('奖励明细'!G142:G144),"缺完整估值")</x:f>
        <x:v>缺完整估值</x:v>
      </x:c>
      <x:c r="K95" s="13" t="str">
        <x:f>IF(AND(ISNUMBER(F95),ISNUMBER(J95)),IF(F95&gt;0,J95/F95,"免费"),"不适用")</x:f>
        <x:v>不适用</x:v>
      </x:c>
      <x:c r="L95" s="13" t="str">
        <x:f>IF(AND(ISNUMBER(F95),ISNUMBER(J95)),IF(J95&gt;0,F95/J95*10,"不适用"),"不适用")</x:f>
        <x:v>不适用</x:v>
      </x:c>
      <x:c r="M95" s="13"/>
      <x:c r="N95" s="12" t="str">
        <x:v>明细规划；估值缺失</x:v>
      </x:c>
      <x:c r="O95" s="12" t="str">
        <x:v>免费奖励独立；专属符文名称未强行映射</x:v>
      </x:c>
      <x:c r="P95" s="12" t="str">
        <x:v>主/橙卡试炼活动!第11行</x:v>
      </x:c>
    </x:row>
    <x:row r="96" ht="52" customHeight="1">
      <x:c r="A96" s="4" t="str">
        <x:v>P092</x:v>
      </x:c>
      <x:c r="B96" s="4" t="str">
        <x:v>橙卡试炼活动</x:v>
      </x:c>
      <x:c r="C96" s="4" t="str">
        <x:v>等级15付费奖励</x:v>
      </x:c>
      <x:c r="D96" s="4" t="str">
        <x:v>钻石</x:v>
      </x:c>
      <x:c r="E96" s="18" t="n">
        <x:v>3088</x:v>
      </x:c>
      <x:c r="F96" s="14" t="n">
        <x:f>IF(ISNUMBER(E96),E96,"不适用")</x:f>
        <x:v>3088</x:v>
      </x:c>
      <x:c r="G96" s="14" t="n">
        <x:v>1</x:v>
      </x:c>
      <x:c r="H96" s="16" t="n">
        <x:v>145</x:v>
      </x:c>
      <x:c r="I96" s="16" t="n">
        <x:v>147</x:v>
      </x:c>
      <x:c r="J96" s="14" t="n">
        <x:f>IF(COUNT('奖励明细'!G145:G147)=ROWS('奖励明细'!G145:G147),SUM('奖励明细'!G145:G147),"缺完整估值")</x:f>
        <x:v>3880</x:v>
      </x:c>
      <x:c r="K96" s="14" t="n">
        <x:f>IF(AND(ISNUMBER(F96),ISNUMBER(J96)),IF(F96&gt;0,J96/F96,"免费"),"不适用")</x:f>
        <x:v>1.2564766839378239</x:v>
      </x:c>
      <x:c r="L96" s="14" t="n">
        <x:f>IF(AND(ISNUMBER(F96),ISNUMBER(J96)),IF(J96&gt;0,F96/J96*10,"不适用"),"不适用")</x:f>
        <x:v>7.958762886597937</x:v>
      </x:c>
      <x:c r="M96" s="14"/>
      <x:c r="N96" s="4" t="str">
        <x:v>明细规划；单价冲突</x:v>
      </x:c>
      <x:c r="O96" s="4" t="str">
        <x:v>免费奖励独立；专属符文名称未强行映射</x:v>
      </x:c>
      <x:c r="P96" s="4" t="str">
        <x:v>主/橙卡试炼活动!第12行</x:v>
      </x:c>
    </x:row>
    <x:row r="97" ht="52" customHeight="1">
      <x:c r="A97" s="12" t="str">
        <x:v>P093</x:v>
      </x:c>
      <x:c r="B97" s="12" t="str">
        <x:v>橙卡试炼活动</x:v>
      </x:c>
      <x:c r="C97" s="12" t="str">
        <x:v>等级17付费奖励</x:v>
      </x:c>
      <x:c r="D97" s="12" t="str">
        <x:v>钻石</x:v>
      </x:c>
      <x:c r="E97" s="17" t="n">
        <x:v>3288</x:v>
      </x:c>
      <x:c r="F97" s="13" t="n">
        <x:f>IF(ISNUMBER(E97),E97,"不适用")</x:f>
        <x:v>3288</x:v>
      </x:c>
      <x:c r="G97" s="13" t="n">
        <x:v>1</x:v>
      </x:c>
      <x:c r="H97" s="15" t="n">
        <x:v>148</x:v>
      </x:c>
      <x:c r="I97" s="15" t="n">
        <x:v>150</x:v>
      </x:c>
      <x:c r="J97" s="13" t="str">
        <x:f>IF(COUNT('奖励明细'!G148:G150)=ROWS('奖励明细'!G148:G150),SUM('奖励明细'!G148:G150),"缺完整估值")</x:f>
        <x:v>缺完整估值</x:v>
      </x:c>
      <x:c r="K97" s="13" t="str">
        <x:f>IF(AND(ISNUMBER(F97),ISNUMBER(J97)),IF(F97&gt;0,J97/F97,"免费"),"不适用")</x:f>
        <x:v>不适用</x:v>
      </x:c>
      <x:c r="L97" s="13" t="str">
        <x:f>IF(AND(ISNUMBER(F97),ISNUMBER(J97)),IF(J97&gt;0,F97/J97*10,"不适用"),"不适用")</x:f>
        <x:v>不适用</x:v>
      </x:c>
      <x:c r="M97" s="13"/>
      <x:c r="N97" s="12" t="str">
        <x:v>明细规划；估值缺失</x:v>
      </x:c>
      <x:c r="O97" s="12" t="str">
        <x:v>免费奖励独立；专属符文名称未强行映射</x:v>
      </x:c>
      <x:c r="P97" s="12" t="str">
        <x:v>主/橙卡试炼活动!第13行</x:v>
      </x:c>
    </x:row>
    <x:row r="98" ht="52" customHeight="1">
      <x:c r="A98" s="4" t="str">
        <x:v>P094</x:v>
      </x:c>
      <x:c r="B98" s="4" t="str">
        <x:v>橙卡试炼活动</x:v>
      </x:c>
      <x:c r="C98" s="4" t="str">
        <x:v>等级20付费奖励</x:v>
      </x:c>
      <x:c r="D98" s="4" t="str">
        <x:v>钻石</x:v>
      </x:c>
      <x:c r="E98" s="18" t="n">
        <x:v>4388</x:v>
      </x:c>
      <x:c r="F98" s="14" t="n">
        <x:f>IF(ISNUMBER(E98),E98,"不适用")</x:f>
        <x:v>4388</x:v>
      </x:c>
      <x:c r="G98" s="14" t="n">
        <x:v>1</x:v>
      </x:c>
      <x:c r="H98" s="16" t="n">
        <x:v>151</x:v>
      </x:c>
      <x:c r="I98" s="16" t="n">
        <x:v>152</x:v>
      </x:c>
      <x:c r="J98" s="14" t="n">
        <x:f>IF(COUNT('奖励明细'!G151:G152)=ROWS('奖励明细'!G151:G152),SUM('奖励明细'!G151:G152),"缺完整估值")</x:f>
        <x:v>13200</x:v>
      </x:c>
      <x:c r="K98" s="14" t="n">
        <x:f>IF(AND(ISNUMBER(F98),ISNUMBER(J98)),IF(F98&gt;0,J98/F98,"免费"),"不适用")</x:f>
        <x:v>3.00820419325433</x:v>
      </x:c>
      <x:c r="L98" s="14" t="n">
        <x:f>IF(AND(ISNUMBER(F98),ISNUMBER(J98)),IF(J98&gt;0,F98/J98*10,"不适用"),"不适用")</x:f>
        <x:v>3.324242424242424</x:v>
      </x:c>
      <x:c r="M98" s="14"/>
      <x:c r="N98" s="4" t="str">
        <x:v>明细规划</x:v>
      </x:c>
      <x:c r="O98" s="4" t="str">
        <x:v>免费奖励独立；专属符文名称未强行映射</x:v>
      </x:c>
      <x:c r="P98" s="4" t="str">
        <x:v>主/橙卡试炼活动!第14行</x:v>
      </x:c>
    </x:row>
    <x:row r="99" ht="52" customHeight="1">
      <x:c r="A99" s="12" t="str">
        <x:v>P095</x:v>
      </x:c>
      <x:c r="B99" s="12" t="str">
        <x:v>红卡试炼活动</x:v>
      </x:c>
      <x:c r="C99" s="12" t="str">
        <x:v>等级1付费奖励</x:v>
      </x:c>
      <x:c r="D99" s="12" t="str">
        <x:v>钻石</x:v>
      </x:c>
      <x:c r="E99" s="17" t="n">
        <x:v>688</x:v>
      </x:c>
      <x:c r="F99" s="13" t="n">
        <x:f>IF(ISNUMBER(E99),E99,"不适用")</x:f>
        <x:v>688</x:v>
      </x:c>
      <x:c r="G99" s="13" t="n">
        <x:v>1</x:v>
      </x:c>
      <x:c r="H99" s="15" t="n">
        <x:v>153</x:v>
      </x:c>
      <x:c r="I99" s="15" t="n">
        <x:v>154</x:v>
      </x:c>
      <x:c r="J99" s="13" t="n">
        <x:f>IF(COUNT('奖励明细'!G153:G154)=ROWS('奖励明细'!G153:G154),SUM('奖励明细'!G153:G154),"缺完整估值")</x:f>
        <x:v>1600</x:v>
      </x:c>
      <x:c r="K99" s="13" t="n">
        <x:f>IF(AND(ISNUMBER(F99),ISNUMBER(J99)),IF(F99&gt;0,J99/F99,"免费"),"不适用")</x:f>
        <x:v>2.3255813953488373</x:v>
      </x:c>
      <x:c r="L99" s="13" t="n">
        <x:f>IF(AND(ISNUMBER(F99),ISNUMBER(J99)),IF(J99&gt;0,F99/J99*10,"不适用"),"不适用")</x:f>
        <x:v>4.3</x:v>
      </x:c>
      <x:c r="M99" s="13"/>
      <x:c r="N99" s="12" t="str">
        <x:v>明细规划</x:v>
      </x:c>
      <x:c r="O99" s="12" t="str">
        <x:v>免费奖励独立；专属符文名称未强行映射</x:v>
      </x:c>
      <x:c r="P99" s="12" t="str">
        <x:v>主/红卡试炼活动!第8行</x:v>
      </x:c>
    </x:row>
    <x:row r="100" ht="52" customHeight="1">
      <x:c r="A100" s="4" t="str">
        <x:v>P096</x:v>
      </x:c>
      <x:c r="B100" s="4" t="str">
        <x:v>红卡试炼活动</x:v>
      </x:c>
      <x:c r="C100" s="4" t="str">
        <x:v>等级5付费奖励</x:v>
      </x:c>
      <x:c r="D100" s="4" t="str">
        <x:v>钻石</x:v>
      </x:c>
      <x:c r="E100" s="18" t="n">
        <x:v>1688</x:v>
      </x:c>
      <x:c r="F100" s="14" t="n">
        <x:f>IF(ISNUMBER(E100),E100,"不适用")</x:f>
        <x:v>1688</x:v>
      </x:c>
      <x:c r="G100" s="14" t="n">
        <x:v>1</x:v>
      </x:c>
      <x:c r="H100" s="16" t="n">
        <x:v>155</x:v>
      </x:c>
      <x:c r="I100" s="16" t="n">
        <x:v>157</x:v>
      </x:c>
      <x:c r="J100" s="14" t="n">
        <x:f>IF(COUNT('奖励明细'!G155:G157)=ROWS('奖励明细'!G155:G157),SUM('奖励明细'!G155:G157),"缺完整估值")</x:f>
        <x:v>3680</x:v>
      </x:c>
      <x:c r="K100" s="14" t="n">
        <x:f>IF(AND(ISNUMBER(F100),ISNUMBER(J100)),IF(F100&gt;0,J100/F100,"免费"),"不适用")</x:f>
        <x:v>2.1800947867298577</x:v>
      </x:c>
      <x:c r="L100" s="14" t="n">
        <x:f>IF(AND(ISNUMBER(F100),ISNUMBER(J100)),IF(J100&gt;0,F100/J100*10,"不适用"),"不适用")</x:f>
        <x:v>4.586956521739131</x:v>
      </x:c>
      <x:c r="M100" s="14"/>
      <x:c r="N100" s="4" t="str">
        <x:v>明细规划</x:v>
      </x:c>
      <x:c r="O100" s="4" t="str">
        <x:v>免费奖励独立；专属符文名称未强行映射</x:v>
      </x:c>
      <x:c r="P100" s="4" t="str">
        <x:v>主/红卡试炼活动!第9行</x:v>
      </x:c>
    </x:row>
    <x:row r="101" ht="52" customHeight="1">
      <x:c r="A101" s="12" t="str">
        <x:v>P097</x:v>
      </x:c>
      <x:c r="B101" s="12" t="str">
        <x:v>红卡试炼活动</x:v>
      </x:c>
      <x:c r="C101" s="12" t="str">
        <x:v>等级8付费奖励</x:v>
      </x:c>
      <x:c r="D101" s="12" t="str">
        <x:v>钻石</x:v>
      </x:c>
      <x:c r="E101" s="17" t="n">
        <x:v>1988</x:v>
      </x:c>
      <x:c r="F101" s="13" t="n">
        <x:f>IF(ISNUMBER(E101),E101,"不适用")</x:f>
        <x:v>1988</x:v>
      </x:c>
      <x:c r="G101" s="13" t="n">
        <x:v>1</x:v>
      </x:c>
      <x:c r="H101" s="15" t="n">
        <x:v>158</x:v>
      </x:c>
      <x:c r="I101" s="15" t="n">
        <x:v>160</x:v>
      </x:c>
      <x:c r="J101" s="13" t="n">
        <x:f>IF(COUNT('奖励明细'!G158:G160)=ROWS('奖励明细'!G158:G160),SUM('奖励明细'!G158:G160),"缺完整估值")</x:f>
        <x:v>5860</x:v>
      </x:c>
      <x:c r="K101" s="13" t="n">
        <x:f>IF(AND(ISNUMBER(F101),ISNUMBER(J101)),IF(F101&gt;0,J101/F101,"免费"),"不适用")</x:f>
        <x:v>2.947686116700201</x:v>
      </x:c>
      <x:c r="L101" s="13" t="n">
        <x:f>IF(AND(ISNUMBER(F101),ISNUMBER(J101)),IF(J101&gt;0,F101/J101*10,"不适用"),"不适用")</x:f>
        <x:v>3.392491467576792</x:v>
      </x:c>
      <x:c r="M101" s="13"/>
      <x:c r="N101" s="12" t="str">
        <x:v>明细规划</x:v>
      </x:c>
      <x:c r="O101" s="12" t="str">
        <x:v>免费奖励独立；专属符文名称未强行映射</x:v>
      </x:c>
      <x:c r="P101" s="12" t="str">
        <x:v>主/红卡试炼活动!第10行</x:v>
      </x:c>
    </x:row>
    <x:row r="102" ht="52" customHeight="1">
      <x:c r="A102" s="4" t="str">
        <x:v>P098</x:v>
      </x:c>
      <x:c r="B102" s="4" t="str">
        <x:v>红卡试炼活动</x:v>
      </x:c>
      <x:c r="C102" s="4" t="str">
        <x:v>等级10付费奖励</x:v>
      </x:c>
      <x:c r="D102" s="4" t="str">
        <x:v>钻石</x:v>
      </x:c>
      <x:c r="E102" s="18" t="n">
        <x:v>3588</x:v>
      </x:c>
      <x:c r="F102" s="14" t="n">
        <x:f>IF(ISNUMBER(E102),E102,"不适用")</x:f>
        <x:v>3588</x:v>
      </x:c>
      <x:c r="G102" s="14" t="n">
        <x:v>1</x:v>
      </x:c>
      <x:c r="H102" s="16" t="n">
        <x:v>161</x:v>
      </x:c>
      <x:c r="I102" s="16" t="n">
        <x:v>163</x:v>
      </x:c>
      <x:c r="J102" s="14" t="str">
        <x:f>IF(COUNT('奖励明细'!G161:G163)=ROWS('奖励明细'!G161:G163),SUM('奖励明细'!G161:G163),"缺完整估值")</x:f>
        <x:v>缺完整估值</x:v>
      </x:c>
      <x:c r="K102" s="14" t="str">
        <x:f>IF(AND(ISNUMBER(F102),ISNUMBER(J102)),IF(F102&gt;0,J102/F102,"免费"),"不适用")</x:f>
        <x:v>不适用</x:v>
      </x:c>
      <x:c r="L102" s="14" t="str">
        <x:f>IF(AND(ISNUMBER(F102),ISNUMBER(J102)),IF(J102&gt;0,F102/J102*10,"不适用"),"不适用")</x:f>
        <x:v>不适用</x:v>
      </x:c>
      <x:c r="M102" s="14"/>
      <x:c r="N102" s="4" t="str">
        <x:v>明细规划；估值缺失</x:v>
      </x:c>
      <x:c r="O102" s="4" t="str">
        <x:v>免费奖励独立；专属符文名称未强行映射</x:v>
      </x:c>
      <x:c r="P102" s="4" t="str">
        <x:v>主/红卡试炼活动!第11行</x:v>
      </x:c>
    </x:row>
    <x:row r="103" ht="52" customHeight="1">
      <x:c r="A103" s="12" t="str">
        <x:v>P099</x:v>
      </x:c>
      <x:c r="B103" s="12" t="str">
        <x:v>红卡试炼活动</x:v>
      </x:c>
      <x:c r="C103" s="12" t="str">
        <x:v>等级12付费奖励</x:v>
      </x:c>
      <x:c r="D103" s="12" t="str">
        <x:v>钻石</x:v>
      </x:c>
      <x:c r="E103" s="17" t="n">
        <x:v>3688</x:v>
      </x:c>
      <x:c r="F103" s="13" t="n">
        <x:f>IF(ISNUMBER(E103),E103,"不适用")</x:f>
        <x:v>3688</x:v>
      </x:c>
      <x:c r="G103" s="13" t="n">
        <x:v>1</x:v>
      </x:c>
      <x:c r="H103" s="15" t="n">
        <x:v>164</x:v>
      </x:c>
      <x:c r="I103" s="15" t="n">
        <x:v>166</x:v>
      </x:c>
      <x:c r="J103" s="13" t="str">
        <x:f>IF(COUNT('奖励明细'!G164:G166)=ROWS('奖励明细'!G164:G166),SUM('奖励明细'!G164:G166),"缺完整估值")</x:f>
        <x:v>缺完整估值</x:v>
      </x:c>
      <x:c r="K103" s="13" t="str">
        <x:f>IF(AND(ISNUMBER(F103),ISNUMBER(J103)),IF(F103&gt;0,J103/F103,"免费"),"不适用")</x:f>
        <x:v>不适用</x:v>
      </x:c>
      <x:c r="L103" s="13" t="str">
        <x:f>IF(AND(ISNUMBER(F103),ISNUMBER(J103)),IF(J103&gt;0,F103/J103*10,"不适用"),"不适用")</x:f>
        <x:v>不适用</x:v>
      </x:c>
      <x:c r="M103" s="13"/>
      <x:c r="N103" s="12" t="str">
        <x:v>明细规划；估值缺失</x:v>
      </x:c>
      <x:c r="O103" s="12" t="str">
        <x:v>免费奖励独立；专属符文名称未强行映射</x:v>
      </x:c>
      <x:c r="P103" s="12" t="str">
        <x:v>主/红卡试炼活动!第12行</x:v>
      </x:c>
    </x:row>
    <x:row r="104" ht="52" customHeight="1">
      <x:c r="A104" s="4" t="str">
        <x:v>P100</x:v>
      </x:c>
      <x:c r="B104" s="4" t="str">
        <x:v>红卡试炼活动</x:v>
      </x:c>
      <x:c r="C104" s="4" t="str">
        <x:v>等级15付费奖励</x:v>
      </x:c>
      <x:c r="D104" s="4" t="str">
        <x:v>钻石</x:v>
      </x:c>
      <x:c r="E104" s="18" t="n">
        <x:v>5688</x:v>
      </x:c>
      <x:c r="F104" s="14" t="n">
        <x:f>IF(ISNUMBER(E104),E104,"不适用")</x:f>
        <x:v>5688</x:v>
      </x:c>
      <x:c r="G104" s="14" t="n">
        <x:v>1</x:v>
      </x:c>
      <x:c r="H104" s="16" t="n">
        <x:v>167</x:v>
      </x:c>
      <x:c r="I104" s="16" t="n">
        <x:v>169</x:v>
      </x:c>
      <x:c r="J104" s="14" t="n">
        <x:f>IF(COUNT('奖励明细'!G167:G169)=ROWS('奖励明细'!G167:G169),SUM('奖励明细'!G167:G169),"缺完整估值")</x:f>
        <x:v>11760</x:v>
      </x:c>
      <x:c r="K104" s="14" t="n">
        <x:f>IF(AND(ISNUMBER(F104),ISNUMBER(J104)),IF(F104&gt;0,J104/F104,"免费"),"不适用")</x:f>
        <x:v>2.067510548523207</x:v>
      </x:c>
      <x:c r="L104" s="14" t="n">
        <x:f>IF(AND(ISNUMBER(F104),ISNUMBER(J104)),IF(J104&gt;0,F104/J104*10,"不适用"),"不适用")</x:f>
        <x:v>4.836734693877551</x:v>
      </x:c>
      <x:c r="M104" s="14"/>
      <x:c r="N104" s="4" t="str">
        <x:v>明细规划</x:v>
      </x:c>
      <x:c r="O104" s="4" t="str">
        <x:v>免费奖励独立；专属符文名称未强行映射</x:v>
      </x:c>
      <x:c r="P104" s="4" t="str">
        <x:v>主/红卡试炼活动!第13行</x:v>
      </x:c>
    </x:row>
    <x:row r="105" ht="52" customHeight="1">
      <x:c r="A105" s="12" t="str">
        <x:v>P101</x:v>
      </x:c>
      <x:c r="B105" s="12" t="str">
        <x:v>红卡试炼活动</x:v>
      </x:c>
      <x:c r="C105" s="12" t="str">
        <x:v>等级17付费奖励</x:v>
      </x:c>
      <x:c r="D105" s="12" t="str">
        <x:v>钻石</x:v>
      </x:c>
      <x:c r="E105" s="17" t="n">
        <x:v>5888</x:v>
      </x:c>
      <x:c r="F105" s="13" t="n">
        <x:f>IF(ISNUMBER(E105),E105,"不适用")</x:f>
        <x:v>5888</x:v>
      </x:c>
      <x:c r="G105" s="13" t="n">
        <x:v>1</x:v>
      </x:c>
      <x:c r="H105" s="15" t="n">
        <x:v>170</x:v>
      </x:c>
      <x:c r="I105" s="15" t="n">
        <x:v>171</x:v>
      </x:c>
      <x:c r="J105" s="13" t="n">
        <x:f>IF(COUNT('奖励明细'!G170:G171)=ROWS('奖励明细'!G170:G171),SUM('奖励明细'!G170:G171),"缺完整估值")</x:f>
        <x:v>14600</x:v>
      </x:c>
      <x:c r="K105" s="13" t="n">
        <x:f>IF(AND(ISNUMBER(F105),ISNUMBER(J105)),IF(F105&gt;0,J105/F105,"免费"),"不适用")</x:f>
        <x:v>2.479619565217391</x:v>
      </x:c>
      <x:c r="L105" s="13" t="n">
        <x:f>IF(AND(ISNUMBER(F105),ISNUMBER(J105)),IF(J105&gt;0,F105/J105*10,"不适用"),"不适用")</x:f>
        <x:v>4.032876712328767</x:v>
      </x:c>
      <x:c r="M105" s="13"/>
      <x:c r="N105" s="12" t="str">
        <x:v>明细规划</x:v>
      </x:c>
      <x:c r="O105" s="12" t="str">
        <x:v>免费奖励独立；专属符文名称未强行映射</x:v>
      </x:c>
      <x:c r="P105" s="12" t="str">
        <x:v>主/红卡试炼活动!第14行</x:v>
      </x:c>
    </x:row>
    <x:row r="106" ht="52" customHeight="1">
      <x:c r="A106" s="4" t="str">
        <x:v>P102</x:v>
      </x:c>
      <x:c r="B106" s="4" t="str">
        <x:v>红卡试炼活动</x:v>
      </x:c>
      <x:c r="C106" s="4" t="str">
        <x:v>等级20付费奖励</x:v>
      </x:c>
      <x:c r="D106" s="4" t="str">
        <x:v>钻石</x:v>
      </x:c>
      <x:c r="E106" s="18" t="n">
        <x:v>7888</x:v>
      </x:c>
      <x:c r="F106" s="14" t="n">
        <x:f>IF(ISNUMBER(E106),E106,"不适用")</x:f>
        <x:v>7888</x:v>
      </x:c>
      <x:c r="G106" s="14" t="n">
        <x:v>1</x:v>
      </x:c>
      <x:c r="H106" s="16" t="n">
        <x:v>172</x:v>
      </x:c>
      <x:c r="I106" s="16" t="n">
        <x:v>173</x:v>
      </x:c>
      <x:c r="J106" s="14" t="n">
        <x:f>IF(COUNT('奖励明细'!G172:G173)=ROWS('奖励明细'!G172:G173),SUM('奖励明细'!G172:G173),"缺完整估值")</x:f>
        <x:v>17400</x:v>
      </x:c>
      <x:c r="K106" s="14" t="n">
        <x:f>IF(AND(ISNUMBER(F106),ISNUMBER(J106)),IF(F106&gt;0,J106/F106,"免费"),"不适用")</x:f>
        <x:v>2.2058823529411766</x:v>
      </x:c>
      <x:c r="L106" s="14" t="n">
        <x:f>IF(AND(ISNUMBER(F106),ISNUMBER(J106)),IF(J106&gt;0,F106/J106*10,"不适用"),"不适用")</x:f>
        <x:v>4.533333333333333</x:v>
      </x:c>
      <x:c r="M106" s="14"/>
      <x:c r="N106" s="4" t="str">
        <x:v>明细规划</x:v>
      </x:c>
      <x:c r="O106" s="4" t="str">
        <x:v>免费奖励独立；专属符文名称未强行映射</x:v>
      </x:c>
      <x:c r="P106" s="4" t="str">
        <x:v>主/红卡试炼活动!第15行</x:v>
      </x:c>
    </x:row>
    <x:row r="107" ht="52" customHeight="1">
      <x:c r="A107" s="12" t="str">
        <x:v>P103</x:v>
      </x:c>
      <x:c r="B107" s="12" t="str">
        <x:v>月光炼梦</x:v>
      </x:c>
      <x:c r="C107" s="12" t="str">
        <x:v>月光炼梦/礼包1</x:v>
      </x:c>
      <x:c r="D107" s="12" t="str">
        <x:v>RMB</x:v>
      </x:c>
      <x:c r="E107" s="17" t="n">
        <x:v>60</x:v>
      </x:c>
      <x:c r="F107" s="13" t="n">
        <x:f>IF(ISNUMBER(E107),E107*'来源与口径'!$C$5,"不适用")</x:f>
        <x:v>600</x:v>
      </x:c>
      <x:c r="G107" s="13" t="n">
        <x:v>5</x:v>
      </x:c>
      <x:c r="H107" s="15" t="n">
        <x:v>174</x:v>
      </x:c>
      <x:c r="I107" s="15" t="n">
        <x:v>173</x:v>
      </x:c>
      <x:c r="J107" s="13" t="n">
        <x:f>IF(COUNT('奖励明细'!G174:G173)=ROWS('奖励明细'!G174:G173),SUM('奖励明细'!G174:G173),"缺完整估值")</x:f>
        <x:v>9060</x:v>
      </x:c>
      <x:c r="K107" s="13" t="n">
        <x:f>IF(AND(ISNUMBER(F107),ISNUMBER(J107)),IF(F107&gt;0,J107/F107,"免费"),"不适用")</x:f>
        <x:v>15.1</x:v>
      </x:c>
      <x:c r="L107" s="13" t="n">
        <x:f>IF(AND(ISNUMBER(F107),ISNUMBER(J107)),IF(J107&gt;0,F107/J107*10,"不适用"),"不适用")</x:f>
        <x:v>0.6622516556291391</x:v>
      </x:c>
      <x:c r="M107" s="13"/>
      <x:c r="N107" s="12" t="str">
        <x:v>明细规划</x:v>
      </x:c>
      <x:c r="O107" s="12" t="str">
        <x:v>票券缺统一字典时不出完整折扣</x:v>
      </x:c>
      <x:c r="P107" s="12" t="str">
        <x:v>主/月光炼梦!第58行</x:v>
      </x:c>
    </x:row>
    <x:row r="108" ht="52" customHeight="1">
      <x:c r="A108" s="4" t="str">
        <x:v>P104</x:v>
      </x:c>
      <x:c r="B108" s="4" t="str">
        <x:v>月光炼梦</x:v>
      </x:c>
      <x:c r="C108" s="4" t="str">
        <x:v>月光炼梦/礼包2</x:v>
      </x:c>
      <x:c r="D108" s="4" t="str">
        <x:v>RMB</x:v>
      </x:c>
      <x:c r="E108" s="18" t="n">
        <x:v>300</x:v>
      </x:c>
      <x:c r="F108" s="14" t="n">
        <x:f>IF(ISNUMBER(E108),E108*'来源与口径'!$C$5,"不适用")</x:f>
        <x:v>3000</x:v>
      </x:c>
      <x:c r="G108" s="14" t="n">
        <x:v>8</x:v>
      </x:c>
      <x:c r="H108" s="16" t="n">
        <x:v>174</x:v>
      </x:c>
      <x:c r="I108" s="16" t="n">
        <x:v>173</x:v>
      </x:c>
      <x:c r="J108" s="14" t="n">
        <x:f>IF(COUNT('奖励明细'!G174:G173)=ROWS('奖励明细'!G174:G173),SUM('奖励明细'!G174:G173),"缺完整估值")</x:f>
        <x:v>9060</x:v>
      </x:c>
      <x:c r="K108" s="14" t="n">
        <x:f>IF(AND(ISNUMBER(F108),ISNUMBER(J108)),IF(F108&gt;0,J108/F108,"免费"),"不适用")</x:f>
        <x:v>3.02</x:v>
      </x:c>
      <x:c r="L108" s="14" t="n">
        <x:f>IF(AND(ISNUMBER(F108),ISNUMBER(J108)),IF(J108&gt;0,F108/J108*10,"不适用"),"不适用")</x:f>
        <x:v>3.3112582781456954</x:v>
      </x:c>
      <x:c r="M108" s="14"/>
      <x:c r="N108" s="4" t="str">
        <x:v>明细规划</x:v>
      </x:c>
      <x:c r="O108" s="4" t="str">
        <x:v>票券缺统一字典时不出完整折扣</x:v>
      </x:c>
      <x:c r="P108" s="4" t="str">
        <x:v>主/月光炼梦!第59行</x:v>
      </x:c>
    </x:row>
    <x:row r="109" ht="52" customHeight="1">
      <x:c r="A109" s="12" t="str">
        <x:v>P105</x:v>
      </x:c>
      <x:c r="B109" s="12" t="str">
        <x:v>月光炼梦</x:v>
      </x:c>
      <x:c r="C109" s="12" t="str">
        <x:v>月光炼梦/礼包3</x:v>
      </x:c>
      <x:c r="D109" s="12" t="str">
        <x:v>RMB</x:v>
      </x:c>
      <x:c r="E109" s="17" t="n">
        <x:v>980</x:v>
      </x:c>
      <x:c r="F109" s="13" t="n">
        <x:f>IF(ISNUMBER(E109),E109*'来源与口径'!$C$5,"不适用")</x:f>
        <x:v>9800</x:v>
      </x:c>
      <x:c r="G109" s="13" t="n">
        <x:v>12</x:v>
      </x:c>
      <x:c r="H109" s="15" t="n">
        <x:v>174</x:v>
      </x:c>
      <x:c r="I109" s="15" t="n">
        <x:v>173</x:v>
      </x:c>
      <x:c r="J109" s="13" t="n">
        <x:f>IF(COUNT('奖励明细'!G174:G173)=ROWS('奖励明细'!G174:G173),SUM('奖励明细'!G174:G173),"缺完整估值")</x:f>
        <x:v>9060</x:v>
      </x:c>
      <x:c r="K109" s="13" t="n">
        <x:f>IF(AND(ISNUMBER(F109),ISNUMBER(J109)),IF(F109&gt;0,J109/F109,"免费"),"不适用")</x:f>
        <x:v>0.9244897959183673</x:v>
      </x:c>
      <x:c r="L109" s="13" t="n">
        <x:f>IF(AND(ISNUMBER(F109),ISNUMBER(J109)),IF(J109&gt;0,F109/J109*10,"不适用"),"不适用")</x:f>
        <x:v>10.816777041942604</x:v>
      </x:c>
      <x:c r="M109" s="13"/>
      <x:c r="N109" s="12" t="str">
        <x:v>明细规划</x:v>
      </x:c>
      <x:c r="O109" s="12" t="str">
        <x:v>票券缺统一字典时不出完整折扣</x:v>
      </x:c>
      <x:c r="P109" s="12" t="str">
        <x:v>主/月光炼梦!第60行</x:v>
      </x:c>
    </x:row>
    <x:row r="110" ht="52" customHeight="1">
      <x:c r="A110" s="4" t="str">
        <x:v>P106</x:v>
      </x:c>
      <x:c r="B110" s="4" t="str">
        <x:v>星轨探测</x:v>
      </x:c>
      <x:c r="C110" s="4" t="str">
        <x:v>星轨探测/礼包1</x:v>
      </x:c>
      <x:c r="D110" s="4" t="str">
        <x:v>RMB</x:v>
      </x:c>
      <x:c r="E110" s="18" t="n">
        <x:v>6</x:v>
      </x:c>
      <x:c r="F110" s="14" t="n">
        <x:f>IF(ISNUMBER(E110),E110*'来源与口径'!$C$5,"不适用")</x:f>
        <x:v>60</x:v>
      </x:c>
      <x:c r="G110" s="14" t="n">
        <x:v>5</x:v>
      </x:c>
      <x:c r="H110" s="16" t="n">
        <x:v>174</x:v>
      </x:c>
      <x:c r="I110" s="16" t="n">
        <x:v>175</x:v>
      </x:c>
      <x:c r="J110" s="14" t="str">
        <x:f>IF(COUNT('奖励明细'!G174:G175)=ROWS('奖励明细'!G174:G175),SUM('奖励明细'!G174:G175),"缺完整估值")</x:f>
        <x:v>缺完整估值</x:v>
      </x:c>
      <x:c r="K110" s="14" t="str">
        <x:f>IF(AND(ISNUMBER(F110),ISNUMBER(J110)),IF(F110&gt;0,J110/F110,"免费"),"不适用")</x:f>
        <x:v>不适用</x:v>
      </x:c>
      <x:c r="L110" s="14" t="str">
        <x:f>IF(AND(ISNUMBER(F110),ISNUMBER(J110)),IF(J110&gt;0,F110/J110*10,"不适用"),"不适用")</x:f>
        <x:v>不适用</x:v>
      </x:c>
      <x:c r="M110" s="14"/>
      <x:c r="N110" s="4" t="str">
        <x:v>明细规划；估值缺失</x:v>
      </x:c>
      <x:c r="O110" s="4" t="str">
        <x:v>票券缺统一字典时不出完整折扣</x:v>
      </x:c>
      <x:c r="P110" s="4" t="str">
        <x:v>主/星轨探测!第57行</x:v>
      </x:c>
    </x:row>
    <x:row r="111" ht="52" customHeight="1">
      <x:c r="A111" s="12" t="str">
        <x:v>P107</x:v>
      </x:c>
      <x:c r="B111" s="12" t="str">
        <x:v>星轨探测</x:v>
      </x:c>
      <x:c r="C111" s="12" t="str">
        <x:v>星轨探测/礼包2</x:v>
      </x:c>
      <x:c r="D111" s="12" t="str">
        <x:v>RMB</x:v>
      </x:c>
      <x:c r="E111" s="17" t="n">
        <x:v>30</x:v>
      </x:c>
      <x:c r="F111" s="13" t="n">
        <x:f>IF(ISNUMBER(E111),E111*'来源与口径'!$C$5,"不适用")</x:f>
        <x:v>300</x:v>
      </x:c>
      <x:c r="G111" s="13" t="n">
        <x:v>5</x:v>
      </x:c>
      <x:c r="H111" s="15" t="n">
        <x:v>176</x:v>
      </x:c>
      <x:c r="I111" s="15" t="n">
        <x:v>177</x:v>
      </x:c>
      <x:c r="J111" s="13" t="str">
        <x:f>IF(COUNT('奖励明细'!G176:G177)=ROWS('奖励明细'!G176:G177),SUM('奖励明细'!G176:G177),"缺完整估值")</x:f>
        <x:v>缺完整估值</x:v>
      </x:c>
      <x:c r="K111" s="13" t="str">
        <x:f>IF(AND(ISNUMBER(F111),ISNUMBER(J111)),IF(F111&gt;0,J111/F111,"免费"),"不适用")</x:f>
        <x:v>不适用</x:v>
      </x:c>
      <x:c r="L111" s="13" t="str">
        <x:f>IF(AND(ISNUMBER(F111),ISNUMBER(J111)),IF(J111&gt;0,F111/J111*10,"不适用"),"不适用")</x:f>
        <x:v>不适用</x:v>
      </x:c>
      <x:c r="M111" s="13"/>
      <x:c r="N111" s="12" t="str">
        <x:v>明细规划；估值缺失</x:v>
      </x:c>
      <x:c r="O111" s="12" t="str">
        <x:v>票券缺统一字典时不出完整折扣</x:v>
      </x:c>
      <x:c r="P111" s="12" t="str">
        <x:v>主/星轨探测!第58行</x:v>
      </x:c>
    </x:row>
    <x:row r="112" ht="52" customHeight="1">
      <x:c r="A112" s="4" t="str">
        <x:v>P108</x:v>
      </x:c>
      <x:c r="B112" s="4" t="str">
        <x:v>星轨探测</x:v>
      </x:c>
      <x:c r="C112" s="4" t="str">
        <x:v>星轨探测/礼包3</x:v>
      </x:c>
      <x:c r="D112" s="4" t="str">
        <x:v>RMB</x:v>
      </x:c>
      <x:c r="E112" s="18" t="n">
        <x:v>98</x:v>
      </x:c>
      <x:c r="F112" s="14" t="n">
        <x:f>IF(ISNUMBER(E112),E112*'来源与口径'!$C$5,"不适用")</x:f>
        <x:v>980</x:v>
      </x:c>
      <x:c r="G112" s="14" t="n">
        <x:v>5</x:v>
      </x:c>
      <x:c r="H112" s="16" t="n">
        <x:v>178</x:v>
      </x:c>
      <x:c r="I112" s="16" t="n">
        <x:v>179</x:v>
      </x:c>
      <x:c r="J112" s="14" t="str">
        <x:f>IF(COUNT('奖励明细'!G178:G179)=ROWS('奖励明细'!G178:G179),SUM('奖励明细'!G178:G179),"缺完整估值")</x:f>
        <x:v>缺完整估值</x:v>
      </x:c>
      <x:c r="K112" s="14" t="str">
        <x:f>IF(AND(ISNUMBER(F112),ISNUMBER(J112)),IF(F112&gt;0,J112/F112,"免费"),"不适用")</x:f>
        <x:v>不适用</x:v>
      </x:c>
      <x:c r="L112" s="14" t="str">
        <x:f>IF(AND(ISNUMBER(F112),ISNUMBER(J112)),IF(J112&gt;0,F112/J112*10,"不适用"),"不适用")</x:f>
        <x:v>不适用</x:v>
      </x:c>
      <x:c r="M112" s="14"/>
      <x:c r="N112" s="4" t="str">
        <x:v>明细规划；估值缺失</x:v>
      </x:c>
      <x:c r="O112" s="4" t="str">
        <x:v>票券缺统一字典时不出完整折扣</x:v>
      </x:c>
      <x:c r="P112" s="4" t="str">
        <x:v>主/星轨探测!第59行</x:v>
      </x:c>
    </x:row>
    <x:row r="113" ht="52" customHeight="1">
      <x:c r="A113" s="12" t="str">
        <x:v>P109</x:v>
      </x:c>
      <x:c r="B113" s="12" t="str">
        <x:v>首月活动</x:v>
      </x:c>
      <x:c r="C113" s="12" t="str">
        <x:v>首月活动/礼包1</x:v>
      </x:c>
      <x:c r="D113" s="12" t="str">
        <x:v>RMB</x:v>
      </x:c>
      <x:c r="E113" s="17" t="n">
        <x:v>6</x:v>
      </x:c>
      <x:c r="F113" s="13" t="n">
        <x:f>IF(ISNUMBER(E113),E113*'来源与口径'!$C$5,"不适用")</x:f>
        <x:v>60</x:v>
      </x:c>
      <x:c r="G113" s="13" t="n">
        <x:v>5</x:v>
      </x:c>
      <x:c r="H113" s="15" t="n">
        <x:v>180</x:v>
      </x:c>
      <x:c r="I113" s="15" t="n">
        <x:v>181</x:v>
      </x:c>
      <x:c r="J113" s="13" t="str">
        <x:f>IF(COUNT('奖励明细'!G180:G181)=ROWS('奖励明细'!G180:G181),SUM('奖励明细'!G180:G181),"缺完整估值")</x:f>
        <x:v>缺完整估值</x:v>
      </x:c>
      <x:c r="K113" s="13" t="str">
        <x:f>IF(AND(ISNUMBER(F113),ISNUMBER(J113)),IF(F113&gt;0,J113/F113,"免费"),"不适用")</x:f>
        <x:v>不适用</x:v>
      </x:c>
      <x:c r="L113" s="13" t="str">
        <x:f>IF(AND(ISNUMBER(F113),ISNUMBER(J113)),IF(J113&gt;0,F113/J113*10,"不适用"),"不适用")</x:f>
        <x:v>不适用</x:v>
      </x:c>
      <x:c r="M113" s="13"/>
      <x:c r="N113" s="12" t="str">
        <x:v>明细规划；估值缺失</x:v>
      </x:c>
      <x:c r="O113" s="12" t="str">
        <x:v>票券效用受奖池影响；不把保底/期望当实得。首月礼包每周重置共3次</x:v>
      </x:c>
      <x:c r="P113" s="12" t="str">
        <x:v>主/首月活动!第87行</x:v>
      </x:c>
    </x:row>
    <x:row r="114" ht="52" customHeight="1">
      <x:c r="A114" s="4" t="str">
        <x:v>P110</x:v>
      </x:c>
      <x:c r="B114" s="4" t="str">
        <x:v>首月活动</x:v>
      </x:c>
      <x:c r="C114" s="4" t="str">
        <x:v>首月活动/礼包2</x:v>
      </x:c>
      <x:c r="D114" s="4" t="str">
        <x:v>RMB</x:v>
      </x:c>
      <x:c r="E114" s="18" t="n">
        <x:v>30</x:v>
      </x:c>
      <x:c r="F114" s="14" t="n">
        <x:f>IF(ISNUMBER(E114),E114*'来源与口径'!$C$5,"不适用")</x:f>
        <x:v>300</x:v>
      </x:c>
      <x:c r="G114" s="14" t="n">
        <x:v>5</x:v>
      </x:c>
      <x:c r="H114" s="16" t="n">
        <x:v>182</x:v>
      </x:c>
      <x:c r="I114" s="16" t="n">
        <x:v>183</x:v>
      </x:c>
      <x:c r="J114" s="14" t="str">
        <x:f>IF(COUNT('奖励明细'!G182:G183)=ROWS('奖励明细'!G182:G183),SUM('奖励明细'!G182:G183),"缺完整估值")</x:f>
        <x:v>缺完整估值</x:v>
      </x:c>
      <x:c r="K114" s="14" t="str">
        <x:f>IF(AND(ISNUMBER(F114),ISNUMBER(J114)),IF(F114&gt;0,J114/F114,"免费"),"不适用")</x:f>
        <x:v>不适用</x:v>
      </x:c>
      <x:c r="L114" s="14" t="str">
        <x:f>IF(AND(ISNUMBER(F114),ISNUMBER(J114)),IF(J114&gt;0,F114/J114*10,"不适用"),"不适用")</x:f>
        <x:v>不适用</x:v>
      </x:c>
      <x:c r="M114" s="14"/>
      <x:c r="N114" s="4" t="str">
        <x:v>明细规划；估值缺失</x:v>
      </x:c>
      <x:c r="O114" s="4" t="str">
        <x:v>票券效用受奖池影响；不把保底/期望当实得。首月礼包每周重置共3次</x:v>
      </x:c>
      <x:c r="P114" s="4" t="str">
        <x:v>主/首月活动!第88行</x:v>
      </x:c>
    </x:row>
    <x:row r="115" ht="52" customHeight="1">
      <x:c r="A115" s="12" t="str">
        <x:v>P111</x:v>
      </x:c>
      <x:c r="B115" s="12" t="str">
        <x:v>首月活动</x:v>
      </x:c>
      <x:c r="C115" s="12" t="str">
        <x:v>首月活动/礼包3</x:v>
      </x:c>
      <x:c r="D115" s="12" t="str">
        <x:v>RMB</x:v>
      </x:c>
      <x:c r="E115" s="17" t="n">
        <x:v>98</x:v>
      </x:c>
      <x:c r="F115" s="13" t="n">
        <x:f>IF(ISNUMBER(E115),E115*'来源与口径'!$C$5,"不适用")</x:f>
        <x:v>980</x:v>
      </x:c>
      <x:c r="G115" s="13" t="n">
        <x:v>5</x:v>
      </x:c>
      <x:c r="H115" s="15" t="n">
        <x:v>184</x:v>
      </x:c>
      <x:c r="I115" s="15" t="n">
        <x:v>185</x:v>
      </x:c>
      <x:c r="J115" s="13" t="str">
        <x:f>IF(COUNT('奖励明细'!G184:G185)=ROWS('奖励明细'!G184:G185),SUM('奖励明细'!G184:G185),"缺完整估值")</x:f>
        <x:v>缺完整估值</x:v>
      </x:c>
      <x:c r="K115" s="13" t="str">
        <x:f>IF(AND(ISNUMBER(F115),ISNUMBER(J115)),IF(F115&gt;0,J115/F115,"免费"),"不适用")</x:f>
        <x:v>不适用</x:v>
      </x:c>
      <x:c r="L115" s="13" t="str">
        <x:f>IF(AND(ISNUMBER(F115),ISNUMBER(J115)),IF(J115&gt;0,F115/J115*10,"不适用"),"不适用")</x:f>
        <x:v>不适用</x:v>
      </x:c>
      <x:c r="M115" s="13"/>
      <x:c r="N115" s="12" t="str">
        <x:v>明细规划；估值缺失</x:v>
      </x:c>
      <x:c r="O115" s="12" t="str">
        <x:v>票券效用受奖池影响；不把保底/期望当实得。首月礼包每周重置共3次</x:v>
      </x:c>
      <x:c r="P115" s="12" t="str">
        <x:v>主/首月活动!第89行</x:v>
      </x:c>
    </x:row>
    <x:row r="116" ht="52" customHeight="1">
      <x:c r="A116" s="4" t="str">
        <x:v>P112</x:v>
      </x:c>
      <x:c r="B116" s="4" t="str">
        <x:v>悬赏活动</x:v>
      </x:c>
      <x:c r="C116" s="4" t="str">
        <x:v>免费礼包</x:v>
      </x:c>
      <x:c r="D116" s="4" t="str">
        <x:v>钻石</x:v>
      </x:c>
      <x:c r="E116" s="18" t="n">
        <x:v>0</x:v>
      </x:c>
      <x:c r="F116" s="14" t="n">
        <x:f>IF(ISNUMBER(E116),E116,"不适用")</x:f>
        <x:v>0</x:v>
      </x:c>
      <x:c r="G116" s="14" t="n">
        <x:v>1</x:v>
      </x:c>
      <x:c r="H116" s="16" t="n">
        <x:v>186</x:v>
      </x:c>
      <x:c r="I116" s="16" t="n">
        <x:v>186</x:v>
      </x:c>
      <x:c r="J116" s="14" t="n">
        <x:f>IF(COUNT('奖励明细'!G186:G186)=ROWS('奖励明细'!G186:G186),SUM('奖励明细'!G186:G186),"缺完整估值")</x:f>
        <x:v>30</x:v>
      </x:c>
      <x:c r="K116" s="14" t="str">
        <x:f>IF(AND(ISNUMBER(F116),ISNUMBER(J116)),IF(F116&gt;0,J116/F116,"免费"),"不适用")</x:f>
        <x:v>免费</x:v>
      </x:c>
      <x:c r="L116" s="14" t="n">
        <x:f>IF(AND(ISNUMBER(F116),ISNUMBER(J116)),IF(J116&gt;0,F116/J116*10,"不适用"),"不适用")</x:f>
        <x:v>0</x:v>
      </x:c>
      <x:c r="M116" s="14"/>
      <x:c r="N116" s="4" t="str">
        <x:v>明细规划</x:v>
      </x:c>
      <x:c r="O116" s="4" t="str">
        <x:v>原表第三组数量留空时，不猜测</x:v>
      </x:c>
      <x:c r="P116" s="4" t="str">
        <x:v>主/悬赏活动!第74行</x:v>
      </x:c>
    </x:row>
    <x:row r="117" ht="52" customHeight="1">
      <x:c r="A117" s="12" t="str">
        <x:v>P113</x:v>
      </x:c>
      <x:c r="B117" s="12" t="str">
        <x:v>悬赏活动</x:v>
      </x:c>
      <x:c r="C117" s="12" t="str">
        <x:v>悬赏礼包Ⅰ</x:v>
      </x:c>
      <x:c r="D117" s="12" t="str">
        <x:v>钻石</x:v>
      </x:c>
      <x:c r="E117" s="17" t="n">
        <x:v>198</x:v>
      </x:c>
      <x:c r="F117" s="13" t="n">
        <x:f>IF(ISNUMBER(E117),E117,"不适用")</x:f>
        <x:v>198</x:v>
      </x:c>
      <x:c r="G117" s="13" t="n">
        <x:v>1</x:v>
      </x:c>
      <x:c r="H117" s="15" t="n">
        <x:v>187</x:v>
      </x:c>
      <x:c r="I117" s="15" t="n">
        <x:v>189</x:v>
      </x:c>
      <x:c r="J117" s="13" t="str">
        <x:f>IF(COUNT('奖励明细'!G187:G189)=ROWS('奖励明细'!G187:G189),SUM('奖励明细'!G187:G189),"缺完整估值")</x:f>
        <x:v>缺完整估值</x:v>
      </x:c>
      <x:c r="K117" s="13" t="str">
        <x:f>IF(AND(ISNUMBER(F117),ISNUMBER(J117)),IF(F117&gt;0,J117/F117,"免费"),"不适用")</x:f>
        <x:v>不适用</x:v>
      </x:c>
      <x:c r="L117" s="13" t="str">
        <x:f>IF(AND(ISNUMBER(F117),ISNUMBER(J117)),IF(J117&gt;0,F117/J117*10,"不适用"),"不适用")</x:f>
        <x:v>不适用</x:v>
      </x:c>
      <x:c r="M117" s="13"/>
      <x:c r="N117" s="12" t="str">
        <x:v>明细规划；数量缺失</x:v>
      </x:c>
      <x:c r="O117" s="12" t="str">
        <x:v>原表第三组数量留空时，不猜测</x:v>
      </x:c>
      <x:c r="P117" s="12" t="str">
        <x:v>主/悬赏活动!第75行</x:v>
      </x:c>
    </x:row>
    <x:row r="118" ht="52" customHeight="1">
      <x:c r="A118" s="4" t="str">
        <x:v>P114</x:v>
      </x:c>
      <x:c r="B118" s="4" t="str">
        <x:v>悬赏活动</x:v>
      </x:c>
      <x:c r="C118" s="4" t="str">
        <x:v>悬赏礼包Ⅱ</x:v>
      </x:c>
      <x:c r="D118" s="4" t="str">
        <x:v>RMB</x:v>
      </x:c>
      <x:c r="E118" s="18" t="n">
        <x:v>6</x:v>
      </x:c>
      <x:c r="F118" s="14" t="n">
        <x:f>IF(ISNUMBER(E118),E118*'来源与口径'!$C$5,"不适用")</x:f>
        <x:v>60</x:v>
      </x:c>
      <x:c r="G118" s="14" t="n">
        <x:v>3</x:v>
      </x:c>
      <x:c r="H118" s="16" t="n">
        <x:v>190</x:v>
      </x:c>
      <x:c r="I118" s="16" t="n">
        <x:v>192</x:v>
      </x:c>
      <x:c r="J118" s="14" t="str">
        <x:f>IF(COUNT('奖励明细'!G190:G192)=ROWS('奖励明细'!G190:G192),SUM('奖励明细'!G190:G192),"缺完整估值")</x:f>
        <x:v>缺完整估值</x:v>
      </x:c>
      <x:c r="K118" s="14" t="str">
        <x:f>IF(AND(ISNUMBER(F118),ISNUMBER(J118)),IF(F118&gt;0,J118/F118,"免费"),"不适用")</x:f>
        <x:v>不适用</x:v>
      </x:c>
      <x:c r="L118" s="14" t="str">
        <x:f>IF(AND(ISNUMBER(F118),ISNUMBER(J118)),IF(J118&gt;0,F118/J118*10,"不适用"),"不适用")</x:f>
        <x:v>不适用</x:v>
      </x:c>
      <x:c r="M118" s="14"/>
      <x:c r="N118" s="4" t="str">
        <x:v>明细规划；数量缺失</x:v>
      </x:c>
      <x:c r="O118" s="4" t="str">
        <x:v>原表第三组数量留空时，不猜测</x:v>
      </x:c>
      <x:c r="P118" s="4" t="str">
        <x:v>主/悬赏活动!第76行</x:v>
      </x:c>
    </x:row>
    <x:row r="119" ht="52" customHeight="1">
      <x:c r="A119" s="12" t="str">
        <x:v>P115</x:v>
      </x:c>
      <x:c r="B119" s="12" t="str">
        <x:v>悬赏活动</x:v>
      </x:c>
      <x:c r="C119" s="12" t="str">
        <x:v>悬赏礼包Ⅲ</x:v>
      </x:c>
      <x:c r="D119" s="12" t="str">
        <x:v>钻石</x:v>
      </x:c>
      <x:c r="E119" s="17" t="n">
        <x:v>588</x:v>
      </x:c>
      <x:c r="F119" s="13" t="n">
        <x:f>IF(ISNUMBER(E119),E119,"不适用")</x:f>
        <x:v>588</x:v>
      </x:c>
      <x:c r="G119" s="13" t="n">
        <x:v>3</x:v>
      </x:c>
      <x:c r="H119" s="15" t="n">
        <x:v>193</x:v>
      </x:c>
      <x:c r="I119" s="15" t="n">
        <x:v>195</x:v>
      </x:c>
      <x:c r="J119" s="13" t="str">
        <x:f>IF(COUNT('奖励明细'!G193:G195)=ROWS('奖励明细'!G193:G195),SUM('奖励明细'!G193:G195),"缺完整估值")</x:f>
        <x:v>缺完整估值</x:v>
      </x:c>
      <x:c r="K119" s="13" t="str">
        <x:f>IF(AND(ISNUMBER(F119),ISNUMBER(J119)),IF(F119&gt;0,J119/F119,"免费"),"不适用")</x:f>
        <x:v>不适用</x:v>
      </x:c>
      <x:c r="L119" s="13" t="str">
        <x:f>IF(AND(ISNUMBER(F119),ISNUMBER(J119)),IF(J119&gt;0,F119/J119*10,"不适用"),"不适用")</x:f>
        <x:v>不适用</x:v>
      </x:c>
      <x:c r="M119" s="13"/>
      <x:c r="N119" s="12" t="str">
        <x:v>明细规划；数量缺失</x:v>
      </x:c>
      <x:c r="O119" s="12" t="str">
        <x:v>原表第三组数量留空时，不猜测</x:v>
      </x:c>
      <x:c r="P119" s="12" t="str">
        <x:v>主/悬赏活动!第77行</x:v>
      </x:c>
    </x:row>
    <x:row r="120" ht="52" customHeight="1">
      <x:c r="A120" s="4" t="str">
        <x:v>P116</x:v>
      </x:c>
      <x:c r="B120" s="4" t="str">
        <x:v>悬赏活动</x:v>
      </x:c>
      <x:c r="C120" s="4" t="str">
        <x:v>悬赏礼包Ⅳ</x:v>
      </x:c>
      <x:c r="D120" s="4" t="str">
        <x:v>RMB</x:v>
      </x:c>
      <x:c r="E120" s="18" t="n">
        <x:v>30</x:v>
      </x:c>
      <x:c r="F120" s="14" t="n">
        <x:f>IF(ISNUMBER(E120),E120*'来源与口径'!$C$5,"不适用")</x:f>
        <x:v>300</x:v>
      </x:c>
      <x:c r="G120" s="14" t="n">
        <x:v>5</x:v>
      </x:c>
      <x:c r="H120" s="16" t="n">
        <x:v>196</x:v>
      </x:c>
      <x:c r="I120" s="16" t="n">
        <x:v>198</x:v>
      </x:c>
      <x:c r="J120" s="14" t="str">
        <x:f>IF(COUNT('奖励明细'!G196:G198)=ROWS('奖励明细'!G196:G198),SUM('奖励明细'!G196:G198),"缺完整估值")</x:f>
        <x:v>缺完整估值</x:v>
      </x:c>
      <x:c r="K120" s="14" t="str">
        <x:f>IF(AND(ISNUMBER(F120),ISNUMBER(J120)),IF(F120&gt;0,J120/F120,"免费"),"不适用")</x:f>
        <x:v>不适用</x:v>
      </x:c>
      <x:c r="L120" s="14" t="str">
        <x:f>IF(AND(ISNUMBER(F120),ISNUMBER(J120)),IF(J120&gt;0,F120/J120*10,"不适用"),"不适用")</x:f>
        <x:v>不适用</x:v>
      </x:c>
      <x:c r="M120" s="14"/>
      <x:c r="N120" s="4" t="str">
        <x:v>明细规划；数量缺失</x:v>
      </x:c>
      <x:c r="O120" s="4" t="str">
        <x:v>原表第三组数量留空时，不猜测</x:v>
      </x:c>
      <x:c r="P120" s="4" t="str">
        <x:v>主/悬赏活动!第78行</x:v>
      </x:c>
    </x:row>
    <x:row r="121" ht="52" customHeight="1">
      <x:c r="A121" s="12" t="str">
        <x:v>P117</x:v>
      </x:c>
      <x:c r="B121" s="12" t="str">
        <x:v>悬赏活动</x:v>
      </x:c>
      <x:c r="C121" s="12" t="str">
        <x:v>悬赏礼包Ⅴ</x:v>
      </x:c>
      <x:c r="D121" s="12" t="str">
        <x:v>钻石</x:v>
      </x:c>
      <x:c r="E121" s="17" t="n">
        <x:v>1388</x:v>
      </x:c>
      <x:c r="F121" s="13" t="n">
        <x:f>IF(ISNUMBER(E121),E121,"不适用")</x:f>
        <x:v>1388</x:v>
      </x:c>
      <x:c r="G121" s="13" t="n">
        <x:v>3</x:v>
      </x:c>
      <x:c r="H121" s="15" t="n">
        <x:v>199</x:v>
      </x:c>
      <x:c r="I121" s="15" t="n">
        <x:v>201</x:v>
      </x:c>
      <x:c r="J121" s="13" t="str">
        <x:f>IF(COUNT('奖励明细'!G199:G201)=ROWS('奖励明细'!G199:G201),SUM('奖励明细'!G199:G201),"缺完整估值")</x:f>
        <x:v>缺完整估值</x:v>
      </x:c>
      <x:c r="K121" s="13" t="str">
        <x:f>IF(AND(ISNUMBER(F121),ISNUMBER(J121)),IF(F121&gt;0,J121/F121,"免费"),"不适用")</x:f>
        <x:v>不适用</x:v>
      </x:c>
      <x:c r="L121" s="13" t="str">
        <x:f>IF(AND(ISNUMBER(F121),ISNUMBER(J121)),IF(J121&gt;0,F121/J121*10,"不适用"),"不适用")</x:f>
        <x:v>不适用</x:v>
      </x:c>
      <x:c r="M121" s="13"/>
      <x:c r="N121" s="12" t="str">
        <x:v>明细规划；数量缺失</x:v>
      </x:c>
      <x:c r="O121" s="12" t="str">
        <x:v>原表第三组数量留空时，不猜测</x:v>
      </x:c>
      <x:c r="P121" s="12" t="str">
        <x:v>主/悬赏活动!第79行</x:v>
      </x:c>
    </x:row>
    <x:row r="122" ht="52" customHeight="1">
      <x:c r="A122" s="4" t="str">
        <x:v>P118</x:v>
      </x:c>
      <x:c r="B122" s="4" t="str">
        <x:v>悬赏活动</x:v>
      </x:c>
      <x:c r="C122" s="4" t="str">
        <x:v>悬赏礼包Ⅵ</x:v>
      </x:c>
      <x:c r="D122" s="4" t="str">
        <x:v>RMB</x:v>
      </x:c>
      <x:c r="E122" s="18" t="n">
        <x:v>98</x:v>
      </x:c>
      <x:c r="F122" s="14" t="n">
        <x:f>IF(ISNUMBER(E122),E122*'来源与口径'!$C$5,"不适用")</x:f>
        <x:v>980</x:v>
      </x:c>
      <x:c r="G122" s="14" t="n">
        <x:v>5</x:v>
      </x:c>
      <x:c r="H122" s="16" t="n">
        <x:v>202</x:v>
      </x:c>
      <x:c r="I122" s="16" t="n">
        <x:v>204</x:v>
      </x:c>
      <x:c r="J122" s="14" t="str">
        <x:f>IF(COUNT('奖励明细'!G202:G204)=ROWS('奖励明细'!G202:G204),SUM('奖励明细'!G202:G204),"缺完整估值")</x:f>
        <x:v>缺完整估值</x:v>
      </x:c>
      <x:c r="K122" s="14" t="str">
        <x:f>IF(AND(ISNUMBER(F122),ISNUMBER(J122)),IF(F122&gt;0,J122/F122,"免费"),"不适用")</x:f>
        <x:v>不适用</x:v>
      </x:c>
      <x:c r="L122" s="14" t="str">
        <x:f>IF(AND(ISNUMBER(F122),ISNUMBER(J122)),IF(J122&gt;0,F122/J122*10,"不适用"),"不适用")</x:f>
        <x:v>不适用</x:v>
      </x:c>
      <x:c r="M122" s="14"/>
      <x:c r="N122" s="4" t="str">
        <x:v>明细规划；数量缺失</x:v>
      </x:c>
      <x:c r="O122" s="4" t="str">
        <x:v>原表第三组数量留空时，不猜测</x:v>
      </x:c>
      <x:c r="P122" s="4" t="str">
        <x:v>主/悬赏活动!第80行</x:v>
      </x:c>
    </x:row>
    <x:row r="123" ht="52" customHeight="1">
      <x:c r="A123" s="12" t="str">
        <x:v>P119</x:v>
      </x:c>
      <x:c r="B123" s="12" t="str">
        <x:v>悬赏活动</x:v>
      </x:c>
      <x:c r="C123" s="12" t="str">
        <x:v>悬赏礼包Ⅶ</x:v>
      </x:c>
      <x:c r="D123" s="12" t="str">
        <x:v>钻石</x:v>
      </x:c>
      <x:c r="E123" s="17" t="n">
        <x:v>2188</x:v>
      </x:c>
      <x:c r="F123" s="13" t="n">
        <x:f>IF(ISNUMBER(E123),E123,"不适用")</x:f>
        <x:v>2188</x:v>
      </x:c>
      <x:c r="G123" s="13" t="n">
        <x:v>3</x:v>
      </x:c>
      <x:c r="H123" s="15" t="n">
        <x:v>205</x:v>
      </x:c>
      <x:c r="I123" s="15" t="n">
        <x:v>207</x:v>
      </x:c>
      <x:c r="J123" s="13" t="str">
        <x:f>IF(COUNT('奖励明细'!G205:G207)=ROWS('奖励明细'!G205:G207),SUM('奖励明细'!G205:G207),"缺完整估值")</x:f>
        <x:v>缺完整估值</x:v>
      </x:c>
      <x:c r="K123" s="13" t="str">
        <x:f>IF(AND(ISNUMBER(F123),ISNUMBER(J123)),IF(F123&gt;0,J123/F123,"免费"),"不适用")</x:f>
        <x:v>不适用</x:v>
      </x:c>
      <x:c r="L123" s="13" t="str">
        <x:f>IF(AND(ISNUMBER(F123),ISNUMBER(J123)),IF(J123&gt;0,F123/J123*10,"不适用"),"不适用")</x:f>
        <x:v>不适用</x:v>
      </x:c>
      <x:c r="M123" s="13"/>
      <x:c r="N123" s="12" t="str">
        <x:v>明细规划；数量缺失</x:v>
      </x:c>
      <x:c r="O123" s="12" t="str">
        <x:v>原表第三组数量留空时，不猜测</x:v>
      </x:c>
      <x:c r="P123" s="12" t="str">
        <x:v>主/悬赏活动!第81行</x:v>
      </x:c>
    </x:row>
    <x:row r="124" ht="52" customHeight="1">
      <x:c r="A124" s="4" t="str">
        <x:v>P120</x:v>
      </x:c>
      <x:c r="B124" s="4" t="str">
        <x:v>章节礼包</x:v>
      </x:c>
      <x:c r="C124" s="4" t="str">
        <x:v>通关5章</x:v>
      </x:c>
      <x:c r="D124" s="4" t="str">
        <x:v>钻石</x:v>
      </x:c>
      <x:c r="E124" s="18" t="n">
        <x:v>680</x:v>
      </x:c>
      <x:c r="F124" s="14" t="n">
        <x:f>IF(ISNUMBER(E124),E124,"不适用")</x:f>
        <x:v>680</x:v>
      </x:c>
      <x:c r="G124" s="14" t="n">
        <x:v>1</x:v>
      </x:c>
      <x:c r="H124" s="16" t="n">
        <x:v>208</x:v>
      </x:c>
      <x:c r="I124" s="16" t="n">
        <x:v>210</x:v>
      </x:c>
      <x:c r="J124" s="14" t="n">
        <x:f>IF(COUNT('奖励明细'!G208:G210)=ROWS('奖励明细'!G208:G210),SUM('奖励明细'!G208:G210),"缺完整估值")</x:f>
        <x:v>1660</x:v>
      </x:c>
      <x:c r="K124" s="14" t="n">
        <x:f>IF(AND(ISNUMBER(F124),ISNUMBER(J124)),IF(F124&gt;0,J124/F124,"免费"),"不适用")</x:f>
        <x:v>2.4411764705882355</x:v>
      </x:c>
      <x:c r="L124" s="14" t="n">
        <x:f>IF(AND(ISNUMBER(F124),ISNUMBER(J124)),IF(J124&gt;0,F124/J124*10,"不适用"),"不适用")</x:f>
        <x:v>4.096385542168674</x:v>
      </x:c>
      <x:c r="M124" s="14"/>
      <x:c r="N124" s="4" t="str">
        <x:v>补充规划</x:v>
      </x:c>
      <x:c r="O124" s="4" t="str">
        <x:v>主文档无章节礼包细则；补表仅补缺，实装待核</x:v>
      </x:c>
      <x:c r="P124" s="4" t="str">
        <x:v>补/章节礼包!第6行</x:v>
      </x:c>
    </x:row>
    <x:row r="125" ht="52" customHeight="1">
      <x:c r="A125" s="12" t="str">
        <x:v>P121</x:v>
      </x:c>
      <x:c r="B125" s="12" t="str">
        <x:v>章节礼包</x:v>
      </x:c>
      <x:c r="C125" s="12" t="str">
        <x:v>通关8章</x:v>
      </x:c>
      <x:c r="D125" s="12" t="str">
        <x:v>钻石</x:v>
      </x:c>
      <x:c r="E125" s="17" t="n">
        <x:v>980</x:v>
      </x:c>
      <x:c r="F125" s="13" t="n">
        <x:f>IF(ISNUMBER(E125),E125,"不适用")</x:f>
        <x:v>980</x:v>
      </x:c>
      <x:c r="G125" s="13" t="n">
        <x:v>1</x:v>
      </x:c>
      <x:c r="H125" s="15" t="n">
        <x:v>211</x:v>
      </x:c>
      <x:c r="I125" s="15" t="n">
        <x:v>213</x:v>
      </x:c>
      <x:c r="J125" s="13" t="n">
        <x:f>IF(COUNT('奖励明细'!G211:G213)=ROWS('奖励明细'!G211:G213),SUM('奖励明细'!G211:G213),"缺完整估值")</x:f>
        <x:v>2700</x:v>
      </x:c>
      <x:c r="K125" s="13" t="n">
        <x:f>IF(AND(ISNUMBER(F125),ISNUMBER(J125)),IF(F125&gt;0,J125/F125,"免费"),"不适用")</x:f>
        <x:v>2.7551020408163267</x:v>
      </x:c>
      <x:c r="L125" s="13" t="n">
        <x:f>IF(AND(ISNUMBER(F125),ISNUMBER(J125)),IF(J125&gt;0,F125/J125*10,"不适用"),"不适用")</x:f>
        <x:v>3.6296296296296298</x:v>
      </x:c>
      <x:c r="M125" s="13"/>
      <x:c r="N125" s="12" t="str">
        <x:v>补充规划</x:v>
      </x:c>
      <x:c r="O125" s="12" t="str">
        <x:v>主文档无章节礼包细则；补表仅补缺，实装待核</x:v>
      </x:c>
      <x:c r="P125" s="12" t="str">
        <x:v>补/章节礼包!第7行</x:v>
      </x:c>
    </x:row>
    <x:row r="126" ht="52" customHeight="1">
      <x:c r="A126" s="4" t="str">
        <x:v>P122</x:v>
      </x:c>
      <x:c r="B126" s="4" t="str">
        <x:v>章节礼包</x:v>
      </x:c>
      <x:c r="C126" s="4" t="str">
        <x:v>通关10章</x:v>
      </x:c>
      <x:c r="D126" s="4" t="str">
        <x:v>钻石</x:v>
      </x:c>
      <x:c r="E126" s="18" t="n">
        <x:v>980</x:v>
      </x:c>
      <x:c r="F126" s="14" t="n">
        <x:f>IF(ISNUMBER(E126),E126,"不适用")</x:f>
        <x:v>980</x:v>
      </x:c>
      <x:c r="G126" s="14" t="n">
        <x:v>1</x:v>
      </x:c>
      <x:c r="H126" s="16" t="n">
        <x:v>214</x:v>
      </x:c>
      <x:c r="I126" s="16" t="n">
        <x:v>216</x:v>
      </x:c>
      <x:c r="J126" s="14" t="n">
        <x:f>IF(COUNT('奖励明细'!G214:G216)=ROWS('奖励明细'!G214:G216),SUM('奖励明细'!G214:G216),"缺完整估值")</x:f>
        <x:v>3020</x:v>
      </x:c>
      <x:c r="K126" s="14" t="n">
        <x:f>IF(AND(ISNUMBER(F126),ISNUMBER(J126)),IF(F126&gt;0,J126/F126,"免费"),"不适用")</x:f>
        <x:v>3.0816326530612246</x:v>
      </x:c>
      <x:c r="L126" s="14" t="n">
        <x:f>IF(AND(ISNUMBER(F126),ISNUMBER(J126)),IF(J126&gt;0,F126/J126*10,"不适用"),"不适用")</x:f>
        <x:v>3.2450331125827816</x:v>
      </x:c>
      <x:c r="M126" s="14"/>
      <x:c r="N126" s="4" t="str">
        <x:v>补充规划</x:v>
      </x:c>
      <x:c r="O126" s="4" t="str">
        <x:v>主文档无章节礼包细则；补表仅补缺，实装待核</x:v>
      </x:c>
      <x:c r="P126" s="4" t="str">
        <x:v>补/章节礼包!第8行</x:v>
      </x:c>
    </x:row>
    <x:row r="127" ht="52" customHeight="1">
      <x:c r="A127" s="12" t="str">
        <x:v>P123</x:v>
      </x:c>
      <x:c r="B127" s="12" t="str">
        <x:v>章节礼包</x:v>
      </x:c>
      <x:c r="C127" s="12" t="str">
        <x:v>通关15章</x:v>
      </x:c>
      <x:c r="D127" s="12" t="str">
        <x:v>钻石</x:v>
      </x:c>
      <x:c r="E127" s="17" t="n">
        <x:v>1580</x:v>
      </x:c>
      <x:c r="F127" s="13" t="n">
        <x:f>IF(ISNUMBER(E127),E127,"不适用")</x:f>
        <x:v>1580</x:v>
      </x:c>
      <x:c r="G127" s="13" t="n">
        <x:v>1</x:v>
      </x:c>
      <x:c r="H127" s="15" t="n">
        <x:v>217</x:v>
      </x:c>
      <x:c r="I127" s="15" t="n">
        <x:v>219</x:v>
      </x:c>
      <x:c r="J127" s="13" t="n">
        <x:f>IF(COUNT('奖励明细'!G217:G219)=ROWS('奖励明细'!G217:G219),SUM('奖励明细'!G217:G219),"缺完整估值")</x:f>
        <x:v>4240</x:v>
      </x:c>
      <x:c r="K127" s="13" t="n">
        <x:f>IF(AND(ISNUMBER(F127),ISNUMBER(J127)),IF(F127&gt;0,J127/F127,"免费"),"不适用")</x:f>
        <x:v>2.6835443037974684</x:v>
      </x:c>
      <x:c r="L127" s="13" t="n">
        <x:f>IF(AND(ISNUMBER(F127),ISNUMBER(J127)),IF(J127&gt;0,F127/J127*10,"不适用"),"不适用")</x:f>
        <x:v>3.7264150943396226</x:v>
      </x:c>
      <x:c r="M127" s="13"/>
      <x:c r="N127" s="12" t="str">
        <x:v>补充规划</x:v>
      </x:c>
      <x:c r="O127" s="12" t="str">
        <x:v>主文档无章节礼包细则；补表仅补缺，实装待核</x:v>
      </x:c>
      <x:c r="P127" s="12" t="str">
        <x:v>补/章节礼包!第9行</x:v>
      </x:c>
    </x:row>
    <x:row r="128" ht="52" customHeight="1">
      <x:c r="A128" s="4" t="str">
        <x:v>P124</x:v>
      </x:c>
      <x:c r="B128" s="4" t="str">
        <x:v>章节礼包</x:v>
      </x:c>
      <x:c r="C128" s="4" t="str">
        <x:v>通关20章</x:v>
      </x:c>
      <x:c r="D128" s="4" t="str">
        <x:v>钻石</x:v>
      </x:c>
      <x:c r="E128" s="18" t="n">
        <x:v>1980</x:v>
      </x:c>
      <x:c r="F128" s="14" t="n">
        <x:f>IF(ISNUMBER(E128),E128,"不适用")</x:f>
        <x:v>1980</x:v>
      </x:c>
      <x:c r="G128" s="14" t="n">
        <x:v>1</x:v>
      </x:c>
      <x:c r="H128" s="16" t="n">
        <x:v>220</x:v>
      </x:c>
      <x:c r="I128" s="16" t="n">
        <x:v>222</x:v>
      </x:c>
      <x:c r="J128" s="14" t="n">
        <x:f>IF(COUNT('奖励明细'!G220:G222)=ROWS('奖励明细'!G220:G222),SUM('奖励明细'!G220:G222),"缺完整估值")</x:f>
        <x:v>6300</x:v>
      </x:c>
      <x:c r="K128" s="14" t="n">
        <x:f>IF(AND(ISNUMBER(F128),ISNUMBER(J128)),IF(F128&gt;0,J128/F128,"免费"),"不适用")</x:f>
        <x:v>3.1818181818181817</x:v>
      </x:c>
      <x:c r="L128" s="14" t="n">
        <x:f>IF(AND(ISNUMBER(F128),ISNUMBER(J128)),IF(J128&gt;0,F128/J128*10,"不适用"),"不适用")</x:f>
        <x:v>3.142857142857143</x:v>
      </x:c>
      <x:c r="M128" s="14"/>
      <x:c r="N128" s="4" t="str">
        <x:v>补充规划</x:v>
      </x:c>
      <x:c r="O128" s="4" t="str">
        <x:v>主文档无章节礼包细则；补表仅补缺，实装待核</x:v>
      </x:c>
      <x:c r="P128" s="4" t="str">
        <x:v>补/章节礼包!第10行</x:v>
      </x:c>
    </x:row>
    <x:row r="129" ht="52" customHeight="1">
      <x:c r="A129" s="12" t="str">
        <x:v>P125</x:v>
      </x:c>
      <x:c r="B129" s="12" t="str">
        <x:v>章节礼包</x:v>
      </x:c>
      <x:c r="C129" s="12" t="str">
        <x:v>通关24章</x:v>
      </x:c>
      <x:c r="D129" s="12" t="str">
        <x:v>钻石</x:v>
      </x:c>
      <x:c r="E129" s="17" t="n">
        <x:v>1980</x:v>
      </x:c>
      <x:c r="F129" s="13" t="n">
        <x:f>IF(ISNUMBER(E129),E129,"不适用")</x:f>
        <x:v>1980</x:v>
      </x:c>
      <x:c r="G129" s="13" t="n">
        <x:v>1</x:v>
      </x:c>
      <x:c r="H129" s="15" t="n">
        <x:v>223</x:v>
      </x:c>
      <x:c r="I129" s="15" t="n">
        <x:v>225</x:v>
      </x:c>
      <x:c r="J129" s="13" t="n">
        <x:f>IF(COUNT('奖励明细'!G223:G225)=ROWS('奖励明细'!G223:G225),SUM('奖励明细'!G223:G225),"缺完整估值")</x:f>
        <x:v>7160</x:v>
      </x:c>
      <x:c r="K129" s="13" t="n">
        <x:f>IF(AND(ISNUMBER(F129),ISNUMBER(J129)),IF(F129&gt;0,J129/F129,"免费"),"不适用")</x:f>
        <x:v>3.6161616161616164</x:v>
      </x:c>
      <x:c r="L129" s="13" t="n">
        <x:f>IF(AND(ISNUMBER(F129),ISNUMBER(J129)),IF(J129&gt;0,F129/J129*10,"不适用"),"不适用")</x:f>
        <x:v>2.7653631284916202</x:v>
      </x:c>
      <x:c r="M129" s="13"/>
      <x:c r="N129" s="12" t="str">
        <x:v>补充规划</x:v>
      </x:c>
      <x:c r="O129" s="12" t="str">
        <x:v>主文档无章节礼包细则；补表仅补缺，实装待核</x:v>
      </x:c>
      <x:c r="P129" s="12" t="str">
        <x:v>补/章节礼包!第11行</x:v>
      </x:c>
    </x:row>
    <x:row r="130" ht="52" customHeight="1">
      <x:c r="A130" s="4" t="str">
        <x:v>P126</x:v>
      </x:c>
      <x:c r="B130" s="4" t="str">
        <x:v>章节礼包</x:v>
      </x:c>
      <x:c r="C130" s="4" t="str">
        <x:v>通关28章</x:v>
      </x:c>
      <x:c r="D130" s="4" t="str">
        <x:v>钻石</x:v>
      </x:c>
      <x:c r="E130" s="18" t="n">
        <x:v>2580</x:v>
      </x:c>
      <x:c r="F130" s="14" t="n">
        <x:f>IF(ISNUMBER(E130),E130,"不适用")</x:f>
        <x:v>2580</x:v>
      </x:c>
      <x:c r="G130" s="14" t="n">
        <x:v>1</x:v>
      </x:c>
      <x:c r="H130" s="16" t="n">
        <x:v>226</x:v>
      </x:c>
      <x:c r="I130" s="16" t="n">
        <x:v>228</x:v>
      </x:c>
      <x:c r="J130" s="14" t="n">
        <x:f>IF(COUNT('奖励明细'!G226:G228)=ROWS('奖励明细'!G226:G228),SUM('奖励明细'!G226:G228),"缺完整估值")</x:f>
        <x:v>6316</x:v>
      </x:c>
      <x:c r="K130" s="14" t="n">
        <x:f>IF(AND(ISNUMBER(F130),ISNUMBER(J130)),IF(F130&gt;0,J130/F130,"免费"),"不适用")</x:f>
        <x:v>2.448062015503876</x:v>
      </x:c>
      <x:c r="L130" s="14" t="n">
        <x:f>IF(AND(ISNUMBER(F130),ISNUMBER(J130)),IF(J130&gt;0,F130/J130*10,"不适用"),"不适用")</x:f>
        <x:v>4.084863837872071</x:v>
      </x:c>
      <x:c r="M130" s="14"/>
      <x:c r="N130" s="4" t="str">
        <x:v>补充规划</x:v>
      </x:c>
      <x:c r="O130" s="4" t="str">
        <x:v>主文档无章节礼包细则；补表仅补缺，实装待核</x:v>
      </x:c>
      <x:c r="P130" s="4" t="str">
        <x:v>补/章节礼包!第12行</x:v>
      </x:c>
    </x:row>
    <x:row r="131" ht="52" customHeight="1">
      <x:c r="A131" s="12" t="str">
        <x:v>P127</x:v>
      </x:c>
      <x:c r="B131" s="12" t="str">
        <x:v>章节礼包</x:v>
      </x:c>
      <x:c r="C131" s="12" t="str">
        <x:v>通关32章</x:v>
      </x:c>
      <x:c r="D131" s="12" t="str">
        <x:v>钻石</x:v>
      </x:c>
      <x:c r="E131" s="17" t="n">
        <x:v>3980</x:v>
      </x:c>
      <x:c r="F131" s="13" t="n">
        <x:f>IF(ISNUMBER(E131),E131,"不适用")</x:f>
        <x:v>3980</x:v>
      </x:c>
      <x:c r="G131" s="13" t="n">
        <x:v>1</x:v>
      </x:c>
      <x:c r="H131" s="15" t="n">
        <x:v>229</x:v>
      </x:c>
      <x:c r="I131" s="15" t="n">
        <x:v>231</x:v>
      </x:c>
      <x:c r="J131" s="13" t="n">
        <x:f>IF(COUNT('奖励明细'!G229:G231)=ROWS('奖励明细'!G229:G231),SUM('奖励明细'!G229:G231),"缺完整估值")</x:f>
        <x:v>11432</x:v>
      </x:c>
      <x:c r="K131" s="13" t="n">
        <x:f>IF(AND(ISNUMBER(F131),ISNUMBER(J131)),IF(F131&gt;0,J131/F131,"免费"),"不适用")</x:f>
        <x:v>2.872361809045226</x:v>
      </x:c>
      <x:c r="L131" s="13" t="n">
        <x:f>IF(AND(ISNUMBER(F131),ISNUMBER(J131)),IF(J131&gt;0,F131/J131*10,"不适用"),"不适用")</x:f>
        <x:v>3.481455563331001</x:v>
      </x:c>
      <x:c r="M131" s="13"/>
      <x:c r="N131" s="12" t="str">
        <x:v>补充规划</x:v>
      </x:c>
      <x:c r="O131" s="12" t="str">
        <x:v>主文档无章节礼包细则；补表仅补缺，实装待核</x:v>
      </x:c>
      <x:c r="P131" s="12" t="str">
        <x:v>补/章节礼包!第13行</x:v>
      </x:c>
    </x:row>
    <x:row r="132" ht="52" customHeight="1">
      <x:c r="A132" s="4" t="str">
        <x:v>P128</x:v>
      </x:c>
      <x:c r="B132" s="4" t="str">
        <x:v>章节礼包</x:v>
      </x:c>
      <x:c r="C132" s="4" t="str">
        <x:v>通关36章</x:v>
      </x:c>
      <x:c r="D132" s="4" t="str">
        <x:v>钻石</x:v>
      </x:c>
      <x:c r="E132" s="18" t="n">
        <x:v>6480</x:v>
      </x:c>
      <x:c r="F132" s="14" t="n">
        <x:f>IF(ISNUMBER(E132),E132,"不适用")</x:f>
        <x:v>6480</x:v>
      </x:c>
      <x:c r="G132" s="14" t="n">
        <x:v>1</x:v>
      </x:c>
      <x:c r="H132" s="16" t="n">
        <x:v>232</x:v>
      </x:c>
      <x:c r="I132" s="16" t="n">
        <x:v>234</x:v>
      </x:c>
      <x:c r="J132" s="14" t="n">
        <x:f>IF(COUNT('奖励明细'!G232:G234)=ROWS('奖励明细'!G232:G234),SUM('奖励明细'!G232:G234),"缺完整估值")</x:f>
        <x:v>23984</x:v>
      </x:c>
      <x:c r="K132" s="14" t="n">
        <x:f>IF(AND(ISNUMBER(F132),ISNUMBER(J132)),IF(F132&gt;0,J132/F132,"免费"),"不适用")</x:f>
        <x:v>3.7012345679012344</x:v>
      </x:c>
      <x:c r="L132" s="14" t="n">
        <x:f>IF(AND(ISNUMBER(F132),ISNUMBER(J132)),IF(J132&gt;0,F132/J132*10,"不适用"),"不适用")</x:f>
        <x:v>2.7018012008005337</x:v>
      </x:c>
      <x:c r="M132" s="14"/>
      <x:c r="N132" s="4" t="str">
        <x:v>补充规划</x:v>
      </x:c>
      <x:c r="O132" s="4" t="str">
        <x:v>主文档无章节礼包细则；补表仅补缺，实装待核</x:v>
      </x:c>
      <x:c r="P132" s="4" t="str">
        <x:v>补/章节礼包!第14行</x:v>
      </x:c>
    </x:row>
    <x:row r="133" ht="52" customHeight="1">
      <x:c r="A133" s="12" t="str">
        <x:v>P129</x:v>
      </x:c>
      <x:c r="B133" s="12" t="str">
        <x:v>心梦商店</x:v>
      </x:c>
      <x:c r="C133" s="12" t="str">
        <x:v>金币</x:v>
      </x:c>
      <x:c r="D133" s="12" t="str">
        <x:v>心梦宝石</x:v>
      </x:c>
      <x:c r="E133" s="17"/>
      <x:c r="F133" s="13" t="str">
        <x:f>IF(ISNUMBER(E133),E133*'来源与口径'!$C$6,"不适用")</x:f>
        <x:v>不适用</x:v>
      </x:c>
      <x:c r="G133" s="13" t="n">
        <x:v>1</x:v>
      </x:c>
      <x:c r="H133" s="15" t="n">
        <x:v>235</x:v>
      </x:c>
      <x:c r="I133" s="15" t="n">
        <x:v>235</x:v>
      </x:c>
      <x:c r="J133" s="13" t="n">
        <x:f>IF(COUNT('奖励明细'!G235:G235)=ROWS('奖励明细'!G235:G235),SUM('奖励明细'!G235:G235),"缺完整估值")</x:f>
        <x:v>25</x:v>
      </x:c>
      <x:c r="K133" s="13" t="str">
        <x:f>IF(AND(ISNUMBER(F133),ISNUMBER(J133)),IF(F133&gt;0,J133/F133,"免费"),"不适用")</x:f>
        <x:v>不适用</x:v>
      </x:c>
      <x:c r="L133" s="13" t="str">
        <x:f>IF(AND(ISNUMBER(F133),ISNUMBER(J133)),IF(J133&gt;0,F133/J133*10,"不适用"),"不适用")</x:f>
        <x:v>不适用</x:v>
      </x:c>
      <x:c r="M133" s="13"/>
      <x:c r="N133" s="12" t="str">
        <x:v>明细规划</x:v>
      </x:c>
      <x:c r="O133" s="12" t="str">
        <x:v>刷新类型=2；条件=无</x:v>
      </x:c>
      <x:c r="P133" s="12" t="str">
        <x:v>主/心梦商店!第4行</x:v>
      </x:c>
    </x:row>
    <x:row r="134" ht="52" customHeight="1">
      <x:c r="A134" s="4" t="str">
        <x:v>P130</x:v>
      </x:c>
      <x:c r="B134" s="4" t="str">
        <x:v>心梦商店</x:v>
      </x:c>
      <x:c r="C134" s="4" t="str">
        <x:v>随机神话符文</x:v>
      </x:c>
      <x:c r="D134" s="4" t="str">
        <x:v>心梦宝石</x:v>
      </x:c>
      <x:c r="E134" s="18" t="n">
        <x:v>480</x:v>
      </x:c>
      <x:c r="F134" s="14" t="n">
        <x:f>IF(ISNUMBER(E134),E134*'来源与口径'!$C$6,"不适用")</x:f>
        <x:v>6720</x:v>
      </x:c>
      <x:c r="G134" s="14" t="n">
        <x:v>1</x:v>
      </x:c>
      <x:c r="H134" s="16" t="n">
        <x:v>236</x:v>
      </x:c>
      <x:c r="I134" s="16" t="n">
        <x:v>236</x:v>
      </x:c>
      <x:c r="J134" s="14" t="n">
        <x:f>IF(COUNT('奖励明细'!G236:G236)=ROWS('奖励明细'!G236:G236),SUM('奖励明细'!G236:G236),"缺完整估值")</x:f>
        <x:v>16384</x:v>
      </x:c>
      <x:c r="K134" s="14" t="n">
        <x:f>IF(AND(ISNUMBER(F134),ISNUMBER(J134)),IF(F134&gt;0,J134/F134,"免费"),"不适用")</x:f>
        <x:v>2.4380952380952383</x:v>
      </x:c>
      <x:c r="L134" s="14" t="n">
        <x:f>IF(AND(ISNUMBER(F134),ISNUMBER(J134)),IF(J134&gt;0,F134/J134*10,"不适用"),"不适用")</x:f>
        <x:v>4.1015625</x:v>
      </x:c>
      <x:c r="M134" s="14"/>
      <x:c r="N134" s="4" t="str">
        <x:v>明细规划</x:v>
      </x:c>
      <x:c r="O134" s="4" t="str">
        <x:v>刷新类型=2；条件=无</x:v>
      </x:c>
      <x:c r="P134" s="4" t="str">
        <x:v>主/心梦商店!第5行</x:v>
      </x:c>
    </x:row>
    <x:row r="135" ht="52" customHeight="1">
      <x:c r="A135" s="12" t="str">
        <x:v>P131</x:v>
      </x:c>
      <x:c r="B135" s="12" t="str">
        <x:v>心梦商店</x:v>
      </x:c>
      <x:c r="C135" s="12" t="str">
        <x:v>钻石</x:v>
      </x:c>
      <x:c r="D135" s="12" t="str">
        <x:v>心梦宝石</x:v>
      </x:c>
      <x:c r="E135" s="17" t="n">
        <x:v>120</x:v>
      </x:c>
      <x:c r="F135" s="13" t="n">
        <x:f>IF(ISNUMBER(E135),E135*'来源与口径'!$C$6,"不适用")</x:f>
        <x:v>1680</x:v>
      </x:c>
      <x:c r="G135" s="13" t="n">
        <x:v>2</x:v>
      </x:c>
      <x:c r="H135" s="15" t="n">
        <x:v>237</x:v>
      </x:c>
      <x:c r="I135" s="15" t="n">
        <x:v>237</x:v>
      </x:c>
      <x:c r="J135" s="13" t="n">
        <x:f>IF(COUNT('奖励明细'!G237:G237)=ROWS('奖励明细'!G237:G237),SUM('奖励明细'!G237:G237),"缺完整估值")</x:f>
        <x:v>1688</x:v>
      </x:c>
      <x:c r="K135" s="13" t="n">
        <x:f>IF(AND(ISNUMBER(F135),ISNUMBER(J135)),IF(F135&gt;0,J135/F135,"免费"),"不适用")</x:f>
        <x:v>1.0047619047619047</x:v>
      </x:c>
      <x:c r="L135" s="13" t="n">
        <x:f>IF(AND(ISNUMBER(F135),ISNUMBER(J135)),IF(J135&gt;0,F135/J135*10,"不适用"),"不适用")</x:f>
        <x:v>9.95260663507109</x:v>
      </x:c>
      <x:c r="M135" s="13"/>
      <x:c r="N135" s="12" t="str">
        <x:v>明细规划</x:v>
      </x:c>
      <x:c r="O135" s="12" t="str">
        <x:v>刷新类型=2；条件=[{server_open_day,29}]</x:v>
      </x:c>
      <x:c r="P135" s="12" t="str">
        <x:v>主/心梦商店!第6行</x:v>
      </x:c>
    </x:row>
    <x:row r="136" ht="52" customHeight="1">
      <x:c r="A136" s="4" t="str">
        <x:v>P132</x:v>
      </x:c>
      <x:c r="B136" s="4" t="str">
        <x:v>心梦商店</x:v>
      </x:c>
      <x:c r="C136" s="4" t="str">
        <x:v>钻石</x:v>
      </x:c>
      <x:c r="D136" s="4" t="str">
        <x:v>心梦宝石</x:v>
      </x:c>
      <x:c r="E136" s="18" t="n">
        <x:v>60</x:v>
      </x:c>
      <x:c r="F136" s="14" t="n">
        <x:f>IF(ISNUMBER(E136),E136*'来源与口径'!$C$6,"不适用")</x:f>
        <x:v>840</x:v>
      </x:c>
      <x:c r="G136" s="14" t="n">
        <x:v>2</x:v>
      </x:c>
      <x:c r="H136" s="16" t="n">
        <x:v>238</x:v>
      </x:c>
      <x:c r="I136" s="16" t="n">
        <x:v>238</x:v>
      </x:c>
      <x:c r="J136" s="14" t="n">
        <x:f>IF(COUNT('奖励明细'!G238:G238)=ROWS('奖励明细'!G238:G238),SUM('奖励明细'!G238:G238),"缺完整估值")</x:f>
        <x:v>888</x:v>
      </x:c>
      <x:c r="K136" s="14" t="n">
        <x:f>IF(AND(ISNUMBER(F136),ISNUMBER(J136)),IF(F136&gt;0,J136/F136,"免费"),"不适用")</x:f>
        <x:v>1.0571428571428572</x:v>
      </x:c>
      <x:c r="L136" s="14" t="n">
        <x:f>IF(AND(ISNUMBER(F136),ISNUMBER(J136)),IF(J136&gt;0,F136/J136*10,"不适用"),"不适用")</x:f>
        <x:v>9.45945945945946</x:v>
      </x:c>
      <x:c r="M136" s="14"/>
      <x:c r="N136" s="4" t="str">
        <x:v>明细规划</x:v>
      </x:c>
      <x:c r="O136" s="4" t="str">
        <x:v>刷新类型=2；条件=[{server_open_day,15}]</x:v>
      </x:c>
      <x:c r="P136" s="4" t="str">
        <x:v>主/心梦商店!第7行</x:v>
      </x:c>
    </x:row>
    <x:row r="137" ht="52" customHeight="1">
      <x:c r="A137" s="12" t="str">
        <x:v>P133</x:v>
      </x:c>
      <x:c r="B137" s="12" t="str">
        <x:v>心梦商店</x:v>
      </x:c>
      <x:c r="C137" s="12" t="str">
        <x:v>幻梦晶核</x:v>
      </x:c>
      <x:c r="D137" s="12" t="str">
        <x:v>心梦宝石</x:v>
      </x:c>
      <x:c r="E137" s="17" t="n">
        <x:v>188</x:v>
      </x:c>
      <x:c r="F137" s="13" t="n">
        <x:f>IF(ISNUMBER(E137),E137*'来源与口径'!$C$6,"不适用")</x:f>
        <x:v>2632</x:v>
      </x:c>
      <x:c r="G137" s="13" t="n">
        <x:v>2</x:v>
      </x:c>
      <x:c r="H137" s="15" t="n">
        <x:v>239</x:v>
      </x:c>
      <x:c r="I137" s="15" t="n">
        <x:v>239</x:v>
      </x:c>
      <x:c r="J137" s="13" t="n">
        <x:f>IF(COUNT('奖励明细'!G239:G239)=ROWS('奖励明细'!G239:G239),SUM('奖励明细'!G239:G239),"缺完整估值")</x:f>
        <x:v>3000</x:v>
      </x:c>
      <x:c r="K137" s="13" t="n">
        <x:f>IF(AND(ISNUMBER(F137),ISNUMBER(J137)),IF(F137&gt;0,J137/F137,"免费"),"不适用")</x:f>
        <x:v>1.1398176291793314</x:v>
      </x:c>
      <x:c r="L137" s="13" t="n">
        <x:f>IF(AND(ISNUMBER(F137),ISNUMBER(J137)),IF(J137&gt;0,F137/J137*10,"不适用"),"不适用")</x:f>
        <x:v>8.773333333333333</x:v>
      </x:c>
      <x:c r="M137" s="13"/>
      <x:c r="N137" s="12" t="str">
        <x:v>明细规划</x:v>
      </x:c>
      <x:c r="O137" s="12" t="str">
        <x:v>刷新类型=2；条件=无</x:v>
      </x:c>
      <x:c r="P137" s="12" t="str">
        <x:v>主/心梦商店!第8行</x:v>
      </x:c>
    </x:row>
    <x:row r="138" ht="52" customHeight="1">
      <x:c r="A138" s="4" t="str">
        <x:v>P134</x:v>
      </x:c>
      <x:c r="B138" s="4" t="str">
        <x:v>心梦商店</x:v>
      </x:c>
      <x:c r="C138" s="4" t="str">
        <x:v>招募器</x:v>
      </x:c>
      <x:c r="D138" s="4" t="str">
        <x:v>心梦宝石</x:v>
      </x:c>
      <x:c r="E138" s="18" t="n">
        <x:v>60</x:v>
      </x:c>
      <x:c r="F138" s="14" t="n">
        <x:f>IF(ISNUMBER(E138),E138*'来源与口径'!$C$6,"不适用")</x:f>
        <x:v>840</x:v>
      </x:c>
      <x:c r="G138" s="14" t="n">
        <x:v>1</x:v>
      </x:c>
      <x:c r="H138" s="16" t="n">
        <x:v>240</x:v>
      </x:c>
      <x:c r="I138" s="16" t="n">
        <x:v>240</x:v>
      </x:c>
      <x:c r="J138" s="14" t="n">
        <x:f>IF(COUNT('奖励明细'!G240:G240)=ROWS('奖励明细'!G240:G240),SUM('奖励明细'!G240:G240),"缺完整估值")</x:f>
        <x:v>1500</x:v>
      </x:c>
      <x:c r="K138" s="14" t="n">
        <x:f>IF(AND(ISNUMBER(F138),ISNUMBER(J138)),IF(F138&gt;0,J138/F138,"免费"),"不适用")</x:f>
        <x:v>1.7857142857142858</x:v>
      </x:c>
      <x:c r="L138" s="14" t="n">
        <x:f>IF(AND(ISNUMBER(F138),ISNUMBER(J138)),IF(J138&gt;0,F138/J138*10,"不适用"),"不适用")</x:f>
        <x:v>5.6000000000000005</x:v>
      </x:c>
      <x:c r="M138" s="14"/>
      <x:c r="N138" s="4" t="str">
        <x:v>明细规划</x:v>
      </x:c>
      <x:c r="O138" s="4" t="str">
        <x:v>刷新类型=2；条件=无</x:v>
      </x:c>
      <x:c r="P138" s="4" t="str">
        <x:v>主/心梦商店!第9行</x:v>
      </x:c>
    </x:row>
    <x:row r="139" ht="52" customHeight="1">
      <x:c r="A139" s="12" t="str">
        <x:v>P135</x:v>
      </x:c>
      <x:c r="B139" s="12" t="str">
        <x:v>心梦商店</x:v>
      </x:c>
      <x:c r="C139" s="12" t="str">
        <x:v>星辉秘契</x:v>
      </x:c>
      <x:c r="D139" s="12" t="str">
        <x:v>心梦宝石</x:v>
      </x:c>
      <x:c r="E139" s="17" t="n">
        <x:v>150</x:v>
      </x:c>
      <x:c r="F139" s="13" t="n">
        <x:f>IF(ISNUMBER(E139),E139*'来源与口径'!$C$6,"不适用")</x:f>
        <x:v>2100</x:v>
      </x:c>
      <x:c r="G139" s="13" t="n">
        <x:v>1</x:v>
      </x:c>
      <x:c r="H139" s="15" t="n">
        <x:v>241</x:v>
      </x:c>
      <x:c r="I139" s="15" t="n">
        <x:v>241</x:v>
      </x:c>
      <x:c r="J139" s="13" t="n">
        <x:f>IF(COUNT('奖励明细'!G241:G241)=ROWS('奖励明细'!G241:G241),SUM('奖励明细'!G241:G241),"缺完整估值")</x:f>
        <x:v>5600</x:v>
      </x:c>
      <x:c r="K139" s="13" t="n">
        <x:f>IF(AND(ISNUMBER(F139),ISNUMBER(J139)),IF(F139&gt;0,J139/F139,"免费"),"不适用")</x:f>
        <x:v>2.6666666666666665</x:v>
      </x:c>
      <x:c r="L139" s="13" t="n">
        <x:f>IF(AND(ISNUMBER(F139),ISNUMBER(J139)),IF(J139&gt;0,F139/J139*10,"不适用"),"不适用")</x:f>
        <x:v>3.75</x:v>
      </x:c>
      <x:c r="M139" s="13"/>
      <x:c r="N139" s="12" t="str">
        <x:v>明细规划</x:v>
      </x:c>
      <x:c r="O139" s="12" t="str">
        <x:v>刷新类型=2；条件=无</x:v>
      </x:c>
      <x:c r="P139" s="12" t="str">
        <x:v>主/心梦商店!第10行</x:v>
      </x:c>
    </x:row>
    <x:row r="140" ht="52" customHeight="1">
      <x:c r="A140" s="4" t="str">
        <x:v>P136</x:v>
      </x:c>
      <x:c r="B140" s="4" t="str">
        <x:v>心梦商店</x:v>
      </x:c>
      <x:c r="C140" s="4" t="str">
        <x:v>绮梦衣橱礼盒</x:v>
      </x:c>
      <x:c r="D140" s="4" t="str">
        <x:v>心梦宝石</x:v>
      </x:c>
      <x:c r="E140" s="18" t="n">
        <x:v>380</x:v>
      </x:c>
      <x:c r="F140" s="14" t="n">
        <x:f>IF(ISNUMBER(E140),E140*'来源与口径'!$C$6,"不适用")</x:f>
        <x:v>5320</x:v>
      </x:c>
      <x:c r="G140" s="14" t="n">
        <x:v>2</x:v>
      </x:c>
      <x:c r="H140" s="16" t="n">
        <x:v>242</x:v>
      </x:c>
      <x:c r="I140" s="16" t="n">
        <x:v>242</x:v>
      </x:c>
      <x:c r="J140" s="14" t="str">
        <x:f>IF(COUNT('奖励明细'!G242:G242)=ROWS('奖励明细'!G242:G242),SUM('奖励明细'!G242:G242),"缺完整估值")</x:f>
        <x:v>缺完整估值</x:v>
      </x:c>
      <x:c r="K140" s="14" t="str">
        <x:f>IF(AND(ISNUMBER(F140),ISNUMBER(J140)),IF(F140&gt;0,J140/F140,"免费"),"不适用")</x:f>
        <x:v>不适用</x:v>
      </x:c>
      <x:c r="L140" s="14" t="str">
        <x:f>IF(AND(ISNUMBER(F140),ISNUMBER(J140)),IF(J140&gt;0,F140/J140*10,"不适用"),"不适用")</x:f>
        <x:v>不适用</x:v>
      </x:c>
      <x:c r="M140" s="14"/>
      <x:c r="N140" s="4" t="str">
        <x:v>明细规划；估值缺失</x:v>
      </x:c>
      <x:c r="O140" s="4" t="str">
        <x:v>刷新类型=2；条件=[{server_open_day,31}]</x:v>
      </x:c>
      <x:c r="P140" s="4" t="str">
        <x:v>主/心梦商店!第11行</x:v>
      </x:c>
    </x:row>
    <x:row r="141" ht="52" customHeight="1">
      <x:c r="A141" s="12" t="str">
        <x:v>P137</x:v>
      </x:c>
      <x:c r="B141" s="12" t="str">
        <x:v>心梦商店</x:v>
      </x:c>
      <x:c r="C141" s="12" t="str">
        <x:v>喵喵锤子</x:v>
      </x:c>
      <x:c r="D141" s="12" t="str">
        <x:v>心梦宝石</x:v>
      </x:c>
      <x:c r="E141" s="17" t="n">
        <x:v>300</x:v>
      </x:c>
      <x:c r="F141" s="13" t="n">
        <x:f>IF(ISNUMBER(E141),E141*'来源与口径'!$C$6,"不适用")</x:f>
        <x:v>4200</x:v>
      </x:c>
      <x:c r="G141" s="13" t="n">
        <x:v>5</x:v>
      </x:c>
      <x:c r="H141" s="15" t="n">
        <x:v>243</x:v>
      </x:c>
      <x:c r="I141" s="15" t="n">
        <x:v>243</x:v>
      </x:c>
      <x:c r="J141" s="13" t="str">
        <x:f>IF(COUNT('奖励明细'!G243:G243)=ROWS('奖励明细'!G243:G243),SUM('奖励明细'!G243:G243),"缺完整估值")</x:f>
        <x:v>缺完整估值</x:v>
      </x:c>
      <x:c r="K141" s="13" t="str">
        <x:f>IF(AND(ISNUMBER(F141),ISNUMBER(J141)),IF(F141&gt;0,J141/F141,"免费"),"不适用")</x:f>
        <x:v>不适用</x:v>
      </x:c>
      <x:c r="L141" s="13" t="str">
        <x:f>IF(AND(ISNUMBER(F141),ISNUMBER(J141)),IF(J141&gt;0,F141/J141*10,"不适用"),"不适用")</x:f>
        <x:v>不适用</x:v>
      </x:c>
      <x:c r="M141" s="13"/>
      <x:c r="N141" s="12" t="str">
        <x:v>明细规划；估值缺失</x:v>
      </x:c>
      <x:c r="O141" s="12" t="str">
        <x:v>刷新类型=0；条件=无</x:v>
      </x:c>
      <x:c r="P141" s="12" t="str">
        <x:v>主/心梦商店!第12行</x:v>
      </x:c>
    </x:row>
    <x:row r="142" ht="52" customHeight="1">
      <x:c r="A142" s="4" t="str">
        <x:v>P138</x:v>
      </x:c>
      <x:c r="B142" s="4" t="str">
        <x:v>心梦商店</x:v>
      </x:c>
      <x:c r="C142" s="4" t="str">
        <x:v>神话祝福石</x:v>
      </x:c>
      <x:c r="D142" s="4" t="str">
        <x:v>心梦宝石</x:v>
      </x:c>
      <x:c r="E142" s="18" t="n">
        <x:v>350</x:v>
      </x:c>
      <x:c r="F142" s="14" t="n">
        <x:f>IF(ISNUMBER(E142),E142*'来源与口径'!$C$6,"不适用")</x:f>
        <x:v>4900</x:v>
      </x:c>
      <x:c r="G142" s="14" t="n">
        <x:v>1</x:v>
      </x:c>
      <x:c r="H142" s="16" t="n">
        <x:v>244</x:v>
      </x:c>
      <x:c r="I142" s="16" t="n">
        <x:v>244</x:v>
      </x:c>
      <x:c r="J142" s="14" t="n">
        <x:f>IF(COUNT('奖励明细'!G244:G244)=ROWS('奖励明细'!G244:G244),SUM('奖励明细'!G244:G244),"缺完整估值")</x:f>
        <x:v>5000</x:v>
      </x:c>
      <x:c r="K142" s="14" t="n">
        <x:f>IF(AND(ISNUMBER(F142),ISNUMBER(J142)),IF(F142&gt;0,J142/F142,"免费"),"不适用")</x:f>
        <x:v>1.0204081632653061</x:v>
      </x:c>
      <x:c r="L142" s="14" t="n">
        <x:f>IF(AND(ISNUMBER(F142),ISNUMBER(J142)),IF(J142&gt;0,F142/J142*10,"不适用"),"不适用")</x:f>
        <x:v>9.8</x:v>
      </x:c>
      <x:c r="M142" s="14"/>
      <x:c r="N142" s="4" t="str">
        <x:v>明细规划</x:v>
      </x:c>
      <x:c r="O142" s="4" t="str">
        <x:v>刷新类型=2；条件=无</x:v>
      </x:c>
      <x:c r="P142" s="4" t="str">
        <x:v>主/心梦商店!第13行</x:v>
      </x:c>
    </x:row>
    <x:row r="143" ht="52" customHeight="1">
      <x:c r="A143" s="12" t="str">
        <x:v>P139</x:v>
      </x:c>
      <x:c r="B143" s="12" t="str">
        <x:v>心梦商店</x:v>
      </x:c>
      <x:c r="C143" s="12" t="str">
        <x:v>童话造物幻衣</x:v>
      </x:c>
      <x:c r="D143" s="12" t="str">
        <x:v>心梦宝石</x:v>
      </x:c>
      <x:c r="E143" s="17" t="n">
        <x:v>1200</x:v>
      </x:c>
      <x:c r="F143" s="13" t="n">
        <x:f>IF(ISNUMBER(E143),E143*'来源与口径'!$C$6,"不适用")</x:f>
        <x:v>16800</x:v>
      </x:c>
      <x:c r="G143" s="13" t="n">
        <x:v>5</x:v>
      </x:c>
      <x:c r="H143" s="15" t="n">
        <x:v>245</x:v>
      </x:c>
      <x:c r="I143" s="15" t="n">
        <x:v>245</x:v>
      </x:c>
      <x:c r="J143" s="13" t="str">
        <x:f>IF(COUNT('奖励明细'!G245:G245)=ROWS('奖励明细'!G245:G245),SUM('奖励明细'!G245:G245),"缺完整估值")</x:f>
        <x:v>缺完整估值</x:v>
      </x:c>
      <x:c r="K143" s="13" t="str">
        <x:f>IF(AND(ISNUMBER(F143),ISNUMBER(J143)),IF(F143&gt;0,J143/F143,"免费"),"不适用")</x:f>
        <x:v>不适用</x:v>
      </x:c>
      <x:c r="L143" s="13" t="str">
        <x:f>IF(AND(ISNUMBER(F143),ISNUMBER(J143)),IF(J143&gt;0,F143/J143*10,"不适用"),"不适用")</x:f>
        <x:v>不适用</x:v>
      </x:c>
      <x:c r="M143" s="13"/>
      <x:c r="N143" s="12" t="str">
        <x:v>明细规划；估值缺失</x:v>
      </x:c>
      <x:c r="O143" s="12" t="str">
        <x:v>刷新类型=0；条件=无</x:v>
      </x:c>
      <x:c r="P143" s="12" t="str">
        <x:v>主/心梦商店!第14行</x:v>
      </x:c>
    </x:row>
    <x:row r="144" ht="52" customHeight="1">
      <x:c r="A144" s="4" t="str">
        <x:v>P140</x:v>
      </x:c>
      <x:c r="B144" s="4" t="str">
        <x:v>心梦商店</x:v>
      </x:c>
      <x:c r="C144" s="4" t="str">
        <x:v>小狗锤</x:v>
      </x:c>
      <x:c r="D144" s="4" t="str">
        <x:v>心梦宝石</x:v>
      </x:c>
      <x:c r="E144" s="18" t="n">
        <x:v>600</x:v>
      </x:c>
      <x:c r="F144" s="14" t="n">
        <x:f>IF(ISNUMBER(E144),E144*'来源与口径'!$C$6,"不适用")</x:f>
        <x:v>8400</x:v>
      </x:c>
      <x:c r="G144" s="14" t="n">
        <x:v>5</x:v>
      </x:c>
      <x:c r="H144" s="16" t="n">
        <x:v>246</x:v>
      </x:c>
      <x:c r="I144" s="16" t="n">
        <x:v>246</x:v>
      </x:c>
      <x:c r="J144" s="14" t="str">
        <x:f>IF(COUNT('奖励明细'!G246:G246)=ROWS('奖励明细'!G246:G246),SUM('奖励明细'!G246:G246),"缺完整估值")</x:f>
        <x:v>缺完整估值</x:v>
      </x:c>
      <x:c r="K144" s="14" t="str">
        <x:f>IF(AND(ISNUMBER(F144),ISNUMBER(J144)),IF(F144&gt;0,J144/F144,"免费"),"不适用")</x:f>
        <x:v>不适用</x:v>
      </x:c>
      <x:c r="L144" s="14" t="str">
        <x:f>IF(AND(ISNUMBER(F144),ISNUMBER(J144)),IF(J144&gt;0,F144/J144*10,"不适用"),"不适用")</x:f>
        <x:v>不适用</x:v>
      </x:c>
      <x:c r="M144" s="14"/>
      <x:c r="N144" s="4" t="str">
        <x:v>明细规划；估值缺失</x:v>
      </x:c>
      <x:c r="O144" s="4" t="str">
        <x:v>刷新类型=0；条件=无</x:v>
      </x:c>
      <x:c r="P144" s="4" t="str">
        <x:v>主/心梦商店!第15行</x:v>
      </x:c>
    </x:row>
    <x:row r="145" ht="52" customHeight="1">
      <x:c r="A145" s="12" t="str">
        <x:v>P141</x:v>
      </x:c>
      <x:c r="B145" s="12" t="str">
        <x:v>心梦商店</x:v>
      </x:c>
      <x:c r="C145" s="12" t="str">
        <x:v>繁星衣橱礼盒</x:v>
      </x:c>
      <x:c r="D145" s="12" t="str">
        <x:v>心梦宝石</x:v>
      </x:c>
      <x:c r="E145" s="17" t="n">
        <x:v>750</x:v>
      </x:c>
      <x:c r="F145" s="13" t="n">
        <x:f>IF(ISNUMBER(E145),E145*'来源与口径'!$C$6,"不适用")</x:f>
        <x:v>10500</x:v>
      </x:c>
      <x:c r="G145" s="13" t="n">
        <x:v>2</x:v>
      </x:c>
      <x:c r="H145" s="15" t="n">
        <x:v>247</x:v>
      </x:c>
      <x:c r="I145" s="15" t="n">
        <x:v>247</x:v>
      </x:c>
      <x:c r="J145" s="13" t="str">
        <x:f>IF(COUNT('奖励明细'!G247:G247)=ROWS('奖励明细'!G247:G247),SUM('奖励明细'!G247:G247),"缺完整估值")</x:f>
        <x:v>缺完整估值</x:v>
      </x:c>
      <x:c r="K145" s="13" t="str">
        <x:f>IF(AND(ISNUMBER(F145),ISNUMBER(J145)),IF(F145&gt;0,J145/F145,"免费"),"不适用")</x:f>
        <x:v>不适用</x:v>
      </x:c>
      <x:c r="L145" s="13" t="str">
        <x:f>IF(AND(ISNUMBER(F145),ISNUMBER(J145)),IF(J145&gt;0,F145/J145*10,"不适用"),"不适用")</x:f>
        <x:v>不适用</x:v>
      </x:c>
      <x:c r="M145" s="13"/>
      <x:c r="N145" s="12" t="str">
        <x:v>明细规划；估值缺失</x:v>
      </x:c>
      <x:c r="O145" s="12" t="str">
        <x:v>刷新类型=3；条件=[{server_open_day,31}]</x:v>
      </x:c>
      <x:c r="P145" s="12" t="str">
        <x:v>主/心梦商店!第16行</x:v>
      </x:c>
    </x:row>
    <x:row r="146" ht="52" customHeight="1">
      <x:c r="A146" s="4" t="str">
        <x:v>P142</x:v>
      </x:c>
      <x:c r="B146" s="4" t="str">
        <x:v>心梦商店</x:v>
      </x:c>
      <x:c r="C146" s="4" t="str">
        <x:v>小狗锤</x:v>
      </x:c>
      <x:c r="D146" s="4" t="str">
        <x:v>心梦宝石</x:v>
      </x:c>
      <x:c r="E146" s="18" t="n">
        <x:v>600</x:v>
      </x:c>
      <x:c r="F146" s="14" t="n">
        <x:f>IF(ISNUMBER(E146),E146*'来源与口径'!$C$6,"不适用")</x:f>
        <x:v>8400</x:v>
      </x:c>
      <x:c r="G146" s="14" t="n">
        <x:v>5</x:v>
      </x:c>
      <x:c r="H146" s="16" t="n">
        <x:v>248</x:v>
      </x:c>
      <x:c r="I146" s="16" t="n">
        <x:v>248</x:v>
      </x:c>
      <x:c r="J146" s="14" t="str">
        <x:f>IF(COUNT('奖励明细'!G248:G248)=ROWS('奖励明细'!G248:G248),SUM('奖励明细'!G248:G248),"缺完整估值")</x:f>
        <x:v>缺完整估值</x:v>
      </x:c>
      <x:c r="K146" s="14" t="str">
        <x:f>IF(AND(ISNUMBER(F146),ISNUMBER(J146)),IF(F146&gt;0,J146/F146,"免费"),"不适用")</x:f>
        <x:v>不适用</x:v>
      </x:c>
      <x:c r="L146" s="14" t="str">
        <x:f>IF(AND(ISNUMBER(F146),ISNUMBER(J146)),IF(J146&gt;0,F146/J146*10,"不适用"),"不适用")</x:f>
        <x:v>不适用</x:v>
      </x:c>
      <x:c r="M146" s="14"/>
      <x:c r="N146" s="4" t="str">
        <x:v>已过期配置，不纳入；估值缺失</x:v>
      </x:c>
      <x:c r="O146" s="4" t="str">
        <x:v>刷新类型=None；条件=无</x:v>
      </x:c>
      <x:c r="P146" s="4" t="str">
        <x:v>主/心梦商店!第17行</x:v>
      </x:c>
    </x:row>
    <x:row r="147" ht="52" customHeight="1">
      <x:c r="A147" s="12" t="str">
        <x:v>P143</x:v>
      </x:c>
      <x:c r="B147" s="12" t="str">
        <x:v>心梦商店</x:v>
      </x:c>
      <x:c r="C147" s="12" t="str">
        <x:v>智械发条</x:v>
      </x:c>
      <x:c r="D147" s="12" t="str">
        <x:v>心梦宝石</x:v>
      </x:c>
      <x:c r="E147" s="17" t="n">
        <x:v>100</x:v>
      </x:c>
      <x:c r="F147" s="13" t="n">
        <x:f>IF(ISNUMBER(E147),E147*'来源与口径'!$C$6,"不适用")</x:f>
        <x:v>1400</x:v>
      </x:c>
      <x:c r="G147" s="13" t="n">
        <x:v>2</x:v>
      </x:c>
      <x:c r="H147" s="15" t="n">
        <x:v>249</x:v>
      </x:c>
      <x:c r="I147" s="15" t="n">
        <x:v>249</x:v>
      </x:c>
      <x:c r="J147" s="13" t="n">
        <x:f>IF(COUNT('奖励明细'!G249:G249)=ROWS('奖励明细'!G249:G249),SUM('奖励明细'!G249:G249),"缺完整估值")</x:f>
        <x:v>1500</x:v>
      </x:c>
      <x:c r="K147" s="13" t="n">
        <x:f>IF(AND(ISNUMBER(F147),ISNUMBER(J147)),IF(F147&gt;0,J147/F147,"免费"),"不适用")</x:f>
        <x:v>1.0714285714285714</x:v>
      </x:c>
      <x:c r="L147" s="13" t="n">
        <x:f>IF(AND(ISNUMBER(F147),ISNUMBER(J147)),IF(J147&gt;0,F147/J147*10,"不适用"),"不适用")</x:f>
        <x:v>9.333333333333334</x:v>
      </x:c>
      <x:c r="M147" s="13"/>
      <x:c r="N147" s="12" t="str">
        <x:v>明细规划</x:v>
      </x:c>
      <x:c r="O147" s="12" t="str">
        <x:v>刷新类型=2；条件=[{server_open_day,22},{chapter_pve,60}]</x:v>
      </x:c>
      <x:c r="P147" s="12" t="str">
        <x:v>主/心梦商店!第18行</x:v>
      </x:c>
    </x:row>
    <x:row r="148" ht="52" customHeight="1">
      <x:c r="A148" s="4" t="str">
        <x:v>P144</x:v>
      </x:c>
      <x:c r="B148" s="4" t="str">
        <x:v>心梦商店</x:v>
      </x:c>
      <x:c r="C148" s="4" t="str">
        <x:v>精密齿轮</x:v>
      </x:c>
      <x:c r="D148" s="4" t="str">
        <x:v>心梦宝石</x:v>
      </x:c>
      <x:c r="E148" s="18" t="n">
        <x:v>100</x:v>
      </x:c>
      <x:c r="F148" s="14" t="n">
        <x:f>IF(ISNUMBER(E148),E148*'来源与口径'!$C$6,"不适用")</x:f>
        <x:v>1400</x:v>
      </x:c>
      <x:c r="G148" s="14" t="n">
        <x:v>5</x:v>
      </x:c>
      <x:c r="H148" s="16" t="n">
        <x:v>250</x:v>
      </x:c>
      <x:c r="I148" s="16" t="n">
        <x:v>250</x:v>
      </x:c>
      <x:c r="J148" s="14" t="n">
        <x:f>IF(COUNT('奖励明细'!G250:G250)=ROWS('奖励明细'!G250:G250),SUM('奖励明细'!G250:G250),"缺完整估值")</x:f>
        <x:v>1500</x:v>
      </x:c>
      <x:c r="K148" s="14" t="n">
        <x:f>IF(AND(ISNUMBER(F148),ISNUMBER(J148)),IF(F148&gt;0,J148/F148,"免费"),"不适用")</x:f>
        <x:v>1.0714285714285714</x:v>
      </x:c>
      <x:c r="L148" s="14" t="n">
        <x:f>IF(AND(ISNUMBER(F148),ISNUMBER(J148)),IF(J148&gt;0,F148/J148*10,"不适用"),"不适用")</x:f>
        <x:v>9.333333333333334</x:v>
      </x:c>
      <x:c r="M148" s="14"/>
      <x:c r="N148" s="4" t="str">
        <x:v>明细规划</x:v>
      </x:c>
      <x:c r="O148" s="4" t="str">
        <x:v>刷新类型=2；条件=[{server_open_day,22},{chapter_pve,60}]</x:v>
      </x:c>
      <x:c r="P148" s="4" t="str">
        <x:v>主/心梦商店!第19行</x:v>
      </x:c>
    </x:row>
    <x:row r="149" ht="52" customHeight="1">
      <x:c r="A149" s="12" t="str">
        <x:v>P145</x:v>
      </x:c>
      <x:c r="B149" s="12" t="str">
        <x:v>心梦商店</x:v>
      </x:c>
      <x:c r="C149" s="12" t="str">
        <x:v>抵达深空</x:v>
      </x:c>
      <x:c r="D149" s="12" t="str">
        <x:v>心梦宝石</x:v>
      </x:c>
      <x:c r="E149" s="17" t="n">
        <x:v>680</x:v>
      </x:c>
      <x:c r="F149" s="13" t="n">
        <x:f>IF(ISNUMBER(E149),E149*'来源与口径'!$C$6,"不适用")</x:f>
        <x:v>9520</x:v>
      </x:c>
      <x:c r="G149" s="13" t="n">
        <x:v>1</x:v>
      </x:c>
      <x:c r="H149" s="15" t="n">
        <x:v>251</x:v>
      </x:c>
      <x:c r="I149" s="15" t="n">
        <x:v>251</x:v>
      </x:c>
      <x:c r="J149" s="13" t="n">
        <x:f>IF(COUNT('奖励明细'!G251:G251)=ROWS('奖励明细'!G251:G251),SUM('奖励明细'!G251:G251),"缺完整估值")</x:f>
        <x:v>9600</x:v>
      </x:c>
      <x:c r="K149" s="13" t="n">
        <x:f>IF(AND(ISNUMBER(F149),ISNUMBER(J149)),IF(F149&gt;0,J149/F149,"免费"),"不适用")</x:f>
        <x:v>1.0084033613445378</x:v>
      </x:c>
      <x:c r="L149" s="13" t="n">
        <x:f>IF(AND(ISNUMBER(F149),ISNUMBER(J149)),IF(J149&gt;0,F149/J149*10,"不适用"),"不适用")</x:f>
        <x:v>9.916666666666668</x:v>
      </x:c>
      <x:c r="M149" s="13"/>
      <x:c r="N149" s="12" t="str">
        <x:v>明细规划</x:v>
      </x:c>
      <x:c r="O149" s="12" t="str">
        <x:v>刷新类型=3；条件=[{server_open_day,15}]</x:v>
      </x:c>
      <x:c r="P149" s="12" t="str">
        <x:v>主/心梦商店!第20行</x:v>
      </x:c>
    </x:row>
    <x:row r="150" ht="52" customHeight="1">
      <x:c r="A150" s="4" t="str">
        <x:v>P146</x:v>
      </x:c>
      <x:c r="B150" s="4" t="str">
        <x:v>心梦商店</x:v>
      </x:c>
      <x:c r="C150" s="4" t="str">
        <x:v>酣眠的祝福</x:v>
      </x:c>
      <x:c r="D150" s="4" t="str">
        <x:v>心梦宝石</x:v>
      </x:c>
      <x:c r="E150" s="18" t="n">
        <x:v>380</x:v>
      </x:c>
      <x:c r="F150" s="14" t="n">
        <x:f>IF(ISNUMBER(E150),E150*'来源与口径'!$C$6,"不适用")</x:f>
        <x:v>5320</x:v>
      </x:c>
      <x:c r="G150" s="14" t="n">
        <x:v>1</x:v>
      </x:c>
      <x:c r="H150" s="16" t="n">
        <x:v>252</x:v>
      </x:c>
      <x:c r="I150" s="16" t="n">
        <x:v>252</x:v>
      </x:c>
      <x:c r="J150" s="14" t="n">
        <x:f>IF(COUNT('奖励明细'!G252:G252)=ROWS('奖励明细'!G252:G252),SUM('奖励明细'!G252:G252),"缺完整估值")</x:f>
        <x:v>4800</x:v>
      </x:c>
      <x:c r="K150" s="14" t="n">
        <x:f>IF(AND(ISNUMBER(F150),ISNUMBER(J150)),IF(F150&gt;0,J150/F150,"免费"),"不适用")</x:f>
        <x:v>0.9022556390977443</x:v>
      </x:c>
      <x:c r="L150" s="14" t="n">
        <x:f>IF(AND(ISNUMBER(F150),ISNUMBER(J150)),IF(J150&gt;0,F150/J150*10,"不适用"),"不适用")</x:f>
        <x:v>11.083333333333334</x:v>
      </x:c>
      <x:c r="M150" s="14"/>
      <x:c r="N150" s="4" t="str">
        <x:v>明细规划</x:v>
      </x:c>
      <x:c r="O150" s="4" t="str">
        <x:v>刷新类型=2；条件=[{server_open_day,15}]</x:v>
      </x:c>
      <x:c r="P150" s="4" t="str">
        <x:v>主/心梦商店!第21行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f4650c58533d4fc8"/>
  </x:tableParts>
</x:worksheet>
</file>

<file path=xl/worksheets/sheet3.xml><?xml version="1.0" encoding="utf-8"?>
<x:worksheet xmlns:x="http://schemas.openxmlformats.org/spreadsheetml/2006/main">
  <x:sheetPr>
    <x:tabColor rgb="FF34495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6" hidden="0" customWidth="1"/>
    <x:col min="3" max="3" width="30" hidden="0" customWidth="1"/>
    <x:col min="4" max="4" width="14" hidden="0" customWidth="1"/>
    <x:col min="5" max="5" width="18" hidden="0" customWidth="1"/>
    <x:col min="6" max="6" width="19" hidden="0" customWidth="1"/>
    <x:col min="7" max="7" width="18" hidden="0" customWidth="1"/>
    <x:col min="8" max="8" width="26" hidden="0" customWidth="1"/>
    <x:col min="9" max="9" width="45" hidden="0" customWidth="1"/>
    <x:col min="10" max="10" width="44" hidden="0" customWidth="1"/>
  </x:cols>
  <x:sheetData>
    <x:row r="1" ht="38" customHeight="1">
      <x:c r="A1" s="7" t="str">
        <x:v>奖励明细 · 数量 × 统一单价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 ht="42" customHeight="1">
      <x:c r="A2" s="8" t="str">
        <x:v>绿色为来源输入；单价链接道具基准。局部单价仅作差异核对，不替换统一字典。未匹配的名称不以相似道具代填。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32" customHeight="1">
      <x:c r="A4" s="11" t="str">
        <x:v>商品ID</x:v>
      </x:c>
      <x:c r="B4" s="11" t="str">
        <x:v>商品</x:v>
      </x:c>
      <x:c r="C4" s="11" t="str">
        <x:v>标的物</x:v>
      </x:c>
      <x:c r="D4" s="11" t="str">
        <x:v>数量</x:v>
      </x:c>
      <x:c r="E4" s="11" t="str">
        <x:v>统一单价钻</x:v>
      </x:c>
      <x:c r="F4" s="11" t="str">
        <x:v>原活动单价钻</x:v>
      </x:c>
      <x:c r="G4" s="11" t="str">
        <x:v>价值钻</x:v>
      </x:c>
      <x:c r="H4" s="11" t="str">
        <x:v>估值依据</x:v>
      </x:c>
      <x:c r="I4" s="11" t="str">
        <x:v>差异/缺失</x:v>
      </x:c>
      <x:c r="J4" s="11" t="str">
        <x:v>来源</x:v>
      </x:c>
    </x:row>
    <x:row r="5" ht="52" customHeight="1">
      <x:c r="A5" s="12" t="str">
        <x:v>P001</x:v>
      </x:c>
      <x:c r="B5" s="12" t="str">
        <x:v>日礼包/体力/4</x:v>
      </x:c>
      <x:c r="C5" s="12" t="str">
        <x:v>体力</x:v>
      </x:c>
      <x:c r="D5" s="17" t="n">
        <x:v>10</x:v>
      </x:c>
      <x:c r="E5" s="13" t="n">
        <x:f>'道具价值基准'!E9</x:f>
        <x:v>2</x:v>
      </x:c>
      <x:c r="F5" s="13"/>
      <x:c r="G5" s="13" t="n">
        <x:f>IF(AND(ISNUMBER(D5),ISNUMBER(E5)),D5*E5,"待补")</x:f>
        <x:v>20</x:v>
      </x:c>
      <x:c r="H5" s="12" t="str">
        <x:v>统一道具字典</x:v>
      </x:c>
      <x:c r="I5" s="12" t="str"/>
      <x:c r="J5" s="12" t="str">
        <x:v>主/日周月礼包!第4行</x:v>
      </x:c>
    </x:row>
    <x:row r="6" ht="52" customHeight="1">
      <x:c r="A6" s="4" t="str">
        <x:v>P002</x:v>
      </x:c>
      <x:c r="B6" s="4" t="str">
        <x:v>日礼包/体力/5</x:v>
      </x:c>
      <x:c r="C6" s="4" t="str">
        <x:v>体力</x:v>
      </x:c>
      <x:c r="D6" s="18" t="n">
        <x:v>10</x:v>
      </x:c>
      <x:c r="E6" s="14" t="n">
        <x:f>'道具价值基准'!E9</x:f>
        <x:v>2</x:v>
      </x:c>
      <x:c r="F6" s="14"/>
      <x:c r="G6" s="14" t="n">
        <x:f>IF(AND(ISNUMBER(D6),ISNUMBER(E6)),D6*E6,"待补")</x:f>
        <x:v>20</x:v>
      </x:c>
      <x:c r="H6" s="4" t="str">
        <x:v>统一道具字典</x:v>
      </x:c>
      <x:c r="I6" s="4" t="str"/>
      <x:c r="J6" s="4" t="str">
        <x:v>主/日周月礼包!第5行</x:v>
      </x:c>
    </x:row>
    <x:row r="7" ht="52" customHeight="1">
      <x:c r="A7" s="12" t="str">
        <x:v>P003</x:v>
      </x:c>
      <x:c r="B7" s="12" t="str">
        <x:v>日礼包/体力/6</x:v>
      </x:c>
      <x:c r="C7" s="12" t="str">
        <x:v>体力</x:v>
      </x:c>
      <x:c r="D7" s="17" t="n">
        <x:v>60</x:v>
      </x:c>
      <x:c r="E7" s="13" t="n">
        <x:f>'道具价值基准'!E9</x:f>
        <x:v>2</x:v>
      </x:c>
      <x:c r="F7" s="13"/>
      <x:c r="G7" s="13" t="n">
        <x:f>IF(AND(ISNUMBER(D7),ISNUMBER(E7)),D7*E7,"待补")</x:f>
        <x:v>120</x:v>
      </x:c>
      <x:c r="H7" s="12" t="str">
        <x:v>统一道具字典</x:v>
      </x:c>
      <x:c r="I7" s="12" t="str"/>
      <x:c r="J7" s="12" t="str">
        <x:v>主/日周月礼包!第6行</x:v>
      </x:c>
    </x:row>
    <x:row r="8" ht="52" customHeight="1">
      <x:c r="A8" s="4" t="str">
        <x:v>P004</x:v>
      </x:c>
      <x:c r="B8" s="4" t="str">
        <x:v>日礼包/金币/7</x:v>
      </x:c>
      <x:c r="C8" s="4" t="str">
        <x:v>金币</x:v>
      </x:c>
      <x:c r="D8" s="18" t="n">
        <x:v>5000</x:v>
      </x:c>
      <x:c r="E8" s="14" t="n">
        <x:f>'道具价值基准'!E6</x:f>
        <x:v>0.05</x:v>
      </x:c>
      <x:c r="F8" s="14"/>
      <x:c r="G8" s="14" t="n">
        <x:f>IF(AND(ISNUMBER(D8),ISNUMBER(E8)),D8*E8,"待补")</x:f>
        <x:v>250</x:v>
      </x:c>
      <x:c r="H8" s="4" t="str">
        <x:v>统一道具字典</x:v>
      </x:c>
      <x:c r="I8" s="4" t="str"/>
      <x:c r="J8" s="4" t="str">
        <x:v>主/日周月礼包!第7行</x:v>
      </x:c>
    </x:row>
    <x:row r="9" ht="52" customHeight="1">
      <x:c r="A9" s="12" t="str">
        <x:v>P005</x:v>
      </x:c>
      <x:c r="B9" s="12" t="str">
        <x:v>日礼包/梦境招募器/8</x:v>
      </x:c>
      <x:c r="C9" s="12" t="str">
        <x:v>梦境招募器</x:v>
      </x:c>
      <x:c r="D9" s="17" t="n">
        <x:v>20</x:v>
      </x:c>
      <x:c r="E9" s="13" t="n">
        <x:f>'道具价值基准'!E101</x:f>
        <x:v>30</x:v>
      </x:c>
      <x:c r="F9" s="13"/>
      <x:c r="G9" s="13" t="n">
        <x:f>IF(AND(ISNUMBER(D9),ISNUMBER(E9)),D9*E9,"待补")</x:f>
        <x:v>600</x:v>
      </x:c>
      <x:c r="H9" s="12" t="str">
        <x:v>统一道具字典</x:v>
      </x:c>
      <x:c r="I9" s="12" t="str"/>
      <x:c r="J9" s="12" t="str">
        <x:v>主/日周月礼包!第8行</x:v>
      </x:c>
    </x:row>
    <x:row r="10" ht="52" customHeight="1">
      <x:c r="A10" s="4" t="str">
        <x:v>P006</x:v>
      </x:c>
      <x:c r="B10" s="4" t="str">
        <x:v>日礼包/随机能量特饮/9</x:v>
      </x:c>
      <x:c r="C10" s="4" t="str">
        <x:v>随机能量特饮</x:v>
      </x:c>
      <x:c r="D10" s="18" t="n">
        <x:v>400</x:v>
      </x:c>
      <x:c r="E10" s="14" t="n">
        <x:f>'道具价值基准'!E14</x:f>
        <x:v>1</x:v>
      </x:c>
      <x:c r="F10" s="14"/>
      <x:c r="G10" s="14" t="n">
        <x:f>IF(AND(ISNUMBER(D10),ISNUMBER(E10)),D10*E10,"待补")</x:f>
        <x:v>400</x:v>
      </x:c>
      <x:c r="H10" s="4" t="str">
        <x:v>统一道具字典</x:v>
      </x:c>
      <x:c r="I10" s="4" t="str"/>
      <x:c r="J10" s="4" t="str">
        <x:v>主/日周月礼包!第9行</x:v>
      </x:c>
    </x:row>
    <x:row r="11" ht="52" customHeight="1">
      <x:c r="A11" s="12" t="str">
        <x:v>P007</x:v>
      </x:c>
      <x:c r="B11" s="12" t="str">
        <x:v>日礼包/超能特饮/10</x:v>
      </x:c>
      <x:c r="C11" s="12" t="str">
        <x:v>超能特饮</x:v>
      </x:c>
      <x:c r="D11" s="17" t="n">
        <x:v>200</x:v>
      </x:c>
      <x:c r="E11" s="13" t="n">
        <x:f>'道具价值基准'!E15</x:f>
        <x:v>2</x:v>
      </x:c>
      <x:c r="F11" s="13"/>
      <x:c r="G11" s="13" t="n">
        <x:f>IF(AND(ISNUMBER(D11),ISNUMBER(E11)),D11*E11,"待补")</x:f>
        <x:v>400</x:v>
      </x:c>
      <x:c r="H11" s="12" t="str">
        <x:v>统一道具字典</x:v>
      </x:c>
      <x:c r="I11" s="12" t="str"/>
      <x:c r="J11" s="12" t="str">
        <x:v>主/日周月礼包!第10行</x:v>
      </x:c>
    </x:row>
    <x:row r="12" ht="52" customHeight="1">
      <x:c r="A12" s="4" t="str">
        <x:v>P008</x:v>
      </x:c>
      <x:c r="B12" s="4" t="str">
        <x:v>日礼包/装备图纸/11</x:v>
      </x:c>
      <x:c r="C12" s="4" t="str">
        <x:v>装备图纸</x:v>
      </x:c>
      <x:c r="D12" s="18" t="n">
        <x:v>100</x:v>
      </x:c>
      <x:c r="E12" s="14" t="n">
        <x:f>'道具价值基准'!E32</x:f>
        <x:v>3</x:v>
      </x:c>
      <x:c r="F12" s="14"/>
      <x:c r="G12" s="14" t="n">
        <x:f>IF(AND(ISNUMBER(D12),ISNUMBER(E12)),D12*E12,"待补")</x:f>
        <x:v>300</x:v>
      </x:c>
      <x:c r="H12" s="4" t="str">
        <x:v>统一道具字典</x:v>
      </x:c>
      <x:c r="I12" s="4" t="str"/>
      <x:c r="J12" s="4" t="str">
        <x:v>主/日周月礼包!第11行</x:v>
      </x:c>
    </x:row>
    <x:row r="13" ht="52" customHeight="1">
      <x:c r="A13" s="12" t="str">
        <x:v>P009</x:v>
      </x:c>
      <x:c r="B13" s="12" t="str">
        <x:v>日礼包/星辉秘契/12</x:v>
      </x:c>
      <x:c r="C13" s="12" t="str">
        <x:v>星辉秘契</x:v>
      </x:c>
      <x:c r="D13" s="17" t="n">
        <x:v>2</x:v>
      </x:c>
      <x:c r="E13" s="13" t="n">
        <x:f>'道具价值基准'!E104</x:f>
        <x:v>280</x:v>
      </x:c>
      <x:c r="F13" s="13"/>
      <x:c r="G13" s="13" t="n">
        <x:f>IF(AND(ISNUMBER(D13),ISNUMBER(E13)),D13*E13,"待补")</x:f>
        <x:v>560</x:v>
      </x:c>
      <x:c r="H13" s="12" t="str">
        <x:v>统一道具字典</x:v>
      </x:c>
      <x:c r="I13" s="12" t="str"/>
      <x:c r="J13" s="12" t="str">
        <x:v>主/日周月礼包!第12行</x:v>
      </x:c>
    </x:row>
    <x:row r="14" ht="52" customHeight="1">
      <x:c r="A14" s="4" t="str">
        <x:v>P010</x:v>
      </x:c>
      <x:c r="B14" s="4" t="str">
        <x:v>日礼包/星辉秘契/13</x:v>
      </x:c>
      <x:c r="C14" s="4" t="str">
        <x:v>星辉秘契</x:v>
      </x:c>
      <x:c r="D14" s="18" t="n">
        <x:v>5</x:v>
      </x:c>
      <x:c r="E14" s="14" t="n">
        <x:f>'道具价值基准'!E104</x:f>
        <x:v>280</x:v>
      </x:c>
      <x:c r="F14" s="14"/>
      <x:c r="G14" s="14" t="n">
        <x:f>IF(AND(ISNUMBER(D14),ISNUMBER(E14)),D14*E14,"待补")</x:f>
        <x:v>1400</x:v>
      </x:c>
      <x:c r="H14" s="4" t="str">
        <x:v>统一道具字典</x:v>
      </x:c>
      <x:c r="I14" s="4" t="str"/>
      <x:c r="J14" s="4" t="str">
        <x:v>主/日周月礼包!第13行</x:v>
      </x:c>
    </x:row>
    <x:row r="15" ht="52" customHeight="1">
      <x:c r="A15" s="12" t="str">
        <x:v>P011</x:v>
      </x:c>
      <x:c r="B15" s="12" t="str">
        <x:v>日礼包/符引结晶/14</x:v>
      </x:c>
      <x:c r="C15" s="12" t="str">
        <x:v>符引结晶</x:v>
      </x:c>
      <x:c r="D15" s="17" t="n">
        <x:v>50</x:v>
      </x:c>
      <x:c r="E15" s="13" t="n">
        <x:f>'道具价值基准'!E35</x:f>
        <x:v>5</x:v>
      </x:c>
      <x:c r="F15" s="13"/>
      <x:c r="G15" s="13" t="n">
        <x:f>IF(AND(ISNUMBER(D15),ISNUMBER(E15)),D15*E15,"待补")</x:f>
        <x:v>250</x:v>
      </x:c>
      <x:c r="H15" s="12" t="str">
        <x:v>统一道具字典</x:v>
      </x:c>
      <x:c r="I15" s="12" t="str"/>
      <x:c r="J15" s="12" t="str">
        <x:v>主/日周月礼包!第14行</x:v>
      </x:c>
    </x:row>
    <x:row r="16" ht="52" customHeight="1">
      <x:c r="A16" s="4" t="str">
        <x:v>P012</x:v>
      </x:c>
      <x:c r="B16" s="4" t="str">
        <x:v>日礼包/织梦微尘/15</x:v>
      </x:c>
      <x:c r="C16" s="4" t="str">
        <x:v>织梦微尘</x:v>
      </x:c>
      <x:c r="D16" s="18" t="n">
        <x:v>50</x:v>
      </x:c>
      <x:c r="E16" s="14" t="n">
        <x:f>'道具价值基准'!E13</x:f>
        <x:v>3</x:v>
      </x:c>
      <x:c r="F16" s="14"/>
      <x:c r="G16" s="14" t="n">
        <x:f>IF(AND(ISNUMBER(D16),ISNUMBER(E16)),D16*E16,"待补")</x:f>
        <x:v>150</x:v>
      </x:c>
      <x:c r="H16" s="4" t="str">
        <x:v>统一道具字典</x:v>
      </x:c>
      <x:c r="I16" s="4" t="str"/>
      <x:c r="J16" s="4" t="str">
        <x:v>主/日周月礼包!第15行</x:v>
      </x:c>
    </x:row>
    <x:row r="17" ht="52" customHeight="1">
      <x:c r="A17" s="12" t="str">
        <x:v>P013</x:v>
      </x:c>
      <x:c r="B17" s="12" t="str">
        <x:v>日礼包/锻造晶石/16</x:v>
      </x:c>
      <x:c r="C17" s="12" t="str">
        <x:v>锻造晶石</x:v>
      </x:c>
      <x:c r="D17" s="17" t="n">
        <x:v>500</x:v>
      </x:c>
      <x:c r="E17" s="13" t="n">
        <x:f>'道具价值基准'!E34</x:f>
        <x:v>0.1</x:v>
      </x:c>
      <x:c r="F17" s="13"/>
      <x:c r="G17" s="13" t="n">
        <x:f>IF(AND(ISNUMBER(D17),ISNUMBER(E17)),D17*E17,"待补")</x:f>
        <x:v>50</x:v>
      </x:c>
      <x:c r="H17" s="12" t="str">
        <x:v>统一道具字典</x:v>
      </x:c>
      <x:c r="I17" s="12" t="str"/>
      <x:c r="J17" s="12" t="str">
        <x:v>主/日周月礼包!第16行</x:v>
      </x:c>
    </x:row>
    <x:row r="18" ht="52" customHeight="1">
      <x:c r="A18" s="4" t="str">
        <x:v>P014</x:v>
      </x:c>
      <x:c r="B18" s="4" t="str">
        <x:v>日礼包/幻梦晶核/17</x:v>
      </x:c>
      <x:c r="C18" s="4" t="str">
        <x:v>幻梦晶核</x:v>
      </x:c>
      <x:c r="D18" s="18" t="n">
        <x:v>6</x:v>
      </x:c>
      <x:c r="E18" s="14" t="n">
        <x:f>'道具价值基准'!E36</x:f>
        <x:v>60</x:v>
      </x:c>
      <x:c r="F18" s="14"/>
      <x:c r="G18" s="14" t="n">
        <x:f>IF(AND(ISNUMBER(D18),ISNUMBER(E18)),D18*E18,"待补")</x:f>
        <x:v>360</x:v>
      </x:c>
      <x:c r="H18" s="4" t="str">
        <x:v>统一道具字典</x:v>
      </x:c>
      <x:c r="I18" s="4" t="str"/>
      <x:c r="J18" s="4" t="str">
        <x:v>主/日周月礼包!第17行</x:v>
      </x:c>
    </x:row>
    <x:row r="19" ht="52" customHeight="1">
      <x:c r="A19" s="12" t="str">
        <x:v>P015</x:v>
      </x:c>
      <x:c r="B19" s="12" t="str">
        <x:v>日礼包/转运石/18</x:v>
      </x:c>
      <x:c r="C19" s="12" t="str">
        <x:v>转运石</x:v>
      </x:c>
      <x:c r="D19" s="17" t="n">
        <x:v>1000</x:v>
      </x:c>
      <x:c r="E19" s="13" t="n">
        <x:f>'道具价值基准'!E98</x:f>
        <x:v>0.33</x:v>
      </x:c>
      <x:c r="F19" s="13"/>
      <x:c r="G19" s="13" t="n">
        <x:f>IF(AND(ISNUMBER(D19),ISNUMBER(E19)),D19*E19,"待补")</x:f>
        <x:v>330</x:v>
      </x:c>
      <x:c r="H19" s="12" t="str">
        <x:v>统一道具字典</x:v>
      </x:c>
      <x:c r="I19" s="12" t="str"/>
      <x:c r="J19" s="12" t="str">
        <x:v>主/日周月礼包!第18行</x:v>
      </x:c>
    </x:row>
    <x:row r="20" ht="52" customHeight="1">
      <x:c r="A20" s="4" t="str">
        <x:v>P016</x:v>
      </x:c>
      <x:c r="B20" s="4" t="str">
        <x:v>日礼包/智械发条/19</x:v>
      </x:c>
      <x:c r="C20" s="4" t="str">
        <x:v>智械发条</x:v>
      </x:c>
      <x:c r="D20" s="18" t="n">
        <x:v>3</x:v>
      </x:c>
      <x:c r="E20" s="14" t="n">
        <x:f>'道具价值基准'!E87</x:f>
        <x:v>150</x:v>
      </x:c>
      <x:c r="F20" s="14"/>
      <x:c r="G20" s="14" t="n">
        <x:f>IF(AND(ISNUMBER(D20),ISNUMBER(E20)),D20*E20,"待补")</x:f>
        <x:v>450</x:v>
      </x:c>
      <x:c r="H20" s="4" t="str">
        <x:v>统一道具字典</x:v>
      </x:c>
      <x:c r="I20" s="4" t="str"/>
      <x:c r="J20" s="4" t="str">
        <x:v>主/日周月礼包!第19行</x:v>
      </x:c>
    </x:row>
    <x:row r="21" ht="52" customHeight="1">
      <x:c r="A21" s="12" t="str">
        <x:v>P017</x:v>
      </x:c>
      <x:c r="B21" s="12" t="str">
        <x:v>周礼包/体力/28</x:v>
      </x:c>
      <x:c r="C21" s="12" t="str">
        <x:v>体力</x:v>
      </x:c>
      <x:c r="D21" s="17" t="n">
        <x:v>10</x:v>
      </x:c>
      <x:c r="E21" s="13" t="n">
        <x:f>'道具价值基准'!E9</x:f>
        <x:v>2</x:v>
      </x:c>
      <x:c r="F21" s="13"/>
      <x:c r="G21" s="13" t="n">
        <x:f>IF(AND(ISNUMBER(D21),ISNUMBER(E21)),D21*E21,"待补")</x:f>
        <x:v>20</x:v>
      </x:c>
      <x:c r="H21" s="12" t="str">
        <x:v>统一道具字典</x:v>
      </x:c>
      <x:c r="I21" s="12" t="str"/>
      <x:c r="J21" s="12" t="str">
        <x:v>主/日周月礼包!第28行</x:v>
      </x:c>
    </x:row>
    <x:row r="22" ht="52" customHeight="1">
      <x:c r="A22" s="4" t="str">
        <x:v>P018</x:v>
      </x:c>
      <x:c r="B22" s="4" t="str">
        <x:v>周礼包/体力/29</x:v>
      </x:c>
      <x:c r="C22" s="4" t="str">
        <x:v>体力</x:v>
      </x:c>
      <x:c r="D22" s="18" t="n">
        <x:v>10</x:v>
      </x:c>
      <x:c r="E22" s="14" t="n">
        <x:f>'道具价值基准'!E9</x:f>
        <x:v>2</x:v>
      </x:c>
      <x:c r="F22" s="14"/>
      <x:c r="G22" s="14" t="n">
        <x:f>IF(AND(ISNUMBER(D22),ISNUMBER(E22)),D22*E22,"待补")</x:f>
        <x:v>20</x:v>
      </x:c>
      <x:c r="H22" s="4" t="str">
        <x:v>统一道具字典</x:v>
      </x:c>
      <x:c r="I22" s="4" t="str"/>
      <x:c r="J22" s="4" t="str">
        <x:v>主/日周月礼包!第29行</x:v>
      </x:c>
    </x:row>
    <x:row r="23" ht="52" customHeight="1">
      <x:c r="A23" s="12" t="str">
        <x:v>P019</x:v>
      </x:c>
      <x:c r="B23" s="12" t="str">
        <x:v>周礼包/体力/30</x:v>
      </x:c>
      <x:c r="C23" s="12" t="str">
        <x:v>体力</x:v>
      </x:c>
      <x:c r="D23" s="17" t="n">
        <x:v>60</x:v>
      </x:c>
      <x:c r="E23" s="13" t="n">
        <x:f>'道具价值基准'!E9</x:f>
        <x:v>2</x:v>
      </x:c>
      <x:c r="F23" s="13"/>
      <x:c r="G23" s="13" t="n">
        <x:f>IF(AND(ISNUMBER(D23),ISNUMBER(E23)),D23*E23,"待补")</x:f>
        <x:v>120</x:v>
      </x:c>
      <x:c r="H23" s="12" t="str">
        <x:v>统一道具字典</x:v>
      </x:c>
      <x:c r="I23" s="12" t="str"/>
      <x:c r="J23" s="12" t="str">
        <x:v>主/日周月礼包!第30行</x:v>
      </x:c>
    </x:row>
    <x:row r="24" ht="52" customHeight="1">
      <x:c r="A24" s="4" t="str">
        <x:v>P020</x:v>
      </x:c>
      <x:c r="B24" s="4" t="str">
        <x:v>周礼包/金币/31</x:v>
      </x:c>
      <x:c r="C24" s="4" t="str">
        <x:v>金币</x:v>
      </x:c>
      <x:c r="D24" s="18" t="n">
        <x:v>10000</x:v>
      </x:c>
      <x:c r="E24" s="14" t="n">
        <x:f>'道具价值基准'!E6</x:f>
        <x:v>0.05</x:v>
      </x:c>
      <x:c r="F24" s="14"/>
      <x:c r="G24" s="14" t="n">
        <x:f>IF(AND(ISNUMBER(D24),ISNUMBER(E24)),D24*E24,"待补")</x:f>
        <x:v>500</x:v>
      </x:c>
      <x:c r="H24" s="4" t="str">
        <x:v>统一道具字典</x:v>
      </x:c>
      <x:c r="I24" s="4" t="str"/>
      <x:c r="J24" s="4" t="str">
        <x:v>主/日周月礼包!第31行</x:v>
      </x:c>
    </x:row>
    <x:row r="25" ht="52" customHeight="1">
      <x:c r="A25" s="12" t="str">
        <x:v>P021</x:v>
      </x:c>
      <x:c r="B25" s="12" t="str">
        <x:v>周礼包/梦境招募器/32</x:v>
      </x:c>
      <x:c r="C25" s="12" t="str">
        <x:v>梦境招募器</x:v>
      </x:c>
      <x:c r="D25" s="17" t="n">
        <x:v>50</x:v>
      </x:c>
      <x:c r="E25" s="13" t="n">
        <x:f>'道具价值基准'!E101</x:f>
        <x:v>30</x:v>
      </x:c>
      <x:c r="F25" s="13"/>
      <x:c r="G25" s="13" t="n">
        <x:f>IF(AND(ISNUMBER(D25),ISNUMBER(E25)),D25*E25,"待补")</x:f>
        <x:v>1500</x:v>
      </x:c>
      <x:c r="H25" s="12" t="str">
        <x:v>统一道具字典</x:v>
      </x:c>
      <x:c r="I25" s="12" t="str"/>
      <x:c r="J25" s="12" t="str">
        <x:v>主/日周月礼包!第32行</x:v>
      </x:c>
    </x:row>
    <x:row r="26" ht="52" customHeight="1">
      <x:c r="A26" s="4" t="str">
        <x:v>P022</x:v>
      </x:c>
      <x:c r="B26" s="4" t="str">
        <x:v>周礼包/梦境招募器/33</x:v>
      </x:c>
      <x:c r="C26" s="4" t="str">
        <x:v>梦境招募器</x:v>
      </x:c>
      <x:c r="D26" s="18" t="n">
        <x:v>100</x:v>
      </x:c>
      <x:c r="E26" s="14" t="n">
        <x:f>'道具价值基准'!E101</x:f>
        <x:v>30</x:v>
      </x:c>
      <x:c r="F26" s="14"/>
      <x:c r="G26" s="14" t="n">
        <x:f>IF(AND(ISNUMBER(D26),ISNUMBER(E26)),D26*E26,"待补")</x:f>
        <x:v>3000</x:v>
      </x:c>
      <x:c r="H26" s="4" t="str">
        <x:v>统一道具字典</x:v>
      </x:c>
      <x:c r="I26" s="4" t="str"/>
      <x:c r="J26" s="4" t="str">
        <x:v>主/日周月礼包!第33行</x:v>
      </x:c>
    </x:row>
    <x:row r="27" ht="52" customHeight="1">
      <x:c r="A27" s="12" t="str">
        <x:v>P023</x:v>
      </x:c>
      <x:c r="B27" s="12" t="str">
        <x:v>周礼包/超能特饮/34</x:v>
      </x:c>
      <x:c r="C27" s="12" t="str">
        <x:v>超能特饮</x:v>
      </x:c>
      <x:c r="D27" s="17" t="n">
        <x:v>400</x:v>
      </x:c>
      <x:c r="E27" s="13" t="n">
        <x:f>'道具价值基准'!E15</x:f>
        <x:v>2</x:v>
      </x:c>
      <x:c r="F27" s="13"/>
      <x:c r="G27" s="13" t="n">
        <x:f>IF(AND(ISNUMBER(D27),ISNUMBER(E27)),D27*E27,"待补")</x:f>
        <x:v>800</x:v>
      </x:c>
      <x:c r="H27" s="12" t="str">
        <x:v>统一道具字典</x:v>
      </x:c>
      <x:c r="I27" s="12" t="str"/>
      <x:c r="J27" s="12" t="str">
        <x:v>主/日周月礼包!第34行</x:v>
      </x:c>
    </x:row>
    <x:row r="28" ht="52" customHeight="1">
      <x:c r="A28" s="4" t="str">
        <x:v>P024</x:v>
      </x:c>
      <x:c r="B28" s="4" t="str">
        <x:v>周礼包/装备图纸/35</x:v>
      </x:c>
      <x:c r="C28" s="4" t="str">
        <x:v>装备图纸</x:v>
      </x:c>
      <x:c r="D28" s="18" t="n">
        <x:v>200</x:v>
      </x:c>
      <x:c r="E28" s="14" t="n">
        <x:f>'道具价值基准'!E32</x:f>
        <x:v>3</x:v>
      </x:c>
      <x:c r="F28" s="14"/>
      <x:c r="G28" s="14" t="n">
        <x:f>IF(AND(ISNUMBER(D28),ISNUMBER(E28)),D28*E28,"待补")</x:f>
        <x:v>600</x:v>
      </x:c>
      <x:c r="H28" s="4" t="str">
        <x:v>统一道具字典</x:v>
      </x:c>
      <x:c r="I28" s="4" t="str"/>
      <x:c r="J28" s="4" t="str">
        <x:v>主/日周月礼包!第35行</x:v>
      </x:c>
    </x:row>
    <x:row r="29" ht="52" customHeight="1">
      <x:c r="A29" s="12" t="str">
        <x:v>P025</x:v>
      </x:c>
      <x:c r="B29" s="12" t="str">
        <x:v>周礼包/星辉秘契/36</x:v>
      </x:c>
      <x:c r="C29" s="12" t="str">
        <x:v>星辉秘契</x:v>
      </x:c>
      <x:c r="D29" s="17" t="n">
        <x:v>10</x:v>
      </x:c>
      <x:c r="E29" s="13" t="n">
        <x:f>'道具价值基准'!E104</x:f>
        <x:v>280</x:v>
      </x:c>
      <x:c r="F29" s="13"/>
      <x:c r="G29" s="13" t="n">
        <x:f>IF(AND(ISNUMBER(D29),ISNUMBER(E29)),D29*E29,"待补")</x:f>
        <x:v>2800</x:v>
      </x:c>
      <x:c r="H29" s="12" t="str">
        <x:v>统一道具字典</x:v>
      </x:c>
      <x:c r="I29" s="12" t="str"/>
      <x:c r="J29" s="12" t="str">
        <x:v>主/日周月礼包!第36行</x:v>
      </x:c>
    </x:row>
    <x:row r="30" ht="52" customHeight="1">
      <x:c r="A30" s="4" t="str">
        <x:v>P026</x:v>
      </x:c>
      <x:c r="B30" s="4" t="str">
        <x:v>周礼包/星辉秘契/37</x:v>
      </x:c>
      <x:c r="C30" s="4" t="str">
        <x:v>星辉秘契</x:v>
      </x:c>
      <x:c r="D30" s="18" t="n">
        <x:v>20</x:v>
      </x:c>
      <x:c r="E30" s="14" t="n">
        <x:f>'道具价值基准'!E104</x:f>
        <x:v>280</x:v>
      </x:c>
      <x:c r="F30" s="14"/>
      <x:c r="G30" s="14" t="n">
        <x:f>IF(AND(ISNUMBER(D30),ISNUMBER(E30)),D30*E30,"待补")</x:f>
        <x:v>5600</x:v>
      </x:c>
      <x:c r="H30" s="4" t="str">
        <x:v>统一道具字典</x:v>
      </x:c>
      <x:c r="I30" s="4" t="str"/>
      <x:c r="J30" s="4" t="str">
        <x:v>主/日周月礼包!第37行</x:v>
      </x:c>
    </x:row>
    <x:row r="31" ht="52" customHeight="1">
      <x:c r="A31" s="12" t="str">
        <x:v>P027</x:v>
      </x:c>
      <x:c r="B31" s="12" t="str">
        <x:v>周礼包/符引结晶/38</x:v>
      </x:c>
      <x:c r="C31" s="12" t="str">
        <x:v>符引结晶</x:v>
      </x:c>
      <x:c r="D31" s="17" t="n">
        <x:v>100</x:v>
      </x:c>
      <x:c r="E31" s="13" t="n">
        <x:f>'道具价值基准'!E35</x:f>
        <x:v>5</x:v>
      </x:c>
      <x:c r="F31" s="13"/>
      <x:c r="G31" s="13" t="n">
        <x:f>IF(AND(ISNUMBER(D31),ISNUMBER(E31)),D31*E31,"待补")</x:f>
        <x:v>500</x:v>
      </x:c>
      <x:c r="H31" s="12" t="str">
        <x:v>统一道具字典</x:v>
      </x:c>
      <x:c r="I31" s="12" t="str"/>
      <x:c r="J31" s="12" t="str">
        <x:v>主/日周月礼包!第38行</x:v>
      </x:c>
    </x:row>
    <x:row r="32" ht="52" customHeight="1">
      <x:c r="A32" s="4" t="str">
        <x:v>P028</x:v>
      </x:c>
      <x:c r="B32" s="4" t="str">
        <x:v>周礼包/幻梦晶核/39</x:v>
      </x:c>
      <x:c r="C32" s="4" t="str">
        <x:v>幻梦晶核</x:v>
      </x:c>
      <x:c r="D32" s="18" t="n">
        <x:v>12</x:v>
      </x:c>
      <x:c r="E32" s="14" t="n">
        <x:f>'道具价值基准'!E36</x:f>
        <x:v>60</x:v>
      </x:c>
      <x:c r="F32" s="14"/>
      <x:c r="G32" s="14" t="n">
        <x:f>IF(AND(ISNUMBER(D32),ISNUMBER(E32)),D32*E32,"待补")</x:f>
        <x:v>720</x:v>
      </x:c>
      <x:c r="H32" s="4" t="str">
        <x:v>统一道具字典</x:v>
      </x:c>
      <x:c r="I32" s="4" t="str"/>
      <x:c r="J32" s="4" t="str">
        <x:v>主/日周月礼包!第39行</x:v>
      </x:c>
    </x:row>
    <x:row r="33" ht="52" customHeight="1">
      <x:c r="A33" s="12" t="str">
        <x:v>P029</x:v>
      </x:c>
      <x:c r="B33" s="12" t="str">
        <x:v>周礼包/织梦微尘/40</x:v>
      </x:c>
      <x:c r="C33" s="12" t="str">
        <x:v>织梦微尘</x:v>
      </x:c>
      <x:c r="D33" s="17" t="n">
        <x:v>200</x:v>
      </x:c>
      <x:c r="E33" s="13" t="n">
        <x:f>'道具价值基准'!E13</x:f>
        <x:v>3</x:v>
      </x:c>
      <x:c r="F33" s="13"/>
      <x:c r="G33" s="13" t="n">
        <x:f>IF(AND(ISNUMBER(D33),ISNUMBER(E33)),D33*E33,"待补")</x:f>
        <x:v>600</x:v>
      </x:c>
      <x:c r="H33" s="12" t="str">
        <x:v>统一道具字典</x:v>
      </x:c>
      <x:c r="I33" s="12" t="str"/>
      <x:c r="J33" s="12" t="str">
        <x:v>主/日周月礼包!第40行</x:v>
      </x:c>
    </x:row>
    <x:row r="34" ht="52" customHeight="1">
      <x:c r="A34" s="4" t="str">
        <x:v>P030</x:v>
      </x:c>
      <x:c r="B34" s="4" t="str">
        <x:v>周礼包/加速沙漏/41</x:v>
      </x:c>
      <x:c r="C34" s="4" t="str">
        <x:v>加速沙漏</x:v>
      </x:c>
      <x:c r="D34" s="18" t="n">
        <x:v>50</x:v>
      </x:c>
      <x:c r="E34" s="14" t="n">
        <x:f>'道具价值基准'!E128</x:f>
        <x:v>5</x:v>
      </x:c>
      <x:c r="F34" s="14"/>
      <x:c r="G34" s="14" t="n">
        <x:f>IF(AND(ISNUMBER(D34),ISNUMBER(E34)),D34*E34,"待补")</x:f>
        <x:v>250</x:v>
      </x:c>
      <x:c r="H34" s="4" t="str">
        <x:v>统一道具字典</x:v>
      </x:c>
      <x:c r="I34" s="4" t="str"/>
      <x:c r="J34" s="4" t="str">
        <x:v>主/日周月礼包!第41行</x:v>
      </x:c>
    </x:row>
    <x:row r="35" ht="52" customHeight="1">
      <x:c r="A35" s="12" t="str">
        <x:v>P031</x:v>
      </x:c>
      <x:c r="B35" s="12" t="str">
        <x:v>周礼包/梦境衣橱礼包/42</x:v>
      </x:c>
      <x:c r="C35" s="12" t="str">
        <x:v>梦境衣橱礼包</x:v>
      </x:c>
      <x:c r="D35" s="17" t="n">
        <x:v>1</x:v>
      </x:c>
      <x:c r="E35" s="13"/>
      <x:c r="F35" s="13"/>
      <x:c r="G35" s="13" t="str">
        <x:f>IF(AND(ISNUMBER(D35),ISNUMBER(E35)),D35*E35,"待补")</x:f>
        <x:v>待补</x:v>
      </x:c>
      <x:c r="H35" s="12" t="str">
        <x:v>缺统一估值</x:v>
      </x:c>
      <x:c r="I35" s="12" t="str"/>
      <x:c r="J35" s="12" t="str">
        <x:v>主/日周月礼包!第42行</x:v>
      </x:c>
    </x:row>
    <x:row r="36" ht="52" customHeight="1">
      <x:c r="A36" s="4" t="str">
        <x:v>P032</x:v>
      </x:c>
      <x:c r="B36" s="4" t="str">
        <x:v>周礼包/转运石/43</x:v>
      </x:c>
      <x:c r="C36" s="4" t="str">
        <x:v>转运石</x:v>
      </x:c>
      <x:c r="D36" s="18" t="n">
        <x:v>3000</x:v>
      </x:c>
      <x:c r="E36" s="14" t="n">
        <x:f>'道具价值基准'!E98</x:f>
        <x:v>0.33</x:v>
      </x:c>
      <x:c r="F36" s="14"/>
      <x:c r="G36" s="14" t="n">
        <x:f>IF(AND(ISNUMBER(D36),ISNUMBER(E36)),D36*E36,"待补")</x:f>
        <x:v>990</x:v>
      </x:c>
      <x:c r="H36" s="4" t="str">
        <x:v>统一道具字典</x:v>
      </x:c>
      <x:c r="I36" s="4" t="str"/>
      <x:c r="J36" s="4" t="str">
        <x:v>主/日周月礼包!第43行</x:v>
      </x:c>
    </x:row>
    <x:row r="37" ht="52" customHeight="1">
      <x:c r="A37" s="12" t="str">
        <x:v>P033</x:v>
      </x:c>
      <x:c r="B37" s="12" t="str">
        <x:v>周礼包/智械发条/44</x:v>
      </x:c>
      <x:c r="C37" s="12" t="str">
        <x:v>智械发条</x:v>
      </x:c>
      <x:c r="D37" s="17" t="n">
        <x:v>10</x:v>
      </x:c>
      <x:c r="E37" s="13" t="n">
        <x:f>'道具价值基准'!E87</x:f>
        <x:v>150</x:v>
      </x:c>
      <x:c r="F37" s="13"/>
      <x:c r="G37" s="13" t="n">
        <x:f>IF(AND(ISNUMBER(D37),ISNUMBER(E37)),D37*E37,"待补")</x:f>
        <x:v>1500</x:v>
      </x:c>
      <x:c r="H37" s="12" t="str">
        <x:v>统一道具字典</x:v>
      </x:c>
      <x:c r="I37" s="12" t="str"/>
      <x:c r="J37" s="12" t="str">
        <x:v>主/日周月礼包!第44行</x:v>
      </x:c>
    </x:row>
    <x:row r="38" ht="52" customHeight="1">
      <x:c r="A38" s="4" t="str">
        <x:v>P034</x:v>
      </x:c>
      <x:c r="B38" s="4" t="str">
        <x:v>周礼包/精密齿轮/45</x:v>
      </x:c>
      <x:c r="C38" s="4" t="str">
        <x:v>精密齿轮</x:v>
      </x:c>
      <x:c r="D38" s="18" t="n">
        <x:v>300</x:v>
      </x:c>
      <x:c r="E38" s="14" t="n">
        <x:f>'道具价值基准'!E88</x:f>
        <x:v>1</x:v>
      </x:c>
      <x:c r="F38" s="14"/>
      <x:c r="G38" s="14" t="n">
        <x:f>IF(AND(ISNUMBER(D38),ISNUMBER(E38)),D38*E38,"待补")</x:f>
        <x:v>300</x:v>
      </x:c>
      <x:c r="H38" s="4" t="str">
        <x:v>统一道具字典</x:v>
      </x:c>
      <x:c r="I38" s="4" t="str"/>
      <x:c r="J38" s="4" t="str">
        <x:v>主/日周月礼包!第45行</x:v>
      </x:c>
    </x:row>
    <x:row r="39" ht="52" customHeight="1">
      <x:c r="A39" s="12" t="str">
        <x:v>P035</x:v>
      </x:c>
      <x:c r="B39" s="12" t="str">
        <x:v>周礼包/随机史诗藏品/46</x:v>
      </x:c>
      <x:c r="C39" s="12" t="str">
        <x:v>随机史诗藏品</x:v>
      </x:c>
      <x:c r="D39" s="17" t="n">
        <x:v>1</x:v>
      </x:c>
      <x:c r="E39" s="13" t="n">
        <x:f>'道具价值基准'!E179</x:f>
        <x:v>2400</x:v>
      </x:c>
      <x:c r="F39" s="13" t="n">
        <x:v>2400</x:v>
      </x:c>
      <x:c r="G39" s="13" t="n">
        <x:f>IF(AND(ISNUMBER(D39),ISNUMBER(E39)),D39*E39,"待补")</x:f>
        <x:v>2400</x:v>
      </x:c>
      <x:c r="H39" s="12" t="str">
        <x:v>统一道具字典</x:v>
      </x:c>
      <x:c r="I39" s="12" t="str"/>
      <x:c r="J39" s="12" t="str">
        <x:v>主/日周月礼包!第46行</x:v>
      </x:c>
    </x:row>
    <x:row r="40" ht="52" customHeight="1">
      <x:c r="A40" s="4" t="str">
        <x:v>P036</x:v>
      </x:c>
      <x:c r="B40" s="4" t="str">
        <x:v>周礼包/万象自选宝盒Ⅰ/47</x:v>
      </x:c>
      <x:c r="C40" s="4" t="str">
        <x:v>万象自选宝盒Ⅰ</x:v>
      </x:c>
      <x:c r="D40" s="18" t="n">
        <x:v>1</x:v>
      </x:c>
      <x:c r="E40" s="14"/>
      <x:c r="F40" s="14" t="n">
        <x:v>6000</x:v>
      </x:c>
      <x:c r="G40" s="14" t="str">
        <x:f>IF(AND(ISNUMBER(D40),ISNUMBER(E40)),D40*E40,"待补")</x:f>
        <x:v>待补</x:v>
      </x:c>
      <x:c r="H40" s="4" t="str">
        <x:v>缺统一估值</x:v>
      </x:c>
      <x:c r="I40" s="4" t="str"/>
      <x:c r="J40" s="4" t="str">
        <x:v>主/日周月礼包!第47行</x:v>
      </x:c>
    </x:row>
    <x:row r="41" ht="52" customHeight="1">
      <x:c r="A41" s="12" t="str">
        <x:v>P037</x:v>
      </x:c>
      <x:c r="B41" s="12" t="str">
        <x:v>月礼包/体力/52</x:v>
      </x:c>
      <x:c r="C41" s="12" t="str">
        <x:v>体力</x:v>
      </x:c>
      <x:c r="D41" s="17" t="n">
        <x:v>10</x:v>
      </x:c>
      <x:c r="E41" s="13" t="n">
        <x:f>'道具价值基准'!E9</x:f>
        <x:v>2</x:v>
      </x:c>
      <x:c r="F41" s="13"/>
      <x:c r="G41" s="13" t="n">
        <x:f>IF(AND(ISNUMBER(D41),ISNUMBER(E41)),D41*E41,"待补")</x:f>
        <x:v>20</x:v>
      </x:c>
      <x:c r="H41" s="12" t="str">
        <x:v>统一道具字典</x:v>
      </x:c>
      <x:c r="I41" s="12" t="str"/>
      <x:c r="J41" s="12" t="str">
        <x:v>主/日周月礼包!第52行</x:v>
      </x:c>
    </x:row>
    <x:row r="42" ht="52" customHeight="1">
      <x:c r="A42" s="4" t="str">
        <x:v>P038</x:v>
      </x:c>
      <x:c r="B42" s="4" t="str">
        <x:v>月礼包/体力/53</x:v>
      </x:c>
      <x:c r="C42" s="4" t="str">
        <x:v>体力</x:v>
      </x:c>
      <x:c r="D42" s="18" t="n">
        <x:v>10</x:v>
      </x:c>
      <x:c r="E42" s="14" t="n">
        <x:f>'道具价值基准'!E9</x:f>
        <x:v>2</x:v>
      </x:c>
      <x:c r="F42" s="14"/>
      <x:c r="G42" s="14" t="n">
        <x:f>IF(AND(ISNUMBER(D42),ISNUMBER(E42)),D42*E42,"待补")</x:f>
        <x:v>20</x:v>
      </x:c>
      <x:c r="H42" s="4" t="str">
        <x:v>统一道具字典</x:v>
      </x:c>
      <x:c r="I42" s="4" t="str"/>
      <x:c r="J42" s="4" t="str">
        <x:v>主/日周月礼包!第53行</x:v>
      </x:c>
    </x:row>
    <x:row r="43" ht="52" customHeight="1">
      <x:c r="A43" s="12" t="str">
        <x:v>P039</x:v>
      </x:c>
      <x:c r="B43" s="12" t="str">
        <x:v>月礼包/梦境招募器/54</x:v>
      </x:c>
      <x:c r="C43" s="12" t="str">
        <x:v>梦境招募器</x:v>
      </x:c>
      <x:c r="D43" s="17" t="n">
        <x:v>50</x:v>
      </x:c>
      <x:c r="E43" s="13" t="n">
        <x:f>'道具价值基准'!E101</x:f>
        <x:v>30</x:v>
      </x:c>
      <x:c r="F43" s="13"/>
      <x:c r="G43" s="13" t="n">
        <x:f>IF(AND(ISNUMBER(D43),ISNUMBER(E43)),D43*E43,"待补")</x:f>
        <x:v>1500</x:v>
      </x:c>
      <x:c r="H43" s="12" t="str">
        <x:v>统一道具字典</x:v>
      </x:c>
      <x:c r="I43" s="12" t="str"/>
      <x:c r="J43" s="12" t="str">
        <x:v>主/日周月礼包!第54行</x:v>
      </x:c>
    </x:row>
    <x:row r="44" ht="52" customHeight="1">
      <x:c r="A44" s="4" t="str">
        <x:v>P040</x:v>
      </x:c>
      <x:c r="B44" s="4" t="str">
        <x:v>月礼包/梦境招募器/55</x:v>
      </x:c>
      <x:c r="C44" s="4" t="str">
        <x:v>梦境招募器</x:v>
      </x:c>
      <x:c r="D44" s="18" t="n">
        <x:v>200</x:v>
      </x:c>
      <x:c r="E44" s="14" t="n">
        <x:f>'道具价值基准'!E101</x:f>
        <x:v>30</x:v>
      </x:c>
      <x:c r="F44" s="14"/>
      <x:c r="G44" s="14" t="n">
        <x:f>IF(AND(ISNUMBER(D44),ISNUMBER(E44)),D44*E44,"待补")</x:f>
        <x:v>6000</x:v>
      </x:c>
      <x:c r="H44" s="4" t="str">
        <x:v>统一道具字典</x:v>
      </x:c>
      <x:c r="I44" s="4" t="str"/>
      <x:c r="J44" s="4" t="str">
        <x:v>主/日周月礼包!第55行</x:v>
      </x:c>
    </x:row>
    <x:row r="45" ht="52" customHeight="1">
      <x:c r="A45" s="12" t="str">
        <x:v>P041</x:v>
      </x:c>
      <x:c r="B45" s="12" t="str">
        <x:v>月礼包/超能特饮/56</x:v>
      </x:c>
      <x:c r="C45" s="12" t="str">
        <x:v>超能特饮</x:v>
      </x:c>
      <x:c r="D45" s="17" t="n">
        <x:v>1000</x:v>
      </x:c>
      <x:c r="E45" s="13" t="n">
        <x:f>'道具价值基准'!E15</x:f>
        <x:v>2</x:v>
      </x:c>
      <x:c r="F45" s="13"/>
      <x:c r="G45" s="13" t="n">
        <x:f>IF(AND(ISNUMBER(D45),ISNUMBER(E45)),D45*E45,"待补")</x:f>
        <x:v>2000</x:v>
      </x:c>
      <x:c r="H45" s="12" t="str">
        <x:v>统一道具字典</x:v>
      </x:c>
      <x:c r="I45" s="12" t="str"/>
      <x:c r="J45" s="12" t="str">
        <x:v>主/日周月礼包!第56行</x:v>
      </x:c>
    </x:row>
    <x:row r="46" ht="52" customHeight="1">
      <x:c r="A46" s="4" t="str">
        <x:v>P042</x:v>
      </x:c>
      <x:c r="B46" s="4" t="str">
        <x:v>月礼包/装备图纸/57</x:v>
      </x:c>
      <x:c r="C46" s="4" t="str">
        <x:v>装备图纸</x:v>
      </x:c>
      <x:c r="D46" s="18" t="n">
        <x:v>400</x:v>
      </x:c>
      <x:c r="E46" s="14" t="n">
        <x:f>'道具价值基准'!E32</x:f>
        <x:v>3</x:v>
      </x:c>
      <x:c r="F46" s="14"/>
      <x:c r="G46" s="14" t="n">
        <x:f>IF(AND(ISNUMBER(D46),ISNUMBER(E46)),D46*E46,"待补")</x:f>
        <x:v>1200</x:v>
      </x:c>
      <x:c r="H46" s="4" t="str">
        <x:v>统一道具字典</x:v>
      </x:c>
      <x:c r="I46" s="4" t="str"/>
      <x:c r="J46" s="4" t="str">
        <x:v>主/日周月礼包!第57行</x:v>
      </x:c>
    </x:row>
    <x:row r="47" ht="52" customHeight="1">
      <x:c r="A47" s="12" t="str">
        <x:v>P043</x:v>
      </x:c>
      <x:c r="B47" s="12" t="str">
        <x:v>月礼包/幻梦晶核/58</x:v>
      </x:c>
      <x:c r="C47" s="12" t="str">
        <x:v>幻梦晶核</x:v>
      </x:c>
      <x:c r="D47" s="17" t="n">
        <x:v>30</x:v>
      </x:c>
      <x:c r="E47" s="13" t="n">
        <x:f>'道具价值基准'!E36</x:f>
        <x:v>60</x:v>
      </x:c>
      <x:c r="F47" s="13"/>
      <x:c r="G47" s="13" t="n">
        <x:f>IF(AND(ISNUMBER(D47),ISNUMBER(E47)),D47*E47,"待补")</x:f>
        <x:v>1800</x:v>
      </x:c>
      <x:c r="H47" s="12" t="str">
        <x:v>统一道具字典</x:v>
      </x:c>
      <x:c r="I47" s="12" t="str"/>
      <x:c r="J47" s="12" t="str">
        <x:v>主/日周月礼包!第58行</x:v>
      </x:c>
    </x:row>
    <x:row r="48" ht="52" customHeight="1">
      <x:c r="A48" s="4" t="str">
        <x:v>P044</x:v>
      </x:c>
      <x:c r="B48" s="4" t="str">
        <x:v>月礼包/幻梦晶核/59</x:v>
      </x:c>
      <x:c r="C48" s="4" t="str">
        <x:v>幻梦晶核</x:v>
      </x:c>
      <x:c r="D48" s="18" t="n">
        <x:v>130</x:v>
      </x:c>
      <x:c r="E48" s="14" t="n">
        <x:f>'道具价值基准'!E36</x:f>
        <x:v>60</x:v>
      </x:c>
      <x:c r="F48" s="14"/>
      <x:c r="G48" s="14" t="n">
        <x:f>IF(AND(ISNUMBER(D48),ISNUMBER(E48)),D48*E48,"待补")</x:f>
        <x:v>7800</x:v>
      </x:c>
      <x:c r="H48" s="4" t="str">
        <x:v>统一道具字典</x:v>
      </x:c>
      <x:c r="I48" s="4" t="str"/>
      <x:c r="J48" s="4" t="str">
        <x:v>主/日周月礼包!第59行</x:v>
      </x:c>
    </x:row>
    <x:row r="49" ht="52" customHeight="1">
      <x:c r="A49" s="12" t="str">
        <x:v>P045</x:v>
      </x:c>
      <x:c r="B49" s="12" t="str">
        <x:v>月礼包/绮梦衣橱盒Ⅰ/60</x:v>
      </x:c>
      <x:c r="C49" s="12" t="str">
        <x:v>绮梦衣橱盒Ⅰ</x:v>
      </x:c>
      <x:c r="D49" s="17" t="n">
        <x:v>1</x:v>
      </x:c>
      <x:c r="E49" s="13"/>
      <x:c r="F49" s="13"/>
      <x:c r="G49" s="13" t="str">
        <x:f>IF(AND(ISNUMBER(D49),ISNUMBER(E49)),D49*E49,"待补")</x:f>
        <x:v>待补</x:v>
      </x:c>
      <x:c r="H49" s="12" t="str">
        <x:v>缺统一估值</x:v>
      </x:c>
      <x:c r="I49" s="12" t="str"/>
      <x:c r="J49" s="12" t="str">
        <x:v>主/日周月礼包!第60行</x:v>
      </x:c>
    </x:row>
    <x:row r="50" ht="52" customHeight="1">
      <x:c r="A50" s="4" t="str">
        <x:v>P046</x:v>
      </x:c>
      <x:c r="B50" s="4" t="str">
        <x:v>月礼包/星辉秘契/61</x:v>
      </x:c>
      <x:c r="C50" s="4" t="str">
        <x:v>星辉秘契</x:v>
      </x:c>
      <x:c r="D50" s="18" t="n">
        <x:v>10</x:v>
      </x:c>
      <x:c r="E50" s="14" t="n">
        <x:f>'道具价值基准'!E104</x:f>
        <x:v>280</x:v>
      </x:c>
      <x:c r="F50" s="14"/>
      <x:c r="G50" s="14" t="n">
        <x:f>IF(AND(ISNUMBER(D50),ISNUMBER(E50)),D50*E50,"待补")</x:f>
        <x:v>2800</x:v>
      </x:c>
      <x:c r="H50" s="4" t="str">
        <x:v>统一道具字典</x:v>
      </x:c>
      <x:c r="I50" s="4" t="str"/>
      <x:c r="J50" s="4" t="str">
        <x:v>主/日周月礼包!第61行</x:v>
      </x:c>
    </x:row>
    <x:row r="51" ht="52" customHeight="1">
      <x:c r="A51" s="12" t="str">
        <x:v>P047</x:v>
      </x:c>
      <x:c r="B51" s="12" t="str">
        <x:v>月礼包/星辉秘契/62</x:v>
      </x:c>
      <x:c r="C51" s="12" t="str">
        <x:v>星辉秘契</x:v>
      </x:c>
      <x:c r="D51" s="17" t="n">
        <x:v>40</x:v>
      </x:c>
      <x:c r="E51" s="13" t="n">
        <x:f>'道具价值基准'!E104</x:f>
        <x:v>280</x:v>
      </x:c>
      <x:c r="F51" s="13"/>
      <x:c r="G51" s="13" t="n">
        <x:f>IF(AND(ISNUMBER(D51),ISNUMBER(E51)),D51*E51,"待补")</x:f>
        <x:v>11200</x:v>
      </x:c>
      <x:c r="H51" s="12" t="str">
        <x:v>统一道具字典</x:v>
      </x:c>
      <x:c r="I51" s="12" t="str"/>
      <x:c r="J51" s="12" t="str">
        <x:v>主/日周月礼包!第62行</x:v>
      </x:c>
    </x:row>
    <x:row r="52" ht="52" customHeight="1">
      <x:c r="A52" s="4" t="str">
        <x:v>P048</x:v>
      </x:c>
      <x:c r="B52" s="4" t="str">
        <x:v>月礼包/传说符文/63</x:v>
      </x:c>
      <x:c r="C52" s="4" t="str">
        <x:v>传说符文</x:v>
      </x:c>
      <x:c r="D52" s="18" t="n">
        <x:v>1</x:v>
      </x:c>
      <x:c r="E52" s="14" t="n">
        <x:f>'道具价值基准'!E44</x:f>
        <x:v>4096</x:v>
      </x:c>
      <x:c r="F52" s="14"/>
      <x:c r="G52" s="14" t="n">
        <x:f>IF(AND(ISNUMBER(D52),ISNUMBER(E52)),D52*E52,"待补")</x:f>
        <x:v>4096</x:v>
      </x:c>
      <x:c r="H52" s="4" t="str">
        <x:v>统一道具字典</x:v>
      </x:c>
      <x:c r="I52" s="4" t="str"/>
      <x:c r="J52" s="4" t="str">
        <x:v>主/日周月礼包!第63行</x:v>
      </x:c>
    </x:row>
    <x:row r="53" ht="52" customHeight="1">
      <x:c r="A53" s="12" t="str">
        <x:v>P049</x:v>
      </x:c>
      <x:c r="B53" s="12" t="str">
        <x:v>月礼包/神话符文/64</x:v>
      </x:c>
      <x:c r="C53" s="12" t="str">
        <x:v>神话符文</x:v>
      </x:c>
      <x:c r="D53" s="17" t="n">
        <x:v>1</x:v>
      </x:c>
      <x:c r="E53" s="13" t="n">
        <x:f>'道具价值基准'!E45</x:f>
        <x:v>16384</x:v>
      </x:c>
      <x:c r="F53" s="13"/>
      <x:c r="G53" s="13" t="n">
        <x:f>IF(AND(ISNUMBER(D53),ISNUMBER(E53)),D53*E53,"待补")</x:f>
        <x:v>16384</x:v>
      </x:c>
      <x:c r="H53" s="12" t="str">
        <x:v>统一道具字典</x:v>
      </x:c>
      <x:c r="I53" s="12" t="str"/>
      <x:c r="J53" s="12" t="str">
        <x:v>主/日周月礼包!第64行</x:v>
      </x:c>
    </x:row>
    <x:row r="54" ht="52" customHeight="1">
      <x:c r="A54" s="4" t="str">
        <x:v>P050</x:v>
      </x:c>
      <x:c r="B54" s="4" t="str">
        <x:v>月礼包/转运石/65</x:v>
      </x:c>
      <x:c r="C54" s="4" t="str">
        <x:v>转运石</x:v>
      </x:c>
      <x:c r="D54" s="18" t="n">
        <x:v>10000</x:v>
      </x:c>
      <x:c r="E54" s="14" t="n">
        <x:f>'道具价值基准'!E98</x:f>
        <x:v>0.33</x:v>
      </x:c>
      <x:c r="F54" s="14"/>
      <x:c r="G54" s="14" t="n">
        <x:f>IF(AND(ISNUMBER(D54),ISNUMBER(E54)),D54*E54,"待补")</x:f>
        <x:v>3300</x:v>
      </x:c>
      <x:c r="H54" s="4" t="str">
        <x:v>统一道具字典</x:v>
      </x:c>
      <x:c r="I54" s="4" t="str"/>
      <x:c r="J54" s="4" t="str">
        <x:v>主/日周月礼包!第65行</x:v>
      </x:c>
    </x:row>
    <x:row r="55" ht="52" customHeight="1">
      <x:c r="A55" s="12" t="str">
        <x:v>P051</x:v>
      </x:c>
      <x:c r="B55" s="12" t="str">
        <x:v>月礼包/智械发条/66</x:v>
      </x:c>
      <x:c r="C55" s="12" t="str">
        <x:v>智械发条</x:v>
      </x:c>
      <x:c r="D55" s="17" t="n">
        <x:v>10</x:v>
      </x:c>
      <x:c r="E55" s="13" t="n">
        <x:f>'道具价值基准'!E87</x:f>
        <x:v>150</x:v>
      </x:c>
      <x:c r="F55" s="13"/>
      <x:c r="G55" s="13" t="n">
        <x:f>IF(AND(ISNUMBER(D55),ISNUMBER(E55)),D55*E55,"待补")</x:f>
        <x:v>1500</x:v>
      </x:c>
      <x:c r="H55" s="12" t="str">
        <x:v>统一道具字典</x:v>
      </x:c>
      <x:c r="I55" s="12" t="str"/>
      <x:c r="J55" s="12" t="str">
        <x:v>主/日周月礼包!第66行</x:v>
      </x:c>
    </x:row>
    <x:row r="56" ht="52" customHeight="1">
      <x:c r="A56" s="4" t="str">
        <x:v>P052</x:v>
      </x:c>
      <x:c r="B56" s="4" t="str">
        <x:v>月礼包/智械发条/67</x:v>
      </x:c>
      <x:c r="C56" s="4" t="str">
        <x:v>智械发条</x:v>
      </x:c>
      <x:c r="D56" s="18" t="n">
        <x:v>20</x:v>
      </x:c>
      <x:c r="E56" s="14" t="n">
        <x:f>'道具价值基准'!E87</x:f>
        <x:v>150</x:v>
      </x:c>
      <x:c r="F56" s="14"/>
      <x:c r="G56" s="14" t="n">
        <x:f>IF(AND(ISNUMBER(D56),ISNUMBER(E56)),D56*E56,"待补")</x:f>
        <x:v>3000</x:v>
      </x:c>
      <x:c r="H56" s="4" t="str">
        <x:v>统一道具字典</x:v>
      </x:c>
      <x:c r="I56" s="4" t="str"/>
      <x:c r="J56" s="4" t="str">
        <x:v>主/日周月礼包!第67行</x:v>
      </x:c>
    </x:row>
    <x:row r="57" ht="52" customHeight="1">
      <x:c r="A57" s="12" t="str">
        <x:v>P053</x:v>
      </x:c>
      <x:c r="B57" s="12" t="str">
        <x:v>月礼包/精密齿轮/68</x:v>
      </x:c>
      <x:c r="C57" s="12" t="str">
        <x:v>精密齿轮</x:v>
      </x:c>
      <x:c r="D57" s="17" t="n">
        <x:v>1000</x:v>
      </x:c>
      <x:c r="E57" s="13" t="n">
        <x:f>'道具价值基准'!E88</x:f>
        <x:v>1</x:v>
      </x:c>
      <x:c r="F57" s="13"/>
      <x:c r="G57" s="13" t="n">
        <x:f>IF(AND(ISNUMBER(D57),ISNUMBER(E57)),D57*E57,"待补")</x:f>
        <x:v>1000</x:v>
      </x:c>
      <x:c r="H57" s="12" t="str">
        <x:v>统一道具字典</x:v>
      </x:c>
      <x:c r="I57" s="12" t="str"/>
      <x:c r="J57" s="12" t="str">
        <x:v>主/日周月礼包!第68行</x:v>
      </x:c>
    </x:row>
    <x:row r="58" ht="52" customHeight="1">
      <x:c r="A58" s="4" t="str">
        <x:v>P054</x:v>
      </x:c>
      <x:c r="B58" s="4" t="str">
        <x:v>月礼包/怦怦时刻/69</x:v>
      </x:c>
      <x:c r="C58" s="4" t="str">
        <x:v>怦怦时刻</x:v>
      </x:c>
      <x:c r="D58" s="18" t="n">
        <x:v>4800</x:v>
      </x:c>
      <x:c r="E58" s="14" t="n">
        <x:f>'道具价值基准'!E148</x:f>
        <x:v>4800</x:v>
      </x:c>
      <x:c r="F58" s="14" t="n">
        <x:v>1</x:v>
      </x:c>
      <x:c r="G58" s="14" t="n">
        <x:f>IF(AND(ISNUMBER(D58),ISNUMBER(E58)),D58*E58,"待补")</x:f>
        <x:v>23040000</x:v>
      </x:c>
      <x:c r="H58" s="4" t="str">
        <x:v>统一道具字典</x:v>
      </x:c>
      <x:c r="I58" s="4" t="str">
        <x:v>活动单价1，统一字典4800</x:v>
      </x:c>
      <x:c r="J58" s="4" t="str">
        <x:v>主/日周月礼包!第69行</x:v>
      </x:c>
    </x:row>
    <x:row r="59" ht="52" customHeight="1">
      <x:c r="A59" s="12" t="str">
        <x:v>P055</x:v>
      </x:c>
      <x:c r="B59" s="12" t="str">
        <x:v>每日特惠1元</x:v>
      </x:c>
      <x:c r="C59" s="12" t="str">
        <x:v>体力</x:v>
      </x:c>
      <x:c r="D59" s="17" t="n">
        <x:v>10</x:v>
      </x:c>
      <x:c r="E59" s="13" t="n">
        <x:f>'道具价值基准'!E9</x:f>
        <x:v>2</x:v>
      </x:c>
      <x:c r="F59" s="13"/>
      <x:c r="G59" s="13" t="n">
        <x:f>IF(AND(ISNUMBER(D59),ISNUMBER(E59)),D59*E59,"待补")</x:f>
        <x:v>20</x:v>
      </x:c>
      <x:c r="H59" s="12" t="str">
        <x:v>统一道具字典</x:v>
      </x:c>
      <x:c r="I59" s="12" t="str"/>
      <x:c r="J59" s="12" t="str">
        <x:v>主/特惠+充值!B10:I13</x:v>
      </x:c>
    </x:row>
    <x:row r="60" ht="52" customHeight="1">
      <x:c r="A60" s="4" t="str">
        <x:v>P055</x:v>
      </x:c>
      <x:c r="B60" s="4" t="str">
        <x:v>每日特惠1元</x:v>
      </x:c>
      <x:c r="C60" s="4" t="str">
        <x:v>梦境招募器</x:v>
      </x:c>
      <x:c r="D60" s="18" t="n">
        <x:v>5</x:v>
      </x:c>
      <x:c r="E60" s="14" t="n">
        <x:f>'道具价值基准'!E101</x:f>
        <x:v>30</x:v>
      </x:c>
      <x:c r="F60" s="14"/>
      <x:c r="G60" s="14" t="n">
        <x:f>IF(AND(ISNUMBER(D60),ISNUMBER(E60)),D60*E60,"待补")</x:f>
        <x:v>150</x:v>
      </x:c>
      <x:c r="H60" s="4" t="str">
        <x:v>统一道具字典</x:v>
      </x:c>
      <x:c r="I60" s="4" t="str"/>
      <x:c r="J60" s="4" t="str">
        <x:v>主/特惠+充值!B10:I13</x:v>
      </x:c>
    </x:row>
    <x:row r="61" ht="52" customHeight="1">
      <x:c r="A61" s="12" t="str">
        <x:v>P055</x:v>
      </x:c>
      <x:c r="B61" s="12" t="str">
        <x:v>每日特惠1元</x:v>
      </x:c>
      <x:c r="C61" s="12" t="str">
        <x:v>梦境奇迹宝箱</x:v>
      </x:c>
      <x:c r="D61" s="17" t="n">
        <x:v>1</x:v>
      </x:c>
      <x:c r="E61" s="13" t="n">
        <x:f>'道具价值基准'!E10</x:f>
        <x:v>10</x:v>
      </x:c>
      <x:c r="F61" s="13" t="n">
        <x:v>80</x:v>
      </x:c>
      <x:c r="G61" s="13" t="n">
        <x:f>IF(AND(ISNUMBER(D61),ISNUMBER(E61)),D61*E61,"待补")</x:f>
        <x:v>10</x:v>
      </x:c>
      <x:c r="H61" s="12" t="str">
        <x:v>统一道具字典</x:v>
      </x:c>
      <x:c r="I61" s="12" t="str">
        <x:v>活动单价80，统一字典10</x:v>
      </x:c>
      <x:c r="J61" s="12" t="str">
        <x:v>主/特惠+充值!B10:I13</x:v>
      </x:c>
    </x:row>
    <x:row r="62" ht="52" customHeight="1">
      <x:c r="A62" s="4" t="str">
        <x:v>P055</x:v>
      </x:c>
      <x:c r="B62" s="4" t="str">
        <x:v>每日特惠1元</x:v>
      </x:c>
      <x:c r="C62" s="4" t="str">
        <x:v>心梦宝石</x:v>
      </x:c>
      <x:c r="D62" s="18" t="n">
        <x:v>2</x:v>
      </x:c>
      <x:c r="E62" s="14" t="n">
        <x:f>'道具价值基准'!E8</x:f>
        <x:v>14</x:v>
      </x:c>
      <x:c r="F62" s="14"/>
      <x:c r="G62" s="14" t="n">
        <x:f>IF(AND(ISNUMBER(D62),ISNUMBER(E62)),D62*E62,"待补")</x:f>
        <x:v>28</x:v>
      </x:c>
      <x:c r="H62" s="4" t="str">
        <x:v>统一道具字典</x:v>
      </x:c>
      <x:c r="I62" s="4" t="str"/>
      <x:c r="J62" s="4" t="str">
        <x:v>主/特惠+充值!B10:I13</x:v>
      </x:c>
    </x:row>
    <x:row r="63" ht="52" customHeight="1">
      <x:c r="A63" s="12" t="str">
        <x:v>P056</x:v>
      </x:c>
      <x:c r="B63" s="12" t="str">
        <x:v>每日特惠6元</x:v>
      </x:c>
      <x:c r="C63" s="12" t="str">
        <x:v>体力</x:v>
      </x:c>
      <x:c r="D63" s="17" t="n">
        <x:v>15</x:v>
      </x:c>
      <x:c r="E63" s="13" t="n">
        <x:f>'道具价值基准'!E9</x:f>
        <x:v>2</x:v>
      </x:c>
      <x:c r="F63" s="13"/>
      <x:c r="G63" s="13" t="n">
        <x:f>IF(AND(ISNUMBER(D63),ISNUMBER(E63)),D63*E63,"待补")</x:f>
        <x:v>30</x:v>
      </x:c>
      <x:c r="H63" s="12" t="str">
        <x:v>统一道具字典</x:v>
      </x:c>
      <x:c r="I63" s="12" t="str"/>
      <x:c r="J63" s="12" t="str">
        <x:v>主/特惠+充值!B17:I20</x:v>
      </x:c>
    </x:row>
    <x:row r="64" ht="52" customHeight="1">
      <x:c r="A64" s="4" t="str">
        <x:v>P056</x:v>
      </x:c>
      <x:c r="B64" s="4" t="str">
        <x:v>每日特惠6元</x:v>
      </x:c>
      <x:c r="C64" s="4" t="str">
        <x:v>梦境招募器</x:v>
      </x:c>
      <x:c r="D64" s="18" t="n">
        <x:v>15</x:v>
      </x:c>
      <x:c r="E64" s="14" t="n">
        <x:f>'道具价值基准'!E101</x:f>
        <x:v>30</x:v>
      </x:c>
      <x:c r="F64" s="14"/>
      <x:c r="G64" s="14" t="n">
        <x:f>IF(AND(ISNUMBER(D64),ISNUMBER(E64)),D64*E64,"待补")</x:f>
        <x:v>450</x:v>
      </x:c>
      <x:c r="H64" s="4" t="str">
        <x:v>统一道具字典</x:v>
      </x:c>
      <x:c r="I64" s="4" t="str"/>
      <x:c r="J64" s="4" t="str">
        <x:v>主/特惠+充值!B17:I20</x:v>
      </x:c>
    </x:row>
    <x:row r="65" ht="52" customHeight="1">
      <x:c r="A65" s="12" t="str">
        <x:v>P056</x:v>
      </x:c>
      <x:c r="B65" s="12" t="str">
        <x:v>每日特惠6元</x:v>
      </x:c>
      <x:c r="C65" s="12" t="str">
        <x:v>梦境奇迹宝箱</x:v>
      </x:c>
      <x:c r="D65" s="17" t="n">
        <x:v>2</x:v>
      </x:c>
      <x:c r="E65" s="13" t="n">
        <x:f>'道具价值基准'!E10</x:f>
        <x:v>10</x:v>
      </x:c>
      <x:c r="F65" s="13" t="n">
        <x:v>80</x:v>
      </x:c>
      <x:c r="G65" s="13" t="n">
        <x:f>IF(AND(ISNUMBER(D65),ISNUMBER(E65)),D65*E65,"待补")</x:f>
        <x:v>20</x:v>
      </x:c>
      <x:c r="H65" s="12" t="str">
        <x:v>统一道具字典</x:v>
      </x:c>
      <x:c r="I65" s="12" t="str">
        <x:v>活动单价80，统一字典10</x:v>
      </x:c>
      <x:c r="J65" s="12" t="str">
        <x:v>主/特惠+充值!B17:I20</x:v>
      </x:c>
    </x:row>
    <x:row r="66" ht="52" customHeight="1">
      <x:c r="A66" s="4" t="str">
        <x:v>P056</x:v>
      </x:c>
      <x:c r="B66" s="4" t="str">
        <x:v>每日特惠6元</x:v>
      </x:c>
      <x:c r="C66" s="4" t="str">
        <x:v>心梦宝石</x:v>
      </x:c>
      <x:c r="D66" s="18" t="n">
        <x:v>6</x:v>
      </x:c>
      <x:c r="E66" s="14" t="n">
        <x:f>'道具价值基准'!E8</x:f>
        <x:v>14</x:v>
      </x:c>
      <x:c r="F66" s="14"/>
      <x:c r="G66" s="14" t="n">
        <x:f>IF(AND(ISNUMBER(D66),ISNUMBER(E66)),D66*E66,"待补")</x:f>
        <x:v>84</x:v>
      </x:c>
      <x:c r="H66" s="4" t="str">
        <x:v>统一道具字典</x:v>
      </x:c>
      <x:c r="I66" s="4" t="str"/>
      <x:c r="J66" s="4" t="str">
        <x:v>主/特惠+充值!B17:I20</x:v>
      </x:c>
    </x:row>
    <x:row r="67" ht="52" customHeight="1">
      <x:c r="A67" s="12" t="str">
        <x:v>P057</x:v>
      </x:c>
      <x:c r="B67" s="12" t="str">
        <x:v>每日特惠18元</x:v>
      </x:c>
      <x:c r="C67" s="12" t="str">
        <x:v>体力</x:v>
      </x:c>
      <x:c r="D67" s="17" t="n">
        <x:v>25</x:v>
      </x:c>
      <x:c r="E67" s="13" t="n">
        <x:f>'道具价值基准'!E9</x:f>
        <x:v>2</x:v>
      </x:c>
      <x:c r="F67" s="13"/>
      <x:c r="G67" s="13" t="n">
        <x:f>IF(AND(ISNUMBER(D67),ISNUMBER(E67)),D67*E67,"待补")</x:f>
        <x:v>50</x:v>
      </x:c>
      <x:c r="H67" s="12" t="str">
        <x:v>统一道具字典</x:v>
      </x:c>
      <x:c r="I67" s="12" t="str"/>
      <x:c r="J67" s="12" t="str">
        <x:v>主/特惠+充值!B24:I27</x:v>
      </x:c>
    </x:row>
    <x:row r="68" ht="52" customHeight="1">
      <x:c r="A68" s="4" t="str">
        <x:v>P057</x:v>
      </x:c>
      <x:c r="B68" s="4" t="str">
        <x:v>每日特惠18元</x:v>
      </x:c>
      <x:c r="C68" s="4" t="str">
        <x:v>星辉秘契</x:v>
      </x:c>
      <x:c r="D68" s="18" t="n">
        <x:v>2</x:v>
      </x:c>
      <x:c r="E68" s="14" t="n">
        <x:f>'道具价值基准'!E104</x:f>
        <x:v>280</x:v>
      </x:c>
      <x:c r="F68" s="14"/>
      <x:c r="G68" s="14" t="n">
        <x:f>IF(AND(ISNUMBER(D68),ISNUMBER(E68)),D68*E68,"待补")</x:f>
        <x:v>560</x:v>
      </x:c>
      <x:c r="H68" s="4" t="str">
        <x:v>统一道具字典</x:v>
      </x:c>
      <x:c r="I68" s="4" t="str"/>
      <x:c r="J68" s="4" t="str">
        <x:v>主/特惠+充值!B24:I27</x:v>
      </x:c>
    </x:row>
    <x:row r="69" ht="52" customHeight="1">
      <x:c r="A69" s="12" t="str">
        <x:v>P057</x:v>
      </x:c>
      <x:c r="B69" s="12" t="str">
        <x:v>每日特惠18元</x:v>
      </x:c>
      <x:c r="C69" s="12" t="str">
        <x:v>梦境奇迹宝箱</x:v>
      </x:c>
      <x:c r="D69" s="17" t="n">
        <x:v>3</x:v>
      </x:c>
      <x:c r="E69" s="13" t="n">
        <x:f>'道具价值基准'!E10</x:f>
        <x:v>10</x:v>
      </x:c>
      <x:c r="F69" s="13" t="n">
        <x:v>80</x:v>
      </x:c>
      <x:c r="G69" s="13" t="n">
        <x:f>IF(AND(ISNUMBER(D69),ISNUMBER(E69)),D69*E69,"待补")</x:f>
        <x:v>30</x:v>
      </x:c>
      <x:c r="H69" s="12" t="str">
        <x:v>统一道具字典</x:v>
      </x:c>
      <x:c r="I69" s="12" t="str">
        <x:v>活动单价80，统一字典10</x:v>
      </x:c>
      <x:c r="J69" s="12" t="str">
        <x:v>主/特惠+充值!B24:I27</x:v>
      </x:c>
    </x:row>
    <x:row r="70" ht="52" customHeight="1">
      <x:c r="A70" s="4" t="str">
        <x:v>P057</x:v>
      </x:c>
      <x:c r="B70" s="4" t="str">
        <x:v>每日特惠18元</x:v>
      </x:c>
      <x:c r="C70" s="4" t="str">
        <x:v>心梦宝石</x:v>
      </x:c>
      <x:c r="D70" s="18" t="n">
        <x:v>15</x:v>
      </x:c>
      <x:c r="E70" s="14" t="n">
        <x:f>'道具价值基准'!E8</x:f>
        <x:v>14</x:v>
      </x:c>
      <x:c r="F70" s="14"/>
      <x:c r="G70" s="14" t="n">
        <x:f>IF(AND(ISNUMBER(D70),ISNUMBER(E70)),D70*E70,"待补")</x:f>
        <x:v>210</x:v>
      </x:c>
      <x:c r="H70" s="4" t="str">
        <x:v>统一道具字典</x:v>
      </x:c>
      <x:c r="I70" s="4" t="str"/>
      <x:c r="J70" s="4" t="str">
        <x:v>主/特惠+充值!B24:I27</x:v>
      </x:c>
    </x:row>
    <x:row r="71" ht="52" customHeight="1">
      <x:c r="A71" s="12" t="str">
        <x:v>P058</x:v>
      </x:c>
      <x:c r="B71" s="12" t="str">
        <x:v>推送礼包1/现列价格</x:v>
      </x:c>
      <x:c r="C71" s="12" t="str">
        <x:v>梦境招募器</x:v>
      </x:c>
      <x:c r="D71" s="17" t="n">
        <x:v>25</x:v>
      </x:c>
      <x:c r="E71" s="13" t="n">
        <x:f>'道具价值基准'!E101</x:f>
        <x:v>30</x:v>
      </x:c>
      <x:c r="F71" s="13"/>
      <x:c r="G71" s="13" t="n">
        <x:f>IF(AND(ISNUMBER(D71),ISNUMBER(E71)),D71*E71,"待补")</x:f>
        <x:v>750</x:v>
      </x:c>
      <x:c r="H71" s="12" t="str">
        <x:v>统一道具字典</x:v>
      </x:c>
      <x:c r="I71" s="12" t="str"/>
      <x:c r="J71" s="12" t="str">
        <x:v>主/特惠+充值!第90行</x:v>
      </x:c>
    </x:row>
    <x:row r="72" ht="52" customHeight="1">
      <x:c r="A72" s="4" t="str">
        <x:v>P058</x:v>
      </x:c>
      <x:c r="B72" s="4" t="str">
        <x:v>推送礼包1/现列价格</x:v>
      </x:c>
      <x:c r="C72" s="4" t="str">
        <x:v>星之初愿</x:v>
      </x:c>
      <x:c r="D72" s="18" t="n">
        <x:v>2</x:v>
      </x:c>
      <x:c r="E72" s="14" t="n">
        <x:f>'道具价值基准'!E103</x:f>
        <x:v>50</x:v>
      </x:c>
      <x:c r="F72" s="14"/>
      <x:c r="G72" s="14" t="n">
        <x:f>IF(AND(ISNUMBER(D72),ISNUMBER(E72)),D72*E72,"待补")</x:f>
        <x:v>100</x:v>
      </x:c>
      <x:c r="H72" s="4" t="str">
        <x:v>统一道具字典</x:v>
      </x:c>
      <x:c r="I72" s="4" t="str"/>
      <x:c r="J72" s="4" t="str">
        <x:v>主/特惠+充值!第90行</x:v>
      </x:c>
    </x:row>
    <x:row r="73" ht="52" customHeight="1">
      <x:c r="A73" s="12" t="str">
        <x:v>P058</x:v>
      </x:c>
      <x:c r="B73" s="12" t="str">
        <x:v>推送礼包1/现列价格</x:v>
      </x:c>
      <x:c r="C73" s="12" t="str">
        <x:v>随机能量特饮</x:v>
      </x:c>
      <x:c r="D73" s="17" t="n">
        <x:v>88</x:v>
      </x:c>
      <x:c r="E73" s="13" t="n">
        <x:f>'道具价值基准'!E14</x:f>
        <x:v>1</x:v>
      </x:c>
      <x:c r="F73" s="13"/>
      <x:c r="G73" s="13" t="n">
        <x:f>IF(AND(ISNUMBER(D73),ISNUMBER(E73)),D73*E73,"待补")</x:f>
        <x:v>88</x:v>
      </x:c>
      <x:c r="H73" s="12" t="str">
        <x:v>统一道具字典</x:v>
      </x:c>
      <x:c r="I73" s="12" t="str"/>
      <x:c r="J73" s="12" t="str">
        <x:v>主/特惠+充值!第90行</x:v>
      </x:c>
    </x:row>
    <x:row r="74" ht="52" customHeight="1">
      <x:c r="A74" s="4" t="str">
        <x:v>P059</x:v>
      </x:c>
      <x:c r="B74" s="4" t="str">
        <x:v>推送礼包2/现列价格</x:v>
      </x:c>
      <x:c r="C74" s="4" t="str">
        <x:v>梦境招募器</x:v>
      </x:c>
      <x:c r="D74" s="18" t="n">
        <x:v>50</x:v>
      </x:c>
      <x:c r="E74" s="14" t="n">
        <x:f>'道具价值基准'!E101</x:f>
        <x:v>30</x:v>
      </x:c>
      <x:c r="F74" s="14"/>
      <x:c r="G74" s="14" t="n">
        <x:f>IF(AND(ISNUMBER(D74),ISNUMBER(E74)),D74*E74,"待补")</x:f>
        <x:v>1500</x:v>
      </x:c>
      <x:c r="H74" s="4" t="str">
        <x:v>统一道具字典</x:v>
      </x:c>
      <x:c r="I74" s="4" t="str"/>
      <x:c r="J74" s="4" t="str">
        <x:v>主/特惠+充值!第91行</x:v>
      </x:c>
    </x:row>
    <x:row r="75" ht="52" customHeight="1">
      <x:c r="A75" s="12" t="str">
        <x:v>P059</x:v>
      </x:c>
      <x:c r="B75" s="12" t="str">
        <x:v>推送礼包2/现列价格</x:v>
      </x:c>
      <x:c r="C75" s="12" t="str">
        <x:v>星之初愿</x:v>
      </x:c>
      <x:c r="D75" s="17" t="n">
        <x:v>4</x:v>
      </x:c>
      <x:c r="E75" s="13" t="n">
        <x:f>'道具价值基准'!E103</x:f>
        <x:v>50</x:v>
      </x:c>
      <x:c r="F75" s="13"/>
      <x:c r="G75" s="13" t="n">
        <x:f>IF(AND(ISNUMBER(D75),ISNUMBER(E75)),D75*E75,"待补")</x:f>
        <x:v>200</x:v>
      </x:c>
      <x:c r="H75" s="12" t="str">
        <x:v>统一道具字典</x:v>
      </x:c>
      <x:c r="I75" s="12" t="str"/>
      <x:c r="J75" s="12" t="str">
        <x:v>主/特惠+充值!第91行</x:v>
      </x:c>
    </x:row>
    <x:row r="76" ht="52" customHeight="1">
      <x:c r="A76" s="4" t="str">
        <x:v>P059</x:v>
      </x:c>
      <x:c r="B76" s="4" t="str">
        <x:v>推送礼包2/现列价格</x:v>
      </x:c>
      <x:c r="C76" s="4" t="str">
        <x:v>随机能量特饮</x:v>
      </x:c>
      <x:c r="D76" s="18" t="n">
        <x:v>168</x:v>
      </x:c>
      <x:c r="E76" s="14" t="n">
        <x:f>'道具价值基准'!E14</x:f>
        <x:v>1</x:v>
      </x:c>
      <x:c r="F76" s="14"/>
      <x:c r="G76" s="14" t="n">
        <x:f>IF(AND(ISNUMBER(D76),ISNUMBER(E76)),D76*E76,"待补")</x:f>
        <x:v>168</x:v>
      </x:c>
      <x:c r="H76" s="4" t="str">
        <x:v>统一道具字典</x:v>
      </x:c>
      <x:c r="I76" s="4" t="str"/>
      <x:c r="J76" s="4" t="str">
        <x:v>主/特惠+充值!第91行</x:v>
      </x:c>
    </x:row>
    <x:row r="77" ht="52" customHeight="1">
      <x:c r="A77" s="12" t="str">
        <x:v>P060</x:v>
      </x:c>
      <x:c r="B77" s="12" t="str">
        <x:v>推送礼包3/现列价格</x:v>
      </x:c>
      <x:c r="C77" s="12" t="str">
        <x:v>梦境招募器</x:v>
      </x:c>
      <x:c r="D77" s="17" t="n">
        <x:v>100</x:v>
      </x:c>
      <x:c r="E77" s="13" t="n">
        <x:f>'道具价值基准'!E101</x:f>
        <x:v>30</x:v>
      </x:c>
      <x:c r="F77" s="13"/>
      <x:c r="G77" s="13" t="n">
        <x:f>IF(AND(ISNUMBER(D77),ISNUMBER(E77)),D77*E77,"待补")</x:f>
        <x:v>3000</x:v>
      </x:c>
      <x:c r="H77" s="12" t="str">
        <x:v>统一道具字典</x:v>
      </x:c>
      <x:c r="I77" s="12" t="str"/>
      <x:c r="J77" s="12" t="str">
        <x:v>主/特惠+充值!第92行</x:v>
      </x:c>
    </x:row>
    <x:row r="78" ht="52" customHeight="1">
      <x:c r="A78" s="4" t="str">
        <x:v>P060</x:v>
      </x:c>
      <x:c r="B78" s="4" t="str">
        <x:v>推送礼包3/现列价格</x:v>
      </x:c>
      <x:c r="C78" s="4" t="str">
        <x:v>星辉秘契</x:v>
      </x:c>
      <x:c r="D78" s="18" t="n">
        <x:v>2</x:v>
      </x:c>
      <x:c r="E78" s="14" t="n">
        <x:f>'道具价值基准'!E104</x:f>
        <x:v>280</x:v>
      </x:c>
      <x:c r="F78" s="14"/>
      <x:c r="G78" s="14" t="n">
        <x:f>IF(AND(ISNUMBER(D78),ISNUMBER(E78)),D78*E78,"待补")</x:f>
        <x:v>560</x:v>
      </x:c>
      <x:c r="H78" s="4" t="str">
        <x:v>统一道具字典</x:v>
      </x:c>
      <x:c r="I78" s="4" t="str"/>
      <x:c r="J78" s="4" t="str">
        <x:v>主/特惠+充值!第92行</x:v>
      </x:c>
    </x:row>
    <x:row r="79" ht="52" customHeight="1">
      <x:c r="A79" s="12" t="str">
        <x:v>P060</x:v>
      </x:c>
      <x:c r="B79" s="12" t="str">
        <x:v>推送礼包3/现列价格</x:v>
      </x:c>
      <x:c r="C79" s="12" t="str">
        <x:v>随机能量特饮</x:v>
      </x:c>
      <x:c r="D79" s="17" t="n">
        <x:v>288</x:v>
      </x:c>
      <x:c r="E79" s="13" t="n">
        <x:f>'道具价值基准'!E14</x:f>
        <x:v>1</x:v>
      </x:c>
      <x:c r="F79" s="13"/>
      <x:c r="G79" s="13" t="n">
        <x:f>IF(AND(ISNUMBER(D79),ISNUMBER(E79)),D79*E79,"待补")</x:f>
        <x:v>288</x:v>
      </x:c>
      <x:c r="H79" s="12" t="str">
        <x:v>统一道具字典</x:v>
      </x:c>
      <x:c r="I79" s="12" t="str"/>
      <x:c r="J79" s="12" t="str">
        <x:v>主/特惠+充值!第92行</x:v>
      </x:c>
    </x:row>
    <x:row r="80" ht="52" customHeight="1">
      <x:c r="A80" s="4" t="str">
        <x:v>P061</x:v>
      </x:c>
      <x:c r="B80" s="4" t="str">
        <x:v>招募/每日免费礼包</x:v>
      </x:c>
      <x:c r="C80" s="4" t="str">
        <x:v>梦境招募器</x:v>
      </x:c>
      <x:c r="D80" s="18" t="n">
        <x:v>2</x:v>
      </x:c>
      <x:c r="E80" s="14" t="n">
        <x:f>'道具价值基准'!E101</x:f>
        <x:v>30</x:v>
      </x:c>
      <x:c r="F80" s="14"/>
      <x:c r="G80" s="14" t="n">
        <x:f>IF(AND(ISNUMBER(D80),ISNUMBER(E80)),D80*E80,"待补")</x:f>
        <x:v>60</x:v>
      </x:c>
      <x:c r="H80" s="4" t="str">
        <x:v>统一道具字典</x:v>
      </x:c>
      <x:c r="I80" s="4" t="str"/>
      <x:c r="J80" s="4" t="str">
        <x:v>主/冲刺活动!第43行</x:v>
      </x:c>
    </x:row>
    <x:row r="81" ht="52" customHeight="1">
      <x:c r="A81" s="12" t="str">
        <x:v>P062</x:v>
      </x:c>
      <x:c r="B81" s="12" t="str">
        <x:v>招募/钻石礼包</x:v>
      </x:c>
      <x:c r="C81" s="12" t="str">
        <x:v>梦境招募器</x:v>
      </x:c>
      <x:c r="D81" s="17" t="n">
        <x:v>20</x:v>
      </x:c>
      <x:c r="E81" s="13" t="n">
        <x:f>'道具价值基准'!E101</x:f>
        <x:v>30</x:v>
      </x:c>
      <x:c r="F81" s="13"/>
      <x:c r="G81" s="13" t="n">
        <x:f>IF(AND(ISNUMBER(D81),ISNUMBER(E81)),D81*E81,"待补")</x:f>
        <x:v>600</x:v>
      </x:c>
      <x:c r="H81" s="12" t="str">
        <x:v>统一道具字典</x:v>
      </x:c>
      <x:c r="I81" s="12" t="str"/>
      <x:c r="J81" s="12" t="str">
        <x:v>主/冲刺活动!第44行</x:v>
      </x:c>
    </x:row>
    <x:row r="82" ht="52" customHeight="1">
      <x:c r="A82" s="4" t="str">
        <x:v>P062</x:v>
      </x:c>
      <x:c r="B82" s="4" t="str">
        <x:v>招募/钻石礼包</x:v>
      </x:c>
      <x:c r="C82" s="4" t="str">
        <x:v>随机能量特饮</x:v>
      </x:c>
      <x:c r="D82" s="18" t="n">
        <x:v>50</x:v>
      </x:c>
      <x:c r="E82" s="14" t="n">
        <x:f>'道具价值基准'!E14</x:f>
        <x:v>1</x:v>
      </x:c>
      <x:c r="F82" s="14"/>
      <x:c r="G82" s="14" t="n">
        <x:f>IF(AND(ISNUMBER(D82),ISNUMBER(E82)),D82*E82,"待补")</x:f>
        <x:v>50</x:v>
      </x:c>
      <x:c r="H82" s="4" t="str">
        <x:v>统一道具字典</x:v>
      </x:c>
      <x:c r="I82" s="4" t="str"/>
      <x:c r="J82" s="4" t="str">
        <x:v>主/冲刺活动!第44行</x:v>
      </x:c>
    </x:row>
    <x:row r="83" ht="52" customHeight="1">
      <x:c r="A83" s="12" t="str">
        <x:v>P063</x:v>
      </x:c>
      <x:c r="B83" s="12" t="str">
        <x:v>招募/6元礼包</x:v>
      </x:c>
      <x:c r="C83" s="12" t="str">
        <x:v>钻石</x:v>
      </x:c>
      <x:c r="D83" s="17" t="n">
        <x:v>60</x:v>
      </x:c>
      <x:c r="E83" s="13" t="n">
        <x:f>'道具价值基准'!E5</x:f>
        <x:v>1</x:v>
      </x:c>
      <x:c r="F83" s="13"/>
      <x:c r="G83" s="13" t="n">
        <x:f>IF(AND(ISNUMBER(D83),ISNUMBER(E83)),D83*E83,"待补")</x:f>
        <x:v>60</x:v>
      </x:c>
      <x:c r="H83" s="12" t="str">
        <x:v>统一道具字典</x:v>
      </x:c>
      <x:c r="I83" s="12" t="str"/>
      <x:c r="J83" s="12" t="str">
        <x:v>主/冲刺活动!第45行</x:v>
      </x:c>
    </x:row>
    <x:row r="84" ht="52" customHeight="1">
      <x:c r="A84" s="4" t="str">
        <x:v>P063</x:v>
      </x:c>
      <x:c r="B84" s="4" t="str">
        <x:v>招募/6元礼包</x:v>
      </x:c>
      <x:c r="C84" s="4" t="str">
        <x:v>梦境招募器</x:v>
      </x:c>
      <x:c r="D84" s="18" t="n">
        <x:v>15</x:v>
      </x:c>
      <x:c r="E84" s="14" t="n">
        <x:f>'道具价值基准'!E101</x:f>
        <x:v>30</x:v>
      </x:c>
      <x:c r="F84" s="14"/>
      <x:c r="G84" s="14" t="n">
        <x:f>IF(AND(ISNUMBER(D84),ISNUMBER(E84)),D84*E84,"待补")</x:f>
        <x:v>450</x:v>
      </x:c>
      <x:c r="H84" s="4" t="str">
        <x:v>统一道具字典</x:v>
      </x:c>
      <x:c r="I84" s="4" t="str"/>
      <x:c r="J84" s="4" t="str">
        <x:v>主/冲刺活动!第45行</x:v>
      </x:c>
    </x:row>
    <x:row r="85" ht="52" customHeight="1">
      <x:c r="A85" s="12" t="str">
        <x:v>P063</x:v>
      </x:c>
      <x:c r="B85" s="12" t="str">
        <x:v>招募/6元礼包</x:v>
      </x:c>
      <x:c r="C85" s="12" t="str">
        <x:v>随机能量特饮</x:v>
      </x:c>
      <x:c r="D85" s="17" t="n">
        <x:v>100</x:v>
      </x:c>
      <x:c r="E85" s="13" t="n">
        <x:f>'道具价值基准'!E14</x:f>
        <x:v>1</x:v>
      </x:c>
      <x:c r="F85" s="13"/>
      <x:c r="G85" s="13" t="n">
        <x:f>IF(AND(ISNUMBER(D85),ISNUMBER(E85)),D85*E85,"待补")</x:f>
        <x:v>100</x:v>
      </x:c>
      <x:c r="H85" s="12" t="str">
        <x:v>统一道具字典</x:v>
      </x:c>
      <x:c r="I85" s="12" t="str"/>
      <x:c r="J85" s="12" t="str">
        <x:v>主/冲刺活动!第45行</x:v>
      </x:c>
    </x:row>
    <x:row r="86" ht="52" customHeight="1">
      <x:c r="A86" s="4" t="str">
        <x:v>P064</x:v>
      </x:c>
      <x:c r="B86" s="4" t="str">
        <x:v>招募/钻石礼包</x:v>
      </x:c>
      <x:c r="C86" s="4" t="str">
        <x:v>梦境招募器</x:v>
      </x:c>
      <x:c r="D86" s="18" t="n">
        <x:v>40</x:v>
      </x:c>
      <x:c r="E86" s="14" t="n">
        <x:f>'道具价值基准'!E101</x:f>
        <x:v>30</x:v>
      </x:c>
      <x:c r="F86" s="14"/>
      <x:c r="G86" s="14" t="n">
        <x:f>IF(AND(ISNUMBER(D86),ISNUMBER(E86)),D86*E86,"待补")</x:f>
        <x:v>1200</x:v>
      </x:c>
      <x:c r="H86" s="4" t="str">
        <x:v>统一道具字典</x:v>
      </x:c>
      <x:c r="I86" s="4" t="str"/>
      <x:c r="J86" s="4" t="str">
        <x:v>主/冲刺活动!第46行</x:v>
      </x:c>
    </x:row>
    <x:row r="87" ht="52" customHeight="1">
      <x:c r="A87" s="12" t="str">
        <x:v>P064</x:v>
      </x:c>
      <x:c r="B87" s="12" t="str">
        <x:v>招募/钻石礼包</x:v>
      </x:c>
      <x:c r="C87" s="12" t="str">
        <x:v>随机能量特饮</x:v>
      </x:c>
      <x:c r="D87" s="17" t="n">
        <x:v>150</x:v>
      </x:c>
      <x:c r="E87" s="13" t="n">
        <x:f>'道具价值基准'!E14</x:f>
        <x:v>1</x:v>
      </x:c>
      <x:c r="F87" s="13"/>
      <x:c r="G87" s="13" t="n">
        <x:f>IF(AND(ISNUMBER(D87),ISNUMBER(E87)),D87*E87,"待补")</x:f>
        <x:v>150</x:v>
      </x:c>
      <x:c r="H87" s="12" t="str">
        <x:v>统一道具字典</x:v>
      </x:c>
      <x:c r="I87" s="12" t="str"/>
      <x:c r="J87" s="12" t="str">
        <x:v>主/冲刺活动!第46行</x:v>
      </x:c>
    </x:row>
    <x:row r="88" ht="52" customHeight="1">
      <x:c r="A88" s="4" t="str">
        <x:v>P065</x:v>
      </x:c>
      <x:c r="B88" s="4" t="str">
        <x:v>招募/30元礼包</x:v>
      </x:c>
      <x:c r="C88" s="4" t="str">
        <x:v>钻石</x:v>
      </x:c>
      <x:c r="D88" s="18" t="n">
        <x:v>300</x:v>
      </x:c>
      <x:c r="E88" s="14" t="n">
        <x:f>'道具价值基准'!E5</x:f>
        <x:v>1</x:v>
      </x:c>
      <x:c r="F88" s="14"/>
      <x:c r="G88" s="14" t="n">
        <x:f>IF(AND(ISNUMBER(D88),ISNUMBER(E88)),D88*E88,"待补")</x:f>
        <x:v>300</x:v>
      </x:c>
      <x:c r="H88" s="4" t="str">
        <x:v>统一道具字典</x:v>
      </x:c>
      <x:c r="I88" s="4" t="str"/>
      <x:c r="J88" s="4" t="str">
        <x:v>主/冲刺活动!第47行</x:v>
      </x:c>
    </x:row>
    <x:row r="89" ht="52" customHeight="1">
      <x:c r="A89" s="12" t="str">
        <x:v>P065</x:v>
      </x:c>
      <x:c r="B89" s="12" t="str">
        <x:v>招募/30元礼包</x:v>
      </x:c>
      <x:c r="C89" s="12" t="str">
        <x:v>梦境招募器</x:v>
      </x:c>
      <x:c r="D89" s="17" t="n">
        <x:v>50</x:v>
      </x:c>
      <x:c r="E89" s="13" t="n">
        <x:f>'道具价值基准'!E101</x:f>
        <x:v>30</x:v>
      </x:c>
      <x:c r="F89" s="13"/>
      <x:c r="G89" s="13" t="n">
        <x:f>IF(AND(ISNUMBER(D89),ISNUMBER(E89)),D89*E89,"待补")</x:f>
        <x:v>1500</x:v>
      </x:c>
      <x:c r="H89" s="12" t="str">
        <x:v>统一道具字典</x:v>
      </x:c>
      <x:c r="I89" s="12" t="str"/>
      <x:c r="J89" s="12" t="str">
        <x:v>主/冲刺活动!第47行</x:v>
      </x:c>
    </x:row>
    <x:row r="90" ht="52" customHeight="1">
      <x:c r="A90" s="4" t="str">
        <x:v>P066</x:v>
      </x:c>
      <x:c r="B90" s="4" t="str">
        <x:v>招募/钻石礼包</x:v>
      </x:c>
      <x:c r="C90" s="4" t="str">
        <x:v>梦境招募器</x:v>
      </x:c>
      <x:c r="D90" s="18" t="n">
        <x:v>80</x:v>
      </x:c>
      <x:c r="E90" s="14" t="n">
        <x:f>'道具价值基准'!E101</x:f>
        <x:v>30</x:v>
      </x:c>
      <x:c r="F90" s="14"/>
      <x:c r="G90" s="14" t="n">
        <x:f>IF(AND(ISNUMBER(D90),ISNUMBER(E90)),D90*E90,"待补")</x:f>
        <x:v>2400</x:v>
      </x:c>
      <x:c r="H90" s="4" t="str">
        <x:v>统一道具字典</x:v>
      </x:c>
      <x:c r="I90" s="4" t="str"/>
      <x:c r="J90" s="4" t="str">
        <x:v>主/冲刺活动!第48行</x:v>
      </x:c>
    </x:row>
    <x:row r="91" ht="52" customHeight="1">
      <x:c r="A91" s="12" t="str">
        <x:v>P066</x:v>
      </x:c>
      <x:c r="B91" s="12" t="str">
        <x:v>招募/钻石礼包</x:v>
      </x:c>
      <x:c r="C91" s="12" t="str">
        <x:v>随机能量特饮</x:v>
      </x:c>
      <x:c r="D91" s="17" t="n">
        <x:v>200</x:v>
      </x:c>
      <x:c r="E91" s="13" t="n">
        <x:f>'道具价值基准'!E14</x:f>
        <x:v>1</x:v>
      </x:c>
      <x:c r="F91" s="13"/>
      <x:c r="G91" s="13" t="n">
        <x:f>IF(AND(ISNUMBER(D91),ISNUMBER(E91)),D91*E91,"待补")</x:f>
        <x:v>200</x:v>
      </x:c>
      <x:c r="H91" s="12" t="str">
        <x:v>统一道具字典</x:v>
      </x:c>
      <x:c r="I91" s="12" t="str"/>
      <x:c r="J91" s="12" t="str">
        <x:v>主/冲刺活动!第48行</x:v>
      </x:c>
    </x:row>
    <x:row r="92" ht="52" customHeight="1">
      <x:c r="A92" s="4" t="str">
        <x:v>P067</x:v>
      </x:c>
      <x:c r="B92" s="4" t="str">
        <x:v>招募/钻石礼包</x:v>
      </x:c>
      <x:c r="C92" s="4" t="str">
        <x:v>梦境招募器</x:v>
      </x:c>
      <x:c r="D92" s="18" t="n">
        <x:v>100</x:v>
      </x:c>
      <x:c r="E92" s="14" t="n">
        <x:f>'道具价值基准'!E101</x:f>
        <x:v>30</x:v>
      </x:c>
      <x:c r="F92" s="14"/>
      <x:c r="G92" s="14" t="n">
        <x:f>IF(AND(ISNUMBER(D92),ISNUMBER(E92)),D92*E92,"待补")</x:f>
        <x:v>3000</x:v>
      </x:c>
      <x:c r="H92" s="4" t="str">
        <x:v>统一道具字典</x:v>
      </x:c>
      <x:c r="I92" s="4" t="str"/>
      <x:c r="J92" s="4" t="str">
        <x:v>主/冲刺活动!第49行</x:v>
      </x:c>
    </x:row>
    <x:row r="93" ht="52" customHeight="1">
      <x:c r="A93" s="12" t="str">
        <x:v>P067</x:v>
      </x:c>
      <x:c r="B93" s="12" t="str">
        <x:v>招募/钻石礼包</x:v>
      </x:c>
      <x:c r="C93" s="12" t="str">
        <x:v>随机能量特饮</x:v>
      </x:c>
      <x:c r="D93" s="17" t="n">
        <x:v>300</x:v>
      </x:c>
      <x:c r="E93" s="13" t="n">
        <x:f>'道具价值基准'!E14</x:f>
        <x:v>1</x:v>
      </x:c>
      <x:c r="F93" s="13"/>
      <x:c r="G93" s="13" t="n">
        <x:f>IF(AND(ISNUMBER(D93),ISNUMBER(E93)),D93*E93,"待补")</x:f>
        <x:v>300</x:v>
      </x:c>
      <x:c r="H93" s="12" t="str">
        <x:v>统一道具字典</x:v>
      </x:c>
      <x:c r="I93" s="12" t="str"/>
      <x:c r="J93" s="12" t="str">
        <x:v>主/冲刺活动!第49行</x:v>
      </x:c>
    </x:row>
    <x:row r="94" ht="52" customHeight="1">
      <x:c r="A94" s="4" t="str">
        <x:v>P068</x:v>
      </x:c>
      <x:c r="B94" s="4" t="str">
        <x:v>招募/328元礼包</x:v>
      </x:c>
      <x:c r="C94" s="4" t="str">
        <x:v>钻石</x:v>
      </x:c>
      <x:c r="D94" s="18" t="n">
        <x:v>3280</x:v>
      </x:c>
      <x:c r="E94" s="14" t="n">
        <x:f>'道具价值基准'!E5</x:f>
        <x:v>1</x:v>
      </x:c>
      <x:c r="F94" s="14"/>
      <x:c r="G94" s="14" t="n">
        <x:f>IF(AND(ISNUMBER(D94),ISNUMBER(E94)),D94*E94,"待补")</x:f>
        <x:v>3280</x:v>
      </x:c>
      <x:c r="H94" s="4" t="str">
        <x:v>统一道具字典</x:v>
      </x:c>
      <x:c r="I94" s="4" t="str"/>
      <x:c r="J94" s="4" t="str">
        <x:v>主/冲刺活动!第50行</x:v>
      </x:c>
    </x:row>
    <x:row r="95" ht="52" customHeight="1">
      <x:c r="A95" s="12" t="str">
        <x:v>P068</x:v>
      </x:c>
      <x:c r="B95" s="12" t="str">
        <x:v>招募/328元礼包</x:v>
      </x:c>
      <x:c r="C95" s="12" t="str">
        <x:v>梦境招募器</x:v>
      </x:c>
      <x:c r="D95" s="17" t="n">
        <x:v>150</x:v>
      </x:c>
      <x:c r="E95" s="13" t="n">
        <x:f>'道具价值基准'!E101</x:f>
        <x:v>30</x:v>
      </x:c>
      <x:c r="F95" s="13"/>
      <x:c r="G95" s="13" t="n">
        <x:f>IF(AND(ISNUMBER(D95),ISNUMBER(E95)),D95*E95,"待补")</x:f>
        <x:v>4500</x:v>
      </x:c>
      <x:c r="H95" s="12" t="str">
        <x:v>统一道具字典</x:v>
      </x:c>
      <x:c r="I95" s="12" t="str"/>
      <x:c r="J95" s="12" t="str">
        <x:v>主/冲刺活动!第50行</x:v>
      </x:c>
    </x:row>
    <x:row r="96" ht="52" customHeight="1">
      <x:c r="A96" s="4" t="str">
        <x:v>P069</x:v>
      </x:c>
      <x:c r="B96" s="4" t="str">
        <x:v>招募/钻石礼包</x:v>
      </x:c>
      <x:c r="C96" s="4" t="str">
        <x:v>梦境招募器</x:v>
      </x:c>
      <x:c r="D96" s="18" t="n">
        <x:v>200</x:v>
      </x:c>
      <x:c r="E96" s="14" t="n">
        <x:f>'道具价值基准'!E101</x:f>
        <x:v>30</x:v>
      </x:c>
      <x:c r="F96" s="14"/>
      <x:c r="G96" s="14" t="n">
        <x:f>IF(AND(ISNUMBER(D96),ISNUMBER(E96)),D96*E96,"待补")</x:f>
        <x:v>6000</x:v>
      </x:c>
      <x:c r="H96" s="4" t="str">
        <x:v>统一道具字典</x:v>
      </x:c>
      <x:c r="I96" s="4" t="str"/>
      <x:c r="J96" s="4" t="str">
        <x:v>主/冲刺活动!第51行</x:v>
      </x:c>
    </x:row>
    <x:row r="97" ht="52" customHeight="1">
      <x:c r="A97" s="12" t="str">
        <x:v>P069</x:v>
      </x:c>
      <x:c r="B97" s="12" t="str">
        <x:v>招募/钻石礼包</x:v>
      </x:c>
      <x:c r="C97" s="12" t="str">
        <x:v>随机能量特饮</x:v>
      </x:c>
      <x:c r="D97" s="17" t="n">
        <x:v>500</x:v>
      </x:c>
      <x:c r="E97" s="13" t="n">
        <x:f>'道具价值基准'!E14</x:f>
        <x:v>1</x:v>
      </x:c>
      <x:c r="F97" s="13"/>
      <x:c r="G97" s="13" t="n">
        <x:f>IF(AND(ISNUMBER(D97),ISNUMBER(E97)),D97*E97,"待补")</x:f>
        <x:v>500</x:v>
      </x:c>
      <x:c r="H97" s="12" t="str">
        <x:v>统一道具字典</x:v>
      </x:c>
      <x:c r="I97" s="12" t="str"/>
      <x:c r="J97" s="12" t="str">
        <x:v>主/冲刺活动!第51行</x:v>
      </x:c>
    </x:row>
    <x:row r="98" ht="52" customHeight="1">
      <x:c r="A98" s="4" t="str">
        <x:v>P070</x:v>
      </x:c>
      <x:c r="B98" s="4" t="str">
        <x:v>符文/每日免费礼包</x:v>
      </x:c>
      <x:c r="C98" s="4" t="str">
        <x:v>星之初愿</x:v>
      </x:c>
      <x:c r="D98" s="18" t="n">
        <x:v>2</x:v>
      </x:c>
      <x:c r="E98" s="14" t="n">
        <x:f>'道具价值基准'!E103</x:f>
        <x:v>50</x:v>
      </x:c>
      <x:c r="F98" s="14"/>
      <x:c r="G98" s="14" t="n">
        <x:f>IF(AND(ISNUMBER(D98),ISNUMBER(E98)),D98*E98,"待补")</x:f>
        <x:v>100</x:v>
      </x:c>
      <x:c r="H98" s="4" t="str">
        <x:v>统一道具字典</x:v>
      </x:c>
      <x:c r="I98" s="4" t="str"/>
      <x:c r="J98" s="4" t="str">
        <x:v>主/冲刺活动!第115行</x:v>
      </x:c>
    </x:row>
    <x:row r="99" ht="52" customHeight="1">
      <x:c r="A99" s="12" t="str">
        <x:v>P071</x:v>
      </x:c>
      <x:c r="B99" s="12" t="str">
        <x:v>符文/钻石礼包</x:v>
      </x:c>
      <x:c r="C99" s="12" t="str">
        <x:v>星辉秘契</x:v>
      </x:c>
      <x:c r="D99" s="17" t="n">
        <x:v>2</x:v>
      </x:c>
      <x:c r="E99" s="13" t="n">
        <x:f>'道具价值基准'!E104</x:f>
        <x:v>280</x:v>
      </x:c>
      <x:c r="F99" s="13"/>
      <x:c r="G99" s="13" t="n">
        <x:f>IF(AND(ISNUMBER(D99),ISNUMBER(E99)),D99*E99,"待补")</x:f>
        <x:v>560</x:v>
      </x:c>
      <x:c r="H99" s="12" t="str">
        <x:v>统一道具字典</x:v>
      </x:c>
      <x:c r="I99" s="12" t="str"/>
      <x:c r="J99" s="12" t="str">
        <x:v>主/冲刺活动!第116行</x:v>
      </x:c>
    </x:row>
    <x:row r="100" ht="52" customHeight="1">
      <x:c r="A100" s="4" t="str">
        <x:v>P071</x:v>
      </x:c>
      <x:c r="B100" s="4" t="str">
        <x:v>符文/钻石礼包</x:v>
      </x:c>
      <x:c r="C100" s="4" t="str">
        <x:v>星之初愿</x:v>
      </x:c>
      <x:c r="D100" s="18" t="n">
        <x:v>1</x:v>
      </x:c>
      <x:c r="E100" s="14" t="n">
        <x:f>'道具价值基准'!E103</x:f>
        <x:v>50</x:v>
      </x:c>
      <x:c r="F100" s="14"/>
      <x:c r="G100" s="14" t="n">
        <x:f>IF(AND(ISNUMBER(D100),ISNUMBER(E100)),D100*E100,"待补")</x:f>
        <x:v>50</x:v>
      </x:c>
      <x:c r="H100" s="4" t="str">
        <x:v>统一道具字典</x:v>
      </x:c>
      <x:c r="I100" s="4" t="str"/>
      <x:c r="J100" s="4" t="str">
        <x:v>主/冲刺活动!第116行</x:v>
      </x:c>
    </x:row>
    <x:row r="101" ht="52" customHeight="1">
      <x:c r="A101" s="12" t="str">
        <x:v>P072</x:v>
      </x:c>
      <x:c r="B101" s="12" t="str">
        <x:v>符文/6元礼包</x:v>
      </x:c>
      <x:c r="C101" s="12" t="str">
        <x:v>钻石</x:v>
      </x:c>
      <x:c r="D101" s="17" t="n">
        <x:v>60</x:v>
      </x:c>
      <x:c r="E101" s="13" t="n">
        <x:f>'道具价值基准'!E5</x:f>
        <x:v>1</x:v>
      </x:c>
      <x:c r="F101" s="13"/>
      <x:c r="G101" s="13" t="n">
        <x:f>IF(AND(ISNUMBER(D101),ISNUMBER(E101)),D101*E101,"待补")</x:f>
        <x:v>60</x:v>
      </x:c>
      <x:c r="H101" s="12" t="str">
        <x:v>统一道具字典</x:v>
      </x:c>
      <x:c r="I101" s="12" t="str"/>
      <x:c r="J101" s="12" t="str">
        <x:v>主/冲刺活动!第117行</x:v>
      </x:c>
    </x:row>
    <x:row r="102" ht="52" customHeight="1">
      <x:c r="A102" s="4" t="str">
        <x:v>P072</x:v>
      </x:c>
      <x:c r="B102" s="4" t="str">
        <x:v>符文/6元礼包</x:v>
      </x:c>
      <x:c r="C102" s="4" t="str">
        <x:v>星辉秘契</x:v>
      </x:c>
      <x:c r="D102" s="18" t="n">
        <x:v>2</x:v>
      </x:c>
      <x:c r="E102" s="14" t="n">
        <x:f>'道具价值基准'!E104</x:f>
        <x:v>280</x:v>
      </x:c>
      <x:c r="F102" s="14"/>
      <x:c r="G102" s="14" t="n">
        <x:f>IF(AND(ISNUMBER(D102),ISNUMBER(E102)),D102*E102,"待补")</x:f>
        <x:v>560</x:v>
      </x:c>
      <x:c r="H102" s="4" t="str">
        <x:v>统一道具字典</x:v>
      </x:c>
      <x:c r="I102" s="4" t="str"/>
      <x:c r="J102" s="4" t="str">
        <x:v>主/冲刺活动!第117行</x:v>
      </x:c>
    </x:row>
    <x:row r="103" ht="52" customHeight="1">
      <x:c r="A103" s="12" t="str">
        <x:v>P073</x:v>
      </x:c>
      <x:c r="B103" s="12" t="str">
        <x:v>符文/钻石礼包</x:v>
      </x:c>
      <x:c r="C103" s="12" t="str">
        <x:v>星辉秘契</x:v>
      </x:c>
      <x:c r="D103" s="17" t="n">
        <x:v>8</x:v>
      </x:c>
      <x:c r="E103" s="13" t="n">
        <x:f>'道具价值基准'!E104</x:f>
        <x:v>280</x:v>
      </x:c>
      <x:c r="F103" s="13"/>
      <x:c r="G103" s="13" t="n">
        <x:f>IF(AND(ISNUMBER(D103),ISNUMBER(E103)),D103*E103,"待补")</x:f>
        <x:v>2240</x:v>
      </x:c>
      <x:c r="H103" s="12" t="str">
        <x:v>统一道具字典</x:v>
      </x:c>
      <x:c r="I103" s="12" t="str"/>
      <x:c r="J103" s="12" t="str">
        <x:v>主/冲刺活动!第118行</x:v>
      </x:c>
    </x:row>
    <x:row r="104" ht="52" customHeight="1">
      <x:c r="A104" s="4" t="str">
        <x:v>P074</x:v>
      </x:c>
      <x:c r="B104" s="4" t="str">
        <x:v>符文/30元礼包</x:v>
      </x:c>
      <x:c r="C104" s="4" t="str">
        <x:v>钻石</x:v>
      </x:c>
      <x:c r="D104" s="18" t="n">
        <x:v>300</x:v>
      </x:c>
      <x:c r="E104" s="14" t="n">
        <x:f>'道具价值基准'!E5</x:f>
        <x:v>1</x:v>
      </x:c>
      <x:c r="F104" s="14"/>
      <x:c r="G104" s="14" t="n">
        <x:f>IF(AND(ISNUMBER(D104),ISNUMBER(E104)),D104*E104,"待补")</x:f>
        <x:v>300</x:v>
      </x:c>
      <x:c r="H104" s="4" t="str">
        <x:v>统一道具字典</x:v>
      </x:c>
      <x:c r="I104" s="4" t="str"/>
      <x:c r="J104" s="4" t="str">
        <x:v>主/冲刺活动!第119行</x:v>
      </x:c>
    </x:row>
    <x:row r="105" ht="52" customHeight="1">
      <x:c r="A105" s="12" t="str">
        <x:v>P074</x:v>
      </x:c>
      <x:c r="B105" s="12" t="str">
        <x:v>符文/30元礼包</x:v>
      </x:c>
      <x:c r="C105" s="12" t="str">
        <x:v>星辉秘契</x:v>
      </x:c>
      <x:c r="D105" s="17" t="n">
        <x:v>5</x:v>
      </x:c>
      <x:c r="E105" s="13" t="n">
        <x:f>'道具价值基准'!E104</x:f>
        <x:v>280</x:v>
      </x:c>
      <x:c r="F105" s="13"/>
      <x:c r="G105" s="13" t="n">
        <x:f>IF(AND(ISNUMBER(D105),ISNUMBER(E105)),D105*E105,"待补")</x:f>
        <x:v>1400</x:v>
      </x:c>
      <x:c r="H105" s="12" t="str">
        <x:v>统一道具字典</x:v>
      </x:c>
      <x:c r="I105" s="12" t="str"/>
      <x:c r="J105" s="12" t="str">
        <x:v>主/冲刺活动!第119行</x:v>
      </x:c>
    </x:row>
    <x:row r="106" ht="52" customHeight="1">
      <x:c r="A106" s="4" t="str">
        <x:v>P075</x:v>
      </x:c>
      <x:c r="B106" s="4" t="str">
        <x:v>符文/钻石礼包</x:v>
      </x:c>
      <x:c r="C106" s="4" t="str">
        <x:v>星辉秘契</x:v>
      </x:c>
      <x:c r="D106" s="18" t="n">
        <x:v>12</x:v>
      </x:c>
      <x:c r="E106" s="14" t="n">
        <x:f>'道具价值基准'!E104</x:f>
        <x:v>280</x:v>
      </x:c>
      <x:c r="F106" s="14"/>
      <x:c r="G106" s="14" t="n">
        <x:f>IF(AND(ISNUMBER(D106),ISNUMBER(E106)),D106*E106,"待补")</x:f>
        <x:v>3360</x:v>
      </x:c>
      <x:c r="H106" s="4" t="str">
        <x:v>统一道具字典</x:v>
      </x:c>
      <x:c r="I106" s="4" t="str"/>
      <x:c r="J106" s="4" t="str">
        <x:v>主/冲刺活动!第120行</x:v>
      </x:c>
    </x:row>
    <x:row r="107" ht="52" customHeight="1">
      <x:c r="A107" s="12" t="str">
        <x:v>P075</x:v>
      </x:c>
      <x:c r="B107" s="12" t="str">
        <x:v>符文/钻石礼包</x:v>
      </x:c>
      <x:c r="C107" s="12" t="str">
        <x:v>幻梦晶核</x:v>
      </x:c>
      <x:c r="D107" s="17" t="n">
        <x:v>12</x:v>
      </x:c>
      <x:c r="E107" s="13" t="n">
        <x:f>'道具价值基准'!E36</x:f>
        <x:v>60</x:v>
      </x:c>
      <x:c r="F107" s="13"/>
      <x:c r="G107" s="13" t="n">
        <x:f>IF(AND(ISNUMBER(D107),ISNUMBER(E107)),D107*E107,"待补")</x:f>
        <x:v>720</x:v>
      </x:c>
      <x:c r="H107" s="12" t="str">
        <x:v>统一道具字典</x:v>
      </x:c>
      <x:c r="I107" s="12" t="str"/>
      <x:c r="J107" s="12" t="str">
        <x:v>主/冲刺活动!第120行</x:v>
      </x:c>
    </x:row>
    <x:row r="108" ht="52" customHeight="1">
      <x:c r="A108" s="4" t="str">
        <x:v>P076</x:v>
      </x:c>
      <x:c r="B108" s="4" t="str">
        <x:v>符文/钻石礼包</x:v>
      </x:c>
      <x:c r="C108" s="4" t="str">
        <x:v>星辉秘契</x:v>
      </x:c>
      <x:c r="D108" s="18" t="n">
        <x:v>16</x:v>
      </x:c>
      <x:c r="E108" s="14" t="n">
        <x:f>'道具价值基准'!E104</x:f>
        <x:v>280</x:v>
      </x:c>
      <x:c r="F108" s="14"/>
      <x:c r="G108" s="14" t="n">
        <x:f>IF(AND(ISNUMBER(D108),ISNUMBER(E108)),D108*E108,"待补")</x:f>
        <x:v>4480</x:v>
      </x:c>
      <x:c r="H108" s="4" t="str">
        <x:v>统一道具字典</x:v>
      </x:c>
      <x:c r="I108" s="4" t="str"/>
      <x:c r="J108" s="4" t="str">
        <x:v>主/冲刺活动!第121行</x:v>
      </x:c>
    </x:row>
    <x:row r="109" ht="52" customHeight="1">
      <x:c r="A109" s="12" t="str">
        <x:v>P076</x:v>
      </x:c>
      <x:c r="B109" s="12" t="str">
        <x:v>符文/钻石礼包</x:v>
      </x:c>
      <x:c r="C109" s="12" t="str">
        <x:v>幻梦晶核</x:v>
      </x:c>
      <x:c r="D109" s="17" t="n">
        <x:v>24</x:v>
      </x:c>
      <x:c r="E109" s="13" t="n">
        <x:f>'道具价值基准'!E36</x:f>
        <x:v>60</x:v>
      </x:c>
      <x:c r="F109" s="13"/>
      <x:c r="G109" s="13" t="n">
        <x:f>IF(AND(ISNUMBER(D109),ISNUMBER(E109)),D109*E109,"待补")</x:f>
        <x:v>1440</x:v>
      </x:c>
      <x:c r="H109" s="12" t="str">
        <x:v>统一道具字典</x:v>
      </x:c>
      <x:c r="I109" s="12" t="str"/>
      <x:c r="J109" s="12" t="str">
        <x:v>主/冲刺活动!第121行</x:v>
      </x:c>
    </x:row>
    <x:row r="110" ht="52" customHeight="1">
      <x:c r="A110" s="4" t="str">
        <x:v>P077</x:v>
      </x:c>
      <x:c r="B110" s="4" t="str">
        <x:v>符文/328元礼包</x:v>
      </x:c>
      <x:c r="C110" s="4" t="str">
        <x:v>钻石</x:v>
      </x:c>
      <x:c r="D110" s="18" t="n">
        <x:v>3280</x:v>
      </x:c>
      <x:c r="E110" s="14" t="n">
        <x:f>'道具价值基准'!E5</x:f>
        <x:v>1</x:v>
      </x:c>
      <x:c r="F110" s="14"/>
      <x:c r="G110" s="14" t="n">
        <x:f>IF(AND(ISNUMBER(D110),ISNUMBER(E110)),D110*E110,"待补")</x:f>
        <x:v>3280</x:v>
      </x:c>
      <x:c r="H110" s="4" t="str">
        <x:v>统一道具字典</x:v>
      </x:c>
      <x:c r="I110" s="4" t="str"/>
      <x:c r="J110" s="4" t="str">
        <x:v>主/冲刺活动!第122行</x:v>
      </x:c>
    </x:row>
    <x:row r="111" ht="52" customHeight="1">
      <x:c r="A111" s="12" t="str">
        <x:v>P077</x:v>
      </x:c>
      <x:c r="B111" s="12" t="str">
        <x:v>符文/328元礼包</x:v>
      </x:c>
      <x:c r="C111" s="12" t="str">
        <x:v>星辉秘契</x:v>
      </x:c>
      <x:c r="D111" s="17" t="n">
        <x:v>18</x:v>
      </x:c>
      <x:c r="E111" s="13" t="n">
        <x:f>'道具价值基准'!E104</x:f>
        <x:v>280</x:v>
      </x:c>
      <x:c r="F111" s="13"/>
      <x:c r="G111" s="13" t="n">
        <x:f>IF(AND(ISNUMBER(D111),ISNUMBER(E111)),D111*E111,"待补")</x:f>
        <x:v>5040</x:v>
      </x:c>
      <x:c r="H111" s="12" t="str">
        <x:v>统一道具字典</x:v>
      </x:c>
      <x:c r="I111" s="12" t="str"/>
      <x:c r="J111" s="12" t="str">
        <x:v>主/冲刺活动!第122行</x:v>
      </x:c>
    </x:row>
    <x:row r="112" ht="52" customHeight="1">
      <x:c r="A112" s="4" t="str">
        <x:v>P078</x:v>
      </x:c>
      <x:c r="B112" s="4" t="str">
        <x:v>符文/钻石礼包</x:v>
      </x:c>
      <x:c r="C112" s="4" t="str">
        <x:v>星辉秘契</x:v>
      </x:c>
      <x:c r="D112" s="18" t="n">
        <x:v>30</x:v>
      </x:c>
      <x:c r="E112" s="14" t="n">
        <x:f>'道具价值基准'!E104</x:f>
        <x:v>280</x:v>
      </x:c>
      <x:c r="F112" s="14"/>
      <x:c r="G112" s="14" t="n">
        <x:f>IF(AND(ISNUMBER(D112),ISNUMBER(E112)),D112*E112,"待补")</x:f>
        <x:v>8400</x:v>
      </x:c>
      <x:c r="H112" s="4" t="str">
        <x:v>统一道具字典</x:v>
      </x:c>
      <x:c r="I112" s="4" t="str"/>
      <x:c r="J112" s="4" t="str">
        <x:v>主/冲刺活动!第123行</x:v>
      </x:c>
    </x:row>
    <x:row r="113" ht="52" customHeight="1">
      <x:c r="A113" s="12" t="str">
        <x:v>P078</x:v>
      </x:c>
      <x:c r="B113" s="12" t="str">
        <x:v>符文/钻石礼包</x:v>
      </x:c>
      <x:c r="C113" s="12" t="str">
        <x:v>幻梦晶核</x:v>
      </x:c>
      <x:c r="D113" s="17" t="n">
        <x:v>36</x:v>
      </x:c>
      <x:c r="E113" s="13" t="n">
        <x:f>'道具价值基准'!E36</x:f>
        <x:v>60</x:v>
      </x:c>
      <x:c r="F113" s="13"/>
      <x:c r="G113" s="13" t="n">
        <x:f>IF(AND(ISNUMBER(D113),ISNUMBER(E113)),D113*E113,"待补")</x:f>
        <x:v>2160</x:v>
      </x:c>
      <x:c r="H113" s="12" t="str">
        <x:v>统一道具字典</x:v>
      </x:c>
      <x:c r="I113" s="12" t="str"/>
      <x:c r="J113" s="12" t="str">
        <x:v>主/冲刺活动!第123行</x:v>
      </x:c>
    </x:row>
    <x:row r="114" ht="52" customHeight="1">
      <x:c r="A114" s="4" t="str">
        <x:v>P079</x:v>
      </x:c>
      <x:c r="B114" s="4" t="str">
        <x:v>秘宝/每日免费礼包</x:v>
      </x:c>
      <x:c r="C114" s="4" t="str">
        <x:v>欧气补给袋</x:v>
      </x:c>
      <x:c r="D114" s="18" t="n">
        <x:v>1</x:v>
      </x:c>
      <x:c r="E114" s="14" t="n">
        <x:f>'道具价值基准'!E133</x:f>
        <x:v>90</x:v>
      </x:c>
      <x:c r="F114" s="14"/>
      <x:c r="G114" s="14" t="n">
        <x:f>IF(AND(ISNUMBER(D114),ISNUMBER(E114)),D114*E114,"待补")</x:f>
        <x:v>90</x:v>
      </x:c>
      <x:c r="H114" s="4" t="str">
        <x:v>统一道具字典</x:v>
      </x:c>
      <x:c r="I114" s="4" t="str"/>
      <x:c r="J114" s="4" t="str">
        <x:v>主/冲刺活动!第185行</x:v>
      </x:c>
    </x:row>
    <x:row r="115" ht="52" customHeight="1">
      <x:c r="A115" s="12" t="str">
        <x:v>P080</x:v>
      </x:c>
      <x:c r="B115" s="12" t="str">
        <x:v>秘宝/钻石礼包</x:v>
      </x:c>
      <x:c r="C115" s="12" t="str">
        <x:v>转运石</x:v>
      </x:c>
      <x:c r="D115" s="17" t="n">
        <x:v>2000</x:v>
      </x:c>
      <x:c r="E115" s="13" t="n">
        <x:f>'道具价值基准'!E98</x:f>
        <x:v>0.33</x:v>
      </x:c>
      <x:c r="F115" s="13"/>
      <x:c r="G115" s="13" t="n">
        <x:f>IF(AND(ISNUMBER(D115),ISNUMBER(E115)),D115*E115,"待补")</x:f>
        <x:v>660</x:v>
      </x:c>
      <x:c r="H115" s="12" t="str">
        <x:v>统一道具字典</x:v>
      </x:c>
      <x:c r="I115" s="12" t="str"/>
      <x:c r="J115" s="12" t="str">
        <x:v>主/冲刺活动!第186行</x:v>
      </x:c>
    </x:row>
    <x:row r="116" ht="52" customHeight="1">
      <x:c r="A116" s="4" t="str">
        <x:v>P080</x:v>
      </x:c>
      <x:c r="B116" s="4" t="str">
        <x:v>秘宝/钻石礼包</x:v>
      </x:c>
      <x:c r="C116" s="4" t="str">
        <x:v>欧气补给箱</x:v>
      </x:c>
      <x:c r="D116" s="18" t="n">
        <x:v>1</x:v>
      </x:c>
      <x:c r="E116" s="14" t="n">
        <x:f>'道具价值基准'!E132</x:f>
        <x:v>300</x:v>
      </x:c>
      <x:c r="F116" s="14"/>
      <x:c r="G116" s="14" t="n">
        <x:f>IF(AND(ISNUMBER(D116),ISNUMBER(E116)),D116*E116,"待补")</x:f>
        <x:v>300</x:v>
      </x:c>
      <x:c r="H116" s="4" t="str">
        <x:v>统一道具字典</x:v>
      </x:c>
      <x:c r="I116" s="4" t="str"/>
      <x:c r="J116" s="4" t="str">
        <x:v>主/冲刺活动!第186行</x:v>
      </x:c>
    </x:row>
    <x:row r="117" ht="52" customHeight="1">
      <x:c r="A117" s="12" t="str">
        <x:v>P081</x:v>
      </x:c>
      <x:c r="B117" s="12" t="str">
        <x:v>秘宝/6元礼包</x:v>
      </x:c>
      <x:c r="C117" s="12" t="str">
        <x:v>钻石</x:v>
      </x:c>
      <x:c r="D117" s="17" t="n">
        <x:v>60</x:v>
      </x:c>
      <x:c r="E117" s="13" t="n">
        <x:f>'道具价值基准'!E5</x:f>
        <x:v>1</x:v>
      </x:c>
      <x:c r="F117" s="13"/>
      <x:c r="G117" s="13" t="n">
        <x:f>IF(AND(ISNUMBER(D117),ISNUMBER(E117)),D117*E117,"待补")</x:f>
        <x:v>60</x:v>
      </x:c>
      <x:c r="H117" s="12" t="str">
        <x:v>统一道具字典</x:v>
      </x:c>
      <x:c r="I117" s="12" t="str"/>
      <x:c r="J117" s="12" t="str">
        <x:v>主/冲刺活动!第187行</x:v>
      </x:c>
    </x:row>
    <x:row r="118" ht="52" customHeight="1">
      <x:c r="A118" s="4" t="str">
        <x:v>P081</x:v>
      </x:c>
      <x:c r="B118" s="4" t="str">
        <x:v>秘宝/6元礼包</x:v>
      </x:c>
      <x:c r="C118" s="4" t="str">
        <x:v>转运石</x:v>
      </x:c>
      <x:c r="D118" s="18" t="n">
        <x:v>1000</x:v>
      </x:c>
      <x:c r="E118" s="14" t="n">
        <x:f>'道具价值基准'!E98</x:f>
        <x:v>0.33</x:v>
      </x:c>
      <x:c r="F118" s="14"/>
      <x:c r="G118" s="14" t="n">
        <x:f>IF(AND(ISNUMBER(D118),ISNUMBER(E118)),D118*E118,"待补")</x:f>
        <x:v>330</x:v>
      </x:c>
      <x:c r="H118" s="4" t="str">
        <x:v>统一道具字典</x:v>
      </x:c>
      <x:c r="I118" s="4" t="str"/>
      <x:c r="J118" s="4" t="str">
        <x:v>主/冲刺活动!第187行</x:v>
      </x:c>
    </x:row>
    <x:row r="119" ht="52" customHeight="1">
      <x:c r="A119" s="12" t="str">
        <x:v>P081</x:v>
      </x:c>
      <x:c r="B119" s="12" t="str">
        <x:v>秘宝/6元礼包</x:v>
      </x:c>
      <x:c r="C119" s="12" t="str">
        <x:v>欧气补给箱</x:v>
      </x:c>
      <x:c r="D119" s="17" t="n">
        <x:v>1</x:v>
      </x:c>
      <x:c r="E119" s="13" t="n">
        <x:f>'道具价值基准'!E132</x:f>
        <x:v>300</x:v>
      </x:c>
      <x:c r="F119" s="13"/>
      <x:c r="G119" s="13" t="n">
        <x:f>IF(AND(ISNUMBER(D119),ISNUMBER(E119)),D119*E119,"待补")</x:f>
        <x:v>300</x:v>
      </x:c>
      <x:c r="H119" s="12" t="str">
        <x:v>统一道具字典</x:v>
      </x:c>
      <x:c r="I119" s="12" t="str"/>
      <x:c r="J119" s="12" t="str">
        <x:v>主/冲刺活动!第187行</x:v>
      </x:c>
    </x:row>
    <x:row r="120" ht="52" customHeight="1">
      <x:c r="A120" s="4" t="str">
        <x:v>P082</x:v>
      </x:c>
      <x:c r="B120" s="4" t="str">
        <x:v>秘宝/钻石礼包</x:v>
      </x:c>
      <x:c r="C120" s="4" t="str">
        <x:v>转运石</x:v>
      </x:c>
      <x:c r="D120" s="18" t="n">
        <x:v>4000</x:v>
      </x:c>
      <x:c r="E120" s="14" t="n">
        <x:f>'道具价值基准'!E98</x:f>
        <x:v>0.33</x:v>
      </x:c>
      <x:c r="F120" s="14"/>
      <x:c r="G120" s="14" t="n">
        <x:f>IF(AND(ISNUMBER(D120),ISNUMBER(E120)),D120*E120,"待补")</x:f>
        <x:v>1320</x:v>
      </x:c>
      <x:c r="H120" s="4" t="str">
        <x:v>统一道具字典</x:v>
      </x:c>
      <x:c r="I120" s="4" t="str"/>
      <x:c r="J120" s="4" t="str">
        <x:v>主/冲刺活动!第188行</x:v>
      </x:c>
    </x:row>
    <x:row r="121" ht="52" customHeight="1">
      <x:c r="A121" s="12" t="str">
        <x:v>P082</x:v>
      </x:c>
      <x:c r="B121" s="12" t="str">
        <x:v>秘宝/钻石礼包</x:v>
      </x:c>
      <x:c r="C121" s="12" t="str">
        <x:v>欧气补给箱</x:v>
      </x:c>
      <x:c r="D121" s="17" t="n">
        <x:v>2</x:v>
      </x:c>
      <x:c r="E121" s="13" t="n">
        <x:f>'道具价值基准'!E132</x:f>
        <x:v>300</x:v>
      </x:c>
      <x:c r="F121" s="13"/>
      <x:c r="G121" s="13" t="n">
        <x:f>IF(AND(ISNUMBER(D121),ISNUMBER(E121)),D121*E121,"待补")</x:f>
        <x:v>600</x:v>
      </x:c>
      <x:c r="H121" s="12" t="str">
        <x:v>统一道具字典</x:v>
      </x:c>
      <x:c r="I121" s="12" t="str"/>
      <x:c r="J121" s="12" t="str">
        <x:v>主/冲刺活动!第188行</x:v>
      </x:c>
    </x:row>
    <x:row r="122" ht="52" customHeight="1">
      <x:c r="A122" s="4" t="str">
        <x:v>P083</x:v>
      </x:c>
      <x:c r="B122" s="4" t="str">
        <x:v>秘宝/30元礼包</x:v>
      </x:c>
      <x:c r="C122" s="4" t="str">
        <x:v>钻石</x:v>
      </x:c>
      <x:c r="D122" s="18" t="n">
        <x:v>300</x:v>
      </x:c>
      <x:c r="E122" s="14" t="n">
        <x:f>'道具价值基准'!E5</x:f>
        <x:v>1</x:v>
      </x:c>
      <x:c r="F122" s="14"/>
      <x:c r="G122" s="14" t="n">
        <x:f>IF(AND(ISNUMBER(D122),ISNUMBER(E122)),D122*E122,"待补")</x:f>
        <x:v>300</x:v>
      </x:c>
      <x:c r="H122" s="4" t="str">
        <x:v>统一道具字典</x:v>
      </x:c>
      <x:c r="I122" s="4" t="str"/>
      <x:c r="J122" s="4" t="str">
        <x:v>主/冲刺活动!第189行</x:v>
      </x:c>
    </x:row>
    <x:row r="123" ht="52" customHeight="1">
      <x:c r="A123" s="12" t="str">
        <x:v>P083</x:v>
      </x:c>
      <x:c r="B123" s="12" t="str">
        <x:v>秘宝/30元礼包</x:v>
      </x:c>
      <x:c r="C123" s="12" t="str">
        <x:v>转运石</x:v>
      </x:c>
      <x:c r="D123" s="17" t="n">
        <x:v>2750</x:v>
      </x:c>
      <x:c r="E123" s="13" t="n">
        <x:f>'道具价值基准'!E98</x:f>
        <x:v>0.33</x:v>
      </x:c>
      <x:c r="F123" s="13"/>
      <x:c r="G123" s="13" t="n">
        <x:f>IF(AND(ISNUMBER(D123),ISNUMBER(E123)),D123*E123,"待补")</x:f>
        <x:v>907.5</x:v>
      </x:c>
      <x:c r="H123" s="12" t="str">
        <x:v>统一道具字典</x:v>
      </x:c>
      <x:c r="I123" s="12" t="str"/>
      <x:c r="J123" s="12" t="str">
        <x:v>主/冲刺活动!第189行</x:v>
      </x:c>
    </x:row>
    <x:row r="124" ht="52" customHeight="1">
      <x:c r="A124" s="4" t="str">
        <x:v>P083</x:v>
      </x:c>
      <x:c r="B124" s="4" t="str">
        <x:v>秘宝/30元礼包</x:v>
      </x:c>
      <x:c r="C124" s="4" t="str">
        <x:v>欧气补给箱</x:v>
      </x:c>
      <x:c r="D124" s="18" t="n">
        <x:v>2</x:v>
      </x:c>
      <x:c r="E124" s="14" t="n">
        <x:f>'道具价值基准'!E132</x:f>
        <x:v>300</x:v>
      </x:c>
      <x:c r="F124" s="14"/>
      <x:c r="G124" s="14" t="n">
        <x:f>IF(AND(ISNUMBER(D124),ISNUMBER(E124)),D124*E124,"待补")</x:f>
        <x:v>600</x:v>
      </x:c>
      <x:c r="H124" s="4" t="str">
        <x:v>统一道具字典</x:v>
      </x:c>
      <x:c r="I124" s="4" t="str"/>
      <x:c r="J124" s="4" t="str">
        <x:v>主/冲刺活动!第189行</x:v>
      </x:c>
    </x:row>
    <x:row r="125" ht="52" customHeight="1">
      <x:c r="A125" s="12" t="str">
        <x:v>P084</x:v>
      </x:c>
      <x:c r="B125" s="12" t="str">
        <x:v>秘宝/钻石礼包</x:v>
      </x:c>
      <x:c r="C125" s="12" t="str">
        <x:v>转运石</x:v>
      </x:c>
      <x:c r="D125" s="17" t="n">
        <x:v>12000</x:v>
      </x:c>
      <x:c r="E125" s="13" t="n">
        <x:f>'道具价值基准'!E98</x:f>
        <x:v>0.33</x:v>
      </x:c>
      <x:c r="F125" s="13"/>
      <x:c r="G125" s="13" t="n">
        <x:f>IF(AND(ISNUMBER(D125),ISNUMBER(E125)),D125*E125,"待补")</x:f>
        <x:v>3960</x:v>
      </x:c>
      <x:c r="H125" s="12" t="str">
        <x:v>统一道具字典</x:v>
      </x:c>
      <x:c r="I125" s="12" t="str"/>
      <x:c r="J125" s="12" t="str">
        <x:v>主/冲刺活动!第190行</x:v>
      </x:c>
    </x:row>
    <x:row r="126" ht="52" customHeight="1">
      <x:c r="A126" s="4" t="str">
        <x:v>P084</x:v>
      </x:c>
      <x:c r="B126" s="4" t="str">
        <x:v>秘宝/钻石礼包</x:v>
      </x:c>
      <x:c r="C126" s="4" t="str">
        <x:v>欧气补给箱</x:v>
      </x:c>
      <x:c r="D126" s="18" t="n">
        <x:v>3</x:v>
      </x:c>
      <x:c r="E126" s="14" t="n">
        <x:f>'道具价值基准'!E132</x:f>
        <x:v>300</x:v>
      </x:c>
      <x:c r="F126" s="14"/>
      <x:c r="G126" s="14" t="n">
        <x:f>IF(AND(ISNUMBER(D126),ISNUMBER(E126)),D126*E126,"待补")</x:f>
        <x:v>900</x:v>
      </x:c>
      <x:c r="H126" s="4" t="str">
        <x:v>统一道具字典</x:v>
      </x:c>
      <x:c r="I126" s="4" t="str"/>
      <x:c r="J126" s="4" t="str">
        <x:v>主/冲刺活动!第190行</x:v>
      </x:c>
    </x:row>
    <x:row r="127" ht="52" customHeight="1">
      <x:c r="A127" s="12" t="str">
        <x:v>P085</x:v>
      </x:c>
      <x:c r="B127" s="12" t="str">
        <x:v>秘宝/钻石礼包</x:v>
      </x:c>
      <x:c r="C127" s="12" t="str">
        <x:v>转运石</x:v>
      </x:c>
      <x:c r="D127" s="17" t="n">
        <x:v>20000</x:v>
      </x:c>
      <x:c r="E127" s="13" t="n">
        <x:f>'道具价值基准'!E98</x:f>
        <x:v>0.33</x:v>
      </x:c>
      <x:c r="F127" s="13"/>
      <x:c r="G127" s="13" t="n">
        <x:f>IF(AND(ISNUMBER(D127),ISNUMBER(E127)),D127*E127,"待补")</x:f>
        <x:v>6600</x:v>
      </x:c>
      <x:c r="H127" s="12" t="str">
        <x:v>统一道具字典</x:v>
      </x:c>
      <x:c r="I127" s="12" t="str"/>
      <x:c r="J127" s="12" t="str">
        <x:v>主/冲刺活动!第191行</x:v>
      </x:c>
    </x:row>
    <x:row r="128" ht="52" customHeight="1">
      <x:c r="A128" s="4" t="str">
        <x:v>P085</x:v>
      </x:c>
      <x:c r="B128" s="4" t="str">
        <x:v>秘宝/钻石礼包</x:v>
      </x:c>
      <x:c r="C128" s="4" t="str">
        <x:v>欧气补给箱</x:v>
      </x:c>
      <x:c r="D128" s="18" t="n">
        <x:v>4</x:v>
      </x:c>
      <x:c r="E128" s="14" t="n">
        <x:f>'道具价值基准'!E132</x:f>
        <x:v>300</x:v>
      </x:c>
      <x:c r="F128" s="14"/>
      <x:c r="G128" s="14" t="n">
        <x:f>IF(AND(ISNUMBER(D128),ISNUMBER(E128)),D128*E128,"待补")</x:f>
        <x:v>1200</x:v>
      </x:c>
      <x:c r="H128" s="4" t="str">
        <x:v>统一道具字典</x:v>
      </x:c>
      <x:c r="I128" s="4" t="str"/>
      <x:c r="J128" s="4" t="str">
        <x:v>主/冲刺活动!第191行</x:v>
      </x:c>
    </x:row>
    <x:row r="129" ht="52" customHeight="1">
      <x:c r="A129" s="12" t="str">
        <x:v>P086</x:v>
      </x:c>
      <x:c r="B129" s="12" t="str">
        <x:v>秘宝/328元礼包</x:v>
      </x:c>
      <x:c r="C129" s="12" t="str">
        <x:v>钻石</x:v>
      </x:c>
      <x:c r="D129" s="17" t="n">
        <x:v>3280</x:v>
      </x:c>
      <x:c r="E129" s="13" t="n">
        <x:f>'道具价值基准'!E5</x:f>
        <x:v>1</x:v>
      </x:c>
      <x:c r="F129" s="13"/>
      <x:c r="G129" s="13" t="n">
        <x:f>IF(AND(ISNUMBER(D129),ISNUMBER(E129)),D129*E129,"待补")</x:f>
        <x:v>3280</x:v>
      </x:c>
      <x:c r="H129" s="12" t="str">
        <x:v>统一道具字典</x:v>
      </x:c>
      <x:c r="I129" s="12" t="str"/>
      <x:c r="J129" s="12" t="str">
        <x:v>主/冲刺活动!第192行</x:v>
      </x:c>
    </x:row>
    <x:row r="130" ht="52" customHeight="1">
      <x:c r="A130" s="4" t="str">
        <x:v>P086</x:v>
      </x:c>
      <x:c r="B130" s="4" t="str">
        <x:v>秘宝/328元礼包</x:v>
      </x:c>
      <x:c r="C130" s="4" t="str">
        <x:v>转运石</x:v>
      </x:c>
      <x:c r="D130" s="18" t="n">
        <x:v>20000</x:v>
      </x:c>
      <x:c r="E130" s="14" t="n">
        <x:f>'道具价值基准'!E98</x:f>
        <x:v>0.33</x:v>
      </x:c>
      <x:c r="F130" s="14"/>
      <x:c r="G130" s="14" t="n">
        <x:f>IF(AND(ISNUMBER(D130),ISNUMBER(E130)),D130*E130,"待补")</x:f>
        <x:v>6600</x:v>
      </x:c>
      <x:c r="H130" s="4" t="str">
        <x:v>统一道具字典</x:v>
      </x:c>
      <x:c r="I130" s="4" t="str"/>
      <x:c r="J130" s="4" t="str">
        <x:v>主/冲刺活动!第192行</x:v>
      </x:c>
    </x:row>
    <x:row r="131" ht="52" customHeight="1">
      <x:c r="A131" s="12" t="str">
        <x:v>P086</x:v>
      </x:c>
      <x:c r="B131" s="12" t="str">
        <x:v>秘宝/328元礼包</x:v>
      </x:c>
      <x:c r="C131" s="12" t="str">
        <x:v>欧气补给箱</x:v>
      </x:c>
      <x:c r="D131" s="17" t="n">
        <x:v>5</x:v>
      </x:c>
      <x:c r="E131" s="13" t="n">
        <x:f>'道具价值基准'!E132</x:f>
        <x:v>300</x:v>
      </x:c>
      <x:c r="F131" s="13"/>
      <x:c r="G131" s="13" t="n">
        <x:f>IF(AND(ISNUMBER(D131),ISNUMBER(E131)),D131*E131,"待补")</x:f>
        <x:v>1500</x:v>
      </x:c>
      <x:c r="H131" s="12" t="str">
        <x:v>统一道具字典</x:v>
      </x:c>
      <x:c r="I131" s="12" t="str"/>
      <x:c r="J131" s="12" t="str">
        <x:v>主/冲刺活动!第192行</x:v>
      </x:c>
    </x:row>
    <x:row r="132" ht="52" customHeight="1">
      <x:c r="A132" s="4" t="str">
        <x:v>P087</x:v>
      </x:c>
      <x:c r="B132" s="4" t="str">
        <x:v>秘宝/钻石礼包</x:v>
      </x:c>
      <x:c r="C132" s="4" t="str">
        <x:v>转运石</x:v>
      </x:c>
      <x:c r="D132" s="18" t="n">
        <x:v>30000</x:v>
      </x:c>
      <x:c r="E132" s="14" t="n">
        <x:f>'道具价值基准'!E98</x:f>
        <x:v>0.33</x:v>
      </x:c>
      <x:c r="F132" s="14"/>
      <x:c r="G132" s="14" t="n">
        <x:f>IF(AND(ISNUMBER(D132),ISNUMBER(E132)),D132*E132,"待补")</x:f>
        <x:v>9900</x:v>
      </x:c>
      <x:c r="H132" s="4" t="str">
        <x:v>统一道具字典</x:v>
      </x:c>
      <x:c r="I132" s="4" t="str"/>
      <x:c r="J132" s="4" t="str">
        <x:v>主/冲刺活动!第193行</x:v>
      </x:c>
    </x:row>
    <x:row r="133" ht="52" customHeight="1">
      <x:c r="A133" s="12" t="str">
        <x:v>P087</x:v>
      </x:c>
      <x:c r="B133" s="12" t="str">
        <x:v>秘宝/钻石礼包</x:v>
      </x:c>
      <x:c r="C133" s="12" t="str">
        <x:v>欧气补给箱</x:v>
      </x:c>
      <x:c r="D133" s="17" t="n">
        <x:v>5</x:v>
      </x:c>
      <x:c r="E133" s="13" t="n">
        <x:f>'道具价值基准'!E132</x:f>
        <x:v>300</x:v>
      </x:c>
      <x:c r="F133" s="13"/>
      <x:c r="G133" s="13" t="n">
        <x:f>IF(AND(ISNUMBER(D133),ISNUMBER(E133)),D133*E133,"待补")</x:f>
        <x:v>1500</x:v>
      </x:c>
      <x:c r="H133" s="12" t="str">
        <x:v>统一道具字典</x:v>
      </x:c>
      <x:c r="I133" s="12" t="str"/>
      <x:c r="J133" s="12" t="str">
        <x:v>主/冲刺活动!第193行</x:v>
      </x:c>
    </x:row>
    <x:row r="134" ht="52" customHeight="1">
      <x:c r="A134" s="4" t="str">
        <x:v>P088</x:v>
      </x:c>
      <x:c r="B134" s="4" t="str">
        <x:v>等级1付费奖励</x:v>
      </x:c>
      <x:c r="C134" s="4" t="str">
        <x:v>超能特饮</x:v>
      </x:c>
      <x:c r="D134" s="18" t="n">
        <x:v>50</x:v>
      </x:c>
      <x:c r="E134" s="14" t="n">
        <x:f>'道具价值基准'!E15</x:f>
        <x:v>2</x:v>
      </x:c>
      <x:c r="F134" s="14"/>
      <x:c r="G134" s="14" t="n">
        <x:f>IF(AND(ISNUMBER(D134),ISNUMBER(E134)),D134*E134,"待补")</x:f>
        <x:v>100</x:v>
      </x:c>
      <x:c r="H134" s="4" t="str">
        <x:v>统一道具字典</x:v>
      </x:c>
      <x:c r="I134" s="4" t="str"/>
      <x:c r="J134" s="4" t="str">
        <x:v>主/橙卡试炼活动!第8行</x:v>
      </x:c>
    </x:row>
    <x:row r="135" ht="52" customHeight="1">
      <x:c r="A135" s="12" t="str">
        <x:v>P088</x:v>
      </x:c>
      <x:c r="B135" s="12" t="str">
        <x:v>等级1付费奖励</x:v>
      </x:c>
      <x:c r="C135" s="12" t="str">
        <x:v>梦境招募器</x:v>
      </x:c>
      <x:c r="D135" s="17" t="n">
        <x:v>50</x:v>
      </x:c>
      <x:c r="E135" s="13" t="n">
        <x:f>'道具价值基准'!E101</x:f>
        <x:v>30</x:v>
      </x:c>
      <x:c r="F135" s="13"/>
      <x:c r="G135" s="13" t="n">
        <x:f>IF(AND(ISNUMBER(D135),ISNUMBER(E135)),D135*E135,"待补")</x:f>
        <x:v>1500</x:v>
      </x:c>
      <x:c r="H135" s="12" t="str">
        <x:v>统一道具字典</x:v>
      </x:c>
      <x:c r="I135" s="12" t="str"/>
      <x:c r="J135" s="12" t="str">
        <x:v>主/橙卡试炼活动!第8行</x:v>
      </x:c>
    </x:row>
    <x:row r="136" ht="52" customHeight="1">
      <x:c r="A136" s="4" t="str">
        <x:v>P089</x:v>
      </x:c>
      <x:c r="B136" s="4" t="str">
        <x:v>等级5付费奖励</x:v>
      </x:c>
      <x:c r="C136" s="4" t="str">
        <x:v>自选传说梦灵</x:v>
      </x:c>
      <x:c r="D136" s="18" t="n">
        <x:v>1</x:v>
      </x:c>
      <x:c r="E136" s="14" t="n">
        <x:f>'道具价值基准'!E29</x:f>
        <x:v>240</x:v>
      </x:c>
      <x:c r="F136" s="14"/>
      <x:c r="G136" s="14" t="n">
        <x:f>IF(AND(ISNUMBER(D136),ISNUMBER(E136)),D136*E136,"待补")</x:f>
        <x:v>240</x:v>
      </x:c>
      <x:c r="H136" s="4" t="str">
        <x:v>统一道具字典</x:v>
      </x:c>
      <x:c r="I136" s="4" t="str"/>
      <x:c r="J136" s="4" t="str">
        <x:v>主/橙卡试炼活动!第9行</x:v>
      </x:c>
    </x:row>
    <x:row r="137" ht="52" customHeight="1">
      <x:c r="A137" s="12" t="str">
        <x:v>P089</x:v>
      </x:c>
      <x:c r="B137" s="12" t="str">
        <x:v>等级5付费奖励</x:v>
      </x:c>
      <x:c r="C137" s="12" t="str">
        <x:v>梦境招募器</x:v>
      </x:c>
      <x:c r="D137" s="17" t="n">
        <x:v>100</x:v>
      </x:c>
      <x:c r="E137" s="13" t="n">
        <x:f>'道具价值基准'!E101</x:f>
        <x:v>30</x:v>
      </x:c>
      <x:c r="F137" s="13"/>
      <x:c r="G137" s="13" t="n">
        <x:f>IF(AND(ISNUMBER(D137),ISNUMBER(E137)),D137*E137,"待补")</x:f>
        <x:v>3000</x:v>
      </x:c>
      <x:c r="H137" s="12" t="str">
        <x:v>统一道具字典</x:v>
      </x:c>
      <x:c r="I137" s="12" t="str"/>
      <x:c r="J137" s="12" t="str">
        <x:v>主/橙卡试炼活动!第9行</x:v>
      </x:c>
    </x:row>
    <x:row r="138" ht="52" customHeight="1">
      <x:c r="A138" s="4" t="str">
        <x:v>P089</x:v>
      </x:c>
      <x:c r="B138" s="4" t="str">
        <x:v>等级5付费奖励</x:v>
      </x:c>
      <x:c r="C138" s="4" t="str">
        <x:v>超能特饮</x:v>
      </x:c>
      <x:c r="D138" s="18" t="n">
        <x:v>100</x:v>
      </x:c>
      <x:c r="E138" s="14" t="n">
        <x:f>'道具价值基准'!E15</x:f>
        <x:v>2</x:v>
      </x:c>
      <x:c r="F138" s="14"/>
      <x:c r="G138" s="14" t="n">
        <x:f>IF(AND(ISNUMBER(D138),ISNUMBER(E138)),D138*E138,"待补")</x:f>
        <x:v>200</x:v>
      </x:c>
      <x:c r="H138" s="4" t="str">
        <x:v>统一道具字典</x:v>
      </x:c>
      <x:c r="I138" s="4" t="str"/>
      <x:c r="J138" s="4" t="str">
        <x:v>主/橙卡试炼活动!第9行</x:v>
      </x:c>
    </x:row>
    <x:row r="139" ht="52" customHeight="1">
      <x:c r="A139" s="12" t="str">
        <x:v>P090</x:v>
      </x:c>
      <x:c r="B139" s="12" t="str">
        <x:v>等级10付费奖励</x:v>
      </x:c>
      <x:c r="C139" s="12" t="str">
        <x:v>自选传说梦灵</x:v>
      </x:c>
      <x:c r="D139" s="17" t="n">
        <x:v>2</x:v>
      </x:c>
      <x:c r="E139" s="13" t="n">
        <x:f>'道具价值基准'!E29</x:f>
        <x:v>240</x:v>
      </x:c>
      <x:c r="F139" s="13"/>
      <x:c r="G139" s="13" t="n">
        <x:f>IF(AND(ISNUMBER(D139),ISNUMBER(E139)),D139*E139,"待补")</x:f>
        <x:v>480</x:v>
      </x:c>
      <x:c r="H139" s="12" t="str">
        <x:v>统一道具字典</x:v>
      </x:c>
      <x:c r="I139" s="12" t="str"/>
      <x:c r="J139" s="12" t="str">
        <x:v>主/橙卡试炼活动!第10行</x:v>
      </x:c>
    </x:row>
    <x:row r="140" ht="52" customHeight="1">
      <x:c r="A140" s="4" t="str">
        <x:v>P090</x:v>
      </x:c>
      <x:c r="B140" s="4" t="str">
        <x:v>等级10付费奖励</x:v>
      </x:c>
      <x:c r="C140" s="4" t="str">
        <x:v>梦境招募器</x:v>
      </x:c>
      <x:c r="D140" s="18" t="n">
        <x:v>150</x:v>
      </x:c>
      <x:c r="E140" s="14" t="n">
        <x:f>'道具价值基准'!E101</x:f>
        <x:v>30</x:v>
      </x:c>
      <x:c r="F140" s="14"/>
      <x:c r="G140" s="14" t="n">
        <x:f>IF(AND(ISNUMBER(D140),ISNUMBER(E140)),D140*E140,"待补")</x:f>
        <x:v>4500</x:v>
      </x:c>
      <x:c r="H140" s="4" t="str">
        <x:v>统一道具字典</x:v>
      </x:c>
      <x:c r="I140" s="4" t="str"/>
      <x:c r="J140" s="4" t="str">
        <x:v>主/橙卡试炼活动!第10行</x:v>
      </x:c>
    </x:row>
    <x:row r="141" ht="52" customHeight="1">
      <x:c r="A141" s="12" t="str">
        <x:v>P090</x:v>
      </x:c>
      <x:c r="B141" s="12" t="str">
        <x:v>等级10付费奖励</x:v>
      </x:c>
      <x:c r="C141" s="12" t="str">
        <x:v>传说梦灵随机珍稀符文</x:v>
      </x:c>
      <x:c r="D141" s="17" t="n">
        <x:v>1</x:v>
      </x:c>
      <x:c r="E141" s="13"/>
      <x:c r="F141" s="13" t="n">
        <x:v>2000</x:v>
      </x:c>
      <x:c r="G141" s="13" t="str">
        <x:f>IF(AND(ISNUMBER(D141),ISNUMBER(E141)),D141*E141,"待补")</x:f>
        <x:v>待补</x:v>
      </x:c>
      <x:c r="H141" s="12" t="str">
        <x:v>缺统一估值</x:v>
      </x:c>
      <x:c r="I141" s="12" t="str"/>
      <x:c r="J141" s="12" t="str">
        <x:v>主/橙卡试炼活动!第10行</x:v>
      </x:c>
    </x:row>
    <x:row r="142" ht="52" customHeight="1">
      <x:c r="A142" s="4" t="str">
        <x:v>P091</x:v>
      </x:c>
      <x:c r="B142" s="4" t="str">
        <x:v>等级12付费奖励</x:v>
      </x:c>
      <x:c r="C142" s="4" t="str">
        <x:v>自选传说梦灵</x:v>
      </x:c>
      <x:c r="D142" s="18" t="n">
        <x:v>2</x:v>
      </x:c>
      <x:c r="E142" s="14" t="n">
        <x:f>'道具价值基准'!E29</x:f>
        <x:v>240</x:v>
      </x:c>
      <x:c r="F142" s="14"/>
      <x:c r="G142" s="14" t="n">
        <x:f>IF(AND(ISNUMBER(D142),ISNUMBER(E142)),D142*E142,"待补")</x:f>
        <x:v>480</x:v>
      </x:c>
      <x:c r="H142" s="4" t="str">
        <x:v>统一道具字典</x:v>
      </x:c>
      <x:c r="I142" s="4" t="str"/>
      <x:c r="J142" s="4" t="str">
        <x:v>主/橙卡试炼活动!第11行</x:v>
      </x:c>
    </x:row>
    <x:row r="143" ht="52" customHeight="1">
      <x:c r="A143" s="12" t="str">
        <x:v>P091</x:v>
      </x:c>
      <x:c r="B143" s="12" t="str">
        <x:v>等级12付费奖励</x:v>
      </x:c>
      <x:c r="C143" s="12" t="str">
        <x:v>星辉秘契</x:v>
      </x:c>
      <x:c r="D143" s="17" t="n">
        <x:v>5</x:v>
      </x:c>
      <x:c r="E143" s="13" t="n">
        <x:f>'道具价值基准'!E104</x:f>
        <x:v>280</x:v>
      </x:c>
      <x:c r="F143" s="13"/>
      <x:c r="G143" s="13" t="n">
        <x:f>IF(AND(ISNUMBER(D143),ISNUMBER(E143)),D143*E143,"待补")</x:f>
        <x:v>1400</x:v>
      </x:c>
      <x:c r="H143" s="12" t="str">
        <x:v>统一道具字典</x:v>
      </x:c>
      <x:c r="I143" s="12" t="str"/>
      <x:c r="J143" s="12" t="str">
        <x:v>主/橙卡试炼活动!第11行</x:v>
      </x:c>
    </x:row>
    <x:row r="144" ht="52" customHeight="1">
      <x:c r="A144" s="4" t="str">
        <x:v>P091</x:v>
      </x:c>
      <x:c r="B144" s="4" t="str">
        <x:v>等级12付费奖励</x:v>
      </x:c>
      <x:c r="C144" s="4" t="str">
        <x:v>传说梦灵随机稀世符文</x:v>
      </x:c>
      <x:c r="D144" s="18" t="n">
        <x:v>1</x:v>
      </x:c>
      <x:c r="E144" s="14"/>
      <x:c r="F144" s="14" t="n">
        <x:v>5000</x:v>
      </x:c>
      <x:c r="G144" s="14" t="str">
        <x:f>IF(AND(ISNUMBER(D144),ISNUMBER(E144)),D144*E144,"待补")</x:f>
        <x:v>待补</x:v>
      </x:c>
      <x:c r="H144" s="4" t="str">
        <x:v>缺统一估值</x:v>
      </x:c>
      <x:c r="I144" s="4" t="str"/>
      <x:c r="J144" s="4" t="str">
        <x:v>主/橙卡试炼活动!第11行</x:v>
      </x:c>
    </x:row>
    <x:row r="145" ht="52" customHeight="1">
      <x:c r="A145" s="12" t="str">
        <x:v>P092</x:v>
      </x:c>
      <x:c r="B145" s="12" t="str">
        <x:v>等级15付费奖励</x:v>
      </x:c>
      <x:c r="C145" s="12" t="str">
        <x:v>随机神话梦灵</x:v>
      </x:c>
      <x:c r="D145" s="17" t="n">
        <x:v>1</x:v>
      </x:c>
      <x:c r="E145" s="13" t="n">
        <x:f>'道具价值基准'!E26</x:f>
        <x:v>480</x:v>
      </x:c>
      <x:c r="F145" s="13" t="n">
        <x:v>5000</x:v>
      </x:c>
      <x:c r="G145" s="13" t="n">
        <x:f>IF(AND(ISNUMBER(D145),ISNUMBER(E145)),D145*E145,"待补")</x:f>
        <x:v>480</x:v>
      </x:c>
      <x:c r="H145" s="12" t="str">
        <x:v>统一道具字典</x:v>
      </x:c>
      <x:c r="I145" s="12" t="str">
        <x:v>活动单价5000，统一字典480</x:v>
      </x:c>
      <x:c r="J145" s="12" t="str">
        <x:v>主/橙卡试炼活动!第12行</x:v>
      </x:c>
    </x:row>
    <x:row r="146" ht="52" customHeight="1">
      <x:c r="A146" s="4" t="str">
        <x:v>P092</x:v>
      </x:c>
      <x:c r="B146" s="4" t="str">
        <x:v>等级15付费奖励</x:v>
      </x:c>
      <x:c r="C146" s="4" t="str">
        <x:v>星辉秘契</x:v>
      </x:c>
      <x:c r="D146" s="18" t="n">
        <x:v>10</x:v>
      </x:c>
      <x:c r="E146" s="14" t="n">
        <x:f>'道具价值基准'!E104</x:f>
        <x:v>280</x:v>
      </x:c>
      <x:c r="F146" s="14"/>
      <x:c r="G146" s="14" t="n">
        <x:f>IF(AND(ISNUMBER(D146),ISNUMBER(E146)),D146*E146,"待补")</x:f>
        <x:v>2800</x:v>
      </x:c>
      <x:c r="H146" s="4" t="str">
        <x:v>统一道具字典</x:v>
      </x:c>
      <x:c r="I146" s="4" t="str"/>
      <x:c r="J146" s="4" t="str">
        <x:v>主/橙卡试炼活动!第12行</x:v>
      </x:c>
    </x:row>
    <x:row r="147" ht="52" customHeight="1">
      <x:c r="A147" s="12" t="str">
        <x:v>P092</x:v>
      </x:c>
      <x:c r="B147" s="12" t="str">
        <x:v>等级15付费奖励</x:v>
      </x:c>
      <x:c r="C147" s="12" t="str">
        <x:v>超能特饮</x:v>
      </x:c>
      <x:c r="D147" s="17" t="n">
        <x:v>300</x:v>
      </x:c>
      <x:c r="E147" s="13" t="n">
        <x:f>'道具价值基准'!E15</x:f>
        <x:v>2</x:v>
      </x:c>
      <x:c r="F147" s="13"/>
      <x:c r="G147" s="13" t="n">
        <x:f>IF(AND(ISNUMBER(D147),ISNUMBER(E147)),D147*E147,"待补")</x:f>
        <x:v>600</x:v>
      </x:c>
      <x:c r="H147" s="12" t="str">
        <x:v>统一道具字典</x:v>
      </x:c>
      <x:c r="I147" s="12" t="str"/>
      <x:c r="J147" s="12" t="str">
        <x:v>主/橙卡试炼活动!第12行</x:v>
      </x:c>
    </x:row>
    <x:row r="148" ht="52" customHeight="1">
      <x:c r="A148" s="4" t="str">
        <x:v>P093</x:v>
      </x:c>
      <x:c r="B148" s="4" t="str">
        <x:v>等级17付费奖励</x:v>
      </x:c>
      <x:c r="C148" s="4" t="str">
        <x:v>幻梦晶核</x:v>
      </x:c>
      <x:c r="D148" s="18" t="n">
        <x:v>50</x:v>
      </x:c>
      <x:c r="E148" s="14" t="n">
        <x:f>'道具价值基准'!E36</x:f>
        <x:v>60</x:v>
      </x:c>
      <x:c r="F148" s="14"/>
      <x:c r="G148" s="14" t="n">
        <x:f>IF(AND(ISNUMBER(D148),ISNUMBER(E148)),D148*E148,"待补")</x:f>
        <x:v>3000</x:v>
      </x:c>
      <x:c r="H148" s="4" t="str">
        <x:v>统一道具字典</x:v>
      </x:c>
      <x:c r="I148" s="4" t="str"/>
      <x:c r="J148" s="4" t="str">
        <x:v>主/橙卡试炼活动!第13行</x:v>
      </x:c>
    </x:row>
    <x:row r="149" ht="52" customHeight="1">
      <x:c r="A149" s="12" t="str">
        <x:v>P093</x:v>
      </x:c>
      <x:c r="B149" s="12" t="str">
        <x:v>等级17付费奖励</x:v>
      </x:c>
      <x:c r="C149" s="12" t="str">
        <x:v>星辉秘契</x:v>
      </x:c>
      <x:c r="D149" s="17" t="n">
        <x:v>20</x:v>
      </x:c>
      <x:c r="E149" s="13" t="n">
        <x:f>'道具价值基准'!E104</x:f>
        <x:v>280</x:v>
      </x:c>
      <x:c r="F149" s="13"/>
      <x:c r="G149" s="13" t="n">
        <x:f>IF(AND(ISNUMBER(D149),ISNUMBER(E149)),D149*E149,"待补")</x:f>
        <x:v>5600</x:v>
      </x:c>
      <x:c r="H149" s="12" t="str">
        <x:v>统一道具字典</x:v>
      </x:c>
      <x:c r="I149" s="12" t="str"/>
      <x:c r="J149" s="12" t="str">
        <x:v>主/橙卡试炼活动!第13行</x:v>
      </x:c>
    </x:row>
    <x:row r="150" ht="52" customHeight="1">
      <x:c r="A150" s="4" t="str">
        <x:v>P093</x:v>
      </x:c>
      <x:c r="B150" s="4" t="str">
        <x:v>等级17付费奖励</x:v>
      </x:c>
      <x:c r="C150" s="4" t="str">
        <x:v>【奖励名称缺失】</x:v>
      </x:c>
      <x:c r="D150" s="18" t="n">
        <x:v>1</x:v>
      </x:c>
      <x:c r="E150" s="14"/>
      <x:c r="F150" s="14"/>
      <x:c r="G150" s="14" t="str">
        <x:f>IF(AND(ISNUMBER(D150),ISNUMBER(E150)),D150*E150,"待补")</x:f>
        <x:v>待补</x:v>
      </x:c>
      <x:c r="H150" s="4" t="str">
        <x:v>缺统一估值</x:v>
      </x:c>
      <x:c r="I150" s="4" t="str"/>
      <x:c r="J150" s="4" t="str">
        <x:v>主/橙卡试炼活动!第13行</x:v>
      </x:c>
    </x:row>
    <x:row r="151" ht="52" customHeight="1">
      <x:c r="A151" s="12" t="str">
        <x:v>P094</x:v>
      </x:c>
      <x:c r="B151" s="12" t="str">
        <x:v>等级20付费奖励</x:v>
      </x:c>
      <x:c r="C151" s="12" t="str">
        <x:v>幻梦晶核</x:v>
      </x:c>
      <x:c r="D151" s="17" t="n">
        <x:v>80</x:v>
      </x:c>
      <x:c r="E151" s="13" t="n">
        <x:f>'道具价值基准'!E36</x:f>
        <x:v>60</x:v>
      </x:c>
      <x:c r="F151" s="13"/>
      <x:c r="G151" s="13" t="n">
        <x:f>IF(AND(ISNUMBER(D151),ISNUMBER(E151)),D151*E151,"待补")</x:f>
        <x:v>4800</x:v>
      </x:c>
      <x:c r="H151" s="12" t="str">
        <x:v>统一道具字典</x:v>
      </x:c>
      <x:c r="I151" s="12" t="str"/>
      <x:c r="J151" s="12" t="str">
        <x:v>主/橙卡试炼活动!第14行</x:v>
      </x:c>
    </x:row>
    <x:row r="152" ht="52" customHeight="1">
      <x:c r="A152" s="4" t="str">
        <x:v>P094</x:v>
      </x:c>
      <x:c r="B152" s="4" t="str">
        <x:v>等级20付费奖励</x:v>
      </x:c>
      <x:c r="C152" s="4" t="str">
        <x:v>星辉秘契</x:v>
      </x:c>
      <x:c r="D152" s="18" t="n">
        <x:v>30</x:v>
      </x:c>
      <x:c r="E152" s="14" t="n">
        <x:f>'道具价值基准'!E104</x:f>
        <x:v>280</x:v>
      </x:c>
      <x:c r="F152" s="14"/>
      <x:c r="G152" s="14" t="n">
        <x:f>IF(AND(ISNUMBER(D152),ISNUMBER(E152)),D152*E152,"待补")</x:f>
        <x:v>8400</x:v>
      </x:c>
      <x:c r="H152" s="4" t="str">
        <x:v>统一道具字典</x:v>
      </x:c>
      <x:c r="I152" s="4" t="str"/>
      <x:c r="J152" s="4" t="str">
        <x:v>主/橙卡试炼活动!第14行</x:v>
      </x:c>
    </x:row>
    <x:row r="153" ht="52" customHeight="1">
      <x:c r="A153" s="12" t="str">
        <x:v>P095</x:v>
      </x:c>
      <x:c r="B153" s="12" t="str">
        <x:v>等级1付费奖励</x:v>
      </x:c>
      <x:c r="C153" s="12" t="str">
        <x:v>超能特饮</x:v>
      </x:c>
      <x:c r="D153" s="17" t="n">
        <x:v>50</x:v>
      </x:c>
      <x:c r="E153" s="13" t="n">
        <x:f>'道具价值基准'!E15</x:f>
        <x:v>2</x:v>
      </x:c>
      <x:c r="F153" s="13"/>
      <x:c r="G153" s="13" t="n">
        <x:f>IF(AND(ISNUMBER(D153),ISNUMBER(E153)),D153*E153,"待补")</x:f>
        <x:v>100</x:v>
      </x:c>
      <x:c r="H153" s="12" t="str">
        <x:v>统一道具字典</x:v>
      </x:c>
      <x:c r="I153" s="12" t="str"/>
      <x:c r="J153" s="12" t="str">
        <x:v>主/红卡试炼活动!第8行</x:v>
      </x:c>
    </x:row>
    <x:row r="154" ht="52" customHeight="1">
      <x:c r="A154" s="4" t="str">
        <x:v>P095</x:v>
      </x:c>
      <x:c r="B154" s="4" t="str">
        <x:v>等级1付费奖励</x:v>
      </x:c>
      <x:c r="C154" s="4" t="str">
        <x:v>梦境招募器</x:v>
      </x:c>
      <x:c r="D154" s="18" t="n">
        <x:v>50</x:v>
      </x:c>
      <x:c r="E154" s="14" t="n">
        <x:f>'道具价值基准'!E101</x:f>
        <x:v>30</x:v>
      </x:c>
      <x:c r="F154" s="14"/>
      <x:c r="G154" s="14" t="n">
        <x:f>IF(AND(ISNUMBER(D154),ISNUMBER(E154)),D154*E154,"待补")</x:f>
        <x:v>1500</x:v>
      </x:c>
      <x:c r="H154" s="4" t="str">
        <x:v>统一道具字典</x:v>
      </x:c>
      <x:c r="I154" s="4" t="str"/>
      <x:c r="J154" s="4" t="str">
        <x:v>主/红卡试炼活动!第8行</x:v>
      </x:c>
    </x:row>
    <x:row r="155" ht="52" customHeight="1">
      <x:c r="A155" s="12" t="str">
        <x:v>P096</x:v>
      </x:c>
      <x:c r="B155" s="12" t="str">
        <x:v>等级5付费奖励</x:v>
      </x:c>
      <x:c r="C155" s="12" t="str">
        <x:v>自选神话梦灵</x:v>
      </x:c>
      <x:c r="D155" s="17" t="n">
        <x:v>1</x:v>
      </x:c>
      <x:c r="E155" s="13" t="n">
        <x:f>'道具价值基准'!E30</x:f>
        <x:v>480</x:v>
      </x:c>
      <x:c r="F155" s="13"/>
      <x:c r="G155" s="13" t="n">
        <x:f>IF(AND(ISNUMBER(D155),ISNUMBER(E155)),D155*E155,"待补")</x:f>
        <x:v>480</x:v>
      </x:c>
      <x:c r="H155" s="12" t="str">
        <x:v>统一道具字典</x:v>
      </x:c>
      <x:c r="I155" s="12" t="str"/>
      <x:c r="J155" s="12" t="str">
        <x:v>主/红卡试炼活动!第9行</x:v>
      </x:c>
    </x:row>
    <x:row r="156" ht="52" customHeight="1">
      <x:c r="A156" s="4" t="str">
        <x:v>P096</x:v>
      </x:c>
      <x:c r="B156" s="4" t="str">
        <x:v>等级5付费奖励</x:v>
      </x:c>
      <x:c r="C156" s="4" t="str">
        <x:v>梦境招募器</x:v>
      </x:c>
      <x:c r="D156" s="18" t="n">
        <x:v>100</x:v>
      </x:c>
      <x:c r="E156" s="14" t="n">
        <x:f>'道具价值基准'!E101</x:f>
        <x:v>30</x:v>
      </x:c>
      <x:c r="F156" s="14"/>
      <x:c r="G156" s="14" t="n">
        <x:f>IF(AND(ISNUMBER(D156),ISNUMBER(E156)),D156*E156,"待补")</x:f>
        <x:v>3000</x:v>
      </x:c>
      <x:c r="H156" s="4" t="str">
        <x:v>统一道具字典</x:v>
      </x:c>
      <x:c r="I156" s="4" t="str"/>
      <x:c r="J156" s="4" t="str">
        <x:v>主/红卡试炼活动!第9行</x:v>
      </x:c>
    </x:row>
    <x:row r="157" ht="52" customHeight="1">
      <x:c r="A157" s="12" t="str">
        <x:v>P096</x:v>
      </x:c>
      <x:c r="B157" s="12" t="str">
        <x:v>等级5付费奖励</x:v>
      </x:c>
      <x:c r="C157" s="12" t="str">
        <x:v>超能特饮</x:v>
      </x:c>
      <x:c r="D157" s="17" t="n">
        <x:v>100</x:v>
      </x:c>
      <x:c r="E157" s="13" t="n">
        <x:f>'道具价值基准'!E15</x:f>
        <x:v>2</x:v>
      </x:c>
      <x:c r="F157" s="13"/>
      <x:c r="G157" s="13" t="n">
        <x:f>IF(AND(ISNUMBER(D157),ISNUMBER(E157)),D157*E157,"待补")</x:f>
        <x:v>200</x:v>
      </x:c>
      <x:c r="H157" s="12" t="str">
        <x:v>统一道具字典</x:v>
      </x:c>
      <x:c r="I157" s="12" t="str"/>
      <x:c r="J157" s="12" t="str">
        <x:v>主/红卡试炼活动!第9行</x:v>
      </x:c>
    </x:row>
    <x:row r="158" ht="52" customHeight="1">
      <x:c r="A158" s="4" t="str">
        <x:v>P097</x:v>
      </x:c>
      <x:c r="B158" s="4" t="str">
        <x:v>等级8付费奖励</x:v>
      </x:c>
      <x:c r="C158" s="4" t="str">
        <x:v>自选神话梦灵</x:v>
      </x:c>
      <x:c r="D158" s="18" t="n">
        <x:v>2</x:v>
      </x:c>
      <x:c r="E158" s="14" t="n">
        <x:f>'道具价值基准'!E30</x:f>
        <x:v>480</x:v>
      </x:c>
      <x:c r="F158" s="14"/>
      <x:c r="G158" s="14" t="n">
        <x:f>IF(AND(ISNUMBER(D158),ISNUMBER(E158)),D158*E158,"待补")</x:f>
        <x:v>960</x:v>
      </x:c>
      <x:c r="H158" s="4" t="str">
        <x:v>统一道具字典</x:v>
      </x:c>
      <x:c r="I158" s="4" t="str"/>
      <x:c r="J158" s="4" t="str">
        <x:v>主/红卡试炼活动!第10行</x:v>
      </x:c>
    </x:row>
    <x:row r="159" ht="52" customHeight="1">
      <x:c r="A159" s="12" t="str">
        <x:v>P097</x:v>
      </x:c>
      <x:c r="B159" s="12" t="str">
        <x:v>等级8付费奖励</x:v>
      </x:c>
      <x:c r="C159" s="12" t="str">
        <x:v>梦境招募器</x:v>
      </x:c>
      <x:c r="D159" s="17" t="n">
        <x:v>150</x:v>
      </x:c>
      <x:c r="E159" s="13" t="n">
        <x:f>'道具价值基准'!E101</x:f>
        <x:v>30</x:v>
      </x:c>
      <x:c r="F159" s="13"/>
      <x:c r="G159" s="13" t="n">
        <x:f>IF(AND(ISNUMBER(D159),ISNUMBER(E159)),D159*E159,"待补")</x:f>
        <x:v>4500</x:v>
      </x:c>
      <x:c r="H159" s="12" t="str">
        <x:v>统一道具字典</x:v>
      </x:c>
      <x:c r="I159" s="12" t="str"/>
      <x:c r="J159" s="12" t="str">
        <x:v>主/红卡试炼活动!第10行</x:v>
      </x:c>
    </x:row>
    <x:row r="160" ht="52" customHeight="1">
      <x:c r="A160" s="4" t="str">
        <x:v>P097</x:v>
      </x:c>
      <x:c r="B160" s="4" t="str">
        <x:v>等级8付费奖励</x:v>
      </x:c>
      <x:c r="C160" s="4" t="str">
        <x:v>超能特饮</x:v>
      </x:c>
      <x:c r="D160" s="18" t="n">
        <x:v>200</x:v>
      </x:c>
      <x:c r="E160" s="14" t="n">
        <x:f>'道具价值基准'!E15</x:f>
        <x:v>2</x:v>
      </x:c>
      <x:c r="F160" s="14"/>
      <x:c r="G160" s="14" t="n">
        <x:f>IF(AND(ISNUMBER(D160),ISNUMBER(E160)),D160*E160,"待补")</x:f>
        <x:v>400</x:v>
      </x:c>
      <x:c r="H160" s="4" t="str">
        <x:v>统一道具字典</x:v>
      </x:c>
      <x:c r="I160" s="4" t="str"/>
      <x:c r="J160" s="4" t="str">
        <x:v>主/红卡试炼活动!第10行</x:v>
      </x:c>
    </x:row>
    <x:row r="161" ht="52" customHeight="1">
      <x:c r="A161" s="12" t="str">
        <x:v>P098</x:v>
      </x:c>
      <x:c r="B161" s="12" t="str">
        <x:v>等级10付费奖励</x:v>
      </x:c>
      <x:c r="C161" s="12" t="str">
        <x:v>自选神话梦灵</x:v>
      </x:c>
      <x:c r="D161" s="17" t="n">
        <x:v>2</x:v>
      </x:c>
      <x:c r="E161" s="13" t="n">
        <x:f>'道具价值基准'!E30</x:f>
        <x:v>480</x:v>
      </x:c>
      <x:c r="F161" s="13"/>
      <x:c r="G161" s="13" t="n">
        <x:f>IF(AND(ISNUMBER(D161),ISNUMBER(E161)),D161*E161,"待补")</x:f>
        <x:v>960</x:v>
      </x:c>
      <x:c r="H161" s="12" t="str">
        <x:v>统一道具字典</x:v>
      </x:c>
      <x:c r="I161" s="12" t="str"/>
      <x:c r="J161" s="12" t="str">
        <x:v>主/红卡试炼活动!第11行</x:v>
      </x:c>
    </x:row>
    <x:row r="162" ht="52" customHeight="1">
      <x:c r="A162" s="4" t="str">
        <x:v>P098</x:v>
      </x:c>
      <x:c r="B162" s="4" t="str">
        <x:v>等级10付费奖励</x:v>
      </x:c>
      <x:c r="C162" s="4" t="str">
        <x:v>梦境招募器</x:v>
      </x:c>
      <x:c r="D162" s="18" t="n">
        <x:v>200</x:v>
      </x:c>
      <x:c r="E162" s="14" t="n">
        <x:f>'道具价值基准'!E101</x:f>
        <x:v>30</x:v>
      </x:c>
      <x:c r="F162" s="14"/>
      <x:c r="G162" s="14" t="n">
        <x:f>IF(AND(ISNUMBER(D162),ISNUMBER(E162)),D162*E162,"待补")</x:f>
        <x:v>6000</x:v>
      </x:c>
      <x:c r="H162" s="4" t="str">
        <x:v>统一道具字典</x:v>
      </x:c>
      <x:c r="I162" s="4" t="str"/>
      <x:c r="J162" s="4" t="str">
        <x:v>主/红卡试炼活动!第11行</x:v>
      </x:c>
    </x:row>
    <x:row r="163" ht="52" customHeight="1">
      <x:c r="A163" s="12" t="str">
        <x:v>P098</x:v>
      </x:c>
      <x:c r="B163" s="12" t="str">
        <x:v>等级10付费奖励</x:v>
      </x:c>
      <x:c r="C163" s="12" t="str">
        <x:v>神话梦灵随机珍稀符文</x:v>
      </x:c>
      <x:c r="D163" s="17" t="n">
        <x:v>1</x:v>
      </x:c>
      <x:c r="E163" s="13"/>
      <x:c r="F163" s="13" t="n">
        <x:v>3000</x:v>
      </x:c>
      <x:c r="G163" s="13" t="str">
        <x:f>IF(AND(ISNUMBER(D163),ISNUMBER(E163)),D163*E163,"待补")</x:f>
        <x:v>待补</x:v>
      </x:c>
      <x:c r="H163" s="12" t="str">
        <x:v>缺统一估值</x:v>
      </x:c>
      <x:c r="I163" s="12" t="str"/>
      <x:c r="J163" s="12" t="str">
        <x:v>主/红卡试炼活动!第11行</x:v>
      </x:c>
    </x:row>
    <x:row r="164" ht="52" customHeight="1">
      <x:c r="A164" s="4" t="str">
        <x:v>P099</x:v>
      </x:c>
      <x:c r="B164" s="4" t="str">
        <x:v>等级12付费奖励</x:v>
      </x:c>
      <x:c r="C164" s="4" t="str">
        <x:v>自选神话梦灵</x:v>
      </x:c>
      <x:c r="D164" s="18" t="n">
        <x:v>1</x:v>
      </x:c>
      <x:c r="E164" s="14" t="n">
        <x:f>'道具价值基准'!E30</x:f>
        <x:v>480</x:v>
      </x:c>
      <x:c r="F164" s="14"/>
      <x:c r="G164" s="14" t="n">
        <x:f>IF(AND(ISNUMBER(D164),ISNUMBER(E164)),D164*E164,"待补")</x:f>
        <x:v>480</x:v>
      </x:c>
      <x:c r="H164" s="4" t="str">
        <x:v>统一道具字典</x:v>
      </x:c>
      <x:c r="I164" s="4" t="str"/>
      <x:c r="J164" s="4" t="str">
        <x:v>主/红卡试炼活动!第12行</x:v>
      </x:c>
    </x:row>
    <x:row r="165" ht="52" customHeight="1">
      <x:c r="A165" s="12" t="str">
        <x:v>P099</x:v>
      </x:c>
      <x:c r="B165" s="12" t="str">
        <x:v>等级12付费奖励</x:v>
      </x:c>
      <x:c r="C165" s="12" t="str">
        <x:v>星辉秘契</x:v>
      </x:c>
      <x:c r="D165" s="17" t="n">
        <x:v>5</x:v>
      </x:c>
      <x:c r="E165" s="13" t="n">
        <x:f>'道具价值基准'!E104</x:f>
        <x:v>280</x:v>
      </x:c>
      <x:c r="F165" s="13"/>
      <x:c r="G165" s="13" t="n">
        <x:f>IF(AND(ISNUMBER(D165),ISNUMBER(E165)),D165*E165,"待补")</x:f>
        <x:v>1400</x:v>
      </x:c>
      <x:c r="H165" s="12" t="str">
        <x:v>统一道具字典</x:v>
      </x:c>
      <x:c r="I165" s="12" t="str"/>
      <x:c r="J165" s="12" t="str">
        <x:v>主/红卡试炼活动!第12行</x:v>
      </x:c>
    </x:row>
    <x:row r="166" ht="52" customHeight="1">
      <x:c r="A166" s="4" t="str">
        <x:v>P099</x:v>
      </x:c>
      <x:c r="B166" s="4" t="str">
        <x:v>等级12付费奖励</x:v>
      </x:c>
      <x:c r="C166" s="4" t="str">
        <x:v>神话梦灵随机稀世符文</x:v>
      </x:c>
      <x:c r="D166" s="18" t="n">
        <x:v>1</x:v>
      </x:c>
      <x:c r="E166" s="14"/>
      <x:c r="F166" s="14" t="n">
        <x:v>6000</x:v>
      </x:c>
      <x:c r="G166" s="14" t="str">
        <x:f>IF(AND(ISNUMBER(D166),ISNUMBER(E166)),D166*E166,"待补")</x:f>
        <x:v>待补</x:v>
      </x:c>
      <x:c r="H166" s="4" t="str">
        <x:v>缺统一估值</x:v>
      </x:c>
      <x:c r="I166" s="4" t="str"/>
      <x:c r="J166" s="4" t="str">
        <x:v>主/红卡试炼活动!第12行</x:v>
      </x:c>
    </x:row>
    <x:row r="167" ht="52" customHeight="1">
      <x:c r="A167" s="12" t="str">
        <x:v>P100</x:v>
      </x:c>
      <x:c r="B167" s="12" t="str">
        <x:v>等级15付费奖励</x:v>
      </x:c>
      <x:c r="C167" s="12" t="str">
        <x:v>自选神话梦灵</x:v>
      </x:c>
      <x:c r="D167" s="17" t="n">
        <x:v>2</x:v>
      </x:c>
      <x:c r="E167" s="13" t="n">
        <x:f>'道具价值基准'!E30</x:f>
        <x:v>480</x:v>
      </x:c>
      <x:c r="F167" s="13"/>
      <x:c r="G167" s="13" t="n">
        <x:f>IF(AND(ISNUMBER(D167),ISNUMBER(E167)),D167*E167,"待补")</x:f>
        <x:v>960</x:v>
      </x:c>
      <x:c r="H167" s="12" t="str">
        <x:v>统一道具字典</x:v>
      </x:c>
      <x:c r="I167" s="12" t="str"/>
      <x:c r="J167" s="12" t="str">
        <x:v>主/红卡试炼活动!第13行</x:v>
      </x:c>
    </x:row>
    <x:row r="168" ht="52" customHeight="1">
      <x:c r="A168" s="4" t="str">
        <x:v>P100</x:v>
      </x:c>
      <x:c r="B168" s="4" t="str">
        <x:v>等级15付费奖励</x:v>
      </x:c>
      <x:c r="C168" s="4" t="str">
        <x:v>星辉秘契</x:v>
      </x:c>
      <x:c r="D168" s="18" t="n">
        <x:v>10</x:v>
      </x:c>
      <x:c r="E168" s="14" t="n">
        <x:f>'道具价值基准'!E104</x:f>
        <x:v>280</x:v>
      </x:c>
      <x:c r="F168" s="14"/>
      <x:c r="G168" s="14" t="n">
        <x:f>IF(AND(ISNUMBER(D168),ISNUMBER(E168)),D168*E168,"待补")</x:f>
        <x:v>2800</x:v>
      </x:c>
      <x:c r="H168" s="4" t="str">
        <x:v>统一道具字典</x:v>
      </x:c>
      <x:c r="I168" s="4" t="str"/>
      <x:c r="J168" s="4" t="str">
        <x:v>主/红卡试炼活动!第13行</x:v>
      </x:c>
    </x:row>
    <x:row r="169" ht="52" customHeight="1">
      <x:c r="A169" s="12" t="str">
        <x:v>P100</x:v>
      </x:c>
      <x:c r="B169" s="12" t="str">
        <x:v>等级15付费奖励</x:v>
      </x:c>
      <x:c r="C169" s="12" t="str">
        <x:v>自选神话梦灵皮肤</x:v>
      </x:c>
      <x:c r="D169" s="17" t="n">
        <x:v>1</x:v>
      </x:c>
      <x:c r="E169" s="13" t="n">
        <x:f>'道具价值基准'!E108</x:f>
        <x:v>8000</x:v>
      </x:c>
      <x:c r="F169" s="13" t="n">
        <x:v>8000</x:v>
      </x:c>
      <x:c r="G169" s="13" t="n">
        <x:f>IF(AND(ISNUMBER(D169),ISNUMBER(E169)),D169*E169,"待补")</x:f>
        <x:v>8000</x:v>
      </x:c>
      <x:c r="H169" s="12" t="str">
        <x:v>统一道具字典</x:v>
      </x:c>
      <x:c r="I169" s="12" t="str"/>
      <x:c r="J169" s="12" t="str">
        <x:v>主/红卡试炼活动!第13行</x:v>
      </x:c>
    </x:row>
    <x:row r="170" ht="52" customHeight="1">
      <x:c r="A170" s="4" t="str">
        <x:v>P101</x:v>
      </x:c>
      <x:c r="B170" s="4" t="str">
        <x:v>等级17付费奖励</x:v>
      </x:c>
      <x:c r="C170" s="4" t="str">
        <x:v>幻梦晶核</x:v>
      </x:c>
      <x:c r="D170" s="18" t="n">
        <x:v>150</x:v>
      </x:c>
      <x:c r="E170" s="14" t="n">
        <x:f>'道具价值基准'!E36</x:f>
        <x:v>60</x:v>
      </x:c>
      <x:c r="F170" s="14"/>
      <x:c r="G170" s="14" t="n">
        <x:f>IF(AND(ISNUMBER(D170),ISNUMBER(E170)),D170*E170,"待补")</x:f>
        <x:v>9000</x:v>
      </x:c>
      <x:c r="H170" s="4" t="str">
        <x:v>统一道具字典</x:v>
      </x:c>
      <x:c r="I170" s="4" t="str"/>
      <x:c r="J170" s="4" t="str">
        <x:v>主/红卡试炼活动!第14行</x:v>
      </x:c>
    </x:row>
    <x:row r="171" ht="52" customHeight="1">
      <x:c r="A171" s="12" t="str">
        <x:v>P101</x:v>
      </x:c>
      <x:c r="B171" s="12" t="str">
        <x:v>等级17付费奖励</x:v>
      </x:c>
      <x:c r="C171" s="12" t="str">
        <x:v>星辉秘契</x:v>
      </x:c>
      <x:c r="D171" s="17" t="n">
        <x:v>20</x:v>
      </x:c>
      <x:c r="E171" s="13" t="n">
        <x:f>'道具价值基准'!E104</x:f>
        <x:v>280</x:v>
      </x:c>
      <x:c r="F171" s="13"/>
      <x:c r="G171" s="13" t="n">
        <x:f>IF(AND(ISNUMBER(D171),ISNUMBER(E171)),D171*E171,"待补")</x:f>
        <x:v>5600</x:v>
      </x:c>
      <x:c r="H171" s="12" t="str">
        <x:v>统一道具字典</x:v>
      </x:c>
      <x:c r="I171" s="12" t="str"/>
      <x:c r="J171" s="12" t="str">
        <x:v>主/红卡试炼活动!第14行</x:v>
      </x:c>
    </x:row>
    <x:row r="172" ht="52" customHeight="1">
      <x:c r="A172" s="4" t="str">
        <x:v>P102</x:v>
      </x:c>
      <x:c r="B172" s="4" t="str">
        <x:v>等级20付费奖励</x:v>
      </x:c>
      <x:c r="C172" s="4" t="str">
        <x:v>星辉秘契</x:v>
      </x:c>
      <x:c r="D172" s="18" t="n">
        <x:v>30</x:v>
      </x:c>
      <x:c r="E172" s="14" t="n">
        <x:f>'道具价值基准'!E104</x:f>
        <x:v>280</x:v>
      </x:c>
      <x:c r="F172" s="14"/>
      <x:c r="G172" s="14" t="n">
        <x:f>IF(AND(ISNUMBER(D172),ISNUMBER(E172)),D172*E172,"待补")</x:f>
        <x:v>8400</x:v>
      </x:c>
      <x:c r="H172" s="4" t="str">
        <x:v>统一道具字典</x:v>
      </x:c>
      <x:c r="I172" s="4" t="str"/>
      <x:c r="J172" s="4" t="str">
        <x:v>主/红卡试炼活动!第15行</x:v>
      </x:c>
    </x:row>
    <x:row r="173" ht="52" customHeight="1">
      <x:c r="A173" s="12" t="str">
        <x:v>P102</x:v>
      </x:c>
      <x:c r="B173" s="12" t="str">
        <x:v>等级20付费奖励</x:v>
      </x:c>
      <x:c r="C173" s="12" t="str">
        <x:v>梦境招募器</x:v>
      </x:c>
      <x:c r="D173" s="17" t="n">
        <x:v>300</x:v>
      </x:c>
      <x:c r="E173" s="13" t="n">
        <x:f>'道具价值基准'!E101</x:f>
        <x:v>30</x:v>
      </x:c>
      <x:c r="F173" s="13"/>
      <x:c r="G173" s="13" t="n">
        <x:f>IF(AND(ISNUMBER(D173),ISNUMBER(E173)),D173*E173,"待补")</x:f>
        <x:v>9000</x:v>
      </x:c>
      <x:c r="H173" s="12" t="str">
        <x:v>统一道具字典</x:v>
      </x:c>
      <x:c r="I173" s="12" t="str"/>
      <x:c r="J173" s="12" t="str">
        <x:v>主/红卡试炼活动!第15行</x:v>
      </x:c>
    </x:row>
    <x:row r="174" ht="52" customHeight="1">
      <x:c r="A174" s="4" t="str">
        <x:v>P106</x:v>
      </x:c>
      <x:c r="B174" s="4" t="str">
        <x:v>星轨探测/礼包1</x:v>
      </x:c>
      <x:c r="C174" s="4" t="str">
        <x:v>钻石</x:v>
      </x:c>
      <x:c r="D174" s="18" t="n">
        <x:v>60</x:v>
      </x:c>
      <x:c r="E174" s="14" t="n">
        <x:f>'道具价值基准'!E5</x:f>
        <x:v>1</x:v>
      </x:c>
      <x:c r="F174" s="14"/>
      <x:c r="G174" s="14" t="n">
        <x:f>IF(AND(ISNUMBER(D174),ISNUMBER(E174)),D174*E174,"待补")</x:f>
        <x:v>60</x:v>
      </x:c>
      <x:c r="H174" s="4" t="str">
        <x:v>统一道具字典</x:v>
      </x:c>
      <x:c r="I174" s="4" t="str"/>
      <x:c r="J174" s="4" t="str">
        <x:v>主/星轨探测!第57行</x:v>
      </x:c>
    </x:row>
    <x:row r="175" ht="52" customHeight="1">
      <x:c r="A175" s="12" t="str">
        <x:v>P106</x:v>
      </x:c>
      <x:c r="B175" s="12" t="str">
        <x:v>星轨探测/礼包1</x:v>
      </x:c>
      <x:c r="C175" s="12" t="str">
        <x:v>探测器</x:v>
      </x:c>
      <x:c r="D175" s="17" t="n">
        <x:v>6</x:v>
      </x:c>
      <x:c r="E175" s="13"/>
      <x:c r="F175" s="13"/>
      <x:c r="G175" s="13" t="str">
        <x:f>IF(AND(ISNUMBER(D175),ISNUMBER(E175)),D175*E175,"待补")</x:f>
        <x:v>待补</x:v>
      </x:c>
      <x:c r="H175" s="12" t="str">
        <x:v>缺统一估值</x:v>
      </x:c>
      <x:c r="I175" s="12" t="str"/>
      <x:c r="J175" s="12" t="str">
        <x:v>主/星轨探测!第57行</x:v>
      </x:c>
    </x:row>
    <x:row r="176" ht="52" customHeight="1">
      <x:c r="A176" s="4" t="str">
        <x:v>P107</x:v>
      </x:c>
      <x:c r="B176" s="4" t="str">
        <x:v>星轨探测/礼包2</x:v>
      </x:c>
      <x:c r="C176" s="4" t="str">
        <x:v>钻石</x:v>
      </x:c>
      <x:c r="D176" s="18" t="n">
        <x:v>300</x:v>
      </x:c>
      <x:c r="E176" s="14" t="n">
        <x:f>'道具价值基准'!E5</x:f>
        <x:v>1</x:v>
      </x:c>
      <x:c r="F176" s="14"/>
      <x:c r="G176" s="14" t="n">
        <x:f>IF(AND(ISNUMBER(D176),ISNUMBER(E176)),D176*E176,"待补")</x:f>
        <x:v>300</x:v>
      </x:c>
      <x:c r="H176" s="4" t="str">
        <x:v>统一道具字典</x:v>
      </x:c>
      <x:c r="I176" s="4" t="str"/>
      <x:c r="J176" s="4" t="str">
        <x:v>主/星轨探测!第58行</x:v>
      </x:c>
    </x:row>
    <x:row r="177" ht="52" customHeight="1">
      <x:c r="A177" s="12" t="str">
        <x:v>P107</x:v>
      </x:c>
      <x:c r="B177" s="12" t="str">
        <x:v>星轨探测/礼包2</x:v>
      </x:c>
      <x:c r="C177" s="12" t="str">
        <x:v>探测器</x:v>
      </x:c>
      <x:c r="D177" s="17" t="n">
        <x:v>10</x:v>
      </x:c>
      <x:c r="E177" s="13"/>
      <x:c r="F177" s="13"/>
      <x:c r="G177" s="13" t="str">
        <x:f>IF(AND(ISNUMBER(D177),ISNUMBER(E177)),D177*E177,"待补")</x:f>
        <x:v>待补</x:v>
      </x:c>
      <x:c r="H177" s="12" t="str">
        <x:v>缺统一估值</x:v>
      </x:c>
      <x:c r="I177" s="12" t="str"/>
      <x:c r="J177" s="12" t="str">
        <x:v>主/星轨探测!第58行</x:v>
      </x:c>
    </x:row>
    <x:row r="178" ht="52" customHeight="1">
      <x:c r="A178" s="4" t="str">
        <x:v>P108</x:v>
      </x:c>
      <x:c r="B178" s="4" t="str">
        <x:v>星轨探测/礼包3</x:v>
      </x:c>
      <x:c r="C178" s="4" t="str">
        <x:v>钻石</x:v>
      </x:c>
      <x:c r="D178" s="18" t="n">
        <x:v>980</x:v>
      </x:c>
      <x:c r="E178" s="14" t="n">
        <x:f>'道具价值基准'!E5</x:f>
        <x:v>1</x:v>
      </x:c>
      <x:c r="F178" s="14"/>
      <x:c r="G178" s="14" t="n">
        <x:f>IF(AND(ISNUMBER(D178),ISNUMBER(E178)),D178*E178,"待补")</x:f>
        <x:v>980</x:v>
      </x:c>
      <x:c r="H178" s="4" t="str">
        <x:v>统一道具字典</x:v>
      </x:c>
      <x:c r="I178" s="4" t="str"/>
      <x:c r="J178" s="4" t="str">
        <x:v>主/星轨探测!第59行</x:v>
      </x:c>
    </x:row>
    <x:row r="179" ht="52" customHeight="1">
      <x:c r="A179" s="12" t="str">
        <x:v>P108</x:v>
      </x:c>
      <x:c r="B179" s="12" t="str">
        <x:v>星轨探测/礼包3</x:v>
      </x:c>
      <x:c r="C179" s="12" t="str">
        <x:v>探测器</x:v>
      </x:c>
      <x:c r="D179" s="17" t="n">
        <x:v>15</x:v>
      </x:c>
      <x:c r="E179" s="13"/>
      <x:c r="F179" s="13"/>
      <x:c r="G179" s="13" t="str">
        <x:f>IF(AND(ISNUMBER(D179),ISNUMBER(E179)),D179*E179,"待补")</x:f>
        <x:v>待补</x:v>
      </x:c>
      <x:c r="H179" s="12" t="str">
        <x:v>缺统一估值</x:v>
      </x:c>
      <x:c r="I179" s="12" t="str"/>
      <x:c r="J179" s="12" t="str">
        <x:v>主/星轨探测!第59行</x:v>
      </x:c>
    </x:row>
    <x:row r="180" ht="52" customHeight="1">
      <x:c r="A180" s="4" t="str">
        <x:v>P109</x:v>
      </x:c>
      <x:c r="B180" s="4" t="str">
        <x:v>首月活动/礼包1</x:v>
      </x:c>
      <x:c r="C180" s="4" t="str">
        <x:v>钻石</x:v>
      </x:c>
      <x:c r="D180" s="18" t="n">
        <x:v>60</x:v>
      </x:c>
      <x:c r="E180" s="14" t="n">
        <x:f>'道具价值基准'!E5</x:f>
        <x:v>1</x:v>
      </x:c>
      <x:c r="F180" s="14"/>
      <x:c r="G180" s="14" t="n">
        <x:f>IF(AND(ISNUMBER(D180),ISNUMBER(E180)),D180*E180,"待补")</x:f>
        <x:v>60</x:v>
      </x:c>
      <x:c r="H180" s="4" t="str">
        <x:v>统一道具字典</x:v>
      </x:c>
      <x:c r="I180" s="4" t="str"/>
      <x:c r="J180" s="4" t="str">
        <x:v>主/首月活动!第87行</x:v>
      </x:c>
    </x:row>
    <x:row r="181" ht="52" customHeight="1">
      <x:c r="A181" s="12" t="str">
        <x:v>P109</x:v>
      </x:c>
      <x:c r="B181" s="12" t="str">
        <x:v>首月活动/礼包1</x:v>
      </x:c>
      <x:c r="C181" s="12" t="str">
        <x:v>许愿券</x:v>
      </x:c>
      <x:c r="D181" s="17" t="n">
        <x:v>10</x:v>
      </x:c>
      <x:c r="E181" s="13"/>
      <x:c r="F181" s="13"/>
      <x:c r="G181" s="13" t="str">
        <x:f>IF(AND(ISNUMBER(D181),ISNUMBER(E181)),D181*E181,"待补")</x:f>
        <x:v>待补</x:v>
      </x:c>
      <x:c r="H181" s="12" t="str">
        <x:v>缺统一估值</x:v>
      </x:c>
      <x:c r="I181" s="12" t="str"/>
      <x:c r="J181" s="12" t="str">
        <x:v>主/首月活动!第87行</x:v>
      </x:c>
    </x:row>
    <x:row r="182" ht="52" customHeight="1">
      <x:c r="A182" s="4" t="str">
        <x:v>P110</x:v>
      </x:c>
      <x:c r="B182" s="4" t="str">
        <x:v>首月活动/礼包2</x:v>
      </x:c>
      <x:c r="C182" s="4" t="str">
        <x:v>钻石</x:v>
      </x:c>
      <x:c r="D182" s="18" t="n">
        <x:v>300</x:v>
      </x:c>
      <x:c r="E182" s="14" t="n">
        <x:f>'道具价值基准'!E5</x:f>
        <x:v>1</x:v>
      </x:c>
      <x:c r="F182" s="14"/>
      <x:c r="G182" s="14" t="n">
        <x:f>IF(AND(ISNUMBER(D182),ISNUMBER(E182)),D182*E182,"待补")</x:f>
        <x:v>300</x:v>
      </x:c>
      <x:c r="H182" s="4" t="str">
        <x:v>统一道具字典</x:v>
      </x:c>
      <x:c r="I182" s="4" t="str"/>
      <x:c r="J182" s="4" t="str">
        <x:v>主/首月活动!第88行</x:v>
      </x:c>
    </x:row>
    <x:row r="183" ht="52" customHeight="1">
      <x:c r="A183" s="12" t="str">
        <x:v>P110</x:v>
      </x:c>
      <x:c r="B183" s="12" t="str">
        <x:v>首月活动/礼包2</x:v>
      </x:c>
      <x:c r="C183" s="12" t="str">
        <x:v>许愿券</x:v>
      </x:c>
      <x:c r="D183" s="17" t="n">
        <x:v>15</x:v>
      </x:c>
      <x:c r="E183" s="13"/>
      <x:c r="F183" s="13"/>
      <x:c r="G183" s="13" t="str">
        <x:f>IF(AND(ISNUMBER(D183),ISNUMBER(E183)),D183*E183,"待补")</x:f>
        <x:v>待补</x:v>
      </x:c>
      <x:c r="H183" s="12" t="str">
        <x:v>缺统一估值</x:v>
      </x:c>
      <x:c r="I183" s="12" t="str"/>
      <x:c r="J183" s="12" t="str">
        <x:v>主/首月活动!第88行</x:v>
      </x:c>
    </x:row>
    <x:row r="184" ht="52" customHeight="1">
      <x:c r="A184" s="4" t="str">
        <x:v>P111</x:v>
      </x:c>
      <x:c r="B184" s="4" t="str">
        <x:v>首月活动/礼包3</x:v>
      </x:c>
      <x:c r="C184" s="4" t="str">
        <x:v>钻石</x:v>
      </x:c>
      <x:c r="D184" s="18" t="n">
        <x:v>980</x:v>
      </x:c>
      <x:c r="E184" s="14" t="n">
        <x:f>'道具价值基准'!E5</x:f>
        <x:v>1</x:v>
      </x:c>
      <x:c r="F184" s="14"/>
      <x:c r="G184" s="14" t="n">
        <x:f>IF(AND(ISNUMBER(D184),ISNUMBER(E184)),D184*E184,"待补")</x:f>
        <x:v>980</x:v>
      </x:c>
      <x:c r="H184" s="4" t="str">
        <x:v>统一道具字典</x:v>
      </x:c>
      <x:c r="I184" s="4" t="str"/>
      <x:c r="J184" s="4" t="str">
        <x:v>主/首月活动!第89行</x:v>
      </x:c>
    </x:row>
    <x:row r="185" ht="52" customHeight="1">
      <x:c r="A185" s="12" t="str">
        <x:v>P111</x:v>
      </x:c>
      <x:c r="B185" s="12" t="str">
        <x:v>首月活动/礼包3</x:v>
      </x:c>
      <x:c r="C185" s="12" t="str">
        <x:v>许愿券</x:v>
      </x:c>
      <x:c r="D185" s="17" t="n">
        <x:v>25</x:v>
      </x:c>
      <x:c r="E185" s="13"/>
      <x:c r="F185" s="13"/>
      <x:c r="G185" s="13" t="str">
        <x:f>IF(AND(ISNUMBER(D185),ISNUMBER(E185)),D185*E185,"待补")</x:f>
        <x:v>待补</x:v>
      </x:c>
      <x:c r="H185" s="12" t="str">
        <x:v>缺统一估值</x:v>
      </x:c>
      <x:c r="I185" s="12" t="str"/>
      <x:c r="J185" s="12" t="str">
        <x:v>主/首月活动!第89行</x:v>
      </x:c>
    </x:row>
    <x:row r="186" ht="52" customHeight="1">
      <x:c r="A186" s="4" t="str">
        <x:v>P112</x:v>
      </x:c>
      <x:c r="B186" s="4" t="str">
        <x:v>免费礼包</x:v>
      </x:c>
      <x:c r="C186" s="4" t="str">
        <x:v>悬赏线索</x:v>
      </x:c>
      <x:c r="D186" s="18" t="n">
        <x:v>10</x:v>
      </x:c>
      <x:c r="E186" s="14" t="n">
        <x:f>'道具价值基准'!E12</x:f>
        <x:v>3</x:v>
      </x:c>
      <x:c r="F186" s="14"/>
      <x:c r="G186" s="14" t="n">
        <x:f>IF(AND(ISNUMBER(D186),ISNUMBER(E186)),D186*E186,"待补")</x:f>
        <x:v>30</x:v>
      </x:c>
      <x:c r="H186" s="4" t="str">
        <x:v>统一道具字典</x:v>
      </x:c>
      <x:c r="I186" s="4" t="str"/>
      <x:c r="J186" s="4" t="str">
        <x:v>主/悬赏活动!第74行</x:v>
      </x:c>
    </x:row>
    <x:row r="187" ht="52" customHeight="1">
      <x:c r="A187" s="12" t="str">
        <x:v>P113</x:v>
      </x:c>
      <x:c r="B187" s="12" t="str">
        <x:v>悬赏礼包Ⅰ</x:v>
      </x:c>
      <x:c r="C187" s="12" t="str">
        <x:v>悬赏线索</x:v>
      </x:c>
      <x:c r="D187" s="17" t="n">
        <x:v>50</x:v>
      </x:c>
      <x:c r="E187" s="13" t="n">
        <x:f>'道具价值基准'!E12</x:f>
        <x:v>3</x:v>
      </x:c>
      <x:c r="F187" s="13"/>
      <x:c r="G187" s="13" t="n">
        <x:f>IF(AND(ISNUMBER(D187),ISNUMBER(E187)),D187*E187,"待补")</x:f>
        <x:v>150</x:v>
      </x:c>
      <x:c r="H187" s="12" t="str">
        <x:v>统一道具字典</x:v>
      </x:c>
      <x:c r="I187" s="12" t="str"/>
      <x:c r="J187" s="12" t="str">
        <x:v>主/悬赏活动!第75行</x:v>
      </x:c>
    </x:row>
    <x:row r="188" ht="52" customHeight="1">
      <x:c r="A188" s="4" t="str">
        <x:v>P113</x:v>
      </x:c>
      <x:c r="B188" s="4" t="str">
        <x:v>悬赏礼包Ⅰ</x:v>
      </x:c>
      <x:c r="C188" s="4" t="str">
        <x:v>梦境招募器</x:v>
      </x:c>
      <x:c r="D188" s="18" t="n">
        <x:v>10</x:v>
      </x:c>
      <x:c r="E188" s="14" t="n">
        <x:f>'道具价值基准'!E101</x:f>
        <x:v>30</x:v>
      </x:c>
      <x:c r="F188" s="14"/>
      <x:c r="G188" s="14" t="n">
        <x:f>IF(AND(ISNUMBER(D188),ISNUMBER(E188)),D188*E188,"待补")</x:f>
        <x:v>300</x:v>
      </x:c>
      <x:c r="H188" s="4" t="str">
        <x:v>统一道具字典</x:v>
      </x:c>
      <x:c r="I188" s="4" t="str"/>
      <x:c r="J188" s="4" t="str">
        <x:v>主/悬赏活动!第75行</x:v>
      </x:c>
    </x:row>
    <x:row r="189" ht="52" customHeight="1">
      <x:c r="A189" s="12" t="str">
        <x:v>P113</x:v>
      </x:c>
      <x:c r="B189" s="12" t="str">
        <x:v>悬赏礼包Ⅰ</x:v>
      </x:c>
      <x:c r="C189" s="12" t="str">
        <x:v>随机能量特饮</x:v>
      </x:c>
      <x:c r="D189" s="17"/>
      <x:c r="E189" s="13" t="n">
        <x:f>'道具价值基准'!E14</x:f>
        <x:v>1</x:v>
      </x:c>
      <x:c r="F189" s="13"/>
      <x:c r="G189" s="13" t="str">
        <x:f>IF(AND(ISNUMBER(D189),ISNUMBER(E189)),D189*E189,"待补")</x:f>
        <x:v>待补</x:v>
      </x:c>
      <x:c r="H189" s="12" t="str">
        <x:v>统一道具字典</x:v>
      </x:c>
      <x:c r="I189" s="12" t="str">
        <x:v>；数量缺失</x:v>
      </x:c>
      <x:c r="J189" s="12" t="str">
        <x:v>主/悬赏活动!第75行</x:v>
      </x:c>
    </x:row>
    <x:row r="190" ht="52" customHeight="1">
      <x:c r="A190" s="4" t="str">
        <x:v>P114</x:v>
      </x:c>
      <x:c r="B190" s="4" t="str">
        <x:v>悬赏礼包Ⅱ</x:v>
      </x:c>
      <x:c r="C190" s="4" t="str">
        <x:v>钻石</x:v>
      </x:c>
      <x:c r="D190" s="18" t="n">
        <x:v>60</x:v>
      </x:c>
      <x:c r="E190" s="14" t="n">
        <x:f>'道具价值基准'!E5</x:f>
        <x:v>1</x:v>
      </x:c>
      <x:c r="F190" s="14"/>
      <x:c r="G190" s="14" t="n">
        <x:f>IF(AND(ISNUMBER(D190),ISNUMBER(E190)),D190*E190,"待补")</x:f>
        <x:v>60</x:v>
      </x:c>
      <x:c r="H190" s="4" t="str">
        <x:v>统一道具字典</x:v>
      </x:c>
      <x:c r="I190" s="4" t="str"/>
      <x:c r="J190" s="4" t="str">
        <x:v>主/悬赏活动!第76行</x:v>
      </x:c>
    </x:row>
    <x:row r="191" ht="52" customHeight="1">
      <x:c r="A191" s="12" t="str">
        <x:v>P114</x:v>
      </x:c>
      <x:c r="B191" s="12" t="str">
        <x:v>悬赏礼包Ⅱ</x:v>
      </x:c>
      <x:c r="C191" s="12" t="str">
        <x:v>悬赏线索</x:v>
      </x:c>
      <x:c r="D191" s="17" t="n">
        <x:v>60</x:v>
      </x:c>
      <x:c r="E191" s="13" t="n">
        <x:f>'道具价值基准'!E12</x:f>
        <x:v>3</x:v>
      </x:c>
      <x:c r="F191" s="13"/>
      <x:c r="G191" s="13" t="n">
        <x:f>IF(AND(ISNUMBER(D191),ISNUMBER(E191)),D191*E191,"待补")</x:f>
        <x:v>180</x:v>
      </x:c>
      <x:c r="H191" s="12" t="str">
        <x:v>统一道具字典</x:v>
      </x:c>
      <x:c r="I191" s="12" t="str"/>
      <x:c r="J191" s="12" t="str">
        <x:v>主/悬赏活动!第76行</x:v>
      </x:c>
    </x:row>
    <x:row r="192" ht="52" customHeight="1">
      <x:c r="A192" s="4" t="str">
        <x:v>P114</x:v>
      </x:c>
      <x:c r="B192" s="4" t="str">
        <x:v>悬赏礼包Ⅱ</x:v>
      </x:c>
      <x:c r="C192" s="4" t="str">
        <x:v>梦境招募器</x:v>
      </x:c>
      <x:c r="D192" s="18"/>
      <x:c r="E192" s="14" t="n">
        <x:f>'道具价值基准'!E101</x:f>
        <x:v>30</x:v>
      </x:c>
      <x:c r="F192" s="14"/>
      <x:c r="G192" s="14" t="str">
        <x:f>IF(AND(ISNUMBER(D192),ISNUMBER(E192)),D192*E192,"待补")</x:f>
        <x:v>待补</x:v>
      </x:c>
      <x:c r="H192" s="4" t="str">
        <x:v>统一道具字典</x:v>
      </x:c>
      <x:c r="I192" s="4" t="str">
        <x:v>；数量缺失</x:v>
      </x:c>
      <x:c r="J192" s="4" t="str">
        <x:v>主/悬赏活动!第76行</x:v>
      </x:c>
    </x:row>
    <x:row r="193" ht="52" customHeight="1">
      <x:c r="A193" s="12" t="str">
        <x:v>P115</x:v>
      </x:c>
      <x:c r="B193" s="12" t="str">
        <x:v>悬赏礼包Ⅲ</x:v>
      </x:c>
      <x:c r="C193" s="12" t="str">
        <x:v>悬赏线索</x:v>
      </x:c>
      <x:c r="D193" s="17" t="n">
        <x:v>150</x:v>
      </x:c>
      <x:c r="E193" s="13" t="n">
        <x:f>'道具价值基准'!E12</x:f>
        <x:v>3</x:v>
      </x:c>
      <x:c r="F193" s="13"/>
      <x:c r="G193" s="13" t="n">
        <x:f>IF(AND(ISNUMBER(D193),ISNUMBER(E193)),D193*E193,"待补")</x:f>
        <x:v>450</x:v>
      </x:c>
      <x:c r="H193" s="12" t="str">
        <x:v>统一道具字典</x:v>
      </x:c>
      <x:c r="I193" s="12" t="str"/>
      <x:c r="J193" s="12" t="str">
        <x:v>主/悬赏活动!第77行</x:v>
      </x:c>
    </x:row>
    <x:row r="194" ht="52" customHeight="1">
      <x:c r="A194" s="4" t="str">
        <x:v>P115</x:v>
      </x:c>
      <x:c r="B194" s="4" t="str">
        <x:v>悬赏礼包Ⅲ</x:v>
      </x:c>
      <x:c r="C194" s="4" t="str">
        <x:v>梦境招募器</x:v>
      </x:c>
      <x:c r="D194" s="18" t="n">
        <x:v>25</x:v>
      </x:c>
      <x:c r="E194" s="14" t="n">
        <x:f>'道具价值基准'!E101</x:f>
        <x:v>30</x:v>
      </x:c>
      <x:c r="F194" s="14"/>
      <x:c r="G194" s="14" t="n">
        <x:f>IF(AND(ISNUMBER(D194),ISNUMBER(E194)),D194*E194,"待补")</x:f>
        <x:v>750</x:v>
      </x:c>
      <x:c r="H194" s="4" t="str">
        <x:v>统一道具字典</x:v>
      </x:c>
      <x:c r="I194" s="4" t="str"/>
      <x:c r="J194" s="4" t="str">
        <x:v>主/悬赏活动!第77行</x:v>
      </x:c>
    </x:row>
    <x:row r="195" ht="52" customHeight="1">
      <x:c r="A195" s="12" t="str">
        <x:v>P115</x:v>
      </x:c>
      <x:c r="B195" s="12" t="str">
        <x:v>悬赏礼包Ⅲ</x:v>
      </x:c>
      <x:c r="C195" s="12" t="str">
        <x:v>超能特饮</x:v>
      </x:c>
      <x:c r="D195" s="17"/>
      <x:c r="E195" s="13" t="n">
        <x:f>'道具价值基准'!E15</x:f>
        <x:v>2</x:v>
      </x:c>
      <x:c r="F195" s="13"/>
      <x:c r="G195" s="13" t="str">
        <x:f>IF(AND(ISNUMBER(D195),ISNUMBER(E195)),D195*E195,"待补")</x:f>
        <x:v>待补</x:v>
      </x:c>
      <x:c r="H195" s="12" t="str">
        <x:v>统一道具字典</x:v>
      </x:c>
      <x:c r="I195" s="12" t="str">
        <x:v>；数量缺失</x:v>
      </x:c>
      <x:c r="J195" s="12" t="str">
        <x:v>主/悬赏活动!第77行</x:v>
      </x:c>
    </x:row>
    <x:row r="196" ht="52" customHeight="1">
      <x:c r="A196" s="4" t="str">
        <x:v>P116</x:v>
      </x:c>
      <x:c r="B196" s="4" t="str">
        <x:v>悬赏礼包Ⅳ</x:v>
      </x:c>
      <x:c r="C196" s="4" t="str">
        <x:v>钻石</x:v>
      </x:c>
      <x:c r="D196" s="18" t="n">
        <x:v>300</x:v>
      </x:c>
      <x:c r="E196" s="14" t="n">
        <x:f>'道具价值基准'!E5</x:f>
        <x:v>1</x:v>
      </x:c>
      <x:c r="F196" s="14"/>
      <x:c r="G196" s="14" t="n">
        <x:f>IF(AND(ISNUMBER(D196),ISNUMBER(E196)),D196*E196,"待补")</x:f>
        <x:v>300</x:v>
      </x:c>
      <x:c r="H196" s="4" t="str">
        <x:v>统一道具字典</x:v>
      </x:c>
      <x:c r="I196" s="4" t="str"/>
      <x:c r="J196" s="4" t="str">
        <x:v>主/悬赏活动!第78行</x:v>
      </x:c>
    </x:row>
    <x:row r="197" ht="52" customHeight="1">
      <x:c r="A197" s="12" t="str">
        <x:v>P116</x:v>
      </x:c>
      <x:c r="B197" s="12" t="str">
        <x:v>悬赏礼包Ⅳ</x:v>
      </x:c>
      <x:c r="C197" s="12" t="str">
        <x:v>悬赏线索</x:v>
      </x:c>
      <x:c r="D197" s="17" t="n">
        <x:v>300</x:v>
      </x:c>
      <x:c r="E197" s="13" t="n">
        <x:f>'道具价值基准'!E12</x:f>
        <x:v>3</x:v>
      </x:c>
      <x:c r="F197" s="13"/>
      <x:c r="G197" s="13" t="n">
        <x:f>IF(AND(ISNUMBER(D197),ISNUMBER(E197)),D197*E197,"待补")</x:f>
        <x:v>900</x:v>
      </x:c>
      <x:c r="H197" s="12" t="str">
        <x:v>统一道具字典</x:v>
      </x:c>
      <x:c r="I197" s="12" t="str"/>
      <x:c r="J197" s="12" t="str">
        <x:v>主/悬赏活动!第78行</x:v>
      </x:c>
    </x:row>
    <x:row r="198" ht="52" customHeight="1">
      <x:c r="A198" s="4" t="str">
        <x:v>P116</x:v>
      </x:c>
      <x:c r="B198" s="4" t="str">
        <x:v>悬赏礼包Ⅳ</x:v>
      </x:c>
      <x:c r="C198" s="4" t="str">
        <x:v>星之初愿</x:v>
      </x:c>
      <x:c r="D198" s="18"/>
      <x:c r="E198" s="14" t="n">
        <x:f>'道具价值基准'!E103</x:f>
        <x:v>50</x:v>
      </x:c>
      <x:c r="F198" s="14"/>
      <x:c r="G198" s="14" t="str">
        <x:f>IF(AND(ISNUMBER(D198),ISNUMBER(E198)),D198*E198,"待补")</x:f>
        <x:v>待补</x:v>
      </x:c>
      <x:c r="H198" s="4" t="str">
        <x:v>统一道具字典</x:v>
      </x:c>
      <x:c r="I198" s="4" t="str">
        <x:v>；数量缺失</x:v>
      </x:c>
      <x:c r="J198" s="4" t="str">
        <x:v>主/悬赏活动!第78行</x:v>
      </x:c>
    </x:row>
    <x:row r="199" ht="52" customHeight="1">
      <x:c r="A199" s="12" t="str">
        <x:v>P117</x:v>
      </x:c>
      <x:c r="B199" s="12" t="str">
        <x:v>悬赏礼包Ⅴ</x:v>
      </x:c>
      <x:c r="C199" s="12" t="str">
        <x:v>悬赏线索</x:v>
      </x:c>
      <x:c r="D199" s="17" t="n">
        <x:v>350</x:v>
      </x:c>
      <x:c r="E199" s="13" t="n">
        <x:f>'道具价值基准'!E12</x:f>
        <x:v>3</x:v>
      </x:c>
      <x:c r="F199" s="13"/>
      <x:c r="G199" s="13" t="n">
        <x:f>IF(AND(ISNUMBER(D199),ISNUMBER(E199)),D199*E199,"待补")</x:f>
        <x:v>1050</x:v>
      </x:c>
      <x:c r="H199" s="12" t="str">
        <x:v>统一道具字典</x:v>
      </x:c>
      <x:c r="I199" s="12" t="str"/>
      <x:c r="J199" s="12" t="str">
        <x:v>主/悬赏活动!第79行</x:v>
      </x:c>
    </x:row>
    <x:row r="200" ht="52" customHeight="1">
      <x:c r="A200" s="4" t="str">
        <x:v>P117</x:v>
      </x:c>
      <x:c r="B200" s="4" t="str">
        <x:v>悬赏礼包Ⅴ</x:v>
      </x:c>
      <x:c r="C200" s="4" t="str">
        <x:v>星辉秘契</x:v>
      </x:c>
      <x:c r="D200" s="18" t="n">
        <x:v>3</x:v>
      </x:c>
      <x:c r="E200" s="14" t="n">
        <x:f>'道具价值基准'!E104</x:f>
        <x:v>280</x:v>
      </x:c>
      <x:c r="F200" s="14"/>
      <x:c r="G200" s="14" t="n">
        <x:f>IF(AND(ISNUMBER(D200),ISNUMBER(E200)),D200*E200,"待补")</x:f>
        <x:v>840</x:v>
      </x:c>
      <x:c r="H200" s="4" t="str">
        <x:v>统一道具字典</x:v>
      </x:c>
      <x:c r="I200" s="4" t="str"/>
      <x:c r="J200" s="4" t="str">
        <x:v>主/悬赏活动!第79行</x:v>
      </x:c>
    </x:row>
    <x:row r="201" ht="52" customHeight="1">
      <x:c r="A201" s="12" t="str">
        <x:v>P117</x:v>
      </x:c>
      <x:c r="B201" s="12" t="str">
        <x:v>悬赏礼包Ⅴ</x:v>
      </x:c>
      <x:c r="C201" s="12" t="str">
        <x:v>超能特饮</x:v>
      </x:c>
      <x:c r="D201" s="17"/>
      <x:c r="E201" s="13" t="n">
        <x:f>'道具价值基准'!E15</x:f>
        <x:v>2</x:v>
      </x:c>
      <x:c r="F201" s="13"/>
      <x:c r="G201" s="13" t="str">
        <x:f>IF(AND(ISNUMBER(D201),ISNUMBER(E201)),D201*E201,"待补")</x:f>
        <x:v>待补</x:v>
      </x:c>
      <x:c r="H201" s="12" t="str">
        <x:v>统一道具字典</x:v>
      </x:c>
      <x:c r="I201" s="12" t="str">
        <x:v>；数量缺失</x:v>
      </x:c>
      <x:c r="J201" s="12" t="str">
        <x:v>主/悬赏活动!第79行</x:v>
      </x:c>
    </x:row>
    <x:row r="202" ht="52" customHeight="1">
      <x:c r="A202" s="4" t="str">
        <x:v>P118</x:v>
      </x:c>
      <x:c r="B202" s="4" t="str">
        <x:v>悬赏礼包Ⅵ</x:v>
      </x:c>
      <x:c r="C202" s="4" t="str">
        <x:v>钻石</x:v>
      </x:c>
      <x:c r="D202" s="18" t="n">
        <x:v>980</x:v>
      </x:c>
      <x:c r="E202" s="14" t="n">
        <x:f>'道具价值基准'!E5</x:f>
        <x:v>1</x:v>
      </x:c>
      <x:c r="F202" s="14"/>
      <x:c r="G202" s="14" t="n">
        <x:f>IF(AND(ISNUMBER(D202),ISNUMBER(E202)),D202*E202,"待补")</x:f>
        <x:v>980</x:v>
      </x:c>
      <x:c r="H202" s="4" t="str">
        <x:v>统一道具字典</x:v>
      </x:c>
      <x:c r="I202" s="4" t="str"/>
      <x:c r="J202" s="4" t="str">
        <x:v>主/悬赏活动!第80行</x:v>
      </x:c>
    </x:row>
    <x:row r="203" ht="52" customHeight="1">
      <x:c r="A203" s="12" t="str">
        <x:v>P118</x:v>
      </x:c>
      <x:c r="B203" s="12" t="str">
        <x:v>悬赏礼包Ⅵ</x:v>
      </x:c>
      <x:c r="C203" s="12" t="str">
        <x:v>悬赏线索</x:v>
      </x:c>
      <x:c r="D203" s="17" t="n">
        <x:v>750</x:v>
      </x:c>
      <x:c r="E203" s="13" t="n">
        <x:f>'道具价值基准'!E12</x:f>
        <x:v>3</x:v>
      </x:c>
      <x:c r="F203" s="13"/>
      <x:c r="G203" s="13" t="n">
        <x:f>IF(AND(ISNUMBER(D203),ISNUMBER(E203)),D203*E203,"待补")</x:f>
        <x:v>2250</x:v>
      </x:c>
      <x:c r="H203" s="12" t="str">
        <x:v>统一道具字典</x:v>
      </x:c>
      <x:c r="I203" s="12" t="str"/>
      <x:c r="J203" s="12" t="str">
        <x:v>主/悬赏活动!第80行</x:v>
      </x:c>
    </x:row>
    <x:row r="204" ht="52" customHeight="1">
      <x:c r="A204" s="4" t="str">
        <x:v>P118</x:v>
      </x:c>
      <x:c r="B204" s="4" t="str">
        <x:v>悬赏礼包Ⅵ</x:v>
      </x:c>
      <x:c r="C204" s="4" t="str">
        <x:v>星辉秘契</x:v>
      </x:c>
      <x:c r="D204" s="18"/>
      <x:c r="E204" s="14" t="n">
        <x:f>'道具价值基准'!E104</x:f>
        <x:v>280</x:v>
      </x:c>
      <x:c r="F204" s="14"/>
      <x:c r="G204" s="14" t="str">
        <x:f>IF(AND(ISNUMBER(D204),ISNUMBER(E204)),D204*E204,"待补")</x:f>
        <x:v>待补</x:v>
      </x:c>
      <x:c r="H204" s="4" t="str">
        <x:v>统一道具字典</x:v>
      </x:c>
      <x:c r="I204" s="4" t="str">
        <x:v>；数量缺失</x:v>
      </x:c>
      <x:c r="J204" s="4" t="str">
        <x:v>主/悬赏活动!第80行</x:v>
      </x:c>
    </x:row>
    <x:row r="205" ht="52" customHeight="1">
      <x:c r="A205" s="12" t="str">
        <x:v>P119</x:v>
      </x:c>
      <x:c r="B205" s="12" t="str">
        <x:v>悬赏礼包Ⅶ</x:v>
      </x:c>
      <x:c r="C205" s="12" t="str">
        <x:v>悬赏线索</x:v>
      </x:c>
      <x:c r="D205" s="17" t="n">
        <x:v>600</x:v>
      </x:c>
      <x:c r="E205" s="13" t="n">
        <x:f>'道具价值基准'!E12</x:f>
        <x:v>3</x:v>
      </x:c>
      <x:c r="F205" s="13"/>
      <x:c r="G205" s="13" t="n">
        <x:f>IF(AND(ISNUMBER(D205),ISNUMBER(E205)),D205*E205,"待补")</x:f>
        <x:v>1800</x:v>
      </x:c>
      <x:c r="H205" s="12" t="str">
        <x:v>统一道具字典</x:v>
      </x:c>
      <x:c r="I205" s="12" t="str"/>
      <x:c r="J205" s="12" t="str">
        <x:v>主/悬赏活动!第81行</x:v>
      </x:c>
    </x:row>
    <x:row r="206" ht="52" customHeight="1">
      <x:c r="A206" s="4" t="str">
        <x:v>P119</x:v>
      </x:c>
      <x:c r="B206" s="4" t="str">
        <x:v>悬赏礼包Ⅶ</x:v>
      </x:c>
      <x:c r="C206" s="4" t="str">
        <x:v>星辉秘契</x:v>
      </x:c>
      <x:c r="D206" s="18" t="n">
        <x:v>5</x:v>
      </x:c>
      <x:c r="E206" s="14" t="n">
        <x:f>'道具价值基准'!E104</x:f>
        <x:v>280</x:v>
      </x:c>
      <x:c r="F206" s="14"/>
      <x:c r="G206" s="14" t="n">
        <x:f>IF(AND(ISNUMBER(D206),ISNUMBER(E206)),D206*E206,"待补")</x:f>
        <x:v>1400</x:v>
      </x:c>
      <x:c r="H206" s="4" t="str">
        <x:v>统一道具字典</x:v>
      </x:c>
      <x:c r="I206" s="4" t="str"/>
      <x:c r="J206" s="4" t="str">
        <x:v>主/悬赏活动!第81行</x:v>
      </x:c>
    </x:row>
    <x:row r="207" ht="52" customHeight="1">
      <x:c r="A207" s="12" t="str">
        <x:v>P119</x:v>
      </x:c>
      <x:c r="B207" s="12" t="str">
        <x:v>悬赏礼包Ⅶ</x:v>
      </x:c>
      <x:c r="C207" s="12" t="str">
        <x:v>转运石</x:v>
      </x:c>
      <x:c r="D207" s="17"/>
      <x:c r="E207" s="13" t="n">
        <x:f>'道具价值基准'!E98</x:f>
        <x:v>0.33</x:v>
      </x:c>
      <x:c r="F207" s="13"/>
      <x:c r="G207" s="13" t="str">
        <x:f>IF(AND(ISNUMBER(D207),ISNUMBER(E207)),D207*E207,"待补")</x:f>
        <x:v>待补</x:v>
      </x:c>
      <x:c r="H207" s="12" t="str">
        <x:v>统一道具字典</x:v>
      </x:c>
      <x:c r="I207" s="12" t="str">
        <x:v>；数量缺失</x:v>
      </x:c>
      <x:c r="J207" s="12" t="str">
        <x:v>主/悬赏活动!第81行</x:v>
      </x:c>
    </x:row>
    <x:row r="208" ht="52" customHeight="1">
      <x:c r="A208" s="4" t="str">
        <x:v>P120</x:v>
      </x:c>
      <x:c r="B208" s="4" t="str">
        <x:v>通关5章</x:v>
      </x:c>
      <x:c r="C208" s="4" t="str">
        <x:v>梦境招募器</x:v>
      </x:c>
      <x:c r="D208" s="18" t="n">
        <x:v>30</x:v>
      </x:c>
      <x:c r="E208" s="14" t="n">
        <x:f>'道具价值基准'!E101</x:f>
        <x:v>30</x:v>
      </x:c>
      <x:c r="F208" s="14"/>
      <x:c r="G208" s="14" t="n">
        <x:f>IF(AND(ISNUMBER(D208),ISNUMBER(E208)),D208*E208,"待补")</x:f>
        <x:v>900</x:v>
      </x:c>
      <x:c r="H208" s="4" t="str">
        <x:v>统一道具字典</x:v>
      </x:c>
      <x:c r="I208" s="4" t="str"/>
      <x:c r="J208" s="4" t="str">
        <x:v>补/章节礼包!第6行</x:v>
      </x:c>
    </x:row>
    <x:row r="209" ht="52" customHeight="1">
      <x:c r="A209" s="12" t="str">
        <x:v>P120</x:v>
      </x:c>
      <x:c r="B209" s="12" t="str">
        <x:v>通关5章</x:v>
      </x:c>
      <x:c r="C209" s="12" t="str">
        <x:v>随机能量特饮</x:v>
      </x:c>
      <x:c r="D209" s="17" t="n">
        <x:v>400</x:v>
      </x:c>
      <x:c r="E209" s="13" t="n">
        <x:f>'道具价值基准'!E14</x:f>
        <x:v>1</x:v>
      </x:c>
      <x:c r="F209" s="13"/>
      <x:c r="G209" s="13" t="n">
        <x:f>IF(AND(ISNUMBER(D209),ISNUMBER(E209)),D209*E209,"待补")</x:f>
        <x:v>400</x:v>
      </x:c>
      <x:c r="H209" s="12" t="str">
        <x:v>统一道具字典</x:v>
      </x:c>
      <x:c r="I209" s="12" t="str"/>
      <x:c r="J209" s="12" t="str">
        <x:v>补/章节礼包!第6行</x:v>
      </x:c>
    </x:row>
    <x:row r="210" ht="52" customHeight="1">
      <x:c r="A210" s="4" t="str">
        <x:v>P120</x:v>
      </x:c>
      <x:c r="B210" s="4" t="str">
        <x:v>通关5章</x:v>
      </x:c>
      <x:c r="C210" s="4" t="str">
        <x:v>装备图纸</x:v>
      </x:c>
      <x:c r="D210" s="18" t="n">
        <x:v>120</x:v>
      </x:c>
      <x:c r="E210" s="14" t="n">
        <x:f>'道具价值基准'!E32</x:f>
        <x:v>3</x:v>
      </x:c>
      <x:c r="F210" s="14"/>
      <x:c r="G210" s="14" t="n">
        <x:f>IF(AND(ISNUMBER(D210),ISNUMBER(E210)),D210*E210,"待补")</x:f>
        <x:v>360</x:v>
      </x:c>
      <x:c r="H210" s="4" t="str">
        <x:v>统一道具字典</x:v>
      </x:c>
      <x:c r="I210" s="4" t="str"/>
      <x:c r="J210" s="4" t="str">
        <x:v>补/章节礼包!第6行</x:v>
      </x:c>
    </x:row>
    <x:row r="211" ht="52" customHeight="1">
      <x:c r="A211" s="12" t="str">
        <x:v>P121</x:v>
      </x:c>
      <x:c r="B211" s="12" t="str">
        <x:v>通关8章</x:v>
      </x:c>
      <x:c r="C211" s="12" t="str">
        <x:v>自选史诗梦灵皮肤</x:v>
      </x:c>
      <x:c r="D211" s="17" t="n">
        <x:v>1</x:v>
      </x:c>
      <x:c r="E211" s="13" t="n">
        <x:f>'道具价值基准'!E106</x:f>
        <x:v>1500</x:v>
      </x:c>
      <x:c r="F211" s="13"/>
      <x:c r="G211" s="13" t="n">
        <x:f>IF(AND(ISNUMBER(D211),ISNUMBER(E211)),D211*E211,"待补")</x:f>
        <x:v>1500</x:v>
      </x:c>
      <x:c r="H211" s="12" t="str">
        <x:v>统一道具字典</x:v>
      </x:c>
      <x:c r="I211" s="12" t="str"/>
      <x:c r="J211" s="12" t="str">
        <x:v>补/章节礼包!第7行</x:v>
      </x:c>
    </x:row>
    <x:row r="212" ht="52" customHeight="1">
      <x:c r="A212" s="4" t="str">
        <x:v>P121</x:v>
      </x:c>
      <x:c r="B212" s="4" t="str">
        <x:v>通关8章</x:v>
      </x:c>
      <x:c r="C212" s="4" t="str">
        <x:v>随机能量特饮</x:v>
      </x:c>
      <x:c r="D212" s="18" t="n">
        <x:v>600</x:v>
      </x:c>
      <x:c r="E212" s="14" t="n">
        <x:f>'道具价值基准'!E14</x:f>
        <x:v>1</x:v>
      </x:c>
      <x:c r="F212" s="14"/>
      <x:c r="G212" s="14" t="n">
        <x:f>IF(AND(ISNUMBER(D212),ISNUMBER(E212)),D212*E212,"待补")</x:f>
        <x:v>600</x:v>
      </x:c>
      <x:c r="H212" s="4" t="str">
        <x:v>统一道具字典</x:v>
      </x:c>
      <x:c r="I212" s="4" t="str"/>
      <x:c r="J212" s="4" t="str">
        <x:v>补/章节礼包!第7行</x:v>
      </x:c>
    </x:row>
    <x:row r="213" ht="52" customHeight="1">
      <x:c r="A213" s="12" t="str">
        <x:v>P121</x:v>
      </x:c>
      <x:c r="B213" s="12" t="str">
        <x:v>通关8章</x:v>
      </x:c>
      <x:c r="C213" s="12" t="str">
        <x:v>装备图纸</x:v>
      </x:c>
      <x:c r="D213" s="17" t="n">
        <x:v>200</x:v>
      </x:c>
      <x:c r="E213" s="13" t="n">
        <x:f>'道具价值基准'!E32</x:f>
        <x:v>3</x:v>
      </x:c>
      <x:c r="F213" s="13"/>
      <x:c r="G213" s="13" t="n">
        <x:f>IF(AND(ISNUMBER(D213),ISNUMBER(E213)),D213*E213,"待补")</x:f>
        <x:v>600</x:v>
      </x:c>
      <x:c r="H213" s="12" t="str">
        <x:v>统一道具字典</x:v>
      </x:c>
      <x:c r="I213" s="12" t="str"/>
      <x:c r="J213" s="12" t="str">
        <x:v>补/章节礼包!第7行</x:v>
      </x:c>
    </x:row>
    <x:row r="214" ht="52" customHeight="1">
      <x:c r="A214" s="4" t="str">
        <x:v>P122</x:v>
      </x:c>
      <x:c r="B214" s="4" t="str">
        <x:v>通关10章</x:v>
      </x:c>
      <x:c r="C214" s="4" t="str">
        <x:v>梦境招募器</x:v>
      </x:c>
      <x:c r="D214" s="18" t="n">
        <x:v>50</x:v>
      </x:c>
      <x:c r="E214" s="14" t="n">
        <x:f>'道具价值基准'!E101</x:f>
        <x:v>30</x:v>
      </x:c>
      <x:c r="F214" s="14"/>
      <x:c r="G214" s="14" t="n">
        <x:f>IF(AND(ISNUMBER(D214),ISNUMBER(E214)),D214*E214,"待补")</x:f>
        <x:v>1500</x:v>
      </x:c>
      <x:c r="H214" s="4" t="str">
        <x:v>统一道具字典</x:v>
      </x:c>
      <x:c r="I214" s="4" t="str"/>
      <x:c r="J214" s="4" t="str">
        <x:v>补/章节礼包!第8行</x:v>
      </x:c>
    </x:row>
    <x:row r="215" ht="52" customHeight="1">
      <x:c r="A215" s="12" t="str">
        <x:v>P122</x:v>
      </x:c>
      <x:c r="B215" s="12" t="str">
        <x:v>通关10章</x:v>
      </x:c>
      <x:c r="C215" s="12" t="str">
        <x:v>随机能量特饮</x:v>
      </x:c>
      <x:c r="D215" s="17" t="n">
        <x:v>800</x:v>
      </x:c>
      <x:c r="E215" s="13" t="n">
        <x:f>'道具价值基准'!E14</x:f>
        <x:v>1</x:v>
      </x:c>
      <x:c r="F215" s="13"/>
      <x:c r="G215" s="13" t="n">
        <x:f>IF(AND(ISNUMBER(D215),ISNUMBER(E215)),D215*E215,"待补")</x:f>
        <x:v>800</x:v>
      </x:c>
      <x:c r="H215" s="12" t="str">
        <x:v>统一道具字典</x:v>
      </x:c>
      <x:c r="I215" s="12" t="str"/>
      <x:c r="J215" s="12" t="str">
        <x:v>补/章节礼包!第8行</x:v>
      </x:c>
    </x:row>
    <x:row r="216" ht="52" customHeight="1">
      <x:c r="A216" s="4" t="str">
        <x:v>P122</x:v>
      </x:c>
      <x:c r="B216" s="4" t="str">
        <x:v>通关10章</x:v>
      </x:c>
      <x:c r="C216" s="4" t="str">
        <x:v>装备图纸</x:v>
      </x:c>
      <x:c r="D216" s="18" t="n">
        <x:v>240</x:v>
      </x:c>
      <x:c r="E216" s="14" t="n">
        <x:f>'道具价值基准'!E32</x:f>
        <x:v>3</x:v>
      </x:c>
      <x:c r="F216" s="14"/>
      <x:c r="G216" s="14" t="n">
        <x:f>IF(AND(ISNUMBER(D216),ISNUMBER(E216)),D216*E216,"待补")</x:f>
        <x:v>720</x:v>
      </x:c>
      <x:c r="H216" s="4" t="str">
        <x:v>统一道具字典</x:v>
      </x:c>
      <x:c r="I216" s="4" t="str"/>
      <x:c r="J216" s="4" t="str">
        <x:v>补/章节礼包!第8行</x:v>
      </x:c>
    </x:row>
    <x:row r="217" ht="52" customHeight="1">
      <x:c r="A217" s="12" t="str">
        <x:v>P123</x:v>
      </x:c>
      <x:c r="B217" s="12" t="str">
        <x:v>通关15章</x:v>
      </x:c>
      <x:c r="C217" s="12" t="str">
        <x:v>梦境招募器</x:v>
      </x:c>
      <x:c r="D217" s="17" t="n">
        <x:v>80</x:v>
      </x:c>
      <x:c r="E217" s="13" t="n">
        <x:f>'道具价值基准'!E101</x:f>
        <x:v>30</x:v>
      </x:c>
      <x:c r="F217" s="13"/>
      <x:c r="G217" s="13" t="n">
        <x:f>IF(AND(ISNUMBER(D217),ISNUMBER(E217)),D217*E217,"待补")</x:f>
        <x:v>2400</x:v>
      </x:c>
      <x:c r="H217" s="12" t="str">
        <x:v>统一道具字典</x:v>
      </x:c>
      <x:c r="I217" s="12" t="str"/>
      <x:c r="J217" s="12" t="str">
        <x:v>补/章节礼包!第9行</x:v>
      </x:c>
    </x:row>
    <x:row r="218" ht="52" customHeight="1">
      <x:c r="A218" s="4" t="str">
        <x:v>P123</x:v>
      </x:c>
      <x:c r="B218" s="4" t="str">
        <x:v>通关15章</x:v>
      </x:c>
      <x:c r="C218" s="4" t="str">
        <x:v>随机能量特饮</x:v>
      </x:c>
      <x:c r="D218" s="18" t="n">
        <x:v>1000</x:v>
      </x:c>
      <x:c r="E218" s="14" t="n">
        <x:f>'道具价值基准'!E14</x:f>
        <x:v>1</x:v>
      </x:c>
      <x:c r="F218" s="14"/>
      <x:c r="G218" s="14" t="n">
        <x:f>IF(AND(ISNUMBER(D218),ISNUMBER(E218)),D218*E218,"待补")</x:f>
        <x:v>1000</x:v>
      </x:c>
      <x:c r="H218" s="4" t="str">
        <x:v>统一道具字典</x:v>
      </x:c>
      <x:c r="I218" s="4" t="str"/>
      <x:c r="J218" s="4" t="str">
        <x:v>补/章节礼包!第9行</x:v>
      </x:c>
    </x:row>
    <x:row r="219" ht="52" customHeight="1">
      <x:c r="A219" s="12" t="str">
        <x:v>P123</x:v>
      </x:c>
      <x:c r="B219" s="12" t="str">
        <x:v>通关15章</x:v>
      </x:c>
      <x:c r="C219" s="12" t="str">
        <x:v>装备图纸</x:v>
      </x:c>
      <x:c r="D219" s="17" t="n">
        <x:v>280</x:v>
      </x:c>
      <x:c r="E219" s="13" t="n">
        <x:f>'道具价值基准'!E32</x:f>
        <x:v>3</x:v>
      </x:c>
      <x:c r="F219" s="13"/>
      <x:c r="G219" s="13" t="n">
        <x:f>IF(AND(ISNUMBER(D219),ISNUMBER(E219)),D219*E219,"待补")</x:f>
        <x:v>840</x:v>
      </x:c>
      <x:c r="H219" s="12" t="str">
        <x:v>统一道具字典</x:v>
      </x:c>
      <x:c r="I219" s="12" t="str"/>
      <x:c r="J219" s="12" t="str">
        <x:v>补/章节礼包!第9行</x:v>
      </x:c>
    </x:row>
    <x:row r="220" ht="52" customHeight="1">
      <x:c r="A220" s="4" t="str">
        <x:v>P124</x:v>
      </x:c>
      <x:c r="B220" s="4" t="str">
        <x:v>通关20章</x:v>
      </x:c>
      <x:c r="C220" s="4" t="str">
        <x:v>梦境招募器</x:v>
      </x:c>
      <x:c r="D220" s="18" t="n">
        <x:v>100</x:v>
      </x:c>
      <x:c r="E220" s="14" t="n">
        <x:f>'道具价值基准'!E101</x:f>
        <x:v>30</x:v>
      </x:c>
      <x:c r="F220" s="14"/>
      <x:c r="G220" s="14" t="n">
        <x:f>IF(AND(ISNUMBER(D220),ISNUMBER(E220)),D220*E220,"待补")</x:f>
        <x:v>3000</x:v>
      </x:c>
      <x:c r="H220" s="4" t="str">
        <x:v>统一道具字典</x:v>
      </x:c>
      <x:c r="I220" s="4" t="str"/>
      <x:c r="J220" s="4" t="str">
        <x:v>补/章节礼包!第10行</x:v>
      </x:c>
    </x:row>
    <x:row r="221" ht="52" customHeight="1">
      <x:c r="A221" s="12" t="str">
        <x:v>P124</x:v>
      </x:c>
      <x:c r="B221" s="12" t="str">
        <x:v>通关20章</x:v>
      </x:c>
      <x:c r="C221" s="12" t="str">
        <x:v>超能特饮</x:v>
      </x:c>
      <x:c r="D221" s="17" t="n">
        <x:v>1200</x:v>
      </x:c>
      <x:c r="E221" s="13" t="n">
        <x:f>'道具价值基准'!E15</x:f>
        <x:v>2</x:v>
      </x:c>
      <x:c r="F221" s="13"/>
      <x:c r="G221" s="13" t="n">
        <x:f>IF(AND(ISNUMBER(D221),ISNUMBER(E221)),D221*E221,"待补")</x:f>
        <x:v>2400</x:v>
      </x:c>
      <x:c r="H221" s="12" t="str">
        <x:v>统一道具字典</x:v>
      </x:c>
      <x:c r="I221" s="12" t="str"/>
      <x:c r="J221" s="12" t="str">
        <x:v>补/章节礼包!第10行</x:v>
      </x:c>
    </x:row>
    <x:row r="222" ht="52" customHeight="1">
      <x:c r="A222" s="4" t="str">
        <x:v>P124</x:v>
      </x:c>
      <x:c r="B222" s="4" t="str">
        <x:v>通关20章</x:v>
      </x:c>
      <x:c r="C222" s="4" t="str">
        <x:v>装备图纸</x:v>
      </x:c>
      <x:c r="D222" s="18" t="n">
        <x:v>300</x:v>
      </x:c>
      <x:c r="E222" s="14" t="n">
        <x:f>'道具价值基准'!E32</x:f>
        <x:v>3</x:v>
      </x:c>
      <x:c r="F222" s="14"/>
      <x:c r="G222" s="14" t="n">
        <x:f>IF(AND(ISNUMBER(D222),ISNUMBER(E222)),D222*E222,"待补")</x:f>
        <x:v>900</x:v>
      </x:c>
      <x:c r="H222" s="4" t="str">
        <x:v>统一道具字典</x:v>
      </x:c>
      <x:c r="I222" s="4" t="str"/>
      <x:c r="J222" s="4" t="str">
        <x:v>补/章节礼包!第10行</x:v>
      </x:c>
    </x:row>
    <x:row r="223" ht="52" customHeight="1">
      <x:c r="A223" s="12" t="str">
        <x:v>P125</x:v>
      </x:c>
      <x:c r="B223" s="12" t="str">
        <x:v>通关24章</x:v>
      </x:c>
      <x:c r="C223" s="12" t="str">
        <x:v>星辉秘契</x:v>
      </x:c>
      <x:c r="D223" s="17" t="n">
        <x:v>20</x:v>
      </x:c>
      <x:c r="E223" s="13" t="n">
        <x:f>'道具价值基准'!E104</x:f>
        <x:v>280</x:v>
      </x:c>
      <x:c r="F223" s="13"/>
      <x:c r="G223" s="13" t="n">
        <x:f>IF(AND(ISNUMBER(D223),ISNUMBER(E223)),D223*E223,"待补")</x:f>
        <x:v>5600</x:v>
      </x:c>
      <x:c r="H223" s="12" t="str">
        <x:v>统一道具字典</x:v>
      </x:c>
      <x:c r="I223" s="12" t="str"/>
      <x:c r="J223" s="12" t="str">
        <x:v>补/章节礼包!第11行</x:v>
      </x:c>
    </x:row>
    <x:row r="224" ht="52" customHeight="1">
      <x:c r="A224" s="4" t="str">
        <x:v>P125</x:v>
      </x:c>
      <x:c r="B224" s="4" t="str">
        <x:v>通关24章</x:v>
      </x:c>
      <x:c r="C224" s="4" t="str">
        <x:v>幻梦晶核</x:v>
      </x:c>
      <x:c r="D224" s="18" t="n">
        <x:v>6</x:v>
      </x:c>
      <x:c r="E224" s="14" t="n">
        <x:f>'道具价值基准'!E36</x:f>
        <x:v>60</x:v>
      </x:c>
      <x:c r="F224" s="14"/>
      <x:c r="G224" s="14" t="n">
        <x:f>IF(AND(ISNUMBER(D224),ISNUMBER(E224)),D224*E224,"待补")</x:f>
        <x:v>360</x:v>
      </x:c>
      <x:c r="H224" s="4" t="str">
        <x:v>统一道具字典</x:v>
      </x:c>
      <x:c r="I224" s="4" t="str"/>
      <x:c r="J224" s="4" t="str">
        <x:v>补/章节礼包!第11行</x:v>
      </x:c>
    </x:row>
    <x:row r="225" ht="52" customHeight="1">
      <x:c r="A225" s="12" t="str">
        <x:v>P125</x:v>
      </x:c>
      <x:c r="B225" s="12" t="str">
        <x:v>通关24章</x:v>
      </x:c>
      <x:c r="C225" s="12" t="str">
        <x:v>装备图纸</x:v>
      </x:c>
      <x:c r="D225" s="17" t="n">
        <x:v>400</x:v>
      </x:c>
      <x:c r="E225" s="13" t="n">
        <x:f>'道具价值基准'!E32</x:f>
        <x:v>3</x:v>
      </x:c>
      <x:c r="F225" s="13"/>
      <x:c r="G225" s="13" t="n">
        <x:f>IF(AND(ISNUMBER(D225),ISNUMBER(E225)),D225*E225,"待补")</x:f>
        <x:v>1200</x:v>
      </x:c>
      <x:c r="H225" s="12" t="str">
        <x:v>统一道具字典</x:v>
      </x:c>
      <x:c r="I225" s="12" t="str"/>
      <x:c r="J225" s="12" t="str">
        <x:v>补/章节礼包!第11行</x:v>
      </x:c>
    </x:row>
    <x:row r="226" ht="52" customHeight="1">
      <x:c r="A226" s="4" t="str">
        <x:v>P126</x:v>
      </x:c>
      <x:c r="B226" s="4" t="str">
        <x:v>通关28章</x:v>
      </x:c>
      <x:c r="C226" s="4" t="str">
        <x:v>随机传说符文</x:v>
      </x:c>
      <x:c r="D226" s="18" t="n">
        <x:v>1</x:v>
      </x:c>
      <x:c r="E226" s="14" t="n">
        <x:f>'道具价值基准'!E200</x:f>
        <x:v>4096</x:v>
      </x:c>
      <x:c r="F226" s="14"/>
      <x:c r="G226" s="14" t="n">
        <x:f>IF(AND(ISNUMBER(D226),ISNUMBER(E226)),D226*E226,"待补")</x:f>
        <x:v>4096</x:v>
      </x:c>
      <x:c r="H226" s="4" t="str">
        <x:v>统一道具字典</x:v>
      </x:c>
      <x:c r="I226" s="4" t="str"/>
      <x:c r="J226" s="4" t="str">
        <x:v>补/章节礼包!第12行</x:v>
      </x:c>
    </x:row>
    <x:row r="227" ht="52" customHeight="1">
      <x:c r="A227" s="12" t="str">
        <x:v>P126</x:v>
      </x:c>
      <x:c r="B227" s="12" t="str">
        <x:v>通关28章</x:v>
      </x:c>
      <x:c r="C227" s="12" t="str">
        <x:v>幻梦晶核</x:v>
      </x:c>
      <x:c r="D227" s="17" t="n">
        <x:v>12</x:v>
      </x:c>
      <x:c r="E227" s="13" t="n">
        <x:f>'道具价值基准'!E36</x:f>
        <x:v>60</x:v>
      </x:c>
      <x:c r="F227" s="13"/>
      <x:c r="G227" s="13" t="n">
        <x:f>IF(AND(ISNUMBER(D227),ISNUMBER(E227)),D227*E227,"待补")</x:f>
        <x:v>720</x:v>
      </x:c>
      <x:c r="H227" s="12" t="str">
        <x:v>统一道具字典</x:v>
      </x:c>
      <x:c r="I227" s="12" t="str"/>
      <x:c r="J227" s="12" t="str">
        <x:v>补/章节礼包!第12行</x:v>
      </x:c>
    </x:row>
    <x:row r="228" ht="52" customHeight="1">
      <x:c r="A228" s="4" t="str">
        <x:v>P126</x:v>
      </x:c>
      <x:c r="B228" s="4" t="str">
        <x:v>通关28章</x:v>
      </x:c>
      <x:c r="C228" s="4" t="str">
        <x:v>装备图纸</x:v>
      </x:c>
      <x:c r="D228" s="18" t="n">
        <x:v>500</x:v>
      </x:c>
      <x:c r="E228" s="14" t="n">
        <x:f>'道具价值基准'!E32</x:f>
        <x:v>3</x:v>
      </x:c>
      <x:c r="F228" s="14"/>
      <x:c r="G228" s="14" t="n">
        <x:f>IF(AND(ISNUMBER(D228),ISNUMBER(E228)),D228*E228,"待补")</x:f>
        <x:v>1500</x:v>
      </x:c>
      <x:c r="H228" s="4" t="str">
        <x:v>统一道具字典</x:v>
      </x:c>
      <x:c r="I228" s="4" t="str"/>
      <x:c r="J228" s="4" t="str">
        <x:v>补/章节礼包!第12行</x:v>
      </x:c>
    </x:row>
    <x:row r="229" ht="52" customHeight="1">
      <x:c r="A229" s="12" t="str">
        <x:v>P127</x:v>
      </x:c>
      <x:c r="B229" s="12" t="str">
        <x:v>通关32章</x:v>
      </x:c>
      <x:c r="C229" s="12" t="str">
        <x:v>随机传说符文</x:v>
      </x:c>
      <x:c r="D229" s="17" t="n">
        <x:v>2</x:v>
      </x:c>
      <x:c r="E229" s="13" t="n">
        <x:f>'道具价值基准'!E200</x:f>
        <x:v>4096</x:v>
      </x:c>
      <x:c r="F229" s="13"/>
      <x:c r="G229" s="13" t="n">
        <x:f>IF(AND(ISNUMBER(D229),ISNUMBER(E229)),D229*E229,"待补")</x:f>
        <x:v>8192</x:v>
      </x:c>
      <x:c r="H229" s="12" t="str">
        <x:v>统一道具字典</x:v>
      </x:c>
      <x:c r="I229" s="12" t="str"/>
      <x:c r="J229" s="12" t="str">
        <x:v>补/章节礼包!第13行</x:v>
      </x:c>
    </x:row>
    <x:row r="230" ht="52" customHeight="1">
      <x:c r="A230" s="4" t="str">
        <x:v>P127</x:v>
      </x:c>
      <x:c r="B230" s="4" t="str">
        <x:v>通关32章</x:v>
      </x:c>
      <x:c r="C230" s="4" t="str">
        <x:v>幻梦晶核</x:v>
      </x:c>
      <x:c r="D230" s="18" t="n">
        <x:v>24</x:v>
      </x:c>
      <x:c r="E230" s="14" t="n">
        <x:f>'道具价值基准'!E36</x:f>
        <x:v>60</x:v>
      </x:c>
      <x:c r="F230" s="14"/>
      <x:c r="G230" s="14" t="n">
        <x:f>IF(AND(ISNUMBER(D230),ISNUMBER(E230)),D230*E230,"待补")</x:f>
        <x:v>1440</x:v>
      </x:c>
      <x:c r="H230" s="4" t="str">
        <x:v>统一道具字典</x:v>
      </x:c>
      <x:c r="I230" s="4" t="str"/>
      <x:c r="J230" s="4" t="str">
        <x:v>补/章节礼包!第13行</x:v>
      </x:c>
    </x:row>
    <x:row r="231" ht="52" customHeight="1">
      <x:c r="A231" s="12" t="str">
        <x:v>P127</x:v>
      </x:c>
      <x:c r="B231" s="12" t="str">
        <x:v>通关32章</x:v>
      </x:c>
      <x:c r="C231" s="12" t="str">
        <x:v>装备图纸</x:v>
      </x:c>
      <x:c r="D231" s="17" t="n">
        <x:v>600</x:v>
      </x:c>
      <x:c r="E231" s="13" t="n">
        <x:f>'道具价值基准'!E32</x:f>
        <x:v>3</x:v>
      </x:c>
      <x:c r="F231" s="13"/>
      <x:c r="G231" s="13" t="n">
        <x:f>IF(AND(ISNUMBER(D231),ISNUMBER(E231)),D231*E231,"待补")</x:f>
        <x:v>1800</x:v>
      </x:c>
      <x:c r="H231" s="12" t="str">
        <x:v>统一道具字典</x:v>
      </x:c>
      <x:c r="I231" s="12" t="str"/>
      <x:c r="J231" s="12" t="str">
        <x:v>补/章节礼包!第13行</x:v>
      </x:c>
    </x:row>
    <x:row r="232" ht="52" customHeight="1">
      <x:c r="A232" s="4" t="str">
        <x:v>P128</x:v>
      </x:c>
      <x:c r="B232" s="4" t="str">
        <x:v>通关36章</x:v>
      </x:c>
      <x:c r="C232" s="4" t="str">
        <x:v>随机神话符文</x:v>
      </x:c>
      <x:c r="D232" s="18" t="n">
        <x:v>1</x:v>
      </x:c>
      <x:c r="E232" s="14" t="n">
        <x:f>'道具价值基准'!E201</x:f>
        <x:v>16384</x:v>
      </x:c>
      <x:c r="F232" s="14"/>
      <x:c r="G232" s="14" t="n">
        <x:f>IF(AND(ISNUMBER(D232),ISNUMBER(E232)),D232*E232,"待补")</x:f>
        <x:v>16384</x:v>
      </x:c>
      <x:c r="H232" s="4" t="str">
        <x:v>统一道具字典</x:v>
      </x:c>
      <x:c r="I232" s="4" t="str"/>
      <x:c r="J232" s="4" t="str">
        <x:v>补/章节礼包!第14行</x:v>
      </x:c>
    </x:row>
    <x:row r="233" ht="52" customHeight="1">
      <x:c r="A233" s="12" t="str">
        <x:v>P128</x:v>
      </x:c>
      <x:c r="B233" s="12" t="str">
        <x:v>通关36章</x:v>
      </x:c>
      <x:c r="C233" s="12" t="str">
        <x:v>超能特饮</x:v>
      </x:c>
      <x:c r="D233" s="17" t="n">
        <x:v>2000</x:v>
      </x:c>
      <x:c r="E233" s="13" t="n">
        <x:f>'道具价值基准'!E15</x:f>
        <x:v>2</x:v>
      </x:c>
      <x:c r="F233" s="13"/>
      <x:c r="G233" s="13" t="n">
        <x:f>IF(AND(ISNUMBER(D233),ISNUMBER(E233)),D233*E233,"待补")</x:f>
        <x:v>4000</x:v>
      </x:c>
      <x:c r="H233" s="12" t="str">
        <x:v>统一道具字典</x:v>
      </x:c>
      <x:c r="I233" s="12" t="str"/>
      <x:c r="J233" s="12" t="str">
        <x:v>补/章节礼包!第14行</x:v>
      </x:c>
    </x:row>
    <x:row r="234" ht="52" customHeight="1">
      <x:c r="A234" s="4" t="str">
        <x:v>P128</x:v>
      </x:c>
      <x:c r="B234" s="4" t="str">
        <x:v>通关36章</x:v>
      </x:c>
      <x:c r="C234" s="4" t="str">
        <x:v>装备图纸</x:v>
      </x:c>
      <x:c r="D234" s="18" t="n">
        <x:v>1200</x:v>
      </x:c>
      <x:c r="E234" s="14" t="n">
        <x:f>'道具价值基准'!E32</x:f>
        <x:v>3</x:v>
      </x:c>
      <x:c r="F234" s="14"/>
      <x:c r="G234" s="14" t="n">
        <x:f>IF(AND(ISNUMBER(D234),ISNUMBER(E234)),D234*E234,"待补")</x:f>
        <x:v>3600</x:v>
      </x:c>
      <x:c r="H234" s="4" t="str">
        <x:v>统一道具字典</x:v>
      </x:c>
      <x:c r="I234" s="4" t="str"/>
      <x:c r="J234" s="4" t="str">
        <x:v>补/章节礼包!第14行</x:v>
      </x:c>
    </x:row>
    <x:row r="235" ht="52" customHeight="1">
      <x:c r="A235" s="12" t="str">
        <x:v>P129</x:v>
      </x:c>
      <x:c r="B235" s="12" t="str">
        <x:v>金币</x:v>
      </x:c>
      <x:c r="C235" s="12" t="str">
        <x:v>金币</x:v>
      </x:c>
      <x:c r="D235" s="17" t="n">
        <x:v>500</x:v>
      </x:c>
      <x:c r="E235" s="13" t="n">
        <x:f>'道具价值基准'!E6</x:f>
        <x:v>0.05</x:v>
      </x:c>
      <x:c r="F235" s="13"/>
      <x:c r="G235" s="13" t="n">
        <x:f>IF(AND(ISNUMBER(D235),ISNUMBER(E235)),D235*E235,"待补")</x:f>
        <x:v>25</x:v>
      </x:c>
      <x:c r="H235" s="12" t="str">
        <x:v>统一道具字典</x:v>
      </x:c>
      <x:c r="I235" s="12" t="str"/>
      <x:c r="J235" s="12" t="str">
        <x:v>主/心梦商店!第4行</x:v>
      </x:c>
    </x:row>
    <x:row r="236" ht="52" customHeight="1">
      <x:c r="A236" s="4" t="str">
        <x:v>P130</x:v>
      </x:c>
      <x:c r="B236" s="4" t="str">
        <x:v>随机神话符文</x:v>
      </x:c>
      <x:c r="C236" s="4" t="str">
        <x:v>随机神话符文</x:v>
      </x:c>
      <x:c r="D236" s="18" t="n">
        <x:v>1</x:v>
      </x:c>
      <x:c r="E236" s="14" t="n">
        <x:f>'道具价值基准'!E45</x:f>
        <x:v>16384</x:v>
      </x:c>
      <x:c r="F236" s="14"/>
      <x:c r="G236" s="14" t="n">
        <x:f>IF(AND(ISNUMBER(D236),ISNUMBER(E236)),D236*E236,"待补")</x:f>
        <x:v>16384</x:v>
      </x:c>
      <x:c r="H236" s="4" t="str">
        <x:v>统一道具字典</x:v>
      </x:c>
      <x:c r="I236" s="4" t="str"/>
      <x:c r="J236" s="4" t="str">
        <x:v>主/心梦商店!第5行</x:v>
      </x:c>
    </x:row>
    <x:row r="237" ht="52" customHeight="1">
      <x:c r="A237" s="12" t="str">
        <x:v>P131</x:v>
      </x:c>
      <x:c r="B237" s="12" t="str">
        <x:v>钻石</x:v>
      </x:c>
      <x:c r="C237" s="12" t="str">
        <x:v>钻石</x:v>
      </x:c>
      <x:c r="D237" s="17" t="n">
        <x:v>1688</x:v>
      </x:c>
      <x:c r="E237" s="13" t="n">
        <x:f>'道具价值基准'!E5</x:f>
        <x:v>1</x:v>
      </x:c>
      <x:c r="F237" s="13"/>
      <x:c r="G237" s="13" t="n">
        <x:f>IF(AND(ISNUMBER(D237),ISNUMBER(E237)),D237*E237,"待补")</x:f>
        <x:v>1688</x:v>
      </x:c>
      <x:c r="H237" s="12" t="str">
        <x:v>统一道具字典</x:v>
      </x:c>
      <x:c r="I237" s="12" t="str"/>
      <x:c r="J237" s="12" t="str">
        <x:v>主/心梦商店!第6行</x:v>
      </x:c>
    </x:row>
    <x:row r="238" ht="52" customHeight="1">
      <x:c r="A238" s="4" t="str">
        <x:v>P132</x:v>
      </x:c>
      <x:c r="B238" s="4" t="str">
        <x:v>钻石</x:v>
      </x:c>
      <x:c r="C238" s="4" t="str">
        <x:v>钻石</x:v>
      </x:c>
      <x:c r="D238" s="18" t="n">
        <x:v>888</x:v>
      </x:c>
      <x:c r="E238" s="14" t="n">
        <x:f>'道具价值基准'!E5</x:f>
        <x:v>1</x:v>
      </x:c>
      <x:c r="F238" s="14"/>
      <x:c r="G238" s="14" t="n">
        <x:f>IF(AND(ISNUMBER(D238),ISNUMBER(E238)),D238*E238,"待补")</x:f>
        <x:v>888</x:v>
      </x:c>
      <x:c r="H238" s="4" t="str">
        <x:v>统一道具字典</x:v>
      </x:c>
      <x:c r="I238" s="4" t="str"/>
      <x:c r="J238" s="4" t="str">
        <x:v>主/心梦商店!第7行</x:v>
      </x:c>
    </x:row>
    <x:row r="239" ht="52" customHeight="1">
      <x:c r="A239" s="12" t="str">
        <x:v>P133</x:v>
      </x:c>
      <x:c r="B239" s="12" t="str">
        <x:v>幻梦晶核</x:v>
      </x:c>
      <x:c r="C239" s="12" t="str">
        <x:v>幻梦晶核</x:v>
      </x:c>
      <x:c r="D239" s="17" t="n">
        <x:v>50</x:v>
      </x:c>
      <x:c r="E239" s="13" t="n">
        <x:f>'道具价值基准'!E36</x:f>
        <x:v>60</x:v>
      </x:c>
      <x:c r="F239" s="13"/>
      <x:c r="G239" s="13" t="n">
        <x:f>IF(AND(ISNUMBER(D239),ISNUMBER(E239)),D239*E239,"待补")</x:f>
        <x:v>3000</x:v>
      </x:c>
      <x:c r="H239" s="12" t="str">
        <x:v>统一道具字典</x:v>
      </x:c>
      <x:c r="I239" s="12" t="str"/>
      <x:c r="J239" s="12" t="str">
        <x:v>主/心梦商店!第8行</x:v>
      </x:c>
    </x:row>
    <x:row r="240" ht="52" customHeight="1">
      <x:c r="A240" s="4" t="str">
        <x:v>P134</x:v>
      </x:c>
      <x:c r="B240" s="4" t="str">
        <x:v>招募器</x:v>
      </x:c>
      <x:c r="C240" s="4" t="str">
        <x:v>招募器</x:v>
      </x:c>
      <x:c r="D240" s="18" t="n">
        <x:v>50</x:v>
      </x:c>
      <x:c r="E240" s="14" t="n">
        <x:f>'道具价值基准'!E101</x:f>
        <x:v>30</x:v>
      </x:c>
      <x:c r="F240" s="14"/>
      <x:c r="G240" s="14" t="n">
        <x:f>IF(AND(ISNUMBER(D240),ISNUMBER(E240)),D240*E240,"待补")</x:f>
        <x:v>1500</x:v>
      </x:c>
      <x:c r="H240" s="4" t="str">
        <x:v>统一道具字典</x:v>
      </x:c>
      <x:c r="I240" s="4" t="str"/>
      <x:c r="J240" s="4" t="str">
        <x:v>主/心梦商店!第9行</x:v>
      </x:c>
    </x:row>
    <x:row r="241" ht="52" customHeight="1">
      <x:c r="A241" s="12" t="str">
        <x:v>P135</x:v>
      </x:c>
      <x:c r="B241" s="12" t="str">
        <x:v>星辉秘契</x:v>
      </x:c>
      <x:c r="C241" s="12" t="str">
        <x:v>星辉秘契</x:v>
      </x:c>
      <x:c r="D241" s="17" t="n">
        <x:v>20</x:v>
      </x:c>
      <x:c r="E241" s="13" t="n">
        <x:f>'道具价值基准'!E104</x:f>
        <x:v>280</x:v>
      </x:c>
      <x:c r="F241" s="13"/>
      <x:c r="G241" s="13" t="n">
        <x:f>IF(AND(ISNUMBER(D241),ISNUMBER(E241)),D241*E241,"待补")</x:f>
        <x:v>5600</x:v>
      </x:c>
      <x:c r="H241" s="12" t="str">
        <x:v>统一道具字典</x:v>
      </x:c>
      <x:c r="I241" s="12" t="str"/>
      <x:c r="J241" s="12" t="str">
        <x:v>主/心梦商店!第10行</x:v>
      </x:c>
    </x:row>
    <x:row r="242" ht="52" customHeight="1">
      <x:c r="A242" s="4" t="str">
        <x:v>P136</x:v>
      </x:c>
      <x:c r="B242" s="4" t="str">
        <x:v>绮梦衣橱礼盒</x:v>
      </x:c>
      <x:c r="C242" s="4" t="str">
        <x:v>绮梦衣橱礼盒</x:v>
      </x:c>
      <x:c r="D242" s="18" t="n">
        <x:v>1</x:v>
      </x:c>
      <x:c r="E242" s="14"/>
      <x:c r="F242" s="14"/>
      <x:c r="G242" s="14" t="str">
        <x:f>IF(AND(ISNUMBER(D242),ISNUMBER(E242)),D242*E242,"待补")</x:f>
        <x:v>待补</x:v>
      </x:c>
      <x:c r="H242" s="4" t="str">
        <x:v>缺统一估值</x:v>
      </x:c>
      <x:c r="I242" s="4" t="str"/>
      <x:c r="J242" s="4" t="str">
        <x:v>主/心梦商店!第11行</x:v>
      </x:c>
    </x:row>
    <x:row r="243" ht="52" customHeight="1">
      <x:c r="A243" s="12" t="str">
        <x:v>P137</x:v>
      </x:c>
      <x:c r="B243" s="12" t="str">
        <x:v>喵喵锤子</x:v>
      </x:c>
      <x:c r="C243" s="12" t="str">
        <x:v>喵喵锤子</x:v>
      </x:c>
      <x:c r="D243" s="17" t="n">
        <x:v>1</x:v>
      </x:c>
      <x:c r="E243" s="13"/>
      <x:c r="F243" s="13"/>
      <x:c r="G243" s="13" t="str">
        <x:f>IF(AND(ISNUMBER(D243),ISNUMBER(E243)),D243*E243,"待补")</x:f>
        <x:v>待补</x:v>
      </x:c>
      <x:c r="H243" s="12" t="str">
        <x:v>缺统一估值</x:v>
      </x:c>
      <x:c r="I243" s="12" t="str"/>
      <x:c r="J243" s="12" t="str">
        <x:v>主/心梦商店!第12行</x:v>
      </x:c>
    </x:row>
    <x:row r="244" ht="52" customHeight="1">
      <x:c r="A244" s="4" t="str">
        <x:v>P138</x:v>
      </x:c>
      <x:c r="B244" s="4" t="str">
        <x:v>神话祝福石</x:v>
      </x:c>
      <x:c r="C244" s="4" t="str">
        <x:v>神话祝福石</x:v>
      </x:c>
      <x:c r="D244" s="18" t="n">
        <x:v>1</x:v>
      </x:c>
      <x:c r="E244" s="14" t="n">
        <x:f>'道具价值基准'!E38</x:f>
        <x:v>5000</x:v>
      </x:c>
      <x:c r="F244" s="14"/>
      <x:c r="G244" s="14" t="n">
        <x:f>IF(AND(ISNUMBER(D244),ISNUMBER(E244)),D244*E244,"待补")</x:f>
        <x:v>5000</x:v>
      </x:c>
      <x:c r="H244" s="4" t="str">
        <x:v>统一道具字典</x:v>
      </x:c>
      <x:c r="I244" s="4" t="str"/>
      <x:c r="J244" s="4" t="str">
        <x:v>主/心梦商店!第13行</x:v>
      </x:c>
    </x:row>
    <x:row r="245" ht="52" customHeight="1">
      <x:c r="A245" s="12" t="str">
        <x:v>P139</x:v>
      </x:c>
      <x:c r="B245" s="12" t="str">
        <x:v>童话造物幻衣</x:v>
      </x:c>
      <x:c r="C245" s="12" t="str">
        <x:v>童话造物幻衣</x:v>
      </x:c>
      <x:c r="D245" s="17" t="n">
        <x:v>1</x:v>
      </x:c>
      <x:c r="E245" s="13"/>
      <x:c r="F245" s="13"/>
      <x:c r="G245" s="13" t="str">
        <x:f>IF(AND(ISNUMBER(D245),ISNUMBER(E245)),D245*E245,"待补")</x:f>
        <x:v>待补</x:v>
      </x:c>
      <x:c r="H245" s="12" t="str">
        <x:v>缺统一估值</x:v>
      </x:c>
      <x:c r="I245" s="12" t="str"/>
      <x:c r="J245" s="12" t="str">
        <x:v>主/心梦商店!第14行</x:v>
      </x:c>
    </x:row>
    <x:row r="246" ht="52" customHeight="1">
      <x:c r="A246" s="4" t="str">
        <x:v>P140</x:v>
      </x:c>
      <x:c r="B246" s="4" t="str">
        <x:v>小狗锤</x:v>
      </x:c>
      <x:c r="C246" s="4" t="str">
        <x:v>小狗锤</x:v>
      </x:c>
      <x:c r="D246" s="18" t="n">
        <x:v>1</x:v>
      </x:c>
      <x:c r="E246" s="14"/>
      <x:c r="F246" s="14"/>
      <x:c r="G246" s="14" t="str">
        <x:f>IF(AND(ISNUMBER(D246),ISNUMBER(E246)),D246*E246,"待补")</x:f>
        <x:v>待补</x:v>
      </x:c>
      <x:c r="H246" s="4" t="str">
        <x:v>缺统一估值</x:v>
      </x:c>
      <x:c r="I246" s="4" t="str"/>
      <x:c r="J246" s="4" t="str">
        <x:v>主/心梦商店!第15行</x:v>
      </x:c>
    </x:row>
    <x:row r="247" ht="52" customHeight="1">
      <x:c r="A247" s="12" t="str">
        <x:v>P141</x:v>
      </x:c>
      <x:c r="B247" s="12" t="str">
        <x:v>繁星衣橱礼盒</x:v>
      </x:c>
      <x:c r="C247" s="12" t="str">
        <x:v>繁星衣橱礼盒</x:v>
      </x:c>
      <x:c r="D247" s="17" t="n">
        <x:v>1</x:v>
      </x:c>
      <x:c r="E247" s="13"/>
      <x:c r="F247" s="13"/>
      <x:c r="G247" s="13" t="str">
        <x:f>IF(AND(ISNUMBER(D247),ISNUMBER(E247)),D247*E247,"待补")</x:f>
        <x:v>待补</x:v>
      </x:c>
      <x:c r="H247" s="12" t="str">
        <x:v>缺统一估值</x:v>
      </x:c>
      <x:c r="I247" s="12" t="str"/>
      <x:c r="J247" s="12" t="str">
        <x:v>主/心梦商店!第16行</x:v>
      </x:c>
    </x:row>
    <x:row r="248" ht="52" customHeight="1">
      <x:c r="A248" s="4" t="str">
        <x:v>P142</x:v>
      </x:c>
      <x:c r="B248" s="4" t="str">
        <x:v>小狗锤</x:v>
      </x:c>
      <x:c r="C248" s="4" t="str">
        <x:v>小狗锤</x:v>
      </x:c>
      <x:c r="D248" s="18" t="n">
        <x:v>1</x:v>
      </x:c>
      <x:c r="E248" s="14"/>
      <x:c r="F248" s="14"/>
      <x:c r="G248" s="14" t="str">
        <x:f>IF(AND(ISNUMBER(D248),ISNUMBER(E248)),D248*E248,"待补")</x:f>
        <x:v>待补</x:v>
      </x:c>
      <x:c r="H248" s="4" t="str">
        <x:v>缺统一估值</x:v>
      </x:c>
      <x:c r="I248" s="4" t="str"/>
      <x:c r="J248" s="4" t="str">
        <x:v>主/心梦商店!第17行</x:v>
      </x:c>
    </x:row>
    <x:row r="249" ht="52" customHeight="1">
      <x:c r="A249" s="12" t="str">
        <x:v>P143</x:v>
      </x:c>
      <x:c r="B249" s="12" t="str">
        <x:v>智械发条</x:v>
      </x:c>
      <x:c r="C249" s="12" t="str">
        <x:v>智械发条</x:v>
      </x:c>
      <x:c r="D249" s="17" t="n">
        <x:v>10</x:v>
      </x:c>
      <x:c r="E249" s="13" t="n">
        <x:f>'道具价值基准'!E87</x:f>
        <x:v>150</x:v>
      </x:c>
      <x:c r="F249" s="13"/>
      <x:c r="G249" s="13" t="n">
        <x:f>IF(AND(ISNUMBER(D249),ISNUMBER(E249)),D249*E249,"待补")</x:f>
        <x:v>1500</x:v>
      </x:c>
      <x:c r="H249" s="12" t="str">
        <x:v>统一道具字典</x:v>
      </x:c>
      <x:c r="I249" s="12" t="str"/>
      <x:c r="J249" s="12" t="str">
        <x:v>主/心梦商店!第18行</x:v>
      </x:c>
    </x:row>
    <x:row r="250" ht="52" customHeight="1">
      <x:c r="A250" s="4" t="str">
        <x:v>P144</x:v>
      </x:c>
      <x:c r="B250" s="4" t="str">
        <x:v>精密齿轮</x:v>
      </x:c>
      <x:c r="C250" s="4" t="str">
        <x:v>精密齿轮</x:v>
      </x:c>
      <x:c r="D250" s="18" t="n">
        <x:v>1500</x:v>
      </x:c>
      <x:c r="E250" s="14" t="n">
        <x:f>'道具价值基准'!E88</x:f>
        <x:v>1</x:v>
      </x:c>
      <x:c r="F250" s="14"/>
      <x:c r="G250" s="14" t="n">
        <x:f>IF(AND(ISNUMBER(D250),ISNUMBER(E250)),D250*E250,"待补")</x:f>
        <x:v>1500</x:v>
      </x:c>
      <x:c r="H250" s="4" t="str">
        <x:v>统一道具字典</x:v>
      </x:c>
      <x:c r="I250" s="4" t="str"/>
      <x:c r="J250" s="4" t="str">
        <x:v>主/心梦商店!第19行</x:v>
      </x:c>
    </x:row>
    <x:row r="251" ht="52" customHeight="1">
      <x:c r="A251" s="12" t="str">
        <x:v>P145</x:v>
      </x:c>
      <x:c r="B251" s="12" t="str">
        <x:v>抵达深空</x:v>
      </x:c>
      <x:c r="C251" s="12" t="str">
        <x:v>抵达深空</x:v>
      </x:c>
      <x:c r="D251" s="17" t="n">
        <x:v>1</x:v>
      </x:c>
      <x:c r="E251" s="13" t="n">
        <x:f>'道具价值基准'!E152</x:f>
        <x:v>9600</x:v>
      </x:c>
      <x:c r="F251" s="13"/>
      <x:c r="G251" s="13" t="n">
        <x:f>IF(AND(ISNUMBER(D251),ISNUMBER(E251)),D251*E251,"待补")</x:f>
        <x:v>9600</x:v>
      </x:c>
      <x:c r="H251" s="12" t="str">
        <x:v>统一道具字典</x:v>
      </x:c>
      <x:c r="I251" s="12" t="str"/>
      <x:c r="J251" s="12" t="str">
        <x:v>主/心梦商店!第20行</x:v>
      </x:c>
    </x:row>
    <x:row r="252" ht="52" customHeight="1">
      <x:c r="A252" s="4" t="str">
        <x:v>P146</x:v>
      </x:c>
      <x:c r="B252" s="4" t="str">
        <x:v>酣眠的祝福</x:v>
      </x:c>
      <x:c r="C252" s="4" t="str">
        <x:v>酣眠的祝福</x:v>
      </x:c>
      <x:c r="D252" s="18" t="n">
        <x:v>1</x:v>
      </x:c>
      <x:c r="E252" s="14" t="n">
        <x:f>'道具价值基准'!E151</x:f>
        <x:v>4800</x:v>
      </x:c>
      <x:c r="F252" s="14"/>
      <x:c r="G252" s="14" t="n">
        <x:f>IF(AND(ISNUMBER(D252),ISNUMBER(E252)),D252*E252,"待补")</x:f>
        <x:v>4800</x:v>
      </x:c>
      <x:c r="H252" s="4" t="str">
        <x:v>统一道具字典</x:v>
      </x:c>
      <x:c r="I252" s="4" t="str"/>
      <x:c r="J252" s="4" t="str">
        <x:v>主/心梦商店!第21行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846db8cd334401b"/>
  </x:tableParts>
</x:worksheet>
</file>

<file path=xl/worksheets/sheet4.xml><?xml version="1.0" encoding="utf-8"?>
<x:worksheet xmlns:x="http://schemas.openxmlformats.org/spreadsheetml/2006/main">
  <x:sheetPr>
    <x:tabColor rgb="FF34495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24" hidden="0" customWidth="1"/>
    <x:col min="3" max="3" width="18" hidden="0" customWidth="1"/>
    <x:col min="4" max="4" width="77" hidden="0" customWidth="1"/>
    <x:col min="5" max="5" width="42" hidden="0" customWidth="1"/>
    <x:col min="6" max="6" width="54" hidden="0" customWidth="1"/>
  </x:cols>
  <x:sheetData>
    <x:row r="1" ht="38" customHeight="1">
      <x:c r="A1" s="7" t="str">
        <x:v>活动节点 · 分轮/分轨记录</x:v>
      </x:c>
      <x:c r="B1" s="7"/>
      <x:c r="C1" s="7"/>
      <x:c r="D1" s="7"/>
      <x:c r="E1" s="7"/>
      <x:c r="F1" s="7"/>
    </x:row>
    <x:row r="2" ht="42" customHeight="1">
      <x:c r="A2" s="8" t="str">
        <x:v>本页记录达标阈值与奖励；阈值不是现金成本。排行、任务、免费轨与商品分别看，不将同一奖励计入多个商品。</x:v>
      </x:c>
      <x:c r="B2" s="8"/>
      <x:c r="C2" s="8"/>
      <x:c r="D2" s="8"/>
      <x:c r="E2" s="8"/>
      <x:c r="F2" s="8"/>
    </x:row>
    <x:row r="3">
      <x:c r="A3" s="4"/>
      <x:c r="B3" s="4"/>
      <x:c r="C3" s="4"/>
      <x:c r="D3" s="4"/>
      <x:c r="E3" s="4"/>
      <x:c r="F3" s="4"/>
    </x:row>
    <x:row r="4" ht="32" customHeight="1">
      <x:c r="A4" s="11" t="str">
        <x:v>活动/轮次</x:v>
      </x:c>
      <x:c r="B4" s="11" t="str">
        <x:v>节点类型</x:v>
      </x:c>
      <x:c r="C4" s="11" t="str">
        <x:v>阈值</x:v>
      </x:c>
      <x:c r="D4" s="11" t="str">
        <x:v>奖励</x:v>
      </x:c>
      <x:c r="E4" s="11" t="str">
        <x:v>来源</x:v>
      </x:c>
      <x:c r="F4" s="11" t="str">
        <x:v>计算边界</x:v>
      </x:c>
    </x:row>
    <x:row r="5" ht="52" customHeight="1">
      <x:c r="A5" s="12" t="str">
        <x:v>招募冲刺/第1轮</x:v>
      </x:c>
      <x:c r="B5" s="12" t="str">
        <x:v>进度奖励</x:v>
      </x:c>
      <x:c r="C5" s="12" t="n">
        <x:v>60</x:v>
      </x:c>
      <x:c r="D5" s="12" t="str">
        <x:v>梦境招募器 × 5；超能特饮 × 30</x:v>
      </x:c>
      <x:c r="E5" s="12" t="str">
        <x:v>主/冲刺活动!第5行</x:v>
      </x:c>
      <x:c r="F5" s="12" t="str">
        <x:v>阈值非现金成本；不可与同一资源返利重复计价</x:v>
      </x:c>
    </x:row>
    <x:row r="6" ht="52" customHeight="1">
      <x:c r="A6" s="4" t="str">
        <x:v>招募冲刺/第1轮</x:v>
      </x:c>
      <x:c r="B6" s="4" t="str">
        <x:v>进度奖励</x:v>
      </x:c>
      <x:c r="C6" s="4" t="n">
        <x:v>120</x:v>
      </x:c>
      <x:c r="D6" s="4" t="str">
        <x:v>梦境招募器 × 5；超能特饮 × 30</x:v>
      </x:c>
      <x:c r="E6" s="4" t="str">
        <x:v>主/冲刺活动!第6行</x:v>
      </x:c>
      <x:c r="F6" s="4" t="str">
        <x:v>阈值非现金成本；不可与同一资源返利重复计价</x:v>
      </x:c>
    </x:row>
    <x:row r="7" ht="52" customHeight="1">
      <x:c r="A7" s="12" t="str">
        <x:v>招募冲刺/第1轮</x:v>
      </x:c>
      <x:c r="B7" s="12" t="str">
        <x:v>进度奖励</x:v>
      </x:c>
      <x:c r="C7" s="12" t="n">
        <x:v>200</x:v>
      </x:c>
      <x:c r="D7" s="12" t="str">
        <x:v>梦境招募器 × 5；超能特饮 × 30</x:v>
      </x:c>
      <x:c r="E7" s="12" t="str">
        <x:v>主/冲刺活动!第7行</x:v>
      </x:c>
      <x:c r="F7" s="12" t="str">
        <x:v>阈值非现金成本；不可与同一资源返利重复计价</x:v>
      </x:c>
    </x:row>
    <x:row r="8" ht="52" customHeight="1">
      <x:c r="A8" s="4" t="str">
        <x:v>招募冲刺/第1轮</x:v>
      </x:c>
      <x:c r="B8" s="4" t="str">
        <x:v>进度奖励</x:v>
      </x:c>
      <x:c r="C8" s="4" t="n">
        <x:v>280</x:v>
      </x:c>
      <x:c r="D8" s="4" t="str">
        <x:v>梦境招募器 × 10；超能特饮 × 50</x:v>
      </x:c>
      <x:c r="E8" s="4" t="str">
        <x:v>主/冲刺活动!第8行</x:v>
      </x:c>
      <x:c r="F8" s="4" t="str">
        <x:v>阈值非现金成本；不可与同一资源返利重复计价</x:v>
      </x:c>
    </x:row>
    <x:row r="9" ht="52" customHeight="1">
      <x:c r="A9" s="12" t="str">
        <x:v>招募冲刺/第1轮</x:v>
      </x:c>
      <x:c r="B9" s="12" t="str">
        <x:v>进度奖励</x:v>
      </x:c>
      <x:c r="C9" s="12" t="n">
        <x:v>360</x:v>
      </x:c>
      <x:c r="D9" s="12" t="str">
        <x:v>梦境招募器 × 10；超能特饮 × 50</x:v>
      </x:c>
      <x:c r="E9" s="12" t="str">
        <x:v>主/冲刺活动!第9行</x:v>
      </x:c>
      <x:c r="F9" s="12" t="str">
        <x:v>阈值非现金成本；不可与同一资源返利重复计价</x:v>
      </x:c>
    </x:row>
    <x:row r="10" ht="52" customHeight="1">
      <x:c r="A10" s="4" t="str">
        <x:v>招募冲刺/第1轮</x:v>
      </x:c>
      <x:c r="B10" s="4" t="str">
        <x:v>进度奖励</x:v>
      </x:c>
      <x:c r="C10" s="4" t="n">
        <x:v>500</x:v>
      </x:c>
      <x:c r="D10" s="4" t="str">
        <x:v>梦境招募器 × 10；超能特饮 × 50</x:v>
      </x:c>
      <x:c r="E10" s="4" t="str">
        <x:v>主/冲刺活动!第10行</x:v>
      </x:c>
      <x:c r="F10" s="4" t="str">
        <x:v>阈值非现金成本；不可与同一资源返利重复计价</x:v>
      </x:c>
    </x:row>
    <x:row r="11" ht="52" customHeight="1">
      <x:c r="A11" s="12" t="str">
        <x:v>招募冲刺/第2轮</x:v>
      </x:c>
      <x:c r="B11" s="12" t="str">
        <x:v>进度奖励</x:v>
      </x:c>
      <x:c r="C11" s="12" t="n">
        <x:v>80</x:v>
      </x:c>
      <x:c r="D11" s="12" t="str">
        <x:v>梦境招募器 × 5；超能特饮 × 50</x:v>
      </x:c>
      <x:c r="E11" s="12" t="str">
        <x:v>主/冲刺活动!第14行</x:v>
      </x:c>
      <x:c r="F11" s="12" t="str">
        <x:v>阈值非现金成本；不可与同一资源返利重复计价</x:v>
      </x:c>
    </x:row>
    <x:row r="12" ht="52" customHeight="1">
      <x:c r="A12" s="4" t="str">
        <x:v>招募冲刺/第2轮</x:v>
      </x:c>
      <x:c r="B12" s="4" t="str">
        <x:v>进度奖励</x:v>
      </x:c>
      <x:c r="C12" s="4" t="n">
        <x:v>160</x:v>
      </x:c>
      <x:c r="D12" s="4" t="str">
        <x:v>梦境招募器 × 5；超能特饮 × 50</x:v>
      </x:c>
      <x:c r="E12" s="4" t="str">
        <x:v>主/冲刺活动!第15行</x:v>
      </x:c>
      <x:c r="F12" s="4" t="str">
        <x:v>阈值非现金成本；不可与同一资源返利重复计价</x:v>
      </x:c>
    </x:row>
    <x:row r="13" ht="52" customHeight="1">
      <x:c r="A13" s="12" t="str">
        <x:v>招募冲刺/第2轮</x:v>
      </x:c>
      <x:c r="B13" s="12" t="str">
        <x:v>进度奖励</x:v>
      </x:c>
      <x:c r="C13" s="12" t="n">
        <x:v>260</x:v>
      </x:c>
      <x:c r="D13" s="12" t="str">
        <x:v>梦境招募器 × 5；超能特饮 × 50</x:v>
      </x:c>
      <x:c r="E13" s="12" t="str">
        <x:v>主/冲刺活动!第16行</x:v>
      </x:c>
      <x:c r="F13" s="12" t="str">
        <x:v>阈值非现金成本；不可与同一资源返利重复计价</x:v>
      </x:c>
    </x:row>
    <x:row r="14" ht="52" customHeight="1">
      <x:c r="A14" s="4" t="str">
        <x:v>招募冲刺/第2轮</x:v>
      </x:c>
      <x:c r="B14" s="4" t="str">
        <x:v>进度奖励</x:v>
      </x:c>
      <x:c r="C14" s="4" t="n">
        <x:v>380</x:v>
      </x:c>
      <x:c r="D14" s="4" t="str">
        <x:v>梦境招募器 × 10；超能特饮 × 80</x:v>
      </x:c>
      <x:c r="E14" s="4" t="str">
        <x:v>主/冲刺活动!第17行</x:v>
      </x:c>
      <x:c r="F14" s="4" t="str">
        <x:v>阈值非现金成本；不可与同一资源返利重复计价</x:v>
      </x:c>
    </x:row>
    <x:row r="15" ht="52" customHeight="1">
      <x:c r="A15" s="12" t="str">
        <x:v>招募冲刺/第2轮</x:v>
      </x:c>
      <x:c r="B15" s="12" t="str">
        <x:v>进度奖励</x:v>
      </x:c>
      <x:c r="C15" s="12" t="n">
        <x:v>520</x:v>
      </x:c>
      <x:c r="D15" s="12" t="str">
        <x:v>梦境招募器 × 10；超能特饮 × 80</x:v>
      </x:c>
      <x:c r="E15" s="12" t="str">
        <x:v>主/冲刺活动!第18行</x:v>
      </x:c>
      <x:c r="F15" s="12" t="str">
        <x:v>阈值非现金成本；不可与同一资源返利重复计价</x:v>
      </x:c>
    </x:row>
    <x:row r="16" ht="52" customHeight="1">
      <x:c r="A16" s="4" t="str">
        <x:v>招募冲刺/第2轮</x:v>
      </x:c>
      <x:c r="B16" s="4" t="str">
        <x:v>进度奖励</x:v>
      </x:c>
      <x:c r="C16" s="4" t="n">
        <x:v>700</x:v>
      </x:c>
      <x:c r="D16" s="4" t="str">
        <x:v>梦境招募器 × 10；超能特饮 × 80</x:v>
      </x:c>
      <x:c r="E16" s="4" t="str">
        <x:v>主/冲刺活动!第19行</x:v>
      </x:c>
      <x:c r="F16" s="4" t="str">
        <x:v>阈值非现金成本；不可与同一资源返利重复计价</x:v>
      </x:c>
    </x:row>
    <x:row r="17" ht="52" customHeight="1">
      <x:c r="A17" s="12" t="str">
        <x:v>招募冲刺/第3轮</x:v>
      </x:c>
      <x:c r="B17" s="12" t="str">
        <x:v>进度奖励</x:v>
      </x:c>
      <x:c r="C17" s="12" t="n">
        <x:v>120</x:v>
      </x:c>
      <x:c r="D17" s="12" t="str">
        <x:v>梦境招募器 × 10；超能特饮 × 80</x:v>
      </x:c>
      <x:c r="E17" s="12" t="str">
        <x:v>主/冲刺活动!第23行</x:v>
      </x:c>
      <x:c r="F17" s="12" t="str">
        <x:v>阈值非现金成本；不可与同一资源返利重复计价</x:v>
      </x:c>
    </x:row>
    <x:row r="18" ht="52" customHeight="1">
      <x:c r="A18" s="4" t="str">
        <x:v>招募冲刺/第3轮</x:v>
      </x:c>
      <x:c r="B18" s="4" t="str">
        <x:v>进度奖励</x:v>
      </x:c>
      <x:c r="C18" s="4" t="n">
        <x:v>240</x:v>
      </x:c>
      <x:c r="D18" s="4" t="str">
        <x:v>梦境招募器 × 10；超能特饮 × 80</x:v>
      </x:c>
      <x:c r="E18" s="4" t="str">
        <x:v>主/冲刺活动!第24行</x:v>
      </x:c>
      <x:c r="F18" s="4" t="str">
        <x:v>阈值非现金成本；不可与同一资源返利重复计价</x:v>
      </x:c>
    </x:row>
    <x:row r="19" ht="52" customHeight="1">
      <x:c r="A19" s="12" t="str">
        <x:v>招募冲刺/第3轮</x:v>
      </x:c>
      <x:c r="B19" s="12" t="str">
        <x:v>进度奖励</x:v>
      </x:c>
      <x:c r="C19" s="12" t="n">
        <x:v>360</x:v>
      </x:c>
      <x:c r="D19" s="12" t="str">
        <x:v>梦境招募器 × 10；超能特饮 × 80</x:v>
      </x:c>
      <x:c r="E19" s="12" t="str">
        <x:v>主/冲刺活动!第25行</x:v>
      </x:c>
      <x:c r="F19" s="12" t="str">
        <x:v>阈值非现金成本；不可与同一资源返利重复计价</x:v>
      </x:c>
    </x:row>
    <x:row r="20" ht="52" customHeight="1">
      <x:c r="A20" s="4" t="str">
        <x:v>招募冲刺/第3轮</x:v>
      </x:c>
      <x:c r="B20" s="4" t="str">
        <x:v>进度奖励</x:v>
      </x:c>
      <x:c r="C20" s="4" t="n">
        <x:v>560</x:v>
      </x:c>
      <x:c r="D20" s="4" t="str">
        <x:v>梦境招募器 × 15；超能特饮 × 100</x:v>
      </x:c>
      <x:c r="E20" s="4" t="str">
        <x:v>主/冲刺活动!第26行</x:v>
      </x:c>
      <x:c r="F20" s="4" t="str">
        <x:v>阈值非现金成本；不可与同一资源返利重复计价</x:v>
      </x:c>
    </x:row>
    <x:row r="21" ht="52" customHeight="1">
      <x:c r="A21" s="12" t="str">
        <x:v>招募冲刺/第3轮</x:v>
      </x:c>
      <x:c r="B21" s="12" t="str">
        <x:v>进度奖励</x:v>
      </x:c>
      <x:c r="C21" s="12" t="n">
        <x:v>800</x:v>
      </x:c>
      <x:c r="D21" s="12" t="str">
        <x:v>梦境招募器 × 15；超能特饮 × 100</x:v>
      </x:c>
      <x:c r="E21" s="12" t="str">
        <x:v>主/冲刺活动!第27行</x:v>
      </x:c>
      <x:c r="F21" s="12" t="str">
        <x:v>阈值非现金成本；不可与同一资源返利重复计价</x:v>
      </x:c>
    </x:row>
    <x:row r="22" ht="52" customHeight="1">
      <x:c r="A22" s="4" t="str">
        <x:v>招募冲刺/第3轮</x:v>
      </x:c>
      <x:c r="B22" s="4" t="str">
        <x:v>进度奖励</x:v>
      </x:c>
      <x:c r="C22" s="4" t="n">
        <x:v>1200</x:v>
      </x:c>
      <x:c r="D22" s="4" t="str">
        <x:v>梦境招募器 × 15；超能特饮 × 100</x:v>
      </x:c>
      <x:c r="E22" s="4" t="str">
        <x:v>主/冲刺活动!第28行</x:v>
      </x:c>
      <x:c r="F22" s="4" t="str">
        <x:v>阈值非现金成本；不可与同一资源返利重复计价</x:v>
      </x:c>
    </x:row>
    <x:row r="23" ht="52" customHeight="1">
      <x:c r="A23" s="12" t="str">
        <x:v>招募冲刺/第4轮</x:v>
      </x:c>
      <x:c r="B23" s="12" t="str">
        <x:v>进度奖励</x:v>
      </x:c>
      <x:c r="C23" s="12" t="n">
        <x:v>160</x:v>
      </x:c>
      <x:c r="D23" s="12" t="str">
        <x:v>梦境招募器 × 15；超能特饮 × 100</x:v>
      </x:c>
      <x:c r="E23" s="12" t="str">
        <x:v>主/冲刺活动!第32行</x:v>
      </x:c>
      <x:c r="F23" s="12" t="str">
        <x:v>阈值非现金成本；不可与同一资源返利重复计价</x:v>
      </x:c>
    </x:row>
    <x:row r="24" ht="52" customHeight="1">
      <x:c r="A24" s="4" t="str">
        <x:v>招募冲刺/第4轮</x:v>
      </x:c>
      <x:c r="B24" s="4" t="str">
        <x:v>进度奖励</x:v>
      </x:c>
      <x:c r="C24" s="4" t="n">
        <x:v>300</x:v>
      </x:c>
      <x:c r="D24" s="4" t="str">
        <x:v>梦境招募器 × 15；超能特饮 × 100</x:v>
      </x:c>
      <x:c r="E24" s="4" t="str">
        <x:v>主/冲刺活动!第33行</x:v>
      </x:c>
      <x:c r="F24" s="4" t="str">
        <x:v>阈值非现金成本；不可与同一资源返利重复计价</x:v>
      </x:c>
    </x:row>
    <x:row r="25" ht="52" customHeight="1">
      <x:c r="A25" s="12" t="str">
        <x:v>招募冲刺/第4轮</x:v>
      </x:c>
      <x:c r="B25" s="12" t="str">
        <x:v>进度奖励</x:v>
      </x:c>
      <x:c r="C25" s="12" t="n">
        <x:v>500</x:v>
      </x:c>
      <x:c r="D25" s="12" t="str">
        <x:v>梦境招募器 × 15；超能特饮 × 100</x:v>
      </x:c>
      <x:c r="E25" s="12" t="str">
        <x:v>主/冲刺活动!第34行</x:v>
      </x:c>
      <x:c r="F25" s="12" t="str">
        <x:v>阈值非现金成本；不可与同一资源返利重复计价</x:v>
      </x:c>
    </x:row>
    <x:row r="26" ht="52" customHeight="1">
      <x:c r="A26" s="4" t="str">
        <x:v>招募冲刺/第4轮</x:v>
      </x:c>
      <x:c r="B26" s="4" t="str">
        <x:v>进度奖励</x:v>
      </x:c>
      <x:c r="C26" s="4" t="n">
        <x:v>800</x:v>
      </x:c>
      <x:c r="D26" s="4" t="str">
        <x:v>梦境招募器 × 20；超能特饮 × 120</x:v>
      </x:c>
      <x:c r="E26" s="4" t="str">
        <x:v>主/冲刺活动!第35行</x:v>
      </x:c>
      <x:c r="F26" s="4" t="str">
        <x:v>阈值非现金成本；不可与同一资源返利重复计价</x:v>
      </x:c>
    </x:row>
    <x:row r="27" ht="52" customHeight="1">
      <x:c r="A27" s="12" t="str">
        <x:v>招募冲刺/第4轮</x:v>
      </x:c>
      <x:c r="B27" s="12" t="str">
        <x:v>进度奖励</x:v>
      </x:c>
      <x:c r="C27" s="12" t="n">
        <x:v>1200</x:v>
      </x:c>
      <x:c r="D27" s="12" t="str">
        <x:v>梦境招募器 × 20；超能特饮 × 120</x:v>
      </x:c>
      <x:c r="E27" s="12" t="str">
        <x:v>主/冲刺活动!第36行</x:v>
      </x:c>
      <x:c r="F27" s="12" t="str">
        <x:v>阈值非现金成本；不可与同一资源返利重复计价</x:v>
      </x:c>
    </x:row>
    <x:row r="28" ht="52" customHeight="1">
      <x:c r="A28" s="4" t="str">
        <x:v>招募冲刺/第4轮</x:v>
      </x:c>
      <x:c r="B28" s="4" t="str">
        <x:v>进度奖励</x:v>
      </x:c>
      <x:c r="C28" s="4" t="n">
        <x:v>1600</x:v>
      </x:c>
      <x:c r="D28" s="4" t="str">
        <x:v>梦境招募器 × 20；超能特饮 × 120</x:v>
      </x:c>
      <x:c r="E28" s="4" t="str">
        <x:v>主/冲刺活动!第37行</x:v>
      </x:c>
      <x:c r="F28" s="4" t="str">
        <x:v>阈值非现金成本；不可与同一资源返利重复计价</x:v>
      </x:c>
    </x:row>
    <x:row r="29" ht="52" customHeight="1">
      <x:c r="A29" s="12" t="str">
        <x:v>符文冲刺/第1轮</x:v>
      </x:c>
      <x:c r="B29" s="12" t="str">
        <x:v>进度奖励</x:v>
      </x:c>
      <x:c r="C29" s="12" t="n">
        <x:v>30</x:v>
      </x:c>
      <x:c r="D29" s="12" t="str">
        <x:v>星辉秘契 × 1；金币 × 1000</x:v>
      </x:c>
      <x:c r="E29" s="12" t="str">
        <x:v>主/冲刺活动!第77行</x:v>
      </x:c>
      <x:c r="F29" s="12" t="str">
        <x:v>阈值非现金成本；不可与同一资源返利重复计价</x:v>
      </x:c>
    </x:row>
    <x:row r="30" ht="52" customHeight="1">
      <x:c r="A30" s="4" t="str">
        <x:v>符文冲刺/第1轮</x:v>
      </x:c>
      <x:c r="B30" s="4" t="str">
        <x:v>进度奖励</x:v>
      </x:c>
      <x:c r="C30" s="4" t="n">
        <x:v>60</x:v>
      </x:c>
      <x:c r="D30" s="4" t="str">
        <x:v>星辉秘契 × 1；金币 × 1000</x:v>
      </x:c>
      <x:c r="E30" s="4" t="str">
        <x:v>主/冲刺活动!第78行</x:v>
      </x:c>
      <x:c r="F30" s="4" t="str">
        <x:v>阈值非现金成本；不可与同一资源返利重复计价</x:v>
      </x:c>
    </x:row>
    <x:row r="31" ht="52" customHeight="1">
      <x:c r="A31" s="12" t="str">
        <x:v>符文冲刺/第1轮</x:v>
      </x:c>
      <x:c r="B31" s="12" t="str">
        <x:v>进度奖励</x:v>
      </x:c>
      <x:c r="C31" s="12" t="n">
        <x:v>100</x:v>
      </x:c>
      <x:c r="D31" s="12" t="str">
        <x:v>星辉秘契 × 1；金币 × 1000</x:v>
      </x:c>
      <x:c r="E31" s="12" t="str">
        <x:v>主/冲刺活动!第79行</x:v>
      </x:c>
      <x:c r="F31" s="12" t="str">
        <x:v>阈值非现金成本；不可与同一资源返利重复计价</x:v>
      </x:c>
    </x:row>
    <x:row r="32" ht="52" customHeight="1">
      <x:c r="A32" s="4" t="str">
        <x:v>符文冲刺/第1轮</x:v>
      </x:c>
      <x:c r="B32" s="4" t="str">
        <x:v>进度奖励</x:v>
      </x:c>
      <x:c r="C32" s="4" t="n">
        <x:v>160</x:v>
      </x:c>
      <x:c r="D32" s="4" t="str">
        <x:v>星辉秘契 × 2；金币 × 2000</x:v>
      </x:c>
      <x:c r="E32" s="4" t="str">
        <x:v>主/冲刺活动!第80行</x:v>
      </x:c>
      <x:c r="F32" s="4" t="str">
        <x:v>阈值非现金成本；不可与同一资源返利重复计价</x:v>
      </x:c>
    </x:row>
    <x:row r="33" ht="52" customHeight="1">
      <x:c r="A33" s="12" t="str">
        <x:v>符文冲刺/第1轮</x:v>
      </x:c>
      <x:c r="B33" s="12" t="str">
        <x:v>进度奖励</x:v>
      </x:c>
      <x:c r="C33" s="12" t="n">
        <x:v>220</x:v>
      </x:c>
      <x:c r="D33" s="12" t="str">
        <x:v>星辉秘契 × 2；金币 × 2000</x:v>
      </x:c>
      <x:c r="E33" s="12" t="str">
        <x:v>主/冲刺活动!第81行</x:v>
      </x:c>
      <x:c r="F33" s="12" t="str">
        <x:v>阈值非现金成本；不可与同一资源返利重复计价</x:v>
      </x:c>
    </x:row>
    <x:row r="34" ht="52" customHeight="1">
      <x:c r="A34" s="4" t="str">
        <x:v>符文冲刺/第1轮</x:v>
      </x:c>
      <x:c r="B34" s="4" t="str">
        <x:v>进度奖励</x:v>
      </x:c>
      <x:c r="C34" s="4" t="n">
        <x:v>300</x:v>
      </x:c>
      <x:c r="D34" s="4" t="str">
        <x:v>星辉秘契 × 2；金币 × 2000</x:v>
      </x:c>
      <x:c r="E34" s="4" t="str">
        <x:v>主/冲刺活动!第82行</x:v>
      </x:c>
      <x:c r="F34" s="4" t="str">
        <x:v>阈值非现金成本；不可与同一资源返利重复计价</x:v>
      </x:c>
    </x:row>
    <x:row r="35" ht="52" customHeight="1">
      <x:c r="A35" s="12" t="str">
        <x:v>符文冲刺/第2轮</x:v>
      </x:c>
      <x:c r="B35" s="12" t="str">
        <x:v>进度奖励</x:v>
      </x:c>
      <x:c r="C35" s="12" t="n">
        <x:v>60</x:v>
      </x:c>
      <x:c r="D35" s="12" t="str">
        <x:v>星辉秘契 × 1；金币 × 1000</x:v>
      </x:c>
      <x:c r="E35" s="12" t="str">
        <x:v>主/冲刺活动!第86行</x:v>
      </x:c>
      <x:c r="F35" s="12" t="str">
        <x:v>阈值非现金成本；不可与同一资源返利重复计价</x:v>
      </x:c>
    </x:row>
    <x:row r="36" ht="52" customHeight="1">
      <x:c r="A36" s="4" t="str">
        <x:v>符文冲刺/第2轮</x:v>
      </x:c>
      <x:c r="B36" s="4" t="str">
        <x:v>进度奖励</x:v>
      </x:c>
      <x:c r="C36" s="4" t="n">
        <x:v>120</x:v>
      </x:c>
      <x:c r="D36" s="4" t="str">
        <x:v>星辉秘契 × 1；金币 × 1000</x:v>
      </x:c>
      <x:c r="E36" s="4" t="str">
        <x:v>主/冲刺活动!第87行</x:v>
      </x:c>
      <x:c r="F36" s="4" t="str">
        <x:v>阈值非现金成本；不可与同一资源返利重复计价</x:v>
      </x:c>
    </x:row>
    <x:row r="37" ht="52" customHeight="1">
      <x:c r="A37" s="12" t="str">
        <x:v>符文冲刺/第2轮</x:v>
      </x:c>
      <x:c r="B37" s="12" t="str">
        <x:v>进度奖励</x:v>
      </x:c>
      <x:c r="C37" s="12" t="n">
        <x:v>200</x:v>
      </x:c>
      <x:c r="D37" s="12" t="str">
        <x:v>星辉秘契 × 1；金币 × 1000</x:v>
      </x:c>
      <x:c r="E37" s="12" t="str">
        <x:v>主/冲刺活动!第88行</x:v>
      </x:c>
      <x:c r="F37" s="12" t="str">
        <x:v>阈值非现金成本；不可与同一资源返利重复计价</x:v>
      </x:c>
    </x:row>
    <x:row r="38" ht="52" customHeight="1">
      <x:c r="A38" s="4" t="str">
        <x:v>符文冲刺/第2轮</x:v>
      </x:c>
      <x:c r="B38" s="4" t="str">
        <x:v>进度奖励</x:v>
      </x:c>
      <x:c r="C38" s="4" t="n">
        <x:v>300</x:v>
      </x:c>
      <x:c r="D38" s="4" t="str">
        <x:v>星辉秘契 × 2；金币 × 2000</x:v>
      </x:c>
      <x:c r="E38" s="4" t="str">
        <x:v>主/冲刺活动!第89行</x:v>
      </x:c>
      <x:c r="F38" s="4" t="str">
        <x:v>阈值非现金成本；不可与同一资源返利重复计价</x:v>
      </x:c>
    </x:row>
    <x:row r="39" ht="52" customHeight="1">
      <x:c r="A39" s="12" t="str">
        <x:v>符文冲刺/第2轮</x:v>
      </x:c>
      <x:c r="B39" s="12" t="str">
        <x:v>进度奖励</x:v>
      </x:c>
      <x:c r="C39" s="12" t="n">
        <x:v>400</x:v>
      </x:c>
      <x:c r="D39" s="12" t="str">
        <x:v>星辉秘契 × 2；金币 × 2000</x:v>
      </x:c>
      <x:c r="E39" s="12" t="str">
        <x:v>主/冲刺活动!第90行</x:v>
      </x:c>
      <x:c r="F39" s="12" t="str">
        <x:v>阈值非现金成本；不可与同一资源返利重复计价</x:v>
      </x:c>
    </x:row>
    <x:row r="40" ht="52" customHeight="1">
      <x:c r="A40" s="4" t="str">
        <x:v>符文冲刺/第2轮</x:v>
      </x:c>
      <x:c r="B40" s="4" t="str">
        <x:v>进度奖励</x:v>
      </x:c>
      <x:c r="C40" s="4" t="n">
        <x:v>500</x:v>
      </x:c>
      <x:c r="D40" s="4" t="str">
        <x:v>星辉秘契 × 2；金币 × 2000</x:v>
      </x:c>
      <x:c r="E40" s="4" t="str">
        <x:v>主/冲刺活动!第91行</x:v>
      </x:c>
      <x:c r="F40" s="4" t="str">
        <x:v>阈值非现金成本；不可与同一资源返利重复计价</x:v>
      </x:c>
    </x:row>
    <x:row r="41" ht="52" customHeight="1">
      <x:c r="A41" s="12" t="str">
        <x:v>符文冲刺/第3轮</x:v>
      </x:c>
      <x:c r="B41" s="12" t="str">
        <x:v>进度奖励</x:v>
      </x:c>
      <x:c r="C41" s="12" t="n">
        <x:v>100</x:v>
      </x:c>
      <x:c r="D41" s="12" t="str">
        <x:v>星辉秘契 × 2；金币 × 1000</x:v>
      </x:c>
      <x:c r="E41" s="12" t="str">
        <x:v>主/冲刺活动!第95行</x:v>
      </x:c>
      <x:c r="F41" s="12" t="str">
        <x:v>阈值非现金成本；不可与同一资源返利重复计价</x:v>
      </x:c>
    </x:row>
    <x:row r="42" ht="52" customHeight="1">
      <x:c r="A42" s="4" t="str">
        <x:v>符文冲刺/第3轮</x:v>
      </x:c>
      <x:c r="B42" s="4" t="str">
        <x:v>进度奖励</x:v>
      </x:c>
      <x:c r="C42" s="4" t="n">
        <x:v>200</x:v>
      </x:c>
      <x:c r="D42" s="4" t="str">
        <x:v>星辉秘契 × 2；金币 × 1000</x:v>
      </x:c>
      <x:c r="E42" s="4" t="str">
        <x:v>主/冲刺活动!第96行</x:v>
      </x:c>
      <x:c r="F42" s="4" t="str">
        <x:v>阈值非现金成本；不可与同一资源返利重复计价</x:v>
      </x:c>
    </x:row>
    <x:row r="43" ht="52" customHeight="1">
      <x:c r="A43" s="12" t="str">
        <x:v>符文冲刺/第3轮</x:v>
      </x:c>
      <x:c r="B43" s="12" t="str">
        <x:v>进度奖励</x:v>
      </x:c>
      <x:c r="C43" s="12" t="n">
        <x:v>320</x:v>
      </x:c>
      <x:c r="D43" s="12" t="str">
        <x:v>星辉秘契 × 2；金币 × 1000</x:v>
      </x:c>
      <x:c r="E43" s="12" t="str">
        <x:v>主/冲刺活动!第97行</x:v>
      </x:c>
      <x:c r="F43" s="12" t="str">
        <x:v>阈值非现金成本；不可与同一资源返利重复计价</x:v>
      </x:c>
    </x:row>
    <x:row r="44" ht="52" customHeight="1">
      <x:c r="A44" s="4" t="str">
        <x:v>符文冲刺/第3轮</x:v>
      </x:c>
      <x:c r="B44" s="4" t="str">
        <x:v>进度奖励</x:v>
      </x:c>
      <x:c r="C44" s="4" t="n">
        <x:v>450</x:v>
      </x:c>
      <x:c r="D44" s="4" t="str">
        <x:v>星辉秘契 × 3；金币 × 2000</x:v>
      </x:c>
      <x:c r="E44" s="4" t="str">
        <x:v>主/冲刺活动!第98行</x:v>
      </x:c>
      <x:c r="F44" s="4" t="str">
        <x:v>阈值非现金成本；不可与同一资源返利重复计价</x:v>
      </x:c>
    </x:row>
    <x:row r="45" ht="52" customHeight="1">
      <x:c r="A45" s="12" t="str">
        <x:v>符文冲刺/第3轮</x:v>
      </x:c>
      <x:c r="B45" s="12" t="str">
        <x:v>进度奖励</x:v>
      </x:c>
      <x:c r="C45" s="12" t="n">
        <x:v>560</x:v>
      </x:c>
      <x:c r="D45" s="12" t="str">
        <x:v>星辉秘契 × 3；金币 × 2000</x:v>
      </x:c>
      <x:c r="E45" s="12" t="str">
        <x:v>主/冲刺活动!第99行</x:v>
      </x:c>
      <x:c r="F45" s="12" t="str">
        <x:v>阈值非现金成本；不可与同一资源返利重复计价</x:v>
      </x:c>
    </x:row>
    <x:row r="46" ht="52" customHeight="1">
      <x:c r="A46" s="4" t="str">
        <x:v>符文冲刺/第3轮</x:v>
      </x:c>
      <x:c r="B46" s="4" t="str">
        <x:v>进度奖励</x:v>
      </x:c>
      <x:c r="C46" s="4" t="n">
        <x:v>700</x:v>
      </x:c>
      <x:c r="D46" s="4" t="str">
        <x:v>星辉秘契 × 3；金币 × 2000</x:v>
      </x:c>
      <x:c r="E46" s="4" t="str">
        <x:v>主/冲刺活动!第100行</x:v>
      </x:c>
      <x:c r="F46" s="4" t="str">
        <x:v>阈值非现金成本；不可与同一资源返利重复计价</x:v>
      </x:c>
    </x:row>
    <x:row r="47" ht="52" customHeight="1">
      <x:c r="A47" s="12" t="str">
        <x:v>符文冲刺/第4轮</x:v>
      </x:c>
      <x:c r="B47" s="12" t="str">
        <x:v>进度奖励</x:v>
      </x:c>
      <x:c r="C47" s="12" t="n">
        <x:v>120</x:v>
      </x:c>
      <x:c r="D47" s="12" t="str">
        <x:v>星辉秘契 × 2；金币 × 1000</x:v>
      </x:c>
      <x:c r="E47" s="12" t="str">
        <x:v>主/冲刺活动!第104行</x:v>
      </x:c>
      <x:c r="F47" s="12" t="str">
        <x:v>阈值非现金成本；不可与同一资源返利重复计价</x:v>
      </x:c>
    </x:row>
    <x:row r="48" ht="52" customHeight="1">
      <x:c r="A48" s="4" t="str">
        <x:v>符文冲刺/第4轮</x:v>
      </x:c>
      <x:c r="B48" s="4" t="str">
        <x:v>进度奖励</x:v>
      </x:c>
      <x:c r="C48" s="4" t="n">
        <x:v>240</x:v>
      </x:c>
      <x:c r="D48" s="4" t="str">
        <x:v>星辉秘契 × 2；金币 × 1000</x:v>
      </x:c>
      <x:c r="E48" s="4" t="str">
        <x:v>主/冲刺活动!第105行</x:v>
      </x:c>
      <x:c r="F48" s="4" t="str">
        <x:v>阈值非现金成本；不可与同一资源返利重复计价</x:v>
      </x:c>
    </x:row>
    <x:row r="49" ht="52" customHeight="1">
      <x:c r="A49" s="12" t="str">
        <x:v>符文冲刺/第4轮</x:v>
      </x:c>
      <x:c r="B49" s="12" t="str">
        <x:v>进度奖励</x:v>
      </x:c>
      <x:c r="C49" s="12" t="n">
        <x:v>380</x:v>
      </x:c>
      <x:c r="D49" s="12" t="str">
        <x:v>星辉秘契 × 2；金币 × 1000</x:v>
      </x:c>
      <x:c r="E49" s="12" t="str">
        <x:v>主/冲刺活动!第106行</x:v>
      </x:c>
      <x:c r="F49" s="12" t="str">
        <x:v>阈值非现金成本；不可与同一资源返利重复计价</x:v>
      </x:c>
    </x:row>
    <x:row r="50" ht="52" customHeight="1">
      <x:c r="A50" s="4" t="str">
        <x:v>符文冲刺/第4轮</x:v>
      </x:c>
      <x:c r="B50" s="4" t="str">
        <x:v>进度奖励</x:v>
      </x:c>
      <x:c r="C50" s="4" t="n">
        <x:v>560</x:v>
      </x:c>
      <x:c r="D50" s="4" t="str">
        <x:v>星辉秘契 × 3；金币 × 2000</x:v>
      </x:c>
      <x:c r="E50" s="4" t="str">
        <x:v>主/冲刺活动!第107行</x:v>
      </x:c>
      <x:c r="F50" s="4" t="str">
        <x:v>阈值非现金成本；不可与同一资源返利重复计价</x:v>
      </x:c>
    </x:row>
    <x:row r="51" ht="52" customHeight="1">
      <x:c r="A51" s="12" t="str">
        <x:v>符文冲刺/第4轮</x:v>
      </x:c>
      <x:c r="B51" s="12" t="str">
        <x:v>进度奖励</x:v>
      </x:c>
      <x:c r="C51" s="12" t="n">
        <x:v>780</x:v>
      </x:c>
      <x:c r="D51" s="12" t="str">
        <x:v>星辉秘契 × 3；金币 × 2000</x:v>
      </x:c>
      <x:c r="E51" s="12" t="str">
        <x:v>主/冲刺活动!第108行</x:v>
      </x:c>
      <x:c r="F51" s="12" t="str">
        <x:v>阈值非现金成本；不可与同一资源返利重复计价</x:v>
      </x:c>
    </x:row>
    <x:row r="52" ht="52" customHeight="1">
      <x:c r="A52" s="4" t="str">
        <x:v>符文冲刺/第4轮</x:v>
      </x:c>
      <x:c r="B52" s="4" t="str">
        <x:v>进度奖励</x:v>
      </x:c>
      <x:c r="C52" s="4" t="n">
        <x:v>1000</x:v>
      </x:c>
      <x:c r="D52" s="4" t="str">
        <x:v>星辉秘契 × 3；金币 × 2000</x:v>
      </x:c>
      <x:c r="E52" s="4" t="str">
        <x:v>主/冲刺活动!第109行</x:v>
      </x:c>
      <x:c r="F52" s="4" t="str">
        <x:v>阈值非现金成本；不可与同一资源返利重复计价</x:v>
      </x:c>
    </x:row>
    <x:row r="53" ht="52" customHeight="1">
      <x:c r="A53" s="12" t="str">
        <x:v>秘宝冲刺/第1轮</x:v>
      </x:c>
      <x:c r="B53" s="12" t="str">
        <x:v>进度奖励</x:v>
      </x:c>
      <x:c r="C53" s="12" t="n">
        <x:v>2000</x:v>
      </x:c>
      <x:c r="D53" s="12" t="str">
        <x:v>转运石 × 450；欧气补给袋 × 2</x:v>
      </x:c>
      <x:c r="E53" s="12" t="str">
        <x:v>主/冲刺活动!第147行</x:v>
      </x:c>
      <x:c r="F53" s="12" t="str">
        <x:v>阈值非现金成本；不可与同一资源返利重复计价</x:v>
      </x:c>
    </x:row>
    <x:row r="54" ht="52" customHeight="1">
      <x:c r="A54" s="4" t="str">
        <x:v>秘宝冲刺/第1轮</x:v>
      </x:c>
      <x:c r="B54" s="4" t="str">
        <x:v>进度奖励</x:v>
      </x:c>
      <x:c r="C54" s="4" t="n">
        <x:v>6000</x:v>
      </x:c>
      <x:c r="D54" s="4" t="str">
        <x:v>转运石 × 450；欧气补给袋 × 2</x:v>
      </x:c>
      <x:c r="E54" s="4" t="str">
        <x:v>主/冲刺活动!第148行</x:v>
      </x:c>
      <x:c r="F54" s="4" t="str">
        <x:v>阈值非现金成本；不可与同一资源返利重复计价</x:v>
      </x:c>
    </x:row>
    <x:row r="55" ht="52" customHeight="1">
      <x:c r="A55" s="12" t="str">
        <x:v>秘宝冲刺/第1轮</x:v>
      </x:c>
      <x:c r="B55" s="12" t="str">
        <x:v>进度奖励</x:v>
      </x:c>
      <x:c r="C55" s="12" t="n">
        <x:v>9000</x:v>
      </x:c>
      <x:c r="D55" s="12" t="str">
        <x:v>转运石 × 450；欧气补给袋 × 2</x:v>
      </x:c>
      <x:c r="E55" s="12" t="str">
        <x:v>主/冲刺活动!第149行</x:v>
      </x:c>
      <x:c r="F55" s="12" t="str">
        <x:v>阈值非现金成本；不可与同一资源返利重复计价</x:v>
      </x:c>
    </x:row>
    <x:row r="56" ht="52" customHeight="1">
      <x:c r="A56" s="4" t="str">
        <x:v>秘宝冲刺/第1轮</x:v>
      </x:c>
      <x:c r="B56" s="4" t="str">
        <x:v>进度奖励</x:v>
      </x:c>
      <x:c r="C56" s="4" t="n">
        <x:v>12000</x:v>
      </x:c>
      <x:c r="D56" s="4" t="str">
        <x:v>转运石 × 600；欧气补给袋 × 2</x:v>
      </x:c>
      <x:c r="E56" s="4" t="str">
        <x:v>主/冲刺活动!第150行</x:v>
      </x:c>
      <x:c r="F56" s="4" t="str">
        <x:v>阈值非现金成本；不可与同一资源返利重复计价</x:v>
      </x:c>
    </x:row>
    <x:row r="57" ht="52" customHeight="1">
      <x:c r="A57" s="12" t="str">
        <x:v>秘宝冲刺/第1轮</x:v>
      </x:c>
      <x:c r="B57" s="12" t="str">
        <x:v>进度奖励</x:v>
      </x:c>
      <x:c r="C57" s="12" t="n">
        <x:v>16000</x:v>
      </x:c>
      <x:c r="D57" s="12" t="str">
        <x:v>转运石 × 600；欧气补给袋 × 2</x:v>
      </x:c>
      <x:c r="E57" s="12" t="str">
        <x:v>主/冲刺活动!第151行</x:v>
      </x:c>
      <x:c r="F57" s="12" t="str">
        <x:v>阈值非现金成本；不可与同一资源返利重复计价</x:v>
      </x:c>
    </x:row>
    <x:row r="58" ht="52" customHeight="1">
      <x:c r="A58" s="4" t="str">
        <x:v>秘宝冲刺/第1轮</x:v>
      </x:c>
      <x:c r="B58" s="4" t="str">
        <x:v>进度奖励</x:v>
      </x:c>
      <x:c r="C58" s="4" t="n">
        <x:v>20000</x:v>
      </x:c>
      <x:c r="D58" s="4" t="str">
        <x:v>转运石 × 600；欧气补给袋 × 2</x:v>
      </x:c>
      <x:c r="E58" s="4" t="str">
        <x:v>主/冲刺活动!第152行</x:v>
      </x:c>
      <x:c r="F58" s="4" t="str">
        <x:v>阈值非现金成本；不可与同一资源返利重复计价</x:v>
      </x:c>
    </x:row>
    <x:row r="59" ht="52" customHeight="1">
      <x:c r="A59" s="12" t="str">
        <x:v>秘宝冲刺/第2轮</x:v>
      </x:c>
      <x:c r="B59" s="12" t="str">
        <x:v>进度奖励</x:v>
      </x:c>
      <x:c r="C59" s="12" t="n">
        <x:v>4000</x:v>
      </x:c>
      <x:c r="D59" s="12" t="str">
        <x:v>转运石 × 450；欧气补给袋 × 2</x:v>
      </x:c>
      <x:c r="E59" s="12" t="str">
        <x:v>主/冲刺活动!第156行</x:v>
      </x:c>
      <x:c r="F59" s="12" t="str">
        <x:v>阈值非现金成本；不可与同一资源返利重复计价</x:v>
      </x:c>
    </x:row>
    <x:row r="60" ht="52" customHeight="1">
      <x:c r="A60" s="4" t="str">
        <x:v>秘宝冲刺/第2轮</x:v>
      </x:c>
      <x:c r="B60" s="4" t="str">
        <x:v>进度奖励</x:v>
      </x:c>
      <x:c r="C60" s="4" t="n">
        <x:v>10000</x:v>
      </x:c>
      <x:c r="D60" s="4" t="str">
        <x:v>转运石 × 450；欧气补给袋 × 2</x:v>
      </x:c>
      <x:c r="E60" s="4" t="str">
        <x:v>主/冲刺活动!第157行</x:v>
      </x:c>
      <x:c r="F60" s="4" t="str">
        <x:v>阈值非现金成本；不可与同一资源返利重复计价</x:v>
      </x:c>
    </x:row>
    <x:row r="61" ht="52" customHeight="1">
      <x:c r="A61" s="12" t="str">
        <x:v>秘宝冲刺/第2轮</x:v>
      </x:c>
      <x:c r="B61" s="12" t="str">
        <x:v>进度奖励</x:v>
      </x:c>
      <x:c r="C61" s="12" t="n">
        <x:v>16000</x:v>
      </x:c>
      <x:c r="D61" s="12" t="str">
        <x:v>转运石 × 450；欧气补给袋 × 2</x:v>
      </x:c>
      <x:c r="E61" s="12" t="str">
        <x:v>主/冲刺活动!第158行</x:v>
      </x:c>
      <x:c r="F61" s="12" t="str">
        <x:v>阈值非现金成本；不可与同一资源返利重复计价</x:v>
      </x:c>
    </x:row>
    <x:row r="62" ht="52" customHeight="1">
      <x:c r="A62" s="4" t="str">
        <x:v>秘宝冲刺/第2轮</x:v>
      </x:c>
      <x:c r="B62" s="4" t="str">
        <x:v>进度奖励</x:v>
      </x:c>
      <x:c r="C62" s="4" t="n">
        <x:v>23000</x:v>
      </x:c>
      <x:c r="D62" s="4" t="str">
        <x:v>转运石 × 600；欧气补给袋 × 2</x:v>
      </x:c>
      <x:c r="E62" s="4" t="str">
        <x:v>主/冲刺活动!第159行</x:v>
      </x:c>
      <x:c r="F62" s="4" t="str">
        <x:v>阈值非现金成本；不可与同一资源返利重复计价</x:v>
      </x:c>
    </x:row>
    <x:row r="63" ht="52" customHeight="1">
      <x:c r="A63" s="12" t="str">
        <x:v>秘宝冲刺/第2轮</x:v>
      </x:c>
      <x:c r="B63" s="12" t="str">
        <x:v>进度奖励</x:v>
      </x:c>
      <x:c r="C63" s="12" t="n">
        <x:v>30000</x:v>
      </x:c>
      <x:c r="D63" s="12" t="str">
        <x:v>转运石 × 600；欧气补给袋 × 2</x:v>
      </x:c>
      <x:c r="E63" s="12" t="str">
        <x:v>主/冲刺活动!第160行</x:v>
      </x:c>
      <x:c r="F63" s="12" t="str">
        <x:v>阈值非现金成本；不可与同一资源返利重复计价</x:v>
      </x:c>
    </x:row>
    <x:row r="64" ht="52" customHeight="1">
      <x:c r="A64" s="4" t="str">
        <x:v>秘宝冲刺/第2轮</x:v>
      </x:c>
      <x:c r="B64" s="4" t="str">
        <x:v>进度奖励</x:v>
      </x:c>
      <x:c r="C64" s="4" t="n">
        <x:v>40000</x:v>
      </x:c>
      <x:c r="D64" s="4" t="str">
        <x:v>转运石 × 600；欧气补给袋 × 2</x:v>
      </x:c>
      <x:c r="E64" s="4" t="str">
        <x:v>主/冲刺活动!第161行</x:v>
      </x:c>
      <x:c r="F64" s="4" t="str">
        <x:v>阈值非现金成本；不可与同一资源返利重复计价</x:v>
      </x:c>
    </x:row>
    <x:row r="65" ht="52" customHeight="1">
      <x:c r="A65" s="12" t="str">
        <x:v>秘宝冲刺/第3轮</x:v>
      </x:c>
      <x:c r="B65" s="12" t="str">
        <x:v>进度奖励</x:v>
      </x:c>
      <x:c r="C65" s="12" t="n">
        <x:v>6000</x:v>
      </x:c>
      <x:c r="D65" s="12" t="str">
        <x:v>转运石 × 600；欧气补给袋 × 2</x:v>
      </x:c>
      <x:c r="E65" s="12" t="str">
        <x:v>主/冲刺活动!第165行</x:v>
      </x:c>
      <x:c r="F65" s="12" t="str">
        <x:v>阈值非现金成本；不可与同一资源返利重复计价</x:v>
      </x:c>
    </x:row>
    <x:row r="66" ht="52" customHeight="1">
      <x:c r="A66" s="4" t="str">
        <x:v>秘宝冲刺/第3轮</x:v>
      </x:c>
      <x:c r="B66" s="4" t="str">
        <x:v>进度奖励</x:v>
      </x:c>
      <x:c r="C66" s="4" t="n">
        <x:v>14000</x:v>
      </x:c>
      <x:c r="D66" s="4" t="str">
        <x:v>转运石 × 600；欧气补给袋 × 2</x:v>
      </x:c>
      <x:c r="E66" s="4" t="str">
        <x:v>主/冲刺活动!第166行</x:v>
      </x:c>
      <x:c r="F66" s="4" t="str">
        <x:v>阈值非现金成本；不可与同一资源返利重复计价</x:v>
      </x:c>
    </x:row>
    <x:row r="67" ht="52" customHeight="1">
      <x:c r="A67" s="12" t="str">
        <x:v>秘宝冲刺/第3轮</x:v>
      </x:c>
      <x:c r="B67" s="12" t="str">
        <x:v>进度奖励</x:v>
      </x:c>
      <x:c r="C67" s="12" t="n">
        <x:v>22000</x:v>
      </x:c>
      <x:c r="D67" s="12" t="str">
        <x:v>转运石 × 600；欧气补给袋 × 2</x:v>
      </x:c>
      <x:c r="E67" s="12" t="str">
        <x:v>主/冲刺活动!第167行</x:v>
      </x:c>
      <x:c r="F67" s="12" t="str">
        <x:v>阈值非现金成本；不可与同一资源返利重复计价</x:v>
      </x:c>
    </x:row>
    <x:row r="68" ht="52" customHeight="1">
      <x:c r="A68" s="4" t="str">
        <x:v>秘宝冲刺/第3轮</x:v>
      </x:c>
      <x:c r="B68" s="4" t="str">
        <x:v>进度奖励</x:v>
      </x:c>
      <x:c r="C68" s="4" t="n">
        <x:v>34000</x:v>
      </x:c>
      <x:c r="D68" s="4" t="str">
        <x:v>转运石 × 900；欧气补给袋 × 3</x:v>
      </x:c>
      <x:c r="E68" s="4" t="str">
        <x:v>主/冲刺活动!第168行</x:v>
      </x:c>
      <x:c r="F68" s="4" t="str">
        <x:v>阈值非现金成本；不可与同一资源返利重复计价</x:v>
      </x:c>
    </x:row>
    <x:row r="69" ht="52" customHeight="1">
      <x:c r="A69" s="12" t="str">
        <x:v>秘宝冲刺/第3轮</x:v>
      </x:c>
      <x:c r="B69" s="12" t="str">
        <x:v>进度奖励</x:v>
      </x:c>
      <x:c r="C69" s="12" t="n">
        <x:v>48000</x:v>
      </x:c>
      <x:c r="D69" s="12" t="str">
        <x:v>转运石 × 900；欧气补给袋 × 3</x:v>
      </x:c>
      <x:c r="E69" s="12" t="str">
        <x:v>主/冲刺活动!第169行</x:v>
      </x:c>
      <x:c r="F69" s="12" t="str">
        <x:v>阈值非现金成本；不可与同一资源返利重复计价</x:v>
      </x:c>
    </x:row>
    <x:row r="70" ht="52" customHeight="1">
      <x:c r="A70" s="4" t="str">
        <x:v>秘宝冲刺/第3轮</x:v>
      </x:c>
      <x:c r="B70" s="4" t="str">
        <x:v>进度奖励</x:v>
      </x:c>
      <x:c r="C70" s="4" t="n">
        <x:v>60000</x:v>
      </x:c>
      <x:c r="D70" s="4" t="str">
        <x:v>转运石 × 900；欧气补给袋 × 3</x:v>
      </x:c>
      <x:c r="E70" s="4" t="str">
        <x:v>主/冲刺活动!第170行</x:v>
      </x:c>
      <x:c r="F70" s="4" t="str">
        <x:v>阈值非现金成本；不可与同一资源返利重复计价</x:v>
      </x:c>
    </x:row>
    <x:row r="71" ht="52" customHeight="1">
      <x:c r="A71" s="12" t="str">
        <x:v>秘宝冲刺/第4轮</x:v>
      </x:c>
      <x:c r="B71" s="12" t="str">
        <x:v>进度奖励</x:v>
      </x:c>
      <x:c r="C71" s="12" t="n">
        <x:v>8000</x:v>
      </x:c>
      <x:c r="D71" s="12" t="str">
        <x:v>转运石 × 600；欧气补给袋 × 2</x:v>
      </x:c>
      <x:c r="E71" s="12" t="str">
        <x:v>主/冲刺活动!第174行</x:v>
      </x:c>
      <x:c r="F71" s="12" t="str">
        <x:v>阈值非现金成本；不可与同一资源返利重复计价</x:v>
      </x:c>
    </x:row>
    <x:row r="72" ht="52" customHeight="1">
      <x:c r="A72" s="4" t="str">
        <x:v>秘宝冲刺/第4轮</x:v>
      </x:c>
      <x:c r="B72" s="4" t="str">
        <x:v>进度奖励</x:v>
      </x:c>
      <x:c r="C72" s="4" t="n">
        <x:v>20000</x:v>
      </x:c>
      <x:c r="D72" s="4" t="str">
        <x:v>转运石 × 600；欧气补给袋 × 2</x:v>
      </x:c>
      <x:c r="E72" s="4" t="str">
        <x:v>主/冲刺活动!第175行</x:v>
      </x:c>
      <x:c r="F72" s="4" t="str">
        <x:v>阈值非现金成本；不可与同一资源返利重复计价</x:v>
      </x:c>
    </x:row>
    <x:row r="73" ht="52" customHeight="1">
      <x:c r="A73" s="12" t="str">
        <x:v>秘宝冲刺/第4轮</x:v>
      </x:c>
      <x:c r="B73" s="12" t="str">
        <x:v>进度奖励</x:v>
      </x:c>
      <x:c r="C73" s="12" t="n">
        <x:v>32000</x:v>
      </x:c>
      <x:c r="D73" s="12" t="str">
        <x:v>转运石 × 600；欧气补给袋 × 2</x:v>
      </x:c>
      <x:c r="E73" s="12" t="str">
        <x:v>主/冲刺活动!第176行</x:v>
      </x:c>
      <x:c r="F73" s="12" t="str">
        <x:v>阈值非现金成本；不可与同一资源返利重复计价</x:v>
      </x:c>
    </x:row>
    <x:row r="74" ht="52" customHeight="1">
      <x:c r="A74" s="4" t="str">
        <x:v>秘宝冲刺/第4轮</x:v>
      </x:c>
      <x:c r="B74" s="4" t="str">
        <x:v>进度奖励</x:v>
      </x:c>
      <x:c r="C74" s="4" t="n">
        <x:v>58000</x:v>
      </x:c>
      <x:c r="D74" s="4" t="str">
        <x:v>转运石 × 900；欧气补给袋 × 3</x:v>
      </x:c>
      <x:c r="E74" s="4" t="str">
        <x:v>主/冲刺活动!第177行</x:v>
      </x:c>
      <x:c r="F74" s="4" t="str">
        <x:v>阈值非现金成本；不可与同一资源返利重复计价</x:v>
      </x:c>
    </x:row>
    <x:row r="75" ht="52" customHeight="1">
      <x:c r="A75" s="12" t="str">
        <x:v>秘宝冲刺/第4轮</x:v>
      </x:c>
      <x:c r="B75" s="12" t="str">
        <x:v>进度奖励</x:v>
      </x:c>
      <x:c r="C75" s="12" t="n">
        <x:v>92000</x:v>
      </x:c>
      <x:c r="D75" s="12" t="str">
        <x:v>转运石 × 900；欧气补给袋 × 3</x:v>
      </x:c>
      <x:c r="E75" s="12" t="str">
        <x:v>主/冲刺活动!第178行</x:v>
      </x:c>
      <x:c r="F75" s="12" t="str">
        <x:v>阈值非现金成本；不可与同一资源返利重复计价</x:v>
      </x:c>
    </x:row>
    <x:row r="76" ht="52" customHeight="1">
      <x:c r="A76" s="4" t="str">
        <x:v>秘宝冲刺/第4轮</x:v>
      </x:c>
      <x:c r="B76" s="4" t="str">
        <x:v>进度奖励</x:v>
      </x:c>
      <x:c r="C76" s="4" t="n">
        <x:v>120000</x:v>
      </x:c>
      <x:c r="D76" s="4" t="str">
        <x:v>转运石 × 900；欧气补给袋 × 3</x:v>
      </x:c>
      <x:c r="E76" s="4" t="str">
        <x:v>主/冲刺活动!第179行</x:v>
      </x:c>
      <x:c r="F76" s="4" t="str">
        <x:v>阈值非现金成本；不可与同一资源返利重复计价</x:v>
      </x:c>
    </x:row>
    <x:row r="77" ht="52" customHeight="1">
      <x:c r="A77" s="12" t="str">
        <x:v>招募狂欢/第1轮</x:v>
      </x:c>
      <x:c r="B77" s="12" t="str">
        <x:v>进度奖励</x:v>
      </x:c>
      <x:c r="C77" s="12" t="n">
        <x:v>60</x:v>
      </x:c>
      <x:c r="D77" s="12" t="str">
        <x:v>梦境招募器 × 5；随机能量特饮 × 30</x:v>
      </x:c>
      <x:c r="E77" s="12" t="str">
        <x:v>主/招募狂欢!第13行</x:v>
      </x:c>
      <x:c r="F77" s="12" t="str">
        <x:v>阈值非现金成本；不可与同一资源返利重复计价</x:v>
      </x:c>
    </x:row>
    <x:row r="78" ht="52" customHeight="1">
      <x:c r="A78" s="4" t="str">
        <x:v>招募狂欢/第1轮</x:v>
      </x:c>
      <x:c r="B78" s="4" t="str">
        <x:v>进度奖励</x:v>
      </x:c>
      <x:c r="C78" s="4" t="n">
        <x:v>120</x:v>
      </x:c>
      <x:c r="D78" s="4" t="str">
        <x:v>梦境招募器 × 5；随机能量特饮 × 30</x:v>
      </x:c>
      <x:c r="E78" s="4" t="str">
        <x:v>主/招募狂欢!第14行</x:v>
      </x:c>
      <x:c r="F78" s="4" t="str">
        <x:v>阈值非现金成本；不可与同一资源返利重复计价</x:v>
      </x:c>
    </x:row>
    <x:row r="79" ht="52" customHeight="1">
      <x:c r="A79" s="12" t="str">
        <x:v>招募狂欢/第1轮</x:v>
      </x:c>
      <x:c r="B79" s="12" t="str">
        <x:v>进度奖励</x:v>
      </x:c>
      <x:c r="C79" s="12" t="n">
        <x:v>200</x:v>
      </x:c>
      <x:c r="D79" s="12" t="str">
        <x:v>梦境招募器 × 5；随机能量特饮 × 30</x:v>
      </x:c>
      <x:c r="E79" s="12" t="str">
        <x:v>主/招募狂欢!第15行</x:v>
      </x:c>
      <x:c r="F79" s="12" t="str">
        <x:v>阈值非现金成本；不可与同一资源返利重复计价</x:v>
      </x:c>
    </x:row>
    <x:row r="80" ht="52" customHeight="1">
      <x:c r="A80" s="4" t="str">
        <x:v>招募狂欢/第1轮</x:v>
      </x:c>
      <x:c r="B80" s="4" t="str">
        <x:v>进度奖励</x:v>
      </x:c>
      <x:c r="C80" s="4" t="n">
        <x:v>300</x:v>
      </x:c>
      <x:c r="D80" s="4" t="str">
        <x:v>梦境招募器 × 10；随机能量特饮 × 50</x:v>
      </x:c>
      <x:c r="E80" s="4" t="str">
        <x:v>主/招募狂欢!第16行</x:v>
      </x:c>
      <x:c r="F80" s="4" t="str">
        <x:v>阈值非现金成本；不可与同一资源返利重复计价</x:v>
      </x:c>
    </x:row>
    <x:row r="81" ht="52" customHeight="1">
      <x:c r="A81" s="12" t="str">
        <x:v>招募狂欢/第1轮</x:v>
      </x:c>
      <x:c r="B81" s="12" t="str">
        <x:v>进度奖励</x:v>
      </x:c>
      <x:c r="C81" s="12" t="n">
        <x:v>420</x:v>
      </x:c>
      <x:c r="D81" s="12" t="str">
        <x:v>梦境招募器 × 10；随机能量特饮 × 50</x:v>
      </x:c>
      <x:c r="E81" s="12" t="str">
        <x:v>主/招募狂欢!第17行</x:v>
      </x:c>
      <x:c r="F81" s="12" t="str">
        <x:v>阈值非现金成本；不可与同一资源返利重复计价</x:v>
      </x:c>
    </x:row>
    <x:row r="82" ht="52" customHeight="1">
      <x:c r="A82" s="4" t="str">
        <x:v>招募狂欢/第1轮</x:v>
      </x:c>
      <x:c r="B82" s="4" t="str">
        <x:v>进度奖励</x:v>
      </x:c>
      <x:c r="C82" s="4" t="n">
        <x:v>600</x:v>
      </x:c>
      <x:c r="D82" s="4" t="str">
        <x:v>梦境招募器 × 10；随机能量特饮 × 50</x:v>
      </x:c>
      <x:c r="E82" s="4" t="str">
        <x:v>主/招募狂欢!第18行</x:v>
      </x:c>
      <x:c r="F82" s="4" t="str">
        <x:v>阈值非现金成本；不可与同一资源返利重复计价</x:v>
      </x:c>
    </x:row>
    <x:row r="83" ht="52" customHeight="1">
      <x:c r="A83" s="12" t="str">
        <x:v>招募狂欢/第2轮</x:v>
      </x:c>
      <x:c r="B83" s="12" t="str">
        <x:v>进度奖励</x:v>
      </x:c>
      <x:c r="C83" s="12" t="n">
        <x:v>60</x:v>
      </x:c>
      <x:c r="D83" s="12" t="str">
        <x:v>梦境招募器 × 5；随机能量特饮 × 50</x:v>
      </x:c>
      <x:c r="E83" s="12" t="str">
        <x:v>主/招募狂欢!第22行</x:v>
      </x:c>
      <x:c r="F83" s="12" t="str">
        <x:v>阈值非现金成本；不可与同一资源返利重复计价</x:v>
      </x:c>
    </x:row>
    <x:row r="84" ht="52" customHeight="1">
      <x:c r="A84" s="4" t="str">
        <x:v>招募狂欢/第2轮</x:v>
      </x:c>
      <x:c r="B84" s="4" t="str">
        <x:v>进度奖励</x:v>
      </x:c>
      <x:c r="C84" s="4" t="n">
        <x:v>120</x:v>
      </x:c>
      <x:c r="D84" s="4" t="str">
        <x:v>梦境招募器 × 5；随机能量特饮 × 50</x:v>
      </x:c>
      <x:c r="E84" s="4" t="str">
        <x:v>主/招募狂欢!第23行</x:v>
      </x:c>
      <x:c r="F84" s="4" t="str">
        <x:v>阈值非现金成本；不可与同一资源返利重复计价</x:v>
      </x:c>
    </x:row>
    <x:row r="85" ht="52" customHeight="1">
      <x:c r="A85" s="12" t="str">
        <x:v>招募狂欢/第2轮</x:v>
      </x:c>
      <x:c r="B85" s="12" t="str">
        <x:v>进度奖励</x:v>
      </x:c>
      <x:c r="C85" s="12" t="n">
        <x:v>200</x:v>
      </x:c>
      <x:c r="D85" s="12" t="str">
        <x:v>梦境招募器 × 5；随机能量特饮 × 50</x:v>
      </x:c>
      <x:c r="E85" s="12" t="str">
        <x:v>主/招募狂欢!第24行</x:v>
      </x:c>
      <x:c r="F85" s="12" t="str">
        <x:v>阈值非现金成本；不可与同一资源返利重复计价</x:v>
      </x:c>
    </x:row>
    <x:row r="86" ht="52" customHeight="1">
      <x:c r="A86" s="4" t="str">
        <x:v>招募狂欢/第2轮</x:v>
      </x:c>
      <x:c r="B86" s="4" t="str">
        <x:v>进度奖励</x:v>
      </x:c>
      <x:c r="C86" s="4" t="n">
        <x:v>300</x:v>
      </x:c>
      <x:c r="D86" s="4" t="str">
        <x:v>梦境招募器 × 10；随机能量特饮 × 80</x:v>
      </x:c>
      <x:c r="E86" s="4" t="str">
        <x:v>主/招募狂欢!第25行</x:v>
      </x:c>
      <x:c r="F86" s="4" t="str">
        <x:v>阈值非现金成本；不可与同一资源返利重复计价</x:v>
      </x:c>
    </x:row>
    <x:row r="87" ht="52" customHeight="1">
      <x:c r="A87" s="12" t="str">
        <x:v>招募狂欢/第2轮</x:v>
      </x:c>
      <x:c r="B87" s="12" t="str">
        <x:v>进度奖励</x:v>
      </x:c>
      <x:c r="C87" s="12" t="n">
        <x:v>420</x:v>
      </x:c>
      <x:c r="D87" s="12" t="str">
        <x:v>梦境招募器 × 10；随机能量特饮 × 80</x:v>
      </x:c>
      <x:c r="E87" s="12" t="str">
        <x:v>主/招募狂欢!第26行</x:v>
      </x:c>
      <x:c r="F87" s="12" t="str">
        <x:v>阈值非现金成本；不可与同一资源返利重复计价</x:v>
      </x:c>
    </x:row>
    <x:row r="88" ht="52" customHeight="1">
      <x:c r="A88" s="4" t="str">
        <x:v>招募狂欢/第2轮</x:v>
      </x:c>
      <x:c r="B88" s="4" t="str">
        <x:v>进度奖励</x:v>
      </x:c>
      <x:c r="C88" s="4" t="n">
        <x:v>600</x:v>
      </x:c>
      <x:c r="D88" s="4" t="str">
        <x:v>梦境招募器 × 10；随机能量特饮 × 80</x:v>
      </x:c>
      <x:c r="E88" s="4" t="str">
        <x:v>主/招募狂欢!第27行</x:v>
      </x:c>
      <x:c r="F88" s="4" t="str">
        <x:v>阈值非现金成本；不可与同一资源返利重复计价</x:v>
      </x:c>
    </x:row>
    <x:row r="89" ht="52" customHeight="1">
      <x:c r="A89" s="12" t="str">
        <x:v>招募狂欢/第3轮</x:v>
      </x:c>
      <x:c r="B89" s="12" t="str">
        <x:v>进度奖励</x:v>
      </x:c>
      <x:c r="C89" s="12" t="n">
        <x:v>80</x:v>
      </x:c>
      <x:c r="D89" s="12" t="str">
        <x:v>梦境招募器 × 5；随机能量特饮 × 80</x:v>
      </x:c>
      <x:c r="E89" s="12" t="str">
        <x:v>主/招募狂欢!第31行</x:v>
      </x:c>
      <x:c r="F89" s="12" t="str">
        <x:v>阈值非现金成本；不可与同一资源返利重复计价</x:v>
      </x:c>
    </x:row>
    <x:row r="90" ht="52" customHeight="1">
      <x:c r="A90" s="4" t="str">
        <x:v>招募狂欢/第3轮</x:v>
      </x:c>
      <x:c r="B90" s="4" t="str">
        <x:v>进度奖励</x:v>
      </x:c>
      <x:c r="C90" s="4" t="n">
        <x:v>160</x:v>
      </x:c>
      <x:c r="D90" s="4" t="str">
        <x:v>梦境招募器 × 5；随机能量特饮 × 80</x:v>
      </x:c>
      <x:c r="E90" s="4" t="str">
        <x:v>主/招募狂欢!第32行</x:v>
      </x:c>
      <x:c r="F90" s="4" t="str">
        <x:v>阈值非现金成本；不可与同一资源返利重复计价</x:v>
      </x:c>
    </x:row>
    <x:row r="91" ht="52" customHeight="1">
      <x:c r="A91" s="12" t="str">
        <x:v>招募狂欢/第3轮</x:v>
      </x:c>
      <x:c r="B91" s="12" t="str">
        <x:v>进度奖励</x:v>
      </x:c>
      <x:c r="C91" s="12" t="n">
        <x:v>260</x:v>
      </x:c>
      <x:c r="D91" s="12" t="str">
        <x:v>梦境招募器 × 5；随机能量特饮 × 80</x:v>
      </x:c>
      <x:c r="E91" s="12" t="str">
        <x:v>主/招募狂欢!第33行</x:v>
      </x:c>
      <x:c r="F91" s="12" t="str">
        <x:v>阈值非现金成本；不可与同一资源返利重复计价</x:v>
      </x:c>
    </x:row>
    <x:row r="92" ht="52" customHeight="1">
      <x:c r="A92" s="4" t="str">
        <x:v>招募狂欢/第3轮</x:v>
      </x:c>
      <x:c r="B92" s="4" t="str">
        <x:v>进度奖励</x:v>
      </x:c>
      <x:c r="C92" s="4" t="n">
        <x:v>400</x:v>
      </x:c>
      <x:c r="D92" s="4" t="str">
        <x:v>梦境招募器 × 10；随机能量特饮 × 100</x:v>
      </x:c>
      <x:c r="E92" s="4" t="str">
        <x:v>主/招募狂欢!第34行</x:v>
      </x:c>
      <x:c r="F92" s="4" t="str">
        <x:v>阈值非现金成本；不可与同一资源返利重复计价</x:v>
      </x:c>
    </x:row>
    <x:row r="93" ht="52" customHeight="1">
      <x:c r="A93" s="12" t="str">
        <x:v>招募狂欢/第3轮</x:v>
      </x:c>
      <x:c r="B93" s="12" t="str">
        <x:v>进度奖励</x:v>
      </x:c>
      <x:c r="C93" s="12" t="n">
        <x:v>580</x:v>
      </x:c>
      <x:c r="D93" s="12" t="str">
        <x:v>梦境招募器 × 10；随机能量特饮 × 100</x:v>
      </x:c>
      <x:c r="E93" s="12" t="str">
        <x:v>主/招募狂欢!第35行</x:v>
      </x:c>
      <x:c r="F93" s="12" t="str">
        <x:v>阈值非现金成本；不可与同一资源返利重复计价</x:v>
      </x:c>
    </x:row>
    <x:row r="94" ht="52" customHeight="1">
      <x:c r="A94" s="4" t="str">
        <x:v>招募狂欢/第3轮</x:v>
      </x:c>
      <x:c r="B94" s="4" t="str">
        <x:v>进度奖励</x:v>
      </x:c>
      <x:c r="C94" s="4" t="n">
        <x:v>800</x:v>
      </x:c>
      <x:c r="D94" s="4" t="str">
        <x:v>梦境招募器 × 10；随机能量特饮 × 100</x:v>
      </x:c>
      <x:c r="E94" s="4" t="str">
        <x:v>主/招募狂欢!第36行</x:v>
      </x:c>
      <x:c r="F94" s="4" t="str">
        <x:v>阈值非现金成本；不可与同一资源返利重复计价</x:v>
      </x:c>
    </x:row>
    <x:row r="95" ht="52" customHeight="1">
      <x:c r="A95" s="12" t="str">
        <x:v>招募狂欢/第4轮</x:v>
      </x:c>
      <x:c r="B95" s="12" t="str">
        <x:v>进度奖励</x:v>
      </x:c>
      <x:c r="C95" s="12" t="n">
        <x:v>120</x:v>
      </x:c>
      <x:c r="D95" s="12" t="str">
        <x:v>梦境招募器 × 5；随机能量特饮 × 100</x:v>
      </x:c>
      <x:c r="E95" s="12" t="str">
        <x:v>主/招募狂欢!第40行</x:v>
      </x:c>
      <x:c r="F95" s="12" t="str">
        <x:v>阈值非现金成本；不可与同一资源返利重复计价</x:v>
      </x:c>
    </x:row>
    <x:row r="96" ht="52" customHeight="1">
      <x:c r="A96" s="4" t="str">
        <x:v>招募狂欢/第4轮</x:v>
      </x:c>
      <x:c r="B96" s="4" t="str">
        <x:v>进度奖励</x:v>
      </x:c>
      <x:c r="C96" s="4" t="n">
        <x:v>240</x:v>
      </x:c>
      <x:c r="D96" s="4" t="str">
        <x:v>梦境招募器 × 5；随机能量特饮 × 100</x:v>
      </x:c>
      <x:c r="E96" s="4" t="str">
        <x:v>主/招募狂欢!第41行</x:v>
      </x:c>
      <x:c r="F96" s="4" t="str">
        <x:v>阈值非现金成本；不可与同一资源返利重复计价</x:v>
      </x:c>
    </x:row>
    <x:row r="97" ht="52" customHeight="1">
      <x:c r="A97" s="12" t="str">
        <x:v>招募狂欢/第4轮</x:v>
      </x:c>
      <x:c r="B97" s="12" t="str">
        <x:v>进度奖励</x:v>
      </x:c>
      <x:c r="C97" s="12" t="n">
        <x:v>400</x:v>
      </x:c>
      <x:c r="D97" s="12" t="str">
        <x:v>梦境招募器 × 5；随机能量特饮 × 100</x:v>
      </x:c>
      <x:c r="E97" s="12" t="str">
        <x:v>主/招募狂欢!第42行</x:v>
      </x:c>
      <x:c r="F97" s="12" t="str">
        <x:v>阈值非现金成本；不可与同一资源返利重复计价</x:v>
      </x:c>
    </x:row>
    <x:row r="98" ht="52" customHeight="1">
      <x:c r="A98" s="4" t="str">
        <x:v>招募狂欢/第4轮</x:v>
      </x:c>
      <x:c r="B98" s="4" t="str">
        <x:v>进度奖励</x:v>
      </x:c>
      <x:c r="C98" s="4" t="n">
        <x:v>600</x:v>
      </x:c>
      <x:c r="D98" s="4" t="str">
        <x:v>梦境招募器 × 10；随机能量特饮 × 120</x:v>
      </x:c>
      <x:c r="E98" s="4" t="str">
        <x:v>主/招募狂欢!第43行</x:v>
      </x:c>
      <x:c r="F98" s="4" t="str">
        <x:v>阈值非现金成本；不可与同一资源返利重复计价</x:v>
      </x:c>
    </x:row>
    <x:row r="99" ht="52" customHeight="1">
      <x:c r="A99" s="12" t="str">
        <x:v>招募狂欢/第4轮</x:v>
      </x:c>
      <x:c r="B99" s="12" t="str">
        <x:v>进度奖励</x:v>
      </x:c>
      <x:c r="C99" s="12" t="n">
        <x:v>800</x:v>
      </x:c>
      <x:c r="D99" s="12" t="str">
        <x:v>梦境招募器 × 10；随机能量特饮 × 120</x:v>
      </x:c>
      <x:c r="E99" s="12" t="str">
        <x:v>主/招募狂欢!第44行</x:v>
      </x:c>
      <x:c r="F99" s="12" t="str">
        <x:v>阈值非现金成本；不可与同一资源返利重复计价</x:v>
      </x:c>
    </x:row>
    <x:row r="100" ht="52" customHeight="1">
      <x:c r="A100" s="4" t="str">
        <x:v>招募狂欢/第4轮</x:v>
      </x:c>
      <x:c r="B100" s="4" t="str">
        <x:v>进度奖励</x:v>
      </x:c>
      <x:c r="C100" s="4" t="n">
        <x:v>1200</x:v>
      </x:c>
      <x:c r="D100" s="4" t="str">
        <x:v>梦境招募器 × 10；随机能量特饮 × 120</x:v>
      </x:c>
      <x:c r="E100" s="4" t="str">
        <x:v>主/招募狂欢!第45行</x:v>
      </x:c>
      <x:c r="F100" s="4" t="str">
        <x:v>阈值非现金成本；不可与同一资源返利重复计价</x:v>
      </x:c>
    </x:row>
    <x:row r="101" ht="52" customHeight="1">
      <x:c r="A101" s="12" t="str">
        <x:v>橙卡试炼活动</x:v>
      </x:c>
      <x:c r="B101" s="12" t="str">
        <x:v>免费奖励/等级</x:v>
      </x:c>
      <x:c r="C101" s="12" t="n">
        <x:v>1</x:v>
      </x:c>
      <x:c r="D101" s="12" t="str">
        <x:v>梦境招募器 × 5</x:v>
      </x:c>
      <x:c r="E101" s="12" t="str">
        <x:v>主/橙卡试炼活动!第8行</x:v>
      </x:c>
      <x:c r="F101" s="12" t="str">
        <x:v>阈值非现金成本；不可与同一资源返利重复计价</x:v>
      </x:c>
    </x:row>
    <x:row r="102" ht="52" customHeight="1">
      <x:c r="A102" s="4" t="str">
        <x:v>橙卡试炼活动</x:v>
      </x:c>
      <x:c r="B102" s="4" t="str">
        <x:v>免费奖励/等级</x:v>
      </x:c>
      <x:c r="C102" s="4" t="n">
        <x:v>5</x:v>
      </x:c>
      <x:c r="D102" s="4" t="str">
        <x:v>梦境招募器 × 10</x:v>
      </x:c>
      <x:c r="E102" s="4" t="str">
        <x:v>主/橙卡试炼活动!第9行</x:v>
      </x:c>
      <x:c r="F102" s="4" t="str">
        <x:v>阈值非现金成本；不可与同一资源返利重复计价</x:v>
      </x:c>
    </x:row>
    <x:row r="103" ht="52" customHeight="1">
      <x:c r="A103" s="12" t="str">
        <x:v>橙卡试炼活动</x:v>
      </x:c>
      <x:c r="B103" s="12" t="str">
        <x:v>免费奖励/等级</x:v>
      </x:c>
      <x:c r="C103" s="12" t="n">
        <x:v>10</x:v>
      </x:c>
      <x:c r="D103" s="12" t="str">
        <x:v>梦境招募器 × 15</x:v>
      </x:c>
      <x:c r="E103" s="12" t="str">
        <x:v>主/橙卡试炼活动!第10行</x:v>
      </x:c>
      <x:c r="F103" s="12" t="str">
        <x:v>阈值非现金成本；不可与同一资源返利重复计价</x:v>
      </x:c>
    </x:row>
    <x:row r="104" ht="52" customHeight="1">
      <x:c r="A104" s="4" t="str">
        <x:v>橙卡试炼活动</x:v>
      </x:c>
      <x:c r="B104" s="4" t="str">
        <x:v>免费奖励/等级</x:v>
      </x:c>
      <x:c r="C104" s="4" t="n">
        <x:v>12</x:v>
      </x:c>
      <x:c r="D104" s="4" t="str">
        <x:v>梦愿水晶 × 1</x:v>
      </x:c>
      <x:c r="E104" s="4" t="str">
        <x:v>主/橙卡试炼活动!第11行</x:v>
      </x:c>
      <x:c r="F104" s="4" t="str">
        <x:v>阈值非现金成本；不可与同一资源返利重复计价</x:v>
      </x:c>
    </x:row>
    <x:row r="105" ht="52" customHeight="1">
      <x:c r="A105" s="12" t="str">
        <x:v>橙卡试炼活动</x:v>
      </x:c>
      <x:c r="B105" s="12" t="str">
        <x:v>免费奖励/等级</x:v>
      </x:c>
      <x:c r="C105" s="12" t="n">
        <x:v>15</x:v>
      </x:c>
      <x:c r="D105" s="12" t="str">
        <x:v>随机橙色皮肤 × 1</x:v>
      </x:c>
      <x:c r="E105" s="12" t="str">
        <x:v>主/橙卡试炼活动!第12行</x:v>
      </x:c>
      <x:c r="F105" s="12" t="str">
        <x:v>阈值非现金成本；不可与同一资源返利重复计价</x:v>
      </x:c>
    </x:row>
    <x:row r="106" ht="52" customHeight="1">
      <x:c r="A106" s="4" t="str">
        <x:v>橙卡试炼活动</x:v>
      </x:c>
      <x:c r="B106" s="4" t="str">
        <x:v>免费奖励/等级</x:v>
      </x:c>
      <x:c r="C106" s="4" t="n">
        <x:v>17</x:v>
      </x:c>
      <x:c r="D106" s="4" t="str">
        <x:v>星辉秘契 × 2</x:v>
      </x:c>
      <x:c r="E106" s="4" t="str">
        <x:v>主/橙卡试炼活动!第13行</x:v>
      </x:c>
      <x:c r="F106" s="4" t="str">
        <x:v>阈值非现金成本；不可与同一资源返利重复计价</x:v>
      </x:c>
    </x:row>
    <x:row r="107" ht="52" customHeight="1">
      <x:c r="A107" s="12" t="str">
        <x:v>橙卡试炼活动</x:v>
      </x:c>
      <x:c r="B107" s="12" t="str">
        <x:v>免费奖励/等级</x:v>
      </x:c>
      <x:c r="C107" s="12" t="n">
        <x:v>20</x:v>
      </x:c>
      <x:c r="D107" s="12" t="str">
        <x:v>星辉秘契 × 3</x:v>
      </x:c>
      <x:c r="E107" s="12" t="str">
        <x:v>主/橙卡试炼活动!第14行</x:v>
      </x:c>
      <x:c r="F107" s="12" t="str">
        <x:v>阈值非现金成本；不可与同一资源返利重复计价</x:v>
      </x:c>
    </x:row>
    <x:row r="108" ht="52" customHeight="1">
      <x:c r="A108" s="4" t="str">
        <x:v>红卡试炼活动</x:v>
      </x:c>
      <x:c r="B108" s="4" t="str">
        <x:v>免费奖励/等级</x:v>
      </x:c>
      <x:c r="C108" s="4" t="n">
        <x:v>1</x:v>
      </x:c>
      <x:c r="D108" s="4" t="str">
        <x:v>梦境招募器 × 5</x:v>
      </x:c>
      <x:c r="E108" s="4" t="str">
        <x:v>主/红卡试炼活动!第8行</x:v>
      </x:c>
      <x:c r="F108" s="4" t="str">
        <x:v>阈值非现金成本；不可与同一资源返利重复计价</x:v>
      </x:c>
    </x:row>
    <x:row r="109" ht="52" customHeight="1">
      <x:c r="A109" s="12" t="str">
        <x:v>红卡试炼活动</x:v>
      </x:c>
      <x:c r="B109" s="12" t="str">
        <x:v>免费奖励/等级</x:v>
      </x:c>
      <x:c r="C109" s="12" t="n">
        <x:v>5</x:v>
      </x:c>
      <x:c r="D109" s="12" t="str">
        <x:v>梦境招募器 × 10</x:v>
      </x:c>
      <x:c r="E109" s="12" t="str">
        <x:v>主/红卡试炼活动!第9行</x:v>
      </x:c>
      <x:c r="F109" s="12" t="str">
        <x:v>阈值非现金成本；不可与同一资源返利重复计价</x:v>
      </x:c>
    </x:row>
    <x:row r="110" ht="52" customHeight="1">
      <x:c r="A110" s="4" t="str">
        <x:v>红卡试炼活动</x:v>
      </x:c>
      <x:c r="B110" s="4" t="str">
        <x:v>免费奖励/等级</x:v>
      </x:c>
      <x:c r="C110" s="4" t="n">
        <x:v>8</x:v>
      </x:c>
      <x:c r="D110" s="4" t="str">
        <x:v>传说祝福石 × 1</x:v>
      </x:c>
      <x:c r="E110" s="4" t="str">
        <x:v>主/红卡试炼活动!第10行</x:v>
      </x:c>
      <x:c r="F110" s="4" t="str">
        <x:v>阈值非现金成本；不可与同一资源返利重复计价</x:v>
      </x:c>
    </x:row>
    <x:row r="111" ht="52" customHeight="1">
      <x:c r="A111" s="12" t="str">
        <x:v>红卡试炼活动</x:v>
      </x:c>
      <x:c r="B111" s="12" t="str">
        <x:v>免费奖励/等级</x:v>
      </x:c>
      <x:c r="C111" s="12" t="n">
        <x:v>10</x:v>
      </x:c>
      <x:c r="D111" s="12" t="str">
        <x:v>梦境招募器 × 15</x:v>
      </x:c>
      <x:c r="E111" s="12" t="str">
        <x:v>主/红卡试炼活动!第11行</x:v>
      </x:c>
      <x:c r="F111" s="12" t="str">
        <x:v>阈值非现金成本；不可与同一资源返利重复计价</x:v>
      </x:c>
    </x:row>
    <x:row r="112" ht="52" customHeight="1">
      <x:c r="A112" s="4" t="str">
        <x:v>红卡试炼活动</x:v>
      </x:c>
      <x:c r="B112" s="4" t="str">
        <x:v>免费奖励/等级</x:v>
      </x:c>
      <x:c r="C112" s="4" t="n">
        <x:v>12</x:v>
      </x:c>
      <x:c r="D112" s="4" t="str">
        <x:v>梦愿水晶 × 1</x:v>
      </x:c>
      <x:c r="E112" s="4" t="str">
        <x:v>主/红卡试炼活动!第12行</x:v>
      </x:c>
      <x:c r="F112" s="4" t="str">
        <x:v>阈值非现金成本；不可与同一资源返利重复计价</x:v>
      </x:c>
    </x:row>
    <x:row r="113" ht="52" customHeight="1">
      <x:c r="A113" s="12" t="str">
        <x:v>红卡试炼活动</x:v>
      </x:c>
      <x:c r="B113" s="12" t="str">
        <x:v>免费奖励/等级</x:v>
      </x:c>
      <x:c r="C113" s="12" t="n">
        <x:v>15</x:v>
      </x:c>
      <x:c r="D113" s="12" t="str">
        <x:v>星辉秘契 × 2</x:v>
      </x:c>
      <x:c r="E113" s="12" t="str">
        <x:v>主/红卡试炼活动!第13行</x:v>
      </x:c>
      <x:c r="F113" s="12" t="str">
        <x:v>阈值非现金成本；不可与同一资源返利重复计价</x:v>
      </x:c>
    </x:row>
    <x:row r="114" ht="52" customHeight="1">
      <x:c r="A114" s="4" t="str">
        <x:v>红卡试炼活动</x:v>
      </x:c>
      <x:c r="B114" s="4" t="str">
        <x:v>免费奖励/等级</x:v>
      </x:c>
      <x:c r="C114" s="4" t="n">
        <x:v>17</x:v>
      </x:c>
      <x:c r="D114" s="4" t="str">
        <x:v>星辉秘契 × 2</x:v>
      </x:c>
      <x:c r="E114" s="4" t="str">
        <x:v>主/红卡试炼活动!第14行</x:v>
      </x:c>
      <x:c r="F114" s="4" t="str">
        <x:v>阈值非现金成本；不可与同一资源返利重复计价</x:v>
      </x:c>
    </x:row>
    <x:row r="115" ht="52" customHeight="1">
      <x:c r="A115" s="12" t="str">
        <x:v>红卡试炼活动</x:v>
      </x:c>
      <x:c r="B115" s="12" t="str">
        <x:v>免费奖励/等级</x:v>
      </x:c>
      <x:c r="C115" s="12" t="n">
        <x:v>20</x:v>
      </x:c>
      <x:c r="D115" s="12" t="str">
        <x:v>星辉秘契 × 3</x:v>
      </x:c>
      <x:c r="E115" s="12" t="str">
        <x:v>主/红卡试炼活动!第15行</x:v>
      </x:c>
      <x:c r="F115" s="12" t="str">
        <x:v>阈值非现金成本；不可与同一资源返利重复计价</x:v>
      </x:c>
    </x:row>
    <x:row r="116" ht="52" customHeight="1">
      <x:c r="A116" s="4" t="str">
        <x:v>星轨探测</x:v>
      </x:c>
      <x:c r="B116" s="4" t="str">
        <x:v>抽取次数</x:v>
      </x:c>
      <x:c r="C116" s="4" t="n">
        <x:v>10</x:v>
      </x:c>
      <x:c r="D116" s="4" t="str">
        <x:v>探测器 × 2</x:v>
      </x:c>
      <x:c r="E116" s="4" t="str">
        <x:v>主/星轨探测!第23行</x:v>
      </x:c>
      <x:c r="F116" s="4" t="str">
        <x:v>阈值非现金成本；不可与同一资源返利重复计价</x:v>
      </x:c>
    </x:row>
    <x:row r="117" ht="52" customHeight="1">
      <x:c r="A117" s="12" t="str">
        <x:v>星轨探测</x:v>
      </x:c>
      <x:c r="B117" s="12" t="str">
        <x:v>抽取次数</x:v>
      </x:c>
      <x:c r="C117" s="12" t="n">
        <x:v>20</x:v>
      </x:c>
      <x:c r="D117" s="12" t="str">
        <x:v>钻石 × 150</x:v>
      </x:c>
      <x:c r="E117" s="12" t="str">
        <x:v>主/星轨探测!第24行</x:v>
      </x:c>
      <x:c r="F117" s="12" t="str">
        <x:v>阈值非现金成本；不可与同一资源返利重复计价</x:v>
      </x:c>
    </x:row>
    <x:row r="118" ht="52" customHeight="1">
      <x:c r="A118" s="4" t="str">
        <x:v>星轨探测</x:v>
      </x:c>
      <x:c r="B118" s="4" t="str">
        <x:v>抽取次数</x:v>
      </x:c>
      <x:c r="C118" s="4" t="n">
        <x:v>30</x:v>
      </x:c>
      <x:c r="D118" s="4" t="str">
        <x:v>B级时装·头饰 × 1</x:v>
      </x:c>
      <x:c r="E118" s="4" t="str">
        <x:v>主/星轨探测!第25行</x:v>
      </x:c>
      <x:c r="F118" s="4" t="str">
        <x:v>阈值非现金成本；不可与同一资源返利重复计价</x:v>
      </x:c>
    </x:row>
    <x:row r="119" ht="52" customHeight="1">
      <x:c r="A119" s="12" t="str">
        <x:v>星轨探测</x:v>
      </x:c>
      <x:c r="B119" s="12" t="str">
        <x:v>抽取次数</x:v>
      </x:c>
      <x:c r="C119" s="12" t="n">
        <x:v>50</x:v>
      </x:c>
      <x:c r="D119" s="12" t="str">
        <x:v>B级时装·衣服 × 1</x:v>
      </x:c>
      <x:c r="E119" s="12" t="str">
        <x:v>主/星轨探测!第26行</x:v>
      </x:c>
      <x:c r="F119" s="12" t="str">
        <x:v>阈值非现金成本；不可与同一资源返利重复计价</x:v>
      </x:c>
    </x:row>
    <x:row r="120" ht="52" customHeight="1">
      <x:c r="A120" s="4" t="str">
        <x:v>星轨探测</x:v>
      </x:c>
      <x:c r="B120" s="4" t="str">
        <x:v>抽取次数</x:v>
      </x:c>
      <x:c r="C120" s="4" t="n">
        <x:v>70</x:v>
      </x:c>
      <x:c r="D120" s="4" t="str">
        <x:v>探测器 × 5</x:v>
      </x:c>
      <x:c r="E120" s="4" t="str">
        <x:v>主/星轨探测!第27行</x:v>
      </x:c>
      <x:c r="F120" s="4" t="str">
        <x:v>阈值非现金成本；不可与同一资源返利重复计价</x:v>
      </x:c>
    </x:row>
    <x:row r="121" ht="52" customHeight="1">
      <x:c r="A121" s="12" t="str">
        <x:v>星轨探测</x:v>
      </x:c>
      <x:c r="B121" s="12" t="str">
        <x:v>抽取次数</x:v>
      </x:c>
      <x:c r="C121" s="12" t="n">
        <x:v>100</x:v>
      </x:c>
      <x:c r="D121" s="12" t="str">
        <x:v>探测器 × 10</x:v>
      </x:c>
      <x:c r="E121" s="12" t="str">
        <x:v>主/星轨探测!第28行</x:v>
      </x:c>
      <x:c r="F121" s="12" t="str">
        <x:v>阈值非现金成本；不可与同一资源返利重复计价</x:v>
      </x:c>
    </x:row>
    <x:row r="122" ht="52" customHeight="1">
      <x:c r="A122" s="4" t="str">
        <x:v>星轨探测</x:v>
      </x:c>
      <x:c r="B122" s="4" t="str">
        <x:v>抽取次数</x:v>
      </x:c>
      <x:c r="C122" s="4" t="n">
        <x:v>150</x:v>
      </x:c>
      <x:c r="D122" s="4" t="str">
        <x:v>幻梦晶核 × 30</x:v>
      </x:c>
      <x:c r="E122" s="4" t="str">
        <x:v>主/星轨探测!第29行</x:v>
      </x:c>
      <x:c r="F122" s="4" t="str">
        <x:v>阈值非现金成本；不可与同一资源返利重复计价</x:v>
      </x:c>
    </x:row>
    <x:row r="123" ht="52" customHeight="1">
      <x:c r="A123" s="12" t="str">
        <x:v>星轨探测</x:v>
      </x:c>
      <x:c r="B123" s="12" t="str">
        <x:v>抽取次数</x:v>
      </x:c>
      <x:c r="C123" s="12" t="n">
        <x:v>200</x:v>
      </x:c>
      <x:c r="D123" s="12" t="str">
        <x:v>探测器 × 10</x:v>
      </x:c>
      <x:c r="E123" s="12" t="str">
        <x:v>主/星轨探测!第30行</x:v>
      </x:c>
      <x:c r="F123" s="12" t="str">
        <x:v>阈值非现金成本；不可与同一资源返利重复计价</x:v>
      </x:c>
    </x:row>
    <x:row r="124" ht="52" customHeight="1">
      <x:c r="A124" s="4" t="str">
        <x:v>星轨探测</x:v>
      </x:c>
      <x:c r="B124" s="4" t="str">
        <x:v>抽取次数</x:v>
      </x:c>
      <x:c r="C124" s="4" t="n">
        <x:v>250</x:v>
      </x:c>
      <x:c r="D124" s="4" t="str">
        <x:v>探测器 × 10</x:v>
      </x:c>
      <x:c r="E124" s="4" t="str">
        <x:v>主/星轨探测!第31行</x:v>
      </x:c>
      <x:c r="F124" s="4" t="str">
        <x:v>阈值非现金成本；不可与同一资源返利重复计价</x:v>
      </x:c>
    </x:row>
    <x:row r="125" ht="52" customHeight="1">
      <x:c r="A125" s="12" t="str">
        <x:v>星轨探测</x:v>
      </x:c>
      <x:c r="B125" s="12" t="str">
        <x:v>抽取次数</x:v>
      </x:c>
      <x:c r="C125" s="12" t="n">
        <x:v>350</x:v>
      </x:c>
      <x:c r="D125" s="12" t="str">
        <x:v>自选创世零件核心 × 1</x:v>
      </x:c>
      <x:c r="E125" s="12" t="str">
        <x:v>主/星轨探测!第32行</x:v>
      </x:c>
      <x:c r="F125" s="12" t="str">
        <x:v>阈值非现金成本；不可与同一资源返利重复计价</x:v>
      </x:c>
    </x:row>
    <x:row r="126" ht="52" customHeight="1">
      <x:c r="A126" s="4" t="str">
        <x:v>首月活动</x:v>
      </x:c>
      <x:c r="B126" s="4" t="str">
        <x:v>累计许愿</x:v>
      </x:c>
      <x:c r="C126" s="4" t="n">
        <x:v>5</x:v>
      </x:c>
      <x:c r="D126" s="4" t="str">
        <x:v>许愿券 × 2</x:v>
      </x:c>
      <x:c r="E126" s="4" t="str">
        <x:v>主/首月活动!第37行</x:v>
      </x:c>
      <x:c r="F126" s="4" t="str">
        <x:v>阈值非现金成本；不可与同一资源返利重复计价</x:v>
      </x:c>
    </x:row>
    <x:row r="127" ht="52" customHeight="1">
      <x:c r="A127" s="12" t="str">
        <x:v>首月活动</x:v>
      </x:c>
      <x:c r="B127" s="12" t="str">
        <x:v>累计许愿</x:v>
      </x:c>
      <x:c r="C127" s="12" t="n">
        <x:v>15</x:v>
      </x:c>
      <x:c r="D127" s="12" t="str">
        <x:v>钻石 × 100</x:v>
      </x:c>
      <x:c r="E127" s="12" t="str">
        <x:v>主/首月活动!第38行</x:v>
      </x:c>
      <x:c r="F127" s="12" t="str">
        <x:v>阈值非现金成本；不可与同一资源返利重复计价</x:v>
      </x:c>
    </x:row>
    <x:row r="128" ht="52" customHeight="1">
      <x:c r="A128" s="4" t="str">
        <x:v>首月活动</x:v>
      </x:c>
      <x:c r="B128" s="4" t="str">
        <x:v>累计许愿</x:v>
      </x:c>
      <x:c r="C128" s="4" t="n">
        <x:v>35</x:v>
      </x:c>
      <x:c r="D128" s="4" t="str">
        <x:v>星愿棱晶 × 1</x:v>
      </x:c>
      <x:c r="E128" s="4" t="str">
        <x:v>主/首月活动!第39行</x:v>
      </x:c>
      <x:c r="F128" s="4" t="str">
        <x:v>阈值非现金成本；不可与同一资源返利重复计价</x:v>
      </x:c>
    </x:row>
    <x:row r="129" ht="52" customHeight="1">
      <x:c r="A129" s="12" t="str">
        <x:v>首月活动</x:v>
      </x:c>
      <x:c r="B129" s="12" t="str">
        <x:v>累计许愿</x:v>
      </x:c>
      <x:c r="C129" s="12" t="n">
        <x:v>60</x:v>
      </x:c>
      <x:c r="D129" s="12" t="str">
        <x:v>钻石 × 150</x:v>
      </x:c>
      <x:c r="E129" s="12" t="str">
        <x:v>主/首月活动!第40行</x:v>
      </x:c>
      <x:c r="F129" s="12" t="str">
        <x:v>阈值非现金成本；不可与同一资源返利重复计价</x:v>
      </x:c>
    </x:row>
    <x:row r="130" ht="52" customHeight="1">
      <x:c r="A130" s="4" t="str">
        <x:v>首月活动</x:v>
      </x:c>
      <x:c r="B130" s="4" t="str">
        <x:v>累计许愿</x:v>
      </x:c>
      <x:c r="C130" s="4" t="n">
        <x:v>85</x:v>
      </x:c>
      <x:c r="D130" s="4" t="str">
        <x:v>许愿券 × 3</x:v>
      </x:c>
      <x:c r="E130" s="4" t="str">
        <x:v>主/首月活动!第41行</x:v>
      </x:c>
      <x:c r="F130" s="4" t="str">
        <x:v>阈值非现金成本；不可与同一资源返利重复计价</x:v>
      </x:c>
    </x:row>
    <x:row r="131" ht="52" customHeight="1">
      <x:c r="A131" s="12" t="str">
        <x:v>首月活动</x:v>
      </x:c>
      <x:c r="B131" s="12" t="str">
        <x:v>累计许愿</x:v>
      </x:c>
      <x:c r="C131" s="12" t="n">
        <x:v>115</x:v>
      </x:c>
      <x:c r="D131" s="12" t="str">
        <x:v>钻石 × 150</x:v>
      </x:c>
      <x:c r="E131" s="12" t="str">
        <x:v>主/首月活动!第42行</x:v>
      </x:c>
      <x:c r="F131" s="12" t="str">
        <x:v>阈值非现金成本；不可与同一资源返利重复计价</x:v>
      </x:c>
    </x:row>
    <x:row r="132" ht="52" customHeight="1">
      <x:c r="A132" s="4" t="str">
        <x:v>首月活动</x:v>
      </x:c>
      <x:c r="B132" s="4" t="str">
        <x:v>累计许愿</x:v>
      </x:c>
      <x:c r="C132" s="4" t="n">
        <x:v>145</x:v>
      </x:c>
      <x:c r="D132" s="4" t="str">
        <x:v>星愿棱晶 × 1</x:v>
      </x:c>
      <x:c r="E132" s="4" t="str">
        <x:v>主/首月活动!第43行</x:v>
      </x:c>
      <x:c r="F132" s="4" t="str">
        <x:v>阈值非现金成本；不可与同一资源返利重复计价</x:v>
      </x:c>
    </x:row>
    <x:row r="133" ht="52" customHeight="1">
      <x:c r="A133" s="12" t="str">
        <x:v>首月活动</x:v>
      </x:c>
      <x:c r="B133" s="12" t="str">
        <x:v>累计许愿</x:v>
      </x:c>
      <x:c r="C133" s="12" t="n">
        <x:v>175</x:v>
      </x:c>
      <x:c r="D133" s="12" t="str">
        <x:v>许愿券 × 3</x:v>
      </x:c>
      <x:c r="E133" s="12" t="str">
        <x:v>主/首月活动!第44行</x:v>
      </x:c>
      <x:c r="F133" s="12" t="str">
        <x:v>阈值非现金成本；不可与同一资源返利重复计价</x:v>
      </x:c>
    </x:row>
    <x:row r="134" ht="52" customHeight="1">
      <x:c r="A134" s="4" t="str">
        <x:v>首月活动</x:v>
      </x:c>
      <x:c r="B134" s="4" t="str">
        <x:v>累计许愿</x:v>
      </x:c>
      <x:c r="C134" s="4" t="n">
        <x:v>205</x:v>
      </x:c>
      <x:c r="D134" s="4" t="str">
        <x:v>钻石 × 150</x:v>
      </x:c>
      <x:c r="E134" s="4" t="str">
        <x:v>主/首月活动!第45行</x:v>
      </x:c>
      <x:c r="F134" s="4" t="str">
        <x:v>阈值非现金成本；不可与同一资源返利重复计价</x:v>
      </x:c>
    </x:row>
    <x:row r="135" ht="52" customHeight="1">
      <x:c r="A135" s="12" t="str">
        <x:v>首月活动</x:v>
      </x:c>
      <x:c r="B135" s="12" t="str">
        <x:v>累计许愿</x:v>
      </x:c>
      <x:c r="C135" s="12" t="n">
        <x:v>250</x:v>
      </x:c>
      <x:c r="D135" s="12" t="str">
        <x:v>许愿券 × 5</x:v>
      </x:c>
      <x:c r="E135" s="12" t="str">
        <x:v>主/首月活动!第46行</x:v>
      </x:c>
      <x:c r="F135" s="12" t="str">
        <x:v>阈值非现金成本；不可与同一资源返利重复计价</x:v>
      </x:c>
    </x:row>
    <x:row r="136" ht="52" customHeight="1">
      <x:c r="A136" s="4" t="str">
        <x:v>首月活动</x:v>
      </x:c>
      <x:c r="B136" s="4" t="str">
        <x:v>累计许愿</x:v>
      </x:c>
      <x:c r="C136" s="4" t="n">
        <x:v>295</x:v>
      </x:c>
      <x:c r="D136" s="4" t="str">
        <x:v>钻石 × 150</x:v>
      </x:c>
      <x:c r="E136" s="4" t="str">
        <x:v>主/首月活动!第47行</x:v>
      </x:c>
      <x:c r="F136" s="4" t="str">
        <x:v>阈值非现金成本；不可与同一资源返利重复计价</x:v>
      </x:c>
    </x:row>
    <x:row r="137" ht="52" customHeight="1">
      <x:c r="A137" s="12" t="str">
        <x:v>首月活动</x:v>
      </x:c>
      <x:c r="B137" s="12" t="str">
        <x:v>累计许愿</x:v>
      </x:c>
      <x:c r="C137" s="12" t="n">
        <x:v>340</x:v>
      </x:c>
      <x:c r="D137" s="12" t="str">
        <x:v>许愿券 × 5</x:v>
      </x:c>
      <x:c r="E137" s="12" t="str">
        <x:v>主/首月活动!第48行</x:v>
      </x:c>
      <x:c r="F137" s="12" t="str">
        <x:v>阈值非现金成本；不可与同一资源返利重复计价</x:v>
      </x:c>
    </x:row>
    <x:row r="138" ht="52" customHeight="1">
      <x:c r="A138" s="4" t="str">
        <x:v>首月活动</x:v>
      </x:c>
      <x:c r="B138" s="4" t="str">
        <x:v>累计许愿</x:v>
      </x:c>
      <x:c r="C138" s="4" t="n">
        <x:v>385</x:v>
      </x:c>
      <x:c r="D138" s="4" t="str">
        <x:v>钻石 × 150</x:v>
      </x:c>
      <x:c r="E138" s="4" t="str">
        <x:v>主/首月活动!第49行</x:v>
      </x:c>
      <x:c r="F138" s="4" t="str">
        <x:v>阈值非现金成本；不可与同一资源返利重复计价</x:v>
      </x:c>
    </x:row>
    <x:row r="139" ht="52" customHeight="1">
      <x:c r="A139" s="12" t="str">
        <x:v>首月活动</x:v>
      </x:c>
      <x:c r="B139" s="12" t="str">
        <x:v>累计许愿</x:v>
      </x:c>
      <x:c r="C139" s="12" t="n">
        <x:v>430</x:v>
      </x:c>
      <x:c r="D139" s="12" t="str">
        <x:v>星愿棱晶 × 1</x:v>
      </x:c>
      <x:c r="E139" s="12" t="str">
        <x:v>主/首月活动!第50行</x:v>
      </x:c>
      <x:c r="F139" s="12" t="str">
        <x:v>阈值非现金成本；不可与同一资源返利重复计价</x:v>
      </x:c>
    </x:row>
    <x:row r="140" ht="52" customHeight="1">
      <x:c r="A140" s="4" t="str">
        <x:v>首月活动</x:v>
      </x:c>
      <x:c r="B140" s="4" t="str">
        <x:v>累计许愿</x:v>
      </x:c>
      <x:c r="C140" s="4" t="n">
        <x:v>500</x:v>
      </x:c>
      <x:c r="D140" s="4" t="str">
        <x:v>许愿券 × 5</x:v>
      </x:c>
      <x:c r="E140" s="4" t="str">
        <x:v>主/首月活动!第51行</x:v>
      </x:c>
      <x:c r="F140" s="4" t="str">
        <x:v>阈值非现金成本；不可与同一资源返利重复计价</x:v>
      </x:c>
    </x:row>
    <x:row r="141" ht="52" customHeight="1">
      <x:c r="A141" s="12" t="str">
        <x:v>首月活动</x:v>
      </x:c>
      <x:c r="B141" s="12" t="str">
        <x:v>累计许愿</x:v>
      </x:c>
      <x:c r="C141" s="12" t="n">
        <x:v>575</x:v>
      </x:c>
      <x:c r="D141" s="12" t="str">
        <x:v>钻石 × 500</x:v>
      </x:c>
      <x:c r="E141" s="12" t="str">
        <x:v>主/首月活动!第52行</x:v>
      </x:c>
      <x:c r="F141" s="12" t="str">
        <x:v>阈值非现金成本；不可与同一资源返利重复计价</x:v>
      </x:c>
    </x:row>
    <x:row r="142" ht="52" customHeight="1">
      <x:c r="A142" s="4" t="str">
        <x:v>首月活动</x:v>
      </x:c>
      <x:c r="B142" s="4" t="str">
        <x:v>累计许愿</x:v>
      </x:c>
      <x:c r="C142" s="4" t="n">
        <x:v>745</x:v>
      </x:c>
      <x:c r="D142" s="4" t="str">
        <x:v>许愿券 × 5</x:v>
      </x:c>
      <x:c r="E142" s="4" t="str">
        <x:v>主/首月活动!第53行</x:v>
      </x:c>
      <x:c r="F142" s="4" t="str">
        <x:v>阈值非现金成本；不可与同一资源返利重复计价</x:v>
      </x:c>
    </x:row>
    <x:row r="143" ht="52" customHeight="1">
      <x:c r="A143" s="12" t="str">
        <x:v>首月活动</x:v>
      </x:c>
      <x:c r="B143" s="12" t="str">
        <x:v>累计许愿</x:v>
      </x:c>
      <x:c r="C143" s="12" t="n">
        <x:v>930</x:v>
      </x:c>
      <x:c r="D143" s="12" t="str">
        <x:v>星愿棱晶 × 2</x:v>
      </x:c>
      <x:c r="E143" s="12" t="str">
        <x:v>主/首月活动!第54行</x:v>
      </x:c>
      <x:c r="F143" s="12" t="str">
        <x:v>阈值非现金成本；不可与同一资源返利重复计价</x:v>
      </x:c>
    </x:row>
    <x:row r="144" ht="52" customHeight="1">
      <x:c r="A144" s="4" t="str">
        <x:v>首月活动</x:v>
      </x:c>
      <x:c r="B144" s="4" t="str">
        <x:v>累计许愿</x:v>
      </x:c>
      <x:c r="C144" s="4" t="n">
        <x:v>1140</x:v>
      </x:c>
      <x:c r="D144" s="4" t="str">
        <x:v>钻石 × 500</x:v>
      </x:c>
      <x:c r="E144" s="4" t="str">
        <x:v>主/首月活动!第55行</x:v>
      </x:c>
      <x:c r="F144" s="4" t="str">
        <x:v>阈值非现金成本；不可与同一资源返利重复计价</x:v>
      </x:c>
    </x:row>
    <x:row r="145" ht="52" customHeight="1">
      <x:c r="A145" s="12" t="str">
        <x:v>首月活动</x:v>
      </x:c>
      <x:c r="B145" s="12" t="str">
        <x:v>累计许愿</x:v>
      </x:c>
      <x:c r="C145" s="12" t="n">
        <x:v>1450</x:v>
      </x:c>
      <x:c r="D145" s="12" t="str">
        <x:v>许愿券 × 5</x:v>
      </x:c>
      <x:c r="E145" s="12" t="str">
        <x:v>主/首月活动!第56行</x:v>
      </x:c>
      <x:c r="F145" s="12" t="str">
        <x:v>阈值非现金成本；不可与同一资源返利重复计价</x:v>
      </x:c>
    </x:row>
    <x:row r="146" ht="52" customHeight="1">
      <x:c r="A146" s="4" t="str">
        <x:v>首月活动</x:v>
      </x:c>
      <x:c r="B146" s="4" t="str">
        <x:v>累计许愿</x:v>
      </x:c>
      <x:c r="C146" s="4" t="n">
        <x:v>1750</x:v>
      </x:c>
      <x:c r="D146" s="4" t="str">
        <x:v>钻石 × 500</x:v>
      </x:c>
      <x:c r="E146" s="4" t="str">
        <x:v>主/首月活动!第57行</x:v>
      </x:c>
      <x:c r="F146" s="4" t="str">
        <x:v>阈值非现金成本；不可与同一资源返利重复计价</x:v>
      </x:c>
    </x:row>
    <x:row r="147" ht="52" customHeight="1">
      <x:c r="A147" s="12" t="str">
        <x:v>首月活动</x:v>
      </x:c>
      <x:c r="B147" s="12" t="str">
        <x:v>累计许愿</x:v>
      </x:c>
      <x:c r="C147" s="12" t="n">
        <x:v>2050</x:v>
      </x:c>
      <x:c r="D147" s="12" t="str">
        <x:v>许愿券 × 5</x:v>
      </x:c>
      <x:c r="E147" s="12" t="str">
        <x:v>主/首月活动!第58行</x:v>
      </x:c>
      <x:c r="F147" s="12" t="str">
        <x:v>阈值非现金成本；不可与同一资源返利重复计价</x:v>
      </x:c>
    </x:row>
    <x:row r="148" ht="52" customHeight="1">
      <x:c r="A148" s="4" t="str">
        <x:v>首月活动</x:v>
      </x:c>
      <x:c r="B148" s="4" t="str">
        <x:v>累计许愿</x:v>
      </x:c>
      <x:c r="C148" s="4" t="n">
        <x:v>2450</x:v>
      </x:c>
      <x:c r="D148" s="4" t="str">
        <x:v>钻石 × 500</x:v>
      </x:c>
      <x:c r="E148" s="4" t="str">
        <x:v>主/首月活动!第59行</x:v>
      </x:c>
      <x:c r="F148" s="4" t="str">
        <x:v>阈值非现金成本；不可与同一资源返利重复计价</x:v>
      </x:c>
    </x:row>
    <x:row r="149" ht="52" customHeight="1">
      <x:c r="A149" s="12" t="str">
        <x:v>首月活动</x:v>
      </x:c>
      <x:c r="B149" s="12" t="str">
        <x:v>累计许愿</x:v>
      </x:c>
      <x:c r="C149" s="12" t="n">
        <x:v>2850</x:v>
      </x:c>
      <x:c r="D149" s="12" t="str">
        <x:v>许愿券 × 5</x:v>
      </x:c>
      <x:c r="E149" s="12" t="str">
        <x:v>主/首月活动!第60行</x:v>
      </x:c>
      <x:c r="F149" s="12" t="str">
        <x:v>阈值非现金成本；不可与同一资源返利重复计价</x:v>
      </x:c>
    </x:row>
    <x:row r="150" ht="52" customHeight="1">
      <x:c r="A150" s="4" t="str">
        <x:v>首月活动</x:v>
      </x:c>
      <x:c r="B150" s="4" t="str">
        <x:v>累计许愿</x:v>
      </x:c>
      <x:c r="C150" s="4" t="n">
        <x:v>3250</x:v>
      </x:c>
      <x:c r="D150" s="4" t="str">
        <x:v>钻石 × 500</x:v>
      </x:c>
      <x:c r="E150" s="4" t="str">
        <x:v>主/首月活动!第61行</x:v>
      </x:c>
      <x:c r="F150" s="4" t="str">
        <x:v>阈值非现金成本；不可与同一资源返利重复计价</x:v>
      </x:c>
    </x:row>
    <x:row r="151" ht="52" customHeight="1">
      <x:c r="A151" s="12" t="str">
        <x:v>首月活动</x:v>
      </x:c>
      <x:c r="B151" s="12" t="str">
        <x:v>累计许愿</x:v>
      </x:c>
      <x:c r="C151" s="12" t="n">
        <x:v>3650</x:v>
      </x:c>
      <x:c r="D151" s="12" t="str">
        <x:v>许愿券 × 5</x:v>
      </x:c>
      <x:c r="E151" s="12" t="str">
        <x:v>主/首月活动!第62行</x:v>
      </x:c>
      <x:c r="F151" s="12" t="str">
        <x:v>阈值非现金成本；不可与同一资源返利重复计价</x:v>
      </x:c>
    </x:row>
    <x:row r="152" ht="52" customHeight="1">
      <x:c r="A152" s="4" t="str">
        <x:v>首月活动</x:v>
      </x:c>
      <x:c r="B152" s="4" t="str">
        <x:v>累计许愿</x:v>
      </x:c>
      <x:c r="C152" s="4" t="n">
        <x:v>4150</x:v>
      </x:c>
      <x:c r="D152" s="4" t="str">
        <x:v>钻石 × 500</x:v>
      </x:c>
      <x:c r="E152" s="4" t="str">
        <x:v>主/首月活动!第63行</x:v>
      </x:c>
      <x:c r="F152" s="4" t="str">
        <x:v>阈值非现金成本；不可与同一资源返利重复计价</x:v>
      </x:c>
    </x:row>
    <x:row r="153" ht="52" customHeight="1">
      <x:c r="A153" s="12" t="str">
        <x:v>首月活动</x:v>
      </x:c>
      <x:c r="B153" s="12" t="str">
        <x:v>累计许愿</x:v>
      </x:c>
      <x:c r="C153" s="12" t="n">
        <x:v>4650</x:v>
      </x:c>
      <x:c r="D153" s="12" t="str">
        <x:v>许愿券 × 5</x:v>
      </x:c>
      <x:c r="E153" s="12" t="str">
        <x:v>主/首月活动!第64行</x:v>
      </x:c>
      <x:c r="F153" s="12" t="str">
        <x:v>阈值非现金成本；不可与同一资源返利重复计价</x:v>
      </x:c>
    </x:row>
    <x:row r="154" ht="52" customHeight="1">
      <x:c r="A154" s="4" t="str">
        <x:v>首月活动</x:v>
      </x:c>
      <x:c r="B154" s="4" t="str">
        <x:v>累计许愿</x:v>
      </x:c>
      <x:c r="C154" s="4" t="n">
        <x:v>5150</x:v>
      </x:c>
      <x:c r="D154" s="4" t="str">
        <x:v>钻石 × 500</x:v>
      </x:c>
      <x:c r="E154" s="4" t="str">
        <x:v>主/首月活动!第65行</x:v>
      </x:c>
      <x:c r="F154" s="4" t="str">
        <x:v>阈值非现金成本；不可与同一资源返利重复计价</x:v>
      </x:c>
    </x:row>
    <x:row r="155" ht="52" customHeight="1">
      <x:c r="A155" s="12" t="str">
        <x:v>首月活动</x:v>
      </x:c>
      <x:c r="B155" s="12" t="str">
        <x:v>累计许愿</x:v>
      </x:c>
      <x:c r="C155" s="12" t="n">
        <x:v>5650</x:v>
      </x:c>
      <x:c r="D155" s="12" t="str">
        <x:v>许愿券 × 5</x:v>
      </x:c>
      <x:c r="E155" s="12" t="str">
        <x:v>主/首月活动!第66行</x:v>
      </x:c>
      <x:c r="F155" s="12" t="str">
        <x:v>阈值非现金成本；不可与同一资源返利重复计价</x:v>
      </x:c>
    </x:row>
    <x:row r="156" ht="52" customHeight="1">
      <x:c r="A156" s="4" t="str">
        <x:v>首月活动</x:v>
      </x:c>
      <x:c r="B156" s="4" t="str">
        <x:v>累计许愿</x:v>
      </x:c>
      <x:c r="C156" s="4" t="n">
        <x:v>6150</x:v>
      </x:c>
      <x:c r="D156" s="4" t="str">
        <x:v>钻石 × 500</x:v>
      </x:c>
      <x:c r="E156" s="4" t="str">
        <x:v>主/首月活动!第67行</x:v>
      </x:c>
      <x:c r="F156" s="4" t="str">
        <x:v>阈值非现金成本；不可与同一资源返利重复计价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a1430d46be7447e"/>
  </x:tableParts>
</x:worksheet>
</file>

<file path=xl/worksheets/sheet5.xml><?xml version="1.0" encoding="utf-8"?>
<x:worksheet xmlns:x="http://schemas.openxmlformats.org/spreadsheetml/2006/main">
  <x:sheetPr>
    <x:tabColor rgb="FF34495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8" hidden="0" customWidth="1"/>
    <x:col min="3" max="3" width="38" hidden="0" customWidth="1"/>
    <x:col min="4" max="4" width="54" hidden="0" customWidth="1"/>
    <x:col min="5" max="5" width="42" hidden="0" customWidth="1"/>
    <x:col min="6" max="6" width="54" hidden="0" customWidth="1"/>
    <x:col min="7" max="7" width="59" hidden="0" customWidth="1"/>
  </x:cols>
  <x:sheetData>
    <x:row r="1" ht="38" customHeight="1">
      <x:c r="A1" s="7" t="str">
        <x:v>成长加速路径 · 从资源到账到可用能力</x:v>
      </x:c>
      <x:c r="B1" s="7"/>
      <x:c r="C1" s="7"/>
      <x:c r="D1" s="7"/>
      <x:c r="E1" s="7"/>
      <x:c r="F1" s="7"/>
      <x:c r="G1" s="7"/>
    </x:row>
    <x:row r="2" ht="42" customHeight="1">
      <x:c r="A2" s="8" t="str">
        <x:v>当前仅确认资源进入哪条成长链；提前天数与战力百分比尚未验证。需要同日龄、同付费档的产出/消耗/库存，再进行计算。</x:v>
      </x:c>
      <x:c r="B2" s="8"/>
      <x:c r="C2" s="8"/>
      <x:c r="D2" s="8"/>
      <x:c r="E2" s="8"/>
      <x:c r="F2" s="8"/>
      <x:c r="G2" s="8"/>
    </x:row>
    <x:row r="3">
      <x:c r="A3" s="4"/>
      <x:c r="B3" s="4"/>
      <x:c r="C3" s="4"/>
      <x:c r="D3" s="4"/>
      <x:c r="E3" s="4"/>
      <x:c r="F3" s="4"/>
      <x:c r="G3" s="4"/>
    </x:row>
    <x:row r="4" ht="32" customHeight="1">
      <x:c r="A4" s="11" t="str">
        <x:v>成长系统</x:v>
      </x:c>
      <x:c r="B4" s="11" t="str">
        <x:v>关键资源</x:v>
      </x:c>
      <x:c r="C4" s="11" t="str">
        <x:v>活动入口</x:v>
      </x:c>
      <x:c r="D4" s="11" t="str">
        <x:v>能力传导路径</x:v>
      </x:c>
      <x:c r="E4" s="11" t="str">
        <x:v>SVN待联算文件</x:v>
      </x:c>
      <x:c r="F4" s="11" t="str">
        <x:v>还缺的输入</x:v>
      </x:c>
      <x:c r="G4" s="11" t="str">
        <x:v>后续计算方式</x:v>
      </x:c>
    </x:row>
    <x:row r="5" ht="106" customHeight="1">
      <x:c r="A5" s="12" t="str">
        <x:v>梦灵</x:v>
      </x:c>
      <x:c r="B5" s="12" t="str">
        <x:v>招募器/初愿/星辉/梦愿、碎片、能量</x:v>
      </x:c>
      <x:c r="C5" s="12" t="str">
        <x:v>首充、特惠、招募冲刺、试炼</x:v>
      </x:c>
      <x:c r="D5" s="12" t="str">
        <x:v>招募机会→梦灵/碎片→升级升星；概率与品质分开</x:v>
      </x:c>
      <x:c r="E5" s="12" t="str">
        <x:v>3-3抽卡产出、2-1梦灵养成</x:v>
      </x:c>
      <x:c r="F5" s="12" t="str">
        <x:v>抽卡概率保底/目标已有星级/每天净抽数</x:v>
      </x:c>
      <x:c r="G5" s="12" t="str">
        <x:v>资源数÷同日龄日净产出；升星需离散模拟</x:v>
      </x:c>
    </x:row>
    <x:row r="6" ht="106" customHeight="1">
      <x:c r="A6" s="4" t="str">
        <x:v>符文</x:v>
      </x:c>
      <x:c r="B6" s="4" t="str">
        <x:v>符引结晶/晶核/祝福石/成品符文</x:v>
      </x:c>
      <x:c r="C6" s="4" t="str">
        <x:v>符文冲刺、试炼、悬赏、日周月</x:v>
      </x:c>
      <x:c r="D6" s="4" t="str">
        <x:v>合成/进阶/成品替代；指定与随机不等效</x:v>
      </x:c>
      <x:c r="E6" s="4" t="str">
        <x:v>2-0符文调优、2-0养成总览</x:v>
      </x:c>
      <x:c r="F6" s="4" t="str">
        <x:v>部位品质库存/合成配方/每日产出</x:v>
      </x:c>
      <x:c r="G6" s="4" t="str">
        <x:v>同品质缺口与合成路径；不直接按钻石换战力</x:v>
      </x:c>
    </x:row>
    <x:row r="7" ht="106" customHeight="1">
      <x:c r="A7" s="12" t="str">
        <x:v>装备</x:v>
      </x:c>
      <x:c r="B7" s="12" t="str">
        <x:v>装备图纸/锻造晶石/金币</x:v>
      </x:c>
      <x:c r="C7" s="12" t="str">
        <x:v>日周月、章节包、战令</x:v>
      </x:c>
      <x:c r="D7" s="12" t="str">
        <x:v>锻造/强化等级门槛</x:v>
      </x:c>
      <x:c r="E7" s="12" t="str">
        <x:v>2-4装备养成</x:v>
      </x:c>
      <x:c r="F7" s="12" t="str">
        <x:v>当前等级及后续逐级消耗/每日净产出</x:v>
      </x:c>
      <x:c r="G7" s="12" t="str">
        <x:v>按可完成升级节点计算新增属性</x:v>
      </x:c>
    </x:row>
    <x:row r="8" ht="106" customHeight="1">
      <x:c r="A8" s="4" t="str">
        <x:v>秘宝</x:v>
      </x:c>
      <x:c r="B8" s="4" t="str">
        <x:v>转运石/藏品及碎片</x:v>
      </x:c>
      <x:c r="C8" s="4" t="str">
        <x:v>秘宝冲刺、悬赏、首月</x:v>
      </x:c>
      <x:c r="D8" s="4" t="str">
        <x:v>抽取/养成/收藏属性</x:v>
      </x:c>
      <x:c r="E8" s="4" t="str">
        <x:v>2-5秘宝养成、3-7藏品</x:v>
      </x:c>
      <x:c r="F8" s="4" t="str">
        <x:v>奖池、保底、藏品库存、星级</x:v>
      </x:c>
      <x:c r="G8" s="4" t="str">
        <x:v>保底与期望分开，重复产物折算另列</x:v>
      </x:c>
    </x:row>
    <x:row r="9" ht="106" customHeight="1">
      <x:c r="A9" s="12" t="str">
        <x:v>载具</x:v>
      </x:c>
      <x:c r="B9" s="12" t="str">
        <x:v>智械发条/精密齿轮/零件</x:v>
      </x:c>
      <x:c r="C9" s="12" t="str">
        <x:v>星轨、商店、日周月、载具战令</x:v>
      </x:c>
      <x:c r="D9" s="12" t="str">
        <x:v>载具抽取/零件/升级</x:v>
      </x:c>
      <x:c r="E9" s="12" t="str">
        <x:v>2-6载具养成</x:v>
      </x:c>
      <x:c r="F9" s="12" t="str">
        <x:v>D22/主线60前置、当前零件、每日产出</x:v>
      </x:c>
      <x:c r="G9" s="12" t="str">
        <x:v>开放前不计可用能力；开放后按瓶颈计算</x:v>
      </x:c>
    </x:row>
    <x:row r="10" ht="106" customHeight="1">
      <x:c r="A10" s="4" t="str">
        <x:v>体力与挂机</x:v>
      </x:c>
      <x:c r="B10" s="4" t="str">
        <x:v>体力/月卡挂机时长与收益</x:v>
      </x:c>
      <x:c r="C10" s="4" t="str">
        <x:v>月卡、特惠、日礼包、战令</x:v>
      </x:c>
      <x:c r="D10" s="4" t="str">
        <x:v>可用体力和挂机产出增加</x:v>
      </x:c>
      <x:c r="E10" s="4" t="str">
        <x:v>3-0产出总览、3-2副本产出</x:v>
      </x:c>
      <x:c r="F10" s="4" t="str">
        <x:v>玩家在线、体力溢出、关卡收益、购买次数</x:v>
      </x:c>
      <x:c r="G10" s="4" t="str">
        <x:v>额外净收益/该玩家日净收益；不能按时长直接当推图提前</x:v>
      </x:c>
    </x:row>
    <x:row r="11" ht="106" customHeight="1">
      <x:c r="A11" s="12" t="str">
        <x:v>皮肤/外观/特权</x:v>
      </x:c>
      <x:c r="B11" s="12" t="str">
        <x:v>武器、皮肤、称号、头像框、组队权益</x:v>
      </x:c>
      <x:c r="C11" s="12" t="str">
        <x:v>首充、心梦、试炼、抽奖活动</x:v>
      </x:c>
      <x:c r="D11" s="12" t="str">
        <x:v>有属性才计属性；便利、独占另列</x:v>
      </x:c>
      <x:c r="E11" s="12" t="str">
        <x:v>对应属性/特权配置</x:v>
      </x:c>
      <x:c r="F11" s="12" t="str">
        <x:v>属性、叠加方式、账号已有解锁</x:v>
      </x:c>
      <x:c r="G11" s="12" t="str">
        <x:v>缺配置时只标权益，不捏造钻石或战力价值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9512e1f18cf4915"/>
  </x:tableParts>
</x:worksheet>
</file>

<file path=xl/worksheets/sheet6.xml><?xml version="1.0" encoding="utf-8"?>
<x:worksheet xmlns:x="http://schemas.openxmlformats.org/spreadsheetml/2006/main">
  <x:sheetPr>
    <x:tabColor rgb="FF34495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37" hidden="0" customWidth="1"/>
    <x:col min="3" max="3" width="12" hidden="0" customWidth="1"/>
    <x:col min="4" max="4" width="18" hidden="0" customWidth="1"/>
    <x:col min="5" max="5" width="18" hidden="0" customWidth="1"/>
    <x:col min="6" max="6" width="26" hidden="0" customWidth="1"/>
    <x:col min="7" max="7" width="49" hidden="0" customWidth="1"/>
    <x:col min="8" max="8" width="55" hidden="0" customWidth="1"/>
  </x:cols>
  <x:sheetData>
    <x:row r="1" ht="38" customHeight="1">
      <x:c r="A1" s="7" t="str">
        <x:v>道具价值基准 · 主字典优先</x:v>
      </x:c>
      <x:c r="B1" s="7"/>
      <x:c r="C1" s="7"/>
      <x:c r="D1" s="7"/>
      <x:c r="E1" s="7"/>
      <x:c r="F1" s="7"/>
      <x:c r="G1" s="7"/>
      <x:c r="H1" s="7"/>
    </x:row>
    <x:row r="2" ht="42" customHeight="1">
      <x:c r="A2" s="8" t="str">
        <x:v>同名不同品质/ID保留；缺单价不填零。统一折钻采用显式钻石列，RMB列冲突单独提示。票券只代表面值，不等于奖池收益。</x:v>
      </x:c>
      <x:c r="B2" s="8"/>
      <x:c r="C2" s="8"/>
      <x:c r="D2" s="8"/>
      <x:c r="E2" s="8"/>
      <x:c r="F2" s="8"/>
      <x:c r="G2" s="8"/>
      <x:c r="H2" s="8"/>
    </x:row>
    <x:row r="3">
      <x:c r="A3" s="4"/>
      <x:c r="B3" s="4"/>
      <x:c r="C3" s="4"/>
      <x:c r="D3" s="4"/>
      <x:c r="E3" s="4"/>
      <x:c r="F3" s="4"/>
      <x:c r="G3" s="4"/>
      <x:c r="H3" s="4"/>
    </x:row>
    <x:row r="4" ht="32" customHeight="1">
      <x:c r="A4" s="11" t="str">
        <x:v>道具ID</x:v>
      </x:c>
      <x:c r="B4" s="11" t="str">
        <x:v>名称</x:v>
      </x:c>
      <x:c r="C4" s="11" t="str">
        <x:v>品质</x:v>
      </x:c>
      <x:c r="D4" s="11" t="str">
        <x:v>源RMB单价</x:v>
      </x:c>
      <x:c r="E4" s="11" t="str">
        <x:v>源钻石单价</x:v>
      </x:c>
      <x:c r="F4" s="11" t="str">
        <x:v>采用来源</x:v>
      </x:c>
      <x:c r="G4" s="11" t="str">
        <x:v>证据位置</x:v>
      </x:c>
      <x:c r="H4" s="11" t="str">
        <x:v>说明</x:v>
      </x:c>
    </x:row>
    <x:row r="5" ht="52" customHeight="1">
      <x:c r="A5" s="12" t="str">
        <x:v>1</x:v>
      </x:c>
      <x:c r="B5" s="12" t="str">
        <x:v>钻石</x:v>
      </x:c>
      <x:c r="C5" s="12" t="str">
        <x:v>橙</x:v>
      </x:c>
      <x:c r="D5" s="17" t="n">
        <x:v>0.1</x:v>
      </x:c>
      <x:c r="E5" s="17" t="n">
        <x:v>1</x:v>
      </x:c>
      <x:c r="F5" s="12" t="str">
        <x:v>主字典</x:v>
      </x:c>
      <x:c r="G5" s="12" t="str">
        <x:v>主/道具价值表-汇总!A2:J2</x:v>
      </x:c>
      <x:c r="H5" s="12" t="str"/>
    </x:row>
    <x:row r="6" ht="52" customHeight="1">
      <x:c r="A6" s="4" t="str">
        <x:v>2</x:v>
      </x:c>
      <x:c r="B6" s="4" t="str">
        <x:v>金币</x:v>
      </x:c>
      <x:c r="C6" s="4" t="str">
        <x:v>蓝</x:v>
      </x:c>
      <x:c r="D6" s="18" t="n">
        <x:v>0.005</x:v>
      </x:c>
      <x:c r="E6" s="18" t="n">
        <x:v>0.05</x:v>
      </x:c>
      <x:c r="F6" s="4" t="str">
        <x:v>主字典</x:v>
      </x:c>
      <x:c r="G6" s="4" t="str">
        <x:v>主/道具价值表-汇总!A3:J3</x:v>
      </x:c>
      <x:c r="H6" s="4" t="str"/>
    </x:row>
    <x:row r="7" ht="52" customHeight="1">
      <x:c r="A7" s="12" t="str">
        <x:v>9800301</x:v>
      </x:c>
      <x:c r="B7" s="12" t="str">
        <x:v>金币吸收器</x:v>
      </x:c>
      <x:c r="C7" s="12" t="str"/>
      <x:c r="D7" s="17" t="n">
        <x:v>5</x:v>
      </x:c>
      <x:c r="E7" s="17" t="n">
        <x:v>50</x:v>
      </x:c>
      <x:c r="F7" s="12" t="str">
        <x:v>主字典</x:v>
      </x:c>
      <x:c r="G7" s="12" t="str">
        <x:v>主/道具价值表-汇总!A4:J4</x:v>
      </x:c>
      <x:c r="H7" s="12" t="str"/>
    </x:row>
    <x:row r="8" ht="52" customHeight="1">
      <x:c r="A8" s="4" t="str">
        <x:v>44</x:v>
      </x:c>
      <x:c r="B8" s="4" t="str">
        <x:v>心梦宝石</x:v>
      </x:c>
      <x:c r="C8" s="4" t="str">
        <x:v>橙</x:v>
      </x:c>
      <x:c r="D8" s="18" t="n">
        <x:v>1.4</x:v>
      </x:c>
      <x:c r="E8" s="18" t="n">
        <x:v>14</x:v>
      </x:c>
      <x:c r="F8" s="4" t="str">
        <x:v>主字典</x:v>
      </x:c>
      <x:c r="G8" s="4" t="str">
        <x:v>主/道具价值表-汇总!A5:J5</x:v>
      </x:c>
      <x:c r="H8" s="4" t="str"/>
    </x:row>
    <x:row r="9" ht="52" customHeight="1">
      <x:c r="A9" s="12" t="str">
        <x:v>13</x:v>
      </x:c>
      <x:c r="B9" s="12" t="str">
        <x:v>体力</x:v>
      </x:c>
      <x:c r="C9" s="12" t="str">
        <x:v>紫</x:v>
      </x:c>
      <x:c r="D9" s="17" t="n">
        <x:v>0.2</x:v>
      </x:c>
      <x:c r="E9" s="17" t="n">
        <x:v>2</x:v>
      </x:c>
      <x:c r="F9" s="12" t="str">
        <x:v>主字典</x:v>
      </x:c>
      <x:c r="G9" s="12" t="str">
        <x:v>主/道具价值表-汇总!A6:J6</x:v>
      </x:c>
      <x:c r="H9" s="12" t="str"/>
    </x:row>
    <x:row r="10" ht="52" customHeight="1">
      <x:c r="A10" s="4" t="str">
        <x:v>20002</x:v>
      </x:c>
      <x:c r="B10" s="4" t="str">
        <x:v>梦境奇迹宝箱</x:v>
      </x:c>
      <x:c r="C10" s="4" t="str">
        <x:v>紫</x:v>
      </x:c>
      <x:c r="D10" s="18" t="n">
        <x:v>1</x:v>
      </x:c>
      <x:c r="E10" s="18" t="n">
        <x:v>10</x:v>
      </x:c>
      <x:c r="F10" s="4" t="str">
        <x:v>主字典</x:v>
      </x:c>
      <x:c r="G10" s="4" t="str">
        <x:v>主/道具价值表-汇总!A7:J7</x:v>
      </x:c>
      <x:c r="H10" s="4" t="str"/>
    </x:row>
    <x:row r="11" ht="52" customHeight="1">
      <x:c r="A11" s="12" t="str">
        <x:v>20038</x:v>
      </x:c>
      <x:c r="B11" s="12" t="str">
        <x:v>梦境惊喜宝箱</x:v>
      </x:c>
      <x:c r="C11" s="12" t="str"/>
      <x:c r="D11" s="17" t="n">
        <x:v>8</x:v>
      </x:c>
      <x:c r="E11" s="17" t="n">
        <x:v>80</x:v>
      </x:c>
      <x:c r="F11" s="12" t="str">
        <x:v>主字典</x:v>
      </x:c>
      <x:c r="G11" s="12" t="str">
        <x:v>主/道具价值表-汇总!A8:J8</x:v>
      </x:c>
      <x:c r="H11" s="12" t="str"/>
    </x:row>
    <x:row r="12" ht="52" customHeight="1">
      <x:c r="A12" s="4" t="str">
        <x:v>5600208</x:v>
      </x:c>
      <x:c r="B12" s="4" t="str">
        <x:v>悬赏线索</x:v>
      </x:c>
      <x:c r="C12" s="4" t="str">
        <x:v>橙</x:v>
      </x:c>
      <x:c r="D12" s="18" t="n">
        <x:v>0.3</x:v>
      </x:c>
      <x:c r="E12" s="18" t="n">
        <x:v>3</x:v>
      </x:c>
      <x:c r="F12" s="4" t="str">
        <x:v>主字典</x:v>
      </x:c>
      <x:c r="G12" s="4" t="str">
        <x:v>主/道具价值表-汇总!A9:J9</x:v>
      </x:c>
      <x:c r="H12" s="4" t="str"/>
    </x:row>
    <x:row r="13" ht="52" customHeight="1">
      <x:c r="A13" s="12" t="str">
        <x:v>5203001</x:v>
      </x:c>
      <x:c r="B13" s="12" t="str">
        <x:v>织梦微尘</x:v>
      </x:c>
      <x:c r="C13" s="12" t="str">
        <x:v>蓝</x:v>
      </x:c>
      <x:c r="D13" s="17" t="n">
        <x:v>0.3</x:v>
      </x:c>
      <x:c r="E13" s="17" t="n">
        <x:v>3</x:v>
      </x:c>
      <x:c r="F13" s="12" t="str">
        <x:v>主字典</x:v>
      </x:c>
      <x:c r="G13" s="12" t="str">
        <x:v>主/道具价值表-汇总!A10:J10</x:v>
      </x:c>
      <x:c r="H13" s="12" t="str"/>
    </x:row>
    <x:row r="14" ht="52" customHeight="1">
      <x:c r="A14" s="4" t="str">
        <x:v>5103001</x:v>
      </x:c>
      <x:c r="B14" s="4" t="str">
        <x:v>随机能量特饮</x:v>
      </x:c>
      <x:c r="C14" s="4" t="str">
        <x:v>蓝</x:v>
      </x:c>
      <x:c r="D14" s="18" t="n">
        <x:v>0.1</x:v>
      </x:c>
      <x:c r="E14" s="18" t="n">
        <x:v>1</x:v>
      </x:c>
      <x:c r="F14" s="4" t="str">
        <x:v>主字典</x:v>
      </x:c>
      <x:c r="G14" s="4" t="str">
        <x:v>主/道具价值表-汇总!A11:J11</x:v>
      </x:c>
      <x:c r="H14" s="4" t="str"/>
    </x:row>
    <x:row r="15" ht="52" customHeight="1">
      <x:c r="A15" s="12" t="str">
        <x:v>5104001</x:v>
      </x:c>
      <x:c r="B15" s="12" t="str">
        <x:v>超能特饮</x:v>
      </x:c>
      <x:c r="C15" s="12" t="str">
        <x:v>紫</x:v>
      </x:c>
      <x:c r="D15" s="17" t="n">
        <x:v>0.2</x:v>
      </x:c>
      <x:c r="E15" s="17" t="n">
        <x:v>2</x:v>
      </x:c>
      <x:c r="F15" s="12" t="str">
        <x:v>主字典</x:v>
      </x:c>
      <x:c r="G15" s="12" t="str">
        <x:v>主/道具价值表-汇总!A12:J12</x:v>
      </x:c>
      <x:c r="H15" s="12" t="str"/>
    </x:row>
    <x:row r="16" ht="52" customHeight="1">
      <x:c r="A16" s="4" t="str">
        <x:v>5600014</x:v>
      </x:c>
      <x:c r="B16" s="4" t="str">
        <x:v>史诗梦灵碎片</x:v>
      </x:c>
      <x:c r="C16" s="4" t="str">
        <x:v>紫</x:v>
      </x:c>
      <x:c r="D16" s="18" t="n">
        <x:v>1.2</x:v>
      </x:c>
      <x:c r="E16" s="18" t="n">
        <x:v>12</x:v>
      </x:c>
      <x:c r="F16" s="4" t="str">
        <x:v>主字典</x:v>
      </x:c>
      <x:c r="G16" s="4" t="str">
        <x:v>主/道具价值表-汇总!A13:J13</x:v>
      </x:c>
      <x:c r="H16" s="4" t="str"/>
    </x:row>
    <x:row r="17" ht="52" customHeight="1">
      <x:c r="A17" s="12" t="str">
        <x:v>5600015</x:v>
      </x:c>
      <x:c r="B17" s="12" t="str">
        <x:v>传说梦灵碎片</x:v>
      </x:c>
      <x:c r="C17" s="12" t="str">
        <x:v>橙</x:v>
      </x:c>
      <x:c r="D17" s="17" t="n">
        <x:v>2.4</x:v>
      </x:c>
      <x:c r="E17" s="17" t="n">
        <x:v>24</x:v>
      </x:c>
      <x:c r="F17" s="12" t="str">
        <x:v>主字典</x:v>
      </x:c>
      <x:c r="G17" s="12" t="str">
        <x:v>主/道具价值表-汇总!A14:J14</x:v>
      </x:c>
      <x:c r="H17" s="12" t="str"/>
    </x:row>
    <x:row r="18" ht="52" customHeight="1">
      <x:c r="A18" s="4" t="str"/>
      <x:c r="B18" s="4" t="str">
        <x:v>神话梦灵碎片</x:v>
      </x:c>
      <x:c r="C18" s="4" t="str">
        <x:v>红</x:v>
      </x:c>
      <x:c r="D18" s="18" t="n">
        <x:v>4.8</x:v>
      </x:c>
      <x:c r="E18" s="18" t="n">
        <x:v>48</x:v>
      </x:c>
      <x:c r="F18" s="4" t="str">
        <x:v>主字典</x:v>
      </x:c>
      <x:c r="G18" s="4" t="str">
        <x:v>主/道具价值表-汇总!A15:J15</x:v>
      </x:c>
      <x:c r="H18" s="4" t="str"/>
    </x:row>
    <x:row r="19" ht="52" customHeight="1">
      <x:c r="A19" s="12" t="str"/>
      <x:c r="B19" s="12" t="str">
        <x:v>创世梦灵碎片</x:v>
      </x:c>
      <x:c r="C19" s="12" t="str"/>
      <x:c r="D19" s="17" t="n">
        <x:v>9.6</x:v>
      </x:c>
      <x:c r="E19" s="17" t="n">
        <x:v>96</x:v>
      </x:c>
      <x:c r="F19" s="12" t="str">
        <x:v>主字典</x:v>
      </x:c>
      <x:c r="G19" s="12" t="str">
        <x:v>主/道具价值表-汇总!A16:J16</x:v>
      </x:c>
      <x:c r="H19" s="12" t="str"/>
    </x:row>
    <x:row r="20" ht="52" customHeight="1">
      <x:c r="A20" s="4" t="str"/>
      <x:c r="B20" s="4" t="str">
        <x:v>自选史诗梦灵碎片</x:v>
      </x:c>
      <x:c r="C20" s="4" t="str"/>
      <x:c r="D20" s="18" t="n">
        <x:v>1.2</x:v>
      </x:c>
      <x:c r="E20" s="18" t="n">
        <x:v>12</x:v>
      </x:c>
      <x:c r="F20" s="4" t="str">
        <x:v>主字典</x:v>
      </x:c>
      <x:c r="G20" s="4" t="str">
        <x:v>主/道具价值表-汇总!A17:J17</x:v>
      </x:c>
      <x:c r="H20" s="4" t="str"/>
    </x:row>
    <x:row r="21" ht="52" customHeight="1">
      <x:c r="A21" s="12" t="str"/>
      <x:c r="B21" s="12" t="str">
        <x:v>自选传说梦灵碎片</x:v>
      </x:c>
      <x:c r="C21" s="12" t="str"/>
      <x:c r="D21" s="17" t="n">
        <x:v>2.4</x:v>
      </x:c>
      <x:c r="E21" s="17" t="n">
        <x:v>24</x:v>
      </x:c>
      <x:c r="F21" s="12" t="str">
        <x:v>主字典</x:v>
      </x:c>
      <x:c r="G21" s="12" t="str">
        <x:v>主/道具价值表-汇总!A18:J18</x:v>
      </x:c>
      <x:c r="H21" s="12" t="str"/>
    </x:row>
    <x:row r="22" ht="52" customHeight="1">
      <x:c r="A22" s="4" t="str"/>
      <x:c r="B22" s="4" t="str">
        <x:v>自选神话梦灵碎片</x:v>
      </x:c>
      <x:c r="C22" s="4" t="str"/>
      <x:c r="D22" s="18" t="n">
        <x:v>4.8</x:v>
      </x:c>
      <x:c r="E22" s="18" t="n">
        <x:v>48</x:v>
      </x:c>
      <x:c r="F22" s="4" t="str">
        <x:v>主字典</x:v>
      </x:c>
      <x:c r="G22" s="4" t="str">
        <x:v>主/道具价值表-汇总!A19:J19</x:v>
      </x:c>
      <x:c r="H22" s="4" t="str"/>
    </x:row>
    <x:row r="23" ht="52" customHeight="1">
      <x:c r="A23" s="12" t="str"/>
      <x:c r="B23" s="12" t="str">
        <x:v>自选创世梦灵碎片</x:v>
      </x:c>
      <x:c r="C23" s="12" t="str"/>
      <x:c r="D23" s="17" t="n">
        <x:v>9.6</x:v>
      </x:c>
      <x:c r="E23" s="17" t="n">
        <x:v>96</x:v>
      </x:c>
      <x:c r="F23" s="12" t="str">
        <x:v>主字典</x:v>
      </x:c>
      <x:c r="G23" s="12" t="str">
        <x:v>主/道具价值表-汇总!A20:J20</x:v>
      </x:c>
      <x:c r="H23" s="12" t="str"/>
    </x:row>
    <x:row r="24" ht="52" customHeight="1">
      <x:c r="A24" s="4" t="str"/>
      <x:c r="B24" s="4" t="str">
        <x:v>随机史诗梦灵</x:v>
      </x:c>
      <x:c r="C24" s="4" t="str"/>
      <x:c r="D24" s="18" t="n">
        <x:v>12</x:v>
      </x:c>
      <x:c r="E24" s="18" t="n">
        <x:v>120</x:v>
      </x:c>
      <x:c r="F24" s="4" t="str">
        <x:v>主字典</x:v>
      </x:c>
      <x:c r="G24" s="4" t="str">
        <x:v>主/道具价值表-汇总!A21:J21</x:v>
      </x:c>
      <x:c r="H24" s="4" t="str"/>
    </x:row>
    <x:row r="25" ht="52" customHeight="1">
      <x:c r="A25" s="12" t="str"/>
      <x:c r="B25" s="12" t="str">
        <x:v>随机传说梦灵</x:v>
      </x:c>
      <x:c r="C25" s="12" t="str"/>
      <x:c r="D25" s="17" t="n">
        <x:v>24</x:v>
      </x:c>
      <x:c r="E25" s="17" t="n">
        <x:v>240</x:v>
      </x:c>
      <x:c r="F25" s="12" t="str">
        <x:v>主字典</x:v>
      </x:c>
      <x:c r="G25" s="12" t="str">
        <x:v>主/道具价值表-汇总!A22:J22</x:v>
      </x:c>
      <x:c r="H25" s="12" t="str"/>
    </x:row>
    <x:row r="26" ht="52" customHeight="1">
      <x:c r="A26" s="4" t="str"/>
      <x:c r="B26" s="4" t="str">
        <x:v>随机神话梦灵</x:v>
      </x:c>
      <x:c r="C26" s="4" t="str"/>
      <x:c r="D26" s="18" t="n">
        <x:v>48</x:v>
      </x:c>
      <x:c r="E26" s="18" t="n">
        <x:v>480</x:v>
      </x:c>
      <x:c r="F26" s="4" t="str">
        <x:v>主字典</x:v>
      </x:c>
      <x:c r="G26" s="4" t="str">
        <x:v>主/道具价值表-汇总!A23:J23</x:v>
      </x:c>
      <x:c r="H26" s="4" t="str"/>
    </x:row>
    <x:row r="27" ht="52" customHeight="1">
      <x:c r="A27" s="12" t="str"/>
      <x:c r="B27" s="12" t="str">
        <x:v>随机创世梦灵</x:v>
      </x:c>
      <x:c r="C27" s="12" t="str"/>
      <x:c r="D27" s="17" t="n">
        <x:v>96</x:v>
      </x:c>
      <x:c r="E27" s="17" t="n">
        <x:v>960</x:v>
      </x:c>
      <x:c r="F27" s="12" t="str">
        <x:v>主字典</x:v>
      </x:c>
      <x:c r="G27" s="12" t="str">
        <x:v>主/道具价值表-汇总!A24:J24</x:v>
      </x:c>
      <x:c r="H27" s="12" t="str"/>
    </x:row>
    <x:row r="28" ht="52" customHeight="1">
      <x:c r="A28" s="4" t="str"/>
      <x:c r="B28" s="4" t="str">
        <x:v>自选史诗梦灵</x:v>
      </x:c>
      <x:c r="C28" s="4" t="str"/>
      <x:c r="D28" s="18" t="n">
        <x:v>12</x:v>
      </x:c>
      <x:c r="E28" s="18" t="n">
        <x:v>120</x:v>
      </x:c>
      <x:c r="F28" s="4" t="str">
        <x:v>主字典</x:v>
      </x:c>
      <x:c r="G28" s="4" t="str">
        <x:v>主/道具价值表-汇总!A25:J25</x:v>
      </x:c>
      <x:c r="H28" s="4" t="str"/>
    </x:row>
    <x:row r="29" ht="52" customHeight="1">
      <x:c r="A29" s="12" t="str"/>
      <x:c r="B29" s="12" t="str">
        <x:v>自选传说梦灵</x:v>
      </x:c>
      <x:c r="C29" s="12" t="str"/>
      <x:c r="D29" s="17" t="n">
        <x:v>24</x:v>
      </x:c>
      <x:c r="E29" s="17" t="n">
        <x:v>240</x:v>
      </x:c>
      <x:c r="F29" s="12" t="str">
        <x:v>主字典</x:v>
      </x:c>
      <x:c r="G29" s="12" t="str">
        <x:v>主/道具价值表-汇总!A26:J26</x:v>
      </x:c>
      <x:c r="H29" s="12" t="str"/>
    </x:row>
    <x:row r="30" ht="52" customHeight="1">
      <x:c r="A30" s="4" t="str"/>
      <x:c r="B30" s="4" t="str">
        <x:v>自选神话梦灵</x:v>
      </x:c>
      <x:c r="C30" s="4" t="str"/>
      <x:c r="D30" s="18" t="n">
        <x:v>48</x:v>
      </x:c>
      <x:c r="E30" s="18" t="n">
        <x:v>480</x:v>
      </x:c>
      <x:c r="F30" s="4" t="str">
        <x:v>主字典</x:v>
      </x:c>
      <x:c r="G30" s="4" t="str">
        <x:v>主/道具价值表-汇总!A27:J27</x:v>
      </x:c>
      <x:c r="H30" s="4" t="str"/>
    </x:row>
    <x:row r="31" ht="52" customHeight="1">
      <x:c r="A31" s="12" t="str"/>
      <x:c r="B31" s="12" t="str">
        <x:v>自选创世梦灵</x:v>
      </x:c>
      <x:c r="C31" s="12" t="str"/>
      <x:c r="D31" s="17" t="n">
        <x:v>96</x:v>
      </x:c>
      <x:c r="E31" s="17" t="n">
        <x:v>960</x:v>
      </x:c>
      <x:c r="F31" s="12" t="str">
        <x:v>主字典</x:v>
      </x:c>
      <x:c r="G31" s="12" t="str">
        <x:v>主/道具价值表-汇总!A28:J28</x:v>
      </x:c>
      <x:c r="H31" s="12" t="str"/>
    </x:row>
    <x:row r="32" ht="52" customHeight="1">
      <x:c r="A32" s="4" t="str">
        <x:v>50002</x:v>
      </x:c>
      <x:c r="B32" s="4" t="str">
        <x:v>装备图纸</x:v>
      </x:c>
      <x:c r="C32" s="4" t="str">
        <x:v>蓝</x:v>
      </x:c>
      <x:c r="D32" s="18" t="n">
        <x:v>0.3</x:v>
      </x:c>
      <x:c r="E32" s="18" t="n">
        <x:v>3</x:v>
      </x:c>
      <x:c r="F32" s="4" t="str">
        <x:v>主字典</x:v>
      </x:c>
      <x:c r="G32" s="4" t="str">
        <x:v>主/道具价值表-汇总!A29:J29</x:v>
      </x:c>
      <x:c r="H32" s="4" t="str"/>
    </x:row>
    <x:row r="33" ht="52" customHeight="1">
      <x:c r="A33" s="12" t="str"/>
      <x:c r="B33" s="12" t="str">
        <x:v>固定部位装备图纸</x:v>
      </x:c>
      <x:c r="C33" s="12" t="str"/>
      <x:c r="D33" s="17" t="n">
        <x:v>0.5</x:v>
      </x:c>
      <x:c r="E33" s="17" t="n">
        <x:v>5</x:v>
      </x:c>
      <x:c r="F33" s="12" t="str">
        <x:v>主字典</x:v>
      </x:c>
      <x:c r="G33" s="12" t="str">
        <x:v>主/道具价值表-汇总!A30:J30</x:v>
      </x:c>
      <x:c r="H33" s="12" t="str"/>
    </x:row>
    <x:row r="34" ht="52" customHeight="1">
      <x:c r="A34" s="4" t="str">
        <x:v>50001</x:v>
      </x:c>
      <x:c r="B34" s="4" t="str">
        <x:v>锻造晶石</x:v>
      </x:c>
      <x:c r="C34" s="4" t="str">
        <x:v>蓝</x:v>
      </x:c>
      <x:c r="D34" s="18" t="n">
        <x:v>0.01</x:v>
      </x:c>
      <x:c r="E34" s="18" t="n">
        <x:v>0.1</x:v>
      </x:c>
      <x:c r="F34" s="4" t="str">
        <x:v>主字典</x:v>
      </x:c>
      <x:c r="G34" s="4" t="str">
        <x:v>主/道具价值表-汇总!A31:J31</x:v>
      </x:c>
      <x:c r="H34" s="4" t="str"/>
    </x:row>
    <x:row r="35" ht="52" customHeight="1">
      <x:c r="A35" s="12" t="str">
        <x:v>5303001</x:v>
      </x:c>
      <x:c r="B35" s="12" t="str">
        <x:v>符引结晶</x:v>
      </x:c>
      <x:c r="C35" s="12" t="str">
        <x:v>蓝</x:v>
      </x:c>
      <x:c r="D35" s="17" t="n">
        <x:v>0.5</x:v>
      </x:c>
      <x:c r="E35" s="17" t="n">
        <x:v>5</x:v>
      </x:c>
      <x:c r="F35" s="12" t="str">
        <x:v>主字典</x:v>
      </x:c>
      <x:c r="G35" s="12" t="str">
        <x:v>主/道具价值表-汇总!A32:J32</x:v>
      </x:c>
      <x:c r="H35" s="12" t="str"/>
    </x:row>
    <x:row r="36" ht="52" customHeight="1">
      <x:c r="A36" s="4" t="str">
        <x:v>5305001</x:v>
      </x:c>
      <x:c r="B36" s="4" t="str">
        <x:v>幻梦晶核</x:v>
      </x:c>
      <x:c r="C36" s="4" t="str">
        <x:v>橙</x:v>
      </x:c>
      <x:c r="D36" s="18" t="n">
        <x:v>6</x:v>
      </x:c>
      <x:c r="E36" s="18" t="n">
        <x:v>60</x:v>
      </x:c>
      <x:c r="F36" s="4" t="str">
        <x:v>主字典</x:v>
      </x:c>
      <x:c r="G36" s="4" t="str">
        <x:v>主/道具价值表-汇总!A33:J33</x:v>
      </x:c>
      <x:c r="H36" s="4" t="str"/>
    </x:row>
    <x:row r="37" ht="52" customHeight="1">
      <x:c r="A37" s="12" t="str">
        <x:v>5305010</x:v>
      </x:c>
      <x:c r="B37" s="12" t="str">
        <x:v>传说祝福石</x:v>
      </x:c>
      <x:c r="C37" s="12" t="str">
        <x:v>橙</x:v>
      </x:c>
      <x:c r="D37" s="17" t="n">
        <x:v>150</x:v>
      </x:c>
      <x:c r="E37" s="17" t="n">
        <x:v>1500</x:v>
      </x:c>
      <x:c r="F37" s="12" t="str">
        <x:v>主字典</x:v>
      </x:c>
      <x:c r="G37" s="12" t="str">
        <x:v>主/道具价值表-汇总!A34:J34</x:v>
      </x:c>
      <x:c r="H37" s="12" t="str"/>
    </x:row>
    <x:row r="38" ht="52" customHeight="1">
      <x:c r="A38" s="4" t="str">
        <x:v>5305008</x:v>
      </x:c>
      <x:c r="B38" s="4" t="str">
        <x:v>神话祝福石</x:v>
      </x:c>
      <x:c r="C38" s="4" t="str">
        <x:v>红</x:v>
      </x:c>
      <x:c r="D38" s="18" t="n">
        <x:v>500</x:v>
      </x:c>
      <x:c r="E38" s="18" t="n">
        <x:v>5000</x:v>
      </x:c>
      <x:c r="F38" s="4" t="str">
        <x:v>主字典</x:v>
      </x:c>
      <x:c r="G38" s="4" t="str">
        <x:v>主/道具价值表-汇总!A35:J35</x:v>
      </x:c>
      <x:c r="H38" s="4" t="str"/>
    </x:row>
    <x:row r="39" ht="52" customHeight="1">
      <x:c r="A39" s="12" t="str">
        <x:v>5305009</x:v>
      </x:c>
      <x:c r="B39" s="12" t="str">
        <x:v>创世祝福石</x:v>
      </x:c>
      <x:c r="C39" s="12" t="str">
        <x:v>粉</x:v>
      </x:c>
      <x:c r="D39" s="17" t="n">
        <x:v>1600</x:v>
      </x:c>
      <x:c r="E39" s="17" t="n">
        <x:v>16000</x:v>
      </x:c>
      <x:c r="F39" s="12" t="str">
        <x:v>主字典</x:v>
      </x:c>
      <x:c r="G39" s="12" t="str">
        <x:v>主/道具价值表-汇总!A36:J36</x:v>
      </x:c>
      <x:c r="H39" s="12" t="str"/>
    </x:row>
    <x:row r="40" ht="52" customHeight="1">
      <x:c r="A40" s="4" t="str">
        <x:v>5301000</x:v>
      </x:c>
      <x:c r="B40" s="4" t="str">
        <x:v>普通符文</x:v>
      </x:c>
      <x:c r="C40" s="4" t="str"/>
      <x:c r="D40" s="18" t="n">
        <x:v>1.6</x:v>
      </x:c>
      <x:c r="E40" s="18" t="n">
        <x:v>16</x:v>
      </x:c>
      <x:c r="F40" s="4" t="str">
        <x:v>主字典</x:v>
      </x:c>
      <x:c r="G40" s="4" t="str">
        <x:v>主/道具价值表-汇总!A37:J37</x:v>
      </x:c>
      <x:c r="H40" s="4" t="str"/>
    </x:row>
    <x:row r="41" ht="52" customHeight="1">
      <x:c r="A41" s="12" t="str">
        <x:v>5302000</x:v>
      </x:c>
      <x:c r="B41" s="12" t="str">
        <x:v>优秀符文</x:v>
      </x:c>
      <x:c r="C41" s="12" t="str"/>
      <x:c r="D41" s="17" t="n">
        <x:v>6.4</x:v>
      </x:c>
      <x:c r="E41" s="17" t="n">
        <x:v>64</x:v>
      </x:c>
      <x:c r="F41" s="12" t="str">
        <x:v>主字典</x:v>
      </x:c>
      <x:c r="G41" s="12" t="str">
        <x:v>主/道具价值表-汇总!A38:J38</x:v>
      </x:c>
      <x:c r="H41" s="12" t="str"/>
    </x:row>
    <x:row r="42" ht="52" customHeight="1">
      <x:c r="A42" s="4" t="str">
        <x:v>5303000</x:v>
      </x:c>
      <x:c r="B42" s="4" t="str">
        <x:v>稀有符文</x:v>
      </x:c>
      <x:c r="C42" s="4" t="str"/>
      <x:c r="D42" s="18" t="n">
        <x:v>25.6</x:v>
      </x:c>
      <x:c r="E42" s="18" t="n">
        <x:v>256</x:v>
      </x:c>
      <x:c r="F42" s="4" t="str">
        <x:v>主字典</x:v>
      </x:c>
      <x:c r="G42" s="4" t="str">
        <x:v>主/道具价值表-汇总!A39:J39</x:v>
      </x:c>
      <x:c r="H42" s="4" t="str"/>
    </x:row>
    <x:row r="43" ht="52" customHeight="1">
      <x:c r="A43" s="12" t="str">
        <x:v>5304000</x:v>
      </x:c>
      <x:c r="B43" s="12" t="str">
        <x:v>史诗符文</x:v>
      </x:c>
      <x:c r="C43" s="12" t="str"/>
      <x:c r="D43" s="17" t="n">
        <x:v>102.4</x:v>
      </x:c>
      <x:c r="E43" s="17" t="n">
        <x:v>1024</x:v>
      </x:c>
      <x:c r="F43" s="12" t="str">
        <x:v>主字典</x:v>
      </x:c>
      <x:c r="G43" s="12" t="str">
        <x:v>主/道具价值表-汇总!A40:J40</x:v>
      </x:c>
      <x:c r="H43" s="12" t="str"/>
    </x:row>
    <x:row r="44" ht="52" customHeight="1">
      <x:c r="A44" s="4" t="str">
        <x:v>5305000</x:v>
      </x:c>
      <x:c r="B44" s="4" t="str">
        <x:v>传说符文</x:v>
      </x:c>
      <x:c r="C44" s="4" t="str"/>
      <x:c r="D44" s="18" t="n">
        <x:v>409.6</x:v>
      </x:c>
      <x:c r="E44" s="18" t="n">
        <x:v>4096</x:v>
      </x:c>
      <x:c r="F44" s="4" t="str">
        <x:v>主字典</x:v>
      </x:c>
      <x:c r="G44" s="4" t="str">
        <x:v>主/道具价值表-汇总!A41:J41</x:v>
      </x:c>
      <x:c r="H44" s="4" t="str"/>
    </x:row>
    <x:row r="45" ht="52" customHeight="1">
      <x:c r="A45" s="12" t="str">
        <x:v>5306000</x:v>
      </x:c>
      <x:c r="B45" s="12" t="str">
        <x:v>神话符文</x:v>
      </x:c>
      <x:c r="C45" s="12" t="str"/>
      <x:c r="D45" s="17" t="n">
        <x:v>1638.4</x:v>
      </x:c>
      <x:c r="E45" s="17" t="n">
        <x:v>16384</x:v>
      </x:c>
      <x:c r="F45" s="12" t="str">
        <x:v>主字典</x:v>
      </x:c>
      <x:c r="G45" s="12" t="str">
        <x:v>主/道具价值表-汇总!A42:J42</x:v>
      </x:c>
      <x:c r="H45" s="12" t="str"/>
    </x:row>
    <x:row r="46" ht="52" customHeight="1">
      <x:c r="A46" s="4" t="str">
        <x:v>5307000</x:v>
      </x:c>
      <x:c r="B46" s="4" t="str">
        <x:v>创世符文</x:v>
      </x:c>
      <x:c r="C46" s="4" t="str"/>
      <x:c r="D46" s="18" t="n">
        <x:v>6553.6</x:v>
      </x:c>
      <x:c r="E46" s="18" t="n">
        <x:v>65536</x:v>
      </x:c>
      <x:c r="F46" s="4" t="str">
        <x:v>主字典</x:v>
      </x:c>
      <x:c r="G46" s="4" t="str">
        <x:v>主/道具价值表-汇总!A43:J43</x:v>
      </x:c>
      <x:c r="H46" s="4" t="str"/>
    </x:row>
    <x:row r="47" ht="52" customHeight="1">
      <x:c r="A47" s="12" t="str"/>
      <x:c r="B47" s="12" t="str">
        <x:v>自选普通符文</x:v>
      </x:c>
      <x:c r="C47" s="12" t="str"/>
      <x:c r="D47" s="17" t="n">
        <x:v>1.6</x:v>
      </x:c>
      <x:c r="E47" s="17" t="n">
        <x:v>16</x:v>
      </x:c>
      <x:c r="F47" s="12" t="str">
        <x:v>主字典</x:v>
      </x:c>
      <x:c r="G47" s="12" t="str">
        <x:v>主/道具价值表-汇总!A44:J44</x:v>
      </x:c>
      <x:c r="H47" s="12" t="str"/>
    </x:row>
    <x:row r="48" ht="52" customHeight="1">
      <x:c r="A48" s="4" t="str"/>
      <x:c r="B48" s="4" t="str">
        <x:v>自选优秀符文</x:v>
      </x:c>
      <x:c r="C48" s="4" t="str"/>
      <x:c r="D48" s="18" t="n">
        <x:v>6.4</x:v>
      </x:c>
      <x:c r="E48" s="18" t="n">
        <x:v>64</x:v>
      </x:c>
      <x:c r="F48" s="4" t="str">
        <x:v>主字典</x:v>
      </x:c>
      <x:c r="G48" s="4" t="str">
        <x:v>主/道具价值表-汇总!A45:J45</x:v>
      </x:c>
      <x:c r="H48" s="4" t="str"/>
    </x:row>
    <x:row r="49" ht="52" customHeight="1">
      <x:c r="A49" s="12" t="str"/>
      <x:c r="B49" s="12" t="str">
        <x:v>自选稀有符文</x:v>
      </x:c>
      <x:c r="C49" s="12" t="str"/>
      <x:c r="D49" s="17" t="n">
        <x:v>25.6</x:v>
      </x:c>
      <x:c r="E49" s="17" t="n">
        <x:v>256</x:v>
      </x:c>
      <x:c r="F49" s="12" t="str">
        <x:v>主字典</x:v>
      </x:c>
      <x:c r="G49" s="12" t="str">
        <x:v>主/道具价值表-汇总!A46:J46</x:v>
      </x:c>
      <x:c r="H49" s="12" t="str"/>
    </x:row>
    <x:row r="50" ht="52" customHeight="1">
      <x:c r="A50" s="4" t="str"/>
      <x:c r="B50" s="4" t="str">
        <x:v>自选史诗符文</x:v>
      </x:c>
      <x:c r="C50" s="4" t="str"/>
      <x:c r="D50" s="18" t="n">
        <x:v>102.4</x:v>
      </x:c>
      <x:c r="E50" s="18" t="n">
        <x:v>1024</x:v>
      </x:c>
      <x:c r="F50" s="4" t="str">
        <x:v>主字典</x:v>
      </x:c>
      <x:c r="G50" s="4" t="str">
        <x:v>主/道具价值表-汇总!A47:J47</x:v>
      </x:c>
      <x:c r="H50" s="4" t="str"/>
    </x:row>
    <x:row r="51" ht="52" customHeight="1">
      <x:c r="A51" s="12" t="str"/>
      <x:c r="B51" s="12" t="str">
        <x:v>自选传说符文</x:v>
      </x:c>
      <x:c r="C51" s="12" t="str"/>
      <x:c r="D51" s="17" t="n">
        <x:v>409.6</x:v>
      </x:c>
      <x:c r="E51" s="17" t="n">
        <x:v>4096</x:v>
      </x:c>
      <x:c r="F51" s="12" t="str">
        <x:v>主字典</x:v>
      </x:c>
      <x:c r="G51" s="12" t="str">
        <x:v>主/道具价值表-汇总!A48:J48</x:v>
      </x:c>
      <x:c r="H51" s="12" t="str"/>
    </x:row>
    <x:row r="52" ht="52" customHeight="1">
      <x:c r="A52" s="4" t="str"/>
      <x:c r="B52" s="4" t="str">
        <x:v>自选神话符文</x:v>
      </x:c>
      <x:c r="C52" s="4" t="str"/>
      <x:c r="D52" s="18" t="n">
        <x:v>1638.4</x:v>
      </x:c>
      <x:c r="E52" s="18" t="n">
        <x:v>16384</x:v>
      </x:c>
      <x:c r="F52" s="4" t="str">
        <x:v>主字典</x:v>
      </x:c>
      <x:c r="G52" s="4" t="str">
        <x:v>主/道具价值表-汇总!A49:J49</x:v>
      </x:c>
      <x:c r="H52" s="4" t="str"/>
    </x:row>
    <x:row r="53" ht="52" customHeight="1">
      <x:c r="A53" s="12" t="str"/>
      <x:c r="B53" s="12" t="str">
        <x:v>自选创世符文</x:v>
      </x:c>
      <x:c r="C53" s="12" t="str"/>
      <x:c r="D53" s="17" t="n">
        <x:v>6553.6</x:v>
      </x:c>
      <x:c r="E53" s="17" t="n">
        <x:v>65536</x:v>
      </x:c>
      <x:c r="F53" s="12" t="str">
        <x:v>主字典</x:v>
      </x:c>
      <x:c r="G53" s="12" t="str">
        <x:v>主/道具价值表-汇总!A50:J50</x:v>
      </x:c>
      <x:c r="H53" s="12" t="str"/>
    </x:row>
    <x:row r="54" ht="52" customHeight="1">
      <x:c r="A54" s="4" t="str"/>
      <x:c r="B54" s="4" t="str">
        <x:v>1【普通】</x:v>
      </x:c>
      <x:c r="C54" s="4" t="str">
        <x:v>紫</x:v>
      </x:c>
      <x:c r="D54" s="18"/>
      <x:c r="E54" s="18" t="n">
        <x:v>319.488817891374</x:v>
      </x:c>
      <x:c r="F54" s="4" t="str">
        <x:v>主字典</x:v>
      </x:c>
      <x:c r="G54" s="4" t="str">
        <x:v>主/道具价值表-汇总!A51:J51</x:v>
      </x:c>
      <x:c r="H54" s="4" t="str"/>
    </x:row>
    <x:row r="55" ht="52" customHeight="1">
      <x:c r="A55" s="12" t="str"/>
      <x:c r="B55" s="12" t="str">
        <x:v>2【普通】</x:v>
      </x:c>
      <x:c r="C55" s="12" t="str">
        <x:v>紫</x:v>
      </x:c>
      <x:c r="D55" s="17"/>
      <x:c r="E55" s="17" t="n">
        <x:v>319.488817891374</x:v>
      </x:c>
      <x:c r="F55" s="12" t="str">
        <x:v>主字典</x:v>
      </x:c>
      <x:c r="G55" s="12" t="str">
        <x:v>主/道具价值表-汇总!A52:J52</x:v>
      </x:c>
      <x:c r="H55" s="12" t="str"/>
    </x:row>
    <x:row r="56" ht="52" customHeight="1">
      <x:c r="A56" s="4" t="str"/>
      <x:c r="B56" s="4" t="str">
        <x:v>3【普通】</x:v>
      </x:c>
      <x:c r="C56" s="4" t="str">
        <x:v>紫</x:v>
      </x:c>
      <x:c r="D56" s="18"/>
      <x:c r="E56" s="18" t="n">
        <x:v>324.726339496151</x:v>
      </x:c>
      <x:c r="F56" s="4" t="str">
        <x:v>主字典</x:v>
      </x:c>
      <x:c r="G56" s="4" t="str">
        <x:v>主/道具价值表-汇总!A53:J53</x:v>
      </x:c>
      <x:c r="H56" s="4" t="str"/>
    </x:row>
    <x:row r="57" ht="52" customHeight="1">
      <x:c r="A57" s="12" t="str"/>
      <x:c r="B57" s="12" t="str">
        <x:v>4【专属】</x:v>
      </x:c>
      <x:c r="C57" s="12" t="str">
        <x:v>紫</x:v>
      </x:c>
      <x:c r="D57" s="17"/>
      <x:c r="E57" s="17" t="n">
        <x:v>1735.53719008264</x:v>
      </x:c>
      <x:c r="F57" s="12" t="str">
        <x:v>主字典</x:v>
      </x:c>
      <x:c r="G57" s="12" t="str">
        <x:v>主/道具价值表-汇总!A54:J54</x:v>
      </x:c>
      <x:c r="H57" s="12" t="str"/>
    </x:row>
    <x:row r="58" ht="52" customHeight="1">
      <x:c r="A58" s="4" t="str"/>
      <x:c r="B58" s="4" t="str">
        <x:v>5【稀有】</x:v>
      </x:c>
      <x:c r="C58" s="4" t="str">
        <x:v>紫</x:v>
      </x:c>
      <x:c r="D58" s="18"/>
      <x:c r="E58" s="18"/>
      <x:c r="F58" s="4" t="str">
        <x:v>主字典</x:v>
      </x:c>
      <x:c r="G58" s="4" t="str">
        <x:v>主/道具价值表-汇总!A55:J55</x:v>
      </x:c>
      <x:c r="H58" s="4" t="str">
        <x:v>缺单价，不按0估值</x:v>
      </x:c>
    </x:row>
    <x:row r="59" ht="52" customHeight="1">
      <x:c r="A59" s="12" t="str"/>
      <x:c r="B59" s="12" t="str">
        <x:v>6【宝属性】</x:v>
      </x:c>
      <x:c r="C59" s="12" t="str">
        <x:v>紫</x:v>
      </x:c>
      <x:c r="D59" s="17"/>
      <x:c r="E59" s="17" t="n">
        <x:v>29577.4647887324</x:v>
      </x:c>
      <x:c r="F59" s="12" t="str">
        <x:v>主字典</x:v>
      </x:c>
      <x:c r="G59" s="12" t="str">
        <x:v>主/道具价值表-汇总!A56:J56</x:v>
      </x:c>
      <x:c r="H59" s="12" t="str"/>
    </x:row>
    <x:row r="60" ht="52" customHeight="1">
      <x:c r="A60" s="4" t="str"/>
      <x:c r="B60" s="4" t="str">
        <x:v>8【专属】</x:v>
      </x:c>
      <x:c r="C60" s="4" t="str">
        <x:v>紫</x:v>
      </x:c>
      <x:c r="D60" s="18"/>
      <x:c r="E60" s="18"/>
      <x:c r="F60" s="4" t="str">
        <x:v>主字典</x:v>
      </x:c>
      <x:c r="G60" s="4" t="str">
        <x:v>主/道具价值表-汇总!A57:J57</x:v>
      </x:c>
      <x:c r="H60" s="4" t="str">
        <x:v>缺单价，不按0估值</x:v>
      </x:c>
    </x:row>
    <x:row r="61" ht="52" customHeight="1">
      <x:c r="A61" s="12" t="str"/>
      <x:c r="B61" s="12" t="str">
        <x:v>1【普通】</x:v>
      </x:c>
      <x:c r="C61" s="12" t="str">
        <x:v>橙</x:v>
      </x:c>
      <x:c r="D61" s="17"/>
      <x:c r="E61" s="17" t="n">
        <x:v>305.084745762712</x:v>
      </x:c>
      <x:c r="F61" s="12" t="str">
        <x:v>主字典</x:v>
      </x:c>
      <x:c r="G61" s="12" t="str">
        <x:v>主/道具价值表-汇总!A58:J58</x:v>
      </x:c>
      <x:c r="H61" s="12" t="str"/>
    </x:row>
    <x:row r="62" ht="52" customHeight="1">
      <x:c r="A62" s="4" t="str"/>
      <x:c r="B62" s="4" t="str">
        <x:v>2【普通】</x:v>
      </x:c>
      <x:c r="C62" s="4" t="str">
        <x:v>橙</x:v>
      </x:c>
      <x:c r="D62" s="18"/>
      <x:c r="E62" s="18" t="n">
        <x:v>305.084745762712</x:v>
      </x:c>
      <x:c r="F62" s="4" t="str">
        <x:v>主字典</x:v>
      </x:c>
      <x:c r="G62" s="4" t="str">
        <x:v>主/道具价值表-汇总!A59:J59</x:v>
      </x:c>
      <x:c r="H62" s="4" t="str"/>
    </x:row>
    <x:row r="63" ht="52" customHeight="1">
      <x:c r="A63" s="12" t="str"/>
      <x:c r="B63" s="12" t="str">
        <x:v>3【普通】</x:v>
      </x:c>
      <x:c r="C63" s="12" t="str">
        <x:v>橙</x:v>
      </x:c>
      <x:c r="D63" s="17"/>
      <x:c r="E63" s="17" t="n">
        <x:v>268.348623853211</x:v>
      </x:c>
      <x:c r="F63" s="12" t="str">
        <x:v>主字典</x:v>
      </x:c>
      <x:c r="G63" s="12" t="str">
        <x:v>主/道具价值表-汇总!A60:J60</x:v>
      </x:c>
      <x:c r="H63" s="12" t="str"/>
    </x:row>
    <x:row r="64" ht="52" customHeight="1">
      <x:c r="A64" s="4" t="str"/>
      <x:c r="B64" s="4" t="str">
        <x:v>4【专属】</x:v>
      </x:c>
      <x:c r="C64" s="4" t="str">
        <x:v>橙</x:v>
      </x:c>
      <x:c r="D64" s="18"/>
      <x:c r="E64" s="18" t="n">
        <x:v>2600</x:v>
      </x:c>
      <x:c r="F64" s="4" t="str">
        <x:v>主字典</x:v>
      </x:c>
      <x:c r="G64" s="4" t="str">
        <x:v>主/道具价值表-汇总!A61:J61</x:v>
      </x:c>
      <x:c r="H64" s="4" t="str"/>
    </x:row>
    <x:row r="65" ht="52" customHeight="1">
      <x:c r="A65" s="12" t="str"/>
      <x:c r="B65" s="12" t="str">
        <x:v>5【稀有】</x:v>
      </x:c>
      <x:c r="C65" s="12" t="str">
        <x:v>橙</x:v>
      </x:c>
      <x:c r="D65" s="17"/>
      <x:c r="E65" s="17" t="n">
        <x:v>4000</x:v>
      </x:c>
      <x:c r="F65" s="12" t="str">
        <x:v>主字典</x:v>
      </x:c>
      <x:c r="G65" s="12" t="str">
        <x:v>主/道具价值表-汇总!A62:J62</x:v>
      </x:c>
      <x:c r="H65" s="12" t="str"/>
    </x:row>
    <x:row r="66" ht="52" customHeight="1">
      <x:c r="A66" s="4" t="str"/>
      <x:c r="B66" s="4" t="str">
        <x:v>6【宝属性】</x:v>
      </x:c>
      <x:c r="C66" s="4" t="str">
        <x:v>橙</x:v>
      </x:c>
      <x:c r="D66" s="18"/>
      <x:c r="E66" s="18" t="n">
        <x:v>12857.1428571429</x:v>
      </x:c>
      <x:c r="F66" s="4" t="str">
        <x:v>主字典</x:v>
      </x:c>
      <x:c r="G66" s="4" t="str">
        <x:v>主/道具价值表-汇总!A63:J63</x:v>
      </x:c>
      <x:c r="H66" s="4" t="str"/>
    </x:row>
    <x:row r="67" ht="52" customHeight="1">
      <x:c r="A67" s="12" t="str"/>
      <x:c r="B67" s="12" t="str">
        <x:v>8【专属】</x:v>
      </x:c>
      <x:c r="C67" s="12" t="str">
        <x:v>橙</x:v>
      </x:c>
      <x:c r="D67" s="17"/>
      <x:c r="E67" s="17" t="n">
        <x:v>8571.42857142857</x:v>
      </x:c>
      <x:c r="F67" s="12" t="str">
        <x:v>主字典</x:v>
      </x:c>
      <x:c r="G67" s="12" t="str">
        <x:v>主/道具价值表-汇总!A64:J64</x:v>
      </x:c>
      <x:c r="H67" s="12" t="str"/>
    </x:row>
    <x:row r="68" ht="52" customHeight="1">
      <x:c r="A68" s="4" t="str"/>
      <x:c r="B68" s="4" t="str">
        <x:v>1【普通】</x:v>
      </x:c>
      <x:c r="C68" s="4" t="str">
        <x:v>红</x:v>
      </x:c>
      <x:c r="D68" s="18"/>
      <x:c r="E68" s="18" t="n">
        <x:v>610.169491525424</x:v>
      </x:c>
      <x:c r="F68" s="4" t="str">
        <x:v>主字典</x:v>
      </x:c>
      <x:c r="G68" s="4" t="str">
        <x:v>主/道具价值表-汇总!A65:J65</x:v>
      </x:c>
      <x:c r="H68" s="4" t="str"/>
    </x:row>
    <x:row r="69" ht="52" customHeight="1">
      <x:c r="A69" s="12" t="str"/>
      <x:c r="B69" s="12" t="str">
        <x:v>2【普通】</x:v>
      </x:c>
      <x:c r="C69" s="12" t="str">
        <x:v>红</x:v>
      </x:c>
      <x:c r="D69" s="17"/>
      <x:c r="E69" s="17" t="n">
        <x:v>610.169491525424</x:v>
      </x:c>
      <x:c r="F69" s="12" t="str">
        <x:v>主字典</x:v>
      </x:c>
      <x:c r="G69" s="12" t="str">
        <x:v>主/道具价值表-汇总!A66:J66</x:v>
      </x:c>
      <x:c r="H69" s="12" t="str"/>
    </x:row>
    <x:row r="70" ht="52" customHeight="1">
      <x:c r="A70" s="4" t="str"/>
      <x:c r="B70" s="4" t="str">
        <x:v>3【普通】</x:v>
      </x:c>
      <x:c r="C70" s="4" t="str">
        <x:v>红</x:v>
      </x:c>
      <x:c r="D70" s="18"/>
      <x:c r="E70" s="18" t="n">
        <x:v>536.697247706422</x:v>
      </x:c>
      <x:c r="F70" s="4" t="str">
        <x:v>主字典</x:v>
      </x:c>
      <x:c r="G70" s="4" t="str">
        <x:v>主/道具价值表-汇总!A67:J67</x:v>
      </x:c>
      <x:c r="H70" s="4" t="str"/>
    </x:row>
    <x:row r="71" ht="52" customHeight="1">
      <x:c r="A71" s="12" t="str"/>
      <x:c r="B71" s="12" t="str">
        <x:v>4【专属】</x:v>
      </x:c>
      <x:c r="C71" s="12" t="str">
        <x:v>红</x:v>
      </x:c>
      <x:c r="D71" s="17"/>
      <x:c r="E71" s="17" t="n">
        <x:v>5200</x:v>
      </x:c>
      <x:c r="F71" s="12" t="str">
        <x:v>主字典</x:v>
      </x:c>
      <x:c r="G71" s="12" t="str">
        <x:v>主/道具价值表-汇总!A68:J68</x:v>
      </x:c>
      <x:c r="H71" s="12" t="str"/>
    </x:row>
    <x:row r="72" ht="52" customHeight="1">
      <x:c r="A72" s="4" t="str"/>
      <x:c r="B72" s="4" t="str">
        <x:v>5【稀有】</x:v>
      </x:c>
      <x:c r="C72" s="4" t="str">
        <x:v>红</x:v>
      </x:c>
      <x:c r="D72" s="18"/>
      <x:c r="E72" s="18" t="n">
        <x:v>8000</x:v>
      </x:c>
      <x:c r="F72" s="4" t="str">
        <x:v>主字典</x:v>
      </x:c>
      <x:c r="G72" s="4" t="str">
        <x:v>主/道具价值表-汇总!A69:J69</x:v>
      </x:c>
      <x:c r="H72" s="4" t="str"/>
    </x:row>
    <x:row r="73" ht="52" customHeight="1">
      <x:c r="A73" s="12" t="str"/>
      <x:c r="B73" s="12" t="str">
        <x:v>6【宝属性】</x:v>
      </x:c>
      <x:c r="C73" s="12" t="str">
        <x:v>红</x:v>
      </x:c>
      <x:c r="D73" s="17"/>
      <x:c r="E73" s="17" t="n">
        <x:v>25714.2857142857</x:v>
      </x:c>
      <x:c r="F73" s="12" t="str">
        <x:v>主字典</x:v>
      </x:c>
      <x:c r="G73" s="12" t="str">
        <x:v>主/道具价值表-汇总!A70:J70</x:v>
      </x:c>
      <x:c r="H73" s="12" t="str"/>
    </x:row>
    <x:row r="74" ht="52" customHeight="1">
      <x:c r="A74" s="4" t="str"/>
      <x:c r="B74" s="4" t="str">
        <x:v>8【专属】</x:v>
      </x:c>
      <x:c r="C74" s="4" t="str">
        <x:v>红</x:v>
      </x:c>
      <x:c r="D74" s="18"/>
      <x:c r="E74" s="18" t="n">
        <x:v>17142.8571428571</x:v>
      </x:c>
      <x:c r="F74" s="4" t="str">
        <x:v>主字典</x:v>
      </x:c>
      <x:c r="G74" s="4" t="str">
        <x:v>主/道具价值表-汇总!A71:J71</x:v>
      </x:c>
      <x:c r="H74" s="4" t="str"/>
    </x:row>
    <x:row r="75" ht="52" customHeight="1">
      <x:c r="A75" s="12" t="str"/>
      <x:c r="B75" s="12" t="str">
        <x:v>1【普通】</x:v>
      </x:c>
      <x:c r="C75" s="12" t="str">
        <x:v>粉</x:v>
      </x:c>
      <x:c r="D75" s="17"/>
      <x:c r="E75" s="17" t="n">
        <x:v>1016.94915254237</x:v>
      </x:c>
      <x:c r="F75" s="12" t="str">
        <x:v>主字典</x:v>
      </x:c>
      <x:c r="G75" s="12" t="str">
        <x:v>主/道具价值表-汇总!A72:J72</x:v>
      </x:c>
      <x:c r="H75" s="12" t="str"/>
    </x:row>
    <x:row r="76" ht="52" customHeight="1">
      <x:c r="A76" s="4" t="str"/>
      <x:c r="B76" s="4" t="str">
        <x:v>2【普通】</x:v>
      </x:c>
      <x:c r="C76" s="4" t="str">
        <x:v>粉</x:v>
      </x:c>
      <x:c r="D76" s="18"/>
      <x:c r="E76" s="18" t="n">
        <x:v>1016.94915254237</x:v>
      </x:c>
      <x:c r="F76" s="4" t="str">
        <x:v>主字典</x:v>
      </x:c>
      <x:c r="G76" s="4" t="str">
        <x:v>主/道具价值表-汇总!A73:J73</x:v>
      </x:c>
      <x:c r="H76" s="4" t="str"/>
    </x:row>
    <x:row r="77" ht="52" customHeight="1">
      <x:c r="A77" s="12" t="str"/>
      <x:c r="B77" s="12" t="str">
        <x:v>3【普通】</x:v>
      </x:c>
      <x:c r="C77" s="12" t="str">
        <x:v>粉</x:v>
      </x:c>
      <x:c r="D77" s="17"/>
      <x:c r="E77" s="17" t="n">
        <x:v>894.495412844037</x:v>
      </x:c>
      <x:c r="F77" s="12" t="str">
        <x:v>主字典</x:v>
      </x:c>
      <x:c r="G77" s="12" t="str">
        <x:v>主/道具价值表-汇总!A74:J74</x:v>
      </x:c>
      <x:c r="H77" s="12" t="str"/>
    </x:row>
    <x:row r="78" ht="52" customHeight="1">
      <x:c r="A78" s="4" t="str"/>
      <x:c r="B78" s="4" t="str">
        <x:v>4【专属】</x:v>
      </x:c>
      <x:c r="C78" s="4" t="str">
        <x:v>粉</x:v>
      </x:c>
      <x:c r="D78" s="18"/>
      <x:c r="E78" s="18" t="n">
        <x:v>8666.66666666667</x:v>
      </x:c>
      <x:c r="F78" s="4" t="str">
        <x:v>主字典</x:v>
      </x:c>
      <x:c r="G78" s="4" t="str">
        <x:v>主/道具价值表-汇总!A75:J75</x:v>
      </x:c>
      <x:c r="H78" s="4" t="str"/>
    </x:row>
    <x:row r="79" ht="52" customHeight="1">
      <x:c r="A79" s="12" t="str"/>
      <x:c r="B79" s="12" t="str">
        <x:v>5【稀有】</x:v>
      </x:c>
      <x:c r="C79" s="12" t="str">
        <x:v>粉</x:v>
      </x:c>
      <x:c r="D79" s="17"/>
      <x:c r="E79" s="17" t="n">
        <x:v>13333.3333333333</x:v>
      </x:c>
      <x:c r="F79" s="12" t="str">
        <x:v>主字典</x:v>
      </x:c>
      <x:c r="G79" s="12" t="str">
        <x:v>主/道具价值表-汇总!A76:J76</x:v>
      </x:c>
      <x:c r="H79" s="12" t="str"/>
    </x:row>
    <x:row r="80" ht="52" customHeight="1">
      <x:c r="A80" s="4" t="str"/>
      <x:c r="B80" s="4" t="str">
        <x:v>6【宝属性】</x:v>
      </x:c>
      <x:c r="C80" s="4" t="str">
        <x:v>粉</x:v>
      </x:c>
      <x:c r="D80" s="18"/>
      <x:c r="E80" s="18" t="n">
        <x:v>42857.1428571429</x:v>
      </x:c>
      <x:c r="F80" s="4" t="str">
        <x:v>主字典</x:v>
      </x:c>
      <x:c r="G80" s="4" t="str">
        <x:v>主/道具价值表-汇总!A77:J77</x:v>
      </x:c>
      <x:c r="H80" s="4" t="str"/>
    </x:row>
    <x:row r="81" ht="52" customHeight="1">
      <x:c r="A81" s="12" t="str"/>
      <x:c r="B81" s="12" t="str">
        <x:v>8【专属】</x:v>
      </x:c>
      <x:c r="C81" s="12" t="str">
        <x:v>粉</x:v>
      </x:c>
      <x:c r="D81" s="17"/>
      <x:c r="E81" s="17" t="n">
        <x:v>28571.4285714286</x:v>
      </x:c>
      <x:c r="F81" s="12" t="str">
        <x:v>主字典</x:v>
      </x:c>
      <x:c r="G81" s="12" t="str">
        <x:v>主/道具价值表-汇总!A78:J78</x:v>
      </x:c>
      <x:c r="H81" s="12" t="str"/>
    </x:row>
    <x:row r="82" ht="52" customHeight="1">
      <x:c r="A82" s="4" t="str"/>
      <x:c r="B82" s="4" t="str">
        <x:v>传说英雄随机珍稀符文</x:v>
      </x:c>
      <x:c r="C82" s="4" t="str"/>
      <x:c r="D82" s="18" t="n">
        <x:v>70</x:v>
      </x:c>
      <x:c r="E82" s="18" t="n">
        <x:v>700</x:v>
      </x:c>
      <x:c r="F82" s="4" t="str">
        <x:v>主字典</x:v>
      </x:c>
      <x:c r="G82" s="4" t="str">
        <x:v>主/道具价值表-汇总!A79:J79</x:v>
      </x:c>
      <x:c r="H82" s="4" t="str"/>
    </x:row>
    <x:row r="83" ht="52" customHeight="1">
      <x:c r="A83" s="12" t="str"/>
      <x:c r="B83" s="12" t="str">
        <x:v>传说英雄随机稀世符文</x:v>
      </x:c>
      <x:c r="C83" s="12" t="str"/>
      <x:c r="D83" s="17" t="n">
        <x:v>250</x:v>
      </x:c>
      <x:c r="E83" s="17" t="n">
        <x:v>2500</x:v>
      </x:c>
      <x:c r="F83" s="12" t="str">
        <x:v>主字典</x:v>
      </x:c>
      <x:c r="G83" s="12" t="str">
        <x:v>主/道具价值表-汇总!A80:J80</x:v>
      </x:c>
      <x:c r="H83" s="12" t="str"/>
    </x:row>
    <x:row r="84" ht="52" customHeight="1">
      <x:c r="A84" s="4" t="str"/>
      <x:c r="B84" s="4" t="str">
        <x:v>绝世英雄传说随机专属符文</x:v>
      </x:c>
      <x:c r="C84" s="4" t="str"/>
      <x:c r="D84" s="18" t="n">
        <x:v>300</x:v>
      </x:c>
      <x:c r="E84" s="18" t="n">
        <x:v>3000</x:v>
      </x:c>
      <x:c r="F84" s="4" t="str">
        <x:v>主字典</x:v>
      </x:c>
      <x:c r="G84" s="4" t="str">
        <x:v>主/道具价值表-汇总!A81:J81</x:v>
      </x:c>
      <x:c r="H84" s="4" t="str"/>
    </x:row>
    <x:row r="85" ht="52" customHeight="1">
      <x:c r="A85" s="12" t="str"/>
      <x:c r="B85" s="12" t="str">
        <x:v>绝世英雄神话随机专属符文</x:v>
      </x:c>
      <x:c r="C85" s="12" t="str"/>
      <x:c r="D85" s="17" t="n">
        <x:v>600</x:v>
      </x:c>
      <x:c r="E85" s="17" t="n">
        <x:v>6000</x:v>
      </x:c>
      <x:c r="F85" s="12" t="str">
        <x:v>主字典</x:v>
      </x:c>
      <x:c r="G85" s="12" t="str">
        <x:v>主/道具价值表-汇总!A82:J82</x:v>
      </x:c>
      <x:c r="H85" s="12" t="str"/>
    </x:row>
    <x:row r="86" ht="52" customHeight="1">
      <x:c r="A86" s="4" t="str">
        <x:v>5304000</x:v>
      </x:c>
      <x:c r="B86" s="4" t="str">
        <x:v>史诗符文</x:v>
      </x:c>
      <x:c r="C86" s="4" t="str">
        <x:v>紫</x:v>
      </x:c>
      <x:c r="D86" s="18" t="n">
        <x:v>102.4</x:v>
      </x:c>
      <x:c r="E86" s="18" t="n">
        <x:v>1024</x:v>
      </x:c>
      <x:c r="F86" s="4" t="str">
        <x:v>主字典</x:v>
      </x:c>
      <x:c r="G86" s="4" t="str">
        <x:v>主/道具价值表-汇总!A83:J83</x:v>
      </x:c>
      <x:c r="H86" s="4" t="str"/>
    </x:row>
    <x:row r="87" ht="52" customHeight="1">
      <x:c r="A87" s="12" t="str">
        <x:v>62</x:v>
      </x:c>
      <x:c r="B87" s="12" t="str">
        <x:v>智械发条</x:v>
      </x:c>
      <x:c r="C87" s="12" t="str">
        <x:v>橙</x:v>
      </x:c>
      <x:c r="D87" s="17" t="n">
        <x:v>15</x:v>
      </x:c>
      <x:c r="E87" s="17" t="n">
        <x:v>150</x:v>
      </x:c>
      <x:c r="F87" s="12" t="str">
        <x:v>主字典</x:v>
      </x:c>
      <x:c r="G87" s="12" t="str">
        <x:v>主/道具价值表-汇总!A84:J84</x:v>
      </x:c>
      <x:c r="H87" s="12" t="str"/>
    </x:row>
    <x:row r="88" ht="52" customHeight="1">
      <x:c r="A88" s="4" t="str">
        <x:v>63</x:v>
      </x:c>
      <x:c r="B88" s="4" t="str">
        <x:v>精密齿轮</x:v>
      </x:c>
      <x:c r="C88" s="4" t="str">
        <x:v>紫</x:v>
      </x:c>
      <x:c r="D88" s="18" t="n">
        <x:v>0.1</x:v>
      </x:c>
      <x:c r="E88" s="18" t="n">
        <x:v>1</x:v>
      </x:c>
      <x:c r="F88" s="4" t="str">
        <x:v>主字典</x:v>
      </x:c>
      <x:c r="G88" s="4" t="str">
        <x:v>主/道具价值表-汇总!A85:J85</x:v>
      </x:c>
      <x:c r="H88" s="4" t="str"/>
    </x:row>
    <x:row r="89" ht="52" customHeight="1">
      <x:c r="A89" s="12" t="str">
        <x:v>6030001</x:v>
      </x:c>
      <x:c r="B89" s="12" t="str">
        <x:v>随机史诗零件碎片</x:v>
      </x:c>
      <x:c r="C89" s="12" t="str">
        <x:v>紫</x:v>
      </x:c>
      <x:c r="D89" s="17" t="n">
        <x:v>20</x:v>
      </x:c>
      <x:c r="E89" s="17" t="n">
        <x:v>200</x:v>
      </x:c>
      <x:c r="F89" s="12" t="str">
        <x:v>主字典</x:v>
      </x:c>
      <x:c r="G89" s="12" t="str">
        <x:v>主/道具价值表-汇总!A86:J86</x:v>
      </x:c>
      <x:c r="H89" s="12" t="str"/>
    </x:row>
    <x:row r="90" ht="52" customHeight="1">
      <x:c r="A90" s="4" t="str">
        <x:v>6030002</x:v>
      </x:c>
      <x:c r="B90" s="4" t="str">
        <x:v>随机传说零件碎片</x:v>
      </x:c>
      <x:c r="C90" s="4" t="str">
        <x:v>橙</x:v>
      </x:c>
      <x:c r="D90" s="18" t="n">
        <x:v>40</x:v>
      </x:c>
      <x:c r="E90" s="18" t="n">
        <x:v>400</x:v>
      </x:c>
      <x:c r="F90" s="4" t="str">
        <x:v>主字典</x:v>
      </x:c>
      <x:c r="G90" s="4" t="str">
        <x:v>主/道具价值表-汇总!A87:J87</x:v>
      </x:c>
      <x:c r="H90" s="4" t="str"/>
    </x:row>
    <x:row r="91" ht="52" customHeight="1">
      <x:c r="A91" s="12" t="str">
        <x:v>6030003</x:v>
      </x:c>
      <x:c r="B91" s="12" t="str">
        <x:v>随机神话零件碎片</x:v>
      </x:c>
      <x:c r="C91" s="12" t="str">
        <x:v>红</x:v>
      </x:c>
      <x:c r="D91" s="17" t="n">
        <x:v>80</x:v>
      </x:c>
      <x:c r="E91" s="17" t="n">
        <x:v>800</x:v>
      </x:c>
      <x:c r="F91" s="12" t="str">
        <x:v>主字典</x:v>
      </x:c>
      <x:c r="G91" s="12" t="str">
        <x:v>主/道具价值表-汇总!A88:J88</x:v>
      </x:c>
      <x:c r="H91" s="12" t="str"/>
    </x:row>
    <x:row r="92" ht="52" customHeight="1">
      <x:c r="A92" s="4" t="str">
        <x:v>6030004</x:v>
      </x:c>
      <x:c r="B92" s="4" t="str">
        <x:v>随机创世零件碎片</x:v>
      </x:c>
      <x:c r="C92" s="4" t="str">
        <x:v>粉</x:v>
      </x:c>
      <x:c r="D92" s="18" t="n">
        <x:v>160</x:v>
      </x:c>
      <x:c r="E92" s="18" t="n">
        <x:v>1600</x:v>
      </x:c>
      <x:c r="F92" s="4" t="str">
        <x:v>主字典</x:v>
      </x:c>
      <x:c r="G92" s="4" t="str">
        <x:v>主/道具价值表-汇总!A89:J89</x:v>
      </x:c>
      <x:c r="H92" s="4" t="str"/>
    </x:row>
    <x:row r="93" ht="52" customHeight="1">
      <x:c r="A93" s="12" t="str">
        <x:v>6040001</x:v>
      </x:c>
      <x:c r="B93" s="12" t="str">
        <x:v>随机史诗零件</x:v>
      </x:c>
      <x:c r="C93" s="12" t="str"/>
      <x:c r="D93" s="17" t="n">
        <x:v>200</x:v>
      </x:c>
      <x:c r="E93" s="17" t="n">
        <x:v>2000</x:v>
      </x:c>
      <x:c r="F93" s="12" t="str">
        <x:v>主字典</x:v>
      </x:c>
      <x:c r="G93" s="12" t="str">
        <x:v>主/道具价值表-汇总!A90:J90</x:v>
      </x:c>
      <x:c r="H93" s="12" t="str"/>
    </x:row>
    <x:row r="94" ht="52" customHeight="1">
      <x:c r="A94" s="4" t="str">
        <x:v>6040002</x:v>
      </x:c>
      <x:c r="B94" s="4" t="str">
        <x:v>随机传说零件</x:v>
      </x:c>
      <x:c r="C94" s="4" t="str"/>
      <x:c r="D94" s="18" t="n">
        <x:v>400</x:v>
      </x:c>
      <x:c r="E94" s="18" t="n">
        <x:v>4000</x:v>
      </x:c>
      <x:c r="F94" s="4" t="str">
        <x:v>主字典</x:v>
      </x:c>
      <x:c r="G94" s="4" t="str">
        <x:v>主/道具价值表-汇总!A91:J91</x:v>
      </x:c>
      <x:c r="H94" s="4" t="str"/>
    </x:row>
    <x:row r="95" ht="52" customHeight="1">
      <x:c r="A95" s="12" t="str">
        <x:v>6040003</x:v>
      </x:c>
      <x:c r="B95" s="12" t="str">
        <x:v>随机神话零件</x:v>
      </x:c>
      <x:c r="C95" s="12" t="str"/>
      <x:c r="D95" s="17" t="n">
        <x:v>800</x:v>
      </x:c>
      <x:c r="E95" s="17" t="n">
        <x:v>8000</x:v>
      </x:c>
      <x:c r="F95" s="12" t="str">
        <x:v>主字典</x:v>
      </x:c>
      <x:c r="G95" s="12" t="str">
        <x:v>主/道具价值表-汇总!A92:J92</x:v>
      </x:c>
      <x:c r="H95" s="12" t="str"/>
    </x:row>
    <x:row r="96" ht="52" customHeight="1">
      <x:c r="A96" s="4" t="str">
        <x:v>6040004</x:v>
      </x:c>
      <x:c r="B96" s="4" t="str">
        <x:v>随机创世零件</x:v>
      </x:c>
      <x:c r="C96" s="4" t="str"/>
      <x:c r="D96" s="18" t="n">
        <x:v>1600</x:v>
      </x:c>
      <x:c r="E96" s="18" t="n">
        <x:v>16000</x:v>
      </x:c>
      <x:c r="F96" s="4" t="str">
        <x:v>主字典</x:v>
      </x:c>
      <x:c r="G96" s="4" t="str">
        <x:v>主/道具价值表-汇总!A93:J93</x:v>
      </x:c>
      <x:c r="H96" s="4" t="str"/>
    </x:row>
    <x:row r="97" ht="52" customHeight="1">
      <x:c r="A97" s="12" t="str">
        <x:v>6110030</x:v>
      </x:c>
      <x:c r="B97" s="12" t="str">
        <x:v>织梦捕星机</x:v>
      </x:c>
      <x:c r="C97" s="12" t="str">
        <x:v>红</x:v>
      </x:c>
      <x:c r="D97" s="17" t="n">
        <x:v>1200</x:v>
      </x:c>
      <x:c r="E97" s="17" t="n">
        <x:v>12000</x:v>
      </x:c>
      <x:c r="F97" s="12" t="str">
        <x:v>主字典</x:v>
      </x:c>
      <x:c r="G97" s="12" t="str">
        <x:v>主/道具价值表-汇总!A94:J94</x:v>
      </x:c>
      <x:c r="H97" s="12" t="str"/>
    </x:row>
    <x:row r="98" ht="52" customHeight="1">
      <x:c r="A98" s="4" t="str">
        <x:v>5523002</x:v>
      </x:c>
      <x:c r="B98" s="4" t="str">
        <x:v>转运石</x:v>
      </x:c>
      <x:c r="C98" s="4" t="str">
        <x:v>紫</x:v>
      </x:c>
      <x:c r="D98" s="18" t="n">
        <x:v>0.033</x:v>
      </x:c>
      <x:c r="E98" s="18" t="n">
        <x:v>0.33</x:v>
      </x:c>
      <x:c r="F98" s="4" t="str">
        <x:v>主字典</x:v>
      </x:c>
      <x:c r="G98" s="4" t="str">
        <x:v>主/道具价值表-汇总!A95:J95</x:v>
      </x:c>
      <x:c r="H98" s="4" t="str"/>
    </x:row>
    <x:row r="99" ht="52" customHeight="1">
      <x:c r="A99" s="12" t="str">
        <x:v>100086</x:v>
      </x:c>
      <x:c r="B99" s="12" t="str">
        <x:v>自选传说秘宝皮肤</x:v>
      </x:c>
      <x:c r="C99" s="12" t="str"/>
      <x:c r="D99" s="17" t="n">
        <x:v>600</x:v>
      </x:c>
      <x:c r="E99" s="17" t="n">
        <x:v>6000</x:v>
      </x:c>
      <x:c r="F99" s="12" t="str">
        <x:v>主字典</x:v>
      </x:c>
      <x:c r="G99" s="12" t="str">
        <x:v>主/道具价值表-汇总!A96:J96</x:v>
      </x:c>
      <x:c r="H99" s="12" t="str"/>
    </x:row>
    <x:row r="100" ht="52" customHeight="1">
      <x:c r="A100" s="4" t="str"/>
      <x:c r="B100" s="4" t="str">
        <x:v>自选神话秘宝皮肤</x:v>
      </x:c>
      <x:c r="C100" s="4" t="str"/>
      <x:c r="D100" s="18" t="n">
        <x:v>1200</x:v>
      </x:c>
      <x:c r="E100" s="18" t="n">
        <x:v>12000</x:v>
      </x:c>
      <x:c r="F100" s="4" t="str">
        <x:v>主字典</x:v>
      </x:c>
      <x:c r="G100" s="4" t="str">
        <x:v>主/道具价值表-汇总!A97:J97</x:v>
      </x:c>
      <x:c r="H100" s="4" t="str"/>
    </x:row>
    <x:row r="101" ht="52" customHeight="1">
      <x:c r="A101" s="12" t="str">
        <x:v>11</x:v>
      </x:c>
      <x:c r="B101" s="12" t="str">
        <x:v>梦境招募器</x:v>
      </x:c>
      <x:c r="C101" s="12" t="str">
        <x:v>紫</x:v>
      </x:c>
      <x:c r="D101" s="17" t="n">
        <x:v>3</x:v>
      </x:c>
      <x:c r="E101" s="17" t="n">
        <x:v>30</x:v>
      </x:c>
      <x:c r="F101" s="12" t="str">
        <x:v>主字典</x:v>
      </x:c>
      <x:c r="G101" s="12" t="str">
        <x:v>主/道具价值表-汇总!A98:J98</x:v>
      </x:c>
      <x:c r="H101" s="12" t="str"/>
    </x:row>
    <x:row r="102" ht="52" customHeight="1">
      <x:c r="A102" s="4" t="str">
        <x:v>35</x:v>
      </x:c>
      <x:c r="B102" s="4" t="str">
        <x:v>梦愿水晶</x:v>
      </x:c>
      <x:c r="C102" s="4" t="str">
        <x:v>橙</x:v>
      </x:c>
      <x:c r="D102" s="18" t="n">
        <x:v>60</x:v>
      </x:c>
      <x:c r="E102" s="18" t="n">
        <x:v>600</x:v>
      </x:c>
      <x:c r="F102" s="4" t="str">
        <x:v>主字典</x:v>
      </x:c>
      <x:c r="G102" s="4" t="str">
        <x:v>主/道具价值表-汇总!A99:J99</x:v>
      </x:c>
      <x:c r="H102" s="4" t="str"/>
    </x:row>
    <x:row r="103" ht="52" customHeight="1">
      <x:c r="A103" s="12" t="str">
        <x:v>9</x:v>
      </x:c>
      <x:c r="B103" s="12" t="str">
        <x:v>星之初愿</x:v>
      </x:c>
      <x:c r="C103" s="12" t="str">
        <x:v>紫</x:v>
      </x:c>
      <x:c r="D103" s="17" t="n">
        <x:v>5</x:v>
      </x:c>
      <x:c r="E103" s="17" t="n">
        <x:v>50</x:v>
      </x:c>
      <x:c r="F103" s="12" t="str">
        <x:v>主字典</x:v>
      </x:c>
      <x:c r="G103" s="12" t="str">
        <x:v>主/道具价值表-汇总!A100:J100</x:v>
      </x:c>
      <x:c r="H103" s="12" t="str"/>
    </x:row>
    <x:row r="104" ht="52" customHeight="1">
      <x:c r="A104" s="4" t="str">
        <x:v>30</x:v>
      </x:c>
      <x:c r="B104" s="4" t="str">
        <x:v>星辉秘契</x:v>
      </x:c>
      <x:c r="C104" s="4" t="str">
        <x:v>橙</x:v>
      </x:c>
      <x:c r="D104" s="18" t="n">
        <x:v>28</x:v>
      </x:c>
      <x:c r="E104" s="18" t="n">
        <x:v>280</x:v>
      </x:c>
      <x:c r="F104" s="4" t="str">
        <x:v>主字典</x:v>
      </x:c>
      <x:c r="G104" s="4" t="str">
        <x:v>主/道具价值表-汇总!A101:J101</x:v>
      </x:c>
      <x:c r="H104" s="4" t="str"/>
    </x:row>
    <x:row r="105" ht="52" customHeight="1">
      <x:c r="A105" s="12" t="str"/>
      <x:c r="B105" s="12" t="str">
        <x:v>月度活动抽奖券</x:v>
      </x:c>
      <x:c r="C105" s="12" t="str"/>
      <x:c r="D105" s="17" t="n">
        <x:v>10</x:v>
      </x:c>
      <x:c r="E105" s="17" t="n">
        <x:v>100</x:v>
      </x:c>
      <x:c r="F105" s="12" t="str">
        <x:v>主字典</x:v>
      </x:c>
      <x:c r="G105" s="12" t="str">
        <x:v>主/道具价值表-汇总!A102:J102</x:v>
      </x:c>
      <x:c r="H105" s="12" t="str"/>
    </x:row>
    <x:row r="106" ht="52" customHeight="1">
      <x:c r="A106" s="4" t="str"/>
      <x:c r="B106" s="4" t="str">
        <x:v>自选史诗梦灵皮肤</x:v>
      </x:c>
      <x:c r="C106" s="4" t="str"/>
      <x:c r="D106" s="18" t="n">
        <x:v>150</x:v>
      </x:c>
      <x:c r="E106" s="18" t="n">
        <x:v>1500</x:v>
      </x:c>
      <x:c r="F106" s="4" t="str">
        <x:v>主字典</x:v>
      </x:c>
      <x:c r="G106" s="4" t="str">
        <x:v>主/道具价值表-汇总!A103:J103</x:v>
      </x:c>
      <x:c r="H106" s="4" t="str"/>
    </x:row>
    <x:row r="107" ht="52" customHeight="1">
      <x:c r="A107" s="12" t="str"/>
      <x:c r="B107" s="12" t="str">
        <x:v>自选传说梦灵皮肤</x:v>
      </x:c>
      <x:c r="C107" s="12" t="str"/>
      <x:c r="D107" s="17" t="n">
        <x:v>400</x:v>
      </x:c>
      <x:c r="E107" s="17" t="n">
        <x:v>4000</x:v>
      </x:c>
      <x:c r="F107" s="12" t="str">
        <x:v>主字典</x:v>
      </x:c>
      <x:c r="G107" s="12" t="str">
        <x:v>主/道具价值表-汇总!A104:J104</x:v>
      </x:c>
      <x:c r="H107" s="12" t="str"/>
    </x:row>
    <x:row r="108" ht="52" customHeight="1">
      <x:c r="A108" s="4" t="str"/>
      <x:c r="B108" s="4" t="str">
        <x:v>自选神话梦灵皮肤</x:v>
      </x:c>
      <x:c r="C108" s="4" t="str"/>
      <x:c r="D108" s="18" t="n">
        <x:v>800</x:v>
      </x:c>
      <x:c r="E108" s="18" t="n">
        <x:v>8000</x:v>
      </x:c>
      <x:c r="F108" s="4" t="str">
        <x:v>主字典</x:v>
      </x:c>
      <x:c r="G108" s="4" t="str">
        <x:v>主/道具价值表-汇总!A105:J105</x:v>
      </x:c>
      <x:c r="H108" s="4" t="str"/>
    </x:row>
    <x:row r="109" ht="52" customHeight="1">
      <x:c r="A109" s="12" t="str"/>
      <x:c r="B109" s="12" t="str">
        <x:v>自选创世梦灵皮肤</x:v>
      </x:c>
      <x:c r="C109" s="12" t="str"/>
      <x:c r="D109" s="17" t="n">
        <x:v>1600</x:v>
      </x:c>
      <x:c r="E109" s="17" t="n">
        <x:v>16000</x:v>
      </x:c>
      <x:c r="F109" s="12" t="str">
        <x:v>主字典</x:v>
      </x:c>
      <x:c r="G109" s="12" t="str">
        <x:v>主/道具价值表-汇总!A106:J106</x:v>
      </x:c>
      <x:c r="H109" s="12" t="str"/>
    </x:row>
    <x:row r="110" ht="52" customHeight="1">
      <x:c r="A110" s="4" t="str"/>
      <x:c r="B110" s="4" t="str">
        <x:v>随机史诗梦灵皮肤</x:v>
      </x:c>
      <x:c r="C110" s="4" t="str"/>
      <x:c r="D110" s="18" t="n">
        <x:v>150</x:v>
      </x:c>
      <x:c r="E110" s="18" t="n">
        <x:v>1500</x:v>
      </x:c>
      <x:c r="F110" s="4" t="str">
        <x:v>主字典</x:v>
      </x:c>
      <x:c r="G110" s="4" t="str">
        <x:v>主/道具价值表-汇总!A107:J107</x:v>
      </x:c>
      <x:c r="H110" s="4" t="str"/>
    </x:row>
    <x:row r="111" ht="52" customHeight="1">
      <x:c r="A111" s="12" t="str"/>
      <x:c r="B111" s="12" t="str">
        <x:v>随机传说梦灵皮肤</x:v>
      </x:c>
      <x:c r="C111" s="12" t="str"/>
      <x:c r="D111" s="17" t="n">
        <x:v>400</x:v>
      </x:c>
      <x:c r="E111" s="17" t="n">
        <x:v>4000</x:v>
      </x:c>
      <x:c r="F111" s="12" t="str">
        <x:v>主字典</x:v>
      </x:c>
      <x:c r="G111" s="12" t="str">
        <x:v>主/道具价值表-汇总!A108:J108</x:v>
      </x:c>
      <x:c r="H111" s="12" t="str"/>
    </x:row>
    <x:row r="112" ht="52" customHeight="1">
      <x:c r="A112" s="4" t="str"/>
      <x:c r="B112" s="4" t="str">
        <x:v>随机神话梦灵皮肤</x:v>
      </x:c>
      <x:c r="C112" s="4" t="str"/>
      <x:c r="D112" s="18" t="n">
        <x:v>800</x:v>
      </x:c>
      <x:c r="E112" s="18" t="n">
        <x:v>8000</x:v>
      </x:c>
      <x:c r="F112" s="4" t="str">
        <x:v>主字典</x:v>
      </x:c>
      <x:c r="G112" s="4" t="str">
        <x:v>主/道具价值表-汇总!A109:J109</x:v>
      </x:c>
      <x:c r="H112" s="4" t="str"/>
    </x:row>
    <x:row r="113" ht="52" customHeight="1">
      <x:c r="A113" s="12" t="str"/>
      <x:c r="B113" s="12" t="str">
        <x:v>随机创世梦灵皮肤</x:v>
      </x:c>
      <x:c r="C113" s="12" t="str"/>
      <x:c r="D113" s="17" t="n">
        <x:v>1600</x:v>
      </x:c>
      <x:c r="E113" s="17" t="n">
        <x:v>16000</x:v>
      </x:c>
      <x:c r="F113" s="12" t="str">
        <x:v>主字典</x:v>
      </x:c>
      <x:c r="G113" s="12" t="str">
        <x:v>主/道具价值表-汇总!A110:J110</x:v>
      </x:c>
      <x:c r="H113" s="12" t="str"/>
    </x:row>
    <x:row r="114" ht="52" customHeight="1">
      <x:c r="A114" s="4" t="str"/>
      <x:c r="B114" s="4" t="str">
        <x:v>传说武器队长皮肤</x:v>
      </x:c>
      <x:c r="C114" s="4" t="str"/>
      <x:c r="D114" s="18" t="n">
        <x:v>400</x:v>
      </x:c>
      <x:c r="E114" s="18" t="n">
        <x:v>4000</x:v>
      </x:c>
      <x:c r="F114" s="4" t="str">
        <x:v>主字典</x:v>
      </x:c>
      <x:c r="G114" s="4" t="str">
        <x:v>主/道具价值表-汇总!A111:J111</x:v>
      </x:c>
      <x:c r="H114" s="4" t="str"/>
    </x:row>
    <x:row r="115" ht="52" customHeight="1">
      <x:c r="A115" s="12" t="str"/>
      <x:c r="B115" s="12" t="str">
        <x:v>神话武器队长皮肤</x:v>
      </x:c>
      <x:c r="C115" s="12" t="str"/>
      <x:c r="D115" s="17" t="n">
        <x:v>800</x:v>
      </x:c>
      <x:c r="E115" s="17" t="n">
        <x:v>8000</x:v>
      </x:c>
      <x:c r="F115" s="12" t="str">
        <x:v>主字典</x:v>
      </x:c>
      <x:c r="G115" s="12" t="str">
        <x:v>主/道具价值表-汇总!A112:J112</x:v>
      </x:c>
      <x:c r="H115" s="12" t="str"/>
    </x:row>
    <x:row r="116" ht="52" customHeight="1">
      <x:c r="A116" s="4" t="str"/>
      <x:c r="B116" s="4" t="str">
        <x:v>史诗幻衣队长皮肤</x:v>
      </x:c>
      <x:c r="C116" s="4" t="str"/>
      <x:c r="D116" s="18" t="n">
        <x:v>250</x:v>
      </x:c>
      <x:c r="E116" s="18" t="n">
        <x:v>2500</x:v>
      </x:c>
      <x:c r="F116" s="4" t="str">
        <x:v>主字典</x:v>
      </x:c>
      <x:c r="G116" s="4" t="str">
        <x:v>主/道具价值表-汇总!A113:J113</x:v>
      </x:c>
      <x:c r="H116" s="4" t="str"/>
    </x:row>
    <x:row r="117" ht="52" customHeight="1">
      <x:c r="A117" s="12" t="str"/>
      <x:c r="B117" s="12" t="str">
        <x:v>传说幻衣队长皮肤</x:v>
      </x:c>
      <x:c r="C117" s="12" t="str"/>
      <x:c r="D117" s="17" t="n">
        <x:v>700</x:v>
      </x:c>
      <x:c r="E117" s="17" t="n">
        <x:v>8000</x:v>
      </x:c>
      <x:c r="F117" s="12" t="str">
        <x:v>主字典</x:v>
      </x:c>
      <x:c r="G117" s="12" t="str">
        <x:v>主/道具价值表-汇总!A114:J114</x:v>
      </x:c>
      <x:c r="H117" s="12" t="str">
        <x:v>字典自身RMB/钻石不一致；暂取显式钻石列</x:v>
      </x:c>
    </x:row>
    <x:row r="118" ht="52" customHeight="1">
      <x:c r="A118" s="4" t="str"/>
      <x:c r="B118" s="4" t="str">
        <x:v>神话幻衣队长皮肤</x:v>
      </x:c>
      <x:c r="C118" s="4" t="str"/>
      <x:c r="D118" s="18" t="n">
        <x:v>1200</x:v>
      </x:c>
      <x:c r="E118" s="18" t="n">
        <x:v>12000</x:v>
      </x:c>
      <x:c r="F118" s="4" t="str">
        <x:v>主字典</x:v>
      </x:c>
      <x:c r="G118" s="4" t="str">
        <x:v>主/道具价值表-汇总!A115:J115</x:v>
      </x:c>
      <x:c r="H118" s="4" t="str"/>
    </x:row>
    <x:row r="119" ht="52" customHeight="1">
      <x:c r="A119" s="12" t="str"/>
      <x:c r="B119" s="12" t="str">
        <x:v>头像</x:v>
      </x:c>
      <x:c r="C119" s="12" t="str"/>
      <x:c r="D119" s="17"/>
      <x:c r="E119" s="17"/>
      <x:c r="F119" s="12" t="str">
        <x:v>主字典</x:v>
      </x:c>
      <x:c r="G119" s="12" t="str">
        <x:v>主/道具价值表-汇总!A116:J116</x:v>
      </x:c>
      <x:c r="H119" s="12" t="str">
        <x:v>缺单价，不按0估值</x:v>
      </x:c>
    </x:row>
    <x:row r="120" ht="52" customHeight="1">
      <x:c r="A120" s="4" t="str"/>
      <x:c r="B120" s="4" t="str">
        <x:v>头像框</x:v>
      </x:c>
      <x:c r="C120" s="4" t="str"/>
      <x:c r="D120" s="18"/>
      <x:c r="E120" s="18"/>
      <x:c r="F120" s="4" t="str">
        <x:v>主字典</x:v>
      </x:c>
      <x:c r="G120" s="4" t="str">
        <x:v>主/道具价值表-汇总!A117:J117</x:v>
      </x:c>
      <x:c r="H120" s="4" t="str">
        <x:v>缺单价，不按0估值</x:v>
      </x:c>
    </x:row>
    <x:row r="121" ht="52" customHeight="1">
      <x:c r="A121" s="12" t="str"/>
      <x:c r="B121" s="12" t="str">
        <x:v>称号</x:v>
      </x:c>
      <x:c r="C121" s="12" t="str">
        <x:v>蓝</x:v>
      </x:c>
      <x:c r="D121" s="17"/>
      <x:c r="E121" s="17"/>
      <x:c r="F121" s="12" t="str">
        <x:v>主字典</x:v>
      </x:c>
      <x:c r="G121" s="12" t="str">
        <x:v>主/道具价值表-汇总!A118:J118</x:v>
      </x:c>
      <x:c r="H121" s="12" t="str">
        <x:v>缺单价，不按0估值</x:v>
      </x:c>
    </x:row>
    <x:row r="122" ht="52" customHeight="1">
      <x:c r="A122" s="4" t="str"/>
      <x:c r="B122" s="4" t="str">
        <x:v>聊天框</x:v>
      </x:c>
      <x:c r="C122" s="4" t="str"/>
      <x:c r="D122" s="18"/>
      <x:c r="E122" s="18"/>
      <x:c r="F122" s="4" t="str">
        <x:v>主字典</x:v>
      </x:c>
      <x:c r="G122" s="4" t="str">
        <x:v>主/道具价值表-汇总!A119:J119</x:v>
      </x:c>
      <x:c r="H122" s="4" t="str">
        <x:v>缺单价，不按0估值</x:v>
      </x:c>
    </x:row>
    <x:row r="123" ht="52" customHeight="1">
      <x:c r="A123" s="12" t="str"/>
      <x:c r="B123" s="12" t="str">
        <x:v>名片秀</x:v>
      </x:c>
      <x:c r="C123" s="12" t="str"/>
      <x:c r="D123" s="17"/>
      <x:c r="E123" s="17"/>
      <x:c r="F123" s="12" t="str">
        <x:v>主字典</x:v>
      </x:c>
      <x:c r="G123" s="12" t="str">
        <x:v>主/道具价值表-汇总!A120:J120</x:v>
      </x:c>
      <x:c r="H123" s="12" t="str">
        <x:v>缺单价，不按0估值</x:v>
      </x:c>
    </x:row>
    <x:row r="124" ht="52" customHeight="1">
      <x:c r="A124" s="4" t="str">
        <x:v>5800004</x:v>
      </x:c>
      <x:c r="B124" s="4" t="str">
        <x:v>咩菲特的雕像</x:v>
      </x:c>
      <x:c r="C124" s="4" t="str">
        <x:v>橙</x:v>
      </x:c>
      <x:c r="D124" s="18" t="n">
        <x:v>3</x:v>
      </x:c>
      <x:c r="E124" s="18" t="n">
        <x:v>30</x:v>
      </x:c>
      <x:c r="F124" s="4" t="str">
        <x:v>主字典</x:v>
      </x:c>
      <x:c r="G124" s="4" t="str">
        <x:v>主/道具价值表-汇总!A121:J121</x:v>
      </x:c>
      <x:c r="H124" s="4" t="str"/>
    </x:row>
    <x:row r="125" ht="52" customHeight="1">
      <x:c r="A125" s="12" t="str"/>
      <x:c r="B125" s="12" t="str">
        <x:v>竞技场币</x:v>
      </x:c>
      <x:c r="C125" s="12" t="str"/>
      <x:c r="D125" s="17" t="n">
        <x:v>0.002</x:v>
      </x:c>
      <x:c r="E125" s="17" t="n">
        <x:v>0.02</x:v>
      </x:c>
      <x:c r="F125" s="12" t="str">
        <x:v>主字典</x:v>
      </x:c>
      <x:c r="G125" s="12" t="str">
        <x:v>主/道具价值表-汇总!A122:J122</x:v>
      </x:c>
      <x:c r="H125" s="12" t="str"/>
    </x:row>
    <x:row r="126" ht="52" customHeight="1">
      <x:c r="A126" s="4" t="str"/>
      <x:c r="B126" s="4" t="str">
        <x:v>boss积分</x:v>
      </x:c>
      <x:c r="C126" s="4" t="str"/>
      <x:c r="D126" s="18" t="n">
        <x:v>0.01</x:v>
      </x:c>
      <x:c r="E126" s="18" t="n">
        <x:v>0.1</x:v>
      </x:c>
      <x:c r="F126" s="4" t="str">
        <x:v>主字典</x:v>
      </x:c>
      <x:c r="G126" s="4" t="str">
        <x:v>主/道具价值表-汇总!A123:J123</x:v>
      </x:c>
      <x:c r="H126" s="4" t="str"/>
    </x:row>
    <x:row r="127" ht="52" customHeight="1">
      <x:c r="A127" s="12" t="str">
        <x:v>5205001</x:v>
      </x:c>
      <x:c r="B127" s="12" t="str">
        <x:v>潜能棱晶</x:v>
      </x:c>
      <x:c r="C127" s="12" t="str">
        <x:v>橙</x:v>
      </x:c>
      <x:c r="D127" s="17" t="n">
        <x:v>50</x:v>
      </x:c>
      <x:c r="E127" s="17" t="n">
        <x:v>500</x:v>
      </x:c>
      <x:c r="F127" s="12" t="str">
        <x:v>主字典</x:v>
      </x:c>
      <x:c r="G127" s="12" t="str">
        <x:v>主/道具价值表-汇总!A124:J124</x:v>
      </x:c>
      <x:c r="H127" s="12" t="str"/>
    </x:row>
    <x:row r="128" ht="52" customHeight="1">
      <x:c r="A128" s="4" t="str"/>
      <x:c r="B128" s="4" t="str">
        <x:v>加速沙漏</x:v>
      </x:c>
      <x:c r="C128" s="4" t="str">
        <x:v>紫</x:v>
      </x:c>
      <x:c r="D128" s="18" t="n">
        <x:v>0.5</x:v>
      </x:c>
      <x:c r="E128" s="18" t="n">
        <x:v>5</x:v>
      </x:c>
      <x:c r="F128" s="4" t="str">
        <x:v>主字典</x:v>
      </x:c>
      <x:c r="G128" s="4" t="str">
        <x:v>主/道具价值表-汇总!A125:J125</x:v>
      </x:c>
      <x:c r="H128" s="4" t="str"/>
    </x:row>
    <x:row r="129" ht="52" customHeight="1">
      <x:c r="A129" s="12" t="str">
        <x:v>50</x:v>
      </x:c>
      <x:c r="B129" s="12" t="str">
        <x:v>公会贡献</x:v>
      </x:c>
      <x:c r="C129" s="12" t="str">
        <x:v>紫</x:v>
      </x:c>
      <x:c r="D129" s="17" t="n">
        <x:v>0.01</x:v>
      </x:c>
      <x:c r="E129" s="17" t="n">
        <x:v>0.1</x:v>
      </x:c>
      <x:c r="F129" s="12" t="str">
        <x:v>主字典</x:v>
      </x:c>
      <x:c r="G129" s="12" t="str">
        <x:v>主/道具价值表-汇总!A126:J126</x:v>
      </x:c>
      <x:c r="H129" s="12" t="str"/>
    </x:row>
    <x:row r="130" ht="52" customHeight="1">
      <x:c r="A130" s="4" t="str"/>
      <x:c r="B130" s="4" t="str">
        <x:v>友情值</x:v>
      </x:c>
      <x:c r="C130" s="4" t="str"/>
      <x:c r="D130" s="18" t="n">
        <x:v>0.0688</x:v>
      </x:c>
      <x:c r="E130" s="18" t="n">
        <x:v>0.688</x:v>
      </x:c>
      <x:c r="F130" s="4" t="str">
        <x:v>主字典</x:v>
      </x:c>
      <x:c r="G130" s="4" t="str">
        <x:v>主/道具价值表-汇总!A127:J127</x:v>
      </x:c>
      <x:c r="H130" s="4" t="str"/>
    </x:row>
    <x:row r="131" ht="52" customHeight="1">
      <x:c r="A131" s="12" t="str">
        <x:v>28</x:v>
      </x:c>
      <x:c r="B131" s="12" t="str">
        <x:v>巡航门票</x:v>
      </x:c>
      <x:c r="C131" s="12" t="str">
        <x:v>紫</x:v>
      </x:c>
      <x:c r="D131" s="17" t="n">
        <x:v>20</x:v>
      </x:c>
      <x:c r="E131" s="17" t="n">
        <x:v>200</x:v>
      </x:c>
      <x:c r="F131" s="12" t="str">
        <x:v>主字典</x:v>
      </x:c>
      <x:c r="G131" s="12" t="str">
        <x:v>主/道具价值表-汇总!A128:J128</x:v>
      </x:c>
      <x:c r="H131" s="12" t="str"/>
    </x:row>
    <x:row r="132" ht="52" customHeight="1">
      <x:c r="A132" s="4" t="str">
        <x:v>5523004</x:v>
      </x:c>
      <x:c r="B132" s="4" t="str">
        <x:v>欧气补给箱</x:v>
      </x:c>
      <x:c r="C132" s="4" t="str">
        <x:v>橙</x:v>
      </x:c>
      <x:c r="D132" s="18" t="n">
        <x:v>30</x:v>
      </x:c>
      <x:c r="E132" s="18" t="n">
        <x:v>300</x:v>
      </x:c>
      <x:c r="F132" s="4" t="str">
        <x:v>主字典</x:v>
      </x:c>
      <x:c r="G132" s="4" t="str">
        <x:v>主/道具价值表-汇总!A129:J129</x:v>
      </x:c>
      <x:c r="H132" s="4" t="str"/>
    </x:row>
    <x:row r="133" ht="52" customHeight="1">
      <x:c r="A133" s="12" t="str">
        <x:v>5523003</x:v>
      </x:c>
      <x:c r="B133" s="12" t="str">
        <x:v>欧气补给袋</x:v>
      </x:c>
      <x:c r="C133" s="12" t="str">
        <x:v>紫</x:v>
      </x:c>
      <x:c r="D133" s="17" t="n">
        <x:v>9</x:v>
      </x:c>
      <x:c r="E133" s="17" t="n">
        <x:v>90</x:v>
      </x:c>
      <x:c r="F133" s="12" t="str">
        <x:v>主字典</x:v>
      </x:c>
      <x:c r="G133" s="12" t="str">
        <x:v>主/道具价值表-汇总!A130:J130</x:v>
      </x:c>
      <x:c r="H133" s="12" t="str"/>
    </x:row>
    <x:row r="134" ht="52" customHeight="1">
      <x:c r="A134" s="4" t="str"/>
      <x:c r="B134" s="4" t="str">
        <x:v>紫色藏品</x:v>
      </x:c>
      <x:c r="C134" s="4" t="str"/>
      <x:c r="D134" s="18" t="n">
        <x:v>240</x:v>
      </x:c>
      <x:c r="E134" s="18" t="n">
        <x:v>2400</x:v>
      </x:c>
      <x:c r="F134" s="4" t="str">
        <x:v>主字典</x:v>
      </x:c>
      <x:c r="G134" s="4" t="str">
        <x:v>主/道具价值表-汇总!A131:J131</x:v>
      </x:c>
      <x:c r="H134" s="4" t="str"/>
    </x:row>
    <x:row r="135" ht="52" customHeight="1">
      <x:c r="A135" s="12" t="str"/>
      <x:c r="B135" s="12" t="str">
        <x:v>橙色藏品</x:v>
      </x:c>
      <x:c r="C135" s="12" t="str"/>
      <x:c r="D135" s="17" t="n">
        <x:v>480</x:v>
      </x:c>
      <x:c r="E135" s="17" t="n">
        <x:v>4800</x:v>
      </x:c>
      <x:c r="F135" s="12" t="str">
        <x:v>主字典</x:v>
      </x:c>
      <x:c r="G135" s="12" t="str">
        <x:v>主/道具价值表-汇总!A132:J132</x:v>
      </x:c>
      <x:c r="H135" s="12" t="str"/>
    </x:row>
    <x:row r="136" ht="52" customHeight="1">
      <x:c r="A136" s="4" t="str"/>
      <x:c r="B136" s="4" t="str">
        <x:v>红色藏品</x:v>
      </x:c>
      <x:c r="C136" s="4" t="str"/>
      <x:c r="D136" s="18" t="n">
        <x:v>960</x:v>
      </x:c>
      <x:c r="E136" s="18" t="n">
        <x:v>9600</x:v>
      </x:c>
      <x:c r="F136" s="4" t="str">
        <x:v>主字典</x:v>
      </x:c>
      <x:c r="G136" s="4" t="str">
        <x:v>主/道具价值表-汇总!A133:J133</x:v>
      </x:c>
      <x:c r="H136" s="4" t="str"/>
    </x:row>
    <x:row r="137" ht="52" customHeight="1">
      <x:c r="A137" s="12" t="str">
        <x:v>6200001</x:v>
      </x:c>
      <x:c r="B137" s="12" t="str">
        <x:v>奏响胜利</x:v>
      </x:c>
      <x:c r="C137" s="12" t="str">
        <x:v>紫</x:v>
      </x:c>
      <x:c r="D137" s="17" t="n">
        <x:v>240</x:v>
      </x:c>
      <x:c r="E137" s="17" t="n">
        <x:v>2400</x:v>
      </x:c>
      <x:c r="F137" s="12" t="str">
        <x:v>主字典</x:v>
      </x:c>
      <x:c r="G137" s="12" t="str">
        <x:v>主/道具价值表-汇总!A134:J134</x:v>
      </x:c>
      <x:c r="H137" s="12" t="str"/>
    </x:row>
    <x:row r="138" ht="52" customHeight="1">
      <x:c r="A138" s="4" t="str">
        <x:v>6200002</x:v>
      </x:c>
      <x:c r="B138" s="4" t="str">
        <x:v>小鸟栖息地</x:v>
      </x:c>
      <x:c r="C138" s="4" t="str">
        <x:v>紫</x:v>
      </x:c>
      <x:c r="D138" s="18" t="n">
        <x:v>240</x:v>
      </x:c>
      <x:c r="E138" s="18" t="n">
        <x:v>2400</x:v>
      </x:c>
      <x:c r="F138" s="4" t="str">
        <x:v>主字典</x:v>
      </x:c>
      <x:c r="G138" s="4" t="str">
        <x:v>主/道具价值表-汇总!A135:J135</x:v>
      </x:c>
      <x:c r="H138" s="4" t="str"/>
    </x:row>
    <x:row r="139" ht="52" customHeight="1">
      <x:c r="A139" s="12" t="str">
        <x:v>6200003</x:v>
      </x:c>
      <x:c r="B139" s="12" t="str">
        <x:v>嘀嗒时光</x:v>
      </x:c>
      <x:c r="C139" s="12" t="str">
        <x:v>紫</x:v>
      </x:c>
      <x:c r="D139" s="17" t="n">
        <x:v>240</x:v>
      </x:c>
      <x:c r="E139" s="17" t="n">
        <x:v>2400</x:v>
      </x:c>
      <x:c r="F139" s="12" t="str">
        <x:v>主字典</x:v>
      </x:c>
      <x:c r="G139" s="12" t="str">
        <x:v>主/道具价值表-汇总!A136:J136</x:v>
      </x:c>
      <x:c r="H139" s="12" t="str"/>
    </x:row>
    <x:row r="140" ht="52" customHeight="1">
      <x:c r="A140" s="4" t="str">
        <x:v>6200004</x:v>
      </x:c>
      <x:c r="B140" s="4" t="str">
        <x:v>咯咯哒争霸</x:v>
      </x:c>
      <x:c r="C140" s="4" t="str">
        <x:v>紫</x:v>
      </x:c>
      <x:c r="D140" s="18" t="n">
        <x:v>240</x:v>
      </x:c>
      <x:c r="E140" s="18" t="n">
        <x:v>2400</x:v>
      </x:c>
      <x:c r="F140" s="4" t="str">
        <x:v>主字典</x:v>
      </x:c>
      <x:c r="G140" s="4" t="str">
        <x:v>主/道具价值表-汇总!A137:J137</x:v>
      </x:c>
      <x:c r="H140" s="4" t="str"/>
    </x:row>
    <x:row r="141" ht="52" customHeight="1">
      <x:c r="A141" s="12" t="str">
        <x:v>6200005</x:v>
      </x:c>
      <x:c r="B141" s="12" t="str">
        <x:v>星期八计划</x:v>
      </x:c>
      <x:c r="C141" s="12" t="str">
        <x:v>紫</x:v>
      </x:c>
      <x:c r="D141" s="17" t="n">
        <x:v>240</x:v>
      </x:c>
      <x:c r="E141" s="17" t="n">
        <x:v>2400</x:v>
      </x:c>
      <x:c r="F141" s="12" t="str">
        <x:v>主字典</x:v>
      </x:c>
      <x:c r="G141" s="12" t="str">
        <x:v>主/道具价值表-汇总!A138:J138</x:v>
      </x:c>
      <x:c r="H141" s="12" t="str"/>
    </x:row>
    <x:row r="142" ht="52" customHeight="1">
      <x:c r="A142" s="4" t="str">
        <x:v>6200006</x:v>
      </x:c>
      <x:c r="B142" s="4" t="str">
        <x:v>独家零食</x:v>
      </x:c>
      <x:c r="C142" s="4" t="str">
        <x:v>橙</x:v>
      </x:c>
      <x:c r="D142" s="18" t="n">
        <x:v>480</x:v>
      </x:c>
      <x:c r="E142" s="18" t="n">
        <x:v>4800</x:v>
      </x:c>
      <x:c r="F142" s="4" t="str">
        <x:v>主字典</x:v>
      </x:c>
      <x:c r="G142" s="4" t="str">
        <x:v>主/道具价值表-汇总!A139:J139</x:v>
      </x:c>
      <x:c r="H142" s="4" t="str"/>
    </x:row>
    <x:row r="143" ht="52" customHeight="1">
      <x:c r="A143" s="12" t="str">
        <x:v>6200007</x:v>
      </x:c>
      <x:c r="B143" s="12" t="str">
        <x:v>秘仪初成</x:v>
      </x:c>
      <x:c r="C143" s="12" t="str">
        <x:v>橙</x:v>
      </x:c>
      <x:c r="D143" s="17" t="n">
        <x:v>480</x:v>
      </x:c>
      <x:c r="E143" s="17" t="n">
        <x:v>4800</x:v>
      </x:c>
      <x:c r="F143" s="12" t="str">
        <x:v>主字典</x:v>
      </x:c>
      <x:c r="G143" s="12" t="str">
        <x:v>主/道具价值表-汇总!A140:J140</x:v>
      </x:c>
      <x:c r="H143" s="12" t="str"/>
    </x:row>
    <x:row r="144" ht="52" customHeight="1">
      <x:c r="A144" s="4" t="str">
        <x:v>6200008</x:v>
      </x:c>
      <x:c r="B144" s="4" t="str">
        <x:v>记载胜利</x:v>
      </x:c>
      <x:c r="C144" s="4" t="str">
        <x:v>橙</x:v>
      </x:c>
      <x:c r="D144" s="18" t="n">
        <x:v>480</x:v>
      </x:c>
      <x:c r="E144" s="18" t="n">
        <x:v>4800</x:v>
      </x:c>
      <x:c r="F144" s="4" t="str">
        <x:v>主字典</x:v>
      </x:c>
      <x:c r="G144" s="4" t="str">
        <x:v>主/道具价值表-汇总!A141:J141</x:v>
      </x:c>
      <x:c r="H144" s="4" t="str"/>
    </x:row>
    <x:row r="145" ht="52" customHeight="1">
      <x:c r="A145" s="12" t="str">
        <x:v>6200009</x:v>
      </x:c>
      <x:c r="B145" s="12" t="str">
        <x:v>再来一箭</x:v>
      </x:c>
      <x:c r="C145" s="12" t="str">
        <x:v>橙</x:v>
      </x:c>
      <x:c r="D145" s="17" t="n">
        <x:v>480</x:v>
      </x:c>
      <x:c r="E145" s="17" t="n">
        <x:v>4800</x:v>
      </x:c>
      <x:c r="F145" s="12" t="str">
        <x:v>主字典</x:v>
      </x:c>
      <x:c r="G145" s="12" t="str">
        <x:v>主/道具价值表-汇总!A142:J142</x:v>
      </x:c>
      <x:c r="H145" s="12" t="str"/>
    </x:row>
    <x:row r="146" ht="52" customHeight="1">
      <x:c r="A146" s="4" t="str">
        <x:v>6200010</x:v>
      </x:c>
      <x:c r="B146" s="4" t="str">
        <x:v>越毒越痛</x:v>
      </x:c>
      <x:c r="C146" s="4" t="str">
        <x:v>橙</x:v>
      </x:c>
      <x:c r="D146" s="18" t="n">
        <x:v>480</x:v>
      </x:c>
      <x:c r="E146" s="18" t="n">
        <x:v>4800</x:v>
      </x:c>
      <x:c r="F146" s="4" t="str">
        <x:v>主字典</x:v>
      </x:c>
      <x:c r="G146" s="4" t="str">
        <x:v>主/道具价值表-汇总!A143:J143</x:v>
      </x:c>
      <x:c r="H146" s="4" t="str"/>
    </x:row>
    <x:row r="147" ht="52" customHeight="1">
      <x:c r="A147" s="12" t="str">
        <x:v>6200011</x:v>
      </x:c>
      <x:c r="B147" s="12" t="str">
        <x:v>万福摇摇机</x:v>
      </x:c>
      <x:c r="C147" s="12" t="str">
        <x:v>橙</x:v>
      </x:c>
      <x:c r="D147" s="17" t="n">
        <x:v>480</x:v>
      </x:c>
      <x:c r="E147" s="17" t="n">
        <x:v>4800</x:v>
      </x:c>
      <x:c r="F147" s="12" t="str">
        <x:v>主字典</x:v>
      </x:c>
      <x:c r="G147" s="12" t="str">
        <x:v>主/道具价值表-汇总!A144:J144</x:v>
      </x:c>
      <x:c r="H147" s="12" t="str"/>
    </x:row>
    <x:row r="148" ht="52" customHeight="1">
      <x:c r="A148" s="4" t="str">
        <x:v>6200012</x:v>
      </x:c>
      <x:c r="B148" s="4" t="str">
        <x:v>怦怦时刻</x:v>
      </x:c>
      <x:c r="C148" s="4" t="str">
        <x:v>橙</x:v>
      </x:c>
      <x:c r="D148" s="18" t="n">
        <x:v>480</x:v>
      </x:c>
      <x:c r="E148" s="18" t="n">
        <x:v>4800</x:v>
      </x:c>
      <x:c r="F148" s="4" t="str">
        <x:v>主字典</x:v>
      </x:c>
      <x:c r="G148" s="4" t="str">
        <x:v>主/道具价值表-汇总!A145:J145</x:v>
      </x:c>
      <x:c r="H148" s="4" t="str"/>
    </x:row>
    <x:row r="149" ht="52" customHeight="1">
      <x:c r="A149" s="12" t="str">
        <x:v>6200013</x:v>
      </x:c>
      <x:c r="B149" s="12" t="str">
        <x:v>意外之喜</x:v>
      </x:c>
      <x:c r="C149" s="12" t="str">
        <x:v>橙</x:v>
      </x:c>
      <x:c r="D149" s="17" t="n">
        <x:v>480</x:v>
      </x:c>
      <x:c r="E149" s="17" t="n">
        <x:v>4800</x:v>
      </x:c>
      <x:c r="F149" s="12" t="str">
        <x:v>主字典</x:v>
      </x:c>
      <x:c r="G149" s="12" t="str">
        <x:v>主/道具价值表-汇总!A146:J146</x:v>
      </x:c>
      <x:c r="H149" s="12" t="str"/>
    </x:row>
    <x:row r="150" ht="52" customHeight="1">
      <x:c r="A150" s="4" t="str">
        <x:v>6200014</x:v>
      </x:c>
      <x:c r="B150" s="4" t="str">
        <x:v>双倍碰撞</x:v>
      </x:c>
      <x:c r="C150" s="4" t="str">
        <x:v>橙</x:v>
      </x:c>
      <x:c r="D150" s="18" t="n">
        <x:v>480</x:v>
      </x:c>
      <x:c r="E150" s="18" t="n">
        <x:v>4800</x:v>
      </x:c>
      <x:c r="F150" s="4" t="str">
        <x:v>主字典</x:v>
      </x:c>
      <x:c r="G150" s="4" t="str">
        <x:v>主/道具价值表-汇总!A147:J147</x:v>
      </x:c>
      <x:c r="H150" s="4" t="str"/>
    </x:row>
    <x:row r="151" ht="52" customHeight="1">
      <x:c r="A151" s="12" t="str">
        <x:v>6200015</x:v>
      </x:c>
      <x:c r="B151" s="12" t="str">
        <x:v>酣眠的祝福</x:v>
      </x:c>
      <x:c r="C151" s="12" t="str">
        <x:v>橙</x:v>
      </x:c>
      <x:c r="D151" s="17" t="n">
        <x:v>480</x:v>
      </x:c>
      <x:c r="E151" s="17" t="n">
        <x:v>4800</x:v>
      </x:c>
      <x:c r="F151" s="12" t="str">
        <x:v>主字典</x:v>
      </x:c>
      <x:c r="G151" s="12" t="str">
        <x:v>主/道具价值表-汇总!A148:J148</x:v>
      </x:c>
      <x:c r="H151" s="12" t="str"/>
    </x:row>
    <x:row r="152" ht="52" customHeight="1">
      <x:c r="A152" s="4" t="str">
        <x:v>6200016</x:v>
      </x:c>
      <x:c r="B152" s="4" t="str">
        <x:v>抵达深空</x:v>
      </x:c>
      <x:c r="C152" s="4" t="str">
        <x:v>红</x:v>
      </x:c>
      <x:c r="D152" s="18" t="n">
        <x:v>960</x:v>
      </x:c>
      <x:c r="E152" s="18" t="n">
        <x:v>9600</x:v>
      </x:c>
      <x:c r="F152" s="4" t="str">
        <x:v>主字典</x:v>
      </x:c>
      <x:c r="G152" s="4" t="str">
        <x:v>主/道具价值表-汇总!A149:J149</x:v>
      </x:c>
      <x:c r="H152" s="4" t="str"/>
    </x:row>
    <x:row r="153" ht="52" customHeight="1">
      <x:c r="A153" s="12" t="str">
        <x:v>6200017</x:v>
      </x:c>
      <x:c r="B153" s="12" t="str">
        <x:v>潮玩挂板</x:v>
      </x:c>
      <x:c r="C153" s="12" t="str">
        <x:v>红</x:v>
      </x:c>
      <x:c r="D153" s="17" t="n">
        <x:v>960</x:v>
      </x:c>
      <x:c r="E153" s="17" t="n">
        <x:v>9600</x:v>
      </x:c>
      <x:c r="F153" s="12" t="str">
        <x:v>主字典</x:v>
      </x:c>
      <x:c r="G153" s="12" t="str">
        <x:v>主/道具价值表-汇总!A150:J150</x:v>
      </x:c>
      <x:c r="H153" s="12" t="str"/>
    </x:row>
    <x:row r="154" ht="52" customHeight="1">
      <x:c r="A154" s="4" t="str">
        <x:v>6200018</x:v>
      </x:c>
      <x:c r="B154" s="4" t="str">
        <x:v>奇点铃铛</x:v>
      </x:c>
      <x:c r="C154" s="4" t="str">
        <x:v>红</x:v>
      </x:c>
      <x:c r="D154" s="18" t="n">
        <x:v>960</x:v>
      </x:c>
      <x:c r="E154" s="18" t="n">
        <x:v>9600</x:v>
      </x:c>
      <x:c r="F154" s="4" t="str">
        <x:v>主字典</x:v>
      </x:c>
      <x:c r="G154" s="4" t="str">
        <x:v>主/道具价值表-汇总!A151:J151</x:v>
      </x:c>
      <x:c r="H154" s="4" t="str"/>
    </x:row>
    <x:row r="155" ht="52" customHeight="1">
      <x:c r="A155" s="12" t="str">
        <x:v>6210001</x:v>
      </x:c>
      <x:c r="B155" s="12" t="str">
        <x:v>奏响胜利·碎片</x:v>
      </x:c>
      <x:c r="C155" s="12" t="str">
        <x:v>紫</x:v>
      </x:c>
      <x:c r="D155" s="17" t="n">
        <x:v>24</x:v>
      </x:c>
      <x:c r="E155" s="17" t="n">
        <x:v>240</x:v>
      </x:c>
      <x:c r="F155" s="12" t="str">
        <x:v>主字典</x:v>
      </x:c>
      <x:c r="G155" s="12" t="str">
        <x:v>主/道具价值表-汇总!A153:J153</x:v>
      </x:c>
      <x:c r="H155" s="12" t="str"/>
    </x:row>
    <x:row r="156" ht="52" customHeight="1">
      <x:c r="A156" s="4" t="str">
        <x:v>6210002</x:v>
      </x:c>
      <x:c r="B156" s="4" t="str">
        <x:v>小鸟栖息地·碎片</x:v>
      </x:c>
      <x:c r="C156" s="4" t="str">
        <x:v>紫</x:v>
      </x:c>
      <x:c r="D156" s="18" t="n">
        <x:v>24</x:v>
      </x:c>
      <x:c r="E156" s="18" t="n">
        <x:v>240</x:v>
      </x:c>
      <x:c r="F156" s="4" t="str">
        <x:v>主字典</x:v>
      </x:c>
      <x:c r="G156" s="4" t="str">
        <x:v>主/道具价值表-汇总!A154:J154</x:v>
      </x:c>
      <x:c r="H156" s="4" t="str"/>
    </x:row>
    <x:row r="157" ht="52" customHeight="1">
      <x:c r="A157" s="12" t="str">
        <x:v>6210003</x:v>
      </x:c>
      <x:c r="B157" s="12" t="str">
        <x:v>嘀嗒时光·碎片</x:v>
      </x:c>
      <x:c r="C157" s="12" t="str">
        <x:v>紫</x:v>
      </x:c>
      <x:c r="D157" s="17" t="n">
        <x:v>24</x:v>
      </x:c>
      <x:c r="E157" s="17" t="n">
        <x:v>240</x:v>
      </x:c>
      <x:c r="F157" s="12" t="str">
        <x:v>主字典</x:v>
      </x:c>
      <x:c r="G157" s="12" t="str">
        <x:v>主/道具价值表-汇总!A155:J155</x:v>
      </x:c>
      <x:c r="H157" s="12" t="str"/>
    </x:row>
    <x:row r="158" ht="52" customHeight="1">
      <x:c r="A158" s="4" t="str">
        <x:v>6210004</x:v>
      </x:c>
      <x:c r="B158" s="4" t="str">
        <x:v>咯咯哒争霸·碎片</x:v>
      </x:c>
      <x:c r="C158" s="4" t="str">
        <x:v>紫</x:v>
      </x:c>
      <x:c r="D158" s="18" t="n">
        <x:v>24</x:v>
      </x:c>
      <x:c r="E158" s="18" t="n">
        <x:v>240</x:v>
      </x:c>
      <x:c r="F158" s="4" t="str">
        <x:v>主字典</x:v>
      </x:c>
      <x:c r="G158" s="4" t="str">
        <x:v>主/道具价值表-汇总!A156:J156</x:v>
      </x:c>
      <x:c r="H158" s="4" t="str"/>
    </x:row>
    <x:row r="159" ht="52" customHeight="1">
      <x:c r="A159" s="12" t="str">
        <x:v>6210005</x:v>
      </x:c>
      <x:c r="B159" s="12" t="str">
        <x:v>星期八计划·碎片</x:v>
      </x:c>
      <x:c r="C159" s="12" t="str">
        <x:v>紫</x:v>
      </x:c>
      <x:c r="D159" s="17" t="n">
        <x:v>24</x:v>
      </x:c>
      <x:c r="E159" s="17" t="n">
        <x:v>240</x:v>
      </x:c>
      <x:c r="F159" s="12" t="str">
        <x:v>主字典</x:v>
      </x:c>
      <x:c r="G159" s="12" t="str">
        <x:v>主/道具价值表-汇总!A157:J157</x:v>
      </x:c>
      <x:c r="H159" s="12" t="str"/>
    </x:row>
    <x:row r="160" ht="52" customHeight="1">
      <x:c r="A160" s="4" t="str">
        <x:v>6210006</x:v>
      </x:c>
      <x:c r="B160" s="4" t="str">
        <x:v>独家零食·碎片</x:v>
      </x:c>
      <x:c r="C160" s="4" t="str">
        <x:v>橙</x:v>
      </x:c>
      <x:c r="D160" s="18" t="n">
        <x:v>48</x:v>
      </x:c>
      <x:c r="E160" s="18" t="n">
        <x:v>480</x:v>
      </x:c>
      <x:c r="F160" s="4" t="str">
        <x:v>主字典</x:v>
      </x:c>
      <x:c r="G160" s="4" t="str">
        <x:v>主/道具价值表-汇总!A158:J158</x:v>
      </x:c>
      <x:c r="H160" s="4" t="str"/>
    </x:row>
    <x:row r="161" ht="52" customHeight="1">
      <x:c r="A161" s="12" t="str">
        <x:v>6210007</x:v>
      </x:c>
      <x:c r="B161" s="12" t="str">
        <x:v>秘仪初成·碎片</x:v>
      </x:c>
      <x:c r="C161" s="12" t="str">
        <x:v>橙</x:v>
      </x:c>
      <x:c r="D161" s="17" t="n">
        <x:v>48</x:v>
      </x:c>
      <x:c r="E161" s="17" t="n">
        <x:v>480</x:v>
      </x:c>
      <x:c r="F161" s="12" t="str">
        <x:v>主字典</x:v>
      </x:c>
      <x:c r="G161" s="12" t="str">
        <x:v>主/道具价值表-汇总!A159:J159</x:v>
      </x:c>
      <x:c r="H161" s="12" t="str"/>
    </x:row>
    <x:row r="162" ht="52" customHeight="1">
      <x:c r="A162" s="4" t="str">
        <x:v>6210008</x:v>
      </x:c>
      <x:c r="B162" s="4" t="str">
        <x:v>记载胜利·碎片</x:v>
      </x:c>
      <x:c r="C162" s="4" t="str">
        <x:v>橙</x:v>
      </x:c>
      <x:c r="D162" s="18" t="n">
        <x:v>48</x:v>
      </x:c>
      <x:c r="E162" s="18" t="n">
        <x:v>480</x:v>
      </x:c>
      <x:c r="F162" s="4" t="str">
        <x:v>主字典</x:v>
      </x:c>
      <x:c r="G162" s="4" t="str">
        <x:v>主/道具价值表-汇总!A160:J160</x:v>
      </x:c>
      <x:c r="H162" s="4" t="str"/>
    </x:row>
    <x:row r="163" ht="52" customHeight="1">
      <x:c r="A163" s="12" t="str">
        <x:v>6210009</x:v>
      </x:c>
      <x:c r="B163" s="12" t="str">
        <x:v>再来一箭·碎片</x:v>
      </x:c>
      <x:c r="C163" s="12" t="str">
        <x:v>橙</x:v>
      </x:c>
      <x:c r="D163" s="17" t="n">
        <x:v>48</x:v>
      </x:c>
      <x:c r="E163" s="17" t="n">
        <x:v>480</x:v>
      </x:c>
      <x:c r="F163" s="12" t="str">
        <x:v>主字典</x:v>
      </x:c>
      <x:c r="G163" s="12" t="str">
        <x:v>主/道具价值表-汇总!A161:J161</x:v>
      </x:c>
      <x:c r="H163" s="12" t="str"/>
    </x:row>
    <x:row r="164" ht="52" customHeight="1">
      <x:c r="A164" s="4" t="str">
        <x:v>6210010</x:v>
      </x:c>
      <x:c r="B164" s="4" t="str">
        <x:v>越毒越痛·碎片</x:v>
      </x:c>
      <x:c r="C164" s="4" t="str">
        <x:v>橙</x:v>
      </x:c>
      <x:c r="D164" s="18" t="n">
        <x:v>48</x:v>
      </x:c>
      <x:c r="E164" s="18" t="n">
        <x:v>480</x:v>
      </x:c>
      <x:c r="F164" s="4" t="str">
        <x:v>主字典</x:v>
      </x:c>
      <x:c r="G164" s="4" t="str">
        <x:v>主/道具价值表-汇总!A162:J162</x:v>
      </x:c>
      <x:c r="H164" s="4" t="str"/>
    </x:row>
    <x:row r="165" ht="52" customHeight="1">
      <x:c r="A165" s="12" t="str">
        <x:v>6210011</x:v>
      </x:c>
      <x:c r="B165" s="12" t="str">
        <x:v>万福摇摇机·碎片</x:v>
      </x:c>
      <x:c r="C165" s="12" t="str">
        <x:v>橙</x:v>
      </x:c>
      <x:c r="D165" s="17" t="n">
        <x:v>48</x:v>
      </x:c>
      <x:c r="E165" s="17" t="n">
        <x:v>480</x:v>
      </x:c>
      <x:c r="F165" s="12" t="str">
        <x:v>主字典</x:v>
      </x:c>
      <x:c r="G165" s="12" t="str">
        <x:v>主/道具价值表-汇总!A163:J163</x:v>
      </x:c>
      <x:c r="H165" s="12" t="str"/>
    </x:row>
    <x:row r="166" ht="52" customHeight="1">
      <x:c r="A166" s="4" t="str">
        <x:v>6210012</x:v>
      </x:c>
      <x:c r="B166" s="4" t="str">
        <x:v>怦怦时刻·碎片</x:v>
      </x:c>
      <x:c r="C166" s="4" t="str">
        <x:v>橙</x:v>
      </x:c>
      <x:c r="D166" s="18" t="n">
        <x:v>48</x:v>
      </x:c>
      <x:c r="E166" s="18" t="n">
        <x:v>480</x:v>
      </x:c>
      <x:c r="F166" s="4" t="str">
        <x:v>主字典</x:v>
      </x:c>
      <x:c r="G166" s="4" t="str">
        <x:v>主/道具价值表-汇总!A164:J164</x:v>
      </x:c>
      <x:c r="H166" s="4" t="str"/>
    </x:row>
    <x:row r="167" ht="52" customHeight="1">
      <x:c r="A167" s="12" t="str">
        <x:v>6210013</x:v>
      </x:c>
      <x:c r="B167" s="12" t="str">
        <x:v>意外之喜·碎片</x:v>
      </x:c>
      <x:c r="C167" s="12" t="str">
        <x:v>橙</x:v>
      </x:c>
      <x:c r="D167" s="17" t="n">
        <x:v>48</x:v>
      </x:c>
      <x:c r="E167" s="17" t="n">
        <x:v>480</x:v>
      </x:c>
      <x:c r="F167" s="12" t="str">
        <x:v>主字典</x:v>
      </x:c>
      <x:c r="G167" s="12" t="str">
        <x:v>主/道具价值表-汇总!A165:J165</x:v>
      </x:c>
      <x:c r="H167" s="12" t="str"/>
    </x:row>
    <x:row r="168" ht="52" customHeight="1">
      <x:c r="A168" s="4" t="str">
        <x:v>6210014</x:v>
      </x:c>
      <x:c r="B168" s="4" t="str">
        <x:v>双倍碰撞·碎片</x:v>
      </x:c>
      <x:c r="C168" s="4" t="str">
        <x:v>橙</x:v>
      </x:c>
      <x:c r="D168" s="18" t="n">
        <x:v>48</x:v>
      </x:c>
      <x:c r="E168" s="18" t="n">
        <x:v>480</x:v>
      </x:c>
      <x:c r="F168" s="4" t="str">
        <x:v>主字典</x:v>
      </x:c>
      <x:c r="G168" s="4" t="str">
        <x:v>主/道具价值表-汇总!A166:J166</x:v>
      </x:c>
      <x:c r="H168" s="4" t="str"/>
    </x:row>
    <x:row r="169" ht="52" customHeight="1">
      <x:c r="A169" s="12" t="str">
        <x:v>6210015</x:v>
      </x:c>
      <x:c r="B169" s="12" t="str">
        <x:v>酣眠的祝福·碎片</x:v>
      </x:c>
      <x:c r="C169" s="12" t="str">
        <x:v>橙</x:v>
      </x:c>
      <x:c r="D169" s="17" t="n">
        <x:v>48</x:v>
      </x:c>
      <x:c r="E169" s="17" t="n">
        <x:v>480</x:v>
      </x:c>
      <x:c r="F169" s="12" t="str">
        <x:v>主字典</x:v>
      </x:c>
      <x:c r="G169" s="12" t="str">
        <x:v>主/道具价值表-汇总!A167:J167</x:v>
      </x:c>
      <x:c r="H169" s="12" t="str"/>
    </x:row>
    <x:row r="170" ht="52" customHeight="1">
      <x:c r="A170" s="4" t="str">
        <x:v>6210016</x:v>
      </x:c>
      <x:c r="B170" s="4" t="str">
        <x:v>抵达深空·碎片</x:v>
      </x:c>
      <x:c r="C170" s="4" t="str">
        <x:v>红</x:v>
      </x:c>
      <x:c r="D170" s="18" t="n">
        <x:v>96</x:v>
      </x:c>
      <x:c r="E170" s="18" t="n">
        <x:v>960</x:v>
      </x:c>
      <x:c r="F170" s="4" t="str">
        <x:v>主字典</x:v>
      </x:c>
      <x:c r="G170" s="4" t="str">
        <x:v>主/道具价值表-汇总!A168:J168</x:v>
      </x:c>
      <x:c r="H170" s="4" t="str"/>
    </x:row>
    <x:row r="171" ht="52" customHeight="1">
      <x:c r="A171" s="12" t="str">
        <x:v>6210017</x:v>
      </x:c>
      <x:c r="B171" s="12" t="str">
        <x:v>潮玩挂板·碎片</x:v>
      </x:c>
      <x:c r="C171" s="12" t="str">
        <x:v>红</x:v>
      </x:c>
      <x:c r="D171" s="17" t="n">
        <x:v>96</x:v>
      </x:c>
      <x:c r="E171" s="17" t="n">
        <x:v>960</x:v>
      </x:c>
      <x:c r="F171" s="12" t="str">
        <x:v>主字典</x:v>
      </x:c>
      <x:c r="G171" s="12" t="str">
        <x:v>主/道具价值表-汇总!A169:J169</x:v>
      </x:c>
      <x:c r="H171" s="12" t="str"/>
    </x:row>
    <x:row r="172" ht="52" customHeight="1">
      <x:c r="A172" s="4" t="str">
        <x:v>6210018</x:v>
      </x:c>
      <x:c r="B172" s="4" t="str">
        <x:v>奇点铃铛·碎片</x:v>
      </x:c>
      <x:c r="C172" s="4" t="str">
        <x:v>红</x:v>
      </x:c>
      <x:c r="D172" s="18" t="n">
        <x:v>96</x:v>
      </x:c>
      <x:c r="E172" s="18" t="n">
        <x:v>960</x:v>
      </x:c>
      <x:c r="F172" s="4" t="str">
        <x:v>主字典</x:v>
      </x:c>
      <x:c r="G172" s="4" t="str">
        <x:v>主/道具价值表-汇总!A170:J170</x:v>
      </x:c>
      <x:c r="H172" s="4" t="str"/>
    </x:row>
    <x:row r="173" ht="52" customHeight="1">
      <x:c r="A173" s="12" t="str">
        <x:v>6220001</x:v>
      </x:c>
      <x:c r="B173" s="12" t="str">
        <x:v>随机史诗藏品箱</x:v>
      </x:c>
      <x:c r="C173" s="12" t="str">
        <x:v>紫</x:v>
      </x:c>
      <x:c r="D173" s="17" t="n">
        <x:v>240</x:v>
      </x:c>
      <x:c r="E173" s="17" t="n">
        <x:v>2400</x:v>
      </x:c>
      <x:c r="F173" s="12" t="str">
        <x:v>主字典</x:v>
      </x:c>
      <x:c r="G173" s="12" t="str">
        <x:v>主/道具价值表-汇总!A171:J171</x:v>
      </x:c>
      <x:c r="H173" s="12" t="str"/>
    </x:row>
    <x:row r="174" ht="52" customHeight="1">
      <x:c r="A174" s="4" t="str">
        <x:v>6220002</x:v>
      </x:c>
      <x:c r="B174" s="4" t="str">
        <x:v>随机传说藏品箱</x:v>
      </x:c>
      <x:c r="C174" s="4" t="str">
        <x:v>橙</x:v>
      </x:c>
      <x:c r="D174" s="18" t="n">
        <x:v>480</x:v>
      </x:c>
      <x:c r="E174" s="18" t="n">
        <x:v>4800</x:v>
      </x:c>
      <x:c r="F174" s="4" t="str">
        <x:v>主字典</x:v>
      </x:c>
      <x:c r="G174" s="4" t="str">
        <x:v>主/道具价值表-汇总!A172:J172</x:v>
      </x:c>
      <x:c r="H174" s="4" t="str"/>
    </x:row>
    <x:row r="175" ht="52" customHeight="1">
      <x:c r="A175" s="12" t="str">
        <x:v>6220003</x:v>
      </x:c>
      <x:c r="B175" s="12" t="str">
        <x:v>随机神话藏品箱</x:v>
      </x:c>
      <x:c r="C175" s="12" t="str">
        <x:v>红</x:v>
      </x:c>
      <x:c r="D175" s="17" t="n">
        <x:v>960</x:v>
      </x:c>
      <x:c r="E175" s="17" t="n">
        <x:v>9600</x:v>
      </x:c>
      <x:c r="F175" s="12" t="str">
        <x:v>主字典</x:v>
      </x:c>
      <x:c r="G175" s="12" t="str">
        <x:v>主/道具价值表-汇总!A173:J173</x:v>
      </x:c>
      <x:c r="H175" s="12" t="str"/>
    </x:row>
    <x:row r="176" ht="52" customHeight="1">
      <x:c r="A176" s="4" t="str">
        <x:v>6220011</x:v>
      </x:c>
      <x:c r="B176" s="4" t="str">
        <x:v>自选史诗藏品箱</x:v>
      </x:c>
      <x:c r="C176" s="4" t="str">
        <x:v>紫</x:v>
      </x:c>
      <x:c r="D176" s="18" t="n">
        <x:v>240</x:v>
      </x:c>
      <x:c r="E176" s="18" t="n">
        <x:v>2400</x:v>
      </x:c>
      <x:c r="F176" s="4" t="str">
        <x:v>主字典</x:v>
      </x:c>
      <x:c r="G176" s="4" t="str">
        <x:v>主/道具价值表-汇总!A174:J174</x:v>
      </x:c>
      <x:c r="H176" s="4" t="str"/>
    </x:row>
    <x:row r="177" ht="52" customHeight="1">
      <x:c r="A177" s="12" t="str">
        <x:v>6220012</x:v>
      </x:c>
      <x:c r="B177" s="12" t="str">
        <x:v>自选传说藏品箱</x:v>
      </x:c>
      <x:c r="C177" s="12" t="str">
        <x:v>橙</x:v>
      </x:c>
      <x:c r="D177" s="17" t="n">
        <x:v>480</x:v>
      </x:c>
      <x:c r="E177" s="17" t="n">
        <x:v>4800</x:v>
      </x:c>
      <x:c r="F177" s="12" t="str">
        <x:v>主字典</x:v>
      </x:c>
      <x:c r="G177" s="12" t="str">
        <x:v>主/道具价值表-汇总!A175:J175</x:v>
      </x:c>
      <x:c r="H177" s="12" t="str"/>
    </x:row>
    <x:row r="178" ht="52" customHeight="1">
      <x:c r="A178" s="4" t="str">
        <x:v>6220013</x:v>
      </x:c>
      <x:c r="B178" s="4" t="str">
        <x:v>自选神话藏品箱</x:v>
      </x:c>
      <x:c r="C178" s="4" t="str">
        <x:v>红</x:v>
      </x:c>
      <x:c r="D178" s="18" t="n">
        <x:v>960</x:v>
      </x:c>
      <x:c r="E178" s="18" t="n">
        <x:v>9600</x:v>
      </x:c>
      <x:c r="F178" s="4" t="str">
        <x:v>主字典</x:v>
      </x:c>
      <x:c r="G178" s="4" t="str">
        <x:v>主/道具价值表-汇总!A176:J176</x:v>
      </x:c>
      <x:c r="H178" s="4" t="str"/>
    </x:row>
    <x:row r="179" ht="52" customHeight="1">
      <x:c r="A179" s="12" t="str">
        <x:v>6220021</x:v>
      </x:c>
      <x:c r="B179" s="12" t="str">
        <x:v>随机史诗藏品箱</x:v>
      </x:c>
      <x:c r="C179" s="12" t="str">
        <x:v>紫</x:v>
      </x:c>
      <x:c r="D179" s="17" t="n">
        <x:v>240</x:v>
      </x:c>
      <x:c r="E179" s="17" t="n">
        <x:v>2400</x:v>
      </x:c>
      <x:c r="F179" s="12" t="str">
        <x:v>主字典</x:v>
      </x:c>
      <x:c r="G179" s="12" t="str">
        <x:v>主/道具价值表-汇总!A177:J177</x:v>
      </x:c>
      <x:c r="H179" s="12" t="str"/>
    </x:row>
    <x:row r="180" ht="52" customHeight="1">
      <x:c r="A180" s="4" t="str">
        <x:v>6220031</x:v>
      </x:c>
      <x:c r="B180" s="4" t="str">
        <x:v>随机史诗藏品碎片</x:v>
      </x:c>
      <x:c r="C180" s="4" t="str">
        <x:v>紫</x:v>
      </x:c>
      <x:c r="D180" s="18" t="n">
        <x:v>24</x:v>
      </x:c>
      <x:c r="E180" s="18" t="n">
        <x:v>240</x:v>
      </x:c>
      <x:c r="F180" s="4" t="str">
        <x:v>主字典</x:v>
      </x:c>
      <x:c r="G180" s="4" t="str">
        <x:v>主/道具价值表-汇总!A178:J178</x:v>
      </x:c>
      <x:c r="H180" s="4" t="str"/>
    </x:row>
    <x:row r="181" ht="52" customHeight="1">
      <x:c r="A181" s="12" t="str">
        <x:v>6220032</x:v>
      </x:c>
      <x:c r="B181" s="12" t="str">
        <x:v>随机传说藏品碎片</x:v>
      </x:c>
      <x:c r="C181" s="12" t="str">
        <x:v>橙</x:v>
      </x:c>
      <x:c r="D181" s="17" t="n">
        <x:v>48</x:v>
      </x:c>
      <x:c r="E181" s="17" t="n">
        <x:v>480</x:v>
      </x:c>
      <x:c r="F181" s="12" t="str">
        <x:v>主字典</x:v>
      </x:c>
      <x:c r="G181" s="12" t="str">
        <x:v>主/道具价值表-汇总!A179:J179</x:v>
      </x:c>
      <x:c r="H181" s="12" t="str"/>
    </x:row>
    <x:row r="182" ht="52" customHeight="1">
      <x:c r="A182" s="4" t="str">
        <x:v>6220033</x:v>
      </x:c>
      <x:c r="B182" s="4" t="str">
        <x:v>随机神话藏品碎片</x:v>
      </x:c>
      <x:c r="C182" s="4" t="str">
        <x:v>红</x:v>
      </x:c>
      <x:c r="D182" s="18" t="n">
        <x:v>96</x:v>
      </x:c>
      <x:c r="E182" s="18" t="n">
        <x:v>960</x:v>
      </x:c>
      <x:c r="F182" s="4" t="str">
        <x:v>主字典</x:v>
      </x:c>
      <x:c r="G182" s="4" t="str">
        <x:v>主/道具价值表-汇总!A180:J180</x:v>
      </x:c>
      <x:c r="H182" s="4" t="str"/>
    </x:row>
    <x:row r="183" ht="52" customHeight="1">
      <x:c r="A183" s="12" t="str">
        <x:v>6220041</x:v>
      </x:c>
      <x:c r="B183" s="12" t="str">
        <x:v>自选史诗藏品碎片</x:v>
      </x:c>
      <x:c r="C183" s="12" t="str">
        <x:v>紫</x:v>
      </x:c>
      <x:c r="D183" s="17" t="n">
        <x:v>24</x:v>
      </x:c>
      <x:c r="E183" s="17" t="n">
        <x:v>240</x:v>
      </x:c>
      <x:c r="F183" s="12" t="str">
        <x:v>主字典</x:v>
      </x:c>
      <x:c r="G183" s="12" t="str">
        <x:v>主/道具价值表-汇总!A181:J181</x:v>
      </x:c>
      <x:c r="H183" s="12" t="str"/>
    </x:row>
    <x:row r="184" ht="52" customHeight="1">
      <x:c r="A184" s="4" t="str">
        <x:v>6220042</x:v>
      </x:c>
      <x:c r="B184" s="4" t="str">
        <x:v>自选传说藏品碎片</x:v>
      </x:c>
      <x:c r="C184" s="4" t="str">
        <x:v>橙</x:v>
      </x:c>
      <x:c r="D184" s="18" t="n">
        <x:v>48</x:v>
      </x:c>
      <x:c r="E184" s="18" t="n">
        <x:v>480</x:v>
      </x:c>
      <x:c r="F184" s="4" t="str">
        <x:v>主字典</x:v>
      </x:c>
      <x:c r="G184" s="4" t="str">
        <x:v>主/道具价值表-汇总!A182:J182</x:v>
      </x:c>
      <x:c r="H184" s="4" t="str"/>
    </x:row>
    <x:row r="185" ht="52" customHeight="1">
      <x:c r="A185" s="12" t="str">
        <x:v>6220043</x:v>
      </x:c>
      <x:c r="B185" s="12" t="str">
        <x:v>自选神话藏品碎片</x:v>
      </x:c>
      <x:c r="C185" s="12" t="str">
        <x:v>红</x:v>
      </x:c>
      <x:c r="D185" s="17" t="n">
        <x:v>96</x:v>
      </x:c>
      <x:c r="E185" s="17" t="n">
        <x:v>960</x:v>
      </x:c>
      <x:c r="F185" s="12" t="str">
        <x:v>主字典</x:v>
      </x:c>
      <x:c r="G185" s="12" t="str">
        <x:v>主/道具价值表-汇总!A183:J183</x:v>
      </x:c>
      <x:c r="H185" s="12" t="str"/>
    </x:row>
    <x:row r="186" ht="52" customHeight="1">
      <x:c r="A186" s="4" t="str"/>
      <x:c r="B186" s="4" t="str">
        <x:v>随机神话梦灵碎片</x:v>
      </x:c>
      <x:c r="C186" s="4" t="str">
        <x:v>红</x:v>
      </x:c>
      <x:c r="D186" s="18" t="n">
        <x:v>4.8</x:v>
      </x:c>
      <x:c r="E186" s="18" t="n">
        <x:v>48</x:v>
      </x:c>
      <x:c r="F186" s="4" t="str">
        <x:v>补字典</x:v>
      </x:c>
      <x:c r="G186" s="4" t="str">
        <x:v>补/道具价值表-汇总!A14:J14</x:v>
      </x:c>
      <x:c r="H186" s="4" t="str"/>
    </x:row>
    <x:row r="187" ht="52" customHeight="1">
      <x:c r="A187" s="12" t="str"/>
      <x:c r="B187" s="12" t="str">
        <x:v>随机创世梦灵碎片</x:v>
      </x:c>
      <x:c r="C187" s="12" t="str"/>
      <x:c r="D187" s="17" t="n">
        <x:v>9.6</x:v>
      </x:c>
      <x:c r="E187" s="17" t="n">
        <x:v>96</x:v>
      </x:c>
      <x:c r="F187" s="12" t="str">
        <x:v>补字典</x:v>
      </x:c>
      <x:c r="G187" s="12" t="str">
        <x:v>补/道具价值表-汇总!A15:J15</x:v>
      </x:c>
      <x:c r="H187" s="12" t="str"/>
    </x:row>
    <x:row r="188" ht="52" customHeight="1">
      <x:c r="A188" s="4" t="str"/>
      <x:c r="B188" s="4" t="str">
        <x:v>史诗梦灵</x:v>
      </x:c>
      <x:c r="C188" s="4" t="str"/>
      <x:c r="D188" s="18" t="n">
        <x:v>12</x:v>
      </x:c>
      <x:c r="E188" s="18" t="n">
        <x:v>120</x:v>
      </x:c>
      <x:c r="F188" s="4" t="str">
        <x:v>补字典</x:v>
      </x:c>
      <x:c r="G188" s="4" t="str">
        <x:v>补/道具价值表-汇总!A20:J20</x:v>
      </x:c>
      <x:c r="H188" s="4" t="str"/>
    </x:row>
    <x:row r="189" ht="52" customHeight="1">
      <x:c r="A189" s="12" t="str"/>
      <x:c r="B189" s="12" t="str">
        <x:v>传说梦灵</x:v>
      </x:c>
      <x:c r="C189" s="12" t="str"/>
      <x:c r="D189" s="17" t="n">
        <x:v>24</x:v>
      </x:c>
      <x:c r="E189" s="17" t="n">
        <x:v>240</x:v>
      </x:c>
      <x:c r="F189" s="12" t="str">
        <x:v>补字典</x:v>
      </x:c>
      <x:c r="G189" s="12" t="str">
        <x:v>补/道具价值表-汇总!A21:J21</x:v>
      </x:c>
      <x:c r="H189" s="12" t="str"/>
    </x:row>
    <x:row r="190" ht="52" customHeight="1">
      <x:c r="A190" s="4" t="str"/>
      <x:c r="B190" s="4" t="str">
        <x:v>神话梦灵</x:v>
      </x:c>
      <x:c r="C190" s="4" t="str"/>
      <x:c r="D190" s="18" t="n">
        <x:v>48</x:v>
      </x:c>
      <x:c r="E190" s="18" t="n">
        <x:v>480</x:v>
      </x:c>
      <x:c r="F190" s="4" t="str">
        <x:v>补字典</x:v>
      </x:c>
      <x:c r="G190" s="4" t="str">
        <x:v>补/道具价值表-汇总!A22:J22</x:v>
      </x:c>
      <x:c r="H190" s="4" t="str"/>
    </x:row>
    <x:row r="191" ht="52" customHeight="1">
      <x:c r="A191" s="12" t="str"/>
      <x:c r="B191" s="12" t="str">
        <x:v>创世梦灵</x:v>
      </x:c>
      <x:c r="C191" s="12" t="str"/>
      <x:c r="D191" s="17" t="n">
        <x:v>96</x:v>
      </x:c>
      <x:c r="E191" s="17" t="n">
        <x:v>960</x:v>
      </x:c>
      <x:c r="F191" s="12" t="str">
        <x:v>补字典</x:v>
      </x:c>
      <x:c r="G191" s="12" t="str">
        <x:v>补/道具价值表-汇总!A23:J23</x:v>
      </x:c>
      <x:c r="H191" s="12" t="str"/>
    </x:row>
    <x:row r="192" ht="52" customHeight="1">
      <x:c r="A192" s="4" t="str"/>
      <x:c r="B192" s="4" t="str">
        <x:v>史诗梦灵（自选）</x:v>
      </x:c>
      <x:c r="C192" s="4" t="str"/>
      <x:c r="D192" s="18" t="n">
        <x:v>12</x:v>
      </x:c>
      <x:c r="E192" s="18" t="n">
        <x:v>120</x:v>
      </x:c>
      <x:c r="F192" s="4" t="str">
        <x:v>补字典</x:v>
      </x:c>
      <x:c r="G192" s="4" t="str">
        <x:v>补/道具价值表-汇总!A24:J24</x:v>
      </x:c>
      <x:c r="H192" s="4" t="str"/>
    </x:row>
    <x:row r="193" ht="52" customHeight="1">
      <x:c r="A193" s="12" t="str"/>
      <x:c r="B193" s="12" t="str">
        <x:v>传说梦灵（自选）</x:v>
      </x:c>
      <x:c r="C193" s="12" t="str"/>
      <x:c r="D193" s="17" t="n">
        <x:v>24</x:v>
      </x:c>
      <x:c r="E193" s="17" t="n">
        <x:v>240</x:v>
      </x:c>
      <x:c r="F193" s="12" t="str">
        <x:v>补字典</x:v>
      </x:c>
      <x:c r="G193" s="12" t="str">
        <x:v>补/道具价值表-汇总!A25:J25</x:v>
      </x:c>
      <x:c r="H193" s="12" t="str"/>
    </x:row>
    <x:row r="194" ht="52" customHeight="1">
      <x:c r="A194" s="4" t="str"/>
      <x:c r="B194" s="4" t="str">
        <x:v>神话梦灵（自选）</x:v>
      </x:c>
      <x:c r="C194" s="4" t="str"/>
      <x:c r="D194" s="18" t="n">
        <x:v>48</x:v>
      </x:c>
      <x:c r="E194" s="18" t="n">
        <x:v>480</x:v>
      </x:c>
      <x:c r="F194" s="4" t="str">
        <x:v>补字典</x:v>
      </x:c>
      <x:c r="G194" s="4" t="str">
        <x:v>补/道具价值表-汇总!A26:J26</x:v>
      </x:c>
      <x:c r="H194" s="4" t="str"/>
    </x:row>
    <x:row r="195" ht="52" customHeight="1">
      <x:c r="A195" s="12" t="str"/>
      <x:c r="B195" s="12" t="str">
        <x:v>创世梦灵（自选）</x:v>
      </x:c>
      <x:c r="C195" s="12" t="str"/>
      <x:c r="D195" s="17" t="n">
        <x:v>96</x:v>
      </x:c>
      <x:c r="E195" s="17" t="n">
        <x:v>960</x:v>
      </x:c>
      <x:c r="F195" s="12" t="str">
        <x:v>补字典</x:v>
      </x:c>
      <x:c r="G195" s="12" t="str">
        <x:v>补/道具价值表-汇总!A27:J27</x:v>
      </x:c>
      <x:c r="H195" s="12" t="str"/>
    </x:row>
    <x:row r="196" ht="52" customHeight="1">
      <x:c r="A196" s="4" t="str"/>
      <x:c r="B196" s="4" t="str">
        <x:v>随机普通符文</x:v>
      </x:c>
      <x:c r="C196" s="4" t="str"/>
      <x:c r="D196" s="18" t="n">
        <x:v>1.6</x:v>
      </x:c>
      <x:c r="E196" s="18" t="n">
        <x:v>16</x:v>
      </x:c>
      <x:c r="F196" s="4" t="str">
        <x:v>补字典</x:v>
      </x:c>
      <x:c r="G196" s="4" t="str">
        <x:v>补/道具价值表-汇总!A36:J36</x:v>
      </x:c>
      <x:c r="H196" s="4" t="str"/>
    </x:row>
    <x:row r="197" ht="52" customHeight="1">
      <x:c r="A197" s="12" t="str"/>
      <x:c r="B197" s="12" t="str">
        <x:v>随机优秀符文</x:v>
      </x:c>
      <x:c r="C197" s="12" t="str"/>
      <x:c r="D197" s="17" t="n">
        <x:v>6.4</x:v>
      </x:c>
      <x:c r="E197" s="17" t="n">
        <x:v>64</x:v>
      </x:c>
      <x:c r="F197" s="12" t="str">
        <x:v>补字典</x:v>
      </x:c>
      <x:c r="G197" s="12" t="str">
        <x:v>补/道具价值表-汇总!A37:J37</x:v>
      </x:c>
      <x:c r="H197" s="12" t="str"/>
    </x:row>
    <x:row r="198" ht="52" customHeight="1">
      <x:c r="A198" s="4" t="str"/>
      <x:c r="B198" s="4" t="str">
        <x:v>随机稀有符文</x:v>
      </x:c>
      <x:c r="C198" s="4" t="str"/>
      <x:c r="D198" s="18" t="n">
        <x:v>25.6</x:v>
      </x:c>
      <x:c r="E198" s="18" t="n">
        <x:v>256</x:v>
      </x:c>
      <x:c r="F198" s="4" t="str">
        <x:v>补字典</x:v>
      </x:c>
      <x:c r="G198" s="4" t="str">
        <x:v>补/道具价值表-汇总!A38:J38</x:v>
      </x:c>
      <x:c r="H198" s="4" t="str"/>
    </x:row>
    <x:row r="199" ht="52" customHeight="1">
      <x:c r="A199" s="12" t="str"/>
      <x:c r="B199" s="12" t="str">
        <x:v>随机史诗符文</x:v>
      </x:c>
      <x:c r="C199" s="12" t="str"/>
      <x:c r="D199" s="17" t="n">
        <x:v>102.4</x:v>
      </x:c>
      <x:c r="E199" s="17" t="n">
        <x:v>1024</x:v>
      </x:c>
      <x:c r="F199" s="12" t="str">
        <x:v>补字典</x:v>
      </x:c>
      <x:c r="G199" s="12" t="str">
        <x:v>补/道具价值表-汇总!A39:J39</x:v>
      </x:c>
      <x:c r="H199" s="12" t="str"/>
    </x:row>
    <x:row r="200" ht="52" customHeight="1">
      <x:c r="A200" s="4" t="str"/>
      <x:c r="B200" s="4" t="str">
        <x:v>随机传说符文</x:v>
      </x:c>
      <x:c r="C200" s="4" t="str"/>
      <x:c r="D200" s="18" t="n">
        <x:v>409.6</x:v>
      </x:c>
      <x:c r="E200" s="18" t="n">
        <x:v>4096</x:v>
      </x:c>
      <x:c r="F200" s="4" t="str">
        <x:v>补字典</x:v>
      </x:c>
      <x:c r="G200" s="4" t="str">
        <x:v>补/道具价值表-汇总!A40:J40</x:v>
      </x:c>
      <x:c r="H200" s="4" t="str"/>
    </x:row>
    <x:row r="201" ht="52" customHeight="1">
      <x:c r="A201" s="12" t="str"/>
      <x:c r="B201" s="12" t="str">
        <x:v>随机神话符文</x:v>
      </x:c>
      <x:c r="C201" s="12" t="str"/>
      <x:c r="D201" s="17" t="n">
        <x:v>1638.4</x:v>
      </x:c>
      <x:c r="E201" s="17" t="n">
        <x:v>16384</x:v>
      </x:c>
      <x:c r="F201" s="12" t="str">
        <x:v>补字典</x:v>
      </x:c>
      <x:c r="G201" s="12" t="str">
        <x:v>补/道具价值表-汇总!A41:J41</x:v>
      </x:c>
      <x:c r="H201" s="12" t="str"/>
    </x:row>
    <x:row r="202" ht="52" customHeight="1">
      <x:c r="A202" s="4" t="str"/>
      <x:c r="B202" s="4" t="str">
        <x:v>随机创世符文</x:v>
      </x:c>
      <x:c r="C202" s="4" t="str"/>
      <x:c r="D202" s="18" t="n">
        <x:v>6553.6</x:v>
      </x:c>
      <x:c r="E202" s="18" t="n">
        <x:v>65536</x:v>
      </x:c>
      <x:c r="F202" s="4" t="str">
        <x:v>补字典</x:v>
      </x:c>
      <x:c r="G202" s="4" t="str">
        <x:v>补/道具价值表-汇总!A42:J42</x:v>
      </x:c>
      <x:c r="H202" s="4" t="str"/>
    </x:row>
    <x:row r="203" ht="52" customHeight="1">
      <x:c r="A203" s="12" t="str"/>
      <x:c r="B203" s="12" t="str">
        <x:v>自选史诗零件</x:v>
      </x:c>
      <x:c r="C203" s="12" t="str"/>
      <x:c r="D203" s="17" t="n">
        <x:v>200</x:v>
      </x:c>
      <x:c r="E203" s="17" t="n">
        <x:v>2000</x:v>
      </x:c>
      <x:c r="F203" s="12" t="str">
        <x:v>补字典</x:v>
      </x:c>
      <x:c r="G203" s="12" t="str">
        <x:v>补/道具价值表-汇总!A89:J89</x:v>
      </x:c>
      <x:c r="H203" s="12" t="str"/>
    </x:row>
    <x:row r="204" ht="52" customHeight="1">
      <x:c r="A204" s="4" t="str"/>
      <x:c r="B204" s="4" t="str">
        <x:v>自选传说零件</x:v>
      </x:c>
      <x:c r="C204" s="4" t="str"/>
      <x:c r="D204" s="18" t="n">
        <x:v>400</x:v>
      </x:c>
      <x:c r="E204" s="18" t="n">
        <x:v>4000</x:v>
      </x:c>
      <x:c r="F204" s="4" t="str">
        <x:v>补字典</x:v>
      </x:c>
      <x:c r="G204" s="4" t="str">
        <x:v>补/道具价值表-汇总!A90:J90</x:v>
      </x:c>
      <x:c r="H204" s="4" t="str"/>
    </x:row>
    <x:row r="205" ht="52" customHeight="1">
      <x:c r="A205" s="12" t="str"/>
      <x:c r="B205" s="12" t="str">
        <x:v>自选神话零件</x:v>
      </x:c>
      <x:c r="C205" s="12" t="str"/>
      <x:c r="D205" s="17" t="n">
        <x:v>800</x:v>
      </x:c>
      <x:c r="E205" s="17" t="n">
        <x:v>8000</x:v>
      </x:c>
      <x:c r="F205" s="12" t="str">
        <x:v>补字典</x:v>
      </x:c>
      <x:c r="G205" s="12" t="str">
        <x:v>补/道具价值表-汇总!A91:J91</x:v>
      </x:c>
      <x:c r="H205" s="12" t="str"/>
    </x:row>
    <x:row r="206" ht="52" customHeight="1">
      <x:c r="A206" s="4" t="str"/>
      <x:c r="B206" s="4" t="str">
        <x:v>自选创世零件</x:v>
      </x:c>
      <x:c r="C206" s="4" t="str"/>
      <x:c r="D206" s="18" t="n">
        <x:v>1600</x:v>
      </x:c>
      <x:c r="E206" s="18" t="n">
        <x:v>16000</x:v>
      </x:c>
      <x:c r="F206" s="4" t="str">
        <x:v>补字典</x:v>
      </x:c>
      <x:c r="G206" s="4" t="str">
        <x:v>补/道具价值表-汇总!A92:J92</x:v>
      </x:c>
      <x:c r="H206" s="4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1267b843f654dd5"/>
  </x:tableParts>
</x:worksheet>
</file>

<file path=xl/worksheets/sheet7.xml><?xml version="1.0" encoding="utf-8"?>
<x:worksheet xmlns:x="http://schemas.openxmlformats.org/spreadsheetml/2006/main">
  <x:sheetPr>
    <x:tabColor rgb="FFC77D1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7" hidden="0" customWidth="1"/>
    <x:col min="4" max="4" width="68" hidden="0" customWidth="1"/>
    <x:col min="5" max="5" width="61" hidden="0" customWidth="1"/>
    <x:col min="6" max="6" width="68" hidden="0" customWidth="1"/>
  </x:cols>
  <x:sheetData>
    <x:row r="1" ht="38" customHeight="1">
      <x:c r="A1" s="7" t="str">
        <x:v>待核对事项 · 发布与精算前处理</x:v>
      </x:c>
      <x:c r="B1" s="7"/>
      <x:c r="C1" s="7"/>
      <x:c r="D1" s="7"/>
      <x:c r="E1" s="7"/>
      <x:c r="F1" s="7"/>
    </x:row>
    <x:row r="2" ht="42" customHeight="1">
      <x:c r="A2" s="8" t="str">
        <x:v>P0影响版本、奖励或抽奖成本；P1影响配置/折扣/组合；P2是成长量化与实际支付基准。负责人为建议职能，未发送任务。</x:v>
      </x:c>
      <x:c r="B2" s="8"/>
      <x:c r="C2" s="8"/>
      <x:c r="D2" s="8"/>
      <x:c r="E2" s="8"/>
      <x:c r="F2" s="8"/>
    </x:row>
    <x:row r="3">
      <x:c r="A3" s="4"/>
      <x:c r="B3" s="4"/>
      <x:c r="C3" s="4"/>
      <x:c r="D3" s="4"/>
      <x:c r="E3" s="4"/>
      <x:c r="F3" s="4"/>
    </x:row>
    <x:row r="4" ht="32" customHeight="1">
      <x:c r="A4" s="11" t="str">
        <x:v>优先级</x:v>
      </x:c>
      <x:c r="B4" s="11" t="str">
        <x:v>问题类型</x:v>
      </x:c>
      <x:c r="C4" s="11" t="str">
        <x:v>对象</x:v>
      </x:c>
      <x:c r="D4" s="11" t="str">
        <x:v>发现</x:v>
      </x:c>
      <x:c r="E4" s="11" t="str">
        <x:v>主文档位置</x:v>
      </x:c>
      <x:c r="F4" s="11" t="str">
        <x:v>下一步/建议负责人</x:v>
      </x:c>
    </x:row>
    <x:row r="5" ht="78" customHeight="1">
      <x:c r="A5" s="12" t="str">
        <x:v>P0</x:v>
      </x:c>
      <x:c r="B5" s="12" t="str">
        <x:v>版本裁决</x:v>
      </x:c>
      <x:c r="C5" s="12" t="str">
        <x:v>红卡试炼排期</x:v>
      </x:c>
      <x:c r="D5" s="12" t="str">
        <x:v>D11起4天 / D12—15 / D13—16</x:v>
      </x:c>
      <x:c r="E5" s="12" t="str">
        <x:v>红卡试炼活动!C2；优化总内容!E21:F21；路线图!O27</x:v>
      </x:c>
      <x:c r="F5" s="12" t="str">
        <x:v>运营/系统策划确认唯一开服天数</x:v>
      </x:c>
    </x:row>
    <x:row r="6" ht="78" customHeight="1">
      <x:c r="A6" s="4" t="str">
        <x:v>P0</x:v>
      </x:c>
      <x:c r="B6" s="4" t="str">
        <x:v>版本裁决</x:v>
      </x:c>
      <x:c r="C6" s="4" t="str">
        <x:v>星轨排期</x:v>
      </x:c>
      <x:c r="D6" s="4" t="str">
        <x:v>路线图D9与总览D27—29</x:v>
      </x:c>
      <x:c r="E6" s="4" t="str">
        <x:v>路线图!K27；优化总内容!E24:F24</x:v>
      </x:c>
      <x:c r="F6" s="4" t="str">
        <x:v>运营确认活动顺序及载具前置</x:v>
      </x:c>
    </x:row>
    <x:row r="7" ht="78" customHeight="1">
      <x:c r="A7" s="12" t="str">
        <x:v>P0</x:v>
      </x:c>
      <x:c r="B7" s="12" t="str">
        <x:v>估值</x:v>
      </x:c>
      <x:c r="C7" s="12" t="str">
        <x:v>每日特惠宝箱</x:v>
      </x:c>
      <x:c r="D7" s="12" t="str">
        <x:v>名称奇迹宝箱，局部80钻；字典奇迹10、惊喜80</x:v>
      </x:c>
      <x:c r="E7" s="12" t="str">
        <x:v>特惠+充值!B12:E12、L20:P20；道具价值表-汇总!A7:D8</x:v>
      </x:c>
      <x:c r="F7" s="12" t="str">
        <x:v>数值确认奖励ID和最终奖池</x:v>
      </x:c>
    </x:row>
    <x:row r="8" ht="78" customHeight="1">
      <x:c r="A8" s="4" t="str">
        <x:v>P0</x:v>
      </x:c>
      <x:c r="B8" s="4" t="str">
        <x:v>配置</x:v>
      </x:c>
      <x:c r="C8" s="4" t="str">
        <x:v>怦怦时刻数量</x:v>
      </x:c>
      <x:c r="D8" s="4" t="str">
        <x:v>数量4800/单价1，字典整件4800钻</x:v>
      </x:c>
      <x:c r="E8" s="4" t="str">
        <x:v>日周月礼包!B69:J69；道具价值表-汇总!A145:D145</x:v>
      </x:c>
      <x:c r="F8" s="4" t="str">
        <x:v>数值核对是否数量1/单价4800；当前停算</x:v>
      </x:c>
    </x:row>
    <x:row r="9" ht="78" customHeight="1">
      <x:c r="A9" s="12" t="str">
        <x:v>P0</x:v>
      </x:c>
      <x:c r="B9" s="12" t="str">
        <x:v>抽奖成本</x:v>
      </x:c>
      <x:c r="C9" s="12" t="str">
        <x:v>星轨概率/保底</x:v>
      </x:c>
      <x:c r="D9" s="12" t="str">
        <x:v>预期80、81、71.08和保底80/90并列</x:v>
      </x:c>
      <x:c r="E9" s="12" t="str">
        <x:v>星轨探测!F6、F67、D78、K77及第174行</x:v>
      </x:c>
      <x:c r="F9" s="12" t="str">
        <x:v>数值确认实际概率和保底状态机后模拟</x:v>
      </x:c>
    </x:row>
    <x:row r="10" ht="78" customHeight="1">
      <x:c r="A10" s="4" t="str">
        <x:v>P0</x:v>
      </x:c>
      <x:c r="B10" s="4" t="str">
        <x:v>活动规则</x:v>
      </x:c>
      <x:c r="C10" s="4" t="str">
        <x:v>月光任务周期</x:v>
      </x:c>
      <x:c r="D10" s="4" t="str">
        <x:v>3天10个与7天14个任务资源不同</x:v>
      </x:c>
      <x:c r="E10" s="4" t="str">
        <x:v>月光炼梦!A44:G52</x:v>
      </x:c>
      <x:c r="F10" s="4" t="str">
        <x:v>运营确认天数、每日任务和一次性资源</x:v>
      </x:c>
    </x:row>
    <x:row r="11" ht="78" customHeight="1">
      <x:c r="A11" s="12" t="str">
        <x:v>P1</x:v>
      </x:c>
      <x:c r="B11" s="12" t="str">
        <x:v>价格展示</x:v>
      </x:c>
      <x:c r="C11" s="12" t="str">
        <x:v>日礼包折扣</x:v>
      </x:c>
      <x:c r="D11" s="12" t="str">
        <x:v>织梦微尘显示7折，统一价值重算14折；晶石显示6折，重算60折</x:v>
      </x:c>
      <x:c r="E11" s="12" t="str">
        <x:v>日周月礼包!B15:J16</x:v>
      </x:c>
      <x:c r="F11" s="12" t="str">
        <x:v>数值核实字典价格与实际数量后修正展示</x:v>
      </x:c>
    </x:row>
    <x:row r="12" ht="78" customHeight="1">
      <x:c r="A12" s="4" t="str">
        <x:v>P1</x:v>
      </x:c>
      <x:c r="B12" s="4" t="str">
        <x:v>价格展示</x:v>
      </x:c>
      <x:c r="C12" s="4" t="str">
        <x:v>周/月礼包折扣</x:v>
      </x:c>
      <x:c r="D12" s="4" t="str">
        <x:v>周超能标7折实际4折；月符文标1折重算约3.37/3.96折</x:v>
      </x:c>
      <x:c r="E12" s="4" t="str">
        <x:v>日周月礼包!B34:J34、B63:J64</x:v>
      </x:c>
      <x:c r="F12" s="4" t="str">
        <x:v>数值统一展示折扣口径</x:v>
      </x:c>
    </x:row>
    <x:row r="13" ht="78" customHeight="1">
      <x:c r="A13" s="12" t="str">
        <x:v>P1</x:v>
      </x:c>
      <x:c r="B13" s="12" t="str">
        <x:v>版本裁决</x:v>
      </x:c>
      <x:c r="C13" s="12" t="str">
        <x:v>招募狂欢轮次</x:v>
      </x:c>
      <x:c r="D13" s="12" t="str">
        <x:v>首轮600与改400方向、第四轮去掉并列</x:v>
      </x:c>
      <x:c r="E13" s="12" t="str">
        <x:v>招募狂欢!B18、N7；优化总内容!H18</x:v>
      </x:c>
      <x:c r="F13" s="12" t="str">
        <x:v>运营/数值确认最终轮数和阈值</x:v>
      </x:c>
    </x:row>
    <x:row r="14" ht="78" customHeight="1">
      <x:c r="A14" s="4" t="str">
        <x:v>P1</x:v>
      </x:c>
      <x:c r="B14" s="4" t="str">
        <x:v>估值</x:v>
      </x:c>
      <x:c r="C14" s="4" t="str">
        <x:v>试炼专属符文/梦灵</x:v>
      </x:c>
      <x:c r="D14" s="4" t="str">
        <x:v>局部名称与字典不能一一匹配，随机神话梦灵局部5000与字典480</x:v>
      </x:c>
      <x:c r="E14" s="4" t="str">
        <x:v>橙卡试炼活动!I10:S13</x:v>
      </x:c>
      <x:c r="F14" s="4" t="str">
        <x:v>数值确认ID，不按相似名字合并</x:v>
      </x:c>
    </x:row>
    <x:row r="15" ht="78" customHeight="1">
      <x:c r="A15" s="12" t="str">
        <x:v>P1</x:v>
      </x:c>
      <x:c r="B15" s="12" t="str">
        <x:v>配置</x:v>
      </x:c>
      <x:c r="C15" s="12" t="str">
        <x:v>试炼奖励缺失</x:v>
      </x:c>
      <x:c r="D15" s="12" t="str">
        <x:v>橙试炼17级S13=1但Q13无名</x:v>
      </x:c>
      <x:c r="E15" s="12" t="str">
        <x:v>橙卡试炼活动!Q13:S13</x:v>
      </x:c>
      <x:c r="F15" s="12" t="str">
        <x:v>系统策划补齐第三奖励或删除孤立数量</x:v>
      </x:c>
    </x:row>
    <x:row r="16" ht="78" customHeight="1">
      <x:c r="A16" s="4" t="str">
        <x:v>P1</x:v>
      </x:c>
      <x:c r="B16" s="4" t="str">
        <x:v>配置</x:v>
      </x:c>
      <x:c r="C16" s="4" t="str">
        <x:v>连充25元日期</x:v>
      </x:c>
      <x:c r="D16" s="4" t="str">
        <x:v>列中出现重复5，缺7/排序混乱</x:v>
      </x:c>
      <x:c r="E16" s="4" t="str">
        <x:v>特惠+充值!N49:U55</x:v>
      </x:c>
      <x:c r="F16" s="4" t="str">
        <x:v>运营确认7天顺序</x:v>
      </x:c>
    </x:row>
    <x:row r="17" ht="78" customHeight="1">
      <x:c r="A17" s="12" t="str">
        <x:v>P1</x:v>
      </x:c>
      <x:c r="B17" s="12" t="str">
        <x:v>价格</x:v>
      </x:c>
      <x:c r="C17" s="12" t="str">
        <x:v>推送礼包</x:v>
      </x:c>
      <x:c r="D17" s="12" t="str">
        <x:v>现列388/788/1688与暂定488/938/1988</x:v>
      </x:c>
      <x:c r="E17" s="12" t="str">
        <x:v>特惠+充值!R90:V92</x:v>
      </x:c>
      <x:c r="F17" s="12" t="str">
        <x:v>数值确认采用版本</x:v>
      </x:c>
    </x:row>
    <x:row r="18" ht="78" customHeight="1">
      <x:c r="A18" s="4" t="str">
        <x:v>P1</x:v>
      </x:c>
      <x:c r="B18" s="4" t="str">
        <x:v>估值</x:v>
      </x:c>
      <x:c r="C18" s="4" t="str">
        <x:v>字典传说幻衣</x:v>
      </x:c>
      <x:c r="D18" s="4" t="str">
        <x:v>C114=700元而D114=8000钻</x:v>
      </x:c>
      <x:c r="E18" s="4" t="str">
        <x:v>道具价值表-汇总!C114:D114</x:v>
      </x:c>
      <x:c r="F18" s="4" t="str">
        <x:v>数值统一币值</x:v>
      </x:c>
    </x:row>
    <x:row r="19" ht="78" customHeight="1">
      <x:c r="A19" s="12" t="str">
        <x:v>P1</x:v>
      </x:c>
      <x:c r="B19" s="12" t="str">
        <x:v>商品组合</x:v>
      </x:c>
      <x:c r="C19" s="12" t="str">
        <x:v>首充与单笔分支</x:v>
      </x:c>
      <x:c r="D19" s="12" t="str">
        <x:v>68累充、68单笔、128单笔与优化移除思路并列</x:v>
      </x:c>
      <x:c r="E19" s="12" t="str">
        <x:v>首充+三卡!A8:V23；优化总内容!H2</x:v>
      </x:c>
      <x:c r="F19" s="12" t="str">
        <x:v>运营确认在售列表，不能简单加总</x:v>
      </x:c>
    </x:row>
    <x:row r="20" ht="78" customHeight="1">
      <x:c r="A20" s="4" t="str">
        <x:v>P1</x:v>
      </x:c>
      <x:c r="B20" s="4" t="str">
        <x:v>总成本</x:v>
      </x:c>
      <x:c r="C20" s="4" t="str">
        <x:v>月光累计成本</x:v>
      </x:c>
      <x:c r="D20" s="4" t="str">
        <x:v>逐轮计算重复扣整段免费资源；(最小+最大)/2非真实期望</x:v>
      </x:c>
      <x:c r="E20" s="4" t="str">
        <x:v>月光炼梦!A32:M41、A70:Q79</x:v>
      </x:c>
      <x:c r="F20" s="4" t="str">
        <x:v>数值按累计资源池只扣一次，验证概率</x:v>
      </x:c>
    </x:row>
    <x:row r="21" ht="78" customHeight="1">
      <x:c r="A21" s="12" t="str">
        <x:v>P1</x:v>
      </x:c>
      <x:c r="B21" s="12" t="str">
        <x:v>运营</x:v>
      </x:c>
      <x:c r="C21" s="12" t="str">
        <x:v>心梦商店限购/过期</x:v>
      </x:c>
      <x:c r="D21" s="12" t="str">
        <x:v>优化思路钻石限1、明细限2；小狗锤一条已过期</x:v>
      </x:c>
      <x:c r="E21" s="12" t="str">
        <x:v>优化总内容!H10；心梦商店!K6:K7、E17</x:v>
      </x:c>
      <x:c r="F21" s="12" t="str">
        <x:v>运营保留当期有效配置</x:v>
      </x:c>
    </x:row>
    <x:row r="22" ht="78" customHeight="1">
      <x:c r="A22" s="4" t="str">
        <x:v>P1</x:v>
      </x:c>
      <x:c r="B22" s="4" t="str">
        <x:v>版本裁决</x:v>
      </x:c>
      <x:c r="C22" s="4" t="str">
        <x:v>悬赏开始时间</x:v>
      </x:c>
      <x:c r="D22" s="4" t="str">
        <x:v>路线图第3周与总览D10</x:v>
      </x:c>
      <x:c r="E22" s="4" t="str">
        <x:v>路线图!B25:AE25；优化总内容!E14:E17</x:v>
      </x:c>
      <x:c r="F22" s="4" t="str">
        <x:v>运营确认第一期及后续轮换</x:v>
      </x:c>
    </x:row>
    <x:row r="23" ht="78" customHeight="1">
      <x:c r="A23" s="12" t="str">
        <x:v>P1</x:v>
      </x:c>
      <x:c r="B23" s="12" t="str">
        <x:v>配置</x:v>
      </x:c>
      <x:c r="C23" s="12" t="str">
        <x:v>悬赏礼包第三奖励</x:v>
      </x:c>
      <x:c r="D23" s="12" t="str">
        <x:v>U列有名称，W列多处缺数量</x:v>
      </x:c>
      <x:c r="E23" s="12" t="str">
        <x:v>悬赏活动!U75:Y81</x:v>
      </x:c>
      <x:c r="F23" s="12" t="str">
        <x:v>数值补数量后再给完整折扣</x:v>
      </x:c>
    </x:row>
    <x:row r="24" ht="78" customHeight="1">
      <x:c r="A24" s="4" t="str">
        <x:v>P2</x:v>
      </x:c>
      <x:c r="B24" s="4" t="str">
        <x:v>基准</x:v>
      </x:c>
      <x:c r="C24" s="4" t="str">
        <x:v>RMB到钻石</x:v>
      </x:c>
      <x:c r="D24" s="4" t="str">
        <x:v>10钻/元是价值字典惯例，未核真实充值+赠送+首充</x:v>
      </x:c>
      <x:c r="E24" s="4" t="str">
        <x:v>道具价值表-汇总!C2:D2</x:v>
      </x:c>
      <x:c r="F24" s="4" t="str">
        <x:v>商业化策划补充值档、首充翻倍、付费钻/赠钻范围</x:v>
      </x:c>
    </x:row>
    <x:row r="25" ht="78" customHeight="1">
      <x:c r="A25" s="12" t="str">
        <x:v>P2</x:v>
      </x:c>
      <x:c r="B25" s="12" t="str">
        <x:v>成长验证</x:v>
      </x:c>
      <x:c r="C25" s="12" t="str">
        <x:v>能力加速</x:v>
      </x:c>
      <x:c r="D25" s="12" t="str">
        <x:v>尚无统一玩家档、日净产出、升级消耗/门槛及战斗验证</x:v>
      </x:c>
      <x:c r="E25" s="12" t="str">
        <x:v>SVN养成/产出文档待按版本与玩家档联算</x:v>
      </x:c>
      <x:c r="F25" s="12" t="str">
        <x:v>数值先选零氪/小R/中R日龄，再算资源日和跨节点收益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e55833fbd9844be"/>
  </x:tableParts>
</x:worksheet>
</file>

<file path=xl/worksheets/sheet8.xml><?xml version="1.0" encoding="utf-8"?>
<x:worksheet xmlns:x="http://schemas.openxmlformats.org/spreadsheetml/2006/main">
  <x:sheetPr>
    <x:tabColor rgb="FF34495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8" hidden="0" customWidth="1"/>
    <x:col min="3" max="3" width="23" hidden="0" customWidth="1"/>
    <x:col min="4" max="4" width="28" hidden="0" customWidth="1"/>
    <x:col min="5" max="5" width="83" hidden="0" customWidth="1"/>
    <x:col min="6" max="6" width="83" hidden="0" customWidth="1"/>
  </x:cols>
  <x:sheetData>
    <x:row r="1" ht="38" customHeight="1">
      <x:c r="A1" s="7" t="str">
        <x:v>来源与口径 · 快照及覆盖范围</x:v>
      </x:c>
      <x:c r="B1" s="7"/>
      <x:c r="C1" s="7"/>
      <x:c r="D1" s="7"/>
      <x:c r="E1" s="7"/>
      <x:c r="F1" s="7"/>
    </x:row>
    <x:row r="2" ht="42" customHeight="1">
      <x:c r="A2" s="8" t="str">
        <x:v>本版是最新规划整理与首批商品重算；讨论方向、暂定方案和历史档均保留状态，不冒充最终配置。</x:v>
      </x:c>
      <x:c r="B2" s="8"/>
      <x:c r="C2" s="8"/>
      <x:c r="D2" s="8"/>
      <x:c r="E2" s="8"/>
      <x:c r="F2" s="8"/>
    </x:row>
    <x:row r="3">
      <x:c r="A3" s="4"/>
      <x:c r="B3" s="4"/>
      <x:c r="C3" s="4"/>
      <x:c r="D3" s="4"/>
      <x:c r="E3" s="4"/>
      <x:c r="F3" s="4"/>
    </x:row>
    <x:row r="4" ht="32" customHeight="1">
      <x:c r="A4" s="11" t="str">
        <x:v>类型</x:v>
      </x:c>
      <x:c r="B4" s="11" t="str">
        <x:v>项目/工作表</x:v>
      </x:c>
      <x:c r="C4" s="11" t="str">
        <x:v>值/行数</x:v>
      </x:c>
      <x:c r="D4" s="11" t="str">
        <x:v>单位/规模</x:v>
      </x:c>
      <x:c r="E4" s="11" t="str">
        <x:v>出处</x:v>
      </x:c>
      <x:c r="F4" s="11" t="str">
        <x:v>采用规则</x:v>
      </x:c>
    </x:row>
    <x:row r="5" ht="52" customHeight="1">
      <x:c r="A5" s="12" t="str">
        <x:v>口径</x:v>
      </x:c>
      <x:c r="B5" s="12" t="str">
        <x:v>人民币估值基准</x:v>
      </x:c>
      <x:c r="C5" s="12" t="n">
        <x:v>10</x:v>
      </x:c>
      <x:c r="D5" s="12" t="str">
        <x:v>钻/元</x:v>
      </x:c>
      <x:c r="E5" s="12" t="str">
        <x:v>主字典C2:D2</x:v>
      </x:c>
      <x:c r="F5" s="12" t="str">
        <x:v>仅价值换算；真实充值档和赠钻未核</x:v>
      </x:c>
    </x:row>
    <x:row r="6" ht="52" customHeight="1">
      <x:c r="A6" s="4" t="str">
        <x:v>口径</x:v>
      </x:c>
      <x:c r="B6" s="4" t="str">
        <x:v>心梦宝石估值</x:v>
      </x:c>
      <x:c r="C6" s="4" t="n">
        <x:v>14</x:v>
      </x:c>
      <x:c r="D6" s="4" t="str">
        <x:v>钻/个</x:v>
      </x:c>
      <x:c r="E6" s="4" t="str">
        <x:v>主字典C5:D5</x:v>
      </x:c>
      <x:c r="F6" s="4" t="str">
        <x:v>兑换成本用此值；作为充值附赠不得二次加总</x:v>
      </x:c>
    </x:row>
    <x:row r="7" ht="52" customHeight="1">
      <x:c r="A7" s="12" t="str">
        <x:v>版本</x:v>
      </x:c>
      <x:c r="B7" s="12" t="str">
        <x:v>主方案</x:v>
      </x:c>
      <x:c r="C7" s="12" t="str">
        <x:v>2026-09-21</x:v>
      </x:c>
      <x:c r="D7" s="12" t="str">
        <x:v>22张表</x:v>
      </x:c>
      <x:c r="E7" s="12" t="str">
        <x:v>https://lbjqnd425q.feishu.cn/wiki/JfrdwrBYNitjYIkmZqNcNrZvncg</x:v>
      </x:c>
      <x:c r="F7" s="12" t="str">
        <x:v>用户指定第一优先级</x:v>
      </x:c>
    </x:row>
    <x:row r="8" ht="52" customHeight="1">
      <x:c r="A8" s="4" t="str">
        <x:v>版本</x:v>
      </x:c>
      <x:c r="B8" s="4" t="str">
        <x:v>补充线上梳理</x:v>
      </x:c>
      <x:c r="C8" s="4" t="str">
        <x:v>2026-09-21</x:v>
      </x:c>
      <x:c r="D8" s="4" t="str">
        <x:v>34张表</x:v>
      </x:c>
      <x:c r="E8" s="4" t="str">
        <x:v>https://lbjqnd425q.feishu.cn/wiki/Rk2jwz9ZSidejgkoCcGc7boNnIg</x:v>
      </x:c>
      <x:c r="F8" s="4" t="str">
        <x:v>仅补空缺；重叠部分不覆盖主表</x:v>
      </x:c>
    </x:row>
    <x:row r="9" ht="52" customHeight="1">
      <x:c r="A9" s="12" t="str">
        <x:v>范围</x:v>
      </x:c>
      <x:c r="B9" s="12" t="str">
        <x:v>SVN工作副本</x:v>
      </x:c>
      <x:c r="C9" s="12" t="str">
        <x:v>已查看目录</x:v>
      </x:c>
      <x:c r="D9" s="12" t="str">
        <x:v>尚未更新SVN/联算</x:v>
      </x:c>
      <x:c r="E9" s="12" t="str">
        <x:v>E:/x1/配置/trunk/策划文档/数值文档</x:v>
      </x:c>
      <x:c r="F9" s="12" t="str">
        <x:v>文件修改时间不等于策划版本；本版未宣称已核对最新SVN修订</x:v>
      </x:c>
    </x:row>
    <x:row r="10" ht="52" customHeight="1">
      <x:c r="A10" s="4" t="str">
        <x:v>估值</x:v>
      </x:c>
      <x:c r="B10" s="4" t="str">
        <x:v>缺失处理</x:v>
      </x:c>
      <x:c r="C10" s="4" t="str">
        <x:v>不填0</x:v>
      </x:c>
      <x:c r="D10" s="4" t="str">
        <x:v>完整折扣停算</x:v>
      </x:c>
      <x:c r="E10" s="4" t="str">
        <x:v>奖励明细与道具价值基准</x:v>
      </x:c>
      <x:c r="F10" s="4" t="str">
        <x:v>只有明确数量及统一单价才能输出完整价值</x:v>
      </x:c>
    </x:row>
    <x:row r="11" ht="52" customHeight="1">
      <x:c r="A11" s="12" t="str">
        <x:v>折扣</x:v>
      </x:c>
      <x:c r="B11" s="12" t="str">
        <x:v>折数/倍率</x:v>
      </x:c>
      <x:c r="C11" s="12" t="str">
        <x:v>10×成本/价值</x:v>
      </x:c>
      <x:c r="D11" s="12" t="str">
        <x:v>价值/成本</x:v>
      </x:c>
      <x:c r="E11" s="12" t="str">
        <x:v>商品性价比</x:v>
      </x:c>
      <x:c r="F11" s="12" t="str">
        <x:v>越低折数越便宜；免费或广告不输出价值倍率</x:v>
      </x:c>
    </x:row>
    <x:row r="12" ht="52" customHeight="1">
      <x:c r="A12" s="4" t="str">
        <x:v>范围</x:v>
      </x:c>
      <x:c r="B12" s="4" t="str">
        <x:v>抽奖与成长</x:v>
      </x:c>
      <x:c r="C12" s="4" t="str">
        <x:v>未验证运行</x:v>
      </x:c>
      <x:c r="D12" s="4" t="str">
        <x:v>不报伪精确期望/战力</x:v>
      </x:c>
      <x:c r="E12" s="4" t="str">
        <x:v>待核对事项与成长加速路径</x:v>
      </x:c>
      <x:c r="F12" s="4" t="str">
        <x:v>边界成本、平均数、概率期望必须分开</x:v>
      </x:c>
    </x:row>
    <x:row r="13" ht="52" customHeight="1">
      <x:c r="A13" s="12" t="str">
        <x:v>快照</x:v>
      </x:c>
      <x:c r="B13" s="12" t="str">
        <x:v>原始文件</x:v>
      </x:c>
      <x:c r="C13" s="12" t="str">
        <x:v>随交付保留</x:v>
      </x:c>
      <x:c r="D13" s="12" t="str">
        <x:v>不可改写来源</x:v>
      </x:c>
      <x:c r="E13" s="12" t="str">
        <x:v>sources/main.xlsx；sources/supp.xlsx</x:v>
      </x:c>
      <x:c r="F13" s="12" t="str">
        <x:v>主表导出查找公式无缓存时按字典重建，不复制残缺缓存</x:v>
      </x:c>
    </x:row>
    <x:row r="14" ht="52" customHeight="1">
      <x:c r="A14" s="4" t="str">
        <x:v>主</x:v>
      </x:c>
      <x:c r="B14" s="4" t="str">
        <x:v>路线图</x:v>
      </x:c>
      <x:c r="C14" s="4" t="n">
        <x:v>200</x:v>
      </x:c>
      <x:c r="D14" s="4" t="str">
        <x:v>34列/0图</x:v>
      </x:c>
      <x:c r="E14" s="4" t="str">
        <x:v>主/路线图!原工作表</x:v>
      </x:c>
      <x:c r="F14" s="4" t="str">
        <x:v>采用细则/保留讨论状态</x:v>
      </x:c>
    </x:row>
    <x:row r="15" ht="52" customHeight="1">
      <x:c r="A15" s="12" t="str">
        <x:v>主</x:v>
      </x:c>
      <x:c r="B15" s="12" t="str">
        <x:v>活动设计标准</x:v>
      </x:c>
      <x:c r="C15" s="12" t="n">
        <x:v>208</x:v>
      </x:c>
      <x:c r="D15" s="12" t="str">
        <x:v>21列/0图</x:v>
      </x:c>
      <x:c r="E15" s="12" t="str">
        <x:v>主/活动设计标准!原工作表</x:v>
      </x:c>
      <x:c r="F15" s="12" t="str">
        <x:v>采用细则/保留讨论状态</x:v>
      </x:c>
    </x:row>
    <x:row r="16" ht="52" customHeight="1">
      <x:c r="A16" s="4" t="str">
        <x:v>主</x:v>
      </x:c>
      <x:c r="B16" s="4" t="str">
        <x:v>优化总内容</x:v>
      </x:c>
      <x:c r="C16" s="4" t="n">
        <x:v>200</x:v>
      </x:c>
      <x:c r="D16" s="4" t="str">
        <x:v>19列/6图</x:v>
      </x:c>
      <x:c r="E16" s="4" t="str">
        <x:v>主/优化总内容!原工作表</x:v>
      </x:c>
      <x:c r="F16" s="4" t="str">
        <x:v>采用细则/保留讨论状态</x:v>
      </x:c>
    </x:row>
    <x:row r="17" ht="52" customHeight="1">
      <x:c r="A17" s="12" t="str">
        <x:v>主</x:v>
      </x:c>
      <x:c r="B17" s="12" t="str">
        <x:v>追求表</x:v>
      </x:c>
      <x:c r="C17" s="12" t="n">
        <x:v>361</x:v>
      </x:c>
      <x:c r="D17" s="12" t="str">
        <x:v>64列/0图</x:v>
      </x:c>
      <x:c r="E17" s="12" t="str">
        <x:v>主/追求表!原工作表</x:v>
      </x:c>
      <x:c r="F17" s="12" t="str">
        <x:v>采用细则/保留讨论状态</x:v>
      </x:c>
    </x:row>
    <x:row r="18" ht="52" customHeight="1">
      <x:c r="A18" s="4" t="str">
        <x:v>主</x:v>
      </x:c>
      <x:c r="B18" s="4" t="str">
        <x:v>道具价值表-汇总</x:v>
      </x:c>
      <x:c r="C18" s="4" t="n">
        <x:v>205</x:v>
      </x:c>
      <x:c r="D18" s="4" t="str">
        <x:v>22列/0图</x:v>
      </x:c>
      <x:c r="E18" s="4" t="str">
        <x:v>主/道具价值表-汇总!原工作表</x:v>
      </x:c>
      <x:c r="F18" s="4" t="str">
        <x:v>采用细则/保留讨论状态</x:v>
      </x:c>
    </x:row>
    <x:row r="19" ht="52" customHeight="1">
      <x:c r="A19" s="12" t="str">
        <x:v>主</x:v>
      </x:c>
      <x:c r="B19" s="12" t="str">
        <x:v>item</x:v>
      </x:c>
      <x:c r="C19" s="12" t="n">
        <x:v>2615</x:v>
      </x:c>
      <x:c r="D19" s="12" t="str">
        <x:v>20列/0图</x:v>
      </x:c>
      <x:c r="E19" s="12" t="str">
        <x:v>主/item!原工作表</x:v>
      </x:c>
      <x:c r="F19" s="12" t="str">
        <x:v>采用细则/保留讨论状态</x:v>
      </x:c>
    </x:row>
    <x:row r="20" ht="52" customHeight="1">
      <x:c r="A20" s="4" t="str">
        <x:v>主</x:v>
      </x:c>
      <x:c r="B20" s="4" t="str">
        <x:v>特惠+充值</x:v>
      </x:c>
      <x:c r="C20" s="4" t="n">
        <x:v>225</x:v>
      </x:c>
      <x:c r="D20" s="4" t="str">
        <x:v>26列/4图</x:v>
      </x:c>
      <x:c r="E20" s="4" t="str">
        <x:v>主/特惠+充值!原工作表</x:v>
      </x:c>
      <x:c r="F20" s="4" t="str">
        <x:v>采用细则/保留讨论状态</x:v>
      </x:c>
    </x:row>
    <x:row r="21" ht="52" customHeight="1">
      <x:c r="A21" s="12" t="str">
        <x:v>主</x:v>
      </x:c>
      <x:c r="B21" s="12" t="str">
        <x:v>首充+三卡</x:v>
      </x:c>
      <x:c r="C21" s="12" t="n">
        <x:v>207</x:v>
      </x:c>
      <x:c r="D21" s="12" t="str">
        <x:v>23列/2图</x:v>
      </x:c>
      <x:c r="E21" s="12" t="str">
        <x:v>主/首充+三卡!原工作表</x:v>
      </x:c>
      <x:c r="F21" s="12" t="str">
        <x:v>采用细则/保留讨论状态</x:v>
      </x:c>
    </x:row>
    <x:row r="22" ht="52" customHeight="1">
      <x:c r="A22" s="4" t="str">
        <x:v>主</x:v>
      </x:c>
      <x:c r="B22" s="4" t="str">
        <x:v>日周月礼包</x:v>
      </x:c>
      <x:c r="C22" s="4" t="n">
        <x:v>196</x:v>
      </x:c>
      <x:c r="D22" s="4" t="str">
        <x:v>20列/0图</x:v>
      </x:c>
      <x:c r="E22" s="4" t="str">
        <x:v>主/日周月礼包!原工作表</x:v>
      </x:c>
      <x:c r="F22" s="4" t="str">
        <x:v>采用细则/保留讨论状态</x:v>
      </x:c>
    </x:row>
    <x:row r="23" ht="52" customHeight="1">
      <x:c r="A23" s="12" t="str">
        <x:v>主</x:v>
      </x:c>
      <x:c r="B23" s="12" t="str">
        <x:v>心梦商店</x:v>
      </x:c>
      <x:c r="C23" s="12" t="n">
        <x:v>26</x:v>
      </x:c>
      <x:c r="D23" s="12" t="str">
        <x:v>13列/0图</x:v>
      </x:c>
      <x:c r="E23" s="12" t="str">
        <x:v>主/心梦商店!原工作表</x:v>
      </x:c>
      <x:c r="F23" s="12" t="str">
        <x:v>采用细则/保留讨论状态</x:v>
      </x:c>
    </x:row>
    <x:row r="24" ht="52" customHeight="1">
      <x:c r="A24" s="4" t="str">
        <x:v>主</x:v>
      </x:c>
      <x:c r="B24" s="4" t="str">
        <x:v>招募狂欢</x:v>
      </x:c>
      <x:c r="C24" s="4" t="n">
        <x:v>196</x:v>
      </x:c>
      <x:c r="D24" s="4" t="str">
        <x:v>19列/0图</x:v>
      </x:c>
      <x:c r="E24" s="4" t="str">
        <x:v>主/招募狂欢!原工作表</x:v>
      </x:c>
      <x:c r="F24" s="4" t="str">
        <x:v>采用细则/保留讨论状态</x:v>
      </x:c>
    </x:row>
    <x:row r="25" ht="52" customHeight="1">
      <x:c r="A25" s="12" t="str">
        <x:v>主</x:v>
      </x:c>
      <x:c r="B25" s="12" t="str">
        <x:v>橙卡试炼活动</x:v>
      </x:c>
      <x:c r="C25" s="12" t="n">
        <x:v>200</x:v>
      </x:c>
      <x:c r="D25" s="12" t="str">
        <x:v>23列/2图</x:v>
      </x:c>
      <x:c r="E25" s="12" t="str">
        <x:v>主/橙卡试炼活动!原工作表</x:v>
      </x:c>
      <x:c r="F25" s="12" t="str">
        <x:v>采用细则/保留讨论状态</x:v>
      </x:c>
    </x:row>
    <x:row r="26" ht="52" customHeight="1">
      <x:c r="A26" s="4" t="str">
        <x:v>主</x:v>
      </x:c>
      <x:c r="B26" s="4" t="str">
        <x:v>红卡试炼活动</x:v>
      </x:c>
      <x:c r="C26" s="4" t="n">
        <x:v>201</x:v>
      </x:c>
      <x:c r="D26" s="4" t="str">
        <x:v>23列/0图</x:v>
      </x:c>
      <x:c r="E26" s="4" t="str">
        <x:v>主/红卡试炼活动!原工作表</x:v>
      </x:c>
      <x:c r="F26" s="4" t="str">
        <x:v>采用细则/保留讨论状态</x:v>
      </x:c>
    </x:row>
    <x:row r="27" ht="52" customHeight="1">
      <x:c r="A27" s="12" t="str">
        <x:v>主</x:v>
      </x:c>
      <x:c r="B27" s="12" t="str">
        <x:v>冲刺活动</x:v>
      </x:c>
      <x:c r="C27" s="12" t="n">
        <x:v>270</x:v>
      </x:c>
      <x:c r="D27" s="12" t="str">
        <x:v>29列/0图</x:v>
      </x:c>
      <x:c r="E27" s="12" t="str">
        <x:v>主/冲刺活动!原工作表</x:v>
      </x:c>
      <x:c r="F27" s="12" t="str">
        <x:v>采用细则/保留讨论状态</x:v>
      </x:c>
    </x:row>
    <x:row r="28" ht="52" customHeight="1">
      <x:c r="A28" s="4" t="str">
        <x:v>主</x:v>
      </x:c>
      <x:c r="B28" s="4" t="str">
        <x:v>悬赏活动</x:v>
      </x:c>
      <x:c r="C28" s="4" t="n">
        <x:v>203</x:v>
      </x:c>
      <x:c r="D28" s="4" t="str">
        <x:v>27列/0图</x:v>
      </x:c>
      <x:c r="E28" s="4" t="str">
        <x:v>主/悬赏活动!原工作表</x:v>
      </x:c>
      <x:c r="F28" s="4" t="str">
        <x:v>采用细则/保留讨论状态</x:v>
      </x:c>
    </x:row>
    <x:row r="29" ht="52" customHeight="1">
      <x:c r="A29" s="12" t="str">
        <x:v>主</x:v>
      </x:c>
      <x:c r="B29" s="12" t="str">
        <x:v>月光炼梦</x:v>
      </x:c>
      <x:c r="C29" s="12" t="n">
        <x:v>79</x:v>
      </x:c>
      <x:c r="D29" s="12" t="str">
        <x:v>16列/2图</x:v>
      </x:c>
      <x:c r="E29" s="12" t="str">
        <x:v>主/月光炼梦!原工作表</x:v>
      </x:c>
      <x:c r="F29" s="12" t="str">
        <x:v>采用细则/保留讨论状态</x:v>
      </x:c>
    </x:row>
    <x:row r="30" ht="52" customHeight="1">
      <x:c r="A30" s="4" t="str">
        <x:v>主</x:v>
      </x:c>
      <x:c r="B30" s="4" t="str">
        <x:v>星轨探测</x:v>
      </x:c>
      <x:c r="C30" s="4" t="n">
        <x:v>200</x:v>
      </x:c>
      <x:c r="D30" s="4" t="str">
        <x:v>20列/1图</x:v>
      </x:c>
      <x:c r="E30" s="4" t="str">
        <x:v>主/星轨探测!原工作表</x:v>
      </x:c>
      <x:c r="F30" s="4" t="str">
        <x:v>采用细则/保留讨论状态</x:v>
      </x:c>
    </x:row>
    <x:row r="31" ht="52" customHeight="1">
      <x:c r="A31" s="12" t="str">
        <x:v>主</x:v>
      </x:c>
      <x:c r="B31" s="12" t="str">
        <x:v>首月活动</x:v>
      </x:c>
      <x:c r="C31" s="12" t="n">
        <x:v>206</x:v>
      </x:c>
      <x:c r="D31" s="12" t="str">
        <x:v>24列/0图</x:v>
      </x:c>
      <x:c r="E31" s="12" t="str">
        <x:v>主/首月活动!原工作表</x:v>
      </x:c>
      <x:c r="F31" s="12" t="str">
        <x:v>采用细则/保留讨论状态</x:v>
      </x:c>
    </x:row>
    <x:row r="32" ht="52" customHeight="1">
      <x:c r="A32" s="4" t="str">
        <x:v>主</x:v>
      </x:c>
      <x:c r="B32" s="4" t="str">
        <x:v>微信小游戏独立数值</x:v>
      </x:c>
      <x:c r="C32" s="4" t="n">
        <x:v>23</x:v>
      </x:c>
      <x:c r="D32" s="4" t="str">
        <x:v>8列/0图</x:v>
      </x:c>
      <x:c r="E32" s="4" t="str">
        <x:v>主/微信小游戏独立数值!原工作表</x:v>
      </x:c>
      <x:c r="F32" s="4" t="str">
        <x:v>采用细则/保留讨论状态</x:v>
      </x:c>
    </x:row>
    <x:row r="33" ht="52" customHeight="1">
      <x:c r="A33" s="12" t="str">
        <x:v>主</x:v>
      </x:c>
      <x:c r="B33" s="12" t="str">
        <x:v>符文规划</x:v>
      </x:c>
      <x:c r="C33" s="12" t="n">
        <x:v>25</x:v>
      </x:c>
      <x:c r="D33" s="12" t="str">
        <x:v>24列/2图</x:v>
      </x:c>
      <x:c r="E33" s="12" t="str">
        <x:v>主/符文规划!原工作表</x:v>
      </x:c>
      <x:c r="F33" s="12" t="str">
        <x:v>采用细则/保留讨论状态</x:v>
      </x:c>
    </x:row>
    <x:row r="34" ht="52" customHeight="1">
      <x:c r="A34" s="4" t="str">
        <x:v>主</x:v>
      </x:c>
      <x:c r="B34" s="4" t="str">
        <x:v>活动时间</x:v>
      </x:c>
      <x:c r="C34" s="4" t="n">
        <x:v>204</x:v>
      </x:c>
      <x:c r="D34" s="4" t="str">
        <x:v>20列/0图</x:v>
      </x:c>
      <x:c r="E34" s="4" t="str">
        <x:v>主/活动时间!原工作表</x:v>
      </x:c>
      <x:c r="F34" s="4" t="str">
        <x:v>采用细则/保留讨论状态</x:v>
      </x:c>
    </x:row>
    <x:row r="35" ht="52" customHeight="1">
      <x:c r="A35" s="12" t="str">
        <x:v>主</x:v>
      </x:c>
      <x:c r="B35" s="12" t="str">
        <x:v>活动页签</x:v>
      </x:c>
      <x:c r="C35" s="12" t="n">
        <x:v>1</x:v>
      </x:c>
      <x:c r="D35" s="12" t="str">
        <x:v>2列/0图</x:v>
      </x:c>
      <x:c r="E35" s="12" t="str">
        <x:v>主/活动页签!原工作表</x:v>
      </x:c>
      <x:c r="F35" s="12" t="str">
        <x:v>采用细则/保留讨论状态</x:v>
      </x:c>
    </x:row>
    <x:row r="36" ht="52" customHeight="1">
      <x:c r="A36" s="4" t="str">
        <x:v>补</x:v>
      </x:c>
      <x:c r="B36" s="4" t="str">
        <x:v>活动设计标准</x:v>
      </x:c>
      <x:c r="C36" s="4" t="n">
        <x:v>201</x:v>
      </x:c>
      <x:c r="D36" s="4" t="str">
        <x:v>21列/0图</x:v>
      </x:c>
      <x:c r="E36" s="4" t="str">
        <x:v>补/活动设计标准!原工作表</x:v>
      </x:c>
      <x:c r="F36" s="4" t="str">
        <x:v>与主表重叠/历史/辅助，不覆盖主表</x:v>
      </x:c>
    </x:row>
    <x:row r="37" ht="52" customHeight="1">
      <x:c r="A37" s="12" t="str">
        <x:v>补</x:v>
      </x:c>
      <x:c r="B37" s="12" t="str">
        <x:v>活动详细</x:v>
      </x:c>
      <x:c r="C37" s="12" t="n">
        <x:v>29</x:v>
      </x:c>
      <x:c r="D37" s="12" t="str">
        <x:v>13列/6图</x:v>
      </x:c>
      <x:c r="E37" s="12" t="str">
        <x:v>补/活动详细!原工作表</x:v>
      </x:c>
      <x:c r="F37" s="12" t="str">
        <x:v>与主表重叠/历史/辅助，不覆盖主表</x:v>
      </x:c>
    </x:row>
    <x:row r="38" ht="52" customHeight="1">
      <x:c r="A38" s="4" t="str">
        <x:v>补</x:v>
      </x:c>
      <x:c r="B38" s="4" t="str">
        <x:v>投放道具投放规划</x:v>
      </x:c>
      <x:c r="C38" s="4" t="n">
        <x:v>8</x:v>
      </x:c>
      <x:c r="D38" s="4" t="str">
        <x:v>1列/0图</x:v>
      </x:c>
      <x:c r="E38" s="4" t="str">
        <x:v>补/投放道具投放规划!原工作表</x:v>
      </x:c>
      <x:c r="F38" s="4" t="str">
        <x:v>与主表重叠/历史/辅助，不覆盖主表</x:v>
      </x:c>
    </x:row>
    <x:row r="39" ht="52" customHeight="1">
      <x:c r="A39" s="12" t="str">
        <x:v>补</x:v>
      </x:c>
      <x:c r="B39" s="12" t="str">
        <x:v>活动甘特图</x:v>
      </x:c>
      <x:c r="C39" s="12" t="n">
        <x:v>262</x:v>
      </x:c>
      <x:c r="D39" s="12" t="str">
        <x:v>25列/0图</x:v>
      </x:c>
      <x:c r="E39" s="12" t="str">
        <x:v>补/活动甘特图!原工作表</x:v>
      </x:c>
      <x:c r="F39" s="12" t="str">
        <x:v>与主表重叠/历史/辅助，不覆盖主表</x:v>
      </x:c>
    </x:row>
    <x:row r="40" ht="52" customHeight="1">
      <x:c r="A40" s="4" t="str">
        <x:v>补</x:v>
      </x:c>
      <x:c r="B40" s="4" t="str">
        <x:v>活动定位</x:v>
      </x:c>
      <x:c r="C40" s="4" t="n">
        <x:v>44</x:v>
      </x:c>
      <x:c r="D40" s="4" t="str">
        <x:v>20列/0图</x:v>
      </x:c>
      <x:c r="E40" s="4" t="str">
        <x:v>补/活动定位!原工作表</x:v>
      </x:c>
      <x:c r="F40" s="4" t="str">
        <x:v>与主表重叠/历史/辅助，不覆盖主表</x:v>
      </x:c>
    </x:row>
    <x:row r="41" ht="52" customHeight="1">
      <x:c r="A41" s="12" t="str">
        <x:v>补</x:v>
      </x:c>
      <x:c r="B41" s="12" t="str">
        <x:v>道具价值表-汇总</x:v>
      </x:c>
      <x:c r="C41" s="12" t="n">
        <x:v>129</x:v>
      </x:c>
      <x:c r="D41" s="12" t="str">
        <x:v>21列/0图</x:v>
      </x:c>
      <x:c r="E41" s="12" t="str">
        <x:v>补/道具价值表-汇总!原工作表</x:v>
      </x:c>
      <x:c r="F41" s="12" t="str">
        <x:v>仅补主文档空缺，待核时效</x:v>
      </x:c>
    </x:row>
    <x:row r="42" ht="52" customHeight="1">
      <x:c r="A42" s="4" t="str">
        <x:v>补</x:v>
      </x:c>
      <x:c r="B42" s="4" t="str">
        <x:v>活动转化率</x:v>
      </x:c>
      <x:c r="C42" s="4" t="n">
        <x:v>66</x:v>
      </x:c>
      <x:c r="D42" s="4" t="str">
        <x:v>33列/0图</x:v>
      </x:c>
      <x:c r="E42" s="4" t="str">
        <x:v>补/活动转化率!原工作表</x:v>
      </x:c>
      <x:c r="F42" s="4" t="str">
        <x:v>与主表重叠/历史/辅助，不覆盖主表</x:v>
      </x:c>
    </x:row>
    <x:row r="43" ht="52" customHeight="1">
      <x:c r="A43" s="12" t="str">
        <x:v>补</x:v>
      </x:c>
      <x:c r="B43" s="12" t="str">
        <x:v>原始道具价值表</x:v>
      </x:c>
      <x:c r="C43" s="12" t="n">
        <x:v>81</x:v>
      </x:c>
      <x:c r="D43" s="12" t="str">
        <x:v>13列/0图</x:v>
      </x:c>
      <x:c r="E43" s="12" t="str">
        <x:v>补/原始道具价值表!原工作表</x:v>
      </x:c>
      <x:c r="F43" s="12" t="str">
        <x:v>与主表重叠/历史/辅助，不覆盖主表</x:v>
      </x:c>
    </x:row>
    <x:row r="44" ht="52" customHeight="1">
      <x:c r="A44" s="4" t="str">
        <x:v>补</x:v>
      </x:c>
      <x:c r="B44" s="4" t="str">
        <x:v>item</x:v>
      </x:c>
      <x:c r="C44" s="4" t="n">
        <x:v>2424</x:v>
      </x:c>
      <x:c r="D44" s="4" t="str">
        <x:v>20列/0图</x:v>
      </x:c>
      <x:c r="E44" s="4" t="str">
        <x:v>补/item!原工作表</x:v>
      </x:c>
      <x:c r="F44" s="4" t="str">
        <x:v>与主表重叠/历史/辅助，不覆盖主表</x:v>
      </x:c>
    </x:row>
    <x:row r="45" ht="52" customHeight="1">
      <x:c r="A45" s="12" t="str">
        <x:v>补</x:v>
      </x:c>
      <x:c r="B45" s="12" t="str">
        <x:v>心梦商店购买</x:v>
      </x:c>
      <x:c r="C45" s="12" t="n">
        <x:v>62</x:v>
      </x:c>
      <x:c r="D45" s="12" t="str">
        <x:v>40列/5图</x:v>
      </x:c>
      <x:c r="E45" s="12" t="str">
        <x:v>补/心梦商店购买!原工作表</x:v>
      </x:c>
      <x:c r="F45" s="12" t="str">
        <x:v>与主表重叠/历史/辅助，不覆盖主表</x:v>
      </x:c>
    </x:row>
    <x:row r="46" ht="52" customHeight="1">
      <x:c r="A46" s="4" t="str">
        <x:v>补</x:v>
      </x:c>
      <x:c r="B46" s="4" t="str">
        <x:v>累充档次</x:v>
      </x:c>
      <x:c r="C46" s="4" t="n">
        <x:v>24</x:v>
      </x:c>
      <x:c r="D46" s="4" t="str">
        <x:v>16列/0图</x:v>
      </x:c>
      <x:c r="E46" s="4" t="str">
        <x:v>补/累充档次!原工作表</x:v>
      </x:c>
      <x:c r="F46" s="4" t="str">
        <x:v>与主表重叠/历史/辅助，不覆盖主表</x:v>
      </x:c>
    </x:row>
    <x:row r="47" ht="52" customHeight="1">
      <x:c r="A47" s="12" t="str">
        <x:v>补</x:v>
      </x:c>
      <x:c r="B47" s="12" t="str">
        <x:v>首充修改原因</x:v>
      </x:c>
      <x:c r="C47" s="12" t="n">
        <x:v>86</x:v>
      </x:c>
      <x:c r="D47" s="12" t="str">
        <x:v>8列/4图</x:v>
      </x:c>
      <x:c r="E47" s="12" t="str">
        <x:v>补/首充修改原因!原工作表</x:v>
      </x:c>
      <x:c r="F47" s="12" t="str">
        <x:v>与主表重叠/历史/辅助，不覆盖主表</x:v>
      </x:c>
    </x:row>
    <x:row r="48" ht="52" customHeight="1">
      <x:c r="A48" s="4" t="str">
        <x:v>补</x:v>
      </x:c>
      <x:c r="B48" s="4" t="str">
        <x:v>首充+三卡</x:v>
      </x:c>
      <x:c r="C48" s="4" t="n">
        <x:v>70</x:v>
      </x:c>
      <x:c r="D48" s="4" t="str">
        <x:v>23列/1图</x:v>
      </x:c>
      <x:c r="E48" s="4" t="str">
        <x:v>补/首充+三卡!原工作表</x:v>
      </x:c>
      <x:c r="F48" s="4" t="str">
        <x:v>与主表重叠/历史/辅助，不覆盖主表</x:v>
      </x:c>
    </x:row>
    <x:row r="49" ht="52" customHeight="1">
      <x:c r="A49" s="12" t="str">
        <x:v>补</x:v>
      </x:c>
      <x:c r="B49" s="12" t="str">
        <x:v>战令</x:v>
      </x:c>
      <x:c r="C49" s="12" t="n">
        <x:v>176</x:v>
      </x:c>
      <x:c r="D49" s="12" t="str">
        <x:v>19列/2图</x:v>
      </x:c>
      <x:c r="E49" s="12" t="str">
        <x:v>补/战令!原工作表</x:v>
      </x:c>
      <x:c r="F49" s="12" t="str">
        <x:v>仅补主文档空缺，待核时效</x:v>
      </x:c>
    </x:row>
    <x:row r="50" ht="52" customHeight="1">
      <x:c r="A50" s="4" t="str">
        <x:v>补</x:v>
      </x:c>
      <x:c r="B50" s="4" t="str">
        <x:v>特惠礼包</x:v>
      </x:c>
      <x:c r="C50" s="4" t="n">
        <x:v>70</x:v>
      </x:c>
      <x:c r="D50" s="4" t="str">
        <x:v>18列/0图</x:v>
      </x:c>
      <x:c r="E50" s="4" t="str">
        <x:v>补/特惠礼包!原工作表</x:v>
      </x:c>
      <x:c r="F50" s="4" t="str">
        <x:v>与主表重叠/历史/辅助，不覆盖主表</x:v>
      </x:c>
    </x:row>
    <x:row r="51" ht="52" customHeight="1">
      <x:c r="A51" s="12" t="str">
        <x:v>补</x:v>
      </x:c>
      <x:c r="B51" s="12" t="str">
        <x:v>每日特惠</x:v>
      </x:c>
      <x:c r="C51" s="12" t="n">
        <x:v>27</x:v>
      </x:c>
      <x:c r="D51" s="12" t="str">
        <x:v>9列/1图</x:v>
      </x:c>
      <x:c r="E51" s="12" t="str">
        <x:v>补/每日特惠!原工作表</x:v>
      </x:c>
      <x:c r="F51" s="12" t="str">
        <x:v>与主表重叠/历史/辅助，不覆盖主表</x:v>
      </x:c>
    </x:row>
    <x:row r="52" ht="52" customHeight="1">
      <x:c r="A52" s="4" t="str">
        <x:v>补</x:v>
      </x:c>
      <x:c r="B52" s="4" t="str">
        <x:v>七日活动</x:v>
      </x:c>
      <x:c r="C52" s="4" t="n">
        <x:v>1</x:v>
      </x:c>
      <x:c r="D52" s="4" t="str">
        <x:v>1列/0图</x:v>
      </x:c>
      <x:c r="E52" s="4" t="str">
        <x:v>补/七日活动!原工作表</x:v>
      </x:c>
      <x:c r="F52" s="4" t="str">
        <x:v>与主表重叠/历史/辅助，不覆盖主表</x:v>
      </x:c>
    </x:row>
    <x:row r="53" ht="52" customHeight="1">
      <x:c r="A53" s="12" t="str">
        <x:v>补</x:v>
      </x:c>
      <x:c r="B53" s="12" t="str">
        <x:v>累充+连充</x:v>
      </x:c>
      <x:c r="C53" s="12" t="n">
        <x:v>35</x:v>
      </x:c>
      <x:c r="D53" s="12" t="str">
        <x:v>22列/4图</x:v>
      </x:c>
      <x:c r="E53" s="12" t="str">
        <x:v>补/累充+连充!原工作表</x:v>
      </x:c>
      <x:c r="F53" s="12" t="str">
        <x:v>与主表重叠/历史/辅助，不覆盖主表</x:v>
      </x:c>
    </x:row>
    <x:row r="54" ht="52" customHeight="1">
      <x:c r="A54" s="4" t="str">
        <x:v>补</x:v>
      </x:c>
      <x:c r="B54" s="4" t="str">
        <x:v>招募狂欢</x:v>
      </x:c>
      <x:c r="C54" s="4" t="n">
        <x:v>200</x:v>
      </x:c>
      <x:c r="D54" s="4" t="str">
        <x:v>13列/0图</x:v>
      </x:c>
      <x:c r="E54" s="4" t="str">
        <x:v>补/招募狂欢!原工作表</x:v>
      </x:c>
      <x:c r="F54" s="4" t="str">
        <x:v>与主表重叠/历史/辅助，不覆盖主表</x:v>
      </x:c>
    </x:row>
    <x:row r="55" ht="52" customHeight="1">
      <x:c r="A55" s="12" t="str">
        <x:v>补</x:v>
      </x:c>
      <x:c r="B55" s="12" t="str">
        <x:v>悬赏活动</x:v>
      </x:c>
      <x:c r="C55" s="12" t="n">
        <x:v>200</x:v>
      </x:c>
      <x:c r="D55" s="12" t="str">
        <x:v>20列/1图</x:v>
      </x:c>
      <x:c r="E55" s="12" t="str">
        <x:v>补/悬赏活动!原工作表</x:v>
      </x:c>
      <x:c r="F55" s="12" t="str">
        <x:v>与主表重叠/历史/辅助，不覆盖主表</x:v>
      </x:c>
    </x:row>
    <x:row r="56" ht="52" customHeight="1">
      <x:c r="A56" s="4" t="str">
        <x:v>补</x:v>
      </x:c>
      <x:c r="B56" s="4" t="str">
        <x:v>七日活动挑战</x:v>
      </x:c>
      <x:c r="C56" s="4" t="n">
        <x:v>296</x:v>
      </x:c>
      <x:c r="D56" s="4" t="str">
        <x:v>21列/0图</x:v>
      </x:c>
      <x:c r="E56" s="4" t="str">
        <x:v>补/七日活动挑战!原工作表</x:v>
      </x:c>
      <x:c r="F56" s="4" t="str">
        <x:v>仅补主文档空缺，待核时效</x:v>
      </x:c>
    </x:row>
    <x:row r="57" ht="52" customHeight="1">
      <x:c r="A57" s="12" t="str">
        <x:v>补</x:v>
      </x:c>
      <x:c r="B57" s="12" t="str">
        <x:v>冲刺活动</x:v>
      </x:c>
      <x:c r="C57" s="12" t="n">
        <x:v>209</x:v>
      </x:c>
      <x:c r="D57" s="12" t="str">
        <x:v>28列/0图</x:v>
      </x:c>
      <x:c r="E57" s="12" t="str">
        <x:v>补/冲刺活动!原工作表</x:v>
      </x:c>
      <x:c r="F57" s="12" t="str">
        <x:v>与主表重叠/历史/辅助，不覆盖主表</x:v>
      </x:c>
    </x:row>
    <x:row r="58" ht="52" customHeight="1">
      <x:c r="A58" s="4" t="str">
        <x:v>补</x:v>
      </x:c>
      <x:c r="B58" s="4" t="str">
        <x:v>试炼活动-橙卡</x:v>
      </x:c>
      <x:c r="C58" s="4" t="n">
        <x:v>16</x:v>
      </x:c>
      <x:c r="D58" s="4" t="str">
        <x:v>22列/4图</x:v>
      </x:c>
      <x:c r="E58" s="4" t="str">
        <x:v>补/试炼活动-橙卡!原工作表</x:v>
      </x:c>
      <x:c r="F58" s="4" t="str">
        <x:v>与主表重叠/历史/辅助，不覆盖主表</x:v>
      </x:c>
    </x:row>
    <x:row r="59" ht="52" customHeight="1">
      <x:c r="A59" s="12" t="str">
        <x:v>补</x:v>
      </x:c>
      <x:c r="B59" s="12" t="str">
        <x:v>试炼活动-红卡</x:v>
      </x:c>
      <x:c r="C59" s="12" t="n">
        <x:v>14</x:v>
      </x:c>
      <x:c r="D59" s="12" t="str">
        <x:v>22列/4图</x:v>
      </x:c>
      <x:c r="E59" s="12" t="str">
        <x:v>补/试炼活动-红卡!原工作表</x:v>
      </x:c>
      <x:c r="F59" s="12" t="str">
        <x:v>与主表重叠/历史/辅助，不覆盖主表</x:v>
      </x:c>
    </x:row>
    <x:row r="60" ht="52" customHeight="1">
      <x:c r="A60" s="4" t="str">
        <x:v>补</x:v>
      </x:c>
      <x:c r="B60" s="4" t="str">
        <x:v>月光炼梦</x:v>
      </x:c>
      <x:c r="C60" s="4" t="n">
        <x:v>187</x:v>
      </x:c>
      <x:c r="D60" s="4" t="str">
        <x:v>22列/0图</x:v>
      </x:c>
      <x:c r="E60" s="4" t="str">
        <x:v>补/月光炼梦!原工作表</x:v>
      </x:c>
      <x:c r="F60" s="4" t="str">
        <x:v>与主表重叠/历史/辅助，不覆盖主表</x:v>
      </x:c>
    </x:row>
    <x:row r="61" ht="52" customHeight="1">
      <x:c r="A61" s="12" t="str">
        <x:v>补</x:v>
      </x:c>
      <x:c r="B61" s="12" t="str">
        <x:v>星轨探测</x:v>
      </x:c>
      <x:c r="C61" s="12" t="n">
        <x:v>200</x:v>
      </x:c>
      <x:c r="D61" s="12" t="str">
        <x:v>20列/4图</x:v>
      </x:c>
      <x:c r="E61" s="12" t="str">
        <x:v>补/星轨探测!原工作表</x:v>
      </x:c>
      <x:c r="F61" s="12" t="str">
        <x:v>与主表重叠/历史/辅助，不覆盖主表</x:v>
      </x:c>
    </x:row>
    <x:row r="62" ht="52" customHeight="1">
      <x:c r="A62" s="4" t="str">
        <x:v>补</x:v>
      </x:c>
      <x:c r="B62" s="4" t="str">
        <x:v>星光炼梦</x:v>
      </x:c>
      <x:c r="C62" s="4" t="n">
        <x:v>152</x:v>
      </x:c>
      <x:c r="D62" s="4" t="str">
        <x:v>22列/0图</x:v>
      </x:c>
      <x:c r="E62" s="4" t="str">
        <x:v>补/星光炼梦!原工作表</x:v>
      </x:c>
      <x:c r="F62" s="4" t="str">
        <x:v>与主表重叠/历史/辅助，不覆盖主表</x:v>
      </x:c>
    </x:row>
    <x:row r="63" ht="52" customHeight="1">
      <x:c r="A63" s="12" t="str">
        <x:v>补</x:v>
      </x:c>
      <x:c r="B63" s="12" t="str">
        <x:v>月度活动【首月】</x:v>
      </x:c>
      <x:c r="C63" s="12" t="n">
        <x:v>245</x:v>
      </x:c>
      <x:c r="D63" s="12" t="str">
        <x:v>24列/0图</x:v>
      </x:c>
      <x:c r="E63" s="12" t="str">
        <x:v>补/月度活动【首月】!原工作表</x:v>
      </x:c>
      <x:c r="F63" s="12" t="str">
        <x:v>与主表重叠/历史/辅助，不覆盖主表</x:v>
      </x:c>
    </x:row>
    <x:row r="64" ht="52" customHeight="1">
      <x:c r="A64" s="4" t="str">
        <x:v>补</x:v>
      </x:c>
      <x:c r="B64" s="4" t="str">
        <x:v>章节礼包</x:v>
      </x:c>
      <x:c r="C64" s="4" t="n">
        <x:v>14</x:v>
      </x:c>
      <x:c r="D64" s="4" t="str">
        <x:v>21列/0图</x:v>
      </x:c>
      <x:c r="E64" s="4" t="str">
        <x:v>补/章节礼包!原工作表</x:v>
      </x:c>
      <x:c r="F64" s="4" t="str">
        <x:v>仅补主文档空缺，待核时效</x:v>
      </x:c>
    </x:row>
    <x:row r="65" ht="52" customHeight="1">
      <x:c r="A65" s="12" t="str">
        <x:v>补</x:v>
      </x:c>
      <x:c r="B65" s="12" t="str">
        <x:v>关卡宝箱</x:v>
      </x:c>
      <x:c r="C65" s="12" t="n">
        <x:v>302</x:v>
      </x:c>
      <x:c r="D65" s="12" t="str">
        <x:v>33列/0图</x:v>
      </x:c>
      <x:c r="E65" s="12" t="str">
        <x:v>补/关卡宝箱!原工作表</x:v>
      </x:c>
      <x:c r="F65" s="12" t="str">
        <x:v>仅补主文档空缺，待核时效</x:v>
      </x:c>
    </x:row>
    <x:row r="66" ht="52" customHeight="1">
      <x:c r="A66" s="4" t="str">
        <x:v>补</x:v>
      </x:c>
      <x:c r="B66" s="4" t="str">
        <x:v>月度活动2</x:v>
      </x:c>
      <x:c r="C66" s="4" t="n">
        <x:v>352</x:v>
      </x:c>
      <x:c r="D66" s="4" t="str">
        <x:v>46列/7图</x:v>
      </x:c>
      <x:c r="E66" s="4" t="str">
        <x:v>补/月度活动2!原工作表</x:v>
      </x:c>
      <x:c r="F66" s="4" t="str">
        <x:v>与主表重叠/历史/辅助，不覆盖主表</x:v>
      </x:c>
    </x:row>
    <x:row r="67" ht="52" customHeight="1">
      <x:c r="A67" s="12" t="str">
        <x:v>补</x:v>
      </x:c>
      <x:c r="B67" s="12" t="str">
        <x:v>基础框架</x:v>
      </x:c>
      <x:c r="C67" s="12" t="n">
        <x:v>1831</x:v>
      </x:c>
      <x:c r="D67" s="12" t="str">
        <x:v>22列/0图</x:v>
      </x:c>
      <x:c r="E67" s="12" t="str">
        <x:v>补/基础框架!原工作表</x:v>
      </x:c>
      <x:c r="F67" s="12" t="str">
        <x:v>与主表重叠/历史/辅助，不覆盖主表</x:v>
      </x:c>
    </x:row>
    <x:row r="68" ht="52" customHeight="1">
      <x:c r="A68" s="4" t="str">
        <x:v>补</x:v>
      </x:c>
      <x:c r="B68" s="4" t="str">
        <x:v>推送礼包</x:v>
      </x:c>
      <x:c r="C68" s="4" t="n">
        <x:v>15</x:v>
      </x:c>
      <x:c r="D68" s="4" t="str">
        <x:v>5列/1图</x:v>
      </x:c>
      <x:c r="E68" s="4" t="str">
        <x:v>补/推送礼包!原工作表</x:v>
      </x:c>
      <x:c r="F68" s="4" t="str">
        <x:v>与主表重叠/历史/辅助，不覆盖主表</x:v>
      </x:c>
    </x:row>
    <x:row r="69" ht="52" customHeight="1">
      <x:c r="A69" s="12" t="str">
        <x:v>补</x:v>
      </x:c>
      <x:c r="B69" s="12" t="str">
        <x:v>数据建模</x:v>
      </x:c>
      <x:c r="C69" s="12" t="n">
        <x:v>13</x:v>
      </x:c>
      <x:c r="D69" s="12" t="str">
        <x:v>13列/0图</x:v>
      </x:c>
      <x:c r="E69" s="12" t="str">
        <x:v>补/数据建模!原工作表</x:v>
      </x:c>
      <x:c r="F69" s="12" t="str">
        <x:v>与主表重叠/历史/辅助，不覆盖主表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532e9ab65854437"/>
  </x:tableParts>
</x:worksheet>
</file>